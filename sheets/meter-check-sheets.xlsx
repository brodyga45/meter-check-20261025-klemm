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e1259bb2a4c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ker" sheetId="1" r:id="R15b02d01e5e44c0f"/>
    <x:sheet xmlns:r="http://schemas.openxmlformats.org/officeDocument/2006/relationships" name="Rules" sheetId="2" r:id="Rcb2260a30df64d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0"/>
  </x:numFmts>
  <x:fonts count="4">
    <x:font>
      <x:sz val="11"/>
      <x:name val="Carlito"/>
    </x:font>
    <x:font>
      <x:sz val="10"/>
      <x:color rgb="FF202124"/>
      <x:name val="Arial"/>
    </x:font>
    <x:font>
      <x:b/>
      <x:sz val="14"/>
      <x:color rgb="FF202124"/>
      <x:name val="Arial"/>
    </x:font>
    <x:font>
      <x:b/>
      <x:sz val="10"/>
      <x:color rgb="FF20212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7F7F7"/>
      </x:patternFill>
    </x:fill>
    <x:fill>
      <x:patternFill patternType="solid">
        <x:fgColor rgb="FFEDED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201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color rgb="FFA50E0E"/>
      </x:font>
      <x:fill>
        <x:patternFill patternType="solid">
          <x:bgColor rgb="FFFCE8E6"/>
        </x:patternFill>
      </x:fill>
    </x:dxf>
    <x:dxf>
      <x:font>
        <x:b/>
        <x:color rgb="FFA50E0E"/>
      </x:font>
      <x:fill>
        <x:patternFill patternType="solid">
          <x:bgColor rgb="FFFCE8E6"/>
        </x:patternFill>
      </x:fill>
    </x:dxf>
    <x:dxf>
      <x:fill>
        <x:patternFill patternType="solid">
          <x:bgColor rgb="FFFEF7E0"/>
        </x:patternFill>
      </x:fill>
    </x:dxf>
    <x:dxf>
      <x:font>
        <x:color rgb="FFA50E0E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d7826cbbc248e7" /><Relationship Type="http://schemas.openxmlformats.org/officeDocument/2006/relationships/theme" Target="/xl/theme/theme1.xml" Id="R7ea0a112f58e4537" /><Relationship Type="http://schemas.openxmlformats.org/officeDocument/2006/relationships/sharedStrings" Target="/xl/sharedStrings.xml" Id="R0fd21b87bf294850" /><Relationship Type="http://schemas.openxmlformats.org/officeDocument/2006/relationships/worksheet" Target="/xl/worksheets/sheet1.xml" Id="R15b02d01e5e44c0f" /><Relationship Type="http://schemas.openxmlformats.org/officeDocument/2006/relationships/worksheet" Target="/xl/worksheets/sheet2.xml" Id="Rcb2260a30df64d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2" ySplit="7" topLeftCell="C8" activePane="bottomRight" state="frozen"/>
    </x:sheetView>
  </x:sheetViews>
  <x:sheetFormatPr defaultRowHeight="15"/>
  <x:cols>
    <x:col min="1" max="1" width="12.220000267028809" hidden="0" customWidth="1"/>
    <x:col min="2" max="2" width="21.110000610351562" hidden="0" customWidth="1"/>
    <x:col min="3" max="3" width="10.5600004196167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2.220000267028809" hidden="0" customWidth="1"/>
    <x:col min="8" max="8" width="8.890000343322754" hidden="0" customWidth="1"/>
    <x:col min="9" max="9" width="16.110000610351562" hidden="0" customWidth="1"/>
    <x:col min="10" max="10" width="16.110000610351562" hidden="0" customWidth="1"/>
    <x:col min="11" max="11" width="26.670000076293945" hidden="0" customWidth="1"/>
    <x:col min="12" max="12" width="12.779999732971191" hidden="0" customWidth="1"/>
    <x:col min="13" max="13" width="12.779999732971191" hidden="0" customWidth="1"/>
    <x:col min="14" max="14" width="16.110000610351562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2" customHeight="1">
      <x:c r="A2" s="2" t="str">
        <x:v>Meter Check in Sheets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2" customHeight="1">
      <x:c r="A3" s="1" t="str">
        <x:v>1. Configure Rules.</x:v>
      </x:c>
      <x:c r="B3" s="1"/>
      <x:c r="C3" s="1"/>
      <x:c r="D3" s="1" t="str">
        <x:v>2. Replace example inputs in A:F.</x:v>
      </x:c>
      <x:c r="E3" s="1"/>
      <x:c r="F3" s="1"/>
      <x:c r="G3" s="1"/>
      <x:c r="H3" s="1" t="str">
        <x:v>3. Keep formulas in G:N.</x:v>
      </x:c>
      <x:c r="I3" s="1"/>
      <x:c r="J3" s="1"/>
      <x:c r="K3" s="1"/>
      <x:c r="L3" s="1"/>
      <x:c r="M3" s="1"/>
      <x:c r="N3" s="1"/>
    </x:row>
    <x:row r="4" ht="22" customHeight="1">
      <x:c r="A4" s="1" t="str">
        <x:v>Fictional example records.</x:v>
      </x:c>
      <x:c r="B4" s="1"/>
      <x:c r="C4" s="1"/>
      <x:c r="D4" s="1" t="str">
        <x:v>Current, previous and service readings use the same unit.</x:v>
      </x:c>
      <x:c r="E4" s="1"/>
      <x:c r="F4" s="1"/>
      <x:c r="G4" s="1"/>
      <x:c r="H4" s="1" t="str">
        <x:v>2,000 rows. No calendar alerts.</x:v>
      </x:c>
      <x:c r="I4" s="1"/>
      <x:c r="J4" s="1"/>
      <x:c r="K4" s="1"/>
      <x:c r="L4" s="1"/>
      <x:c r="M4" s="1"/>
      <x:c r="N4" s="1"/>
    </x:row>
    <x:row r="5" ht="22" customHeight="1">
      <x:c r="A5" s="1" t="str">
        <x:v>Keep one row per equipment ID.</x:v>
      </x:c>
      <x:c r="B5" s="1"/>
      <x:c r="C5" s="1"/>
      <x:c r="D5" s="1" t="str">
        <x:v>Up to 3 decimal places. Previous reading may be blank.</x:v>
      </x:c>
      <x:c r="E5" s="1"/>
      <x:c r="F5" s="1"/>
      <x:c r="G5" s="1"/>
      <x:c r="H5" s="1" t="str">
        <x:v>Update last service only after service occurs.</x:v>
      </x:c>
      <x:c r="I5" s="1"/>
      <x:c r="J5" s="1"/>
      <x:c r="K5" s="1"/>
      <x:c r="L5" s="1"/>
      <x:c r="M5" s="1"/>
      <x:c r="N5" s="1"/>
    </x:row>
    <x:row r="6" ht="22" customHeight="1">
      <x:c r="A6" s="1" t="str">
        <x:v>IDs and type names ignore case.</x:v>
      </x:c>
      <x:c r="B6" s="1"/>
      <x:c r="C6" s="1"/>
      <x:c r="D6" s="1" t="str">
        <x:v>Make a copy. Keep your original data.</x:v>
      </x:c>
      <x:c r="E6" s="1"/>
      <x:c r="F6" s="1"/>
      <x:c r="G6" s="1"/>
      <x:c r="H6" s="1" t="str">
        <x:v>Blank Unit uses the type rule.</x:v>
      </x:c>
      <x:c r="I6" s="1"/>
      <x:c r="J6" s="1"/>
      <x:c r="K6" s="1"/>
      <x:c r="L6" s="1"/>
      <x:c r="M6" s="1"/>
      <x:c r="N6" s="1"/>
    </x:row>
    <x:row r="7" ht="28" customHeight="1">
      <x:c r="A7" s="11" t="str">
        <x:v>Equipment ID</x:v>
      </x:c>
      <x:c r="B7" s="11" t="str">
        <x:v>Type</x:v>
      </x:c>
      <x:c r="C7" s="11" t="str">
        <x:v>Unit input</x:v>
      </x:c>
      <x:c r="D7" s="11" t="str">
        <x:v>Current</x:v>
      </x:c>
      <x:c r="E7" s="11" t="str">
        <x:v>Previous</x:v>
      </x:c>
      <x:c r="F7" s="11" t="str">
        <x:v>Last service</x:v>
      </x:c>
      <x:c r="G7" s="11" t="str">
        <x:v>Status</x:v>
      </x:c>
      <x:c r="H7" s="11" t="str">
        <x:v>Unit used</x:v>
      </x:c>
      <x:c r="I7" s="11" t="str">
        <x:v>Remaining</x:v>
      </x:c>
      <x:c r="J7" s="11" t="str">
        <x:v>Next due</x:v>
      </x:c>
      <x:c r="K7" s="11" t="str">
        <x:v>Input issue</x:v>
      </x:c>
      <x:c r="L7" s="11" t="str">
        <x:v>Interval</x:v>
      </x:c>
      <x:c r="M7" s="11" t="str">
        <x:v>Warning</x:v>
      </x:c>
      <x:c r="N7" s="11" t="str">
        <x:v>ID key</x:v>
      </x:c>
    </x:row>
    <x:row r="8" ht="22" customHeight="1">
      <x:c r="A8" s="3" t="str">
        <x:v>0001</x:v>
      </x:c>
      <x:c r="B8" s="3" t="str">
        <x:v>FORKLIFT_EXAMPLE</x:v>
      </x:c>
      <x:c r="C8" s="3"/>
      <x:c r="D8" s="4" t="n">
        <x:v>900</x:v>
      </x:c>
      <x:c r="E8" s="4" t="n">
        <x:v>850</x:v>
      </x:c>
      <x:c r="F8" s="4" t="n">
        <x:v>750</x:v>
      </x:c>
      <x:c r="G8" s="5" t="str">
        <x:f>IF(COUNTA(A8:F8)=0,"",IF(K8&lt;&gt;"","Review",IF(I8&lt;0,"Overdue",IF(I8=0,"Due now",IF(I8&lt;=M8,"Due soon","Not due")))))</x:f>
        <x:v>Review</x:v>
      </x:c>
      <x:c r="H8" s="5" t="str">
        <x:f>IF(OR(COUNTA(A8:F8)=0,COUNTIFS('Rules'!$G$7:$G$26,"="&amp;(SUBSTITUTE(SUBSTITUTE(SUBSTITUTE(SUBSTITUTE("type:"&amp;B8,"%","%25"),"~","%7E"),"*","%2A"),"?","%3F")))&lt;&gt;1),"",IF(OR(INDEX('Rules'!$B$7:$B$26,MATCH(SUBSTITUTE(SUBSTITUTE(SUBSTITUTE(SUBSTITUTE("type:"&amp;B8,"%","%25"),"~","%7E"),"*","%2A"),"?","%3F"),'Rules'!$G$7:$G$26,0))="hours",INDEX('Rules'!$B$7:$B$26,MATCH(SUBSTITUTE(SUBSTITUTE(SUBSTITUTE(SUBSTITUTE("type:"&amp;B8,"%","%25"),"~","%7E"),"*","%2A"),"?","%3F"),'Rules'!$G$7:$G$26,0))="km"),INDEX('Rules'!$B$7:$B$26,MATCH(SUBSTITUTE(SUBSTITUTE(SUBSTITUTE(SUBSTITUTE("type:"&amp;B8,"%","%25"),"~","%7E"),"*","%2A"),"?","%3F"),'Rules'!$G$7:$G$26,0)),""))</x:f>
        <x:v>hours</x:v>
      </x:c>
      <x:c r="I8" s="6" t="str">
        <x:f>IF(AND(NOT(COUNTA(A8:F8)=0),K8=""),ROUND(J8-D8,3),"")</x:f>
      </x:c>
      <x:c r="J8" s="6" t="str">
        <x:f>IF(AND(NOT(COUNTA(A8:F8)=0),K8=""),ROUND(F8+L8,3),"")</x:f>
      </x:c>
      <x:c r="K8" s="5" t="str">
        <x:f>IF(COUNTA(A8:F8)=0,"",IF(A8="","Missing equipment ID",IF(COUNTIFS($N$8:$N$2007,"="&amp;N8)&gt;1,"Duplicate equipment ID",IF(B8="","Missing type",IF(COUNTIFS('Rules'!$G$7:$G$26,"="&amp;(SUBSTITUTE(SUBSTITUTE(SUBSTITUTE(SUBSTITUTE("type:"&amp;B8,"%","%25"),"~","%7E"),"*","%2A"),"?","%3F")))=0,"Unknown type",IF(COUNTIFS('Rules'!$G$7:$G$26,"="&amp;(SUBSTITUTE(SUBSTITUTE(SUBSTITUTE(SUBSTITUTE("type:"&amp;B8,"%","%25"),"~","%7E"),"*","%2A"),"?","%3F")))&gt;1,"Duplicate type",IF(INDEX('Rules'!$F$7:$F$26,MATCH(SUBSTITUTE(SUBSTITUTE(SUBSTITUTE(SUBSTITUTE("type:"&amp;B8,"%","%25"),"~","%7E"),"*","%2A"),"?","%3F"),'Rules'!$G$7:$G$26,0))&lt;&gt;"",INDEX('Rules'!$F$7:$F$26,MATCH(SUBSTITUTE(SUBSTITUTE(SUBSTITUTE(SUBSTITUTE("type:"&amp;B8,"%","%25"),"~","%7E"),"*","%2A"),"?","%3F"),'Rules'!$G$7:$G$26,0)),IF(AND(C8&lt;&gt;"",C8&lt;&gt;INDEX('Rules'!$B$7:$B$26,MATCH(SUBSTITUTE(SUBSTITUTE(SUBSTITUTE(SUBSTITUTE("type:"&amp;B8,"%","%25"),"~","%7E"),"*","%2A"),"?","%3F"),'Rules'!$G$7:$G$26,0))),"Unit mismatch",IF(IF(NOT(ISNUMBER(D8)),TRUE,OR(D8&lt;0,D8&gt;999999999,ROUND(D8,3)&lt;&gt;D8)),"Invalid current reading",IF(AND(E8&lt;&gt;"",IF(NOT(ISNUMBER(E8)),TRUE,OR(E8&lt;0,E8&gt;999999999,ROUND(E8,3)&lt;&gt;E8))),"Invalid previous reading",IF(IF(NOT(ISNUMBER(F8)),TRUE,OR(F8&lt;0,F8&gt;999999999,ROUND(F8,3)&lt;&gt;F8)),"Invalid last service",IF(AND(E8&lt;&gt;"",D8&lt;E8),"Decreased reading",IF(F8&gt;D8,"Last service above current","")))))))))))))</x:f>
        <x:v>Approve rule</x:v>
      </x:c>
      <x:c r="L8" s="6" t="str">
        <x:f>IF(AND(NOT(COUNTA(A8:F8)=0),K8=""),INDEX('Rules'!$C$7:$C$26,MATCH(SUBSTITUTE(SUBSTITUTE(SUBSTITUTE(SUBSTITUTE("type:"&amp;B8,"%","%25"),"~","%7E"),"*","%2A"),"?","%3F"),'Rules'!$G$7:$G$26,0)),"")</x:f>
      </x:c>
      <x:c r="M8" s="6" t="str">
        <x:f>IF(AND(NOT(COUNTA(A8:F8)=0),K8=""),INDEX('Rules'!$D$7:$D$26,MATCH(SUBSTITUTE(SUBSTITUTE(SUBSTITUTE(SUBSTITUTE("type:"&amp;B8,"%","%25"),"~","%7E"),"*","%2A"),"?","%3F"),'Rules'!$G$7:$G$26,0)),"")</x:f>
      </x:c>
      <x:c r="N8" s="5" t="str">
        <x:f>IF(COUNTA(A8:F8)=0,"",SUBSTITUTE(SUBSTITUTE(SUBSTITUTE(SUBSTITUTE("id:"&amp;A8,"%","%25"),"~","%7E"),"*","%2A"),"?","%3F"))</x:f>
        <x:v>id:0001</x:v>
      </x:c>
    </x:row>
    <x:row r="9" ht="22" customHeight="1">
      <x:c r="A9" s="3" t="str">
        <x:v>0002</x:v>
      </x:c>
      <x:c r="B9" s="3" t="str">
        <x:v>FORKLIFT_EXAMPLE</x:v>
      </x:c>
      <x:c r="C9" s="3"/>
      <x:c r="D9" s="4" t="n">
        <x:v>990</x:v>
      </x:c>
      <x:c r="E9" s="4" t="n">
        <x:v>980</x:v>
      </x:c>
      <x:c r="F9" s="4" t="n">
        <x:v>750</x:v>
      </x:c>
      <x:c r="G9" s="5" t="str">
        <x:f>IF(COUNTA(A9:F9)=0,"",IF(K9&lt;&gt;"","Review",IF(I9&lt;0,"Overdue",IF(I9=0,"Due now",IF(I9&lt;=M9,"Due soon","Not due")))))</x:f>
        <x:v>Review</x:v>
      </x:c>
      <x:c r="H9" s="5" t="str">
        <x:f>IF(OR(COUNTA(A9:F9)=0,COUNTIFS('Rules'!$G$7:$G$26,"="&amp;(SUBSTITUTE(SUBSTITUTE(SUBSTITUTE(SUBSTITUTE("type:"&amp;B9,"%","%25"),"~","%7E"),"*","%2A"),"?","%3F")))&lt;&gt;1),"",IF(OR(INDEX('Rules'!$B$7:$B$26,MATCH(SUBSTITUTE(SUBSTITUTE(SUBSTITUTE(SUBSTITUTE("type:"&amp;B9,"%","%25"),"~","%7E"),"*","%2A"),"?","%3F"),'Rules'!$G$7:$G$26,0))="hours",INDEX('Rules'!$B$7:$B$26,MATCH(SUBSTITUTE(SUBSTITUTE(SUBSTITUTE(SUBSTITUTE("type:"&amp;B9,"%","%25"),"~","%7E"),"*","%2A"),"?","%3F"),'Rules'!$G$7:$G$26,0))="km"),INDEX('Rules'!$B$7:$B$26,MATCH(SUBSTITUTE(SUBSTITUTE(SUBSTITUTE(SUBSTITUTE("type:"&amp;B9,"%","%25"),"~","%7E"),"*","%2A"),"?","%3F"),'Rules'!$G$7:$G$26,0)),""))</x:f>
        <x:v>hours</x:v>
      </x:c>
      <x:c r="I9" s="6" t="str">
        <x:f>IF(AND(NOT(COUNTA(A9:F9)=0),K9=""),ROUND(J9-D9,3),"")</x:f>
      </x:c>
      <x:c r="J9" s="6" t="str">
        <x:f>IF(AND(NOT(COUNTA(A9:F9)=0),K9=""),ROUND(F9+L9,3),"")</x:f>
      </x:c>
      <x:c r="K9" s="5" t="str">
        <x:f>IF(COUNTA(A9:F9)=0,"",IF(A9="","Missing equipment ID",IF(COUNTIFS($N$8:$N$2007,"="&amp;N9)&gt;1,"Duplicate equipment ID",IF(B9="","Missing type",IF(COUNTIFS('Rules'!$G$7:$G$26,"="&amp;(SUBSTITUTE(SUBSTITUTE(SUBSTITUTE(SUBSTITUTE("type:"&amp;B9,"%","%25"),"~","%7E"),"*","%2A"),"?","%3F")))=0,"Unknown type",IF(COUNTIFS('Rules'!$G$7:$G$26,"="&amp;(SUBSTITUTE(SUBSTITUTE(SUBSTITUTE(SUBSTITUTE("type:"&amp;B9,"%","%25"),"~","%7E"),"*","%2A"),"?","%3F")))&gt;1,"Duplicate type",IF(INDEX('Rules'!$F$7:$F$26,MATCH(SUBSTITUTE(SUBSTITUTE(SUBSTITUTE(SUBSTITUTE("type:"&amp;B9,"%","%25"),"~","%7E"),"*","%2A"),"?","%3F"),'Rules'!$G$7:$G$26,0))&lt;&gt;"",INDEX('Rules'!$F$7:$F$26,MATCH(SUBSTITUTE(SUBSTITUTE(SUBSTITUTE(SUBSTITUTE("type:"&amp;B9,"%","%25"),"~","%7E"),"*","%2A"),"?","%3F"),'Rules'!$G$7:$G$26,0)),IF(AND(C9&lt;&gt;"",C9&lt;&gt;INDEX('Rules'!$B$7:$B$26,MATCH(SUBSTITUTE(SUBSTITUTE(SUBSTITUTE(SUBSTITUTE("type:"&amp;B9,"%","%25"),"~","%7E"),"*","%2A"),"?","%3F"),'Rules'!$G$7:$G$26,0))),"Unit mismatch",IF(IF(NOT(ISNUMBER(D9)),TRUE,OR(D9&lt;0,D9&gt;999999999,ROUND(D9,3)&lt;&gt;D9)),"Invalid current reading",IF(AND(E9&lt;&gt;"",IF(NOT(ISNUMBER(E9)),TRUE,OR(E9&lt;0,E9&gt;999999999,ROUND(E9,3)&lt;&gt;E9))),"Invalid previous reading",IF(IF(NOT(ISNUMBER(F9)),TRUE,OR(F9&lt;0,F9&gt;999999999,ROUND(F9,3)&lt;&gt;F9)),"Invalid last service",IF(AND(E9&lt;&gt;"",D9&lt;E9),"Decreased reading",IF(F9&gt;D9,"Last service above current","")))))))))))))</x:f>
        <x:v>Approve rule</x:v>
      </x:c>
      <x:c r="L9" s="6" t="str">
        <x:f>IF(AND(NOT(COUNTA(A9:F9)=0),K9=""),INDEX('Rules'!$C$7:$C$26,MATCH(SUBSTITUTE(SUBSTITUTE(SUBSTITUTE(SUBSTITUTE("type:"&amp;B9,"%","%25"),"~","%7E"),"*","%2A"),"?","%3F"),'Rules'!$G$7:$G$26,0)),"")</x:f>
      </x:c>
      <x:c r="M9" s="6" t="str">
        <x:f>IF(AND(NOT(COUNTA(A9:F9)=0),K9=""),INDEX('Rules'!$D$7:$D$26,MATCH(SUBSTITUTE(SUBSTITUTE(SUBSTITUTE(SUBSTITUTE("type:"&amp;B9,"%","%25"),"~","%7E"),"*","%2A"),"?","%3F"),'Rules'!$G$7:$G$26,0)),"")</x:f>
      </x:c>
      <x:c r="N9" s="5" t="str">
        <x:f>IF(COUNTA(A9:F9)=0,"",SUBSTITUTE(SUBSTITUTE(SUBSTITUTE(SUBSTITUTE("id:"&amp;A9,"%","%25"),"~","%7E"),"*","%2A"),"?","%3F"))</x:f>
        <x:v>id:0002</x:v>
      </x:c>
    </x:row>
    <x:row r="10" ht="22" customHeight="1">
      <x:c r="A10" s="3" t="str">
        <x:v>0003</x:v>
      </x:c>
      <x:c r="B10" s="3" t="str">
        <x:v>FORKLIFT_EXAMPLE</x:v>
      </x:c>
      <x:c r="C10" s="3"/>
      <x:c r="D10" s="4" t="n">
        <x:v>1000</x:v>
      </x:c>
      <x:c r="E10" s="4" t="n">
        <x:v>990</x:v>
      </x:c>
      <x:c r="F10" s="4" t="n">
        <x:v>750</x:v>
      </x:c>
      <x:c r="G10" s="5" t="str">
        <x:f>IF(COUNTA(A10:F10)=0,"",IF(K10&lt;&gt;"","Review",IF(I10&lt;0,"Overdue",IF(I10=0,"Due now",IF(I10&lt;=M10,"Due soon","Not due")))))</x:f>
        <x:v>Review</x:v>
      </x:c>
      <x:c r="H10" s="5" t="str">
        <x:f>IF(OR(COUNTA(A10:F10)=0,COUNTIFS('Rules'!$G$7:$G$26,"="&amp;(SUBSTITUTE(SUBSTITUTE(SUBSTITUTE(SUBSTITUTE("type:"&amp;B10,"%","%25"),"~","%7E"),"*","%2A"),"?","%3F")))&lt;&gt;1),"",IF(OR(INDEX('Rules'!$B$7:$B$26,MATCH(SUBSTITUTE(SUBSTITUTE(SUBSTITUTE(SUBSTITUTE("type:"&amp;B10,"%","%25"),"~","%7E"),"*","%2A"),"?","%3F"),'Rules'!$G$7:$G$26,0))="hours",INDEX('Rules'!$B$7:$B$26,MATCH(SUBSTITUTE(SUBSTITUTE(SUBSTITUTE(SUBSTITUTE("type:"&amp;B10,"%","%25"),"~","%7E"),"*","%2A"),"?","%3F"),'Rules'!$G$7:$G$26,0))="km"),INDEX('Rules'!$B$7:$B$26,MATCH(SUBSTITUTE(SUBSTITUTE(SUBSTITUTE(SUBSTITUTE("type:"&amp;B10,"%","%25"),"~","%7E"),"*","%2A"),"?","%3F"),'Rules'!$G$7:$G$26,0)),""))</x:f>
        <x:v>hours</x:v>
      </x:c>
      <x:c r="I10" s="6" t="str">
        <x:f>IF(AND(NOT(COUNTA(A10:F10)=0),K10=""),ROUND(J10-D10,3),"")</x:f>
      </x:c>
      <x:c r="J10" s="6" t="str">
        <x:f>IF(AND(NOT(COUNTA(A10:F10)=0),K10=""),ROUND(F10+L10,3),"")</x:f>
      </x:c>
      <x:c r="K10" s="5" t="str">
        <x:f>IF(COUNTA(A10:F10)=0,"",IF(A10="","Missing equipment ID",IF(COUNTIFS($N$8:$N$2007,"="&amp;N10)&gt;1,"Duplicate equipment ID",IF(B10="","Missing type",IF(COUNTIFS('Rules'!$G$7:$G$26,"="&amp;(SUBSTITUTE(SUBSTITUTE(SUBSTITUTE(SUBSTITUTE("type:"&amp;B10,"%","%25"),"~","%7E"),"*","%2A"),"?","%3F")))=0,"Unknown type",IF(COUNTIFS('Rules'!$G$7:$G$26,"="&amp;(SUBSTITUTE(SUBSTITUTE(SUBSTITUTE(SUBSTITUTE("type:"&amp;B10,"%","%25"),"~","%7E"),"*","%2A"),"?","%3F")))&gt;1,"Duplicate type",IF(INDEX('Rules'!$F$7:$F$26,MATCH(SUBSTITUTE(SUBSTITUTE(SUBSTITUTE(SUBSTITUTE("type:"&amp;B10,"%","%25"),"~","%7E"),"*","%2A"),"?","%3F"),'Rules'!$G$7:$G$26,0))&lt;&gt;"",INDEX('Rules'!$F$7:$F$26,MATCH(SUBSTITUTE(SUBSTITUTE(SUBSTITUTE(SUBSTITUTE("type:"&amp;B10,"%","%25"),"~","%7E"),"*","%2A"),"?","%3F"),'Rules'!$G$7:$G$26,0)),IF(AND(C10&lt;&gt;"",C10&lt;&gt;INDEX('Rules'!$B$7:$B$26,MATCH(SUBSTITUTE(SUBSTITUTE(SUBSTITUTE(SUBSTITUTE("type:"&amp;B10,"%","%25"),"~","%7E"),"*","%2A"),"?","%3F"),'Rules'!$G$7:$G$26,0))),"Unit mismatch",IF(IF(NOT(ISNUMBER(D10)),TRUE,OR(D10&lt;0,D10&gt;999999999,ROUND(D10,3)&lt;&gt;D10)),"Invalid current reading",IF(AND(E10&lt;&gt;"",IF(NOT(ISNUMBER(E10)),TRUE,OR(E10&lt;0,E10&gt;999999999,ROUND(E10,3)&lt;&gt;E10))),"Invalid previous reading",IF(IF(NOT(ISNUMBER(F10)),TRUE,OR(F10&lt;0,F10&gt;999999999,ROUND(F10,3)&lt;&gt;F10)),"Invalid last service",IF(AND(E10&lt;&gt;"",D10&lt;E10),"Decreased reading",IF(F10&gt;D10,"Last service above current","")))))))))))))</x:f>
        <x:v>Approve rule</x:v>
      </x:c>
      <x:c r="L10" s="6" t="str">
        <x:f>IF(AND(NOT(COUNTA(A10:F10)=0),K10=""),INDEX('Rules'!$C$7:$C$26,MATCH(SUBSTITUTE(SUBSTITUTE(SUBSTITUTE(SUBSTITUTE("type:"&amp;B10,"%","%25"),"~","%7E"),"*","%2A"),"?","%3F"),'Rules'!$G$7:$G$26,0)),"")</x:f>
      </x:c>
      <x:c r="M10" s="6" t="str">
        <x:f>IF(AND(NOT(COUNTA(A10:F10)=0),K10=""),INDEX('Rules'!$D$7:$D$26,MATCH(SUBSTITUTE(SUBSTITUTE(SUBSTITUTE(SUBSTITUTE("type:"&amp;B10,"%","%25"),"~","%7E"),"*","%2A"),"?","%3F"),'Rules'!$G$7:$G$26,0)),"")</x:f>
      </x:c>
      <x:c r="N10" s="5" t="str">
        <x:f>IF(COUNTA(A10:F10)=0,"",SUBSTITUTE(SUBSTITUTE(SUBSTITUTE(SUBSTITUTE("id:"&amp;A10,"%","%25"),"~","%7E"),"*","%2A"),"?","%3F"))</x:f>
        <x:v>id:0003</x:v>
      </x:c>
    </x:row>
    <x:row r="11" ht="22" customHeight="1">
      <x:c r="A11" s="3" t="str">
        <x:v>0004</x:v>
      </x:c>
      <x:c r="B11" s="3" t="str">
        <x:v>FORKLIFT_EXAMPLE</x:v>
      </x:c>
      <x:c r="C11" s="3"/>
      <x:c r="D11" s="4" t="n">
        <x:v>1001</x:v>
      </x:c>
      <x:c r="E11" s="4" t="n">
        <x:v>1000</x:v>
      </x:c>
      <x:c r="F11" s="4" t="n">
        <x:v>750</x:v>
      </x:c>
      <x:c r="G11" s="5" t="str">
        <x:f>IF(COUNTA(A11:F11)=0,"",IF(K11&lt;&gt;"","Review",IF(I11&lt;0,"Overdue",IF(I11=0,"Due now",IF(I11&lt;=M11,"Due soon","Not due")))))</x:f>
        <x:v>Review</x:v>
      </x:c>
      <x:c r="H11" s="5" t="str">
        <x:f>IF(OR(COUNTA(A11:F11)=0,COUNTIFS('Rules'!$G$7:$G$26,"="&amp;(SUBSTITUTE(SUBSTITUTE(SUBSTITUTE(SUBSTITUTE("type:"&amp;B11,"%","%25"),"~","%7E"),"*","%2A"),"?","%3F")))&lt;&gt;1),"",IF(OR(INDEX('Rules'!$B$7:$B$26,MATCH(SUBSTITUTE(SUBSTITUTE(SUBSTITUTE(SUBSTITUTE("type:"&amp;B11,"%","%25"),"~","%7E"),"*","%2A"),"?","%3F"),'Rules'!$G$7:$G$26,0))="hours",INDEX('Rules'!$B$7:$B$26,MATCH(SUBSTITUTE(SUBSTITUTE(SUBSTITUTE(SUBSTITUTE("type:"&amp;B11,"%","%25"),"~","%7E"),"*","%2A"),"?","%3F"),'Rules'!$G$7:$G$26,0))="km"),INDEX('Rules'!$B$7:$B$26,MATCH(SUBSTITUTE(SUBSTITUTE(SUBSTITUTE(SUBSTITUTE("type:"&amp;B11,"%","%25"),"~","%7E"),"*","%2A"),"?","%3F"),'Rules'!$G$7:$G$26,0)),""))</x:f>
        <x:v>hours</x:v>
      </x:c>
      <x:c r="I11" s="6" t="str">
        <x:f>IF(AND(NOT(COUNTA(A11:F11)=0),K11=""),ROUND(J11-D11,3),"")</x:f>
      </x:c>
      <x:c r="J11" s="6" t="str">
        <x:f>IF(AND(NOT(COUNTA(A11:F11)=0),K11=""),ROUND(F11+L11,3),"")</x:f>
      </x:c>
      <x:c r="K11" s="5" t="str">
        <x:f>IF(COUNTA(A11:F11)=0,"",IF(A11="","Missing equipment ID",IF(COUNTIFS($N$8:$N$2007,"="&amp;N11)&gt;1,"Duplicate equipment ID",IF(B11="","Missing type",IF(COUNTIFS('Rules'!$G$7:$G$26,"="&amp;(SUBSTITUTE(SUBSTITUTE(SUBSTITUTE(SUBSTITUTE("type:"&amp;B11,"%","%25"),"~","%7E"),"*","%2A"),"?","%3F")))=0,"Unknown type",IF(COUNTIFS('Rules'!$G$7:$G$26,"="&amp;(SUBSTITUTE(SUBSTITUTE(SUBSTITUTE(SUBSTITUTE("type:"&amp;B11,"%","%25"),"~","%7E"),"*","%2A"),"?","%3F")))&gt;1,"Duplicate type",IF(INDEX('Rules'!$F$7:$F$26,MATCH(SUBSTITUTE(SUBSTITUTE(SUBSTITUTE(SUBSTITUTE("type:"&amp;B11,"%","%25"),"~","%7E"),"*","%2A"),"?","%3F"),'Rules'!$G$7:$G$26,0))&lt;&gt;"",INDEX('Rules'!$F$7:$F$26,MATCH(SUBSTITUTE(SUBSTITUTE(SUBSTITUTE(SUBSTITUTE("type:"&amp;B11,"%","%25"),"~","%7E"),"*","%2A"),"?","%3F"),'Rules'!$G$7:$G$26,0)),IF(AND(C11&lt;&gt;"",C11&lt;&gt;INDEX('Rules'!$B$7:$B$26,MATCH(SUBSTITUTE(SUBSTITUTE(SUBSTITUTE(SUBSTITUTE("type:"&amp;B11,"%","%25"),"~","%7E"),"*","%2A"),"?","%3F"),'Rules'!$G$7:$G$26,0))),"Unit mismatch",IF(IF(NOT(ISNUMBER(D11)),TRUE,OR(D11&lt;0,D11&gt;999999999,ROUND(D11,3)&lt;&gt;D11)),"Invalid current reading",IF(AND(E11&lt;&gt;"",IF(NOT(ISNUMBER(E11)),TRUE,OR(E11&lt;0,E11&gt;999999999,ROUND(E11,3)&lt;&gt;E11))),"Invalid previous reading",IF(IF(NOT(ISNUMBER(F11)),TRUE,OR(F11&lt;0,F11&gt;999999999,ROUND(F11,3)&lt;&gt;F11)),"Invalid last service",IF(AND(E11&lt;&gt;"",D11&lt;E11),"Decreased reading",IF(F11&gt;D11,"Last service above current","")))))))))))))</x:f>
        <x:v>Approve rule</x:v>
      </x:c>
      <x:c r="L11" s="6" t="str">
        <x:f>IF(AND(NOT(COUNTA(A11:F11)=0),K11=""),INDEX('Rules'!$C$7:$C$26,MATCH(SUBSTITUTE(SUBSTITUTE(SUBSTITUTE(SUBSTITUTE("type:"&amp;B11,"%","%25"),"~","%7E"),"*","%2A"),"?","%3F"),'Rules'!$G$7:$G$26,0)),"")</x:f>
      </x:c>
      <x:c r="M11" s="6" t="str">
        <x:f>IF(AND(NOT(COUNTA(A11:F11)=0),K11=""),INDEX('Rules'!$D$7:$D$26,MATCH(SUBSTITUTE(SUBSTITUTE(SUBSTITUTE(SUBSTITUTE("type:"&amp;B11,"%","%25"),"~","%7E"),"*","%2A"),"?","%3F"),'Rules'!$G$7:$G$26,0)),"")</x:f>
      </x:c>
      <x:c r="N11" s="5" t="str">
        <x:f>IF(COUNTA(A11:F11)=0,"",SUBSTITUTE(SUBSTITUTE(SUBSTITUTE(SUBSTITUTE("id:"&amp;A11,"%","%25"),"~","%7E"),"*","%2A"),"?","%3F"))</x:f>
        <x:v>id:0004</x:v>
      </x:c>
    </x:row>
    <x:row r="12" ht="22" customHeight="1">
      <x:c r="A12" s="3" t="str">
        <x:v>0005</x:v>
      </x:c>
      <x:c r="B12" s="3" t="str">
        <x:v>FORKLIFT_EXAMPLE</x:v>
      </x:c>
      <x:c r="C12" s="3"/>
      <x:c r="D12" s="4" t="n">
        <x:v>900</x:v>
      </x:c>
      <x:c r="E12" s="4" t="n">
        <x:v>950</x:v>
      </x:c>
      <x:c r="F12" s="4" t="n">
        <x:v>750</x:v>
      </x:c>
      <x:c r="G12" s="5" t="str">
        <x:f>IF(COUNTA(A12:F12)=0,"",IF(K12&lt;&gt;"","Review",IF(I12&lt;0,"Overdue",IF(I12=0,"Due now",IF(I12&lt;=M12,"Due soon","Not due")))))</x:f>
        <x:v>Review</x:v>
      </x:c>
      <x:c r="H12" s="5" t="str">
        <x:f>IF(OR(COUNTA(A12:F12)=0,COUNTIFS('Rules'!$G$7:$G$26,"="&amp;(SUBSTITUTE(SUBSTITUTE(SUBSTITUTE(SUBSTITUTE("type:"&amp;B12,"%","%25"),"~","%7E"),"*","%2A"),"?","%3F")))&lt;&gt;1),"",IF(OR(INDEX('Rules'!$B$7:$B$26,MATCH(SUBSTITUTE(SUBSTITUTE(SUBSTITUTE(SUBSTITUTE("type:"&amp;B12,"%","%25"),"~","%7E"),"*","%2A"),"?","%3F"),'Rules'!$G$7:$G$26,0))="hours",INDEX('Rules'!$B$7:$B$26,MATCH(SUBSTITUTE(SUBSTITUTE(SUBSTITUTE(SUBSTITUTE("type:"&amp;B12,"%","%25"),"~","%7E"),"*","%2A"),"?","%3F"),'Rules'!$G$7:$G$26,0))="km"),INDEX('Rules'!$B$7:$B$26,MATCH(SUBSTITUTE(SUBSTITUTE(SUBSTITUTE(SUBSTITUTE("type:"&amp;B12,"%","%25"),"~","%7E"),"*","%2A"),"?","%3F"),'Rules'!$G$7:$G$26,0)),""))</x:f>
        <x:v>hours</x:v>
      </x:c>
      <x:c r="I12" s="6" t="str">
        <x:f>IF(AND(NOT(COUNTA(A12:F12)=0),K12=""),ROUND(J12-D12,3),"")</x:f>
      </x:c>
      <x:c r="J12" s="6" t="str">
        <x:f>IF(AND(NOT(COUNTA(A12:F12)=0),K12=""),ROUND(F12+L12,3),"")</x:f>
      </x:c>
      <x:c r="K12" s="5" t="str">
        <x:f>IF(COUNTA(A12:F12)=0,"",IF(A12="","Missing equipment ID",IF(COUNTIFS($N$8:$N$2007,"="&amp;N12)&gt;1,"Duplicate equipment ID",IF(B12="","Missing type",IF(COUNTIFS('Rules'!$G$7:$G$26,"="&amp;(SUBSTITUTE(SUBSTITUTE(SUBSTITUTE(SUBSTITUTE("type:"&amp;B12,"%","%25"),"~","%7E"),"*","%2A"),"?","%3F")))=0,"Unknown type",IF(COUNTIFS('Rules'!$G$7:$G$26,"="&amp;(SUBSTITUTE(SUBSTITUTE(SUBSTITUTE(SUBSTITUTE("type:"&amp;B12,"%","%25"),"~","%7E"),"*","%2A"),"?","%3F")))&gt;1,"Duplicate type",IF(INDEX('Rules'!$F$7:$F$26,MATCH(SUBSTITUTE(SUBSTITUTE(SUBSTITUTE(SUBSTITUTE("type:"&amp;B12,"%","%25"),"~","%7E"),"*","%2A"),"?","%3F"),'Rules'!$G$7:$G$26,0))&lt;&gt;"",INDEX('Rules'!$F$7:$F$26,MATCH(SUBSTITUTE(SUBSTITUTE(SUBSTITUTE(SUBSTITUTE("type:"&amp;B12,"%","%25"),"~","%7E"),"*","%2A"),"?","%3F"),'Rules'!$G$7:$G$26,0)),IF(AND(C12&lt;&gt;"",C12&lt;&gt;INDEX('Rules'!$B$7:$B$26,MATCH(SUBSTITUTE(SUBSTITUTE(SUBSTITUTE(SUBSTITUTE("type:"&amp;B12,"%","%25"),"~","%7E"),"*","%2A"),"?","%3F"),'Rules'!$G$7:$G$26,0))),"Unit mismatch",IF(IF(NOT(ISNUMBER(D12)),TRUE,OR(D12&lt;0,D12&gt;999999999,ROUND(D12,3)&lt;&gt;D12)),"Invalid current reading",IF(AND(E12&lt;&gt;"",IF(NOT(ISNUMBER(E12)),TRUE,OR(E12&lt;0,E12&gt;999999999,ROUND(E12,3)&lt;&gt;E12))),"Invalid previous reading",IF(IF(NOT(ISNUMBER(F12)),TRUE,OR(F12&lt;0,F12&gt;999999999,ROUND(F12,3)&lt;&gt;F12)),"Invalid last service",IF(AND(E12&lt;&gt;"",D12&lt;E12),"Decreased reading",IF(F12&gt;D12,"Last service above current","")))))))))))))</x:f>
        <x:v>Approve rule</x:v>
      </x:c>
      <x:c r="L12" s="6" t="str">
        <x:f>IF(AND(NOT(COUNTA(A12:F12)=0),K12=""),INDEX('Rules'!$C$7:$C$26,MATCH(SUBSTITUTE(SUBSTITUTE(SUBSTITUTE(SUBSTITUTE("type:"&amp;B12,"%","%25"),"~","%7E"),"*","%2A"),"?","%3F"),'Rules'!$G$7:$G$26,0)),"")</x:f>
      </x:c>
      <x:c r="M12" s="6" t="str">
        <x:f>IF(AND(NOT(COUNTA(A12:F12)=0),K12=""),INDEX('Rules'!$D$7:$D$26,MATCH(SUBSTITUTE(SUBSTITUTE(SUBSTITUTE(SUBSTITUTE("type:"&amp;B12,"%","%25"),"~","%7E"),"*","%2A"),"?","%3F"),'Rules'!$G$7:$G$26,0)),"")</x:f>
      </x:c>
      <x:c r="N12" s="5" t="str">
        <x:f>IF(COUNTA(A12:F12)=0,"",SUBSTITUTE(SUBSTITUTE(SUBSTITUTE(SUBSTITUTE("id:"&amp;A12,"%","%25"),"~","%7E"),"*","%2A"),"?","%3F"))</x:f>
        <x:v>id:0005</x:v>
      </x:c>
    </x:row>
    <x:row r="13" ht="22" customHeight="1">
      <x:c r="A13" s="3" t="str">
        <x:v>0006</x:v>
      </x:c>
      <x:c r="B13" s="3" t="str">
        <x:v>TRUCK_EXAMPLE</x:v>
      </x:c>
      <x:c r="C13" s="3"/>
      <x:c r="D13" s="4" t="n">
        <x:v>15000</x:v>
      </x:c>
      <x:c r="E13" s="4" t="n">
        <x:v>14500</x:v>
      </x:c>
      <x:c r="F13" s="4" t="n">
        <x:v>10000</x:v>
      </x:c>
      <x:c r="G13" s="5" t="str">
        <x:f>IF(COUNTA(A13:F13)=0,"",IF(K13&lt;&gt;"","Review",IF(I13&lt;0,"Overdue",IF(I13=0,"Due now",IF(I13&lt;=M13,"Due soon","Not due")))))</x:f>
        <x:v>Review</x:v>
      </x:c>
      <x:c r="H13" s="5" t="str">
        <x:f>IF(OR(COUNTA(A13:F13)=0,COUNTIFS('Rules'!$G$7:$G$26,"="&amp;(SUBSTITUTE(SUBSTITUTE(SUBSTITUTE(SUBSTITUTE("type:"&amp;B13,"%","%25"),"~","%7E"),"*","%2A"),"?","%3F")))&lt;&gt;1),"",IF(OR(INDEX('Rules'!$B$7:$B$26,MATCH(SUBSTITUTE(SUBSTITUTE(SUBSTITUTE(SUBSTITUTE("type:"&amp;B13,"%","%25"),"~","%7E"),"*","%2A"),"?","%3F"),'Rules'!$G$7:$G$26,0))="hours",INDEX('Rules'!$B$7:$B$26,MATCH(SUBSTITUTE(SUBSTITUTE(SUBSTITUTE(SUBSTITUTE("type:"&amp;B13,"%","%25"),"~","%7E"),"*","%2A"),"?","%3F"),'Rules'!$G$7:$G$26,0))="km"),INDEX('Rules'!$B$7:$B$26,MATCH(SUBSTITUTE(SUBSTITUTE(SUBSTITUTE(SUBSTITUTE("type:"&amp;B13,"%","%25"),"~","%7E"),"*","%2A"),"?","%3F"),'Rules'!$G$7:$G$26,0)),""))</x:f>
        <x:v>km</x:v>
      </x:c>
      <x:c r="I13" s="6" t="str">
        <x:f>IF(AND(NOT(COUNTA(A13:F13)=0),K13=""),ROUND(J13-D13,3),"")</x:f>
      </x:c>
      <x:c r="J13" s="6" t="str">
        <x:f>IF(AND(NOT(COUNTA(A13:F13)=0),K13=""),ROUND(F13+L13,3),"")</x:f>
      </x:c>
      <x:c r="K13" s="5" t="str">
        <x:f>IF(COUNTA(A13:F13)=0,"",IF(A13="","Missing equipment ID",IF(COUNTIFS($N$8:$N$2007,"="&amp;N13)&gt;1,"Duplicate equipment ID",IF(B13="","Missing type",IF(COUNTIFS('Rules'!$G$7:$G$26,"="&amp;(SUBSTITUTE(SUBSTITUTE(SUBSTITUTE(SUBSTITUTE("type:"&amp;B13,"%","%25"),"~","%7E"),"*","%2A"),"?","%3F")))=0,"Unknown type",IF(COUNTIFS('Rules'!$G$7:$G$26,"="&amp;(SUBSTITUTE(SUBSTITUTE(SUBSTITUTE(SUBSTITUTE("type:"&amp;B13,"%","%25"),"~","%7E"),"*","%2A"),"?","%3F")))&gt;1,"Duplicate type",IF(INDEX('Rules'!$F$7:$F$26,MATCH(SUBSTITUTE(SUBSTITUTE(SUBSTITUTE(SUBSTITUTE("type:"&amp;B13,"%","%25"),"~","%7E"),"*","%2A"),"?","%3F"),'Rules'!$G$7:$G$26,0))&lt;&gt;"",INDEX('Rules'!$F$7:$F$26,MATCH(SUBSTITUTE(SUBSTITUTE(SUBSTITUTE(SUBSTITUTE("type:"&amp;B13,"%","%25"),"~","%7E"),"*","%2A"),"?","%3F"),'Rules'!$G$7:$G$26,0)),IF(AND(C13&lt;&gt;"",C13&lt;&gt;INDEX('Rules'!$B$7:$B$26,MATCH(SUBSTITUTE(SUBSTITUTE(SUBSTITUTE(SUBSTITUTE("type:"&amp;B13,"%","%25"),"~","%7E"),"*","%2A"),"?","%3F"),'Rules'!$G$7:$G$26,0))),"Unit mismatch",IF(IF(NOT(ISNUMBER(D13)),TRUE,OR(D13&lt;0,D13&gt;999999999,ROUND(D13,3)&lt;&gt;D13)),"Invalid current reading",IF(AND(E13&lt;&gt;"",IF(NOT(ISNUMBER(E13)),TRUE,OR(E13&lt;0,E13&gt;999999999,ROUND(E13,3)&lt;&gt;E13))),"Invalid previous reading",IF(IF(NOT(ISNUMBER(F13)),TRUE,OR(F13&lt;0,F13&gt;999999999,ROUND(F13,3)&lt;&gt;F13)),"Invalid last service",IF(AND(E13&lt;&gt;"",D13&lt;E13),"Decreased reading",IF(F13&gt;D13,"Last service above current","")))))))))))))</x:f>
        <x:v>Approve rule</x:v>
      </x:c>
      <x:c r="L13" s="6" t="str">
        <x:f>IF(AND(NOT(COUNTA(A13:F13)=0),K13=""),INDEX('Rules'!$C$7:$C$26,MATCH(SUBSTITUTE(SUBSTITUTE(SUBSTITUTE(SUBSTITUTE("type:"&amp;B13,"%","%25"),"~","%7E"),"*","%2A"),"?","%3F"),'Rules'!$G$7:$G$26,0)),"")</x:f>
      </x:c>
      <x:c r="M13" s="6" t="str">
        <x:f>IF(AND(NOT(COUNTA(A13:F13)=0),K13=""),INDEX('Rules'!$D$7:$D$26,MATCH(SUBSTITUTE(SUBSTITUTE(SUBSTITUTE(SUBSTITUTE("type:"&amp;B13,"%","%25"),"~","%7E"),"*","%2A"),"?","%3F"),'Rules'!$G$7:$G$26,0)),"")</x:f>
      </x:c>
      <x:c r="N13" s="5" t="str">
        <x:f>IF(COUNTA(A13:F13)=0,"",SUBSTITUTE(SUBSTITUTE(SUBSTITUTE(SUBSTITUTE("id:"&amp;A13,"%","%25"),"~","%7E"),"*","%2A"),"?","%3F"))</x:f>
        <x:v>id:0006</x:v>
      </x:c>
    </x:row>
    <x:row r="14" ht="22" customHeight="1">
      <x:c r="A14" s="3"/>
      <x:c r="B14" s="3"/>
      <x:c r="C14" s="3"/>
      <x:c r="D14" s="4"/>
      <x:c r="E14" s="4"/>
      <x:c r="F14" s="4"/>
      <x:c r="G14" s="5" t="str">
        <x:f>IF(COUNTA(A14:F14)=0,"",IF(K14&lt;&gt;"","Review",IF(I14&lt;0,"Overdue",IF(I14=0,"Due now",IF(I14&lt;=M14,"Due soon","Not due")))))</x:f>
      </x:c>
      <x:c r="H14" s="5" t="str">
        <x:f>IF(OR(COUNTA(A14:F14)=0,COUNTIFS('Rules'!$G$7:$G$26,"="&amp;(SUBSTITUTE(SUBSTITUTE(SUBSTITUTE(SUBSTITUTE("type:"&amp;B14,"%","%25"),"~","%7E"),"*","%2A"),"?","%3F")))&lt;&gt;1),"",IF(OR(INDEX('Rules'!$B$7:$B$26,MATCH(SUBSTITUTE(SUBSTITUTE(SUBSTITUTE(SUBSTITUTE("type:"&amp;B14,"%","%25"),"~","%7E"),"*","%2A"),"?","%3F"),'Rules'!$G$7:$G$26,0))="hours",INDEX('Rules'!$B$7:$B$26,MATCH(SUBSTITUTE(SUBSTITUTE(SUBSTITUTE(SUBSTITUTE("type:"&amp;B14,"%","%25"),"~","%7E"),"*","%2A"),"?","%3F"),'Rules'!$G$7:$G$26,0))="km"),INDEX('Rules'!$B$7:$B$26,MATCH(SUBSTITUTE(SUBSTITUTE(SUBSTITUTE(SUBSTITUTE("type:"&amp;B14,"%","%25"),"~","%7E"),"*","%2A"),"?","%3F"),'Rules'!$G$7:$G$26,0)),""))</x:f>
      </x:c>
      <x:c r="I14" s="6" t="str">
        <x:f>IF(AND(NOT(COUNTA(A14:F14)=0),K14=""),ROUND(J14-D14,3),"")</x:f>
      </x:c>
      <x:c r="J14" s="6" t="str">
        <x:f>IF(AND(NOT(COUNTA(A14:F14)=0),K14=""),ROUND(F14+L14,3),"")</x:f>
      </x:c>
      <x:c r="K14" s="5" t="str">
        <x:f>IF(COUNTA(A14:F14)=0,"",IF(A14="","Missing equipment ID",IF(COUNTIFS($N$8:$N$2007,"="&amp;N14)&gt;1,"Duplicate equipment ID",IF(B14="","Missing type",IF(COUNTIFS('Rules'!$G$7:$G$26,"="&amp;(SUBSTITUTE(SUBSTITUTE(SUBSTITUTE(SUBSTITUTE("type:"&amp;B14,"%","%25"),"~","%7E"),"*","%2A"),"?","%3F")))=0,"Unknown type",IF(COUNTIFS('Rules'!$G$7:$G$26,"="&amp;(SUBSTITUTE(SUBSTITUTE(SUBSTITUTE(SUBSTITUTE("type:"&amp;B14,"%","%25"),"~","%7E"),"*","%2A"),"?","%3F")))&gt;1,"Duplicate type",IF(INDEX('Rules'!$F$7:$F$26,MATCH(SUBSTITUTE(SUBSTITUTE(SUBSTITUTE(SUBSTITUTE("type:"&amp;B14,"%","%25"),"~","%7E"),"*","%2A"),"?","%3F"),'Rules'!$G$7:$G$26,0))&lt;&gt;"",INDEX('Rules'!$F$7:$F$26,MATCH(SUBSTITUTE(SUBSTITUTE(SUBSTITUTE(SUBSTITUTE("type:"&amp;B14,"%","%25"),"~","%7E"),"*","%2A"),"?","%3F"),'Rules'!$G$7:$G$26,0)),IF(AND(C14&lt;&gt;"",C14&lt;&gt;INDEX('Rules'!$B$7:$B$26,MATCH(SUBSTITUTE(SUBSTITUTE(SUBSTITUTE(SUBSTITUTE("type:"&amp;B14,"%","%25"),"~","%7E"),"*","%2A"),"?","%3F"),'Rules'!$G$7:$G$26,0))),"Unit mismatch",IF(IF(NOT(ISNUMBER(D14)),TRUE,OR(D14&lt;0,D14&gt;999999999,ROUND(D14,3)&lt;&gt;D14)),"Invalid current reading",IF(AND(E14&lt;&gt;"",IF(NOT(ISNUMBER(E14)),TRUE,OR(E14&lt;0,E14&gt;999999999,ROUND(E14,3)&lt;&gt;E14))),"Invalid previous reading",IF(IF(NOT(ISNUMBER(F14)),TRUE,OR(F14&lt;0,F14&gt;999999999,ROUND(F14,3)&lt;&gt;F14)),"Invalid last service",IF(AND(E14&lt;&gt;"",D14&lt;E14),"Decreased reading",IF(F14&gt;D14,"Last service above current","")))))))))))))</x:f>
      </x:c>
      <x:c r="L14" s="6" t="str">
        <x:f>IF(AND(NOT(COUNTA(A14:F14)=0),K14=""),INDEX('Rules'!$C$7:$C$26,MATCH(SUBSTITUTE(SUBSTITUTE(SUBSTITUTE(SUBSTITUTE("type:"&amp;B14,"%","%25"),"~","%7E"),"*","%2A"),"?","%3F"),'Rules'!$G$7:$G$26,0)),"")</x:f>
      </x:c>
      <x:c r="M14" s="6" t="str">
        <x:f>IF(AND(NOT(COUNTA(A14:F14)=0),K14=""),INDEX('Rules'!$D$7:$D$26,MATCH(SUBSTITUTE(SUBSTITUTE(SUBSTITUTE(SUBSTITUTE("type:"&amp;B14,"%","%25"),"~","%7E"),"*","%2A"),"?","%3F"),'Rules'!$G$7:$G$26,0)),"")</x:f>
      </x:c>
      <x:c r="N14" s="5" t="str">
        <x:f>IF(COUNTA(A14:F14)=0,"",SUBSTITUTE(SUBSTITUTE(SUBSTITUTE(SUBSTITUTE("id:"&amp;A14,"%","%25"),"~","%7E"),"*","%2A"),"?","%3F"))</x:f>
      </x:c>
    </x:row>
    <x:row r="15" ht="22" customHeight="1">
      <x:c r="A15" s="3"/>
      <x:c r="B15" s="3"/>
      <x:c r="C15" s="3"/>
      <x:c r="D15" s="4"/>
      <x:c r="E15" s="4"/>
      <x:c r="F15" s="4"/>
      <x:c r="G15" s="5" t="str">
        <x:f>IF(COUNTA(A15:F15)=0,"",IF(K15&lt;&gt;"","Review",IF(I15&lt;0,"Overdue",IF(I15=0,"Due now",IF(I15&lt;=M15,"Due soon","Not due")))))</x:f>
      </x:c>
      <x:c r="H15" s="5" t="str">
        <x:f>IF(OR(COUNTA(A15:F15)=0,COUNTIFS('Rules'!$G$7:$G$26,"="&amp;(SUBSTITUTE(SUBSTITUTE(SUBSTITUTE(SUBSTITUTE("type:"&amp;B15,"%","%25"),"~","%7E"),"*","%2A"),"?","%3F")))&lt;&gt;1),"",IF(OR(INDEX('Rules'!$B$7:$B$26,MATCH(SUBSTITUTE(SUBSTITUTE(SUBSTITUTE(SUBSTITUTE("type:"&amp;B15,"%","%25"),"~","%7E"),"*","%2A"),"?","%3F"),'Rules'!$G$7:$G$26,0))="hours",INDEX('Rules'!$B$7:$B$26,MATCH(SUBSTITUTE(SUBSTITUTE(SUBSTITUTE(SUBSTITUTE("type:"&amp;B15,"%","%25"),"~","%7E"),"*","%2A"),"?","%3F"),'Rules'!$G$7:$G$26,0))="km"),INDEX('Rules'!$B$7:$B$26,MATCH(SUBSTITUTE(SUBSTITUTE(SUBSTITUTE(SUBSTITUTE("type:"&amp;B15,"%","%25"),"~","%7E"),"*","%2A"),"?","%3F"),'Rules'!$G$7:$G$26,0)),""))</x:f>
      </x:c>
      <x:c r="I15" s="6" t="str">
        <x:f>IF(AND(NOT(COUNTA(A15:F15)=0),K15=""),ROUND(J15-D15,3),"")</x:f>
      </x:c>
      <x:c r="J15" s="6" t="str">
        <x:f>IF(AND(NOT(COUNTA(A15:F15)=0),K15=""),ROUND(F15+L15,3),"")</x:f>
      </x:c>
      <x:c r="K15" s="5" t="str">
        <x:f>IF(COUNTA(A15:F15)=0,"",IF(A15="","Missing equipment ID",IF(COUNTIFS($N$8:$N$2007,"="&amp;N15)&gt;1,"Duplicate equipment ID",IF(B15="","Missing type",IF(COUNTIFS('Rules'!$G$7:$G$26,"="&amp;(SUBSTITUTE(SUBSTITUTE(SUBSTITUTE(SUBSTITUTE("type:"&amp;B15,"%","%25"),"~","%7E"),"*","%2A"),"?","%3F")))=0,"Unknown type",IF(COUNTIFS('Rules'!$G$7:$G$26,"="&amp;(SUBSTITUTE(SUBSTITUTE(SUBSTITUTE(SUBSTITUTE("type:"&amp;B15,"%","%25"),"~","%7E"),"*","%2A"),"?","%3F")))&gt;1,"Duplicate type",IF(INDEX('Rules'!$F$7:$F$26,MATCH(SUBSTITUTE(SUBSTITUTE(SUBSTITUTE(SUBSTITUTE("type:"&amp;B15,"%","%25"),"~","%7E"),"*","%2A"),"?","%3F"),'Rules'!$G$7:$G$26,0))&lt;&gt;"",INDEX('Rules'!$F$7:$F$26,MATCH(SUBSTITUTE(SUBSTITUTE(SUBSTITUTE(SUBSTITUTE("type:"&amp;B15,"%","%25"),"~","%7E"),"*","%2A"),"?","%3F"),'Rules'!$G$7:$G$26,0)),IF(AND(C15&lt;&gt;"",C15&lt;&gt;INDEX('Rules'!$B$7:$B$26,MATCH(SUBSTITUTE(SUBSTITUTE(SUBSTITUTE(SUBSTITUTE("type:"&amp;B15,"%","%25"),"~","%7E"),"*","%2A"),"?","%3F"),'Rules'!$G$7:$G$26,0))),"Unit mismatch",IF(IF(NOT(ISNUMBER(D15)),TRUE,OR(D15&lt;0,D15&gt;999999999,ROUND(D15,3)&lt;&gt;D15)),"Invalid current reading",IF(AND(E15&lt;&gt;"",IF(NOT(ISNUMBER(E15)),TRUE,OR(E15&lt;0,E15&gt;999999999,ROUND(E15,3)&lt;&gt;E15))),"Invalid previous reading",IF(IF(NOT(ISNUMBER(F15)),TRUE,OR(F15&lt;0,F15&gt;999999999,ROUND(F15,3)&lt;&gt;F15)),"Invalid last service",IF(AND(E15&lt;&gt;"",D15&lt;E15),"Decreased reading",IF(F15&gt;D15,"Last service above current","")))))))))))))</x:f>
      </x:c>
      <x:c r="L15" s="6" t="str">
        <x:f>IF(AND(NOT(COUNTA(A15:F15)=0),K15=""),INDEX('Rules'!$C$7:$C$26,MATCH(SUBSTITUTE(SUBSTITUTE(SUBSTITUTE(SUBSTITUTE("type:"&amp;B15,"%","%25"),"~","%7E"),"*","%2A"),"?","%3F"),'Rules'!$G$7:$G$26,0)),"")</x:f>
      </x:c>
      <x:c r="M15" s="6" t="str">
        <x:f>IF(AND(NOT(COUNTA(A15:F15)=0),K15=""),INDEX('Rules'!$D$7:$D$26,MATCH(SUBSTITUTE(SUBSTITUTE(SUBSTITUTE(SUBSTITUTE("type:"&amp;B15,"%","%25"),"~","%7E"),"*","%2A"),"?","%3F"),'Rules'!$G$7:$G$26,0)),"")</x:f>
      </x:c>
      <x:c r="N15" s="5" t="str">
        <x:f>IF(COUNTA(A15:F15)=0,"",SUBSTITUTE(SUBSTITUTE(SUBSTITUTE(SUBSTITUTE("id:"&amp;A15,"%","%25"),"~","%7E"),"*","%2A"),"?","%3F"))</x:f>
      </x:c>
    </x:row>
    <x:row r="16" ht="22" customHeight="1">
      <x:c r="A16" s="3"/>
      <x:c r="B16" s="3"/>
      <x:c r="C16" s="3"/>
      <x:c r="D16" s="4"/>
      <x:c r="E16" s="4"/>
      <x:c r="F16" s="4"/>
      <x:c r="G16" s="5" t="str">
        <x:f>IF(COUNTA(A16:F16)=0,"",IF(K16&lt;&gt;"","Review",IF(I16&lt;0,"Overdue",IF(I16=0,"Due now",IF(I16&lt;=M16,"Due soon","Not due")))))</x:f>
      </x:c>
      <x:c r="H16" s="5" t="str">
        <x:f>IF(OR(COUNTA(A16:F16)=0,COUNTIFS('Rules'!$G$7:$G$26,"="&amp;(SUBSTITUTE(SUBSTITUTE(SUBSTITUTE(SUBSTITUTE("type:"&amp;B16,"%","%25"),"~","%7E"),"*","%2A"),"?","%3F")))&lt;&gt;1),"",IF(OR(INDEX('Rules'!$B$7:$B$26,MATCH(SUBSTITUTE(SUBSTITUTE(SUBSTITUTE(SUBSTITUTE("type:"&amp;B16,"%","%25"),"~","%7E"),"*","%2A"),"?","%3F"),'Rules'!$G$7:$G$26,0))="hours",INDEX('Rules'!$B$7:$B$26,MATCH(SUBSTITUTE(SUBSTITUTE(SUBSTITUTE(SUBSTITUTE("type:"&amp;B16,"%","%25"),"~","%7E"),"*","%2A"),"?","%3F"),'Rules'!$G$7:$G$26,0))="km"),INDEX('Rules'!$B$7:$B$26,MATCH(SUBSTITUTE(SUBSTITUTE(SUBSTITUTE(SUBSTITUTE("type:"&amp;B16,"%","%25"),"~","%7E"),"*","%2A"),"?","%3F"),'Rules'!$G$7:$G$26,0)),""))</x:f>
      </x:c>
      <x:c r="I16" s="6" t="str">
        <x:f>IF(AND(NOT(COUNTA(A16:F16)=0),K16=""),ROUND(J16-D16,3),"")</x:f>
      </x:c>
      <x:c r="J16" s="6" t="str">
        <x:f>IF(AND(NOT(COUNTA(A16:F16)=0),K16=""),ROUND(F16+L16,3),"")</x:f>
      </x:c>
      <x:c r="K16" s="5" t="str">
        <x:f>IF(COUNTA(A16:F16)=0,"",IF(A16="","Missing equipment ID",IF(COUNTIFS($N$8:$N$2007,"="&amp;N16)&gt;1,"Duplicate equipment ID",IF(B16="","Missing type",IF(COUNTIFS('Rules'!$G$7:$G$26,"="&amp;(SUBSTITUTE(SUBSTITUTE(SUBSTITUTE(SUBSTITUTE("type:"&amp;B16,"%","%25"),"~","%7E"),"*","%2A"),"?","%3F")))=0,"Unknown type",IF(COUNTIFS('Rules'!$G$7:$G$26,"="&amp;(SUBSTITUTE(SUBSTITUTE(SUBSTITUTE(SUBSTITUTE("type:"&amp;B16,"%","%25"),"~","%7E"),"*","%2A"),"?","%3F")))&gt;1,"Duplicate type",IF(INDEX('Rules'!$F$7:$F$26,MATCH(SUBSTITUTE(SUBSTITUTE(SUBSTITUTE(SUBSTITUTE("type:"&amp;B16,"%","%25"),"~","%7E"),"*","%2A"),"?","%3F"),'Rules'!$G$7:$G$26,0))&lt;&gt;"",INDEX('Rules'!$F$7:$F$26,MATCH(SUBSTITUTE(SUBSTITUTE(SUBSTITUTE(SUBSTITUTE("type:"&amp;B16,"%","%25"),"~","%7E"),"*","%2A"),"?","%3F"),'Rules'!$G$7:$G$26,0)),IF(AND(C16&lt;&gt;"",C16&lt;&gt;INDEX('Rules'!$B$7:$B$26,MATCH(SUBSTITUTE(SUBSTITUTE(SUBSTITUTE(SUBSTITUTE("type:"&amp;B16,"%","%25"),"~","%7E"),"*","%2A"),"?","%3F"),'Rules'!$G$7:$G$26,0))),"Unit mismatch",IF(IF(NOT(ISNUMBER(D16)),TRUE,OR(D16&lt;0,D16&gt;999999999,ROUND(D16,3)&lt;&gt;D16)),"Invalid current reading",IF(AND(E16&lt;&gt;"",IF(NOT(ISNUMBER(E16)),TRUE,OR(E16&lt;0,E16&gt;999999999,ROUND(E16,3)&lt;&gt;E16))),"Invalid previous reading",IF(IF(NOT(ISNUMBER(F16)),TRUE,OR(F16&lt;0,F16&gt;999999999,ROUND(F16,3)&lt;&gt;F16)),"Invalid last service",IF(AND(E16&lt;&gt;"",D16&lt;E16),"Decreased reading",IF(F16&gt;D16,"Last service above current","")))))))))))))</x:f>
      </x:c>
      <x:c r="L16" s="6" t="str">
        <x:f>IF(AND(NOT(COUNTA(A16:F16)=0),K16=""),INDEX('Rules'!$C$7:$C$26,MATCH(SUBSTITUTE(SUBSTITUTE(SUBSTITUTE(SUBSTITUTE("type:"&amp;B16,"%","%25"),"~","%7E"),"*","%2A"),"?","%3F"),'Rules'!$G$7:$G$26,0)),"")</x:f>
      </x:c>
      <x:c r="M16" s="6" t="str">
        <x:f>IF(AND(NOT(COUNTA(A16:F16)=0),K16=""),INDEX('Rules'!$D$7:$D$26,MATCH(SUBSTITUTE(SUBSTITUTE(SUBSTITUTE(SUBSTITUTE("type:"&amp;B16,"%","%25"),"~","%7E"),"*","%2A"),"?","%3F"),'Rules'!$G$7:$G$26,0)),"")</x:f>
      </x:c>
      <x:c r="N16" s="5" t="str">
        <x:f>IF(COUNTA(A16:F16)=0,"",SUBSTITUTE(SUBSTITUTE(SUBSTITUTE(SUBSTITUTE("id:"&amp;A16,"%","%25"),"~","%7E"),"*","%2A"),"?","%3F"))</x:f>
      </x:c>
    </x:row>
    <x:row r="17" ht="22" customHeight="1">
      <x:c r="A17" s="3"/>
      <x:c r="B17" s="3"/>
      <x:c r="C17" s="3"/>
      <x:c r="D17" s="4"/>
      <x:c r="E17" s="4"/>
      <x:c r="F17" s="4"/>
      <x:c r="G17" s="5" t="str">
        <x:f>IF(COUNTA(A17:F17)=0,"",IF(K17&lt;&gt;"","Review",IF(I17&lt;0,"Overdue",IF(I17=0,"Due now",IF(I17&lt;=M17,"Due soon","Not due")))))</x:f>
      </x:c>
      <x:c r="H17" s="5" t="str">
        <x:f>IF(OR(COUNTA(A17:F17)=0,COUNTIFS('Rules'!$G$7:$G$26,"="&amp;(SUBSTITUTE(SUBSTITUTE(SUBSTITUTE(SUBSTITUTE("type:"&amp;B17,"%","%25"),"~","%7E"),"*","%2A"),"?","%3F")))&lt;&gt;1),"",IF(OR(INDEX('Rules'!$B$7:$B$26,MATCH(SUBSTITUTE(SUBSTITUTE(SUBSTITUTE(SUBSTITUTE("type:"&amp;B17,"%","%25"),"~","%7E"),"*","%2A"),"?","%3F"),'Rules'!$G$7:$G$26,0))="hours",INDEX('Rules'!$B$7:$B$26,MATCH(SUBSTITUTE(SUBSTITUTE(SUBSTITUTE(SUBSTITUTE("type:"&amp;B17,"%","%25"),"~","%7E"),"*","%2A"),"?","%3F"),'Rules'!$G$7:$G$26,0))="km"),INDEX('Rules'!$B$7:$B$26,MATCH(SUBSTITUTE(SUBSTITUTE(SUBSTITUTE(SUBSTITUTE("type:"&amp;B17,"%","%25"),"~","%7E"),"*","%2A"),"?","%3F"),'Rules'!$G$7:$G$26,0)),""))</x:f>
      </x:c>
      <x:c r="I17" s="6" t="str">
        <x:f>IF(AND(NOT(COUNTA(A17:F17)=0),K17=""),ROUND(J17-D17,3),"")</x:f>
      </x:c>
      <x:c r="J17" s="6" t="str">
        <x:f>IF(AND(NOT(COUNTA(A17:F17)=0),K17=""),ROUND(F17+L17,3),"")</x:f>
      </x:c>
      <x:c r="K17" s="5" t="str">
        <x:f>IF(COUNTA(A17:F17)=0,"",IF(A17="","Missing equipment ID",IF(COUNTIFS($N$8:$N$2007,"="&amp;N17)&gt;1,"Duplicate equipment ID",IF(B17="","Missing type",IF(COUNTIFS('Rules'!$G$7:$G$26,"="&amp;(SUBSTITUTE(SUBSTITUTE(SUBSTITUTE(SUBSTITUTE("type:"&amp;B17,"%","%25"),"~","%7E"),"*","%2A"),"?","%3F")))=0,"Unknown type",IF(COUNTIFS('Rules'!$G$7:$G$26,"="&amp;(SUBSTITUTE(SUBSTITUTE(SUBSTITUTE(SUBSTITUTE("type:"&amp;B17,"%","%25"),"~","%7E"),"*","%2A"),"?","%3F")))&gt;1,"Duplicate type",IF(INDEX('Rules'!$F$7:$F$26,MATCH(SUBSTITUTE(SUBSTITUTE(SUBSTITUTE(SUBSTITUTE("type:"&amp;B17,"%","%25"),"~","%7E"),"*","%2A"),"?","%3F"),'Rules'!$G$7:$G$26,0))&lt;&gt;"",INDEX('Rules'!$F$7:$F$26,MATCH(SUBSTITUTE(SUBSTITUTE(SUBSTITUTE(SUBSTITUTE("type:"&amp;B17,"%","%25"),"~","%7E"),"*","%2A"),"?","%3F"),'Rules'!$G$7:$G$26,0)),IF(AND(C17&lt;&gt;"",C17&lt;&gt;INDEX('Rules'!$B$7:$B$26,MATCH(SUBSTITUTE(SUBSTITUTE(SUBSTITUTE(SUBSTITUTE("type:"&amp;B17,"%","%25"),"~","%7E"),"*","%2A"),"?","%3F"),'Rules'!$G$7:$G$26,0))),"Unit mismatch",IF(IF(NOT(ISNUMBER(D17)),TRUE,OR(D17&lt;0,D17&gt;999999999,ROUND(D17,3)&lt;&gt;D17)),"Invalid current reading",IF(AND(E17&lt;&gt;"",IF(NOT(ISNUMBER(E17)),TRUE,OR(E17&lt;0,E17&gt;999999999,ROUND(E17,3)&lt;&gt;E17))),"Invalid previous reading",IF(IF(NOT(ISNUMBER(F17)),TRUE,OR(F17&lt;0,F17&gt;999999999,ROUND(F17,3)&lt;&gt;F17)),"Invalid last service",IF(AND(E17&lt;&gt;"",D17&lt;E17),"Decreased reading",IF(F17&gt;D17,"Last service above current","")))))))))))))</x:f>
      </x:c>
      <x:c r="L17" s="6" t="str">
        <x:f>IF(AND(NOT(COUNTA(A17:F17)=0),K17=""),INDEX('Rules'!$C$7:$C$26,MATCH(SUBSTITUTE(SUBSTITUTE(SUBSTITUTE(SUBSTITUTE("type:"&amp;B17,"%","%25"),"~","%7E"),"*","%2A"),"?","%3F"),'Rules'!$G$7:$G$26,0)),"")</x:f>
      </x:c>
      <x:c r="M17" s="6" t="str">
        <x:f>IF(AND(NOT(COUNTA(A17:F17)=0),K17=""),INDEX('Rules'!$D$7:$D$26,MATCH(SUBSTITUTE(SUBSTITUTE(SUBSTITUTE(SUBSTITUTE("type:"&amp;B17,"%","%25"),"~","%7E"),"*","%2A"),"?","%3F"),'Rules'!$G$7:$G$26,0)),"")</x:f>
      </x:c>
      <x:c r="N17" s="5" t="str">
        <x:f>IF(COUNTA(A17:F17)=0,"",SUBSTITUTE(SUBSTITUTE(SUBSTITUTE(SUBSTITUTE("id:"&amp;A17,"%","%25"),"~","%7E"),"*","%2A"),"?","%3F"))</x:f>
      </x:c>
    </x:row>
    <x:row r="18" ht="22" customHeight="1">
      <x:c r="A18" s="3"/>
      <x:c r="B18" s="3"/>
      <x:c r="C18" s="3"/>
      <x:c r="D18" s="4"/>
      <x:c r="E18" s="4"/>
      <x:c r="F18" s="4"/>
      <x:c r="G18" s="5" t="str">
        <x:f>IF(COUNTA(A18:F18)=0,"",IF(K18&lt;&gt;"","Review",IF(I18&lt;0,"Overdue",IF(I18=0,"Due now",IF(I18&lt;=M18,"Due soon","Not due")))))</x:f>
      </x:c>
      <x:c r="H18" s="5" t="str">
        <x:f>IF(OR(COUNTA(A18:F18)=0,COUNTIFS('Rules'!$G$7:$G$26,"="&amp;(SUBSTITUTE(SUBSTITUTE(SUBSTITUTE(SUBSTITUTE("type:"&amp;B18,"%","%25"),"~","%7E"),"*","%2A"),"?","%3F")))&lt;&gt;1),"",IF(OR(INDEX('Rules'!$B$7:$B$26,MATCH(SUBSTITUTE(SUBSTITUTE(SUBSTITUTE(SUBSTITUTE("type:"&amp;B18,"%","%25"),"~","%7E"),"*","%2A"),"?","%3F"),'Rules'!$G$7:$G$26,0))="hours",INDEX('Rules'!$B$7:$B$26,MATCH(SUBSTITUTE(SUBSTITUTE(SUBSTITUTE(SUBSTITUTE("type:"&amp;B18,"%","%25"),"~","%7E"),"*","%2A"),"?","%3F"),'Rules'!$G$7:$G$26,0))="km"),INDEX('Rules'!$B$7:$B$26,MATCH(SUBSTITUTE(SUBSTITUTE(SUBSTITUTE(SUBSTITUTE("type:"&amp;B18,"%","%25"),"~","%7E"),"*","%2A"),"?","%3F"),'Rules'!$G$7:$G$26,0)),""))</x:f>
      </x:c>
      <x:c r="I18" s="6" t="str">
        <x:f>IF(AND(NOT(COUNTA(A18:F18)=0),K18=""),ROUND(J18-D18,3),"")</x:f>
      </x:c>
      <x:c r="J18" s="6" t="str">
        <x:f>IF(AND(NOT(COUNTA(A18:F18)=0),K18=""),ROUND(F18+L18,3),"")</x:f>
      </x:c>
      <x:c r="K18" s="5" t="str">
        <x:f>IF(COUNTA(A18:F18)=0,"",IF(A18="","Missing equipment ID",IF(COUNTIFS($N$8:$N$2007,"="&amp;N18)&gt;1,"Duplicate equipment ID",IF(B18="","Missing type",IF(COUNTIFS('Rules'!$G$7:$G$26,"="&amp;(SUBSTITUTE(SUBSTITUTE(SUBSTITUTE(SUBSTITUTE("type:"&amp;B18,"%","%25"),"~","%7E"),"*","%2A"),"?","%3F")))=0,"Unknown type",IF(COUNTIFS('Rules'!$G$7:$G$26,"="&amp;(SUBSTITUTE(SUBSTITUTE(SUBSTITUTE(SUBSTITUTE("type:"&amp;B18,"%","%25"),"~","%7E"),"*","%2A"),"?","%3F")))&gt;1,"Duplicate type",IF(INDEX('Rules'!$F$7:$F$26,MATCH(SUBSTITUTE(SUBSTITUTE(SUBSTITUTE(SUBSTITUTE("type:"&amp;B18,"%","%25"),"~","%7E"),"*","%2A"),"?","%3F"),'Rules'!$G$7:$G$26,0))&lt;&gt;"",INDEX('Rules'!$F$7:$F$26,MATCH(SUBSTITUTE(SUBSTITUTE(SUBSTITUTE(SUBSTITUTE("type:"&amp;B18,"%","%25"),"~","%7E"),"*","%2A"),"?","%3F"),'Rules'!$G$7:$G$26,0)),IF(AND(C18&lt;&gt;"",C18&lt;&gt;INDEX('Rules'!$B$7:$B$26,MATCH(SUBSTITUTE(SUBSTITUTE(SUBSTITUTE(SUBSTITUTE("type:"&amp;B18,"%","%25"),"~","%7E"),"*","%2A"),"?","%3F"),'Rules'!$G$7:$G$26,0))),"Unit mismatch",IF(IF(NOT(ISNUMBER(D18)),TRUE,OR(D18&lt;0,D18&gt;999999999,ROUND(D18,3)&lt;&gt;D18)),"Invalid current reading",IF(AND(E18&lt;&gt;"",IF(NOT(ISNUMBER(E18)),TRUE,OR(E18&lt;0,E18&gt;999999999,ROUND(E18,3)&lt;&gt;E18))),"Invalid previous reading",IF(IF(NOT(ISNUMBER(F18)),TRUE,OR(F18&lt;0,F18&gt;999999999,ROUND(F18,3)&lt;&gt;F18)),"Invalid last service",IF(AND(E18&lt;&gt;"",D18&lt;E18),"Decreased reading",IF(F18&gt;D18,"Last service above current","")))))))))))))</x:f>
      </x:c>
      <x:c r="L18" s="6" t="str">
        <x:f>IF(AND(NOT(COUNTA(A18:F18)=0),K18=""),INDEX('Rules'!$C$7:$C$26,MATCH(SUBSTITUTE(SUBSTITUTE(SUBSTITUTE(SUBSTITUTE("type:"&amp;B18,"%","%25"),"~","%7E"),"*","%2A"),"?","%3F"),'Rules'!$G$7:$G$26,0)),"")</x:f>
      </x:c>
      <x:c r="M18" s="6" t="str">
        <x:f>IF(AND(NOT(COUNTA(A18:F18)=0),K18=""),INDEX('Rules'!$D$7:$D$26,MATCH(SUBSTITUTE(SUBSTITUTE(SUBSTITUTE(SUBSTITUTE("type:"&amp;B18,"%","%25"),"~","%7E"),"*","%2A"),"?","%3F"),'Rules'!$G$7:$G$26,0)),"")</x:f>
      </x:c>
      <x:c r="N18" s="5" t="str">
        <x:f>IF(COUNTA(A18:F18)=0,"",SUBSTITUTE(SUBSTITUTE(SUBSTITUTE(SUBSTITUTE("id:"&amp;A18,"%","%25"),"~","%7E"),"*","%2A"),"?","%3F"))</x:f>
      </x:c>
    </x:row>
    <x:row r="19" ht="22" customHeight="1">
      <x:c r="A19" s="3"/>
      <x:c r="B19" s="3"/>
      <x:c r="C19" s="3"/>
      <x:c r="D19" s="4"/>
      <x:c r="E19" s="4"/>
      <x:c r="F19" s="4"/>
      <x:c r="G19" s="5" t="str">
        <x:f>IF(COUNTA(A19:F19)=0,"",IF(K19&lt;&gt;"","Review",IF(I19&lt;0,"Overdue",IF(I19=0,"Due now",IF(I19&lt;=M19,"Due soon","Not due")))))</x:f>
      </x:c>
      <x:c r="H19" s="5" t="str">
        <x:f>IF(OR(COUNTA(A19:F19)=0,COUNTIFS('Rules'!$G$7:$G$26,"="&amp;(SUBSTITUTE(SUBSTITUTE(SUBSTITUTE(SUBSTITUTE("type:"&amp;B19,"%","%25"),"~","%7E"),"*","%2A"),"?","%3F")))&lt;&gt;1),"",IF(OR(INDEX('Rules'!$B$7:$B$26,MATCH(SUBSTITUTE(SUBSTITUTE(SUBSTITUTE(SUBSTITUTE("type:"&amp;B19,"%","%25"),"~","%7E"),"*","%2A"),"?","%3F"),'Rules'!$G$7:$G$26,0))="hours",INDEX('Rules'!$B$7:$B$26,MATCH(SUBSTITUTE(SUBSTITUTE(SUBSTITUTE(SUBSTITUTE("type:"&amp;B19,"%","%25"),"~","%7E"),"*","%2A"),"?","%3F"),'Rules'!$G$7:$G$26,0))="km"),INDEX('Rules'!$B$7:$B$26,MATCH(SUBSTITUTE(SUBSTITUTE(SUBSTITUTE(SUBSTITUTE("type:"&amp;B19,"%","%25"),"~","%7E"),"*","%2A"),"?","%3F"),'Rules'!$G$7:$G$26,0)),""))</x:f>
      </x:c>
      <x:c r="I19" s="6" t="str">
        <x:f>IF(AND(NOT(COUNTA(A19:F19)=0),K19=""),ROUND(J19-D19,3),"")</x:f>
      </x:c>
      <x:c r="J19" s="6" t="str">
        <x:f>IF(AND(NOT(COUNTA(A19:F19)=0),K19=""),ROUND(F19+L19,3),"")</x:f>
      </x:c>
      <x:c r="K19" s="5" t="str">
        <x:f>IF(COUNTA(A19:F19)=0,"",IF(A19="","Missing equipment ID",IF(COUNTIFS($N$8:$N$2007,"="&amp;N19)&gt;1,"Duplicate equipment ID",IF(B19="","Missing type",IF(COUNTIFS('Rules'!$G$7:$G$26,"="&amp;(SUBSTITUTE(SUBSTITUTE(SUBSTITUTE(SUBSTITUTE("type:"&amp;B19,"%","%25"),"~","%7E"),"*","%2A"),"?","%3F")))=0,"Unknown type",IF(COUNTIFS('Rules'!$G$7:$G$26,"="&amp;(SUBSTITUTE(SUBSTITUTE(SUBSTITUTE(SUBSTITUTE("type:"&amp;B19,"%","%25"),"~","%7E"),"*","%2A"),"?","%3F")))&gt;1,"Duplicate type",IF(INDEX('Rules'!$F$7:$F$26,MATCH(SUBSTITUTE(SUBSTITUTE(SUBSTITUTE(SUBSTITUTE("type:"&amp;B19,"%","%25"),"~","%7E"),"*","%2A"),"?","%3F"),'Rules'!$G$7:$G$26,0))&lt;&gt;"",INDEX('Rules'!$F$7:$F$26,MATCH(SUBSTITUTE(SUBSTITUTE(SUBSTITUTE(SUBSTITUTE("type:"&amp;B19,"%","%25"),"~","%7E"),"*","%2A"),"?","%3F"),'Rules'!$G$7:$G$26,0)),IF(AND(C19&lt;&gt;"",C19&lt;&gt;INDEX('Rules'!$B$7:$B$26,MATCH(SUBSTITUTE(SUBSTITUTE(SUBSTITUTE(SUBSTITUTE("type:"&amp;B19,"%","%25"),"~","%7E"),"*","%2A"),"?","%3F"),'Rules'!$G$7:$G$26,0))),"Unit mismatch",IF(IF(NOT(ISNUMBER(D19)),TRUE,OR(D19&lt;0,D19&gt;999999999,ROUND(D19,3)&lt;&gt;D19)),"Invalid current reading",IF(AND(E19&lt;&gt;"",IF(NOT(ISNUMBER(E19)),TRUE,OR(E19&lt;0,E19&gt;999999999,ROUND(E19,3)&lt;&gt;E19))),"Invalid previous reading",IF(IF(NOT(ISNUMBER(F19)),TRUE,OR(F19&lt;0,F19&gt;999999999,ROUND(F19,3)&lt;&gt;F19)),"Invalid last service",IF(AND(E19&lt;&gt;"",D19&lt;E19),"Decreased reading",IF(F19&gt;D19,"Last service above current","")))))))))))))</x:f>
      </x:c>
      <x:c r="L19" s="6" t="str">
        <x:f>IF(AND(NOT(COUNTA(A19:F19)=0),K19=""),INDEX('Rules'!$C$7:$C$26,MATCH(SUBSTITUTE(SUBSTITUTE(SUBSTITUTE(SUBSTITUTE("type:"&amp;B19,"%","%25"),"~","%7E"),"*","%2A"),"?","%3F"),'Rules'!$G$7:$G$26,0)),"")</x:f>
      </x:c>
      <x:c r="M19" s="6" t="str">
        <x:f>IF(AND(NOT(COUNTA(A19:F19)=0),K19=""),INDEX('Rules'!$D$7:$D$26,MATCH(SUBSTITUTE(SUBSTITUTE(SUBSTITUTE(SUBSTITUTE("type:"&amp;B19,"%","%25"),"~","%7E"),"*","%2A"),"?","%3F"),'Rules'!$G$7:$G$26,0)),"")</x:f>
      </x:c>
      <x:c r="N19" s="5" t="str">
        <x:f>IF(COUNTA(A19:F19)=0,"",SUBSTITUTE(SUBSTITUTE(SUBSTITUTE(SUBSTITUTE("id:"&amp;A19,"%","%25"),"~","%7E"),"*","%2A"),"?","%3F"))</x:f>
      </x:c>
    </x:row>
    <x:row r="20" ht="22" customHeight="1">
      <x:c r="A20" s="3"/>
      <x:c r="B20" s="3"/>
      <x:c r="C20" s="3"/>
      <x:c r="D20" s="4"/>
      <x:c r="E20" s="4"/>
      <x:c r="F20" s="4"/>
      <x:c r="G20" s="5" t="str">
        <x:f>IF(COUNTA(A20:F20)=0,"",IF(K20&lt;&gt;"","Review",IF(I20&lt;0,"Overdue",IF(I20=0,"Due now",IF(I20&lt;=M20,"Due soon","Not due")))))</x:f>
      </x:c>
      <x:c r="H20" s="5" t="str">
        <x:f>IF(OR(COUNTA(A20:F20)=0,COUNTIFS('Rules'!$G$7:$G$26,"="&amp;(SUBSTITUTE(SUBSTITUTE(SUBSTITUTE(SUBSTITUTE("type:"&amp;B20,"%","%25"),"~","%7E"),"*","%2A"),"?","%3F")))&lt;&gt;1),"",IF(OR(INDEX('Rules'!$B$7:$B$26,MATCH(SUBSTITUTE(SUBSTITUTE(SUBSTITUTE(SUBSTITUTE("type:"&amp;B20,"%","%25"),"~","%7E"),"*","%2A"),"?","%3F"),'Rules'!$G$7:$G$26,0))="hours",INDEX('Rules'!$B$7:$B$26,MATCH(SUBSTITUTE(SUBSTITUTE(SUBSTITUTE(SUBSTITUTE("type:"&amp;B20,"%","%25"),"~","%7E"),"*","%2A"),"?","%3F"),'Rules'!$G$7:$G$26,0))="km"),INDEX('Rules'!$B$7:$B$26,MATCH(SUBSTITUTE(SUBSTITUTE(SUBSTITUTE(SUBSTITUTE("type:"&amp;B20,"%","%25"),"~","%7E"),"*","%2A"),"?","%3F"),'Rules'!$G$7:$G$26,0)),""))</x:f>
      </x:c>
      <x:c r="I20" s="6" t="str">
        <x:f>IF(AND(NOT(COUNTA(A20:F20)=0),K20=""),ROUND(J20-D20,3),"")</x:f>
      </x:c>
      <x:c r="J20" s="6" t="str">
        <x:f>IF(AND(NOT(COUNTA(A20:F20)=0),K20=""),ROUND(F20+L20,3),"")</x:f>
      </x:c>
      <x:c r="K20" s="5" t="str">
        <x:f>IF(COUNTA(A20:F20)=0,"",IF(A20="","Missing equipment ID",IF(COUNTIFS($N$8:$N$2007,"="&amp;N20)&gt;1,"Duplicate equipment ID",IF(B20="","Missing type",IF(COUNTIFS('Rules'!$G$7:$G$26,"="&amp;(SUBSTITUTE(SUBSTITUTE(SUBSTITUTE(SUBSTITUTE("type:"&amp;B20,"%","%25"),"~","%7E"),"*","%2A"),"?","%3F")))=0,"Unknown type",IF(COUNTIFS('Rules'!$G$7:$G$26,"="&amp;(SUBSTITUTE(SUBSTITUTE(SUBSTITUTE(SUBSTITUTE("type:"&amp;B20,"%","%25"),"~","%7E"),"*","%2A"),"?","%3F")))&gt;1,"Duplicate type",IF(INDEX('Rules'!$F$7:$F$26,MATCH(SUBSTITUTE(SUBSTITUTE(SUBSTITUTE(SUBSTITUTE("type:"&amp;B20,"%","%25"),"~","%7E"),"*","%2A"),"?","%3F"),'Rules'!$G$7:$G$26,0))&lt;&gt;"",INDEX('Rules'!$F$7:$F$26,MATCH(SUBSTITUTE(SUBSTITUTE(SUBSTITUTE(SUBSTITUTE("type:"&amp;B20,"%","%25"),"~","%7E"),"*","%2A"),"?","%3F"),'Rules'!$G$7:$G$26,0)),IF(AND(C20&lt;&gt;"",C20&lt;&gt;INDEX('Rules'!$B$7:$B$26,MATCH(SUBSTITUTE(SUBSTITUTE(SUBSTITUTE(SUBSTITUTE("type:"&amp;B20,"%","%25"),"~","%7E"),"*","%2A"),"?","%3F"),'Rules'!$G$7:$G$26,0))),"Unit mismatch",IF(IF(NOT(ISNUMBER(D20)),TRUE,OR(D20&lt;0,D20&gt;999999999,ROUND(D20,3)&lt;&gt;D20)),"Invalid current reading",IF(AND(E20&lt;&gt;"",IF(NOT(ISNUMBER(E20)),TRUE,OR(E20&lt;0,E20&gt;999999999,ROUND(E20,3)&lt;&gt;E20))),"Invalid previous reading",IF(IF(NOT(ISNUMBER(F20)),TRUE,OR(F20&lt;0,F20&gt;999999999,ROUND(F20,3)&lt;&gt;F20)),"Invalid last service",IF(AND(E20&lt;&gt;"",D20&lt;E20),"Decreased reading",IF(F20&gt;D20,"Last service above current","")))))))))))))</x:f>
      </x:c>
      <x:c r="L20" s="6" t="str">
        <x:f>IF(AND(NOT(COUNTA(A20:F20)=0),K20=""),INDEX('Rules'!$C$7:$C$26,MATCH(SUBSTITUTE(SUBSTITUTE(SUBSTITUTE(SUBSTITUTE("type:"&amp;B20,"%","%25"),"~","%7E"),"*","%2A"),"?","%3F"),'Rules'!$G$7:$G$26,0)),"")</x:f>
      </x:c>
      <x:c r="M20" s="6" t="str">
        <x:f>IF(AND(NOT(COUNTA(A20:F20)=0),K20=""),INDEX('Rules'!$D$7:$D$26,MATCH(SUBSTITUTE(SUBSTITUTE(SUBSTITUTE(SUBSTITUTE("type:"&amp;B20,"%","%25"),"~","%7E"),"*","%2A"),"?","%3F"),'Rules'!$G$7:$G$26,0)),"")</x:f>
      </x:c>
      <x:c r="N20" s="5" t="str">
        <x:f>IF(COUNTA(A20:F20)=0,"",SUBSTITUTE(SUBSTITUTE(SUBSTITUTE(SUBSTITUTE("id:"&amp;A20,"%","%25"),"~","%7E"),"*","%2A"),"?","%3F"))</x:f>
      </x:c>
    </x:row>
    <x:row r="21" ht="22" customHeight="1">
      <x:c r="A21" s="3"/>
      <x:c r="B21" s="3"/>
      <x:c r="C21" s="3"/>
      <x:c r="D21" s="4"/>
      <x:c r="E21" s="4"/>
      <x:c r="F21" s="4"/>
      <x:c r="G21" s="5" t="str">
        <x:f>IF(COUNTA(A21:F21)=0,"",IF(K21&lt;&gt;"","Review",IF(I21&lt;0,"Overdue",IF(I21=0,"Due now",IF(I21&lt;=M21,"Due soon","Not due")))))</x:f>
      </x:c>
      <x:c r="H21" s="5" t="str">
        <x:f>IF(OR(COUNTA(A21:F21)=0,COUNTIFS('Rules'!$G$7:$G$26,"="&amp;(SUBSTITUTE(SUBSTITUTE(SUBSTITUTE(SUBSTITUTE("type:"&amp;B21,"%","%25"),"~","%7E"),"*","%2A"),"?","%3F")))&lt;&gt;1),"",IF(OR(INDEX('Rules'!$B$7:$B$26,MATCH(SUBSTITUTE(SUBSTITUTE(SUBSTITUTE(SUBSTITUTE("type:"&amp;B21,"%","%25"),"~","%7E"),"*","%2A"),"?","%3F"),'Rules'!$G$7:$G$26,0))="hours",INDEX('Rules'!$B$7:$B$26,MATCH(SUBSTITUTE(SUBSTITUTE(SUBSTITUTE(SUBSTITUTE("type:"&amp;B21,"%","%25"),"~","%7E"),"*","%2A"),"?","%3F"),'Rules'!$G$7:$G$26,0))="km"),INDEX('Rules'!$B$7:$B$26,MATCH(SUBSTITUTE(SUBSTITUTE(SUBSTITUTE(SUBSTITUTE("type:"&amp;B21,"%","%25"),"~","%7E"),"*","%2A"),"?","%3F"),'Rules'!$G$7:$G$26,0)),""))</x:f>
      </x:c>
      <x:c r="I21" s="6" t="str">
        <x:f>IF(AND(NOT(COUNTA(A21:F21)=0),K21=""),ROUND(J21-D21,3),"")</x:f>
      </x:c>
      <x:c r="J21" s="6" t="str">
        <x:f>IF(AND(NOT(COUNTA(A21:F21)=0),K21=""),ROUND(F21+L21,3),"")</x:f>
      </x:c>
      <x:c r="K21" s="5" t="str">
        <x:f>IF(COUNTA(A21:F21)=0,"",IF(A21="","Missing equipment ID",IF(COUNTIFS($N$8:$N$2007,"="&amp;N21)&gt;1,"Duplicate equipment ID",IF(B21="","Missing type",IF(COUNTIFS('Rules'!$G$7:$G$26,"="&amp;(SUBSTITUTE(SUBSTITUTE(SUBSTITUTE(SUBSTITUTE("type:"&amp;B21,"%","%25"),"~","%7E"),"*","%2A"),"?","%3F")))=0,"Unknown type",IF(COUNTIFS('Rules'!$G$7:$G$26,"="&amp;(SUBSTITUTE(SUBSTITUTE(SUBSTITUTE(SUBSTITUTE("type:"&amp;B21,"%","%25"),"~","%7E"),"*","%2A"),"?","%3F")))&gt;1,"Duplicate type",IF(INDEX('Rules'!$F$7:$F$26,MATCH(SUBSTITUTE(SUBSTITUTE(SUBSTITUTE(SUBSTITUTE("type:"&amp;B21,"%","%25"),"~","%7E"),"*","%2A"),"?","%3F"),'Rules'!$G$7:$G$26,0))&lt;&gt;"",INDEX('Rules'!$F$7:$F$26,MATCH(SUBSTITUTE(SUBSTITUTE(SUBSTITUTE(SUBSTITUTE("type:"&amp;B21,"%","%25"),"~","%7E"),"*","%2A"),"?","%3F"),'Rules'!$G$7:$G$26,0)),IF(AND(C21&lt;&gt;"",C21&lt;&gt;INDEX('Rules'!$B$7:$B$26,MATCH(SUBSTITUTE(SUBSTITUTE(SUBSTITUTE(SUBSTITUTE("type:"&amp;B21,"%","%25"),"~","%7E"),"*","%2A"),"?","%3F"),'Rules'!$G$7:$G$26,0))),"Unit mismatch",IF(IF(NOT(ISNUMBER(D21)),TRUE,OR(D21&lt;0,D21&gt;999999999,ROUND(D21,3)&lt;&gt;D21)),"Invalid current reading",IF(AND(E21&lt;&gt;"",IF(NOT(ISNUMBER(E21)),TRUE,OR(E21&lt;0,E21&gt;999999999,ROUND(E21,3)&lt;&gt;E21))),"Invalid previous reading",IF(IF(NOT(ISNUMBER(F21)),TRUE,OR(F21&lt;0,F21&gt;999999999,ROUND(F21,3)&lt;&gt;F21)),"Invalid last service",IF(AND(E21&lt;&gt;"",D21&lt;E21),"Decreased reading",IF(F21&gt;D21,"Last service above current","")))))))))))))</x:f>
      </x:c>
      <x:c r="L21" s="6" t="str">
        <x:f>IF(AND(NOT(COUNTA(A21:F21)=0),K21=""),INDEX('Rules'!$C$7:$C$26,MATCH(SUBSTITUTE(SUBSTITUTE(SUBSTITUTE(SUBSTITUTE("type:"&amp;B21,"%","%25"),"~","%7E"),"*","%2A"),"?","%3F"),'Rules'!$G$7:$G$26,0)),"")</x:f>
      </x:c>
      <x:c r="M21" s="6" t="str">
        <x:f>IF(AND(NOT(COUNTA(A21:F21)=0),K21=""),INDEX('Rules'!$D$7:$D$26,MATCH(SUBSTITUTE(SUBSTITUTE(SUBSTITUTE(SUBSTITUTE("type:"&amp;B21,"%","%25"),"~","%7E"),"*","%2A"),"?","%3F"),'Rules'!$G$7:$G$26,0)),"")</x:f>
      </x:c>
      <x:c r="N21" s="5" t="str">
        <x:f>IF(COUNTA(A21:F21)=0,"",SUBSTITUTE(SUBSTITUTE(SUBSTITUTE(SUBSTITUTE("id:"&amp;A21,"%","%25"),"~","%7E"),"*","%2A"),"?","%3F"))</x:f>
      </x:c>
    </x:row>
    <x:row r="22" ht="22" customHeight="1">
      <x:c r="A22" s="3"/>
      <x:c r="B22" s="3"/>
      <x:c r="C22" s="3"/>
      <x:c r="D22" s="4"/>
      <x:c r="E22" s="4"/>
      <x:c r="F22" s="4"/>
      <x:c r="G22" s="5" t="str">
        <x:f>IF(COUNTA(A22:F22)=0,"",IF(K22&lt;&gt;"","Review",IF(I22&lt;0,"Overdue",IF(I22=0,"Due now",IF(I22&lt;=M22,"Due soon","Not due")))))</x:f>
      </x:c>
      <x:c r="H22" s="5" t="str">
        <x:f>IF(OR(COUNTA(A22:F22)=0,COUNTIFS('Rules'!$G$7:$G$26,"="&amp;(SUBSTITUTE(SUBSTITUTE(SUBSTITUTE(SUBSTITUTE("type:"&amp;B22,"%","%25"),"~","%7E"),"*","%2A"),"?","%3F")))&lt;&gt;1),"",IF(OR(INDEX('Rules'!$B$7:$B$26,MATCH(SUBSTITUTE(SUBSTITUTE(SUBSTITUTE(SUBSTITUTE("type:"&amp;B22,"%","%25"),"~","%7E"),"*","%2A"),"?","%3F"),'Rules'!$G$7:$G$26,0))="hours",INDEX('Rules'!$B$7:$B$26,MATCH(SUBSTITUTE(SUBSTITUTE(SUBSTITUTE(SUBSTITUTE("type:"&amp;B22,"%","%25"),"~","%7E"),"*","%2A"),"?","%3F"),'Rules'!$G$7:$G$26,0))="km"),INDEX('Rules'!$B$7:$B$26,MATCH(SUBSTITUTE(SUBSTITUTE(SUBSTITUTE(SUBSTITUTE("type:"&amp;B22,"%","%25"),"~","%7E"),"*","%2A"),"?","%3F"),'Rules'!$G$7:$G$26,0)),""))</x:f>
      </x:c>
      <x:c r="I22" s="6" t="str">
        <x:f>IF(AND(NOT(COUNTA(A22:F22)=0),K22=""),ROUND(J22-D22,3),"")</x:f>
      </x:c>
      <x:c r="J22" s="6" t="str">
        <x:f>IF(AND(NOT(COUNTA(A22:F22)=0),K22=""),ROUND(F22+L22,3),"")</x:f>
      </x:c>
      <x:c r="K22" s="5" t="str">
        <x:f>IF(COUNTA(A22:F22)=0,"",IF(A22="","Missing equipment ID",IF(COUNTIFS($N$8:$N$2007,"="&amp;N22)&gt;1,"Duplicate equipment ID",IF(B22="","Missing type",IF(COUNTIFS('Rules'!$G$7:$G$26,"="&amp;(SUBSTITUTE(SUBSTITUTE(SUBSTITUTE(SUBSTITUTE("type:"&amp;B22,"%","%25"),"~","%7E"),"*","%2A"),"?","%3F")))=0,"Unknown type",IF(COUNTIFS('Rules'!$G$7:$G$26,"="&amp;(SUBSTITUTE(SUBSTITUTE(SUBSTITUTE(SUBSTITUTE("type:"&amp;B22,"%","%25"),"~","%7E"),"*","%2A"),"?","%3F")))&gt;1,"Duplicate type",IF(INDEX('Rules'!$F$7:$F$26,MATCH(SUBSTITUTE(SUBSTITUTE(SUBSTITUTE(SUBSTITUTE("type:"&amp;B22,"%","%25"),"~","%7E"),"*","%2A"),"?","%3F"),'Rules'!$G$7:$G$26,0))&lt;&gt;"",INDEX('Rules'!$F$7:$F$26,MATCH(SUBSTITUTE(SUBSTITUTE(SUBSTITUTE(SUBSTITUTE("type:"&amp;B22,"%","%25"),"~","%7E"),"*","%2A"),"?","%3F"),'Rules'!$G$7:$G$26,0)),IF(AND(C22&lt;&gt;"",C22&lt;&gt;INDEX('Rules'!$B$7:$B$26,MATCH(SUBSTITUTE(SUBSTITUTE(SUBSTITUTE(SUBSTITUTE("type:"&amp;B22,"%","%25"),"~","%7E"),"*","%2A"),"?","%3F"),'Rules'!$G$7:$G$26,0))),"Unit mismatch",IF(IF(NOT(ISNUMBER(D22)),TRUE,OR(D22&lt;0,D22&gt;999999999,ROUND(D22,3)&lt;&gt;D22)),"Invalid current reading",IF(AND(E22&lt;&gt;"",IF(NOT(ISNUMBER(E22)),TRUE,OR(E22&lt;0,E22&gt;999999999,ROUND(E22,3)&lt;&gt;E22))),"Invalid previous reading",IF(IF(NOT(ISNUMBER(F22)),TRUE,OR(F22&lt;0,F22&gt;999999999,ROUND(F22,3)&lt;&gt;F22)),"Invalid last service",IF(AND(E22&lt;&gt;"",D22&lt;E22),"Decreased reading",IF(F22&gt;D22,"Last service above current","")))))))))))))</x:f>
      </x:c>
      <x:c r="L22" s="6" t="str">
        <x:f>IF(AND(NOT(COUNTA(A22:F22)=0),K22=""),INDEX('Rules'!$C$7:$C$26,MATCH(SUBSTITUTE(SUBSTITUTE(SUBSTITUTE(SUBSTITUTE("type:"&amp;B22,"%","%25"),"~","%7E"),"*","%2A"),"?","%3F"),'Rules'!$G$7:$G$26,0)),"")</x:f>
      </x:c>
      <x:c r="M22" s="6" t="str">
        <x:f>IF(AND(NOT(COUNTA(A22:F22)=0),K22=""),INDEX('Rules'!$D$7:$D$26,MATCH(SUBSTITUTE(SUBSTITUTE(SUBSTITUTE(SUBSTITUTE("type:"&amp;B22,"%","%25"),"~","%7E"),"*","%2A"),"?","%3F"),'Rules'!$G$7:$G$26,0)),"")</x:f>
      </x:c>
      <x:c r="N22" s="5" t="str">
        <x:f>IF(COUNTA(A22:F22)=0,"",SUBSTITUTE(SUBSTITUTE(SUBSTITUTE(SUBSTITUTE("id:"&amp;A22,"%","%25"),"~","%7E"),"*","%2A"),"?","%3F"))</x:f>
      </x:c>
    </x:row>
    <x:row r="23" ht="22" customHeight="1">
      <x:c r="A23" s="3"/>
      <x:c r="B23" s="3"/>
      <x:c r="C23" s="3"/>
      <x:c r="D23" s="4"/>
      <x:c r="E23" s="4"/>
      <x:c r="F23" s="4"/>
      <x:c r="G23" s="5" t="str">
        <x:f>IF(COUNTA(A23:F23)=0,"",IF(K23&lt;&gt;"","Review",IF(I23&lt;0,"Overdue",IF(I23=0,"Due now",IF(I23&lt;=M23,"Due soon","Not due")))))</x:f>
      </x:c>
      <x:c r="H23" s="5" t="str">
        <x:f>IF(OR(COUNTA(A23:F23)=0,COUNTIFS('Rules'!$G$7:$G$26,"="&amp;(SUBSTITUTE(SUBSTITUTE(SUBSTITUTE(SUBSTITUTE("type:"&amp;B23,"%","%25"),"~","%7E"),"*","%2A"),"?","%3F")))&lt;&gt;1),"",IF(OR(INDEX('Rules'!$B$7:$B$26,MATCH(SUBSTITUTE(SUBSTITUTE(SUBSTITUTE(SUBSTITUTE("type:"&amp;B23,"%","%25"),"~","%7E"),"*","%2A"),"?","%3F"),'Rules'!$G$7:$G$26,0))="hours",INDEX('Rules'!$B$7:$B$26,MATCH(SUBSTITUTE(SUBSTITUTE(SUBSTITUTE(SUBSTITUTE("type:"&amp;B23,"%","%25"),"~","%7E"),"*","%2A"),"?","%3F"),'Rules'!$G$7:$G$26,0))="km"),INDEX('Rules'!$B$7:$B$26,MATCH(SUBSTITUTE(SUBSTITUTE(SUBSTITUTE(SUBSTITUTE("type:"&amp;B23,"%","%25"),"~","%7E"),"*","%2A"),"?","%3F"),'Rules'!$G$7:$G$26,0)),""))</x:f>
      </x:c>
      <x:c r="I23" s="6" t="str">
        <x:f>IF(AND(NOT(COUNTA(A23:F23)=0),K23=""),ROUND(J23-D23,3),"")</x:f>
      </x:c>
      <x:c r="J23" s="6" t="str">
        <x:f>IF(AND(NOT(COUNTA(A23:F23)=0),K23=""),ROUND(F23+L23,3),"")</x:f>
      </x:c>
      <x:c r="K23" s="5" t="str">
        <x:f>IF(COUNTA(A23:F23)=0,"",IF(A23="","Missing equipment ID",IF(COUNTIFS($N$8:$N$2007,"="&amp;N23)&gt;1,"Duplicate equipment ID",IF(B23="","Missing type",IF(COUNTIFS('Rules'!$G$7:$G$26,"="&amp;(SUBSTITUTE(SUBSTITUTE(SUBSTITUTE(SUBSTITUTE("type:"&amp;B23,"%","%25"),"~","%7E"),"*","%2A"),"?","%3F")))=0,"Unknown type",IF(COUNTIFS('Rules'!$G$7:$G$26,"="&amp;(SUBSTITUTE(SUBSTITUTE(SUBSTITUTE(SUBSTITUTE("type:"&amp;B23,"%","%25"),"~","%7E"),"*","%2A"),"?","%3F")))&gt;1,"Duplicate type",IF(INDEX('Rules'!$F$7:$F$26,MATCH(SUBSTITUTE(SUBSTITUTE(SUBSTITUTE(SUBSTITUTE("type:"&amp;B23,"%","%25"),"~","%7E"),"*","%2A"),"?","%3F"),'Rules'!$G$7:$G$26,0))&lt;&gt;"",INDEX('Rules'!$F$7:$F$26,MATCH(SUBSTITUTE(SUBSTITUTE(SUBSTITUTE(SUBSTITUTE("type:"&amp;B23,"%","%25"),"~","%7E"),"*","%2A"),"?","%3F"),'Rules'!$G$7:$G$26,0)),IF(AND(C23&lt;&gt;"",C23&lt;&gt;INDEX('Rules'!$B$7:$B$26,MATCH(SUBSTITUTE(SUBSTITUTE(SUBSTITUTE(SUBSTITUTE("type:"&amp;B23,"%","%25"),"~","%7E"),"*","%2A"),"?","%3F"),'Rules'!$G$7:$G$26,0))),"Unit mismatch",IF(IF(NOT(ISNUMBER(D23)),TRUE,OR(D23&lt;0,D23&gt;999999999,ROUND(D23,3)&lt;&gt;D23)),"Invalid current reading",IF(AND(E23&lt;&gt;"",IF(NOT(ISNUMBER(E23)),TRUE,OR(E23&lt;0,E23&gt;999999999,ROUND(E23,3)&lt;&gt;E23))),"Invalid previous reading",IF(IF(NOT(ISNUMBER(F23)),TRUE,OR(F23&lt;0,F23&gt;999999999,ROUND(F23,3)&lt;&gt;F23)),"Invalid last service",IF(AND(E23&lt;&gt;"",D23&lt;E23),"Decreased reading",IF(F23&gt;D23,"Last service above current","")))))))))))))</x:f>
      </x:c>
      <x:c r="L23" s="6" t="str">
        <x:f>IF(AND(NOT(COUNTA(A23:F23)=0),K23=""),INDEX('Rules'!$C$7:$C$26,MATCH(SUBSTITUTE(SUBSTITUTE(SUBSTITUTE(SUBSTITUTE("type:"&amp;B23,"%","%25"),"~","%7E"),"*","%2A"),"?","%3F"),'Rules'!$G$7:$G$26,0)),"")</x:f>
      </x:c>
      <x:c r="M23" s="6" t="str">
        <x:f>IF(AND(NOT(COUNTA(A23:F23)=0),K23=""),INDEX('Rules'!$D$7:$D$26,MATCH(SUBSTITUTE(SUBSTITUTE(SUBSTITUTE(SUBSTITUTE("type:"&amp;B23,"%","%25"),"~","%7E"),"*","%2A"),"?","%3F"),'Rules'!$G$7:$G$26,0)),"")</x:f>
      </x:c>
      <x:c r="N23" s="5" t="str">
        <x:f>IF(COUNTA(A23:F23)=0,"",SUBSTITUTE(SUBSTITUTE(SUBSTITUTE(SUBSTITUTE("id:"&amp;A23,"%","%25"),"~","%7E"),"*","%2A"),"?","%3F"))</x:f>
      </x:c>
    </x:row>
    <x:row r="24" ht="22" customHeight="1">
      <x:c r="A24" s="3"/>
      <x:c r="B24" s="3"/>
      <x:c r="C24" s="3"/>
      <x:c r="D24" s="4"/>
      <x:c r="E24" s="4"/>
      <x:c r="F24" s="4"/>
      <x:c r="G24" s="5" t="str">
        <x:f>IF(COUNTA(A24:F24)=0,"",IF(K24&lt;&gt;"","Review",IF(I24&lt;0,"Overdue",IF(I24=0,"Due now",IF(I24&lt;=M24,"Due soon","Not due")))))</x:f>
      </x:c>
      <x:c r="H24" s="5" t="str">
        <x:f>IF(OR(COUNTA(A24:F24)=0,COUNTIFS('Rules'!$G$7:$G$26,"="&amp;(SUBSTITUTE(SUBSTITUTE(SUBSTITUTE(SUBSTITUTE("type:"&amp;B24,"%","%25"),"~","%7E"),"*","%2A"),"?","%3F")))&lt;&gt;1),"",IF(OR(INDEX('Rules'!$B$7:$B$26,MATCH(SUBSTITUTE(SUBSTITUTE(SUBSTITUTE(SUBSTITUTE("type:"&amp;B24,"%","%25"),"~","%7E"),"*","%2A"),"?","%3F"),'Rules'!$G$7:$G$26,0))="hours",INDEX('Rules'!$B$7:$B$26,MATCH(SUBSTITUTE(SUBSTITUTE(SUBSTITUTE(SUBSTITUTE("type:"&amp;B24,"%","%25"),"~","%7E"),"*","%2A"),"?","%3F"),'Rules'!$G$7:$G$26,0))="km"),INDEX('Rules'!$B$7:$B$26,MATCH(SUBSTITUTE(SUBSTITUTE(SUBSTITUTE(SUBSTITUTE("type:"&amp;B24,"%","%25"),"~","%7E"),"*","%2A"),"?","%3F"),'Rules'!$G$7:$G$26,0)),""))</x:f>
      </x:c>
      <x:c r="I24" s="6" t="str">
        <x:f>IF(AND(NOT(COUNTA(A24:F24)=0),K24=""),ROUND(J24-D24,3),"")</x:f>
      </x:c>
      <x:c r="J24" s="6" t="str">
        <x:f>IF(AND(NOT(COUNTA(A24:F24)=0),K24=""),ROUND(F24+L24,3),"")</x:f>
      </x:c>
      <x:c r="K24" s="5" t="str">
        <x:f>IF(COUNTA(A24:F24)=0,"",IF(A24="","Missing equipment ID",IF(COUNTIFS($N$8:$N$2007,"="&amp;N24)&gt;1,"Duplicate equipment ID",IF(B24="","Missing type",IF(COUNTIFS('Rules'!$G$7:$G$26,"="&amp;(SUBSTITUTE(SUBSTITUTE(SUBSTITUTE(SUBSTITUTE("type:"&amp;B24,"%","%25"),"~","%7E"),"*","%2A"),"?","%3F")))=0,"Unknown type",IF(COUNTIFS('Rules'!$G$7:$G$26,"="&amp;(SUBSTITUTE(SUBSTITUTE(SUBSTITUTE(SUBSTITUTE("type:"&amp;B24,"%","%25"),"~","%7E"),"*","%2A"),"?","%3F")))&gt;1,"Duplicate type",IF(INDEX('Rules'!$F$7:$F$26,MATCH(SUBSTITUTE(SUBSTITUTE(SUBSTITUTE(SUBSTITUTE("type:"&amp;B24,"%","%25"),"~","%7E"),"*","%2A"),"?","%3F"),'Rules'!$G$7:$G$26,0))&lt;&gt;"",INDEX('Rules'!$F$7:$F$26,MATCH(SUBSTITUTE(SUBSTITUTE(SUBSTITUTE(SUBSTITUTE("type:"&amp;B24,"%","%25"),"~","%7E"),"*","%2A"),"?","%3F"),'Rules'!$G$7:$G$26,0)),IF(AND(C24&lt;&gt;"",C24&lt;&gt;INDEX('Rules'!$B$7:$B$26,MATCH(SUBSTITUTE(SUBSTITUTE(SUBSTITUTE(SUBSTITUTE("type:"&amp;B24,"%","%25"),"~","%7E"),"*","%2A"),"?","%3F"),'Rules'!$G$7:$G$26,0))),"Unit mismatch",IF(IF(NOT(ISNUMBER(D24)),TRUE,OR(D24&lt;0,D24&gt;999999999,ROUND(D24,3)&lt;&gt;D24)),"Invalid current reading",IF(AND(E24&lt;&gt;"",IF(NOT(ISNUMBER(E24)),TRUE,OR(E24&lt;0,E24&gt;999999999,ROUND(E24,3)&lt;&gt;E24))),"Invalid previous reading",IF(IF(NOT(ISNUMBER(F24)),TRUE,OR(F24&lt;0,F24&gt;999999999,ROUND(F24,3)&lt;&gt;F24)),"Invalid last service",IF(AND(E24&lt;&gt;"",D24&lt;E24),"Decreased reading",IF(F24&gt;D24,"Last service above current","")))))))))))))</x:f>
      </x:c>
      <x:c r="L24" s="6" t="str">
        <x:f>IF(AND(NOT(COUNTA(A24:F24)=0),K24=""),INDEX('Rules'!$C$7:$C$26,MATCH(SUBSTITUTE(SUBSTITUTE(SUBSTITUTE(SUBSTITUTE("type:"&amp;B24,"%","%25"),"~","%7E"),"*","%2A"),"?","%3F"),'Rules'!$G$7:$G$26,0)),"")</x:f>
      </x:c>
      <x:c r="M24" s="6" t="str">
        <x:f>IF(AND(NOT(COUNTA(A24:F24)=0),K24=""),INDEX('Rules'!$D$7:$D$26,MATCH(SUBSTITUTE(SUBSTITUTE(SUBSTITUTE(SUBSTITUTE("type:"&amp;B24,"%","%25"),"~","%7E"),"*","%2A"),"?","%3F"),'Rules'!$G$7:$G$26,0)),"")</x:f>
      </x:c>
      <x:c r="N24" s="5" t="str">
        <x:f>IF(COUNTA(A24:F24)=0,"",SUBSTITUTE(SUBSTITUTE(SUBSTITUTE(SUBSTITUTE("id:"&amp;A24,"%","%25"),"~","%7E"),"*","%2A"),"?","%3F"))</x:f>
      </x:c>
    </x:row>
    <x:row r="25" ht="22" customHeight="1">
      <x:c r="A25" s="3"/>
      <x:c r="B25" s="3"/>
      <x:c r="C25" s="3"/>
      <x:c r="D25" s="4"/>
      <x:c r="E25" s="4"/>
      <x:c r="F25" s="4"/>
      <x:c r="G25" s="5" t="str">
        <x:f>IF(COUNTA(A25:F25)=0,"",IF(K25&lt;&gt;"","Review",IF(I25&lt;0,"Overdue",IF(I25=0,"Due now",IF(I25&lt;=M25,"Due soon","Not due")))))</x:f>
      </x:c>
      <x:c r="H25" s="5" t="str">
        <x:f>IF(OR(COUNTA(A25:F25)=0,COUNTIFS('Rules'!$G$7:$G$26,"="&amp;(SUBSTITUTE(SUBSTITUTE(SUBSTITUTE(SUBSTITUTE("type:"&amp;B25,"%","%25"),"~","%7E"),"*","%2A"),"?","%3F")))&lt;&gt;1),"",IF(OR(INDEX('Rules'!$B$7:$B$26,MATCH(SUBSTITUTE(SUBSTITUTE(SUBSTITUTE(SUBSTITUTE("type:"&amp;B25,"%","%25"),"~","%7E"),"*","%2A"),"?","%3F"),'Rules'!$G$7:$G$26,0))="hours",INDEX('Rules'!$B$7:$B$26,MATCH(SUBSTITUTE(SUBSTITUTE(SUBSTITUTE(SUBSTITUTE("type:"&amp;B25,"%","%25"),"~","%7E"),"*","%2A"),"?","%3F"),'Rules'!$G$7:$G$26,0))="km"),INDEX('Rules'!$B$7:$B$26,MATCH(SUBSTITUTE(SUBSTITUTE(SUBSTITUTE(SUBSTITUTE("type:"&amp;B25,"%","%25"),"~","%7E"),"*","%2A"),"?","%3F"),'Rules'!$G$7:$G$26,0)),""))</x:f>
      </x:c>
      <x:c r="I25" s="6" t="str">
        <x:f>IF(AND(NOT(COUNTA(A25:F25)=0),K25=""),ROUND(J25-D25,3),"")</x:f>
      </x:c>
      <x:c r="J25" s="6" t="str">
        <x:f>IF(AND(NOT(COUNTA(A25:F25)=0),K25=""),ROUND(F25+L25,3),"")</x:f>
      </x:c>
      <x:c r="K25" s="5" t="str">
        <x:f>IF(COUNTA(A25:F25)=0,"",IF(A25="","Missing equipment ID",IF(COUNTIFS($N$8:$N$2007,"="&amp;N25)&gt;1,"Duplicate equipment ID",IF(B25="","Missing type",IF(COUNTIFS('Rules'!$G$7:$G$26,"="&amp;(SUBSTITUTE(SUBSTITUTE(SUBSTITUTE(SUBSTITUTE("type:"&amp;B25,"%","%25"),"~","%7E"),"*","%2A"),"?","%3F")))=0,"Unknown type",IF(COUNTIFS('Rules'!$G$7:$G$26,"="&amp;(SUBSTITUTE(SUBSTITUTE(SUBSTITUTE(SUBSTITUTE("type:"&amp;B25,"%","%25"),"~","%7E"),"*","%2A"),"?","%3F")))&gt;1,"Duplicate type",IF(INDEX('Rules'!$F$7:$F$26,MATCH(SUBSTITUTE(SUBSTITUTE(SUBSTITUTE(SUBSTITUTE("type:"&amp;B25,"%","%25"),"~","%7E"),"*","%2A"),"?","%3F"),'Rules'!$G$7:$G$26,0))&lt;&gt;"",INDEX('Rules'!$F$7:$F$26,MATCH(SUBSTITUTE(SUBSTITUTE(SUBSTITUTE(SUBSTITUTE("type:"&amp;B25,"%","%25"),"~","%7E"),"*","%2A"),"?","%3F"),'Rules'!$G$7:$G$26,0)),IF(AND(C25&lt;&gt;"",C25&lt;&gt;INDEX('Rules'!$B$7:$B$26,MATCH(SUBSTITUTE(SUBSTITUTE(SUBSTITUTE(SUBSTITUTE("type:"&amp;B25,"%","%25"),"~","%7E"),"*","%2A"),"?","%3F"),'Rules'!$G$7:$G$26,0))),"Unit mismatch",IF(IF(NOT(ISNUMBER(D25)),TRUE,OR(D25&lt;0,D25&gt;999999999,ROUND(D25,3)&lt;&gt;D25)),"Invalid current reading",IF(AND(E25&lt;&gt;"",IF(NOT(ISNUMBER(E25)),TRUE,OR(E25&lt;0,E25&gt;999999999,ROUND(E25,3)&lt;&gt;E25))),"Invalid previous reading",IF(IF(NOT(ISNUMBER(F25)),TRUE,OR(F25&lt;0,F25&gt;999999999,ROUND(F25,3)&lt;&gt;F25)),"Invalid last service",IF(AND(E25&lt;&gt;"",D25&lt;E25),"Decreased reading",IF(F25&gt;D25,"Last service above current","")))))))))))))</x:f>
      </x:c>
      <x:c r="L25" s="6" t="str">
        <x:f>IF(AND(NOT(COUNTA(A25:F25)=0),K25=""),INDEX('Rules'!$C$7:$C$26,MATCH(SUBSTITUTE(SUBSTITUTE(SUBSTITUTE(SUBSTITUTE("type:"&amp;B25,"%","%25"),"~","%7E"),"*","%2A"),"?","%3F"),'Rules'!$G$7:$G$26,0)),"")</x:f>
      </x:c>
      <x:c r="M25" s="6" t="str">
        <x:f>IF(AND(NOT(COUNTA(A25:F25)=0),K25=""),INDEX('Rules'!$D$7:$D$26,MATCH(SUBSTITUTE(SUBSTITUTE(SUBSTITUTE(SUBSTITUTE("type:"&amp;B25,"%","%25"),"~","%7E"),"*","%2A"),"?","%3F"),'Rules'!$G$7:$G$26,0)),"")</x:f>
      </x:c>
      <x:c r="N25" s="5" t="str">
        <x:f>IF(COUNTA(A25:F25)=0,"",SUBSTITUTE(SUBSTITUTE(SUBSTITUTE(SUBSTITUTE("id:"&amp;A25,"%","%25"),"~","%7E"),"*","%2A"),"?","%3F"))</x:f>
      </x:c>
    </x:row>
    <x:row r="26" ht="22" customHeight="1">
      <x:c r="A26" s="3"/>
      <x:c r="B26" s="3"/>
      <x:c r="C26" s="3"/>
      <x:c r="D26" s="4"/>
      <x:c r="E26" s="4"/>
      <x:c r="F26" s="4"/>
      <x:c r="G26" s="5" t="str">
        <x:f>IF(COUNTA(A26:F26)=0,"",IF(K26&lt;&gt;"","Review",IF(I26&lt;0,"Overdue",IF(I26=0,"Due now",IF(I26&lt;=M26,"Due soon","Not due")))))</x:f>
      </x:c>
      <x:c r="H26" s="5" t="str">
        <x:f>IF(OR(COUNTA(A26:F26)=0,COUNTIFS('Rules'!$G$7:$G$26,"="&amp;(SUBSTITUTE(SUBSTITUTE(SUBSTITUTE(SUBSTITUTE("type:"&amp;B26,"%","%25"),"~","%7E"),"*","%2A"),"?","%3F")))&lt;&gt;1),"",IF(OR(INDEX('Rules'!$B$7:$B$26,MATCH(SUBSTITUTE(SUBSTITUTE(SUBSTITUTE(SUBSTITUTE("type:"&amp;B26,"%","%25"),"~","%7E"),"*","%2A"),"?","%3F"),'Rules'!$G$7:$G$26,0))="hours",INDEX('Rules'!$B$7:$B$26,MATCH(SUBSTITUTE(SUBSTITUTE(SUBSTITUTE(SUBSTITUTE("type:"&amp;B26,"%","%25"),"~","%7E"),"*","%2A"),"?","%3F"),'Rules'!$G$7:$G$26,0))="km"),INDEX('Rules'!$B$7:$B$26,MATCH(SUBSTITUTE(SUBSTITUTE(SUBSTITUTE(SUBSTITUTE("type:"&amp;B26,"%","%25"),"~","%7E"),"*","%2A"),"?","%3F"),'Rules'!$G$7:$G$26,0)),""))</x:f>
      </x:c>
      <x:c r="I26" s="6" t="str">
        <x:f>IF(AND(NOT(COUNTA(A26:F26)=0),K26=""),ROUND(J26-D26,3),"")</x:f>
      </x:c>
      <x:c r="J26" s="6" t="str">
        <x:f>IF(AND(NOT(COUNTA(A26:F26)=0),K26=""),ROUND(F26+L26,3),"")</x:f>
      </x:c>
      <x:c r="K26" s="5" t="str">
        <x:f>IF(COUNTA(A26:F26)=0,"",IF(A26="","Missing equipment ID",IF(COUNTIFS($N$8:$N$2007,"="&amp;N26)&gt;1,"Duplicate equipment ID",IF(B26="","Missing type",IF(COUNTIFS('Rules'!$G$7:$G$26,"="&amp;(SUBSTITUTE(SUBSTITUTE(SUBSTITUTE(SUBSTITUTE("type:"&amp;B26,"%","%25"),"~","%7E"),"*","%2A"),"?","%3F")))=0,"Unknown type",IF(COUNTIFS('Rules'!$G$7:$G$26,"="&amp;(SUBSTITUTE(SUBSTITUTE(SUBSTITUTE(SUBSTITUTE("type:"&amp;B26,"%","%25"),"~","%7E"),"*","%2A"),"?","%3F")))&gt;1,"Duplicate type",IF(INDEX('Rules'!$F$7:$F$26,MATCH(SUBSTITUTE(SUBSTITUTE(SUBSTITUTE(SUBSTITUTE("type:"&amp;B26,"%","%25"),"~","%7E"),"*","%2A"),"?","%3F"),'Rules'!$G$7:$G$26,0))&lt;&gt;"",INDEX('Rules'!$F$7:$F$26,MATCH(SUBSTITUTE(SUBSTITUTE(SUBSTITUTE(SUBSTITUTE("type:"&amp;B26,"%","%25"),"~","%7E"),"*","%2A"),"?","%3F"),'Rules'!$G$7:$G$26,0)),IF(AND(C26&lt;&gt;"",C26&lt;&gt;INDEX('Rules'!$B$7:$B$26,MATCH(SUBSTITUTE(SUBSTITUTE(SUBSTITUTE(SUBSTITUTE("type:"&amp;B26,"%","%25"),"~","%7E"),"*","%2A"),"?","%3F"),'Rules'!$G$7:$G$26,0))),"Unit mismatch",IF(IF(NOT(ISNUMBER(D26)),TRUE,OR(D26&lt;0,D26&gt;999999999,ROUND(D26,3)&lt;&gt;D26)),"Invalid current reading",IF(AND(E26&lt;&gt;"",IF(NOT(ISNUMBER(E26)),TRUE,OR(E26&lt;0,E26&gt;999999999,ROUND(E26,3)&lt;&gt;E26))),"Invalid previous reading",IF(IF(NOT(ISNUMBER(F26)),TRUE,OR(F26&lt;0,F26&gt;999999999,ROUND(F26,3)&lt;&gt;F26)),"Invalid last service",IF(AND(E26&lt;&gt;"",D26&lt;E26),"Decreased reading",IF(F26&gt;D26,"Last service above current","")))))))))))))</x:f>
      </x:c>
      <x:c r="L26" s="6" t="str">
        <x:f>IF(AND(NOT(COUNTA(A26:F26)=0),K26=""),INDEX('Rules'!$C$7:$C$26,MATCH(SUBSTITUTE(SUBSTITUTE(SUBSTITUTE(SUBSTITUTE("type:"&amp;B26,"%","%25"),"~","%7E"),"*","%2A"),"?","%3F"),'Rules'!$G$7:$G$26,0)),"")</x:f>
      </x:c>
      <x:c r="M26" s="6" t="str">
        <x:f>IF(AND(NOT(COUNTA(A26:F26)=0),K26=""),INDEX('Rules'!$D$7:$D$26,MATCH(SUBSTITUTE(SUBSTITUTE(SUBSTITUTE(SUBSTITUTE("type:"&amp;B26,"%","%25"),"~","%7E"),"*","%2A"),"?","%3F"),'Rules'!$G$7:$G$26,0)),"")</x:f>
      </x:c>
      <x:c r="N26" s="5" t="str">
        <x:f>IF(COUNTA(A26:F26)=0,"",SUBSTITUTE(SUBSTITUTE(SUBSTITUTE(SUBSTITUTE("id:"&amp;A26,"%","%25"),"~","%7E"),"*","%2A"),"?","%3F"))</x:f>
      </x:c>
    </x:row>
    <x:row r="27" ht="22" customHeight="1">
      <x:c r="A27" s="3"/>
      <x:c r="B27" s="3"/>
      <x:c r="C27" s="3"/>
      <x:c r="D27" s="4"/>
      <x:c r="E27" s="4"/>
      <x:c r="F27" s="4"/>
      <x:c r="G27" s="5" t="str">
        <x:f>IF(COUNTA(A27:F27)=0,"",IF(K27&lt;&gt;"","Review",IF(I27&lt;0,"Overdue",IF(I27=0,"Due now",IF(I27&lt;=M27,"Due soon","Not due")))))</x:f>
      </x:c>
      <x:c r="H27" s="5" t="str">
        <x:f>IF(OR(COUNTA(A27:F27)=0,COUNTIFS('Rules'!$G$7:$G$26,"="&amp;(SUBSTITUTE(SUBSTITUTE(SUBSTITUTE(SUBSTITUTE("type:"&amp;B27,"%","%25"),"~","%7E"),"*","%2A"),"?","%3F")))&lt;&gt;1),"",IF(OR(INDEX('Rules'!$B$7:$B$26,MATCH(SUBSTITUTE(SUBSTITUTE(SUBSTITUTE(SUBSTITUTE("type:"&amp;B27,"%","%25"),"~","%7E"),"*","%2A"),"?","%3F"),'Rules'!$G$7:$G$26,0))="hours",INDEX('Rules'!$B$7:$B$26,MATCH(SUBSTITUTE(SUBSTITUTE(SUBSTITUTE(SUBSTITUTE("type:"&amp;B27,"%","%25"),"~","%7E"),"*","%2A"),"?","%3F"),'Rules'!$G$7:$G$26,0))="km"),INDEX('Rules'!$B$7:$B$26,MATCH(SUBSTITUTE(SUBSTITUTE(SUBSTITUTE(SUBSTITUTE("type:"&amp;B27,"%","%25"),"~","%7E"),"*","%2A"),"?","%3F"),'Rules'!$G$7:$G$26,0)),""))</x:f>
      </x:c>
      <x:c r="I27" s="6" t="str">
        <x:f>IF(AND(NOT(COUNTA(A27:F27)=0),K27=""),ROUND(J27-D27,3),"")</x:f>
      </x:c>
      <x:c r="J27" s="6" t="str">
        <x:f>IF(AND(NOT(COUNTA(A27:F27)=0),K27=""),ROUND(F27+L27,3),"")</x:f>
      </x:c>
      <x:c r="K27" s="5" t="str">
        <x:f>IF(COUNTA(A27:F27)=0,"",IF(A27="","Missing equipment ID",IF(COUNTIFS($N$8:$N$2007,"="&amp;N27)&gt;1,"Duplicate equipment ID",IF(B27="","Missing type",IF(COUNTIFS('Rules'!$G$7:$G$26,"="&amp;(SUBSTITUTE(SUBSTITUTE(SUBSTITUTE(SUBSTITUTE("type:"&amp;B27,"%","%25"),"~","%7E"),"*","%2A"),"?","%3F")))=0,"Unknown type",IF(COUNTIFS('Rules'!$G$7:$G$26,"="&amp;(SUBSTITUTE(SUBSTITUTE(SUBSTITUTE(SUBSTITUTE("type:"&amp;B27,"%","%25"),"~","%7E"),"*","%2A"),"?","%3F")))&gt;1,"Duplicate type",IF(INDEX('Rules'!$F$7:$F$26,MATCH(SUBSTITUTE(SUBSTITUTE(SUBSTITUTE(SUBSTITUTE("type:"&amp;B27,"%","%25"),"~","%7E"),"*","%2A"),"?","%3F"),'Rules'!$G$7:$G$26,0))&lt;&gt;"",INDEX('Rules'!$F$7:$F$26,MATCH(SUBSTITUTE(SUBSTITUTE(SUBSTITUTE(SUBSTITUTE("type:"&amp;B27,"%","%25"),"~","%7E"),"*","%2A"),"?","%3F"),'Rules'!$G$7:$G$26,0)),IF(AND(C27&lt;&gt;"",C27&lt;&gt;INDEX('Rules'!$B$7:$B$26,MATCH(SUBSTITUTE(SUBSTITUTE(SUBSTITUTE(SUBSTITUTE("type:"&amp;B27,"%","%25"),"~","%7E"),"*","%2A"),"?","%3F"),'Rules'!$G$7:$G$26,0))),"Unit mismatch",IF(IF(NOT(ISNUMBER(D27)),TRUE,OR(D27&lt;0,D27&gt;999999999,ROUND(D27,3)&lt;&gt;D27)),"Invalid current reading",IF(AND(E27&lt;&gt;"",IF(NOT(ISNUMBER(E27)),TRUE,OR(E27&lt;0,E27&gt;999999999,ROUND(E27,3)&lt;&gt;E27))),"Invalid previous reading",IF(IF(NOT(ISNUMBER(F27)),TRUE,OR(F27&lt;0,F27&gt;999999999,ROUND(F27,3)&lt;&gt;F27)),"Invalid last service",IF(AND(E27&lt;&gt;"",D27&lt;E27),"Decreased reading",IF(F27&gt;D27,"Last service above current","")))))))))))))</x:f>
      </x:c>
      <x:c r="L27" s="6" t="str">
        <x:f>IF(AND(NOT(COUNTA(A27:F27)=0),K27=""),INDEX('Rules'!$C$7:$C$26,MATCH(SUBSTITUTE(SUBSTITUTE(SUBSTITUTE(SUBSTITUTE("type:"&amp;B27,"%","%25"),"~","%7E"),"*","%2A"),"?","%3F"),'Rules'!$G$7:$G$26,0)),"")</x:f>
      </x:c>
      <x:c r="M27" s="6" t="str">
        <x:f>IF(AND(NOT(COUNTA(A27:F27)=0),K27=""),INDEX('Rules'!$D$7:$D$26,MATCH(SUBSTITUTE(SUBSTITUTE(SUBSTITUTE(SUBSTITUTE("type:"&amp;B27,"%","%25"),"~","%7E"),"*","%2A"),"?","%3F"),'Rules'!$G$7:$G$26,0)),"")</x:f>
      </x:c>
      <x:c r="N27" s="5" t="str">
        <x:f>IF(COUNTA(A27:F27)=0,"",SUBSTITUTE(SUBSTITUTE(SUBSTITUTE(SUBSTITUTE("id:"&amp;A27,"%","%25"),"~","%7E"),"*","%2A"),"?","%3F"))</x:f>
      </x:c>
    </x:row>
    <x:row r="28" ht="22" customHeight="1">
      <x:c r="A28" s="3"/>
      <x:c r="B28" s="3"/>
      <x:c r="C28" s="3"/>
      <x:c r="D28" s="4"/>
      <x:c r="E28" s="4"/>
      <x:c r="F28" s="4"/>
      <x:c r="G28" s="5" t="str">
        <x:f>IF(COUNTA(A28:F28)=0,"",IF(K28&lt;&gt;"","Review",IF(I28&lt;0,"Overdue",IF(I28=0,"Due now",IF(I28&lt;=M28,"Due soon","Not due")))))</x:f>
      </x:c>
      <x:c r="H28" s="5" t="str">
        <x:f>IF(OR(COUNTA(A28:F28)=0,COUNTIFS('Rules'!$G$7:$G$26,"="&amp;(SUBSTITUTE(SUBSTITUTE(SUBSTITUTE(SUBSTITUTE("type:"&amp;B28,"%","%25"),"~","%7E"),"*","%2A"),"?","%3F")))&lt;&gt;1),"",IF(OR(INDEX('Rules'!$B$7:$B$26,MATCH(SUBSTITUTE(SUBSTITUTE(SUBSTITUTE(SUBSTITUTE("type:"&amp;B28,"%","%25"),"~","%7E"),"*","%2A"),"?","%3F"),'Rules'!$G$7:$G$26,0))="hours",INDEX('Rules'!$B$7:$B$26,MATCH(SUBSTITUTE(SUBSTITUTE(SUBSTITUTE(SUBSTITUTE("type:"&amp;B28,"%","%25"),"~","%7E"),"*","%2A"),"?","%3F"),'Rules'!$G$7:$G$26,0))="km"),INDEX('Rules'!$B$7:$B$26,MATCH(SUBSTITUTE(SUBSTITUTE(SUBSTITUTE(SUBSTITUTE("type:"&amp;B28,"%","%25"),"~","%7E"),"*","%2A"),"?","%3F"),'Rules'!$G$7:$G$26,0)),""))</x:f>
      </x:c>
      <x:c r="I28" s="6" t="str">
        <x:f>IF(AND(NOT(COUNTA(A28:F28)=0),K28=""),ROUND(J28-D28,3),"")</x:f>
      </x:c>
      <x:c r="J28" s="6" t="str">
        <x:f>IF(AND(NOT(COUNTA(A28:F28)=0),K28=""),ROUND(F28+L28,3),"")</x:f>
      </x:c>
      <x:c r="K28" s="5" t="str">
        <x:f>IF(COUNTA(A28:F28)=0,"",IF(A28="","Missing equipment ID",IF(COUNTIFS($N$8:$N$2007,"="&amp;N28)&gt;1,"Duplicate equipment ID",IF(B28="","Missing type",IF(COUNTIFS('Rules'!$G$7:$G$26,"="&amp;(SUBSTITUTE(SUBSTITUTE(SUBSTITUTE(SUBSTITUTE("type:"&amp;B28,"%","%25"),"~","%7E"),"*","%2A"),"?","%3F")))=0,"Unknown type",IF(COUNTIFS('Rules'!$G$7:$G$26,"="&amp;(SUBSTITUTE(SUBSTITUTE(SUBSTITUTE(SUBSTITUTE("type:"&amp;B28,"%","%25"),"~","%7E"),"*","%2A"),"?","%3F")))&gt;1,"Duplicate type",IF(INDEX('Rules'!$F$7:$F$26,MATCH(SUBSTITUTE(SUBSTITUTE(SUBSTITUTE(SUBSTITUTE("type:"&amp;B28,"%","%25"),"~","%7E"),"*","%2A"),"?","%3F"),'Rules'!$G$7:$G$26,0))&lt;&gt;"",INDEX('Rules'!$F$7:$F$26,MATCH(SUBSTITUTE(SUBSTITUTE(SUBSTITUTE(SUBSTITUTE("type:"&amp;B28,"%","%25"),"~","%7E"),"*","%2A"),"?","%3F"),'Rules'!$G$7:$G$26,0)),IF(AND(C28&lt;&gt;"",C28&lt;&gt;INDEX('Rules'!$B$7:$B$26,MATCH(SUBSTITUTE(SUBSTITUTE(SUBSTITUTE(SUBSTITUTE("type:"&amp;B28,"%","%25"),"~","%7E"),"*","%2A"),"?","%3F"),'Rules'!$G$7:$G$26,0))),"Unit mismatch",IF(IF(NOT(ISNUMBER(D28)),TRUE,OR(D28&lt;0,D28&gt;999999999,ROUND(D28,3)&lt;&gt;D28)),"Invalid current reading",IF(AND(E28&lt;&gt;"",IF(NOT(ISNUMBER(E28)),TRUE,OR(E28&lt;0,E28&gt;999999999,ROUND(E28,3)&lt;&gt;E28))),"Invalid previous reading",IF(IF(NOT(ISNUMBER(F28)),TRUE,OR(F28&lt;0,F28&gt;999999999,ROUND(F28,3)&lt;&gt;F28)),"Invalid last service",IF(AND(E28&lt;&gt;"",D28&lt;E28),"Decreased reading",IF(F28&gt;D28,"Last service above current","")))))))))))))</x:f>
      </x:c>
      <x:c r="L28" s="6" t="str">
        <x:f>IF(AND(NOT(COUNTA(A28:F28)=0),K28=""),INDEX('Rules'!$C$7:$C$26,MATCH(SUBSTITUTE(SUBSTITUTE(SUBSTITUTE(SUBSTITUTE("type:"&amp;B28,"%","%25"),"~","%7E"),"*","%2A"),"?","%3F"),'Rules'!$G$7:$G$26,0)),"")</x:f>
      </x:c>
      <x:c r="M28" s="6" t="str">
        <x:f>IF(AND(NOT(COUNTA(A28:F28)=0),K28=""),INDEX('Rules'!$D$7:$D$26,MATCH(SUBSTITUTE(SUBSTITUTE(SUBSTITUTE(SUBSTITUTE("type:"&amp;B28,"%","%25"),"~","%7E"),"*","%2A"),"?","%3F"),'Rules'!$G$7:$G$26,0)),"")</x:f>
      </x:c>
      <x:c r="N28" s="5" t="str">
        <x:f>IF(COUNTA(A28:F28)=0,"",SUBSTITUTE(SUBSTITUTE(SUBSTITUTE(SUBSTITUTE("id:"&amp;A28,"%","%25"),"~","%7E"),"*","%2A"),"?","%3F"))</x:f>
      </x:c>
    </x:row>
    <x:row r="29" ht="22" customHeight="1">
      <x:c r="A29" s="3"/>
      <x:c r="B29" s="3"/>
      <x:c r="C29" s="3"/>
      <x:c r="D29" s="4"/>
      <x:c r="E29" s="4"/>
      <x:c r="F29" s="4"/>
      <x:c r="G29" s="5" t="str">
        <x:f>IF(COUNTA(A29:F29)=0,"",IF(K29&lt;&gt;"","Review",IF(I29&lt;0,"Overdue",IF(I29=0,"Due now",IF(I29&lt;=M29,"Due soon","Not due")))))</x:f>
      </x:c>
      <x:c r="H29" s="5" t="str">
        <x:f>IF(OR(COUNTA(A29:F29)=0,COUNTIFS('Rules'!$G$7:$G$26,"="&amp;(SUBSTITUTE(SUBSTITUTE(SUBSTITUTE(SUBSTITUTE("type:"&amp;B29,"%","%25"),"~","%7E"),"*","%2A"),"?","%3F")))&lt;&gt;1),"",IF(OR(INDEX('Rules'!$B$7:$B$26,MATCH(SUBSTITUTE(SUBSTITUTE(SUBSTITUTE(SUBSTITUTE("type:"&amp;B29,"%","%25"),"~","%7E"),"*","%2A"),"?","%3F"),'Rules'!$G$7:$G$26,0))="hours",INDEX('Rules'!$B$7:$B$26,MATCH(SUBSTITUTE(SUBSTITUTE(SUBSTITUTE(SUBSTITUTE("type:"&amp;B29,"%","%25"),"~","%7E"),"*","%2A"),"?","%3F"),'Rules'!$G$7:$G$26,0))="km"),INDEX('Rules'!$B$7:$B$26,MATCH(SUBSTITUTE(SUBSTITUTE(SUBSTITUTE(SUBSTITUTE("type:"&amp;B29,"%","%25"),"~","%7E"),"*","%2A"),"?","%3F"),'Rules'!$G$7:$G$26,0)),""))</x:f>
      </x:c>
      <x:c r="I29" s="6" t="str">
        <x:f>IF(AND(NOT(COUNTA(A29:F29)=0),K29=""),ROUND(J29-D29,3),"")</x:f>
      </x:c>
      <x:c r="J29" s="6" t="str">
        <x:f>IF(AND(NOT(COUNTA(A29:F29)=0),K29=""),ROUND(F29+L29,3),"")</x:f>
      </x:c>
      <x:c r="K29" s="5" t="str">
        <x:f>IF(COUNTA(A29:F29)=0,"",IF(A29="","Missing equipment ID",IF(COUNTIFS($N$8:$N$2007,"="&amp;N29)&gt;1,"Duplicate equipment ID",IF(B29="","Missing type",IF(COUNTIFS('Rules'!$G$7:$G$26,"="&amp;(SUBSTITUTE(SUBSTITUTE(SUBSTITUTE(SUBSTITUTE("type:"&amp;B29,"%","%25"),"~","%7E"),"*","%2A"),"?","%3F")))=0,"Unknown type",IF(COUNTIFS('Rules'!$G$7:$G$26,"="&amp;(SUBSTITUTE(SUBSTITUTE(SUBSTITUTE(SUBSTITUTE("type:"&amp;B29,"%","%25"),"~","%7E"),"*","%2A"),"?","%3F")))&gt;1,"Duplicate type",IF(INDEX('Rules'!$F$7:$F$26,MATCH(SUBSTITUTE(SUBSTITUTE(SUBSTITUTE(SUBSTITUTE("type:"&amp;B29,"%","%25"),"~","%7E"),"*","%2A"),"?","%3F"),'Rules'!$G$7:$G$26,0))&lt;&gt;"",INDEX('Rules'!$F$7:$F$26,MATCH(SUBSTITUTE(SUBSTITUTE(SUBSTITUTE(SUBSTITUTE("type:"&amp;B29,"%","%25"),"~","%7E"),"*","%2A"),"?","%3F"),'Rules'!$G$7:$G$26,0)),IF(AND(C29&lt;&gt;"",C29&lt;&gt;INDEX('Rules'!$B$7:$B$26,MATCH(SUBSTITUTE(SUBSTITUTE(SUBSTITUTE(SUBSTITUTE("type:"&amp;B29,"%","%25"),"~","%7E"),"*","%2A"),"?","%3F"),'Rules'!$G$7:$G$26,0))),"Unit mismatch",IF(IF(NOT(ISNUMBER(D29)),TRUE,OR(D29&lt;0,D29&gt;999999999,ROUND(D29,3)&lt;&gt;D29)),"Invalid current reading",IF(AND(E29&lt;&gt;"",IF(NOT(ISNUMBER(E29)),TRUE,OR(E29&lt;0,E29&gt;999999999,ROUND(E29,3)&lt;&gt;E29))),"Invalid previous reading",IF(IF(NOT(ISNUMBER(F29)),TRUE,OR(F29&lt;0,F29&gt;999999999,ROUND(F29,3)&lt;&gt;F29)),"Invalid last service",IF(AND(E29&lt;&gt;"",D29&lt;E29),"Decreased reading",IF(F29&gt;D29,"Last service above current","")))))))))))))</x:f>
      </x:c>
      <x:c r="L29" s="6" t="str">
        <x:f>IF(AND(NOT(COUNTA(A29:F29)=0),K29=""),INDEX('Rules'!$C$7:$C$26,MATCH(SUBSTITUTE(SUBSTITUTE(SUBSTITUTE(SUBSTITUTE("type:"&amp;B29,"%","%25"),"~","%7E"),"*","%2A"),"?","%3F"),'Rules'!$G$7:$G$26,0)),"")</x:f>
      </x:c>
      <x:c r="M29" s="6" t="str">
        <x:f>IF(AND(NOT(COUNTA(A29:F29)=0),K29=""),INDEX('Rules'!$D$7:$D$26,MATCH(SUBSTITUTE(SUBSTITUTE(SUBSTITUTE(SUBSTITUTE("type:"&amp;B29,"%","%25"),"~","%7E"),"*","%2A"),"?","%3F"),'Rules'!$G$7:$G$26,0)),"")</x:f>
      </x:c>
      <x:c r="N29" s="5" t="str">
        <x:f>IF(COUNTA(A29:F29)=0,"",SUBSTITUTE(SUBSTITUTE(SUBSTITUTE(SUBSTITUTE("id:"&amp;A29,"%","%25"),"~","%7E"),"*","%2A"),"?","%3F"))</x:f>
      </x:c>
    </x:row>
    <x:row r="30" ht="22" customHeight="1">
      <x:c r="A30" s="3"/>
      <x:c r="B30" s="3"/>
      <x:c r="C30" s="3"/>
      <x:c r="D30" s="4"/>
      <x:c r="E30" s="4"/>
      <x:c r="F30" s="4"/>
      <x:c r="G30" s="5" t="str">
        <x:f>IF(COUNTA(A30:F30)=0,"",IF(K30&lt;&gt;"","Review",IF(I30&lt;0,"Overdue",IF(I30=0,"Due now",IF(I30&lt;=M30,"Due soon","Not due")))))</x:f>
      </x:c>
      <x:c r="H30" s="5" t="str">
        <x:f>IF(OR(COUNTA(A30:F30)=0,COUNTIFS('Rules'!$G$7:$G$26,"="&amp;(SUBSTITUTE(SUBSTITUTE(SUBSTITUTE(SUBSTITUTE("type:"&amp;B30,"%","%25"),"~","%7E"),"*","%2A"),"?","%3F")))&lt;&gt;1),"",IF(OR(INDEX('Rules'!$B$7:$B$26,MATCH(SUBSTITUTE(SUBSTITUTE(SUBSTITUTE(SUBSTITUTE("type:"&amp;B30,"%","%25"),"~","%7E"),"*","%2A"),"?","%3F"),'Rules'!$G$7:$G$26,0))="hours",INDEX('Rules'!$B$7:$B$26,MATCH(SUBSTITUTE(SUBSTITUTE(SUBSTITUTE(SUBSTITUTE("type:"&amp;B30,"%","%25"),"~","%7E"),"*","%2A"),"?","%3F"),'Rules'!$G$7:$G$26,0))="km"),INDEX('Rules'!$B$7:$B$26,MATCH(SUBSTITUTE(SUBSTITUTE(SUBSTITUTE(SUBSTITUTE("type:"&amp;B30,"%","%25"),"~","%7E"),"*","%2A"),"?","%3F"),'Rules'!$G$7:$G$26,0)),""))</x:f>
      </x:c>
      <x:c r="I30" s="6" t="str">
        <x:f>IF(AND(NOT(COUNTA(A30:F30)=0),K30=""),ROUND(J30-D30,3),"")</x:f>
      </x:c>
      <x:c r="J30" s="6" t="str">
        <x:f>IF(AND(NOT(COUNTA(A30:F30)=0),K30=""),ROUND(F30+L30,3),"")</x:f>
      </x:c>
      <x:c r="K30" s="5" t="str">
        <x:f>IF(COUNTA(A30:F30)=0,"",IF(A30="","Missing equipment ID",IF(COUNTIFS($N$8:$N$2007,"="&amp;N30)&gt;1,"Duplicate equipment ID",IF(B30="","Missing type",IF(COUNTIFS('Rules'!$G$7:$G$26,"="&amp;(SUBSTITUTE(SUBSTITUTE(SUBSTITUTE(SUBSTITUTE("type:"&amp;B30,"%","%25"),"~","%7E"),"*","%2A"),"?","%3F")))=0,"Unknown type",IF(COUNTIFS('Rules'!$G$7:$G$26,"="&amp;(SUBSTITUTE(SUBSTITUTE(SUBSTITUTE(SUBSTITUTE("type:"&amp;B30,"%","%25"),"~","%7E"),"*","%2A"),"?","%3F")))&gt;1,"Duplicate type",IF(INDEX('Rules'!$F$7:$F$26,MATCH(SUBSTITUTE(SUBSTITUTE(SUBSTITUTE(SUBSTITUTE("type:"&amp;B30,"%","%25"),"~","%7E"),"*","%2A"),"?","%3F"),'Rules'!$G$7:$G$26,0))&lt;&gt;"",INDEX('Rules'!$F$7:$F$26,MATCH(SUBSTITUTE(SUBSTITUTE(SUBSTITUTE(SUBSTITUTE("type:"&amp;B30,"%","%25"),"~","%7E"),"*","%2A"),"?","%3F"),'Rules'!$G$7:$G$26,0)),IF(AND(C30&lt;&gt;"",C30&lt;&gt;INDEX('Rules'!$B$7:$B$26,MATCH(SUBSTITUTE(SUBSTITUTE(SUBSTITUTE(SUBSTITUTE("type:"&amp;B30,"%","%25"),"~","%7E"),"*","%2A"),"?","%3F"),'Rules'!$G$7:$G$26,0))),"Unit mismatch",IF(IF(NOT(ISNUMBER(D30)),TRUE,OR(D30&lt;0,D30&gt;999999999,ROUND(D30,3)&lt;&gt;D30)),"Invalid current reading",IF(AND(E30&lt;&gt;"",IF(NOT(ISNUMBER(E30)),TRUE,OR(E30&lt;0,E30&gt;999999999,ROUND(E30,3)&lt;&gt;E30))),"Invalid previous reading",IF(IF(NOT(ISNUMBER(F30)),TRUE,OR(F30&lt;0,F30&gt;999999999,ROUND(F30,3)&lt;&gt;F30)),"Invalid last service",IF(AND(E30&lt;&gt;"",D30&lt;E30),"Decreased reading",IF(F30&gt;D30,"Last service above current","")))))))))))))</x:f>
      </x:c>
      <x:c r="L30" s="6" t="str">
        <x:f>IF(AND(NOT(COUNTA(A30:F30)=0),K30=""),INDEX('Rules'!$C$7:$C$26,MATCH(SUBSTITUTE(SUBSTITUTE(SUBSTITUTE(SUBSTITUTE("type:"&amp;B30,"%","%25"),"~","%7E"),"*","%2A"),"?","%3F"),'Rules'!$G$7:$G$26,0)),"")</x:f>
      </x:c>
      <x:c r="M30" s="6" t="str">
        <x:f>IF(AND(NOT(COUNTA(A30:F30)=0),K30=""),INDEX('Rules'!$D$7:$D$26,MATCH(SUBSTITUTE(SUBSTITUTE(SUBSTITUTE(SUBSTITUTE("type:"&amp;B30,"%","%25"),"~","%7E"),"*","%2A"),"?","%3F"),'Rules'!$G$7:$G$26,0)),"")</x:f>
      </x:c>
      <x:c r="N30" s="5" t="str">
        <x:f>IF(COUNTA(A30:F30)=0,"",SUBSTITUTE(SUBSTITUTE(SUBSTITUTE(SUBSTITUTE("id:"&amp;A30,"%","%25"),"~","%7E"),"*","%2A"),"?","%3F"))</x:f>
      </x:c>
    </x:row>
    <x:row r="31" ht="22" customHeight="1">
      <x:c r="A31" s="3"/>
      <x:c r="B31" s="3"/>
      <x:c r="C31" s="3"/>
      <x:c r="D31" s="4"/>
      <x:c r="E31" s="4"/>
      <x:c r="F31" s="4"/>
      <x:c r="G31" s="5" t="str">
        <x:f>IF(COUNTA(A31:F31)=0,"",IF(K31&lt;&gt;"","Review",IF(I31&lt;0,"Overdue",IF(I31=0,"Due now",IF(I31&lt;=M31,"Due soon","Not due")))))</x:f>
      </x:c>
      <x:c r="H31" s="5" t="str">
        <x:f>IF(OR(COUNTA(A31:F31)=0,COUNTIFS('Rules'!$G$7:$G$26,"="&amp;(SUBSTITUTE(SUBSTITUTE(SUBSTITUTE(SUBSTITUTE("type:"&amp;B31,"%","%25"),"~","%7E"),"*","%2A"),"?","%3F")))&lt;&gt;1),"",IF(OR(INDEX('Rules'!$B$7:$B$26,MATCH(SUBSTITUTE(SUBSTITUTE(SUBSTITUTE(SUBSTITUTE("type:"&amp;B31,"%","%25"),"~","%7E"),"*","%2A"),"?","%3F"),'Rules'!$G$7:$G$26,0))="hours",INDEX('Rules'!$B$7:$B$26,MATCH(SUBSTITUTE(SUBSTITUTE(SUBSTITUTE(SUBSTITUTE("type:"&amp;B31,"%","%25"),"~","%7E"),"*","%2A"),"?","%3F"),'Rules'!$G$7:$G$26,0))="km"),INDEX('Rules'!$B$7:$B$26,MATCH(SUBSTITUTE(SUBSTITUTE(SUBSTITUTE(SUBSTITUTE("type:"&amp;B31,"%","%25"),"~","%7E"),"*","%2A"),"?","%3F"),'Rules'!$G$7:$G$26,0)),""))</x:f>
      </x:c>
      <x:c r="I31" s="6" t="str">
        <x:f>IF(AND(NOT(COUNTA(A31:F31)=0),K31=""),ROUND(J31-D31,3),"")</x:f>
      </x:c>
      <x:c r="J31" s="6" t="str">
        <x:f>IF(AND(NOT(COUNTA(A31:F31)=0),K31=""),ROUND(F31+L31,3),"")</x:f>
      </x:c>
      <x:c r="K31" s="5" t="str">
        <x:f>IF(COUNTA(A31:F31)=0,"",IF(A31="","Missing equipment ID",IF(COUNTIFS($N$8:$N$2007,"="&amp;N31)&gt;1,"Duplicate equipment ID",IF(B31="","Missing type",IF(COUNTIFS('Rules'!$G$7:$G$26,"="&amp;(SUBSTITUTE(SUBSTITUTE(SUBSTITUTE(SUBSTITUTE("type:"&amp;B31,"%","%25"),"~","%7E"),"*","%2A"),"?","%3F")))=0,"Unknown type",IF(COUNTIFS('Rules'!$G$7:$G$26,"="&amp;(SUBSTITUTE(SUBSTITUTE(SUBSTITUTE(SUBSTITUTE("type:"&amp;B31,"%","%25"),"~","%7E"),"*","%2A"),"?","%3F")))&gt;1,"Duplicate type",IF(INDEX('Rules'!$F$7:$F$26,MATCH(SUBSTITUTE(SUBSTITUTE(SUBSTITUTE(SUBSTITUTE("type:"&amp;B31,"%","%25"),"~","%7E"),"*","%2A"),"?","%3F"),'Rules'!$G$7:$G$26,0))&lt;&gt;"",INDEX('Rules'!$F$7:$F$26,MATCH(SUBSTITUTE(SUBSTITUTE(SUBSTITUTE(SUBSTITUTE("type:"&amp;B31,"%","%25"),"~","%7E"),"*","%2A"),"?","%3F"),'Rules'!$G$7:$G$26,0)),IF(AND(C31&lt;&gt;"",C31&lt;&gt;INDEX('Rules'!$B$7:$B$26,MATCH(SUBSTITUTE(SUBSTITUTE(SUBSTITUTE(SUBSTITUTE("type:"&amp;B31,"%","%25"),"~","%7E"),"*","%2A"),"?","%3F"),'Rules'!$G$7:$G$26,0))),"Unit mismatch",IF(IF(NOT(ISNUMBER(D31)),TRUE,OR(D31&lt;0,D31&gt;999999999,ROUND(D31,3)&lt;&gt;D31)),"Invalid current reading",IF(AND(E31&lt;&gt;"",IF(NOT(ISNUMBER(E31)),TRUE,OR(E31&lt;0,E31&gt;999999999,ROUND(E31,3)&lt;&gt;E31))),"Invalid previous reading",IF(IF(NOT(ISNUMBER(F31)),TRUE,OR(F31&lt;0,F31&gt;999999999,ROUND(F31,3)&lt;&gt;F31)),"Invalid last service",IF(AND(E31&lt;&gt;"",D31&lt;E31),"Decreased reading",IF(F31&gt;D31,"Last service above current","")))))))))))))</x:f>
      </x:c>
      <x:c r="L31" s="6" t="str">
        <x:f>IF(AND(NOT(COUNTA(A31:F31)=0),K31=""),INDEX('Rules'!$C$7:$C$26,MATCH(SUBSTITUTE(SUBSTITUTE(SUBSTITUTE(SUBSTITUTE("type:"&amp;B31,"%","%25"),"~","%7E"),"*","%2A"),"?","%3F"),'Rules'!$G$7:$G$26,0)),"")</x:f>
      </x:c>
      <x:c r="M31" s="6" t="str">
        <x:f>IF(AND(NOT(COUNTA(A31:F31)=0),K31=""),INDEX('Rules'!$D$7:$D$26,MATCH(SUBSTITUTE(SUBSTITUTE(SUBSTITUTE(SUBSTITUTE("type:"&amp;B31,"%","%25"),"~","%7E"),"*","%2A"),"?","%3F"),'Rules'!$G$7:$G$26,0)),"")</x:f>
      </x:c>
      <x:c r="N31" s="5" t="str">
        <x:f>IF(COUNTA(A31:F31)=0,"",SUBSTITUTE(SUBSTITUTE(SUBSTITUTE(SUBSTITUTE("id:"&amp;A31,"%","%25"),"~","%7E"),"*","%2A"),"?","%3F"))</x:f>
      </x:c>
    </x:row>
    <x:row r="32" ht="22" customHeight="1">
      <x:c r="A32" s="3"/>
      <x:c r="B32" s="3"/>
      <x:c r="C32" s="3"/>
      <x:c r="D32" s="4"/>
      <x:c r="E32" s="4"/>
      <x:c r="F32" s="4"/>
      <x:c r="G32" s="5" t="str">
        <x:f>IF(COUNTA(A32:F32)=0,"",IF(K32&lt;&gt;"","Review",IF(I32&lt;0,"Overdue",IF(I32=0,"Due now",IF(I32&lt;=M32,"Due soon","Not due")))))</x:f>
      </x:c>
      <x:c r="H32" s="5" t="str">
        <x:f>IF(OR(COUNTA(A32:F32)=0,COUNTIFS('Rules'!$G$7:$G$26,"="&amp;(SUBSTITUTE(SUBSTITUTE(SUBSTITUTE(SUBSTITUTE("type:"&amp;B32,"%","%25"),"~","%7E"),"*","%2A"),"?","%3F")))&lt;&gt;1),"",IF(OR(INDEX('Rules'!$B$7:$B$26,MATCH(SUBSTITUTE(SUBSTITUTE(SUBSTITUTE(SUBSTITUTE("type:"&amp;B32,"%","%25"),"~","%7E"),"*","%2A"),"?","%3F"),'Rules'!$G$7:$G$26,0))="hours",INDEX('Rules'!$B$7:$B$26,MATCH(SUBSTITUTE(SUBSTITUTE(SUBSTITUTE(SUBSTITUTE("type:"&amp;B32,"%","%25"),"~","%7E"),"*","%2A"),"?","%3F"),'Rules'!$G$7:$G$26,0))="km"),INDEX('Rules'!$B$7:$B$26,MATCH(SUBSTITUTE(SUBSTITUTE(SUBSTITUTE(SUBSTITUTE("type:"&amp;B32,"%","%25"),"~","%7E"),"*","%2A"),"?","%3F"),'Rules'!$G$7:$G$26,0)),""))</x:f>
      </x:c>
      <x:c r="I32" s="6" t="str">
        <x:f>IF(AND(NOT(COUNTA(A32:F32)=0),K32=""),ROUND(J32-D32,3),"")</x:f>
      </x:c>
      <x:c r="J32" s="6" t="str">
        <x:f>IF(AND(NOT(COUNTA(A32:F32)=0),K32=""),ROUND(F32+L32,3),"")</x:f>
      </x:c>
      <x:c r="K32" s="5" t="str">
        <x:f>IF(COUNTA(A32:F32)=0,"",IF(A32="","Missing equipment ID",IF(COUNTIFS($N$8:$N$2007,"="&amp;N32)&gt;1,"Duplicate equipment ID",IF(B32="","Missing type",IF(COUNTIFS('Rules'!$G$7:$G$26,"="&amp;(SUBSTITUTE(SUBSTITUTE(SUBSTITUTE(SUBSTITUTE("type:"&amp;B32,"%","%25"),"~","%7E"),"*","%2A"),"?","%3F")))=0,"Unknown type",IF(COUNTIFS('Rules'!$G$7:$G$26,"="&amp;(SUBSTITUTE(SUBSTITUTE(SUBSTITUTE(SUBSTITUTE("type:"&amp;B32,"%","%25"),"~","%7E"),"*","%2A"),"?","%3F")))&gt;1,"Duplicate type",IF(INDEX('Rules'!$F$7:$F$26,MATCH(SUBSTITUTE(SUBSTITUTE(SUBSTITUTE(SUBSTITUTE("type:"&amp;B32,"%","%25"),"~","%7E"),"*","%2A"),"?","%3F"),'Rules'!$G$7:$G$26,0))&lt;&gt;"",INDEX('Rules'!$F$7:$F$26,MATCH(SUBSTITUTE(SUBSTITUTE(SUBSTITUTE(SUBSTITUTE("type:"&amp;B32,"%","%25"),"~","%7E"),"*","%2A"),"?","%3F"),'Rules'!$G$7:$G$26,0)),IF(AND(C32&lt;&gt;"",C32&lt;&gt;INDEX('Rules'!$B$7:$B$26,MATCH(SUBSTITUTE(SUBSTITUTE(SUBSTITUTE(SUBSTITUTE("type:"&amp;B32,"%","%25"),"~","%7E"),"*","%2A"),"?","%3F"),'Rules'!$G$7:$G$26,0))),"Unit mismatch",IF(IF(NOT(ISNUMBER(D32)),TRUE,OR(D32&lt;0,D32&gt;999999999,ROUND(D32,3)&lt;&gt;D32)),"Invalid current reading",IF(AND(E32&lt;&gt;"",IF(NOT(ISNUMBER(E32)),TRUE,OR(E32&lt;0,E32&gt;999999999,ROUND(E32,3)&lt;&gt;E32))),"Invalid previous reading",IF(IF(NOT(ISNUMBER(F32)),TRUE,OR(F32&lt;0,F32&gt;999999999,ROUND(F32,3)&lt;&gt;F32)),"Invalid last service",IF(AND(E32&lt;&gt;"",D32&lt;E32),"Decreased reading",IF(F32&gt;D32,"Last service above current","")))))))))))))</x:f>
      </x:c>
      <x:c r="L32" s="6" t="str">
        <x:f>IF(AND(NOT(COUNTA(A32:F32)=0),K32=""),INDEX('Rules'!$C$7:$C$26,MATCH(SUBSTITUTE(SUBSTITUTE(SUBSTITUTE(SUBSTITUTE("type:"&amp;B32,"%","%25"),"~","%7E"),"*","%2A"),"?","%3F"),'Rules'!$G$7:$G$26,0)),"")</x:f>
      </x:c>
      <x:c r="M32" s="6" t="str">
        <x:f>IF(AND(NOT(COUNTA(A32:F32)=0),K32=""),INDEX('Rules'!$D$7:$D$26,MATCH(SUBSTITUTE(SUBSTITUTE(SUBSTITUTE(SUBSTITUTE("type:"&amp;B32,"%","%25"),"~","%7E"),"*","%2A"),"?","%3F"),'Rules'!$G$7:$G$26,0)),"")</x:f>
      </x:c>
      <x:c r="N32" s="5" t="str">
        <x:f>IF(COUNTA(A32:F32)=0,"",SUBSTITUTE(SUBSTITUTE(SUBSTITUTE(SUBSTITUTE("id:"&amp;A32,"%","%25"),"~","%7E"),"*","%2A"),"?","%3F"))</x:f>
      </x:c>
    </x:row>
    <x:row r="33" ht="22" customHeight="1">
      <x:c r="A33" s="3"/>
      <x:c r="B33" s="3"/>
      <x:c r="C33" s="3"/>
      <x:c r="D33" s="4"/>
      <x:c r="E33" s="4"/>
      <x:c r="F33" s="4"/>
      <x:c r="G33" s="5" t="str">
        <x:f>IF(COUNTA(A33:F33)=0,"",IF(K33&lt;&gt;"","Review",IF(I33&lt;0,"Overdue",IF(I33=0,"Due now",IF(I33&lt;=M33,"Due soon","Not due")))))</x:f>
      </x:c>
      <x:c r="H33" s="5" t="str">
        <x:f>IF(OR(COUNTA(A33:F33)=0,COUNTIFS('Rules'!$G$7:$G$26,"="&amp;(SUBSTITUTE(SUBSTITUTE(SUBSTITUTE(SUBSTITUTE("type:"&amp;B33,"%","%25"),"~","%7E"),"*","%2A"),"?","%3F")))&lt;&gt;1),"",IF(OR(INDEX('Rules'!$B$7:$B$26,MATCH(SUBSTITUTE(SUBSTITUTE(SUBSTITUTE(SUBSTITUTE("type:"&amp;B33,"%","%25"),"~","%7E"),"*","%2A"),"?","%3F"),'Rules'!$G$7:$G$26,0))="hours",INDEX('Rules'!$B$7:$B$26,MATCH(SUBSTITUTE(SUBSTITUTE(SUBSTITUTE(SUBSTITUTE("type:"&amp;B33,"%","%25"),"~","%7E"),"*","%2A"),"?","%3F"),'Rules'!$G$7:$G$26,0))="km"),INDEX('Rules'!$B$7:$B$26,MATCH(SUBSTITUTE(SUBSTITUTE(SUBSTITUTE(SUBSTITUTE("type:"&amp;B33,"%","%25"),"~","%7E"),"*","%2A"),"?","%3F"),'Rules'!$G$7:$G$26,0)),""))</x:f>
      </x:c>
      <x:c r="I33" s="6" t="str">
        <x:f>IF(AND(NOT(COUNTA(A33:F33)=0),K33=""),ROUND(J33-D33,3),"")</x:f>
      </x:c>
      <x:c r="J33" s="6" t="str">
        <x:f>IF(AND(NOT(COUNTA(A33:F33)=0),K33=""),ROUND(F33+L33,3),"")</x:f>
      </x:c>
      <x:c r="K33" s="5" t="str">
        <x:f>IF(COUNTA(A33:F33)=0,"",IF(A33="","Missing equipment ID",IF(COUNTIFS($N$8:$N$2007,"="&amp;N33)&gt;1,"Duplicate equipment ID",IF(B33="","Missing type",IF(COUNTIFS('Rules'!$G$7:$G$26,"="&amp;(SUBSTITUTE(SUBSTITUTE(SUBSTITUTE(SUBSTITUTE("type:"&amp;B33,"%","%25"),"~","%7E"),"*","%2A"),"?","%3F")))=0,"Unknown type",IF(COUNTIFS('Rules'!$G$7:$G$26,"="&amp;(SUBSTITUTE(SUBSTITUTE(SUBSTITUTE(SUBSTITUTE("type:"&amp;B33,"%","%25"),"~","%7E"),"*","%2A"),"?","%3F")))&gt;1,"Duplicate type",IF(INDEX('Rules'!$F$7:$F$26,MATCH(SUBSTITUTE(SUBSTITUTE(SUBSTITUTE(SUBSTITUTE("type:"&amp;B33,"%","%25"),"~","%7E"),"*","%2A"),"?","%3F"),'Rules'!$G$7:$G$26,0))&lt;&gt;"",INDEX('Rules'!$F$7:$F$26,MATCH(SUBSTITUTE(SUBSTITUTE(SUBSTITUTE(SUBSTITUTE("type:"&amp;B33,"%","%25"),"~","%7E"),"*","%2A"),"?","%3F"),'Rules'!$G$7:$G$26,0)),IF(AND(C33&lt;&gt;"",C33&lt;&gt;INDEX('Rules'!$B$7:$B$26,MATCH(SUBSTITUTE(SUBSTITUTE(SUBSTITUTE(SUBSTITUTE("type:"&amp;B33,"%","%25"),"~","%7E"),"*","%2A"),"?","%3F"),'Rules'!$G$7:$G$26,0))),"Unit mismatch",IF(IF(NOT(ISNUMBER(D33)),TRUE,OR(D33&lt;0,D33&gt;999999999,ROUND(D33,3)&lt;&gt;D33)),"Invalid current reading",IF(AND(E33&lt;&gt;"",IF(NOT(ISNUMBER(E33)),TRUE,OR(E33&lt;0,E33&gt;999999999,ROUND(E33,3)&lt;&gt;E33))),"Invalid previous reading",IF(IF(NOT(ISNUMBER(F33)),TRUE,OR(F33&lt;0,F33&gt;999999999,ROUND(F33,3)&lt;&gt;F33)),"Invalid last service",IF(AND(E33&lt;&gt;"",D33&lt;E33),"Decreased reading",IF(F33&gt;D33,"Last service above current","")))))))))))))</x:f>
      </x:c>
      <x:c r="L33" s="6" t="str">
        <x:f>IF(AND(NOT(COUNTA(A33:F33)=0),K33=""),INDEX('Rules'!$C$7:$C$26,MATCH(SUBSTITUTE(SUBSTITUTE(SUBSTITUTE(SUBSTITUTE("type:"&amp;B33,"%","%25"),"~","%7E"),"*","%2A"),"?","%3F"),'Rules'!$G$7:$G$26,0)),"")</x:f>
      </x:c>
      <x:c r="M33" s="6" t="str">
        <x:f>IF(AND(NOT(COUNTA(A33:F33)=0),K33=""),INDEX('Rules'!$D$7:$D$26,MATCH(SUBSTITUTE(SUBSTITUTE(SUBSTITUTE(SUBSTITUTE("type:"&amp;B33,"%","%25"),"~","%7E"),"*","%2A"),"?","%3F"),'Rules'!$G$7:$G$26,0)),"")</x:f>
      </x:c>
      <x:c r="N33" s="5" t="str">
        <x:f>IF(COUNTA(A33:F33)=0,"",SUBSTITUTE(SUBSTITUTE(SUBSTITUTE(SUBSTITUTE("id:"&amp;A33,"%","%25"),"~","%7E"),"*","%2A"),"?","%3F"))</x:f>
      </x:c>
    </x:row>
    <x:row r="34" ht="22" customHeight="1">
      <x:c r="A34" s="3"/>
      <x:c r="B34" s="3"/>
      <x:c r="C34" s="3"/>
      <x:c r="D34" s="4"/>
      <x:c r="E34" s="4"/>
      <x:c r="F34" s="4"/>
      <x:c r="G34" s="5" t="str">
        <x:f>IF(COUNTA(A34:F34)=0,"",IF(K34&lt;&gt;"","Review",IF(I34&lt;0,"Overdue",IF(I34=0,"Due now",IF(I34&lt;=M34,"Due soon","Not due")))))</x:f>
      </x:c>
      <x:c r="H34" s="5" t="str">
        <x:f>IF(OR(COUNTA(A34:F34)=0,COUNTIFS('Rules'!$G$7:$G$26,"="&amp;(SUBSTITUTE(SUBSTITUTE(SUBSTITUTE(SUBSTITUTE("type:"&amp;B34,"%","%25"),"~","%7E"),"*","%2A"),"?","%3F")))&lt;&gt;1),"",IF(OR(INDEX('Rules'!$B$7:$B$26,MATCH(SUBSTITUTE(SUBSTITUTE(SUBSTITUTE(SUBSTITUTE("type:"&amp;B34,"%","%25"),"~","%7E"),"*","%2A"),"?","%3F"),'Rules'!$G$7:$G$26,0))="hours",INDEX('Rules'!$B$7:$B$26,MATCH(SUBSTITUTE(SUBSTITUTE(SUBSTITUTE(SUBSTITUTE("type:"&amp;B34,"%","%25"),"~","%7E"),"*","%2A"),"?","%3F"),'Rules'!$G$7:$G$26,0))="km"),INDEX('Rules'!$B$7:$B$26,MATCH(SUBSTITUTE(SUBSTITUTE(SUBSTITUTE(SUBSTITUTE("type:"&amp;B34,"%","%25"),"~","%7E"),"*","%2A"),"?","%3F"),'Rules'!$G$7:$G$26,0)),""))</x:f>
      </x:c>
      <x:c r="I34" s="6" t="str">
        <x:f>IF(AND(NOT(COUNTA(A34:F34)=0),K34=""),ROUND(J34-D34,3),"")</x:f>
      </x:c>
      <x:c r="J34" s="6" t="str">
        <x:f>IF(AND(NOT(COUNTA(A34:F34)=0),K34=""),ROUND(F34+L34,3),"")</x:f>
      </x:c>
      <x:c r="K34" s="5" t="str">
        <x:f>IF(COUNTA(A34:F34)=0,"",IF(A34="","Missing equipment ID",IF(COUNTIFS($N$8:$N$2007,"="&amp;N34)&gt;1,"Duplicate equipment ID",IF(B34="","Missing type",IF(COUNTIFS('Rules'!$G$7:$G$26,"="&amp;(SUBSTITUTE(SUBSTITUTE(SUBSTITUTE(SUBSTITUTE("type:"&amp;B34,"%","%25"),"~","%7E"),"*","%2A"),"?","%3F")))=0,"Unknown type",IF(COUNTIFS('Rules'!$G$7:$G$26,"="&amp;(SUBSTITUTE(SUBSTITUTE(SUBSTITUTE(SUBSTITUTE("type:"&amp;B34,"%","%25"),"~","%7E"),"*","%2A"),"?","%3F")))&gt;1,"Duplicate type",IF(INDEX('Rules'!$F$7:$F$26,MATCH(SUBSTITUTE(SUBSTITUTE(SUBSTITUTE(SUBSTITUTE("type:"&amp;B34,"%","%25"),"~","%7E"),"*","%2A"),"?","%3F"),'Rules'!$G$7:$G$26,0))&lt;&gt;"",INDEX('Rules'!$F$7:$F$26,MATCH(SUBSTITUTE(SUBSTITUTE(SUBSTITUTE(SUBSTITUTE("type:"&amp;B34,"%","%25"),"~","%7E"),"*","%2A"),"?","%3F"),'Rules'!$G$7:$G$26,0)),IF(AND(C34&lt;&gt;"",C34&lt;&gt;INDEX('Rules'!$B$7:$B$26,MATCH(SUBSTITUTE(SUBSTITUTE(SUBSTITUTE(SUBSTITUTE("type:"&amp;B34,"%","%25"),"~","%7E"),"*","%2A"),"?","%3F"),'Rules'!$G$7:$G$26,0))),"Unit mismatch",IF(IF(NOT(ISNUMBER(D34)),TRUE,OR(D34&lt;0,D34&gt;999999999,ROUND(D34,3)&lt;&gt;D34)),"Invalid current reading",IF(AND(E34&lt;&gt;"",IF(NOT(ISNUMBER(E34)),TRUE,OR(E34&lt;0,E34&gt;999999999,ROUND(E34,3)&lt;&gt;E34))),"Invalid previous reading",IF(IF(NOT(ISNUMBER(F34)),TRUE,OR(F34&lt;0,F34&gt;999999999,ROUND(F34,3)&lt;&gt;F34)),"Invalid last service",IF(AND(E34&lt;&gt;"",D34&lt;E34),"Decreased reading",IF(F34&gt;D34,"Last service above current","")))))))))))))</x:f>
      </x:c>
      <x:c r="L34" s="6" t="str">
        <x:f>IF(AND(NOT(COUNTA(A34:F34)=0),K34=""),INDEX('Rules'!$C$7:$C$26,MATCH(SUBSTITUTE(SUBSTITUTE(SUBSTITUTE(SUBSTITUTE("type:"&amp;B34,"%","%25"),"~","%7E"),"*","%2A"),"?","%3F"),'Rules'!$G$7:$G$26,0)),"")</x:f>
      </x:c>
      <x:c r="M34" s="6" t="str">
        <x:f>IF(AND(NOT(COUNTA(A34:F34)=0),K34=""),INDEX('Rules'!$D$7:$D$26,MATCH(SUBSTITUTE(SUBSTITUTE(SUBSTITUTE(SUBSTITUTE("type:"&amp;B34,"%","%25"),"~","%7E"),"*","%2A"),"?","%3F"),'Rules'!$G$7:$G$26,0)),"")</x:f>
      </x:c>
      <x:c r="N34" s="5" t="str">
        <x:f>IF(COUNTA(A34:F34)=0,"",SUBSTITUTE(SUBSTITUTE(SUBSTITUTE(SUBSTITUTE("id:"&amp;A34,"%","%25"),"~","%7E"),"*","%2A"),"?","%3F"))</x:f>
      </x:c>
    </x:row>
    <x:row r="35" ht="22" customHeight="1">
      <x:c r="A35" s="3"/>
      <x:c r="B35" s="3"/>
      <x:c r="C35" s="3"/>
      <x:c r="D35" s="4"/>
      <x:c r="E35" s="4"/>
      <x:c r="F35" s="4"/>
      <x:c r="G35" s="5" t="str">
        <x:f>IF(COUNTA(A35:F35)=0,"",IF(K35&lt;&gt;"","Review",IF(I35&lt;0,"Overdue",IF(I35=0,"Due now",IF(I35&lt;=M35,"Due soon","Not due")))))</x:f>
      </x:c>
      <x:c r="H35" s="5" t="str">
        <x:f>IF(OR(COUNTA(A35:F35)=0,COUNTIFS('Rules'!$G$7:$G$26,"="&amp;(SUBSTITUTE(SUBSTITUTE(SUBSTITUTE(SUBSTITUTE("type:"&amp;B35,"%","%25"),"~","%7E"),"*","%2A"),"?","%3F")))&lt;&gt;1),"",IF(OR(INDEX('Rules'!$B$7:$B$26,MATCH(SUBSTITUTE(SUBSTITUTE(SUBSTITUTE(SUBSTITUTE("type:"&amp;B35,"%","%25"),"~","%7E"),"*","%2A"),"?","%3F"),'Rules'!$G$7:$G$26,0))="hours",INDEX('Rules'!$B$7:$B$26,MATCH(SUBSTITUTE(SUBSTITUTE(SUBSTITUTE(SUBSTITUTE("type:"&amp;B35,"%","%25"),"~","%7E"),"*","%2A"),"?","%3F"),'Rules'!$G$7:$G$26,0))="km"),INDEX('Rules'!$B$7:$B$26,MATCH(SUBSTITUTE(SUBSTITUTE(SUBSTITUTE(SUBSTITUTE("type:"&amp;B35,"%","%25"),"~","%7E"),"*","%2A"),"?","%3F"),'Rules'!$G$7:$G$26,0)),""))</x:f>
      </x:c>
      <x:c r="I35" s="6" t="str">
        <x:f>IF(AND(NOT(COUNTA(A35:F35)=0),K35=""),ROUND(J35-D35,3),"")</x:f>
      </x:c>
      <x:c r="J35" s="6" t="str">
        <x:f>IF(AND(NOT(COUNTA(A35:F35)=0),K35=""),ROUND(F35+L35,3),"")</x:f>
      </x:c>
      <x:c r="K35" s="5" t="str">
        <x:f>IF(COUNTA(A35:F35)=0,"",IF(A35="","Missing equipment ID",IF(COUNTIFS($N$8:$N$2007,"="&amp;N35)&gt;1,"Duplicate equipment ID",IF(B35="","Missing type",IF(COUNTIFS('Rules'!$G$7:$G$26,"="&amp;(SUBSTITUTE(SUBSTITUTE(SUBSTITUTE(SUBSTITUTE("type:"&amp;B35,"%","%25"),"~","%7E"),"*","%2A"),"?","%3F")))=0,"Unknown type",IF(COUNTIFS('Rules'!$G$7:$G$26,"="&amp;(SUBSTITUTE(SUBSTITUTE(SUBSTITUTE(SUBSTITUTE("type:"&amp;B35,"%","%25"),"~","%7E"),"*","%2A"),"?","%3F")))&gt;1,"Duplicate type",IF(INDEX('Rules'!$F$7:$F$26,MATCH(SUBSTITUTE(SUBSTITUTE(SUBSTITUTE(SUBSTITUTE("type:"&amp;B35,"%","%25"),"~","%7E"),"*","%2A"),"?","%3F"),'Rules'!$G$7:$G$26,0))&lt;&gt;"",INDEX('Rules'!$F$7:$F$26,MATCH(SUBSTITUTE(SUBSTITUTE(SUBSTITUTE(SUBSTITUTE("type:"&amp;B35,"%","%25"),"~","%7E"),"*","%2A"),"?","%3F"),'Rules'!$G$7:$G$26,0)),IF(AND(C35&lt;&gt;"",C35&lt;&gt;INDEX('Rules'!$B$7:$B$26,MATCH(SUBSTITUTE(SUBSTITUTE(SUBSTITUTE(SUBSTITUTE("type:"&amp;B35,"%","%25"),"~","%7E"),"*","%2A"),"?","%3F"),'Rules'!$G$7:$G$26,0))),"Unit mismatch",IF(IF(NOT(ISNUMBER(D35)),TRUE,OR(D35&lt;0,D35&gt;999999999,ROUND(D35,3)&lt;&gt;D35)),"Invalid current reading",IF(AND(E35&lt;&gt;"",IF(NOT(ISNUMBER(E35)),TRUE,OR(E35&lt;0,E35&gt;999999999,ROUND(E35,3)&lt;&gt;E35))),"Invalid previous reading",IF(IF(NOT(ISNUMBER(F35)),TRUE,OR(F35&lt;0,F35&gt;999999999,ROUND(F35,3)&lt;&gt;F35)),"Invalid last service",IF(AND(E35&lt;&gt;"",D35&lt;E35),"Decreased reading",IF(F35&gt;D35,"Last service above current","")))))))))))))</x:f>
      </x:c>
      <x:c r="L35" s="6" t="str">
        <x:f>IF(AND(NOT(COUNTA(A35:F35)=0),K35=""),INDEX('Rules'!$C$7:$C$26,MATCH(SUBSTITUTE(SUBSTITUTE(SUBSTITUTE(SUBSTITUTE("type:"&amp;B35,"%","%25"),"~","%7E"),"*","%2A"),"?","%3F"),'Rules'!$G$7:$G$26,0)),"")</x:f>
      </x:c>
      <x:c r="M35" s="6" t="str">
        <x:f>IF(AND(NOT(COUNTA(A35:F35)=0),K35=""),INDEX('Rules'!$D$7:$D$26,MATCH(SUBSTITUTE(SUBSTITUTE(SUBSTITUTE(SUBSTITUTE("type:"&amp;B35,"%","%25"),"~","%7E"),"*","%2A"),"?","%3F"),'Rules'!$G$7:$G$26,0)),"")</x:f>
      </x:c>
      <x:c r="N35" s="5" t="str">
        <x:f>IF(COUNTA(A35:F35)=0,"",SUBSTITUTE(SUBSTITUTE(SUBSTITUTE(SUBSTITUTE("id:"&amp;A35,"%","%25"),"~","%7E"),"*","%2A"),"?","%3F"))</x:f>
      </x:c>
    </x:row>
    <x:row r="36" ht="22" customHeight="1">
      <x:c r="A36" s="3"/>
      <x:c r="B36" s="3"/>
      <x:c r="C36" s="3"/>
      <x:c r="D36" s="4"/>
      <x:c r="E36" s="4"/>
      <x:c r="F36" s="4"/>
      <x:c r="G36" s="5" t="str">
        <x:f>IF(COUNTA(A36:F36)=0,"",IF(K36&lt;&gt;"","Review",IF(I36&lt;0,"Overdue",IF(I36=0,"Due now",IF(I36&lt;=M36,"Due soon","Not due")))))</x:f>
      </x:c>
      <x:c r="H36" s="5" t="str">
        <x:f>IF(OR(COUNTA(A36:F36)=0,COUNTIFS('Rules'!$G$7:$G$26,"="&amp;(SUBSTITUTE(SUBSTITUTE(SUBSTITUTE(SUBSTITUTE("type:"&amp;B36,"%","%25"),"~","%7E"),"*","%2A"),"?","%3F")))&lt;&gt;1),"",IF(OR(INDEX('Rules'!$B$7:$B$26,MATCH(SUBSTITUTE(SUBSTITUTE(SUBSTITUTE(SUBSTITUTE("type:"&amp;B36,"%","%25"),"~","%7E"),"*","%2A"),"?","%3F"),'Rules'!$G$7:$G$26,0))="hours",INDEX('Rules'!$B$7:$B$26,MATCH(SUBSTITUTE(SUBSTITUTE(SUBSTITUTE(SUBSTITUTE("type:"&amp;B36,"%","%25"),"~","%7E"),"*","%2A"),"?","%3F"),'Rules'!$G$7:$G$26,0))="km"),INDEX('Rules'!$B$7:$B$26,MATCH(SUBSTITUTE(SUBSTITUTE(SUBSTITUTE(SUBSTITUTE("type:"&amp;B36,"%","%25"),"~","%7E"),"*","%2A"),"?","%3F"),'Rules'!$G$7:$G$26,0)),""))</x:f>
      </x:c>
      <x:c r="I36" s="6" t="str">
        <x:f>IF(AND(NOT(COUNTA(A36:F36)=0),K36=""),ROUND(J36-D36,3),"")</x:f>
      </x:c>
      <x:c r="J36" s="6" t="str">
        <x:f>IF(AND(NOT(COUNTA(A36:F36)=0),K36=""),ROUND(F36+L36,3),"")</x:f>
      </x:c>
      <x:c r="K36" s="5" t="str">
        <x:f>IF(COUNTA(A36:F36)=0,"",IF(A36="","Missing equipment ID",IF(COUNTIFS($N$8:$N$2007,"="&amp;N36)&gt;1,"Duplicate equipment ID",IF(B36="","Missing type",IF(COUNTIFS('Rules'!$G$7:$G$26,"="&amp;(SUBSTITUTE(SUBSTITUTE(SUBSTITUTE(SUBSTITUTE("type:"&amp;B36,"%","%25"),"~","%7E"),"*","%2A"),"?","%3F")))=0,"Unknown type",IF(COUNTIFS('Rules'!$G$7:$G$26,"="&amp;(SUBSTITUTE(SUBSTITUTE(SUBSTITUTE(SUBSTITUTE("type:"&amp;B36,"%","%25"),"~","%7E"),"*","%2A"),"?","%3F")))&gt;1,"Duplicate type",IF(INDEX('Rules'!$F$7:$F$26,MATCH(SUBSTITUTE(SUBSTITUTE(SUBSTITUTE(SUBSTITUTE("type:"&amp;B36,"%","%25"),"~","%7E"),"*","%2A"),"?","%3F"),'Rules'!$G$7:$G$26,0))&lt;&gt;"",INDEX('Rules'!$F$7:$F$26,MATCH(SUBSTITUTE(SUBSTITUTE(SUBSTITUTE(SUBSTITUTE("type:"&amp;B36,"%","%25"),"~","%7E"),"*","%2A"),"?","%3F"),'Rules'!$G$7:$G$26,0)),IF(AND(C36&lt;&gt;"",C36&lt;&gt;INDEX('Rules'!$B$7:$B$26,MATCH(SUBSTITUTE(SUBSTITUTE(SUBSTITUTE(SUBSTITUTE("type:"&amp;B36,"%","%25"),"~","%7E"),"*","%2A"),"?","%3F"),'Rules'!$G$7:$G$26,0))),"Unit mismatch",IF(IF(NOT(ISNUMBER(D36)),TRUE,OR(D36&lt;0,D36&gt;999999999,ROUND(D36,3)&lt;&gt;D36)),"Invalid current reading",IF(AND(E36&lt;&gt;"",IF(NOT(ISNUMBER(E36)),TRUE,OR(E36&lt;0,E36&gt;999999999,ROUND(E36,3)&lt;&gt;E36))),"Invalid previous reading",IF(IF(NOT(ISNUMBER(F36)),TRUE,OR(F36&lt;0,F36&gt;999999999,ROUND(F36,3)&lt;&gt;F36)),"Invalid last service",IF(AND(E36&lt;&gt;"",D36&lt;E36),"Decreased reading",IF(F36&gt;D36,"Last service above current","")))))))))))))</x:f>
      </x:c>
      <x:c r="L36" s="6" t="str">
        <x:f>IF(AND(NOT(COUNTA(A36:F36)=0),K36=""),INDEX('Rules'!$C$7:$C$26,MATCH(SUBSTITUTE(SUBSTITUTE(SUBSTITUTE(SUBSTITUTE("type:"&amp;B36,"%","%25"),"~","%7E"),"*","%2A"),"?","%3F"),'Rules'!$G$7:$G$26,0)),"")</x:f>
      </x:c>
      <x:c r="M36" s="6" t="str">
        <x:f>IF(AND(NOT(COUNTA(A36:F36)=0),K36=""),INDEX('Rules'!$D$7:$D$26,MATCH(SUBSTITUTE(SUBSTITUTE(SUBSTITUTE(SUBSTITUTE("type:"&amp;B36,"%","%25"),"~","%7E"),"*","%2A"),"?","%3F"),'Rules'!$G$7:$G$26,0)),"")</x:f>
      </x:c>
      <x:c r="N36" s="5" t="str">
        <x:f>IF(COUNTA(A36:F36)=0,"",SUBSTITUTE(SUBSTITUTE(SUBSTITUTE(SUBSTITUTE("id:"&amp;A36,"%","%25"),"~","%7E"),"*","%2A"),"?","%3F"))</x:f>
      </x:c>
    </x:row>
    <x:row r="37" ht="22" customHeight="1">
      <x:c r="A37" s="3"/>
      <x:c r="B37" s="3"/>
      <x:c r="C37" s="3"/>
      <x:c r="D37" s="4"/>
      <x:c r="E37" s="4"/>
      <x:c r="F37" s="4"/>
      <x:c r="G37" s="5" t="str">
        <x:f>IF(COUNTA(A37:F37)=0,"",IF(K37&lt;&gt;"","Review",IF(I37&lt;0,"Overdue",IF(I37=0,"Due now",IF(I37&lt;=M37,"Due soon","Not due")))))</x:f>
      </x:c>
      <x:c r="H37" s="5" t="str">
        <x:f>IF(OR(COUNTA(A37:F37)=0,COUNTIFS('Rules'!$G$7:$G$26,"="&amp;(SUBSTITUTE(SUBSTITUTE(SUBSTITUTE(SUBSTITUTE("type:"&amp;B37,"%","%25"),"~","%7E"),"*","%2A"),"?","%3F")))&lt;&gt;1),"",IF(OR(INDEX('Rules'!$B$7:$B$26,MATCH(SUBSTITUTE(SUBSTITUTE(SUBSTITUTE(SUBSTITUTE("type:"&amp;B37,"%","%25"),"~","%7E"),"*","%2A"),"?","%3F"),'Rules'!$G$7:$G$26,0))="hours",INDEX('Rules'!$B$7:$B$26,MATCH(SUBSTITUTE(SUBSTITUTE(SUBSTITUTE(SUBSTITUTE("type:"&amp;B37,"%","%25"),"~","%7E"),"*","%2A"),"?","%3F"),'Rules'!$G$7:$G$26,0))="km"),INDEX('Rules'!$B$7:$B$26,MATCH(SUBSTITUTE(SUBSTITUTE(SUBSTITUTE(SUBSTITUTE("type:"&amp;B37,"%","%25"),"~","%7E"),"*","%2A"),"?","%3F"),'Rules'!$G$7:$G$26,0)),""))</x:f>
      </x:c>
      <x:c r="I37" s="6" t="str">
        <x:f>IF(AND(NOT(COUNTA(A37:F37)=0),K37=""),ROUND(J37-D37,3),"")</x:f>
      </x:c>
      <x:c r="J37" s="6" t="str">
        <x:f>IF(AND(NOT(COUNTA(A37:F37)=0),K37=""),ROUND(F37+L37,3),"")</x:f>
      </x:c>
      <x:c r="K37" s="5" t="str">
        <x:f>IF(COUNTA(A37:F37)=0,"",IF(A37="","Missing equipment ID",IF(COUNTIFS($N$8:$N$2007,"="&amp;N37)&gt;1,"Duplicate equipment ID",IF(B37="","Missing type",IF(COUNTIFS('Rules'!$G$7:$G$26,"="&amp;(SUBSTITUTE(SUBSTITUTE(SUBSTITUTE(SUBSTITUTE("type:"&amp;B37,"%","%25"),"~","%7E"),"*","%2A"),"?","%3F")))=0,"Unknown type",IF(COUNTIFS('Rules'!$G$7:$G$26,"="&amp;(SUBSTITUTE(SUBSTITUTE(SUBSTITUTE(SUBSTITUTE("type:"&amp;B37,"%","%25"),"~","%7E"),"*","%2A"),"?","%3F")))&gt;1,"Duplicate type",IF(INDEX('Rules'!$F$7:$F$26,MATCH(SUBSTITUTE(SUBSTITUTE(SUBSTITUTE(SUBSTITUTE("type:"&amp;B37,"%","%25"),"~","%7E"),"*","%2A"),"?","%3F"),'Rules'!$G$7:$G$26,0))&lt;&gt;"",INDEX('Rules'!$F$7:$F$26,MATCH(SUBSTITUTE(SUBSTITUTE(SUBSTITUTE(SUBSTITUTE("type:"&amp;B37,"%","%25"),"~","%7E"),"*","%2A"),"?","%3F"),'Rules'!$G$7:$G$26,0)),IF(AND(C37&lt;&gt;"",C37&lt;&gt;INDEX('Rules'!$B$7:$B$26,MATCH(SUBSTITUTE(SUBSTITUTE(SUBSTITUTE(SUBSTITUTE("type:"&amp;B37,"%","%25"),"~","%7E"),"*","%2A"),"?","%3F"),'Rules'!$G$7:$G$26,0))),"Unit mismatch",IF(IF(NOT(ISNUMBER(D37)),TRUE,OR(D37&lt;0,D37&gt;999999999,ROUND(D37,3)&lt;&gt;D37)),"Invalid current reading",IF(AND(E37&lt;&gt;"",IF(NOT(ISNUMBER(E37)),TRUE,OR(E37&lt;0,E37&gt;999999999,ROUND(E37,3)&lt;&gt;E37))),"Invalid previous reading",IF(IF(NOT(ISNUMBER(F37)),TRUE,OR(F37&lt;0,F37&gt;999999999,ROUND(F37,3)&lt;&gt;F37)),"Invalid last service",IF(AND(E37&lt;&gt;"",D37&lt;E37),"Decreased reading",IF(F37&gt;D37,"Last service above current","")))))))))))))</x:f>
      </x:c>
      <x:c r="L37" s="6" t="str">
        <x:f>IF(AND(NOT(COUNTA(A37:F37)=0),K37=""),INDEX('Rules'!$C$7:$C$26,MATCH(SUBSTITUTE(SUBSTITUTE(SUBSTITUTE(SUBSTITUTE("type:"&amp;B37,"%","%25"),"~","%7E"),"*","%2A"),"?","%3F"),'Rules'!$G$7:$G$26,0)),"")</x:f>
      </x:c>
      <x:c r="M37" s="6" t="str">
        <x:f>IF(AND(NOT(COUNTA(A37:F37)=0),K37=""),INDEX('Rules'!$D$7:$D$26,MATCH(SUBSTITUTE(SUBSTITUTE(SUBSTITUTE(SUBSTITUTE("type:"&amp;B37,"%","%25"),"~","%7E"),"*","%2A"),"?","%3F"),'Rules'!$G$7:$G$26,0)),"")</x:f>
      </x:c>
      <x:c r="N37" s="5" t="str">
        <x:f>IF(COUNTA(A37:F37)=0,"",SUBSTITUTE(SUBSTITUTE(SUBSTITUTE(SUBSTITUTE("id:"&amp;A37,"%","%25"),"~","%7E"),"*","%2A"),"?","%3F"))</x:f>
      </x:c>
    </x:row>
    <x:row r="38" ht="22" customHeight="1">
      <x:c r="A38" s="3"/>
      <x:c r="B38" s="3"/>
      <x:c r="C38" s="3"/>
      <x:c r="D38" s="4"/>
      <x:c r="E38" s="4"/>
      <x:c r="F38" s="4"/>
      <x:c r="G38" s="5" t="str">
        <x:f>IF(COUNTA(A38:F38)=0,"",IF(K38&lt;&gt;"","Review",IF(I38&lt;0,"Overdue",IF(I38=0,"Due now",IF(I38&lt;=M38,"Due soon","Not due")))))</x:f>
      </x:c>
      <x:c r="H38" s="5" t="str">
        <x:f>IF(OR(COUNTA(A38:F38)=0,COUNTIFS('Rules'!$G$7:$G$26,"="&amp;(SUBSTITUTE(SUBSTITUTE(SUBSTITUTE(SUBSTITUTE("type:"&amp;B38,"%","%25"),"~","%7E"),"*","%2A"),"?","%3F")))&lt;&gt;1),"",IF(OR(INDEX('Rules'!$B$7:$B$26,MATCH(SUBSTITUTE(SUBSTITUTE(SUBSTITUTE(SUBSTITUTE("type:"&amp;B38,"%","%25"),"~","%7E"),"*","%2A"),"?","%3F"),'Rules'!$G$7:$G$26,0))="hours",INDEX('Rules'!$B$7:$B$26,MATCH(SUBSTITUTE(SUBSTITUTE(SUBSTITUTE(SUBSTITUTE("type:"&amp;B38,"%","%25"),"~","%7E"),"*","%2A"),"?","%3F"),'Rules'!$G$7:$G$26,0))="km"),INDEX('Rules'!$B$7:$B$26,MATCH(SUBSTITUTE(SUBSTITUTE(SUBSTITUTE(SUBSTITUTE("type:"&amp;B38,"%","%25"),"~","%7E"),"*","%2A"),"?","%3F"),'Rules'!$G$7:$G$26,0)),""))</x:f>
      </x:c>
      <x:c r="I38" s="6" t="str">
        <x:f>IF(AND(NOT(COUNTA(A38:F38)=0),K38=""),ROUND(J38-D38,3),"")</x:f>
      </x:c>
      <x:c r="J38" s="6" t="str">
        <x:f>IF(AND(NOT(COUNTA(A38:F38)=0),K38=""),ROUND(F38+L38,3),"")</x:f>
      </x:c>
      <x:c r="K38" s="5" t="str">
        <x:f>IF(COUNTA(A38:F38)=0,"",IF(A38="","Missing equipment ID",IF(COUNTIFS($N$8:$N$2007,"="&amp;N38)&gt;1,"Duplicate equipment ID",IF(B38="","Missing type",IF(COUNTIFS('Rules'!$G$7:$G$26,"="&amp;(SUBSTITUTE(SUBSTITUTE(SUBSTITUTE(SUBSTITUTE("type:"&amp;B38,"%","%25"),"~","%7E"),"*","%2A"),"?","%3F")))=0,"Unknown type",IF(COUNTIFS('Rules'!$G$7:$G$26,"="&amp;(SUBSTITUTE(SUBSTITUTE(SUBSTITUTE(SUBSTITUTE("type:"&amp;B38,"%","%25"),"~","%7E"),"*","%2A"),"?","%3F")))&gt;1,"Duplicate type",IF(INDEX('Rules'!$F$7:$F$26,MATCH(SUBSTITUTE(SUBSTITUTE(SUBSTITUTE(SUBSTITUTE("type:"&amp;B38,"%","%25"),"~","%7E"),"*","%2A"),"?","%3F"),'Rules'!$G$7:$G$26,0))&lt;&gt;"",INDEX('Rules'!$F$7:$F$26,MATCH(SUBSTITUTE(SUBSTITUTE(SUBSTITUTE(SUBSTITUTE("type:"&amp;B38,"%","%25"),"~","%7E"),"*","%2A"),"?","%3F"),'Rules'!$G$7:$G$26,0)),IF(AND(C38&lt;&gt;"",C38&lt;&gt;INDEX('Rules'!$B$7:$B$26,MATCH(SUBSTITUTE(SUBSTITUTE(SUBSTITUTE(SUBSTITUTE("type:"&amp;B38,"%","%25"),"~","%7E"),"*","%2A"),"?","%3F"),'Rules'!$G$7:$G$26,0))),"Unit mismatch",IF(IF(NOT(ISNUMBER(D38)),TRUE,OR(D38&lt;0,D38&gt;999999999,ROUND(D38,3)&lt;&gt;D38)),"Invalid current reading",IF(AND(E38&lt;&gt;"",IF(NOT(ISNUMBER(E38)),TRUE,OR(E38&lt;0,E38&gt;999999999,ROUND(E38,3)&lt;&gt;E38))),"Invalid previous reading",IF(IF(NOT(ISNUMBER(F38)),TRUE,OR(F38&lt;0,F38&gt;999999999,ROUND(F38,3)&lt;&gt;F38)),"Invalid last service",IF(AND(E38&lt;&gt;"",D38&lt;E38),"Decreased reading",IF(F38&gt;D38,"Last service above current","")))))))))))))</x:f>
      </x:c>
      <x:c r="L38" s="6" t="str">
        <x:f>IF(AND(NOT(COUNTA(A38:F38)=0),K38=""),INDEX('Rules'!$C$7:$C$26,MATCH(SUBSTITUTE(SUBSTITUTE(SUBSTITUTE(SUBSTITUTE("type:"&amp;B38,"%","%25"),"~","%7E"),"*","%2A"),"?","%3F"),'Rules'!$G$7:$G$26,0)),"")</x:f>
      </x:c>
      <x:c r="M38" s="6" t="str">
        <x:f>IF(AND(NOT(COUNTA(A38:F38)=0),K38=""),INDEX('Rules'!$D$7:$D$26,MATCH(SUBSTITUTE(SUBSTITUTE(SUBSTITUTE(SUBSTITUTE("type:"&amp;B38,"%","%25"),"~","%7E"),"*","%2A"),"?","%3F"),'Rules'!$G$7:$G$26,0)),"")</x:f>
      </x:c>
      <x:c r="N38" s="5" t="str">
        <x:f>IF(COUNTA(A38:F38)=0,"",SUBSTITUTE(SUBSTITUTE(SUBSTITUTE(SUBSTITUTE("id:"&amp;A38,"%","%25"),"~","%7E"),"*","%2A"),"?","%3F"))</x:f>
      </x:c>
    </x:row>
    <x:row r="39" ht="22" customHeight="1">
      <x:c r="A39" s="3"/>
      <x:c r="B39" s="3"/>
      <x:c r="C39" s="3"/>
      <x:c r="D39" s="4"/>
      <x:c r="E39" s="4"/>
      <x:c r="F39" s="4"/>
      <x:c r="G39" s="5" t="str">
        <x:f>IF(COUNTA(A39:F39)=0,"",IF(K39&lt;&gt;"","Review",IF(I39&lt;0,"Overdue",IF(I39=0,"Due now",IF(I39&lt;=M39,"Due soon","Not due")))))</x:f>
      </x:c>
      <x:c r="H39" s="5" t="str">
        <x:f>IF(OR(COUNTA(A39:F39)=0,COUNTIFS('Rules'!$G$7:$G$26,"="&amp;(SUBSTITUTE(SUBSTITUTE(SUBSTITUTE(SUBSTITUTE("type:"&amp;B39,"%","%25"),"~","%7E"),"*","%2A"),"?","%3F")))&lt;&gt;1),"",IF(OR(INDEX('Rules'!$B$7:$B$26,MATCH(SUBSTITUTE(SUBSTITUTE(SUBSTITUTE(SUBSTITUTE("type:"&amp;B39,"%","%25"),"~","%7E"),"*","%2A"),"?","%3F"),'Rules'!$G$7:$G$26,0))="hours",INDEX('Rules'!$B$7:$B$26,MATCH(SUBSTITUTE(SUBSTITUTE(SUBSTITUTE(SUBSTITUTE("type:"&amp;B39,"%","%25"),"~","%7E"),"*","%2A"),"?","%3F"),'Rules'!$G$7:$G$26,0))="km"),INDEX('Rules'!$B$7:$B$26,MATCH(SUBSTITUTE(SUBSTITUTE(SUBSTITUTE(SUBSTITUTE("type:"&amp;B39,"%","%25"),"~","%7E"),"*","%2A"),"?","%3F"),'Rules'!$G$7:$G$26,0)),""))</x:f>
      </x:c>
      <x:c r="I39" s="6" t="str">
        <x:f>IF(AND(NOT(COUNTA(A39:F39)=0),K39=""),ROUND(J39-D39,3),"")</x:f>
      </x:c>
      <x:c r="J39" s="6" t="str">
        <x:f>IF(AND(NOT(COUNTA(A39:F39)=0),K39=""),ROUND(F39+L39,3),"")</x:f>
      </x:c>
      <x:c r="K39" s="5" t="str">
        <x:f>IF(COUNTA(A39:F39)=0,"",IF(A39="","Missing equipment ID",IF(COUNTIFS($N$8:$N$2007,"="&amp;N39)&gt;1,"Duplicate equipment ID",IF(B39="","Missing type",IF(COUNTIFS('Rules'!$G$7:$G$26,"="&amp;(SUBSTITUTE(SUBSTITUTE(SUBSTITUTE(SUBSTITUTE("type:"&amp;B39,"%","%25"),"~","%7E"),"*","%2A"),"?","%3F")))=0,"Unknown type",IF(COUNTIFS('Rules'!$G$7:$G$26,"="&amp;(SUBSTITUTE(SUBSTITUTE(SUBSTITUTE(SUBSTITUTE("type:"&amp;B39,"%","%25"),"~","%7E"),"*","%2A"),"?","%3F")))&gt;1,"Duplicate type",IF(INDEX('Rules'!$F$7:$F$26,MATCH(SUBSTITUTE(SUBSTITUTE(SUBSTITUTE(SUBSTITUTE("type:"&amp;B39,"%","%25"),"~","%7E"),"*","%2A"),"?","%3F"),'Rules'!$G$7:$G$26,0))&lt;&gt;"",INDEX('Rules'!$F$7:$F$26,MATCH(SUBSTITUTE(SUBSTITUTE(SUBSTITUTE(SUBSTITUTE("type:"&amp;B39,"%","%25"),"~","%7E"),"*","%2A"),"?","%3F"),'Rules'!$G$7:$G$26,0)),IF(AND(C39&lt;&gt;"",C39&lt;&gt;INDEX('Rules'!$B$7:$B$26,MATCH(SUBSTITUTE(SUBSTITUTE(SUBSTITUTE(SUBSTITUTE("type:"&amp;B39,"%","%25"),"~","%7E"),"*","%2A"),"?","%3F"),'Rules'!$G$7:$G$26,0))),"Unit mismatch",IF(IF(NOT(ISNUMBER(D39)),TRUE,OR(D39&lt;0,D39&gt;999999999,ROUND(D39,3)&lt;&gt;D39)),"Invalid current reading",IF(AND(E39&lt;&gt;"",IF(NOT(ISNUMBER(E39)),TRUE,OR(E39&lt;0,E39&gt;999999999,ROUND(E39,3)&lt;&gt;E39))),"Invalid previous reading",IF(IF(NOT(ISNUMBER(F39)),TRUE,OR(F39&lt;0,F39&gt;999999999,ROUND(F39,3)&lt;&gt;F39)),"Invalid last service",IF(AND(E39&lt;&gt;"",D39&lt;E39),"Decreased reading",IF(F39&gt;D39,"Last service above current","")))))))))))))</x:f>
      </x:c>
      <x:c r="L39" s="6" t="str">
        <x:f>IF(AND(NOT(COUNTA(A39:F39)=0),K39=""),INDEX('Rules'!$C$7:$C$26,MATCH(SUBSTITUTE(SUBSTITUTE(SUBSTITUTE(SUBSTITUTE("type:"&amp;B39,"%","%25"),"~","%7E"),"*","%2A"),"?","%3F"),'Rules'!$G$7:$G$26,0)),"")</x:f>
      </x:c>
      <x:c r="M39" s="6" t="str">
        <x:f>IF(AND(NOT(COUNTA(A39:F39)=0),K39=""),INDEX('Rules'!$D$7:$D$26,MATCH(SUBSTITUTE(SUBSTITUTE(SUBSTITUTE(SUBSTITUTE("type:"&amp;B39,"%","%25"),"~","%7E"),"*","%2A"),"?","%3F"),'Rules'!$G$7:$G$26,0)),"")</x:f>
      </x:c>
      <x:c r="N39" s="5" t="str">
        <x:f>IF(COUNTA(A39:F39)=0,"",SUBSTITUTE(SUBSTITUTE(SUBSTITUTE(SUBSTITUTE("id:"&amp;A39,"%","%25"),"~","%7E"),"*","%2A"),"?","%3F"))</x:f>
      </x:c>
    </x:row>
    <x:row r="40" ht="22" customHeight="1">
      <x:c r="A40" s="3"/>
      <x:c r="B40" s="3"/>
      <x:c r="C40" s="3"/>
      <x:c r="D40" s="4"/>
      <x:c r="E40" s="4"/>
      <x:c r="F40" s="4"/>
      <x:c r="G40" s="5" t="str">
        <x:f>IF(COUNTA(A40:F40)=0,"",IF(K40&lt;&gt;"","Review",IF(I40&lt;0,"Overdue",IF(I40=0,"Due now",IF(I40&lt;=M40,"Due soon","Not due")))))</x:f>
      </x:c>
      <x:c r="H40" s="5" t="str">
        <x:f>IF(OR(COUNTA(A40:F40)=0,COUNTIFS('Rules'!$G$7:$G$26,"="&amp;(SUBSTITUTE(SUBSTITUTE(SUBSTITUTE(SUBSTITUTE("type:"&amp;B40,"%","%25"),"~","%7E"),"*","%2A"),"?","%3F")))&lt;&gt;1),"",IF(OR(INDEX('Rules'!$B$7:$B$26,MATCH(SUBSTITUTE(SUBSTITUTE(SUBSTITUTE(SUBSTITUTE("type:"&amp;B40,"%","%25"),"~","%7E"),"*","%2A"),"?","%3F"),'Rules'!$G$7:$G$26,0))="hours",INDEX('Rules'!$B$7:$B$26,MATCH(SUBSTITUTE(SUBSTITUTE(SUBSTITUTE(SUBSTITUTE("type:"&amp;B40,"%","%25"),"~","%7E"),"*","%2A"),"?","%3F"),'Rules'!$G$7:$G$26,0))="km"),INDEX('Rules'!$B$7:$B$26,MATCH(SUBSTITUTE(SUBSTITUTE(SUBSTITUTE(SUBSTITUTE("type:"&amp;B40,"%","%25"),"~","%7E"),"*","%2A"),"?","%3F"),'Rules'!$G$7:$G$26,0)),""))</x:f>
      </x:c>
      <x:c r="I40" s="6" t="str">
        <x:f>IF(AND(NOT(COUNTA(A40:F40)=0),K40=""),ROUND(J40-D40,3),"")</x:f>
      </x:c>
      <x:c r="J40" s="6" t="str">
        <x:f>IF(AND(NOT(COUNTA(A40:F40)=0),K40=""),ROUND(F40+L40,3),"")</x:f>
      </x:c>
      <x:c r="K40" s="5" t="str">
        <x:f>IF(COUNTA(A40:F40)=0,"",IF(A40="","Missing equipment ID",IF(COUNTIFS($N$8:$N$2007,"="&amp;N40)&gt;1,"Duplicate equipment ID",IF(B40="","Missing type",IF(COUNTIFS('Rules'!$G$7:$G$26,"="&amp;(SUBSTITUTE(SUBSTITUTE(SUBSTITUTE(SUBSTITUTE("type:"&amp;B40,"%","%25"),"~","%7E"),"*","%2A"),"?","%3F")))=0,"Unknown type",IF(COUNTIFS('Rules'!$G$7:$G$26,"="&amp;(SUBSTITUTE(SUBSTITUTE(SUBSTITUTE(SUBSTITUTE("type:"&amp;B40,"%","%25"),"~","%7E"),"*","%2A"),"?","%3F")))&gt;1,"Duplicate type",IF(INDEX('Rules'!$F$7:$F$26,MATCH(SUBSTITUTE(SUBSTITUTE(SUBSTITUTE(SUBSTITUTE("type:"&amp;B40,"%","%25"),"~","%7E"),"*","%2A"),"?","%3F"),'Rules'!$G$7:$G$26,0))&lt;&gt;"",INDEX('Rules'!$F$7:$F$26,MATCH(SUBSTITUTE(SUBSTITUTE(SUBSTITUTE(SUBSTITUTE("type:"&amp;B40,"%","%25"),"~","%7E"),"*","%2A"),"?","%3F"),'Rules'!$G$7:$G$26,0)),IF(AND(C40&lt;&gt;"",C40&lt;&gt;INDEX('Rules'!$B$7:$B$26,MATCH(SUBSTITUTE(SUBSTITUTE(SUBSTITUTE(SUBSTITUTE("type:"&amp;B40,"%","%25"),"~","%7E"),"*","%2A"),"?","%3F"),'Rules'!$G$7:$G$26,0))),"Unit mismatch",IF(IF(NOT(ISNUMBER(D40)),TRUE,OR(D40&lt;0,D40&gt;999999999,ROUND(D40,3)&lt;&gt;D40)),"Invalid current reading",IF(AND(E40&lt;&gt;"",IF(NOT(ISNUMBER(E40)),TRUE,OR(E40&lt;0,E40&gt;999999999,ROUND(E40,3)&lt;&gt;E40))),"Invalid previous reading",IF(IF(NOT(ISNUMBER(F40)),TRUE,OR(F40&lt;0,F40&gt;999999999,ROUND(F40,3)&lt;&gt;F40)),"Invalid last service",IF(AND(E40&lt;&gt;"",D40&lt;E40),"Decreased reading",IF(F40&gt;D40,"Last service above current","")))))))))))))</x:f>
      </x:c>
      <x:c r="L40" s="6" t="str">
        <x:f>IF(AND(NOT(COUNTA(A40:F40)=0),K40=""),INDEX('Rules'!$C$7:$C$26,MATCH(SUBSTITUTE(SUBSTITUTE(SUBSTITUTE(SUBSTITUTE("type:"&amp;B40,"%","%25"),"~","%7E"),"*","%2A"),"?","%3F"),'Rules'!$G$7:$G$26,0)),"")</x:f>
      </x:c>
      <x:c r="M40" s="6" t="str">
        <x:f>IF(AND(NOT(COUNTA(A40:F40)=0),K40=""),INDEX('Rules'!$D$7:$D$26,MATCH(SUBSTITUTE(SUBSTITUTE(SUBSTITUTE(SUBSTITUTE("type:"&amp;B40,"%","%25"),"~","%7E"),"*","%2A"),"?","%3F"),'Rules'!$G$7:$G$26,0)),"")</x:f>
      </x:c>
      <x:c r="N40" s="5" t="str">
        <x:f>IF(COUNTA(A40:F40)=0,"",SUBSTITUTE(SUBSTITUTE(SUBSTITUTE(SUBSTITUTE("id:"&amp;A40,"%","%25"),"~","%7E"),"*","%2A"),"?","%3F"))</x:f>
      </x:c>
    </x:row>
    <x:row r="41" ht="22" customHeight="1">
      <x:c r="A41" s="3"/>
      <x:c r="B41" s="3"/>
      <x:c r="C41" s="3"/>
      <x:c r="D41" s="4"/>
      <x:c r="E41" s="4"/>
      <x:c r="F41" s="4"/>
      <x:c r="G41" s="5" t="str">
        <x:f>IF(COUNTA(A41:F41)=0,"",IF(K41&lt;&gt;"","Review",IF(I41&lt;0,"Overdue",IF(I41=0,"Due now",IF(I41&lt;=M41,"Due soon","Not due")))))</x:f>
      </x:c>
      <x:c r="H41" s="5" t="str">
        <x:f>IF(OR(COUNTA(A41:F41)=0,COUNTIFS('Rules'!$G$7:$G$26,"="&amp;(SUBSTITUTE(SUBSTITUTE(SUBSTITUTE(SUBSTITUTE("type:"&amp;B41,"%","%25"),"~","%7E"),"*","%2A"),"?","%3F")))&lt;&gt;1),"",IF(OR(INDEX('Rules'!$B$7:$B$26,MATCH(SUBSTITUTE(SUBSTITUTE(SUBSTITUTE(SUBSTITUTE("type:"&amp;B41,"%","%25"),"~","%7E"),"*","%2A"),"?","%3F"),'Rules'!$G$7:$G$26,0))="hours",INDEX('Rules'!$B$7:$B$26,MATCH(SUBSTITUTE(SUBSTITUTE(SUBSTITUTE(SUBSTITUTE("type:"&amp;B41,"%","%25"),"~","%7E"),"*","%2A"),"?","%3F"),'Rules'!$G$7:$G$26,0))="km"),INDEX('Rules'!$B$7:$B$26,MATCH(SUBSTITUTE(SUBSTITUTE(SUBSTITUTE(SUBSTITUTE("type:"&amp;B41,"%","%25"),"~","%7E"),"*","%2A"),"?","%3F"),'Rules'!$G$7:$G$26,0)),""))</x:f>
      </x:c>
      <x:c r="I41" s="6" t="str">
        <x:f>IF(AND(NOT(COUNTA(A41:F41)=0),K41=""),ROUND(J41-D41,3),"")</x:f>
      </x:c>
      <x:c r="J41" s="6" t="str">
        <x:f>IF(AND(NOT(COUNTA(A41:F41)=0),K41=""),ROUND(F41+L41,3),"")</x:f>
      </x:c>
      <x:c r="K41" s="5" t="str">
        <x:f>IF(COUNTA(A41:F41)=0,"",IF(A41="","Missing equipment ID",IF(COUNTIFS($N$8:$N$2007,"="&amp;N41)&gt;1,"Duplicate equipment ID",IF(B41="","Missing type",IF(COUNTIFS('Rules'!$G$7:$G$26,"="&amp;(SUBSTITUTE(SUBSTITUTE(SUBSTITUTE(SUBSTITUTE("type:"&amp;B41,"%","%25"),"~","%7E"),"*","%2A"),"?","%3F")))=0,"Unknown type",IF(COUNTIFS('Rules'!$G$7:$G$26,"="&amp;(SUBSTITUTE(SUBSTITUTE(SUBSTITUTE(SUBSTITUTE("type:"&amp;B41,"%","%25"),"~","%7E"),"*","%2A"),"?","%3F")))&gt;1,"Duplicate type",IF(INDEX('Rules'!$F$7:$F$26,MATCH(SUBSTITUTE(SUBSTITUTE(SUBSTITUTE(SUBSTITUTE("type:"&amp;B41,"%","%25"),"~","%7E"),"*","%2A"),"?","%3F"),'Rules'!$G$7:$G$26,0))&lt;&gt;"",INDEX('Rules'!$F$7:$F$26,MATCH(SUBSTITUTE(SUBSTITUTE(SUBSTITUTE(SUBSTITUTE("type:"&amp;B41,"%","%25"),"~","%7E"),"*","%2A"),"?","%3F"),'Rules'!$G$7:$G$26,0)),IF(AND(C41&lt;&gt;"",C41&lt;&gt;INDEX('Rules'!$B$7:$B$26,MATCH(SUBSTITUTE(SUBSTITUTE(SUBSTITUTE(SUBSTITUTE("type:"&amp;B41,"%","%25"),"~","%7E"),"*","%2A"),"?","%3F"),'Rules'!$G$7:$G$26,0))),"Unit mismatch",IF(IF(NOT(ISNUMBER(D41)),TRUE,OR(D41&lt;0,D41&gt;999999999,ROUND(D41,3)&lt;&gt;D41)),"Invalid current reading",IF(AND(E41&lt;&gt;"",IF(NOT(ISNUMBER(E41)),TRUE,OR(E41&lt;0,E41&gt;999999999,ROUND(E41,3)&lt;&gt;E41))),"Invalid previous reading",IF(IF(NOT(ISNUMBER(F41)),TRUE,OR(F41&lt;0,F41&gt;999999999,ROUND(F41,3)&lt;&gt;F41)),"Invalid last service",IF(AND(E41&lt;&gt;"",D41&lt;E41),"Decreased reading",IF(F41&gt;D41,"Last service above current","")))))))))))))</x:f>
      </x:c>
      <x:c r="L41" s="6" t="str">
        <x:f>IF(AND(NOT(COUNTA(A41:F41)=0),K41=""),INDEX('Rules'!$C$7:$C$26,MATCH(SUBSTITUTE(SUBSTITUTE(SUBSTITUTE(SUBSTITUTE("type:"&amp;B41,"%","%25"),"~","%7E"),"*","%2A"),"?","%3F"),'Rules'!$G$7:$G$26,0)),"")</x:f>
      </x:c>
      <x:c r="M41" s="6" t="str">
        <x:f>IF(AND(NOT(COUNTA(A41:F41)=0),K41=""),INDEX('Rules'!$D$7:$D$26,MATCH(SUBSTITUTE(SUBSTITUTE(SUBSTITUTE(SUBSTITUTE("type:"&amp;B41,"%","%25"),"~","%7E"),"*","%2A"),"?","%3F"),'Rules'!$G$7:$G$26,0)),"")</x:f>
      </x:c>
      <x:c r="N41" s="5" t="str">
        <x:f>IF(COUNTA(A41:F41)=0,"",SUBSTITUTE(SUBSTITUTE(SUBSTITUTE(SUBSTITUTE("id:"&amp;A41,"%","%25"),"~","%7E"),"*","%2A"),"?","%3F"))</x:f>
      </x:c>
    </x:row>
    <x:row r="42" ht="22" customHeight="1">
      <x:c r="A42" s="3"/>
      <x:c r="B42" s="3"/>
      <x:c r="C42" s="3"/>
      <x:c r="D42" s="4"/>
      <x:c r="E42" s="4"/>
      <x:c r="F42" s="4"/>
      <x:c r="G42" s="5" t="str">
        <x:f>IF(COUNTA(A42:F42)=0,"",IF(K42&lt;&gt;"","Review",IF(I42&lt;0,"Overdue",IF(I42=0,"Due now",IF(I42&lt;=M42,"Due soon","Not due")))))</x:f>
      </x:c>
      <x:c r="H42" s="5" t="str">
        <x:f>IF(OR(COUNTA(A42:F42)=0,COUNTIFS('Rules'!$G$7:$G$26,"="&amp;(SUBSTITUTE(SUBSTITUTE(SUBSTITUTE(SUBSTITUTE("type:"&amp;B42,"%","%25"),"~","%7E"),"*","%2A"),"?","%3F")))&lt;&gt;1),"",IF(OR(INDEX('Rules'!$B$7:$B$26,MATCH(SUBSTITUTE(SUBSTITUTE(SUBSTITUTE(SUBSTITUTE("type:"&amp;B42,"%","%25"),"~","%7E"),"*","%2A"),"?","%3F"),'Rules'!$G$7:$G$26,0))="hours",INDEX('Rules'!$B$7:$B$26,MATCH(SUBSTITUTE(SUBSTITUTE(SUBSTITUTE(SUBSTITUTE("type:"&amp;B42,"%","%25"),"~","%7E"),"*","%2A"),"?","%3F"),'Rules'!$G$7:$G$26,0))="km"),INDEX('Rules'!$B$7:$B$26,MATCH(SUBSTITUTE(SUBSTITUTE(SUBSTITUTE(SUBSTITUTE("type:"&amp;B42,"%","%25"),"~","%7E"),"*","%2A"),"?","%3F"),'Rules'!$G$7:$G$26,0)),""))</x:f>
      </x:c>
      <x:c r="I42" s="6" t="str">
        <x:f>IF(AND(NOT(COUNTA(A42:F42)=0),K42=""),ROUND(J42-D42,3),"")</x:f>
      </x:c>
      <x:c r="J42" s="6" t="str">
        <x:f>IF(AND(NOT(COUNTA(A42:F42)=0),K42=""),ROUND(F42+L42,3),"")</x:f>
      </x:c>
      <x:c r="K42" s="5" t="str">
        <x:f>IF(COUNTA(A42:F42)=0,"",IF(A42="","Missing equipment ID",IF(COUNTIFS($N$8:$N$2007,"="&amp;N42)&gt;1,"Duplicate equipment ID",IF(B42="","Missing type",IF(COUNTIFS('Rules'!$G$7:$G$26,"="&amp;(SUBSTITUTE(SUBSTITUTE(SUBSTITUTE(SUBSTITUTE("type:"&amp;B42,"%","%25"),"~","%7E"),"*","%2A"),"?","%3F")))=0,"Unknown type",IF(COUNTIFS('Rules'!$G$7:$G$26,"="&amp;(SUBSTITUTE(SUBSTITUTE(SUBSTITUTE(SUBSTITUTE("type:"&amp;B42,"%","%25"),"~","%7E"),"*","%2A"),"?","%3F")))&gt;1,"Duplicate type",IF(INDEX('Rules'!$F$7:$F$26,MATCH(SUBSTITUTE(SUBSTITUTE(SUBSTITUTE(SUBSTITUTE("type:"&amp;B42,"%","%25"),"~","%7E"),"*","%2A"),"?","%3F"),'Rules'!$G$7:$G$26,0))&lt;&gt;"",INDEX('Rules'!$F$7:$F$26,MATCH(SUBSTITUTE(SUBSTITUTE(SUBSTITUTE(SUBSTITUTE("type:"&amp;B42,"%","%25"),"~","%7E"),"*","%2A"),"?","%3F"),'Rules'!$G$7:$G$26,0)),IF(AND(C42&lt;&gt;"",C42&lt;&gt;INDEX('Rules'!$B$7:$B$26,MATCH(SUBSTITUTE(SUBSTITUTE(SUBSTITUTE(SUBSTITUTE("type:"&amp;B42,"%","%25"),"~","%7E"),"*","%2A"),"?","%3F"),'Rules'!$G$7:$G$26,0))),"Unit mismatch",IF(IF(NOT(ISNUMBER(D42)),TRUE,OR(D42&lt;0,D42&gt;999999999,ROUND(D42,3)&lt;&gt;D42)),"Invalid current reading",IF(AND(E42&lt;&gt;"",IF(NOT(ISNUMBER(E42)),TRUE,OR(E42&lt;0,E42&gt;999999999,ROUND(E42,3)&lt;&gt;E42))),"Invalid previous reading",IF(IF(NOT(ISNUMBER(F42)),TRUE,OR(F42&lt;0,F42&gt;999999999,ROUND(F42,3)&lt;&gt;F42)),"Invalid last service",IF(AND(E42&lt;&gt;"",D42&lt;E42),"Decreased reading",IF(F42&gt;D42,"Last service above current","")))))))))))))</x:f>
      </x:c>
      <x:c r="L42" s="6" t="str">
        <x:f>IF(AND(NOT(COUNTA(A42:F42)=0),K42=""),INDEX('Rules'!$C$7:$C$26,MATCH(SUBSTITUTE(SUBSTITUTE(SUBSTITUTE(SUBSTITUTE("type:"&amp;B42,"%","%25"),"~","%7E"),"*","%2A"),"?","%3F"),'Rules'!$G$7:$G$26,0)),"")</x:f>
      </x:c>
      <x:c r="M42" s="6" t="str">
        <x:f>IF(AND(NOT(COUNTA(A42:F42)=0),K42=""),INDEX('Rules'!$D$7:$D$26,MATCH(SUBSTITUTE(SUBSTITUTE(SUBSTITUTE(SUBSTITUTE("type:"&amp;B42,"%","%25"),"~","%7E"),"*","%2A"),"?","%3F"),'Rules'!$G$7:$G$26,0)),"")</x:f>
      </x:c>
      <x:c r="N42" s="5" t="str">
        <x:f>IF(COUNTA(A42:F42)=0,"",SUBSTITUTE(SUBSTITUTE(SUBSTITUTE(SUBSTITUTE("id:"&amp;A42,"%","%25"),"~","%7E"),"*","%2A"),"?","%3F"))</x:f>
      </x:c>
    </x:row>
    <x:row r="43" ht="22" customHeight="1">
      <x:c r="A43" s="3"/>
      <x:c r="B43" s="3"/>
      <x:c r="C43" s="3"/>
      <x:c r="D43" s="4"/>
      <x:c r="E43" s="4"/>
      <x:c r="F43" s="4"/>
      <x:c r="G43" s="5" t="str">
        <x:f>IF(COUNTA(A43:F43)=0,"",IF(K43&lt;&gt;"","Review",IF(I43&lt;0,"Overdue",IF(I43=0,"Due now",IF(I43&lt;=M43,"Due soon","Not due")))))</x:f>
      </x:c>
      <x:c r="H43" s="5" t="str">
        <x:f>IF(OR(COUNTA(A43:F43)=0,COUNTIFS('Rules'!$G$7:$G$26,"="&amp;(SUBSTITUTE(SUBSTITUTE(SUBSTITUTE(SUBSTITUTE("type:"&amp;B43,"%","%25"),"~","%7E"),"*","%2A"),"?","%3F")))&lt;&gt;1),"",IF(OR(INDEX('Rules'!$B$7:$B$26,MATCH(SUBSTITUTE(SUBSTITUTE(SUBSTITUTE(SUBSTITUTE("type:"&amp;B43,"%","%25"),"~","%7E"),"*","%2A"),"?","%3F"),'Rules'!$G$7:$G$26,0))="hours",INDEX('Rules'!$B$7:$B$26,MATCH(SUBSTITUTE(SUBSTITUTE(SUBSTITUTE(SUBSTITUTE("type:"&amp;B43,"%","%25"),"~","%7E"),"*","%2A"),"?","%3F"),'Rules'!$G$7:$G$26,0))="km"),INDEX('Rules'!$B$7:$B$26,MATCH(SUBSTITUTE(SUBSTITUTE(SUBSTITUTE(SUBSTITUTE("type:"&amp;B43,"%","%25"),"~","%7E"),"*","%2A"),"?","%3F"),'Rules'!$G$7:$G$26,0)),""))</x:f>
      </x:c>
      <x:c r="I43" s="6" t="str">
        <x:f>IF(AND(NOT(COUNTA(A43:F43)=0),K43=""),ROUND(J43-D43,3),"")</x:f>
      </x:c>
      <x:c r="J43" s="6" t="str">
        <x:f>IF(AND(NOT(COUNTA(A43:F43)=0),K43=""),ROUND(F43+L43,3),"")</x:f>
      </x:c>
      <x:c r="K43" s="5" t="str">
        <x:f>IF(COUNTA(A43:F43)=0,"",IF(A43="","Missing equipment ID",IF(COUNTIFS($N$8:$N$2007,"="&amp;N43)&gt;1,"Duplicate equipment ID",IF(B43="","Missing type",IF(COUNTIFS('Rules'!$G$7:$G$26,"="&amp;(SUBSTITUTE(SUBSTITUTE(SUBSTITUTE(SUBSTITUTE("type:"&amp;B43,"%","%25"),"~","%7E"),"*","%2A"),"?","%3F")))=0,"Unknown type",IF(COUNTIFS('Rules'!$G$7:$G$26,"="&amp;(SUBSTITUTE(SUBSTITUTE(SUBSTITUTE(SUBSTITUTE("type:"&amp;B43,"%","%25"),"~","%7E"),"*","%2A"),"?","%3F")))&gt;1,"Duplicate type",IF(INDEX('Rules'!$F$7:$F$26,MATCH(SUBSTITUTE(SUBSTITUTE(SUBSTITUTE(SUBSTITUTE("type:"&amp;B43,"%","%25"),"~","%7E"),"*","%2A"),"?","%3F"),'Rules'!$G$7:$G$26,0))&lt;&gt;"",INDEX('Rules'!$F$7:$F$26,MATCH(SUBSTITUTE(SUBSTITUTE(SUBSTITUTE(SUBSTITUTE("type:"&amp;B43,"%","%25"),"~","%7E"),"*","%2A"),"?","%3F"),'Rules'!$G$7:$G$26,0)),IF(AND(C43&lt;&gt;"",C43&lt;&gt;INDEX('Rules'!$B$7:$B$26,MATCH(SUBSTITUTE(SUBSTITUTE(SUBSTITUTE(SUBSTITUTE("type:"&amp;B43,"%","%25"),"~","%7E"),"*","%2A"),"?","%3F"),'Rules'!$G$7:$G$26,0))),"Unit mismatch",IF(IF(NOT(ISNUMBER(D43)),TRUE,OR(D43&lt;0,D43&gt;999999999,ROUND(D43,3)&lt;&gt;D43)),"Invalid current reading",IF(AND(E43&lt;&gt;"",IF(NOT(ISNUMBER(E43)),TRUE,OR(E43&lt;0,E43&gt;999999999,ROUND(E43,3)&lt;&gt;E43))),"Invalid previous reading",IF(IF(NOT(ISNUMBER(F43)),TRUE,OR(F43&lt;0,F43&gt;999999999,ROUND(F43,3)&lt;&gt;F43)),"Invalid last service",IF(AND(E43&lt;&gt;"",D43&lt;E43),"Decreased reading",IF(F43&gt;D43,"Last service above current","")))))))))))))</x:f>
      </x:c>
      <x:c r="L43" s="6" t="str">
        <x:f>IF(AND(NOT(COUNTA(A43:F43)=0),K43=""),INDEX('Rules'!$C$7:$C$26,MATCH(SUBSTITUTE(SUBSTITUTE(SUBSTITUTE(SUBSTITUTE("type:"&amp;B43,"%","%25"),"~","%7E"),"*","%2A"),"?","%3F"),'Rules'!$G$7:$G$26,0)),"")</x:f>
      </x:c>
      <x:c r="M43" s="6" t="str">
        <x:f>IF(AND(NOT(COUNTA(A43:F43)=0),K43=""),INDEX('Rules'!$D$7:$D$26,MATCH(SUBSTITUTE(SUBSTITUTE(SUBSTITUTE(SUBSTITUTE("type:"&amp;B43,"%","%25"),"~","%7E"),"*","%2A"),"?","%3F"),'Rules'!$G$7:$G$26,0)),"")</x:f>
      </x:c>
      <x:c r="N43" s="5" t="str">
        <x:f>IF(COUNTA(A43:F43)=0,"",SUBSTITUTE(SUBSTITUTE(SUBSTITUTE(SUBSTITUTE("id:"&amp;A43,"%","%25"),"~","%7E"),"*","%2A"),"?","%3F"))</x:f>
      </x:c>
    </x:row>
    <x:row r="44" ht="22" customHeight="1">
      <x:c r="A44" s="3"/>
      <x:c r="B44" s="3"/>
      <x:c r="C44" s="3"/>
      <x:c r="D44" s="4"/>
      <x:c r="E44" s="4"/>
      <x:c r="F44" s="4"/>
      <x:c r="G44" s="5" t="str">
        <x:f>IF(COUNTA(A44:F44)=0,"",IF(K44&lt;&gt;"","Review",IF(I44&lt;0,"Overdue",IF(I44=0,"Due now",IF(I44&lt;=M44,"Due soon","Not due")))))</x:f>
      </x:c>
      <x:c r="H44" s="5" t="str">
        <x:f>IF(OR(COUNTA(A44:F44)=0,COUNTIFS('Rules'!$G$7:$G$26,"="&amp;(SUBSTITUTE(SUBSTITUTE(SUBSTITUTE(SUBSTITUTE("type:"&amp;B44,"%","%25"),"~","%7E"),"*","%2A"),"?","%3F")))&lt;&gt;1),"",IF(OR(INDEX('Rules'!$B$7:$B$26,MATCH(SUBSTITUTE(SUBSTITUTE(SUBSTITUTE(SUBSTITUTE("type:"&amp;B44,"%","%25"),"~","%7E"),"*","%2A"),"?","%3F"),'Rules'!$G$7:$G$26,0))="hours",INDEX('Rules'!$B$7:$B$26,MATCH(SUBSTITUTE(SUBSTITUTE(SUBSTITUTE(SUBSTITUTE("type:"&amp;B44,"%","%25"),"~","%7E"),"*","%2A"),"?","%3F"),'Rules'!$G$7:$G$26,0))="km"),INDEX('Rules'!$B$7:$B$26,MATCH(SUBSTITUTE(SUBSTITUTE(SUBSTITUTE(SUBSTITUTE("type:"&amp;B44,"%","%25"),"~","%7E"),"*","%2A"),"?","%3F"),'Rules'!$G$7:$G$26,0)),""))</x:f>
      </x:c>
      <x:c r="I44" s="6" t="str">
        <x:f>IF(AND(NOT(COUNTA(A44:F44)=0),K44=""),ROUND(J44-D44,3),"")</x:f>
      </x:c>
      <x:c r="J44" s="6" t="str">
        <x:f>IF(AND(NOT(COUNTA(A44:F44)=0),K44=""),ROUND(F44+L44,3),"")</x:f>
      </x:c>
      <x:c r="K44" s="5" t="str">
        <x:f>IF(COUNTA(A44:F44)=0,"",IF(A44="","Missing equipment ID",IF(COUNTIFS($N$8:$N$2007,"="&amp;N44)&gt;1,"Duplicate equipment ID",IF(B44="","Missing type",IF(COUNTIFS('Rules'!$G$7:$G$26,"="&amp;(SUBSTITUTE(SUBSTITUTE(SUBSTITUTE(SUBSTITUTE("type:"&amp;B44,"%","%25"),"~","%7E"),"*","%2A"),"?","%3F")))=0,"Unknown type",IF(COUNTIFS('Rules'!$G$7:$G$26,"="&amp;(SUBSTITUTE(SUBSTITUTE(SUBSTITUTE(SUBSTITUTE("type:"&amp;B44,"%","%25"),"~","%7E"),"*","%2A"),"?","%3F")))&gt;1,"Duplicate type",IF(INDEX('Rules'!$F$7:$F$26,MATCH(SUBSTITUTE(SUBSTITUTE(SUBSTITUTE(SUBSTITUTE("type:"&amp;B44,"%","%25"),"~","%7E"),"*","%2A"),"?","%3F"),'Rules'!$G$7:$G$26,0))&lt;&gt;"",INDEX('Rules'!$F$7:$F$26,MATCH(SUBSTITUTE(SUBSTITUTE(SUBSTITUTE(SUBSTITUTE("type:"&amp;B44,"%","%25"),"~","%7E"),"*","%2A"),"?","%3F"),'Rules'!$G$7:$G$26,0)),IF(AND(C44&lt;&gt;"",C44&lt;&gt;INDEX('Rules'!$B$7:$B$26,MATCH(SUBSTITUTE(SUBSTITUTE(SUBSTITUTE(SUBSTITUTE("type:"&amp;B44,"%","%25"),"~","%7E"),"*","%2A"),"?","%3F"),'Rules'!$G$7:$G$26,0))),"Unit mismatch",IF(IF(NOT(ISNUMBER(D44)),TRUE,OR(D44&lt;0,D44&gt;999999999,ROUND(D44,3)&lt;&gt;D44)),"Invalid current reading",IF(AND(E44&lt;&gt;"",IF(NOT(ISNUMBER(E44)),TRUE,OR(E44&lt;0,E44&gt;999999999,ROUND(E44,3)&lt;&gt;E44))),"Invalid previous reading",IF(IF(NOT(ISNUMBER(F44)),TRUE,OR(F44&lt;0,F44&gt;999999999,ROUND(F44,3)&lt;&gt;F44)),"Invalid last service",IF(AND(E44&lt;&gt;"",D44&lt;E44),"Decreased reading",IF(F44&gt;D44,"Last service above current","")))))))))))))</x:f>
      </x:c>
      <x:c r="L44" s="6" t="str">
        <x:f>IF(AND(NOT(COUNTA(A44:F44)=0),K44=""),INDEX('Rules'!$C$7:$C$26,MATCH(SUBSTITUTE(SUBSTITUTE(SUBSTITUTE(SUBSTITUTE("type:"&amp;B44,"%","%25"),"~","%7E"),"*","%2A"),"?","%3F"),'Rules'!$G$7:$G$26,0)),"")</x:f>
      </x:c>
      <x:c r="M44" s="6" t="str">
        <x:f>IF(AND(NOT(COUNTA(A44:F44)=0),K44=""),INDEX('Rules'!$D$7:$D$26,MATCH(SUBSTITUTE(SUBSTITUTE(SUBSTITUTE(SUBSTITUTE("type:"&amp;B44,"%","%25"),"~","%7E"),"*","%2A"),"?","%3F"),'Rules'!$G$7:$G$26,0)),"")</x:f>
      </x:c>
      <x:c r="N44" s="5" t="str">
        <x:f>IF(COUNTA(A44:F44)=0,"",SUBSTITUTE(SUBSTITUTE(SUBSTITUTE(SUBSTITUTE("id:"&amp;A44,"%","%25"),"~","%7E"),"*","%2A"),"?","%3F"))</x:f>
      </x:c>
    </x:row>
    <x:row r="45" ht="22" customHeight="1">
      <x:c r="A45" s="3"/>
      <x:c r="B45" s="3"/>
      <x:c r="C45" s="3"/>
      <x:c r="D45" s="4"/>
      <x:c r="E45" s="4"/>
      <x:c r="F45" s="4"/>
      <x:c r="G45" s="5" t="str">
        <x:f>IF(COUNTA(A45:F45)=0,"",IF(K45&lt;&gt;"","Review",IF(I45&lt;0,"Overdue",IF(I45=0,"Due now",IF(I45&lt;=M45,"Due soon","Not due")))))</x:f>
      </x:c>
      <x:c r="H45" s="5" t="str">
        <x:f>IF(OR(COUNTA(A45:F45)=0,COUNTIFS('Rules'!$G$7:$G$26,"="&amp;(SUBSTITUTE(SUBSTITUTE(SUBSTITUTE(SUBSTITUTE("type:"&amp;B45,"%","%25"),"~","%7E"),"*","%2A"),"?","%3F")))&lt;&gt;1),"",IF(OR(INDEX('Rules'!$B$7:$B$26,MATCH(SUBSTITUTE(SUBSTITUTE(SUBSTITUTE(SUBSTITUTE("type:"&amp;B45,"%","%25"),"~","%7E"),"*","%2A"),"?","%3F"),'Rules'!$G$7:$G$26,0))="hours",INDEX('Rules'!$B$7:$B$26,MATCH(SUBSTITUTE(SUBSTITUTE(SUBSTITUTE(SUBSTITUTE("type:"&amp;B45,"%","%25"),"~","%7E"),"*","%2A"),"?","%3F"),'Rules'!$G$7:$G$26,0))="km"),INDEX('Rules'!$B$7:$B$26,MATCH(SUBSTITUTE(SUBSTITUTE(SUBSTITUTE(SUBSTITUTE("type:"&amp;B45,"%","%25"),"~","%7E"),"*","%2A"),"?","%3F"),'Rules'!$G$7:$G$26,0)),""))</x:f>
      </x:c>
      <x:c r="I45" s="6" t="str">
        <x:f>IF(AND(NOT(COUNTA(A45:F45)=0),K45=""),ROUND(J45-D45,3),"")</x:f>
      </x:c>
      <x:c r="J45" s="6" t="str">
        <x:f>IF(AND(NOT(COUNTA(A45:F45)=0),K45=""),ROUND(F45+L45,3),"")</x:f>
      </x:c>
      <x:c r="K45" s="5" t="str">
        <x:f>IF(COUNTA(A45:F45)=0,"",IF(A45="","Missing equipment ID",IF(COUNTIFS($N$8:$N$2007,"="&amp;N45)&gt;1,"Duplicate equipment ID",IF(B45="","Missing type",IF(COUNTIFS('Rules'!$G$7:$G$26,"="&amp;(SUBSTITUTE(SUBSTITUTE(SUBSTITUTE(SUBSTITUTE("type:"&amp;B45,"%","%25"),"~","%7E"),"*","%2A"),"?","%3F")))=0,"Unknown type",IF(COUNTIFS('Rules'!$G$7:$G$26,"="&amp;(SUBSTITUTE(SUBSTITUTE(SUBSTITUTE(SUBSTITUTE("type:"&amp;B45,"%","%25"),"~","%7E"),"*","%2A"),"?","%3F")))&gt;1,"Duplicate type",IF(INDEX('Rules'!$F$7:$F$26,MATCH(SUBSTITUTE(SUBSTITUTE(SUBSTITUTE(SUBSTITUTE("type:"&amp;B45,"%","%25"),"~","%7E"),"*","%2A"),"?","%3F"),'Rules'!$G$7:$G$26,0))&lt;&gt;"",INDEX('Rules'!$F$7:$F$26,MATCH(SUBSTITUTE(SUBSTITUTE(SUBSTITUTE(SUBSTITUTE("type:"&amp;B45,"%","%25"),"~","%7E"),"*","%2A"),"?","%3F"),'Rules'!$G$7:$G$26,0)),IF(AND(C45&lt;&gt;"",C45&lt;&gt;INDEX('Rules'!$B$7:$B$26,MATCH(SUBSTITUTE(SUBSTITUTE(SUBSTITUTE(SUBSTITUTE("type:"&amp;B45,"%","%25"),"~","%7E"),"*","%2A"),"?","%3F"),'Rules'!$G$7:$G$26,0))),"Unit mismatch",IF(IF(NOT(ISNUMBER(D45)),TRUE,OR(D45&lt;0,D45&gt;999999999,ROUND(D45,3)&lt;&gt;D45)),"Invalid current reading",IF(AND(E45&lt;&gt;"",IF(NOT(ISNUMBER(E45)),TRUE,OR(E45&lt;0,E45&gt;999999999,ROUND(E45,3)&lt;&gt;E45))),"Invalid previous reading",IF(IF(NOT(ISNUMBER(F45)),TRUE,OR(F45&lt;0,F45&gt;999999999,ROUND(F45,3)&lt;&gt;F45)),"Invalid last service",IF(AND(E45&lt;&gt;"",D45&lt;E45),"Decreased reading",IF(F45&gt;D45,"Last service above current","")))))))))))))</x:f>
      </x:c>
      <x:c r="L45" s="6" t="str">
        <x:f>IF(AND(NOT(COUNTA(A45:F45)=0),K45=""),INDEX('Rules'!$C$7:$C$26,MATCH(SUBSTITUTE(SUBSTITUTE(SUBSTITUTE(SUBSTITUTE("type:"&amp;B45,"%","%25"),"~","%7E"),"*","%2A"),"?","%3F"),'Rules'!$G$7:$G$26,0)),"")</x:f>
      </x:c>
      <x:c r="M45" s="6" t="str">
        <x:f>IF(AND(NOT(COUNTA(A45:F45)=0),K45=""),INDEX('Rules'!$D$7:$D$26,MATCH(SUBSTITUTE(SUBSTITUTE(SUBSTITUTE(SUBSTITUTE("type:"&amp;B45,"%","%25"),"~","%7E"),"*","%2A"),"?","%3F"),'Rules'!$G$7:$G$26,0)),"")</x:f>
      </x:c>
      <x:c r="N45" s="5" t="str">
        <x:f>IF(COUNTA(A45:F45)=0,"",SUBSTITUTE(SUBSTITUTE(SUBSTITUTE(SUBSTITUTE("id:"&amp;A45,"%","%25"),"~","%7E"),"*","%2A"),"?","%3F"))</x:f>
      </x:c>
    </x:row>
    <x:row r="46" ht="22" customHeight="1">
      <x:c r="A46" s="3"/>
      <x:c r="B46" s="3"/>
      <x:c r="C46" s="3"/>
      <x:c r="D46" s="4"/>
      <x:c r="E46" s="4"/>
      <x:c r="F46" s="4"/>
      <x:c r="G46" s="5" t="str">
        <x:f>IF(COUNTA(A46:F46)=0,"",IF(K46&lt;&gt;"","Review",IF(I46&lt;0,"Overdue",IF(I46=0,"Due now",IF(I46&lt;=M46,"Due soon","Not due")))))</x:f>
      </x:c>
      <x:c r="H46" s="5" t="str">
        <x:f>IF(OR(COUNTA(A46:F46)=0,COUNTIFS('Rules'!$G$7:$G$26,"="&amp;(SUBSTITUTE(SUBSTITUTE(SUBSTITUTE(SUBSTITUTE("type:"&amp;B46,"%","%25"),"~","%7E"),"*","%2A"),"?","%3F")))&lt;&gt;1),"",IF(OR(INDEX('Rules'!$B$7:$B$26,MATCH(SUBSTITUTE(SUBSTITUTE(SUBSTITUTE(SUBSTITUTE("type:"&amp;B46,"%","%25"),"~","%7E"),"*","%2A"),"?","%3F"),'Rules'!$G$7:$G$26,0))="hours",INDEX('Rules'!$B$7:$B$26,MATCH(SUBSTITUTE(SUBSTITUTE(SUBSTITUTE(SUBSTITUTE("type:"&amp;B46,"%","%25"),"~","%7E"),"*","%2A"),"?","%3F"),'Rules'!$G$7:$G$26,0))="km"),INDEX('Rules'!$B$7:$B$26,MATCH(SUBSTITUTE(SUBSTITUTE(SUBSTITUTE(SUBSTITUTE("type:"&amp;B46,"%","%25"),"~","%7E"),"*","%2A"),"?","%3F"),'Rules'!$G$7:$G$26,0)),""))</x:f>
      </x:c>
      <x:c r="I46" s="6" t="str">
        <x:f>IF(AND(NOT(COUNTA(A46:F46)=0),K46=""),ROUND(J46-D46,3),"")</x:f>
      </x:c>
      <x:c r="J46" s="6" t="str">
        <x:f>IF(AND(NOT(COUNTA(A46:F46)=0),K46=""),ROUND(F46+L46,3),"")</x:f>
      </x:c>
      <x:c r="K46" s="5" t="str">
        <x:f>IF(COUNTA(A46:F46)=0,"",IF(A46="","Missing equipment ID",IF(COUNTIFS($N$8:$N$2007,"="&amp;N46)&gt;1,"Duplicate equipment ID",IF(B46="","Missing type",IF(COUNTIFS('Rules'!$G$7:$G$26,"="&amp;(SUBSTITUTE(SUBSTITUTE(SUBSTITUTE(SUBSTITUTE("type:"&amp;B46,"%","%25"),"~","%7E"),"*","%2A"),"?","%3F")))=0,"Unknown type",IF(COUNTIFS('Rules'!$G$7:$G$26,"="&amp;(SUBSTITUTE(SUBSTITUTE(SUBSTITUTE(SUBSTITUTE("type:"&amp;B46,"%","%25"),"~","%7E"),"*","%2A"),"?","%3F")))&gt;1,"Duplicate type",IF(INDEX('Rules'!$F$7:$F$26,MATCH(SUBSTITUTE(SUBSTITUTE(SUBSTITUTE(SUBSTITUTE("type:"&amp;B46,"%","%25"),"~","%7E"),"*","%2A"),"?","%3F"),'Rules'!$G$7:$G$26,0))&lt;&gt;"",INDEX('Rules'!$F$7:$F$26,MATCH(SUBSTITUTE(SUBSTITUTE(SUBSTITUTE(SUBSTITUTE("type:"&amp;B46,"%","%25"),"~","%7E"),"*","%2A"),"?","%3F"),'Rules'!$G$7:$G$26,0)),IF(AND(C46&lt;&gt;"",C46&lt;&gt;INDEX('Rules'!$B$7:$B$26,MATCH(SUBSTITUTE(SUBSTITUTE(SUBSTITUTE(SUBSTITUTE("type:"&amp;B46,"%","%25"),"~","%7E"),"*","%2A"),"?","%3F"),'Rules'!$G$7:$G$26,0))),"Unit mismatch",IF(IF(NOT(ISNUMBER(D46)),TRUE,OR(D46&lt;0,D46&gt;999999999,ROUND(D46,3)&lt;&gt;D46)),"Invalid current reading",IF(AND(E46&lt;&gt;"",IF(NOT(ISNUMBER(E46)),TRUE,OR(E46&lt;0,E46&gt;999999999,ROUND(E46,3)&lt;&gt;E46))),"Invalid previous reading",IF(IF(NOT(ISNUMBER(F46)),TRUE,OR(F46&lt;0,F46&gt;999999999,ROUND(F46,3)&lt;&gt;F46)),"Invalid last service",IF(AND(E46&lt;&gt;"",D46&lt;E46),"Decreased reading",IF(F46&gt;D46,"Last service above current","")))))))))))))</x:f>
      </x:c>
      <x:c r="L46" s="6" t="str">
        <x:f>IF(AND(NOT(COUNTA(A46:F46)=0),K46=""),INDEX('Rules'!$C$7:$C$26,MATCH(SUBSTITUTE(SUBSTITUTE(SUBSTITUTE(SUBSTITUTE("type:"&amp;B46,"%","%25"),"~","%7E"),"*","%2A"),"?","%3F"),'Rules'!$G$7:$G$26,0)),"")</x:f>
      </x:c>
      <x:c r="M46" s="6" t="str">
        <x:f>IF(AND(NOT(COUNTA(A46:F46)=0),K46=""),INDEX('Rules'!$D$7:$D$26,MATCH(SUBSTITUTE(SUBSTITUTE(SUBSTITUTE(SUBSTITUTE("type:"&amp;B46,"%","%25"),"~","%7E"),"*","%2A"),"?","%3F"),'Rules'!$G$7:$G$26,0)),"")</x:f>
      </x:c>
      <x:c r="N46" s="5" t="str">
        <x:f>IF(COUNTA(A46:F46)=0,"",SUBSTITUTE(SUBSTITUTE(SUBSTITUTE(SUBSTITUTE("id:"&amp;A46,"%","%25"),"~","%7E"),"*","%2A"),"?","%3F"))</x:f>
      </x:c>
    </x:row>
    <x:row r="47" ht="22" customHeight="1">
      <x:c r="A47" s="3"/>
      <x:c r="B47" s="3"/>
      <x:c r="C47" s="3"/>
      <x:c r="D47" s="4"/>
      <x:c r="E47" s="4"/>
      <x:c r="F47" s="4"/>
      <x:c r="G47" s="5" t="str">
        <x:f>IF(COUNTA(A47:F47)=0,"",IF(K47&lt;&gt;"","Review",IF(I47&lt;0,"Overdue",IF(I47=0,"Due now",IF(I47&lt;=M47,"Due soon","Not due")))))</x:f>
      </x:c>
      <x:c r="H47" s="5" t="str">
        <x:f>IF(OR(COUNTA(A47:F47)=0,COUNTIFS('Rules'!$G$7:$G$26,"="&amp;(SUBSTITUTE(SUBSTITUTE(SUBSTITUTE(SUBSTITUTE("type:"&amp;B47,"%","%25"),"~","%7E"),"*","%2A"),"?","%3F")))&lt;&gt;1),"",IF(OR(INDEX('Rules'!$B$7:$B$26,MATCH(SUBSTITUTE(SUBSTITUTE(SUBSTITUTE(SUBSTITUTE("type:"&amp;B47,"%","%25"),"~","%7E"),"*","%2A"),"?","%3F"),'Rules'!$G$7:$G$26,0))="hours",INDEX('Rules'!$B$7:$B$26,MATCH(SUBSTITUTE(SUBSTITUTE(SUBSTITUTE(SUBSTITUTE("type:"&amp;B47,"%","%25"),"~","%7E"),"*","%2A"),"?","%3F"),'Rules'!$G$7:$G$26,0))="km"),INDEX('Rules'!$B$7:$B$26,MATCH(SUBSTITUTE(SUBSTITUTE(SUBSTITUTE(SUBSTITUTE("type:"&amp;B47,"%","%25"),"~","%7E"),"*","%2A"),"?","%3F"),'Rules'!$G$7:$G$26,0)),""))</x:f>
      </x:c>
      <x:c r="I47" s="6" t="str">
        <x:f>IF(AND(NOT(COUNTA(A47:F47)=0),K47=""),ROUND(J47-D47,3),"")</x:f>
      </x:c>
      <x:c r="J47" s="6" t="str">
        <x:f>IF(AND(NOT(COUNTA(A47:F47)=0),K47=""),ROUND(F47+L47,3),"")</x:f>
      </x:c>
      <x:c r="K47" s="5" t="str">
        <x:f>IF(COUNTA(A47:F47)=0,"",IF(A47="","Missing equipment ID",IF(COUNTIFS($N$8:$N$2007,"="&amp;N47)&gt;1,"Duplicate equipment ID",IF(B47="","Missing type",IF(COUNTIFS('Rules'!$G$7:$G$26,"="&amp;(SUBSTITUTE(SUBSTITUTE(SUBSTITUTE(SUBSTITUTE("type:"&amp;B47,"%","%25"),"~","%7E"),"*","%2A"),"?","%3F")))=0,"Unknown type",IF(COUNTIFS('Rules'!$G$7:$G$26,"="&amp;(SUBSTITUTE(SUBSTITUTE(SUBSTITUTE(SUBSTITUTE("type:"&amp;B47,"%","%25"),"~","%7E"),"*","%2A"),"?","%3F")))&gt;1,"Duplicate type",IF(INDEX('Rules'!$F$7:$F$26,MATCH(SUBSTITUTE(SUBSTITUTE(SUBSTITUTE(SUBSTITUTE("type:"&amp;B47,"%","%25"),"~","%7E"),"*","%2A"),"?","%3F"),'Rules'!$G$7:$G$26,0))&lt;&gt;"",INDEX('Rules'!$F$7:$F$26,MATCH(SUBSTITUTE(SUBSTITUTE(SUBSTITUTE(SUBSTITUTE("type:"&amp;B47,"%","%25"),"~","%7E"),"*","%2A"),"?","%3F"),'Rules'!$G$7:$G$26,0)),IF(AND(C47&lt;&gt;"",C47&lt;&gt;INDEX('Rules'!$B$7:$B$26,MATCH(SUBSTITUTE(SUBSTITUTE(SUBSTITUTE(SUBSTITUTE("type:"&amp;B47,"%","%25"),"~","%7E"),"*","%2A"),"?","%3F"),'Rules'!$G$7:$G$26,0))),"Unit mismatch",IF(IF(NOT(ISNUMBER(D47)),TRUE,OR(D47&lt;0,D47&gt;999999999,ROUND(D47,3)&lt;&gt;D47)),"Invalid current reading",IF(AND(E47&lt;&gt;"",IF(NOT(ISNUMBER(E47)),TRUE,OR(E47&lt;0,E47&gt;999999999,ROUND(E47,3)&lt;&gt;E47))),"Invalid previous reading",IF(IF(NOT(ISNUMBER(F47)),TRUE,OR(F47&lt;0,F47&gt;999999999,ROUND(F47,3)&lt;&gt;F47)),"Invalid last service",IF(AND(E47&lt;&gt;"",D47&lt;E47),"Decreased reading",IF(F47&gt;D47,"Last service above current","")))))))))))))</x:f>
      </x:c>
      <x:c r="L47" s="6" t="str">
        <x:f>IF(AND(NOT(COUNTA(A47:F47)=0),K47=""),INDEX('Rules'!$C$7:$C$26,MATCH(SUBSTITUTE(SUBSTITUTE(SUBSTITUTE(SUBSTITUTE("type:"&amp;B47,"%","%25"),"~","%7E"),"*","%2A"),"?","%3F"),'Rules'!$G$7:$G$26,0)),"")</x:f>
      </x:c>
      <x:c r="M47" s="6" t="str">
        <x:f>IF(AND(NOT(COUNTA(A47:F47)=0),K47=""),INDEX('Rules'!$D$7:$D$26,MATCH(SUBSTITUTE(SUBSTITUTE(SUBSTITUTE(SUBSTITUTE("type:"&amp;B47,"%","%25"),"~","%7E"),"*","%2A"),"?","%3F"),'Rules'!$G$7:$G$26,0)),"")</x:f>
      </x:c>
      <x:c r="N47" s="5" t="str">
        <x:f>IF(COUNTA(A47:F47)=0,"",SUBSTITUTE(SUBSTITUTE(SUBSTITUTE(SUBSTITUTE("id:"&amp;A47,"%","%25"),"~","%7E"),"*","%2A"),"?","%3F"))</x:f>
      </x:c>
    </x:row>
    <x:row r="48" ht="22" customHeight="1">
      <x:c r="A48" s="3"/>
      <x:c r="B48" s="3"/>
      <x:c r="C48" s="3"/>
      <x:c r="D48" s="4"/>
      <x:c r="E48" s="4"/>
      <x:c r="F48" s="4"/>
      <x:c r="G48" s="5" t="str">
        <x:f>IF(COUNTA(A48:F48)=0,"",IF(K48&lt;&gt;"","Review",IF(I48&lt;0,"Overdue",IF(I48=0,"Due now",IF(I48&lt;=M48,"Due soon","Not due")))))</x:f>
      </x:c>
      <x:c r="H48" s="5" t="str">
        <x:f>IF(OR(COUNTA(A48:F48)=0,COUNTIFS('Rules'!$G$7:$G$26,"="&amp;(SUBSTITUTE(SUBSTITUTE(SUBSTITUTE(SUBSTITUTE("type:"&amp;B48,"%","%25"),"~","%7E"),"*","%2A"),"?","%3F")))&lt;&gt;1),"",IF(OR(INDEX('Rules'!$B$7:$B$26,MATCH(SUBSTITUTE(SUBSTITUTE(SUBSTITUTE(SUBSTITUTE("type:"&amp;B48,"%","%25"),"~","%7E"),"*","%2A"),"?","%3F"),'Rules'!$G$7:$G$26,0))="hours",INDEX('Rules'!$B$7:$B$26,MATCH(SUBSTITUTE(SUBSTITUTE(SUBSTITUTE(SUBSTITUTE("type:"&amp;B48,"%","%25"),"~","%7E"),"*","%2A"),"?","%3F"),'Rules'!$G$7:$G$26,0))="km"),INDEX('Rules'!$B$7:$B$26,MATCH(SUBSTITUTE(SUBSTITUTE(SUBSTITUTE(SUBSTITUTE("type:"&amp;B48,"%","%25"),"~","%7E"),"*","%2A"),"?","%3F"),'Rules'!$G$7:$G$26,0)),""))</x:f>
      </x:c>
      <x:c r="I48" s="6" t="str">
        <x:f>IF(AND(NOT(COUNTA(A48:F48)=0),K48=""),ROUND(J48-D48,3),"")</x:f>
      </x:c>
      <x:c r="J48" s="6" t="str">
        <x:f>IF(AND(NOT(COUNTA(A48:F48)=0),K48=""),ROUND(F48+L48,3),"")</x:f>
      </x:c>
      <x:c r="K48" s="5" t="str">
        <x:f>IF(COUNTA(A48:F48)=0,"",IF(A48="","Missing equipment ID",IF(COUNTIFS($N$8:$N$2007,"="&amp;N48)&gt;1,"Duplicate equipment ID",IF(B48="","Missing type",IF(COUNTIFS('Rules'!$G$7:$G$26,"="&amp;(SUBSTITUTE(SUBSTITUTE(SUBSTITUTE(SUBSTITUTE("type:"&amp;B48,"%","%25"),"~","%7E"),"*","%2A"),"?","%3F")))=0,"Unknown type",IF(COUNTIFS('Rules'!$G$7:$G$26,"="&amp;(SUBSTITUTE(SUBSTITUTE(SUBSTITUTE(SUBSTITUTE("type:"&amp;B48,"%","%25"),"~","%7E"),"*","%2A"),"?","%3F")))&gt;1,"Duplicate type",IF(INDEX('Rules'!$F$7:$F$26,MATCH(SUBSTITUTE(SUBSTITUTE(SUBSTITUTE(SUBSTITUTE("type:"&amp;B48,"%","%25"),"~","%7E"),"*","%2A"),"?","%3F"),'Rules'!$G$7:$G$26,0))&lt;&gt;"",INDEX('Rules'!$F$7:$F$26,MATCH(SUBSTITUTE(SUBSTITUTE(SUBSTITUTE(SUBSTITUTE("type:"&amp;B48,"%","%25"),"~","%7E"),"*","%2A"),"?","%3F"),'Rules'!$G$7:$G$26,0)),IF(AND(C48&lt;&gt;"",C48&lt;&gt;INDEX('Rules'!$B$7:$B$26,MATCH(SUBSTITUTE(SUBSTITUTE(SUBSTITUTE(SUBSTITUTE("type:"&amp;B48,"%","%25"),"~","%7E"),"*","%2A"),"?","%3F"),'Rules'!$G$7:$G$26,0))),"Unit mismatch",IF(IF(NOT(ISNUMBER(D48)),TRUE,OR(D48&lt;0,D48&gt;999999999,ROUND(D48,3)&lt;&gt;D48)),"Invalid current reading",IF(AND(E48&lt;&gt;"",IF(NOT(ISNUMBER(E48)),TRUE,OR(E48&lt;0,E48&gt;999999999,ROUND(E48,3)&lt;&gt;E48))),"Invalid previous reading",IF(IF(NOT(ISNUMBER(F48)),TRUE,OR(F48&lt;0,F48&gt;999999999,ROUND(F48,3)&lt;&gt;F48)),"Invalid last service",IF(AND(E48&lt;&gt;"",D48&lt;E48),"Decreased reading",IF(F48&gt;D48,"Last service above current","")))))))))))))</x:f>
      </x:c>
      <x:c r="L48" s="6" t="str">
        <x:f>IF(AND(NOT(COUNTA(A48:F48)=0),K48=""),INDEX('Rules'!$C$7:$C$26,MATCH(SUBSTITUTE(SUBSTITUTE(SUBSTITUTE(SUBSTITUTE("type:"&amp;B48,"%","%25"),"~","%7E"),"*","%2A"),"?","%3F"),'Rules'!$G$7:$G$26,0)),"")</x:f>
      </x:c>
      <x:c r="M48" s="6" t="str">
        <x:f>IF(AND(NOT(COUNTA(A48:F48)=0),K48=""),INDEX('Rules'!$D$7:$D$26,MATCH(SUBSTITUTE(SUBSTITUTE(SUBSTITUTE(SUBSTITUTE("type:"&amp;B48,"%","%25"),"~","%7E"),"*","%2A"),"?","%3F"),'Rules'!$G$7:$G$26,0)),"")</x:f>
      </x:c>
      <x:c r="N48" s="5" t="str">
        <x:f>IF(COUNTA(A48:F48)=0,"",SUBSTITUTE(SUBSTITUTE(SUBSTITUTE(SUBSTITUTE("id:"&amp;A48,"%","%25"),"~","%7E"),"*","%2A"),"?","%3F"))</x:f>
      </x:c>
    </x:row>
    <x:row r="49" ht="22" customHeight="1">
      <x:c r="A49" s="3"/>
      <x:c r="B49" s="3"/>
      <x:c r="C49" s="3"/>
      <x:c r="D49" s="4"/>
      <x:c r="E49" s="4"/>
      <x:c r="F49" s="4"/>
      <x:c r="G49" s="5" t="str">
        <x:f>IF(COUNTA(A49:F49)=0,"",IF(K49&lt;&gt;"","Review",IF(I49&lt;0,"Overdue",IF(I49=0,"Due now",IF(I49&lt;=M49,"Due soon","Not due")))))</x:f>
      </x:c>
      <x:c r="H49" s="5" t="str">
        <x:f>IF(OR(COUNTA(A49:F49)=0,COUNTIFS('Rules'!$G$7:$G$26,"="&amp;(SUBSTITUTE(SUBSTITUTE(SUBSTITUTE(SUBSTITUTE("type:"&amp;B49,"%","%25"),"~","%7E"),"*","%2A"),"?","%3F")))&lt;&gt;1),"",IF(OR(INDEX('Rules'!$B$7:$B$26,MATCH(SUBSTITUTE(SUBSTITUTE(SUBSTITUTE(SUBSTITUTE("type:"&amp;B49,"%","%25"),"~","%7E"),"*","%2A"),"?","%3F"),'Rules'!$G$7:$G$26,0))="hours",INDEX('Rules'!$B$7:$B$26,MATCH(SUBSTITUTE(SUBSTITUTE(SUBSTITUTE(SUBSTITUTE("type:"&amp;B49,"%","%25"),"~","%7E"),"*","%2A"),"?","%3F"),'Rules'!$G$7:$G$26,0))="km"),INDEX('Rules'!$B$7:$B$26,MATCH(SUBSTITUTE(SUBSTITUTE(SUBSTITUTE(SUBSTITUTE("type:"&amp;B49,"%","%25"),"~","%7E"),"*","%2A"),"?","%3F"),'Rules'!$G$7:$G$26,0)),""))</x:f>
      </x:c>
      <x:c r="I49" s="6" t="str">
        <x:f>IF(AND(NOT(COUNTA(A49:F49)=0),K49=""),ROUND(J49-D49,3),"")</x:f>
      </x:c>
      <x:c r="J49" s="6" t="str">
        <x:f>IF(AND(NOT(COUNTA(A49:F49)=0),K49=""),ROUND(F49+L49,3),"")</x:f>
      </x:c>
      <x:c r="K49" s="5" t="str">
        <x:f>IF(COUNTA(A49:F49)=0,"",IF(A49="","Missing equipment ID",IF(COUNTIFS($N$8:$N$2007,"="&amp;N49)&gt;1,"Duplicate equipment ID",IF(B49="","Missing type",IF(COUNTIFS('Rules'!$G$7:$G$26,"="&amp;(SUBSTITUTE(SUBSTITUTE(SUBSTITUTE(SUBSTITUTE("type:"&amp;B49,"%","%25"),"~","%7E"),"*","%2A"),"?","%3F")))=0,"Unknown type",IF(COUNTIFS('Rules'!$G$7:$G$26,"="&amp;(SUBSTITUTE(SUBSTITUTE(SUBSTITUTE(SUBSTITUTE("type:"&amp;B49,"%","%25"),"~","%7E"),"*","%2A"),"?","%3F")))&gt;1,"Duplicate type",IF(INDEX('Rules'!$F$7:$F$26,MATCH(SUBSTITUTE(SUBSTITUTE(SUBSTITUTE(SUBSTITUTE("type:"&amp;B49,"%","%25"),"~","%7E"),"*","%2A"),"?","%3F"),'Rules'!$G$7:$G$26,0))&lt;&gt;"",INDEX('Rules'!$F$7:$F$26,MATCH(SUBSTITUTE(SUBSTITUTE(SUBSTITUTE(SUBSTITUTE("type:"&amp;B49,"%","%25"),"~","%7E"),"*","%2A"),"?","%3F"),'Rules'!$G$7:$G$26,0)),IF(AND(C49&lt;&gt;"",C49&lt;&gt;INDEX('Rules'!$B$7:$B$26,MATCH(SUBSTITUTE(SUBSTITUTE(SUBSTITUTE(SUBSTITUTE("type:"&amp;B49,"%","%25"),"~","%7E"),"*","%2A"),"?","%3F"),'Rules'!$G$7:$G$26,0))),"Unit mismatch",IF(IF(NOT(ISNUMBER(D49)),TRUE,OR(D49&lt;0,D49&gt;999999999,ROUND(D49,3)&lt;&gt;D49)),"Invalid current reading",IF(AND(E49&lt;&gt;"",IF(NOT(ISNUMBER(E49)),TRUE,OR(E49&lt;0,E49&gt;999999999,ROUND(E49,3)&lt;&gt;E49))),"Invalid previous reading",IF(IF(NOT(ISNUMBER(F49)),TRUE,OR(F49&lt;0,F49&gt;999999999,ROUND(F49,3)&lt;&gt;F49)),"Invalid last service",IF(AND(E49&lt;&gt;"",D49&lt;E49),"Decreased reading",IF(F49&gt;D49,"Last service above current","")))))))))))))</x:f>
      </x:c>
      <x:c r="L49" s="6" t="str">
        <x:f>IF(AND(NOT(COUNTA(A49:F49)=0),K49=""),INDEX('Rules'!$C$7:$C$26,MATCH(SUBSTITUTE(SUBSTITUTE(SUBSTITUTE(SUBSTITUTE("type:"&amp;B49,"%","%25"),"~","%7E"),"*","%2A"),"?","%3F"),'Rules'!$G$7:$G$26,0)),"")</x:f>
      </x:c>
      <x:c r="M49" s="6" t="str">
        <x:f>IF(AND(NOT(COUNTA(A49:F49)=0),K49=""),INDEX('Rules'!$D$7:$D$26,MATCH(SUBSTITUTE(SUBSTITUTE(SUBSTITUTE(SUBSTITUTE("type:"&amp;B49,"%","%25"),"~","%7E"),"*","%2A"),"?","%3F"),'Rules'!$G$7:$G$26,0)),"")</x:f>
      </x:c>
      <x:c r="N49" s="5" t="str">
        <x:f>IF(COUNTA(A49:F49)=0,"",SUBSTITUTE(SUBSTITUTE(SUBSTITUTE(SUBSTITUTE("id:"&amp;A49,"%","%25"),"~","%7E"),"*","%2A"),"?","%3F"))</x:f>
      </x:c>
    </x:row>
    <x:row r="50" ht="22" customHeight="1">
      <x:c r="A50" s="3"/>
      <x:c r="B50" s="3"/>
      <x:c r="C50" s="3"/>
      <x:c r="D50" s="4"/>
      <x:c r="E50" s="4"/>
      <x:c r="F50" s="4"/>
      <x:c r="G50" s="5" t="str">
        <x:f>IF(COUNTA(A50:F50)=0,"",IF(K50&lt;&gt;"","Review",IF(I50&lt;0,"Overdue",IF(I50=0,"Due now",IF(I50&lt;=M50,"Due soon","Not due")))))</x:f>
      </x:c>
      <x:c r="H50" s="5" t="str">
        <x:f>IF(OR(COUNTA(A50:F50)=0,COUNTIFS('Rules'!$G$7:$G$26,"="&amp;(SUBSTITUTE(SUBSTITUTE(SUBSTITUTE(SUBSTITUTE("type:"&amp;B50,"%","%25"),"~","%7E"),"*","%2A"),"?","%3F")))&lt;&gt;1),"",IF(OR(INDEX('Rules'!$B$7:$B$26,MATCH(SUBSTITUTE(SUBSTITUTE(SUBSTITUTE(SUBSTITUTE("type:"&amp;B50,"%","%25"),"~","%7E"),"*","%2A"),"?","%3F"),'Rules'!$G$7:$G$26,0))="hours",INDEX('Rules'!$B$7:$B$26,MATCH(SUBSTITUTE(SUBSTITUTE(SUBSTITUTE(SUBSTITUTE("type:"&amp;B50,"%","%25"),"~","%7E"),"*","%2A"),"?","%3F"),'Rules'!$G$7:$G$26,0))="km"),INDEX('Rules'!$B$7:$B$26,MATCH(SUBSTITUTE(SUBSTITUTE(SUBSTITUTE(SUBSTITUTE("type:"&amp;B50,"%","%25"),"~","%7E"),"*","%2A"),"?","%3F"),'Rules'!$G$7:$G$26,0)),""))</x:f>
      </x:c>
      <x:c r="I50" s="6" t="str">
        <x:f>IF(AND(NOT(COUNTA(A50:F50)=0),K50=""),ROUND(J50-D50,3),"")</x:f>
      </x:c>
      <x:c r="J50" s="6" t="str">
        <x:f>IF(AND(NOT(COUNTA(A50:F50)=0),K50=""),ROUND(F50+L50,3),"")</x:f>
      </x:c>
      <x:c r="K50" s="5" t="str">
        <x:f>IF(COUNTA(A50:F50)=0,"",IF(A50="","Missing equipment ID",IF(COUNTIFS($N$8:$N$2007,"="&amp;N50)&gt;1,"Duplicate equipment ID",IF(B50="","Missing type",IF(COUNTIFS('Rules'!$G$7:$G$26,"="&amp;(SUBSTITUTE(SUBSTITUTE(SUBSTITUTE(SUBSTITUTE("type:"&amp;B50,"%","%25"),"~","%7E"),"*","%2A"),"?","%3F")))=0,"Unknown type",IF(COUNTIFS('Rules'!$G$7:$G$26,"="&amp;(SUBSTITUTE(SUBSTITUTE(SUBSTITUTE(SUBSTITUTE("type:"&amp;B50,"%","%25"),"~","%7E"),"*","%2A"),"?","%3F")))&gt;1,"Duplicate type",IF(INDEX('Rules'!$F$7:$F$26,MATCH(SUBSTITUTE(SUBSTITUTE(SUBSTITUTE(SUBSTITUTE("type:"&amp;B50,"%","%25"),"~","%7E"),"*","%2A"),"?","%3F"),'Rules'!$G$7:$G$26,0))&lt;&gt;"",INDEX('Rules'!$F$7:$F$26,MATCH(SUBSTITUTE(SUBSTITUTE(SUBSTITUTE(SUBSTITUTE("type:"&amp;B50,"%","%25"),"~","%7E"),"*","%2A"),"?","%3F"),'Rules'!$G$7:$G$26,0)),IF(AND(C50&lt;&gt;"",C50&lt;&gt;INDEX('Rules'!$B$7:$B$26,MATCH(SUBSTITUTE(SUBSTITUTE(SUBSTITUTE(SUBSTITUTE("type:"&amp;B50,"%","%25"),"~","%7E"),"*","%2A"),"?","%3F"),'Rules'!$G$7:$G$26,0))),"Unit mismatch",IF(IF(NOT(ISNUMBER(D50)),TRUE,OR(D50&lt;0,D50&gt;999999999,ROUND(D50,3)&lt;&gt;D50)),"Invalid current reading",IF(AND(E50&lt;&gt;"",IF(NOT(ISNUMBER(E50)),TRUE,OR(E50&lt;0,E50&gt;999999999,ROUND(E50,3)&lt;&gt;E50))),"Invalid previous reading",IF(IF(NOT(ISNUMBER(F50)),TRUE,OR(F50&lt;0,F50&gt;999999999,ROUND(F50,3)&lt;&gt;F50)),"Invalid last service",IF(AND(E50&lt;&gt;"",D50&lt;E50),"Decreased reading",IF(F50&gt;D50,"Last service above current","")))))))))))))</x:f>
      </x:c>
      <x:c r="L50" s="6" t="str">
        <x:f>IF(AND(NOT(COUNTA(A50:F50)=0),K50=""),INDEX('Rules'!$C$7:$C$26,MATCH(SUBSTITUTE(SUBSTITUTE(SUBSTITUTE(SUBSTITUTE("type:"&amp;B50,"%","%25"),"~","%7E"),"*","%2A"),"?","%3F"),'Rules'!$G$7:$G$26,0)),"")</x:f>
      </x:c>
      <x:c r="M50" s="6" t="str">
        <x:f>IF(AND(NOT(COUNTA(A50:F50)=0),K50=""),INDEX('Rules'!$D$7:$D$26,MATCH(SUBSTITUTE(SUBSTITUTE(SUBSTITUTE(SUBSTITUTE("type:"&amp;B50,"%","%25"),"~","%7E"),"*","%2A"),"?","%3F"),'Rules'!$G$7:$G$26,0)),"")</x:f>
      </x:c>
      <x:c r="N50" s="5" t="str">
        <x:f>IF(COUNTA(A50:F50)=0,"",SUBSTITUTE(SUBSTITUTE(SUBSTITUTE(SUBSTITUTE("id:"&amp;A50,"%","%25"),"~","%7E"),"*","%2A"),"?","%3F"))</x:f>
      </x:c>
    </x:row>
    <x:row r="51" ht="22" customHeight="1">
      <x:c r="A51" s="3"/>
      <x:c r="B51" s="3"/>
      <x:c r="C51" s="3"/>
      <x:c r="D51" s="4"/>
      <x:c r="E51" s="4"/>
      <x:c r="F51" s="4"/>
      <x:c r="G51" s="5" t="str">
        <x:f>IF(COUNTA(A51:F51)=0,"",IF(K51&lt;&gt;"","Review",IF(I51&lt;0,"Overdue",IF(I51=0,"Due now",IF(I51&lt;=M51,"Due soon","Not due")))))</x:f>
      </x:c>
      <x:c r="H51" s="5" t="str">
        <x:f>IF(OR(COUNTA(A51:F51)=0,COUNTIFS('Rules'!$G$7:$G$26,"="&amp;(SUBSTITUTE(SUBSTITUTE(SUBSTITUTE(SUBSTITUTE("type:"&amp;B51,"%","%25"),"~","%7E"),"*","%2A"),"?","%3F")))&lt;&gt;1),"",IF(OR(INDEX('Rules'!$B$7:$B$26,MATCH(SUBSTITUTE(SUBSTITUTE(SUBSTITUTE(SUBSTITUTE("type:"&amp;B51,"%","%25"),"~","%7E"),"*","%2A"),"?","%3F"),'Rules'!$G$7:$G$26,0))="hours",INDEX('Rules'!$B$7:$B$26,MATCH(SUBSTITUTE(SUBSTITUTE(SUBSTITUTE(SUBSTITUTE("type:"&amp;B51,"%","%25"),"~","%7E"),"*","%2A"),"?","%3F"),'Rules'!$G$7:$G$26,0))="km"),INDEX('Rules'!$B$7:$B$26,MATCH(SUBSTITUTE(SUBSTITUTE(SUBSTITUTE(SUBSTITUTE("type:"&amp;B51,"%","%25"),"~","%7E"),"*","%2A"),"?","%3F"),'Rules'!$G$7:$G$26,0)),""))</x:f>
      </x:c>
      <x:c r="I51" s="6" t="str">
        <x:f>IF(AND(NOT(COUNTA(A51:F51)=0),K51=""),ROUND(J51-D51,3),"")</x:f>
      </x:c>
      <x:c r="J51" s="6" t="str">
        <x:f>IF(AND(NOT(COUNTA(A51:F51)=0),K51=""),ROUND(F51+L51,3),"")</x:f>
      </x:c>
      <x:c r="K51" s="5" t="str">
        <x:f>IF(COUNTA(A51:F51)=0,"",IF(A51="","Missing equipment ID",IF(COUNTIFS($N$8:$N$2007,"="&amp;N51)&gt;1,"Duplicate equipment ID",IF(B51="","Missing type",IF(COUNTIFS('Rules'!$G$7:$G$26,"="&amp;(SUBSTITUTE(SUBSTITUTE(SUBSTITUTE(SUBSTITUTE("type:"&amp;B51,"%","%25"),"~","%7E"),"*","%2A"),"?","%3F")))=0,"Unknown type",IF(COUNTIFS('Rules'!$G$7:$G$26,"="&amp;(SUBSTITUTE(SUBSTITUTE(SUBSTITUTE(SUBSTITUTE("type:"&amp;B51,"%","%25"),"~","%7E"),"*","%2A"),"?","%3F")))&gt;1,"Duplicate type",IF(INDEX('Rules'!$F$7:$F$26,MATCH(SUBSTITUTE(SUBSTITUTE(SUBSTITUTE(SUBSTITUTE("type:"&amp;B51,"%","%25"),"~","%7E"),"*","%2A"),"?","%3F"),'Rules'!$G$7:$G$26,0))&lt;&gt;"",INDEX('Rules'!$F$7:$F$26,MATCH(SUBSTITUTE(SUBSTITUTE(SUBSTITUTE(SUBSTITUTE("type:"&amp;B51,"%","%25"),"~","%7E"),"*","%2A"),"?","%3F"),'Rules'!$G$7:$G$26,0)),IF(AND(C51&lt;&gt;"",C51&lt;&gt;INDEX('Rules'!$B$7:$B$26,MATCH(SUBSTITUTE(SUBSTITUTE(SUBSTITUTE(SUBSTITUTE("type:"&amp;B51,"%","%25"),"~","%7E"),"*","%2A"),"?","%3F"),'Rules'!$G$7:$G$26,0))),"Unit mismatch",IF(IF(NOT(ISNUMBER(D51)),TRUE,OR(D51&lt;0,D51&gt;999999999,ROUND(D51,3)&lt;&gt;D51)),"Invalid current reading",IF(AND(E51&lt;&gt;"",IF(NOT(ISNUMBER(E51)),TRUE,OR(E51&lt;0,E51&gt;999999999,ROUND(E51,3)&lt;&gt;E51))),"Invalid previous reading",IF(IF(NOT(ISNUMBER(F51)),TRUE,OR(F51&lt;0,F51&gt;999999999,ROUND(F51,3)&lt;&gt;F51)),"Invalid last service",IF(AND(E51&lt;&gt;"",D51&lt;E51),"Decreased reading",IF(F51&gt;D51,"Last service above current","")))))))))))))</x:f>
      </x:c>
      <x:c r="L51" s="6" t="str">
        <x:f>IF(AND(NOT(COUNTA(A51:F51)=0),K51=""),INDEX('Rules'!$C$7:$C$26,MATCH(SUBSTITUTE(SUBSTITUTE(SUBSTITUTE(SUBSTITUTE("type:"&amp;B51,"%","%25"),"~","%7E"),"*","%2A"),"?","%3F"),'Rules'!$G$7:$G$26,0)),"")</x:f>
      </x:c>
      <x:c r="M51" s="6" t="str">
        <x:f>IF(AND(NOT(COUNTA(A51:F51)=0),K51=""),INDEX('Rules'!$D$7:$D$26,MATCH(SUBSTITUTE(SUBSTITUTE(SUBSTITUTE(SUBSTITUTE("type:"&amp;B51,"%","%25"),"~","%7E"),"*","%2A"),"?","%3F"),'Rules'!$G$7:$G$26,0)),"")</x:f>
      </x:c>
      <x:c r="N51" s="5" t="str">
        <x:f>IF(COUNTA(A51:F51)=0,"",SUBSTITUTE(SUBSTITUTE(SUBSTITUTE(SUBSTITUTE("id:"&amp;A51,"%","%25"),"~","%7E"),"*","%2A"),"?","%3F"))</x:f>
      </x:c>
    </x:row>
    <x:row r="52" ht="22" customHeight="1">
      <x:c r="A52" s="3"/>
      <x:c r="B52" s="3"/>
      <x:c r="C52" s="3"/>
      <x:c r="D52" s="4"/>
      <x:c r="E52" s="4"/>
      <x:c r="F52" s="4"/>
      <x:c r="G52" s="5" t="str">
        <x:f>IF(COUNTA(A52:F52)=0,"",IF(K52&lt;&gt;"","Review",IF(I52&lt;0,"Overdue",IF(I52=0,"Due now",IF(I52&lt;=M52,"Due soon","Not due")))))</x:f>
      </x:c>
      <x:c r="H52" s="5" t="str">
        <x:f>IF(OR(COUNTA(A52:F52)=0,COUNTIFS('Rules'!$G$7:$G$26,"="&amp;(SUBSTITUTE(SUBSTITUTE(SUBSTITUTE(SUBSTITUTE("type:"&amp;B52,"%","%25"),"~","%7E"),"*","%2A"),"?","%3F")))&lt;&gt;1),"",IF(OR(INDEX('Rules'!$B$7:$B$26,MATCH(SUBSTITUTE(SUBSTITUTE(SUBSTITUTE(SUBSTITUTE("type:"&amp;B52,"%","%25"),"~","%7E"),"*","%2A"),"?","%3F"),'Rules'!$G$7:$G$26,0))="hours",INDEX('Rules'!$B$7:$B$26,MATCH(SUBSTITUTE(SUBSTITUTE(SUBSTITUTE(SUBSTITUTE("type:"&amp;B52,"%","%25"),"~","%7E"),"*","%2A"),"?","%3F"),'Rules'!$G$7:$G$26,0))="km"),INDEX('Rules'!$B$7:$B$26,MATCH(SUBSTITUTE(SUBSTITUTE(SUBSTITUTE(SUBSTITUTE("type:"&amp;B52,"%","%25"),"~","%7E"),"*","%2A"),"?","%3F"),'Rules'!$G$7:$G$26,0)),""))</x:f>
      </x:c>
      <x:c r="I52" s="6" t="str">
        <x:f>IF(AND(NOT(COUNTA(A52:F52)=0),K52=""),ROUND(J52-D52,3),"")</x:f>
      </x:c>
      <x:c r="J52" s="6" t="str">
        <x:f>IF(AND(NOT(COUNTA(A52:F52)=0),K52=""),ROUND(F52+L52,3),"")</x:f>
      </x:c>
      <x:c r="K52" s="5" t="str">
        <x:f>IF(COUNTA(A52:F52)=0,"",IF(A52="","Missing equipment ID",IF(COUNTIFS($N$8:$N$2007,"="&amp;N52)&gt;1,"Duplicate equipment ID",IF(B52="","Missing type",IF(COUNTIFS('Rules'!$G$7:$G$26,"="&amp;(SUBSTITUTE(SUBSTITUTE(SUBSTITUTE(SUBSTITUTE("type:"&amp;B52,"%","%25"),"~","%7E"),"*","%2A"),"?","%3F")))=0,"Unknown type",IF(COUNTIFS('Rules'!$G$7:$G$26,"="&amp;(SUBSTITUTE(SUBSTITUTE(SUBSTITUTE(SUBSTITUTE("type:"&amp;B52,"%","%25"),"~","%7E"),"*","%2A"),"?","%3F")))&gt;1,"Duplicate type",IF(INDEX('Rules'!$F$7:$F$26,MATCH(SUBSTITUTE(SUBSTITUTE(SUBSTITUTE(SUBSTITUTE("type:"&amp;B52,"%","%25"),"~","%7E"),"*","%2A"),"?","%3F"),'Rules'!$G$7:$G$26,0))&lt;&gt;"",INDEX('Rules'!$F$7:$F$26,MATCH(SUBSTITUTE(SUBSTITUTE(SUBSTITUTE(SUBSTITUTE("type:"&amp;B52,"%","%25"),"~","%7E"),"*","%2A"),"?","%3F"),'Rules'!$G$7:$G$26,0)),IF(AND(C52&lt;&gt;"",C52&lt;&gt;INDEX('Rules'!$B$7:$B$26,MATCH(SUBSTITUTE(SUBSTITUTE(SUBSTITUTE(SUBSTITUTE("type:"&amp;B52,"%","%25"),"~","%7E"),"*","%2A"),"?","%3F"),'Rules'!$G$7:$G$26,0))),"Unit mismatch",IF(IF(NOT(ISNUMBER(D52)),TRUE,OR(D52&lt;0,D52&gt;999999999,ROUND(D52,3)&lt;&gt;D52)),"Invalid current reading",IF(AND(E52&lt;&gt;"",IF(NOT(ISNUMBER(E52)),TRUE,OR(E52&lt;0,E52&gt;999999999,ROUND(E52,3)&lt;&gt;E52))),"Invalid previous reading",IF(IF(NOT(ISNUMBER(F52)),TRUE,OR(F52&lt;0,F52&gt;999999999,ROUND(F52,3)&lt;&gt;F52)),"Invalid last service",IF(AND(E52&lt;&gt;"",D52&lt;E52),"Decreased reading",IF(F52&gt;D52,"Last service above current","")))))))))))))</x:f>
      </x:c>
      <x:c r="L52" s="6" t="str">
        <x:f>IF(AND(NOT(COUNTA(A52:F52)=0),K52=""),INDEX('Rules'!$C$7:$C$26,MATCH(SUBSTITUTE(SUBSTITUTE(SUBSTITUTE(SUBSTITUTE("type:"&amp;B52,"%","%25"),"~","%7E"),"*","%2A"),"?","%3F"),'Rules'!$G$7:$G$26,0)),"")</x:f>
      </x:c>
      <x:c r="M52" s="6" t="str">
        <x:f>IF(AND(NOT(COUNTA(A52:F52)=0),K52=""),INDEX('Rules'!$D$7:$D$26,MATCH(SUBSTITUTE(SUBSTITUTE(SUBSTITUTE(SUBSTITUTE("type:"&amp;B52,"%","%25"),"~","%7E"),"*","%2A"),"?","%3F"),'Rules'!$G$7:$G$26,0)),"")</x:f>
      </x:c>
      <x:c r="N52" s="5" t="str">
        <x:f>IF(COUNTA(A52:F52)=0,"",SUBSTITUTE(SUBSTITUTE(SUBSTITUTE(SUBSTITUTE("id:"&amp;A52,"%","%25"),"~","%7E"),"*","%2A"),"?","%3F"))</x:f>
      </x:c>
    </x:row>
    <x:row r="53" ht="22" customHeight="1">
      <x:c r="A53" s="3"/>
      <x:c r="B53" s="3"/>
      <x:c r="C53" s="3"/>
      <x:c r="D53" s="4"/>
      <x:c r="E53" s="4"/>
      <x:c r="F53" s="4"/>
      <x:c r="G53" s="5" t="str">
        <x:f>IF(COUNTA(A53:F53)=0,"",IF(K53&lt;&gt;"","Review",IF(I53&lt;0,"Overdue",IF(I53=0,"Due now",IF(I53&lt;=M53,"Due soon","Not due")))))</x:f>
      </x:c>
      <x:c r="H53" s="5" t="str">
        <x:f>IF(OR(COUNTA(A53:F53)=0,COUNTIFS('Rules'!$G$7:$G$26,"="&amp;(SUBSTITUTE(SUBSTITUTE(SUBSTITUTE(SUBSTITUTE("type:"&amp;B53,"%","%25"),"~","%7E"),"*","%2A"),"?","%3F")))&lt;&gt;1),"",IF(OR(INDEX('Rules'!$B$7:$B$26,MATCH(SUBSTITUTE(SUBSTITUTE(SUBSTITUTE(SUBSTITUTE("type:"&amp;B53,"%","%25"),"~","%7E"),"*","%2A"),"?","%3F"),'Rules'!$G$7:$G$26,0))="hours",INDEX('Rules'!$B$7:$B$26,MATCH(SUBSTITUTE(SUBSTITUTE(SUBSTITUTE(SUBSTITUTE("type:"&amp;B53,"%","%25"),"~","%7E"),"*","%2A"),"?","%3F"),'Rules'!$G$7:$G$26,0))="km"),INDEX('Rules'!$B$7:$B$26,MATCH(SUBSTITUTE(SUBSTITUTE(SUBSTITUTE(SUBSTITUTE("type:"&amp;B53,"%","%25"),"~","%7E"),"*","%2A"),"?","%3F"),'Rules'!$G$7:$G$26,0)),""))</x:f>
      </x:c>
      <x:c r="I53" s="6" t="str">
        <x:f>IF(AND(NOT(COUNTA(A53:F53)=0),K53=""),ROUND(J53-D53,3),"")</x:f>
      </x:c>
      <x:c r="J53" s="6" t="str">
        <x:f>IF(AND(NOT(COUNTA(A53:F53)=0),K53=""),ROUND(F53+L53,3),"")</x:f>
      </x:c>
      <x:c r="K53" s="5" t="str">
        <x:f>IF(COUNTA(A53:F53)=0,"",IF(A53="","Missing equipment ID",IF(COUNTIFS($N$8:$N$2007,"="&amp;N53)&gt;1,"Duplicate equipment ID",IF(B53="","Missing type",IF(COUNTIFS('Rules'!$G$7:$G$26,"="&amp;(SUBSTITUTE(SUBSTITUTE(SUBSTITUTE(SUBSTITUTE("type:"&amp;B53,"%","%25"),"~","%7E"),"*","%2A"),"?","%3F")))=0,"Unknown type",IF(COUNTIFS('Rules'!$G$7:$G$26,"="&amp;(SUBSTITUTE(SUBSTITUTE(SUBSTITUTE(SUBSTITUTE("type:"&amp;B53,"%","%25"),"~","%7E"),"*","%2A"),"?","%3F")))&gt;1,"Duplicate type",IF(INDEX('Rules'!$F$7:$F$26,MATCH(SUBSTITUTE(SUBSTITUTE(SUBSTITUTE(SUBSTITUTE("type:"&amp;B53,"%","%25"),"~","%7E"),"*","%2A"),"?","%3F"),'Rules'!$G$7:$G$26,0))&lt;&gt;"",INDEX('Rules'!$F$7:$F$26,MATCH(SUBSTITUTE(SUBSTITUTE(SUBSTITUTE(SUBSTITUTE("type:"&amp;B53,"%","%25"),"~","%7E"),"*","%2A"),"?","%3F"),'Rules'!$G$7:$G$26,0)),IF(AND(C53&lt;&gt;"",C53&lt;&gt;INDEX('Rules'!$B$7:$B$26,MATCH(SUBSTITUTE(SUBSTITUTE(SUBSTITUTE(SUBSTITUTE("type:"&amp;B53,"%","%25"),"~","%7E"),"*","%2A"),"?","%3F"),'Rules'!$G$7:$G$26,0))),"Unit mismatch",IF(IF(NOT(ISNUMBER(D53)),TRUE,OR(D53&lt;0,D53&gt;999999999,ROUND(D53,3)&lt;&gt;D53)),"Invalid current reading",IF(AND(E53&lt;&gt;"",IF(NOT(ISNUMBER(E53)),TRUE,OR(E53&lt;0,E53&gt;999999999,ROUND(E53,3)&lt;&gt;E53))),"Invalid previous reading",IF(IF(NOT(ISNUMBER(F53)),TRUE,OR(F53&lt;0,F53&gt;999999999,ROUND(F53,3)&lt;&gt;F53)),"Invalid last service",IF(AND(E53&lt;&gt;"",D53&lt;E53),"Decreased reading",IF(F53&gt;D53,"Last service above current","")))))))))))))</x:f>
      </x:c>
      <x:c r="L53" s="6" t="str">
        <x:f>IF(AND(NOT(COUNTA(A53:F53)=0),K53=""),INDEX('Rules'!$C$7:$C$26,MATCH(SUBSTITUTE(SUBSTITUTE(SUBSTITUTE(SUBSTITUTE("type:"&amp;B53,"%","%25"),"~","%7E"),"*","%2A"),"?","%3F"),'Rules'!$G$7:$G$26,0)),"")</x:f>
      </x:c>
      <x:c r="M53" s="6" t="str">
        <x:f>IF(AND(NOT(COUNTA(A53:F53)=0),K53=""),INDEX('Rules'!$D$7:$D$26,MATCH(SUBSTITUTE(SUBSTITUTE(SUBSTITUTE(SUBSTITUTE("type:"&amp;B53,"%","%25"),"~","%7E"),"*","%2A"),"?","%3F"),'Rules'!$G$7:$G$26,0)),"")</x:f>
      </x:c>
      <x:c r="N53" s="5" t="str">
        <x:f>IF(COUNTA(A53:F53)=0,"",SUBSTITUTE(SUBSTITUTE(SUBSTITUTE(SUBSTITUTE("id:"&amp;A53,"%","%25"),"~","%7E"),"*","%2A"),"?","%3F"))</x:f>
      </x:c>
    </x:row>
    <x:row r="54" ht="22" customHeight="1">
      <x:c r="A54" s="3"/>
      <x:c r="B54" s="3"/>
      <x:c r="C54" s="3"/>
      <x:c r="D54" s="4"/>
      <x:c r="E54" s="4"/>
      <x:c r="F54" s="4"/>
      <x:c r="G54" s="5" t="str">
        <x:f>IF(COUNTA(A54:F54)=0,"",IF(K54&lt;&gt;"","Review",IF(I54&lt;0,"Overdue",IF(I54=0,"Due now",IF(I54&lt;=M54,"Due soon","Not due")))))</x:f>
      </x:c>
      <x:c r="H54" s="5" t="str">
        <x:f>IF(OR(COUNTA(A54:F54)=0,COUNTIFS('Rules'!$G$7:$G$26,"="&amp;(SUBSTITUTE(SUBSTITUTE(SUBSTITUTE(SUBSTITUTE("type:"&amp;B54,"%","%25"),"~","%7E"),"*","%2A"),"?","%3F")))&lt;&gt;1),"",IF(OR(INDEX('Rules'!$B$7:$B$26,MATCH(SUBSTITUTE(SUBSTITUTE(SUBSTITUTE(SUBSTITUTE("type:"&amp;B54,"%","%25"),"~","%7E"),"*","%2A"),"?","%3F"),'Rules'!$G$7:$G$26,0))="hours",INDEX('Rules'!$B$7:$B$26,MATCH(SUBSTITUTE(SUBSTITUTE(SUBSTITUTE(SUBSTITUTE("type:"&amp;B54,"%","%25"),"~","%7E"),"*","%2A"),"?","%3F"),'Rules'!$G$7:$G$26,0))="km"),INDEX('Rules'!$B$7:$B$26,MATCH(SUBSTITUTE(SUBSTITUTE(SUBSTITUTE(SUBSTITUTE("type:"&amp;B54,"%","%25"),"~","%7E"),"*","%2A"),"?","%3F"),'Rules'!$G$7:$G$26,0)),""))</x:f>
      </x:c>
      <x:c r="I54" s="6" t="str">
        <x:f>IF(AND(NOT(COUNTA(A54:F54)=0),K54=""),ROUND(J54-D54,3),"")</x:f>
      </x:c>
      <x:c r="J54" s="6" t="str">
        <x:f>IF(AND(NOT(COUNTA(A54:F54)=0),K54=""),ROUND(F54+L54,3),"")</x:f>
      </x:c>
      <x:c r="K54" s="5" t="str">
        <x:f>IF(COUNTA(A54:F54)=0,"",IF(A54="","Missing equipment ID",IF(COUNTIFS($N$8:$N$2007,"="&amp;N54)&gt;1,"Duplicate equipment ID",IF(B54="","Missing type",IF(COUNTIFS('Rules'!$G$7:$G$26,"="&amp;(SUBSTITUTE(SUBSTITUTE(SUBSTITUTE(SUBSTITUTE("type:"&amp;B54,"%","%25"),"~","%7E"),"*","%2A"),"?","%3F")))=0,"Unknown type",IF(COUNTIFS('Rules'!$G$7:$G$26,"="&amp;(SUBSTITUTE(SUBSTITUTE(SUBSTITUTE(SUBSTITUTE("type:"&amp;B54,"%","%25"),"~","%7E"),"*","%2A"),"?","%3F")))&gt;1,"Duplicate type",IF(INDEX('Rules'!$F$7:$F$26,MATCH(SUBSTITUTE(SUBSTITUTE(SUBSTITUTE(SUBSTITUTE("type:"&amp;B54,"%","%25"),"~","%7E"),"*","%2A"),"?","%3F"),'Rules'!$G$7:$G$26,0))&lt;&gt;"",INDEX('Rules'!$F$7:$F$26,MATCH(SUBSTITUTE(SUBSTITUTE(SUBSTITUTE(SUBSTITUTE("type:"&amp;B54,"%","%25"),"~","%7E"),"*","%2A"),"?","%3F"),'Rules'!$G$7:$G$26,0)),IF(AND(C54&lt;&gt;"",C54&lt;&gt;INDEX('Rules'!$B$7:$B$26,MATCH(SUBSTITUTE(SUBSTITUTE(SUBSTITUTE(SUBSTITUTE("type:"&amp;B54,"%","%25"),"~","%7E"),"*","%2A"),"?","%3F"),'Rules'!$G$7:$G$26,0))),"Unit mismatch",IF(IF(NOT(ISNUMBER(D54)),TRUE,OR(D54&lt;0,D54&gt;999999999,ROUND(D54,3)&lt;&gt;D54)),"Invalid current reading",IF(AND(E54&lt;&gt;"",IF(NOT(ISNUMBER(E54)),TRUE,OR(E54&lt;0,E54&gt;999999999,ROUND(E54,3)&lt;&gt;E54))),"Invalid previous reading",IF(IF(NOT(ISNUMBER(F54)),TRUE,OR(F54&lt;0,F54&gt;999999999,ROUND(F54,3)&lt;&gt;F54)),"Invalid last service",IF(AND(E54&lt;&gt;"",D54&lt;E54),"Decreased reading",IF(F54&gt;D54,"Last service above current","")))))))))))))</x:f>
      </x:c>
      <x:c r="L54" s="6" t="str">
        <x:f>IF(AND(NOT(COUNTA(A54:F54)=0),K54=""),INDEX('Rules'!$C$7:$C$26,MATCH(SUBSTITUTE(SUBSTITUTE(SUBSTITUTE(SUBSTITUTE("type:"&amp;B54,"%","%25"),"~","%7E"),"*","%2A"),"?","%3F"),'Rules'!$G$7:$G$26,0)),"")</x:f>
      </x:c>
      <x:c r="M54" s="6" t="str">
        <x:f>IF(AND(NOT(COUNTA(A54:F54)=0),K54=""),INDEX('Rules'!$D$7:$D$26,MATCH(SUBSTITUTE(SUBSTITUTE(SUBSTITUTE(SUBSTITUTE("type:"&amp;B54,"%","%25"),"~","%7E"),"*","%2A"),"?","%3F"),'Rules'!$G$7:$G$26,0)),"")</x:f>
      </x:c>
      <x:c r="N54" s="5" t="str">
        <x:f>IF(COUNTA(A54:F54)=0,"",SUBSTITUTE(SUBSTITUTE(SUBSTITUTE(SUBSTITUTE("id:"&amp;A54,"%","%25"),"~","%7E"),"*","%2A"),"?","%3F"))</x:f>
      </x:c>
    </x:row>
    <x:row r="55" ht="22" customHeight="1">
      <x:c r="A55" s="3"/>
      <x:c r="B55" s="3"/>
      <x:c r="C55" s="3"/>
      <x:c r="D55" s="4"/>
      <x:c r="E55" s="4"/>
      <x:c r="F55" s="4"/>
      <x:c r="G55" s="5" t="str">
        <x:f>IF(COUNTA(A55:F55)=0,"",IF(K55&lt;&gt;"","Review",IF(I55&lt;0,"Overdue",IF(I55=0,"Due now",IF(I55&lt;=M55,"Due soon","Not due")))))</x:f>
      </x:c>
      <x:c r="H55" s="5" t="str">
        <x:f>IF(OR(COUNTA(A55:F55)=0,COUNTIFS('Rules'!$G$7:$G$26,"="&amp;(SUBSTITUTE(SUBSTITUTE(SUBSTITUTE(SUBSTITUTE("type:"&amp;B55,"%","%25"),"~","%7E"),"*","%2A"),"?","%3F")))&lt;&gt;1),"",IF(OR(INDEX('Rules'!$B$7:$B$26,MATCH(SUBSTITUTE(SUBSTITUTE(SUBSTITUTE(SUBSTITUTE("type:"&amp;B55,"%","%25"),"~","%7E"),"*","%2A"),"?","%3F"),'Rules'!$G$7:$G$26,0))="hours",INDEX('Rules'!$B$7:$B$26,MATCH(SUBSTITUTE(SUBSTITUTE(SUBSTITUTE(SUBSTITUTE("type:"&amp;B55,"%","%25"),"~","%7E"),"*","%2A"),"?","%3F"),'Rules'!$G$7:$G$26,0))="km"),INDEX('Rules'!$B$7:$B$26,MATCH(SUBSTITUTE(SUBSTITUTE(SUBSTITUTE(SUBSTITUTE("type:"&amp;B55,"%","%25"),"~","%7E"),"*","%2A"),"?","%3F"),'Rules'!$G$7:$G$26,0)),""))</x:f>
      </x:c>
      <x:c r="I55" s="6" t="str">
        <x:f>IF(AND(NOT(COUNTA(A55:F55)=0),K55=""),ROUND(J55-D55,3),"")</x:f>
      </x:c>
      <x:c r="J55" s="6" t="str">
        <x:f>IF(AND(NOT(COUNTA(A55:F55)=0),K55=""),ROUND(F55+L55,3),"")</x:f>
      </x:c>
      <x:c r="K55" s="5" t="str">
        <x:f>IF(COUNTA(A55:F55)=0,"",IF(A55="","Missing equipment ID",IF(COUNTIFS($N$8:$N$2007,"="&amp;N55)&gt;1,"Duplicate equipment ID",IF(B55="","Missing type",IF(COUNTIFS('Rules'!$G$7:$G$26,"="&amp;(SUBSTITUTE(SUBSTITUTE(SUBSTITUTE(SUBSTITUTE("type:"&amp;B55,"%","%25"),"~","%7E"),"*","%2A"),"?","%3F")))=0,"Unknown type",IF(COUNTIFS('Rules'!$G$7:$G$26,"="&amp;(SUBSTITUTE(SUBSTITUTE(SUBSTITUTE(SUBSTITUTE("type:"&amp;B55,"%","%25"),"~","%7E"),"*","%2A"),"?","%3F")))&gt;1,"Duplicate type",IF(INDEX('Rules'!$F$7:$F$26,MATCH(SUBSTITUTE(SUBSTITUTE(SUBSTITUTE(SUBSTITUTE("type:"&amp;B55,"%","%25"),"~","%7E"),"*","%2A"),"?","%3F"),'Rules'!$G$7:$G$26,0))&lt;&gt;"",INDEX('Rules'!$F$7:$F$26,MATCH(SUBSTITUTE(SUBSTITUTE(SUBSTITUTE(SUBSTITUTE("type:"&amp;B55,"%","%25"),"~","%7E"),"*","%2A"),"?","%3F"),'Rules'!$G$7:$G$26,0)),IF(AND(C55&lt;&gt;"",C55&lt;&gt;INDEX('Rules'!$B$7:$B$26,MATCH(SUBSTITUTE(SUBSTITUTE(SUBSTITUTE(SUBSTITUTE("type:"&amp;B55,"%","%25"),"~","%7E"),"*","%2A"),"?","%3F"),'Rules'!$G$7:$G$26,0))),"Unit mismatch",IF(IF(NOT(ISNUMBER(D55)),TRUE,OR(D55&lt;0,D55&gt;999999999,ROUND(D55,3)&lt;&gt;D55)),"Invalid current reading",IF(AND(E55&lt;&gt;"",IF(NOT(ISNUMBER(E55)),TRUE,OR(E55&lt;0,E55&gt;999999999,ROUND(E55,3)&lt;&gt;E55))),"Invalid previous reading",IF(IF(NOT(ISNUMBER(F55)),TRUE,OR(F55&lt;0,F55&gt;999999999,ROUND(F55,3)&lt;&gt;F55)),"Invalid last service",IF(AND(E55&lt;&gt;"",D55&lt;E55),"Decreased reading",IF(F55&gt;D55,"Last service above current","")))))))))))))</x:f>
      </x:c>
      <x:c r="L55" s="6" t="str">
        <x:f>IF(AND(NOT(COUNTA(A55:F55)=0),K55=""),INDEX('Rules'!$C$7:$C$26,MATCH(SUBSTITUTE(SUBSTITUTE(SUBSTITUTE(SUBSTITUTE("type:"&amp;B55,"%","%25"),"~","%7E"),"*","%2A"),"?","%3F"),'Rules'!$G$7:$G$26,0)),"")</x:f>
      </x:c>
      <x:c r="M55" s="6" t="str">
        <x:f>IF(AND(NOT(COUNTA(A55:F55)=0),K55=""),INDEX('Rules'!$D$7:$D$26,MATCH(SUBSTITUTE(SUBSTITUTE(SUBSTITUTE(SUBSTITUTE("type:"&amp;B55,"%","%25"),"~","%7E"),"*","%2A"),"?","%3F"),'Rules'!$G$7:$G$26,0)),"")</x:f>
      </x:c>
      <x:c r="N55" s="5" t="str">
        <x:f>IF(COUNTA(A55:F55)=0,"",SUBSTITUTE(SUBSTITUTE(SUBSTITUTE(SUBSTITUTE("id:"&amp;A55,"%","%25"),"~","%7E"),"*","%2A"),"?","%3F"))</x:f>
      </x:c>
    </x:row>
    <x:row r="56" ht="22" customHeight="1">
      <x:c r="A56" s="3"/>
      <x:c r="B56" s="3"/>
      <x:c r="C56" s="3"/>
      <x:c r="D56" s="4"/>
      <x:c r="E56" s="4"/>
      <x:c r="F56" s="4"/>
      <x:c r="G56" s="5" t="str">
        <x:f>IF(COUNTA(A56:F56)=0,"",IF(K56&lt;&gt;"","Review",IF(I56&lt;0,"Overdue",IF(I56=0,"Due now",IF(I56&lt;=M56,"Due soon","Not due")))))</x:f>
      </x:c>
      <x:c r="H56" s="5" t="str">
        <x:f>IF(OR(COUNTA(A56:F56)=0,COUNTIFS('Rules'!$G$7:$G$26,"="&amp;(SUBSTITUTE(SUBSTITUTE(SUBSTITUTE(SUBSTITUTE("type:"&amp;B56,"%","%25"),"~","%7E"),"*","%2A"),"?","%3F")))&lt;&gt;1),"",IF(OR(INDEX('Rules'!$B$7:$B$26,MATCH(SUBSTITUTE(SUBSTITUTE(SUBSTITUTE(SUBSTITUTE("type:"&amp;B56,"%","%25"),"~","%7E"),"*","%2A"),"?","%3F"),'Rules'!$G$7:$G$26,0))="hours",INDEX('Rules'!$B$7:$B$26,MATCH(SUBSTITUTE(SUBSTITUTE(SUBSTITUTE(SUBSTITUTE("type:"&amp;B56,"%","%25"),"~","%7E"),"*","%2A"),"?","%3F"),'Rules'!$G$7:$G$26,0))="km"),INDEX('Rules'!$B$7:$B$26,MATCH(SUBSTITUTE(SUBSTITUTE(SUBSTITUTE(SUBSTITUTE("type:"&amp;B56,"%","%25"),"~","%7E"),"*","%2A"),"?","%3F"),'Rules'!$G$7:$G$26,0)),""))</x:f>
      </x:c>
      <x:c r="I56" s="6" t="str">
        <x:f>IF(AND(NOT(COUNTA(A56:F56)=0),K56=""),ROUND(J56-D56,3),"")</x:f>
      </x:c>
      <x:c r="J56" s="6" t="str">
        <x:f>IF(AND(NOT(COUNTA(A56:F56)=0),K56=""),ROUND(F56+L56,3),"")</x:f>
      </x:c>
      <x:c r="K56" s="5" t="str">
        <x:f>IF(COUNTA(A56:F56)=0,"",IF(A56="","Missing equipment ID",IF(COUNTIFS($N$8:$N$2007,"="&amp;N56)&gt;1,"Duplicate equipment ID",IF(B56="","Missing type",IF(COUNTIFS('Rules'!$G$7:$G$26,"="&amp;(SUBSTITUTE(SUBSTITUTE(SUBSTITUTE(SUBSTITUTE("type:"&amp;B56,"%","%25"),"~","%7E"),"*","%2A"),"?","%3F")))=0,"Unknown type",IF(COUNTIFS('Rules'!$G$7:$G$26,"="&amp;(SUBSTITUTE(SUBSTITUTE(SUBSTITUTE(SUBSTITUTE("type:"&amp;B56,"%","%25"),"~","%7E"),"*","%2A"),"?","%3F")))&gt;1,"Duplicate type",IF(INDEX('Rules'!$F$7:$F$26,MATCH(SUBSTITUTE(SUBSTITUTE(SUBSTITUTE(SUBSTITUTE("type:"&amp;B56,"%","%25"),"~","%7E"),"*","%2A"),"?","%3F"),'Rules'!$G$7:$G$26,0))&lt;&gt;"",INDEX('Rules'!$F$7:$F$26,MATCH(SUBSTITUTE(SUBSTITUTE(SUBSTITUTE(SUBSTITUTE("type:"&amp;B56,"%","%25"),"~","%7E"),"*","%2A"),"?","%3F"),'Rules'!$G$7:$G$26,0)),IF(AND(C56&lt;&gt;"",C56&lt;&gt;INDEX('Rules'!$B$7:$B$26,MATCH(SUBSTITUTE(SUBSTITUTE(SUBSTITUTE(SUBSTITUTE("type:"&amp;B56,"%","%25"),"~","%7E"),"*","%2A"),"?","%3F"),'Rules'!$G$7:$G$26,0))),"Unit mismatch",IF(IF(NOT(ISNUMBER(D56)),TRUE,OR(D56&lt;0,D56&gt;999999999,ROUND(D56,3)&lt;&gt;D56)),"Invalid current reading",IF(AND(E56&lt;&gt;"",IF(NOT(ISNUMBER(E56)),TRUE,OR(E56&lt;0,E56&gt;999999999,ROUND(E56,3)&lt;&gt;E56))),"Invalid previous reading",IF(IF(NOT(ISNUMBER(F56)),TRUE,OR(F56&lt;0,F56&gt;999999999,ROUND(F56,3)&lt;&gt;F56)),"Invalid last service",IF(AND(E56&lt;&gt;"",D56&lt;E56),"Decreased reading",IF(F56&gt;D56,"Last service above current","")))))))))))))</x:f>
      </x:c>
      <x:c r="L56" s="6" t="str">
        <x:f>IF(AND(NOT(COUNTA(A56:F56)=0),K56=""),INDEX('Rules'!$C$7:$C$26,MATCH(SUBSTITUTE(SUBSTITUTE(SUBSTITUTE(SUBSTITUTE("type:"&amp;B56,"%","%25"),"~","%7E"),"*","%2A"),"?","%3F"),'Rules'!$G$7:$G$26,0)),"")</x:f>
      </x:c>
      <x:c r="M56" s="6" t="str">
        <x:f>IF(AND(NOT(COUNTA(A56:F56)=0),K56=""),INDEX('Rules'!$D$7:$D$26,MATCH(SUBSTITUTE(SUBSTITUTE(SUBSTITUTE(SUBSTITUTE("type:"&amp;B56,"%","%25"),"~","%7E"),"*","%2A"),"?","%3F"),'Rules'!$G$7:$G$26,0)),"")</x:f>
      </x:c>
      <x:c r="N56" s="5" t="str">
        <x:f>IF(COUNTA(A56:F56)=0,"",SUBSTITUTE(SUBSTITUTE(SUBSTITUTE(SUBSTITUTE("id:"&amp;A56,"%","%25"),"~","%7E"),"*","%2A"),"?","%3F"))</x:f>
      </x:c>
    </x:row>
    <x:row r="57" ht="22" customHeight="1">
      <x:c r="A57" s="3"/>
      <x:c r="B57" s="3"/>
      <x:c r="C57" s="3"/>
      <x:c r="D57" s="4"/>
      <x:c r="E57" s="4"/>
      <x:c r="F57" s="4"/>
      <x:c r="G57" s="5" t="str">
        <x:f>IF(COUNTA(A57:F57)=0,"",IF(K57&lt;&gt;"","Review",IF(I57&lt;0,"Overdue",IF(I57=0,"Due now",IF(I57&lt;=M57,"Due soon","Not due")))))</x:f>
      </x:c>
      <x:c r="H57" s="5" t="str">
        <x:f>IF(OR(COUNTA(A57:F57)=0,COUNTIFS('Rules'!$G$7:$G$26,"="&amp;(SUBSTITUTE(SUBSTITUTE(SUBSTITUTE(SUBSTITUTE("type:"&amp;B57,"%","%25"),"~","%7E"),"*","%2A"),"?","%3F")))&lt;&gt;1),"",IF(OR(INDEX('Rules'!$B$7:$B$26,MATCH(SUBSTITUTE(SUBSTITUTE(SUBSTITUTE(SUBSTITUTE("type:"&amp;B57,"%","%25"),"~","%7E"),"*","%2A"),"?","%3F"),'Rules'!$G$7:$G$26,0))="hours",INDEX('Rules'!$B$7:$B$26,MATCH(SUBSTITUTE(SUBSTITUTE(SUBSTITUTE(SUBSTITUTE("type:"&amp;B57,"%","%25"),"~","%7E"),"*","%2A"),"?","%3F"),'Rules'!$G$7:$G$26,0))="km"),INDEX('Rules'!$B$7:$B$26,MATCH(SUBSTITUTE(SUBSTITUTE(SUBSTITUTE(SUBSTITUTE("type:"&amp;B57,"%","%25"),"~","%7E"),"*","%2A"),"?","%3F"),'Rules'!$G$7:$G$26,0)),""))</x:f>
      </x:c>
      <x:c r="I57" s="6" t="str">
        <x:f>IF(AND(NOT(COUNTA(A57:F57)=0),K57=""),ROUND(J57-D57,3),"")</x:f>
      </x:c>
      <x:c r="J57" s="6" t="str">
        <x:f>IF(AND(NOT(COUNTA(A57:F57)=0),K57=""),ROUND(F57+L57,3),"")</x:f>
      </x:c>
      <x:c r="K57" s="5" t="str">
        <x:f>IF(COUNTA(A57:F57)=0,"",IF(A57="","Missing equipment ID",IF(COUNTIFS($N$8:$N$2007,"="&amp;N57)&gt;1,"Duplicate equipment ID",IF(B57="","Missing type",IF(COUNTIFS('Rules'!$G$7:$G$26,"="&amp;(SUBSTITUTE(SUBSTITUTE(SUBSTITUTE(SUBSTITUTE("type:"&amp;B57,"%","%25"),"~","%7E"),"*","%2A"),"?","%3F")))=0,"Unknown type",IF(COUNTIFS('Rules'!$G$7:$G$26,"="&amp;(SUBSTITUTE(SUBSTITUTE(SUBSTITUTE(SUBSTITUTE("type:"&amp;B57,"%","%25"),"~","%7E"),"*","%2A"),"?","%3F")))&gt;1,"Duplicate type",IF(INDEX('Rules'!$F$7:$F$26,MATCH(SUBSTITUTE(SUBSTITUTE(SUBSTITUTE(SUBSTITUTE("type:"&amp;B57,"%","%25"),"~","%7E"),"*","%2A"),"?","%3F"),'Rules'!$G$7:$G$26,0))&lt;&gt;"",INDEX('Rules'!$F$7:$F$26,MATCH(SUBSTITUTE(SUBSTITUTE(SUBSTITUTE(SUBSTITUTE("type:"&amp;B57,"%","%25"),"~","%7E"),"*","%2A"),"?","%3F"),'Rules'!$G$7:$G$26,0)),IF(AND(C57&lt;&gt;"",C57&lt;&gt;INDEX('Rules'!$B$7:$B$26,MATCH(SUBSTITUTE(SUBSTITUTE(SUBSTITUTE(SUBSTITUTE("type:"&amp;B57,"%","%25"),"~","%7E"),"*","%2A"),"?","%3F"),'Rules'!$G$7:$G$26,0))),"Unit mismatch",IF(IF(NOT(ISNUMBER(D57)),TRUE,OR(D57&lt;0,D57&gt;999999999,ROUND(D57,3)&lt;&gt;D57)),"Invalid current reading",IF(AND(E57&lt;&gt;"",IF(NOT(ISNUMBER(E57)),TRUE,OR(E57&lt;0,E57&gt;999999999,ROUND(E57,3)&lt;&gt;E57))),"Invalid previous reading",IF(IF(NOT(ISNUMBER(F57)),TRUE,OR(F57&lt;0,F57&gt;999999999,ROUND(F57,3)&lt;&gt;F57)),"Invalid last service",IF(AND(E57&lt;&gt;"",D57&lt;E57),"Decreased reading",IF(F57&gt;D57,"Last service above current","")))))))))))))</x:f>
      </x:c>
      <x:c r="L57" s="6" t="str">
        <x:f>IF(AND(NOT(COUNTA(A57:F57)=0),K57=""),INDEX('Rules'!$C$7:$C$26,MATCH(SUBSTITUTE(SUBSTITUTE(SUBSTITUTE(SUBSTITUTE("type:"&amp;B57,"%","%25"),"~","%7E"),"*","%2A"),"?","%3F"),'Rules'!$G$7:$G$26,0)),"")</x:f>
      </x:c>
      <x:c r="M57" s="6" t="str">
        <x:f>IF(AND(NOT(COUNTA(A57:F57)=0),K57=""),INDEX('Rules'!$D$7:$D$26,MATCH(SUBSTITUTE(SUBSTITUTE(SUBSTITUTE(SUBSTITUTE("type:"&amp;B57,"%","%25"),"~","%7E"),"*","%2A"),"?","%3F"),'Rules'!$G$7:$G$26,0)),"")</x:f>
      </x:c>
      <x:c r="N57" s="5" t="str">
        <x:f>IF(COUNTA(A57:F57)=0,"",SUBSTITUTE(SUBSTITUTE(SUBSTITUTE(SUBSTITUTE("id:"&amp;A57,"%","%25"),"~","%7E"),"*","%2A"),"?","%3F"))</x:f>
      </x:c>
    </x:row>
    <x:row r="58" ht="22" customHeight="1">
      <x:c r="A58" s="3"/>
      <x:c r="B58" s="3"/>
      <x:c r="C58" s="3"/>
      <x:c r="D58" s="4"/>
      <x:c r="E58" s="4"/>
      <x:c r="F58" s="4"/>
      <x:c r="G58" s="5" t="str">
        <x:f>IF(COUNTA(A58:F58)=0,"",IF(K58&lt;&gt;"","Review",IF(I58&lt;0,"Overdue",IF(I58=0,"Due now",IF(I58&lt;=M58,"Due soon","Not due")))))</x:f>
      </x:c>
      <x:c r="H58" s="5" t="str">
        <x:f>IF(OR(COUNTA(A58:F58)=0,COUNTIFS('Rules'!$G$7:$G$26,"="&amp;(SUBSTITUTE(SUBSTITUTE(SUBSTITUTE(SUBSTITUTE("type:"&amp;B58,"%","%25"),"~","%7E"),"*","%2A"),"?","%3F")))&lt;&gt;1),"",IF(OR(INDEX('Rules'!$B$7:$B$26,MATCH(SUBSTITUTE(SUBSTITUTE(SUBSTITUTE(SUBSTITUTE("type:"&amp;B58,"%","%25"),"~","%7E"),"*","%2A"),"?","%3F"),'Rules'!$G$7:$G$26,0))="hours",INDEX('Rules'!$B$7:$B$26,MATCH(SUBSTITUTE(SUBSTITUTE(SUBSTITUTE(SUBSTITUTE("type:"&amp;B58,"%","%25"),"~","%7E"),"*","%2A"),"?","%3F"),'Rules'!$G$7:$G$26,0))="km"),INDEX('Rules'!$B$7:$B$26,MATCH(SUBSTITUTE(SUBSTITUTE(SUBSTITUTE(SUBSTITUTE("type:"&amp;B58,"%","%25"),"~","%7E"),"*","%2A"),"?","%3F"),'Rules'!$G$7:$G$26,0)),""))</x:f>
      </x:c>
      <x:c r="I58" s="6" t="str">
        <x:f>IF(AND(NOT(COUNTA(A58:F58)=0),K58=""),ROUND(J58-D58,3),"")</x:f>
      </x:c>
      <x:c r="J58" s="6" t="str">
        <x:f>IF(AND(NOT(COUNTA(A58:F58)=0),K58=""),ROUND(F58+L58,3),"")</x:f>
      </x:c>
      <x:c r="K58" s="5" t="str">
        <x:f>IF(COUNTA(A58:F58)=0,"",IF(A58="","Missing equipment ID",IF(COUNTIFS($N$8:$N$2007,"="&amp;N58)&gt;1,"Duplicate equipment ID",IF(B58="","Missing type",IF(COUNTIFS('Rules'!$G$7:$G$26,"="&amp;(SUBSTITUTE(SUBSTITUTE(SUBSTITUTE(SUBSTITUTE("type:"&amp;B58,"%","%25"),"~","%7E"),"*","%2A"),"?","%3F")))=0,"Unknown type",IF(COUNTIFS('Rules'!$G$7:$G$26,"="&amp;(SUBSTITUTE(SUBSTITUTE(SUBSTITUTE(SUBSTITUTE("type:"&amp;B58,"%","%25"),"~","%7E"),"*","%2A"),"?","%3F")))&gt;1,"Duplicate type",IF(INDEX('Rules'!$F$7:$F$26,MATCH(SUBSTITUTE(SUBSTITUTE(SUBSTITUTE(SUBSTITUTE("type:"&amp;B58,"%","%25"),"~","%7E"),"*","%2A"),"?","%3F"),'Rules'!$G$7:$G$26,0))&lt;&gt;"",INDEX('Rules'!$F$7:$F$26,MATCH(SUBSTITUTE(SUBSTITUTE(SUBSTITUTE(SUBSTITUTE("type:"&amp;B58,"%","%25"),"~","%7E"),"*","%2A"),"?","%3F"),'Rules'!$G$7:$G$26,0)),IF(AND(C58&lt;&gt;"",C58&lt;&gt;INDEX('Rules'!$B$7:$B$26,MATCH(SUBSTITUTE(SUBSTITUTE(SUBSTITUTE(SUBSTITUTE("type:"&amp;B58,"%","%25"),"~","%7E"),"*","%2A"),"?","%3F"),'Rules'!$G$7:$G$26,0))),"Unit mismatch",IF(IF(NOT(ISNUMBER(D58)),TRUE,OR(D58&lt;0,D58&gt;999999999,ROUND(D58,3)&lt;&gt;D58)),"Invalid current reading",IF(AND(E58&lt;&gt;"",IF(NOT(ISNUMBER(E58)),TRUE,OR(E58&lt;0,E58&gt;999999999,ROUND(E58,3)&lt;&gt;E58))),"Invalid previous reading",IF(IF(NOT(ISNUMBER(F58)),TRUE,OR(F58&lt;0,F58&gt;999999999,ROUND(F58,3)&lt;&gt;F58)),"Invalid last service",IF(AND(E58&lt;&gt;"",D58&lt;E58),"Decreased reading",IF(F58&gt;D58,"Last service above current","")))))))))))))</x:f>
      </x:c>
      <x:c r="L58" s="6" t="str">
        <x:f>IF(AND(NOT(COUNTA(A58:F58)=0),K58=""),INDEX('Rules'!$C$7:$C$26,MATCH(SUBSTITUTE(SUBSTITUTE(SUBSTITUTE(SUBSTITUTE("type:"&amp;B58,"%","%25"),"~","%7E"),"*","%2A"),"?","%3F"),'Rules'!$G$7:$G$26,0)),"")</x:f>
      </x:c>
      <x:c r="M58" s="6" t="str">
        <x:f>IF(AND(NOT(COUNTA(A58:F58)=0),K58=""),INDEX('Rules'!$D$7:$D$26,MATCH(SUBSTITUTE(SUBSTITUTE(SUBSTITUTE(SUBSTITUTE("type:"&amp;B58,"%","%25"),"~","%7E"),"*","%2A"),"?","%3F"),'Rules'!$G$7:$G$26,0)),"")</x:f>
      </x:c>
      <x:c r="N58" s="5" t="str">
        <x:f>IF(COUNTA(A58:F58)=0,"",SUBSTITUTE(SUBSTITUTE(SUBSTITUTE(SUBSTITUTE("id:"&amp;A58,"%","%25"),"~","%7E"),"*","%2A"),"?","%3F"))</x:f>
      </x:c>
    </x:row>
    <x:row r="59" ht="22" customHeight="1">
      <x:c r="A59" s="3"/>
      <x:c r="B59" s="3"/>
      <x:c r="C59" s="3"/>
      <x:c r="D59" s="4"/>
      <x:c r="E59" s="4"/>
      <x:c r="F59" s="4"/>
      <x:c r="G59" s="5" t="str">
        <x:f>IF(COUNTA(A59:F59)=0,"",IF(K59&lt;&gt;"","Review",IF(I59&lt;0,"Overdue",IF(I59=0,"Due now",IF(I59&lt;=M59,"Due soon","Not due")))))</x:f>
      </x:c>
      <x:c r="H59" s="5" t="str">
        <x:f>IF(OR(COUNTA(A59:F59)=0,COUNTIFS('Rules'!$G$7:$G$26,"="&amp;(SUBSTITUTE(SUBSTITUTE(SUBSTITUTE(SUBSTITUTE("type:"&amp;B59,"%","%25"),"~","%7E"),"*","%2A"),"?","%3F")))&lt;&gt;1),"",IF(OR(INDEX('Rules'!$B$7:$B$26,MATCH(SUBSTITUTE(SUBSTITUTE(SUBSTITUTE(SUBSTITUTE("type:"&amp;B59,"%","%25"),"~","%7E"),"*","%2A"),"?","%3F"),'Rules'!$G$7:$G$26,0))="hours",INDEX('Rules'!$B$7:$B$26,MATCH(SUBSTITUTE(SUBSTITUTE(SUBSTITUTE(SUBSTITUTE("type:"&amp;B59,"%","%25"),"~","%7E"),"*","%2A"),"?","%3F"),'Rules'!$G$7:$G$26,0))="km"),INDEX('Rules'!$B$7:$B$26,MATCH(SUBSTITUTE(SUBSTITUTE(SUBSTITUTE(SUBSTITUTE("type:"&amp;B59,"%","%25"),"~","%7E"),"*","%2A"),"?","%3F"),'Rules'!$G$7:$G$26,0)),""))</x:f>
      </x:c>
      <x:c r="I59" s="6" t="str">
        <x:f>IF(AND(NOT(COUNTA(A59:F59)=0),K59=""),ROUND(J59-D59,3),"")</x:f>
      </x:c>
      <x:c r="J59" s="6" t="str">
        <x:f>IF(AND(NOT(COUNTA(A59:F59)=0),K59=""),ROUND(F59+L59,3),"")</x:f>
      </x:c>
      <x:c r="K59" s="5" t="str">
        <x:f>IF(COUNTA(A59:F59)=0,"",IF(A59="","Missing equipment ID",IF(COUNTIFS($N$8:$N$2007,"="&amp;N59)&gt;1,"Duplicate equipment ID",IF(B59="","Missing type",IF(COUNTIFS('Rules'!$G$7:$G$26,"="&amp;(SUBSTITUTE(SUBSTITUTE(SUBSTITUTE(SUBSTITUTE("type:"&amp;B59,"%","%25"),"~","%7E"),"*","%2A"),"?","%3F")))=0,"Unknown type",IF(COUNTIFS('Rules'!$G$7:$G$26,"="&amp;(SUBSTITUTE(SUBSTITUTE(SUBSTITUTE(SUBSTITUTE("type:"&amp;B59,"%","%25"),"~","%7E"),"*","%2A"),"?","%3F")))&gt;1,"Duplicate type",IF(INDEX('Rules'!$F$7:$F$26,MATCH(SUBSTITUTE(SUBSTITUTE(SUBSTITUTE(SUBSTITUTE("type:"&amp;B59,"%","%25"),"~","%7E"),"*","%2A"),"?","%3F"),'Rules'!$G$7:$G$26,0))&lt;&gt;"",INDEX('Rules'!$F$7:$F$26,MATCH(SUBSTITUTE(SUBSTITUTE(SUBSTITUTE(SUBSTITUTE("type:"&amp;B59,"%","%25"),"~","%7E"),"*","%2A"),"?","%3F"),'Rules'!$G$7:$G$26,0)),IF(AND(C59&lt;&gt;"",C59&lt;&gt;INDEX('Rules'!$B$7:$B$26,MATCH(SUBSTITUTE(SUBSTITUTE(SUBSTITUTE(SUBSTITUTE("type:"&amp;B59,"%","%25"),"~","%7E"),"*","%2A"),"?","%3F"),'Rules'!$G$7:$G$26,0))),"Unit mismatch",IF(IF(NOT(ISNUMBER(D59)),TRUE,OR(D59&lt;0,D59&gt;999999999,ROUND(D59,3)&lt;&gt;D59)),"Invalid current reading",IF(AND(E59&lt;&gt;"",IF(NOT(ISNUMBER(E59)),TRUE,OR(E59&lt;0,E59&gt;999999999,ROUND(E59,3)&lt;&gt;E59))),"Invalid previous reading",IF(IF(NOT(ISNUMBER(F59)),TRUE,OR(F59&lt;0,F59&gt;999999999,ROUND(F59,3)&lt;&gt;F59)),"Invalid last service",IF(AND(E59&lt;&gt;"",D59&lt;E59),"Decreased reading",IF(F59&gt;D59,"Last service above current","")))))))))))))</x:f>
      </x:c>
      <x:c r="L59" s="6" t="str">
        <x:f>IF(AND(NOT(COUNTA(A59:F59)=0),K59=""),INDEX('Rules'!$C$7:$C$26,MATCH(SUBSTITUTE(SUBSTITUTE(SUBSTITUTE(SUBSTITUTE("type:"&amp;B59,"%","%25"),"~","%7E"),"*","%2A"),"?","%3F"),'Rules'!$G$7:$G$26,0)),"")</x:f>
      </x:c>
      <x:c r="M59" s="6" t="str">
        <x:f>IF(AND(NOT(COUNTA(A59:F59)=0),K59=""),INDEX('Rules'!$D$7:$D$26,MATCH(SUBSTITUTE(SUBSTITUTE(SUBSTITUTE(SUBSTITUTE("type:"&amp;B59,"%","%25"),"~","%7E"),"*","%2A"),"?","%3F"),'Rules'!$G$7:$G$26,0)),"")</x:f>
      </x:c>
      <x:c r="N59" s="5" t="str">
        <x:f>IF(COUNTA(A59:F59)=0,"",SUBSTITUTE(SUBSTITUTE(SUBSTITUTE(SUBSTITUTE("id:"&amp;A59,"%","%25"),"~","%7E"),"*","%2A"),"?","%3F"))</x:f>
      </x:c>
    </x:row>
    <x:row r="60" ht="22" customHeight="1">
      <x:c r="A60" s="3"/>
      <x:c r="B60" s="3"/>
      <x:c r="C60" s="3"/>
      <x:c r="D60" s="4"/>
      <x:c r="E60" s="4"/>
      <x:c r="F60" s="4"/>
      <x:c r="G60" s="5" t="str">
        <x:f>IF(COUNTA(A60:F60)=0,"",IF(K60&lt;&gt;"","Review",IF(I60&lt;0,"Overdue",IF(I60=0,"Due now",IF(I60&lt;=M60,"Due soon","Not due")))))</x:f>
      </x:c>
      <x:c r="H60" s="5" t="str">
        <x:f>IF(OR(COUNTA(A60:F60)=0,COUNTIFS('Rules'!$G$7:$G$26,"="&amp;(SUBSTITUTE(SUBSTITUTE(SUBSTITUTE(SUBSTITUTE("type:"&amp;B60,"%","%25"),"~","%7E"),"*","%2A"),"?","%3F")))&lt;&gt;1),"",IF(OR(INDEX('Rules'!$B$7:$B$26,MATCH(SUBSTITUTE(SUBSTITUTE(SUBSTITUTE(SUBSTITUTE("type:"&amp;B60,"%","%25"),"~","%7E"),"*","%2A"),"?","%3F"),'Rules'!$G$7:$G$26,0))="hours",INDEX('Rules'!$B$7:$B$26,MATCH(SUBSTITUTE(SUBSTITUTE(SUBSTITUTE(SUBSTITUTE("type:"&amp;B60,"%","%25"),"~","%7E"),"*","%2A"),"?","%3F"),'Rules'!$G$7:$G$26,0))="km"),INDEX('Rules'!$B$7:$B$26,MATCH(SUBSTITUTE(SUBSTITUTE(SUBSTITUTE(SUBSTITUTE("type:"&amp;B60,"%","%25"),"~","%7E"),"*","%2A"),"?","%3F"),'Rules'!$G$7:$G$26,0)),""))</x:f>
      </x:c>
      <x:c r="I60" s="6" t="str">
        <x:f>IF(AND(NOT(COUNTA(A60:F60)=0),K60=""),ROUND(J60-D60,3),"")</x:f>
      </x:c>
      <x:c r="J60" s="6" t="str">
        <x:f>IF(AND(NOT(COUNTA(A60:F60)=0),K60=""),ROUND(F60+L60,3),"")</x:f>
      </x:c>
      <x:c r="K60" s="5" t="str">
        <x:f>IF(COUNTA(A60:F60)=0,"",IF(A60="","Missing equipment ID",IF(COUNTIFS($N$8:$N$2007,"="&amp;N60)&gt;1,"Duplicate equipment ID",IF(B60="","Missing type",IF(COUNTIFS('Rules'!$G$7:$G$26,"="&amp;(SUBSTITUTE(SUBSTITUTE(SUBSTITUTE(SUBSTITUTE("type:"&amp;B60,"%","%25"),"~","%7E"),"*","%2A"),"?","%3F")))=0,"Unknown type",IF(COUNTIFS('Rules'!$G$7:$G$26,"="&amp;(SUBSTITUTE(SUBSTITUTE(SUBSTITUTE(SUBSTITUTE("type:"&amp;B60,"%","%25"),"~","%7E"),"*","%2A"),"?","%3F")))&gt;1,"Duplicate type",IF(INDEX('Rules'!$F$7:$F$26,MATCH(SUBSTITUTE(SUBSTITUTE(SUBSTITUTE(SUBSTITUTE("type:"&amp;B60,"%","%25"),"~","%7E"),"*","%2A"),"?","%3F"),'Rules'!$G$7:$G$26,0))&lt;&gt;"",INDEX('Rules'!$F$7:$F$26,MATCH(SUBSTITUTE(SUBSTITUTE(SUBSTITUTE(SUBSTITUTE("type:"&amp;B60,"%","%25"),"~","%7E"),"*","%2A"),"?","%3F"),'Rules'!$G$7:$G$26,0)),IF(AND(C60&lt;&gt;"",C60&lt;&gt;INDEX('Rules'!$B$7:$B$26,MATCH(SUBSTITUTE(SUBSTITUTE(SUBSTITUTE(SUBSTITUTE("type:"&amp;B60,"%","%25"),"~","%7E"),"*","%2A"),"?","%3F"),'Rules'!$G$7:$G$26,0))),"Unit mismatch",IF(IF(NOT(ISNUMBER(D60)),TRUE,OR(D60&lt;0,D60&gt;999999999,ROUND(D60,3)&lt;&gt;D60)),"Invalid current reading",IF(AND(E60&lt;&gt;"",IF(NOT(ISNUMBER(E60)),TRUE,OR(E60&lt;0,E60&gt;999999999,ROUND(E60,3)&lt;&gt;E60))),"Invalid previous reading",IF(IF(NOT(ISNUMBER(F60)),TRUE,OR(F60&lt;0,F60&gt;999999999,ROUND(F60,3)&lt;&gt;F60)),"Invalid last service",IF(AND(E60&lt;&gt;"",D60&lt;E60),"Decreased reading",IF(F60&gt;D60,"Last service above current","")))))))))))))</x:f>
      </x:c>
      <x:c r="L60" s="6" t="str">
        <x:f>IF(AND(NOT(COUNTA(A60:F60)=0),K60=""),INDEX('Rules'!$C$7:$C$26,MATCH(SUBSTITUTE(SUBSTITUTE(SUBSTITUTE(SUBSTITUTE("type:"&amp;B60,"%","%25"),"~","%7E"),"*","%2A"),"?","%3F"),'Rules'!$G$7:$G$26,0)),"")</x:f>
      </x:c>
      <x:c r="M60" s="6" t="str">
        <x:f>IF(AND(NOT(COUNTA(A60:F60)=0),K60=""),INDEX('Rules'!$D$7:$D$26,MATCH(SUBSTITUTE(SUBSTITUTE(SUBSTITUTE(SUBSTITUTE("type:"&amp;B60,"%","%25"),"~","%7E"),"*","%2A"),"?","%3F"),'Rules'!$G$7:$G$26,0)),"")</x:f>
      </x:c>
      <x:c r="N60" s="5" t="str">
        <x:f>IF(COUNTA(A60:F60)=0,"",SUBSTITUTE(SUBSTITUTE(SUBSTITUTE(SUBSTITUTE("id:"&amp;A60,"%","%25"),"~","%7E"),"*","%2A"),"?","%3F"))</x:f>
      </x:c>
    </x:row>
    <x:row r="61" ht="22" customHeight="1">
      <x:c r="A61" s="3"/>
      <x:c r="B61" s="3"/>
      <x:c r="C61" s="3"/>
      <x:c r="D61" s="4"/>
      <x:c r="E61" s="4"/>
      <x:c r="F61" s="4"/>
      <x:c r="G61" s="5" t="str">
        <x:f>IF(COUNTA(A61:F61)=0,"",IF(K61&lt;&gt;"","Review",IF(I61&lt;0,"Overdue",IF(I61=0,"Due now",IF(I61&lt;=M61,"Due soon","Not due")))))</x:f>
      </x:c>
      <x:c r="H61" s="5" t="str">
        <x:f>IF(OR(COUNTA(A61:F61)=0,COUNTIFS('Rules'!$G$7:$G$26,"="&amp;(SUBSTITUTE(SUBSTITUTE(SUBSTITUTE(SUBSTITUTE("type:"&amp;B61,"%","%25"),"~","%7E"),"*","%2A"),"?","%3F")))&lt;&gt;1),"",IF(OR(INDEX('Rules'!$B$7:$B$26,MATCH(SUBSTITUTE(SUBSTITUTE(SUBSTITUTE(SUBSTITUTE("type:"&amp;B61,"%","%25"),"~","%7E"),"*","%2A"),"?","%3F"),'Rules'!$G$7:$G$26,0))="hours",INDEX('Rules'!$B$7:$B$26,MATCH(SUBSTITUTE(SUBSTITUTE(SUBSTITUTE(SUBSTITUTE("type:"&amp;B61,"%","%25"),"~","%7E"),"*","%2A"),"?","%3F"),'Rules'!$G$7:$G$26,0))="km"),INDEX('Rules'!$B$7:$B$26,MATCH(SUBSTITUTE(SUBSTITUTE(SUBSTITUTE(SUBSTITUTE("type:"&amp;B61,"%","%25"),"~","%7E"),"*","%2A"),"?","%3F"),'Rules'!$G$7:$G$26,0)),""))</x:f>
      </x:c>
      <x:c r="I61" s="6" t="str">
        <x:f>IF(AND(NOT(COUNTA(A61:F61)=0),K61=""),ROUND(J61-D61,3),"")</x:f>
      </x:c>
      <x:c r="J61" s="6" t="str">
        <x:f>IF(AND(NOT(COUNTA(A61:F61)=0),K61=""),ROUND(F61+L61,3),"")</x:f>
      </x:c>
      <x:c r="K61" s="5" t="str">
        <x:f>IF(COUNTA(A61:F61)=0,"",IF(A61="","Missing equipment ID",IF(COUNTIFS($N$8:$N$2007,"="&amp;N61)&gt;1,"Duplicate equipment ID",IF(B61="","Missing type",IF(COUNTIFS('Rules'!$G$7:$G$26,"="&amp;(SUBSTITUTE(SUBSTITUTE(SUBSTITUTE(SUBSTITUTE("type:"&amp;B61,"%","%25"),"~","%7E"),"*","%2A"),"?","%3F")))=0,"Unknown type",IF(COUNTIFS('Rules'!$G$7:$G$26,"="&amp;(SUBSTITUTE(SUBSTITUTE(SUBSTITUTE(SUBSTITUTE("type:"&amp;B61,"%","%25"),"~","%7E"),"*","%2A"),"?","%3F")))&gt;1,"Duplicate type",IF(INDEX('Rules'!$F$7:$F$26,MATCH(SUBSTITUTE(SUBSTITUTE(SUBSTITUTE(SUBSTITUTE("type:"&amp;B61,"%","%25"),"~","%7E"),"*","%2A"),"?","%3F"),'Rules'!$G$7:$G$26,0))&lt;&gt;"",INDEX('Rules'!$F$7:$F$26,MATCH(SUBSTITUTE(SUBSTITUTE(SUBSTITUTE(SUBSTITUTE("type:"&amp;B61,"%","%25"),"~","%7E"),"*","%2A"),"?","%3F"),'Rules'!$G$7:$G$26,0)),IF(AND(C61&lt;&gt;"",C61&lt;&gt;INDEX('Rules'!$B$7:$B$26,MATCH(SUBSTITUTE(SUBSTITUTE(SUBSTITUTE(SUBSTITUTE("type:"&amp;B61,"%","%25"),"~","%7E"),"*","%2A"),"?","%3F"),'Rules'!$G$7:$G$26,0))),"Unit mismatch",IF(IF(NOT(ISNUMBER(D61)),TRUE,OR(D61&lt;0,D61&gt;999999999,ROUND(D61,3)&lt;&gt;D61)),"Invalid current reading",IF(AND(E61&lt;&gt;"",IF(NOT(ISNUMBER(E61)),TRUE,OR(E61&lt;0,E61&gt;999999999,ROUND(E61,3)&lt;&gt;E61))),"Invalid previous reading",IF(IF(NOT(ISNUMBER(F61)),TRUE,OR(F61&lt;0,F61&gt;999999999,ROUND(F61,3)&lt;&gt;F61)),"Invalid last service",IF(AND(E61&lt;&gt;"",D61&lt;E61),"Decreased reading",IF(F61&gt;D61,"Last service above current","")))))))))))))</x:f>
      </x:c>
      <x:c r="L61" s="6" t="str">
        <x:f>IF(AND(NOT(COUNTA(A61:F61)=0),K61=""),INDEX('Rules'!$C$7:$C$26,MATCH(SUBSTITUTE(SUBSTITUTE(SUBSTITUTE(SUBSTITUTE("type:"&amp;B61,"%","%25"),"~","%7E"),"*","%2A"),"?","%3F"),'Rules'!$G$7:$G$26,0)),"")</x:f>
      </x:c>
      <x:c r="M61" s="6" t="str">
        <x:f>IF(AND(NOT(COUNTA(A61:F61)=0),K61=""),INDEX('Rules'!$D$7:$D$26,MATCH(SUBSTITUTE(SUBSTITUTE(SUBSTITUTE(SUBSTITUTE("type:"&amp;B61,"%","%25"),"~","%7E"),"*","%2A"),"?","%3F"),'Rules'!$G$7:$G$26,0)),"")</x:f>
      </x:c>
      <x:c r="N61" s="5" t="str">
        <x:f>IF(COUNTA(A61:F61)=0,"",SUBSTITUTE(SUBSTITUTE(SUBSTITUTE(SUBSTITUTE("id:"&amp;A61,"%","%25"),"~","%7E"),"*","%2A"),"?","%3F"))</x:f>
      </x:c>
    </x:row>
    <x:row r="62" ht="22" customHeight="1">
      <x:c r="A62" s="3"/>
      <x:c r="B62" s="3"/>
      <x:c r="C62" s="3"/>
      <x:c r="D62" s="4"/>
      <x:c r="E62" s="4"/>
      <x:c r="F62" s="4"/>
      <x:c r="G62" s="5" t="str">
        <x:f>IF(COUNTA(A62:F62)=0,"",IF(K62&lt;&gt;"","Review",IF(I62&lt;0,"Overdue",IF(I62=0,"Due now",IF(I62&lt;=M62,"Due soon","Not due")))))</x:f>
      </x:c>
      <x:c r="H62" s="5" t="str">
        <x:f>IF(OR(COUNTA(A62:F62)=0,COUNTIFS('Rules'!$G$7:$G$26,"="&amp;(SUBSTITUTE(SUBSTITUTE(SUBSTITUTE(SUBSTITUTE("type:"&amp;B62,"%","%25"),"~","%7E"),"*","%2A"),"?","%3F")))&lt;&gt;1),"",IF(OR(INDEX('Rules'!$B$7:$B$26,MATCH(SUBSTITUTE(SUBSTITUTE(SUBSTITUTE(SUBSTITUTE("type:"&amp;B62,"%","%25"),"~","%7E"),"*","%2A"),"?","%3F"),'Rules'!$G$7:$G$26,0))="hours",INDEX('Rules'!$B$7:$B$26,MATCH(SUBSTITUTE(SUBSTITUTE(SUBSTITUTE(SUBSTITUTE("type:"&amp;B62,"%","%25"),"~","%7E"),"*","%2A"),"?","%3F"),'Rules'!$G$7:$G$26,0))="km"),INDEX('Rules'!$B$7:$B$26,MATCH(SUBSTITUTE(SUBSTITUTE(SUBSTITUTE(SUBSTITUTE("type:"&amp;B62,"%","%25"),"~","%7E"),"*","%2A"),"?","%3F"),'Rules'!$G$7:$G$26,0)),""))</x:f>
      </x:c>
      <x:c r="I62" s="6" t="str">
        <x:f>IF(AND(NOT(COUNTA(A62:F62)=0),K62=""),ROUND(J62-D62,3),"")</x:f>
      </x:c>
      <x:c r="J62" s="6" t="str">
        <x:f>IF(AND(NOT(COUNTA(A62:F62)=0),K62=""),ROUND(F62+L62,3),"")</x:f>
      </x:c>
      <x:c r="K62" s="5" t="str">
        <x:f>IF(COUNTA(A62:F62)=0,"",IF(A62="","Missing equipment ID",IF(COUNTIFS($N$8:$N$2007,"="&amp;N62)&gt;1,"Duplicate equipment ID",IF(B62="","Missing type",IF(COUNTIFS('Rules'!$G$7:$G$26,"="&amp;(SUBSTITUTE(SUBSTITUTE(SUBSTITUTE(SUBSTITUTE("type:"&amp;B62,"%","%25"),"~","%7E"),"*","%2A"),"?","%3F")))=0,"Unknown type",IF(COUNTIFS('Rules'!$G$7:$G$26,"="&amp;(SUBSTITUTE(SUBSTITUTE(SUBSTITUTE(SUBSTITUTE("type:"&amp;B62,"%","%25"),"~","%7E"),"*","%2A"),"?","%3F")))&gt;1,"Duplicate type",IF(INDEX('Rules'!$F$7:$F$26,MATCH(SUBSTITUTE(SUBSTITUTE(SUBSTITUTE(SUBSTITUTE("type:"&amp;B62,"%","%25"),"~","%7E"),"*","%2A"),"?","%3F"),'Rules'!$G$7:$G$26,0))&lt;&gt;"",INDEX('Rules'!$F$7:$F$26,MATCH(SUBSTITUTE(SUBSTITUTE(SUBSTITUTE(SUBSTITUTE("type:"&amp;B62,"%","%25"),"~","%7E"),"*","%2A"),"?","%3F"),'Rules'!$G$7:$G$26,0)),IF(AND(C62&lt;&gt;"",C62&lt;&gt;INDEX('Rules'!$B$7:$B$26,MATCH(SUBSTITUTE(SUBSTITUTE(SUBSTITUTE(SUBSTITUTE("type:"&amp;B62,"%","%25"),"~","%7E"),"*","%2A"),"?","%3F"),'Rules'!$G$7:$G$26,0))),"Unit mismatch",IF(IF(NOT(ISNUMBER(D62)),TRUE,OR(D62&lt;0,D62&gt;999999999,ROUND(D62,3)&lt;&gt;D62)),"Invalid current reading",IF(AND(E62&lt;&gt;"",IF(NOT(ISNUMBER(E62)),TRUE,OR(E62&lt;0,E62&gt;999999999,ROUND(E62,3)&lt;&gt;E62))),"Invalid previous reading",IF(IF(NOT(ISNUMBER(F62)),TRUE,OR(F62&lt;0,F62&gt;999999999,ROUND(F62,3)&lt;&gt;F62)),"Invalid last service",IF(AND(E62&lt;&gt;"",D62&lt;E62),"Decreased reading",IF(F62&gt;D62,"Last service above current","")))))))))))))</x:f>
      </x:c>
      <x:c r="L62" s="6" t="str">
        <x:f>IF(AND(NOT(COUNTA(A62:F62)=0),K62=""),INDEX('Rules'!$C$7:$C$26,MATCH(SUBSTITUTE(SUBSTITUTE(SUBSTITUTE(SUBSTITUTE("type:"&amp;B62,"%","%25"),"~","%7E"),"*","%2A"),"?","%3F"),'Rules'!$G$7:$G$26,0)),"")</x:f>
      </x:c>
      <x:c r="M62" s="6" t="str">
        <x:f>IF(AND(NOT(COUNTA(A62:F62)=0),K62=""),INDEX('Rules'!$D$7:$D$26,MATCH(SUBSTITUTE(SUBSTITUTE(SUBSTITUTE(SUBSTITUTE("type:"&amp;B62,"%","%25"),"~","%7E"),"*","%2A"),"?","%3F"),'Rules'!$G$7:$G$26,0)),"")</x:f>
      </x:c>
      <x:c r="N62" s="5" t="str">
        <x:f>IF(COUNTA(A62:F62)=0,"",SUBSTITUTE(SUBSTITUTE(SUBSTITUTE(SUBSTITUTE("id:"&amp;A62,"%","%25"),"~","%7E"),"*","%2A"),"?","%3F"))</x:f>
      </x:c>
    </x:row>
    <x:row r="63" ht="22" customHeight="1">
      <x:c r="A63" s="3"/>
      <x:c r="B63" s="3"/>
      <x:c r="C63" s="3"/>
      <x:c r="D63" s="4"/>
      <x:c r="E63" s="4"/>
      <x:c r="F63" s="4"/>
      <x:c r="G63" s="5" t="str">
        <x:f>IF(COUNTA(A63:F63)=0,"",IF(K63&lt;&gt;"","Review",IF(I63&lt;0,"Overdue",IF(I63=0,"Due now",IF(I63&lt;=M63,"Due soon","Not due")))))</x:f>
      </x:c>
      <x:c r="H63" s="5" t="str">
        <x:f>IF(OR(COUNTA(A63:F63)=0,COUNTIFS('Rules'!$G$7:$G$26,"="&amp;(SUBSTITUTE(SUBSTITUTE(SUBSTITUTE(SUBSTITUTE("type:"&amp;B63,"%","%25"),"~","%7E"),"*","%2A"),"?","%3F")))&lt;&gt;1),"",IF(OR(INDEX('Rules'!$B$7:$B$26,MATCH(SUBSTITUTE(SUBSTITUTE(SUBSTITUTE(SUBSTITUTE("type:"&amp;B63,"%","%25"),"~","%7E"),"*","%2A"),"?","%3F"),'Rules'!$G$7:$G$26,0))="hours",INDEX('Rules'!$B$7:$B$26,MATCH(SUBSTITUTE(SUBSTITUTE(SUBSTITUTE(SUBSTITUTE("type:"&amp;B63,"%","%25"),"~","%7E"),"*","%2A"),"?","%3F"),'Rules'!$G$7:$G$26,0))="km"),INDEX('Rules'!$B$7:$B$26,MATCH(SUBSTITUTE(SUBSTITUTE(SUBSTITUTE(SUBSTITUTE("type:"&amp;B63,"%","%25"),"~","%7E"),"*","%2A"),"?","%3F"),'Rules'!$G$7:$G$26,0)),""))</x:f>
      </x:c>
      <x:c r="I63" s="6" t="str">
        <x:f>IF(AND(NOT(COUNTA(A63:F63)=0),K63=""),ROUND(J63-D63,3),"")</x:f>
      </x:c>
      <x:c r="J63" s="6" t="str">
        <x:f>IF(AND(NOT(COUNTA(A63:F63)=0),K63=""),ROUND(F63+L63,3),"")</x:f>
      </x:c>
      <x:c r="K63" s="5" t="str">
        <x:f>IF(COUNTA(A63:F63)=0,"",IF(A63="","Missing equipment ID",IF(COUNTIFS($N$8:$N$2007,"="&amp;N63)&gt;1,"Duplicate equipment ID",IF(B63="","Missing type",IF(COUNTIFS('Rules'!$G$7:$G$26,"="&amp;(SUBSTITUTE(SUBSTITUTE(SUBSTITUTE(SUBSTITUTE("type:"&amp;B63,"%","%25"),"~","%7E"),"*","%2A"),"?","%3F")))=0,"Unknown type",IF(COUNTIFS('Rules'!$G$7:$G$26,"="&amp;(SUBSTITUTE(SUBSTITUTE(SUBSTITUTE(SUBSTITUTE("type:"&amp;B63,"%","%25"),"~","%7E"),"*","%2A"),"?","%3F")))&gt;1,"Duplicate type",IF(INDEX('Rules'!$F$7:$F$26,MATCH(SUBSTITUTE(SUBSTITUTE(SUBSTITUTE(SUBSTITUTE("type:"&amp;B63,"%","%25"),"~","%7E"),"*","%2A"),"?","%3F"),'Rules'!$G$7:$G$26,0))&lt;&gt;"",INDEX('Rules'!$F$7:$F$26,MATCH(SUBSTITUTE(SUBSTITUTE(SUBSTITUTE(SUBSTITUTE("type:"&amp;B63,"%","%25"),"~","%7E"),"*","%2A"),"?","%3F"),'Rules'!$G$7:$G$26,0)),IF(AND(C63&lt;&gt;"",C63&lt;&gt;INDEX('Rules'!$B$7:$B$26,MATCH(SUBSTITUTE(SUBSTITUTE(SUBSTITUTE(SUBSTITUTE("type:"&amp;B63,"%","%25"),"~","%7E"),"*","%2A"),"?","%3F"),'Rules'!$G$7:$G$26,0))),"Unit mismatch",IF(IF(NOT(ISNUMBER(D63)),TRUE,OR(D63&lt;0,D63&gt;999999999,ROUND(D63,3)&lt;&gt;D63)),"Invalid current reading",IF(AND(E63&lt;&gt;"",IF(NOT(ISNUMBER(E63)),TRUE,OR(E63&lt;0,E63&gt;999999999,ROUND(E63,3)&lt;&gt;E63))),"Invalid previous reading",IF(IF(NOT(ISNUMBER(F63)),TRUE,OR(F63&lt;0,F63&gt;999999999,ROUND(F63,3)&lt;&gt;F63)),"Invalid last service",IF(AND(E63&lt;&gt;"",D63&lt;E63),"Decreased reading",IF(F63&gt;D63,"Last service above current","")))))))))))))</x:f>
      </x:c>
      <x:c r="L63" s="6" t="str">
        <x:f>IF(AND(NOT(COUNTA(A63:F63)=0),K63=""),INDEX('Rules'!$C$7:$C$26,MATCH(SUBSTITUTE(SUBSTITUTE(SUBSTITUTE(SUBSTITUTE("type:"&amp;B63,"%","%25"),"~","%7E"),"*","%2A"),"?","%3F"),'Rules'!$G$7:$G$26,0)),"")</x:f>
      </x:c>
      <x:c r="M63" s="6" t="str">
        <x:f>IF(AND(NOT(COUNTA(A63:F63)=0),K63=""),INDEX('Rules'!$D$7:$D$26,MATCH(SUBSTITUTE(SUBSTITUTE(SUBSTITUTE(SUBSTITUTE("type:"&amp;B63,"%","%25"),"~","%7E"),"*","%2A"),"?","%3F"),'Rules'!$G$7:$G$26,0)),"")</x:f>
      </x:c>
      <x:c r="N63" s="5" t="str">
        <x:f>IF(COUNTA(A63:F63)=0,"",SUBSTITUTE(SUBSTITUTE(SUBSTITUTE(SUBSTITUTE("id:"&amp;A63,"%","%25"),"~","%7E"),"*","%2A"),"?","%3F"))</x:f>
      </x:c>
    </x:row>
    <x:row r="64" ht="22" customHeight="1">
      <x:c r="A64" s="3"/>
      <x:c r="B64" s="3"/>
      <x:c r="C64" s="3"/>
      <x:c r="D64" s="4"/>
      <x:c r="E64" s="4"/>
      <x:c r="F64" s="4"/>
      <x:c r="G64" s="5" t="str">
        <x:f>IF(COUNTA(A64:F64)=0,"",IF(K64&lt;&gt;"","Review",IF(I64&lt;0,"Overdue",IF(I64=0,"Due now",IF(I64&lt;=M64,"Due soon","Not due")))))</x:f>
      </x:c>
      <x:c r="H64" s="5" t="str">
        <x:f>IF(OR(COUNTA(A64:F64)=0,COUNTIFS('Rules'!$G$7:$G$26,"="&amp;(SUBSTITUTE(SUBSTITUTE(SUBSTITUTE(SUBSTITUTE("type:"&amp;B64,"%","%25"),"~","%7E"),"*","%2A"),"?","%3F")))&lt;&gt;1),"",IF(OR(INDEX('Rules'!$B$7:$B$26,MATCH(SUBSTITUTE(SUBSTITUTE(SUBSTITUTE(SUBSTITUTE("type:"&amp;B64,"%","%25"),"~","%7E"),"*","%2A"),"?","%3F"),'Rules'!$G$7:$G$26,0))="hours",INDEX('Rules'!$B$7:$B$26,MATCH(SUBSTITUTE(SUBSTITUTE(SUBSTITUTE(SUBSTITUTE("type:"&amp;B64,"%","%25"),"~","%7E"),"*","%2A"),"?","%3F"),'Rules'!$G$7:$G$26,0))="km"),INDEX('Rules'!$B$7:$B$26,MATCH(SUBSTITUTE(SUBSTITUTE(SUBSTITUTE(SUBSTITUTE("type:"&amp;B64,"%","%25"),"~","%7E"),"*","%2A"),"?","%3F"),'Rules'!$G$7:$G$26,0)),""))</x:f>
      </x:c>
      <x:c r="I64" s="6" t="str">
        <x:f>IF(AND(NOT(COUNTA(A64:F64)=0),K64=""),ROUND(J64-D64,3),"")</x:f>
      </x:c>
      <x:c r="J64" s="6" t="str">
        <x:f>IF(AND(NOT(COUNTA(A64:F64)=0),K64=""),ROUND(F64+L64,3),"")</x:f>
      </x:c>
      <x:c r="K64" s="5" t="str">
        <x:f>IF(COUNTA(A64:F64)=0,"",IF(A64="","Missing equipment ID",IF(COUNTIFS($N$8:$N$2007,"="&amp;N64)&gt;1,"Duplicate equipment ID",IF(B64="","Missing type",IF(COUNTIFS('Rules'!$G$7:$G$26,"="&amp;(SUBSTITUTE(SUBSTITUTE(SUBSTITUTE(SUBSTITUTE("type:"&amp;B64,"%","%25"),"~","%7E"),"*","%2A"),"?","%3F")))=0,"Unknown type",IF(COUNTIFS('Rules'!$G$7:$G$26,"="&amp;(SUBSTITUTE(SUBSTITUTE(SUBSTITUTE(SUBSTITUTE("type:"&amp;B64,"%","%25"),"~","%7E"),"*","%2A"),"?","%3F")))&gt;1,"Duplicate type",IF(INDEX('Rules'!$F$7:$F$26,MATCH(SUBSTITUTE(SUBSTITUTE(SUBSTITUTE(SUBSTITUTE("type:"&amp;B64,"%","%25"),"~","%7E"),"*","%2A"),"?","%3F"),'Rules'!$G$7:$G$26,0))&lt;&gt;"",INDEX('Rules'!$F$7:$F$26,MATCH(SUBSTITUTE(SUBSTITUTE(SUBSTITUTE(SUBSTITUTE("type:"&amp;B64,"%","%25"),"~","%7E"),"*","%2A"),"?","%3F"),'Rules'!$G$7:$G$26,0)),IF(AND(C64&lt;&gt;"",C64&lt;&gt;INDEX('Rules'!$B$7:$B$26,MATCH(SUBSTITUTE(SUBSTITUTE(SUBSTITUTE(SUBSTITUTE("type:"&amp;B64,"%","%25"),"~","%7E"),"*","%2A"),"?","%3F"),'Rules'!$G$7:$G$26,0))),"Unit mismatch",IF(IF(NOT(ISNUMBER(D64)),TRUE,OR(D64&lt;0,D64&gt;999999999,ROUND(D64,3)&lt;&gt;D64)),"Invalid current reading",IF(AND(E64&lt;&gt;"",IF(NOT(ISNUMBER(E64)),TRUE,OR(E64&lt;0,E64&gt;999999999,ROUND(E64,3)&lt;&gt;E64))),"Invalid previous reading",IF(IF(NOT(ISNUMBER(F64)),TRUE,OR(F64&lt;0,F64&gt;999999999,ROUND(F64,3)&lt;&gt;F64)),"Invalid last service",IF(AND(E64&lt;&gt;"",D64&lt;E64),"Decreased reading",IF(F64&gt;D64,"Last service above current","")))))))))))))</x:f>
      </x:c>
      <x:c r="L64" s="6" t="str">
        <x:f>IF(AND(NOT(COUNTA(A64:F64)=0),K64=""),INDEX('Rules'!$C$7:$C$26,MATCH(SUBSTITUTE(SUBSTITUTE(SUBSTITUTE(SUBSTITUTE("type:"&amp;B64,"%","%25"),"~","%7E"),"*","%2A"),"?","%3F"),'Rules'!$G$7:$G$26,0)),"")</x:f>
      </x:c>
      <x:c r="M64" s="6" t="str">
        <x:f>IF(AND(NOT(COUNTA(A64:F64)=0),K64=""),INDEX('Rules'!$D$7:$D$26,MATCH(SUBSTITUTE(SUBSTITUTE(SUBSTITUTE(SUBSTITUTE("type:"&amp;B64,"%","%25"),"~","%7E"),"*","%2A"),"?","%3F"),'Rules'!$G$7:$G$26,0)),"")</x:f>
      </x:c>
      <x:c r="N64" s="5" t="str">
        <x:f>IF(COUNTA(A64:F64)=0,"",SUBSTITUTE(SUBSTITUTE(SUBSTITUTE(SUBSTITUTE("id:"&amp;A64,"%","%25"),"~","%7E"),"*","%2A"),"?","%3F"))</x:f>
      </x:c>
    </x:row>
    <x:row r="65" ht="22" customHeight="1">
      <x:c r="A65" s="3"/>
      <x:c r="B65" s="3"/>
      <x:c r="C65" s="3"/>
      <x:c r="D65" s="4"/>
      <x:c r="E65" s="4"/>
      <x:c r="F65" s="4"/>
      <x:c r="G65" s="5" t="str">
        <x:f>IF(COUNTA(A65:F65)=0,"",IF(K65&lt;&gt;"","Review",IF(I65&lt;0,"Overdue",IF(I65=0,"Due now",IF(I65&lt;=M65,"Due soon","Not due")))))</x:f>
      </x:c>
      <x:c r="H65" s="5" t="str">
        <x:f>IF(OR(COUNTA(A65:F65)=0,COUNTIFS('Rules'!$G$7:$G$26,"="&amp;(SUBSTITUTE(SUBSTITUTE(SUBSTITUTE(SUBSTITUTE("type:"&amp;B65,"%","%25"),"~","%7E"),"*","%2A"),"?","%3F")))&lt;&gt;1),"",IF(OR(INDEX('Rules'!$B$7:$B$26,MATCH(SUBSTITUTE(SUBSTITUTE(SUBSTITUTE(SUBSTITUTE("type:"&amp;B65,"%","%25"),"~","%7E"),"*","%2A"),"?","%3F"),'Rules'!$G$7:$G$26,0))="hours",INDEX('Rules'!$B$7:$B$26,MATCH(SUBSTITUTE(SUBSTITUTE(SUBSTITUTE(SUBSTITUTE("type:"&amp;B65,"%","%25"),"~","%7E"),"*","%2A"),"?","%3F"),'Rules'!$G$7:$G$26,0))="km"),INDEX('Rules'!$B$7:$B$26,MATCH(SUBSTITUTE(SUBSTITUTE(SUBSTITUTE(SUBSTITUTE("type:"&amp;B65,"%","%25"),"~","%7E"),"*","%2A"),"?","%3F"),'Rules'!$G$7:$G$26,0)),""))</x:f>
      </x:c>
      <x:c r="I65" s="6" t="str">
        <x:f>IF(AND(NOT(COUNTA(A65:F65)=0),K65=""),ROUND(J65-D65,3),"")</x:f>
      </x:c>
      <x:c r="J65" s="6" t="str">
        <x:f>IF(AND(NOT(COUNTA(A65:F65)=0),K65=""),ROUND(F65+L65,3),"")</x:f>
      </x:c>
      <x:c r="K65" s="5" t="str">
        <x:f>IF(COUNTA(A65:F65)=0,"",IF(A65="","Missing equipment ID",IF(COUNTIFS($N$8:$N$2007,"="&amp;N65)&gt;1,"Duplicate equipment ID",IF(B65="","Missing type",IF(COUNTIFS('Rules'!$G$7:$G$26,"="&amp;(SUBSTITUTE(SUBSTITUTE(SUBSTITUTE(SUBSTITUTE("type:"&amp;B65,"%","%25"),"~","%7E"),"*","%2A"),"?","%3F")))=0,"Unknown type",IF(COUNTIFS('Rules'!$G$7:$G$26,"="&amp;(SUBSTITUTE(SUBSTITUTE(SUBSTITUTE(SUBSTITUTE("type:"&amp;B65,"%","%25"),"~","%7E"),"*","%2A"),"?","%3F")))&gt;1,"Duplicate type",IF(INDEX('Rules'!$F$7:$F$26,MATCH(SUBSTITUTE(SUBSTITUTE(SUBSTITUTE(SUBSTITUTE("type:"&amp;B65,"%","%25"),"~","%7E"),"*","%2A"),"?","%3F"),'Rules'!$G$7:$G$26,0))&lt;&gt;"",INDEX('Rules'!$F$7:$F$26,MATCH(SUBSTITUTE(SUBSTITUTE(SUBSTITUTE(SUBSTITUTE("type:"&amp;B65,"%","%25"),"~","%7E"),"*","%2A"),"?","%3F"),'Rules'!$G$7:$G$26,0)),IF(AND(C65&lt;&gt;"",C65&lt;&gt;INDEX('Rules'!$B$7:$B$26,MATCH(SUBSTITUTE(SUBSTITUTE(SUBSTITUTE(SUBSTITUTE("type:"&amp;B65,"%","%25"),"~","%7E"),"*","%2A"),"?","%3F"),'Rules'!$G$7:$G$26,0))),"Unit mismatch",IF(IF(NOT(ISNUMBER(D65)),TRUE,OR(D65&lt;0,D65&gt;999999999,ROUND(D65,3)&lt;&gt;D65)),"Invalid current reading",IF(AND(E65&lt;&gt;"",IF(NOT(ISNUMBER(E65)),TRUE,OR(E65&lt;0,E65&gt;999999999,ROUND(E65,3)&lt;&gt;E65))),"Invalid previous reading",IF(IF(NOT(ISNUMBER(F65)),TRUE,OR(F65&lt;0,F65&gt;999999999,ROUND(F65,3)&lt;&gt;F65)),"Invalid last service",IF(AND(E65&lt;&gt;"",D65&lt;E65),"Decreased reading",IF(F65&gt;D65,"Last service above current","")))))))))))))</x:f>
      </x:c>
      <x:c r="L65" s="6" t="str">
        <x:f>IF(AND(NOT(COUNTA(A65:F65)=0),K65=""),INDEX('Rules'!$C$7:$C$26,MATCH(SUBSTITUTE(SUBSTITUTE(SUBSTITUTE(SUBSTITUTE("type:"&amp;B65,"%","%25"),"~","%7E"),"*","%2A"),"?","%3F"),'Rules'!$G$7:$G$26,0)),"")</x:f>
      </x:c>
      <x:c r="M65" s="6" t="str">
        <x:f>IF(AND(NOT(COUNTA(A65:F65)=0),K65=""),INDEX('Rules'!$D$7:$D$26,MATCH(SUBSTITUTE(SUBSTITUTE(SUBSTITUTE(SUBSTITUTE("type:"&amp;B65,"%","%25"),"~","%7E"),"*","%2A"),"?","%3F"),'Rules'!$G$7:$G$26,0)),"")</x:f>
      </x:c>
      <x:c r="N65" s="5" t="str">
        <x:f>IF(COUNTA(A65:F65)=0,"",SUBSTITUTE(SUBSTITUTE(SUBSTITUTE(SUBSTITUTE("id:"&amp;A65,"%","%25"),"~","%7E"),"*","%2A"),"?","%3F"))</x:f>
      </x:c>
    </x:row>
    <x:row r="66" ht="22" customHeight="1">
      <x:c r="A66" s="3"/>
      <x:c r="B66" s="3"/>
      <x:c r="C66" s="3"/>
      <x:c r="D66" s="4"/>
      <x:c r="E66" s="4"/>
      <x:c r="F66" s="4"/>
      <x:c r="G66" s="5" t="str">
        <x:f>IF(COUNTA(A66:F66)=0,"",IF(K66&lt;&gt;"","Review",IF(I66&lt;0,"Overdue",IF(I66=0,"Due now",IF(I66&lt;=M66,"Due soon","Not due")))))</x:f>
      </x:c>
      <x:c r="H66" s="5" t="str">
        <x:f>IF(OR(COUNTA(A66:F66)=0,COUNTIFS('Rules'!$G$7:$G$26,"="&amp;(SUBSTITUTE(SUBSTITUTE(SUBSTITUTE(SUBSTITUTE("type:"&amp;B66,"%","%25"),"~","%7E"),"*","%2A"),"?","%3F")))&lt;&gt;1),"",IF(OR(INDEX('Rules'!$B$7:$B$26,MATCH(SUBSTITUTE(SUBSTITUTE(SUBSTITUTE(SUBSTITUTE("type:"&amp;B66,"%","%25"),"~","%7E"),"*","%2A"),"?","%3F"),'Rules'!$G$7:$G$26,0))="hours",INDEX('Rules'!$B$7:$B$26,MATCH(SUBSTITUTE(SUBSTITUTE(SUBSTITUTE(SUBSTITUTE("type:"&amp;B66,"%","%25"),"~","%7E"),"*","%2A"),"?","%3F"),'Rules'!$G$7:$G$26,0))="km"),INDEX('Rules'!$B$7:$B$26,MATCH(SUBSTITUTE(SUBSTITUTE(SUBSTITUTE(SUBSTITUTE("type:"&amp;B66,"%","%25"),"~","%7E"),"*","%2A"),"?","%3F"),'Rules'!$G$7:$G$26,0)),""))</x:f>
      </x:c>
      <x:c r="I66" s="6" t="str">
        <x:f>IF(AND(NOT(COUNTA(A66:F66)=0),K66=""),ROUND(J66-D66,3),"")</x:f>
      </x:c>
      <x:c r="J66" s="6" t="str">
        <x:f>IF(AND(NOT(COUNTA(A66:F66)=0),K66=""),ROUND(F66+L66,3),"")</x:f>
      </x:c>
      <x:c r="K66" s="5" t="str">
        <x:f>IF(COUNTA(A66:F66)=0,"",IF(A66="","Missing equipment ID",IF(COUNTIFS($N$8:$N$2007,"="&amp;N66)&gt;1,"Duplicate equipment ID",IF(B66="","Missing type",IF(COUNTIFS('Rules'!$G$7:$G$26,"="&amp;(SUBSTITUTE(SUBSTITUTE(SUBSTITUTE(SUBSTITUTE("type:"&amp;B66,"%","%25"),"~","%7E"),"*","%2A"),"?","%3F")))=0,"Unknown type",IF(COUNTIFS('Rules'!$G$7:$G$26,"="&amp;(SUBSTITUTE(SUBSTITUTE(SUBSTITUTE(SUBSTITUTE("type:"&amp;B66,"%","%25"),"~","%7E"),"*","%2A"),"?","%3F")))&gt;1,"Duplicate type",IF(INDEX('Rules'!$F$7:$F$26,MATCH(SUBSTITUTE(SUBSTITUTE(SUBSTITUTE(SUBSTITUTE("type:"&amp;B66,"%","%25"),"~","%7E"),"*","%2A"),"?","%3F"),'Rules'!$G$7:$G$26,0))&lt;&gt;"",INDEX('Rules'!$F$7:$F$26,MATCH(SUBSTITUTE(SUBSTITUTE(SUBSTITUTE(SUBSTITUTE("type:"&amp;B66,"%","%25"),"~","%7E"),"*","%2A"),"?","%3F"),'Rules'!$G$7:$G$26,0)),IF(AND(C66&lt;&gt;"",C66&lt;&gt;INDEX('Rules'!$B$7:$B$26,MATCH(SUBSTITUTE(SUBSTITUTE(SUBSTITUTE(SUBSTITUTE("type:"&amp;B66,"%","%25"),"~","%7E"),"*","%2A"),"?","%3F"),'Rules'!$G$7:$G$26,0))),"Unit mismatch",IF(IF(NOT(ISNUMBER(D66)),TRUE,OR(D66&lt;0,D66&gt;999999999,ROUND(D66,3)&lt;&gt;D66)),"Invalid current reading",IF(AND(E66&lt;&gt;"",IF(NOT(ISNUMBER(E66)),TRUE,OR(E66&lt;0,E66&gt;999999999,ROUND(E66,3)&lt;&gt;E66))),"Invalid previous reading",IF(IF(NOT(ISNUMBER(F66)),TRUE,OR(F66&lt;0,F66&gt;999999999,ROUND(F66,3)&lt;&gt;F66)),"Invalid last service",IF(AND(E66&lt;&gt;"",D66&lt;E66),"Decreased reading",IF(F66&gt;D66,"Last service above current","")))))))))))))</x:f>
      </x:c>
      <x:c r="L66" s="6" t="str">
        <x:f>IF(AND(NOT(COUNTA(A66:F66)=0),K66=""),INDEX('Rules'!$C$7:$C$26,MATCH(SUBSTITUTE(SUBSTITUTE(SUBSTITUTE(SUBSTITUTE("type:"&amp;B66,"%","%25"),"~","%7E"),"*","%2A"),"?","%3F"),'Rules'!$G$7:$G$26,0)),"")</x:f>
      </x:c>
      <x:c r="M66" s="6" t="str">
        <x:f>IF(AND(NOT(COUNTA(A66:F66)=0),K66=""),INDEX('Rules'!$D$7:$D$26,MATCH(SUBSTITUTE(SUBSTITUTE(SUBSTITUTE(SUBSTITUTE("type:"&amp;B66,"%","%25"),"~","%7E"),"*","%2A"),"?","%3F"),'Rules'!$G$7:$G$26,0)),"")</x:f>
      </x:c>
      <x:c r="N66" s="5" t="str">
        <x:f>IF(COUNTA(A66:F66)=0,"",SUBSTITUTE(SUBSTITUTE(SUBSTITUTE(SUBSTITUTE("id:"&amp;A66,"%","%25"),"~","%7E"),"*","%2A"),"?","%3F"))</x:f>
      </x:c>
    </x:row>
    <x:row r="67" ht="22" customHeight="1">
      <x:c r="A67" s="3"/>
      <x:c r="B67" s="3"/>
      <x:c r="C67" s="3"/>
      <x:c r="D67" s="4"/>
      <x:c r="E67" s="4"/>
      <x:c r="F67" s="4"/>
      <x:c r="G67" s="5" t="str">
        <x:f>IF(COUNTA(A67:F67)=0,"",IF(K67&lt;&gt;"","Review",IF(I67&lt;0,"Overdue",IF(I67=0,"Due now",IF(I67&lt;=M67,"Due soon","Not due")))))</x:f>
      </x:c>
      <x:c r="H67" s="5" t="str">
        <x:f>IF(OR(COUNTA(A67:F67)=0,COUNTIFS('Rules'!$G$7:$G$26,"="&amp;(SUBSTITUTE(SUBSTITUTE(SUBSTITUTE(SUBSTITUTE("type:"&amp;B67,"%","%25"),"~","%7E"),"*","%2A"),"?","%3F")))&lt;&gt;1),"",IF(OR(INDEX('Rules'!$B$7:$B$26,MATCH(SUBSTITUTE(SUBSTITUTE(SUBSTITUTE(SUBSTITUTE("type:"&amp;B67,"%","%25"),"~","%7E"),"*","%2A"),"?","%3F"),'Rules'!$G$7:$G$26,0))="hours",INDEX('Rules'!$B$7:$B$26,MATCH(SUBSTITUTE(SUBSTITUTE(SUBSTITUTE(SUBSTITUTE("type:"&amp;B67,"%","%25"),"~","%7E"),"*","%2A"),"?","%3F"),'Rules'!$G$7:$G$26,0))="km"),INDEX('Rules'!$B$7:$B$26,MATCH(SUBSTITUTE(SUBSTITUTE(SUBSTITUTE(SUBSTITUTE("type:"&amp;B67,"%","%25"),"~","%7E"),"*","%2A"),"?","%3F"),'Rules'!$G$7:$G$26,0)),""))</x:f>
      </x:c>
      <x:c r="I67" s="6" t="str">
        <x:f>IF(AND(NOT(COUNTA(A67:F67)=0),K67=""),ROUND(J67-D67,3),"")</x:f>
      </x:c>
      <x:c r="J67" s="6" t="str">
        <x:f>IF(AND(NOT(COUNTA(A67:F67)=0),K67=""),ROUND(F67+L67,3),"")</x:f>
      </x:c>
      <x:c r="K67" s="5" t="str">
        <x:f>IF(COUNTA(A67:F67)=0,"",IF(A67="","Missing equipment ID",IF(COUNTIFS($N$8:$N$2007,"="&amp;N67)&gt;1,"Duplicate equipment ID",IF(B67="","Missing type",IF(COUNTIFS('Rules'!$G$7:$G$26,"="&amp;(SUBSTITUTE(SUBSTITUTE(SUBSTITUTE(SUBSTITUTE("type:"&amp;B67,"%","%25"),"~","%7E"),"*","%2A"),"?","%3F")))=0,"Unknown type",IF(COUNTIFS('Rules'!$G$7:$G$26,"="&amp;(SUBSTITUTE(SUBSTITUTE(SUBSTITUTE(SUBSTITUTE("type:"&amp;B67,"%","%25"),"~","%7E"),"*","%2A"),"?","%3F")))&gt;1,"Duplicate type",IF(INDEX('Rules'!$F$7:$F$26,MATCH(SUBSTITUTE(SUBSTITUTE(SUBSTITUTE(SUBSTITUTE("type:"&amp;B67,"%","%25"),"~","%7E"),"*","%2A"),"?","%3F"),'Rules'!$G$7:$G$26,0))&lt;&gt;"",INDEX('Rules'!$F$7:$F$26,MATCH(SUBSTITUTE(SUBSTITUTE(SUBSTITUTE(SUBSTITUTE("type:"&amp;B67,"%","%25"),"~","%7E"),"*","%2A"),"?","%3F"),'Rules'!$G$7:$G$26,0)),IF(AND(C67&lt;&gt;"",C67&lt;&gt;INDEX('Rules'!$B$7:$B$26,MATCH(SUBSTITUTE(SUBSTITUTE(SUBSTITUTE(SUBSTITUTE("type:"&amp;B67,"%","%25"),"~","%7E"),"*","%2A"),"?","%3F"),'Rules'!$G$7:$G$26,0))),"Unit mismatch",IF(IF(NOT(ISNUMBER(D67)),TRUE,OR(D67&lt;0,D67&gt;999999999,ROUND(D67,3)&lt;&gt;D67)),"Invalid current reading",IF(AND(E67&lt;&gt;"",IF(NOT(ISNUMBER(E67)),TRUE,OR(E67&lt;0,E67&gt;999999999,ROUND(E67,3)&lt;&gt;E67))),"Invalid previous reading",IF(IF(NOT(ISNUMBER(F67)),TRUE,OR(F67&lt;0,F67&gt;999999999,ROUND(F67,3)&lt;&gt;F67)),"Invalid last service",IF(AND(E67&lt;&gt;"",D67&lt;E67),"Decreased reading",IF(F67&gt;D67,"Last service above current","")))))))))))))</x:f>
      </x:c>
      <x:c r="L67" s="6" t="str">
        <x:f>IF(AND(NOT(COUNTA(A67:F67)=0),K67=""),INDEX('Rules'!$C$7:$C$26,MATCH(SUBSTITUTE(SUBSTITUTE(SUBSTITUTE(SUBSTITUTE("type:"&amp;B67,"%","%25"),"~","%7E"),"*","%2A"),"?","%3F"),'Rules'!$G$7:$G$26,0)),"")</x:f>
      </x:c>
      <x:c r="M67" s="6" t="str">
        <x:f>IF(AND(NOT(COUNTA(A67:F67)=0),K67=""),INDEX('Rules'!$D$7:$D$26,MATCH(SUBSTITUTE(SUBSTITUTE(SUBSTITUTE(SUBSTITUTE("type:"&amp;B67,"%","%25"),"~","%7E"),"*","%2A"),"?","%3F"),'Rules'!$G$7:$G$26,0)),"")</x:f>
      </x:c>
      <x:c r="N67" s="5" t="str">
        <x:f>IF(COUNTA(A67:F67)=0,"",SUBSTITUTE(SUBSTITUTE(SUBSTITUTE(SUBSTITUTE("id:"&amp;A67,"%","%25"),"~","%7E"),"*","%2A"),"?","%3F"))</x:f>
      </x:c>
    </x:row>
    <x:row r="68" ht="22" customHeight="1">
      <x:c r="A68" s="3"/>
      <x:c r="B68" s="3"/>
      <x:c r="C68" s="3"/>
      <x:c r="D68" s="4"/>
      <x:c r="E68" s="4"/>
      <x:c r="F68" s="4"/>
      <x:c r="G68" s="5" t="str">
        <x:f>IF(COUNTA(A68:F68)=0,"",IF(K68&lt;&gt;"","Review",IF(I68&lt;0,"Overdue",IF(I68=0,"Due now",IF(I68&lt;=M68,"Due soon","Not due")))))</x:f>
      </x:c>
      <x:c r="H68" s="5" t="str">
        <x:f>IF(OR(COUNTA(A68:F68)=0,COUNTIFS('Rules'!$G$7:$G$26,"="&amp;(SUBSTITUTE(SUBSTITUTE(SUBSTITUTE(SUBSTITUTE("type:"&amp;B68,"%","%25"),"~","%7E"),"*","%2A"),"?","%3F")))&lt;&gt;1),"",IF(OR(INDEX('Rules'!$B$7:$B$26,MATCH(SUBSTITUTE(SUBSTITUTE(SUBSTITUTE(SUBSTITUTE("type:"&amp;B68,"%","%25"),"~","%7E"),"*","%2A"),"?","%3F"),'Rules'!$G$7:$G$26,0))="hours",INDEX('Rules'!$B$7:$B$26,MATCH(SUBSTITUTE(SUBSTITUTE(SUBSTITUTE(SUBSTITUTE("type:"&amp;B68,"%","%25"),"~","%7E"),"*","%2A"),"?","%3F"),'Rules'!$G$7:$G$26,0))="km"),INDEX('Rules'!$B$7:$B$26,MATCH(SUBSTITUTE(SUBSTITUTE(SUBSTITUTE(SUBSTITUTE("type:"&amp;B68,"%","%25"),"~","%7E"),"*","%2A"),"?","%3F"),'Rules'!$G$7:$G$26,0)),""))</x:f>
      </x:c>
      <x:c r="I68" s="6" t="str">
        <x:f>IF(AND(NOT(COUNTA(A68:F68)=0),K68=""),ROUND(J68-D68,3),"")</x:f>
      </x:c>
      <x:c r="J68" s="6" t="str">
        <x:f>IF(AND(NOT(COUNTA(A68:F68)=0),K68=""),ROUND(F68+L68,3),"")</x:f>
      </x:c>
      <x:c r="K68" s="5" t="str">
        <x:f>IF(COUNTA(A68:F68)=0,"",IF(A68="","Missing equipment ID",IF(COUNTIFS($N$8:$N$2007,"="&amp;N68)&gt;1,"Duplicate equipment ID",IF(B68="","Missing type",IF(COUNTIFS('Rules'!$G$7:$G$26,"="&amp;(SUBSTITUTE(SUBSTITUTE(SUBSTITUTE(SUBSTITUTE("type:"&amp;B68,"%","%25"),"~","%7E"),"*","%2A"),"?","%3F")))=0,"Unknown type",IF(COUNTIFS('Rules'!$G$7:$G$26,"="&amp;(SUBSTITUTE(SUBSTITUTE(SUBSTITUTE(SUBSTITUTE("type:"&amp;B68,"%","%25"),"~","%7E"),"*","%2A"),"?","%3F")))&gt;1,"Duplicate type",IF(INDEX('Rules'!$F$7:$F$26,MATCH(SUBSTITUTE(SUBSTITUTE(SUBSTITUTE(SUBSTITUTE("type:"&amp;B68,"%","%25"),"~","%7E"),"*","%2A"),"?","%3F"),'Rules'!$G$7:$G$26,0))&lt;&gt;"",INDEX('Rules'!$F$7:$F$26,MATCH(SUBSTITUTE(SUBSTITUTE(SUBSTITUTE(SUBSTITUTE("type:"&amp;B68,"%","%25"),"~","%7E"),"*","%2A"),"?","%3F"),'Rules'!$G$7:$G$26,0)),IF(AND(C68&lt;&gt;"",C68&lt;&gt;INDEX('Rules'!$B$7:$B$26,MATCH(SUBSTITUTE(SUBSTITUTE(SUBSTITUTE(SUBSTITUTE("type:"&amp;B68,"%","%25"),"~","%7E"),"*","%2A"),"?","%3F"),'Rules'!$G$7:$G$26,0))),"Unit mismatch",IF(IF(NOT(ISNUMBER(D68)),TRUE,OR(D68&lt;0,D68&gt;999999999,ROUND(D68,3)&lt;&gt;D68)),"Invalid current reading",IF(AND(E68&lt;&gt;"",IF(NOT(ISNUMBER(E68)),TRUE,OR(E68&lt;0,E68&gt;999999999,ROUND(E68,3)&lt;&gt;E68))),"Invalid previous reading",IF(IF(NOT(ISNUMBER(F68)),TRUE,OR(F68&lt;0,F68&gt;999999999,ROUND(F68,3)&lt;&gt;F68)),"Invalid last service",IF(AND(E68&lt;&gt;"",D68&lt;E68),"Decreased reading",IF(F68&gt;D68,"Last service above current","")))))))))))))</x:f>
      </x:c>
      <x:c r="L68" s="6" t="str">
        <x:f>IF(AND(NOT(COUNTA(A68:F68)=0),K68=""),INDEX('Rules'!$C$7:$C$26,MATCH(SUBSTITUTE(SUBSTITUTE(SUBSTITUTE(SUBSTITUTE("type:"&amp;B68,"%","%25"),"~","%7E"),"*","%2A"),"?","%3F"),'Rules'!$G$7:$G$26,0)),"")</x:f>
      </x:c>
      <x:c r="M68" s="6" t="str">
        <x:f>IF(AND(NOT(COUNTA(A68:F68)=0),K68=""),INDEX('Rules'!$D$7:$D$26,MATCH(SUBSTITUTE(SUBSTITUTE(SUBSTITUTE(SUBSTITUTE("type:"&amp;B68,"%","%25"),"~","%7E"),"*","%2A"),"?","%3F"),'Rules'!$G$7:$G$26,0)),"")</x:f>
      </x:c>
      <x:c r="N68" s="5" t="str">
        <x:f>IF(COUNTA(A68:F68)=0,"",SUBSTITUTE(SUBSTITUTE(SUBSTITUTE(SUBSTITUTE("id:"&amp;A68,"%","%25"),"~","%7E"),"*","%2A"),"?","%3F"))</x:f>
      </x:c>
    </x:row>
    <x:row r="69" ht="22" customHeight="1">
      <x:c r="A69" s="3"/>
      <x:c r="B69" s="3"/>
      <x:c r="C69" s="3"/>
      <x:c r="D69" s="4"/>
      <x:c r="E69" s="4"/>
      <x:c r="F69" s="4"/>
      <x:c r="G69" s="5" t="str">
        <x:f>IF(COUNTA(A69:F69)=0,"",IF(K69&lt;&gt;"","Review",IF(I69&lt;0,"Overdue",IF(I69=0,"Due now",IF(I69&lt;=M69,"Due soon","Not due")))))</x:f>
      </x:c>
      <x:c r="H69" s="5" t="str">
        <x:f>IF(OR(COUNTA(A69:F69)=0,COUNTIFS('Rules'!$G$7:$G$26,"="&amp;(SUBSTITUTE(SUBSTITUTE(SUBSTITUTE(SUBSTITUTE("type:"&amp;B69,"%","%25"),"~","%7E"),"*","%2A"),"?","%3F")))&lt;&gt;1),"",IF(OR(INDEX('Rules'!$B$7:$B$26,MATCH(SUBSTITUTE(SUBSTITUTE(SUBSTITUTE(SUBSTITUTE("type:"&amp;B69,"%","%25"),"~","%7E"),"*","%2A"),"?","%3F"),'Rules'!$G$7:$G$26,0))="hours",INDEX('Rules'!$B$7:$B$26,MATCH(SUBSTITUTE(SUBSTITUTE(SUBSTITUTE(SUBSTITUTE("type:"&amp;B69,"%","%25"),"~","%7E"),"*","%2A"),"?","%3F"),'Rules'!$G$7:$G$26,0))="km"),INDEX('Rules'!$B$7:$B$26,MATCH(SUBSTITUTE(SUBSTITUTE(SUBSTITUTE(SUBSTITUTE("type:"&amp;B69,"%","%25"),"~","%7E"),"*","%2A"),"?","%3F"),'Rules'!$G$7:$G$26,0)),""))</x:f>
      </x:c>
      <x:c r="I69" s="6" t="str">
        <x:f>IF(AND(NOT(COUNTA(A69:F69)=0),K69=""),ROUND(J69-D69,3),"")</x:f>
      </x:c>
      <x:c r="J69" s="6" t="str">
        <x:f>IF(AND(NOT(COUNTA(A69:F69)=0),K69=""),ROUND(F69+L69,3),"")</x:f>
      </x:c>
      <x:c r="K69" s="5" t="str">
        <x:f>IF(COUNTA(A69:F69)=0,"",IF(A69="","Missing equipment ID",IF(COUNTIFS($N$8:$N$2007,"="&amp;N69)&gt;1,"Duplicate equipment ID",IF(B69="","Missing type",IF(COUNTIFS('Rules'!$G$7:$G$26,"="&amp;(SUBSTITUTE(SUBSTITUTE(SUBSTITUTE(SUBSTITUTE("type:"&amp;B69,"%","%25"),"~","%7E"),"*","%2A"),"?","%3F")))=0,"Unknown type",IF(COUNTIFS('Rules'!$G$7:$G$26,"="&amp;(SUBSTITUTE(SUBSTITUTE(SUBSTITUTE(SUBSTITUTE("type:"&amp;B69,"%","%25"),"~","%7E"),"*","%2A"),"?","%3F")))&gt;1,"Duplicate type",IF(INDEX('Rules'!$F$7:$F$26,MATCH(SUBSTITUTE(SUBSTITUTE(SUBSTITUTE(SUBSTITUTE("type:"&amp;B69,"%","%25"),"~","%7E"),"*","%2A"),"?","%3F"),'Rules'!$G$7:$G$26,0))&lt;&gt;"",INDEX('Rules'!$F$7:$F$26,MATCH(SUBSTITUTE(SUBSTITUTE(SUBSTITUTE(SUBSTITUTE("type:"&amp;B69,"%","%25"),"~","%7E"),"*","%2A"),"?","%3F"),'Rules'!$G$7:$G$26,0)),IF(AND(C69&lt;&gt;"",C69&lt;&gt;INDEX('Rules'!$B$7:$B$26,MATCH(SUBSTITUTE(SUBSTITUTE(SUBSTITUTE(SUBSTITUTE("type:"&amp;B69,"%","%25"),"~","%7E"),"*","%2A"),"?","%3F"),'Rules'!$G$7:$G$26,0))),"Unit mismatch",IF(IF(NOT(ISNUMBER(D69)),TRUE,OR(D69&lt;0,D69&gt;999999999,ROUND(D69,3)&lt;&gt;D69)),"Invalid current reading",IF(AND(E69&lt;&gt;"",IF(NOT(ISNUMBER(E69)),TRUE,OR(E69&lt;0,E69&gt;999999999,ROUND(E69,3)&lt;&gt;E69))),"Invalid previous reading",IF(IF(NOT(ISNUMBER(F69)),TRUE,OR(F69&lt;0,F69&gt;999999999,ROUND(F69,3)&lt;&gt;F69)),"Invalid last service",IF(AND(E69&lt;&gt;"",D69&lt;E69),"Decreased reading",IF(F69&gt;D69,"Last service above current","")))))))))))))</x:f>
      </x:c>
      <x:c r="L69" s="6" t="str">
        <x:f>IF(AND(NOT(COUNTA(A69:F69)=0),K69=""),INDEX('Rules'!$C$7:$C$26,MATCH(SUBSTITUTE(SUBSTITUTE(SUBSTITUTE(SUBSTITUTE("type:"&amp;B69,"%","%25"),"~","%7E"),"*","%2A"),"?","%3F"),'Rules'!$G$7:$G$26,0)),"")</x:f>
      </x:c>
      <x:c r="M69" s="6" t="str">
        <x:f>IF(AND(NOT(COUNTA(A69:F69)=0),K69=""),INDEX('Rules'!$D$7:$D$26,MATCH(SUBSTITUTE(SUBSTITUTE(SUBSTITUTE(SUBSTITUTE("type:"&amp;B69,"%","%25"),"~","%7E"),"*","%2A"),"?","%3F"),'Rules'!$G$7:$G$26,0)),"")</x:f>
      </x:c>
      <x:c r="N69" s="5" t="str">
        <x:f>IF(COUNTA(A69:F69)=0,"",SUBSTITUTE(SUBSTITUTE(SUBSTITUTE(SUBSTITUTE("id:"&amp;A69,"%","%25"),"~","%7E"),"*","%2A"),"?","%3F"))</x:f>
      </x:c>
    </x:row>
    <x:row r="70" ht="22" customHeight="1">
      <x:c r="A70" s="3"/>
      <x:c r="B70" s="3"/>
      <x:c r="C70" s="3"/>
      <x:c r="D70" s="4"/>
      <x:c r="E70" s="4"/>
      <x:c r="F70" s="4"/>
      <x:c r="G70" s="5" t="str">
        <x:f>IF(COUNTA(A70:F70)=0,"",IF(K70&lt;&gt;"","Review",IF(I70&lt;0,"Overdue",IF(I70=0,"Due now",IF(I70&lt;=M70,"Due soon","Not due")))))</x:f>
      </x:c>
      <x:c r="H70" s="5" t="str">
        <x:f>IF(OR(COUNTA(A70:F70)=0,COUNTIFS('Rules'!$G$7:$G$26,"="&amp;(SUBSTITUTE(SUBSTITUTE(SUBSTITUTE(SUBSTITUTE("type:"&amp;B70,"%","%25"),"~","%7E"),"*","%2A"),"?","%3F")))&lt;&gt;1),"",IF(OR(INDEX('Rules'!$B$7:$B$26,MATCH(SUBSTITUTE(SUBSTITUTE(SUBSTITUTE(SUBSTITUTE("type:"&amp;B70,"%","%25"),"~","%7E"),"*","%2A"),"?","%3F"),'Rules'!$G$7:$G$26,0))="hours",INDEX('Rules'!$B$7:$B$26,MATCH(SUBSTITUTE(SUBSTITUTE(SUBSTITUTE(SUBSTITUTE("type:"&amp;B70,"%","%25"),"~","%7E"),"*","%2A"),"?","%3F"),'Rules'!$G$7:$G$26,0))="km"),INDEX('Rules'!$B$7:$B$26,MATCH(SUBSTITUTE(SUBSTITUTE(SUBSTITUTE(SUBSTITUTE("type:"&amp;B70,"%","%25"),"~","%7E"),"*","%2A"),"?","%3F"),'Rules'!$G$7:$G$26,0)),""))</x:f>
      </x:c>
      <x:c r="I70" s="6" t="str">
        <x:f>IF(AND(NOT(COUNTA(A70:F70)=0),K70=""),ROUND(J70-D70,3),"")</x:f>
      </x:c>
      <x:c r="J70" s="6" t="str">
        <x:f>IF(AND(NOT(COUNTA(A70:F70)=0),K70=""),ROUND(F70+L70,3),"")</x:f>
      </x:c>
      <x:c r="K70" s="5" t="str">
        <x:f>IF(COUNTA(A70:F70)=0,"",IF(A70="","Missing equipment ID",IF(COUNTIFS($N$8:$N$2007,"="&amp;N70)&gt;1,"Duplicate equipment ID",IF(B70="","Missing type",IF(COUNTIFS('Rules'!$G$7:$G$26,"="&amp;(SUBSTITUTE(SUBSTITUTE(SUBSTITUTE(SUBSTITUTE("type:"&amp;B70,"%","%25"),"~","%7E"),"*","%2A"),"?","%3F")))=0,"Unknown type",IF(COUNTIFS('Rules'!$G$7:$G$26,"="&amp;(SUBSTITUTE(SUBSTITUTE(SUBSTITUTE(SUBSTITUTE("type:"&amp;B70,"%","%25"),"~","%7E"),"*","%2A"),"?","%3F")))&gt;1,"Duplicate type",IF(INDEX('Rules'!$F$7:$F$26,MATCH(SUBSTITUTE(SUBSTITUTE(SUBSTITUTE(SUBSTITUTE("type:"&amp;B70,"%","%25"),"~","%7E"),"*","%2A"),"?","%3F"),'Rules'!$G$7:$G$26,0))&lt;&gt;"",INDEX('Rules'!$F$7:$F$26,MATCH(SUBSTITUTE(SUBSTITUTE(SUBSTITUTE(SUBSTITUTE("type:"&amp;B70,"%","%25"),"~","%7E"),"*","%2A"),"?","%3F"),'Rules'!$G$7:$G$26,0)),IF(AND(C70&lt;&gt;"",C70&lt;&gt;INDEX('Rules'!$B$7:$B$26,MATCH(SUBSTITUTE(SUBSTITUTE(SUBSTITUTE(SUBSTITUTE("type:"&amp;B70,"%","%25"),"~","%7E"),"*","%2A"),"?","%3F"),'Rules'!$G$7:$G$26,0))),"Unit mismatch",IF(IF(NOT(ISNUMBER(D70)),TRUE,OR(D70&lt;0,D70&gt;999999999,ROUND(D70,3)&lt;&gt;D70)),"Invalid current reading",IF(AND(E70&lt;&gt;"",IF(NOT(ISNUMBER(E70)),TRUE,OR(E70&lt;0,E70&gt;999999999,ROUND(E70,3)&lt;&gt;E70))),"Invalid previous reading",IF(IF(NOT(ISNUMBER(F70)),TRUE,OR(F70&lt;0,F70&gt;999999999,ROUND(F70,3)&lt;&gt;F70)),"Invalid last service",IF(AND(E70&lt;&gt;"",D70&lt;E70),"Decreased reading",IF(F70&gt;D70,"Last service above current","")))))))))))))</x:f>
      </x:c>
      <x:c r="L70" s="6" t="str">
        <x:f>IF(AND(NOT(COUNTA(A70:F70)=0),K70=""),INDEX('Rules'!$C$7:$C$26,MATCH(SUBSTITUTE(SUBSTITUTE(SUBSTITUTE(SUBSTITUTE("type:"&amp;B70,"%","%25"),"~","%7E"),"*","%2A"),"?","%3F"),'Rules'!$G$7:$G$26,0)),"")</x:f>
      </x:c>
      <x:c r="M70" s="6" t="str">
        <x:f>IF(AND(NOT(COUNTA(A70:F70)=0),K70=""),INDEX('Rules'!$D$7:$D$26,MATCH(SUBSTITUTE(SUBSTITUTE(SUBSTITUTE(SUBSTITUTE("type:"&amp;B70,"%","%25"),"~","%7E"),"*","%2A"),"?","%3F"),'Rules'!$G$7:$G$26,0)),"")</x:f>
      </x:c>
      <x:c r="N70" s="5" t="str">
        <x:f>IF(COUNTA(A70:F70)=0,"",SUBSTITUTE(SUBSTITUTE(SUBSTITUTE(SUBSTITUTE("id:"&amp;A70,"%","%25"),"~","%7E"),"*","%2A"),"?","%3F"))</x:f>
      </x:c>
    </x:row>
    <x:row r="71" ht="22" customHeight="1">
      <x:c r="A71" s="3"/>
      <x:c r="B71" s="3"/>
      <x:c r="C71" s="3"/>
      <x:c r="D71" s="4"/>
      <x:c r="E71" s="4"/>
      <x:c r="F71" s="4"/>
      <x:c r="G71" s="5" t="str">
        <x:f>IF(COUNTA(A71:F71)=0,"",IF(K71&lt;&gt;"","Review",IF(I71&lt;0,"Overdue",IF(I71=0,"Due now",IF(I71&lt;=M71,"Due soon","Not due")))))</x:f>
      </x:c>
      <x:c r="H71" s="5" t="str">
        <x:f>IF(OR(COUNTA(A71:F71)=0,COUNTIFS('Rules'!$G$7:$G$26,"="&amp;(SUBSTITUTE(SUBSTITUTE(SUBSTITUTE(SUBSTITUTE("type:"&amp;B71,"%","%25"),"~","%7E"),"*","%2A"),"?","%3F")))&lt;&gt;1),"",IF(OR(INDEX('Rules'!$B$7:$B$26,MATCH(SUBSTITUTE(SUBSTITUTE(SUBSTITUTE(SUBSTITUTE("type:"&amp;B71,"%","%25"),"~","%7E"),"*","%2A"),"?","%3F"),'Rules'!$G$7:$G$26,0))="hours",INDEX('Rules'!$B$7:$B$26,MATCH(SUBSTITUTE(SUBSTITUTE(SUBSTITUTE(SUBSTITUTE("type:"&amp;B71,"%","%25"),"~","%7E"),"*","%2A"),"?","%3F"),'Rules'!$G$7:$G$26,0))="km"),INDEX('Rules'!$B$7:$B$26,MATCH(SUBSTITUTE(SUBSTITUTE(SUBSTITUTE(SUBSTITUTE("type:"&amp;B71,"%","%25"),"~","%7E"),"*","%2A"),"?","%3F"),'Rules'!$G$7:$G$26,0)),""))</x:f>
      </x:c>
      <x:c r="I71" s="6" t="str">
        <x:f>IF(AND(NOT(COUNTA(A71:F71)=0),K71=""),ROUND(J71-D71,3),"")</x:f>
      </x:c>
      <x:c r="J71" s="6" t="str">
        <x:f>IF(AND(NOT(COUNTA(A71:F71)=0),K71=""),ROUND(F71+L71,3),"")</x:f>
      </x:c>
      <x:c r="K71" s="5" t="str">
        <x:f>IF(COUNTA(A71:F71)=0,"",IF(A71="","Missing equipment ID",IF(COUNTIFS($N$8:$N$2007,"="&amp;N71)&gt;1,"Duplicate equipment ID",IF(B71="","Missing type",IF(COUNTIFS('Rules'!$G$7:$G$26,"="&amp;(SUBSTITUTE(SUBSTITUTE(SUBSTITUTE(SUBSTITUTE("type:"&amp;B71,"%","%25"),"~","%7E"),"*","%2A"),"?","%3F")))=0,"Unknown type",IF(COUNTIFS('Rules'!$G$7:$G$26,"="&amp;(SUBSTITUTE(SUBSTITUTE(SUBSTITUTE(SUBSTITUTE("type:"&amp;B71,"%","%25"),"~","%7E"),"*","%2A"),"?","%3F")))&gt;1,"Duplicate type",IF(INDEX('Rules'!$F$7:$F$26,MATCH(SUBSTITUTE(SUBSTITUTE(SUBSTITUTE(SUBSTITUTE("type:"&amp;B71,"%","%25"),"~","%7E"),"*","%2A"),"?","%3F"),'Rules'!$G$7:$G$26,0))&lt;&gt;"",INDEX('Rules'!$F$7:$F$26,MATCH(SUBSTITUTE(SUBSTITUTE(SUBSTITUTE(SUBSTITUTE("type:"&amp;B71,"%","%25"),"~","%7E"),"*","%2A"),"?","%3F"),'Rules'!$G$7:$G$26,0)),IF(AND(C71&lt;&gt;"",C71&lt;&gt;INDEX('Rules'!$B$7:$B$26,MATCH(SUBSTITUTE(SUBSTITUTE(SUBSTITUTE(SUBSTITUTE("type:"&amp;B71,"%","%25"),"~","%7E"),"*","%2A"),"?","%3F"),'Rules'!$G$7:$G$26,0))),"Unit mismatch",IF(IF(NOT(ISNUMBER(D71)),TRUE,OR(D71&lt;0,D71&gt;999999999,ROUND(D71,3)&lt;&gt;D71)),"Invalid current reading",IF(AND(E71&lt;&gt;"",IF(NOT(ISNUMBER(E71)),TRUE,OR(E71&lt;0,E71&gt;999999999,ROUND(E71,3)&lt;&gt;E71))),"Invalid previous reading",IF(IF(NOT(ISNUMBER(F71)),TRUE,OR(F71&lt;0,F71&gt;999999999,ROUND(F71,3)&lt;&gt;F71)),"Invalid last service",IF(AND(E71&lt;&gt;"",D71&lt;E71),"Decreased reading",IF(F71&gt;D71,"Last service above current","")))))))))))))</x:f>
      </x:c>
      <x:c r="L71" s="6" t="str">
        <x:f>IF(AND(NOT(COUNTA(A71:F71)=0),K71=""),INDEX('Rules'!$C$7:$C$26,MATCH(SUBSTITUTE(SUBSTITUTE(SUBSTITUTE(SUBSTITUTE("type:"&amp;B71,"%","%25"),"~","%7E"),"*","%2A"),"?","%3F"),'Rules'!$G$7:$G$26,0)),"")</x:f>
      </x:c>
      <x:c r="M71" s="6" t="str">
        <x:f>IF(AND(NOT(COUNTA(A71:F71)=0),K71=""),INDEX('Rules'!$D$7:$D$26,MATCH(SUBSTITUTE(SUBSTITUTE(SUBSTITUTE(SUBSTITUTE("type:"&amp;B71,"%","%25"),"~","%7E"),"*","%2A"),"?","%3F"),'Rules'!$G$7:$G$26,0)),"")</x:f>
      </x:c>
      <x:c r="N71" s="5" t="str">
        <x:f>IF(COUNTA(A71:F71)=0,"",SUBSTITUTE(SUBSTITUTE(SUBSTITUTE(SUBSTITUTE("id:"&amp;A71,"%","%25"),"~","%7E"),"*","%2A"),"?","%3F"))</x:f>
      </x:c>
    </x:row>
    <x:row r="72" ht="22" customHeight="1">
      <x:c r="A72" s="3"/>
      <x:c r="B72" s="3"/>
      <x:c r="C72" s="3"/>
      <x:c r="D72" s="4"/>
      <x:c r="E72" s="4"/>
      <x:c r="F72" s="4"/>
      <x:c r="G72" s="5" t="str">
        <x:f>IF(COUNTA(A72:F72)=0,"",IF(K72&lt;&gt;"","Review",IF(I72&lt;0,"Overdue",IF(I72=0,"Due now",IF(I72&lt;=M72,"Due soon","Not due")))))</x:f>
      </x:c>
      <x:c r="H72" s="5" t="str">
        <x:f>IF(OR(COUNTA(A72:F72)=0,COUNTIFS('Rules'!$G$7:$G$26,"="&amp;(SUBSTITUTE(SUBSTITUTE(SUBSTITUTE(SUBSTITUTE("type:"&amp;B72,"%","%25"),"~","%7E"),"*","%2A"),"?","%3F")))&lt;&gt;1),"",IF(OR(INDEX('Rules'!$B$7:$B$26,MATCH(SUBSTITUTE(SUBSTITUTE(SUBSTITUTE(SUBSTITUTE("type:"&amp;B72,"%","%25"),"~","%7E"),"*","%2A"),"?","%3F"),'Rules'!$G$7:$G$26,0))="hours",INDEX('Rules'!$B$7:$B$26,MATCH(SUBSTITUTE(SUBSTITUTE(SUBSTITUTE(SUBSTITUTE("type:"&amp;B72,"%","%25"),"~","%7E"),"*","%2A"),"?","%3F"),'Rules'!$G$7:$G$26,0))="km"),INDEX('Rules'!$B$7:$B$26,MATCH(SUBSTITUTE(SUBSTITUTE(SUBSTITUTE(SUBSTITUTE("type:"&amp;B72,"%","%25"),"~","%7E"),"*","%2A"),"?","%3F"),'Rules'!$G$7:$G$26,0)),""))</x:f>
      </x:c>
      <x:c r="I72" s="6" t="str">
        <x:f>IF(AND(NOT(COUNTA(A72:F72)=0),K72=""),ROUND(J72-D72,3),"")</x:f>
      </x:c>
      <x:c r="J72" s="6" t="str">
        <x:f>IF(AND(NOT(COUNTA(A72:F72)=0),K72=""),ROUND(F72+L72,3),"")</x:f>
      </x:c>
      <x:c r="K72" s="5" t="str">
        <x:f>IF(COUNTA(A72:F72)=0,"",IF(A72="","Missing equipment ID",IF(COUNTIFS($N$8:$N$2007,"="&amp;N72)&gt;1,"Duplicate equipment ID",IF(B72="","Missing type",IF(COUNTIFS('Rules'!$G$7:$G$26,"="&amp;(SUBSTITUTE(SUBSTITUTE(SUBSTITUTE(SUBSTITUTE("type:"&amp;B72,"%","%25"),"~","%7E"),"*","%2A"),"?","%3F")))=0,"Unknown type",IF(COUNTIFS('Rules'!$G$7:$G$26,"="&amp;(SUBSTITUTE(SUBSTITUTE(SUBSTITUTE(SUBSTITUTE("type:"&amp;B72,"%","%25"),"~","%7E"),"*","%2A"),"?","%3F")))&gt;1,"Duplicate type",IF(INDEX('Rules'!$F$7:$F$26,MATCH(SUBSTITUTE(SUBSTITUTE(SUBSTITUTE(SUBSTITUTE("type:"&amp;B72,"%","%25"),"~","%7E"),"*","%2A"),"?","%3F"),'Rules'!$G$7:$G$26,0))&lt;&gt;"",INDEX('Rules'!$F$7:$F$26,MATCH(SUBSTITUTE(SUBSTITUTE(SUBSTITUTE(SUBSTITUTE("type:"&amp;B72,"%","%25"),"~","%7E"),"*","%2A"),"?","%3F"),'Rules'!$G$7:$G$26,0)),IF(AND(C72&lt;&gt;"",C72&lt;&gt;INDEX('Rules'!$B$7:$B$26,MATCH(SUBSTITUTE(SUBSTITUTE(SUBSTITUTE(SUBSTITUTE("type:"&amp;B72,"%","%25"),"~","%7E"),"*","%2A"),"?","%3F"),'Rules'!$G$7:$G$26,0))),"Unit mismatch",IF(IF(NOT(ISNUMBER(D72)),TRUE,OR(D72&lt;0,D72&gt;999999999,ROUND(D72,3)&lt;&gt;D72)),"Invalid current reading",IF(AND(E72&lt;&gt;"",IF(NOT(ISNUMBER(E72)),TRUE,OR(E72&lt;0,E72&gt;999999999,ROUND(E72,3)&lt;&gt;E72))),"Invalid previous reading",IF(IF(NOT(ISNUMBER(F72)),TRUE,OR(F72&lt;0,F72&gt;999999999,ROUND(F72,3)&lt;&gt;F72)),"Invalid last service",IF(AND(E72&lt;&gt;"",D72&lt;E72),"Decreased reading",IF(F72&gt;D72,"Last service above current","")))))))))))))</x:f>
      </x:c>
      <x:c r="L72" s="6" t="str">
        <x:f>IF(AND(NOT(COUNTA(A72:F72)=0),K72=""),INDEX('Rules'!$C$7:$C$26,MATCH(SUBSTITUTE(SUBSTITUTE(SUBSTITUTE(SUBSTITUTE("type:"&amp;B72,"%","%25"),"~","%7E"),"*","%2A"),"?","%3F"),'Rules'!$G$7:$G$26,0)),"")</x:f>
      </x:c>
      <x:c r="M72" s="6" t="str">
        <x:f>IF(AND(NOT(COUNTA(A72:F72)=0),K72=""),INDEX('Rules'!$D$7:$D$26,MATCH(SUBSTITUTE(SUBSTITUTE(SUBSTITUTE(SUBSTITUTE("type:"&amp;B72,"%","%25"),"~","%7E"),"*","%2A"),"?","%3F"),'Rules'!$G$7:$G$26,0)),"")</x:f>
      </x:c>
      <x:c r="N72" s="5" t="str">
        <x:f>IF(COUNTA(A72:F72)=0,"",SUBSTITUTE(SUBSTITUTE(SUBSTITUTE(SUBSTITUTE("id:"&amp;A72,"%","%25"),"~","%7E"),"*","%2A"),"?","%3F"))</x:f>
      </x:c>
    </x:row>
    <x:row r="73" ht="22" customHeight="1">
      <x:c r="A73" s="3"/>
      <x:c r="B73" s="3"/>
      <x:c r="C73" s="3"/>
      <x:c r="D73" s="4"/>
      <x:c r="E73" s="4"/>
      <x:c r="F73" s="4"/>
      <x:c r="G73" s="5" t="str">
        <x:f>IF(COUNTA(A73:F73)=0,"",IF(K73&lt;&gt;"","Review",IF(I73&lt;0,"Overdue",IF(I73=0,"Due now",IF(I73&lt;=M73,"Due soon","Not due")))))</x:f>
      </x:c>
      <x:c r="H73" s="5" t="str">
        <x:f>IF(OR(COUNTA(A73:F73)=0,COUNTIFS('Rules'!$G$7:$G$26,"="&amp;(SUBSTITUTE(SUBSTITUTE(SUBSTITUTE(SUBSTITUTE("type:"&amp;B73,"%","%25"),"~","%7E"),"*","%2A"),"?","%3F")))&lt;&gt;1),"",IF(OR(INDEX('Rules'!$B$7:$B$26,MATCH(SUBSTITUTE(SUBSTITUTE(SUBSTITUTE(SUBSTITUTE("type:"&amp;B73,"%","%25"),"~","%7E"),"*","%2A"),"?","%3F"),'Rules'!$G$7:$G$26,0))="hours",INDEX('Rules'!$B$7:$B$26,MATCH(SUBSTITUTE(SUBSTITUTE(SUBSTITUTE(SUBSTITUTE("type:"&amp;B73,"%","%25"),"~","%7E"),"*","%2A"),"?","%3F"),'Rules'!$G$7:$G$26,0))="km"),INDEX('Rules'!$B$7:$B$26,MATCH(SUBSTITUTE(SUBSTITUTE(SUBSTITUTE(SUBSTITUTE("type:"&amp;B73,"%","%25"),"~","%7E"),"*","%2A"),"?","%3F"),'Rules'!$G$7:$G$26,0)),""))</x:f>
      </x:c>
      <x:c r="I73" s="6" t="str">
        <x:f>IF(AND(NOT(COUNTA(A73:F73)=0),K73=""),ROUND(J73-D73,3),"")</x:f>
      </x:c>
      <x:c r="J73" s="6" t="str">
        <x:f>IF(AND(NOT(COUNTA(A73:F73)=0),K73=""),ROUND(F73+L73,3),"")</x:f>
      </x:c>
      <x:c r="K73" s="5" t="str">
        <x:f>IF(COUNTA(A73:F73)=0,"",IF(A73="","Missing equipment ID",IF(COUNTIFS($N$8:$N$2007,"="&amp;N73)&gt;1,"Duplicate equipment ID",IF(B73="","Missing type",IF(COUNTIFS('Rules'!$G$7:$G$26,"="&amp;(SUBSTITUTE(SUBSTITUTE(SUBSTITUTE(SUBSTITUTE("type:"&amp;B73,"%","%25"),"~","%7E"),"*","%2A"),"?","%3F")))=0,"Unknown type",IF(COUNTIFS('Rules'!$G$7:$G$26,"="&amp;(SUBSTITUTE(SUBSTITUTE(SUBSTITUTE(SUBSTITUTE("type:"&amp;B73,"%","%25"),"~","%7E"),"*","%2A"),"?","%3F")))&gt;1,"Duplicate type",IF(INDEX('Rules'!$F$7:$F$26,MATCH(SUBSTITUTE(SUBSTITUTE(SUBSTITUTE(SUBSTITUTE("type:"&amp;B73,"%","%25"),"~","%7E"),"*","%2A"),"?","%3F"),'Rules'!$G$7:$G$26,0))&lt;&gt;"",INDEX('Rules'!$F$7:$F$26,MATCH(SUBSTITUTE(SUBSTITUTE(SUBSTITUTE(SUBSTITUTE("type:"&amp;B73,"%","%25"),"~","%7E"),"*","%2A"),"?","%3F"),'Rules'!$G$7:$G$26,0)),IF(AND(C73&lt;&gt;"",C73&lt;&gt;INDEX('Rules'!$B$7:$B$26,MATCH(SUBSTITUTE(SUBSTITUTE(SUBSTITUTE(SUBSTITUTE("type:"&amp;B73,"%","%25"),"~","%7E"),"*","%2A"),"?","%3F"),'Rules'!$G$7:$G$26,0))),"Unit mismatch",IF(IF(NOT(ISNUMBER(D73)),TRUE,OR(D73&lt;0,D73&gt;999999999,ROUND(D73,3)&lt;&gt;D73)),"Invalid current reading",IF(AND(E73&lt;&gt;"",IF(NOT(ISNUMBER(E73)),TRUE,OR(E73&lt;0,E73&gt;999999999,ROUND(E73,3)&lt;&gt;E73))),"Invalid previous reading",IF(IF(NOT(ISNUMBER(F73)),TRUE,OR(F73&lt;0,F73&gt;999999999,ROUND(F73,3)&lt;&gt;F73)),"Invalid last service",IF(AND(E73&lt;&gt;"",D73&lt;E73),"Decreased reading",IF(F73&gt;D73,"Last service above current","")))))))))))))</x:f>
      </x:c>
      <x:c r="L73" s="6" t="str">
        <x:f>IF(AND(NOT(COUNTA(A73:F73)=0),K73=""),INDEX('Rules'!$C$7:$C$26,MATCH(SUBSTITUTE(SUBSTITUTE(SUBSTITUTE(SUBSTITUTE("type:"&amp;B73,"%","%25"),"~","%7E"),"*","%2A"),"?","%3F"),'Rules'!$G$7:$G$26,0)),"")</x:f>
      </x:c>
      <x:c r="M73" s="6" t="str">
        <x:f>IF(AND(NOT(COUNTA(A73:F73)=0),K73=""),INDEX('Rules'!$D$7:$D$26,MATCH(SUBSTITUTE(SUBSTITUTE(SUBSTITUTE(SUBSTITUTE("type:"&amp;B73,"%","%25"),"~","%7E"),"*","%2A"),"?","%3F"),'Rules'!$G$7:$G$26,0)),"")</x:f>
      </x:c>
      <x:c r="N73" s="5" t="str">
        <x:f>IF(COUNTA(A73:F73)=0,"",SUBSTITUTE(SUBSTITUTE(SUBSTITUTE(SUBSTITUTE("id:"&amp;A73,"%","%25"),"~","%7E"),"*","%2A"),"?","%3F"))</x:f>
      </x:c>
    </x:row>
    <x:row r="74" ht="22" customHeight="1">
      <x:c r="A74" s="3"/>
      <x:c r="B74" s="3"/>
      <x:c r="C74" s="3"/>
      <x:c r="D74" s="4"/>
      <x:c r="E74" s="4"/>
      <x:c r="F74" s="4"/>
      <x:c r="G74" s="5" t="str">
        <x:f>IF(COUNTA(A74:F74)=0,"",IF(K74&lt;&gt;"","Review",IF(I74&lt;0,"Overdue",IF(I74=0,"Due now",IF(I74&lt;=M74,"Due soon","Not due")))))</x:f>
      </x:c>
      <x:c r="H74" s="5" t="str">
        <x:f>IF(OR(COUNTA(A74:F74)=0,COUNTIFS('Rules'!$G$7:$G$26,"="&amp;(SUBSTITUTE(SUBSTITUTE(SUBSTITUTE(SUBSTITUTE("type:"&amp;B74,"%","%25"),"~","%7E"),"*","%2A"),"?","%3F")))&lt;&gt;1),"",IF(OR(INDEX('Rules'!$B$7:$B$26,MATCH(SUBSTITUTE(SUBSTITUTE(SUBSTITUTE(SUBSTITUTE("type:"&amp;B74,"%","%25"),"~","%7E"),"*","%2A"),"?","%3F"),'Rules'!$G$7:$G$26,0))="hours",INDEX('Rules'!$B$7:$B$26,MATCH(SUBSTITUTE(SUBSTITUTE(SUBSTITUTE(SUBSTITUTE("type:"&amp;B74,"%","%25"),"~","%7E"),"*","%2A"),"?","%3F"),'Rules'!$G$7:$G$26,0))="km"),INDEX('Rules'!$B$7:$B$26,MATCH(SUBSTITUTE(SUBSTITUTE(SUBSTITUTE(SUBSTITUTE("type:"&amp;B74,"%","%25"),"~","%7E"),"*","%2A"),"?","%3F"),'Rules'!$G$7:$G$26,0)),""))</x:f>
      </x:c>
      <x:c r="I74" s="6" t="str">
        <x:f>IF(AND(NOT(COUNTA(A74:F74)=0),K74=""),ROUND(J74-D74,3),"")</x:f>
      </x:c>
      <x:c r="J74" s="6" t="str">
        <x:f>IF(AND(NOT(COUNTA(A74:F74)=0),K74=""),ROUND(F74+L74,3),"")</x:f>
      </x:c>
      <x:c r="K74" s="5" t="str">
        <x:f>IF(COUNTA(A74:F74)=0,"",IF(A74="","Missing equipment ID",IF(COUNTIFS($N$8:$N$2007,"="&amp;N74)&gt;1,"Duplicate equipment ID",IF(B74="","Missing type",IF(COUNTIFS('Rules'!$G$7:$G$26,"="&amp;(SUBSTITUTE(SUBSTITUTE(SUBSTITUTE(SUBSTITUTE("type:"&amp;B74,"%","%25"),"~","%7E"),"*","%2A"),"?","%3F")))=0,"Unknown type",IF(COUNTIFS('Rules'!$G$7:$G$26,"="&amp;(SUBSTITUTE(SUBSTITUTE(SUBSTITUTE(SUBSTITUTE("type:"&amp;B74,"%","%25"),"~","%7E"),"*","%2A"),"?","%3F")))&gt;1,"Duplicate type",IF(INDEX('Rules'!$F$7:$F$26,MATCH(SUBSTITUTE(SUBSTITUTE(SUBSTITUTE(SUBSTITUTE("type:"&amp;B74,"%","%25"),"~","%7E"),"*","%2A"),"?","%3F"),'Rules'!$G$7:$G$26,0))&lt;&gt;"",INDEX('Rules'!$F$7:$F$26,MATCH(SUBSTITUTE(SUBSTITUTE(SUBSTITUTE(SUBSTITUTE("type:"&amp;B74,"%","%25"),"~","%7E"),"*","%2A"),"?","%3F"),'Rules'!$G$7:$G$26,0)),IF(AND(C74&lt;&gt;"",C74&lt;&gt;INDEX('Rules'!$B$7:$B$26,MATCH(SUBSTITUTE(SUBSTITUTE(SUBSTITUTE(SUBSTITUTE("type:"&amp;B74,"%","%25"),"~","%7E"),"*","%2A"),"?","%3F"),'Rules'!$G$7:$G$26,0))),"Unit mismatch",IF(IF(NOT(ISNUMBER(D74)),TRUE,OR(D74&lt;0,D74&gt;999999999,ROUND(D74,3)&lt;&gt;D74)),"Invalid current reading",IF(AND(E74&lt;&gt;"",IF(NOT(ISNUMBER(E74)),TRUE,OR(E74&lt;0,E74&gt;999999999,ROUND(E74,3)&lt;&gt;E74))),"Invalid previous reading",IF(IF(NOT(ISNUMBER(F74)),TRUE,OR(F74&lt;0,F74&gt;999999999,ROUND(F74,3)&lt;&gt;F74)),"Invalid last service",IF(AND(E74&lt;&gt;"",D74&lt;E74),"Decreased reading",IF(F74&gt;D74,"Last service above current","")))))))))))))</x:f>
      </x:c>
      <x:c r="L74" s="6" t="str">
        <x:f>IF(AND(NOT(COUNTA(A74:F74)=0),K74=""),INDEX('Rules'!$C$7:$C$26,MATCH(SUBSTITUTE(SUBSTITUTE(SUBSTITUTE(SUBSTITUTE("type:"&amp;B74,"%","%25"),"~","%7E"),"*","%2A"),"?","%3F"),'Rules'!$G$7:$G$26,0)),"")</x:f>
      </x:c>
      <x:c r="M74" s="6" t="str">
        <x:f>IF(AND(NOT(COUNTA(A74:F74)=0),K74=""),INDEX('Rules'!$D$7:$D$26,MATCH(SUBSTITUTE(SUBSTITUTE(SUBSTITUTE(SUBSTITUTE("type:"&amp;B74,"%","%25"),"~","%7E"),"*","%2A"),"?","%3F"),'Rules'!$G$7:$G$26,0)),"")</x:f>
      </x:c>
      <x:c r="N74" s="5" t="str">
        <x:f>IF(COUNTA(A74:F74)=0,"",SUBSTITUTE(SUBSTITUTE(SUBSTITUTE(SUBSTITUTE("id:"&amp;A74,"%","%25"),"~","%7E"),"*","%2A"),"?","%3F"))</x:f>
      </x:c>
    </x:row>
    <x:row r="75" ht="22" customHeight="1">
      <x:c r="A75" s="3"/>
      <x:c r="B75" s="3"/>
      <x:c r="C75" s="3"/>
      <x:c r="D75" s="4"/>
      <x:c r="E75" s="4"/>
      <x:c r="F75" s="4"/>
      <x:c r="G75" s="5" t="str">
        <x:f>IF(COUNTA(A75:F75)=0,"",IF(K75&lt;&gt;"","Review",IF(I75&lt;0,"Overdue",IF(I75=0,"Due now",IF(I75&lt;=M75,"Due soon","Not due")))))</x:f>
      </x:c>
      <x:c r="H75" s="5" t="str">
        <x:f>IF(OR(COUNTA(A75:F75)=0,COUNTIFS('Rules'!$G$7:$G$26,"="&amp;(SUBSTITUTE(SUBSTITUTE(SUBSTITUTE(SUBSTITUTE("type:"&amp;B75,"%","%25"),"~","%7E"),"*","%2A"),"?","%3F")))&lt;&gt;1),"",IF(OR(INDEX('Rules'!$B$7:$B$26,MATCH(SUBSTITUTE(SUBSTITUTE(SUBSTITUTE(SUBSTITUTE("type:"&amp;B75,"%","%25"),"~","%7E"),"*","%2A"),"?","%3F"),'Rules'!$G$7:$G$26,0))="hours",INDEX('Rules'!$B$7:$B$26,MATCH(SUBSTITUTE(SUBSTITUTE(SUBSTITUTE(SUBSTITUTE("type:"&amp;B75,"%","%25"),"~","%7E"),"*","%2A"),"?","%3F"),'Rules'!$G$7:$G$26,0))="km"),INDEX('Rules'!$B$7:$B$26,MATCH(SUBSTITUTE(SUBSTITUTE(SUBSTITUTE(SUBSTITUTE("type:"&amp;B75,"%","%25"),"~","%7E"),"*","%2A"),"?","%3F"),'Rules'!$G$7:$G$26,0)),""))</x:f>
      </x:c>
      <x:c r="I75" s="6" t="str">
        <x:f>IF(AND(NOT(COUNTA(A75:F75)=0),K75=""),ROUND(J75-D75,3),"")</x:f>
      </x:c>
      <x:c r="J75" s="6" t="str">
        <x:f>IF(AND(NOT(COUNTA(A75:F75)=0),K75=""),ROUND(F75+L75,3),"")</x:f>
      </x:c>
      <x:c r="K75" s="5" t="str">
        <x:f>IF(COUNTA(A75:F75)=0,"",IF(A75="","Missing equipment ID",IF(COUNTIFS($N$8:$N$2007,"="&amp;N75)&gt;1,"Duplicate equipment ID",IF(B75="","Missing type",IF(COUNTIFS('Rules'!$G$7:$G$26,"="&amp;(SUBSTITUTE(SUBSTITUTE(SUBSTITUTE(SUBSTITUTE("type:"&amp;B75,"%","%25"),"~","%7E"),"*","%2A"),"?","%3F")))=0,"Unknown type",IF(COUNTIFS('Rules'!$G$7:$G$26,"="&amp;(SUBSTITUTE(SUBSTITUTE(SUBSTITUTE(SUBSTITUTE("type:"&amp;B75,"%","%25"),"~","%7E"),"*","%2A"),"?","%3F")))&gt;1,"Duplicate type",IF(INDEX('Rules'!$F$7:$F$26,MATCH(SUBSTITUTE(SUBSTITUTE(SUBSTITUTE(SUBSTITUTE("type:"&amp;B75,"%","%25"),"~","%7E"),"*","%2A"),"?","%3F"),'Rules'!$G$7:$G$26,0))&lt;&gt;"",INDEX('Rules'!$F$7:$F$26,MATCH(SUBSTITUTE(SUBSTITUTE(SUBSTITUTE(SUBSTITUTE("type:"&amp;B75,"%","%25"),"~","%7E"),"*","%2A"),"?","%3F"),'Rules'!$G$7:$G$26,0)),IF(AND(C75&lt;&gt;"",C75&lt;&gt;INDEX('Rules'!$B$7:$B$26,MATCH(SUBSTITUTE(SUBSTITUTE(SUBSTITUTE(SUBSTITUTE("type:"&amp;B75,"%","%25"),"~","%7E"),"*","%2A"),"?","%3F"),'Rules'!$G$7:$G$26,0))),"Unit mismatch",IF(IF(NOT(ISNUMBER(D75)),TRUE,OR(D75&lt;0,D75&gt;999999999,ROUND(D75,3)&lt;&gt;D75)),"Invalid current reading",IF(AND(E75&lt;&gt;"",IF(NOT(ISNUMBER(E75)),TRUE,OR(E75&lt;0,E75&gt;999999999,ROUND(E75,3)&lt;&gt;E75))),"Invalid previous reading",IF(IF(NOT(ISNUMBER(F75)),TRUE,OR(F75&lt;0,F75&gt;999999999,ROUND(F75,3)&lt;&gt;F75)),"Invalid last service",IF(AND(E75&lt;&gt;"",D75&lt;E75),"Decreased reading",IF(F75&gt;D75,"Last service above current","")))))))))))))</x:f>
      </x:c>
      <x:c r="L75" s="6" t="str">
        <x:f>IF(AND(NOT(COUNTA(A75:F75)=0),K75=""),INDEX('Rules'!$C$7:$C$26,MATCH(SUBSTITUTE(SUBSTITUTE(SUBSTITUTE(SUBSTITUTE("type:"&amp;B75,"%","%25"),"~","%7E"),"*","%2A"),"?","%3F"),'Rules'!$G$7:$G$26,0)),"")</x:f>
      </x:c>
      <x:c r="M75" s="6" t="str">
        <x:f>IF(AND(NOT(COUNTA(A75:F75)=0),K75=""),INDEX('Rules'!$D$7:$D$26,MATCH(SUBSTITUTE(SUBSTITUTE(SUBSTITUTE(SUBSTITUTE("type:"&amp;B75,"%","%25"),"~","%7E"),"*","%2A"),"?","%3F"),'Rules'!$G$7:$G$26,0)),"")</x:f>
      </x:c>
      <x:c r="N75" s="5" t="str">
        <x:f>IF(COUNTA(A75:F75)=0,"",SUBSTITUTE(SUBSTITUTE(SUBSTITUTE(SUBSTITUTE("id:"&amp;A75,"%","%25"),"~","%7E"),"*","%2A"),"?","%3F"))</x:f>
      </x:c>
    </x:row>
    <x:row r="76" ht="22" customHeight="1">
      <x:c r="A76" s="3"/>
      <x:c r="B76" s="3"/>
      <x:c r="C76" s="3"/>
      <x:c r="D76" s="4"/>
      <x:c r="E76" s="4"/>
      <x:c r="F76" s="4"/>
      <x:c r="G76" s="5" t="str">
        <x:f>IF(COUNTA(A76:F76)=0,"",IF(K76&lt;&gt;"","Review",IF(I76&lt;0,"Overdue",IF(I76=0,"Due now",IF(I76&lt;=M76,"Due soon","Not due")))))</x:f>
      </x:c>
      <x:c r="H76" s="5" t="str">
        <x:f>IF(OR(COUNTA(A76:F76)=0,COUNTIFS('Rules'!$G$7:$G$26,"="&amp;(SUBSTITUTE(SUBSTITUTE(SUBSTITUTE(SUBSTITUTE("type:"&amp;B76,"%","%25"),"~","%7E"),"*","%2A"),"?","%3F")))&lt;&gt;1),"",IF(OR(INDEX('Rules'!$B$7:$B$26,MATCH(SUBSTITUTE(SUBSTITUTE(SUBSTITUTE(SUBSTITUTE("type:"&amp;B76,"%","%25"),"~","%7E"),"*","%2A"),"?","%3F"),'Rules'!$G$7:$G$26,0))="hours",INDEX('Rules'!$B$7:$B$26,MATCH(SUBSTITUTE(SUBSTITUTE(SUBSTITUTE(SUBSTITUTE("type:"&amp;B76,"%","%25"),"~","%7E"),"*","%2A"),"?","%3F"),'Rules'!$G$7:$G$26,0))="km"),INDEX('Rules'!$B$7:$B$26,MATCH(SUBSTITUTE(SUBSTITUTE(SUBSTITUTE(SUBSTITUTE("type:"&amp;B76,"%","%25"),"~","%7E"),"*","%2A"),"?","%3F"),'Rules'!$G$7:$G$26,0)),""))</x:f>
      </x:c>
      <x:c r="I76" s="6" t="str">
        <x:f>IF(AND(NOT(COUNTA(A76:F76)=0),K76=""),ROUND(J76-D76,3),"")</x:f>
      </x:c>
      <x:c r="J76" s="6" t="str">
        <x:f>IF(AND(NOT(COUNTA(A76:F76)=0),K76=""),ROUND(F76+L76,3),"")</x:f>
      </x:c>
      <x:c r="K76" s="5" t="str">
        <x:f>IF(COUNTA(A76:F76)=0,"",IF(A76="","Missing equipment ID",IF(COUNTIFS($N$8:$N$2007,"="&amp;N76)&gt;1,"Duplicate equipment ID",IF(B76="","Missing type",IF(COUNTIFS('Rules'!$G$7:$G$26,"="&amp;(SUBSTITUTE(SUBSTITUTE(SUBSTITUTE(SUBSTITUTE("type:"&amp;B76,"%","%25"),"~","%7E"),"*","%2A"),"?","%3F")))=0,"Unknown type",IF(COUNTIFS('Rules'!$G$7:$G$26,"="&amp;(SUBSTITUTE(SUBSTITUTE(SUBSTITUTE(SUBSTITUTE("type:"&amp;B76,"%","%25"),"~","%7E"),"*","%2A"),"?","%3F")))&gt;1,"Duplicate type",IF(INDEX('Rules'!$F$7:$F$26,MATCH(SUBSTITUTE(SUBSTITUTE(SUBSTITUTE(SUBSTITUTE("type:"&amp;B76,"%","%25"),"~","%7E"),"*","%2A"),"?","%3F"),'Rules'!$G$7:$G$26,0))&lt;&gt;"",INDEX('Rules'!$F$7:$F$26,MATCH(SUBSTITUTE(SUBSTITUTE(SUBSTITUTE(SUBSTITUTE("type:"&amp;B76,"%","%25"),"~","%7E"),"*","%2A"),"?","%3F"),'Rules'!$G$7:$G$26,0)),IF(AND(C76&lt;&gt;"",C76&lt;&gt;INDEX('Rules'!$B$7:$B$26,MATCH(SUBSTITUTE(SUBSTITUTE(SUBSTITUTE(SUBSTITUTE("type:"&amp;B76,"%","%25"),"~","%7E"),"*","%2A"),"?","%3F"),'Rules'!$G$7:$G$26,0))),"Unit mismatch",IF(IF(NOT(ISNUMBER(D76)),TRUE,OR(D76&lt;0,D76&gt;999999999,ROUND(D76,3)&lt;&gt;D76)),"Invalid current reading",IF(AND(E76&lt;&gt;"",IF(NOT(ISNUMBER(E76)),TRUE,OR(E76&lt;0,E76&gt;999999999,ROUND(E76,3)&lt;&gt;E76))),"Invalid previous reading",IF(IF(NOT(ISNUMBER(F76)),TRUE,OR(F76&lt;0,F76&gt;999999999,ROUND(F76,3)&lt;&gt;F76)),"Invalid last service",IF(AND(E76&lt;&gt;"",D76&lt;E76),"Decreased reading",IF(F76&gt;D76,"Last service above current","")))))))))))))</x:f>
      </x:c>
      <x:c r="L76" s="6" t="str">
        <x:f>IF(AND(NOT(COUNTA(A76:F76)=0),K76=""),INDEX('Rules'!$C$7:$C$26,MATCH(SUBSTITUTE(SUBSTITUTE(SUBSTITUTE(SUBSTITUTE("type:"&amp;B76,"%","%25"),"~","%7E"),"*","%2A"),"?","%3F"),'Rules'!$G$7:$G$26,0)),"")</x:f>
      </x:c>
      <x:c r="M76" s="6" t="str">
        <x:f>IF(AND(NOT(COUNTA(A76:F76)=0),K76=""),INDEX('Rules'!$D$7:$D$26,MATCH(SUBSTITUTE(SUBSTITUTE(SUBSTITUTE(SUBSTITUTE("type:"&amp;B76,"%","%25"),"~","%7E"),"*","%2A"),"?","%3F"),'Rules'!$G$7:$G$26,0)),"")</x:f>
      </x:c>
      <x:c r="N76" s="5" t="str">
        <x:f>IF(COUNTA(A76:F76)=0,"",SUBSTITUTE(SUBSTITUTE(SUBSTITUTE(SUBSTITUTE("id:"&amp;A76,"%","%25"),"~","%7E"),"*","%2A"),"?","%3F"))</x:f>
      </x:c>
    </x:row>
    <x:row r="77" ht="22" customHeight="1">
      <x:c r="A77" s="3"/>
      <x:c r="B77" s="3"/>
      <x:c r="C77" s="3"/>
      <x:c r="D77" s="4"/>
      <x:c r="E77" s="4"/>
      <x:c r="F77" s="4"/>
      <x:c r="G77" s="5" t="str">
        <x:f>IF(COUNTA(A77:F77)=0,"",IF(K77&lt;&gt;"","Review",IF(I77&lt;0,"Overdue",IF(I77=0,"Due now",IF(I77&lt;=M77,"Due soon","Not due")))))</x:f>
      </x:c>
      <x:c r="H77" s="5" t="str">
        <x:f>IF(OR(COUNTA(A77:F77)=0,COUNTIFS('Rules'!$G$7:$G$26,"="&amp;(SUBSTITUTE(SUBSTITUTE(SUBSTITUTE(SUBSTITUTE("type:"&amp;B77,"%","%25"),"~","%7E"),"*","%2A"),"?","%3F")))&lt;&gt;1),"",IF(OR(INDEX('Rules'!$B$7:$B$26,MATCH(SUBSTITUTE(SUBSTITUTE(SUBSTITUTE(SUBSTITUTE("type:"&amp;B77,"%","%25"),"~","%7E"),"*","%2A"),"?","%3F"),'Rules'!$G$7:$G$26,0))="hours",INDEX('Rules'!$B$7:$B$26,MATCH(SUBSTITUTE(SUBSTITUTE(SUBSTITUTE(SUBSTITUTE("type:"&amp;B77,"%","%25"),"~","%7E"),"*","%2A"),"?","%3F"),'Rules'!$G$7:$G$26,0))="km"),INDEX('Rules'!$B$7:$B$26,MATCH(SUBSTITUTE(SUBSTITUTE(SUBSTITUTE(SUBSTITUTE("type:"&amp;B77,"%","%25"),"~","%7E"),"*","%2A"),"?","%3F"),'Rules'!$G$7:$G$26,0)),""))</x:f>
      </x:c>
      <x:c r="I77" s="6" t="str">
        <x:f>IF(AND(NOT(COUNTA(A77:F77)=0),K77=""),ROUND(J77-D77,3),"")</x:f>
      </x:c>
      <x:c r="J77" s="6" t="str">
        <x:f>IF(AND(NOT(COUNTA(A77:F77)=0),K77=""),ROUND(F77+L77,3),"")</x:f>
      </x:c>
      <x:c r="K77" s="5" t="str">
        <x:f>IF(COUNTA(A77:F77)=0,"",IF(A77="","Missing equipment ID",IF(COUNTIFS($N$8:$N$2007,"="&amp;N77)&gt;1,"Duplicate equipment ID",IF(B77="","Missing type",IF(COUNTIFS('Rules'!$G$7:$G$26,"="&amp;(SUBSTITUTE(SUBSTITUTE(SUBSTITUTE(SUBSTITUTE("type:"&amp;B77,"%","%25"),"~","%7E"),"*","%2A"),"?","%3F")))=0,"Unknown type",IF(COUNTIFS('Rules'!$G$7:$G$26,"="&amp;(SUBSTITUTE(SUBSTITUTE(SUBSTITUTE(SUBSTITUTE("type:"&amp;B77,"%","%25"),"~","%7E"),"*","%2A"),"?","%3F")))&gt;1,"Duplicate type",IF(INDEX('Rules'!$F$7:$F$26,MATCH(SUBSTITUTE(SUBSTITUTE(SUBSTITUTE(SUBSTITUTE("type:"&amp;B77,"%","%25"),"~","%7E"),"*","%2A"),"?","%3F"),'Rules'!$G$7:$G$26,0))&lt;&gt;"",INDEX('Rules'!$F$7:$F$26,MATCH(SUBSTITUTE(SUBSTITUTE(SUBSTITUTE(SUBSTITUTE("type:"&amp;B77,"%","%25"),"~","%7E"),"*","%2A"),"?","%3F"),'Rules'!$G$7:$G$26,0)),IF(AND(C77&lt;&gt;"",C77&lt;&gt;INDEX('Rules'!$B$7:$B$26,MATCH(SUBSTITUTE(SUBSTITUTE(SUBSTITUTE(SUBSTITUTE("type:"&amp;B77,"%","%25"),"~","%7E"),"*","%2A"),"?","%3F"),'Rules'!$G$7:$G$26,0))),"Unit mismatch",IF(IF(NOT(ISNUMBER(D77)),TRUE,OR(D77&lt;0,D77&gt;999999999,ROUND(D77,3)&lt;&gt;D77)),"Invalid current reading",IF(AND(E77&lt;&gt;"",IF(NOT(ISNUMBER(E77)),TRUE,OR(E77&lt;0,E77&gt;999999999,ROUND(E77,3)&lt;&gt;E77))),"Invalid previous reading",IF(IF(NOT(ISNUMBER(F77)),TRUE,OR(F77&lt;0,F77&gt;999999999,ROUND(F77,3)&lt;&gt;F77)),"Invalid last service",IF(AND(E77&lt;&gt;"",D77&lt;E77),"Decreased reading",IF(F77&gt;D77,"Last service above current","")))))))))))))</x:f>
      </x:c>
      <x:c r="L77" s="6" t="str">
        <x:f>IF(AND(NOT(COUNTA(A77:F77)=0),K77=""),INDEX('Rules'!$C$7:$C$26,MATCH(SUBSTITUTE(SUBSTITUTE(SUBSTITUTE(SUBSTITUTE("type:"&amp;B77,"%","%25"),"~","%7E"),"*","%2A"),"?","%3F"),'Rules'!$G$7:$G$26,0)),"")</x:f>
      </x:c>
      <x:c r="M77" s="6" t="str">
        <x:f>IF(AND(NOT(COUNTA(A77:F77)=0),K77=""),INDEX('Rules'!$D$7:$D$26,MATCH(SUBSTITUTE(SUBSTITUTE(SUBSTITUTE(SUBSTITUTE("type:"&amp;B77,"%","%25"),"~","%7E"),"*","%2A"),"?","%3F"),'Rules'!$G$7:$G$26,0)),"")</x:f>
      </x:c>
      <x:c r="N77" s="5" t="str">
        <x:f>IF(COUNTA(A77:F77)=0,"",SUBSTITUTE(SUBSTITUTE(SUBSTITUTE(SUBSTITUTE("id:"&amp;A77,"%","%25"),"~","%7E"),"*","%2A"),"?","%3F"))</x:f>
      </x:c>
    </x:row>
    <x:row r="78" ht="22" customHeight="1">
      <x:c r="A78" s="3"/>
      <x:c r="B78" s="3"/>
      <x:c r="C78" s="3"/>
      <x:c r="D78" s="4"/>
      <x:c r="E78" s="4"/>
      <x:c r="F78" s="4"/>
      <x:c r="G78" s="5" t="str">
        <x:f>IF(COUNTA(A78:F78)=0,"",IF(K78&lt;&gt;"","Review",IF(I78&lt;0,"Overdue",IF(I78=0,"Due now",IF(I78&lt;=M78,"Due soon","Not due")))))</x:f>
      </x:c>
      <x:c r="H78" s="5" t="str">
        <x:f>IF(OR(COUNTA(A78:F78)=0,COUNTIFS('Rules'!$G$7:$G$26,"="&amp;(SUBSTITUTE(SUBSTITUTE(SUBSTITUTE(SUBSTITUTE("type:"&amp;B78,"%","%25"),"~","%7E"),"*","%2A"),"?","%3F")))&lt;&gt;1),"",IF(OR(INDEX('Rules'!$B$7:$B$26,MATCH(SUBSTITUTE(SUBSTITUTE(SUBSTITUTE(SUBSTITUTE("type:"&amp;B78,"%","%25"),"~","%7E"),"*","%2A"),"?","%3F"),'Rules'!$G$7:$G$26,0))="hours",INDEX('Rules'!$B$7:$B$26,MATCH(SUBSTITUTE(SUBSTITUTE(SUBSTITUTE(SUBSTITUTE("type:"&amp;B78,"%","%25"),"~","%7E"),"*","%2A"),"?","%3F"),'Rules'!$G$7:$G$26,0))="km"),INDEX('Rules'!$B$7:$B$26,MATCH(SUBSTITUTE(SUBSTITUTE(SUBSTITUTE(SUBSTITUTE("type:"&amp;B78,"%","%25"),"~","%7E"),"*","%2A"),"?","%3F"),'Rules'!$G$7:$G$26,0)),""))</x:f>
      </x:c>
      <x:c r="I78" s="6" t="str">
        <x:f>IF(AND(NOT(COUNTA(A78:F78)=0),K78=""),ROUND(J78-D78,3),"")</x:f>
      </x:c>
      <x:c r="J78" s="6" t="str">
        <x:f>IF(AND(NOT(COUNTA(A78:F78)=0),K78=""),ROUND(F78+L78,3),"")</x:f>
      </x:c>
      <x:c r="K78" s="5" t="str">
        <x:f>IF(COUNTA(A78:F78)=0,"",IF(A78="","Missing equipment ID",IF(COUNTIFS($N$8:$N$2007,"="&amp;N78)&gt;1,"Duplicate equipment ID",IF(B78="","Missing type",IF(COUNTIFS('Rules'!$G$7:$G$26,"="&amp;(SUBSTITUTE(SUBSTITUTE(SUBSTITUTE(SUBSTITUTE("type:"&amp;B78,"%","%25"),"~","%7E"),"*","%2A"),"?","%3F")))=0,"Unknown type",IF(COUNTIFS('Rules'!$G$7:$G$26,"="&amp;(SUBSTITUTE(SUBSTITUTE(SUBSTITUTE(SUBSTITUTE("type:"&amp;B78,"%","%25"),"~","%7E"),"*","%2A"),"?","%3F")))&gt;1,"Duplicate type",IF(INDEX('Rules'!$F$7:$F$26,MATCH(SUBSTITUTE(SUBSTITUTE(SUBSTITUTE(SUBSTITUTE("type:"&amp;B78,"%","%25"),"~","%7E"),"*","%2A"),"?","%3F"),'Rules'!$G$7:$G$26,0))&lt;&gt;"",INDEX('Rules'!$F$7:$F$26,MATCH(SUBSTITUTE(SUBSTITUTE(SUBSTITUTE(SUBSTITUTE("type:"&amp;B78,"%","%25"),"~","%7E"),"*","%2A"),"?","%3F"),'Rules'!$G$7:$G$26,0)),IF(AND(C78&lt;&gt;"",C78&lt;&gt;INDEX('Rules'!$B$7:$B$26,MATCH(SUBSTITUTE(SUBSTITUTE(SUBSTITUTE(SUBSTITUTE("type:"&amp;B78,"%","%25"),"~","%7E"),"*","%2A"),"?","%3F"),'Rules'!$G$7:$G$26,0))),"Unit mismatch",IF(IF(NOT(ISNUMBER(D78)),TRUE,OR(D78&lt;0,D78&gt;999999999,ROUND(D78,3)&lt;&gt;D78)),"Invalid current reading",IF(AND(E78&lt;&gt;"",IF(NOT(ISNUMBER(E78)),TRUE,OR(E78&lt;0,E78&gt;999999999,ROUND(E78,3)&lt;&gt;E78))),"Invalid previous reading",IF(IF(NOT(ISNUMBER(F78)),TRUE,OR(F78&lt;0,F78&gt;999999999,ROUND(F78,3)&lt;&gt;F78)),"Invalid last service",IF(AND(E78&lt;&gt;"",D78&lt;E78),"Decreased reading",IF(F78&gt;D78,"Last service above current","")))))))))))))</x:f>
      </x:c>
      <x:c r="L78" s="6" t="str">
        <x:f>IF(AND(NOT(COUNTA(A78:F78)=0),K78=""),INDEX('Rules'!$C$7:$C$26,MATCH(SUBSTITUTE(SUBSTITUTE(SUBSTITUTE(SUBSTITUTE("type:"&amp;B78,"%","%25"),"~","%7E"),"*","%2A"),"?","%3F"),'Rules'!$G$7:$G$26,0)),"")</x:f>
      </x:c>
      <x:c r="M78" s="6" t="str">
        <x:f>IF(AND(NOT(COUNTA(A78:F78)=0),K78=""),INDEX('Rules'!$D$7:$D$26,MATCH(SUBSTITUTE(SUBSTITUTE(SUBSTITUTE(SUBSTITUTE("type:"&amp;B78,"%","%25"),"~","%7E"),"*","%2A"),"?","%3F"),'Rules'!$G$7:$G$26,0)),"")</x:f>
      </x:c>
      <x:c r="N78" s="5" t="str">
        <x:f>IF(COUNTA(A78:F78)=0,"",SUBSTITUTE(SUBSTITUTE(SUBSTITUTE(SUBSTITUTE("id:"&amp;A78,"%","%25"),"~","%7E"),"*","%2A"),"?","%3F"))</x:f>
      </x:c>
    </x:row>
    <x:row r="79" ht="22" customHeight="1">
      <x:c r="A79" s="3"/>
      <x:c r="B79" s="3"/>
      <x:c r="C79" s="3"/>
      <x:c r="D79" s="4"/>
      <x:c r="E79" s="4"/>
      <x:c r="F79" s="4"/>
      <x:c r="G79" s="5" t="str">
        <x:f>IF(COUNTA(A79:F79)=0,"",IF(K79&lt;&gt;"","Review",IF(I79&lt;0,"Overdue",IF(I79=0,"Due now",IF(I79&lt;=M79,"Due soon","Not due")))))</x:f>
      </x:c>
      <x:c r="H79" s="5" t="str">
        <x:f>IF(OR(COUNTA(A79:F79)=0,COUNTIFS('Rules'!$G$7:$G$26,"="&amp;(SUBSTITUTE(SUBSTITUTE(SUBSTITUTE(SUBSTITUTE("type:"&amp;B79,"%","%25"),"~","%7E"),"*","%2A"),"?","%3F")))&lt;&gt;1),"",IF(OR(INDEX('Rules'!$B$7:$B$26,MATCH(SUBSTITUTE(SUBSTITUTE(SUBSTITUTE(SUBSTITUTE("type:"&amp;B79,"%","%25"),"~","%7E"),"*","%2A"),"?","%3F"),'Rules'!$G$7:$G$26,0))="hours",INDEX('Rules'!$B$7:$B$26,MATCH(SUBSTITUTE(SUBSTITUTE(SUBSTITUTE(SUBSTITUTE("type:"&amp;B79,"%","%25"),"~","%7E"),"*","%2A"),"?","%3F"),'Rules'!$G$7:$G$26,0))="km"),INDEX('Rules'!$B$7:$B$26,MATCH(SUBSTITUTE(SUBSTITUTE(SUBSTITUTE(SUBSTITUTE("type:"&amp;B79,"%","%25"),"~","%7E"),"*","%2A"),"?","%3F"),'Rules'!$G$7:$G$26,0)),""))</x:f>
      </x:c>
      <x:c r="I79" s="6" t="str">
        <x:f>IF(AND(NOT(COUNTA(A79:F79)=0),K79=""),ROUND(J79-D79,3),"")</x:f>
      </x:c>
      <x:c r="J79" s="6" t="str">
        <x:f>IF(AND(NOT(COUNTA(A79:F79)=0),K79=""),ROUND(F79+L79,3),"")</x:f>
      </x:c>
      <x:c r="K79" s="5" t="str">
        <x:f>IF(COUNTA(A79:F79)=0,"",IF(A79="","Missing equipment ID",IF(COUNTIFS($N$8:$N$2007,"="&amp;N79)&gt;1,"Duplicate equipment ID",IF(B79="","Missing type",IF(COUNTIFS('Rules'!$G$7:$G$26,"="&amp;(SUBSTITUTE(SUBSTITUTE(SUBSTITUTE(SUBSTITUTE("type:"&amp;B79,"%","%25"),"~","%7E"),"*","%2A"),"?","%3F")))=0,"Unknown type",IF(COUNTIFS('Rules'!$G$7:$G$26,"="&amp;(SUBSTITUTE(SUBSTITUTE(SUBSTITUTE(SUBSTITUTE("type:"&amp;B79,"%","%25"),"~","%7E"),"*","%2A"),"?","%3F")))&gt;1,"Duplicate type",IF(INDEX('Rules'!$F$7:$F$26,MATCH(SUBSTITUTE(SUBSTITUTE(SUBSTITUTE(SUBSTITUTE("type:"&amp;B79,"%","%25"),"~","%7E"),"*","%2A"),"?","%3F"),'Rules'!$G$7:$G$26,0))&lt;&gt;"",INDEX('Rules'!$F$7:$F$26,MATCH(SUBSTITUTE(SUBSTITUTE(SUBSTITUTE(SUBSTITUTE("type:"&amp;B79,"%","%25"),"~","%7E"),"*","%2A"),"?","%3F"),'Rules'!$G$7:$G$26,0)),IF(AND(C79&lt;&gt;"",C79&lt;&gt;INDEX('Rules'!$B$7:$B$26,MATCH(SUBSTITUTE(SUBSTITUTE(SUBSTITUTE(SUBSTITUTE("type:"&amp;B79,"%","%25"),"~","%7E"),"*","%2A"),"?","%3F"),'Rules'!$G$7:$G$26,0))),"Unit mismatch",IF(IF(NOT(ISNUMBER(D79)),TRUE,OR(D79&lt;0,D79&gt;999999999,ROUND(D79,3)&lt;&gt;D79)),"Invalid current reading",IF(AND(E79&lt;&gt;"",IF(NOT(ISNUMBER(E79)),TRUE,OR(E79&lt;0,E79&gt;999999999,ROUND(E79,3)&lt;&gt;E79))),"Invalid previous reading",IF(IF(NOT(ISNUMBER(F79)),TRUE,OR(F79&lt;0,F79&gt;999999999,ROUND(F79,3)&lt;&gt;F79)),"Invalid last service",IF(AND(E79&lt;&gt;"",D79&lt;E79),"Decreased reading",IF(F79&gt;D79,"Last service above current","")))))))))))))</x:f>
      </x:c>
      <x:c r="L79" s="6" t="str">
        <x:f>IF(AND(NOT(COUNTA(A79:F79)=0),K79=""),INDEX('Rules'!$C$7:$C$26,MATCH(SUBSTITUTE(SUBSTITUTE(SUBSTITUTE(SUBSTITUTE("type:"&amp;B79,"%","%25"),"~","%7E"),"*","%2A"),"?","%3F"),'Rules'!$G$7:$G$26,0)),"")</x:f>
      </x:c>
      <x:c r="M79" s="6" t="str">
        <x:f>IF(AND(NOT(COUNTA(A79:F79)=0),K79=""),INDEX('Rules'!$D$7:$D$26,MATCH(SUBSTITUTE(SUBSTITUTE(SUBSTITUTE(SUBSTITUTE("type:"&amp;B79,"%","%25"),"~","%7E"),"*","%2A"),"?","%3F"),'Rules'!$G$7:$G$26,0)),"")</x:f>
      </x:c>
      <x:c r="N79" s="5" t="str">
        <x:f>IF(COUNTA(A79:F79)=0,"",SUBSTITUTE(SUBSTITUTE(SUBSTITUTE(SUBSTITUTE("id:"&amp;A79,"%","%25"),"~","%7E"),"*","%2A"),"?","%3F"))</x:f>
      </x:c>
    </x:row>
    <x:row r="80" ht="22" customHeight="1">
      <x:c r="A80" s="3"/>
      <x:c r="B80" s="3"/>
      <x:c r="C80" s="3"/>
      <x:c r="D80" s="4"/>
      <x:c r="E80" s="4"/>
      <x:c r="F80" s="4"/>
      <x:c r="G80" s="5" t="str">
        <x:f>IF(COUNTA(A80:F80)=0,"",IF(K80&lt;&gt;"","Review",IF(I80&lt;0,"Overdue",IF(I80=0,"Due now",IF(I80&lt;=M80,"Due soon","Not due")))))</x:f>
      </x:c>
      <x:c r="H80" s="5" t="str">
        <x:f>IF(OR(COUNTA(A80:F80)=0,COUNTIFS('Rules'!$G$7:$G$26,"="&amp;(SUBSTITUTE(SUBSTITUTE(SUBSTITUTE(SUBSTITUTE("type:"&amp;B80,"%","%25"),"~","%7E"),"*","%2A"),"?","%3F")))&lt;&gt;1),"",IF(OR(INDEX('Rules'!$B$7:$B$26,MATCH(SUBSTITUTE(SUBSTITUTE(SUBSTITUTE(SUBSTITUTE("type:"&amp;B80,"%","%25"),"~","%7E"),"*","%2A"),"?","%3F"),'Rules'!$G$7:$G$26,0))="hours",INDEX('Rules'!$B$7:$B$26,MATCH(SUBSTITUTE(SUBSTITUTE(SUBSTITUTE(SUBSTITUTE("type:"&amp;B80,"%","%25"),"~","%7E"),"*","%2A"),"?","%3F"),'Rules'!$G$7:$G$26,0))="km"),INDEX('Rules'!$B$7:$B$26,MATCH(SUBSTITUTE(SUBSTITUTE(SUBSTITUTE(SUBSTITUTE("type:"&amp;B80,"%","%25"),"~","%7E"),"*","%2A"),"?","%3F"),'Rules'!$G$7:$G$26,0)),""))</x:f>
      </x:c>
      <x:c r="I80" s="6" t="str">
        <x:f>IF(AND(NOT(COUNTA(A80:F80)=0),K80=""),ROUND(J80-D80,3),"")</x:f>
      </x:c>
      <x:c r="J80" s="6" t="str">
        <x:f>IF(AND(NOT(COUNTA(A80:F80)=0),K80=""),ROUND(F80+L80,3),"")</x:f>
      </x:c>
      <x:c r="K80" s="5" t="str">
        <x:f>IF(COUNTA(A80:F80)=0,"",IF(A80="","Missing equipment ID",IF(COUNTIFS($N$8:$N$2007,"="&amp;N80)&gt;1,"Duplicate equipment ID",IF(B80="","Missing type",IF(COUNTIFS('Rules'!$G$7:$G$26,"="&amp;(SUBSTITUTE(SUBSTITUTE(SUBSTITUTE(SUBSTITUTE("type:"&amp;B80,"%","%25"),"~","%7E"),"*","%2A"),"?","%3F")))=0,"Unknown type",IF(COUNTIFS('Rules'!$G$7:$G$26,"="&amp;(SUBSTITUTE(SUBSTITUTE(SUBSTITUTE(SUBSTITUTE("type:"&amp;B80,"%","%25"),"~","%7E"),"*","%2A"),"?","%3F")))&gt;1,"Duplicate type",IF(INDEX('Rules'!$F$7:$F$26,MATCH(SUBSTITUTE(SUBSTITUTE(SUBSTITUTE(SUBSTITUTE("type:"&amp;B80,"%","%25"),"~","%7E"),"*","%2A"),"?","%3F"),'Rules'!$G$7:$G$26,0))&lt;&gt;"",INDEX('Rules'!$F$7:$F$26,MATCH(SUBSTITUTE(SUBSTITUTE(SUBSTITUTE(SUBSTITUTE("type:"&amp;B80,"%","%25"),"~","%7E"),"*","%2A"),"?","%3F"),'Rules'!$G$7:$G$26,0)),IF(AND(C80&lt;&gt;"",C80&lt;&gt;INDEX('Rules'!$B$7:$B$26,MATCH(SUBSTITUTE(SUBSTITUTE(SUBSTITUTE(SUBSTITUTE("type:"&amp;B80,"%","%25"),"~","%7E"),"*","%2A"),"?","%3F"),'Rules'!$G$7:$G$26,0))),"Unit mismatch",IF(IF(NOT(ISNUMBER(D80)),TRUE,OR(D80&lt;0,D80&gt;999999999,ROUND(D80,3)&lt;&gt;D80)),"Invalid current reading",IF(AND(E80&lt;&gt;"",IF(NOT(ISNUMBER(E80)),TRUE,OR(E80&lt;0,E80&gt;999999999,ROUND(E80,3)&lt;&gt;E80))),"Invalid previous reading",IF(IF(NOT(ISNUMBER(F80)),TRUE,OR(F80&lt;0,F80&gt;999999999,ROUND(F80,3)&lt;&gt;F80)),"Invalid last service",IF(AND(E80&lt;&gt;"",D80&lt;E80),"Decreased reading",IF(F80&gt;D80,"Last service above current","")))))))))))))</x:f>
      </x:c>
      <x:c r="L80" s="6" t="str">
        <x:f>IF(AND(NOT(COUNTA(A80:F80)=0),K80=""),INDEX('Rules'!$C$7:$C$26,MATCH(SUBSTITUTE(SUBSTITUTE(SUBSTITUTE(SUBSTITUTE("type:"&amp;B80,"%","%25"),"~","%7E"),"*","%2A"),"?","%3F"),'Rules'!$G$7:$G$26,0)),"")</x:f>
      </x:c>
      <x:c r="M80" s="6" t="str">
        <x:f>IF(AND(NOT(COUNTA(A80:F80)=0),K80=""),INDEX('Rules'!$D$7:$D$26,MATCH(SUBSTITUTE(SUBSTITUTE(SUBSTITUTE(SUBSTITUTE("type:"&amp;B80,"%","%25"),"~","%7E"),"*","%2A"),"?","%3F"),'Rules'!$G$7:$G$26,0)),"")</x:f>
      </x:c>
      <x:c r="N80" s="5" t="str">
        <x:f>IF(COUNTA(A80:F80)=0,"",SUBSTITUTE(SUBSTITUTE(SUBSTITUTE(SUBSTITUTE("id:"&amp;A80,"%","%25"),"~","%7E"),"*","%2A"),"?","%3F"))</x:f>
      </x:c>
    </x:row>
    <x:row r="81" ht="22" customHeight="1">
      <x:c r="A81" s="3"/>
      <x:c r="B81" s="3"/>
      <x:c r="C81" s="3"/>
      <x:c r="D81" s="4"/>
      <x:c r="E81" s="4"/>
      <x:c r="F81" s="4"/>
      <x:c r="G81" s="5" t="str">
        <x:f>IF(COUNTA(A81:F81)=0,"",IF(K81&lt;&gt;"","Review",IF(I81&lt;0,"Overdue",IF(I81=0,"Due now",IF(I81&lt;=M81,"Due soon","Not due")))))</x:f>
      </x:c>
      <x:c r="H81" s="5" t="str">
        <x:f>IF(OR(COUNTA(A81:F81)=0,COUNTIFS('Rules'!$G$7:$G$26,"="&amp;(SUBSTITUTE(SUBSTITUTE(SUBSTITUTE(SUBSTITUTE("type:"&amp;B81,"%","%25"),"~","%7E"),"*","%2A"),"?","%3F")))&lt;&gt;1),"",IF(OR(INDEX('Rules'!$B$7:$B$26,MATCH(SUBSTITUTE(SUBSTITUTE(SUBSTITUTE(SUBSTITUTE("type:"&amp;B81,"%","%25"),"~","%7E"),"*","%2A"),"?","%3F"),'Rules'!$G$7:$G$26,0))="hours",INDEX('Rules'!$B$7:$B$26,MATCH(SUBSTITUTE(SUBSTITUTE(SUBSTITUTE(SUBSTITUTE("type:"&amp;B81,"%","%25"),"~","%7E"),"*","%2A"),"?","%3F"),'Rules'!$G$7:$G$26,0))="km"),INDEX('Rules'!$B$7:$B$26,MATCH(SUBSTITUTE(SUBSTITUTE(SUBSTITUTE(SUBSTITUTE("type:"&amp;B81,"%","%25"),"~","%7E"),"*","%2A"),"?","%3F"),'Rules'!$G$7:$G$26,0)),""))</x:f>
      </x:c>
      <x:c r="I81" s="6" t="str">
        <x:f>IF(AND(NOT(COUNTA(A81:F81)=0),K81=""),ROUND(J81-D81,3),"")</x:f>
      </x:c>
      <x:c r="J81" s="6" t="str">
        <x:f>IF(AND(NOT(COUNTA(A81:F81)=0),K81=""),ROUND(F81+L81,3),"")</x:f>
      </x:c>
      <x:c r="K81" s="5" t="str">
        <x:f>IF(COUNTA(A81:F81)=0,"",IF(A81="","Missing equipment ID",IF(COUNTIFS($N$8:$N$2007,"="&amp;N81)&gt;1,"Duplicate equipment ID",IF(B81="","Missing type",IF(COUNTIFS('Rules'!$G$7:$G$26,"="&amp;(SUBSTITUTE(SUBSTITUTE(SUBSTITUTE(SUBSTITUTE("type:"&amp;B81,"%","%25"),"~","%7E"),"*","%2A"),"?","%3F")))=0,"Unknown type",IF(COUNTIFS('Rules'!$G$7:$G$26,"="&amp;(SUBSTITUTE(SUBSTITUTE(SUBSTITUTE(SUBSTITUTE("type:"&amp;B81,"%","%25"),"~","%7E"),"*","%2A"),"?","%3F")))&gt;1,"Duplicate type",IF(INDEX('Rules'!$F$7:$F$26,MATCH(SUBSTITUTE(SUBSTITUTE(SUBSTITUTE(SUBSTITUTE("type:"&amp;B81,"%","%25"),"~","%7E"),"*","%2A"),"?","%3F"),'Rules'!$G$7:$G$26,0))&lt;&gt;"",INDEX('Rules'!$F$7:$F$26,MATCH(SUBSTITUTE(SUBSTITUTE(SUBSTITUTE(SUBSTITUTE("type:"&amp;B81,"%","%25"),"~","%7E"),"*","%2A"),"?","%3F"),'Rules'!$G$7:$G$26,0)),IF(AND(C81&lt;&gt;"",C81&lt;&gt;INDEX('Rules'!$B$7:$B$26,MATCH(SUBSTITUTE(SUBSTITUTE(SUBSTITUTE(SUBSTITUTE("type:"&amp;B81,"%","%25"),"~","%7E"),"*","%2A"),"?","%3F"),'Rules'!$G$7:$G$26,0))),"Unit mismatch",IF(IF(NOT(ISNUMBER(D81)),TRUE,OR(D81&lt;0,D81&gt;999999999,ROUND(D81,3)&lt;&gt;D81)),"Invalid current reading",IF(AND(E81&lt;&gt;"",IF(NOT(ISNUMBER(E81)),TRUE,OR(E81&lt;0,E81&gt;999999999,ROUND(E81,3)&lt;&gt;E81))),"Invalid previous reading",IF(IF(NOT(ISNUMBER(F81)),TRUE,OR(F81&lt;0,F81&gt;999999999,ROUND(F81,3)&lt;&gt;F81)),"Invalid last service",IF(AND(E81&lt;&gt;"",D81&lt;E81),"Decreased reading",IF(F81&gt;D81,"Last service above current","")))))))))))))</x:f>
      </x:c>
      <x:c r="L81" s="6" t="str">
        <x:f>IF(AND(NOT(COUNTA(A81:F81)=0),K81=""),INDEX('Rules'!$C$7:$C$26,MATCH(SUBSTITUTE(SUBSTITUTE(SUBSTITUTE(SUBSTITUTE("type:"&amp;B81,"%","%25"),"~","%7E"),"*","%2A"),"?","%3F"),'Rules'!$G$7:$G$26,0)),"")</x:f>
      </x:c>
      <x:c r="M81" s="6" t="str">
        <x:f>IF(AND(NOT(COUNTA(A81:F81)=0),K81=""),INDEX('Rules'!$D$7:$D$26,MATCH(SUBSTITUTE(SUBSTITUTE(SUBSTITUTE(SUBSTITUTE("type:"&amp;B81,"%","%25"),"~","%7E"),"*","%2A"),"?","%3F"),'Rules'!$G$7:$G$26,0)),"")</x:f>
      </x:c>
      <x:c r="N81" s="5" t="str">
        <x:f>IF(COUNTA(A81:F81)=0,"",SUBSTITUTE(SUBSTITUTE(SUBSTITUTE(SUBSTITUTE("id:"&amp;A81,"%","%25"),"~","%7E"),"*","%2A"),"?","%3F"))</x:f>
      </x:c>
    </x:row>
    <x:row r="82" ht="22" customHeight="1">
      <x:c r="A82" s="3"/>
      <x:c r="B82" s="3"/>
      <x:c r="C82" s="3"/>
      <x:c r="D82" s="4"/>
      <x:c r="E82" s="4"/>
      <x:c r="F82" s="4"/>
      <x:c r="G82" s="5" t="str">
        <x:f>IF(COUNTA(A82:F82)=0,"",IF(K82&lt;&gt;"","Review",IF(I82&lt;0,"Overdue",IF(I82=0,"Due now",IF(I82&lt;=M82,"Due soon","Not due")))))</x:f>
      </x:c>
      <x:c r="H82" s="5" t="str">
        <x:f>IF(OR(COUNTA(A82:F82)=0,COUNTIFS('Rules'!$G$7:$G$26,"="&amp;(SUBSTITUTE(SUBSTITUTE(SUBSTITUTE(SUBSTITUTE("type:"&amp;B82,"%","%25"),"~","%7E"),"*","%2A"),"?","%3F")))&lt;&gt;1),"",IF(OR(INDEX('Rules'!$B$7:$B$26,MATCH(SUBSTITUTE(SUBSTITUTE(SUBSTITUTE(SUBSTITUTE("type:"&amp;B82,"%","%25"),"~","%7E"),"*","%2A"),"?","%3F"),'Rules'!$G$7:$G$26,0))="hours",INDEX('Rules'!$B$7:$B$26,MATCH(SUBSTITUTE(SUBSTITUTE(SUBSTITUTE(SUBSTITUTE("type:"&amp;B82,"%","%25"),"~","%7E"),"*","%2A"),"?","%3F"),'Rules'!$G$7:$G$26,0))="km"),INDEX('Rules'!$B$7:$B$26,MATCH(SUBSTITUTE(SUBSTITUTE(SUBSTITUTE(SUBSTITUTE("type:"&amp;B82,"%","%25"),"~","%7E"),"*","%2A"),"?","%3F"),'Rules'!$G$7:$G$26,0)),""))</x:f>
      </x:c>
      <x:c r="I82" s="6" t="str">
        <x:f>IF(AND(NOT(COUNTA(A82:F82)=0),K82=""),ROUND(J82-D82,3),"")</x:f>
      </x:c>
      <x:c r="J82" s="6" t="str">
        <x:f>IF(AND(NOT(COUNTA(A82:F82)=0),K82=""),ROUND(F82+L82,3),"")</x:f>
      </x:c>
      <x:c r="K82" s="5" t="str">
        <x:f>IF(COUNTA(A82:F82)=0,"",IF(A82="","Missing equipment ID",IF(COUNTIFS($N$8:$N$2007,"="&amp;N82)&gt;1,"Duplicate equipment ID",IF(B82="","Missing type",IF(COUNTIFS('Rules'!$G$7:$G$26,"="&amp;(SUBSTITUTE(SUBSTITUTE(SUBSTITUTE(SUBSTITUTE("type:"&amp;B82,"%","%25"),"~","%7E"),"*","%2A"),"?","%3F")))=0,"Unknown type",IF(COUNTIFS('Rules'!$G$7:$G$26,"="&amp;(SUBSTITUTE(SUBSTITUTE(SUBSTITUTE(SUBSTITUTE("type:"&amp;B82,"%","%25"),"~","%7E"),"*","%2A"),"?","%3F")))&gt;1,"Duplicate type",IF(INDEX('Rules'!$F$7:$F$26,MATCH(SUBSTITUTE(SUBSTITUTE(SUBSTITUTE(SUBSTITUTE("type:"&amp;B82,"%","%25"),"~","%7E"),"*","%2A"),"?","%3F"),'Rules'!$G$7:$G$26,0))&lt;&gt;"",INDEX('Rules'!$F$7:$F$26,MATCH(SUBSTITUTE(SUBSTITUTE(SUBSTITUTE(SUBSTITUTE("type:"&amp;B82,"%","%25"),"~","%7E"),"*","%2A"),"?","%3F"),'Rules'!$G$7:$G$26,0)),IF(AND(C82&lt;&gt;"",C82&lt;&gt;INDEX('Rules'!$B$7:$B$26,MATCH(SUBSTITUTE(SUBSTITUTE(SUBSTITUTE(SUBSTITUTE("type:"&amp;B82,"%","%25"),"~","%7E"),"*","%2A"),"?","%3F"),'Rules'!$G$7:$G$26,0))),"Unit mismatch",IF(IF(NOT(ISNUMBER(D82)),TRUE,OR(D82&lt;0,D82&gt;999999999,ROUND(D82,3)&lt;&gt;D82)),"Invalid current reading",IF(AND(E82&lt;&gt;"",IF(NOT(ISNUMBER(E82)),TRUE,OR(E82&lt;0,E82&gt;999999999,ROUND(E82,3)&lt;&gt;E82))),"Invalid previous reading",IF(IF(NOT(ISNUMBER(F82)),TRUE,OR(F82&lt;0,F82&gt;999999999,ROUND(F82,3)&lt;&gt;F82)),"Invalid last service",IF(AND(E82&lt;&gt;"",D82&lt;E82),"Decreased reading",IF(F82&gt;D82,"Last service above current","")))))))))))))</x:f>
      </x:c>
      <x:c r="L82" s="6" t="str">
        <x:f>IF(AND(NOT(COUNTA(A82:F82)=0),K82=""),INDEX('Rules'!$C$7:$C$26,MATCH(SUBSTITUTE(SUBSTITUTE(SUBSTITUTE(SUBSTITUTE("type:"&amp;B82,"%","%25"),"~","%7E"),"*","%2A"),"?","%3F"),'Rules'!$G$7:$G$26,0)),"")</x:f>
      </x:c>
      <x:c r="M82" s="6" t="str">
        <x:f>IF(AND(NOT(COUNTA(A82:F82)=0),K82=""),INDEX('Rules'!$D$7:$D$26,MATCH(SUBSTITUTE(SUBSTITUTE(SUBSTITUTE(SUBSTITUTE("type:"&amp;B82,"%","%25"),"~","%7E"),"*","%2A"),"?","%3F"),'Rules'!$G$7:$G$26,0)),"")</x:f>
      </x:c>
      <x:c r="N82" s="5" t="str">
        <x:f>IF(COUNTA(A82:F82)=0,"",SUBSTITUTE(SUBSTITUTE(SUBSTITUTE(SUBSTITUTE("id:"&amp;A82,"%","%25"),"~","%7E"),"*","%2A"),"?","%3F"))</x:f>
      </x:c>
    </x:row>
    <x:row r="83" ht="22" customHeight="1">
      <x:c r="A83" s="3"/>
      <x:c r="B83" s="3"/>
      <x:c r="C83" s="3"/>
      <x:c r="D83" s="4"/>
      <x:c r="E83" s="4"/>
      <x:c r="F83" s="4"/>
      <x:c r="G83" s="5" t="str">
        <x:f>IF(COUNTA(A83:F83)=0,"",IF(K83&lt;&gt;"","Review",IF(I83&lt;0,"Overdue",IF(I83=0,"Due now",IF(I83&lt;=M83,"Due soon","Not due")))))</x:f>
      </x:c>
      <x:c r="H83" s="5" t="str">
        <x:f>IF(OR(COUNTA(A83:F83)=0,COUNTIFS('Rules'!$G$7:$G$26,"="&amp;(SUBSTITUTE(SUBSTITUTE(SUBSTITUTE(SUBSTITUTE("type:"&amp;B83,"%","%25"),"~","%7E"),"*","%2A"),"?","%3F")))&lt;&gt;1),"",IF(OR(INDEX('Rules'!$B$7:$B$26,MATCH(SUBSTITUTE(SUBSTITUTE(SUBSTITUTE(SUBSTITUTE("type:"&amp;B83,"%","%25"),"~","%7E"),"*","%2A"),"?","%3F"),'Rules'!$G$7:$G$26,0))="hours",INDEX('Rules'!$B$7:$B$26,MATCH(SUBSTITUTE(SUBSTITUTE(SUBSTITUTE(SUBSTITUTE("type:"&amp;B83,"%","%25"),"~","%7E"),"*","%2A"),"?","%3F"),'Rules'!$G$7:$G$26,0))="km"),INDEX('Rules'!$B$7:$B$26,MATCH(SUBSTITUTE(SUBSTITUTE(SUBSTITUTE(SUBSTITUTE("type:"&amp;B83,"%","%25"),"~","%7E"),"*","%2A"),"?","%3F"),'Rules'!$G$7:$G$26,0)),""))</x:f>
      </x:c>
      <x:c r="I83" s="6" t="str">
        <x:f>IF(AND(NOT(COUNTA(A83:F83)=0),K83=""),ROUND(J83-D83,3),"")</x:f>
      </x:c>
      <x:c r="J83" s="6" t="str">
        <x:f>IF(AND(NOT(COUNTA(A83:F83)=0),K83=""),ROUND(F83+L83,3),"")</x:f>
      </x:c>
      <x:c r="K83" s="5" t="str">
        <x:f>IF(COUNTA(A83:F83)=0,"",IF(A83="","Missing equipment ID",IF(COUNTIFS($N$8:$N$2007,"="&amp;N83)&gt;1,"Duplicate equipment ID",IF(B83="","Missing type",IF(COUNTIFS('Rules'!$G$7:$G$26,"="&amp;(SUBSTITUTE(SUBSTITUTE(SUBSTITUTE(SUBSTITUTE("type:"&amp;B83,"%","%25"),"~","%7E"),"*","%2A"),"?","%3F")))=0,"Unknown type",IF(COUNTIFS('Rules'!$G$7:$G$26,"="&amp;(SUBSTITUTE(SUBSTITUTE(SUBSTITUTE(SUBSTITUTE("type:"&amp;B83,"%","%25"),"~","%7E"),"*","%2A"),"?","%3F")))&gt;1,"Duplicate type",IF(INDEX('Rules'!$F$7:$F$26,MATCH(SUBSTITUTE(SUBSTITUTE(SUBSTITUTE(SUBSTITUTE("type:"&amp;B83,"%","%25"),"~","%7E"),"*","%2A"),"?","%3F"),'Rules'!$G$7:$G$26,0))&lt;&gt;"",INDEX('Rules'!$F$7:$F$26,MATCH(SUBSTITUTE(SUBSTITUTE(SUBSTITUTE(SUBSTITUTE("type:"&amp;B83,"%","%25"),"~","%7E"),"*","%2A"),"?","%3F"),'Rules'!$G$7:$G$26,0)),IF(AND(C83&lt;&gt;"",C83&lt;&gt;INDEX('Rules'!$B$7:$B$26,MATCH(SUBSTITUTE(SUBSTITUTE(SUBSTITUTE(SUBSTITUTE("type:"&amp;B83,"%","%25"),"~","%7E"),"*","%2A"),"?","%3F"),'Rules'!$G$7:$G$26,0))),"Unit mismatch",IF(IF(NOT(ISNUMBER(D83)),TRUE,OR(D83&lt;0,D83&gt;999999999,ROUND(D83,3)&lt;&gt;D83)),"Invalid current reading",IF(AND(E83&lt;&gt;"",IF(NOT(ISNUMBER(E83)),TRUE,OR(E83&lt;0,E83&gt;999999999,ROUND(E83,3)&lt;&gt;E83))),"Invalid previous reading",IF(IF(NOT(ISNUMBER(F83)),TRUE,OR(F83&lt;0,F83&gt;999999999,ROUND(F83,3)&lt;&gt;F83)),"Invalid last service",IF(AND(E83&lt;&gt;"",D83&lt;E83),"Decreased reading",IF(F83&gt;D83,"Last service above current","")))))))))))))</x:f>
      </x:c>
      <x:c r="L83" s="6" t="str">
        <x:f>IF(AND(NOT(COUNTA(A83:F83)=0),K83=""),INDEX('Rules'!$C$7:$C$26,MATCH(SUBSTITUTE(SUBSTITUTE(SUBSTITUTE(SUBSTITUTE("type:"&amp;B83,"%","%25"),"~","%7E"),"*","%2A"),"?","%3F"),'Rules'!$G$7:$G$26,0)),"")</x:f>
      </x:c>
      <x:c r="M83" s="6" t="str">
        <x:f>IF(AND(NOT(COUNTA(A83:F83)=0),K83=""),INDEX('Rules'!$D$7:$D$26,MATCH(SUBSTITUTE(SUBSTITUTE(SUBSTITUTE(SUBSTITUTE("type:"&amp;B83,"%","%25"),"~","%7E"),"*","%2A"),"?","%3F"),'Rules'!$G$7:$G$26,0)),"")</x:f>
      </x:c>
      <x:c r="N83" s="5" t="str">
        <x:f>IF(COUNTA(A83:F83)=0,"",SUBSTITUTE(SUBSTITUTE(SUBSTITUTE(SUBSTITUTE("id:"&amp;A83,"%","%25"),"~","%7E"),"*","%2A"),"?","%3F"))</x:f>
      </x:c>
    </x:row>
    <x:row r="84" ht="22" customHeight="1">
      <x:c r="A84" s="3"/>
      <x:c r="B84" s="3"/>
      <x:c r="C84" s="3"/>
      <x:c r="D84" s="4"/>
      <x:c r="E84" s="4"/>
      <x:c r="F84" s="4"/>
      <x:c r="G84" s="5" t="str">
        <x:f>IF(COUNTA(A84:F84)=0,"",IF(K84&lt;&gt;"","Review",IF(I84&lt;0,"Overdue",IF(I84=0,"Due now",IF(I84&lt;=M84,"Due soon","Not due")))))</x:f>
      </x:c>
      <x:c r="H84" s="5" t="str">
        <x:f>IF(OR(COUNTA(A84:F84)=0,COUNTIFS('Rules'!$G$7:$G$26,"="&amp;(SUBSTITUTE(SUBSTITUTE(SUBSTITUTE(SUBSTITUTE("type:"&amp;B84,"%","%25"),"~","%7E"),"*","%2A"),"?","%3F")))&lt;&gt;1),"",IF(OR(INDEX('Rules'!$B$7:$B$26,MATCH(SUBSTITUTE(SUBSTITUTE(SUBSTITUTE(SUBSTITUTE("type:"&amp;B84,"%","%25"),"~","%7E"),"*","%2A"),"?","%3F"),'Rules'!$G$7:$G$26,0))="hours",INDEX('Rules'!$B$7:$B$26,MATCH(SUBSTITUTE(SUBSTITUTE(SUBSTITUTE(SUBSTITUTE("type:"&amp;B84,"%","%25"),"~","%7E"),"*","%2A"),"?","%3F"),'Rules'!$G$7:$G$26,0))="km"),INDEX('Rules'!$B$7:$B$26,MATCH(SUBSTITUTE(SUBSTITUTE(SUBSTITUTE(SUBSTITUTE("type:"&amp;B84,"%","%25"),"~","%7E"),"*","%2A"),"?","%3F"),'Rules'!$G$7:$G$26,0)),""))</x:f>
      </x:c>
      <x:c r="I84" s="6" t="str">
        <x:f>IF(AND(NOT(COUNTA(A84:F84)=0),K84=""),ROUND(J84-D84,3),"")</x:f>
      </x:c>
      <x:c r="J84" s="6" t="str">
        <x:f>IF(AND(NOT(COUNTA(A84:F84)=0),K84=""),ROUND(F84+L84,3),"")</x:f>
      </x:c>
      <x:c r="K84" s="5" t="str">
        <x:f>IF(COUNTA(A84:F84)=0,"",IF(A84="","Missing equipment ID",IF(COUNTIFS($N$8:$N$2007,"="&amp;N84)&gt;1,"Duplicate equipment ID",IF(B84="","Missing type",IF(COUNTIFS('Rules'!$G$7:$G$26,"="&amp;(SUBSTITUTE(SUBSTITUTE(SUBSTITUTE(SUBSTITUTE("type:"&amp;B84,"%","%25"),"~","%7E"),"*","%2A"),"?","%3F")))=0,"Unknown type",IF(COUNTIFS('Rules'!$G$7:$G$26,"="&amp;(SUBSTITUTE(SUBSTITUTE(SUBSTITUTE(SUBSTITUTE("type:"&amp;B84,"%","%25"),"~","%7E"),"*","%2A"),"?","%3F")))&gt;1,"Duplicate type",IF(INDEX('Rules'!$F$7:$F$26,MATCH(SUBSTITUTE(SUBSTITUTE(SUBSTITUTE(SUBSTITUTE("type:"&amp;B84,"%","%25"),"~","%7E"),"*","%2A"),"?","%3F"),'Rules'!$G$7:$G$26,0))&lt;&gt;"",INDEX('Rules'!$F$7:$F$26,MATCH(SUBSTITUTE(SUBSTITUTE(SUBSTITUTE(SUBSTITUTE("type:"&amp;B84,"%","%25"),"~","%7E"),"*","%2A"),"?","%3F"),'Rules'!$G$7:$G$26,0)),IF(AND(C84&lt;&gt;"",C84&lt;&gt;INDEX('Rules'!$B$7:$B$26,MATCH(SUBSTITUTE(SUBSTITUTE(SUBSTITUTE(SUBSTITUTE("type:"&amp;B84,"%","%25"),"~","%7E"),"*","%2A"),"?","%3F"),'Rules'!$G$7:$G$26,0))),"Unit mismatch",IF(IF(NOT(ISNUMBER(D84)),TRUE,OR(D84&lt;0,D84&gt;999999999,ROUND(D84,3)&lt;&gt;D84)),"Invalid current reading",IF(AND(E84&lt;&gt;"",IF(NOT(ISNUMBER(E84)),TRUE,OR(E84&lt;0,E84&gt;999999999,ROUND(E84,3)&lt;&gt;E84))),"Invalid previous reading",IF(IF(NOT(ISNUMBER(F84)),TRUE,OR(F84&lt;0,F84&gt;999999999,ROUND(F84,3)&lt;&gt;F84)),"Invalid last service",IF(AND(E84&lt;&gt;"",D84&lt;E84),"Decreased reading",IF(F84&gt;D84,"Last service above current","")))))))))))))</x:f>
      </x:c>
      <x:c r="L84" s="6" t="str">
        <x:f>IF(AND(NOT(COUNTA(A84:F84)=0),K84=""),INDEX('Rules'!$C$7:$C$26,MATCH(SUBSTITUTE(SUBSTITUTE(SUBSTITUTE(SUBSTITUTE("type:"&amp;B84,"%","%25"),"~","%7E"),"*","%2A"),"?","%3F"),'Rules'!$G$7:$G$26,0)),"")</x:f>
      </x:c>
      <x:c r="M84" s="6" t="str">
        <x:f>IF(AND(NOT(COUNTA(A84:F84)=0),K84=""),INDEX('Rules'!$D$7:$D$26,MATCH(SUBSTITUTE(SUBSTITUTE(SUBSTITUTE(SUBSTITUTE("type:"&amp;B84,"%","%25"),"~","%7E"),"*","%2A"),"?","%3F"),'Rules'!$G$7:$G$26,0)),"")</x:f>
      </x:c>
      <x:c r="N84" s="5" t="str">
        <x:f>IF(COUNTA(A84:F84)=0,"",SUBSTITUTE(SUBSTITUTE(SUBSTITUTE(SUBSTITUTE("id:"&amp;A84,"%","%25"),"~","%7E"),"*","%2A"),"?","%3F"))</x:f>
      </x:c>
    </x:row>
    <x:row r="85" ht="22" customHeight="1">
      <x:c r="A85" s="3"/>
      <x:c r="B85" s="3"/>
      <x:c r="C85" s="3"/>
      <x:c r="D85" s="4"/>
      <x:c r="E85" s="4"/>
      <x:c r="F85" s="4"/>
      <x:c r="G85" s="5" t="str">
        <x:f>IF(COUNTA(A85:F85)=0,"",IF(K85&lt;&gt;"","Review",IF(I85&lt;0,"Overdue",IF(I85=0,"Due now",IF(I85&lt;=M85,"Due soon","Not due")))))</x:f>
      </x:c>
      <x:c r="H85" s="5" t="str">
        <x:f>IF(OR(COUNTA(A85:F85)=0,COUNTIFS('Rules'!$G$7:$G$26,"="&amp;(SUBSTITUTE(SUBSTITUTE(SUBSTITUTE(SUBSTITUTE("type:"&amp;B85,"%","%25"),"~","%7E"),"*","%2A"),"?","%3F")))&lt;&gt;1),"",IF(OR(INDEX('Rules'!$B$7:$B$26,MATCH(SUBSTITUTE(SUBSTITUTE(SUBSTITUTE(SUBSTITUTE("type:"&amp;B85,"%","%25"),"~","%7E"),"*","%2A"),"?","%3F"),'Rules'!$G$7:$G$26,0))="hours",INDEX('Rules'!$B$7:$B$26,MATCH(SUBSTITUTE(SUBSTITUTE(SUBSTITUTE(SUBSTITUTE("type:"&amp;B85,"%","%25"),"~","%7E"),"*","%2A"),"?","%3F"),'Rules'!$G$7:$G$26,0))="km"),INDEX('Rules'!$B$7:$B$26,MATCH(SUBSTITUTE(SUBSTITUTE(SUBSTITUTE(SUBSTITUTE("type:"&amp;B85,"%","%25"),"~","%7E"),"*","%2A"),"?","%3F"),'Rules'!$G$7:$G$26,0)),""))</x:f>
      </x:c>
      <x:c r="I85" s="6" t="str">
        <x:f>IF(AND(NOT(COUNTA(A85:F85)=0),K85=""),ROUND(J85-D85,3),"")</x:f>
      </x:c>
      <x:c r="J85" s="6" t="str">
        <x:f>IF(AND(NOT(COUNTA(A85:F85)=0),K85=""),ROUND(F85+L85,3),"")</x:f>
      </x:c>
      <x:c r="K85" s="5" t="str">
        <x:f>IF(COUNTA(A85:F85)=0,"",IF(A85="","Missing equipment ID",IF(COUNTIFS($N$8:$N$2007,"="&amp;N85)&gt;1,"Duplicate equipment ID",IF(B85="","Missing type",IF(COUNTIFS('Rules'!$G$7:$G$26,"="&amp;(SUBSTITUTE(SUBSTITUTE(SUBSTITUTE(SUBSTITUTE("type:"&amp;B85,"%","%25"),"~","%7E"),"*","%2A"),"?","%3F")))=0,"Unknown type",IF(COUNTIFS('Rules'!$G$7:$G$26,"="&amp;(SUBSTITUTE(SUBSTITUTE(SUBSTITUTE(SUBSTITUTE("type:"&amp;B85,"%","%25"),"~","%7E"),"*","%2A"),"?","%3F")))&gt;1,"Duplicate type",IF(INDEX('Rules'!$F$7:$F$26,MATCH(SUBSTITUTE(SUBSTITUTE(SUBSTITUTE(SUBSTITUTE("type:"&amp;B85,"%","%25"),"~","%7E"),"*","%2A"),"?","%3F"),'Rules'!$G$7:$G$26,0))&lt;&gt;"",INDEX('Rules'!$F$7:$F$26,MATCH(SUBSTITUTE(SUBSTITUTE(SUBSTITUTE(SUBSTITUTE("type:"&amp;B85,"%","%25"),"~","%7E"),"*","%2A"),"?","%3F"),'Rules'!$G$7:$G$26,0)),IF(AND(C85&lt;&gt;"",C85&lt;&gt;INDEX('Rules'!$B$7:$B$26,MATCH(SUBSTITUTE(SUBSTITUTE(SUBSTITUTE(SUBSTITUTE("type:"&amp;B85,"%","%25"),"~","%7E"),"*","%2A"),"?","%3F"),'Rules'!$G$7:$G$26,0))),"Unit mismatch",IF(IF(NOT(ISNUMBER(D85)),TRUE,OR(D85&lt;0,D85&gt;999999999,ROUND(D85,3)&lt;&gt;D85)),"Invalid current reading",IF(AND(E85&lt;&gt;"",IF(NOT(ISNUMBER(E85)),TRUE,OR(E85&lt;0,E85&gt;999999999,ROUND(E85,3)&lt;&gt;E85))),"Invalid previous reading",IF(IF(NOT(ISNUMBER(F85)),TRUE,OR(F85&lt;0,F85&gt;999999999,ROUND(F85,3)&lt;&gt;F85)),"Invalid last service",IF(AND(E85&lt;&gt;"",D85&lt;E85),"Decreased reading",IF(F85&gt;D85,"Last service above current","")))))))))))))</x:f>
      </x:c>
      <x:c r="L85" s="6" t="str">
        <x:f>IF(AND(NOT(COUNTA(A85:F85)=0),K85=""),INDEX('Rules'!$C$7:$C$26,MATCH(SUBSTITUTE(SUBSTITUTE(SUBSTITUTE(SUBSTITUTE("type:"&amp;B85,"%","%25"),"~","%7E"),"*","%2A"),"?","%3F"),'Rules'!$G$7:$G$26,0)),"")</x:f>
      </x:c>
      <x:c r="M85" s="6" t="str">
        <x:f>IF(AND(NOT(COUNTA(A85:F85)=0),K85=""),INDEX('Rules'!$D$7:$D$26,MATCH(SUBSTITUTE(SUBSTITUTE(SUBSTITUTE(SUBSTITUTE("type:"&amp;B85,"%","%25"),"~","%7E"),"*","%2A"),"?","%3F"),'Rules'!$G$7:$G$26,0)),"")</x:f>
      </x:c>
      <x:c r="N85" s="5" t="str">
        <x:f>IF(COUNTA(A85:F85)=0,"",SUBSTITUTE(SUBSTITUTE(SUBSTITUTE(SUBSTITUTE("id:"&amp;A85,"%","%25"),"~","%7E"),"*","%2A"),"?","%3F"))</x:f>
      </x:c>
    </x:row>
    <x:row r="86" ht="22" customHeight="1">
      <x:c r="A86" s="3"/>
      <x:c r="B86" s="3"/>
      <x:c r="C86" s="3"/>
      <x:c r="D86" s="4"/>
      <x:c r="E86" s="4"/>
      <x:c r="F86" s="4"/>
      <x:c r="G86" s="5" t="str">
        <x:f>IF(COUNTA(A86:F86)=0,"",IF(K86&lt;&gt;"","Review",IF(I86&lt;0,"Overdue",IF(I86=0,"Due now",IF(I86&lt;=M86,"Due soon","Not due")))))</x:f>
      </x:c>
      <x:c r="H86" s="5" t="str">
        <x:f>IF(OR(COUNTA(A86:F86)=0,COUNTIFS('Rules'!$G$7:$G$26,"="&amp;(SUBSTITUTE(SUBSTITUTE(SUBSTITUTE(SUBSTITUTE("type:"&amp;B86,"%","%25"),"~","%7E"),"*","%2A"),"?","%3F")))&lt;&gt;1),"",IF(OR(INDEX('Rules'!$B$7:$B$26,MATCH(SUBSTITUTE(SUBSTITUTE(SUBSTITUTE(SUBSTITUTE("type:"&amp;B86,"%","%25"),"~","%7E"),"*","%2A"),"?","%3F"),'Rules'!$G$7:$G$26,0))="hours",INDEX('Rules'!$B$7:$B$26,MATCH(SUBSTITUTE(SUBSTITUTE(SUBSTITUTE(SUBSTITUTE("type:"&amp;B86,"%","%25"),"~","%7E"),"*","%2A"),"?","%3F"),'Rules'!$G$7:$G$26,0))="km"),INDEX('Rules'!$B$7:$B$26,MATCH(SUBSTITUTE(SUBSTITUTE(SUBSTITUTE(SUBSTITUTE("type:"&amp;B86,"%","%25"),"~","%7E"),"*","%2A"),"?","%3F"),'Rules'!$G$7:$G$26,0)),""))</x:f>
      </x:c>
      <x:c r="I86" s="6" t="str">
        <x:f>IF(AND(NOT(COUNTA(A86:F86)=0),K86=""),ROUND(J86-D86,3),"")</x:f>
      </x:c>
      <x:c r="J86" s="6" t="str">
        <x:f>IF(AND(NOT(COUNTA(A86:F86)=0),K86=""),ROUND(F86+L86,3),"")</x:f>
      </x:c>
      <x:c r="K86" s="5" t="str">
        <x:f>IF(COUNTA(A86:F86)=0,"",IF(A86="","Missing equipment ID",IF(COUNTIFS($N$8:$N$2007,"="&amp;N86)&gt;1,"Duplicate equipment ID",IF(B86="","Missing type",IF(COUNTIFS('Rules'!$G$7:$G$26,"="&amp;(SUBSTITUTE(SUBSTITUTE(SUBSTITUTE(SUBSTITUTE("type:"&amp;B86,"%","%25"),"~","%7E"),"*","%2A"),"?","%3F")))=0,"Unknown type",IF(COUNTIFS('Rules'!$G$7:$G$26,"="&amp;(SUBSTITUTE(SUBSTITUTE(SUBSTITUTE(SUBSTITUTE("type:"&amp;B86,"%","%25"),"~","%7E"),"*","%2A"),"?","%3F")))&gt;1,"Duplicate type",IF(INDEX('Rules'!$F$7:$F$26,MATCH(SUBSTITUTE(SUBSTITUTE(SUBSTITUTE(SUBSTITUTE("type:"&amp;B86,"%","%25"),"~","%7E"),"*","%2A"),"?","%3F"),'Rules'!$G$7:$G$26,0))&lt;&gt;"",INDEX('Rules'!$F$7:$F$26,MATCH(SUBSTITUTE(SUBSTITUTE(SUBSTITUTE(SUBSTITUTE("type:"&amp;B86,"%","%25"),"~","%7E"),"*","%2A"),"?","%3F"),'Rules'!$G$7:$G$26,0)),IF(AND(C86&lt;&gt;"",C86&lt;&gt;INDEX('Rules'!$B$7:$B$26,MATCH(SUBSTITUTE(SUBSTITUTE(SUBSTITUTE(SUBSTITUTE("type:"&amp;B86,"%","%25"),"~","%7E"),"*","%2A"),"?","%3F"),'Rules'!$G$7:$G$26,0))),"Unit mismatch",IF(IF(NOT(ISNUMBER(D86)),TRUE,OR(D86&lt;0,D86&gt;999999999,ROUND(D86,3)&lt;&gt;D86)),"Invalid current reading",IF(AND(E86&lt;&gt;"",IF(NOT(ISNUMBER(E86)),TRUE,OR(E86&lt;0,E86&gt;999999999,ROUND(E86,3)&lt;&gt;E86))),"Invalid previous reading",IF(IF(NOT(ISNUMBER(F86)),TRUE,OR(F86&lt;0,F86&gt;999999999,ROUND(F86,3)&lt;&gt;F86)),"Invalid last service",IF(AND(E86&lt;&gt;"",D86&lt;E86),"Decreased reading",IF(F86&gt;D86,"Last service above current","")))))))))))))</x:f>
      </x:c>
      <x:c r="L86" s="6" t="str">
        <x:f>IF(AND(NOT(COUNTA(A86:F86)=0),K86=""),INDEX('Rules'!$C$7:$C$26,MATCH(SUBSTITUTE(SUBSTITUTE(SUBSTITUTE(SUBSTITUTE("type:"&amp;B86,"%","%25"),"~","%7E"),"*","%2A"),"?","%3F"),'Rules'!$G$7:$G$26,0)),"")</x:f>
      </x:c>
      <x:c r="M86" s="6" t="str">
        <x:f>IF(AND(NOT(COUNTA(A86:F86)=0),K86=""),INDEX('Rules'!$D$7:$D$26,MATCH(SUBSTITUTE(SUBSTITUTE(SUBSTITUTE(SUBSTITUTE("type:"&amp;B86,"%","%25"),"~","%7E"),"*","%2A"),"?","%3F"),'Rules'!$G$7:$G$26,0)),"")</x:f>
      </x:c>
      <x:c r="N86" s="5" t="str">
        <x:f>IF(COUNTA(A86:F86)=0,"",SUBSTITUTE(SUBSTITUTE(SUBSTITUTE(SUBSTITUTE("id:"&amp;A86,"%","%25"),"~","%7E"),"*","%2A"),"?","%3F"))</x:f>
      </x:c>
    </x:row>
    <x:row r="87" ht="22" customHeight="1">
      <x:c r="A87" s="3"/>
      <x:c r="B87" s="3"/>
      <x:c r="C87" s="3"/>
      <x:c r="D87" s="4"/>
      <x:c r="E87" s="4"/>
      <x:c r="F87" s="4"/>
      <x:c r="G87" s="5" t="str">
        <x:f>IF(COUNTA(A87:F87)=0,"",IF(K87&lt;&gt;"","Review",IF(I87&lt;0,"Overdue",IF(I87=0,"Due now",IF(I87&lt;=M87,"Due soon","Not due")))))</x:f>
      </x:c>
      <x:c r="H87" s="5" t="str">
        <x:f>IF(OR(COUNTA(A87:F87)=0,COUNTIFS('Rules'!$G$7:$G$26,"="&amp;(SUBSTITUTE(SUBSTITUTE(SUBSTITUTE(SUBSTITUTE("type:"&amp;B87,"%","%25"),"~","%7E"),"*","%2A"),"?","%3F")))&lt;&gt;1),"",IF(OR(INDEX('Rules'!$B$7:$B$26,MATCH(SUBSTITUTE(SUBSTITUTE(SUBSTITUTE(SUBSTITUTE("type:"&amp;B87,"%","%25"),"~","%7E"),"*","%2A"),"?","%3F"),'Rules'!$G$7:$G$26,0))="hours",INDEX('Rules'!$B$7:$B$26,MATCH(SUBSTITUTE(SUBSTITUTE(SUBSTITUTE(SUBSTITUTE("type:"&amp;B87,"%","%25"),"~","%7E"),"*","%2A"),"?","%3F"),'Rules'!$G$7:$G$26,0))="km"),INDEX('Rules'!$B$7:$B$26,MATCH(SUBSTITUTE(SUBSTITUTE(SUBSTITUTE(SUBSTITUTE("type:"&amp;B87,"%","%25"),"~","%7E"),"*","%2A"),"?","%3F"),'Rules'!$G$7:$G$26,0)),""))</x:f>
      </x:c>
      <x:c r="I87" s="6" t="str">
        <x:f>IF(AND(NOT(COUNTA(A87:F87)=0),K87=""),ROUND(J87-D87,3),"")</x:f>
      </x:c>
      <x:c r="J87" s="6" t="str">
        <x:f>IF(AND(NOT(COUNTA(A87:F87)=0),K87=""),ROUND(F87+L87,3),"")</x:f>
      </x:c>
      <x:c r="K87" s="5" t="str">
        <x:f>IF(COUNTA(A87:F87)=0,"",IF(A87="","Missing equipment ID",IF(COUNTIFS($N$8:$N$2007,"="&amp;N87)&gt;1,"Duplicate equipment ID",IF(B87="","Missing type",IF(COUNTIFS('Rules'!$G$7:$G$26,"="&amp;(SUBSTITUTE(SUBSTITUTE(SUBSTITUTE(SUBSTITUTE("type:"&amp;B87,"%","%25"),"~","%7E"),"*","%2A"),"?","%3F")))=0,"Unknown type",IF(COUNTIFS('Rules'!$G$7:$G$26,"="&amp;(SUBSTITUTE(SUBSTITUTE(SUBSTITUTE(SUBSTITUTE("type:"&amp;B87,"%","%25"),"~","%7E"),"*","%2A"),"?","%3F")))&gt;1,"Duplicate type",IF(INDEX('Rules'!$F$7:$F$26,MATCH(SUBSTITUTE(SUBSTITUTE(SUBSTITUTE(SUBSTITUTE("type:"&amp;B87,"%","%25"),"~","%7E"),"*","%2A"),"?","%3F"),'Rules'!$G$7:$G$26,0))&lt;&gt;"",INDEX('Rules'!$F$7:$F$26,MATCH(SUBSTITUTE(SUBSTITUTE(SUBSTITUTE(SUBSTITUTE("type:"&amp;B87,"%","%25"),"~","%7E"),"*","%2A"),"?","%3F"),'Rules'!$G$7:$G$26,0)),IF(AND(C87&lt;&gt;"",C87&lt;&gt;INDEX('Rules'!$B$7:$B$26,MATCH(SUBSTITUTE(SUBSTITUTE(SUBSTITUTE(SUBSTITUTE("type:"&amp;B87,"%","%25"),"~","%7E"),"*","%2A"),"?","%3F"),'Rules'!$G$7:$G$26,0))),"Unit mismatch",IF(IF(NOT(ISNUMBER(D87)),TRUE,OR(D87&lt;0,D87&gt;999999999,ROUND(D87,3)&lt;&gt;D87)),"Invalid current reading",IF(AND(E87&lt;&gt;"",IF(NOT(ISNUMBER(E87)),TRUE,OR(E87&lt;0,E87&gt;999999999,ROUND(E87,3)&lt;&gt;E87))),"Invalid previous reading",IF(IF(NOT(ISNUMBER(F87)),TRUE,OR(F87&lt;0,F87&gt;999999999,ROUND(F87,3)&lt;&gt;F87)),"Invalid last service",IF(AND(E87&lt;&gt;"",D87&lt;E87),"Decreased reading",IF(F87&gt;D87,"Last service above current","")))))))))))))</x:f>
      </x:c>
      <x:c r="L87" s="6" t="str">
        <x:f>IF(AND(NOT(COUNTA(A87:F87)=0),K87=""),INDEX('Rules'!$C$7:$C$26,MATCH(SUBSTITUTE(SUBSTITUTE(SUBSTITUTE(SUBSTITUTE("type:"&amp;B87,"%","%25"),"~","%7E"),"*","%2A"),"?","%3F"),'Rules'!$G$7:$G$26,0)),"")</x:f>
      </x:c>
      <x:c r="M87" s="6" t="str">
        <x:f>IF(AND(NOT(COUNTA(A87:F87)=0),K87=""),INDEX('Rules'!$D$7:$D$26,MATCH(SUBSTITUTE(SUBSTITUTE(SUBSTITUTE(SUBSTITUTE("type:"&amp;B87,"%","%25"),"~","%7E"),"*","%2A"),"?","%3F"),'Rules'!$G$7:$G$26,0)),"")</x:f>
      </x:c>
      <x:c r="N87" s="5" t="str">
        <x:f>IF(COUNTA(A87:F87)=0,"",SUBSTITUTE(SUBSTITUTE(SUBSTITUTE(SUBSTITUTE("id:"&amp;A87,"%","%25"),"~","%7E"),"*","%2A"),"?","%3F"))</x:f>
      </x:c>
    </x:row>
    <x:row r="88" ht="22" customHeight="1">
      <x:c r="A88" s="3"/>
      <x:c r="B88" s="3"/>
      <x:c r="C88" s="3"/>
      <x:c r="D88" s="4"/>
      <x:c r="E88" s="4"/>
      <x:c r="F88" s="4"/>
      <x:c r="G88" s="5" t="str">
        <x:f>IF(COUNTA(A88:F88)=0,"",IF(K88&lt;&gt;"","Review",IF(I88&lt;0,"Overdue",IF(I88=0,"Due now",IF(I88&lt;=M88,"Due soon","Not due")))))</x:f>
      </x:c>
      <x:c r="H88" s="5" t="str">
        <x:f>IF(OR(COUNTA(A88:F88)=0,COUNTIFS('Rules'!$G$7:$G$26,"="&amp;(SUBSTITUTE(SUBSTITUTE(SUBSTITUTE(SUBSTITUTE("type:"&amp;B88,"%","%25"),"~","%7E"),"*","%2A"),"?","%3F")))&lt;&gt;1),"",IF(OR(INDEX('Rules'!$B$7:$B$26,MATCH(SUBSTITUTE(SUBSTITUTE(SUBSTITUTE(SUBSTITUTE("type:"&amp;B88,"%","%25"),"~","%7E"),"*","%2A"),"?","%3F"),'Rules'!$G$7:$G$26,0))="hours",INDEX('Rules'!$B$7:$B$26,MATCH(SUBSTITUTE(SUBSTITUTE(SUBSTITUTE(SUBSTITUTE("type:"&amp;B88,"%","%25"),"~","%7E"),"*","%2A"),"?","%3F"),'Rules'!$G$7:$G$26,0))="km"),INDEX('Rules'!$B$7:$B$26,MATCH(SUBSTITUTE(SUBSTITUTE(SUBSTITUTE(SUBSTITUTE("type:"&amp;B88,"%","%25"),"~","%7E"),"*","%2A"),"?","%3F"),'Rules'!$G$7:$G$26,0)),""))</x:f>
      </x:c>
      <x:c r="I88" s="6" t="str">
        <x:f>IF(AND(NOT(COUNTA(A88:F88)=0),K88=""),ROUND(J88-D88,3),"")</x:f>
      </x:c>
      <x:c r="J88" s="6" t="str">
        <x:f>IF(AND(NOT(COUNTA(A88:F88)=0),K88=""),ROUND(F88+L88,3),"")</x:f>
      </x:c>
      <x:c r="K88" s="5" t="str">
        <x:f>IF(COUNTA(A88:F88)=0,"",IF(A88="","Missing equipment ID",IF(COUNTIFS($N$8:$N$2007,"="&amp;N88)&gt;1,"Duplicate equipment ID",IF(B88="","Missing type",IF(COUNTIFS('Rules'!$G$7:$G$26,"="&amp;(SUBSTITUTE(SUBSTITUTE(SUBSTITUTE(SUBSTITUTE("type:"&amp;B88,"%","%25"),"~","%7E"),"*","%2A"),"?","%3F")))=0,"Unknown type",IF(COUNTIFS('Rules'!$G$7:$G$26,"="&amp;(SUBSTITUTE(SUBSTITUTE(SUBSTITUTE(SUBSTITUTE("type:"&amp;B88,"%","%25"),"~","%7E"),"*","%2A"),"?","%3F")))&gt;1,"Duplicate type",IF(INDEX('Rules'!$F$7:$F$26,MATCH(SUBSTITUTE(SUBSTITUTE(SUBSTITUTE(SUBSTITUTE("type:"&amp;B88,"%","%25"),"~","%7E"),"*","%2A"),"?","%3F"),'Rules'!$G$7:$G$26,0))&lt;&gt;"",INDEX('Rules'!$F$7:$F$26,MATCH(SUBSTITUTE(SUBSTITUTE(SUBSTITUTE(SUBSTITUTE("type:"&amp;B88,"%","%25"),"~","%7E"),"*","%2A"),"?","%3F"),'Rules'!$G$7:$G$26,0)),IF(AND(C88&lt;&gt;"",C88&lt;&gt;INDEX('Rules'!$B$7:$B$26,MATCH(SUBSTITUTE(SUBSTITUTE(SUBSTITUTE(SUBSTITUTE("type:"&amp;B88,"%","%25"),"~","%7E"),"*","%2A"),"?","%3F"),'Rules'!$G$7:$G$26,0))),"Unit mismatch",IF(IF(NOT(ISNUMBER(D88)),TRUE,OR(D88&lt;0,D88&gt;999999999,ROUND(D88,3)&lt;&gt;D88)),"Invalid current reading",IF(AND(E88&lt;&gt;"",IF(NOT(ISNUMBER(E88)),TRUE,OR(E88&lt;0,E88&gt;999999999,ROUND(E88,3)&lt;&gt;E88))),"Invalid previous reading",IF(IF(NOT(ISNUMBER(F88)),TRUE,OR(F88&lt;0,F88&gt;999999999,ROUND(F88,3)&lt;&gt;F88)),"Invalid last service",IF(AND(E88&lt;&gt;"",D88&lt;E88),"Decreased reading",IF(F88&gt;D88,"Last service above current","")))))))))))))</x:f>
      </x:c>
      <x:c r="L88" s="6" t="str">
        <x:f>IF(AND(NOT(COUNTA(A88:F88)=0),K88=""),INDEX('Rules'!$C$7:$C$26,MATCH(SUBSTITUTE(SUBSTITUTE(SUBSTITUTE(SUBSTITUTE("type:"&amp;B88,"%","%25"),"~","%7E"),"*","%2A"),"?","%3F"),'Rules'!$G$7:$G$26,0)),"")</x:f>
      </x:c>
      <x:c r="M88" s="6" t="str">
        <x:f>IF(AND(NOT(COUNTA(A88:F88)=0),K88=""),INDEX('Rules'!$D$7:$D$26,MATCH(SUBSTITUTE(SUBSTITUTE(SUBSTITUTE(SUBSTITUTE("type:"&amp;B88,"%","%25"),"~","%7E"),"*","%2A"),"?","%3F"),'Rules'!$G$7:$G$26,0)),"")</x:f>
      </x:c>
      <x:c r="N88" s="5" t="str">
        <x:f>IF(COUNTA(A88:F88)=0,"",SUBSTITUTE(SUBSTITUTE(SUBSTITUTE(SUBSTITUTE("id:"&amp;A88,"%","%25"),"~","%7E"),"*","%2A"),"?","%3F"))</x:f>
      </x:c>
    </x:row>
    <x:row r="89" ht="22" customHeight="1">
      <x:c r="A89" s="3"/>
      <x:c r="B89" s="3"/>
      <x:c r="C89" s="3"/>
      <x:c r="D89" s="4"/>
      <x:c r="E89" s="4"/>
      <x:c r="F89" s="4"/>
      <x:c r="G89" s="5" t="str">
        <x:f>IF(COUNTA(A89:F89)=0,"",IF(K89&lt;&gt;"","Review",IF(I89&lt;0,"Overdue",IF(I89=0,"Due now",IF(I89&lt;=M89,"Due soon","Not due")))))</x:f>
      </x:c>
      <x:c r="H89" s="5" t="str">
        <x:f>IF(OR(COUNTA(A89:F89)=0,COUNTIFS('Rules'!$G$7:$G$26,"="&amp;(SUBSTITUTE(SUBSTITUTE(SUBSTITUTE(SUBSTITUTE("type:"&amp;B89,"%","%25"),"~","%7E"),"*","%2A"),"?","%3F")))&lt;&gt;1),"",IF(OR(INDEX('Rules'!$B$7:$B$26,MATCH(SUBSTITUTE(SUBSTITUTE(SUBSTITUTE(SUBSTITUTE("type:"&amp;B89,"%","%25"),"~","%7E"),"*","%2A"),"?","%3F"),'Rules'!$G$7:$G$26,0))="hours",INDEX('Rules'!$B$7:$B$26,MATCH(SUBSTITUTE(SUBSTITUTE(SUBSTITUTE(SUBSTITUTE("type:"&amp;B89,"%","%25"),"~","%7E"),"*","%2A"),"?","%3F"),'Rules'!$G$7:$G$26,0))="km"),INDEX('Rules'!$B$7:$B$26,MATCH(SUBSTITUTE(SUBSTITUTE(SUBSTITUTE(SUBSTITUTE("type:"&amp;B89,"%","%25"),"~","%7E"),"*","%2A"),"?","%3F"),'Rules'!$G$7:$G$26,0)),""))</x:f>
      </x:c>
      <x:c r="I89" s="6" t="str">
        <x:f>IF(AND(NOT(COUNTA(A89:F89)=0),K89=""),ROUND(J89-D89,3),"")</x:f>
      </x:c>
      <x:c r="J89" s="6" t="str">
        <x:f>IF(AND(NOT(COUNTA(A89:F89)=0),K89=""),ROUND(F89+L89,3),"")</x:f>
      </x:c>
      <x:c r="K89" s="5" t="str">
        <x:f>IF(COUNTA(A89:F89)=0,"",IF(A89="","Missing equipment ID",IF(COUNTIFS($N$8:$N$2007,"="&amp;N89)&gt;1,"Duplicate equipment ID",IF(B89="","Missing type",IF(COUNTIFS('Rules'!$G$7:$G$26,"="&amp;(SUBSTITUTE(SUBSTITUTE(SUBSTITUTE(SUBSTITUTE("type:"&amp;B89,"%","%25"),"~","%7E"),"*","%2A"),"?","%3F")))=0,"Unknown type",IF(COUNTIFS('Rules'!$G$7:$G$26,"="&amp;(SUBSTITUTE(SUBSTITUTE(SUBSTITUTE(SUBSTITUTE("type:"&amp;B89,"%","%25"),"~","%7E"),"*","%2A"),"?","%3F")))&gt;1,"Duplicate type",IF(INDEX('Rules'!$F$7:$F$26,MATCH(SUBSTITUTE(SUBSTITUTE(SUBSTITUTE(SUBSTITUTE("type:"&amp;B89,"%","%25"),"~","%7E"),"*","%2A"),"?","%3F"),'Rules'!$G$7:$G$26,0))&lt;&gt;"",INDEX('Rules'!$F$7:$F$26,MATCH(SUBSTITUTE(SUBSTITUTE(SUBSTITUTE(SUBSTITUTE("type:"&amp;B89,"%","%25"),"~","%7E"),"*","%2A"),"?","%3F"),'Rules'!$G$7:$G$26,0)),IF(AND(C89&lt;&gt;"",C89&lt;&gt;INDEX('Rules'!$B$7:$B$26,MATCH(SUBSTITUTE(SUBSTITUTE(SUBSTITUTE(SUBSTITUTE("type:"&amp;B89,"%","%25"),"~","%7E"),"*","%2A"),"?","%3F"),'Rules'!$G$7:$G$26,0))),"Unit mismatch",IF(IF(NOT(ISNUMBER(D89)),TRUE,OR(D89&lt;0,D89&gt;999999999,ROUND(D89,3)&lt;&gt;D89)),"Invalid current reading",IF(AND(E89&lt;&gt;"",IF(NOT(ISNUMBER(E89)),TRUE,OR(E89&lt;0,E89&gt;999999999,ROUND(E89,3)&lt;&gt;E89))),"Invalid previous reading",IF(IF(NOT(ISNUMBER(F89)),TRUE,OR(F89&lt;0,F89&gt;999999999,ROUND(F89,3)&lt;&gt;F89)),"Invalid last service",IF(AND(E89&lt;&gt;"",D89&lt;E89),"Decreased reading",IF(F89&gt;D89,"Last service above current","")))))))))))))</x:f>
      </x:c>
      <x:c r="L89" s="6" t="str">
        <x:f>IF(AND(NOT(COUNTA(A89:F89)=0),K89=""),INDEX('Rules'!$C$7:$C$26,MATCH(SUBSTITUTE(SUBSTITUTE(SUBSTITUTE(SUBSTITUTE("type:"&amp;B89,"%","%25"),"~","%7E"),"*","%2A"),"?","%3F"),'Rules'!$G$7:$G$26,0)),"")</x:f>
      </x:c>
      <x:c r="M89" s="6" t="str">
        <x:f>IF(AND(NOT(COUNTA(A89:F89)=0),K89=""),INDEX('Rules'!$D$7:$D$26,MATCH(SUBSTITUTE(SUBSTITUTE(SUBSTITUTE(SUBSTITUTE("type:"&amp;B89,"%","%25"),"~","%7E"),"*","%2A"),"?","%3F"),'Rules'!$G$7:$G$26,0)),"")</x:f>
      </x:c>
      <x:c r="N89" s="5" t="str">
        <x:f>IF(COUNTA(A89:F89)=0,"",SUBSTITUTE(SUBSTITUTE(SUBSTITUTE(SUBSTITUTE("id:"&amp;A89,"%","%25"),"~","%7E"),"*","%2A"),"?","%3F"))</x:f>
      </x:c>
    </x:row>
    <x:row r="90" ht="22" customHeight="1">
      <x:c r="A90" s="3"/>
      <x:c r="B90" s="3"/>
      <x:c r="C90" s="3"/>
      <x:c r="D90" s="4"/>
      <x:c r="E90" s="4"/>
      <x:c r="F90" s="4"/>
      <x:c r="G90" s="5" t="str">
        <x:f>IF(COUNTA(A90:F90)=0,"",IF(K90&lt;&gt;"","Review",IF(I90&lt;0,"Overdue",IF(I90=0,"Due now",IF(I90&lt;=M90,"Due soon","Not due")))))</x:f>
      </x:c>
      <x:c r="H90" s="5" t="str">
        <x:f>IF(OR(COUNTA(A90:F90)=0,COUNTIFS('Rules'!$G$7:$G$26,"="&amp;(SUBSTITUTE(SUBSTITUTE(SUBSTITUTE(SUBSTITUTE("type:"&amp;B90,"%","%25"),"~","%7E"),"*","%2A"),"?","%3F")))&lt;&gt;1),"",IF(OR(INDEX('Rules'!$B$7:$B$26,MATCH(SUBSTITUTE(SUBSTITUTE(SUBSTITUTE(SUBSTITUTE("type:"&amp;B90,"%","%25"),"~","%7E"),"*","%2A"),"?","%3F"),'Rules'!$G$7:$G$26,0))="hours",INDEX('Rules'!$B$7:$B$26,MATCH(SUBSTITUTE(SUBSTITUTE(SUBSTITUTE(SUBSTITUTE("type:"&amp;B90,"%","%25"),"~","%7E"),"*","%2A"),"?","%3F"),'Rules'!$G$7:$G$26,0))="km"),INDEX('Rules'!$B$7:$B$26,MATCH(SUBSTITUTE(SUBSTITUTE(SUBSTITUTE(SUBSTITUTE("type:"&amp;B90,"%","%25"),"~","%7E"),"*","%2A"),"?","%3F"),'Rules'!$G$7:$G$26,0)),""))</x:f>
      </x:c>
      <x:c r="I90" s="6" t="str">
        <x:f>IF(AND(NOT(COUNTA(A90:F90)=0),K90=""),ROUND(J90-D90,3),"")</x:f>
      </x:c>
      <x:c r="J90" s="6" t="str">
        <x:f>IF(AND(NOT(COUNTA(A90:F90)=0),K90=""),ROUND(F90+L90,3),"")</x:f>
      </x:c>
      <x:c r="K90" s="5" t="str">
        <x:f>IF(COUNTA(A90:F90)=0,"",IF(A90="","Missing equipment ID",IF(COUNTIFS($N$8:$N$2007,"="&amp;N90)&gt;1,"Duplicate equipment ID",IF(B90="","Missing type",IF(COUNTIFS('Rules'!$G$7:$G$26,"="&amp;(SUBSTITUTE(SUBSTITUTE(SUBSTITUTE(SUBSTITUTE("type:"&amp;B90,"%","%25"),"~","%7E"),"*","%2A"),"?","%3F")))=0,"Unknown type",IF(COUNTIFS('Rules'!$G$7:$G$26,"="&amp;(SUBSTITUTE(SUBSTITUTE(SUBSTITUTE(SUBSTITUTE("type:"&amp;B90,"%","%25"),"~","%7E"),"*","%2A"),"?","%3F")))&gt;1,"Duplicate type",IF(INDEX('Rules'!$F$7:$F$26,MATCH(SUBSTITUTE(SUBSTITUTE(SUBSTITUTE(SUBSTITUTE("type:"&amp;B90,"%","%25"),"~","%7E"),"*","%2A"),"?","%3F"),'Rules'!$G$7:$G$26,0))&lt;&gt;"",INDEX('Rules'!$F$7:$F$26,MATCH(SUBSTITUTE(SUBSTITUTE(SUBSTITUTE(SUBSTITUTE("type:"&amp;B90,"%","%25"),"~","%7E"),"*","%2A"),"?","%3F"),'Rules'!$G$7:$G$26,0)),IF(AND(C90&lt;&gt;"",C90&lt;&gt;INDEX('Rules'!$B$7:$B$26,MATCH(SUBSTITUTE(SUBSTITUTE(SUBSTITUTE(SUBSTITUTE("type:"&amp;B90,"%","%25"),"~","%7E"),"*","%2A"),"?","%3F"),'Rules'!$G$7:$G$26,0))),"Unit mismatch",IF(IF(NOT(ISNUMBER(D90)),TRUE,OR(D90&lt;0,D90&gt;999999999,ROUND(D90,3)&lt;&gt;D90)),"Invalid current reading",IF(AND(E90&lt;&gt;"",IF(NOT(ISNUMBER(E90)),TRUE,OR(E90&lt;0,E90&gt;999999999,ROUND(E90,3)&lt;&gt;E90))),"Invalid previous reading",IF(IF(NOT(ISNUMBER(F90)),TRUE,OR(F90&lt;0,F90&gt;999999999,ROUND(F90,3)&lt;&gt;F90)),"Invalid last service",IF(AND(E90&lt;&gt;"",D90&lt;E90),"Decreased reading",IF(F90&gt;D90,"Last service above current","")))))))))))))</x:f>
      </x:c>
      <x:c r="L90" s="6" t="str">
        <x:f>IF(AND(NOT(COUNTA(A90:F90)=0),K90=""),INDEX('Rules'!$C$7:$C$26,MATCH(SUBSTITUTE(SUBSTITUTE(SUBSTITUTE(SUBSTITUTE("type:"&amp;B90,"%","%25"),"~","%7E"),"*","%2A"),"?","%3F"),'Rules'!$G$7:$G$26,0)),"")</x:f>
      </x:c>
      <x:c r="M90" s="6" t="str">
        <x:f>IF(AND(NOT(COUNTA(A90:F90)=0),K90=""),INDEX('Rules'!$D$7:$D$26,MATCH(SUBSTITUTE(SUBSTITUTE(SUBSTITUTE(SUBSTITUTE("type:"&amp;B90,"%","%25"),"~","%7E"),"*","%2A"),"?","%3F"),'Rules'!$G$7:$G$26,0)),"")</x:f>
      </x:c>
      <x:c r="N90" s="5" t="str">
        <x:f>IF(COUNTA(A90:F90)=0,"",SUBSTITUTE(SUBSTITUTE(SUBSTITUTE(SUBSTITUTE("id:"&amp;A90,"%","%25"),"~","%7E"),"*","%2A"),"?","%3F"))</x:f>
      </x:c>
    </x:row>
    <x:row r="91" ht="22" customHeight="1">
      <x:c r="A91" s="3"/>
      <x:c r="B91" s="3"/>
      <x:c r="C91" s="3"/>
      <x:c r="D91" s="4"/>
      <x:c r="E91" s="4"/>
      <x:c r="F91" s="4"/>
      <x:c r="G91" s="5" t="str">
        <x:f>IF(COUNTA(A91:F91)=0,"",IF(K91&lt;&gt;"","Review",IF(I91&lt;0,"Overdue",IF(I91=0,"Due now",IF(I91&lt;=M91,"Due soon","Not due")))))</x:f>
      </x:c>
      <x:c r="H91" s="5" t="str">
        <x:f>IF(OR(COUNTA(A91:F91)=0,COUNTIFS('Rules'!$G$7:$G$26,"="&amp;(SUBSTITUTE(SUBSTITUTE(SUBSTITUTE(SUBSTITUTE("type:"&amp;B91,"%","%25"),"~","%7E"),"*","%2A"),"?","%3F")))&lt;&gt;1),"",IF(OR(INDEX('Rules'!$B$7:$B$26,MATCH(SUBSTITUTE(SUBSTITUTE(SUBSTITUTE(SUBSTITUTE("type:"&amp;B91,"%","%25"),"~","%7E"),"*","%2A"),"?","%3F"),'Rules'!$G$7:$G$26,0))="hours",INDEX('Rules'!$B$7:$B$26,MATCH(SUBSTITUTE(SUBSTITUTE(SUBSTITUTE(SUBSTITUTE("type:"&amp;B91,"%","%25"),"~","%7E"),"*","%2A"),"?","%3F"),'Rules'!$G$7:$G$26,0))="km"),INDEX('Rules'!$B$7:$B$26,MATCH(SUBSTITUTE(SUBSTITUTE(SUBSTITUTE(SUBSTITUTE("type:"&amp;B91,"%","%25"),"~","%7E"),"*","%2A"),"?","%3F"),'Rules'!$G$7:$G$26,0)),""))</x:f>
      </x:c>
      <x:c r="I91" s="6" t="str">
        <x:f>IF(AND(NOT(COUNTA(A91:F91)=0),K91=""),ROUND(J91-D91,3),"")</x:f>
      </x:c>
      <x:c r="J91" s="6" t="str">
        <x:f>IF(AND(NOT(COUNTA(A91:F91)=0),K91=""),ROUND(F91+L91,3),"")</x:f>
      </x:c>
      <x:c r="K91" s="5" t="str">
        <x:f>IF(COUNTA(A91:F91)=0,"",IF(A91="","Missing equipment ID",IF(COUNTIFS($N$8:$N$2007,"="&amp;N91)&gt;1,"Duplicate equipment ID",IF(B91="","Missing type",IF(COUNTIFS('Rules'!$G$7:$G$26,"="&amp;(SUBSTITUTE(SUBSTITUTE(SUBSTITUTE(SUBSTITUTE("type:"&amp;B91,"%","%25"),"~","%7E"),"*","%2A"),"?","%3F")))=0,"Unknown type",IF(COUNTIFS('Rules'!$G$7:$G$26,"="&amp;(SUBSTITUTE(SUBSTITUTE(SUBSTITUTE(SUBSTITUTE("type:"&amp;B91,"%","%25"),"~","%7E"),"*","%2A"),"?","%3F")))&gt;1,"Duplicate type",IF(INDEX('Rules'!$F$7:$F$26,MATCH(SUBSTITUTE(SUBSTITUTE(SUBSTITUTE(SUBSTITUTE("type:"&amp;B91,"%","%25"),"~","%7E"),"*","%2A"),"?","%3F"),'Rules'!$G$7:$G$26,0))&lt;&gt;"",INDEX('Rules'!$F$7:$F$26,MATCH(SUBSTITUTE(SUBSTITUTE(SUBSTITUTE(SUBSTITUTE("type:"&amp;B91,"%","%25"),"~","%7E"),"*","%2A"),"?","%3F"),'Rules'!$G$7:$G$26,0)),IF(AND(C91&lt;&gt;"",C91&lt;&gt;INDEX('Rules'!$B$7:$B$26,MATCH(SUBSTITUTE(SUBSTITUTE(SUBSTITUTE(SUBSTITUTE("type:"&amp;B91,"%","%25"),"~","%7E"),"*","%2A"),"?","%3F"),'Rules'!$G$7:$G$26,0))),"Unit mismatch",IF(IF(NOT(ISNUMBER(D91)),TRUE,OR(D91&lt;0,D91&gt;999999999,ROUND(D91,3)&lt;&gt;D91)),"Invalid current reading",IF(AND(E91&lt;&gt;"",IF(NOT(ISNUMBER(E91)),TRUE,OR(E91&lt;0,E91&gt;999999999,ROUND(E91,3)&lt;&gt;E91))),"Invalid previous reading",IF(IF(NOT(ISNUMBER(F91)),TRUE,OR(F91&lt;0,F91&gt;999999999,ROUND(F91,3)&lt;&gt;F91)),"Invalid last service",IF(AND(E91&lt;&gt;"",D91&lt;E91),"Decreased reading",IF(F91&gt;D91,"Last service above current","")))))))))))))</x:f>
      </x:c>
      <x:c r="L91" s="6" t="str">
        <x:f>IF(AND(NOT(COUNTA(A91:F91)=0),K91=""),INDEX('Rules'!$C$7:$C$26,MATCH(SUBSTITUTE(SUBSTITUTE(SUBSTITUTE(SUBSTITUTE("type:"&amp;B91,"%","%25"),"~","%7E"),"*","%2A"),"?","%3F"),'Rules'!$G$7:$G$26,0)),"")</x:f>
      </x:c>
      <x:c r="M91" s="6" t="str">
        <x:f>IF(AND(NOT(COUNTA(A91:F91)=0),K91=""),INDEX('Rules'!$D$7:$D$26,MATCH(SUBSTITUTE(SUBSTITUTE(SUBSTITUTE(SUBSTITUTE("type:"&amp;B91,"%","%25"),"~","%7E"),"*","%2A"),"?","%3F"),'Rules'!$G$7:$G$26,0)),"")</x:f>
      </x:c>
      <x:c r="N91" s="5" t="str">
        <x:f>IF(COUNTA(A91:F91)=0,"",SUBSTITUTE(SUBSTITUTE(SUBSTITUTE(SUBSTITUTE("id:"&amp;A91,"%","%25"),"~","%7E"),"*","%2A"),"?","%3F"))</x:f>
      </x:c>
    </x:row>
    <x:row r="92" ht="22" customHeight="1">
      <x:c r="A92" s="3"/>
      <x:c r="B92" s="3"/>
      <x:c r="C92" s="3"/>
      <x:c r="D92" s="4"/>
      <x:c r="E92" s="4"/>
      <x:c r="F92" s="4"/>
      <x:c r="G92" s="5" t="str">
        <x:f>IF(COUNTA(A92:F92)=0,"",IF(K92&lt;&gt;"","Review",IF(I92&lt;0,"Overdue",IF(I92=0,"Due now",IF(I92&lt;=M92,"Due soon","Not due")))))</x:f>
      </x:c>
      <x:c r="H92" s="5" t="str">
        <x:f>IF(OR(COUNTA(A92:F92)=0,COUNTIFS('Rules'!$G$7:$G$26,"="&amp;(SUBSTITUTE(SUBSTITUTE(SUBSTITUTE(SUBSTITUTE("type:"&amp;B92,"%","%25"),"~","%7E"),"*","%2A"),"?","%3F")))&lt;&gt;1),"",IF(OR(INDEX('Rules'!$B$7:$B$26,MATCH(SUBSTITUTE(SUBSTITUTE(SUBSTITUTE(SUBSTITUTE("type:"&amp;B92,"%","%25"),"~","%7E"),"*","%2A"),"?","%3F"),'Rules'!$G$7:$G$26,0))="hours",INDEX('Rules'!$B$7:$B$26,MATCH(SUBSTITUTE(SUBSTITUTE(SUBSTITUTE(SUBSTITUTE("type:"&amp;B92,"%","%25"),"~","%7E"),"*","%2A"),"?","%3F"),'Rules'!$G$7:$G$26,0))="km"),INDEX('Rules'!$B$7:$B$26,MATCH(SUBSTITUTE(SUBSTITUTE(SUBSTITUTE(SUBSTITUTE("type:"&amp;B92,"%","%25"),"~","%7E"),"*","%2A"),"?","%3F"),'Rules'!$G$7:$G$26,0)),""))</x:f>
      </x:c>
      <x:c r="I92" s="6" t="str">
        <x:f>IF(AND(NOT(COUNTA(A92:F92)=0),K92=""),ROUND(J92-D92,3),"")</x:f>
      </x:c>
      <x:c r="J92" s="6" t="str">
        <x:f>IF(AND(NOT(COUNTA(A92:F92)=0),K92=""),ROUND(F92+L92,3),"")</x:f>
      </x:c>
      <x:c r="K92" s="5" t="str">
        <x:f>IF(COUNTA(A92:F92)=0,"",IF(A92="","Missing equipment ID",IF(COUNTIFS($N$8:$N$2007,"="&amp;N92)&gt;1,"Duplicate equipment ID",IF(B92="","Missing type",IF(COUNTIFS('Rules'!$G$7:$G$26,"="&amp;(SUBSTITUTE(SUBSTITUTE(SUBSTITUTE(SUBSTITUTE("type:"&amp;B92,"%","%25"),"~","%7E"),"*","%2A"),"?","%3F")))=0,"Unknown type",IF(COUNTIFS('Rules'!$G$7:$G$26,"="&amp;(SUBSTITUTE(SUBSTITUTE(SUBSTITUTE(SUBSTITUTE("type:"&amp;B92,"%","%25"),"~","%7E"),"*","%2A"),"?","%3F")))&gt;1,"Duplicate type",IF(INDEX('Rules'!$F$7:$F$26,MATCH(SUBSTITUTE(SUBSTITUTE(SUBSTITUTE(SUBSTITUTE("type:"&amp;B92,"%","%25"),"~","%7E"),"*","%2A"),"?","%3F"),'Rules'!$G$7:$G$26,0))&lt;&gt;"",INDEX('Rules'!$F$7:$F$26,MATCH(SUBSTITUTE(SUBSTITUTE(SUBSTITUTE(SUBSTITUTE("type:"&amp;B92,"%","%25"),"~","%7E"),"*","%2A"),"?","%3F"),'Rules'!$G$7:$G$26,0)),IF(AND(C92&lt;&gt;"",C92&lt;&gt;INDEX('Rules'!$B$7:$B$26,MATCH(SUBSTITUTE(SUBSTITUTE(SUBSTITUTE(SUBSTITUTE("type:"&amp;B92,"%","%25"),"~","%7E"),"*","%2A"),"?","%3F"),'Rules'!$G$7:$G$26,0))),"Unit mismatch",IF(IF(NOT(ISNUMBER(D92)),TRUE,OR(D92&lt;0,D92&gt;999999999,ROUND(D92,3)&lt;&gt;D92)),"Invalid current reading",IF(AND(E92&lt;&gt;"",IF(NOT(ISNUMBER(E92)),TRUE,OR(E92&lt;0,E92&gt;999999999,ROUND(E92,3)&lt;&gt;E92))),"Invalid previous reading",IF(IF(NOT(ISNUMBER(F92)),TRUE,OR(F92&lt;0,F92&gt;999999999,ROUND(F92,3)&lt;&gt;F92)),"Invalid last service",IF(AND(E92&lt;&gt;"",D92&lt;E92),"Decreased reading",IF(F92&gt;D92,"Last service above current","")))))))))))))</x:f>
      </x:c>
      <x:c r="L92" s="6" t="str">
        <x:f>IF(AND(NOT(COUNTA(A92:F92)=0),K92=""),INDEX('Rules'!$C$7:$C$26,MATCH(SUBSTITUTE(SUBSTITUTE(SUBSTITUTE(SUBSTITUTE("type:"&amp;B92,"%","%25"),"~","%7E"),"*","%2A"),"?","%3F"),'Rules'!$G$7:$G$26,0)),"")</x:f>
      </x:c>
      <x:c r="M92" s="6" t="str">
        <x:f>IF(AND(NOT(COUNTA(A92:F92)=0),K92=""),INDEX('Rules'!$D$7:$D$26,MATCH(SUBSTITUTE(SUBSTITUTE(SUBSTITUTE(SUBSTITUTE("type:"&amp;B92,"%","%25"),"~","%7E"),"*","%2A"),"?","%3F"),'Rules'!$G$7:$G$26,0)),"")</x:f>
      </x:c>
      <x:c r="N92" s="5" t="str">
        <x:f>IF(COUNTA(A92:F92)=0,"",SUBSTITUTE(SUBSTITUTE(SUBSTITUTE(SUBSTITUTE("id:"&amp;A92,"%","%25"),"~","%7E"),"*","%2A"),"?","%3F"))</x:f>
      </x:c>
    </x:row>
    <x:row r="93" ht="22" customHeight="1">
      <x:c r="A93" s="3"/>
      <x:c r="B93" s="3"/>
      <x:c r="C93" s="3"/>
      <x:c r="D93" s="4"/>
      <x:c r="E93" s="4"/>
      <x:c r="F93" s="4"/>
      <x:c r="G93" s="5" t="str">
        <x:f>IF(COUNTA(A93:F93)=0,"",IF(K93&lt;&gt;"","Review",IF(I93&lt;0,"Overdue",IF(I93=0,"Due now",IF(I93&lt;=M93,"Due soon","Not due")))))</x:f>
      </x:c>
      <x:c r="H93" s="5" t="str">
        <x:f>IF(OR(COUNTA(A93:F93)=0,COUNTIFS('Rules'!$G$7:$G$26,"="&amp;(SUBSTITUTE(SUBSTITUTE(SUBSTITUTE(SUBSTITUTE("type:"&amp;B93,"%","%25"),"~","%7E"),"*","%2A"),"?","%3F")))&lt;&gt;1),"",IF(OR(INDEX('Rules'!$B$7:$B$26,MATCH(SUBSTITUTE(SUBSTITUTE(SUBSTITUTE(SUBSTITUTE("type:"&amp;B93,"%","%25"),"~","%7E"),"*","%2A"),"?","%3F"),'Rules'!$G$7:$G$26,0))="hours",INDEX('Rules'!$B$7:$B$26,MATCH(SUBSTITUTE(SUBSTITUTE(SUBSTITUTE(SUBSTITUTE("type:"&amp;B93,"%","%25"),"~","%7E"),"*","%2A"),"?","%3F"),'Rules'!$G$7:$G$26,0))="km"),INDEX('Rules'!$B$7:$B$26,MATCH(SUBSTITUTE(SUBSTITUTE(SUBSTITUTE(SUBSTITUTE("type:"&amp;B93,"%","%25"),"~","%7E"),"*","%2A"),"?","%3F"),'Rules'!$G$7:$G$26,0)),""))</x:f>
      </x:c>
      <x:c r="I93" s="6" t="str">
        <x:f>IF(AND(NOT(COUNTA(A93:F93)=0),K93=""),ROUND(J93-D93,3),"")</x:f>
      </x:c>
      <x:c r="J93" s="6" t="str">
        <x:f>IF(AND(NOT(COUNTA(A93:F93)=0),K93=""),ROUND(F93+L93,3),"")</x:f>
      </x:c>
      <x:c r="K93" s="5" t="str">
        <x:f>IF(COUNTA(A93:F93)=0,"",IF(A93="","Missing equipment ID",IF(COUNTIFS($N$8:$N$2007,"="&amp;N93)&gt;1,"Duplicate equipment ID",IF(B93="","Missing type",IF(COUNTIFS('Rules'!$G$7:$G$26,"="&amp;(SUBSTITUTE(SUBSTITUTE(SUBSTITUTE(SUBSTITUTE("type:"&amp;B93,"%","%25"),"~","%7E"),"*","%2A"),"?","%3F")))=0,"Unknown type",IF(COUNTIFS('Rules'!$G$7:$G$26,"="&amp;(SUBSTITUTE(SUBSTITUTE(SUBSTITUTE(SUBSTITUTE("type:"&amp;B93,"%","%25"),"~","%7E"),"*","%2A"),"?","%3F")))&gt;1,"Duplicate type",IF(INDEX('Rules'!$F$7:$F$26,MATCH(SUBSTITUTE(SUBSTITUTE(SUBSTITUTE(SUBSTITUTE("type:"&amp;B93,"%","%25"),"~","%7E"),"*","%2A"),"?","%3F"),'Rules'!$G$7:$G$26,0))&lt;&gt;"",INDEX('Rules'!$F$7:$F$26,MATCH(SUBSTITUTE(SUBSTITUTE(SUBSTITUTE(SUBSTITUTE("type:"&amp;B93,"%","%25"),"~","%7E"),"*","%2A"),"?","%3F"),'Rules'!$G$7:$G$26,0)),IF(AND(C93&lt;&gt;"",C93&lt;&gt;INDEX('Rules'!$B$7:$B$26,MATCH(SUBSTITUTE(SUBSTITUTE(SUBSTITUTE(SUBSTITUTE("type:"&amp;B93,"%","%25"),"~","%7E"),"*","%2A"),"?","%3F"),'Rules'!$G$7:$G$26,0))),"Unit mismatch",IF(IF(NOT(ISNUMBER(D93)),TRUE,OR(D93&lt;0,D93&gt;999999999,ROUND(D93,3)&lt;&gt;D93)),"Invalid current reading",IF(AND(E93&lt;&gt;"",IF(NOT(ISNUMBER(E93)),TRUE,OR(E93&lt;0,E93&gt;999999999,ROUND(E93,3)&lt;&gt;E93))),"Invalid previous reading",IF(IF(NOT(ISNUMBER(F93)),TRUE,OR(F93&lt;0,F93&gt;999999999,ROUND(F93,3)&lt;&gt;F93)),"Invalid last service",IF(AND(E93&lt;&gt;"",D93&lt;E93),"Decreased reading",IF(F93&gt;D93,"Last service above current","")))))))))))))</x:f>
      </x:c>
      <x:c r="L93" s="6" t="str">
        <x:f>IF(AND(NOT(COUNTA(A93:F93)=0),K93=""),INDEX('Rules'!$C$7:$C$26,MATCH(SUBSTITUTE(SUBSTITUTE(SUBSTITUTE(SUBSTITUTE("type:"&amp;B93,"%","%25"),"~","%7E"),"*","%2A"),"?","%3F"),'Rules'!$G$7:$G$26,0)),"")</x:f>
      </x:c>
      <x:c r="M93" s="6" t="str">
        <x:f>IF(AND(NOT(COUNTA(A93:F93)=0),K93=""),INDEX('Rules'!$D$7:$D$26,MATCH(SUBSTITUTE(SUBSTITUTE(SUBSTITUTE(SUBSTITUTE("type:"&amp;B93,"%","%25"),"~","%7E"),"*","%2A"),"?","%3F"),'Rules'!$G$7:$G$26,0)),"")</x:f>
      </x:c>
      <x:c r="N93" s="5" t="str">
        <x:f>IF(COUNTA(A93:F93)=0,"",SUBSTITUTE(SUBSTITUTE(SUBSTITUTE(SUBSTITUTE("id:"&amp;A93,"%","%25"),"~","%7E"),"*","%2A"),"?","%3F"))</x:f>
      </x:c>
    </x:row>
    <x:row r="94" ht="22" customHeight="1">
      <x:c r="A94" s="3"/>
      <x:c r="B94" s="3"/>
      <x:c r="C94" s="3"/>
      <x:c r="D94" s="4"/>
      <x:c r="E94" s="4"/>
      <x:c r="F94" s="4"/>
      <x:c r="G94" s="5" t="str">
        <x:f>IF(COUNTA(A94:F94)=0,"",IF(K94&lt;&gt;"","Review",IF(I94&lt;0,"Overdue",IF(I94=0,"Due now",IF(I94&lt;=M94,"Due soon","Not due")))))</x:f>
      </x:c>
      <x:c r="H94" s="5" t="str">
        <x:f>IF(OR(COUNTA(A94:F94)=0,COUNTIFS('Rules'!$G$7:$G$26,"="&amp;(SUBSTITUTE(SUBSTITUTE(SUBSTITUTE(SUBSTITUTE("type:"&amp;B94,"%","%25"),"~","%7E"),"*","%2A"),"?","%3F")))&lt;&gt;1),"",IF(OR(INDEX('Rules'!$B$7:$B$26,MATCH(SUBSTITUTE(SUBSTITUTE(SUBSTITUTE(SUBSTITUTE("type:"&amp;B94,"%","%25"),"~","%7E"),"*","%2A"),"?","%3F"),'Rules'!$G$7:$G$26,0))="hours",INDEX('Rules'!$B$7:$B$26,MATCH(SUBSTITUTE(SUBSTITUTE(SUBSTITUTE(SUBSTITUTE("type:"&amp;B94,"%","%25"),"~","%7E"),"*","%2A"),"?","%3F"),'Rules'!$G$7:$G$26,0))="km"),INDEX('Rules'!$B$7:$B$26,MATCH(SUBSTITUTE(SUBSTITUTE(SUBSTITUTE(SUBSTITUTE("type:"&amp;B94,"%","%25"),"~","%7E"),"*","%2A"),"?","%3F"),'Rules'!$G$7:$G$26,0)),""))</x:f>
      </x:c>
      <x:c r="I94" s="6" t="str">
        <x:f>IF(AND(NOT(COUNTA(A94:F94)=0),K94=""),ROUND(J94-D94,3),"")</x:f>
      </x:c>
      <x:c r="J94" s="6" t="str">
        <x:f>IF(AND(NOT(COUNTA(A94:F94)=0),K94=""),ROUND(F94+L94,3),"")</x:f>
      </x:c>
      <x:c r="K94" s="5" t="str">
        <x:f>IF(COUNTA(A94:F94)=0,"",IF(A94="","Missing equipment ID",IF(COUNTIFS($N$8:$N$2007,"="&amp;N94)&gt;1,"Duplicate equipment ID",IF(B94="","Missing type",IF(COUNTIFS('Rules'!$G$7:$G$26,"="&amp;(SUBSTITUTE(SUBSTITUTE(SUBSTITUTE(SUBSTITUTE("type:"&amp;B94,"%","%25"),"~","%7E"),"*","%2A"),"?","%3F")))=0,"Unknown type",IF(COUNTIFS('Rules'!$G$7:$G$26,"="&amp;(SUBSTITUTE(SUBSTITUTE(SUBSTITUTE(SUBSTITUTE("type:"&amp;B94,"%","%25"),"~","%7E"),"*","%2A"),"?","%3F")))&gt;1,"Duplicate type",IF(INDEX('Rules'!$F$7:$F$26,MATCH(SUBSTITUTE(SUBSTITUTE(SUBSTITUTE(SUBSTITUTE("type:"&amp;B94,"%","%25"),"~","%7E"),"*","%2A"),"?","%3F"),'Rules'!$G$7:$G$26,0))&lt;&gt;"",INDEX('Rules'!$F$7:$F$26,MATCH(SUBSTITUTE(SUBSTITUTE(SUBSTITUTE(SUBSTITUTE("type:"&amp;B94,"%","%25"),"~","%7E"),"*","%2A"),"?","%3F"),'Rules'!$G$7:$G$26,0)),IF(AND(C94&lt;&gt;"",C94&lt;&gt;INDEX('Rules'!$B$7:$B$26,MATCH(SUBSTITUTE(SUBSTITUTE(SUBSTITUTE(SUBSTITUTE("type:"&amp;B94,"%","%25"),"~","%7E"),"*","%2A"),"?","%3F"),'Rules'!$G$7:$G$26,0))),"Unit mismatch",IF(IF(NOT(ISNUMBER(D94)),TRUE,OR(D94&lt;0,D94&gt;999999999,ROUND(D94,3)&lt;&gt;D94)),"Invalid current reading",IF(AND(E94&lt;&gt;"",IF(NOT(ISNUMBER(E94)),TRUE,OR(E94&lt;0,E94&gt;999999999,ROUND(E94,3)&lt;&gt;E94))),"Invalid previous reading",IF(IF(NOT(ISNUMBER(F94)),TRUE,OR(F94&lt;0,F94&gt;999999999,ROUND(F94,3)&lt;&gt;F94)),"Invalid last service",IF(AND(E94&lt;&gt;"",D94&lt;E94),"Decreased reading",IF(F94&gt;D94,"Last service above current","")))))))))))))</x:f>
      </x:c>
      <x:c r="L94" s="6" t="str">
        <x:f>IF(AND(NOT(COUNTA(A94:F94)=0),K94=""),INDEX('Rules'!$C$7:$C$26,MATCH(SUBSTITUTE(SUBSTITUTE(SUBSTITUTE(SUBSTITUTE("type:"&amp;B94,"%","%25"),"~","%7E"),"*","%2A"),"?","%3F"),'Rules'!$G$7:$G$26,0)),"")</x:f>
      </x:c>
      <x:c r="M94" s="6" t="str">
        <x:f>IF(AND(NOT(COUNTA(A94:F94)=0),K94=""),INDEX('Rules'!$D$7:$D$26,MATCH(SUBSTITUTE(SUBSTITUTE(SUBSTITUTE(SUBSTITUTE("type:"&amp;B94,"%","%25"),"~","%7E"),"*","%2A"),"?","%3F"),'Rules'!$G$7:$G$26,0)),"")</x:f>
      </x:c>
      <x:c r="N94" s="5" t="str">
        <x:f>IF(COUNTA(A94:F94)=0,"",SUBSTITUTE(SUBSTITUTE(SUBSTITUTE(SUBSTITUTE("id:"&amp;A94,"%","%25"),"~","%7E"),"*","%2A"),"?","%3F"))</x:f>
      </x:c>
    </x:row>
    <x:row r="95" ht="22" customHeight="1">
      <x:c r="A95" s="3"/>
      <x:c r="B95" s="3"/>
      <x:c r="C95" s="3"/>
      <x:c r="D95" s="4"/>
      <x:c r="E95" s="4"/>
      <x:c r="F95" s="4"/>
      <x:c r="G95" s="5" t="str">
        <x:f>IF(COUNTA(A95:F95)=0,"",IF(K95&lt;&gt;"","Review",IF(I95&lt;0,"Overdue",IF(I95=0,"Due now",IF(I95&lt;=M95,"Due soon","Not due")))))</x:f>
      </x:c>
      <x:c r="H95" s="5" t="str">
        <x:f>IF(OR(COUNTA(A95:F95)=0,COUNTIFS('Rules'!$G$7:$G$26,"="&amp;(SUBSTITUTE(SUBSTITUTE(SUBSTITUTE(SUBSTITUTE("type:"&amp;B95,"%","%25"),"~","%7E"),"*","%2A"),"?","%3F")))&lt;&gt;1),"",IF(OR(INDEX('Rules'!$B$7:$B$26,MATCH(SUBSTITUTE(SUBSTITUTE(SUBSTITUTE(SUBSTITUTE("type:"&amp;B95,"%","%25"),"~","%7E"),"*","%2A"),"?","%3F"),'Rules'!$G$7:$G$26,0))="hours",INDEX('Rules'!$B$7:$B$26,MATCH(SUBSTITUTE(SUBSTITUTE(SUBSTITUTE(SUBSTITUTE("type:"&amp;B95,"%","%25"),"~","%7E"),"*","%2A"),"?","%3F"),'Rules'!$G$7:$G$26,0))="km"),INDEX('Rules'!$B$7:$B$26,MATCH(SUBSTITUTE(SUBSTITUTE(SUBSTITUTE(SUBSTITUTE("type:"&amp;B95,"%","%25"),"~","%7E"),"*","%2A"),"?","%3F"),'Rules'!$G$7:$G$26,0)),""))</x:f>
      </x:c>
      <x:c r="I95" s="6" t="str">
        <x:f>IF(AND(NOT(COUNTA(A95:F95)=0),K95=""),ROUND(J95-D95,3),"")</x:f>
      </x:c>
      <x:c r="J95" s="6" t="str">
        <x:f>IF(AND(NOT(COUNTA(A95:F95)=0),K95=""),ROUND(F95+L95,3),"")</x:f>
      </x:c>
      <x:c r="K95" s="5" t="str">
        <x:f>IF(COUNTA(A95:F95)=0,"",IF(A95="","Missing equipment ID",IF(COUNTIFS($N$8:$N$2007,"="&amp;N95)&gt;1,"Duplicate equipment ID",IF(B95="","Missing type",IF(COUNTIFS('Rules'!$G$7:$G$26,"="&amp;(SUBSTITUTE(SUBSTITUTE(SUBSTITUTE(SUBSTITUTE("type:"&amp;B95,"%","%25"),"~","%7E"),"*","%2A"),"?","%3F")))=0,"Unknown type",IF(COUNTIFS('Rules'!$G$7:$G$26,"="&amp;(SUBSTITUTE(SUBSTITUTE(SUBSTITUTE(SUBSTITUTE("type:"&amp;B95,"%","%25"),"~","%7E"),"*","%2A"),"?","%3F")))&gt;1,"Duplicate type",IF(INDEX('Rules'!$F$7:$F$26,MATCH(SUBSTITUTE(SUBSTITUTE(SUBSTITUTE(SUBSTITUTE("type:"&amp;B95,"%","%25"),"~","%7E"),"*","%2A"),"?","%3F"),'Rules'!$G$7:$G$26,0))&lt;&gt;"",INDEX('Rules'!$F$7:$F$26,MATCH(SUBSTITUTE(SUBSTITUTE(SUBSTITUTE(SUBSTITUTE("type:"&amp;B95,"%","%25"),"~","%7E"),"*","%2A"),"?","%3F"),'Rules'!$G$7:$G$26,0)),IF(AND(C95&lt;&gt;"",C95&lt;&gt;INDEX('Rules'!$B$7:$B$26,MATCH(SUBSTITUTE(SUBSTITUTE(SUBSTITUTE(SUBSTITUTE("type:"&amp;B95,"%","%25"),"~","%7E"),"*","%2A"),"?","%3F"),'Rules'!$G$7:$G$26,0))),"Unit mismatch",IF(IF(NOT(ISNUMBER(D95)),TRUE,OR(D95&lt;0,D95&gt;999999999,ROUND(D95,3)&lt;&gt;D95)),"Invalid current reading",IF(AND(E95&lt;&gt;"",IF(NOT(ISNUMBER(E95)),TRUE,OR(E95&lt;0,E95&gt;999999999,ROUND(E95,3)&lt;&gt;E95))),"Invalid previous reading",IF(IF(NOT(ISNUMBER(F95)),TRUE,OR(F95&lt;0,F95&gt;999999999,ROUND(F95,3)&lt;&gt;F95)),"Invalid last service",IF(AND(E95&lt;&gt;"",D95&lt;E95),"Decreased reading",IF(F95&gt;D95,"Last service above current","")))))))))))))</x:f>
      </x:c>
      <x:c r="L95" s="6" t="str">
        <x:f>IF(AND(NOT(COUNTA(A95:F95)=0),K95=""),INDEX('Rules'!$C$7:$C$26,MATCH(SUBSTITUTE(SUBSTITUTE(SUBSTITUTE(SUBSTITUTE("type:"&amp;B95,"%","%25"),"~","%7E"),"*","%2A"),"?","%3F"),'Rules'!$G$7:$G$26,0)),"")</x:f>
      </x:c>
      <x:c r="M95" s="6" t="str">
        <x:f>IF(AND(NOT(COUNTA(A95:F95)=0),K95=""),INDEX('Rules'!$D$7:$D$26,MATCH(SUBSTITUTE(SUBSTITUTE(SUBSTITUTE(SUBSTITUTE("type:"&amp;B95,"%","%25"),"~","%7E"),"*","%2A"),"?","%3F"),'Rules'!$G$7:$G$26,0)),"")</x:f>
      </x:c>
      <x:c r="N95" s="5" t="str">
        <x:f>IF(COUNTA(A95:F95)=0,"",SUBSTITUTE(SUBSTITUTE(SUBSTITUTE(SUBSTITUTE("id:"&amp;A95,"%","%25"),"~","%7E"),"*","%2A"),"?","%3F"))</x:f>
      </x:c>
    </x:row>
    <x:row r="96" ht="22" customHeight="1">
      <x:c r="A96" s="3"/>
      <x:c r="B96" s="3"/>
      <x:c r="C96" s="3"/>
      <x:c r="D96" s="4"/>
      <x:c r="E96" s="4"/>
      <x:c r="F96" s="4"/>
      <x:c r="G96" s="5" t="str">
        <x:f>IF(COUNTA(A96:F96)=0,"",IF(K96&lt;&gt;"","Review",IF(I96&lt;0,"Overdue",IF(I96=0,"Due now",IF(I96&lt;=M96,"Due soon","Not due")))))</x:f>
      </x:c>
      <x:c r="H96" s="5" t="str">
        <x:f>IF(OR(COUNTA(A96:F96)=0,COUNTIFS('Rules'!$G$7:$G$26,"="&amp;(SUBSTITUTE(SUBSTITUTE(SUBSTITUTE(SUBSTITUTE("type:"&amp;B96,"%","%25"),"~","%7E"),"*","%2A"),"?","%3F")))&lt;&gt;1),"",IF(OR(INDEX('Rules'!$B$7:$B$26,MATCH(SUBSTITUTE(SUBSTITUTE(SUBSTITUTE(SUBSTITUTE("type:"&amp;B96,"%","%25"),"~","%7E"),"*","%2A"),"?","%3F"),'Rules'!$G$7:$G$26,0))="hours",INDEX('Rules'!$B$7:$B$26,MATCH(SUBSTITUTE(SUBSTITUTE(SUBSTITUTE(SUBSTITUTE("type:"&amp;B96,"%","%25"),"~","%7E"),"*","%2A"),"?","%3F"),'Rules'!$G$7:$G$26,0))="km"),INDEX('Rules'!$B$7:$B$26,MATCH(SUBSTITUTE(SUBSTITUTE(SUBSTITUTE(SUBSTITUTE("type:"&amp;B96,"%","%25"),"~","%7E"),"*","%2A"),"?","%3F"),'Rules'!$G$7:$G$26,0)),""))</x:f>
      </x:c>
      <x:c r="I96" s="6" t="str">
        <x:f>IF(AND(NOT(COUNTA(A96:F96)=0),K96=""),ROUND(J96-D96,3),"")</x:f>
      </x:c>
      <x:c r="J96" s="6" t="str">
        <x:f>IF(AND(NOT(COUNTA(A96:F96)=0),K96=""),ROUND(F96+L96,3),"")</x:f>
      </x:c>
      <x:c r="K96" s="5" t="str">
        <x:f>IF(COUNTA(A96:F96)=0,"",IF(A96="","Missing equipment ID",IF(COUNTIFS($N$8:$N$2007,"="&amp;N96)&gt;1,"Duplicate equipment ID",IF(B96="","Missing type",IF(COUNTIFS('Rules'!$G$7:$G$26,"="&amp;(SUBSTITUTE(SUBSTITUTE(SUBSTITUTE(SUBSTITUTE("type:"&amp;B96,"%","%25"),"~","%7E"),"*","%2A"),"?","%3F")))=0,"Unknown type",IF(COUNTIFS('Rules'!$G$7:$G$26,"="&amp;(SUBSTITUTE(SUBSTITUTE(SUBSTITUTE(SUBSTITUTE("type:"&amp;B96,"%","%25"),"~","%7E"),"*","%2A"),"?","%3F")))&gt;1,"Duplicate type",IF(INDEX('Rules'!$F$7:$F$26,MATCH(SUBSTITUTE(SUBSTITUTE(SUBSTITUTE(SUBSTITUTE("type:"&amp;B96,"%","%25"),"~","%7E"),"*","%2A"),"?","%3F"),'Rules'!$G$7:$G$26,0))&lt;&gt;"",INDEX('Rules'!$F$7:$F$26,MATCH(SUBSTITUTE(SUBSTITUTE(SUBSTITUTE(SUBSTITUTE("type:"&amp;B96,"%","%25"),"~","%7E"),"*","%2A"),"?","%3F"),'Rules'!$G$7:$G$26,0)),IF(AND(C96&lt;&gt;"",C96&lt;&gt;INDEX('Rules'!$B$7:$B$26,MATCH(SUBSTITUTE(SUBSTITUTE(SUBSTITUTE(SUBSTITUTE("type:"&amp;B96,"%","%25"),"~","%7E"),"*","%2A"),"?","%3F"),'Rules'!$G$7:$G$26,0))),"Unit mismatch",IF(IF(NOT(ISNUMBER(D96)),TRUE,OR(D96&lt;0,D96&gt;999999999,ROUND(D96,3)&lt;&gt;D96)),"Invalid current reading",IF(AND(E96&lt;&gt;"",IF(NOT(ISNUMBER(E96)),TRUE,OR(E96&lt;0,E96&gt;999999999,ROUND(E96,3)&lt;&gt;E96))),"Invalid previous reading",IF(IF(NOT(ISNUMBER(F96)),TRUE,OR(F96&lt;0,F96&gt;999999999,ROUND(F96,3)&lt;&gt;F96)),"Invalid last service",IF(AND(E96&lt;&gt;"",D96&lt;E96),"Decreased reading",IF(F96&gt;D96,"Last service above current","")))))))))))))</x:f>
      </x:c>
      <x:c r="L96" s="6" t="str">
        <x:f>IF(AND(NOT(COUNTA(A96:F96)=0),K96=""),INDEX('Rules'!$C$7:$C$26,MATCH(SUBSTITUTE(SUBSTITUTE(SUBSTITUTE(SUBSTITUTE("type:"&amp;B96,"%","%25"),"~","%7E"),"*","%2A"),"?","%3F"),'Rules'!$G$7:$G$26,0)),"")</x:f>
      </x:c>
      <x:c r="M96" s="6" t="str">
        <x:f>IF(AND(NOT(COUNTA(A96:F96)=0),K96=""),INDEX('Rules'!$D$7:$D$26,MATCH(SUBSTITUTE(SUBSTITUTE(SUBSTITUTE(SUBSTITUTE("type:"&amp;B96,"%","%25"),"~","%7E"),"*","%2A"),"?","%3F"),'Rules'!$G$7:$G$26,0)),"")</x:f>
      </x:c>
      <x:c r="N96" s="5" t="str">
        <x:f>IF(COUNTA(A96:F96)=0,"",SUBSTITUTE(SUBSTITUTE(SUBSTITUTE(SUBSTITUTE("id:"&amp;A96,"%","%25"),"~","%7E"),"*","%2A"),"?","%3F"))</x:f>
      </x:c>
    </x:row>
    <x:row r="97" ht="22" customHeight="1">
      <x:c r="A97" s="3"/>
      <x:c r="B97" s="3"/>
      <x:c r="C97" s="3"/>
      <x:c r="D97" s="4"/>
      <x:c r="E97" s="4"/>
      <x:c r="F97" s="4"/>
      <x:c r="G97" s="5" t="str">
        <x:f>IF(COUNTA(A97:F97)=0,"",IF(K97&lt;&gt;"","Review",IF(I97&lt;0,"Overdue",IF(I97=0,"Due now",IF(I97&lt;=M97,"Due soon","Not due")))))</x:f>
      </x:c>
      <x:c r="H97" s="5" t="str">
        <x:f>IF(OR(COUNTA(A97:F97)=0,COUNTIFS('Rules'!$G$7:$G$26,"="&amp;(SUBSTITUTE(SUBSTITUTE(SUBSTITUTE(SUBSTITUTE("type:"&amp;B97,"%","%25"),"~","%7E"),"*","%2A"),"?","%3F")))&lt;&gt;1),"",IF(OR(INDEX('Rules'!$B$7:$B$26,MATCH(SUBSTITUTE(SUBSTITUTE(SUBSTITUTE(SUBSTITUTE("type:"&amp;B97,"%","%25"),"~","%7E"),"*","%2A"),"?","%3F"),'Rules'!$G$7:$G$26,0))="hours",INDEX('Rules'!$B$7:$B$26,MATCH(SUBSTITUTE(SUBSTITUTE(SUBSTITUTE(SUBSTITUTE("type:"&amp;B97,"%","%25"),"~","%7E"),"*","%2A"),"?","%3F"),'Rules'!$G$7:$G$26,0))="km"),INDEX('Rules'!$B$7:$B$26,MATCH(SUBSTITUTE(SUBSTITUTE(SUBSTITUTE(SUBSTITUTE("type:"&amp;B97,"%","%25"),"~","%7E"),"*","%2A"),"?","%3F"),'Rules'!$G$7:$G$26,0)),""))</x:f>
      </x:c>
      <x:c r="I97" s="6" t="str">
        <x:f>IF(AND(NOT(COUNTA(A97:F97)=0),K97=""),ROUND(J97-D97,3),"")</x:f>
      </x:c>
      <x:c r="J97" s="6" t="str">
        <x:f>IF(AND(NOT(COUNTA(A97:F97)=0),K97=""),ROUND(F97+L97,3),"")</x:f>
      </x:c>
      <x:c r="K97" s="5" t="str">
        <x:f>IF(COUNTA(A97:F97)=0,"",IF(A97="","Missing equipment ID",IF(COUNTIFS($N$8:$N$2007,"="&amp;N97)&gt;1,"Duplicate equipment ID",IF(B97="","Missing type",IF(COUNTIFS('Rules'!$G$7:$G$26,"="&amp;(SUBSTITUTE(SUBSTITUTE(SUBSTITUTE(SUBSTITUTE("type:"&amp;B97,"%","%25"),"~","%7E"),"*","%2A"),"?","%3F")))=0,"Unknown type",IF(COUNTIFS('Rules'!$G$7:$G$26,"="&amp;(SUBSTITUTE(SUBSTITUTE(SUBSTITUTE(SUBSTITUTE("type:"&amp;B97,"%","%25"),"~","%7E"),"*","%2A"),"?","%3F")))&gt;1,"Duplicate type",IF(INDEX('Rules'!$F$7:$F$26,MATCH(SUBSTITUTE(SUBSTITUTE(SUBSTITUTE(SUBSTITUTE("type:"&amp;B97,"%","%25"),"~","%7E"),"*","%2A"),"?","%3F"),'Rules'!$G$7:$G$26,0))&lt;&gt;"",INDEX('Rules'!$F$7:$F$26,MATCH(SUBSTITUTE(SUBSTITUTE(SUBSTITUTE(SUBSTITUTE("type:"&amp;B97,"%","%25"),"~","%7E"),"*","%2A"),"?","%3F"),'Rules'!$G$7:$G$26,0)),IF(AND(C97&lt;&gt;"",C97&lt;&gt;INDEX('Rules'!$B$7:$B$26,MATCH(SUBSTITUTE(SUBSTITUTE(SUBSTITUTE(SUBSTITUTE("type:"&amp;B97,"%","%25"),"~","%7E"),"*","%2A"),"?","%3F"),'Rules'!$G$7:$G$26,0))),"Unit mismatch",IF(IF(NOT(ISNUMBER(D97)),TRUE,OR(D97&lt;0,D97&gt;999999999,ROUND(D97,3)&lt;&gt;D97)),"Invalid current reading",IF(AND(E97&lt;&gt;"",IF(NOT(ISNUMBER(E97)),TRUE,OR(E97&lt;0,E97&gt;999999999,ROUND(E97,3)&lt;&gt;E97))),"Invalid previous reading",IF(IF(NOT(ISNUMBER(F97)),TRUE,OR(F97&lt;0,F97&gt;999999999,ROUND(F97,3)&lt;&gt;F97)),"Invalid last service",IF(AND(E97&lt;&gt;"",D97&lt;E97),"Decreased reading",IF(F97&gt;D97,"Last service above current","")))))))))))))</x:f>
      </x:c>
      <x:c r="L97" s="6" t="str">
        <x:f>IF(AND(NOT(COUNTA(A97:F97)=0),K97=""),INDEX('Rules'!$C$7:$C$26,MATCH(SUBSTITUTE(SUBSTITUTE(SUBSTITUTE(SUBSTITUTE("type:"&amp;B97,"%","%25"),"~","%7E"),"*","%2A"),"?","%3F"),'Rules'!$G$7:$G$26,0)),"")</x:f>
      </x:c>
      <x:c r="M97" s="6" t="str">
        <x:f>IF(AND(NOT(COUNTA(A97:F97)=0),K97=""),INDEX('Rules'!$D$7:$D$26,MATCH(SUBSTITUTE(SUBSTITUTE(SUBSTITUTE(SUBSTITUTE("type:"&amp;B97,"%","%25"),"~","%7E"),"*","%2A"),"?","%3F"),'Rules'!$G$7:$G$26,0)),"")</x:f>
      </x:c>
      <x:c r="N97" s="5" t="str">
        <x:f>IF(COUNTA(A97:F97)=0,"",SUBSTITUTE(SUBSTITUTE(SUBSTITUTE(SUBSTITUTE("id:"&amp;A97,"%","%25"),"~","%7E"),"*","%2A"),"?","%3F"))</x:f>
      </x:c>
    </x:row>
    <x:row r="98" ht="22" customHeight="1">
      <x:c r="A98" s="3"/>
      <x:c r="B98" s="3"/>
      <x:c r="C98" s="3"/>
      <x:c r="D98" s="4"/>
      <x:c r="E98" s="4"/>
      <x:c r="F98" s="4"/>
      <x:c r="G98" s="5" t="str">
        <x:f>IF(COUNTA(A98:F98)=0,"",IF(K98&lt;&gt;"","Review",IF(I98&lt;0,"Overdue",IF(I98=0,"Due now",IF(I98&lt;=M98,"Due soon","Not due")))))</x:f>
      </x:c>
      <x:c r="H98" s="5" t="str">
        <x:f>IF(OR(COUNTA(A98:F98)=0,COUNTIFS('Rules'!$G$7:$G$26,"="&amp;(SUBSTITUTE(SUBSTITUTE(SUBSTITUTE(SUBSTITUTE("type:"&amp;B98,"%","%25"),"~","%7E"),"*","%2A"),"?","%3F")))&lt;&gt;1),"",IF(OR(INDEX('Rules'!$B$7:$B$26,MATCH(SUBSTITUTE(SUBSTITUTE(SUBSTITUTE(SUBSTITUTE("type:"&amp;B98,"%","%25"),"~","%7E"),"*","%2A"),"?","%3F"),'Rules'!$G$7:$G$26,0))="hours",INDEX('Rules'!$B$7:$B$26,MATCH(SUBSTITUTE(SUBSTITUTE(SUBSTITUTE(SUBSTITUTE("type:"&amp;B98,"%","%25"),"~","%7E"),"*","%2A"),"?","%3F"),'Rules'!$G$7:$G$26,0))="km"),INDEX('Rules'!$B$7:$B$26,MATCH(SUBSTITUTE(SUBSTITUTE(SUBSTITUTE(SUBSTITUTE("type:"&amp;B98,"%","%25"),"~","%7E"),"*","%2A"),"?","%3F"),'Rules'!$G$7:$G$26,0)),""))</x:f>
      </x:c>
      <x:c r="I98" s="6" t="str">
        <x:f>IF(AND(NOT(COUNTA(A98:F98)=0),K98=""),ROUND(J98-D98,3),"")</x:f>
      </x:c>
      <x:c r="J98" s="6" t="str">
        <x:f>IF(AND(NOT(COUNTA(A98:F98)=0),K98=""),ROUND(F98+L98,3),"")</x:f>
      </x:c>
      <x:c r="K98" s="5" t="str">
        <x:f>IF(COUNTA(A98:F98)=0,"",IF(A98="","Missing equipment ID",IF(COUNTIFS($N$8:$N$2007,"="&amp;N98)&gt;1,"Duplicate equipment ID",IF(B98="","Missing type",IF(COUNTIFS('Rules'!$G$7:$G$26,"="&amp;(SUBSTITUTE(SUBSTITUTE(SUBSTITUTE(SUBSTITUTE("type:"&amp;B98,"%","%25"),"~","%7E"),"*","%2A"),"?","%3F")))=0,"Unknown type",IF(COUNTIFS('Rules'!$G$7:$G$26,"="&amp;(SUBSTITUTE(SUBSTITUTE(SUBSTITUTE(SUBSTITUTE("type:"&amp;B98,"%","%25"),"~","%7E"),"*","%2A"),"?","%3F")))&gt;1,"Duplicate type",IF(INDEX('Rules'!$F$7:$F$26,MATCH(SUBSTITUTE(SUBSTITUTE(SUBSTITUTE(SUBSTITUTE("type:"&amp;B98,"%","%25"),"~","%7E"),"*","%2A"),"?","%3F"),'Rules'!$G$7:$G$26,0))&lt;&gt;"",INDEX('Rules'!$F$7:$F$26,MATCH(SUBSTITUTE(SUBSTITUTE(SUBSTITUTE(SUBSTITUTE("type:"&amp;B98,"%","%25"),"~","%7E"),"*","%2A"),"?","%3F"),'Rules'!$G$7:$G$26,0)),IF(AND(C98&lt;&gt;"",C98&lt;&gt;INDEX('Rules'!$B$7:$B$26,MATCH(SUBSTITUTE(SUBSTITUTE(SUBSTITUTE(SUBSTITUTE("type:"&amp;B98,"%","%25"),"~","%7E"),"*","%2A"),"?","%3F"),'Rules'!$G$7:$G$26,0))),"Unit mismatch",IF(IF(NOT(ISNUMBER(D98)),TRUE,OR(D98&lt;0,D98&gt;999999999,ROUND(D98,3)&lt;&gt;D98)),"Invalid current reading",IF(AND(E98&lt;&gt;"",IF(NOT(ISNUMBER(E98)),TRUE,OR(E98&lt;0,E98&gt;999999999,ROUND(E98,3)&lt;&gt;E98))),"Invalid previous reading",IF(IF(NOT(ISNUMBER(F98)),TRUE,OR(F98&lt;0,F98&gt;999999999,ROUND(F98,3)&lt;&gt;F98)),"Invalid last service",IF(AND(E98&lt;&gt;"",D98&lt;E98),"Decreased reading",IF(F98&gt;D98,"Last service above current","")))))))))))))</x:f>
      </x:c>
      <x:c r="L98" s="6" t="str">
        <x:f>IF(AND(NOT(COUNTA(A98:F98)=0),K98=""),INDEX('Rules'!$C$7:$C$26,MATCH(SUBSTITUTE(SUBSTITUTE(SUBSTITUTE(SUBSTITUTE("type:"&amp;B98,"%","%25"),"~","%7E"),"*","%2A"),"?","%3F"),'Rules'!$G$7:$G$26,0)),"")</x:f>
      </x:c>
      <x:c r="M98" s="6" t="str">
        <x:f>IF(AND(NOT(COUNTA(A98:F98)=0),K98=""),INDEX('Rules'!$D$7:$D$26,MATCH(SUBSTITUTE(SUBSTITUTE(SUBSTITUTE(SUBSTITUTE("type:"&amp;B98,"%","%25"),"~","%7E"),"*","%2A"),"?","%3F"),'Rules'!$G$7:$G$26,0)),"")</x:f>
      </x:c>
      <x:c r="N98" s="5" t="str">
        <x:f>IF(COUNTA(A98:F98)=0,"",SUBSTITUTE(SUBSTITUTE(SUBSTITUTE(SUBSTITUTE("id:"&amp;A98,"%","%25"),"~","%7E"),"*","%2A"),"?","%3F"))</x:f>
      </x:c>
    </x:row>
    <x:row r="99" ht="22" customHeight="1">
      <x:c r="A99" s="3"/>
      <x:c r="B99" s="3"/>
      <x:c r="C99" s="3"/>
      <x:c r="D99" s="4"/>
      <x:c r="E99" s="4"/>
      <x:c r="F99" s="4"/>
      <x:c r="G99" s="5" t="str">
        <x:f>IF(COUNTA(A99:F99)=0,"",IF(K99&lt;&gt;"","Review",IF(I99&lt;0,"Overdue",IF(I99=0,"Due now",IF(I99&lt;=M99,"Due soon","Not due")))))</x:f>
      </x:c>
      <x:c r="H99" s="5" t="str">
        <x:f>IF(OR(COUNTA(A99:F99)=0,COUNTIFS('Rules'!$G$7:$G$26,"="&amp;(SUBSTITUTE(SUBSTITUTE(SUBSTITUTE(SUBSTITUTE("type:"&amp;B99,"%","%25"),"~","%7E"),"*","%2A"),"?","%3F")))&lt;&gt;1),"",IF(OR(INDEX('Rules'!$B$7:$B$26,MATCH(SUBSTITUTE(SUBSTITUTE(SUBSTITUTE(SUBSTITUTE("type:"&amp;B99,"%","%25"),"~","%7E"),"*","%2A"),"?","%3F"),'Rules'!$G$7:$G$26,0))="hours",INDEX('Rules'!$B$7:$B$26,MATCH(SUBSTITUTE(SUBSTITUTE(SUBSTITUTE(SUBSTITUTE("type:"&amp;B99,"%","%25"),"~","%7E"),"*","%2A"),"?","%3F"),'Rules'!$G$7:$G$26,0))="km"),INDEX('Rules'!$B$7:$B$26,MATCH(SUBSTITUTE(SUBSTITUTE(SUBSTITUTE(SUBSTITUTE("type:"&amp;B99,"%","%25"),"~","%7E"),"*","%2A"),"?","%3F"),'Rules'!$G$7:$G$26,0)),""))</x:f>
      </x:c>
      <x:c r="I99" s="6" t="str">
        <x:f>IF(AND(NOT(COUNTA(A99:F99)=0),K99=""),ROUND(J99-D99,3),"")</x:f>
      </x:c>
      <x:c r="J99" s="6" t="str">
        <x:f>IF(AND(NOT(COUNTA(A99:F99)=0),K99=""),ROUND(F99+L99,3),"")</x:f>
      </x:c>
      <x:c r="K99" s="5" t="str">
        <x:f>IF(COUNTA(A99:F99)=0,"",IF(A99="","Missing equipment ID",IF(COUNTIFS($N$8:$N$2007,"="&amp;N99)&gt;1,"Duplicate equipment ID",IF(B99="","Missing type",IF(COUNTIFS('Rules'!$G$7:$G$26,"="&amp;(SUBSTITUTE(SUBSTITUTE(SUBSTITUTE(SUBSTITUTE("type:"&amp;B99,"%","%25"),"~","%7E"),"*","%2A"),"?","%3F")))=0,"Unknown type",IF(COUNTIFS('Rules'!$G$7:$G$26,"="&amp;(SUBSTITUTE(SUBSTITUTE(SUBSTITUTE(SUBSTITUTE("type:"&amp;B99,"%","%25"),"~","%7E"),"*","%2A"),"?","%3F")))&gt;1,"Duplicate type",IF(INDEX('Rules'!$F$7:$F$26,MATCH(SUBSTITUTE(SUBSTITUTE(SUBSTITUTE(SUBSTITUTE("type:"&amp;B99,"%","%25"),"~","%7E"),"*","%2A"),"?","%3F"),'Rules'!$G$7:$G$26,0))&lt;&gt;"",INDEX('Rules'!$F$7:$F$26,MATCH(SUBSTITUTE(SUBSTITUTE(SUBSTITUTE(SUBSTITUTE("type:"&amp;B99,"%","%25"),"~","%7E"),"*","%2A"),"?","%3F"),'Rules'!$G$7:$G$26,0)),IF(AND(C99&lt;&gt;"",C99&lt;&gt;INDEX('Rules'!$B$7:$B$26,MATCH(SUBSTITUTE(SUBSTITUTE(SUBSTITUTE(SUBSTITUTE("type:"&amp;B99,"%","%25"),"~","%7E"),"*","%2A"),"?","%3F"),'Rules'!$G$7:$G$26,0))),"Unit mismatch",IF(IF(NOT(ISNUMBER(D99)),TRUE,OR(D99&lt;0,D99&gt;999999999,ROUND(D99,3)&lt;&gt;D99)),"Invalid current reading",IF(AND(E99&lt;&gt;"",IF(NOT(ISNUMBER(E99)),TRUE,OR(E99&lt;0,E99&gt;999999999,ROUND(E99,3)&lt;&gt;E99))),"Invalid previous reading",IF(IF(NOT(ISNUMBER(F99)),TRUE,OR(F99&lt;0,F99&gt;999999999,ROUND(F99,3)&lt;&gt;F99)),"Invalid last service",IF(AND(E99&lt;&gt;"",D99&lt;E99),"Decreased reading",IF(F99&gt;D99,"Last service above current","")))))))))))))</x:f>
      </x:c>
      <x:c r="L99" s="6" t="str">
        <x:f>IF(AND(NOT(COUNTA(A99:F99)=0),K99=""),INDEX('Rules'!$C$7:$C$26,MATCH(SUBSTITUTE(SUBSTITUTE(SUBSTITUTE(SUBSTITUTE("type:"&amp;B99,"%","%25"),"~","%7E"),"*","%2A"),"?","%3F"),'Rules'!$G$7:$G$26,0)),"")</x:f>
      </x:c>
      <x:c r="M99" s="6" t="str">
        <x:f>IF(AND(NOT(COUNTA(A99:F99)=0),K99=""),INDEX('Rules'!$D$7:$D$26,MATCH(SUBSTITUTE(SUBSTITUTE(SUBSTITUTE(SUBSTITUTE("type:"&amp;B99,"%","%25"),"~","%7E"),"*","%2A"),"?","%3F"),'Rules'!$G$7:$G$26,0)),"")</x:f>
      </x:c>
      <x:c r="N99" s="5" t="str">
        <x:f>IF(COUNTA(A99:F99)=0,"",SUBSTITUTE(SUBSTITUTE(SUBSTITUTE(SUBSTITUTE("id:"&amp;A99,"%","%25"),"~","%7E"),"*","%2A"),"?","%3F"))</x:f>
      </x:c>
    </x:row>
    <x:row r="100" ht="22" customHeight="1">
      <x:c r="A100" s="3"/>
      <x:c r="B100" s="3"/>
      <x:c r="C100" s="3"/>
      <x:c r="D100" s="4"/>
      <x:c r="E100" s="4"/>
      <x:c r="F100" s="4"/>
      <x:c r="G100" s="5" t="str">
        <x:f>IF(COUNTA(A100:F100)=0,"",IF(K100&lt;&gt;"","Review",IF(I100&lt;0,"Overdue",IF(I100=0,"Due now",IF(I100&lt;=M100,"Due soon","Not due")))))</x:f>
      </x:c>
      <x:c r="H100" s="5" t="str">
        <x:f>IF(OR(COUNTA(A100:F100)=0,COUNTIFS('Rules'!$G$7:$G$26,"="&amp;(SUBSTITUTE(SUBSTITUTE(SUBSTITUTE(SUBSTITUTE("type:"&amp;B100,"%","%25"),"~","%7E"),"*","%2A"),"?","%3F")))&lt;&gt;1),"",IF(OR(INDEX('Rules'!$B$7:$B$26,MATCH(SUBSTITUTE(SUBSTITUTE(SUBSTITUTE(SUBSTITUTE("type:"&amp;B100,"%","%25"),"~","%7E"),"*","%2A"),"?","%3F"),'Rules'!$G$7:$G$26,0))="hours",INDEX('Rules'!$B$7:$B$26,MATCH(SUBSTITUTE(SUBSTITUTE(SUBSTITUTE(SUBSTITUTE("type:"&amp;B100,"%","%25"),"~","%7E"),"*","%2A"),"?","%3F"),'Rules'!$G$7:$G$26,0))="km"),INDEX('Rules'!$B$7:$B$26,MATCH(SUBSTITUTE(SUBSTITUTE(SUBSTITUTE(SUBSTITUTE("type:"&amp;B100,"%","%25"),"~","%7E"),"*","%2A"),"?","%3F"),'Rules'!$G$7:$G$26,0)),""))</x:f>
      </x:c>
      <x:c r="I100" s="6" t="str">
        <x:f>IF(AND(NOT(COUNTA(A100:F100)=0),K100=""),ROUND(J100-D100,3),"")</x:f>
      </x:c>
      <x:c r="J100" s="6" t="str">
        <x:f>IF(AND(NOT(COUNTA(A100:F100)=0),K100=""),ROUND(F100+L100,3),"")</x:f>
      </x:c>
      <x:c r="K100" s="5" t="str">
        <x:f>IF(COUNTA(A100:F100)=0,"",IF(A100="","Missing equipment ID",IF(COUNTIFS($N$8:$N$2007,"="&amp;N100)&gt;1,"Duplicate equipment ID",IF(B100="","Missing type",IF(COUNTIFS('Rules'!$G$7:$G$26,"="&amp;(SUBSTITUTE(SUBSTITUTE(SUBSTITUTE(SUBSTITUTE("type:"&amp;B100,"%","%25"),"~","%7E"),"*","%2A"),"?","%3F")))=0,"Unknown type",IF(COUNTIFS('Rules'!$G$7:$G$26,"="&amp;(SUBSTITUTE(SUBSTITUTE(SUBSTITUTE(SUBSTITUTE("type:"&amp;B100,"%","%25"),"~","%7E"),"*","%2A"),"?","%3F")))&gt;1,"Duplicate type",IF(INDEX('Rules'!$F$7:$F$26,MATCH(SUBSTITUTE(SUBSTITUTE(SUBSTITUTE(SUBSTITUTE("type:"&amp;B100,"%","%25"),"~","%7E"),"*","%2A"),"?","%3F"),'Rules'!$G$7:$G$26,0))&lt;&gt;"",INDEX('Rules'!$F$7:$F$26,MATCH(SUBSTITUTE(SUBSTITUTE(SUBSTITUTE(SUBSTITUTE("type:"&amp;B100,"%","%25"),"~","%7E"),"*","%2A"),"?","%3F"),'Rules'!$G$7:$G$26,0)),IF(AND(C100&lt;&gt;"",C100&lt;&gt;INDEX('Rules'!$B$7:$B$26,MATCH(SUBSTITUTE(SUBSTITUTE(SUBSTITUTE(SUBSTITUTE("type:"&amp;B100,"%","%25"),"~","%7E"),"*","%2A"),"?","%3F"),'Rules'!$G$7:$G$26,0))),"Unit mismatch",IF(IF(NOT(ISNUMBER(D100)),TRUE,OR(D100&lt;0,D100&gt;999999999,ROUND(D100,3)&lt;&gt;D100)),"Invalid current reading",IF(AND(E100&lt;&gt;"",IF(NOT(ISNUMBER(E100)),TRUE,OR(E100&lt;0,E100&gt;999999999,ROUND(E100,3)&lt;&gt;E100))),"Invalid previous reading",IF(IF(NOT(ISNUMBER(F100)),TRUE,OR(F100&lt;0,F100&gt;999999999,ROUND(F100,3)&lt;&gt;F100)),"Invalid last service",IF(AND(E100&lt;&gt;"",D100&lt;E100),"Decreased reading",IF(F100&gt;D100,"Last service above current","")))))))))))))</x:f>
      </x:c>
      <x:c r="L100" s="6" t="str">
        <x:f>IF(AND(NOT(COUNTA(A100:F100)=0),K100=""),INDEX('Rules'!$C$7:$C$26,MATCH(SUBSTITUTE(SUBSTITUTE(SUBSTITUTE(SUBSTITUTE("type:"&amp;B100,"%","%25"),"~","%7E"),"*","%2A"),"?","%3F"),'Rules'!$G$7:$G$26,0)),"")</x:f>
      </x:c>
      <x:c r="M100" s="6" t="str">
        <x:f>IF(AND(NOT(COUNTA(A100:F100)=0),K100=""),INDEX('Rules'!$D$7:$D$26,MATCH(SUBSTITUTE(SUBSTITUTE(SUBSTITUTE(SUBSTITUTE("type:"&amp;B100,"%","%25"),"~","%7E"),"*","%2A"),"?","%3F"),'Rules'!$G$7:$G$26,0)),"")</x:f>
      </x:c>
      <x:c r="N100" s="5" t="str">
        <x:f>IF(COUNTA(A100:F100)=0,"",SUBSTITUTE(SUBSTITUTE(SUBSTITUTE(SUBSTITUTE("id:"&amp;A100,"%","%25"),"~","%7E"),"*","%2A"),"?","%3F"))</x:f>
      </x:c>
    </x:row>
    <x:row r="101" ht="22" customHeight="1">
      <x:c r="A101" s="3"/>
      <x:c r="B101" s="3"/>
      <x:c r="C101" s="3"/>
      <x:c r="D101" s="4"/>
      <x:c r="E101" s="4"/>
      <x:c r="F101" s="4"/>
      <x:c r="G101" s="5" t="str">
        <x:f>IF(COUNTA(A101:F101)=0,"",IF(K101&lt;&gt;"","Review",IF(I101&lt;0,"Overdue",IF(I101=0,"Due now",IF(I101&lt;=M101,"Due soon","Not due")))))</x:f>
      </x:c>
      <x:c r="H101" s="5" t="str">
        <x:f>IF(OR(COUNTA(A101:F101)=0,COUNTIFS('Rules'!$G$7:$G$26,"="&amp;(SUBSTITUTE(SUBSTITUTE(SUBSTITUTE(SUBSTITUTE("type:"&amp;B101,"%","%25"),"~","%7E"),"*","%2A"),"?","%3F")))&lt;&gt;1),"",IF(OR(INDEX('Rules'!$B$7:$B$26,MATCH(SUBSTITUTE(SUBSTITUTE(SUBSTITUTE(SUBSTITUTE("type:"&amp;B101,"%","%25"),"~","%7E"),"*","%2A"),"?","%3F"),'Rules'!$G$7:$G$26,0))="hours",INDEX('Rules'!$B$7:$B$26,MATCH(SUBSTITUTE(SUBSTITUTE(SUBSTITUTE(SUBSTITUTE("type:"&amp;B101,"%","%25"),"~","%7E"),"*","%2A"),"?","%3F"),'Rules'!$G$7:$G$26,0))="km"),INDEX('Rules'!$B$7:$B$26,MATCH(SUBSTITUTE(SUBSTITUTE(SUBSTITUTE(SUBSTITUTE("type:"&amp;B101,"%","%25"),"~","%7E"),"*","%2A"),"?","%3F"),'Rules'!$G$7:$G$26,0)),""))</x:f>
      </x:c>
      <x:c r="I101" s="6" t="str">
        <x:f>IF(AND(NOT(COUNTA(A101:F101)=0),K101=""),ROUND(J101-D101,3),"")</x:f>
      </x:c>
      <x:c r="J101" s="6" t="str">
        <x:f>IF(AND(NOT(COUNTA(A101:F101)=0),K101=""),ROUND(F101+L101,3),"")</x:f>
      </x:c>
      <x:c r="K101" s="5" t="str">
        <x:f>IF(COUNTA(A101:F101)=0,"",IF(A101="","Missing equipment ID",IF(COUNTIFS($N$8:$N$2007,"="&amp;N101)&gt;1,"Duplicate equipment ID",IF(B101="","Missing type",IF(COUNTIFS('Rules'!$G$7:$G$26,"="&amp;(SUBSTITUTE(SUBSTITUTE(SUBSTITUTE(SUBSTITUTE("type:"&amp;B101,"%","%25"),"~","%7E"),"*","%2A"),"?","%3F")))=0,"Unknown type",IF(COUNTIFS('Rules'!$G$7:$G$26,"="&amp;(SUBSTITUTE(SUBSTITUTE(SUBSTITUTE(SUBSTITUTE("type:"&amp;B101,"%","%25"),"~","%7E"),"*","%2A"),"?","%3F")))&gt;1,"Duplicate type",IF(INDEX('Rules'!$F$7:$F$26,MATCH(SUBSTITUTE(SUBSTITUTE(SUBSTITUTE(SUBSTITUTE("type:"&amp;B101,"%","%25"),"~","%7E"),"*","%2A"),"?","%3F"),'Rules'!$G$7:$G$26,0))&lt;&gt;"",INDEX('Rules'!$F$7:$F$26,MATCH(SUBSTITUTE(SUBSTITUTE(SUBSTITUTE(SUBSTITUTE("type:"&amp;B101,"%","%25"),"~","%7E"),"*","%2A"),"?","%3F"),'Rules'!$G$7:$G$26,0)),IF(AND(C101&lt;&gt;"",C101&lt;&gt;INDEX('Rules'!$B$7:$B$26,MATCH(SUBSTITUTE(SUBSTITUTE(SUBSTITUTE(SUBSTITUTE("type:"&amp;B101,"%","%25"),"~","%7E"),"*","%2A"),"?","%3F"),'Rules'!$G$7:$G$26,0))),"Unit mismatch",IF(IF(NOT(ISNUMBER(D101)),TRUE,OR(D101&lt;0,D101&gt;999999999,ROUND(D101,3)&lt;&gt;D101)),"Invalid current reading",IF(AND(E101&lt;&gt;"",IF(NOT(ISNUMBER(E101)),TRUE,OR(E101&lt;0,E101&gt;999999999,ROUND(E101,3)&lt;&gt;E101))),"Invalid previous reading",IF(IF(NOT(ISNUMBER(F101)),TRUE,OR(F101&lt;0,F101&gt;999999999,ROUND(F101,3)&lt;&gt;F101)),"Invalid last service",IF(AND(E101&lt;&gt;"",D101&lt;E101),"Decreased reading",IF(F101&gt;D101,"Last service above current","")))))))))))))</x:f>
      </x:c>
      <x:c r="L101" s="6" t="str">
        <x:f>IF(AND(NOT(COUNTA(A101:F101)=0),K101=""),INDEX('Rules'!$C$7:$C$26,MATCH(SUBSTITUTE(SUBSTITUTE(SUBSTITUTE(SUBSTITUTE("type:"&amp;B101,"%","%25"),"~","%7E"),"*","%2A"),"?","%3F"),'Rules'!$G$7:$G$26,0)),"")</x:f>
      </x:c>
      <x:c r="M101" s="6" t="str">
        <x:f>IF(AND(NOT(COUNTA(A101:F101)=0),K101=""),INDEX('Rules'!$D$7:$D$26,MATCH(SUBSTITUTE(SUBSTITUTE(SUBSTITUTE(SUBSTITUTE("type:"&amp;B101,"%","%25"),"~","%7E"),"*","%2A"),"?","%3F"),'Rules'!$G$7:$G$26,0)),"")</x:f>
      </x:c>
      <x:c r="N101" s="5" t="str">
        <x:f>IF(COUNTA(A101:F101)=0,"",SUBSTITUTE(SUBSTITUTE(SUBSTITUTE(SUBSTITUTE("id:"&amp;A101,"%","%25"),"~","%7E"),"*","%2A"),"?","%3F"))</x:f>
      </x:c>
    </x:row>
    <x:row r="102" ht="22" customHeight="1">
      <x:c r="A102" s="3"/>
      <x:c r="B102" s="3"/>
      <x:c r="C102" s="3"/>
      <x:c r="D102" s="4"/>
      <x:c r="E102" s="4"/>
      <x:c r="F102" s="4"/>
      <x:c r="G102" s="5" t="str">
        <x:f>IF(COUNTA(A102:F102)=0,"",IF(K102&lt;&gt;"","Review",IF(I102&lt;0,"Overdue",IF(I102=0,"Due now",IF(I102&lt;=M102,"Due soon","Not due")))))</x:f>
      </x:c>
      <x:c r="H102" s="5" t="str">
        <x:f>IF(OR(COUNTA(A102:F102)=0,COUNTIFS('Rules'!$G$7:$G$26,"="&amp;(SUBSTITUTE(SUBSTITUTE(SUBSTITUTE(SUBSTITUTE("type:"&amp;B102,"%","%25"),"~","%7E"),"*","%2A"),"?","%3F")))&lt;&gt;1),"",IF(OR(INDEX('Rules'!$B$7:$B$26,MATCH(SUBSTITUTE(SUBSTITUTE(SUBSTITUTE(SUBSTITUTE("type:"&amp;B102,"%","%25"),"~","%7E"),"*","%2A"),"?","%3F"),'Rules'!$G$7:$G$26,0))="hours",INDEX('Rules'!$B$7:$B$26,MATCH(SUBSTITUTE(SUBSTITUTE(SUBSTITUTE(SUBSTITUTE("type:"&amp;B102,"%","%25"),"~","%7E"),"*","%2A"),"?","%3F"),'Rules'!$G$7:$G$26,0))="km"),INDEX('Rules'!$B$7:$B$26,MATCH(SUBSTITUTE(SUBSTITUTE(SUBSTITUTE(SUBSTITUTE("type:"&amp;B102,"%","%25"),"~","%7E"),"*","%2A"),"?","%3F"),'Rules'!$G$7:$G$26,0)),""))</x:f>
      </x:c>
      <x:c r="I102" s="6" t="str">
        <x:f>IF(AND(NOT(COUNTA(A102:F102)=0),K102=""),ROUND(J102-D102,3),"")</x:f>
      </x:c>
      <x:c r="J102" s="6" t="str">
        <x:f>IF(AND(NOT(COUNTA(A102:F102)=0),K102=""),ROUND(F102+L102,3),"")</x:f>
      </x:c>
      <x:c r="K102" s="5" t="str">
        <x:f>IF(COUNTA(A102:F102)=0,"",IF(A102="","Missing equipment ID",IF(COUNTIFS($N$8:$N$2007,"="&amp;N102)&gt;1,"Duplicate equipment ID",IF(B102="","Missing type",IF(COUNTIFS('Rules'!$G$7:$G$26,"="&amp;(SUBSTITUTE(SUBSTITUTE(SUBSTITUTE(SUBSTITUTE("type:"&amp;B102,"%","%25"),"~","%7E"),"*","%2A"),"?","%3F")))=0,"Unknown type",IF(COUNTIFS('Rules'!$G$7:$G$26,"="&amp;(SUBSTITUTE(SUBSTITUTE(SUBSTITUTE(SUBSTITUTE("type:"&amp;B102,"%","%25"),"~","%7E"),"*","%2A"),"?","%3F")))&gt;1,"Duplicate type",IF(INDEX('Rules'!$F$7:$F$26,MATCH(SUBSTITUTE(SUBSTITUTE(SUBSTITUTE(SUBSTITUTE("type:"&amp;B102,"%","%25"),"~","%7E"),"*","%2A"),"?","%3F"),'Rules'!$G$7:$G$26,0))&lt;&gt;"",INDEX('Rules'!$F$7:$F$26,MATCH(SUBSTITUTE(SUBSTITUTE(SUBSTITUTE(SUBSTITUTE("type:"&amp;B102,"%","%25"),"~","%7E"),"*","%2A"),"?","%3F"),'Rules'!$G$7:$G$26,0)),IF(AND(C102&lt;&gt;"",C102&lt;&gt;INDEX('Rules'!$B$7:$B$26,MATCH(SUBSTITUTE(SUBSTITUTE(SUBSTITUTE(SUBSTITUTE("type:"&amp;B102,"%","%25"),"~","%7E"),"*","%2A"),"?","%3F"),'Rules'!$G$7:$G$26,0))),"Unit mismatch",IF(IF(NOT(ISNUMBER(D102)),TRUE,OR(D102&lt;0,D102&gt;999999999,ROUND(D102,3)&lt;&gt;D102)),"Invalid current reading",IF(AND(E102&lt;&gt;"",IF(NOT(ISNUMBER(E102)),TRUE,OR(E102&lt;0,E102&gt;999999999,ROUND(E102,3)&lt;&gt;E102))),"Invalid previous reading",IF(IF(NOT(ISNUMBER(F102)),TRUE,OR(F102&lt;0,F102&gt;999999999,ROUND(F102,3)&lt;&gt;F102)),"Invalid last service",IF(AND(E102&lt;&gt;"",D102&lt;E102),"Decreased reading",IF(F102&gt;D102,"Last service above current","")))))))))))))</x:f>
      </x:c>
      <x:c r="L102" s="6" t="str">
        <x:f>IF(AND(NOT(COUNTA(A102:F102)=0),K102=""),INDEX('Rules'!$C$7:$C$26,MATCH(SUBSTITUTE(SUBSTITUTE(SUBSTITUTE(SUBSTITUTE("type:"&amp;B102,"%","%25"),"~","%7E"),"*","%2A"),"?","%3F"),'Rules'!$G$7:$G$26,0)),"")</x:f>
      </x:c>
      <x:c r="M102" s="6" t="str">
        <x:f>IF(AND(NOT(COUNTA(A102:F102)=0),K102=""),INDEX('Rules'!$D$7:$D$26,MATCH(SUBSTITUTE(SUBSTITUTE(SUBSTITUTE(SUBSTITUTE("type:"&amp;B102,"%","%25"),"~","%7E"),"*","%2A"),"?","%3F"),'Rules'!$G$7:$G$26,0)),"")</x:f>
      </x:c>
      <x:c r="N102" s="5" t="str">
        <x:f>IF(COUNTA(A102:F102)=0,"",SUBSTITUTE(SUBSTITUTE(SUBSTITUTE(SUBSTITUTE("id:"&amp;A102,"%","%25"),"~","%7E"),"*","%2A"),"?","%3F"))</x:f>
      </x:c>
    </x:row>
    <x:row r="103" ht="22" customHeight="1">
      <x:c r="A103" s="3"/>
      <x:c r="B103" s="3"/>
      <x:c r="C103" s="3"/>
      <x:c r="D103" s="4"/>
      <x:c r="E103" s="4"/>
      <x:c r="F103" s="4"/>
      <x:c r="G103" s="5" t="str">
        <x:f>IF(COUNTA(A103:F103)=0,"",IF(K103&lt;&gt;"","Review",IF(I103&lt;0,"Overdue",IF(I103=0,"Due now",IF(I103&lt;=M103,"Due soon","Not due")))))</x:f>
      </x:c>
      <x:c r="H103" s="5" t="str">
        <x:f>IF(OR(COUNTA(A103:F103)=0,COUNTIFS('Rules'!$G$7:$G$26,"="&amp;(SUBSTITUTE(SUBSTITUTE(SUBSTITUTE(SUBSTITUTE("type:"&amp;B103,"%","%25"),"~","%7E"),"*","%2A"),"?","%3F")))&lt;&gt;1),"",IF(OR(INDEX('Rules'!$B$7:$B$26,MATCH(SUBSTITUTE(SUBSTITUTE(SUBSTITUTE(SUBSTITUTE("type:"&amp;B103,"%","%25"),"~","%7E"),"*","%2A"),"?","%3F"),'Rules'!$G$7:$G$26,0))="hours",INDEX('Rules'!$B$7:$B$26,MATCH(SUBSTITUTE(SUBSTITUTE(SUBSTITUTE(SUBSTITUTE("type:"&amp;B103,"%","%25"),"~","%7E"),"*","%2A"),"?","%3F"),'Rules'!$G$7:$G$26,0))="km"),INDEX('Rules'!$B$7:$B$26,MATCH(SUBSTITUTE(SUBSTITUTE(SUBSTITUTE(SUBSTITUTE("type:"&amp;B103,"%","%25"),"~","%7E"),"*","%2A"),"?","%3F"),'Rules'!$G$7:$G$26,0)),""))</x:f>
      </x:c>
      <x:c r="I103" s="6" t="str">
        <x:f>IF(AND(NOT(COUNTA(A103:F103)=0),K103=""),ROUND(J103-D103,3),"")</x:f>
      </x:c>
      <x:c r="J103" s="6" t="str">
        <x:f>IF(AND(NOT(COUNTA(A103:F103)=0),K103=""),ROUND(F103+L103,3),"")</x:f>
      </x:c>
      <x:c r="K103" s="5" t="str">
        <x:f>IF(COUNTA(A103:F103)=0,"",IF(A103="","Missing equipment ID",IF(COUNTIFS($N$8:$N$2007,"="&amp;N103)&gt;1,"Duplicate equipment ID",IF(B103="","Missing type",IF(COUNTIFS('Rules'!$G$7:$G$26,"="&amp;(SUBSTITUTE(SUBSTITUTE(SUBSTITUTE(SUBSTITUTE("type:"&amp;B103,"%","%25"),"~","%7E"),"*","%2A"),"?","%3F")))=0,"Unknown type",IF(COUNTIFS('Rules'!$G$7:$G$26,"="&amp;(SUBSTITUTE(SUBSTITUTE(SUBSTITUTE(SUBSTITUTE("type:"&amp;B103,"%","%25"),"~","%7E"),"*","%2A"),"?","%3F")))&gt;1,"Duplicate type",IF(INDEX('Rules'!$F$7:$F$26,MATCH(SUBSTITUTE(SUBSTITUTE(SUBSTITUTE(SUBSTITUTE("type:"&amp;B103,"%","%25"),"~","%7E"),"*","%2A"),"?","%3F"),'Rules'!$G$7:$G$26,0))&lt;&gt;"",INDEX('Rules'!$F$7:$F$26,MATCH(SUBSTITUTE(SUBSTITUTE(SUBSTITUTE(SUBSTITUTE("type:"&amp;B103,"%","%25"),"~","%7E"),"*","%2A"),"?","%3F"),'Rules'!$G$7:$G$26,0)),IF(AND(C103&lt;&gt;"",C103&lt;&gt;INDEX('Rules'!$B$7:$B$26,MATCH(SUBSTITUTE(SUBSTITUTE(SUBSTITUTE(SUBSTITUTE("type:"&amp;B103,"%","%25"),"~","%7E"),"*","%2A"),"?","%3F"),'Rules'!$G$7:$G$26,0))),"Unit mismatch",IF(IF(NOT(ISNUMBER(D103)),TRUE,OR(D103&lt;0,D103&gt;999999999,ROUND(D103,3)&lt;&gt;D103)),"Invalid current reading",IF(AND(E103&lt;&gt;"",IF(NOT(ISNUMBER(E103)),TRUE,OR(E103&lt;0,E103&gt;999999999,ROUND(E103,3)&lt;&gt;E103))),"Invalid previous reading",IF(IF(NOT(ISNUMBER(F103)),TRUE,OR(F103&lt;0,F103&gt;999999999,ROUND(F103,3)&lt;&gt;F103)),"Invalid last service",IF(AND(E103&lt;&gt;"",D103&lt;E103),"Decreased reading",IF(F103&gt;D103,"Last service above current","")))))))))))))</x:f>
      </x:c>
      <x:c r="L103" s="6" t="str">
        <x:f>IF(AND(NOT(COUNTA(A103:F103)=0),K103=""),INDEX('Rules'!$C$7:$C$26,MATCH(SUBSTITUTE(SUBSTITUTE(SUBSTITUTE(SUBSTITUTE("type:"&amp;B103,"%","%25"),"~","%7E"),"*","%2A"),"?","%3F"),'Rules'!$G$7:$G$26,0)),"")</x:f>
      </x:c>
      <x:c r="M103" s="6" t="str">
        <x:f>IF(AND(NOT(COUNTA(A103:F103)=0),K103=""),INDEX('Rules'!$D$7:$D$26,MATCH(SUBSTITUTE(SUBSTITUTE(SUBSTITUTE(SUBSTITUTE("type:"&amp;B103,"%","%25"),"~","%7E"),"*","%2A"),"?","%3F"),'Rules'!$G$7:$G$26,0)),"")</x:f>
      </x:c>
      <x:c r="N103" s="5" t="str">
        <x:f>IF(COUNTA(A103:F103)=0,"",SUBSTITUTE(SUBSTITUTE(SUBSTITUTE(SUBSTITUTE("id:"&amp;A103,"%","%25"),"~","%7E"),"*","%2A"),"?","%3F"))</x:f>
      </x:c>
    </x:row>
    <x:row r="104" ht="22" customHeight="1">
      <x:c r="A104" s="3"/>
      <x:c r="B104" s="3"/>
      <x:c r="C104" s="3"/>
      <x:c r="D104" s="4"/>
      <x:c r="E104" s="4"/>
      <x:c r="F104" s="4"/>
      <x:c r="G104" s="5" t="str">
        <x:f>IF(COUNTA(A104:F104)=0,"",IF(K104&lt;&gt;"","Review",IF(I104&lt;0,"Overdue",IF(I104=0,"Due now",IF(I104&lt;=M104,"Due soon","Not due")))))</x:f>
      </x:c>
      <x:c r="H104" s="5" t="str">
        <x:f>IF(OR(COUNTA(A104:F104)=0,COUNTIFS('Rules'!$G$7:$G$26,"="&amp;(SUBSTITUTE(SUBSTITUTE(SUBSTITUTE(SUBSTITUTE("type:"&amp;B104,"%","%25"),"~","%7E"),"*","%2A"),"?","%3F")))&lt;&gt;1),"",IF(OR(INDEX('Rules'!$B$7:$B$26,MATCH(SUBSTITUTE(SUBSTITUTE(SUBSTITUTE(SUBSTITUTE("type:"&amp;B104,"%","%25"),"~","%7E"),"*","%2A"),"?","%3F"),'Rules'!$G$7:$G$26,0))="hours",INDEX('Rules'!$B$7:$B$26,MATCH(SUBSTITUTE(SUBSTITUTE(SUBSTITUTE(SUBSTITUTE("type:"&amp;B104,"%","%25"),"~","%7E"),"*","%2A"),"?","%3F"),'Rules'!$G$7:$G$26,0))="km"),INDEX('Rules'!$B$7:$B$26,MATCH(SUBSTITUTE(SUBSTITUTE(SUBSTITUTE(SUBSTITUTE("type:"&amp;B104,"%","%25"),"~","%7E"),"*","%2A"),"?","%3F"),'Rules'!$G$7:$G$26,0)),""))</x:f>
      </x:c>
      <x:c r="I104" s="6" t="str">
        <x:f>IF(AND(NOT(COUNTA(A104:F104)=0),K104=""),ROUND(J104-D104,3),"")</x:f>
      </x:c>
      <x:c r="J104" s="6" t="str">
        <x:f>IF(AND(NOT(COUNTA(A104:F104)=0),K104=""),ROUND(F104+L104,3),"")</x:f>
      </x:c>
      <x:c r="K104" s="5" t="str">
        <x:f>IF(COUNTA(A104:F104)=0,"",IF(A104="","Missing equipment ID",IF(COUNTIFS($N$8:$N$2007,"="&amp;N104)&gt;1,"Duplicate equipment ID",IF(B104="","Missing type",IF(COUNTIFS('Rules'!$G$7:$G$26,"="&amp;(SUBSTITUTE(SUBSTITUTE(SUBSTITUTE(SUBSTITUTE("type:"&amp;B104,"%","%25"),"~","%7E"),"*","%2A"),"?","%3F")))=0,"Unknown type",IF(COUNTIFS('Rules'!$G$7:$G$26,"="&amp;(SUBSTITUTE(SUBSTITUTE(SUBSTITUTE(SUBSTITUTE("type:"&amp;B104,"%","%25"),"~","%7E"),"*","%2A"),"?","%3F")))&gt;1,"Duplicate type",IF(INDEX('Rules'!$F$7:$F$26,MATCH(SUBSTITUTE(SUBSTITUTE(SUBSTITUTE(SUBSTITUTE("type:"&amp;B104,"%","%25"),"~","%7E"),"*","%2A"),"?","%3F"),'Rules'!$G$7:$G$26,0))&lt;&gt;"",INDEX('Rules'!$F$7:$F$26,MATCH(SUBSTITUTE(SUBSTITUTE(SUBSTITUTE(SUBSTITUTE("type:"&amp;B104,"%","%25"),"~","%7E"),"*","%2A"),"?","%3F"),'Rules'!$G$7:$G$26,0)),IF(AND(C104&lt;&gt;"",C104&lt;&gt;INDEX('Rules'!$B$7:$B$26,MATCH(SUBSTITUTE(SUBSTITUTE(SUBSTITUTE(SUBSTITUTE("type:"&amp;B104,"%","%25"),"~","%7E"),"*","%2A"),"?","%3F"),'Rules'!$G$7:$G$26,0))),"Unit mismatch",IF(IF(NOT(ISNUMBER(D104)),TRUE,OR(D104&lt;0,D104&gt;999999999,ROUND(D104,3)&lt;&gt;D104)),"Invalid current reading",IF(AND(E104&lt;&gt;"",IF(NOT(ISNUMBER(E104)),TRUE,OR(E104&lt;0,E104&gt;999999999,ROUND(E104,3)&lt;&gt;E104))),"Invalid previous reading",IF(IF(NOT(ISNUMBER(F104)),TRUE,OR(F104&lt;0,F104&gt;999999999,ROUND(F104,3)&lt;&gt;F104)),"Invalid last service",IF(AND(E104&lt;&gt;"",D104&lt;E104),"Decreased reading",IF(F104&gt;D104,"Last service above current","")))))))))))))</x:f>
      </x:c>
      <x:c r="L104" s="6" t="str">
        <x:f>IF(AND(NOT(COUNTA(A104:F104)=0),K104=""),INDEX('Rules'!$C$7:$C$26,MATCH(SUBSTITUTE(SUBSTITUTE(SUBSTITUTE(SUBSTITUTE("type:"&amp;B104,"%","%25"),"~","%7E"),"*","%2A"),"?","%3F"),'Rules'!$G$7:$G$26,0)),"")</x:f>
      </x:c>
      <x:c r="M104" s="6" t="str">
        <x:f>IF(AND(NOT(COUNTA(A104:F104)=0),K104=""),INDEX('Rules'!$D$7:$D$26,MATCH(SUBSTITUTE(SUBSTITUTE(SUBSTITUTE(SUBSTITUTE("type:"&amp;B104,"%","%25"),"~","%7E"),"*","%2A"),"?","%3F"),'Rules'!$G$7:$G$26,0)),"")</x:f>
      </x:c>
      <x:c r="N104" s="5" t="str">
        <x:f>IF(COUNTA(A104:F104)=0,"",SUBSTITUTE(SUBSTITUTE(SUBSTITUTE(SUBSTITUTE("id:"&amp;A104,"%","%25"),"~","%7E"),"*","%2A"),"?","%3F"))</x:f>
      </x:c>
    </x:row>
    <x:row r="105" ht="22" customHeight="1">
      <x:c r="A105" s="3"/>
      <x:c r="B105" s="3"/>
      <x:c r="C105" s="3"/>
      <x:c r="D105" s="4"/>
      <x:c r="E105" s="4"/>
      <x:c r="F105" s="4"/>
      <x:c r="G105" s="5" t="str">
        <x:f>IF(COUNTA(A105:F105)=0,"",IF(K105&lt;&gt;"","Review",IF(I105&lt;0,"Overdue",IF(I105=0,"Due now",IF(I105&lt;=M105,"Due soon","Not due")))))</x:f>
      </x:c>
      <x:c r="H105" s="5" t="str">
        <x:f>IF(OR(COUNTA(A105:F105)=0,COUNTIFS('Rules'!$G$7:$G$26,"="&amp;(SUBSTITUTE(SUBSTITUTE(SUBSTITUTE(SUBSTITUTE("type:"&amp;B105,"%","%25"),"~","%7E"),"*","%2A"),"?","%3F")))&lt;&gt;1),"",IF(OR(INDEX('Rules'!$B$7:$B$26,MATCH(SUBSTITUTE(SUBSTITUTE(SUBSTITUTE(SUBSTITUTE("type:"&amp;B105,"%","%25"),"~","%7E"),"*","%2A"),"?","%3F"),'Rules'!$G$7:$G$26,0))="hours",INDEX('Rules'!$B$7:$B$26,MATCH(SUBSTITUTE(SUBSTITUTE(SUBSTITUTE(SUBSTITUTE("type:"&amp;B105,"%","%25"),"~","%7E"),"*","%2A"),"?","%3F"),'Rules'!$G$7:$G$26,0))="km"),INDEX('Rules'!$B$7:$B$26,MATCH(SUBSTITUTE(SUBSTITUTE(SUBSTITUTE(SUBSTITUTE("type:"&amp;B105,"%","%25"),"~","%7E"),"*","%2A"),"?","%3F"),'Rules'!$G$7:$G$26,0)),""))</x:f>
      </x:c>
      <x:c r="I105" s="6" t="str">
        <x:f>IF(AND(NOT(COUNTA(A105:F105)=0),K105=""),ROUND(J105-D105,3),"")</x:f>
      </x:c>
      <x:c r="J105" s="6" t="str">
        <x:f>IF(AND(NOT(COUNTA(A105:F105)=0),K105=""),ROUND(F105+L105,3),"")</x:f>
      </x:c>
      <x:c r="K105" s="5" t="str">
        <x:f>IF(COUNTA(A105:F105)=0,"",IF(A105="","Missing equipment ID",IF(COUNTIFS($N$8:$N$2007,"="&amp;N105)&gt;1,"Duplicate equipment ID",IF(B105="","Missing type",IF(COUNTIFS('Rules'!$G$7:$G$26,"="&amp;(SUBSTITUTE(SUBSTITUTE(SUBSTITUTE(SUBSTITUTE("type:"&amp;B105,"%","%25"),"~","%7E"),"*","%2A"),"?","%3F")))=0,"Unknown type",IF(COUNTIFS('Rules'!$G$7:$G$26,"="&amp;(SUBSTITUTE(SUBSTITUTE(SUBSTITUTE(SUBSTITUTE("type:"&amp;B105,"%","%25"),"~","%7E"),"*","%2A"),"?","%3F")))&gt;1,"Duplicate type",IF(INDEX('Rules'!$F$7:$F$26,MATCH(SUBSTITUTE(SUBSTITUTE(SUBSTITUTE(SUBSTITUTE("type:"&amp;B105,"%","%25"),"~","%7E"),"*","%2A"),"?","%3F"),'Rules'!$G$7:$G$26,0))&lt;&gt;"",INDEX('Rules'!$F$7:$F$26,MATCH(SUBSTITUTE(SUBSTITUTE(SUBSTITUTE(SUBSTITUTE("type:"&amp;B105,"%","%25"),"~","%7E"),"*","%2A"),"?","%3F"),'Rules'!$G$7:$G$26,0)),IF(AND(C105&lt;&gt;"",C105&lt;&gt;INDEX('Rules'!$B$7:$B$26,MATCH(SUBSTITUTE(SUBSTITUTE(SUBSTITUTE(SUBSTITUTE("type:"&amp;B105,"%","%25"),"~","%7E"),"*","%2A"),"?","%3F"),'Rules'!$G$7:$G$26,0))),"Unit mismatch",IF(IF(NOT(ISNUMBER(D105)),TRUE,OR(D105&lt;0,D105&gt;999999999,ROUND(D105,3)&lt;&gt;D105)),"Invalid current reading",IF(AND(E105&lt;&gt;"",IF(NOT(ISNUMBER(E105)),TRUE,OR(E105&lt;0,E105&gt;999999999,ROUND(E105,3)&lt;&gt;E105))),"Invalid previous reading",IF(IF(NOT(ISNUMBER(F105)),TRUE,OR(F105&lt;0,F105&gt;999999999,ROUND(F105,3)&lt;&gt;F105)),"Invalid last service",IF(AND(E105&lt;&gt;"",D105&lt;E105),"Decreased reading",IF(F105&gt;D105,"Last service above current","")))))))))))))</x:f>
      </x:c>
      <x:c r="L105" s="6" t="str">
        <x:f>IF(AND(NOT(COUNTA(A105:F105)=0),K105=""),INDEX('Rules'!$C$7:$C$26,MATCH(SUBSTITUTE(SUBSTITUTE(SUBSTITUTE(SUBSTITUTE("type:"&amp;B105,"%","%25"),"~","%7E"),"*","%2A"),"?","%3F"),'Rules'!$G$7:$G$26,0)),"")</x:f>
      </x:c>
      <x:c r="M105" s="6" t="str">
        <x:f>IF(AND(NOT(COUNTA(A105:F105)=0),K105=""),INDEX('Rules'!$D$7:$D$26,MATCH(SUBSTITUTE(SUBSTITUTE(SUBSTITUTE(SUBSTITUTE("type:"&amp;B105,"%","%25"),"~","%7E"),"*","%2A"),"?","%3F"),'Rules'!$G$7:$G$26,0)),"")</x:f>
      </x:c>
      <x:c r="N105" s="5" t="str">
        <x:f>IF(COUNTA(A105:F105)=0,"",SUBSTITUTE(SUBSTITUTE(SUBSTITUTE(SUBSTITUTE("id:"&amp;A105,"%","%25"),"~","%7E"),"*","%2A"),"?","%3F"))</x:f>
      </x:c>
    </x:row>
    <x:row r="106" ht="22" customHeight="1">
      <x:c r="A106" s="3"/>
      <x:c r="B106" s="3"/>
      <x:c r="C106" s="3"/>
      <x:c r="D106" s="4"/>
      <x:c r="E106" s="4"/>
      <x:c r="F106" s="4"/>
      <x:c r="G106" s="5" t="str">
        <x:f>IF(COUNTA(A106:F106)=0,"",IF(K106&lt;&gt;"","Review",IF(I106&lt;0,"Overdue",IF(I106=0,"Due now",IF(I106&lt;=M106,"Due soon","Not due")))))</x:f>
      </x:c>
      <x:c r="H106" s="5" t="str">
        <x:f>IF(OR(COUNTA(A106:F106)=0,COUNTIFS('Rules'!$G$7:$G$26,"="&amp;(SUBSTITUTE(SUBSTITUTE(SUBSTITUTE(SUBSTITUTE("type:"&amp;B106,"%","%25"),"~","%7E"),"*","%2A"),"?","%3F")))&lt;&gt;1),"",IF(OR(INDEX('Rules'!$B$7:$B$26,MATCH(SUBSTITUTE(SUBSTITUTE(SUBSTITUTE(SUBSTITUTE("type:"&amp;B106,"%","%25"),"~","%7E"),"*","%2A"),"?","%3F"),'Rules'!$G$7:$G$26,0))="hours",INDEX('Rules'!$B$7:$B$26,MATCH(SUBSTITUTE(SUBSTITUTE(SUBSTITUTE(SUBSTITUTE("type:"&amp;B106,"%","%25"),"~","%7E"),"*","%2A"),"?","%3F"),'Rules'!$G$7:$G$26,0))="km"),INDEX('Rules'!$B$7:$B$26,MATCH(SUBSTITUTE(SUBSTITUTE(SUBSTITUTE(SUBSTITUTE("type:"&amp;B106,"%","%25"),"~","%7E"),"*","%2A"),"?","%3F"),'Rules'!$G$7:$G$26,0)),""))</x:f>
      </x:c>
      <x:c r="I106" s="6" t="str">
        <x:f>IF(AND(NOT(COUNTA(A106:F106)=0),K106=""),ROUND(J106-D106,3),"")</x:f>
      </x:c>
      <x:c r="J106" s="6" t="str">
        <x:f>IF(AND(NOT(COUNTA(A106:F106)=0),K106=""),ROUND(F106+L106,3),"")</x:f>
      </x:c>
      <x:c r="K106" s="5" t="str">
        <x:f>IF(COUNTA(A106:F106)=0,"",IF(A106="","Missing equipment ID",IF(COUNTIFS($N$8:$N$2007,"="&amp;N106)&gt;1,"Duplicate equipment ID",IF(B106="","Missing type",IF(COUNTIFS('Rules'!$G$7:$G$26,"="&amp;(SUBSTITUTE(SUBSTITUTE(SUBSTITUTE(SUBSTITUTE("type:"&amp;B106,"%","%25"),"~","%7E"),"*","%2A"),"?","%3F")))=0,"Unknown type",IF(COUNTIFS('Rules'!$G$7:$G$26,"="&amp;(SUBSTITUTE(SUBSTITUTE(SUBSTITUTE(SUBSTITUTE("type:"&amp;B106,"%","%25"),"~","%7E"),"*","%2A"),"?","%3F")))&gt;1,"Duplicate type",IF(INDEX('Rules'!$F$7:$F$26,MATCH(SUBSTITUTE(SUBSTITUTE(SUBSTITUTE(SUBSTITUTE("type:"&amp;B106,"%","%25"),"~","%7E"),"*","%2A"),"?","%3F"),'Rules'!$G$7:$G$26,0))&lt;&gt;"",INDEX('Rules'!$F$7:$F$26,MATCH(SUBSTITUTE(SUBSTITUTE(SUBSTITUTE(SUBSTITUTE("type:"&amp;B106,"%","%25"),"~","%7E"),"*","%2A"),"?","%3F"),'Rules'!$G$7:$G$26,0)),IF(AND(C106&lt;&gt;"",C106&lt;&gt;INDEX('Rules'!$B$7:$B$26,MATCH(SUBSTITUTE(SUBSTITUTE(SUBSTITUTE(SUBSTITUTE("type:"&amp;B106,"%","%25"),"~","%7E"),"*","%2A"),"?","%3F"),'Rules'!$G$7:$G$26,0))),"Unit mismatch",IF(IF(NOT(ISNUMBER(D106)),TRUE,OR(D106&lt;0,D106&gt;999999999,ROUND(D106,3)&lt;&gt;D106)),"Invalid current reading",IF(AND(E106&lt;&gt;"",IF(NOT(ISNUMBER(E106)),TRUE,OR(E106&lt;0,E106&gt;999999999,ROUND(E106,3)&lt;&gt;E106))),"Invalid previous reading",IF(IF(NOT(ISNUMBER(F106)),TRUE,OR(F106&lt;0,F106&gt;999999999,ROUND(F106,3)&lt;&gt;F106)),"Invalid last service",IF(AND(E106&lt;&gt;"",D106&lt;E106),"Decreased reading",IF(F106&gt;D106,"Last service above current","")))))))))))))</x:f>
      </x:c>
      <x:c r="L106" s="6" t="str">
        <x:f>IF(AND(NOT(COUNTA(A106:F106)=0),K106=""),INDEX('Rules'!$C$7:$C$26,MATCH(SUBSTITUTE(SUBSTITUTE(SUBSTITUTE(SUBSTITUTE("type:"&amp;B106,"%","%25"),"~","%7E"),"*","%2A"),"?","%3F"),'Rules'!$G$7:$G$26,0)),"")</x:f>
      </x:c>
      <x:c r="M106" s="6" t="str">
        <x:f>IF(AND(NOT(COUNTA(A106:F106)=0),K106=""),INDEX('Rules'!$D$7:$D$26,MATCH(SUBSTITUTE(SUBSTITUTE(SUBSTITUTE(SUBSTITUTE("type:"&amp;B106,"%","%25"),"~","%7E"),"*","%2A"),"?","%3F"),'Rules'!$G$7:$G$26,0)),"")</x:f>
      </x:c>
      <x:c r="N106" s="5" t="str">
        <x:f>IF(COUNTA(A106:F106)=0,"",SUBSTITUTE(SUBSTITUTE(SUBSTITUTE(SUBSTITUTE("id:"&amp;A106,"%","%25"),"~","%7E"),"*","%2A"),"?","%3F"))</x:f>
      </x:c>
    </x:row>
    <x:row r="107" ht="22" customHeight="1">
      <x:c r="A107" s="3"/>
      <x:c r="B107" s="3"/>
      <x:c r="C107" s="3"/>
      <x:c r="D107" s="4"/>
      <x:c r="E107" s="4"/>
      <x:c r="F107" s="4"/>
      <x:c r="G107" s="5" t="str">
        <x:f>IF(COUNTA(A107:F107)=0,"",IF(K107&lt;&gt;"","Review",IF(I107&lt;0,"Overdue",IF(I107=0,"Due now",IF(I107&lt;=M107,"Due soon","Not due")))))</x:f>
      </x:c>
      <x:c r="H107" s="5" t="str">
        <x:f>IF(OR(COUNTA(A107:F107)=0,COUNTIFS('Rules'!$G$7:$G$26,"="&amp;(SUBSTITUTE(SUBSTITUTE(SUBSTITUTE(SUBSTITUTE("type:"&amp;B107,"%","%25"),"~","%7E"),"*","%2A"),"?","%3F")))&lt;&gt;1),"",IF(OR(INDEX('Rules'!$B$7:$B$26,MATCH(SUBSTITUTE(SUBSTITUTE(SUBSTITUTE(SUBSTITUTE("type:"&amp;B107,"%","%25"),"~","%7E"),"*","%2A"),"?","%3F"),'Rules'!$G$7:$G$26,0))="hours",INDEX('Rules'!$B$7:$B$26,MATCH(SUBSTITUTE(SUBSTITUTE(SUBSTITUTE(SUBSTITUTE("type:"&amp;B107,"%","%25"),"~","%7E"),"*","%2A"),"?","%3F"),'Rules'!$G$7:$G$26,0))="km"),INDEX('Rules'!$B$7:$B$26,MATCH(SUBSTITUTE(SUBSTITUTE(SUBSTITUTE(SUBSTITUTE("type:"&amp;B107,"%","%25"),"~","%7E"),"*","%2A"),"?","%3F"),'Rules'!$G$7:$G$26,0)),""))</x:f>
      </x:c>
      <x:c r="I107" s="6" t="str">
        <x:f>IF(AND(NOT(COUNTA(A107:F107)=0),K107=""),ROUND(J107-D107,3),"")</x:f>
      </x:c>
      <x:c r="J107" s="6" t="str">
        <x:f>IF(AND(NOT(COUNTA(A107:F107)=0),K107=""),ROUND(F107+L107,3),"")</x:f>
      </x:c>
      <x:c r="K107" s="5" t="str">
        <x:f>IF(COUNTA(A107:F107)=0,"",IF(A107="","Missing equipment ID",IF(COUNTIFS($N$8:$N$2007,"="&amp;N107)&gt;1,"Duplicate equipment ID",IF(B107="","Missing type",IF(COUNTIFS('Rules'!$G$7:$G$26,"="&amp;(SUBSTITUTE(SUBSTITUTE(SUBSTITUTE(SUBSTITUTE("type:"&amp;B107,"%","%25"),"~","%7E"),"*","%2A"),"?","%3F")))=0,"Unknown type",IF(COUNTIFS('Rules'!$G$7:$G$26,"="&amp;(SUBSTITUTE(SUBSTITUTE(SUBSTITUTE(SUBSTITUTE("type:"&amp;B107,"%","%25"),"~","%7E"),"*","%2A"),"?","%3F")))&gt;1,"Duplicate type",IF(INDEX('Rules'!$F$7:$F$26,MATCH(SUBSTITUTE(SUBSTITUTE(SUBSTITUTE(SUBSTITUTE("type:"&amp;B107,"%","%25"),"~","%7E"),"*","%2A"),"?","%3F"),'Rules'!$G$7:$G$26,0))&lt;&gt;"",INDEX('Rules'!$F$7:$F$26,MATCH(SUBSTITUTE(SUBSTITUTE(SUBSTITUTE(SUBSTITUTE("type:"&amp;B107,"%","%25"),"~","%7E"),"*","%2A"),"?","%3F"),'Rules'!$G$7:$G$26,0)),IF(AND(C107&lt;&gt;"",C107&lt;&gt;INDEX('Rules'!$B$7:$B$26,MATCH(SUBSTITUTE(SUBSTITUTE(SUBSTITUTE(SUBSTITUTE("type:"&amp;B107,"%","%25"),"~","%7E"),"*","%2A"),"?","%3F"),'Rules'!$G$7:$G$26,0))),"Unit mismatch",IF(IF(NOT(ISNUMBER(D107)),TRUE,OR(D107&lt;0,D107&gt;999999999,ROUND(D107,3)&lt;&gt;D107)),"Invalid current reading",IF(AND(E107&lt;&gt;"",IF(NOT(ISNUMBER(E107)),TRUE,OR(E107&lt;0,E107&gt;999999999,ROUND(E107,3)&lt;&gt;E107))),"Invalid previous reading",IF(IF(NOT(ISNUMBER(F107)),TRUE,OR(F107&lt;0,F107&gt;999999999,ROUND(F107,3)&lt;&gt;F107)),"Invalid last service",IF(AND(E107&lt;&gt;"",D107&lt;E107),"Decreased reading",IF(F107&gt;D107,"Last service above current","")))))))))))))</x:f>
      </x:c>
      <x:c r="L107" s="6" t="str">
        <x:f>IF(AND(NOT(COUNTA(A107:F107)=0),K107=""),INDEX('Rules'!$C$7:$C$26,MATCH(SUBSTITUTE(SUBSTITUTE(SUBSTITUTE(SUBSTITUTE("type:"&amp;B107,"%","%25"),"~","%7E"),"*","%2A"),"?","%3F"),'Rules'!$G$7:$G$26,0)),"")</x:f>
      </x:c>
      <x:c r="M107" s="6" t="str">
        <x:f>IF(AND(NOT(COUNTA(A107:F107)=0),K107=""),INDEX('Rules'!$D$7:$D$26,MATCH(SUBSTITUTE(SUBSTITUTE(SUBSTITUTE(SUBSTITUTE("type:"&amp;B107,"%","%25"),"~","%7E"),"*","%2A"),"?","%3F"),'Rules'!$G$7:$G$26,0)),"")</x:f>
      </x:c>
      <x:c r="N107" s="5" t="str">
        <x:f>IF(COUNTA(A107:F107)=0,"",SUBSTITUTE(SUBSTITUTE(SUBSTITUTE(SUBSTITUTE("id:"&amp;A107,"%","%25"),"~","%7E"),"*","%2A"),"?","%3F"))</x:f>
      </x:c>
    </x:row>
    <x:row r="108" ht="22" customHeight="1">
      <x:c r="A108" s="3"/>
      <x:c r="B108" s="3"/>
      <x:c r="C108" s="3"/>
      <x:c r="D108" s="4"/>
      <x:c r="E108" s="4"/>
      <x:c r="F108" s="4"/>
      <x:c r="G108" s="5" t="str">
        <x:f>IF(COUNTA(A108:F108)=0,"",IF(K108&lt;&gt;"","Review",IF(I108&lt;0,"Overdue",IF(I108=0,"Due now",IF(I108&lt;=M108,"Due soon","Not due")))))</x:f>
      </x:c>
      <x:c r="H108" s="5" t="str">
        <x:f>IF(OR(COUNTA(A108:F108)=0,COUNTIFS('Rules'!$G$7:$G$26,"="&amp;(SUBSTITUTE(SUBSTITUTE(SUBSTITUTE(SUBSTITUTE("type:"&amp;B108,"%","%25"),"~","%7E"),"*","%2A"),"?","%3F")))&lt;&gt;1),"",IF(OR(INDEX('Rules'!$B$7:$B$26,MATCH(SUBSTITUTE(SUBSTITUTE(SUBSTITUTE(SUBSTITUTE("type:"&amp;B108,"%","%25"),"~","%7E"),"*","%2A"),"?","%3F"),'Rules'!$G$7:$G$26,0))="hours",INDEX('Rules'!$B$7:$B$26,MATCH(SUBSTITUTE(SUBSTITUTE(SUBSTITUTE(SUBSTITUTE("type:"&amp;B108,"%","%25"),"~","%7E"),"*","%2A"),"?","%3F"),'Rules'!$G$7:$G$26,0))="km"),INDEX('Rules'!$B$7:$B$26,MATCH(SUBSTITUTE(SUBSTITUTE(SUBSTITUTE(SUBSTITUTE("type:"&amp;B108,"%","%25"),"~","%7E"),"*","%2A"),"?","%3F"),'Rules'!$G$7:$G$26,0)),""))</x:f>
      </x:c>
      <x:c r="I108" s="6" t="str">
        <x:f>IF(AND(NOT(COUNTA(A108:F108)=0),K108=""),ROUND(J108-D108,3),"")</x:f>
      </x:c>
      <x:c r="J108" s="6" t="str">
        <x:f>IF(AND(NOT(COUNTA(A108:F108)=0),K108=""),ROUND(F108+L108,3),"")</x:f>
      </x:c>
      <x:c r="K108" s="5" t="str">
        <x:f>IF(COUNTA(A108:F108)=0,"",IF(A108="","Missing equipment ID",IF(COUNTIFS($N$8:$N$2007,"="&amp;N108)&gt;1,"Duplicate equipment ID",IF(B108="","Missing type",IF(COUNTIFS('Rules'!$G$7:$G$26,"="&amp;(SUBSTITUTE(SUBSTITUTE(SUBSTITUTE(SUBSTITUTE("type:"&amp;B108,"%","%25"),"~","%7E"),"*","%2A"),"?","%3F")))=0,"Unknown type",IF(COUNTIFS('Rules'!$G$7:$G$26,"="&amp;(SUBSTITUTE(SUBSTITUTE(SUBSTITUTE(SUBSTITUTE("type:"&amp;B108,"%","%25"),"~","%7E"),"*","%2A"),"?","%3F")))&gt;1,"Duplicate type",IF(INDEX('Rules'!$F$7:$F$26,MATCH(SUBSTITUTE(SUBSTITUTE(SUBSTITUTE(SUBSTITUTE("type:"&amp;B108,"%","%25"),"~","%7E"),"*","%2A"),"?","%3F"),'Rules'!$G$7:$G$26,0))&lt;&gt;"",INDEX('Rules'!$F$7:$F$26,MATCH(SUBSTITUTE(SUBSTITUTE(SUBSTITUTE(SUBSTITUTE("type:"&amp;B108,"%","%25"),"~","%7E"),"*","%2A"),"?","%3F"),'Rules'!$G$7:$G$26,0)),IF(AND(C108&lt;&gt;"",C108&lt;&gt;INDEX('Rules'!$B$7:$B$26,MATCH(SUBSTITUTE(SUBSTITUTE(SUBSTITUTE(SUBSTITUTE("type:"&amp;B108,"%","%25"),"~","%7E"),"*","%2A"),"?","%3F"),'Rules'!$G$7:$G$26,0))),"Unit mismatch",IF(IF(NOT(ISNUMBER(D108)),TRUE,OR(D108&lt;0,D108&gt;999999999,ROUND(D108,3)&lt;&gt;D108)),"Invalid current reading",IF(AND(E108&lt;&gt;"",IF(NOT(ISNUMBER(E108)),TRUE,OR(E108&lt;0,E108&gt;999999999,ROUND(E108,3)&lt;&gt;E108))),"Invalid previous reading",IF(IF(NOT(ISNUMBER(F108)),TRUE,OR(F108&lt;0,F108&gt;999999999,ROUND(F108,3)&lt;&gt;F108)),"Invalid last service",IF(AND(E108&lt;&gt;"",D108&lt;E108),"Decreased reading",IF(F108&gt;D108,"Last service above current","")))))))))))))</x:f>
      </x:c>
      <x:c r="L108" s="6" t="str">
        <x:f>IF(AND(NOT(COUNTA(A108:F108)=0),K108=""),INDEX('Rules'!$C$7:$C$26,MATCH(SUBSTITUTE(SUBSTITUTE(SUBSTITUTE(SUBSTITUTE("type:"&amp;B108,"%","%25"),"~","%7E"),"*","%2A"),"?","%3F"),'Rules'!$G$7:$G$26,0)),"")</x:f>
      </x:c>
      <x:c r="M108" s="6" t="str">
        <x:f>IF(AND(NOT(COUNTA(A108:F108)=0),K108=""),INDEX('Rules'!$D$7:$D$26,MATCH(SUBSTITUTE(SUBSTITUTE(SUBSTITUTE(SUBSTITUTE("type:"&amp;B108,"%","%25"),"~","%7E"),"*","%2A"),"?","%3F"),'Rules'!$G$7:$G$26,0)),"")</x:f>
      </x:c>
      <x:c r="N108" s="5" t="str">
        <x:f>IF(COUNTA(A108:F108)=0,"",SUBSTITUTE(SUBSTITUTE(SUBSTITUTE(SUBSTITUTE("id:"&amp;A108,"%","%25"),"~","%7E"),"*","%2A"),"?","%3F"))</x:f>
      </x:c>
    </x:row>
    <x:row r="109" ht="22" customHeight="1">
      <x:c r="A109" s="3"/>
      <x:c r="B109" s="3"/>
      <x:c r="C109" s="3"/>
      <x:c r="D109" s="4"/>
      <x:c r="E109" s="4"/>
      <x:c r="F109" s="4"/>
      <x:c r="G109" s="5" t="str">
        <x:f>IF(COUNTA(A109:F109)=0,"",IF(K109&lt;&gt;"","Review",IF(I109&lt;0,"Overdue",IF(I109=0,"Due now",IF(I109&lt;=M109,"Due soon","Not due")))))</x:f>
      </x:c>
      <x:c r="H109" s="5" t="str">
        <x:f>IF(OR(COUNTA(A109:F109)=0,COUNTIFS('Rules'!$G$7:$G$26,"="&amp;(SUBSTITUTE(SUBSTITUTE(SUBSTITUTE(SUBSTITUTE("type:"&amp;B109,"%","%25"),"~","%7E"),"*","%2A"),"?","%3F")))&lt;&gt;1),"",IF(OR(INDEX('Rules'!$B$7:$B$26,MATCH(SUBSTITUTE(SUBSTITUTE(SUBSTITUTE(SUBSTITUTE("type:"&amp;B109,"%","%25"),"~","%7E"),"*","%2A"),"?","%3F"),'Rules'!$G$7:$G$26,0))="hours",INDEX('Rules'!$B$7:$B$26,MATCH(SUBSTITUTE(SUBSTITUTE(SUBSTITUTE(SUBSTITUTE("type:"&amp;B109,"%","%25"),"~","%7E"),"*","%2A"),"?","%3F"),'Rules'!$G$7:$G$26,0))="km"),INDEX('Rules'!$B$7:$B$26,MATCH(SUBSTITUTE(SUBSTITUTE(SUBSTITUTE(SUBSTITUTE("type:"&amp;B109,"%","%25"),"~","%7E"),"*","%2A"),"?","%3F"),'Rules'!$G$7:$G$26,0)),""))</x:f>
      </x:c>
      <x:c r="I109" s="6" t="str">
        <x:f>IF(AND(NOT(COUNTA(A109:F109)=0),K109=""),ROUND(J109-D109,3),"")</x:f>
      </x:c>
      <x:c r="J109" s="6" t="str">
        <x:f>IF(AND(NOT(COUNTA(A109:F109)=0),K109=""),ROUND(F109+L109,3),"")</x:f>
      </x:c>
      <x:c r="K109" s="5" t="str">
        <x:f>IF(COUNTA(A109:F109)=0,"",IF(A109="","Missing equipment ID",IF(COUNTIFS($N$8:$N$2007,"="&amp;N109)&gt;1,"Duplicate equipment ID",IF(B109="","Missing type",IF(COUNTIFS('Rules'!$G$7:$G$26,"="&amp;(SUBSTITUTE(SUBSTITUTE(SUBSTITUTE(SUBSTITUTE("type:"&amp;B109,"%","%25"),"~","%7E"),"*","%2A"),"?","%3F")))=0,"Unknown type",IF(COUNTIFS('Rules'!$G$7:$G$26,"="&amp;(SUBSTITUTE(SUBSTITUTE(SUBSTITUTE(SUBSTITUTE("type:"&amp;B109,"%","%25"),"~","%7E"),"*","%2A"),"?","%3F")))&gt;1,"Duplicate type",IF(INDEX('Rules'!$F$7:$F$26,MATCH(SUBSTITUTE(SUBSTITUTE(SUBSTITUTE(SUBSTITUTE("type:"&amp;B109,"%","%25"),"~","%7E"),"*","%2A"),"?","%3F"),'Rules'!$G$7:$G$26,0))&lt;&gt;"",INDEX('Rules'!$F$7:$F$26,MATCH(SUBSTITUTE(SUBSTITUTE(SUBSTITUTE(SUBSTITUTE("type:"&amp;B109,"%","%25"),"~","%7E"),"*","%2A"),"?","%3F"),'Rules'!$G$7:$G$26,0)),IF(AND(C109&lt;&gt;"",C109&lt;&gt;INDEX('Rules'!$B$7:$B$26,MATCH(SUBSTITUTE(SUBSTITUTE(SUBSTITUTE(SUBSTITUTE("type:"&amp;B109,"%","%25"),"~","%7E"),"*","%2A"),"?","%3F"),'Rules'!$G$7:$G$26,0))),"Unit mismatch",IF(IF(NOT(ISNUMBER(D109)),TRUE,OR(D109&lt;0,D109&gt;999999999,ROUND(D109,3)&lt;&gt;D109)),"Invalid current reading",IF(AND(E109&lt;&gt;"",IF(NOT(ISNUMBER(E109)),TRUE,OR(E109&lt;0,E109&gt;999999999,ROUND(E109,3)&lt;&gt;E109))),"Invalid previous reading",IF(IF(NOT(ISNUMBER(F109)),TRUE,OR(F109&lt;0,F109&gt;999999999,ROUND(F109,3)&lt;&gt;F109)),"Invalid last service",IF(AND(E109&lt;&gt;"",D109&lt;E109),"Decreased reading",IF(F109&gt;D109,"Last service above current","")))))))))))))</x:f>
      </x:c>
      <x:c r="L109" s="6" t="str">
        <x:f>IF(AND(NOT(COUNTA(A109:F109)=0),K109=""),INDEX('Rules'!$C$7:$C$26,MATCH(SUBSTITUTE(SUBSTITUTE(SUBSTITUTE(SUBSTITUTE("type:"&amp;B109,"%","%25"),"~","%7E"),"*","%2A"),"?","%3F"),'Rules'!$G$7:$G$26,0)),"")</x:f>
      </x:c>
      <x:c r="M109" s="6" t="str">
        <x:f>IF(AND(NOT(COUNTA(A109:F109)=0),K109=""),INDEX('Rules'!$D$7:$D$26,MATCH(SUBSTITUTE(SUBSTITUTE(SUBSTITUTE(SUBSTITUTE("type:"&amp;B109,"%","%25"),"~","%7E"),"*","%2A"),"?","%3F"),'Rules'!$G$7:$G$26,0)),"")</x:f>
      </x:c>
      <x:c r="N109" s="5" t="str">
        <x:f>IF(COUNTA(A109:F109)=0,"",SUBSTITUTE(SUBSTITUTE(SUBSTITUTE(SUBSTITUTE("id:"&amp;A109,"%","%25"),"~","%7E"),"*","%2A"),"?","%3F"))</x:f>
      </x:c>
    </x:row>
    <x:row r="110" ht="22" customHeight="1">
      <x:c r="A110" s="3"/>
      <x:c r="B110" s="3"/>
      <x:c r="C110" s="3"/>
      <x:c r="D110" s="4"/>
      <x:c r="E110" s="4"/>
      <x:c r="F110" s="4"/>
      <x:c r="G110" s="5" t="str">
        <x:f>IF(COUNTA(A110:F110)=0,"",IF(K110&lt;&gt;"","Review",IF(I110&lt;0,"Overdue",IF(I110=0,"Due now",IF(I110&lt;=M110,"Due soon","Not due")))))</x:f>
      </x:c>
      <x:c r="H110" s="5" t="str">
        <x:f>IF(OR(COUNTA(A110:F110)=0,COUNTIFS('Rules'!$G$7:$G$26,"="&amp;(SUBSTITUTE(SUBSTITUTE(SUBSTITUTE(SUBSTITUTE("type:"&amp;B110,"%","%25"),"~","%7E"),"*","%2A"),"?","%3F")))&lt;&gt;1),"",IF(OR(INDEX('Rules'!$B$7:$B$26,MATCH(SUBSTITUTE(SUBSTITUTE(SUBSTITUTE(SUBSTITUTE("type:"&amp;B110,"%","%25"),"~","%7E"),"*","%2A"),"?","%3F"),'Rules'!$G$7:$G$26,0))="hours",INDEX('Rules'!$B$7:$B$26,MATCH(SUBSTITUTE(SUBSTITUTE(SUBSTITUTE(SUBSTITUTE("type:"&amp;B110,"%","%25"),"~","%7E"),"*","%2A"),"?","%3F"),'Rules'!$G$7:$G$26,0))="km"),INDEX('Rules'!$B$7:$B$26,MATCH(SUBSTITUTE(SUBSTITUTE(SUBSTITUTE(SUBSTITUTE("type:"&amp;B110,"%","%25"),"~","%7E"),"*","%2A"),"?","%3F"),'Rules'!$G$7:$G$26,0)),""))</x:f>
      </x:c>
      <x:c r="I110" s="6" t="str">
        <x:f>IF(AND(NOT(COUNTA(A110:F110)=0),K110=""),ROUND(J110-D110,3),"")</x:f>
      </x:c>
      <x:c r="J110" s="6" t="str">
        <x:f>IF(AND(NOT(COUNTA(A110:F110)=0),K110=""),ROUND(F110+L110,3),"")</x:f>
      </x:c>
      <x:c r="K110" s="5" t="str">
        <x:f>IF(COUNTA(A110:F110)=0,"",IF(A110="","Missing equipment ID",IF(COUNTIFS($N$8:$N$2007,"="&amp;N110)&gt;1,"Duplicate equipment ID",IF(B110="","Missing type",IF(COUNTIFS('Rules'!$G$7:$G$26,"="&amp;(SUBSTITUTE(SUBSTITUTE(SUBSTITUTE(SUBSTITUTE("type:"&amp;B110,"%","%25"),"~","%7E"),"*","%2A"),"?","%3F")))=0,"Unknown type",IF(COUNTIFS('Rules'!$G$7:$G$26,"="&amp;(SUBSTITUTE(SUBSTITUTE(SUBSTITUTE(SUBSTITUTE("type:"&amp;B110,"%","%25"),"~","%7E"),"*","%2A"),"?","%3F")))&gt;1,"Duplicate type",IF(INDEX('Rules'!$F$7:$F$26,MATCH(SUBSTITUTE(SUBSTITUTE(SUBSTITUTE(SUBSTITUTE("type:"&amp;B110,"%","%25"),"~","%7E"),"*","%2A"),"?","%3F"),'Rules'!$G$7:$G$26,0))&lt;&gt;"",INDEX('Rules'!$F$7:$F$26,MATCH(SUBSTITUTE(SUBSTITUTE(SUBSTITUTE(SUBSTITUTE("type:"&amp;B110,"%","%25"),"~","%7E"),"*","%2A"),"?","%3F"),'Rules'!$G$7:$G$26,0)),IF(AND(C110&lt;&gt;"",C110&lt;&gt;INDEX('Rules'!$B$7:$B$26,MATCH(SUBSTITUTE(SUBSTITUTE(SUBSTITUTE(SUBSTITUTE("type:"&amp;B110,"%","%25"),"~","%7E"),"*","%2A"),"?","%3F"),'Rules'!$G$7:$G$26,0))),"Unit mismatch",IF(IF(NOT(ISNUMBER(D110)),TRUE,OR(D110&lt;0,D110&gt;999999999,ROUND(D110,3)&lt;&gt;D110)),"Invalid current reading",IF(AND(E110&lt;&gt;"",IF(NOT(ISNUMBER(E110)),TRUE,OR(E110&lt;0,E110&gt;999999999,ROUND(E110,3)&lt;&gt;E110))),"Invalid previous reading",IF(IF(NOT(ISNUMBER(F110)),TRUE,OR(F110&lt;0,F110&gt;999999999,ROUND(F110,3)&lt;&gt;F110)),"Invalid last service",IF(AND(E110&lt;&gt;"",D110&lt;E110),"Decreased reading",IF(F110&gt;D110,"Last service above current","")))))))))))))</x:f>
      </x:c>
      <x:c r="L110" s="6" t="str">
        <x:f>IF(AND(NOT(COUNTA(A110:F110)=0),K110=""),INDEX('Rules'!$C$7:$C$26,MATCH(SUBSTITUTE(SUBSTITUTE(SUBSTITUTE(SUBSTITUTE("type:"&amp;B110,"%","%25"),"~","%7E"),"*","%2A"),"?","%3F"),'Rules'!$G$7:$G$26,0)),"")</x:f>
      </x:c>
      <x:c r="M110" s="6" t="str">
        <x:f>IF(AND(NOT(COUNTA(A110:F110)=0),K110=""),INDEX('Rules'!$D$7:$D$26,MATCH(SUBSTITUTE(SUBSTITUTE(SUBSTITUTE(SUBSTITUTE("type:"&amp;B110,"%","%25"),"~","%7E"),"*","%2A"),"?","%3F"),'Rules'!$G$7:$G$26,0)),"")</x:f>
      </x:c>
      <x:c r="N110" s="5" t="str">
        <x:f>IF(COUNTA(A110:F110)=0,"",SUBSTITUTE(SUBSTITUTE(SUBSTITUTE(SUBSTITUTE("id:"&amp;A110,"%","%25"),"~","%7E"),"*","%2A"),"?","%3F"))</x:f>
      </x:c>
    </x:row>
    <x:row r="111" ht="22" customHeight="1">
      <x:c r="A111" s="3"/>
      <x:c r="B111" s="3"/>
      <x:c r="C111" s="3"/>
      <x:c r="D111" s="4"/>
      <x:c r="E111" s="4"/>
      <x:c r="F111" s="4"/>
      <x:c r="G111" s="5" t="str">
        <x:f>IF(COUNTA(A111:F111)=0,"",IF(K111&lt;&gt;"","Review",IF(I111&lt;0,"Overdue",IF(I111=0,"Due now",IF(I111&lt;=M111,"Due soon","Not due")))))</x:f>
      </x:c>
      <x:c r="H111" s="5" t="str">
        <x:f>IF(OR(COUNTA(A111:F111)=0,COUNTIFS('Rules'!$G$7:$G$26,"="&amp;(SUBSTITUTE(SUBSTITUTE(SUBSTITUTE(SUBSTITUTE("type:"&amp;B111,"%","%25"),"~","%7E"),"*","%2A"),"?","%3F")))&lt;&gt;1),"",IF(OR(INDEX('Rules'!$B$7:$B$26,MATCH(SUBSTITUTE(SUBSTITUTE(SUBSTITUTE(SUBSTITUTE("type:"&amp;B111,"%","%25"),"~","%7E"),"*","%2A"),"?","%3F"),'Rules'!$G$7:$G$26,0))="hours",INDEX('Rules'!$B$7:$B$26,MATCH(SUBSTITUTE(SUBSTITUTE(SUBSTITUTE(SUBSTITUTE("type:"&amp;B111,"%","%25"),"~","%7E"),"*","%2A"),"?","%3F"),'Rules'!$G$7:$G$26,0))="km"),INDEX('Rules'!$B$7:$B$26,MATCH(SUBSTITUTE(SUBSTITUTE(SUBSTITUTE(SUBSTITUTE("type:"&amp;B111,"%","%25"),"~","%7E"),"*","%2A"),"?","%3F"),'Rules'!$G$7:$G$26,0)),""))</x:f>
      </x:c>
      <x:c r="I111" s="6" t="str">
        <x:f>IF(AND(NOT(COUNTA(A111:F111)=0),K111=""),ROUND(J111-D111,3),"")</x:f>
      </x:c>
      <x:c r="J111" s="6" t="str">
        <x:f>IF(AND(NOT(COUNTA(A111:F111)=0),K111=""),ROUND(F111+L111,3),"")</x:f>
      </x:c>
      <x:c r="K111" s="5" t="str">
        <x:f>IF(COUNTA(A111:F111)=0,"",IF(A111="","Missing equipment ID",IF(COUNTIFS($N$8:$N$2007,"="&amp;N111)&gt;1,"Duplicate equipment ID",IF(B111="","Missing type",IF(COUNTIFS('Rules'!$G$7:$G$26,"="&amp;(SUBSTITUTE(SUBSTITUTE(SUBSTITUTE(SUBSTITUTE("type:"&amp;B111,"%","%25"),"~","%7E"),"*","%2A"),"?","%3F")))=0,"Unknown type",IF(COUNTIFS('Rules'!$G$7:$G$26,"="&amp;(SUBSTITUTE(SUBSTITUTE(SUBSTITUTE(SUBSTITUTE("type:"&amp;B111,"%","%25"),"~","%7E"),"*","%2A"),"?","%3F")))&gt;1,"Duplicate type",IF(INDEX('Rules'!$F$7:$F$26,MATCH(SUBSTITUTE(SUBSTITUTE(SUBSTITUTE(SUBSTITUTE("type:"&amp;B111,"%","%25"),"~","%7E"),"*","%2A"),"?","%3F"),'Rules'!$G$7:$G$26,0))&lt;&gt;"",INDEX('Rules'!$F$7:$F$26,MATCH(SUBSTITUTE(SUBSTITUTE(SUBSTITUTE(SUBSTITUTE("type:"&amp;B111,"%","%25"),"~","%7E"),"*","%2A"),"?","%3F"),'Rules'!$G$7:$G$26,0)),IF(AND(C111&lt;&gt;"",C111&lt;&gt;INDEX('Rules'!$B$7:$B$26,MATCH(SUBSTITUTE(SUBSTITUTE(SUBSTITUTE(SUBSTITUTE("type:"&amp;B111,"%","%25"),"~","%7E"),"*","%2A"),"?","%3F"),'Rules'!$G$7:$G$26,0))),"Unit mismatch",IF(IF(NOT(ISNUMBER(D111)),TRUE,OR(D111&lt;0,D111&gt;999999999,ROUND(D111,3)&lt;&gt;D111)),"Invalid current reading",IF(AND(E111&lt;&gt;"",IF(NOT(ISNUMBER(E111)),TRUE,OR(E111&lt;0,E111&gt;999999999,ROUND(E111,3)&lt;&gt;E111))),"Invalid previous reading",IF(IF(NOT(ISNUMBER(F111)),TRUE,OR(F111&lt;0,F111&gt;999999999,ROUND(F111,3)&lt;&gt;F111)),"Invalid last service",IF(AND(E111&lt;&gt;"",D111&lt;E111),"Decreased reading",IF(F111&gt;D111,"Last service above current","")))))))))))))</x:f>
      </x:c>
      <x:c r="L111" s="6" t="str">
        <x:f>IF(AND(NOT(COUNTA(A111:F111)=0),K111=""),INDEX('Rules'!$C$7:$C$26,MATCH(SUBSTITUTE(SUBSTITUTE(SUBSTITUTE(SUBSTITUTE("type:"&amp;B111,"%","%25"),"~","%7E"),"*","%2A"),"?","%3F"),'Rules'!$G$7:$G$26,0)),"")</x:f>
      </x:c>
      <x:c r="M111" s="6" t="str">
        <x:f>IF(AND(NOT(COUNTA(A111:F111)=0),K111=""),INDEX('Rules'!$D$7:$D$26,MATCH(SUBSTITUTE(SUBSTITUTE(SUBSTITUTE(SUBSTITUTE("type:"&amp;B111,"%","%25"),"~","%7E"),"*","%2A"),"?","%3F"),'Rules'!$G$7:$G$26,0)),"")</x:f>
      </x:c>
      <x:c r="N111" s="5" t="str">
        <x:f>IF(COUNTA(A111:F111)=0,"",SUBSTITUTE(SUBSTITUTE(SUBSTITUTE(SUBSTITUTE("id:"&amp;A111,"%","%25"),"~","%7E"),"*","%2A"),"?","%3F"))</x:f>
      </x:c>
    </x:row>
    <x:row r="112" ht="22" customHeight="1">
      <x:c r="A112" s="3"/>
      <x:c r="B112" s="3"/>
      <x:c r="C112" s="3"/>
      <x:c r="D112" s="4"/>
      <x:c r="E112" s="4"/>
      <x:c r="F112" s="4"/>
      <x:c r="G112" s="5" t="str">
        <x:f>IF(COUNTA(A112:F112)=0,"",IF(K112&lt;&gt;"","Review",IF(I112&lt;0,"Overdue",IF(I112=0,"Due now",IF(I112&lt;=M112,"Due soon","Not due")))))</x:f>
      </x:c>
      <x:c r="H112" s="5" t="str">
        <x:f>IF(OR(COUNTA(A112:F112)=0,COUNTIFS('Rules'!$G$7:$G$26,"="&amp;(SUBSTITUTE(SUBSTITUTE(SUBSTITUTE(SUBSTITUTE("type:"&amp;B112,"%","%25"),"~","%7E"),"*","%2A"),"?","%3F")))&lt;&gt;1),"",IF(OR(INDEX('Rules'!$B$7:$B$26,MATCH(SUBSTITUTE(SUBSTITUTE(SUBSTITUTE(SUBSTITUTE("type:"&amp;B112,"%","%25"),"~","%7E"),"*","%2A"),"?","%3F"),'Rules'!$G$7:$G$26,0))="hours",INDEX('Rules'!$B$7:$B$26,MATCH(SUBSTITUTE(SUBSTITUTE(SUBSTITUTE(SUBSTITUTE("type:"&amp;B112,"%","%25"),"~","%7E"),"*","%2A"),"?","%3F"),'Rules'!$G$7:$G$26,0))="km"),INDEX('Rules'!$B$7:$B$26,MATCH(SUBSTITUTE(SUBSTITUTE(SUBSTITUTE(SUBSTITUTE("type:"&amp;B112,"%","%25"),"~","%7E"),"*","%2A"),"?","%3F"),'Rules'!$G$7:$G$26,0)),""))</x:f>
      </x:c>
      <x:c r="I112" s="6" t="str">
        <x:f>IF(AND(NOT(COUNTA(A112:F112)=0),K112=""),ROUND(J112-D112,3),"")</x:f>
      </x:c>
      <x:c r="J112" s="6" t="str">
        <x:f>IF(AND(NOT(COUNTA(A112:F112)=0),K112=""),ROUND(F112+L112,3),"")</x:f>
      </x:c>
      <x:c r="K112" s="5" t="str">
        <x:f>IF(COUNTA(A112:F112)=0,"",IF(A112="","Missing equipment ID",IF(COUNTIFS($N$8:$N$2007,"="&amp;N112)&gt;1,"Duplicate equipment ID",IF(B112="","Missing type",IF(COUNTIFS('Rules'!$G$7:$G$26,"="&amp;(SUBSTITUTE(SUBSTITUTE(SUBSTITUTE(SUBSTITUTE("type:"&amp;B112,"%","%25"),"~","%7E"),"*","%2A"),"?","%3F")))=0,"Unknown type",IF(COUNTIFS('Rules'!$G$7:$G$26,"="&amp;(SUBSTITUTE(SUBSTITUTE(SUBSTITUTE(SUBSTITUTE("type:"&amp;B112,"%","%25"),"~","%7E"),"*","%2A"),"?","%3F")))&gt;1,"Duplicate type",IF(INDEX('Rules'!$F$7:$F$26,MATCH(SUBSTITUTE(SUBSTITUTE(SUBSTITUTE(SUBSTITUTE("type:"&amp;B112,"%","%25"),"~","%7E"),"*","%2A"),"?","%3F"),'Rules'!$G$7:$G$26,0))&lt;&gt;"",INDEX('Rules'!$F$7:$F$26,MATCH(SUBSTITUTE(SUBSTITUTE(SUBSTITUTE(SUBSTITUTE("type:"&amp;B112,"%","%25"),"~","%7E"),"*","%2A"),"?","%3F"),'Rules'!$G$7:$G$26,0)),IF(AND(C112&lt;&gt;"",C112&lt;&gt;INDEX('Rules'!$B$7:$B$26,MATCH(SUBSTITUTE(SUBSTITUTE(SUBSTITUTE(SUBSTITUTE("type:"&amp;B112,"%","%25"),"~","%7E"),"*","%2A"),"?","%3F"),'Rules'!$G$7:$G$26,0))),"Unit mismatch",IF(IF(NOT(ISNUMBER(D112)),TRUE,OR(D112&lt;0,D112&gt;999999999,ROUND(D112,3)&lt;&gt;D112)),"Invalid current reading",IF(AND(E112&lt;&gt;"",IF(NOT(ISNUMBER(E112)),TRUE,OR(E112&lt;0,E112&gt;999999999,ROUND(E112,3)&lt;&gt;E112))),"Invalid previous reading",IF(IF(NOT(ISNUMBER(F112)),TRUE,OR(F112&lt;0,F112&gt;999999999,ROUND(F112,3)&lt;&gt;F112)),"Invalid last service",IF(AND(E112&lt;&gt;"",D112&lt;E112),"Decreased reading",IF(F112&gt;D112,"Last service above current","")))))))))))))</x:f>
      </x:c>
      <x:c r="L112" s="6" t="str">
        <x:f>IF(AND(NOT(COUNTA(A112:F112)=0),K112=""),INDEX('Rules'!$C$7:$C$26,MATCH(SUBSTITUTE(SUBSTITUTE(SUBSTITUTE(SUBSTITUTE("type:"&amp;B112,"%","%25"),"~","%7E"),"*","%2A"),"?","%3F"),'Rules'!$G$7:$G$26,0)),"")</x:f>
      </x:c>
      <x:c r="M112" s="6" t="str">
        <x:f>IF(AND(NOT(COUNTA(A112:F112)=0),K112=""),INDEX('Rules'!$D$7:$D$26,MATCH(SUBSTITUTE(SUBSTITUTE(SUBSTITUTE(SUBSTITUTE("type:"&amp;B112,"%","%25"),"~","%7E"),"*","%2A"),"?","%3F"),'Rules'!$G$7:$G$26,0)),"")</x:f>
      </x:c>
      <x:c r="N112" s="5" t="str">
        <x:f>IF(COUNTA(A112:F112)=0,"",SUBSTITUTE(SUBSTITUTE(SUBSTITUTE(SUBSTITUTE("id:"&amp;A112,"%","%25"),"~","%7E"),"*","%2A"),"?","%3F"))</x:f>
      </x:c>
    </x:row>
    <x:row r="113" ht="22" customHeight="1">
      <x:c r="A113" s="3"/>
      <x:c r="B113" s="3"/>
      <x:c r="C113" s="3"/>
      <x:c r="D113" s="4"/>
      <x:c r="E113" s="4"/>
      <x:c r="F113" s="4"/>
      <x:c r="G113" s="5" t="str">
        <x:f>IF(COUNTA(A113:F113)=0,"",IF(K113&lt;&gt;"","Review",IF(I113&lt;0,"Overdue",IF(I113=0,"Due now",IF(I113&lt;=M113,"Due soon","Not due")))))</x:f>
      </x:c>
      <x:c r="H113" s="5" t="str">
        <x:f>IF(OR(COUNTA(A113:F113)=0,COUNTIFS('Rules'!$G$7:$G$26,"="&amp;(SUBSTITUTE(SUBSTITUTE(SUBSTITUTE(SUBSTITUTE("type:"&amp;B113,"%","%25"),"~","%7E"),"*","%2A"),"?","%3F")))&lt;&gt;1),"",IF(OR(INDEX('Rules'!$B$7:$B$26,MATCH(SUBSTITUTE(SUBSTITUTE(SUBSTITUTE(SUBSTITUTE("type:"&amp;B113,"%","%25"),"~","%7E"),"*","%2A"),"?","%3F"),'Rules'!$G$7:$G$26,0))="hours",INDEX('Rules'!$B$7:$B$26,MATCH(SUBSTITUTE(SUBSTITUTE(SUBSTITUTE(SUBSTITUTE("type:"&amp;B113,"%","%25"),"~","%7E"),"*","%2A"),"?","%3F"),'Rules'!$G$7:$G$26,0))="km"),INDEX('Rules'!$B$7:$B$26,MATCH(SUBSTITUTE(SUBSTITUTE(SUBSTITUTE(SUBSTITUTE("type:"&amp;B113,"%","%25"),"~","%7E"),"*","%2A"),"?","%3F"),'Rules'!$G$7:$G$26,0)),""))</x:f>
      </x:c>
      <x:c r="I113" s="6" t="str">
        <x:f>IF(AND(NOT(COUNTA(A113:F113)=0),K113=""),ROUND(J113-D113,3),"")</x:f>
      </x:c>
      <x:c r="J113" s="6" t="str">
        <x:f>IF(AND(NOT(COUNTA(A113:F113)=0),K113=""),ROUND(F113+L113,3),"")</x:f>
      </x:c>
      <x:c r="K113" s="5" t="str">
        <x:f>IF(COUNTA(A113:F113)=0,"",IF(A113="","Missing equipment ID",IF(COUNTIFS($N$8:$N$2007,"="&amp;N113)&gt;1,"Duplicate equipment ID",IF(B113="","Missing type",IF(COUNTIFS('Rules'!$G$7:$G$26,"="&amp;(SUBSTITUTE(SUBSTITUTE(SUBSTITUTE(SUBSTITUTE("type:"&amp;B113,"%","%25"),"~","%7E"),"*","%2A"),"?","%3F")))=0,"Unknown type",IF(COUNTIFS('Rules'!$G$7:$G$26,"="&amp;(SUBSTITUTE(SUBSTITUTE(SUBSTITUTE(SUBSTITUTE("type:"&amp;B113,"%","%25"),"~","%7E"),"*","%2A"),"?","%3F")))&gt;1,"Duplicate type",IF(INDEX('Rules'!$F$7:$F$26,MATCH(SUBSTITUTE(SUBSTITUTE(SUBSTITUTE(SUBSTITUTE("type:"&amp;B113,"%","%25"),"~","%7E"),"*","%2A"),"?","%3F"),'Rules'!$G$7:$G$26,0))&lt;&gt;"",INDEX('Rules'!$F$7:$F$26,MATCH(SUBSTITUTE(SUBSTITUTE(SUBSTITUTE(SUBSTITUTE("type:"&amp;B113,"%","%25"),"~","%7E"),"*","%2A"),"?","%3F"),'Rules'!$G$7:$G$26,0)),IF(AND(C113&lt;&gt;"",C113&lt;&gt;INDEX('Rules'!$B$7:$B$26,MATCH(SUBSTITUTE(SUBSTITUTE(SUBSTITUTE(SUBSTITUTE("type:"&amp;B113,"%","%25"),"~","%7E"),"*","%2A"),"?","%3F"),'Rules'!$G$7:$G$26,0))),"Unit mismatch",IF(IF(NOT(ISNUMBER(D113)),TRUE,OR(D113&lt;0,D113&gt;999999999,ROUND(D113,3)&lt;&gt;D113)),"Invalid current reading",IF(AND(E113&lt;&gt;"",IF(NOT(ISNUMBER(E113)),TRUE,OR(E113&lt;0,E113&gt;999999999,ROUND(E113,3)&lt;&gt;E113))),"Invalid previous reading",IF(IF(NOT(ISNUMBER(F113)),TRUE,OR(F113&lt;0,F113&gt;999999999,ROUND(F113,3)&lt;&gt;F113)),"Invalid last service",IF(AND(E113&lt;&gt;"",D113&lt;E113),"Decreased reading",IF(F113&gt;D113,"Last service above current","")))))))))))))</x:f>
      </x:c>
      <x:c r="L113" s="6" t="str">
        <x:f>IF(AND(NOT(COUNTA(A113:F113)=0),K113=""),INDEX('Rules'!$C$7:$C$26,MATCH(SUBSTITUTE(SUBSTITUTE(SUBSTITUTE(SUBSTITUTE("type:"&amp;B113,"%","%25"),"~","%7E"),"*","%2A"),"?","%3F"),'Rules'!$G$7:$G$26,0)),"")</x:f>
      </x:c>
      <x:c r="M113" s="6" t="str">
        <x:f>IF(AND(NOT(COUNTA(A113:F113)=0),K113=""),INDEX('Rules'!$D$7:$D$26,MATCH(SUBSTITUTE(SUBSTITUTE(SUBSTITUTE(SUBSTITUTE("type:"&amp;B113,"%","%25"),"~","%7E"),"*","%2A"),"?","%3F"),'Rules'!$G$7:$G$26,0)),"")</x:f>
      </x:c>
      <x:c r="N113" s="5" t="str">
        <x:f>IF(COUNTA(A113:F113)=0,"",SUBSTITUTE(SUBSTITUTE(SUBSTITUTE(SUBSTITUTE("id:"&amp;A113,"%","%25"),"~","%7E"),"*","%2A"),"?","%3F"))</x:f>
      </x:c>
    </x:row>
    <x:row r="114" ht="22" customHeight="1">
      <x:c r="A114" s="3"/>
      <x:c r="B114" s="3"/>
      <x:c r="C114" s="3"/>
      <x:c r="D114" s="4"/>
      <x:c r="E114" s="4"/>
      <x:c r="F114" s="4"/>
      <x:c r="G114" s="5" t="str">
        <x:f>IF(COUNTA(A114:F114)=0,"",IF(K114&lt;&gt;"","Review",IF(I114&lt;0,"Overdue",IF(I114=0,"Due now",IF(I114&lt;=M114,"Due soon","Not due")))))</x:f>
      </x:c>
      <x:c r="H114" s="5" t="str">
        <x:f>IF(OR(COUNTA(A114:F114)=0,COUNTIFS('Rules'!$G$7:$G$26,"="&amp;(SUBSTITUTE(SUBSTITUTE(SUBSTITUTE(SUBSTITUTE("type:"&amp;B114,"%","%25"),"~","%7E"),"*","%2A"),"?","%3F")))&lt;&gt;1),"",IF(OR(INDEX('Rules'!$B$7:$B$26,MATCH(SUBSTITUTE(SUBSTITUTE(SUBSTITUTE(SUBSTITUTE("type:"&amp;B114,"%","%25"),"~","%7E"),"*","%2A"),"?","%3F"),'Rules'!$G$7:$G$26,0))="hours",INDEX('Rules'!$B$7:$B$26,MATCH(SUBSTITUTE(SUBSTITUTE(SUBSTITUTE(SUBSTITUTE("type:"&amp;B114,"%","%25"),"~","%7E"),"*","%2A"),"?","%3F"),'Rules'!$G$7:$G$26,0))="km"),INDEX('Rules'!$B$7:$B$26,MATCH(SUBSTITUTE(SUBSTITUTE(SUBSTITUTE(SUBSTITUTE("type:"&amp;B114,"%","%25"),"~","%7E"),"*","%2A"),"?","%3F"),'Rules'!$G$7:$G$26,0)),""))</x:f>
      </x:c>
      <x:c r="I114" s="6" t="str">
        <x:f>IF(AND(NOT(COUNTA(A114:F114)=0),K114=""),ROUND(J114-D114,3),"")</x:f>
      </x:c>
      <x:c r="J114" s="6" t="str">
        <x:f>IF(AND(NOT(COUNTA(A114:F114)=0),K114=""),ROUND(F114+L114,3),"")</x:f>
      </x:c>
      <x:c r="K114" s="5" t="str">
        <x:f>IF(COUNTA(A114:F114)=0,"",IF(A114="","Missing equipment ID",IF(COUNTIFS($N$8:$N$2007,"="&amp;N114)&gt;1,"Duplicate equipment ID",IF(B114="","Missing type",IF(COUNTIFS('Rules'!$G$7:$G$26,"="&amp;(SUBSTITUTE(SUBSTITUTE(SUBSTITUTE(SUBSTITUTE("type:"&amp;B114,"%","%25"),"~","%7E"),"*","%2A"),"?","%3F")))=0,"Unknown type",IF(COUNTIFS('Rules'!$G$7:$G$26,"="&amp;(SUBSTITUTE(SUBSTITUTE(SUBSTITUTE(SUBSTITUTE("type:"&amp;B114,"%","%25"),"~","%7E"),"*","%2A"),"?","%3F")))&gt;1,"Duplicate type",IF(INDEX('Rules'!$F$7:$F$26,MATCH(SUBSTITUTE(SUBSTITUTE(SUBSTITUTE(SUBSTITUTE("type:"&amp;B114,"%","%25"),"~","%7E"),"*","%2A"),"?","%3F"),'Rules'!$G$7:$G$26,0))&lt;&gt;"",INDEX('Rules'!$F$7:$F$26,MATCH(SUBSTITUTE(SUBSTITUTE(SUBSTITUTE(SUBSTITUTE("type:"&amp;B114,"%","%25"),"~","%7E"),"*","%2A"),"?","%3F"),'Rules'!$G$7:$G$26,0)),IF(AND(C114&lt;&gt;"",C114&lt;&gt;INDEX('Rules'!$B$7:$B$26,MATCH(SUBSTITUTE(SUBSTITUTE(SUBSTITUTE(SUBSTITUTE("type:"&amp;B114,"%","%25"),"~","%7E"),"*","%2A"),"?","%3F"),'Rules'!$G$7:$G$26,0))),"Unit mismatch",IF(IF(NOT(ISNUMBER(D114)),TRUE,OR(D114&lt;0,D114&gt;999999999,ROUND(D114,3)&lt;&gt;D114)),"Invalid current reading",IF(AND(E114&lt;&gt;"",IF(NOT(ISNUMBER(E114)),TRUE,OR(E114&lt;0,E114&gt;999999999,ROUND(E114,3)&lt;&gt;E114))),"Invalid previous reading",IF(IF(NOT(ISNUMBER(F114)),TRUE,OR(F114&lt;0,F114&gt;999999999,ROUND(F114,3)&lt;&gt;F114)),"Invalid last service",IF(AND(E114&lt;&gt;"",D114&lt;E114),"Decreased reading",IF(F114&gt;D114,"Last service above current","")))))))))))))</x:f>
      </x:c>
      <x:c r="L114" s="6" t="str">
        <x:f>IF(AND(NOT(COUNTA(A114:F114)=0),K114=""),INDEX('Rules'!$C$7:$C$26,MATCH(SUBSTITUTE(SUBSTITUTE(SUBSTITUTE(SUBSTITUTE("type:"&amp;B114,"%","%25"),"~","%7E"),"*","%2A"),"?","%3F"),'Rules'!$G$7:$G$26,0)),"")</x:f>
      </x:c>
      <x:c r="M114" s="6" t="str">
        <x:f>IF(AND(NOT(COUNTA(A114:F114)=0),K114=""),INDEX('Rules'!$D$7:$D$26,MATCH(SUBSTITUTE(SUBSTITUTE(SUBSTITUTE(SUBSTITUTE("type:"&amp;B114,"%","%25"),"~","%7E"),"*","%2A"),"?","%3F"),'Rules'!$G$7:$G$26,0)),"")</x:f>
      </x:c>
      <x:c r="N114" s="5" t="str">
        <x:f>IF(COUNTA(A114:F114)=0,"",SUBSTITUTE(SUBSTITUTE(SUBSTITUTE(SUBSTITUTE("id:"&amp;A114,"%","%25"),"~","%7E"),"*","%2A"),"?","%3F"))</x:f>
      </x:c>
    </x:row>
    <x:row r="115" ht="22" customHeight="1">
      <x:c r="A115" s="3"/>
      <x:c r="B115" s="3"/>
      <x:c r="C115" s="3"/>
      <x:c r="D115" s="4"/>
      <x:c r="E115" s="4"/>
      <x:c r="F115" s="4"/>
      <x:c r="G115" s="5" t="str">
        <x:f>IF(COUNTA(A115:F115)=0,"",IF(K115&lt;&gt;"","Review",IF(I115&lt;0,"Overdue",IF(I115=0,"Due now",IF(I115&lt;=M115,"Due soon","Not due")))))</x:f>
      </x:c>
      <x:c r="H115" s="5" t="str">
        <x:f>IF(OR(COUNTA(A115:F115)=0,COUNTIFS('Rules'!$G$7:$G$26,"="&amp;(SUBSTITUTE(SUBSTITUTE(SUBSTITUTE(SUBSTITUTE("type:"&amp;B115,"%","%25"),"~","%7E"),"*","%2A"),"?","%3F")))&lt;&gt;1),"",IF(OR(INDEX('Rules'!$B$7:$B$26,MATCH(SUBSTITUTE(SUBSTITUTE(SUBSTITUTE(SUBSTITUTE("type:"&amp;B115,"%","%25"),"~","%7E"),"*","%2A"),"?","%3F"),'Rules'!$G$7:$G$26,0))="hours",INDEX('Rules'!$B$7:$B$26,MATCH(SUBSTITUTE(SUBSTITUTE(SUBSTITUTE(SUBSTITUTE("type:"&amp;B115,"%","%25"),"~","%7E"),"*","%2A"),"?","%3F"),'Rules'!$G$7:$G$26,0))="km"),INDEX('Rules'!$B$7:$B$26,MATCH(SUBSTITUTE(SUBSTITUTE(SUBSTITUTE(SUBSTITUTE("type:"&amp;B115,"%","%25"),"~","%7E"),"*","%2A"),"?","%3F"),'Rules'!$G$7:$G$26,0)),""))</x:f>
      </x:c>
      <x:c r="I115" s="6" t="str">
        <x:f>IF(AND(NOT(COUNTA(A115:F115)=0),K115=""),ROUND(J115-D115,3),"")</x:f>
      </x:c>
      <x:c r="J115" s="6" t="str">
        <x:f>IF(AND(NOT(COUNTA(A115:F115)=0),K115=""),ROUND(F115+L115,3),"")</x:f>
      </x:c>
      <x:c r="K115" s="5" t="str">
        <x:f>IF(COUNTA(A115:F115)=0,"",IF(A115="","Missing equipment ID",IF(COUNTIFS($N$8:$N$2007,"="&amp;N115)&gt;1,"Duplicate equipment ID",IF(B115="","Missing type",IF(COUNTIFS('Rules'!$G$7:$G$26,"="&amp;(SUBSTITUTE(SUBSTITUTE(SUBSTITUTE(SUBSTITUTE("type:"&amp;B115,"%","%25"),"~","%7E"),"*","%2A"),"?","%3F")))=0,"Unknown type",IF(COUNTIFS('Rules'!$G$7:$G$26,"="&amp;(SUBSTITUTE(SUBSTITUTE(SUBSTITUTE(SUBSTITUTE("type:"&amp;B115,"%","%25"),"~","%7E"),"*","%2A"),"?","%3F")))&gt;1,"Duplicate type",IF(INDEX('Rules'!$F$7:$F$26,MATCH(SUBSTITUTE(SUBSTITUTE(SUBSTITUTE(SUBSTITUTE("type:"&amp;B115,"%","%25"),"~","%7E"),"*","%2A"),"?","%3F"),'Rules'!$G$7:$G$26,0))&lt;&gt;"",INDEX('Rules'!$F$7:$F$26,MATCH(SUBSTITUTE(SUBSTITUTE(SUBSTITUTE(SUBSTITUTE("type:"&amp;B115,"%","%25"),"~","%7E"),"*","%2A"),"?","%3F"),'Rules'!$G$7:$G$26,0)),IF(AND(C115&lt;&gt;"",C115&lt;&gt;INDEX('Rules'!$B$7:$B$26,MATCH(SUBSTITUTE(SUBSTITUTE(SUBSTITUTE(SUBSTITUTE("type:"&amp;B115,"%","%25"),"~","%7E"),"*","%2A"),"?","%3F"),'Rules'!$G$7:$G$26,0))),"Unit mismatch",IF(IF(NOT(ISNUMBER(D115)),TRUE,OR(D115&lt;0,D115&gt;999999999,ROUND(D115,3)&lt;&gt;D115)),"Invalid current reading",IF(AND(E115&lt;&gt;"",IF(NOT(ISNUMBER(E115)),TRUE,OR(E115&lt;0,E115&gt;999999999,ROUND(E115,3)&lt;&gt;E115))),"Invalid previous reading",IF(IF(NOT(ISNUMBER(F115)),TRUE,OR(F115&lt;0,F115&gt;999999999,ROUND(F115,3)&lt;&gt;F115)),"Invalid last service",IF(AND(E115&lt;&gt;"",D115&lt;E115),"Decreased reading",IF(F115&gt;D115,"Last service above current","")))))))))))))</x:f>
      </x:c>
      <x:c r="L115" s="6" t="str">
        <x:f>IF(AND(NOT(COUNTA(A115:F115)=0),K115=""),INDEX('Rules'!$C$7:$C$26,MATCH(SUBSTITUTE(SUBSTITUTE(SUBSTITUTE(SUBSTITUTE("type:"&amp;B115,"%","%25"),"~","%7E"),"*","%2A"),"?","%3F"),'Rules'!$G$7:$G$26,0)),"")</x:f>
      </x:c>
      <x:c r="M115" s="6" t="str">
        <x:f>IF(AND(NOT(COUNTA(A115:F115)=0),K115=""),INDEX('Rules'!$D$7:$D$26,MATCH(SUBSTITUTE(SUBSTITUTE(SUBSTITUTE(SUBSTITUTE("type:"&amp;B115,"%","%25"),"~","%7E"),"*","%2A"),"?","%3F"),'Rules'!$G$7:$G$26,0)),"")</x:f>
      </x:c>
      <x:c r="N115" s="5" t="str">
        <x:f>IF(COUNTA(A115:F115)=0,"",SUBSTITUTE(SUBSTITUTE(SUBSTITUTE(SUBSTITUTE("id:"&amp;A115,"%","%25"),"~","%7E"),"*","%2A"),"?","%3F"))</x:f>
      </x:c>
    </x:row>
    <x:row r="116" ht="22" customHeight="1">
      <x:c r="A116" s="3"/>
      <x:c r="B116" s="3"/>
      <x:c r="C116" s="3"/>
      <x:c r="D116" s="4"/>
      <x:c r="E116" s="4"/>
      <x:c r="F116" s="4"/>
      <x:c r="G116" s="5" t="str">
        <x:f>IF(COUNTA(A116:F116)=0,"",IF(K116&lt;&gt;"","Review",IF(I116&lt;0,"Overdue",IF(I116=0,"Due now",IF(I116&lt;=M116,"Due soon","Not due")))))</x:f>
      </x:c>
      <x:c r="H116" s="5" t="str">
        <x:f>IF(OR(COUNTA(A116:F116)=0,COUNTIFS('Rules'!$G$7:$G$26,"="&amp;(SUBSTITUTE(SUBSTITUTE(SUBSTITUTE(SUBSTITUTE("type:"&amp;B116,"%","%25"),"~","%7E"),"*","%2A"),"?","%3F")))&lt;&gt;1),"",IF(OR(INDEX('Rules'!$B$7:$B$26,MATCH(SUBSTITUTE(SUBSTITUTE(SUBSTITUTE(SUBSTITUTE("type:"&amp;B116,"%","%25"),"~","%7E"),"*","%2A"),"?","%3F"),'Rules'!$G$7:$G$26,0))="hours",INDEX('Rules'!$B$7:$B$26,MATCH(SUBSTITUTE(SUBSTITUTE(SUBSTITUTE(SUBSTITUTE("type:"&amp;B116,"%","%25"),"~","%7E"),"*","%2A"),"?","%3F"),'Rules'!$G$7:$G$26,0))="km"),INDEX('Rules'!$B$7:$B$26,MATCH(SUBSTITUTE(SUBSTITUTE(SUBSTITUTE(SUBSTITUTE("type:"&amp;B116,"%","%25"),"~","%7E"),"*","%2A"),"?","%3F"),'Rules'!$G$7:$G$26,0)),""))</x:f>
      </x:c>
      <x:c r="I116" s="6" t="str">
        <x:f>IF(AND(NOT(COUNTA(A116:F116)=0),K116=""),ROUND(J116-D116,3),"")</x:f>
      </x:c>
      <x:c r="J116" s="6" t="str">
        <x:f>IF(AND(NOT(COUNTA(A116:F116)=0),K116=""),ROUND(F116+L116,3),"")</x:f>
      </x:c>
      <x:c r="K116" s="5" t="str">
        <x:f>IF(COUNTA(A116:F116)=0,"",IF(A116="","Missing equipment ID",IF(COUNTIFS($N$8:$N$2007,"="&amp;N116)&gt;1,"Duplicate equipment ID",IF(B116="","Missing type",IF(COUNTIFS('Rules'!$G$7:$G$26,"="&amp;(SUBSTITUTE(SUBSTITUTE(SUBSTITUTE(SUBSTITUTE("type:"&amp;B116,"%","%25"),"~","%7E"),"*","%2A"),"?","%3F")))=0,"Unknown type",IF(COUNTIFS('Rules'!$G$7:$G$26,"="&amp;(SUBSTITUTE(SUBSTITUTE(SUBSTITUTE(SUBSTITUTE("type:"&amp;B116,"%","%25"),"~","%7E"),"*","%2A"),"?","%3F")))&gt;1,"Duplicate type",IF(INDEX('Rules'!$F$7:$F$26,MATCH(SUBSTITUTE(SUBSTITUTE(SUBSTITUTE(SUBSTITUTE("type:"&amp;B116,"%","%25"),"~","%7E"),"*","%2A"),"?","%3F"),'Rules'!$G$7:$G$26,0))&lt;&gt;"",INDEX('Rules'!$F$7:$F$26,MATCH(SUBSTITUTE(SUBSTITUTE(SUBSTITUTE(SUBSTITUTE("type:"&amp;B116,"%","%25"),"~","%7E"),"*","%2A"),"?","%3F"),'Rules'!$G$7:$G$26,0)),IF(AND(C116&lt;&gt;"",C116&lt;&gt;INDEX('Rules'!$B$7:$B$26,MATCH(SUBSTITUTE(SUBSTITUTE(SUBSTITUTE(SUBSTITUTE("type:"&amp;B116,"%","%25"),"~","%7E"),"*","%2A"),"?","%3F"),'Rules'!$G$7:$G$26,0))),"Unit mismatch",IF(IF(NOT(ISNUMBER(D116)),TRUE,OR(D116&lt;0,D116&gt;999999999,ROUND(D116,3)&lt;&gt;D116)),"Invalid current reading",IF(AND(E116&lt;&gt;"",IF(NOT(ISNUMBER(E116)),TRUE,OR(E116&lt;0,E116&gt;999999999,ROUND(E116,3)&lt;&gt;E116))),"Invalid previous reading",IF(IF(NOT(ISNUMBER(F116)),TRUE,OR(F116&lt;0,F116&gt;999999999,ROUND(F116,3)&lt;&gt;F116)),"Invalid last service",IF(AND(E116&lt;&gt;"",D116&lt;E116),"Decreased reading",IF(F116&gt;D116,"Last service above current","")))))))))))))</x:f>
      </x:c>
      <x:c r="L116" s="6" t="str">
        <x:f>IF(AND(NOT(COUNTA(A116:F116)=0),K116=""),INDEX('Rules'!$C$7:$C$26,MATCH(SUBSTITUTE(SUBSTITUTE(SUBSTITUTE(SUBSTITUTE("type:"&amp;B116,"%","%25"),"~","%7E"),"*","%2A"),"?","%3F"),'Rules'!$G$7:$G$26,0)),"")</x:f>
      </x:c>
      <x:c r="M116" s="6" t="str">
        <x:f>IF(AND(NOT(COUNTA(A116:F116)=0),K116=""),INDEX('Rules'!$D$7:$D$26,MATCH(SUBSTITUTE(SUBSTITUTE(SUBSTITUTE(SUBSTITUTE("type:"&amp;B116,"%","%25"),"~","%7E"),"*","%2A"),"?","%3F"),'Rules'!$G$7:$G$26,0)),"")</x:f>
      </x:c>
      <x:c r="N116" s="5" t="str">
        <x:f>IF(COUNTA(A116:F116)=0,"",SUBSTITUTE(SUBSTITUTE(SUBSTITUTE(SUBSTITUTE("id:"&amp;A116,"%","%25"),"~","%7E"),"*","%2A"),"?","%3F"))</x:f>
      </x:c>
    </x:row>
    <x:row r="117" ht="22" customHeight="1">
      <x:c r="A117" s="3"/>
      <x:c r="B117" s="3"/>
      <x:c r="C117" s="3"/>
      <x:c r="D117" s="4"/>
      <x:c r="E117" s="4"/>
      <x:c r="F117" s="4"/>
      <x:c r="G117" s="5" t="str">
        <x:f>IF(COUNTA(A117:F117)=0,"",IF(K117&lt;&gt;"","Review",IF(I117&lt;0,"Overdue",IF(I117=0,"Due now",IF(I117&lt;=M117,"Due soon","Not due")))))</x:f>
      </x:c>
      <x:c r="H117" s="5" t="str">
        <x:f>IF(OR(COUNTA(A117:F117)=0,COUNTIFS('Rules'!$G$7:$G$26,"="&amp;(SUBSTITUTE(SUBSTITUTE(SUBSTITUTE(SUBSTITUTE("type:"&amp;B117,"%","%25"),"~","%7E"),"*","%2A"),"?","%3F")))&lt;&gt;1),"",IF(OR(INDEX('Rules'!$B$7:$B$26,MATCH(SUBSTITUTE(SUBSTITUTE(SUBSTITUTE(SUBSTITUTE("type:"&amp;B117,"%","%25"),"~","%7E"),"*","%2A"),"?","%3F"),'Rules'!$G$7:$G$26,0))="hours",INDEX('Rules'!$B$7:$B$26,MATCH(SUBSTITUTE(SUBSTITUTE(SUBSTITUTE(SUBSTITUTE("type:"&amp;B117,"%","%25"),"~","%7E"),"*","%2A"),"?","%3F"),'Rules'!$G$7:$G$26,0))="km"),INDEX('Rules'!$B$7:$B$26,MATCH(SUBSTITUTE(SUBSTITUTE(SUBSTITUTE(SUBSTITUTE("type:"&amp;B117,"%","%25"),"~","%7E"),"*","%2A"),"?","%3F"),'Rules'!$G$7:$G$26,0)),""))</x:f>
      </x:c>
      <x:c r="I117" s="6" t="str">
        <x:f>IF(AND(NOT(COUNTA(A117:F117)=0),K117=""),ROUND(J117-D117,3),"")</x:f>
      </x:c>
      <x:c r="J117" s="6" t="str">
        <x:f>IF(AND(NOT(COUNTA(A117:F117)=0),K117=""),ROUND(F117+L117,3),"")</x:f>
      </x:c>
      <x:c r="K117" s="5" t="str">
        <x:f>IF(COUNTA(A117:F117)=0,"",IF(A117="","Missing equipment ID",IF(COUNTIFS($N$8:$N$2007,"="&amp;N117)&gt;1,"Duplicate equipment ID",IF(B117="","Missing type",IF(COUNTIFS('Rules'!$G$7:$G$26,"="&amp;(SUBSTITUTE(SUBSTITUTE(SUBSTITUTE(SUBSTITUTE("type:"&amp;B117,"%","%25"),"~","%7E"),"*","%2A"),"?","%3F")))=0,"Unknown type",IF(COUNTIFS('Rules'!$G$7:$G$26,"="&amp;(SUBSTITUTE(SUBSTITUTE(SUBSTITUTE(SUBSTITUTE("type:"&amp;B117,"%","%25"),"~","%7E"),"*","%2A"),"?","%3F")))&gt;1,"Duplicate type",IF(INDEX('Rules'!$F$7:$F$26,MATCH(SUBSTITUTE(SUBSTITUTE(SUBSTITUTE(SUBSTITUTE("type:"&amp;B117,"%","%25"),"~","%7E"),"*","%2A"),"?","%3F"),'Rules'!$G$7:$G$26,0))&lt;&gt;"",INDEX('Rules'!$F$7:$F$26,MATCH(SUBSTITUTE(SUBSTITUTE(SUBSTITUTE(SUBSTITUTE("type:"&amp;B117,"%","%25"),"~","%7E"),"*","%2A"),"?","%3F"),'Rules'!$G$7:$G$26,0)),IF(AND(C117&lt;&gt;"",C117&lt;&gt;INDEX('Rules'!$B$7:$B$26,MATCH(SUBSTITUTE(SUBSTITUTE(SUBSTITUTE(SUBSTITUTE("type:"&amp;B117,"%","%25"),"~","%7E"),"*","%2A"),"?","%3F"),'Rules'!$G$7:$G$26,0))),"Unit mismatch",IF(IF(NOT(ISNUMBER(D117)),TRUE,OR(D117&lt;0,D117&gt;999999999,ROUND(D117,3)&lt;&gt;D117)),"Invalid current reading",IF(AND(E117&lt;&gt;"",IF(NOT(ISNUMBER(E117)),TRUE,OR(E117&lt;0,E117&gt;999999999,ROUND(E117,3)&lt;&gt;E117))),"Invalid previous reading",IF(IF(NOT(ISNUMBER(F117)),TRUE,OR(F117&lt;0,F117&gt;999999999,ROUND(F117,3)&lt;&gt;F117)),"Invalid last service",IF(AND(E117&lt;&gt;"",D117&lt;E117),"Decreased reading",IF(F117&gt;D117,"Last service above current","")))))))))))))</x:f>
      </x:c>
      <x:c r="L117" s="6" t="str">
        <x:f>IF(AND(NOT(COUNTA(A117:F117)=0),K117=""),INDEX('Rules'!$C$7:$C$26,MATCH(SUBSTITUTE(SUBSTITUTE(SUBSTITUTE(SUBSTITUTE("type:"&amp;B117,"%","%25"),"~","%7E"),"*","%2A"),"?","%3F"),'Rules'!$G$7:$G$26,0)),"")</x:f>
      </x:c>
      <x:c r="M117" s="6" t="str">
        <x:f>IF(AND(NOT(COUNTA(A117:F117)=0),K117=""),INDEX('Rules'!$D$7:$D$26,MATCH(SUBSTITUTE(SUBSTITUTE(SUBSTITUTE(SUBSTITUTE("type:"&amp;B117,"%","%25"),"~","%7E"),"*","%2A"),"?","%3F"),'Rules'!$G$7:$G$26,0)),"")</x:f>
      </x:c>
      <x:c r="N117" s="5" t="str">
        <x:f>IF(COUNTA(A117:F117)=0,"",SUBSTITUTE(SUBSTITUTE(SUBSTITUTE(SUBSTITUTE("id:"&amp;A117,"%","%25"),"~","%7E"),"*","%2A"),"?","%3F"))</x:f>
      </x:c>
    </x:row>
    <x:row r="118" ht="22" customHeight="1">
      <x:c r="A118" s="3"/>
      <x:c r="B118" s="3"/>
      <x:c r="C118" s="3"/>
      <x:c r="D118" s="4"/>
      <x:c r="E118" s="4"/>
      <x:c r="F118" s="4"/>
      <x:c r="G118" s="5" t="str">
        <x:f>IF(COUNTA(A118:F118)=0,"",IF(K118&lt;&gt;"","Review",IF(I118&lt;0,"Overdue",IF(I118=0,"Due now",IF(I118&lt;=M118,"Due soon","Not due")))))</x:f>
      </x:c>
      <x:c r="H118" s="5" t="str">
        <x:f>IF(OR(COUNTA(A118:F118)=0,COUNTIFS('Rules'!$G$7:$G$26,"="&amp;(SUBSTITUTE(SUBSTITUTE(SUBSTITUTE(SUBSTITUTE("type:"&amp;B118,"%","%25"),"~","%7E"),"*","%2A"),"?","%3F")))&lt;&gt;1),"",IF(OR(INDEX('Rules'!$B$7:$B$26,MATCH(SUBSTITUTE(SUBSTITUTE(SUBSTITUTE(SUBSTITUTE("type:"&amp;B118,"%","%25"),"~","%7E"),"*","%2A"),"?","%3F"),'Rules'!$G$7:$G$26,0))="hours",INDEX('Rules'!$B$7:$B$26,MATCH(SUBSTITUTE(SUBSTITUTE(SUBSTITUTE(SUBSTITUTE("type:"&amp;B118,"%","%25"),"~","%7E"),"*","%2A"),"?","%3F"),'Rules'!$G$7:$G$26,0))="km"),INDEX('Rules'!$B$7:$B$26,MATCH(SUBSTITUTE(SUBSTITUTE(SUBSTITUTE(SUBSTITUTE("type:"&amp;B118,"%","%25"),"~","%7E"),"*","%2A"),"?","%3F"),'Rules'!$G$7:$G$26,0)),""))</x:f>
      </x:c>
      <x:c r="I118" s="6" t="str">
        <x:f>IF(AND(NOT(COUNTA(A118:F118)=0),K118=""),ROUND(J118-D118,3),"")</x:f>
      </x:c>
      <x:c r="J118" s="6" t="str">
        <x:f>IF(AND(NOT(COUNTA(A118:F118)=0),K118=""),ROUND(F118+L118,3),"")</x:f>
      </x:c>
      <x:c r="K118" s="5" t="str">
        <x:f>IF(COUNTA(A118:F118)=0,"",IF(A118="","Missing equipment ID",IF(COUNTIFS($N$8:$N$2007,"="&amp;N118)&gt;1,"Duplicate equipment ID",IF(B118="","Missing type",IF(COUNTIFS('Rules'!$G$7:$G$26,"="&amp;(SUBSTITUTE(SUBSTITUTE(SUBSTITUTE(SUBSTITUTE("type:"&amp;B118,"%","%25"),"~","%7E"),"*","%2A"),"?","%3F")))=0,"Unknown type",IF(COUNTIFS('Rules'!$G$7:$G$26,"="&amp;(SUBSTITUTE(SUBSTITUTE(SUBSTITUTE(SUBSTITUTE("type:"&amp;B118,"%","%25"),"~","%7E"),"*","%2A"),"?","%3F")))&gt;1,"Duplicate type",IF(INDEX('Rules'!$F$7:$F$26,MATCH(SUBSTITUTE(SUBSTITUTE(SUBSTITUTE(SUBSTITUTE("type:"&amp;B118,"%","%25"),"~","%7E"),"*","%2A"),"?","%3F"),'Rules'!$G$7:$G$26,0))&lt;&gt;"",INDEX('Rules'!$F$7:$F$26,MATCH(SUBSTITUTE(SUBSTITUTE(SUBSTITUTE(SUBSTITUTE("type:"&amp;B118,"%","%25"),"~","%7E"),"*","%2A"),"?","%3F"),'Rules'!$G$7:$G$26,0)),IF(AND(C118&lt;&gt;"",C118&lt;&gt;INDEX('Rules'!$B$7:$B$26,MATCH(SUBSTITUTE(SUBSTITUTE(SUBSTITUTE(SUBSTITUTE("type:"&amp;B118,"%","%25"),"~","%7E"),"*","%2A"),"?","%3F"),'Rules'!$G$7:$G$26,0))),"Unit mismatch",IF(IF(NOT(ISNUMBER(D118)),TRUE,OR(D118&lt;0,D118&gt;999999999,ROUND(D118,3)&lt;&gt;D118)),"Invalid current reading",IF(AND(E118&lt;&gt;"",IF(NOT(ISNUMBER(E118)),TRUE,OR(E118&lt;0,E118&gt;999999999,ROUND(E118,3)&lt;&gt;E118))),"Invalid previous reading",IF(IF(NOT(ISNUMBER(F118)),TRUE,OR(F118&lt;0,F118&gt;999999999,ROUND(F118,3)&lt;&gt;F118)),"Invalid last service",IF(AND(E118&lt;&gt;"",D118&lt;E118),"Decreased reading",IF(F118&gt;D118,"Last service above current","")))))))))))))</x:f>
      </x:c>
      <x:c r="L118" s="6" t="str">
        <x:f>IF(AND(NOT(COUNTA(A118:F118)=0),K118=""),INDEX('Rules'!$C$7:$C$26,MATCH(SUBSTITUTE(SUBSTITUTE(SUBSTITUTE(SUBSTITUTE("type:"&amp;B118,"%","%25"),"~","%7E"),"*","%2A"),"?","%3F"),'Rules'!$G$7:$G$26,0)),"")</x:f>
      </x:c>
      <x:c r="M118" s="6" t="str">
        <x:f>IF(AND(NOT(COUNTA(A118:F118)=0),K118=""),INDEX('Rules'!$D$7:$D$26,MATCH(SUBSTITUTE(SUBSTITUTE(SUBSTITUTE(SUBSTITUTE("type:"&amp;B118,"%","%25"),"~","%7E"),"*","%2A"),"?","%3F"),'Rules'!$G$7:$G$26,0)),"")</x:f>
      </x:c>
      <x:c r="N118" s="5" t="str">
        <x:f>IF(COUNTA(A118:F118)=0,"",SUBSTITUTE(SUBSTITUTE(SUBSTITUTE(SUBSTITUTE("id:"&amp;A118,"%","%25"),"~","%7E"),"*","%2A"),"?","%3F"))</x:f>
      </x:c>
    </x:row>
    <x:row r="119" ht="22" customHeight="1">
      <x:c r="A119" s="3"/>
      <x:c r="B119" s="3"/>
      <x:c r="C119" s="3"/>
      <x:c r="D119" s="4"/>
      <x:c r="E119" s="4"/>
      <x:c r="F119" s="4"/>
      <x:c r="G119" s="5" t="str">
        <x:f>IF(COUNTA(A119:F119)=0,"",IF(K119&lt;&gt;"","Review",IF(I119&lt;0,"Overdue",IF(I119=0,"Due now",IF(I119&lt;=M119,"Due soon","Not due")))))</x:f>
      </x:c>
      <x:c r="H119" s="5" t="str">
        <x:f>IF(OR(COUNTA(A119:F119)=0,COUNTIFS('Rules'!$G$7:$G$26,"="&amp;(SUBSTITUTE(SUBSTITUTE(SUBSTITUTE(SUBSTITUTE("type:"&amp;B119,"%","%25"),"~","%7E"),"*","%2A"),"?","%3F")))&lt;&gt;1),"",IF(OR(INDEX('Rules'!$B$7:$B$26,MATCH(SUBSTITUTE(SUBSTITUTE(SUBSTITUTE(SUBSTITUTE("type:"&amp;B119,"%","%25"),"~","%7E"),"*","%2A"),"?","%3F"),'Rules'!$G$7:$G$26,0))="hours",INDEX('Rules'!$B$7:$B$26,MATCH(SUBSTITUTE(SUBSTITUTE(SUBSTITUTE(SUBSTITUTE("type:"&amp;B119,"%","%25"),"~","%7E"),"*","%2A"),"?","%3F"),'Rules'!$G$7:$G$26,0))="km"),INDEX('Rules'!$B$7:$B$26,MATCH(SUBSTITUTE(SUBSTITUTE(SUBSTITUTE(SUBSTITUTE("type:"&amp;B119,"%","%25"),"~","%7E"),"*","%2A"),"?","%3F"),'Rules'!$G$7:$G$26,0)),""))</x:f>
      </x:c>
      <x:c r="I119" s="6" t="str">
        <x:f>IF(AND(NOT(COUNTA(A119:F119)=0),K119=""),ROUND(J119-D119,3),"")</x:f>
      </x:c>
      <x:c r="J119" s="6" t="str">
        <x:f>IF(AND(NOT(COUNTA(A119:F119)=0),K119=""),ROUND(F119+L119,3),"")</x:f>
      </x:c>
      <x:c r="K119" s="5" t="str">
        <x:f>IF(COUNTA(A119:F119)=0,"",IF(A119="","Missing equipment ID",IF(COUNTIFS($N$8:$N$2007,"="&amp;N119)&gt;1,"Duplicate equipment ID",IF(B119="","Missing type",IF(COUNTIFS('Rules'!$G$7:$G$26,"="&amp;(SUBSTITUTE(SUBSTITUTE(SUBSTITUTE(SUBSTITUTE("type:"&amp;B119,"%","%25"),"~","%7E"),"*","%2A"),"?","%3F")))=0,"Unknown type",IF(COUNTIFS('Rules'!$G$7:$G$26,"="&amp;(SUBSTITUTE(SUBSTITUTE(SUBSTITUTE(SUBSTITUTE("type:"&amp;B119,"%","%25"),"~","%7E"),"*","%2A"),"?","%3F")))&gt;1,"Duplicate type",IF(INDEX('Rules'!$F$7:$F$26,MATCH(SUBSTITUTE(SUBSTITUTE(SUBSTITUTE(SUBSTITUTE("type:"&amp;B119,"%","%25"),"~","%7E"),"*","%2A"),"?","%3F"),'Rules'!$G$7:$G$26,0))&lt;&gt;"",INDEX('Rules'!$F$7:$F$26,MATCH(SUBSTITUTE(SUBSTITUTE(SUBSTITUTE(SUBSTITUTE("type:"&amp;B119,"%","%25"),"~","%7E"),"*","%2A"),"?","%3F"),'Rules'!$G$7:$G$26,0)),IF(AND(C119&lt;&gt;"",C119&lt;&gt;INDEX('Rules'!$B$7:$B$26,MATCH(SUBSTITUTE(SUBSTITUTE(SUBSTITUTE(SUBSTITUTE("type:"&amp;B119,"%","%25"),"~","%7E"),"*","%2A"),"?","%3F"),'Rules'!$G$7:$G$26,0))),"Unit mismatch",IF(IF(NOT(ISNUMBER(D119)),TRUE,OR(D119&lt;0,D119&gt;999999999,ROUND(D119,3)&lt;&gt;D119)),"Invalid current reading",IF(AND(E119&lt;&gt;"",IF(NOT(ISNUMBER(E119)),TRUE,OR(E119&lt;0,E119&gt;999999999,ROUND(E119,3)&lt;&gt;E119))),"Invalid previous reading",IF(IF(NOT(ISNUMBER(F119)),TRUE,OR(F119&lt;0,F119&gt;999999999,ROUND(F119,3)&lt;&gt;F119)),"Invalid last service",IF(AND(E119&lt;&gt;"",D119&lt;E119),"Decreased reading",IF(F119&gt;D119,"Last service above current","")))))))))))))</x:f>
      </x:c>
      <x:c r="L119" s="6" t="str">
        <x:f>IF(AND(NOT(COUNTA(A119:F119)=0),K119=""),INDEX('Rules'!$C$7:$C$26,MATCH(SUBSTITUTE(SUBSTITUTE(SUBSTITUTE(SUBSTITUTE("type:"&amp;B119,"%","%25"),"~","%7E"),"*","%2A"),"?","%3F"),'Rules'!$G$7:$G$26,0)),"")</x:f>
      </x:c>
      <x:c r="M119" s="6" t="str">
        <x:f>IF(AND(NOT(COUNTA(A119:F119)=0),K119=""),INDEX('Rules'!$D$7:$D$26,MATCH(SUBSTITUTE(SUBSTITUTE(SUBSTITUTE(SUBSTITUTE("type:"&amp;B119,"%","%25"),"~","%7E"),"*","%2A"),"?","%3F"),'Rules'!$G$7:$G$26,0)),"")</x:f>
      </x:c>
      <x:c r="N119" s="5" t="str">
        <x:f>IF(COUNTA(A119:F119)=0,"",SUBSTITUTE(SUBSTITUTE(SUBSTITUTE(SUBSTITUTE("id:"&amp;A119,"%","%25"),"~","%7E"),"*","%2A"),"?","%3F"))</x:f>
      </x:c>
    </x:row>
    <x:row r="120" ht="22" customHeight="1">
      <x:c r="A120" s="3"/>
      <x:c r="B120" s="3"/>
      <x:c r="C120" s="3"/>
      <x:c r="D120" s="4"/>
      <x:c r="E120" s="4"/>
      <x:c r="F120" s="4"/>
      <x:c r="G120" s="5" t="str">
        <x:f>IF(COUNTA(A120:F120)=0,"",IF(K120&lt;&gt;"","Review",IF(I120&lt;0,"Overdue",IF(I120=0,"Due now",IF(I120&lt;=M120,"Due soon","Not due")))))</x:f>
      </x:c>
      <x:c r="H120" s="5" t="str">
        <x:f>IF(OR(COUNTA(A120:F120)=0,COUNTIFS('Rules'!$G$7:$G$26,"="&amp;(SUBSTITUTE(SUBSTITUTE(SUBSTITUTE(SUBSTITUTE("type:"&amp;B120,"%","%25"),"~","%7E"),"*","%2A"),"?","%3F")))&lt;&gt;1),"",IF(OR(INDEX('Rules'!$B$7:$B$26,MATCH(SUBSTITUTE(SUBSTITUTE(SUBSTITUTE(SUBSTITUTE("type:"&amp;B120,"%","%25"),"~","%7E"),"*","%2A"),"?","%3F"),'Rules'!$G$7:$G$26,0))="hours",INDEX('Rules'!$B$7:$B$26,MATCH(SUBSTITUTE(SUBSTITUTE(SUBSTITUTE(SUBSTITUTE("type:"&amp;B120,"%","%25"),"~","%7E"),"*","%2A"),"?","%3F"),'Rules'!$G$7:$G$26,0))="km"),INDEX('Rules'!$B$7:$B$26,MATCH(SUBSTITUTE(SUBSTITUTE(SUBSTITUTE(SUBSTITUTE("type:"&amp;B120,"%","%25"),"~","%7E"),"*","%2A"),"?","%3F"),'Rules'!$G$7:$G$26,0)),""))</x:f>
      </x:c>
      <x:c r="I120" s="6" t="str">
        <x:f>IF(AND(NOT(COUNTA(A120:F120)=0),K120=""),ROUND(J120-D120,3),"")</x:f>
      </x:c>
      <x:c r="J120" s="6" t="str">
        <x:f>IF(AND(NOT(COUNTA(A120:F120)=0),K120=""),ROUND(F120+L120,3),"")</x:f>
      </x:c>
      <x:c r="K120" s="5" t="str">
        <x:f>IF(COUNTA(A120:F120)=0,"",IF(A120="","Missing equipment ID",IF(COUNTIFS($N$8:$N$2007,"="&amp;N120)&gt;1,"Duplicate equipment ID",IF(B120="","Missing type",IF(COUNTIFS('Rules'!$G$7:$G$26,"="&amp;(SUBSTITUTE(SUBSTITUTE(SUBSTITUTE(SUBSTITUTE("type:"&amp;B120,"%","%25"),"~","%7E"),"*","%2A"),"?","%3F")))=0,"Unknown type",IF(COUNTIFS('Rules'!$G$7:$G$26,"="&amp;(SUBSTITUTE(SUBSTITUTE(SUBSTITUTE(SUBSTITUTE("type:"&amp;B120,"%","%25"),"~","%7E"),"*","%2A"),"?","%3F")))&gt;1,"Duplicate type",IF(INDEX('Rules'!$F$7:$F$26,MATCH(SUBSTITUTE(SUBSTITUTE(SUBSTITUTE(SUBSTITUTE("type:"&amp;B120,"%","%25"),"~","%7E"),"*","%2A"),"?","%3F"),'Rules'!$G$7:$G$26,0))&lt;&gt;"",INDEX('Rules'!$F$7:$F$26,MATCH(SUBSTITUTE(SUBSTITUTE(SUBSTITUTE(SUBSTITUTE("type:"&amp;B120,"%","%25"),"~","%7E"),"*","%2A"),"?","%3F"),'Rules'!$G$7:$G$26,0)),IF(AND(C120&lt;&gt;"",C120&lt;&gt;INDEX('Rules'!$B$7:$B$26,MATCH(SUBSTITUTE(SUBSTITUTE(SUBSTITUTE(SUBSTITUTE("type:"&amp;B120,"%","%25"),"~","%7E"),"*","%2A"),"?","%3F"),'Rules'!$G$7:$G$26,0))),"Unit mismatch",IF(IF(NOT(ISNUMBER(D120)),TRUE,OR(D120&lt;0,D120&gt;999999999,ROUND(D120,3)&lt;&gt;D120)),"Invalid current reading",IF(AND(E120&lt;&gt;"",IF(NOT(ISNUMBER(E120)),TRUE,OR(E120&lt;0,E120&gt;999999999,ROUND(E120,3)&lt;&gt;E120))),"Invalid previous reading",IF(IF(NOT(ISNUMBER(F120)),TRUE,OR(F120&lt;0,F120&gt;999999999,ROUND(F120,3)&lt;&gt;F120)),"Invalid last service",IF(AND(E120&lt;&gt;"",D120&lt;E120),"Decreased reading",IF(F120&gt;D120,"Last service above current","")))))))))))))</x:f>
      </x:c>
      <x:c r="L120" s="6" t="str">
        <x:f>IF(AND(NOT(COUNTA(A120:F120)=0),K120=""),INDEX('Rules'!$C$7:$C$26,MATCH(SUBSTITUTE(SUBSTITUTE(SUBSTITUTE(SUBSTITUTE("type:"&amp;B120,"%","%25"),"~","%7E"),"*","%2A"),"?","%3F"),'Rules'!$G$7:$G$26,0)),"")</x:f>
      </x:c>
      <x:c r="M120" s="6" t="str">
        <x:f>IF(AND(NOT(COUNTA(A120:F120)=0),K120=""),INDEX('Rules'!$D$7:$D$26,MATCH(SUBSTITUTE(SUBSTITUTE(SUBSTITUTE(SUBSTITUTE("type:"&amp;B120,"%","%25"),"~","%7E"),"*","%2A"),"?","%3F"),'Rules'!$G$7:$G$26,0)),"")</x:f>
      </x:c>
      <x:c r="N120" s="5" t="str">
        <x:f>IF(COUNTA(A120:F120)=0,"",SUBSTITUTE(SUBSTITUTE(SUBSTITUTE(SUBSTITUTE("id:"&amp;A120,"%","%25"),"~","%7E"),"*","%2A"),"?","%3F"))</x:f>
      </x:c>
    </x:row>
    <x:row r="121" ht="22" customHeight="1">
      <x:c r="A121" s="3"/>
      <x:c r="B121" s="3"/>
      <x:c r="C121" s="3"/>
      <x:c r="D121" s="4"/>
      <x:c r="E121" s="4"/>
      <x:c r="F121" s="4"/>
      <x:c r="G121" s="5" t="str">
        <x:f>IF(COUNTA(A121:F121)=0,"",IF(K121&lt;&gt;"","Review",IF(I121&lt;0,"Overdue",IF(I121=0,"Due now",IF(I121&lt;=M121,"Due soon","Not due")))))</x:f>
      </x:c>
      <x:c r="H121" s="5" t="str">
        <x:f>IF(OR(COUNTA(A121:F121)=0,COUNTIFS('Rules'!$G$7:$G$26,"="&amp;(SUBSTITUTE(SUBSTITUTE(SUBSTITUTE(SUBSTITUTE("type:"&amp;B121,"%","%25"),"~","%7E"),"*","%2A"),"?","%3F")))&lt;&gt;1),"",IF(OR(INDEX('Rules'!$B$7:$B$26,MATCH(SUBSTITUTE(SUBSTITUTE(SUBSTITUTE(SUBSTITUTE("type:"&amp;B121,"%","%25"),"~","%7E"),"*","%2A"),"?","%3F"),'Rules'!$G$7:$G$26,0))="hours",INDEX('Rules'!$B$7:$B$26,MATCH(SUBSTITUTE(SUBSTITUTE(SUBSTITUTE(SUBSTITUTE("type:"&amp;B121,"%","%25"),"~","%7E"),"*","%2A"),"?","%3F"),'Rules'!$G$7:$G$26,0))="km"),INDEX('Rules'!$B$7:$B$26,MATCH(SUBSTITUTE(SUBSTITUTE(SUBSTITUTE(SUBSTITUTE("type:"&amp;B121,"%","%25"),"~","%7E"),"*","%2A"),"?","%3F"),'Rules'!$G$7:$G$26,0)),""))</x:f>
      </x:c>
      <x:c r="I121" s="6" t="str">
        <x:f>IF(AND(NOT(COUNTA(A121:F121)=0),K121=""),ROUND(J121-D121,3),"")</x:f>
      </x:c>
      <x:c r="J121" s="6" t="str">
        <x:f>IF(AND(NOT(COUNTA(A121:F121)=0),K121=""),ROUND(F121+L121,3),"")</x:f>
      </x:c>
      <x:c r="K121" s="5" t="str">
        <x:f>IF(COUNTA(A121:F121)=0,"",IF(A121="","Missing equipment ID",IF(COUNTIFS($N$8:$N$2007,"="&amp;N121)&gt;1,"Duplicate equipment ID",IF(B121="","Missing type",IF(COUNTIFS('Rules'!$G$7:$G$26,"="&amp;(SUBSTITUTE(SUBSTITUTE(SUBSTITUTE(SUBSTITUTE("type:"&amp;B121,"%","%25"),"~","%7E"),"*","%2A"),"?","%3F")))=0,"Unknown type",IF(COUNTIFS('Rules'!$G$7:$G$26,"="&amp;(SUBSTITUTE(SUBSTITUTE(SUBSTITUTE(SUBSTITUTE("type:"&amp;B121,"%","%25"),"~","%7E"),"*","%2A"),"?","%3F")))&gt;1,"Duplicate type",IF(INDEX('Rules'!$F$7:$F$26,MATCH(SUBSTITUTE(SUBSTITUTE(SUBSTITUTE(SUBSTITUTE("type:"&amp;B121,"%","%25"),"~","%7E"),"*","%2A"),"?","%3F"),'Rules'!$G$7:$G$26,0))&lt;&gt;"",INDEX('Rules'!$F$7:$F$26,MATCH(SUBSTITUTE(SUBSTITUTE(SUBSTITUTE(SUBSTITUTE("type:"&amp;B121,"%","%25"),"~","%7E"),"*","%2A"),"?","%3F"),'Rules'!$G$7:$G$26,0)),IF(AND(C121&lt;&gt;"",C121&lt;&gt;INDEX('Rules'!$B$7:$B$26,MATCH(SUBSTITUTE(SUBSTITUTE(SUBSTITUTE(SUBSTITUTE("type:"&amp;B121,"%","%25"),"~","%7E"),"*","%2A"),"?","%3F"),'Rules'!$G$7:$G$26,0))),"Unit mismatch",IF(IF(NOT(ISNUMBER(D121)),TRUE,OR(D121&lt;0,D121&gt;999999999,ROUND(D121,3)&lt;&gt;D121)),"Invalid current reading",IF(AND(E121&lt;&gt;"",IF(NOT(ISNUMBER(E121)),TRUE,OR(E121&lt;0,E121&gt;999999999,ROUND(E121,3)&lt;&gt;E121))),"Invalid previous reading",IF(IF(NOT(ISNUMBER(F121)),TRUE,OR(F121&lt;0,F121&gt;999999999,ROUND(F121,3)&lt;&gt;F121)),"Invalid last service",IF(AND(E121&lt;&gt;"",D121&lt;E121),"Decreased reading",IF(F121&gt;D121,"Last service above current","")))))))))))))</x:f>
      </x:c>
      <x:c r="L121" s="6" t="str">
        <x:f>IF(AND(NOT(COUNTA(A121:F121)=0),K121=""),INDEX('Rules'!$C$7:$C$26,MATCH(SUBSTITUTE(SUBSTITUTE(SUBSTITUTE(SUBSTITUTE("type:"&amp;B121,"%","%25"),"~","%7E"),"*","%2A"),"?","%3F"),'Rules'!$G$7:$G$26,0)),"")</x:f>
      </x:c>
      <x:c r="M121" s="6" t="str">
        <x:f>IF(AND(NOT(COUNTA(A121:F121)=0),K121=""),INDEX('Rules'!$D$7:$D$26,MATCH(SUBSTITUTE(SUBSTITUTE(SUBSTITUTE(SUBSTITUTE("type:"&amp;B121,"%","%25"),"~","%7E"),"*","%2A"),"?","%3F"),'Rules'!$G$7:$G$26,0)),"")</x:f>
      </x:c>
      <x:c r="N121" s="5" t="str">
        <x:f>IF(COUNTA(A121:F121)=0,"",SUBSTITUTE(SUBSTITUTE(SUBSTITUTE(SUBSTITUTE("id:"&amp;A121,"%","%25"),"~","%7E"),"*","%2A"),"?","%3F"))</x:f>
      </x:c>
    </x:row>
    <x:row r="122" ht="22" customHeight="1">
      <x:c r="A122" s="3"/>
      <x:c r="B122" s="3"/>
      <x:c r="C122" s="3"/>
      <x:c r="D122" s="4"/>
      <x:c r="E122" s="4"/>
      <x:c r="F122" s="4"/>
      <x:c r="G122" s="5" t="str">
        <x:f>IF(COUNTA(A122:F122)=0,"",IF(K122&lt;&gt;"","Review",IF(I122&lt;0,"Overdue",IF(I122=0,"Due now",IF(I122&lt;=M122,"Due soon","Not due")))))</x:f>
      </x:c>
      <x:c r="H122" s="5" t="str">
        <x:f>IF(OR(COUNTA(A122:F122)=0,COUNTIFS('Rules'!$G$7:$G$26,"="&amp;(SUBSTITUTE(SUBSTITUTE(SUBSTITUTE(SUBSTITUTE("type:"&amp;B122,"%","%25"),"~","%7E"),"*","%2A"),"?","%3F")))&lt;&gt;1),"",IF(OR(INDEX('Rules'!$B$7:$B$26,MATCH(SUBSTITUTE(SUBSTITUTE(SUBSTITUTE(SUBSTITUTE("type:"&amp;B122,"%","%25"),"~","%7E"),"*","%2A"),"?","%3F"),'Rules'!$G$7:$G$26,0))="hours",INDEX('Rules'!$B$7:$B$26,MATCH(SUBSTITUTE(SUBSTITUTE(SUBSTITUTE(SUBSTITUTE("type:"&amp;B122,"%","%25"),"~","%7E"),"*","%2A"),"?","%3F"),'Rules'!$G$7:$G$26,0))="km"),INDEX('Rules'!$B$7:$B$26,MATCH(SUBSTITUTE(SUBSTITUTE(SUBSTITUTE(SUBSTITUTE("type:"&amp;B122,"%","%25"),"~","%7E"),"*","%2A"),"?","%3F"),'Rules'!$G$7:$G$26,0)),""))</x:f>
      </x:c>
      <x:c r="I122" s="6" t="str">
        <x:f>IF(AND(NOT(COUNTA(A122:F122)=0),K122=""),ROUND(J122-D122,3),"")</x:f>
      </x:c>
      <x:c r="J122" s="6" t="str">
        <x:f>IF(AND(NOT(COUNTA(A122:F122)=0),K122=""),ROUND(F122+L122,3),"")</x:f>
      </x:c>
      <x:c r="K122" s="5" t="str">
        <x:f>IF(COUNTA(A122:F122)=0,"",IF(A122="","Missing equipment ID",IF(COUNTIFS($N$8:$N$2007,"="&amp;N122)&gt;1,"Duplicate equipment ID",IF(B122="","Missing type",IF(COUNTIFS('Rules'!$G$7:$G$26,"="&amp;(SUBSTITUTE(SUBSTITUTE(SUBSTITUTE(SUBSTITUTE("type:"&amp;B122,"%","%25"),"~","%7E"),"*","%2A"),"?","%3F")))=0,"Unknown type",IF(COUNTIFS('Rules'!$G$7:$G$26,"="&amp;(SUBSTITUTE(SUBSTITUTE(SUBSTITUTE(SUBSTITUTE("type:"&amp;B122,"%","%25"),"~","%7E"),"*","%2A"),"?","%3F")))&gt;1,"Duplicate type",IF(INDEX('Rules'!$F$7:$F$26,MATCH(SUBSTITUTE(SUBSTITUTE(SUBSTITUTE(SUBSTITUTE("type:"&amp;B122,"%","%25"),"~","%7E"),"*","%2A"),"?","%3F"),'Rules'!$G$7:$G$26,0))&lt;&gt;"",INDEX('Rules'!$F$7:$F$26,MATCH(SUBSTITUTE(SUBSTITUTE(SUBSTITUTE(SUBSTITUTE("type:"&amp;B122,"%","%25"),"~","%7E"),"*","%2A"),"?","%3F"),'Rules'!$G$7:$G$26,0)),IF(AND(C122&lt;&gt;"",C122&lt;&gt;INDEX('Rules'!$B$7:$B$26,MATCH(SUBSTITUTE(SUBSTITUTE(SUBSTITUTE(SUBSTITUTE("type:"&amp;B122,"%","%25"),"~","%7E"),"*","%2A"),"?","%3F"),'Rules'!$G$7:$G$26,0))),"Unit mismatch",IF(IF(NOT(ISNUMBER(D122)),TRUE,OR(D122&lt;0,D122&gt;999999999,ROUND(D122,3)&lt;&gt;D122)),"Invalid current reading",IF(AND(E122&lt;&gt;"",IF(NOT(ISNUMBER(E122)),TRUE,OR(E122&lt;0,E122&gt;999999999,ROUND(E122,3)&lt;&gt;E122))),"Invalid previous reading",IF(IF(NOT(ISNUMBER(F122)),TRUE,OR(F122&lt;0,F122&gt;999999999,ROUND(F122,3)&lt;&gt;F122)),"Invalid last service",IF(AND(E122&lt;&gt;"",D122&lt;E122),"Decreased reading",IF(F122&gt;D122,"Last service above current","")))))))))))))</x:f>
      </x:c>
      <x:c r="L122" s="6" t="str">
        <x:f>IF(AND(NOT(COUNTA(A122:F122)=0),K122=""),INDEX('Rules'!$C$7:$C$26,MATCH(SUBSTITUTE(SUBSTITUTE(SUBSTITUTE(SUBSTITUTE("type:"&amp;B122,"%","%25"),"~","%7E"),"*","%2A"),"?","%3F"),'Rules'!$G$7:$G$26,0)),"")</x:f>
      </x:c>
      <x:c r="M122" s="6" t="str">
        <x:f>IF(AND(NOT(COUNTA(A122:F122)=0),K122=""),INDEX('Rules'!$D$7:$D$26,MATCH(SUBSTITUTE(SUBSTITUTE(SUBSTITUTE(SUBSTITUTE("type:"&amp;B122,"%","%25"),"~","%7E"),"*","%2A"),"?","%3F"),'Rules'!$G$7:$G$26,0)),"")</x:f>
      </x:c>
      <x:c r="N122" s="5" t="str">
        <x:f>IF(COUNTA(A122:F122)=0,"",SUBSTITUTE(SUBSTITUTE(SUBSTITUTE(SUBSTITUTE("id:"&amp;A122,"%","%25"),"~","%7E"),"*","%2A"),"?","%3F"))</x:f>
      </x:c>
    </x:row>
    <x:row r="123" ht="22" customHeight="1">
      <x:c r="A123" s="3"/>
      <x:c r="B123" s="3"/>
      <x:c r="C123" s="3"/>
      <x:c r="D123" s="4"/>
      <x:c r="E123" s="4"/>
      <x:c r="F123" s="4"/>
      <x:c r="G123" s="5" t="str">
        <x:f>IF(COUNTA(A123:F123)=0,"",IF(K123&lt;&gt;"","Review",IF(I123&lt;0,"Overdue",IF(I123=0,"Due now",IF(I123&lt;=M123,"Due soon","Not due")))))</x:f>
      </x:c>
      <x:c r="H123" s="5" t="str">
        <x:f>IF(OR(COUNTA(A123:F123)=0,COUNTIFS('Rules'!$G$7:$G$26,"="&amp;(SUBSTITUTE(SUBSTITUTE(SUBSTITUTE(SUBSTITUTE("type:"&amp;B123,"%","%25"),"~","%7E"),"*","%2A"),"?","%3F")))&lt;&gt;1),"",IF(OR(INDEX('Rules'!$B$7:$B$26,MATCH(SUBSTITUTE(SUBSTITUTE(SUBSTITUTE(SUBSTITUTE("type:"&amp;B123,"%","%25"),"~","%7E"),"*","%2A"),"?","%3F"),'Rules'!$G$7:$G$26,0))="hours",INDEX('Rules'!$B$7:$B$26,MATCH(SUBSTITUTE(SUBSTITUTE(SUBSTITUTE(SUBSTITUTE("type:"&amp;B123,"%","%25"),"~","%7E"),"*","%2A"),"?","%3F"),'Rules'!$G$7:$G$26,0))="km"),INDEX('Rules'!$B$7:$B$26,MATCH(SUBSTITUTE(SUBSTITUTE(SUBSTITUTE(SUBSTITUTE("type:"&amp;B123,"%","%25"),"~","%7E"),"*","%2A"),"?","%3F"),'Rules'!$G$7:$G$26,0)),""))</x:f>
      </x:c>
      <x:c r="I123" s="6" t="str">
        <x:f>IF(AND(NOT(COUNTA(A123:F123)=0),K123=""),ROUND(J123-D123,3),"")</x:f>
      </x:c>
      <x:c r="J123" s="6" t="str">
        <x:f>IF(AND(NOT(COUNTA(A123:F123)=0),K123=""),ROUND(F123+L123,3),"")</x:f>
      </x:c>
      <x:c r="K123" s="5" t="str">
        <x:f>IF(COUNTA(A123:F123)=0,"",IF(A123="","Missing equipment ID",IF(COUNTIFS($N$8:$N$2007,"="&amp;N123)&gt;1,"Duplicate equipment ID",IF(B123="","Missing type",IF(COUNTIFS('Rules'!$G$7:$G$26,"="&amp;(SUBSTITUTE(SUBSTITUTE(SUBSTITUTE(SUBSTITUTE("type:"&amp;B123,"%","%25"),"~","%7E"),"*","%2A"),"?","%3F")))=0,"Unknown type",IF(COUNTIFS('Rules'!$G$7:$G$26,"="&amp;(SUBSTITUTE(SUBSTITUTE(SUBSTITUTE(SUBSTITUTE("type:"&amp;B123,"%","%25"),"~","%7E"),"*","%2A"),"?","%3F")))&gt;1,"Duplicate type",IF(INDEX('Rules'!$F$7:$F$26,MATCH(SUBSTITUTE(SUBSTITUTE(SUBSTITUTE(SUBSTITUTE("type:"&amp;B123,"%","%25"),"~","%7E"),"*","%2A"),"?","%3F"),'Rules'!$G$7:$G$26,0))&lt;&gt;"",INDEX('Rules'!$F$7:$F$26,MATCH(SUBSTITUTE(SUBSTITUTE(SUBSTITUTE(SUBSTITUTE("type:"&amp;B123,"%","%25"),"~","%7E"),"*","%2A"),"?","%3F"),'Rules'!$G$7:$G$26,0)),IF(AND(C123&lt;&gt;"",C123&lt;&gt;INDEX('Rules'!$B$7:$B$26,MATCH(SUBSTITUTE(SUBSTITUTE(SUBSTITUTE(SUBSTITUTE("type:"&amp;B123,"%","%25"),"~","%7E"),"*","%2A"),"?","%3F"),'Rules'!$G$7:$G$26,0))),"Unit mismatch",IF(IF(NOT(ISNUMBER(D123)),TRUE,OR(D123&lt;0,D123&gt;999999999,ROUND(D123,3)&lt;&gt;D123)),"Invalid current reading",IF(AND(E123&lt;&gt;"",IF(NOT(ISNUMBER(E123)),TRUE,OR(E123&lt;0,E123&gt;999999999,ROUND(E123,3)&lt;&gt;E123))),"Invalid previous reading",IF(IF(NOT(ISNUMBER(F123)),TRUE,OR(F123&lt;0,F123&gt;999999999,ROUND(F123,3)&lt;&gt;F123)),"Invalid last service",IF(AND(E123&lt;&gt;"",D123&lt;E123),"Decreased reading",IF(F123&gt;D123,"Last service above current","")))))))))))))</x:f>
      </x:c>
      <x:c r="L123" s="6" t="str">
        <x:f>IF(AND(NOT(COUNTA(A123:F123)=0),K123=""),INDEX('Rules'!$C$7:$C$26,MATCH(SUBSTITUTE(SUBSTITUTE(SUBSTITUTE(SUBSTITUTE("type:"&amp;B123,"%","%25"),"~","%7E"),"*","%2A"),"?","%3F"),'Rules'!$G$7:$G$26,0)),"")</x:f>
      </x:c>
      <x:c r="M123" s="6" t="str">
        <x:f>IF(AND(NOT(COUNTA(A123:F123)=0),K123=""),INDEX('Rules'!$D$7:$D$26,MATCH(SUBSTITUTE(SUBSTITUTE(SUBSTITUTE(SUBSTITUTE("type:"&amp;B123,"%","%25"),"~","%7E"),"*","%2A"),"?","%3F"),'Rules'!$G$7:$G$26,0)),"")</x:f>
      </x:c>
      <x:c r="N123" s="5" t="str">
        <x:f>IF(COUNTA(A123:F123)=0,"",SUBSTITUTE(SUBSTITUTE(SUBSTITUTE(SUBSTITUTE("id:"&amp;A123,"%","%25"),"~","%7E"),"*","%2A"),"?","%3F"))</x:f>
      </x:c>
    </x:row>
    <x:row r="124" ht="22" customHeight="1">
      <x:c r="A124" s="3"/>
      <x:c r="B124" s="3"/>
      <x:c r="C124" s="3"/>
      <x:c r="D124" s="4"/>
      <x:c r="E124" s="4"/>
      <x:c r="F124" s="4"/>
      <x:c r="G124" s="5" t="str">
        <x:f>IF(COUNTA(A124:F124)=0,"",IF(K124&lt;&gt;"","Review",IF(I124&lt;0,"Overdue",IF(I124=0,"Due now",IF(I124&lt;=M124,"Due soon","Not due")))))</x:f>
      </x:c>
      <x:c r="H124" s="5" t="str">
        <x:f>IF(OR(COUNTA(A124:F124)=0,COUNTIFS('Rules'!$G$7:$G$26,"="&amp;(SUBSTITUTE(SUBSTITUTE(SUBSTITUTE(SUBSTITUTE("type:"&amp;B124,"%","%25"),"~","%7E"),"*","%2A"),"?","%3F")))&lt;&gt;1),"",IF(OR(INDEX('Rules'!$B$7:$B$26,MATCH(SUBSTITUTE(SUBSTITUTE(SUBSTITUTE(SUBSTITUTE("type:"&amp;B124,"%","%25"),"~","%7E"),"*","%2A"),"?","%3F"),'Rules'!$G$7:$G$26,0))="hours",INDEX('Rules'!$B$7:$B$26,MATCH(SUBSTITUTE(SUBSTITUTE(SUBSTITUTE(SUBSTITUTE("type:"&amp;B124,"%","%25"),"~","%7E"),"*","%2A"),"?","%3F"),'Rules'!$G$7:$G$26,0))="km"),INDEX('Rules'!$B$7:$B$26,MATCH(SUBSTITUTE(SUBSTITUTE(SUBSTITUTE(SUBSTITUTE("type:"&amp;B124,"%","%25"),"~","%7E"),"*","%2A"),"?","%3F"),'Rules'!$G$7:$G$26,0)),""))</x:f>
      </x:c>
      <x:c r="I124" s="6" t="str">
        <x:f>IF(AND(NOT(COUNTA(A124:F124)=0),K124=""),ROUND(J124-D124,3),"")</x:f>
      </x:c>
      <x:c r="J124" s="6" t="str">
        <x:f>IF(AND(NOT(COUNTA(A124:F124)=0),K124=""),ROUND(F124+L124,3),"")</x:f>
      </x:c>
      <x:c r="K124" s="5" t="str">
        <x:f>IF(COUNTA(A124:F124)=0,"",IF(A124="","Missing equipment ID",IF(COUNTIFS($N$8:$N$2007,"="&amp;N124)&gt;1,"Duplicate equipment ID",IF(B124="","Missing type",IF(COUNTIFS('Rules'!$G$7:$G$26,"="&amp;(SUBSTITUTE(SUBSTITUTE(SUBSTITUTE(SUBSTITUTE("type:"&amp;B124,"%","%25"),"~","%7E"),"*","%2A"),"?","%3F")))=0,"Unknown type",IF(COUNTIFS('Rules'!$G$7:$G$26,"="&amp;(SUBSTITUTE(SUBSTITUTE(SUBSTITUTE(SUBSTITUTE("type:"&amp;B124,"%","%25"),"~","%7E"),"*","%2A"),"?","%3F")))&gt;1,"Duplicate type",IF(INDEX('Rules'!$F$7:$F$26,MATCH(SUBSTITUTE(SUBSTITUTE(SUBSTITUTE(SUBSTITUTE("type:"&amp;B124,"%","%25"),"~","%7E"),"*","%2A"),"?","%3F"),'Rules'!$G$7:$G$26,0))&lt;&gt;"",INDEX('Rules'!$F$7:$F$26,MATCH(SUBSTITUTE(SUBSTITUTE(SUBSTITUTE(SUBSTITUTE("type:"&amp;B124,"%","%25"),"~","%7E"),"*","%2A"),"?","%3F"),'Rules'!$G$7:$G$26,0)),IF(AND(C124&lt;&gt;"",C124&lt;&gt;INDEX('Rules'!$B$7:$B$26,MATCH(SUBSTITUTE(SUBSTITUTE(SUBSTITUTE(SUBSTITUTE("type:"&amp;B124,"%","%25"),"~","%7E"),"*","%2A"),"?","%3F"),'Rules'!$G$7:$G$26,0))),"Unit mismatch",IF(IF(NOT(ISNUMBER(D124)),TRUE,OR(D124&lt;0,D124&gt;999999999,ROUND(D124,3)&lt;&gt;D124)),"Invalid current reading",IF(AND(E124&lt;&gt;"",IF(NOT(ISNUMBER(E124)),TRUE,OR(E124&lt;0,E124&gt;999999999,ROUND(E124,3)&lt;&gt;E124))),"Invalid previous reading",IF(IF(NOT(ISNUMBER(F124)),TRUE,OR(F124&lt;0,F124&gt;999999999,ROUND(F124,3)&lt;&gt;F124)),"Invalid last service",IF(AND(E124&lt;&gt;"",D124&lt;E124),"Decreased reading",IF(F124&gt;D124,"Last service above current","")))))))))))))</x:f>
      </x:c>
      <x:c r="L124" s="6" t="str">
        <x:f>IF(AND(NOT(COUNTA(A124:F124)=0),K124=""),INDEX('Rules'!$C$7:$C$26,MATCH(SUBSTITUTE(SUBSTITUTE(SUBSTITUTE(SUBSTITUTE("type:"&amp;B124,"%","%25"),"~","%7E"),"*","%2A"),"?","%3F"),'Rules'!$G$7:$G$26,0)),"")</x:f>
      </x:c>
      <x:c r="M124" s="6" t="str">
        <x:f>IF(AND(NOT(COUNTA(A124:F124)=0),K124=""),INDEX('Rules'!$D$7:$D$26,MATCH(SUBSTITUTE(SUBSTITUTE(SUBSTITUTE(SUBSTITUTE("type:"&amp;B124,"%","%25"),"~","%7E"),"*","%2A"),"?","%3F"),'Rules'!$G$7:$G$26,0)),"")</x:f>
      </x:c>
      <x:c r="N124" s="5" t="str">
        <x:f>IF(COUNTA(A124:F124)=0,"",SUBSTITUTE(SUBSTITUTE(SUBSTITUTE(SUBSTITUTE("id:"&amp;A124,"%","%25"),"~","%7E"),"*","%2A"),"?","%3F"))</x:f>
      </x:c>
    </x:row>
    <x:row r="125" ht="22" customHeight="1">
      <x:c r="A125" s="3"/>
      <x:c r="B125" s="3"/>
      <x:c r="C125" s="3"/>
      <x:c r="D125" s="4"/>
      <x:c r="E125" s="4"/>
      <x:c r="F125" s="4"/>
      <x:c r="G125" s="5" t="str">
        <x:f>IF(COUNTA(A125:F125)=0,"",IF(K125&lt;&gt;"","Review",IF(I125&lt;0,"Overdue",IF(I125=0,"Due now",IF(I125&lt;=M125,"Due soon","Not due")))))</x:f>
      </x:c>
      <x:c r="H125" s="5" t="str">
        <x:f>IF(OR(COUNTA(A125:F125)=0,COUNTIFS('Rules'!$G$7:$G$26,"="&amp;(SUBSTITUTE(SUBSTITUTE(SUBSTITUTE(SUBSTITUTE("type:"&amp;B125,"%","%25"),"~","%7E"),"*","%2A"),"?","%3F")))&lt;&gt;1),"",IF(OR(INDEX('Rules'!$B$7:$B$26,MATCH(SUBSTITUTE(SUBSTITUTE(SUBSTITUTE(SUBSTITUTE("type:"&amp;B125,"%","%25"),"~","%7E"),"*","%2A"),"?","%3F"),'Rules'!$G$7:$G$26,0))="hours",INDEX('Rules'!$B$7:$B$26,MATCH(SUBSTITUTE(SUBSTITUTE(SUBSTITUTE(SUBSTITUTE("type:"&amp;B125,"%","%25"),"~","%7E"),"*","%2A"),"?","%3F"),'Rules'!$G$7:$G$26,0))="km"),INDEX('Rules'!$B$7:$B$26,MATCH(SUBSTITUTE(SUBSTITUTE(SUBSTITUTE(SUBSTITUTE("type:"&amp;B125,"%","%25"),"~","%7E"),"*","%2A"),"?","%3F"),'Rules'!$G$7:$G$26,0)),""))</x:f>
      </x:c>
      <x:c r="I125" s="6" t="str">
        <x:f>IF(AND(NOT(COUNTA(A125:F125)=0),K125=""),ROUND(J125-D125,3),"")</x:f>
      </x:c>
      <x:c r="J125" s="6" t="str">
        <x:f>IF(AND(NOT(COUNTA(A125:F125)=0),K125=""),ROUND(F125+L125,3),"")</x:f>
      </x:c>
      <x:c r="K125" s="5" t="str">
        <x:f>IF(COUNTA(A125:F125)=0,"",IF(A125="","Missing equipment ID",IF(COUNTIFS($N$8:$N$2007,"="&amp;N125)&gt;1,"Duplicate equipment ID",IF(B125="","Missing type",IF(COUNTIFS('Rules'!$G$7:$G$26,"="&amp;(SUBSTITUTE(SUBSTITUTE(SUBSTITUTE(SUBSTITUTE("type:"&amp;B125,"%","%25"),"~","%7E"),"*","%2A"),"?","%3F")))=0,"Unknown type",IF(COUNTIFS('Rules'!$G$7:$G$26,"="&amp;(SUBSTITUTE(SUBSTITUTE(SUBSTITUTE(SUBSTITUTE("type:"&amp;B125,"%","%25"),"~","%7E"),"*","%2A"),"?","%3F")))&gt;1,"Duplicate type",IF(INDEX('Rules'!$F$7:$F$26,MATCH(SUBSTITUTE(SUBSTITUTE(SUBSTITUTE(SUBSTITUTE("type:"&amp;B125,"%","%25"),"~","%7E"),"*","%2A"),"?","%3F"),'Rules'!$G$7:$G$26,0))&lt;&gt;"",INDEX('Rules'!$F$7:$F$26,MATCH(SUBSTITUTE(SUBSTITUTE(SUBSTITUTE(SUBSTITUTE("type:"&amp;B125,"%","%25"),"~","%7E"),"*","%2A"),"?","%3F"),'Rules'!$G$7:$G$26,0)),IF(AND(C125&lt;&gt;"",C125&lt;&gt;INDEX('Rules'!$B$7:$B$26,MATCH(SUBSTITUTE(SUBSTITUTE(SUBSTITUTE(SUBSTITUTE("type:"&amp;B125,"%","%25"),"~","%7E"),"*","%2A"),"?","%3F"),'Rules'!$G$7:$G$26,0))),"Unit mismatch",IF(IF(NOT(ISNUMBER(D125)),TRUE,OR(D125&lt;0,D125&gt;999999999,ROUND(D125,3)&lt;&gt;D125)),"Invalid current reading",IF(AND(E125&lt;&gt;"",IF(NOT(ISNUMBER(E125)),TRUE,OR(E125&lt;0,E125&gt;999999999,ROUND(E125,3)&lt;&gt;E125))),"Invalid previous reading",IF(IF(NOT(ISNUMBER(F125)),TRUE,OR(F125&lt;0,F125&gt;999999999,ROUND(F125,3)&lt;&gt;F125)),"Invalid last service",IF(AND(E125&lt;&gt;"",D125&lt;E125),"Decreased reading",IF(F125&gt;D125,"Last service above current","")))))))))))))</x:f>
      </x:c>
      <x:c r="L125" s="6" t="str">
        <x:f>IF(AND(NOT(COUNTA(A125:F125)=0),K125=""),INDEX('Rules'!$C$7:$C$26,MATCH(SUBSTITUTE(SUBSTITUTE(SUBSTITUTE(SUBSTITUTE("type:"&amp;B125,"%","%25"),"~","%7E"),"*","%2A"),"?","%3F"),'Rules'!$G$7:$G$26,0)),"")</x:f>
      </x:c>
      <x:c r="M125" s="6" t="str">
        <x:f>IF(AND(NOT(COUNTA(A125:F125)=0),K125=""),INDEX('Rules'!$D$7:$D$26,MATCH(SUBSTITUTE(SUBSTITUTE(SUBSTITUTE(SUBSTITUTE("type:"&amp;B125,"%","%25"),"~","%7E"),"*","%2A"),"?","%3F"),'Rules'!$G$7:$G$26,0)),"")</x:f>
      </x:c>
      <x:c r="N125" s="5" t="str">
        <x:f>IF(COUNTA(A125:F125)=0,"",SUBSTITUTE(SUBSTITUTE(SUBSTITUTE(SUBSTITUTE("id:"&amp;A125,"%","%25"),"~","%7E"),"*","%2A"),"?","%3F"))</x:f>
      </x:c>
    </x:row>
    <x:row r="126" ht="22" customHeight="1">
      <x:c r="A126" s="3"/>
      <x:c r="B126" s="3"/>
      <x:c r="C126" s="3"/>
      <x:c r="D126" s="4"/>
      <x:c r="E126" s="4"/>
      <x:c r="F126" s="4"/>
      <x:c r="G126" s="5" t="str">
        <x:f>IF(COUNTA(A126:F126)=0,"",IF(K126&lt;&gt;"","Review",IF(I126&lt;0,"Overdue",IF(I126=0,"Due now",IF(I126&lt;=M126,"Due soon","Not due")))))</x:f>
      </x:c>
      <x:c r="H126" s="5" t="str">
        <x:f>IF(OR(COUNTA(A126:F126)=0,COUNTIFS('Rules'!$G$7:$G$26,"="&amp;(SUBSTITUTE(SUBSTITUTE(SUBSTITUTE(SUBSTITUTE("type:"&amp;B126,"%","%25"),"~","%7E"),"*","%2A"),"?","%3F")))&lt;&gt;1),"",IF(OR(INDEX('Rules'!$B$7:$B$26,MATCH(SUBSTITUTE(SUBSTITUTE(SUBSTITUTE(SUBSTITUTE("type:"&amp;B126,"%","%25"),"~","%7E"),"*","%2A"),"?","%3F"),'Rules'!$G$7:$G$26,0))="hours",INDEX('Rules'!$B$7:$B$26,MATCH(SUBSTITUTE(SUBSTITUTE(SUBSTITUTE(SUBSTITUTE("type:"&amp;B126,"%","%25"),"~","%7E"),"*","%2A"),"?","%3F"),'Rules'!$G$7:$G$26,0))="km"),INDEX('Rules'!$B$7:$B$26,MATCH(SUBSTITUTE(SUBSTITUTE(SUBSTITUTE(SUBSTITUTE("type:"&amp;B126,"%","%25"),"~","%7E"),"*","%2A"),"?","%3F"),'Rules'!$G$7:$G$26,0)),""))</x:f>
      </x:c>
      <x:c r="I126" s="6" t="str">
        <x:f>IF(AND(NOT(COUNTA(A126:F126)=0),K126=""),ROUND(J126-D126,3),"")</x:f>
      </x:c>
      <x:c r="J126" s="6" t="str">
        <x:f>IF(AND(NOT(COUNTA(A126:F126)=0),K126=""),ROUND(F126+L126,3),"")</x:f>
      </x:c>
      <x:c r="K126" s="5" t="str">
        <x:f>IF(COUNTA(A126:F126)=0,"",IF(A126="","Missing equipment ID",IF(COUNTIFS($N$8:$N$2007,"="&amp;N126)&gt;1,"Duplicate equipment ID",IF(B126="","Missing type",IF(COUNTIFS('Rules'!$G$7:$G$26,"="&amp;(SUBSTITUTE(SUBSTITUTE(SUBSTITUTE(SUBSTITUTE("type:"&amp;B126,"%","%25"),"~","%7E"),"*","%2A"),"?","%3F")))=0,"Unknown type",IF(COUNTIFS('Rules'!$G$7:$G$26,"="&amp;(SUBSTITUTE(SUBSTITUTE(SUBSTITUTE(SUBSTITUTE("type:"&amp;B126,"%","%25"),"~","%7E"),"*","%2A"),"?","%3F")))&gt;1,"Duplicate type",IF(INDEX('Rules'!$F$7:$F$26,MATCH(SUBSTITUTE(SUBSTITUTE(SUBSTITUTE(SUBSTITUTE("type:"&amp;B126,"%","%25"),"~","%7E"),"*","%2A"),"?","%3F"),'Rules'!$G$7:$G$26,0))&lt;&gt;"",INDEX('Rules'!$F$7:$F$26,MATCH(SUBSTITUTE(SUBSTITUTE(SUBSTITUTE(SUBSTITUTE("type:"&amp;B126,"%","%25"),"~","%7E"),"*","%2A"),"?","%3F"),'Rules'!$G$7:$G$26,0)),IF(AND(C126&lt;&gt;"",C126&lt;&gt;INDEX('Rules'!$B$7:$B$26,MATCH(SUBSTITUTE(SUBSTITUTE(SUBSTITUTE(SUBSTITUTE("type:"&amp;B126,"%","%25"),"~","%7E"),"*","%2A"),"?","%3F"),'Rules'!$G$7:$G$26,0))),"Unit mismatch",IF(IF(NOT(ISNUMBER(D126)),TRUE,OR(D126&lt;0,D126&gt;999999999,ROUND(D126,3)&lt;&gt;D126)),"Invalid current reading",IF(AND(E126&lt;&gt;"",IF(NOT(ISNUMBER(E126)),TRUE,OR(E126&lt;0,E126&gt;999999999,ROUND(E126,3)&lt;&gt;E126))),"Invalid previous reading",IF(IF(NOT(ISNUMBER(F126)),TRUE,OR(F126&lt;0,F126&gt;999999999,ROUND(F126,3)&lt;&gt;F126)),"Invalid last service",IF(AND(E126&lt;&gt;"",D126&lt;E126),"Decreased reading",IF(F126&gt;D126,"Last service above current","")))))))))))))</x:f>
      </x:c>
      <x:c r="L126" s="6" t="str">
        <x:f>IF(AND(NOT(COUNTA(A126:F126)=0),K126=""),INDEX('Rules'!$C$7:$C$26,MATCH(SUBSTITUTE(SUBSTITUTE(SUBSTITUTE(SUBSTITUTE("type:"&amp;B126,"%","%25"),"~","%7E"),"*","%2A"),"?","%3F"),'Rules'!$G$7:$G$26,0)),"")</x:f>
      </x:c>
      <x:c r="M126" s="6" t="str">
        <x:f>IF(AND(NOT(COUNTA(A126:F126)=0),K126=""),INDEX('Rules'!$D$7:$D$26,MATCH(SUBSTITUTE(SUBSTITUTE(SUBSTITUTE(SUBSTITUTE("type:"&amp;B126,"%","%25"),"~","%7E"),"*","%2A"),"?","%3F"),'Rules'!$G$7:$G$26,0)),"")</x:f>
      </x:c>
      <x:c r="N126" s="5" t="str">
        <x:f>IF(COUNTA(A126:F126)=0,"",SUBSTITUTE(SUBSTITUTE(SUBSTITUTE(SUBSTITUTE("id:"&amp;A126,"%","%25"),"~","%7E"),"*","%2A"),"?","%3F"))</x:f>
      </x:c>
    </x:row>
    <x:row r="127" ht="22" customHeight="1">
      <x:c r="A127" s="3"/>
      <x:c r="B127" s="3"/>
      <x:c r="C127" s="3"/>
      <x:c r="D127" s="4"/>
      <x:c r="E127" s="4"/>
      <x:c r="F127" s="4"/>
      <x:c r="G127" s="5" t="str">
        <x:f>IF(COUNTA(A127:F127)=0,"",IF(K127&lt;&gt;"","Review",IF(I127&lt;0,"Overdue",IF(I127=0,"Due now",IF(I127&lt;=M127,"Due soon","Not due")))))</x:f>
      </x:c>
      <x:c r="H127" s="5" t="str">
        <x:f>IF(OR(COUNTA(A127:F127)=0,COUNTIFS('Rules'!$G$7:$G$26,"="&amp;(SUBSTITUTE(SUBSTITUTE(SUBSTITUTE(SUBSTITUTE("type:"&amp;B127,"%","%25"),"~","%7E"),"*","%2A"),"?","%3F")))&lt;&gt;1),"",IF(OR(INDEX('Rules'!$B$7:$B$26,MATCH(SUBSTITUTE(SUBSTITUTE(SUBSTITUTE(SUBSTITUTE("type:"&amp;B127,"%","%25"),"~","%7E"),"*","%2A"),"?","%3F"),'Rules'!$G$7:$G$26,0))="hours",INDEX('Rules'!$B$7:$B$26,MATCH(SUBSTITUTE(SUBSTITUTE(SUBSTITUTE(SUBSTITUTE("type:"&amp;B127,"%","%25"),"~","%7E"),"*","%2A"),"?","%3F"),'Rules'!$G$7:$G$26,0))="km"),INDEX('Rules'!$B$7:$B$26,MATCH(SUBSTITUTE(SUBSTITUTE(SUBSTITUTE(SUBSTITUTE("type:"&amp;B127,"%","%25"),"~","%7E"),"*","%2A"),"?","%3F"),'Rules'!$G$7:$G$26,0)),""))</x:f>
      </x:c>
      <x:c r="I127" s="6" t="str">
        <x:f>IF(AND(NOT(COUNTA(A127:F127)=0),K127=""),ROUND(J127-D127,3),"")</x:f>
      </x:c>
      <x:c r="J127" s="6" t="str">
        <x:f>IF(AND(NOT(COUNTA(A127:F127)=0),K127=""),ROUND(F127+L127,3),"")</x:f>
      </x:c>
      <x:c r="K127" s="5" t="str">
        <x:f>IF(COUNTA(A127:F127)=0,"",IF(A127="","Missing equipment ID",IF(COUNTIFS($N$8:$N$2007,"="&amp;N127)&gt;1,"Duplicate equipment ID",IF(B127="","Missing type",IF(COUNTIFS('Rules'!$G$7:$G$26,"="&amp;(SUBSTITUTE(SUBSTITUTE(SUBSTITUTE(SUBSTITUTE("type:"&amp;B127,"%","%25"),"~","%7E"),"*","%2A"),"?","%3F")))=0,"Unknown type",IF(COUNTIFS('Rules'!$G$7:$G$26,"="&amp;(SUBSTITUTE(SUBSTITUTE(SUBSTITUTE(SUBSTITUTE("type:"&amp;B127,"%","%25"),"~","%7E"),"*","%2A"),"?","%3F")))&gt;1,"Duplicate type",IF(INDEX('Rules'!$F$7:$F$26,MATCH(SUBSTITUTE(SUBSTITUTE(SUBSTITUTE(SUBSTITUTE("type:"&amp;B127,"%","%25"),"~","%7E"),"*","%2A"),"?","%3F"),'Rules'!$G$7:$G$26,0))&lt;&gt;"",INDEX('Rules'!$F$7:$F$26,MATCH(SUBSTITUTE(SUBSTITUTE(SUBSTITUTE(SUBSTITUTE("type:"&amp;B127,"%","%25"),"~","%7E"),"*","%2A"),"?","%3F"),'Rules'!$G$7:$G$26,0)),IF(AND(C127&lt;&gt;"",C127&lt;&gt;INDEX('Rules'!$B$7:$B$26,MATCH(SUBSTITUTE(SUBSTITUTE(SUBSTITUTE(SUBSTITUTE("type:"&amp;B127,"%","%25"),"~","%7E"),"*","%2A"),"?","%3F"),'Rules'!$G$7:$G$26,0))),"Unit mismatch",IF(IF(NOT(ISNUMBER(D127)),TRUE,OR(D127&lt;0,D127&gt;999999999,ROUND(D127,3)&lt;&gt;D127)),"Invalid current reading",IF(AND(E127&lt;&gt;"",IF(NOT(ISNUMBER(E127)),TRUE,OR(E127&lt;0,E127&gt;999999999,ROUND(E127,3)&lt;&gt;E127))),"Invalid previous reading",IF(IF(NOT(ISNUMBER(F127)),TRUE,OR(F127&lt;0,F127&gt;999999999,ROUND(F127,3)&lt;&gt;F127)),"Invalid last service",IF(AND(E127&lt;&gt;"",D127&lt;E127),"Decreased reading",IF(F127&gt;D127,"Last service above current","")))))))))))))</x:f>
      </x:c>
      <x:c r="L127" s="6" t="str">
        <x:f>IF(AND(NOT(COUNTA(A127:F127)=0),K127=""),INDEX('Rules'!$C$7:$C$26,MATCH(SUBSTITUTE(SUBSTITUTE(SUBSTITUTE(SUBSTITUTE("type:"&amp;B127,"%","%25"),"~","%7E"),"*","%2A"),"?","%3F"),'Rules'!$G$7:$G$26,0)),"")</x:f>
      </x:c>
      <x:c r="M127" s="6" t="str">
        <x:f>IF(AND(NOT(COUNTA(A127:F127)=0),K127=""),INDEX('Rules'!$D$7:$D$26,MATCH(SUBSTITUTE(SUBSTITUTE(SUBSTITUTE(SUBSTITUTE("type:"&amp;B127,"%","%25"),"~","%7E"),"*","%2A"),"?","%3F"),'Rules'!$G$7:$G$26,0)),"")</x:f>
      </x:c>
      <x:c r="N127" s="5" t="str">
        <x:f>IF(COUNTA(A127:F127)=0,"",SUBSTITUTE(SUBSTITUTE(SUBSTITUTE(SUBSTITUTE("id:"&amp;A127,"%","%25"),"~","%7E"),"*","%2A"),"?","%3F"))</x:f>
      </x:c>
    </x:row>
    <x:row r="128" ht="22" customHeight="1">
      <x:c r="A128" s="3"/>
      <x:c r="B128" s="3"/>
      <x:c r="C128" s="3"/>
      <x:c r="D128" s="4"/>
      <x:c r="E128" s="4"/>
      <x:c r="F128" s="4"/>
      <x:c r="G128" s="5" t="str">
        <x:f>IF(COUNTA(A128:F128)=0,"",IF(K128&lt;&gt;"","Review",IF(I128&lt;0,"Overdue",IF(I128=0,"Due now",IF(I128&lt;=M128,"Due soon","Not due")))))</x:f>
      </x:c>
      <x:c r="H128" s="5" t="str">
        <x:f>IF(OR(COUNTA(A128:F128)=0,COUNTIFS('Rules'!$G$7:$G$26,"="&amp;(SUBSTITUTE(SUBSTITUTE(SUBSTITUTE(SUBSTITUTE("type:"&amp;B128,"%","%25"),"~","%7E"),"*","%2A"),"?","%3F")))&lt;&gt;1),"",IF(OR(INDEX('Rules'!$B$7:$B$26,MATCH(SUBSTITUTE(SUBSTITUTE(SUBSTITUTE(SUBSTITUTE("type:"&amp;B128,"%","%25"),"~","%7E"),"*","%2A"),"?","%3F"),'Rules'!$G$7:$G$26,0))="hours",INDEX('Rules'!$B$7:$B$26,MATCH(SUBSTITUTE(SUBSTITUTE(SUBSTITUTE(SUBSTITUTE("type:"&amp;B128,"%","%25"),"~","%7E"),"*","%2A"),"?","%3F"),'Rules'!$G$7:$G$26,0))="km"),INDEX('Rules'!$B$7:$B$26,MATCH(SUBSTITUTE(SUBSTITUTE(SUBSTITUTE(SUBSTITUTE("type:"&amp;B128,"%","%25"),"~","%7E"),"*","%2A"),"?","%3F"),'Rules'!$G$7:$G$26,0)),""))</x:f>
      </x:c>
      <x:c r="I128" s="6" t="str">
        <x:f>IF(AND(NOT(COUNTA(A128:F128)=0),K128=""),ROUND(J128-D128,3),"")</x:f>
      </x:c>
      <x:c r="J128" s="6" t="str">
        <x:f>IF(AND(NOT(COUNTA(A128:F128)=0),K128=""),ROUND(F128+L128,3),"")</x:f>
      </x:c>
      <x:c r="K128" s="5" t="str">
        <x:f>IF(COUNTA(A128:F128)=0,"",IF(A128="","Missing equipment ID",IF(COUNTIFS($N$8:$N$2007,"="&amp;N128)&gt;1,"Duplicate equipment ID",IF(B128="","Missing type",IF(COUNTIFS('Rules'!$G$7:$G$26,"="&amp;(SUBSTITUTE(SUBSTITUTE(SUBSTITUTE(SUBSTITUTE("type:"&amp;B128,"%","%25"),"~","%7E"),"*","%2A"),"?","%3F")))=0,"Unknown type",IF(COUNTIFS('Rules'!$G$7:$G$26,"="&amp;(SUBSTITUTE(SUBSTITUTE(SUBSTITUTE(SUBSTITUTE("type:"&amp;B128,"%","%25"),"~","%7E"),"*","%2A"),"?","%3F")))&gt;1,"Duplicate type",IF(INDEX('Rules'!$F$7:$F$26,MATCH(SUBSTITUTE(SUBSTITUTE(SUBSTITUTE(SUBSTITUTE("type:"&amp;B128,"%","%25"),"~","%7E"),"*","%2A"),"?","%3F"),'Rules'!$G$7:$G$26,0))&lt;&gt;"",INDEX('Rules'!$F$7:$F$26,MATCH(SUBSTITUTE(SUBSTITUTE(SUBSTITUTE(SUBSTITUTE("type:"&amp;B128,"%","%25"),"~","%7E"),"*","%2A"),"?","%3F"),'Rules'!$G$7:$G$26,0)),IF(AND(C128&lt;&gt;"",C128&lt;&gt;INDEX('Rules'!$B$7:$B$26,MATCH(SUBSTITUTE(SUBSTITUTE(SUBSTITUTE(SUBSTITUTE("type:"&amp;B128,"%","%25"),"~","%7E"),"*","%2A"),"?","%3F"),'Rules'!$G$7:$G$26,0))),"Unit mismatch",IF(IF(NOT(ISNUMBER(D128)),TRUE,OR(D128&lt;0,D128&gt;999999999,ROUND(D128,3)&lt;&gt;D128)),"Invalid current reading",IF(AND(E128&lt;&gt;"",IF(NOT(ISNUMBER(E128)),TRUE,OR(E128&lt;0,E128&gt;999999999,ROUND(E128,3)&lt;&gt;E128))),"Invalid previous reading",IF(IF(NOT(ISNUMBER(F128)),TRUE,OR(F128&lt;0,F128&gt;999999999,ROUND(F128,3)&lt;&gt;F128)),"Invalid last service",IF(AND(E128&lt;&gt;"",D128&lt;E128),"Decreased reading",IF(F128&gt;D128,"Last service above current","")))))))))))))</x:f>
      </x:c>
      <x:c r="L128" s="6" t="str">
        <x:f>IF(AND(NOT(COUNTA(A128:F128)=0),K128=""),INDEX('Rules'!$C$7:$C$26,MATCH(SUBSTITUTE(SUBSTITUTE(SUBSTITUTE(SUBSTITUTE("type:"&amp;B128,"%","%25"),"~","%7E"),"*","%2A"),"?","%3F"),'Rules'!$G$7:$G$26,0)),"")</x:f>
      </x:c>
      <x:c r="M128" s="6" t="str">
        <x:f>IF(AND(NOT(COUNTA(A128:F128)=0),K128=""),INDEX('Rules'!$D$7:$D$26,MATCH(SUBSTITUTE(SUBSTITUTE(SUBSTITUTE(SUBSTITUTE("type:"&amp;B128,"%","%25"),"~","%7E"),"*","%2A"),"?","%3F"),'Rules'!$G$7:$G$26,0)),"")</x:f>
      </x:c>
      <x:c r="N128" s="5" t="str">
        <x:f>IF(COUNTA(A128:F128)=0,"",SUBSTITUTE(SUBSTITUTE(SUBSTITUTE(SUBSTITUTE("id:"&amp;A128,"%","%25"),"~","%7E"),"*","%2A"),"?","%3F"))</x:f>
      </x:c>
    </x:row>
    <x:row r="129" ht="22" customHeight="1">
      <x:c r="A129" s="3"/>
      <x:c r="B129" s="3"/>
      <x:c r="C129" s="3"/>
      <x:c r="D129" s="4"/>
      <x:c r="E129" s="4"/>
      <x:c r="F129" s="4"/>
      <x:c r="G129" s="5" t="str">
        <x:f>IF(COUNTA(A129:F129)=0,"",IF(K129&lt;&gt;"","Review",IF(I129&lt;0,"Overdue",IF(I129=0,"Due now",IF(I129&lt;=M129,"Due soon","Not due")))))</x:f>
      </x:c>
      <x:c r="H129" s="5" t="str">
        <x:f>IF(OR(COUNTA(A129:F129)=0,COUNTIFS('Rules'!$G$7:$G$26,"="&amp;(SUBSTITUTE(SUBSTITUTE(SUBSTITUTE(SUBSTITUTE("type:"&amp;B129,"%","%25"),"~","%7E"),"*","%2A"),"?","%3F")))&lt;&gt;1),"",IF(OR(INDEX('Rules'!$B$7:$B$26,MATCH(SUBSTITUTE(SUBSTITUTE(SUBSTITUTE(SUBSTITUTE("type:"&amp;B129,"%","%25"),"~","%7E"),"*","%2A"),"?","%3F"),'Rules'!$G$7:$G$26,0))="hours",INDEX('Rules'!$B$7:$B$26,MATCH(SUBSTITUTE(SUBSTITUTE(SUBSTITUTE(SUBSTITUTE("type:"&amp;B129,"%","%25"),"~","%7E"),"*","%2A"),"?","%3F"),'Rules'!$G$7:$G$26,0))="km"),INDEX('Rules'!$B$7:$B$26,MATCH(SUBSTITUTE(SUBSTITUTE(SUBSTITUTE(SUBSTITUTE("type:"&amp;B129,"%","%25"),"~","%7E"),"*","%2A"),"?","%3F"),'Rules'!$G$7:$G$26,0)),""))</x:f>
      </x:c>
      <x:c r="I129" s="6" t="str">
        <x:f>IF(AND(NOT(COUNTA(A129:F129)=0),K129=""),ROUND(J129-D129,3),"")</x:f>
      </x:c>
      <x:c r="J129" s="6" t="str">
        <x:f>IF(AND(NOT(COUNTA(A129:F129)=0),K129=""),ROUND(F129+L129,3),"")</x:f>
      </x:c>
      <x:c r="K129" s="5" t="str">
        <x:f>IF(COUNTA(A129:F129)=0,"",IF(A129="","Missing equipment ID",IF(COUNTIFS($N$8:$N$2007,"="&amp;N129)&gt;1,"Duplicate equipment ID",IF(B129="","Missing type",IF(COUNTIFS('Rules'!$G$7:$G$26,"="&amp;(SUBSTITUTE(SUBSTITUTE(SUBSTITUTE(SUBSTITUTE("type:"&amp;B129,"%","%25"),"~","%7E"),"*","%2A"),"?","%3F")))=0,"Unknown type",IF(COUNTIFS('Rules'!$G$7:$G$26,"="&amp;(SUBSTITUTE(SUBSTITUTE(SUBSTITUTE(SUBSTITUTE("type:"&amp;B129,"%","%25"),"~","%7E"),"*","%2A"),"?","%3F")))&gt;1,"Duplicate type",IF(INDEX('Rules'!$F$7:$F$26,MATCH(SUBSTITUTE(SUBSTITUTE(SUBSTITUTE(SUBSTITUTE("type:"&amp;B129,"%","%25"),"~","%7E"),"*","%2A"),"?","%3F"),'Rules'!$G$7:$G$26,0))&lt;&gt;"",INDEX('Rules'!$F$7:$F$26,MATCH(SUBSTITUTE(SUBSTITUTE(SUBSTITUTE(SUBSTITUTE("type:"&amp;B129,"%","%25"),"~","%7E"),"*","%2A"),"?","%3F"),'Rules'!$G$7:$G$26,0)),IF(AND(C129&lt;&gt;"",C129&lt;&gt;INDEX('Rules'!$B$7:$B$26,MATCH(SUBSTITUTE(SUBSTITUTE(SUBSTITUTE(SUBSTITUTE("type:"&amp;B129,"%","%25"),"~","%7E"),"*","%2A"),"?","%3F"),'Rules'!$G$7:$G$26,0))),"Unit mismatch",IF(IF(NOT(ISNUMBER(D129)),TRUE,OR(D129&lt;0,D129&gt;999999999,ROUND(D129,3)&lt;&gt;D129)),"Invalid current reading",IF(AND(E129&lt;&gt;"",IF(NOT(ISNUMBER(E129)),TRUE,OR(E129&lt;0,E129&gt;999999999,ROUND(E129,3)&lt;&gt;E129))),"Invalid previous reading",IF(IF(NOT(ISNUMBER(F129)),TRUE,OR(F129&lt;0,F129&gt;999999999,ROUND(F129,3)&lt;&gt;F129)),"Invalid last service",IF(AND(E129&lt;&gt;"",D129&lt;E129),"Decreased reading",IF(F129&gt;D129,"Last service above current","")))))))))))))</x:f>
      </x:c>
      <x:c r="L129" s="6" t="str">
        <x:f>IF(AND(NOT(COUNTA(A129:F129)=0),K129=""),INDEX('Rules'!$C$7:$C$26,MATCH(SUBSTITUTE(SUBSTITUTE(SUBSTITUTE(SUBSTITUTE("type:"&amp;B129,"%","%25"),"~","%7E"),"*","%2A"),"?","%3F"),'Rules'!$G$7:$G$26,0)),"")</x:f>
      </x:c>
      <x:c r="M129" s="6" t="str">
        <x:f>IF(AND(NOT(COUNTA(A129:F129)=0),K129=""),INDEX('Rules'!$D$7:$D$26,MATCH(SUBSTITUTE(SUBSTITUTE(SUBSTITUTE(SUBSTITUTE("type:"&amp;B129,"%","%25"),"~","%7E"),"*","%2A"),"?","%3F"),'Rules'!$G$7:$G$26,0)),"")</x:f>
      </x:c>
      <x:c r="N129" s="5" t="str">
        <x:f>IF(COUNTA(A129:F129)=0,"",SUBSTITUTE(SUBSTITUTE(SUBSTITUTE(SUBSTITUTE("id:"&amp;A129,"%","%25"),"~","%7E"),"*","%2A"),"?","%3F"))</x:f>
      </x:c>
    </x:row>
    <x:row r="130" ht="22" customHeight="1">
      <x:c r="A130" s="3"/>
      <x:c r="B130" s="3"/>
      <x:c r="C130" s="3"/>
      <x:c r="D130" s="4"/>
      <x:c r="E130" s="4"/>
      <x:c r="F130" s="4"/>
      <x:c r="G130" s="5" t="str">
        <x:f>IF(COUNTA(A130:F130)=0,"",IF(K130&lt;&gt;"","Review",IF(I130&lt;0,"Overdue",IF(I130=0,"Due now",IF(I130&lt;=M130,"Due soon","Not due")))))</x:f>
      </x:c>
      <x:c r="H130" s="5" t="str">
        <x:f>IF(OR(COUNTA(A130:F130)=0,COUNTIFS('Rules'!$G$7:$G$26,"="&amp;(SUBSTITUTE(SUBSTITUTE(SUBSTITUTE(SUBSTITUTE("type:"&amp;B130,"%","%25"),"~","%7E"),"*","%2A"),"?","%3F")))&lt;&gt;1),"",IF(OR(INDEX('Rules'!$B$7:$B$26,MATCH(SUBSTITUTE(SUBSTITUTE(SUBSTITUTE(SUBSTITUTE("type:"&amp;B130,"%","%25"),"~","%7E"),"*","%2A"),"?","%3F"),'Rules'!$G$7:$G$26,0))="hours",INDEX('Rules'!$B$7:$B$26,MATCH(SUBSTITUTE(SUBSTITUTE(SUBSTITUTE(SUBSTITUTE("type:"&amp;B130,"%","%25"),"~","%7E"),"*","%2A"),"?","%3F"),'Rules'!$G$7:$G$26,0))="km"),INDEX('Rules'!$B$7:$B$26,MATCH(SUBSTITUTE(SUBSTITUTE(SUBSTITUTE(SUBSTITUTE("type:"&amp;B130,"%","%25"),"~","%7E"),"*","%2A"),"?","%3F"),'Rules'!$G$7:$G$26,0)),""))</x:f>
      </x:c>
      <x:c r="I130" s="6" t="str">
        <x:f>IF(AND(NOT(COUNTA(A130:F130)=0),K130=""),ROUND(J130-D130,3),"")</x:f>
      </x:c>
      <x:c r="J130" s="6" t="str">
        <x:f>IF(AND(NOT(COUNTA(A130:F130)=0),K130=""),ROUND(F130+L130,3),"")</x:f>
      </x:c>
      <x:c r="K130" s="5" t="str">
        <x:f>IF(COUNTA(A130:F130)=0,"",IF(A130="","Missing equipment ID",IF(COUNTIFS($N$8:$N$2007,"="&amp;N130)&gt;1,"Duplicate equipment ID",IF(B130="","Missing type",IF(COUNTIFS('Rules'!$G$7:$G$26,"="&amp;(SUBSTITUTE(SUBSTITUTE(SUBSTITUTE(SUBSTITUTE("type:"&amp;B130,"%","%25"),"~","%7E"),"*","%2A"),"?","%3F")))=0,"Unknown type",IF(COUNTIFS('Rules'!$G$7:$G$26,"="&amp;(SUBSTITUTE(SUBSTITUTE(SUBSTITUTE(SUBSTITUTE("type:"&amp;B130,"%","%25"),"~","%7E"),"*","%2A"),"?","%3F")))&gt;1,"Duplicate type",IF(INDEX('Rules'!$F$7:$F$26,MATCH(SUBSTITUTE(SUBSTITUTE(SUBSTITUTE(SUBSTITUTE("type:"&amp;B130,"%","%25"),"~","%7E"),"*","%2A"),"?","%3F"),'Rules'!$G$7:$G$26,0))&lt;&gt;"",INDEX('Rules'!$F$7:$F$26,MATCH(SUBSTITUTE(SUBSTITUTE(SUBSTITUTE(SUBSTITUTE("type:"&amp;B130,"%","%25"),"~","%7E"),"*","%2A"),"?","%3F"),'Rules'!$G$7:$G$26,0)),IF(AND(C130&lt;&gt;"",C130&lt;&gt;INDEX('Rules'!$B$7:$B$26,MATCH(SUBSTITUTE(SUBSTITUTE(SUBSTITUTE(SUBSTITUTE("type:"&amp;B130,"%","%25"),"~","%7E"),"*","%2A"),"?","%3F"),'Rules'!$G$7:$G$26,0))),"Unit mismatch",IF(IF(NOT(ISNUMBER(D130)),TRUE,OR(D130&lt;0,D130&gt;999999999,ROUND(D130,3)&lt;&gt;D130)),"Invalid current reading",IF(AND(E130&lt;&gt;"",IF(NOT(ISNUMBER(E130)),TRUE,OR(E130&lt;0,E130&gt;999999999,ROUND(E130,3)&lt;&gt;E130))),"Invalid previous reading",IF(IF(NOT(ISNUMBER(F130)),TRUE,OR(F130&lt;0,F130&gt;999999999,ROUND(F130,3)&lt;&gt;F130)),"Invalid last service",IF(AND(E130&lt;&gt;"",D130&lt;E130),"Decreased reading",IF(F130&gt;D130,"Last service above current","")))))))))))))</x:f>
      </x:c>
      <x:c r="L130" s="6" t="str">
        <x:f>IF(AND(NOT(COUNTA(A130:F130)=0),K130=""),INDEX('Rules'!$C$7:$C$26,MATCH(SUBSTITUTE(SUBSTITUTE(SUBSTITUTE(SUBSTITUTE("type:"&amp;B130,"%","%25"),"~","%7E"),"*","%2A"),"?","%3F"),'Rules'!$G$7:$G$26,0)),"")</x:f>
      </x:c>
      <x:c r="M130" s="6" t="str">
        <x:f>IF(AND(NOT(COUNTA(A130:F130)=0),K130=""),INDEX('Rules'!$D$7:$D$26,MATCH(SUBSTITUTE(SUBSTITUTE(SUBSTITUTE(SUBSTITUTE("type:"&amp;B130,"%","%25"),"~","%7E"),"*","%2A"),"?","%3F"),'Rules'!$G$7:$G$26,0)),"")</x:f>
      </x:c>
      <x:c r="N130" s="5" t="str">
        <x:f>IF(COUNTA(A130:F130)=0,"",SUBSTITUTE(SUBSTITUTE(SUBSTITUTE(SUBSTITUTE("id:"&amp;A130,"%","%25"),"~","%7E"),"*","%2A"),"?","%3F"))</x:f>
      </x:c>
    </x:row>
    <x:row r="131" ht="22" customHeight="1">
      <x:c r="A131" s="3"/>
      <x:c r="B131" s="3"/>
      <x:c r="C131" s="3"/>
      <x:c r="D131" s="4"/>
      <x:c r="E131" s="4"/>
      <x:c r="F131" s="4"/>
      <x:c r="G131" s="5" t="str">
        <x:f>IF(COUNTA(A131:F131)=0,"",IF(K131&lt;&gt;"","Review",IF(I131&lt;0,"Overdue",IF(I131=0,"Due now",IF(I131&lt;=M131,"Due soon","Not due")))))</x:f>
      </x:c>
      <x:c r="H131" s="5" t="str">
        <x:f>IF(OR(COUNTA(A131:F131)=0,COUNTIFS('Rules'!$G$7:$G$26,"="&amp;(SUBSTITUTE(SUBSTITUTE(SUBSTITUTE(SUBSTITUTE("type:"&amp;B131,"%","%25"),"~","%7E"),"*","%2A"),"?","%3F")))&lt;&gt;1),"",IF(OR(INDEX('Rules'!$B$7:$B$26,MATCH(SUBSTITUTE(SUBSTITUTE(SUBSTITUTE(SUBSTITUTE("type:"&amp;B131,"%","%25"),"~","%7E"),"*","%2A"),"?","%3F"),'Rules'!$G$7:$G$26,0))="hours",INDEX('Rules'!$B$7:$B$26,MATCH(SUBSTITUTE(SUBSTITUTE(SUBSTITUTE(SUBSTITUTE("type:"&amp;B131,"%","%25"),"~","%7E"),"*","%2A"),"?","%3F"),'Rules'!$G$7:$G$26,0))="km"),INDEX('Rules'!$B$7:$B$26,MATCH(SUBSTITUTE(SUBSTITUTE(SUBSTITUTE(SUBSTITUTE("type:"&amp;B131,"%","%25"),"~","%7E"),"*","%2A"),"?","%3F"),'Rules'!$G$7:$G$26,0)),""))</x:f>
      </x:c>
      <x:c r="I131" s="6" t="str">
        <x:f>IF(AND(NOT(COUNTA(A131:F131)=0),K131=""),ROUND(J131-D131,3),"")</x:f>
      </x:c>
      <x:c r="J131" s="6" t="str">
        <x:f>IF(AND(NOT(COUNTA(A131:F131)=0),K131=""),ROUND(F131+L131,3),"")</x:f>
      </x:c>
      <x:c r="K131" s="5" t="str">
        <x:f>IF(COUNTA(A131:F131)=0,"",IF(A131="","Missing equipment ID",IF(COUNTIFS($N$8:$N$2007,"="&amp;N131)&gt;1,"Duplicate equipment ID",IF(B131="","Missing type",IF(COUNTIFS('Rules'!$G$7:$G$26,"="&amp;(SUBSTITUTE(SUBSTITUTE(SUBSTITUTE(SUBSTITUTE("type:"&amp;B131,"%","%25"),"~","%7E"),"*","%2A"),"?","%3F")))=0,"Unknown type",IF(COUNTIFS('Rules'!$G$7:$G$26,"="&amp;(SUBSTITUTE(SUBSTITUTE(SUBSTITUTE(SUBSTITUTE("type:"&amp;B131,"%","%25"),"~","%7E"),"*","%2A"),"?","%3F")))&gt;1,"Duplicate type",IF(INDEX('Rules'!$F$7:$F$26,MATCH(SUBSTITUTE(SUBSTITUTE(SUBSTITUTE(SUBSTITUTE("type:"&amp;B131,"%","%25"),"~","%7E"),"*","%2A"),"?","%3F"),'Rules'!$G$7:$G$26,0))&lt;&gt;"",INDEX('Rules'!$F$7:$F$26,MATCH(SUBSTITUTE(SUBSTITUTE(SUBSTITUTE(SUBSTITUTE("type:"&amp;B131,"%","%25"),"~","%7E"),"*","%2A"),"?","%3F"),'Rules'!$G$7:$G$26,0)),IF(AND(C131&lt;&gt;"",C131&lt;&gt;INDEX('Rules'!$B$7:$B$26,MATCH(SUBSTITUTE(SUBSTITUTE(SUBSTITUTE(SUBSTITUTE("type:"&amp;B131,"%","%25"),"~","%7E"),"*","%2A"),"?","%3F"),'Rules'!$G$7:$G$26,0))),"Unit mismatch",IF(IF(NOT(ISNUMBER(D131)),TRUE,OR(D131&lt;0,D131&gt;999999999,ROUND(D131,3)&lt;&gt;D131)),"Invalid current reading",IF(AND(E131&lt;&gt;"",IF(NOT(ISNUMBER(E131)),TRUE,OR(E131&lt;0,E131&gt;999999999,ROUND(E131,3)&lt;&gt;E131))),"Invalid previous reading",IF(IF(NOT(ISNUMBER(F131)),TRUE,OR(F131&lt;0,F131&gt;999999999,ROUND(F131,3)&lt;&gt;F131)),"Invalid last service",IF(AND(E131&lt;&gt;"",D131&lt;E131),"Decreased reading",IF(F131&gt;D131,"Last service above current","")))))))))))))</x:f>
      </x:c>
      <x:c r="L131" s="6" t="str">
        <x:f>IF(AND(NOT(COUNTA(A131:F131)=0),K131=""),INDEX('Rules'!$C$7:$C$26,MATCH(SUBSTITUTE(SUBSTITUTE(SUBSTITUTE(SUBSTITUTE("type:"&amp;B131,"%","%25"),"~","%7E"),"*","%2A"),"?","%3F"),'Rules'!$G$7:$G$26,0)),"")</x:f>
      </x:c>
      <x:c r="M131" s="6" t="str">
        <x:f>IF(AND(NOT(COUNTA(A131:F131)=0),K131=""),INDEX('Rules'!$D$7:$D$26,MATCH(SUBSTITUTE(SUBSTITUTE(SUBSTITUTE(SUBSTITUTE("type:"&amp;B131,"%","%25"),"~","%7E"),"*","%2A"),"?","%3F"),'Rules'!$G$7:$G$26,0)),"")</x:f>
      </x:c>
      <x:c r="N131" s="5" t="str">
        <x:f>IF(COUNTA(A131:F131)=0,"",SUBSTITUTE(SUBSTITUTE(SUBSTITUTE(SUBSTITUTE("id:"&amp;A131,"%","%25"),"~","%7E"),"*","%2A"),"?","%3F"))</x:f>
      </x:c>
    </x:row>
    <x:row r="132" ht="22" customHeight="1">
      <x:c r="A132" s="3"/>
      <x:c r="B132" s="3"/>
      <x:c r="C132" s="3"/>
      <x:c r="D132" s="4"/>
      <x:c r="E132" s="4"/>
      <x:c r="F132" s="4"/>
      <x:c r="G132" s="5" t="str">
        <x:f>IF(COUNTA(A132:F132)=0,"",IF(K132&lt;&gt;"","Review",IF(I132&lt;0,"Overdue",IF(I132=0,"Due now",IF(I132&lt;=M132,"Due soon","Not due")))))</x:f>
      </x:c>
      <x:c r="H132" s="5" t="str">
        <x:f>IF(OR(COUNTA(A132:F132)=0,COUNTIFS('Rules'!$G$7:$G$26,"="&amp;(SUBSTITUTE(SUBSTITUTE(SUBSTITUTE(SUBSTITUTE("type:"&amp;B132,"%","%25"),"~","%7E"),"*","%2A"),"?","%3F")))&lt;&gt;1),"",IF(OR(INDEX('Rules'!$B$7:$B$26,MATCH(SUBSTITUTE(SUBSTITUTE(SUBSTITUTE(SUBSTITUTE("type:"&amp;B132,"%","%25"),"~","%7E"),"*","%2A"),"?","%3F"),'Rules'!$G$7:$G$26,0))="hours",INDEX('Rules'!$B$7:$B$26,MATCH(SUBSTITUTE(SUBSTITUTE(SUBSTITUTE(SUBSTITUTE("type:"&amp;B132,"%","%25"),"~","%7E"),"*","%2A"),"?","%3F"),'Rules'!$G$7:$G$26,0))="km"),INDEX('Rules'!$B$7:$B$26,MATCH(SUBSTITUTE(SUBSTITUTE(SUBSTITUTE(SUBSTITUTE("type:"&amp;B132,"%","%25"),"~","%7E"),"*","%2A"),"?","%3F"),'Rules'!$G$7:$G$26,0)),""))</x:f>
      </x:c>
      <x:c r="I132" s="6" t="str">
        <x:f>IF(AND(NOT(COUNTA(A132:F132)=0),K132=""),ROUND(J132-D132,3),"")</x:f>
      </x:c>
      <x:c r="J132" s="6" t="str">
        <x:f>IF(AND(NOT(COUNTA(A132:F132)=0),K132=""),ROUND(F132+L132,3),"")</x:f>
      </x:c>
      <x:c r="K132" s="5" t="str">
        <x:f>IF(COUNTA(A132:F132)=0,"",IF(A132="","Missing equipment ID",IF(COUNTIFS($N$8:$N$2007,"="&amp;N132)&gt;1,"Duplicate equipment ID",IF(B132="","Missing type",IF(COUNTIFS('Rules'!$G$7:$G$26,"="&amp;(SUBSTITUTE(SUBSTITUTE(SUBSTITUTE(SUBSTITUTE("type:"&amp;B132,"%","%25"),"~","%7E"),"*","%2A"),"?","%3F")))=0,"Unknown type",IF(COUNTIFS('Rules'!$G$7:$G$26,"="&amp;(SUBSTITUTE(SUBSTITUTE(SUBSTITUTE(SUBSTITUTE("type:"&amp;B132,"%","%25"),"~","%7E"),"*","%2A"),"?","%3F")))&gt;1,"Duplicate type",IF(INDEX('Rules'!$F$7:$F$26,MATCH(SUBSTITUTE(SUBSTITUTE(SUBSTITUTE(SUBSTITUTE("type:"&amp;B132,"%","%25"),"~","%7E"),"*","%2A"),"?","%3F"),'Rules'!$G$7:$G$26,0))&lt;&gt;"",INDEX('Rules'!$F$7:$F$26,MATCH(SUBSTITUTE(SUBSTITUTE(SUBSTITUTE(SUBSTITUTE("type:"&amp;B132,"%","%25"),"~","%7E"),"*","%2A"),"?","%3F"),'Rules'!$G$7:$G$26,0)),IF(AND(C132&lt;&gt;"",C132&lt;&gt;INDEX('Rules'!$B$7:$B$26,MATCH(SUBSTITUTE(SUBSTITUTE(SUBSTITUTE(SUBSTITUTE("type:"&amp;B132,"%","%25"),"~","%7E"),"*","%2A"),"?","%3F"),'Rules'!$G$7:$G$26,0))),"Unit mismatch",IF(IF(NOT(ISNUMBER(D132)),TRUE,OR(D132&lt;0,D132&gt;999999999,ROUND(D132,3)&lt;&gt;D132)),"Invalid current reading",IF(AND(E132&lt;&gt;"",IF(NOT(ISNUMBER(E132)),TRUE,OR(E132&lt;0,E132&gt;999999999,ROUND(E132,3)&lt;&gt;E132))),"Invalid previous reading",IF(IF(NOT(ISNUMBER(F132)),TRUE,OR(F132&lt;0,F132&gt;999999999,ROUND(F132,3)&lt;&gt;F132)),"Invalid last service",IF(AND(E132&lt;&gt;"",D132&lt;E132),"Decreased reading",IF(F132&gt;D132,"Last service above current","")))))))))))))</x:f>
      </x:c>
      <x:c r="L132" s="6" t="str">
        <x:f>IF(AND(NOT(COUNTA(A132:F132)=0),K132=""),INDEX('Rules'!$C$7:$C$26,MATCH(SUBSTITUTE(SUBSTITUTE(SUBSTITUTE(SUBSTITUTE("type:"&amp;B132,"%","%25"),"~","%7E"),"*","%2A"),"?","%3F"),'Rules'!$G$7:$G$26,0)),"")</x:f>
      </x:c>
      <x:c r="M132" s="6" t="str">
        <x:f>IF(AND(NOT(COUNTA(A132:F132)=0),K132=""),INDEX('Rules'!$D$7:$D$26,MATCH(SUBSTITUTE(SUBSTITUTE(SUBSTITUTE(SUBSTITUTE("type:"&amp;B132,"%","%25"),"~","%7E"),"*","%2A"),"?","%3F"),'Rules'!$G$7:$G$26,0)),"")</x:f>
      </x:c>
      <x:c r="N132" s="5" t="str">
        <x:f>IF(COUNTA(A132:F132)=0,"",SUBSTITUTE(SUBSTITUTE(SUBSTITUTE(SUBSTITUTE("id:"&amp;A132,"%","%25"),"~","%7E"),"*","%2A"),"?","%3F"))</x:f>
      </x:c>
    </x:row>
    <x:row r="133" ht="22" customHeight="1">
      <x:c r="A133" s="3"/>
      <x:c r="B133" s="3"/>
      <x:c r="C133" s="3"/>
      <x:c r="D133" s="4"/>
      <x:c r="E133" s="4"/>
      <x:c r="F133" s="4"/>
      <x:c r="G133" s="5" t="str">
        <x:f>IF(COUNTA(A133:F133)=0,"",IF(K133&lt;&gt;"","Review",IF(I133&lt;0,"Overdue",IF(I133=0,"Due now",IF(I133&lt;=M133,"Due soon","Not due")))))</x:f>
      </x:c>
      <x:c r="H133" s="5" t="str">
        <x:f>IF(OR(COUNTA(A133:F133)=0,COUNTIFS('Rules'!$G$7:$G$26,"="&amp;(SUBSTITUTE(SUBSTITUTE(SUBSTITUTE(SUBSTITUTE("type:"&amp;B133,"%","%25"),"~","%7E"),"*","%2A"),"?","%3F")))&lt;&gt;1),"",IF(OR(INDEX('Rules'!$B$7:$B$26,MATCH(SUBSTITUTE(SUBSTITUTE(SUBSTITUTE(SUBSTITUTE("type:"&amp;B133,"%","%25"),"~","%7E"),"*","%2A"),"?","%3F"),'Rules'!$G$7:$G$26,0))="hours",INDEX('Rules'!$B$7:$B$26,MATCH(SUBSTITUTE(SUBSTITUTE(SUBSTITUTE(SUBSTITUTE("type:"&amp;B133,"%","%25"),"~","%7E"),"*","%2A"),"?","%3F"),'Rules'!$G$7:$G$26,0))="km"),INDEX('Rules'!$B$7:$B$26,MATCH(SUBSTITUTE(SUBSTITUTE(SUBSTITUTE(SUBSTITUTE("type:"&amp;B133,"%","%25"),"~","%7E"),"*","%2A"),"?","%3F"),'Rules'!$G$7:$G$26,0)),""))</x:f>
      </x:c>
      <x:c r="I133" s="6" t="str">
        <x:f>IF(AND(NOT(COUNTA(A133:F133)=0),K133=""),ROUND(J133-D133,3),"")</x:f>
      </x:c>
      <x:c r="J133" s="6" t="str">
        <x:f>IF(AND(NOT(COUNTA(A133:F133)=0),K133=""),ROUND(F133+L133,3),"")</x:f>
      </x:c>
      <x:c r="K133" s="5" t="str">
        <x:f>IF(COUNTA(A133:F133)=0,"",IF(A133="","Missing equipment ID",IF(COUNTIFS($N$8:$N$2007,"="&amp;N133)&gt;1,"Duplicate equipment ID",IF(B133="","Missing type",IF(COUNTIFS('Rules'!$G$7:$G$26,"="&amp;(SUBSTITUTE(SUBSTITUTE(SUBSTITUTE(SUBSTITUTE("type:"&amp;B133,"%","%25"),"~","%7E"),"*","%2A"),"?","%3F")))=0,"Unknown type",IF(COUNTIFS('Rules'!$G$7:$G$26,"="&amp;(SUBSTITUTE(SUBSTITUTE(SUBSTITUTE(SUBSTITUTE("type:"&amp;B133,"%","%25"),"~","%7E"),"*","%2A"),"?","%3F")))&gt;1,"Duplicate type",IF(INDEX('Rules'!$F$7:$F$26,MATCH(SUBSTITUTE(SUBSTITUTE(SUBSTITUTE(SUBSTITUTE("type:"&amp;B133,"%","%25"),"~","%7E"),"*","%2A"),"?","%3F"),'Rules'!$G$7:$G$26,0))&lt;&gt;"",INDEX('Rules'!$F$7:$F$26,MATCH(SUBSTITUTE(SUBSTITUTE(SUBSTITUTE(SUBSTITUTE("type:"&amp;B133,"%","%25"),"~","%7E"),"*","%2A"),"?","%3F"),'Rules'!$G$7:$G$26,0)),IF(AND(C133&lt;&gt;"",C133&lt;&gt;INDEX('Rules'!$B$7:$B$26,MATCH(SUBSTITUTE(SUBSTITUTE(SUBSTITUTE(SUBSTITUTE("type:"&amp;B133,"%","%25"),"~","%7E"),"*","%2A"),"?","%3F"),'Rules'!$G$7:$G$26,0))),"Unit mismatch",IF(IF(NOT(ISNUMBER(D133)),TRUE,OR(D133&lt;0,D133&gt;999999999,ROUND(D133,3)&lt;&gt;D133)),"Invalid current reading",IF(AND(E133&lt;&gt;"",IF(NOT(ISNUMBER(E133)),TRUE,OR(E133&lt;0,E133&gt;999999999,ROUND(E133,3)&lt;&gt;E133))),"Invalid previous reading",IF(IF(NOT(ISNUMBER(F133)),TRUE,OR(F133&lt;0,F133&gt;999999999,ROUND(F133,3)&lt;&gt;F133)),"Invalid last service",IF(AND(E133&lt;&gt;"",D133&lt;E133),"Decreased reading",IF(F133&gt;D133,"Last service above current","")))))))))))))</x:f>
      </x:c>
      <x:c r="L133" s="6" t="str">
        <x:f>IF(AND(NOT(COUNTA(A133:F133)=0),K133=""),INDEX('Rules'!$C$7:$C$26,MATCH(SUBSTITUTE(SUBSTITUTE(SUBSTITUTE(SUBSTITUTE("type:"&amp;B133,"%","%25"),"~","%7E"),"*","%2A"),"?","%3F"),'Rules'!$G$7:$G$26,0)),"")</x:f>
      </x:c>
      <x:c r="M133" s="6" t="str">
        <x:f>IF(AND(NOT(COUNTA(A133:F133)=0),K133=""),INDEX('Rules'!$D$7:$D$26,MATCH(SUBSTITUTE(SUBSTITUTE(SUBSTITUTE(SUBSTITUTE("type:"&amp;B133,"%","%25"),"~","%7E"),"*","%2A"),"?","%3F"),'Rules'!$G$7:$G$26,0)),"")</x:f>
      </x:c>
      <x:c r="N133" s="5" t="str">
        <x:f>IF(COUNTA(A133:F133)=0,"",SUBSTITUTE(SUBSTITUTE(SUBSTITUTE(SUBSTITUTE("id:"&amp;A133,"%","%25"),"~","%7E"),"*","%2A"),"?","%3F"))</x:f>
      </x:c>
    </x:row>
    <x:row r="134" ht="22" customHeight="1">
      <x:c r="A134" s="3"/>
      <x:c r="B134" s="3"/>
      <x:c r="C134" s="3"/>
      <x:c r="D134" s="4"/>
      <x:c r="E134" s="4"/>
      <x:c r="F134" s="4"/>
      <x:c r="G134" s="5" t="str">
        <x:f>IF(COUNTA(A134:F134)=0,"",IF(K134&lt;&gt;"","Review",IF(I134&lt;0,"Overdue",IF(I134=0,"Due now",IF(I134&lt;=M134,"Due soon","Not due")))))</x:f>
      </x:c>
      <x:c r="H134" s="5" t="str">
        <x:f>IF(OR(COUNTA(A134:F134)=0,COUNTIFS('Rules'!$G$7:$G$26,"="&amp;(SUBSTITUTE(SUBSTITUTE(SUBSTITUTE(SUBSTITUTE("type:"&amp;B134,"%","%25"),"~","%7E"),"*","%2A"),"?","%3F")))&lt;&gt;1),"",IF(OR(INDEX('Rules'!$B$7:$B$26,MATCH(SUBSTITUTE(SUBSTITUTE(SUBSTITUTE(SUBSTITUTE("type:"&amp;B134,"%","%25"),"~","%7E"),"*","%2A"),"?","%3F"),'Rules'!$G$7:$G$26,0))="hours",INDEX('Rules'!$B$7:$B$26,MATCH(SUBSTITUTE(SUBSTITUTE(SUBSTITUTE(SUBSTITUTE("type:"&amp;B134,"%","%25"),"~","%7E"),"*","%2A"),"?","%3F"),'Rules'!$G$7:$G$26,0))="km"),INDEX('Rules'!$B$7:$B$26,MATCH(SUBSTITUTE(SUBSTITUTE(SUBSTITUTE(SUBSTITUTE("type:"&amp;B134,"%","%25"),"~","%7E"),"*","%2A"),"?","%3F"),'Rules'!$G$7:$G$26,0)),""))</x:f>
      </x:c>
      <x:c r="I134" s="6" t="str">
        <x:f>IF(AND(NOT(COUNTA(A134:F134)=0),K134=""),ROUND(J134-D134,3),"")</x:f>
      </x:c>
      <x:c r="J134" s="6" t="str">
        <x:f>IF(AND(NOT(COUNTA(A134:F134)=0),K134=""),ROUND(F134+L134,3),"")</x:f>
      </x:c>
      <x:c r="K134" s="5" t="str">
        <x:f>IF(COUNTA(A134:F134)=0,"",IF(A134="","Missing equipment ID",IF(COUNTIFS($N$8:$N$2007,"="&amp;N134)&gt;1,"Duplicate equipment ID",IF(B134="","Missing type",IF(COUNTIFS('Rules'!$G$7:$G$26,"="&amp;(SUBSTITUTE(SUBSTITUTE(SUBSTITUTE(SUBSTITUTE("type:"&amp;B134,"%","%25"),"~","%7E"),"*","%2A"),"?","%3F")))=0,"Unknown type",IF(COUNTIFS('Rules'!$G$7:$G$26,"="&amp;(SUBSTITUTE(SUBSTITUTE(SUBSTITUTE(SUBSTITUTE("type:"&amp;B134,"%","%25"),"~","%7E"),"*","%2A"),"?","%3F")))&gt;1,"Duplicate type",IF(INDEX('Rules'!$F$7:$F$26,MATCH(SUBSTITUTE(SUBSTITUTE(SUBSTITUTE(SUBSTITUTE("type:"&amp;B134,"%","%25"),"~","%7E"),"*","%2A"),"?","%3F"),'Rules'!$G$7:$G$26,0))&lt;&gt;"",INDEX('Rules'!$F$7:$F$26,MATCH(SUBSTITUTE(SUBSTITUTE(SUBSTITUTE(SUBSTITUTE("type:"&amp;B134,"%","%25"),"~","%7E"),"*","%2A"),"?","%3F"),'Rules'!$G$7:$G$26,0)),IF(AND(C134&lt;&gt;"",C134&lt;&gt;INDEX('Rules'!$B$7:$B$26,MATCH(SUBSTITUTE(SUBSTITUTE(SUBSTITUTE(SUBSTITUTE("type:"&amp;B134,"%","%25"),"~","%7E"),"*","%2A"),"?","%3F"),'Rules'!$G$7:$G$26,0))),"Unit mismatch",IF(IF(NOT(ISNUMBER(D134)),TRUE,OR(D134&lt;0,D134&gt;999999999,ROUND(D134,3)&lt;&gt;D134)),"Invalid current reading",IF(AND(E134&lt;&gt;"",IF(NOT(ISNUMBER(E134)),TRUE,OR(E134&lt;0,E134&gt;999999999,ROUND(E134,3)&lt;&gt;E134))),"Invalid previous reading",IF(IF(NOT(ISNUMBER(F134)),TRUE,OR(F134&lt;0,F134&gt;999999999,ROUND(F134,3)&lt;&gt;F134)),"Invalid last service",IF(AND(E134&lt;&gt;"",D134&lt;E134),"Decreased reading",IF(F134&gt;D134,"Last service above current","")))))))))))))</x:f>
      </x:c>
      <x:c r="L134" s="6" t="str">
        <x:f>IF(AND(NOT(COUNTA(A134:F134)=0),K134=""),INDEX('Rules'!$C$7:$C$26,MATCH(SUBSTITUTE(SUBSTITUTE(SUBSTITUTE(SUBSTITUTE("type:"&amp;B134,"%","%25"),"~","%7E"),"*","%2A"),"?","%3F"),'Rules'!$G$7:$G$26,0)),"")</x:f>
      </x:c>
      <x:c r="M134" s="6" t="str">
        <x:f>IF(AND(NOT(COUNTA(A134:F134)=0),K134=""),INDEX('Rules'!$D$7:$D$26,MATCH(SUBSTITUTE(SUBSTITUTE(SUBSTITUTE(SUBSTITUTE("type:"&amp;B134,"%","%25"),"~","%7E"),"*","%2A"),"?","%3F"),'Rules'!$G$7:$G$26,0)),"")</x:f>
      </x:c>
      <x:c r="N134" s="5" t="str">
        <x:f>IF(COUNTA(A134:F134)=0,"",SUBSTITUTE(SUBSTITUTE(SUBSTITUTE(SUBSTITUTE("id:"&amp;A134,"%","%25"),"~","%7E"),"*","%2A"),"?","%3F"))</x:f>
      </x:c>
    </x:row>
    <x:row r="135" ht="22" customHeight="1">
      <x:c r="A135" s="3"/>
      <x:c r="B135" s="3"/>
      <x:c r="C135" s="3"/>
      <x:c r="D135" s="4"/>
      <x:c r="E135" s="4"/>
      <x:c r="F135" s="4"/>
      <x:c r="G135" s="5" t="str">
        <x:f>IF(COUNTA(A135:F135)=0,"",IF(K135&lt;&gt;"","Review",IF(I135&lt;0,"Overdue",IF(I135=0,"Due now",IF(I135&lt;=M135,"Due soon","Not due")))))</x:f>
      </x:c>
      <x:c r="H135" s="5" t="str">
        <x:f>IF(OR(COUNTA(A135:F135)=0,COUNTIFS('Rules'!$G$7:$G$26,"="&amp;(SUBSTITUTE(SUBSTITUTE(SUBSTITUTE(SUBSTITUTE("type:"&amp;B135,"%","%25"),"~","%7E"),"*","%2A"),"?","%3F")))&lt;&gt;1),"",IF(OR(INDEX('Rules'!$B$7:$B$26,MATCH(SUBSTITUTE(SUBSTITUTE(SUBSTITUTE(SUBSTITUTE("type:"&amp;B135,"%","%25"),"~","%7E"),"*","%2A"),"?","%3F"),'Rules'!$G$7:$G$26,0))="hours",INDEX('Rules'!$B$7:$B$26,MATCH(SUBSTITUTE(SUBSTITUTE(SUBSTITUTE(SUBSTITUTE("type:"&amp;B135,"%","%25"),"~","%7E"),"*","%2A"),"?","%3F"),'Rules'!$G$7:$G$26,0))="km"),INDEX('Rules'!$B$7:$B$26,MATCH(SUBSTITUTE(SUBSTITUTE(SUBSTITUTE(SUBSTITUTE("type:"&amp;B135,"%","%25"),"~","%7E"),"*","%2A"),"?","%3F"),'Rules'!$G$7:$G$26,0)),""))</x:f>
      </x:c>
      <x:c r="I135" s="6" t="str">
        <x:f>IF(AND(NOT(COUNTA(A135:F135)=0),K135=""),ROUND(J135-D135,3),"")</x:f>
      </x:c>
      <x:c r="J135" s="6" t="str">
        <x:f>IF(AND(NOT(COUNTA(A135:F135)=0),K135=""),ROUND(F135+L135,3),"")</x:f>
      </x:c>
      <x:c r="K135" s="5" t="str">
        <x:f>IF(COUNTA(A135:F135)=0,"",IF(A135="","Missing equipment ID",IF(COUNTIFS($N$8:$N$2007,"="&amp;N135)&gt;1,"Duplicate equipment ID",IF(B135="","Missing type",IF(COUNTIFS('Rules'!$G$7:$G$26,"="&amp;(SUBSTITUTE(SUBSTITUTE(SUBSTITUTE(SUBSTITUTE("type:"&amp;B135,"%","%25"),"~","%7E"),"*","%2A"),"?","%3F")))=0,"Unknown type",IF(COUNTIFS('Rules'!$G$7:$G$26,"="&amp;(SUBSTITUTE(SUBSTITUTE(SUBSTITUTE(SUBSTITUTE("type:"&amp;B135,"%","%25"),"~","%7E"),"*","%2A"),"?","%3F")))&gt;1,"Duplicate type",IF(INDEX('Rules'!$F$7:$F$26,MATCH(SUBSTITUTE(SUBSTITUTE(SUBSTITUTE(SUBSTITUTE("type:"&amp;B135,"%","%25"),"~","%7E"),"*","%2A"),"?","%3F"),'Rules'!$G$7:$G$26,0))&lt;&gt;"",INDEX('Rules'!$F$7:$F$26,MATCH(SUBSTITUTE(SUBSTITUTE(SUBSTITUTE(SUBSTITUTE("type:"&amp;B135,"%","%25"),"~","%7E"),"*","%2A"),"?","%3F"),'Rules'!$G$7:$G$26,0)),IF(AND(C135&lt;&gt;"",C135&lt;&gt;INDEX('Rules'!$B$7:$B$26,MATCH(SUBSTITUTE(SUBSTITUTE(SUBSTITUTE(SUBSTITUTE("type:"&amp;B135,"%","%25"),"~","%7E"),"*","%2A"),"?","%3F"),'Rules'!$G$7:$G$26,0))),"Unit mismatch",IF(IF(NOT(ISNUMBER(D135)),TRUE,OR(D135&lt;0,D135&gt;999999999,ROUND(D135,3)&lt;&gt;D135)),"Invalid current reading",IF(AND(E135&lt;&gt;"",IF(NOT(ISNUMBER(E135)),TRUE,OR(E135&lt;0,E135&gt;999999999,ROUND(E135,3)&lt;&gt;E135))),"Invalid previous reading",IF(IF(NOT(ISNUMBER(F135)),TRUE,OR(F135&lt;0,F135&gt;999999999,ROUND(F135,3)&lt;&gt;F135)),"Invalid last service",IF(AND(E135&lt;&gt;"",D135&lt;E135),"Decreased reading",IF(F135&gt;D135,"Last service above current","")))))))))))))</x:f>
      </x:c>
      <x:c r="L135" s="6" t="str">
        <x:f>IF(AND(NOT(COUNTA(A135:F135)=0),K135=""),INDEX('Rules'!$C$7:$C$26,MATCH(SUBSTITUTE(SUBSTITUTE(SUBSTITUTE(SUBSTITUTE("type:"&amp;B135,"%","%25"),"~","%7E"),"*","%2A"),"?","%3F"),'Rules'!$G$7:$G$26,0)),"")</x:f>
      </x:c>
      <x:c r="M135" s="6" t="str">
        <x:f>IF(AND(NOT(COUNTA(A135:F135)=0),K135=""),INDEX('Rules'!$D$7:$D$26,MATCH(SUBSTITUTE(SUBSTITUTE(SUBSTITUTE(SUBSTITUTE("type:"&amp;B135,"%","%25"),"~","%7E"),"*","%2A"),"?","%3F"),'Rules'!$G$7:$G$26,0)),"")</x:f>
      </x:c>
      <x:c r="N135" s="5" t="str">
        <x:f>IF(COUNTA(A135:F135)=0,"",SUBSTITUTE(SUBSTITUTE(SUBSTITUTE(SUBSTITUTE("id:"&amp;A135,"%","%25"),"~","%7E"),"*","%2A"),"?","%3F"))</x:f>
      </x:c>
    </x:row>
    <x:row r="136" ht="22" customHeight="1">
      <x:c r="A136" s="3"/>
      <x:c r="B136" s="3"/>
      <x:c r="C136" s="3"/>
      <x:c r="D136" s="4"/>
      <x:c r="E136" s="4"/>
      <x:c r="F136" s="4"/>
      <x:c r="G136" s="5" t="str">
        <x:f>IF(COUNTA(A136:F136)=0,"",IF(K136&lt;&gt;"","Review",IF(I136&lt;0,"Overdue",IF(I136=0,"Due now",IF(I136&lt;=M136,"Due soon","Not due")))))</x:f>
      </x:c>
      <x:c r="H136" s="5" t="str">
        <x:f>IF(OR(COUNTA(A136:F136)=0,COUNTIFS('Rules'!$G$7:$G$26,"="&amp;(SUBSTITUTE(SUBSTITUTE(SUBSTITUTE(SUBSTITUTE("type:"&amp;B136,"%","%25"),"~","%7E"),"*","%2A"),"?","%3F")))&lt;&gt;1),"",IF(OR(INDEX('Rules'!$B$7:$B$26,MATCH(SUBSTITUTE(SUBSTITUTE(SUBSTITUTE(SUBSTITUTE("type:"&amp;B136,"%","%25"),"~","%7E"),"*","%2A"),"?","%3F"),'Rules'!$G$7:$G$26,0))="hours",INDEX('Rules'!$B$7:$B$26,MATCH(SUBSTITUTE(SUBSTITUTE(SUBSTITUTE(SUBSTITUTE("type:"&amp;B136,"%","%25"),"~","%7E"),"*","%2A"),"?","%3F"),'Rules'!$G$7:$G$26,0))="km"),INDEX('Rules'!$B$7:$B$26,MATCH(SUBSTITUTE(SUBSTITUTE(SUBSTITUTE(SUBSTITUTE("type:"&amp;B136,"%","%25"),"~","%7E"),"*","%2A"),"?","%3F"),'Rules'!$G$7:$G$26,0)),""))</x:f>
      </x:c>
      <x:c r="I136" s="6" t="str">
        <x:f>IF(AND(NOT(COUNTA(A136:F136)=0),K136=""),ROUND(J136-D136,3),"")</x:f>
      </x:c>
      <x:c r="J136" s="6" t="str">
        <x:f>IF(AND(NOT(COUNTA(A136:F136)=0),K136=""),ROUND(F136+L136,3),"")</x:f>
      </x:c>
      <x:c r="K136" s="5" t="str">
        <x:f>IF(COUNTA(A136:F136)=0,"",IF(A136="","Missing equipment ID",IF(COUNTIFS($N$8:$N$2007,"="&amp;N136)&gt;1,"Duplicate equipment ID",IF(B136="","Missing type",IF(COUNTIFS('Rules'!$G$7:$G$26,"="&amp;(SUBSTITUTE(SUBSTITUTE(SUBSTITUTE(SUBSTITUTE("type:"&amp;B136,"%","%25"),"~","%7E"),"*","%2A"),"?","%3F")))=0,"Unknown type",IF(COUNTIFS('Rules'!$G$7:$G$26,"="&amp;(SUBSTITUTE(SUBSTITUTE(SUBSTITUTE(SUBSTITUTE("type:"&amp;B136,"%","%25"),"~","%7E"),"*","%2A"),"?","%3F")))&gt;1,"Duplicate type",IF(INDEX('Rules'!$F$7:$F$26,MATCH(SUBSTITUTE(SUBSTITUTE(SUBSTITUTE(SUBSTITUTE("type:"&amp;B136,"%","%25"),"~","%7E"),"*","%2A"),"?","%3F"),'Rules'!$G$7:$G$26,0))&lt;&gt;"",INDEX('Rules'!$F$7:$F$26,MATCH(SUBSTITUTE(SUBSTITUTE(SUBSTITUTE(SUBSTITUTE("type:"&amp;B136,"%","%25"),"~","%7E"),"*","%2A"),"?","%3F"),'Rules'!$G$7:$G$26,0)),IF(AND(C136&lt;&gt;"",C136&lt;&gt;INDEX('Rules'!$B$7:$B$26,MATCH(SUBSTITUTE(SUBSTITUTE(SUBSTITUTE(SUBSTITUTE("type:"&amp;B136,"%","%25"),"~","%7E"),"*","%2A"),"?","%3F"),'Rules'!$G$7:$G$26,0))),"Unit mismatch",IF(IF(NOT(ISNUMBER(D136)),TRUE,OR(D136&lt;0,D136&gt;999999999,ROUND(D136,3)&lt;&gt;D136)),"Invalid current reading",IF(AND(E136&lt;&gt;"",IF(NOT(ISNUMBER(E136)),TRUE,OR(E136&lt;0,E136&gt;999999999,ROUND(E136,3)&lt;&gt;E136))),"Invalid previous reading",IF(IF(NOT(ISNUMBER(F136)),TRUE,OR(F136&lt;0,F136&gt;999999999,ROUND(F136,3)&lt;&gt;F136)),"Invalid last service",IF(AND(E136&lt;&gt;"",D136&lt;E136),"Decreased reading",IF(F136&gt;D136,"Last service above current","")))))))))))))</x:f>
      </x:c>
      <x:c r="L136" s="6" t="str">
        <x:f>IF(AND(NOT(COUNTA(A136:F136)=0),K136=""),INDEX('Rules'!$C$7:$C$26,MATCH(SUBSTITUTE(SUBSTITUTE(SUBSTITUTE(SUBSTITUTE("type:"&amp;B136,"%","%25"),"~","%7E"),"*","%2A"),"?","%3F"),'Rules'!$G$7:$G$26,0)),"")</x:f>
      </x:c>
      <x:c r="M136" s="6" t="str">
        <x:f>IF(AND(NOT(COUNTA(A136:F136)=0),K136=""),INDEX('Rules'!$D$7:$D$26,MATCH(SUBSTITUTE(SUBSTITUTE(SUBSTITUTE(SUBSTITUTE("type:"&amp;B136,"%","%25"),"~","%7E"),"*","%2A"),"?","%3F"),'Rules'!$G$7:$G$26,0)),"")</x:f>
      </x:c>
      <x:c r="N136" s="5" t="str">
        <x:f>IF(COUNTA(A136:F136)=0,"",SUBSTITUTE(SUBSTITUTE(SUBSTITUTE(SUBSTITUTE("id:"&amp;A136,"%","%25"),"~","%7E"),"*","%2A"),"?","%3F"))</x:f>
      </x:c>
    </x:row>
    <x:row r="137" ht="22" customHeight="1">
      <x:c r="A137" s="3"/>
      <x:c r="B137" s="3"/>
      <x:c r="C137" s="3"/>
      <x:c r="D137" s="4"/>
      <x:c r="E137" s="4"/>
      <x:c r="F137" s="4"/>
      <x:c r="G137" s="5" t="str">
        <x:f>IF(COUNTA(A137:F137)=0,"",IF(K137&lt;&gt;"","Review",IF(I137&lt;0,"Overdue",IF(I137=0,"Due now",IF(I137&lt;=M137,"Due soon","Not due")))))</x:f>
      </x:c>
      <x:c r="H137" s="5" t="str">
        <x:f>IF(OR(COUNTA(A137:F137)=0,COUNTIFS('Rules'!$G$7:$G$26,"="&amp;(SUBSTITUTE(SUBSTITUTE(SUBSTITUTE(SUBSTITUTE("type:"&amp;B137,"%","%25"),"~","%7E"),"*","%2A"),"?","%3F")))&lt;&gt;1),"",IF(OR(INDEX('Rules'!$B$7:$B$26,MATCH(SUBSTITUTE(SUBSTITUTE(SUBSTITUTE(SUBSTITUTE("type:"&amp;B137,"%","%25"),"~","%7E"),"*","%2A"),"?","%3F"),'Rules'!$G$7:$G$26,0))="hours",INDEX('Rules'!$B$7:$B$26,MATCH(SUBSTITUTE(SUBSTITUTE(SUBSTITUTE(SUBSTITUTE("type:"&amp;B137,"%","%25"),"~","%7E"),"*","%2A"),"?","%3F"),'Rules'!$G$7:$G$26,0))="km"),INDEX('Rules'!$B$7:$B$26,MATCH(SUBSTITUTE(SUBSTITUTE(SUBSTITUTE(SUBSTITUTE("type:"&amp;B137,"%","%25"),"~","%7E"),"*","%2A"),"?","%3F"),'Rules'!$G$7:$G$26,0)),""))</x:f>
      </x:c>
      <x:c r="I137" s="6" t="str">
        <x:f>IF(AND(NOT(COUNTA(A137:F137)=0),K137=""),ROUND(J137-D137,3),"")</x:f>
      </x:c>
      <x:c r="J137" s="6" t="str">
        <x:f>IF(AND(NOT(COUNTA(A137:F137)=0),K137=""),ROUND(F137+L137,3),"")</x:f>
      </x:c>
      <x:c r="K137" s="5" t="str">
        <x:f>IF(COUNTA(A137:F137)=0,"",IF(A137="","Missing equipment ID",IF(COUNTIFS($N$8:$N$2007,"="&amp;N137)&gt;1,"Duplicate equipment ID",IF(B137="","Missing type",IF(COUNTIFS('Rules'!$G$7:$G$26,"="&amp;(SUBSTITUTE(SUBSTITUTE(SUBSTITUTE(SUBSTITUTE("type:"&amp;B137,"%","%25"),"~","%7E"),"*","%2A"),"?","%3F")))=0,"Unknown type",IF(COUNTIFS('Rules'!$G$7:$G$26,"="&amp;(SUBSTITUTE(SUBSTITUTE(SUBSTITUTE(SUBSTITUTE("type:"&amp;B137,"%","%25"),"~","%7E"),"*","%2A"),"?","%3F")))&gt;1,"Duplicate type",IF(INDEX('Rules'!$F$7:$F$26,MATCH(SUBSTITUTE(SUBSTITUTE(SUBSTITUTE(SUBSTITUTE("type:"&amp;B137,"%","%25"),"~","%7E"),"*","%2A"),"?","%3F"),'Rules'!$G$7:$G$26,0))&lt;&gt;"",INDEX('Rules'!$F$7:$F$26,MATCH(SUBSTITUTE(SUBSTITUTE(SUBSTITUTE(SUBSTITUTE("type:"&amp;B137,"%","%25"),"~","%7E"),"*","%2A"),"?","%3F"),'Rules'!$G$7:$G$26,0)),IF(AND(C137&lt;&gt;"",C137&lt;&gt;INDEX('Rules'!$B$7:$B$26,MATCH(SUBSTITUTE(SUBSTITUTE(SUBSTITUTE(SUBSTITUTE("type:"&amp;B137,"%","%25"),"~","%7E"),"*","%2A"),"?","%3F"),'Rules'!$G$7:$G$26,0))),"Unit mismatch",IF(IF(NOT(ISNUMBER(D137)),TRUE,OR(D137&lt;0,D137&gt;999999999,ROUND(D137,3)&lt;&gt;D137)),"Invalid current reading",IF(AND(E137&lt;&gt;"",IF(NOT(ISNUMBER(E137)),TRUE,OR(E137&lt;0,E137&gt;999999999,ROUND(E137,3)&lt;&gt;E137))),"Invalid previous reading",IF(IF(NOT(ISNUMBER(F137)),TRUE,OR(F137&lt;0,F137&gt;999999999,ROUND(F137,3)&lt;&gt;F137)),"Invalid last service",IF(AND(E137&lt;&gt;"",D137&lt;E137),"Decreased reading",IF(F137&gt;D137,"Last service above current","")))))))))))))</x:f>
      </x:c>
      <x:c r="L137" s="6" t="str">
        <x:f>IF(AND(NOT(COUNTA(A137:F137)=0),K137=""),INDEX('Rules'!$C$7:$C$26,MATCH(SUBSTITUTE(SUBSTITUTE(SUBSTITUTE(SUBSTITUTE("type:"&amp;B137,"%","%25"),"~","%7E"),"*","%2A"),"?","%3F"),'Rules'!$G$7:$G$26,0)),"")</x:f>
      </x:c>
      <x:c r="M137" s="6" t="str">
        <x:f>IF(AND(NOT(COUNTA(A137:F137)=0),K137=""),INDEX('Rules'!$D$7:$D$26,MATCH(SUBSTITUTE(SUBSTITUTE(SUBSTITUTE(SUBSTITUTE("type:"&amp;B137,"%","%25"),"~","%7E"),"*","%2A"),"?","%3F"),'Rules'!$G$7:$G$26,0)),"")</x:f>
      </x:c>
      <x:c r="N137" s="5" t="str">
        <x:f>IF(COUNTA(A137:F137)=0,"",SUBSTITUTE(SUBSTITUTE(SUBSTITUTE(SUBSTITUTE("id:"&amp;A137,"%","%25"),"~","%7E"),"*","%2A"),"?","%3F"))</x:f>
      </x:c>
    </x:row>
    <x:row r="138" ht="22" customHeight="1">
      <x:c r="A138" s="3"/>
      <x:c r="B138" s="3"/>
      <x:c r="C138" s="3"/>
      <x:c r="D138" s="4"/>
      <x:c r="E138" s="4"/>
      <x:c r="F138" s="4"/>
      <x:c r="G138" s="5" t="str">
        <x:f>IF(COUNTA(A138:F138)=0,"",IF(K138&lt;&gt;"","Review",IF(I138&lt;0,"Overdue",IF(I138=0,"Due now",IF(I138&lt;=M138,"Due soon","Not due")))))</x:f>
      </x:c>
      <x:c r="H138" s="5" t="str">
        <x:f>IF(OR(COUNTA(A138:F138)=0,COUNTIFS('Rules'!$G$7:$G$26,"="&amp;(SUBSTITUTE(SUBSTITUTE(SUBSTITUTE(SUBSTITUTE("type:"&amp;B138,"%","%25"),"~","%7E"),"*","%2A"),"?","%3F")))&lt;&gt;1),"",IF(OR(INDEX('Rules'!$B$7:$B$26,MATCH(SUBSTITUTE(SUBSTITUTE(SUBSTITUTE(SUBSTITUTE("type:"&amp;B138,"%","%25"),"~","%7E"),"*","%2A"),"?","%3F"),'Rules'!$G$7:$G$26,0))="hours",INDEX('Rules'!$B$7:$B$26,MATCH(SUBSTITUTE(SUBSTITUTE(SUBSTITUTE(SUBSTITUTE("type:"&amp;B138,"%","%25"),"~","%7E"),"*","%2A"),"?","%3F"),'Rules'!$G$7:$G$26,0))="km"),INDEX('Rules'!$B$7:$B$26,MATCH(SUBSTITUTE(SUBSTITUTE(SUBSTITUTE(SUBSTITUTE("type:"&amp;B138,"%","%25"),"~","%7E"),"*","%2A"),"?","%3F"),'Rules'!$G$7:$G$26,0)),""))</x:f>
      </x:c>
      <x:c r="I138" s="6" t="str">
        <x:f>IF(AND(NOT(COUNTA(A138:F138)=0),K138=""),ROUND(J138-D138,3),"")</x:f>
      </x:c>
      <x:c r="J138" s="6" t="str">
        <x:f>IF(AND(NOT(COUNTA(A138:F138)=0),K138=""),ROUND(F138+L138,3),"")</x:f>
      </x:c>
      <x:c r="K138" s="5" t="str">
        <x:f>IF(COUNTA(A138:F138)=0,"",IF(A138="","Missing equipment ID",IF(COUNTIFS($N$8:$N$2007,"="&amp;N138)&gt;1,"Duplicate equipment ID",IF(B138="","Missing type",IF(COUNTIFS('Rules'!$G$7:$G$26,"="&amp;(SUBSTITUTE(SUBSTITUTE(SUBSTITUTE(SUBSTITUTE("type:"&amp;B138,"%","%25"),"~","%7E"),"*","%2A"),"?","%3F")))=0,"Unknown type",IF(COUNTIFS('Rules'!$G$7:$G$26,"="&amp;(SUBSTITUTE(SUBSTITUTE(SUBSTITUTE(SUBSTITUTE("type:"&amp;B138,"%","%25"),"~","%7E"),"*","%2A"),"?","%3F")))&gt;1,"Duplicate type",IF(INDEX('Rules'!$F$7:$F$26,MATCH(SUBSTITUTE(SUBSTITUTE(SUBSTITUTE(SUBSTITUTE("type:"&amp;B138,"%","%25"),"~","%7E"),"*","%2A"),"?","%3F"),'Rules'!$G$7:$G$26,0))&lt;&gt;"",INDEX('Rules'!$F$7:$F$26,MATCH(SUBSTITUTE(SUBSTITUTE(SUBSTITUTE(SUBSTITUTE("type:"&amp;B138,"%","%25"),"~","%7E"),"*","%2A"),"?","%3F"),'Rules'!$G$7:$G$26,0)),IF(AND(C138&lt;&gt;"",C138&lt;&gt;INDEX('Rules'!$B$7:$B$26,MATCH(SUBSTITUTE(SUBSTITUTE(SUBSTITUTE(SUBSTITUTE("type:"&amp;B138,"%","%25"),"~","%7E"),"*","%2A"),"?","%3F"),'Rules'!$G$7:$G$26,0))),"Unit mismatch",IF(IF(NOT(ISNUMBER(D138)),TRUE,OR(D138&lt;0,D138&gt;999999999,ROUND(D138,3)&lt;&gt;D138)),"Invalid current reading",IF(AND(E138&lt;&gt;"",IF(NOT(ISNUMBER(E138)),TRUE,OR(E138&lt;0,E138&gt;999999999,ROUND(E138,3)&lt;&gt;E138))),"Invalid previous reading",IF(IF(NOT(ISNUMBER(F138)),TRUE,OR(F138&lt;0,F138&gt;999999999,ROUND(F138,3)&lt;&gt;F138)),"Invalid last service",IF(AND(E138&lt;&gt;"",D138&lt;E138),"Decreased reading",IF(F138&gt;D138,"Last service above current","")))))))))))))</x:f>
      </x:c>
      <x:c r="L138" s="6" t="str">
        <x:f>IF(AND(NOT(COUNTA(A138:F138)=0),K138=""),INDEX('Rules'!$C$7:$C$26,MATCH(SUBSTITUTE(SUBSTITUTE(SUBSTITUTE(SUBSTITUTE("type:"&amp;B138,"%","%25"),"~","%7E"),"*","%2A"),"?","%3F"),'Rules'!$G$7:$G$26,0)),"")</x:f>
      </x:c>
      <x:c r="M138" s="6" t="str">
        <x:f>IF(AND(NOT(COUNTA(A138:F138)=0),K138=""),INDEX('Rules'!$D$7:$D$26,MATCH(SUBSTITUTE(SUBSTITUTE(SUBSTITUTE(SUBSTITUTE("type:"&amp;B138,"%","%25"),"~","%7E"),"*","%2A"),"?","%3F"),'Rules'!$G$7:$G$26,0)),"")</x:f>
      </x:c>
      <x:c r="N138" s="5" t="str">
        <x:f>IF(COUNTA(A138:F138)=0,"",SUBSTITUTE(SUBSTITUTE(SUBSTITUTE(SUBSTITUTE("id:"&amp;A138,"%","%25"),"~","%7E"),"*","%2A"),"?","%3F"))</x:f>
      </x:c>
    </x:row>
    <x:row r="139" ht="22" customHeight="1">
      <x:c r="A139" s="3"/>
      <x:c r="B139" s="3"/>
      <x:c r="C139" s="3"/>
      <x:c r="D139" s="4"/>
      <x:c r="E139" s="4"/>
      <x:c r="F139" s="4"/>
      <x:c r="G139" s="5" t="str">
        <x:f>IF(COUNTA(A139:F139)=0,"",IF(K139&lt;&gt;"","Review",IF(I139&lt;0,"Overdue",IF(I139=0,"Due now",IF(I139&lt;=M139,"Due soon","Not due")))))</x:f>
      </x:c>
      <x:c r="H139" s="5" t="str">
        <x:f>IF(OR(COUNTA(A139:F139)=0,COUNTIFS('Rules'!$G$7:$G$26,"="&amp;(SUBSTITUTE(SUBSTITUTE(SUBSTITUTE(SUBSTITUTE("type:"&amp;B139,"%","%25"),"~","%7E"),"*","%2A"),"?","%3F")))&lt;&gt;1),"",IF(OR(INDEX('Rules'!$B$7:$B$26,MATCH(SUBSTITUTE(SUBSTITUTE(SUBSTITUTE(SUBSTITUTE("type:"&amp;B139,"%","%25"),"~","%7E"),"*","%2A"),"?","%3F"),'Rules'!$G$7:$G$26,0))="hours",INDEX('Rules'!$B$7:$B$26,MATCH(SUBSTITUTE(SUBSTITUTE(SUBSTITUTE(SUBSTITUTE("type:"&amp;B139,"%","%25"),"~","%7E"),"*","%2A"),"?","%3F"),'Rules'!$G$7:$G$26,0))="km"),INDEX('Rules'!$B$7:$B$26,MATCH(SUBSTITUTE(SUBSTITUTE(SUBSTITUTE(SUBSTITUTE("type:"&amp;B139,"%","%25"),"~","%7E"),"*","%2A"),"?","%3F"),'Rules'!$G$7:$G$26,0)),""))</x:f>
      </x:c>
      <x:c r="I139" s="6" t="str">
        <x:f>IF(AND(NOT(COUNTA(A139:F139)=0),K139=""),ROUND(J139-D139,3),"")</x:f>
      </x:c>
      <x:c r="J139" s="6" t="str">
        <x:f>IF(AND(NOT(COUNTA(A139:F139)=0),K139=""),ROUND(F139+L139,3),"")</x:f>
      </x:c>
      <x:c r="K139" s="5" t="str">
        <x:f>IF(COUNTA(A139:F139)=0,"",IF(A139="","Missing equipment ID",IF(COUNTIFS($N$8:$N$2007,"="&amp;N139)&gt;1,"Duplicate equipment ID",IF(B139="","Missing type",IF(COUNTIFS('Rules'!$G$7:$G$26,"="&amp;(SUBSTITUTE(SUBSTITUTE(SUBSTITUTE(SUBSTITUTE("type:"&amp;B139,"%","%25"),"~","%7E"),"*","%2A"),"?","%3F")))=0,"Unknown type",IF(COUNTIFS('Rules'!$G$7:$G$26,"="&amp;(SUBSTITUTE(SUBSTITUTE(SUBSTITUTE(SUBSTITUTE("type:"&amp;B139,"%","%25"),"~","%7E"),"*","%2A"),"?","%3F")))&gt;1,"Duplicate type",IF(INDEX('Rules'!$F$7:$F$26,MATCH(SUBSTITUTE(SUBSTITUTE(SUBSTITUTE(SUBSTITUTE("type:"&amp;B139,"%","%25"),"~","%7E"),"*","%2A"),"?","%3F"),'Rules'!$G$7:$G$26,0))&lt;&gt;"",INDEX('Rules'!$F$7:$F$26,MATCH(SUBSTITUTE(SUBSTITUTE(SUBSTITUTE(SUBSTITUTE("type:"&amp;B139,"%","%25"),"~","%7E"),"*","%2A"),"?","%3F"),'Rules'!$G$7:$G$26,0)),IF(AND(C139&lt;&gt;"",C139&lt;&gt;INDEX('Rules'!$B$7:$B$26,MATCH(SUBSTITUTE(SUBSTITUTE(SUBSTITUTE(SUBSTITUTE("type:"&amp;B139,"%","%25"),"~","%7E"),"*","%2A"),"?","%3F"),'Rules'!$G$7:$G$26,0))),"Unit mismatch",IF(IF(NOT(ISNUMBER(D139)),TRUE,OR(D139&lt;0,D139&gt;999999999,ROUND(D139,3)&lt;&gt;D139)),"Invalid current reading",IF(AND(E139&lt;&gt;"",IF(NOT(ISNUMBER(E139)),TRUE,OR(E139&lt;0,E139&gt;999999999,ROUND(E139,3)&lt;&gt;E139))),"Invalid previous reading",IF(IF(NOT(ISNUMBER(F139)),TRUE,OR(F139&lt;0,F139&gt;999999999,ROUND(F139,3)&lt;&gt;F139)),"Invalid last service",IF(AND(E139&lt;&gt;"",D139&lt;E139),"Decreased reading",IF(F139&gt;D139,"Last service above current","")))))))))))))</x:f>
      </x:c>
      <x:c r="L139" s="6" t="str">
        <x:f>IF(AND(NOT(COUNTA(A139:F139)=0),K139=""),INDEX('Rules'!$C$7:$C$26,MATCH(SUBSTITUTE(SUBSTITUTE(SUBSTITUTE(SUBSTITUTE("type:"&amp;B139,"%","%25"),"~","%7E"),"*","%2A"),"?","%3F"),'Rules'!$G$7:$G$26,0)),"")</x:f>
      </x:c>
      <x:c r="M139" s="6" t="str">
        <x:f>IF(AND(NOT(COUNTA(A139:F139)=0),K139=""),INDEX('Rules'!$D$7:$D$26,MATCH(SUBSTITUTE(SUBSTITUTE(SUBSTITUTE(SUBSTITUTE("type:"&amp;B139,"%","%25"),"~","%7E"),"*","%2A"),"?","%3F"),'Rules'!$G$7:$G$26,0)),"")</x:f>
      </x:c>
      <x:c r="N139" s="5" t="str">
        <x:f>IF(COUNTA(A139:F139)=0,"",SUBSTITUTE(SUBSTITUTE(SUBSTITUTE(SUBSTITUTE("id:"&amp;A139,"%","%25"),"~","%7E"),"*","%2A"),"?","%3F"))</x:f>
      </x:c>
    </x:row>
    <x:row r="140" ht="22" customHeight="1">
      <x:c r="A140" s="3"/>
      <x:c r="B140" s="3"/>
      <x:c r="C140" s="3"/>
      <x:c r="D140" s="4"/>
      <x:c r="E140" s="4"/>
      <x:c r="F140" s="4"/>
      <x:c r="G140" s="5" t="str">
        <x:f>IF(COUNTA(A140:F140)=0,"",IF(K140&lt;&gt;"","Review",IF(I140&lt;0,"Overdue",IF(I140=0,"Due now",IF(I140&lt;=M140,"Due soon","Not due")))))</x:f>
      </x:c>
      <x:c r="H140" s="5" t="str">
        <x:f>IF(OR(COUNTA(A140:F140)=0,COUNTIFS('Rules'!$G$7:$G$26,"="&amp;(SUBSTITUTE(SUBSTITUTE(SUBSTITUTE(SUBSTITUTE("type:"&amp;B140,"%","%25"),"~","%7E"),"*","%2A"),"?","%3F")))&lt;&gt;1),"",IF(OR(INDEX('Rules'!$B$7:$B$26,MATCH(SUBSTITUTE(SUBSTITUTE(SUBSTITUTE(SUBSTITUTE("type:"&amp;B140,"%","%25"),"~","%7E"),"*","%2A"),"?","%3F"),'Rules'!$G$7:$G$26,0))="hours",INDEX('Rules'!$B$7:$B$26,MATCH(SUBSTITUTE(SUBSTITUTE(SUBSTITUTE(SUBSTITUTE("type:"&amp;B140,"%","%25"),"~","%7E"),"*","%2A"),"?","%3F"),'Rules'!$G$7:$G$26,0))="km"),INDEX('Rules'!$B$7:$B$26,MATCH(SUBSTITUTE(SUBSTITUTE(SUBSTITUTE(SUBSTITUTE("type:"&amp;B140,"%","%25"),"~","%7E"),"*","%2A"),"?","%3F"),'Rules'!$G$7:$G$26,0)),""))</x:f>
      </x:c>
      <x:c r="I140" s="6" t="str">
        <x:f>IF(AND(NOT(COUNTA(A140:F140)=0),K140=""),ROUND(J140-D140,3),"")</x:f>
      </x:c>
      <x:c r="J140" s="6" t="str">
        <x:f>IF(AND(NOT(COUNTA(A140:F140)=0),K140=""),ROUND(F140+L140,3),"")</x:f>
      </x:c>
      <x:c r="K140" s="5" t="str">
        <x:f>IF(COUNTA(A140:F140)=0,"",IF(A140="","Missing equipment ID",IF(COUNTIFS($N$8:$N$2007,"="&amp;N140)&gt;1,"Duplicate equipment ID",IF(B140="","Missing type",IF(COUNTIFS('Rules'!$G$7:$G$26,"="&amp;(SUBSTITUTE(SUBSTITUTE(SUBSTITUTE(SUBSTITUTE("type:"&amp;B140,"%","%25"),"~","%7E"),"*","%2A"),"?","%3F")))=0,"Unknown type",IF(COUNTIFS('Rules'!$G$7:$G$26,"="&amp;(SUBSTITUTE(SUBSTITUTE(SUBSTITUTE(SUBSTITUTE("type:"&amp;B140,"%","%25"),"~","%7E"),"*","%2A"),"?","%3F")))&gt;1,"Duplicate type",IF(INDEX('Rules'!$F$7:$F$26,MATCH(SUBSTITUTE(SUBSTITUTE(SUBSTITUTE(SUBSTITUTE("type:"&amp;B140,"%","%25"),"~","%7E"),"*","%2A"),"?","%3F"),'Rules'!$G$7:$G$26,0))&lt;&gt;"",INDEX('Rules'!$F$7:$F$26,MATCH(SUBSTITUTE(SUBSTITUTE(SUBSTITUTE(SUBSTITUTE("type:"&amp;B140,"%","%25"),"~","%7E"),"*","%2A"),"?","%3F"),'Rules'!$G$7:$G$26,0)),IF(AND(C140&lt;&gt;"",C140&lt;&gt;INDEX('Rules'!$B$7:$B$26,MATCH(SUBSTITUTE(SUBSTITUTE(SUBSTITUTE(SUBSTITUTE("type:"&amp;B140,"%","%25"),"~","%7E"),"*","%2A"),"?","%3F"),'Rules'!$G$7:$G$26,0))),"Unit mismatch",IF(IF(NOT(ISNUMBER(D140)),TRUE,OR(D140&lt;0,D140&gt;999999999,ROUND(D140,3)&lt;&gt;D140)),"Invalid current reading",IF(AND(E140&lt;&gt;"",IF(NOT(ISNUMBER(E140)),TRUE,OR(E140&lt;0,E140&gt;999999999,ROUND(E140,3)&lt;&gt;E140))),"Invalid previous reading",IF(IF(NOT(ISNUMBER(F140)),TRUE,OR(F140&lt;0,F140&gt;999999999,ROUND(F140,3)&lt;&gt;F140)),"Invalid last service",IF(AND(E140&lt;&gt;"",D140&lt;E140),"Decreased reading",IF(F140&gt;D140,"Last service above current","")))))))))))))</x:f>
      </x:c>
      <x:c r="L140" s="6" t="str">
        <x:f>IF(AND(NOT(COUNTA(A140:F140)=0),K140=""),INDEX('Rules'!$C$7:$C$26,MATCH(SUBSTITUTE(SUBSTITUTE(SUBSTITUTE(SUBSTITUTE("type:"&amp;B140,"%","%25"),"~","%7E"),"*","%2A"),"?","%3F"),'Rules'!$G$7:$G$26,0)),"")</x:f>
      </x:c>
      <x:c r="M140" s="6" t="str">
        <x:f>IF(AND(NOT(COUNTA(A140:F140)=0),K140=""),INDEX('Rules'!$D$7:$D$26,MATCH(SUBSTITUTE(SUBSTITUTE(SUBSTITUTE(SUBSTITUTE("type:"&amp;B140,"%","%25"),"~","%7E"),"*","%2A"),"?","%3F"),'Rules'!$G$7:$G$26,0)),"")</x:f>
      </x:c>
      <x:c r="N140" s="5" t="str">
        <x:f>IF(COUNTA(A140:F140)=0,"",SUBSTITUTE(SUBSTITUTE(SUBSTITUTE(SUBSTITUTE("id:"&amp;A140,"%","%25"),"~","%7E"),"*","%2A"),"?","%3F"))</x:f>
      </x:c>
    </x:row>
    <x:row r="141" ht="22" customHeight="1">
      <x:c r="A141" s="3"/>
      <x:c r="B141" s="3"/>
      <x:c r="C141" s="3"/>
      <x:c r="D141" s="4"/>
      <x:c r="E141" s="4"/>
      <x:c r="F141" s="4"/>
      <x:c r="G141" s="5" t="str">
        <x:f>IF(COUNTA(A141:F141)=0,"",IF(K141&lt;&gt;"","Review",IF(I141&lt;0,"Overdue",IF(I141=0,"Due now",IF(I141&lt;=M141,"Due soon","Not due")))))</x:f>
      </x:c>
      <x:c r="H141" s="5" t="str">
        <x:f>IF(OR(COUNTA(A141:F141)=0,COUNTIFS('Rules'!$G$7:$G$26,"="&amp;(SUBSTITUTE(SUBSTITUTE(SUBSTITUTE(SUBSTITUTE("type:"&amp;B141,"%","%25"),"~","%7E"),"*","%2A"),"?","%3F")))&lt;&gt;1),"",IF(OR(INDEX('Rules'!$B$7:$B$26,MATCH(SUBSTITUTE(SUBSTITUTE(SUBSTITUTE(SUBSTITUTE("type:"&amp;B141,"%","%25"),"~","%7E"),"*","%2A"),"?","%3F"),'Rules'!$G$7:$G$26,0))="hours",INDEX('Rules'!$B$7:$B$26,MATCH(SUBSTITUTE(SUBSTITUTE(SUBSTITUTE(SUBSTITUTE("type:"&amp;B141,"%","%25"),"~","%7E"),"*","%2A"),"?","%3F"),'Rules'!$G$7:$G$26,0))="km"),INDEX('Rules'!$B$7:$B$26,MATCH(SUBSTITUTE(SUBSTITUTE(SUBSTITUTE(SUBSTITUTE("type:"&amp;B141,"%","%25"),"~","%7E"),"*","%2A"),"?","%3F"),'Rules'!$G$7:$G$26,0)),""))</x:f>
      </x:c>
      <x:c r="I141" s="6" t="str">
        <x:f>IF(AND(NOT(COUNTA(A141:F141)=0),K141=""),ROUND(J141-D141,3),"")</x:f>
      </x:c>
      <x:c r="J141" s="6" t="str">
        <x:f>IF(AND(NOT(COUNTA(A141:F141)=0),K141=""),ROUND(F141+L141,3),"")</x:f>
      </x:c>
      <x:c r="K141" s="5" t="str">
        <x:f>IF(COUNTA(A141:F141)=0,"",IF(A141="","Missing equipment ID",IF(COUNTIFS($N$8:$N$2007,"="&amp;N141)&gt;1,"Duplicate equipment ID",IF(B141="","Missing type",IF(COUNTIFS('Rules'!$G$7:$G$26,"="&amp;(SUBSTITUTE(SUBSTITUTE(SUBSTITUTE(SUBSTITUTE("type:"&amp;B141,"%","%25"),"~","%7E"),"*","%2A"),"?","%3F")))=0,"Unknown type",IF(COUNTIFS('Rules'!$G$7:$G$26,"="&amp;(SUBSTITUTE(SUBSTITUTE(SUBSTITUTE(SUBSTITUTE("type:"&amp;B141,"%","%25"),"~","%7E"),"*","%2A"),"?","%3F")))&gt;1,"Duplicate type",IF(INDEX('Rules'!$F$7:$F$26,MATCH(SUBSTITUTE(SUBSTITUTE(SUBSTITUTE(SUBSTITUTE("type:"&amp;B141,"%","%25"),"~","%7E"),"*","%2A"),"?","%3F"),'Rules'!$G$7:$G$26,0))&lt;&gt;"",INDEX('Rules'!$F$7:$F$26,MATCH(SUBSTITUTE(SUBSTITUTE(SUBSTITUTE(SUBSTITUTE("type:"&amp;B141,"%","%25"),"~","%7E"),"*","%2A"),"?","%3F"),'Rules'!$G$7:$G$26,0)),IF(AND(C141&lt;&gt;"",C141&lt;&gt;INDEX('Rules'!$B$7:$B$26,MATCH(SUBSTITUTE(SUBSTITUTE(SUBSTITUTE(SUBSTITUTE("type:"&amp;B141,"%","%25"),"~","%7E"),"*","%2A"),"?","%3F"),'Rules'!$G$7:$G$26,0))),"Unit mismatch",IF(IF(NOT(ISNUMBER(D141)),TRUE,OR(D141&lt;0,D141&gt;999999999,ROUND(D141,3)&lt;&gt;D141)),"Invalid current reading",IF(AND(E141&lt;&gt;"",IF(NOT(ISNUMBER(E141)),TRUE,OR(E141&lt;0,E141&gt;999999999,ROUND(E141,3)&lt;&gt;E141))),"Invalid previous reading",IF(IF(NOT(ISNUMBER(F141)),TRUE,OR(F141&lt;0,F141&gt;999999999,ROUND(F141,3)&lt;&gt;F141)),"Invalid last service",IF(AND(E141&lt;&gt;"",D141&lt;E141),"Decreased reading",IF(F141&gt;D141,"Last service above current","")))))))))))))</x:f>
      </x:c>
      <x:c r="L141" s="6" t="str">
        <x:f>IF(AND(NOT(COUNTA(A141:F141)=0),K141=""),INDEX('Rules'!$C$7:$C$26,MATCH(SUBSTITUTE(SUBSTITUTE(SUBSTITUTE(SUBSTITUTE("type:"&amp;B141,"%","%25"),"~","%7E"),"*","%2A"),"?","%3F"),'Rules'!$G$7:$G$26,0)),"")</x:f>
      </x:c>
      <x:c r="M141" s="6" t="str">
        <x:f>IF(AND(NOT(COUNTA(A141:F141)=0),K141=""),INDEX('Rules'!$D$7:$D$26,MATCH(SUBSTITUTE(SUBSTITUTE(SUBSTITUTE(SUBSTITUTE("type:"&amp;B141,"%","%25"),"~","%7E"),"*","%2A"),"?","%3F"),'Rules'!$G$7:$G$26,0)),"")</x:f>
      </x:c>
      <x:c r="N141" s="5" t="str">
        <x:f>IF(COUNTA(A141:F141)=0,"",SUBSTITUTE(SUBSTITUTE(SUBSTITUTE(SUBSTITUTE("id:"&amp;A141,"%","%25"),"~","%7E"),"*","%2A"),"?","%3F"))</x:f>
      </x:c>
    </x:row>
    <x:row r="142" ht="22" customHeight="1">
      <x:c r="A142" s="3"/>
      <x:c r="B142" s="3"/>
      <x:c r="C142" s="3"/>
      <x:c r="D142" s="4"/>
      <x:c r="E142" s="4"/>
      <x:c r="F142" s="4"/>
      <x:c r="G142" s="5" t="str">
        <x:f>IF(COUNTA(A142:F142)=0,"",IF(K142&lt;&gt;"","Review",IF(I142&lt;0,"Overdue",IF(I142=0,"Due now",IF(I142&lt;=M142,"Due soon","Not due")))))</x:f>
      </x:c>
      <x:c r="H142" s="5" t="str">
        <x:f>IF(OR(COUNTA(A142:F142)=0,COUNTIFS('Rules'!$G$7:$G$26,"="&amp;(SUBSTITUTE(SUBSTITUTE(SUBSTITUTE(SUBSTITUTE("type:"&amp;B142,"%","%25"),"~","%7E"),"*","%2A"),"?","%3F")))&lt;&gt;1),"",IF(OR(INDEX('Rules'!$B$7:$B$26,MATCH(SUBSTITUTE(SUBSTITUTE(SUBSTITUTE(SUBSTITUTE("type:"&amp;B142,"%","%25"),"~","%7E"),"*","%2A"),"?","%3F"),'Rules'!$G$7:$G$26,0))="hours",INDEX('Rules'!$B$7:$B$26,MATCH(SUBSTITUTE(SUBSTITUTE(SUBSTITUTE(SUBSTITUTE("type:"&amp;B142,"%","%25"),"~","%7E"),"*","%2A"),"?","%3F"),'Rules'!$G$7:$G$26,0))="km"),INDEX('Rules'!$B$7:$B$26,MATCH(SUBSTITUTE(SUBSTITUTE(SUBSTITUTE(SUBSTITUTE("type:"&amp;B142,"%","%25"),"~","%7E"),"*","%2A"),"?","%3F"),'Rules'!$G$7:$G$26,0)),""))</x:f>
      </x:c>
      <x:c r="I142" s="6" t="str">
        <x:f>IF(AND(NOT(COUNTA(A142:F142)=0),K142=""),ROUND(J142-D142,3),"")</x:f>
      </x:c>
      <x:c r="J142" s="6" t="str">
        <x:f>IF(AND(NOT(COUNTA(A142:F142)=0),K142=""),ROUND(F142+L142,3),"")</x:f>
      </x:c>
      <x:c r="K142" s="5" t="str">
        <x:f>IF(COUNTA(A142:F142)=0,"",IF(A142="","Missing equipment ID",IF(COUNTIFS($N$8:$N$2007,"="&amp;N142)&gt;1,"Duplicate equipment ID",IF(B142="","Missing type",IF(COUNTIFS('Rules'!$G$7:$G$26,"="&amp;(SUBSTITUTE(SUBSTITUTE(SUBSTITUTE(SUBSTITUTE("type:"&amp;B142,"%","%25"),"~","%7E"),"*","%2A"),"?","%3F")))=0,"Unknown type",IF(COUNTIFS('Rules'!$G$7:$G$26,"="&amp;(SUBSTITUTE(SUBSTITUTE(SUBSTITUTE(SUBSTITUTE("type:"&amp;B142,"%","%25"),"~","%7E"),"*","%2A"),"?","%3F")))&gt;1,"Duplicate type",IF(INDEX('Rules'!$F$7:$F$26,MATCH(SUBSTITUTE(SUBSTITUTE(SUBSTITUTE(SUBSTITUTE("type:"&amp;B142,"%","%25"),"~","%7E"),"*","%2A"),"?","%3F"),'Rules'!$G$7:$G$26,0))&lt;&gt;"",INDEX('Rules'!$F$7:$F$26,MATCH(SUBSTITUTE(SUBSTITUTE(SUBSTITUTE(SUBSTITUTE("type:"&amp;B142,"%","%25"),"~","%7E"),"*","%2A"),"?","%3F"),'Rules'!$G$7:$G$26,0)),IF(AND(C142&lt;&gt;"",C142&lt;&gt;INDEX('Rules'!$B$7:$B$26,MATCH(SUBSTITUTE(SUBSTITUTE(SUBSTITUTE(SUBSTITUTE("type:"&amp;B142,"%","%25"),"~","%7E"),"*","%2A"),"?","%3F"),'Rules'!$G$7:$G$26,0))),"Unit mismatch",IF(IF(NOT(ISNUMBER(D142)),TRUE,OR(D142&lt;0,D142&gt;999999999,ROUND(D142,3)&lt;&gt;D142)),"Invalid current reading",IF(AND(E142&lt;&gt;"",IF(NOT(ISNUMBER(E142)),TRUE,OR(E142&lt;0,E142&gt;999999999,ROUND(E142,3)&lt;&gt;E142))),"Invalid previous reading",IF(IF(NOT(ISNUMBER(F142)),TRUE,OR(F142&lt;0,F142&gt;999999999,ROUND(F142,3)&lt;&gt;F142)),"Invalid last service",IF(AND(E142&lt;&gt;"",D142&lt;E142),"Decreased reading",IF(F142&gt;D142,"Last service above current","")))))))))))))</x:f>
      </x:c>
      <x:c r="L142" s="6" t="str">
        <x:f>IF(AND(NOT(COUNTA(A142:F142)=0),K142=""),INDEX('Rules'!$C$7:$C$26,MATCH(SUBSTITUTE(SUBSTITUTE(SUBSTITUTE(SUBSTITUTE("type:"&amp;B142,"%","%25"),"~","%7E"),"*","%2A"),"?","%3F"),'Rules'!$G$7:$G$26,0)),"")</x:f>
      </x:c>
      <x:c r="M142" s="6" t="str">
        <x:f>IF(AND(NOT(COUNTA(A142:F142)=0),K142=""),INDEX('Rules'!$D$7:$D$26,MATCH(SUBSTITUTE(SUBSTITUTE(SUBSTITUTE(SUBSTITUTE("type:"&amp;B142,"%","%25"),"~","%7E"),"*","%2A"),"?","%3F"),'Rules'!$G$7:$G$26,0)),"")</x:f>
      </x:c>
      <x:c r="N142" s="5" t="str">
        <x:f>IF(COUNTA(A142:F142)=0,"",SUBSTITUTE(SUBSTITUTE(SUBSTITUTE(SUBSTITUTE("id:"&amp;A142,"%","%25"),"~","%7E"),"*","%2A"),"?","%3F"))</x:f>
      </x:c>
    </x:row>
    <x:row r="143" ht="22" customHeight="1">
      <x:c r="A143" s="3"/>
      <x:c r="B143" s="3"/>
      <x:c r="C143" s="3"/>
      <x:c r="D143" s="4"/>
      <x:c r="E143" s="4"/>
      <x:c r="F143" s="4"/>
      <x:c r="G143" s="5" t="str">
        <x:f>IF(COUNTA(A143:F143)=0,"",IF(K143&lt;&gt;"","Review",IF(I143&lt;0,"Overdue",IF(I143=0,"Due now",IF(I143&lt;=M143,"Due soon","Not due")))))</x:f>
      </x:c>
      <x:c r="H143" s="5" t="str">
        <x:f>IF(OR(COUNTA(A143:F143)=0,COUNTIFS('Rules'!$G$7:$G$26,"="&amp;(SUBSTITUTE(SUBSTITUTE(SUBSTITUTE(SUBSTITUTE("type:"&amp;B143,"%","%25"),"~","%7E"),"*","%2A"),"?","%3F")))&lt;&gt;1),"",IF(OR(INDEX('Rules'!$B$7:$B$26,MATCH(SUBSTITUTE(SUBSTITUTE(SUBSTITUTE(SUBSTITUTE("type:"&amp;B143,"%","%25"),"~","%7E"),"*","%2A"),"?","%3F"),'Rules'!$G$7:$G$26,0))="hours",INDEX('Rules'!$B$7:$B$26,MATCH(SUBSTITUTE(SUBSTITUTE(SUBSTITUTE(SUBSTITUTE("type:"&amp;B143,"%","%25"),"~","%7E"),"*","%2A"),"?","%3F"),'Rules'!$G$7:$G$26,0))="km"),INDEX('Rules'!$B$7:$B$26,MATCH(SUBSTITUTE(SUBSTITUTE(SUBSTITUTE(SUBSTITUTE("type:"&amp;B143,"%","%25"),"~","%7E"),"*","%2A"),"?","%3F"),'Rules'!$G$7:$G$26,0)),""))</x:f>
      </x:c>
      <x:c r="I143" s="6" t="str">
        <x:f>IF(AND(NOT(COUNTA(A143:F143)=0),K143=""),ROUND(J143-D143,3),"")</x:f>
      </x:c>
      <x:c r="J143" s="6" t="str">
        <x:f>IF(AND(NOT(COUNTA(A143:F143)=0),K143=""),ROUND(F143+L143,3),"")</x:f>
      </x:c>
      <x:c r="K143" s="5" t="str">
        <x:f>IF(COUNTA(A143:F143)=0,"",IF(A143="","Missing equipment ID",IF(COUNTIFS($N$8:$N$2007,"="&amp;N143)&gt;1,"Duplicate equipment ID",IF(B143="","Missing type",IF(COUNTIFS('Rules'!$G$7:$G$26,"="&amp;(SUBSTITUTE(SUBSTITUTE(SUBSTITUTE(SUBSTITUTE("type:"&amp;B143,"%","%25"),"~","%7E"),"*","%2A"),"?","%3F")))=0,"Unknown type",IF(COUNTIFS('Rules'!$G$7:$G$26,"="&amp;(SUBSTITUTE(SUBSTITUTE(SUBSTITUTE(SUBSTITUTE("type:"&amp;B143,"%","%25"),"~","%7E"),"*","%2A"),"?","%3F")))&gt;1,"Duplicate type",IF(INDEX('Rules'!$F$7:$F$26,MATCH(SUBSTITUTE(SUBSTITUTE(SUBSTITUTE(SUBSTITUTE("type:"&amp;B143,"%","%25"),"~","%7E"),"*","%2A"),"?","%3F"),'Rules'!$G$7:$G$26,0))&lt;&gt;"",INDEX('Rules'!$F$7:$F$26,MATCH(SUBSTITUTE(SUBSTITUTE(SUBSTITUTE(SUBSTITUTE("type:"&amp;B143,"%","%25"),"~","%7E"),"*","%2A"),"?","%3F"),'Rules'!$G$7:$G$26,0)),IF(AND(C143&lt;&gt;"",C143&lt;&gt;INDEX('Rules'!$B$7:$B$26,MATCH(SUBSTITUTE(SUBSTITUTE(SUBSTITUTE(SUBSTITUTE("type:"&amp;B143,"%","%25"),"~","%7E"),"*","%2A"),"?","%3F"),'Rules'!$G$7:$G$26,0))),"Unit mismatch",IF(IF(NOT(ISNUMBER(D143)),TRUE,OR(D143&lt;0,D143&gt;999999999,ROUND(D143,3)&lt;&gt;D143)),"Invalid current reading",IF(AND(E143&lt;&gt;"",IF(NOT(ISNUMBER(E143)),TRUE,OR(E143&lt;0,E143&gt;999999999,ROUND(E143,3)&lt;&gt;E143))),"Invalid previous reading",IF(IF(NOT(ISNUMBER(F143)),TRUE,OR(F143&lt;0,F143&gt;999999999,ROUND(F143,3)&lt;&gt;F143)),"Invalid last service",IF(AND(E143&lt;&gt;"",D143&lt;E143),"Decreased reading",IF(F143&gt;D143,"Last service above current","")))))))))))))</x:f>
      </x:c>
      <x:c r="L143" s="6" t="str">
        <x:f>IF(AND(NOT(COUNTA(A143:F143)=0),K143=""),INDEX('Rules'!$C$7:$C$26,MATCH(SUBSTITUTE(SUBSTITUTE(SUBSTITUTE(SUBSTITUTE("type:"&amp;B143,"%","%25"),"~","%7E"),"*","%2A"),"?","%3F"),'Rules'!$G$7:$G$26,0)),"")</x:f>
      </x:c>
      <x:c r="M143" s="6" t="str">
        <x:f>IF(AND(NOT(COUNTA(A143:F143)=0),K143=""),INDEX('Rules'!$D$7:$D$26,MATCH(SUBSTITUTE(SUBSTITUTE(SUBSTITUTE(SUBSTITUTE("type:"&amp;B143,"%","%25"),"~","%7E"),"*","%2A"),"?","%3F"),'Rules'!$G$7:$G$26,0)),"")</x:f>
      </x:c>
      <x:c r="N143" s="5" t="str">
        <x:f>IF(COUNTA(A143:F143)=0,"",SUBSTITUTE(SUBSTITUTE(SUBSTITUTE(SUBSTITUTE("id:"&amp;A143,"%","%25"),"~","%7E"),"*","%2A"),"?","%3F"))</x:f>
      </x:c>
    </x:row>
    <x:row r="144" ht="22" customHeight="1">
      <x:c r="A144" s="3"/>
      <x:c r="B144" s="3"/>
      <x:c r="C144" s="3"/>
      <x:c r="D144" s="4"/>
      <x:c r="E144" s="4"/>
      <x:c r="F144" s="4"/>
      <x:c r="G144" s="5" t="str">
        <x:f>IF(COUNTA(A144:F144)=0,"",IF(K144&lt;&gt;"","Review",IF(I144&lt;0,"Overdue",IF(I144=0,"Due now",IF(I144&lt;=M144,"Due soon","Not due")))))</x:f>
      </x:c>
      <x:c r="H144" s="5" t="str">
        <x:f>IF(OR(COUNTA(A144:F144)=0,COUNTIFS('Rules'!$G$7:$G$26,"="&amp;(SUBSTITUTE(SUBSTITUTE(SUBSTITUTE(SUBSTITUTE("type:"&amp;B144,"%","%25"),"~","%7E"),"*","%2A"),"?","%3F")))&lt;&gt;1),"",IF(OR(INDEX('Rules'!$B$7:$B$26,MATCH(SUBSTITUTE(SUBSTITUTE(SUBSTITUTE(SUBSTITUTE("type:"&amp;B144,"%","%25"),"~","%7E"),"*","%2A"),"?","%3F"),'Rules'!$G$7:$G$26,0))="hours",INDEX('Rules'!$B$7:$B$26,MATCH(SUBSTITUTE(SUBSTITUTE(SUBSTITUTE(SUBSTITUTE("type:"&amp;B144,"%","%25"),"~","%7E"),"*","%2A"),"?","%3F"),'Rules'!$G$7:$G$26,0))="km"),INDEX('Rules'!$B$7:$B$26,MATCH(SUBSTITUTE(SUBSTITUTE(SUBSTITUTE(SUBSTITUTE("type:"&amp;B144,"%","%25"),"~","%7E"),"*","%2A"),"?","%3F"),'Rules'!$G$7:$G$26,0)),""))</x:f>
      </x:c>
      <x:c r="I144" s="6" t="str">
        <x:f>IF(AND(NOT(COUNTA(A144:F144)=0),K144=""),ROUND(J144-D144,3),"")</x:f>
      </x:c>
      <x:c r="J144" s="6" t="str">
        <x:f>IF(AND(NOT(COUNTA(A144:F144)=0),K144=""),ROUND(F144+L144,3),"")</x:f>
      </x:c>
      <x:c r="K144" s="5" t="str">
        <x:f>IF(COUNTA(A144:F144)=0,"",IF(A144="","Missing equipment ID",IF(COUNTIFS($N$8:$N$2007,"="&amp;N144)&gt;1,"Duplicate equipment ID",IF(B144="","Missing type",IF(COUNTIFS('Rules'!$G$7:$G$26,"="&amp;(SUBSTITUTE(SUBSTITUTE(SUBSTITUTE(SUBSTITUTE("type:"&amp;B144,"%","%25"),"~","%7E"),"*","%2A"),"?","%3F")))=0,"Unknown type",IF(COUNTIFS('Rules'!$G$7:$G$26,"="&amp;(SUBSTITUTE(SUBSTITUTE(SUBSTITUTE(SUBSTITUTE("type:"&amp;B144,"%","%25"),"~","%7E"),"*","%2A"),"?","%3F")))&gt;1,"Duplicate type",IF(INDEX('Rules'!$F$7:$F$26,MATCH(SUBSTITUTE(SUBSTITUTE(SUBSTITUTE(SUBSTITUTE("type:"&amp;B144,"%","%25"),"~","%7E"),"*","%2A"),"?","%3F"),'Rules'!$G$7:$G$26,0))&lt;&gt;"",INDEX('Rules'!$F$7:$F$26,MATCH(SUBSTITUTE(SUBSTITUTE(SUBSTITUTE(SUBSTITUTE("type:"&amp;B144,"%","%25"),"~","%7E"),"*","%2A"),"?","%3F"),'Rules'!$G$7:$G$26,0)),IF(AND(C144&lt;&gt;"",C144&lt;&gt;INDEX('Rules'!$B$7:$B$26,MATCH(SUBSTITUTE(SUBSTITUTE(SUBSTITUTE(SUBSTITUTE("type:"&amp;B144,"%","%25"),"~","%7E"),"*","%2A"),"?","%3F"),'Rules'!$G$7:$G$26,0))),"Unit mismatch",IF(IF(NOT(ISNUMBER(D144)),TRUE,OR(D144&lt;0,D144&gt;999999999,ROUND(D144,3)&lt;&gt;D144)),"Invalid current reading",IF(AND(E144&lt;&gt;"",IF(NOT(ISNUMBER(E144)),TRUE,OR(E144&lt;0,E144&gt;999999999,ROUND(E144,3)&lt;&gt;E144))),"Invalid previous reading",IF(IF(NOT(ISNUMBER(F144)),TRUE,OR(F144&lt;0,F144&gt;999999999,ROUND(F144,3)&lt;&gt;F144)),"Invalid last service",IF(AND(E144&lt;&gt;"",D144&lt;E144),"Decreased reading",IF(F144&gt;D144,"Last service above current","")))))))))))))</x:f>
      </x:c>
      <x:c r="L144" s="6" t="str">
        <x:f>IF(AND(NOT(COUNTA(A144:F144)=0),K144=""),INDEX('Rules'!$C$7:$C$26,MATCH(SUBSTITUTE(SUBSTITUTE(SUBSTITUTE(SUBSTITUTE("type:"&amp;B144,"%","%25"),"~","%7E"),"*","%2A"),"?","%3F"),'Rules'!$G$7:$G$26,0)),"")</x:f>
      </x:c>
      <x:c r="M144" s="6" t="str">
        <x:f>IF(AND(NOT(COUNTA(A144:F144)=0),K144=""),INDEX('Rules'!$D$7:$D$26,MATCH(SUBSTITUTE(SUBSTITUTE(SUBSTITUTE(SUBSTITUTE("type:"&amp;B144,"%","%25"),"~","%7E"),"*","%2A"),"?","%3F"),'Rules'!$G$7:$G$26,0)),"")</x:f>
      </x:c>
      <x:c r="N144" s="5" t="str">
        <x:f>IF(COUNTA(A144:F144)=0,"",SUBSTITUTE(SUBSTITUTE(SUBSTITUTE(SUBSTITUTE("id:"&amp;A144,"%","%25"),"~","%7E"),"*","%2A"),"?","%3F"))</x:f>
      </x:c>
    </x:row>
    <x:row r="145" ht="22" customHeight="1">
      <x:c r="A145" s="3"/>
      <x:c r="B145" s="3"/>
      <x:c r="C145" s="3"/>
      <x:c r="D145" s="4"/>
      <x:c r="E145" s="4"/>
      <x:c r="F145" s="4"/>
      <x:c r="G145" s="5" t="str">
        <x:f>IF(COUNTA(A145:F145)=0,"",IF(K145&lt;&gt;"","Review",IF(I145&lt;0,"Overdue",IF(I145=0,"Due now",IF(I145&lt;=M145,"Due soon","Not due")))))</x:f>
      </x:c>
      <x:c r="H145" s="5" t="str">
        <x:f>IF(OR(COUNTA(A145:F145)=0,COUNTIFS('Rules'!$G$7:$G$26,"="&amp;(SUBSTITUTE(SUBSTITUTE(SUBSTITUTE(SUBSTITUTE("type:"&amp;B145,"%","%25"),"~","%7E"),"*","%2A"),"?","%3F")))&lt;&gt;1),"",IF(OR(INDEX('Rules'!$B$7:$B$26,MATCH(SUBSTITUTE(SUBSTITUTE(SUBSTITUTE(SUBSTITUTE("type:"&amp;B145,"%","%25"),"~","%7E"),"*","%2A"),"?","%3F"),'Rules'!$G$7:$G$26,0))="hours",INDEX('Rules'!$B$7:$B$26,MATCH(SUBSTITUTE(SUBSTITUTE(SUBSTITUTE(SUBSTITUTE("type:"&amp;B145,"%","%25"),"~","%7E"),"*","%2A"),"?","%3F"),'Rules'!$G$7:$G$26,0))="km"),INDEX('Rules'!$B$7:$B$26,MATCH(SUBSTITUTE(SUBSTITUTE(SUBSTITUTE(SUBSTITUTE("type:"&amp;B145,"%","%25"),"~","%7E"),"*","%2A"),"?","%3F"),'Rules'!$G$7:$G$26,0)),""))</x:f>
      </x:c>
      <x:c r="I145" s="6" t="str">
        <x:f>IF(AND(NOT(COUNTA(A145:F145)=0),K145=""),ROUND(J145-D145,3),"")</x:f>
      </x:c>
      <x:c r="J145" s="6" t="str">
        <x:f>IF(AND(NOT(COUNTA(A145:F145)=0),K145=""),ROUND(F145+L145,3),"")</x:f>
      </x:c>
      <x:c r="K145" s="5" t="str">
        <x:f>IF(COUNTA(A145:F145)=0,"",IF(A145="","Missing equipment ID",IF(COUNTIFS($N$8:$N$2007,"="&amp;N145)&gt;1,"Duplicate equipment ID",IF(B145="","Missing type",IF(COUNTIFS('Rules'!$G$7:$G$26,"="&amp;(SUBSTITUTE(SUBSTITUTE(SUBSTITUTE(SUBSTITUTE("type:"&amp;B145,"%","%25"),"~","%7E"),"*","%2A"),"?","%3F")))=0,"Unknown type",IF(COUNTIFS('Rules'!$G$7:$G$26,"="&amp;(SUBSTITUTE(SUBSTITUTE(SUBSTITUTE(SUBSTITUTE("type:"&amp;B145,"%","%25"),"~","%7E"),"*","%2A"),"?","%3F")))&gt;1,"Duplicate type",IF(INDEX('Rules'!$F$7:$F$26,MATCH(SUBSTITUTE(SUBSTITUTE(SUBSTITUTE(SUBSTITUTE("type:"&amp;B145,"%","%25"),"~","%7E"),"*","%2A"),"?","%3F"),'Rules'!$G$7:$G$26,0))&lt;&gt;"",INDEX('Rules'!$F$7:$F$26,MATCH(SUBSTITUTE(SUBSTITUTE(SUBSTITUTE(SUBSTITUTE("type:"&amp;B145,"%","%25"),"~","%7E"),"*","%2A"),"?","%3F"),'Rules'!$G$7:$G$26,0)),IF(AND(C145&lt;&gt;"",C145&lt;&gt;INDEX('Rules'!$B$7:$B$26,MATCH(SUBSTITUTE(SUBSTITUTE(SUBSTITUTE(SUBSTITUTE("type:"&amp;B145,"%","%25"),"~","%7E"),"*","%2A"),"?","%3F"),'Rules'!$G$7:$G$26,0))),"Unit mismatch",IF(IF(NOT(ISNUMBER(D145)),TRUE,OR(D145&lt;0,D145&gt;999999999,ROUND(D145,3)&lt;&gt;D145)),"Invalid current reading",IF(AND(E145&lt;&gt;"",IF(NOT(ISNUMBER(E145)),TRUE,OR(E145&lt;0,E145&gt;999999999,ROUND(E145,3)&lt;&gt;E145))),"Invalid previous reading",IF(IF(NOT(ISNUMBER(F145)),TRUE,OR(F145&lt;0,F145&gt;999999999,ROUND(F145,3)&lt;&gt;F145)),"Invalid last service",IF(AND(E145&lt;&gt;"",D145&lt;E145),"Decreased reading",IF(F145&gt;D145,"Last service above current","")))))))))))))</x:f>
      </x:c>
      <x:c r="L145" s="6" t="str">
        <x:f>IF(AND(NOT(COUNTA(A145:F145)=0),K145=""),INDEX('Rules'!$C$7:$C$26,MATCH(SUBSTITUTE(SUBSTITUTE(SUBSTITUTE(SUBSTITUTE("type:"&amp;B145,"%","%25"),"~","%7E"),"*","%2A"),"?","%3F"),'Rules'!$G$7:$G$26,0)),"")</x:f>
      </x:c>
      <x:c r="M145" s="6" t="str">
        <x:f>IF(AND(NOT(COUNTA(A145:F145)=0),K145=""),INDEX('Rules'!$D$7:$D$26,MATCH(SUBSTITUTE(SUBSTITUTE(SUBSTITUTE(SUBSTITUTE("type:"&amp;B145,"%","%25"),"~","%7E"),"*","%2A"),"?","%3F"),'Rules'!$G$7:$G$26,0)),"")</x:f>
      </x:c>
      <x:c r="N145" s="5" t="str">
        <x:f>IF(COUNTA(A145:F145)=0,"",SUBSTITUTE(SUBSTITUTE(SUBSTITUTE(SUBSTITUTE("id:"&amp;A145,"%","%25"),"~","%7E"),"*","%2A"),"?","%3F"))</x:f>
      </x:c>
    </x:row>
    <x:row r="146" ht="22" customHeight="1">
      <x:c r="A146" s="3"/>
      <x:c r="B146" s="3"/>
      <x:c r="C146" s="3"/>
      <x:c r="D146" s="4"/>
      <x:c r="E146" s="4"/>
      <x:c r="F146" s="4"/>
      <x:c r="G146" s="5" t="str">
        <x:f>IF(COUNTA(A146:F146)=0,"",IF(K146&lt;&gt;"","Review",IF(I146&lt;0,"Overdue",IF(I146=0,"Due now",IF(I146&lt;=M146,"Due soon","Not due")))))</x:f>
      </x:c>
      <x:c r="H146" s="5" t="str">
        <x:f>IF(OR(COUNTA(A146:F146)=0,COUNTIFS('Rules'!$G$7:$G$26,"="&amp;(SUBSTITUTE(SUBSTITUTE(SUBSTITUTE(SUBSTITUTE("type:"&amp;B146,"%","%25"),"~","%7E"),"*","%2A"),"?","%3F")))&lt;&gt;1),"",IF(OR(INDEX('Rules'!$B$7:$B$26,MATCH(SUBSTITUTE(SUBSTITUTE(SUBSTITUTE(SUBSTITUTE("type:"&amp;B146,"%","%25"),"~","%7E"),"*","%2A"),"?","%3F"),'Rules'!$G$7:$G$26,0))="hours",INDEX('Rules'!$B$7:$B$26,MATCH(SUBSTITUTE(SUBSTITUTE(SUBSTITUTE(SUBSTITUTE("type:"&amp;B146,"%","%25"),"~","%7E"),"*","%2A"),"?","%3F"),'Rules'!$G$7:$G$26,0))="km"),INDEX('Rules'!$B$7:$B$26,MATCH(SUBSTITUTE(SUBSTITUTE(SUBSTITUTE(SUBSTITUTE("type:"&amp;B146,"%","%25"),"~","%7E"),"*","%2A"),"?","%3F"),'Rules'!$G$7:$G$26,0)),""))</x:f>
      </x:c>
      <x:c r="I146" s="6" t="str">
        <x:f>IF(AND(NOT(COUNTA(A146:F146)=0),K146=""),ROUND(J146-D146,3),"")</x:f>
      </x:c>
      <x:c r="J146" s="6" t="str">
        <x:f>IF(AND(NOT(COUNTA(A146:F146)=0),K146=""),ROUND(F146+L146,3),"")</x:f>
      </x:c>
      <x:c r="K146" s="5" t="str">
        <x:f>IF(COUNTA(A146:F146)=0,"",IF(A146="","Missing equipment ID",IF(COUNTIFS($N$8:$N$2007,"="&amp;N146)&gt;1,"Duplicate equipment ID",IF(B146="","Missing type",IF(COUNTIFS('Rules'!$G$7:$G$26,"="&amp;(SUBSTITUTE(SUBSTITUTE(SUBSTITUTE(SUBSTITUTE("type:"&amp;B146,"%","%25"),"~","%7E"),"*","%2A"),"?","%3F")))=0,"Unknown type",IF(COUNTIFS('Rules'!$G$7:$G$26,"="&amp;(SUBSTITUTE(SUBSTITUTE(SUBSTITUTE(SUBSTITUTE("type:"&amp;B146,"%","%25"),"~","%7E"),"*","%2A"),"?","%3F")))&gt;1,"Duplicate type",IF(INDEX('Rules'!$F$7:$F$26,MATCH(SUBSTITUTE(SUBSTITUTE(SUBSTITUTE(SUBSTITUTE("type:"&amp;B146,"%","%25"),"~","%7E"),"*","%2A"),"?","%3F"),'Rules'!$G$7:$G$26,0))&lt;&gt;"",INDEX('Rules'!$F$7:$F$26,MATCH(SUBSTITUTE(SUBSTITUTE(SUBSTITUTE(SUBSTITUTE("type:"&amp;B146,"%","%25"),"~","%7E"),"*","%2A"),"?","%3F"),'Rules'!$G$7:$G$26,0)),IF(AND(C146&lt;&gt;"",C146&lt;&gt;INDEX('Rules'!$B$7:$B$26,MATCH(SUBSTITUTE(SUBSTITUTE(SUBSTITUTE(SUBSTITUTE("type:"&amp;B146,"%","%25"),"~","%7E"),"*","%2A"),"?","%3F"),'Rules'!$G$7:$G$26,0))),"Unit mismatch",IF(IF(NOT(ISNUMBER(D146)),TRUE,OR(D146&lt;0,D146&gt;999999999,ROUND(D146,3)&lt;&gt;D146)),"Invalid current reading",IF(AND(E146&lt;&gt;"",IF(NOT(ISNUMBER(E146)),TRUE,OR(E146&lt;0,E146&gt;999999999,ROUND(E146,3)&lt;&gt;E146))),"Invalid previous reading",IF(IF(NOT(ISNUMBER(F146)),TRUE,OR(F146&lt;0,F146&gt;999999999,ROUND(F146,3)&lt;&gt;F146)),"Invalid last service",IF(AND(E146&lt;&gt;"",D146&lt;E146),"Decreased reading",IF(F146&gt;D146,"Last service above current","")))))))))))))</x:f>
      </x:c>
      <x:c r="L146" s="6" t="str">
        <x:f>IF(AND(NOT(COUNTA(A146:F146)=0),K146=""),INDEX('Rules'!$C$7:$C$26,MATCH(SUBSTITUTE(SUBSTITUTE(SUBSTITUTE(SUBSTITUTE("type:"&amp;B146,"%","%25"),"~","%7E"),"*","%2A"),"?","%3F"),'Rules'!$G$7:$G$26,0)),"")</x:f>
      </x:c>
      <x:c r="M146" s="6" t="str">
        <x:f>IF(AND(NOT(COUNTA(A146:F146)=0),K146=""),INDEX('Rules'!$D$7:$D$26,MATCH(SUBSTITUTE(SUBSTITUTE(SUBSTITUTE(SUBSTITUTE("type:"&amp;B146,"%","%25"),"~","%7E"),"*","%2A"),"?","%3F"),'Rules'!$G$7:$G$26,0)),"")</x:f>
      </x:c>
      <x:c r="N146" s="5" t="str">
        <x:f>IF(COUNTA(A146:F146)=0,"",SUBSTITUTE(SUBSTITUTE(SUBSTITUTE(SUBSTITUTE("id:"&amp;A146,"%","%25"),"~","%7E"),"*","%2A"),"?","%3F"))</x:f>
      </x:c>
    </x:row>
    <x:row r="147" ht="22" customHeight="1">
      <x:c r="A147" s="3"/>
      <x:c r="B147" s="3"/>
      <x:c r="C147" s="3"/>
      <x:c r="D147" s="4"/>
      <x:c r="E147" s="4"/>
      <x:c r="F147" s="4"/>
      <x:c r="G147" s="5" t="str">
        <x:f>IF(COUNTA(A147:F147)=0,"",IF(K147&lt;&gt;"","Review",IF(I147&lt;0,"Overdue",IF(I147=0,"Due now",IF(I147&lt;=M147,"Due soon","Not due")))))</x:f>
      </x:c>
      <x:c r="H147" s="5" t="str">
        <x:f>IF(OR(COUNTA(A147:F147)=0,COUNTIFS('Rules'!$G$7:$G$26,"="&amp;(SUBSTITUTE(SUBSTITUTE(SUBSTITUTE(SUBSTITUTE("type:"&amp;B147,"%","%25"),"~","%7E"),"*","%2A"),"?","%3F")))&lt;&gt;1),"",IF(OR(INDEX('Rules'!$B$7:$B$26,MATCH(SUBSTITUTE(SUBSTITUTE(SUBSTITUTE(SUBSTITUTE("type:"&amp;B147,"%","%25"),"~","%7E"),"*","%2A"),"?","%3F"),'Rules'!$G$7:$G$26,0))="hours",INDEX('Rules'!$B$7:$B$26,MATCH(SUBSTITUTE(SUBSTITUTE(SUBSTITUTE(SUBSTITUTE("type:"&amp;B147,"%","%25"),"~","%7E"),"*","%2A"),"?","%3F"),'Rules'!$G$7:$G$26,0))="km"),INDEX('Rules'!$B$7:$B$26,MATCH(SUBSTITUTE(SUBSTITUTE(SUBSTITUTE(SUBSTITUTE("type:"&amp;B147,"%","%25"),"~","%7E"),"*","%2A"),"?","%3F"),'Rules'!$G$7:$G$26,0)),""))</x:f>
      </x:c>
      <x:c r="I147" s="6" t="str">
        <x:f>IF(AND(NOT(COUNTA(A147:F147)=0),K147=""),ROUND(J147-D147,3),"")</x:f>
      </x:c>
      <x:c r="J147" s="6" t="str">
        <x:f>IF(AND(NOT(COUNTA(A147:F147)=0),K147=""),ROUND(F147+L147,3),"")</x:f>
      </x:c>
      <x:c r="K147" s="5" t="str">
        <x:f>IF(COUNTA(A147:F147)=0,"",IF(A147="","Missing equipment ID",IF(COUNTIFS($N$8:$N$2007,"="&amp;N147)&gt;1,"Duplicate equipment ID",IF(B147="","Missing type",IF(COUNTIFS('Rules'!$G$7:$G$26,"="&amp;(SUBSTITUTE(SUBSTITUTE(SUBSTITUTE(SUBSTITUTE("type:"&amp;B147,"%","%25"),"~","%7E"),"*","%2A"),"?","%3F")))=0,"Unknown type",IF(COUNTIFS('Rules'!$G$7:$G$26,"="&amp;(SUBSTITUTE(SUBSTITUTE(SUBSTITUTE(SUBSTITUTE("type:"&amp;B147,"%","%25"),"~","%7E"),"*","%2A"),"?","%3F")))&gt;1,"Duplicate type",IF(INDEX('Rules'!$F$7:$F$26,MATCH(SUBSTITUTE(SUBSTITUTE(SUBSTITUTE(SUBSTITUTE("type:"&amp;B147,"%","%25"),"~","%7E"),"*","%2A"),"?","%3F"),'Rules'!$G$7:$G$26,0))&lt;&gt;"",INDEX('Rules'!$F$7:$F$26,MATCH(SUBSTITUTE(SUBSTITUTE(SUBSTITUTE(SUBSTITUTE("type:"&amp;B147,"%","%25"),"~","%7E"),"*","%2A"),"?","%3F"),'Rules'!$G$7:$G$26,0)),IF(AND(C147&lt;&gt;"",C147&lt;&gt;INDEX('Rules'!$B$7:$B$26,MATCH(SUBSTITUTE(SUBSTITUTE(SUBSTITUTE(SUBSTITUTE("type:"&amp;B147,"%","%25"),"~","%7E"),"*","%2A"),"?","%3F"),'Rules'!$G$7:$G$26,0))),"Unit mismatch",IF(IF(NOT(ISNUMBER(D147)),TRUE,OR(D147&lt;0,D147&gt;999999999,ROUND(D147,3)&lt;&gt;D147)),"Invalid current reading",IF(AND(E147&lt;&gt;"",IF(NOT(ISNUMBER(E147)),TRUE,OR(E147&lt;0,E147&gt;999999999,ROUND(E147,3)&lt;&gt;E147))),"Invalid previous reading",IF(IF(NOT(ISNUMBER(F147)),TRUE,OR(F147&lt;0,F147&gt;999999999,ROUND(F147,3)&lt;&gt;F147)),"Invalid last service",IF(AND(E147&lt;&gt;"",D147&lt;E147),"Decreased reading",IF(F147&gt;D147,"Last service above current","")))))))))))))</x:f>
      </x:c>
      <x:c r="L147" s="6" t="str">
        <x:f>IF(AND(NOT(COUNTA(A147:F147)=0),K147=""),INDEX('Rules'!$C$7:$C$26,MATCH(SUBSTITUTE(SUBSTITUTE(SUBSTITUTE(SUBSTITUTE("type:"&amp;B147,"%","%25"),"~","%7E"),"*","%2A"),"?","%3F"),'Rules'!$G$7:$G$26,0)),"")</x:f>
      </x:c>
      <x:c r="M147" s="6" t="str">
        <x:f>IF(AND(NOT(COUNTA(A147:F147)=0),K147=""),INDEX('Rules'!$D$7:$D$26,MATCH(SUBSTITUTE(SUBSTITUTE(SUBSTITUTE(SUBSTITUTE("type:"&amp;B147,"%","%25"),"~","%7E"),"*","%2A"),"?","%3F"),'Rules'!$G$7:$G$26,0)),"")</x:f>
      </x:c>
      <x:c r="N147" s="5" t="str">
        <x:f>IF(COUNTA(A147:F147)=0,"",SUBSTITUTE(SUBSTITUTE(SUBSTITUTE(SUBSTITUTE("id:"&amp;A147,"%","%25"),"~","%7E"),"*","%2A"),"?","%3F"))</x:f>
      </x:c>
    </x:row>
    <x:row r="148" ht="22" customHeight="1">
      <x:c r="A148" s="3"/>
      <x:c r="B148" s="3"/>
      <x:c r="C148" s="3"/>
      <x:c r="D148" s="4"/>
      <x:c r="E148" s="4"/>
      <x:c r="F148" s="4"/>
      <x:c r="G148" s="5" t="str">
        <x:f>IF(COUNTA(A148:F148)=0,"",IF(K148&lt;&gt;"","Review",IF(I148&lt;0,"Overdue",IF(I148=0,"Due now",IF(I148&lt;=M148,"Due soon","Not due")))))</x:f>
      </x:c>
      <x:c r="H148" s="5" t="str">
        <x:f>IF(OR(COUNTA(A148:F148)=0,COUNTIFS('Rules'!$G$7:$G$26,"="&amp;(SUBSTITUTE(SUBSTITUTE(SUBSTITUTE(SUBSTITUTE("type:"&amp;B148,"%","%25"),"~","%7E"),"*","%2A"),"?","%3F")))&lt;&gt;1),"",IF(OR(INDEX('Rules'!$B$7:$B$26,MATCH(SUBSTITUTE(SUBSTITUTE(SUBSTITUTE(SUBSTITUTE("type:"&amp;B148,"%","%25"),"~","%7E"),"*","%2A"),"?","%3F"),'Rules'!$G$7:$G$26,0))="hours",INDEX('Rules'!$B$7:$B$26,MATCH(SUBSTITUTE(SUBSTITUTE(SUBSTITUTE(SUBSTITUTE("type:"&amp;B148,"%","%25"),"~","%7E"),"*","%2A"),"?","%3F"),'Rules'!$G$7:$G$26,0))="km"),INDEX('Rules'!$B$7:$B$26,MATCH(SUBSTITUTE(SUBSTITUTE(SUBSTITUTE(SUBSTITUTE("type:"&amp;B148,"%","%25"),"~","%7E"),"*","%2A"),"?","%3F"),'Rules'!$G$7:$G$26,0)),""))</x:f>
      </x:c>
      <x:c r="I148" s="6" t="str">
        <x:f>IF(AND(NOT(COUNTA(A148:F148)=0),K148=""),ROUND(J148-D148,3),"")</x:f>
      </x:c>
      <x:c r="J148" s="6" t="str">
        <x:f>IF(AND(NOT(COUNTA(A148:F148)=0),K148=""),ROUND(F148+L148,3),"")</x:f>
      </x:c>
      <x:c r="K148" s="5" t="str">
        <x:f>IF(COUNTA(A148:F148)=0,"",IF(A148="","Missing equipment ID",IF(COUNTIFS($N$8:$N$2007,"="&amp;N148)&gt;1,"Duplicate equipment ID",IF(B148="","Missing type",IF(COUNTIFS('Rules'!$G$7:$G$26,"="&amp;(SUBSTITUTE(SUBSTITUTE(SUBSTITUTE(SUBSTITUTE("type:"&amp;B148,"%","%25"),"~","%7E"),"*","%2A"),"?","%3F")))=0,"Unknown type",IF(COUNTIFS('Rules'!$G$7:$G$26,"="&amp;(SUBSTITUTE(SUBSTITUTE(SUBSTITUTE(SUBSTITUTE("type:"&amp;B148,"%","%25"),"~","%7E"),"*","%2A"),"?","%3F")))&gt;1,"Duplicate type",IF(INDEX('Rules'!$F$7:$F$26,MATCH(SUBSTITUTE(SUBSTITUTE(SUBSTITUTE(SUBSTITUTE("type:"&amp;B148,"%","%25"),"~","%7E"),"*","%2A"),"?","%3F"),'Rules'!$G$7:$G$26,0))&lt;&gt;"",INDEX('Rules'!$F$7:$F$26,MATCH(SUBSTITUTE(SUBSTITUTE(SUBSTITUTE(SUBSTITUTE("type:"&amp;B148,"%","%25"),"~","%7E"),"*","%2A"),"?","%3F"),'Rules'!$G$7:$G$26,0)),IF(AND(C148&lt;&gt;"",C148&lt;&gt;INDEX('Rules'!$B$7:$B$26,MATCH(SUBSTITUTE(SUBSTITUTE(SUBSTITUTE(SUBSTITUTE("type:"&amp;B148,"%","%25"),"~","%7E"),"*","%2A"),"?","%3F"),'Rules'!$G$7:$G$26,0))),"Unit mismatch",IF(IF(NOT(ISNUMBER(D148)),TRUE,OR(D148&lt;0,D148&gt;999999999,ROUND(D148,3)&lt;&gt;D148)),"Invalid current reading",IF(AND(E148&lt;&gt;"",IF(NOT(ISNUMBER(E148)),TRUE,OR(E148&lt;0,E148&gt;999999999,ROUND(E148,3)&lt;&gt;E148))),"Invalid previous reading",IF(IF(NOT(ISNUMBER(F148)),TRUE,OR(F148&lt;0,F148&gt;999999999,ROUND(F148,3)&lt;&gt;F148)),"Invalid last service",IF(AND(E148&lt;&gt;"",D148&lt;E148),"Decreased reading",IF(F148&gt;D148,"Last service above current","")))))))))))))</x:f>
      </x:c>
      <x:c r="L148" s="6" t="str">
        <x:f>IF(AND(NOT(COUNTA(A148:F148)=0),K148=""),INDEX('Rules'!$C$7:$C$26,MATCH(SUBSTITUTE(SUBSTITUTE(SUBSTITUTE(SUBSTITUTE("type:"&amp;B148,"%","%25"),"~","%7E"),"*","%2A"),"?","%3F"),'Rules'!$G$7:$G$26,0)),"")</x:f>
      </x:c>
      <x:c r="M148" s="6" t="str">
        <x:f>IF(AND(NOT(COUNTA(A148:F148)=0),K148=""),INDEX('Rules'!$D$7:$D$26,MATCH(SUBSTITUTE(SUBSTITUTE(SUBSTITUTE(SUBSTITUTE("type:"&amp;B148,"%","%25"),"~","%7E"),"*","%2A"),"?","%3F"),'Rules'!$G$7:$G$26,0)),"")</x:f>
      </x:c>
      <x:c r="N148" s="5" t="str">
        <x:f>IF(COUNTA(A148:F148)=0,"",SUBSTITUTE(SUBSTITUTE(SUBSTITUTE(SUBSTITUTE("id:"&amp;A148,"%","%25"),"~","%7E"),"*","%2A"),"?","%3F"))</x:f>
      </x:c>
    </x:row>
    <x:row r="149" ht="22" customHeight="1">
      <x:c r="A149" s="3"/>
      <x:c r="B149" s="3"/>
      <x:c r="C149" s="3"/>
      <x:c r="D149" s="4"/>
      <x:c r="E149" s="4"/>
      <x:c r="F149" s="4"/>
      <x:c r="G149" s="5" t="str">
        <x:f>IF(COUNTA(A149:F149)=0,"",IF(K149&lt;&gt;"","Review",IF(I149&lt;0,"Overdue",IF(I149=0,"Due now",IF(I149&lt;=M149,"Due soon","Not due")))))</x:f>
      </x:c>
      <x:c r="H149" s="5" t="str">
        <x:f>IF(OR(COUNTA(A149:F149)=0,COUNTIFS('Rules'!$G$7:$G$26,"="&amp;(SUBSTITUTE(SUBSTITUTE(SUBSTITUTE(SUBSTITUTE("type:"&amp;B149,"%","%25"),"~","%7E"),"*","%2A"),"?","%3F")))&lt;&gt;1),"",IF(OR(INDEX('Rules'!$B$7:$B$26,MATCH(SUBSTITUTE(SUBSTITUTE(SUBSTITUTE(SUBSTITUTE("type:"&amp;B149,"%","%25"),"~","%7E"),"*","%2A"),"?","%3F"),'Rules'!$G$7:$G$26,0))="hours",INDEX('Rules'!$B$7:$B$26,MATCH(SUBSTITUTE(SUBSTITUTE(SUBSTITUTE(SUBSTITUTE("type:"&amp;B149,"%","%25"),"~","%7E"),"*","%2A"),"?","%3F"),'Rules'!$G$7:$G$26,0))="km"),INDEX('Rules'!$B$7:$B$26,MATCH(SUBSTITUTE(SUBSTITUTE(SUBSTITUTE(SUBSTITUTE("type:"&amp;B149,"%","%25"),"~","%7E"),"*","%2A"),"?","%3F"),'Rules'!$G$7:$G$26,0)),""))</x:f>
      </x:c>
      <x:c r="I149" s="6" t="str">
        <x:f>IF(AND(NOT(COUNTA(A149:F149)=0),K149=""),ROUND(J149-D149,3),"")</x:f>
      </x:c>
      <x:c r="J149" s="6" t="str">
        <x:f>IF(AND(NOT(COUNTA(A149:F149)=0),K149=""),ROUND(F149+L149,3),"")</x:f>
      </x:c>
      <x:c r="K149" s="5" t="str">
        <x:f>IF(COUNTA(A149:F149)=0,"",IF(A149="","Missing equipment ID",IF(COUNTIFS($N$8:$N$2007,"="&amp;N149)&gt;1,"Duplicate equipment ID",IF(B149="","Missing type",IF(COUNTIFS('Rules'!$G$7:$G$26,"="&amp;(SUBSTITUTE(SUBSTITUTE(SUBSTITUTE(SUBSTITUTE("type:"&amp;B149,"%","%25"),"~","%7E"),"*","%2A"),"?","%3F")))=0,"Unknown type",IF(COUNTIFS('Rules'!$G$7:$G$26,"="&amp;(SUBSTITUTE(SUBSTITUTE(SUBSTITUTE(SUBSTITUTE("type:"&amp;B149,"%","%25"),"~","%7E"),"*","%2A"),"?","%3F")))&gt;1,"Duplicate type",IF(INDEX('Rules'!$F$7:$F$26,MATCH(SUBSTITUTE(SUBSTITUTE(SUBSTITUTE(SUBSTITUTE("type:"&amp;B149,"%","%25"),"~","%7E"),"*","%2A"),"?","%3F"),'Rules'!$G$7:$G$26,0))&lt;&gt;"",INDEX('Rules'!$F$7:$F$26,MATCH(SUBSTITUTE(SUBSTITUTE(SUBSTITUTE(SUBSTITUTE("type:"&amp;B149,"%","%25"),"~","%7E"),"*","%2A"),"?","%3F"),'Rules'!$G$7:$G$26,0)),IF(AND(C149&lt;&gt;"",C149&lt;&gt;INDEX('Rules'!$B$7:$B$26,MATCH(SUBSTITUTE(SUBSTITUTE(SUBSTITUTE(SUBSTITUTE("type:"&amp;B149,"%","%25"),"~","%7E"),"*","%2A"),"?","%3F"),'Rules'!$G$7:$G$26,0))),"Unit mismatch",IF(IF(NOT(ISNUMBER(D149)),TRUE,OR(D149&lt;0,D149&gt;999999999,ROUND(D149,3)&lt;&gt;D149)),"Invalid current reading",IF(AND(E149&lt;&gt;"",IF(NOT(ISNUMBER(E149)),TRUE,OR(E149&lt;0,E149&gt;999999999,ROUND(E149,3)&lt;&gt;E149))),"Invalid previous reading",IF(IF(NOT(ISNUMBER(F149)),TRUE,OR(F149&lt;0,F149&gt;999999999,ROUND(F149,3)&lt;&gt;F149)),"Invalid last service",IF(AND(E149&lt;&gt;"",D149&lt;E149),"Decreased reading",IF(F149&gt;D149,"Last service above current","")))))))))))))</x:f>
      </x:c>
      <x:c r="L149" s="6" t="str">
        <x:f>IF(AND(NOT(COUNTA(A149:F149)=0),K149=""),INDEX('Rules'!$C$7:$C$26,MATCH(SUBSTITUTE(SUBSTITUTE(SUBSTITUTE(SUBSTITUTE("type:"&amp;B149,"%","%25"),"~","%7E"),"*","%2A"),"?","%3F"),'Rules'!$G$7:$G$26,0)),"")</x:f>
      </x:c>
      <x:c r="M149" s="6" t="str">
        <x:f>IF(AND(NOT(COUNTA(A149:F149)=0),K149=""),INDEX('Rules'!$D$7:$D$26,MATCH(SUBSTITUTE(SUBSTITUTE(SUBSTITUTE(SUBSTITUTE("type:"&amp;B149,"%","%25"),"~","%7E"),"*","%2A"),"?","%3F"),'Rules'!$G$7:$G$26,0)),"")</x:f>
      </x:c>
      <x:c r="N149" s="5" t="str">
        <x:f>IF(COUNTA(A149:F149)=0,"",SUBSTITUTE(SUBSTITUTE(SUBSTITUTE(SUBSTITUTE("id:"&amp;A149,"%","%25"),"~","%7E"),"*","%2A"),"?","%3F"))</x:f>
      </x:c>
    </x:row>
    <x:row r="150" ht="22" customHeight="1">
      <x:c r="A150" s="3"/>
      <x:c r="B150" s="3"/>
      <x:c r="C150" s="3"/>
      <x:c r="D150" s="4"/>
      <x:c r="E150" s="4"/>
      <x:c r="F150" s="4"/>
      <x:c r="G150" s="5" t="str">
        <x:f>IF(COUNTA(A150:F150)=0,"",IF(K150&lt;&gt;"","Review",IF(I150&lt;0,"Overdue",IF(I150=0,"Due now",IF(I150&lt;=M150,"Due soon","Not due")))))</x:f>
      </x:c>
      <x:c r="H150" s="5" t="str">
        <x:f>IF(OR(COUNTA(A150:F150)=0,COUNTIFS('Rules'!$G$7:$G$26,"="&amp;(SUBSTITUTE(SUBSTITUTE(SUBSTITUTE(SUBSTITUTE("type:"&amp;B150,"%","%25"),"~","%7E"),"*","%2A"),"?","%3F")))&lt;&gt;1),"",IF(OR(INDEX('Rules'!$B$7:$B$26,MATCH(SUBSTITUTE(SUBSTITUTE(SUBSTITUTE(SUBSTITUTE("type:"&amp;B150,"%","%25"),"~","%7E"),"*","%2A"),"?","%3F"),'Rules'!$G$7:$G$26,0))="hours",INDEX('Rules'!$B$7:$B$26,MATCH(SUBSTITUTE(SUBSTITUTE(SUBSTITUTE(SUBSTITUTE("type:"&amp;B150,"%","%25"),"~","%7E"),"*","%2A"),"?","%3F"),'Rules'!$G$7:$G$26,0))="km"),INDEX('Rules'!$B$7:$B$26,MATCH(SUBSTITUTE(SUBSTITUTE(SUBSTITUTE(SUBSTITUTE("type:"&amp;B150,"%","%25"),"~","%7E"),"*","%2A"),"?","%3F"),'Rules'!$G$7:$G$26,0)),""))</x:f>
      </x:c>
      <x:c r="I150" s="6" t="str">
        <x:f>IF(AND(NOT(COUNTA(A150:F150)=0),K150=""),ROUND(J150-D150,3),"")</x:f>
      </x:c>
      <x:c r="J150" s="6" t="str">
        <x:f>IF(AND(NOT(COUNTA(A150:F150)=0),K150=""),ROUND(F150+L150,3),"")</x:f>
      </x:c>
      <x:c r="K150" s="5" t="str">
        <x:f>IF(COUNTA(A150:F150)=0,"",IF(A150="","Missing equipment ID",IF(COUNTIFS($N$8:$N$2007,"="&amp;N150)&gt;1,"Duplicate equipment ID",IF(B150="","Missing type",IF(COUNTIFS('Rules'!$G$7:$G$26,"="&amp;(SUBSTITUTE(SUBSTITUTE(SUBSTITUTE(SUBSTITUTE("type:"&amp;B150,"%","%25"),"~","%7E"),"*","%2A"),"?","%3F")))=0,"Unknown type",IF(COUNTIFS('Rules'!$G$7:$G$26,"="&amp;(SUBSTITUTE(SUBSTITUTE(SUBSTITUTE(SUBSTITUTE("type:"&amp;B150,"%","%25"),"~","%7E"),"*","%2A"),"?","%3F")))&gt;1,"Duplicate type",IF(INDEX('Rules'!$F$7:$F$26,MATCH(SUBSTITUTE(SUBSTITUTE(SUBSTITUTE(SUBSTITUTE("type:"&amp;B150,"%","%25"),"~","%7E"),"*","%2A"),"?","%3F"),'Rules'!$G$7:$G$26,0))&lt;&gt;"",INDEX('Rules'!$F$7:$F$26,MATCH(SUBSTITUTE(SUBSTITUTE(SUBSTITUTE(SUBSTITUTE("type:"&amp;B150,"%","%25"),"~","%7E"),"*","%2A"),"?","%3F"),'Rules'!$G$7:$G$26,0)),IF(AND(C150&lt;&gt;"",C150&lt;&gt;INDEX('Rules'!$B$7:$B$26,MATCH(SUBSTITUTE(SUBSTITUTE(SUBSTITUTE(SUBSTITUTE("type:"&amp;B150,"%","%25"),"~","%7E"),"*","%2A"),"?","%3F"),'Rules'!$G$7:$G$26,0))),"Unit mismatch",IF(IF(NOT(ISNUMBER(D150)),TRUE,OR(D150&lt;0,D150&gt;999999999,ROUND(D150,3)&lt;&gt;D150)),"Invalid current reading",IF(AND(E150&lt;&gt;"",IF(NOT(ISNUMBER(E150)),TRUE,OR(E150&lt;0,E150&gt;999999999,ROUND(E150,3)&lt;&gt;E150))),"Invalid previous reading",IF(IF(NOT(ISNUMBER(F150)),TRUE,OR(F150&lt;0,F150&gt;999999999,ROUND(F150,3)&lt;&gt;F150)),"Invalid last service",IF(AND(E150&lt;&gt;"",D150&lt;E150),"Decreased reading",IF(F150&gt;D150,"Last service above current","")))))))))))))</x:f>
      </x:c>
      <x:c r="L150" s="6" t="str">
        <x:f>IF(AND(NOT(COUNTA(A150:F150)=0),K150=""),INDEX('Rules'!$C$7:$C$26,MATCH(SUBSTITUTE(SUBSTITUTE(SUBSTITUTE(SUBSTITUTE("type:"&amp;B150,"%","%25"),"~","%7E"),"*","%2A"),"?","%3F"),'Rules'!$G$7:$G$26,0)),"")</x:f>
      </x:c>
      <x:c r="M150" s="6" t="str">
        <x:f>IF(AND(NOT(COUNTA(A150:F150)=0),K150=""),INDEX('Rules'!$D$7:$D$26,MATCH(SUBSTITUTE(SUBSTITUTE(SUBSTITUTE(SUBSTITUTE("type:"&amp;B150,"%","%25"),"~","%7E"),"*","%2A"),"?","%3F"),'Rules'!$G$7:$G$26,0)),"")</x:f>
      </x:c>
      <x:c r="N150" s="5" t="str">
        <x:f>IF(COUNTA(A150:F150)=0,"",SUBSTITUTE(SUBSTITUTE(SUBSTITUTE(SUBSTITUTE("id:"&amp;A150,"%","%25"),"~","%7E"),"*","%2A"),"?","%3F"))</x:f>
      </x:c>
    </x:row>
    <x:row r="151" ht="22" customHeight="1">
      <x:c r="A151" s="3"/>
      <x:c r="B151" s="3"/>
      <x:c r="C151" s="3"/>
      <x:c r="D151" s="4"/>
      <x:c r="E151" s="4"/>
      <x:c r="F151" s="4"/>
      <x:c r="G151" s="5" t="str">
        <x:f>IF(COUNTA(A151:F151)=0,"",IF(K151&lt;&gt;"","Review",IF(I151&lt;0,"Overdue",IF(I151=0,"Due now",IF(I151&lt;=M151,"Due soon","Not due")))))</x:f>
      </x:c>
      <x:c r="H151" s="5" t="str">
        <x:f>IF(OR(COUNTA(A151:F151)=0,COUNTIFS('Rules'!$G$7:$G$26,"="&amp;(SUBSTITUTE(SUBSTITUTE(SUBSTITUTE(SUBSTITUTE("type:"&amp;B151,"%","%25"),"~","%7E"),"*","%2A"),"?","%3F")))&lt;&gt;1),"",IF(OR(INDEX('Rules'!$B$7:$B$26,MATCH(SUBSTITUTE(SUBSTITUTE(SUBSTITUTE(SUBSTITUTE("type:"&amp;B151,"%","%25"),"~","%7E"),"*","%2A"),"?","%3F"),'Rules'!$G$7:$G$26,0))="hours",INDEX('Rules'!$B$7:$B$26,MATCH(SUBSTITUTE(SUBSTITUTE(SUBSTITUTE(SUBSTITUTE("type:"&amp;B151,"%","%25"),"~","%7E"),"*","%2A"),"?","%3F"),'Rules'!$G$7:$G$26,0))="km"),INDEX('Rules'!$B$7:$B$26,MATCH(SUBSTITUTE(SUBSTITUTE(SUBSTITUTE(SUBSTITUTE("type:"&amp;B151,"%","%25"),"~","%7E"),"*","%2A"),"?","%3F"),'Rules'!$G$7:$G$26,0)),""))</x:f>
      </x:c>
      <x:c r="I151" s="6" t="str">
        <x:f>IF(AND(NOT(COUNTA(A151:F151)=0),K151=""),ROUND(J151-D151,3),"")</x:f>
      </x:c>
      <x:c r="J151" s="6" t="str">
        <x:f>IF(AND(NOT(COUNTA(A151:F151)=0),K151=""),ROUND(F151+L151,3),"")</x:f>
      </x:c>
      <x:c r="K151" s="5" t="str">
        <x:f>IF(COUNTA(A151:F151)=0,"",IF(A151="","Missing equipment ID",IF(COUNTIFS($N$8:$N$2007,"="&amp;N151)&gt;1,"Duplicate equipment ID",IF(B151="","Missing type",IF(COUNTIFS('Rules'!$G$7:$G$26,"="&amp;(SUBSTITUTE(SUBSTITUTE(SUBSTITUTE(SUBSTITUTE("type:"&amp;B151,"%","%25"),"~","%7E"),"*","%2A"),"?","%3F")))=0,"Unknown type",IF(COUNTIFS('Rules'!$G$7:$G$26,"="&amp;(SUBSTITUTE(SUBSTITUTE(SUBSTITUTE(SUBSTITUTE("type:"&amp;B151,"%","%25"),"~","%7E"),"*","%2A"),"?","%3F")))&gt;1,"Duplicate type",IF(INDEX('Rules'!$F$7:$F$26,MATCH(SUBSTITUTE(SUBSTITUTE(SUBSTITUTE(SUBSTITUTE("type:"&amp;B151,"%","%25"),"~","%7E"),"*","%2A"),"?","%3F"),'Rules'!$G$7:$G$26,0))&lt;&gt;"",INDEX('Rules'!$F$7:$F$26,MATCH(SUBSTITUTE(SUBSTITUTE(SUBSTITUTE(SUBSTITUTE("type:"&amp;B151,"%","%25"),"~","%7E"),"*","%2A"),"?","%3F"),'Rules'!$G$7:$G$26,0)),IF(AND(C151&lt;&gt;"",C151&lt;&gt;INDEX('Rules'!$B$7:$B$26,MATCH(SUBSTITUTE(SUBSTITUTE(SUBSTITUTE(SUBSTITUTE("type:"&amp;B151,"%","%25"),"~","%7E"),"*","%2A"),"?","%3F"),'Rules'!$G$7:$G$26,0))),"Unit mismatch",IF(IF(NOT(ISNUMBER(D151)),TRUE,OR(D151&lt;0,D151&gt;999999999,ROUND(D151,3)&lt;&gt;D151)),"Invalid current reading",IF(AND(E151&lt;&gt;"",IF(NOT(ISNUMBER(E151)),TRUE,OR(E151&lt;0,E151&gt;999999999,ROUND(E151,3)&lt;&gt;E151))),"Invalid previous reading",IF(IF(NOT(ISNUMBER(F151)),TRUE,OR(F151&lt;0,F151&gt;999999999,ROUND(F151,3)&lt;&gt;F151)),"Invalid last service",IF(AND(E151&lt;&gt;"",D151&lt;E151),"Decreased reading",IF(F151&gt;D151,"Last service above current","")))))))))))))</x:f>
      </x:c>
      <x:c r="L151" s="6" t="str">
        <x:f>IF(AND(NOT(COUNTA(A151:F151)=0),K151=""),INDEX('Rules'!$C$7:$C$26,MATCH(SUBSTITUTE(SUBSTITUTE(SUBSTITUTE(SUBSTITUTE("type:"&amp;B151,"%","%25"),"~","%7E"),"*","%2A"),"?","%3F"),'Rules'!$G$7:$G$26,0)),"")</x:f>
      </x:c>
      <x:c r="M151" s="6" t="str">
        <x:f>IF(AND(NOT(COUNTA(A151:F151)=0),K151=""),INDEX('Rules'!$D$7:$D$26,MATCH(SUBSTITUTE(SUBSTITUTE(SUBSTITUTE(SUBSTITUTE("type:"&amp;B151,"%","%25"),"~","%7E"),"*","%2A"),"?","%3F"),'Rules'!$G$7:$G$26,0)),"")</x:f>
      </x:c>
      <x:c r="N151" s="5" t="str">
        <x:f>IF(COUNTA(A151:F151)=0,"",SUBSTITUTE(SUBSTITUTE(SUBSTITUTE(SUBSTITUTE("id:"&amp;A151,"%","%25"),"~","%7E"),"*","%2A"),"?","%3F"))</x:f>
      </x:c>
    </x:row>
    <x:row r="152" ht="22" customHeight="1">
      <x:c r="A152" s="3"/>
      <x:c r="B152" s="3"/>
      <x:c r="C152" s="3"/>
      <x:c r="D152" s="4"/>
      <x:c r="E152" s="4"/>
      <x:c r="F152" s="4"/>
      <x:c r="G152" s="5" t="str">
        <x:f>IF(COUNTA(A152:F152)=0,"",IF(K152&lt;&gt;"","Review",IF(I152&lt;0,"Overdue",IF(I152=0,"Due now",IF(I152&lt;=M152,"Due soon","Not due")))))</x:f>
      </x:c>
      <x:c r="H152" s="5" t="str">
        <x:f>IF(OR(COUNTA(A152:F152)=0,COUNTIFS('Rules'!$G$7:$G$26,"="&amp;(SUBSTITUTE(SUBSTITUTE(SUBSTITUTE(SUBSTITUTE("type:"&amp;B152,"%","%25"),"~","%7E"),"*","%2A"),"?","%3F")))&lt;&gt;1),"",IF(OR(INDEX('Rules'!$B$7:$B$26,MATCH(SUBSTITUTE(SUBSTITUTE(SUBSTITUTE(SUBSTITUTE("type:"&amp;B152,"%","%25"),"~","%7E"),"*","%2A"),"?","%3F"),'Rules'!$G$7:$G$26,0))="hours",INDEX('Rules'!$B$7:$B$26,MATCH(SUBSTITUTE(SUBSTITUTE(SUBSTITUTE(SUBSTITUTE("type:"&amp;B152,"%","%25"),"~","%7E"),"*","%2A"),"?","%3F"),'Rules'!$G$7:$G$26,0))="km"),INDEX('Rules'!$B$7:$B$26,MATCH(SUBSTITUTE(SUBSTITUTE(SUBSTITUTE(SUBSTITUTE("type:"&amp;B152,"%","%25"),"~","%7E"),"*","%2A"),"?","%3F"),'Rules'!$G$7:$G$26,0)),""))</x:f>
      </x:c>
      <x:c r="I152" s="6" t="str">
        <x:f>IF(AND(NOT(COUNTA(A152:F152)=0),K152=""),ROUND(J152-D152,3),"")</x:f>
      </x:c>
      <x:c r="J152" s="6" t="str">
        <x:f>IF(AND(NOT(COUNTA(A152:F152)=0),K152=""),ROUND(F152+L152,3),"")</x:f>
      </x:c>
      <x:c r="K152" s="5" t="str">
        <x:f>IF(COUNTA(A152:F152)=0,"",IF(A152="","Missing equipment ID",IF(COUNTIFS($N$8:$N$2007,"="&amp;N152)&gt;1,"Duplicate equipment ID",IF(B152="","Missing type",IF(COUNTIFS('Rules'!$G$7:$G$26,"="&amp;(SUBSTITUTE(SUBSTITUTE(SUBSTITUTE(SUBSTITUTE("type:"&amp;B152,"%","%25"),"~","%7E"),"*","%2A"),"?","%3F")))=0,"Unknown type",IF(COUNTIFS('Rules'!$G$7:$G$26,"="&amp;(SUBSTITUTE(SUBSTITUTE(SUBSTITUTE(SUBSTITUTE("type:"&amp;B152,"%","%25"),"~","%7E"),"*","%2A"),"?","%3F")))&gt;1,"Duplicate type",IF(INDEX('Rules'!$F$7:$F$26,MATCH(SUBSTITUTE(SUBSTITUTE(SUBSTITUTE(SUBSTITUTE("type:"&amp;B152,"%","%25"),"~","%7E"),"*","%2A"),"?","%3F"),'Rules'!$G$7:$G$26,0))&lt;&gt;"",INDEX('Rules'!$F$7:$F$26,MATCH(SUBSTITUTE(SUBSTITUTE(SUBSTITUTE(SUBSTITUTE("type:"&amp;B152,"%","%25"),"~","%7E"),"*","%2A"),"?","%3F"),'Rules'!$G$7:$G$26,0)),IF(AND(C152&lt;&gt;"",C152&lt;&gt;INDEX('Rules'!$B$7:$B$26,MATCH(SUBSTITUTE(SUBSTITUTE(SUBSTITUTE(SUBSTITUTE("type:"&amp;B152,"%","%25"),"~","%7E"),"*","%2A"),"?","%3F"),'Rules'!$G$7:$G$26,0))),"Unit mismatch",IF(IF(NOT(ISNUMBER(D152)),TRUE,OR(D152&lt;0,D152&gt;999999999,ROUND(D152,3)&lt;&gt;D152)),"Invalid current reading",IF(AND(E152&lt;&gt;"",IF(NOT(ISNUMBER(E152)),TRUE,OR(E152&lt;0,E152&gt;999999999,ROUND(E152,3)&lt;&gt;E152))),"Invalid previous reading",IF(IF(NOT(ISNUMBER(F152)),TRUE,OR(F152&lt;0,F152&gt;999999999,ROUND(F152,3)&lt;&gt;F152)),"Invalid last service",IF(AND(E152&lt;&gt;"",D152&lt;E152),"Decreased reading",IF(F152&gt;D152,"Last service above current","")))))))))))))</x:f>
      </x:c>
      <x:c r="L152" s="6" t="str">
        <x:f>IF(AND(NOT(COUNTA(A152:F152)=0),K152=""),INDEX('Rules'!$C$7:$C$26,MATCH(SUBSTITUTE(SUBSTITUTE(SUBSTITUTE(SUBSTITUTE("type:"&amp;B152,"%","%25"),"~","%7E"),"*","%2A"),"?","%3F"),'Rules'!$G$7:$G$26,0)),"")</x:f>
      </x:c>
      <x:c r="M152" s="6" t="str">
        <x:f>IF(AND(NOT(COUNTA(A152:F152)=0),K152=""),INDEX('Rules'!$D$7:$D$26,MATCH(SUBSTITUTE(SUBSTITUTE(SUBSTITUTE(SUBSTITUTE("type:"&amp;B152,"%","%25"),"~","%7E"),"*","%2A"),"?","%3F"),'Rules'!$G$7:$G$26,0)),"")</x:f>
      </x:c>
      <x:c r="N152" s="5" t="str">
        <x:f>IF(COUNTA(A152:F152)=0,"",SUBSTITUTE(SUBSTITUTE(SUBSTITUTE(SUBSTITUTE("id:"&amp;A152,"%","%25"),"~","%7E"),"*","%2A"),"?","%3F"))</x:f>
      </x:c>
    </x:row>
    <x:row r="153" ht="22" customHeight="1">
      <x:c r="A153" s="3"/>
      <x:c r="B153" s="3"/>
      <x:c r="C153" s="3"/>
      <x:c r="D153" s="4"/>
      <x:c r="E153" s="4"/>
      <x:c r="F153" s="4"/>
      <x:c r="G153" s="5" t="str">
        <x:f>IF(COUNTA(A153:F153)=0,"",IF(K153&lt;&gt;"","Review",IF(I153&lt;0,"Overdue",IF(I153=0,"Due now",IF(I153&lt;=M153,"Due soon","Not due")))))</x:f>
      </x:c>
      <x:c r="H153" s="5" t="str">
        <x:f>IF(OR(COUNTA(A153:F153)=0,COUNTIFS('Rules'!$G$7:$G$26,"="&amp;(SUBSTITUTE(SUBSTITUTE(SUBSTITUTE(SUBSTITUTE("type:"&amp;B153,"%","%25"),"~","%7E"),"*","%2A"),"?","%3F")))&lt;&gt;1),"",IF(OR(INDEX('Rules'!$B$7:$B$26,MATCH(SUBSTITUTE(SUBSTITUTE(SUBSTITUTE(SUBSTITUTE("type:"&amp;B153,"%","%25"),"~","%7E"),"*","%2A"),"?","%3F"),'Rules'!$G$7:$G$26,0))="hours",INDEX('Rules'!$B$7:$B$26,MATCH(SUBSTITUTE(SUBSTITUTE(SUBSTITUTE(SUBSTITUTE("type:"&amp;B153,"%","%25"),"~","%7E"),"*","%2A"),"?","%3F"),'Rules'!$G$7:$G$26,0))="km"),INDEX('Rules'!$B$7:$B$26,MATCH(SUBSTITUTE(SUBSTITUTE(SUBSTITUTE(SUBSTITUTE("type:"&amp;B153,"%","%25"),"~","%7E"),"*","%2A"),"?","%3F"),'Rules'!$G$7:$G$26,0)),""))</x:f>
      </x:c>
      <x:c r="I153" s="6" t="str">
        <x:f>IF(AND(NOT(COUNTA(A153:F153)=0),K153=""),ROUND(J153-D153,3),"")</x:f>
      </x:c>
      <x:c r="J153" s="6" t="str">
        <x:f>IF(AND(NOT(COUNTA(A153:F153)=0),K153=""),ROUND(F153+L153,3),"")</x:f>
      </x:c>
      <x:c r="K153" s="5" t="str">
        <x:f>IF(COUNTA(A153:F153)=0,"",IF(A153="","Missing equipment ID",IF(COUNTIFS($N$8:$N$2007,"="&amp;N153)&gt;1,"Duplicate equipment ID",IF(B153="","Missing type",IF(COUNTIFS('Rules'!$G$7:$G$26,"="&amp;(SUBSTITUTE(SUBSTITUTE(SUBSTITUTE(SUBSTITUTE("type:"&amp;B153,"%","%25"),"~","%7E"),"*","%2A"),"?","%3F")))=0,"Unknown type",IF(COUNTIFS('Rules'!$G$7:$G$26,"="&amp;(SUBSTITUTE(SUBSTITUTE(SUBSTITUTE(SUBSTITUTE("type:"&amp;B153,"%","%25"),"~","%7E"),"*","%2A"),"?","%3F")))&gt;1,"Duplicate type",IF(INDEX('Rules'!$F$7:$F$26,MATCH(SUBSTITUTE(SUBSTITUTE(SUBSTITUTE(SUBSTITUTE("type:"&amp;B153,"%","%25"),"~","%7E"),"*","%2A"),"?","%3F"),'Rules'!$G$7:$G$26,0))&lt;&gt;"",INDEX('Rules'!$F$7:$F$26,MATCH(SUBSTITUTE(SUBSTITUTE(SUBSTITUTE(SUBSTITUTE("type:"&amp;B153,"%","%25"),"~","%7E"),"*","%2A"),"?","%3F"),'Rules'!$G$7:$G$26,0)),IF(AND(C153&lt;&gt;"",C153&lt;&gt;INDEX('Rules'!$B$7:$B$26,MATCH(SUBSTITUTE(SUBSTITUTE(SUBSTITUTE(SUBSTITUTE("type:"&amp;B153,"%","%25"),"~","%7E"),"*","%2A"),"?","%3F"),'Rules'!$G$7:$G$26,0))),"Unit mismatch",IF(IF(NOT(ISNUMBER(D153)),TRUE,OR(D153&lt;0,D153&gt;999999999,ROUND(D153,3)&lt;&gt;D153)),"Invalid current reading",IF(AND(E153&lt;&gt;"",IF(NOT(ISNUMBER(E153)),TRUE,OR(E153&lt;0,E153&gt;999999999,ROUND(E153,3)&lt;&gt;E153))),"Invalid previous reading",IF(IF(NOT(ISNUMBER(F153)),TRUE,OR(F153&lt;0,F153&gt;999999999,ROUND(F153,3)&lt;&gt;F153)),"Invalid last service",IF(AND(E153&lt;&gt;"",D153&lt;E153),"Decreased reading",IF(F153&gt;D153,"Last service above current","")))))))))))))</x:f>
      </x:c>
      <x:c r="L153" s="6" t="str">
        <x:f>IF(AND(NOT(COUNTA(A153:F153)=0),K153=""),INDEX('Rules'!$C$7:$C$26,MATCH(SUBSTITUTE(SUBSTITUTE(SUBSTITUTE(SUBSTITUTE("type:"&amp;B153,"%","%25"),"~","%7E"),"*","%2A"),"?","%3F"),'Rules'!$G$7:$G$26,0)),"")</x:f>
      </x:c>
      <x:c r="M153" s="6" t="str">
        <x:f>IF(AND(NOT(COUNTA(A153:F153)=0),K153=""),INDEX('Rules'!$D$7:$D$26,MATCH(SUBSTITUTE(SUBSTITUTE(SUBSTITUTE(SUBSTITUTE("type:"&amp;B153,"%","%25"),"~","%7E"),"*","%2A"),"?","%3F"),'Rules'!$G$7:$G$26,0)),"")</x:f>
      </x:c>
      <x:c r="N153" s="5" t="str">
        <x:f>IF(COUNTA(A153:F153)=0,"",SUBSTITUTE(SUBSTITUTE(SUBSTITUTE(SUBSTITUTE("id:"&amp;A153,"%","%25"),"~","%7E"),"*","%2A"),"?","%3F"))</x:f>
      </x:c>
    </x:row>
    <x:row r="154" ht="22" customHeight="1">
      <x:c r="A154" s="3"/>
      <x:c r="B154" s="3"/>
      <x:c r="C154" s="3"/>
      <x:c r="D154" s="4"/>
      <x:c r="E154" s="4"/>
      <x:c r="F154" s="4"/>
      <x:c r="G154" s="5" t="str">
        <x:f>IF(COUNTA(A154:F154)=0,"",IF(K154&lt;&gt;"","Review",IF(I154&lt;0,"Overdue",IF(I154=0,"Due now",IF(I154&lt;=M154,"Due soon","Not due")))))</x:f>
      </x:c>
      <x:c r="H154" s="5" t="str">
        <x:f>IF(OR(COUNTA(A154:F154)=0,COUNTIFS('Rules'!$G$7:$G$26,"="&amp;(SUBSTITUTE(SUBSTITUTE(SUBSTITUTE(SUBSTITUTE("type:"&amp;B154,"%","%25"),"~","%7E"),"*","%2A"),"?","%3F")))&lt;&gt;1),"",IF(OR(INDEX('Rules'!$B$7:$B$26,MATCH(SUBSTITUTE(SUBSTITUTE(SUBSTITUTE(SUBSTITUTE("type:"&amp;B154,"%","%25"),"~","%7E"),"*","%2A"),"?","%3F"),'Rules'!$G$7:$G$26,0))="hours",INDEX('Rules'!$B$7:$B$26,MATCH(SUBSTITUTE(SUBSTITUTE(SUBSTITUTE(SUBSTITUTE("type:"&amp;B154,"%","%25"),"~","%7E"),"*","%2A"),"?","%3F"),'Rules'!$G$7:$G$26,0))="km"),INDEX('Rules'!$B$7:$B$26,MATCH(SUBSTITUTE(SUBSTITUTE(SUBSTITUTE(SUBSTITUTE("type:"&amp;B154,"%","%25"),"~","%7E"),"*","%2A"),"?","%3F"),'Rules'!$G$7:$G$26,0)),""))</x:f>
      </x:c>
      <x:c r="I154" s="6" t="str">
        <x:f>IF(AND(NOT(COUNTA(A154:F154)=0),K154=""),ROUND(J154-D154,3),"")</x:f>
      </x:c>
      <x:c r="J154" s="6" t="str">
        <x:f>IF(AND(NOT(COUNTA(A154:F154)=0),K154=""),ROUND(F154+L154,3),"")</x:f>
      </x:c>
      <x:c r="K154" s="5" t="str">
        <x:f>IF(COUNTA(A154:F154)=0,"",IF(A154="","Missing equipment ID",IF(COUNTIFS($N$8:$N$2007,"="&amp;N154)&gt;1,"Duplicate equipment ID",IF(B154="","Missing type",IF(COUNTIFS('Rules'!$G$7:$G$26,"="&amp;(SUBSTITUTE(SUBSTITUTE(SUBSTITUTE(SUBSTITUTE("type:"&amp;B154,"%","%25"),"~","%7E"),"*","%2A"),"?","%3F")))=0,"Unknown type",IF(COUNTIFS('Rules'!$G$7:$G$26,"="&amp;(SUBSTITUTE(SUBSTITUTE(SUBSTITUTE(SUBSTITUTE("type:"&amp;B154,"%","%25"),"~","%7E"),"*","%2A"),"?","%3F")))&gt;1,"Duplicate type",IF(INDEX('Rules'!$F$7:$F$26,MATCH(SUBSTITUTE(SUBSTITUTE(SUBSTITUTE(SUBSTITUTE("type:"&amp;B154,"%","%25"),"~","%7E"),"*","%2A"),"?","%3F"),'Rules'!$G$7:$G$26,0))&lt;&gt;"",INDEX('Rules'!$F$7:$F$26,MATCH(SUBSTITUTE(SUBSTITUTE(SUBSTITUTE(SUBSTITUTE("type:"&amp;B154,"%","%25"),"~","%7E"),"*","%2A"),"?","%3F"),'Rules'!$G$7:$G$26,0)),IF(AND(C154&lt;&gt;"",C154&lt;&gt;INDEX('Rules'!$B$7:$B$26,MATCH(SUBSTITUTE(SUBSTITUTE(SUBSTITUTE(SUBSTITUTE("type:"&amp;B154,"%","%25"),"~","%7E"),"*","%2A"),"?","%3F"),'Rules'!$G$7:$G$26,0))),"Unit mismatch",IF(IF(NOT(ISNUMBER(D154)),TRUE,OR(D154&lt;0,D154&gt;999999999,ROUND(D154,3)&lt;&gt;D154)),"Invalid current reading",IF(AND(E154&lt;&gt;"",IF(NOT(ISNUMBER(E154)),TRUE,OR(E154&lt;0,E154&gt;999999999,ROUND(E154,3)&lt;&gt;E154))),"Invalid previous reading",IF(IF(NOT(ISNUMBER(F154)),TRUE,OR(F154&lt;0,F154&gt;999999999,ROUND(F154,3)&lt;&gt;F154)),"Invalid last service",IF(AND(E154&lt;&gt;"",D154&lt;E154),"Decreased reading",IF(F154&gt;D154,"Last service above current","")))))))))))))</x:f>
      </x:c>
      <x:c r="L154" s="6" t="str">
        <x:f>IF(AND(NOT(COUNTA(A154:F154)=0),K154=""),INDEX('Rules'!$C$7:$C$26,MATCH(SUBSTITUTE(SUBSTITUTE(SUBSTITUTE(SUBSTITUTE("type:"&amp;B154,"%","%25"),"~","%7E"),"*","%2A"),"?","%3F"),'Rules'!$G$7:$G$26,0)),"")</x:f>
      </x:c>
      <x:c r="M154" s="6" t="str">
        <x:f>IF(AND(NOT(COUNTA(A154:F154)=0),K154=""),INDEX('Rules'!$D$7:$D$26,MATCH(SUBSTITUTE(SUBSTITUTE(SUBSTITUTE(SUBSTITUTE("type:"&amp;B154,"%","%25"),"~","%7E"),"*","%2A"),"?","%3F"),'Rules'!$G$7:$G$26,0)),"")</x:f>
      </x:c>
      <x:c r="N154" s="5" t="str">
        <x:f>IF(COUNTA(A154:F154)=0,"",SUBSTITUTE(SUBSTITUTE(SUBSTITUTE(SUBSTITUTE("id:"&amp;A154,"%","%25"),"~","%7E"),"*","%2A"),"?","%3F"))</x:f>
      </x:c>
    </x:row>
    <x:row r="155" ht="22" customHeight="1">
      <x:c r="A155" s="3"/>
      <x:c r="B155" s="3"/>
      <x:c r="C155" s="3"/>
      <x:c r="D155" s="4"/>
      <x:c r="E155" s="4"/>
      <x:c r="F155" s="4"/>
      <x:c r="G155" s="5" t="str">
        <x:f>IF(COUNTA(A155:F155)=0,"",IF(K155&lt;&gt;"","Review",IF(I155&lt;0,"Overdue",IF(I155=0,"Due now",IF(I155&lt;=M155,"Due soon","Not due")))))</x:f>
      </x:c>
      <x:c r="H155" s="5" t="str">
        <x:f>IF(OR(COUNTA(A155:F155)=0,COUNTIFS('Rules'!$G$7:$G$26,"="&amp;(SUBSTITUTE(SUBSTITUTE(SUBSTITUTE(SUBSTITUTE("type:"&amp;B155,"%","%25"),"~","%7E"),"*","%2A"),"?","%3F")))&lt;&gt;1),"",IF(OR(INDEX('Rules'!$B$7:$B$26,MATCH(SUBSTITUTE(SUBSTITUTE(SUBSTITUTE(SUBSTITUTE("type:"&amp;B155,"%","%25"),"~","%7E"),"*","%2A"),"?","%3F"),'Rules'!$G$7:$G$26,0))="hours",INDEX('Rules'!$B$7:$B$26,MATCH(SUBSTITUTE(SUBSTITUTE(SUBSTITUTE(SUBSTITUTE("type:"&amp;B155,"%","%25"),"~","%7E"),"*","%2A"),"?","%3F"),'Rules'!$G$7:$G$26,0))="km"),INDEX('Rules'!$B$7:$B$26,MATCH(SUBSTITUTE(SUBSTITUTE(SUBSTITUTE(SUBSTITUTE("type:"&amp;B155,"%","%25"),"~","%7E"),"*","%2A"),"?","%3F"),'Rules'!$G$7:$G$26,0)),""))</x:f>
      </x:c>
      <x:c r="I155" s="6" t="str">
        <x:f>IF(AND(NOT(COUNTA(A155:F155)=0),K155=""),ROUND(J155-D155,3),"")</x:f>
      </x:c>
      <x:c r="J155" s="6" t="str">
        <x:f>IF(AND(NOT(COUNTA(A155:F155)=0),K155=""),ROUND(F155+L155,3),"")</x:f>
      </x:c>
      <x:c r="K155" s="5" t="str">
        <x:f>IF(COUNTA(A155:F155)=0,"",IF(A155="","Missing equipment ID",IF(COUNTIFS($N$8:$N$2007,"="&amp;N155)&gt;1,"Duplicate equipment ID",IF(B155="","Missing type",IF(COUNTIFS('Rules'!$G$7:$G$26,"="&amp;(SUBSTITUTE(SUBSTITUTE(SUBSTITUTE(SUBSTITUTE("type:"&amp;B155,"%","%25"),"~","%7E"),"*","%2A"),"?","%3F")))=0,"Unknown type",IF(COUNTIFS('Rules'!$G$7:$G$26,"="&amp;(SUBSTITUTE(SUBSTITUTE(SUBSTITUTE(SUBSTITUTE("type:"&amp;B155,"%","%25"),"~","%7E"),"*","%2A"),"?","%3F")))&gt;1,"Duplicate type",IF(INDEX('Rules'!$F$7:$F$26,MATCH(SUBSTITUTE(SUBSTITUTE(SUBSTITUTE(SUBSTITUTE("type:"&amp;B155,"%","%25"),"~","%7E"),"*","%2A"),"?","%3F"),'Rules'!$G$7:$G$26,0))&lt;&gt;"",INDEX('Rules'!$F$7:$F$26,MATCH(SUBSTITUTE(SUBSTITUTE(SUBSTITUTE(SUBSTITUTE("type:"&amp;B155,"%","%25"),"~","%7E"),"*","%2A"),"?","%3F"),'Rules'!$G$7:$G$26,0)),IF(AND(C155&lt;&gt;"",C155&lt;&gt;INDEX('Rules'!$B$7:$B$26,MATCH(SUBSTITUTE(SUBSTITUTE(SUBSTITUTE(SUBSTITUTE("type:"&amp;B155,"%","%25"),"~","%7E"),"*","%2A"),"?","%3F"),'Rules'!$G$7:$G$26,0))),"Unit mismatch",IF(IF(NOT(ISNUMBER(D155)),TRUE,OR(D155&lt;0,D155&gt;999999999,ROUND(D155,3)&lt;&gt;D155)),"Invalid current reading",IF(AND(E155&lt;&gt;"",IF(NOT(ISNUMBER(E155)),TRUE,OR(E155&lt;0,E155&gt;999999999,ROUND(E155,3)&lt;&gt;E155))),"Invalid previous reading",IF(IF(NOT(ISNUMBER(F155)),TRUE,OR(F155&lt;0,F155&gt;999999999,ROUND(F155,3)&lt;&gt;F155)),"Invalid last service",IF(AND(E155&lt;&gt;"",D155&lt;E155),"Decreased reading",IF(F155&gt;D155,"Last service above current","")))))))))))))</x:f>
      </x:c>
      <x:c r="L155" s="6" t="str">
        <x:f>IF(AND(NOT(COUNTA(A155:F155)=0),K155=""),INDEX('Rules'!$C$7:$C$26,MATCH(SUBSTITUTE(SUBSTITUTE(SUBSTITUTE(SUBSTITUTE("type:"&amp;B155,"%","%25"),"~","%7E"),"*","%2A"),"?","%3F"),'Rules'!$G$7:$G$26,0)),"")</x:f>
      </x:c>
      <x:c r="M155" s="6" t="str">
        <x:f>IF(AND(NOT(COUNTA(A155:F155)=0),K155=""),INDEX('Rules'!$D$7:$D$26,MATCH(SUBSTITUTE(SUBSTITUTE(SUBSTITUTE(SUBSTITUTE("type:"&amp;B155,"%","%25"),"~","%7E"),"*","%2A"),"?","%3F"),'Rules'!$G$7:$G$26,0)),"")</x:f>
      </x:c>
      <x:c r="N155" s="5" t="str">
        <x:f>IF(COUNTA(A155:F155)=0,"",SUBSTITUTE(SUBSTITUTE(SUBSTITUTE(SUBSTITUTE("id:"&amp;A155,"%","%25"),"~","%7E"),"*","%2A"),"?","%3F"))</x:f>
      </x:c>
    </x:row>
    <x:row r="156" ht="22" customHeight="1">
      <x:c r="A156" s="3"/>
      <x:c r="B156" s="3"/>
      <x:c r="C156" s="3"/>
      <x:c r="D156" s="4"/>
      <x:c r="E156" s="4"/>
      <x:c r="F156" s="4"/>
      <x:c r="G156" s="5" t="str">
        <x:f>IF(COUNTA(A156:F156)=0,"",IF(K156&lt;&gt;"","Review",IF(I156&lt;0,"Overdue",IF(I156=0,"Due now",IF(I156&lt;=M156,"Due soon","Not due")))))</x:f>
      </x:c>
      <x:c r="H156" s="5" t="str">
        <x:f>IF(OR(COUNTA(A156:F156)=0,COUNTIFS('Rules'!$G$7:$G$26,"="&amp;(SUBSTITUTE(SUBSTITUTE(SUBSTITUTE(SUBSTITUTE("type:"&amp;B156,"%","%25"),"~","%7E"),"*","%2A"),"?","%3F")))&lt;&gt;1),"",IF(OR(INDEX('Rules'!$B$7:$B$26,MATCH(SUBSTITUTE(SUBSTITUTE(SUBSTITUTE(SUBSTITUTE("type:"&amp;B156,"%","%25"),"~","%7E"),"*","%2A"),"?","%3F"),'Rules'!$G$7:$G$26,0))="hours",INDEX('Rules'!$B$7:$B$26,MATCH(SUBSTITUTE(SUBSTITUTE(SUBSTITUTE(SUBSTITUTE("type:"&amp;B156,"%","%25"),"~","%7E"),"*","%2A"),"?","%3F"),'Rules'!$G$7:$G$26,0))="km"),INDEX('Rules'!$B$7:$B$26,MATCH(SUBSTITUTE(SUBSTITUTE(SUBSTITUTE(SUBSTITUTE("type:"&amp;B156,"%","%25"),"~","%7E"),"*","%2A"),"?","%3F"),'Rules'!$G$7:$G$26,0)),""))</x:f>
      </x:c>
      <x:c r="I156" s="6" t="str">
        <x:f>IF(AND(NOT(COUNTA(A156:F156)=0),K156=""),ROUND(J156-D156,3),"")</x:f>
      </x:c>
      <x:c r="J156" s="6" t="str">
        <x:f>IF(AND(NOT(COUNTA(A156:F156)=0),K156=""),ROUND(F156+L156,3),"")</x:f>
      </x:c>
      <x:c r="K156" s="5" t="str">
        <x:f>IF(COUNTA(A156:F156)=0,"",IF(A156="","Missing equipment ID",IF(COUNTIFS($N$8:$N$2007,"="&amp;N156)&gt;1,"Duplicate equipment ID",IF(B156="","Missing type",IF(COUNTIFS('Rules'!$G$7:$G$26,"="&amp;(SUBSTITUTE(SUBSTITUTE(SUBSTITUTE(SUBSTITUTE("type:"&amp;B156,"%","%25"),"~","%7E"),"*","%2A"),"?","%3F")))=0,"Unknown type",IF(COUNTIFS('Rules'!$G$7:$G$26,"="&amp;(SUBSTITUTE(SUBSTITUTE(SUBSTITUTE(SUBSTITUTE("type:"&amp;B156,"%","%25"),"~","%7E"),"*","%2A"),"?","%3F")))&gt;1,"Duplicate type",IF(INDEX('Rules'!$F$7:$F$26,MATCH(SUBSTITUTE(SUBSTITUTE(SUBSTITUTE(SUBSTITUTE("type:"&amp;B156,"%","%25"),"~","%7E"),"*","%2A"),"?","%3F"),'Rules'!$G$7:$G$26,0))&lt;&gt;"",INDEX('Rules'!$F$7:$F$26,MATCH(SUBSTITUTE(SUBSTITUTE(SUBSTITUTE(SUBSTITUTE("type:"&amp;B156,"%","%25"),"~","%7E"),"*","%2A"),"?","%3F"),'Rules'!$G$7:$G$26,0)),IF(AND(C156&lt;&gt;"",C156&lt;&gt;INDEX('Rules'!$B$7:$B$26,MATCH(SUBSTITUTE(SUBSTITUTE(SUBSTITUTE(SUBSTITUTE("type:"&amp;B156,"%","%25"),"~","%7E"),"*","%2A"),"?","%3F"),'Rules'!$G$7:$G$26,0))),"Unit mismatch",IF(IF(NOT(ISNUMBER(D156)),TRUE,OR(D156&lt;0,D156&gt;999999999,ROUND(D156,3)&lt;&gt;D156)),"Invalid current reading",IF(AND(E156&lt;&gt;"",IF(NOT(ISNUMBER(E156)),TRUE,OR(E156&lt;0,E156&gt;999999999,ROUND(E156,3)&lt;&gt;E156))),"Invalid previous reading",IF(IF(NOT(ISNUMBER(F156)),TRUE,OR(F156&lt;0,F156&gt;999999999,ROUND(F156,3)&lt;&gt;F156)),"Invalid last service",IF(AND(E156&lt;&gt;"",D156&lt;E156),"Decreased reading",IF(F156&gt;D156,"Last service above current","")))))))))))))</x:f>
      </x:c>
      <x:c r="L156" s="6" t="str">
        <x:f>IF(AND(NOT(COUNTA(A156:F156)=0),K156=""),INDEX('Rules'!$C$7:$C$26,MATCH(SUBSTITUTE(SUBSTITUTE(SUBSTITUTE(SUBSTITUTE("type:"&amp;B156,"%","%25"),"~","%7E"),"*","%2A"),"?","%3F"),'Rules'!$G$7:$G$26,0)),"")</x:f>
      </x:c>
      <x:c r="M156" s="6" t="str">
        <x:f>IF(AND(NOT(COUNTA(A156:F156)=0),K156=""),INDEX('Rules'!$D$7:$D$26,MATCH(SUBSTITUTE(SUBSTITUTE(SUBSTITUTE(SUBSTITUTE("type:"&amp;B156,"%","%25"),"~","%7E"),"*","%2A"),"?","%3F"),'Rules'!$G$7:$G$26,0)),"")</x:f>
      </x:c>
      <x:c r="N156" s="5" t="str">
        <x:f>IF(COUNTA(A156:F156)=0,"",SUBSTITUTE(SUBSTITUTE(SUBSTITUTE(SUBSTITUTE("id:"&amp;A156,"%","%25"),"~","%7E"),"*","%2A"),"?","%3F"))</x:f>
      </x:c>
    </x:row>
    <x:row r="157" ht="22" customHeight="1">
      <x:c r="A157" s="3"/>
      <x:c r="B157" s="3"/>
      <x:c r="C157" s="3"/>
      <x:c r="D157" s="4"/>
      <x:c r="E157" s="4"/>
      <x:c r="F157" s="4"/>
      <x:c r="G157" s="5" t="str">
        <x:f>IF(COUNTA(A157:F157)=0,"",IF(K157&lt;&gt;"","Review",IF(I157&lt;0,"Overdue",IF(I157=0,"Due now",IF(I157&lt;=M157,"Due soon","Not due")))))</x:f>
      </x:c>
      <x:c r="H157" s="5" t="str">
        <x:f>IF(OR(COUNTA(A157:F157)=0,COUNTIFS('Rules'!$G$7:$G$26,"="&amp;(SUBSTITUTE(SUBSTITUTE(SUBSTITUTE(SUBSTITUTE("type:"&amp;B157,"%","%25"),"~","%7E"),"*","%2A"),"?","%3F")))&lt;&gt;1),"",IF(OR(INDEX('Rules'!$B$7:$B$26,MATCH(SUBSTITUTE(SUBSTITUTE(SUBSTITUTE(SUBSTITUTE("type:"&amp;B157,"%","%25"),"~","%7E"),"*","%2A"),"?","%3F"),'Rules'!$G$7:$G$26,0))="hours",INDEX('Rules'!$B$7:$B$26,MATCH(SUBSTITUTE(SUBSTITUTE(SUBSTITUTE(SUBSTITUTE("type:"&amp;B157,"%","%25"),"~","%7E"),"*","%2A"),"?","%3F"),'Rules'!$G$7:$G$26,0))="km"),INDEX('Rules'!$B$7:$B$26,MATCH(SUBSTITUTE(SUBSTITUTE(SUBSTITUTE(SUBSTITUTE("type:"&amp;B157,"%","%25"),"~","%7E"),"*","%2A"),"?","%3F"),'Rules'!$G$7:$G$26,0)),""))</x:f>
      </x:c>
      <x:c r="I157" s="6" t="str">
        <x:f>IF(AND(NOT(COUNTA(A157:F157)=0),K157=""),ROUND(J157-D157,3),"")</x:f>
      </x:c>
      <x:c r="J157" s="6" t="str">
        <x:f>IF(AND(NOT(COUNTA(A157:F157)=0),K157=""),ROUND(F157+L157,3),"")</x:f>
      </x:c>
      <x:c r="K157" s="5" t="str">
        <x:f>IF(COUNTA(A157:F157)=0,"",IF(A157="","Missing equipment ID",IF(COUNTIFS($N$8:$N$2007,"="&amp;N157)&gt;1,"Duplicate equipment ID",IF(B157="","Missing type",IF(COUNTIFS('Rules'!$G$7:$G$26,"="&amp;(SUBSTITUTE(SUBSTITUTE(SUBSTITUTE(SUBSTITUTE("type:"&amp;B157,"%","%25"),"~","%7E"),"*","%2A"),"?","%3F")))=0,"Unknown type",IF(COUNTIFS('Rules'!$G$7:$G$26,"="&amp;(SUBSTITUTE(SUBSTITUTE(SUBSTITUTE(SUBSTITUTE("type:"&amp;B157,"%","%25"),"~","%7E"),"*","%2A"),"?","%3F")))&gt;1,"Duplicate type",IF(INDEX('Rules'!$F$7:$F$26,MATCH(SUBSTITUTE(SUBSTITUTE(SUBSTITUTE(SUBSTITUTE("type:"&amp;B157,"%","%25"),"~","%7E"),"*","%2A"),"?","%3F"),'Rules'!$G$7:$G$26,0))&lt;&gt;"",INDEX('Rules'!$F$7:$F$26,MATCH(SUBSTITUTE(SUBSTITUTE(SUBSTITUTE(SUBSTITUTE("type:"&amp;B157,"%","%25"),"~","%7E"),"*","%2A"),"?","%3F"),'Rules'!$G$7:$G$26,0)),IF(AND(C157&lt;&gt;"",C157&lt;&gt;INDEX('Rules'!$B$7:$B$26,MATCH(SUBSTITUTE(SUBSTITUTE(SUBSTITUTE(SUBSTITUTE("type:"&amp;B157,"%","%25"),"~","%7E"),"*","%2A"),"?","%3F"),'Rules'!$G$7:$G$26,0))),"Unit mismatch",IF(IF(NOT(ISNUMBER(D157)),TRUE,OR(D157&lt;0,D157&gt;999999999,ROUND(D157,3)&lt;&gt;D157)),"Invalid current reading",IF(AND(E157&lt;&gt;"",IF(NOT(ISNUMBER(E157)),TRUE,OR(E157&lt;0,E157&gt;999999999,ROUND(E157,3)&lt;&gt;E157))),"Invalid previous reading",IF(IF(NOT(ISNUMBER(F157)),TRUE,OR(F157&lt;0,F157&gt;999999999,ROUND(F157,3)&lt;&gt;F157)),"Invalid last service",IF(AND(E157&lt;&gt;"",D157&lt;E157),"Decreased reading",IF(F157&gt;D157,"Last service above current","")))))))))))))</x:f>
      </x:c>
      <x:c r="L157" s="6" t="str">
        <x:f>IF(AND(NOT(COUNTA(A157:F157)=0),K157=""),INDEX('Rules'!$C$7:$C$26,MATCH(SUBSTITUTE(SUBSTITUTE(SUBSTITUTE(SUBSTITUTE("type:"&amp;B157,"%","%25"),"~","%7E"),"*","%2A"),"?","%3F"),'Rules'!$G$7:$G$26,0)),"")</x:f>
      </x:c>
      <x:c r="M157" s="6" t="str">
        <x:f>IF(AND(NOT(COUNTA(A157:F157)=0),K157=""),INDEX('Rules'!$D$7:$D$26,MATCH(SUBSTITUTE(SUBSTITUTE(SUBSTITUTE(SUBSTITUTE("type:"&amp;B157,"%","%25"),"~","%7E"),"*","%2A"),"?","%3F"),'Rules'!$G$7:$G$26,0)),"")</x:f>
      </x:c>
      <x:c r="N157" s="5" t="str">
        <x:f>IF(COUNTA(A157:F157)=0,"",SUBSTITUTE(SUBSTITUTE(SUBSTITUTE(SUBSTITUTE("id:"&amp;A157,"%","%25"),"~","%7E"),"*","%2A"),"?","%3F"))</x:f>
      </x:c>
    </x:row>
    <x:row r="158" ht="22" customHeight="1">
      <x:c r="A158" s="3"/>
      <x:c r="B158" s="3"/>
      <x:c r="C158" s="3"/>
      <x:c r="D158" s="4"/>
      <x:c r="E158" s="4"/>
      <x:c r="F158" s="4"/>
      <x:c r="G158" s="5" t="str">
        <x:f>IF(COUNTA(A158:F158)=0,"",IF(K158&lt;&gt;"","Review",IF(I158&lt;0,"Overdue",IF(I158=0,"Due now",IF(I158&lt;=M158,"Due soon","Not due")))))</x:f>
      </x:c>
      <x:c r="H158" s="5" t="str">
        <x:f>IF(OR(COUNTA(A158:F158)=0,COUNTIFS('Rules'!$G$7:$G$26,"="&amp;(SUBSTITUTE(SUBSTITUTE(SUBSTITUTE(SUBSTITUTE("type:"&amp;B158,"%","%25"),"~","%7E"),"*","%2A"),"?","%3F")))&lt;&gt;1),"",IF(OR(INDEX('Rules'!$B$7:$B$26,MATCH(SUBSTITUTE(SUBSTITUTE(SUBSTITUTE(SUBSTITUTE("type:"&amp;B158,"%","%25"),"~","%7E"),"*","%2A"),"?","%3F"),'Rules'!$G$7:$G$26,0))="hours",INDEX('Rules'!$B$7:$B$26,MATCH(SUBSTITUTE(SUBSTITUTE(SUBSTITUTE(SUBSTITUTE("type:"&amp;B158,"%","%25"),"~","%7E"),"*","%2A"),"?","%3F"),'Rules'!$G$7:$G$26,0))="km"),INDEX('Rules'!$B$7:$B$26,MATCH(SUBSTITUTE(SUBSTITUTE(SUBSTITUTE(SUBSTITUTE("type:"&amp;B158,"%","%25"),"~","%7E"),"*","%2A"),"?","%3F"),'Rules'!$G$7:$G$26,0)),""))</x:f>
      </x:c>
      <x:c r="I158" s="6" t="str">
        <x:f>IF(AND(NOT(COUNTA(A158:F158)=0),K158=""),ROUND(J158-D158,3),"")</x:f>
      </x:c>
      <x:c r="J158" s="6" t="str">
        <x:f>IF(AND(NOT(COUNTA(A158:F158)=0),K158=""),ROUND(F158+L158,3),"")</x:f>
      </x:c>
      <x:c r="K158" s="5" t="str">
        <x:f>IF(COUNTA(A158:F158)=0,"",IF(A158="","Missing equipment ID",IF(COUNTIFS($N$8:$N$2007,"="&amp;N158)&gt;1,"Duplicate equipment ID",IF(B158="","Missing type",IF(COUNTIFS('Rules'!$G$7:$G$26,"="&amp;(SUBSTITUTE(SUBSTITUTE(SUBSTITUTE(SUBSTITUTE("type:"&amp;B158,"%","%25"),"~","%7E"),"*","%2A"),"?","%3F")))=0,"Unknown type",IF(COUNTIFS('Rules'!$G$7:$G$26,"="&amp;(SUBSTITUTE(SUBSTITUTE(SUBSTITUTE(SUBSTITUTE("type:"&amp;B158,"%","%25"),"~","%7E"),"*","%2A"),"?","%3F")))&gt;1,"Duplicate type",IF(INDEX('Rules'!$F$7:$F$26,MATCH(SUBSTITUTE(SUBSTITUTE(SUBSTITUTE(SUBSTITUTE("type:"&amp;B158,"%","%25"),"~","%7E"),"*","%2A"),"?","%3F"),'Rules'!$G$7:$G$26,0))&lt;&gt;"",INDEX('Rules'!$F$7:$F$26,MATCH(SUBSTITUTE(SUBSTITUTE(SUBSTITUTE(SUBSTITUTE("type:"&amp;B158,"%","%25"),"~","%7E"),"*","%2A"),"?","%3F"),'Rules'!$G$7:$G$26,0)),IF(AND(C158&lt;&gt;"",C158&lt;&gt;INDEX('Rules'!$B$7:$B$26,MATCH(SUBSTITUTE(SUBSTITUTE(SUBSTITUTE(SUBSTITUTE("type:"&amp;B158,"%","%25"),"~","%7E"),"*","%2A"),"?","%3F"),'Rules'!$G$7:$G$26,0))),"Unit mismatch",IF(IF(NOT(ISNUMBER(D158)),TRUE,OR(D158&lt;0,D158&gt;999999999,ROUND(D158,3)&lt;&gt;D158)),"Invalid current reading",IF(AND(E158&lt;&gt;"",IF(NOT(ISNUMBER(E158)),TRUE,OR(E158&lt;0,E158&gt;999999999,ROUND(E158,3)&lt;&gt;E158))),"Invalid previous reading",IF(IF(NOT(ISNUMBER(F158)),TRUE,OR(F158&lt;0,F158&gt;999999999,ROUND(F158,3)&lt;&gt;F158)),"Invalid last service",IF(AND(E158&lt;&gt;"",D158&lt;E158),"Decreased reading",IF(F158&gt;D158,"Last service above current","")))))))))))))</x:f>
      </x:c>
      <x:c r="L158" s="6" t="str">
        <x:f>IF(AND(NOT(COUNTA(A158:F158)=0),K158=""),INDEX('Rules'!$C$7:$C$26,MATCH(SUBSTITUTE(SUBSTITUTE(SUBSTITUTE(SUBSTITUTE("type:"&amp;B158,"%","%25"),"~","%7E"),"*","%2A"),"?","%3F"),'Rules'!$G$7:$G$26,0)),"")</x:f>
      </x:c>
      <x:c r="M158" s="6" t="str">
        <x:f>IF(AND(NOT(COUNTA(A158:F158)=0),K158=""),INDEX('Rules'!$D$7:$D$26,MATCH(SUBSTITUTE(SUBSTITUTE(SUBSTITUTE(SUBSTITUTE("type:"&amp;B158,"%","%25"),"~","%7E"),"*","%2A"),"?","%3F"),'Rules'!$G$7:$G$26,0)),"")</x:f>
      </x:c>
      <x:c r="N158" s="5" t="str">
        <x:f>IF(COUNTA(A158:F158)=0,"",SUBSTITUTE(SUBSTITUTE(SUBSTITUTE(SUBSTITUTE("id:"&amp;A158,"%","%25"),"~","%7E"),"*","%2A"),"?","%3F"))</x:f>
      </x:c>
    </x:row>
    <x:row r="159" ht="22" customHeight="1">
      <x:c r="A159" s="3"/>
      <x:c r="B159" s="3"/>
      <x:c r="C159" s="3"/>
      <x:c r="D159" s="4"/>
      <x:c r="E159" s="4"/>
      <x:c r="F159" s="4"/>
      <x:c r="G159" s="5" t="str">
        <x:f>IF(COUNTA(A159:F159)=0,"",IF(K159&lt;&gt;"","Review",IF(I159&lt;0,"Overdue",IF(I159=0,"Due now",IF(I159&lt;=M159,"Due soon","Not due")))))</x:f>
      </x:c>
      <x:c r="H159" s="5" t="str">
        <x:f>IF(OR(COUNTA(A159:F159)=0,COUNTIFS('Rules'!$G$7:$G$26,"="&amp;(SUBSTITUTE(SUBSTITUTE(SUBSTITUTE(SUBSTITUTE("type:"&amp;B159,"%","%25"),"~","%7E"),"*","%2A"),"?","%3F")))&lt;&gt;1),"",IF(OR(INDEX('Rules'!$B$7:$B$26,MATCH(SUBSTITUTE(SUBSTITUTE(SUBSTITUTE(SUBSTITUTE("type:"&amp;B159,"%","%25"),"~","%7E"),"*","%2A"),"?","%3F"),'Rules'!$G$7:$G$26,0))="hours",INDEX('Rules'!$B$7:$B$26,MATCH(SUBSTITUTE(SUBSTITUTE(SUBSTITUTE(SUBSTITUTE("type:"&amp;B159,"%","%25"),"~","%7E"),"*","%2A"),"?","%3F"),'Rules'!$G$7:$G$26,0))="km"),INDEX('Rules'!$B$7:$B$26,MATCH(SUBSTITUTE(SUBSTITUTE(SUBSTITUTE(SUBSTITUTE("type:"&amp;B159,"%","%25"),"~","%7E"),"*","%2A"),"?","%3F"),'Rules'!$G$7:$G$26,0)),""))</x:f>
      </x:c>
      <x:c r="I159" s="6" t="str">
        <x:f>IF(AND(NOT(COUNTA(A159:F159)=0),K159=""),ROUND(J159-D159,3),"")</x:f>
      </x:c>
      <x:c r="J159" s="6" t="str">
        <x:f>IF(AND(NOT(COUNTA(A159:F159)=0),K159=""),ROUND(F159+L159,3),"")</x:f>
      </x:c>
      <x:c r="K159" s="5" t="str">
        <x:f>IF(COUNTA(A159:F159)=0,"",IF(A159="","Missing equipment ID",IF(COUNTIFS($N$8:$N$2007,"="&amp;N159)&gt;1,"Duplicate equipment ID",IF(B159="","Missing type",IF(COUNTIFS('Rules'!$G$7:$G$26,"="&amp;(SUBSTITUTE(SUBSTITUTE(SUBSTITUTE(SUBSTITUTE("type:"&amp;B159,"%","%25"),"~","%7E"),"*","%2A"),"?","%3F")))=0,"Unknown type",IF(COUNTIFS('Rules'!$G$7:$G$26,"="&amp;(SUBSTITUTE(SUBSTITUTE(SUBSTITUTE(SUBSTITUTE("type:"&amp;B159,"%","%25"),"~","%7E"),"*","%2A"),"?","%3F")))&gt;1,"Duplicate type",IF(INDEX('Rules'!$F$7:$F$26,MATCH(SUBSTITUTE(SUBSTITUTE(SUBSTITUTE(SUBSTITUTE("type:"&amp;B159,"%","%25"),"~","%7E"),"*","%2A"),"?","%3F"),'Rules'!$G$7:$G$26,0))&lt;&gt;"",INDEX('Rules'!$F$7:$F$26,MATCH(SUBSTITUTE(SUBSTITUTE(SUBSTITUTE(SUBSTITUTE("type:"&amp;B159,"%","%25"),"~","%7E"),"*","%2A"),"?","%3F"),'Rules'!$G$7:$G$26,0)),IF(AND(C159&lt;&gt;"",C159&lt;&gt;INDEX('Rules'!$B$7:$B$26,MATCH(SUBSTITUTE(SUBSTITUTE(SUBSTITUTE(SUBSTITUTE("type:"&amp;B159,"%","%25"),"~","%7E"),"*","%2A"),"?","%3F"),'Rules'!$G$7:$G$26,0))),"Unit mismatch",IF(IF(NOT(ISNUMBER(D159)),TRUE,OR(D159&lt;0,D159&gt;999999999,ROUND(D159,3)&lt;&gt;D159)),"Invalid current reading",IF(AND(E159&lt;&gt;"",IF(NOT(ISNUMBER(E159)),TRUE,OR(E159&lt;0,E159&gt;999999999,ROUND(E159,3)&lt;&gt;E159))),"Invalid previous reading",IF(IF(NOT(ISNUMBER(F159)),TRUE,OR(F159&lt;0,F159&gt;999999999,ROUND(F159,3)&lt;&gt;F159)),"Invalid last service",IF(AND(E159&lt;&gt;"",D159&lt;E159),"Decreased reading",IF(F159&gt;D159,"Last service above current","")))))))))))))</x:f>
      </x:c>
      <x:c r="L159" s="6" t="str">
        <x:f>IF(AND(NOT(COUNTA(A159:F159)=0),K159=""),INDEX('Rules'!$C$7:$C$26,MATCH(SUBSTITUTE(SUBSTITUTE(SUBSTITUTE(SUBSTITUTE("type:"&amp;B159,"%","%25"),"~","%7E"),"*","%2A"),"?","%3F"),'Rules'!$G$7:$G$26,0)),"")</x:f>
      </x:c>
      <x:c r="M159" s="6" t="str">
        <x:f>IF(AND(NOT(COUNTA(A159:F159)=0),K159=""),INDEX('Rules'!$D$7:$D$26,MATCH(SUBSTITUTE(SUBSTITUTE(SUBSTITUTE(SUBSTITUTE("type:"&amp;B159,"%","%25"),"~","%7E"),"*","%2A"),"?","%3F"),'Rules'!$G$7:$G$26,0)),"")</x:f>
      </x:c>
      <x:c r="N159" s="5" t="str">
        <x:f>IF(COUNTA(A159:F159)=0,"",SUBSTITUTE(SUBSTITUTE(SUBSTITUTE(SUBSTITUTE("id:"&amp;A159,"%","%25"),"~","%7E"),"*","%2A"),"?","%3F"))</x:f>
      </x:c>
    </x:row>
    <x:row r="160" ht="22" customHeight="1">
      <x:c r="A160" s="3"/>
      <x:c r="B160" s="3"/>
      <x:c r="C160" s="3"/>
      <x:c r="D160" s="4"/>
      <x:c r="E160" s="4"/>
      <x:c r="F160" s="4"/>
      <x:c r="G160" s="5" t="str">
        <x:f>IF(COUNTA(A160:F160)=0,"",IF(K160&lt;&gt;"","Review",IF(I160&lt;0,"Overdue",IF(I160=0,"Due now",IF(I160&lt;=M160,"Due soon","Not due")))))</x:f>
      </x:c>
      <x:c r="H160" s="5" t="str">
        <x:f>IF(OR(COUNTA(A160:F160)=0,COUNTIFS('Rules'!$G$7:$G$26,"="&amp;(SUBSTITUTE(SUBSTITUTE(SUBSTITUTE(SUBSTITUTE("type:"&amp;B160,"%","%25"),"~","%7E"),"*","%2A"),"?","%3F")))&lt;&gt;1),"",IF(OR(INDEX('Rules'!$B$7:$B$26,MATCH(SUBSTITUTE(SUBSTITUTE(SUBSTITUTE(SUBSTITUTE("type:"&amp;B160,"%","%25"),"~","%7E"),"*","%2A"),"?","%3F"),'Rules'!$G$7:$G$26,0))="hours",INDEX('Rules'!$B$7:$B$26,MATCH(SUBSTITUTE(SUBSTITUTE(SUBSTITUTE(SUBSTITUTE("type:"&amp;B160,"%","%25"),"~","%7E"),"*","%2A"),"?","%3F"),'Rules'!$G$7:$G$26,0))="km"),INDEX('Rules'!$B$7:$B$26,MATCH(SUBSTITUTE(SUBSTITUTE(SUBSTITUTE(SUBSTITUTE("type:"&amp;B160,"%","%25"),"~","%7E"),"*","%2A"),"?","%3F"),'Rules'!$G$7:$G$26,0)),""))</x:f>
      </x:c>
      <x:c r="I160" s="6" t="str">
        <x:f>IF(AND(NOT(COUNTA(A160:F160)=0),K160=""),ROUND(J160-D160,3),"")</x:f>
      </x:c>
      <x:c r="J160" s="6" t="str">
        <x:f>IF(AND(NOT(COUNTA(A160:F160)=0),K160=""),ROUND(F160+L160,3),"")</x:f>
      </x:c>
      <x:c r="K160" s="5" t="str">
        <x:f>IF(COUNTA(A160:F160)=0,"",IF(A160="","Missing equipment ID",IF(COUNTIFS($N$8:$N$2007,"="&amp;N160)&gt;1,"Duplicate equipment ID",IF(B160="","Missing type",IF(COUNTIFS('Rules'!$G$7:$G$26,"="&amp;(SUBSTITUTE(SUBSTITUTE(SUBSTITUTE(SUBSTITUTE("type:"&amp;B160,"%","%25"),"~","%7E"),"*","%2A"),"?","%3F")))=0,"Unknown type",IF(COUNTIFS('Rules'!$G$7:$G$26,"="&amp;(SUBSTITUTE(SUBSTITUTE(SUBSTITUTE(SUBSTITUTE("type:"&amp;B160,"%","%25"),"~","%7E"),"*","%2A"),"?","%3F")))&gt;1,"Duplicate type",IF(INDEX('Rules'!$F$7:$F$26,MATCH(SUBSTITUTE(SUBSTITUTE(SUBSTITUTE(SUBSTITUTE("type:"&amp;B160,"%","%25"),"~","%7E"),"*","%2A"),"?","%3F"),'Rules'!$G$7:$G$26,0))&lt;&gt;"",INDEX('Rules'!$F$7:$F$26,MATCH(SUBSTITUTE(SUBSTITUTE(SUBSTITUTE(SUBSTITUTE("type:"&amp;B160,"%","%25"),"~","%7E"),"*","%2A"),"?","%3F"),'Rules'!$G$7:$G$26,0)),IF(AND(C160&lt;&gt;"",C160&lt;&gt;INDEX('Rules'!$B$7:$B$26,MATCH(SUBSTITUTE(SUBSTITUTE(SUBSTITUTE(SUBSTITUTE("type:"&amp;B160,"%","%25"),"~","%7E"),"*","%2A"),"?","%3F"),'Rules'!$G$7:$G$26,0))),"Unit mismatch",IF(IF(NOT(ISNUMBER(D160)),TRUE,OR(D160&lt;0,D160&gt;999999999,ROUND(D160,3)&lt;&gt;D160)),"Invalid current reading",IF(AND(E160&lt;&gt;"",IF(NOT(ISNUMBER(E160)),TRUE,OR(E160&lt;0,E160&gt;999999999,ROUND(E160,3)&lt;&gt;E160))),"Invalid previous reading",IF(IF(NOT(ISNUMBER(F160)),TRUE,OR(F160&lt;0,F160&gt;999999999,ROUND(F160,3)&lt;&gt;F160)),"Invalid last service",IF(AND(E160&lt;&gt;"",D160&lt;E160),"Decreased reading",IF(F160&gt;D160,"Last service above current","")))))))))))))</x:f>
      </x:c>
      <x:c r="L160" s="6" t="str">
        <x:f>IF(AND(NOT(COUNTA(A160:F160)=0),K160=""),INDEX('Rules'!$C$7:$C$26,MATCH(SUBSTITUTE(SUBSTITUTE(SUBSTITUTE(SUBSTITUTE("type:"&amp;B160,"%","%25"),"~","%7E"),"*","%2A"),"?","%3F"),'Rules'!$G$7:$G$26,0)),"")</x:f>
      </x:c>
      <x:c r="M160" s="6" t="str">
        <x:f>IF(AND(NOT(COUNTA(A160:F160)=0),K160=""),INDEX('Rules'!$D$7:$D$26,MATCH(SUBSTITUTE(SUBSTITUTE(SUBSTITUTE(SUBSTITUTE("type:"&amp;B160,"%","%25"),"~","%7E"),"*","%2A"),"?","%3F"),'Rules'!$G$7:$G$26,0)),"")</x:f>
      </x:c>
      <x:c r="N160" s="5" t="str">
        <x:f>IF(COUNTA(A160:F160)=0,"",SUBSTITUTE(SUBSTITUTE(SUBSTITUTE(SUBSTITUTE("id:"&amp;A160,"%","%25"),"~","%7E"),"*","%2A"),"?","%3F"))</x:f>
      </x:c>
    </x:row>
    <x:row r="161" ht="22" customHeight="1">
      <x:c r="A161" s="3"/>
      <x:c r="B161" s="3"/>
      <x:c r="C161" s="3"/>
      <x:c r="D161" s="4"/>
      <x:c r="E161" s="4"/>
      <x:c r="F161" s="4"/>
      <x:c r="G161" s="5" t="str">
        <x:f>IF(COUNTA(A161:F161)=0,"",IF(K161&lt;&gt;"","Review",IF(I161&lt;0,"Overdue",IF(I161=0,"Due now",IF(I161&lt;=M161,"Due soon","Not due")))))</x:f>
      </x:c>
      <x:c r="H161" s="5" t="str">
        <x:f>IF(OR(COUNTA(A161:F161)=0,COUNTIFS('Rules'!$G$7:$G$26,"="&amp;(SUBSTITUTE(SUBSTITUTE(SUBSTITUTE(SUBSTITUTE("type:"&amp;B161,"%","%25"),"~","%7E"),"*","%2A"),"?","%3F")))&lt;&gt;1),"",IF(OR(INDEX('Rules'!$B$7:$B$26,MATCH(SUBSTITUTE(SUBSTITUTE(SUBSTITUTE(SUBSTITUTE("type:"&amp;B161,"%","%25"),"~","%7E"),"*","%2A"),"?","%3F"),'Rules'!$G$7:$G$26,0))="hours",INDEX('Rules'!$B$7:$B$26,MATCH(SUBSTITUTE(SUBSTITUTE(SUBSTITUTE(SUBSTITUTE("type:"&amp;B161,"%","%25"),"~","%7E"),"*","%2A"),"?","%3F"),'Rules'!$G$7:$G$26,0))="km"),INDEX('Rules'!$B$7:$B$26,MATCH(SUBSTITUTE(SUBSTITUTE(SUBSTITUTE(SUBSTITUTE("type:"&amp;B161,"%","%25"),"~","%7E"),"*","%2A"),"?","%3F"),'Rules'!$G$7:$G$26,0)),""))</x:f>
      </x:c>
      <x:c r="I161" s="6" t="str">
        <x:f>IF(AND(NOT(COUNTA(A161:F161)=0),K161=""),ROUND(J161-D161,3),"")</x:f>
      </x:c>
      <x:c r="J161" s="6" t="str">
        <x:f>IF(AND(NOT(COUNTA(A161:F161)=0),K161=""),ROUND(F161+L161,3),"")</x:f>
      </x:c>
      <x:c r="K161" s="5" t="str">
        <x:f>IF(COUNTA(A161:F161)=0,"",IF(A161="","Missing equipment ID",IF(COUNTIFS($N$8:$N$2007,"="&amp;N161)&gt;1,"Duplicate equipment ID",IF(B161="","Missing type",IF(COUNTIFS('Rules'!$G$7:$G$26,"="&amp;(SUBSTITUTE(SUBSTITUTE(SUBSTITUTE(SUBSTITUTE("type:"&amp;B161,"%","%25"),"~","%7E"),"*","%2A"),"?","%3F")))=0,"Unknown type",IF(COUNTIFS('Rules'!$G$7:$G$26,"="&amp;(SUBSTITUTE(SUBSTITUTE(SUBSTITUTE(SUBSTITUTE("type:"&amp;B161,"%","%25"),"~","%7E"),"*","%2A"),"?","%3F")))&gt;1,"Duplicate type",IF(INDEX('Rules'!$F$7:$F$26,MATCH(SUBSTITUTE(SUBSTITUTE(SUBSTITUTE(SUBSTITUTE("type:"&amp;B161,"%","%25"),"~","%7E"),"*","%2A"),"?","%3F"),'Rules'!$G$7:$G$26,0))&lt;&gt;"",INDEX('Rules'!$F$7:$F$26,MATCH(SUBSTITUTE(SUBSTITUTE(SUBSTITUTE(SUBSTITUTE("type:"&amp;B161,"%","%25"),"~","%7E"),"*","%2A"),"?","%3F"),'Rules'!$G$7:$G$26,0)),IF(AND(C161&lt;&gt;"",C161&lt;&gt;INDEX('Rules'!$B$7:$B$26,MATCH(SUBSTITUTE(SUBSTITUTE(SUBSTITUTE(SUBSTITUTE("type:"&amp;B161,"%","%25"),"~","%7E"),"*","%2A"),"?","%3F"),'Rules'!$G$7:$G$26,0))),"Unit mismatch",IF(IF(NOT(ISNUMBER(D161)),TRUE,OR(D161&lt;0,D161&gt;999999999,ROUND(D161,3)&lt;&gt;D161)),"Invalid current reading",IF(AND(E161&lt;&gt;"",IF(NOT(ISNUMBER(E161)),TRUE,OR(E161&lt;0,E161&gt;999999999,ROUND(E161,3)&lt;&gt;E161))),"Invalid previous reading",IF(IF(NOT(ISNUMBER(F161)),TRUE,OR(F161&lt;0,F161&gt;999999999,ROUND(F161,3)&lt;&gt;F161)),"Invalid last service",IF(AND(E161&lt;&gt;"",D161&lt;E161),"Decreased reading",IF(F161&gt;D161,"Last service above current","")))))))))))))</x:f>
      </x:c>
      <x:c r="L161" s="6" t="str">
        <x:f>IF(AND(NOT(COUNTA(A161:F161)=0),K161=""),INDEX('Rules'!$C$7:$C$26,MATCH(SUBSTITUTE(SUBSTITUTE(SUBSTITUTE(SUBSTITUTE("type:"&amp;B161,"%","%25"),"~","%7E"),"*","%2A"),"?","%3F"),'Rules'!$G$7:$G$26,0)),"")</x:f>
      </x:c>
      <x:c r="M161" s="6" t="str">
        <x:f>IF(AND(NOT(COUNTA(A161:F161)=0),K161=""),INDEX('Rules'!$D$7:$D$26,MATCH(SUBSTITUTE(SUBSTITUTE(SUBSTITUTE(SUBSTITUTE("type:"&amp;B161,"%","%25"),"~","%7E"),"*","%2A"),"?","%3F"),'Rules'!$G$7:$G$26,0)),"")</x:f>
      </x:c>
      <x:c r="N161" s="5" t="str">
        <x:f>IF(COUNTA(A161:F161)=0,"",SUBSTITUTE(SUBSTITUTE(SUBSTITUTE(SUBSTITUTE("id:"&amp;A161,"%","%25"),"~","%7E"),"*","%2A"),"?","%3F"))</x:f>
      </x:c>
    </x:row>
    <x:row r="162" ht="22" customHeight="1">
      <x:c r="A162" s="3"/>
      <x:c r="B162" s="3"/>
      <x:c r="C162" s="3"/>
      <x:c r="D162" s="4"/>
      <x:c r="E162" s="4"/>
      <x:c r="F162" s="4"/>
      <x:c r="G162" s="5" t="str">
        <x:f>IF(COUNTA(A162:F162)=0,"",IF(K162&lt;&gt;"","Review",IF(I162&lt;0,"Overdue",IF(I162=0,"Due now",IF(I162&lt;=M162,"Due soon","Not due")))))</x:f>
      </x:c>
      <x:c r="H162" s="5" t="str">
        <x:f>IF(OR(COUNTA(A162:F162)=0,COUNTIFS('Rules'!$G$7:$G$26,"="&amp;(SUBSTITUTE(SUBSTITUTE(SUBSTITUTE(SUBSTITUTE("type:"&amp;B162,"%","%25"),"~","%7E"),"*","%2A"),"?","%3F")))&lt;&gt;1),"",IF(OR(INDEX('Rules'!$B$7:$B$26,MATCH(SUBSTITUTE(SUBSTITUTE(SUBSTITUTE(SUBSTITUTE("type:"&amp;B162,"%","%25"),"~","%7E"),"*","%2A"),"?","%3F"),'Rules'!$G$7:$G$26,0))="hours",INDEX('Rules'!$B$7:$B$26,MATCH(SUBSTITUTE(SUBSTITUTE(SUBSTITUTE(SUBSTITUTE("type:"&amp;B162,"%","%25"),"~","%7E"),"*","%2A"),"?","%3F"),'Rules'!$G$7:$G$26,0))="km"),INDEX('Rules'!$B$7:$B$26,MATCH(SUBSTITUTE(SUBSTITUTE(SUBSTITUTE(SUBSTITUTE("type:"&amp;B162,"%","%25"),"~","%7E"),"*","%2A"),"?","%3F"),'Rules'!$G$7:$G$26,0)),""))</x:f>
      </x:c>
      <x:c r="I162" s="6" t="str">
        <x:f>IF(AND(NOT(COUNTA(A162:F162)=0),K162=""),ROUND(J162-D162,3),"")</x:f>
      </x:c>
      <x:c r="J162" s="6" t="str">
        <x:f>IF(AND(NOT(COUNTA(A162:F162)=0),K162=""),ROUND(F162+L162,3),"")</x:f>
      </x:c>
      <x:c r="K162" s="5" t="str">
        <x:f>IF(COUNTA(A162:F162)=0,"",IF(A162="","Missing equipment ID",IF(COUNTIFS($N$8:$N$2007,"="&amp;N162)&gt;1,"Duplicate equipment ID",IF(B162="","Missing type",IF(COUNTIFS('Rules'!$G$7:$G$26,"="&amp;(SUBSTITUTE(SUBSTITUTE(SUBSTITUTE(SUBSTITUTE("type:"&amp;B162,"%","%25"),"~","%7E"),"*","%2A"),"?","%3F")))=0,"Unknown type",IF(COUNTIFS('Rules'!$G$7:$G$26,"="&amp;(SUBSTITUTE(SUBSTITUTE(SUBSTITUTE(SUBSTITUTE("type:"&amp;B162,"%","%25"),"~","%7E"),"*","%2A"),"?","%3F")))&gt;1,"Duplicate type",IF(INDEX('Rules'!$F$7:$F$26,MATCH(SUBSTITUTE(SUBSTITUTE(SUBSTITUTE(SUBSTITUTE("type:"&amp;B162,"%","%25"),"~","%7E"),"*","%2A"),"?","%3F"),'Rules'!$G$7:$G$26,0))&lt;&gt;"",INDEX('Rules'!$F$7:$F$26,MATCH(SUBSTITUTE(SUBSTITUTE(SUBSTITUTE(SUBSTITUTE("type:"&amp;B162,"%","%25"),"~","%7E"),"*","%2A"),"?","%3F"),'Rules'!$G$7:$G$26,0)),IF(AND(C162&lt;&gt;"",C162&lt;&gt;INDEX('Rules'!$B$7:$B$26,MATCH(SUBSTITUTE(SUBSTITUTE(SUBSTITUTE(SUBSTITUTE("type:"&amp;B162,"%","%25"),"~","%7E"),"*","%2A"),"?","%3F"),'Rules'!$G$7:$G$26,0))),"Unit mismatch",IF(IF(NOT(ISNUMBER(D162)),TRUE,OR(D162&lt;0,D162&gt;999999999,ROUND(D162,3)&lt;&gt;D162)),"Invalid current reading",IF(AND(E162&lt;&gt;"",IF(NOT(ISNUMBER(E162)),TRUE,OR(E162&lt;0,E162&gt;999999999,ROUND(E162,3)&lt;&gt;E162))),"Invalid previous reading",IF(IF(NOT(ISNUMBER(F162)),TRUE,OR(F162&lt;0,F162&gt;999999999,ROUND(F162,3)&lt;&gt;F162)),"Invalid last service",IF(AND(E162&lt;&gt;"",D162&lt;E162),"Decreased reading",IF(F162&gt;D162,"Last service above current","")))))))))))))</x:f>
      </x:c>
      <x:c r="L162" s="6" t="str">
        <x:f>IF(AND(NOT(COUNTA(A162:F162)=0),K162=""),INDEX('Rules'!$C$7:$C$26,MATCH(SUBSTITUTE(SUBSTITUTE(SUBSTITUTE(SUBSTITUTE("type:"&amp;B162,"%","%25"),"~","%7E"),"*","%2A"),"?","%3F"),'Rules'!$G$7:$G$26,0)),"")</x:f>
      </x:c>
      <x:c r="M162" s="6" t="str">
        <x:f>IF(AND(NOT(COUNTA(A162:F162)=0),K162=""),INDEX('Rules'!$D$7:$D$26,MATCH(SUBSTITUTE(SUBSTITUTE(SUBSTITUTE(SUBSTITUTE("type:"&amp;B162,"%","%25"),"~","%7E"),"*","%2A"),"?","%3F"),'Rules'!$G$7:$G$26,0)),"")</x:f>
      </x:c>
      <x:c r="N162" s="5" t="str">
        <x:f>IF(COUNTA(A162:F162)=0,"",SUBSTITUTE(SUBSTITUTE(SUBSTITUTE(SUBSTITUTE("id:"&amp;A162,"%","%25"),"~","%7E"),"*","%2A"),"?","%3F"))</x:f>
      </x:c>
    </x:row>
    <x:row r="163" ht="22" customHeight="1">
      <x:c r="A163" s="3"/>
      <x:c r="B163" s="3"/>
      <x:c r="C163" s="3"/>
      <x:c r="D163" s="4"/>
      <x:c r="E163" s="4"/>
      <x:c r="F163" s="4"/>
      <x:c r="G163" s="5" t="str">
        <x:f>IF(COUNTA(A163:F163)=0,"",IF(K163&lt;&gt;"","Review",IF(I163&lt;0,"Overdue",IF(I163=0,"Due now",IF(I163&lt;=M163,"Due soon","Not due")))))</x:f>
      </x:c>
      <x:c r="H163" s="5" t="str">
        <x:f>IF(OR(COUNTA(A163:F163)=0,COUNTIFS('Rules'!$G$7:$G$26,"="&amp;(SUBSTITUTE(SUBSTITUTE(SUBSTITUTE(SUBSTITUTE("type:"&amp;B163,"%","%25"),"~","%7E"),"*","%2A"),"?","%3F")))&lt;&gt;1),"",IF(OR(INDEX('Rules'!$B$7:$B$26,MATCH(SUBSTITUTE(SUBSTITUTE(SUBSTITUTE(SUBSTITUTE("type:"&amp;B163,"%","%25"),"~","%7E"),"*","%2A"),"?","%3F"),'Rules'!$G$7:$G$26,0))="hours",INDEX('Rules'!$B$7:$B$26,MATCH(SUBSTITUTE(SUBSTITUTE(SUBSTITUTE(SUBSTITUTE("type:"&amp;B163,"%","%25"),"~","%7E"),"*","%2A"),"?","%3F"),'Rules'!$G$7:$G$26,0))="km"),INDEX('Rules'!$B$7:$B$26,MATCH(SUBSTITUTE(SUBSTITUTE(SUBSTITUTE(SUBSTITUTE("type:"&amp;B163,"%","%25"),"~","%7E"),"*","%2A"),"?","%3F"),'Rules'!$G$7:$G$26,0)),""))</x:f>
      </x:c>
      <x:c r="I163" s="6" t="str">
        <x:f>IF(AND(NOT(COUNTA(A163:F163)=0),K163=""),ROUND(J163-D163,3),"")</x:f>
      </x:c>
      <x:c r="J163" s="6" t="str">
        <x:f>IF(AND(NOT(COUNTA(A163:F163)=0),K163=""),ROUND(F163+L163,3),"")</x:f>
      </x:c>
      <x:c r="K163" s="5" t="str">
        <x:f>IF(COUNTA(A163:F163)=0,"",IF(A163="","Missing equipment ID",IF(COUNTIFS($N$8:$N$2007,"="&amp;N163)&gt;1,"Duplicate equipment ID",IF(B163="","Missing type",IF(COUNTIFS('Rules'!$G$7:$G$26,"="&amp;(SUBSTITUTE(SUBSTITUTE(SUBSTITUTE(SUBSTITUTE("type:"&amp;B163,"%","%25"),"~","%7E"),"*","%2A"),"?","%3F")))=0,"Unknown type",IF(COUNTIFS('Rules'!$G$7:$G$26,"="&amp;(SUBSTITUTE(SUBSTITUTE(SUBSTITUTE(SUBSTITUTE("type:"&amp;B163,"%","%25"),"~","%7E"),"*","%2A"),"?","%3F")))&gt;1,"Duplicate type",IF(INDEX('Rules'!$F$7:$F$26,MATCH(SUBSTITUTE(SUBSTITUTE(SUBSTITUTE(SUBSTITUTE("type:"&amp;B163,"%","%25"),"~","%7E"),"*","%2A"),"?","%3F"),'Rules'!$G$7:$G$26,0))&lt;&gt;"",INDEX('Rules'!$F$7:$F$26,MATCH(SUBSTITUTE(SUBSTITUTE(SUBSTITUTE(SUBSTITUTE("type:"&amp;B163,"%","%25"),"~","%7E"),"*","%2A"),"?","%3F"),'Rules'!$G$7:$G$26,0)),IF(AND(C163&lt;&gt;"",C163&lt;&gt;INDEX('Rules'!$B$7:$B$26,MATCH(SUBSTITUTE(SUBSTITUTE(SUBSTITUTE(SUBSTITUTE("type:"&amp;B163,"%","%25"),"~","%7E"),"*","%2A"),"?","%3F"),'Rules'!$G$7:$G$26,0))),"Unit mismatch",IF(IF(NOT(ISNUMBER(D163)),TRUE,OR(D163&lt;0,D163&gt;999999999,ROUND(D163,3)&lt;&gt;D163)),"Invalid current reading",IF(AND(E163&lt;&gt;"",IF(NOT(ISNUMBER(E163)),TRUE,OR(E163&lt;0,E163&gt;999999999,ROUND(E163,3)&lt;&gt;E163))),"Invalid previous reading",IF(IF(NOT(ISNUMBER(F163)),TRUE,OR(F163&lt;0,F163&gt;999999999,ROUND(F163,3)&lt;&gt;F163)),"Invalid last service",IF(AND(E163&lt;&gt;"",D163&lt;E163),"Decreased reading",IF(F163&gt;D163,"Last service above current","")))))))))))))</x:f>
      </x:c>
      <x:c r="L163" s="6" t="str">
        <x:f>IF(AND(NOT(COUNTA(A163:F163)=0),K163=""),INDEX('Rules'!$C$7:$C$26,MATCH(SUBSTITUTE(SUBSTITUTE(SUBSTITUTE(SUBSTITUTE("type:"&amp;B163,"%","%25"),"~","%7E"),"*","%2A"),"?","%3F"),'Rules'!$G$7:$G$26,0)),"")</x:f>
      </x:c>
      <x:c r="M163" s="6" t="str">
        <x:f>IF(AND(NOT(COUNTA(A163:F163)=0),K163=""),INDEX('Rules'!$D$7:$D$26,MATCH(SUBSTITUTE(SUBSTITUTE(SUBSTITUTE(SUBSTITUTE("type:"&amp;B163,"%","%25"),"~","%7E"),"*","%2A"),"?","%3F"),'Rules'!$G$7:$G$26,0)),"")</x:f>
      </x:c>
      <x:c r="N163" s="5" t="str">
        <x:f>IF(COUNTA(A163:F163)=0,"",SUBSTITUTE(SUBSTITUTE(SUBSTITUTE(SUBSTITUTE("id:"&amp;A163,"%","%25"),"~","%7E"),"*","%2A"),"?","%3F"))</x:f>
      </x:c>
    </x:row>
    <x:row r="164" ht="22" customHeight="1">
      <x:c r="A164" s="3"/>
      <x:c r="B164" s="3"/>
      <x:c r="C164" s="3"/>
      <x:c r="D164" s="4"/>
      <x:c r="E164" s="4"/>
      <x:c r="F164" s="4"/>
      <x:c r="G164" s="5" t="str">
        <x:f>IF(COUNTA(A164:F164)=0,"",IF(K164&lt;&gt;"","Review",IF(I164&lt;0,"Overdue",IF(I164=0,"Due now",IF(I164&lt;=M164,"Due soon","Not due")))))</x:f>
      </x:c>
      <x:c r="H164" s="5" t="str">
        <x:f>IF(OR(COUNTA(A164:F164)=0,COUNTIFS('Rules'!$G$7:$G$26,"="&amp;(SUBSTITUTE(SUBSTITUTE(SUBSTITUTE(SUBSTITUTE("type:"&amp;B164,"%","%25"),"~","%7E"),"*","%2A"),"?","%3F")))&lt;&gt;1),"",IF(OR(INDEX('Rules'!$B$7:$B$26,MATCH(SUBSTITUTE(SUBSTITUTE(SUBSTITUTE(SUBSTITUTE("type:"&amp;B164,"%","%25"),"~","%7E"),"*","%2A"),"?","%3F"),'Rules'!$G$7:$G$26,0))="hours",INDEX('Rules'!$B$7:$B$26,MATCH(SUBSTITUTE(SUBSTITUTE(SUBSTITUTE(SUBSTITUTE("type:"&amp;B164,"%","%25"),"~","%7E"),"*","%2A"),"?","%3F"),'Rules'!$G$7:$G$26,0))="km"),INDEX('Rules'!$B$7:$B$26,MATCH(SUBSTITUTE(SUBSTITUTE(SUBSTITUTE(SUBSTITUTE("type:"&amp;B164,"%","%25"),"~","%7E"),"*","%2A"),"?","%3F"),'Rules'!$G$7:$G$26,0)),""))</x:f>
      </x:c>
      <x:c r="I164" s="6" t="str">
        <x:f>IF(AND(NOT(COUNTA(A164:F164)=0),K164=""),ROUND(J164-D164,3),"")</x:f>
      </x:c>
      <x:c r="J164" s="6" t="str">
        <x:f>IF(AND(NOT(COUNTA(A164:F164)=0),K164=""),ROUND(F164+L164,3),"")</x:f>
      </x:c>
      <x:c r="K164" s="5" t="str">
        <x:f>IF(COUNTA(A164:F164)=0,"",IF(A164="","Missing equipment ID",IF(COUNTIFS($N$8:$N$2007,"="&amp;N164)&gt;1,"Duplicate equipment ID",IF(B164="","Missing type",IF(COUNTIFS('Rules'!$G$7:$G$26,"="&amp;(SUBSTITUTE(SUBSTITUTE(SUBSTITUTE(SUBSTITUTE("type:"&amp;B164,"%","%25"),"~","%7E"),"*","%2A"),"?","%3F")))=0,"Unknown type",IF(COUNTIFS('Rules'!$G$7:$G$26,"="&amp;(SUBSTITUTE(SUBSTITUTE(SUBSTITUTE(SUBSTITUTE("type:"&amp;B164,"%","%25"),"~","%7E"),"*","%2A"),"?","%3F")))&gt;1,"Duplicate type",IF(INDEX('Rules'!$F$7:$F$26,MATCH(SUBSTITUTE(SUBSTITUTE(SUBSTITUTE(SUBSTITUTE("type:"&amp;B164,"%","%25"),"~","%7E"),"*","%2A"),"?","%3F"),'Rules'!$G$7:$G$26,0))&lt;&gt;"",INDEX('Rules'!$F$7:$F$26,MATCH(SUBSTITUTE(SUBSTITUTE(SUBSTITUTE(SUBSTITUTE("type:"&amp;B164,"%","%25"),"~","%7E"),"*","%2A"),"?","%3F"),'Rules'!$G$7:$G$26,0)),IF(AND(C164&lt;&gt;"",C164&lt;&gt;INDEX('Rules'!$B$7:$B$26,MATCH(SUBSTITUTE(SUBSTITUTE(SUBSTITUTE(SUBSTITUTE("type:"&amp;B164,"%","%25"),"~","%7E"),"*","%2A"),"?","%3F"),'Rules'!$G$7:$G$26,0))),"Unit mismatch",IF(IF(NOT(ISNUMBER(D164)),TRUE,OR(D164&lt;0,D164&gt;999999999,ROUND(D164,3)&lt;&gt;D164)),"Invalid current reading",IF(AND(E164&lt;&gt;"",IF(NOT(ISNUMBER(E164)),TRUE,OR(E164&lt;0,E164&gt;999999999,ROUND(E164,3)&lt;&gt;E164))),"Invalid previous reading",IF(IF(NOT(ISNUMBER(F164)),TRUE,OR(F164&lt;0,F164&gt;999999999,ROUND(F164,3)&lt;&gt;F164)),"Invalid last service",IF(AND(E164&lt;&gt;"",D164&lt;E164),"Decreased reading",IF(F164&gt;D164,"Last service above current","")))))))))))))</x:f>
      </x:c>
      <x:c r="L164" s="6" t="str">
        <x:f>IF(AND(NOT(COUNTA(A164:F164)=0),K164=""),INDEX('Rules'!$C$7:$C$26,MATCH(SUBSTITUTE(SUBSTITUTE(SUBSTITUTE(SUBSTITUTE("type:"&amp;B164,"%","%25"),"~","%7E"),"*","%2A"),"?","%3F"),'Rules'!$G$7:$G$26,0)),"")</x:f>
      </x:c>
      <x:c r="M164" s="6" t="str">
        <x:f>IF(AND(NOT(COUNTA(A164:F164)=0),K164=""),INDEX('Rules'!$D$7:$D$26,MATCH(SUBSTITUTE(SUBSTITUTE(SUBSTITUTE(SUBSTITUTE("type:"&amp;B164,"%","%25"),"~","%7E"),"*","%2A"),"?","%3F"),'Rules'!$G$7:$G$26,0)),"")</x:f>
      </x:c>
      <x:c r="N164" s="5" t="str">
        <x:f>IF(COUNTA(A164:F164)=0,"",SUBSTITUTE(SUBSTITUTE(SUBSTITUTE(SUBSTITUTE("id:"&amp;A164,"%","%25"),"~","%7E"),"*","%2A"),"?","%3F"))</x:f>
      </x:c>
    </x:row>
    <x:row r="165" ht="22" customHeight="1">
      <x:c r="A165" s="3"/>
      <x:c r="B165" s="3"/>
      <x:c r="C165" s="3"/>
      <x:c r="D165" s="4"/>
      <x:c r="E165" s="4"/>
      <x:c r="F165" s="4"/>
      <x:c r="G165" s="5" t="str">
        <x:f>IF(COUNTA(A165:F165)=0,"",IF(K165&lt;&gt;"","Review",IF(I165&lt;0,"Overdue",IF(I165=0,"Due now",IF(I165&lt;=M165,"Due soon","Not due")))))</x:f>
      </x:c>
      <x:c r="H165" s="5" t="str">
        <x:f>IF(OR(COUNTA(A165:F165)=0,COUNTIFS('Rules'!$G$7:$G$26,"="&amp;(SUBSTITUTE(SUBSTITUTE(SUBSTITUTE(SUBSTITUTE("type:"&amp;B165,"%","%25"),"~","%7E"),"*","%2A"),"?","%3F")))&lt;&gt;1),"",IF(OR(INDEX('Rules'!$B$7:$B$26,MATCH(SUBSTITUTE(SUBSTITUTE(SUBSTITUTE(SUBSTITUTE("type:"&amp;B165,"%","%25"),"~","%7E"),"*","%2A"),"?","%3F"),'Rules'!$G$7:$G$26,0))="hours",INDEX('Rules'!$B$7:$B$26,MATCH(SUBSTITUTE(SUBSTITUTE(SUBSTITUTE(SUBSTITUTE("type:"&amp;B165,"%","%25"),"~","%7E"),"*","%2A"),"?","%3F"),'Rules'!$G$7:$G$26,0))="km"),INDEX('Rules'!$B$7:$B$26,MATCH(SUBSTITUTE(SUBSTITUTE(SUBSTITUTE(SUBSTITUTE("type:"&amp;B165,"%","%25"),"~","%7E"),"*","%2A"),"?","%3F"),'Rules'!$G$7:$G$26,0)),""))</x:f>
      </x:c>
      <x:c r="I165" s="6" t="str">
        <x:f>IF(AND(NOT(COUNTA(A165:F165)=0),K165=""),ROUND(J165-D165,3),"")</x:f>
      </x:c>
      <x:c r="J165" s="6" t="str">
        <x:f>IF(AND(NOT(COUNTA(A165:F165)=0),K165=""),ROUND(F165+L165,3),"")</x:f>
      </x:c>
      <x:c r="K165" s="5" t="str">
        <x:f>IF(COUNTA(A165:F165)=0,"",IF(A165="","Missing equipment ID",IF(COUNTIFS($N$8:$N$2007,"="&amp;N165)&gt;1,"Duplicate equipment ID",IF(B165="","Missing type",IF(COUNTIFS('Rules'!$G$7:$G$26,"="&amp;(SUBSTITUTE(SUBSTITUTE(SUBSTITUTE(SUBSTITUTE("type:"&amp;B165,"%","%25"),"~","%7E"),"*","%2A"),"?","%3F")))=0,"Unknown type",IF(COUNTIFS('Rules'!$G$7:$G$26,"="&amp;(SUBSTITUTE(SUBSTITUTE(SUBSTITUTE(SUBSTITUTE("type:"&amp;B165,"%","%25"),"~","%7E"),"*","%2A"),"?","%3F")))&gt;1,"Duplicate type",IF(INDEX('Rules'!$F$7:$F$26,MATCH(SUBSTITUTE(SUBSTITUTE(SUBSTITUTE(SUBSTITUTE("type:"&amp;B165,"%","%25"),"~","%7E"),"*","%2A"),"?","%3F"),'Rules'!$G$7:$G$26,0))&lt;&gt;"",INDEX('Rules'!$F$7:$F$26,MATCH(SUBSTITUTE(SUBSTITUTE(SUBSTITUTE(SUBSTITUTE("type:"&amp;B165,"%","%25"),"~","%7E"),"*","%2A"),"?","%3F"),'Rules'!$G$7:$G$26,0)),IF(AND(C165&lt;&gt;"",C165&lt;&gt;INDEX('Rules'!$B$7:$B$26,MATCH(SUBSTITUTE(SUBSTITUTE(SUBSTITUTE(SUBSTITUTE("type:"&amp;B165,"%","%25"),"~","%7E"),"*","%2A"),"?","%3F"),'Rules'!$G$7:$G$26,0))),"Unit mismatch",IF(IF(NOT(ISNUMBER(D165)),TRUE,OR(D165&lt;0,D165&gt;999999999,ROUND(D165,3)&lt;&gt;D165)),"Invalid current reading",IF(AND(E165&lt;&gt;"",IF(NOT(ISNUMBER(E165)),TRUE,OR(E165&lt;0,E165&gt;999999999,ROUND(E165,3)&lt;&gt;E165))),"Invalid previous reading",IF(IF(NOT(ISNUMBER(F165)),TRUE,OR(F165&lt;0,F165&gt;999999999,ROUND(F165,3)&lt;&gt;F165)),"Invalid last service",IF(AND(E165&lt;&gt;"",D165&lt;E165),"Decreased reading",IF(F165&gt;D165,"Last service above current","")))))))))))))</x:f>
      </x:c>
      <x:c r="L165" s="6" t="str">
        <x:f>IF(AND(NOT(COUNTA(A165:F165)=0),K165=""),INDEX('Rules'!$C$7:$C$26,MATCH(SUBSTITUTE(SUBSTITUTE(SUBSTITUTE(SUBSTITUTE("type:"&amp;B165,"%","%25"),"~","%7E"),"*","%2A"),"?","%3F"),'Rules'!$G$7:$G$26,0)),"")</x:f>
      </x:c>
      <x:c r="M165" s="6" t="str">
        <x:f>IF(AND(NOT(COUNTA(A165:F165)=0),K165=""),INDEX('Rules'!$D$7:$D$26,MATCH(SUBSTITUTE(SUBSTITUTE(SUBSTITUTE(SUBSTITUTE("type:"&amp;B165,"%","%25"),"~","%7E"),"*","%2A"),"?","%3F"),'Rules'!$G$7:$G$26,0)),"")</x:f>
      </x:c>
      <x:c r="N165" s="5" t="str">
        <x:f>IF(COUNTA(A165:F165)=0,"",SUBSTITUTE(SUBSTITUTE(SUBSTITUTE(SUBSTITUTE("id:"&amp;A165,"%","%25"),"~","%7E"),"*","%2A"),"?","%3F"))</x:f>
      </x:c>
    </x:row>
    <x:row r="166" ht="22" customHeight="1">
      <x:c r="A166" s="3"/>
      <x:c r="B166" s="3"/>
      <x:c r="C166" s="3"/>
      <x:c r="D166" s="4"/>
      <x:c r="E166" s="4"/>
      <x:c r="F166" s="4"/>
      <x:c r="G166" s="5" t="str">
        <x:f>IF(COUNTA(A166:F166)=0,"",IF(K166&lt;&gt;"","Review",IF(I166&lt;0,"Overdue",IF(I166=0,"Due now",IF(I166&lt;=M166,"Due soon","Not due")))))</x:f>
      </x:c>
      <x:c r="H166" s="5" t="str">
        <x:f>IF(OR(COUNTA(A166:F166)=0,COUNTIFS('Rules'!$G$7:$G$26,"="&amp;(SUBSTITUTE(SUBSTITUTE(SUBSTITUTE(SUBSTITUTE("type:"&amp;B166,"%","%25"),"~","%7E"),"*","%2A"),"?","%3F")))&lt;&gt;1),"",IF(OR(INDEX('Rules'!$B$7:$B$26,MATCH(SUBSTITUTE(SUBSTITUTE(SUBSTITUTE(SUBSTITUTE("type:"&amp;B166,"%","%25"),"~","%7E"),"*","%2A"),"?","%3F"),'Rules'!$G$7:$G$26,0))="hours",INDEX('Rules'!$B$7:$B$26,MATCH(SUBSTITUTE(SUBSTITUTE(SUBSTITUTE(SUBSTITUTE("type:"&amp;B166,"%","%25"),"~","%7E"),"*","%2A"),"?","%3F"),'Rules'!$G$7:$G$26,0))="km"),INDEX('Rules'!$B$7:$B$26,MATCH(SUBSTITUTE(SUBSTITUTE(SUBSTITUTE(SUBSTITUTE("type:"&amp;B166,"%","%25"),"~","%7E"),"*","%2A"),"?","%3F"),'Rules'!$G$7:$G$26,0)),""))</x:f>
      </x:c>
      <x:c r="I166" s="6" t="str">
        <x:f>IF(AND(NOT(COUNTA(A166:F166)=0),K166=""),ROUND(J166-D166,3),"")</x:f>
      </x:c>
      <x:c r="J166" s="6" t="str">
        <x:f>IF(AND(NOT(COUNTA(A166:F166)=0),K166=""),ROUND(F166+L166,3),"")</x:f>
      </x:c>
      <x:c r="K166" s="5" t="str">
        <x:f>IF(COUNTA(A166:F166)=0,"",IF(A166="","Missing equipment ID",IF(COUNTIFS($N$8:$N$2007,"="&amp;N166)&gt;1,"Duplicate equipment ID",IF(B166="","Missing type",IF(COUNTIFS('Rules'!$G$7:$G$26,"="&amp;(SUBSTITUTE(SUBSTITUTE(SUBSTITUTE(SUBSTITUTE("type:"&amp;B166,"%","%25"),"~","%7E"),"*","%2A"),"?","%3F")))=0,"Unknown type",IF(COUNTIFS('Rules'!$G$7:$G$26,"="&amp;(SUBSTITUTE(SUBSTITUTE(SUBSTITUTE(SUBSTITUTE("type:"&amp;B166,"%","%25"),"~","%7E"),"*","%2A"),"?","%3F")))&gt;1,"Duplicate type",IF(INDEX('Rules'!$F$7:$F$26,MATCH(SUBSTITUTE(SUBSTITUTE(SUBSTITUTE(SUBSTITUTE("type:"&amp;B166,"%","%25"),"~","%7E"),"*","%2A"),"?","%3F"),'Rules'!$G$7:$G$26,0))&lt;&gt;"",INDEX('Rules'!$F$7:$F$26,MATCH(SUBSTITUTE(SUBSTITUTE(SUBSTITUTE(SUBSTITUTE("type:"&amp;B166,"%","%25"),"~","%7E"),"*","%2A"),"?","%3F"),'Rules'!$G$7:$G$26,0)),IF(AND(C166&lt;&gt;"",C166&lt;&gt;INDEX('Rules'!$B$7:$B$26,MATCH(SUBSTITUTE(SUBSTITUTE(SUBSTITUTE(SUBSTITUTE("type:"&amp;B166,"%","%25"),"~","%7E"),"*","%2A"),"?","%3F"),'Rules'!$G$7:$G$26,0))),"Unit mismatch",IF(IF(NOT(ISNUMBER(D166)),TRUE,OR(D166&lt;0,D166&gt;999999999,ROUND(D166,3)&lt;&gt;D166)),"Invalid current reading",IF(AND(E166&lt;&gt;"",IF(NOT(ISNUMBER(E166)),TRUE,OR(E166&lt;0,E166&gt;999999999,ROUND(E166,3)&lt;&gt;E166))),"Invalid previous reading",IF(IF(NOT(ISNUMBER(F166)),TRUE,OR(F166&lt;0,F166&gt;999999999,ROUND(F166,3)&lt;&gt;F166)),"Invalid last service",IF(AND(E166&lt;&gt;"",D166&lt;E166),"Decreased reading",IF(F166&gt;D166,"Last service above current","")))))))))))))</x:f>
      </x:c>
      <x:c r="L166" s="6" t="str">
        <x:f>IF(AND(NOT(COUNTA(A166:F166)=0),K166=""),INDEX('Rules'!$C$7:$C$26,MATCH(SUBSTITUTE(SUBSTITUTE(SUBSTITUTE(SUBSTITUTE("type:"&amp;B166,"%","%25"),"~","%7E"),"*","%2A"),"?","%3F"),'Rules'!$G$7:$G$26,0)),"")</x:f>
      </x:c>
      <x:c r="M166" s="6" t="str">
        <x:f>IF(AND(NOT(COUNTA(A166:F166)=0),K166=""),INDEX('Rules'!$D$7:$D$26,MATCH(SUBSTITUTE(SUBSTITUTE(SUBSTITUTE(SUBSTITUTE("type:"&amp;B166,"%","%25"),"~","%7E"),"*","%2A"),"?","%3F"),'Rules'!$G$7:$G$26,0)),"")</x:f>
      </x:c>
      <x:c r="N166" s="5" t="str">
        <x:f>IF(COUNTA(A166:F166)=0,"",SUBSTITUTE(SUBSTITUTE(SUBSTITUTE(SUBSTITUTE("id:"&amp;A166,"%","%25"),"~","%7E"),"*","%2A"),"?","%3F"))</x:f>
      </x:c>
    </x:row>
    <x:row r="167" ht="22" customHeight="1">
      <x:c r="A167" s="3"/>
      <x:c r="B167" s="3"/>
      <x:c r="C167" s="3"/>
      <x:c r="D167" s="4"/>
      <x:c r="E167" s="4"/>
      <x:c r="F167" s="4"/>
      <x:c r="G167" s="5" t="str">
        <x:f>IF(COUNTA(A167:F167)=0,"",IF(K167&lt;&gt;"","Review",IF(I167&lt;0,"Overdue",IF(I167=0,"Due now",IF(I167&lt;=M167,"Due soon","Not due")))))</x:f>
      </x:c>
      <x:c r="H167" s="5" t="str">
        <x:f>IF(OR(COUNTA(A167:F167)=0,COUNTIFS('Rules'!$G$7:$G$26,"="&amp;(SUBSTITUTE(SUBSTITUTE(SUBSTITUTE(SUBSTITUTE("type:"&amp;B167,"%","%25"),"~","%7E"),"*","%2A"),"?","%3F")))&lt;&gt;1),"",IF(OR(INDEX('Rules'!$B$7:$B$26,MATCH(SUBSTITUTE(SUBSTITUTE(SUBSTITUTE(SUBSTITUTE("type:"&amp;B167,"%","%25"),"~","%7E"),"*","%2A"),"?","%3F"),'Rules'!$G$7:$G$26,0))="hours",INDEX('Rules'!$B$7:$B$26,MATCH(SUBSTITUTE(SUBSTITUTE(SUBSTITUTE(SUBSTITUTE("type:"&amp;B167,"%","%25"),"~","%7E"),"*","%2A"),"?","%3F"),'Rules'!$G$7:$G$26,0))="km"),INDEX('Rules'!$B$7:$B$26,MATCH(SUBSTITUTE(SUBSTITUTE(SUBSTITUTE(SUBSTITUTE("type:"&amp;B167,"%","%25"),"~","%7E"),"*","%2A"),"?","%3F"),'Rules'!$G$7:$G$26,0)),""))</x:f>
      </x:c>
      <x:c r="I167" s="6" t="str">
        <x:f>IF(AND(NOT(COUNTA(A167:F167)=0),K167=""),ROUND(J167-D167,3),"")</x:f>
      </x:c>
      <x:c r="J167" s="6" t="str">
        <x:f>IF(AND(NOT(COUNTA(A167:F167)=0),K167=""),ROUND(F167+L167,3),"")</x:f>
      </x:c>
      <x:c r="K167" s="5" t="str">
        <x:f>IF(COUNTA(A167:F167)=0,"",IF(A167="","Missing equipment ID",IF(COUNTIFS($N$8:$N$2007,"="&amp;N167)&gt;1,"Duplicate equipment ID",IF(B167="","Missing type",IF(COUNTIFS('Rules'!$G$7:$G$26,"="&amp;(SUBSTITUTE(SUBSTITUTE(SUBSTITUTE(SUBSTITUTE("type:"&amp;B167,"%","%25"),"~","%7E"),"*","%2A"),"?","%3F")))=0,"Unknown type",IF(COUNTIFS('Rules'!$G$7:$G$26,"="&amp;(SUBSTITUTE(SUBSTITUTE(SUBSTITUTE(SUBSTITUTE("type:"&amp;B167,"%","%25"),"~","%7E"),"*","%2A"),"?","%3F")))&gt;1,"Duplicate type",IF(INDEX('Rules'!$F$7:$F$26,MATCH(SUBSTITUTE(SUBSTITUTE(SUBSTITUTE(SUBSTITUTE("type:"&amp;B167,"%","%25"),"~","%7E"),"*","%2A"),"?","%3F"),'Rules'!$G$7:$G$26,0))&lt;&gt;"",INDEX('Rules'!$F$7:$F$26,MATCH(SUBSTITUTE(SUBSTITUTE(SUBSTITUTE(SUBSTITUTE("type:"&amp;B167,"%","%25"),"~","%7E"),"*","%2A"),"?","%3F"),'Rules'!$G$7:$G$26,0)),IF(AND(C167&lt;&gt;"",C167&lt;&gt;INDEX('Rules'!$B$7:$B$26,MATCH(SUBSTITUTE(SUBSTITUTE(SUBSTITUTE(SUBSTITUTE("type:"&amp;B167,"%","%25"),"~","%7E"),"*","%2A"),"?","%3F"),'Rules'!$G$7:$G$26,0))),"Unit mismatch",IF(IF(NOT(ISNUMBER(D167)),TRUE,OR(D167&lt;0,D167&gt;999999999,ROUND(D167,3)&lt;&gt;D167)),"Invalid current reading",IF(AND(E167&lt;&gt;"",IF(NOT(ISNUMBER(E167)),TRUE,OR(E167&lt;0,E167&gt;999999999,ROUND(E167,3)&lt;&gt;E167))),"Invalid previous reading",IF(IF(NOT(ISNUMBER(F167)),TRUE,OR(F167&lt;0,F167&gt;999999999,ROUND(F167,3)&lt;&gt;F167)),"Invalid last service",IF(AND(E167&lt;&gt;"",D167&lt;E167),"Decreased reading",IF(F167&gt;D167,"Last service above current","")))))))))))))</x:f>
      </x:c>
      <x:c r="L167" s="6" t="str">
        <x:f>IF(AND(NOT(COUNTA(A167:F167)=0),K167=""),INDEX('Rules'!$C$7:$C$26,MATCH(SUBSTITUTE(SUBSTITUTE(SUBSTITUTE(SUBSTITUTE("type:"&amp;B167,"%","%25"),"~","%7E"),"*","%2A"),"?","%3F"),'Rules'!$G$7:$G$26,0)),"")</x:f>
      </x:c>
      <x:c r="M167" s="6" t="str">
        <x:f>IF(AND(NOT(COUNTA(A167:F167)=0),K167=""),INDEX('Rules'!$D$7:$D$26,MATCH(SUBSTITUTE(SUBSTITUTE(SUBSTITUTE(SUBSTITUTE("type:"&amp;B167,"%","%25"),"~","%7E"),"*","%2A"),"?","%3F"),'Rules'!$G$7:$G$26,0)),"")</x:f>
      </x:c>
      <x:c r="N167" s="5" t="str">
        <x:f>IF(COUNTA(A167:F167)=0,"",SUBSTITUTE(SUBSTITUTE(SUBSTITUTE(SUBSTITUTE("id:"&amp;A167,"%","%25"),"~","%7E"),"*","%2A"),"?","%3F"))</x:f>
      </x:c>
    </x:row>
    <x:row r="168" ht="22" customHeight="1">
      <x:c r="A168" s="3"/>
      <x:c r="B168" s="3"/>
      <x:c r="C168" s="3"/>
      <x:c r="D168" s="4"/>
      <x:c r="E168" s="4"/>
      <x:c r="F168" s="4"/>
      <x:c r="G168" s="5" t="str">
        <x:f>IF(COUNTA(A168:F168)=0,"",IF(K168&lt;&gt;"","Review",IF(I168&lt;0,"Overdue",IF(I168=0,"Due now",IF(I168&lt;=M168,"Due soon","Not due")))))</x:f>
      </x:c>
      <x:c r="H168" s="5" t="str">
        <x:f>IF(OR(COUNTA(A168:F168)=0,COUNTIFS('Rules'!$G$7:$G$26,"="&amp;(SUBSTITUTE(SUBSTITUTE(SUBSTITUTE(SUBSTITUTE("type:"&amp;B168,"%","%25"),"~","%7E"),"*","%2A"),"?","%3F")))&lt;&gt;1),"",IF(OR(INDEX('Rules'!$B$7:$B$26,MATCH(SUBSTITUTE(SUBSTITUTE(SUBSTITUTE(SUBSTITUTE("type:"&amp;B168,"%","%25"),"~","%7E"),"*","%2A"),"?","%3F"),'Rules'!$G$7:$G$26,0))="hours",INDEX('Rules'!$B$7:$B$26,MATCH(SUBSTITUTE(SUBSTITUTE(SUBSTITUTE(SUBSTITUTE("type:"&amp;B168,"%","%25"),"~","%7E"),"*","%2A"),"?","%3F"),'Rules'!$G$7:$G$26,0))="km"),INDEX('Rules'!$B$7:$B$26,MATCH(SUBSTITUTE(SUBSTITUTE(SUBSTITUTE(SUBSTITUTE("type:"&amp;B168,"%","%25"),"~","%7E"),"*","%2A"),"?","%3F"),'Rules'!$G$7:$G$26,0)),""))</x:f>
      </x:c>
      <x:c r="I168" s="6" t="str">
        <x:f>IF(AND(NOT(COUNTA(A168:F168)=0),K168=""),ROUND(J168-D168,3),"")</x:f>
      </x:c>
      <x:c r="J168" s="6" t="str">
        <x:f>IF(AND(NOT(COUNTA(A168:F168)=0),K168=""),ROUND(F168+L168,3),"")</x:f>
      </x:c>
      <x:c r="K168" s="5" t="str">
        <x:f>IF(COUNTA(A168:F168)=0,"",IF(A168="","Missing equipment ID",IF(COUNTIFS($N$8:$N$2007,"="&amp;N168)&gt;1,"Duplicate equipment ID",IF(B168="","Missing type",IF(COUNTIFS('Rules'!$G$7:$G$26,"="&amp;(SUBSTITUTE(SUBSTITUTE(SUBSTITUTE(SUBSTITUTE("type:"&amp;B168,"%","%25"),"~","%7E"),"*","%2A"),"?","%3F")))=0,"Unknown type",IF(COUNTIFS('Rules'!$G$7:$G$26,"="&amp;(SUBSTITUTE(SUBSTITUTE(SUBSTITUTE(SUBSTITUTE("type:"&amp;B168,"%","%25"),"~","%7E"),"*","%2A"),"?","%3F")))&gt;1,"Duplicate type",IF(INDEX('Rules'!$F$7:$F$26,MATCH(SUBSTITUTE(SUBSTITUTE(SUBSTITUTE(SUBSTITUTE("type:"&amp;B168,"%","%25"),"~","%7E"),"*","%2A"),"?","%3F"),'Rules'!$G$7:$G$26,0))&lt;&gt;"",INDEX('Rules'!$F$7:$F$26,MATCH(SUBSTITUTE(SUBSTITUTE(SUBSTITUTE(SUBSTITUTE("type:"&amp;B168,"%","%25"),"~","%7E"),"*","%2A"),"?","%3F"),'Rules'!$G$7:$G$26,0)),IF(AND(C168&lt;&gt;"",C168&lt;&gt;INDEX('Rules'!$B$7:$B$26,MATCH(SUBSTITUTE(SUBSTITUTE(SUBSTITUTE(SUBSTITUTE("type:"&amp;B168,"%","%25"),"~","%7E"),"*","%2A"),"?","%3F"),'Rules'!$G$7:$G$26,0))),"Unit mismatch",IF(IF(NOT(ISNUMBER(D168)),TRUE,OR(D168&lt;0,D168&gt;999999999,ROUND(D168,3)&lt;&gt;D168)),"Invalid current reading",IF(AND(E168&lt;&gt;"",IF(NOT(ISNUMBER(E168)),TRUE,OR(E168&lt;0,E168&gt;999999999,ROUND(E168,3)&lt;&gt;E168))),"Invalid previous reading",IF(IF(NOT(ISNUMBER(F168)),TRUE,OR(F168&lt;0,F168&gt;999999999,ROUND(F168,3)&lt;&gt;F168)),"Invalid last service",IF(AND(E168&lt;&gt;"",D168&lt;E168),"Decreased reading",IF(F168&gt;D168,"Last service above current","")))))))))))))</x:f>
      </x:c>
      <x:c r="L168" s="6" t="str">
        <x:f>IF(AND(NOT(COUNTA(A168:F168)=0),K168=""),INDEX('Rules'!$C$7:$C$26,MATCH(SUBSTITUTE(SUBSTITUTE(SUBSTITUTE(SUBSTITUTE("type:"&amp;B168,"%","%25"),"~","%7E"),"*","%2A"),"?","%3F"),'Rules'!$G$7:$G$26,0)),"")</x:f>
      </x:c>
      <x:c r="M168" s="6" t="str">
        <x:f>IF(AND(NOT(COUNTA(A168:F168)=0),K168=""),INDEX('Rules'!$D$7:$D$26,MATCH(SUBSTITUTE(SUBSTITUTE(SUBSTITUTE(SUBSTITUTE("type:"&amp;B168,"%","%25"),"~","%7E"),"*","%2A"),"?","%3F"),'Rules'!$G$7:$G$26,0)),"")</x:f>
      </x:c>
      <x:c r="N168" s="5" t="str">
        <x:f>IF(COUNTA(A168:F168)=0,"",SUBSTITUTE(SUBSTITUTE(SUBSTITUTE(SUBSTITUTE("id:"&amp;A168,"%","%25"),"~","%7E"),"*","%2A"),"?","%3F"))</x:f>
      </x:c>
    </x:row>
    <x:row r="169" ht="22" customHeight="1">
      <x:c r="A169" s="3"/>
      <x:c r="B169" s="3"/>
      <x:c r="C169" s="3"/>
      <x:c r="D169" s="4"/>
      <x:c r="E169" s="4"/>
      <x:c r="F169" s="4"/>
      <x:c r="G169" s="5" t="str">
        <x:f>IF(COUNTA(A169:F169)=0,"",IF(K169&lt;&gt;"","Review",IF(I169&lt;0,"Overdue",IF(I169=0,"Due now",IF(I169&lt;=M169,"Due soon","Not due")))))</x:f>
      </x:c>
      <x:c r="H169" s="5" t="str">
        <x:f>IF(OR(COUNTA(A169:F169)=0,COUNTIFS('Rules'!$G$7:$G$26,"="&amp;(SUBSTITUTE(SUBSTITUTE(SUBSTITUTE(SUBSTITUTE("type:"&amp;B169,"%","%25"),"~","%7E"),"*","%2A"),"?","%3F")))&lt;&gt;1),"",IF(OR(INDEX('Rules'!$B$7:$B$26,MATCH(SUBSTITUTE(SUBSTITUTE(SUBSTITUTE(SUBSTITUTE("type:"&amp;B169,"%","%25"),"~","%7E"),"*","%2A"),"?","%3F"),'Rules'!$G$7:$G$26,0))="hours",INDEX('Rules'!$B$7:$B$26,MATCH(SUBSTITUTE(SUBSTITUTE(SUBSTITUTE(SUBSTITUTE("type:"&amp;B169,"%","%25"),"~","%7E"),"*","%2A"),"?","%3F"),'Rules'!$G$7:$G$26,0))="km"),INDEX('Rules'!$B$7:$B$26,MATCH(SUBSTITUTE(SUBSTITUTE(SUBSTITUTE(SUBSTITUTE("type:"&amp;B169,"%","%25"),"~","%7E"),"*","%2A"),"?","%3F"),'Rules'!$G$7:$G$26,0)),""))</x:f>
      </x:c>
      <x:c r="I169" s="6" t="str">
        <x:f>IF(AND(NOT(COUNTA(A169:F169)=0),K169=""),ROUND(J169-D169,3),"")</x:f>
      </x:c>
      <x:c r="J169" s="6" t="str">
        <x:f>IF(AND(NOT(COUNTA(A169:F169)=0),K169=""),ROUND(F169+L169,3),"")</x:f>
      </x:c>
      <x:c r="K169" s="5" t="str">
        <x:f>IF(COUNTA(A169:F169)=0,"",IF(A169="","Missing equipment ID",IF(COUNTIFS($N$8:$N$2007,"="&amp;N169)&gt;1,"Duplicate equipment ID",IF(B169="","Missing type",IF(COUNTIFS('Rules'!$G$7:$G$26,"="&amp;(SUBSTITUTE(SUBSTITUTE(SUBSTITUTE(SUBSTITUTE("type:"&amp;B169,"%","%25"),"~","%7E"),"*","%2A"),"?","%3F")))=0,"Unknown type",IF(COUNTIFS('Rules'!$G$7:$G$26,"="&amp;(SUBSTITUTE(SUBSTITUTE(SUBSTITUTE(SUBSTITUTE("type:"&amp;B169,"%","%25"),"~","%7E"),"*","%2A"),"?","%3F")))&gt;1,"Duplicate type",IF(INDEX('Rules'!$F$7:$F$26,MATCH(SUBSTITUTE(SUBSTITUTE(SUBSTITUTE(SUBSTITUTE("type:"&amp;B169,"%","%25"),"~","%7E"),"*","%2A"),"?","%3F"),'Rules'!$G$7:$G$26,0))&lt;&gt;"",INDEX('Rules'!$F$7:$F$26,MATCH(SUBSTITUTE(SUBSTITUTE(SUBSTITUTE(SUBSTITUTE("type:"&amp;B169,"%","%25"),"~","%7E"),"*","%2A"),"?","%3F"),'Rules'!$G$7:$G$26,0)),IF(AND(C169&lt;&gt;"",C169&lt;&gt;INDEX('Rules'!$B$7:$B$26,MATCH(SUBSTITUTE(SUBSTITUTE(SUBSTITUTE(SUBSTITUTE("type:"&amp;B169,"%","%25"),"~","%7E"),"*","%2A"),"?","%3F"),'Rules'!$G$7:$G$26,0))),"Unit mismatch",IF(IF(NOT(ISNUMBER(D169)),TRUE,OR(D169&lt;0,D169&gt;999999999,ROUND(D169,3)&lt;&gt;D169)),"Invalid current reading",IF(AND(E169&lt;&gt;"",IF(NOT(ISNUMBER(E169)),TRUE,OR(E169&lt;0,E169&gt;999999999,ROUND(E169,3)&lt;&gt;E169))),"Invalid previous reading",IF(IF(NOT(ISNUMBER(F169)),TRUE,OR(F169&lt;0,F169&gt;999999999,ROUND(F169,3)&lt;&gt;F169)),"Invalid last service",IF(AND(E169&lt;&gt;"",D169&lt;E169),"Decreased reading",IF(F169&gt;D169,"Last service above current","")))))))))))))</x:f>
      </x:c>
      <x:c r="L169" s="6" t="str">
        <x:f>IF(AND(NOT(COUNTA(A169:F169)=0),K169=""),INDEX('Rules'!$C$7:$C$26,MATCH(SUBSTITUTE(SUBSTITUTE(SUBSTITUTE(SUBSTITUTE("type:"&amp;B169,"%","%25"),"~","%7E"),"*","%2A"),"?","%3F"),'Rules'!$G$7:$G$26,0)),"")</x:f>
      </x:c>
      <x:c r="M169" s="6" t="str">
        <x:f>IF(AND(NOT(COUNTA(A169:F169)=0),K169=""),INDEX('Rules'!$D$7:$D$26,MATCH(SUBSTITUTE(SUBSTITUTE(SUBSTITUTE(SUBSTITUTE("type:"&amp;B169,"%","%25"),"~","%7E"),"*","%2A"),"?","%3F"),'Rules'!$G$7:$G$26,0)),"")</x:f>
      </x:c>
      <x:c r="N169" s="5" t="str">
        <x:f>IF(COUNTA(A169:F169)=0,"",SUBSTITUTE(SUBSTITUTE(SUBSTITUTE(SUBSTITUTE("id:"&amp;A169,"%","%25"),"~","%7E"),"*","%2A"),"?","%3F"))</x:f>
      </x:c>
    </x:row>
    <x:row r="170" ht="22" customHeight="1">
      <x:c r="A170" s="3"/>
      <x:c r="B170" s="3"/>
      <x:c r="C170" s="3"/>
      <x:c r="D170" s="4"/>
      <x:c r="E170" s="4"/>
      <x:c r="F170" s="4"/>
      <x:c r="G170" s="5" t="str">
        <x:f>IF(COUNTA(A170:F170)=0,"",IF(K170&lt;&gt;"","Review",IF(I170&lt;0,"Overdue",IF(I170=0,"Due now",IF(I170&lt;=M170,"Due soon","Not due")))))</x:f>
      </x:c>
      <x:c r="H170" s="5" t="str">
        <x:f>IF(OR(COUNTA(A170:F170)=0,COUNTIFS('Rules'!$G$7:$G$26,"="&amp;(SUBSTITUTE(SUBSTITUTE(SUBSTITUTE(SUBSTITUTE("type:"&amp;B170,"%","%25"),"~","%7E"),"*","%2A"),"?","%3F")))&lt;&gt;1),"",IF(OR(INDEX('Rules'!$B$7:$B$26,MATCH(SUBSTITUTE(SUBSTITUTE(SUBSTITUTE(SUBSTITUTE("type:"&amp;B170,"%","%25"),"~","%7E"),"*","%2A"),"?","%3F"),'Rules'!$G$7:$G$26,0))="hours",INDEX('Rules'!$B$7:$B$26,MATCH(SUBSTITUTE(SUBSTITUTE(SUBSTITUTE(SUBSTITUTE("type:"&amp;B170,"%","%25"),"~","%7E"),"*","%2A"),"?","%3F"),'Rules'!$G$7:$G$26,0))="km"),INDEX('Rules'!$B$7:$B$26,MATCH(SUBSTITUTE(SUBSTITUTE(SUBSTITUTE(SUBSTITUTE("type:"&amp;B170,"%","%25"),"~","%7E"),"*","%2A"),"?","%3F"),'Rules'!$G$7:$G$26,0)),""))</x:f>
      </x:c>
      <x:c r="I170" s="6" t="str">
        <x:f>IF(AND(NOT(COUNTA(A170:F170)=0),K170=""),ROUND(J170-D170,3),"")</x:f>
      </x:c>
      <x:c r="J170" s="6" t="str">
        <x:f>IF(AND(NOT(COUNTA(A170:F170)=0),K170=""),ROUND(F170+L170,3),"")</x:f>
      </x:c>
      <x:c r="K170" s="5" t="str">
        <x:f>IF(COUNTA(A170:F170)=0,"",IF(A170="","Missing equipment ID",IF(COUNTIFS($N$8:$N$2007,"="&amp;N170)&gt;1,"Duplicate equipment ID",IF(B170="","Missing type",IF(COUNTIFS('Rules'!$G$7:$G$26,"="&amp;(SUBSTITUTE(SUBSTITUTE(SUBSTITUTE(SUBSTITUTE("type:"&amp;B170,"%","%25"),"~","%7E"),"*","%2A"),"?","%3F")))=0,"Unknown type",IF(COUNTIFS('Rules'!$G$7:$G$26,"="&amp;(SUBSTITUTE(SUBSTITUTE(SUBSTITUTE(SUBSTITUTE("type:"&amp;B170,"%","%25"),"~","%7E"),"*","%2A"),"?","%3F")))&gt;1,"Duplicate type",IF(INDEX('Rules'!$F$7:$F$26,MATCH(SUBSTITUTE(SUBSTITUTE(SUBSTITUTE(SUBSTITUTE("type:"&amp;B170,"%","%25"),"~","%7E"),"*","%2A"),"?","%3F"),'Rules'!$G$7:$G$26,0))&lt;&gt;"",INDEX('Rules'!$F$7:$F$26,MATCH(SUBSTITUTE(SUBSTITUTE(SUBSTITUTE(SUBSTITUTE("type:"&amp;B170,"%","%25"),"~","%7E"),"*","%2A"),"?","%3F"),'Rules'!$G$7:$G$26,0)),IF(AND(C170&lt;&gt;"",C170&lt;&gt;INDEX('Rules'!$B$7:$B$26,MATCH(SUBSTITUTE(SUBSTITUTE(SUBSTITUTE(SUBSTITUTE("type:"&amp;B170,"%","%25"),"~","%7E"),"*","%2A"),"?","%3F"),'Rules'!$G$7:$G$26,0))),"Unit mismatch",IF(IF(NOT(ISNUMBER(D170)),TRUE,OR(D170&lt;0,D170&gt;999999999,ROUND(D170,3)&lt;&gt;D170)),"Invalid current reading",IF(AND(E170&lt;&gt;"",IF(NOT(ISNUMBER(E170)),TRUE,OR(E170&lt;0,E170&gt;999999999,ROUND(E170,3)&lt;&gt;E170))),"Invalid previous reading",IF(IF(NOT(ISNUMBER(F170)),TRUE,OR(F170&lt;0,F170&gt;999999999,ROUND(F170,3)&lt;&gt;F170)),"Invalid last service",IF(AND(E170&lt;&gt;"",D170&lt;E170),"Decreased reading",IF(F170&gt;D170,"Last service above current","")))))))))))))</x:f>
      </x:c>
      <x:c r="L170" s="6" t="str">
        <x:f>IF(AND(NOT(COUNTA(A170:F170)=0),K170=""),INDEX('Rules'!$C$7:$C$26,MATCH(SUBSTITUTE(SUBSTITUTE(SUBSTITUTE(SUBSTITUTE("type:"&amp;B170,"%","%25"),"~","%7E"),"*","%2A"),"?","%3F"),'Rules'!$G$7:$G$26,0)),"")</x:f>
      </x:c>
      <x:c r="M170" s="6" t="str">
        <x:f>IF(AND(NOT(COUNTA(A170:F170)=0),K170=""),INDEX('Rules'!$D$7:$D$26,MATCH(SUBSTITUTE(SUBSTITUTE(SUBSTITUTE(SUBSTITUTE("type:"&amp;B170,"%","%25"),"~","%7E"),"*","%2A"),"?","%3F"),'Rules'!$G$7:$G$26,0)),"")</x:f>
      </x:c>
      <x:c r="N170" s="5" t="str">
        <x:f>IF(COUNTA(A170:F170)=0,"",SUBSTITUTE(SUBSTITUTE(SUBSTITUTE(SUBSTITUTE("id:"&amp;A170,"%","%25"),"~","%7E"),"*","%2A"),"?","%3F"))</x:f>
      </x:c>
    </x:row>
    <x:row r="171" ht="22" customHeight="1">
      <x:c r="A171" s="3"/>
      <x:c r="B171" s="3"/>
      <x:c r="C171" s="3"/>
      <x:c r="D171" s="4"/>
      <x:c r="E171" s="4"/>
      <x:c r="F171" s="4"/>
      <x:c r="G171" s="5" t="str">
        <x:f>IF(COUNTA(A171:F171)=0,"",IF(K171&lt;&gt;"","Review",IF(I171&lt;0,"Overdue",IF(I171=0,"Due now",IF(I171&lt;=M171,"Due soon","Not due")))))</x:f>
      </x:c>
      <x:c r="H171" s="5" t="str">
        <x:f>IF(OR(COUNTA(A171:F171)=0,COUNTIFS('Rules'!$G$7:$G$26,"="&amp;(SUBSTITUTE(SUBSTITUTE(SUBSTITUTE(SUBSTITUTE("type:"&amp;B171,"%","%25"),"~","%7E"),"*","%2A"),"?","%3F")))&lt;&gt;1),"",IF(OR(INDEX('Rules'!$B$7:$B$26,MATCH(SUBSTITUTE(SUBSTITUTE(SUBSTITUTE(SUBSTITUTE("type:"&amp;B171,"%","%25"),"~","%7E"),"*","%2A"),"?","%3F"),'Rules'!$G$7:$G$26,0))="hours",INDEX('Rules'!$B$7:$B$26,MATCH(SUBSTITUTE(SUBSTITUTE(SUBSTITUTE(SUBSTITUTE("type:"&amp;B171,"%","%25"),"~","%7E"),"*","%2A"),"?","%3F"),'Rules'!$G$7:$G$26,0))="km"),INDEX('Rules'!$B$7:$B$26,MATCH(SUBSTITUTE(SUBSTITUTE(SUBSTITUTE(SUBSTITUTE("type:"&amp;B171,"%","%25"),"~","%7E"),"*","%2A"),"?","%3F"),'Rules'!$G$7:$G$26,0)),""))</x:f>
      </x:c>
      <x:c r="I171" s="6" t="str">
        <x:f>IF(AND(NOT(COUNTA(A171:F171)=0),K171=""),ROUND(J171-D171,3),"")</x:f>
      </x:c>
      <x:c r="J171" s="6" t="str">
        <x:f>IF(AND(NOT(COUNTA(A171:F171)=0),K171=""),ROUND(F171+L171,3),"")</x:f>
      </x:c>
      <x:c r="K171" s="5" t="str">
        <x:f>IF(COUNTA(A171:F171)=0,"",IF(A171="","Missing equipment ID",IF(COUNTIFS($N$8:$N$2007,"="&amp;N171)&gt;1,"Duplicate equipment ID",IF(B171="","Missing type",IF(COUNTIFS('Rules'!$G$7:$G$26,"="&amp;(SUBSTITUTE(SUBSTITUTE(SUBSTITUTE(SUBSTITUTE("type:"&amp;B171,"%","%25"),"~","%7E"),"*","%2A"),"?","%3F")))=0,"Unknown type",IF(COUNTIFS('Rules'!$G$7:$G$26,"="&amp;(SUBSTITUTE(SUBSTITUTE(SUBSTITUTE(SUBSTITUTE("type:"&amp;B171,"%","%25"),"~","%7E"),"*","%2A"),"?","%3F")))&gt;1,"Duplicate type",IF(INDEX('Rules'!$F$7:$F$26,MATCH(SUBSTITUTE(SUBSTITUTE(SUBSTITUTE(SUBSTITUTE("type:"&amp;B171,"%","%25"),"~","%7E"),"*","%2A"),"?","%3F"),'Rules'!$G$7:$G$26,0))&lt;&gt;"",INDEX('Rules'!$F$7:$F$26,MATCH(SUBSTITUTE(SUBSTITUTE(SUBSTITUTE(SUBSTITUTE("type:"&amp;B171,"%","%25"),"~","%7E"),"*","%2A"),"?","%3F"),'Rules'!$G$7:$G$26,0)),IF(AND(C171&lt;&gt;"",C171&lt;&gt;INDEX('Rules'!$B$7:$B$26,MATCH(SUBSTITUTE(SUBSTITUTE(SUBSTITUTE(SUBSTITUTE("type:"&amp;B171,"%","%25"),"~","%7E"),"*","%2A"),"?","%3F"),'Rules'!$G$7:$G$26,0))),"Unit mismatch",IF(IF(NOT(ISNUMBER(D171)),TRUE,OR(D171&lt;0,D171&gt;999999999,ROUND(D171,3)&lt;&gt;D171)),"Invalid current reading",IF(AND(E171&lt;&gt;"",IF(NOT(ISNUMBER(E171)),TRUE,OR(E171&lt;0,E171&gt;999999999,ROUND(E171,3)&lt;&gt;E171))),"Invalid previous reading",IF(IF(NOT(ISNUMBER(F171)),TRUE,OR(F171&lt;0,F171&gt;999999999,ROUND(F171,3)&lt;&gt;F171)),"Invalid last service",IF(AND(E171&lt;&gt;"",D171&lt;E171),"Decreased reading",IF(F171&gt;D171,"Last service above current","")))))))))))))</x:f>
      </x:c>
      <x:c r="L171" s="6" t="str">
        <x:f>IF(AND(NOT(COUNTA(A171:F171)=0),K171=""),INDEX('Rules'!$C$7:$C$26,MATCH(SUBSTITUTE(SUBSTITUTE(SUBSTITUTE(SUBSTITUTE("type:"&amp;B171,"%","%25"),"~","%7E"),"*","%2A"),"?","%3F"),'Rules'!$G$7:$G$26,0)),"")</x:f>
      </x:c>
      <x:c r="M171" s="6" t="str">
        <x:f>IF(AND(NOT(COUNTA(A171:F171)=0),K171=""),INDEX('Rules'!$D$7:$D$26,MATCH(SUBSTITUTE(SUBSTITUTE(SUBSTITUTE(SUBSTITUTE("type:"&amp;B171,"%","%25"),"~","%7E"),"*","%2A"),"?","%3F"),'Rules'!$G$7:$G$26,0)),"")</x:f>
      </x:c>
      <x:c r="N171" s="5" t="str">
        <x:f>IF(COUNTA(A171:F171)=0,"",SUBSTITUTE(SUBSTITUTE(SUBSTITUTE(SUBSTITUTE("id:"&amp;A171,"%","%25"),"~","%7E"),"*","%2A"),"?","%3F"))</x:f>
      </x:c>
    </x:row>
    <x:row r="172" ht="22" customHeight="1">
      <x:c r="A172" s="3"/>
      <x:c r="B172" s="3"/>
      <x:c r="C172" s="3"/>
      <x:c r="D172" s="4"/>
      <x:c r="E172" s="4"/>
      <x:c r="F172" s="4"/>
      <x:c r="G172" s="5" t="str">
        <x:f>IF(COUNTA(A172:F172)=0,"",IF(K172&lt;&gt;"","Review",IF(I172&lt;0,"Overdue",IF(I172=0,"Due now",IF(I172&lt;=M172,"Due soon","Not due")))))</x:f>
      </x:c>
      <x:c r="H172" s="5" t="str">
        <x:f>IF(OR(COUNTA(A172:F172)=0,COUNTIFS('Rules'!$G$7:$G$26,"="&amp;(SUBSTITUTE(SUBSTITUTE(SUBSTITUTE(SUBSTITUTE("type:"&amp;B172,"%","%25"),"~","%7E"),"*","%2A"),"?","%3F")))&lt;&gt;1),"",IF(OR(INDEX('Rules'!$B$7:$B$26,MATCH(SUBSTITUTE(SUBSTITUTE(SUBSTITUTE(SUBSTITUTE("type:"&amp;B172,"%","%25"),"~","%7E"),"*","%2A"),"?","%3F"),'Rules'!$G$7:$G$26,0))="hours",INDEX('Rules'!$B$7:$B$26,MATCH(SUBSTITUTE(SUBSTITUTE(SUBSTITUTE(SUBSTITUTE("type:"&amp;B172,"%","%25"),"~","%7E"),"*","%2A"),"?","%3F"),'Rules'!$G$7:$G$26,0))="km"),INDEX('Rules'!$B$7:$B$26,MATCH(SUBSTITUTE(SUBSTITUTE(SUBSTITUTE(SUBSTITUTE("type:"&amp;B172,"%","%25"),"~","%7E"),"*","%2A"),"?","%3F"),'Rules'!$G$7:$G$26,0)),""))</x:f>
      </x:c>
      <x:c r="I172" s="6" t="str">
        <x:f>IF(AND(NOT(COUNTA(A172:F172)=0),K172=""),ROUND(J172-D172,3),"")</x:f>
      </x:c>
      <x:c r="J172" s="6" t="str">
        <x:f>IF(AND(NOT(COUNTA(A172:F172)=0),K172=""),ROUND(F172+L172,3),"")</x:f>
      </x:c>
      <x:c r="K172" s="5" t="str">
        <x:f>IF(COUNTA(A172:F172)=0,"",IF(A172="","Missing equipment ID",IF(COUNTIFS($N$8:$N$2007,"="&amp;N172)&gt;1,"Duplicate equipment ID",IF(B172="","Missing type",IF(COUNTIFS('Rules'!$G$7:$G$26,"="&amp;(SUBSTITUTE(SUBSTITUTE(SUBSTITUTE(SUBSTITUTE("type:"&amp;B172,"%","%25"),"~","%7E"),"*","%2A"),"?","%3F")))=0,"Unknown type",IF(COUNTIFS('Rules'!$G$7:$G$26,"="&amp;(SUBSTITUTE(SUBSTITUTE(SUBSTITUTE(SUBSTITUTE("type:"&amp;B172,"%","%25"),"~","%7E"),"*","%2A"),"?","%3F")))&gt;1,"Duplicate type",IF(INDEX('Rules'!$F$7:$F$26,MATCH(SUBSTITUTE(SUBSTITUTE(SUBSTITUTE(SUBSTITUTE("type:"&amp;B172,"%","%25"),"~","%7E"),"*","%2A"),"?","%3F"),'Rules'!$G$7:$G$26,0))&lt;&gt;"",INDEX('Rules'!$F$7:$F$26,MATCH(SUBSTITUTE(SUBSTITUTE(SUBSTITUTE(SUBSTITUTE("type:"&amp;B172,"%","%25"),"~","%7E"),"*","%2A"),"?","%3F"),'Rules'!$G$7:$G$26,0)),IF(AND(C172&lt;&gt;"",C172&lt;&gt;INDEX('Rules'!$B$7:$B$26,MATCH(SUBSTITUTE(SUBSTITUTE(SUBSTITUTE(SUBSTITUTE("type:"&amp;B172,"%","%25"),"~","%7E"),"*","%2A"),"?","%3F"),'Rules'!$G$7:$G$26,0))),"Unit mismatch",IF(IF(NOT(ISNUMBER(D172)),TRUE,OR(D172&lt;0,D172&gt;999999999,ROUND(D172,3)&lt;&gt;D172)),"Invalid current reading",IF(AND(E172&lt;&gt;"",IF(NOT(ISNUMBER(E172)),TRUE,OR(E172&lt;0,E172&gt;999999999,ROUND(E172,3)&lt;&gt;E172))),"Invalid previous reading",IF(IF(NOT(ISNUMBER(F172)),TRUE,OR(F172&lt;0,F172&gt;999999999,ROUND(F172,3)&lt;&gt;F172)),"Invalid last service",IF(AND(E172&lt;&gt;"",D172&lt;E172),"Decreased reading",IF(F172&gt;D172,"Last service above current","")))))))))))))</x:f>
      </x:c>
      <x:c r="L172" s="6" t="str">
        <x:f>IF(AND(NOT(COUNTA(A172:F172)=0),K172=""),INDEX('Rules'!$C$7:$C$26,MATCH(SUBSTITUTE(SUBSTITUTE(SUBSTITUTE(SUBSTITUTE("type:"&amp;B172,"%","%25"),"~","%7E"),"*","%2A"),"?","%3F"),'Rules'!$G$7:$G$26,0)),"")</x:f>
      </x:c>
      <x:c r="M172" s="6" t="str">
        <x:f>IF(AND(NOT(COUNTA(A172:F172)=0),K172=""),INDEX('Rules'!$D$7:$D$26,MATCH(SUBSTITUTE(SUBSTITUTE(SUBSTITUTE(SUBSTITUTE("type:"&amp;B172,"%","%25"),"~","%7E"),"*","%2A"),"?","%3F"),'Rules'!$G$7:$G$26,0)),"")</x:f>
      </x:c>
      <x:c r="N172" s="5" t="str">
        <x:f>IF(COUNTA(A172:F172)=0,"",SUBSTITUTE(SUBSTITUTE(SUBSTITUTE(SUBSTITUTE("id:"&amp;A172,"%","%25"),"~","%7E"),"*","%2A"),"?","%3F"))</x:f>
      </x:c>
    </x:row>
    <x:row r="173" ht="22" customHeight="1">
      <x:c r="A173" s="3"/>
      <x:c r="B173" s="3"/>
      <x:c r="C173" s="3"/>
      <x:c r="D173" s="4"/>
      <x:c r="E173" s="4"/>
      <x:c r="F173" s="4"/>
      <x:c r="G173" s="5" t="str">
        <x:f>IF(COUNTA(A173:F173)=0,"",IF(K173&lt;&gt;"","Review",IF(I173&lt;0,"Overdue",IF(I173=0,"Due now",IF(I173&lt;=M173,"Due soon","Not due")))))</x:f>
      </x:c>
      <x:c r="H173" s="5" t="str">
        <x:f>IF(OR(COUNTA(A173:F173)=0,COUNTIFS('Rules'!$G$7:$G$26,"="&amp;(SUBSTITUTE(SUBSTITUTE(SUBSTITUTE(SUBSTITUTE("type:"&amp;B173,"%","%25"),"~","%7E"),"*","%2A"),"?","%3F")))&lt;&gt;1),"",IF(OR(INDEX('Rules'!$B$7:$B$26,MATCH(SUBSTITUTE(SUBSTITUTE(SUBSTITUTE(SUBSTITUTE("type:"&amp;B173,"%","%25"),"~","%7E"),"*","%2A"),"?","%3F"),'Rules'!$G$7:$G$26,0))="hours",INDEX('Rules'!$B$7:$B$26,MATCH(SUBSTITUTE(SUBSTITUTE(SUBSTITUTE(SUBSTITUTE("type:"&amp;B173,"%","%25"),"~","%7E"),"*","%2A"),"?","%3F"),'Rules'!$G$7:$G$26,0))="km"),INDEX('Rules'!$B$7:$B$26,MATCH(SUBSTITUTE(SUBSTITUTE(SUBSTITUTE(SUBSTITUTE("type:"&amp;B173,"%","%25"),"~","%7E"),"*","%2A"),"?","%3F"),'Rules'!$G$7:$G$26,0)),""))</x:f>
      </x:c>
      <x:c r="I173" s="6" t="str">
        <x:f>IF(AND(NOT(COUNTA(A173:F173)=0),K173=""),ROUND(J173-D173,3),"")</x:f>
      </x:c>
      <x:c r="J173" s="6" t="str">
        <x:f>IF(AND(NOT(COUNTA(A173:F173)=0),K173=""),ROUND(F173+L173,3),"")</x:f>
      </x:c>
      <x:c r="K173" s="5" t="str">
        <x:f>IF(COUNTA(A173:F173)=0,"",IF(A173="","Missing equipment ID",IF(COUNTIFS($N$8:$N$2007,"="&amp;N173)&gt;1,"Duplicate equipment ID",IF(B173="","Missing type",IF(COUNTIFS('Rules'!$G$7:$G$26,"="&amp;(SUBSTITUTE(SUBSTITUTE(SUBSTITUTE(SUBSTITUTE("type:"&amp;B173,"%","%25"),"~","%7E"),"*","%2A"),"?","%3F")))=0,"Unknown type",IF(COUNTIFS('Rules'!$G$7:$G$26,"="&amp;(SUBSTITUTE(SUBSTITUTE(SUBSTITUTE(SUBSTITUTE("type:"&amp;B173,"%","%25"),"~","%7E"),"*","%2A"),"?","%3F")))&gt;1,"Duplicate type",IF(INDEX('Rules'!$F$7:$F$26,MATCH(SUBSTITUTE(SUBSTITUTE(SUBSTITUTE(SUBSTITUTE("type:"&amp;B173,"%","%25"),"~","%7E"),"*","%2A"),"?","%3F"),'Rules'!$G$7:$G$26,0))&lt;&gt;"",INDEX('Rules'!$F$7:$F$26,MATCH(SUBSTITUTE(SUBSTITUTE(SUBSTITUTE(SUBSTITUTE("type:"&amp;B173,"%","%25"),"~","%7E"),"*","%2A"),"?","%3F"),'Rules'!$G$7:$G$26,0)),IF(AND(C173&lt;&gt;"",C173&lt;&gt;INDEX('Rules'!$B$7:$B$26,MATCH(SUBSTITUTE(SUBSTITUTE(SUBSTITUTE(SUBSTITUTE("type:"&amp;B173,"%","%25"),"~","%7E"),"*","%2A"),"?","%3F"),'Rules'!$G$7:$G$26,0))),"Unit mismatch",IF(IF(NOT(ISNUMBER(D173)),TRUE,OR(D173&lt;0,D173&gt;999999999,ROUND(D173,3)&lt;&gt;D173)),"Invalid current reading",IF(AND(E173&lt;&gt;"",IF(NOT(ISNUMBER(E173)),TRUE,OR(E173&lt;0,E173&gt;999999999,ROUND(E173,3)&lt;&gt;E173))),"Invalid previous reading",IF(IF(NOT(ISNUMBER(F173)),TRUE,OR(F173&lt;0,F173&gt;999999999,ROUND(F173,3)&lt;&gt;F173)),"Invalid last service",IF(AND(E173&lt;&gt;"",D173&lt;E173),"Decreased reading",IF(F173&gt;D173,"Last service above current","")))))))))))))</x:f>
      </x:c>
      <x:c r="L173" s="6" t="str">
        <x:f>IF(AND(NOT(COUNTA(A173:F173)=0),K173=""),INDEX('Rules'!$C$7:$C$26,MATCH(SUBSTITUTE(SUBSTITUTE(SUBSTITUTE(SUBSTITUTE("type:"&amp;B173,"%","%25"),"~","%7E"),"*","%2A"),"?","%3F"),'Rules'!$G$7:$G$26,0)),"")</x:f>
      </x:c>
      <x:c r="M173" s="6" t="str">
        <x:f>IF(AND(NOT(COUNTA(A173:F173)=0),K173=""),INDEX('Rules'!$D$7:$D$26,MATCH(SUBSTITUTE(SUBSTITUTE(SUBSTITUTE(SUBSTITUTE("type:"&amp;B173,"%","%25"),"~","%7E"),"*","%2A"),"?","%3F"),'Rules'!$G$7:$G$26,0)),"")</x:f>
      </x:c>
      <x:c r="N173" s="5" t="str">
        <x:f>IF(COUNTA(A173:F173)=0,"",SUBSTITUTE(SUBSTITUTE(SUBSTITUTE(SUBSTITUTE("id:"&amp;A173,"%","%25"),"~","%7E"),"*","%2A"),"?","%3F"))</x:f>
      </x:c>
    </x:row>
    <x:row r="174" ht="22" customHeight="1">
      <x:c r="A174" s="3"/>
      <x:c r="B174" s="3"/>
      <x:c r="C174" s="3"/>
      <x:c r="D174" s="4"/>
      <x:c r="E174" s="4"/>
      <x:c r="F174" s="4"/>
      <x:c r="G174" s="5" t="str">
        <x:f>IF(COUNTA(A174:F174)=0,"",IF(K174&lt;&gt;"","Review",IF(I174&lt;0,"Overdue",IF(I174=0,"Due now",IF(I174&lt;=M174,"Due soon","Not due")))))</x:f>
      </x:c>
      <x:c r="H174" s="5" t="str">
        <x:f>IF(OR(COUNTA(A174:F174)=0,COUNTIFS('Rules'!$G$7:$G$26,"="&amp;(SUBSTITUTE(SUBSTITUTE(SUBSTITUTE(SUBSTITUTE("type:"&amp;B174,"%","%25"),"~","%7E"),"*","%2A"),"?","%3F")))&lt;&gt;1),"",IF(OR(INDEX('Rules'!$B$7:$B$26,MATCH(SUBSTITUTE(SUBSTITUTE(SUBSTITUTE(SUBSTITUTE("type:"&amp;B174,"%","%25"),"~","%7E"),"*","%2A"),"?","%3F"),'Rules'!$G$7:$G$26,0))="hours",INDEX('Rules'!$B$7:$B$26,MATCH(SUBSTITUTE(SUBSTITUTE(SUBSTITUTE(SUBSTITUTE("type:"&amp;B174,"%","%25"),"~","%7E"),"*","%2A"),"?","%3F"),'Rules'!$G$7:$G$26,0))="km"),INDEX('Rules'!$B$7:$B$26,MATCH(SUBSTITUTE(SUBSTITUTE(SUBSTITUTE(SUBSTITUTE("type:"&amp;B174,"%","%25"),"~","%7E"),"*","%2A"),"?","%3F"),'Rules'!$G$7:$G$26,0)),""))</x:f>
      </x:c>
      <x:c r="I174" s="6" t="str">
        <x:f>IF(AND(NOT(COUNTA(A174:F174)=0),K174=""),ROUND(J174-D174,3),"")</x:f>
      </x:c>
      <x:c r="J174" s="6" t="str">
        <x:f>IF(AND(NOT(COUNTA(A174:F174)=0),K174=""),ROUND(F174+L174,3),"")</x:f>
      </x:c>
      <x:c r="K174" s="5" t="str">
        <x:f>IF(COUNTA(A174:F174)=0,"",IF(A174="","Missing equipment ID",IF(COUNTIFS($N$8:$N$2007,"="&amp;N174)&gt;1,"Duplicate equipment ID",IF(B174="","Missing type",IF(COUNTIFS('Rules'!$G$7:$G$26,"="&amp;(SUBSTITUTE(SUBSTITUTE(SUBSTITUTE(SUBSTITUTE("type:"&amp;B174,"%","%25"),"~","%7E"),"*","%2A"),"?","%3F")))=0,"Unknown type",IF(COUNTIFS('Rules'!$G$7:$G$26,"="&amp;(SUBSTITUTE(SUBSTITUTE(SUBSTITUTE(SUBSTITUTE("type:"&amp;B174,"%","%25"),"~","%7E"),"*","%2A"),"?","%3F")))&gt;1,"Duplicate type",IF(INDEX('Rules'!$F$7:$F$26,MATCH(SUBSTITUTE(SUBSTITUTE(SUBSTITUTE(SUBSTITUTE("type:"&amp;B174,"%","%25"),"~","%7E"),"*","%2A"),"?","%3F"),'Rules'!$G$7:$G$26,0))&lt;&gt;"",INDEX('Rules'!$F$7:$F$26,MATCH(SUBSTITUTE(SUBSTITUTE(SUBSTITUTE(SUBSTITUTE("type:"&amp;B174,"%","%25"),"~","%7E"),"*","%2A"),"?","%3F"),'Rules'!$G$7:$G$26,0)),IF(AND(C174&lt;&gt;"",C174&lt;&gt;INDEX('Rules'!$B$7:$B$26,MATCH(SUBSTITUTE(SUBSTITUTE(SUBSTITUTE(SUBSTITUTE("type:"&amp;B174,"%","%25"),"~","%7E"),"*","%2A"),"?","%3F"),'Rules'!$G$7:$G$26,0))),"Unit mismatch",IF(IF(NOT(ISNUMBER(D174)),TRUE,OR(D174&lt;0,D174&gt;999999999,ROUND(D174,3)&lt;&gt;D174)),"Invalid current reading",IF(AND(E174&lt;&gt;"",IF(NOT(ISNUMBER(E174)),TRUE,OR(E174&lt;0,E174&gt;999999999,ROUND(E174,3)&lt;&gt;E174))),"Invalid previous reading",IF(IF(NOT(ISNUMBER(F174)),TRUE,OR(F174&lt;0,F174&gt;999999999,ROUND(F174,3)&lt;&gt;F174)),"Invalid last service",IF(AND(E174&lt;&gt;"",D174&lt;E174),"Decreased reading",IF(F174&gt;D174,"Last service above current","")))))))))))))</x:f>
      </x:c>
      <x:c r="L174" s="6" t="str">
        <x:f>IF(AND(NOT(COUNTA(A174:F174)=0),K174=""),INDEX('Rules'!$C$7:$C$26,MATCH(SUBSTITUTE(SUBSTITUTE(SUBSTITUTE(SUBSTITUTE("type:"&amp;B174,"%","%25"),"~","%7E"),"*","%2A"),"?","%3F"),'Rules'!$G$7:$G$26,0)),"")</x:f>
      </x:c>
      <x:c r="M174" s="6" t="str">
        <x:f>IF(AND(NOT(COUNTA(A174:F174)=0),K174=""),INDEX('Rules'!$D$7:$D$26,MATCH(SUBSTITUTE(SUBSTITUTE(SUBSTITUTE(SUBSTITUTE("type:"&amp;B174,"%","%25"),"~","%7E"),"*","%2A"),"?","%3F"),'Rules'!$G$7:$G$26,0)),"")</x:f>
      </x:c>
      <x:c r="N174" s="5" t="str">
        <x:f>IF(COUNTA(A174:F174)=0,"",SUBSTITUTE(SUBSTITUTE(SUBSTITUTE(SUBSTITUTE("id:"&amp;A174,"%","%25"),"~","%7E"),"*","%2A"),"?","%3F"))</x:f>
      </x:c>
    </x:row>
    <x:row r="175" ht="22" customHeight="1">
      <x:c r="A175" s="3"/>
      <x:c r="B175" s="3"/>
      <x:c r="C175" s="3"/>
      <x:c r="D175" s="4"/>
      <x:c r="E175" s="4"/>
      <x:c r="F175" s="4"/>
      <x:c r="G175" s="5" t="str">
        <x:f>IF(COUNTA(A175:F175)=0,"",IF(K175&lt;&gt;"","Review",IF(I175&lt;0,"Overdue",IF(I175=0,"Due now",IF(I175&lt;=M175,"Due soon","Not due")))))</x:f>
      </x:c>
      <x:c r="H175" s="5" t="str">
        <x:f>IF(OR(COUNTA(A175:F175)=0,COUNTIFS('Rules'!$G$7:$G$26,"="&amp;(SUBSTITUTE(SUBSTITUTE(SUBSTITUTE(SUBSTITUTE("type:"&amp;B175,"%","%25"),"~","%7E"),"*","%2A"),"?","%3F")))&lt;&gt;1),"",IF(OR(INDEX('Rules'!$B$7:$B$26,MATCH(SUBSTITUTE(SUBSTITUTE(SUBSTITUTE(SUBSTITUTE("type:"&amp;B175,"%","%25"),"~","%7E"),"*","%2A"),"?","%3F"),'Rules'!$G$7:$G$26,0))="hours",INDEX('Rules'!$B$7:$B$26,MATCH(SUBSTITUTE(SUBSTITUTE(SUBSTITUTE(SUBSTITUTE("type:"&amp;B175,"%","%25"),"~","%7E"),"*","%2A"),"?","%3F"),'Rules'!$G$7:$G$26,0))="km"),INDEX('Rules'!$B$7:$B$26,MATCH(SUBSTITUTE(SUBSTITUTE(SUBSTITUTE(SUBSTITUTE("type:"&amp;B175,"%","%25"),"~","%7E"),"*","%2A"),"?","%3F"),'Rules'!$G$7:$G$26,0)),""))</x:f>
      </x:c>
      <x:c r="I175" s="6" t="str">
        <x:f>IF(AND(NOT(COUNTA(A175:F175)=0),K175=""),ROUND(J175-D175,3),"")</x:f>
      </x:c>
      <x:c r="J175" s="6" t="str">
        <x:f>IF(AND(NOT(COUNTA(A175:F175)=0),K175=""),ROUND(F175+L175,3),"")</x:f>
      </x:c>
      <x:c r="K175" s="5" t="str">
        <x:f>IF(COUNTA(A175:F175)=0,"",IF(A175="","Missing equipment ID",IF(COUNTIFS($N$8:$N$2007,"="&amp;N175)&gt;1,"Duplicate equipment ID",IF(B175="","Missing type",IF(COUNTIFS('Rules'!$G$7:$G$26,"="&amp;(SUBSTITUTE(SUBSTITUTE(SUBSTITUTE(SUBSTITUTE("type:"&amp;B175,"%","%25"),"~","%7E"),"*","%2A"),"?","%3F")))=0,"Unknown type",IF(COUNTIFS('Rules'!$G$7:$G$26,"="&amp;(SUBSTITUTE(SUBSTITUTE(SUBSTITUTE(SUBSTITUTE("type:"&amp;B175,"%","%25"),"~","%7E"),"*","%2A"),"?","%3F")))&gt;1,"Duplicate type",IF(INDEX('Rules'!$F$7:$F$26,MATCH(SUBSTITUTE(SUBSTITUTE(SUBSTITUTE(SUBSTITUTE("type:"&amp;B175,"%","%25"),"~","%7E"),"*","%2A"),"?","%3F"),'Rules'!$G$7:$G$26,0))&lt;&gt;"",INDEX('Rules'!$F$7:$F$26,MATCH(SUBSTITUTE(SUBSTITUTE(SUBSTITUTE(SUBSTITUTE("type:"&amp;B175,"%","%25"),"~","%7E"),"*","%2A"),"?","%3F"),'Rules'!$G$7:$G$26,0)),IF(AND(C175&lt;&gt;"",C175&lt;&gt;INDEX('Rules'!$B$7:$B$26,MATCH(SUBSTITUTE(SUBSTITUTE(SUBSTITUTE(SUBSTITUTE("type:"&amp;B175,"%","%25"),"~","%7E"),"*","%2A"),"?","%3F"),'Rules'!$G$7:$G$26,0))),"Unit mismatch",IF(IF(NOT(ISNUMBER(D175)),TRUE,OR(D175&lt;0,D175&gt;999999999,ROUND(D175,3)&lt;&gt;D175)),"Invalid current reading",IF(AND(E175&lt;&gt;"",IF(NOT(ISNUMBER(E175)),TRUE,OR(E175&lt;0,E175&gt;999999999,ROUND(E175,3)&lt;&gt;E175))),"Invalid previous reading",IF(IF(NOT(ISNUMBER(F175)),TRUE,OR(F175&lt;0,F175&gt;999999999,ROUND(F175,3)&lt;&gt;F175)),"Invalid last service",IF(AND(E175&lt;&gt;"",D175&lt;E175),"Decreased reading",IF(F175&gt;D175,"Last service above current","")))))))))))))</x:f>
      </x:c>
      <x:c r="L175" s="6" t="str">
        <x:f>IF(AND(NOT(COUNTA(A175:F175)=0),K175=""),INDEX('Rules'!$C$7:$C$26,MATCH(SUBSTITUTE(SUBSTITUTE(SUBSTITUTE(SUBSTITUTE("type:"&amp;B175,"%","%25"),"~","%7E"),"*","%2A"),"?","%3F"),'Rules'!$G$7:$G$26,0)),"")</x:f>
      </x:c>
      <x:c r="M175" s="6" t="str">
        <x:f>IF(AND(NOT(COUNTA(A175:F175)=0),K175=""),INDEX('Rules'!$D$7:$D$26,MATCH(SUBSTITUTE(SUBSTITUTE(SUBSTITUTE(SUBSTITUTE("type:"&amp;B175,"%","%25"),"~","%7E"),"*","%2A"),"?","%3F"),'Rules'!$G$7:$G$26,0)),"")</x:f>
      </x:c>
      <x:c r="N175" s="5" t="str">
        <x:f>IF(COUNTA(A175:F175)=0,"",SUBSTITUTE(SUBSTITUTE(SUBSTITUTE(SUBSTITUTE("id:"&amp;A175,"%","%25"),"~","%7E"),"*","%2A"),"?","%3F"))</x:f>
      </x:c>
    </x:row>
    <x:row r="176" ht="22" customHeight="1">
      <x:c r="A176" s="3"/>
      <x:c r="B176" s="3"/>
      <x:c r="C176" s="3"/>
      <x:c r="D176" s="4"/>
      <x:c r="E176" s="4"/>
      <x:c r="F176" s="4"/>
      <x:c r="G176" s="5" t="str">
        <x:f>IF(COUNTA(A176:F176)=0,"",IF(K176&lt;&gt;"","Review",IF(I176&lt;0,"Overdue",IF(I176=0,"Due now",IF(I176&lt;=M176,"Due soon","Not due")))))</x:f>
      </x:c>
      <x:c r="H176" s="5" t="str">
        <x:f>IF(OR(COUNTA(A176:F176)=0,COUNTIFS('Rules'!$G$7:$G$26,"="&amp;(SUBSTITUTE(SUBSTITUTE(SUBSTITUTE(SUBSTITUTE("type:"&amp;B176,"%","%25"),"~","%7E"),"*","%2A"),"?","%3F")))&lt;&gt;1),"",IF(OR(INDEX('Rules'!$B$7:$B$26,MATCH(SUBSTITUTE(SUBSTITUTE(SUBSTITUTE(SUBSTITUTE("type:"&amp;B176,"%","%25"),"~","%7E"),"*","%2A"),"?","%3F"),'Rules'!$G$7:$G$26,0))="hours",INDEX('Rules'!$B$7:$B$26,MATCH(SUBSTITUTE(SUBSTITUTE(SUBSTITUTE(SUBSTITUTE("type:"&amp;B176,"%","%25"),"~","%7E"),"*","%2A"),"?","%3F"),'Rules'!$G$7:$G$26,0))="km"),INDEX('Rules'!$B$7:$B$26,MATCH(SUBSTITUTE(SUBSTITUTE(SUBSTITUTE(SUBSTITUTE("type:"&amp;B176,"%","%25"),"~","%7E"),"*","%2A"),"?","%3F"),'Rules'!$G$7:$G$26,0)),""))</x:f>
      </x:c>
      <x:c r="I176" s="6" t="str">
        <x:f>IF(AND(NOT(COUNTA(A176:F176)=0),K176=""),ROUND(J176-D176,3),"")</x:f>
      </x:c>
      <x:c r="J176" s="6" t="str">
        <x:f>IF(AND(NOT(COUNTA(A176:F176)=0),K176=""),ROUND(F176+L176,3),"")</x:f>
      </x:c>
      <x:c r="K176" s="5" t="str">
        <x:f>IF(COUNTA(A176:F176)=0,"",IF(A176="","Missing equipment ID",IF(COUNTIFS($N$8:$N$2007,"="&amp;N176)&gt;1,"Duplicate equipment ID",IF(B176="","Missing type",IF(COUNTIFS('Rules'!$G$7:$G$26,"="&amp;(SUBSTITUTE(SUBSTITUTE(SUBSTITUTE(SUBSTITUTE("type:"&amp;B176,"%","%25"),"~","%7E"),"*","%2A"),"?","%3F")))=0,"Unknown type",IF(COUNTIFS('Rules'!$G$7:$G$26,"="&amp;(SUBSTITUTE(SUBSTITUTE(SUBSTITUTE(SUBSTITUTE("type:"&amp;B176,"%","%25"),"~","%7E"),"*","%2A"),"?","%3F")))&gt;1,"Duplicate type",IF(INDEX('Rules'!$F$7:$F$26,MATCH(SUBSTITUTE(SUBSTITUTE(SUBSTITUTE(SUBSTITUTE("type:"&amp;B176,"%","%25"),"~","%7E"),"*","%2A"),"?","%3F"),'Rules'!$G$7:$G$26,0))&lt;&gt;"",INDEX('Rules'!$F$7:$F$26,MATCH(SUBSTITUTE(SUBSTITUTE(SUBSTITUTE(SUBSTITUTE("type:"&amp;B176,"%","%25"),"~","%7E"),"*","%2A"),"?","%3F"),'Rules'!$G$7:$G$26,0)),IF(AND(C176&lt;&gt;"",C176&lt;&gt;INDEX('Rules'!$B$7:$B$26,MATCH(SUBSTITUTE(SUBSTITUTE(SUBSTITUTE(SUBSTITUTE("type:"&amp;B176,"%","%25"),"~","%7E"),"*","%2A"),"?","%3F"),'Rules'!$G$7:$G$26,0))),"Unit mismatch",IF(IF(NOT(ISNUMBER(D176)),TRUE,OR(D176&lt;0,D176&gt;999999999,ROUND(D176,3)&lt;&gt;D176)),"Invalid current reading",IF(AND(E176&lt;&gt;"",IF(NOT(ISNUMBER(E176)),TRUE,OR(E176&lt;0,E176&gt;999999999,ROUND(E176,3)&lt;&gt;E176))),"Invalid previous reading",IF(IF(NOT(ISNUMBER(F176)),TRUE,OR(F176&lt;0,F176&gt;999999999,ROUND(F176,3)&lt;&gt;F176)),"Invalid last service",IF(AND(E176&lt;&gt;"",D176&lt;E176),"Decreased reading",IF(F176&gt;D176,"Last service above current","")))))))))))))</x:f>
      </x:c>
      <x:c r="L176" s="6" t="str">
        <x:f>IF(AND(NOT(COUNTA(A176:F176)=0),K176=""),INDEX('Rules'!$C$7:$C$26,MATCH(SUBSTITUTE(SUBSTITUTE(SUBSTITUTE(SUBSTITUTE("type:"&amp;B176,"%","%25"),"~","%7E"),"*","%2A"),"?","%3F"),'Rules'!$G$7:$G$26,0)),"")</x:f>
      </x:c>
      <x:c r="M176" s="6" t="str">
        <x:f>IF(AND(NOT(COUNTA(A176:F176)=0),K176=""),INDEX('Rules'!$D$7:$D$26,MATCH(SUBSTITUTE(SUBSTITUTE(SUBSTITUTE(SUBSTITUTE("type:"&amp;B176,"%","%25"),"~","%7E"),"*","%2A"),"?","%3F"),'Rules'!$G$7:$G$26,0)),"")</x:f>
      </x:c>
      <x:c r="N176" s="5" t="str">
        <x:f>IF(COUNTA(A176:F176)=0,"",SUBSTITUTE(SUBSTITUTE(SUBSTITUTE(SUBSTITUTE("id:"&amp;A176,"%","%25"),"~","%7E"),"*","%2A"),"?","%3F"))</x:f>
      </x:c>
    </x:row>
    <x:row r="177" ht="22" customHeight="1">
      <x:c r="A177" s="3"/>
      <x:c r="B177" s="3"/>
      <x:c r="C177" s="3"/>
      <x:c r="D177" s="4"/>
      <x:c r="E177" s="4"/>
      <x:c r="F177" s="4"/>
      <x:c r="G177" s="5" t="str">
        <x:f>IF(COUNTA(A177:F177)=0,"",IF(K177&lt;&gt;"","Review",IF(I177&lt;0,"Overdue",IF(I177=0,"Due now",IF(I177&lt;=M177,"Due soon","Not due")))))</x:f>
      </x:c>
      <x:c r="H177" s="5" t="str">
        <x:f>IF(OR(COUNTA(A177:F177)=0,COUNTIFS('Rules'!$G$7:$G$26,"="&amp;(SUBSTITUTE(SUBSTITUTE(SUBSTITUTE(SUBSTITUTE("type:"&amp;B177,"%","%25"),"~","%7E"),"*","%2A"),"?","%3F")))&lt;&gt;1),"",IF(OR(INDEX('Rules'!$B$7:$B$26,MATCH(SUBSTITUTE(SUBSTITUTE(SUBSTITUTE(SUBSTITUTE("type:"&amp;B177,"%","%25"),"~","%7E"),"*","%2A"),"?","%3F"),'Rules'!$G$7:$G$26,0))="hours",INDEX('Rules'!$B$7:$B$26,MATCH(SUBSTITUTE(SUBSTITUTE(SUBSTITUTE(SUBSTITUTE("type:"&amp;B177,"%","%25"),"~","%7E"),"*","%2A"),"?","%3F"),'Rules'!$G$7:$G$26,0))="km"),INDEX('Rules'!$B$7:$B$26,MATCH(SUBSTITUTE(SUBSTITUTE(SUBSTITUTE(SUBSTITUTE("type:"&amp;B177,"%","%25"),"~","%7E"),"*","%2A"),"?","%3F"),'Rules'!$G$7:$G$26,0)),""))</x:f>
      </x:c>
      <x:c r="I177" s="6" t="str">
        <x:f>IF(AND(NOT(COUNTA(A177:F177)=0),K177=""),ROUND(J177-D177,3),"")</x:f>
      </x:c>
      <x:c r="J177" s="6" t="str">
        <x:f>IF(AND(NOT(COUNTA(A177:F177)=0),K177=""),ROUND(F177+L177,3),"")</x:f>
      </x:c>
      <x:c r="K177" s="5" t="str">
        <x:f>IF(COUNTA(A177:F177)=0,"",IF(A177="","Missing equipment ID",IF(COUNTIFS($N$8:$N$2007,"="&amp;N177)&gt;1,"Duplicate equipment ID",IF(B177="","Missing type",IF(COUNTIFS('Rules'!$G$7:$G$26,"="&amp;(SUBSTITUTE(SUBSTITUTE(SUBSTITUTE(SUBSTITUTE("type:"&amp;B177,"%","%25"),"~","%7E"),"*","%2A"),"?","%3F")))=0,"Unknown type",IF(COUNTIFS('Rules'!$G$7:$G$26,"="&amp;(SUBSTITUTE(SUBSTITUTE(SUBSTITUTE(SUBSTITUTE("type:"&amp;B177,"%","%25"),"~","%7E"),"*","%2A"),"?","%3F")))&gt;1,"Duplicate type",IF(INDEX('Rules'!$F$7:$F$26,MATCH(SUBSTITUTE(SUBSTITUTE(SUBSTITUTE(SUBSTITUTE("type:"&amp;B177,"%","%25"),"~","%7E"),"*","%2A"),"?","%3F"),'Rules'!$G$7:$G$26,0))&lt;&gt;"",INDEX('Rules'!$F$7:$F$26,MATCH(SUBSTITUTE(SUBSTITUTE(SUBSTITUTE(SUBSTITUTE("type:"&amp;B177,"%","%25"),"~","%7E"),"*","%2A"),"?","%3F"),'Rules'!$G$7:$G$26,0)),IF(AND(C177&lt;&gt;"",C177&lt;&gt;INDEX('Rules'!$B$7:$B$26,MATCH(SUBSTITUTE(SUBSTITUTE(SUBSTITUTE(SUBSTITUTE("type:"&amp;B177,"%","%25"),"~","%7E"),"*","%2A"),"?","%3F"),'Rules'!$G$7:$G$26,0))),"Unit mismatch",IF(IF(NOT(ISNUMBER(D177)),TRUE,OR(D177&lt;0,D177&gt;999999999,ROUND(D177,3)&lt;&gt;D177)),"Invalid current reading",IF(AND(E177&lt;&gt;"",IF(NOT(ISNUMBER(E177)),TRUE,OR(E177&lt;0,E177&gt;999999999,ROUND(E177,3)&lt;&gt;E177))),"Invalid previous reading",IF(IF(NOT(ISNUMBER(F177)),TRUE,OR(F177&lt;0,F177&gt;999999999,ROUND(F177,3)&lt;&gt;F177)),"Invalid last service",IF(AND(E177&lt;&gt;"",D177&lt;E177),"Decreased reading",IF(F177&gt;D177,"Last service above current","")))))))))))))</x:f>
      </x:c>
      <x:c r="L177" s="6" t="str">
        <x:f>IF(AND(NOT(COUNTA(A177:F177)=0),K177=""),INDEX('Rules'!$C$7:$C$26,MATCH(SUBSTITUTE(SUBSTITUTE(SUBSTITUTE(SUBSTITUTE("type:"&amp;B177,"%","%25"),"~","%7E"),"*","%2A"),"?","%3F"),'Rules'!$G$7:$G$26,0)),"")</x:f>
      </x:c>
      <x:c r="M177" s="6" t="str">
        <x:f>IF(AND(NOT(COUNTA(A177:F177)=0),K177=""),INDEX('Rules'!$D$7:$D$26,MATCH(SUBSTITUTE(SUBSTITUTE(SUBSTITUTE(SUBSTITUTE("type:"&amp;B177,"%","%25"),"~","%7E"),"*","%2A"),"?","%3F"),'Rules'!$G$7:$G$26,0)),"")</x:f>
      </x:c>
      <x:c r="N177" s="5" t="str">
        <x:f>IF(COUNTA(A177:F177)=0,"",SUBSTITUTE(SUBSTITUTE(SUBSTITUTE(SUBSTITUTE("id:"&amp;A177,"%","%25"),"~","%7E"),"*","%2A"),"?","%3F"))</x:f>
      </x:c>
    </x:row>
    <x:row r="178" ht="22" customHeight="1">
      <x:c r="A178" s="3"/>
      <x:c r="B178" s="3"/>
      <x:c r="C178" s="3"/>
      <x:c r="D178" s="4"/>
      <x:c r="E178" s="4"/>
      <x:c r="F178" s="4"/>
      <x:c r="G178" s="5" t="str">
        <x:f>IF(COUNTA(A178:F178)=0,"",IF(K178&lt;&gt;"","Review",IF(I178&lt;0,"Overdue",IF(I178=0,"Due now",IF(I178&lt;=M178,"Due soon","Not due")))))</x:f>
      </x:c>
      <x:c r="H178" s="5" t="str">
        <x:f>IF(OR(COUNTA(A178:F178)=0,COUNTIFS('Rules'!$G$7:$G$26,"="&amp;(SUBSTITUTE(SUBSTITUTE(SUBSTITUTE(SUBSTITUTE("type:"&amp;B178,"%","%25"),"~","%7E"),"*","%2A"),"?","%3F")))&lt;&gt;1),"",IF(OR(INDEX('Rules'!$B$7:$B$26,MATCH(SUBSTITUTE(SUBSTITUTE(SUBSTITUTE(SUBSTITUTE("type:"&amp;B178,"%","%25"),"~","%7E"),"*","%2A"),"?","%3F"),'Rules'!$G$7:$G$26,0))="hours",INDEX('Rules'!$B$7:$B$26,MATCH(SUBSTITUTE(SUBSTITUTE(SUBSTITUTE(SUBSTITUTE("type:"&amp;B178,"%","%25"),"~","%7E"),"*","%2A"),"?","%3F"),'Rules'!$G$7:$G$26,0))="km"),INDEX('Rules'!$B$7:$B$26,MATCH(SUBSTITUTE(SUBSTITUTE(SUBSTITUTE(SUBSTITUTE("type:"&amp;B178,"%","%25"),"~","%7E"),"*","%2A"),"?","%3F"),'Rules'!$G$7:$G$26,0)),""))</x:f>
      </x:c>
      <x:c r="I178" s="6" t="str">
        <x:f>IF(AND(NOT(COUNTA(A178:F178)=0),K178=""),ROUND(J178-D178,3),"")</x:f>
      </x:c>
      <x:c r="J178" s="6" t="str">
        <x:f>IF(AND(NOT(COUNTA(A178:F178)=0),K178=""),ROUND(F178+L178,3),"")</x:f>
      </x:c>
      <x:c r="K178" s="5" t="str">
        <x:f>IF(COUNTA(A178:F178)=0,"",IF(A178="","Missing equipment ID",IF(COUNTIFS($N$8:$N$2007,"="&amp;N178)&gt;1,"Duplicate equipment ID",IF(B178="","Missing type",IF(COUNTIFS('Rules'!$G$7:$G$26,"="&amp;(SUBSTITUTE(SUBSTITUTE(SUBSTITUTE(SUBSTITUTE("type:"&amp;B178,"%","%25"),"~","%7E"),"*","%2A"),"?","%3F")))=0,"Unknown type",IF(COUNTIFS('Rules'!$G$7:$G$26,"="&amp;(SUBSTITUTE(SUBSTITUTE(SUBSTITUTE(SUBSTITUTE("type:"&amp;B178,"%","%25"),"~","%7E"),"*","%2A"),"?","%3F")))&gt;1,"Duplicate type",IF(INDEX('Rules'!$F$7:$F$26,MATCH(SUBSTITUTE(SUBSTITUTE(SUBSTITUTE(SUBSTITUTE("type:"&amp;B178,"%","%25"),"~","%7E"),"*","%2A"),"?","%3F"),'Rules'!$G$7:$G$26,0))&lt;&gt;"",INDEX('Rules'!$F$7:$F$26,MATCH(SUBSTITUTE(SUBSTITUTE(SUBSTITUTE(SUBSTITUTE("type:"&amp;B178,"%","%25"),"~","%7E"),"*","%2A"),"?","%3F"),'Rules'!$G$7:$G$26,0)),IF(AND(C178&lt;&gt;"",C178&lt;&gt;INDEX('Rules'!$B$7:$B$26,MATCH(SUBSTITUTE(SUBSTITUTE(SUBSTITUTE(SUBSTITUTE("type:"&amp;B178,"%","%25"),"~","%7E"),"*","%2A"),"?","%3F"),'Rules'!$G$7:$G$26,0))),"Unit mismatch",IF(IF(NOT(ISNUMBER(D178)),TRUE,OR(D178&lt;0,D178&gt;999999999,ROUND(D178,3)&lt;&gt;D178)),"Invalid current reading",IF(AND(E178&lt;&gt;"",IF(NOT(ISNUMBER(E178)),TRUE,OR(E178&lt;0,E178&gt;999999999,ROUND(E178,3)&lt;&gt;E178))),"Invalid previous reading",IF(IF(NOT(ISNUMBER(F178)),TRUE,OR(F178&lt;0,F178&gt;999999999,ROUND(F178,3)&lt;&gt;F178)),"Invalid last service",IF(AND(E178&lt;&gt;"",D178&lt;E178),"Decreased reading",IF(F178&gt;D178,"Last service above current","")))))))))))))</x:f>
      </x:c>
      <x:c r="L178" s="6" t="str">
        <x:f>IF(AND(NOT(COUNTA(A178:F178)=0),K178=""),INDEX('Rules'!$C$7:$C$26,MATCH(SUBSTITUTE(SUBSTITUTE(SUBSTITUTE(SUBSTITUTE("type:"&amp;B178,"%","%25"),"~","%7E"),"*","%2A"),"?","%3F"),'Rules'!$G$7:$G$26,0)),"")</x:f>
      </x:c>
      <x:c r="M178" s="6" t="str">
        <x:f>IF(AND(NOT(COUNTA(A178:F178)=0),K178=""),INDEX('Rules'!$D$7:$D$26,MATCH(SUBSTITUTE(SUBSTITUTE(SUBSTITUTE(SUBSTITUTE("type:"&amp;B178,"%","%25"),"~","%7E"),"*","%2A"),"?","%3F"),'Rules'!$G$7:$G$26,0)),"")</x:f>
      </x:c>
      <x:c r="N178" s="5" t="str">
        <x:f>IF(COUNTA(A178:F178)=0,"",SUBSTITUTE(SUBSTITUTE(SUBSTITUTE(SUBSTITUTE("id:"&amp;A178,"%","%25"),"~","%7E"),"*","%2A"),"?","%3F"))</x:f>
      </x:c>
    </x:row>
    <x:row r="179" ht="22" customHeight="1">
      <x:c r="A179" s="3"/>
      <x:c r="B179" s="3"/>
      <x:c r="C179" s="3"/>
      <x:c r="D179" s="4"/>
      <x:c r="E179" s="4"/>
      <x:c r="F179" s="4"/>
      <x:c r="G179" s="5" t="str">
        <x:f>IF(COUNTA(A179:F179)=0,"",IF(K179&lt;&gt;"","Review",IF(I179&lt;0,"Overdue",IF(I179=0,"Due now",IF(I179&lt;=M179,"Due soon","Not due")))))</x:f>
      </x:c>
      <x:c r="H179" s="5" t="str">
        <x:f>IF(OR(COUNTA(A179:F179)=0,COUNTIFS('Rules'!$G$7:$G$26,"="&amp;(SUBSTITUTE(SUBSTITUTE(SUBSTITUTE(SUBSTITUTE("type:"&amp;B179,"%","%25"),"~","%7E"),"*","%2A"),"?","%3F")))&lt;&gt;1),"",IF(OR(INDEX('Rules'!$B$7:$B$26,MATCH(SUBSTITUTE(SUBSTITUTE(SUBSTITUTE(SUBSTITUTE("type:"&amp;B179,"%","%25"),"~","%7E"),"*","%2A"),"?","%3F"),'Rules'!$G$7:$G$26,0))="hours",INDEX('Rules'!$B$7:$B$26,MATCH(SUBSTITUTE(SUBSTITUTE(SUBSTITUTE(SUBSTITUTE("type:"&amp;B179,"%","%25"),"~","%7E"),"*","%2A"),"?","%3F"),'Rules'!$G$7:$G$26,0))="km"),INDEX('Rules'!$B$7:$B$26,MATCH(SUBSTITUTE(SUBSTITUTE(SUBSTITUTE(SUBSTITUTE("type:"&amp;B179,"%","%25"),"~","%7E"),"*","%2A"),"?","%3F"),'Rules'!$G$7:$G$26,0)),""))</x:f>
      </x:c>
      <x:c r="I179" s="6" t="str">
        <x:f>IF(AND(NOT(COUNTA(A179:F179)=0),K179=""),ROUND(J179-D179,3),"")</x:f>
      </x:c>
      <x:c r="J179" s="6" t="str">
        <x:f>IF(AND(NOT(COUNTA(A179:F179)=0),K179=""),ROUND(F179+L179,3),"")</x:f>
      </x:c>
      <x:c r="K179" s="5" t="str">
        <x:f>IF(COUNTA(A179:F179)=0,"",IF(A179="","Missing equipment ID",IF(COUNTIFS($N$8:$N$2007,"="&amp;N179)&gt;1,"Duplicate equipment ID",IF(B179="","Missing type",IF(COUNTIFS('Rules'!$G$7:$G$26,"="&amp;(SUBSTITUTE(SUBSTITUTE(SUBSTITUTE(SUBSTITUTE("type:"&amp;B179,"%","%25"),"~","%7E"),"*","%2A"),"?","%3F")))=0,"Unknown type",IF(COUNTIFS('Rules'!$G$7:$G$26,"="&amp;(SUBSTITUTE(SUBSTITUTE(SUBSTITUTE(SUBSTITUTE("type:"&amp;B179,"%","%25"),"~","%7E"),"*","%2A"),"?","%3F")))&gt;1,"Duplicate type",IF(INDEX('Rules'!$F$7:$F$26,MATCH(SUBSTITUTE(SUBSTITUTE(SUBSTITUTE(SUBSTITUTE("type:"&amp;B179,"%","%25"),"~","%7E"),"*","%2A"),"?","%3F"),'Rules'!$G$7:$G$26,0))&lt;&gt;"",INDEX('Rules'!$F$7:$F$26,MATCH(SUBSTITUTE(SUBSTITUTE(SUBSTITUTE(SUBSTITUTE("type:"&amp;B179,"%","%25"),"~","%7E"),"*","%2A"),"?","%3F"),'Rules'!$G$7:$G$26,0)),IF(AND(C179&lt;&gt;"",C179&lt;&gt;INDEX('Rules'!$B$7:$B$26,MATCH(SUBSTITUTE(SUBSTITUTE(SUBSTITUTE(SUBSTITUTE("type:"&amp;B179,"%","%25"),"~","%7E"),"*","%2A"),"?","%3F"),'Rules'!$G$7:$G$26,0))),"Unit mismatch",IF(IF(NOT(ISNUMBER(D179)),TRUE,OR(D179&lt;0,D179&gt;999999999,ROUND(D179,3)&lt;&gt;D179)),"Invalid current reading",IF(AND(E179&lt;&gt;"",IF(NOT(ISNUMBER(E179)),TRUE,OR(E179&lt;0,E179&gt;999999999,ROUND(E179,3)&lt;&gt;E179))),"Invalid previous reading",IF(IF(NOT(ISNUMBER(F179)),TRUE,OR(F179&lt;0,F179&gt;999999999,ROUND(F179,3)&lt;&gt;F179)),"Invalid last service",IF(AND(E179&lt;&gt;"",D179&lt;E179),"Decreased reading",IF(F179&gt;D179,"Last service above current","")))))))))))))</x:f>
      </x:c>
      <x:c r="L179" s="6" t="str">
        <x:f>IF(AND(NOT(COUNTA(A179:F179)=0),K179=""),INDEX('Rules'!$C$7:$C$26,MATCH(SUBSTITUTE(SUBSTITUTE(SUBSTITUTE(SUBSTITUTE("type:"&amp;B179,"%","%25"),"~","%7E"),"*","%2A"),"?","%3F"),'Rules'!$G$7:$G$26,0)),"")</x:f>
      </x:c>
      <x:c r="M179" s="6" t="str">
        <x:f>IF(AND(NOT(COUNTA(A179:F179)=0),K179=""),INDEX('Rules'!$D$7:$D$26,MATCH(SUBSTITUTE(SUBSTITUTE(SUBSTITUTE(SUBSTITUTE("type:"&amp;B179,"%","%25"),"~","%7E"),"*","%2A"),"?","%3F"),'Rules'!$G$7:$G$26,0)),"")</x:f>
      </x:c>
      <x:c r="N179" s="5" t="str">
        <x:f>IF(COUNTA(A179:F179)=0,"",SUBSTITUTE(SUBSTITUTE(SUBSTITUTE(SUBSTITUTE("id:"&amp;A179,"%","%25"),"~","%7E"),"*","%2A"),"?","%3F"))</x:f>
      </x:c>
    </x:row>
    <x:row r="180" ht="22" customHeight="1">
      <x:c r="A180" s="3"/>
      <x:c r="B180" s="3"/>
      <x:c r="C180" s="3"/>
      <x:c r="D180" s="4"/>
      <x:c r="E180" s="4"/>
      <x:c r="F180" s="4"/>
      <x:c r="G180" s="5" t="str">
        <x:f>IF(COUNTA(A180:F180)=0,"",IF(K180&lt;&gt;"","Review",IF(I180&lt;0,"Overdue",IF(I180=0,"Due now",IF(I180&lt;=M180,"Due soon","Not due")))))</x:f>
      </x:c>
      <x:c r="H180" s="5" t="str">
        <x:f>IF(OR(COUNTA(A180:F180)=0,COUNTIFS('Rules'!$G$7:$G$26,"="&amp;(SUBSTITUTE(SUBSTITUTE(SUBSTITUTE(SUBSTITUTE("type:"&amp;B180,"%","%25"),"~","%7E"),"*","%2A"),"?","%3F")))&lt;&gt;1),"",IF(OR(INDEX('Rules'!$B$7:$B$26,MATCH(SUBSTITUTE(SUBSTITUTE(SUBSTITUTE(SUBSTITUTE("type:"&amp;B180,"%","%25"),"~","%7E"),"*","%2A"),"?","%3F"),'Rules'!$G$7:$G$26,0))="hours",INDEX('Rules'!$B$7:$B$26,MATCH(SUBSTITUTE(SUBSTITUTE(SUBSTITUTE(SUBSTITUTE("type:"&amp;B180,"%","%25"),"~","%7E"),"*","%2A"),"?","%3F"),'Rules'!$G$7:$G$26,0))="km"),INDEX('Rules'!$B$7:$B$26,MATCH(SUBSTITUTE(SUBSTITUTE(SUBSTITUTE(SUBSTITUTE("type:"&amp;B180,"%","%25"),"~","%7E"),"*","%2A"),"?","%3F"),'Rules'!$G$7:$G$26,0)),""))</x:f>
      </x:c>
      <x:c r="I180" s="6" t="str">
        <x:f>IF(AND(NOT(COUNTA(A180:F180)=0),K180=""),ROUND(J180-D180,3),"")</x:f>
      </x:c>
      <x:c r="J180" s="6" t="str">
        <x:f>IF(AND(NOT(COUNTA(A180:F180)=0),K180=""),ROUND(F180+L180,3),"")</x:f>
      </x:c>
      <x:c r="K180" s="5" t="str">
        <x:f>IF(COUNTA(A180:F180)=0,"",IF(A180="","Missing equipment ID",IF(COUNTIFS($N$8:$N$2007,"="&amp;N180)&gt;1,"Duplicate equipment ID",IF(B180="","Missing type",IF(COUNTIFS('Rules'!$G$7:$G$26,"="&amp;(SUBSTITUTE(SUBSTITUTE(SUBSTITUTE(SUBSTITUTE("type:"&amp;B180,"%","%25"),"~","%7E"),"*","%2A"),"?","%3F")))=0,"Unknown type",IF(COUNTIFS('Rules'!$G$7:$G$26,"="&amp;(SUBSTITUTE(SUBSTITUTE(SUBSTITUTE(SUBSTITUTE("type:"&amp;B180,"%","%25"),"~","%7E"),"*","%2A"),"?","%3F")))&gt;1,"Duplicate type",IF(INDEX('Rules'!$F$7:$F$26,MATCH(SUBSTITUTE(SUBSTITUTE(SUBSTITUTE(SUBSTITUTE("type:"&amp;B180,"%","%25"),"~","%7E"),"*","%2A"),"?","%3F"),'Rules'!$G$7:$G$26,0))&lt;&gt;"",INDEX('Rules'!$F$7:$F$26,MATCH(SUBSTITUTE(SUBSTITUTE(SUBSTITUTE(SUBSTITUTE("type:"&amp;B180,"%","%25"),"~","%7E"),"*","%2A"),"?","%3F"),'Rules'!$G$7:$G$26,0)),IF(AND(C180&lt;&gt;"",C180&lt;&gt;INDEX('Rules'!$B$7:$B$26,MATCH(SUBSTITUTE(SUBSTITUTE(SUBSTITUTE(SUBSTITUTE("type:"&amp;B180,"%","%25"),"~","%7E"),"*","%2A"),"?","%3F"),'Rules'!$G$7:$G$26,0))),"Unit mismatch",IF(IF(NOT(ISNUMBER(D180)),TRUE,OR(D180&lt;0,D180&gt;999999999,ROUND(D180,3)&lt;&gt;D180)),"Invalid current reading",IF(AND(E180&lt;&gt;"",IF(NOT(ISNUMBER(E180)),TRUE,OR(E180&lt;0,E180&gt;999999999,ROUND(E180,3)&lt;&gt;E180))),"Invalid previous reading",IF(IF(NOT(ISNUMBER(F180)),TRUE,OR(F180&lt;0,F180&gt;999999999,ROUND(F180,3)&lt;&gt;F180)),"Invalid last service",IF(AND(E180&lt;&gt;"",D180&lt;E180),"Decreased reading",IF(F180&gt;D180,"Last service above current","")))))))))))))</x:f>
      </x:c>
      <x:c r="L180" s="6" t="str">
        <x:f>IF(AND(NOT(COUNTA(A180:F180)=0),K180=""),INDEX('Rules'!$C$7:$C$26,MATCH(SUBSTITUTE(SUBSTITUTE(SUBSTITUTE(SUBSTITUTE("type:"&amp;B180,"%","%25"),"~","%7E"),"*","%2A"),"?","%3F"),'Rules'!$G$7:$G$26,0)),"")</x:f>
      </x:c>
      <x:c r="M180" s="6" t="str">
        <x:f>IF(AND(NOT(COUNTA(A180:F180)=0),K180=""),INDEX('Rules'!$D$7:$D$26,MATCH(SUBSTITUTE(SUBSTITUTE(SUBSTITUTE(SUBSTITUTE("type:"&amp;B180,"%","%25"),"~","%7E"),"*","%2A"),"?","%3F"),'Rules'!$G$7:$G$26,0)),"")</x:f>
      </x:c>
      <x:c r="N180" s="5" t="str">
        <x:f>IF(COUNTA(A180:F180)=0,"",SUBSTITUTE(SUBSTITUTE(SUBSTITUTE(SUBSTITUTE("id:"&amp;A180,"%","%25"),"~","%7E"),"*","%2A"),"?","%3F"))</x:f>
      </x:c>
    </x:row>
    <x:row r="181" ht="22" customHeight="1">
      <x:c r="A181" s="3"/>
      <x:c r="B181" s="3"/>
      <x:c r="C181" s="3"/>
      <x:c r="D181" s="4"/>
      <x:c r="E181" s="4"/>
      <x:c r="F181" s="4"/>
      <x:c r="G181" s="5" t="str">
        <x:f>IF(COUNTA(A181:F181)=0,"",IF(K181&lt;&gt;"","Review",IF(I181&lt;0,"Overdue",IF(I181=0,"Due now",IF(I181&lt;=M181,"Due soon","Not due")))))</x:f>
      </x:c>
      <x:c r="H181" s="5" t="str">
        <x:f>IF(OR(COUNTA(A181:F181)=0,COUNTIFS('Rules'!$G$7:$G$26,"="&amp;(SUBSTITUTE(SUBSTITUTE(SUBSTITUTE(SUBSTITUTE("type:"&amp;B181,"%","%25"),"~","%7E"),"*","%2A"),"?","%3F")))&lt;&gt;1),"",IF(OR(INDEX('Rules'!$B$7:$B$26,MATCH(SUBSTITUTE(SUBSTITUTE(SUBSTITUTE(SUBSTITUTE("type:"&amp;B181,"%","%25"),"~","%7E"),"*","%2A"),"?","%3F"),'Rules'!$G$7:$G$26,0))="hours",INDEX('Rules'!$B$7:$B$26,MATCH(SUBSTITUTE(SUBSTITUTE(SUBSTITUTE(SUBSTITUTE("type:"&amp;B181,"%","%25"),"~","%7E"),"*","%2A"),"?","%3F"),'Rules'!$G$7:$G$26,0))="km"),INDEX('Rules'!$B$7:$B$26,MATCH(SUBSTITUTE(SUBSTITUTE(SUBSTITUTE(SUBSTITUTE("type:"&amp;B181,"%","%25"),"~","%7E"),"*","%2A"),"?","%3F"),'Rules'!$G$7:$G$26,0)),""))</x:f>
      </x:c>
      <x:c r="I181" s="6" t="str">
        <x:f>IF(AND(NOT(COUNTA(A181:F181)=0),K181=""),ROUND(J181-D181,3),"")</x:f>
      </x:c>
      <x:c r="J181" s="6" t="str">
        <x:f>IF(AND(NOT(COUNTA(A181:F181)=0),K181=""),ROUND(F181+L181,3),"")</x:f>
      </x:c>
      <x:c r="K181" s="5" t="str">
        <x:f>IF(COUNTA(A181:F181)=0,"",IF(A181="","Missing equipment ID",IF(COUNTIFS($N$8:$N$2007,"="&amp;N181)&gt;1,"Duplicate equipment ID",IF(B181="","Missing type",IF(COUNTIFS('Rules'!$G$7:$G$26,"="&amp;(SUBSTITUTE(SUBSTITUTE(SUBSTITUTE(SUBSTITUTE("type:"&amp;B181,"%","%25"),"~","%7E"),"*","%2A"),"?","%3F")))=0,"Unknown type",IF(COUNTIFS('Rules'!$G$7:$G$26,"="&amp;(SUBSTITUTE(SUBSTITUTE(SUBSTITUTE(SUBSTITUTE("type:"&amp;B181,"%","%25"),"~","%7E"),"*","%2A"),"?","%3F")))&gt;1,"Duplicate type",IF(INDEX('Rules'!$F$7:$F$26,MATCH(SUBSTITUTE(SUBSTITUTE(SUBSTITUTE(SUBSTITUTE("type:"&amp;B181,"%","%25"),"~","%7E"),"*","%2A"),"?","%3F"),'Rules'!$G$7:$G$26,0))&lt;&gt;"",INDEX('Rules'!$F$7:$F$26,MATCH(SUBSTITUTE(SUBSTITUTE(SUBSTITUTE(SUBSTITUTE("type:"&amp;B181,"%","%25"),"~","%7E"),"*","%2A"),"?","%3F"),'Rules'!$G$7:$G$26,0)),IF(AND(C181&lt;&gt;"",C181&lt;&gt;INDEX('Rules'!$B$7:$B$26,MATCH(SUBSTITUTE(SUBSTITUTE(SUBSTITUTE(SUBSTITUTE("type:"&amp;B181,"%","%25"),"~","%7E"),"*","%2A"),"?","%3F"),'Rules'!$G$7:$G$26,0))),"Unit mismatch",IF(IF(NOT(ISNUMBER(D181)),TRUE,OR(D181&lt;0,D181&gt;999999999,ROUND(D181,3)&lt;&gt;D181)),"Invalid current reading",IF(AND(E181&lt;&gt;"",IF(NOT(ISNUMBER(E181)),TRUE,OR(E181&lt;0,E181&gt;999999999,ROUND(E181,3)&lt;&gt;E181))),"Invalid previous reading",IF(IF(NOT(ISNUMBER(F181)),TRUE,OR(F181&lt;0,F181&gt;999999999,ROUND(F181,3)&lt;&gt;F181)),"Invalid last service",IF(AND(E181&lt;&gt;"",D181&lt;E181),"Decreased reading",IF(F181&gt;D181,"Last service above current","")))))))))))))</x:f>
      </x:c>
      <x:c r="L181" s="6" t="str">
        <x:f>IF(AND(NOT(COUNTA(A181:F181)=0),K181=""),INDEX('Rules'!$C$7:$C$26,MATCH(SUBSTITUTE(SUBSTITUTE(SUBSTITUTE(SUBSTITUTE("type:"&amp;B181,"%","%25"),"~","%7E"),"*","%2A"),"?","%3F"),'Rules'!$G$7:$G$26,0)),"")</x:f>
      </x:c>
      <x:c r="M181" s="6" t="str">
        <x:f>IF(AND(NOT(COUNTA(A181:F181)=0),K181=""),INDEX('Rules'!$D$7:$D$26,MATCH(SUBSTITUTE(SUBSTITUTE(SUBSTITUTE(SUBSTITUTE("type:"&amp;B181,"%","%25"),"~","%7E"),"*","%2A"),"?","%3F"),'Rules'!$G$7:$G$26,0)),"")</x:f>
      </x:c>
      <x:c r="N181" s="5" t="str">
        <x:f>IF(COUNTA(A181:F181)=0,"",SUBSTITUTE(SUBSTITUTE(SUBSTITUTE(SUBSTITUTE("id:"&amp;A181,"%","%25"),"~","%7E"),"*","%2A"),"?","%3F"))</x:f>
      </x:c>
    </x:row>
    <x:row r="182" ht="22" customHeight="1">
      <x:c r="A182" s="3"/>
      <x:c r="B182" s="3"/>
      <x:c r="C182" s="3"/>
      <x:c r="D182" s="4"/>
      <x:c r="E182" s="4"/>
      <x:c r="F182" s="4"/>
      <x:c r="G182" s="5" t="str">
        <x:f>IF(COUNTA(A182:F182)=0,"",IF(K182&lt;&gt;"","Review",IF(I182&lt;0,"Overdue",IF(I182=0,"Due now",IF(I182&lt;=M182,"Due soon","Not due")))))</x:f>
      </x:c>
      <x:c r="H182" s="5" t="str">
        <x:f>IF(OR(COUNTA(A182:F182)=0,COUNTIFS('Rules'!$G$7:$G$26,"="&amp;(SUBSTITUTE(SUBSTITUTE(SUBSTITUTE(SUBSTITUTE("type:"&amp;B182,"%","%25"),"~","%7E"),"*","%2A"),"?","%3F")))&lt;&gt;1),"",IF(OR(INDEX('Rules'!$B$7:$B$26,MATCH(SUBSTITUTE(SUBSTITUTE(SUBSTITUTE(SUBSTITUTE("type:"&amp;B182,"%","%25"),"~","%7E"),"*","%2A"),"?","%3F"),'Rules'!$G$7:$G$26,0))="hours",INDEX('Rules'!$B$7:$B$26,MATCH(SUBSTITUTE(SUBSTITUTE(SUBSTITUTE(SUBSTITUTE("type:"&amp;B182,"%","%25"),"~","%7E"),"*","%2A"),"?","%3F"),'Rules'!$G$7:$G$26,0))="km"),INDEX('Rules'!$B$7:$B$26,MATCH(SUBSTITUTE(SUBSTITUTE(SUBSTITUTE(SUBSTITUTE("type:"&amp;B182,"%","%25"),"~","%7E"),"*","%2A"),"?","%3F"),'Rules'!$G$7:$G$26,0)),""))</x:f>
      </x:c>
      <x:c r="I182" s="6" t="str">
        <x:f>IF(AND(NOT(COUNTA(A182:F182)=0),K182=""),ROUND(J182-D182,3),"")</x:f>
      </x:c>
      <x:c r="J182" s="6" t="str">
        <x:f>IF(AND(NOT(COUNTA(A182:F182)=0),K182=""),ROUND(F182+L182,3),"")</x:f>
      </x:c>
      <x:c r="K182" s="5" t="str">
        <x:f>IF(COUNTA(A182:F182)=0,"",IF(A182="","Missing equipment ID",IF(COUNTIFS($N$8:$N$2007,"="&amp;N182)&gt;1,"Duplicate equipment ID",IF(B182="","Missing type",IF(COUNTIFS('Rules'!$G$7:$G$26,"="&amp;(SUBSTITUTE(SUBSTITUTE(SUBSTITUTE(SUBSTITUTE("type:"&amp;B182,"%","%25"),"~","%7E"),"*","%2A"),"?","%3F")))=0,"Unknown type",IF(COUNTIFS('Rules'!$G$7:$G$26,"="&amp;(SUBSTITUTE(SUBSTITUTE(SUBSTITUTE(SUBSTITUTE("type:"&amp;B182,"%","%25"),"~","%7E"),"*","%2A"),"?","%3F")))&gt;1,"Duplicate type",IF(INDEX('Rules'!$F$7:$F$26,MATCH(SUBSTITUTE(SUBSTITUTE(SUBSTITUTE(SUBSTITUTE("type:"&amp;B182,"%","%25"),"~","%7E"),"*","%2A"),"?","%3F"),'Rules'!$G$7:$G$26,0))&lt;&gt;"",INDEX('Rules'!$F$7:$F$26,MATCH(SUBSTITUTE(SUBSTITUTE(SUBSTITUTE(SUBSTITUTE("type:"&amp;B182,"%","%25"),"~","%7E"),"*","%2A"),"?","%3F"),'Rules'!$G$7:$G$26,0)),IF(AND(C182&lt;&gt;"",C182&lt;&gt;INDEX('Rules'!$B$7:$B$26,MATCH(SUBSTITUTE(SUBSTITUTE(SUBSTITUTE(SUBSTITUTE("type:"&amp;B182,"%","%25"),"~","%7E"),"*","%2A"),"?","%3F"),'Rules'!$G$7:$G$26,0))),"Unit mismatch",IF(IF(NOT(ISNUMBER(D182)),TRUE,OR(D182&lt;0,D182&gt;999999999,ROUND(D182,3)&lt;&gt;D182)),"Invalid current reading",IF(AND(E182&lt;&gt;"",IF(NOT(ISNUMBER(E182)),TRUE,OR(E182&lt;0,E182&gt;999999999,ROUND(E182,3)&lt;&gt;E182))),"Invalid previous reading",IF(IF(NOT(ISNUMBER(F182)),TRUE,OR(F182&lt;0,F182&gt;999999999,ROUND(F182,3)&lt;&gt;F182)),"Invalid last service",IF(AND(E182&lt;&gt;"",D182&lt;E182),"Decreased reading",IF(F182&gt;D182,"Last service above current","")))))))))))))</x:f>
      </x:c>
      <x:c r="L182" s="6" t="str">
        <x:f>IF(AND(NOT(COUNTA(A182:F182)=0),K182=""),INDEX('Rules'!$C$7:$C$26,MATCH(SUBSTITUTE(SUBSTITUTE(SUBSTITUTE(SUBSTITUTE("type:"&amp;B182,"%","%25"),"~","%7E"),"*","%2A"),"?","%3F"),'Rules'!$G$7:$G$26,0)),"")</x:f>
      </x:c>
      <x:c r="M182" s="6" t="str">
        <x:f>IF(AND(NOT(COUNTA(A182:F182)=0),K182=""),INDEX('Rules'!$D$7:$D$26,MATCH(SUBSTITUTE(SUBSTITUTE(SUBSTITUTE(SUBSTITUTE("type:"&amp;B182,"%","%25"),"~","%7E"),"*","%2A"),"?","%3F"),'Rules'!$G$7:$G$26,0)),"")</x:f>
      </x:c>
      <x:c r="N182" s="5" t="str">
        <x:f>IF(COUNTA(A182:F182)=0,"",SUBSTITUTE(SUBSTITUTE(SUBSTITUTE(SUBSTITUTE("id:"&amp;A182,"%","%25"),"~","%7E"),"*","%2A"),"?","%3F"))</x:f>
      </x:c>
    </x:row>
    <x:row r="183" ht="22" customHeight="1">
      <x:c r="A183" s="3"/>
      <x:c r="B183" s="3"/>
      <x:c r="C183" s="3"/>
      <x:c r="D183" s="4"/>
      <x:c r="E183" s="4"/>
      <x:c r="F183" s="4"/>
      <x:c r="G183" s="5" t="str">
        <x:f>IF(COUNTA(A183:F183)=0,"",IF(K183&lt;&gt;"","Review",IF(I183&lt;0,"Overdue",IF(I183=0,"Due now",IF(I183&lt;=M183,"Due soon","Not due")))))</x:f>
      </x:c>
      <x:c r="H183" s="5" t="str">
        <x:f>IF(OR(COUNTA(A183:F183)=0,COUNTIFS('Rules'!$G$7:$G$26,"="&amp;(SUBSTITUTE(SUBSTITUTE(SUBSTITUTE(SUBSTITUTE("type:"&amp;B183,"%","%25"),"~","%7E"),"*","%2A"),"?","%3F")))&lt;&gt;1),"",IF(OR(INDEX('Rules'!$B$7:$B$26,MATCH(SUBSTITUTE(SUBSTITUTE(SUBSTITUTE(SUBSTITUTE("type:"&amp;B183,"%","%25"),"~","%7E"),"*","%2A"),"?","%3F"),'Rules'!$G$7:$G$26,0))="hours",INDEX('Rules'!$B$7:$B$26,MATCH(SUBSTITUTE(SUBSTITUTE(SUBSTITUTE(SUBSTITUTE("type:"&amp;B183,"%","%25"),"~","%7E"),"*","%2A"),"?","%3F"),'Rules'!$G$7:$G$26,0))="km"),INDEX('Rules'!$B$7:$B$26,MATCH(SUBSTITUTE(SUBSTITUTE(SUBSTITUTE(SUBSTITUTE("type:"&amp;B183,"%","%25"),"~","%7E"),"*","%2A"),"?","%3F"),'Rules'!$G$7:$G$26,0)),""))</x:f>
      </x:c>
      <x:c r="I183" s="6" t="str">
        <x:f>IF(AND(NOT(COUNTA(A183:F183)=0),K183=""),ROUND(J183-D183,3),"")</x:f>
      </x:c>
      <x:c r="J183" s="6" t="str">
        <x:f>IF(AND(NOT(COUNTA(A183:F183)=0),K183=""),ROUND(F183+L183,3),"")</x:f>
      </x:c>
      <x:c r="K183" s="5" t="str">
        <x:f>IF(COUNTA(A183:F183)=0,"",IF(A183="","Missing equipment ID",IF(COUNTIFS($N$8:$N$2007,"="&amp;N183)&gt;1,"Duplicate equipment ID",IF(B183="","Missing type",IF(COUNTIFS('Rules'!$G$7:$G$26,"="&amp;(SUBSTITUTE(SUBSTITUTE(SUBSTITUTE(SUBSTITUTE("type:"&amp;B183,"%","%25"),"~","%7E"),"*","%2A"),"?","%3F")))=0,"Unknown type",IF(COUNTIFS('Rules'!$G$7:$G$26,"="&amp;(SUBSTITUTE(SUBSTITUTE(SUBSTITUTE(SUBSTITUTE("type:"&amp;B183,"%","%25"),"~","%7E"),"*","%2A"),"?","%3F")))&gt;1,"Duplicate type",IF(INDEX('Rules'!$F$7:$F$26,MATCH(SUBSTITUTE(SUBSTITUTE(SUBSTITUTE(SUBSTITUTE("type:"&amp;B183,"%","%25"),"~","%7E"),"*","%2A"),"?","%3F"),'Rules'!$G$7:$G$26,0))&lt;&gt;"",INDEX('Rules'!$F$7:$F$26,MATCH(SUBSTITUTE(SUBSTITUTE(SUBSTITUTE(SUBSTITUTE("type:"&amp;B183,"%","%25"),"~","%7E"),"*","%2A"),"?","%3F"),'Rules'!$G$7:$G$26,0)),IF(AND(C183&lt;&gt;"",C183&lt;&gt;INDEX('Rules'!$B$7:$B$26,MATCH(SUBSTITUTE(SUBSTITUTE(SUBSTITUTE(SUBSTITUTE("type:"&amp;B183,"%","%25"),"~","%7E"),"*","%2A"),"?","%3F"),'Rules'!$G$7:$G$26,0))),"Unit mismatch",IF(IF(NOT(ISNUMBER(D183)),TRUE,OR(D183&lt;0,D183&gt;999999999,ROUND(D183,3)&lt;&gt;D183)),"Invalid current reading",IF(AND(E183&lt;&gt;"",IF(NOT(ISNUMBER(E183)),TRUE,OR(E183&lt;0,E183&gt;999999999,ROUND(E183,3)&lt;&gt;E183))),"Invalid previous reading",IF(IF(NOT(ISNUMBER(F183)),TRUE,OR(F183&lt;0,F183&gt;999999999,ROUND(F183,3)&lt;&gt;F183)),"Invalid last service",IF(AND(E183&lt;&gt;"",D183&lt;E183),"Decreased reading",IF(F183&gt;D183,"Last service above current","")))))))))))))</x:f>
      </x:c>
      <x:c r="L183" s="6" t="str">
        <x:f>IF(AND(NOT(COUNTA(A183:F183)=0),K183=""),INDEX('Rules'!$C$7:$C$26,MATCH(SUBSTITUTE(SUBSTITUTE(SUBSTITUTE(SUBSTITUTE("type:"&amp;B183,"%","%25"),"~","%7E"),"*","%2A"),"?","%3F"),'Rules'!$G$7:$G$26,0)),"")</x:f>
      </x:c>
      <x:c r="M183" s="6" t="str">
        <x:f>IF(AND(NOT(COUNTA(A183:F183)=0),K183=""),INDEX('Rules'!$D$7:$D$26,MATCH(SUBSTITUTE(SUBSTITUTE(SUBSTITUTE(SUBSTITUTE("type:"&amp;B183,"%","%25"),"~","%7E"),"*","%2A"),"?","%3F"),'Rules'!$G$7:$G$26,0)),"")</x:f>
      </x:c>
      <x:c r="N183" s="5" t="str">
        <x:f>IF(COUNTA(A183:F183)=0,"",SUBSTITUTE(SUBSTITUTE(SUBSTITUTE(SUBSTITUTE("id:"&amp;A183,"%","%25"),"~","%7E"),"*","%2A"),"?","%3F"))</x:f>
      </x:c>
    </x:row>
    <x:row r="184" ht="22" customHeight="1">
      <x:c r="A184" s="3"/>
      <x:c r="B184" s="3"/>
      <x:c r="C184" s="3"/>
      <x:c r="D184" s="4"/>
      <x:c r="E184" s="4"/>
      <x:c r="F184" s="4"/>
      <x:c r="G184" s="5" t="str">
        <x:f>IF(COUNTA(A184:F184)=0,"",IF(K184&lt;&gt;"","Review",IF(I184&lt;0,"Overdue",IF(I184=0,"Due now",IF(I184&lt;=M184,"Due soon","Not due")))))</x:f>
      </x:c>
      <x:c r="H184" s="5" t="str">
        <x:f>IF(OR(COUNTA(A184:F184)=0,COUNTIFS('Rules'!$G$7:$G$26,"="&amp;(SUBSTITUTE(SUBSTITUTE(SUBSTITUTE(SUBSTITUTE("type:"&amp;B184,"%","%25"),"~","%7E"),"*","%2A"),"?","%3F")))&lt;&gt;1),"",IF(OR(INDEX('Rules'!$B$7:$B$26,MATCH(SUBSTITUTE(SUBSTITUTE(SUBSTITUTE(SUBSTITUTE("type:"&amp;B184,"%","%25"),"~","%7E"),"*","%2A"),"?","%3F"),'Rules'!$G$7:$G$26,0))="hours",INDEX('Rules'!$B$7:$B$26,MATCH(SUBSTITUTE(SUBSTITUTE(SUBSTITUTE(SUBSTITUTE("type:"&amp;B184,"%","%25"),"~","%7E"),"*","%2A"),"?","%3F"),'Rules'!$G$7:$G$26,0))="km"),INDEX('Rules'!$B$7:$B$26,MATCH(SUBSTITUTE(SUBSTITUTE(SUBSTITUTE(SUBSTITUTE("type:"&amp;B184,"%","%25"),"~","%7E"),"*","%2A"),"?","%3F"),'Rules'!$G$7:$G$26,0)),""))</x:f>
      </x:c>
      <x:c r="I184" s="6" t="str">
        <x:f>IF(AND(NOT(COUNTA(A184:F184)=0),K184=""),ROUND(J184-D184,3),"")</x:f>
      </x:c>
      <x:c r="J184" s="6" t="str">
        <x:f>IF(AND(NOT(COUNTA(A184:F184)=0),K184=""),ROUND(F184+L184,3),"")</x:f>
      </x:c>
      <x:c r="K184" s="5" t="str">
        <x:f>IF(COUNTA(A184:F184)=0,"",IF(A184="","Missing equipment ID",IF(COUNTIFS($N$8:$N$2007,"="&amp;N184)&gt;1,"Duplicate equipment ID",IF(B184="","Missing type",IF(COUNTIFS('Rules'!$G$7:$G$26,"="&amp;(SUBSTITUTE(SUBSTITUTE(SUBSTITUTE(SUBSTITUTE("type:"&amp;B184,"%","%25"),"~","%7E"),"*","%2A"),"?","%3F")))=0,"Unknown type",IF(COUNTIFS('Rules'!$G$7:$G$26,"="&amp;(SUBSTITUTE(SUBSTITUTE(SUBSTITUTE(SUBSTITUTE("type:"&amp;B184,"%","%25"),"~","%7E"),"*","%2A"),"?","%3F")))&gt;1,"Duplicate type",IF(INDEX('Rules'!$F$7:$F$26,MATCH(SUBSTITUTE(SUBSTITUTE(SUBSTITUTE(SUBSTITUTE("type:"&amp;B184,"%","%25"),"~","%7E"),"*","%2A"),"?","%3F"),'Rules'!$G$7:$G$26,0))&lt;&gt;"",INDEX('Rules'!$F$7:$F$26,MATCH(SUBSTITUTE(SUBSTITUTE(SUBSTITUTE(SUBSTITUTE("type:"&amp;B184,"%","%25"),"~","%7E"),"*","%2A"),"?","%3F"),'Rules'!$G$7:$G$26,0)),IF(AND(C184&lt;&gt;"",C184&lt;&gt;INDEX('Rules'!$B$7:$B$26,MATCH(SUBSTITUTE(SUBSTITUTE(SUBSTITUTE(SUBSTITUTE("type:"&amp;B184,"%","%25"),"~","%7E"),"*","%2A"),"?","%3F"),'Rules'!$G$7:$G$26,0))),"Unit mismatch",IF(IF(NOT(ISNUMBER(D184)),TRUE,OR(D184&lt;0,D184&gt;999999999,ROUND(D184,3)&lt;&gt;D184)),"Invalid current reading",IF(AND(E184&lt;&gt;"",IF(NOT(ISNUMBER(E184)),TRUE,OR(E184&lt;0,E184&gt;999999999,ROUND(E184,3)&lt;&gt;E184))),"Invalid previous reading",IF(IF(NOT(ISNUMBER(F184)),TRUE,OR(F184&lt;0,F184&gt;999999999,ROUND(F184,3)&lt;&gt;F184)),"Invalid last service",IF(AND(E184&lt;&gt;"",D184&lt;E184),"Decreased reading",IF(F184&gt;D184,"Last service above current","")))))))))))))</x:f>
      </x:c>
      <x:c r="L184" s="6" t="str">
        <x:f>IF(AND(NOT(COUNTA(A184:F184)=0),K184=""),INDEX('Rules'!$C$7:$C$26,MATCH(SUBSTITUTE(SUBSTITUTE(SUBSTITUTE(SUBSTITUTE("type:"&amp;B184,"%","%25"),"~","%7E"),"*","%2A"),"?","%3F"),'Rules'!$G$7:$G$26,0)),"")</x:f>
      </x:c>
      <x:c r="M184" s="6" t="str">
        <x:f>IF(AND(NOT(COUNTA(A184:F184)=0),K184=""),INDEX('Rules'!$D$7:$D$26,MATCH(SUBSTITUTE(SUBSTITUTE(SUBSTITUTE(SUBSTITUTE("type:"&amp;B184,"%","%25"),"~","%7E"),"*","%2A"),"?","%3F"),'Rules'!$G$7:$G$26,0)),"")</x:f>
      </x:c>
      <x:c r="N184" s="5" t="str">
        <x:f>IF(COUNTA(A184:F184)=0,"",SUBSTITUTE(SUBSTITUTE(SUBSTITUTE(SUBSTITUTE("id:"&amp;A184,"%","%25"),"~","%7E"),"*","%2A"),"?","%3F"))</x:f>
      </x:c>
    </x:row>
    <x:row r="185" ht="22" customHeight="1">
      <x:c r="A185" s="3"/>
      <x:c r="B185" s="3"/>
      <x:c r="C185" s="3"/>
      <x:c r="D185" s="4"/>
      <x:c r="E185" s="4"/>
      <x:c r="F185" s="4"/>
      <x:c r="G185" s="5" t="str">
        <x:f>IF(COUNTA(A185:F185)=0,"",IF(K185&lt;&gt;"","Review",IF(I185&lt;0,"Overdue",IF(I185=0,"Due now",IF(I185&lt;=M185,"Due soon","Not due")))))</x:f>
      </x:c>
      <x:c r="H185" s="5" t="str">
        <x:f>IF(OR(COUNTA(A185:F185)=0,COUNTIFS('Rules'!$G$7:$G$26,"="&amp;(SUBSTITUTE(SUBSTITUTE(SUBSTITUTE(SUBSTITUTE("type:"&amp;B185,"%","%25"),"~","%7E"),"*","%2A"),"?","%3F")))&lt;&gt;1),"",IF(OR(INDEX('Rules'!$B$7:$B$26,MATCH(SUBSTITUTE(SUBSTITUTE(SUBSTITUTE(SUBSTITUTE("type:"&amp;B185,"%","%25"),"~","%7E"),"*","%2A"),"?","%3F"),'Rules'!$G$7:$G$26,0))="hours",INDEX('Rules'!$B$7:$B$26,MATCH(SUBSTITUTE(SUBSTITUTE(SUBSTITUTE(SUBSTITUTE("type:"&amp;B185,"%","%25"),"~","%7E"),"*","%2A"),"?","%3F"),'Rules'!$G$7:$G$26,0))="km"),INDEX('Rules'!$B$7:$B$26,MATCH(SUBSTITUTE(SUBSTITUTE(SUBSTITUTE(SUBSTITUTE("type:"&amp;B185,"%","%25"),"~","%7E"),"*","%2A"),"?","%3F"),'Rules'!$G$7:$G$26,0)),""))</x:f>
      </x:c>
      <x:c r="I185" s="6" t="str">
        <x:f>IF(AND(NOT(COUNTA(A185:F185)=0),K185=""),ROUND(J185-D185,3),"")</x:f>
      </x:c>
      <x:c r="J185" s="6" t="str">
        <x:f>IF(AND(NOT(COUNTA(A185:F185)=0),K185=""),ROUND(F185+L185,3),"")</x:f>
      </x:c>
      <x:c r="K185" s="5" t="str">
        <x:f>IF(COUNTA(A185:F185)=0,"",IF(A185="","Missing equipment ID",IF(COUNTIFS($N$8:$N$2007,"="&amp;N185)&gt;1,"Duplicate equipment ID",IF(B185="","Missing type",IF(COUNTIFS('Rules'!$G$7:$G$26,"="&amp;(SUBSTITUTE(SUBSTITUTE(SUBSTITUTE(SUBSTITUTE("type:"&amp;B185,"%","%25"),"~","%7E"),"*","%2A"),"?","%3F")))=0,"Unknown type",IF(COUNTIFS('Rules'!$G$7:$G$26,"="&amp;(SUBSTITUTE(SUBSTITUTE(SUBSTITUTE(SUBSTITUTE("type:"&amp;B185,"%","%25"),"~","%7E"),"*","%2A"),"?","%3F")))&gt;1,"Duplicate type",IF(INDEX('Rules'!$F$7:$F$26,MATCH(SUBSTITUTE(SUBSTITUTE(SUBSTITUTE(SUBSTITUTE("type:"&amp;B185,"%","%25"),"~","%7E"),"*","%2A"),"?","%3F"),'Rules'!$G$7:$G$26,0))&lt;&gt;"",INDEX('Rules'!$F$7:$F$26,MATCH(SUBSTITUTE(SUBSTITUTE(SUBSTITUTE(SUBSTITUTE("type:"&amp;B185,"%","%25"),"~","%7E"),"*","%2A"),"?","%3F"),'Rules'!$G$7:$G$26,0)),IF(AND(C185&lt;&gt;"",C185&lt;&gt;INDEX('Rules'!$B$7:$B$26,MATCH(SUBSTITUTE(SUBSTITUTE(SUBSTITUTE(SUBSTITUTE("type:"&amp;B185,"%","%25"),"~","%7E"),"*","%2A"),"?","%3F"),'Rules'!$G$7:$G$26,0))),"Unit mismatch",IF(IF(NOT(ISNUMBER(D185)),TRUE,OR(D185&lt;0,D185&gt;999999999,ROUND(D185,3)&lt;&gt;D185)),"Invalid current reading",IF(AND(E185&lt;&gt;"",IF(NOT(ISNUMBER(E185)),TRUE,OR(E185&lt;0,E185&gt;999999999,ROUND(E185,3)&lt;&gt;E185))),"Invalid previous reading",IF(IF(NOT(ISNUMBER(F185)),TRUE,OR(F185&lt;0,F185&gt;999999999,ROUND(F185,3)&lt;&gt;F185)),"Invalid last service",IF(AND(E185&lt;&gt;"",D185&lt;E185),"Decreased reading",IF(F185&gt;D185,"Last service above current","")))))))))))))</x:f>
      </x:c>
      <x:c r="L185" s="6" t="str">
        <x:f>IF(AND(NOT(COUNTA(A185:F185)=0),K185=""),INDEX('Rules'!$C$7:$C$26,MATCH(SUBSTITUTE(SUBSTITUTE(SUBSTITUTE(SUBSTITUTE("type:"&amp;B185,"%","%25"),"~","%7E"),"*","%2A"),"?","%3F"),'Rules'!$G$7:$G$26,0)),"")</x:f>
      </x:c>
      <x:c r="M185" s="6" t="str">
        <x:f>IF(AND(NOT(COUNTA(A185:F185)=0),K185=""),INDEX('Rules'!$D$7:$D$26,MATCH(SUBSTITUTE(SUBSTITUTE(SUBSTITUTE(SUBSTITUTE("type:"&amp;B185,"%","%25"),"~","%7E"),"*","%2A"),"?","%3F"),'Rules'!$G$7:$G$26,0)),"")</x:f>
      </x:c>
      <x:c r="N185" s="5" t="str">
        <x:f>IF(COUNTA(A185:F185)=0,"",SUBSTITUTE(SUBSTITUTE(SUBSTITUTE(SUBSTITUTE("id:"&amp;A185,"%","%25"),"~","%7E"),"*","%2A"),"?","%3F"))</x:f>
      </x:c>
    </x:row>
    <x:row r="186" ht="22" customHeight="1">
      <x:c r="A186" s="3"/>
      <x:c r="B186" s="3"/>
      <x:c r="C186" s="3"/>
      <x:c r="D186" s="4"/>
      <x:c r="E186" s="4"/>
      <x:c r="F186" s="4"/>
      <x:c r="G186" s="5" t="str">
        <x:f>IF(COUNTA(A186:F186)=0,"",IF(K186&lt;&gt;"","Review",IF(I186&lt;0,"Overdue",IF(I186=0,"Due now",IF(I186&lt;=M186,"Due soon","Not due")))))</x:f>
      </x:c>
      <x:c r="H186" s="5" t="str">
        <x:f>IF(OR(COUNTA(A186:F186)=0,COUNTIFS('Rules'!$G$7:$G$26,"="&amp;(SUBSTITUTE(SUBSTITUTE(SUBSTITUTE(SUBSTITUTE("type:"&amp;B186,"%","%25"),"~","%7E"),"*","%2A"),"?","%3F")))&lt;&gt;1),"",IF(OR(INDEX('Rules'!$B$7:$B$26,MATCH(SUBSTITUTE(SUBSTITUTE(SUBSTITUTE(SUBSTITUTE("type:"&amp;B186,"%","%25"),"~","%7E"),"*","%2A"),"?","%3F"),'Rules'!$G$7:$G$26,0))="hours",INDEX('Rules'!$B$7:$B$26,MATCH(SUBSTITUTE(SUBSTITUTE(SUBSTITUTE(SUBSTITUTE("type:"&amp;B186,"%","%25"),"~","%7E"),"*","%2A"),"?","%3F"),'Rules'!$G$7:$G$26,0))="km"),INDEX('Rules'!$B$7:$B$26,MATCH(SUBSTITUTE(SUBSTITUTE(SUBSTITUTE(SUBSTITUTE("type:"&amp;B186,"%","%25"),"~","%7E"),"*","%2A"),"?","%3F"),'Rules'!$G$7:$G$26,0)),""))</x:f>
      </x:c>
      <x:c r="I186" s="6" t="str">
        <x:f>IF(AND(NOT(COUNTA(A186:F186)=0),K186=""),ROUND(J186-D186,3),"")</x:f>
      </x:c>
      <x:c r="J186" s="6" t="str">
        <x:f>IF(AND(NOT(COUNTA(A186:F186)=0),K186=""),ROUND(F186+L186,3),"")</x:f>
      </x:c>
      <x:c r="K186" s="5" t="str">
        <x:f>IF(COUNTA(A186:F186)=0,"",IF(A186="","Missing equipment ID",IF(COUNTIFS($N$8:$N$2007,"="&amp;N186)&gt;1,"Duplicate equipment ID",IF(B186="","Missing type",IF(COUNTIFS('Rules'!$G$7:$G$26,"="&amp;(SUBSTITUTE(SUBSTITUTE(SUBSTITUTE(SUBSTITUTE("type:"&amp;B186,"%","%25"),"~","%7E"),"*","%2A"),"?","%3F")))=0,"Unknown type",IF(COUNTIFS('Rules'!$G$7:$G$26,"="&amp;(SUBSTITUTE(SUBSTITUTE(SUBSTITUTE(SUBSTITUTE("type:"&amp;B186,"%","%25"),"~","%7E"),"*","%2A"),"?","%3F")))&gt;1,"Duplicate type",IF(INDEX('Rules'!$F$7:$F$26,MATCH(SUBSTITUTE(SUBSTITUTE(SUBSTITUTE(SUBSTITUTE("type:"&amp;B186,"%","%25"),"~","%7E"),"*","%2A"),"?","%3F"),'Rules'!$G$7:$G$26,0))&lt;&gt;"",INDEX('Rules'!$F$7:$F$26,MATCH(SUBSTITUTE(SUBSTITUTE(SUBSTITUTE(SUBSTITUTE("type:"&amp;B186,"%","%25"),"~","%7E"),"*","%2A"),"?","%3F"),'Rules'!$G$7:$G$26,0)),IF(AND(C186&lt;&gt;"",C186&lt;&gt;INDEX('Rules'!$B$7:$B$26,MATCH(SUBSTITUTE(SUBSTITUTE(SUBSTITUTE(SUBSTITUTE("type:"&amp;B186,"%","%25"),"~","%7E"),"*","%2A"),"?","%3F"),'Rules'!$G$7:$G$26,0))),"Unit mismatch",IF(IF(NOT(ISNUMBER(D186)),TRUE,OR(D186&lt;0,D186&gt;999999999,ROUND(D186,3)&lt;&gt;D186)),"Invalid current reading",IF(AND(E186&lt;&gt;"",IF(NOT(ISNUMBER(E186)),TRUE,OR(E186&lt;0,E186&gt;999999999,ROUND(E186,3)&lt;&gt;E186))),"Invalid previous reading",IF(IF(NOT(ISNUMBER(F186)),TRUE,OR(F186&lt;0,F186&gt;999999999,ROUND(F186,3)&lt;&gt;F186)),"Invalid last service",IF(AND(E186&lt;&gt;"",D186&lt;E186),"Decreased reading",IF(F186&gt;D186,"Last service above current","")))))))))))))</x:f>
      </x:c>
      <x:c r="L186" s="6" t="str">
        <x:f>IF(AND(NOT(COUNTA(A186:F186)=0),K186=""),INDEX('Rules'!$C$7:$C$26,MATCH(SUBSTITUTE(SUBSTITUTE(SUBSTITUTE(SUBSTITUTE("type:"&amp;B186,"%","%25"),"~","%7E"),"*","%2A"),"?","%3F"),'Rules'!$G$7:$G$26,0)),"")</x:f>
      </x:c>
      <x:c r="M186" s="6" t="str">
        <x:f>IF(AND(NOT(COUNTA(A186:F186)=0),K186=""),INDEX('Rules'!$D$7:$D$26,MATCH(SUBSTITUTE(SUBSTITUTE(SUBSTITUTE(SUBSTITUTE("type:"&amp;B186,"%","%25"),"~","%7E"),"*","%2A"),"?","%3F"),'Rules'!$G$7:$G$26,0)),"")</x:f>
      </x:c>
      <x:c r="N186" s="5" t="str">
        <x:f>IF(COUNTA(A186:F186)=0,"",SUBSTITUTE(SUBSTITUTE(SUBSTITUTE(SUBSTITUTE("id:"&amp;A186,"%","%25"),"~","%7E"),"*","%2A"),"?","%3F"))</x:f>
      </x:c>
    </x:row>
    <x:row r="187" ht="22" customHeight="1">
      <x:c r="A187" s="3"/>
      <x:c r="B187" s="3"/>
      <x:c r="C187" s="3"/>
      <x:c r="D187" s="4"/>
      <x:c r="E187" s="4"/>
      <x:c r="F187" s="4"/>
      <x:c r="G187" s="5" t="str">
        <x:f>IF(COUNTA(A187:F187)=0,"",IF(K187&lt;&gt;"","Review",IF(I187&lt;0,"Overdue",IF(I187=0,"Due now",IF(I187&lt;=M187,"Due soon","Not due")))))</x:f>
      </x:c>
      <x:c r="H187" s="5" t="str">
        <x:f>IF(OR(COUNTA(A187:F187)=0,COUNTIFS('Rules'!$G$7:$G$26,"="&amp;(SUBSTITUTE(SUBSTITUTE(SUBSTITUTE(SUBSTITUTE("type:"&amp;B187,"%","%25"),"~","%7E"),"*","%2A"),"?","%3F")))&lt;&gt;1),"",IF(OR(INDEX('Rules'!$B$7:$B$26,MATCH(SUBSTITUTE(SUBSTITUTE(SUBSTITUTE(SUBSTITUTE("type:"&amp;B187,"%","%25"),"~","%7E"),"*","%2A"),"?","%3F"),'Rules'!$G$7:$G$26,0))="hours",INDEX('Rules'!$B$7:$B$26,MATCH(SUBSTITUTE(SUBSTITUTE(SUBSTITUTE(SUBSTITUTE("type:"&amp;B187,"%","%25"),"~","%7E"),"*","%2A"),"?","%3F"),'Rules'!$G$7:$G$26,0))="km"),INDEX('Rules'!$B$7:$B$26,MATCH(SUBSTITUTE(SUBSTITUTE(SUBSTITUTE(SUBSTITUTE("type:"&amp;B187,"%","%25"),"~","%7E"),"*","%2A"),"?","%3F"),'Rules'!$G$7:$G$26,0)),""))</x:f>
      </x:c>
      <x:c r="I187" s="6" t="str">
        <x:f>IF(AND(NOT(COUNTA(A187:F187)=0),K187=""),ROUND(J187-D187,3),"")</x:f>
      </x:c>
      <x:c r="J187" s="6" t="str">
        <x:f>IF(AND(NOT(COUNTA(A187:F187)=0),K187=""),ROUND(F187+L187,3),"")</x:f>
      </x:c>
      <x:c r="K187" s="5" t="str">
        <x:f>IF(COUNTA(A187:F187)=0,"",IF(A187="","Missing equipment ID",IF(COUNTIFS($N$8:$N$2007,"="&amp;N187)&gt;1,"Duplicate equipment ID",IF(B187="","Missing type",IF(COUNTIFS('Rules'!$G$7:$G$26,"="&amp;(SUBSTITUTE(SUBSTITUTE(SUBSTITUTE(SUBSTITUTE("type:"&amp;B187,"%","%25"),"~","%7E"),"*","%2A"),"?","%3F")))=0,"Unknown type",IF(COUNTIFS('Rules'!$G$7:$G$26,"="&amp;(SUBSTITUTE(SUBSTITUTE(SUBSTITUTE(SUBSTITUTE("type:"&amp;B187,"%","%25"),"~","%7E"),"*","%2A"),"?","%3F")))&gt;1,"Duplicate type",IF(INDEX('Rules'!$F$7:$F$26,MATCH(SUBSTITUTE(SUBSTITUTE(SUBSTITUTE(SUBSTITUTE("type:"&amp;B187,"%","%25"),"~","%7E"),"*","%2A"),"?","%3F"),'Rules'!$G$7:$G$26,0))&lt;&gt;"",INDEX('Rules'!$F$7:$F$26,MATCH(SUBSTITUTE(SUBSTITUTE(SUBSTITUTE(SUBSTITUTE("type:"&amp;B187,"%","%25"),"~","%7E"),"*","%2A"),"?","%3F"),'Rules'!$G$7:$G$26,0)),IF(AND(C187&lt;&gt;"",C187&lt;&gt;INDEX('Rules'!$B$7:$B$26,MATCH(SUBSTITUTE(SUBSTITUTE(SUBSTITUTE(SUBSTITUTE("type:"&amp;B187,"%","%25"),"~","%7E"),"*","%2A"),"?","%3F"),'Rules'!$G$7:$G$26,0))),"Unit mismatch",IF(IF(NOT(ISNUMBER(D187)),TRUE,OR(D187&lt;0,D187&gt;999999999,ROUND(D187,3)&lt;&gt;D187)),"Invalid current reading",IF(AND(E187&lt;&gt;"",IF(NOT(ISNUMBER(E187)),TRUE,OR(E187&lt;0,E187&gt;999999999,ROUND(E187,3)&lt;&gt;E187))),"Invalid previous reading",IF(IF(NOT(ISNUMBER(F187)),TRUE,OR(F187&lt;0,F187&gt;999999999,ROUND(F187,3)&lt;&gt;F187)),"Invalid last service",IF(AND(E187&lt;&gt;"",D187&lt;E187),"Decreased reading",IF(F187&gt;D187,"Last service above current","")))))))))))))</x:f>
      </x:c>
      <x:c r="L187" s="6" t="str">
        <x:f>IF(AND(NOT(COUNTA(A187:F187)=0),K187=""),INDEX('Rules'!$C$7:$C$26,MATCH(SUBSTITUTE(SUBSTITUTE(SUBSTITUTE(SUBSTITUTE("type:"&amp;B187,"%","%25"),"~","%7E"),"*","%2A"),"?","%3F"),'Rules'!$G$7:$G$26,0)),"")</x:f>
      </x:c>
      <x:c r="M187" s="6" t="str">
        <x:f>IF(AND(NOT(COUNTA(A187:F187)=0),K187=""),INDEX('Rules'!$D$7:$D$26,MATCH(SUBSTITUTE(SUBSTITUTE(SUBSTITUTE(SUBSTITUTE("type:"&amp;B187,"%","%25"),"~","%7E"),"*","%2A"),"?","%3F"),'Rules'!$G$7:$G$26,0)),"")</x:f>
      </x:c>
      <x:c r="N187" s="5" t="str">
        <x:f>IF(COUNTA(A187:F187)=0,"",SUBSTITUTE(SUBSTITUTE(SUBSTITUTE(SUBSTITUTE("id:"&amp;A187,"%","%25"),"~","%7E"),"*","%2A"),"?","%3F"))</x:f>
      </x:c>
    </x:row>
    <x:row r="188" ht="22" customHeight="1">
      <x:c r="A188" s="3"/>
      <x:c r="B188" s="3"/>
      <x:c r="C188" s="3"/>
      <x:c r="D188" s="4"/>
      <x:c r="E188" s="4"/>
      <x:c r="F188" s="4"/>
      <x:c r="G188" s="5" t="str">
        <x:f>IF(COUNTA(A188:F188)=0,"",IF(K188&lt;&gt;"","Review",IF(I188&lt;0,"Overdue",IF(I188=0,"Due now",IF(I188&lt;=M188,"Due soon","Not due")))))</x:f>
      </x:c>
      <x:c r="H188" s="5" t="str">
        <x:f>IF(OR(COUNTA(A188:F188)=0,COUNTIFS('Rules'!$G$7:$G$26,"="&amp;(SUBSTITUTE(SUBSTITUTE(SUBSTITUTE(SUBSTITUTE("type:"&amp;B188,"%","%25"),"~","%7E"),"*","%2A"),"?","%3F")))&lt;&gt;1),"",IF(OR(INDEX('Rules'!$B$7:$B$26,MATCH(SUBSTITUTE(SUBSTITUTE(SUBSTITUTE(SUBSTITUTE("type:"&amp;B188,"%","%25"),"~","%7E"),"*","%2A"),"?","%3F"),'Rules'!$G$7:$G$26,0))="hours",INDEX('Rules'!$B$7:$B$26,MATCH(SUBSTITUTE(SUBSTITUTE(SUBSTITUTE(SUBSTITUTE("type:"&amp;B188,"%","%25"),"~","%7E"),"*","%2A"),"?","%3F"),'Rules'!$G$7:$G$26,0))="km"),INDEX('Rules'!$B$7:$B$26,MATCH(SUBSTITUTE(SUBSTITUTE(SUBSTITUTE(SUBSTITUTE("type:"&amp;B188,"%","%25"),"~","%7E"),"*","%2A"),"?","%3F"),'Rules'!$G$7:$G$26,0)),""))</x:f>
      </x:c>
      <x:c r="I188" s="6" t="str">
        <x:f>IF(AND(NOT(COUNTA(A188:F188)=0),K188=""),ROUND(J188-D188,3),"")</x:f>
      </x:c>
      <x:c r="J188" s="6" t="str">
        <x:f>IF(AND(NOT(COUNTA(A188:F188)=0),K188=""),ROUND(F188+L188,3),"")</x:f>
      </x:c>
      <x:c r="K188" s="5" t="str">
        <x:f>IF(COUNTA(A188:F188)=0,"",IF(A188="","Missing equipment ID",IF(COUNTIFS($N$8:$N$2007,"="&amp;N188)&gt;1,"Duplicate equipment ID",IF(B188="","Missing type",IF(COUNTIFS('Rules'!$G$7:$G$26,"="&amp;(SUBSTITUTE(SUBSTITUTE(SUBSTITUTE(SUBSTITUTE("type:"&amp;B188,"%","%25"),"~","%7E"),"*","%2A"),"?","%3F")))=0,"Unknown type",IF(COUNTIFS('Rules'!$G$7:$G$26,"="&amp;(SUBSTITUTE(SUBSTITUTE(SUBSTITUTE(SUBSTITUTE("type:"&amp;B188,"%","%25"),"~","%7E"),"*","%2A"),"?","%3F")))&gt;1,"Duplicate type",IF(INDEX('Rules'!$F$7:$F$26,MATCH(SUBSTITUTE(SUBSTITUTE(SUBSTITUTE(SUBSTITUTE("type:"&amp;B188,"%","%25"),"~","%7E"),"*","%2A"),"?","%3F"),'Rules'!$G$7:$G$26,0))&lt;&gt;"",INDEX('Rules'!$F$7:$F$26,MATCH(SUBSTITUTE(SUBSTITUTE(SUBSTITUTE(SUBSTITUTE("type:"&amp;B188,"%","%25"),"~","%7E"),"*","%2A"),"?","%3F"),'Rules'!$G$7:$G$26,0)),IF(AND(C188&lt;&gt;"",C188&lt;&gt;INDEX('Rules'!$B$7:$B$26,MATCH(SUBSTITUTE(SUBSTITUTE(SUBSTITUTE(SUBSTITUTE("type:"&amp;B188,"%","%25"),"~","%7E"),"*","%2A"),"?","%3F"),'Rules'!$G$7:$G$26,0))),"Unit mismatch",IF(IF(NOT(ISNUMBER(D188)),TRUE,OR(D188&lt;0,D188&gt;999999999,ROUND(D188,3)&lt;&gt;D188)),"Invalid current reading",IF(AND(E188&lt;&gt;"",IF(NOT(ISNUMBER(E188)),TRUE,OR(E188&lt;0,E188&gt;999999999,ROUND(E188,3)&lt;&gt;E188))),"Invalid previous reading",IF(IF(NOT(ISNUMBER(F188)),TRUE,OR(F188&lt;0,F188&gt;999999999,ROUND(F188,3)&lt;&gt;F188)),"Invalid last service",IF(AND(E188&lt;&gt;"",D188&lt;E188),"Decreased reading",IF(F188&gt;D188,"Last service above current","")))))))))))))</x:f>
      </x:c>
      <x:c r="L188" s="6" t="str">
        <x:f>IF(AND(NOT(COUNTA(A188:F188)=0),K188=""),INDEX('Rules'!$C$7:$C$26,MATCH(SUBSTITUTE(SUBSTITUTE(SUBSTITUTE(SUBSTITUTE("type:"&amp;B188,"%","%25"),"~","%7E"),"*","%2A"),"?","%3F"),'Rules'!$G$7:$G$26,0)),"")</x:f>
      </x:c>
      <x:c r="M188" s="6" t="str">
        <x:f>IF(AND(NOT(COUNTA(A188:F188)=0),K188=""),INDEX('Rules'!$D$7:$D$26,MATCH(SUBSTITUTE(SUBSTITUTE(SUBSTITUTE(SUBSTITUTE("type:"&amp;B188,"%","%25"),"~","%7E"),"*","%2A"),"?","%3F"),'Rules'!$G$7:$G$26,0)),"")</x:f>
      </x:c>
      <x:c r="N188" s="5" t="str">
        <x:f>IF(COUNTA(A188:F188)=0,"",SUBSTITUTE(SUBSTITUTE(SUBSTITUTE(SUBSTITUTE("id:"&amp;A188,"%","%25"),"~","%7E"),"*","%2A"),"?","%3F"))</x:f>
      </x:c>
    </x:row>
    <x:row r="189" ht="22" customHeight="1">
      <x:c r="A189" s="3"/>
      <x:c r="B189" s="3"/>
      <x:c r="C189" s="3"/>
      <x:c r="D189" s="4"/>
      <x:c r="E189" s="4"/>
      <x:c r="F189" s="4"/>
      <x:c r="G189" s="5" t="str">
        <x:f>IF(COUNTA(A189:F189)=0,"",IF(K189&lt;&gt;"","Review",IF(I189&lt;0,"Overdue",IF(I189=0,"Due now",IF(I189&lt;=M189,"Due soon","Not due")))))</x:f>
      </x:c>
      <x:c r="H189" s="5" t="str">
        <x:f>IF(OR(COUNTA(A189:F189)=0,COUNTIFS('Rules'!$G$7:$G$26,"="&amp;(SUBSTITUTE(SUBSTITUTE(SUBSTITUTE(SUBSTITUTE("type:"&amp;B189,"%","%25"),"~","%7E"),"*","%2A"),"?","%3F")))&lt;&gt;1),"",IF(OR(INDEX('Rules'!$B$7:$B$26,MATCH(SUBSTITUTE(SUBSTITUTE(SUBSTITUTE(SUBSTITUTE("type:"&amp;B189,"%","%25"),"~","%7E"),"*","%2A"),"?","%3F"),'Rules'!$G$7:$G$26,0))="hours",INDEX('Rules'!$B$7:$B$26,MATCH(SUBSTITUTE(SUBSTITUTE(SUBSTITUTE(SUBSTITUTE("type:"&amp;B189,"%","%25"),"~","%7E"),"*","%2A"),"?","%3F"),'Rules'!$G$7:$G$26,0))="km"),INDEX('Rules'!$B$7:$B$26,MATCH(SUBSTITUTE(SUBSTITUTE(SUBSTITUTE(SUBSTITUTE("type:"&amp;B189,"%","%25"),"~","%7E"),"*","%2A"),"?","%3F"),'Rules'!$G$7:$G$26,0)),""))</x:f>
      </x:c>
      <x:c r="I189" s="6" t="str">
        <x:f>IF(AND(NOT(COUNTA(A189:F189)=0),K189=""),ROUND(J189-D189,3),"")</x:f>
      </x:c>
      <x:c r="J189" s="6" t="str">
        <x:f>IF(AND(NOT(COUNTA(A189:F189)=0),K189=""),ROUND(F189+L189,3),"")</x:f>
      </x:c>
      <x:c r="K189" s="5" t="str">
        <x:f>IF(COUNTA(A189:F189)=0,"",IF(A189="","Missing equipment ID",IF(COUNTIFS($N$8:$N$2007,"="&amp;N189)&gt;1,"Duplicate equipment ID",IF(B189="","Missing type",IF(COUNTIFS('Rules'!$G$7:$G$26,"="&amp;(SUBSTITUTE(SUBSTITUTE(SUBSTITUTE(SUBSTITUTE("type:"&amp;B189,"%","%25"),"~","%7E"),"*","%2A"),"?","%3F")))=0,"Unknown type",IF(COUNTIFS('Rules'!$G$7:$G$26,"="&amp;(SUBSTITUTE(SUBSTITUTE(SUBSTITUTE(SUBSTITUTE("type:"&amp;B189,"%","%25"),"~","%7E"),"*","%2A"),"?","%3F")))&gt;1,"Duplicate type",IF(INDEX('Rules'!$F$7:$F$26,MATCH(SUBSTITUTE(SUBSTITUTE(SUBSTITUTE(SUBSTITUTE("type:"&amp;B189,"%","%25"),"~","%7E"),"*","%2A"),"?","%3F"),'Rules'!$G$7:$G$26,0))&lt;&gt;"",INDEX('Rules'!$F$7:$F$26,MATCH(SUBSTITUTE(SUBSTITUTE(SUBSTITUTE(SUBSTITUTE("type:"&amp;B189,"%","%25"),"~","%7E"),"*","%2A"),"?","%3F"),'Rules'!$G$7:$G$26,0)),IF(AND(C189&lt;&gt;"",C189&lt;&gt;INDEX('Rules'!$B$7:$B$26,MATCH(SUBSTITUTE(SUBSTITUTE(SUBSTITUTE(SUBSTITUTE("type:"&amp;B189,"%","%25"),"~","%7E"),"*","%2A"),"?","%3F"),'Rules'!$G$7:$G$26,0))),"Unit mismatch",IF(IF(NOT(ISNUMBER(D189)),TRUE,OR(D189&lt;0,D189&gt;999999999,ROUND(D189,3)&lt;&gt;D189)),"Invalid current reading",IF(AND(E189&lt;&gt;"",IF(NOT(ISNUMBER(E189)),TRUE,OR(E189&lt;0,E189&gt;999999999,ROUND(E189,3)&lt;&gt;E189))),"Invalid previous reading",IF(IF(NOT(ISNUMBER(F189)),TRUE,OR(F189&lt;0,F189&gt;999999999,ROUND(F189,3)&lt;&gt;F189)),"Invalid last service",IF(AND(E189&lt;&gt;"",D189&lt;E189),"Decreased reading",IF(F189&gt;D189,"Last service above current","")))))))))))))</x:f>
      </x:c>
      <x:c r="L189" s="6" t="str">
        <x:f>IF(AND(NOT(COUNTA(A189:F189)=0),K189=""),INDEX('Rules'!$C$7:$C$26,MATCH(SUBSTITUTE(SUBSTITUTE(SUBSTITUTE(SUBSTITUTE("type:"&amp;B189,"%","%25"),"~","%7E"),"*","%2A"),"?","%3F"),'Rules'!$G$7:$G$26,0)),"")</x:f>
      </x:c>
      <x:c r="M189" s="6" t="str">
        <x:f>IF(AND(NOT(COUNTA(A189:F189)=0),K189=""),INDEX('Rules'!$D$7:$D$26,MATCH(SUBSTITUTE(SUBSTITUTE(SUBSTITUTE(SUBSTITUTE("type:"&amp;B189,"%","%25"),"~","%7E"),"*","%2A"),"?","%3F"),'Rules'!$G$7:$G$26,0)),"")</x:f>
      </x:c>
      <x:c r="N189" s="5" t="str">
        <x:f>IF(COUNTA(A189:F189)=0,"",SUBSTITUTE(SUBSTITUTE(SUBSTITUTE(SUBSTITUTE("id:"&amp;A189,"%","%25"),"~","%7E"),"*","%2A"),"?","%3F"))</x:f>
      </x:c>
    </x:row>
    <x:row r="190" ht="22" customHeight="1">
      <x:c r="A190" s="3"/>
      <x:c r="B190" s="3"/>
      <x:c r="C190" s="3"/>
      <x:c r="D190" s="4"/>
      <x:c r="E190" s="4"/>
      <x:c r="F190" s="4"/>
      <x:c r="G190" s="5" t="str">
        <x:f>IF(COUNTA(A190:F190)=0,"",IF(K190&lt;&gt;"","Review",IF(I190&lt;0,"Overdue",IF(I190=0,"Due now",IF(I190&lt;=M190,"Due soon","Not due")))))</x:f>
      </x:c>
      <x:c r="H190" s="5" t="str">
        <x:f>IF(OR(COUNTA(A190:F190)=0,COUNTIFS('Rules'!$G$7:$G$26,"="&amp;(SUBSTITUTE(SUBSTITUTE(SUBSTITUTE(SUBSTITUTE("type:"&amp;B190,"%","%25"),"~","%7E"),"*","%2A"),"?","%3F")))&lt;&gt;1),"",IF(OR(INDEX('Rules'!$B$7:$B$26,MATCH(SUBSTITUTE(SUBSTITUTE(SUBSTITUTE(SUBSTITUTE("type:"&amp;B190,"%","%25"),"~","%7E"),"*","%2A"),"?","%3F"),'Rules'!$G$7:$G$26,0))="hours",INDEX('Rules'!$B$7:$B$26,MATCH(SUBSTITUTE(SUBSTITUTE(SUBSTITUTE(SUBSTITUTE("type:"&amp;B190,"%","%25"),"~","%7E"),"*","%2A"),"?","%3F"),'Rules'!$G$7:$G$26,0))="km"),INDEX('Rules'!$B$7:$B$26,MATCH(SUBSTITUTE(SUBSTITUTE(SUBSTITUTE(SUBSTITUTE("type:"&amp;B190,"%","%25"),"~","%7E"),"*","%2A"),"?","%3F"),'Rules'!$G$7:$G$26,0)),""))</x:f>
      </x:c>
      <x:c r="I190" s="6" t="str">
        <x:f>IF(AND(NOT(COUNTA(A190:F190)=0),K190=""),ROUND(J190-D190,3),"")</x:f>
      </x:c>
      <x:c r="J190" s="6" t="str">
        <x:f>IF(AND(NOT(COUNTA(A190:F190)=0),K190=""),ROUND(F190+L190,3),"")</x:f>
      </x:c>
      <x:c r="K190" s="5" t="str">
        <x:f>IF(COUNTA(A190:F190)=0,"",IF(A190="","Missing equipment ID",IF(COUNTIFS($N$8:$N$2007,"="&amp;N190)&gt;1,"Duplicate equipment ID",IF(B190="","Missing type",IF(COUNTIFS('Rules'!$G$7:$G$26,"="&amp;(SUBSTITUTE(SUBSTITUTE(SUBSTITUTE(SUBSTITUTE("type:"&amp;B190,"%","%25"),"~","%7E"),"*","%2A"),"?","%3F")))=0,"Unknown type",IF(COUNTIFS('Rules'!$G$7:$G$26,"="&amp;(SUBSTITUTE(SUBSTITUTE(SUBSTITUTE(SUBSTITUTE("type:"&amp;B190,"%","%25"),"~","%7E"),"*","%2A"),"?","%3F")))&gt;1,"Duplicate type",IF(INDEX('Rules'!$F$7:$F$26,MATCH(SUBSTITUTE(SUBSTITUTE(SUBSTITUTE(SUBSTITUTE("type:"&amp;B190,"%","%25"),"~","%7E"),"*","%2A"),"?","%3F"),'Rules'!$G$7:$G$26,0))&lt;&gt;"",INDEX('Rules'!$F$7:$F$26,MATCH(SUBSTITUTE(SUBSTITUTE(SUBSTITUTE(SUBSTITUTE("type:"&amp;B190,"%","%25"),"~","%7E"),"*","%2A"),"?","%3F"),'Rules'!$G$7:$G$26,0)),IF(AND(C190&lt;&gt;"",C190&lt;&gt;INDEX('Rules'!$B$7:$B$26,MATCH(SUBSTITUTE(SUBSTITUTE(SUBSTITUTE(SUBSTITUTE("type:"&amp;B190,"%","%25"),"~","%7E"),"*","%2A"),"?","%3F"),'Rules'!$G$7:$G$26,0))),"Unit mismatch",IF(IF(NOT(ISNUMBER(D190)),TRUE,OR(D190&lt;0,D190&gt;999999999,ROUND(D190,3)&lt;&gt;D190)),"Invalid current reading",IF(AND(E190&lt;&gt;"",IF(NOT(ISNUMBER(E190)),TRUE,OR(E190&lt;0,E190&gt;999999999,ROUND(E190,3)&lt;&gt;E190))),"Invalid previous reading",IF(IF(NOT(ISNUMBER(F190)),TRUE,OR(F190&lt;0,F190&gt;999999999,ROUND(F190,3)&lt;&gt;F190)),"Invalid last service",IF(AND(E190&lt;&gt;"",D190&lt;E190),"Decreased reading",IF(F190&gt;D190,"Last service above current","")))))))))))))</x:f>
      </x:c>
      <x:c r="L190" s="6" t="str">
        <x:f>IF(AND(NOT(COUNTA(A190:F190)=0),K190=""),INDEX('Rules'!$C$7:$C$26,MATCH(SUBSTITUTE(SUBSTITUTE(SUBSTITUTE(SUBSTITUTE("type:"&amp;B190,"%","%25"),"~","%7E"),"*","%2A"),"?","%3F"),'Rules'!$G$7:$G$26,0)),"")</x:f>
      </x:c>
      <x:c r="M190" s="6" t="str">
        <x:f>IF(AND(NOT(COUNTA(A190:F190)=0),K190=""),INDEX('Rules'!$D$7:$D$26,MATCH(SUBSTITUTE(SUBSTITUTE(SUBSTITUTE(SUBSTITUTE("type:"&amp;B190,"%","%25"),"~","%7E"),"*","%2A"),"?","%3F"),'Rules'!$G$7:$G$26,0)),"")</x:f>
      </x:c>
      <x:c r="N190" s="5" t="str">
        <x:f>IF(COUNTA(A190:F190)=0,"",SUBSTITUTE(SUBSTITUTE(SUBSTITUTE(SUBSTITUTE("id:"&amp;A190,"%","%25"),"~","%7E"),"*","%2A"),"?","%3F"))</x:f>
      </x:c>
    </x:row>
    <x:row r="191" ht="22" customHeight="1">
      <x:c r="A191" s="3"/>
      <x:c r="B191" s="3"/>
      <x:c r="C191" s="3"/>
      <x:c r="D191" s="4"/>
      <x:c r="E191" s="4"/>
      <x:c r="F191" s="4"/>
      <x:c r="G191" s="5" t="str">
        <x:f>IF(COUNTA(A191:F191)=0,"",IF(K191&lt;&gt;"","Review",IF(I191&lt;0,"Overdue",IF(I191=0,"Due now",IF(I191&lt;=M191,"Due soon","Not due")))))</x:f>
      </x:c>
      <x:c r="H191" s="5" t="str">
        <x:f>IF(OR(COUNTA(A191:F191)=0,COUNTIFS('Rules'!$G$7:$G$26,"="&amp;(SUBSTITUTE(SUBSTITUTE(SUBSTITUTE(SUBSTITUTE("type:"&amp;B191,"%","%25"),"~","%7E"),"*","%2A"),"?","%3F")))&lt;&gt;1),"",IF(OR(INDEX('Rules'!$B$7:$B$26,MATCH(SUBSTITUTE(SUBSTITUTE(SUBSTITUTE(SUBSTITUTE("type:"&amp;B191,"%","%25"),"~","%7E"),"*","%2A"),"?","%3F"),'Rules'!$G$7:$G$26,0))="hours",INDEX('Rules'!$B$7:$B$26,MATCH(SUBSTITUTE(SUBSTITUTE(SUBSTITUTE(SUBSTITUTE("type:"&amp;B191,"%","%25"),"~","%7E"),"*","%2A"),"?","%3F"),'Rules'!$G$7:$G$26,0))="km"),INDEX('Rules'!$B$7:$B$26,MATCH(SUBSTITUTE(SUBSTITUTE(SUBSTITUTE(SUBSTITUTE("type:"&amp;B191,"%","%25"),"~","%7E"),"*","%2A"),"?","%3F"),'Rules'!$G$7:$G$26,0)),""))</x:f>
      </x:c>
      <x:c r="I191" s="6" t="str">
        <x:f>IF(AND(NOT(COUNTA(A191:F191)=0),K191=""),ROUND(J191-D191,3),"")</x:f>
      </x:c>
      <x:c r="J191" s="6" t="str">
        <x:f>IF(AND(NOT(COUNTA(A191:F191)=0),K191=""),ROUND(F191+L191,3),"")</x:f>
      </x:c>
      <x:c r="K191" s="5" t="str">
        <x:f>IF(COUNTA(A191:F191)=0,"",IF(A191="","Missing equipment ID",IF(COUNTIFS($N$8:$N$2007,"="&amp;N191)&gt;1,"Duplicate equipment ID",IF(B191="","Missing type",IF(COUNTIFS('Rules'!$G$7:$G$26,"="&amp;(SUBSTITUTE(SUBSTITUTE(SUBSTITUTE(SUBSTITUTE("type:"&amp;B191,"%","%25"),"~","%7E"),"*","%2A"),"?","%3F")))=0,"Unknown type",IF(COUNTIFS('Rules'!$G$7:$G$26,"="&amp;(SUBSTITUTE(SUBSTITUTE(SUBSTITUTE(SUBSTITUTE("type:"&amp;B191,"%","%25"),"~","%7E"),"*","%2A"),"?","%3F")))&gt;1,"Duplicate type",IF(INDEX('Rules'!$F$7:$F$26,MATCH(SUBSTITUTE(SUBSTITUTE(SUBSTITUTE(SUBSTITUTE("type:"&amp;B191,"%","%25"),"~","%7E"),"*","%2A"),"?","%3F"),'Rules'!$G$7:$G$26,0))&lt;&gt;"",INDEX('Rules'!$F$7:$F$26,MATCH(SUBSTITUTE(SUBSTITUTE(SUBSTITUTE(SUBSTITUTE("type:"&amp;B191,"%","%25"),"~","%7E"),"*","%2A"),"?","%3F"),'Rules'!$G$7:$G$26,0)),IF(AND(C191&lt;&gt;"",C191&lt;&gt;INDEX('Rules'!$B$7:$B$26,MATCH(SUBSTITUTE(SUBSTITUTE(SUBSTITUTE(SUBSTITUTE("type:"&amp;B191,"%","%25"),"~","%7E"),"*","%2A"),"?","%3F"),'Rules'!$G$7:$G$26,0))),"Unit mismatch",IF(IF(NOT(ISNUMBER(D191)),TRUE,OR(D191&lt;0,D191&gt;999999999,ROUND(D191,3)&lt;&gt;D191)),"Invalid current reading",IF(AND(E191&lt;&gt;"",IF(NOT(ISNUMBER(E191)),TRUE,OR(E191&lt;0,E191&gt;999999999,ROUND(E191,3)&lt;&gt;E191))),"Invalid previous reading",IF(IF(NOT(ISNUMBER(F191)),TRUE,OR(F191&lt;0,F191&gt;999999999,ROUND(F191,3)&lt;&gt;F191)),"Invalid last service",IF(AND(E191&lt;&gt;"",D191&lt;E191),"Decreased reading",IF(F191&gt;D191,"Last service above current","")))))))))))))</x:f>
      </x:c>
      <x:c r="L191" s="6" t="str">
        <x:f>IF(AND(NOT(COUNTA(A191:F191)=0),K191=""),INDEX('Rules'!$C$7:$C$26,MATCH(SUBSTITUTE(SUBSTITUTE(SUBSTITUTE(SUBSTITUTE("type:"&amp;B191,"%","%25"),"~","%7E"),"*","%2A"),"?","%3F"),'Rules'!$G$7:$G$26,0)),"")</x:f>
      </x:c>
      <x:c r="M191" s="6" t="str">
        <x:f>IF(AND(NOT(COUNTA(A191:F191)=0),K191=""),INDEX('Rules'!$D$7:$D$26,MATCH(SUBSTITUTE(SUBSTITUTE(SUBSTITUTE(SUBSTITUTE("type:"&amp;B191,"%","%25"),"~","%7E"),"*","%2A"),"?","%3F"),'Rules'!$G$7:$G$26,0)),"")</x:f>
      </x:c>
      <x:c r="N191" s="5" t="str">
        <x:f>IF(COUNTA(A191:F191)=0,"",SUBSTITUTE(SUBSTITUTE(SUBSTITUTE(SUBSTITUTE("id:"&amp;A191,"%","%25"),"~","%7E"),"*","%2A"),"?","%3F"))</x:f>
      </x:c>
    </x:row>
    <x:row r="192" ht="22" customHeight="1">
      <x:c r="A192" s="3"/>
      <x:c r="B192" s="3"/>
      <x:c r="C192" s="3"/>
      <x:c r="D192" s="4"/>
      <x:c r="E192" s="4"/>
      <x:c r="F192" s="4"/>
      <x:c r="G192" s="5" t="str">
        <x:f>IF(COUNTA(A192:F192)=0,"",IF(K192&lt;&gt;"","Review",IF(I192&lt;0,"Overdue",IF(I192=0,"Due now",IF(I192&lt;=M192,"Due soon","Not due")))))</x:f>
      </x:c>
      <x:c r="H192" s="5" t="str">
        <x:f>IF(OR(COUNTA(A192:F192)=0,COUNTIFS('Rules'!$G$7:$G$26,"="&amp;(SUBSTITUTE(SUBSTITUTE(SUBSTITUTE(SUBSTITUTE("type:"&amp;B192,"%","%25"),"~","%7E"),"*","%2A"),"?","%3F")))&lt;&gt;1),"",IF(OR(INDEX('Rules'!$B$7:$B$26,MATCH(SUBSTITUTE(SUBSTITUTE(SUBSTITUTE(SUBSTITUTE("type:"&amp;B192,"%","%25"),"~","%7E"),"*","%2A"),"?","%3F"),'Rules'!$G$7:$G$26,0))="hours",INDEX('Rules'!$B$7:$B$26,MATCH(SUBSTITUTE(SUBSTITUTE(SUBSTITUTE(SUBSTITUTE("type:"&amp;B192,"%","%25"),"~","%7E"),"*","%2A"),"?","%3F"),'Rules'!$G$7:$G$26,0))="km"),INDEX('Rules'!$B$7:$B$26,MATCH(SUBSTITUTE(SUBSTITUTE(SUBSTITUTE(SUBSTITUTE("type:"&amp;B192,"%","%25"),"~","%7E"),"*","%2A"),"?","%3F"),'Rules'!$G$7:$G$26,0)),""))</x:f>
      </x:c>
      <x:c r="I192" s="6" t="str">
        <x:f>IF(AND(NOT(COUNTA(A192:F192)=0),K192=""),ROUND(J192-D192,3),"")</x:f>
      </x:c>
      <x:c r="J192" s="6" t="str">
        <x:f>IF(AND(NOT(COUNTA(A192:F192)=0),K192=""),ROUND(F192+L192,3),"")</x:f>
      </x:c>
      <x:c r="K192" s="5" t="str">
        <x:f>IF(COUNTA(A192:F192)=0,"",IF(A192="","Missing equipment ID",IF(COUNTIFS($N$8:$N$2007,"="&amp;N192)&gt;1,"Duplicate equipment ID",IF(B192="","Missing type",IF(COUNTIFS('Rules'!$G$7:$G$26,"="&amp;(SUBSTITUTE(SUBSTITUTE(SUBSTITUTE(SUBSTITUTE("type:"&amp;B192,"%","%25"),"~","%7E"),"*","%2A"),"?","%3F")))=0,"Unknown type",IF(COUNTIFS('Rules'!$G$7:$G$26,"="&amp;(SUBSTITUTE(SUBSTITUTE(SUBSTITUTE(SUBSTITUTE("type:"&amp;B192,"%","%25"),"~","%7E"),"*","%2A"),"?","%3F")))&gt;1,"Duplicate type",IF(INDEX('Rules'!$F$7:$F$26,MATCH(SUBSTITUTE(SUBSTITUTE(SUBSTITUTE(SUBSTITUTE("type:"&amp;B192,"%","%25"),"~","%7E"),"*","%2A"),"?","%3F"),'Rules'!$G$7:$G$26,0))&lt;&gt;"",INDEX('Rules'!$F$7:$F$26,MATCH(SUBSTITUTE(SUBSTITUTE(SUBSTITUTE(SUBSTITUTE("type:"&amp;B192,"%","%25"),"~","%7E"),"*","%2A"),"?","%3F"),'Rules'!$G$7:$G$26,0)),IF(AND(C192&lt;&gt;"",C192&lt;&gt;INDEX('Rules'!$B$7:$B$26,MATCH(SUBSTITUTE(SUBSTITUTE(SUBSTITUTE(SUBSTITUTE("type:"&amp;B192,"%","%25"),"~","%7E"),"*","%2A"),"?","%3F"),'Rules'!$G$7:$G$26,0))),"Unit mismatch",IF(IF(NOT(ISNUMBER(D192)),TRUE,OR(D192&lt;0,D192&gt;999999999,ROUND(D192,3)&lt;&gt;D192)),"Invalid current reading",IF(AND(E192&lt;&gt;"",IF(NOT(ISNUMBER(E192)),TRUE,OR(E192&lt;0,E192&gt;999999999,ROUND(E192,3)&lt;&gt;E192))),"Invalid previous reading",IF(IF(NOT(ISNUMBER(F192)),TRUE,OR(F192&lt;0,F192&gt;999999999,ROUND(F192,3)&lt;&gt;F192)),"Invalid last service",IF(AND(E192&lt;&gt;"",D192&lt;E192),"Decreased reading",IF(F192&gt;D192,"Last service above current","")))))))))))))</x:f>
      </x:c>
      <x:c r="L192" s="6" t="str">
        <x:f>IF(AND(NOT(COUNTA(A192:F192)=0),K192=""),INDEX('Rules'!$C$7:$C$26,MATCH(SUBSTITUTE(SUBSTITUTE(SUBSTITUTE(SUBSTITUTE("type:"&amp;B192,"%","%25"),"~","%7E"),"*","%2A"),"?","%3F"),'Rules'!$G$7:$G$26,0)),"")</x:f>
      </x:c>
      <x:c r="M192" s="6" t="str">
        <x:f>IF(AND(NOT(COUNTA(A192:F192)=0),K192=""),INDEX('Rules'!$D$7:$D$26,MATCH(SUBSTITUTE(SUBSTITUTE(SUBSTITUTE(SUBSTITUTE("type:"&amp;B192,"%","%25"),"~","%7E"),"*","%2A"),"?","%3F"),'Rules'!$G$7:$G$26,0)),"")</x:f>
      </x:c>
      <x:c r="N192" s="5" t="str">
        <x:f>IF(COUNTA(A192:F192)=0,"",SUBSTITUTE(SUBSTITUTE(SUBSTITUTE(SUBSTITUTE("id:"&amp;A192,"%","%25"),"~","%7E"),"*","%2A"),"?","%3F"))</x:f>
      </x:c>
    </x:row>
    <x:row r="193" ht="22" customHeight="1">
      <x:c r="A193" s="3"/>
      <x:c r="B193" s="3"/>
      <x:c r="C193" s="3"/>
      <x:c r="D193" s="4"/>
      <x:c r="E193" s="4"/>
      <x:c r="F193" s="4"/>
      <x:c r="G193" s="5" t="str">
        <x:f>IF(COUNTA(A193:F193)=0,"",IF(K193&lt;&gt;"","Review",IF(I193&lt;0,"Overdue",IF(I193=0,"Due now",IF(I193&lt;=M193,"Due soon","Not due")))))</x:f>
      </x:c>
      <x:c r="H193" s="5" t="str">
        <x:f>IF(OR(COUNTA(A193:F193)=0,COUNTIFS('Rules'!$G$7:$G$26,"="&amp;(SUBSTITUTE(SUBSTITUTE(SUBSTITUTE(SUBSTITUTE("type:"&amp;B193,"%","%25"),"~","%7E"),"*","%2A"),"?","%3F")))&lt;&gt;1),"",IF(OR(INDEX('Rules'!$B$7:$B$26,MATCH(SUBSTITUTE(SUBSTITUTE(SUBSTITUTE(SUBSTITUTE("type:"&amp;B193,"%","%25"),"~","%7E"),"*","%2A"),"?","%3F"),'Rules'!$G$7:$G$26,0))="hours",INDEX('Rules'!$B$7:$B$26,MATCH(SUBSTITUTE(SUBSTITUTE(SUBSTITUTE(SUBSTITUTE("type:"&amp;B193,"%","%25"),"~","%7E"),"*","%2A"),"?","%3F"),'Rules'!$G$7:$G$26,0))="km"),INDEX('Rules'!$B$7:$B$26,MATCH(SUBSTITUTE(SUBSTITUTE(SUBSTITUTE(SUBSTITUTE("type:"&amp;B193,"%","%25"),"~","%7E"),"*","%2A"),"?","%3F"),'Rules'!$G$7:$G$26,0)),""))</x:f>
      </x:c>
      <x:c r="I193" s="6" t="str">
        <x:f>IF(AND(NOT(COUNTA(A193:F193)=0),K193=""),ROUND(J193-D193,3),"")</x:f>
      </x:c>
      <x:c r="J193" s="6" t="str">
        <x:f>IF(AND(NOT(COUNTA(A193:F193)=0),K193=""),ROUND(F193+L193,3),"")</x:f>
      </x:c>
      <x:c r="K193" s="5" t="str">
        <x:f>IF(COUNTA(A193:F193)=0,"",IF(A193="","Missing equipment ID",IF(COUNTIFS($N$8:$N$2007,"="&amp;N193)&gt;1,"Duplicate equipment ID",IF(B193="","Missing type",IF(COUNTIFS('Rules'!$G$7:$G$26,"="&amp;(SUBSTITUTE(SUBSTITUTE(SUBSTITUTE(SUBSTITUTE("type:"&amp;B193,"%","%25"),"~","%7E"),"*","%2A"),"?","%3F")))=0,"Unknown type",IF(COUNTIFS('Rules'!$G$7:$G$26,"="&amp;(SUBSTITUTE(SUBSTITUTE(SUBSTITUTE(SUBSTITUTE("type:"&amp;B193,"%","%25"),"~","%7E"),"*","%2A"),"?","%3F")))&gt;1,"Duplicate type",IF(INDEX('Rules'!$F$7:$F$26,MATCH(SUBSTITUTE(SUBSTITUTE(SUBSTITUTE(SUBSTITUTE("type:"&amp;B193,"%","%25"),"~","%7E"),"*","%2A"),"?","%3F"),'Rules'!$G$7:$G$26,0))&lt;&gt;"",INDEX('Rules'!$F$7:$F$26,MATCH(SUBSTITUTE(SUBSTITUTE(SUBSTITUTE(SUBSTITUTE("type:"&amp;B193,"%","%25"),"~","%7E"),"*","%2A"),"?","%3F"),'Rules'!$G$7:$G$26,0)),IF(AND(C193&lt;&gt;"",C193&lt;&gt;INDEX('Rules'!$B$7:$B$26,MATCH(SUBSTITUTE(SUBSTITUTE(SUBSTITUTE(SUBSTITUTE("type:"&amp;B193,"%","%25"),"~","%7E"),"*","%2A"),"?","%3F"),'Rules'!$G$7:$G$26,0))),"Unit mismatch",IF(IF(NOT(ISNUMBER(D193)),TRUE,OR(D193&lt;0,D193&gt;999999999,ROUND(D193,3)&lt;&gt;D193)),"Invalid current reading",IF(AND(E193&lt;&gt;"",IF(NOT(ISNUMBER(E193)),TRUE,OR(E193&lt;0,E193&gt;999999999,ROUND(E193,3)&lt;&gt;E193))),"Invalid previous reading",IF(IF(NOT(ISNUMBER(F193)),TRUE,OR(F193&lt;0,F193&gt;999999999,ROUND(F193,3)&lt;&gt;F193)),"Invalid last service",IF(AND(E193&lt;&gt;"",D193&lt;E193),"Decreased reading",IF(F193&gt;D193,"Last service above current","")))))))))))))</x:f>
      </x:c>
      <x:c r="L193" s="6" t="str">
        <x:f>IF(AND(NOT(COUNTA(A193:F193)=0),K193=""),INDEX('Rules'!$C$7:$C$26,MATCH(SUBSTITUTE(SUBSTITUTE(SUBSTITUTE(SUBSTITUTE("type:"&amp;B193,"%","%25"),"~","%7E"),"*","%2A"),"?","%3F"),'Rules'!$G$7:$G$26,0)),"")</x:f>
      </x:c>
      <x:c r="M193" s="6" t="str">
        <x:f>IF(AND(NOT(COUNTA(A193:F193)=0),K193=""),INDEX('Rules'!$D$7:$D$26,MATCH(SUBSTITUTE(SUBSTITUTE(SUBSTITUTE(SUBSTITUTE("type:"&amp;B193,"%","%25"),"~","%7E"),"*","%2A"),"?","%3F"),'Rules'!$G$7:$G$26,0)),"")</x:f>
      </x:c>
      <x:c r="N193" s="5" t="str">
        <x:f>IF(COUNTA(A193:F193)=0,"",SUBSTITUTE(SUBSTITUTE(SUBSTITUTE(SUBSTITUTE("id:"&amp;A193,"%","%25"),"~","%7E"),"*","%2A"),"?","%3F"))</x:f>
      </x:c>
    </x:row>
    <x:row r="194" ht="22" customHeight="1">
      <x:c r="A194" s="3"/>
      <x:c r="B194" s="3"/>
      <x:c r="C194" s="3"/>
      <x:c r="D194" s="4"/>
      <x:c r="E194" s="4"/>
      <x:c r="F194" s="4"/>
      <x:c r="G194" s="5" t="str">
        <x:f>IF(COUNTA(A194:F194)=0,"",IF(K194&lt;&gt;"","Review",IF(I194&lt;0,"Overdue",IF(I194=0,"Due now",IF(I194&lt;=M194,"Due soon","Not due")))))</x:f>
      </x:c>
      <x:c r="H194" s="5" t="str">
        <x:f>IF(OR(COUNTA(A194:F194)=0,COUNTIFS('Rules'!$G$7:$G$26,"="&amp;(SUBSTITUTE(SUBSTITUTE(SUBSTITUTE(SUBSTITUTE("type:"&amp;B194,"%","%25"),"~","%7E"),"*","%2A"),"?","%3F")))&lt;&gt;1),"",IF(OR(INDEX('Rules'!$B$7:$B$26,MATCH(SUBSTITUTE(SUBSTITUTE(SUBSTITUTE(SUBSTITUTE("type:"&amp;B194,"%","%25"),"~","%7E"),"*","%2A"),"?","%3F"),'Rules'!$G$7:$G$26,0))="hours",INDEX('Rules'!$B$7:$B$26,MATCH(SUBSTITUTE(SUBSTITUTE(SUBSTITUTE(SUBSTITUTE("type:"&amp;B194,"%","%25"),"~","%7E"),"*","%2A"),"?","%3F"),'Rules'!$G$7:$G$26,0))="km"),INDEX('Rules'!$B$7:$B$26,MATCH(SUBSTITUTE(SUBSTITUTE(SUBSTITUTE(SUBSTITUTE("type:"&amp;B194,"%","%25"),"~","%7E"),"*","%2A"),"?","%3F"),'Rules'!$G$7:$G$26,0)),""))</x:f>
      </x:c>
      <x:c r="I194" s="6" t="str">
        <x:f>IF(AND(NOT(COUNTA(A194:F194)=0),K194=""),ROUND(J194-D194,3),"")</x:f>
      </x:c>
      <x:c r="J194" s="6" t="str">
        <x:f>IF(AND(NOT(COUNTA(A194:F194)=0),K194=""),ROUND(F194+L194,3),"")</x:f>
      </x:c>
      <x:c r="K194" s="5" t="str">
        <x:f>IF(COUNTA(A194:F194)=0,"",IF(A194="","Missing equipment ID",IF(COUNTIFS($N$8:$N$2007,"="&amp;N194)&gt;1,"Duplicate equipment ID",IF(B194="","Missing type",IF(COUNTIFS('Rules'!$G$7:$G$26,"="&amp;(SUBSTITUTE(SUBSTITUTE(SUBSTITUTE(SUBSTITUTE("type:"&amp;B194,"%","%25"),"~","%7E"),"*","%2A"),"?","%3F")))=0,"Unknown type",IF(COUNTIFS('Rules'!$G$7:$G$26,"="&amp;(SUBSTITUTE(SUBSTITUTE(SUBSTITUTE(SUBSTITUTE("type:"&amp;B194,"%","%25"),"~","%7E"),"*","%2A"),"?","%3F")))&gt;1,"Duplicate type",IF(INDEX('Rules'!$F$7:$F$26,MATCH(SUBSTITUTE(SUBSTITUTE(SUBSTITUTE(SUBSTITUTE("type:"&amp;B194,"%","%25"),"~","%7E"),"*","%2A"),"?","%3F"),'Rules'!$G$7:$G$26,0))&lt;&gt;"",INDEX('Rules'!$F$7:$F$26,MATCH(SUBSTITUTE(SUBSTITUTE(SUBSTITUTE(SUBSTITUTE("type:"&amp;B194,"%","%25"),"~","%7E"),"*","%2A"),"?","%3F"),'Rules'!$G$7:$G$26,0)),IF(AND(C194&lt;&gt;"",C194&lt;&gt;INDEX('Rules'!$B$7:$B$26,MATCH(SUBSTITUTE(SUBSTITUTE(SUBSTITUTE(SUBSTITUTE("type:"&amp;B194,"%","%25"),"~","%7E"),"*","%2A"),"?","%3F"),'Rules'!$G$7:$G$26,0))),"Unit mismatch",IF(IF(NOT(ISNUMBER(D194)),TRUE,OR(D194&lt;0,D194&gt;999999999,ROUND(D194,3)&lt;&gt;D194)),"Invalid current reading",IF(AND(E194&lt;&gt;"",IF(NOT(ISNUMBER(E194)),TRUE,OR(E194&lt;0,E194&gt;999999999,ROUND(E194,3)&lt;&gt;E194))),"Invalid previous reading",IF(IF(NOT(ISNUMBER(F194)),TRUE,OR(F194&lt;0,F194&gt;999999999,ROUND(F194,3)&lt;&gt;F194)),"Invalid last service",IF(AND(E194&lt;&gt;"",D194&lt;E194),"Decreased reading",IF(F194&gt;D194,"Last service above current","")))))))))))))</x:f>
      </x:c>
      <x:c r="L194" s="6" t="str">
        <x:f>IF(AND(NOT(COUNTA(A194:F194)=0),K194=""),INDEX('Rules'!$C$7:$C$26,MATCH(SUBSTITUTE(SUBSTITUTE(SUBSTITUTE(SUBSTITUTE("type:"&amp;B194,"%","%25"),"~","%7E"),"*","%2A"),"?","%3F"),'Rules'!$G$7:$G$26,0)),"")</x:f>
      </x:c>
      <x:c r="M194" s="6" t="str">
        <x:f>IF(AND(NOT(COUNTA(A194:F194)=0),K194=""),INDEX('Rules'!$D$7:$D$26,MATCH(SUBSTITUTE(SUBSTITUTE(SUBSTITUTE(SUBSTITUTE("type:"&amp;B194,"%","%25"),"~","%7E"),"*","%2A"),"?","%3F"),'Rules'!$G$7:$G$26,0)),"")</x:f>
      </x:c>
      <x:c r="N194" s="5" t="str">
        <x:f>IF(COUNTA(A194:F194)=0,"",SUBSTITUTE(SUBSTITUTE(SUBSTITUTE(SUBSTITUTE("id:"&amp;A194,"%","%25"),"~","%7E"),"*","%2A"),"?","%3F"))</x:f>
      </x:c>
    </x:row>
    <x:row r="195" ht="22" customHeight="1">
      <x:c r="A195" s="3"/>
      <x:c r="B195" s="3"/>
      <x:c r="C195" s="3"/>
      <x:c r="D195" s="4"/>
      <x:c r="E195" s="4"/>
      <x:c r="F195" s="4"/>
      <x:c r="G195" s="5" t="str">
        <x:f>IF(COUNTA(A195:F195)=0,"",IF(K195&lt;&gt;"","Review",IF(I195&lt;0,"Overdue",IF(I195=0,"Due now",IF(I195&lt;=M195,"Due soon","Not due")))))</x:f>
      </x:c>
      <x:c r="H195" s="5" t="str">
        <x:f>IF(OR(COUNTA(A195:F195)=0,COUNTIFS('Rules'!$G$7:$G$26,"="&amp;(SUBSTITUTE(SUBSTITUTE(SUBSTITUTE(SUBSTITUTE("type:"&amp;B195,"%","%25"),"~","%7E"),"*","%2A"),"?","%3F")))&lt;&gt;1),"",IF(OR(INDEX('Rules'!$B$7:$B$26,MATCH(SUBSTITUTE(SUBSTITUTE(SUBSTITUTE(SUBSTITUTE("type:"&amp;B195,"%","%25"),"~","%7E"),"*","%2A"),"?","%3F"),'Rules'!$G$7:$G$26,0))="hours",INDEX('Rules'!$B$7:$B$26,MATCH(SUBSTITUTE(SUBSTITUTE(SUBSTITUTE(SUBSTITUTE("type:"&amp;B195,"%","%25"),"~","%7E"),"*","%2A"),"?","%3F"),'Rules'!$G$7:$G$26,0))="km"),INDEX('Rules'!$B$7:$B$26,MATCH(SUBSTITUTE(SUBSTITUTE(SUBSTITUTE(SUBSTITUTE("type:"&amp;B195,"%","%25"),"~","%7E"),"*","%2A"),"?","%3F"),'Rules'!$G$7:$G$26,0)),""))</x:f>
      </x:c>
      <x:c r="I195" s="6" t="str">
        <x:f>IF(AND(NOT(COUNTA(A195:F195)=0),K195=""),ROUND(J195-D195,3),"")</x:f>
      </x:c>
      <x:c r="J195" s="6" t="str">
        <x:f>IF(AND(NOT(COUNTA(A195:F195)=0),K195=""),ROUND(F195+L195,3),"")</x:f>
      </x:c>
      <x:c r="K195" s="5" t="str">
        <x:f>IF(COUNTA(A195:F195)=0,"",IF(A195="","Missing equipment ID",IF(COUNTIFS($N$8:$N$2007,"="&amp;N195)&gt;1,"Duplicate equipment ID",IF(B195="","Missing type",IF(COUNTIFS('Rules'!$G$7:$G$26,"="&amp;(SUBSTITUTE(SUBSTITUTE(SUBSTITUTE(SUBSTITUTE("type:"&amp;B195,"%","%25"),"~","%7E"),"*","%2A"),"?","%3F")))=0,"Unknown type",IF(COUNTIFS('Rules'!$G$7:$G$26,"="&amp;(SUBSTITUTE(SUBSTITUTE(SUBSTITUTE(SUBSTITUTE("type:"&amp;B195,"%","%25"),"~","%7E"),"*","%2A"),"?","%3F")))&gt;1,"Duplicate type",IF(INDEX('Rules'!$F$7:$F$26,MATCH(SUBSTITUTE(SUBSTITUTE(SUBSTITUTE(SUBSTITUTE("type:"&amp;B195,"%","%25"),"~","%7E"),"*","%2A"),"?","%3F"),'Rules'!$G$7:$G$26,0))&lt;&gt;"",INDEX('Rules'!$F$7:$F$26,MATCH(SUBSTITUTE(SUBSTITUTE(SUBSTITUTE(SUBSTITUTE("type:"&amp;B195,"%","%25"),"~","%7E"),"*","%2A"),"?","%3F"),'Rules'!$G$7:$G$26,0)),IF(AND(C195&lt;&gt;"",C195&lt;&gt;INDEX('Rules'!$B$7:$B$26,MATCH(SUBSTITUTE(SUBSTITUTE(SUBSTITUTE(SUBSTITUTE("type:"&amp;B195,"%","%25"),"~","%7E"),"*","%2A"),"?","%3F"),'Rules'!$G$7:$G$26,0))),"Unit mismatch",IF(IF(NOT(ISNUMBER(D195)),TRUE,OR(D195&lt;0,D195&gt;999999999,ROUND(D195,3)&lt;&gt;D195)),"Invalid current reading",IF(AND(E195&lt;&gt;"",IF(NOT(ISNUMBER(E195)),TRUE,OR(E195&lt;0,E195&gt;999999999,ROUND(E195,3)&lt;&gt;E195))),"Invalid previous reading",IF(IF(NOT(ISNUMBER(F195)),TRUE,OR(F195&lt;0,F195&gt;999999999,ROUND(F195,3)&lt;&gt;F195)),"Invalid last service",IF(AND(E195&lt;&gt;"",D195&lt;E195),"Decreased reading",IF(F195&gt;D195,"Last service above current","")))))))))))))</x:f>
      </x:c>
      <x:c r="L195" s="6" t="str">
        <x:f>IF(AND(NOT(COUNTA(A195:F195)=0),K195=""),INDEX('Rules'!$C$7:$C$26,MATCH(SUBSTITUTE(SUBSTITUTE(SUBSTITUTE(SUBSTITUTE("type:"&amp;B195,"%","%25"),"~","%7E"),"*","%2A"),"?","%3F"),'Rules'!$G$7:$G$26,0)),"")</x:f>
      </x:c>
      <x:c r="M195" s="6" t="str">
        <x:f>IF(AND(NOT(COUNTA(A195:F195)=0),K195=""),INDEX('Rules'!$D$7:$D$26,MATCH(SUBSTITUTE(SUBSTITUTE(SUBSTITUTE(SUBSTITUTE("type:"&amp;B195,"%","%25"),"~","%7E"),"*","%2A"),"?","%3F"),'Rules'!$G$7:$G$26,0)),"")</x:f>
      </x:c>
      <x:c r="N195" s="5" t="str">
        <x:f>IF(COUNTA(A195:F195)=0,"",SUBSTITUTE(SUBSTITUTE(SUBSTITUTE(SUBSTITUTE("id:"&amp;A195,"%","%25"),"~","%7E"),"*","%2A"),"?","%3F"))</x:f>
      </x:c>
    </x:row>
    <x:row r="196" ht="22" customHeight="1">
      <x:c r="A196" s="3"/>
      <x:c r="B196" s="3"/>
      <x:c r="C196" s="3"/>
      <x:c r="D196" s="4"/>
      <x:c r="E196" s="4"/>
      <x:c r="F196" s="4"/>
      <x:c r="G196" s="5" t="str">
        <x:f>IF(COUNTA(A196:F196)=0,"",IF(K196&lt;&gt;"","Review",IF(I196&lt;0,"Overdue",IF(I196=0,"Due now",IF(I196&lt;=M196,"Due soon","Not due")))))</x:f>
      </x:c>
      <x:c r="H196" s="5" t="str">
        <x:f>IF(OR(COUNTA(A196:F196)=0,COUNTIFS('Rules'!$G$7:$G$26,"="&amp;(SUBSTITUTE(SUBSTITUTE(SUBSTITUTE(SUBSTITUTE("type:"&amp;B196,"%","%25"),"~","%7E"),"*","%2A"),"?","%3F")))&lt;&gt;1),"",IF(OR(INDEX('Rules'!$B$7:$B$26,MATCH(SUBSTITUTE(SUBSTITUTE(SUBSTITUTE(SUBSTITUTE("type:"&amp;B196,"%","%25"),"~","%7E"),"*","%2A"),"?","%3F"),'Rules'!$G$7:$G$26,0))="hours",INDEX('Rules'!$B$7:$B$26,MATCH(SUBSTITUTE(SUBSTITUTE(SUBSTITUTE(SUBSTITUTE("type:"&amp;B196,"%","%25"),"~","%7E"),"*","%2A"),"?","%3F"),'Rules'!$G$7:$G$26,0))="km"),INDEX('Rules'!$B$7:$B$26,MATCH(SUBSTITUTE(SUBSTITUTE(SUBSTITUTE(SUBSTITUTE("type:"&amp;B196,"%","%25"),"~","%7E"),"*","%2A"),"?","%3F"),'Rules'!$G$7:$G$26,0)),""))</x:f>
      </x:c>
      <x:c r="I196" s="6" t="str">
        <x:f>IF(AND(NOT(COUNTA(A196:F196)=0),K196=""),ROUND(J196-D196,3),"")</x:f>
      </x:c>
      <x:c r="J196" s="6" t="str">
        <x:f>IF(AND(NOT(COUNTA(A196:F196)=0),K196=""),ROUND(F196+L196,3),"")</x:f>
      </x:c>
      <x:c r="K196" s="5" t="str">
        <x:f>IF(COUNTA(A196:F196)=0,"",IF(A196="","Missing equipment ID",IF(COUNTIFS($N$8:$N$2007,"="&amp;N196)&gt;1,"Duplicate equipment ID",IF(B196="","Missing type",IF(COUNTIFS('Rules'!$G$7:$G$26,"="&amp;(SUBSTITUTE(SUBSTITUTE(SUBSTITUTE(SUBSTITUTE("type:"&amp;B196,"%","%25"),"~","%7E"),"*","%2A"),"?","%3F")))=0,"Unknown type",IF(COUNTIFS('Rules'!$G$7:$G$26,"="&amp;(SUBSTITUTE(SUBSTITUTE(SUBSTITUTE(SUBSTITUTE("type:"&amp;B196,"%","%25"),"~","%7E"),"*","%2A"),"?","%3F")))&gt;1,"Duplicate type",IF(INDEX('Rules'!$F$7:$F$26,MATCH(SUBSTITUTE(SUBSTITUTE(SUBSTITUTE(SUBSTITUTE("type:"&amp;B196,"%","%25"),"~","%7E"),"*","%2A"),"?","%3F"),'Rules'!$G$7:$G$26,0))&lt;&gt;"",INDEX('Rules'!$F$7:$F$26,MATCH(SUBSTITUTE(SUBSTITUTE(SUBSTITUTE(SUBSTITUTE("type:"&amp;B196,"%","%25"),"~","%7E"),"*","%2A"),"?","%3F"),'Rules'!$G$7:$G$26,0)),IF(AND(C196&lt;&gt;"",C196&lt;&gt;INDEX('Rules'!$B$7:$B$26,MATCH(SUBSTITUTE(SUBSTITUTE(SUBSTITUTE(SUBSTITUTE("type:"&amp;B196,"%","%25"),"~","%7E"),"*","%2A"),"?","%3F"),'Rules'!$G$7:$G$26,0))),"Unit mismatch",IF(IF(NOT(ISNUMBER(D196)),TRUE,OR(D196&lt;0,D196&gt;999999999,ROUND(D196,3)&lt;&gt;D196)),"Invalid current reading",IF(AND(E196&lt;&gt;"",IF(NOT(ISNUMBER(E196)),TRUE,OR(E196&lt;0,E196&gt;999999999,ROUND(E196,3)&lt;&gt;E196))),"Invalid previous reading",IF(IF(NOT(ISNUMBER(F196)),TRUE,OR(F196&lt;0,F196&gt;999999999,ROUND(F196,3)&lt;&gt;F196)),"Invalid last service",IF(AND(E196&lt;&gt;"",D196&lt;E196),"Decreased reading",IF(F196&gt;D196,"Last service above current","")))))))))))))</x:f>
      </x:c>
      <x:c r="L196" s="6" t="str">
        <x:f>IF(AND(NOT(COUNTA(A196:F196)=0),K196=""),INDEX('Rules'!$C$7:$C$26,MATCH(SUBSTITUTE(SUBSTITUTE(SUBSTITUTE(SUBSTITUTE("type:"&amp;B196,"%","%25"),"~","%7E"),"*","%2A"),"?","%3F"),'Rules'!$G$7:$G$26,0)),"")</x:f>
      </x:c>
      <x:c r="M196" s="6" t="str">
        <x:f>IF(AND(NOT(COUNTA(A196:F196)=0),K196=""),INDEX('Rules'!$D$7:$D$26,MATCH(SUBSTITUTE(SUBSTITUTE(SUBSTITUTE(SUBSTITUTE("type:"&amp;B196,"%","%25"),"~","%7E"),"*","%2A"),"?","%3F"),'Rules'!$G$7:$G$26,0)),"")</x:f>
      </x:c>
      <x:c r="N196" s="5" t="str">
        <x:f>IF(COUNTA(A196:F196)=0,"",SUBSTITUTE(SUBSTITUTE(SUBSTITUTE(SUBSTITUTE("id:"&amp;A196,"%","%25"),"~","%7E"),"*","%2A"),"?","%3F"))</x:f>
      </x:c>
    </x:row>
    <x:row r="197" ht="22" customHeight="1">
      <x:c r="A197" s="3"/>
      <x:c r="B197" s="3"/>
      <x:c r="C197" s="3"/>
      <x:c r="D197" s="4"/>
      <x:c r="E197" s="4"/>
      <x:c r="F197" s="4"/>
      <x:c r="G197" s="5" t="str">
        <x:f>IF(COUNTA(A197:F197)=0,"",IF(K197&lt;&gt;"","Review",IF(I197&lt;0,"Overdue",IF(I197=0,"Due now",IF(I197&lt;=M197,"Due soon","Not due")))))</x:f>
      </x:c>
      <x:c r="H197" s="5" t="str">
        <x:f>IF(OR(COUNTA(A197:F197)=0,COUNTIFS('Rules'!$G$7:$G$26,"="&amp;(SUBSTITUTE(SUBSTITUTE(SUBSTITUTE(SUBSTITUTE("type:"&amp;B197,"%","%25"),"~","%7E"),"*","%2A"),"?","%3F")))&lt;&gt;1),"",IF(OR(INDEX('Rules'!$B$7:$B$26,MATCH(SUBSTITUTE(SUBSTITUTE(SUBSTITUTE(SUBSTITUTE("type:"&amp;B197,"%","%25"),"~","%7E"),"*","%2A"),"?","%3F"),'Rules'!$G$7:$G$26,0))="hours",INDEX('Rules'!$B$7:$B$26,MATCH(SUBSTITUTE(SUBSTITUTE(SUBSTITUTE(SUBSTITUTE("type:"&amp;B197,"%","%25"),"~","%7E"),"*","%2A"),"?","%3F"),'Rules'!$G$7:$G$26,0))="km"),INDEX('Rules'!$B$7:$B$26,MATCH(SUBSTITUTE(SUBSTITUTE(SUBSTITUTE(SUBSTITUTE("type:"&amp;B197,"%","%25"),"~","%7E"),"*","%2A"),"?","%3F"),'Rules'!$G$7:$G$26,0)),""))</x:f>
      </x:c>
      <x:c r="I197" s="6" t="str">
        <x:f>IF(AND(NOT(COUNTA(A197:F197)=0),K197=""),ROUND(J197-D197,3),"")</x:f>
      </x:c>
      <x:c r="J197" s="6" t="str">
        <x:f>IF(AND(NOT(COUNTA(A197:F197)=0),K197=""),ROUND(F197+L197,3),"")</x:f>
      </x:c>
      <x:c r="K197" s="5" t="str">
        <x:f>IF(COUNTA(A197:F197)=0,"",IF(A197="","Missing equipment ID",IF(COUNTIFS($N$8:$N$2007,"="&amp;N197)&gt;1,"Duplicate equipment ID",IF(B197="","Missing type",IF(COUNTIFS('Rules'!$G$7:$G$26,"="&amp;(SUBSTITUTE(SUBSTITUTE(SUBSTITUTE(SUBSTITUTE("type:"&amp;B197,"%","%25"),"~","%7E"),"*","%2A"),"?","%3F")))=0,"Unknown type",IF(COUNTIFS('Rules'!$G$7:$G$26,"="&amp;(SUBSTITUTE(SUBSTITUTE(SUBSTITUTE(SUBSTITUTE("type:"&amp;B197,"%","%25"),"~","%7E"),"*","%2A"),"?","%3F")))&gt;1,"Duplicate type",IF(INDEX('Rules'!$F$7:$F$26,MATCH(SUBSTITUTE(SUBSTITUTE(SUBSTITUTE(SUBSTITUTE("type:"&amp;B197,"%","%25"),"~","%7E"),"*","%2A"),"?","%3F"),'Rules'!$G$7:$G$26,0))&lt;&gt;"",INDEX('Rules'!$F$7:$F$26,MATCH(SUBSTITUTE(SUBSTITUTE(SUBSTITUTE(SUBSTITUTE("type:"&amp;B197,"%","%25"),"~","%7E"),"*","%2A"),"?","%3F"),'Rules'!$G$7:$G$26,0)),IF(AND(C197&lt;&gt;"",C197&lt;&gt;INDEX('Rules'!$B$7:$B$26,MATCH(SUBSTITUTE(SUBSTITUTE(SUBSTITUTE(SUBSTITUTE("type:"&amp;B197,"%","%25"),"~","%7E"),"*","%2A"),"?","%3F"),'Rules'!$G$7:$G$26,0))),"Unit mismatch",IF(IF(NOT(ISNUMBER(D197)),TRUE,OR(D197&lt;0,D197&gt;999999999,ROUND(D197,3)&lt;&gt;D197)),"Invalid current reading",IF(AND(E197&lt;&gt;"",IF(NOT(ISNUMBER(E197)),TRUE,OR(E197&lt;0,E197&gt;999999999,ROUND(E197,3)&lt;&gt;E197))),"Invalid previous reading",IF(IF(NOT(ISNUMBER(F197)),TRUE,OR(F197&lt;0,F197&gt;999999999,ROUND(F197,3)&lt;&gt;F197)),"Invalid last service",IF(AND(E197&lt;&gt;"",D197&lt;E197),"Decreased reading",IF(F197&gt;D197,"Last service above current","")))))))))))))</x:f>
      </x:c>
      <x:c r="L197" s="6" t="str">
        <x:f>IF(AND(NOT(COUNTA(A197:F197)=0),K197=""),INDEX('Rules'!$C$7:$C$26,MATCH(SUBSTITUTE(SUBSTITUTE(SUBSTITUTE(SUBSTITUTE("type:"&amp;B197,"%","%25"),"~","%7E"),"*","%2A"),"?","%3F"),'Rules'!$G$7:$G$26,0)),"")</x:f>
      </x:c>
      <x:c r="M197" s="6" t="str">
        <x:f>IF(AND(NOT(COUNTA(A197:F197)=0),K197=""),INDEX('Rules'!$D$7:$D$26,MATCH(SUBSTITUTE(SUBSTITUTE(SUBSTITUTE(SUBSTITUTE("type:"&amp;B197,"%","%25"),"~","%7E"),"*","%2A"),"?","%3F"),'Rules'!$G$7:$G$26,0)),"")</x:f>
      </x:c>
      <x:c r="N197" s="5" t="str">
        <x:f>IF(COUNTA(A197:F197)=0,"",SUBSTITUTE(SUBSTITUTE(SUBSTITUTE(SUBSTITUTE("id:"&amp;A197,"%","%25"),"~","%7E"),"*","%2A"),"?","%3F"))</x:f>
      </x:c>
    </x:row>
    <x:row r="198" ht="22" customHeight="1">
      <x:c r="A198" s="3"/>
      <x:c r="B198" s="3"/>
      <x:c r="C198" s="3"/>
      <x:c r="D198" s="4"/>
      <x:c r="E198" s="4"/>
      <x:c r="F198" s="4"/>
      <x:c r="G198" s="5" t="str">
        <x:f>IF(COUNTA(A198:F198)=0,"",IF(K198&lt;&gt;"","Review",IF(I198&lt;0,"Overdue",IF(I198=0,"Due now",IF(I198&lt;=M198,"Due soon","Not due")))))</x:f>
      </x:c>
      <x:c r="H198" s="5" t="str">
        <x:f>IF(OR(COUNTA(A198:F198)=0,COUNTIFS('Rules'!$G$7:$G$26,"="&amp;(SUBSTITUTE(SUBSTITUTE(SUBSTITUTE(SUBSTITUTE("type:"&amp;B198,"%","%25"),"~","%7E"),"*","%2A"),"?","%3F")))&lt;&gt;1),"",IF(OR(INDEX('Rules'!$B$7:$B$26,MATCH(SUBSTITUTE(SUBSTITUTE(SUBSTITUTE(SUBSTITUTE("type:"&amp;B198,"%","%25"),"~","%7E"),"*","%2A"),"?","%3F"),'Rules'!$G$7:$G$26,0))="hours",INDEX('Rules'!$B$7:$B$26,MATCH(SUBSTITUTE(SUBSTITUTE(SUBSTITUTE(SUBSTITUTE("type:"&amp;B198,"%","%25"),"~","%7E"),"*","%2A"),"?","%3F"),'Rules'!$G$7:$G$26,0))="km"),INDEX('Rules'!$B$7:$B$26,MATCH(SUBSTITUTE(SUBSTITUTE(SUBSTITUTE(SUBSTITUTE("type:"&amp;B198,"%","%25"),"~","%7E"),"*","%2A"),"?","%3F"),'Rules'!$G$7:$G$26,0)),""))</x:f>
      </x:c>
      <x:c r="I198" s="6" t="str">
        <x:f>IF(AND(NOT(COUNTA(A198:F198)=0),K198=""),ROUND(J198-D198,3),"")</x:f>
      </x:c>
      <x:c r="J198" s="6" t="str">
        <x:f>IF(AND(NOT(COUNTA(A198:F198)=0),K198=""),ROUND(F198+L198,3),"")</x:f>
      </x:c>
      <x:c r="K198" s="5" t="str">
        <x:f>IF(COUNTA(A198:F198)=0,"",IF(A198="","Missing equipment ID",IF(COUNTIFS($N$8:$N$2007,"="&amp;N198)&gt;1,"Duplicate equipment ID",IF(B198="","Missing type",IF(COUNTIFS('Rules'!$G$7:$G$26,"="&amp;(SUBSTITUTE(SUBSTITUTE(SUBSTITUTE(SUBSTITUTE("type:"&amp;B198,"%","%25"),"~","%7E"),"*","%2A"),"?","%3F")))=0,"Unknown type",IF(COUNTIFS('Rules'!$G$7:$G$26,"="&amp;(SUBSTITUTE(SUBSTITUTE(SUBSTITUTE(SUBSTITUTE("type:"&amp;B198,"%","%25"),"~","%7E"),"*","%2A"),"?","%3F")))&gt;1,"Duplicate type",IF(INDEX('Rules'!$F$7:$F$26,MATCH(SUBSTITUTE(SUBSTITUTE(SUBSTITUTE(SUBSTITUTE("type:"&amp;B198,"%","%25"),"~","%7E"),"*","%2A"),"?","%3F"),'Rules'!$G$7:$G$26,0))&lt;&gt;"",INDEX('Rules'!$F$7:$F$26,MATCH(SUBSTITUTE(SUBSTITUTE(SUBSTITUTE(SUBSTITUTE("type:"&amp;B198,"%","%25"),"~","%7E"),"*","%2A"),"?","%3F"),'Rules'!$G$7:$G$26,0)),IF(AND(C198&lt;&gt;"",C198&lt;&gt;INDEX('Rules'!$B$7:$B$26,MATCH(SUBSTITUTE(SUBSTITUTE(SUBSTITUTE(SUBSTITUTE("type:"&amp;B198,"%","%25"),"~","%7E"),"*","%2A"),"?","%3F"),'Rules'!$G$7:$G$26,0))),"Unit mismatch",IF(IF(NOT(ISNUMBER(D198)),TRUE,OR(D198&lt;0,D198&gt;999999999,ROUND(D198,3)&lt;&gt;D198)),"Invalid current reading",IF(AND(E198&lt;&gt;"",IF(NOT(ISNUMBER(E198)),TRUE,OR(E198&lt;0,E198&gt;999999999,ROUND(E198,3)&lt;&gt;E198))),"Invalid previous reading",IF(IF(NOT(ISNUMBER(F198)),TRUE,OR(F198&lt;0,F198&gt;999999999,ROUND(F198,3)&lt;&gt;F198)),"Invalid last service",IF(AND(E198&lt;&gt;"",D198&lt;E198),"Decreased reading",IF(F198&gt;D198,"Last service above current","")))))))))))))</x:f>
      </x:c>
      <x:c r="L198" s="6" t="str">
        <x:f>IF(AND(NOT(COUNTA(A198:F198)=0),K198=""),INDEX('Rules'!$C$7:$C$26,MATCH(SUBSTITUTE(SUBSTITUTE(SUBSTITUTE(SUBSTITUTE("type:"&amp;B198,"%","%25"),"~","%7E"),"*","%2A"),"?","%3F"),'Rules'!$G$7:$G$26,0)),"")</x:f>
      </x:c>
      <x:c r="M198" s="6" t="str">
        <x:f>IF(AND(NOT(COUNTA(A198:F198)=0),K198=""),INDEX('Rules'!$D$7:$D$26,MATCH(SUBSTITUTE(SUBSTITUTE(SUBSTITUTE(SUBSTITUTE("type:"&amp;B198,"%","%25"),"~","%7E"),"*","%2A"),"?","%3F"),'Rules'!$G$7:$G$26,0)),"")</x:f>
      </x:c>
      <x:c r="N198" s="5" t="str">
        <x:f>IF(COUNTA(A198:F198)=0,"",SUBSTITUTE(SUBSTITUTE(SUBSTITUTE(SUBSTITUTE("id:"&amp;A198,"%","%25"),"~","%7E"),"*","%2A"),"?","%3F"))</x:f>
      </x:c>
    </x:row>
    <x:row r="199" ht="22" customHeight="1">
      <x:c r="A199" s="3"/>
      <x:c r="B199" s="3"/>
      <x:c r="C199" s="3"/>
      <x:c r="D199" s="4"/>
      <x:c r="E199" s="4"/>
      <x:c r="F199" s="4"/>
      <x:c r="G199" s="5" t="str">
        <x:f>IF(COUNTA(A199:F199)=0,"",IF(K199&lt;&gt;"","Review",IF(I199&lt;0,"Overdue",IF(I199=0,"Due now",IF(I199&lt;=M199,"Due soon","Not due")))))</x:f>
      </x:c>
      <x:c r="H199" s="5" t="str">
        <x:f>IF(OR(COUNTA(A199:F199)=0,COUNTIFS('Rules'!$G$7:$G$26,"="&amp;(SUBSTITUTE(SUBSTITUTE(SUBSTITUTE(SUBSTITUTE("type:"&amp;B199,"%","%25"),"~","%7E"),"*","%2A"),"?","%3F")))&lt;&gt;1),"",IF(OR(INDEX('Rules'!$B$7:$B$26,MATCH(SUBSTITUTE(SUBSTITUTE(SUBSTITUTE(SUBSTITUTE("type:"&amp;B199,"%","%25"),"~","%7E"),"*","%2A"),"?","%3F"),'Rules'!$G$7:$G$26,0))="hours",INDEX('Rules'!$B$7:$B$26,MATCH(SUBSTITUTE(SUBSTITUTE(SUBSTITUTE(SUBSTITUTE("type:"&amp;B199,"%","%25"),"~","%7E"),"*","%2A"),"?","%3F"),'Rules'!$G$7:$G$26,0))="km"),INDEX('Rules'!$B$7:$B$26,MATCH(SUBSTITUTE(SUBSTITUTE(SUBSTITUTE(SUBSTITUTE("type:"&amp;B199,"%","%25"),"~","%7E"),"*","%2A"),"?","%3F"),'Rules'!$G$7:$G$26,0)),""))</x:f>
      </x:c>
      <x:c r="I199" s="6" t="str">
        <x:f>IF(AND(NOT(COUNTA(A199:F199)=0),K199=""),ROUND(J199-D199,3),"")</x:f>
      </x:c>
      <x:c r="J199" s="6" t="str">
        <x:f>IF(AND(NOT(COUNTA(A199:F199)=0),K199=""),ROUND(F199+L199,3),"")</x:f>
      </x:c>
      <x:c r="K199" s="5" t="str">
        <x:f>IF(COUNTA(A199:F199)=0,"",IF(A199="","Missing equipment ID",IF(COUNTIFS($N$8:$N$2007,"="&amp;N199)&gt;1,"Duplicate equipment ID",IF(B199="","Missing type",IF(COUNTIFS('Rules'!$G$7:$G$26,"="&amp;(SUBSTITUTE(SUBSTITUTE(SUBSTITUTE(SUBSTITUTE("type:"&amp;B199,"%","%25"),"~","%7E"),"*","%2A"),"?","%3F")))=0,"Unknown type",IF(COUNTIFS('Rules'!$G$7:$G$26,"="&amp;(SUBSTITUTE(SUBSTITUTE(SUBSTITUTE(SUBSTITUTE("type:"&amp;B199,"%","%25"),"~","%7E"),"*","%2A"),"?","%3F")))&gt;1,"Duplicate type",IF(INDEX('Rules'!$F$7:$F$26,MATCH(SUBSTITUTE(SUBSTITUTE(SUBSTITUTE(SUBSTITUTE("type:"&amp;B199,"%","%25"),"~","%7E"),"*","%2A"),"?","%3F"),'Rules'!$G$7:$G$26,0))&lt;&gt;"",INDEX('Rules'!$F$7:$F$26,MATCH(SUBSTITUTE(SUBSTITUTE(SUBSTITUTE(SUBSTITUTE("type:"&amp;B199,"%","%25"),"~","%7E"),"*","%2A"),"?","%3F"),'Rules'!$G$7:$G$26,0)),IF(AND(C199&lt;&gt;"",C199&lt;&gt;INDEX('Rules'!$B$7:$B$26,MATCH(SUBSTITUTE(SUBSTITUTE(SUBSTITUTE(SUBSTITUTE("type:"&amp;B199,"%","%25"),"~","%7E"),"*","%2A"),"?","%3F"),'Rules'!$G$7:$G$26,0))),"Unit mismatch",IF(IF(NOT(ISNUMBER(D199)),TRUE,OR(D199&lt;0,D199&gt;999999999,ROUND(D199,3)&lt;&gt;D199)),"Invalid current reading",IF(AND(E199&lt;&gt;"",IF(NOT(ISNUMBER(E199)),TRUE,OR(E199&lt;0,E199&gt;999999999,ROUND(E199,3)&lt;&gt;E199))),"Invalid previous reading",IF(IF(NOT(ISNUMBER(F199)),TRUE,OR(F199&lt;0,F199&gt;999999999,ROUND(F199,3)&lt;&gt;F199)),"Invalid last service",IF(AND(E199&lt;&gt;"",D199&lt;E199),"Decreased reading",IF(F199&gt;D199,"Last service above current","")))))))))))))</x:f>
      </x:c>
      <x:c r="L199" s="6" t="str">
        <x:f>IF(AND(NOT(COUNTA(A199:F199)=0),K199=""),INDEX('Rules'!$C$7:$C$26,MATCH(SUBSTITUTE(SUBSTITUTE(SUBSTITUTE(SUBSTITUTE("type:"&amp;B199,"%","%25"),"~","%7E"),"*","%2A"),"?","%3F"),'Rules'!$G$7:$G$26,0)),"")</x:f>
      </x:c>
      <x:c r="M199" s="6" t="str">
        <x:f>IF(AND(NOT(COUNTA(A199:F199)=0),K199=""),INDEX('Rules'!$D$7:$D$26,MATCH(SUBSTITUTE(SUBSTITUTE(SUBSTITUTE(SUBSTITUTE("type:"&amp;B199,"%","%25"),"~","%7E"),"*","%2A"),"?","%3F"),'Rules'!$G$7:$G$26,0)),"")</x:f>
      </x:c>
      <x:c r="N199" s="5" t="str">
        <x:f>IF(COUNTA(A199:F199)=0,"",SUBSTITUTE(SUBSTITUTE(SUBSTITUTE(SUBSTITUTE("id:"&amp;A199,"%","%25"),"~","%7E"),"*","%2A"),"?","%3F"))</x:f>
      </x:c>
    </x:row>
    <x:row r="200" ht="22" customHeight="1">
      <x:c r="A200" s="3"/>
      <x:c r="B200" s="3"/>
      <x:c r="C200" s="3"/>
      <x:c r="D200" s="4"/>
      <x:c r="E200" s="4"/>
      <x:c r="F200" s="4"/>
      <x:c r="G200" s="5" t="str">
        <x:f>IF(COUNTA(A200:F200)=0,"",IF(K200&lt;&gt;"","Review",IF(I200&lt;0,"Overdue",IF(I200=0,"Due now",IF(I200&lt;=M200,"Due soon","Not due")))))</x:f>
      </x:c>
      <x:c r="H200" s="5" t="str">
        <x:f>IF(OR(COUNTA(A200:F200)=0,COUNTIFS('Rules'!$G$7:$G$26,"="&amp;(SUBSTITUTE(SUBSTITUTE(SUBSTITUTE(SUBSTITUTE("type:"&amp;B200,"%","%25"),"~","%7E"),"*","%2A"),"?","%3F")))&lt;&gt;1),"",IF(OR(INDEX('Rules'!$B$7:$B$26,MATCH(SUBSTITUTE(SUBSTITUTE(SUBSTITUTE(SUBSTITUTE("type:"&amp;B200,"%","%25"),"~","%7E"),"*","%2A"),"?","%3F"),'Rules'!$G$7:$G$26,0))="hours",INDEX('Rules'!$B$7:$B$26,MATCH(SUBSTITUTE(SUBSTITUTE(SUBSTITUTE(SUBSTITUTE("type:"&amp;B200,"%","%25"),"~","%7E"),"*","%2A"),"?","%3F"),'Rules'!$G$7:$G$26,0))="km"),INDEX('Rules'!$B$7:$B$26,MATCH(SUBSTITUTE(SUBSTITUTE(SUBSTITUTE(SUBSTITUTE("type:"&amp;B200,"%","%25"),"~","%7E"),"*","%2A"),"?","%3F"),'Rules'!$G$7:$G$26,0)),""))</x:f>
      </x:c>
      <x:c r="I200" s="6" t="str">
        <x:f>IF(AND(NOT(COUNTA(A200:F200)=0),K200=""),ROUND(J200-D200,3),"")</x:f>
      </x:c>
      <x:c r="J200" s="6" t="str">
        <x:f>IF(AND(NOT(COUNTA(A200:F200)=0),K200=""),ROUND(F200+L200,3),"")</x:f>
      </x:c>
      <x:c r="K200" s="5" t="str">
        <x:f>IF(COUNTA(A200:F200)=0,"",IF(A200="","Missing equipment ID",IF(COUNTIFS($N$8:$N$2007,"="&amp;N200)&gt;1,"Duplicate equipment ID",IF(B200="","Missing type",IF(COUNTIFS('Rules'!$G$7:$G$26,"="&amp;(SUBSTITUTE(SUBSTITUTE(SUBSTITUTE(SUBSTITUTE("type:"&amp;B200,"%","%25"),"~","%7E"),"*","%2A"),"?","%3F")))=0,"Unknown type",IF(COUNTIFS('Rules'!$G$7:$G$26,"="&amp;(SUBSTITUTE(SUBSTITUTE(SUBSTITUTE(SUBSTITUTE("type:"&amp;B200,"%","%25"),"~","%7E"),"*","%2A"),"?","%3F")))&gt;1,"Duplicate type",IF(INDEX('Rules'!$F$7:$F$26,MATCH(SUBSTITUTE(SUBSTITUTE(SUBSTITUTE(SUBSTITUTE("type:"&amp;B200,"%","%25"),"~","%7E"),"*","%2A"),"?","%3F"),'Rules'!$G$7:$G$26,0))&lt;&gt;"",INDEX('Rules'!$F$7:$F$26,MATCH(SUBSTITUTE(SUBSTITUTE(SUBSTITUTE(SUBSTITUTE("type:"&amp;B200,"%","%25"),"~","%7E"),"*","%2A"),"?","%3F"),'Rules'!$G$7:$G$26,0)),IF(AND(C200&lt;&gt;"",C200&lt;&gt;INDEX('Rules'!$B$7:$B$26,MATCH(SUBSTITUTE(SUBSTITUTE(SUBSTITUTE(SUBSTITUTE("type:"&amp;B200,"%","%25"),"~","%7E"),"*","%2A"),"?","%3F"),'Rules'!$G$7:$G$26,0))),"Unit mismatch",IF(IF(NOT(ISNUMBER(D200)),TRUE,OR(D200&lt;0,D200&gt;999999999,ROUND(D200,3)&lt;&gt;D200)),"Invalid current reading",IF(AND(E200&lt;&gt;"",IF(NOT(ISNUMBER(E200)),TRUE,OR(E200&lt;0,E200&gt;999999999,ROUND(E200,3)&lt;&gt;E200))),"Invalid previous reading",IF(IF(NOT(ISNUMBER(F200)),TRUE,OR(F200&lt;0,F200&gt;999999999,ROUND(F200,3)&lt;&gt;F200)),"Invalid last service",IF(AND(E200&lt;&gt;"",D200&lt;E200),"Decreased reading",IF(F200&gt;D200,"Last service above current","")))))))))))))</x:f>
      </x:c>
      <x:c r="L200" s="6" t="str">
        <x:f>IF(AND(NOT(COUNTA(A200:F200)=0),K200=""),INDEX('Rules'!$C$7:$C$26,MATCH(SUBSTITUTE(SUBSTITUTE(SUBSTITUTE(SUBSTITUTE("type:"&amp;B200,"%","%25"),"~","%7E"),"*","%2A"),"?","%3F"),'Rules'!$G$7:$G$26,0)),"")</x:f>
      </x:c>
      <x:c r="M200" s="6" t="str">
        <x:f>IF(AND(NOT(COUNTA(A200:F200)=0),K200=""),INDEX('Rules'!$D$7:$D$26,MATCH(SUBSTITUTE(SUBSTITUTE(SUBSTITUTE(SUBSTITUTE("type:"&amp;B200,"%","%25"),"~","%7E"),"*","%2A"),"?","%3F"),'Rules'!$G$7:$G$26,0)),"")</x:f>
      </x:c>
      <x:c r="N200" s="5" t="str">
        <x:f>IF(COUNTA(A200:F200)=0,"",SUBSTITUTE(SUBSTITUTE(SUBSTITUTE(SUBSTITUTE("id:"&amp;A200,"%","%25"),"~","%7E"),"*","%2A"),"?","%3F"))</x:f>
      </x:c>
    </x:row>
    <x:row r="201" ht="22" customHeight="1">
      <x:c r="A201" s="3"/>
      <x:c r="B201" s="3"/>
      <x:c r="C201" s="3"/>
      <x:c r="D201" s="4"/>
      <x:c r="E201" s="4"/>
      <x:c r="F201" s="4"/>
      <x:c r="G201" s="5" t="str">
        <x:f>IF(COUNTA(A201:F201)=0,"",IF(K201&lt;&gt;"","Review",IF(I201&lt;0,"Overdue",IF(I201=0,"Due now",IF(I201&lt;=M201,"Due soon","Not due")))))</x:f>
      </x:c>
      <x:c r="H201" s="5" t="str">
        <x:f>IF(OR(COUNTA(A201:F201)=0,COUNTIFS('Rules'!$G$7:$G$26,"="&amp;(SUBSTITUTE(SUBSTITUTE(SUBSTITUTE(SUBSTITUTE("type:"&amp;B201,"%","%25"),"~","%7E"),"*","%2A"),"?","%3F")))&lt;&gt;1),"",IF(OR(INDEX('Rules'!$B$7:$B$26,MATCH(SUBSTITUTE(SUBSTITUTE(SUBSTITUTE(SUBSTITUTE("type:"&amp;B201,"%","%25"),"~","%7E"),"*","%2A"),"?","%3F"),'Rules'!$G$7:$G$26,0))="hours",INDEX('Rules'!$B$7:$B$26,MATCH(SUBSTITUTE(SUBSTITUTE(SUBSTITUTE(SUBSTITUTE("type:"&amp;B201,"%","%25"),"~","%7E"),"*","%2A"),"?","%3F"),'Rules'!$G$7:$G$26,0))="km"),INDEX('Rules'!$B$7:$B$26,MATCH(SUBSTITUTE(SUBSTITUTE(SUBSTITUTE(SUBSTITUTE("type:"&amp;B201,"%","%25"),"~","%7E"),"*","%2A"),"?","%3F"),'Rules'!$G$7:$G$26,0)),""))</x:f>
      </x:c>
      <x:c r="I201" s="6" t="str">
        <x:f>IF(AND(NOT(COUNTA(A201:F201)=0),K201=""),ROUND(J201-D201,3),"")</x:f>
      </x:c>
      <x:c r="J201" s="6" t="str">
        <x:f>IF(AND(NOT(COUNTA(A201:F201)=0),K201=""),ROUND(F201+L201,3),"")</x:f>
      </x:c>
      <x:c r="K201" s="5" t="str">
        <x:f>IF(COUNTA(A201:F201)=0,"",IF(A201="","Missing equipment ID",IF(COUNTIFS($N$8:$N$2007,"="&amp;N201)&gt;1,"Duplicate equipment ID",IF(B201="","Missing type",IF(COUNTIFS('Rules'!$G$7:$G$26,"="&amp;(SUBSTITUTE(SUBSTITUTE(SUBSTITUTE(SUBSTITUTE("type:"&amp;B201,"%","%25"),"~","%7E"),"*","%2A"),"?","%3F")))=0,"Unknown type",IF(COUNTIFS('Rules'!$G$7:$G$26,"="&amp;(SUBSTITUTE(SUBSTITUTE(SUBSTITUTE(SUBSTITUTE("type:"&amp;B201,"%","%25"),"~","%7E"),"*","%2A"),"?","%3F")))&gt;1,"Duplicate type",IF(INDEX('Rules'!$F$7:$F$26,MATCH(SUBSTITUTE(SUBSTITUTE(SUBSTITUTE(SUBSTITUTE("type:"&amp;B201,"%","%25"),"~","%7E"),"*","%2A"),"?","%3F"),'Rules'!$G$7:$G$26,0))&lt;&gt;"",INDEX('Rules'!$F$7:$F$26,MATCH(SUBSTITUTE(SUBSTITUTE(SUBSTITUTE(SUBSTITUTE("type:"&amp;B201,"%","%25"),"~","%7E"),"*","%2A"),"?","%3F"),'Rules'!$G$7:$G$26,0)),IF(AND(C201&lt;&gt;"",C201&lt;&gt;INDEX('Rules'!$B$7:$B$26,MATCH(SUBSTITUTE(SUBSTITUTE(SUBSTITUTE(SUBSTITUTE("type:"&amp;B201,"%","%25"),"~","%7E"),"*","%2A"),"?","%3F"),'Rules'!$G$7:$G$26,0))),"Unit mismatch",IF(IF(NOT(ISNUMBER(D201)),TRUE,OR(D201&lt;0,D201&gt;999999999,ROUND(D201,3)&lt;&gt;D201)),"Invalid current reading",IF(AND(E201&lt;&gt;"",IF(NOT(ISNUMBER(E201)),TRUE,OR(E201&lt;0,E201&gt;999999999,ROUND(E201,3)&lt;&gt;E201))),"Invalid previous reading",IF(IF(NOT(ISNUMBER(F201)),TRUE,OR(F201&lt;0,F201&gt;999999999,ROUND(F201,3)&lt;&gt;F201)),"Invalid last service",IF(AND(E201&lt;&gt;"",D201&lt;E201),"Decreased reading",IF(F201&gt;D201,"Last service above current","")))))))))))))</x:f>
      </x:c>
      <x:c r="L201" s="6" t="str">
        <x:f>IF(AND(NOT(COUNTA(A201:F201)=0),K201=""),INDEX('Rules'!$C$7:$C$26,MATCH(SUBSTITUTE(SUBSTITUTE(SUBSTITUTE(SUBSTITUTE("type:"&amp;B201,"%","%25"),"~","%7E"),"*","%2A"),"?","%3F"),'Rules'!$G$7:$G$26,0)),"")</x:f>
      </x:c>
      <x:c r="M201" s="6" t="str">
        <x:f>IF(AND(NOT(COUNTA(A201:F201)=0),K201=""),INDEX('Rules'!$D$7:$D$26,MATCH(SUBSTITUTE(SUBSTITUTE(SUBSTITUTE(SUBSTITUTE("type:"&amp;B201,"%","%25"),"~","%7E"),"*","%2A"),"?","%3F"),'Rules'!$G$7:$G$26,0)),"")</x:f>
      </x:c>
      <x:c r="N201" s="5" t="str">
        <x:f>IF(COUNTA(A201:F201)=0,"",SUBSTITUTE(SUBSTITUTE(SUBSTITUTE(SUBSTITUTE("id:"&amp;A201,"%","%25"),"~","%7E"),"*","%2A"),"?","%3F"))</x:f>
      </x:c>
    </x:row>
    <x:row r="202" ht="22" customHeight="1">
      <x:c r="A202" s="3"/>
      <x:c r="B202" s="3"/>
      <x:c r="C202" s="3"/>
      <x:c r="D202" s="4"/>
      <x:c r="E202" s="4"/>
      <x:c r="F202" s="4"/>
      <x:c r="G202" s="5" t="str">
        <x:f>IF(COUNTA(A202:F202)=0,"",IF(K202&lt;&gt;"","Review",IF(I202&lt;0,"Overdue",IF(I202=0,"Due now",IF(I202&lt;=M202,"Due soon","Not due")))))</x:f>
      </x:c>
      <x:c r="H202" s="5" t="str">
        <x:f>IF(OR(COUNTA(A202:F202)=0,COUNTIFS('Rules'!$G$7:$G$26,"="&amp;(SUBSTITUTE(SUBSTITUTE(SUBSTITUTE(SUBSTITUTE("type:"&amp;B202,"%","%25"),"~","%7E"),"*","%2A"),"?","%3F")))&lt;&gt;1),"",IF(OR(INDEX('Rules'!$B$7:$B$26,MATCH(SUBSTITUTE(SUBSTITUTE(SUBSTITUTE(SUBSTITUTE("type:"&amp;B202,"%","%25"),"~","%7E"),"*","%2A"),"?","%3F"),'Rules'!$G$7:$G$26,0))="hours",INDEX('Rules'!$B$7:$B$26,MATCH(SUBSTITUTE(SUBSTITUTE(SUBSTITUTE(SUBSTITUTE("type:"&amp;B202,"%","%25"),"~","%7E"),"*","%2A"),"?","%3F"),'Rules'!$G$7:$G$26,0))="km"),INDEX('Rules'!$B$7:$B$26,MATCH(SUBSTITUTE(SUBSTITUTE(SUBSTITUTE(SUBSTITUTE("type:"&amp;B202,"%","%25"),"~","%7E"),"*","%2A"),"?","%3F"),'Rules'!$G$7:$G$26,0)),""))</x:f>
      </x:c>
      <x:c r="I202" s="6" t="str">
        <x:f>IF(AND(NOT(COUNTA(A202:F202)=0),K202=""),ROUND(J202-D202,3),"")</x:f>
      </x:c>
      <x:c r="J202" s="6" t="str">
        <x:f>IF(AND(NOT(COUNTA(A202:F202)=0),K202=""),ROUND(F202+L202,3),"")</x:f>
      </x:c>
      <x:c r="K202" s="5" t="str">
        <x:f>IF(COUNTA(A202:F202)=0,"",IF(A202="","Missing equipment ID",IF(COUNTIFS($N$8:$N$2007,"="&amp;N202)&gt;1,"Duplicate equipment ID",IF(B202="","Missing type",IF(COUNTIFS('Rules'!$G$7:$G$26,"="&amp;(SUBSTITUTE(SUBSTITUTE(SUBSTITUTE(SUBSTITUTE("type:"&amp;B202,"%","%25"),"~","%7E"),"*","%2A"),"?","%3F")))=0,"Unknown type",IF(COUNTIFS('Rules'!$G$7:$G$26,"="&amp;(SUBSTITUTE(SUBSTITUTE(SUBSTITUTE(SUBSTITUTE("type:"&amp;B202,"%","%25"),"~","%7E"),"*","%2A"),"?","%3F")))&gt;1,"Duplicate type",IF(INDEX('Rules'!$F$7:$F$26,MATCH(SUBSTITUTE(SUBSTITUTE(SUBSTITUTE(SUBSTITUTE("type:"&amp;B202,"%","%25"),"~","%7E"),"*","%2A"),"?","%3F"),'Rules'!$G$7:$G$26,0))&lt;&gt;"",INDEX('Rules'!$F$7:$F$26,MATCH(SUBSTITUTE(SUBSTITUTE(SUBSTITUTE(SUBSTITUTE("type:"&amp;B202,"%","%25"),"~","%7E"),"*","%2A"),"?","%3F"),'Rules'!$G$7:$G$26,0)),IF(AND(C202&lt;&gt;"",C202&lt;&gt;INDEX('Rules'!$B$7:$B$26,MATCH(SUBSTITUTE(SUBSTITUTE(SUBSTITUTE(SUBSTITUTE("type:"&amp;B202,"%","%25"),"~","%7E"),"*","%2A"),"?","%3F"),'Rules'!$G$7:$G$26,0))),"Unit mismatch",IF(IF(NOT(ISNUMBER(D202)),TRUE,OR(D202&lt;0,D202&gt;999999999,ROUND(D202,3)&lt;&gt;D202)),"Invalid current reading",IF(AND(E202&lt;&gt;"",IF(NOT(ISNUMBER(E202)),TRUE,OR(E202&lt;0,E202&gt;999999999,ROUND(E202,3)&lt;&gt;E202))),"Invalid previous reading",IF(IF(NOT(ISNUMBER(F202)),TRUE,OR(F202&lt;0,F202&gt;999999999,ROUND(F202,3)&lt;&gt;F202)),"Invalid last service",IF(AND(E202&lt;&gt;"",D202&lt;E202),"Decreased reading",IF(F202&gt;D202,"Last service above current","")))))))))))))</x:f>
      </x:c>
      <x:c r="L202" s="6" t="str">
        <x:f>IF(AND(NOT(COUNTA(A202:F202)=0),K202=""),INDEX('Rules'!$C$7:$C$26,MATCH(SUBSTITUTE(SUBSTITUTE(SUBSTITUTE(SUBSTITUTE("type:"&amp;B202,"%","%25"),"~","%7E"),"*","%2A"),"?","%3F"),'Rules'!$G$7:$G$26,0)),"")</x:f>
      </x:c>
      <x:c r="M202" s="6" t="str">
        <x:f>IF(AND(NOT(COUNTA(A202:F202)=0),K202=""),INDEX('Rules'!$D$7:$D$26,MATCH(SUBSTITUTE(SUBSTITUTE(SUBSTITUTE(SUBSTITUTE("type:"&amp;B202,"%","%25"),"~","%7E"),"*","%2A"),"?","%3F"),'Rules'!$G$7:$G$26,0)),"")</x:f>
      </x:c>
      <x:c r="N202" s="5" t="str">
        <x:f>IF(COUNTA(A202:F202)=0,"",SUBSTITUTE(SUBSTITUTE(SUBSTITUTE(SUBSTITUTE("id:"&amp;A202,"%","%25"),"~","%7E"),"*","%2A"),"?","%3F"))</x:f>
      </x:c>
    </x:row>
    <x:row r="203" ht="22" customHeight="1">
      <x:c r="A203" s="3"/>
      <x:c r="B203" s="3"/>
      <x:c r="C203" s="3"/>
      <x:c r="D203" s="4"/>
      <x:c r="E203" s="4"/>
      <x:c r="F203" s="4"/>
      <x:c r="G203" s="5" t="str">
        <x:f>IF(COUNTA(A203:F203)=0,"",IF(K203&lt;&gt;"","Review",IF(I203&lt;0,"Overdue",IF(I203=0,"Due now",IF(I203&lt;=M203,"Due soon","Not due")))))</x:f>
      </x:c>
      <x:c r="H203" s="5" t="str">
        <x:f>IF(OR(COUNTA(A203:F203)=0,COUNTIFS('Rules'!$G$7:$G$26,"="&amp;(SUBSTITUTE(SUBSTITUTE(SUBSTITUTE(SUBSTITUTE("type:"&amp;B203,"%","%25"),"~","%7E"),"*","%2A"),"?","%3F")))&lt;&gt;1),"",IF(OR(INDEX('Rules'!$B$7:$B$26,MATCH(SUBSTITUTE(SUBSTITUTE(SUBSTITUTE(SUBSTITUTE("type:"&amp;B203,"%","%25"),"~","%7E"),"*","%2A"),"?","%3F"),'Rules'!$G$7:$G$26,0))="hours",INDEX('Rules'!$B$7:$B$26,MATCH(SUBSTITUTE(SUBSTITUTE(SUBSTITUTE(SUBSTITUTE("type:"&amp;B203,"%","%25"),"~","%7E"),"*","%2A"),"?","%3F"),'Rules'!$G$7:$G$26,0))="km"),INDEX('Rules'!$B$7:$B$26,MATCH(SUBSTITUTE(SUBSTITUTE(SUBSTITUTE(SUBSTITUTE("type:"&amp;B203,"%","%25"),"~","%7E"),"*","%2A"),"?","%3F"),'Rules'!$G$7:$G$26,0)),""))</x:f>
      </x:c>
      <x:c r="I203" s="6" t="str">
        <x:f>IF(AND(NOT(COUNTA(A203:F203)=0),K203=""),ROUND(J203-D203,3),"")</x:f>
      </x:c>
      <x:c r="J203" s="6" t="str">
        <x:f>IF(AND(NOT(COUNTA(A203:F203)=0),K203=""),ROUND(F203+L203,3),"")</x:f>
      </x:c>
      <x:c r="K203" s="5" t="str">
        <x:f>IF(COUNTA(A203:F203)=0,"",IF(A203="","Missing equipment ID",IF(COUNTIFS($N$8:$N$2007,"="&amp;N203)&gt;1,"Duplicate equipment ID",IF(B203="","Missing type",IF(COUNTIFS('Rules'!$G$7:$G$26,"="&amp;(SUBSTITUTE(SUBSTITUTE(SUBSTITUTE(SUBSTITUTE("type:"&amp;B203,"%","%25"),"~","%7E"),"*","%2A"),"?","%3F")))=0,"Unknown type",IF(COUNTIFS('Rules'!$G$7:$G$26,"="&amp;(SUBSTITUTE(SUBSTITUTE(SUBSTITUTE(SUBSTITUTE("type:"&amp;B203,"%","%25"),"~","%7E"),"*","%2A"),"?","%3F")))&gt;1,"Duplicate type",IF(INDEX('Rules'!$F$7:$F$26,MATCH(SUBSTITUTE(SUBSTITUTE(SUBSTITUTE(SUBSTITUTE("type:"&amp;B203,"%","%25"),"~","%7E"),"*","%2A"),"?","%3F"),'Rules'!$G$7:$G$26,0))&lt;&gt;"",INDEX('Rules'!$F$7:$F$26,MATCH(SUBSTITUTE(SUBSTITUTE(SUBSTITUTE(SUBSTITUTE("type:"&amp;B203,"%","%25"),"~","%7E"),"*","%2A"),"?","%3F"),'Rules'!$G$7:$G$26,0)),IF(AND(C203&lt;&gt;"",C203&lt;&gt;INDEX('Rules'!$B$7:$B$26,MATCH(SUBSTITUTE(SUBSTITUTE(SUBSTITUTE(SUBSTITUTE("type:"&amp;B203,"%","%25"),"~","%7E"),"*","%2A"),"?","%3F"),'Rules'!$G$7:$G$26,0))),"Unit mismatch",IF(IF(NOT(ISNUMBER(D203)),TRUE,OR(D203&lt;0,D203&gt;999999999,ROUND(D203,3)&lt;&gt;D203)),"Invalid current reading",IF(AND(E203&lt;&gt;"",IF(NOT(ISNUMBER(E203)),TRUE,OR(E203&lt;0,E203&gt;999999999,ROUND(E203,3)&lt;&gt;E203))),"Invalid previous reading",IF(IF(NOT(ISNUMBER(F203)),TRUE,OR(F203&lt;0,F203&gt;999999999,ROUND(F203,3)&lt;&gt;F203)),"Invalid last service",IF(AND(E203&lt;&gt;"",D203&lt;E203),"Decreased reading",IF(F203&gt;D203,"Last service above current","")))))))))))))</x:f>
      </x:c>
      <x:c r="L203" s="6" t="str">
        <x:f>IF(AND(NOT(COUNTA(A203:F203)=0),K203=""),INDEX('Rules'!$C$7:$C$26,MATCH(SUBSTITUTE(SUBSTITUTE(SUBSTITUTE(SUBSTITUTE("type:"&amp;B203,"%","%25"),"~","%7E"),"*","%2A"),"?","%3F"),'Rules'!$G$7:$G$26,0)),"")</x:f>
      </x:c>
      <x:c r="M203" s="6" t="str">
        <x:f>IF(AND(NOT(COUNTA(A203:F203)=0),K203=""),INDEX('Rules'!$D$7:$D$26,MATCH(SUBSTITUTE(SUBSTITUTE(SUBSTITUTE(SUBSTITUTE("type:"&amp;B203,"%","%25"),"~","%7E"),"*","%2A"),"?","%3F"),'Rules'!$G$7:$G$26,0)),"")</x:f>
      </x:c>
      <x:c r="N203" s="5" t="str">
        <x:f>IF(COUNTA(A203:F203)=0,"",SUBSTITUTE(SUBSTITUTE(SUBSTITUTE(SUBSTITUTE("id:"&amp;A203,"%","%25"),"~","%7E"),"*","%2A"),"?","%3F"))</x:f>
      </x:c>
    </x:row>
    <x:row r="204" ht="22" customHeight="1">
      <x:c r="A204" s="3"/>
      <x:c r="B204" s="3"/>
      <x:c r="C204" s="3"/>
      <x:c r="D204" s="4"/>
      <x:c r="E204" s="4"/>
      <x:c r="F204" s="4"/>
      <x:c r="G204" s="5" t="str">
        <x:f>IF(COUNTA(A204:F204)=0,"",IF(K204&lt;&gt;"","Review",IF(I204&lt;0,"Overdue",IF(I204=0,"Due now",IF(I204&lt;=M204,"Due soon","Not due")))))</x:f>
      </x:c>
      <x:c r="H204" s="5" t="str">
        <x:f>IF(OR(COUNTA(A204:F204)=0,COUNTIFS('Rules'!$G$7:$G$26,"="&amp;(SUBSTITUTE(SUBSTITUTE(SUBSTITUTE(SUBSTITUTE("type:"&amp;B204,"%","%25"),"~","%7E"),"*","%2A"),"?","%3F")))&lt;&gt;1),"",IF(OR(INDEX('Rules'!$B$7:$B$26,MATCH(SUBSTITUTE(SUBSTITUTE(SUBSTITUTE(SUBSTITUTE("type:"&amp;B204,"%","%25"),"~","%7E"),"*","%2A"),"?","%3F"),'Rules'!$G$7:$G$26,0))="hours",INDEX('Rules'!$B$7:$B$26,MATCH(SUBSTITUTE(SUBSTITUTE(SUBSTITUTE(SUBSTITUTE("type:"&amp;B204,"%","%25"),"~","%7E"),"*","%2A"),"?","%3F"),'Rules'!$G$7:$G$26,0))="km"),INDEX('Rules'!$B$7:$B$26,MATCH(SUBSTITUTE(SUBSTITUTE(SUBSTITUTE(SUBSTITUTE("type:"&amp;B204,"%","%25"),"~","%7E"),"*","%2A"),"?","%3F"),'Rules'!$G$7:$G$26,0)),""))</x:f>
      </x:c>
      <x:c r="I204" s="6" t="str">
        <x:f>IF(AND(NOT(COUNTA(A204:F204)=0),K204=""),ROUND(J204-D204,3),"")</x:f>
      </x:c>
      <x:c r="J204" s="6" t="str">
        <x:f>IF(AND(NOT(COUNTA(A204:F204)=0),K204=""),ROUND(F204+L204,3),"")</x:f>
      </x:c>
      <x:c r="K204" s="5" t="str">
        <x:f>IF(COUNTA(A204:F204)=0,"",IF(A204="","Missing equipment ID",IF(COUNTIFS($N$8:$N$2007,"="&amp;N204)&gt;1,"Duplicate equipment ID",IF(B204="","Missing type",IF(COUNTIFS('Rules'!$G$7:$G$26,"="&amp;(SUBSTITUTE(SUBSTITUTE(SUBSTITUTE(SUBSTITUTE("type:"&amp;B204,"%","%25"),"~","%7E"),"*","%2A"),"?","%3F")))=0,"Unknown type",IF(COUNTIFS('Rules'!$G$7:$G$26,"="&amp;(SUBSTITUTE(SUBSTITUTE(SUBSTITUTE(SUBSTITUTE("type:"&amp;B204,"%","%25"),"~","%7E"),"*","%2A"),"?","%3F")))&gt;1,"Duplicate type",IF(INDEX('Rules'!$F$7:$F$26,MATCH(SUBSTITUTE(SUBSTITUTE(SUBSTITUTE(SUBSTITUTE("type:"&amp;B204,"%","%25"),"~","%7E"),"*","%2A"),"?","%3F"),'Rules'!$G$7:$G$26,0))&lt;&gt;"",INDEX('Rules'!$F$7:$F$26,MATCH(SUBSTITUTE(SUBSTITUTE(SUBSTITUTE(SUBSTITUTE("type:"&amp;B204,"%","%25"),"~","%7E"),"*","%2A"),"?","%3F"),'Rules'!$G$7:$G$26,0)),IF(AND(C204&lt;&gt;"",C204&lt;&gt;INDEX('Rules'!$B$7:$B$26,MATCH(SUBSTITUTE(SUBSTITUTE(SUBSTITUTE(SUBSTITUTE("type:"&amp;B204,"%","%25"),"~","%7E"),"*","%2A"),"?","%3F"),'Rules'!$G$7:$G$26,0))),"Unit mismatch",IF(IF(NOT(ISNUMBER(D204)),TRUE,OR(D204&lt;0,D204&gt;999999999,ROUND(D204,3)&lt;&gt;D204)),"Invalid current reading",IF(AND(E204&lt;&gt;"",IF(NOT(ISNUMBER(E204)),TRUE,OR(E204&lt;0,E204&gt;999999999,ROUND(E204,3)&lt;&gt;E204))),"Invalid previous reading",IF(IF(NOT(ISNUMBER(F204)),TRUE,OR(F204&lt;0,F204&gt;999999999,ROUND(F204,3)&lt;&gt;F204)),"Invalid last service",IF(AND(E204&lt;&gt;"",D204&lt;E204),"Decreased reading",IF(F204&gt;D204,"Last service above current","")))))))))))))</x:f>
      </x:c>
      <x:c r="L204" s="6" t="str">
        <x:f>IF(AND(NOT(COUNTA(A204:F204)=0),K204=""),INDEX('Rules'!$C$7:$C$26,MATCH(SUBSTITUTE(SUBSTITUTE(SUBSTITUTE(SUBSTITUTE("type:"&amp;B204,"%","%25"),"~","%7E"),"*","%2A"),"?","%3F"),'Rules'!$G$7:$G$26,0)),"")</x:f>
      </x:c>
      <x:c r="M204" s="6" t="str">
        <x:f>IF(AND(NOT(COUNTA(A204:F204)=0),K204=""),INDEX('Rules'!$D$7:$D$26,MATCH(SUBSTITUTE(SUBSTITUTE(SUBSTITUTE(SUBSTITUTE("type:"&amp;B204,"%","%25"),"~","%7E"),"*","%2A"),"?","%3F"),'Rules'!$G$7:$G$26,0)),"")</x:f>
      </x:c>
      <x:c r="N204" s="5" t="str">
        <x:f>IF(COUNTA(A204:F204)=0,"",SUBSTITUTE(SUBSTITUTE(SUBSTITUTE(SUBSTITUTE("id:"&amp;A204,"%","%25"),"~","%7E"),"*","%2A"),"?","%3F"))</x:f>
      </x:c>
    </x:row>
    <x:row r="205" ht="22" customHeight="1">
      <x:c r="A205" s="3"/>
      <x:c r="B205" s="3"/>
      <x:c r="C205" s="3"/>
      <x:c r="D205" s="4"/>
      <x:c r="E205" s="4"/>
      <x:c r="F205" s="4"/>
      <x:c r="G205" s="5" t="str">
        <x:f>IF(COUNTA(A205:F205)=0,"",IF(K205&lt;&gt;"","Review",IF(I205&lt;0,"Overdue",IF(I205=0,"Due now",IF(I205&lt;=M205,"Due soon","Not due")))))</x:f>
      </x:c>
      <x:c r="H205" s="5" t="str">
        <x:f>IF(OR(COUNTA(A205:F205)=0,COUNTIFS('Rules'!$G$7:$G$26,"="&amp;(SUBSTITUTE(SUBSTITUTE(SUBSTITUTE(SUBSTITUTE("type:"&amp;B205,"%","%25"),"~","%7E"),"*","%2A"),"?","%3F")))&lt;&gt;1),"",IF(OR(INDEX('Rules'!$B$7:$B$26,MATCH(SUBSTITUTE(SUBSTITUTE(SUBSTITUTE(SUBSTITUTE("type:"&amp;B205,"%","%25"),"~","%7E"),"*","%2A"),"?","%3F"),'Rules'!$G$7:$G$26,0))="hours",INDEX('Rules'!$B$7:$B$26,MATCH(SUBSTITUTE(SUBSTITUTE(SUBSTITUTE(SUBSTITUTE("type:"&amp;B205,"%","%25"),"~","%7E"),"*","%2A"),"?","%3F"),'Rules'!$G$7:$G$26,0))="km"),INDEX('Rules'!$B$7:$B$26,MATCH(SUBSTITUTE(SUBSTITUTE(SUBSTITUTE(SUBSTITUTE("type:"&amp;B205,"%","%25"),"~","%7E"),"*","%2A"),"?","%3F"),'Rules'!$G$7:$G$26,0)),""))</x:f>
      </x:c>
      <x:c r="I205" s="6" t="str">
        <x:f>IF(AND(NOT(COUNTA(A205:F205)=0),K205=""),ROUND(J205-D205,3),"")</x:f>
      </x:c>
      <x:c r="J205" s="6" t="str">
        <x:f>IF(AND(NOT(COUNTA(A205:F205)=0),K205=""),ROUND(F205+L205,3),"")</x:f>
      </x:c>
      <x:c r="K205" s="5" t="str">
        <x:f>IF(COUNTA(A205:F205)=0,"",IF(A205="","Missing equipment ID",IF(COUNTIFS($N$8:$N$2007,"="&amp;N205)&gt;1,"Duplicate equipment ID",IF(B205="","Missing type",IF(COUNTIFS('Rules'!$G$7:$G$26,"="&amp;(SUBSTITUTE(SUBSTITUTE(SUBSTITUTE(SUBSTITUTE("type:"&amp;B205,"%","%25"),"~","%7E"),"*","%2A"),"?","%3F")))=0,"Unknown type",IF(COUNTIFS('Rules'!$G$7:$G$26,"="&amp;(SUBSTITUTE(SUBSTITUTE(SUBSTITUTE(SUBSTITUTE("type:"&amp;B205,"%","%25"),"~","%7E"),"*","%2A"),"?","%3F")))&gt;1,"Duplicate type",IF(INDEX('Rules'!$F$7:$F$26,MATCH(SUBSTITUTE(SUBSTITUTE(SUBSTITUTE(SUBSTITUTE("type:"&amp;B205,"%","%25"),"~","%7E"),"*","%2A"),"?","%3F"),'Rules'!$G$7:$G$26,0))&lt;&gt;"",INDEX('Rules'!$F$7:$F$26,MATCH(SUBSTITUTE(SUBSTITUTE(SUBSTITUTE(SUBSTITUTE("type:"&amp;B205,"%","%25"),"~","%7E"),"*","%2A"),"?","%3F"),'Rules'!$G$7:$G$26,0)),IF(AND(C205&lt;&gt;"",C205&lt;&gt;INDEX('Rules'!$B$7:$B$26,MATCH(SUBSTITUTE(SUBSTITUTE(SUBSTITUTE(SUBSTITUTE("type:"&amp;B205,"%","%25"),"~","%7E"),"*","%2A"),"?","%3F"),'Rules'!$G$7:$G$26,0))),"Unit mismatch",IF(IF(NOT(ISNUMBER(D205)),TRUE,OR(D205&lt;0,D205&gt;999999999,ROUND(D205,3)&lt;&gt;D205)),"Invalid current reading",IF(AND(E205&lt;&gt;"",IF(NOT(ISNUMBER(E205)),TRUE,OR(E205&lt;0,E205&gt;999999999,ROUND(E205,3)&lt;&gt;E205))),"Invalid previous reading",IF(IF(NOT(ISNUMBER(F205)),TRUE,OR(F205&lt;0,F205&gt;999999999,ROUND(F205,3)&lt;&gt;F205)),"Invalid last service",IF(AND(E205&lt;&gt;"",D205&lt;E205),"Decreased reading",IF(F205&gt;D205,"Last service above current","")))))))))))))</x:f>
      </x:c>
      <x:c r="L205" s="6" t="str">
        <x:f>IF(AND(NOT(COUNTA(A205:F205)=0),K205=""),INDEX('Rules'!$C$7:$C$26,MATCH(SUBSTITUTE(SUBSTITUTE(SUBSTITUTE(SUBSTITUTE("type:"&amp;B205,"%","%25"),"~","%7E"),"*","%2A"),"?","%3F"),'Rules'!$G$7:$G$26,0)),"")</x:f>
      </x:c>
      <x:c r="M205" s="6" t="str">
        <x:f>IF(AND(NOT(COUNTA(A205:F205)=0),K205=""),INDEX('Rules'!$D$7:$D$26,MATCH(SUBSTITUTE(SUBSTITUTE(SUBSTITUTE(SUBSTITUTE("type:"&amp;B205,"%","%25"),"~","%7E"),"*","%2A"),"?","%3F"),'Rules'!$G$7:$G$26,0)),"")</x:f>
      </x:c>
      <x:c r="N205" s="5" t="str">
        <x:f>IF(COUNTA(A205:F205)=0,"",SUBSTITUTE(SUBSTITUTE(SUBSTITUTE(SUBSTITUTE("id:"&amp;A205,"%","%25"),"~","%7E"),"*","%2A"),"?","%3F"))</x:f>
      </x:c>
    </x:row>
    <x:row r="206" ht="22" customHeight="1">
      <x:c r="A206" s="3"/>
      <x:c r="B206" s="3"/>
      <x:c r="C206" s="3"/>
      <x:c r="D206" s="4"/>
      <x:c r="E206" s="4"/>
      <x:c r="F206" s="4"/>
      <x:c r="G206" s="5" t="str">
        <x:f>IF(COUNTA(A206:F206)=0,"",IF(K206&lt;&gt;"","Review",IF(I206&lt;0,"Overdue",IF(I206=0,"Due now",IF(I206&lt;=M206,"Due soon","Not due")))))</x:f>
      </x:c>
      <x:c r="H206" s="5" t="str">
        <x:f>IF(OR(COUNTA(A206:F206)=0,COUNTIFS('Rules'!$G$7:$G$26,"="&amp;(SUBSTITUTE(SUBSTITUTE(SUBSTITUTE(SUBSTITUTE("type:"&amp;B206,"%","%25"),"~","%7E"),"*","%2A"),"?","%3F")))&lt;&gt;1),"",IF(OR(INDEX('Rules'!$B$7:$B$26,MATCH(SUBSTITUTE(SUBSTITUTE(SUBSTITUTE(SUBSTITUTE("type:"&amp;B206,"%","%25"),"~","%7E"),"*","%2A"),"?","%3F"),'Rules'!$G$7:$G$26,0))="hours",INDEX('Rules'!$B$7:$B$26,MATCH(SUBSTITUTE(SUBSTITUTE(SUBSTITUTE(SUBSTITUTE("type:"&amp;B206,"%","%25"),"~","%7E"),"*","%2A"),"?","%3F"),'Rules'!$G$7:$G$26,0))="km"),INDEX('Rules'!$B$7:$B$26,MATCH(SUBSTITUTE(SUBSTITUTE(SUBSTITUTE(SUBSTITUTE("type:"&amp;B206,"%","%25"),"~","%7E"),"*","%2A"),"?","%3F"),'Rules'!$G$7:$G$26,0)),""))</x:f>
      </x:c>
      <x:c r="I206" s="6" t="str">
        <x:f>IF(AND(NOT(COUNTA(A206:F206)=0),K206=""),ROUND(J206-D206,3),"")</x:f>
      </x:c>
      <x:c r="J206" s="6" t="str">
        <x:f>IF(AND(NOT(COUNTA(A206:F206)=0),K206=""),ROUND(F206+L206,3),"")</x:f>
      </x:c>
      <x:c r="K206" s="5" t="str">
        <x:f>IF(COUNTA(A206:F206)=0,"",IF(A206="","Missing equipment ID",IF(COUNTIFS($N$8:$N$2007,"="&amp;N206)&gt;1,"Duplicate equipment ID",IF(B206="","Missing type",IF(COUNTIFS('Rules'!$G$7:$G$26,"="&amp;(SUBSTITUTE(SUBSTITUTE(SUBSTITUTE(SUBSTITUTE("type:"&amp;B206,"%","%25"),"~","%7E"),"*","%2A"),"?","%3F")))=0,"Unknown type",IF(COUNTIFS('Rules'!$G$7:$G$26,"="&amp;(SUBSTITUTE(SUBSTITUTE(SUBSTITUTE(SUBSTITUTE("type:"&amp;B206,"%","%25"),"~","%7E"),"*","%2A"),"?","%3F")))&gt;1,"Duplicate type",IF(INDEX('Rules'!$F$7:$F$26,MATCH(SUBSTITUTE(SUBSTITUTE(SUBSTITUTE(SUBSTITUTE("type:"&amp;B206,"%","%25"),"~","%7E"),"*","%2A"),"?","%3F"),'Rules'!$G$7:$G$26,0))&lt;&gt;"",INDEX('Rules'!$F$7:$F$26,MATCH(SUBSTITUTE(SUBSTITUTE(SUBSTITUTE(SUBSTITUTE("type:"&amp;B206,"%","%25"),"~","%7E"),"*","%2A"),"?","%3F"),'Rules'!$G$7:$G$26,0)),IF(AND(C206&lt;&gt;"",C206&lt;&gt;INDEX('Rules'!$B$7:$B$26,MATCH(SUBSTITUTE(SUBSTITUTE(SUBSTITUTE(SUBSTITUTE("type:"&amp;B206,"%","%25"),"~","%7E"),"*","%2A"),"?","%3F"),'Rules'!$G$7:$G$26,0))),"Unit mismatch",IF(IF(NOT(ISNUMBER(D206)),TRUE,OR(D206&lt;0,D206&gt;999999999,ROUND(D206,3)&lt;&gt;D206)),"Invalid current reading",IF(AND(E206&lt;&gt;"",IF(NOT(ISNUMBER(E206)),TRUE,OR(E206&lt;0,E206&gt;999999999,ROUND(E206,3)&lt;&gt;E206))),"Invalid previous reading",IF(IF(NOT(ISNUMBER(F206)),TRUE,OR(F206&lt;0,F206&gt;999999999,ROUND(F206,3)&lt;&gt;F206)),"Invalid last service",IF(AND(E206&lt;&gt;"",D206&lt;E206),"Decreased reading",IF(F206&gt;D206,"Last service above current","")))))))))))))</x:f>
      </x:c>
      <x:c r="L206" s="6" t="str">
        <x:f>IF(AND(NOT(COUNTA(A206:F206)=0),K206=""),INDEX('Rules'!$C$7:$C$26,MATCH(SUBSTITUTE(SUBSTITUTE(SUBSTITUTE(SUBSTITUTE("type:"&amp;B206,"%","%25"),"~","%7E"),"*","%2A"),"?","%3F"),'Rules'!$G$7:$G$26,0)),"")</x:f>
      </x:c>
      <x:c r="M206" s="6" t="str">
        <x:f>IF(AND(NOT(COUNTA(A206:F206)=0),K206=""),INDEX('Rules'!$D$7:$D$26,MATCH(SUBSTITUTE(SUBSTITUTE(SUBSTITUTE(SUBSTITUTE("type:"&amp;B206,"%","%25"),"~","%7E"),"*","%2A"),"?","%3F"),'Rules'!$G$7:$G$26,0)),"")</x:f>
      </x:c>
      <x:c r="N206" s="5" t="str">
        <x:f>IF(COUNTA(A206:F206)=0,"",SUBSTITUTE(SUBSTITUTE(SUBSTITUTE(SUBSTITUTE("id:"&amp;A206,"%","%25"),"~","%7E"),"*","%2A"),"?","%3F"))</x:f>
      </x:c>
    </x:row>
    <x:row r="207" ht="22" customHeight="1">
      <x:c r="A207" s="3"/>
      <x:c r="B207" s="3"/>
      <x:c r="C207" s="3"/>
      <x:c r="D207" s="4"/>
      <x:c r="E207" s="4"/>
      <x:c r="F207" s="4"/>
      <x:c r="G207" s="5" t="str">
        <x:f>IF(COUNTA(A207:F207)=0,"",IF(K207&lt;&gt;"","Review",IF(I207&lt;0,"Overdue",IF(I207=0,"Due now",IF(I207&lt;=M207,"Due soon","Not due")))))</x:f>
      </x:c>
      <x:c r="H207" s="5" t="str">
        <x:f>IF(OR(COUNTA(A207:F207)=0,COUNTIFS('Rules'!$G$7:$G$26,"="&amp;(SUBSTITUTE(SUBSTITUTE(SUBSTITUTE(SUBSTITUTE("type:"&amp;B207,"%","%25"),"~","%7E"),"*","%2A"),"?","%3F")))&lt;&gt;1),"",IF(OR(INDEX('Rules'!$B$7:$B$26,MATCH(SUBSTITUTE(SUBSTITUTE(SUBSTITUTE(SUBSTITUTE("type:"&amp;B207,"%","%25"),"~","%7E"),"*","%2A"),"?","%3F"),'Rules'!$G$7:$G$26,0))="hours",INDEX('Rules'!$B$7:$B$26,MATCH(SUBSTITUTE(SUBSTITUTE(SUBSTITUTE(SUBSTITUTE("type:"&amp;B207,"%","%25"),"~","%7E"),"*","%2A"),"?","%3F"),'Rules'!$G$7:$G$26,0))="km"),INDEX('Rules'!$B$7:$B$26,MATCH(SUBSTITUTE(SUBSTITUTE(SUBSTITUTE(SUBSTITUTE("type:"&amp;B207,"%","%25"),"~","%7E"),"*","%2A"),"?","%3F"),'Rules'!$G$7:$G$26,0)),""))</x:f>
      </x:c>
      <x:c r="I207" s="6" t="str">
        <x:f>IF(AND(NOT(COUNTA(A207:F207)=0),K207=""),ROUND(J207-D207,3),"")</x:f>
      </x:c>
      <x:c r="J207" s="6" t="str">
        <x:f>IF(AND(NOT(COUNTA(A207:F207)=0),K207=""),ROUND(F207+L207,3),"")</x:f>
      </x:c>
      <x:c r="K207" s="5" t="str">
        <x:f>IF(COUNTA(A207:F207)=0,"",IF(A207="","Missing equipment ID",IF(COUNTIFS($N$8:$N$2007,"="&amp;N207)&gt;1,"Duplicate equipment ID",IF(B207="","Missing type",IF(COUNTIFS('Rules'!$G$7:$G$26,"="&amp;(SUBSTITUTE(SUBSTITUTE(SUBSTITUTE(SUBSTITUTE("type:"&amp;B207,"%","%25"),"~","%7E"),"*","%2A"),"?","%3F")))=0,"Unknown type",IF(COUNTIFS('Rules'!$G$7:$G$26,"="&amp;(SUBSTITUTE(SUBSTITUTE(SUBSTITUTE(SUBSTITUTE("type:"&amp;B207,"%","%25"),"~","%7E"),"*","%2A"),"?","%3F")))&gt;1,"Duplicate type",IF(INDEX('Rules'!$F$7:$F$26,MATCH(SUBSTITUTE(SUBSTITUTE(SUBSTITUTE(SUBSTITUTE("type:"&amp;B207,"%","%25"),"~","%7E"),"*","%2A"),"?","%3F"),'Rules'!$G$7:$G$26,0))&lt;&gt;"",INDEX('Rules'!$F$7:$F$26,MATCH(SUBSTITUTE(SUBSTITUTE(SUBSTITUTE(SUBSTITUTE("type:"&amp;B207,"%","%25"),"~","%7E"),"*","%2A"),"?","%3F"),'Rules'!$G$7:$G$26,0)),IF(AND(C207&lt;&gt;"",C207&lt;&gt;INDEX('Rules'!$B$7:$B$26,MATCH(SUBSTITUTE(SUBSTITUTE(SUBSTITUTE(SUBSTITUTE("type:"&amp;B207,"%","%25"),"~","%7E"),"*","%2A"),"?","%3F"),'Rules'!$G$7:$G$26,0))),"Unit mismatch",IF(IF(NOT(ISNUMBER(D207)),TRUE,OR(D207&lt;0,D207&gt;999999999,ROUND(D207,3)&lt;&gt;D207)),"Invalid current reading",IF(AND(E207&lt;&gt;"",IF(NOT(ISNUMBER(E207)),TRUE,OR(E207&lt;0,E207&gt;999999999,ROUND(E207,3)&lt;&gt;E207))),"Invalid previous reading",IF(IF(NOT(ISNUMBER(F207)),TRUE,OR(F207&lt;0,F207&gt;999999999,ROUND(F207,3)&lt;&gt;F207)),"Invalid last service",IF(AND(E207&lt;&gt;"",D207&lt;E207),"Decreased reading",IF(F207&gt;D207,"Last service above current","")))))))))))))</x:f>
      </x:c>
      <x:c r="L207" s="6" t="str">
        <x:f>IF(AND(NOT(COUNTA(A207:F207)=0),K207=""),INDEX('Rules'!$C$7:$C$26,MATCH(SUBSTITUTE(SUBSTITUTE(SUBSTITUTE(SUBSTITUTE("type:"&amp;B207,"%","%25"),"~","%7E"),"*","%2A"),"?","%3F"),'Rules'!$G$7:$G$26,0)),"")</x:f>
      </x:c>
      <x:c r="M207" s="6" t="str">
        <x:f>IF(AND(NOT(COUNTA(A207:F207)=0),K207=""),INDEX('Rules'!$D$7:$D$26,MATCH(SUBSTITUTE(SUBSTITUTE(SUBSTITUTE(SUBSTITUTE("type:"&amp;B207,"%","%25"),"~","%7E"),"*","%2A"),"?","%3F"),'Rules'!$G$7:$G$26,0)),"")</x:f>
      </x:c>
      <x:c r="N207" s="5" t="str">
        <x:f>IF(COUNTA(A207:F207)=0,"",SUBSTITUTE(SUBSTITUTE(SUBSTITUTE(SUBSTITUTE("id:"&amp;A207,"%","%25"),"~","%7E"),"*","%2A"),"?","%3F"))</x:f>
      </x:c>
    </x:row>
    <x:row r="208" ht="22" customHeight="1">
      <x:c r="A208" s="3"/>
      <x:c r="B208" s="3"/>
      <x:c r="C208" s="3"/>
      <x:c r="D208" s="4"/>
      <x:c r="E208" s="4"/>
      <x:c r="F208" s="4"/>
      <x:c r="G208" s="5" t="str">
        <x:f>IF(COUNTA(A208:F208)=0,"",IF(K208&lt;&gt;"","Review",IF(I208&lt;0,"Overdue",IF(I208=0,"Due now",IF(I208&lt;=M208,"Due soon","Not due")))))</x:f>
      </x:c>
      <x:c r="H208" s="5" t="str">
        <x:f>IF(OR(COUNTA(A208:F208)=0,COUNTIFS('Rules'!$G$7:$G$26,"="&amp;(SUBSTITUTE(SUBSTITUTE(SUBSTITUTE(SUBSTITUTE("type:"&amp;B208,"%","%25"),"~","%7E"),"*","%2A"),"?","%3F")))&lt;&gt;1),"",IF(OR(INDEX('Rules'!$B$7:$B$26,MATCH(SUBSTITUTE(SUBSTITUTE(SUBSTITUTE(SUBSTITUTE("type:"&amp;B208,"%","%25"),"~","%7E"),"*","%2A"),"?","%3F"),'Rules'!$G$7:$G$26,0))="hours",INDEX('Rules'!$B$7:$B$26,MATCH(SUBSTITUTE(SUBSTITUTE(SUBSTITUTE(SUBSTITUTE("type:"&amp;B208,"%","%25"),"~","%7E"),"*","%2A"),"?","%3F"),'Rules'!$G$7:$G$26,0))="km"),INDEX('Rules'!$B$7:$B$26,MATCH(SUBSTITUTE(SUBSTITUTE(SUBSTITUTE(SUBSTITUTE("type:"&amp;B208,"%","%25"),"~","%7E"),"*","%2A"),"?","%3F"),'Rules'!$G$7:$G$26,0)),""))</x:f>
      </x:c>
      <x:c r="I208" s="6" t="str">
        <x:f>IF(AND(NOT(COUNTA(A208:F208)=0),K208=""),ROUND(J208-D208,3),"")</x:f>
      </x:c>
      <x:c r="J208" s="6" t="str">
        <x:f>IF(AND(NOT(COUNTA(A208:F208)=0),K208=""),ROUND(F208+L208,3),"")</x:f>
      </x:c>
      <x:c r="K208" s="5" t="str">
        <x:f>IF(COUNTA(A208:F208)=0,"",IF(A208="","Missing equipment ID",IF(COUNTIFS($N$8:$N$2007,"="&amp;N208)&gt;1,"Duplicate equipment ID",IF(B208="","Missing type",IF(COUNTIFS('Rules'!$G$7:$G$26,"="&amp;(SUBSTITUTE(SUBSTITUTE(SUBSTITUTE(SUBSTITUTE("type:"&amp;B208,"%","%25"),"~","%7E"),"*","%2A"),"?","%3F")))=0,"Unknown type",IF(COUNTIFS('Rules'!$G$7:$G$26,"="&amp;(SUBSTITUTE(SUBSTITUTE(SUBSTITUTE(SUBSTITUTE("type:"&amp;B208,"%","%25"),"~","%7E"),"*","%2A"),"?","%3F")))&gt;1,"Duplicate type",IF(INDEX('Rules'!$F$7:$F$26,MATCH(SUBSTITUTE(SUBSTITUTE(SUBSTITUTE(SUBSTITUTE("type:"&amp;B208,"%","%25"),"~","%7E"),"*","%2A"),"?","%3F"),'Rules'!$G$7:$G$26,0))&lt;&gt;"",INDEX('Rules'!$F$7:$F$26,MATCH(SUBSTITUTE(SUBSTITUTE(SUBSTITUTE(SUBSTITUTE("type:"&amp;B208,"%","%25"),"~","%7E"),"*","%2A"),"?","%3F"),'Rules'!$G$7:$G$26,0)),IF(AND(C208&lt;&gt;"",C208&lt;&gt;INDEX('Rules'!$B$7:$B$26,MATCH(SUBSTITUTE(SUBSTITUTE(SUBSTITUTE(SUBSTITUTE("type:"&amp;B208,"%","%25"),"~","%7E"),"*","%2A"),"?","%3F"),'Rules'!$G$7:$G$26,0))),"Unit mismatch",IF(IF(NOT(ISNUMBER(D208)),TRUE,OR(D208&lt;0,D208&gt;999999999,ROUND(D208,3)&lt;&gt;D208)),"Invalid current reading",IF(AND(E208&lt;&gt;"",IF(NOT(ISNUMBER(E208)),TRUE,OR(E208&lt;0,E208&gt;999999999,ROUND(E208,3)&lt;&gt;E208))),"Invalid previous reading",IF(IF(NOT(ISNUMBER(F208)),TRUE,OR(F208&lt;0,F208&gt;999999999,ROUND(F208,3)&lt;&gt;F208)),"Invalid last service",IF(AND(E208&lt;&gt;"",D208&lt;E208),"Decreased reading",IF(F208&gt;D208,"Last service above current","")))))))))))))</x:f>
      </x:c>
      <x:c r="L208" s="6" t="str">
        <x:f>IF(AND(NOT(COUNTA(A208:F208)=0),K208=""),INDEX('Rules'!$C$7:$C$26,MATCH(SUBSTITUTE(SUBSTITUTE(SUBSTITUTE(SUBSTITUTE("type:"&amp;B208,"%","%25"),"~","%7E"),"*","%2A"),"?","%3F"),'Rules'!$G$7:$G$26,0)),"")</x:f>
      </x:c>
      <x:c r="M208" s="6" t="str">
        <x:f>IF(AND(NOT(COUNTA(A208:F208)=0),K208=""),INDEX('Rules'!$D$7:$D$26,MATCH(SUBSTITUTE(SUBSTITUTE(SUBSTITUTE(SUBSTITUTE("type:"&amp;B208,"%","%25"),"~","%7E"),"*","%2A"),"?","%3F"),'Rules'!$G$7:$G$26,0)),"")</x:f>
      </x:c>
      <x:c r="N208" s="5" t="str">
        <x:f>IF(COUNTA(A208:F208)=0,"",SUBSTITUTE(SUBSTITUTE(SUBSTITUTE(SUBSTITUTE("id:"&amp;A208,"%","%25"),"~","%7E"),"*","%2A"),"?","%3F"))</x:f>
      </x:c>
    </x:row>
    <x:row r="209" ht="22" customHeight="1">
      <x:c r="A209" s="3"/>
      <x:c r="B209" s="3"/>
      <x:c r="C209" s="3"/>
      <x:c r="D209" s="4"/>
      <x:c r="E209" s="4"/>
      <x:c r="F209" s="4"/>
      <x:c r="G209" s="5" t="str">
        <x:f>IF(COUNTA(A209:F209)=0,"",IF(K209&lt;&gt;"","Review",IF(I209&lt;0,"Overdue",IF(I209=0,"Due now",IF(I209&lt;=M209,"Due soon","Not due")))))</x:f>
      </x:c>
      <x:c r="H209" s="5" t="str">
        <x:f>IF(OR(COUNTA(A209:F209)=0,COUNTIFS('Rules'!$G$7:$G$26,"="&amp;(SUBSTITUTE(SUBSTITUTE(SUBSTITUTE(SUBSTITUTE("type:"&amp;B209,"%","%25"),"~","%7E"),"*","%2A"),"?","%3F")))&lt;&gt;1),"",IF(OR(INDEX('Rules'!$B$7:$B$26,MATCH(SUBSTITUTE(SUBSTITUTE(SUBSTITUTE(SUBSTITUTE("type:"&amp;B209,"%","%25"),"~","%7E"),"*","%2A"),"?","%3F"),'Rules'!$G$7:$G$26,0))="hours",INDEX('Rules'!$B$7:$B$26,MATCH(SUBSTITUTE(SUBSTITUTE(SUBSTITUTE(SUBSTITUTE("type:"&amp;B209,"%","%25"),"~","%7E"),"*","%2A"),"?","%3F"),'Rules'!$G$7:$G$26,0))="km"),INDEX('Rules'!$B$7:$B$26,MATCH(SUBSTITUTE(SUBSTITUTE(SUBSTITUTE(SUBSTITUTE("type:"&amp;B209,"%","%25"),"~","%7E"),"*","%2A"),"?","%3F"),'Rules'!$G$7:$G$26,0)),""))</x:f>
      </x:c>
      <x:c r="I209" s="6" t="str">
        <x:f>IF(AND(NOT(COUNTA(A209:F209)=0),K209=""),ROUND(J209-D209,3),"")</x:f>
      </x:c>
      <x:c r="J209" s="6" t="str">
        <x:f>IF(AND(NOT(COUNTA(A209:F209)=0),K209=""),ROUND(F209+L209,3),"")</x:f>
      </x:c>
      <x:c r="K209" s="5" t="str">
        <x:f>IF(COUNTA(A209:F209)=0,"",IF(A209="","Missing equipment ID",IF(COUNTIFS($N$8:$N$2007,"="&amp;N209)&gt;1,"Duplicate equipment ID",IF(B209="","Missing type",IF(COUNTIFS('Rules'!$G$7:$G$26,"="&amp;(SUBSTITUTE(SUBSTITUTE(SUBSTITUTE(SUBSTITUTE("type:"&amp;B209,"%","%25"),"~","%7E"),"*","%2A"),"?","%3F")))=0,"Unknown type",IF(COUNTIFS('Rules'!$G$7:$G$26,"="&amp;(SUBSTITUTE(SUBSTITUTE(SUBSTITUTE(SUBSTITUTE("type:"&amp;B209,"%","%25"),"~","%7E"),"*","%2A"),"?","%3F")))&gt;1,"Duplicate type",IF(INDEX('Rules'!$F$7:$F$26,MATCH(SUBSTITUTE(SUBSTITUTE(SUBSTITUTE(SUBSTITUTE("type:"&amp;B209,"%","%25"),"~","%7E"),"*","%2A"),"?","%3F"),'Rules'!$G$7:$G$26,0))&lt;&gt;"",INDEX('Rules'!$F$7:$F$26,MATCH(SUBSTITUTE(SUBSTITUTE(SUBSTITUTE(SUBSTITUTE("type:"&amp;B209,"%","%25"),"~","%7E"),"*","%2A"),"?","%3F"),'Rules'!$G$7:$G$26,0)),IF(AND(C209&lt;&gt;"",C209&lt;&gt;INDEX('Rules'!$B$7:$B$26,MATCH(SUBSTITUTE(SUBSTITUTE(SUBSTITUTE(SUBSTITUTE("type:"&amp;B209,"%","%25"),"~","%7E"),"*","%2A"),"?","%3F"),'Rules'!$G$7:$G$26,0))),"Unit mismatch",IF(IF(NOT(ISNUMBER(D209)),TRUE,OR(D209&lt;0,D209&gt;999999999,ROUND(D209,3)&lt;&gt;D209)),"Invalid current reading",IF(AND(E209&lt;&gt;"",IF(NOT(ISNUMBER(E209)),TRUE,OR(E209&lt;0,E209&gt;999999999,ROUND(E209,3)&lt;&gt;E209))),"Invalid previous reading",IF(IF(NOT(ISNUMBER(F209)),TRUE,OR(F209&lt;0,F209&gt;999999999,ROUND(F209,3)&lt;&gt;F209)),"Invalid last service",IF(AND(E209&lt;&gt;"",D209&lt;E209),"Decreased reading",IF(F209&gt;D209,"Last service above current","")))))))))))))</x:f>
      </x:c>
      <x:c r="L209" s="6" t="str">
        <x:f>IF(AND(NOT(COUNTA(A209:F209)=0),K209=""),INDEX('Rules'!$C$7:$C$26,MATCH(SUBSTITUTE(SUBSTITUTE(SUBSTITUTE(SUBSTITUTE("type:"&amp;B209,"%","%25"),"~","%7E"),"*","%2A"),"?","%3F"),'Rules'!$G$7:$G$26,0)),"")</x:f>
      </x:c>
      <x:c r="M209" s="6" t="str">
        <x:f>IF(AND(NOT(COUNTA(A209:F209)=0),K209=""),INDEX('Rules'!$D$7:$D$26,MATCH(SUBSTITUTE(SUBSTITUTE(SUBSTITUTE(SUBSTITUTE("type:"&amp;B209,"%","%25"),"~","%7E"),"*","%2A"),"?","%3F"),'Rules'!$G$7:$G$26,0)),"")</x:f>
      </x:c>
      <x:c r="N209" s="5" t="str">
        <x:f>IF(COUNTA(A209:F209)=0,"",SUBSTITUTE(SUBSTITUTE(SUBSTITUTE(SUBSTITUTE("id:"&amp;A209,"%","%25"),"~","%7E"),"*","%2A"),"?","%3F"))</x:f>
      </x:c>
    </x:row>
    <x:row r="210" ht="22" customHeight="1">
      <x:c r="A210" s="3"/>
      <x:c r="B210" s="3"/>
      <x:c r="C210" s="3"/>
      <x:c r="D210" s="4"/>
      <x:c r="E210" s="4"/>
      <x:c r="F210" s="4"/>
      <x:c r="G210" s="5" t="str">
        <x:f>IF(COUNTA(A210:F210)=0,"",IF(K210&lt;&gt;"","Review",IF(I210&lt;0,"Overdue",IF(I210=0,"Due now",IF(I210&lt;=M210,"Due soon","Not due")))))</x:f>
      </x:c>
      <x:c r="H210" s="5" t="str">
        <x:f>IF(OR(COUNTA(A210:F210)=0,COUNTIFS('Rules'!$G$7:$G$26,"="&amp;(SUBSTITUTE(SUBSTITUTE(SUBSTITUTE(SUBSTITUTE("type:"&amp;B210,"%","%25"),"~","%7E"),"*","%2A"),"?","%3F")))&lt;&gt;1),"",IF(OR(INDEX('Rules'!$B$7:$B$26,MATCH(SUBSTITUTE(SUBSTITUTE(SUBSTITUTE(SUBSTITUTE("type:"&amp;B210,"%","%25"),"~","%7E"),"*","%2A"),"?","%3F"),'Rules'!$G$7:$G$26,0))="hours",INDEX('Rules'!$B$7:$B$26,MATCH(SUBSTITUTE(SUBSTITUTE(SUBSTITUTE(SUBSTITUTE("type:"&amp;B210,"%","%25"),"~","%7E"),"*","%2A"),"?","%3F"),'Rules'!$G$7:$G$26,0))="km"),INDEX('Rules'!$B$7:$B$26,MATCH(SUBSTITUTE(SUBSTITUTE(SUBSTITUTE(SUBSTITUTE("type:"&amp;B210,"%","%25"),"~","%7E"),"*","%2A"),"?","%3F"),'Rules'!$G$7:$G$26,0)),""))</x:f>
      </x:c>
      <x:c r="I210" s="6" t="str">
        <x:f>IF(AND(NOT(COUNTA(A210:F210)=0),K210=""),ROUND(J210-D210,3),"")</x:f>
      </x:c>
      <x:c r="J210" s="6" t="str">
        <x:f>IF(AND(NOT(COUNTA(A210:F210)=0),K210=""),ROUND(F210+L210,3),"")</x:f>
      </x:c>
      <x:c r="K210" s="5" t="str">
        <x:f>IF(COUNTA(A210:F210)=0,"",IF(A210="","Missing equipment ID",IF(COUNTIFS($N$8:$N$2007,"="&amp;N210)&gt;1,"Duplicate equipment ID",IF(B210="","Missing type",IF(COUNTIFS('Rules'!$G$7:$G$26,"="&amp;(SUBSTITUTE(SUBSTITUTE(SUBSTITUTE(SUBSTITUTE("type:"&amp;B210,"%","%25"),"~","%7E"),"*","%2A"),"?","%3F")))=0,"Unknown type",IF(COUNTIFS('Rules'!$G$7:$G$26,"="&amp;(SUBSTITUTE(SUBSTITUTE(SUBSTITUTE(SUBSTITUTE("type:"&amp;B210,"%","%25"),"~","%7E"),"*","%2A"),"?","%3F")))&gt;1,"Duplicate type",IF(INDEX('Rules'!$F$7:$F$26,MATCH(SUBSTITUTE(SUBSTITUTE(SUBSTITUTE(SUBSTITUTE("type:"&amp;B210,"%","%25"),"~","%7E"),"*","%2A"),"?","%3F"),'Rules'!$G$7:$G$26,0))&lt;&gt;"",INDEX('Rules'!$F$7:$F$26,MATCH(SUBSTITUTE(SUBSTITUTE(SUBSTITUTE(SUBSTITUTE("type:"&amp;B210,"%","%25"),"~","%7E"),"*","%2A"),"?","%3F"),'Rules'!$G$7:$G$26,0)),IF(AND(C210&lt;&gt;"",C210&lt;&gt;INDEX('Rules'!$B$7:$B$26,MATCH(SUBSTITUTE(SUBSTITUTE(SUBSTITUTE(SUBSTITUTE("type:"&amp;B210,"%","%25"),"~","%7E"),"*","%2A"),"?","%3F"),'Rules'!$G$7:$G$26,0))),"Unit mismatch",IF(IF(NOT(ISNUMBER(D210)),TRUE,OR(D210&lt;0,D210&gt;999999999,ROUND(D210,3)&lt;&gt;D210)),"Invalid current reading",IF(AND(E210&lt;&gt;"",IF(NOT(ISNUMBER(E210)),TRUE,OR(E210&lt;0,E210&gt;999999999,ROUND(E210,3)&lt;&gt;E210))),"Invalid previous reading",IF(IF(NOT(ISNUMBER(F210)),TRUE,OR(F210&lt;0,F210&gt;999999999,ROUND(F210,3)&lt;&gt;F210)),"Invalid last service",IF(AND(E210&lt;&gt;"",D210&lt;E210),"Decreased reading",IF(F210&gt;D210,"Last service above current","")))))))))))))</x:f>
      </x:c>
      <x:c r="L210" s="6" t="str">
        <x:f>IF(AND(NOT(COUNTA(A210:F210)=0),K210=""),INDEX('Rules'!$C$7:$C$26,MATCH(SUBSTITUTE(SUBSTITUTE(SUBSTITUTE(SUBSTITUTE("type:"&amp;B210,"%","%25"),"~","%7E"),"*","%2A"),"?","%3F"),'Rules'!$G$7:$G$26,0)),"")</x:f>
      </x:c>
      <x:c r="M210" s="6" t="str">
        <x:f>IF(AND(NOT(COUNTA(A210:F210)=0),K210=""),INDEX('Rules'!$D$7:$D$26,MATCH(SUBSTITUTE(SUBSTITUTE(SUBSTITUTE(SUBSTITUTE("type:"&amp;B210,"%","%25"),"~","%7E"),"*","%2A"),"?","%3F"),'Rules'!$G$7:$G$26,0)),"")</x:f>
      </x:c>
      <x:c r="N210" s="5" t="str">
        <x:f>IF(COUNTA(A210:F210)=0,"",SUBSTITUTE(SUBSTITUTE(SUBSTITUTE(SUBSTITUTE("id:"&amp;A210,"%","%25"),"~","%7E"),"*","%2A"),"?","%3F"))</x:f>
      </x:c>
    </x:row>
    <x:row r="211" ht="22" customHeight="1">
      <x:c r="A211" s="3"/>
      <x:c r="B211" s="3"/>
      <x:c r="C211" s="3"/>
      <x:c r="D211" s="4"/>
      <x:c r="E211" s="4"/>
      <x:c r="F211" s="4"/>
      <x:c r="G211" s="5" t="str">
        <x:f>IF(COUNTA(A211:F211)=0,"",IF(K211&lt;&gt;"","Review",IF(I211&lt;0,"Overdue",IF(I211=0,"Due now",IF(I211&lt;=M211,"Due soon","Not due")))))</x:f>
      </x:c>
      <x:c r="H211" s="5" t="str">
        <x:f>IF(OR(COUNTA(A211:F211)=0,COUNTIFS('Rules'!$G$7:$G$26,"="&amp;(SUBSTITUTE(SUBSTITUTE(SUBSTITUTE(SUBSTITUTE("type:"&amp;B211,"%","%25"),"~","%7E"),"*","%2A"),"?","%3F")))&lt;&gt;1),"",IF(OR(INDEX('Rules'!$B$7:$B$26,MATCH(SUBSTITUTE(SUBSTITUTE(SUBSTITUTE(SUBSTITUTE("type:"&amp;B211,"%","%25"),"~","%7E"),"*","%2A"),"?","%3F"),'Rules'!$G$7:$G$26,0))="hours",INDEX('Rules'!$B$7:$B$26,MATCH(SUBSTITUTE(SUBSTITUTE(SUBSTITUTE(SUBSTITUTE("type:"&amp;B211,"%","%25"),"~","%7E"),"*","%2A"),"?","%3F"),'Rules'!$G$7:$G$26,0))="km"),INDEX('Rules'!$B$7:$B$26,MATCH(SUBSTITUTE(SUBSTITUTE(SUBSTITUTE(SUBSTITUTE("type:"&amp;B211,"%","%25"),"~","%7E"),"*","%2A"),"?","%3F"),'Rules'!$G$7:$G$26,0)),""))</x:f>
      </x:c>
      <x:c r="I211" s="6" t="str">
        <x:f>IF(AND(NOT(COUNTA(A211:F211)=0),K211=""),ROUND(J211-D211,3),"")</x:f>
      </x:c>
      <x:c r="J211" s="6" t="str">
        <x:f>IF(AND(NOT(COUNTA(A211:F211)=0),K211=""),ROUND(F211+L211,3),"")</x:f>
      </x:c>
      <x:c r="K211" s="5" t="str">
        <x:f>IF(COUNTA(A211:F211)=0,"",IF(A211="","Missing equipment ID",IF(COUNTIFS($N$8:$N$2007,"="&amp;N211)&gt;1,"Duplicate equipment ID",IF(B211="","Missing type",IF(COUNTIFS('Rules'!$G$7:$G$26,"="&amp;(SUBSTITUTE(SUBSTITUTE(SUBSTITUTE(SUBSTITUTE("type:"&amp;B211,"%","%25"),"~","%7E"),"*","%2A"),"?","%3F")))=0,"Unknown type",IF(COUNTIFS('Rules'!$G$7:$G$26,"="&amp;(SUBSTITUTE(SUBSTITUTE(SUBSTITUTE(SUBSTITUTE("type:"&amp;B211,"%","%25"),"~","%7E"),"*","%2A"),"?","%3F")))&gt;1,"Duplicate type",IF(INDEX('Rules'!$F$7:$F$26,MATCH(SUBSTITUTE(SUBSTITUTE(SUBSTITUTE(SUBSTITUTE("type:"&amp;B211,"%","%25"),"~","%7E"),"*","%2A"),"?","%3F"),'Rules'!$G$7:$G$26,0))&lt;&gt;"",INDEX('Rules'!$F$7:$F$26,MATCH(SUBSTITUTE(SUBSTITUTE(SUBSTITUTE(SUBSTITUTE("type:"&amp;B211,"%","%25"),"~","%7E"),"*","%2A"),"?","%3F"),'Rules'!$G$7:$G$26,0)),IF(AND(C211&lt;&gt;"",C211&lt;&gt;INDEX('Rules'!$B$7:$B$26,MATCH(SUBSTITUTE(SUBSTITUTE(SUBSTITUTE(SUBSTITUTE("type:"&amp;B211,"%","%25"),"~","%7E"),"*","%2A"),"?","%3F"),'Rules'!$G$7:$G$26,0))),"Unit mismatch",IF(IF(NOT(ISNUMBER(D211)),TRUE,OR(D211&lt;0,D211&gt;999999999,ROUND(D211,3)&lt;&gt;D211)),"Invalid current reading",IF(AND(E211&lt;&gt;"",IF(NOT(ISNUMBER(E211)),TRUE,OR(E211&lt;0,E211&gt;999999999,ROUND(E211,3)&lt;&gt;E211))),"Invalid previous reading",IF(IF(NOT(ISNUMBER(F211)),TRUE,OR(F211&lt;0,F211&gt;999999999,ROUND(F211,3)&lt;&gt;F211)),"Invalid last service",IF(AND(E211&lt;&gt;"",D211&lt;E211),"Decreased reading",IF(F211&gt;D211,"Last service above current","")))))))))))))</x:f>
      </x:c>
      <x:c r="L211" s="6" t="str">
        <x:f>IF(AND(NOT(COUNTA(A211:F211)=0),K211=""),INDEX('Rules'!$C$7:$C$26,MATCH(SUBSTITUTE(SUBSTITUTE(SUBSTITUTE(SUBSTITUTE("type:"&amp;B211,"%","%25"),"~","%7E"),"*","%2A"),"?","%3F"),'Rules'!$G$7:$G$26,0)),"")</x:f>
      </x:c>
      <x:c r="M211" s="6" t="str">
        <x:f>IF(AND(NOT(COUNTA(A211:F211)=0),K211=""),INDEX('Rules'!$D$7:$D$26,MATCH(SUBSTITUTE(SUBSTITUTE(SUBSTITUTE(SUBSTITUTE("type:"&amp;B211,"%","%25"),"~","%7E"),"*","%2A"),"?","%3F"),'Rules'!$G$7:$G$26,0)),"")</x:f>
      </x:c>
      <x:c r="N211" s="5" t="str">
        <x:f>IF(COUNTA(A211:F211)=0,"",SUBSTITUTE(SUBSTITUTE(SUBSTITUTE(SUBSTITUTE("id:"&amp;A211,"%","%25"),"~","%7E"),"*","%2A"),"?","%3F"))</x:f>
      </x:c>
    </x:row>
    <x:row r="212" ht="22" customHeight="1">
      <x:c r="A212" s="3"/>
      <x:c r="B212" s="3"/>
      <x:c r="C212" s="3"/>
      <x:c r="D212" s="4"/>
      <x:c r="E212" s="4"/>
      <x:c r="F212" s="4"/>
      <x:c r="G212" s="5" t="str">
        <x:f>IF(COUNTA(A212:F212)=0,"",IF(K212&lt;&gt;"","Review",IF(I212&lt;0,"Overdue",IF(I212=0,"Due now",IF(I212&lt;=M212,"Due soon","Not due")))))</x:f>
      </x:c>
      <x:c r="H212" s="5" t="str">
        <x:f>IF(OR(COUNTA(A212:F212)=0,COUNTIFS('Rules'!$G$7:$G$26,"="&amp;(SUBSTITUTE(SUBSTITUTE(SUBSTITUTE(SUBSTITUTE("type:"&amp;B212,"%","%25"),"~","%7E"),"*","%2A"),"?","%3F")))&lt;&gt;1),"",IF(OR(INDEX('Rules'!$B$7:$B$26,MATCH(SUBSTITUTE(SUBSTITUTE(SUBSTITUTE(SUBSTITUTE("type:"&amp;B212,"%","%25"),"~","%7E"),"*","%2A"),"?","%3F"),'Rules'!$G$7:$G$26,0))="hours",INDEX('Rules'!$B$7:$B$26,MATCH(SUBSTITUTE(SUBSTITUTE(SUBSTITUTE(SUBSTITUTE("type:"&amp;B212,"%","%25"),"~","%7E"),"*","%2A"),"?","%3F"),'Rules'!$G$7:$G$26,0))="km"),INDEX('Rules'!$B$7:$B$26,MATCH(SUBSTITUTE(SUBSTITUTE(SUBSTITUTE(SUBSTITUTE("type:"&amp;B212,"%","%25"),"~","%7E"),"*","%2A"),"?","%3F"),'Rules'!$G$7:$G$26,0)),""))</x:f>
      </x:c>
      <x:c r="I212" s="6" t="str">
        <x:f>IF(AND(NOT(COUNTA(A212:F212)=0),K212=""),ROUND(J212-D212,3),"")</x:f>
      </x:c>
      <x:c r="J212" s="6" t="str">
        <x:f>IF(AND(NOT(COUNTA(A212:F212)=0),K212=""),ROUND(F212+L212,3),"")</x:f>
      </x:c>
      <x:c r="K212" s="5" t="str">
        <x:f>IF(COUNTA(A212:F212)=0,"",IF(A212="","Missing equipment ID",IF(COUNTIFS($N$8:$N$2007,"="&amp;N212)&gt;1,"Duplicate equipment ID",IF(B212="","Missing type",IF(COUNTIFS('Rules'!$G$7:$G$26,"="&amp;(SUBSTITUTE(SUBSTITUTE(SUBSTITUTE(SUBSTITUTE("type:"&amp;B212,"%","%25"),"~","%7E"),"*","%2A"),"?","%3F")))=0,"Unknown type",IF(COUNTIFS('Rules'!$G$7:$G$26,"="&amp;(SUBSTITUTE(SUBSTITUTE(SUBSTITUTE(SUBSTITUTE("type:"&amp;B212,"%","%25"),"~","%7E"),"*","%2A"),"?","%3F")))&gt;1,"Duplicate type",IF(INDEX('Rules'!$F$7:$F$26,MATCH(SUBSTITUTE(SUBSTITUTE(SUBSTITUTE(SUBSTITUTE("type:"&amp;B212,"%","%25"),"~","%7E"),"*","%2A"),"?","%3F"),'Rules'!$G$7:$G$26,0))&lt;&gt;"",INDEX('Rules'!$F$7:$F$26,MATCH(SUBSTITUTE(SUBSTITUTE(SUBSTITUTE(SUBSTITUTE("type:"&amp;B212,"%","%25"),"~","%7E"),"*","%2A"),"?","%3F"),'Rules'!$G$7:$G$26,0)),IF(AND(C212&lt;&gt;"",C212&lt;&gt;INDEX('Rules'!$B$7:$B$26,MATCH(SUBSTITUTE(SUBSTITUTE(SUBSTITUTE(SUBSTITUTE("type:"&amp;B212,"%","%25"),"~","%7E"),"*","%2A"),"?","%3F"),'Rules'!$G$7:$G$26,0))),"Unit mismatch",IF(IF(NOT(ISNUMBER(D212)),TRUE,OR(D212&lt;0,D212&gt;999999999,ROUND(D212,3)&lt;&gt;D212)),"Invalid current reading",IF(AND(E212&lt;&gt;"",IF(NOT(ISNUMBER(E212)),TRUE,OR(E212&lt;0,E212&gt;999999999,ROUND(E212,3)&lt;&gt;E212))),"Invalid previous reading",IF(IF(NOT(ISNUMBER(F212)),TRUE,OR(F212&lt;0,F212&gt;999999999,ROUND(F212,3)&lt;&gt;F212)),"Invalid last service",IF(AND(E212&lt;&gt;"",D212&lt;E212),"Decreased reading",IF(F212&gt;D212,"Last service above current","")))))))))))))</x:f>
      </x:c>
      <x:c r="L212" s="6" t="str">
        <x:f>IF(AND(NOT(COUNTA(A212:F212)=0),K212=""),INDEX('Rules'!$C$7:$C$26,MATCH(SUBSTITUTE(SUBSTITUTE(SUBSTITUTE(SUBSTITUTE("type:"&amp;B212,"%","%25"),"~","%7E"),"*","%2A"),"?","%3F"),'Rules'!$G$7:$G$26,0)),"")</x:f>
      </x:c>
      <x:c r="M212" s="6" t="str">
        <x:f>IF(AND(NOT(COUNTA(A212:F212)=0),K212=""),INDEX('Rules'!$D$7:$D$26,MATCH(SUBSTITUTE(SUBSTITUTE(SUBSTITUTE(SUBSTITUTE("type:"&amp;B212,"%","%25"),"~","%7E"),"*","%2A"),"?","%3F"),'Rules'!$G$7:$G$26,0)),"")</x:f>
      </x:c>
      <x:c r="N212" s="5" t="str">
        <x:f>IF(COUNTA(A212:F212)=0,"",SUBSTITUTE(SUBSTITUTE(SUBSTITUTE(SUBSTITUTE("id:"&amp;A212,"%","%25"),"~","%7E"),"*","%2A"),"?","%3F"))</x:f>
      </x:c>
    </x:row>
    <x:row r="213" ht="22" customHeight="1">
      <x:c r="A213" s="3"/>
      <x:c r="B213" s="3"/>
      <x:c r="C213" s="3"/>
      <x:c r="D213" s="4"/>
      <x:c r="E213" s="4"/>
      <x:c r="F213" s="4"/>
      <x:c r="G213" s="5" t="str">
        <x:f>IF(COUNTA(A213:F213)=0,"",IF(K213&lt;&gt;"","Review",IF(I213&lt;0,"Overdue",IF(I213=0,"Due now",IF(I213&lt;=M213,"Due soon","Not due")))))</x:f>
      </x:c>
      <x:c r="H213" s="5" t="str">
        <x:f>IF(OR(COUNTA(A213:F213)=0,COUNTIFS('Rules'!$G$7:$G$26,"="&amp;(SUBSTITUTE(SUBSTITUTE(SUBSTITUTE(SUBSTITUTE("type:"&amp;B213,"%","%25"),"~","%7E"),"*","%2A"),"?","%3F")))&lt;&gt;1),"",IF(OR(INDEX('Rules'!$B$7:$B$26,MATCH(SUBSTITUTE(SUBSTITUTE(SUBSTITUTE(SUBSTITUTE("type:"&amp;B213,"%","%25"),"~","%7E"),"*","%2A"),"?","%3F"),'Rules'!$G$7:$G$26,0))="hours",INDEX('Rules'!$B$7:$B$26,MATCH(SUBSTITUTE(SUBSTITUTE(SUBSTITUTE(SUBSTITUTE("type:"&amp;B213,"%","%25"),"~","%7E"),"*","%2A"),"?","%3F"),'Rules'!$G$7:$G$26,0))="km"),INDEX('Rules'!$B$7:$B$26,MATCH(SUBSTITUTE(SUBSTITUTE(SUBSTITUTE(SUBSTITUTE("type:"&amp;B213,"%","%25"),"~","%7E"),"*","%2A"),"?","%3F"),'Rules'!$G$7:$G$26,0)),""))</x:f>
      </x:c>
      <x:c r="I213" s="6" t="str">
        <x:f>IF(AND(NOT(COUNTA(A213:F213)=0),K213=""),ROUND(J213-D213,3),"")</x:f>
      </x:c>
      <x:c r="J213" s="6" t="str">
        <x:f>IF(AND(NOT(COUNTA(A213:F213)=0),K213=""),ROUND(F213+L213,3),"")</x:f>
      </x:c>
      <x:c r="K213" s="5" t="str">
        <x:f>IF(COUNTA(A213:F213)=0,"",IF(A213="","Missing equipment ID",IF(COUNTIFS($N$8:$N$2007,"="&amp;N213)&gt;1,"Duplicate equipment ID",IF(B213="","Missing type",IF(COUNTIFS('Rules'!$G$7:$G$26,"="&amp;(SUBSTITUTE(SUBSTITUTE(SUBSTITUTE(SUBSTITUTE("type:"&amp;B213,"%","%25"),"~","%7E"),"*","%2A"),"?","%3F")))=0,"Unknown type",IF(COUNTIFS('Rules'!$G$7:$G$26,"="&amp;(SUBSTITUTE(SUBSTITUTE(SUBSTITUTE(SUBSTITUTE("type:"&amp;B213,"%","%25"),"~","%7E"),"*","%2A"),"?","%3F")))&gt;1,"Duplicate type",IF(INDEX('Rules'!$F$7:$F$26,MATCH(SUBSTITUTE(SUBSTITUTE(SUBSTITUTE(SUBSTITUTE("type:"&amp;B213,"%","%25"),"~","%7E"),"*","%2A"),"?","%3F"),'Rules'!$G$7:$G$26,0))&lt;&gt;"",INDEX('Rules'!$F$7:$F$26,MATCH(SUBSTITUTE(SUBSTITUTE(SUBSTITUTE(SUBSTITUTE("type:"&amp;B213,"%","%25"),"~","%7E"),"*","%2A"),"?","%3F"),'Rules'!$G$7:$G$26,0)),IF(AND(C213&lt;&gt;"",C213&lt;&gt;INDEX('Rules'!$B$7:$B$26,MATCH(SUBSTITUTE(SUBSTITUTE(SUBSTITUTE(SUBSTITUTE("type:"&amp;B213,"%","%25"),"~","%7E"),"*","%2A"),"?","%3F"),'Rules'!$G$7:$G$26,0))),"Unit mismatch",IF(IF(NOT(ISNUMBER(D213)),TRUE,OR(D213&lt;0,D213&gt;999999999,ROUND(D213,3)&lt;&gt;D213)),"Invalid current reading",IF(AND(E213&lt;&gt;"",IF(NOT(ISNUMBER(E213)),TRUE,OR(E213&lt;0,E213&gt;999999999,ROUND(E213,3)&lt;&gt;E213))),"Invalid previous reading",IF(IF(NOT(ISNUMBER(F213)),TRUE,OR(F213&lt;0,F213&gt;999999999,ROUND(F213,3)&lt;&gt;F213)),"Invalid last service",IF(AND(E213&lt;&gt;"",D213&lt;E213),"Decreased reading",IF(F213&gt;D213,"Last service above current","")))))))))))))</x:f>
      </x:c>
      <x:c r="L213" s="6" t="str">
        <x:f>IF(AND(NOT(COUNTA(A213:F213)=0),K213=""),INDEX('Rules'!$C$7:$C$26,MATCH(SUBSTITUTE(SUBSTITUTE(SUBSTITUTE(SUBSTITUTE("type:"&amp;B213,"%","%25"),"~","%7E"),"*","%2A"),"?","%3F"),'Rules'!$G$7:$G$26,0)),"")</x:f>
      </x:c>
      <x:c r="M213" s="6" t="str">
        <x:f>IF(AND(NOT(COUNTA(A213:F213)=0),K213=""),INDEX('Rules'!$D$7:$D$26,MATCH(SUBSTITUTE(SUBSTITUTE(SUBSTITUTE(SUBSTITUTE("type:"&amp;B213,"%","%25"),"~","%7E"),"*","%2A"),"?","%3F"),'Rules'!$G$7:$G$26,0)),"")</x:f>
      </x:c>
      <x:c r="N213" s="5" t="str">
        <x:f>IF(COUNTA(A213:F213)=0,"",SUBSTITUTE(SUBSTITUTE(SUBSTITUTE(SUBSTITUTE("id:"&amp;A213,"%","%25"),"~","%7E"),"*","%2A"),"?","%3F"))</x:f>
      </x:c>
    </x:row>
    <x:row r="214" ht="22" customHeight="1">
      <x:c r="A214" s="3"/>
      <x:c r="B214" s="3"/>
      <x:c r="C214" s="3"/>
      <x:c r="D214" s="4"/>
      <x:c r="E214" s="4"/>
      <x:c r="F214" s="4"/>
      <x:c r="G214" s="5" t="str">
        <x:f>IF(COUNTA(A214:F214)=0,"",IF(K214&lt;&gt;"","Review",IF(I214&lt;0,"Overdue",IF(I214=0,"Due now",IF(I214&lt;=M214,"Due soon","Not due")))))</x:f>
      </x:c>
      <x:c r="H214" s="5" t="str">
        <x:f>IF(OR(COUNTA(A214:F214)=0,COUNTIFS('Rules'!$G$7:$G$26,"="&amp;(SUBSTITUTE(SUBSTITUTE(SUBSTITUTE(SUBSTITUTE("type:"&amp;B214,"%","%25"),"~","%7E"),"*","%2A"),"?","%3F")))&lt;&gt;1),"",IF(OR(INDEX('Rules'!$B$7:$B$26,MATCH(SUBSTITUTE(SUBSTITUTE(SUBSTITUTE(SUBSTITUTE("type:"&amp;B214,"%","%25"),"~","%7E"),"*","%2A"),"?","%3F"),'Rules'!$G$7:$G$26,0))="hours",INDEX('Rules'!$B$7:$B$26,MATCH(SUBSTITUTE(SUBSTITUTE(SUBSTITUTE(SUBSTITUTE("type:"&amp;B214,"%","%25"),"~","%7E"),"*","%2A"),"?","%3F"),'Rules'!$G$7:$G$26,0))="km"),INDEX('Rules'!$B$7:$B$26,MATCH(SUBSTITUTE(SUBSTITUTE(SUBSTITUTE(SUBSTITUTE("type:"&amp;B214,"%","%25"),"~","%7E"),"*","%2A"),"?","%3F"),'Rules'!$G$7:$G$26,0)),""))</x:f>
      </x:c>
      <x:c r="I214" s="6" t="str">
        <x:f>IF(AND(NOT(COUNTA(A214:F214)=0),K214=""),ROUND(J214-D214,3),"")</x:f>
      </x:c>
      <x:c r="J214" s="6" t="str">
        <x:f>IF(AND(NOT(COUNTA(A214:F214)=0),K214=""),ROUND(F214+L214,3),"")</x:f>
      </x:c>
      <x:c r="K214" s="5" t="str">
        <x:f>IF(COUNTA(A214:F214)=0,"",IF(A214="","Missing equipment ID",IF(COUNTIFS($N$8:$N$2007,"="&amp;N214)&gt;1,"Duplicate equipment ID",IF(B214="","Missing type",IF(COUNTIFS('Rules'!$G$7:$G$26,"="&amp;(SUBSTITUTE(SUBSTITUTE(SUBSTITUTE(SUBSTITUTE("type:"&amp;B214,"%","%25"),"~","%7E"),"*","%2A"),"?","%3F")))=0,"Unknown type",IF(COUNTIFS('Rules'!$G$7:$G$26,"="&amp;(SUBSTITUTE(SUBSTITUTE(SUBSTITUTE(SUBSTITUTE("type:"&amp;B214,"%","%25"),"~","%7E"),"*","%2A"),"?","%3F")))&gt;1,"Duplicate type",IF(INDEX('Rules'!$F$7:$F$26,MATCH(SUBSTITUTE(SUBSTITUTE(SUBSTITUTE(SUBSTITUTE("type:"&amp;B214,"%","%25"),"~","%7E"),"*","%2A"),"?","%3F"),'Rules'!$G$7:$G$26,0))&lt;&gt;"",INDEX('Rules'!$F$7:$F$26,MATCH(SUBSTITUTE(SUBSTITUTE(SUBSTITUTE(SUBSTITUTE("type:"&amp;B214,"%","%25"),"~","%7E"),"*","%2A"),"?","%3F"),'Rules'!$G$7:$G$26,0)),IF(AND(C214&lt;&gt;"",C214&lt;&gt;INDEX('Rules'!$B$7:$B$26,MATCH(SUBSTITUTE(SUBSTITUTE(SUBSTITUTE(SUBSTITUTE("type:"&amp;B214,"%","%25"),"~","%7E"),"*","%2A"),"?","%3F"),'Rules'!$G$7:$G$26,0))),"Unit mismatch",IF(IF(NOT(ISNUMBER(D214)),TRUE,OR(D214&lt;0,D214&gt;999999999,ROUND(D214,3)&lt;&gt;D214)),"Invalid current reading",IF(AND(E214&lt;&gt;"",IF(NOT(ISNUMBER(E214)),TRUE,OR(E214&lt;0,E214&gt;999999999,ROUND(E214,3)&lt;&gt;E214))),"Invalid previous reading",IF(IF(NOT(ISNUMBER(F214)),TRUE,OR(F214&lt;0,F214&gt;999999999,ROUND(F214,3)&lt;&gt;F214)),"Invalid last service",IF(AND(E214&lt;&gt;"",D214&lt;E214),"Decreased reading",IF(F214&gt;D214,"Last service above current","")))))))))))))</x:f>
      </x:c>
      <x:c r="L214" s="6" t="str">
        <x:f>IF(AND(NOT(COUNTA(A214:F214)=0),K214=""),INDEX('Rules'!$C$7:$C$26,MATCH(SUBSTITUTE(SUBSTITUTE(SUBSTITUTE(SUBSTITUTE("type:"&amp;B214,"%","%25"),"~","%7E"),"*","%2A"),"?","%3F"),'Rules'!$G$7:$G$26,0)),"")</x:f>
      </x:c>
      <x:c r="M214" s="6" t="str">
        <x:f>IF(AND(NOT(COUNTA(A214:F214)=0),K214=""),INDEX('Rules'!$D$7:$D$26,MATCH(SUBSTITUTE(SUBSTITUTE(SUBSTITUTE(SUBSTITUTE("type:"&amp;B214,"%","%25"),"~","%7E"),"*","%2A"),"?","%3F"),'Rules'!$G$7:$G$26,0)),"")</x:f>
      </x:c>
      <x:c r="N214" s="5" t="str">
        <x:f>IF(COUNTA(A214:F214)=0,"",SUBSTITUTE(SUBSTITUTE(SUBSTITUTE(SUBSTITUTE("id:"&amp;A214,"%","%25"),"~","%7E"),"*","%2A"),"?","%3F"))</x:f>
      </x:c>
    </x:row>
    <x:row r="215" ht="22" customHeight="1">
      <x:c r="A215" s="3"/>
      <x:c r="B215" s="3"/>
      <x:c r="C215" s="3"/>
      <x:c r="D215" s="4"/>
      <x:c r="E215" s="4"/>
      <x:c r="F215" s="4"/>
      <x:c r="G215" s="5" t="str">
        <x:f>IF(COUNTA(A215:F215)=0,"",IF(K215&lt;&gt;"","Review",IF(I215&lt;0,"Overdue",IF(I215=0,"Due now",IF(I215&lt;=M215,"Due soon","Not due")))))</x:f>
      </x:c>
      <x:c r="H215" s="5" t="str">
        <x:f>IF(OR(COUNTA(A215:F215)=0,COUNTIFS('Rules'!$G$7:$G$26,"="&amp;(SUBSTITUTE(SUBSTITUTE(SUBSTITUTE(SUBSTITUTE("type:"&amp;B215,"%","%25"),"~","%7E"),"*","%2A"),"?","%3F")))&lt;&gt;1),"",IF(OR(INDEX('Rules'!$B$7:$B$26,MATCH(SUBSTITUTE(SUBSTITUTE(SUBSTITUTE(SUBSTITUTE("type:"&amp;B215,"%","%25"),"~","%7E"),"*","%2A"),"?","%3F"),'Rules'!$G$7:$G$26,0))="hours",INDEX('Rules'!$B$7:$B$26,MATCH(SUBSTITUTE(SUBSTITUTE(SUBSTITUTE(SUBSTITUTE("type:"&amp;B215,"%","%25"),"~","%7E"),"*","%2A"),"?","%3F"),'Rules'!$G$7:$G$26,0))="km"),INDEX('Rules'!$B$7:$B$26,MATCH(SUBSTITUTE(SUBSTITUTE(SUBSTITUTE(SUBSTITUTE("type:"&amp;B215,"%","%25"),"~","%7E"),"*","%2A"),"?","%3F"),'Rules'!$G$7:$G$26,0)),""))</x:f>
      </x:c>
      <x:c r="I215" s="6" t="str">
        <x:f>IF(AND(NOT(COUNTA(A215:F215)=0),K215=""),ROUND(J215-D215,3),"")</x:f>
      </x:c>
      <x:c r="J215" s="6" t="str">
        <x:f>IF(AND(NOT(COUNTA(A215:F215)=0),K215=""),ROUND(F215+L215,3),"")</x:f>
      </x:c>
      <x:c r="K215" s="5" t="str">
        <x:f>IF(COUNTA(A215:F215)=0,"",IF(A215="","Missing equipment ID",IF(COUNTIFS($N$8:$N$2007,"="&amp;N215)&gt;1,"Duplicate equipment ID",IF(B215="","Missing type",IF(COUNTIFS('Rules'!$G$7:$G$26,"="&amp;(SUBSTITUTE(SUBSTITUTE(SUBSTITUTE(SUBSTITUTE("type:"&amp;B215,"%","%25"),"~","%7E"),"*","%2A"),"?","%3F")))=0,"Unknown type",IF(COUNTIFS('Rules'!$G$7:$G$26,"="&amp;(SUBSTITUTE(SUBSTITUTE(SUBSTITUTE(SUBSTITUTE("type:"&amp;B215,"%","%25"),"~","%7E"),"*","%2A"),"?","%3F")))&gt;1,"Duplicate type",IF(INDEX('Rules'!$F$7:$F$26,MATCH(SUBSTITUTE(SUBSTITUTE(SUBSTITUTE(SUBSTITUTE("type:"&amp;B215,"%","%25"),"~","%7E"),"*","%2A"),"?","%3F"),'Rules'!$G$7:$G$26,0))&lt;&gt;"",INDEX('Rules'!$F$7:$F$26,MATCH(SUBSTITUTE(SUBSTITUTE(SUBSTITUTE(SUBSTITUTE("type:"&amp;B215,"%","%25"),"~","%7E"),"*","%2A"),"?","%3F"),'Rules'!$G$7:$G$26,0)),IF(AND(C215&lt;&gt;"",C215&lt;&gt;INDEX('Rules'!$B$7:$B$26,MATCH(SUBSTITUTE(SUBSTITUTE(SUBSTITUTE(SUBSTITUTE("type:"&amp;B215,"%","%25"),"~","%7E"),"*","%2A"),"?","%3F"),'Rules'!$G$7:$G$26,0))),"Unit mismatch",IF(IF(NOT(ISNUMBER(D215)),TRUE,OR(D215&lt;0,D215&gt;999999999,ROUND(D215,3)&lt;&gt;D215)),"Invalid current reading",IF(AND(E215&lt;&gt;"",IF(NOT(ISNUMBER(E215)),TRUE,OR(E215&lt;0,E215&gt;999999999,ROUND(E215,3)&lt;&gt;E215))),"Invalid previous reading",IF(IF(NOT(ISNUMBER(F215)),TRUE,OR(F215&lt;0,F215&gt;999999999,ROUND(F215,3)&lt;&gt;F215)),"Invalid last service",IF(AND(E215&lt;&gt;"",D215&lt;E215),"Decreased reading",IF(F215&gt;D215,"Last service above current","")))))))))))))</x:f>
      </x:c>
      <x:c r="L215" s="6" t="str">
        <x:f>IF(AND(NOT(COUNTA(A215:F215)=0),K215=""),INDEX('Rules'!$C$7:$C$26,MATCH(SUBSTITUTE(SUBSTITUTE(SUBSTITUTE(SUBSTITUTE("type:"&amp;B215,"%","%25"),"~","%7E"),"*","%2A"),"?","%3F"),'Rules'!$G$7:$G$26,0)),"")</x:f>
      </x:c>
      <x:c r="M215" s="6" t="str">
        <x:f>IF(AND(NOT(COUNTA(A215:F215)=0),K215=""),INDEX('Rules'!$D$7:$D$26,MATCH(SUBSTITUTE(SUBSTITUTE(SUBSTITUTE(SUBSTITUTE("type:"&amp;B215,"%","%25"),"~","%7E"),"*","%2A"),"?","%3F"),'Rules'!$G$7:$G$26,0)),"")</x:f>
      </x:c>
      <x:c r="N215" s="5" t="str">
        <x:f>IF(COUNTA(A215:F215)=0,"",SUBSTITUTE(SUBSTITUTE(SUBSTITUTE(SUBSTITUTE("id:"&amp;A215,"%","%25"),"~","%7E"),"*","%2A"),"?","%3F"))</x:f>
      </x:c>
    </x:row>
    <x:row r="216" ht="22" customHeight="1">
      <x:c r="A216" s="3"/>
      <x:c r="B216" s="3"/>
      <x:c r="C216" s="3"/>
      <x:c r="D216" s="4"/>
      <x:c r="E216" s="4"/>
      <x:c r="F216" s="4"/>
      <x:c r="G216" s="5" t="str">
        <x:f>IF(COUNTA(A216:F216)=0,"",IF(K216&lt;&gt;"","Review",IF(I216&lt;0,"Overdue",IF(I216=0,"Due now",IF(I216&lt;=M216,"Due soon","Not due")))))</x:f>
      </x:c>
      <x:c r="H216" s="5" t="str">
        <x:f>IF(OR(COUNTA(A216:F216)=0,COUNTIFS('Rules'!$G$7:$G$26,"="&amp;(SUBSTITUTE(SUBSTITUTE(SUBSTITUTE(SUBSTITUTE("type:"&amp;B216,"%","%25"),"~","%7E"),"*","%2A"),"?","%3F")))&lt;&gt;1),"",IF(OR(INDEX('Rules'!$B$7:$B$26,MATCH(SUBSTITUTE(SUBSTITUTE(SUBSTITUTE(SUBSTITUTE("type:"&amp;B216,"%","%25"),"~","%7E"),"*","%2A"),"?","%3F"),'Rules'!$G$7:$G$26,0))="hours",INDEX('Rules'!$B$7:$B$26,MATCH(SUBSTITUTE(SUBSTITUTE(SUBSTITUTE(SUBSTITUTE("type:"&amp;B216,"%","%25"),"~","%7E"),"*","%2A"),"?","%3F"),'Rules'!$G$7:$G$26,0))="km"),INDEX('Rules'!$B$7:$B$26,MATCH(SUBSTITUTE(SUBSTITUTE(SUBSTITUTE(SUBSTITUTE("type:"&amp;B216,"%","%25"),"~","%7E"),"*","%2A"),"?","%3F"),'Rules'!$G$7:$G$26,0)),""))</x:f>
      </x:c>
      <x:c r="I216" s="6" t="str">
        <x:f>IF(AND(NOT(COUNTA(A216:F216)=0),K216=""),ROUND(J216-D216,3),"")</x:f>
      </x:c>
      <x:c r="J216" s="6" t="str">
        <x:f>IF(AND(NOT(COUNTA(A216:F216)=0),K216=""),ROUND(F216+L216,3),"")</x:f>
      </x:c>
      <x:c r="K216" s="5" t="str">
        <x:f>IF(COUNTA(A216:F216)=0,"",IF(A216="","Missing equipment ID",IF(COUNTIFS($N$8:$N$2007,"="&amp;N216)&gt;1,"Duplicate equipment ID",IF(B216="","Missing type",IF(COUNTIFS('Rules'!$G$7:$G$26,"="&amp;(SUBSTITUTE(SUBSTITUTE(SUBSTITUTE(SUBSTITUTE("type:"&amp;B216,"%","%25"),"~","%7E"),"*","%2A"),"?","%3F")))=0,"Unknown type",IF(COUNTIFS('Rules'!$G$7:$G$26,"="&amp;(SUBSTITUTE(SUBSTITUTE(SUBSTITUTE(SUBSTITUTE("type:"&amp;B216,"%","%25"),"~","%7E"),"*","%2A"),"?","%3F")))&gt;1,"Duplicate type",IF(INDEX('Rules'!$F$7:$F$26,MATCH(SUBSTITUTE(SUBSTITUTE(SUBSTITUTE(SUBSTITUTE("type:"&amp;B216,"%","%25"),"~","%7E"),"*","%2A"),"?","%3F"),'Rules'!$G$7:$G$26,0))&lt;&gt;"",INDEX('Rules'!$F$7:$F$26,MATCH(SUBSTITUTE(SUBSTITUTE(SUBSTITUTE(SUBSTITUTE("type:"&amp;B216,"%","%25"),"~","%7E"),"*","%2A"),"?","%3F"),'Rules'!$G$7:$G$26,0)),IF(AND(C216&lt;&gt;"",C216&lt;&gt;INDEX('Rules'!$B$7:$B$26,MATCH(SUBSTITUTE(SUBSTITUTE(SUBSTITUTE(SUBSTITUTE("type:"&amp;B216,"%","%25"),"~","%7E"),"*","%2A"),"?","%3F"),'Rules'!$G$7:$G$26,0))),"Unit mismatch",IF(IF(NOT(ISNUMBER(D216)),TRUE,OR(D216&lt;0,D216&gt;999999999,ROUND(D216,3)&lt;&gt;D216)),"Invalid current reading",IF(AND(E216&lt;&gt;"",IF(NOT(ISNUMBER(E216)),TRUE,OR(E216&lt;0,E216&gt;999999999,ROUND(E216,3)&lt;&gt;E216))),"Invalid previous reading",IF(IF(NOT(ISNUMBER(F216)),TRUE,OR(F216&lt;0,F216&gt;999999999,ROUND(F216,3)&lt;&gt;F216)),"Invalid last service",IF(AND(E216&lt;&gt;"",D216&lt;E216),"Decreased reading",IF(F216&gt;D216,"Last service above current","")))))))))))))</x:f>
      </x:c>
      <x:c r="L216" s="6" t="str">
        <x:f>IF(AND(NOT(COUNTA(A216:F216)=0),K216=""),INDEX('Rules'!$C$7:$C$26,MATCH(SUBSTITUTE(SUBSTITUTE(SUBSTITUTE(SUBSTITUTE("type:"&amp;B216,"%","%25"),"~","%7E"),"*","%2A"),"?","%3F"),'Rules'!$G$7:$G$26,0)),"")</x:f>
      </x:c>
      <x:c r="M216" s="6" t="str">
        <x:f>IF(AND(NOT(COUNTA(A216:F216)=0),K216=""),INDEX('Rules'!$D$7:$D$26,MATCH(SUBSTITUTE(SUBSTITUTE(SUBSTITUTE(SUBSTITUTE("type:"&amp;B216,"%","%25"),"~","%7E"),"*","%2A"),"?","%3F"),'Rules'!$G$7:$G$26,0)),"")</x:f>
      </x:c>
      <x:c r="N216" s="5" t="str">
        <x:f>IF(COUNTA(A216:F216)=0,"",SUBSTITUTE(SUBSTITUTE(SUBSTITUTE(SUBSTITUTE("id:"&amp;A216,"%","%25"),"~","%7E"),"*","%2A"),"?","%3F"))</x:f>
      </x:c>
    </x:row>
    <x:row r="217" ht="22" customHeight="1">
      <x:c r="A217" s="3"/>
      <x:c r="B217" s="3"/>
      <x:c r="C217" s="3"/>
      <x:c r="D217" s="4"/>
      <x:c r="E217" s="4"/>
      <x:c r="F217" s="4"/>
      <x:c r="G217" s="5" t="str">
        <x:f>IF(COUNTA(A217:F217)=0,"",IF(K217&lt;&gt;"","Review",IF(I217&lt;0,"Overdue",IF(I217=0,"Due now",IF(I217&lt;=M217,"Due soon","Not due")))))</x:f>
      </x:c>
      <x:c r="H217" s="5" t="str">
        <x:f>IF(OR(COUNTA(A217:F217)=0,COUNTIFS('Rules'!$G$7:$G$26,"="&amp;(SUBSTITUTE(SUBSTITUTE(SUBSTITUTE(SUBSTITUTE("type:"&amp;B217,"%","%25"),"~","%7E"),"*","%2A"),"?","%3F")))&lt;&gt;1),"",IF(OR(INDEX('Rules'!$B$7:$B$26,MATCH(SUBSTITUTE(SUBSTITUTE(SUBSTITUTE(SUBSTITUTE("type:"&amp;B217,"%","%25"),"~","%7E"),"*","%2A"),"?","%3F"),'Rules'!$G$7:$G$26,0))="hours",INDEX('Rules'!$B$7:$B$26,MATCH(SUBSTITUTE(SUBSTITUTE(SUBSTITUTE(SUBSTITUTE("type:"&amp;B217,"%","%25"),"~","%7E"),"*","%2A"),"?","%3F"),'Rules'!$G$7:$G$26,0))="km"),INDEX('Rules'!$B$7:$B$26,MATCH(SUBSTITUTE(SUBSTITUTE(SUBSTITUTE(SUBSTITUTE("type:"&amp;B217,"%","%25"),"~","%7E"),"*","%2A"),"?","%3F"),'Rules'!$G$7:$G$26,0)),""))</x:f>
      </x:c>
      <x:c r="I217" s="6" t="str">
        <x:f>IF(AND(NOT(COUNTA(A217:F217)=0),K217=""),ROUND(J217-D217,3),"")</x:f>
      </x:c>
      <x:c r="J217" s="6" t="str">
        <x:f>IF(AND(NOT(COUNTA(A217:F217)=0),K217=""),ROUND(F217+L217,3),"")</x:f>
      </x:c>
      <x:c r="K217" s="5" t="str">
        <x:f>IF(COUNTA(A217:F217)=0,"",IF(A217="","Missing equipment ID",IF(COUNTIFS($N$8:$N$2007,"="&amp;N217)&gt;1,"Duplicate equipment ID",IF(B217="","Missing type",IF(COUNTIFS('Rules'!$G$7:$G$26,"="&amp;(SUBSTITUTE(SUBSTITUTE(SUBSTITUTE(SUBSTITUTE("type:"&amp;B217,"%","%25"),"~","%7E"),"*","%2A"),"?","%3F")))=0,"Unknown type",IF(COUNTIFS('Rules'!$G$7:$G$26,"="&amp;(SUBSTITUTE(SUBSTITUTE(SUBSTITUTE(SUBSTITUTE("type:"&amp;B217,"%","%25"),"~","%7E"),"*","%2A"),"?","%3F")))&gt;1,"Duplicate type",IF(INDEX('Rules'!$F$7:$F$26,MATCH(SUBSTITUTE(SUBSTITUTE(SUBSTITUTE(SUBSTITUTE("type:"&amp;B217,"%","%25"),"~","%7E"),"*","%2A"),"?","%3F"),'Rules'!$G$7:$G$26,0))&lt;&gt;"",INDEX('Rules'!$F$7:$F$26,MATCH(SUBSTITUTE(SUBSTITUTE(SUBSTITUTE(SUBSTITUTE("type:"&amp;B217,"%","%25"),"~","%7E"),"*","%2A"),"?","%3F"),'Rules'!$G$7:$G$26,0)),IF(AND(C217&lt;&gt;"",C217&lt;&gt;INDEX('Rules'!$B$7:$B$26,MATCH(SUBSTITUTE(SUBSTITUTE(SUBSTITUTE(SUBSTITUTE("type:"&amp;B217,"%","%25"),"~","%7E"),"*","%2A"),"?","%3F"),'Rules'!$G$7:$G$26,0))),"Unit mismatch",IF(IF(NOT(ISNUMBER(D217)),TRUE,OR(D217&lt;0,D217&gt;999999999,ROUND(D217,3)&lt;&gt;D217)),"Invalid current reading",IF(AND(E217&lt;&gt;"",IF(NOT(ISNUMBER(E217)),TRUE,OR(E217&lt;0,E217&gt;999999999,ROUND(E217,3)&lt;&gt;E217))),"Invalid previous reading",IF(IF(NOT(ISNUMBER(F217)),TRUE,OR(F217&lt;0,F217&gt;999999999,ROUND(F217,3)&lt;&gt;F217)),"Invalid last service",IF(AND(E217&lt;&gt;"",D217&lt;E217),"Decreased reading",IF(F217&gt;D217,"Last service above current","")))))))))))))</x:f>
      </x:c>
      <x:c r="L217" s="6" t="str">
        <x:f>IF(AND(NOT(COUNTA(A217:F217)=0),K217=""),INDEX('Rules'!$C$7:$C$26,MATCH(SUBSTITUTE(SUBSTITUTE(SUBSTITUTE(SUBSTITUTE("type:"&amp;B217,"%","%25"),"~","%7E"),"*","%2A"),"?","%3F"),'Rules'!$G$7:$G$26,0)),"")</x:f>
      </x:c>
      <x:c r="M217" s="6" t="str">
        <x:f>IF(AND(NOT(COUNTA(A217:F217)=0),K217=""),INDEX('Rules'!$D$7:$D$26,MATCH(SUBSTITUTE(SUBSTITUTE(SUBSTITUTE(SUBSTITUTE("type:"&amp;B217,"%","%25"),"~","%7E"),"*","%2A"),"?","%3F"),'Rules'!$G$7:$G$26,0)),"")</x:f>
      </x:c>
      <x:c r="N217" s="5" t="str">
        <x:f>IF(COUNTA(A217:F217)=0,"",SUBSTITUTE(SUBSTITUTE(SUBSTITUTE(SUBSTITUTE("id:"&amp;A217,"%","%25"),"~","%7E"),"*","%2A"),"?","%3F"))</x:f>
      </x:c>
    </x:row>
    <x:row r="218" ht="22" customHeight="1">
      <x:c r="A218" s="3"/>
      <x:c r="B218" s="3"/>
      <x:c r="C218" s="3"/>
      <x:c r="D218" s="4"/>
      <x:c r="E218" s="4"/>
      <x:c r="F218" s="4"/>
      <x:c r="G218" s="5" t="str">
        <x:f>IF(COUNTA(A218:F218)=0,"",IF(K218&lt;&gt;"","Review",IF(I218&lt;0,"Overdue",IF(I218=0,"Due now",IF(I218&lt;=M218,"Due soon","Not due")))))</x:f>
      </x:c>
      <x:c r="H218" s="5" t="str">
        <x:f>IF(OR(COUNTA(A218:F218)=0,COUNTIFS('Rules'!$G$7:$G$26,"="&amp;(SUBSTITUTE(SUBSTITUTE(SUBSTITUTE(SUBSTITUTE("type:"&amp;B218,"%","%25"),"~","%7E"),"*","%2A"),"?","%3F")))&lt;&gt;1),"",IF(OR(INDEX('Rules'!$B$7:$B$26,MATCH(SUBSTITUTE(SUBSTITUTE(SUBSTITUTE(SUBSTITUTE("type:"&amp;B218,"%","%25"),"~","%7E"),"*","%2A"),"?","%3F"),'Rules'!$G$7:$G$26,0))="hours",INDEX('Rules'!$B$7:$B$26,MATCH(SUBSTITUTE(SUBSTITUTE(SUBSTITUTE(SUBSTITUTE("type:"&amp;B218,"%","%25"),"~","%7E"),"*","%2A"),"?","%3F"),'Rules'!$G$7:$G$26,0))="km"),INDEX('Rules'!$B$7:$B$26,MATCH(SUBSTITUTE(SUBSTITUTE(SUBSTITUTE(SUBSTITUTE("type:"&amp;B218,"%","%25"),"~","%7E"),"*","%2A"),"?","%3F"),'Rules'!$G$7:$G$26,0)),""))</x:f>
      </x:c>
      <x:c r="I218" s="6" t="str">
        <x:f>IF(AND(NOT(COUNTA(A218:F218)=0),K218=""),ROUND(J218-D218,3),"")</x:f>
      </x:c>
      <x:c r="J218" s="6" t="str">
        <x:f>IF(AND(NOT(COUNTA(A218:F218)=0),K218=""),ROUND(F218+L218,3),"")</x:f>
      </x:c>
      <x:c r="K218" s="5" t="str">
        <x:f>IF(COUNTA(A218:F218)=0,"",IF(A218="","Missing equipment ID",IF(COUNTIFS($N$8:$N$2007,"="&amp;N218)&gt;1,"Duplicate equipment ID",IF(B218="","Missing type",IF(COUNTIFS('Rules'!$G$7:$G$26,"="&amp;(SUBSTITUTE(SUBSTITUTE(SUBSTITUTE(SUBSTITUTE("type:"&amp;B218,"%","%25"),"~","%7E"),"*","%2A"),"?","%3F")))=0,"Unknown type",IF(COUNTIFS('Rules'!$G$7:$G$26,"="&amp;(SUBSTITUTE(SUBSTITUTE(SUBSTITUTE(SUBSTITUTE("type:"&amp;B218,"%","%25"),"~","%7E"),"*","%2A"),"?","%3F")))&gt;1,"Duplicate type",IF(INDEX('Rules'!$F$7:$F$26,MATCH(SUBSTITUTE(SUBSTITUTE(SUBSTITUTE(SUBSTITUTE("type:"&amp;B218,"%","%25"),"~","%7E"),"*","%2A"),"?","%3F"),'Rules'!$G$7:$G$26,0))&lt;&gt;"",INDEX('Rules'!$F$7:$F$26,MATCH(SUBSTITUTE(SUBSTITUTE(SUBSTITUTE(SUBSTITUTE("type:"&amp;B218,"%","%25"),"~","%7E"),"*","%2A"),"?","%3F"),'Rules'!$G$7:$G$26,0)),IF(AND(C218&lt;&gt;"",C218&lt;&gt;INDEX('Rules'!$B$7:$B$26,MATCH(SUBSTITUTE(SUBSTITUTE(SUBSTITUTE(SUBSTITUTE("type:"&amp;B218,"%","%25"),"~","%7E"),"*","%2A"),"?","%3F"),'Rules'!$G$7:$G$26,0))),"Unit mismatch",IF(IF(NOT(ISNUMBER(D218)),TRUE,OR(D218&lt;0,D218&gt;999999999,ROUND(D218,3)&lt;&gt;D218)),"Invalid current reading",IF(AND(E218&lt;&gt;"",IF(NOT(ISNUMBER(E218)),TRUE,OR(E218&lt;0,E218&gt;999999999,ROUND(E218,3)&lt;&gt;E218))),"Invalid previous reading",IF(IF(NOT(ISNUMBER(F218)),TRUE,OR(F218&lt;0,F218&gt;999999999,ROUND(F218,3)&lt;&gt;F218)),"Invalid last service",IF(AND(E218&lt;&gt;"",D218&lt;E218),"Decreased reading",IF(F218&gt;D218,"Last service above current","")))))))))))))</x:f>
      </x:c>
      <x:c r="L218" s="6" t="str">
        <x:f>IF(AND(NOT(COUNTA(A218:F218)=0),K218=""),INDEX('Rules'!$C$7:$C$26,MATCH(SUBSTITUTE(SUBSTITUTE(SUBSTITUTE(SUBSTITUTE("type:"&amp;B218,"%","%25"),"~","%7E"),"*","%2A"),"?","%3F"),'Rules'!$G$7:$G$26,0)),"")</x:f>
      </x:c>
      <x:c r="M218" s="6" t="str">
        <x:f>IF(AND(NOT(COUNTA(A218:F218)=0),K218=""),INDEX('Rules'!$D$7:$D$26,MATCH(SUBSTITUTE(SUBSTITUTE(SUBSTITUTE(SUBSTITUTE("type:"&amp;B218,"%","%25"),"~","%7E"),"*","%2A"),"?","%3F"),'Rules'!$G$7:$G$26,0)),"")</x:f>
      </x:c>
      <x:c r="N218" s="5" t="str">
        <x:f>IF(COUNTA(A218:F218)=0,"",SUBSTITUTE(SUBSTITUTE(SUBSTITUTE(SUBSTITUTE("id:"&amp;A218,"%","%25"),"~","%7E"),"*","%2A"),"?","%3F"))</x:f>
      </x:c>
    </x:row>
    <x:row r="219" ht="22" customHeight="1">
      <x:c r="A219" s="3"/>
      <x:c r="B219" s="3"/>
      <x:c r="C219" s="3"/>
      <x:c r="D219" s="4"/>
      <x:c r="E219" s="4"/>
      <x:c r="F219" s="4"/>
      <x:c r="G219" s="5" t="str">
        <x:f>IF(COUNTA(A219:F219)=0,"",IF(K219&lt;&gt;"","Review",IF(I219&lt;0,"Overdue",IF(I219=0,"Due now",IF(I219&lt;=M219,"Due soon","Not due")))))</x:f>
      </x:c>
      <x:c r="H219" s="5" t="str">
        <x:f>IF(OR(COUNTA(A219:F219)=0,COUNTIFS('Rules'!$G$7:$G$26,"="&amp;(SUBSTITUTE(SUBSTITUTE(SUBSTITUTE(SUBSTITUTE("type:"&amp;B219,"%","%25"),"~","%7E"),"*","%2A"),"?","%3F")))&lt;&gt;1),"",IF(OR(INDEX('Rules'!$B$7:$B$26,MATCH(SUBSTITUTE(SUBSTITUTE(SUBSTITUTE(SUBSTITUTE("type:"&amp;B219,"%","%25"),"~","%7E"),"*","%2A"),"?","%3F"),'Rules'!$G$7:$G$26,0))="hours",INDEX('Rules'!$B$7:$B$26,MATCH(SUBSTITUTE(SUBSTITUTE(SUBSTITUTE(SUBSTITUTE("type:"&amp;B219,"%","%25"),"~","%7E"),"*","%2A"),"?","%3F"),'Rules'!$G$7:$G$26,0))="km"),INDEX('Rules'!$B$7:$B$26,MATCH(SUBSTITUTE(SUBSTITUTE(SUBSTITUTE(SUBSTITUTE("type:"&amp;B219,"%","%25"),"~","%7E"),"*","%2A"),"?","%3F"),'Rules'!$G$7:$G$26,0)),""))</x:f>
      </x:c>
      <x:c r="I219" s="6" t="str">
        <x:f>IF(AND(NOT(COUNTA(A219:F219)=0),K219=""),ROUND(J219-D219,3),"")</x:f>
      </x:c>
      <x:c r="J219" s="6" t="str">
        <x:f>IF(AND(NOT(COUNTA(A219:F219)=0),K219=""),ROUND(F219+L219,3),"")</x:f>
      </x:c>
      <x:c r="K219" s="5" t="str">
        <x:f>IF(COUNTA(A219:F219)=0,"",IF(A219="","Missing equipment ID",IF(COUNTIFS($N$8:$N$2007,"="&amp;N219)&gt;1,"Duplicate equipment ID",IF(B219="","Missing type",IF(COUNTIFS('Rules'!$G$7:$G$26,"="&amp;(SUBSTITUTE(SUBSTITUTE(SUBSTITUTE(SUBSTITUTE("type:"&amp;B219,"%","%25"),"~","%7E"),"*","%2A"),"?","%3F")))=0,"Unknown type",IF(COUNTIFS('Rules'!$G$7:$G$26,"="&amp;(SUBSTITUTE(SUBSTITUTE(SUBSTITUTE(SUBSTITUTE("type:"&amp;B219,"%","%25"),"~","%7E"),"*","%2A"),"?","%3F")))&gt;1,"Duplicate type",IF(INDEX('Rules'!$F$7:$F$26,MATCH(SUBSTITUTE(SUBSTITUTE(SUBSTITUTE(SUBSTITUTE("type:"&amp;B219,"%","%25"),"~","%7E"),"*","%2A"),"?","%3F"),'Rules'!$G$7:$G$26,0))&lt;&gt;"",INDEX('Rules'!$F$7:$F$26,MATCH(SUBSTITUTE(SUBSTITUTE(SUBSTITUTE(SUBSTITUTE("type:"&amp;B219,"%","%25"),"~","%7E"),"*","%2A"),"?","%3F"),'Rules'!$G$7:$G$26,0)),IF(AND(C219&lt;&gt;"",C219&lt;&gt;INDEX('Rules'!$B$7:$B$26,MATCH(SUBSTITUTE(SUBSTITUTE(SUBSTITUTE(SUBSTITUTE("type:"&amp;B219,"%","%25"),"~","%7E"),"*","%2A"),"?","%3F"),'Rules'!$G$7:$G$26,0))),"Unit mismatch",IF(IF(NOT(ISNUMBER(D219)),TRUE,OR(D219&lt;0,D219&gt;999999999,ROUND(D219,3)&lt;&gt;D219)),"Invalid current reading",IF(AND(E219&lt;&gt;"",IF(NOT(ISNUMBER(E219)),TRUE,OR(E219&lt;0,E219&gt;999999999,ROUND(E219,3)&lt;&gt;E219))),"Invalid previous reading",IF(IF(NOT(ISNUMBER(F219)),TRUE,OR(F219&lt;0,F219&gt;999999999,ROUND(F219,3)&lt;&gt;F219)),"Invalid last service",IF(AND(E219&lt;&gt;"",D219&lt;E219),"Decreased reading",IF(F219&gt;D219,"Last service above current","")))))))))))))</x:f>
      </x:c>
      <x:c r="L219" s="6" t="str">
        <x:f>IF(AND(NOT(COUNTA(A219:F219)=0),K219=""),INDEX('Rules'!$C$7:$C$26,MATCH(SUBSTITUTE(SUBSTITUTE(SUBSTITUTE(SUBSTITUTE("type:"&amp;B219,"%","%25"),"~","%7E"),"*","%2A"),"?","%3F"),'Rules'!$G$7:$G$26,0)),"")</x:f>
      </x:c>
      <x:c r="M219" s="6" t="str">
        <x:f>IF(AND(NOT(COUNTA(A219:F219)=0),K219=""),INDEX('Rules'!$D$7:$D$26,MATCH(SUBSTITUTE(SUBSTITUTE(SUBSTITUTE(SUBSTITUTE("type:"&amp;B219,"%","%25"),"~","%7E"),"*","%2A"),"?","%3F"),'Rules'!$G$7:$G$26,0)),"")</x:f>
      </x:c>
      <x:c r="N219" s="5" t="str">
        <x:f>IF(COUNTA(A219:F219)=0,"",SUBSTITUTE(SUBSTITUTE(SUBSTITUTE(SUBSTITUTE("id:"&amp;A219,"%","%25"),"~","%7E"),"*","%2A"),"?","%3F"))</x:f>
      </x:c>
    </x:row>
    <x:row r="220" ht="22" customHeight="1">
      <x:c r="A220" s="3"/>
      <x:c r="B220" s="3"/>
      <x:c r="C220" s="3"/>
      <x:c r="D220" s="4"/>
      <x:c r="E220" s="4"/>
      <x:c r="F220" s="4"/>
      <x:c r="G220" s="5" t="str">
        <x:f>IF(COUNTA(A220:F220)=0,"",IF(K220&lt;&gt;"","Review",IF(I220&lt;0,"Overdue",IF(I220=0,"Due now",IF(I220&lt;=M220,"Due soon","Not due")))))</x:f>
      </x:c>
      <x:c r="H220" s="5" t="str">
        <x:f>IF(OR(COUNTA(A220:F220)=0,COUNTIFS('Rules'!$G$7:$G$26,"="&amp;(SUBSTITUTE(SUBSTITUTE(SUBSTITUTE(SUBSTITUTE("type:"&amp;B220,"%","%25"),"~","%7E"),"*","%2A"),"?","%3F")))&lt;&gt;1),"",IF(OR(INDEX('Rules'!$B$7:$B$26,MATCH(SUBSTITUTE(SUBSTITUTE(SUBSTITUTE(SUBSTITUTE("type:"&amp;B220,"%","%25"),"~","%7E"),"*","%2A"),"?","%3F"),'Rules'!$G$7:$G$26,0))="hours",INDEX('Rules'!$B$7:$B$26,MATCH(SUBSTITUTE(SUBSTITUTE(SUBSTITUTE(SUBSTITUTE("type:"&amp;B220,"%","%25"),"~","%7E"),"*","%2A"),"?","%3F"),'Rules'!$G$7:$G$26,0))="km"),INDEX('Rules'!$B$7:$B$26,MATCH(SUBSTITUTE(SUBSTITUTE(SUBSTITUTE(SUBSTITUTE("type:"&amp;B220,"%","%25"),"~","%7E"),"*","%2A"),"?","%3F"),'Rules'!$G$7:$G$26,0)),""))</x:f>
      </x:c>
      <x:c r="I220" s="6" t="str">
        <x:f>IF(AND(NOT(COUNTA(A220:F220)=0),K220=""),ROUND(J220-D220,3),"")</x:f>
      </x:c>
      <x:c r="J220" s="6" t="str">
        <x:f>IF(AND(NOT(COUNTA(A220:F220)=0),K220=""),ROUND(F220+L220,3),"")</x:f>
      </x:c>
      <x:c r="K220" s="5" t="str">
        <x:f>IF(COUNTA(A220:F220)=0,"",IF(A220="","Missing equipment ID",IF(COUNTIFS($N$8:$N$2007,"="&amp;N220)&gt;1,"Duplicate equipment ID",IF(B220="","Missing type",IF(COUNTIFS('Rules'!$G$7:$G$26,"="&amp;(SUBSTITUTE(SUBSTITUTE(SUBSTITUTE(SUBSTITUTE("type:"&amp;B220,"%","%25"),"~","%7E"),"*","%2A"),"?","%3F")))=0,"Unknown type",IF(COUNTIFS('Rules'!$G$7:$G$26,"="&amp;(SUBSTITUTE(SUBSTITUTE(SUBSTITUTE(SUBSTITUTE("type:"&amp;B220,"%","%25"),"~","%7E"),"*","%2A"),"?","%3F")))&gt;1,"Duplicate type",IF(INDEX('Rules'!$F$7:$F$26,MATCH(SUBSTITUTE(SUBSTITUTE(SUBSTITUTE(SUBSTITUTE("type:"&amp;B220,"%","%25"),"~","%7E"),"*","%2A"),"?","%3F"),'Rules'!$G$7:$G$26,0))&lt;&gt;"",INDEX('Rules'!$F$7:$F$26,MATCH(SUBSTITUTE(SUBSTITUTE(SUBSTITUTE(SUBSTITUTE("type:"&amp;B220,"%","%25"),"~","%7E"),"*","%2A"),"?","%3F"),'Rules'!$G$7:$G$26,0)),IF(AND(C220&lt;&gt;"",C220&lt;&gt;INDEX('Rules'!$B$7:$B$26,MATCH(SUBSTITUTE(SUBSTITUTE(SUBSTITUTE(SUBSTITUTE("type:"&amp;B220,"%","%25"),"~","%7E"),"*","%2A"),"?","%3F"),'Rules'!$G$7:$G$26,0))),"Unit mismatch",IF(IF(NOT(ISNUMBER(D220)),TRUE,OR(D220&lt;0,D220&gt;999999999,ROUND(D220,3)&lt;&gt;D220)),"Invalid current reading",IF(AND(E220&lt;&gt;"",IF(NOT(ISNUMBER(E220)),TRUE,OR(E220&lt;0,E220&gt;999999999,ROUND(E220,3)&lt;&gt;E220))),"Invalid previous reading",IF(IF(NOT(ISNUMBER(F220)),TRUE,OR(F220&lt;0,F220&gt;999999999,ROUND(F220,3)&lt;&gt;F220)),"Invalid last service",IF(AND(E220&lt;&gt;"",D220&lt;E220),"Decreased reading",IF(F220&gt;D220,"Last service above current","")))))))))))))</x:f>
      </x:c>
      <x:c r="L220" s="6" t="str">
        <x:f>IF(AND(NOT(COUNTA(A220:F220)=0),K220=""),INDEX('Rules'!$C$7:$C$26,MATCH(SUBSTITUTE(SUBSTITUTE(SUBSTITUTE(SUBSTITUTE("type:"&amp;B220,"%","%25"),"~","%7E"),"*","%2A"),"?","%3F"),'Rules'!$G$7:$G$26,0)),"")</x:f>
      </x:c>
      <x:c r="M220" s="6" t="str">
        <x:f>IF(AND(NOT(COUNTA(A220:F220)=0),K220=""),INDEX('Rules'!$D$7:$D$26,MATCH(SUBSTITUTE(SUBSTITUTE(SUBSTITUTE(SUBSTITUTE("type:"&amp;B220,"%","%25"),"~","%7E"),"*","%2A"),"?","%3F"),'Rules'!$G$7:$G$26,0)),"")</x:f>
      </x:c>
      <x:c r="N220" s="5" t="str">
        <x:f>IF(COUNTA(A220:F220)=0,"",SUBSTITUTE(SUBSTITUTE(SUBSTITUTE(SUBSTITUTE("id:"&amp;A220,"%","%25"),"~","%7E"),"*","%2A"),"?","%3F"))</x:f>
      </x:c>
    </x:row>
    <x:row r="221" ht="22" customHeight="1">
      <x:c r="A221" s="3"/>
      <x:c r="B221" s="3"/>
      <x:c r="C221" s="3"/>
      <x:c r="D221" s="4"/>
      <x:c r="E221" s="4"/>
      <x:c r="F221" s="4"/>
      <x:c r="G221" s="5" t="str">
        <x:f>IF(COUNTA(A221:F221)=0,"",IF(K221&lt;&gt;"","Review",IF(I221&lt;0,"Overdue",IF(I221=0,"Due now",IF(I221&lt;=M221,"Due soon","Not due")))))</x:f>
      </x:c>
      <x:c r="H221" s="5" t="str">
        <x:f>IF(OR(COUNTA(A221:F221)=0,COUNTIFS('Rules'!$G$7:$G$26,"="&amp;(SUBSTITUTE(SUBSTITUTE(SUBSTITUTE(SUBSTITUTE("type:"&amp;B221,"%","%25"),"~","%7E"),"*","%2A"),"?","%3F")))&lt;&gt;1),"",IF(OR(INDEX('Rules'!$B$7:$B$26,MATCH(SUBSTITUTE(SUBSTITUTE(SUBSTITUTE(SUBSTITUTE("type:"&amp;B221,"%","%25"),"~","%7E"),"*","%2A"),"?","%3F"),'Rules'!$G$7:$G$26,0))="hours",INDEX('Rules'!$B$7:$B$26,MATCH(SUBSTITUTE(SUBSTITUTE(SUBSTITUTE(SUBSTITUTE("type:"&amp;B221,"%","%25"),"~","%7E"),"*","%2A"),"?","%3F"),'Rules'!$G$7:$G$26,0))="km"),INDEX('Rules'!$B$7:$B$26,MATCH(SUBSTITUTE(SUBSTITUTE(SUBSTITUTE(SUBSTITUTE("type:"&amp;B221,"%","%25"),"~","%7E"),"*","%2A"),"?","%3F"),'Rules'!$G$7:$G$26,0)),""))</x:f>
      </x:c>
      <x:c r="I221" s="6" t="str">
        <x:f>IF(AND(NOT(COUNTA(A221:F221)=0),K221=""),ROUND(J221-D221,3),"")</x:f>
      </x:c>
      <x:c r="J221" s="6" t="str">
        <x:f>IF(AND(NOT(COUNTA(A221:F221)=0),K221=""),ROUND(F221+L221,3),"")</x:f>
      </x:c>
      <x:c r="K221" s="5" t="str">
        <x:f>IF(COUNTA(A221:F221)=0,"",IF(A221="","Missing equipment ID",IF(COUNTIFS($N$8:$N$2007,"="&amp;N221)&gt;1,"Duplicate equipment ID",IF(B221="","Missing type",IF(COUNTIFS('Rules'!$G$7:$G$26,"="&amp;(SUBSTITUTE(SUBSTITUTE(SUBSTITUTE(SUBSTITUTE("type:"&amp;B221,"%","%25"),"~","%7E"),"*","%2A"),"?","%3F")))=0,"Unknown type",IF(COUNTIFS('Rules'!$G$7:$G$26,"="&amp;(SUBSTITUTE(SUBSTITUTE(SUBSTITUTE(SUBSTITUTE("type:"&amp;B221,"%","%25"),"~","%7E"),"*","%2A"),"?","%3F")))&gt;1,"Duplicate type",IF(INDEX('Rules'!$F$7:$F$26,MATCH(SUBSTITUTE(SUBSTITUTE(SUBSTITUTE(SUBSTITUTE("type:"&amp;B221,"%","%25"),"~","%7E"),"*","%2A"),"?","%3F"),'Rules'!$G$7:$G$26,0))&lt;&gt;"",INDEX('Rules'!$F$7:$F$26,MATCH(SUBSTITUTE(SUBSTITUTE(SUBSTITUTE(SUBSTITUTE("type:"&amp;B221,"%","%25"),"~","%7E"),"*","%2A"),"?","%3F"),'Rules'!$G$7:$G$26,0)),IF(AND(C221&lt;&gt;"",C221&lt;&gt;INDEX('Rules'!$B$7:$B$26,MATCH(SUBSTITUTE(SUBSTITUTE(SUBSTITUTE(SUBSTITUTE("type:"&amp;B221,"%","%25"),"~","%7E"),"*","%2A"),"?","%3F"),'Rules'!$G$7:$G$26,0))),"Unit mismatch",IF(IF(NOT(ISNUMBER(D221)),TRUE,OR(D221&lt;0,D221&gt;999999999,ROUND(D221,3)&lt;&gt;D221)),"Invalid current reading",IF(AND(E221&lt;&gt;"",IF(NOT(ISNUMBER(E221)),TRUE,OR(E221&lt;0,E221&gt;999999999,ROUND(E221,3)&lt;&gt;E221))),"Invalid previous reading",IF(IF(NOT(ISNUMBER(F221)),TRUE,OR(F221&lt;0,F221&gt;999999999,ROUND(F221,3)&lt;&gt;F221)),"Invalid last service",IF(AND(E221&lt;&gt;"",D221&lt;E221),"Decreased reading",IF(F221&gt;D221,"Last service above current","")))))))))))))</x:f>
      </x:c>
      <x:c r="L221" s="6" t="str">
        <x:f>IF(AND(NOT(COUNTA(A221:F221)=0),K221=""),INDEX('Rules'!$C$7:$C$26,MATCH(SUBSTITUTE(SUBSTITUTE(SUBSTITUTE(SUBSTITUTE("type:"&amp;B221,"%","%25"),"~","%7E"),"*","%2A"),"?","%3F"),'Rules'!$G$7:$G$26,0)),"")</x:f>
      </x:c>
      <x:c r="M221" s="6" t="str">
        <x:f>IF(AND(NOT(COUNTA(A221:F221)=0),K221=""),INDEX('Rules'!$D$7:$D$26,MATCH(SUBSTITUTE(SUBSTITUTE(SUBSTITUTE(SUBSTITUTE("type:"&amp;B221,"%","%25"),"~","%7E"),"*","%2A"),"?","%3F"),'Rules'!$G$7:$G$26,0)),"")</x:f>
      </x:c>
      <x:c r="N221" s="5" t="str">
        <x:f>IF(COUNTA(A221:F221)=0,"",SUBSTITUTE(SUBSTITUTE(SUBSTITUTE(SUBSTITUTE("id:"&amp;A221,"%","%25"),"~","%7E"),"*","%2A"),"?","%3F"))</x:f>
      </x:c>
    </x:row>
    <x:row r="222" ht="22" customHeight="1">
      <x:c r="A222" s="3"/>
      <x:c r="B222" s="3"/>
      <x:c r="C222" s="3"/>
      <x:c r="D222" s="4"/>
      <x:c r="E222" s="4"/>
      <x:c r="F222" s="4"/>
      <x:c r="G222" s="5" t="str">
        <x:f>IF(COUNTA(A222:F222)=0,"",IF(K222&lt;&gt;"","Review",IF(I222&lt;0,"Overdue",IF(I222=0,"Due now",IF(I222&lt;=M222,"Due soon","Not due")))))</x:f>
      </x:c>
      <x:c r="H222" s="5" t="str">
        <x:f>IF(OR(COUNTA(A222:F222)=0,COUNTIFS('Rules'!$G$7:$G$26,"="&amp;(SUBSTITUTE(SUBSTITUTE(SUBSTITUTE(SUBSTITUTE("type:"&amp;B222,"%","%25"),"~","%7E"),"*","%2A"),"?","%3F")))&lt;&gt;1),"",IF(OR(INDEX('Rules'!$B$7:$B$26,MATCH(SUBSTITUTE(SUBSTITUTE(SUBSTITUTE(SUBSTITUTE("type:"&amp;B222,"%","%25"),"~","%7E"),"*","%2A"),"?","%3F"),'Rules'!$G$7:$G$26,0))="hours",INDEX('Rules'!$B$7:$B$26,MATCH(SUBSTITUTE(SUBSTITUTE(SUBSTITUTE(SUBSTITUTE("type:"&amp;B222,"%","%25"),"~","%7E"),"*","%2A"),"?","%3F"),'Rules'!$G$7:$G$26,0))="km"),INDEX('Rules'!$B$7:$B$26,MATCH(SUBSTITUTE(SUBSTITUTE(SUBSTITUTE(SUBSTITUTE("type:"&amp;B222,"%","%25"),"~","%7E"),"*","%2A"),"?","%3F"),'Rules'!$G$7:$G$26,0)),""))</x:f>
      </x:c>
      <x:c r="I222" s="6" t="str">
        <x:f>IF(AND(NOT(COUNTA(A222:F222)=0),K222=""),ROUND(J222-D222,3),"")</x:f>
      </x:c>
      <x:c r="J222" s="6" t="str">
        <x:f>IF(AND(NOT(COUNTA(A222:F222)=0),K222=""),ROUND(F222+L222,3),"")</x:f>
      </x:c>
      <x:c r="K222" s="5" t="str">
        <x:f>IF(COUNTA(A222:F222)=0,"",IF(A222="","Missing equipment ID",IF(COUNTIFS($N$8:$N$2007,"="&amp;N222)&gt;1,"Duplicate equipment ID",IF(B222="","Missing type",IF(COUNTIFS('Rules'!$G$7:$G$26,"="&amp;(SUBSTITUTE(SUBSTITUTE(SUBSTITUTE(SUBSTITUTE("type:"&amp;B222,"%","%25"),"~","%7E"),"*","%2A"),"?","%3F")))=0,"Unknown type",IF(COUNTIFS('Rules'!$G$7:$G$26,"="&amp;(SUBSTITUTE(SUBSTITUTE(SUBSTITUTE(SUBSTITUTE("type:"&amp;B222,"%","%25"),"~","%7E"),"*","%2A"),"?","%3F")))&gt;1,"Duplicate type",IF(INDEX('Rules'!$F$7:$F$26,MATCH(SUBSTITUTE(SUBSTITUTE(SUBSTITUTE(SUBSTITUTE("type:"&amp;B222,"%","%25"),"~","%7E"),"*","%2A"),"?","%3F"),'Rules'!$G$7:$G$26,0))&lt;&gt;"",INDEX('Rules'!$F$7:$F$26,MATCH(SUBSTITUTE(SUBSTITUTE(SUBSTITUTE(SUBSTITUTE("type:"&amp;B222,"%","%25"),"~","%7E"),"*","%2A"),"?","%3F"),'Rules'!$G$7:$G$26,0)),IF(AND(C222&lt;&gt;"",C222&lt;&gt;INDEX('Rules'!$B$7:$B$26,MATCH(SUBSTITUTE(SUBSTITUTE(SUBSTITUTE(SUBSTITUTE("type:"&amp;B222,"%","%25"),"~","%7E"),"*","%2A"),"?","%3F"),'Rules'!$G$7:$G$26,0))),"Unit mismatch",IF(IF(NOT(ISNUMBER(D222)),TRUE,OR(D222&lt;0,D222&gt;999999999,ROUND(D222,3)&lt;&gt;D222)),"Invalid current reading",IF(AND(E222&lt;&gt;"",IF(NOT(ISNUMBER(E222)),TRUE,OR(E222&lt;0,E222&gt;999999999,ROUND(E222,3)&lt;&gt;E222))),"Invalid previous reading",IF(IF(NOT(ISNUMBER(F222)),TRUE,OR(F222&lt;0,F222&gt;999999999,ROUND(F222,3)&lt;&gt;F222)),"Invalid last service",IF(AND(E222&lt;&gt;"",D222&lt;E222),"Decreased reading",IF(F222&gt;D222,"Last service above current","")))))))))))))</x:f>
      </x:c>
      <x:c r="L222" s="6" t="str">
        <x:f>IF(AND(NOT(COUNTA(A222:F222)=0),K222=""),INDEX('Rules'!$C$7:$C$26,MATCH(SUBSTITUTE(SUBSTITUTE(SUBSTITUTE(SUBSTITUTE("type:"&amp;B222,"%","%25"),"~","%7E"),"*","%2A"),"?","%3F"),'Rules'!$G$7:$G$26,0)),"")</x:f>
      </x:c>
      <x:c r="M222" s="6" t="str">
        <x:f>IF(AND(NOT(COUNTA(A222:F222)=0),K222=""),INDEX('Rules'!$D$7:$D$26,MATCH(SUBSTITUTE(SUBSTITUTE(SUBSTITUTE(SUBSTITUTE("type:"&amp;B222,"%","%25"),"~","%7E"),"*","%2A"),"?","%3F"),'Rules'!$G$7:$G$26,0)),"")</x:f>
      </x:c>
      <x:c r="N222" s="5" t="str">
        <x:f>IF(COUNTA(A222:F222)=0,"",SUBSTITUTE(SUBSTITUTE(SUBSTITUTE(SUBSTITUTE("id:"&amp;A222,"%","%25"),"~","%7E"),"*","%2A"),"?","%3F"))</x:f>
      </x:c>
    </x:row>
    <x:row r="223" ht="22" customHeight="1">
      <x:c r="A223" s="3"/>
      <x:c r="B223" s="3"/>
      <x:c r="C223" s="3"/>
      <x:c r="D223" s="4"/>
      <x:c r="E223" s="4"/>
      <x:c r="F223" s="4"/>
      <x:c r="G223" s="5" t="str">
        <x:f>IF(COUNTA(A223:F223)=0,"",IF(K223&lt;&gt;"","Review",IF(I223&lt;0,"Overdue",IF(I223=0,"Due now",IF(I223&lt;=M223,"Due soon","Not due")))))</x:f>
      </x:c>
      <x:c r="H223" s="5" t="str">
        <x:f>IF(OR(COUNTA(A223:F223)=0,COUNTIFS('Rules'!$G$7:$G$26,"="&amp;(SUBSTITUTE(SUBSTITUTE(SUBSTITUTE(SUBSTITUTE("type:"&amp;B223,"%","%25"),"~","%7E"),"*","%2A"),"?","%3F")))&lt;&gt;1),"",IF(OR(INDEX('Rules'!$B$7:$B$26,MATCH(SUBSTITUTE(SUBSTITUTE(SUBSTITUTE(SUBSTITUTE("type:"&amp;B223,"%","%25"),"~","%7E"),"*","%2A"),"?","%3F"),'Rules'!$G$7:$G$26,0))="hours",INDEX('Rules'!$B$7:$B$26,MATCH(SUBSTITUTE(SUBSTITUTE(SUBSTITUTE(SUBSTITUTE("type:"&amp;B223,"%","%25"),"~","%7E"),"*","%2A"),"?","%3F"),'Rules'!$G$7:$G$26,0))="km"),INDEX('Rules'!$B$7:$B$26,MATCH(SUBSTITUTE(SUBSTITUTE(SUBSTITUTE(SUBSTITUTE("type:"&amp;B223,"%","%25"),"~","%7E"),"*","%2A"),"?","%3F"),'Rules'!$G$7:$G$26,0)),""))</x:f>
      </x:c>
      <x:c r="I223" s="6" t="str">
        <x:f>IF(AND(NOT(COUNTA(A223:F223)=0),K223=""),ROUND(J223-D223,3),"")</x:f>
      </x:c>
      <x:c r="J223" s="6" t="str">
        <x:f>IF(AND(NOT(COUNTA(A223:F223)=0),K223=""),ROUND(F223+L223,3),"")</x:f>
      </x:c>
      <x:c r="K223" s="5" t="str">
        <x:f>IF(COUNTA(A223:F223)=0,"",IF(A223="","Missing equipment ID",IF(COUNTIFS($N$8:$N$2007,"="&amp;N223)&gt;1,"Duplicate equipment ID",IF(B223="","Missing type",IF(COUNTIFS('Rules'!$G$7:$G$26,"="&amp;(SUBSTITUTE(SUBSTITUTE(SUBSTITUTE(SUBSTITUTE("type:"&amp;B223,"%","%25"),"~","%7E"),"*","%2A"),"?","%3F")))=0,"Unknown type",IF(COUNTIFS('Rules'!$G$7:$G$26,"="&amp;(SUBSTITUTE(SUBSTITUTE(SUBSTITUTE(SUBSTITUTE("type:"&amp;B223,"%","%25"),"~","%7E"),"*","%2A"),"?","%3F")))&gt;1,"Duplicate type",IF(INDEX('Rules'!$F$7:$F$26,MATCH(SUBSTITUTE(SUBSTITUTE(SUBSTITUTE(SUBSTITUTE("type:"&amp;B223,"%","%25"),"~","%7E"),"*","%2A"),"?","%3F"),'Rules'!$G$7:$G$26,0))&lt;&gt;"",INDEX('Rules'!$F$7:$F$26,MATCH(SUBSTITUTE(SUBSTITUTE(SUBSTITUTE(SUBSTITUTE("type:"&amp;B223,"%","%25"),"~","%7E"),"*","%2A"),"?","%3F"),'Rules'!$G$7:$G$26,0)),IF(AND(C223&lt;&gt;"",C223&lt;&gt;INDEX('Rules'!$B$7:$B$26,MATCH(SUBSTITUTE(SUBSTITUTE(SUBSTITUTE(SUBSTITUTE("type:"&amp;B223,"%","%25"),"~","%7E"),"*","%2A"),"?","%3F"),'Rules'!$G$7:$G$26,0))),"Unit mismatch",IF(IF(NOT(ISNUMBER(D223)),TRUE,OR(D223&lt;0,D223&gt;999999999,ROUND(D223,3)&lt;&gt;D223)),"Invalid current reading",IF(AND(E223&lt;&gt;"",IF(NOT(ISNUMBER(E223)),TRUE,OR(E223&lt;0,E223&gt;999999999,ROUND(E223,3)&lt;&gt;E223))),"Invalid previous reading",IF(IF(NOT(ISNUMBER(F223)),TRUE,OR(F223&lt;0,F223&gt;999999999,ROUND(F223,3)&lt;&gt;F223)),"Invalid last service",IF(AND(E223&lt;&gt;"",D223&lt;E223),"Decreased reading",IF(F223&gt;D223,"Last service above current","")))))))))))))</x:f>
      </x:c>
      <x:c r="L223" s="6" t="str">
        <x:f>IF(AND(NOT(COUNTA(A223:F223)=0),K223=""),INDEX('Rules'!$C$7:$C$26,MATCH(SUBSTITUTE(SUBSTITUTE(SUBSTITUTE(SUBSTITUTE("type:"&amp;B223,"%","%25"),"~","%7E"),"*","%2A"),"?","%3F"),'Rules'!$G$7:$G$26,0)),"")</x:f>
      </x:c>
      <x:c r="M223" s="6" t="str">
        <x:f>IF(AND(NOT(COUNTA(A223:F223)=0),K223=""),INDEX('Rules'!$D$7:$D$26,MATCH(SUBSTITUTE(SUBSTITUTE(SUBSTITUTE(SUBSTITUTE("type:"&amp;B223,"%","%25"),"~","%7E"),"*","%2A"),"?","%3F"),'Rules'!$G$7:$G$26,0)),"")</x:f>
      </x:c>
      <x:c r="N223" s="5" t="str">
        <x:f>IF(COUNTA(A223:F223)=0,"",SUBSTITUTE(SUBSTITUTE(SUBSTITUTE(SUBSTITUTE("id:"&amp;A223,"%","%25"),"~","%7E"),"*","%2A"),"?","%3F"))</x:f>
      </x:c>
    </x:row>
    <x:row r="224" ht="22" customHeight="1">
      <x:c r="A224" s="3"/>
      <x:c r="B224" s="3"/>
      <x:c r="C224" s="3"/>
      <x:c r="D224" s="4"/>
      <x:c r="E224" s="4"/>
      <x:c r="F224" s="4"/>
      <x:c r="G224" s="5" t="str">
        <x:f>IF(COUNTA(A224:F224)=0,"",IF(K224&lt;&gt;"","Review",IF(I224&lt;0,"Overdue",IF(I224=0,"Due now",IF(I224&lt;=M224,"Due soon","Not due")))))</x:f>
      </x:c>
      <x:c r="H224" s="5" t="str">
        <x:f>IF(OR(COUNTA(A224:F224)=0,COUNTIFS('Rules'!$G$7:$G$26,"="&amp;(SUBSTITUTE(SUBSTITUTE(SUBSTITUTE(SUBSTITUTE("type:"&amp;B224,"%","%25"),"~","%7E"),"*","%2A"),"?","%3F")))&lt;&gt;1),"",IF(OR(INDEX('Rules'!$B$7:$B$26,MATCH(SUBSTITUTE(SUBSTITUTE(SUBSTITUTE(SUBSTITUTE("type:"&amp;B224,"%","%25"),"~","%7E"),"*","%2A"),"?","%3F"),'Rules'!$G$7:$G$26,0))="hours",INDEX('Rules'!$B$7:$B$26,MATCH(SUBSTITUTE(SUBSTITUTE(SUBSTITUTE(SUBSTITUTE("type:"&amp;B224,"%","%25"),"~","%7E"),"*","%2A"),"?","%3F"),'Rules'!$G$7:$G$26,0))="km"),INDEX('Rules'!$B$7:$B$26,MATCH(SUBSTITUTE(SUBSTITUTE(SUBSTITUTE(SUBSTITUTE("type:"&amp;B224,"%","%25"),"~","%7E"),"*","%2A"),"?","%3F"),'Rules'!$G$7:$G$26,0)),""))</x:f>
      </x:c>
      <x:c r="I224" s="6" t="str">
        <x:f>IF(AND(NOT(COUNTA(A224:F224)=0),K224=""),ROUND(J224-D224,3),"")</x:f>
      </x:c>
      <x:c r="J224" s="6" t="str">
        <x:f>IF(AND(NOT(COUNTA(A224:F224)=0),K224=""),ROUND(F224+L224,3),"")</x:f>
      </x:c>
      <x:c r="K224" s="5" t="str">
        <x:f>IF(COUNTA(A224:F224)=0,"",IF(A224="","Missing equipment ID",IF(COUNTIFS($N$8:$N$2007,"="&amp;N224)&gt;1,"Duplicate equipment ID",IF(B224="","Missing type",IF(COUNTIFS('Rules'!$G$7:$G$26,"="&amp;(SUBSTITUTE(SUBSTITUTE(SUBSTITUTE(SUBSTITUTE("type:"&amp;B224,"%","%25"),"~","%7E"),"*","%2A"),"?","%3F")))=0,"Unknown type",IF(COUNTIFS('Rules'!$G$7:$G$26,"="&amp;(SUBSTITUTE(SUBSTITUTE(SUBSTITUTE(SUBSTITUTE("type:"&amp;B224,"%","%25"),"~","%7E"),"*","%2A"),"?","%3F")))&gt;1,"Duplicate type",IF(INDEX('Rules'!$F$7:$F$26,MATCH(SUBSTITUTE(SUBSTITUTE(SUBSTITUTE(SUBSTITUTE("type:"&amp;B224,"%","%25"),"~","%7E"),"*","%2A"),"?","%3F"),'Rules'!$G$7:$G$26,0))&lt;&gt;"",INDEX('Rules'!$F$7:$F$26,MATCH(SUBSTITUTE(SUBSTITUTE(SUBSTITUTE(SUBSTITUTE("type:"&amp;B224,"%","%25"),"~","%7E"),"*","%2A"),"?","%3F"),'Rules'!$G$7:$G$26,0)),IF(AND(C224&lt;&gt;"",C224&lt;&gt;INDEX('Rules'!$B$7:$B$26,MATCH(SUBSTITUTE(SUBSTITUTE(SUBSTITUTE(SUBSTITUTE("type:"&amp;B224,"%","%25"),"~","%7E"),"*","%2A"),"?","%3F"),'Rules'!$G$7:$G$26,0))),"Unit mismatch",IF(IF(NOT(ISNUMBER(D224)),TRUE,OR(D224&lt;0,D224&gt;999999999,ROUND(D224,3)&lt;&gt;D224)),"Invalid current reading",IF(AND(E224&lt;&gt;"",IF(NOT(ISNUMBER(E224)),TRUE,OR(E224&lt;0,E224&gt;999999999,ROUND(E224,3)&lt;&gt;E224))),"Invalid previous reading",IF(IF(NOT(ISNUMBER(F224)),TRUE,OR(F224&lt;0,F224&gt;999999999,ROUND(F224,3)&lt;&gt;F224)),"Invalid last service",IF(AND(E224&lt;&gt;"",D224&lt;E224),"Decreased reading",IF(F224&gt;D224,"Last service above current","")))))))))))))</x:f>
      </x:c>
      <x:c r="L224" s="6" t="str">
        <x:f>IF(AND(NOT(COUNTA(A224:F224)=0),K224=""),INDEX('Rules'!$C$7:$C$26,MATCH(SUBSTITUTE(SUBSTITUTE(SUBSTITUTE(SUBSTITUTE("type:"&amp;B224,"%","%25"),"~","%7E"),"*","%2A"),"?","%3F"),'Rules'!$G$7:$G$26,0)),"")</x:f>
      </x:c>
      <x:c r="M224" s="6" t="str">
        <x:f>IF(AND(NOT(COUNTA(A224:F224)=0),K224=""),INDEX('Rules'!$D$7:$D$26,MATCH(SUBSTITUTE(SUBSTITUTE(SUBSTITUTE(SUBSTITUTE("type:"&amp;B224,"%","%25"),"~","%7E"),"*","%2A"),"?","%3F"),'Rules'!$G$7:$G$26,0)),"")</x:f>
      </x:c>
      <x:c r="N224" s="5" t="str">
        <x:f>IF(COUNTA(A224:F224)=0,"",SUBSTITUTE(SUBSTITUTE(SUBSTITUTE(SUBSTITUTE("id:"&amp;A224,"%","%25"),"~","%7E"),"*","%2A"),"?","%3F"))</x:f>
      </x:c>
    </x:row>
    <x:row r="225" ht="22" customHeight="1">
      <x:c r="A225" s="3"/>
      <x:c r="B225" s="3"/>
      <x:c r="C225" s="3"/>
      <x:c r="D225" s="4"/>
      <x:c r="E225" s="4"/>
      <x:c r="F225" s="4"/>
      <x:c r="G225" s="5" t="str">
        <x:f>IF(COUNTA(A225:F225)=0,"",IF(K225&lt;&gt;"","Review",IF(I225&lt;0,"Overdue",IF(I225=0,"Due now",IF(I225&lt;=M225,"Due soon","Not due")))))</x:f>
      </x:c>
      <x:c r="H225" s="5" t="str">
        <x:f>IF(OR(COUNTA(A225:F225)=0,COUNTIFS('Rules'!$G$7:$G$26,"="&amp;(SUBSTITUTE(SUBSTITUTE(SUBSTITUTE(SUBSTITUTE("type:"&amp;B225,"%","%25"),"~","%7E"),"*","%2A"),"?","%3F")))&lt;&gt;1),"",IF(OR(INDEX('Rules'!$B$7:$B$26,MATCH(SUBSTITUTE(SUBSTITUTE(SUBSTITUTE(SUBSTITUTE("type:"&amp;B225,"%","%25"),"~","%7E"),"*","%2A"),"?","%3F"),'Rules'!$G$7:$G$26,0))="hours",INDEX('Rules'!$B$7:$B$26,MATCH(SUBSTITUTE(SUBSTITUTE(SUBSTITUTE(SUBSTITUTE("type:"&amp;B225,"%","%25"),"~","%7E"),"*","%2A"),"?","%3F"),'Rules'!$G$7:$G$26,0))="km"),INDEX('Rules'!$B$7:$B$26,MATCH(SUBSTITUTE(SUBSTITUTE(SUBSTITUTE(SUBSTITUTE("type:"&amp;B225,"%","%25"),"~","%7E"),"*","%2A"),"?","%3F"),'Rules'!$G$7:$G$26,0)),""))</x:f>
      </x:c>
      <x:c r="I225" s="6" t="str">
        <x:f>IF(AND(NOT(COUNTA(A225:F225)=0),K225=""),ROUND(J225-D225,3),"")</x:f>
      </x:c>
      <x:c r="J225" s="6" t="str">
        <x:f>IF(AND(NOT(COUNTA(A225:F225)=0),K225=""),ROUND(F225+L225,3),"")</x:f>
      </x:c>
      <x:c r="K225" s="5" t="str">
        <x:f>IF(COUNTA(A225:F225)=0,"",IF(A225="","Missing equipment ID",IF(COUNTIFS($N$8:$N$2007,"="&amp;N225)&gt;1,"Duplicate equipment ID",IF(B225="","Missing type",IF(COUNTIFS('Rules'!$G$7:$G$26,"="&amp;(SUBSTITUTE(SUBSTITUTE(SUBSTITUTE(SUBSTITUTE("type:"&amp;B225,"%","%25"),"~","%7E"),"*","%2A"),"?","%3F")))=0,"Unknown type",IF(COUNTIFS('Rules'!$G$7:$G$26,"="&amp;(SUBSTITUTE(SUBSTITUTE(SUBSTITUTE(SUBSTITUTE("type:"&amp;B225,"%","%25"),"~","%7E"),"*","%2A"),"?","%3F")))&gt;1,"Duplicate type",IF(INDEX('Rules'!$F$7:$F$26,MATCH(SUBSTITUTE(SUBSTITUTE(SUBSTITUTE(SUBSTITUTE("type:"&amp;B225,"%","%25"),"~","%7E"),"*","%2A"),"?","%3F"),'Rules'!$G$7:$G$26,0))&lt;&gt;"",INDEX('Rules'!$F$7:$F$26,MATCH(SUBSTITUTE(SUBSTITUTE(SUBSTITUTE(SUBSTITUTE("type:"&amp;B225,"%","%25"),"~","%7E"),"*","%2A"),"?","%3F"),'Rules'!$G$7:$G$26,0)),IF(AND(C225&lt;&gt;"",C225&lt;&gt;INDEX('Rules'!$B$7:$B$26,MATCH(SUBSTITUTE(SUBSTITUTE(SUBSTITUTE(SUBSTITUTE("type:"&amp;B225,"%","%25"),"~","%7E"),"*","%2A"),"?","%3F"),'Rules'!$G$7:$G$26,0))),"Unit mismatch",IF(IF(NOT(ISNUMBER(D225)),TRUE,OR(D225&lt;0,D225&gt;999999999,ROUND(D225,3)&lt;&gt;D225)),"Invalid current reading",IF(AND(E225&lt;&gt;"",IF(NOT(ISNUMBER(E225)),TRUE,OR(E225&lt;0,E225&gt;999999999,ROUND(E225,3)&lt;&gt;E225))),"Invalid previous reading",IF(IF(NOT(ISNUMBER(F225)),TRUE,OR(F225&lt;0,F225&gt;999999999,ROUND(F225,3)&lt;&gt;F225)),"Invalid last service",IF(AND(E225&lt;&gt;"",D225&lt;E225),"Decreased reading",IF(F225&gt;D225,"Last service above current","")))))))))))))</x:f>
      </x:c>
      <x:c r="L225" s="6" t="str">
        <x:f>IF(AND(NOT(COUNTA(A225:F225)=0),K225=""),INDEX('Rules'!$C$7:$C$26,MATCH(SUBSTITUTE(SUBSTITUTE(SUBSTITUTE(SUBSTITUTE("type:"&amp;B225,"%","%25"),"~","%7E"),"*","%2A"),"?","%3F"),'Rules'!$G$7:$G$26,0)),"")</x:f>
      </x:c>
      <x:c r="M225" s="6" t="str">
        <x:f>IF(AND(NOT(COUNTA(A225:F225)=0),K225=""),INDEX('Rules'!$D$7:$D$26,MATCH(SUBSTITUTE(SUBSTITUTE(SUBSTITUTE(SUBSTITUTE("type:"&amp;B225,"%","%25"),"~","%7E"),"*","%2A"),"?","%3F"),'Rules'!$G$7:$G$26,0)),"")</x:f>
      </x:c>
      <x:c r="N225" s="5" t="str">
        <x:f>IF(COUNTA(A225:F225)=0,"",SUBSTITUTE(SUBSTITUTE(SUBSTITUTE(SUBSTITUTE("id:"&amp;A225,"%","%25"),"~","%7E"),"*","%2A"),"?","%3F"))</x:f>
      </x:c>
    </x:row>
    <x:row r="226" ht="22" customHeight="1">
      <x:c r="A226" s="3"/>
      <x:c r="B226" s="3"/>
      <x:c r="C226" s="3"/>
      <x:c r="D226" s="4"/>
      <x:c r="E226" s="4"/>
      <x:c r="F226" s="4"/>
      <x:c r="G226" s="5" t="str">
        <x:f>IF(COUNTA(A226:F226)=0,"",IF(K226&lt;&gt;"","Review",IF(I226&lt;0,"Overdue",IF(I226=0,"Due now",IF(I226&lt;=M226,"Due soon","Not due")))))</x:f>
      </x:c>
      <x:c r="H226" s="5" t="str">
        <x:f>IF(OR(COUNTA(A226:F226)=0,COUNTIFS('Rules'!$G$7:$G$26,"="&amp;(SUBSTITUTE(SUBSTITUTE(SUBSTITUTE(SUBSTITUTE("type:"&amp;B226,"%","%25"),"~","%7E"),"*","%2A"),"?","%3F")))&lt;&gt;1),"",IF(OR(INDEX('Rules'!$B$7:$B$26,MATCH(SUBSTITUTE(SUBSTITUTE(SUBSTITUTE(SUBSTITUTE("type:"&amp;B226,"%","%25"),"~","%7E"),"*","%2A"),"?","%3F"),'Rules'!$G$7:$G$26,0))="hours",INDEX('Rules'!$B$7:$B$26,MATCH(SUBSTITUTE(SUBSTITUTE(SUBSTITUTE(SUBSTITUTE("type:"&amp;B226,"%","%25"),"~","%7E"),"*","%2A"),"?","%3F"),'Rules'!$G$7:$G$26,0))="km"),INDEX('Rules'!$B$7:$B$26,MATCH(SUBSTITUTE(SUBSTITUTE(SUBSTITUTE(SUBSTITUTE("type:"&amp;B226,"%","%25"),"~","%7E"),"*","%2A"),"?","%3F"),'Rules'!$G$7:$G$26,0)),""))</x:f>
      </x:c>
      <x:c r="I226" s="6" t="str">
        <x:f>IF(AND(NOT(COUNTA(A226:F226)=0),K226=""),ROUND(J226-D226,3),"")</x:f>
      </x:c>
      <x:c r="J226" s="6" t="str">
        <x:f>IF(AND(NOT(COUNTA(A226:F226)=0),K226=""),ROUND(F226+L226,3),"")</x:f>
      </x:c>
      <x:c r="K226" s="5" t="str">
        <x:f>IF(COUNTA(A226:F226)=0,"",IF(A226="","Missing equipment ID",IF(COUNTIFS($N$8:$N$2007,"="&amp;N226)&gt;1,"Duplicate equipment ID",IF(B226="","Missing type",IF(COUNTIFS('Rules'!$G$7:$G$26,"="&amp;(SUBSTITUTE(SUBSTITUTE(SUBSTITUTE(SUBSTITUTE("type:"&amp;B226,"%","%25"),"~","%7E"),"*","%2A"),"?","%3F")))=0,"Unknown type",IF(COUNTIFS('Rules'!$G$7:$G$26,"="&amp;(SUBSTITUTE(SUBSTITUTE(SUBSTITUTE(SUBSTITUTE("type:"&amp;B226,"%","%25"),"~","%7E"),"*","%2A"),"?","%3F")))&gt;1,"Duplicate type",IF(INDEX('Rules'!$F$7:$F$26,MATCH(SUBSTITUTE(SUBSTITUTE(SUBSTITUTE(SUBSTITUTE("type:"&amp;B226,"%","%25"),"~","%7E"),"*","%2A"),"?","%3F"),'Rules'!$G$7:$G$26,0))&lt;&gt;"",INDEX('Rules'!$F$7:$F$26,MATCH(SUBSTITUTE(SUBSTITUTE(SUBSTITUTE(SUBSTITUTE("type:"&amp;B226,"%","%25"),"~","%7E"),"*","%2A"),"?","%3F"),'Rules'!$G$7:$G$26,0)),IF(AND(C226&lt;&gt;"",C226&lt;&gt;INDEX('Rules'!$B$7:$B$26,MATCH(SUBSTITUTE(SUBSTITUTE(SUBSTITUTE(SUBSTITUTE("type:"&amp;B226,"%","%25"),"~","%7E"),"*","%2A"),"?","%3F"),'Rules'!$G$7:$G$26,0))),"Unit mismatch",IF(IF(NOT(ISNUMBER(D226)),TRUE,OR(D226&lt;0,D226&gt;999999999,ROUND(D226,3)&lt;&gt;D226)),"Invalid current reading",IF(AND(E226&lt;&gt;"",IF(NOT(ISNUMBER(E226)),TRUE,OR(E226&lt;0,E226&gt;999999999,ROUND(E226,3)&lt;&gt;E226))),"Invalid previous reading",IF(IF(NOT(ISNUMBER(F226)),TRUE,OR(F226&lt;0,F226&gt;999999999,ROUND(F226,3)&lt;&gt;F226)),"Invalid last service",IF(AND(E226&lt;&gt;"",D226&lt;E226),"Decreased reading",IF(F226&gt;D226,"Last service above current","")))))))))))))</x:f>
      </x:c>
      <x:c r="L226" s="6" t="str">
        <x:f>IF(AND(NOT(COUNTA(A226:F226)=0),K226=""),INDEX('Rules'!$C$7:$C$26,MATCH(SUBSTITUTE(SUBSTITUTE(SUBSTITUTE(SUBSTITUTE("type:"&amp;B226,"%","%25"),"~","%7E"),"*","%2A"),"?","%3F"),'Rules'!$G$7:$G$26,0)),"")</x:f>
      </x:c>
      <x:c r="M226" s="6" t="str">
        <x:f>IF(AND(NOT(COUNTA(A226:F226)=0),K226=""),INDEX('Rules'!$D$7:$D$26,MATCH(SUBSTITUTE(SUBSTITUTE(SUBSTITUTE(SUBSTITUTE("type:"&amp;B226,"%","%25"),"~","%7E"),"*","%2A"),"?","%3F"),'Rules'!$G$7:$G$26,0)),"")</x:f>
      </x:c>
      <x:c r="N226" s="5" t="str">
        <x:f>IF(COUNTA(A226:F226)=0,"",SUBSTITUTE(SUBSTITUTE(SUBSTITUTE(SUBSTITUTE("id:"&amp;A226,"%","%25"),"~","%7E"),"*","%2A"),"?","%3F"))</x:f>
      </x:c>
    </x:row>
    <x:row r="227" ht="22" customHeight="1">
      <x:c r="A227" s="3"/>
      <x:c r="B227" s="3"/>
      <x:c r="C227" s="3"/>
      <x:c r="D227" s="4"/>
      <x:c r="E227" s="4"/>
      <x:c r="F227" s="4"/>
      <x:c r="G227" s="5" t="str">
        <x:f>IF(COUNTA(A227:F227)=0,"",IF(K227&lt;&gt;"","Review",IF(I227&lt;0,"Overdue",IF(I227=0,"Due now",IF(I227&lt;=M227,"Due soon","Not due")))))</x:f>
      </x:c>
      <x:c r="H227" s="5" t="str">
        <x:f>IF(OR(COUNTA(A227:F227)=0,COUNTIFS('Rules'!$G$7:$G$26,"="&amp;(SUBSTITUTE(SUBSTITUTE(SUBSTITUTE(SUBSTITUTE("type:"&amp;B227,"%","%25"),"~","%7E"),"*","%2A"),"?","%3F")))&lt;&gt;1),"",IF(OR(INDEX('Rules'!$B$7:$B$26,MATCH(SUBSTITUTE(SUBSTITUTE(SUBSTITUTE(SUBSTITUTE("type:"&amp;B227,"%","%25"),"~","%7E"),"*","%2A"),"?","%3F"),'Rules'!$G$7:$G$26,0))="hours",INDEX('Rules'!$B$7:$B$26,MATCH(SUBSTITUTE(SUBSTITUTE(SUBSTITUTE(SUBSTITUTE("type:"&amp;B227,"%","%25"),"~","%7E"),"*","%2A"),"?","%3F"),'Rules'!$G$7:$G$26,0))="km"),INDEX('Rules'!$B$7:$B$26,MATCH(SUBSTITUTE(SUBSTITUTE(SUBSTITUTE(SUBSTITUTE("type:"&amp;B227,"%","%25"),"~","%7E"),"*","%2A"),"?","%3F"),'Rules'!$G$7:$G$26,0)),""))</x:f>
      </x:c>
      <x:c r="I227" s="6" t="str">
        <x:f>IF(AND(NOT(COUNTA(A227:F227)=0),K227=""),ROUND(J227-D227,3),"")</x:f>
      </x:c>
      <x:c r="J227" s="6" t="str">
        <x:f>IF(AND(NOT(COUNTA(A227:F227)=0),K227=""),ROUND(F227+L227,3),"")</x:f>
      </x:c>
      <x:c r="K227" s="5" t="str">
        <x:f>IF(COUNTA(A227:F227)=0,"",IF(A227="","Missing equipment ID",IF(COUNTIFS($N$8:$N$2007,"="&amp;N227)&gt;1,"Duplicate equipment ID",IF(B227="","Missing type",IF(COUNTIFS('Rules'!$G$7:$G$26,"="&amp;(SUBSTITUTE(SUBSTITUTE(SUBSTITUTE(SUBSTITUTE("type:"&amp;B227,"%","%25"),"~","%7E"),"*","%2A"),"?","%3F")))=0,"Unknown type",IF(COUNTIFS('Rules'!$G$7:$G$26,"="&amp;(SUBSTITUTE(SUBSTITUTE(SUBSTITUTE(SUBSTITUTE("type:"&amp;B227,"%","%25"),"~","%7E"),"*","%2A"),"?","%3F")))&gt;1,"Duplicate type",IF(INDEX('Rules'!$F$7:$F$26,MATCH(SUBSTITUTE(SUBSTITUTE(SUBSTITUTE(SUBSTITUTE("type:"&amp;B227,"%","%25"),"~","%7E"),"*","%2A"),"?","%3F"),'Rules'!$G$7:$G$26,0))&lt;&gt;"",INDEX('Rules'!$F$7:$F$26,MATCH(SUBSTITUTE(SUBSTITUTE(SUBSTITUTE(SUBSTITUTE("type:"&amp;B227,"%","%25"),"~","%7E"),"*","%2A"),"?","%3F"),'Rules'!$G$7:$G$26,0)),IF(AND(C227&lt;&gt;"",C227&lt;&gt;INDEX('Rules'!$B$7:$B$26,MATCH(SUBSTITUTE(SUBSTITUTE(SUBSTITUTE(SUBSTITUTE("type:"&amp;B227,"%","%25"),"~","%7E"),"*","%2A"),"?","%3F"),'Rules'!$G$7:$G$26,0))),"Unit mismatch",IF(IF(NOT(ISNUMBER(D227)),TRUE,OR(D227&lt;0,D227&gt;999999999,ROUND(D227,3)&lt;&gt;D227)),"Invalid current reading",IF(AND(E227&lt;&gt;"",IF(NOT(ISNUMBER(E227)),TRUE,OR(E227&lt;0,E227&gt;999999999,ROUND(E227,3)&lt;&gt;E227))),"Invalid previous reading",IF(IF(NOT(ISNUMBER(F227)),TRUE,OR(F227&lt;0,F227&gt;999999999,ROUND(F227,3)&lt;&gt;F227)),"Invalid last service",IF(AND(E227&lt;&gt;"",D227&lt;E227),"Decreased reading",IF(F227&gt;D227,"Last service above current","")))))))))))))</x:f>
      </x:c>
      <x:c r="L227" s="6" t="str">
        <x:f>IF(AND(NOT(COUNTA(A227:F227)=0),K227=""),INDEX('Rules'!$C$7:$C$26,MATCH(SUBSTITUTE(SUBSTITUTE(SUBSTITUTE(SUBSTITUTE("type:"&amp;B227,"%","%25"),"~","%7E"),"*","%2A"),"?","%3F"),'Rules'!$G$7:$G$26,0)),"")</x:f>
      </x:c>
      <x:c r="M227" s="6" t="str">
        <x:f>IF(AND(NOT(COUNTA(A227:F227)=0),K227=""),INDEX('Rules'!$D$7:$D$26,MATCH(SUBSTITUTE(SUBSTITUTE(SUBSTITUTE(SUBSTITUTE("type:"&amp;B227,"%","%25"),"~","%7E"),"*","%2A"),"?","%3F"),'Rules'!$G$7:$G$26,0)),"")</x:f>
      </x:c>
      <x:c r="N227" s="5" t="str">
        <x:f>IF(COUNTA(A227:F227)=0,"",SUBSTITUTE(SUBSTITUTE(SUBSTITUTE(SUBSTITUTE("id:"&amp;A227,"%","%25"),"~","%7E"),"*","%2A"),"?","%3F"))</x:f>
      </x:c>
    </x:row>
    <x:row r="228" ht="22" customHeight="1">
      <x:c r="A228" s="3"/>
      <x:c r="B228" s="3"/>
      <x:c r="C228" s="3"/>
      <x:c r="D228" s="4"/>
      <x:c r="E228" s="4"/>
      <x:c r="F228" s="4"/>
      <x:c r="G228" s="5" t="str">
        <x:f>IF(COUNTA(A228:F228)=0,"",IF(K228&lt;&gt;"","Review",IF(I228&lt;0,"Overdue",IF(I228=0,"Due now",IF(I228&lt;=M228,"Due soon","Not due")))))</x:f>
      </x:c>
      <x:c r="H228" s="5" t="str">
        <x:f>IF(OR(COUNTA(A228:F228)=0,COUNTIFS('Rules'!$G$7:$G$26,"="&amp;(SUBSTITUTE(SUBSTITUTE(SUBSTITUTE(SUBSTITUTE("type:"&amp;B228,"%","%25"),"~","%7E"),"*","%2A"),"?","%3F")))&lt;&gt;1),"",IF(OR(INDEX('Rules'!$B$7:$B$26,MATCH(SUBSTITUTE(SUBSTITUTE(SUBSTITUTE(SUBSTITUTE("type:"&amp;B228,"%","%25"),"~","%7E"),"*","%2A"),"?","%3F"),'Rules'!$G$7:$G$26,0))="hours",INDEX('Rules'!$B$7:$B$26,MATCH(SUBSTITUTE(SUBSTITUTE(SUBSTITUTE(SUBSTITUTE("type:"&amp;B228,"%","%25"),"~","%7E"),"*","%2A"),"?","%3F"),'Rules'!$G$7:$G$26,0))="km"),INDEX('Rules'!$B$7:$B$26,MATCH(SUBSTITUTE(SUBSTITUTE(SUBSTITUTE(SUBSTITUTE("type:"&amp;B228,"%","%25"),"~","%7E"),"*","%2A"),"?","%3F"),'Rules'!$G$7:$G$26,0)),""))</x:f>
      </x:c>
      <x:c r="I228" s="6" t="str">
        <x:f>IF(AND(NOT(COUNTA(A228:F228)=0),K228=""),ROUND(J228-D228,3),"")</x:f>
      </x:c>
      <x:c r="J228" s="6" t="str">
        <x:f>IF(AND(NOT(COUNTA(A228:F228)=0),K228=""),ROUND(F228+L228,3),"")</x:f>
      </x:c>
      <x:c r="K228" s="5" t="str">
        <x:f>IF(COUNTA(A228:F228)=0,"",IF(A228="","Missing equipment ID",IF(COUNTIFS($N$8:$N$2007,"="&amp;N228)&gt;1,"Duplicate equipment ID",IF(B228="","Missing type",IF(COUNTIFS('Rules'!$G$7:$G$26,"="&amp;(SUBSTITUTE(SUBSTITUTE(SUBSTITUTE(SUBSTITUTE("type:"&amp;B228,"%","%25"),"~","%7E"),"*","%2A"),"?","%3F")))=0,"Unknown type",IF(COUNTIFS('Rules'!$G$7:$G$26,"="&amp;(SUBSTITUTE(SUBSTITUTE(SUBSTITUTE(SUBSTITUTE("type:"&amp;B228,"%","%25"),"~","%7E"),"*","%2A"),"?","%3F")))&gt;1,"Duplicate type",IF(INDEX('Rules'!$F$7:$F$26,MATCH(SUBSTITUTE(SUBSTITUTE(SUBSTITUTE(SUBSTITUTE("type:"&amp;B228,"%","%25"),"~","%7E"),"*","%2A"),"?","%3F"),'Rules'!$G$7:$G$26,0))&lt;&gt;"",INDEX('Rules'!$F$7:$F$26,MATCH(SUBSTITUTE(SUBSTITUTE(SUBSTITUTE(SUBSTITUTE("type:"&amp;B228,"%","%25"),"~","%7E"),"*","%2A"),"?","%3F"),'Rules'!$G$7:$G$26,0)),IF(AND(C228&lt;&gt;"",C228&lt;&gt;INDEX('Rules'!$B$7:$B$26,MATCH(SUBSTITUTE(SUBSTITUTE(SUBSTITUTE(SUBSTITUTE("type:"&amp;B228,"%","%25"),"~","%7E"),"*","%2A"),"?","%3F"),'Rules'!$G$7:$G$26,0))),"Unit mismatch",IF(IF(NOT(ISNUMBER(D228)),TRUE,OR(D228&lt;0,D228&gt;999999999,ROUND(D228,3)&lt;&gt;D228)),"Invalid current reading",IF(AND(E228&lt;&gt;"",IF(NOT(ISNUMBER(E228)),TRUE,OR(E228&lt;0,E228&gt;999999999,ROUND(E228,3)&lt;&gt;E228))),"Invalid previous reading",IF(IF(NOT(ISNUMBER(F228)),TRUE,OR(F228&lt;0,F228&gt;999999999,ROUND(F228,3)&lt;&gt;F228)),"Invalid last service",IF(AND(E228&lt;&gt;"",D228&lt;E228),"Decreased reading",IF(F228&gt;D228,"Last service above current","")))))))))))))</x:f>
      </x:c>
      <x:c r="L228" s="6" t="str">
        <x:f>IF(AND(NOT(COUNTA(A228:F228)=0),K228=""),INDEX('Rules'!$C$7:$C$26,MATCH(SUBSTITUTE(SUBSTITUTE(SUBSTITUTE(SUBSTITUTE("type:"&amp;B228,"%","%25"),"~","%7E"),"*","%2A"),"?","%3F"),'Rules'!$G$7:$G$26,0)),"")</x:f>
      </x:c>
      <x:c r="M228" s="6" t="str">
        <x:f>IF(AND(NOT(COUNTA(A228:F228)=0),K228=""),INDEX('Rules'!$D$7:$D$26,MATCH(SUBSTITUTE(SUBSTITUTE(SUBSTITUTE(SUBSTITUTE("type:"&amp;B228,"%","%25"),"~","%7E"),"*","%2A"),"?","%3F"),'Rules'!$G$7:$G$26,0)),"")</x:f>
      </x:c>
      <x:c r="N228" s="5" t="str">
        <x:f>IF(COUNTA(A228:F228)=0,"",SUBSTITUTE(SUBSTITUTE(SUBSTITUTE(SUBSTITUTE("id:"&amp;A228,"%","%25"),"~","%7E"),"*","%2A"),"?","%3F"))</x:f>
      </x:c>
    </x:row>
    <x:row r="229" ht="22" customHeight="1">
      <x:c r="A229" s="3"/>
      <x:c r="B229" s="3"/>
      <x:c r="C229" s="3"/>
      <x:c r="D229" s="4"/>
      <x:c r="E229" s="4"/>
      <x:c r="F229" s="4"/>
      <x:c r="G229" s="5" t="str">
        <x:f>IF(COUNTA(A229:F229)=0,"",IF(K229&lt;&gt;"","Review",IF(I229&lt;0,"Overdue",IF(I229=0,"Due now",IF(I229&lt;=M229,"Due soon","Not due")))))</x:f>
      </x:c>
      <x:c r="H229" s="5" t="str">
        <x:f>IF(OR(COUNTA(A229:F229)=0,COUNTIFS('Rules'!$G$7:$G$26,"="&amp;(SUBSTITUTE(SUBSTITUTE(SUBSTITUTE(SUBSTITUTE("type:"&amp;B229,"%","%25"),"~","%7E"),"*","%2A"),"?","%3F")))&lt;&gt;1),"",IF(OR(INDEX('Rules'!$B$7:$B$26,MATCH(SUBSTITUTE(SUBSTITUTE(SUBSTITUTE(SUBSTITUTE("type:"&amp;B229,"%","%25"),"~","%7E"),"*","%2A"),"?","%3F"),'Rules'!$G$7:$G$26,0))="hours",INDEX('Rules'!$B$7:$B$26,MATCH(SUBSTITUTE(SUBSTITUTE(SUBSTITUTE(SUBSTITUTE("type:"&amp;B229,"%","%25"),"~","%7E"),"*","%2A"),"?","%3F"),'Rules'!$G$7:$G$26,0))="km"),INDEX('Rules'!$B$7:$B$26,MATCH(SUBSTITUTE(SUBSTITUTE(SUBSTITUTE(SUBSTITUTE("type:"&amp;B229,"%","%25"),"~","%7E"),"*","%2A"),"?","%3F"),'Rules'!$G$7:$G$26,0)),""))</x:f>
      </x:c>
      <x:c r="I229" s="6" t="str">
        <x:f>IF(AND(NOT(COUNTA(A229:F229)=0),K229=""),ROUND(J229-D229,3),"")</x:f>
      </x:c>
      <x:c r="J229" s="6" t="str">
        <x:f>IF(AND(NOT(COUNTA(A229:F229)=0),K229=""),ROUND(F229+L229,3),"")</x:f>
      </x:c>
      <x:c r="K229" s="5" t="str">
        <x:f>IF(COUNTA(A229:F229)=0,"",IF(A229="","Missing equipment ID",IF(COUNTIFS($N$8:$N$2007,"="&amp;N229)&gt;1,"Duplicate equipment ID",IF(B229="","Missing type",IF(COUNTIFS('Rules'!$G$7:$G$26,"="&amp;(SUBSTITUTE(SUBSTITUTE(SUBSTITUTE(SUBSTITUTE("type:"&amp;B229,"%","%25"),"~","%7E"),"*","%2A"),"?","%3F")))=0,"Unknown type",IF(COUNTIFS('Rules'!$G$7:$G$26,"="&amp;(SUBSTITUTE(SUBSTITUTE(SUBSTITUTE(SUBSTITUTE("type:"&amp;B229,"%","%25"),"~","%7E"),"*","%2A"),"?","%3F")))&gt;1,"Duplicate type",IF(INDEX('Rules'!$F$7:$F$26,MATCH(SUBSTITUTE(SUBSTITUTE(SUBSTITUTE(SUBSTITUTE("type:"&amp;B229,"%","%25"),"~","%7E"),"*","%2A"),"?","%3F"),'Rules'!$G$7:$G$26,0))&lt;&gt;"",INDEX('Rules'!$F$7:$F$26,MATCH(SUBSTITUTE(SUBSTITUTE(SUBSTITUTE(SUBSTITUTE("type:"&amp;B229,"%","%25"),"~","%7E"),"*","%2A"),"?","%3F"),'Rules'!$G$7:$G$26,0)),IF(AND(C229&lt;&gt;"",C229&lt;&gt;INDEX('Rules'!$B$7:$B$26,MATCH(SUBSTITUTE(SUBSTITUTE(SUBSTITUTE(SUBSTITUTE("type:"&amp;B229,"%","%25"),"~","%7E"),"*","%2A"),"?","%3F"),'Rules'!$G$7:$G$26,0))),"Unit mismatch",IF(IF(NOT(ISNUMBER(D229)),TRUE,OR(D229&lt;0,D229&gt;999999999,ROUND(D229,3)&lt;&gt;D229)),"Invalid current reading",IF(AND(E229&lt;&gt;"",IF(NOT(ISNUMBER(E229)),TRUE,OR(E229&lt;0,E229&gt;999999999,ROUND(E229,3)&lt;&gt;E229))),"Invalid previous reading",IF(IF(NOT(ISNUMBER(F229)),TRUE,OR(F229&lt;0,F229&gt;999999999,ROUND(F229,3)&lt;&gt;F229)),"Invalid last service",IF(AND(E229&lt;&gt;"",D229&lt;E229),"Decreased reading",IF(F229&gt;D229,"Last service above current","")))))))))))))</x:f>
      </x:c>
      <x:c r="L229" s="6" t="str">
        <x:f>IF(AND(NOT(COUNTA(A229:F229)=0),K229=""),INDEX('Rules'!$C$7:$C$26,MATCH(SUBSTITUTE(SUBSTITUTE(SUBSTITUTE(SUBSTITUTE("type:"&amp;B229,"%","%25"),"~","%7E"),"*","%2A"),"?","%3F"),'Rules'!$G$7:$G$26,0)),"")</x:f>
      </x:c>
      <x:c r="M229" s="6" t="str">
        <x:f>IF(AND(NOT(COUNTA(A229:F229)=0),K229=""),INDEX('Rules'!$D$7:$D$26,MATCH(SUBSTITUTE(SUBSTITUTE(SUBSTITUTE(SUBSTITUTE("type:"&amp;B229,"%","%25"),"~","%7E"),"*","%2A"),"?","%3F"),'Rules'!$G$7:$G$26,0)),"")</x:f>
      </x:c>
      <x:c r="N229" s="5" t="str">
        <x:f>IF(COUNTA(A229:F229)=0,"",SUBSTITUTE(SUBSTITUTE(SUBSTITUTE(SUBSTITUTE("id:"&amp;A229,"%","%25"),"~","%7E"),"*","%2A"),"?","%3F"))</x:f>
      </x:c>
    </x:row>
    <x:row r="230" ht="22" customHeight="1">
      <x:c r="A230" s="3"/>
      <x:c r="B230" s="3"/>
      <x:c r="C230" s="3"/>
      <x:c r="D230" s="4"/>
      <x:c r="E230" s="4"/>
      <x:c r="F230" s="4"/>
      <x:c r="G230" s="5" t="str">
        <x:f>IF(COUNTA(A230:F230)=0,"",IF(K230&lt;&gt;"","Review",IF(I230&lt;0,"Overdue",IF(I230=0,"Due now",IF(I230&lt;=M230,"Due soon","Not due")))))</x:f>
      </x:c>
      <x:c r="H230" s="5" t="str">
        <x:f>IF(OR(COUNTA(A230:F230)=0,COUNTIFS('Rules'!$G$7:$G$26,"="&amp;(SUBSTITUTE(SUBSTITUTE(SUBSTITUTE(SUBSTITUTE("type:"&amp;B230,"%","%25"),"~","%7E"),"*","%2A"),"?","%3F")))&lt;&gt;1),"",IF(OR(INDEX('Rules'!$B$7:$B$26,MATCH(SUBSTITUTE(SUBSTITUTE(SUBSTITUTE(SUBSTITUTE("type:"&amp;B230,"%","%25"),"~","%7E"),"*","%2A"),"?","%3F"),'Rules'!$G$7:$G$26,0))="hours",INDEX('Rules'!$B$7:$B$26,MATCH(SUBSTITUTE(SUBSTITUTE(SUBSTITUTE(SUBSTITUTE("type:"&amp;B230,"%","%25"),"~","%7E"),"*","%2A"),"?","%3F"),'Rules'!$G$7:$G$26,0))="km"),INDEX('Rules'!$B$7:$B$26,MATCH(SUBSTITUTE(SUBSTITUTE(SUBSTITUTE(SUBSTITUTE("type:"&amp;B230,"%","%25"),"~","%7E"),"*","%2A"),"?","%3F"),'Rules'!$G$7:$G$26,0)),""))</x:f>
      </x:c>
      <x:c r="I230" s="6" t="str">
        <x:f>IF(AND(NOT(COUNTA(A230:F230)=0),K230=""),ROUND(J230-D230,3),"")</x:f>
      </x:c>
      <x:c r="J230" s="6" t="str">
        <x:f>IF(AND(NOT(COUNTA(A230:F230)=0),K230=""),ROUND(F230+L230,3),"")</x:f>
      </x:c>
      <x:c r="K230" s="5" t="str">
        <x:f>IF(COUNTA(A230:F230)=0,"",IF(A230="","Missing equipment ID",IF(COUNTIFS($N$8:$N$2007,"="&amp;N230)&gt;1,"Duplicate equipment ID",IF(B230="","Missing type",IF(COUNTIFS('Rules'!$G$7:$G$26,"="&amp;(SUBSTITUTE(SUBSTITUTE(SUBSTITUTE(SUBSTITUTE("type:"&amp;B230,"%","%25"),"~","%7E"),"*","%2A"),"?","%3F")))=0,"Unknown type",IF(COUNTIFS('Rules'!$G$7:$G$26,"="&amp;(SUBSTITUTE(SUBSTITUTE(SUBSTITUTE(SUBSTITUTE("type:"&amp;B230,"%","%25"),"~","%7E"),"*","%2A"),"?","%3F")))&gt;1,"Duplicate type",IF(INDEX('Rules'!$F$7:$F$26,MATCH(SUBSTITUTE(SUBSTITUTE(SUBSTITUTE(SUBSTITUTE("type:"&amp;B230,"%","%25"),"~","%7E"),"*","%2A"),"?","%3F"),'Rules'!$G$7:$G$26,0))&lt;&gt;"",INDEX('Rules'!$F$7:$F$26,MATCH(SUBSTITUTE(SUBSTITUTE(SUBSTITUTE(SUBSTITUTE("type:"&amp;B230,"%","%25"),"~","%7E"),"*","%2A"),"?","%3F"),'Rules'!$G$7:$G$26,0)),IF(AND(C230&lt;&gt;"",C230&lt;&gt;INDEX('Rules'!$B$7:$B$26,MATCH(SUBSTITUTE(SUBSTITUTE(SUBSTITUTE(SUBSTITUTE("type:"&amp;B230,"%","%25"),"~","%7E"),"*","%2A"),"?","%3F"),'Rules'!$G$7:$G$26,0))),"Unit mismatch",IF(IF(NOT(ISNUMBER(D230)),TRUE,OR(D230&lt;0,D230&gt;999999999,ROUND(D230,3)&lt;&gt;D230)),"Invalid current reading",IF(AND(E230&lt;&gt;"",IF(NOT(ISNUMBER(E230)),TRUE,OR(E230&lt;0,E230&gt;999999999,ROUND(E230,3)&lt;&gt;E230))),"Invalid previous reading",IF(IF(NOT(ISNUMBER(F230)),TRUE,OR(F230&lt;0,F230&gt;999999999,ROUND(F230,3)&lt;&gt;F230)),"Invalid last service",IF(AND(E230&lt;&gt;"",D230&lt;E230),"Decreased reading",IF(F230&gt;D230,"Last service above current","")))))))))))))</x:f>
      </x:c>
      <x:c r="L230" s="6" t="str">
        <x:f>IF(AND(NOT(COUNTA(A230:F230)=0),K230=""),INDEX('Rules'!$C$7:$C$26,MATCH(SUBSTITUTE(SUBSTITUTE(SUBSTITUTE(SUBSTITUTE("type:"&amp;B230,"%","%25"),"~","%7E"),"*","%2A"),"?","%3F"),'Rules'!$G$7:$G$26,0)),"")</x:f>
      </x:c>
      <x:c r="M230" s="6" t="str">
        <x:f>IF(AND(NOT(COUNTA(A230:F230)=0),K230=""),INDEX('Rules'!$D$7:$D$26,MATCH(SUBSTITUTE(SUBSTITUTE(SUBSTITUTE(SUBSTITUTE("type:"&amp;B230,"%","%25"),"~","%7E"),"*","%2A"),"?","%3F"),'Rules'!$G$7:$G$26,0)),"")</x:f>
      </x:c>
      <x:c r="N230" s="5" t="str">
        <x:f>IF(COUNTA(A230:F230)=0,"",SUBSTITUTE(SUBSTITUTE(SUBSTITUTE(SUBSTITUTE("id:"&amp;A230,"%","%25"),"~","%7E"),"*","%2A"),"?","%3F"))</x:f>
      </x:c>
    </x:row>
    <x:row r="231" ht="22" customHeight="1">
      <x:c r="A231" s="3"/>
      <x:c r="B231" s="3"/>
      <x:c r="C231" s="3"/>
      <x:c r="D231" s="4"/>
      <x:c r="E231" s="4"/>
      <x:c r="F231" s="4"/>
      <x:c r="G231" s="5" t="str">
        <x:f>IF(COUNTA(A231:F231)=0,"",IF(K231&lt;&gt;"","Review",IF(I231&lt;0,"Overdue",IF(I231=0,"Due now",IF(I231&lt;=M231,"Due soon","Not due")))))</x:f>
      </x:c>
      <x:c r="H231" s="5" t="str">
        <x:f>IF(OR(COUNTA(A231:F231)=0,COUNTIFS('Rules'!$G$7:$G$26,"="&amp;(SUBSTITUTE(SUBSTITUTE(SUBSTITUTE(SUBSTITUTE("type:"&amp;B231,"%","%25"),"~","%7E"),"*","%2A"),"?","%3F")))&lt;&gt;1),"",IF(OR(INDEX('Rules'!$B$7:$B$26,MATCH(SUBSTITUTE(SUBSTITUTE(SUBSTITUTE(SUBSTITUTE("type:"&amp;B231,"%","%25"),"~","%7E"),"*","%2A"),"?","%3F"),'Rules'!$G$7:$G$26,0))="hours",INDEX('Rules'!$B$7:$B$26,MATCH(SUBSTITUTE(SUBSTITUTE(SUBSTITUTE(SUBSTITUTE("type:"&amp;B231,"%","%25"),"~","%7E"),"*","%2A"),"?","%3F"),'Rules'!$G$7:$G$26,0))="km"),INDEX('Rules'!$B$7:$B$26,MATCH(SUBSTITUTE(SUBSTITUTE(SUBSTITUTE(SUBSTITUTE("type:"&amp;B231,"%","%25"),"~","%7E"),"*","%2A"),"?","%3F"),'Rules'!$G$7:$G$26,0)),""))</x:f>
      </x:c>
      <x:c r="I231" s="6" t="str">
        <x:f>IF(AND(NOT(COUNTA(A231:F231)=0),K231=""),ROUND(J231-D231,3),"")</x:f>
      </x:c>
      <x:c r="J231" s="6" t="str">
        <x:f>IF(AND(NOT(COUNTA(A231:F231)=0),K231=""),ROUND(F231+L231,3),"")</x:f>
      </x:c>
      <x:c r="K231" s="5" t="str">
        <x:f>IF(COUNTA(A231:F231)=0,"",IF(A231="","Missing equipment ID",IF(COUNTIFS($N$8:$N$2007,"="&amp;N231)&gt;1,"Duplicate equipment ID",IF(B231="","Missing type",IF(COUNTIFS('Rules'!$G$7:$G$26,"="&amp;(SUBSTITUTE(SUBSTITUTE(SUBSTITUTE(SUBSTITUTE("type:"&amp;B231,"%","%25"),"~","%7E"),"*","%2A"),"?","%3F")))=0,"Unknown type",IF(COUNTIFS('Rules'!$G$7:$G$26,"="&amp;(SUBSTITUTE(SUBSTITUTE(SUBSTITUTE(SUBSTITUTE("type:"&amp;B231,"%","%25"),"~","%7E"),"*","%2A"),"?","%3F")))&gt;1,"Duplicate type",IF(INDEX('Rules'!$F$7:$F$26,MATCH(SUBSTITUTE(SUBSTITUTE(SUBSTITUTE(SUBSTITUTE("type:"&amp;B231,"%","%25"),"~","%7E"),"*","%2A"),"?","%3F"),'Rules'!$G$7:$G$26,0))&lt;&gt;"",INDEX('Rules'!$F$7:$F$26,MATCH(SUBSTITUTE(SUBSTITUTE(SUBSTITUTE(SUBSTITUTE("type:"&amp;B231,"%","%25"),"~","%7E"),"*","%2A"),"?","%3F"),'Rules'!$G$7:$G$26,0)),IF(AND(C231&lt;&gt;"",C231&lt;&gt;INDEX('Rules'!$B$7:$B$26,MATCH(SUBSTITUTE(SUBSTITUTE(SUBSTITUTE(SUBSTITUTE("type:"&amp;B231,"%","%25"),"~","%7E"),"*","%2A"),"?","%3F"),'Rules'!$G$7:$G$26,0))),"Unit mismatch",IF(IF(NOT(ISNUMBER(D231)),TRUE,OR(D231&lt;0,D231&gt;999999999,ROUND(D231,3)&lt;&gt;D231)),"Invalid current reading",IF(AND(E231&lt;&gt;"",IF(NOT(ISNUMBER(E231)),TRUE,OR(E231&lt;0,E231&gt;999999999,ROUND(E231,3)&lt;&gt;E231))),"Invalid previous reading",IF(IF(NOT(ISNUMBER(F231)),TRUE,OR(F231&lt;0,F231&gt;999999999,ROUND(F231,3)&lt;&gt;F231)),"Invalid last service",IF(AND(E231&lt;&gt;"",D231&lt;E231),"Decreased reading",IF(F231&gt;D231,"Last service above current","")))))))))))))</x:f>
      </x:c>
      <x:c r="L231" s="6" t="str">
        <x:f>IF(AND(NOT(COUNTA(A231:F231)=0),K231=""),INDEX('Rules'!$C$7:$C$26,MATCH(SUBSTITUTE(SUBSTITUTE(SUBSTITUTE(SUBSTITUTE("type:"&amp;B231,"%","%25"),"~","%7E"),"*","%2A"),"?","%3F"),'Rules'!$G$7:$G$26,0)),"")</x:f>
      </x:c>
      <x:c r="M231" s="6" t="str">
        <x:f>IF(AND(NOT(COUNTA(A231:F231)=0),K231=""),INDEX('Rules'!$D$7:$D$26,MATCH(SUBSTITUTE(SUBSTITUTE(SUBSTITUTE(SUBSTITUTE("type:"&amp;B231,"%","%25"),"~","%7E"),"*","%2A"),"?","%3F"),'Rules'!$G$7:$G$26,0)),"")</x:f>
      </x:c>
      <x:c r="N231" s="5" t="str">
        <x:f>IF(COUNTA(A231:F231)=0,"",SUBSTITUTE(SUBSTITUTE(SUBSTITUTE(SUBSTITUTE("id:"&amp;A231,"%","%25"),"~","%7E"),"*","%2A"),"?","%3F"))</x:f>
      </x:c>
    </x:row>
    <x:row r="232" ht="22" customHeight="1">
      <x:c r="A232" s="3"/>
      <x:c r="B232" s="3"/>
      <x:c r="C232" s="3"/>
      <x:c r="D232" s="4"/>
      <x:c r="E232" s="4"/>
      <x:c r="F232" s="4"/>
      <x:c r="G232" s="5" t="str">
        <x:f>IF(COUNTA(A232:F232)=0,"",IF(K232&lt;&gt;"","Review",IF(I232&lt;0,"Overdue",IF(I232=0,"Due now",IF(I232&lt;=M232,"Due soon","Not due")))))</x:f>
      </x:c>
      <x:c r="H232" s="5" t="str">
        <x:f>IF(OR(COUNTA(A232:F232)=0,COUNTIFS('Rules'!$G$7:$G$26,"="&amp;(SUBSTITUTE(SUBSTITUTE(SUBSTITUTE(SUBSTITUTE("type:"&amp;B232,"%","%25"),"~","%7E"),"*","%2A"),"?","%3F")))&lt;&gt;1),"",IF(OR(INDEX('Rules'!$B$7:$B$26,MATCH(SUBSTITUTE(SUBSTITUTE(SUBSTITUTE(SUBSTITUTE("type:"&amp;B232,"%","%25"),"~","%7E"),"*","%2A"),"?","%3F"),'Rules'!$G$7:$G$26,0))="hours",INDEX('Rules'!$B$7:$B$26,MATCH(SUBSTITUTE(SUBSTITUTE(SUBSTITUTE(SUBSTITUTE("type:"&amp;B232,"%","%25"),"~","%7E"),"*","%2A"),"?","%3F"),'Rules'!$G$7:$G$26,0))="km"),INDEX('Rules'!$B$7:$B$26,MATCH(SUBSTITUTE(SUBSTITUTE(SUBSTITUTE(SUBSTITUTE("type:"&amp;B232,"%","%25"),"~","%7E"),"*","%2A"),"?","%3F"),'Rules'!$G$7:$G$26,0)),""))</x:f>
      </x:c>
      <x:c r="I232" s="6" t="str">
        <x:f>IF(AND(NOT(COUNTA(A232:F232)=0),K232=""),ROUND(J232-D232,3),"")</x:f>
      </x:c>
      <x:c r="J232" s="6" t="str">
        <x:f>IF(AND(NOT(COUNTA(A232:F232)=0),K232=""),ROUND(F232+L232,3),"")</x:f>
      </x:c>
      <x:c r="K232" s="5" t="str">
        <x:f>IF(COUNTA(A232:F232)=0,"",IF(A232="","Missing equipment ID",IF(COUNTIFS($N$8:$N$2007,"="&amp;N232)&gt;1,"Duplicate equipment ID",IF(B232="","Missing type",IF(COUNTIFS('Rules'!$G$7:$G$26,"="&amp;(SUBSTITUTE(SUBSTITUTE(SUBSTITUTE(SUBSTITUTE("type:"&amp;B232,"%","%25"),"~","%7E"),"*","%2A"),"?","%3F")))=0,"Unknown type",IF(COUNTIFS('Rules'!$G$7:$G$26,"="&amp;(SUBSTITUTE(SUBSTITUTE(SUBSTITUTE(SUBSTITUTE("type:"&amp;B232,"%","%25"),"~","%7E"),"*","%2A"),"?","%3F")))&gt;1,"Duplicate type",IF(INDEX('Rules'!$F$7:$F$26,MATCH(SUBSTITUTE(SUBSTITUTE(SUBSTITUTE(SUBSTITUTE("type:"&amp;B232,"%","%25"),"~","%7E"),"*","%2A"),"?","%3F"),'Rules'!$G$7:$G$26,0))&lt;&gt;"",INDEX('Rules'!$F$7:$F$26,MATCH(SUBSTITUTE(SUBSTITUTE(SUBSTITUTE(SUBSTITUTE("type:"&amp;B232,"%","%25"),"~","%7E"),"*","%2A"),"?","%3F"),'Rules'!$G$7:$G$26,0)),IF(AND(C232&lt;&gt;"",C232&lt;&gt;INDEX('Rules'!$B$7:$B$26,MATCH(SUBSTITUTE(SUBSTITUTE(SUBSTITUTE(SUBSTITUTE("type:"&amp;B232,"%","%25"),"~","%7E"),"*","%2A"),"?","%3F"),'Rules'!$G$7:$G$26,0))),"Unit mismatch",IF(IF(NOT(ISNUMBER(D232)),TRUE,OR(D232&lt;0,D232&gt;999999999,ROUND(D232,3)&lt;&gt;D232)),"Invalid current reading",IF(AND(E232&lt;&gt;"",IF(NOT(ISNUMBER(E232)),TRUE,OR(E232&lt;0,E232&gt;999999999,ROUND(E232,3)&lt;&gt;E232))),"Invalid previous reading",IF(IF(NOT(ISNUMBER(F232)),TRUE,OR(F232&lt;0,F232&gt;999999999,ROUND(F232,3)&lt;&gt;F232)),"Invalid last service",IF(AND(E232&lt;&gt;"",D232&lt;E232),"Decreased reading",IF(F232&gt;D232,"Last service above current","")))))))))))))</x:f>
      </x:c>
      <x:c r="L232" s="6" t="str">
        <x:f>IF(AND(NOT(COUNTA(A232:F232)=0),K232=""),INDEX('Rules'!$C$7:$C$26,MATCH(SUBSTITUTE(SUBSTITUTE(SUBSTITUTE(SUBSTITUTE("type:"&amp;B232,"%","%25"),"~","%7E"),"*","%2A"),"?","%3F"),'Rules'!$G$7:$G$26,0)),"")</x:f>
      </x:c>
      <x:c r="M232" s="6" t="str">
        <x:f>IF(AND(NOT(COUNTA(A232:F232)=0),K232=""),INDEX('Rules'!$D$7:$D$26,MATCH(SUBSTITUTE(SUBSTITUTE(SUBSTITUTE(SUBSTITUTE("type:"&amp;B232,"%","%25"),"~","%7E"),"*","%2A"),"?","%3F"),'Rules'!$G$7:$G$26,0)),"")</x:f>
      </x:c>
      <x:c r="N232" s="5" t="str">
        <x:f>IF(COUNTA(A232:F232)=0,"",SUBSTITUTE(SUBSTITUTE(SUBSTITUTE(SUBSTITUTE("id:"&amp;A232,"%","%25"),"~","%7E"),"*","%2A"),"?","%3F"))</x:f>
      </x:c>
    </x:row>
    <x:row r="233" ht="22" customHeight="1">
      <x:c r="A233" s="3"/>
      <x:c r="B233" s="3"/>
      <x:c r="C233" s="3"/>
      <x:c r="D233" s="4"/>
      <x:c r="E233" s="4"/>
      <x:c r="F233" s="4"/>
      <x:c r="G233" s="5" t="str">
        <x:f>IF(COUNTA(A233:F233)=0,"",IF(K233&lt;&gt;"","Review",IF(I233&lt;0,"Overdue",IF(I233=0,"Due now",IF(I233&lt;=M233,"Due soon","Not due")))))</x:f>
      </x:c>
      <x:c r="H233" s="5" t="str">
        <x:f>IF(OR(COUNTA(A233:F233)=0,COUNTIFS('Rules'!$G$7:$G$26,"="&amp;(SUBSTITUTE(SUBSTITUTE(SUBSTITUTE(SUBSTITUTE("type:"&amp;B233,"%","%25"),"~","%7E"),"*","%2A"),"?","%3F")))&lt;&gt;1),"",IF(OR(INDEX('Rules'!$B$7:$B$26,MATCH(SUBSTITUTE(SUBSTITUTE(SUBSTITUTE(SUBSTITUTE("type:"&amp;B233,"%","%25"),"~","%7E"),"*","%2A"),"?","%3F"),'Rules'!$G$7:$G$26,0))="hours",INDEX('Rules'!$B$7:$B$26,MATCH(SUBSTITUTE(SUBSTITUTE(SUBSTITUTE(SUBSTITUTE("type:"&amp;B233,"%","%25"),"~","%7E"),"*","%2A"),"?","%3F"),'Rules'!$G$7:$G$26,0))="km"),INDEX('Rules'!$B$7:$B$26,MATCH(SUBSTITUTE(SUBSTITUTE(SUBSTITUTE(SUBSTITUTE("type:"&amp;B233,"%","%25"),"~","%7E"),"*","%2A"),"?","%3F"),'Rules'!$G$7:$G$26,0)),""))</x:f>
      </x:c>
      <x:c r="I233" s="6" t="str">
        <x:f>IF(AND(NOT(COUNTA(A233:F233)=0),K233=""),ROUND(J233-D233,3),"")</x:f>
      </x:c>
      <x:c r="J233" s="6" t="str">
        <x:f>IF(AND(NOT(COUNTA(A233:F233)=0),K233=""),ROUND(F233+L233,3),"")</x:f>
      </x:c>
      <x:c r="K233" s="5" t="str">
        <x:f>IF(COUNTA(A233:F233)=0,"",IF(A233="","Missing equipment ID",IF(COUNTIFS($N$8:$N$2007,"="&amp;N233)&gt;1,"Duplicate equipment ID",IF(B233="","Missing type",IF(COUNTIFS('Rules'!$G$7:$G$26,"="&amp;(SUBSTITUTE(SUBSTITUTE(SUBSTITUTE(SUBSTITUTE("type:"&amp;B233,"%","%25"),"~","%7E"),"*","%2A"),"?","%3F")))=0,"Unknown type",IF(COUNTIFS('Rules'!$G$7:$G$26,"="&amp;(SUBSTITUTE(SUBSTITUTE(SUBSTITUTE(SUBSTITUTE("type:"&amp;B233,"%","%25"),"~","%7E"),"*","%2A"),"?","%3F")))&gt;1,"Duplicate type",IF(INDEX('Rules'!$F$7:$F$26,MATCH(SUBSTITUTE(SUBSTITUTE(SUBSTITUTE(SUBSTITUTE("type:"&amp;B233,"%","%25"),"~","%7E"),"*","%2A"),"?","%3F"),'Rules'!$G$7:$G$26,0))&lt;&gt;"",INDEX('Rules'!$F$7:$F$26,MATCH(SUBSTITUTE(SUBSTITUTE(SUBSTITUTE(SUBSTITUTE("type:"&amp;B233,"%","%25"),"~","%7E"),"*","%2A"),"?","%3F"),'Rules'!$G$7:$G$26,0)),IF(AND(C233&lt;&gt;"",C233&lt;&gt;INDEX('Rules'!$B$7:$B$26,MATCH(SUBSTITUTE(SUBSTITUTE(SUBSTITUTE(SUBSTITUTE("type:"&amp;B233,"%","%25"),"~","%7E"),"*","%2A"),"?","%3F"),'Rules'!$G$7:$G$26,0))),"Unit mismatch",IF(IF(NOT(ISNUMBER(D233)),TRUE,OR(D233&lt;0,D233&gt;999999999,ROUND(D233,3)&lt;&gt;D233)),"Invalid current reading",IF(AND(E233&lt;&gt;"",IF(NOT(ISNUMBER(E233)),TRUE,OR(E233&lt;0,E233&gt;999999999,ROUND(E233,3)&lt;&gt;E233))),"Invalid previous reading",IF(IF(NOT(ISNUMBER(F233)),TRUE,OR(F233&lt;0,F233&gt;999999999,ROUND(F233,3)&lt;&gt;F233)),"Invalid last service",IF(AND(E233&lt;&gt;"",D233&lt;E233),"Decreased reading",IF(F233&gt;D233,"Last service above current","")))))))))))))</x:f>
      </x:c>
      <x:c r="L233" s="6" t="str">
        <x:f>IF(AND(NOT(COUNTA(A233:F233)=0),K233=""),INDEX('Rules'!$C$7:$C$26,MATCH(SUBSTITUTE(SUBSTITUTE(SUBSTITUTE(SUBSTITUTE("type:"&amp;B233,"%","%25"),"~","%7E"),"*","%2A"),"?","%3F"),'Rules'!$G$7:$G$26,0)),"")</x:f>
      </x:c>
      <x:c r="M233" s="6" t="str">
        <x:f>IF(AND(NOT(COUNTA(A233:F233)=0),K233=""),INDEX('Rules'!$D$7:$D$26,MATCH(SUBSTITUTE(SUBSTITUTE(SUBSTITUTE(SUBSTITUTE("type:"&amp;B233,"%","%25"),"~","%7E"),"*","%2A"),"?","%3F"),'Rules'!$G$7:$G$26,0)),"")</x:f>
      </x:c>
      <x:c r="N233" s="5" t="str">
        <x:f>IF(COUNTA(A233:F233)=0,"",SUBSTITUTE(SUBSTITUTE(SUBSTITUTE(SUBSTITUTE("id:"&amp;A233,"%","%25"),"~","%7E"),"*","%2A"),"?","%3F"))</x:f>
      </x:c>
    </x:row>
    <x:row r="234" ht="22" customHeight="1">
      <x:c r="A234" s="3"/>
      <x:c r="B234" s="3"/>
      <x:c r="C234" s="3"/>
      <x:c r="D234" s="4"/>
      <x:c r="E234" s="4"/>
      <x:c r="F234" s="4"/>
      <x:c r="G234" s="5" t="str">
        <x:f>IF(COUNTA(A234:F234)=0,"",IF(K234&lt;&gt;"","Review",IF(I234&lt;0,"Overdue",IF(I234=0,"Due now",IF(I234&lt;=M234,"Due soon","Not due")))))</x:f>
      </x:c>
      <x:c r="H234" s="5" t="str">
        <x:f>IF(OR(COUNTA(A234:F234)=0,COUNTIFS('Rules'!$G$7:$G$26,"="&amp;(SUBSTITUTE(SUBSTITUTE(SUBSTITUTE(SUBSTITUTE("type:"&amp;B234,"%","%25"),"~","%7E"),"*","%2A"),"?","%3F")))&lt;&gt;1),"",IF(OR(INDEX('Rules'!$B$7:$B$26,MATCH(SUBSTITUTE(SUBSTITUTE(SUBSTITUTE(SUBSTITUTE("type:"&amp;B234,"%","%25"),"~","%7E"),"*","%2A"),"?","%3F"),'Rules'!$G$7:$G$26,0))="hours",INDEX('Rules'!$B$7:$B$26,MATCH(SUBSTITUTE(SUBSTITUTE(SUBSTITUTE(SUBSTITUTE("type:"&amp;B234,"%","%25"),"~","%7E"),"*","%2A"),"?","%3F"),'Rules'!$G$7:$G$26,0))="km"),INDEX('Rules'!$B$7:$B$26,MATCH(SUBSTITUTE(SUBSTITUTE(SUBSTITUTE(SUBSTITUTE("type:"&amp;B234,"%","%25"),"~","%7E"),"*","%2A"),"?","%3F"),'Rules'!$G$7:$G$26,0)),""))</x:f>
      </x:c>
      <x:c r="I234" s="6" t="str">
        <x:f>IF(AND(NOT(COUNTA(A234:F234)=0),K234=""),ROUND(J234-D234,3),"")</x:f>
      </x:c>
      <x:c r="J234" s="6" t="str">
        <x:f>IF(AND(NOT(COUNTA(A234:F234)=0),K234=""),ROUND(F234+L234,3),"")</x:f>
      </x:c>
      <x:c r="K234" s="5" t="str">
        <x:f>IF(COUNTA(A234:F234)=0,"",IF(A234="","Missing equipment ID",IF(COUNTIFS($N$8:$N$2007,"="&amp;N234)&gt;1,"Duplicate equipment ID",IF(B234="","Missing type",IF(COUNTIFS('Rules'!$G$7:$G$26,"="&amp;(SUBSTITUTE(SUBSTITUTE(SUBSTITUTE(SUBSTITUTE("type:"&amp;B234,"%","%25"),"~","%7E"),"*","%2A"),"?","%3F")))=0,"Unknown type",IF(COUNTIFS('Rules'!$G$7:$G$26,"="&amp;(SUBSTITUTE(SUBSTITUTE(SUBSTITUTE(SUBSTITUTE("type:"&amp;B234,"%","%25"),"~","%7E"),"*","%2A"),"?","%3F")))&gt;1,"Duplicate type",IF(INDEX('Rules'!$F$7:$F$26,MATCH(SUBSTITUTE(SUBSTITUTE(SUBSTITUTE(SUBSTITUTE("type:"&amp;B234,"%","%25"),"~","%7E"),"*","%2A"),"?","%3F"),'Rules'!$G$7:$G$26,0))&lt;&gt;"",INDEX('Rules'!$F$7:$F$26,MATCH(SUBSTITUTE(SUBSTITUTE(SUBSTITUTE(SUBSTITUTE("type:"&amp;B234,"%","%25"),"~","%7E"),"*","%2A"),"?","%3F"),'Rules'!$G$7:$G$26,0)),IF(AND(C234&lt;&gt;"",C234&lt;&gt;INDEX('Rules'!$B$7:$B$26,MATCH(SUBSTITUTE(SUBSTITUTE(SUBSTITUTE(SUBSTITUTE("type:"&amp;B234,"%","%25"),"~","%7E"),"*","%2A"),"?","%3F"),'Rules'!$G$7:$G$26,0))),"Unit mismatch",IF(IF(NOT(ISNUMBER(D234)),TRUE,OR(D234&lt;0,D234&gt;999999999,ROUND(D234,3)&lt;&gt;D234)),"Invalid current reading",IF(AND(E234&lt;&gt;"",IF(NOT(ISNUMBER(E234)),TRUE,OR(E234&lt;0,E234&gt;999999999,ROUND(E234,3)&lt;&gt;E234))),"Invalid previous reading",IF(IF(NOT(ISNUMBER(F234)),TRUE,OR(F234&lt;0,F234&gt;999999999,ROUND(F234,3)&lt;&gt;F234)),"Invalid last service",IF(AND(E234&lt;&gt;"",D234&lt;E234),"Decreased reading",IF(F234&gt;D234,"Last service above current","")))))))))))))</x:f>
      </x:c>
      <x:c r="L234" s="6" t="str">
        <x:f>IF(AND(NOT(COUNTA(A234:F234)=0),K234=""),INDEX('Rules'!$C$7:$C$26,MATCH(SUBSTITUTE(SUBSTITUTE(SUBSTITUTE(SUBSTITUTE("type:"&amp;B234,"%","%25"),"~","%7E"),"*","%2A"),"?","%3F"),'Rules'!$G$7:$G$26,0)),"")</x:f>
      </x:c>
      <x:c r="M234" s="6" t="str">
        <x:f>IF(AND(NOT(COUNTA(A234:F234)=0),K234=""),INDEX('Rules'!$D$7:$D$26,MATCH(SUBSTITUTE(SUBSTITUTE(SUBSTITUTE(SUBSTITUTE("type:"&amp;B234,"%","%25"),"~","%7E"),"*","%2A"),"?","%3F"),'Rules'!$G$7:$G$26,0)),"")</x:f>
      </x:c>
      <x:c r="N234" s="5" t="str">
        <x:f>IF(COUNTA(A234:F234)=0,"",SUBSTITUTE(SUBSTITUTE(SUBSTITUTE(SUBSTITUTE("id:"&amp;A234,"%","%25"),"~","%7E"),"*","%2A"),"?","%3F"))</x:f>
      </x:c>
    </x:row>
    <x:row r="235" ht="22" customHeight="1">
      <x:c r="A235" s="3"/>
      <x:c r="B235" s="3"/>
      <x:c r="C235" s="3"/>
      <x:c r="D235" s="4"/>
      <x:c r="E235" s="4"/>
      <x:c r="F235" s="4"/>
      <x:c r="G235" s="5" t="str">
        <x:f>IF(COUNTA(A235:F235)=0,"",IF(K235&lt;&gt;"","Review",IF(I235&lt;0,"Overdue",IF(I235=0,"Due now",IF(I235&lt;=M235,"Due soon","Not due")))))</x:f>
      </x:c>
      <x:c r="H235" s="5" t="str">
        <x:f>IF(OR(COUNTA(A235:F235)=0,COUNTIFS('Rules'!$G$7:$G$26,"="&amp;(SUBSTITUTE(SUBSTITUTE(SUBSTITUTE(SUBSTITUTE("type:"&amp;B235,"%","%25"),"~","%7E"),"*","%2A"),"?","%3F")))&lt;&gt;1),"",IF(OR(INDEX('Rules'!$B$7:$B$26,MATCH(SUBSTITUTE(SUBSTITUTE(SUBSTITUTE(SUBSTITUTE("type:"&amp;B235,"%","%25"),"~","%7E"),"*","%2A"),"?","%3F"),'Rules'!$G$7:$G$26,0))="hours",INDEX('Rules'!$B$7:$B$26,MATCH(SUBSTITUTE(SUBSTITUTE(SUBSTITUTE(SUBSTITUTE("type:"&amp;B235,"%","%25"),"~","%7E"),"*","%2A"),"?","%3F"),'Rules'!$G$7:$G$26,0))="km"),INDEX('Rules'!$B$7:$B$26,MATCH(SUBSTITUTE(SUBSTITUTE(SUBSTITUTE(SUBSTITUTE("type:"&amp;B235,"%","%25"),"~","%7E"),"*","%2A"),"?","%3F"),'Rules'!$G$7:$G$26,0)),""))</x:f>
      </x:c>
      <x:c r="I235" s="6" t="str">
        <x:f>IF(AND(NOT(COUNTA(A235:F235)=0),K235=""),ROUND(J235-D235,3),"")</x:f>
      </x:c>
      <x:c r="J235" s="6" t="str">
        <x:f>IF(AND(NOT(COUNTA(A235:F235)=0),K235=""),ROUND(F235+L235,3),"")</x:f>
      </x:c>
      <x:c r="K235" s="5" t="str">
        <x:f>IF(COUNTA(A235:F235)=0,"",IF(A235="","Missing equipment ID",IF(COUNTIFS($N$8:$N$2007,"="&amp;N235)&gt;1,"Duplicate equipment ID",IF(B235="","Missing type",IF(COUNTIFS('Rules'!$G$7:$G$26,"="&amp;(SUBSTITUTE(SUBSTITUTE(SUBSTITUTE(SUBSTITUTE("type:"&amp;B235,"%","%25"),"~","%7E"),"*","%2A"),"?","%3F")))=0,"Unknown type",IF(COUNTIFS('Rules'!$G$7:$G$26,"="&amp;(SUBSTITUTE(SUBSTITUTE(SUBSTITUTE(SUBSTITUTE("type:"&amp;B235,"%","%25"),"~","%7E"),"*","%2A"),"?","%3F")))&gt;1,"Duplicate type",IF(INDEX('Rules'!$F$7:$F$26,MATCH(SUBSTITUTE(SUBSTITUTE(SUBSTITUTE(SUBSTITUTE("type:"&amp;B235,"%","%25"),"~","%7E"),"*","%2A"),"?","%3F"),'Rules'!$G$7:$G$26,0))&lt;&gt;"",INDEX('Rules'!$F$7:$F$26,MATCH(SUBSTITUTE(SUBSTITUTE(SUBSTITUTE(SUBSTITUTE("type:"&amp;B235,"%","%25"),"~","%7E"),"*","%2A"),"?","%3F"),'Rules'!$G$7:$G$26,0)),IF(AND(C235&lt;&gt;"",C235&lt;&gt;INDEX('Rules'!$B$7:$B$26,MATCH(SUBSTITUTE(SUBSTITUTE(SUBSTITUTE(SUBSTITUTE("type:"&amp;B235,"%","%25"),"~","%7E"),"*","%2A"),"?","%3F"),'Rules'!$G$7:$G$26,0))),"Unit mismatch",IF(IF(NOT(ISNUMBER(D235)),TRUE,OR(D235&lt;0,D235&gt;999999999,ROUND(D235,3)&lt;&gt;D235)),"Invalid current reading",IF(AND(E235&lt;&gt;"",IF(NOT(ISNUMBER(E235)),TRUE,OR(E235&lt;0,E235&gt;999999999,ROUND(E235,3)&lt;&gt;E235))),"Invalid previous reading",IF(IF(NOT(ISNUMBER(F235)),TRUE,OR(F235&lt;0,F235&gt;999999999,ROUND(F235,3)&lt;&gt;F235)),"Invalid last service",IF(AND(E235&lt;&gt;"",D235&lt;E235),"Decreased reading",IF(F235&gt;D235,"Last service above current","")))))))))))))</x:f>
      </x:c>
      <x:c r="L235" s="6" t="str">
        <x:f>IF(AND(NOT(COUNTA(A235:F235)=0),K235=""),INDEX('Rules'!$C$7:$C$26,MATCH(SUBSTITUTE(SUBSTITUTE(SUBSTITUTE(SUBSTITUTE("type:"&amp;B235,"%","%25"),"~","%7E"),"*","%2A"),"?","%3F"),'Rules'!$G$7:$G$26,0)),"")</x:f>
      </x:c>
      <x:c r="M235" s="6" t="str">
        <x:f>IF(AND(NOT(COUNTA(A235:F235)=0),K235=""),INDEX('Rules'!$D$7:$D$26,MATCH(SUBSTITUTE(SUBSTITUTE(SUBSTITUTE(SUBSTITUTE("type:"&amp;B235,"%","%25"),"~","%7E"),"*","%2A"),"?","%3F"),'Rules'!$G$7:$G$26,0)),"")</x:f>
      </x:c>
      <x:c r="N235" s="5" t="str">
        <x:f>IF(COUNTA(A235:F235)=0,"",SUBSTITUTE(SUBSTITUTE(SUBSTITUTE(SUBSTITUTE("id:"&amp;A235,"%","%25"),"~","%7E"),"*","%2A"),"?","%3F"))</x:f>
      </x:c>
    </x:row>
    <x:row r="236" ht="22" customHeight="1">
      <x:c r="A236" s="3"/>
      <x:c r="B236" s="3"/>
      <x:c r="C236" s="3"/>
      <x:c r="D236" s="4"/>
      <x:c r="E236" s="4"/>
      <x:c r="F236" s="4"/>
      <x:c r="G236" s="5" t="str">
        <x:f>IF(COUNTA(A236:F236)=0,"",IF(K236&lt;&gt;"","Review",IF(I236&lt;0,"Overdue",IF(I236=0,"Due now",IF(I236&lt;=M236,"Due soon","Not due")))))</x:f>
      </x:c>
      <x:c r="H236" s="5" t="str">
        <x:f>IF(OR(COUNTA(A236:F236)=0,COUNTIFS('Rules'!$G$7:$G$26,"="&amp;(SUBSTITUTE(SUBSTITUTE(SUBSTITUTE(SUBSTITUTE("type:"&amp;B236,"%","%25"),"~","%7E"),"*","%2A"),"?","%3F")))&lt;&gt;1),"",IF(OR(INDEX('Rules'!$B$7:$B$26,MATCH(SUBSTITUTE(SUBSTITUTE(SUBSTITUTE(SUBSTITUTE("type:"&amp;B236,"%","%25"),"~","%7E"),"*","%2A"),"?","%3F"),'Rules'!$G$7:$G$26,0))="hours",INDEX('Rules'!$B$7:$B$26,MATCH(SUBSTITUTE(SUBSTITUTE(SUBSTITUTE(SUBSTITUTE("type:"&amp;B236,"%","%25"),"~","%7E"),"*","%2A"),"?","%3F"),'Rules'!$G$7:$G$26,0))="km"),INDEX('Rules'!$B$7:$B$26,MATCH(SUBSTITUTE(SUBSTITUTE(SUBSTITUTE(SUBSTITUTE("type:"&amp;B236,"%","%25"),"~","%7E"),"*","%2A"),"?","%3F"),'Rules'!$G$7:$G$26,0)),""))</x:f>
      </x:c>
      <x:c r="I236" s="6" t="str">
        <x:f>IF(AND(NOT(COUNTA(A236:F236)=0),K236=""),ROUND(J236-D236,3),"")</x:f>
      </x:c>
      <x:c r="J236" s="6" t="str">
        <x:f>IF(AND(NOT(COUNTA(A236:F236)=0),K236=""),ROUND(F236+L236,3),"")</x:f>
      </x:c>
      <x:c r="K236" s="5" t="str">
        <x:f>IF(COUNTA(A236:F236)=0,"",IF(A236="","Missing equipment ID",IF(COUNTIFS($N$8:$N$2007,"="&amp;N236)&gt;1,"Duplicate equipment ID",IF(B236="","Missing type",IF(COUNTIFS('Rules'!$G$7:$G$26,"="&amp;(SUBSTITUTE(SUBSTITUTE(SUBSTITUTE(SUBSTITUTE("type:"&amp;B236,"%","%25"),"~","%7E"),"*","%2A"),"?","%3F")))=0,"Unknown type",IF(COUNTIFS('Rules'!$G$7:$G$26,"="&amp;(SUBSTITUTE(SUBSTITUTE(SUBSTITUTE(SUBSTITUTE("type:"&amp;B236,"%","%25"),"~","%7E"),"*","%2A"),"?","%3F")))&gt;1,"Duplicate type",IF(INDEX('Rules'!$F$7:$F$26,MATCH(SUBSTITUTE(SUBSTITUTE(SUBSTITUTE(SUBSTITUTE("type:"&amp;B236,"%","%25"),"~","%7E"),"*","%2A"),"?","%3F"),'Rules'!$G$7:$G$26,0))&lt;&gt;"",INDEX('Rules'!$F$7:$F$26,MATCH(SUBSTITUTE(SUBSTITUTE(SUBSTITUTE(SUBSTITUTE("type:"&amp;B236,"%","%25"),"~","%7E"),"*","%2A"),"?","%3F"),'Rules'!$G$7:$G$26,0)),IF(AND(C236&lt;&gt;"",C236&lt;&gt;INDEX('Rules'!$B$7:$B$26,MATCH(SUBSTITUTE(SUBSTITUTE(SUBSTITUTE(SUBSTITUTE("type:"&amp;B236,"%","%25"),"~","%7E"),"*","%2A"),"?","%3F"),'Rules'!$G$7:$G$26,0))),"Unit mismatch",IF(IF(NOT(ISNUMBER(D236)),TRUE,OR(D236&lt;0,D236&gt;999999999,ROUND(D236,3)&lt;&gt;D236)),"Invalid current reading",IF(AND(E236&lt;&gt;"",IF(NOT(ISNUMBER(E236)),TRUE,OR(E236&lt;0,E236&gt;999999999,ROUND(E236,3)&lt;&gt;E236))),"Invalid previous reading",IF(IF(NOT(ISNUMBER(F236)),TRUE,OR(F236&lt;0,F236&gt;999999999,ROUND(F236,3)&lt;&gt;F236)),"Invalid last service",IF(AND(E236&lt;&gt;"",D236&lt;E236),"Decreased reading",IF(F236&gt;D236,"Last service above current","")))))))))))))</x:f>
      </x:c>
      <x:c r="L236" s="6" t="str">
        <x:f>IF(AND(NOT(COUNTA(A236:F236)=0),K236=""),INDEX('Rules'!$C$7:$C$26,MATCH(SUBSTITUTE(SUBSTITUTE(SUBSTITUTE(SUBSTITUTE("type:"&amp;B236,"%","%25"),"~","%7E"),"*","%2A"),"?","%3F"),'Rules'!$G$7:$G$26,0)),"")</x:f>
      </x:c>
      <x:c r="M236" s="6" t="str">
        <x:f>IF(AND(NOT(COUNTA(A236:F236)=0),K236=""),INDEX('Rules'!$D$7:$D$26,MATCH(SUBSTITUTE(SUBSTITUTE(SUBSTITUTE(SUBSTITUTE("type:"&amp;B236,"%","%25"),"~","%7E"),"*","%2A"),"?","%3F"),'Rules'!$G$7:$G$26,0)),"")</x:f>
      </x:c>
      <x:c r="N236" s="5" t="str">
        <x:f>IF(COUNTA(A236:F236)=0,"",SUBSTITUTE(SUBSTITUTE(SUBSTITUTE(SUBSTITUTE("id:"&amp;A236,"%","%25"),"~","%7E"),"*","%2A"),"?","%3F"))</x:f>
      </x:c>
    </x:row>
    <x:row r="237" ht="22" customHeight="1">
      <x:c r="A237" s="3"/>
      <x:c r="B237" s="3"/>
      <x:c r="C237" s="3"/>
      <x:c r="D237" s="4"/>
      <x:c r="E237" s="4"/>
      <x:c r="F237" s="4"/>
      <x:c r="G237" s="5" t="str">
        <x:f>IF(COUNTA(A237:F237)=0,"",IF(K237&lt;&gt;"","Review",IF(I237&lt;0,"Overdue",IF(I237=0,"Due now",IF(I237&lt;=M237,"Due soon","Not due")))))</x:f>
      </x:c>
      <x:c r="H237" s="5" t="str">
        <x:f>IF(OR(COUNTA(A237:F237)=0,COUNTIFS('Rules'!$G$7:$G$26,"="&amp;(SUBSTITUTE(SUBSTITUTE(SUBSTITUTE(SUBSTITUTE("type:"&amp;B237,"%","%25"),"~","%7E"),"*","%2A"),"?","%3F")))&lt;&gt;1),"",IF(OR(INDEX('Rules'!$B$7:$B$26,MATCH(SUBSTITUTE(SUBSTITUTE(SUBSTITUTE(SUBSTITUTE("type:"&amp;B237,"%","%25"),"~","%7E"),"*","%2A"),"?","%3F"),'Rules'!$G$7:$G$26,0))="hours",INDEX('Rules'!$B$7:$B$26,MATCH(SUBSTITUTE(SUBSTITUTE(SUBSTITUTE(SUBSTITUTE("type:"&amp;B237,"%","%25"),"~","%7E"),"*","%2A"),"?","%3F"),'Rules'!$G$7:$G$26,0))="km"),INDEX('Rules'!$B$7:$B$26,MATCH(SUBSTITUTE(SUBSTITUTE(SUBSTITUTE(SUBSTITUTE("type:"&amp;B237,"%","%25"),"~","%7E"),"*","%2A"),"?","%3F"),'Rules'!$G$7:$G$26,0)),""))</x:f>
      </x:c>
      <x:c r="I237" s="6" t="str">
        <x:f>IF(AND(NOT(COUNTA(A237:F237)=0),K237=""),ROUND(J237-D237,3),"")</x:f>
      </x:c>
      <x:c r="J237" s="6" t="str">
        <x:f>IF(AND(NOT(COUNTA(A237:F237)=0),K237=""),ROUND(F237+L237,3),"")</x:f>
      </x:c>
      <x:c r="K237" s="5" t="str">
        <x:f>IF(COUNTA(A237:F237)=0,"",IF(A237="","Missing equipment ID",IF(COUNTIFS($N$8:$N$2007,"="&amp;N237)&gt;1,"Duplicate equipment ID",IF(B237="","Missing type",IF(COUNTIFS('Rules'!$G$7:$G$26,"="&amp;(SUBSTITUTE(SUBSTITUTE(SUBSTITUTE(SUBSTITUTE("type:"&amp;B237,"%","%25"),"~","%7E"),"*","%2A"),"?","%3F")))=0,"Unknown type",IF(COUNTIFS('Rules'!$G$7:$G$26,"="&amp;(SUBSTITUTE(SUBSTITUTE(SUBSTITUTE(SUBSTITUTE("type:"&amp;B237,"%","%25"),"~","%7E"),"*","%2A"),"?","%3F")))&gt;1,"Duplicate type",IF(INDEX('Rules'!$F$7:$F$26,MATCH(SUBSTITUTE(SUBSTITUTE(SUBSTITUTE(SUBSTITUTE("type:"&amp;B237,"%","%25"),"~","%7E"),"*","%2A"),"?","%3F"),'Rules'!$G$7:$G$26,0))&lt;&gt;"",INDEX('Rules'!$F$7:$F$26,MATCH(SUBSTITUTE(SUBSTITUTE(SUBSTITUTE(SUBSTITUTE("type:"&amp;B237,"%","%25"),"~","%7E"),"*","%2A"),"?","%3F"),'Rules'!$G$7:$G$26,0)),IF(AND(C237&lt;&gt;"",C237&lt;&gt;INDEX('Rules'!$B$7:$B$26,MATCH(SUBSTITUTE(SUBSTITUTE(SUBSTITUTE(SUBSTITUTE("type:"&amp;B237,"%","%25"),"~","%7E"),"*","%2A"),"?","%3F"),'Rules'!$G$7:$G$26,0))),"Unit mismatch",IF(IF(NOT(ISNUMBER(D237)),TRUE,OR(D237&lt;0,D237&gt;999999999,ROUND(D237,3)&lt;&gt;D237)),"Invalid current reading",IF(AND(E237&lt;&gt;"",IF(NOT(ISNUMBER(E237)),TRUE,OR(E237&lt;0,E237&gt;999999999,ROUND(E237,3)&lt;&gt;E237))),"Invalid previous reading",IF(IF(NOT(ISNUMBER(F237)),TRUE,OR(F237&lt;0,F237&gt;999999999,ROUND(F237,3)&lt;&gt;F237)),"Invalid last service",IF(AND(E237&lt;&gt;"",D237&lt;E237),"Decreased reading",IF(F237&gt;D237,"Last service above current","")))))))))))))</x:f>
      </x:c>
      <x:c r="L237" s="6" t="str">
        <x:f>IF(AND(NOT(COUNTA(A237:F237)=0),K237=""),INDEX('Rules'!$C$7:$C$26,MATCH(SUBSTITUTE(SUBSTITUTE(SUBSTITUTE(SUBSTITUTE("type:"&amp;B237,"%","%25"),"~","%7E"),"*","%2A"),"?","%3F"),'Rules'!$G$7:$G$26,0)),"")</x:f>
      </x:c>
      <x:c r="M237" s="6" t="str">
        <x:f>IF(AND(NOT(COUNTA(A237:F237)=0),K237=""),INDEX('Rules'!$D$7:$D$26,MATCH(SUBSTITUTE(SUBSTITUTE(SUBSTITUTE(SUBSTITUTE("type:"&amp;B237,"%","%25"),"~","%7E"),"*","%2A"),"?","%3F"),'Rules'!$G$7:$G$26,0)),"")</x:f>
      </x:c>
      <x:c r="N237" s="5" t="str">
        <x:f>IF(COUNTA(A237:F237)=0,"",SUBSTITUTE(SUBSTITUTE(SUBSTITUTE(SUBSTITUTE("id:"&amp;A237,"%","%25"),"~","%7E"),"*","%2A"),"?","%3F"))</x:f>
      </x:c>
    </x:row>
    <x:row r="238" ht="22" customHeight="1">
      <x:c r="A238" s="3"/>
      <x:c r="B238" s="3"/>
      <x:c r="C238" s="3"/>
      <x:c r="D238" s="4"/>
      <x:c r="E238" s="4"/>
      <x:c r="F238" s="4"/>
      <x:c r="G238" s="5" t="str">
        <x:f>IF(COUNTA(A238:F238)=0,"",IF(K238&lt;&gt;"","Review",IF(I238&lt;0,"Overdue",IF(I238=0,"Due now",IF(I238&lt;=M238,"Due soon","Not due")))))</x:f>
      </x:c>
      <x:c r="H238" s="5" t="str">
        <x:f>IF(OR(COUNTA(A238:F238)=0,COUNTIFS('Rules'!$G$7:$G$26,"="&amp;(SUBSTITUTE(SUBSTITUTE(SUBSTITUTE(SUBSTITUTE("type:"&amp;B238,"%","%25"),"~","%7E"),"*","%2A"),"?","%3F")))&lt;&gt;1),"",IF(OR(INDEX('Rules'!$B$7:$B$26,MATCH(SUBSTITUTE(SUBSTITUTE(SUBSTITUTE(SUBSTITUTE("type:"&amp;B238,"%","%25"),"~","%7E"),"*","%2A"),"?","%3F"),'Rules'!$G$7:$G$26,0))="hours",INDEX('Rules'!$B$7:$B$26,MATCH(SUBSTITUTE(SUBSTITUTE(SUBSTITUTE(SUBSTITUTE("type:"&amp;B238,"%","%25"),"~","%7E"),"*","%2A"),"?","%3F"),'Rules'!$G$7:$G$26,0))="km"),INDEX('Rules'!$B$7:$B$26,MATCH(SUBSTITUTE(SUBSTITUTE(SUBSTITUTE(SUBSTITUTE("type:"&amp;B238,"%","%25"),"~","%7E"),"*","%2A"),"?","%3F"),'Rules'!$G$7:$G$26,0)),""))</x:f>
      </x:c>
      <x:c r="I238" s="6" t="str">
        <x:f>IF(AND(NOT(COUNTA(A238:F238)=0),K238=""),ROUND(J238-D238,3),"")</x:f>
      </x:c>
      <x:c r="J238" s="6" t="str">
        <x:f>IF(AND(NOT(COUNTA(A238:F238)=0),K238=""),ROUND(F238+L238,3),"")</x:f>
      </x:c>
      <x:c r="K238" s="5" t="str">
        <x:f>IF(COUNTA(A238:F238)=0,"",IF(A238="","Missing equipment ID",IF(COUNTIFS($N$8:$N$2007,"="&amp;N238)&gt;1,"Duplicate equipment ID",IF(B238="","Missing type",IF(COUNTIFS('Rules'!$G$7:$G$26,"="&amp;(SUBSTITUTE(SUBSTITUTE(SUBSTITUTE(SUBSTITUTE("type:"&amp;B238,"%","%25"),"~","%7E"),"*","%2A"),"?","%3F")))=0,"Unknown type",IF(COUNTIFS('Rules'!$G$7:$G$26,"="&amp;(SUBSTITUTE(SUBSTITUTE(SUBSTITUTE(SUBSTITUTE("type:"&amp;B238,"%","%25"),"~","%7E"),"*","%2A"),"?","%3F")))&gt;1,"Duplicate type",IF(INDEX('Rules'!$F$7:$F$26,MATCH(SUBSTITUTE(SUBSTITUTE(SUBSTITUTE(SUBSTITUTE("type:"&amp;B238,"%","%25"),"~","%7E"),"*","%2A"),"?","%3F"),'Rules'!$G$7:$G$26,0))&lt;&gt;"",INDEX('Rules'!$F$7:$F$26,MATCH(SUBSTITUTE(SUBSTITUTE(SUBSTITUTE(SUBSTITUTE("type:"&amp;B238,"%","%25"),"~","%7E"),"*","%2A"),"?","%3F"),'Rules'!$G$7:$G$26,0)),IF(AND(C238&lt;&gt;"",C238&lt;&gt;INDEX('Rules'!$B$7:$B$26,MATCH(SUBSTITUTE(SUBSTITUTE(SUBSTITUTE(SUBSTITUTE("type:"&amp;B238,"%","%25"),"~","%7E"),"*","%2A"),"?","%3F"),'Rules'!$G$7:$G$26,0))),"Unit mismatch",IF(IF(NOT(ISNUMBER(D238)),TRUE,OR(D238&lt;0,D238&gt;999999999,ROUND(D238,3)&lt;&gt;D238)),"Invalid current reading",IF(AND(E238&lt;&gt;"",IF(NOT(ISNUMBER(E238)),TRUE,OR(E238&lt;0,E238&gt;999999999,ROUND(E238,3)&lt;&gt;E238))),"Invalid previous reading",IF(IF(NOT(ISNUMBER(F238)),TRUE,OR(F238&lt;0,F238&gt;999999999,ROUND(F238,3)&lt;&gt;F238)),"Invalid last service",IF(AND(E238&lt;&gt;"",D238&lt;E238),"Decreased reading",IF(F238&gt;D238,"Last service above current","")))))))))))))</x:f>
      </x:c>
      <x:c r="L238" s="6" t="str">
        <x:f>IF(AND(NOT(COUNTA(A238:F238)=0),K238=""),INDEX('Rules'!$C$7:$C$26,MATCH(SUBSTITUTE(SUBSTITUTE(SUBSTITUTE(SUBSTITUTE("type:"&amp;B238,"%","%25"),"~","%7E"),"*","%2A"),"?","%3F"),'Rules'!$G$7:$G$26,0)),"")</x:f>
      </x:c>
      <x:c r="M238" s="6" t="str">
        <x:f>IF(AND(NOT(COUNTA(A238:F238)=0),K238=""),INDEX('Rules'!$D$7:$D$26,MATCH(SUBSTITUTE(SUBSTITUTE(SUBSTITUTE(SUBSTITUTE("type:"&amp;B238,"%","%25"),"~","%7E"),"*","%2A"),"?","%3F"),'Rules'!$G$7:$G$26,0)),"")</x:f>
      </x:c>
      <x:c r="N238" s="5" t="str">
        <x:f>IF(COUNTA(A238:F238)=0,"",SUBSTITUTE(SUBSTITUTE(SUBSTITUTE(SUBSTITUTE("id:"&amp;A238,"%","%25"),"~","%7E"),"*","%2A"),"?","%3F"))</x:f>
      </x:c>
    </x:row>
    <x:row r="239" ht="22" customHeight="1">
      <x:c r="A239" s="3"/>
      <x:c r="B239" s="3"/>
      <x:c r="C239" s="3"/>
      <x:c r="D239" s="4"/>
      <x:c r="E239" s="4"/>
      <x:c r="F239" s="4"/>
      <x:c r="G239" s="5" t="str">
        <x:f>IF(COUNTA(A239:F239)=0,"",IF(K239&lt;&gt;"","Review",IF(I239&lt;0,"Overdue",IF(I239=0,"Due now",IF(I239&lt;=M239,"Due soon","Not due")))))</x:f>
      </x:c>
      <x:c r="H239" s="5" t="str">
        <x:f>IF(OR(COUNTA(A239:F239)=0,COUNTIFS('Rules'!$G$7:$G$26,"="&amp;(SUBSTITUTE(SUBSTITUTE(SUBSTITUTE(SUBSTITUTE("type:"&amp;B239,"%","%25"),"~","%7E"),"*","%2A"),"?","%3F")))&lt;&gt;1),"",IF(OR(INDEX('Rules'!$B$7:$B$26,MATCH(SUBSTITUTE(SUBSTITUTE(SUBSTITUTE(SUBSTITUTE("type:"&amp;B239,"%","%25"),"~","%7E"),"*","%2A"),"?","%3F"),'Rules'!$G$7:$G$26,0))="hours",INDEX('Rules'!$B$7:$B$26,MATCH(SUBSTITUTE(SUBSTITUTE(SUBSTITUTE(SUBSTITUTE("type:"&amp;B239,"%","%25"),"~","%7E"),"*","%2A"),"?","%3F"),'Rules'!$G$7:$G$26,0))="km"),INDEX('Rules'!$B$7:$B$26,MATCH(SUBSTITUTE(SUBSTITUTE(SUBSTITUTE(SUBSTITUTE("type:"&amp;B239,"%","%25"),"~","%7E"),"*","%2A"),"?","%3F"),'Rules'!$G$7:$G$26,0)),""))</x:f>
      </x:c>
      <x:c r="I239" s="6" t="str">
        <x:f>IF(AND(NOT(COUNTA(A239:F239)=0),K239=""),ROUND(J239-D239,3),"")</x:f>
      </x:c>
      <x:c r="J239" s="6" t="str">
        <x:f>IF(AND(NOT(COUNTA(A239:F239)=0),K239=""),ROUND(F239+L239,3),"")</x:f>
      </x:c>
      <x:c r="K239" s="5" t="str">
        <x:f>IF(COUNTA(A239:F239)=0,"",IF(A239="","Missing equipment ID",IF(COUNTIFS($N$8:$N$2007,"="&amp;N239)&gt;1,"Duplicate equipment ID",IF(B239="","Missing type",IF(COUNTIFS('Rules'!$G$7:$G$26,"="&amp;(SUBSTITUTE(SUBSTITUTE(SUBSTITUTE(SUBSTITUTE("type:"&amp;B239,"%","%25"),"~","%7E"),"*","%2A"),"?","%3F")))=0,"Unknown type",IF(COUNTIFS('Rules'!$G$7:$G$26,"="&amp;(SUBSTITUTE(SUBSTITUTE(SUBSTITUTE(SUBSTITUTE("type:"&amp;B239,"%","%25"),"~","%7E"),"*","%2A"),"?","%3F")))&gt;1,"Duplicate type",IF(INDEX('Rules'!$F$7:$F$26,MATCH(SUBSTITUTE(SUBSTITUTE(SUBSTITUTE(SUBSTITUTE("type:"&amp;B239,"%","%25"),"~","%7E"),"*","%2A"),"?","%3F"),'Rules'!$G$7:$G$26,0))&lt;&gt;"",INDEX('Rules'!$F$7:$F$26,MATCH(SUBSTITUTE(SUBSTITUTE(SUBSTITUTE(SUBSTITUTE("type:"&amp;B239,"%","%25"),"~","%7E"),"*","%2A"),"?","%3F"),'Rules'!$G$7:$G$26,0)),IF(AND(C239&lt;&gt;"",C239&lt;&gt;INDEX('Rules'!$B$7:$B$26,MATCH(SUBSTITUTE(SUBSTITUTE(SUBSTITUTE(SUBSTITUTE("type:"&amp;B239,"%","%25"),"~","%7E"),"*","%2A"),"?","%3F"),'Rules'!$G$7:$G$26,0))),"Unit mismatch",IF(IF(NOT(ISNUMBER(D239)),TRUE,OR(D239&lt;0,D239&gt;999999999,ROUND(D239,3)&lt;&gt;D239)),"Invalid current reading",IF(AND(E239&lt;&gt;"",IF(NOT(ISNUMBER(E239)),TRUE,OR(E239&lt;0,E239&gt;999999999,ROUND(E239,3)&lt;&gt;E239))),"Invalid previous reading",IF(IF(NOT(ISNUMBER(F239)),TRUE,OR(F239&lt;0,F239&gt;999999999,ROUND(F239,3)&lt;&gt;F239)),"Invalid last service",IF(AND(E239&lt;&gt;"",D239&lt;E239),"Decreased reading",IF(F239&gt;D239,"Last service above current","")))))))))))))</x:f>
      </x:c>
      <x:c r="L239" s="6" t="str">
        <x:f>IF(AND(NOT(COUNTA(A239:F239)=0),K239=""),INDEX('Rules'!$C$7:$C$26,MATCH(SUBSTITUTE(SUBSTITUTE(SUBSTITUTE(SUBSTITUTE("type:"&amp;B239,"%","%25"),"~","%7E"),"*","%2A"),"?","%3F"),'Rules'!$G$7:$G$26,0)),"")</x:f>
      </x:c>
      <x:c r="M239" s="6" t="str">
        <x:f>IF(AND(NOT(COUNTA(A239:F239)=0),K239=""),INDEX('Rules'!$D$7:$D$26,MATCH(SUBSTITUTE(SUBSTITUTE(SUBSTITUTE(SUBSTITUTE("type:"&amp;B239,"%","%25"),"~","%7E"),"*","%2A"),"?","%3F"),'Rules'!$G$7:$G$26,0)),"")</x:f>
      </x:c>
      <x:c r="N239" s="5" t="str">
        <x:f>IF(COUNTA(A239:F239)=0,"",SUBSTITUTE(SUBSTITUTE(SUBSTITUTE(SUBSTITUTE("id:"&amp;A239,"%","%25"),"~","%7E"),"*","%2A"),"?","%3F"))</x:f>
      </x:c>
    </x:row>
    <x:row r="240" ht="22" customHeight="1">
      <x:c r="A240" s="3"/>
      <x:c r="B240" s="3"/>
      <x:c r="C240" s="3"/>
      <x:c r="D240" s="4"/>
      <x:c r="E240" s="4"/>
      <x:c r="F240" s="4"/>
      <x:c r="G240" s="5" t="str">
        <x:f>IF(COUNTA(A240:F240)=0,"",IF(K240&lt;&gt;"","Review",IF(I240&lt;0,"Overdue",IF(I240=0,"Due now",IF(I240&lt;=M240,"Due soon","Not due")))))</x:f>
      </x:c>
      <x:c r="H240" s="5" t="str">
        <x:f>IF(OR(COUNTA(A240:F240)=0,COUNTIFS('Rules'!$G$7:$G$26,"="&amp;(SUBSTITUTE(SUBSTITUTE(SUBSTITUTE(SUBSTITUTE("type:"&amp;B240,"%","%25"),"~","%7E"),"*","%2A"),"?","%3F")))&lt;&gt;1),"",IF(OR(INDEX('Rules'!$B$7:$B$26,MATCH(SUBSTITUTE(SUBSTITUTE(SUBSTITUTE(SUBSTITUTE("type:"&amp;B240,"%","%25"),"~","%7E"),"*","%2A"),"?","%3F"),'Rules'!$G$7:$G$26,0))="hours",INDEX('Rules'!$B$7:$B$26,MATCH(SUBSTITUTE(SUBSTITUTE(SUBSTITUTE(SUBSTITUTE("type:"&amp;B240,"%","%25"),"~","%7E"),"*","%2A"),"?","%3F"),'Rules'!$G$7:$G$26,0))="km"),INDEX('Rules'!$B$7:$B$26,MATCH(SUBSTITUTE(SUBSTITUTE(SUBSTITUTE(SUBSTITUTE("type:"&amp;B240,"%","%25"),"~","%7E"),"*","%2A"),"?","%3F"),'Rules'!$G$7:$G$26,0)),""))</x:f>
      </x:c>
      <x:c r="I240" s="6" t="str">
        <x:f>IF(AND(NOT(COUNTA(A240:F240)=0),K240=""),ROUND(J240-D240,3),"")</x:f>
      </x:c>
      <x:c r="J240" s="6" t="str">
        <x:f>IF(AND(NOT(COUNTA(A240:F240)=0),K240=""),ROUND(F240+L240,3),"")</x:f>
      </x:c>
      <x:c r="K240" s="5" t="str">
        <x:f>IF(COUNTA(A240:F240)=0,"",IF(A240="","Missing equipment ID",IF(COUNTIFS($N$8:$N$2007,"="&amp;N240)&gt;1,"Duplicate equipment ID",IF(B240="","Missing type",IF(COUNTIFS('Rules'!$G$7:$G$26,"="&amp;(SUBSTITUTE(SUBSTITUTE(SUBSTITUTE(SUBSTITUTE("type:"&amp;B240,"%","%25"),"~","%7E"),"*","%2A"),"?","%3F")))=0,"Unknown type",IF(COUNTIFS('Rules'!$G$7:$G$26,"="&amp;(SUBSTITUTE(SUBSTITUTE(SUBSTITUTE(SUBSTITUTE("type:"&amp;B240,"%","%25"),"~","%7E"),"*","%2A"),"?","%3F")))&gt;1,"Duplicate type",IF(INDEX('Rules'!$F$7:$F$26,MATCH(SUBSTITUTE(SUBSTITUTE(SUBSTITUTE(SUBSTITUTE("type:"&amp;B240,"%","%25"),"~","%7E"),"*","%2A"),"?","%3F"),'Rules'!$G$7:$G$26,0))&lt;&gt;"",INDEX('Rules'!$F$7:$F$26,MATCH(SUBSTITUTE(SUBSTITUTE(SUBSTITUTE(SUBSTITUTE("type:"&amp;B240,"%","%25"),"~","%7E"),"*","%2A"),"?","%3F"),'Rules'!$G$7:$G$26,0)),IF(AND(C240&lt;&gt;"",C240&lt;&gt;INDEX('Rules'!$B$7:$B$26,MATCH(SUBSTITUTE(SUBSTITUTE(SUBSTITUTE(SUBSTITUTE("type:"&amp;B240,"%","%25"),"~","%7E"),"*","%2A"),"?","%3F"),'Rules'!$G$7:$G$26,0))),"Unit mismatch",IF(IF(NOT(ISNUMBER(D240)),TRUE,OR(D240&lt;0,D240&gt;999999999,ROUND(D240,3)&lt;&gt;D240)),"Invalid current reading",IF(AND(E240&lt;&gt;"",IF(NOT(ISNUMBER(E240)),TRUE,OR(E240&lt;0,E240&gt;999999999,ROUND(E240,3)&lt;&gt;E240))),"Invalid previous reading",IF(IF(NOT(ISNUMBER(F240)),TRUE,OR(F240&lt;0,F240&gt;999999999,ROUND(F240,3)&lt;&gt;F240)),"Invalid last service",IF(AND(E240&lt;&gt;"",D240&lt;E240),"Decreased reading",IF(F240&gt;D240,"Last service above current","")))))))))))))</x:f>
      </x:c>
      <x:c r="L240" s="6" t="str">
        <x:f>IF(AND(NOT(COUNTA(A240:F240)=0),K240=""),INDEX('Rules'!$C$7:$C$26,MATCH(SUBSTITUTE(SUBSTITUTE(SUBSTITUTE(SUBSTITUTE("type:"&amp;B240,"%","%25"),"~","%7E"),"*","%2A"),"?","%3F"),'Rules'!$G$7:$G$26,0)),"")</x:f>
      </x:c>
      <x:c r="M240" s="6" t="str">
        <x:f>IF(AND(NOT(COUNTA(A240:F240)=0),K240=""),INDEX('Rules'!$D$7:$D$26,MATCH(SUBSTITUTE(SUBSTITUTE(SUBSTITUTE(SUBSTITUTE("type:"&amp;B240,"%","%25"),"~","%7E"),"*","%2A"),"?","%3F"),'Rules'!$G$7:$G$26,0)),"")</x:f>
      </x:c>
      <x:c r="N240" s="5" t="str">
        <x:f>IF(COUNTA(A240:F240)=0,"",SUBSTITUTE(SUBSTITUTE(SUBSTITUTE(SUBSTITUTE("id:"&amp;A240,"%","%25"),"~","%7E"),"*","%2A"),"?","%3F"))</x:f>
      </x:c>
    </x:row>
    <x:row r="241" ht="22" customHeight="1">
      <x:c r="A241" s="3"/>
      <x:c r="B241" s="3"/>
      <x:c r="C241" s="3"/>
      <x:c r="D241" s="4"/>
      <x:c r="E241" s="4"/>
      <x:c r="F241" s="4"/>
      <x:c r="G241" s="5" t="str">
        <x:f>IF(COUNTA(A241:F241)=0,"",IF(K241&lt;&gt;"","Review",IF(I241&lt;0,"Overdue",IF(I241=0,"Due now",IF(I241&lt;=M241,"Due soon","Not due")))))</x:f>
      </x:c>
      <x:c r="H241" s="5" t="str">
        <x:f>IF(OR(COUNTA(A241:F241)=0,COUNTIFS('Rules'!$G$7:$G$26,"="&amp;(SUBSTITUTE(SUBSTITUTE(SUBSTITUTE(SUBSTITUTE("type:"&amp;B241,"%","%25"),"~","%7E"),"*","%2A"),"?","%3F")))&lt;&gt;1),"",IF(OR(INDEX('Rules'!$B$7:$B$26,MATCH(SUBSTITUTE(SUBSTITUTE(SUBSTITUTE(SUBSTITUTE("type:"&amp;B241,"%","%25"),"~","%7E"),"*","%2A"),"?","%3F"),'Rules'!$G$7:$G$26,0))="hours",INDEX('Rules'!$B$7:$B$26,MATCH(SUBSTITUTE(SUBSTITUTE(SUBSTITUTE(SUBSTITUTE("type:"&amp;B241,"%","%25"),"~","%7E"),"*","%2A"),"?","%3F"),'Rules'!$G$7:$G$26,0))="km"),INDEX('Rules'!$B$7:$B$26,MATCH(SUBSTITUTE(SUBSTITUTE(SUBSTITUTE(SUBSTITUTE("type:"&amp;B241,"%","%25"),"~","%7E"),"*","%2A"),"?","%3F"),'Rules'!$G$7:$G$26,0)),""))</x:f>
      </x:c>
      <x:c r="I241" s="6" t="str">
        <x:f>IF(AND(NOT(COUNTA(A241:F241)=0),K241=""),ROUND(J241-D241,3),"")</x:f>
      </x:c>
      <x:c r="J241" s="6" t="str">
        <x:f>IF(AND(NOT(COUNTA(A241:F241)=0),K241=""),ROUND(F241+L241,3),"")</x:f>
      </x:c>
      <x:c r="K241" s="5" t="str">
        <x:f>IF(COUNTA(A241:F241)=0,"",IF(A241="","Missing equipment ID",IF(COUNTIFS($N$8:$N$2007,"="&amp;N241)&gt;1,"Duplicate equipment ID",IF(B241="","Missing type",IF(COUNTIFS('Rules'!$G$7:$G$26,"="&amp;(SUBSTITUTE(SUBSTITUTE(SUBSTITUTE(SUBSTITUTE("type:"&amp;B241,"%","%25"),"~","%7E"),"*","%2A"),"?","%3F")))=0,"Unknown type",IF(COUNTIFS('Rules'!$G$7:$G$26,"="&amp;(SUBSTITUTE(SUBSTITUTE(SUBSTITUTE(SUBSTITUTE("type:"&amp;B241,"%","%25"),"~","%7E"),"*","%2A"),"?","%3F")))&gt;1,"Duplicate type",IF(INDEX('Rules'!$F$7:$F$26,MATCH(SUBSTITUTE(SUBSTITUTE(SUBSTITUTE(SUBSTITUTE("type:"&amp;B241,"%","%25"),"~","%7E"),"*","%2A"),"?","%3F"),'Rules'!$G$7:$G$26,0))&lt;&gt;"",INDEX('Rules'!$F$7:$F$26,MATCH(SUBSTITUTE(SUBSTITUTE(SUBSTITUTE(SUBSTITUTE("type:"&amp;B241,"%","%25"),"~","%7E"),"*","%2A"),"?","%3F"),'Rules'!$G$7:$G$26,0)),IF(AND(C241&lt;&gt;"",C241&lt;&gt;INDEX('Rules'!$B$7:$B$26,MATCH(SUBSTITUTE(SUBSTITUTE(SUBSTITUTE(SUBSTITUTE("type:"&amp;B241,"%","%25"),"~","%7E"),"*","%2A"),"?","%3F"),'Rules'!$G$7:$G$26,0))),"Unit mismatch",IF(IF(NOT(ISNUMBER(D241)),TRUE,OR(D241&lt;0,D241&gt;999999999,ROUND(D241,3)&lt;&gt;D241)),"Invalid current reading",IF(AND(E241&lt;&gt;"",IF(NOT(ISNUMBER(E241)),TRUE,OR(E241&lt;0,E241&gt;999999999,ROUND(E241,3)&lt;&gt;E241))),"Invalid previous reading",IF(IF(NOT(ISNUMBER(F241)),TRUE,OR(F241&lt;0,F241&gt;999999999,ROUND(F241,3)&lt;&gt;F241)),"Invalid last service",IF(AND(E241&lt;&gt;"",D241&lt;E241),"Decreased reading",IF(F241&gt;D241,"Last service above current","")))))))))))))</x:f>
      </x:c>
      <x:c r="L241" s="6" t="str">
        <x:f>IF(AND(NOT(COUNTA(A241:F241)=0),K241=""),INDEX('Rules'!$C$7:$C$26,MATCH(SUBSTITUTE(SUBSTITUTE(SUBSTITUTE(SUBSTITUTE("type:"&amp;B241,"%","%25"),"~","%7E"),"*","%2A"),"?","%3F"),'Rules'!$G$7:$G$26,0)),"")</x:f>
      </x:c>
      <x:c r="M241" s="6" t="str">
        <x:f>IF(AND(NOT(COUNTA(A241:F241)=0),K241=""),INDEX('Rules'!$D$7:$D$26,MATCH(SUBSTITUTE(SUBSTITUTE(SUBSTITUTE(SUBSTITUTE("type:"&amp;B241,"%","%25"),"~","%7E"),"*","%2A"),"?","%3F"),'Rules'!$G$7:$G$26,0)),"")</x:f>
      </x:c>
      <x:c r="N241" s="5" t="str">
        <x:f>IF(COUNTA(A241:F241)=0,"",SUBSTITUTE(SUBSTITUTE(SUBSTITUTE(SUBSTITUTE("id:"&amp;A241,"%","%25"),"~","%7E"),"*","%2A"),"?","%3F"))</x:f>
      </x:c>
    </x:row>
    <x:row r="242" ht="22" customHeight="1">
      <x:c r="A242" s="3"/>
      <x:c r="B242" s="3"/>
      <x:c r="C242" s="3"/>
      <x:c r="D242" s="4"/>
      <x:c r="E242" s="4"/>
      <x:c r="F242" s="4"/>
      <x:c r="G242" s="5" t="str">
        <x:f>IF(COUNTA(A242:F242)=0,"",IF(K242&lt;&gt;"","Review",IF(I242&lt;0,"Overdue",IF(I242=0,"Due now",IF(I242&lt;=M242,"Due soon","Not due")))))</x:f>
      </x:c>
      <x:c r="H242" s="5" t="str">
        <x:f>IF(OR(COUNTA(A242:F242)=0,COUNTIFS('Rules'!$G$7:$G$26,"="&amp;(SUBSTITUTE(SUBSTITUTE(SUBSTITUTE(SUBSTITUTE("type:"&amp;B242,"%","%25"),"~","%7E"),"*","%2A"),"?","%3F")))&lt;&gt;1),"",IF(OR(INDEX('Rules'!$B$7:$B$26,MATCH(SUBSTITUTE(SUBSTITUTE(SUBSTITUTE(SUBSTITUTE("type:"&amp;B242,"%","%25"),"~","%7E"),"*","%2A"),"?","%3F"),'Rules'!$G$7:$G$26,0))="hours",INDEX('Rules'!$B$7:$B$26,MATCH(SUBSTITUTE(SUBSTITUTE(SUBSTITUTE(SUBSTITUTE("type:"&amp;B242,"%","%25"),"~","%7E"),"*","%2A"),"?","%3F"),'Rules'!$G$7:$G$26,0))="km"),INDEX('Rules'!$B$7:$B$26,MATCH(SUBSTITUTE(SUBSTITUTE(SUBSTITUTE(SUBSTITUTE("type:"&amp;B242,"%","%25"),"~","%7E"),"*","%2A"),"?","%3F"),'Rules'!$G$7:$G$26,0)),""))</x:f>
      </x:c>
      <x:c r="I242" s="6" t="str">
        <x:f>IF(AND(NOT(COUNTA(A242:F242)=0),K242=""),ROUND(J242-D242,3),"")</x:f>
      </x:c>
      <x:c r="J242" s="6" t="str">
        <x:f>IF(AND(NOT(COUNTA(A242:F242)=0),K242=""),ROUND(F242+L242,3),"")</x:f>
      </x:c>
      <x:c r="K242" s="5" t="str">
        <x:f>IF(COUNTA(A242:F242)=0,"",IF(A242="","Missing equipment ID",IF(COUNTIFS($N$8:$N$2007,"="&amp;N242)&gt;1,"Duplicate equipment ID",IF(B242="","Missing type",IF(COUNTIFS('Rules'!$G$7:$G$26,"="&amp;(SUBSTITUTE(SUBSTITUTE(SUBSTITUTE(SUBSTITUTE("type:"&amp;B242,"%","%25"),"~","%7E"),"*","%2A"),"?","%3F")))=0,"Unknown type",IF(COUNTIFS('Rules'!$G$7:$G$26,"="&amp;(SUBSTITUTE(SUBSTITUTE(SUBSTITUTE(SUBSTITUTE("type:"&amp;B242,"%","%25"),"~","%7E"),"*","%2A"),"?","%3F")))&gt;1,"Duplicate type",IF(INDEX('Rules'!$F$7:$F$26,MATCH(SUBSTITUTE(SUBSTITUTE(SUBSTITUTE(SUBSTITUTE("type:"&amp;B242,"%","%25"),"~","%7E"),"*","%2A"),"?","%3F"),'Rules'!$G$7:$G$26,0))&lt;&gt;"",INDEX('Rules'!$F$7:$F$26,MATCH(SUBSTITUTE(SUBSTITUTE(SUBSTITUTE(SUBSTITUTE("type:"&amp;B242,"%","%25"),"~","%7E"),"*","%2A"),"?","%3F"),'Rules'!$G$7:$G$26,0)),IF(AND(C242&lt;&gt;"",C242&lt;&gt;INDEX('Rules'!$B$7:$B$26,MATCH(SUBSTITUTE(SUBSTITUTE(SUBSTITUTE(SUBSTITUTE("type:"&amp;B242,"%","%25"),"~","%7E"),"*","%2A"),"?","%3F"),'Rules'!$G$7:$G$26,0))),"Unit mismatch",IF(IF(NOT(ISNUMBER(D242)),TRUE,OR(D242&lt;0,D242&gt;999999999,ROUND(D242,3)&lt;&gt;D242)),"Invalid current reading",IF(AND(E242&lt;&gt;"",IF(NOT(ISNUMBER(E242)),TRUE,OR(E242&lt;0,E242&gt;999999999,ROUND(E242,3)&lt;&gt;E242))),"Invalid previous reading",IF(IF(NOT(ISNUMBER(F242)),TRUE,OR(F242&lt;0,F242&gt;999999999,ROUND(F242,3)&lt;&gt;F242)),"Invalid last service",IF(AND(E242&lt;&gt;"",D242&lt;E242),"Decreased reading",IF(F242&gt;D242,"Last service above current","")))))))))))))</x:f>
      </x:c>
      <x:c r="L242" s="6" t="str">
        <x:f>IF(AND(NOT(COUNTA(A242:F242)=0),K242=""),INDEX('Rules'!$C$7:$C$26,MATCH(SUBSTITUTE(SUBSTITUTE(SUBSTITUTE(SUBSTITUTE("type:"&amp;B242,"%","%25"),"~","%7E"),"*","%2A"),"?","%3F"),'Rules'!$G$7:$G$26,0)),"")</x:f>
      </x:c>
      <x:c r="M242" s="6" t="str">
        <x:f>IF(AND(NOT(COUNTA(A242:F242)=0),K242=""),INDEX('Rules'!$D$7:$D$26,MATCH(SUBSTITUTE(SUBSTITUTE(SUBSTITUTE(SUBSTITUTE("type:"&amp;B242,"%","%25"),"~","%7E"),"*","%2A"),"?","%3F"),'Rules'!$G$7:$G$26,0)),"")</x:f>
      </x:c>
      <x:c r="N242" s="5" t="str">
        <x:f>IF(COUNTA(A242:F242)=0,"",SUBSTITUTE(SUBSTITUTE(SUBSTITUTE(SUBSTITUTE("id:"&amp;A242,"%","%25"),"~","%7E"),"*","%2A"),"?","%3F"))</x:f>
      </x:c>
    </x:row>
    <x:row r="243" ht="22" customHeight="1">
      <x:c r="A243" s="3"/>
      <x:c r="B243" s="3"/>
      <x:c r="C243" s="3"/>
      <x:c r="D243" s="4"/>
      <x:c r="E243" s="4"/>
      <x:c r="F243" s="4"/>
      <x:c r="G243" s="5" t="str">
        <x:f>IF(COUNTA(A243:F243)=0,"",IF(K243&lt;&gt;"","Review",IF(I243&lt;0,"Overdue",IF(I243=0,"Due now",IF(I243&lt;=M243,"Due soon","Not due")))))</x:f>
      </x:c>
      <x:c r="H243" s="5" t="str">
        <x:f>IF(OR(COUNTA(A243:F243)=0,COUNTIFS('Rules'!$G$7:$G$26,"="&amp;(SUBSTITUTE(SUBSTITUTE(SUBSTITUTE(SUBSTITUTE("type:"&amp;B243,"%","%25"),"~","%7E"),"*","%2A"),"?","%3F")))&lt;&gt;1),"",IF(OR(INDEX('Rules'!$B$7:$B$26,MATCH(SUBSTITUTE(SUBSTITUTE(SUBSTITUTE(SUBSTITUTE("type:"&amp;B243,"%","%25"),"~","%7E"),"*","%2A"),"?","%3F"),'Rules'!$G$7:$G$26,0))="hours",INDEX('Rules'!$B$7:$B$26,MATCH(SUBSTITUTE(SUBSTITUTE(SUBSTITUTE(SUBSTITUTE("type:"&amp;B243,"%","%25"),"~","%7E"),"*","%2A"),"?","%3F"),'Rules'!$G$7:$G$26,0))="km"),INDEX('Rules'!$B$7:$B$26,MATCH(SUBSTITUTE(SUBSTITUTE(SUBSTITUTE(SUBSTITUTE("type:"&amp;B243,"%","%25"),"~","%7E"),"*","%2A"),"?","%3F"),'Rules'!$G$7:$G$26,0)),""))</x:f>
      </x:c>
      <x:c r="I243" s="6" t="str">
        <x:f>IF(AND(NOT(COUNTA(A243:F243)=0),K243=""),ROUND(J243-D243,3),"")</x:f>
      </x:c>
      <x:c r="J243" s="6" t="str">
        <x:f>IF(AND(NOT(COUNTA(A243:F243)=0),K243=""),ROUND(F243+L243,3),"")</x:f>
      </x:c>
      <x:c r="K243" s="5" t="str">
        <x:f>IF(COUNTA(A243:F243)=0,"",IF(A243="","Missing equipment ID",IF(COUNTIFS($N$8:$N$2007,"="&amp;N243)&gt;1,"Duplicate equipment ID",IF(B243="","Missing type",IF(COUNTIFS('Rules'!$G$7:$G$26,"="&amp;(SUBSTITUTE(SUBSTITUTE(SUBSTITUTE(SUBSTITUTE("type:"&amp;B243,"%","%25"),"~","%7E"),"*","%2A"),"?","%3F")))=0,"Unknown type",IF(COUNTIFS('Rules'!$G$7:$G$26,"="&amp;(SUBSTITUTE(SUBSTITUTE(SUBSTITUTE(SUBSTITUTE("type:"&amp;B243,"%","%25"),"~","%7E"),"*","%2A"),"?","%3F")))&gt;1,"Duplicate type",IF(INDEX('Rules'!$F$7:$F$26,MATCH(SUBSTITUTE(SUBSTITUTE(SUBSTITUTE(SUBSTITUTE("type:"&amp;B243,"%","%25"),"~","%7E"),"*","%2A"),"?","%3F"),'Rules'!$G$7:$G$26,0))&lt;&gt;"",INDEX('Rules'!$F$7:$F$26,MATCH(SUBSTITUTE(SUBSTITUTE(SUBSTITUTE(SUBSTITUTE("type:"&amp;B243,"%","%25"),"~","%7E"),"*","%2A"),"?","%3F"),'Rules'!$G$7:$G$26,0)),IF(AND(C243&lt;&gt;"",C243&lt;&gt;INDEX('Rules'!$B$7:$B$26,MATCH(SUBSTITUTE(SUBSTITUTE(SUBSTITUTE(SUBSTITUTE("type:"&amp;B243,"%","%25"),"~","%7E"),"*","%2A"),"?","%3F"),'Rules'!$G$7:$G$26,0))),"Unit mismatch",IF(IF(NOT(ISNUMBER(D243)),TRUE,OR(D243&lt;0,D243&gt;999999999,ROUND(D243,3)&lt;&gt;D243)),"Invalid current reading",IF(AND(E243&lt;&gt;"",IF(NOT(ISNUMBER(E243)),TRUE,OR(E243&lt;0,E243&gt;999999999,ROUND(E243,3)&lt;&gt;E243))),"Invalid previous reading",IF(IF(NOT(ISNUMBER(F243)),TRUE,OR(F243&lt;0,F243&gt;999999999,ROUND(F243,3)&lt;&gt;F243)),"Invalid last service",IF(AND(E243&lt;&gt;"",D243&lt;E243),"Decreased reading",IF(F243&gt;D243,"Last service above current","")))))))))))))</x:f>
      </x:c>
      <x:c r="L243" s="6" t="str">
        <x:f>IF(AND(NOT(COUNTA(A243:F243)=0),K243=""),INDEX('Rules'!$C$7:$C$26,MATCH(SUBSTITUTE(SUBSTITUTE(SUBSTITUTE(SUBSTITUTE("type:"&amp;B243,"%","%25"),"~","%7E"),"*","%2A"),"?","%3F"),'Rules'!$G$7:$G$26,0)),"")</x:f>
      </x:c>
      <x:c r="M243" s="6" t="str">
        <x:f>IF(AND(NOT(COUNTA(A243:F243)=0),K243=""),INDEX('Rules'!$D$7:$D$26,MATCH(SUBSTITUTE(SUBSTITUTE(SUBSTITUTE(SUBSTITUTE("type:"&amp;B243,"%","%25"),"~","%7E"),"*","%2A"),"?","%3F"),'Rules'!$G$7:$G$26,0)),"")</x:f>
      </x:c>
      <x:c r="N243" s="5" t="str">
        <x:f>IF(COUNTA(A243:F243)=0,"",SUBSTITUTE(SUBSTITUTE(SUBSTITUTE(SUBSTITUTE("id:"&amp;A243,"%","%25"),"~","%7E"),"*","%2A"),"?","%3F"))</x:f>
      </x:c>
    </x:row>
    <x:row r="244" ht="22" customHeight="1">
      <x:c r="A244" s="3"/>
      <x:c r="B244" s="3"/>
      <x:c r="C244" s="3"/>
      <x:c r="D244" s="4"/>
      <x:c r="E244" s="4"/>
      <x:c r="F244" s="4"/>
      <x:c r="G244" s="5" t="str">
        <x:f>IF(COUNTA(A244:F244)=0,"",IF(K244&lt;&gt;"","Review",IF(I244&lt;0,"Overdue",IF(I244=0,"Due now",IF(I244&lt;=M244,"Due soon","Not due")))))</x:f>
      </x:c>
      <x:c r="H244" s="5" t="str">
        <x:f>IF(OR(COUNTA(A244:F244)=0,COUNTIFS('Rules'!$G$7:$G$26,"="&amp;(SUBSTITUTE(SUBSTITUTE(SUBSTITUTE(SUBSTITUTE("type:"&amp;B244,"%","%25"),"~","%7E"),"*","%2A"),"?","%3F")))&lt;&gt;1),"",IF(OR(INDEX('Rules'!$B$7:$B$26,MATCH(SUBSTITUTE(SUBSTITUTE(SUBSTITUTE(SUBSTITUTE("type:"&amp;B244,"%","%25"),"~","%7E"),"*","%2A"),"?","%3F"),'Rules'!$G$7:$G$26,0))="hours",INDEX('Rules'!$B$7:$B$26,MATCH(SUBSTITUTE(SUBSTITUTE(SUBSTITUTE(SUBSTITUTE("type:"&amp;B244,"%","%25"),"~","%7E"),"*","%2A"),"?","%3F"),'Rules'!$G$7:$G$26,0))="km"),INDEX('Rules'!$B$7:$B$26,MATCH(SUBSTITUTE(SUBSTITUTE(SUBSTITUTE(SUBSTITUTE("type:"&amp;B244,"%","%25"),"~","%7E"),"*","%2A"),"?","%3F"),'Rules'!$G$7:$G$26,0)),""))</x:f>
      </x:c>
      <x:c r="I244" s="6" t="str">
        <x:f>IF(AND(NOT(COUNTA(A244:F244)=0),K244=""),ROUND(J244-D244,3),"")</x:f>
      </x:c>
      <x:c r="J244" s="6" t="str">
        <x:f>IF(AND(NOT(COUNTA(A244:F244)=0),K244=""),ROUND(F244+L244,3),"")</x:f>
      </x:c>
      <x:c r="K244" s="5" t="str">
        <x:f>IF(COUNTA(A244:F244)=0,"",IF(A244="","Missing equipment ID",IF(COUNTIFS($N$8:$N$2007,"="&amp;N244)&gt;1,"Duplicate equipment ID",IF(B244="","Missing type",IF(COUNTIFS('Rules'!$G$7:$G$26,"="&amp;(SUBSTITUTE(SUBSTITUTE(SUBSTITUTE(SUBSTITUTE("type:"&amp;B244,"%","%25"),"~","%7E"),"*","%2A"),"?","%3F")))=0,"Unknown type",IF(COUNTIFS('Rules'!$G$7:$G$26,"="&amp;(SUBSTITUTE(SUBSTITUTE(SUBSTITUTE(SUBSTITUTE("type:"&amp;B244,"%","%25"),"~","%7E"),"*","%2A"),"?","%3F")))&gt;1,"Duplicate type",IF(INDEX('Rules'!$F$7:$F$26,MATCH(SUBSTITUTE(SUBSTITUTE(SUBSTITUTE(SUBSTITUTE("type:"&amp;B244,"%","%25"),"~","%7E"),"*","%2A"),"?","%3F"),'Rules'!$G$7:$G$26,0))&lt;&gt;"",INDEX('Rules'!$F$7:$F$26,MATCH(SUBSTITUTE(SUBSTITUTE(SUBSTITUTE(SUBSTITUTE("type:"&amp;B244,"%","%25"),"~","%7E"),"*","%2A"),"?","%3F"),'Rules'!$G$7:$G$26,0)),IF(AND(C244&lt;&gt;"",C244&lt;&gt;INDEX('Rules'!$B$7:$B$26,MATCH(SUBSTITUTE(SUBSTITUTE(SUBSTITUTE(SUBSTITUTE("type:"&amp;B244,"%","%25"),"~","%7E"),"*","%2A"),"?","%3F"),'Rules'!$G$7:$G$26,0))),"Unit mismatch",IF(IF(NOT(ISNUMBER(D244)),TRUE,OR(D244&lt;0,D244&gt;999999999,ROUND(D244,3)&lt;&gt;D244)),"Invalid current reading",IF(AND(E244&lt;&gt;"",IF(NOT(ISNUMBER(E244)),TRUE,OR(E244&lt;0,E244&gt;999999999,ROUND(E244,3)&lt;&gt;E244))),"Invalid previous reading",IF(IF(NOT(ISNUMBER(F244)),TRUE,OR(F244&lt;0,F244&gt;999999999,ROUND(F244,3)&lt;&gt;F244)),"Invalid last service",IF(AND(E244&lt;&gt;"",D244&lt;E244),"Decreased reading",IF(F244&gt;D244,"Last service above current","")))))))))))))</x:f>
      </x:c>
      <x:c r="L244" s="6" t="str">
        <x:f>IF(AND(NOT(COUNTA(A244:F244)=0),K244=""),INDEX('Rules'!$C$7:$C$26,MATCH(SUBSTITUTE(SUBSTITUTE(SUBSTITUTE(SUBSTITUTE("type:"&amp;B244,"%","%25"),"~","%7E"),"*","%2A"),"?","%3F"),'Rules'!$G$7:$G$26,0)),"")</x:f>
      </x:c>
      <x:c r="M244" s="6" t="str">
        <x:f>IF(AND(NOT(COUNTA(A244:F244)=0),K244=""),INDEX('Rules'!$D$7:$D$26,MATCH(SUBSTITUTE(SUBSTITUTE(SUBSTITUTE(SUBSTITUTE("type:"&amp;B244,"%","%25"),"~","%7E"),"*","%2A"),"?","%3F"),'Rules'!$G$7:$G$26,0)),"")</x:f>
      </x:c>
      <x:c r="N244" s="5" t="str">
        <x:f>IF(COUNTA(A244:F244)=0,"",SUBSTITUTE(SUBSTITUTE(SUBSTITUTE(SUBSTITUTE("id:"&amp;A244,"%","%25"),"~","%7E"),"*","%2A"),"?","%3F"))</x:f>
      </x:c>
    </x:row>
    <x:row r="245" ht="22" customHeight="1">
      <x:c r="A245" s="3"/>
      <x:c r="B245" s="3"/>
      <x:c r="C245" s="3"/>
      <x:c r="D245" s="4"/>
      <x:c r="E245" s="4"/>
      <x:c r="F245" s="4"/>
      <x:c r="G245" s="5" t="str">
        <x:f>IF(COUNTA(A245:F245)=0,"",IF(K245&lt;&gt;"","Review",IF(I245&lt;0,"Overdue",IF(I245=0,"Due now",IF(I245&lt;=M245,"Due soon","Not due")))))</x:f>
      </x:c>
      <x:c r="H245" s="5" t="str">
        <x:f>IF(OR(COUNTA(A245:F245)=0,COUNTIFS('Rules'!$G$7:$G$26,"="&amp;(SUBSTITUTE(SUBSTITUTE(SUBSTITUTE(SUBSTITUTE("type:"&amp;B245,"%","%25"),"~","%7E"),"*","%2A"),"?","%3F")))&lt;&gt;1),"",IF(OR(INDEX('Rules'!$B$7:$B$26,MATCH(SUBSTITUTE(SUBSTITUTE(SUBSTITUTE(SUBSTITUTE("type:"&amp;B245,"%","%25"),"~","%7E"),"*","%2A"),"?","%3F"),'Rules'!$G$7:$G$26,0))="hours",INDEX('Rules'!$B$7:$B$26,MATCH(SUBSTITUTE(SUBSTITUTE(SUBSTITUTE(SUBSTITUTE("type:"&amp;B245,"%","%25"),"~","%7E"),"*","%2A"),"?","%3F"),'Rules'!$G$7:$G$26,0))="km"),INDEX('Rules'!$B$7:$B$26,MATCH(SUBSTITUTE(SUBSTITUTE(SUBSTITUTE(SUBSTITUTE("type:"&amp;B245,"%","%25"),"~","%7E"),"*","%2A"),"?","%3F"),'Rules'!$G$7:$G$26,0)),""))</x:f>
      </x:c>
      <x:c r="I245" s="6" t="str">
        <x:f>IF(AND(NOT(COUNTA(A245:F245)=0),K245=""),ROUND(J245-D245,3),"")</x:f>
      </x:c>
      <x:c r="J245" s="6" t="str">
        <x:f>IF(AND(NOT(COUNTA(A245:F245)=0),K245=""),ROUND(F245+L245,3),"")</x:f>
      </x:c>
      <x:c r="K245" s="5" t="str">
        <x:f>IF(COUNTA(A245:F245)=0,"",IF(A245="","Missing equipment ID",IF(COUNTIFS($N$8:$N$2007,"="&amp;N245)&gt;1,"Duplicate equipment ID",IF(B245="","Missing type",IF(COUNTIFS('Rules'!$G$7:$G$26,"="&amp;(SUBSTITUTE(SUBSTITUTE(SUBSTITUTE(SUBSTITUTE("type:"&amp;B245,"%","%25"),"~","%7E"),"*","%2A"),"?","%3F")))=0,"Unknown type",IF(COUNTIFS('Rules'!$G$7:$G$26,"="&amp;(SUBSTITUTE(SUBSTITUTE(SUBSTITUTE(SUBSTITUTE("type:"&amp;B245,"%","%25"),"~","%7E"),"*","%2A"),"?","%3F")))&gt;1,"Duplicate type",IF(INDEX('Rules'!$F$7:$F$26,MATCH(SUBSTITUTE(SUBSTITUTE(SUBSTITUTE(SUBSTITUTE("type:"&amp;B245,"%","%25"),"~","%7E"),"*","%2A"),"?","%3F"),'Rules'!$G$7:$G$26,0))&lt;&gt;"",INDEX('Rules'!$F$7:$F$26,MATCH(SUBSTITUTE(SUBSTITUTE(SUBSTITUTE(SUBSTITUTE("type:"&amp;B245,"%","%25"),"~","%7E"),"*","%2A"),"?","%3F"),'Rules'!$G$7:$G$26,0)),IF(AND(C245&lt;&gt;"",C245&lt;&gt;INDEX('Rules'!$B$7:$B$26,MATCH(SUBSTITUTE(SUBSTITUTE(SUBSTITUTE(SUBSTITUTE("type:"&amp;B245,"%","%25"),"~","%7E"),"*","%2A"),"?","%3F"),'Rules'!$G$7:$G$26,0))),"Unit mismatch",IF(IF(NOT(ISNUMBER(D245)),TRUE,OR(D245&lt;0,D245&gt;999999999,ROUND(D245,3)&lt;&gt;D245)),"Invalid current reading",IF(AND(E245&lt;&gt;"",IF(NOT(ISNUMBER(E245)),TRUE,OR(E245&lt;0,E245&gt;999999999,ROUND(E245,3)&lt;&gt;E245))),"Invalid previous reading",IF(IF(NOT(ISNUMBER(F245)),TRUE,OR(F245&lt;0,F245&gt;999999999,ROUND(F245,3)&lt;&gt;F245)),"Invalid last service",IF(AND(E245&lt;&gt;"",D245&lt;E245),"Decreased reading",IF(F245&gt;D245,"Last service above current","")))))))))))))</x:f>
      </x:c>
      <x:c r="L245" s="6" t="str">
        <x:f>IF(AND(NOT(COUNTA(A245:F245)=0),K245=""),INDEX('Rules'!$C$7:$C$26,MATCH(SUBSTITUTE(SUBSTITUTE(SUBSTITUTE(SUBSTITUTE("type:"&amp;B245,"%","%25"),"~","%7E"),"*","%2A"),"?","%3F"),'Rules'!$G$7:$G$26,0)),"")</x:f>
      </x:c>
      <x:c r="M245" s="6" t="str">
        <x:f>IF(AND(NOT(COUNTA(A245:F245)=0),K245=""),INDEX('Rules'!$D$7:$D$26,MATCH(SUBSTITUTE(SUBSTITUTE(SUBSTITUTE(SUBSTITUTE("type:"&amp;B245,"%","%25"),"~","%7E"),"*","%2A"),"?","%3F"),'Rules'!$G$7:$G$26,0)),"")</x:f>
      </x:c>
      <x:c r="N245" s="5" t="str">
        <x:f>IF(COUNTA(A245:F245)=0,"",SUBSTITUTE(SUBSTITUTE(SUBSTITUTE(SUBSTITUTE("id:"&amp;A245,"%","%25"),"~","%7E"),"*","%2A"),"?","%3F"))</x:f>
      </x:c>
    </x:row>
    <x:row r="246" ht="22" customHeight="1">
      <x:c r="A246" s="3"/>
      <x:c r="B246" s="3"/>
      <x:c r="C246" s="3"/>
      <x:c r="D246" s="4"/>
      <x:c r="E246" s="4"/>
      <x:c r="F246" s="4"/>
      <x:c r="G246" s="5" t="str">
        <x:f>IF(COUNTA(A246:F246)=0,"",IF(K246&lt;&gt;"","Review",IF(I246&lt;0,"Overdue",IF(I246=0,"Due now",IF(I246&lt;=M246,"Due soon","Not due")))))</x:f>
      </x:c>
      <x:c r="H246" s="5" t="str">
        <x:f>IF(OR(COUNTA(A246:F246)=0,COUNTIFS('Rules'!$G$7:$G$26,"="&amp;(SUBSTITUTE(SUBSTITUTE(SUBSTITUTE(SUBSTITUTE("type:"&amp;B246,"%","%25"),"~","%7E"),"*","%2A"),"?","%3F")))&lt;&gt;1),"",IF(OR(INDEX('Rules'!$B$7:$B$26,MATCH(SUBSTITUTE(SUBSTITUTE(SUBSTITUTE(SUBSTITUTE("type:"&amp;B246,"%","%25"),"~","%7E"),"*","%2A"),"?","%3F"),'Rules'!$G$7:$G$26,0))="hours",INDEX('Rules'!$B$7:$B$26,MATCH(SUBSTITUTE(SUBSTITUTE(SUBSTITUTE(SUBSTITUTE("type:"&amp;B246,"%","%25"),"~","%7E"),"*","%2A"),"?","%3F"),'Rules'!$G$7:$G$26,0))="km"),INDEX('Rules'!$B$7:$B$26,MATCH(SUBSTITUTE(SUBSTITUTE(SUBSTITUTE(SUBSTITUTE("type:"&amp;B246,"%","%25"),"~","%7E"),"*","%2A"),"?","%3F"),'Rules'!$G$7:$G$26,0)),""))</x:f>
      </x:c>
      <x:c r="I246" s="6" t="str">
        <x:f>IF(AND(NOT(COUNTA(A246:F246)=0),K246=""),ROUND(J246-D246,3),"")</x:f>
      </x:c>
      <x:c r="J246" s="6" t="str">
        <x:f>IF(AND(NOT(COUNTA(A246:F246)=0),K246=""),ROUND(F246+L246,3),"")</x:f>
      </x:c>
      <x:c r="K246" s="5" t="str">
        <x:f>IF(COUNTA(A246:F246)=0,"",IF(A246="","Missing equipment ID",IF(COUNTIFS($N$8:$N$2007,"="&amp;N246)&gt;1,"Duplicate equipment ID",IF(B246="","Missing type",IF(COUNTIFS('Rules'!$G$7:$G$26,"="&amp;(SUBSTITUTE(SUBSTITUTE(SUBSTITUTE(SUBSTITUTE("type:"&amp;B246,"%","%25"),"~","%7E"),"*","%2A"),"?","%3F")))=0,"Unknown type",IF(COUNTIFS('Rules'!$G$7:$G$26,"="&amp;(SUBSTITUTE(SUBSTITUTE(SUBSTITUTE(SUBSTITUTE("type:"&amp;B246,"%","%25"),"~","%7E"),"*","%2A"),"?","%3F")))&gt;1,"Duplicate type",IF(INDEX('Rules'!$F$7:$F$26,MATCH(SUBSTITUTE(SUBSTITUTE(SUBSTITUTE(SUBSTITUTE("type:"&amp;B246,"%","%25"),"~","%7E"),"*","%2A"),"?","%3F"),'Rules'!$G$7:$G$26,0))&lt;&gt;"",INDEX('Rules'!$F$7:$F$26,MATCH(SUBSTITUTE(SUBSTITUTE(SUBSTITUTE(SUBSTITUTE("type:"&amp;B246,"%","%25"),"~","%7E"),"*","%2A"),"?","%3F"),'Rules'!$G$7:$G$26,0)),IF(AND(C246&lt;&gt;"",C246&lt;&gt;INDEX('Rules'!$B$7:$B$26,MATCH(SUBSTITUTE(SUBSTITUTE(SUBSTITUTE(SUBSTITUTE("type:"&amp;B246,"%","%25"),"~","%7E"),"*","%2A"),"?","%3F"),'Rules'!$G$7:$G$26,0))),"Unit mismatch",IF(IF(NOT(ISNUMBER(D246)),TRUE,OR(D246&lt;0,D246&gt;999999999,ROUND(D246,3)&lt;&gt;D246)),"Invalid current reading",IF(AND(E246&lt;&gt;"",IF(NOT(ISNUMBER(E246)),TRUE,OR(E246&lt;0,E246&gt;999999999,ROUND(E246,3)&lt;&gt;E246))),"Invalid previous reading",IF(IF(NOT(ISNUMBER(F246)),TRUE,OR(F246&lt;0,F246&gt;999999999,ROUND(F246,3)&lt;&gt;F246)),"Invalid last service",IF(AND(E246&lt;&gt;"",D246&lt;E246),"Decreased reading",IF(F246&gt;D246,"Last service above current","")))))))))))))</x:f>
      </x:c>
      <x:c r="L246" s="6" t="str">
        <x:f>IF(AND(NOT(COUNTA(A246:F246)=0),K246=""),INDEX('Rules'!$C$7:$C$26,MATCH(SUBSTITUTE(SUBSTITUTE(SUBSTITUTE(SUBSTITUTE("type:"&amp;B246,"%","%25"),"~","%7E"),"*","%2A"),"?","%3F"),'Rules'!$G$7:$G$26,0)),"")</x:f>
      </x:c>
      <x:c r="M246" s="6" t="str">
        <x:f>IF(AND(NOT(COUNTA(A246:F246)=0),K246=""),INDEX('Rules'!$D$7:$D$26,MATCH(SUBSTITUTE(SUBSTITUTE(SUBSTITUTE(SUBSTITUTE("type:"&amp;B246,"%","%25"),"~","%7E"),"*","%2A"),"?","%3F"),'Rules'!$G$7:$G$26,0)),"")</x:f>
      </x:c>
      <x:c r="N246" s="5" t="str">
        <x:f>IF(COUNTA(A246:F246)=0,"",SUBSTITUTE(SUBSTITUTE(SUBSTITUTE(SUBSTITUTE("id:"&amp;A246,"%","%25"),"~","%7E"),"*","%2A"),"?","%3F"))</x:f>
      </x:c>
    </x:row>
    <x:row r="247" ht="22" customHeight="1">
      <x:c r="A247" s="3"/>
      <x:c r="B247" s="3"/>
      <x:c r="C247" s="3"/>
      <x:c r="D247" s="4"/>
      <x:c r="E247" s="4"/>
      <x:c r="F247" s="4"/>
      <x:c r="G247" s="5" t="str">
        <x:f>IF(COUNTA(A247:F247)=0,"",IF(K247&lt;&gt;"","Review",IF(I247&lt;0,"Overdue",IF(I247=0,"Due now",IF(I247&lt;=M247,"Due soon","Not due")))))</x:f>
      </x:c>
      <x:c r="H247" s="5" t="str">
        <x:f>IF(OR(COUNTA(A247:F247)=0,COUNTIFS('Rules'!$G$7:$G$26,"="&amp;(SUBSTITUTE(SUBSTITUTE(SUBSTITUTE(SUBSTITUTE("type:"&amp;B247,"%","%25"),"~","%7E"),"*","%2A"),"?","%3F")))&lt;&gt;1),"",IF(OR(INDEX('Rules'!$B$7:$B$26,MATCH(SUBSTITUTE(SUBSTITUTE(SUBSTITUTE(SUBSTITUTE("type:"&amp;B247,"%","%25"),"~","%7E"),"*","%2A"),"?","%3F"),'Rules'!$G$7:$G$26,0))="hours",INDEX('Rules'!$B$7:$B$26,MATCH(SUBSTITUTE(SUBSTITUTE(SUBSTITUTE(SUBSTITUTE("type:"&amp;B247,"%","%25"),"~","%7E"),"*","%2A"),"?","%3F"),'Rules'!$G$7:$G$26,0))="km"),INDEX('Rules'!$B$7:$B$26,MATCH(SUBSTITUTE(SUBSTITUTE(SUBSTITUTE(SUBSTITUTE("type:"&amp;B247,"%","%25"),"~","%7E"),"*","%2A"),"?","%3F"),'Rules'!$G$7:$G$26,0)),""))</x:f>
      </x:c>
      <x:c r="I247" s="6" t="str">
        <x:f>IF(AND(NOT(COUNTA(A247:F247)=0),K247=""),ROUND(J247-D247,3),"")</x:f>
      </x:c>
      <x:c r="J247" s="6" t="str">
        <x:f>IF(AND(NOT(COUNTA(A247:F247)=0),K247=""),ROUND(F247+L247,3),"")</x:f>
      </x:c>
      <x:c r="K247" s="5" t="str">
        <x:f>IF(COUNTA(A247:F247)=0,"",IF(A247="","Missing equipment ID",IF(COUNTIFS($N$8:$N$2007,"="&amp;N247)&gt;1,"Duplicate equipment ID",IF(B247="","Missing type",IF(COUNTIFS('Rules'!$G$7:$G$26,"="&amp;(SUBSTITUTE(SUBSTITUTE(SUBSTITUTE(SUBSTITUTE("type:"&amp;B247,"%","%25"),"~","%7E"),"*","%2A"),"?","%3F")))=0,"Unknown type",IF(COUNTIFS('Rules'!$G$7:$G$26,"="&amp;(SUBSTITUTE(SUBSTITUTE(SUBSTITUTE(SUBSTITUTE("type:"&amp;B247,"%","%25"),"~","%7E"),"*","%2A"),"?","%3F")))&gt;1,"Duplicate type",IF(INDEX('Rules'!$F$7:$F$26,MATCH(SUBSTITUTE(SUBSTITUTE(SUBSTITUTE(SUBSTITUTE("type:"&amp;B247,"%","%25"),"~","%7E"),"*","%2A"),"?","%3F"),'Rules'!$G$7:$G$26,0))&lt;&gt;"",INDEX('Rules'!$F$7:$F$26,MATCH(SUBSTITUTE(SUBSTITUTE(SUBSTITUTE(SUBSTITUTE("type:"&amp;B247,"%","%25"),"~","%7E"),"*","%2A"),"?","%3F"),'Rules'!$G$7:$G$26,0)),IF(AND(C247&lt;&gt;"",C247&lt;&gt;INDEX('Rules'!$B$7:$B$26,MATCH(SUBSTITUTE(SUBSTITUTE(SUBSTITUTE(SUBSTITUTE("type:"&amp;B247,"%","%25"),"~","%7E"),"*","%2A"),"?","%3F"),'Rules'!$G$7:$G$26,0))),"Unit mismatch",IF(IF(NOT(ISNUMBER(D247)),TRUE,OR(D247&lt;0,D247&gt;999999999,ROUND(D247,3)&lt;&gt;D247)),"Invalid current reading",IF(AND(E247&lt;&gt;"",IF(NOT(ISNUMBER(E247)),TRUE,OR(E247&lt;0,E247&gt;999999999,ROUND(E247,3)&lt;&gt;E247))),"Invalid previous reading",IF(IF(NOT(ISNUMBER(F247)),TRUE,OR(F247&lt;0,F247&gt;999999999,ROUND(F247,3)&lt;&gt;F247)),"Invalid last service",IF(AND(E247&lt;&gt;"",D247&lt;E247),"Decreased reading",IF(F247&gt;D247,"Last service above current","")))))))))))))</x:f>
      </x:c>
      <x:c r="L247" s="6" t="str">
        <x:f>IF(AND(NOT(COUNTA(A247:F247)=0),K247=""),INDEX('Rules'!$C$7:$C$26,MATCH(SUBSTITUTE(SUBSTITUTE(SUBSTITUTE(SUBSTITUTE("type:"&amp;B247,"%","%25"),"~","%7E"),"*","%2A"),"?","%3F"),'Rules'!$G$7:$G$26,0)),"")</x:f>
      </x:c>
      <x:c r="M247" s="6" t="str">
        <x:f>IF(AND(NOT(COUNTA(A247:F247)=0),K247=""),INDEX('Rules'!$D$7:$D$26,MATCH(SUBSTITUTE(SUBSTITUTE(SUBSTITUTE(SUBSTITUTE("type:"&amp;B247,"%","%25"),"~","%7E"),"*","%2A"),"?","%3F"),'Rules'!$G$7:$G$26,0)),"")</x:f>
      </x:c>
      <x:c r="N247" s="5" t="str">
        <x:f>IF(COUNTA(A247:F247)=0,"",SUBSTITUTE(SUBSTITUTE(SUBSTITUTE(SUBSTITUTE("id:"&amp;A247,"%","%25"),"~","%7E"),"*","%2A"),"?","%3F"))</x:f>
      </x:c>
    </x:row>
    <x:row r="248" ht="22" customHeight="1">
      <x:c r="A248" s="3"/>
      <x:c r="B248" s="3"/>
      <x:c r="C248" s="3"/>
      <x:c r="D248" s="4"/>
      <x:c r="E248" s="4"/>
      <x:c r="F248" s="4"/>
      <x:c r="G248" s="5" t="str">
        <x:f>IF(COUNTA(A248:F248)=0,"",IF(K248&lt;&gt;"","Review",IF(I248&lt;0,"Overdue",IF(I248=0,"Due now",IF(I248&lt;=M248,"Due soon","Not due")))))</x:f>
      </x:c>
      <x:c r="H248" s="5" t="str">
        <x:f>IF(OR(COUNTA(A248:F248)=0,COUNTIFS('Rules'!$G$7:$G$26,"="&amp;(SUBSTITUTE(SUBSTITUTE(SUBSTITUTE(SUBSTITUTE("type:"&amp;B248,"%","%25"),"~","%7E"),"*","%2A"),"?","%3F")))&lt;&gt;1),"",IF(OR(INDEX('Rules'!$B$7:$B$26,MATCH(SUBSTITUTE(SUBSTITUTE(SUBSTITUTE(SUBSTITUTE("type:"&amp;B248,"%","%25"),"~","%7E"),"*","%2A"),"?","%3F"),'Rules'!$G$7:$G$26,0))="hours",INDEX('Rules'!$B$7:$B$26,MATCH(SUBSTITUTE(SUBSTITUTE(SUBSTITUTE(SUBSTITUTE("type:"&amp;B248,"%","%25"),"~","%7E"),"*","%2A"),"?","%3F"),'Rules'!$G$7:$G$26,0))="km"),INDEX('Rules'!$B$7:$B$26,MATCH(SUBSTITUTE(SUBSTITUTE(SUBSTITUTE(SUBSTITUTE("type:"&amp;B248,"%","%25"),"~","%7E"),"*","%2A"),"?","%3F"),'Rules'!$G$7:$G$26,0)),""))</x:f>
      </x:c>
      <x:c r="I248" s="6" t="str">
        <x:f>IF(AND(NOT(COUNTA(A248:F248)=0),K248=""),ROUND(J248-D248,3),"")</x:f>
      </x:c>
      <x:c r="J248" s="6" t="str">
        <x:f>IF(AND(NOT(COUNTA(A248:F248)=0),K248=""),ROUND(F248+L248,3),"")</x:f>
      </x:c>
      <x:c r="K248" s="5" t="str">
        <x:f>IF(COUNTA(A248:F248)=0,"",IF(A248="","Missing equipment ID",IF(COUNTIFS($N$8:$N$2007,"="&amp;N248)&gt;1,"Duplicate equipment ID",IF(B248="","Missing type",IF(COUNTIFS('Rules'!$G$7:$G$26,"="&amp;(SUBSTITUTE(SUBSTITUTE(SUBSTITUTE(SUBSTITUTE("type:"&amp;B248,"%","%25"),"~","%7E"),"*","%2A"),"?","%3F")))=0,"Unknown type",IF(COUNTIFS('Rules'!$G$7:$G$26,"="&amp;(SUBSTITUTE(SUBSTITUTE(SUBSTITUTE(SUBSTITUTE("type:"&amp;B248,"%","%25"),"~","%7E"),"*","%2A"),"?","%3F")))&gt;1,"Duplicate type",IF(INDEX('Rules'!$F$7:$F$26,MATCH(SUBSTITUTE(SUBSTITUTE(SUBSTITUTE(SUBSTITUTE("type:"&amp;B248,"%","%25"),"~","%7E"),"*","%2A"),"?","%3F"),'Rules'!$G$7:$G$26,0))&lt;&gt;"",INDEX('Rules'!$F$7:$F$26,MATCH(SUBSTITUTE(SUBSTITUTE(SUBSTITUTE(SUBSTITUTE("type:"&amp;B248,"%","%25"),"~","%7E"),"*","%2A"),"?","%3F"),'Rules'!$G$7:$G$26,0)),IF(AND(C248&lt;&gt;"",C248&lt;&gt;INDEX('Rules'!$B$7:$B$26,MATCH(SUBSTITUTE(SUBSTITUTE(SUBSTITUTE(SUBSTITUTE("type:"&amp;B248,"%","%25"),"~","%7E"),"*","%2A"),"?","%3F"),'Rules'!$G$7:$G$26,0))),"Unit mismatch",IF(IF(NOT(ISNUMBER(D248)),TRUE,OR(D248&lt;0,D248&gt;999999999,ROUND(D248,3)&lt;&gt;D248)),"Invalid current reading",IF(AND(E248&lt;&gt;"",IF(NOT(ISNUMBER(E248)),TRUE,OR(E248&lt;0,E248&gt;999999999,ROUND(E248,3)&lt;&gt;E248))),"Invalid previous reading",IF(IF(NOT(ISNUMBER(F248)),TRUE,OR(F248&lt;0,F248&gt;999999999,ROUND(F248,3)&lt;&gt;F248)),"Invalid last service",IF(AND(E248&lt;&gt;"",D248&lt;E248),"Decreased reading",IF(F248&gt;D248,"Last service above current","")))))))))))))</x:f>
      </x:c>
      <x:c r="L248" s="6" t="str">
        <x:f>IF(AND(NOT(COUNTA(A248:F248)=0),K248=""),INDEX('Rules'!$C$7:$C$26,MATCH(SUBSTITUTE(SUBSTITUTE(SUBSTITUTE(SUBSTITUTE("type:"&amp;B248,"%","%25"),"~","%7E"),"*","%2A"),"?","%3F"),'Rules'!$G$7:$G$26,0)),"")</x:f>
      </x:c>
      <x:c r="M248" s="6" t="str">
        <x:f>IF(AND(NOT(COUNTA(A248:F248)=0),K248=""),INDEX('Rules'!$D$7:$D$26,MATCH(SUBSTITUTE(SUBSTITUTE(SUBSTITUTE(SUBSTITUTE("type:"&amp;B248,"%","%25"),"~","%7E"),"*","%2A"),"?","%3F"),'Rules'!$G$7:$G$26,0)),"")</x:f>
      </x:c>
      <x:c r="N248" s="5" t="str">
        <x:f>IF(COUNTA(A248:F248)=0,"",SUBSTITUTE(SUBSTITUTE(SUBSTITUTE(SUBSTITUTE("id:"&amp;A248,"%","%25"),"~","%7E"),"*","%2A"),"?","%3F"))</x:f>
      </x:c>
    </x:row>
    <x:row r="249" ht="22" customHeight="1">
      <x:c r="A249" s="3"/>
      <x:c r="B249" s="3"/>
      <x:c r="C249" s="3"/>
      <x:c r="D249" s="4"/>
      <x:c r="E249" s="4"/>
      <x:c r="F249" s="4"/>
      <x:c r="G249" s="5" t="str">
        <x:f>IF(COUNTA(A249:F249)=0,"",IF(K249&lt;&gt;"","Review",IF(I249&lt;0,"Overdue",IF(I249=0,"Due now",IF(I249&lt;=M249,"Due soon","Not due")))))</x:f>
      </x:c>
      <x:c r="H249" s="5" t="str">
        <x:f>IF(OR(COUNTA(A249:F249)=0,COUNTIFS('Rules'!$G$7:$G$26,"="&amp;(SUBSTITUTE(SUBSTITUTE(SUBSTITUTE(SUBSTITUTE("type:"&amp;B249,"%","%25"),"~","%7E"),"*","%2A"),"?","%3F")))&lt;&gt;1),"",IF(OR(INDEX('Rules'!$B$7:$B$26,MATCH(SUBSTITUTE(SUBSTITUTE(SUBSTITUTE(SUBSTITUTE("type:"&amp;B249,"%","%25"),"~","%7E"),"*","%2A"),"?","%3F"),'Rules'!$G$7:$G$26,0))="hours",INDEX('Rules'!$B$7:$B$26,MATCH(SUBSTITUTE(SUBSTITUTE(SUBSTITUTE(SUBSTITUTE("type:"&amp;B249,"%","%25"),"~","%7E"),"*","%2A"),"?","%3F"),'Rules'!$G$7:$G$26,0))="km"),INDEX('Rules'!$B$7:$B$26,MATCH(SUBSTITUTE(SUBSTITUTE(SUBSTITUTE(SUBSTITUTE("type:"&amp;B249,"%","%25"),"~","%7E"),"*","%2A"),"?","%3F"),'Rules'!$G$7:$G$26,0)),""))</x:f>
      </x:c>
      <x:c r="I249" s="6" t="str">
        <x:f>IF(AND(NOT(COUNTA(A249:F249)=0),K249=""),ROUND(J249-D249,3),"")</x:f>
      </x:c>
      <x:c r="J249" s="6" t="str">
        <x:f>IF(AND(NOT(COUNTA(A249:F249)=0),K249=""),ROUND(F249+L249,3),"")</x:f>
      </x:c>
      <x:c r="K249" s="5" t="str">
        <x:f>IF(COUNTA(A249:F249)=0,"",IF(A249="","Missing equipment ID",IF(COUNTIFS($N$8:$N$2007,"="&amp;N249)&gt;1,"Duplicate equipment ID",IF(B249="","Missing type",IF(COUNTIFS('Rules'!$G$7:$G$26,"="&amp;(SUBSTITUTE(SUBSTITUTE(SUBSTITUTE(SUBSTITUTE("type:"&amp;B249,"%","%25"),"~","%7E"),"*","%2A"),"?","%3F")))=0,"Unknown type",IF(COUNTIFS('Rules'!$G$7:$G$26,"="&amp;(SUBSTITUTE(SUBSTITUTE(SUBSTITUTE(SUBSTITUTE("type:"&amp;B249,"%","%25"),"~","%7E"),"*","%2A"),"?","%3F")))&gt;1,"Duplicate type",IF(INDEX('Rules'!$F$7:$F$26,MATCH(SUBSTITUTE(SUBSTITUTE(SUBSTITUTE(SUBSTITUTE("type:"&amp;B249,"%","%25"),"~","%7E"),"*","%2A"),"?","%3F"),'Rules'!$G$7:$G$26,0))&lt;&gt;"",INDEX('Rules'!$F$7:$F$26,MATCH(SUBSTITUTE(SUBSTITUTE(SUBSTITUTE(SUBSTITUTE("type:"&amp;B249,"%","%25"),"~","%7E"),"*","%2A"),"?","%3F"),'Rules'!$G$7:$G$26,0)),IF(AND(C249&lt;&gt;"",C249&lt;&gt;INDEX('Rules'!$B$7:$B$26,MATCH(SUBSTITUTE(SUBSTITUTE(SUBSTITUTE(SUBSTITUTE("type:"&amp;B249,"%","%25"),"~","%7E"),"*","%2A"),"?","%3F"),'Rules'!$G$7:$G$26,0))),"Unit mismatch",IF(IF(NOT(ISNUMBER(D249)),TRUE,OR(D249&lt;0,D249&gt;999999999,ROUND(D249,3)&lt;&gt;D249)),"Invalid current reading",IF(AND(E249&lt;&gt;"",IF(NOT(ISNUMBER(E249)),TRUE,OR(E249&lt;0,E249&gt;999999999,ROUND(E249,3)&lt;&gt;E249))),"Invalid previous reading",IF(IF(NOT(ISNUMBER(F249)),TRUE,OR(F249&lt;0,F249&gt;999999999,ROUND(F249,3)&lt;&gt;F249)),"Invalid last service",IF(AND(E249&lt;&gt;"",D249&lt;E249),"Decreased reading",IF(F249&gt;D249,"Last service above current","")))))))))))))</x:f>
      </x:c>
      <x:c r="L249" s="6" t="str">
        <x:f>IF(AND(NOT(COUNTA(A249:F249)=0),K249=""),INDEX('Rules'!$C$7:$C$26,MATCH(SUBSTITUTE(SUBSTITUTE(SUBSTITUTE(SUBSTITUTE("type:"&amp;B249,"%","%25"),"~","%7E"),"*","%2A"),"?","%3F"),'Rules'!$G$7:$G$26,0)),"")</x:f>
      </x:c>
      <x:c r="M249" s="6" t="str">
        <x:f>IF(AND(NOT(COUNTA(A249:F249)=0),K249=""),INDEX('Rules'!$D$7:$D$26,MATCH(SUBSTITUTE(SUBSTITUTE(SUBSTITUTE(SUBSTITUTE("type:"&amp;B249,"%","%25"),"~","%7E"),"*","%2A"),"?","%3F"),'Rules'!$G$7:$G$26,0)),"")</x:f>
      </x:c>
      <x:c r="N249" s="5" t="str">
        <x:f>IF(COUNTA(A249:F249)=0,"",SUBSTITUTE(SUBSTITUTE(SUBSTITUTE(SUBSTITUTE("id:"&amp;A249,"%","%25"),"~","%7E"),"*","%2A"),"?","%3F"))</x:f>
      </x:c>
    </x:row>
    <x:row r="250" ht="22" customHeight="1">
      <x:c r="A250" s="3"/>
      <x:c r="B250" s="3"/>
      <x:c r="C250" s="3"/>
      <x:c r="D250" s="4"/>
      <x:c r="E250" s="4"/>
      <x:c r="F250" s="4"/>
      <x:c r="G250" s="5" t="str">
        <x:f>IF(COUNTA(A250:F250)=0,"",IF(K250&lt;&gt;"","Review",IF(I250&lt;0,"Overdue",IF(I250=0,"Due now",IF(I250&lt;=M250,"Due soon","Not due")))))</x:f>
      </x:c>
      <x:c r="H250" s="5" t="str">
        <x:f>IF(OR(COUNTA(A250:F250)=0,COUNTIFS('Rules'!$G$7:$G$26,"="&amp;(SUBSTITUTE(SUBSTITUTE(SUBSTITUTE(SUBSTITUTE("type:"&amp;B250,"%","%25"),"~","%7E"),"*","%2A"),"?","%3F")))&lt;&gt;1),"",IF(OR(INDEX('Rules'!$B$7:$B$26,MATCH(SUBSTITUTE(SUBSTITUTE(SUBSTITUTE(SUBSTITUTE("type:"&amp;B250,"%","%25"),"~","%7E"),"*","%2A"),"?","%3F"),'Rules'!$G$7:$G$26,0))="hours",INDEX('Rules'!$B$7:$B$26,MATCH(SUBSTITUTE(SUBSTITUTE(SUBSTITUTE(SUBSTITUTE("type:"&amp;B250,"%","%25"),"~","%7E"),"*","%2A"),"?","%3F"),'Rules'!$G$7:$G$26,0))="km"),INDEX('Rules'!$B$7:$B$26,MATCH(SUBSTITUTE(SUBSTITUTE(SUBSTITUTE(SUBSTITUTE("type:"&amp;B250,"%","%25"),"~","%7E"),"*","%2A"),"?","%3F"),'Rules'!$G$7:$G$26,0)),""))</x:f>
      </x:c>
      <x:c r="I250" s="6" t="str">
        <x:f>IF(AND(NOT(COUNTA(A250:F250)=0),K250=""),ROUND(J250-D250,3),"")</x:f>
      </x:c>
      <x:c r="J250" s="6" t="str">
        <x:f>IF(AND(NOT(COUNTA(A250:F250)=0),K250=""),ROUND(F250+L250,3),"")</x:f>
      </x:c>
      <x:c r="K250" s="5" t="str">
        <x:f>IF(COUNTA(A250:F250)=0,"",IF(A250="","Missing equipment ID",IF(COUNTIFS($N$8:$N$2007,"="&amp;N250)&gt;1,"Duplicate equipment ID",IF(B250="","Missing type",IF(COUNTIFS('Rules'!$G$7:$G$26,"="&amp;(SUBSTITUTE(SUBSTITUTE(SUBSTITUTE(SUBSTITUTE("type:"&amp;B250,"%","%25"),"~","%7E"),"*","%2A"),"?","%3F")))=0,"Unknown type",IF(COUNTIFS('Rules'!$G$7:$G$26,"="&amp;(SUBSTITUTE(SUBSTITUTE(SUBSTITUTE(SUBSTITUTE("type:"&amp;B250,"%","%25"),"~","%7E"),"*","%2A"),"?","%3F")))&gt;1,"Duplicate type",IF(INDEX('Rules'!$F$7:$F$26,MATCH(SUBSTITUTE(SUBSTITUTE(SUBSTITUTE(SUBSTITUTE("type:"&amp;B250,"%","%25"),"~","%7E"),"*","%2A"),"?","%3F"),'Rules'!$G$7:$G$26,0))&lt;&gt;"",INDEX('Rules'!$F$7:$F$26,MATCH(SUBSTITUTE(SUBSTITUTE(SUBSTITUTE(SUBSTITUTE("type:"&amp;B250,"%","%25"),"~","%7E"),"*","%2A"),"?","%3F"),'Rules'!$G$7:$G$26,0)),IF(AND(C250&lt;&gt;"",C250&lt;&gt;INDEX('Rules'!$B$7:$B$26,MATCH(SUBSTITUTE(SUBSTITUTE(SUBSTITUTE(SUBSTITUTE("type:"&amp;B250,"%","%25"),"~","%7E"),"*","%2A"),"?","%3F"),'Rules'!$G$7:$G$26,0))),"Unit mismatch",IF(IF(NOT(ISNUMBER(D250)),TRUE,OR(D250&lt;0,D250&gt;999999999,ROUND(D250,3)&lt;&gt;D250)),"Invalid current reading",IF(AND(E250&lt;&gt;"",IF(NOT(ISNUMBER(E250)),TRUE,OR(E250&lt;0,E250&gt;999999999,ROUND(E250,3)&lt;&gt;E250))),"Invalid previous reading",IF(IF(NOT(ISNUMBER(F250)),TRUE,OR(F250&lt;0,F250&gt;999999999,ROUND(F250,3)&lt;&gt;F250)),"Invalid last service",IF(AND(E250&lt;&gt;"",D250&lt;E250),"Decreased reading",IF(F250&gt;D250,"Last service above current","")))))))))))))</x:f>
      </x:c>
      <x:c r="L250" s="6" t="str">
        <x:f>IF(AND(NOT(COUNTA(A250:F250)=0),K250=""),INDEX('Rules'!$C$7:$C$26,MATCH(SUBSTITUTE(SUBSTITUTE(SUBSTITUTE(SUBSTITUTE("type:"&amp;B250,"%","%25"),"~","%7E"),"*","%2A"),"?","%3F"),'Rules'!$G$7:$G$26,0)),"")</x:f>
      </x:c>
      <x:c r="M250" s="6" t="str">
        <x:f>IF(AND(NOT(COUNTA(A250:F250)=0),K250=""),INDEX('Rules'!$D$7:$D$26,MATCH(SUBSTITUTE(SUBSTITUTE(SUBSTITUTE(SUBSTITUTE("type:"&amp;B250,"%","%25"),"~","%7E"),"*","%2A"),"?","%3F"),'Rules'!$G$7:$G$26,0)),"")</x:f>
      </x:c>
      <x:c r="N250" s="5" t="str">
        <x:f>IF(COUNTA(A250:F250)=0,"",SUBSTITUTE(SUBSTITUTE(SUBSTITUTE(SUBSTITUTE("id:"&amp;A250,"%","%25"),"~","%7E"),"*","%2A"),"?","%3F"))</x:f>
      </x:c>
    </x:row>
    <x:row r="251" ht="22" customHeight="1">
      <x:c r="A251" s="3"/>
      <x:c r="B251" s="3"/>
      <x:c r="C251" s="3"/>
      <x:c r="D251" s="4"/>
      <x:c r="E251" s="4"/>
      <x:c r="F251" s="4"/>
      <x:c r="G251" s="5" t="str">
        <x:f>IF(COUNTA(A251:F251)=0,"",IF(K251&lt;&gt;"","Review",IF(I251&lt;0,"Overdue",IF(I251=0,"Due now",IF(I251&lt;=M251,"Due soon","Not due")))))</x:f>
      </x:c>
      <x:c r="H251" s="5" t="str">
        <x:f>IF(OR(COUNTA(A251:F251)=0,COUNTIFS('Rules'!$G$7:$G$26,"="&amp;(SUBSTITUTE(SUBSTITUTE(SUBSTITUTE(SUBSTITUTE("type:"&amp;B251,"%","%25"),"~","%7E"),"*","%2A"),"?","%3F")))&lt;&gt;1),"",IF(OR(INDEX('Rules'!$B$7:$B$26,MATCH(SUBSTITUTE(SUBSTITUTE(SUBSTITUTE(SUBSTITUTE("type:"&amp;B251,"%","%25"),"~","%7E"),"*","%2A"),"?","%3F"),'Rules'!$G$7:$G$26,0))="hours",INDEX('Rules'!$B$7:$B$26,MATCH(SUBSTITUTE(SUBSTITUTE(SUBSTITUTE(SUBSTITUTE("type:"&amp;B251,"%","%25"),"~","%7E"),"*","%2A"),"?","%3F"),'Rules'!$G$7:$G$26,0))="km"),INDEX('Rules'!$B$7:$B$26,MATCH(SUBSTITUTE(SUBSTITUTE(SUBSTITUTE(SUBSTITUTE("type:"&amp;B251,"%","%25"),"~","%7E"),"*","%2A"),"?","%3F"),'Rules'!$G$7:$G$26,0)),""))</x:f>
      </x:c>
      <x:c r="I251" s="6" t="str">
        <x:f>IF(AND(NOT(COUNTA(A251:F251)=0),K251=""),ROUND(J251-D251,3),"")</x:f>
      </x:c>
      <x:c r="J251" s="6" t="str">
        <x:f>IF(AND(NOT(COUNTA(A251:F251)=0),K251=""),ROUND(F251+L251,3),"")</x:f>
      </x:c>
      <x:c r="K251" s="5" t="str">
        <x:f>IF(COUNTA(A251:F251)=0,"",IF(A251="","Missing equipment ID",IF(COUNTIFS($N$8:$N$2007,"="&amp;N251)&gt;1,"Duplicate equipment ID",IF(B251="","Missing type",IF(COUNTIFS('Rules'!$G$7:$G$26,"="&amp;(SUBSTITUTE(SUBSTITUTE(SUBSTITUTE(SUBSTITUTE("type:"&amp;B251,"%","%25"),"~","%7E"),"*","%2A"),"?","%3F")))=0,"Unknown type",IF(COUNTIFS('Rules'!$G$7:$G$26,"="&amp;(SUBSTITUTE(SUBSTITUTE(SUBSTITUTE(SUBSTITUTE("type:"&amp;B251,"%","%25"),"~","%7E"),"*","%2A"),"?","%3F")))&gt;1,"Duplicate type",IF(INDEX('Rules'!$F$7:$F$26,MATCH(SUBSTITUTE(SUBSTITUTE(SUBSTITUTE(SUBSTITUTE("type:"&amp;B251,"%","%25"),"~","%7E"),"*","%2A"),"?","%3F"),'Rules'!$G$7:$G$26,0))&lt;&gt;"",INDEX('Rules'!$F$7:$F$26,MATCH(SUBSTITUTE(SUBSTITUTE(SUBSTITUTE(SUBSTITUTE("type:"&amp;B251,"%","%25"),"~","%7E"),"*","%2A"),"?","%3F"),'Rules'!$G$7:$G$26,0)),IF(AND(C251&lt;&gt;"",C251&lt;&gt;INDEX('Rules'!$B$7:$B$26,MATCH(SUBSTITUTE(SUBSTITUTE(SUBSTITUTE(SUBSTITUTE("type:"&amp;B251,"%","%25"),"~","%7E"),"*","%2A"),"?","%3F"),'Rules'!$G$7:$G$26,0))),"Unit mismatch",IF(IF(NOT(ISNUMBER(D251)),TRUE,OR(D251&lt;0,D251&gt;999999999,ROUND(D251,3)&lt;&gt;D251)),"Invalid current reading",IF(AND(E251&lt;&gt;"",IF(NOT(ISNUMBER(E251)),TRUE,OR(E251&lt;0,E251&gt;999999999,ROUND(E251,3)&lt;&gt;E251))),"Invalid previous reading",IF(IF(NOT(ISNUMBER(F251)),TRUE,OR(F251&lt;0,F251&gt;999999999,ROUND(F251,3)&lt;&gt;F251)),"Invalid last service",IF(AND(E251&lt;&gt;"",D251&lt;E251),"Decreased reading",IF(F251&gt;D251,"Last service above current","")))))))))))))</x:f>
      </x:c>
      <x:c r="L251" s="6" t="str">
        <x:f>IF(AND(NOT(COUNTA(A251:F251)=0),K251=""),INDEX('Rules'!$C$7:$C$26,MATCH(SUBSTITUTE(SUBSTITUTE(SUBSTITUTE(SUBSTITUTE("type:"&amp;B251,"%","%25"),"~","%7E"),"*","%2A"),"?","%3F"),'Rules'!$G$7:$G$26,0)),"")</x:f>
      </x:c>
      <x:c r="M251" s="6" t="str">
        <x:f>IF(AND(NOT(COUNTA(A251:F251)=0),K251=""),INDEX('Rules'!$D$7:$D$26,MATCH(SUBSTITUTE(SUBSTITUTE(SUBSTITUTE(SUBSTITUTE("type:"&amp;B251,"%","%25"),"~","%7E"),"*","%2A"),"?","%3F"),'Rules'!$G$7:$G$26,0)),"")</x:f>
      </x:c>
      <x:c r="N251" s="5" t="str">
        <x:f>IF(COUNTA(A251:F251)=0,"",SUBSTITUTE(SUBSTITUTE(SUBSTITUTE(SUBSTITUTE("id:"&amp;A251,"%","%25"),"~","%7E"),"*","%2A"),"?","%3F"))</x:f>
      </x:c>
    </x:row>
    <x:row r="252" ht="22" customHeight="1">
      <x:c r="A252" s="3"/>
      <x:c r="B252" s="3"/>
      <x:c r="C252" s="3"/>
      <x:c r="D252" s="4"/>
      <x:c r="E252" s="4"/>
      <x:c r="F252" s="4"/>
      <x:c r="G252" s="5" t="str">
        <x:f>IF(COUNTA(A252:F252)=0,"",IF(K252&lt;&gt;"","Review",IF(I252&lt;0,"Overdue",IF(I252=0,"Due now",IF(I252&lt;=M252,"Due soon","Not due")))))</x:f>
      </x:c>
      <x:c r="H252" s="5" t="str">
        <x:f>IF(OR(COUNTA(A252:F252)=0,COUNTIFS('Rules'!$G$7:$G$26,"="&amp;(SUBSTITUTE(SUBSTITUTE(SUBSTITUTE(SUBSTITUTE("type:"&amp;B252,"%","%25"),"~","%7E"),"*","%2A"),"?","%3F")))&lt;&gt;1),"",IF(OR(INDEX('Rules'!$B$7:$B$26,MATCH(SUBSTITUTE(SUBSTITUTE(SUBSTITUTE(SUBSTITUTE("type:"&amp;B252,"%","%25"),"~","%7E"),"*","%2A"),"?","%3F"),'Rules'!$G$7:$G$26,0))="hours",INDEX('Rules'!$B$7:$B$26,MATCH(SUBSTITUTE(SUBSTITUTE(SUBSTITUTE(SUBSTITUTE("type:"&amp;B252,"%","%25"),"~","%7E"),"*","%2A"),"?","%3F"),'Rules'!$G$7:$G$26,0))="km"),INDEX('Rules'!$B$7:$B$26,MATCH(SUBSTITUTE(SUBSTITUTE(SUBSTITUTE(SUBSTITUTE("type:"&amp;B252,"%","%25"),"~","%7E"),"*","%2A"),"?","%3F"),'Rules'!$G$7:$G$26,0)),""))</x:f>
      </x:c>
      <x:c r="I252" s="6" t="str">
        <x:f>IF(AND(NOT(COUNTA(A252:F252)=0),K252=""),ROUND(J252-D252,3),"")</x:f>
      </x:c>
      <x:c r="J252" s="6" t="str">
        <x:f>IF(AND(NOT(COUNTA(A252:F252)=0),K252=""),ROUND(F252+L252,3),"")</x:f>
      </x:c>
      <x:c r="K252" s="5" t="str">
        <x:f>IF(COUNTA(A252:F252)=0,"",IF(A252="","Missing equipment ID",IF(COUNTIFS($N$8:$N$2007,"="&amp;N252)&gt;1,"Duplicate equipment ID",IF(B252="","Missing type",IF(COUNTIFS('Rules'!$G$7:$G$26,"="&amp;(SUBSTITUTE(SUBSTITUTE(SUBSTITUTE(SUBSTITUTE("type:"&amp;B252,"%","%25"),"~","%7E"),"*","%2A"),"?","%3F")))=0,"Unknown type",IF(COUNTIFS('Rules'!$G$7:$G$26,"="&amp;(SUBSTITUTE(SUBSTITUTE(SUBSTITUTE(SUBSTITUTE("type:"&amp;B252,"%","%25"),"~","%7E"),"*","%2A"),"?","%3F")))&gt;1,"Duplicate type",IF(INDEX('Rules'!$F$7:$F$26,MATCH(SUBSTITUTE(SUBSTITUTE(SUBSTITUTE(SUBSTITUTE("type:"&amp;B252,"%","%25"),"~","%7E"),"*","%2A"),"?","%3F"),'Rules'!$G$7:$G$26,0))&lt;&gt;"",INDEX('Rules'!$F$7:$F$26,MATCH(SUBSTITUTE(SUBSTITUTE(SUBSTITUTE(SUBSTITUTE("type:"&amp;B252,"%","%25"),"~","%7E"),"*","%2A"),"?","%3F"),'Rules'!$G$7:$G$26,0)),IF(AND(C252&lt;&gt;"",C252&lt;&gt;INDEX('Rules'!$B$7:$B$26,MATCH(SUBSTITUTE(SUBSTITUTE(SUBSTITUTE(SUBSTITUTE("type:"&amp;B252,"%","%25"),"~","%7E"),"*","%2A"),"?","%3F"),'Rules'!$G$7:$G$26,0))),"Unit mismatch",IF(IF(NOT(ISNUMBER(D252)),TRUE,OR(D252&lt;0,D252&gt;999999999,ROUND(D252,3)&lt;&gt;D252)),"Invalid current reading",IF(AND(E252&lt;&gt;"",IF(NOT(ISNUMBER(E252)),TRUE,OR(E252&lt;0,E252&gt;999999999,ROUND(E252,3)&lt;&gt;E252))),"Invalid previous reading",IF(IF(NOT(ISNUMBER(F252)),TRUE,OR(F252&lt;0,F252&gt;999999999,ROUND(F252,3)&lt;&gt;F252)),"Invalid last service",IF(AND(E252&lt;&gt;"",D252&lt;E252),"Decreased reading",IF(F252&gt;D252,"Last service above current","")))))))))))))</x:f>
      </x:c>
      <x:c r="L252" s="6" t="str">
        <x:f>IF(AND(NOT(COUNTA(A252:F252)=0),K252=""),INDEX('Rules'!$C$7:$C$26,MATCH(SUBSTITUTE(SUBSTITUTE(SUBSTITUTE(SUBSTITUTE("type:"&amp;B252,"%","%25"),"~","%7E"),"*","%2A"),"?","%3F"),'Rules'!$G$7:$G$26,0)),"")</x:f>
      </x:c>
      <x:c r="M252" s="6" t="str">
        <x:f>IF(AND(NOT(COUNTA(A252:F252)=0),K252=""),INDEX('Rules'!$D$7:$D$26,MATCH(SUBSTITUTE(SUBSTITUTE(SUBSTITUTE(SUBSTITUTE("type:"&amp;B252,"%","%25"),"~","%7E"),"*","%2A"),"?","%3F"),'Rules'!$G$7:$G$26,0)),"")</x:f>
      </x:c>
      <x:c r="N252" s="5" t="str">
        <x:f>IF(COUNTA(A252:F252)=0,"",SUBSTITUTE(SUBSTITUTE(SUBSTITUTE(SUBSTITUTE("id:"&amp;A252,"%","%25"),"~","%7E"),"*","%2A"),"?","%3F"))</x:f>
      </x:c>
    </x:row>
    <x:row r="253" ht="22" customHeight="1">
      <x:c r="A253" s="3"/>
      <x:c r="B253" s="3"/>
      <x:c r="C253" s="3"/>
      <x:c r="D253" s="4"/>
      <x:c r="E253" s="4"/>
      <x:c r="F253" s="4"/>
      <x:c r="G253" s="5" t="str">
        <x:f>IF(COUNTA(A253:F253)=0,"",IF(K253&lt;&gt;"","Review",IF(I253&lt;0,"Overdue",IF(I253=0,"Due now",IF(I253&lt;=M253,"Due soon","Not due")))))</x:f>
      </x:c>
      <x:c r="H253" s="5" t="str">
        <x:f>IF(OR(COUNTA(A253:F253)=0,COUNTIFS('Rules'!$G$7:$G$26,"="&amp;(SUBSTITUTE(SUBSTITUTE(SUBSTITUTE(SUBSTITUTE("type:"&amp;B253,"%","%25"),"~","%7E"),"*","%2A"),"?","%3F")))&lt;&gt;1),"",IF(OR(INDEX('Rules'!$B$7:$B$26,MATCH(SUBSTITUTE(SUBSTITUTE(SUBSTITUTE(SUBSTITUTE("type:"&amp;B253,"%","%25"),"~","%7E"),"*","%2A"),"?","%3F"),'Rules'!$G$7:$G$26,0))="hours",INDEX('Rules'!$B$7:$B$26,MATCH(SUBSTITUTE(SUBSTITUTE(SUBSTITUTE(SUBSTITUTE("type:"&amp;B253,"%","%25"),"~","%7E"),"*","%2A"),"?","%3F"),'Rules'!$G$7:$G$26,0))="km"),INDEX('Rules'!$B$7:$B$26,MATCH(SUBSTITUTE(SUBSTITUTE(SUBSTITUTE(SUBSTITUTE("type:"&amp;B253,"%","%25"),"~","%7E"),"*","%2A"),"?","%3F"),'Rules'!$G$7:$G$26,0)),""))</x:f>
      </x:c>
      <x:c r="I253" s="6" t="str">
        <x:f>IF(AND(NOT(COUNTA(A253:F253)=0),K253=""),ROUND(J253-D253,3),"")</x:f>
      </x:c>
      <x:c r="J253" s="6" t="str">
        <x:f>IF(AND(NOT(COUNTA(A253:F253)=0),K253=""),ROUND(F253+L253,3),"")</x:f>
      </x:c>
      <x:c r="K253" s="5" t="str">
        <x:f>IF(COUNTA(A253:F253)=0,"",IF(A253="","Missing equipment ID",IF(COUNTIFS($N$8:$N$2007,"="&amp;N253)&gt;1,"Duplicate equipment ID",IF(B253="","Missing type",IF(COUNTIFS('Rules'!$G$7:$G$26,"="&amp;(SUBSTITUTE(SUBSTITUTE(SUBSTITUTE(SUBSTITUTE("type:"&amp;B253,"%","%25"),"~","%7E"),"*","%2A"),"?","%3F")))=0,"Unknown type",IF(COUNTIFS('Rules'!$G$7:$G$26,"="&amp;(SUBSTITUTE(SUBSTITUTE(SUBSTITUTE(SUBSTITUTE("type:"&amp;B253,"%","%25"),"~","%7E"),"*","%2A"),"?","%3F")))&gt;1,"Duplicate type",IF(INDEX('Rules'!$F$7:$F$26,MATCH(SUBSTITUTE(SUBSTITUTE(SUBSTITUTE(SUBSTITUTE("type:"&amp;B253,"%","%25"),"~","%7E"),"*","%2A"),"?","%3F"),'Rules'!$G$7:$G$26,0))&lt;&gt;"",INDEX('Rules'!$F$7:$F$26,MATCH(SUBSTITUTE(SUBSTITUTE(SUBSTITUTE(SUBSTITUTE("type:"&amp;B253,"%","%25"),"~","%7E"),"*","%2A"),"?","%3F"),'Rules'!$G$7:$G$26,0)),IF(AND(C253&lt;&gt;"",C253&lt;&gt;INDEX('Rules'!$B$7:$B$26,MATCH(SUBSTITUTE(SUBSTITUTE(SUBSTITUTE(SUBSTITUTE("type:"&amp;B253,"%","%25"),"~","%7E"),"*","%2A"),"?","%3F"),'Rules'!$G$7:$G$26,0))),"Unit mismatch",IF(IF(NOT(ISNUMBER(D253)),TRUE,OR(D253&lt;0,D253&gt;999999999,ROUND(D253,3)&lt;&gt;D253)),"Invalid current reading",IF(AND(E253&lt;&gt;"",IF(NOT(ISNUMBER(E253)),TRUE,OR(E253&lt;0,E253&gt;999999999,ROUND(E253,3)&lt;&gt;E253))),"Invalid previous reading",IF(IF(NOT(ISNUMBER(F253)),TRUE,OR(F253&lt;0,F253&gt;999999999,ROUND(F253,3)&lt;&gt;F253)),"Invalid last service",IF(AND(E253&lt;&gt;"",D253&lt;E253),"Decreased reading",IF(F253&gt;D253,"Last service above current","")))))))))))))</x:f>
      </x:c>
      <x:c r="L253" s="6" t="str">
        <x:f>IF(AND(NOT(COUNTA(A253:F253)=0),K253=""),INDEX('Rules'!$C$7:$C$26,MATCH(SUBSTITUTE(SUBSTITUTE(SUBSTITUTE(SUBSTITUTE("type:"&amp;B253,"%","%25"),"~","%7E"),"*","%2A"),"?","%3F"),'Rules'!$G$7:$G$26,0)),"")</x:f>
      </x:c>
      <x:c r="M253" s="6" t="str">
        <x:f>IF(AND(NOT(COUNTA(A253:F253)=0),K253=""),INDEX('Rules'!$D$7:$D$26,MATCH(SUBSTITUTE(SUBSTITUTE(SUBSTITUTE(SUBSTITUTE("type:"&amp;B253,"%","%25"),"~","%7E"),"*","%2A"),"?","%3F"),'Rules'!$G$7:$G$26,0)),"")</x:f>
      </x:c>
      <x:c r="N253" s="5" t="str">
        <x:f>IF(COUNTA(A253:F253)=0,"",SUBSTITUTE(SUBSTITUTE(SUBSTITUTE(SUBSTITUTE("id:"&amp;A253,"%","%25"),"~","%7E"),"*","%2A"),"?","%3F"))</x:f>
      </x:c>
    </x:row>
    <x:row r="254" ht="22" customHeight="1">
      <x:c r="A254" s="3"/>
      <x:c r="B254" s="3"/>
      <x:c r="C254" s="3"/>
      <x:c r="D254" s="4"/>
      <x:c r="E254" s="4"/>
      <x:c r="F254" s="4"/>
      <x:c r="G254" s="5" t="str">
        <x:f>IF(COUNTA(A254:F254)=0,"",IF(K254&lt;&gt;"","Review",IF(I254&lt;0,"Overdue",IF(I254=0,"Due now",IF(I254&lt;=M254,"Due soon","Not due")))))</x:f>
      </x:c>
      <x:c r="H254" s="5" t="str">
        <x:f>IF(OR(COUNTA(A254:F254)=0,COUNTIFS('Rules'!$G$7:$G$26,"="&amp;(SUBSTITUTE(SUBSTITUTE(SUBSTITUTE(SUBSTITUTE("type:"&amp;B254,"%","%25"),"~","%7E"),"*","%2A"),"?","%3F")))&lt;&gt;1),"",IF(OR(INDEX('Rules'!$B$7:$B$26,MATCH(SUBSTITUTE(SUBSTITUTE(SUBSTITUTE(SUBSTITUTE("type:"&amp;B254,"%","%25"),"~","%7E"),"*","%2A"),"?","%3F"),'Rules'!$G$7:$G$26,0))="hours",INDEX('Rules'!$B$7:$B$26,MATCH(SUBSTITUTE(SUBSTITUTE(SUBSTITUTE(SUBSTITUTE("type:"&amp;B254,"%","%25"),"~","%7E"),"*","%2A"),"?","%3F"),'Rules'!$G$7:$G$26,0))="km"),INDEX('Rules'!$B$7:$B$26,MATCH(SUBSTITUTE(SUBSTITUTE(SUBSTITUTE(SUBSTITUTE("type:"&amp;B254,"%","%25"),"~","%7E"),"*","%2A"),"?","%3F"),'Rules'!$G$7:$G$26,0)),""))</x:f>
      </x:c>
      <x:c r="I254" s="6" t="str">
        <x:f>IF(AND(NOT(COUNTA(A254:F254)=0),K254=""),ROUND(J254-D254,3),"")</x:f>
      </x:c>
      <x:c r="J254" s="6" t="str">
        <x:f>IF(AND(NOT(COUNTA(A254:F254)=0),K254=""),ROUND(F254+L254,3),"")</x:f>
      </x:c>
      <x:c r="K254" s="5" t="str">
        <x:f>IF(COUNTA(A254:F254)=0,"",IF(A254="","Missing equipment ID",IF(COUNTIFS($N$8:$N$2007,"="&amp;N254)&gt;1,"Duplicate equipment ID",IF(B254="","Missing type",IF(COUNTIFS('Rules'!$G$7:$G$26,"="&amp;(SUBSTITUTE(SUBSTITUTE(SUBSTITUTE(SUBSTITUTE("type:"&amp;B254,"%","%25"),"~","%7E"),"*","%2A"),"?","%3F")))=0,"Unknown type",IF(COUNTIFS('Rules'!$G$7:$G$26,"="&amp;(SUBSTITUTE(SUBSTITUTE(SUBSTITUTE(SUBSTITUTE("type:"&amp;B254,"%","%25"),"~","%7E"),"*","%2A"),"?","%3F")))&gt;1,"Duplicate type",IF(INDEX('Rules'!$F$7:$F$26,MATCH(SUBSTITUTE(SUBSTITUTE(SUBSTITUTE(SUBSTITUTE("type:"&amp;B254,"%","%25"),"~","%7E"),"*","%2A"),"?","%3F"),'Rules'!$G$7:$G$26,0))&lt;&gt;"",INDEX('Rules'!$F$7:$F$26,MATCH(SUBSTITUTE(SUBSTITUTE(SUBSTITUTE(SUBSTITUTE("type:"&amp;B254,"%","%25"),"~","%7E"),"*","%2A"),"?","%3F"),'Rules'!$G$7:$G$26,0)),IF(AND(C254&lt;&gt;"",C254&lt;&gt;INDEX('Rules'!$B$7:$B$26,MATCH(SUBSTITUTE(SUBSTITUTE(SUBSTITUTE(SUBSTITUTE("type:"&amp;B254,"%","%25"),"~","%7E"),"*","%2A"),"?","%3F"),'Rules'!$G$7:$G$26,0))),"Unit mismatch",IF(IF(NOT(ISNUMBER(D254)),TRUE,OR(D254&lt;0,D254&gt;999999999,ROUND(D254,3)&lt;&gt;D254)),"Invalid current reading",IF(AND(E254&lt;&gt;"",IF(NOT(ISNUMBER(E254)),TRUE,OR(E254&lt;0,E254&gt;999999999,ROUND(E254,3)&lt;&gt;E254))),"Invalid previous reading",IF(IF(NOT(ISNUMBER(F254)),TRUE,OR(F254&lt;0,F254&gt;999999999,ROUND(F254,3)&lt;&gt;F254)),"Invalid last service",IF(AND(E254&lt;&gt;"",D254&lt;E254),"Decreased reading",IF(F254&gt;D254,"Last service above current","")))))))))))))</x:f>
      </x:c>
      <x:c r="L254" s="6" t="str">
        <x:f>IF(AND(NOT(COUNTA(A254:F254)=0),K254=""),INDEX('Rules'!$C$7:$C$26,MATCH(SUBSTITUTE(SUBSTITUTE(SUBSTITUTE(SUBSTITUTE("type:"&amp;B254,"%","%25"),"~","%7E"),"*","%2A"),"?","%3F"),'Rules'!$G$7:$G$26,0)),"")</x:f>
      </x:c>
      <x:c r="M254" s="6" t="str">
        <x:f>IF(AND(NOT(COUNTA(A254:F254)=0),K254=""),INDEX('Rules'!$D$7:$D$26,MATCH(SUBSTITUTE(SUBSTITUTE(SUBSTITUTE(SUBSTITUTE("type:"&amp;B254,"%","%25"),"~","%7E"),"*","%2A"),"?","%3F"),'Rules'!$G$7:$G$26,0)),"")</x:f>
      </x:c>
      <x:c r="N254" s="5" t="str">
        <x:f>IF(COUNTA(A254:F254)=0,"",SUBSTITUTE(SUBSTITUTE(SUBSTITUTE(SUBSTITUTE("id:"&amp;A254,"%","%25"),"~","%7E"),"*","%2A"),"?","%3F"))</x:f>
      </x:c>
    </x:row>
    <x:row r="255" ht="22" customHeight="1">
      <x:c r="A255" s="3"/>
      <x:c r="B255" s="3"/>
      <x:c r="C255" s="3"/>
      <x:c r="D255" s="4"/>
      <x:c r="E255" s="4"/>
      <x:c r="F255" s="4"/>
      <x:c r="G255" s="5" t="str">
        <x:f>IF(COUNTA(A255:F255)=0,"",IF(K255&lt;&gt;"","Review",IF(I255&lt;0,"Overdue",IF(I255=0,"Due now",IF(I255&lt;=M255,"Due soon","Not due")))))</x:f>
      </x:c>
      <x:c r="H255" s="5" t="str">
        <x:f>IF(OR(COUNTA(A255:F255)=0,COUNTIFS('Rules'!$G$7:$G$26,"="&amp;(SUBSTITUTE(SUBSTITUTE(SUBSTITUTE(SUBSTITUTE("type:"&amp;B255,"%","%25"),"~","%7E"),"*","%2A"),"?","%3F")))&lt;&gt;1),"",IF(OR(INDEX('Rules'!$B$7:$B$26,MATCH(SUBSTITUTE(SUBSTITUTE(SUBSTITUTE(SUBSTITUTE("type:"&amp;B255,"%","%25"),"~","%7E"),"*","%2A"),"?","%3F"),'Rules'!$G$7:$G$26,0))="hours",INDEX('Rules'!$B$7:$B$26,MATCH(SUBSTITUTE(SUBSTITUTE(SUBSTITUTE(SUBSTITUTE("type:"&amp;B255,"%","%25"),"~","%7E"),"*","%2A"),"?","%3F"),'Rules'!$G$7:$G$26,0))="km"),INDEX('Rules'!$B$7:$B$26,MATCH(SUBSTITUTE(SUBSTITUTE(SUBSTITUTE(SUBSTITUTE("type:"&amp;B255,"%","%25"),"~","%7E"),"*","%2A"),"?","%3F"),'Rules'!$G$7:$G$26,0)),""))</x:f>
      </x:c>
      <x:c r="I255" s="6" t="str">
        <x:f>IF(AND(NOT(COUNTA(A255:F255)=0),K255=""),ROUND(J255-D255,3),"")</x:f>
      </x:c>
      <x:c r="J255" s="6" t="str">
        <x:f>IF(AND(NOT(COUNTA(A255:F255)=0),K255=""),ROUND(F255+L255,3),"")</x:f>
      </x:c>
      <x:c r="K255" s="5" t="str">
        <x:f>IF(COUNTA(A255:F255)=0,"",IF(A255="","Missing equipment ID",IF(COUNTIFS($N$8:$N$2007,"="&amp;N255)&gt;1,"Duplicate equipment ID",IF(B255="","Missing type",IF(COUNTIFS('Rules'!$G$7:$G$26,"="&amp;(SUBSTITUTE(SUBSTITUTE(SUBSTITUTE(SUBSTITUTE("type:"&amp;B255,"%","%25"),"~","%7E"),"*","%2A"),"?","%3F")))=0,"Unknown type",IF(COUNTIFS('Rules'!$G$7:$G$26,"="&amp;(SUBSTITUTE(SUBSTITUTE(SUBSTITUTE(SUBSTITUTE("type:"&amp;B255,"%","%25"),"~","%7E"),"*","%2A"),"?","%3F")))&gt;1,"Duplicate type",IF(INDEX('Rules'!$F$7:$F$26,MATCH(SUBSTITUTE(SUBSTITUTE(SUBSTITUTE(SUBSTITUTE("type:"&amp;B255,"%","%25"),"~","%7E"),"*","%2A"),"?","%3F"),'Rules'!$G$7:$G$26,0))&lt;&gt;"",INDEX('Rules'!$F$7:$F$26,MATCH(SUBSTITUTE(SUBSTITUTE(SUBSTITUTE(SUBSTITUTE("type:"&amp;B255,"%","%25"),"~","%7E"),"*","%2A"),"?","%3F"),'Rules'!$G$7:$G$26,0)),IF(AND(C255&lt;&gt;"",C255&lt;&gt;INDEX('Rules'!$B$7:$B$26,MATCH(SUBSTITUTE(SUBSTITUTE(SUBSTITUTE(SUBSTITUTE("type:"&amp;B255,"%","%25"),"~","%7E"),"*","%2A"),"?","%3F"),'Rules'!$G$7:$G$26,0))),"Unit mismatch",IF(IF(NOT(ISNUMBER(D255)),TRUE,OR(D255&lt;0,D255&gt;999999999,ROUND(D255,3)&lt;&gt;D255)),"Invalid current reading",IF(AND(E255&lt;&gt;"",IF(NOT(ISNUMBER(E255)),TRUE,OR(E255&lt;0,E255&gt;999999999,ROUND(E255,3)&lt;&gt;E255))),"Invalid previous reading",IF(IF(NOT(ISNUMBER(F255)),TRUE,OR(F255&lt;0,F255&gt;999999999,ROUND(F255,3)&lt;&gt;F255)),"Invalid last service",IF(AND(E255&lt;&gt;"",D255&lt;E255),"Decreased reading",IF(F255&gt;D255,"Last service above current","")))))))))))))</x:f>
      </x:c>
      <x:c r="L255" s="6" t="str">
        <x:f>IF(AND(NOT(COUNTA(A255:F255)=0),K255=""),INDEX('Rules'!$C$7:$C$26,MATCH(SUBSTITUTE(SUBSTITUTE(SUBSTITUTE(SUBSTITUTE("type:"&amp;B255,"%","%25"),"~","%7E"),"*","%2A"),"?","%3F"),'Rules'!$G$7:$G$26,0)),"")</x:f>
      </x:c>
      <x:c r="M255" s="6" t="str">
        <x:f>IF(AND(NOT(COUNTA(A255:F255)=0),K255=""),INDEX('Rules'!$D$7:$D$26,MATCH(SUBSTITUTE(SUBSTITUTE(SUBSTITUTE(SUBSTITUTE("type:"&amp;B255,"%","%25"),"~","%7E"),"*","%2A"),"?","%3F"),'Rules'!$G$7:$G$26,0)),"")</x:f>
      </x:c>
      <x:c r="N255" s="5" t="str">
        <x:f>IF(COUNTA(A255:F255)=0,"",SUBSTITUTE(SUBSTITUTE(SUBSTITUTE(SUBSTITUTE("id:"&amp;A255,"%","%25"),"~","%7E"),"*","%2A"),"?","%3F"))</x:f>
      </x:c>
    </x:row>
    <x:row r="256" ht="22" customHeight="1">
      <x:c r="A256" s="3"/>
      <x:c r="B256" s="3"/>
      <x:c r="C256" s="3"/>
      <x:c r="D256" s="4"/>
      <x:c r="E256" s="4"/>
      <x:c r="F256" s="4"/>
      <x:c r="G256" s="5" t="str">
        <x:f>IF(COUNTA(A256:F256)=0,"",IF(K256&lt;&gt;"","Review",IF(I256&lt;0,"Overdue",IF(I256=0,"Due now",IF(I256&lt;=M256,"Due soon","Not due")))))</x:f>
      </x:c>
      <x:c r="H256" s="5" t="str">
        <x:f>IF(OR(COUNTA(A256:F256)=0,COUNTIFS('Rules'!$G$7:$G$26,"="&amp;(SUBSTITUTE(SUBSTITUTE(SUBSTITUTE(SUBSTITUTE("type:"&amp;B256,"%","%25"),"~","%7E"),"*","%2A"),"?","%3F")))&lt;&gt;1),"",IF(OR(INDEX('Rules'!$B$7:$B$26,MATCH(SUBSTITUTE(SUBSTITUTE(SUBSTITUTE(SUBSTITUTE("type:"&amp;B256,"%","%25"),"~","%7E"),"*","%2A"),"?","%3F"),'Rules'!$G$7:$G$26,0))="hours",INDEX('Rules'!$B$7:$B$26,MATCH(SUBSTITUTE(SUBSTITUTE(SUBSTITUTE(SUBSTITUTE("type:"&amp;B256,"%","%25"),"~","%7E"),"*","%2A"),"?","%3F"),'Rules'!$G$7:$G$26,0))="km"),INDEX('Rules'!$B$7:$B$26,MATCH(SUBSTITUTE(SUBSTITUTE(SUBSTITUTE(SUBSTITUTE("type:"&amp;B256,"%","%25"),"~","%7E"),"*","%2A"),"?","%3F"),'Rules'!$G$7:$G$26,0)),""))</x:f>
      </x:c>
      <x:c r="I256" s="6" t="str">
        <x:f>IF(AND(NOT(COUNTA(A256:F256)=0),K256=""),ROUND(J256-D256,3),"")</x:f>
      </x:c>
      <x:c r="J256" s="6" t="str">
        <x:f>IF(AND(NOT(COUNTA(A256:F256)=0),K256=""),ROUND(F256+L256,3),"")</x:f>
      </x:c>
      <x:c r="K256" s="5" t="str">
        <x:f>IF(COUNTA(A256:F256)=0,"",IF(A256="","Missing equipment ID",IF(COUNTIFS($N$8:$N$2007,"="&amp;N256)&gt;1,"Duplicate equipment ID",IF(B256="","Missing type",IF(COUNTIFS('Rules'!$G$7:$G$26,"="&amp;(SUBSTITUTE(SUBSTITUTE(SUBSTITUTE(SUBSTITUTE("type:"&amp;B256,"%","%25"),"~","%7E"),"*","%2A"),"?","%3F")))=0,"Unknown type",IF(COUNTIFS('Rules'!$G$7:$G$26,"="&amp;(SUBSTITUTE(SUBSTITUTE(SUBSTITUTE(SUBSTITUTE("type:"&amp;B256,"%","%25"),"~","%7E"),"*","%2A"),"?","%3F")))&gt;1,"Duplicate type",IF(INDEX('Rules'!$F$7:$F$26,MATCH(SUBSTITUTE(SUBSTITUTE(SUBSTITUTE(SUBSTITUTE("type:"&amp;B256,"%","%25"),"~","%7E"),"*","%2A"),"?","%3F"),'Rules'!$G$7:$G$26,0))&lt;&gt;"",INDEX('Rules'!$F$7:$F$26,MATCH(SUBSTITUTE(SUBSTITUTE(SUBSTITUTE(SUBSTITUTE("type:"&amp;B256,"%","%25"),"~","%7E"),"*","%2A"),"?","%3F"),'Rules'!$G$7:$G$26,0)),IF(AND(C256&lt;&gt;"",C256&lt;&gt;INDEX('Rules'!$B$7:$B$26,MATCH(SUBSTITUTE(SUBSTITUTE(SUBSTITUTE(SUBSTITUTE("type:"&amp;B256,"%","%25"),"~","%7E"),"*","%2A"),"?","%3F"),'Rules'!$G$7:$G$26,0))),"Unit mismatch",IF(IF(NOT(ISNUMBER(D256)),TRUE,OR(D256&lt;0,D256&gt;999999999,ROUND(D256,3)&lt;&gt;D256)),"Invalid current reading",IF(AND(E256&lt;&gt;"",IF(NOT(ISNUMBER(E256)),TRUE,OR(E256&lt;0,E256&gt;999999999,ROUND(E256,3)&lt;&gt;E256))),"Invalid previous reading",IF(IF(NOT(ISNUMBER(F256)),TRUE,OR(F256&lt;0,F256&gt;999999999,ROUND(F256,3)&lt;&gt;F256)),"Invalid last service",IF(AND(E256&lt;&gt;"",D256&lt;E256),"Decreased reading",IF(F256&gt;D256,"Last service above current","")))))))))))))</x:f>
      </x:c>
      <x:c r="L256" s="6" t="str">
        <x:f>IF(AND(NOT(COUNTA(A256:F256)=0),K256=""),INDEX('Rules'!$C$7:$C$26,MATCH(SUBSTITUTE(SUBSTITUTE(SUBSTITUTE(SUBSTITUTE("type:"&amp;B256,"%","%25"),"~","%7E"),"*","%2A"),"?","%3F"),'Rules'!$G$7:$G$26,0)),"")</x:f>
      </x:c>
      <x:c r="M256" s="6" t="str">
        <x:f>IF(AND(NOT(COUNTA(A256:F256)=0),K256=""),INDEX('Rules'!$D$7:$D$26,MATCH(SUBSTITUTE(SUBSTITUTE(SUBSTITUTE(SUBSTITUTE("type:"&amp;B256,"%","%25"),"~","%7E"),"*","%2A"),"?","%3F"),'Rules'!$G$7:$G$26,0)),"")</x:f>
      </x:c>
      <x:c r="N256" s="5" t="str">
        <x:f>IF(COUNTA(A256:F256)=0,"",SUBSTITUTE(SUBSTITUTE(SUBSTITUTE(SUBSTITUTE("id:"&amp;A256,"%","%25"),"~","%7E"),"*","%2A"),"?","%3F"))</x:f>
      </x:c>
    </x:row>
    <x:row r="257" ht="22" customHeight="1">
      <x:c r="A257" s="3"/>
      <x:c r="B257" s="3"/>
      <x:c r="C257" s="3"/>
      <x:c r="D257" s="4"/>
      <x:c r="E257" s="4"/>
      <x:c r="F257" s="4"/>
      <x:c r="G257" s="5" t="str">
        <x:f>IF(COUNTA(A257:F257)=0,"",IF(K257&lt;&gt;"","Review",IF(I257&lt;0,"Overdue",IF(I257=0,"Due now",IF(I257&lt;=M257,"Due soon","Not due")))))</x:f>
      </x:c>
      <x:c r="H257" s="5" t="str">
        <x:f>IF(OR(COUNTA(A257:F257)=0,COUNTIFS('Rules'!$G$7:$G$26,"="&amp;(SUBSTITUTE(SUBSTITUTE(SUBSTITUTE(SUBSTITUTE("type:"&amp;B257,"%","%25"),"~","%7E"),"*","%2A"),"?","%3F")))&lt;&gt;1),"",IF(OR(INDEX('Rules'!$B$7:$B$26,MATCH(SUBSTITUTE(SUBSTITUTE(SUBSTITUTE(SUBSTITUTE("type:"&amp;B257,"%","%25"),"~","%7E"),"*","%2A"),"?","%3F"),'Rules'!$G$7:$G$26,0))="hours",INDEX('Rules'!$B$7:$B$26,MATCH(SUBSTITUTE(SUBSTITUTE(SUBSTITUTE(SUBSTITUTE("type:"&amp;B257,"%","%25"),"~","%7E"),"*","%2A"),"?","%3F"),'Rules'!$G$7:$G$26,0))="km"),INDEX('Rules'!$B$7:$B$26,MATCH(SUBSTITUTE(SUBSTITUTE(SUBSTITUTE(SUBSTITUTE("type:"&amp;B257,"%","%25"),"~","%7E"),"*","%2A"),"?","%3F"),'Rules'!$G$7:$G$26,0)),""))</x:f>
      </x:c>
      <x:c r="I257" s="6" t="str">
        <x:f>IF(AND(NOT(COUNTA(A257:F257)=0),K257=""),ROUND(J257-D257,3),"")</x:f>
      </x:c>
      <x:c r="J257" s="6" t="str">
        <x:f>IF(AND(NOT(COUNTA(A257:F257)=0),K257=""),ROUND(F257+L257,3),"")</x:f>
      </x:c>
      <x:c r="K257" s="5" t="str">
        <x:f>IF(COUNTA(A257:F257)=0,"",IF(A257="","Missing equipment ID",IF(COUNTIFS($N$8:$N$2007,"="&amp;N257)&gt;1,"Duplicate equipment ID",IF(B257="","Missing type",IF(COUNTIFS('Rules'!$G$7:$G$26,"="&amp;(SUBSTITUTE(SUBSTITUTE(SUBSTITUTE(SUBSTITUTE("type:"&amp;B257,"%","%25"),"~","%7E"),"*","%2A"),"?","%3F")))=0,"Unknown type",IF(COUNTIFS('Rules'!$G$7:$G$26,"="&amp;(SUBSTITUTE(SUBSTITUTE(SUBSTITUTE(SUBSTITUTE("type:"&amp;B257,"%","%25"),"~","%7E"),"*","%2A"),"?","%3F")))&gt;1,"Duplicate type",IF(INDEX('Rules'!$F$7:$F$26,MATCH(SUBSTITUTE(SUBSTITUTE(SUBSTITUTE(SUBSTITUTE("type:"&amp;B257,"%","%25"),"~","%7E"),"*","%2A"),"?","%3F"),'Rules'!$G$7:$G$26,0))&lt;&gt;"",INDEX('Rules'!$F$7:$F$26,MATCH(SUBSTITUTE(SUBSTITUTE(SUBSTITUTE(SUBSTITUTE("type:"&amp;B257,"%","%25"),"~","%7E"),"*","%2A"),"?","%3F"),'Rules'!$G$7:$G$26,0)),IF(AND(C257&lt;&gt;"",C257&lt;&gt;INDEX('Rules'!$B$7:$B$26,MATCH(SUBSTITUTE(SUBSTITUTE(SUBSTITUTE(SUBSTITUTE("type:"&amp;B257,"%","%25"),"~","%7E"),"*","%2A"),"?","%3F"),'Rules'!$G$7:$G$26,0))),"Unit mismatch",IF(IF(NOT(ISNUMBER(D257)),TRUE,OR(D257&lt;0,D257&gt;999999999,ROUND(D257,3)&lt;&gt;D257)),"Invalid current reading",IF(AND(E257&lt;&gt;"",IF(NOT(ISNUMBER(E257)),TRUE,OR(E257&lt;0,E257&gt;999999999,ROUND(E257,3)&lt;&gt;E257))),"Invalid previous reading",IF(IF(NOT(ISNUMBER(F257)),TRUE,OR(F257&lt;0,F257&gt;999999999,ROUND(F257,3)&lt;&gt;F257)),"Invalid last service",IF(AND(E257&lt;&gt;"",D257&lt;E257),"Decreased reading",IF(F257&gt;D257,"Last service above current","")))))))))))))</x:f>
      </x:c>
      <x:c r="L257" s="6" t="str">
        <x:f>IF(AND(NOT(COUNTA(A257:F257)=0),K257=""),INDEX('Rules'!$C$7:$C$26,MATCH(SUBSTITUTE(SUBSTITUTE(SUBSTITUTE(SUBSTITUTE("type:"&amp;B257,"%","%25"),"~","%7E"),"*","%2A"),"?","%3F"),'Rules'!$G$7:$G$26,0)),"")</x:f>
      </x:c>
      <x:c r="M257" s="6" t="str">
        <x:f>IF(AND(NOT(COUNTA(A257:F257)=0),K257=""),INDEX('Rules'!$D$7:$D$26,MATCH(SUBSTITUTE(SUBSTITUTE(SUBSTITUTE(SUBSTITUTE("type:"&amp;B257,"%","%25"),"~","%7E"),"*","%2A"),"?","%3F"),'Rules'!$G$7:$G$26,0)),"")</x:f>
      </x:c>
      <x:c r="N257" s="5" t="str">
        <x:f>IF(COUNTA(A257:F257)=0,"",SUBSTITUTE(SUBSTITUTE(SUBSTITUTE(SUBSTITUTE("id:"&amp;A257,"%","%25"),"~","%7E"),"*","%2A"),"?","%3F"))</x:f>
      </x:c>
    </x:row>
    <x:row r="258" ht="22" customHeight="1">
      <x:c r="A258" s="3"/>
      <x:c r="B258" s="3"/>
      <x:c r="C258" s="3"/>
      <x:c r="D258" s="4"/>
      <x:c r="E258" s="4"/>
      <x:c r="F258" s="4"/>
      <x:c r="G258" s="5" t="str">
        <x:f>IF(COUNTA(A258:F258)=0,"",IF(K258&lt;&gt;"","Review",IF(I258&lt;0,"Overdue",IF(I258=0,"Due now",IF(I258&lt;=M258,"Due soon","Not due")))))</x:f>
      </x:c>
      <x:c r="H258" s="5" t="str">
        <x:f>IF(OR(COUNTA(A258:F258)=0,COUNTIFS('Rules'!$G$7:$G$26,"="&amp;(SUBSTITUTE(SUBSTITUTE(SUBSTITUTE(SUBSTITUTE("type:"&amp;B258,"%","%25"),"~","%7E"),"*","%2A"),"?","%3F")))&lt;&gt;1),"",IF(OR(INDEX('Rules'!$B$7:$B$26,MATCH(SUBSTITUTE(SUBSTITUTE(SUBSTITUTE(SUBSTITUTE("type:"&amp;B258,"%","%25"),"~","%7E"),"*","%2A"),"?","%3F"),'Rules'!$G$7:$G$26,0))="hours",INDEX('Rules'!$B$7:$B$26,MATCH(SUBSTITUTE(SUBSTITUTE(SUBSTITUTE(SUBSTITUTE("type:"&amp;B258,"%","%25"),"~","%7E"),"*","%2A"),"?","%3F"),'Rules'!$G$7:$G$26,0))="km"),INDEX('Rules'!$B$7:$B$26,MATCH(SUBSTITUTE(SUBSTITUTE(SUBSTITUTE(SUBSTITUTE("type:"&amp;B258,"%","%25"),"~","%7E"),"*","%2A"),"?","%3F"),'Rules'!$G$7:$G$26,0)),""))</x:f>
      </x:c>
      <x:c r="I258" s="6" t="str">
        <x:f>IF(AND(NOT(COUNTA(A258:F258)=0),K258=""),ROUND(J258-D258,3),"")</x:f>
      </x:c>
      <x:c r="J258" s="6" t="str">
        <x:f>IF(AND(NOT(COUNTA(A258:F258)=0),K258=""),ROUND(F258+L258,3),"")</x:f>
      </x:c>
      <x:c r="K258" s="5" t="str">
        <x:f>IF(COUNTA(A258:F258)=0,"",IF(A258="","Missing equipment ID",IF(COUNTIFS($N$8:$N$2007,"="&amp;N258)&gt;1,"Duplicate equipment ID",IF(B258="","Missing type",IF(COUNTIFS('Rules'!$G$7:$G$26,"="&amp;(SUBSTITUTE(SUBSTITUTE(SUBSTITUTE(SUBSTITUTE("type:"&amp;B258,"%","%25"),"~","%7E"),"*","%2A"),"?","%3F")))=0,"Unknown type",IF(COUNTIFS('Rules'!$G$7:$G$26,"="&amp;(SUBSTITUTE(SUBSTITUTE(SUBSTITUTE(SUBSTITUTE("type:"&amp;B258,"%","%25"),"~","%7E"),"*","%2A"),"?","%3F")))&gt;1,"Duplicate type",IF(INDEX('Rules'!$F$7:$F$26,MATCH(SUBSTITUTE(SUBSTITUTE(SUBSTITUTE(SUBSTITUTE("type:"&amp;B258,"%","%25"),"~","%7E"),"*","%2A"),"?","%3F"),'Rules'!$G$7:$G$26,0))&lt;&gt;"",INDEX('Rules'!$F$7:$F$26,MATCH(SUBSTITUTE(SUBSTITUTE(SUBSTITUTE(SUBSTITUTE("type:"&amp;B258,"%","%25"),"~","%7E"),"*","%2A"),"?","%3F"),'Rules'!$G$7:$G$26,0)),IF(AND(C258&lt;&gt;"",C258&lt;&gt;INDEX('Rules'!$B$7:$B$26,MATCH(SUBSTITUTE(SUBSTITUTE(SUBSTITUTE(SUBSTITUTE("type:"&amp;B258,"%","%25"),"~","%7E"),"*","%2A"),"?","%3F"),'Rules'!$G$7:$G$26,0))),"Unit mismatch",IF(IF(NOT(ISNUMBER(D258)),TRUE,OR(D258&lt;0,D258&gt;999999999,ROUND(D258,3)&lt;&gt;D258)),"Invalid current reading",IF(AND(E258&lt;&gt;"",IF(NOT(ISNUMBER(E258)),TRUE,OR(E258&lt;0,E258&gt;999999999,ROUND(E258,3)&lt;&gt;E258))),"Invalid previous reading",IF(IF(NOT(ISNUMBER(F258)),TRUE,OR(F258&lt;0,F258&gt;999999999,ROUND(F258,3)&lt;&gt;F258)),"Invalid last service",IF(AND(E258&lt;&gt;"",D258&lt;E258),"Decreased reading",IF(F258&gt;D258,"Last service above current","")))))))))))))</x:f>
      </x:c>
      <x:c r="L258" s="6" t="str">
        <x:f>IF(AND(NOT(COUNTA(A258:F258)=0),K258=""),INDEX('Rules'!$C$7:$C$26,MATCH(SUBSTITUTE(SUBSTITUTE(SUBSTITUTE(SUBSTITUTE("type:"&amp;B258,"%","%25"),"~","%7E"),"*","%2A"),"?","%3F"),'Rules'!$G$7:$G$26,0)),"")</x:f>
      </x:c>
      <x:c r="M258" s="6" t="str">
        <x:f>IF(AND(NOT(COUNTA(A258:F258)=0),K258=""),INDEX('Rules'!$D$7:$D$26,MATCH(SUBSTITUTE(SUBSTITUTE(SUBSTITUTE(SUBSTITUTE("type:"&amp;B258,"%","%25"),"~","%7E"),"*","%2A"),"?","%3F"),'Rules'!$G$7:$G$26,0)),"")</x:f>
      </x:c>
      <x:c r="N258" s="5" t="str">
        <x:f>IF(COUNTA(A258:F258)=0,"",SUBSTITUTE(SUBSTITUTE(SUBSTITUTE(SUBSTITUTE("id:"&amp;A258,"%","%25"),"~","%7E"),"*","%2A"),"?","%3F"))</x:f>
      </x:c>
    </x:row>
    <x:row r="259" ht="22" customHeight="1">
      <x:c r="A259" s="3"/>
      <x:c r="B259" s="3"/>
      <x:c r="C259" s="3"/>
      <x:c r="D259" s="4"/>
      <x:c r="E259" s="4"/>
      <x:c r="F259" s="4"/>
      <x:c r="G259" s="5" t="str">
        <x:f>IF(COUNTA(A259:F259)=0,"",IF(K259&lt;&gt;"","Review",IF(I259&lt;0,"Overdue",IF(I259=0,"Due now",IF(I259&lt;=M259,"Due soon","Not due")))))</x:f>
      </x:c>
      <x:c r="H259" s="5" t="str">
        <x:f>IF(OR(COUNTA(A259:F259)=0,COUNTIFS('Rules'!$G$7:$G$26,"="&amp;(SUBSTITUTE(SUBSTITUTE(SUBSTITUTE(SUBSTITUTE("type:"&amp;B259,"%","%25"),"~","%7E"),"*","%2A"),"?","%3F")))&lt;&gt;1),"",IF(OR(INDEX('Rules'!$B$7:$B$26,MATCH(SUBSTITUTE(SUBSTITUTE(SUBSTITUTE(SUBSTITUTE("type:"&amp;B259,"%","%25"),"~","%7E"),"*","%2A"),"?","%3F"),'Rules'!$G$7:$G$26,0))="hours",INDEX('Rules'!$B$7:$B$26,MATCH(SUBSTITUTE(SUBSTITUTE(SUBSTITUTE(SUBSTITUTE("type:"&amp;B259,"%","%25"),"~","%7E"),"*","%2A"),"?","%3F"),'Rules'!$G$7:$G$26,0))="km"),INDEX('Rules'!$B$7:$B$26,MATCH(SUBSTITUTE(SUBSTITUTE(SUBSTITUTE(SUBSTITUTE("type:"&amp;B259,"%","%25"),"~","%7E"),"*","%2A"),"?","%3F"),'Rules'!$G$7:$G$26,0)),""))</x:f>
      </x:c>
      <x:c r="I259" s="6" t="str">
        <x:f>IF(AND(NOT(COUNTA(A259:F259)=0),K259=""),ROUND(J259-D259,3),"")</x:f>
      </x:c>
      <x:c r="J259" s="6" t="str">
        <x:f>IF(AND(NOT(COUNTA(A259:F259)=0),K259=""),ROUND(F259+L259,3),"")</x:f>
      </x:c>
      <x:c r="K259" s="5" t="str">
        <x:f>IF(COUNTA(A259:F259)=0,"",IF(A259="","Missing equipment ID",IF(COUNTIFS($N$8:$N$2007,"="&amp;N259)&gt;1,"Duplicate equipment ID",IF(B259="","Missing type",IF(COUNTIFS('Rules'!$G$7:$G$26,"="&amp;(SUBSTITUTE(SUBSTITUTE(SUBSTITUTE(SUBSTITUTE("type:"&amp;B259,"%","%25"),"~","%7E"),"*","%2A"),"?","%3F")))=0,"Unknown type",IF(COUNTIFS('Rules'!$G$7:$G$26,"="&amp;(SUBSTITUTE(SUBSTITUTE(SUBSTITUTE(SUBSTITUTE("type:"&amp;B259,"%","%25"),"~","%7E"),"*","%2A"),"?","%3F")))&gt;1,"Duplicate type",IF(INDEX('Rules'!$F$7:$F$26,MATCH(SUBSTITUTE(SUBSTITUTE(SUBSTITUTE(SUBSTITUTE("type:"&amp;B259,"%","%25"),"~","%7E"),"*","%2A"),"?","%3F"),'Rules'!$G$7:$G$26,0))&lt;&gt;"",INDEX('Rules'!$F$7:$F$26,MATCH(SUBSTITUTE(SUBSTITUTE(SUBSTITUTE(SUBSTITUTE("type:"&amp;B259,"%","%25"),"~","%7E"),"*","%2A"),"?","%3F"),'Rules'!$G$7:$G$26,0)),IF(AND(C259&lt;&gt;"",C259&lt;&gt;INDEX('Rules'!$B$7:$B$26,MATCH(SUBSTITUTE(SUBSTITUTE(SUBSTITUTE(SUBSTITUTE("type:"&amp;B259,"%","%25"),"~","%7E"),"*","%2A"),"?","%3F"),'Rules'!$G$7:$G$26,0))),"Unit mismatch",IF(IF(NOT(ISNUMBER(D259)),TRUE,OR(D259&lt;0,D259&gt;999999999,ROUND(D259,3)&lt;&gt;D259)),"Invalid current reading",IF(AND(E259&lt;&gt;"",IF(NOT(ISNUMBER(E259)),TRUE,OR(E259&lt;0,E259&gt;999999999,ROUND(E259,3)&lt;&gt;E259))),"Invalid previous reading",IF(IF(NOT(ISNUMBER(F259)),TRUE,OR(F259&lt;0,F259&gt;999999999,ROUND(F259,3)&lt;&gt;F259)),"Invalid last service",IF(AND(E259&lt;&gt;"",D259&lt;E259),"Decreased reading",IF(F259&gt;D259,"Last service above current","")))))))))))))</x:f>
      </x:c>
      <x:c r="L259" s="6" t="str">
        <x:f>IF(AND(NOT(COUNTA(A259:F259)=0),K259=""),INDEX('Rules'!$C$7:$C$26,MATCH(SUBSTITUTE(SUBSTITUTE(SUBSTITUTE(SUBSTITUTE("type:"&amp;B259,"%","%25"),"~","%7E"),"*","%2A"),"?","%3F"),'Rules'!$G$7:$G$26,0)),"")</x:f>
      </x:c>
      <x:c r="M259" s="6" t="str">
        <x:f>IF(AND(NOT(COUNTA(A259:F259)=0),K259=""),INDEX('Rules'!$D$7:$D$26,MATCH(SUBSTITUTE(SUBSTITUTE(SUBSTITUTE(SUBSTITUTE("type:"&amp;B259,"%","%25"),"~","%7E"),"*","%2A"),"?","%3F"),'Rules'!$G$7:$G$26,0)),"")</x:f>
      </x:c>
      <x:c r="N259" s="5" t="str">
        <x:f>IF(COUNTA(A259:F259)=0,"",SUBSTITUTE(SUBSTITUTE(SUBSTITUTE(SUBSTITUTE("id:"&amp;A259,"%","%25"),"~","%7E"),"*","%2A"),"?","%3F"))</x:f>
      </x:c>
    </x:row>
    <x:row r="260" ht="22" customHeight="1">
      <x:c r="A260" s="3"/>
      <x:c r="B260" s="3"/>
      <x:c r="C260" s="3"/>
      <x:c r="D260" s="4"/>
      <x:c r="E260" s="4"/>
      <x:c r="F260" s="4"/>
      <x:c r="G260" s="5" t="str">
        <x:f>IF(COUNTA(A260:F260)=0,"",IF(K260&lt;&gt;"","Review",IF(I260&lt;0,"Overdue",IF(I260=0,"Due now",IF(I260&lt;=M260,"Due soon","Not due")))))</x:f>
      </x:c>
      <x:c r="H260" s="5" t="str">
        <x:f>IF(OR(COUNTA(A260:F260)=0,COUNTIFS('Rules'!$G$7:$G$26,"="&amp;(SUBSTITUTE(SUBSTITUTE(SUBSTITUTE(SUBSTITUTE("type:"&amp;B260,"%","%25"),"~","%7E"),"*","%2A"),"?","%3F")))&lt;&gt;1),"",IF(OR(INDEX('Rules'!$B$7:$B$26,MATCH(SUBSTITUTE(SUBSTITUTE(SUBSTITUTE(SUBSTITUTE("type:"&amp;B260,"%","%25"),"~","%7E"),"*","%2A"),"?","%3F"),'Rules'!$G$7:$G$26,0))="hours",INDEX('Rules'!$B$7:$B$26,MATCH(SUBSTITUTE(SUBSTITUTE(SUBSTITUTE(SUBSTITUTE("type:"&amp;B260,"%","%25"),"~","%7E"),"*","%2A"),"?","%3F"),'Rules'!$G$7:$G$26,0))="km"),INDEX('Rules'!$B$7:$B$26,MATCH(SUBSTITUTE(SUBSTITUTE(SUBSTITUTE(SUBSTITUTE("type:"&amp;B260,"%","%25"),"~","%7E"),"*","%2A"),"?","%3F"),'Rules'!$G$7:$G$26,0)),""))</x:f>
      </x:c>
      <x:c r="I260" s="6" t="str">
        <x:f>IF(AND(NOT(COUNTA(A260:F260)=0),K260=""),ROUND(J260-D260,3),"")</x:f>
      </x:c>
      <x:c r="J260" s="6" t="str">
        <x:f>IF(AND(NOT(COUNTA(A260:F260)=0),K260=""),ROUND(F260+L260,3),"")</x:f>
      </x:c>
      <x:c r="K260" s="5" t="str">
        <x:f>IF(COUNTA(A260:F260)=0,"",IF(A260="","Missing equipment ID",IF(COUNTIFS($N$8:$N$2007,"="&amp;N260)&gt;1,"Duplicate equipment ID",IF(B260="","Missing type",IF(COUNTIFS('Rules'!$G$7:$G$26,"="&amp;(SUBSTITUTE(SUBSTITUTE(SUBSTITUTE(SUBSTITUTE("type:"&amp;B260,"%","%25"),"~","%7E"),"*","%2A"),"?","%3F")))=0,"Unknown type",IF(COUNTIFS('Rules'!$G$7:$G$26,"="&amp;(SUBSTITUTE(SUBSTITUTE(SUBSTITUTE(SUBSTITUTE("type:"&amp;B260,"%","%25"),"~","%7E"),"*","%2A"),"?","%3F")))&gt;1,"Duplicate type",IF(INDEX('Rules'!$F$7:$F$26,MATCH(SUBSTITUTE(SUBSTITUTE(SUBSTITUTE(SUBSTITUTE("type:"&amp;B260,"%","%25"),"~","%7E"),"*","%2A"),"?","%3F"),'Rules'!$G$7:$G$26,0))&lt;&gt;"",INDEX('Rules'!$F$7:$F$26,MATCH(SUBSTITUTE(SUBSTITUTE(SUBSTITUTE(SUBSTITUTE("type:"&amp;B260,"%","%25"),"~","%7E"),"*","%2A"),"?","%3F"),'Rules'!$G$7:$G$26,0)),IF(AND(C260&lt;&gt;"",C260&lt;&gt;INDEX('Rules'!$B$7:$B$26,MATCH(SUBSTITUTE(SUBSTITUTE(SUBSTITUTE(SUBSTITUTE("type:"&amp;B260,"%","%25"),"~","%7E"),"*","%2A"),"?","%3F"),'Rules'!$G$7:$G$26,0))),"Unit mismatch",IF(IF(NOT(ISNUMBER(D260)),TRUE,OR(D260&lt;0,D260&gt;999999999,ROUND(D260,3)&lt;&gt;D260)),"Invalid current reading",IF(AND(E260&lt;&gt;"",IF(NOT(ISNUMBER(E260)),TRUE,OR(E260&lt;0,E260&gt;999999999,ROUND(E260,3)&lt;&gt;E260))),"Invalid previous reading",IF(IF(NOT(ISNUMBER(F260)),TRUE,OR(F260&lt;0,F260&gt;999999999,ROUND(F260,3)&lt;&gt;F260)),"Invalid last service",IF(AND(E260&lt;&gt;"",D260&lt;E260),"Decreased reading",IF(F260&gt;D260,"Last service above current","")))))))))))))</x:f>
      </x:c>
      <x:c r="L260" s="6" t="str">
        <x:f>IF(AND(NOT(COUNTA(A260:F260)=0),K260=""),INDEX('Rules'!$C$7:$C$26,MATCH(SUBSTITUTE(SUBSTITUTE(SUBSTITUTE(SUBSTITUTE("type:"&amp;B260,"%","%25"),"~","%7E"),"*","%2A"),"?","%3F"),'Rules'!$G$7:$G$26,0)),"")</x:f>
      </x:c>
      <x:c r="M260" s="6" t="str">
        <x:f>IF(AND(NOT(COUNTA(A260:F260)=0),K260=""),INDEX('Rules'!$D$7:$D$26,MATCH(SUBSTITUTE(SUBSTITUTE(SUBSTITUTE(SUBSTITUTE("type:"&amp;B260,"%","%25"),"~","%7E"),"*","%2A"),"?","%3F"),'Rules'!$G$7:$G$26,0)),"")</x:f>
      </x:c>
      <x:c r="N260" s="5" t="str">
        <x:f>IF(COUNTA(A260:F260)=0,"",SUBSTITUTE(SUBSTITUTE(SUBSTITUTE(SUBSTITUTE("id:"&amp;A260,"%","%25"),"~","%7E"),"*","%2A"),"?","%3F"))</x:f>
      </x:c>
    </x:row>
    <x:row r="261" ht="22" customHeight="1">
      <x:c r="A261" s="3"/>
      <x:c r="B261" s="3"/>
      <x:c r="C261" s="3"/>
      <x:c r="D261" s="4"/>
      <x:c r="E261" s="4"/>
      <x:c r="F261" s="4"/>
      <x:c r="G261" s="5" t="str">
        <x:f>IF(COUNTA(A261:F261)=0,"",IF(K261&lt;&gt;"","Review",IF(I261&lt;0,"Overdue",IF(I261=0,"Due now",IF(I261&lt;=M261,"Due soon","Not due")))))</x:f>
      </x:c>
      <x:c r="H261" s="5" t="str">
        <x:f>IF(OR(COUNTA(A261:F261)=0,COUNTIFS('Rules'!$G$7:$G$26,"="&amp;(SUBSTITUTE(SUBSTITUTE(SUBSTITUTE(SUBSTITUTE("type:"&amp;B261,"%","%25"),"~","%7E"),"*","%2A"),"?","%3F")))&lt;&gt;1),"",IF(OR(INDEX('Rules'!$B$7:$B$26,MATCH(SUBSTITUTE(SUBSTITUTE(SUBSTITUTE(SUBSTITUTE("type:"&amp;B261,"%","%25"),"~","%7E"),"*","%2A"),"?","%3F"),'Rules'!$G$7:$G$26,0))="hours",INDEX('Rules'!$B$7:$B$26,MATCH(SUBSTITUTE(SUBSTITUTE(SUBSTITUTE(SUBSTITUTE("type:"&amp;B261,"%","%25"),"~","%7E"),"*","%2A"),"?","%3F"),'Rules'!$G$7:$G$26,0))="km"),INDEX('Rules'!$B$7:$B$26,MATCH(SUBSTITUTE(SUBSTITUTE(SUBSTITUTE(SUBSTITUTE("type:"&amp;B261,"%","%25"),"~","%7E"),"*","%2A"),"?","%3F"),'Rules'!$G$7:$G$26,0)),""))</x:f>
      </x:c>
      <x:c r="I261" s="6" t="str">
        <x:f>IF(AND(NOT(COUNTA(A261:F261)=0),K261=""),ROUND(J261-D261,3),"")</x:f>
      </x:c>
      <x:c r="J261" s="6" t="str">
        <x:f>IF(AND(NOT(COUNTA(A261:F261)=0),K261=""),ROUND(F261+L261,3),"")</x:f>
      </x:c>
      <x:c r="K261" s="5" t="str">
        <x:f>IF(COUNTA(A261:F261)=0,"",IF(A261="","Missing equipment ID",IF(COUNTIFS($N$8:$N$2007,"="&amp;N261)&gt;1,"Duplicate equipment ID",IF(B261="","Missing type",IF(COUNTIFS('Rules'!$G$7:$G$26,"="&amp;(SUBSTITUTE(SUBSTITUTE(SUBSTITUTE(SUBSTITUTE("type:"&amp;B261,"%","%25"),"~","%7E"),"*","%2A"),"?","%3F")))=0,"Unknown type",IF(COUNTIFS('Rules'!$G$7:$G$26,"="&amp;(SUBSTITUTE(SUBSTITUTE(SUBSTITUTE(SUBSTITUTE("type:"&amp;B261,"%","%25"),"~","%7E"),"*","%2A"),"?","%3F")))&gt;1,"Duplicate type",IF(INDEX('Rules'!$F$7:$F$26,MATCH(SUBSTITUTE(SUBSTITUTE(SUBSTITUTE(SUBSTITUTE("type:"&amp;B261,"%","%25"),"~","%7E"),"*","%2A"),"?","%3F"),'Rules'!$G$7:$G$26,0))&lt;&gt;"",INDEX('Rules'!$F$7:$F$26,MATCH(SUBSTITUTE(SUBSTITUTE(SUBSTITUTE(SUBSTITUTE("type:"&amp;B261,"%","%25"),"~","%7E"),"*","%2A"),"?","%3F"),'Rules'!$G$7:$G$26,0)),IF(AND(C261&lt;&gt;"",C261&lt;&gt;INDEX('Rules'!$B$7:$B$26,MATCH(SUBSTITUTE(SUBSTITUTE(SUBSTITUTE(SUBSTITUTE("type:"&amp;B261,"%","%25"),"~","%7E"),"*","%2A"),"?","%3F"),'Rules'!$G$7:$G$26,0))),"Unit mismatch",IF(IF(NOT(ISNUMBER(D261)),TRUE,OR(D261&lt;0,D261&gt;999999999,ROUND(D261,3)&lt;&gt;D261)),"Invalid current reading",IF(AND(E261&lt;&gt;"",IF(NOT(ISNUMBER(E261)),TRUE,OR(E261&lt;0,E261&gt;999999999,ROUND(E261,3)&lt;&gt;E261))),"Invalid previous reading",IF(IF(NOT(ISNUMBER(F261)),TRUE,OR(F261&lt;0,F261&gt;999999999,ROUND(F261,3)&lt;&gt;F261)),"Invalid last service",IF(AND(E261&lt;&gt;"",D261&lt;E261),"Decreased reading",IF(F261&gt;D261,"Last service above current","")))))))))))))</x:f>
      </x:c>
      <x:c r="L261" s="6" t="str">
        <x:f>IF(AND(NOT(COUNTA(A261:F261)=0),K261=""),INDEX('Rules'!$C$7:$C$26,MATCH(SUBSTITUTE(SUBSTITUTE(SUBSTITUTE(SUBSTITUTE("type:"&amp;B261,"%","%25"),"~","%7E"),"*","%2A"),"?","%3F"),'Rules'!$G$7:$G$26,0)),"")</x:f>
      </x:c>
      <x:c r="M261" s="6" t="str">
        <x:f>IF(AND(NOT(COUNTA(A261:F261)=0),K261=""),INDEX('Rules'!$D$7:$D$26,MATCH(SUBSTITUTE(SUBSTITUTE(SUBSTITUTE(SUBSTITUTE("type:"&amp;B261,"%","%25"),"~","%7E"),"*","%2A"),"?","%3F"),'Rules'!$G$7:$G$26,0)),"")</x:f>
      </x:c>
      <x:c r="N261" s="5" t="str">
        <x:f>IF(COUNTA(A261:F261)=0,"",SUBSTITUTE(SUBSTITUTE(SUBSTITUTE(SUBSTITUTE("id:"&amp;A261,"%","%25"),"~","%7E"),"*","%2A"),"?","%3F"))</x:f>
      </x:c>
    </x:row>
    <x:row r="262" ht="22" customHeight="1">
      <x:c r="A262" s="3"/>
      <x:c r="B262" s="3"/>
      <x:c r="C262" s="3"/>
      <x:c r="D262" s="4"/>
      <x:c r="E262" s="4"/>
      <x:c r="F262" s="4"/>
      <x:c r="G262" s="5" t="str">
        <x:f>IF(COUNTA(A262:F262)=0,"",IF(K262&lt;&gt;"","Review",IF(I262&lt;0,"Overdue",IF(I262=0,"Due now",IF(I262&lt;=M262,"Due soon","Not due")))))</x:f>
      </x:c>
      <x:c r="H262" s="5" t="str">
        <x:f>IF(OR(COUNTA(A262:F262)=0,COUNTIFS('Rules'!$G$7:$G$26,"="&amp;(SUBSTITUTE(SUBSTITUTE(SUBSTITUTE(SUBSTITUTE("type:"&amp;B262,"%","%25"),"~","%7E"),"*","%2A"),"?","%3F")))&lt;&gt;1),"",IF(OR(INDEX('Rules'!$B$7:$B$26,MATCH(SUBSTITUTE(SUBSTITUTE(SUBSTITUTE(SUBSTITUTE("type:"&amp;B262,"%","%25"),"~","%7E"),"*","%2A"),"?","%3F"),'Rules'!$G$7:$G$26,0))="hours",INDEX('Rules'!$B$7:$B$26,MATCH(SUBSTITUTE(SUBSTITUTE(SUBSTITUTE(SUBSTITUTE("type:"&amp;B262,"%","%25"),"~","%7E"),"*","%2A"),"?","%3F"),'Rules'!$G$7:$G$26,0))="km"),INDEX('Rules'!$B$7:$B$26,MATCH(SUBSTITUTE(SUBSTITUTE(SUBSTITUTE(SUBSTITUTE("type:"&amp;B262,"%","%25"),"~","%7E"),"*","%2A"),"?","%3F"),'Rules'!$G$7:$G$26,0)),""))</x:f>
      </x:c>
      <x:c r="I262" s="6" t="str">
        <x:f>IF(AND(NOT(COUNTA(A262:F262)=0),K262=""),ROUND(J262-D262,3),"")</x:f>
      </x:c>
      <x:c r="J262" s="6" t="str">
        <x:f>IF(AND(NOT(COUNTA(A262:F262)=0),K262=""),ROUND(F262+L262,3),"")</x:f>
      </x:c>
      <x:c r="K262" s="5" t="str">
        <x:f>IF(COUNTA(A262:F262)=0,"",IF(A262="","Missing equipment ID",IF(COUNTIFS($N$8:$N$2007,"="&amp;N262)&gt;1,"Duplicate equipment ID",IF(B262="","Missing type",IF(COUNTIFS('Rules'!$G$7:$G$26,"="&amp;(SUBSTITUTE(SUBSTITUTE(SUBSTITUTE(SUBSTITUTE("type:"&amp;B262,"%","%25"),"~","%7E"),"*","%2A"),"?","%3F")))=0,"Unknown type",IF(COUNTIFS('Rules'!$G$7:$G$26,"="&amp;(SUBSTITUTE(SUBSTITUTE(SUBSTITUTE(SUBSTITUTE("type:"&amp;B262,"%","%25"),"~","%7E"),"*","%2A"),"?","%3F")))&gt;1,"Duplicate type",IF(INDEX('Rules'!$F$7:$F$26,MATCH(SUBSTITUTE(SUBSTITUTE(SUBSTITUTE(SUBSTITUTE("type:"&amp;B262,"%","%25"),"~","%7E"),"*","%2A"),"?","%3F"),'Rules'!$G$7:$G$26,0))&lt;&gt;"",INDEX('Rules'!$F$7:$F$26,MATCH(SUBSTITUTE(SUBSTITUTE(SUBSTITUTE(SUBSTITUTE("type:"&amp;B262,"%","%25"),"~","%7E"),"*","%2A"),"?","%3F"),'Rules'!$G$7:$G$26,0)),IF(AND(C262&lt;&gt;"",C262&lt;&gt;INDEX('Rules'!$B$7:$B$26,MATCH(SUBSTITUTE(SUBSTITUTE(SUBSTITUTE(SUBSTITUTE("type:"&amp;B262,"%","%25"),"~","%7E"),"*","%2A"),"?","%3F"),'Rules'!$G$7:$G$26,0))),"Unit mismatch",IF(IF(NOT(ISNUMBER(D262)),TRUE,OR(D262&lt;0,D262&gt;999999999,ROUND(D262,3)&lt;&gt;D262)),"Invalid current reading",IF(AND(E262&lt;&gt;"",IF(NOT(ISNUMBER(E262)),TRUE,OR(E262&lt;0,E262&gt;999999999,ROUND(E262,3)&lt;&gt;E262))),"Invalid previous reading",IF(IF(NOT(ISNUMBER(F262)),TRUE,OR(F262&lt;0,F262&gt;999999999,ROUND(F262,3)&lt;&gt;F262)),"Invalid last service",IF(AND(E262&lt;&gt;"",D262&lt;E262),"Decreased reading",IF(F262&gt;D262,"Last service above current","")))))))))))))</x:f>
      </x:c>
      <x:c r="L262" s="6" t="str">
        <x:f>IF(AND(NOT(COUNTA(A262:F262)=0),K262=""),INDEX('Rules'!$C$7:$C$26,MATCH(SUBSTITUTE(SUBSTITUTE(SUBSTITUTE(SUBSTITUTE("type:"&amp;B262,"%","%25"),"~","%7E"),"*","%2A"),"?","%3F"),'Rules'!$G$7:$G$26,0)),"")</x:f>
      </x:c>
      <x:c r="M262" s="6" t="str">
        <x:f>IF(AND(NOT(COUNTA(A262:F262)=0),K262=""),INDEX('Rules'!$D$7:$D$26,MATCH(SUBSTITUTE(SUBSTITUTE(SUBSTITUTE(SUBSTITUTE("type:"&amp;B262,"%","%25"),"~","%7E"),"*","%2A"),"?","%3F"),'Rules'!$G$7:$G$26,0)),"")</x:f>
      </x:c>
      <x:c r="N262" s="5" t="str">
        <x:f>IF(COUNTA(A262:F262)=0,"",SUBSTITUTE(SUBSTITUTE(SUBSTITUTE(SUBSTITUTE("id:"&amp;A262,"%","%25"),"~","%7E"),"*","%2A"),"?","%3F"))</x:f>
      </x:c>
    </x:row>
    <x:row r="263" ht="22" customHeight="1">
      <x:c r="A263" s="3"/>
      <x:c r="B263" s="3"/>
      <x:c r="C263" s="3"/>
      <x:c r="D263" s="4"/>
      <x:c r="E263" s="4"/>
      <x:c r="F263" s="4"/>
      <x:c r="G263" s="5" t="str">
        <x:f>IF(COUNTA(A263:F263)=0,"",IF(K263&lt;&gt;"","Review",IF(I263&lt;0,"Overdue",IF(I263=0,"Due now",IF(I263&lt;=M263,"Due soon","Not due")))))</x:f>
      </x:c>
      <x:c r="H263" s="5" t="str">
        <x:f>IF(OR(COUNTA(A263:F263)=0,COUNTIFS('Rules'!$G$7:$G$26,"="&amp;(SUBSTITUTE(SUBSTITUTE(SUBSTITUTE(SUBSTITUTE("type:"&amp;B263,"%","%25"),"~","%7E"),"*","%2A"),"?","%3F")))&lt;&gt;1),"",IF(OR(INDEX('Rules'!$B$7:$B$26,MATCH(SUBSTITUTE(SUBSTITUTE(SUBSTITUTE(SUBSTITUTE("type:"&amp;B263,"%","%25"),"~","%7E"),"*","%2A"),"?","%3F"),'Rules'!$G$7:$G$26,0))="hours",INDEX('Rules'!$B$7:$B$26,MATCH(SUBSTITUTE(SUBSTITUTE(SUBSTITUTE(SUBSTITUTE("type:"&amp;B263,"%","%25"),"~","%7E"),"*","%2A"),"?","%3F"),'Rules'!$G$7:$G$26,0))="km"),INDEX('Rules'!$B$7:$B$26,MATCH(SUBSTITUTE(SUBSTITUTE(SUBSTITUTE(SUBSTITUTE("type:"&amp;B263,"%","%25"),"~","%7E"),"*","%2A"),"?","%3F"),'Rules'!$G$7:$G$26,0)),""))</x:f>
      </x:c>
      <x:c r="I263" s="6" t="str">
        <x:f>IF(AND(NOT(COUNTA(A263:F263)=0),K263=""),ROUND(J263-D263,3),"")</x:f>
      </x:c>
      <x:c r="J263" s="6" t="str">
        <x:f>IF(AND(NOT(COUNTA(A263:F263)=0),K263=""),ROUND(F263+L263,3),"")</x:f>
      </x:c>
      <x:c r="K263" s="5" t="str">
        <x:f>IF(COUNTA(A263:F263)=0,"",IF(A263="","Missing equipment ID",IF(COUNTIFS($N$8:$N$2007,"="&amp;N263)&gt;1,"Duplicate equipment ID",IF(B263="","Missing type",IF(COUNTIFS('Rules'!$G$7:$G$26,"="&amp;(SUBSTITUTE(SUBSTITUTE(SUBSTITUTE(SUBSTITUTE("type:"&amp;B263,"%","%25"),"~","%7E"),"*","%2A"),"?","%3F")))=0,"Unknown type",IF(COUNTIFS('Rules'!$G$7:$G$26,"="&amp;(SUBSTITUTE(SUBSTITUTE(SUBSTITUTE(SUBSTITUTE("type:"&amp;B263,"%","%25"),"~","%7E"),"*","%2A"),"?","%3F")))&gt;1,"Duplicate type",IF(INDEX('Rules'!$F$7:$F$26,MATCH(SUBSTITUTE(SUBSTITUTE(SUBSTITUTE(SUBSTITUTE("type:"&amp;B263,"%","%25"),"~","%7E"),"*","%2A"),"?","%3F"),'Rules'!$G$7:$G$26,0))&lt;&gt;"",INDEX('Rules'!$F$7:$F$26,MATCH(SUBSTITUTE(SUBSTITUTE(SUBSTITUTE(SUBSTITUTE("type:"&amp;B263,"%","%25"),"~","%7E"),"*","%2A"),"?","%3F"),'Rules'!$G$7:$G$26,0)),IF(AND(C263&lt;&gt;"",C263&lt;&gt;INDEX('Rules'!$B$7:$B$26,MATCH(SUBSTITUTE(SUBSTITUTE(SUBSTITUTE(SUBSTITUTE("type:"&amp;B263,"%","%25"),"~","%7E"),"*","%2A"),"?","%3F"),'Rules'!$G$7:$G$26,0))),"Unit mismatch",IF(IF(NOT(ISNUMBER(D263)),TRUE,OR(D263&lt;0,D263&gt;999999999,ROUND(D263,3)&lt;&gt;D263)),"Invalid current reading",IF(AND(E263&lt;&gt;"",IF(NOT(ISNUMBER(E263)),TRUE,OR(E263&lt;0,E263&gt;999999999,ROUND(E263,3)&lt;&gt;E263))),"Invalid previous reading",IF(IF(NOT(ISNUMBER(F263)),TRUE,OR(F263&lt;0,F263&gt;999999999,ROUND(F263,3)&lt;&gt;F263)),"Invalid last service",IF(AND(E263&lt;&gt;"",D263&lt;E263),"Decreased reading",IF(F263&gt;D263,"Last service above current","")))))))))))))</x:f>
      </x:c>
      <x:c r="L263" s="6" t="str">
        <x:f>IF(AND(NOT(COUNTA(A263:F263)=0),K263=""),INDEX('Rules'!$C$7:$C$26,MATCH(SUBSTITUTE(SUBSTITUTE(SUBSTITUTE(SUBSTITUTE("type:"&amp;B263,"%","%25"),"~","%7E"),"*","%2A"),"?","%3F"),'Rules'!$G$7:$G$26,0)),"")</x:f>
      </x:c>
      <x:c r="M263" s="6" t="str">
        <x:f>IF(AND(NOT(COUNTA(A263:F263)=0),K263=""),INDEX('Rules'!$D$7:$D$26,MATCH(SUBSTITUTE(SUBSTITUTE(SUBSTITUTE(SUBSTITUTE("type:"&amp;B263,"%","%25"),"~","%7E"),"*","%2A"),"?","%3F"),'Rules'!$G$7:$G$26,0)),"")</x:f>
      </x:c>
      <x:c r="N263" s="5" t="str">
        <x:f>IF(COUNTA(A263:F263)=0,"",SUBSTITUTE(SUBSTITUTE(SUBSTITUTE(SUBSTITUTE("id:"&amp;A263,"%","%25"),"~","%7E"),"*","%2A"),"?","%3F"))</x:f>
      </x:c>
    </x:row>
    <x:row r="264" ht="22" customHeight="1">
      <x:c r="A264" s="3"/>
      <x:c r="B264" s="3"/>
      <x:c r="C264" s="3"/>
      <x:c r="D264" s="4"/>
      <x:c r="E264" s="4"/>
      <x:c r="F264" s="4"/>
      <x:c r="G264" s="5" t="str">
        <x:f>IF(COUNTA(A264:F264)=0,"",IF(K264&lt;&gt;"","Review",IF(I264&lt;0,"Overdue",IF(I264=0,"Due now",IF(I264&lt;=M264,"Due soon","Not due")))))</x:f>
      </x:c>
      <x:c r="H264" s="5" t="str">
        <x:f>IF(OR(COUNTA(A264:F264)=0,COUNTIFS('Rules'!$G$7:$G$26,"="&amp;(SUBSTITUTE(SUBSTITUTE(SUBSTITUTE(SUBSTITUTE("type:"&amp;B264,"%","%25"),"~","%7E"),"*","%2A"),"?","%3F")))&lt;&gt;1),"",IF(OR(INDEX('Rules'!$B$7:$B$26,MATCH(SUBSTITUTE(SUBSTITUTE(SUBSTITUTE(SUBSTITUTE("type:"&amp;B264,"%","%25"),"~","%7E"),"*","%2A"),"?","%3F"),'Rules'!$G$7:$G$26,0))="hours",INDEX('Rules'!$B$7:$B$26,MATCH(SUBSTITUTE(SUBSTITUTE(SUBSTITUTE(SUBSTITUTE("type:"&amp;B264,"%","%25"),"~","%7E"),"*","%2A"),"?","%3F"),'Rules'!$G$7:$G$26,0))="km"),INDEX('Rules'!$B$7:$B$26,MATCH(SUBSTITUTE(SUBSTITUTE(SUBSTITUTE(SUBSTITUTE("type:"&amp;B264,"%","%25"),"~","%7E"),"*","%2A"),"?","%3F"),'Rules'!$G$7:$G$26,0)),""))</x:f>
      </x:c>
      <x:c r="I264" s="6" t="str">
        <x:f>IF(AND(NOT(COUNTA(A264:F264)=0),K264=""),ROUND(J264-D264,3),"")</x:f>
      </x:c>
      <x:c r="J264" s="6" t="str">
        <x:f>IF(AND(NOT(COUNTA(A264:F264)=0),K264=""),ROUND(F264+L264,3),"")</x:f>
      </x:c>
      <x:c r="K264" s="5" t="str">
        <x:f>IF(COUNTA(A264:F264)=0,"",IF(A264="","Missing equipment ID",IF(COUNTIFS($N$8:$N$2007,"="&amp;N264)&gt;1,"Duplicate equipment ID",IF(B264="","Missing type",IF(COUNTIFS('Rules'!$G$7:$G$26,"="&amp;(SUBSTITUTE(SUBSTITUTE(SUBSTITUTE(SUBSTITUTE("type:"&amp;B264,"%","%25"),"~","%7E"),"*","%2A"),"?","%3F")))=0,"Unknown type",IF(COUNTIFS('Rules'!$G$7:$G$26,"="&amp;(SUBSTITUTE(SUBSTITUTE(SUBSTITUTE(SUBSTITUTE("type:"&amp;B264,"%","%25"),"~","%7E"),"*","%2A"),"?","%3F")))&gt;1,"Duplicate type",IF(INDEX('Rules'!$F$7:$F$26,MATCH(SUBSTITUTE(SUBSTITUTE(SUBSTITUTE(SUBSTITUTE("type:"&amp;B264,"%","%25"),"~","%7E"),"*","%2A"),"?","%3F"),'Rules'!$G$7:$G$26,0))&lt;&gt;"",INDEX('Rules'!$F$7:$F$26,MATCH(SUBSTITUTE(SUBSTITUTE(SUBSTITUTE(SUBSTITUTE("type:"&amp;B264,"%","%25"),"~","%7E"),"*","%2A"),"?","%3F"),'Rules'!$G$7:$G$26,0)),IF(AND(C264&lt;&gt;"",C264&lt;&gt;INDEX('Rules'!$B$7:$B$26,MATCH(SUBSTITUTE(SUBSTITUTE(SUBSTITUTE(SUBSTITUTE("type:"&amp;B264,"%","%25"),"~","%7E"),"*","%2A"),"?","%3F"),'Rules'!$G$7:$G$26,0))),"Unit mismatch",IF(IF(NOT(ISNUMBER(D264)),TRUE,OR(D264&lt;0,D264&gt;999999999,ROUND(D264,3)&lt;&gt;D264)),"Invalid current reading",IF(AND(E264&lt;&gt;"",IF(NOT(ISNUMBER(E264)),TRUE,OR(E264&lt;0,E264&gt;999999999,ROUND(E264,3)&lt;&gt;E264))),"Invalid previous reading",IF(IF(NOT(ISNUMBER(F264)),TRUE,OR(F264&lt;0,F264&gt;999999999,ROUND(F264,3)&lt;&gt;F264)),"Invalid last service",IF(AND(E264&lt;&gt;"",D264&lt;E264),"Decreased reading",IF(F264&gt;D264,"Last service above current","")))))))))))))</x:f>
      </x:c>
      <x:c r="L264" s="6" t="str">
        <x:f>IF(AND(NOT(COUNTA(A264:F264)=0),K264=""),INDEX('Rules'!$C$7:$C$26,MATCH(SUBSTITUTE(SUBSTITUTE(SUBSTITUTE(SUBSTITUTE("type:"&amp;B264,"%","%25"),"~","%7E"),"*","%2A"),"?","%3F"),'Rules'!$G$7:$G$26,0)),"")</x:f>
      </x:c>
      <x:c r="M264" s="6" t="str">
        <x:f>IF(AND(NOT(COUNTA(A264:F264)=0),K264=""),INDEX('Rules'!$D$7:$D$26,MATCH(SUBSTITUTE(SUBSTITUTE(SUBSTITUTE(SUBSTITUTE("type:"&amp;B264,"%","%25"),"~","%7E"),"*","%2A"),"?","%3F"),'Rules'!$G$7:$G$26,0)),"")</x:f>
      </x:c>
      <x:c r="N264" s="5" t="str">
        <x:f>IF(COUNTA(A264:F264)=0,"",SUBSTITUTE(SUBSTITUTE(SUBSTITUTE(SUBSTITUTE("id:"&amp;A264,"%","%25"),"~","%7E"),"*","%2A"),"?","%3F"))</x:f>
      </x:c>
    </x:row>
    <x:row r="265" ht="22" customHeight="1">
      <x:c r="A265" s="3"/>
      <x:c r="B265" s="3"/>
      <x:c r="C265" s="3"/>
      <x:c r="D265" s="4"/>
      <x:c r="E265" s="4"/>
      <x:c r="F265" s="4"/>
      <x:c r="G265" s="5" t="str">
        <x:f>IF(COUNTA(A265:F265)=0,"",IF(K265&lt;&gt;"","Review",IF(I265&lt;0,"Overdue",IF(I265=0,"Due now",IF(I265&lt;=M265,"Due soon","Not due")))))</x:f>
      </x:c>
      <x:c r="H265" s="5" t="str">
        <x:f>IF(OR(COUNTA(A265:F265)=0,COUNTIFS('Rules'!$G$7:$G$26,"="&amp;(SUBSTITUTE(SUBSTITUTE(SUBSTITUTE(SUBSTITUTE("type:"&amp;B265,"%","%25"),"~","%7E"),"*","%2A"),"?","%3F")))&lt;&gt;1),"",IF(OR(INDEX('Rules'!$B$7:$B$26,MATCH(SUBSTITUTE(SUBSTITUTE(SUBSTITUTE(SUBSTITUTE("type:"&amp;B265,"%","%25"),"~","%7E"),"*","%2A"),"?","%3F"),'Rules'!$G$7:$G$26,0))="hours",INDEX('Rules'!$B$7:$B$26,MATCH(SUBSTITUTE(SUBSTITUTE(SUBSTITUTE(SUBSTITUTE("type:"&amp;B265,"%","%25"),"~","%7E"),"*","%2A"),"?","%3F"),'Rules'!$G$7:$G$26,0))="km"),INDEX('Rules'!$B$7:$B$26,MATCH(SUBSTITUTE(SUBSTITUTE(SUBSTITUTE(SUBSTITUTE("type:"&amp;B265,"%","%25"),"~","%7E"),"*","%2A"),"?","%3F"),'Rules'!$G$7:$G$26,0)),""))</x:f>
      </x:c>
      <x:c r="I265" s="6" t="str">
        <x:f>IF(AND(NOT(COUNTA(A265:F265)=0),K265=""),ROUND(J265-D265,3),"")</x:f>
      </x:c>
      <x:c r="J265" s="6" t="str">
        <x:f>IF(AND(NOT(COUNTA(A265:F265)=0),K265=""),ROUND(F265+L265,3),"")</x:f>
      </x:c>
      <x:c r="K265" s="5" t="str">
        <x:f>IF(COUNTA(A265:F265)=0,"",IF(A265="","Missing equipment ID",IF(COUNTIFS($N$8:$N$2007,"="&amp;N265)&gt;1,"Duplicate equipment ID",IF(B265="","Missing type",IF(COUNTIFS('Rules'!$G$7:$G$26,"="&amp;(SUBSTITUTE(SUBSTITUTE(SUBSTITUTE(SUBSTITUTE("type:"&amp;B265,"%","%25"),"~","%7E"),"*","%2A"),"?","%3F")))=0,"Unknown type",IF(COUNTIFS('Rules'!$G$7:$G$26,"="&amp;(SUBSTITUTE(SUBSTITUTE(SUBSTITUTE(SUBSTITUTE("type:"&amp;B265,"%","%25"),"~","%7E"),"*","%2A"),"?","%3F")))&gt;1,"Duplicate type",IF(INDEX('Rules'!$F$7:$F$26,MATCH(SUBSTITUTE(SUBSTITUTE(SUBSTITUTE(SUBSTITUTE("type:"&amp;B265,"%","%25"),"~","%7E"),"*","%2A"),"?","%3F"),'Rules'!$G$7:$G$26,0))&lt;&gt;"",INDEX('Rules'!$F$7:$F$26,MATCH(SUBSTITUTE(SUBSTITUTE(SUBSTITUTE(SUBSTITUTE("type:"&amp;B265,"%","%25"),"~","%7E"),"*","%2A"),"?","%3F"),'Rules'!$G$7:$G$26,0)),IF(AND(C265&lt;&gt;"",C265&lt;&gt;INDEX('Rules'!$B$7:$B$26,MATCH(SUBSTITUTE(SUBSTITUTE(SUBSTITUTE(SUBSTITUTE("type:"&amp;B265,"%","%25"),"~","%7E"),"*","%2A"),"?","%3F"),'Rules'!$G$7:$G$26,0))),"Unit mismatch",IF(IF(NOT(ISNUMBER(D265)),TRUE,OR(D265&lt;0,D265&gt;999999999,ROUND(D265,3)&lt;&gt;D265)),"Invalid current reading",IF(AND(E265&lt;&gt;"",IF(NOT(ISNUMBER(E265)),TRUE,OR(E265&lt;0,E265&gt;999999999,ROUND(E265,3)&lt;&gt;E265))),"Invalid previous reading",IF(IF(NOT(ISNUMBER(F265)),TRUE,OR(F265&lt;0,F265&gt;999999999,ROUND(F265,3)&lt;&gt;F265)),"Invalid last service",IF(AND(E265&lt;&gt;"",D265&lt;E265),"Decreased reading",IF(F265&gt;D265,"Last service above current","")))))))))))))</x:f>
      </x:c>
      <x:c r="L265" s="6" t="str">
        <x:f>IF(AND(NOT(COUNTA(A265:F265)=0),K265=""),INDEX('Rules'!$C$7:$C$26,MATCH(SUBSTITUTE(SUBSTITUTE(SUBSTITUTE(SUBSTITUTE("type:"&amp;B265,"%","%25"),"~","%7E"),"*","%2A"),"?","%3F"),'Rules'!$G$7:$G$26,0)),"")</x:f>
      </x:c>
      <x:c r="M265" s="6" t="str">
        <x:f>IF(AND(NOT(COUNTA(A265:F265)=0),K265=""),INDEX('Rules'!$D$7:$D$26,MATCH(SUBSTITUTE(SUBSTITUTE(SUBSTITUTE(SUBSTITUTE("type:"&amp;B265,"%","%25"),"~","%7E"),"*","%2A"),"?","%3F"),'Rules'!$G$7:$G$26,0)),"")</x:f>
      </x:c>
      <x:c r="N265" s="5" t="str">
        <x:f>IF(COUNTA(A265:F265)=0,"",SUBSTITUTE(SUBSTITUTE(SUBSTITUTE(SUBSTITUTE("id:"&amp;A265,"%","%25"),"~","%7E"),"*","%2A"),"?","%3F"))</x:f>
      </x:c>
    </x:row>
    <x:row r="266" ht="22" customHeight="1">
      <x:c r="A266" s="3"/>
      <x:c r="B266" s="3"/>
      <x:c r="C266" s="3"/>
      <x:c r="D266" s="4"/>
      <x:c r="E266" s="4"/>
      <x:c r="F266" s="4"/>
      <x:c r="G266" s="5" t="str">
        <x:f>IF(COUNTA(A266:F266)=0,"",IF(K266&lt;&gt;"","Review",IF(I266&lt;0,"Overdue",IF(I266=0,"Due now",IF(I266&lt;=M266,"Due soon","Not due")))))</x:f>
      </x:c>
      <x:c r="H266" s="5" t="str">
        <x:f>IF(OR(COUNTA(A266:F266)=0,COUNTIFS('Rules'!$G$7:$G$26,"="&amp;(SUBSTITUTE(SUBSTITUTE(SUBSTITUTE(SUBSTITUTE("type:"&amp;B266,"%","%25"),"~","%7E"),"*","%2A"),"?","%3F")))&lt;&gt;1),"",IF(OR(INDEX('Rules'!$B$7:$B$26,MATCH(SUBSTITUTE(SUBSTITUTE(SUBSTITUTE(SUBSTITUTE("type:"&amp;B266,"%","%25"),"~","%7E"),"*","%2A"),"?","%3F"),'Rules'!$G$7:$G$26,0))="hours",INDEX('Rules'!$B$7:$B$26,MATCH(SUBSTITUTE(SUBSTITUTE(SUBSTITUTE(SUBSTITUTE("type:"&amp;B266,"%","%25"),"~","%7E"),"*","%2A"),"?","%3F"),'Rules'!$G$7:$G$26,0))="km"),INDEX('Rules'!$B$7:$B$26,MATCH(SUBSTITUTE(SUBSTITUTE(SUBSTITUTE(SUBSTITUTE("type:"&amp;B266,"%","%25"),"~","%7E"),"*","%2A"),"?","%3F"),'Rules'!$G$7:$G$26,0)),""))</x:f>
      </x:c>
      <x:c r="I266" s="6" t="str">
        <x:f>IF(AND(NOT(COUNTA(A266:F266)=0),K266=""),ROUND(J266-D266,3),"")</x:f>
      </x:c>
      <x:c r="J266" s="6" t="str">
        <x:f>IF(AND(NOT(COUNTA(A266:F266)=0),K266=""),ROUND(F266+L266,3),"")</x:f>
      </x:c>
      <x:c r="K266" s="5" t="str">
        <x:f>IF(COUNTA(A266:F266)=0,"",IF(A266="","Missing equipment ID",IF(COUNTIFS($N$8:$N$2007,"="&amp;N266)&gt;1,"Duplicate equipment ID",IF(B266="","Missing type",IF(COUNTIFS('Rules'!$G$7:$G$26,"="&amp;(SUBSTITUTE(SUBSTITUTE(SUBSTITUTE(SUBSTITUTE("type:"&amp;B266,"%","%25"),"~","%7E"),"*","%2A"),"?","%3F")))=0,"Unknown type",IF(COUNTIFS('Rules'!$G$7:$G$26,"="&amp;(SUBSTITUTE(SUBSTITUTE(SUBSTITUTE(SUBSTITUTE("type:"&amp;B266,"%","%25"),"~","%7E"),"*","%2A"),"?","%3F")))&gt;1,"Duplicate type",IF(INDEX('Rules'!$F$7:$F$26,MATCH(SUBSTITUTE(SUBSTITUTE(SUBSTITUTE(SUBSTITUTE("type:"&amp;B266,"%","%25"),"~","%7E"),"*","%2A"),"?","%3F"),'Rules'!$G$7:$G$26,0))&lt;&gt;"",INDEX('Rules'!$F$7:$F$26,MATCH(SUBSTITUTE(SUBSTITUTE(SUBSTITUTE(SUBSTITUTE("type:"&amp;B266,"%","%25"),"~","%7E"),"*","%2A"),"?","%3F"),'Rules'!$G$7:$G$26,0)),IF(AND(C266&lt;&gt;"",C266&lt;&gt;INDEX('Rules'!$B$7:$B$26,MATCH(SUBSTITUTE(SUBSTITUTE(SUBSTITUTE(SUBSTITUTE("type:"&amp;B266,"%","%25"),"~","%7E"),"*","%2A"),"?","%3F"),'Rules'!$G$7:$G$26,0))),"Unit mismatch",IF(IF(NOT(ISNUMBER(D266)),TRUE,OR(D266&lt;0,D266&gt;999999999,ROUND(D266,3)&lt;&gt;D266)),"Invalid current reading",IF(AND(E266&lt;&gt;"",IF(NOT(ISNUMBER(E266)),TRUE,OR(E266&lt;0,E266&gt;999999999,ROUND(E266,3)&lt;&gt;E266))),"Invalid previous reading",IF(IF(NOT(ISNUMBER(F266)),TRUE,OR(F266&lt;0,F266&gt;999999999,ROUND(F266,3)&lt;&gt;F266)),"Invalid last service",IF(AND(E266&lt;&gt;"",D266&lt;E266),"Decreased reading",IF(F266&gt;D266,"Last service above current","")))))))))))))</x:f>
      </x:c>
      <x:c r="L266" s="6" t="str">
        <x:f>IF(AND(NOT(COUNTA(A266:F266)=0),K266=""),INDEX('Rules'!$C$7:$C$26,MATCH(SUBSTITUTE(SUBSTITUTE(SUBSTITUTE(SUBSTITUTE("type:"&amp;B266,"%","%25"),"~","%7E"),"*","%2A"),"?","%3F"),'Rules'!$G$7:$G$26,0)),"")</x:f>
      </x:c>
      <x:c r="M266" s="6" t="str">
        <x:f>IF(AND(NOT(COUNTA(A266:F266)=0),K266=""),INDEX('Rules'!$D$7:$D$26,MATCH(SUBSTITUTE(SUBSTITUTE(SUBSTITUTE(SUBSTITUTE("type:"&amp;B266,"%","%25"),"~","%7E"),"*","%2A"),"?","%3F"),'Rules'!$G$7:$G$26,0)),"")</x:f>
      </x:c>
      <x:c r="N266" s="5" t="str">
        <x:f>IF(COUNTA(A266:F266)=0,"",SUBSTITUTE(SUBSTITUTE(SUBSTITUTE(SUBSTITUTE("id:"&amp;A266,"%","%25"),"~","%7E"),"*","%2A"),"?","%3F"))</x:f>
      </x:c>
    </x:row>
    <x:row r="267" ht="22" customHeight="1">
      <x:c r="A267" s="3"/>
      <x:c r="B267" s="3"/>
      <x:c r="C267" s="3"/>
      <x:c r="D267" s="4"/>
      <x:c r="E267" s="4"/>
      <x:c r="F267" s="4"/>
      <x:c r="G267" s="5" t="str">
        <x:f>IF(COUNTA(A267:F267)=0,"",IF(K267&lt;&gt;"","Review",IF(I267&lt;0,"Overdue",IF(I267=0,"Due now",IF(I267&lt;=M267,"Due soon","Not due")))))</x:f>
      </x:c>
      <x:c r="H267" s="5" t="str">
        <x:f>IF(OR(COUNTA(A267:F267)=0,COUNTIFS('Rules'!$G$7:$G$26,"="&amp;(SUBSTITUTE(SUBSTITUTE(SUBSTITUTE(SUBSTITUTE("type:"&amp;B267,"%","%25"),"~","%7E"),"*","%2A"),"?","%3F")))&lt;&gt;1),"",IF(OR(INDEX('Rules'!$B$7:$B$26,MATCH(SUBSTITUTE(SUBSTITUTE(SUBSTITUTE(SUBSTITUTE("type:"&amp;B267,"%","%25"),"~","%7E"),"*","%2A"),"?","%3F"),'Rules'!$G$7:$G$26,0))="hours",INDEX('Rules'!$B$7:$B$26,MATCH(SUBSTITUTE(SUBSTITUTE(SUBSTITUTE(SUBSTITUTE("type:"&amp;B267,"%","%25"),"~","%7E"),"*","%2A"),"?","%3F"),'Rules'!$G$7:$G$26,0))="km"),INDEX('Rules'!$B$7:$B$26,MATCH(SUBSTITUTE(SUBSTITUTE(SUBSTITUTE(SUBSTITUTE("type:"&amp;B267,"%","%25"),"~","%7E"),"*","%2A"),"?","%3F"),'Rules'!$G$7:$G$26,0)),""))</x:f>
      </x:c>
      <x:c r="I267" s="6" t="str">
        <x:f>IF(AND(NOT(COUNTA(A267:F267)=0),K267=""),ROUND(J267-D267,3),"")</x:f>
      </x:c>
      <x:c r="J267" s="6" t="str">
        <x:f>IF(AND(NOT(COUNTA(A267:F267)=0),K267=""),ROUND(F267+L267,3),"")</x:f>
      </x:c>
      <x:c r="K267" s="5" t="str">
        <x:f>IF(COUNTA(A267:F267)=0,"",IF(A267="","Missing equipment ID",IF(COUNTIFS($N$8:$N$2007,"="&amp;N267)&gt;1,"Duplicate equipment ID",IF(B267="","Missing type",IF(COUNTIFS('Rules'!$G$7:$G$26,"="&amp;(SUBSTITUTE(SUBSTITUTE(SUBSTITUTE(SUBSTITUTE("type:"&amp;B267,"%","%25"),"~","%7E"),"*","%2A"),"?","%3F")))=0,"Unknown type",IF(COUNTIFS('Rules'!$G$7:$G$26,"="&amp;(SUBSTITUTE(SUBSTITUTE(SUBSTITUTE(SUBSTITUTE("type:"&amp;B267,"%","%25"),"~","%7E"),"*","%2A"),"?","%3F")))&gt;1,"Duplicate type",IF(INDEX('Rules'!$F$7:$F$26,MATCH(SUBSTITUTE(SUBSTITUTE(SUBSTITUTE(SUBSTITUTE("type:"&amp;B267,"%","%25"),"~","%7E"),"*","%2A"),"?","%3F"),'Rules'!$G$7:$G$26,0))&lt;&gt;"",INDEX('Rules'!$F$7:$F$26,MATCH(SUBSTITUTE(SUBSTITUTE(SUBSTITUTE(SUBSTITUTE("type:"&amp;B267,"%","%25"),"~","%7E"),"*","%2A"),"?","%3F"),'Rules'!$G$7:$G$26,0)),IF(AND(C267&lt;&gt;"",C267&lt;&gt;INDEX('Rules'!$B$7:$B$26,MATCH(SUBSTITUTE(SUBSTITUTE(SUBSTITUTE(SUBSTITUTE("type:"&amp;B267,"%","%25"),"~","%7E"),"*","%2A"),"?","%3F"),'Rules'!$G$7:$G$26,0))),"Unit mismatch",IF(IF(NOT(ISNUMBER(D267)),TRUE,OR(D267&lt;0,D267&gt;999999999,ROUND(D267,3)&lt;&gt;D267)),"Invalid current reading",IF(AND(E267&lt;&gt;"",IF(NOT(ISNUMBER(E267)),TRUE,OR(E267&lt;0,E267&gt;999999999,ROUND(E267,3)&lt;&gt;E267))),"Invalid previous reading",IF(IF(NOT(ISNUMBER(F267)),TRUE,OR(F267&lt;0,F267&gt;999999999,ROUND(F267,3)&lt;&gt;F267)),"Invalid last service",IF(AND(E267&lt;&gt;"",D267&lt;E267),"Decreased reading",IF(F267&gt;D267,"Last service above current","")))))))))))))</x:f>
      </x:c>
      <x:c r="L267" s="6" t="str">
        <x:f>IF(AND(NOT(COUNTA(A267:F267)=0),K267=""),INDEX('Rules'!$C$7:$C$26,MATCH(SUBSTITUTE(SUBSTITUTE(SUBSTITUTE(SUBSTITUTE("type:"&amp;B267,"%","%25"),"~","%7E"),"*","%2A"),"?","%3F"),'Rules'!$G$7:$G$26,0)),"")</x:f>
      </x:c>
      <x:c r="M267" s="6" t="str">
        <x:f>IF(AND(NOT(COUNTA(A267:F267)=0),K267=""),INDEX('Rules'!$D$7:$D$26,MATCH(SUBSTITUTE(SUBSTITUTE(SUBSTITUTE(SUBSTITUTE("type:"&amp;B267,"%","%25"),"~","%7E"),"*","%2A"),"?","%3F"),'Rules'!$G$7:$G$26,0)),"")</x:f>
      </x:c>
      <x:c r="N267" s="5" t="str">
        <x:f>IF(COUNTA(A267:F267)=0,"",SUBSTITUTE(SUBSTITUTE(SUBSTITUTE(SUBSTITUTE("id:"&amp;A267,"%","%25"),"~","%7E"),"*","%2A"),"?","%3F"))</x:f>
      </x:c>
    </x:row>
    <x:row r="268" ht="22" customHeight="1">
      <x:c r="A268" s="3"/>
      <x:c r="B268" s="3"/>
      <x:c r="C268" s="3"/>
      <x:c r="D268" s="4"/>
      <x:c r="E268" s="4"/>
      <x:c r="F268" s="4"/>
      <x:c r="G268" s="5" t="str">
        <x:f>IF(COUNTA(A268:F268)=0,"",IF(K268&lt;&gt;"","Review",IF(I268&lt;0,"Overdue",IF(I268=0,"Due now",IF(I268&lt;=M268,"Due soon","Not due")))))</x:f>
      </x:c>
      <x:c r="H268" s="5" t="str">
        <x:f>IF(OR(COUNTA(A268:F268)=0,COUNTIFS('Rules'!$G$7:$G$26,"="&amp;(SUBSTITUTE(SUBSTITUTE(SUBSTITUTE(SUBSTITUTE("type:"&amp;B268,"%","%25"),"~","%7E"),"*","%2A"),"?","%3F")))&lt;&gt;1),"",IF(OR(INDEX('Rules'!$B$7:$B$26,MATCH(SUBSTITUTE(SUBSTITUTE(SUBSTITUTE(SUBSTITUTE("type:"&amp;B268,"%","%25"),"~","%7E"),"*","%2A"),"?","%3F"),'Rules'!$G$7:$G$26,0))="hours",INDEX('Rules'!$B$7:$B$26,MATCH(SUBSTITUTE(SUBSTITUTE(SUBSTITUTE(SUBSTITUTE("type:"&amp;B268,"%","%25"),"~","%7E"),"*","%2A"),"?","%3F"),'Rules'!$G$7:$G$26,0))="km"),INDEX('Rules'!$B$7:$B$26,MATCH(SUBSTITUTE(SUBSTITUTE(SUBSTITUTE(SUBSTITUTE("type:"&amp;B268,"%","%25"),"~","%7E"),"*","%2A"),"?","%3F"),'Rules'!$G$7:$G$26,0)),""))</x:f>
      </x:c>
      <x:c r="I268" s="6" t="str">
        <x:f>IF(AND(NOT(COUNTA(A268:F268)=0),K268=""),ROUND(J268-D268,3),"")</x:f>
      </x:c>
      <x:c r="J268" s="6" t="str">
        <x:f>IF(AND(NOT(COUNTA(A268:F268)=0),K268=""),ROUND(F268+L268,3),"")</x:f>
      </x:c>
      <x:c r="K268" s="5" t="str">
        <x:f>IF(COUNTA(A268:F268)=0,"",IF(A268="","Missing equipment ID",IF(COUNTIFS($N$8:$N$2007,"="&amp;N268)&gt;1,"Duplicate equipment ID",IF(B268="","Missing type",IF(COUNTIFS('Rules'!$G$7:$G$26,"="&amp;(SUBSTITUTE(SUBSTITUTE(SUBSTITUTE(SUBSTITUTE("type:"&amp;B268,"%","%25"),"~","%7E"),"*","%2A"),"?","%3F")))=0,"Unknown type",IF(COUNTIFS('Rules'!$G$7:$G$26,"="&amp;(SUBSTITUTE(SUBSTITUTE(SUBSTITUTE(SUBSTITUTE("type:"&amp;B268,"%","%25"),"~","%7E"),"*","%2A"),"?","%3F")))&gt;1,"Duplicate type",IF(INDEX('Rules'!$F$7:$F$26,MATCH(SUBSTITUTE(SUBSTITUTE(SUBSTITUTE(SUBSTITUTE("type:"&amp;B268,"%","%25"),"~","%7E"),"*","%2A"),"?","%3F"),'Rules'!$G$7:$G$26,0))&lt;&gt;"",INDEX('Rules'!$F$7:$F$26,MATCH(SUBSTITUTE(SUBSTITUTE(SUBSTITUTE(SUBSTITUTE("type:"&amp;B268,"%","%25"),"~","%7E"),"*","%2A"),"?","%3F"),'Rules'!$G$7:$G$26,0)),IF(AND(C268&lt;&gt;"",C268&lt;&gt;INDEX('Rules'!$B$7:$B$26,MATCH(SUBSTITUTE(SUBSTITUTE(SUBSTITUTE(SUBSTITUTE("type:"&amp;B268,"%","%25"),"~","%7E"),"*","%2A"),"?","%3F"),'Rules'!$G$7:$G$26,0))),"Unit mismatch",IF(IF(NOT(ISNUMBER(D268)),TRUE,OR(D268&lt;0,D268&gt;999999999,ROUND(D268,3)&lt;&gt;D268)),"Invalid current reading",IF(AND(E268&lt;&gt;"",IF(NOT(ISNUMBER(E268)),TRUE,OR(E268&lt;0,E268&gt;999999999,ROUND(E268,3)&lt;&gt;E268))),"Invalid previous reading",IF(IF(NOT(ISNUMBER(F268)),TRUE,OR(F268&lt;0,F268&gt;999999999,ROUND(F268,3)&lt;&gt;F268)),"Invalid last service",IF(AND(E268&lt;&gt;"",D268&lt;E268),"Decreased reading",IF(F268&gt;D268,"Last service above current","")))))))))))))</x:f>
      </x:c>
      <x:c r="L268" s="6" t="str">
        <x:f>IF(AND(NOT(COUNTA(A268:F268)=0),K268=""),INDEX('Rules'!$C$7:$C$26,MATCH(SUBSTITUTE(SUBSTITUTE(SUBSTITUTE(SUBSTITUTE("type:"&amp;B268,"%","%25"),"~","%7E"),"*","%2A"),"?","%3F"),'Rules'!$G$7:$G$26,0)),"")</x:f>
      </x:c>
      <x:c r="M268" s="6" t="str">
        <x:f>IF(AND(NOT(COUNTA(A268:F268)=0),K268=""),INDEX('Rules'!$D$7:$D$26,MATCH(SUBSTITUTE(SUBSTITUTE(SUBSTITUTE(SUBSTITUTE("type:"&amp;B268,"%","%25"),"~","%7E"),"*","%2A"),"?","%3F"),'Rules'!$G$7:$G$26,0)),"")</x:f>
      </x:c>
      <x:c r="N268" s="5" t="str">
        <x:f>IF(COUNTA(A268:F268)=0,"",SUBSTITUTE(SUBSTITUTE(SUBSTITUTE(SUBSTITUTE("id:"&amp;A268,"%","%25"),"~","%7E"),"*","%2A"),"?","%3F"))</x:f>
      </x:c>
    </x:row>
    <x:row r="269" ht="22" customHeight="1">
      <x:c r="A269" s="3"/>
      <x:c r="B269" s="3"/>
      <x:c r="C269" s="3"/>
      <x:c r="D269" s="4"/>
      <x:c r="E269" s="4"/>
      <x:c r="F269" s="4"/>
      <x:c r="G269" s="5" t="str">
        <x:f>IF(COUNTA(A269:F269)=0,"",IF(K269&lt;&gt;"","Review",IF(I269&lt;0,"Overdue",IF(I269=0,"Due now",IF(I269&lt;=M269,"Due soon","Not due")))))</x:f>
      </x:c>
      <x:c r="H269" s="5" t="str">
        <x:f>IF(OR(COUNTA(A269:F269)=0,COUNTIFS('Rules'!$G$7:$G$26,"="&amp;(SUBSTITUTE(SUBSTITUTE(SUBSTITUTE(SUBSTITUTE("type:"&amp;B269,"%","%25"),"~","%7E"),"*","%2A"),"?","%3F")))&lt;&gt;1),"",IF(OR(INDEX('Rules'!$B$7:$B$26,MATCH(SUBSTITUTE(SUBSTITUTE(SUBSTITUTE(SUBSTITUTE("type:"&amp;B269,"%","%25"),"~","%7E"),"*","%2A"),"?","%3F"),'Rules'!$G$7:$G$26,0))="hours",INDEX('Rules'!$B$7:$B$26,MATCH(SUBSTITUTE(SUBSTITUTE(SUBSTITUTE(SUBSTITUTE("type:"&amp;B269,"%","%25"),"~","%7E"),"*","%2A"),"?","%3F"),'Rules'!$G$7:$G$26,0))="km"),INDEX('Rules'!$B$7:$B$26,MATCH(SUBSTITUTE(SUBSTITUTE(SUBSTITUTE(SUBSTITUTE("type:"&amp;B269,"%","%25"),"~","%7E"),"*","%2A"),"?","%3F"),'Rules'!$G$7:$G$26,0)),""))</x:f>
      </x:c>
      <x:c r="I269" s="6" t="str">
        <x:f>IF(AND(NOT(COUNTA(A269:F269)=0),K269=""),ROUND(J269-D269,3),"")</x:f>
      </x:c>
      <x:c r="J269" s="6" t="str">
        <x:f>IF(AND(NOT(COUNTA(A269:F269)=0),K269=""),ROUND(F269+L269,3),"")</x:f>
      </x:c>
      <x:c r="K269" s="5" t="str">
        <x:f>IF(COUNTA(A269:F269)=0,"",IF(A269="","Missing equipment ID",IF(COUNTIFS($N$8:$N$2007,"="&amp;N269)&gt;1,"Duplicate equipment ID",IF(B269="","Missing type",IF(COUNTIFS('Rules'!$G$7:$G$26,"="&amp;(SUBSTITUTE(SUBSTITUTE(SUBSTITUTE(SUBSTITUTE("type:"&amp;B269,"%","%25"),"~","%7E"),"*","%2A"),"?","%3F")))=0,"Unknown type",IF(COUNTIFS('Rules'!$G$7:$G$26,"="&amp;(SUBSTITUTE(SUBSTITUTE(SUBSTITUTE(SUBSTITUTE("type:"&amp;B269,"%","%25"),"~","%7E"),"*","%2A"),"?","%3F")))&gt;1,"Duplicate type",IF(INDEX('Rules'!$F$7:$F$26,MATCH(SUBSTITUTE(SUBSTITUTE(SUBSTITUTE(SUBSTITUTE("type:"&amp;B269,"%","%25"),"~","%7E"),"*","%2A"),"?","%3F"),'Rules'!$G$7:$G$26,0))&lt;&gt;"",INDEX('Rules'!$F$7:$F$26,MATCH(SUBSTITUTE(SUBSTITUTE(SUBSTITUTE(SUBSTITUTE("type:"&amp;B269,"%","%25"),"~","%7E"),"*","%2A"),"?","%3F"),'Rules'!$G$7:$G$26,0)),IF(AND(C269&lt;&gt;"",C269&lt;&gt;INDEX('Rules'!$B$7:$B$26,MATCH(SUBSTITUTE(SUBSTITUTE(SUBSTITUTE(SUBSTITUTE("type:"&amp;B269,"%","%25"),"~","%7E"),"*","%2A"),"?","%3F"),'Rules'!$G$7:$G$26,0))),"Unit mismatch",IF(IF(NOT(ISNUMBER(D269)),TRUE,OR(D269&lt;0,D269&gt;999999999,ROUND(D269,3)&lt;&gt;D269)),"Invalid current reading",IF(AND(E269&lt;&gt;"",IF(NOT(ISNUMBER(E269)),TRUE,OR(E269&lt;0,E269&gt;999999999,ROUND(E269,3)&lt;&gt;E269))),"Invalid previous reading",IF(IF(NOT(ISNUMBER(F269)),TRUE,OR(F269&lt;0,F269&gt;999999999,ROUND(F269,3)&lt;&gt;F269)),"Invalid last service",IF(AND(E269&lt;&gt;"",D269&lt;E269),"Decreased reading",IF(F269&gt;D269,"Last service above current","")))))))))))))</x:f>
      </x:c>
      <x:c r="L269" s="6" t="str">
        <x:f>IF(AND(NOT(COUNTA(A269:F269)=0),K269=""),INDEX('Rules'!$C$7:$C$26,MATCH(SUBSTITUTE(SUBSTITUTE(SUBSTITUTE(SUBSTITUTE("type:"&amp;B269,"%","%25"),"~","%7E"),"*","%2A"),"?","%3F"),'Rules'!$G$7:$G$26,0)),"")</x:f>
      </x:c>
      <x:c r="M269" s="6" t="str">
        <x:f>IF(AND(NOT(COUNTA(A269:F269)=0),K269=""),INDEX('Rules'!$D$7:$D$26,MATCH(SUBSTITUTE(SUBSTITUTE(SUBSTITUTE(SUBSTITUTE("type:"&amp;B269,"%","%25"),"~","%7E"),"*","%2A"),"?","%3F"),'Rules'!$G$7:$G$26,0)),"")</x:f>
      </x:c>
      <x:c r="N269" s="5" t="str">
        <x:f>IF(COUNTA(A269:F269)=0,"",SUBSTITUTE(SUBSTITUTE(SUBSTITUTE(SUBSTITUTE("id:"&amp;A269,"%","%25"),"~","%7E"),"*","%2A"),"?","%3F"))</x:f>
      </x:c>
    </x:row>
    <x:row r="270" ht="22" customHeight="1">
      <x:c r="A270" s="3"/>
      <x:c r="B270" s="3"/>
      <x:c r="C270" s="3"/>
      <x:c r="D270" s="4"/>
      <x:c r="E270" s="4"/>
      <x:c r="F270" s="4"/>
      <x:c r="G270" s="5" t="str">
        <x:f>IF(COUNTA(A270:F270)=0,"",IF(K270&lt;&gt;"","Review",IF(I270&lt;0,"Overdue",IF(I270=0,"Due now",IF(I270&lt;=M270,"Due soon","Not due")))))</x:f>
      </x:c>
      <x:c r="H270" s="5" t="str">
        <x:f>IF(OR(COUNTA(A270:F270)=0,COUNTIFS('Rules'!$G$7:$G$26,"="&amp;(SUBSTITUTE(SUBSTITUTE(SUBSTITUTE(SUBSTITUTE("type:"&amp;B270,"%","%25"),"~","%7E"),"*","%2A"),"?","%3F")))&lt;&gt;1),"",IF(OR(INDEX('Rules'!$B$7:$B$26,MATCH(SUBSTITUTE(SUBSTITUTE(SUBSTITUTE(SUBSTITUTE("type:"&amp;B270,"%","%25"),"~","%7E"),"*","%2A"),"?","%3F"),'Rules'!$G$7:$G$26,0))="hours",INDEX('Rules'!$B$7:$B$26,MATCH(SUBSTITUTE(SUBSTITUTE(SUBSTITUTE(SUBSTITUTE("type:"&amp;B270,"%","%25"),"~","%7E"),"*","%2A"),"?","%3F"),'Rules'!$G$7:$G$26,0))="km"),INDEX('Rules'!$B$7:$B$26,MATCH(SUBSTITUTE(SUBSTITUTE(SUBSTITUTE(SUBSTITUTE("type:"&amp;B270,"%","%25"),"~","%7E"),"*","%2A"),"?","%3F"),'Rules'!$G$7:$G$26,0)),""))</x:f>
      </x:c>
      <x:c r="I270" s="6" t="str">
        <x:f>IF(AND(NOT(COUNTA(A270:F270)=0),K270=""),ROUND(J270-D270,3),"")</x:f>
      </x:c>
      <x:c r="J270" s="6" t="str">
        <x:f>IF(AND(NOT(COUNTA(A270:F270)=0),K270=""),ROUND(F270+L270,3),"")</x:f>
      </x:c>
      <x:c r="K270" s="5" t="str">
        <x:f>IF(COUNTA(A270:F270)=0,"",IF(A270="","Missing equipment ID",IF(COUNTIFS($N$8:$N$2007,"="&amp;N270)&gt;1,"Duplicate equipment ID",IF(B270="","Missing type",IF(COUNTIFS('Rules'!$G$7:$G$26,"="&amp;(SUBSTITUTE(SUBSTITUTE(SUBSTITUTE(SUBSTITUTE("type:"&amp;B270,"%","%25"),"~","%7E"),"*","%2A"),"?","%3F")))=0,"Unknown type",IF(COUNTIFS('Rules'!$G$7:$G$26,"="&amp;(SUBSTITUTE(SUBSTITUTE(SUBSTITUTE(SUBSTITUTE("type:"&amp;B270,"%","%25"),"~","%7E"),"*","%2A"),"?","%3F")))&gt;1,"Duplicate type",IF(INDEX('Rules'!$F$7:$F$26,MATCH(SUBSTITUTE(SUBSTITUTE(SUBSTITUTE(SUBSTITUTE("type:"&amp;B270,"%","%25"),"~","%7E"),"*","%2A"),"?","%3F"),'Rules'!$G$7:$G$26,0))&lt;&gt;"",INDEX('Rules'!$F$7:$F$26,MATCH(SUBSTITUTE(SUBSTITUTE(SUBSTITUTE(SUBSTITUTE("type:"&amp;B270,"%","%25"),"~","%7E"),"*","%2A"),"?","%3F"),'Rules'!$G$7:$G$26,0)),IF(AND(C270&lt;&gt;"",C270&lt;&gt;INDEX('Rules'!$B$7:$B$26,MATCH(SUBSTITUTE(SUBSTITUTE(SUBSTITUTE(SUBSTITUTE("type:"&amp;B270,"%","%25"),"~","%7E"),"*","%2A"),"?","%3F"),'Rules'!$G$7:$G$26,0))),"Unit mismatch",IF(IF(NOT(ISNUMBER(D270)),TRUE,OR(D270&lt;0,D270&gt;999999999,ROUND(D270,3)&lt;&gt;D270)),"Invalid current reading",IF(AND(E270&lt;&gt;"",IF(NOT(ISNUMBER(E270)),TRUE,OR(E270&lt;0,E270&gt;999999999,ROUND(E270,3)&lt;&gt;E270))),"Invalid previous reading",IF(IF(NOT(ISNUMBER(F270)),TRUE,OR(F270&lt;0,F270&gt;999999999,ROUND(F270,3)&lt;&gt;F270)),"Invalid last service",IF(AND(E270&lt;&gt;"",D270&lt;E270),"Decreased reading",IF(F270&gt;D270,"Last service above current","")))))))))))))</x:f>
      </x:c>
      <x:c r="L270" s="6" t="str">
        <x:f>IF(AND(NOT(COUNTA(A270:F270)=0),K270=""),INDEX('Rules'!$C$7:$C$26,MATCH(SUBSTITUTE(SUBSTITUTE(SUBSTITUTE(SUBSTITUTE("type:"&amp;B270,"%","%25"),"~","%7E"),"*","%2A"),"?","%3F"),'Rules'!$G$7:$G$26,0)),"")</x:f>
      </x:c>
      <x:c r="M270" s="6" t="str">
        <x:f>IF(AND(NOT(COUNTA(A270:F270)=0),K270=""),INDEX('Rules'!$D$7:$D$26,MATCH(SUBSTITUTE(SUBSTITUTE(SUBSTITUTE(SUBSTITUTE("type:"&amp;B270,"%","%25"),"~","%7E"),"*","%2A"),"?","%3F"),'Rules'!$G$7:$G$26,0)),"")</x:f>
      </x:c>
      <x:c r="N270" s="5" t="str">
        <x:f>IF(COUNTA(A270:F270)=0,"",SUBSTITUTE(SUBSTITUTE(SUBSTITUTE(SUBSTITUTE("id:"&amp;A270,"%","%25"),"~","%7E"),"*","%2A"),"?","%3F"))</x:f>
      </x:c>
    </x:row>
    <x:row r="271" ht="22" customHeight="1">
      <x:c r="A271" s="3"/>
      <x:c r="B271" s="3"/>
      <x:c r="C271" s="3"/>
      <x:c r="D271" s="4"/>
      <x:c r="E271" s="4"/>
      <x:c r="F271" s="4"/>
      <x:c r="G271" s="5" t="str">
        <x:f>IF(COUNTA(A271:F271)=0,"",IF(K271&lt;&gt;"","Review",IF(I271&lt;0,"Overdue",IF(I271=0,"Due now",IF(I271&lt;=M271,"Due soon","Not due")))))</x:f>
      </x:c>
      <x:c r="H271" s="5" t="str">
        <x:f>IF(OR(COUNTA(A271:F271)=0,COUNTIFS('Rules'!$G$7:$G$26,"="&amp;(SUBSTITUTE(SUBSTITUTE(SUBSTITUTE(SUBSTITUTE("type:"&amp;B271,"%","%25"),"~","%7E"),"*","%2A"),"?","%3F")))&lt;&gt;1),"",IF(OR(INDEX('Rules'!$B$7:$B$26,MATCH(SUBSTITUTE(SUBSTITUTE(SUBSTITUTE(SUBSTITUTE("type:"&amp;B271,"%","%25"),"~","%7E"),"*","%2A"),"?","%3F"),'Rules'!$G$7:$G$26,0))="hours",INDEX('Rules'!$B$7:$B$26,MATCH(SUBSTITUTE(SUBSTITUTE(SUBSTITUTE(SUBSTITUTE("type:"&amp;B271,"%","%25"),"~","%7E"),"*","%2A"),"?","%3F"),'Rules'!$G$7:$G$26,0))="km"),INDEX('Rules'!$B$7:$B$26,MATCH(SUBSTITUTE(SUBSTITUTE(SUBSTITUTE(SUBSTITUTE("type:"&amp;B271,"%","%25"),"~","%7E"),"*","%2A"),"?","%3F"),'Rules'!$G$7:$G$26,0)),""))</x:f>
      </x:c>
      <x:c r="I271" s="6" t="str">
        <x:f>IF(AND(NOT(COUNTA(A271:F271)=0),K271=""),ROUND(J271-D271,3),"")</x:f>
      </x:c>
      <x:c r="J271" s="6" t="str">
        <x:f>IF(AND(NOT(COUNTA(A271:F271)=0),K271=""),ROUND(F271+L271,3),"")</x:f>
      </x:c>
      <x:c r="K271" s="5" t="str">
        <x:f>IF(COUNTA(A271:F271)=0,"",IF(A271="","Missing equipment ID",IF(COUNTIFS($N$8:$N$2007,"="&amp;N271)&gt;1,"Duplicate equipment ID",IF(B271="","Missing type",IF(COUNTIFS('Rules'!$G$7:$G$26,"="&amp;(SUBSTITUTE(SUBSTITUTE(SUBSTITUTE(SUBSTITUTE("type:"&amp;B271,"%","%25"),"~","%7E"),"*","%2A"),"?","%3F")))=0,"Unknown type",IF(COUNTIFS('Rules'!$G$7:$G$26,"="&amp;(SUBSTITUTE(SUBSTITUTE(SUBSTITUTE(SUBSTITUTE("type:"&amp;B271,"%","%25"),"~","%7E"),"*","%2A"),"?","%3F")))&gt;1,"Duplicate type",IF(INDEX('Rules'!$F$7:$F$26,MATCH(SUBSTITUTE(SUBSTITUTE(SUBSTITUTE(SUBSTITUTE("type:"&amp;B271,"%","%25"),"~","%7E"),"*","%2A"),"?","%3F"),'Rules'!$G$7:$G$26,0))&lt;&gt;"",INDEX('Rules'!$F$7:$F$26,MATCH(SUBSTITUTE(SUBSTITUTE(SUBSTITUTE(SUBSTITUTE("type:"&amp;B271,"%","%25"),"~","%7E"),"*","%2A"),"?","%3F"),'Rules'!$G$7:$G$26,0)),IF(AND(C271&lt;&gt;"",C271&lt;&gt;INDEX('Rules'!$B$7:$B$26,MATCH(SUBSTITUTE(SUBSTITUTE(SUBSTITUTE(SUBSTITUTE("type:"&amp;B271,"%","%25"),"~","%7E"),"*","%2A"),"?","%3F"),'Rules'!$G$7:$G$26,0))),"Unit mismatch",IF(IF(NOT(ISNUMBER(D271)),TRUE,OR(D271&lt;0,D271&gt;999999999,ROUND(D271,3)&lt;&gt;D271)),"Invalid current reading",IF(AND(E271&lt;&gt;"",IF(NOT(ISNUMBER(E271)),TRUE,OR(E271&lt;0,E271&gt;999999999,ROUND(E271,3)&lt;&gt;E271))),"Invalid previous reading",IF(IF(NOT(ISNUMBER(F271)),TRUE,OR(F271&lt;0,F271&gt;999999999,ROUND(F271,3)&lt;&gt;F271)),"Invalid last service",IF(AND(E271&lt;&gt;"",D271&lt;E271),"Decreased reading",IF(F271&gt;D271,"Last service above current","")))))))))))))</x:f>
      </x:c>
      <x:c r="L271" s="6" t="str">
        <x:f>IF(AND(NOT(COUNTA(A271:F271)=0),K271=""),INDEX('Rules'!$C$7:$C$26,MATCH(SUBSTITUTE(SUBSTITUTE(SUBSTITUTE(SUBSTITUTE("type:"&amp;B271,"%","%25"),"~","%7E"),"*","%2A"),"?","%3F"),'Rules'!$G$7:$G$26,0)),"")</x:f>
      </x:c>
      <x:c r="M271" s="6" t="str">
        <x:f>IF(AND(NOT(COUNTA(A271:F271)=0),K271=""),INDEX('Rules'!$D$7:$D$26,MATCH(SUBSTITUTE(SUBSTITUTE(SUBSTITUTE(SUBSTITUTE("type:"&amp;B271,"%","%25"),"~","%7E"),"*","%2A"),"?","%3F"),'Rules'!$G$7:$G$26,0)),"")</x:f>
      </x:c>
      <x:c r="N271" s="5" t="str">
        <x:f>IF(COUNTA(A271:F271)=0,"",SUBSTITUTE(SUBSTITUTE(SUBSTITUTE(SUBSTITUTE("id:"&amp;A271,"%","%25"),"~","%7E"),"*","%2A"),"?","%3F"))</x:f>
      </x:c>
    </x:row>
    <x:row r="272" ht="22" customHeight="1">
      <x:c r="A272" s="3"/>
      <x:c r="B272" s="3"/>
      <x:c r="C272" s="3"/>
      <x:c r="D272" s="4"/>
      <x:c r="E272" s="4"/>
      <x:c r="F272" s="4"/>
      <x:c r="G272" s="5" t="str">
        <x:f>IF(COUNTA(A272:F272)=0,"",IF(K272&lt;&gt;"","Review",IF(I272&lt;0,"Overdue",IF(I272=0,"Due now",IF(I272&lt;=M272,"Due soon","Not due")))))</x:f>
      </x:c>
      <x:c r="H272" s="5" t="str">
        <x:f>IF(OR(COUNTA(A272:F272)=0,COUNTIFS('Rules'!$G$7:$G$26,"="&amp;(SUBSTITUTE(SUBSTITUTE(SUBSTITUTE(SUBSTITUTE("type:"&amp;B272,"%","%25"),"~","%7E"),"*","%2A"),"?","%3F")))&lt;&gt;1),"",IF(OR(INDEX('Rules'!$B$7:$B$26,MATCH(SUBSTITUTE(SUBSTITUTE(SUBSTITUTE(SUBSTITUTE("type:"&amp;B272,"%","%25"),"~","%7E"),"*","%2A"),"?","%3F"),'Rules'!$G$7:$G$26,0))="hours",INDEX('Rules'!$B$7:$B$26,MATCH(SUBSTITUTE(SUBSTITUTE(SUBSTITUTE(SUBSTITUTE("type:"&amp;B272,"%","%25"),"~","%7E"),"*","%2A"),"?","%3F"),'Rules'!$G$7:$G$26,0))="km"),INDEX('Rules'!$B$7:$B$26,MATCH(SUBSTITUTE(SUBSTITUTE(SUBSTITUTE(SUBSTITUTE("type:"&amp;B272,"%","%25"),"~","%7E"),"*","%2A"),"?","%3F"),'Rules'!$G$7:$G$26,0)),""))</x:f>
      </x:c>
      <x:c r="I272" s="6" t="str">
        <x:f>IF(AND(NOT(COUNTA(A272:F272)=0),K272=""),ROUND(J272-D272,3),"")</x:f>
      </x:c>
      <x:c r="J272" s="6" t="str">
        <x:f>IF(AND(NOT(COUNTA(A272:F272)=0),K272=""),ROUND(F272+L272,3),"")</x:f>
      </x:c>
      <x:c r="K272" s="5" t="str">
        <x:f>IF(COUNTA(A272:F272)=0,"",IF(A272="","Missing equipment ID",IF(COUNTIFS($N$8:$N$2007,"="&amp;N272)&gt;1,"Duplicate equipment ID",IF(B272="","Missing type",IF(COUNTIFS('Rules'!$G$7:$G$26,"="&amp;(SUBSTITUTE(SUBSTITUTE(SUBSTITUTE(SUBSTITUTE("type:"&amp;B272,"%","%25"),"~","%7E"),"*","%2A"),"?","%3F")))=0,"Unknown type",IF(COUNTIFS('Rules'!$G$7:$G$26,"="&amp;(SUBSTITUTE(SUBSTITUTE(SUBSTITUTE(SUBSTITUTE("type:"&amp;B272,"%","%25"),"~","%7E"),"*","%2A"),"?","%3F")))&gt;1,"Duplicate type",IF(INDEX('Rules'!$F$7:$F$26,MATCH(SUBSTITUTE(SUBSTITUTE(SUBSTITUTE(SUBSTITUTE("type:"&amp;B272,"%","%25"),"~","%7E"),"*","%2A"),"?","%3F"),'Rules'!$G$7:$G$26,0))&lt;&gt;"",INDEX('Rules'!$F$7:$F$26,MATCH(SUBSTITUTE(SUBSTITUTE(SUBSTITUTE(SUBSTITUTE("type:"&amp;B272,"%","%25"),"~","%7E"),"*","%2A"),"?","%3F"),'Rules'!$G$7:$G$26,0)),IF(AND(C272&lt;&gt;"",C272&lt;&gt;INDEX('Rules'!$B$7:$B$26,MATCH(SUBSTITUTE(SUBSTITUTE(SUBSTITUTE(SUBSTITUTE("type:"&amp;B272,"%","%25"),"~","%7E"),"*","%2A"),"?","%3F"),'Rules'!$G$7:$G$26,0))),"Unit mismatch",IF(IF(NOT(ISNUMBER(D272)),TRUE,OR(D272&lt;0,D272&gt;999999999,ROUND(D272,3)&lt;&gt;D272)),"Invalid current reading",IF(AND(E272&lt;&gt;"",IF(NOT(ISNUMBER(E272)),TRUE,OR(E272&lt;0,E272&gt;999999999,ROUND(E272,3)&lt;&gt;E272))),"Invalid previous reading",IF(IF(NOT(ISNUMBER(F272)),TRUE,OR(F272&lt;0,F272&gt;999999999,ROUND(F272,3)&lt;&gt;F272)),"Invalid last service",IF(AND(E272&lt;&gt;"",D272&lt;E272),"Decreased reading",IF(F272&gt;D272,"Last service above current","")))))))))))))</x:f>
      </x:c>
      <x:c r="L272" s="6" t="str">
        <x:f>IF(AND(NOT(COUNTA(A272:F272)=0),K272=""),INDEX('Rules'!$C$7:$C$26,MATCH(SUBSTITUTE(SUBSTITUTE(SUBSTITUTE(SUBSTITUTE("type:"&amp;B272,"%","%25"),"~","%7E"),"*","%2A"),"?","%3F"),'Rules'!$G$7:$G$26,0)),"")</x:f>
      </x:c>
      <x:c r="M272" s="6" t="str">
        <x:f>IF(AND(NOT(COUNTA(A272:F272)=0),K272=""),INDEX('Rules'!$D$7:$D$26,MATCH(SUBSTITUTE(SUBSTITUTE(SUBSTITUTE(SUBSTITUTE("type:"&amp;B272,"%","%25"),"~","%7E"),"*","%2A"),"?","%3F"),'Rules'!$G$7:$G$26,0)),"")</x:f>
      </x:c>
      <x:c r="N272" s="5" t="str">
        <x:f>IF(COUNTA(A272:F272)=0,"",SUBSTITUTE(SUBSTITUTE(SUBSTITUTE(SUBSTITUTE("id:"&amp;A272,"%","%25"),"~","%7E"),"*","%2A"),"?","%3F"))</x:f>
      </x:c>
    </x:row>
    <x:row r="273" ht="22" customHeight="1">
      <x:c r="A273" s="3"/>
      <x:c r="B273" s="3"/>
      <x:c r="C273" s="3"/>
      <x:c r="D273" s="4"/>
      <x:c r="E273" s="4"/>
      <x:c r="F273" s="4"/>
      <x:c r="G273" s="5" t="str">
        <x:f>IF(COUNTA(A273:F273)=0,"",IF(K273&lt;&gt;"","Review",IF(I273&lt;0,"Overdue",IF(I273=0,"Due now",IF(I273&lt;=M273,"Due soon","Not due")))))</x:f>
      </x:c>
      <x:c r="H273" s="5" t="str">
        <x:f>IF(OR(COUNTA(A273:F273)=0,COUNTIFS('Rules'!$G$7:$G$26,"="&amp;(SUBSTITUTE(SUBSTITUTE(SUBSTITUTE(SUBSTITUTE("type:"&amp;B273,"%","%25"),"~","%7E"),"*","%2A"),"?","%3F")))&lt;&gt;1),"",IF(OR(INDEX('Rules'!$B$7:$B$26,MATCH(SUBSTITUTE(SUBSTITUTE(SUBSTITUTE(SUBSTITUTE("type:"&amp;B273,"%","%25"),"~","%7E"),"*","%2A"),"?","%3F"),'Rules'!$G$7:$G$26,0))="hours",INDEX('Rules'!$B$7:$B$26,MATCH(SUBSTITUTE(SUBSTITUTE(SUBSTITUTE(SUBSTITUTE("type:"&amp;B273,"%","%25"),"~","%7E"),"*","%2A"),"?","%3F"),'Rules'!$G$7:$G$26,0))="km"),INDEX('Rules'!$B$7:$B$26,MATCH(SUBSTITUTE(SUBSTITUTE(SUBSTITUTE(SUBSTITUTE("type:"&amp;B273,"%","%25"),"~","%7E"),"*","%2A"),"?","%3F"),'Rules'!$G$7:$G$26,0)),""))</x:f>
      </x:c>
      <x:c r="I273" s="6" t="str">
        <x:f>IF(AND(NOT(COUNTA(A273:F273)=0),K273=""),ROUND(J273-D273,3),"")</x:f>
      </x:c>
      <x:c r="J273" s="6" t="str">
        <x:f>IF(AND(NOT(COUNTA(A273:F273)=0),K273=""),ROUND(F273+L273,3),"")</x:f>
      </x:c>
      <x:c r="K273" s="5" t="str">
        <x:f>IF(COUNTA(A273:F273)=0,"",IF(A273="","Missing equipment ID",IF(COUNTIFS($N$8:$N$2007,"="&amp;N273)&gt;1,"Duplicate equipment ID",IF(B273="","Missing type",IF(COUNTIFS('Rules'!$G$7:$G$26,"="&amp;(SUBSTITUTE(SUBSTITUTE(SUBSTITUTE(SUBSTITUTE("type:"&amp;B273,"%","%25"),"~","%7E"),"*","%2A"),"?","%3F")))=0,"Unknown type",IF(COUNTIFS('Rules'!$G$7:$G$26,"="&amp;(SUBSTITUTE(SUBSTITUTE(SUBSTITUTE(SUBSTITUTE("type:"&amp;B273,"%","%25"),"~","%7E"),"*","%2A"),"?","%3F")))&gt;1,"Duplicate type",IF(INDEX('Rules'!$F$7:$F$26,MATCH(SUBSTITUTE(SUBSTITUTE(SUBSTITUTE(SUBSTITUTE("type:"&amp;B273,"%","%25"),"~","%7E"),"*","%2A"),"?","%3F"),'Rules'!$G$7:$G$26,0))&lt;&gt;"",INDEX('Rules'!$F$7:$F$26,MATCH(SUBSTITUTE(SUBSTITUTE(SUBSTITUTE(SUBSTITUTE("type:"&amp;B273,"%","%25"),"~","%7E"),"*","%2A"),"?","%3F"),'Rules'!$G$7:$G$26,0)),IF(AND(C273&lt;&gt;"",C273&lt;&gt;INDEX('Rules'!$B$7:$B$26,MATCH(SUBSTITUTE(SUBSTITUTE(SUBSTITUTE(SUBSTITUTE("type:"&amp;B273,"%","%25"),"~","%7E"),"*","%2A"),"?","%3F"),'Rules'!$G$7:$G$26,0))),"Unit mismatch",IF(IF(NOT(ISNUMBER(D273)),TRUE,OR(D273&lt;0,D273&gt;999999999,ROUND(D273,3)&lt;&gt;D273)),"Invalid current reading",IF(AND(E273&lt;&gt;"",IF(NOT(ISNUMBER(E273)),TRUE,OR(E273&lt;0,E273&gt;999999999,ROUND(E273,3)&lt;&gt;E273))),"Invalid previous reading",IF(IF(NOT(ISNUMBER(F273)),TRUE,OR(F273&lt;0,F273&gt;999999999,ROUND(F273,3)&lt;&gt;F273)),"Invalid last service",IF(AND(E273&lt;&gt;"",D273&lt;E273),"Decreased reading",IF(F273&gt;D273,"Last service above current","")))))))))))))</x:f>
      </x:c>
      <x:c r="L273" s="6" t="str">
        <x:f>IF(AND(NOT(COUNTA(A273:F273)=0),K273=""),INDEX('Rules'!$C$7:$C$26,MATCH(SUBSTITUTE(SUBSTITUTE(SUBSTITUTE(SUBSTITUTE("type:"&amp;B273,"%","%25"),"~","%7E"),"*","%2A"),"?","%3F"),'Rules'!$G$7:$G$26,0)),"")</x:f>
      </x:c>
      <x:c r="M273" s="6" t="str">
        <x:f>IF(AND(NOT(COUNTA(A273:F273)=0),K273=""),INDEX('Rules'!$D$7:$D$26,MATCH(SUBSTITUTE(SUBSTITUTE(SUBSTITUTE(SUBSTITUTE("type:"&amp;B273,"%","%25"),"~","%7E"),"*","%2A"),"?","%3F"),'Rules'!$G$7:$G$26,0)),"")</x:f>
      </x:c>
      <x:c r="N273" s="5" t="str">
        <x:f>IF(COUNTA(A273:F273)=0,"",SUBSTITUTE(SUBSTITUTE(SUBSTITUTE(SUBSTITUTE("id:"&amp;A273,"%","%25"),"~","%7E"),"*","%2A"),"?","%3F"))</x:f>
      </x:c>
    </x:row>
    <x:row r="274" ht="22" customHeight="1">
      <x:c r="A274" s="3"/>
      <x:c r="B274" s="3"/>
      <x:c r="C274" s="3"/>
      <x:c r="D274" s="4"/>
      <x:c r="E274" s="4"/>
      <x:c r="F274" s="4"/>
      <x:c r="G274" s="5" t="str">
        <x:f>IF(COUNTA(A274:F274)=0,"",IF(K274&lt;&gt;"","Review",IF(I274&lt;0,"Overdue",IF(I274=0,"Due now",IF(I274&lt;=M274,"Due soon","Not due")))))</x:f>
      </x:c>
      <x:c r="H274" s="5" t="str">
        <x:f>IF(OR(COUNTA(A274:F274)=0,COUNTIFS('Rules'!$G$7:$G$26,"="&amp;(SUBSTITUTE(SUBSTITUTE(SUBSTITUTE(SUBSTITUTE("type:"&amp;B274,"%","%25"),"~","%7E"),"*","%2A"),"?","%3F")))&lt;&gt;1),"",IF(OR(INDEX('Rules'!$B$7:$B$26,MATCH(SUBSTITUTE(SUBSTITUTE(SUBSTITUTE(SUBSTITUTE("type:"&amp;B274,"%","%25"),"~","%7E"),"*","%2A"),"?","%3F"),'Rules'!$G$7:$G$26,0))="hours",INDEX('Rules'!$B$7:$B$26,MATCH(SUBSTITUTE(SUBSTITUTE(SUBSTITUTE(SUBSTITUTE("type:"&amp;B274,"%","%25"),"~","%7E"),"*","%2A"),"?","%3F"),'Rules'!$G$7:$G$26,0))="km"),INDEX('Rules'!$B$7:$B$26,MATCH(SUBSTITUTE(SUBSTITUTE(SUBSTITUTE(SUBSTITUTE("type:"&amp;B274,"%","%25"),"~","%7E"),"*","%2A"),"?","%3F"),'Rules'!$G$7:$G$26,0)),""))</x:f>
      </x:c>
      <x:c r="I274" s="6" t="str">
        <x:f>IF(AND(NOT(COUNTA(A274:F274)=0),K274=""),ROUND(J274-D274,3),"")</x:f>
      </x:c>
      <x:c r="J274" s="6" t="str">
        <x:f>IF(AND(NOT(COUNTA(A274:F274)=0),K274=""),ROUND(F274+L274,3),"")</x:f>
      </x:c>
      <x:c r="K274" s="5" t="str">
        <x:f>IF(COUNTA(A274:F274)=0,"",IF(A274="","Missing equipment ID",IF(COUNTIFS($N$8:$N$2007,"="&amp;N274)&gt;1,"Duplicate equipment ID",IF(B274="","Missing type",IF(COUNTIFS('Rules'!$G$7:$G$26,"="&amp;(SUBSTITUTE(SUBSTITUTE(SUBSTITUTE(SUBSTITUTE("type:"&amp;B274,"%","%25"),"~","%7E"),"*","%2A"),"?","%3F")))=0,"Unknown type",IF(COUNTIFS('Rules'!$G$7:$G$26,"="&amp;(SUBSTITUTE(SUBSTITUTE(SUBSTITUTE(SUBSTITUTE("type:"&amp;B274,"%","%25"),"~","%7E"),"*","%2A"),"?","%3F")))&gt;1,"Duplicate type",IF(INDEX('Rules'!$F$7:$F$26,MATCH(SUBSTITUTE(SUBSTITUTE(SUBSTITUTE(SUBSTITUTE("type:"&amp;B274,"%","%25"),"~","%7E"),"*","%2A"),"?","%3F"),'Rules'!$G$7:$G$26,0))&lt;&gt;"",INDEX('Rules'!$F$7:$F$26,MATCH(SUBSTITUTE(SUBSTITUTE(SUBSTITUTE(SUBSTITUTE("type:"&amp;B274,"%","%25"),"~","%7E"),"*","%2A"),"?","%3F"),'Rules'!$G$7:$G$26,0)),IF(AND(C274&lt;&gt;"",C274&lt;&gt;INDEX('Rules'!$B$7:$B$26,MATCH(SUBSTITUTE(SUBSTITUTE(SUBSTITUTE(SUBSTITUTE("type:"&amp;B274,"%","%25"),"~","%7E"),"*","%2A"),"?","%3F"),'Rules'!$G$7:$G$26,0))),"Unit mismatch",IF(IF(NOT(ISNUMBER(D274)),TRUE,OR(D274&lt;0,D274&gt;999999999,ROUND(D274,3)&lt;&gt;D274)),"Invalid current reading",IF(AND(E274&lt;&gt;"",IF(NOT(ISNUMBER(E274)),TRUE,OR(E274&lt;0,E274&gt;999999999,ROUND(E274,3)&lt;&gt;E274))),"Invalid previous reading",IF(IF(NOT(ISNUMBER(F274)),TRUE,OR(F274&lt;0,F274&gt;999999999,ROUND(F274,3)&lt;&gt;F274)),"Invalid last service",IF(AND(E274&lt;&gt;"",D274&lt;E274),"Decreased reading",IF(F274&gt;D274,"Last service above current","")))))))))))))</x:f>
      </x:c>
      <x:c r="L274" s="6" t="str">
        <x:f>IF(AND(NOT(COUNTA(A274:F274)=0),K274=""),INDEX('Rules'!$C$7:$C$26,MATCH(SUBSTITUTE(SUBSTITUTE(SUBSTITUTE(SUBSTITUTE("type:"&amp;B274,"%","%25"),"~","%7E"),"*","%2A"),"?","%3F"),'Rules'!$G$7:$G$26,0)),"")</x:f>
      </x:c>
      <x:c r="M274" s="6" t="str">
        <x:f>IF(AND(NOT(COUNTA(A274:F274)=0),K274=""),INDEX('Rules'!$D$7:$D$26,MATCH(SUBSTITUTE(SUBSTITUTE(SUBSTITUTE(SUBSTITUTE("type:"&amp;B274,"%","%25"),"~","%7E"),"*","%2A"),"?","%3F"),'Rules'!$G$7:$G$26,0)),"")</x:f>
      </x:c>
      <x:c r="N274" s="5" t="str">
        <x:f>IF(COUNTA(A274:F274)=0,"",SUBSTITUTE(SUBSTITUTE(SUBSTITUTE(SUBSTITUTE("id:"&amp;A274,"%","%25"),"~","%7E"),"*","%2A"),"?","%3F"))</x:f>
      </x:c>
    </x:row>
    <x:row r="275" ht="22" customHeight="1">
      <x:c r="A275" s="3"/>
      <x:c r="B275" s="3"/>
      <x:c r="C275" s="3"/>
      <x:c r="D275" s="4"/>
      <x:c r="E275" s="4"/>
      <x:c r="F275" s="4"/>
      <x:c r="G275" s="5" t="str">
        <x:f>IF(COUNTA(A275:F275)=0,"",IF(K275&lt;&gt;"","Review",IF(I275&lt;0,"Overdue",IF(I275=0,"Due now",IF(I275&lt;=M275,"Due soon","Not due")))))</x:f>
      </x:c>
      <x:c r="H275" s="5" t="str">
        <x:f>IF(OR(COUNTA(A275:F275)=0,COUNTIFS('Rules'!$G$7:$G$26,"="&amp;(SUBSTITUTE(SUBSTITUTE(SUBSTITUTE(SUBSTITUTE("type:"&amp;B275,"%","%25"),"~","%7E"),"*","%2A"),"?","%3F")))&lt;&gt;1),"",IF(OR(INDEX('Rules'!$B$7:$B$26,MATCH(SUBSTITUTE(SUBSTITUTE(SUBSTITUTE(SUBSTITUTE("type:"&amp;B275,"%","%25"),"~","%7E"),"*","%2A"),"?","%3F"),'Rules'!$G$7:$G$26,0))="hours",INDEX('Rules'!$B$7:$B$26,MATCH(SUBSTITUTE(SUBSTITUTE(SUBSTITUTE(SUBSTITUTE("type:"&amp;B275,"%","%25"),"~","%7E"),"*","%2A"),"?","%3F"),'Rules'!$G$7:$G$26,0))="km"),INDEX('Rules'!$B$7:$B$26,MATCH(SUBSTITUTE(SUBSTITUTE(SUBSTITUTE(SUBSTITUTE("type:"&amp;B275,"%","%25"),"~","%7E"),"*","%2A"),"?","%3F"),'Rules'!$G$7:$G$26,0)),""))</x:f>
      </x:c>
      <x:c r="I275" s="6" t="str">
        <x:f>IF(AND(NOT(COUNTA(A275:F275)=0),K275=""),ROUND(J275-D275,3),"")</x:f>
      </x:c>
      <x:c r="J275" s="6" t="str">
        <x:f>IF(AND(NOT(COUNTA(A275:F275)=0),K275=""),ROUND(F275+L275,3),"")</x:f>
      </x:c>
      <x:c r="K275" s="5" t="str">
        <x:f>IF(COUNTA(A275:F275)=0,"",IF(A275="","Missing equipment ID",IF(COUNTIFS($N$8:$N$2007,"="&amp;N275)&gt;1,"Duplicate equipment ID",IF(B275="","Missing type",IF(COUNTIFS('Rules'!$G$7:$G$26,"="&amp;(SUBSTITUTE(SUBSTITUTE(SUBSTITUTE(SUBSTITUTE("type:"&amp;B275,"%","%25"),"~","%7E"),"*","%2A"),"?","%3F")))=0,"Unknown type",IF(COUNTIFS('Rules'!$G$7:$G$26,"="&amp;(SUBSTITUTE(SUBSTITUTE(SUBSTITUTE(SUBSTITUTE("type:"&amp;B275,"%","%25"),"~","%7E"),"*","%2A"),"?","%3F")))&gt;1,"Duplicate type",IF(INDEX('Rules'!$F$7:$F$26,MATCH(SUBSTITUTE(SUBSTITUTE(SUBSTITUTE(SUBSTITUTE("type:"&amp;B275,"%","%25"),"~","%7E"),"*","%2A"),"?","%3F"),'Rules'!$G$7:$G$26,0))&lt;&gt;"",INDEX('Rules'!$F$7:$F$26,MATCH(SUBSTITUTE(SUBSTITUTE(SUBSTITUTE(SUBSTITUTE("type:"&amp;B275,"%","%25"),"~","%7E"),"*","%2A"),"?","%3F"),'Rules'!$G$7:$G$26,0)),IF(AND(C275&lt;&gt;"",C275&lt;&gt;INDEX('Rules'!$B$7:$B$26,MATCH(SUBSTITUTE(SUBSTITUTE(SUBSTITUTE(SUBSTITUTE("type:"&amp;B275,"%","%25"),"~","%7E"),"*","%2A"),"?","%3F"),'Rules'!$G$7:$G$26,0))),"Unit mismatch",IF(IF(NOT(ISNUMBER(D275)),TRUE,OR(D275&lt;0,D275&gt;999999999,ROUND(D275,3)&lt;&gt;D275)),"Invalid current reading",IF(AND(E275&lt;&gt;"",IF(NOT(ISNUMBER(E275)),TRUE,OR(E275&lt;0,E275&gt;999999999,ROUND(E275,3)&lt;&gt;E275))),"Invalid previous reading",IF(IF(NOT(ISNUMBER(F275)),TRUE,OR(F275&lt;0,F275&gt;999999999,ROUND(F275,3)&lt;&gt;F275)),"Invalid last service",IF(AND(E275&lt;&gt;"",D275&lt;E275),"Decreased reading",IF(F275&gt;D275,"Last service above current","")))))))))))))</x:f>
      </x:c>
      <x:c r="L275" s="6" t="str">
        <x:f>IF(AND(NOT(COUNTA(A275:F275)=0),K275=""),INDEX('Rules'!$C$7:$C$26,MATCH(SUBSTITUTE(SUBSTITUTE(SUBSTITUTE(SUBSTITUTE("type:"&amp;B275,"%","%25"),"~","%7E"),"*","%2A"),"?","%3F"),'Rules'!$G$7:$G$26,0)),"")</x:f>
      </x:c>
      <x:c r="M275" s="6" t="str">
        <x:f>IF(AND(NOT(COUNTA(A275:F275)=0),K275=""),INDEX('Rules'!$D$7:$D$26,MATCH(SUBSTITUTE(SUBSTITUTE(SUBSTITUTE(SUBSTITUTE("type:"&amp;B275,"%","%25"),"~","%7E"),"*","%2A"),"?","%3F"),'Rules'!$G$7:$G$26,0)),"")</x:f>
      </x:c>
      <x:c r="N275" s="5" t="str">
        <x:f>IF(COUNTA(A275:F275)=0,"",SUBSTITUTE(SUBSTITUTE(SUBSTITUTE(SUBSTITUTE("id:"&amp;A275,"%","%25"),"~","%7E"),"*","%2A"),"?","%3F"))</x:f>
      </x:c>
    </x:row>
    <x:row r="276" ht="22" customHeight="1">
      <x:c r="A276" s="3"/>
      <x:c r="B276" s="3"/>
      <x:c r="C276" s="3"/>
      <x:c r="D276" s="4"/>
      <x:c r="E276" s="4"/>
      <x:c r="F276" s="4"/>
      <x:c r="G276" s="5" t="str">
        <x:f>IF(COUNTA(A276:F276)=0,"",IF(K276&lt;&gt;"","Review",IF(I276&lt;0,"Overdue",IF(I276=0,"Due now",IF(I276&lt;=M276,"Due soon","Not due")))))</x:f>
      </x:c>
      <x:c r="H276" s="5" t="str">
        <x:f>IF(OR(COUNTA(A276:F276)=0,COUNTIFS('Rules'!$G$7:$G$26,"="&amp;(SUBSTITUTE(SUBSTITUTE(SUBSTITUTE(SUBSTITUTE("type:"&amp;B276,"%","%25"),"~","%7E"),"*","%2A"),"?","%3F")))&lt;&gt;1),"",IF(OR(INDEX('Rules'!$B$7:$B$26,MATCH(SUBSTITUTE(SUBSTITUTE(SUBSTITUTE(SUBSTITUTE("type:"&amp;B276,"%","%25"),"~","%7E"),"*","%2A"),"?","%3F"),'Rules'!$G$7:$G$26,0))="hours",INDEX('Rules'!$B$7:$B$26,MATCH(SUBSTITUTE(SUBSTITUTE(SUBSTITUTE(SUBSTITUTE("type:"&amp;B276,"%","%25"),"~","%7E"),"*","%2A"),"?","%3F"),'Rules'!$G$7:$G$26,0))="km"),INDEX('Rules'!$B$7:$B$26,MATCH(SUBSTITUTE(SUBSTITUTE(SUBSTITUTE(SUBSTITUTE("type:"&amp;B276,"%","%25"),"~","%7E"),"*","%2A"),"?","%3F"),'Rules'!$G$7:$G$26,0)),""))</x:f>
      </x:c>
      <x:c r="I276" s="6" t="str">
        <x:f>IF(AND(NOT(COUNTA(A276:F276)=0),K276=""),ROUND(J276-D276,3),"")</x:f>
      </x:c>
      <x:c r="J276" s="6" t="str">
        <x:f>IF(AND(NOT(COUNTA(A276:F276)=0),K276=""),ROUND(F276+L276,3),"")</x:f>
      </x:c>
      <x:c r="K276" s="5" t="str">
        <x:f>IF(COUNTA(A276:F276)=0,"",IF(A276="","Missing equipment ID",IF(COUNTIFS($N$8:$N$2007,"="&amp;N276)&gt;1,"Duplicate equipment ID",IF(B276="","Missing type",IF(COUNTIFS('Rules'!$G$7:$G$26,"="&amp;(SUBSTITUTE(SUBSTITUTE(SUBSTITUTE(SUBSTITUTE("type:"&amp;B276,"%","%25"),"~","%7E"),"*","%2A"),"?","%3F")))=0,"Unknown type",IF(COUNTIFS('Rules'!$G$7:$G$26,"="&amp;(SUBSTITUTE(SUBSTITUTE(SUBSTITUTE(SUBSTITUTE("type:"&amp;B276,"%","%25"),"~","%7E"),"*","%2A"),"?","%3F")))&gt;1,"Duplicate type",IF(INDEX('Rules'!$F$7:$F$26,MATCH(SUBSTITUTE(SUBSTITUTE(SUBSTITUTE(SUBSTITUTE("type:"&amp;B276,"%","%25"),"~","%7E"),"*","%2A"),"?","%3F"),'Rules'!$G$7:$G$26,0))&lt;&gt;"",INDEX('Rules'!$F$7:$F$26,MATCH(SUBSTITUTE(SUBSTITUTE(SUBSTITUTE(SUBSTITUTE("type:"&amp;B276,"%","%25"),"~","%7E"),"*","%2A"),"?","%3F"),'Rules'!$G$7:$G$26,0)),IF(AND(C276&lt;&gt;"",C276&lt;&gt;INDEX('Rules'!$B$7:$B$26,MATCH(SUBSTITUTE(SUBSTITUTE(SUBSTITUTE(SUBSTITUTE("type:"&amp;B276,"%","%25"),"~","%7E"),"*","%2A"),"?","%3F"),'Rules'!$G$7:$G$26,0))),"Unit mismatch",IF(IF(NOT(ISNUMBER(D276)),TRUE,OR(D276&lt;0,D276&gt;999999999,ROUND(D276,3)&lt;&gt;D276)),"Invalid current reading",IF(AND(E276&lt;&gt;"",IF(NOT(ISNUMBER(E276)),TRUE,OR(E276&lt;0,E276&gt;999999999,ROUND(E276,3)&lt;&gt;E276))),"Invalid previous reading",IF(IF(NOT(ISNUMBER(F276)),TRUE,OR(F276&lt;0,F276&gt;999999999,ROUND(F276,3)&lt;&gt;F276)),"Invalid last service",IF(AND(E276&lt;&gt;"",D276&lt;E276),"Decreased reading",IF(F276&gt;D276,"Last service above current","")))))))))))))</x:f>
      </x:c>
      <x:c r="L276" s="6" t="str">
        <x:f>IF(AND(NOT(COUNTA(A276:F276)=0),K276=""),INDEX('Rules'!$C$7:$C$26,MATCH(SUBSTITUTE(SUBSTITUTE(SUBSTITUTE(SUBSTITUTE("type:"&amp;B276,"%","%25"),"~","%7E"),"*","%2A"),"?","%3F"),'Rules'!$G$7:$G$26,0)),"")</x:f>
      </x:c>
      <x:c r="M276" s="6" t="str">
        <x:f>IF(AND(NOT(COUNTA(A276:F276)=0),K276=""),INDEX('Rules'!$D$7:$D$26,MATCH(SUBSTITUTE(SUBSTITUTE(SUBSTITUTE(SUBSTITUTE("type:"&amp;B276,"%","%25"),"~","%7E"),"*","%2A"),"?","%3F"),'Rules'!$G$7:$G$26,0)),"")</x:f>
      </x:c>
      <x:c r="N276" s="5" t="str">
        <x:f>IF(COUNTA(A276:F276)=0,"",SUBSTITUTE(SUBSTITUTE(SUBSTITUTE(SUBSTITUTE("id:"&amp;A276,"%","%25"),"~","%7E"),"*","%2A"),"?","%3F"))</x:f>
      </x:c>
    </x:row>
    <x:row r="277" ht="22" customHeight="1">
      <x:c r="A277" s="3"/>
      <x:c r="B277" s="3"/>
      <x:c r="C277" s="3"/>
      <x:c r="D277" s="4"/>
      <x:c r="E277" s="4"/>
      <x:c r="F277" s="4"/>
      <x:c r="G277" s="5" t="str">
        <x:f>IF(COUNTA(A277:F277)=0,"",IF(K277&lt;&gt;"","Review",IF(I277&lt;0,"Overdue",IF(I277=0,"Due now",IF(I277&lt;=M277,"Due soon","Not due")))))</x:f>
      </x:c>
      <x:c r="H277" s="5" t="str">
        <x:f>IF(OR(COUNTA(A277:F277)=0,COUNTIFS('Rules'!$G$7:$G$26,"="&amp;(SUBSTITUTE(SUBSTITUTE(SUBSTITUTE(SUBSTITUTE("type:"&amp;B277,"%","%25"),"~","%7E"),"*","%2A"),"?","%3F")))&lt;&gt;1),"",IF(OR(INDEX('Rules'!$B$7:$B$26,MATCH(SUBSTITUTE(SUBSTITUTE(SUBSTITUTE(SUBSTITUTE("type:"&amp;B277,"%","%25"),"~","%7E"),"*","%2A"),"?","%3F"),'Rules'!$G$7:$G$26,0))="hours",INDEX('Rules'!$B$7:$B$26,MATCH(SUBSTITUTE(SUBSTITUTE(SUBSTITUTE(SUBSTITUTE("type:"&amp;B277,"%","%25"),"~","%7E"),"*","%2A"),"?","%3F"),'Rules'!$G$7:$G$26,0))="km"),INDEX('Rules'!$B$7:$B$26,MATCH(SUBSTITUTE(SUBSTITUTE(SUBSTITUTE(SUBSTITUTE("type:"&amp;B277,"%","%25"),"~","%7E"),"*","%2A"),"?","%3F"),'Rules'!$G$7:$G$26,0)),""))</x:f>
      </x:c>
      <x:c r="I277" s="6" t="str">
        <x:f>IF(AND(NOT(COUNTA(A277:F277)=0),K277=""),ROUND(J277-D277,3),"")</x:f>
      </x:c>
      <x:c r="J277" s="6" t="str">
        <x:f>IF(AND(NOT(COUNTA(A277:F277)=0),K277=""),ROUND(F277+L277,3),"")</x:f>
      </x:c>
      <x:c r="K277" s="5" t="str">
        <x:f>IF(COUNTA(A277:F277)=0,"",IF(A277="","Missing equipment ID",IF(COUNTIFS($N$8:$N$2007,"="&amp;N277)&gt;1,"Duplicate equipment ID",IF(B277="","Missing type",IF(COUNTIFS('Rules'!$G$7:$G$26,"="&amp;(SUBSTITUTE(SUBSTITUTE(SUBSTITUTE(SUBSTITUTE("type:"&amp;B277,"%","%25"),"~","%7E"),"*","%2A"),"?","%3F")))=0,"Unknown type",IF(COUNTIFS('Rules'!$G$7:$G$26,"="&amp;(SUBSTITUTE(SUBSTITUTE(SUBSTITUTE(SUBSTITUTE("type:"&amp;B277,"%","%25"),"~","%7E"),"*","%2A"),"?","%3F")))&gt;1,"Duplicate type",IF(INDEX('Rules'!$F$7:$F$26,MATCH(SUBSTITUTE(SUBSTITUTE(SUBSTITUTE(SUBSTITUTE("type:"&amp;B277,"%","%25"),"~","%7E"),"*","%2A"),"?","%3F"),'Rules'!$G$7:$G$26,0))&lt;&gt;"",INDEX('Rules'!$F$7:$F$26,MATCH(SUBSTITUTE(SUBSTITUTE(SUBSTITUTE(SUBSTITUTE("type:"&amp;B277,"%","%25"),"~","%7E"),"*","%2A"),"?","%3F"),'Rules'!$G$7:$G$26,0)),IF(AND(C277&lt;&gt;"",C277&lt;&gt;INDEX('Rules'!$B$7:$B$26,MATCH(SUBSTITUTE(SUBSTITUTE(SUBSTITUTE(SUBSTITUTE("type:"&amp;B277,"%","%25"),"~","%7E"),"*","%2A"),"?","%3F"),'Rules'!$G$7:$G$26,0))),"Unit mismatch",IF(IF(NOT(ISNUMBER(D277)),TRUE,OR(D277&lt;0,D277&gt;999999999,ROUND(D277,3)&lt;&gt;D277)),"Invalid current reading",IF(AND(E277&lt;&gt;"",IF(NOT(ISNUMBER(E277)),TRUE,OR(E277&lt;0,E277&gt;999999999,ROUND(E277,3)&lt;&gt;E277))),"Invalid previous reading",IF(IF(NOT(ISNUMBER(F277)),TRUE,OR(F277&lt;0,F277&gt;999999999,ROUND(F277,3)&lt;&gt;F277)),"Invalid last service",IF(AND(E277&lt;&gt;"",D277&lt;E277),"Decreased reading",IF(F277&gt;D277,"Last service above current","")))))))))))))</x:f>
      </x:c>
      <x:c r="L277" s="6" t="str">
        <x:f>IF(AND(NOT(COUNTA(A277:F277)=0),K277=""),INDEX('Rules'!$C$7:$C$26,MATCH(SUBSTITUTE(SUBSTITUTE(SUBSTITUTE(SUBSTITUTE("type:"&amp;B277,"%","%25"),"~","%7E"),"*","%2A"),"?","%3F"),'Rules'!$G$7:$G$26,0)),"")</x:f>
      </x:c>
      <x:c r="M277" s="6" t="str">
        <x:f>IF(AND(NOT(COUNTA(A277:F277)=0),K277=""),INDEX('Rules'!$D$7:$D$26,MATCH(SUBSTITUTE(SUBSTITUTE(SUBSTITUTE(SUBSTITUTE("type:"&amp;B277,"%","%25"),"~","%7E"),"*","%2A"),"?","%3F"),'Rules'!$G$7:$G$26,0)),"")</x:f>
      </x:c>
      <x:c r="N277" s="5" t="str">
        <x:f>IF(COUNTA(A277:F277)=0,"",SUBSTITUTE(SUBSTITUTE(SUBSTITUTE(SUBSTITUTE("id:"&amp;A277,"%","%25"),"~","%7E"),"*","%2A"),"?","%3F"))</x:f>
      </x:c>
    </x:row>
    <x:row r="278" ht="22" customHeight="1">
      <x:c r="A278" s="3"/>
      <x:c r="B278" s="3"/>
      <x:c r="C278" s="3"/>
      <x:c r="D278" s="4"/>
      <x:c r="E278" s="4"/>
      <x:c r="F278" s="4"/>
      <x:c r="G278" s="5" t="str">
        <x:f>IF(COUNTA(A278:F278)=0,"",IF(K278&lt;&gt;"","Review",IF(I278&lt;0,"Overdue",IF(I278=0,"Due now",IF(I278&lt;=M278,"Due soon","Not due")))))</x:f>
      </x:c>
      <x:c r="H278" s="5" t="str">
        <x:f>IF(OR(COUNTA(A278:F278)=0,COUNTIFS('Rules'!$G$7:$G$26,"="&amp;(SUBSTITUTE(SUBSTITUTE(SUBSTITUTE(SUBSTITUTE("type:"&amp;B278,"%","%25"),"~","%7E"),"*","%2A"),"?","%3F")))&lt;&gt;1),"",IF(OR(INDEX('Rules'!$B$7:$B$26,MATCH(SUBSTITUTE(SUBSTITUTE(SUBSTITUTE(SUBSTITUTE("type:"&amp;B278,"%","%25"),"~","%7E"),"*","%2A"),"?","%3F"),'Rules'!$G$7:$G$26,0))="hours",INDEX('Rules'!$B$7:$B$26,MATCH(SUBSTITUTE(SUBSTITUTE(SUBSTITUTE(SUBSTITUTE("type:"&amp;B278,"%","%25"),"~","%7E"),"*","%2A"),"?","%3F"),'Rules'!$G$7:$G$26,0))="km"),INDEX('Rules'!$B$7:$B$26,MATCH(SUBSTITUTE(SUBSTITUTE(SUBSTITUTE(SUBSTITUTE("type:"&amp;B278,"%","%25"),"~","%7E"),"*","%2A"),"?","%3F"),'Rules'!$G$7:$G$26,0)),""))</x:f>
      </x:c>
      <x:c r="I278" s="6" t="str">
        <x:f>IF(AND(NOT(COUNTA(A278:F278)=0),K278=""),ROUND(J278-D278,3),"")</x:f>
      </x:c>
      <x:c r="J278" s="6" t="str">
        <x:f>IF(AND(NOT(COUNTA(A278:F278)=0),K278=""),ROUND(F278+L278,3),"")</x:f>
      </x:c>
      <x:c r="K278" s="5" t="str">
        <x:f>IF(COUNTA(A278:F278)=0,"",IF(A278="","Missing equipment ID",IF(COUNTIFS($N$8:$N$2007,"="&amp;N278)&gt;1,"Duplicate equipment ID",IF(B278="","Missing type",IF(COUNTIFS('Rules'!$G$7:$G$26,"="&amp;(SUBSTITUTE(SUBSTITUTE(SUBSTITUTE(SUBSTITUTE("type:"&amp;B278,"%","%25"),"~","%7E"),"*","%2A"),"?","%3F")))=0,"Unknown type",IF(COUNTIFS('Rules'!$G$7:$G$26,"="&amp;(SUBSTITUTE(SUBSTITUTE(SUBSTITUTE(SUBSTITUTE("type:"&amp;B278,"%","%25"),"~","%7E"),"*","%2A"),"?","%3F")))&gt;1,"Duplicate type",IF(INDEX('Rules'!$F$7:$F$26,MATCH(SUBSTITUTE(SUBSTITUTE(SUBSTITUTE(SUBSTITUTE("type:"&amp;B278,"%","%25"),"~","%7E"),"*","%2A"),"?","%3F"),'Rules'!$G$7:$G$26,0))&lt;&gt;"",INDEX('Rules'!$F$7:$F$26,MATCH(SUBSTITUTE(SUBSTITUTE(SUBSTITUTE(SUBSTITUTE("type:"&amp;B278,"%","%25"),"~","%7E"),"*","%2A"),"?","%3F"),'Rules'!$G$7:$G$26,0)),IF(AND(C278&lt;&gt;"",C278&lt;&gt;INDEX('Rules'!$B$7:$B$26,MATCH(SUBSTITUTE(SUBSTITUTE(SUBSTITUTE(SUBSTITUTE("type:"&amp;B278,"%","%25"),"~","%7E"),"*","%2A"),"?","%3F"),'Rules'!$G$7:$G$26,0))),"Unit mismatch",IF(IF(NOT(ISNUMBER(D278)),TRUE,OR(D278&lt;0,D278&gt;999999999,ROUND(D278,3)&lt;&gt;D278)),"Invalid current reading",IF(AND(E278&lt;&gt;"",IF(NOT(ISNUMBER(E278)),TRUE,OR(E278&lt;0,E278&gt;999999999,ROUND(E278,3)&lt;&gt;E278))),"Invalid previous reading",IF(IF(NOT(ISNUMBER(F278)),TRUE,OR(F278&lt;0,F278&gt;999999999,ROUND(F278,3)&lt;&gt;F278)),"Invalid last service",IF(AND(E278&lt;&gt;"",D278&lt;E278),"Decreased reading",IF(F278&gt;D278,"Last service above current","")))))))))))))</x:f>
      </x:c>
      <x:c r="L278" s="6" t="str">
        <x:f>IF(AND(NOT(COUNTA(A278:F278)=0),K278=""),INDEX('Rules'!$C$7:$C$26,MATCH(SUBSTITUTE(SUBSTITUTE(SUBSTITUTE(SUBSTITUTE("type:"&amp;B278,"%","%25"),"~","%7E"),"*","%2A"),"?","%3F"),'Rules'!$G$7:$G$26,0)),"")</x:f>
      </x:c>
      <x:c r="M278" s="6" t="str">
        <x:f>IF(AND(NOT(COUNTA(A278:F278)=0),K278=""),INDEX('Rules'!$D$7:$D$26,MATCH(SUBSTITUTE(SUBSTITUTE(SUBSTITUTE(SUBSTITUTE("type:"&amp;B278,"%","%25"),"~","%7E"),"*","%2A"),"?","%3F"),'Rules'!$G$7:$G$26,0)),"")</x:f>
      </x:c>
      <x:c r="N278" s="5" t="str">
        <x:f>IF(COUNTA(A278:F278)=0,"",SUBSTITUTE(SUBSTITUTE(SUBSTITUTE(SUBSTITUTE("id:"&amp;A278,"%","%25"),"~","%7E"),"*","%2A"),"?","%3F"))</x:f>
      </x:c>
    </x:row>
    <x:row r="279" ht="22" customHeight="1">
      <x:c r="A279" s="3"/>
      <x:c r="B279" s="3"/>
      <x:c r="C279" s="3"/>
      <x:c r="D279" s="4"/>
      <x:c r="E279" s="4"/>
      <x:c r="F279" s="4"/>
      <x:c r="G279" s="5" t="str">
        <x:f>IF(COUNTA(A279:F279)=0,"",IF(K279&lt;&gt;"","Review",IF(I279&lt;0,"Overdue",IF(I279=0,"Due now",IF(I279&lt;=M279,"Due soon","Not due")))))</x:f>
      </x:c>
      <x:c r="H279" s="5" t="str">
        <x:f>IF(OR(COUNTA(A279:F279)=0,COUNTIFS('Rules'!$G$7:$G$26,"="&amp;(SUBSTITUTE(SUBSTITUTE(SUBSTITUTE(SUBSTITUTE("type:"&amp;B279,"%","%25"),"~","%7E"),"*","%2A"),"?","%3F")))&lt;&gt;1),"",IF(OR(INDEX('Rules'!$B$7:$B$26,MATCH(SUBSTITUTE(SUBSTITUTE(SUBSTITUTE(SUBSTITUTE("type:"&amp;B279,"%","%25"),"~","%7E"),"*","%2A"),"?","%3F"),'Rules'!$G$7:$G$26,0))="hours",INDEX('Rules'!$B$7:$B$26,MATCH(SUBSTITUTE(SUBSTITUTE(SUBSTITUTE(SUBSTITUTE("type:"&amp;B279,"%","%25"),"~","%7E"),"*","%2A"),"?","%3F"),'Rules'!$G$7:$G$26,0))="km"),INDEX('Rules'!$B$7:$B$26,MATCH(SUBSTITUTE(SUBSTITUTE(SUBSTITUTE(SUBSTITUTE("type:"&amp;B279,"%","%25"),"~","%7E"),"*","%2A"),"?","%3F"),'Rules'!$G$7:$G$26,0)),""))</x:f>
      </x:c>
      <x:c r="I279" s="6" t="str">
        <x:f>IF(AND(NOT(COUNTA(A279:F279)=0),K279=""),ROUND(J279-D279,3),"")</x:f>
      </x:c>
      <x:c r="J279" s="6" t="str">
        <x:f>IF(AND(NOT(COUNTA(A279:F279)=0),K279=""),ROUND(F279+L279,3),"")</x:f>
      </x:c>
      <x:c r="K279" s="5" t="str">
        <x:f>IF(COUNTA(A279:F279)=0,"",IF(A279="","Missing equipment ID",IF(COUNTIFS($N$8:$N$2007,"="&amp;N279)&gt;1,"Duplicate equipment ID",IF(B279="","Missing type",IF(COUNTIFS('Rules'!$G$7:$G$26,"="&amp;(SUBSTITUTE(SUBSTITUTE(SUBSTITUTE(SUBSTITUTE("type:"&amp;B279,"%","%25"),"~","%7E"),"*","%2A"),"?","%3F")))=0,"Unknown type",IF(COUNTIFS('Rules'!$G$7:$G$26,"="&amp;(SUBSTITUTE(SUBSTITUTE(SUBSTITUTE(SUBSTITUTE("type:"&amp;B279,"%","%25"),"~","%7E"),"*","%2A"),"?","%3F")))&gt;1,"Duplicate type",IF(INDEX('Rules'!$F$7:$F$26,MATCH(SUBSTITUTE(SUBSTITUTE(SUBSTITUTE(SUBSTITUTE("type:"&amp;B279,"%","%25"),"~","%7E"),"*","%2A"),"?","%3F"),'Rules'!$G$7:$G$26,0))&lt;&gt;"",INDEX('Rules'!$F$7:$F$26,MATCH(SUBSTITUTE(SUBSTITUTE(SUBSTITUTE(SUBSTITUTE("type:"&amp;B279,"%","%25"),"~","%7E"),"*","%2A"),"?","%3F"),'Rules'!$G$7:$G$26,0)),IF(AND(C279&lt;&gt;"",C279&lt;&gt;INDEX('Rules'!$B$7:$B$26,MATCH(SUBSTITUTE(SUBSTITUTE(SUBSTITUTE(SUBSTITUTE("type:"&amp;B279,"%","%25"),"~","%7E"),"*","%2A"),"?","%3F"),'Rules'!$G$7:$G$26,0))),"Unit mismatch",IF(IF(NOT(ISNUMBER(D279)),TRUE,OR(D279&lt;0,D279&gt;999999999,ROUND(D279,3)&lt;&gt;D279)),"Invalid current reading",IF(AND(E279&lt;&gt;"",IF(NOT(ISNUMBER(E279)),TRUE,OR(E279&lt;0,E279&gt;999999999,ROUND(E279,3)&lt;&gt;E279))),"Invalid previous reading",IF(IF(NOT(ISNUMBER(F279)),TRUE,OR(F279&lt;0,F279&gt;999999999,ROUND(F279,3)&lt;&gt;F279)),"Invalid last service",IF(AND(E279&lt;&gt;"",D279&lt;E279),"Decreased reading",IF(F279&gt;D279,"Last service above current","")))))))))))))</x:f>
      </x:c>
      <x:c r="L279" s="6" t="str">
        <x:f>IF(AND(NOT(COUNTA(A279:F279)=0),K279=""),INDEX('Rules'!$C$7:$C$26,MATCH(SUBSTITUTE(SUBSTITUTE(SUBSTITUTE(SUBSTITUTE("type:"&amp;B279,"%","%25"),"~","%7E"),"*","%2A"),"?","%3F"),'Rules'!$G$7:$G$26,0)),"")</x:f>
      </x:c>
      <x:c r="M279" s="6" t="str">
        <x:f>IF(AND(NOT(COUNTA(A279:F279)=0),K279=""),INDEX('Rules'!$D$7:$D$26,MATCH(SUBSTITUTE(SUBSTITUTE(SUBSTITUTE(SUBSTITUTE("type:"&amp;B279,"%","%25"),"~","%7E"),"*","%2A"),"?","%3F"),'Rules'!$G$7:$G$26,0)),"")</x:f>
      </x:c>
      <x:c r="N279" s="5" t="str">
        <x:f>IF(COUNTA(A279:F279)=0,"",SUBSTITUTE(SUBSTITUTE(SUBSTITUTE(SUBSTITUTE("id:"&amp;A279,"%","%25"),"~","%7E"),"*","%2A"),"?","%3F"))</x:f>
      </x:c>
    </x:row>
    <x:row r="280" ht="22" customHeight="1">
      <x:c r="A280" s="3"/>
      <x:c r="B280" s="3"/>
      <x:c r="C280" s="3"/>
      <x:c r="D280" s="4"/>
      <x:c r="E280" s="4"/>
      <x:c r="F280" s="4"/>
      <x:c r="G280" s="5" t="str">
        <x:f>IF(COUNTA(A280:F280)=0,"",IF(K280&lt;&gt;"","Review",IF(I280&lt;0,"Overdue",IF(I280=0,"Due now",IF(I280&lt;=M280,"Due soon","Not due")))))</x:f>
      </x:c>
      <x:c r="H280" s="5" t="str">
        <x:f>IF(OR(COUNTA(A280:F280)=0,COUNTIFS('Rules'!$G$7:$G$26,"="&amp;(SUBSTITUTE(SUBSTITUTE(SUBSTITUTE(SUBSTITUTE("type:"&amp;B280,"%","%25"),"~","%7E"),"*","%2A"),"?","%3F")))&lt;&gt;1),"",IF(OR(INDEX('Rules'!$B$7:$B$26,MATCH(SUBSTITUTE(SUBSTITUTE(SUBSTITUTE(SUBSTITUTE("type:"&amp;B280,"%","%25"),"~","%7E"),"*","%2A"),"?","%3F"),'Rules'!$G$7:$G$26,0))="hours",INDEX('Rules'!$B$7:$B$26,MATCH(SUBSTITUTE(SUBSTITUTE(SUBSTITUTE(SUBSTITUTE("type:"&amp;B280,"%","%25"),"~","%7E"),"*","%2A"),"?","%3F"),'Rules'!$G$7:$G$26,0))="km"),INDEX('Rules'!$B$7:$B$26,MATCH(SUBSTITUTE(SUBSTITUTE(SUBSTITUTE(SUBSTITUTE("type:"&amp;B280,"%","%25"),"~","%7E"),"*","%2A"),"?","%3F"),'Rules'!$G$7:$G$26,0)),""))</x:f>
      </x:c>
      <x:c r="I280" s="6" t="str">
        <x:f>IF(AND(NOT(COUNTA(A280:F280)=0),K280=""),ROUND(J280-D280,3),"")</x:f>
      </x:c>
      <x:c r="J280" s="6" t="str">
        <x:f>IF(AND(NOT(COUNTA(A280:F280)=0),K280=""),ROUND(F280+L280,3),"")</x:f>
      </x:c>
      <x:c r="K280" s="5" t="str">
        <x:f>IF(COUNTA(A280:F280)=0,"",IF(A280="","Missing equipment ID",IF(COUNTIFS($N$8:$N$2007,"="&amp;N280)&gt;1,"Duplicate equipment ID",IF(B280="","Missing type",IF(COUNTIFS('Rules'!$G$7:$G$26,"="&amp;(SUBSTITUTE(SUBSTITUTE(SUBSTITUTE(SUBSTITUTE("type:"&amp;B280,"%","%25"),"~","%7E"),"*","%2A"),"?","%3F")))=0,"Unknown type",IF(COUNTIFS('Rules'!$G$7:$G$26,"="&amp;(SUBSTITUTE(SUBSTITUTE(SUBSTITUTE(SUBSTITUTE("type:"&amp;B280,"%","%25"),"~","%7E"),"*","%2A"),"?","%3F")))&gt;1,"Duplicate type",IF(INDEX('Rules'!$F$7:$F$26,MATCH(SUBSTITUTE(SUBSTITUTE(SUBSTITUTE(SUBSTITUTE("type:"&amp;B280,"%","%25"),"~","%7E"),"*","%2A"),"?","%3F"),'Rules'!$G$7:$G$26,0))&lt;&gt;"",INDEX('Rules'!$F$7:$F$26,MATCH(SUBSTITUTE(SUBSTITUTE(SUBSTITUTE(SUBSTITUTE("type:"&amp;B280,"%","%25"),"~","%7E"),"*","%2A"),"?","%3F"),'Rules'!$G$7:$G$26,0)),IF(AND(C280&lt;&gt;"",C280&lt;&gt;INDEX('Rules'!$B$7:$B$26,MATCH(SUBSTITUTE(SUBSTITUTE(SUBSTITUTE(SUBSTITUTE("type:"&amp;B280,"%","%25"),"~","%7E"),"*","%2A"),"?","%3F"),'Rules'!$G$7:$G$26,0))),"Unit mismatch",IF(IF(NOT(ISNUMBER(D280)),TRUE,OR(D280&lt;0,D280&gt;999999999,ROUND(D280,3)&lt;&gt;D280)),"Invalid current reading",IF(AND(E280&lt;&gt;"",IF(NOT(ISNUMBER(E280)),TRUE,OR(E280&lt;0,E280&gt;999999999,ROUND(E280,3)&lt;&gt;E280))),"Invalid previous reading",IF(IF(NOT(ISNUMBER(F280)),TRUE,OR(F280&lt;0,F280&gt;999999999,ROUND(F280,3)&lt;&gt;F280)),"Invalid last service",IF(AND(E280&lt;&gt;"",D280&lt;E280),"Decreased reading",IF(F280&gt;D280,"Last service above current","")))))))))))))</x:f>
      </x:c>
      <x:c r="L280" s="6" t="str">
        <x:f>IF(AND(NOT(COUNTA(A280:F280)=0),K280=""),INDEX('Rules'!$C$7:$C$26,MATCH(SUBSTITUTE(SUBSTITUTE(SUBSTITUTE(SUBSTITUTE("type:"&amp;B280,"%","%25"),"~","%7E"),"*","%2A"),"?","%3F"),'Rules'!$G$7:$G$26,0)),"")</x:f>
      </x:c>
      <x:c r="M280" s="6" t="str">
        <x:f>IF(AND(NOT(COUNTA(A280:F280)=0),K280=""),INDEX('Rules'!$D$7:$D$26,MATCH(SUBSTITUTE(SUBSTITUTE(SUBSTITUTE(SUBSTITUTE("type:"&amp;B280,"%","%25"),"~","%7E"),"*","%2A"),"?","%3F"),'Rules'!$G$7:$G$26,0)),"")</x:f>
      </x:c>
      <x:c r="N280" s="5" t="str">
        <x:f>IF(COUNTA(A280:F280)=0,"",SUBSTITUTE(SUBSTITUTE(SUBSTITUTE(SUBSTITUTE("id:"&amp;A280,"%","%25"),"~","%7E"),"*","%2A"),"?","%3F"))</x:f>
      </x:c>
    </x:row>
    <x:row r="281" ht="22" customHeight="1">
      <x:c r="A281" s="3"/>
      <x:c r="B281" s="3"/>
      <x:c r="C281" s="3"/>
      <x:c r="D281" s="4"/>
      <x:c r="E281" s="4"/>
      <x:c r="F281" s="4"/>
      <x:c r="G281" s="5" t="str">
        <x:f>IF(COUNTA(A281:F281)=0,"",IF(K281&lt;&gt;"","Review",IF(I281&lt;0,"Overdue",IF(I281=0,"Due now",IF(I281&lt;=M281,"Due soon","Not due")))))</x:f>
      </x:c>
      <x:c r="H281" s="5" t="str">
        <x:f>IF(OR(COUNTA(A281:F281)=0,COUNTIFS('Rules'!$G$7:$G$26,"="&amp;(SUBSTITUTE(SUBSTITUTE(SUBSTITUTE(SUBSTITUTE("type:"&amp;B281,"%","%25"),"~","%7E"),"*","%2A"),"?","%3F")))&lt;&gt;1),"",IF(OR(INDEX('Rules'!$B$7:$B$26,MATCH(SUBSTITUTE(SUBSTITUTE(SUBSTITUTE(SUBSTITUTE("type:"&amp;B281,"%","%25"),"~","%7E"),"*","%2A"),"?","%3F"),'Rules'!$G$7:$G$26,0))="hours",INDEX('Rules'!$B$7:$B$26,MATCH(SUBSTITUTE(SUBSTITUTE(SUBSTITUTE(SUBSTITUTE("type:"&amp;B281,"%","%25"),"~","%7E"),"*","%2A"),"?","%3F"),'Rules'!$G$7:$G$26,0))="km"),INDEX('Rules'!$B$7:$B$26,MATCH(SUBSTITUTE(SUBSTITUTE(SUBSTITUTE(SUBSTITUTE("type:"&amp;B281,"%","%25"),"~","%7E"),"*","%2A"),"?","%3F"),'Rules'!$G$7:$G$26,0)),""))</x:f>
      </x:c>
      <x:c r="I281" s="6" t="str">
        <x:f>IF(AND(NOT(COUNTA(A281:F281)=0),K281=""),ROUND(J281-D281,3),"")</x:f>
      </x:c>
      <x:c r="J281" s="6" t="str">
        <x:f>IF(AND(NOT(COUNTA(A281:F281)=0),K281=""),ROUND(F281+L281,3),"")</x:f>
      </x:c>
      <x:c r="K281" s="5" t="str">
        <x:f>IF(COUNTA(A281:F281)=0,"",IF(A281="","Missing equipment ID",IF(COUNTIFS($N$8:$N$2007,"="&amp;N281)&gt;1,"Duplicate equipment ID",IF(B281="","Missing type",IF(COUNTIFS('Rules'!$G$7:$G$26,"="&amp;(SUBSTITUTE(SUBSTITUTE(SUBSTITUTE(SUBSTITUTE("type:"&amp;B281,"%","%25"),"~","%7E"),"*","%2A"),"?","%3F")))=0,"Unknown type",IF(COUNTIFS('Rules'!$G$7:$G$26,"="&amp;(SUBSTITUTE(SUBSTITUTE(SUBSTITUTE(SUBSTITUTE("type:"&amp;B281,"%","%25"),"~","%7E"),"*","%2A"),"?","%3F")))&gt;1,"Duplicate type",IF(INDEX('Rules'!$F$7:$F$26,MATCH(SUBSTITUTE(SUBSTITUTE(SUBSTITUTE(SUBSTITUTE("type:"&amp;B281,"%","%25"),"~","%7E"),"*","%2A"),"?","%3F"),'Rules'!$G$7:$G$26,0))&lt;&gt;"",INDEX('Rules'!$F$7:$F$26,MATCH(SUBSTITUTE(SUBSTITUTE(SUBSTITUTE(SUBSTITUTE("type:"&amp;B281,"%","%25"),"~","%7E"),"*","%2A"),"?","%3F"),'Rules'!$G$7:$G$26,0)),IF(AND(C281&lt;&gt;"",C281&lt;&gt;INDEX('Rules'!$B$7:$B$26,MATCH(SUBSTITUTE(SUBSTITUTE(SUBSTITUTE(SUBSTITUTE("type:"&amp;B281,"%","%25"),"~","%7E"),"*","%2A"),"?","%3F"),'Rules'!$G$7:$G$26,0))),"Unit mismatch",IF(IF(NOT(ISNUMBER(D281)),TRUE,OR(D281&lt;0,D281&gt;999999999,ROUND(D281,3)&lt;&gt;D281)),"Invalid current reading",IF(AND(E281&lt;&gt;"",IF(NOT(ISNUMBER(E281)),TRUE,OR(E281&lt;0,E281&gt;999999999,ROUND(E281,3)&lt;&gt;E281))),"Invalid previous reading",IF(IF(NOT(ISNUMBER(F281)),TRUE,OR(F281&lt;0,F281&gt;999999999,ROUND(F281,3)&lt;&gt;F281)),"Invalid last service",IF(AND(E281&lt;&gt;"",D281&lt;E281),"Decreased reading",IF(F281&gt;D281,"Last service above current","")))))))))))))</x:f>
      </x:c>
      <x:c r="L281" s="6" t="str">
        <x:f>IF(AND(NOT(COUNTA(A281:F281)=0),K281=""),INDEX('Rules'!$C$7:$C$26,MATCH(SUBSTITUTE(SUBSTITUTE(SUBSTITUTE(SUBSTITUTE("type:"&amp;B281,"%","%25"),"~","%7E"),"*","%2A"),"?","%3F"),'Rules'!$G$7:$G$26,0)),"")</x:f>
      </x:c>
      <x:c r="M281" s="6" t="str">
        <x:f>IF(AND(NOT(COUNTA(A281:F281)=0),K281=""),INDEX('Rules'!$D$7:$D$26,MATCH(SUBSTITUTE(SUBSTITUTE(SUBSTITUTE(SUBSTITUTE("type:"&amp;B281,"%","%25"),"~","%7E"),"*","%2A"),"?","%3F"),'Rules'!$G$7:$G$26,0)),"")</x:f>
      </x:c>
      <x:c r="N281" s="5" t="str">
        <x:f>IF(COUNTA(A281:F281)=0,"",SUBSTITUTE(SUBSTITUTE(SUBSTITUTE(SUBSTITUTE("id:"&amp;A281,"%","%25"),"~","%7E"),"*","%2A"),"?","%3F"))</x:f>
      </x:c>
    </x:row>
    <x:row r="282" ht="22" customHeight="1">
      <x:c r="A282" s="3"/>
      <x:c r="B282" s="3"/>
      <x:c r="C282" s="3"/>
      <x:c r="D282" s="4"/>
      <x:c r="E282" s="4"/>
      <x:c r="F282" s="4"/>
      <x:c r="G282" s="5" t="str">
        <x:f>IF(COUNTA(A282:F282)=0,"",IF(K282&lt;&gt;"","Review",IF(I282&lt;0,"Overdue",IF(I282=0,"Due now",IF(I282&lt;=M282,"Due soon","Not due")))))</x:f>
      </x:c>
      <x:c r="H282" s="5" t="str">
        <x:f>IF(OR(COUNTA(A282:F282)=0,COUNTIFS('Rules'!$G$7:$G$26,"="&amp;(SUBSTITUTE(SUBSTITUTE(SUBSTITUTE(SUBSTITUTE("type:"&amp;B282,"%","%25"),"~","%7E"),"*","%2A"),"?","%3F")))&lt;&gt;1),"",IF(OR(INDEX('Rules'!$B$7:$B$26,MATCH(SUBSTITUTE(SUBSTITUTE(SUBSTITUTE(SUBSTITUTE("type:"&amp;B282,"%","%25"),"~","%7E"),"*","%2A"),"?","%3F"),'Rules'!$G$7:$G$26,0))="hours",INDEX('Rules'!$B$7:$B$26,MATCH(SUBSTITUTE(SUBSTITUTE(SUBSTITUTE(SUBSTITUTE("type:"&amp;B282,"%","%25"),"~","%7E"),"*","%2A"),"?","%3F"),'Rules'!$G$7:$G$26,0))="km"),INDEX('Rules'!$B$7:$B$26,MATCH(SUBSTITUTE(SUBSTITUTE(SUBSTITUTE(SUBSTITUTE("type:"&amp;B282,"%","%25"),"~","%7E"),"*","%2A"),"?","%3F"),'Rules'!$G$7:$G$26,0)),""))</x:f>
      </x:c>
      <x:c r="I282" s="6" t="str">
        <x:f>IF(AND(NOT(COUNTA(A282:F282)=0),K282=""),ROUND(J282-D282,3),"")</x:f>
      </x:c>
      <x:c r="J282" s="6" t="str">
        <x:f>IF(AND(NOT(COUNTA(A282:F282)=0),K282=""),ROUND(F282+L282,3),"")</x:f>
      </x:c>
      <x:c r="K282" s="5" t="str">
        <x:f>IF(COUNTA(A282:F282)=0,"",IF(A282="","Missing equipment ID",IF(COUNTIFS($N$8:$N$2007,"="&amp;N282)&gt;1,"Duplicate equipment ID",IF(B282="","Missing type",IF(COUNTIFS('Rules'!$G$7:$G$26,"="&amp;(SUBSTITUTE(SUBSTITUTE(SUBSTITUTE(SUBSTITUTE("type:"&amp;B282,"%","%25"),"~","%7E"),"*","%2A"),"?","%3F")))=0,"Unknown type",IF(COUNTIFS('Rules'!$G$7:$G$26,"="&amp;(SUBSTITUTE(SUBSTITUTE(SUBSTITUTE(SUBSTITUTE("type:"&amp;B282,"%","%25"),"~","%7E"),"*","%2A"),"?","%3F")))&gt;1,"Duplicate type",IF(INDEX('Rules'!$F$7:$F$26,MATCH(SUBSTITUTE(SUBSTITUTE(SUBSTITUTE(SUBSTITUTE("type:"&amp;B282,"%","%25"),"~","%7E"),"*","%2A"),"?","%3F"),'Rules'!$G$7:$G$26,0))&lt;&gt;"",INDEX('Rules'!$F$7:$F$26,MATCH(SUBSTITUTE(SUBSTITUTE(SUBSTITUTE(SUBSTITUTE("type:"&amp;B282,"%","%25"),"~","%7E"),"*","%2A"),"?","%3F"),'Rules'!$G$7:$G$26,0)),IF(AND(C282&lt;&gt;"",C282&lt;&gt;INDEX('Rules'!$B$7:$B$26,MATCH(SUBSTITUTE(SUBSTITUTE(SUBSTITUTE(SUBSTITUTE("type:"&amp;B282,"%","%25"),"~","%7E"),"*","%2A"),"?","%3F"),'Rules'!$G$7:$G$26,0))),"Unit mismatch",IF(IF(NOT(ISNUMBER(D282)),TRUE,OR(D282&lt;0,D282&gt;999999999,ROUND(D282,3)&lt;&gt;D282)),"Invalid current reading",IF(AND(E282&lt;&gt;"",IF(NOT(ISNUMBER(E282)),TRUE,OR(E282&lt;0,E282&gt;999999999,ROUND(E282,3)&lt;&gt;E282))),"Invalid previous reading",IF(IF(NOT(ISNUMBER(F282)),TRUE,OR(F282&lt;0,F282&gt;999999999,ROUND(F282,3)&lt;&gt;F282)),"Invalid last service",IF(AND(E282&lt;&gt;"",D282&lt;E282),"Decreased reading",IF(F282&gt;D282,"Last service above current","")))))))))))))</x:f>
      </x:c>
      <x:c r="L282" s="6" t="str">
        <x:f>IF(AND(NOT(COUNTA(A282:F282)=0),K282=""),INDEX('Rules'!$C$7:$C$26,MATCH(SUBSTITUTE(SUBSTITUTE(SUBSTITUTE(SUBSTITUTE("type:"&amp;B282,"%","%25"),"~","%7E"),"*","%2A"),"?","%3F"),'Rules'!$G$7:$G$26,0)),"")</x:f>
      </x:c>
      <x:c r="M282" s="6" t="str">
        <x:f>IF(AND(NOT(COUNTA(A282:F282)=0),K282=""),INDEX('Rules'!$D$7:$D$26,MATCH(SUBSTITUTE(SUBSTITUTE(SUBSTITUTE(SUBSTITUTE("type:"&amp;B282,"%","%25"),"~","%7E"),"*","%2A"),"?","%3F"),'Rules'!$G$7:$G$26,0)),"")</x:f>
      </x:c>
      <x:c r="N282" s="5" t="str">
        <x:f>IF(COUNTA(A282:F282)=0,"",SUBSTITUTE(SUBSTITUTE(SUBSTITUTE(SUBSTITUTE("id:"&amp;A282,"%","%25"),"~","%7E"),"*","%2A"),"?","%3F"))</x:f>
      </x:c>
    </x:row>
    <x:row r="283" ht="22" customHeight="1">
      <x:c r="A283" s="3"/>
      <x:c r="B283" s="3"/>
      <x:c r="C283" s="3"/>
      <x:c r="D283" s="4"/>
      <x:c r="E283" s="4"/>
      <x:c r="F283" s="4"/>
      <x:c r="G283" s="5" t="str">
        <x:f>IF(COUNTA(A283:F283)=0,"",IF(K283&lt;&gt;"","Review",IF(I283&lt;0,"Overdue",IF(I283=0,"Due now",IF(I283&lt;=M283,"Due soon","Not due")))))</x:f>
      </x:c>
      <x:c r="H283" s="5" t="str">
        <x:f>IF(OR(COUNTA(A283:F283)=0,COUNTIFS('Rules'!$G$7:$G$26,"="&amp;(SUBSTITUTE(SUBSTITUTE(SUBSTITUTE(SUBSTITUTE("type:"&amp;B283,"%","%25"),"~","%7E"),"*","%2A"),"?","%3F")))&lt;&gt;1),"",IF(OR(INDEX('Rules'!$B$7:$B$26,MATCH(SUBSTITUTE(SUBSTITUTE(SUBSTITUTE(SUBSTITUTE("type:"&amp;B283,"%","%25"),"~","%7E"),"*","%2A"),"?","%3F"),'Rules'!$G$7:$G$26,0))="hours",INDEX('Rules'!$B$7:$B$26,MATCH(SUBSTITUTE(SUBSTITUTE(SUBSTITUTE(SUBSTITUTE("type:"&amp;B283,"%","%25"),"~","%7E"),"*","%2A"),"?","%3F"),'Rules'!$G$7:$G$26,0))="km"),INDEX('Rules'!$B$7:$B$26,MATCH(SUBSTITUTE(SUBSTITUTE(SUBSTITUTE(SUBSTITUTE("type:"&amp;B283,"%","%25"),"~","%7E"),"*","%2A"),"?","%3F"),'Rules'!$G$7:$G$26,0)),""))</x:f>
      </x:c>
      <x:c r="I283" s="6" t="str">
        <x:f>IF(AND(NOT(COUNTA(A283:F283)=0),K283=""),ROUND(J283-D283,3),"")</x:f>
      </x:c>
      <x:c r="J283" s="6" t="str">
        <x:f>IF(AND(NOT(COUNTA(A283:F283)=0),K283=""),ROUND(F283+L283,3),"")</x:f>
      </x:c>
      <x:c r="K283" s="5" t="str">
        <x:f>IF(COUNTA(A283:F283)=0,"",IF(A283="","Missing equipment ID",IF(COUNTIFS($N$8:$N$2007,"="&amp;N283)&gt;1,"Duplicate equipment ID",IF(B283="","Missing type",IF(COUNTIFS('Rules'!$G$7:$G$26,"="&amp;(SUBSTITUTE(SUBSTITUTE(SUBSTITUTE(SUBSTITUTE("type:"&amp;B283,"%","%25"),"~","%7E"),"*","%2A"),"?","%3F")))=0,"Unknown type",IF(COUNTIFS('Rules'!$G$7:$G$26,"="&amp;(SUBSTITUTE(SUBSTITUTE(SUBSTITUTE(SUBSTITUTE("type:"&amp;B283,"%","%25"),"~","%7E"),"*","%2A"),"?","%3F")))&gt;1,"Duplicate type",IF(INDEX('Rules'!$F$7:$F$26,MATCH(SUBSTITUTE(SUBSTITUTE(SUBSTITUTE(SUBSTITUTE("type:"&amp;B283,"%","%25"),"~","%7E"),"*","%2A"),"?","%3F"),'Rules'!$G$7:$G$26,0))&lt;&gt;"",INDEX('Rules'!$F$7:$F$26,MATCH(SUBSTITUTE(SUBSTITUTE(SUBSTITUTE(SUBSTITUTE("type:"&amp;B283,"%","%25"),"~","%7E"),"*","%2A"),"?","%3F"),'Rules'!$G$7:$G$26,0)),IF(AND(C283&lt;&gt;"",C283&lt;&gt;INDEX('Rules'!$B$7:$B$26,MATCH(SUBSTITUTE(SUBSTITUTE(SUBSTITUTE(SUBSTITUTE("type:"&amp;B283,"%","%25"),"~","%7E"),"*","%2A"),"?","%3F"),'Rules'!$G$7:$G$26,0))),"Unit mismatch",IF(IF(NOT(ISNUMBER(D283)),TRUE,OR(D283&lt;0,D283&gt;999999999,ROUND(D283,3)&lt;&gt;D283)),"Invalid current reading",IF(AND(E283&lt;&gt;"",IF(NOT(ISNUMBER(E283)),TRUE,OR(E283&lt;0,E283&gt;999999999,ROUND(E283,3)&lt;&gt;E283))),"Invalid previous reading",IF(IF(NOT(ISNUMBER(F283)),TRUE,OR(F283&lt;0,F283&gt;999999999,ROUND(F283,3)&lt;&gt;F283)),"Invalid last service",IF(AND(E283&lt;&gt;"",D283&lt;E283),"Decreased reading",IF(F283&gt;D283,"Last service above current","")))))))))))))</x:f>
      </x:c>
      <x:c r="L283" s="6" t="str">
        <x:f>IF(AND(NOT(COUNTA(A283:F283)=0),K283=""),INDEX('Rules'!$C$7:$C$26,MATCH(SUBSTITUTE(SUBSTITUTE(SUBSTITUTE(SUBSTITUTE("type:"&amp;B283,"%","%25"),"~","%7E"),"*","%2A"),"?","%3F"),'Rules'!$G$7:$G$26,0)),"")</x:f>
      </x:c>
      <x:c r="M283" s="6" t="str">
        <x:f>IF(AND(NOT(COUNTA(A283:F283)=0),K283=""),INDEX('Rules'!$D$7:$D$26,MATCH(SUBSTITUTE(SUBSTITUTE(SUBSTITUTE(SUBSTITUTE("type:"&amp;B283,"%","%25"),"~","%7E"),"*","%2A"),"?","%3F"),'Rules'!$G$7:$G$26,0)),"")</x:f>
      </x:c>
      <x:c r="N283" s="5" t="str">
        <x:f>IF(COUNTA(A283:F283)=0,"",SUBSTITUTE(SUBSTITUTE(SUBSTITUTE(SUBSTITUTE("id:"&amp;A283,"%","%25"),"~","%7E"),"*","%2A"),"?","%3F"))</x:f>
      </x:c>
    </x:row>
    <x:row r="284" ht="22" customHeight="1">
      <x:c r="A284" s="3"/>
      <x:c r="B284" s="3"/>
      <x:c r="C284" s="3"/>
      <x:c r="D284" s="4"/>
      <x:c r="E284" s="4"/>
      <x:c r="F284" s="4"/>
      <x:c r="G284" s="5" t="str">
        <x:f>IF(COUNTA(A284:F284)=0,"",IF(K284&lt;&gt;"","Review",IF(I284&lt;0,"Overdue",IF(I284=0,"Due now",IF(I284&lt;=M284,"Due soon","Not due")))))</x:f>
      </x:c>
      <x:c r="H284" s="5" t="str">
        <x:f>IF(OR(COUNTA(A284:F284)=0,COUNTIFS('Rules'!$G$7:$G$26,"="&amp;(SUBSTITUTE(SUBSTITUTE(SUBSTITUTE(SUBSTITUTE("type:"&amp;B284,"%","%25"),"~","%7E"),"*","%2A"),"?","%3F")))&lt;&gt;1),"",IF(OR(INDEX('Rules'!$B$7:$B$26,MATCH(SUBSTITUTE(SUBSTITUTE(SUBSTITUTE(SUBSTITUTE("type:"&amp;B284,"%","%25"),"~","%7E"),"*","%2A"),"?","%3F"),'Rules'!$G$7:$G$26,0))="hours",INDEX('Rules'!$B$7:$B$26,MATCH(SUBSTITUTE(SUBSTITUTE(SUBSTITUTE(SUBSTITUTE("type:"&amp;B284,"%","%25"),"~","%7E"),"*","%2A"),"?","%3F"),'Rules'!$G$7:$G$26,0))="km"),INDEX('Rules'!$B$7:$B$26,MATCH(SUBSTITUTE(SUBSTITUTE(SUBSTITUTE(SUBSTITUTE("type:"&amp;B284,"%","%25"),"~","%7E"),"*","%2A"),"?","%3F"),'Rules'!$G$7:$G$26,0)),""))</x:f>
      </x:c>
      <x:c r="I284" s="6" t="str">
        <x:f>IF(AND(NOT(COUNTA(A284:F284)=0),K284=""),ROUND(J284-D284,3),"")</x:f>
      </x:c>
      <x:c r="J284" s="6" t="str">
        <x:f>IF(AND(NOT(COUNTA(A284:F284)=0),K284=""),ROUND(F284+L284,3),"")</x:f>
      </x:c>
      <x:c r="K284" s="5" t="str">
        <x:f>IF(COUNTA(A284:F284)=0,"",IF(A284="","Missing equipment ID",IF(COUNTIFS($N$8:$N$2007,"="&amp;N284)&gt;1,"Duplicate equipment ID",IF(B284="","Missing type",IF(COUNTIFS('Rules'!$G$7:$G$26,"="&amp;(SUBSTITUTE(SUBSTITUTE(SUBSTITUTE(SUBSTITUTE("type:"&amp;B284,"%","%25"),"~","%7E"),"*","%2A"),"?","%3F")))=0,"Unknown type",IF(COUNTIFS('Rules'!$G$7:$G$26,"="&amp;(SUBSTITUTE(SUBSTITUTE(SUBSTITUTE(SUBSTITUTE("type:"&amp;B284,"%","%25"),"~","%7E"),"*","%2A"),"?","%3F")))&gt;1,"Duplicate type",IF(INDEX('Rules'!$F$7:$F$26,MATCH(SUBSTITUTE(SUBSTITUTE(SUBSTITUTE(SUBSTITUTE("type:"&amp;B284,"%","%25"),"~","%7E"),"*","%2A"),"?","%3F"),'Rules'!$G$7:$G$26,0))&lt;&gt;"",INDEX('Rules'!$F$7:$F$26,MATCH(SUBSTITUTE(SUBSTITUTE(SUBSTITUTE(SUBSTITUTE("type:"&amp;B284,"%","%25"),"~","%7E"),"*","%2A"),"?","%3F"),'Rules'!$G$7:$G$26,0)),IF(AND(C284&lt;&gt;"",C284&lt;&gt;INDEX('Rules'!$B$7:$B$26,MATCH(SUBSTITUTE(SUBSTITUTE(SUBSTITUTE(SUBSTITUTE("type:"&amp;B284,"%","%25"),"~","%7E"),"*","%2A"),"?","%3F"),'Rules'!$G$7:$G$26,0))),"Unit mismatch",IF(IF(NOT(ISNUMBER(D284)),TRUE,OR(D284&lt;0,D284&gt;999999999,ROUND(D284,3)&lt;&gt;D284)),"Invalid current reading",IF(AND(E284&lt;&gt;"",IF(NOT(ISNUMBER(E284)),TRUE,OR(E284&lt;0,E284&gt;999999999,ROUND(E284,3)&lt;&gt;E284))),"Invalid previous reading",IF(IF(NOT(ISNUMBER(F284)),TRUE,OR(F284&lt;0,F284&gt;999999999,ROUND(F284,3)&lt;&gt;F284)),"Invalid last service",IF(AND(E284&lt;&gt;"",D284&lt;E284),"Decreased reading",IF(F284&gt;D284,"Last service above current","")))))))))))))</x:f>
      </x:c>
      <x:c r="L284" s="6" t="str">
        <x:f>IF(AND(NOT(COUNTA(A284:F284)=0),K284=""),INDEX('Rules'!$C$7:$C$26,MATCH(SUBSTITUTE(SUBSTITUTE(SUBSTITUTE(SUBSTITUTE("type:"&amp;B284,"%","%25"),"~","%7E"),"*","%2A"),"?","%3F"),'Rules'!$G$7:$G$26,0)),"")</x:f>
      </x:c>
      <x:c r="M284" s="6" t="str">
        <x:f>IF(AND(NOT(COUNTA(A284:F284)=0),K284=""),INDEX('Rules'!$D$7:$D$26,MATCH(SUBSTITUTE(SUBSTITUTE(SUBSTITUTE(SUBSTITUTE("type:"&amp;B284,"%","%25"),"~","%7E"),"*","%2A"),"?","%3F"),'Rules'!$G$7:$G$26,0)),"")</x:f>
      </x:c>
      <x:c r="N284" s="5" t="str">
        <x:f>IF(COUNTA(A284:F284)=0,"",SUBSTITUTE(SUBSTITUTE(SUBSTITUTE(SUBSTITUTE("id:"&amp;A284,"%","%25"),"~","%7E"),"*","%2A"),"?","%3F"))</x:f>
      </x:c>
    </x:row>
    <x:row r="285" ht="22" customHeight="1">
      <x:c r="A285" s="3"/>
      <x:c r="B285" s="3"/>
      <x:c r="C285" s="3"/>
      <x:c r="D285" s="4"/>
      <x:c r="E285" s="4"/>
      <x:c r="F285" s="4"/>
      <x:c r="G285" s="5" t="str">
        <x:f>IF(COUNTA(A285:F285)=0,"",IF(K285&lt;&gt;"","Review",IF(I285&lt;0,"Overdue",IF(I285=0,"Due now",IF(I285&lt;=M285,"Due soon","Not due")))))</x:f>
      </x:c>
      <x:c r="H285" s="5" t="str">
        <x:f>IF(OR(COUNTA(A285:F285)=0,COUNTIFS('Rules'!$G$7:$G$26,"="&amp;(SUBSTITUTE(SUBSTITUTE(SUBSTITUTE(SUBSTITUTE("type:"&amp;B285,"%","%25"),"~","%7E"),"*","%2A"),"?","%3F")))&lt;&gt;1),"",IF(OR(INDEX('Rules'!$B$7:$B$26,MATCH(SUBSTITUTE(SUBSTITUTE(SUBSTITUTE(SUBSTITUTE("type:"&amp;B285,"%","%25"),"~","%7E"),"*","%2A"),"?","%3F"),'Rules'!$G$7:$G$26,0))="hours",INDEX('Rules'!$B$7:$B$26,MATCH(SUBSTITUTE(SUBSTITUTE(SUBSTITUTE(SUBSTITUTE("type:"&amp;B285,"%","%25"),"~","%7E"),"*","%2A"),"?","%3F"),'Rules'!$G$7:$G$26,0))="km"),INDEX('Rules'!$B$7:$B$26,MATCH(SUBSTITUTE(SUBSTITUTE(SUBSTITUTE(SUBSTITUTE("type:"&amp;B285,"%","%25"),"~","%7E"),"*","%2A"),"?","%3F"),'Rules'!$G$7:$G$26,0)),""))</x:f>
      </x:c>
      <x:c r="I285" s="6" t="str">
        <x:f>IF(AND(NOT(COUNTA(A285:F285)=0),K285=""),ROUND(J285-D285,3),"")</x:f>
      </x:c>
      <x:c r="J285" s="6" t="str">
        <x:f>IF(AND(NOT(COUNTA(A285:F285)=0),K285=""),ROUND(F285+L285,3),"")</x:f>
      </x:c>
      <x:c r="K285" s="5" t="str">
        <x:f>IF(COUNTA(A285:F285)=0,"",IF(A285="","Missing equipment ID",IF(COUNTIFS($N$8:$N$2007,"="&amp;N285)&gt;1,"Duplicate equipment ID",IF(B285="","Missing type",IF(COUNTIFS('Rules'!$G$7:$G$26,"="&amp;(SUBSTITUTE(SUBSTITUTE(SUBSTITUTE(SUBSTITUTE("type:"&amp;B285,"%","%25"),"~","%7E"),"*","%2A"),"?","%3F")))=0,"Unknown type",IF(COUNTIFS('Rules'!$G$7:$G$26,"="&amp;(SUBSTITUTE(SUBSTITUTE(SUBSTITUTE(SUBSTITUTE("type:"&amp;B285,"%","%25"),"~","%7E"),"*","%2A"),"?","%3F")))&gt;1,"Duplicate type",IF(INDEX('Rules'!$F$7:$F$26,MATCH(SUBSTITUTE(SUBSTITUTE(SUBSTITUTE(SUBSTITUTE("type:"&amp;B285,"%","%25"),"~","%7E"),"*","%2A"),"?","%3F"),'Rules'!$G$7:$G$26,0))&lt;&gt;"",INDEX('Rules'!$F$7:$F$26,MATCH(SUBSTITUTE(SUBSTITUTE(SUBSTITUTE(SUBSTITUTE("type:"&amp;B285,"%","%25"),"~","%7E"),"*","%2A"),"?","%3F"),'Rules'!$G$7:$G$26,0)),IF(AND(C285&lt;&gt;"",C285&lt;&gt;INDEX('Rules'!$B$7:$B$26,MATCH(SUBSTITUTE(SUBSTITUTE(SUBSTITUTE(SUBSTITUTE("type:"&amp;B285,"%","%25"),"~","%7E"),"*","%2A"),"?","%3F"),'Rules'!$G$7:$G$26,0))),"Unit mismatch",IF(IF(NOT(ISNUMBER(D285)),TRUE,OR(D285&lt;0,D285&gt;999999999,ROUND(D285,3)&lt;&gt;D285)),"Invalid current reading",IF(AND(E285&lt;&gt;"",IF(NOT(ISNUMBER(E285)),TRUE,OR(E285&lt;0,E285&gt;999999999,ROUND(E285,3)&lt;&gt;E285))),"Invalid previous reading",IF(IF(NOT(ISNUMBER(F285)),TRUE,OR(F285&lt;0,F285&gt;999999999,ROUND(F285,3)&lt;&gt;F285)),"Invalid last service",IF(AND(E285&lt;&gt;"",D285&lt;E285),"Decreased reading",IF(F285&gt;D285,"Last service above current","")))))))))))))</x:f>
      </x:c>
      <x:c r="L285" s="6" t="str">
        <x:f>IF(AND(NOT(COUNTA(A285:F285)=0),K285=""),INDEX('Rules'!$C$7:$C$26,MATCH(SUBSTITUTE(SUBSTITUTE(SUBSTITUTE(SUBSTITUTE("type:"&amp;B285,"%","%25"),"~","%7E"),"*","%2A"),"?","%3F"),'Rules'!$G$7:$G$26,0)),"")</x:f>
      </x:c>
      <x:c r="M285" s="6" t="str">
        <x:f>IF(AND(NOT(COUNTA(A285:F285)=0),K285=""),INDEX('Rules'!$D$7:$D$26,MATCH(SUBSTITUTE(SUBSTITUTE(SUBSTITUTE(SUBSTITUTE("type:"&amp;B285,"%","%25"),"~","%7E"),"*","%2A"),"?","%3F"),'Rules'!$G$7:$G$26,0)),"")</x:f>
      </x:c>
      <x:c r="N285" s="5" t="str">
        <x:f>IF(COUNTA(A285:F285)=0,"",SUBSTITUTE(SUBSTITUTE(SUBSTITUTE(SUBSTITUTE("id:"&amp;A285,"%","%25"),"~","%7E"),"*","%2A"),"?","%3F"))</x:f>
      </x:c>
    </x:row>
    <x:row r="286" ht="22" customHeight="1">
      <x:c r="A286" s="3"/>
      <x:c r="B286" s="3"/>
      <x:c r="C286" s="3"/>
      <x:c r="D286" s="4"/>
      <x:c r="E286" s="4"/>
      <x:c r="F286" s="4"/>
      <x:c r="G286" s="5" t="str">
        <x:f>IF(COUNTA(A286:F286)=0,"",IF(K286&lt;&gt;"","Review",IF(I286&lt;0,"Overdue",IF(I286=0,"Due now",IF(I286&lt;=M286,"Due soon","Not due")))))</x:f>
      </x:c>
      <x:c r="H286" s="5" t="str">
        <x:f>IF(OR(COUNTA(A286:F286)=0,COUNTIFS('Rules'!$G$7:$G$26,"="&amp;(SUBSTITUTE(SUBSTITUTE(SUBSTITUTE(SUBSTITUTE("type:"&amp;B286,"%","%25"),"~","%7E"),"*","%2A"),"?","%3F")))&lt;&gt;1),"",IF(OR(INDEX('Rules'!$B$7:$B$26,MATCH(SUBSTITUTE(SUBSTITUTE(SUBSTITUTE(SUBSTITUTE("type:"&amp;B286,"%","%25"),"~","%7E"),"*","%2A"),"?","%3F"),'Rules'!$G$7:$G$26,0))="hours",INDEX('Rules'!$B$7:$B$26,MATCH(SUBSTITUTE(SUBSTITUTE(SUBSTITUTE(SUBSTITUTE("type:"&amp;B286,"%","%25"),"~","%7E"),"*","%2A"),"?","%3F"),'Rules'!$G$7:$G$26,0))="km"),INDEX('Rules'!$B$7:$B$26,MATCH(SUBSTITUTE(SUBSTITUTE(SUBSTITUTE(SUBSTITUTE("type:"&amp;B286,"%","%25"),"~","%7E"),"*","%2A"),"?","%3F"),'Rules'!$G$7:$G$26,0)),""))</x:f>
      </x:c>
      <x:c r="I286" s="6" t="str">
        <x:f>IF(AND(NOT(COUNTA(A286:F286)=0),K286=""),ROUND(J286-D286,3),"")</x:f>
      </x:c>
      <x:c r="J286" s="6" t="str">
        <x:f>IF(AND(NOT(COUNTA(A286:F286)=0),K286=""),ROUND(F286+L286,3),"")</x:f>
      </x:c>
      <x:c r="K286" s="5" t="str">
        <x:f>IF(COUNTA(A286:F286)=0,"",IF(A286="","Missing equipment ID",IF(COUNTIFS($N$8:$N$2007,"="&amp;N286)&gt;1,"Duplicate equipment ID",IF(B286="","Missing type",IF(COUNTIFS('Rules'!$G$7:$G$26,"="&amp;(SUBSTITUTE(SUBSTITUTE(SUBSTITUTE(SUBSTITUTE("type:"&amp;B286,"%","%25"),"~","%7E"),"*","%2A"),"?","%3F")))=0,"Unknown type",IF(COUNTIFS('Rules'!$G$7:$G$26,"="&amp;(SUBSTITUTE(SUBSTITUTE(SUBSTITUTE(SUBSTITUTE("type:"&amp;B286,"%","%25"),"~","%7E"),"*","%2A"),"?","%3F")))&gt;1,"Duplicate type",IF(INDEX('Rules'!$F$7:$F$26,MATCH(SUBSTITUTE(SUBSTITUTE(SUBSTITUTE(SUBSTITUTE("type:"&amp;B286,"%","%25"),"~","%7E"),"*","%2A"),"?","%3F"),'Rules'!$G$7:$G$26,0))&lt;&gt;"",INDEX('Rules'!$F$7:$F$26,MATCH(SUBSTITUTE(SUBSTITUTE(SUBSTITUTE(SUBSTITUTE("type:"&amp;B286,"%","%25"),"~","%7E"),"*","%2A"),"?","%3F"),'Rules'!$G$7:$G$26,0)),IF(AND(C286&lt;&gt;"",C286&lt;&gt;INDEX('Rules'!$B$7:$B$26,MATCH(SUBSTITUTE(SUBSTITUTE(SUBSTITUTE(SUBSTITUTE("type:"&amp;B286,"%","%25"),"~","%7E"),"*","%2A"),"?","%3F"),'Rules'!$G$7:$G$26,0))),"Unit mismatch",IF(IF(NOT(ISNUMBER(D286)),TRUE,OR(D286&lt;0,D286&gt;999999999,ROUND(D286,3)&lt;&gt;D286)),"Invalid current reading",IF(AND(E286&lt;&gt;"",IF(NOT(ISNUMBER(E286)),TRUE,OR(E286&lt;0,E286&gt;999999999,ROUND(E286,3)&lt;&gt;E286))),"Invalid previous reading",IF(IF(NOT(ISNUMBER(F286)),TRUE,OR(F286&lt;0,F286&gt;999999999,ROUND(F286,3)&lt;&gt;F286)),"Invalid last service",IF(AND(E286&lt;&gt;"",D286&lt;E286),"Decreased reading",IF(F286&gt;D286,"Last service above current","")))))))))))))</x:f>
      </x:c>
      <x:c r="L286" s="6" t="str">
        <x:f>IF(AND(NOT(COUNTA(A286:F286)=0),K286=""),INDEX('Rules'!$C$7:$C$26,MATCH(SUBSTITUTE(SUBSTITUTE(SUBSTITUTE(SUBSTITUTE("type:"&amp;B286,"%","%25"),"~","%7E"),"*","%2A"),"?","%3F"),'Rules'!$G$7:$G$26,0)),"")</x:f>
      </x:c>
      <x:c r="M286" s="6" t="str">
        <x:f>IF(AND(NOT(COUNTA(A286:F286)=0),K286=""),INDEX('Rules'!$D$7:$D$26,MATCH(SUBSTITUTE(SUBSTITUTE(SUBSTITUTE(SUBSTITUTE("type:"&amp;B286,"%","%25"),"~","%7E"),"*","%2A"),"?","%3F"),'Rules'!$G$7:$G$26,0)),"")</x:f>
      </x:c>
      <x:c r="N286" s="5" t="str">
        <x:f>IF(COUNTA(A286:F286)=0,"",SUBSTITUTE(SUBSTITUTE(SUBSTITUTE(SUBSTITUTE("id:"&amp;A286,"%","%25"),"~","%7E"),"*","%2A"),"?","%3F"))</x:f>
      </x:c>
    </x:row>
    <x:row r="287" ht="22" customHeight="1">
      <x:c r="A287" s="3"/>
      <x:c r="B287" s="3"/>
      <x:c r="C287" s="3"/>
      <x:c r="D287" s="4"/>
      <x:c r="E287" s="4"/>
      <x:c r="F287" s="4"/>
      <x:c r="G287" s="5" t="str">
        <x:f>IF(COUNTA(A287:F287)=0,"",IF(K287&lt;&gt;"","Review",IF(I287&lt;0,"Overdue",IF(I287=0,"Due now",IF(I287&lt;=M287,"Due soon","Not due")))))</x:f>
      </x:c>
      <x:c r="H287" s="5" t="str">
        <x:f>IF(OR(COUNTA(A287:F287)=0,COUNTIFS('Rules'!$G$7:$G$26,"="&amp;(SUBSTITUTE(SUBSTITUTE(SUBSTITUTE(SUBSTITUTE("type:"&amp;B287,"%","%25"),"~","%7E"),"*","%2A"),"?","%3F")))&lt;&gt;1),"",IF(OR(INDEX('Rules'!$B$7:$B$26,MATCH(SUBSTITUTE(SUBSTITUTE(SUBSTITUTE(SUBSTITUTE("type:"&amp;B287,"%","%25"),"~","%7E"),"*","%2A"),"?","%3F"),'Rules'!$G$7:$G$26,0))="hours",INDEX('Rules'!$B$7:$B$26,MATCH(SUBSTITUTE(SUBSTITUTE(SUBSTITUTE(SUBSTITUTE("type:"&amp;B287,"%","%25"),"~","%7E"),"*","%2A"),"?","%3F"),'Rules'!$G$7:$G$26,0))="km"),INDEX('Rules'!$B$7:$B$26,MATCH(SUBSTITUTE(SUBSTITUTE(SUBSTITUTE(SUBSTITUTE("type:"&amp;B287,"%","%25"),"~","%7E"),"*","%2A"),"?","%3F"),'Rules'!$G$7:$G$26,0)),""))</x:f>
      </x:c>
      <x:c r="I287" s="6" t="str">
        <x:f>IF(AND(NOT(COUNTA(A287:F287)=0),K287=""),ROUND(J287-D287,3),"")</x:f>
      </x:c>
      <x:c r="J287" s="6" t="str">
        <x:f>IF(AND(NOT(COUNTA(A287:F287)=0),K287=""),ROUND(F287+L287,3),"")</x:f>
      </x:c>
      <x:c r="K287" s="5" t="str">
        <x:f>IF(COUNTA(A287:F287)=0,"",IF(A287="","Missing equipment ID",IF(COUNTIFS($N$8:$N$2007,"="&amp;N287)&gt;1,"Duplicate equipment ID",IF(B287="","Missing type",IF(COUNTIFS('Rules'!$G$7:$G$26,"="&amp;(SUBSTITUTE(SUBSTITUTE(SUBSTITUTE(SUBSTITUTE("type:"&amp;B287,"%","%25"),"~","%7E"),"*","%2A"),"?","%3F")))=0,"Unknown type",IF(COUNTIFS('Rules'!$G$7:$G$26,"="&amp;(SUBSTITUTE(SUBSTITUTE(SUBSTITUTE(SUBSTITUTE("type:"&amp;B287,"%","%25"),"~","%7E"),"*","%2A"),"?","%3F")))&gt;1,"Duplicate type",IF(INDEX('Rules'!$F$7:$F$26,MATCH(SUBSTITUTE(SUBSTITUTE(SUBSTITUTE(SUBSTITUTE("type:"&amp;B287,"%","%25"),"~","%7E"),"*","%2A"),"?","%3F"),'Rules'!$G$7:$G$26,0))&lt;&gt;"",INDEX('Rules'!$F$7:$F$26,MATCH(SUBSTITUTE(SUBSTITUTE(SUBSTITUTE(SUBSTITUTE("type:"&amp;B287,"%","%25"),"~","%7E"),"*","%2A"),"?","%3F"),'Rules'!$G$7:$G$26,0)),IF(AND(C287&lt;&gt;"",C287&lt;&gt;INDEX('Rules'!$B$7:$B$26,MATCH(SUBSTITUTE(SUBSTITUTE(SUBSTITUTE(SUBSTITUTE("type:"&amp;B287,"%","%25"),"~","%7E"),"*","%2A"),"?","%3F"),'Rules'!$G$7:$G$26,0))),"Unit mismatch",IF(IF(NOT(ISNUMBER(D287)),TRUE,OR(D287&lt;0,D287&gt;999999999,ROUND(D287,3)&lt;&gt;D287)),"Invalid current reading",IF(AND(E287&lt;&gt;"",IF(NOT(ISNUMBER(E287)),TRUE,OR(E287&lt;0,E287&gt;999999999,ROUND(E287,3)&lt;&gt;E287))),"Invalid previous reading",IF(IF(NOT(ISNUMBER(F287)),TRUE,OR(F287&lt;0,F287&gt;999999999,ROUND(F287,3)&lt;&gt;F287)),"Invalid last service",IF(AND(E287&lt;&gt;"",D287&lt;E287),"Decreased reading",IF(F287&gt;D287,"Last service above current","")))))))))))))</x:f>
      </x:c>
      <x:c r="L287" s="6" t="str">
        <x:f>IF(AND(NOT(COUNTA(A287:F287)=0),K287=""),INDEX('Rules'!$C$7:$C$26,MATCH(SUBSTITUTE(SUBSTITUTE(SUBSTITUTE(SUBSTITUTE("type:"&amp;B287,"%","%25"),"~","%7E"),"*","%2A"),"?","%3F"),'Rules'!$G$7:$G$26,0)),"")</x:f>
      </x:c>
      <x:c r="M287" s="6" t="str">
        <x:f>IF(AND(NOT(COUNTA(A287:F287)=0),K287=""),INDEX('Rules'!$D$7:$D$26,MATCH(SUBSTITUTE(SUBSTITUTE(SUBSTITUTE(SUBSTITUTE("type:"&amp;B287,"%","%25"),"~","%7E"),"*","%2A"),"?","%3F"),'Rules'!$G$7:$G$26,0)),"")</x:f>
      </x:c>
      <x:c r="N287" s="5" t="str">
        <x:f>IF(COUNTA(A287:F287)=0,"",SUBSTITUTE(SUBSTITUTE(SUBSTITUTE(SUBSTITUTE("id:"&amp;A287,"%","%25"),"~","%7E"),"*","%2A"),"?","%3F"))</x:f>
      </x:c>
    </x:row>
    <x:row r="288" ht="22" customHeight="1">
      <x:c r="A288" s="3"/>
      <x:c r="B288" s="3"/>
      <x:c r="C288" s="3"/>
      <x:c r="D288" s="4"/>
      <x:c r="E288" s="4"/>
      <x:c r="F288" s="4"/>
      <x:c r="G288" s="5" t="str">
        <x:f>IF(COUNTA(A288:F288)=0,"",IF(K288&lt;&gt;"","Review",IF(I288&lt;0,"Overdue",IF(I288=0,"Due now",IF(I288&lt;=M288,"Due soon","Not due")))))</x:f>
      </x:c>
      <x:c r="H288" s="5" t="str">
        <x:f>IF(OR(COUNTA(A288:F288)=0,COUNTIFS('Rules'!$G$7:$G$26,"="&amp;(SUBSTITUTE(SUBSTITUTE(SUBSTITUTE(SUBSTITUTE("type:"&amp;B288,"%","%25"),"~","%7E"),"*","%2A"),"?","%3F")))&lt;&gt;1),"",IF(OR(INDEX('Rules'!$B$7:$B$26,MATCH(SUBSTITUTE(SUBSTITUTE(SUBSTITUTE(SUBSTITUTE("type:"&amp;B288,"%","%25"),"~","%7E"),"*","%2A"),"?","%3F"),'Rules'!$G$7:$G$26,0))="hours",INDEX('Rules'!$B$7:$B$26,MATCH(SUBSTITUTE(SUBSTITUTE(SUBSTITUTE(SUBSTITUTE("type:"&amp;B288,"%","%25"),"~","%7E"),"*","%2A"),"?","%3F"),'Rules'!$G$7:$G$26,0))="km"),INDEX('Rules'!$B$7:$B$26,MATCH(SUBSTITUTE(SUBSTITUTE(SUBSTITUTE(SUBSTITUTE("type:"&amp;B288,"%","%25"),"~","%7E"),"*","%2A"),"?","%3F"),'Rules'!$G$7:$G$26,0)),""))</x:f>
      </x:c>
      <x:c r="I288" s="6" t="str">
        <x:f>IF(AND(NOT(COUNTA(A288:F288)=0),K288=""),ROUND(J288-D288,3),"")</x:f>
      </x:c>
      <x:c r="J288" s="6" t="str">
        <x:f>IF(AND(NOT(COUNTA(A288:F288)=0),K288=""),ROUND(F288+L288,3),"")</x:f>
      </x:c>
      <x:c r="K288" s="5" t="str">
        <x:f>IF(COUNTA(A288:F288)=0,"",IF(A288="","Missing equipment ID",IF(COUNTIFS($N$8:$N$2007,"="&amp;N288)&gt;1,"Duplicate equipment ID",IF(B288="","Missing type",IF(COUNTIFS('Rules'!$G$7:$G$26,"="&amp;(SUBSTITUTE(SUBSTITUTE(SUBSTITUTE(SUBSTITUTE("type:"&amp;B288,"%","%25"),"~","%7E"),"*","%2A"),"?","%3F")))=0,"Unknown type",IF(COUNTIFS('Rules'!$G$7:$G$26,"="&amp;(SUBSTITUTE(SUBSTITUTE(SUBSTITUTE(SUBSTITUTE("type:"&amp;B288,"%","%25"),"~","%7E"),"*","%2A"),"?","%3F")))&gt;1,"Duplicate type",IF(INDEX('Rules'!$F$7:$F$26,MATCH(SUBSTITUTE(SUBSTITUTE(SUBSTITUTE(SUBSTITUTE("type:"&amp;B288,"%","%25"),"~","%7E"),"*","%2A"),"?","%3F"),'Rules'!$G$7:$G$26,0))&lt;&gt;"",INDEX('Rules'!$F$7:$F$26,MATCH(SUBSTITUTE(SUBSTITUTE(SUBSTITUTE(SUBSTITUTE("type:"&amp;B288,"%","%25"),"~","%7E"),"*","%2A"),"?","%3F"),'Rules'!$G$7:$G$26,0)),IF(AND(C288&lt;&gt;"",C288&lt;&gt;INDEX('Rules'!$B$7:$B$26,MATCH(SUBSTITUTE(SUBSTITUTE(SUBSTITUTE(SUBSTITUTE("type:"&amp;B288,"%","%25"),"~","%7E"),"*","%2A"),"?","%3F"),'Rules'!$G$7:$G$26,0))),"Unit mismatch",IF(IF(NOT(ISNUMBER(D288)),TRUE,OR(D288&lt;0,D288&gt;999999999,ROUND(D288,3)&lt;&gt;D288)),"Invalid current reading",IF(AND(E288&lt;&gt;"",IF(NOT(ISNUMBER(E288)),TRUE,OR(E288&lt;0,E288&gt;999999999,ROUND(E288,3)&lt;&gt;E288))),"Invalid previous reading",IF(IF(NOT(ISNUMBER(F288)),TRUE,OR(F288&lt;0,F288&gt;999999999,ROUND(F288,3)&lt;&gt;F288)),"Invalid last service",IF(AND(E288&lt;&gt;"",D288&lt;E288),"Decreased reading",IF(F288&gt;D288,"Last service above current","")))))))))))))</x:f>
      </x:c>
      <x:c r="L288" s="6" t="str">
        <x:f>IF(AND(NOT(COUNTA(A288:F288)=0),K288=""),INDEX('Rules'!$C$7:$C$26,MATCH(SUBSTITUTE(SUBSTITUTE(SUBSTITUTE(SUBSTITUTE("type:"&amp;B288,"%","%25"),"~","%7E"),"*","%2A"),"?","%3F"),'Rules'!$G$7:$G$26,0)),"")</x:f>
      </x:c>
      <x:c r="M288" s="6" t="str">
        <x:f>IF(AND(NOT(COUNTA(A288:F288)=0),K288=""),INDEX('Rules'!$D$7:$D$26,MATCH(SUBSTITUTE(SUBSTITUTE(SUBSTITUTE(SUBSTITUTE("type:"&amp;B288,"%","%25"),"~","%7E"),"*","%2A"),"?","%3F"),'Rules'!$G$7:$G$26,0)),"")</x:f>
      </x:c>
      <x:c r="N288" s="5" t="str">
        <x:f>IF(COUNTA(A288:F288)=0,"",SUBSTITUTE(SUBSTITUTE(SUBSTITUTE(SUBSTITUTE("id:"&amp;A288,"%","%25"),"~","%7E"),"*","%2A"),"?","%3F"))</x:f>
      </x:c>
    </x:row>
    <x:row r="289" ht="22" customHeight="1">
      <x:c r="A289" s="3"/>
      <x:c r="B289" s="3"/>
      <x:c r="C289" s="3"/>
      <x:c r="D289" s="4"/>
      <x:c r="E289" s="4"/>
      <x:c r="F289" s="4"/>
      <x:c r="G289" s="5" t="str">
        <x:f>IF(COUNTA(A289:F289)=0,"",IF(K289&lt;&gt;"","Review",IF(I289&lt;0,"Overdue",IF(I289=0,"Due now",IF(I289&lt;=M289,"Due soon","Not due")))))</x:f>
      </x:c>
      <x:c r="H289" s="5" t="str">
        <x:f>IF(OR(COUNTA(A289:F289)=0,COUNTIFS('Rules'!$G$7:$G$26,"="&amp;(SUBSTITUTE(SUBSTITUTE(SUBSTITUTE(SUBSTITUTE("type:"&amp;B289,"%","%25"),"~","%7E"),"*","%2A"),"?","%3F")))&lt;&gt;1),"",IF(OR(INDEX('Rules'!$B$7:$B$26,MATCH(SUBSTITUTE(SUBSTITUTE(SUBSTITUTE(SUBSTITUTE("type:"&amp;B289,"%","%25"),"~","%7E"),"*","%2A"),"?","%3F"),'Rules'!$G$7:$G$26,0))="hours",INDEX('Rules'!$B$7:$B$26,MATCH(SUBSTITUTE(SUBSTITUTE(SUBSTITUTE(SUBSTITUTE("type:"&amp;B289,"%","%25"),"~","%7E"),"*","%2A"),"?","%3F"),'Rules'!$G$7:$G$26,0))="km"),INDEX('Rules'!$B$7:$B$26,MATCH(SUBSTITUTE(SUBSTITUTE(SUBSTITUTE(SUBSTITUTE("type:"&amp;B289,"%","%25"),"~","%7E"),"*","%2A"),"?","%3F"),'Rules'!$G$7:$G$26,0)),""))</x:f>
      </x:c>
      <x:c r="I289" s="6" t="str">
        <x:f>IF(AND(NOT(COUNTA(A289:F289)=0),K289=""),ROUND(J289-D289,3),"")</x:f>
      </x:c>
      <x:c r="J289" s="6" t="str">
        <x:f>IF(AND(NOT(COUNTA(A289:F289)=0),K289=""),ROUND(F289+L289,3),"")</x:f>
      </x:c>
      <x:c r="K289" s="5" t="str">
        <x:f>IF(COUNTA(A289:F289)=0,"",IF(A289="","Missing equipment ID",IF(COUNTIFS($N$8:$N$2007,"="&amp;N289)&gt;1,"Duplicate equipment ID",IF(B289="","Missing type",IF(COUNTIFS('Rules'!$G$7:$G$26,"="&amp;(SUBSTITUTE(SUBSTITUTE(SUBSTITUTE(SUBSTITUTE("type:"&amp;B289,"%","%25"),"~","%7E"),"*","%2A"),"?","%3F")))=0,"Unknown type",IF(COUNTIFS('Rules'!$G$7:$G$26,"="&amp;(SUBSTITUTE(SUBSTITUTE(SUBSTITUTE(SUBSTITUTE("type:"&amp;B289,"%","%25"),"~","%7E"),"*","%2A"),"?","%3F")))&gt;1,"Duplicate type",IF(INDEX('Rules'!$F$7:$F$26,MATCH(SUBSTITUTE(SUBSTITUTE(SUBSTITUTE(SUBSTITUTE("type:"&amp;B289,"%","%25"),"~","%7E"),"*","%2A"),"?","%3F"),'Rules'!$G$7:$G$26,0))&lt;&gt;"",INDEX('Rules'!$F$7:$F$26,MATCH(SUBSTITUTE(SUBSTITUTE(SUBSTITUTE(SUBSTITUTE("type:"&amp;B289,"%","%25"),"~","%7E"),"*","%2A"),"?","%3F"),'Rules'!$G$7:$G$26,0)),IF(AND(C289&lt;&gt;"",C289&lt;&gt;INDEX('Rules'!$B$7:$B$26,MATCH(SUBSTITUTE(SUBSTITUTE(SUBSTITUTE(SUBSTITUTE("type:"&amp;B289,"%","%25"),"~","%7E"),"*","%2A"),"?","%3F"),'Rules'!$G$7:$G$26,0))),"Unit mismatch",IF(IF(NOT(ISNUMBER(D289)),TRUE,OR(D289&lt;0,D289&gt;999999999,ROUND(D289,3)&lt;&gt;D289)),"Invalid current reading",IF(AND(E289&lt;&gt;"",IF(NOT(ISNUMBER(E289)),TRUE,OR(E289&lt;0,E289&gt;999999999,ROUND(E289,3)&lt;&gt;E289))),"Invalid previous reading",IF(IF(NOT(ISNUMBER(F289)),TRUE,OR(F289&lt;0,F289&gt;999999999,ROUND(F289,3)&lt;&gt;F289)),"Invalid last service",IF(AND(E289&lt;&gt;"",D289&lt;E289),"Decreased reading",IF(F289&gt;D289,"Last service above current","")))))))))))))</x:f>
      </x:c>
      <x:c r="L289" s="6" t="str">
        <x:f>IF(AND(NOT(COUNTA(A289:F289)=0),K289=""),INDEX('Rules'!$C$7:$C$26,MATCH(SUBSTITUTE(SUBSTITUTE(SUBSTITUTE(SUBSTITUTE("type:"&amp;B289,"%","%25"),"~","%7E"),"*","%2A"),"?","%3F"),'Rules'!$G$7:$G$26,0)),"")</x:f>
      </x:c>
      <x:c r="M289" s="6" t="str">
        <x:f>IF(AND(NOT(COUNTA(A289:F289)=0),K289=""),INDEX('Rules'!$D$7:$D$26,MATCH(SUBSTITUTE(SUBSTITUTE(SUBSTITUTE(SUBSTITUTE("type:"&amp;B289,"%","%25"),"~","%7E"),"*","%2A"),"?","%3F"),'Rules'!$G$7:$G$26,0)),"")</x:f>
      </x:c>
      <x:c r="N289" s="5" t="str">
        <x:f>IF(COUNTA(A289:F289)=0,"",SUBSTITUTE(SUBSTITUTE(SUBSTITUTE(SUBSTITUTE("id:"&amp;A289,"%","%25"),"~","%7E"),"*","%2A"),"?","%3F"))</x:f>
      </x:c>
    </x:row>
    <x:row r="290" ht="22" customHeight="1">
      <x:c r="A290" s="3"/>
      <x:c r="B290" s="3"/>
      <x:c r="C290" s="3"/>
      <x:c r="D290" s="4"/>
      <x:c r="E290" s="4"/>
      <x:c r="F290" s="4"/>
      <x:c r="G290" s="5" t="str">
        <x:f>IF(COUNTA(A290:F290)=0,"",IF(K290&lt;&gt;"","Review",IF(I290&lt;0,"Overdue",IF(I290=0,"Due now",IF(I290&lt;=M290,"Due soon","Not due")))))</x:f>
      </x:c>
      <x:c r="H290" s="5" t="str">
        <x:f>IF(OR(COUNTA(A290:F290)=0,COUNTIFS('Rules'!$G$7:$G$26,"="&amp;(SUBSTITUTE(SUBSTITUTE(SUBSTITUTE(SUBSTITUTE("type:"&amp;B290,"%","%25"),"~","%7E"),"*","%2A"),"?","%3F")))&lt;&gt;1),"",IF(OR(INDEX('Rules'!$B$7:$B$26,MATCH(SUBSTITUTE(SUBSTITUTE(SUBSTITUTE(SUBSTITUTE("type:"&amp;B290,"%","%25"),"~","%7E"),"*","%2A"),"?","%3F"),'Rules'!$G$7:$G$26,0))="hours",INDEX('Rules'!$B$7:$B$26,MATCH(SUBSTITUTE(SUBSTITUTE(SUBSTITUTE(SUBSTITUTE("type:"&amp;B290,"%","%25"),"~","%7E"),"*","%2A"),"?","%3F"),'Rules'!$G$7:$G$26,0))="km"),INDEX('Rules'!$B$7:$B$26,MATCH(SUBSTITUTE(SUBSTITUTE(SUBSTITUTE(SUBSTITUTE("type:"&amp;B290,"%","%25"),"~","%7E"),"*","%2A"),"?","%3F"),'Rules'!$G$7:$G$26,0)),""))</x:f>
      </x:c>
      <x:c r="I290" s="6" t="str">
        <x:f>IF(AND(NOT(COUNTA(A290:F290)=0),K290=""),ROUND(J290-D290,3),"")</x:f>
      </x:c>
      <x:c r="J290" s="6" t="str">
        <x:f>IF(AND(NOT(COUNTA(A290:F290)=0),K290=""),ROUND(F290+L290,3),"")</x:f>
      </x:c>
      <x:c r="K290" s="5" t="str">
        <x:f>IF(COUNTA(A290:F290)=0,"",IF(A290="","Missing equipment ID",IF(COUNTIFS($N$8:$N$2007,"="&amp;N290)&gt;1,"Duplicate equipment ID",IF(B290="","Missing type",IF(COUNTIFS('Rules'!$G$7:$G$26,"="&amp;(SUBSTITUTE(SUBSTITUTE(SUBSTITUTE(SUBSTITUTE("type:"&amp;B290,"%","%25"),"~","%7E"),"*","%2A"),"?","%3F")))=0,"Unknown type",IF(COUNTIFS('Rules'!$G$7:$G$26,"="&amp;(SUBSTITUTE(SUBSTITUTE(SUBSTITUTE(SUBSTITUTE("type:"&amp;B290,"%","%25"),"~","%7E"),"*","%2A"),"?","%3F")))&gt;1,"Duplicate type",IF(INDEX('Rules'!$F$7:$F$26,MATCH(SUBSTITUTE(SUBSTITUTE(SUBSTITUTE(SUBSTITUTE("type:"&amp;B290,"%","%25"),"~","%7E"),"*","%2A"),"?","%3F"),'Rules'!$G$7:$G$26,0))&lt;&gt;"",INDEX('Rules'!$F$7:$F$26,MATCH(SUBSTITUTE(SUBSTITUTE(SUBSTITUTE(SUBSTITUTE("type:"&amp;B290,"%","%25"),"~","%7E"),"*","%2A"),"?","%3F"),'Rules'!$G$7:$G$26,0)),IF(AND(C290&lt;&gt;"",C290&lt;&gt;INDEX('Rules'!$B$7:$B$26,MATCH(SUBSTITUTE(SUBSTITUTE(SUBSTITUTE(SUBSTITUTE("type:"&amp;B290,"%","%25"),"~","%7E"),"*","%2A"),"?","%3F"),'Rules'!$G$7:$G$26,0))),"Unit mismatch",IF(IF(NOT(ISNUMBER(D290)),TRUE,OR(D290&lt;0,D290&gt;999999999,ROUND(D290,3)&lt;&gt;D290)),"Invalid current reading",IF(AND(E290&lt;&gt;"",IF(NOT(ISNUMBER(E290)),TRUE,OR(E290&lt;0,E290&gt;999999999,ROUND(E290,3)&lt;&gt;E290))),"Invalid previous reading",IF(IF(NOT(ISNUMBER(F290)),TRUE,OR(F290&lt;0,F290&gt;999999999,ROUND(F290,3)&lt;&gt;F290)),"Invalid last service",IF(AND(E290&lt;&gt;"",D290&lt;E290),"Decreased reading",IF(F290&gt;D290,"Last service above current","")))))))))))))</x:f>
      </x:c>
      <x:c r="L290" s="6" t="str">
        <x:f>IF(AND(NOT(COUNTA(A290:F290)=0),K290=""),INDEX('Rules'!$C$7:$C$26,MATCH(SUBSTITUTE(SUBSTITUTE(SUBSTITUTE(SUBSTITUTE("type:"&amp;B290,"%","%25"),"~","%7E"),"*","%2A"),"?","%3F"),'Rules'!$G$7:$G$26,0)),"")</x:f>
      </x:c>
      <x:c r="M290" s="6" t="str">
        <x:f>IF(AND(NOT(COUNTA(A290:F290)=0),K290=""),INDEX('Rules'!$D$7:$D$26,MATCH(SUBSTITUTE(SUBSTITUTE(SUBSTITUTE(SUBSTITUTE("type:"&amp;B290,"%","%25"),"~","%7E"),"*","%2A"),"?","%3F"),'Rules'!$G$7:$G$26,0)),"")</x:f>
      </x:c>
      <x:c r="N290" s="5" t="str">
        <x:f>IF(COUNTA(A290:F290)=0,"",SUBSTITUTE(SUBSTITUTE(SUBSTITUTE(SUBSTITUTE("id:"&amp;A290,"%","%25"),"~","%7E"),"*","%2A"),"?","%3F"))</x:f>
      </x:c>
    </x:row>
    <x:row r="291" ht="22" customHeight="1">
      <x:c r="A291" s="3"/>
      <x:c r="B291" s="3"/>
      <x:c r="C291" s="3"/>
      <x:c r="D291" s="4"/>
      <x:c r="E291" s="4"/>
      <x:c r="F291" s="4"/>
      <x:c r="G291" s="5" t="str">
        <x:f>IF(COUNTA(A291:F291)=0,"",IF(K291&lt;&gt;"","Review",IF(I291&lt;0,"Overdue",IF(I291=0,"Due now",IF(I291&lt;=M291,"Due soon","Not due")))))</x:f>
      </x:c>
      <x:c r="H291" s="5" t="str">
        <x:f>IF(OR(COUNTA(A291:F291)=0,COUNTIFS('Rules'!$G$7:$G$26,"="&amp;(SUBSTITUTE(SUBSTITUTE(SUBSTITUTE(SUBSTITUTE("type:"&amp;B291,"%","%25"),"~","%7E"),"*","%2A"),"?","%3F")))&lt;&gt;1),"",IF(OR(INDEX('Rules'!$B$7:$B$26,MATCH(SUBSTITUTE(SUBSTITUTE(SUBSTITUTE(SUBSTITUTE("type:"&amp;B291,"%","%25"),"~","%7E"),"*","%2A"),"?","%3F"),'Rules'!$G$7:$G$26,0))="hours",INDEX('Rules'!$B$7:$B$26,MATCH(SUBSTITUTE(SUBSTITUTE(SUBSTITUTE(SUBSTITUTE("type:"&amp;B291,"%","%25"),"~","%7E"),"*","%2A"),"?","%3F"),'Rules'!$G$7:$G$26,0))="km"),INDEX('Rules'!$B$7:$B$26,MATCH(SUBSTITUTE(SUBSTITUTE(SUBSTITUTE(SUBSTITUTE("type:"&amp;B291,"%","%25"),"~","%7E"),"*","%2A"),"?","%3F"),'Rules'!$G$7:$G$26,0)),""))</x:f>
      </x:c>
      <x:c r="I291" s="6" t="str">
        <x:f>IF(AND(NOT(COUNTA(A291:F291)=0),K291=""),ROUND(J291-D291,3),"")</x:f>
      </x:c>
      <x:c r="J291" s="6" t="str">
        <x:f>IF(AND(NOT(COUNTA(A291:F291)=0),K291=""),ROUND(F291+L291,3),"")</x:f>
      </x:c>
      <x:c r="K291" s="5" t="str">
        <x:f>IF(COUNTA(A291:F291)=0,"",IF(A291="","Missing equipment ID",IF(COUNTIFS($N$8:$N$2007,"="&amp;N291)&gt;1,"Duplicate equipment ID",IF(B291="","Missing type",IF(COUNTIFS('Rules'!$G$7:$G$26,"="&amp;(SUBSTITUTE(SUBSTITUTE(SUBSTITUTE(SUBSTITUTE("type:"&amp;B291,"%","%25"),"~","%7E"),"*","%2A"),"?","%3F")))=0,"Unknown type",IF(COUNTIFS('Rules'!$G$7:$G$26,"="&amp;(SUBSTITUTE(SUBSTITUTE(SUBSTITUTE(SUBSTITUTE("type:"&amp;B291,"%","%25"),"~","%7E"),"*","%2A"),"?","%3F")))&gt;1,"Duplicate type",IF(INDEX('Rules'!$F$7:$F$26,MATCH(SUBSTITUTE(SUBSTITUTE(SUBSTITUTE(SUBSTITUTE("type:"&amp;B291,"%","%25"),"~","%7E"),"*","%2A"),"?","%3F"),'Rules'!$G$7:$G$26,0))&lt;&gt;"",INDEX('Rules'!$F$7:$F$26,MATCH(SUBSTITUTE(SUBSTITUTE(SUBSTITUTE(SUBSTITUTE("type:"&amp;B291,"%","%25"),"~","%7E"),"*","%2A"),"?","%3F"),'Rules'!$G$7:$G$26,0)),IF(AND(C291&lt;&gt;"",C291&lt;&gt;INDEX('Rules'!$B$7:$B$26,MATCH(SUBSTITUTE(SUBSTITUTE(SUBSTITUTE(SUBSTITUTE("type:"&amp;B291,"%","%25"),"~","%7E"),"*","%2A"),"?","%3F"),'Rules'!$G$7:$G$26,0))),"Unit mismatch",IF(IF(NOT(ISNUMBER(D291)),TRUE,OR(D291&lt;0,D291&gt;999999999,ROUND(D291,3)&lt;&gt;D291)),"Invalid current reading",IF(AND(E291&lt;&gt;"",IF(NOT(ISNUMBER(E291)),TRUE,OR(E291&lt;0,E291&gt;999999999,ROUND(E291,3)&lt;&gt;E291))),"Invalid previous reading",IF(IF(NOT(ISNUMBER(F291)),TRUE,OR(F291&lt;0,F291&gt;999999999,ROUND(F291,3)&lt;&gt;F291)),"Invalid last service",IF(AND(E291&lt;&gt;"",D291&lt;E291),"Decreased reading",IF(F291&gt;D291,"Last service above current","")))))))))))))</x:f>
      </x:c>
      <x:c r="L291" s="6" t="str">
        <x:f>IF(AND(NOT(COUNTA(A291:F291)=0),K291=""),INDEX('Rules'!$C$7:$C$26,MATCH(SUBSTITUTE(SUBSTITUTE(SUBSTITUTE(SUBSTITUTE("type:"&amp;B291,"%","%25"),"~","%7E"),"*","%2A"),"?","%3F"),'Rules'!$G$7:$G$26,0)),"")</x:f>
      </x:c>
      <x:c r="M291" s="6" t="str">
        <x:f>IF(AND(NOT(COUNTA(A291:F291)=0),K291=""),INDEX('Rules'!$D$7:$D$26,MATCH(SUBSTITUTE(SUBSTITUTE(SUBSTITUTE(SUBSTITUTE("type:"&amp;B291,"%","%25"),"~","%7E"),"*","%2A"),"?","%3F"),'Rules'!$G$7:$G$26,0)),"")</x:f>
      </x:c>
      <x:c r="N291" s="5" t="str">
        <x:f>IF(COUNTA(A291:F291)=0,"",SUBSTITUTE(SUBSTITUTE(SUBSTITUTE(SUBSTITUTE("id:"&amp;A291,"%","%25"),"~","%7E"),"*","%2A"),"?","%3F"))</x:f>
      </x:c>
    </x:row>
    <x:row r="292" ht="22" customHeight="1">
      <x:c r="A292" s="3"/>
      <x:c r="B292" s="3"/>
      <x:c r="C292" s="3"/>
      <x:c r="D292" s="4"/>
      <x:c r="E292" s="4"/>
      <x:c r="F292" s="4"/>
      <x:c r="G292" s="5" t="str">
        <x:f>IF(COUNTA(A292:F292)=0,"",IF(K292&lt;&gt;"","Review",IF(I292&lt;0,"Overdue",IF(I292=0,"Due now",IF(I292&lt;=M292,"Due soon","Not due")))))</x:f>
      </x:c>
      <x:c r="H292" s="5" t="str">
        <x:f>IF(OR(COUNTA(A292:F292)=0,COUNTIFS('Rules'!$G$7:$G$26,"="&amp;(SUBSTITUTE(SUBSTITUTE(SUBSTITUTE(SUBSTITUTE("type:"&amp;B292,"%","%25"),"~","%7E"),"*","%2A"),"?","%3F")))&lt;&gt;1),"",IF(OR(INDEX('Rules'!$B$7:$B$26,MATCH(SUBSTITUTE(SUBSTITUTE(SUBSTITUTE(SUBSTITUTE("type:"&amp;B292,"%","%25"),"~","%7E"),"*","%2A"),"?","%3F"),'Rules'!$G$7:$G$26,0))="hours",INDEX('Rules'!$B$7:$B$26,MATCH(SUBSTITUTE(SUBSTITUTE(SUBSTITUTE(SUBSTITUTE("type:"&amp;B292,"%","%25"),"~","%7E"),"*","%2A"),"?","%3F"),'Rules'!$G$7:$G$26,0))="km"),INDEX('Rules'!$B$7:$B$26,MATCH(SUBSTITUTE(SUBSTITUTE(SUBSTITUTE(SUBSTITUTE("type:"&amp;B292,"%","%25"),"~","%7E"),"*","%2A"),"?","%3F"),'Rules'!$G$7:$G$26,0)),""))</x:f>
      </x:c>
      <x:c r="I292" s="6" t="str">
        <x:f>IF(AND(NOT(COUNTA(A292:F292)=0),K292=""),ROUND(J292-D292,3),"")</x:f>
      </x:c>
      <x:c r="J292" s="6" t="str">
        <x:f>IF(AND(NOT(COUNTA(A292:F292)=0),K292=""),ROUND(F292+L292,3),"")</x:f>
      </x:c>
      <x:c r="K292" s="5" t="str">
        <x:f>IF(COUNTA(A292:F292)=0,"",IF(A292="","Missing equipment ID",IF(COUNTIFS($N$8:$N$2007,"="&amp;N292)&gt;1,"Duplicate equipment ID",IF(B292="","Missing type",IF(COUNTIFS('Rules'!$G$7:$G$26,"="&amp;(SUBSTITUTE(SUBSTITUTE(SUBSTITUTE(SUBSTITUTE("type:"&amp;B292,"%","%25"),"~","%7E"),"*","%2A"),"?","%3F")))=0,"Unknown type",IF(COUNTIFS('Rules'!$G$7:$G$26,"="&amp;(SUBSTITUTE(SUBSTITUTE(SUBSTITUTE(SUBSTITUTE("type:"&amp;B292,"%","%25"),"~","%7E"),"*","%2A"),"?","%3F")))&gt;1,"Duplicate type",IF(INDEX('Rules'!$F$7:$F$26,MATCH(SUBSTITUTE(SUBSTITUTE(SUBSTITUTE(SUBSTITUTE("type:"&amp;B292,"%","%25"),"~","%7E"),"*","%2A"),"?","%3F"),'Rules'!$G$7:$G$26,0))&lt;&gt;"",INDEX('Rules'!$F$7:$F$26,MATCH(SUBSTITUTE(SUBSTITUTE(SUBSTITUTE(SUBSTITUTE("type:"&amp;B292,"%","%25"),"~","%7E"),"*","%2A"),"?","%3F"),'Rules'!$G$7:$G$26,0)),IF(AND(C292&lt;&gt;"",C292&lt;&gt;INDEX('Rules'!$B$7:$B$26,MATCH(SUBSTITUTE(SUBSTITUTE(SUBSTITUTE(SUBSTITUTE("type:"&amp;B292,"%","%25"),"~","%7E"),"*","%2A"),"?","%3F"),'Rules'!$G$7:$G$26,0))),"Unit mismatch",IF(IF(NOT(ISNUMBER(D292)),TRUE,OR(D292&lt;0,D292&gt;999999999,ROUND(D292,3)&lt;&gt;D292)),"Invalid current reading",IF(AND(E292&lt;&gt;"",IF(NOT(ISNUMBER(E292)),TRUE,OR(E292&lt;0,E292&gt;999999999,ROUND(E292,3)&lt;&gt;E292))),"Invalid previous reading",IF(IF(NOT(ISNUMBER(F292)),TRUE,OR(F292&lt;0,F292&gt;999999999,ROUND(F292,3)&lt;&gt;F292)),"Invalid last service",IF(AND(E292&lt;&gt;"",D292&lt;E292),"Decreased reading",IF(F292&gt;D292,"Last service above current","")))))))))))))</x:f>
      </x:c>
      <x:c r="L292" s="6" t="str">
        <x:f>IF(AND(NOT(COUNTA(A292:F292)=0),K292=""),INDEX('Rules'!$C$7:$C$26,MATCH(SUBSTITUTE(SUBSTITUTE(SUBSTITUTE(SUBSTITUTE("type:"&amp;B292,"%","%25"),"~","%7E"),"*","%2A"),"?","%3F"),'Rules'!$G$7:$G$26,0)),"")</x:f>
      </x:c>
      <x:c r="M292" s="6" t="str">
        <x:f>IF(AND(NOT(COUNTA(A292:F292)=0),K292=""),INDEX('Rules'!$D$7:$D$26,MATCH(SUBSTITUTE(SUBSTITUTE(SUBSTITUTE(SUBSTITUTE("type:"&amp;B292,"%","%25"),"~","%7E"),"*","%2A"),"?","%3F"),'Rules'!$G$7:$G$26,0)),"")</x:f>
      </x:c>
      <x:c r="N292" s="5" t="str">
        <x:f>IF(COUNTA(A292:F292)=0,"",SUBSTITUTE(SUBSTITUTE(SUBSTITUTE(SUBSTITUTE("id:"&amp;A292,"%","%25"),"~","%7E"),"*","%2A"),"?","%3F"))</x:f>
      </x:c>
    </x:row>
    <x:row r="293" ht="22" customHeight="1">
      <x:c r="A293" s="3"/>
      <x:c r="B293" s="3"/>
      <x:c r="C293" s="3"/>
      <x:c r="D293" s="4"/>
      <x:c r="E293" s="4"/>
      <x:c r="F293" s="4"/>
      <x:c r="G293" s="5" t="str">
        <x:f>IF(COUNTA(A293:F293)=0,"",IF(K293&lt;&gt;"","Review",IF(I293&lt;0,"Overdue",IF(I293=0,"Due now",IF(I293&lt;=M293,"Due soon","Not due")))))</x:f>
      </x:c>
      <x:c r="H293" s="5" t="str">
        <x:f>IF(OR(COUNTA(A293:F293)=0,COUNTIFS('Rules'!$G$7:$G$26,"="&amp;(SUBSTITUTE(SUBSTITUTE(SUBSTITUTE(SUBSTITUTE("type:"&amp;B293,"%","%25"),"~","%7E"),"*","%2A"),"?","%3F")))&lt;&gt;1),"",IF(OR(INDEX('Rules'!$B$7:$B$26,MATCH(SUBSTITUTE(SUBSTITUTE(SUBSTITUTE(SUBSTITUTE("type:"&amp;B293,"%","%25"),"~","%7E"),"*","%2A"),"?","%3F"),'Rules'!$G$7:$G$26,0))="hours",INDEX('Rules'!$B$7:$B$26,MATCH(SUBSTITUTE(SUBSTITUTE(SUBSTITUTE(SUBSTITUTE("type:"&amp;B293,"%","%25"),"~","%7E"),"*","%2A"),"?","%3F"),'Rules'!$G$7:$G$26,0))="km"),INDEX('Rules'!$B$7:$B$26,MATCH(SUBSTITUTE(SUBSTITUTE(SUBSTITUTE(SUBSTITUTE("type:"&amp;B293,"%","%25"),"~","%7E"),"*","%2A"),"?","%3F"),'Rules'!$G$7:$G$26,0)),""))</x:f>
      </x:c>
      <x:c r="I293" s="6" t="str">
        <x:f>IF(AND(NOT(COUNTA(A293:F293)=0),K293=""),ROUND(J293-D293,3),"")</x:f>
      </x:c>
      <x:c r="J293" s="6" t="str">
        <x:f>IF(AND(NOT(COUNTA(A293:F293)=0),K293=""),ROUND(F293+L293,3),"")</x:f>
      </x:c>
      <x:c r="K293" s="5" t="str">
        <x:f>IF(COUNTA(A293:F293)=0,"",IF(A293="","Missing equipment ID",IF(COUNTIFS($N$8:$N$2007,"="&amp;N293)&gt;1,"Duplicate equipment ID",IF(B293="","Missing type",IF(COUNTIFS('Rules'!$G$7:$G$26,"="&amp;(SUBSTITUTE(SUBSTITUTE(SUBSTITUTE(SUBSTITUTE("type:"&amp;B293,"%","%25"),"~","%7E"),"*","%2A"),"?","%3F")))=0,"Unknown type",IF(COUNTIFS('Rules'!$G$7:$G$26,"="&amp;(SUBSTITUTE(SUBSTITUTE(SUBSTITUTE(SUBSTITUTE("type:"&amp;B293,"%","%25"),"~","%7E"),"*","%2A"),"?","%3F")))&gt;1,"Duplicate type",IF(INDEX('Rules'!$F$7:$F$26,MATCH(SUBSTITUTE(SUBSTITUTE(SUBSTITUTE(SUBSTITUTE("type:"&amp;B293,"%","%25"),"~","%7E"),"*","%2A"),"?","%3F"),'Rules'!$G$7:$G$26,0))&lt;&gt;"",INDEX('Rules'!$F$7:$F$26,MATCH(SUBSTITUTE(SUBSTITUTE(SUBSTITUTE(SUBSTITUTE("type:"&amp;B293,"%","%25"),"~","%7E"),"*","%2A"),"?","%3F"),'Rules'!$G$7:$G$26,0)),IF(AND(C293&lt;&gt;"",C293&lt;&gt;INDEX('Rules'!$B$7:$B$26,MATCH(SUBSTITUTE(SUBSTITUTE(SUBSTITUTE(SUBSTITUTE("type:"&amp;B293,"%","%25"),"~","%7E"),"*","%2A"),"?","%3F"),'Rules'!$G$7:$G$26,0))),"Unit mismatch",IF(IF(NOT(ISNUMBER(D293)),TRUE,OR(D293&lt;0,D293&gt;999999999,ROUND(D293,3)&lt;&gt;D293)),"Invalid current reading",IF(AND(E293&lt;&gt;"",IF(NOT(ISNUMBER(E293)),TRUE,OR(E293&lt;0,E293&gt;999999999,ROUND(E293,3)&lt;&gt;E293))),"Invalid previous reading",IF(IF(NOT(ISNUMBER(F293)),TRUE,OR(F293&lt;0,F293&gt;999999999,ROUND(F293,3)&lt;&gt;F293)),"Invalid last service",IF(AND(E293&lt;&gt;"",D293&lt;E293),"Decreased reading",IF(F293&gt;D293,"Last service above current","")))))))))))))</x:f>
      </x:c>
      <x:c r="L293" s="6" t="str">
        <x:f>IF(AND(NOT(COUNTA(A293:F293)=0),K293=""),INDEX('Rules'!$C$7:$C$26,MATCH(SUBSTITUTE(SUBSTITUTE(SUBSTITUTE(SUBSTITUTE("type:"&amp;B293,"%","%25"),"~","%7E"),"*","%2A"),"?","%3F"),'Rules'!$G$7:$G$26,0)),"")</x:f>
      </x:c>
      <x:c r="M293" s="6" t="str">
        <x:f>IF(AND(NOT(COUNTA(A293:F293)=0),K293=""),INDEX('Rules'!$D$7:$D$26,MATCH(SUBSTITUTE(SUBSTITUTE(SUBSTITUTE(SUBSTITUTE("type:"&amp;B293,"%","%25"),"~","%7E"),"*","%2A"),"?","%3F"),'Rules'!$G$7:$G$26,0)),"")</x:f>
      </x:c>
      <x:c r="N293" s="5" t="str">
        <x:f>IF(COUNTA(A293:F293)=0,"",SUBSTITUTE(SUBSTITUTE(SUBSTITUTE(SUBSTITUTE("id:"&amp;A293,"%","%25"),"~","%7E"),"*","%2A"),"?","%3F"))</x:f>
      </x:c>
    </x:row>
    <x:row r="294" ht="22" customHeight="1">
      <x:c r="A294" s="3"/>
      <x:c r="B294" s="3"/>
      <x:c r="C294" s="3"/>
      <x:c r="D294" s="4"/>
      <x:c r="E294" s="4"/>
      <x:c r="F294" s="4"/>
      <x:c r="G294" s="5" t="str">
        <x:f>IF(COUNTA(A294:F294)=0,"",IF(K294&lt;&gt;"","Review",IF(I294&lt;0,"Overdue",IF(I294=0,"Due now",IF(I294&lt;=M294,"Due soon","Not due")))))</x:f>
      </x:c>
      <x:c r="H294" s="5" t="str">
        <x:f>IF(OR(COUNTA(A294:F294)=0,COUNTIFS('Rules'!$G$7:$G$26,"="&amp;(SUBSTITUTE(SUBSTITUTE(SUBSTITUTE(SUBSTITUTE("type:"&amp;B294,"%","%25"),"~","%7E"),"*","%2A"),"?","%3F")))&lt;&gt;1),"",IF(OR(INDEX('Rules'!$B$7:$B$26,MATCH(SUBSTITUTE(SUBSTITUTE(SUBSTITUTE(SUBSTITUTE("type:"&amp;B294,"%","%25"),"~","%7E"),"*","%2A"),"?","%3F"),'Rules'!$G$7:$G$26,0))="hours",INDEX('Rules'!$B$7:$B$26,MATCH(SUBSTITUTE(SUBSTITUTE(SUBSTITUTE(SUBSTITUTE("type:"&amp;B294,"%","%25"),"~","%7E"),"*","%2A"),"?","%3F"),'Rules'!$G$7:$G$26,0))="km"),INDEX('Rules'!$B$7:$B$26,MATCH(SUBSTITUTE(SUBSTITUTE(SUBSTITUTE(SUBSTITUTE("type:"&amp;B294,"%","%25"),"~","%7E"),"*","%2A"),"?","%3F"),'Rules'!$G$7:$G$26,0)),""))</x:f>
      </x:c>
      <x:c r="I294" s="6" t="str">
        <x:f>IF(AND(NOT(COUNTA(A294:F294)=0),K294=""),ROUND(J294-D294,3),"")</x:f>
      </x:c>
      <x:c r="J294" s="6" t="str">
        <x:f>IF(AND(NOT(COUNTA(A294:F294)=0),K294=""),ROUND(F294+L294,3),"")</x:f>
      </x:c>
      <x:c r="K294" s="5" t="str">
        <x:f>IF(COUNTA(A294:F294)=0,"",IF(A294="","Missing equipment ID",IF(COUNTIFS($N$8:$N$2007,"="&amp;N294)&gt;1,"Duplicate equipment ID",IF(B294="","Missing type",IF(COUNTIFS('Rules'!$G$7:$G$26,"="&amp;(SUBSTITUTE(SUBSTITUTE(SUBSTITUTE(SUBSTITUTE("type:"&amp;B294,"%","%25"),"~","%7E"),"*","%2A"),"?","%3F")))=0,"Unknown type",IF(COUNTIFS('Rules'!$G$7:$G$26,"="&amp;(SUBSTITUTE(SUBSTITUTE(SUBSTITUTE(SUBSTITUTE("type:"&amp;B294,"%","%25"),"~","%7E"),"*","%2A"),"?","%3F")))&gt;1,"Duplicate type",IF(INDEX('Rules'!$F$7:$F$26,MATCH(SUBSTITUTE(SUBSTITUTE(SUBSTITUTE(SUBSTITUTE("type:"&amp;B294,"%","%25"),"~","%7E"),"*","%2A"),"?","%3F"),'Rules'!$G$7:$G$26,0))&lt;&gt;"",INDEX('Rules'!$F$7:$F$26,MATCH(SUBSTITUTE(SUBSTITUTE(SUBSTITUTE(SUBSTITUTE("type:"&amp;B294,"%","%25"),"~","%7E"),"*","%2A"),"?","%3F"),'Rules'!$G$7:$G$26,0)),IF(AND(C294&lt;&gt;"",C294&lt;&gt;INDEX('Rules'!$B$7:$B$26,MATCH(SUBSTITUTE(SUBSTITUTE(SUBSTITUTE(SUBSTITUTE("type:"&amp;B294,"%","%25"),"~","%7E"),"*","%2A"),"?","%3F"),'Rules'!$G$7:$G$26,0))),"Unit mismatch",IF(IF(NOT(ISNUMBER(D294)),TRUE,OR(D294&lt;0,D294&gt;999999999,ROUND(D294,3)&lt;&gt;D294)),"Invalid current reading",IF(AND(E294&lt;&gt;"",IF(NOT(ISNUMBER(E294)),TRUE,OR(E294&lt;0,E294&gt;999999999,ROUND(E294,3)&lt;&gt;E294))),"Invalid previous reading",IF(IF(NOT(ISNUMBER(F294)),TRUE,OR(F294&lt;0,F294&gt;999999999,ROUND(F294,3)&lt;&gt;F294)),"Invalid last service",IF(AND(E294&lt;&gt;"",D294&lt;E294),"Decreased reading",IF(F294&gt;D294,"Last service above current","")))))))))))))</x:f>
      </x:c>
      <x:c r="L294" s="6" t="str">
        <x:f>IF(AND(NOT(COUNTA(A294:F294)=0),K294=""),INDEX('Rules'!$C$7:$C$26,MATCH(SUBSTITUTE(SUBSTITUTE(SUBSTITUTE(SUBSTITUTE("type:"&amp;B294,"%","%25"),"~","%7E"),"*","%2A"),"?","%3F"),'Rules'!$G$7:$G$26,0)),"")</x:f>
      </x:c>
      <x:c r="M294" s="6" t="str">
        <x:f>IF(AND(NOT(COUNTA(A294:F294)=0),K294=""),INDEX('Rules'!$D$7:$D$26,MATCH(SUBSTITUTE(SUBSTITUTE(SUBSTITUTE(SUBSTITUTE("type:"&amp;B294,"%","%25"),"~","%7E"),"*","%2A"),"?","%3F"),'Rules'!$G$7:$G$26,0)),"")</x:f>
      </x:c>
      <x:c r="N294" s="5" t="str">
        <x:f>IF(COUNTA(A294:F294)=0,"",SUBSTITUTE(SUBSTITUTE(SUBSTITUTE(SUBSTITUTE("id:"&amp;A294,"%","%25"),"~","%7E"),"*","%2A"),"?","%3F"))</x:f>
      </x:c>
    </x:row>
    <x:row r="295" ht="22" customHeight="1">
      <x:c r="A295" s="3"/>
      <x:c r="B295" s="3"/>
      <x:c r="C295" s="3"/>
      <x:c r="D295" s="4"/>
      <x:c r="E295" s="4"/>
      <x:c r="F295" s="4"/>
      <x:c r="G295" s="5" t="str">
        <x:f>IF(COUNTA(A295:F295)=0,"",IF(K295&lt;&gt;"","Review",IF(I295&lt;0,"Overdue",IF(I295=0,"Due now",IF(I295&lt;=M295,"Due soon","Not due")))))</x:f>
      </x:c>
      <x:c r="H295" s="5" t="str">
        <x:f>IF(OR(COUNTA(A295:F295)=0,COUNTIFS('Rules'!$G$7:$G$26,"="&amp;(SUBSTITUTE(SUBSTITUTE(SUBSTITUTE(SUBSTITUTE("type:"&amp;B295,"%","%25"),"~","%7E"),"*","%2A"),"?","%3F")))&lt;&gt;1),"",IF(OR(INDEX('Rules'!$B$7:$B$26,MATCH(SUBSTITUTE(SUBSTITUTE(SUBSTITUTE(SUBSTITUTE("type:"&amp;B295,"%","%25"),"~","%7E"),"*","%2A"),"?","%3F"),'Rules'!$G$7:$G$26,0))="hours",INDEX('Rules'!$B$7:$B$26,MATCH(SUBSTITUTE(SUBSTITUTE(SUBSTITUTE(SUBSTITUTE("type:"&amp;B295,"%","%25"),"~","%7E"),"*","%2A"),"?","%3F"),'Rules'!$G$7:$G$26,0))="km"),INDEX('Rules'!$B$7:$B$26,MATCH(SUBSTITUTE(SUBSTITUTE(SUBSTITUTE(SUBSTITUTE("type:"&amp;B295,"%","%25"),"~","%7E"),"*","%2A"),"?","%3F"),'Rules'!$G$7:$G$26,0)),""))</x:f>
      </x:c>
      <x:c r="I295" s="6" t="str">
        <x:f>IF(AND(NOT(COUNTA(A295:F295)=0),K295=""),ROUND(J295-D295,3),"")</x:f>
      </x:c>
      <x:c r="J295" s="6" t="str">
        <x:f>IF(AND(NOT(COUNTA(A295:F295)=0),K295=""),ROUND(F295+L295,3),"")</x:f>
      </x:c>
      <x:c r="K295" s="5" t="str">
        <x:f>IF(COUNTA(A295:F295)=0,"",IF(A295="","Missing equipment ID",IF(COUNTIFS($N$8:$N$2007,"="&amp;N295)&gt;1,"Duplicate equipment ID",IF(B295="","Missing type",IF(COUNTIFS('Rules'!$G$7:$G$26,"="&amp;(SUBSTITUTE(SUBSTITUTE(SUBSTITUTE(SUBSTITUTE("type:"&amp;B295,"%","%25"),"~","%7E"),"*","%2A"),"?","%3F")))=0,"Unknown type",IF(COUNTIFS('Rules'!$G$7:$G$26,"="&amp;(SUBSTITUTE(SUBSTITUTE(SUBSTITUTE(SUBSTITUTE("type:"&amp;B295,"%","%25"),"~","%7E"),"*","%2A"),"?","%3F")))&gt;1,"Duplicate type",IF(INDEX('Rules'!$F$7:$F$26,MATCH(SUBSTITUTE(SUBSTITUTE(SUBSTITUTE(SUBSTITUTE("type:"&amp;B295,"%","%25"),"~","%7E"),"*","%2A"),"?","%3F"),'Rules'!$G$7:$G$26,0))&lt;&gt;"",INDEX('Rules'!$F$7:$F$26,MATCH(SUBSTITUTE(SUBSTITUTE(SUBSTITUTE(SUBSTITUTE("type:"&amp;B295,"%","%25"),"~","%7E"),"*","%2A"),"?","%3F"),'Rules'!$G$7:$G$26,0)),IF(AND(C295&lt;&gt;"",C295&lt;&gt;INDEX('Rules'!$B$7:$B$26,MATCH(SUBSTITUTE(SUBSTITUTE(SUBSTITUTE(SUBSTITUTE("type:"&amp;B295,"%","%25"),"~","%7E"),"*","%2A"),"?","%3F"),'Rules'!$G$7:$G$26,0))),"Unit mismatch",IF(IF(NOT(ISNUMBER(D295)),TRUE,OR(D295&lt;0,D295&gt;999999999,ROUND(D295,3)&lt;&gt;D295)),"Invalid current reading",IF(AND(E295&lt;&gt;"",IF(NOT(ISNUMBER(E295)),TRUE,OR(E295&lt;0,E295&gt;999999999,ROUND(E295,3)&lt;&gt;E295))),"Invalid previous reading",IF(IF(NOT(ISNUMBER(F295)),TRUE,OR(F295&lt;0,F295&gt;999999999,ROUND(F295,3)&lt;&gt;F295)),"Invalid last service",IF(AND(E295&lt;&gt;"",D295&lt;E295),"Decreased reading",IF(F295&gt;D295,"Last service above current","")))))))))))))</x:f>
      </x:c>
      <x:c r="L295" s="6" t="str">
        <x:f>IF(AND(NOT(COUNTA(A295:F295)=0),K295=""),INDEX('Rules'!$C$7:$C$26,MATCH(SUBSTITUTE(SUBSTITUTE(SUBSTITUTE(SUBSTITUTE("type:"&amp;B295,"%","%25"),"~","%7E"),"*","%2A"),"?","%3F"),'Rules'!$G$7:$G$26,0)),"")</x:f>
      </x:c>
      <x:c r="M295" s="6" t="str">
        <x:f>IF(AND(NOT(COUNTA(A295:F295)=0),K295=""),INDEX('Rules'!$D$7:$D$26,MATCH(SUBSTITUTE(SUBSTITUTE(SUBSTITUTE(SUBSTITUTE("type:"&amp;B295,"%","%25"),"~","%7E"),"*","%2A"),"?","%3F"),'Rules'!$G$7:$G$26,0)),"")</x:f>
      </x:c>
      <x:c r="N295" s="5" t="str">
        <x:f>IF(COUNTA(A295:F295)=0,"",SUBSTITUTE(SUBSTITUTE(SUBSTITUTE(SUBSTITUTE("id:"&amp;A295,"%","%25"),"~","%7E"),"*","%2A"),"?","%3F"))</x:f>
      </x:c>
    </x:row>
    <x:row r="296" ht="22" customHeight="1">
      <x:c r="A296" s="3"/>
      <x:c r="B296" s="3"/>
      <x:c r="C296" s="3"/>
      <x:c r="D296" s="4"/>
      <x:c r="E296" s="4"/>
      <x:c r="F296" s="4"/>
      <x:c r="G296" s="5" t="str">
        <x:f>IF(COUNTA(A296:F296)=0,"",IF(K296&lt;&gt;"","Review",IF(I296&lt;0,"Overdue",IF(I296=0,"Due now",IF(I296&lt;=M296,"Due soon","Not due")))))</x:f>
      </x:c>
      <x:c r="H296" s="5" t="str">
        <x:f>IF(OR(COUNTA(A296:F296)=0,COUNTIFS('Rules'!$G$7:$G$26,"="&amp;(SUBSTITUTE(SUBSTITUTE(SUBSTITUTE(SUBSTITUTE("type:"&amp;B296,"%","%25"),"~","%7E"),"*","%2A"),"?","%3F")))&lt;&gt;1),"",IF(OR(INDEX('Rules'!$B$7:$B$26,MATCH(SUBSTITUTE(SUBSTITUTE(SUBSTITUTE(SUBSTITUTE("type:"&amp;B296,"%","%25"),"~","%7E"),"*","%2A"),"?","%3F"),'Rules'!$G$7:$G$26,0))="hours",INDEX('Rules'!$B$7:$B$26,MATCH(SUBSTITUTE(SUBSTITUTE(SUBSTITUTE(SUBSTITUTE("type:"&amp;B296,"%","%25"),"~","%7E"),"*","%2A"),"?","%3F"),'Rules'!$G$7:$G$26,0))="km"),INDEX('Rules'!$B$7:$B$26,MATCH(SUBSTITUTE(SUBSTITUTE(SUBSTITUTE(SUBSTITUTE("type:"&amp;B296,"%","%25"),"~","%7E"),"*","%2A"),"?","%3F"),'Rules'!$G$7:$G$26,0)),""))</x:f>
      </x:c>
      <x:c r="I296" s="6" t="str">
        <x:f>IF(AND(NOT(COUNTA(A296:F296)=0),K296=""),ROUND(J296-D296,3),"")</x:f>
      </x:c>
      <x:c r="J296" s="6" t="str">
        <x:f>IF(AND(NOT(COUNTA(A296:F296)=0),K296=""),ROUND(F296+L296,3),"")</x:f>
      </x:c>
      <x:c r="K296" s="5" t="str">
        <x:f>IF(COUNTA(A296:F296)=0,"",IF(A296="","Missing equipment ID",IF(COUNTIFS($N$8:$N$2007,"="&amp;N296)&gt;1,"Duplicate equipment ID",IF(B296="","Missing type",IF(COUNTIFS('Rules'!$G$7:$G$26,"="&amp;(SUBSTITUTE(SUBSTITUTE(SUBSTITUTE(SUBSTITUTE("type:"&amp;B296,"%","%25"),"~","%7E"),"*","%2A"),"?","%3F")))=0,"Unknown type",IF(COUNTIFS('Rules'!$G$7:$G$26,"="&amp;(SUBSTITUTE(SUBSTITUTE(SUBSTITUTE(SUBSTITUTE("type:"&amp;B296,"%","%25"),"~","%7E"),"*","%2A"),"?","%3F")))&gt;1,"Duplicate type",IF(INDEX('Rules'!$F$7:$F$26,MATCH(SUBSTITUTE(SUBSTITUTE(SUBSTITUTE(SUBSTITUTE("type:"&amp;B296,"%","%25"),"~","%7E"),"*","%2A"),"?","%3F"),'Rules'!$G$7:$G$26,0))&lt;&gt;"",INDEX('Rules'!$F$7:$F$26,MATCH(SUBSTITUTE(SUBSTITUTE(SUBSTITUTE(SUBSTITUTE("type:"&amp;B296,"%","%25"),"~","%7E"),"*","%2A"),"?","%3F"),'Rules'!$G$7:$G$26,0)),IF(AND(C296&lt;&gt;"",C296&lt;&gt;INDEX('Rules'!$B$7:$B$26,MATCH(SUBSTITUTE(SUBSTITUTE(SUBSTITUTE(SUBSTITUTE("type:"&amp;B296,"%","%25"),"~","%7E"),"*","%2A"),"?","%3F"),'Rules'!$G$7:$G$26,0))),"Unit mismatch",IF(IF(NOT(ISNUMBER(D296)),TRUE,OR(D296&lt;0,D296&gt;999999999,ROUND(D296,3)&lt;&gt;D296)),"Invalid current reading",IF(AND(E296&lt;&gt;"",IF(NOT(ISNUMBER(E296)),TRUE,OR(E296&lt;0,E296&gt;999999999,ROUND(E296,3)&lt;&gt;E296))),"Invalid previous reading",IF(IF(NOT(ISNUMBER(F296)),TRUE,OR(F296&lt;0,F296&gt;999999999,ROUND(F296,3)&lt;&gt;F296)),"Invalid last service",IF(AND(E296&lt;&gt;"",D296&lt;E296),"Decreased reading",IF(F296&gt;D296,"Last service above current","")))))))))))))</x:f>
      </x:c>
      <x:c r="L296" s="6" t="str">
        <x:f>IF(AND(NOT(COUNTA(A296:F296)=0),K296=""),INDEX('Rules'!$C$7:$C$26,MATCH(SUBSTITUTE(SUBSTITUTE(SUBSTITUTE(SUBSTITUTE("type:"&amp;B296,"%","%25"),"~","%7E"),"*","%2A"),"?","%3F"),'Rules'!$G$7:$G$26,0)),"")</x:f>
      </x:c>
      <x:c r="M296" s="6" t="str">
        <x:f>IF(AND(NOT(COUNTA(A296:F296)=0),K296=""),INDEX('Rules'!$D$7:$D$26,MATCH(SUBSTITUTE(SUBSTITUTE(SUBSTITUTE(SUBSTITUTE("type:"&amp;B296,"%","%25"),"~","%7E"),"*","%2A"),"?","%3F"),'Rules'!$G$7:$G$26,0)),"")</x:f>
      </x:c>
      <x:c r="N296" s="5" t="str">
        <x:f>IF(COUNTA(A296:F296)=0,"",SUBSTITUTE(SUBSTITUTE(SUBSTITUTE(SUBSTITUTE("id:"&amp;A296,"%","%25"),"~","%7E"),"*","%2A"),"?","%3F"))</x:f>
      </x:c>
    </x:row>
    <x:row r="297" ht="22" customHeight="1">
      <x:c r="A297" s="3"/>
      <x:c r="B297" s="3"/>
      <x:c r="C297" s="3"/>
      <x:c r="D297" s="4"/>
      <x:c r="E297" s="4"/>
      <x:c r="F297" s="4"/>
      <x:c r="G297" s="5" t="str">
        <x:f>IF(COUNTA(A297:F297)=0,"",IF(K297&lt;&gt;"","Review",IF(I297&lt;0,"Overdue",IF(I297=0,"Due now",IF(I297&lt;=M297,"Due soon","Not due")))))</x:f>
      </x:c>
      <x:c r="H297" s="5" t="str">
        <x:f>IF(OR(COUNTA(A297:F297)=0,COUNTIFS('Rules'!$G$7:$G$26,"="&amp;(SUBSTITUTE(SUBSTITUTE(SUBSTITUTE(SUBSTITUTE("type:"&amp;B297,"%","%25"),"~","%7E"),"*","%2A"),"?","%3F")))&lt;&gt;1),"",IF(OR(INDEX('Rules'!$B$7:$B$26,MATCH(SUBSTITUTE(SUBSTITUTE(SUBSTITUTE(SUBSTITUTE("type:"&amp;B297,"%","%25"),"~","%7E"),"*","%2A"),"?","%3F"),'Rules'!$G$7:$G$26,0))="hours",INDEX('Rules'!$B$7:$B$26,MATCH(SUBSTITUTE(SUBSTITUTE(SUBSTITUTE(SUBSTITUTE("type:"&amp;B297,"%","%25"),"~","%7E"),"*","%2A"),"?","%3F"),'Rules'!$G$7:$G$26,0))="km"),INDEX('Rules'!$B$7:$B$26,MATCH(SUBSTITUTE(SUBSTITUTE(SUBSTITUTE(SUBSTITUTE("type:"&amp;B297,"%","%25"),"~","%7E"),"*","%2A"),"?","%3F"),'Rules'!$G$7:$G$26,0)),""))</x:f>
      </x:c>
      <x:c r="I297" s="6" t="str">
        <x:f>IF(AND(NOT(COUNTA(A297:F297)=0),K297=""),ROUND(J297-D297,3),"")</x:f>
      </x:c>
      <x:c r="J297" s="6" t="str">
        <x:f>IF(AND(NOT(COUNTA(A297:F297)=0),K297=""),ROUND(F297+L297,3),"")</x:f>
      </x:c>
      <x:c r="K297" s="5" t="str">
        <x:f>IF(COUNTA(A297:F297)=0,"",IF(A297="","Missing equipment ID",IF(COUNTIFS($N$8:$N$2007,"="&amp;N297)&gt;1,"Duplicate equipment ID",IF(B297="","Missing type",IF(COUNTIFS('Rules'!$G$7:$G$26,"="&amp;(SUBSTITUTE(SUBSTITUTE(SUBSTITUTE(SUBSTITUTE("type:"&amp;B297,"%","%25"),"~","%7E"),"*","%2A"),"?","%3F")))=0,"Unknown type",IF(COUNTIFS('Rules'!$G$7:$G$26,"="&amp;(SUBSTITUTE(SUBSTITUTE(SUBSTITUTE(SUBSTITUTE("type:"&amp;B297,"%","%25"),"~","%7E"),"*","%2A"),"?","%3F")))&gt;1,"Duplicate type",IF(INDEX('Rules'!$F$7:$F$26,MATCH(SUBSTITUTE(SUBSTITUTE(SUBSTITUTE(SUBSTITUTE("type:"&amp;B297,"%","%25"),"~","%7E"),"*","%2A"),"?","%3F"),'Rules'!$G$7:$G$26,0))&lt;&gt;"",INDEX('Rules'!$F$7:$F$26,MATCH(SUBSTITUTE(SUBSTITUTE(SUBSTITUTE(SUBSTITUTE("type:"&amp;B297,"%","%25"),"~","%7E"),"*","%2A"),"?","%3F"),'Rules'!$G$7:$G$26,0)),IF(AND(C297&lt;&gt;"",C297&lt;&gt;INDEX('Rules'!$B$7:$B$26,MATCH(SUBSTITUTE(SUBSTITUTE(SUBSTITUTE(SUBSTITUTE("type:"&amp;B297,"%","%25"),"~","%7E"),"*","%2A"),"?","%3F"),'Rules'!$G$7:$G$26,0))),"Unit mismatch",IF(IF(NOT(ISNUMBER(D297)),TRUE,OR(D297&lt;0,D297&gt;999999999,ROUND(D297,3)&lt;&gt;D297)),"Invalid current reading",IF(AND(E297&lt;&gt;"",IF(NOT(ISNUMBER(E297)),TRUE,OR(E297&lt;0,E297&gt;999999999,ROUND(E297,3)&lt;&gt;E297))),"Invalid previous reading",IF(IF(NOT(ISNUMBER(F297)),TRUE,OR(F297&lt;0,F297&gt;999999999,ROUND(F297,3)&lt;&gt;F297)),"Invalid last service",IF(AND(E297&lt;&gt;"",D297&lt;E297),"Decreased reading",IF(F297&gt;D297,"Last service above current","")))))))))))))</x:f>
      </x:c>
      <x:c r="L297" s="6" t="str">
        <x:f>IF(AND(NOT(COUNTA(A297:F297)=0),K297=""),INDEX('Rules'!$C$7:$C$26,MATCH(SUBSTITUTE(SUBSTITUTE(SUBSTITUTE(SUBSTITUTE("type:"&amp;B297,"%","%25"),"~","%7E"),"*","%2A"),"?","%3F"),'Rules'!$G$7:$G$26,0)),"")</x:f>
      </x:c>
      <x:c r="M297" s="6" t="str">
        <x:f>IF(AND(NOT(COUNTA(A297:F297)=0),K297=""),INDEX('Rules'!$D$7:$D$26,MATCH(SUBSTITUTE(SUBSTITUTE(SUBSTITUTE(SUBSTITUTE("type:"&amp;B297,"%","%25"),"~","%7E"),"*","%2A"),"?","%3F"),'Rules'!$G$7:$G$26,0)),"")</x:f>
      </x:c>
      <x:c r="N297" s="5" t="str">
        <x:f>IF(COUNTA(A297:F297)=0,"",SUBSTITUTE(SUBSTITUTE(SUBSTITUTE(SUBSTITUTE("id:"&amp;A297,"%","%25"),"~","%7E"),"*","%2A"),"?","%3F"))</x:f>
      </x:c>
    </x:row>
    <x:row r="298" ht="22" customHeight="1">
      <x:c r="A298" s="3"/>
      <x:c r="B298" s="3"/>
      <x:c r="C298" s="3"/>
      <x:c r="D298" s="4"/>
      <x:c r="E298" s="4"/>
      <x:c r="F298" s="4"/>
      <x:c r="G298" s="5" t="str">
        <x:f>IF(COUNTA(A298:F298)=0,"",IF(K298&lt;&gt;"","Review",IF(I298&lt;0,"Overdue",IF(I298=0,"Due now",IF(I298&lt;=M298,"Due soon","Not due")))))</x:f>
      </x:c>
      <x:c r="H298" s="5" t="str">
        <x:f>IF(OR(COUNTA(A298:F298)=0,COUNTIFS('Rules'!$G$7:$G$26,"="&amp;(SUBSTITUTE(SUBSTITUTE(SUBSTITUTE(SUBSTITUTE("type:"&amp;B298,"%","%25"),"~","%7E"),"*","%2A"),"?","%3F")))&lt;&gt;1),"",IF(OR(INDEX('Rules'!$B$7:$B$26,MATCH(SUBSTITUTE(SUBSTITUTE(SUBSTITUTE(SUBSTITUTE("type:"&amp;B298,"%","%25"),"~","%7E"),"*","%2A"),"?","%3F"),'Rules'!$G$7:$G$26,0))="hours",INDEX('Rules'!$B$7:$B$26,MATCH(SUBSTITUTE(SUBSTITUTE(SUBSTITUTE(SUBSTITUTE("type:"&amp;B298,"%","%25"),"~","%7E"),"*","%2A"),"?","%3F"),'Rules'!$G$7:$G$26,0))="km"),INDEX('Rules'!$B$7:$B$26,MATCH(SUBSTITUTE(SUBSTITUTE(SUBSTITUTE(SUBSTITUTE("type:"&amp;B298,"%","%25"),"~","%7E"),"*","%2A"),"?","%3F"),'Rules'!$G$7:$G$26,0)),""))</x:f>
      </x:c>
      <x:c r="I298" s="6" t="str">
        <x:f>IF(AND(NOT(COUNTA(A298:F298)=0),K298=""),ROUND(J298-D298,3),"")</x:f>
      </x:c>
      <x:c r="J298" s="6" t="str">
        <x:f>IF(AND(NOT(COUNTA(A298:F298)=0),K298=""),ROUND(F298+L298,3),"")</x:f>
      </x:c>
      <x:c r="K298" s="5" t="str">
        <x:f>IF(COUNTA(A298:F298)=0,"",IF(A298="","Missing equipment ID",IF(COUNTIFS($N$8:$N$2007,"="&amp;N298)&gt;1,"Duplicate equipment ID",IF(B298="","Missing type",IF(COUNTIFS('Rules'!$G$7:$G$26,"="&amp;(SUBSTITUTE(SUBSTITUTE(SUBSTITUTE(SUBSTITUTE("type:"&amp;B298,"%","%25"),"~","%7E"),"*","%2A"),"?","%3F")))=0,"Unknown type",IF(COUNTIFS('Rules'!$G$7:$G$26,"="&amp;(SUBSTITUTE(SUBSTITUTE(SUBSTITUTE(SUBSTITUTE("type:"&amp;B298,"%","%25"),"~","%7E"),"*","%2A"),"?","%3F")))&gt;1,"Duplicate type",IF(INDEX('Rules'!$F$7:$F$26,MATCH(SUBSTITUTE(SUBSTITUTE(SUBSTITUTE(SUBSTITUTE("type:"&amp;B298,"%","%25"),"~","%7E"),"*","%2A"),"?","%3F"),'Rules'!$G$7:$G$26,0))&lt;&gt;"",INDEX('Rules'!$F$7:$F$26,MATCH(SUBSTITUTE(SUBSTITUTE(SUBSTITUTE(SUBSTITUTE("type:"&amp;B298,"%","%25"),"~","%7E"),"*","%2A"),"?","%3F"),'Rules'!$G$7:$G$26,0)),IF(AND(C298&lt;&gt;"",C298&lt;&gt;INDEX('Rules'!$B$7:$B$26,MATCH(SUBSTITUTE(SUBSTITUTE(SUBSTITUTE(SUBSTITUTE("type:"&amp;B298,"%","%25"),"~","%7E"),"*","%2A"),"?","%3F"),'Rules'!$G$7:$G$26,0))),"Unit mismatch",IF(IF(NOT(ISNUMBER(D298)),TRUE,OR(D298&lt;0,D298&gt;999999999,ROUND(D298,3)&lt;&gt;D298)),"Invalid current reading",IF(AND(E298&lt;&gt;"",IF(NOT(ISNUMBER(E298)),TRUE,OR(E298&lt;0,E298&gt;999999999,ROUND(E298,3)&lt;&gt;E298))),"Invalid previous reading",IF(IF(NOT(ISNUMBER(F298)),TRUE,OR(F298&lt;0,F298&gt;999999999,ROUND(F298,3)&lt;&gt;F298)),"Invalid last service",IF(AND(E298&lt;&gt;"",D298&lt;E298),"Decreased reading",IF(F298&gt;D298,"Last service above current","")))))))))))))</x:f>
      </x:c>
      <x:c r="L298" s="6" t="str">
        <x:f>IF(AND(NOT(COUNTA(A298:F298)=0),K298=""),INDEX('Rules'!$C$7:$C$26,MATCH(SUBSTITUTE(SUBSTITUTE(SUBSTITUTE(SUBSTITUTE("type:"&amp;B298,"%","%25"),"~","%7E"),"*","%2A"),"?","%3F"),'Rules'!$G$7:$G$26,0)),"")</x:f>
      </x:c>
      <x:c r="M298" s="6" t="str">
        <x:f>IF(AND(NOT(COUNTA(A298:F298)=0),K298=""),INDEX('Rules'!$D$7:$D$26,MATCH(SUBSTITUTE(SUBSTITUTE(SUBSTITUTE(SUBSTITUTE("type:"&amp;B298,"%","%25"),"~","%7E"),"*","%2A"),"?","%3F"),'Rules'!$G$7:$G$26,0)),"")</x:f>
      </x:c>
      <x:c r="N298" s="5" t="str">
        <x:f>IF(COUNTA(A298:F298)=0,"",SUBSTITUTE(SUBSTITUTE(SUBSTITUTE(SUBSTITUTE("id:"&amp;A298,"%","%25"),"~","%7E"),"*","%2A"),"?","%3F"))</x:f>
      </x:c>
    </x:row>
    <x:row r="299" ht="22" customHeight="1">
      <x:c r="A299" s="3"/>
      <x:c r="B299" s="3"/>
      <x:c r="C299" s="3"/>
      <x:c r="D299" s="4"/>
      <x:c r="E299" s="4"/>
      <x:c r="F299" s="4"/>
      <x:c r="G299" s="5" t="str">
        <x:f>IF(COUNTA(A299:F299)=0,"",IF(K299&lt;&gt;"","Review",IF(I299&lt;0,"Overdue",IF(I299=0,"Due now",IF(I299&lt;=M299,"Due soon","Not due")))))</x:f>
      </x:c>
      <x:c r="H299" s="5" t="str">
        <x:f>IF(OR(COUNTA(A299:F299)=0,COUNTIFS('Rules'!$G$7:$G$26,"="&amp;(SUBSTITUTE(SUBSTITUTE(SUBSTITUTE(SUBSTITUTE("type:"&amp;B299,"%","%25"),"~","%7E"),"*","%2A"),"?","%3F")))&lt;&gt;1),"",IF(OR(INDEX('Rules'!$B$7:$B$26,MATCH(SUBSTITUTE(SUBSTITUTE(SUBSTITUTE(SUBSTITUTE("type:"&amp;B299,"%","%25"),"~","%7E"),"*","%2A"),"?","%3F"),'Rules'!$G$7:$G$26,0))="hours",INDEX('Rules'!$B$7:$B$26,MATCH(SUBSTITUTE(SUBSTITUTE(SUBSTITUTE(SUBSTITUTE("type:"&amp;B299,"%","%25"),"~","%7E"),"*","%2A"),"?","%3F"),'Rules'!$G$7:$G$26,0))="km"),INDEX('Rules'!$B$7:$B$26,MATCH(SUBSTITUTE(SUBSTITUTE(SUBSTITUTE(SUBSTITUTE("type:"&amp;B299,"%","%25"),"~","%7E"),"*","%2A"),"?","%3F"),'Rules'!$G$7:$G$26,0)),""))</x:f>
      </x:c>
      <x:c r="I299" s="6" t="str">
        <x:f>IF(AND(NOT(COUNTA(A299:F299)=0),K299=""),ROUND(J299-D299,3),"")</x:f>
      </x:c>
      <x:c r="J299" s="6" t="str">
        <x:f>IF(AND(NOT(COUNTA(A299:F299)=0),K299=""),ROUND(F299+L299,3),"")</x:f>
      </x:c>
      <x:c r="K299" s="5" t="str">
        <x:f>IF(COUNTA(A299:F299)=0,"",IF(A299="","Missing equipment ID",IF(COUNTIFS($N$8:$N$2007,"="&amp;N299)&gt;1,"Duplicate equipment ID",IF(B299="","Missing type",IF(COUNTIFS('Rules'!$G$7:$G$26,"="&amp;(SUBSTITUTE(SUBSTITUTE(SUBSTITUTE(SUBSTITUTE("type:"&amp;B299,"%","%25"),"~","%7E"),"*","%2A"),"?","%3F")))=0,"Unknown type",IF(COUNTIFS('Rules'!$G$7:$G$26,"="&amp;(SUBSTITUTE(SUBSTITUTE(SUBSTITUTE(SUBSTITUTE("type:"&amp;B299,"%","%25"),"~","%7E"),"*","%2A"),"?","%3F")))&gt;1,"Duplicate type",IF(INDEX('Rules'!$F$7:$F$26,MATCH(SUBSTITUTE(SUBSTITUTE(SUBSTITUTE(SUBSTITUTE("type:"&amp;B299,"%","%25"),"~","%7E"),"*","%2A"),"?","%3F"),'Rules'!$G$7:$G$26,0))&lt;&gt;"",INDEX('Rules'!$F$7:$F$26,MATCH(SUBSTITUTE(SUBSTITUTE(SUBSTITUTE(SUBSTITUTE("type:"&amp;B299,"%","%25"),"~","%7E"),"*","%2A"),"?","%3F"),'Rules'!$G$7:$G$26,0)),IF(AND(C299&lt;&gt;"",C299&lt;&gt;INDEX('Rules'!$B$7:$B$26,MATCH(SUBSTITUTE(SUBSTITUTE(SUBSTITUTE(SUBSTITUTE("type:"&amp;B299,"%","%25"),"~","%7E"),"*","%2A"),"?","%3F"),'Rules'!$G$7:$G$26,0))),"Unit mismatch",IF(IF(NOT(ISNUMBER(D299)),TRUE,OR(D299&lt;0,D299&gt;999999999,ROUND(D299,3)&lt;&gt;D299)),"Invalid current reading",IF(AND(E299&lt;&gt;"",IF(NOT(ISNUMBER(E299)),TRUE,OR(E299&lt;0,E299&gt;999999999,ROUND(E299,3)&lt;&gt;E299))),"Invalid previous reading",IF(IF(NOT(ISNUMBER(F299)),TRUE,OR(F299&lt;0,F299&gt;999999999,ROUND(F299,3)&lt;&gt;F299)),"Invalid last service",IF(AND(E299&lt;&gt;"",D299&lt;E299),"Decreased reading",IF(F299&gt;D299,"Last service above current","")))))))))))))</x:f>
      </x:c>
      <x:c r="L299" s="6" t="str">
        <x:f>IF(AND(NOT(COUNTA(A299:F299)=0),K299=""),INDEX('Rules'!$C$7:$C$26,MATCH(SUBSTITUTE(SUBSTITUTE(SUBSTITUTE(SUBSTITUTE("type:"&amp;B299,"%","%25"),"~","%7E"),"*","%2A"),"?","%3F"),'Rules'!$G$7:$G$26,0)),"")</x:f>
      </x:c>
      <x:c r="M299" s="6" t="str">
        <x:f>IF(AND(NOT(COUNTA(A299:F299)=0),K299=""),INDEX('Rules'!$D$7:$D$26,MATCH(SUBSTITUTE(SUBSTITUTE(SUBSTITUTE(SUBSTITUTE("type:"&amp;B299,"%","%25"),"~","%7E"),"*","%2A"),"?","%3F"),'Rules'!$G$7:$G$26,0)),"")</x:f>
      </x:c>
      <x:c r="N299" s="5" t="str">
        <x:f>IF(COUNTA(A299:F299)=0,"",SUBSTITUTE(SUBSTITUTE(SUBSTITUTE(SUBSTITUTE("id:"&amp;A299,"%","%25"),"~","%7E"),"*","%2A"),"?","%3F"))</x:f>
      </x:c>
    </x:row>
    <x:row r="300" ht="22" customHeight="1">
      <x:c r="A300" s="3"/>
      <x:c r="B300" s="3"/>
      <x:c r="C300" s="3"/>
      <x:c r="D300" s="4"/>
      <x:c r="E300" s="4"/>
      <x:c r="F300" s="4"/>
      <x:c r="G300" s="5" t="str">
        <x:f>IF(COUNTA(A300:F300)=0,"",IF(K300&lt;&gt;"","Review",IF(I300&lt;0,"Overdue",IF(I300=0,"Due now",IF(I300&lt;=M300,"Due soon","Not due")))))</x:f>
      </x:c>
      <x:c r="H300" s="5" t="str">
        <x:f>IF(OR(COUNTA(A300:F300)=0,COUNTIFS('Rules'!$G$7:$G$26,"="&amp;(SUBSTITUTE(SUBSTITUTE(SUBSTITUTE(SUBSTITUTE("type:"&amp;B300,"%","%25"),"~","%7E"),"*","%2A"),"?","%3F")))&lt;&gt;1),"",IF(OR(INDEX('Rules'!$B$7:$B$26,MATCH(SUBSTITUTE(SUBSTITUTE(SUBSTITUTE(SUBSTITUTE("type:"&amp;B300,"%","%25"),"~","%7E"),"*","%2A"),"?","%3F"),'Rules'!$G$7:$G$26,0))="hours",INDEX('Rules'!$B$7:$B$26,MATCH(SUBSTITUTE(SUBSTITUTE(SUBSTITUTE(SUBSTITUTE("type:"&amp;B300,"%","%25"),"~","%7E"),"*","%2A"),"?","%3F"),'Rules'!$G$7:$G$26,0))="km"),INDEX('Rules'!$B$7:$B$26,MATCH(SUBSTITUTE(SUBSTITUTE(SUBSTITUTE(SUBSTITUTE("type:"&amp;B300,"%","%25"),"~","%7E"),"*","%2A"),"?","%3F"),'Rules'!$G$7:$G$26,0)),""))</x:f>
      </x:c>
      <x:c r="I300" s="6" t="str">
        <x:f>IF(AND(NOT(COUNTA(A300:F300)=0),K300=""),ROUND(J300-D300,3),"")</x:f>
      </x:c>
      <x:c r="J300" s="6" t="str">
        <x:f>IF(AND(NOT(COUNTA(A300:F300)=0),K300=""),ROUND(F300+L300,3),"")</x:f>
      </x:c>
      <x:c r="K300" s="5" t="str">
        <x:f>IF(COUNTA(A300:F300)=0,"",IF(A300="","Missing equipment ID",IF(COUNTIFS($N$8:$N$2007,"="&amp;N300)&gt;1,"Duplicate equipment ID",IF(B300="","Missing type",IF(COUNTIFS('Rules'!$G$7:$G$26,"="&amp;(SUBSTITUTE(SUBSTITUTE(SUBSTITUTE(SUBSTITUTE("type:"&amp;B300,"%","%25"),"~","%7E"),"*","%2A"),"?","%3F")))=0,"Unknown type",IF(COUNTIFS('Rules'!$G$7:$G$26,"="&amp;(SUBSTITUTE(SUBSTITUTE(SUBSTITUTE(SUBSTITUTE("type:"&amp;B300,"%","%25"),"~","%7E"),"*","%2A"),"?","%3F")))&gt;1,"Duplicate type",IF(INDEX('Rules'!$F$7:$F$26,MATCH(SUBSTITUTE(SUBSTITUTE(SUBSTITUTE(SUBSTITUTE("type:"&amp;B300,"%","%25"),"~","%7E"),"*","%2A"),"?","%3F"),'Rules'!$G$7:$G$26,0))&lt;&gt;"",INDEX('Rules'!$F$7:$F$26,MATCH(SUBSTITUTE(SUBSTITUTE(SUBSTITUTE(SUBSTITUTE("type:"&amp;B300,"%","%25"),"~","%7E"),"*","%2A"),"?","%3F"),'Rules'!$G$7:$G$26,0)),IF(AND(C300&lt;&gt;"",C300&lt;&gt;INDEX('Rules'!$B$7:$B$26,MATCH(SUBSTITUTE(SUBSTITUTE(SUBSTITUTE(SUBSTITUTE("type:"&amp;B300,"%","%25"),"~","%7E"),"*","%2A"),"?","%3F"),'Rules'!$G$7:$G$26,0))),"Unit mismatch",IF(IF(NOT(ISNUMBER(D300)),TRUE,OR(D300&lt;0,D300&gt;999999999,ROUND(D300,3)&lt;&gt;D300)),"Invalid current reading",IF(AND(E300&lt;&gt;"",IF(NOT(ISNUMBER(E300)),TRUE,OR(E300&lt;0,E300&gt;999999999,ROUND(E300,3)&lt;&gt;E300))),"Invalid previous reading",IF(IF(NOT(ISNUMBER(F300)),TRUE,OR(F300&lt;0,F300&gt;999999999,ROUND(F300,3)&lt;&gt;F300)),"Invalid last service",IF(AND(E300&lt;&gt;"",D300&lt;E300),"Decreased reading",IF(F300&gt;D300,"Last service above current","")))))))))))))</x:f>
      </x:c>
      <x:c r="L300" s="6" t="str">
        <x:f>IF(AND(NOT(COUNTA(A300:F300)=0),K300=""),INDEX('Rules'!$C$7:$C$26,MATCH(SUBSTITUTE(SUBSTITUTE(SUBSTITUTE(SUBSTITUTE("type:"&amp;B300,"%","%25"),"~","%7E"),"*","%2A"),"?","%3F"),'Rules'!$G$7:$G$26,0)),"")</x:f>
      </x:c>
      <x:c r="M300" s="6" t="str">
        <x:f>IF(AND(NOT(COUNTA(A300:F300)=0),K300=""),INDEX('Rules'!$D$7:$D$26,MATCH(SUBSTITUTE(SUBSTITUTE(SUBSTITUTE(SUBSTITUTE("type:"&amp;B300,"%","%25"),"~","%7E"),"*","%2A"),"?","%3F"),'Rules'!$G$7:$G$26,0)),"")</x:f>
      </x:c>
      <x:c r="N300" s="5" t="str">
        <x:f>IF(COUNTA(A300:F300)=0,"",SUBSTITUTE(SUBSTITUTE(SUBSTITUTE(SUBSTITUTE("id:"&amp;A300,"%","%25"),"~","%7E"),"*","%2A"),"?","%3F"))</x:f>
      </x:c>
    </x:row>
    <x:row r="301" ht="22" customHeight="1">
      <x:c r="A301" s="3"/>
      <x:c r="B301" s="3"/>
      <x:c r="C301" s="3"/>
      <x:c r="D301" s="4"/>
      <x:c r="E301" s="4"/>
      <x:c r="F301" s="4"/>
      <x:c r="G301" s="5" t="str">
        <x:f>IF(COUNTA(A301:F301)=0,"",IF(K301&lt;&gt;"","Review",IF(I301&lt;0,"Overdue",IF(I301=0,"Due now",IF(I301&lt;=M301,"Due soon","Not due")))))</x:f>
      </x:c>
      <x:c r="H301" s="5" t="str">
        <x:f>IF(OR(COUNTA(A301:F301)=0,COUNTIFS('Rules'!$G$7:$G$26,"="&amp;(SUBSTITUTE(SUBSTITUTE(SUBSTITUTE(SUBSTITUTE("type:"&amp;B301,"%","%25"),"~","%7E"),"*","%2A"),"?","%3F")))&lt;&gt;1),"",IF(OR(INDEX('Rules'!$B$7:$B$26,MATCH(SUBSTITUTE(SUBSTITUTE(SUBSTITUTE(SUBSTITUTE("type:"&amp;B301,"%","%25"),"~","%7E"),"*","%2A"),"?","%3F"),'Rules'!$G$7:$G$26,0))="hours",INDEX('Rules'!$B$7:$B$26,MATCH(SUBSTITUTE(SUBSTITUTE(SUBSTITUTE(SUBSTITUTE("type:"&amp;B301,"%","%25"),"~","%7E"),"*","%2A"),"?","%3F"),'Rules'!$G$7:$G$26,0))="km"),INDEX('Rules'!$B$7:$B$26,MATCH(SUBSTITUTE(SUBSTITUTE(SUBSTITUTE(SUBSTITUTE("type:"&amp;B301,"%","%25"),"~","%7E"),"*","%2A"),"?","%3F"),'Rules'!$G$7:$G$26,0)),""))</x:f>
      </x:c>
      <x:c r="I301" s="6" t="str">
        <x:f>IF(AND(NOT(COUNTA(A301:F301)=0),K301=""),ROUND(J301-D301,3),"")</x:f>
      </x:c>
      <x:c r="J301" s="6" t="str">
        <x:f>IF(AND(NOT(COUNTA(A301:F301)=0),K301=""),ROUND(F301+L301,3),"")</x:f>
      </x:c>
      <x:c r="K301" s="5" t="str">
        <x:f>IF(COUNTA(A301:F301)=0,"",IF(A301="","Missing equipment ID",IF(COUNTIFS($N$8:$N$2007,"="&amp;N301)&gt;1,"Duplicate equipment ID",IF(B301="","Missing type",IF(COUNTIFS('Rules'!$G$7:$G$26,"="&amp;(SUBSTITUTE(SUBSTITUTE(SUBSTITUTE(SUBSTITUTE("type:"&amp;B301,"%","%25"),"~","%7E"),"*","%2A"),"?","%3F")))=0,"Unknown type",IF(COUNTIFS('Rules'!$G$7:$G$26,"="&amp;(SUBSTITUTE(SUBSTITUTE(SUBSTITUTE(SUBSTITUTE("type:"&amp;B301,"%","%25"),"~","%7E"),"*","%2A"),"?","%3F")))&gt;1,"Duplicate type",IF(INDEX('Rules'!$F$7:$F$26,MATCH(SUBSTITUTE(SUBSTITUTE(SUBSTITUTE(SUBSTITUTE("type:"&amp;B301,"%","%25"),"~","%7E"),"*","%2A"),"?","%3F"),'Rules'!$G$7:$G$26,0))&lt;&gt;"",INDEX('Rules'!$F$7:$F$26,MATCH(SUBSTITUTE(SUBSTITUTE(SUBSTITUTE(SUBSTITUTE("type:"&amp;B301,"%","%25"),"~","%7E"),"*","%2A"),"?","%3F"),'Rules'!$G$7:$G$26,0)),IF(AND(C301&lt;&gt;"",C301&lt;&gt;INDEX('Rules'!$B$7:$B$26,MATCH(SUBSTITUTE(SUBSTITUTE(SUBSTITUTE(SUBSTITUTE("type:"&amp;B301,"%","%25"),"~","%7E"),"*","%2A"),"?","%3F"),'Rules'!$G$7:$G$26,0))),"Unit mismatch",IF(IF(NOT(ISNUMBER(D301)),TRUE,OR(D301&lt;0,D301&gt;999999999,ROUND(D301,3)&lt;&gt;D301)),"Invalid current reading",IF(AND(E301&lt;&gt;"",IF(NOT(ISNUMBER(E301)),TRUE,OR(E301&lt;0,E301&gt;999999999,ROUND(E301,3)&lt;&gt;E301))),"Invalid previous reading",IF(IF(NOT(ISNUMBER(F301)),TRUE,OR(F301&lt;0,F301&gt;999999999,ROUND(F301,3)&lt;&gt;F301)),"Invalid last service",IF(AND(E301&lt;&gt;"",D301&lt;E301),"Decreased reading",IF(F301&gt;D301,"Last service above current","")))))))))))))</x:f>
      </x:c>
      <x:c r="L301" s="6" t="str">
        <x:f>IF(AND(NOT(COUNTA(A301:F301)=0),K301=""),INDEX('Rules'!$C$7:$C$26,MATCH(SUBSTITUTE(SUBSTITUTE(SUBSTITUTE(SUBSTITUTE("type:"&amp;B301,"%","%25"),"~","%7E"),"*","%2A"),"?","%3F"),'Rules'!$G$7:$G$26,0)),"")</x:f>
      </x:c>
      <x:c r="M301" s="6" t="str">
        <x:f>IF(AND(NOT(COUNTA(A301:F301)=0),K301=""),INDEX('Rules'!$D$7:$D$26,MATCH(SUBSTITUTE(SUBSTITUTE(SUBSTITUTE(SUBSTITUTE("type:"&amp;B301,"%","%25"),"~","%7E"),"*","%2A"),"?","%3F"),'Rules'!$G$7:$G$26,0)),"")</x:f>
      </x:c>
      <x:c r="N301" s="5" t="str">
        <x:f>IF(COUNTA(A301:F301)=0,"",SUBSTITUTE(SUBSTITUTE(SUBSTITUTE(SUBSTITUTE("id:"&amp;A301,"%","%25"),"~","%7E"),"*","%2A"),"?","%3F"))</x:f>
      </x:c>
    </x:row>
    <x:row r="302" ht="22" customHeight="1">
      <x:c r="A302" s="3"/>
      <x:c r="B302" s="3"/>
      <x:c r="C302" s="3"/>
      <x:c r="D302" s="4"/>
      <x:c r="E302" s="4"/>
      <x:c r="F302" s="4"/>
      <x:c r="G302" s="5" t="str">
        <x:f>IF(COUNTA(A302:F302)=0,"",IF(K302&lt;&gt;"","Review",IF(I302&lt;0,"Overdue",IF(I302=0,"Due now",IF(I302&lt;=M302,"Due soon","Not due")))))</x:f>
      </x:c>
      <x:c r="H302" s="5" t="str">
        <x:f>IF(OR(COUNTA(A302:F302)=0,COUNTIFS('Rules'!$G$7:$G$26,"="&amp;(SUBSTITUTE(SUBSTITUTE(SUBSTITUTE(SUBSTITUTE("type:"&amp;B302,"%","%25"),"~","%7E"),"*","%2A"),"?","%3F")))&lt;&gt;1),"",IF(OR(INDEX('Rules'!$B$7:$B$26,MATCH(SUBSTITUTE(SUBSTITUTE(SUBSTITUTE(SUBSTITUTE("type:"&amp;B302,"%","%25"),"~","%7E"),"*","%2A"),"?","%3F"),'Rules'!$G$7:$G$26,0))="hours",INDEX('Rules'!$B$7:$B$26,MATCH(SUBSTITUTE(SUBSTITUTE(SUBSTITUTE(SUBSTITUTE("type:"&amp;B302,"%","%25"),"~","%7E"),"*","%2A"),"?","%3F"),'Rules'!$G$7:$G$26,0))="km"),INDEX('Rules'!$B$7:$B$26,MATCH(SUBSTITUTE(SUBSTITUTE(SUBSTITUTE(SUBSTITUTE("type:"&amp;B302,"%","%25"),"~","%7E"),"*","%2A"),"?","%3F"),'Rules'!$G$7:$G$26,0)),""))</x:f>
      </x:c>
      <x:c r="I302" s="6" t="str">
        <x:f>IF(AND(NOT(COUNTA(A302:F302)=0),K302=""),ROUND(J302-D302,3),"")</x:f>
      </x:c>
      <x:c r="J302" s="6" t="str">
        <x:f>IF(AND(NOT(COUNTA(A302:F302)=0),K302=""),ROUND(F302+L302,3),"")</x:f>
      </x:c>
      <x:c r="K302" s="5" t="str">
        <x:f>IF(COUNTA(A302:F302)=0,"",IF(A302="","Missing equipment ID",IF(COUNTIFS($N$8:$N$2007,"="&amp;N302)&gt;1,"Duplicate equipment ID",IF(B302="","Missing type",IF(COUNTIFS('Rules'!$G$7:$G$26,"="&amp;(SUBSTITUTE(SUBSTITUTE(SUBSTITUTE(SUBSTITUTE("type:"&amp;B302,"%","%25"),"~","%7E"),"*","%2A"),"?","%3F")))=0,"Unknown type",IF(COUNTIFS('Rules'!$G$7:$G$26,"="&amp;(SUBSTITUTE(SUBSTITUTE(SUBSTITUTE(SUBSTITUTE("type:"&amp;B302,"%","%25"),"~","%7E"),"*","%2A"),"?","%3F")))&gt;1,"Duplicate type",IF(INDEX('Rules'!$F$7:$F$26,MATCH(SUBSTITUTE(SUBSTITUTE(SUBSTITUTE(SUBSTITUTE("type:"&amp;B302,"%","%25"),"~","%7E"),"*","%2A"),"?","%3F"),'Rules'!$G$7:$G$26,0))&lt;&gt;"",INDEX('Rules'!$F$7:$F$26,MATCH(SUBSTITUTE(SUBSTITUTE(SUBSTITUTE(SUBSTITUTE("type:"&amp;B302,"%","%25"),"~","%7E"),"*","%2A"),"?","%3F"),'Rules'!$G$7:$G$26,0)),IF(AND(C302&lt;&gt;"",C302&lt;&gt;INDEX('Rules'!$B$7:$B$26,MATCH(SUBSTITUTE(SUBSTITUTE(SUBSTITUTE(SUBSTITUTE("type:"&amp;B302,"%","%25"),"~","%7E"),"*","%2A"),"?","%3F"),'Rules'!$G$7:$G$26,0))),"Unit mismatch",IF(IF(NOT(ISNUMBER(D302)),TRUE,OR(D302&lt;0,D302&gt;999999999,ROUND(D302,3)&lt;&gt;D302)),"Invalid current reading",IF(AND(E302&lt;&gt;"",IF(NOT(ISNUMBER(E302)),TRUE,OR(E302&lt;0,E302&gt;999999999,ROUND(E302,3)&lt;&gt;E302))),"Invalid previous reading",IF(IF(NOT(ISNUMBER(F302)),TRUE,OR(F302&lt;0,F302&gt;999999999,ROUND(F302,3)&lt;&gt;F302)),"Invalid last service",IF(AND(E302&lt;&gt;"",D302&lt;E302),"Decreased reading",IF(F302&gt;D302,"Last service above current","")))))))))))))</x:f>
      </x:c>
      <x:c r="L302" s="6" t="str">
        <x:f>IF(AND(NOT(COUNTA(A302:F302)=0),K302=""),INDEX('Rules'!$C$7:$C$26,MATCH(SUBSTITUTE(SUBSTITUTE(SUBSTITUTE(SUBSTITUTE("type:"&amp;B302,"%","%25"),"~","%7E"),"*","%2A"),"?","%3F"),'Rules'!$G$7:$G$26,0)),"")</x:f>
      </x:c>
      <x:c r="M302" s="6" t="str">
        <x:f>IF(AND(NOT(COUNTA(A302:F302)=0),K302=""),INDEX('Rules'!$D$7:$D$26,MATCH(SUBSTITUTE(SUBSTITUTE(SUBSTITUTE(SUBSTITUTE("type:"&amp;B302,"%","%25"),"~","%7E"),"*","%2A"),"?","%3F"),'Rules'!$G$7:$G$26,0)),"")</x:f>
      </x:c>
      <x:c r="N302" s="5" t="str">
        <x:f>IF(COUNTA(A302:F302)=0,"",SUBSTITUTE(SUBSTITUTE(SUBSTITUTE(SUBSTITUTE("id:"&amp;A302,"%","%25"),"~","%7E"),"*","%2A"),"?","%3F"))</x:f>
      </x:c>
    </x:row>
    <x:row r="303" ht="22" customHeight="1">
      <x:c r="A303" s="3"/>
      <x:c r="B303" s="3"/>
      <x:c r="C303" s="3"/>
      <x:c r="D303" s="4"/>
      <x:c r="E303" s="4"/>
      <x:c r="F303" s="4"/>
      <x:c r="G303" s="5" t="str">
        <x:f>IF(COUNTA(A303:F303)=0,"",IF(K303&lt;&gt;"","Review",IF(I303&lt;0,"Overdue",IF(I303=0,"Due now",IF(I303&lt;=M303,"Due soon","Not due")))))</x:f>
      </x:c>
      <x:c r="H303" s="5" t="str">
        <x:f>IF(OR(COUNTA(A303:F303)=0,COUNTIFS('Rules'!$G$7:$G$26,"="&amp;(SUBSTITUTE(SUBSTITUTE(SUBSTITUTE(SUBSTITUTE("type:"&amp;B303,"%","%25"),"~","%7E"),"*","%2A"),"?","%3F")))&lt;&gt;1),"",IF(OR(INDEX('Rules'!$B$7:$B$26,MATCH(SUBSTITUTE(SUBSTITUTE(SUBSTITUTE(SUBSTITUTE("type:"&amp;B303,"%","%25"),"~","%7E"),"*","%2A"),"?","%3F"),'Rules'!$G$7:$G$26,0))="hours",INDEX('Rules'!$B$7:$B$26,MATCH(SUBSTITUTE(SUBSTITUTE(SUBSTITUTE(SUBSTITUTE("type:"&amp;B303,"%","%25"),"~","%7E"),"*","%2A"),"?","%3F"),'Rules'!$G$7:$G$26,0))="km"),INDEX('Rules'!$B$7:$B$26,MATCH(SUBSTITUTE(SUBSTITUTE(SUBSTITUTE(SUBSTITUTE("type:"&amp;B303,"%","%25"),"~","%7E"),"*","%2A"),"?","%3F"),'Rules'!$G$7:$G$26,0)),""))</x:f>
      </x:c>
      <x:c r="I303" s="6" t="str">
        <x:f>IF(AND(NOT(COUNTA(A303:F303)=0),K303=""),ROUND(J303-D303,3),"")</x:f>
      </x:c>
      <x:c r="J303" s="6" t="str">
        <x:f>IF(AND(NOT(COUNTA(A303:F303)=0),K303=""),ROUND(F303+L303,3),"")</x:f>
      </x:c>
      <x:c r="K303" s="5" t="str">
        <x:f>IF(COUNTA(A303:F303)=0,"",IF(A303="","Missing equipment ID",IF(COUNTIFS($N$8:$N$2007,"="&amp;N303)&gt;1,"Duplicate equipment ID",IF(B303="","Missing type",IF(COUNTIFS('Rules'!$G$7:$G$26,"="&amp;(SUBSTITUTE(SUBSTITUTE(SUBSTITUTE(SUBSTITUTE("type:"&amp;B303,"%","%25"),"~","%7E"),"*","%2A"),"?","%3F")))=0,"Unknown type",IF(COUNTIFS('Rules'!$G$7:$G$26,"="&amp;(SUBSTITUTE(SUBSTITUTE(SUBSTITUTE(SUBSTITUTE("type:"&amp;B303,"%","%25"),"~","%7E"),"*","%2A"),"?","%3F")))&gt;1,"Duplicate type",IF(INDEX('Rules'!$F$7:$F$26,MATCH(SUBSTITUTE(SUBSTITUTE(SUBSTITUTE(SUBSTITUTE("type:"&amp;B303,"%","%25"),"~","%7E"),"*","%2A"),"?","%3F"),'Rules'!$G$7:$G$26,0))&lt;&gt;"",INDEX('Rules'!$F$7:$F$26,MATCH(SUBSTITUTE(SUBSTITUTE(SUBSTITUTE(SUBSTITUTE("type:"&amp;B303,"%","%25"),"~","%7E"),"*","%2A"),"?","%3F"),'Rules'!$G$7:$G$26,0)),IF(AND(C303&lt;&gt;"",C303&lt;&gt;INDEX('Rules'!$B$7:$B$26,MATCH(SUBSTITUTE(SUBSTITUTE(SUBSTITUTE(SUBSTITUTE("type:"&amp;B303,"%","%25"),"~","%7E"),"*","%2A"),"?","%3F"),'Rules'!$G$7:$G$26,0))),"Unit mismatch",IF(IF(NOT(ISNUMBER(D303)),TRUE,OR(D303&lt;0,D303&gt;999999999,ROUND(D303,3)&lt;&gt;D303)),"Invalid current reading",IF(AND(E303&lt;&gt;"",IF(NOT(ISNUMBER(E303)),TRUE,OR(E303&lt;0,E303&gt;999999999,ROUND(E303,3)&lt;&gt;E303))),"Invalid previous reading",IF(IF(NOT(ISNUMBER(F303)),TRUE,OR(F303&lt;0,F303&gt;999999999,ROUND(F303,3)&lt;&gt;F303)),"Invalid last service",IF(AND(E303&lt;&gt;"",D303&lt;E303),"Decreased reading",IF(F303&gt;D303,"Last service above current","")))))))))))))</x:f>
      </x:c>
      <x:c r="L303" s="6" t="str">
        <x:f>IF(AND(NOT(COUNTA(A303:F303)=0),K303=""),INDEX('Rules'!$C$7:$C$26,MATCH(SUBSTITUTE(SUBSTITUTE(SUBSTITUTE(SUBSTITUTE("type:"&amp;B303,"%","%25"),"~","%7E"),"*","%2A"),"?","%3F"),'Rules'!$G$7:$G$26,0)),"")</x:f>
      </x:c>
      <x:c r="M303" s="6" t="str">
        <x:f>IF(AND(NOT(COUNTA(A303:F303)=0),K303=""),INDEX('Rules'!$D$7:$D$26,MATCH(SUBSTITUTE(SUBSTITUTE(SUBSTITUTE(SUBSTITUTE("type:"&amp;B303,"%","%25"),"~","%7E"),"*","%2A"),"?","%3F"),'Rules'!$G$7:$G$26,0)),"")</x:f>
      </x:c>
      <x:c r="N303" s="5" t="str">
        <x:f>IF(COUNTA(A303:F303)=0,"",SUBSTITUTE(SUBSTITUTE(SUBSTITUTE(SUBSTITUTE("id:"&amp;A303,"%","%25"),"~","%7E"),"*","%2A"),"?","%3F"))</x:f>
      </x:c>
    </x:row>
    <x:row r="304" ht="22" customHeight="1">
      <x:c r="A304" s="3"/>
      <x:c r="B304" s="3"/>
      <x:c r="C304" s="3"/>
      <x:c r="D304" s="4"/>
      <x:c r="E304" s="4"/>
      <x:c r="F304" s="4"/>
      <x:c r="G304" s="5" t="str">
        <x:f>IF(COUNTA(A304:F304)=0,"",IF(K304&lt;&gt;"","Review",IF(I304&lt;0,"Overdue",IF(I304=0,"Due now",IF(I304&lt;=M304,"Due soon","Not due")))))</x:f>
      </x:c>
      <x:c r="H304" s="5" t="str">
        <x:f>IF(OR(COUNTA(A304:F304)=0,COUNTIFS('Rules'!$G$7:$G$26,"="&amp;(SUBSTITUTE(SUBSTITUTE(SUBSTITUTE(SUBSTITUTE("type:"&amp;B304,"%","%25"),"~","%7E"),"*","%2A"),"?","%3F")))&lt;&gt;1),"",IF(OR(INDEX('Rules'!$B$7:$B$26,MATCH(SUBSTITUTE(SUBSTITUTE(SUBSTITUTE(SUBSTITUTE("type:"&amp;B304,"%","%25"),"~","%7E"),"*","%2A"),"?","%3F"),'Rules'!$G$7:$G$26,0))="hours",INDEX('Rules'!$B$7:$B$26,MATCH(SUBSTITUTE(SUBSTITUTE(SUBSTITUTE(SUBSTITUTE("type:"&amp;B304,"%","%25"),"~","%7E"),"*","%2A"),"?","%3F"),'Rules'!$G$7:$G$26,0))="km"),INDEX('Rules'!$B$7:$B$26,MATCH(SUBSTITUTE(SUBSTITUTE(SUBSTITUTE(SUBSTITUTE("type:"&amp;B304,"%","%25"),"~","%7E"),"*","%2A"),"?","%3F"),'Rules'!$G$7:$G$26,0)),""))</x:f>
      </x:c>
      <x:c r="I304" s="6" t="str">
        <x:f>IF(AND(NOT(COUNTA(A304:F304)=0),K304=""),ROUND(J304-D304,3),"")</x:f>
      </x:c>
      <x:c r="J304" s="6" t="str">
        <x:f>IF(AND(NOT(COUNTA(A304:F304)=0),K304=""),ROUND(F304+L304,3),"")</x:f>
      </x:c>
      <x:c r="K304" s="5" t="str">
        <x:f>IF(COUNTA(A304:F304)=0,"",IF(A304="","Missing equipment ID",IF(COUNTIFS($N$8:$N$2007,"="&amp;N304)&gt;1,"Duplicate equipment ID",IF(B304="","Missing type",IF(COUNTIFS('Rules'!$G$7:$G$26,"="&amp;(SUBSTITUTE(SUBSTITUTE(SUBSTITUTE(SUBSTITUTE("type:"&amp;B304,"%","%25"),"~","%7E"),"*","%2A"),"?","%3F")))=0,"Unknown type",IF(COUNTIFS('Rules'!$G$7:$G$26,"="&amp;(SUBSTITUTE(SUBSTITUTE(SUBSTITUTE(SUBSTITUTE("type:"&amp;B304,"%","%25"),"~","%7E"),"*","%2A"),"?","%3F")))&gt;1,"Duplicate type",IF(INDEX('Rules'!$F$7:$F$26,MATCH(SUBSTITUTE(SUBSTITUTE(SUBSTITUTE(SUBSTITUTE("type:"&amp;B304,"%","%25"),"~","%7E"),"*","%2A"),"?","%3F"),'Rules'!$G$7:$G$26,0))&lt;&gt;"",INDEX('Rules'!$F$7:$F$26,MATCH(SUBSTITUTE(SUBSTITUTE(SUBSTITUTE(SUBSTITUTE("type:"&amp;B304,"%","%25"),"~","%7E"),"*","%2A"),"?","%3F"),'Rules'!$G$7:$G$26,0)),IF(AND(C304&lt;&gt;"",C304&lt;&gt;INDEX('Rules'!$B$7:$B$26,MATCH(SUBSTITUTE(SUBSTITUTE(SUBSTITUTE(SUBSTITUTE("type:"&amp;B304,"%","%25"),"~","%7E"),"*","%2A"),"?","%3F"),'Rules'!$G$7:$G$26,0))),"Unit mismatch",IF(IF(NOT(ISNUMBER(D304)),TRUE,OR(D304&lt;0,D304&gt;999999999,ROUND(D304,3)&lt;&gt;D304)),"Invalid current reading",IF(AND(E304&lt;&gt;"",IF(NOT(ISNUMBER(E304)),TRUE,OR(E304&lt;0,E304&gt;999999999,ROUND(E304,3)&lt;&gt;E304))),"Invalid previous reading",IF(IF(NOT(ISNUMBER(F304)),TRUE,OR(F304&lt;0,F304&gt;999999999,ROUND(F304,3)&lt;&gt;F304)),"Invalid last service",IF(AND(E304&lt;&gt;"",D304&lt;E304),"Decreased reading",IF(F304&gt;D304,"Last service above current","")))))))))))))</x:f>
      </x:c>
      <x:c r="L304" s="6" t="str">
        <x:f>IF(AND(NOT(COUNTA(A304:F304)=0),K304=""),INDEX('Rules'!$C$7:$C$26,MATCH(SUBSTITUTE(SUBSTITUTE(SUBSTITUTE(SUBSTITUTE("type:"&amp;B304,"%","%25"),"~","%7E"),"*","%2A"),"?","%3F"),'Rules'!$G$7:$G$26,0)),"")</x:f>
      </x:c>
      <x:c r="M304" s="6" t="str">
        <x:f>IF(AND(NOT(COUNTA(A304:F304)=0),K304=""),INDEX('Rules'!$D$7:$D$26,MATCH(SUBSTITUTE(SUBSTITUTE(SUBSTITUTE(SUBSTITUTE("type:"&amp;B304,"%","%25"),"~","%7E"),"*","%2A"),"?","%3F"),'Rules'!$G$7:$G$26,0)),"")</x:f>
      </x:c>
      <x:c r="N304" s="5" t="str">
        <x:f>IF(COUNTA(A304:F304)=0,"",SUBSTITUTE(SUBSTITUTE(SUBSTITUTE(SUBSTITUTE("id:"&amp;A304,"%","%25"),"~","%7E"),"*","%2A"),"?","%3F"))</x:f>
      </x:c>
    </x:row>
    <x:row r="305" ht="22" customHeight="1">
      <x:c r="A305" s="3"/>
      <x:c r="B305" s="3"/>
      <x:c r="C305" s="3"/>
      <x:c r="D305" s="4"/>
      <x:c r="E305" s="4"/>
      <x:c r="F305" s="4"/>
      <x:c r="G305" s="5" t="str">
        <x:f>IF(COUNTA(A305:F305)=0,"",IF(K305&lt;&gt;"","Review",IF(I305&lt;0,"Overdue",IF(I305=0,"Due now",IF(I305&lt;=M305,"Due soon","Not due")))))</x:f>
      </x:c>
      <x:c r="H305" s="5" t="str">
        <x:f>IF(OR(COUNTA(A305:F305)=0,COUNTIFS('Rules'!$G$7:$G$26,"="&amp;(SUBSTITUTE(SUBSTITUTE(SUBSTITUTE(SUBSTITUTE("type:"&amp;B305,"%","%25"),"~","%7E"),"*","%2A"),"?","%3F")))&lt;&gt;1),"",IF(OR(INDEX('Rules'!$B$7:$B$26,MATCH(SUBSTITUTE(SUBSTITUTE(SUBSTITUTE(SUBSTITUTE("type:"&amp;B305,"%","%25"),"~","%7E"),"*","%2A"),"?","%3F"),'Rules'!$G$7:$G$26,0))="hours",INDEX('Rules'!$B$7:$B$26,MATCH(SUBSTITUTE(SUBSTITUTE(SUBSTITUTE(SUBSTITUTE("type:"&amp;B305,"%","%25"),"~","%7E"),"*","%2A"),"?","%3F"),'Rules'!$G$7:$G$26,0))="km"),INDEX('Rules'!$B$7:$B$26,MATCH(SUBSTITUTE(SUBSTITUTE(SUBSTITUTE(SUBSTITUTE("type:"&amp;B305,"%","%25"),"~","%7E"),"*","%2A"),"?","%3F"),'Rules'!$G$7:$G$26,0)),""))</x:f>
      </x:c>
      <x:c r="I305" s="6" t="str">
        <x:f>IF(AND(NOT(COUNTA(A305:F305)=0),K305=""),ROUND(J305-D305,3),"")</x:f>
      </x:c>
      <x:c r="J305" s="6" t="str">
        <x:f>IF(AND(NOT(COUNTA(A305:F305)=0),K305=""),ROUND(F305+L305,3),"")</x:f>
      </x:c>
      <x:c r="K305" s="5" t="str">
        <x:f>IF(COUNTA(A305:F305)=0,"",IF(A305="","Missing equipment ID",IF(COUNTIFS($N$8:$N$2007,"="&amp;N305)&gt;1,"Duplicate equipment ID",IF(B305="","Missing type",IF(COUNTIFS('Rules'!$G$7:$G$26,"="&amp;(SUBSTITUTE(SUBSTITUTE(SUBSTITUTE(SUBSTITUTE("type:"&amp;B305,"%","%25"),"~","%7E"),"*","%2A"),"?","%3F")))=0,"Unknown type",IF(COUNTIFS('Rules'!$G$7:$G$26,"="&amp;(SUBSTITUTE(SUBSTITUTE(SUBSTITUTE(SUBSTITUTE("type:"&amp;B305,"%","%25"),"~","%7E"),"*","%2A"),"?","%3F")))&gt;1,"Duplicate type",IF(INDEX('Rules'!$F$7:$F$26,MATCH(SUBSTITUTE(SUBSTITUTE(SUBSTITUTE(SUBSTITUTE("type:"&amp;B305,"%","%25"),"~","%7E"),"*","%2A"),"?","%3F"),'Rules'!$G$7:$G$26,0))&lt;&gt;"",INDEX('Rules'!$F$7:$F$26,MATCH(SUBSTITUTE(SUBSTITUTE(SUBSTITUTE(SUBSTITUTE("type:"&amp;B305,"%","%25"),"~","%7E"),"*","%2A"),"?","%3F"),'Rules'!$G$7:$G$26,0)),IF(AND(C305&lt;&gt;"",C305&lt;&gt;INDEX('Rules'!$B$7:$B$26,MATCH(SUBSTITUTE(SUBSTITUTE(SUBSTITUTE(SUBSTITUTE("type:"&amp;B305,"%","%25"),"~","%7E"),"*","%2A"),"?","%3F"),'Rules'!$G$7:$G$26,0))),"Unit mismatch",IF(IF(NOT(ISNUMBER(D305)),TRUE,OR(D305&lt;0,D305&gt;999999999,ROUND(D305,3)&lt;&gt;D305)),"Invalid current reading",IF(AND(E305&lt;&gt;"",IF(NOT(ISNUMBER(E305)),TRUE,OR(E305&lt;0,E305&gt;999999999,ROUND(E305,3)&lt;&gt;E305))),"Invalid previous reading",IF(IF(NOT(ISNUMBER(F305)),TRUE,OR(F305&lt;0,F305&gt;999999999,ROUND(F305,3)&lt;&gt;F305)),"Invalid last service",IF(AND(E305&lt;&gt;"",D305&lt;E305),"Decreased reading",IF(F305&gt;D305,"Last service above current","")))))))))))))</x:f>
      </x:c>
      <x:c r="L305" s="6" t="str">
        <x:f>IF(AND(NOT(COUNTA(A305:F305)=0),K305=""),INDEX('Rules'!$C$7:$C$26,MATCH(SUBSTITUTE(SUBSTITUTE(SUBSTITUTE(SUBSTITUTE("type:"&amp;B305,"%","%25"),"~","%7E"),"*","%2A"),"?","%3F"),'Rules'!$G$7:$G$26,0)),"")</x:f>
      </x:c>
      <x:c r="M305" s="6" t="str">
        <x:f>IF(AND(NOT(COUNTA(A305:F305)=0),K305=""),INDEX('Rules'!$D$7:$D$26,MATCH(SUBSTITUTE(SUBSTITUTE(SUBSTITUTE(SUBSTITUTE("type:"&amp;B305,"%","%25"),"~","%7E"),"*","%2A"),"?","%3F"),'Rules'!$G$7:$G$26,0)),"")</x:f>
      </x:c>
      <x:c r="N305" s="5" t="str">
        <x:f>IF(COUNTA(A305:F305)=0,"",SUBSTITUTE(SUBSTITUTE(SUBSTITUTE(SUBSTITUTE("id:"&amp;A305,"%","%25"),"~","%7E"),"*","%2A"),"?","%3F"))</x:f>
      </x:c>
    </x:row>
    <x:row r="306" ht="22" customHeight="1">
      <x:c r="A306" s="3"/>
      <x:c r="B306" s="3"/>
      <x:c r="C306" s="3"/>
      <x:c r="D306" s="4"/>
      <x:c r="E306" s="4"/>
      <x:c r="F306" s="4"/>
      <x:c r="G306" s="5" t="str">
        <x:f>IF(COUNTA(A306:F306)=0,"",IF(K306&lt;&gt;"","Review",IF(I306&lt;0,"Overdue",IF(I306=0,"Due now",IF(I306&lt;=M306,"Due soon","Not due")))))</x:f>
      </x:c>
      <x:c r="H306" s="5" t="str">
        <x:f>IF(OR(COUNTA(A306:F306)=0,COUNTIFS('Rules'!$G$7:$G$26,"="&amp;(SUBSTITUTE(SUBSTITUTE(SUBSTITUTE(SUBSTITUTE("type:"&amp;B306,"%","%25"),"~","%7E"),"*","%2A"),"?","%3F")))&lt;&gt;1),"",IF(OR(INDEX('Rules'!$B$7:$B$26,MATCH(SUBSTITUTE(SUBSTITUTE(SUBSTITUTE(SUBSTITUTE("type:"&amp;B306,"%","%25"),"~","%7E"),"*","%2A"),"?","%3F"),'Rules'!$G$7:$G$26,0))="hours",INDEX('Rules'!$B$7:$B$26,MATCH(SUBSTITUTE(SUBSTITUTE(SUBSTITUTE(SUBSTITUTE("type:"&amp;B306,"%","%25"),"~","%7E"),"*","%2A"),"?","%3F"),'Rules'!$G$7:$G$26,0))="km"),INDEX('Rules'!$B$7:$B$26,MATCH(SUBSTITUTE(SUBSTITUTE(SUBSTITUTE(SUBSTITUTE("type:"&amp;B306,"%","%25"),"~","%7E"),"*","%2A"),"?","%3F"),'Rules'!$G$7:$G$26,0)),""))</x:f>
      </x:c>
      <x:c r="I306" s="6" t="str">
        <x:f>IF(AND(NOT(COUNTA(A306:F306)=0),K306=""),ROUND(J306-D306,3),"")</x:f>
      </x:c>
      <x:c r="J306" s="6" t="str">
        <x:f>IF(AND(NOT(COUNTA(A306:F306)=0),K306=""),ROUND(F306+L306,3),"")</x:f>
      </x:c>
      <x:c r="K306" s="5" t="str">
        <x:f>IF(COUNTA(A306:F306)=0,"",IF(A306="","Missing equipment ID",IF(COUNTIFS($N$8:$N$2007,"="&amp;N306)&gt;1,"Duplicate equipment ID",IF(B306="","Missing type",IF(COUNTIFS('Rules'!$G$7:$G$26,"="&amp;(SUBSTITUTE(SUBSTITUTE(SUBSTITUTE(SUBSTITUTE("type:"&amp;B306,"%","%25"),"~","%7E"),"*","%2A"),"?","%3F")))=0,"Unknown type",IF(COUNTIFS('Rules'!$G$7:$G$26,"="&amp;(SUBSTITUTE(SUBSTITUTE(SUBSTITUTE(SUBSTITUTE("type:"&amp;B306,"%","%25"),"~","%7E"),"*","%2A"),"?","%3F")))&gt;1,"Duplicate type",IF(INDEX('Rules'!$F$7:$F$26,MATCH(SUBSTITUTE(SUBSTITUTE(SUBSTITUTE(SUBSTITUTE("type:"&amp;B306,"%","%25"),"~","%7E"),"*","%2A"),"?","%3F"),'Rules'!$G$7:$G$26,0))&lt;&gt;"",INDEX('Rules'!$F$7:$F$26,MATCH(SUBSTITUTE(SUBSTITUTE(SUBSTITUTE(SUBSTITUTE("type:"&amp;B306,"%","%25"),"~","%7E"),"*","%2A"),"?","%3F"),'Rules'!$G$7:$G$26,0)),IF(AND(C306&lt;&gt;"",C306&lt;&gt;INDEX('Rules'!$B$7:$B$26,MATCH(SUBSTITUTE(SUBSTITUTE(SUBSTITUTE(SUBSTITUTE("type:"&amp;B306,"%","%25"),"~","%7E"),"*","%2A"),"?","%3F"),'Rules'!$G$7:$G$26,0))),"Unit mismatch",IF(IF(NOT(ISNUMBER(D306)),TRUE,OR(D306&lt;0,D306&gt;999999999,ROUND(D306,3)&lt;&gt;D306)),"Invalid current reading",IF(AND(E306&lt;&gt;"",IF(NOT(ISNUMBER(E306)),TRUE,OR(E306&lt;0,E306&gt;999999999,ROUND(E306,3)&lt;&gt;E306))),"Invalid previous reading",IF(IF(NOT(ISNUMBER(F306)),TRUE,OR(F306&lt;0,F306&gt;999999999,ROUND(F306,3)&lt;&gt;F306)),"Invalid last service",IF(AND(E306&lt;&gt;"",D306&lt;E306),"Decreased reading",IF(F306&gt;D306,"Last service above current","")))))))))))))</x:f>
      </x:c>
      <x:c r="L306" s="6" t="str">
        <x:f>IF(AND(NOT(COUNTA(A306:F306)=0),K306=""),INDEX('Rules'!$C$7:$C$26,MATCH(SUBSTITUTE(SUBSTITUTE(SUBSTITUTE(SUBSTITUTE("type:"&amp;B306,"%","%25"),"~","%7E"),"*","%2A"),"?","%3F"),'Rules'!$G$7:$G$26,0)),"")</x:f>
      </x:c>
      <x:c r="M306" s="6" t="str">
        <x:f>IF(AND(NOT(COUNTA(A306:F306)=0),K306=""),INDEX('Rules'!$D$7:$D$26,MATCH(SUBSTITUTE(SUBSTITUTE(SUBSTITUTE(SUBSTITUTE("type:"&amp;B306,"%","%25"),"~","%7E"),"*","%2A"),"?","%3F"),'Rules'!$G$7:$G$26,0)),"")</x:f>
      </x:c>
      <x:c r="N306" s="5" t="str">
        <x:f>IF(COUNTA(A306:F306)=0,"",SUBSTITUTE(SUBSTITUTE(SUBSTITUTE(SUBSTITUTE("id:"&amp;A306,"%","%25"),"~","%7E"),"*","%2A"),"?","%3F"))</x:f>
      </x:c>
    </x:row>
    <x:row r="307" ht="22" customHeight="1">
      <x:c r="A307" s="3"/>
      <x:c r="B307" s="3"/>
      <x:c r="C307" s="3"/>
      <x:c r="D307" s="4"/>
      <x:c r="E307" s="4"/>
      <x:c r="F307" s="4"/>
      <x:c r="G307" s="5" t="str">
        <x:f>IF(COUNTA(A307:F307)=0,"",IF(K307&lt;&gt;"","Review",IF(I307&lt;0,"Overdue",IF(I307=0,"Due now",IF(I307&lt;=M307,"Due soon","Not due")))))</x:f>
      </x:c>
      <x:c r="H307" s="5" t="str">
        <x:f>IF(OR(COUNTA(A307:F307)=0,COUNTIFS('Rules'!$G$7:$G$26,"="&amp;(SUBSTITUTE(SUBSTITUTE(SUBSTITUTE(SUBSTITUTE("type:"&amp;B307,"%","%25"),"~","%7E"),"*","%2A"),"?","%3F")))&lt;&gt;1),"",IF(OR(INDEX('Rules'!$B$7:$B$26,MATCH(SUBSTITUTE(SUBSTITUTE(SUBSTITUTE(SUBSTITUTE("type:"&amp;B307,"%","%25"),"~","%7E"),"*","%2A"),"?","%3F"),'Rules'!$G$7:$G$26,0))="hours",INDEX('Rules'!$B$7:$B$26,MATCH(SUBSTITUTE(SUBSTITUTE(SUBSTITUTE(SUBSTITUTE("type:"&amp;B307,"%","%25"),"~","%7E"),"*","%2A"),"?","%3F"),'Rules'!$G$7:$G$26,0))="km"),INDEX('Rules'!$B$7:$B$26,MATCH(SUBSTITUTE(SUBSTITUTE(SUBSTITUTE(SUBSTITUTE("type:"&amp;B307,"%","%25"),"~","%7E"),"*","%2A"),"?","%3F"),'Rules'!$G$7:$G$26,0)),""))</x:f>
      </x:c>
      <x:c r="I307" s="6" t="str">
        <x:f>IF(AND(NOT(COUNTA(A307:F307)=0),K307=""),ROUND(J307-D307,3),"")</x:f>
      </x:c>
      <x:c r="J307" s="6" t="str">
        <x:f>IF(AND(NOT(COUNTA(A307:F307)=0),K307=""),ROUND(F307+L307,3),"")</x:f>
      </x:c>
      <x:c r="K307" s="5" t="str">
        <x:f>IF(COUNTA(A307:F307)=0,"",IF(A307="","Missing equipment ID",IF(COUNTIFS($N$8:$N$2007,"="&amp;N307)&gt;1,"Duplicate equipment ID",IF(B307="","Missing type",IF(COUNTIFS('Rules'!$G$7:$G$26,"="&amp;(SUBSTITUTE(SUBSTITUTE(SUBSTITUTE(SUBSTITUTE("type:"&amp;B307,"%","%25"),"~","%7E"),"*","%2A"),"?","%3F")))=0,"Unknown type",IF(COUNTIFS('Rules'!$G$7:$G$26,"="&amp;(SUBSTITUTE(SUBSTITUTE(SUBSTITUTE(SUBSTITUTE("type:"&amp;B307,"%","%25"),"~","%7E"),"*","%2A"),"?","%3F")))&gt;1,"Duplicate type",IF(INDEX('Rules'!$F$7:$F$26,MATCH(SUBSTITUTE(SUBSTITUTE(SUBSTITUTE(SUBSTITUTE("type:"&amp;B307,"%","%25"),"~","%7E"),"*","%2A"),"?","%3F"),'Rules'!$G$7:$G$26,0))&lt;&gt;"",INDEX('Rules'!$F$7:$F$26,MATCH(SUBSTITUTE(SUBSTITUTE(SUBSTITUTE(SUBSTITUTE("type:"&amp;B307,"%","%25"),"~","%7E"),"*","%2A"),"?","%3F"),'Rules'!$G$7:$G$26,0)),IF(AND(C307&lt;&gt;"",C307&lt;&gt;INDEX('Rules'!$B$7:$B$26,MATCH(SUBSTITUTE(SUBSTITUTE(SUBSTITUTE(SUBSTITUTE("type:"&amp;B307,"%","%25"),"~","%7E"),"*","%2A"),"?","%3F"),'Rules'!$G$7:$G$26,0))),"Unit mismatch",IF(IF(NOT(ISNUMBER(D307)),TRUE,OR(D307&lt;0,D307&gt;999999999,ROUND(D307,3)&lt;&gt;D307)),"Invalid current reading",IF(AND(E307&lt;&gt;"",IF(NOT(ISNUMBER(E307)),TRUE,OR(E307&lt;0,E307&gt;999999999,ROUND(E307,3)&lt;&gt;E307))),"Invalid previous reading",IF(IF(NOT(ISNUMBER(F307)),TRUE,OR(F307&lt;0,F307&gt;999999999,ROUND(F307,3)&lt;&gt;F307)),"Invalid last service",IF(AND(E307&lt;&gt;"",D307&lt;E307),"Decreased reading",IF(F307&gt;D307,"Last service above current","")))))))))))))</x:f>
      </x:c>
      <x:c r="L307" s="6" t="str">
        <x:f>IF(AND(NOT(COUNTA(A307:F307)=0),K307=""),INDEX('Rules'!$C$7:$C$26,MATCH(SUBSTITUTE(SUBSTITUTE(SUBSTITUTE(SUBSTITUTE("type:"&amp;B307,"%","%25"),"~","%7E"),"*","%2A"),"?","%3F"),'Rules'!$G$7:$G$26,0)),"")</x:f>
      </x:c>
      <x:c r="M307" s="6" t="str">
        <x:f>IF(AND(NOT(COUNTA(A307:F307)=0),K307=""),INDEX('Rules'!$D$7:$D$26,MATCH(SUBSTITUTE(SUBSTITUTE(SUBSTITUTE(SUBSTITUTE("type:"&amp;B307,"%","%25"),"~","%7E"),"*","%2A"),"?","%3F"),'Rules'!$G$7:$G$26,0)),"")</x:f>
      </x:c>
      <x:c r="N307" s="5" t="str">
        <x:f>IF(COUNTA(A307:F307)=0,"",SUBSTITUTE(SUBSTITUTE(SUBSTITUTE(SUBSTITUTE("id:"&amp;A307,"%","%25"),"~","%7E"),"*","%2A"),"?","%3F"))</x:f>
      </x:c>
    </x:row>
    <x:row r="308" ht="22" customHeight="1">
      <x:c r="A308" s="3"/>
      <x:c r="B308" s="3"/>
      <x:c r="C308" s="3"/>
      <x:c r="D308" s="4"/>
      <x:c r="E308" s="4"/>
      <x:c r="F308" s="4"/>
      <x:c r="G308" s="5" t="str">
        <x:f>IF(COUNTA(A308:F308)=0,"",IF(K308&lt;&gt;"","Review",IF(I308&lt;0,"Overdue",IF(I308=0,"Due now",IF(I308&lt;=M308,"Due soon","Not due")))))</x:f>
      </x:c>
      <x:c r="H308" s="5" t="str">
        <x:f>IF(OR(COUNTA(A308:F308)=0,COUNTIFS('Rules'!$G$7:$G$26,"="&amp;(SUBSTITUTE(SUBSTITUTE(SUBSTITUTE(SUBSTITUTE("type:"&amp;B308,"%","%25"),"~","%7E"),"*","%2A"),"?","%3F")))&lt;&gt;1),"",IF(OR(INDEX('Rules'!$B$7:$B$26,MATCH(SUBSTITUTE(SUBSTITUTE(SUBSTITUTE(SUBSTITUTE("type:"&amp;B308,"%","%25"),"~","%7E"),"*","%2A"),"?","%3F"),'Rules'!$G$7:$G$26,0))="hours",INDEX('Rules'!$B$7:$B$26,MATCH(SUBSTITUTE(SUBSTITUTE(SUBSTITUTE(SUBSTITUTE("type:"&amp;B308,"%","%25"),"~","%7E"),"*","%2A"),"?","%3F"),'Rules'!$G$7:$G$26,0))="km"),INDEX('Rules'!$B$7:$B$26,MATCH(SUBSTITUTE(SUBSTITUTE(SUBSTITUTE(SUBSTITUTE("type:"&amp;B308,"%","%25"),"~","%7E"),"*","%2A"),"?","%3F"),'Rules'!$G$7:$G$26,0)),""))</x:f>
      </x:c>
      <x:c r="I308" s="6" t="str">
        <x:f>IF(AND(NOT(COUNTA(A308:F308)=0),K308=""),ROUND(J308-D308,3),"")</x:f>
      </x:c>
      <x:c r="J308" s="6" t="str">
        <x:f>IF(AND(NOT(COUNTA(A308:F308)=0),K308=""),ROUND(F308+L308,3),"")</x:f>
      </x:c>
      <x:c r="K308" s="5" t="str">
        <x:f>IF(COUNTA(A308:F308)=0,"",IF(A308="","Missing equipment ID",IF(COUNTIFS($N$8:$N$2007,"="&amp;N308)&gt;1,"Duplicate equipment ID",IF(B308="","Missing type",IF(COUNTIFS('Rules'!$G$7:$G$26,"="&amp;(SUBSTITUTE(SUBSTITUTE(SUBSTITUTE(SUBSTITUTE("type:"&amp;B308,"%","%25"),"~","%7E"),"*","%2A"),"?","%3F")))=0,"Unknown type",IF(COUNTIFS('Rules'!$G$7:$G$26,"="&amp;(SUBSTITUTE(SUBSTITUTE(SUBSTITUTE(SUBSTITUTE("type:"&amp;B308,"%","%25"),"~","%7E"),"*","%2A"),"?","%3F")))&gt;1,"Duplicate type",IF(INDEX('Rules'!$F$7:$F$26,MATCH(SUBSTITUTE(SUBSTITUTE(SUBSTITUTE(SUBSTITUTE("type:"&amp;B308,"%","%25"),"~","%7E"),"*","%2A"),"?","%3F"),'Rules'!$G$7:$G$26,0))&lt;&gt;"",INDEX('Rules'!$F$7:$F$26,MATCH(SUBSTITUTE(SUBSTITUTE(SUBSTITUTE(SUBSTITUTE("type:"&amp;B308,"%","%25"),"~","%7E"),"*","%2A"),"?","%3F"),'Rules'!$G$7:$G$26,0)),IF(AND(C308&lt;&gt;"",C308&lt;&gt;INDEX('Rules'!$B$7:$B$26,MATCH(SUBSTITUTE(SUBSTITUTE(SUBSTITUTE(SUBSTITUTE("type:"&amp;B308,"%","%25"),"~","%7E"),"*","%2A"),"?","%3F"),'Rules'!$G$7:$G$26,0))),"Unit mismatch",IF(IF(NOT(ISNUMBER(D308)),TRUE,OR(D308&lt;0,D308&gt;999999999,ROUND(D308,3)&lt;&gt;D308)),"Invalid current reading",IF(AND(E308&lt;&gt;"",IF(NOT(ISNUMBER(E308)),TRUE,OR(E308&lt;0,E308&gt;999999999,ROUND(E308,3)&lt;&gt;E308))),"Invalid previous reading",IF(IF(NOT(ISNUMBER(F308)),TRUE,OR(F308&lt;0,F308&gt;999999999,ROUND(F308,3)&lt;&gt;F308)),"Invalid last service",IF(AND(E308&lt;&gt;"",D308&lt;E308),"Decreased reading",IF(F308&gt;D308,"Last service above current","")))))))))))))</x:f>
      </x:c>
      <x:c r="L308" s="6" t="str">
        <x:f>IF(AND(NOT(COUNTA(A308:F308)=0),K308=""),INDEX('Rules'!$C$7:$C$26,MATCH(SUBSTITUTE(SUBSTITUTE(SUBSTITUTE(SUBSTITUTE("type:"&amp;B308,"%","%25"),"~","%7E"),"*","%2A"),"?","%3F"),'Rules'!$G$7:$G$26,0)),"")</x:f>
      </x:c>
      <x:c r="M308" s="6" t="str">
        <x:f>IF(AND(NOT(COUNTA(A308:F308)=0),K308=""),INDEX('Rules'!$D$7:$D$26,MATCH(SUBSTITUTE(SUBSTITUTE(SUBSTITUTE(SUBSTITUTE("type:"&amp;B308,"%","%25"),"~","%7E"),"*","%2A"),"?","%3F"),'Rules'!$G$7:$G$26,0)),"")</x:f>
      </x:c>
      <x:c r="N308" s="5" t="str">
        <x:f>IF(COUNTA(A308:F308)=0,"",SUBSTITUTE(SUBSTITUTE(SUBSTITUTE(SUBSTITUTE("id:"&amp;A308,"%","%25"),"~","%7E"),"*","%2A"),"?","%3F"))</x:f>
      </x:c>
    </x:row>
    <x:row r="309" ht="22" customHeight="1">
      <x:c r="A309" s="3"/>
      <x:c r="B309" s="3"/>
      <x:c r="C309" s="3"/>
      <x:c r="D309" s="4"/>
      <x:c r="E309" s="4"/>
      <x:c r="F309" s="4"/>
      <x:c r="G309" s="5" t="str">
        <x:f>IF(COUNTA(A309:F309)=0,"",IF(K309&lt;&gt;"","Review",IF(I309&lt;0,"Overdue",IF(I309=0,"Due now",IF(I309&lt;=M309,"Due soon","Not due")))))</x:f>
      </x:c>
      <x:c r="H309" s="5" t="str">
        <x:f>IF(OR(COUNTA(A309:F309)=0,COUNTIFS('Rules'!$G$7:$G$26,"="&amp;(SUBSTITUTE(SUBSTITUTE(SUBSTITUTE(SUBSTITUTE("type:"&amp;B309,"%","%25"),"~","%7E"),"*","%2A"),"?","%3F")))&lt;&gt;1),"",IF(OR(INDEX('Rules'!$B$7:$B$26,MATCH(SUBSTITUTE(SUBSTITUTE(SUBSTITUTE(SUBSTITUTE("type:"&amp;B309,"%","%25"),"~","%7E"),"*","%2A"),"?","%3F"),'Rules'!$G$7:$G$26,0))="hours",INDEX('Rules'!$B$7:$B$26,MATCH(SUBSTITUTE(SUBSTITUTE(SUBSTITUTE(SUBSTITUTE("type:"&amp;B309,"%","%25"),"~","%7E"),"*","%2A"),"?","%3F"),'Rules'!$G$7:$G$26,0))="km"),INDEX('Rules'!$B$7:$B$26,MATCH(SUBSTITUTE(SUBSTITUTE(SUBSTITUTE(SUBSTITUTE("type:"&amp;B309,"%","%25"),"~","%7E"),"*","%2A"),"?","%3F"),'Rules'!$G$7:$G$26,0)),""))</x:f>
      </x:c>
      <x:c r="I309" s="6" t="str">
        <x:f>IF(AND(NOT(COUNTA(A309:F309)=0),K309=""),ROUND(J309-D309,3),"")</x:f>
      </x:c>
      <x:c r="J309" s="6" t="str">
        <x:f>IF(AND(NOT(COUNTA(A309:F309)=0),K309=""),ROUND(F309+L309,3),"")</x:f>
      </x:c>
      <x:c r="K309" s="5" t="str">
        <x:f>IF(COUNTA(A309:F309)=0,"",IF(A309="","Missing equipment ID",IF(COUNTIFS($N$8:$N$2007,"="&amp;N309)&gt;1,"Duplicate equipment ID",IF(B309="","Missing type",IF(COUNTIFS('Rules'!$G$7:$G$26,"="&amp;(SUBSTITUTE(SUBSTITUTE(SUBSTITUTE(SUBSTITUTE("type:"&amp;B309,"%","%25"),"~","%7E"),"*","%2A"),"?","%3F")))=0,"Unknown type",IF(COUNTIFS('Rules'!$G$7:$G$26,"="&amp;(SUBSTITUTE(SUBSTITUTE(SUBSTITUTE(SUBSTITUTE("type:"&amp;B309,"%","%25"),"~","%7E"),"*","%2A"),"?","%3F")))&gt;1,"Duplicate type",IF(INDEX('Rules'!$F$7:$F$26,MATCH(SUBSTITUTE(SUBSTITUTE(SUBSTITUTE(SUBSTITUTE("type:"&amp;B309,"%","%25"),"~","%7E"),"*","%2A"),"?","%3F"),'Rules'!$G$7:$G$26,0))&lt;&gt;"",INDEX('Rules'!$F$7:$F$26,MATCH(SUBSTITUTE(SUBSTITUTE(SUBSTITUTE(SUBSTITUTE("type:"&amp;B309,"%","%25"),"~","%7E"),"*","%2A"),"?","%3F"),'Rules'!$G$7:$G$26,0)),IF(AND(C309&lt;&gt;"",C309&lt;&gt;INDEX('Rules'!$B$7:$B$26,MATCH(SUBSTITUTE(SUBSTITUTE(SUBSTITUTE(SUBSTITUTE("type:"&amp;B309,"%","%25"),"~","%7E"),"*","%2A"),"?","%3F"),'Rules'!$G$7:$G$26,0))),"Unit mismatch",IF(IF(NOT(ISNUMBER(D309)),TRUE,OR(D309&lt;0,D309&gt;999999999,ROUND(D309,3)&lt;&gt;D309)),"Invalid current reading",IF(AND(E309&lt;&gt;"",IF(NOT(ISNUMBER(E309)),TRUE,OR(E309&lt;0,E309&gt;999999999,ROUND(E309,3)&lt;&gt;E309))),"Invalid previous reading",IF(IF(NOT(ISNUMBER(F309)),TRUE,OR(F309&lt;0,F309&gt;999999999,ROUND(F309,3)&lt;&gt;F309)),"Invalid last service",IF(AND(E309&lt;&gt;"",D309&lt;E309),"Decreased reading",IF(F309&gt;D309,"Last service above current","")))))))))))))</x:f>
      </x:c>
      <x:c r="L309" s="6" t="str">
        <x:f>IF(AND(NOT(COUNTA(A309:F309)=0),K309=""),INDEX('Rules'!$C$7:$C$26,MATCH(SUBSTITUTE(SUBSTITUTE(SUBSTITUTE(SUBSTITUTE("type:"&amp;B309,"%","%25"),"~","%7E"),"*","%2A"),"?","%3F"),'Rules'!$G$7:$G$26,0)),"")</x:f>
      </x:c>
      <x:c r="M309" s="6" t="str">
        <x:f>IF(AND(NOT(COUNTA(A309:F309)=0),K309=""),INDEX('Rules'!$D$7:$D$26,MATCH(SUBSTITUTE(SUBSTITUTE(SUBSTITUTE(SUBSTITUTE("type:"&amp;B309,"%","%25"),"~","%7E"),"*","%2A"),"?","%3F"),'Rules'!$G$7:$G$26,0)),"")</x:f>
      </x:c>
      <x:c r="N309" s="5" t="str">
        <x:f>IF(COUNTA(A309:F309)=0,"",SUBSTITUTE(SUBSTITUTE(SUBSTITUTE(SUBSTITUTE("id:"&amp;A309,"%","%25"),"~","%7E"),"*","%2A"),"?","%3F"))</x:f>
      </x:c>
    </x:row>
    <x:row r="310" ht="22" customHeight="1">
      <x:c r="A310" s="3"/>
      <x:c r="B310" s="3"/>
      <x:c r="C310" s="3"/>
      <x:c r="D310" s="4"/>
      <x:c r="E310" s="4"/>
      <x:c r="F310" s="4"/>
      <x:c r="G310" s="5" t="str">
        <x:f>IF(COUNTA(A310:F310)=0,"",IF(K310&lt;&gt;"","Review",IF(I310&lt;0,"Overdue",IF(I310=0,"Due now",IF(I310&lt;=M310,"Due soon","Not due")))))</x:f>
      </x:c>
      <x:c r="H310" s="5" t="str">
        <x:f>IF(OR(COUNTA(A310:F310)=0,COUNTIFS('Rules'!$G$7:$G$26,"="&amp;(SUBSTITUTE(SUBSTITUTE(SUBSTITUTE(SUBSTITUTE("type:"&amp;B310,"%","%25"),"~","%7E"),"*","%2A"),"?","%3F")))&lt;&gt;1),"",IF(OR(INDEX('Rules'!$B$7:$B$26,MATCH(SUBSTITUTE(SUBSTITUTE(SUBSTITUTE(SUBSTITUTE("type:"&amp;B310,"%","%25"),"~","%7E"),"*","%2A"),"?","%3F"),'Rules'!$G$7:$G$26,0))="hours",INDEX('Rules'!$B$7:$B$26,MATCH(SUBSTITUTE(SUBSTITUTE(SUBSTITUTE(SUBSTITUTE("type:"&amp;B310,"%","%25"),"~","%7E"),"*","%2A"),"?","%3F"),'Rules'!$G$7:$G$26,0))="km"),INDEX('Rules'!$B$7:$B$26,MATCH(SUBSTITUTE(SUBSTITUTE(SUBSTITUTE(SUBSTITUTE("type:"&amp;B310,"%","%25"),"~","%7E"),"*","%2A"),"?","%3F"),'Rules'!$G$7:$G$26,0)),""))</x:f>
      </x:c>
      <x:c r="I310" s="6" t="str">
        <x:f>IF(AND(NOT(COUNTA(A310:F310)=0),K310=""),ROUND(J310-D310,3),"")</x:f>
      </x:c>
      <x:c r="J310" s="6" t="str">
        <x:f>IF(AND(NOT(COUNTA(A310:F310)=0),K310=""),ROUND(F310+L310,3),"")</x:f>
      </x:c>
      <x:c r="K310" s="5" t="str">
        <x:f>IF(COUNTA(A310:F310)=0,"",IF(A310="","Missing equipment ID",IF(COUNTIFS($N$8:$N$2007,"="&amp;N310)&gt;1,"Duplicate equipment ID",IF(B310="","Missing type",IF(COUNTIFS('Rules'!$G$7:$G$26,"="&amp;(SUBSTITUTE(SUBSTITUTE(SUBSTITUTE(SUBSTITUTE("type:"&amp;B310,"%","%25"),"~","%7E"),"*","%2A"),"?","%3F")))=0,"Unknown type",IF(COUNTIFS('Rules'!$G$7:$G$26,"="&amp;(SUBSTITUTE(SUBSTITUTE(SUBSTITUTE(SUBSTITUTE("type:"&amp;B310,"%","%25"),"~","%7E"),"*","%2A"),"?","%3F")))&gt;1,"Duplicate type",IF(INDEX('Rules'!$F$7:$F$26,MATCH(SUBSTITUTE(SUBSTITUTE(SUBSTITUTE(SUBSTITUTE("type:"&amp;B310,"%","%25"),"~","%7E"),"*","%2A"),"?","%3F"),'Rules'!$G$7:$G$26,0))&lt;&gt;"",INDEX('Rules'!$F$7:$F$26,MATCH(SUBSTITUTE(SUBSTITUTE(SUBSTITUTE(SUBSTITUTE("type:"&amp;B310,"%","%25"),"~","%7E"),"*","%2A"),"?","%3F"),'Rules'!$G$7:$G$26,0)),IF(AND(C310&lt;&gt;"",C310&lt;&gt;INDEX('Rules'!$B$7:$B$26,MATCH(SUBSTITUTE(SUBSTITUTE(SUBSTITUTE(SUBSTITUTE("type:"&amp;B310,"%","%25"),"~","%7E"),"*","%2A"),"?","%3F"),'Rules'!$G$7:$G$26,0))),"Unit mismatch",IF(IF(NOT(ISNUMBER(D310)),TRUE,OR(D310&lt;0,D310&gt;999999999,ROUND(D310,3)&lt;&gt;D310)),"Invalid current reading",IF(AND(E310&lt;&gt;"",IF(NOT(ISNUMBER(E310)),TRUE,OR(E310&lt;0,E310&gt;999999999,ROUND(E310,3)&lt;&gt;E310))),"Invalid previous reading",IF(IF(NOT(ISNUMBER(F310)),TRUE,OR(F310&lt;0,F310&gt;999999999,ROUND(F310,3)&lt;&gt;F310)),"Invalid last service",IF(AND(E310&lt;&gt;"",D310&lt;E310),"Decreased reading",IF(F310&gt;D310,"Last service above current","")))))))))))))</x:f>
      </x:c>
      <x:c r="L310" s="6" t="str">
        <x:f>IF(AND(NOT(COUNTA(A310:F310)=0),K310=""),INDEX('Rules'!$C$7:$C$26,MATCH(SUBSTITUTE(SUBSTITUTE(SUBSTITUTE(SUBSTITUTE("type:"&amp;B310,"%","%25"),"~","%7E"),"*","%2A"),"?","%3F"),'Rules'!$G$7:$G$26,0)),"")</x:f>
      </x:c>
      <x:c r="M310" s="6" t="str">
        <x:f>IF(AND(NOT(COUNTA(A310:F310)=0),K310=""),INDEX('Rules'!$D$7:$D$26,MATCH(SUBSTITUTE(SUBSTITUTE(SUBSTITUTE(SUBSTITUTE("type:"&amp;B310,"%","%25"),"~","%7E"),"*","%2A"),"?","%3F"),'Rules'!$G$7:$G$26,0)),"")</x:f>
      </x:c>
      <x:c r="N310" s="5" t="str">
        <x:f>IF(COUNTA(A310:F310)=0,"",SUBSTITUTE(SUBSTITUTE(SUBSTITUTE(SUBSTITUTE("id:"&amp;A310,"%","%25"),"~","%7E"),"*","%2A"),"?","%3F"))</x:f>
      </x:c>
    </x:row>
    <x:row r="311" ht="22" customHeight="1">
      <x:c r="A311" s="3"/>
      <x:c r="B311" s="3"/>
      <x:c r="C311" s="3"/>
      <x:c r="D311" s="4"/>
      <x:c r="E311" s="4"/>
      <x:c r="F311" s="4"/>
      <x:c r="G311" s="5" t="str">
        <x:f>IF(COUNTA(A311:F311)=0,"",IF(K311&lt;&gt;"","Review",IF(I311&lt;0,"Overdue",IF(I311=0,"Due now",IF(I311&lt;=M311,"Due soon","Not due")))))</x:f>
      </x:c>
      <x:c r="H311" s="5" t="str">
        <x:f>IF(OR(COUNTA(A311:F311)=0,COUNTIFS('Rules'!$G$7:$G$26,"="&amp;(SUBSTITUTE(SUBSTITUTE(SUBSTITUTE(SUBSTITUTE("type:"&amp;B311,"%","%25"),"~","%7E"),"*","%2A"),"?","%3F")))&lt;&gt;1),"",IF(OR(INDEX('Rules'!$B$7:$B$26,MATCH(SUBSTITUTE(SUBSTITUTE(SUBSTITUTE(SUBSTITUTE("type:"&amp;B311,"%","%25"),"~","%7E"),"*","%2A"),"?","%3F"),'Rules'!$G$7:$G$26,0))="hours",INDEX('Rules'!$B$7:$B$26,MATCH(SUBSTITUTE(SUBSTITUTE(SUBSTITUTE(SUBSTITUTE("type:"&amp;B311,"%","%25"),"~","%7E"),"*","%2A"),"?","%3F"),'Rules'!$G$7:$G$26,0))="km"),INDEX('Rules'!$B$7:$B$26,MATCH(SUBSTITUTE(SUBSTITUTE(SUBSTITUTE(SUBSTITUTE("type:"&amp;B311,"%","%25"),"~","%7E"),"*","%2A"),"?","%3F"),'Rules'!$G$7:$G$26,0)),""))</x:f>
      </x:c>
      <x:c r="I311" s="6" t="str">
        <x:f>IF(AND(NOT(COUNTA(A311:F311)=0),K311=""),ROUND(J311-D311,3),"")</x:f>
      </x:c>
      <x:c r="J311" s="6" t="str">
        <x:f>IF(AND(NOT(COUNTA(A311:F311)=0),K311=""),ROUND(F311+L311,3),"")</x:f>
      </x:c>
      <x:c r="K311" s="5" t="str">
        <x:f>IF(COUNTA(A311:F311)=0,"",IF(A311="","Missing equipment ID",IF(COUNTIFS($N$8:$N$2007,"="&amp;N311)&gt;1,"Duplicate equipment ID",IF(B311="","Missing type",IF(COUNTIFS('Rules'!$G$7:$G$26,"="&amp;(SUBSTITUTE(SUBSTITUTE(SUBSTITUTE(SUBSTITUTE("type:"&amp;B311,"%","%25"),"~","%7E"),"*","%2A"),"?","%3F")))=0,"Unknown type",IF(COUNTIFS('Rules'!$G$7:$G$26,"="&amp;(SUBSTITUTE(SUBSTITUTE(SUBSTITUTE(SUBSTITUTE("type:"&amp;B311,"%","%25"),"~","%7E"),"*","%2A"),"?","%3F")))&gt;1,"Duplicate type",IF(INDEX('Rules'!$F$7:$F$26,MATCH(SUBSTITUTE(SUBSTITUTE(SUBSTITUTE(SUBSTITUTE("type:"&amp;B311,"%","%25"),"~","%7E"),"*","%2A"),"?","%3F"),'Rules'!$G$7:$G$26,0))&lt;&gt;"",INDEX('Rules'!$F$7:$F$26,MATCH(SUBSTITUTE(SUBSTITUTE(SUBSTITUTE(SUBSTITUTE("type:"&amp;B311,"%","%25"),"~","%7E"),"*","%2A"),"?","%3F"),'Rules'!$G$7:$G$26,0)),IF(AND(C311&lt;&gt;"",C311&lt;&gt;INDEX('Rules'!$B$7:$B$26,MATCH(SUBSTITUTE(SUBSTITUTE(SUBSTITUTE(SUBSTITUTE("type:"&amp;B311,"%","%25"),"~","%7E"),"*","%2A"),"?","%3F"),'Rules'!$G$7:$G$26,0))),"Unit mismatch",IF(IF(NOT(ISNUMBER(D311)),TRUE,OR(D311&lt;0,D311&gt;999999999,ROUND(D311,3)&lt;&gt;D311)),"Invalid current reading",IF(AND(E311&lt;&gt;"",IF(NOT(ISNUMBER(E311)),TRUE,OR(E311&lt;0,E311&gt;999999999,ROUND(E311,3)&lt;&gt;E311))),"Invalid previous reading",IF(IF(NOT(ISNUMBER(F311)),TRUE,OR(F311&lt;0,F311&gt;999999999,ROUND(F311,3)&lt;&gt;F311)),"Invalid last service",IF(AND(E311&lt;&gt;"",D311&lt;E311),"Decreased reading",IF(F311&gt;D311,"Last service above current","")))))))))))))</x:f>
      </x:c>
      <x:c r="L311" s="6" t="str">
        <x:f>IF(AND(NOT(COUNTA(A311:F311)=0),K311=""),INDEX('Rules'!$C$7:$C$26,MATCH(SUBSTITUTE(SUBSTITUTE(SUBSTITUTE(SUBSTITUTE("type:"&amp;B311,"%","%25"),"~","%7E"),"*","%2A"),"?","%3F"),'Rules'!$G$7:$G$26,0)),"")</x:f>
      </x:c>
      <x:c r="M311" s="6" t="str">
        <x:f>IF(AND(NOT(COUNTA(A311:F311)=0),K311=""),INDEX('Rules'!$D$7:$D$26,MATCH(SUBSTITUTE(SUBSTITUTE(SUBSTITUTE(SUBSTITUTE("type:"&amp;B311,"%","%25"),"~","%7E"),"*","%2A"),"?","%3F"),'Rules'!$G$7:$G$26,0)),"")</x:f>
      </x:c>
      <x:c r="N311" s="5" t="str">
        <x:f>IF(COUNTA(A311:F311)=0,"",SUBSTITUTE(SUBSTITUTE(SUBSTITUTE(SUBSTITUTE("id:"&amp;A311,"%","%25"),"~","%7E"),"*","%2A"),"?","%3F"))</x:f>
      </x:c>
    </x:row>
    <x:row r="312" ht="22" customHeight="1">
      <x:c r="A312" s="3"/>
      <x:c r="B312" s="3"/>
      <x:c r="C312" s="3"/>
      <x:c r="D312" s="4"/>
      <x:c r="E312" s="4"/>
      <x:c r="F312" s="4"/>
      <x:c r="G312" s="5" t="str">
        <x:f>IF(COUNTA(A312:F312)=0,"",IF(K312&lt;&gt;"","Review",IF(I312&lt;0,"Overdue",IF(I312=0,"Due now",IF(I312&lt;=M312,"Due soon","Not due")))))</x:f>
      </x:c>
      <x:c r="H312" s="5" t="str">
        <x:f>IF(OR(COUNTA(A312:F312)=0,COUNTIFS('Rules'!$G$7:$G$26,"="&amp;(SUBSTITUTE(SUBSTITUTE(SUBSTITUTE(SUBSTITUTE("type:"&amp;B312,"%","%25"),"~","%7E"),"*","%2A"),"?","%3F")))&lt;&gt;1),"",IF(OR(INDEX('Rules'!$B$7:$B$26,MATCH(SUBSTITUTE(SUBSTITUTE(SUBSTITUTE(SUBSTITUTE("type:"&amp;B312,"%","%25"),"~","%7E"),"*","%2A"),"?","%3F"),'Rules'!$G$7:$G$26,0))="hours",INDEX('Rules'!$B$7:$B$26,MATCH(SUBSTITUTE(SUBSTITUTE(SUBSTITUTE(SUBSTITUTE("type:"&amp;B312,"%","%25"),"~","%7E"),"*","%2A"),"?","%3F"),'Rules'!$G$7:$G$26,0))="km"),INDEX('Rules'!$B$7:$B$26,MATCH(SUBSTITUTE(SUBSTITUTE(SUBSTITUTE(SUBSTITUTE("type:"&amp;B312,"%","%25"),"~","%7E"),"*","%2A"),"?","%3F"),'Rules'!$G$7:$G$26,0)),""))</x:f>
      </x:c>
      <x:c r="I312" s="6" t="str">
        <x:f>IF(AND(NOT(COUNTA(A312:F312)=0),K312=""),ROUND(J312-D312,3),"")</x:f>
      </x:c>
      <x:c r="J312" s="6" t="str">
        <x:f>IF(AND(NOT(COUNTA(A312:F312)=0),K312=""),ROUND(F312+L312,3),"")</x:f>
      </x:c>
      <x:c r="K312" s="5" t="str">
        <x:f>IF(COUNTA(A312:F312)=0,"",IF(A312="","Missing equipment ID",IF(COUNTIFS($N$8:$N$2007,"="&amp;N312)&gt;1,"Duplicate equipment ID",IF(B312="","Missing type",IF(COUNTIFS('Rules'!$G$7:$G$26,"="&amp;(SUBSTITUTE(SUBSTITUTE(SUBSTITUTE(SUBSTITUTE("type:"&amp;B312,"%","%25"),"~","%7E"),"*","%2A"),"?","%3F")))=0,"Unknown type",IF(COUNTIFS('Rules'!$G$7:$G$26,"="&amp;(SUBSTITUTE(SUBSTITUTE(SUBSTITUTE(SUBSTITUTE("type:"&amp;B312,"%","%25"),"~","%7E"),"*","%2A"),"?","%3F")))&gt;1,"Duplicate type",IF(INDEX('Rules'!$F$7:$F$26,MATCH(SUBSTITUTE(SUBSTITUTE(SUBSTITUTE(SUBSTITUTE("type:"&amp;B312,"%","%25"),"~","%7E"),"*","%2A"),"?","%3F"),'Rules'!$G$7:$G$26,0))&lt;&gt;"",INDEX('Rules'!$F$7:$F$26,MATCH(SUBSTITUTE(SUBSTITUTE(SUBSTITUTE(SUBSTITUTE("type:"&amp;B312,"%","%25"),"~","%7E"),"*","%2A"),"?","%3F"),'Rules'!$G$7:$G$26,0)),IF(AND(C312&lt;&gt;"",C312&lt;&gt;INDEX('Rules'!$B$7:$B$26,MATCH(SUBSTITUTE(SUBSTITUTE(SUBSTITUTE(SUBSTITUTE("type:"&amp;B312,"%","%25"),"~","%7E"),"*","%2A"),"?","%3F"),'Rules'!$G$7:$G$26,0))),"Unit mismatch",IF(IF(NOT(ISNUMBER(D312)),TRUE,OR(D312&lt;0,D312&gt;999999999,ROUND(D312,3)&lt;&gt;D312)),"Invalid current reading",IF(AND(E312&lt;&gt;"",IF(NOT(ISNUMBER(E312)),TRUE,OR(E312&lt;0,E312&gt;999999999,ROUND(E312,3)&lt;&gt;E312))),"Invalid previous reading",IF(IF(NOT(ISNUMBER(F312)),TRUE,OR(F312&lt;0,F312&gt;999999999,ROUND(F312,3)&lt;&gt;F312)),"Invalid last service",IF(AND(E312&lt;&gt;"",D312&lt;E312),"Decreased reading",IF(F312&gt;D312,"Last service above current","")))))))))))))</x:f>
      </x:c>
      <x:c r="L312" s="6" t="str">
        <x:f>IF(AND(NOT(COUNTA(A312:F312)=0),K312=""),INDEX('Rules'!$C$7:$C$26,MATCH(SUBSTITUTE(SUBSTITUTE(SUBSTITUTE(SUBSTITUTE("type:"&amp;B312,"%","%25"),"~","%7E"),"*","%2A"),"?","%3F"),'Rules'!$G$7:$G$26,0)),"")</x:f>
      </x:c>
      <x:c r="M312" s="6" t="str">
        <x:f>IF(AND(NOT(COUNTA(A312:F312)=0),K312=""),INDEX('Rules'!$D$7:$D$26,MATCH(SUBSTITUTE(SUBSTITUTE(SUBSTITUTE(SUBSTITUTE("type:"&amp;B312,"%","%25"),"~","%7E"),"*","%2A"),"?","%3F"),'Rules'!$G$7:$G$26,0)),"")</x:f>
      </x:c>
      <x:c r="N312" s="5" t="str">
        <x:f>IF(COUNTA(A312:F312)=0,"",SUBSTITUTE(SUBSTITUTE(SUBSTITUTE(SUBSTITUTE("id:"&amp;A312,"%","%25"),"~","%7E"),"*","%2A"),"?","%3F"))</x:f>
      </x:c>
    </x:row>
    <x:row r="313" ht="22" customHeight="1">
      <x:c r="A313" s="3"/>
      <x:c r="B313" s="3"/>
      <x:c r="C313" s="3"/>
      <x:c r="D313" s="4"/>
      <x:c r="E313" s="4"/>
      <x:c r="F313" s="4"/>
      <x:c r="G313" s="5" t="str">
        <x:f>IF(COUNTA(A313:F313)=0,"",IF(K313&lt;&gt;"","Review",IF(I313&lt;0,"Overdue",IF(I313=0,"Due now",IF(I313&lt;=M313,"Due soon","Not due")))))</x:f>
      </x:c>
      <x:c r="H313" s="5" t="str">
        <x:f>IF(OR(COUNTA(A313:F313)=0,COUNTIFS('Rules'!$G$7:$G$26,"="&amp;(SUBSTITUTE(SUBSTITUTE(SUBSTITUTE(SUBSTITUTE("type:"&amp;B313,"%","%25"),"~","%7E"),"*","%2A"),"?","%3F")))&lt;&gt;1),"",IF(OR(INDEX('Rules'!$B$7:$B$26,MATCH(SUBSTITUTE(SUBSTITUTE(SUBSTITUTE(SUBSTITUTE("type:"&amp;B313,"%","%25"),"~","%7E"),"*","%2A"),"?","%3F"),'Rules'!$G$7:$G$26,0))="hours",INDEX('Rules'!$B$7:$B$26,MATCH(SUBSTITUTE(SUBSTITUTE(SUBSTITUTE(SUBSTITUTE("type:"&amp;B313,"%","%25"),"~","%7E"),"*","%2A"),"?","%3F"),'Rules'!$G$7:$G$26,0))="km"),INDEX('Rules'!$B$7:$B$26,MATCH(SUBSTITUTE(SUBSTITUTE(SUBSTITUTE(SUBSTITUTE("type:"&amp;B313,"%","%25"),"~","%7E"),"*","%2A"),"?","%3F"),'Rules'!$G$7:$G$26,0)),""))</x:f>
      </x:c>
      <x:c r="I313" s="6" t="str">
        <x:f>IF(AND(NOT(COUNTA(A313:F313)=0),K313=""),ROUND(J313-D313,3),"")</x:f>
      </x:c>
      <x:c r="J313" s="6" t="str">
        <x:f>IF(AND(NOT(COUNTA(A313:F313)=0),K313=""),ROUND(F313+L313,3),"")</x:f>
      </x:c>
      <x:c r="K313" s="5" t="str">
        <x:f>IF(COUNTA(A313:F313)=0,"",IF(A313="","Missing equipment ID",IF(COUNTIFS($N$8:$N$2007,"="&amp;N313)&gt;1,"Duplicate equipment ID",IF(B313="","Missing type",IF(COUNTIFS('Rules'!$G$7:$G$26,"="&amp;(SUBSTITUTE(SUBSTITUTE(SUBSTITUTE(SUBSTITUTE("type:"&amp;B313,"%","%25"),"~","%7E"),"*","%2A"),"?","%3F")))=0,"Unknown type",IF(COUNTIFS('Rules'!$G$7:$G$26,"="&amp;(SUBSTITUTE(SUBSTITUTE(SUBSTITUTE(SUBSTITUTE("type:"&amp;B313,"%","%25"),"~","%7E"),"*","%2A"),"?","%3F")))&gt;1,"Duplicate type",IF(INDEX('Rules'!$F$7:$F$26,MATCH(SUBSTITUTE(SUBSTITUTE(SUBSTITUTE(SUBSTITUTE("type:"&amp;B313,"%","%25"),"~","%7E"),"*","%2A"),"?","%3F"),'Rules'!$G$7:$G$26,0))&lt;&gt;"",INDEX('Rules'!$F$7:$F$26,MATCH(SUBSTITUTE(SUBSTITUTE(SUBSTITUTE(SUBSTITUTE("type:"&amp;B313,"%","%25"),"~","%7E"),"*","%2A"),"?","%3F"),'Rules'!$G$7:$G$26,0)),IF(AND(C313&lt;&gt;"",C313&lt;&gt;INDEX('Rules'!$B$7:$B$26,MATCH(SUBSTITUTE(SUBSTITUTE(SUBSTITUTE(SUBSTITUTE("type:"&amp;B313,"%","%25"),"~","%7E"),"*","%2A"),"?","%3F"),'Rules'!$G$7:$G$26,0))),"Unit mismatch",IF(IF(NOT(ISNUMBER(D313)),TRUE,OR(D313&lt;0,D313&gt;999999999,ROUND(D313,3)&lt;&gt;D313)),"Invalid current reading",IF(AND(E313&lt;&gt;"",IF(NOT(ISNUMBER(E313)),TRUE,OR(E313&lt;0,E313&gt;999999999,ROUND(E313,3)&lt;&gt;E313))),"Invalid previous reading",IF(IF(NOT(ISNUMBER(F313)),TRUE,OR(F313&lt;0,F313&gt;999999999,ROUND(F313,3)&lt;&gt;F313)),"Invalid last service",IF(AND(E313&lt;&gt;"",D313&lt;E313),"Decreased reading",IF(F313&gt;D313,"Last service above current","")))))))))))))</x:f>
      </x:c>
      <x:c r="L313" s="6" t="str">
        <x:f>IF(AND(NOT(COUNTA(A313:F313)=0),K313=""),INDEX('Rules'!$C$7:$C$26,MATCH(SUBSTITUTE(SUBSTITUTE(SUBSTITUTE(SUBSTITUTE("type:"&amp;B313,"%","%25"),"~","%7E"),"*","%2A"),"?","%3F"),'Rules'!$G$7:$G$26,0)),"")</x:f>
      </x:c>
      <x:c r="M313" s="6" t="str">
        <x:f>IF(AND(NOT(COUNTA(A313:F313)=0),K313=""),INDEX('Rules'!$D$7:$D$26,MATCH(SUBSTITUTE(SUBSTITUTE(SUBSTITUTE(SUBSTITUTE("type:"&amp;B313,"%","%25"),"~","%7E"),"*","%2A"),"?","%3F"),'Rules'!$G$7:$G$26,0)),"")</x:f>
      </x:c>
      <x:c r="N313" s="5" t="str">
        <x:f>IF(COUNTA(A313:F313)=0,"",SUBSTITUTE(SUBSTITUTE(SUBSTITUTE(SUBSTITUTE("id:"&amp;A313,"%","%25"),"~","%7E"),"*","%2A"),"?","%3F"))</x:f>
      </x:c>
    </x:row>
    <x:row r="314" ht="22" customHeight="1">
      <x:c r="A314" s="3"/>
      <x:c r="B314" s="3"/>
      <x:c r="C314" s="3"/>
      <x:c r="D314" s="4"/>
      <x:c r="E314" s="4"/>
      <x:c r="F314" s="4"/>
      <x:c r="G314" s="5" t="str">
        <x:f>IF(COUNTA(A314:F314)=0,"",IF(K314&lt;&gt;"","Review",IF(I314&lt;0,"Overdue",IF(I314=0,"Due now",IF(I314&lt;=M314,"Due soon","Not due")))))</x:f>
      </x:c>
      <x:c r="H314" s="5" t="str">
        <x:f>IF(OR(COUNTA(A314:F314)=0,COUNTIFS('Rules'!$G$7:$G$26,"="&amp;(SUBSTITUTE(SUBSTITUTE(SUBSTITUTE(SUBSTITUTE("type:"&amp;B314,"%","%25"),"~","%7E"),"*","%2A"),"?","%3F")))&lt;&gt;1),"",IF(OR(INDEX('Rules'!$B$7:$B$26,MATCH(SUBSTITUTE(SUBSTITUTE(SUBSTITUTE(SUBSTITUTE("type:"&amp;B314,"%","%25"),"~","%7E"),"*","%2A"),"?","%3F"),'Rules'!$G$7:$G$26,0))="hours",INDEX('Rules'!$B$7:$B$26,MATCH(SUBSTITUTE(SUBSTITUTE(SUBSTITUTE(SUBSTITUTE("type:"&amp;B314,"%","%25"),"~","%7E"),"*","%2A"),"?","%3F"),'Rules'!$G$7:$G$26,0))="km"),INDEX('Rules'!$B$7:$B$26,MATCH(SUBSTITUTE(SUBSTITUTE(SUBSTITUTE(SUBSTITUTE("type:"&amp;B314,"%","%25"),"~","%7E"),"*","%2A"),"?","%3F"),'Rules'!$G$7:$G$26,0)),""))</x:f>
      </x:c>
      <x:c r="I314" s="6" t="str">
        <x:f>IF(AND(NOT(COUNTA(A314:F314)=0),K314=""),ROUND(J314-D314,3),"")</x:f>
      </x:c>
      <x:c r="J314" s="6" t="str">
        <x:f>IF(AND(NOT(COUNTA(A314:F314)=0),K314=""),ROUND(F314+L314,3),"")</x:f>
      </x:c>
      <x:c r="K314" s="5" t="str">
        <x:f>IF(COUNTA(A314:F314)=0,"",IF(A314="","Missing equipment ID",IF(COUNTIFS($N$8:$N$2007,"="&amp;N314)&gt;1,"Duplicate equipment ID",IF(B314="","Missing type",IF(COUNTIFS('Rules'!$G$7:$G$26,"="&amp;(SUBSTITUTE(SUBSTITUTE(SUBSTITUTE(SUBSTITUTE("type:"&amp;B314,"%","%25"),"~","%7E"),"*","%2A"),"?","%3F")))=0,"Unknown type",IF(COUNTIFS('Rules'!$G$7:$G$26,"="&amp;(SUBSTITUTE(SUBSTITUTE(SUBSTITUTE(SUBSTITUTE("type:"&amp;B314,"%","%25"),"~","%7E"),"*","%2A"),"?","%3F")))&gt;1,"Duplicate type",IF(INDEX('Rules'!$F$7:$F$26,MATCH(SUBSTITUTE(SUBSTITUTE(SUBSTITUTE(SUBSTITUTE("type:"&amp;B314,"%","%25"),"~","%7E"),"*","%2A"),"?","%3F"),'Rules'!$G$7:$G$26,0))&lt;&gt;"",INDEX('Rules'!$F$7:$F$26,MATCH(SUBSTITUTE(SUBSTITUTE(SUBSTITUTE(SUBSTITUTE("type:"&amp;B314,"%","%25"),"~","%7E"),"*","%2A"),"?","%3F"),'Rules'!$G$7:$G$26,0)),IF(AND(C314&lt;&gt;"",C314&lt;&gt;INDEX('Rules'!$B$7:$B$26,MATCH(SUBSTITUTE(SUBSTITUTE(SUBSTITUTE(SUBSTITUTE("type:"&amp;B314,"%","%25"),"~","%7E"),"*","%2A"),"?","%3F"),'Rules'!$G$7:$G$26,0))),"Unit mismatch",IF(IF(NOT(ISNUMBER(D314)),TRUE,OR(D314&lt;0,D314&gt;999999999,ROUND(D314,3)&lt;&gt;D314)),"Invalid current reading",IF(AND(E314&lt;&gt;"",IF(NOT(ISNUMBER(E314)),TRUE,OR(E314&lt;0,E314&gt;999999999,ROUND(E314,3)&lt;&gt;E314))),"Invalid previous reading",IF(IF(NOT(ISNUMBER(F314)),TRUE,OR(F314&lt;0,F314&gt;999999999,ROUND(F314,3)&lt;&gt;F314)),"Invalid last service",IF(AND(E314&lt;&gt;"",D314&lt;E314),"Decreased reading",IF(F314&gt;D314,"Last service above current","")))))))))))))</x:f>
      </x:c>
      <x:c r="L314" s="6" t="str">
        <x:f>IF(AND(NOT(COUNTA(A314:F314)=0),K314=""),INDEX('Rules'!$C$7:$C$26,MATCH(SUBSTITUTE(SUBSTITUTE(SUBSTITUTE(SUBSTITUTE("type:"&amp;B314,"%","%25"),"~","%7E"),"*","%2A"),"?","%3F"),'Rules'!$G$7:$G$26,0)),"")</x:f>
      </x:c>
      <x:c r="M314" s="6" t="str">
        <x:f>IF(AND(NOT(COUNTA(A314:F314)=0),K314=""),INDEX('Rules'!$D$7:$D$26,MATCH(SUBSTITUTE(SUBSTITUTE(SUBSTITUTE(SUBSTITUTE("type:"&amp;B314,"%","%25"),"~","%7E"),"*","%2A"),"?","%3F"),'Rules'!$G$7:$G$26,0)),"")</x:f>
      </x:c>
      <x:c r="N314" s="5" t="str">
        <x:f>IF(COUNTA(A314:F314)=0,"",SUBSTITUTE(SUBSTITUTE(SUBSTITUTE(SUBSTITUTE("id:"&amp;A314,"%","%25"),"~","%7E"),"*","%2A"),"?","%3F"))</x:f>
      </x:c>
    </x:row>
    <x:row r="315" ht="22" customHeight="1">
      <x:c r="A315" s="3"/>
      <x:c r="B315" s="3"/>
      <x:c r="C315" s="3"/>
      <x:c r="D315" s="4"/>
      <x:c r="E315" s="4"/>
      <x:c r="F315" s="4"/>
      <x:c r="G315" s="5" t="str">
        <x:f>IF(COUNTA(A315:F315)=0,"",IF(K315&lt;&gt;"","Review",IF(I315&lt;0,"Overdue",IF(I315=0,"Due now",IF(I315&lt;=M315,"Due soon","Not due")))))</x:f>
      </x:c>
      <x:c r="H315" s="5" t="str">
        <x:f>IF(OR(COUNTA(A315:F315)=0,COUNTIFS('Rules'!$G$7:$G$26,"="&amp;(SUBSTITUTE(SUBSTITUTE(SUBSTITUTE(SUBSTITUTE("type:"&amp;B315,"%","%25"),"~","%7E"),"*","%2A"),"?","%3F")))&lt;&gt;1),"",IF(OR(INDEX('Rules'!$B$7:$B$26,MATCH(SUBSTITUTE(SUBSTITUTE(SUBSTITUTE(SUBSTITUTE("type:"&amp;B315,"%","%25"),"~","%7E"),"*","%2A"),"?","%3F"),'Rules'!$G$7:$G$26,0))="hours",INDEX('Rules'!$B$7:$B$26,MATCH(SUBSTITUTE(SUBSTITUTE(SUBSTITUTE(SUBSTITUTE("type:"&amp;B315,"%","%25"),"~","%7E"),"*","%2A"),"?","%3F"),'Rules'!$G$7:$G$26,0))="km"),INDEX('Rules'!$B$7:$B$26,MATCH(SUBSTITUTE(SUBSTITUTE(SUBSTITUTE(SUBSTITUTE("type:"&amp;B315,"%","%25"),"~","%7E"),"*","%2A"),"?","%3F"),'Rules'!$G$7:$G$26,0)),""))</x:f>
      </x:c>
      <x:c r="I315" s="6" t="str">
        <x:f>IF(AND(NOT(COUNTA(A315:F315)=0),K315=""),ROUND(J315-D315,3),"")</x:f>
      </x:c>
      <x:c r="J315" s="6" t="str">
        <x:f>IF(AND(NOT(COUNTA(A315:F315)=0),K315=""),ROUND(F315+L315,3),"")</x:f>
      </x:c>
      <x:c r="K315" s="5" t="str">
        <x:f>IF(COUNTA(A315:F315)=0,"",IF(A315="","Missing equipment ID",IF(COUNTIFS($N$8:$N$2007,"="&amp;N315)&gt;1,"Duplicate equipment ID",IF(B315="","Missing type",IF(COUNTIFS('Rules'!$G$7:$G$26,"="&amp;(SUBSTITUTE(SUBSTITUTE(SUBSTITUTE(SUBSTITUTE("type:"&amp;B315,"%","%25"),"~","%7E"),"*","%2A"),"?","%3F")))=0,"Unknown type",IF(COUNTIFS('Rules'!$G$7:$G$26,"="&amp;(SUBSTITUTE(SUBSTITUTE(SUBSTITUTE(SUBSTITUTE("type:"&amp;B315,"%","%25"),"~","%7E"),"*","%2A"),"?","%3F")))&gt;1,"Duplicate type",IF(INDEX('Rules'!$F$7:$F$26,MATCH(SUBSTITUTE(SUBSTITUTE(SUBSTITUTE(SUBSTITUTE("type:"&amp;B315,"%","%25"),"~","%7E"),"*","%2A"),"?","%3F"),'Rules'!$G$7:$G$26,0))&lt;&gt;"",INDEX('Rules'!$F$7:$F$26,MATCH(SUBSTITUTE(SUBSTITUTE(SUBSTITUTE(SUBSTITUTE("type:"&amp;B315,"%","%25"),"~","%7E"),"*","%2A"),"?","%3F"),'Rules'!$G$7:$G$26,0)),IF(AND(C315&lt;&gt;"",C315&lt;&gt;INDEX('Rules'!$B$7:$B$26,MATCH(SUBSTITUTE(SUBSTITUTE(SUBSTITUTE(SUBSTITUTE("type:"&amp;B315,"%","%25"),"~","%7E"),"*","%2A"),"?","%3F"),'Rules'!$G$7:$G$26,0))),"Unit mismatch",IF(IF(NOT(ISNUMBER(D315)),TRUE,OR(D315&lt;0,D315&gt;999999999,ROUND(D315,3)&lt;&gt;D315)),"Invalid current reading",IF(AND(E315&lt;&gt;"",IF(NOT(ISNUMBER(E315)),TRUE,OR(E315&lt;0,E315&gt;999999999,ROUND(E315,3)&lt;&gt;E315))),"Invalid previous reading",IF(IF(NOT(ISNUMBER(F315)),TRUE,OR(F315&lt;0,F315&gt;999999999,ROUND(F315,3)&lt;&gt;F315)),"Invalid last service",IF(AND(E315&lt;&gt;"",D315&lt;E315),"Decreased reading",IF(F315&gt;D315,"Last service above current","")))))))))))))</x:f>
      </x:c>
      <x:c r="L315" s="6" t="str">
        <x:f>IF(AND(NOT(COUNTA(A315:F315)=0),K315=""),INDEX('Rules'!$C$7:$C$26,MATCH(SUBSTITUTE(SUBSTITUTE(SUBSTITUTE(SUBSTITUTE("type:"&amp;B315,"%","%25"),"~","%7E"),"*","%2A"),"?","%3F"),'Rules'!$G$7:$G$26,0)),"")</x:f>
      </x:c>
      <x:c r="M315" s="6" t="str">
        <x:f>IF(AND(NOT(COUNTA(A315:F315)=0),K315=""),INDEX('Rules'!$D$7:$D$26,MATCH(SUBSTITUTE(SUBSTITUTE(SUBSTITUTE(SUBSTITUTE("type:"&amp;B315,"%","%25"),"~","%7E"),"*","%2A"),"?","%3F"),'Rules'!$G$7:$G$26,0)),"")</x:f>
      </x:c>
      <x:c r="N315" s="5" t="str">
        <x:f>IF(COUNTA(A315:F315)=0,"",SUBSTITUTE(SUBSTITUTE(SUBSTITUTE(SUBSTITUTE("id:"&amp;A315,"%","%25"),"~","%7E"),"*","%2A"),"?","%3F"))</x:f>
      </x:c>
    </x:row>
    <x:row r="316" ht="22" customHeight="1">
      <x:c r="A316" s="3"/>
      <x:c r="B316" s="3"/>
      <x:c r="C316" s="3"/>
      <x:c r="D316" s="4"/>
      <x:c r="E316" s="4"/>
      <x:c r="F316" s="4"/>
      <x:c r="G316" s="5" t="str">
        <x:f>IF(COUNTA(A316:F316)=0,"",IF(K316&lt;&gt;"","Review",IF(I316&lt;0,"Overdue",IF(I316=0,"Due now",IF(I316&lt;=M316,"Due soon","Not due")))))</x:f>
      </x:c>
      <x:c r="H316" s="5" t="str">
        <x:f>IF(OR(COUNTA(A316:F316)=0,COUNTIFS('Rules'!$G$7:$G$26,"="&amp;(SUBSTITUTE(SUBSTITUTE(SUBSTITUTE(SUBSTITUTE("type:"&amp;B316,"%","%25"),"~","%7E"),"*","%2A"),"?","%3F")))&lt;&gt;1),"",IF(OR(INDEX('Rules'!$B$7:$B$26,MATCH(SUBSTITUTE(SUBSTITUTE(SUBSTITUTE(SUBSTITUTE("type:"&amp;B316,"%","%25"),"~","%7E"),"*","%2A"),"?","%3F"),'Rules'!$G$7:$G$26,0))="hours",INDEX('Rules'!$B$7:$B$26,MATCH(SUBSTITUTE(SUBSTITUTE(SUBSTITUTE(SUBSTITUTE("type:"&amp;B316,"%","%25"),"~","%7E"),"*","%2A"),"?","%3F"),'Rules'!$G$7:$G$26,0))="km"),INDEX('Rules'!$B$7:$B$26,MATCH(SUBSTITUTE(SUBSTITUTE(SUBSTITUTE(SUBSTITUTE("type:"&amp;B316,"%","%25"),"~","%7E"),"*","%2A"),"?","%3F"),'Rules'!$G$7:$G$26,0)),""))</x:f>
      </x:c>
      <x:c r="I316" s="6" t="str">
        <x:f>IF(AND(NOT(COUNTA(A316:F316)=0),K316=""),ROUND(J316-D316,3),"")</x:f>
      </x:c>
      <x:c r="J316" s="6" t="str">
        <x:f>IF(AND(NOT(COUNTA(A316:F316)=0),K316=""),ROUND(F316+L316,3),"")</x:f>
      </x:c>
      <x:c r="K316" s="5" t="str">
        <x:f>IF(COUNTA(A316:F316)=0,"",IF(A316="","Missing equipment ID",IF(COUNTIFS($N$8:$N$2007,"="&amp;N316)&gt;1,"Duplicate equipment ID",IF(B316="","Missing type",IF(COUNTIFS('Rules'!$G$7:$G$26,"="&amp;(SUBSTITUTE(SUBSTITUTE(SUBSTITUTE(SUBSTITUTE("type:"&amp;B316,"%","%25"),"~","%7E"),"*","%2A"),"?","%3F")))=0,"Unknown type",IF(COUNTIFS('Rules'!$G$7:$G$26,"="&amp;(SUBSTITUTE(SUBSTITUTE(SUBSTITUTE(SUBSTITUTE("type:"&amp;B316,"%","%25"),"~","%7E"),"*","%2A"),"?","%3F")))&gt;1,"Duplicate type",IF(INDEX('Rules'!$F$7:$F$26,MATCH(SUBSTITUTE(SUBSTITUTE(SUBSTITUTE(SUBSTITUTE("type:"&amp;B316,"%","%25"),"~","%7E"),"*","%2A"),"?","%3F"),'Rules'!$G$7:$G$26,0))&lt;&gt;"",INDEX('Rules'!$F$7:$F$26,MATCH(SUBSTITUTE(SUBSTITUTE(SUBSTITUTE(SUBSTITUTE("type:"&amp;B316,"%","%25"),"~","%7E"),"*","%2A"),"?","%3F"),'Rules'!$G$7:$G$26,0)),IF(AND(C316&lt;&gt;"",C316&lt;&gt;INDEX('Rules'!$B$7:$B$26,MATCH(SUBSTITUTE(SUBSTITUTE(SUBSTITUTE(SUBSTITUTE("type:"&amp;B316,"%","%25"),"~","%7E"),"*","%2A"),"?","%3F"),'Rules'!$G$7:$G$26,0))),"Unit mismatch",IF(IF(NOT(ISNUMBER(D316)),TRUE,OR(D316&lt;0,D316&gt;999999999,ROUND(D316,3)&lt;&gt;D316)),"Invalid current reading",IF(AND(E316&lt;&gt;"",IF(NOT(ISNUMBER(E316)),TRUE,OR(E316&lt;0,E316&gt;999999999,ROUND(E316,3)&lt;&gt;E316))),"Invalid previous reading",IF(IF(NOT(ISNUMBER(F316)),TRUE,OR(F316&lt;0,F316&gt;999999999,ROUND(F316,3)&lt;&gt;F316)),"Invalid last service",IF(AND(E316&lt;&gt;"",D316&lt;E316),"Decreased reading",IF(F316&gt;D316,"Last service above current","")))))))))))))</x:f>
      </x:c>
      <x:c r="L316" s="6" t="str">
        <x:f>IF(AND(NOT(COUNTA(A316:F316)=0),K316=""),INDEX('Rules'!$C$7:$C$26,MATCH(SUBSTITUTE(SUBSTITUTE(SUBSTITUTE(SUBSTITUTE("type:"&amp;B316,"%","%25"),"~","%7E"),"*","%2A"),"?","%3F"),'Rules'!$G$7:$G$26,0)),"")</x:f>
      </x:c>
      <x:c r="M316" s="6" t="str">
        <x:f>IF(AND(NOT(COUNTA(A316:F316)=0),K316=""),INDEX('Rules'!$D$7:$D$26,MATCH(SUBSTITUTE(SUBSTITUTE(SUBSTITUTE(SUBSTITUTE("type:"&amp;B316,"%","%25"),"~","%7E"),"*","%2A"),"?","%3F"),'Rules'!$G$7:$G$26,0)),"")</x:f>
      </x:c>
      <x:c r="N316" s="5" t="str">
        <x:f>IF(COUNTA(A316:F316)=0,"",SUBSTITUTE(SUBSTITUTE(SUBSTITUTE(SUBSTITUTE("id:"&amp;A316,"%","%25"),"~","%7E"),"*","%2A"),"?","%3F"))</x:f>
      </x:c>
    </x:row>
    <x:row r="317" ht="22" customHeight="1">
      <x:c r="A317" s="3"/>
      <x:c r="B317" s="3"/>
      <x:c r="C317" s="3"/>
      <x:c r="D317" s="4"/>
      <x:c r="E317" s="4"/>
      <x:c r="F317" s="4"/>
      <x:c r="G317" s="5" t="str">
        <x:f>IF(COUNTA(A317:F317)=0,"",IF(K317&lt;&gt;"","Review",IF(I317&lt;0,"Overdue",IF(I317=0,"Due now",IF(I317&lt;=M317,"Due soon","Not due")))))</x:f>
      </x:c>
      <x:c r="H317" s="5" t="str">
        <x:f>IF(OR(COUNTA(A317:F317)=0,COUNTIFS('Rules'!$G$7:$G$26,"="&amp;(SUBSTITUTE(SUBSTITUTE(SUBSTITUTE(SUBSTITUTE("type:"&amp;B317,"%","%25"),"~","%7E"),"*","%2A"),"?","%3F")))&lt;&gt;1),"",IF(OR(INDEX('Rules'!$B$7:$B$26,MATCH(SUBSTITUTE(SUBSTITUTE(SUBSTITUTE(SUBSTITUTE("type:"&amp;B317,"%","%25"),"~","%7E"),"*","%2A"),"?","%3F"),'Rules'!$G$7:$G$26,0))="hours",INDEX('Rules'!$B$7:$B$26,MATCH(SUBSTITUTE(SUBSTITUTE(SUBSTITUTE(SUBSTITUTE("type:"&amp;B317,"%","%25"),"~","%7E"),"*","%2A"),"?","%3F"),'Rules'!$G$7:$G$26,0))="km"),INDEX('Rules'!$B$7:$B$26,MATCH(SUBSTITUTE(SUBSTITUTE(SUBSTITUTE(SUBSTITUTE("type:"&amp;B317,"%","%25"),"~","%7E"),"*","%2A"),"?","%3F"),'Rules'!$G$7:$G$26,0)),""))</x:f>
      </x:c>
      <x:c r="I317" s="6" t="str">
        <x:f>IF(AND(NOT(COUNTA(A317:F317)=0),K317=""),ROUND(J317-D317,3),"")</x:f>
      </x:c>
      <x:c r="J317" s="6" t="str">
        <x:f>IF(AND(NOT(COUNTA(A317:F317)=0),K317=""),ROUND(F317+L317,3),"")</x:f>
      </x:c>
      <x:c r="K317" s="5" t="str">
        <x:f>IF(COUNTA(A317:F317)=0,"",IF(A317="","Missing equipment ID",IF(COUNTIFS($N$8:$N$2007,"="&amp;N317)&gt;1,"Duplicate equipment ID",IF(B317="","Missing type",IF(COUNTIFS('Rules'!$G$7:$G$26,"="&amp;(SUBSTITUTE(SUBSTITUTE(SUBSTITUTE(SUBSTITUTE("type:"&amp;B317,"%","%25"),"~","%7E"),"*","%2A"),"?","%3F")))=0,"Unknown type",IF(COUNTIFS('Rules'!$G$7:$G$26,"="&amp;(SUBSTITUTE(SUBSTITUTE(SUBSTITUTE(SUBSTITUTE("type:"&amp;B317,"%","%25"),"~","%7E"),"*","%2A"),"?","%3F")))&gt;1,"Duplicate type",IF(INDEX('Rules'!$F$7:$F$26,MATCH(SUBSTITUTE(SUBSTITUTE(SUBSTITUTE(SUBSTITUTE("type:"&amp;B317,"%","%25"),"~","%7E"),"*","%2A"),"?","%3F"),'Rules'!$G$7:$G$26,0))&lt;&gt;"",INDEX('Rules'!$F$7:$F$26,MATCH(SUBSTITUTE(SUBSTITUTE(SUBSTITUTE(SUBSTITUTE("type:"&amp;B317,"%","%25"),"~","%7E"),"*","%2A"),"?","%3F"),'Rules'!$G$7:$G$26,0)),IF(AND(C317&lt;&gt;"",C317&lt;&gt;INDEX('Rules'!$B$7:$B$26,MATCH(SUBSTITUTE(SUBSTITUTE(SUBSTITUTE(SUBSTITUTE("type:"&amp;B317,"%","%25"),"~","%7E"),"*","%2A"),"?","%3F"),'Rules'!$G$7:$G$26,0))),"Unit mismatch",IF(IF(NOT(ISNUMBER(D317)),TRUE,OR(D317&lt;0,D317&gt;999999999,ROUND(D317,3)&lt;&gt;D317)),"Invalid current reading",IF(AND(E317&lt;&gt;"",IF(NOT(ISNUMBER(E317)),TRUE,OR(E317&lt;0,E317&gt;999999999,ROUND(E317,3)&lt;&gt;E317))),"Invalid previous reading",IF(IF(NOT(ISNUMBER(F317)),TRUE,OR(F317&lt;0,F317&gt;999999999,ROUND(F317,3)&lt;&gt;F317)),"Invalid last service",IF(AND(E317&lt;&gt;"",D317&lt;E317),"Decreased reading",IF(F317&gt;D317,"Last service above current","")))))))))))))</x:f>
      </x:c>
      <x:c r="L317" s="6" t="str">
        <x:f>IF(AND(NOT(COUNTA(A317:F317)=0),K317=""),INDEX('Rules'!$C$7:$C$26,MATCH(SUBSTITUTE(SUBSTITUTE(SUBSTITUTE(SUBSTITUTE("type:"&amp;B317,"%","%25"),"~","%7E"),"*","%2A"),"?","%3F"),'Rules'!$G$7:$G$26,0)),"")</x:f>
      </x:c>
      <x:c r="M317" s="6" t="str">
        <x:f>IF(AND(NOT(COUNTA(A317:F317)=0),K317=""),INDEX('Rules'!$D$7:$D$26,MATCH(SUBSTITUTE(SUBSTITUTE(SUBSTITUTE(SUBSTITUTE("type:"&amp;B317,"%","%25"),"~","%7E"),"*","%2A"),"?","%3F"),'Rules'!$G$7:$G$26,0)),"")</x:f>
      </x:c>
      <x:c r="N317" s="5" t="str">
        <x:f>IF(COUNTA(A317:F317)=0,"",SUBSTITUTE(SUBSTITUTE(SUBSTITUTE(SUBSTITUTE("id:"&amp;A317,"%","%25"),"~","%7E"),"*","%2A"),"?","%3F"))</x:f>
      </x:c>
    </x:row>
    <x:row r="318" ht="22" customHeight="1">
      <x:c r="A318" s="3"/>
      <x:c r="B318" s="3"/>
      <x:c r="C318" s="3"/>
      <x:c r="D318" s="4"/>
      <x:c r="E318" s="4"/>
      <x:c r="F318" s="4"/>
      <x:c r="G318" s="5" t="str">
        <x:f>IF(COUNTA(A318:F318)=0,"",IF(K318&lt;&gt;"","Review",IF(I318&lt;0,"Overdue",IF(I318=0,"Due now",IF(I318&lt;=M318,"Due soon","Not due")))))</x:f>
      </x:c>
      <x:c r="H318" s="5" t="str">
        <x:f>IF(OR(COUNTA(A318:F318)=0,COUNTIFS('Rules'!$G$7:$G$26,"="&amp;(SUBSTITUTE(SUBSTITUTE(SUBSTITUTE(SUBSTITUTE("type:"&amp;B318,"%","%25"),"~","%7E"),"*","%2A"),"?","%3F")))&lt;&gt;1),"",IF(OR(INDEX('Rules'!$B$7:$B$26,MATCH(SUBSTITUTE(SUBSTITUTE(SUBSTITUTE(SUBSTITUTE("type:"&amp;B318,"%","%25"),"~","%7E"),"*","%2A"),"?","%3F"),'Rules'!$G$7:$G$26,0))="hours",INDEX('Rules'!$B$7:$B$26,MATCH(SUBSTITUTE(SUBSTITUTE(SUBSTITUTE(SUBSTITUTE("type:"&amp;B318,"%","%25"),"~","%7E"),"*","%2A"),"?","%3F"),'Rules'!$G$7:$G$26,0))="km"),INDEX('Rules'!$B$7:$B$26,MATCH(SUBSTITUTE(SUBSTITUTE(SUBSTITUTE(SUBSTITUTE("type:"&amp;B318,"%","%25"),"~","%7E"),"*","%2A"),"?","%3F"),'Rules'!$G$7:$G$26,0)),""))</x:f>
      </x:c>
      <x:c r="I318" s="6" t="str">
        <x:f>IF(AND(NOT(COUNTA(A318:F318)=0),K318=""),ROUND(J318-D318,3),"")</x:f>
      </x:c>
      <x:c r="J318" s="6" t="str">
        <x:f>IF(AND(NOT(COUNTA(A318:F318)=0),K318=""),ROUND(F318+L318,3),"")</x:f>
      </x:c>
      <x:c r="K318" s="5" t="str">
        <x:f>IF(COUNTA(A318:F318)=0,"",IF(A318="","Missing equipment ID",IF(COUNTIFS($N$8:$N$2007,"="&amp;N318)&gt;1,"Duplicate equipment ID",IF(B318="","Missing type",IF(COUNTIFS('Rules'!$G$7:$G$26,"="&amp;(SUBSTITUTE(SUBSTITUTE(SUBSTITUTE(SUBSTITUTE("type:"&amp;B318,"%","%25"),"~","%7E"),"*","%2A"),"?","%3F")))=0,"Unknown type",IF(COUNTIFS('Rules'!$G$7:$G$26,"="&amp;(SUBSTITUTE(SUBSTITUTE(SUBSTITUTE(SUBSTITUTE("type:"&amp;B318,"%","%25"),"~","%7E"),"*","%2A"),"?","%3F")))&gt;1,"Duplicate type",IF(INDEX('Rules'!$F$7:$F$26,MATCH(SUBSTITUTE(SUBSTITUTE(SUBSTITUTE(SUBSTITUTE("type:"&amp;B318,"%","%25"),"~","%7E"),"*","%2A"),"?","%3F"),'Rules'!$G$7:$G$26,0))&lt;&gt;"",INDEX('Rules'!$F$7:$F$26,MATCH(SUBSTITUTE(SUBSTITUTE(SUBSTITUTE(SUBSTITUTE("type:"&amp;B318,"%","%25"),"~","%7E"),"*","%2A"),"?","%3F"),'Rules'!$G$7:$G$26,0)),IF(AND(C318&lt;&gt;"",C318&lt;&gt;INDEX('Rules'!$B$7:$B$26,MATCH(SUBSTITUTE(SUBSTITUTE(SUBSTITUTE(SUBSTITUTE("type:"&amp;B318,"%","%25"),"~","%7E"),"*","%2A"),"?","%3F"),'Rules'!$G$7:$G$26,0))),"Unit mismatch",IF(IF(NOT(ISNUMBER(D318)),TRUE,OR(D318&lt;0,D318&gt;999999999,ROUND(D318,3)&lt;&gt;D318)),"Invalid current reading",IF(AND(E318&lt;&gt;"",IF(NOT(ISNUMBER(E318)),TRUE,OR(E318&lt;0,E318&gt;999999999,ROUND(E318,3)&lt;&gt;E318))),"Invalid previous reading",IF(IF(NOT(ISNUMBER(F318)),TRUE,OR(F318&lt;0,F318&gt;999999999,ROUND(F318,3)&lt;&gt;F318)),"Invalid last service",IF(AND(E318&lt;&gt;"",D318&lt;E318),"Decreased reading",IF(F318&gt;D318,"Last service above current","")))))))))))))</x:f>
      </x:c>
      <x:c r="L318" s="6" t="str">
        <x:f>IF(AND(NOT(COUNTA(A318:F318)=0),K318=""),INDEX('Rules'!$C$7:$C$26,MATCH(SUBSTITUTE(SUBSTITUTE(SUBSTITUTE(SUBSTITUTE("type:"&amp;B318,"%","%25"),"~","%7E"),"*","%2A"),"?","%3F"),'Rules'!$G$7:$G$26,0)),"")</x:f>
      </x:c>
      <x:c r="M318" s="6" t="str">
        <x:f>IF(AND(NOT(COUNTA(A318:F318)=0),K318=""),INDEX('Rules'!$D$7:$D$26,MATCH(SUBSTITUTE(SUBSTITUTE(SUBSTITUTE(SUBSTITUTE("type:"&amp;B318,"%","%25"),"~","%7E"),"*","%2A"),"?","%3F"),'Rules'!$G$7:$G$26,0)),"")</x:f>
      </x:c>
      <x:c r="N318" s="5" t="str">
        <x:f>IF(COUNTA(A318:F318)=0,"",SUBSTITUTE(SUBSTITUTE(SUBSTITUTE(SUBSTITUTE("id:"&amp;A318,"%","%25"),"~","%7E"),"*","%2A"),"?","%3F"))</x:f>
      </x:c>
    </x:row>
    <x:row r="319" ht="22" customHeight="1">
      <x:c r="A319" s="3"/>
      <x:c r="B319" s="3"/>
      <x:c r="C319" s="3"/>
      <x:c r="D319" s="4"/>
      <x:c r="E319" s="4"/>
      <x:c r="F319" s="4"/>
      <x:c r="G319" s="5" t="str">
        <x:f>IF(COUNTA(A319:F319)=0,"",IF(K319&lt;&gt;"","Review",IF(I319&lt;0,"Overdue",IF(I319=0,"Due now",IF(I319&lt;=M319,"Due soon","Not due")))))</x:f>
      </x:c>
      <x:c r="H319" s="5" t="str">
        <x:f>IF(OR(COUNTA(A319:F319)=0,COUNTIFS('Rules'!$G$7:$G$26,"="&amp;(SUBSTITUTE(SUBSTITUTE(SUBSTITUTE(SUBSTITUTE("type:"&amp;B319,"%","%25"),"~","%7E"),"*","%2A"),"?","%3F")))&lt;&gt;1),"",IF(OR(INDEX('Rules'!$B$7:$B$26,MATCH(SUBSTITUTE(SUBSTITUTE(SUBSTITUTE(SUBSTITUTE("type:"&amp;B319,"%","%25"),"~","%7E"),"*","%2A"),"?","%3F"),'Rules'!$G$7:$G$26,0))="hours",INDEX('Rules'!$B$7:$B$26,MATCH(SUBSTITUTE(SUBSTITUTE(SUBSTITUTE(SUBSTITUTE("type:"&amp;B319,"%","%25"),"~","%7E"),"*","%2A"),"?","%3F"),'Rules'!$G$7:$G$26,0))="km"),INDEX('Rules'!$B$7:$B$26,MATCH(SUBSTITUTE(SUBSTITUTE(SUBSTITUTE(SUBSTITUTE("type:"&amp;B319,"%","%25"),"~","%7E"),"*","%2A"),"?","%3F"),'Rules'!$G$7:$G$26,0)),""))</x:f>
      </x:c>
      <x:c r="I319" s="6" t="str">
        <x:f>IF(AND(NOT(COUNTA(A319:F319)=0),K319=""),ROUND(J319-D319,3),"")</x:f>
      </x:c>
      <x:c r="J319" s="6" t="str">
        <x:f>IF(AND(NOT(COUNTA(A319:F319)=0),K319=""),ROUND(F319+L319,3),"")</x:f>
      </x:c>
      <x:c r="K319" s="5" t="str">
        <x:f>IF(COUNTA(A319:F319)=0,"",IF(A319="","Missing equipment ID",IF(COUNTIFS($N$8:$N$2007,"="&amp;N319)&gt;1,"Duplicate equipment ID",IF(B319="","Missing type",IF(COUNTIFS('Rules'!$G$7:$G$26,"="&amp;(SUBSTITUTE(SUBSTITUTE(SUBSTITUTE(SUBSTITUTE("type:"&amp;B319,"%","%25"),"~","%7E"),"*","%2A"),"?","%3F")))=0,"Unknown type",IF(COUNTIFS('Rules'!$G$7:$G$26,"="&amp;(SUBSTITUTE(SUBSTITUTE(SUBSTITUTE(SUBSTITUTE("type:"&amp;B319,"%","%25"),"~","%7E"),"*","%2A"),"?","%3F")))&gt;1,"Duplicate type",IF(INDEX('Rules'!$F$7:$F$26,MATCH(SUBSTITUTE(SUBSTITUTE(SUBSTITUTE(SUBSTITUTE("type:"&amp;B319,"%","%25"),"~","%7E"),"*","%2A"),"?","%3F"),'Rules'!$G$7:$G$26,0))&lt;&gt;"",INDEX('Rules'!$F$7:$F$26,MATCH(SUBSTITUTE(SUBSTITUTE(SUBSTITUTE(SUBSTITUTE("type:"&amp;B319,"%","%25"),"~","%7E"),"*","%2A"),"?","%3F"),'Rules'!$G$7:$G$26,0)),IF(AND(C319&lt;&gt;"",C319&lt;&gt;INDEX('Rules'!$B$7:$B$26,MATCH(SUBSTITUTE(SUBSTITUTE(SUBSTITUTE(SUBSTITUTE("type:"&amp;B319,"%","%25"),"~","%7E"),"*","%2A"),"?","%3F"),'Rules'!$G$7:$G$26,0))),"Unit mismatch",IF(IF(NOT(ISNUMBER(D319)),TRUE,OR(D319&lt;0,D319&gt;999999999,ROUND(D319,3)&lt;&gt;D319)),"Invalid current reading",IF(AND(E319&lt;&gt;"",IF(NOT(ISNUMBER(E319)),TRUE,OR(E319&lt;0,E319&gt;999999999,ROUND(E319,3)&lt;&gt;E319))),"Invalid previous reading",IF(IF(NOT(ISNUMBER(F319)),TRUE,OR(F319&lt;0,F319&gt;999999999,ROUND(F319,3)&lt;&gt;F319)),"Invalid last service",IF(AND(E319&lt;&gt;"",D319&lt;E319),"Decreased reading",IF(F319&gt;D319,"Last service above current","")))))))))))))</x:f>
      </x:c>
      <x:c r="L319" s="6" t="str">
        <x:f>IF(AND(NOT(COUNTA(A319:F319)=0),K319=""),INDEX('Rules'!$C$7:$C$26,MATCH(SUBSTITUTE(SUBSTITUTE(SUBSTITUTE(SUBSTITUTE("type:"&amp;B319,"%","%25"),"~","%7E"),"*","%2A"),"?","%3F"),'Rules'!$G$7:$G$26,0)),"")</x:f>
      </x:c>
      <x:c r="M319" s="6" t="str">
        <x:f>IF(AND(NOT(COUNTA(A319:F319)=0),K319=""),INDEX('Rules'!$D$7:$D$26,MATCH(SUBSTITUTE(SUBSTITUTE(SUBSTITUTE(SUBSTITUTE("type:"&amp;B319,"%","%25"),"~","%7E"),"*","%2A"),"?","%3F"),'Rules'!$G$7:$G$26,0)),"")</x:f>
      </x:c>
      <x:c r="N319" s="5" t="str">
        <x:f>IF(COUNTA(A319:F319)=0,"",SUBSTITUTE(SUBSTITUTE(SUBSTITUTE(SUBSTITUTE("id:"&amp;A319,"%","%25"),"~","%7E"),"*","%2A"),"?","%3F"))</x:f>
      </x:c>
    </x:row>
    <x:row r="320" ht="22" customHeight="1">
      <x:c r="A320" s="3"/>
      <x:c r="B320" s="3"/>
      <x:c r="C320" s="3"/>
      <x:c r="D320" s="4"/>
      <x:c r="E320" s="4"/>
      <x:c r="F320" s="4"/>
      <x:c r="G320" s="5" t="str">
        <x:f>IF(COUNTA(A320:F320)=0,"",IF(K320&lt;&gt;"","Review",IF(I320&lt;0,"Overdue",IF(I320=0,"Due now",IF(I320&lt;=M320,"Due soon","Not due")))))</x:f>
      </x:c>
      <x:c r="H320" s="5" t="str">
        <x:f>IF(OR(COUNTA(A320:F320)=0,COUNTIFS('Rules'!$G$7:$G$26,"="&amp;(SUBSTITUTE(SUBSTITUTE(SUBSTITUTE(SUBSTITUTE("type:"&amp;B320,"%","%25"),"~","%7E"),"*","%2A"),"?","%3F")))&lt;&gt;1),"",IF(OR(INDEX('Rules'!$B$7:$B$26,MATCH(SUBSTITUTE(SUBSTITUTE(SUBSTITUTE(SUBSTITUTE("type:"&amp;B320,"%","%25"),"~","%7E"),"*","%2A"),"?","%3F"),'Rules'!$G$7:$G$26,0))="hours",INDEX('Rules'!$B$7:$B$26,MATCH(SUBSTITUTE(SUBSTITUTE(SUBSTITUTE(SUBSTITUTE("type:"&amp;B320,"%","%25"),"~","%7E"),"*","%2A"),"?","%3F"),'Rules'!$G$7:$G$26,0))="km"),INDEX('Rules'!$B$7:$B$26,MATCH(SUBSTITUTE(SUBSTITUTE(SUBSTITUTE(SUBSTITUTE("type:"&amp;B320,"%","%25"),"~","%7E"),"*","%2A"),"?","%3F"),'Rules'!$G$7:$G$26,0)),""))</x:f>
      </x:c>
      <x:c r="I320" s="6" t="str">
        <x:f>IF(AND(NOT(COUNTA(A320:F320)=0),K320=""),ROUND(J320-D320,3),"")</x:f>
      </x:c>
      <x:c r="J320" s="6" t="str">
        <x:f>IF(AND(NOT(COUNTA(A320:F320)=0),K320=""),ROUND(F320+L320,3),"")</x:f>
      </x:c>
      <x:c r="K320" s="5" t="str">
        <x:f>IF(COUNTA(A320:F320)=0,"",IF(A320="","Missing equipment ID",IF(COUNTIFS($N$8:$N$2007,"="&amp;N320)&gt;1,"Duplicate equipment ID",IF(B320="","Missing type",IF(COUNTIFS('Rules'!$G$7:$G$26,"="&amp;(SUBSTITUTE(SUBSTITUTE(SUBSTITUTE(SUBSTITUTE("type:"&amp;B320,"%","%25"),"~","%7E"),"*","%2A"),"?","%3F")))=0,"Unknown type",IF(COUNTIFS('Rules'!$G$7:$G$26,"="&amp;(SUBSTITUTE(SUBSTITUTE(SUBSTITUTE(SUBSTITUTE("type:"&amp;B320,"%","%25"),"~","%7E"),"*","%2A"),"?","%3F")))&gt;1,"Duplicate type",IF(INDEX('Rules'!$F$7:$F$26,MATCH(SUBSTITUTE(SUBSTITUTE(SUBSTITUTE(SUBSTITUTE("type:"&amp;B320,"%","%25"),"~","%7E"),"*","%2A"),"?","%3F"),'Rules'!$G$7:$G$26,0))&lt;&gt;"",INDEX('Rules'!$F$7:$F$26,MATCH(SUBSTITUTE(SUBSTITUTE(SUBSTITUTE(SUBSTITUTE("type:"&amp;B320,"%","%25"),"~","%7E"),"*","%2A"),"?","%3F"),'Rules'!$G$7:$G$26,0)),IF(AND(C320&lt;&gt;"",C320&lt;&gt;INDEX('Rules'!$B$7:$B$26,MATCH(SUBSTITUTE(SUBSTITUTE(SUBSTITUTE(SUBSTITUTE("type:"&amp;B320,"%","%25"),"~","%7E"),"*","%2A"),"?","%3F"),'Rules'!$G$7:$G$26,0))),"Unit mismatch",IF(IF(NOT(ISNUMBER(D320)),TRUE,OR(D320&lt;0,D320&gt;999999999,ROUND(D320,3)&lt;&gt;D320)),"Invalid current reading",IF(AND(E320&lt;&gt;"",IF(NOT(ISNUMBER(E320)),TRUE,OR(E320&lt;0,E320&gt;999999999,ROUND(E320,3)&lt;&gt;E320))),"Invalid previous reading",IF(IF(NOT(ISNUMBER(F320)),TRUE,OR(F320&lt;0,F320&gt;999999999,ROUND(F320,3)&lt;&gt;F320)),"Invalid last service",IF(AND(E320&lt;&gt;"",D320&lt;E320),"Decreased reading",IF(F320&gt;D320,"Last service above current","")))))))))))))</x:f>
      </x:c>
      <x:c r="L320" s="6" t="str">
        <x:f>IF(AND(NOT(COUNTA(A320:F320)=0),K320=""),INDEX('Rules'!$C$7:$C$26,MATCH(SUBSTITUTE(SUBSTITUTE(SUBSTITUTE(SUBSTITUTE("type:"&amp;B320,"%","%25"),"~","%7E"),"*","%2A"),"?","%3F"),'Rules'!$G$7:$G$26,0)),"")</x:f>
      </x:c>
      <x:c r="M320" s="6" t="str">
        <x:f>IF(AND(NOT(COUNTA(A320:F320)=0),K320=""),INDEX('Rules'!$D$7:$D$26,MATCH(SUBSTITUTE(SUBSTITUTE(SUBSTITUTE(SUBSTITUTE("type:"&amp;B320,"%","%25"),"~","%7E"),"*","%2A"),"?","%3F"),'Rules'!$G$7:$G$26,0)),"")</x:f>
      </x:c>
      <x:c r="N320" s="5" t="str">
        <x:f>IF(COUNTA(A320:F320)=0,"",SUBSTITUTE(SUBSTITUTE(SUBSTITUTE(SUBSTITUTE("id:"&amp;A320,"%","%25"),"~","%7E"),"*","%2A"),"?","%3F"))</x:f>
      </x:c>
    </x:row>
    <x:row r="321" ht="22" customHeight="1">
      <x:c r="A321" s="3"/>
      <x:c r="B321" s="3"/>
      <x:c r="C321" s="3"/>
      <x:c r="D321" s="4"/>
      <x:c r="E321" s="4"/>
      <x:c r="F321" s="4"/>
      <x:c r="G321" s="5" t="str">
        <x:f>IF(COUNTA(A321:F321)=0,"",IF(K321&lt;&gt;"","Review",IF(I321&lt;0,"Overdue",IF(I321=0,"Due now",IF(I321&lt;=M321,"Due soon","Not due")))))</x:f>
      </x:c>
      <x:c r="H321" s="5" t="str">
        <x:f>IF(OR(COUNTA(A321:F321)=0,COUNTIFS('Rules'!$G$7:$G$26,"="&amp;(SUBSTITUTE(SUBSTITUTE(SUBSTITUTE(SUBSTITUTE("type:"&amp;B321,"%","%25"),"~","%7E"),"*","%2A"),"?","%3F")))&lt;&gt;1),"",IF(OR(INDEX('Rules'!$B$7:$B$26,MATCH(SUBSTITUTE(SUBSTITUTE(SUBSTITUTE(SUBSTITUTE("type:"&amp;B321,"%","%25"),"~","%7E"),"*","%2A"),"?","%3F"),'Rules'!$G$7:$G$26,0))="hours",INDEX('Rules'!$B$7:$B$26,MATCH(SUBSTITUTE(SUBSTITUTE(SUBSTITUTE(SUBSTITUTE("type:"&amp;B321,"%","%25"),"~","%7E"),"*","%2A"),"?","%3F"),'Rules'!$G$7:$G$26,0))="km"),INDEX('Rules'!$B$7:$B$26,MATCH(SUBSTITUTE(SUBSTITUTE(SUBSTITUTE(SUBSTITUTE("type:"&amp;B321,"%","%25"),"~","%7E"),"*","%2A"),"?","%3F"),'Rules'!$G$7:$G$26,0)),""))</x:f>
      </x:c>
      <x:c r="I321" s="6" t="str">
        <x:f>IF(AND(NOT(COUNTA(A321:F321)=0),K321=""),ROUND(J321-D321,3),"")</x:f>
      </x:c>
      <x:c r="J321" s="6" t="str">
        <x:f>IF(AND(NOT(COUNTA(A321:F321)=0),K321=""),ROUND(F321+L321,3),"")</x:f>
      </x:c>
      <x:c r="K321" s="5" t="str">
        <x:f>IF(COUNTA(A321:F321)=0,"",IF(A321="","Missing equipment ID",IF(COUNTIFS($N$8:$N$2007,"="&amp;N321)&gt;1,"Duplicate equipment ID",IF(B321="","Missing type",IF(COUNTIFS('Rules'!$G$7:$G$26,"="&amp;(SUBSTITUTE(SUBSTITUTE(SUBSTITUTE(SUBSTITUTE("type:"&amp;B321,"%","%25"),"~","%7E"),"*","%2A"),"?","%3F")))=0,"Unknown type",IF(COUNTIFS('Rules'!$G$7:$G$26,"="&amp;(SUBSTITUTE(SUBSTITUTE(SUBSTITUTE(SUBSTITUTE("type:"&amp;B321,"%","%25"),"~","%7E"),"*","%2A"),"?","%3F")))&gt;1,"Duplicate type",IF(INDEX('Rules'!$F$7:$F$26,MATCH(SUBSTITUTE(SUBSTITUTE(SUBSTITUTE(SUBSTITUTE("type:"&amp;B321,"%","%25"),"~","%7E"),"*","%2A"),"?","%3F"),'Rules'!$G$7:$G$26,0))&lt;&gt;"",INDEX('Rules'!$F$7:$F$26,MATCH(SUBSTITUTE(SUBSTITUTE(SUBSTITUTE(SUBSTITUTE("type:"&amp;B321,"%","%25"),"~","%7E"),"*","%2A"),"?","%3F"),'Rules'!$G$7:$G$26,0)),IF(AND(C321&lt;&gt;"",C321&lt;&gt;INDEX('Rules'!$B$7:$B$26,MATCH(SUBSTITUTE(SUBSTITUTE(SUBSTITUTE(SUBSTITUTE("type:"&amp;B321,"%","%25"),"~","%7E"),"*","%2A"),"?","%3F"),'Rules'!$G$7:$G$26,0))),"Unit mismatch",IF(IF(NOT(ISNUMBER(D321)),TRUE,OR(D321&lt;0,D321&gt;999999999,ROUND(D321,3)&lt;&gt;D321)),"Invalid current reading",IF(AND(E321&lt;&gt;"",IF(NOT(ISNUMBER(E321)),TRUE,OR(E321&lt;0,E321&gt;999999999,ROUND(E321,3)&lt;&gt;E321))),"Invalid previous reading",IF(IF(NOT(ISNUMBER(F321)),TRUE,OR(F321&lt;0,F321&gt;999999999,ROUND(F321,3)&lt;&gt;F321)),"Invalid last service",IF(AND(E321&lt;&gt;"",D321&lt;E321),"Decreased reading",IF(F321&gt;D321,"Last service above current","")))))))))))))</x:f>
      </x:c>
      <x:c r="L321" s="6" t="str">
        <x:f>IF(AND(NOT(COUNTA(A321:F321)=0),K321=""),INDEX('Rules'!$C$7:$C$26,MATCH(SUBSTITUTE(SUBSTITUTE(SUBSTITUTE(SUBSTITUTE("type:"&amp;B321,"%","%25"),"~","%7E"),"*","%2A"),"?","%3F"),'Rules'!$G$7:$G$26,0)),"")</x:f>
      </x:c>
      <x:c r="M321" s="6" t="str">
        <x:f>IF(AND(NOT(COUNTA(A321:F321)=0),K321=""),INDEX('Rules'!$D$7:$D$26,MATCH(SUBSTITUTE(SUBSTITUTE(SUBSTITUTE(SUBSTITUTE("type:"&amp;B321,"%","%25"),"~","%7E"),"*","%2A"),"?","%3F"),'Rules'!$G$7:$G$26,0)),"")</x:f>
      </x:c>
      <x:c r="N321" s="5" t="str">
        <x:f>IF(COUNTA(A321:F321)=0,"",SUBSTITUTE(SUBSTITUTE(SUBSTITUTE(SUBSTITUTE("id:"&amp;A321,"%","%25"),"~","%7E"),"*","%2A"),"?","%3F"))</x:f>
      </x:c>
    </x:row>
    <x:row r="322" ht="22" customHeight="1">
      <x:c r="A322" s="3"/>
      <x:c r="B322" s="3"/>
      <x:c r="C322" s="3"/>
      <x:c r="D322" s="4"/>
      <x:c r="E322" s="4"/>
      <x:c r="F322" s="4"/>
      <x:c r="G322" s="5" t="str">
        <x:f>IF(COUNTA(A322:F322)=0,"",IF(K322&lt;&gt;"","Review",IF(I322&lt;0,"Overdue",IF(I322=0,"Due now",IF(I322&lt;=M322,"Due soon","Not due")))))</x:f>
      </x:c>
      <x:c r="H322" s="5" t="str">
        <x:f>IF(OR(COUNTA(A322:F322)=0,COUNTIFS('Rules'!$G$7:$G$26,"="&amp;(SUBSTITUTE(SUBSTITUTE(SUBSTITUTE(SUBSTITUTE("type:"&amp;B322,"%","%25"),"~","%7E"),"*","%2A"),"?","%3F")))&lt;&gt;1),"",IF(OR(INDEX('Rules'!$B$7:$B$26,MATCH(SUBSTITUTE(SUBSTITUTE(SUBSTITUTE(SUBSTITUTE("type:"&amp;B322,"%","%25"),"~","%7E"),"*","%2A"),"?","%3F"),'Rules'!$G$7:$G$26,0))="hours",INDEX('Rules'!$B$7:$B$26,MATCH(SUBSTITUTE(SUBSTITUTE(SUBSTITUTE(SUBSTITUTE("type:"&amp;B322,"%","%25"),"~","%7E"),"*","%2A"),"?","%3F"),'Rules'!$G$7:$G$26,0))="km"),INDEX('Rules'!$B$7:$B$26,MATCH(SUBSTITUTE(SUBSTITUTE(SUBSTITUTE(SUBSTITUTE("type:"&amp;B322,"%","%25"),"~","%7E"),"*","%2A"),"?","%3F"),'Rules'!$G$7:$G$26,0)),""))</x:f>
      </x:c>
      <x:c r="I322" s="6" t="str">
        <x:f>IF(AND(NOT(COUNTA(A322:F322)=0),K322=""),ROUND(J322-D322,3),"")</x:f>
      </x:c>
      <x:c r="J322" s="6" t="str">
        <x:f>IF(AND(NOT(COUNTA(A322:F322)=0),K322=""),ROUND(F322+L322,3),"")</x:f>
      </x:c>
      <x:c r="K322" s="5" t="str">
        <x:f>IF(COUNTA(A322:F322)=0,"",IF(A322="","Missing equipment ID",IF(COUNTIFS($N$8:$N$2007,"="&amp;N322)&gt;1,"Duplicate equipment ID",IF(B322="","Missing type",IF(COUNTIFS('Rules'!$G$7:$G$26,"="&amp;(SUBSTITUTE(SUBSTITUTE(SUBSTITUTE(SUBSTITUTE("type:"&amp;B322,"%","%25"),"~","%7E"),"*","%2A"),"?","%3F")))=0,"Unknown type",IF(COUNTIFS('Rules'!$G$7:$G$26,"="&amp;(SUBSTITUTE(SUBSTITUTE(SUBSTITUTE(SUBSTITUTE("type:"&amp;B322,"%","%25"),"~","%7E"),"*","%2A"),"?","%3F")))&gt;1,"Duplicate type",IF(INDEX('Rules'!$F$7:$F$26,MATCH(SUBSTITUTE(SUBSTITUTE(SUBSTITUTE(SUBSTITUTE("type:"&amp;B322,"%","%25"),"~","%7E"),"*","%2A"),"?","%3F"),'Rules'!$G$7:$G$26,0))&lt;&gt;"",INDEX('Rules'!$F$7:$F$26,MATCH(SUBSTITUTE(SUBSTITUTE(SUBSTITUTE(SUBSTITUTE("type:"&amp;B322,"%","%25"),"~","%7E"),"*","%2A"),"?","%3F"),'Rules'!$G$7:$G$26,0)),IF(AND(C322&lt;&gt;"",C322&lt;&gt;INDEX('Rules'!$B$7:$B$26,MATCH(SUBSTITUTE(SUBSTITUTE(SUBSTITUTE(SUBSTITUTE("type:"&amp;B322,"%","%25"),"~","%7E"),"*","%2A"),"?","%3F"),'Rules'!$G$7:$G$26,0))),"Unit mismatch",IF(IF(NOT(ISNUMBER(D322)),TRUE,OR(D322&lt;0,D322&gt;999999999,ROUND(D322,3)&lt;&gt;D322)),"Invalid current reading",IF(AND(E322&lt;&gt;"",IF(NOT(ISNUMBER(E322)),TRUE,OR(E322&lt;0,E322&gt;999999999,ROUND(E322,3)&lt;&gt;E322))),"Invalid previous reading",IF(IF(NOT(ISNUMBER(F322)),TRUE,OR(F322&lt;0,F322&gt;999999999,ROUND(F322,3)&lt;&gt;F322)),"Invalid last service",IF(AND(E322&lt;&gt;"",D322&lt;E322),"Decreased reading",IF(F322&gt;D322,"Last service above current","")))))))))))))</x:f>
      </x:c>
      <x:c r="L322" s="6" t="str">
        <x:f>IF(AND(NOT(COUNTA(A322:F322)=0),K322=""),INDEX('Rules'!$C$7:$C$26,MATCH(SUBSTITUTE(SUBSTITUTE(SUBSTITUTE(SUBSTITUTE("type:"&amp;B322,"%","%25"),"~","%7E"),"*","%2A"),"?","%3F"),'Rules'!$G$7:$G$26,0)),"")</x:f>
      </x:c>
      <x:c r="M322" s="6" t="str">
        <x:f>IF(AND(NOT(COUNTA(A322:F322)=0),K322=""),INDEX('Rules'!$D$7:$D$26,MATCH(SUBSTITUTE(SUBSTITUTE(SUBSTITUTE(SUBSTITUTE("type:"&amp;B322,"%","%25"),"~","%7E"),"*","%2A"),"?","%3F"),'Rules'!$G$7:$G$26,0)),"")</x:f>
      </x:c>
      <x:c r="N322" s="5" t="str">
        <x:f>IF(COUNTA(A322:F322)=0,"",SUBSTITUTE(SUBSTITUTE(SUBSTITUTE(SUBSTITUTE("id:"&amp;A322,"%","%25"),"~","%7E"),"*","%2A"),"?","%3F"))</x:f>
      </x:c>
    </x:row>
    <x:row r="323" ht="22" customHeight="1">
      <x:c r="A323" s="3"/>
      <x:c r="B323" s="3"/>
      <x:c r="C323" s="3"/>
      <x:c r="D323" s="4"/>
      <x:c r="E323" s="4"/>
      <x:c r="F323" s="4"/>
      <x:c r="G323" s="5" t="str">
        <x:f>IF(COUNTA(A323:F323)=0,"",IF(K323&lt;&gt;"","Review",IF(I323&lt;0,"Overdue",IF(I323=0,"Due now",IF(I323&lt;=M323,"Due soon","Not due")))))</x:f>
      </x:c>
      <x:c r="H323" s="5" t="str">
        <x:f>IF(OR(COUNTA(A323:F323)=0,COUNTIFS('Rules'!$G$7:$G$26,"="&amp;(SUBSTITUTE(SUBSTITUTE(SUBSTITUTE(SUBSTITUTE("type:"&amp;B323,"%","%25"),"~","%7E"),"*","%2A"),"?","%3F")))&lt;&gt;1),"",IF(OR(INDEX('Rules'!$B$7:$B$26,MATCH(SUBSTITUTE(SUBSTITUTE(SUBSTITUTE(SUBSTITUTE("type:"&amp;B323,"%","%25"),"~","%7E"),"*","%2A"),"?","%3F"),'Rules'!$G$7:$G$26,0))="hours",INDEX('Rules'!$B$7:$B$26,MATCH(SUBSTITUTE(SUBSTITUTE(SUBSTITUTE(SUBSTITUTE("type:"&amp;B323,"%","%25"),"~","%7E"),"*","%2A"),"?","%3F"),'Rules'!$G$7:$G$26,0))="km"),INDEX('Rules'!$B$7:$B$26,MATCH(SUBSTITUTE(SUBSTITUTE(SUBSTITUTE(SUBSTITUTE("type:"&amp;B323,"%","%25"),"~","%7E"),"*","%2A"),"?","%3F"),'Rules'!$G$7:$G$26,0)),""))</x:f>
      </x:c>
      <x:c r="I323" s="6" t="str">
        <x:f>IF(AND(NOT(COUNTA(A323:F323)=0),K323=""),ROUND(J323-D323,3),"")</x:f>
      </x:c>
      <x:c r="J323" s="6" t="str">
        <x:f>IF(AND(NOT(COUNTA(A323:F323)=0),K323=""),ROUND(F323+L323,3),"")</x:f>
      </x:c>
      <x:c r="K323" s="5" t="str">
        <x:f>IF(COUNTA(A323:F323)=0,"",IF(A323="","Missing equipment ID",IF(COUNTIFS($N$8:$N$2007,"="&amp;N323)&gt;1,"Duplicate equipment ID",IF(B323="","Missing type",IF(COUNTIFS('Rules'!$G$7:$G$26,"="&amp;(SUBSTITUTE(SUBSTITUTE(SUBSTITUTE(SUBSTITUTE("type:"&amp;B323,"%","%25"),"~","%7E"),"*","%2A"),"?","%3F")))=0,"Unknown type",IF(COUNTIFS('Rules'!$G$7:$G$26,"="&amp;(SUBSTITUTE(SUBSTITUTE(SUBSTITUTE(SUBSTITUTE("type:"&amp;B323,"%","%25"),"~","%7E"),"*","%2A"),"?","%3F")))&gt;1,"Duplicate type",IF(INDEX('Rules'!$F$7:$F$26,MATCH(SUBSTITUTE(SUBSTITUTE(SUBSTITUTE(SUBSTITUTE("type:"&amp;B323,"%","%25"),"~","%7E"),"*","%2A"),"?","%3F"),'Rules'!$G$7:$G$26,0))&lt;&gt;"",INDEX('Rules'!$F$7:$F$26,MATCH(SUBSTITUTE(SUBSTITUTE(SUBSTITUTE(SUBSTITUTE("type:"&amp;B323,"%","%25"),"~","%7E"),"*","%2A"),"?","%3F"),'Rules'!$G$7:$G$26,0)),IF(AND(C323&lt;&gt;"",C323&lt;&gt;INDEX('Rules'!$B$7:$B$26,MATCH(SUBSTITUTE(SUBSTITUTE(SUBSTITUTE(SUBSTITUTE("type:"&amp;B323,"%","%25"),"~","%7E"),"*","%2A"),"?","%3F"),'Rules'!$G$7:$G$26,0))),"Unit mismatch",IF(IF(NOT(ISNUMBER(D323)),TRUE,OR(D323&lt;0,D323&gt;999999999,ROUND(D323,3)&lt;&gt;D323)),"Invalid current reading",IF(AND(E323&lt;&gt;"",IF(NOT(ISNUMBER(E323)),TRUE,OR(E323&lt;0,E323&gt;999999999,ROUND(E323,3)&lt;&gt;E323))),"Invalid previous reading",IF(IF(NOT(ISNUMBER(F323)),TRUE,OR(F323&lt;0,F323&gt;999999999,ROUND(F323,3)&lt;&gt;F323)),"Invalid last service",IF(AND(E323&lt;&gt;"",D323&lt;E323),"Decreased reading",IF(F323&gt;D323,"Last service above current","")))))))))))))</x:f>
      </x:c>
      <x:c r="L323" s="6" t="str">
        <x:f>IF(AND(NOT(COUNTA(A323:F323)=0),K323=""),INDEX('Rules'!$C$7:$C$26,MATCH(SUBSTITUTE(SUBSTITUTE(SUBSTITUTE(SUBSTITUTE("type:"&amp;B323,"%","%25"),"~","%7E"),"*","%2A"),"?","%3F"),'Rules'!$G$7:$G$26,0)),"")</x:f>
      </x:c>
      <x:c r="M323" s="6" t="str">
        <x:f>IF(AND(NOT(COUNTA(A323:F323)=0),K323=""),INDEX('Rules'!$D$7:$D$26,MATCH(SUBSTITUTE(SUBSTITUTE(SUBSTITUTE(SUBSTITUTE("type:"&amp;B323,"%","%25"),"~","%7E"),"*","%2A"),"?","%3F"),'Rules'!$G$7:$G$26,0)),"")</x:f>
      </x:c>
      <x:c r="N323" s="5" t="str">
        <x:f>IF(COUNTA(A323:F323)=0,"",SUBSTITUTE(SUBSTITUTE(SUBSTITUTE(SUBSTITUTE("id:"&amp;A323,"%","%25"),"~","%7E"),"*","%2A"),"?","%3F"))</x:f>
      </x:c>
    </x:row>
    <x:row r="324" ht="22" customHeight="1">
      <x:c r="A324" s="3"/>
      <x:c r="B324" s="3"/>
      <x:c r="C324" s="3"/>
      <x:c r="D324" s="4"/>
      <x:c r="E324" s="4"/>
      <x:c r="F324" s="4"/>
      <x:c r="G324" s="5" t="str">
        <x:f>IF(COUNTA(A324:F324)=0,"",IF(K324&lt;&gt;"","Review",IF(I324&lt;0,"Overdue",IF(I324=0,"Due now",IF(I324&lt;=M324,"Due soon","Not due")))))</x:f>
      </x:c>
      <x:c r="H324" s="5" t="str">
        <x:f>IF(OR(COUNTA(A324:F324)=0,COUNTIFS('Rules'!$G$7:$G$26,"="&amp;(SUBSTITUTE(SUBSTITUTE(SUBSTITUTE(SUBSTITUTE("type:"&amp;B324,"%","%25"),"~","%7E"),"*","%2A"),"?","%3F")))&lt;&gt;1),"",IF(OR(INDEX('Rules'!$B$7:$B$26,MATCH(SUBSTITUTE(SUBSTITUTE(SUBSTITUTE(SUBSTITUTE("type:"&amp;B324,"%","%25"),"~","%7E"),"*","%2A"),"?","%3F"),'Rules'!$G$7:$G$26,0))="hours",INDEX('Rules'!$B$7:$B$26,MATCH(SUBSTITUTE(SUBSTITUTE(SUBSTITUTE(SUBSTITUTE("type:"&amp;B324,"%","%25"),"~","%7E"),"*","%2A"),"?","%3F"),'Rules'!$G$7:$G$26,0))="km"),INDEX('Rules'!$B$7:$B$26,MATCH(SUBSTITUTE(SUBSTITUTE(SUBSTITUTE(SUBSTITUTE("type:"&amp;B324,"%","%25"),"~","%7E"),"*","%2A"),"?","%3F"),'Rules'!$G$7:$G$26,0)),""))</x:f>
      </x:c>
      <x:c r="I324" s="6" t="str">
        <x:f>IF(AND(NOT(COUNTA(A324:F324)=0),K324=""),ROUND(J324-D324,3),"")</x:f>
      </x:c>
      <x:c r="J324" s="6" t="str">
        <x:f>IF(AND(NOT(COUNTA(A324:F324)=0),K324=""),ROUND(F324+L324,3),"")</x:f>
      </x:c>
      <x:c r="K324" s="5" t="str">
        <x:f>IF(COUNTA(A324:F324)=0,"",IF(A324="","Missing equipment ID",IF(COUNTIFS($N$8:$N$2007,"="&amp;N324)&gt;1,"Duplicate equipment ID",IF(B324="","Missing type",IF(COUNTIFS('Rules'!$G$7:$G$26,"="&amp;(SUBSTITUTE(SUBSTITUTE(SUBSTITUTE(SUBSTITUTE("type:"&amp;B324,"%","%25"),"~","%7E"),"*","%2A"),"?","%3F")))=0,"Unknown type",IF(COUNTIFS('Rules'!$G$7:$G$26,"="&amp;(SUBSTITUTE(SUBSTITUTE(SUBSTITUTE(SUBSTITUTE("type:"&amp;B324,"%","%25"),"~","%7E"),"*","%2A"),"?","%3F")))&gt;1,"Duplicate type",IF(INDEX('Rules'!$F$7:$F$26,MATCH(SUBSTITUTE(SUBSTITUTE(SUBSTITUTE(SUBSTITUTE("type:"&amp;B324,"%","%25"),"~","%7E"),"*","%2A"),"?","%3F"),'Rules'!$G$7:$G$26,0))&lt;&gt;"",INDEX('Rules'!$F$7:$F$26,MATCH(SUBSTITUTE(SUBSTITUTE(SUBSTITUTE(SUBSTITUTE("type:"&amp;B324,"%","%25"),"~","%7E"),"*","%2A"),"?","%3F"),'Rules'!$G$7:$G$26,0)),IF(AND(C324&lt;&gt;"",C324&lt;&gt;INDEX('Rules'!$B$7:$B$26,MATCH(SUBSTITUTE(SUBSTITUTE(SUBSTITUTE(SUBSTITUTE("type:"&amp;B324,"%","%25"),"~","%7E"),"*","%2A"),"?","%3F"),'Rules'!$G$7:$G$26,0))),"Unit mismatch",IF(IF(NOT(ISNUMBER(D324)),TRUE,OR(D324&lt;0,D324&gt;999999999,ROUND(D324,3)&lt;&gt;D324)),"Invalid current reading",IF(AND(E324&lt;&gt;"",IF(NOT(ISNUMBER(E324)),TRUE,OR(E324&lt;0,E324&gt;999999999,ROUND(E324,3)&lt;&gt;E324))),"Invalid previous reading",IF(IF(NOT(ISNUMBER(F324)),TRUE,OR(F324&lt;0,F324&gt;999999999,ROUND(F324,3)&lt;&gt;F324)),"Invalid last service",IF(AND(E324&lt;&gt;"",D324&lt;E324),"Decreased reading",IF(F324&gt;D324,"Last service above current","")))))))))))))</x:f>
      </x:c>
      <x:c r="L324" s="6" t="str">
        <x:f>IF(AND(NOT(COUNTA(A324:F324)=0),K324=""),INDEX('Rules'!$C$7:$C$26,MATCH(SUBSTITUTE(SUBSTITUTE(SUBSTITUTE(SUBSTITUTE("type:"&amp;B324,"%","%25"),"~","%7E"),"*","%2A"),"?","%3F"),'Rules'!$G$7:$G$26,0)),"")</x:f>
      </x:c>
      <x:c r="M324" s="6" t="str">
        <x:f>IF(AND(NOT(COUNTA(A324:F324)=0),K324=""),INDEX('Rules'!$D$7:$D$26,MATCH(SUBSTITUTE(SUBSTITUTE(SUBSTITUTE(SUBSTITUTE("type:"&amp;B324,"%","%25"),"~","%7E"),"*","%2A"),"?","%3F"),'Rules'!$G$7:$G$26,0)),"")</x:f>
      </x:c>
      <x:c r="N324" s="5" t="str">
        <x:f>IF(COUNTA(A324:F324)=0,"",SUBSTITUTE(SUBSTITUTE(SUBSTITUTE(SUBSTITUTE("id:"&amp;A324,"%","%25"),"~","%7E"),"*","%2A"),"?","%3F"))</x:f>
      </x:c>
    </x:row>
    <x:row r="325" ht="22" customHeight="1">
      <x:c r="A325" s="3"/>
      <x:c r="B325" s="3"/>
      <x:c r="C325" s="3"/>
      <x:c r="D325" s="4"/>
      <x:c r="E325" s="4"/>
      <x:c r="F325" s="4"/>
      <x:c r="G325" s="5" t="str">
        <x:f>IF(COUNTA(A325:F325)=0,"",IF(K325&lt;&gt;"","Review",IF(I325&lt;0,"Overdue",IF(I325=0,"Due now",IF(I325&lt;=M325,"Due soon","Not due")))))</x:f>
      </x:c>
      <x:c r="H325" s="5" t="str">
        <x:f>IF(OR(COUNTA(A325:F325)=0,COUNTIFS('Rules'!$G$7:$G$26,"="&amp;(SUBSTITUTE(SUBSTITUTE(SUBSTITUTE(SUBSTITUTE("type:"&amp;B325,"%","%25"),"~","%7E"),"*","%2A"),"?","%3F")))&lt;&gt;1),"",IF(OR(INDEX('Rules'!$B$7:$B$26,MATCH(SUBSTITUTE(SUBSTITUTE(SUBSTITUTE(SUBSTITUTE("type:"&amp;B325,"%","%25"),"~","%7E"),"*","%2A"),"?","%3F"),'Rules'!$G$7:$G$26,0))="hours",INDEX('Rules'!$B$7:$B$26,MATCH(SUBSTITUTE(SUBSTITUTE(SUBSTITUTE(SUBSTITUTE("type:"&amp;B325,"%","%25"),"~","%7E"),"*","%2A"),"?","%3F"),'Rules'!$G$7:$G$26,0))="km"),INDEX('Rules'!$B$7:$B$26,MATCH(SUBSTITUTE(SUBSTITUTE(SUBSTITUTE(SUBSTITUTE("type:"&amp;B325,"%","%25"),"~","%7E"),"*","%2A"),"?","%3F"),'Rules'!$G$7:$G$26,0)),""))</x:f>
      </x:c>
      <x:c r="I325" s="6" t="str">
        <x:f>IF(AND(NOT(COUNTA(A325:F325)=0),K325=""),ROUND(J325-D325,3),"")</x:f>
      </x:c>
      <x:c r="J325" s="6" t="str">
        <x:f>IF(AND(NOT(COUNTA(A325:F325)=0),K325=""),ROUND(F325+L325,3),"")</x:f>
      </x:c>
      <x:c r="K325" s="5" t="str">
        <x:f>IF(COUNTA(A325:F325)=0,"",IF(A325="","Missing equipment ID",IF(COUNTIFS($N$8:$N$2007,"="&amp;N325)&gt;1,"Duplicate equipment ID",IF(B325="","Missing type",IF(COUNTIFS('Rules'!$G$7:$G$26,"="&amp;(SUBSTITUTE(SUBSTITUTE(SUBSTITUTE(SUBSTITUTE("type:"&amp;B325,"%","%25"),"~","%7E"),"*","%2A"),"?","%3F")))=0,"Unknown type",IF(COUNTIFS('Rules'!$G$7:$G$26,"="&amp;(SUBSTITUTE(SUBSTITUTE(SUBSTITUTE(SUBSTITUTE("type:"&amp;B325,"%","%25"),"~","%7E"),"*","%2A"),"?","%3F")))&gt;1,"Duplicate type",IF(INDEX('Rules'!$F$7:$F$26,MATCH(SUBSTITUTE(SUBSTITUTE(SUBSTITUTE(SUBSTITUTE("type:"&amp;B325,"%","%25"),"~","%7E"),"*","%2A"),"?","%3F"),'Rules'!$G$7:$G$26,0))&lt;&gt;"",INDEX('Rules'!$F$7:$F$26,MATCH(SUBSTITUTE(SUBSTITUTE(SUBSTITUTE(SUBSTITUTE("type:"&amp;B325,"%","%25"),"~","%7E"),"*","%2A"),"?","%3F"),'Rules'!$G$7:$G$26,0)),IF(AND(C325&lt;&gt;"",C325&lt;&gt;INDEX('Rules'!$B$7:$B$26,MATCH(SUBSTITUTE(SUBSTITUTE(SUBSTITUTE(SUBSTITUTE("type:"&amp;B325,"%","%25"),"~","%7E"),"*","%2A"),"?","%3F"),'Rules'!$G$7:$G$26,0))),"Unit mismatch",IF(IF(NOT(ISNUMBER(D325)),TRUE,OR(D325&lt;0,D325&gt;999999999,ROUND(D325,3)&lt;&gt;D325)),"Invalid current reading",IF(AND(E325&lt;&gt;"",IF(NOT(ISNUMBER(E325)),TRUE,OR(E325&lt;0,E325&gt;999999999,ROUND(E325,3)&lt;&gt;E325))),"Invalid previous reading",IF(IF(NOT(ISNUMBER(F325)),TRUE,OR(F325&lt;0,F325&gt;999999999,ROUND(F325,3)&lt;&gt;F325)),"Invalid last service",IF(AND(E325&lt;&gt;"",D325&lt;E325),"Decreased reading",IF(F325&gt;D325,"Last service above current","")))))))))))))</x:f>
      </x:c>
      <x:c r="L325" s="6" t="str">
        <x:f>IF(AND(NOT(COUNTA(A325:F325)=0),K325=""),INDEX('Rules'!$C$7:$C$26,MATCH(SUBSTITUTE(SUBSTITUTE(SUBSTITUTE(SUBSTITUTE("type:"&amp;B325,"%","%25"),"~","%7E"),"*","%2A"),"?","%3F"),'Rules'!$G$7:$G$26,0)),"")</x:f>
      </x:c>
      <x:c r="M325" s="6" t="str">
        <x:f>IF(AND(NOT(COUNTA(A325:F325)=0),K325=""),INDEX('Rules'!$D$7:$D$26,MATCH(SUBSTITUTE(SUBSTITUTE(SUBSTITUTE(SUBSTITUTE("type:"&amp;B325,"%","%25"),"~","%7E"),"*","%2A"),"?","%3F"),'Rules'!$G$7:$G$26,0)),"")</x:f>
      </x:c>
      <x:c r="N325" s="5" t="str">
        <x:f>IF(COUNTA(A325:F325)=0,"",SUBSTITUTE(SUBSTITUTE(SUBSTITUTE(SUBSTITUTE("id:"&amp;A325,"%","%25"),"~","%7E"),"*","%2A"),"?","%3F"))</x:f>
      </x:c>
    </x:row>
    <x:row r="326" ht="22" customHeight="1">
      <x:c r="A326" s="3"/>
      <x:c r="B326" s="3"/>
      <x:c r="C326" s="3"/>
      <x:c r="D326" s="4"/>
      <x:c r="E326" s="4"/>
      <x:c r="F326" s="4"/>
      <x:c r="G326" s="5" t="str">
        <x:f>IF(COUNTA(A326:F326)=0,"",IF(K326&lt;&gt;"","Review",IF(I326&lt;0,"Overdue",IF(I326=0,"Due now",IF(I326&lt;=M326,"Due soon","Not due")))))</x:f>
      </x:c>
      <x:c r="H326" s="5" t="str">
        <x:f>IF(OR(COUNTA(A326:F326)=0,COUNTIFS('Rules'!$G$7:$G$26,"="&amp;(SUBSTITUTE(SUBSTITUTE(SUBSTITUTE(SUBSTITUTE("type:"&amp;B326,"%","%25"),"~","%7E"),"*","%2A"),"?","%3F")))&lt;&gt;1),"",IF(OR(INDEX('Rules'!$B$7:$B$26,MATCH(SUBSTITUTE(SUBSTITUTE(SUBSTITUTE(SUBSTITUTE("type:"&amp;B326,"%","%25"),"~","%7E"),"*","%2A"),"?","%3F"),'Rules'!$G$7:$G$26,0))="hours",INDEX('Rules'!$B$7:$B$26,MATCH(SUBSTITUTE(SUBSTITUTE(SUBSTITUTE(SUBSTITUTE("type:"&amp;B326,"%","%25"),"~","%7E"),"*","%2A"),"?","%3F"),'Rules'!$G$7:$G$26,0))="km"),INDEX('Rules'!$B$7:$B$26,MATCH(SUBSTITUTE(SUBSTITUTE(SUBSTITUTE(SUBSTITUTE("type:"&amp;B326,"%","%25"),"~","%7E"),"*","%2A"),"?","%3F"),'Rules'!$G$7:$G$26,0)),""))</x:f>
      </x:c>
      <x:c r="I326" s="6" t="str">
        <x:f>IF(AND(NOT(COUNTA(A326:F326)=0),K326=""),ROUND(J326-D326,3),"")</x:f>
      </x:c>
      <x:c r="J326" s="6" t="str">
        <x:f>IF(AND(NOT(COUNTA(A326:F326)=0),K326=""),ROUND(F326+L326,3),"")</x:f>
      </x:c>
      <x:c r="K326" s="5" t="str">
        <x:f>IF(COUNTA(A326:F326)=0,"",IF(A326="","Missing equipment ID",IF(COUNTIFS($N$8:$N$2007,"="&amp;N326)&gt;1,"Duplicate equipment ID",IF(B326="","Missing type",IF(COUNTIFS('Rules'!$G$7:$G$26,"="&amp;(SUBSTITUTE(SUBSTITUTE(SUBSTITUTE(SUBSTITUTE("type:"&amp;B326,"%","%25"),"~","%7E"),"*","%2A"),"?","%3F")))=0,"Unknown type",IF(COUNTIFS('Rules'!$G$7:$G$26,"="&amp;(SUBSTITUTE(SUBSTITUTE(SUBSTITUTE(SUBSTITUTE("type:"&amp;B326,"%","%25"),"~","%7E"),"*","%2A"),"?","%3F")))&gt;1,"Duplicate type",IF(INDEX('Rules'!$F$7:$F$26,MATCH(SUBSTITUTE(SUBSTITUTE(SUBSTITUTE(SUBSTITUTE("type:"&amp;B326,"%","%25"),"~","%7E"),"*","%2A"),"?","%3F"),'Rules'!$G$7:$G$26,0))&lt;&gt;"",INDEX('Rules'!$F$7:$F$26,MATCH(SUBSTITUTE(SUBSTITUTE(SUBSTITUTE(SUBSTITUTE("type:"&amp;B326,"%","%25"),"~","%7E"),"*","%2A"),"?","%3F"),'Rules'!$G$7:$G$26,0)),IF(AND(C326&lt;&gt;"",C326&lt;&gt;INDEX('Rules'!$B$7:$B$26,MATCH(SUBSTITUTE(SUBSTITUTE(SUBSTITUTE(SUBSTITUTE("type:"&amp;B326,"%","%25"),"~","%7E"),"*","%2A"),"?","%3F"),'Rules'!$G$7:$G$26,0))),"Unit mismatch",IF(IF(NOT(ISNUMBER(D326)),TRUE,OR(D326&lt;0,D326&gt;999999999,ROUND(D326,3)&lt;&gt;D326)),"Invalid current reading",IF(AND(E326&lt;&gt;"",IF(NOT(ISNUMBER(E326)),TRUE,OR(E326&lt;0,E326&gt;999999999,ROUND(E326,3)&lt;&gt;E326))),"Invalid previous reading",IF(IF(NOT(ISNUMBER(F326)),TRUE,OR(F326&lt;0,F326&gt;999999999,ROUND(F326,3)&lt;&gt;F326)),"Invalid last service",IF(AND(E326&lt;&gt;"",D326&lt;E326),"Decreased reading",IF(F326&gt;D326,"Last service above current","")))))))))))))</x:f>
      </x:c>
      <x:c r="L326" s="6" t="str">
        <x:f>IF(AND(NOT(COUNTA(A326:F326)=0),K326=""),INDEX('Rules'!$C$7:$C$26,MATCH(SUBSTITUTE(SUBSTITUTE(SUBSTITUTE(SUBSTITUTE("type:"&amp;B326,"%","%25"),"~","%7E"),"*","%2A"),"?","%3F"),'Rules'!$G$7:$G$26,0)),"")</x:f>
      </x:c>
      <x:c r="M326" s="6" t="str">
        <x:f>IF(AND(NOT(COUNTA(A326:F326)=0),K326=""),INDEX('Rules'!$D$7:$D$26,MATCH(SUBSTITUTE(SUBSTITUTE(SUBSTITUTE(SUBSTITUTE("type:"&amp;B326,"%","%25"),"~","%7E"),"*","%2A"),"?","%3F"),'Rules'!$G$7:$G$26,0)),"")</x:f>
      </x:c>
      <x:c r="N326" s="5" t="str">
        <x:f>IF(COUNTA(A326:F326)=0,"",SUBSTITUTE(SUBSTITUTE(SUBSTITUTE(SUBSTITUTE("id:"&amp;A326,"%","%25"),"~","%7E"),"*","%2A"),"?","%3F"))</x:f>
      </x:c>
    </x:row>
    <x:row r="327" ht="22" customHeight="1">
      <x:c r="A327" s="3"/>
      <x:c r="B327" s="3"/>
      <x:c r="C327" s="3"/>
      <x:c r="D327" s="4"/>
      <x:c r="E327" s="4"/>
      <x:c r="F327" s="4"/>
      <x:c r="G327" s="5" t="str">
        <x:f>IF(COUNTA(A327:F327)=0,"",IF(K327&lt;&gt;"","Review",IF(I327&lt;0,"Overdue",IF(I327=0,"Due now",IF(I327&lt;=M327,"Due soon","Not due")))))</x:f>
      </x:c>
      <x:c r="H327" s="5" t="str">
        <x:f>IF(OR(COUNTA(A327:F327)=0,COUNTIFS('Rules'!$G$7:$G$26,"="&amp;(SUBSTITUTE(SUBSTITUTE(SUBSTITUTE(SUBSTITUTE("type:"&amp;B327,"%","%25"),"~","%7E"),"*","%2A"),"?","%3F")))&lt;&gt;1),"",IF(OR(INDEX('Rules'!$B$7:$B$26,MATCH(SUBSTITUTE(SUBSTITUTE(SUBSTITUTE(SUBSTITUTE("type:"&amp;B327,"%","%25"),"~","%7E"),"*","%2A"),"?","%3F"),'Rules'!$G$7:$G$26,0))="hours",INDEX('Rules'!$B$7:$B$26,MATCH(SUBSTITUTE(SUBSTITUTE(SUBSTITUTE(SUBSTITUTE("type:"&amp;B327,"%","%25"),"~","%7E"),"*","%2A"),"?","%3F"),'Rules'!$G$7:$G$26,0))="km"),INDEX('Rules'!$B$7:$B$26,MATCH(SUBSTITUTE(SUBSTITUTE(SUBSTITUTE(SUBSTITUTE("type:"&amp;B327,"%","%25"),"~","%7E"),"*","%2A"),"?","%3F"),'Rules'!$G$7:$G$26,0)),""))</x:f>
      </x:c>
      <x:c r="I327" s="6" t="str">
        <x:f>IF(AND(NOT(COUNTA(A327:F327)=0),K327=""),ROUND(J327-D327,3),"")</x:f>
      </x:c>
      <x:c r="J327" s="6" t="str">
        <x:f>IF(AND(NOT(COUNTA(A327:F327)=0),K327=""),ROUND(F327+L327,3),"")</x:f>
      </x:c>
      <x:c r="K327" s="5" t="str">
        <x:f>IF(COUNTA(A327:F327)=0,"",IF(A327="","Missing equipment ID",IF(COUNTIFS($N$8:$N$2007,"="&amp;N327)&gt;1,"Duplicate equipment ID",IF(B327="","Missing type",IF(COUNTIFS('Rules'!$G$7:$G$26,"="&amp;(SUBSTITUTE(SUBSTITUTE(SUBSTITUTE(SUBSTITUTE("type:"&amp;B327,"%","%25"),"~","%7E"),"*","%2A"),"?","%3F")))=0,"Unknown type",IF(COUNTIFS('Rules'!$G$7:$G$26,"="&amp;(SUBSTITUTE(SUBSTITUTE(SUBSTITUTE(SUBSTITUTE("type:"&amp;B327,"%","%25"),"~","%7E"),"*","%2A"),"?","%3F")))&gt;1,"Duplicate type",IF(INDEX('Rules'!$F$7:$F$26,MATCH(SUBSTITUTE(SUBSTITUTE(SUBSTITUTE(SUBSTITUTE("type:"&amp;B327,"%","%25"),"~","%7E"),"*","%2A"),"?","%3F"),'Rules'!$G$7:$G$26,0))&lt;&gt;"",INDEX('Rules'!$F$7:$F$26,MATCH(SUBSTITUTE(SUBSTITUTE(SUBSTITUTE(SUBSTITUTE("type:"&amp;B327,"%","%25"),"~","%7E"),"*","%2A"),"?","%3F"),'Rules'!$G$7:$G$26,0)),IF(AND(C327&lt;&gt;"",C327&lt;&gt;INDEX('Rules'!$B$7:$B$26,MATCH(SUBSTITUTE(SUBSTITUTE(SUBSTITUTE(SUBSTITUTE("type:"&amp;B327,"%","%25"),"~","%7E"),"*","%2A"),"?","%3F"),'Rules'!$G$7:$G$26,0))),"Unit mismatch",IF(IF(NOT(ISNUMBER(D327)),TRUE,OR(D327&lt;0,D327&gt;999999999,ROUND(D327,3)&lt;&gt;D327)),"Invalid current reading",IF(AND(E327&lt;&gt;"",IF(NOT(ISNUMBER(E327)),TRUE,OR(E327&lt;0,E327&gt;999999999,ROUND(E327,3)&lt;&gt;E327))),"Invalid previous reading",IF(IF(NOT(ISNUMBER(F327)),TRUE,OR(F327&lt;0,F327&gt;999999999,ROUND(F327,3)&lt;&gt;F327)),"Invalid last service",IF(AND(E327&lt;&gt;"",D327&lt;E327),"Decreased reading",IF(F327&gt;D327,"Last service above current","")))))))))))))</x:f>
      </x:c>
      <x:c r="L327" s="6" t="str">
        <x:f>IF(AND(NOT(COUNTA(A327:F327)=0),K327=""),INDEX('Rules'!$C$7:$C$26,MATCH(SUBSTITUTE(SUBSTITUTE(SUBSTITUTE(SUBSTITUTE("type:"&amp;B327,"%","%25"),"~","%7E"),"*","%2A"),"?","%3F"),'Rules'!$G$7:$G$26,0)),"")</x:f>
      </x:c>
      <x:c r="M327" s="6" t="str">
        <x:f>IF(AND(NOT(COUNTA(A327:F327)=0),K327=""),INDEX('Rules'!$D$7:$D$26,MATCH(SUBSTITUTE(SUBSTITUTE(SUBSTITUTE(SUBSTITUTE("type:"&amp;B327,"%","%25"),"~","%7E"),"*","%2A"),"?","%3F"),'Rules'!$G$7:$G$26,0)),"")</x:f>
      </x:c>
      <x:c r="N327" s="5" t="str">
        <x:f>IF(COUNTA(A327:F327)=0,"",SUBSTITUTE(SUBSTITUTE(SUBSTITUTE(SUBSTITUTE("id:"&amp;A327,"%","%25"),"~","%7E"),"*","%2A"),"?","%3F"))</x:f>
      </x:c>
    </x:row>
    <x:row r="328" ht="22" customHeight="1">
      <x:c r="A328" s="3"/>
      <x:c r="B328" s="3"/>
      <x:c r="C328" s="3"/>
      <x:c r="D328" s="4"/>
      <x:c r="E328" s="4"/>
      <x:c r="F328" s="4"/>
      <x:c r="G328" s="5" t="str">
        <x:f>IF(COUNTA(A328:F328)=0,"",IF(K328&lt;&gt;"","Review",IF(I328&lt;0,"Overdue",IF(I328=0,"Due now",IF(I328&lt;=M328,"Due soon","Not due")))))</x:f>
      </x:c>
      <x:c r="H328" s="5" t="str">
        <x:f>IF(OR(COUNTA(A328:F328)=0,COUNTIFS('Rules'!$G$7:$G$26,"="&amp;(SUBSTITUTE(SUBSTITUTE(SUBSTITUTE(SUBSTITUTE("type:"&amp;B328,"%","%25"),"~","%7E"),"*","%2A"),"?","%3F")))&lt;&gt;1),"",IF(OR(INDEX('Rules'!$B$7:$B$26,MATCH(SUBSTITUTE(SUBSTITUTE(SUBSTITUTE(SUBSTITUTE("type:"&amp;B328,"%","%25"),"~","%7E"),"*","%2A"),"?","%3F"),'Rules'!$G$7:$G$26,0))="hours",INDEX('Rules'!$B$7:$B$26,MATCH(SUBSTITUTE(SUBSTITUTE(SUBSTITUTE(SUBSTITUTE("type:"&amp;B328,"%","%25"),"~","%7E"),"*","%2A"),"?","%3F"),'Rules'!$G$7:$G$26,0))="km"),INDEX('Rules'!$B$7:$B$26,MATCH(SUBSTITUTE(SUBSTITUTE(SUBSTITUTE(SUBSTITUTE("type:"&amp;B328,"%","%25"),"~","%7E"),"*","%2A"),"?","%3F"),'Rules'!$G$7:$G$26,0)),""))</x:f>
      </x:c>
      <x:c r="I328" s="6" t="str">
        <x:f>IF(AND(NOT(COUNTA(A328:F328)=0),K328=""),ROUND(J328-D328,3),"")</x:f>
      </x:c>
      <x:c r="J328" s="6" t="str">
        <x:f>IF(AND(NOT(COUNTA(A328:F328)=0),K328=""),ROUND(F328+L328,3),"")</x:f>
      </x:c>
      <x:c r="K328" s="5" t="str">
        <x:f>IF(COUNTA(A328:F328)=0,"",IF(A328="","Missing equipment ID",IF(COUNTIFS($N$8:$N$2007,"="&amp;N328)&gt;1,"Duplicate equipment ID",IF(B328="","Missing type",IF(COUNTIFS('Rules'!$G$7:$G$26,"="&amp;(SUBSTITUTE(SUBSTITUTE(SUBSTITUTE(SUBSTITUTE("type:"&amp;B328,"%","%25"),"~","%7E"),"*","%2A"),"?","%3F")))=0,"Unknown type",IF(COUNTIFS('Rules'!$G$7:$G$26,"="&amp;(SUBSTITUTE(SUBSTITUTE(SUBSTITUTE(SUBSTITUTE("type:"&amp;B328,"%","%25"),"~","%7E"),"*","%2A"),"?","%3F")))&gt;1,"Duplicate type",IF(INDEX('Rules'!$F$7:$F$26,MATCH(SUBSTITUTE(SUBSTITUTE(SUBSTITUTE(SUBSTITUTE("type:"&amp;B328,"%","%25"),"~","%7E"),"*","%2A"),"?","%3F"),'Rules'!$G$7:$G$26,0))&lt;&gt;"",INDEX('Rules'!$F$7:$F$26,MATCH(SUBSTITUTE(SUBSTITUTE(SUBSTITUTE(SUBSTITUTE("type:"&amp;B328,"%","%25"),"~","%7E"),"*","%2A"),"?","%3F"),'Rules'!$G$7:$G$26,0)),IF(AND(C328&lt;&gt;"",C328&lt;&gt;INDEX('Rules'!$B$7:$B$26,MATCH(SUBSTITUTE(SUBSTITUTE(SUBSTITUTE(SUBSTITUTE("type:"&amp;B328,"%","%25"),"~","%7E"),"*","%2A"),"?","%3F"),'Rules'!$G$7:$G$26,0))),"Unit mismatch",IF(IF(NOT(ISNUMBER(D328)),TRUE,OR(D328&lt;0,D328&gt;999999999,ROUND(D328,3)&lt;&gt;D328)),"Invalid current reading",IF(AND(E328&lt;&gt;"",IF(NOT(ISNUMBER(E328)),TRUE,OR(E328&lt;0,E328&gt;999999999,ROUND(E328,3)&lt;&gt;E328))),"Invalid previous reading",IF(IF(NOT(ISNUMBER(F328)),TRUE,OR(F328&lt;0,F328&gt;999999999,ROUND(F328,3)&lt;&gt;F328)),"Invalid last service",IF(AND(E328&lt;&gt;"",D328&lt;E328),"Decreased reading",IF(F328&gt;D328,"Last service above current","")))))))))))))</x:f>
      </x:c>
      <x:c r="L328" s="6" t="str">
        <x:f>IF(AND(NOT(COUNTA(A328:F328)=0),K328=""),INDEX('Rules'!$C$7:$C$26,MATCH(SUBSTITUTE(SUBSTITUTE(SUBSTITUTE(SUBSTITUTE("type:"&amp;B328,"%","%25"),"~","%7E"),"*","%2A"),"?","%3F"),'Rules'!$G$7:$G$26,0)),"")</x:f>
      </x:c>
      <x:c r="M328" s="6" t="str">
        <x:f>IF(AND(NOT(COUNTA(A328:F328)=0),K328=""),INDEX('Rules'!$D$7:$D$26,MATCH(SUBSTITUTE(SUBSTITUTE(SUBSTITUTE(SUBSTITUTE("type:"&amp;B328,"%","%25"),"~","%7E"),"*","%2A"),"?","%3F"),'Rules'!$G$7:$G$26,0)),"")</x:f>
      </x:c>
      <x:c r="N328" s="5" t="str">
        <x:f>IF(COUNTA(A328:F328)=0,"",SUBSTITUTE(SUBSTITUTE(SUBSTITUTE(SUBSTITUTE("id:"&amp;A328,"%","%25"),"~","%7E"),"*","%2A"),"?","%3F"))</x:f>
      </x:c>
    </x:row>
    <x:row r="329" ht="22" customHeight="1">
      <x:c r="A329" s="3"/>
      <x:c r="B329" s="3"/>
      <x:c r="C329" s="3"/>
      <x:c r="D329" s="4"/>
      <x:c r="E329" s="4"/>
      <x:c r="F329" s="4"/>
      <x:c r="G329" s="5" t="str">
        <x:f>IF(COUNTA(A329:F329)=0,"",IF(K329&lt;&gt;"","Review",IF(I329&lt;0,"Overdue",IF(I329=0,"Due now",IF(I329&lt;=M329,"Due soon","Not due")))))</x:f>
      </x:c>
      <x:c r="H329" s="5" t="str">
        <x:f>IF(OR(COUNTA(A329:F329)=0,COUNTIFS('Rules'!$G$7:$G$26,"="&amp;(SUBSTITUTE(SUBSTITUTE(SUBSTITUTE(SUBSTITUTE("type:"&amp;B329,"%","%25"),"~","%7E"),"*","%2A"),"?","%3F")))&lt;&gt;1),"",IF(OR(INDEX('Rules'!$B$7:$B$26,MATCH(SUBSTITUTE(SUBSTITUTE(SUBSTITUTE(SUBSTITUTE("type:"&amp;B329,"%","%25"),"~","%7E"),"*","%2A"),"?","%3F"),'Rules'!$G$7:$G$26,0))="hours",INDEX('Rules'!$B$7:$B$26,MATCH(SUBSTITUTE(SUBSTITUTE(SUBSTITUTE(SUBSTITUTE("type:"&amp;B329,"%","%25"),"~","%7E"),"*","%2A"),"?","%3F"),'Rules'!$G$7:$G$26,0))="km"),INDEX('Rules'!$B$7:$B$26,MATCH(SUBSTITUTE(SUBSTITUTE(SUBSTITUTE(SUBSTITUTE("type:"&amp;B329,"%","%25"),"~","%7E"),"*","%2A"),"?","%3F"),'Rules'!$G$7:$G$26,0)),""))</x:f>
      </x:c>
      <x:c r="I329" s="6" t="str">
        <x:f>IF(AND(NOT(COUNTA(A329:F329)=0),K329=""),ROUND(J329-D329,3),"")</x:f>
      </x:c>
      <x:c r="J329" s="6" t="str">
        <x:f>IF(AND(NOT(COUNTA(A329:F329)=0),K329=""),ROUND(F329+L329,3),"")</x:f>
      </x:c>
      <x:c r="K329" s="5" t="str">
        <x:f>IF(COUNTA(A329:F329)=0,"",IF(A329="","Missing equipment ID",IF(COUNTIFS($N$8:$N$2007,"="&amp;N329)&gt;1,"Duplicate equipment ID",IF(B329="","Missing type",IF(COUNTIFS('Rules'!$G$7:$G$26,"="&amp;(SUBSTITUTE(SUBSTITUTE(SUBSTITUTE(SUBSTITUTE("type:"&amp;B329,"%","%25"),"~","%7E"),"*","%2A"),"?","%3F")))=0,"Unknown type",IF(COUNTIFS('Rules'!$G$7:$G$26,"="&amp;(SUBSTITUTE(SUBSTITUTE(SUBSTITUTE(SUBSTITUTE("type:"&amp;B329,"%","%25"),"~","%7E"),"*","%2A"),"?","%3F")))&gt;1,"Duplicate type",IF(INDEX('Rules'!$F$7:$F$26,MATCH(SUBSTITUTE(SUBSTITUTE(SUBSTITUTE(SUBSTITUTE("type:"&amp;B329,"%","%25"),"~","%7E"),"*","%2A"),"?","%3F"),'Rules'!$G$7:$G$26,0))&lt;&gt;"",INDEX('Rules'!$F$7:$F$26,MATCH(SUBSTITUTE(SUBSTITUTE(SUBSTITUTE(SUBSTITUTE("type:"&amp;B329,"%","%25"),"~","%7E"),"*","%2A"),"?","%3F"),'Rules'!$G$7:$G$26,0)),IF(AND(C329&lt;&gt;"",C329&lt;&gt;INDEX('Rules'!$B$7:$B$26,MATCH(SUBSTITUTE(SUBSTITUTE(SUBSTITUTE(SUBSTITUTE("type:"&amp;B329,"%","%25"),"~","%7E"),"*","%2A"),"?","%3F"),'Rules'!$G$7:$G$26,0))),"Unit mismatch",IF(IF(NOT(ISNUMBER(D329)),TRUE,OR(D329&lt;0,D329&gt;999999999,ROUND(D329,3)&lt;&gt;D329)),"Invalid current reading",IF(AND(E329&lt;&gt;"",IF(NOT(ISNUMBER(E329)),TRUE,OR(E329&lt;0,E329&gt;999999999,ROUND(E329,3)&lt;&gt;E329))),"Invalid previous reading",IF(IF(NOT(ISNUMBER(F329)),TRUE,OR(F329&lt;0,F329&gt;999999999,ROUND(F329,3)&lt;&gt;F329)),"Invalid last service",IF(AND(E329&lt;&gt;"",D329&lt;E329),"Decreased reading",IF(F329&gt;D329,"Last service above current","")))))))))))))</x:f>
      </x:c>
      <x:c r="L329" s="6" t="str">
        <x:f>IF(AND(NOT(COUNTA(A329:F329)=0),K329=""),INDEX('Rules'!$C$7:$C$26,MATCH(SUBSTITUTE(SUBSTITUTE(SUBSTITUTE(SUBSTITUTE("type:"&amp;B329,"%","%25"),"~","%7E"),"*","%2A"),"?","%3F"),'Rules'!$G$7:$G$26,0)),"")</x:f>
      </x:c>
      <x:c r="M329" s="6" t="str">
        <x:f>IF(AND(NOT(COUNTA(A329:F329)=0),K329=""),INDEX('Rules'!$D$7:$D$26,MATCH(SUBSTITUTE(SUBSTITUTE(SUBSTITUTE(SUBSTITUTE("type:"&amp;B329,"%","%25"),"~","%7E"),"*","%2A"),"?","%3F"),'Rules'!$G$7:$G$26,0)),"")</x:f>
      </x:c>
      <x:c r="N329" s="5" t="str">
        <x:f>IF(COUNTA(A329:F329)=0,"",SUBSTITUTE(SUBSTITUTE(SUBSTITUTE(SUBSTITUTE("id:"&amp;A329,"%","%25"),"~","%7E"),"*","%2A"),"?","%3F"))</x:f>
      </x:c>
    </x:row>
    <x:row r="330" ht="22" customHeight="1">
      <x:c r="A330" s="3"/>
      <x:c r="B330" s="3"/>
      <x:c r="C330" s="3"/>
      <x:c r="D330" s="4"/>
      <x:c r="E330" s="4"/>
      <x:c r="F330" s="4"/>
      <x:c r="G330" s="5" t="str">
        <x:f>IF(COUNTA(A330:F330)=0,"",IF(K330&lt;&gt;"","Review",IF(I330&lt;0,"Overdue",IF(I330=0,"Due now",IF(I330&lt;=M330,"Due soon","Not due")))))</x:f>
      </x:c>
      <x:c r="H330" s="5" t="str">
        <x:f>IF(OR(COUNTA(A330:F330)=0,COUNTIFS('Rules'!$G$7:$G$26,"="&amp;(SUBSTITUTE(SUBSTITUTE(SUBSTITUTE(SUBSTITUTE("type:"&amp;B330,"%","%25"),"~","%7E"),"*","%2A"),"?","%3F")))&lt;&gt;1),"",IF(OR(INDEX('Rules'!$B$7:$B$26,MATCH(SUBSTITUTE(SUBSTITUTE(SUBSTITUTE(SUBSTITUTE("type:"&amp;B330,"%","%25"),"~","%7E"),"*","%2A"),"?","%3F"),'Rules'!$G$7:$G$26,0))="hours",INDEX('Rules'!$B$7:$B$26,MATCH(SUBSTITUTE(SUBSTITUTE(SUBSTITUTE(SUBSTITUTE("type:"&amp;B330,"%","%25"),"~","%7E"),"*","%2A"),"?","%3F"),'Rules'!$G$7:$G$26,0))="km"),INDEX('Rules'!$B$7:$B$26,MATCH(SUBSTITUTE(SUBSTITUTE(SUBSTITUTE(SUBSTITUTE("type:"&amp;B330,"%","%25"),"~","%7E"),"*","%2A"),"?","%3F"),'Rules'!$G$7:$G$26,0)),""))</x:f>
      </x:c>
      <x:c r="I330" s="6" t="str">
        <x:f>IF(AND(NOT(COUNTA(A330:F330)=0),K330=""),ROUND(J330-D330,3),"")</x:f>
      </x:c>
      <x:c r="J330" s="6" t="str">
        <x:f>IF(AND(NOT(COUNTA(A330:F330)=0),K330=""),ROUND(F330+L330,3),"")</x:f>
      </x:c>
      <x:c r="K330" s="5" t="str">
        <x:f>IF(COUNTA(A330:F330)=0,"",IF(A330="","Missing equipment ID",IF(COUNTIFS($N$8:$N$2007,"="&amp;N330)&gt;1,"Duplicate equipment ID",IF(B330="","Missing type",IF(COUNTIFS('Rules'!$G$7:$G$26,"="&amp;(SUBSTITUTE(SUBSTITUTE(SUBSTITUTE(SUBSTITUTE("type:"&amp;B330,"%","%25"),"~","%7E"),"*","%2A"),"?","%3F")))=0,"Unknown type",IF(COUNTIFS('Rules'!$G$7:$G$26,"="&amp;(SUBSTITUTE(SUBSTITUTE(SUBSTITUTE(SUBSTITUTE("type:"&amp;B330,"%","%25"),"~","%7E"),"*","%2A"),"?","%3F")))&gt;1,"Duplicate type",IF(INDEX('Rules'!$F$7:$F$26,MATCH(SUBSTITUTE(SUBSTITUTE(SUBSTITUTE(SUBSTITUTE("type:"&amp;B330,"%","%25"),"~","%7E"),"*","%2A"),"?","%3F"),'Rules'!$G$7:$G$26,0))&lt;&gt;"",INDEX('Rules'!$F$7:$F$26,MATCH(SUBSTITUTE(SUBSTITUTE(SUBSTITUTE(SUBSTITUTE("type:"&amp;B330,"%","%25"),"~","%7E"),"*","%2A"),"?","%3F"),'Rules'!$G$7:$G$26,0)),IF(AND(C330&lt;&gt;"",C330&lt;&gt;INDEX('Rules'!$B$7:$B$26,MATCH(SUBSTITUTE(SUBSTITUTE(SUBSTITUTE(SUBSTITUTE("type:"&amp;B330,"%","%25"),"~","%7E"),"*","%2A"),"?","%3F"),'Rules'!$G$7:$G$26,0))),"Unit mismatch",IF(IF(NOT(ISNUMBER(D330)),TRUE,OR(D330&lt;0,D330&gt;999999999,ROUND(D330,3)&lt;&gt;D330)),"Invalid current reading",IF(AND(E330&lt;&gt;"",IF(NOT(ISNUMBER(E330)),TRUE,OR(E330&lt;0,E330&gt;999999999,ROUND(E330,3)&lt;&gt;E330))),"Invalid previous reading",IF(IF(NOT(ISNUMBER(F330)),TRUE,OR(F330&lt;0,F330&gt;999999999,ROUND(F330,3)&lt;&gt;F330)),"Invalid last service",IF(AND(E330&lt;&gt;"",D330&lt;E330),"Decreased reading",IF(F330&gt;D330,"Last service above current","")))))))))))))</x:f>
      </x:c>
      <x:c r="L330" s="6" t="str">
        <x:f>IF(AND(NOT(COUNTA(A330:F330)=0),K330=""),INDEX('Rules'!$C$7:$C$26,MATCH(SUBSTITUTE(SUBSTITUTE(SUBSTITUTE(SUBSTITUTE("type:"&amp;B330,"%","%25"),"~","%7E"),"*","%2A"),"?","%3F"),'Rules'!$G$7:$G$26,0)),"")</x:f>
      </x:c>
      <x:c r="M330" s="6" t="str">
        <x:f>IF(AND(NOT(COUNTA(A330:F330)=0),K330=""),INDEX('Rules'!$D$7:$D$26,MATCH(SUBSTITUTE(SUBSTITUTE(SUBSTITUTE(SUBSTITUTE("type:"&amp;B330,"%","%25"),"~","%7E"),"*","%2A"),"?","%3F"),'Rules'!$G$7:$G$26,0)),"")</x:f>
      </x:c>
      <x:c r="N330" s="5" t="str">
        <x:f>IF(COUNTA(A330:F330)=0,"",SUBSTITUTE(SUBSTITUTE(SUBSTITUTE(SUBSTITUTE("id:"&amp;A330,"%","%25"),"~","%7E"),"*","%2A"),"?","%3F"))</x:f>
      </x:c>
    </x:row>
    <x:row r="331" ht="22" customHeight="1">
      <x:c r="A331" s="3"/>
      <x:c r="B331" s="3"/>
      <x:c r="C331" s="3"/>
      <x:c r="D331" s="4"/>
      <x:c r="E331" s="4"/>
      <x:c r="F331" s="4"/>
      <x:c r="G331" s="5" t="str">
        <x:f>IF(COUNTA(A331:F331)=0,"",IF(K331&lt;&gt;"","Review",IF(I331&lt;0,"Overdue",IF(I331=0,"Due now",IF(I331&lt;=M331,"Due soon","Not due")))))</x:f>
      </x:c>
      <x:c r="H331" s="5" t="str">
        <x:f>IF(OR(COUNTA(A331:F331)=0,COUNTIFS('Rules'!$G$7:$G$26,"="&amp;(SUBSTITUTE(SUBSTITUTE(SUBSTITUTE(SUBSTITUTE("type:"&amp;B331,"%","%25"),"~","%7E"),"*","%2A"),"?","%3F")))&lt;&gt;1),"",IF(OR(INDEX('Rules'!$B$7:$B$26,MATCH(SUBSTITUTE(SUBSTITUTE(SUBSTITUTE(SUBSTITUTE("type:"&amp;B331,"%","%25"),"~","%7E"),"*","%2A"),"?","%3F"),'Rules'!$G$7:$G$26,0))="hours",INDEX('Rules'!$B$7:$B$26,MATCH(SUBSTITUTE(SUBSTITUTE(SUBSTITUTE(SUBSTITUTE("type:"&amp;B331,"%","%25"),"~","%7E"),"*","%2A"),"?","%3F"),'Rules'!$G$7:$G$26,0))="km"),INDEX('Rules'!$B$7:$B$26,MATCH(SUBSTITUTE(SUBSTITUTE(SUBSTITUTE(SUBSTITUTE("type:"&amp;B331,"%","%25"),"~","%7E"),"*","%2A"),"?","%3F"),'Rules'!$G$7:$G$26,0)),""))</x:f>
      </x:c>
      <x:c r="I331" s="6" t="str">
        <x:f>IF(AND(NOT(COUNTA(A331:F331)=0),K331=""),ROUND(J331-D331,3),"")</x:f>
      </x:c>
      <x:c r="J331" s="6" t="str">
        <x:f>IF(AND(NOT(COUNTA(A331:F331)=0),K331=""),ROUND(F331+L331,3),"")</x:f>
      </x:c>
      <x:c r="K331" s="5" t="str">
        <x:f>IF(COUNTA(A331:F331)=0,"",IF(A331="","Missing equipment ID",IF(COUNTIFS($N$8:$N$2007,"="&amp;N331)&gt;1,"Duplicate equipment ID",IF(B331="","Missing type",IF(COUNTIFS('Rules'!$G$7:$G$26,"="&amp;(SUBSTITUTE(SUBSTITUTE(SUBSTITUTE(SUBSTITUTE("type:"&amp;B331,"%","%25"),"~","%7E"),"*","%2A"),"?","%3F")))=0,"Unknown type",IF(COUNTIFS('Rules'!$G$7:$G$26,"="&amp;(SUBSTITUTE(SUBSTITUTE(SUBSTITUTE(SUBSTITUTE("type:"&amp;B331,"%","%25"),"~","%7E"),"*","%2A"),"?","%3F")))&gt;1,"Duplicate type",IF(INDEX('Rules'!$F$7:$F$26,MATCH(SUBSTITUTE(SUBSTITUTE(SUBSTITUTE(SUBSTITUTE("type:"&amp;B331,"%","%25"),"~","%7E"),"*","%2A"),"?","%3F"),'Rules'!$G$7:$G$26,0))&lt;&gt;"",INDEX('Rules'!$F$7:$F$26,MATCH(SUBSTITUTE(SUBSTITUTE(SUBSTITUTE(SUBSTITUTE("type:"&amp;B331,"%","%25"),"~","%7E"),"*","%2A"),"?","%3F"),'Rules'!$G$7:$G$26,0)),IF(AND(C331&lt;&gt;"",C331&lt;&gt;INDEX('Rules'!$B$7:$B$26,MATCH(SUBSTITUTE(SUBSTITUTE(SUBSTITUTE(SUBSTITUTE("type:"&amp;B331,"%","%25"),"~","%7E"),"*","%2A"),"?","%3F"),'Rules'!$G$7:$G$26,0))),"Unit mismatch",IF(IF(NOT(ISNUMBER(D331)),TRUE,OR(D331&lt;0,D331&gt;999999999,ROUND(D331,3)&lt;&gt;D331)),"Invalid current reading",IF(AND(E331&lt;&gt;"",IF(NOT(ISNUMBER(E331)),TRUE,OR(E331&lt;0,E331&gt;999999999,ROUND(E331,3)&lt;&gt;E331))),"Invalid previous reading",IF(IF(NOT(ISNUMBER(F331)),TRUE,OR(F331&lt;0,F331&gt;999999999,ROUND(F331,3)&lt;&gt;F331)),"Invalid last service",IF(AND(E331&lt;&gt;"",D331&lt;E331),"Decreased reading",IF(F331&gt;D331,"Last service above current","")))))))))))))</x:f>
      </x:c>
      <x:c r="L331" s="6" t="str">
        <x:f>IF(AND(NOT(COUNTA(A331:F331)=0),K331=""),INDEX('Rules'!$C$7:$C$26,MATCH(SUBSTITUTE(SUBSTITUTE(SUBSTITUTE(SUBSTITUTE("type:"&amp;B331,"%","%25"),"~","%7E"),"*","%2A"),"?","%3F"),'Rules'!$G$7:$G$26,0)),"")</x:f>
      </x:c>
      <x:c r="M331" s="6" t="str">
        <x:f>IF(AND(NOT(COUNTA(A331:F331)=0),K331=""),INDEX('Rules'!$D$7:$D$26,MATCH(SUBSTITUTE(SUBSTITUTE(SUBSTITUTE(SUBSTITUTE("type:"&amp;B331,"%","%25"),"~","%7E"),"*","%2A"),"?","%3F"),'Rules'!$G$7:$G$26,0)),"")</x:f>
      </x:c>
      <x:c r="N331" s="5" t="str">
        <x:f>IF(COUNTA(A331:F331)=0,"",SUBSTITUTE(SUBSTITUTE(SUBSTITUTE(SUBSTITUTE("id:"&amp;A331,"%","%25"),"~","%7E"),"*","%2A"),"?","%3F"))</x:f>
      </x:c>
    </x:row>
    <x:row r="332" ht="22" customHeight="1">
      <x:c r="A332" s="3"/>
      <x:c r="B332" s="3"/>
      <x:c r="C332" s="3"/>
      <x:c r="D332" s="4"/>
      <x:c r="E332" s="4"/>
      <x:c r="F332" s="4"/>
      <x:c r="G332" s="5" t="str">
        <x:f>IF(COUNTA(A332:F332)=0,"",IF(K332&lt;&gt;"","Review",IF(I332&lt;0,"Overdue",IF(I332=0,"Due now",IF(I332&lt;=M332,"Due soon","Not due")))))</x:f>
      </x:c>
      <x:c r="H332" s="5" t="str">
        <x:f>IF(OR(COUNTA(A332:F332)=0,COUNTIFS('Rules'!$G$7:$G$26,"="&amp;(SUBSTITUTE(SUBSTITUTE(SUBSTITUTE(SUBSTITUTE("type:"&amp;B332,"%","%25"),"~","%7E"),"*","%2A"),"?","%3F")))&lt;&gt;1),"",IF(OR(INDEX('Rules'!$B$7:$B$26,MATCH(SUBSTITUTE(SUBSTITUTE(SUBSTITUTE(SUBSTITUTE("type:"&amp;B332,"%","%25"),"~","%7E"),"*","%2A"),"?","%3F"),'Rules'!$G$7:$G$26,0))="hours",INDEX('Rules'!$B$7:$B$26,MATCH(SUBSTITUTE(SUBSTITUTE(SUBSTITUTE(SUBSTITUTE("type:"&amp;B332,"%","%25"),"~","%7E"),"*","%2A"),"?","%3F"),'Rules'!$G$7:$G$26,0))="km"),INDEX('Rules'!$B$7:$B$26,MATCH(SUBSTITUTE(SUBSTITUTE(SUBSTITUTE(SUBSTITUTE("type:"&amp;B332,"%","%25"),"~","%7E"),"*","%2A"),"?","%3F"),'Rules'!$G$7:$G$26,0)),""))</x:f>
      </x:c>
      <x:c r="I332" s="6" t="str">
        <x:f>IF(AND(NOT(COUNTA(A332:F332)=0),K332=""),ROUND(J332-D332,3),"")</x:f>
      </x:c>
      <x:c r="J332" s="6" t="str">
        <x:f>IF(AND(NOT(COUNTA(A332:F332)=0),K332=""),ROUND(F332+L332,3),"")</x:f>
      </x:c>
      <x:c r="K332" s="5" t="str">
        <x:f>IF(COUNTA(A332:F332)=0,"",IF(A332="","Missing equipment ID",IF(COUNTIFS($N$8:$N$2007,"="&amp;N332)&gt;1,"Duplicate equipment ID",IF(B332="","Missing type",IF(COUNTIFS('Rules'!$G$7:$G$26,"="&amp;(SUBSTITUTE(SUBSTITUTE(SUBSTITUTE(SUBSTITUTE("type:"&amp;B332,"%","%25"),"~","%7E"),"*","%2A"),"?","%3F")))=0,"Unknown type",IF(COUNTIFS('Rules'!$G$7:$G$26,"="&amp;(SUBSTITUTE(SUBSTITUTE(SUBSTITUTE(SUBSTITUTE("type:"&amp;B332,"%","%25"),"~","%7E"),"*","%2A"),"?","%3F")))&gt;1,"Duplicate type",IF(INDEX('Rules'!$F$7:$F$26,MATCH(SUBSTITUTE(SUBSTITUTE(SUBSTITUTE(SUBSTITUTE("type:"&amp;B332,"%","%25"),"~","%7E"),"*","%2A"),"?","%3F"),'Rules'!$G$7:$G$26,0))&lt;&gt;"",INDEX('Rules'!$F$7:$F$26,MATCH(SUBSTITUTE(SUBSTITUTE(SUBSTITUTE(SUBSTITUTE("type:"&amp;B332,"%","%25"),"~","%7E"),"*","%2A"),"?","%3F"),'Rules'!$G$7:$G$26,0)),IF(AND(C332&lt;&gt;"",C332&lt;&gt;INDEX('Rules'!$B$7:$B$26,MATCH(SUBSTITUTE(SUBSTITUTE(SUBSTITUTE(SUBSTITUTE("type:"&amp;B332,"%","%25"),"~","%7E"),"*","%2A"),"?","%3F"),'Rules'!$G$7:$G$26,0))),"Unit mismatch",IF(IF(NOT(ISNUMBER(D332)),TRUE,OR(D332&lt;0,D332&gt;999999999,ROUND(D332,3)&lt;&gt;D332)),"Invalid current reading",IF(AND(E332&lt;&gt;"",IF(NOT(ISNUMBER(E332)),TRUE,OR(E332&lt;0,E332&gt;999999999,ROUND(E332,3)&lt;&gt;E332))),"Invalid previous reading",IF(IF(NOT(ISNUMBER(F332)),TRUE,OR(F332&lt;0,F332&gt;999999999,ROUND(F332,3)&lt;&gt;F332)),"Invalid last service",IF(AND(E332&lt;&gt;"",D332&lt;E332),"Decreased reading",IF(F332&gt;D332,"Last service above current","")))))))))))))</x:f>
      </x:c>
      <x:c r="L332" s="6" t="str">
        <x:f>IF(AND(NOT(COUNTA(A332:F332)=0),K332=""),INDEX('Rules'!$C$7:$C$26,MATCH(SUBSTITUTE(SUBSTITUTE(SUBSTITUTE(SUBSTITUTE("type:"&amp;B332,"%","%25"),"~","%7E"),"*","%2A"),"?","%3F"),'Rules'!$G$7:$G$26,0)),"")</x:f>
      </x:c>
      <x:c r="M332" s="6" t="str">
        <x:f>IF(AND(NOT(COUNTA(A332:F332)=0),K332=""),INDEX('Rules'!$D$7:$D$26,MATCH(SUBSTITUTE(SUBSTITUTE(SUBSTITUTE(SUBSTITUTE("type:"&amp;B332,"%","%25"),"~","%7E"),"*","%2A"),"?","%3F"),'Rules'!$G$7:$G$26,0)),"")</x:f>
      </x:c>
      <x:c r="N332" s="5" t="str">
        <x:f>IF(COUNTA(A332:F332)=0,"",SUBSTITUTE(SUBSTITUTE(SUBSTITUTE(SUBSTITUTE("id:"&amp;A332,"%","%25"),"~","%7E"),"*","%2A"),"?","%3F"))</x:f>
      </x:c>
    </x:row>
    <x:row r="333" ht="22" customHeight="1">
      <x:c r="A333" s="3"/>
      <x:c r="B333" s="3"/>
      <x:c r="C333" s="3"/>
      <x:c r="D333" s="4"/>
      <x:c r="E333" s="4"/>
      <x:c r="F333" s="4"/>
      <x:c r="G333" s="5" t="str">
        <x:f>IF(COUNTA(A333:F333)=0,"",IF(K333&lt;&gt;"","Review",IF(I333&lt;0,"Overdue",IF(I333=0,"Due now",IF(I333&lt;=M333,"Due soon","Not due")))))</x:f>
      </x:c>
      <x:c r="H333" s="5" t="str">
        <x:f>IF(OR(COUNTA(A333:F333)=0,COUNTIFS('Rules'!$G$7:$G$26,"="&amp;(SUBSTITUTE(SUBSTITUTE(SUBSTITUTE(SUBSTITUTE("type:"&amp;B333,"%","%25"),"~","%7E"),"*","%2A"),"?","%3F")))&lt;&gt;1),"",IF(OR(INDEX('Rules'!$B$7:$B$26,MATCH(SUBSTITUTE(SUBSTITUTE(SUBSTITUTE(SUBSTITUTE("type:"&amp;B333,"%","%25"),"~","%7E"),"*","%2A"),"?","%3F"),'Rules'!$G$7:$G$26,0))="hours",INDEX('Rules'!$B$7:$B$26,MATCH(SUBSTITUTE(SUBSTITUTE(SUBSTITUTE(SUBSTITUTE("type:"&amp;B333,"%","%25"),"~","%7E"),"*","%2A"),"?","%3F"),'Rules'!$G$7:$G$26,0))="km"),INDEX('Rules'!$B$7:$B$26,MATCH(SUBSTITUTE(SUBSTITUTE(SUBSTITUTE(SUBSTITUTE("type:"&amp;B333,"%","%25"),"~","%7E"),"*","%2A"),"?","%3F"),'Rules'!$G$7:$G$26,0)),""))</x:f>
      </x:c>
      <x:c r="I333" s="6" t="str">
        <x:f>IF(AND(NOT(COUNTA(A333:F333)=0),K333=""),ROUND(J333-D333,3),"")</x:f>
      </x:c>
      <x:c r="J333" s="6" t="str">
        <x:f>IF(AND(NOT(COUNTA(A333:F333)=0),K333=""),ROUND(F333+L333,3),"")</x:f>
      </x:c>
      <x:c r="K333" s="5" t="str">
        <x:f>IF(COUNTA(A333:F333)=0,"",IF(A333="","Missing equipment ID",IF(COUNTIFS($N$8:$N$2007,"="&amp;N333)&gt;1,"Duplicate equipment ID",IF(B333="","Missing type",IF(COUNTIFS('Rules'!$G$7:$G$26,"="&amp;(SUBSTITUTE(SUBSTITUTE(SUBSTITUTE(SUBSTITUTE("type:"&amp;B333,"%","%25"),"~","%7E"),"*","%2A"),"?","%3F")))=0,"Unknown type",IF(COUNTIFS('Rules'!$G$7:$G$26,"="&amp;(SUBSTITUTE(SUBSTITUTE(SUBSTITUTE(SUBSTITUTE("type:"&amp;B333,"%","%25"),"~","%7E"),"*","%2A"),"?","%3F")))&gt;1,"Duplicate type",IF(INDEX('Rules'!$F$7:$F$26,MATCH(SUBSTITUTE(SUBSTITUTE(SUBSTITUTE(SUBSTITUTE("type:"&amp;B333,"%","%25"),"~","%7E"),"*","%2A"),"?","%3F"),'Rules'!$G$7:$G$26,0))&lt;&gt;"",INDEX('Rules'!$F$7:$F$26,MATCH(SUBSTITUTE(SUBSTITUTE(SUBSTITUTE(SUBSTITUTE("type:"&amp;B333,"%","%25"),"~","%7E"),"*","%2A"),"?","%3F"),'Rules'!$G$7:$G$26,0)),IF(AND(C333&lt;&gt;"",C333&lt;&gt;INDEX('Rules'!$B$7:$B$26,MATCH(SUBSTITUTE(SUBSTITUTE(SUBSTITUTE(SUBSTITUTE("type:"&amp;B333,"%","%25"),"~","%7E"),"*","%2A"),"?","%3F"),'Rules'!$G$7:$G$26,0))),"Unit mismatch",IF(IF(NOT(ISNUMBER(D333)),TRUE,OR(D333&lt;0,D333&gt;999999999,ROUND(D333,3)&lt;&gt;D333)),"Invalid current reading",IF(AND(E333&lt;&gt;"",IF(NOT(ISNUMBER(E333)),TRUE,OR(E333&lt;0,E333&gt;999999999,ROUND(E333,3)&lt;&gt;E333))),"Invalid previous reading",IF(IF(NOT(ISNUMBER(F333)),TRUE,OR(F333&lt;0,F333&gt;999999999,ROUND(F333,3)&lt;&gt;F333)),"Invalid last service",IF(AND(E333&lt;&gt;"",D333&lt;E333),"Decreased reading",IF(F333&gt;D333,"Last service above current","")))))))))))))</x:f>
      </x:c>
      <x:c r="L333" s="6" t="str">
        <x:f>IF(AND(NOT(COUNTA(A333:F333)=0),K333=""),INDEX('Rules'!$C$7:$C$26,MATCH(SUBSTITUTE(SUBSTITUTE(SUBSTITUTE(SUBSTITUTE("type:"&amp;B333,"%","%25"),"~","%7E"),"*","%2A"),"?","%3F"),'Rules'!$G$7:$G$26,0)),"")</x:f>
      </x:c>
      <x:c r="M333" s="6" t="str">
        <x:f>IF(AND(NOT(COUNTA(A333:F333)=0),K333=""),INDEX('Rules'!$D$7:$D$26,MATCH(SUBSTITUTE(SUBSTITUTE(SUBSTITUTE(SUBSTITUTE("type:"&amp;B333,"%","%25"),"~","%7E"),"*","%2A"),"?","%3F"),'Rules'!$G$7:$G$26,0)),"")</x:f>
      </x:c>
      <x:c r="N333" s="5" t="str">
        <x:f>IF(COUNTA(A333:F333)=0,"",SUBSTITUTE(SUBSTITUTE(SUBSTITUTE(SUBSTITUTE("id:"&amp;A333,"%","%25"),"~","%7E"),"*","%2A"),"?","%3F"))</x:f>
      </x:c>
    </x:row>
    <x:row r="334" ht="22" customHeight="1">
      <x:c r="A334" s="3"/>
      <x:c r="B334" s="3"/>
      <x:c r="C334" s="3"/>
      <x:c r="D334" s="4"/>
      <x:c r="E334" s="4"/>
      <x:c r="F334" s="4"/>
      <x:c r="G334" s="5" t="str">
        <x:f>IF(COUNTA(A334:F334)=0,"",IF(K334&lt;&gt;"","Review",IF(I334&lt;0,"Overdue",IF(I334=0,"Due now",IF(I334&lt;=M334,"Due soon","Not due")))))</x:f>
      </x:c>
      <x:c r="H334" s="5" t="str">
        <x:f>IF(OR(COUNTA(A334:F334)=0,COUNTIFS('Rules'!$G$7:$G$26,"="&amp;(SUBSTITUTE(SUBSTITUTE(SUBSTITUTE(SUBSTITUTE("type:"&amp;B334,"%","%25"),"~","%7E"),"*","%2A"),"?","%3F")))&lt;&gt;1),"",IF(OR(INDEX('Rules'!$B$7:$B$26,MATCH(SUBSTITUTE(SUBSTITUTE(SUBSTITUTE(SUBSTITUTE("type:"&amp;B334,"%","%25"),"~","%7E"),"*","%2A"),"?","%3F"),'Rules'!$G$7:$G$26,0))="hours",INDEX('Rules'!$B$7:$B$26,MATCH(SUBSTITUTE(SUBSTITUTE(SUBSTITUTE(SUBSTITUTE("type:"&amp;B334,"%","%25"),"~","%7E"),"*","%2A"),"?","%3F"),'Rules'!$G$7:$G$26,0))="km"),INDEX('Rules'!$B$7:$B$26,MATCH(SUBSTITUTE(SUBSTITUTE(SUBSTITUTE(SUBSTITUTE("type:"&amp;B334,"%","%25"),"~","%7E"),"*","%2A"),"?","%3F"),'Rules'!$G$7:$G$26,0)),""))</x:f>
      </x:c>
      <x:c r="I334" s="6" t="str">
        <x:f>IF(AND(NOT(COUNTA(A334:F334)=0),K334=""),ROUND(J334-D334,3),"")</x:f>
      </x:c>
      <x:c r="J334" s="6" t="str">
        <x:f>IF(AND(NOT(COUNTA(A334:F334)=0),K334=""),ROUND(F334+L334,3),"")</x:f>
      </x:c>
      <x:c r="K334" s="5" t="str">
        <x:f>IF(COUNTA(A334:F334)=0,"",IF(A334="","Missing equipment ID",IF(COUNTIFS($N$8:$N$2007,"="&amp;N334)&gt;1,"Duplicate equipment ID",IF(B334="","Missing type",IF(COUNTIFS('Rules'!$G$7:$G$26,"="&amp;(SUBSTITUTE(SUBSTITUTE(SUBSTITUTE(SUBSTITUTE("type:"&amp;B334,"%","%25"),"~","%7E"),"*","%2A"),"?","%3F")))=0,"Unknown type",IF(COUNTIFS('Rules'!$G$7:$G$26,"="&amp;(SUBSTITUTE(SUBSTITUTE(SUBSTITUTE(SUBSTITUTE("type:"&amp;B334,"%","%25"),"~","%7E"),"*","%2A"),"?","%3F")))&gt;1,"Duplicate type",IF(INDEX('Rules'!$F$7:$F$26,MATCH(SUBSTITUTE(SUBSTITUTE(SUBSTITUTE(SUBSTITUTE("type:"&amp;B334,"%","%25"),"~","%7E"),"*","%2A"),"?","%3F"),'Rules'!$G$7:$G$26,0))&lt;&gt;"",INDEX('Rules'!$F$7:$F$26,MATCH(SUBSTITUTE(SUBSTITUTE(SUBSTITUTE(SUBSTITUTE("type:"&amp;B334,"%","%25"),"~","%7E"),"*","%2A"),"?","%3F"),'Rules'!$G$7:$G$26,0)),IF(AND(C334&lt;&gt;"",C334&lt;&gt;INDEX('Rules'!$B$7:$B$26,MATCH(SUBSTITUTE(SUBSTITUTE(SUBSTITUTE(SUBSTITUTE("type:"&amp;B334,"%","%25"),"~","%7E"),"*","%2A"),"?","%3F"),'Rules'!$G$7:$G$26,0))),"Unit mismatch",IF(IF(NOT(ISNUMBER(D334)),TRUE,OR(D334&lt;0,D334&gt;999999999,ROUND(D334,3)&lt;&gt;D334)),"Invalid current reading",IF(AND(E334&lt;&gt;"",IF(NOT(ISNUMBER(E334)),TRUE,OR(E334&lt;0,E334&gt;999999999,ROUND(E334,3)&lt;&gt;E334))),"Invalid previous reading",IF(IF(NOT(ISNUMBER(F334)),TRUE,OR(F334&lt;0,F334&gt;999999999,ROUND(F334,3)&lt;&gt;F334)),"Invalid last service",IF(AND(E334&lt;&gt;"",D334&lt;E334),"Decreased reading",IF(F334&gt;D334,"Last service above current","")))))))))))))</x:f>
      </x:c>
      <x:c r="L334" s="6" t="str">
        <x:f>IF(AND(NOT(COUNTA(A334:F334)=0),K334=""),INDEX('Rules'!$C$7:$C$26,MATCH(SUBSTITUTE(SUBSTITUTE(SUBSTITUTE(SUBSTITUTE("type:"&amp;B334,"%","%25"),"~","%7E"),"*","%2A"),"?","%3F"),'Rules'!$G$7:$G$26,0)),"")</x:f>
      </x:c>
      <x:c r="M334" s="6" t="str">
        <x:f>IF(AND(NOT(COUNTA(A334:F334)=0),K334=""),INDEX('Rules'!$D$7:$D$26,MATCH(SUBSTITUTE(SUBSTITUTE(SUBSTITUTE(SUBSTITUTE("type:"&amp;B334,"%","%25"),"~","%7E"),"*","%2A"),"?","%3F"),'Rules'!$G$7:$G$26,0)),"")</x:f>
      </x:c>
      <x:c r="N334" s="5" t="str">
        <x:f>IF(COUNTA(A334:F334)=0,"",SUBSTITUTE(SUBSTITUTE(SUBSTITUTE(SUBSTITUTE("id:"&amp;A334,"%","%25"),"~","%7E"),"*","%2A"),"?","%3F"))</x:f>
      </x:c>
    </x:row>
    <x:row r="335" ht="22" customHeight="1">
      <x:c r="A335" s="3"/>
      <x:c r="B335" s="3"/>
      <x:c r="C335" s="3"/>
      <x:c r="D335" s="4"/>
      <x:c r="E335" s="4"/>
      <x:c r="F335" s="4"/>
      <x:c r="G335" s="5" t="str">
        <x:f>IF(COUNTA(A335:F335)=0,"",IF(K335&lt;&gt;"","Review",IF(I335&lt;0,"Overdue",IF(I335=0,"Due now",IF(I335&lt;=M335,"Due soon","Not due")))))</x:f>
      </x:c>
      <x:c r="H335" s="5" t="str">
        <x:f>IF(OR(COUNTA(A335:F335)=0,COUNTIFS('Rules'!$G$7:$G$26,"="&amp;(SUBSTITUTE(SUBSTITUTE(SUBSTITUTE(SUBSTITUTE("type:"&amp;B335,"%","%25"),"~","%7E"),"*","%2A"),"?","%3F")))&lt;&gt;1),"",IF(OR(INDEX('Rules'!$B$7:$B$26,MATCH(SUBSTITUTE(SUBSTITUTE(SUBSTITUTE(SUBSTITUTE("type:"&amp;B335,"%","%25"),"~","%7E"),"*","%2A"),"?","%3F"),'Rules'!$G$7:$G$26,0))="hours",INDEX('Rules'!$B$7:$B$26,MATCH(SUBSTITUTE(SUBSTITUTE(SUBSTITUTE(SUBSTITUTE("type:"&amp;B335,"%","%25"),"~","%7E"),"*","%2A"),"?","%3F"),'Rules'!$G$7:$G$26,0))="km"),INDEX('Rules'!$B$7:$B$26,MATCH(SUBSTITUTE(SUBSTITUTE(SUBSTITUTE(SUBSTITUTE("type:"&amp;B335,"%","%25"),"~","%7E"),"*","%2A"),"?","%3F"),'Rules'!$G$7:$G$26,0)),""))</x:f>
      </x:c>
      <x:c r="I335" s="6" t="str">
        <x:f>IF(AND(NOT(COUNTA(A335:F335)=0),K335=""),ROUND(J335-D335,3),"")</x:f>
      </x:c>
      <x:c r="J335" s="6" t="str">
        <x:f>IF(AND(NOT(COUNTA(A335:F335)=0),K335=""),ROUND(F335+L335,3),"")</x:f>
      </x:c>
      <x:c r="K335" s="5" t="str">
        <x:f>IF(COUNTA(A335:F335)=0,"",IF(A335="","Missing equipment ID",IF(COUNTIFS($N$8:$N$2007,"="&amp;N335)&gt;1,"Duplicate equipment ID",IF(B335="","Missing type",IF(COUNTIFS('Rules'!$G$7:$G$26,"="&amp;(SUBSTITUTE(SUBSTITUTE(SUBSTITUTE(SUBSTITUTE("type:"&amp;B335,"%","%25"),"~","%7E"),"*","%2A"),"?","%3F")))=0,"Unknown type",IF(COUNTIFS('Rules'!$G$7:$G$26,"="&amp;(SUBSTITUTE(SUBSTITUTE(SUBSTITUTE(SUBSTITUTE("type:"&amp;B335,"%","%25"),"~","%7E"),"*","%2A"),"?","%3F")))&gt;1,"Duplicate type",IF(INDEX('Rules'!$F$7:$F$26,MATCH(SUBSTITUTE(SUBSTITUTE(SUBSTITUTE(SUBSTITUTE("type:"&amp;B335,"%","%25"),"~","%7E"),"*","%2A"),"?","%3F"),'Rules'!$G$7:$G$26,0))&lt;&gt;"",INDEX('Rules'!$F$7:$F$26,MATCH(SUBSTITUTE(SUBSTITUTE(SUBSTITUTE(SUBSTITUTE("type:"&amp;B335,"%","%25"),"~","%7E"),"*","%2A"),"?","%3F"),'Rules'!$G$7:$G$26,0)),IF(AND(C335&lt;&gt;"",C335&lt;&gt;INDEX('Rules'!$B$7:$B$26,MATCH(SUBSTITUTE(SUBSTITUTE(SUBSTITUTE(SUBSTITUTE("type:"&amp;B335,"%","%25"),"~","%7E"),"*","%2A"),"?","%3F"),'Rules'!$G$7:$G$26,0))),"Unit mismatch",IF(IF(NOT(ISNUMBER(D335)),TRUE,OR(D335&lt;0,D335&gt;999999999,ROUND(D335,3)&lt;&gt;D335)),"Invalid current reading",IF(AND(E335&lt;&gt;"",IF(NOT(ISNUMBER(E335)),TRUE,OR(E335&lt;0,E335&gt;999999999,ROUND(E335,3)&lt;&gt;E335))),"Invalid previous reading",IF(IF(NOT(ISNUMBER(F335)),TRUE,OR(F335&lt;0,F335&gt;999999999,ROUND(F335,3)&lt;&gt;F335)),"Invalid last service",IF(AND(E335&lt;&gt;"",D335&lt;E335),"Decreased reading",IF(F335&gt;D335,"Last service above current","")))))))))))))</x:f>
      </x:c>
      <x:c r="L335" s="6" t="str">
        <x:f>IF(AND(NOT(COUNTA(A335:F335)=0),K335=""),INDEX('Rules'!$C$7:$C$26,MATCH(SUBSTITUTE(SUBSTITUTE(SUBSTITUTE(SUBSTITUTE("type:"&amp;B335,"%","%25"),"~","%7E"),"*","%2A"),"?","%3F"),'Rules'!$G$7:$G$26,0)),"")</x:f>
      </x:c>
      <x:c r="M335" s="6" t="str">
        <x:f>IF(AND(NOT(COUNTA(A335:F335)=0),K335=""),INDEX('Rules'!$D$7:$D$26,MATCH(SUBSTITUTE(SUBSTITUTE(SUBSTITUTE(SUBSTITUTE("type:"&amp;B335,"%","%25"),"~","%7E"),"*","%2A"),"?","%3F"),'Rules'!$G$7:$G$26,0)),"")</x:f>
      </x:c>
      <x:c r="N335" s="5" t="str">
        <x:f>IF(COUNTA(A335:F335)=0,"",SUBSTITUTE(SUBSTITUTE(SUBSTITUTE(SUBSTITUTE("id:"&amp;A335,"%","%25"),"~","%7E"),"*","%2A"),"?","%3F"))</x:f>
      </x:c>
    </x:row>
    <x:row r="336" ht="22" customHeight="1">
      <x:c r="A336" s="3"/>
      <x:c r="B336" s="3"/>
      <x:c r="C336" s="3"/>
      <x:c r="D336" s="4"/>
      <x:c r="E336" s="4"/>
      <x:c r="F336" s="4"/>
      <x:c r="G336" s="5" t="str">
        <x:f>IF(COUNTA(A336:F336)=0,"",IF(K336&lt;&gt;"","Review",IF(I336&lt;0,"Overdue",IF(I336=0,"Due now",IF(I336&lt;=M336,"Due soon","Not due")))))</x:f>
      </x:c>
      <x:c r="H336" s="5" t="str">
        <x:f>IF(OR(COUNTA(A336:F336)=0,COUNTIFS('Rules'!$G$7:$G$26,"="&amp;(SUBSTITUTE(SUBSTITUTE(SUBSTITUTE(SUBSTITUTE("type:"&amp;B336,"%","%25"),"~","%7E"),"*","%2A"),"?","%3F")))&lt;&gt;1),"",IF(OR(INDEX('Rules'!$B$7:$B$26,MATCH(SUBSTITUTE(SUBSTITUTE(SUBSTITUTE(SUBSTITUTE("type:"&amp;B336,"%","%25"),"~","%7E"),"*","%2A"),"?","%3F"),'Rules'!$G$7:$G$26,0))="hours",INDEX('Rules'!$B$7:$B$26,MATCH(SUBSTITUTE(SUBSTITUTE(SUBSTITUTE(SUBSTITUTE("type:"&amp;B336,"%","%25"),"~","%7E"),"*","%2A"),"?","%3F"),'Rules'!$G$7:$G$26,0))="km"),INDEX('Rules'!$B$7:$B$26,MATCH(SUBSTITUTE(SUBSTITUTE(SUBSTITUTE(SUBSTITUTE("type:"&amp;B336,"%","%25"),"~","%7E"),"*","%2A"),"?","%3F"),'Rules'!$G$7:$G$26,0)),""))</x:f>
      </x:c>
      <x:c r="I336" s="6" t="str">
        <x:f>IF(AND(NOT(COUNTA(A336:F336)=0),K336=""),ROUND(J336-D336,3),"")</x:f>
      </x:c>
      <x:c r="J336" s="6" t="str">
        <x:f>IF(AND(NOT(COUNTA(A336:F336)=0),K336=""),ROUND(F336+L336,3),"")</x:f>
      </x:c>
      <x:c r="K336" s="5" t="str">
        <x:f>IF(COUNTA(A336:F336)=0,"",IF(A336="","Missing equipment ID",IF(COUNTIFS($N$8:$N$2007,"="&amp;N336)&gt;1,"Duplicate equipment ID",IF(B336="","Missing type",IF(COUNTIFS('Rules'!$G$7:$G$26,"="&amp;(SUBSTITUTE(SUBSTITUTE(SUBSTITUTE(SUBSTITUTE("type:"&amp;B336,"%","%25"),"~","%7E"),"*","%2A"),"?","%3F")))=0,"Unknown type",IF(COUNTIFS('Rules'!$G$7:$G$26,"="&amp;(SUBSTITUTE(SUBSTITUTE(SUBSTITUTE(SUBSTITUTE("type:"&amp;B336,"%","%25"),"~","%7E"),"*","%2A"),"?","%3F")))&gt;1,"Duplicate type",IF(INDEX('Rules'!$F$7:$F$26,MATCH(SUBSTITUTE(SUBSTITUTE(SUBSTITUTE(SUBSTITUTE("type:"&amp;B336,"%","%25"),"~","%7E"),"*","%2A"),"?","%3F"),'Rules'!$G$7:$G$26,0))&lt;&gt;"",INDEX('Rules'!$F$7:$F$26,MATCH(SUBSTITUTE(SUBSTITUTE(SUBSTITUTE(SUBSTITUTE("type:"&amp;B336,"%","%25"),"~","%7E"),"*","%2A"),"?","%3F"),'Rules'!$G$7:$G$26,0)),IF(AND(C336&lt;&gt;"",C336&lt;&gt;INDEX('Rules'!$B$7:$B$26,MATCH(SUBSTITUTE(SUBSTITUTE(SUBSTITUTE(SUBSTITUTE("type:"&amp;B336,"%","%25"),"~","%7E"),"*","%2A"),"?","%3F"),'Rules'!$G$7:$G$26,0))),"Unit mismatch",IF(IF(NOT(ISNUMBER(D336)),TRUE,OR(D336&lt;0,D336&gt;999999999,ROUND(D336,3)&lt;&gt;D336)),"Invalid current reading",IF(AND(E336&lt;&gt;"",IF(NOT(ISNUMBER(E336)),TRUE,OR(E336&lt;0,E336&gt;999999999,ROUND(E336,3)&lt;&gt;E336))),"Invalid previous reading",IF(IF(NOT(ISNUMBER(F336)),TRUE,OR(F336&lt;0,F336&gt;999999999,ROUND(F336,3)&lt;&gt;F336)),"Invalid last service",IF(AND(E336&lt;&gt;"",D336&lt;E336),"Decreased reading",IF(F336&gt;D336,"Last service above current","")))))))))))))</x:f>
      </x:c>
      <x:c r="L336" s="6" t="str">
        <x:f>IF(AND(NOT(COUNTA(A336:F336)=0),K336=""),INDEX('Rules'!$C$7:$C$26,MATCH(SUBSTITUTE(SUBSTITUTE(SUBSTITUTE(SUBSTITUTE("type:"&amp;B336,"%","%25"),"~","%7E"),"*","%2A"),"?","%3F"),'Rules'!$G$7:$G$26,0)),"")</x:f>
      </x:c>
      <x:c r="M336" s="6" t="str">
        <x:f>IF(AND(NOT(COUNTA(A336:F336)=0),K336=""),INDEX('Rules'!$D$7:$D$26,MATCH(SUBSTITUTE(SUBSTITUTE(SUBSTITUTE(SUBSTITUTE("type:"&amp;B336,"%","%25"),"~","%7E"),"*","%2A"),"?","%3F"),'Rules'!$G$7:$G$26,0)),"")</x:f>
      </x:c>
      <x:c r="N336" s="5" t="str">
        <x:f>IF(COUNTA(A336:F336)=0,"",SUBSTITUTE(SUBSTITUTE(SUBSTITUTE(SUBSTITUTE("id:"&amp;A336,"%","%25"),"~","%7E"),"*","%2A"),"?","%3F"))</x:f>
      </x:c>
    </x:row>
    <x:row r="337" ht="22" customHeight="1">
      <x:c r="A337" s="3"/>
      <x:c r="B337" s="3"/>
      <x:c r="C337" s="3"/>
      <x:c r="D337" s="4"/>
      <x:c r="E337" s="4"/>
      <x:c r="F337" s="4"/>
      <x:c r="G337" s="5" t="str">
        <x:f>IF(COUNTA(A337:F337)=0,"",IF(K337&lt;&gt;"","Review",IF(I337&lt;0,"Overdue",IF(I337=0,"Due now",IF(I337&lt;=M337,"Due soon","Not due")))))</x:f>
      </x:c>
      <x:c r="H337" s="5" t="str">
        <x:f>IF(OR(COUNTA(A337:F337)=0,COUNTIFS('Rules'!$G$7:$G$26,"="&amp;(SUBSTITUTE(SUBSTITUTE(SUBSTITUTE(SUBSTITUTE("type:"&amp;B337,"%","%25"),"~","%7E"),"*","%2A"),"?","%3F")))&lt;&gt;1),"",IF(OR(INDEX('Rules'!$B$7:$B$26,MATCH(SUBSTITUTE(SUBSTITUTE(SUBSTITUTE(SUBSTITUTE("type:"&amp;B337,"%","%25"),"~","%7E"),"*","%2A"),"?","%3F"),'Rules'!$G$7:$G$26,0))="hours",INDEX('Rules'!$B$7:$B$26,MATCH(SUBSTITUTE(SUBSTITUTE(SUBSTITUTE(SUBSTITUTE("type:"&amp;B337,"%","%25"),"~","%7E"),"*","%2A"),"?","%3F"),'Rules'!$G$7:$G$26,0))="km"),INDEX('Rules'!$B$7:$B$26,MATCH(SUBSTITUTE(SUBSTITUTE(SUBSTITUTE(SUBSTITUTE("type:"&amp;B337,"%","%25"),"~","%7E"),"*","%2A"),"?","%3F"),'Rules'!$G$7:$G$26,0)),""))</x:f>
      </x:c>
      <x:c r="I337" s="6" t="str">
        <x:f>IF(AND(NOT(COUNTA(A337:F337)=0),K337=""),ROUND(J337-D337,3),"")</x:f>
      </x:c>
      <x:c r="J337" s="6" t="str">
        <x:f>IF(AND(NOT(COUNTA(A337:F337)=0),K337=""),ROUND(F337+L337,3),"")</x:f>
      </x:c>
      <x:c r="K337" s="5" t="str">
        <x:f>IF(COUNTA(A337:F337)=0,"",IF(A337="","Missing equipment ID",IF(COUNTIFS($N$8:$N$2007,"="&amp;N337)&gt;1,"Duplicate equipment ID",IF(B337="","Missing type",IF(COUNTIFS('Rules'!$G$7:$G$26,"="&amp;(SUBSTITUTE(SUBSTITUTE(SUBSTITUTE(SUBSTITUTE("type:"&amp;B337,"%","%25"),"~","%7E"),"*","%2A"),"?","%3F")))=0,"Unknown type",IF(COUNTIFS('Rules'!$G$7:$G$26,"="&amp;(SUBSTITUTE(SUBSTITUTE(SUBSTITUTE(SUBSTITUTE("type:"&amp;B337,"%","%25"),"~","%7E"),"*","%2A"),"?","%3F")))&gt;1,"Duplicate type",IF(INDEX('Rules'!$F$7:$F$26,MATCH(SUBSTITUTE(SUBSTITUTE(SUBSTITUTE(SUBSTITUTE("type:"&amp;B337,"%","%25"),"~","%7E"),"*","%2A"),"?","%3F"),'Rules'!$G$7:$G$26,0))&lt;&gt;"",INDEX('Rules'!$F$7:$F$26,MATCH(SUBSTITUTE(SUBSTITUTE(SUBSTITUTE(SUBSTITUTE("type:"&amp;B337,"%","%25"),"~","%7E"),"*","%2A"),"?","%3F"),'Rules'!$G$7:$G$26,0)),IF(AND(C337&lt;&gt;"",C337&lt;&gt;INDEX('Rules'!$B$7:$B$26,MATCH(SUBSTITUTE(SUBSTITUTE(SUBSTITUTE(SUBSTITUTE("type:"&amp;B337,"%","%25"),"~","%7E"),"*","%2A"),"?","%3F"),'Rules'!$G$7:$G$26,0))),"Unit mismatch",IF(IF(NOT(ISNUMBER(D337)),TRUE,OR(D337&lt;0,D337&gt;999999999,ROUND(D337,3)&lt;&gt;D337)),"Invalid current reading",IF(AND(E337&lt;&gt;"",IF(NOT(ISNUMBER(E337)),TRUE,OR(E337&lt;0,E337&gt;999999999,ROUND(E337,3)&lt;&gt;E337))),"Invalid previous reading",IF(IF(NOT(ISNUMBER(F337)),TRUE,OR(F337&lt;0,F337&gt;999999999,ROUND(F337,3)&lt;&gt;F337)),"Invalid last service",IF(AND(E337&lt;&gt;"",D337&lt;E337),"Decreased reading",IF(F337&gt;D337,"Last service above current","")))))))))))))</x:f>
      </x:c>
      <x:c r="L337" s="6" t="str">
        <x:f>IF(AND(NOT(COUNTA(A337:F337)=0),K337=""),INDEX('Rules'!$C$7:$C$26,MATCH(SUBSTITUTE(SUBSTITUTE(SUBSTITUTE(SUBSTITUTE("type:"&amp;B337,"%","%25"),"~","%7E"),"*","%2A"),"?","%3F"),'Rules'!$G$7:$G$26,0)),"")</x:f>
      </x:c>
      <x:c r="M337" s="6" t="str">
        <x:f>IF(AND(NOT(COUNTA(A337:F337)=0),K337=""),INDEX('Rules'!$D$7:$D$26,MATCH(SUBSTITUTE(SUBSTITUTE(SUBSTITUTE(SUBSTITUTE("type:"&amp;B337,"%","%25"),"~","%7E"),"*","%2A"),"?","%3F"),'Rules'!$G$7:$G$26,0)),"")</x:f>
      </x:c>
      <x:c r="N337" s="5" t="str">
        <x:f>IF(COUNTA(A337:F337)=0,"",SUBSTITUTE(SUBSTITUTE(SUBSTITUTE(SUBSTITUTE("id:"&amp;A337,"%","%25"),"~","%7E"),"*","%2A"),"?","%3F"))</x:f>
      </x:c>
    </x:row>
    <x:row r="338" ht="22" customHeight="1">
      <x:c r="A338" s="3"/>
      <x:c r="B338" s="3"/>
      <x:c r="C338" s="3"/>
      <x:c r="D338" s="4"/>
      <x:c r="E338" s="4"/>
      <x:c r="F338" s="4"/>
      <x:c r="G338" s="5" t="str">
        <x:f>IF(COUNTA(A338:F338)=0,"",IF(K338&lt;&gt;"","Review",IF(I338&lt;0,"Overdue",IF(I338=0,"Due now",IF(I338&lt;=M338,"Due soon","Not due")))))</x:f>
      </x:c>
      <x:c r="H338" s="5" t="str">
        <x:f>IF(OR(COUNTA(A338:F338)=0,COUNTIFS('Rules'!$G$7:$G$26,"="&amp;(SUBSTITUTE(SUBSTITUTE(SUBSTITUTE(SUBSTITUTE("type:"&amp;B338,"%","%25"),"~","%7E"),"*","%2A"),"?","%3F")))&lt;&gt;1),"",IF(OR(INDEX('Rules'!$B$7:$B$26,MATCH(SUBSTITUTE(SUBSTITUTE(SUBSTITUTE(SUBSTITUTE("type:"&amp;B338,"%","%25"),"~","%7E"),"*","%2A"),"?","%3F"),'Rules'!$G$7:$G$26,0))="hours",INDEX('Rules'!$B$7:$B$26,MATCH(SUBSTITUTE(SUBSTITUTE(SUBSTITUTE(SUBSTITUTE("type:"&amp;B338,"%","%25"),"~","%7E"),"*","%2A"),"?","%3F"),'Rules'!$G$7:$G$26,0))="km"),INDEX('Rules'!$B$7:$B$26,MATCH(SUBSTITUTE(SUBSTITUTE(SUBSTITUTE(SUBSTITUTE("type:"&amp;B338,"%","%25"),"~","%7E"),"*","%2A"),"?","%3F"),'Rules'!$G$7:$G$26,0)),""))</x:f>
      </x:c>
      <x:c r="I338" s="6" t="str">
        <x:f>IF(AND(NOT(COUNTA(A338:F338)=0),K338=""),ROUND(J338-D338,3),"")</x:f>
      </x:c>
      <x:c r="J338" s="6" t="str">
        <x:f>IF(AND(NOT(COUNTA(A338:F338)=0),K338=""),ROUND(F338+L338,3),"")</x:f>
      </x:c>
      <x:c r="K338" s="5" t="str">
        <x:f>IF(COUNTA(A338:F338)=0,"",IF(A338="","Missing equipment ID",IF(COUNTIFS($N$8:$N$2007,"="&amp;N338)&gt;1,"Duplicate equipment ID",IF(B338="","Missing type",IF(COUNTIFS('Rules'!$G$7:$G$26,"="&amp;(SUBSTITUTE(SUBSTITUTE(SUBSTITUTE(SUBSTITUTE("type:"&amp;B338,"%","%25"),"~","%7E"),"*","%2A"),"?","%3F")))=0,"Unknown type",IF(COUNTIFS('Rules'!$G$7:$G$26,"="&amp;(SUBSTITUTE(SUBSTITUTE(SUBSTITUTE(SUBSTITUTE("type:"&amp;B338,"%","%25"),"~","%7E"),"*","%2A"),"?","%3F")))&gt;1,"Duplicate type",IF(INDEX('Rules'!$F$7:$F$26,MATCH(SUBSTITUTE(SUBSTITUTE(SUBSTITUTE(SUBSTITUTE("type:"&amp;B338,"%","%25"),"~","%7E"),"*","%2A"),"?","%3F"),'Rules'!$G$7:$G$26,0))&lt;&gt;"",INDEX('Rules'!$F$7:$F$26,MATCH(SUBSTITUTE(SUBSTITUTE(SUBSTITUTE(SUBSTITUTE("type:"&amp;B338,"%","%25"),"~","%7E"),"*","%2A"),"?","%3F"),'Rules'!$G$7:$G$26,0)),IF(AND(C338&lt;&gt;"",C338&lt;&gt;INDEX('Rules'!$B$7:$B$26,MATCH(SUBSTITUTE(SUBSTITUTE(SUBSTITUTE(SUBSTITUTE("type:"&amp;B338,"%","%25"),"~","%7E"),"*","%2A"),"?","%3F"),'Rules'!$G$7:$G$26,0))),"Unit mismatch",IF(IF(NOT(ISNUMBER(D338)),TRUE,OR(D338&lt;0,D338&gt;999999999,ROUND(D338,3)&lt;&gt;D338)),"Invalid current reading",IF(AND(E338&lt;&gt;"",IF(NOT(ISNUMBER(E338)),TRUE,OR(E338&lt;0,E338&gt;999999999,ROUND(E338,3)&lt;&gt;E338))),"Invalid previous reading",IF(IF(NOT(ISNUMBER(F338)),TRUE,OR(F338&lt;0,F338&gt;999999999,ROUND(F338,3)&lt;&gt;F338)),"Invalid last service",IF(AND(E338&lt;&gt;"",D338&lt;E338),"Decreased reading",IF(F338&gt;D338,"Last service above current","")))))))))))))</x:f>
      </x:c>
      <x:c r="L338" s="6" t="str">
        <x:f>IF(AND(NOT(COUNTA(A338:F338)=0),K338=""),INDEX('Rules'!$C$7:$C$26,MATCH(SUBSTITUTE(SUBSTITUTE(SUBSTITUTE(SUBSTITUTE("type:"&amp;B338,"%","%25"),"~","%7E"),"*","%2A"),"?","%3F"),'Rules'!$G$7:$G$26,0)),"")</x:f>
      </x:c>
      <x:c r="M338" s="6" t="str">
        <x:f>IF(AND(NOT(COUNTA(A338:F338)=0),K338=""),INDEX('Rules'!$D$7:$D$26,MATCH(SUBSTITUTE(SUBSTITUTE(SUBSTITUTE(SUBSTITUTE("type:"&amp;B338,"%","%25"),"~","%7E"),"*","%2A"),"?","%3F"),'Rules'!$G$7:$G$26,0)),"")</x:f>
      </x:c>
      <x:c r="N338" s="5" t="str">
        <x:f>IF(COUNTA(A338:F338)=0,"",SUBSTITUTE(SUBSTITUTE(SUBSTITUTE(SUBSTITUTE("id:"&amp;A338,"%","%25"),"~","%7E"),"*","%2A"),"?","%3F"))</x:f>
      </x:c>
    </x:row>
    <x:row r="339" ht="22" customHeight="1">
      <x:c r="A339" s="3"/>
      <x:c r="B339" s="3"/>
      <x:c r="C339" s="3"/>
      <x:c r="D339" s="4"/>
      <x:c r="E339" s="4"/>
      <x:c r="F339" s="4"/>
      <x:c r="G339" s="5" t="str">
        <x:f>IF(COUNTA(A339:F339)=0,"",IF(K339&lt;&gt;"","Review",IF(I339&lt;0,"Overdue",IF(I339=0,"Due now",IF(I339&lt;=M339,"Due soon","Not due")))))</x:f>
      </x:c>
      <x:c r="H339" s="5" t="str">
        <x:f>IF(OR(COUNTA(A339:F339)=0,COUNTIFS('Rules'!$G$7:$G$26,"="&amp;(SUBSTITUTE(SUBSTITUTE(SUBSTITUTE(SUBSTITUTE("type:"&amp;B339,"%","%25"),"~","%7E"),"*","%2A"),"?","%3F")))&lt;&gt;1),"",IF(OR(INDEX('Rules'!$B$7:$B$26,MATCH(SUBSTITUTE(SUBSTITUTE(SUBSTITUTE(SUBSTITUTE("type:"&amp;B339,"%","%25"),"~","%7E"),"*","%2A"),"?","%3F"),'Rules'!$G$7:$G$26,0))="hours",INDEX('Rules'!$B$7:$B$26,MATCH(SUBSTITUTE(SUBSTITUTE(SUBSTITUTE(SUBSTITUTE("type:"&amp;B339,"%","%25"),"~","%7E"),"*","%2A"),"?","%3F"),'Rules'!$G$7:$G$26,0))="km"),INDEX('Rules'!$B$7:$B$26,MATCH(SUBSTITUTE(SUBSTITUTE(SUBSTITUTE(SUBSTITUTE("type:"&amp;B339,"%","%25"),"~","%7E"),"*","%2A"),"?","%3F"),'Rules'!$G$7:$G$26,0)),""))</x:f>
      </x:c>
      <x:c r="I339" s="6" t="str">
        <x:f>IF(AND(NOT(COUNTA(A339:F339)=0),K339=""),ROUND(J339-D339,3),"")</x:f>
      </x:c>
      <x:c r="J339" s="6" t="str">
        <x:f>IF(AND(NOT(COUNTA(A339:F339)=0),K339=""),ROUND(F339+L339,3),"")</x:f>
      </x:c>
      <x:c r="K339" s="5" t="str">
        <x:f>IF(COUNTA(A339:F339)=0,"",IF(A339="","Missing equipment ID",IF(COUNTIFS($N$8:$N$2007,"="&amp;N339)&gt;1,"Duplicate equipment ID",IF(B339="","Missing type",IF(COUNTIFS('Rules'!$G$7:$G$26,"="&amp;(SUBSTITUTE(SUBSTITUTE(SUBSTITUTE(SUBSTITUTE("type:"&amp;B339,"%","%25"),"~","%7E"),"*","%2A"),"?","%3F")))=0,"Unknown type",IF(COUNTIFS('Rules'!$G$7:$G$26,"="&amp;(SUBSTITUTE(SUBSTITUTE(SUBSTITUTE(SUBSTITUTE("type:"&amp;B339,"%","%25"),"~","%7E"),"*","%2A"),"?","%3F")))&gt;1,"Duplicate type",IF(INDEX('Rules'!$F$7:$F$26,MATCH(SUBSTITUTE(SUBSTITUTE(SUBSTITUTE(SUBSTITUTE("type:"&amp;B339,"%","%25"),"~","%7E"),"*","%2A"),"?","%3F"),'Rules'!$G$7:$G$26,0))&lt;&gt;"",INDEX('Rules'!$F$7:$F$26,MATCH(SUBSTITUTE(SUBSTITUTE(SUBSTITUTE(SUBSTITUTE("type:"&amp;B339,"%","%25"),"~","%7E"),"*","%2A"),"?","%3F"),'Rules'!$G$7:$G$26,0)),IF(AND(C339&lt;&gt;"",C339&lt;&gt;INDEX('Rules'!$B$7:$B$26,MATCH(SUBSTITUTE(SUBSTITUTE(SUBSTITUTE(SUBSTITUTE("type:"&amp;B339,"%","%25"),"~","%7E"),"*","%2A"),"?","%3F"),'Rules'!$G$7:$G$26,0))),"Unit mismatch",IF(IF(NOT(ISNUMBER(D339)),TRUE,OR(D339&lt;0,D339&gt;999999999,ROUND(D339,3)&lt;&gt;D339)),"Invalid current reading",IF(AND(E339&lt;&gt;"",IF(NOT(ISNUMBER(E339)),TRUE,OR(E339&lt;0,E339&gt;999999999,ROUND(E339,3)&lt;&gt;E339))),"Invalid previous reading",IF(IF(NOT(ISNUMBER(F339)),TRUE,OR(F339&lt;0,F339&gt;999999999,ROUND(F339,3)&lt;&gt;F339)),"Invalid last service",IF(AND(E339&lt;&gt;"",D339&lt;E339),"Decreased reading",IF(F339&gt;D339,"Last service above current","")))))))))))))</x:f>
      </x:c>
      <x:c r="L339" s="6" t="str">
        <x:f>IF(AND(NOT(COUNTA(A339:F339)=0),K339=""),INDEX('Rules'!$C$7:$C$26,MATCH(SUBSTITUTE(SUBSTITUTE(SUBSTITUTE(SUBSTITUTE("type:"&amp;B339,"%","%25"),"~","%7E"),"*","%2A"),"?","%3F"),'Rules'!$G$7:$G$26,0)),"")</x:f>
      </x:c>
      <x:c r="M339" s="6" t="str">
        <x:f>IF(AND(NOT(COUNTA(A339:F339)=0),K339=""),INDEX('Rules'!$D$7:$D$26,MATCH(SUBSTITUTE(SUBSTITUTE(SUBSTITUTE(SUBSTITUTE("type:"&amp;B339,"%","%25"),"~","%7E"),"*","%2A"),"?","%3F"),'Rules'!$G$7:$G$26,0)),"")</x:f>
      </x:c>
      <x:c r="N339" s="5" t="str">
        <x:f>IF(COUNTA(A339:F339)=0,"",SUBSTITUTE(SUBSTITUTE(SUBSTITUTE(SUBSTITUTE("id:"&amp;A339,"%","%25"),"~","%7E"),"*","%2A"),"?","%3F"))</x:f>
      </x:c>
    </x:row>
    <x:row r="340" ht="22" customHeight="1">
      <x:c r="A340" s="3"/>
      <x:c r="B340" s="3"/>
      <x:c r="C340" s="3"/>
      <x:c r="D340" s="4"/>
      <x:c r="E340" s="4"/>
      <x:c r="F340" s="4"/>
      <x:c r="G340" s="5" t="str">
        <x:f>IF(COUNTA(A340:F340)=0,"",IF(K340&lt;&gt;"","Review",IF(I340&lt;0,"Overdue",IF(I340=0,"Due now",IF(I340&lt;=M340,"Due soon","Not due")))))</x:f>
      </x:c>
      <x:c r="H340" s="5" t="str">
        <x:f>IF(OR(COUNTA(A340:F340)=0,COUNTIFS('Rules'!$G$7:$G$26,"="&amp;(SUBSTITUTE(SUBSTITUTE(SUBSTITUTE(SUBSTITUTE("type:"&amp;B340,"%","%25"),"~","%7E"),"*","%2A"),"?","%3F")))&lt;&gt;1),"",IF(OR(INDEX('Rules'!$B$7:$B$26,MATCH(SUBSTITUTE(SUBSTITUTE(SUBSTITUTE(SUBSTITUTE("type:"&amp;B340,"%","%25"),"~","%7E"),"*","%2A"),"?","%3F"),'Rules'!$G$7:$G$26,0))="hours",INDEX('Rules'!$B$7:$B$26,MATCH(SUBSTITUTE(SUBSTITUTE(SUBSTITUTE(SUBSTITUTE("type:"&amp;B340,"%","%25"),"~","%7E"),"*","%2A"),"?","%3F"),'Rules'!$G$7:$G$26,0))="km"),INDEX('Rules'!$B$7:$B$26,MATCH(SUBSTITUTE(SUBSTITUTE(SUBSTITUTE(SUBSTITUTE("type:"&amp;B340,"%","%25"),"~","%7E"),"*","%2A"),"?","%3F"),'Rules'!$G$7:$G$26,0)),""))</x:f>
      </x:c>
      <x:c r="I340" s="6" t="str">
        <x:f>IF(AND(NOT(COUNTA(A340:F340)=0),K340=""),ROUND(J340-D340,3),"")</x:f>
      </x:c>
      <x:c r="J340" s="6" t="str">
        <x:f>IF(AND(NOT(COUNTA(A340:F340)=0),K340=""),ROUND(F340+L340,3),"")</x:f>
      </x:c>
      <x:c r="K340" s="5" t="str">
        <x:f>IF(COUNTA(A340:F340)=0,"",IF(A340="","Missing equipment ID",IF(COUNTIFS($N$8:$N$2007,"="&amp;N340)&gt;1,"Duplicate equipment ID",IF(B340="","Missing type",IF(COUNTIFS('Rules'!$G$7:$G$26,"="&amp;(SUBSTITUTE(SUBSTITUTE(SUBSTITUTE(SUBSTITUTE("type:"&amp;B340,"%","%25"),"~","%7E"),"*","%2A"),"?","%3F")))=0,"Unknown type",IF(COUNTIFS('Rules'!$G$7:$G$26,"="&amp;(SUBSTITUTE(SUBSTITUTE(SUBSTITUTE(SUBSTITUTE("type:"&amp;B340,"%","%25"),"~","%7E"),"*","%2A"),"?","%3F")))&gt;1,"Duplicate type",IF(INDEX('Rules'!$F$7:$F$26,MATCH(SUBSTITUTE(SUBSTITUTE(SUBSTITUTE(SUBSTITUTE("type:"&amp;B340,"%","%25"),"~","%7E"),"*","%2A"),"?","%3F"),'Rules'!$G$7:$G$26,0))&lt;&gt;"",INDEX('Rules'!$F$7:$F$26,MATCH(SUBSTITUTE(SUBSTITUTE(SUBSTITUTE(SUBSTITUTE("type:"&amp;B340,"%","%25"),"~","%7E"),"*","%2A"),"?","%3F"),'Rules'!$G$7:$G$26,0)),IF(AND(C340&lt;&gt;"",C340&lt;&gt;INDEX('Rules'!$B$7:$B$26,MATCH(SUBSTITUTE(SUBSTITUTE(SUBSTITUTE(SUBSTITUTE("type:"&amp;B340,"%","%25"),"~","%7E"),"*","%2A"),"?","%3F"),'Rules'!$G$7:$G$26,0))),"Unit mismatch",IF(IF(NOT(ISNUMBER(D340)),TRUE,OR(D340&lt;0,D340&gt;999999999,ROUND(D340,3)&lt;&gt;D340)),"Invalid current reading",IF(AND(E340&lt;&gt;"",IF(NOT(ISNUMBER(E340)),TRUE,OR(E340&lt;0,E340&gt;999999999,ROUND(E340,3)&lt;&gt;E340))),"Invalid previous reading",IF(IF(NOT(ISNUMBER(F340)),TRUE,OR(F340&lt;0,F340&gt;999999999,ROUND(F340,3)&lt;&gt;F340)),"Invalid last service",IF(AND(E340&lt;&gt;"",D340&lt;E340),"Decreased reading",IF(F340&gt;D340,"Last service above current","")))))))))))))</x:f>
      </x:c>
      <x:c r="L340" s="6" t="str">
        <x:f>IF(AND(NOT(COUNTA(A340:F340)=0),K340=""),INDEX('Rules'!$C$7:$C$26,MATCH(SUBSTITUTE(SUBSTITUTE(SUBSTITUTE(SUBSTITUTE("type:"&amp;B340,"%","%25"),"~","%7E"),"*","%2A"),"?","%3F"),'Rules'!$G$7:$G$26,0)),"")</x:f>
      </x:c>
      <x:c r="M340" s="6" t="str">
        <x:f>IF(AND(NOT(COUNTA(A340:F340)=0),K340=""),INDEX('Rules'!$D$7:$D$26,MATCH(SUBSTITUTE(SUBSTITUTE(SUBSTITUTE(SUBSTITUTE("type:"&amp;B340,"%","%25"),"~","%7E"),"*","%2A"),"?","%3F"),'Rules'!$G$7:$G$26,0)),"")</x:f>
      </x:c>
      <x:c r="N340" s="5" t="str">
        <x:f>IF(COUNTA(A340:F340)=0,"",SUBSTITUTE(SUBSTITUTE(SUBSTITUTE(SUBSTITUTE("id:"&amp;A340,"%","%25"),"~","%7E"),"*","%2A"),"?","%3F"))</x:f>
      </x:c>
    </x:row>
    <x:row r="341" ht="22" customHeight="1">
      <x:c r="A341" s="3"/>
      <x:c r="B341" s="3"/>
      <x:c r="C341" s="3"/>
      <x:c r="D341" s="4"/>
      <x:c r="E341" s="4"/>
      <x:c r="F341" s="4"/>
      <x:c r="G341" s="5" t="str">
        <x:f>IF(COUNTA(A341:F341)=0,"",IF(K341&lt;&gt;"","Review",IF(I341&lt;0,"Overdue",IF(I341=0,"Due now",IF(I341&lt;=M341,"Due soon","Not due")))))</x:f>
      </x:c>
      <x:c r="H341" s="5" t="str">
        <x:f>IF(OR(COUNTA(A341:F341)=0,COUNTIFS('Rules'!$G$7:$G$26,"="&amp;(SUBSTITUTE(SUBSTITUTE(SUBSTITUTE(SUBSTITUTE("type:"&amp;B341,"%","%25"),"~","%7E"),"*","%2A"),"?","%3F")))&lt;&gt;1),"",IF(OR(INDEX('Rules'!$B$7:$B$26,MATCH(SUBSTITUTE(SUBSTITUTE(SUBSTITUTE(SUBSTITUTE("type:"&amp;B341,"%","%25"),"~","%7E"),"*","%2A"),"?","%3F"),'Rules'!$G$7:$G$26,0))="hours",INDEX('Rules'!$B$7:$B$26,MATCH(SUBSTITUTE(SUBSTITUTE(SUBSTITUTE(SUBSTITUTE("type:"&amp;B341,"%","%25"),"~","%7E"),"*","%2A"),"?","%3F"),'Rules'!$G$7:$G$26,0))="km"),INDEX('Rules'!$B$7:$B$26,MATCH(SUBSTITUTE(SUBSTITUTE(SUBSTITUTE(SUBSTITUTE("type:"&amp;B341,"%","%25"),"~","%7E"),"*","%2A"),"?","%3F"),'Rules'!$G$7:$G$26,0)),""))</x:f>
      </x:c>
      <x:c r="I341" s="6" t="str">
        <x:f>IF(AND(NOT(COUNTA(A341:F341)=0),K341=""),ROUND(J341-D341,3),"")</x:f>
      </x:c>
      <x:c r="J341" s="6" t="str">
        <x:f>IF(AND(NOT(COUNTA(A341:F341)=0),K341=""),ROUND(F341+L341,3),"")</x:f>
      </x:c>
      <x:c r="K341" s="5" t="str">
        <x:f>IF(COUNTA(A341:F341)=0,"",IF(A341="","Missing equipment ID",IF(COUNTIFS($N$8:$N$2007,"="&amp;N341)&gt;1,"Duplicate equipment ID",IF(B341="","Missing type",IF(COUNTIFS('Rules'!$G$7:$G$26,"="&amp;(SUBSTITUTE(SUBSTITUTE(SUBSTITUTE(SUBSTITUTE("type:"&amp;B341,"%","%25"),"~","%7E"),"*","%2A"),"?","%3F")))=0,"Unknown type",IF(COUNTIFS('Rules'!$G$7:$G$26,"="&amp;(SUBSTITUTE(SUBSTITUTE(SUBSTITUTE(SUBSTITUTE("type:"&amp;B341,"%","%25"),"~","%7E"),"*","%2A"),"?","%3F")))&gt;1,"Duplicate type",IF(INDEX('Rules'!$F$7:$F$26,MATCH(SUBSTITUTE(SUBSTITUTE(SUBSTITUTE(SUBSTITUTE("type:"&amp;B341,"%","%25"),"~","%7E"),"*","%2A"),"?","%3F"),'Rules'!$G$7:$G$26,0))&lt;&gt;"",INDEX('Rules'!$F$7:$F$26,MATCH(SUBSTITUTE(SUBSTITUTE(SUBSTITUTE(SUBSTITUTE("type:"&amp;B341,"%","%25"),"~","%7E"),"*","%2A"),"?","%3F"),'Rules'!$G$7:$G$26,0)),IF(AND(C341&lt;&gt;"",C341&lt;&gt;INDEX('Rules'!$B$7:$B$26,MATCH(SUBSTITUTE(SUBSTITUTE(SUBSTITUTE(SUBSTITUTE("type:"&amp;B341,"%","%25"),"~","%7E"),"*","%2A"),"?","%3F"),'Rules'!$G$7:$G$26,0))),"Unit mismatch",IF(IF(NOT(ISNUMBER(D341)),TRUE,OR(D341&lt;0,D341&gt;999999999,ROUND(D341,3)&lt;&gt;D341)),"Invalid current reading",IF(AND(E341&lt;&gt;"",IF(NOT(ISNUMBER(E341)),TRUE,OR(E341&lt;0,E341&gt;999999999,ROUND(E341,3)&lt;&gt;E341))),"Invalid previous reading",IF(IF(NOT(ISNUMBER(F341)),TRUE,OR(F341&lt;0,F341&gt;999999999,ROUND(F341,3)&lt;&gt;F341)),"Invalid last service",IF(AND(E341&lt;&gt;"",D341&lt;E341),"Decreased reading",IF(F341&gt;D341,"Last service above current","")))))))))))))</x:f>
      </x:c>
      <x:c r="L341" s="6" t="str">
        <x:f>IF(AND(NOT(COUNTA(A341:F341)=0),K341=""),INDEX('Rules'!$C$7:$C$26,MATCH(SUBSTITUTE(SUBSTITUTE(SUBSTITUTE(SUBSTITUTE("type:"&amp;B341,"%","%25"),"~","%7E"),"*","%2A"),"?","%3F"),'Rules'!$G$7:$G$26,0)),"")</x:f>
      </x:c>
      <x:c r="M341" s="6" t="str">
        <x:f>IF(AND(NOT(COUNTA(A341:F341)=0),K341=""),INDEX('Rules'!$D$7:$D$26,MATCH(SUBSTITUTE(SUBSTITUTE(SUBSTITUTE(SUBSTITUTE("type:"&amp;B341,"%","%25"),"~","%7E"),"*","%2A"),"?","%3F"),'Rules'!$G$7:$G$26,0)),"")</x:f>
      </x:c>
      <x:c r="N341" s="5" t="str">
        <x:f>IF(COUNTA(A341:F341)=0,"",SUBSTITUTE(SUBSTITUTE(SUBSTITUTE(SUBSTITUTE("id:"&amp;A341,"%","%25"),"~","%7E"),"*","%2A"),"?","%3F"))</x:f>
      </x:c>
    </x:row>
    <x:row r="342" ht="22" customHeight="1">
      <x:c r="A342" s="3"/>
      <x:c r="B342" s="3"/>
      <x:c r="C342" s="3"/>
      <x:c r="D342" s="4"/>
      <x:c r="E342" s="4"/>
      <x:c r="F342" s="4"/>
      <x:c r="G342" s="5" t="str">
        <x:f>IF(COUNTA(A342:F342)=0,"",IF(K342&lt;&gt;"","Review",IF(I342&lt;0,"Overdue",IF(I342=0,"Due now",IF(I342&lt;=M342,"Due soon","Not due")))))</x:f>
      </x:c>
      <x:c r="H342" s="5" t="str">
        <x:f>IF(OR(COUNTA(A342:F342)=0,COUNTIFS('Rules'!$G$7:$G$26,"="&amp;(SUBSTITUTE(SUBSTITUTE(SUBSTITUTE(SUBSTITUTE("type:"&amp;B342,"%","%25"),"~","%7E"),"*","%2A"),"?","%3F")))&lt;&gt;1),"",IF(OR(INDEX('Rules'!$B$7:$B$26,MATCH(SUBSTITUTE(SUBSTITUTE(SUBSTITUTE(SUBSTITUTE("type:"&amp;B342,"%","%25"),"~","%7E"),"*","%2A"),"?","%3F"),'Rules'!$G$7:$G$26,0))="hours",INDEX('Rules'!$B$7:$B$26,MATCH(SUBSTITUTE(SUBSTITUTE(SUBSTITUTE(SUBSTITUTE("type:"&amp;B342,"%","%25"),"~","%7E"),"*","%2A"),"?","%3F"),'Rules'!$G$7:$G$26,0))="km"),INDEX('Rules'!$B$7:$B$26,MATCH(SUBSTITUTE(SUBSTITUTE(SUBSTITUTE(SUBSTITUTE("type:"&amp;B342,"%","%25"),"~","%7E"),"*","%2A"),"?","%3F"),'Rules'!$G$7:$G$26,0)),""))</x:f>
      </x:c>
      <x:c r="I342" s="6" t="str">
        <x:f>IF(AND(NOT(COUNTA(A342:F342)=0),K342=""),ROUND(J342-D342,3),"")</x:f>
      </x:c>
      <x:c r="J342" s="6" t="str">
        <x:f>IF(AND(NOT(COUNTA(A342:F342)=0),K342=""),ROUND(F342+L342,3),"")</x:f>
      </x:c>
      <x:c r="K342" s="5" t="str">
        <x:f>IF(COUNTA(A342:F342)=0,"",IF(A342="","Missing equipment ID",IF(COUNTIFS($N$8:$N$2007,"="&amp;N342)&gt;1,"Duplicate equipment ID",IF(B342="","Missing type",IF(COUNTIFS('Rules'!$G$7:$G$26,"="&amp;(SUBSTITUTE(SUBSTITUTE(SUBSTITUTE(SUBSTITUTE("type:"&amp;B342,"%","%25"),"~","%7E"),"*","%2A"),"?","%3F")))=0,"Unknown type",IF(COUNTIFS('Rules'!$G$7:$G$26,"="&amp;(SUBSTITUTE(SUBSTITUTE(SUBSTITUTE(SUBSTITUTE("type:"&amp;B342,"%","%25"),"~","%7E"),"*","%2A"),"?","%3F")))&gt;1,"Duplicate type",IF(INDEX('Rules'!$F$7:$F$26,MATCH(SUBSTITUTE(SUBSTITUTE(SUBSTITUTE(SUBSTITUTE("type:"&amp;B342,"%","%25"),"~","%7E"),"*","%2A"),"?","%3F"),'Rules'!$G$7:$G$26,0))&lt;&gt;"",INDEX('Rules'!$F$7:$F$26,MATCH(SUBSTITUTE(SUBSTITUTE(SUBSTITUTE(SUBSTITUTE("type:"&amp;B342,"%","%25"),"~","%7E"),"*","%2A"),"?","%3F"),'Rules'!$G$7:$G$26,0)),IF(AND(C342&lt;&gt;"",C342&lt;&gt;INDEX('Rules'!$B$7:$B$26,MATCH(SUBSTITUTE(SUBSTITUTE(SUBSTITUTE(SUBSTITUTE("type:"&amp;B342,"%","%25"),"~","%7E"),"*","%2A"),"?","%3F"),'Rules'!$G$7:$G$26,0))),"Unit mismatch",IF(IF(NOT(ISNUMBER(D342)),TRUE,OR(D342&lt;0,D342&gt;999999999,ROUND(D342,3)&lt;&gt;D342)),"Invalid current reading",IF(AND(E342&lt;&gt;"",IF(NOT(ISNUMBER(E342)),TRUE,OR(E342&lt;0,E342&gt;999999999,ROUND(E342,3)&lt;&gt;E342))),"Invalid previous reading",IF(IF(NOT(ISNUMBER(F342)),TRUE,OR(F342&lt;0,F342&gt;999999999,ROUND(F342,3)&lt;&gt;F342)),"Invalid last service",IF(AND(E342&lt;&gt;"",D342&lt;E342),"Decreased reading",IF(F342&gt;D342,"Last service above current","")))))))))))))</x:f>
      </x:c>
      <x:c r="L342" s="6" t="str">
        <x:f>IF(AND(NOT(COUNTA(A342:F342)=0),K342=""),INDEX('Rules'!$C$7:$C$26,MATCH(SUBSTITUTE(SUBSTITUTE(SUBSTITUTE(SUBSTITUTE("type:"&amp;B342,"%","%25"),"~","%7E"),"*","%2A"),"?","%3F"),'Rules'!$G$7:$G$26,0)),"")</x:f>
      </x:c>
      <x:c r="M342" s="6" t="str">
        <x:f>IF(AND(NOT(COUNTA(A342:F342)=0),K342=""),INDEX('Rules'!$D$7:$D$26,MATCH(SUBSTITUTE(SUBSTITUTE(SUBSTITUTE(SUBSTITUTE("type:"&amp;B342,"%","%25"),"~","%7E"),"*","%2A"),"?","%3F"),'Rules'!$G$7:$G$26,0)),"")</x:f>
      </x:c>
      <x:c r="N342" s="5" t="str">
        <x:f>IF(COUNTA(A342:F342)=0,"",SUBSTITUTE(SUBSTITUTE(SUBSTITUTE(SUBSTITUTE("id:"&amp;A342,"%","%25"),"~","%7E"),"*","%2A"),"?","%3F"))</x:f>
      </x:c>
    </x:row>
    <x:row r="343" ht="22" customHeight="1">
      <x:c r="A343" s="3"/>
      <x:c r="B343" s="3"/>
      <x:c r="C343" s="3"/>
      <x:c r="D343" s="4"/>
      <x:c r="E343" s="4"/>
      <x:c r="F343" s="4"/>
      <x:c r="G343" s="5" t="str">
        <x:f>IF(COUNTA(A343:F343)=0,"",IF(K343&lt;&gt;"","Review",IF(I343&lt;0,"Overdue",IF(I343=0,"Due now",IF(I343&lt;=M343,"Due soon","Not due")))))</x:f>
      </x:c>
      <x:c r="H343" s="5" t="str">
        <x:f>IF(OR(COUNTA(A343:F343)=0,COUNTIFS('Rules'!$G$7:$G$26,"="&amp;(SUBSTITUTE(SUBSTITUTE(SUBSTITUTE(SUBSTITUTE("type:"&amp;B343,"%","%25"),"~","%7E"),"*","%2A"),"?","%3F")))&lt;&gt;1),"",IF(OR(INDEX('Rules'!$B$7:$B$26,MATCH(SUBSTITUTE(SUBSTITUTE(SUBSTITUTE(SUBSTITUTE("type:"&amp;B343,"%","%25"),"~","%7E"),"*","%2A"),"?","%3F"),'Rules'!$G$7:$G$26,0))="hours",INDEX('Rules'!$B$7:$B$26,MATCH(SUBSTITUTE(SUBSTITUTE(SUBSTITUTE(SUBSTITUTE("type:"&amp;B343,"%","%25"),"~","%7E"),"*","%2A"),"?","%3F"),'Rules'!$G$7:$G$26,0))="km"),INDEX('Rules'!$B$7:$B$26,MATCH(SUBSTITUTE(SUBSTITUTE(SUBSTITUTE(SUBSTITUTE("type:"&amp;B343,"%","%25"),"~","%7E"),"*","%2A"),"?","%3F"),'Rules'!$G$7:$G$26,0)),""))</x:f>
      </x:c>
      <x:c r="I343" s="6" t="str">
        <x:f>IF(AND(NOT(COUNTA(A343:F343)=0),K343=""),ROUND(J343-D343,3),"")</x:f>
      </x:c>
      <x:c r="J343" s="6" t="str">
        <x:f>IF(AND(NOT(COUNTA(A343:F343)=0),K343=""),ROUND(F343+L343,3),"")</x:f>
      </x:c>
      <x:c r="K343" s="5" t="str">
        <x:f>IF(COUNTA(A343:F343)=0,"",IF(A343="","Missing equipment ID",IF(COUNTIFS($N$8:$N$2007,"="&amp;N343)&gt;1,"Duplicate equipment ID",IF(B343="","Missing type",IF(COUNTIFS('Rules'!$G$7:$G$26,"="&amp;(SUBSTITUTE(SUBSTITUTE(SUBSTITUTE(SUBSTITUTE("type:"&amp;B343,"%","%25"),"~","%7E"),"*","%2A"),"?","%3F")))=0,"Unknown type",IF(COUNTIFS('Rules'!$G$7:$G$26,"="&amp;(SUBSTITUTE(SUBSTITUTE(SUBSTITUTE(SUBSTITUTE("type:"&amp;B343,"%","%25"),"~","%7E"),"*","%2A"),"?","%3F")))&gt;1,"Duplicate type",IF(INDEX('Rules'!$F$7:$F$26,MATCH(SUBSTITUTE(SUBSTITUTE(SUBSTITUTE(SUBSTITUTE("type:"&amp;B343,"%","%25"),"~","%7E"),"*","%2A"),"?","%3F"),'Rules'!$G$7:$G$26,0))&lt;&gt;"",INDEX('Rules'!$F$7:$F$26,MATCH(SUBSTITUTE(SUBSTITUTE(SUBSTITUTE(SUBSTITUTE("type:"&amp;B343,"%","%25"),"~","%7E"),"*","%2A"),"?","%3F"),'Rules'!$G$7:$G$26,0)),IF(AND(C343&lt;&gt;"",C343&lt;&gt;INDEX('Rules'!$B$7:$B$26,MATCH(SUBSTITUTE(SUBSTITUTE(SUBSTITUTE(SUBSTITUTE("type:"&amp;B343,"%","%25"),"~","%7E"),"*","%2A"),"?","%3F"),'Rules'!$G$7:$G$26,0))),"Unit mismatch",IF(IF(NOT(ISNUMBER(D343)),TRUE,OR(D343&lt;0,D343&gt;999999999,ROUND(D343,3)&lt;&gt;D343)),"Invalid current reading",IF(AND(E343&lt;&gt;"",IF(NOT(ISNUMBER(E343)),TRUE,OR(E343&lt;0,E343&gt;999999999,ROUND(E343,3)&lt;&gt;E343))),"Invalid previous reading",IF(IF(NOT(ISNUMBER(F343)),TRUE,OR(F343&lt;0,F343&gt;999999999,ROUND(F343,3)&lt;&gt;F343)),"Invalid last service",IF(AND(E343&lt;&gt;"",D343&lt;E343),"Decreased reading",IF(F343&gt;D343,"Last service above current","")))))))))))))</x:f>
      </x:c>
      <x:c r="L343" s="6" t="str">
        <x:f>IF(AND(NOT(COUNTA(A343:F343)=0),K343=""),INDEX('Rules'!$C$7:$C$26,MATCH(SUBSTITUTE(SUBSTITUTE(SUBSTITUTE(SUBSTITUTE("type:"&amp;B343,"%","%25"),"~","%7E"),"*","%2A"),"?","%3F"),'Rules'!$G$7:$G$26,0)),"")</x:f>
      </x:c>
      <x:c r="M343" s="6" t="str">
        <x:f>IF(AND(NOT(COUNTA(A343:F343)=0),K343=""),INDEX('Rules'!$D$7:$D$26,MATCH(SUBSTITUTE(SUBSTITUTE(SUBSTITUTE(SUBSTITUTE("type:"&amp;B343,"%","%25"),"~","%7E"),"*","%2A"),"?","%3F"),'Rules'!$G$7:$G$26,0)),"")</x:f>
      </x:c>
      <x:c r="N343" s="5" t="str">
        <x:f>IF(COUNTA(A343:F343)=0,"",SUBSTITUTE(SUBSTITUTE(SUBSTITUTE(SUBSTITUTE("id:"&amp;A343,"%","%25"),"~","%7E"),"*","%2A"),"?","%3F"))</x:f>
      </x:c>
    </x:row>
    <x:row r="344" ht="22" customHeight="1">
      <x:c r="A344" s="3"/>
      <x:c r="B344" s="3"/>
      <x:c r="C344" s="3"/>
      <x:c r="D344" s="4"/>
      <x:c r="E344" s="4"/>
      <x:c r="F344" s="4"/>
      <x:c r="G344" s="5" t="str">
        <x:f>IF(COUNTA(A344:F344)=0,"",IF(K344&lt;&gt;"","Review",IF(I344&lt;0,"Overdue",IF(I344=0,"Due now",IF(I344&lt;=M344,"Due soon","Not due")))))</x:f>
      </x:c>
      <x:c r="H344" s="5" t="str">
        <x:f>IF(OR(COUNTA(A344:F344)=0,COUNTIFS('Rules'!$G$7:$G$26,"="&amp;(SUBSTITUTE(SUBSTITUTE(SUBSTITUTE(SUBSTITUTE("type:"&amp;B344,"%","%25"),"~","%7E"),"*","%2A"),"?","%3F")))&lt;&gt;1),"",IF(OR(INDEX('Rules'!$B$7:$B$26,MATCH(SUBSTITUTE(SUBSTITUTE(SUBSTITUTE(SUBSTITUTE("type:"&amp;B344,"%","%25"),"~","%7E"),"*","%2A"),"?","%3F"),'Rules'!$G$7:$G$26,0))="hours",INDEX('Rules'!$B$7:$B$26,MATCH(SUBSTITUTE(SUBSTITUTE(SUBSTITUTE(SUBSTITUTE("type:"&amp;B344,"%","%25"),"~","%7E"),"*","%2A"),"?","%3F"),'Rules'!$G$7:$G$26,0))="km"),INDEX('Rules'!$B$7:$B$26,MATCH(SUBSTITUTE(SUBSTITUTE(SUBSTITUTE(SUBSTITUTE("type:"&amp;B344,"%","%25"),"~","%7E"),"*","%2A"),"?","%3F"),'Rules'!$G$7:$G$26,0)),""))</x:f>
      </x:c>
      <x:c r="I344" s="6" t="str">
        <x:f>IF(AND(NOT(COUNTA(A344:F344)=0),K344=""),ROUND(J344-D344,3),"")</x:f>
      </x:c>
      <x:c r="J344" s="6" t="str">
        <x:f>IF(AND(NOT(COUNTA(A344:F344)=0),K344=""),ROUND(F344+L344,3),"")</x:f>
      </x:c>
      <x:c r="K344" s="5" t="str">
        <x:f>IF(COUNTA(A344:F344)=0,"",IF(A344="","Missing equipment ID",IF(COUNTIFS($N$8:$N$2007,"="&amp;N344)&gt;1,"Duplicate equipment ID",IF(B344="","Missing type",IF(COUNTIFS('Rules'!$G$7:$G$26,"="&amp;(SUBSTITUTE(SUBSTITUTE(SUBSTITUTE(SUBSTITUTE("type:"&amp;B344,"%","%25"),"~","%7E"),"*","%2A"),"?","%3F")))=0,"Unknown type",IF(COUNTIFS('Rules'!$G$7:$G$26,"="&amp;(SUBSTITUTE(SUBSTITUTE(SUBSTITUTE(SUBSTITUTE("type:"&amp;B344,"%","%25"),"~","%7E"),"*","%2A"),"?","%3F")))&gt;1,"Duplicate type",IF(INDEX('Rules'!$F$7:$F$26,MATCH(SUBSTITUTE(SUBSTITUTE(SUBSTITUTE(SUBSTITUTE("type:"&amp;B344,"%","%25"),"~","%7E"),"*","%2A"),"?","%3F"),'Rules'!$G$7:$G$26,0))&lt;&gt;"",INDEX('Rules'!$F$7:$F$26,MATCH(SUBSTITUTE(SUBSTITUTE(SUBSTITUTE(SUBSTITUTE("type:"&amp;B344,"%","%25"),"~","%7E"),"*","%2A"),"?","%3F"),'Rules'!$G$7:$G$26,0)),IF(AND(C344&lt;&gt;"",C344&lt;&gt;INDEX('Rules'!$B$7:$B$26,MATCH(SUBSTITUTE(SUBSTITUTE(SUBSTITUTE(SUBSTITUTE("type:"&amp;B344,"%","%25"),"~","%7E"),"*","%2A"),"?","%3F"),'Rules'!$G$7:$G$26,0))),"Unit mismatch",IF(IF(NOT(ISNUMBER(D344)),TRUE,OR(D344&lt;0,D344&gt;999999999,ROUND(D344,3)&lt;&gt;D344)),"Invalid current reading",IF(AND(E344&lt;&gt;"",IF(NOT(ISNUMBER(E344)),TRUE,OR(E344&lt;0,E344&gt;999999999,ROUND(E344,3)&lt;&gt;E344))),"Invalid previous reading",IF(IF(NOT(ISNUMBER(F344)),TRUE,OR(F344&lt;0,F344&gt;999999999,ROUND(F344,3)&lt;&gt;F344)),"Invalid last service",IF(AND(E344&lt;&gt;"",D344&lt;E344),"Decreased reading",IF(F344&gt;D344,"Last service above current","")))))))))))))</x:f>
      </x:c>
      <x:c r="L344" s="6" t="str">
        <x:f>IF(AND(NOT(COUNTA(A344:F344)=0),K344=""),INDEX('Rules'!$C$7:$C$26,MATCH(SUBSTITUTE(SUBSTITUTE(SUBSTITUTE(SUBSTITUTE("type:"&amp;B344,"%","%25"),"~","%7E"),"*","%2A"),"?","%3F"),'Rules'!$G$7:$G$26,0)),"")</x:f>
      </x:c>
      <x:c r="M344" s="6" t="str">
        <x:f>IF(AND(NOT(COUNTA(A344:F344)=0),K344=""),INDEX('Rules'!$D$7:$D$26,MATCH(SUBSTITUTE(SUBSTITUTE(SUBSTITUTE(SUBSTITUTE("type:"&amp;B344,"%","%25"),"~","%7E"),"*","%2A"),"?","%3F"),'Rules'!$G$7:$G$26,0)),"")</x:f>
      </x:c>
      <x:c r="N344" s="5" t="str">
        <x:f>IF(COUNTA(A344:F344)=0,"",SUBSTITUTE(SUBSTITUTE(SUBSTITUTE(SUBSTITUTE("id:"&amp;A344,"%","%25"),"~","%7E"),"*","%2A"),"?","%3F"))</x:f>
      </x:c>
    </x:row>
    <x:row r="345" ht="22" customHeight="1">
      <x:c r="A345" s="3"/>
      <x:c r="B345" s="3"/>
      <x:c r="C345" s="3"/>
      <x:c r="D345" s="4"/>
      <x:c r="E345" s="4"/>
      <x:c r="F345" s="4"/>
      <x:c r="G345" s="5" t="str">
        <x:f>IF(COUNTA(A345:F345)=0,"",IF(K345&lt;&gt;"","Review",IF(I345&lt;0,"Overdue",IF(I345=0,"Due now",IF(I345&lt;=M345,"Due soon","Not due")))))</x:f>
      </x:c>
      <x:c r="H345" s="5" t="str">
        <x:f>IF(OR(COUNTA(A345:F345)=0,COUNTIFS('Rules'!$G$7:$G$26,"="&amp;(SUBSTITUTE(SUBSTITUTE(SUBSTITUTE(SUBSTITUTE("type:"&amp;B345,"%","%25"),"~","%7E"),"*","%2A"),"?","%3F")))&lt;&gt;1),"",IF(OR(INDEX('Rules'!$B$7:$B$26,MATCH(SUBSTITUTE(SUBSTITUTE(SUBSTITUTE(SUBSTITUTE("type:"&amp;B345,"%","%25"),"~","%7E"),"*","%2A"),"?","%3F"),'Rules'!$G$7:$G$26,0))="hours",INDEX('Rules'!$B$7:$B$26,MATCH(SUBSTITUTE(SUBSTITUTE(SUBSTITUTE(SUBSTITUTE("type:"&amp;B345,"%","%25"),"~","%7E"),"*","%2A"),"?","%3F"),'Rules'!$G$7:$G$26,0))="km"),INDEX('Rules'!$B$7:$B$26,MATCH(SUBSTITUTE(SUBSTITUTE(SUBSTITUTE(SUBSTITUTE("type:"&amp;B345,"%","%25"),"~","%7E"),"*","%2A"),"?","%3F"),'Rules'!$G$7:$G$26,0)),""))</x:f>
      </x:c>
      <x:c r="I345" s="6" t="str">
        <x:f>IF(AND(NOT(COUNTA(A345:F345)=0),K345=""),ROUND(J345-D345,3),"")</x:f>
      </x:c>
      <x:c r="J345" s="6" t="str">
        <x:f>IF(AND(NOT(COUNTA(A345:F345)=0),K345=""),ROUND(F345+L345,3),"")</x:f>
      </x:c>
      <x:c r="K345" s="5" t="str">
        <x:f>IF(COUNTA(A345:F345)=0,"",IF(A345="","Missing equipment ID",IF(COUNTIFS($N$8:$N$2007,"="&amp;N345)&gt;1,"Duplicate equipment ID",IF(B345="","Missing type",IF(COUNTIFS('Rules'!$G$7:$G$26,"="&amp;(SUBSTITUTE(SUBSTITUTE(SUBSTITUTE(SUBSTITUTE("type:"&amp;B345,"%","%25"),"~","%7E"),"*","%2A"),"?","%3F")))=0,"Unknown type",IF(COUNTIFS('Rules'!$G$7:$G$26,"="&amp;(SUBSTITUTE(SUBSTITUTE(SUBSTITUTE(SUBSTITUTE("type:"&amp;B345,"%","%25"),"~","%7E"),"*","%2A"),"?","%3F")))&gt;1,"Duplicate type",IF(INDEX('Rules'!$F$7:$F$26,MATCH(SUBSTITUTE(SUBSTITUTE(SUBSTITUTE(SUBSTITUTE("type:"&amp;B345,"%","%25"),"~","%7E"),"*","%2A"),"?","%3F"),'Rules'!$G$7:$G$26,0))&lt;&gt;"",INDEX('Rules'!$F$7:$F$26,MATCH(SUBSTITUTE(SUBSTITUTE(SUBSTITUTE(SUBSTITUTE("type:"&amp;B345,"%","%25"),"~","%7E"),"*","%2A"),"?","%3F"),'Rules'!$G$7:$G$26,0)),IF(AND(C345&lt;&gt;"",C345&lt;&gt;INDEX('Rules'!$B$7:$B$26,MATCH(SUBSTITUTE(SUBSTITUTE(SUBSTITUTE(SUBSTITUTE("type:"&amp;B345,"%","%25"),"~","%7E"),"*","%2A"),"?","%3F"),'Rules'!$G$7:$G$26,0))),"Unit mismatch",IF(IF(NOT(ISNUMBER(D345)),TRUE,OR(D345&lt;0,D345&gt;999999999,ROUND(D345,3)&lt;&gt;D345)),"Invalid current reading",IF(AND(E345&lt;&gt;"",IF(NOT(ISNUMBER(E345)),TRUE,OR(E345&lt;0,E345&gt;999999999,ROUND(E345,3)&lt;&gt;E345))),"Invalid previous reading",IF(IF(NOT(ISNUMBER(F345)),TRUE,OR(F345&lt;0,F345&gt;999999999,ROUND(F345,3)&lt;&gt;F345)),"Invalid last service",IF(AND(E345&lt;&gt;"",D345&lt;E345),"Decreased reading",IF(F345&gt;D345,"Last service above current","")))))))))))))</x:f>
      </x:c>
      <x:c r="L345" s="6" t="str">
        <x:f>IF(AND(NOT(COUNTA(A345:F345)=0),K345=""),INDEX('Rules'!$C$7:$C$26,MATCH(SUBSTITUTE(SUBSTITUTE(SUBSTITUTE(SUBSTITUTE("type:"&amp;B345,"%","%25"),"~","%7E"),"*","%2A"),"?","%3F"),'Rules'!$G$7:$G$26,0)),"")</x:f>
      </x:c>
      <x:c r="M345" s="6" t="str">
        <x:f>IF(AND(NOT(COUNTA(A345:F345)=0),K345=""),INDEX('Rules'!$D$7:$D$26,MATCH(SUBSTITUTE(SUBSTITUTE(SUBSTITUTE(SUBSTITUTE("type:"&amp;B345,"%","%25"),"~","%7E"),"*","%2A"),"?","%3F"),'Rules'!$G$7:$G$26,0)),"")</x:f>
      </x:c>
      <x:c r="N345" s="5" t="str">
        <x:f>IF(COUNTA(A345:F345)=0,"",SUBSTITUTE(SUBSTITUTE(SUBSTITUTE(SUBSTITUTE("id:"&amp;A345,"%","%25"),"~","%7E"),"*","%2A"),"?","%3F"))</x:f>
      </x:c>
    </x:row>
    <x:row r="346" ht="22" customHeight="1">
      <x:c r="A346" s="3"/>
      <x:c r="B346" s="3"/>
      <x:c r="C346" s="3"/>
      <x:c r="D346" s="4"/>
      <x:c r="E346" s="4"/>
      <x:c r="F346" s="4"/>
      <x:c r="G346" s="5" t="str">
        <x:f>IF(COUNTA(A346:F346)=0,"",IF(K346&lt;&gt;"","Review",IF(I346&lt;0,"Overdue",IF(I346=0,"Due now",IF(I346&lt;=M346,"Due soon","Not due")))))</x:f>
      </x:c>
      <x:c r="H346" s="5" t="str">
        <x:f>IF(OR(COUNTA(A346:F346)=0,COUNTIFS('Rules'!$G$7:$G$26,"="&amp;(SUBSTITUTE(SUBSTITUTE(SUBSTITUTE(SUBSTITUTE("type:"&amp;B346,"%","%25"),"~","%7E"),"*","%2A"),"?","%3F")))&lt;&gt;1),"",IF(OR(INDEX('Rules'!$B$7:$B$26,MATCH(SUBSTITUTE(SUBSTITUTE(SUBSTITUTE(SUBSTITUTE("type:"&amp;B346,"%","%25"),"~","%7E"),"*","%2A"),"?","%3F"),'Rules'!$G$7:$G$26,0))="hours",INDEX('Rules'!$B$7:$B$26,MATCH(SUBSTITUTE(SUBSTITUTE(SUBSTITUTE(SUBSTITUTE("type:"&amp;B346,"%","%25"),"~","%7E"),"*","%2A"),"?","%3F"),'Rules'!$G$7:$G$26,0))="km"),INDEX('Rules'!$B$7:$B$26,MATCH(SUBSTITUTE(SUBSTITUTE(SUBSTITUTE(SUBSTITUTE("type:"&amp;B346,"%","%25"),"~","%7E"),"*","%2A"),"?","%3F"),'Rules'!$G$7:$G$26,0)),""))</x:f>
      </x:c>
      <x:c r="I346" s="6" t="str">
        <x:f>IF(AND(NOT(COUNTA(A346:F346)=0),K346=""),ROUND(J346-D346,3),"")</x:f>
      </x:c>
      <x:c r="J346" s="6" t="str">
        <x:f>IF(AND(NOT(COUNTA(A346:F346)=0),K346=""),ROUND(F346+L346,3),"")</x:f>
      </x:c>
      <x:c r="K346" s="5" t="str">
        <x:f>IF(COUNTA(A346:F346)=0,"",IF(A346="","Missing equipment ID",IF(COUNTIFS($N$8:$N$2007,"="&amp;N346)&gt;1,"Duplicate equipment ID",IF(B346="","Missing type",IF(COUNTIFS('Rules'!$G$7:$G$26,"="&amp;(SUBSTITUTE(SUBSTITUTE(SUBSTITUTE(SUBSTITUTE("type:"&amp;B346,"%","%25"),"~","%7E"),"*","%2A"),"?","%3F")))=0,"Unknown type",IF(COUNTIFS('Rules'!$G$7:$G$26,"="&amp;(SUBSTITUTE(SUBSTITUTE(SUBSTITUTE(SUBSTITUTE("type:"&amp;B346,"%","%25"),"~","%7E"),"*","%2A"),"?","%3F")))&gt;1,"Duplicate type",IF(INDEX('Rules'!$F$7:$F$26,MATCH(SUBSTITUTE(SUBSTITUTE(SUBSTITUTE(SUBSTITUTE("type:"&amp;B346,"%","%25"),"~","%7E"),"*","%2A"),"?","%3F"),'Rules'!$G$7:$G$26,0))&lt;&gt;"",INDEX('Rules'!$F$7:$F$26,MATCH(SUBSTITUTE(SUBSTITUTE(SUBSTITUTE(SUBSTITUTE("type:"&amp;B346,"%","%25"),"~","%7E"),"*","%2A"),"?","%3F"),'Rules'!$G$7:$G$26,0)),IF(AND(C346&lt;&gt;"",C346&lt;&gt;INDEX('Rules'!$B$7:$B$26,MATCH(SUBSTITUTE(SUBSTITUTE(SUBSTITUTE(SUBSTITUTE("type:"&amp;B346,"%","%25"),"~","%7E"),"*","%2A"),"?","%3F"),'Rules'!$G$7:$G$26,0))),"Unit mismatch",IF(IF(NOT(ISNUMBER(D346)),TRUE,OR(D346&lt;0,D346&gt;999999999,ROUND(D346,3)&lt;&gt;D346)),"Invalid current reading",IF(AND(E346&lt;&gt;"",IF(NOT(ISNUMBER(E346)),TRUE,OR(E346&lt;0,E346&gt;999999999,ROUND(E346,3)&lt;&gt;E346))),"Invalid previous reading",IF(IF(NOT(ISNUMBER(F346)),TRUE,OR(F346&lt;0,F346&gt;999999999,ROUND(F346,3)&lt;&gt;F346)),"Invalid last service",IF(AND(E346&lt;&gt;"",D346&lt;E346),"Decreased reading",IF(F346&gt;D346,"Last service above current","")))))))))))))</x:f>
      </x:c>
      <x:c r="L346" s="6" t="str">
        <x:f>IF(AND(NOT(COUNTA(A346:F346)=0),K346=""),INDEX('Rules'!$C$7:$C$26,MATCH(SUBSTITUTE(SUBSTITUTE(SUBSTITUTE(SUBSTITUTE("type:"&amp;B346,"%","%25"),"~","%7E"),"*","%2A"),"?","%3F"),'Rules'!$G$7:$G$26,0)),"")</x:f>
      </x:c>
      <x:c r="M346" s="6" t="str">
        <x:f>IF(AND(NOT(COUNTA(A346:F346)=0),K346=""),INDEX('Rules'!$D$7:$D$26,MATCH(SUBSTITUTE(SUBSTITUTE(SUBSTITUTE(SUBSTITUTE("type:"&amp;B346,"%","%25"),"~","%7E"),"*","%2A"),"?","%3F"),'Rules'!$G$7:$G$26,0)),"")</x:f>
      </x:c>
      <x:c r="N346" s="5" t="str">
        <x:f>IF(COUNTA(A346:F346)=0,"",SUBSTITUTE(SUBSTITUTE(SUBSTITUTE(SUBSTITUTE("id:"&amp;A346,"%","%25"),"~","%7E"),"*","%2A"),"?","%3F"))</x:f>
      </x:c>
    </x:row>
    <x:row r="347" ht="22" customHeight="1">
      <x:c r="A347" s="3"/>
      <x:c r="B347" s="3"/>
      <x:c r="C347" s="3"/>
      <x:c r="D347" s="4"/>
      <x:c r="E347" s="4"/>
      <x:c r="F347" s="4"/>
      <x:c r="G347" s="5" t="str">
        <x:f>IF(COUNTA(A347:F347)=0,"",IF(K347&lt;&gt;"","Review",IF(I347&lt;0,"Overdue",IF(I347=0,"Due now",IF(I347&lt;=M347,"Due soon","Not due")))))</x:f>
      </x:c>
      <x:c r="H347" s="5" t="str">
        <x:f>IF(OR(COUNTA(A347:F347)=0,COUNTIFS('Rules'!$G$7:$G$26,"="&amp;(SUBSTITUTE(SUBSTITUTE(SUBSTITUTE(SUBSTITUTE("type:"&amp;B347,"%","%25"),"~","%7E"),"*","%2A"),"?","%3F")))&lt;&gt;1),"",IF(OR(INDEX('Rules'!$B$7:$B$26,MATCH(SUBSTITUTE(SUBSTITUTE(SUBSTITUTE(SUBSTITUTE("type:"&amp;B347,"%","%25"),"~","%7E"),"*","%2A"),"?","%3F"),'Rules'!$G$7:$G$26,0))="hours",INDEX('Rules'!$B$7:$B$26,MATCH(SUBSTITUTE(SUBSTITUTE(SUBSTITUTE(SUBSTITUTE("type:"&amp;B347,"%","%25"),"~","%7E"),"*","%2A"),"?","%3F"),'Rules'!$G$7:$G$26,0))="km"),INDEX('Rules'!$B$7:$B$26,MATCH(SUBSTITUTE(SUBSTITUTE(SUBSTITUTE(SUBSTITUTE("type:"&amp;B347,"%","%25"),"~","%7E"),"*","%2A"),"?","%3F"),'Rules'!$G$7:$G$26,0)),""))</x:f>
      </x:c>
      <x:c r="I347" s="6" t="str">
        <x:f>IF(AND(NOT(COUNTA(A347:F347)=0),K347=""),ROUND(J347-D347,3),"")</x:f>
      </x:c>
      <x:c r="J347" s="6" t="str">
        <x:f>IF(AND(NOT(COUNTA(A347:F347)=0),K347=""),ROUND(F347+L347,3),"")</x:f>
      </x:c>
      <x:c r="K347" s="5" t="str">
        <x:f>IF(COUNTA(A347:F347)=0,"",IF(A347="","Missing equipment ID",IF(COUNTIFS($N$8:$N$2007,"="&amp;N347)&gt;1,"Duplicate equipment ID",IF(B347="","Missing type",IF(COUNTIFS('Rules'!$G$7:$G$26,"="&amp;(SUBSTITUTE(SUBSTITUTE(SUBSTITUTE(SUBSTITUTE("type:"&amp;B347,"%","%25"),"~","%7E"),"*","%2A"),"?","%3F")))=0,"Unknown type",IF(COUNTIFS('Rules'!$G$7:$G$26,"="&amp;(SUBSTITUTE(SUBSTITUTE(SUBSTITUTE(SUBSTITUTE("type:"&amp;B347,"%","%25"),"~","%7E"),"*","%2A"),"?","%3F")))&gt;1,"Duplicate type",IF(INDEX('Rules'!$F$7:$F$26,MATCH(SUBSTITUTE(SUBSTITUTE(SUBSTITUTE(SUBSTITUTE("type:"&amp;B347,"%","%25"),"~","%7E"),"*","%2A"),"?","%3F"),'Rules'!$G$7:$G$26,0))&lt;&gt;"",INDEX('Rules'!$F$7:$F$26,MATCH(SUBSTITUTE(SUBSTITUTE(SUBSTITUTE(SUBSTITUTE("type:"&amp;B347,"%","%25"),"~","%7E"),"*","%2A"),"?","%3F"),'Rules'!$G$7:$G$26,0)),IF(AND(C347&lt;&gt;"",C347&lt;&gt;INDEX('Rules'!$B$7:$B$26,MATCH(SUBSTITUTE(SUBSTITUTE(SUBSTITUTE(SUBSTITUTE("type:"&amp;B347,"%","%25"),"~","%7E"),"*","%2A"),"?","%3F"),'Rules'!$G$7:$G$26,0))),"Unit mismatch",IF(IF(NOT(ISNUMBER(D347)),TRUE,OR(D347&lt;0,D347&gt;999999999,ROUND(D347,3)&lt;&gt;D347)),"Invalid current reading",IF(AND(E347&lt;&gt;"",IF(NOT(ISNUMBER(E347)),TRUE,OR(E347&lt;0,E347&gt;999999999,ROUND(E347,3)&lt;&gt;E347))),"Invalid previous reading",IF(IF(NOT(ISNUMBER(F347)),TRUE,OR(F347&lt;0,F347&gt;999999999,ROUND(F347,3)&lt;&gt;F347)),"Invalid last service",IF(AND(E347&lt;&gt;"",D347&lt;E347),"Decreased reading",IF(F347&gt;D347,"Last service above current","")))))))))))))</x:f>
      </x:c>
      <x:c r="L347" s="6" t="str">
        <x:f>IF(AND(NOT(COUNTA(A347:F347)=0),K347=""),INDEX('Rules'!$C$7:$C$26,MATCH(SUBSTITUTE(SUBSTITUTE(SUBSTITUTE(SUBSTITUTE("type:"&amp;B347,"%","%25"),"~","%7E"),"*","%2A"),"?","%3F"),'Rules'!$G$7:$G$26,0)),"")</x:f>
      </x:c>
      <x:c r="M347" s="6" t="str">
        <x:f>IF(AND(NOT(COUNTA(A347:F347)=0),K347=""),INDEX('Rules'!$D$7:$D$26,MATCH(SUBSTITUTE(SUBSTITUTE(SUBSTITUTE(SUBSTITUTE("type:"&amp;B347,"%","%25"),"~","%7E"),"*","%2A"),"?","%3F"),'Rules'!$G$7:$G$26,0)),"")</x:f>
      </x:c>
      <x:c r="N347" s="5" t="str">
        <x:f>IF(COUNTA(A347:F347)=0,"",SUBSTITUTE(SUBSTITUTE(SUBSTITUTE(SUBSTITUTE("id:"&amp;A347,"%","%25"),"~","%7E"),"*","%2A"),"?","%3F"))</x:f>
      </x:c>
    </x:row>
    <x:row r="348" ht="22" customHeight="1">
      <x:c r="A348" s="3"/>
      <x:c r="B348" s="3"/>
      <x:c r="C348" s="3"/>
      <x:c r="D348" s="4"/>
      <x:c r="E348" s="4"/>
      <x:c r="F348" s="4"/>
      <x:c r="G348" s="5" t="str">
        <x:f>IF(COUNTA(A348:F348)=0,"",IF(K348&lt;&gt;"","Review",IF(I348&lt;0,"Overdue",IF(I348=0,"Due now",IF(I348&lt;=M348,"Due soon","Not due")))))</x:f>
      </x:c>
      <x:c r="H348" s="5" t="str">
        <x:f>IF(OR(COUNTA(A348:F348)=0,COUNTIFS('Rules'!$G$7:$G$26,"="&amp;(SUBSTITUTE(SUBSTITUTE(SUBSTITUTE(SUBSTITUTE("type:"&amp;B348,"%","%25"),"~","%7E"),"*","%2A"),"?","%3F")))&lt;&gt;1),"",IF(OR(INDEX('Rules'!$B$7:$B$26,MATCH(SUBSTITUTE(SUBSTITUTE(SUBSTITUTE(SUBSTITUTE("type:"&amp;B348,"%","%25"),"~","%7E"),"*","%2A"),"?","%3F"),'Rules'!$G$7:$G$26,0))="hours",INDEX('Rules'!$B$7:$B$26,MATCH(SUBSTITUTE(SUBSTITUTE(SUBSTITUTE(SUBSTITUTE("type:"&amp;B348,"%","%25"),"~","%7E"),"*","%2A"),"?","%3F"),'Rules'!$G$7:$G$26,0))="km"),INDEX('Rules'!$B$7:$B$26,MATCH(SUBSTITUTE(SUBSTITUTE(SUBSTITUTE(SUBSTITUTE("type:"&amp;B348,"%","%25"),"~","%7E"),"*","%2A"),"?","%3F"),'Rules'!$G$7:$G$26,0)),""))</x:f>
      </x:c>
      <x:c r="I348" s="6" t="str">
        <x:f>IF(AND(NOT(COUNTA(A348:F348)=0),K348=""),ROUND(J348-D348,3),"")</x:f>
      </x:c>
      <x:c r="J348" s="6" t="str">
        <x:f>IF(AND(NOT(COUNTA(A348:F348)=0),K348=""),ROUND(F348+L348,3),"")</x:f>
      </x:c>
      <x:c r="K348" s="5" t="str">
        <x:f>IF(COUNTA(A348:F348)=0,"",IF(A348="","Missing equipment ID",IF(COUNTIFS($N$8:$N$2007,"="&amp;N348)&gt;1,"Duplicate equipment ID",IF(B348="","Missing type",IF(COUNTIFS('Rules'!$G$7:$G$26,"="&amp;(SUBSTITUTE(SUBSTITUTE(SUBSTITUTE(SUBSTITUTE("type:"&amp;B348,"%","%25"),"~","%7E"),"*","%2A"),"?","%3F")))=0,"Unknown type",IF(COUNTIFS('Rules'!$G$7:$G$26,"="&amp;(SUBSTITUTE(SUBSTITUTE(SUBSTITUTE(SUBSTITUTE("type:"&amp;B348,"%","%25"),"~","%7E"),"*","%2A"),"?","%3F")))&gt;1,"Duplicate type",IF(INDEX('Rules'!$F$7:$F$26,MATCH(SUBSTITUTE(SUBSTITUTE(SUBSTITUTE(SUBSTITUTE("type:"&amp;B348,"%","%25"),"~","%7E"),"*","%2A"),"?","%3F"),'Rules'!$G$7:$G$26,0))&lt;&gt;"",INDEX('Rules'!$F$7:$F$26,MATCH(SUBSTITUTE(SUBSTITUTE(SUBSTITUTE(SUBSTITUTE("type:"&amp;B348,"%","%25"),"~","%7E"),"*","%2A"),"?","%3F"),'Rules'!$G$7:$G$26,0)),IF(AND(C348&lt;&gt;"",C348&lt;&gt;INDEX('Rules'!$B$7:$B$26,MATCH(SUBSTITUTE(SUBSTITUTE(SUBSTITUTE(SUBSTITUTE("type:"&amp;B348,"%","%25"),"~","%7E"),"*","%2A"),"?","%3F"),'Rules'!$G$7:$G$26,0))),"Unit mismatch",IF(IF(NOT(ISNUMBER(D348)),TRUE,OR(D348&lt;0,D348&gt;999999999,ROUND(D348,3)&lt;&gt;D348)),"Invalid current reading",IF(AND(E348&lt;&gt;"",IF(NOT(ISNUMBER(E348)),TRUE,OR(E348&lt;0,E348&gt;999999999,ROUND(E348,3)&lt;&gt;E348))),"Invalid previous reading",IF(IF(NOT(ISNUMBER(F348)),TRUE,OR(F348&lt;0,F348&gt;999999999,ROUND(F348,3)&lt;&gt;F348)),"Invalid last service",IF(AND(E348&lt;&gt;"",D348&lt;E348),"Decreased reading",IF(F348&gt;D348,"Last service above current","")))))))))))))</x:f>
      </x:c>
      <x:c r="L348" s="6" t="str">
        <x:f>IF(AND(NOT(COUNTA(A348:F348)=0),K348=""),INDEX('Rules'!$C$7:$C$26,MATCH(SUBSTITUTE(SUBSTITUTE(SUBSTITUTE(SUBSTITUTE("type:"&amp;B348,"%","%25"),"~","%7E"),"*","%2A"),"?","%3F"),'Rules'!$G$7:$G$26,0)),"")</x:f>
      </x:c>
      <x:c r="M348" s="6" t="str">
        <x:f>IF(AND(NOT(COUNTA(A348:F348)=0),K348=""),INDEX('Rules'!$D$7:$D$26,MATCH(SUBSTITUTE(SUBSTITUTE(SUBSTITUTE(SUBSTITUTE("type:"&amp;B348,"%","%25"),"~","%7E"),"*","%2A"),"?","%3F"),'Rules'!$G$7:$G$26,0)),"")</x:f>
      </x:c>
      <x:c r="N348" s="5" t="str">
        <x:f>IF(COUNTA(A348:F348)=0,"",SUBSTITUTE(SUBSTITUTE(SUBSTITUTE(SUBSTITUTE("id:"&amp;A348,"%","%25"),"~","%7E"),"*","%2A"),"?","%3F"))</x:f>
      </x:c>
    </x:row>
    <x:row r="349" ht="22" customHeight="1">
      <x:c r="A349" s="3"/>
      <x:c r="B349" s="3"/>
      <x:c r="C349" s="3"/>
      <x:c r="D349" s="4"/>
      <x:c r="E349" s="4"/>
      <x:c r="F349" s="4"/>
      <x:c r="G349" s="5" t="str">
        <x:f>IF(COUNTA(A349:F349)=0,"",IF(K349&lt;&gt;"","Review",IF(I349&lt;0,"Overdue",IF(I349=0,"Due now",IF(I349&lt;=M349,"Due soon","Not due")))))</x:f>
      </x:c>
      <x:c r="H349" s="5" t="str">
        <x:f>IF(OR(COUNTA(A349:F349)=0,COUNTIFS('Rules'!$G$7:$G$26,"="&amp;(SUBSTITUTE(SUBSTITUTE(SUBSTITUTE(SUBSTITUTE("type:"&amp;B349,"%","%25"),"~","%7E"),"*","%2A"),"?","%3F")))&lt;&gt;1),"",IF(OR(INDEX('Rules'!$B$7:$B$26,MATCH(SUBSTITUTE(SUBSTITUTE(SUBSTITUTE(SUBSTITUTE("type:"&amp;B349,"%","%25"),"~","%7E"),"*","%2A"),"?","%3F"),'Rules'!$G$7:$G$26,0))="hours",INDEX('Rules'!$B$7:$B$26,MATCH(SUBSTITUTE(SUBSTITUTE(SUBSTITUTE(SUBSTITUTE("type:"&amp;B349,"%","%25"),"~","%7E"),"*","%2A"),"?","%3F"),'Rules'!$G$7:$G$26,0))="km"),INDEX('Rules'!$B$7:$B$26,MATCH(SUBSTITUTE(SUBSTITUTE(SUBSTITUTE(SUBSTITUTE("type:"&amp;B349,"%","%25"),"~","%7E"),"*","%2A"),"?","%3F"),'Rules'!$G$7:$G$26,0)),""))</x:f>
      </x:c>
      <x:c r="I349" s="6" t="str">
        <x:f>IF(AND(NOT(COUNTA(A349:F349)=0),K349=""),ROUND(J349-D349,3),"")</x:f>
      </x:c>
      <x:c r="J349" s="6" t="str">
        <x:f>IF(AND(NOT(COUNTA(A349:F349)=0),K349=""),ROUND(F349+L349,3),"")</x:f>
      </x:c>
      <x:c r="K349" s="5" t="str">
        <x:f>IF(COUNTA(A349:F349)=0,"",IF(A349="","Missing equipment ID",IF(COUNTIFS($N$8:$N$2007,"="&amp;N349)&gt;1,"Duplicate equipment ID",IF(B349="","Missing type",IF(COUNTIFS('Rules'!$G$7:$G$26,"="&amp;(SUBSTITUTE(SUBSTITUTE(SUBSTITUTE(SUBSTITUTE("type:"&amp;B349,"%","%25"),"~","%7E"),"*","%2A"),"?","%3F")))=0,"Unknown type",IF(COUNTIFS('Rules'!$G$7:$G$26,"="&amp;(SUBSTITUTE(SUBSTITUTE(SUBSTITUTE(SUBSTITUTE("type:"&amp;B349,"%","%25"),"~","%7E"),"*","%2A"),"?","%3F")))&gt;1,"Duplicate type",IF(INDEX('Rules'!$F$7:$F$26,MATCH(SUBSTITUTE(SUBSTITUTE(SUBSTITUTE(SUBSTITUTE("type:"&amp;B349,"%","%25"),"~","%7E"),"*","%2A"),"?","%3F"),'Rules'!$G$7:$G$26,0))&lt;&gt;"",INDEX('Rules'!$F$7:$F$26,MATCH(SUBSTITUTE(SUBSTITUTE(SUBSTITUTE(SUBSTITUTE("type:"&amp;B349,"%","%25"),"~","%7E"),"*","%2A"),"?","%3F"),'Rules'!$G$7:$G$26,0)),IF(AND(C349&lt;&gt;"",C349&lt;&gt;INDEX('Rules'!$B$7:$B$26,MATCH(SUBSTITUTE(SUBSTITUTE(SUBSTITUTE(SUBSTITUTE("type:"&amp;B349,"%","%25"),"~","%7E"),"*","%2A"),"?","%3F"),'Rules'!$G$7:$G$26,0))),"Unit mismatch",IF(IF(NOT(ISNUMBER(D349)),TRUE,OR(D349&lt;0,D349&gt;999999999,ROUND(D349,3)&lt;&gt;D349)),"Invalid current reading",IF(AND(E349&lt;&gt;"",IF(NOT(ISNUMBER(E349)),TRUE,OR(E349&lt;0,E349&gt;999999999,ROUND(E349,3)&lt;&gt;E349))),"Invalid previous reading",IF(IF(NOT(ISNUMBER(F349)),TRUE,OR(F349&lt;0,F349&gt;999999999,ROUND(F349,3)&lt;&gt;F349)),"Invalid last service",IF(AND(E349&lt;&gt;"",D349&lt;E349),"Decreased reading",IF(F349&gt;D349,"Last service above current","")))))))))))))</x:f>
      </x:c>
      <x:c r="L349" s="6" t="str">
        <x:f>IF(AND(NOT(COUNTA(A349:F349)=0),K349=""),INDEX('Rules'!$C$7:$C$26,MATCH(SUBSTITUTE(SUBSTITUTE(SUBSTITUTE(SUBSTITUTE("type:"&amp;B349,"%","%25"),"~","%7E"),"*","%2A"),"?","%3F"),'Rules'!$G$7:$G$26,0)),"")</x:f>
      </x:c>
      <x:c r="M349" s="6" t="str">
        <x:f>IF(AND(NOT(COUNTA(A349:F349)=0),K349=""),INDEX('Rules'!$D$7:$D$26,MATCH(SUBSTITUTE(SUBSTITUTE(SUBSTITUTE(SUBSTITUTE("type:"&amp;B349,"%","%25"),"~","%7E"),"*","%2A"),"?","%3F"),'Rules'!$G$7:$G$26,0)),"")</x:f>
      </x:c>
      <x:c r="N349" s="5" t="str">
        <x:f>IF(COUNTA(A349:F349)=0,"",SUBSTITUTE(SUBSTITUTE(SUBSTITUTE(SUBSTITUTE("id:"&amp;A349,"%","%25"),"~","%7E"),"*","%2A"),"?","%3F"))</x:f>
      </x:c>
    </x:row>
    <x:row r="350" ht="22" customHeight="1">
      <x:c r="A350" s="3"/>
      <x:c r="B350" s="3"/>
      <x:c r="C350" s="3"/>
      <x:c r="D350" s="4"/>
      <x:c r="E350" s="4"/>
      <x:c r="F350" s="4"/>
      <x:c r="G350" s="5" t="str">
        <x:f>IF(COUNTA(A350:F350)=0,"",IF(K350&lt;&gt;"","Review",IF(I350&lt;0,"Overdue",IF(I350=0,"Due now",IF(I350&lt;=M350,"Due soon","Not due")))))</x:f>
      </x:c>
      <x:c r="H350" s="5" t="str">
        <x:f>IF(OR(COUNTA(A350:F350)=0,COUNTIFS('Rules'!$G$7:$G$26,"="&amp;(SUBSTITUTE(SUBSTITUTE(SUBSTITUTE(SUBSTITUTE("type:"&amp;B350,"%","%25"),"~","%7E"),"*","%2A"),"?","%3F")))&lt;&gt;1),"",IF(OR(INDEX('Rules'!$B$7:$B$26,MATCH(SUBSTITUTE(SUBSTITUTE(SUBSTITUTE(SUBSTITUTE("type:"&amp;B350,"%","%25"),"~","%7E"),"*","%2A"),"?","%3F"),'Rules'!$G$7:$G$26,0))="hours",INDEX('Rules'!$B$7:$B$26,MATCH(SUBSTITUTE(SUBSTITUTE(SUBSTITUTE(SUBSTITUTE("type:"&amp;B350,"%","%25"),"~","%7E"),"*","%2A"),"?","%3F"),'Rules'!$G$7:$G$26,0))="km"),INDEX('Rules'!$B$7:$B$26,MATCH(SUBSTITUTE(SUBSTITUTE(SUBSTITUTE(SUBSTITUTE("type:"&amp;B350,"%","%25"),"~","%7E"),"*","%2A"),"?","%3F"),'Rules'!$G$7:$G$26,0)),""))</x:f>
      </x:c>
      <x:c r="I350" s="6" t="str">
        <x:f>IF(AND(NOT(COUNTA(A350:F350)=0),K350=""),ROUND(J350-D350,3),"")</x:f>
      </x:c>
      <x:c r="J350" s="6" t="str">
        <x:f>IF(AND(NOT(COUNTA(A350:F350)=0),K350=""),ROUND(F350+L350,3),"")</x:f>
      </x:c>
      <x:c r="K350" s="5" t="str">
        <x:f>IF(COUNTA(A350:F350)=0,"",IF(A350="","Missing equipment ID",IF(COUNTIFS($N$8:$N$2007,"="&amp;N350)&gt;1,"Duplicate equipment ID",IF(B350="","Missing type",IF(COUNTIFS('Rules'!$G$7:$G$26,"="&amp;(SUBSTITUTE(SUBSTITUTE(SUBSTITUTE(SUBSTITUTE("type:"&amp;B350,"%","%25"),"~","%7E"),"*","%2A"),"?","%3F")))=0,"Unknown type",IF(COUNTIFS('Rules'!$G$7:$G$26,"="&amp;(SUBSTITUTE(SUBSTITUTE(SUBSTITUTE(SUBSTITUTE("type:"&amp;B350,"%","%25"),"~","%7E"),"*","%2A"),"?","%3F")))&gt;1,"Duplicate type",IF(INDEX('Rules'!$F$7:$F$26,MATCH(SUBSTITUTE(SUBSTITUTE(SUBSTITUTE(SUBSTITUTE("type:"&amp;B350,"%","%25"),"~","%7E"),"*","%2A"),"?","%3F"),'Rules'!$G$7:$G$26,0))&lt;&gt;"",INDEX('Rules'!$F$7:$F$26,MATCH(SUBSTITUTE(SUBSTITUTE(SUBSTITUTE(SUBSTITUTE("type:"&amp;B350,"%","%25"),"~","%7E"),"*","%2A"),"?","%3F"),'Rules'!$G$7:$G$26,0)),IF(AND(C350&lt;&gt;"",C350&lt;&gt;INDEX('Rules'!$B$7:$B$26,MATCH(SUBSTITUTE(SUBSTITUTE(SUBSTITUTE(SUBSTITUTE("type:"&amp;B350,"%","%25"),"~","%7E"),"*","%2A"),"?","%3F"),'Rules'!$G$7:$G$26,0))),"Unit mismatch",IF(IF(NOT(ISNUMBER(D350)),TRUE,OR(D350&lt;0,D350&gt;999999999,ROUND(D350,3)&lt;&gt;D350)),"Invalid current reading",IF(AND(E350&lt;&gt;"",IF(NOT(ISNUMBER(E350)),TRUE,OR(E350&lt;0,E350&gt;999999999,ROUND(E350,3)&lt;&gt;E350))),"Invalid previous reading",IF(IF(NOT(ISNUMBER(F350)),TRUE,OR(F350&lt;0,F350&gt;999999999,ROUND(F350,3)&lt;&gt;F350)),"Invalid last service",IF(AND(E350&lt;&gt;"",D350&lt;E350),"Decreased reading",IF(F350&gt;D350,"Last service above current","")))))))))))))</x:f>
      </x:c>
      <x:c r="L350" s="6" t="str">
        <x:f>IF(AND(NOT(COUNTA(A350:F350)=0),K350=""),INDEX('Rules'!$C$7:$C$26,MATCH(SUBSTITUTE(SUBSTITUTE(SUBSTITUTE(SUBSTITUTE("type:"&amp;B350,"%","%25"),"~","%7E"),"*","%2A"),"?","%3F"),'Rules'!$G$7:$G$26,0)),"")</x:f>
      </x:c>
      <x:c r="M350" s="6" t="str">
        <x:f>IF(AND(NOT(COUNTA(A350:F350)=0),K350=""),INDEX('Rules'!$D$7:$D$26,MATCH(SUBSTITUTE(SUBSTITUTE(SUBSTITUTE(SUBSTITUTE("type:"&amp;B350,"%","%25"),"~","%7E"),"*","%2A"),"?","%3F"),'Rules'!$G$7:$G$26,0)),"")</x:f>
      </x:c>
      <x:c r="N350" s="5" t="str">
        <x:f>IF(COUNTA(A350:F350)=0,"",SUBSTITUTE(SUBSTITUTE(SUBSTITUTE(SUBSTITUTE("id:"&amp;A350,"%","%25"),"~","%7E"),"*","%2A"),"?","%3F"))</x:f>
      </x:c>
    </x:row>
    <x:row r="351" ht="22" customHeight="1">
      <x:c r="A351" s="3"/>
      <x:c r="B351" s="3"/>
      <x:c r="C351" s="3"/>
      <x:c r="D351" s="4"/>
      <x:c r="E351" s="4"/>
      <x:c r="F351" s="4"/>
      <x:c r="G351" s="5" t="str">
        <x:f>IF(COUNTA(A351:F351)=0,"",IF(K351&lt;&gt;"","Review",IF(I351&lt;0,"Overdue",IF(I351=0,"Due now",IF(I351&lt;=M351,"Due soon","Not due")))))</x:f>
      </x:c>
      <x:c r="H351" s="5" t="str">
        <x:f>IF(OR(COUNTA(A351:F351)=0,COUNTIFS('Rules'!$G$7:$G$26,"="&amp;(SUBSTITUTE(SUBSTITUTE(SUBSTITUTE(SUBSTITUTE("type:"&amp;B351,"%","%25"),"~","%7E"),"*","%2A"),"?","%3F")))&lt;&gt;1),"",IF(OR(INDEX('Rules'!$B$7:$B$26,MATCH(SUBSTITUTE(SUBSTITUTE(SUBSTITUTE(SUBSTITUTE("type:"&amp;B351,"%","%25"),"~","%7E"),"*","%2A"),"?","%3F"),'Rules'!$G$7:$G$26,0))="hours",INDEX('Rules'!$B$7:$B$26,MATCH(SUBSTITUTE(SUBSTITUTE(SUBSTITUTE(SUBSTITUTE("type:"&amp;B351,"%","%25"),"~","%7E"),"*","%2A"),"?","%3F"),'Rules'!$G$7:$G$26,0))="km"),INDEX('Rules'!$B$7:$B$26,MATCH(SUBSTITUTE(SUBSTITUTE(SUBSTITUTE(SUBSTITUTE("type:"&amp;B351,"%","%25"),"~","%7E"),"*","%2A"),"?","%3F"),'Rules'!$G$7:$G$26,0)),""))</x:f>
      </x:c>
      <x:c r="I351" s="6" t="str">
        <x:f>IF(AND(NOT(COUNTA(A351:F351)=0),K351=""),ROUND(J351-D351,3),"")</x:f>
      </x:c>
      <x:c r="J351" s="6" t="str">
        <x:f>IF(AND(NOT(COUNTA(A351:F351)=0),K351=""),ROUND(F351+L351,3),"")</x:f>
      </x:c>
      <x:c r="K351" s="5" t="str">
        <x:f>IF(COUNTA(A351:F351)=0,"",IF(A351="","Missing equipment ID",IF(COUNTIFS($N$8:$N$2007,"="&amp;N351)&gt;1,"Duplicate equipment ID",IF(B351="","Missing type",IF(COUNTIFS('Rules'!$G$7:$G$26,"="&amp;(SUBSTITUTE(SUBSTITUTE(SUBSTITUTE(SUBSTITUTE("type:"&amp;B351,"%","%25"),"~","%7E"),"*","%2A"),"?","%3F")))=0,"Unknown type",IF(COUNTIFS('Rules'!$G$7:$G$26,"="&amp;(SUBSTITUTE(SUBSTITUTE(SUBSTITUTE(SUBSTITUTE("type:"&amp;B351,"%","%25"),"~","%7E"),"*","%2A"),"?","%3F")))&gt;1,"Duplicate type",IF(INDEX('Rules'!$F$7:$F$26,MATCH(SUBSTITUTE(SUBSTITUTE(SUBSTITUTE(SUBSTITUTE("type:"&amp;B351,"%","%25"),"~","%7E"),"*","%2A"),"?","%3F"),'Rules'!$G$7:$G$26,0))&lt;&gt;"",INDEX('Rules'!$F$7:$F$26,MATCH(SUBSTITUTE(SUBSTITUTE(SUBSTITUTE(SUBSTITUTE("type:"&amp;B351,"%","%25"),"~","%7E"),"*","%2A"),"?","%3F"),'Rules'!$G$7:$G$26,0)),IF(AND(C351&lt;&gt;"",C351&lt;&gt;INDEX('Rules'!$B$7:$B$26,MATCH(SUBSTITUTE(SUBSTITUTE(SUBSTITUTE(SUBSTITUTE("type:"&amp;B351,"%","%25"),"~","%7E"),"*","%2A"),"?","%3F"),'Rules'!$G$7:$G$26,0))),"Unit mismatch",IF(IF(NOT(ISNUMBER(D351)),TRUE,OR(D351&lt;0,D351&gt;999999999,ROUND(D351,3)&lt;&gt;D351)),"Invalid current reading",IF(AND(E351&lt;&gt;"",IF(NOT(ISNUMBER(E351)),TRUE,OR(E351&lt;0,E351&gt;999999999,ROUND(E351,3)&lt;&gt;E351))),"Invalid previous reading",IF(IF(NOT(ISNUMBER(F351)),TRUE,OR(F351&lt;0,F351&gt;999999999,ROUND(F351,3)&lt;&gt;F351)),"Invalid last service",IF(AND(E351&lt;&gt;"",D351&lt;E351),"Decreased reading",IF(F351&gt;D351,"Last service above current","")))))))))))))</x:f>
      </x:c>
      <x:c r="L351" s="6" t="str">
        <x:f>IF(AND(NOT(COUNTA(A351:F351)=0),K351=""),INDEX('Rules'!$C$7:$C$26,MATCH(SUBSTITUTE(SUBSTITUTE(SUBSTITUTE(SUBSTITUTE("type:"&amp;B351,"%","%25"),"~","%7E"),"*","%2A"),"?","%3F"),'Rules'!$G$7:$G$26,0)),"")</x:f>
      </x:c>
      <x:c r="M351" s="6" t="str">
        <x:f>IF(AND(NOT(COUNTA(A351:F351)=0),K351=""),INDEX('Rules'!$D$7:$D$26,MATCH(SUBSTITUTE(SUBSTITUTE(SUBSTITUTE(SUBSTITUTE("type:"&amp;B351,"%","%25"),"~","%7E"),"*","%2A"),"?","%3F"),'Rules'!$G$7:$G$26,0)),"")</x:f>
      </x:c>
      <x:c r="N351" s="5" t="str">
        <x:f>IF(COUNTA(A351:F351)=0,"",SUBSTITUTE(SUBSTITUTE(SUBSTITUTE(SUBSTITUTE("id:"&amp;A351,"%","%25"),"~","%7E"),"*","%2A"),"?","%3F"))</x:f>
      </x:c>
    </x:row>
    <x:row r="352" ht="22" customHeight="1">
      <x:c r="A352" s="3"/>
      <x:c r="B352" s="3"/>
      <x:c r="C352" s="3"/>
      <x:c r="D352" s="4"/>
      <x:c r="E352" s="4"/>
      <x:c r="F352" s="4"/>
      <x:c r="G352" s="5" t="str">
        <x:f>IF(COUNTA(A352:F352)=0,"",IF(K352&lt;&gt;"","Review",IF(I352&lt;0,"Overdue",IF(I352=0,"Due now",IF(I352&lt;=M352,"Due soon","Not due")))))</x:f>
      </x:c>
      <x:c r="H352" s="5" t="str">
        <x:f>IF(OR(COUNTA(A352:F352)=0,COUNTIFS('Rules'!$G$7:$G$26,"="&amp;(SUBSTITUTE(SUBSTITUTE(SUBSTITUTE(SUBSTITUTE("type:"&amp;B352,"%","%25"),"~","%7E"),"*","%2A"),"?","%3F")))&lt;&gt;1),"",IF(OR(INDEX('Rules'!$B$7:$B$26,MATCH(SUBSTITUTE(SUBSTITUTE(SUBSTITUTE(SUBSTITUTE("type:"&amp;B352,"%","%25"),"~","%7E"),"*","%2A"),"?","%3F"),'Rules'!$G$7:$G$26,0))="hours",INDEX('Rules'!$B$7:$B$26,MATCH(SUBSTITUTE(SUBSTITUTE(SUBSTITUTE(SUBSTITUTE("type:"&amp;B352,"%","%25"),"~","%7E"),"*","%2A"),"?","%3F"),'Rules'!$G$7:$G$26,0))="km"),INDEX('Rules'!$B$7:$B$26,MATCH(SUBSTITUTE(SUBSTITUTE(SUBSTITUTE(SUBSTITUTE("type:"&amp;B352,"%","%25"),"~","%7E"),"*","%2A"),"?","%3F"),'Rules'!$G$7:$G$26,0)),""))</x:f>
      </x:c>
      <x:c r="I352" s="6" t="str">
        <x:f>IF(AND(NOT(COUNTA(A352:F352)=0),K352=""),ROUND(J352-D352,3),"")</x:f>
      </x:c>
      <x:c r="J352" s="6" t="str">
        <x:f>IF(AND(NOT(COUNTA(A352:F352)=0),K352=""),ROUND(F352+L352,3),"")</x:f>
      </x:c>
      <x:c r="K352" s="5" t="str">
        <x:f>IF(COUNTA(A352:F352)=0,"",IF(A352="","Missing equipment ID",IF(COUNTIFS($N$8:$N$2007,"="&amp;N352)&gt;1,"Duplicate equipment ID",IF(B352="","Missing type",IF(COUNTIFS('Rules'!$G$7:$G$26,"="&amp;(SUBSTITUTE(SUBSTITUTE(SUBSTITUTE(SUBSTITUTE("type:"&amp;B352,"%","%25"),"~","%7E"),"*","%2A"),"?","%3F")))=0,"Unknown type",IF(COUNTIFS('Rules'!$G$7:$G$26,"="&amp;(SUBSTITUTE(SUBSTITUTE(SUBSTITUTE(SUBSTITUTE("type:"&amp;B352,"%","%25"),"~","%7E"),"*","%2A"),"?","%3F")))&gt;1,"Duplicate type",IF(INDEX('Rules'!$F$7:$F$26,MATCH(SUBSTITUTE(SUBSTITUTE(SUBSTITUTE(SUBSTITUTE("type:"&amp;B352,"%","%25"),"~","%7E"),"*","%2A"),"?","%3F"),'Rules'!$G$7:$G$26,0))&lt;&gt;"",INDEX('Rules'!$F$7:$F$26,MATCH(SUBSTITUTE(SUBSTITUTE(SUBSTITUTE(SUBSTITUTE("type:"&amp;B352,"%","%25"),"~","%7E"),"*","%2A"),"?","%3F"),'Rules'!$G$7:$G$26,0)),IF(AND(C352&lt;&gt;"",C352&lt;&gt;INDEX('Rules'!$B$7:$B$26,MATCH(SUBSTITUTE(SUBSTITUTE(SUBSTITUTE(SUBSTITUTE("type:"&amp;B352,"%","%25"),"~","%7E"),"*","%2A"),"?","%3F"),'Rules'!$G$7:$G$26,0))),"Unit mismatch",IF(IF(NOT(ISNUMBER(D352)),TRUE,OR(D352&lt;0,D352&gt;999999999,ROUND(D352,3)&lt;&gt;D352)),"Invalid current reading",IF(AND(E352&lt;&gt;"",IF(NOT(ISNUMBER(E352)),TRUE,OR(E352&lt;0,E352&gt;999999999,ROUND(E352,3)&lt;&gt;E352))),"Invalid previous reading",IF(IF(NOT(ISNUMBER(F352)),TRUE,OR(F352&lt;0,F352&gt;999999999,ROUND(F352,3)&lt;&gt;F352)),"Invalid last service",IF(AND(E352&lt;&gt;"",D352&lt;E352),"Decreased reading",IF(F352&gt;D352,"Last service above current","")))))))))))))</x:f>
      </x:c>
      <x:c r="L352" s="6" t="str">
        <x:f>IF(AND(NOT(COUNTA(A352:F352)=0),K352=""),INDEX('Rules'!$C$7:$C$26,MATCH(SUBSTITUTE(SUBSTITUTE(SUBSTITUTE(SUBSTITUTE("type:"&amp;B352,"%","%25"),"~","%7E"),"*","%2A"),"?","%3F"),'Rules'!$G$7:$G$26,0)),"")</x:f>
      </x:c>
      <x:c r="M352" s="6" t="str">
        <x:f>IF(AND(NOT(COUNTA(A352:F352)=0),K352=""),INDEX('Rules'!$D$7:$D$26,MATCH(SUBSTITUTE(SUBSTITUTE(SUBSTITUTE(SUBSTITUTE("type:"&amp;B352,"%","%25"),"~","%7E"),"*","%2A"),"?","%3F"),'Rules'!$G$7:$G$26,0)),"")</x:f>
      </x:c>
      <x:c r="N352" s="5" t="str">
        <x:f>IF(COUNTA(A352:F352)=0,"",SUBSTITUTE(SUBSTITUTE(SUBSTITUTE(SUBSTITUTE("id:"&amp;A352,"%","%25"),"~","%7E"),"*","%2A"),"?","%3F"))</x:f>
      </x:c>
    </x:row>
    <x:row r="353" ht="22" customHeight="1">
      <x:c r="A353" s="3"/>
      <x:c r="B353" s="3"/>
      <x:c r="C353" s="3"/>
      <x:c r="D353" s="4"/>
      <x:c r="E353" s="4"/>
      <x:c r="F353" s="4"/>
      <x:c r="G353" s="5" t="str">
        <x:f>IF(COUNTA(A353:F353)=0,"",IF(K353&lt;&gt;"","Review",IF(I353&lt;0,"Overdue",IF(I353=0,"Due now",IF(I353&lt;=M353,"Due soon","Not due")))))</x:f>
      </x:c>
      <x:c r="H353" s="5" t="str">
        <x:f>IF(OR(COUNTA(A353:F353)=0,COUNTIFS('Rules'!$G$7:$G$26,"="&amp;(SUBSTITUTE(SUBSTITUTE(SUBSTITUTE(SUBSTITUTE("type:"&amp;B353,"%","%25"),"~","%7E"),"*","%2A"),"?","%3F")))&lt;&gt;1),"",IF(OR(INDEX('Rules'!$B$7:$B$26,MATCH(SUBSTITUTE(SUBSTITUTE(SUBSTITUTE(SUBSTITUTE("type:"&amp;B353,"%","%25"),"~","%7E"),"*","%2A"),"?","%3F"),'Rules'!$G$7:$G$26,0))="hours",INDEX('Rules'!$B$7:$B$26,MATCH(SUBSTITUTE(SUBSTITUTE(SUBSTITUTE(SUBSTITUTE("type:"&amp;B353,"%","%25"),"~","%7E"),"*","%2A"),"?","%3F"),'Rules'!$G$7:$G$26,0))="km"),INDEX('Rules'!$B$7:$B$26,MATCH(SUBSTITUTE(SUBSTITUTE(SUBSTITUTE(SUBSTITUTE("type:"&amp;B353,"%","%25"),"~","%7E"),"*","%2A"),"?","%3F"),'Rules'!$G$7:$G$26,0)),""))</x:f>
      </x:c>
      <x:c r="I353" s="6" t="str">
        <x:f>IF(AND(NOT(COUNTA(A353:F353)=0),K353=""),ROUND(J353-D353,3),"")</x:f>
      </x:c>
      <x:c r="J353" s="6" t="str">
        <x:f>IF(AND(NOT(COUNTA(A353:F353)=0),K353=""),ROUND(F353+L353,3),"")</x:f>
      </x:c>
      <x:c r="K353" s="5" t="str">
        <x:f>IF(COUNTA(A353:F353)=0,"",IF(A353="","Missing equipment ID",IF(COUNTIFS($N$8:$N$2007,"="&amp;N353)&gt;1,"Duplicate equipment ID",IF(B353="","Missing type",IF(COUNTIFS('Rules'!$G$7:$G$26,"="&amp;(SUBSTITUTE(SUBSTITUTE(SUBSTITUTE(SUBSTITUTE("type:"&amp;B353,"%","%25"),"~","%7E"),"*","%2A"),"?","%3F")))=0,"Unknown type",IF(COUNTIFS('Rules'!$G$7:$G$26,"="&amp;(SUBSTITUTE(SUBSTITUTE(SUBSTITUTE(SUBSTITUTE("type:"&amp;B353,"%","%25"),"~","%7E"),"*","%2A"),"?","%3F")))&gt;1,"Duplicate type",IF(INDEX('Rules'!$F$7:$F$26,MATCH(SUBSTITUTE(SUBSTITUTE(SUBSTITUTE(SUBSTITUTE("type:"&amp;B353,"%","%25"),"~","%7E"),"*","%2A"),"?","%3F"),'Rules'!$G$7:$G$26,0))&lt;&gt;"",INDEX('Rules'!$F$7:$F$26,MATCH(SUBSTITUTE(SUBSTITUTE(SUBSTITUTE(SUBSTITUTE("type:"&amp;B353,"%","%25"),"~","%7E"),"*","%2A"),"?","%3F"),'Rules'!$G$7:$G$26,0)),IF(AND(C353&lt;&gt;"",C353&lt;&gt;INDEX('Rules'!$B$7:$B$26,MATCH(SUBSTITUTE(SUBSTITUTE(SUBSTITUTE(SUBSTITUTE("type:"&amp;B353,"%","%25"),"~","%7E"),"*","%2A"),"?","%3F"),'Rules'!$G$7:$G$26,0))),"Unit mismatch",IF(IF(NOT(ISNUMBER(D353)),TRUE,OR(D353&lt;0,D353&gt;999999999,ROUND(D353,3)&lt;&gt;D353)),"Invalid current reading",IF(AND(E353&lt;&gt;"",IF(NOT(ISNUMBER(E353)),TRUE,OR(E353&lt;0,E353&gt;999999999,ROUND(E353,3)&lt;&gt;E353))),"Invalid previous reading",IF(IF(NOT(ISNUMBER(F353)),TRUE,OR(F353&lt;0,F353&gt;999999999,ROUND(F353,3)&lt;&gt;F353)),"Invalid last service",IF(AND(E353&lt;&gt;"",D353&lt;E353),"Decreased reading",IF(F353&gt;D353,"Last service above current","")))))))))))))</x:f>
      </x:c>
      <x:c r="L353" s="6" t="str">
        <x:f>IF(AND(NOT(COUNTA(A353:F353)=0),K353=""),INDEX('Rules'!$C$7:$C$26,MATCH(SUBSTITUTE(SUBSTITUTE(SUBSTITUTE(SUBSTITUTE("type:"&amp;B353,"%","%25"),"~","%7E"),"*","%2A"),"?","%3F"),'Rules'!$G$7:$G$26,0)),"")</x:f>
      </x:c>
      <x:c r="M353" s="6" t="str">
        <x:f>IF(AND(NOT(COUNTA(A353:F353)=0),K353=""),INDEX('Rules'!$D$7:$D$26,MATCH(SUBSTITUTE(SUBSTITUTE(SUBSTITUTE(SUBSTITUTE("type:"&amp;B353,"%","%25"),"~","%7E"),"*","%2A"),"?","%3F"),'Rules'!$G$7:$G$26,0)),"")</x:f>
      </x:c>
      <x:c r="N353" s="5" t="str">
        <x:f>IF(COUNTA(A353:F353)=0,"",SUBSTITUTE(SUBSTITUTE(SUBSTITUTE(SUBSTITUTE("id:"&amp;A353,"%","%25"),"~","%7E"),"*","%2A"),"?","%3F"))</x:f>
      </x:c>
    </x:row>
    <x:row r="354" ht="22" customHeight="1">
      <x:c r="A354" s="3"/>
      <x:c r="B354" s="3"/>
      <x:c r="C354" s="3"/>
      <x:c r="D354" s="4"/>
      <x:c r="E354" s="4"/>
      <x:c r="F354" s="4"/>
      <x:c r="G354" s="5" t="str">
        <x:f>IF(COUNTA(A354:F354)=0,"",IF(K354&lt;&gt;"","Review",IF(I354&lt;0,"Overdue",IF(I354=0,"Due now",IF(I354&lt;=M354,"Due soon","Not due")))))</x:f>
      </x:c>
      <x:c r="H354" s="5" t="str">
        <x:f>IF(OR(COUNTA(A354:F354)=0,COUNTIFS('Rules'!$G$7:$G$26,"="&amp;(SUBSTITUTE(SUBSTITUTE(SUBSTITUTE(SUBSTITUTE("type:"&amp;B354,"%","%25"),"~","%7E"),"*","%2A"),"?","%3F")))&lt;&gt;1),"",IF(OR(INDEX('Rules'!$B$7:$B$26,MATCH(SUBSTITUTE(SUBSTITUTE(SUBSTITUTE(SUBSTITUTE("type:"&amp;B354,"%","%25"),"~","%7E"),"*","%2A"),"?","%3F"),'Rules'!$G$7:$G$26,0))="hours",INDEX('Rules'!$B$7:$B$26,MATCH(SUBSTITUTE(SUBSTITUTE(SUBSTITUTE(SUBSTITUTE("type:"&amp;B354,"%","%25"),"~","%7E"),"*","%2A"),"?","%3F"),'Rules'!$G$7:$G$26,0))="km"),INDEX('Rules'!$B$7:$B$26,MATCH(SUBSTITUTE(SUBSTITUTE(SUBSTITUTE(SUBSTITUTE("type:"&amp;B354,"%","%25"),"~","%7E"),"*","%2A"),"?","%3F"),'Rules'!$G$7:$G$26,0)),""))</x:f>
      </x:c>
      <x:c r="I354" s="6" t="str">
        <x:f>IF(AND(NOT(COUNTA(A354:F354)=0),K354=""),ROUND(J354-D354,3),"")</x:f>
      </x:c>
      <x:c r="J354" s="6" t="str">
        <x:f>IF(AND(NOT(COUNTA(A354:F354)=0),K354=""),ROUND(F354+L354,3),"")</x:f>
      </x:c>
      <x:c r="K354" s="5" t="str">
        <x:f>IF(COUNTA(A354:F354)=0,"",IF(A354="","Missing equipment ID",IF(COUNTIFS($N$8:$N$2007,"="&amp;N354)&gt;1,"Duplicate equipment ID",IF(B354="","Missing type",IF(COUNTIFS('Rules'!$G$7:$G$26,"="&amp;(SUBSTITUTE(SUBSTITUTE(SUBSTITUTE(SUBSTITUTE("type:"&amp;B354,"%","%25"),"~","%7E"),"*","%2A"),"?","%3F")))=0,"Unknown type",IF(COUNTIFS('Rules'!$G$7:$G$26,"="&amp;(SUBSTITUTE(SUBSTITUTE(SUBSTITUTE(SUBSTITUTE("type:"&amp;B354,"%","%25"),"~","%7E"),"*","%2A"),"?","%3F")))&gt;1,"Duplicate type",IF(INDEX('Rules'!$F$7:$F$26,MATCH(SUBSTITUTE(SUBSTITUTE(SUBSTITUTE(SUBSTITUTE("type:"&amp;B354,"%","%25"),"~","%7E"),"*","%2A"),"?","%3F"),'Rules'!$G$7:$G$26,0))&lt;&gt;"",INDEX('Rules'!$F$7:$F$26,MATCH(SUBSTITUTE(SUBSTITUTE(SUBSTITUTE(SUBSTITUTE("type:"&amp;B354,"%","%25"),"~","%7E"),"*","%2A"),"?","%3F"),'Rules'!$G$7:$G$26,0)),IF(AND(C354&lt;&gt;"",C354&lt;&gt;INDEX('Rules'!$B$7:$B$26,MATCH(SUBSTITUTE(SUBSTITUTE(SUBSTITUTE(SUBSTITUTE("type:"&amp;B354,"%","%25"),"~","%7E"),"*","%2A"),"?","%3F"),'Rules'!$G$7:$G$26,0))),"Unit mismatch",IF(IF(NOT(ISNUMBER(D354)),TRUE,OR(D354&lt;0,D354&gt;999999999,ROUND(D354,3)&lt;&gt;D354)),"Invalid current reading",IF(AND(E354&lt;&gt;"",IF(NOT(ISNUMBER(E354)),TRUE,OR(E354&lt;0,E354&gt;999999999,ROUND(E354,3)&lt;&gt;E354))),"Invalid previous reading",IF(IF(NOT(ISNUMBER(F354)),TRUE,OR(F354&lt;0,F354&gt;999999999,ROUND(F354,3)&lt;&gt;F354)),"Invalid last service",IF(AND(E354&lt;&gt;"",D354&lt;E354),"Decreased reading",IF(F354&gt;D354,"Last service above current","")))))))))))))</x:f>
      </x:c>
      <x:c r="L354" s="6" t="str">
        <x:f>IF(AND(NOT(COUNTA(A354:F354)=0),K354=""),INDEX('Rules'!$C$7:$C$26,MATCH(SUBSTITUTE(SUBSTITUTE(SUBSTITUTE(SUBSTITUTE("type:"&amp;B354,"%","%25"),"~","%7E"),"*","%2A"),"?","%3F"),'Rules'!$G$7:$G$26,0)),"")</x:f>
      </x:c>
      <x:c r="M354" s="6" t="str">
        <x:f>IF(AND(NOT(COUNTA(A354:F354)=0),K354=""),INDEX('Rules'!$D$7:$D$26,MATCH(SUBSTITUTE(SUBSTITUTE(SUBSTITUTE(SUBSTITUTE("type:"&amp;B354,"%","%25"),"~","%7E"),"*","%2A"),"?","%3F"),'Rules'!$G$7:$G$26,0)),"")</x:f>
      </x:c>
      <x:c r="N354" s="5" t="str">
        <x:f>IF(COUNTA(A354:F354)=0,"",SUBSTITUTE(SUBSTITUTE(SUBSTITUTE(SUBSTITUTE("id:"&amp;A354,"%","%25"),"~","%7E"),"*","%2A"),"?","%3F"))</x:f>
      </x:c>
    </x:row>
    <x:row r="355" ht="22" customHeight="1">
      <x:c r="A355" s="3"/>
      <x:c r="B355" s="3"/>
      <x:c r="C355" s="3"/>
      <x:c r="D355" s="4"/>
      <x:c r="E355" s="4"/>
      <x:c r="F355" s="4"/>
      <x:c r="G355" s="5" t="str">
        <x:f>IF(COUNTA(A355:F355)=0,"",IF(K355&lt;&gt;"","Review",IF(I355&lt;0,"Overdue",IF(I355=0,"Due now",IF(I355&lt;=M355,"Due soon","Not due")))))</x:f>
      </x:c>
      <x:c r="H355" s="5" t="str">
        <x:f>IF(OR(COUNTA(A355:F355)=0,COUNTIFS('Rules'!$G$7:$G$26,"="&amp;(SUBSTITUTE(SUBSTITUTE(SUBSTITUTE(SUBSTITUTE("type:"&amp;B355,"%","%25"),"~","%7E"),"*","%2A"),"?","%3F")))&lt;&gt;1),"",IF(OR(INDEX('Rules'!$B$7:$B$26,MATCH(SUBSTITUTE(SUBSTITUTE(SUBSTITUTE(SUBSTITUTE("type:"&amp;B355,"%","%25"),"~","%7E"),"*","%2A"),"?","%3F"),'Rules'!$G$7:$G$26,0))="hours",INDEX('Rules'!$B$7:$B$26,MATCH(SUBSTITUTE(SUBSTITUTE(SUBSTITUTE(SUBSTITUTE("type:"&amp;B355,"%","%25"),"~","%7E"),"*","%2A"),"?","%3F"),'Rules'!$G$7:$G$26,0))="km"),INDEX('Rules'!$B$7:$B$26,MATCH(SUBSTITUTE(SUBSTITUTE(SUBSTITUTE(SUBSTITUTE("type:"&amp;B355,"%","%25"),"~","%7E"),"*","%2A"),"?","%3F"),'Rules'!$G$7:$G$26,0)),""))</x:f>
      </x:c>
      <x:c r="I355" s="6" t="str">
        <x:f>IF(AND(NOT(COUNTA(A355:F355)=0),K355=""),ROUND(J355-D355,3),"")</x:f>
      </x:c>
      <x:c r="J355" s="6" t="str">
        <x:f>IF(AND(NOT(COUNTA(A355:F355)=0),K355=""),ROUND(F355+L355,3),"")</x:f>
      </x:c>
      <x:c r="K355" s="5" t="str">
        <x:f>IF(COUNTA(A355:F355)=0,"",IF(A355="","Missing equipment ID",IF(COUNTIFS($N$8:$N$2007,"="&amp;N355)&gt;1,"Duplicate equipment ID",IF(B355="","Missing type",IF(COUNTIFS('Rules'!$G$7:$G$26,"="&amp;(SUBSTITUTE(SUBSTITUTE(SUBSTITUTE(SUBSTITUTE("type:"&amp;B355,"%","%25"),"~","%7E"),"*","%2A"),"?","%3F")))=0,"Unknown type",IF(COUNTIFS('Rules'!$G$7:$G$26,"="&amp;(SUBSTITUTE(SUBSTITUTE(SUBSTITUTE(SUBSTITUTE("type:"&amp;B355,"%","%25"),"~","%7E"),"*","%2A"),"?","%3F")))&gt;1,"Duplicate type",IF(INDEX('Rules'!$F$7:$F$26,MATCH(SUBSTITUTE(SUBSTITUTE(SUBSTITUTE(SUBSTITUTE("type:"&amp;B355,"%","%25"),"~","%7E"),"*","%2A"),"?","%3F"),'Rules'!$G$7:$G$26,0))&lt;&gt;"",INDEX('Rules'!$F$7:$F$26,MATCH(SUBSTITUTE(SUBSTITUTE(SUBSTITUTE(SUBSTITUTE("type:"&amp;B355,"%","%25"),"~","%7E"),"*","%2A"),"?","%3F"),'Rules'!$G$7:$G$26,0)),IF(AND(C355&lt;&gt;"",C355&lt;&gt;INDEX('Rules'!$B$7:$B$26,MATCH(SUBSTITUTE(SUBSTITUTE(SUBSTITUTE(SUBSTITUTE("type:"&amp;B355,"%","%25"),"~","%7E"),"*","%2A"),"?","%3F"),'Rules'!$G$7:$G$26,0))),"Unit mismatch",IF(IF(NOT(ISNUMBER(D355)),TRUE,OR(D355&lt;0,D355&gt;999999999,ROUND(D355,3)&lt;&gt;D355)),"Invalid current reading",IF(AND(E355&lt;&gt;"",IF(NOT(ISNUMBER(E355)),TRUE,OR(E355&lt;0,E355&gt;999999999,ROUND(E355,3)&lt;&gt;E355))),"Invalid previous reading",IF(IF(NOT(ISNUMBER(F355)),TRUE,OR(F355&lt;0,F355&gt;999999999,ROUND(F355,3)&lt;&gt;F355)),"Invalid last service",IF(AND(E355&lt;&gt;"",D355&lt;E355),"Decreased reading",IF(F355&gt;D355,"Last service above current","")))))))))))))</x:f>
      </x:c>
      <x:c r="L355" s="6" t="str">
        <x:f>IF(AND(NOT(COUNTA(A355:F355)=0),K355=""),INDEX('Rules'!$C$7:$C$26,MATCH(SUBSTITUTE(SUBSTITUTE(SUBSTITUTE(SUBSTITUTE("type:"&amp;B355,"%","%25"),"~","%7E"),"*","%2A"),"?","%3F"),'Rules'!$G$7:$G$26,0)),"")</x:f>
      </x:c>
      <x:c r="M355" s="6" t="str">
        <x:f>IF(AND(NOT(COUNTA(A355:F355)=0),K355=""),INDEX('Rules'!$D$7:$D$26,MATCH(SUBSTITUTE(SUBSTITUTE(SUBSTITUTE(SUBSTITUTE("type:"&amp;B355,"%","%25"),"~","%7E"),"*","%2A"),"?","%3F"),'Rules'!$G$7:$G$26,0)),"")</x:f>
      </x:c>
      <x:c r="N355" s="5" t="str">
        <x:f>IF(COUNTA(A355:F355)=0,"",SUBSTITUTE(SUBSTITUTE(SUBSTITUTE(SUBSTITUTE("id:"&amp;A355,"%","%25"),"~","%7E"),"*","%2A"),"?","%3F"))</x:f>
      </x:c>
    </x:row>
    <x:row r="356" ht="22" customHeight="1">
      <x:c r="A356" s="3"/>
      <x:c r="B356" s="3"/>
      <x:c r="C356" s="3"/>
      <x:c r="D356" s="4"/>
      <x:c r="E356" s="4"/>
      <x:c r="F356" s="4"/>
      <x:c r="G356" s="5" t="str">
        <x:f>IF(COUNTA(A356:F356)=0,"",IF(K356&lt;&gt;"","Review",IF(I356&lt;0,"Overdue",IF(I356=0,"Due now",IF(I356&lt;=M356,"Due soon","Not due")))))</x:f>
      </x:c>
      <x:c r="H356" s="5" t="str">
        <x:f>IF(OR(COUNTA(A356:F356)=0,COUNTIFS('Rules'!$G$7:$G$26,"="&amp;(SUBSTITUTE(SUBSTITUTE(SUBSTITUTE(SUBSTITUTE("type:"&amp;B356,"%","%25"),"~","%7E"),"*","%2A"),"?","%3F")))&lt;&gt;1),"",IF(OR(INDEX('Rules'!$B$7:$B$26,MATCH(SUBSTITUTE(SUBSTITUTE(SUBSTITUTE(SUBSTITUTE("type:"&amp;B356,"%","%25"),"~","%7E"),"*","%2A"),"?","%3F"),'Rules'!$G$7:$G$26,0))="hours",INDEX('Rules'!$B$7:$B$26,MATCH(SUBSTITUTE(SUBSTITUTE(SUBSTITUTE(SUBSTITUTE("type:"&amp;B356,"%","%25"),"~","%7E"),"*","%2A"),"?","%3F"),'Rules'!$G$7:$G$26,0))="km"),INDEX('Rules'!$B$7:$B$26,MATCH(SUBSTITUTE(SUBSTITUTE(SUBSTITUTE(SUBSTITUTE("type:"&amp;B356,"%","%25"),"~","%7E"),"*","%2A"),"?","%3F"),'Rules'!$G$7:$G$26,0)),""))</x:f>
      </x:c>
      <x:c r="I356" s="6" t="str">
        <x:f>IF(AND(NOT(COUNTA(A356:F356)=0),K356=""),ROUND(J356-D356,3),"")</x:f>
      </x:c>
      <x:c r="J356" s="6" t="str">
        <x:f>IF(AND(NOT(COUNTA(A356:F356)=0),K356=""),ROUND(F356+L356,3),"")</x:f>
      </x:c>
      <x:c r="K356" s="5" t="str">
        <x:f>IF(COUNTA(A356:F356)=0,"",IF(A356="","Missing equipment ID",IF(COUNTIFS($N$8:$N$2007,"="&amp;N356)&gt;1,"Duplicate equipment ID",IF(B356="","Missing type",IF(COUNTIFS('Rules'!$G$7:$G$26,"="&amp;(SUBSTITUTE(SUBSTITUTE(SUBSTITUTE(SUBSTITUTE("type:"&amp;B356,"%","%25"),"~","%7E"),"*","%2A"),"?","%3F")))=0,"Unknown type",IF(COUNTIFS('Rules'!$G$7:$G$26,"="&amp;(SUBSTITUTE(SUBSTITUTE(SUBSTITUTE(SUBSTITUTE("type:"&amp;B356,"%","%25"),"~","%7E"),"*","%2A"),"?","%3F")))&gt;1,"Duplicate type",IF(INDEX('Rules'!$F$7:$F$26,MATCH(SUBSTITUTE(SUBSTITUTE(SUBSTITUTE(SUBSTITUTE("type:"&amp;B356,"%","%25"),"~","%7E"),"*","%2A"),"?","%3F"),'Rules'!$G$7:$G$26,0))&lt;&gt;"",INDEX('Rules'!$F$7:$F$26,MATCH(SUBSTITUTE(SUBSTITUTE(SUBSTITUTE(SUBSTITUTE("type:"&amp;B356,"%","%25"),"~","%7E"),"*","%2A"),"?","%3F"),'Rules'!$G$7:$G$26,0)),IF(AND(C356&lt;&gt;"",C356&lt;&gt;INDEX('Rules'!$B$7:$B$26,MATCH(SUBSTITUTE(SUBSTITUTE(SUBSTITUTE(SUBSTITUTE("type:"&amp;B356,"%","%25"),"~","%7E"),"*","%2A"),"?","%3F"),'Rules'!$G$7:$G$26,0))),"Unit mismatch",IF(IF(NOT(ISNUMBER(D356)),TRUE,OR(D356&lt;0,D356&gt;999999999,ROUND(D356,3)&lt;&gt;D356)),"Invalid current reading",IF(AND(E356&lt;&gt;"",IF(NOT(ISNUMBER(E356)),TRUE,OR(E356&lt;0,E356&gt;999999999,ROUND(E356,3)&lt;&gt;E356))),"Invalid previous reading",IF(IF(NOT(ISNUMBER(F356)),TRUE,OR(F356&lt;0,F356&gt;999999999,ROUND(F356,3)&lt;&gt;F356)),"Invalid last service",IF(AND(E356&lt;&gt;"",D356&lt;E356),"Decreased reading",IF(F356&gt;D356,"Last service above current","")))))))))))))</x:f>
      </x:c>
      <x:c r="L356" s="6" t="str">
        <x:f>IF(AND(NOT(COUNTA(A356:F356)=0),K356=""),INDEX('Rules'!$C$7:$C$26,MATCH(SUBSTITUTE(SUBSTITUTE(SUBSTITUTE(SUBSTITUTE("type:"&amp;B356,"%","%25"),"~","%7E"),"*","%2A"),"?","%3F"),'Rules'!$G$7:$G$26,0)),"")</x:f>
      </x:c>
      <x:c r="M356" s="6" t="str">
        <x:f>IF(AND(NOT(COUNTA(A356:F356)=0),K356=""),INDEX('Rules'!$D$7:$D$26,MATCH(SUBSTITUTE(SUBSTITUTE(SUBSTITUTE(SUBSTITUTE("type:"&amp;B356,"%","%25"),"~","%7E"),"*","%2A"),"?","%3F"),'Rules'!$G$7:$G$26,0)),"")</x:f>
      </x:c>
      <x:c r="N356" s="5" t="str">
        <x:f>IF(COUNTA(A356:F356)=0,"",SUBSTITUTE(SUBSTITUTE(SUBSTITUTE(SUBSTITUTE("id:"&amp;A356,"%","%25"),"~","%7E"),"*","%2A"),"?","%3F"))</x:f>
      </x:c>
    </x:row>
    <x:row r="357" ht="22" customHeight="1">
      <x:c r="A357" s="3"/>
      <x:c r="B357" s="3"/>
      <x:c r="C357" s="3"/>
      <x:c r="D357" s="4"/>
      <x:c r="E357" s="4"/>
      <x:c r="F357" s="4"/>
      <x:c r="G357" s="5" t="str">
        <x:f>IF(COUNTA(A357:F357)=0,"",IF(K357&lt;&gt;"","Review",IF(I357&lt;0,"Overdue",IF(I357=0,"Due now",IF(I357&lt;=M357,"Due soon","Not due")))))</x:f>
      </x:c>
      <x:c r="H357" s="5" t="str">
        <x:f>IF(OR(COUNTA(A357:F357)=0,COUNTIFS('Rules'!$G$7:$G$26,"="&amp;(SUBSTITUTE(SUBSTITUTE(SUBSTITUTE(SUBSTITUTE("type:"&amp;B357,"%","%25"),"~","%7E"),"*","%2A"),"?","%3F")))&lt;&gt;1),"",IF(OR(INDEX('Rules'!$B$7:$B$26,MATCH(SUBSTITUTE(SUBSTITUTE(SUBSTITUTE(SUBSTITUTE("type:"&amp;B357,"%","%25"),"~","%7E"),"*","%2A"),"?","%3F"),'Rules'!$G$7:$G$26,0))="hours",INDEX('Rules'!$B$7:$B$26,MATCH(SUBSTITUTE(SUBSTITUTE(SUBSTITUTE(SUBSTITUTE("type:"&amp;B357,"%","%25"),"~","%7E"),"*","%2A"),"?","%3F"),'Rules'!$G$7:$G$26,0))="km"),INDEX('Rules'!$B$7:$B$26,MATCH(SUBSTITUTE(SUBSTITUTE(SUBSTITUTE(SUBSTITUTE("type:"&amp;B357,"%","%25"),"~","%7E"),"*","%2A"),"?","%3F"),'Rules'!$G$7:$G$26,0)),""))</x:f>
      </x:c>
      <x:c r="I357" s="6" t="str">
        <x:f>IF(AND(NOT(COUNTA(A357:F357)=0),K357=""),ROUND(J357-D357,3),"")</x:f>
      </x:c>
      <x:c r="J357" s="6" t="str">
        <x:f>IF(AND(NOT(COUNTA(A357:F357)=0),K357=""),ROUND(F357+L357,3),"")</x:f>
      </x:c>
      <x:c r="K357" s="5" t="str">
        <x:f>IF(COUNTA(A357:F357)=0,"",IF(A357="","Missing equipment ID",IF(COUNTIFS($N$8:$N$2007,"="&amp;N357)&gt;1,"Duplicate equipment ID",IF(B357="","Missing type",IF(COUNTIFS('Rules'!$G$7:$G$26,"="&amp;(SUBSTITUTE(SUBSTITUTE(SUBSTITUTE(SUBSTITUTE("type:"&amp;B357,"%","%25"),"~","%7E"),"*","%2A"),"?","%3F")))=0,"Unknown type",IF(COUNTIFS('Rules'!$G$7:$G$26,"="&amp;(SUBSTITUTE(SUBSTITUTE(SUBSTITUTE(SUBSTITUTE("type:"&amp;B357,"%","%25"),"~","%7E"),"*","%2A"),"?","%3F")))&gt;1,"Duplicate type",IF(INDEX('Rules'!$F$7:$F$26,MATCH(SUBSTITUTE(SUBSTITUTE(SUBSTITUTE(SUBSTITUTE("type:"&amp;B357,"%","%25"),"~","%7E"),"*","%2A"),"?","%3F"),'Rules'!$G$7:$G$26,0))&lt;&gt;"",INDEX('Rules'!$F$7:$F$26,MATCH(SUBSTITUTE(SUBSTITUTE(SUBSTITUTE(SUBSTITUTE("type:"&amp;B357,"%","%25"),"~","%7E"),"*","%2A"),"?","%3F"),'Rules'!$G$7:$G$26,0)),IF(AND(C357&lt;&gt;"",C357&lt;&gt;INDEX('Rules'!$B$7:$B$26,MATCH(SUBSTITUTE(SUBSTITUTE(SUBSTITUTE(SUBSTITUTE("type:"&amp;B357,"%","%25"),"~","%7E"),"*","%2A"),"?","%3F"),'Rules'!$G$7:$G$26,0))),"Unit mismatch",IF(IF(NOT(ISNUMBER(D357)),TRUE,OR(D357&lt;0,D357&gt;999999999,ROUND(D357,3)&lt;&gt;D357)),"Invalid current reading",IF(AND(E357&lt;&gt;"",IF(NOT(ISNUMBER(E357)),TRUE,OR(E357&lt;0,E357&gt;999999999,ROUND(E357,3)&lt;&gt;E357))),"Invalid previous reading",IF(IF(NOT(ISNUMBER(F357)),TRUE,OR(F357&lt;0,F357&gt;999999999,ROUND(F357,3)&lt;&gt;F357)),"Invalid last service",IF(AND(E357&lt;&gt;"",D357&lt;E357),"Decreased reading",IF(F357&gt;D357,"Last service above current","")))))))))))))</x:f>
      </x:c>
      <x:c r="L357" s="6" t="str">
        <x:f>IF(AND(NOT(COUNTA(A357:F357)=0),K357=""),INDEX('Rules'!$C$7:$C$26,MATCH(SUBSTITUTE(SUBSTITUTE(SUBSTITUTE(SUBSTITUTE("type:"&amp;B357,"%","%25"),"~","%7E"),"*","%2A"),"?","%3F"),'Rules'!$G$7:$G$26,0)),"")</x:f>
      </x:c>
      <x:c r="M357" s="6" t="str">
        <x:f>IF(AND(NOT(COUNTA(A357:F357)=0),K357=""),INDEX('Rules'!$D$7:$D$26,MATCH(SUBSTITUTE(SUBSTITUTE(SUBSTITUTE(SUBSTITUTE("type:"&amp;B357,"%","%25"),"~","%7E"),"*","%2A"),"?","%3F"),'Rules'!$G$7:$G$26,0)),"")</x:f>
      </x:c>
      <x:c r="N357" s="5" t="str">
        <x:f>IF(COUNTA(A357:F357)=0,"",SUBSTITUTE(SUBSTITUTE(SUBSTITUTE(SUBSTITUTE("id:"&amp;A357,"%","%25"),"~","%7E"),"*","%2A"),"?","%3F"))</x:f>
      </x:c>
    </x:row>
    <x:row r="358" ht="22" customHeight="1">
      <x:c r="A358" s="3"/>
      <x:c r="B358" s="3"/>
      <x:c r="C358" s="3"/>
      <x:c r="D358" s="4"/>
      <x:c r="E358" s="4"/>
      <x:c r="F358" s="4"/>
      <x:c r="G358" s="5" t="str">
        <x:f>IF(COUNTA(A358:F358)=0,"",IF(K358&lt;&gt;"","Review",IF(I358&lt;0,"Overdue",IF(I358=0,"Due now",IF(I358&lt;=M358,"Due soon","Not due")))))</x:f>
      </x:c>
      <x:c r="H358" s="5" t="str">
        <x:f>IF(OR(COUNTA(A358:F358)=0,COUNTIFS('Rules'!$G$7:$G$26,"="&amp;(SUBSTITUTE(SUBSTITUTE(SUBSTITUTE(SUBSTITUTE("type:"&amp;B358,"%","%25"),"~","%7E"),"*","%2A"),"?","%3F")))&lt;&gt;1),"",IF(OR(INDEX('Rules'!$B$7:$B$26,MATCH(SUBSTITUTE(SUBSTITUTE(SUBSTITUTE(SUBSTITUTE("type:"&amp;B358,"%","%25"),"~","%7E"),"*","%2A"),"?","%3F"),'Rules'!$G$7:$G$26,0))="hours",INDEX('Rules'!$B$7:$B$26,MATCH(SUBSTITUTE(SUBSTITUTE(SUBSTITUTE(SUBSTITUTE("type:"&amp;B358,"%","%25"),"~","%7E"),"*","%2A"),"?","%3F"),'Rules'!$G$7:$G$26,0))="km"),INDEX('Rules'!$B$7:$B$26,MATCH(SUBSTITUTE(SUBSTITUTE(SUBSTITUTE(SUBSTITUTE("type:"&amp;B358,"%","%25"),"~","%7E"),"*","%2A"),"?","%3F"),'Rules'!$G$7:$G$26,0)),""))</x:f>
      </x:c>
      <x:c r="I358" s="6" t="str">
        <x:f>IF(AND(NOT(COUNTA(A358:F358)=0),K358=""),ROUND(J358-D358,3),"")</x:f>
      </x:c>
      <x:c r="J358" s="6" t="str">
        <x:f>IF(AND(NOT(COUNTA(A358:F358)=0),K358=""),ROUND(F358+L358,3),"")</x:f>
      </x:c>
      <x:c r="K358" s="5" t="str">
        <x:f>IF(COUNTA(A358:F358)=0,"",IF(A358="","Missing equipment ID",IF(COUNTIFS($N$8:$N$2007,"="&amp;N358)&gt;1,"Duplicate equipment ID",IF(B358="","Missing type",IF(COUNTIFS('Rules'!$G$7:$G$26,"="&amp;(SUBSTITUTE(SUBSTITUTE(SUBSTITUTE(SUBSTITUTE("type:"&amp;B358,"%","%25"),"~","%7E"),"*","%2A"),"?","%3F")))=0,"Unknown type",IF(COUNTIFS('Rules'!$G$7:$G$26,"="&amp;(SUBSTITUTE(SUBSTITUTE(SUBSTITUTE(SUBSTITUTE("type:"&amp;B358,"%","%25"),"~","%7E"),"*","%2A"),"?","%3F")))&gt;1,"Duplicate type",IF(INDEX('Rules'!$F$7:$F$26,MATCH(SUBSTITUTE(SUBSTITUTE(SUBSTITUTE(SUBSTITUTE("type:"&amp;B358,"%","%25"),"~","%7E"),"*","%2A"),"?","%3F"),'Rules'!$G$7:$G$26,0))&lt;&gt;"",INDEX('Rules'!$F$7:$F$26,MATCH(SUBSTITUTE(SUBSTITUTE(SUBSTITUTE(SUBSTITUTE("type:"&amp;B358,"%","%25"),"~","%7E"),"*","%2A"),"?","%3F"),'Rules'!$G$7:$G$26,0)),IF(AND(C358&lt;&gt;"",C358&lt;&gt;INDEX('Rules'!$B$7:$B$26,MATCH(SUBSTITUTE(SUBSTITUTE(SUBSTITUTE(SUBSTITUTE("type:"&amp;B358,"%","%25"),"~","%7E"),"*","%2A"),"?","%3F"),'Rules'!$G$7:$G$26,0))),"Unit mismatch",IF(IF(NOT(ISNUMBER(D358)),TRUE,OR(D358&lt;0,D358&gt;999999999,ROUND(D358,3)&lt;&gt;D358)),"Invalid current reading",IF(AND(E358&lt;&gt;"",IF(NOT(ISNUMBER(E358)),TRUE,OR(E358&lt;0,E358&gt;999999999,ROUND(E358,3)&lt;&gt;E358))),"Invalid previous reading",IF(IF(NOT(ISNUMBER(F358)),TRUE,OR(F358&lt;0,F358&gt;999999999,ROUND(F358,3)&lt;&gt;F358)),"Invalid last service",IF(AND(E358&lt;&gt;"",D358&lt;E358),"Decreased reading",IF(F358&gt;D358,"Last service above current","")))))))))))))</x:f>
      </x:c>
      <x:c r="L358" s="6" t="str">
        <x:f>IF(AND(NOT(COUNTA(A358:F358)=0),K358=""),INDEX('Rules'!$C$7:$C$26,MATCH(SUBSTITUTE(SUBSTITUTE(SUBSTITUTE(SUBSTITUTE("type:"&amp;B358,"%","%25"),"~","%7E"),"*","%2A"),"?","%3F"),'Rules'!$G$7:$G$26,0)),"")</x:f>
      </x:c>
      <x:c r="M358" s="6" t="str">
        <x:f>IF(AND(NOT(COUNTA(A358:F358)=0),K358=""),INDEX('Rules'!$D$7:$D$26,MATCH(SUBSTITUTE(SUBSTITUTE(SUBSTITUTE(SUBSTITUTE("type:"&amp;B358,"%","%25"),"~","%7E"),"*","%2A"),"?","%3F"),'Rules'!$G$7:$G$26,0)),"")</x:f>
      </x:c>
      <x:c r="N358" s="5" t="str">
        <x:f>IF(COUNTA(A358:F358)=0,"",SUBSTITUTE(SUBSTITUTE(SUBSTITUTE(SUBSTITUTE("id:"&amp;A358,"%","%25"),"~","%7E"),"*","%2A"),"?","%3F"))</x:f>
      </x:c>
    </x:row>
    <x:row r="359" ht="22" customHeight="1">
      <x:c r="A359" s="3"/>
      <x:c r="B359" s="3"/>
      <x:c r="C359" s="3"/>
      <x:c r="D359" s="4"/>
      <x:c r="E359" s="4"/>
      <x:c r="F359" s="4"/>
      <x:c r="G359" s="5" t="str">
        <x:f>IF(COUNTA(A359:F359)=0,"",IF(K359&lt;&gt;"","Review",IF(I359&lt;0,"Overdue",IF(I359=0,"Due now",IF(I359&lt;=M359,"Due soon","Not due")))))</x:f>
      </x:c>
      <x:c r="H359" s="5" t="str">
        <x:f>IF(OR(COUNTA(A359:F359)=0,COUNTIFS('Rules'!$G$7:$G$26,"="&amp;(SUBSTITUTE(SUBSTITUTE(SUBSTITUTE(SUBSTITUTE("type:"&amp;B359,"%","%25"),"~","%7E"),"*","%2A"),"?","%3F")))&lt;&gt;1),"",IF(OR(INDEX('Rules'!$B$7:$B$26,MATCH(SUBSTITUTE(SUBSTITUTE(SUBSTITUTE(SUBSTITUTE("type:"&amp;B359,"%","%25"),"~","%7E"),"*","%2A"),"?","%3F"),'Rules'!$G$7:$G$26,0))="hours",INDEX('Rules'!$B$7:$B$26,MATCH(SUBSTITUTE(SUBSTITUTE(SUBSTITUTE(SUBSTITUTE("type:"&amp;B359,"%","%25"),"~","%7E"),"*","%2A"),"?","%3F"),'Rules'!$G$7:$G$26,0))="km"),INDEX('Rules'!$B$7:$B$26,MATCH(SUBSTITUTE(SUBSTITUTE(SUBSTITUTE(SUBSTITUTE("type:"&amp;B359,"%","%25"),"~","%7E"),"*","%2A"),"?","%3F"),'Rules'!$G$7:$G$26,0)),""))</x:f>
      </x:c>
      <x:c r="I359" s="6" t="str">
        <x:f>IF(AND(NOT(COUNTA(A359:F359)=0),K359=""),ROUND(J359-D359,3),"")</x:f>
      </x:c>
      <x:c r="J359" s="6" t="str">
        <x:f>IF(AND(NOT(COUNTA(A359:F359)=0),K359=""),ROUND(F359+L359,3),"")</x:f>
      </x:c>
      <x:c r="K359" s="5" t="str">
        <x:f>IF(COUNTA(A359:F359)=0,"",IF(A359="","Missing equipment ID",IF(COUNTIFS($N$8:$N$2007,"="&amp;N359)&gt;1,"Duplicate equipment ID",IF(B359="","Missing type",IF(COUNTIFS('Rules'!$G$7:$G$26,"="&amp;(SUBSTITUTE(SUBSTITUTE(SUBSTITUTE(SUBSTITUTE("type:"&amp;B359,"%","%25"),"~","%7E"),"*","%2A"),"?","%3F")))=0,"Unknown type",IF(COUNTIFS('Rules'!$G$7:$G$26,"="&amp;(SUBSTITUTE(SUBSTITUTE(SUBSTITUTE(SUBSTITUTE("type:"&amp;B359,"%","%25"),"~","%7E"),"*","%2A"),"?","%3F")))&gt;1,"Duplicate type",IF(INDEX('Rules'!$F$7:$F$26,MATCH(SUBSTITUTE(SUBSTITUTE(SUBSTITUTE(SUBSTITUTE("type:"&amp;B359,"%","%25"),"~","%7E"),"*","%2A"),"?","%3F"),'Rules'!$G$7:$G$26,0))&lt;&gt;"",INDEX('Rules'!$F$7:$F$26,MATCH(SUBSTITUTE(SUBSTITUTE(SUBSTITUTE(SUBSTITUTE("type:"&amp;B359,"%","%25"),"~","%7E"),"*","%2A"),"?","%3F"),'Rules'!$G$7:$G$26,0)),IF(AND(C359&lt;&gt;"",C359&lt;&gt;INDEX('Rules'!$B$7:$B$26,MATCH(SUBSTITUTE(SUBSTITUTE(SUBSTITUTE(SUBSTITUTE("type:"&amp;B359,"%","%25"),"~","%7E"),"*","%2A"),"?","%3F"),'Rules'!$G$7:$G$26,0))),"Unit mismatch",IF(IF(NOT(ISNUMBER(D359)),TRUE,OR(D359&lt;0,D359&gt;999999999,ROUND(D359,3)&lt;&gt;D359)),"Invalid current reading",IF(AND(E359&lt;&gt;"",IF(NOT(ISNUMBER(E359)),TRUE,OR(E359&lt;0,E359&gt;999999999,ROUND(E359,3)&lt;&gt;E359))),"Invalid previous reading",IF(IF(NOT(ISNUMBER(F359)),TRUE,OR(F359&lt;0,F359&gt;999999999,ROUND(F359,3)&lt;&gt;F359)),"Invalid last service",IF(AND(E359&lt;&gt;"",D359&lt;E359),"Decreased reading",IF(F359&gt;D359,"Last service above current","")))))))))))))</x:f>
      </x:c>
      <x:c r="L359" s="6" t="str">
        <x:f>IF(AND(NOT(COUNTA(A359:F359)=0),K359=""),INDEX('Rules'!$C$7:$C$26,MATCH(SUBSTITUTE(SUBSTITUTE(SUBSTITUTE(SUBSTITUTE("type:"&amp;B359,"%","%25"),"~","%7E"),"*","%2A"),"?","%3F"),'Rules'!$G$7:$G$26,0)),"")</x:f>
      </x:c>
      <x:c r="M359" s="6" t="str">
        <x:f>IF(AND(NOT(COUNTA(A359:F359)=0),K359=""),INDEX('Rules'!$D$7:$D$26,MATCH(SUBSTITUTE(SUBSTITUTE(SUBSTITUTE(SUBSTITUTE("type:"&amp;B359,"%","%25"),"~","%7E"),"*","%2A"),"?","%3F"),'Rules'!$G$7:$G$26,0)),"")</x:f>
      </x:c>
      <x:c r="N359" s="5" t="str">
        <x:f>IF(COUNTA(A359:F359)=0,"",SUBSTITUTE(SUBSTITUTE(SUBSTITUTE(SUBSTITUTE("id:"&amp;A359,"%","%25"),"~","%7E"),"*","%2A"),"?","%3F"))</x:f>
      </x:c>
    </x:row>
    <x:row r="360" ht="22" customHeight="1">
      <x:c r="A360" s="3"/>
      <x:c r="B360" s="3"/>
      <x:c r="C360" s="3"/>
      <x:c r="D360" s="4"/>
      <x:c r="E360" s="4"/>
      <x:c r="F360" s="4"/>
      <x:c r="G360" s="5" t="str">
        <x:f>IF(COUNTA(A360:F360)=0,"",IF(K360&lt;&gt;"","Review",IF(I360&lt;0,"Overdue",IF(I360=0,"Due now",IF(I360&lt;=M360,"Due soon","Not due")))))</x:f>
      </x:c>
      <x:c r="H360" s="5" t="str">
        <x:f>IF(OR(COUNTA(A360:F360)=0,COUNTIFS('Rules'!$G$7:$G$26,"="&amp;(SUBSTITUTE(SUBSTITUTE(SUBSTITUTE(SUBSTITUTE("type:"&amp;B360,"%","%25"),"~","%7E"),"*","%2A"),"?","%3F")))&lt;&gt;1),"",IF(OR(INDEX('Rules'!$B$7:$B$26,MATCH(SUBSTITUTE(SUBSTITUTE(SUBSTITUTE(SUBSTITUTE("type:"&amp;B360,"%","%25"),"~","%7E"),"*","%2A"),"?","%3F"),'Rules'!$G$7:$G$26,0))="hours",INDEX('Rules'!$B$7:$B$26,MATCH(SUBSTITUTE(SUBSTITUTE(SUBSTITUTE(SUBSTITUTE("type:"&amp;B360,"%","%25"),"~","%7E"),"*","%2A"),"?","%3F"),'Rules'!$G$7:$G$26,0))="km"),INDEX('Rules'!$B$7:$B$26,MATCH(SUBSTITUTE(SUBSTITUTE(SUBSTITUTE(SUBSTITUTE("type:"&amp;B360,"%","%25"),"~","%7E"),"*","%2A"),"?","%3F"),'Rules'!$G$7:$G$26,0)),""))</x:f>
      </x:c>
      <x:c r="I360" s="6" t="str">
        <x:f>IF(AND(NOT(COUNTA(A360:F360)=0),K360=""),ROUND(J360-D360,3),"")</x:f>
      </x:c>
      <x:c r="J360" s="6" t="str">
        <x:f>IF(AND(NOT(COUNTA(A360:F360)=0),K360=""),ROUND(F360+L360,3),"")</x:f>
      </x:c>
      <x:c r="K360" s="5" t="str">
        <x:f>IF(COUNTA(A360:F360)=0,"",IF(A360="","Missing equipment ID",IF(COUNTIFS($N$8:$N$2007,"="&amp;N360)&gt;1,"Duplicate equipment ID",IF(B360="","Missing type",IF(COUNTIFS('Rules'!$G$7:$G$26,"="&amp;(SUBSTITUTE(SUBSTITUTE(SUBSTITUTE(SUBSTITUTE("type:"&amp;B360,"%","%25"),"~","%7E"),"*","%2A"),"?","%3F")))=0,"Unknown type",IF(COUNTIFS('Rules'!$G$7:$G$26,"="&amp;(SUBSTITUTE(SUBSTITUTE(SUBSTITUTE(SUBSTITUTE("type:"&amp;B360,"%","%25"),"~","%7E"),"*","%2A"),"?","%3F")))&gt;1,"Duplicate type",IF(INDEX('Rules'!$F$7:$F$26,MATCH(SUBSTITUTE(SUBSTITUTE(SUBSTITUTE(SUBSTITUTE("type:"&amp;B360,"%","%25"),"~","%7E"),"*","%2A"),"?","%3F"),'Rules'!$G$7:$G$26,0))&lt;&gt;"",INDEX('Rules'!$F$7:$F$26,MATCH(SUBSTITUTE(SUBSTITUTE(SUBSTITUTE(SUBSTITUTE("type:"&amp;B360,"%","%25"),"~","%7E"),"*","%2A"),"?","%3F"),'Rules'!$G$7:$G$26,0)),IF(AND(C360&lt;&gt;"",C360&lt;&gt;INDEX('Rules'!$B$7:$B$26,MATCH(SUBSTITUTE(SUBSTITUTE(SUBSTITUTE(SUBSTITUTE("type:"&amp;B360,"%","%25"),"~","%7E"),"*","%2A"),"?","%3F"),'Rules'!$G$7:$G$26,0))),"Unit mismatch",IF(IF(NOT(ISNUMBER(D360)),TRUE,OR(D360&lt;0,D360&gt;999999999,ROUND(D360,3)&lt;&gt;D360)),"Invalid current reading",IF(AND(E360&lt;&gt;"",IF(NOT(ISNUMBER(E360)),TRUE,OR(E360&lt;0,E360&gt;999999999,ROUND(E360,3)&lt;&gt;E360))),"Invalid previous reading",IF(IF(NOT(ISNUMBER(F360)),TRUE,OR(F360&lt;0,F360&gt;999999999,ROUND(F360,3)&lt;&gt;F360)),"Invalid last service",IF(AND(E360&lt;&gt;"",D360&lt;E360),"Decreased reading",IF(F360&gt;D360,"Last service above current","")))))))))))))</x:f>
      </x:c>
      <x:c r="L360" s="6" t="str">
        <x:f>IF(AND(NOT(COUNTA(A360:F360)=0),K360=""),INDEX('Rules'!$C$7:$C$26,MATCH(SUBSTITUTE(SUBSTITUTE(SUBSTITUTE(SUBSTITUTE("type:"&amp;B360,"%","%25"),"~","%7E"),"*","%2A"),"?","%3F"),'Rules'!$G$7:$G$26,0)),"")</x:f>
      </x:c>
      <x:c r="M360" s="6" t="str">
        <x:f>IF(AND(NOT(COUNTA(A360:F360)=0),K360=""),INDEX('Rules'!$D$7:$D$26,MATCH(SUBSTITUTE(SUBSTITUTE(SUBSTITUTE(SUBSTITUTE("type:"&amp;B360,"%","%25"),"~","%7E"),"*","%2A"),"?","%3F"),'Rules'!$G$7:$G$26,0)),"")</x:f>
      </x:c>
      <x:c r="N360" s="5" t="str">
        <x:f>IF(COUNTA(A360:F360)=0,"",SUBSTITUTE(SUBSTITUTE(SUBSTITUTE(SUBSTITUTE("id:"&amp;A360,"%","%25"),"~","%7E"),"*","%2A"),"?","%3F"))</x:f>
      </x:c>
    </x:row>
    <x:row r="361" ht="22" customHeight="1">
      <x:c r="A361" s="3"/>
      <x:c r="B361" s="3"/>
      <x:c r="C361" s="3"/>
      <x:c r="D361" s="4"/>
      <x:c r="E361" s="4"/>
      <x:c r="F361" s="4"/>
      <x:c r="G361" s="5" t="str">
        <x:f>IF(COUNTA(A361:F361)=0,"",IF(K361&lt;&gt;"","Review",IF(I361&lt;0,"Overdue",IF(I361=0,"Due now",IF(I361&lt;=M361,"Due soon","Not due")))))</x:f>
      </x:c>
      <x:c r="H361" s="5" t="str">
        <x:f>IF(OR(COUNTA(A361:F361)=0,COUNTIFS('Rules'!$G$7:$G$26,"="&amp;(SUBSTITUTE(SUBSTITUTE(SUBSTITUTE(SUBSTITUTE("type:"&amp;B361,"%","%25"),"~","%7E"),"*","%2A"),"?","%3F")))&lt;&gt;1),"",IF(OR(INDEX('Rules'!$B$7:$B$26,MATCH(SUBSTITUTE(SUBSTITUTE(SUBSTITUTE(SUBSTITUTE("type:"&amp;B361,"%","%25"),"~","%7E"),"*","%2A"),"?","%3F"),'Rules'!$G$7:$G$26,0))="hours",INDEX('Rules'!$B$7:$B$26,MATCH(SUBSTITUTE(SUBSTITUTE(SUBSTITUTE(SUBSTITUTE("type:"&amp;B361,"%","%25"),"~","%7E"),"*","%2A"),"?","%3F"),'Rules'!$G$7:$G$26,0))="km"),INDEX('Rules'!$B$7:$B$26,MATCH(SUBSTITUTE(SUBSTITUTE(SUBSTITUTE(SUBSTITUTE("type:"&amp;B361,"%","%25"),"~","%7E"),"*","%2A"),"?","%3F"),'Rules'!$G$7:$G$26,0)),""))</x:f>
      </x:c>
      <x:c r="I361" s="6" t="str">
        <x:f>IF(AND(NOT(COUNTA(A361:F361)=0),K361=""),ROUND(J361-D361,3),"")</x:f>
      </x:c>
      <x:c r="J361" s="6" t="str">
        <x:f>IF(AND(NOT(COUNTA(A361:F361)=0),K361=""),ROUND(F361+L361,3),"")</x:f>
      </x:c>
      <x:c r="K361" s="5" t="str">
        <x:f>IF(COUNTA(A361:F361)=0,"",IF(A361="","Missing equipment ID",IF(COUNTIFS($N$8:$N$2007,"="&amp;N361)&gt;1,"Duplicate equipment ID",IF(B361="","Missing type",IF(COUNTIFS('Rules'!$G$7:$G$26,"="&amp;(SUBSTITUTE(SUBSTITUTE(SUBSTITUTE(SUBSTITUTE("type:"&amp;B361,"%","%25"),"~","%7E"),"*","%2A"),"?","%3F")))=0,"Unknown type",IF(COUNTIFS('Rules'!$G$7:$G$26,"="&amp;(SUBSTITUTE(SUBSTITUTE(SUBSTITUTE(SUBSTITUTE("type:"&amp;B361,"%","%25"),"~","%7E"),"*","%2A"),"?","%3F")))&gt;1,"Duplicate type",IF(INDEX('Rules'!$F$7:$F$26,MATCH(SUBSTITUTE(SUBSTITUTE(SUBSTITUTE(SUBSTITUTE("type:"&amp;B361,"%","%25"),"~","%7E"),"*","%2A"),"?","%3F"),'Rules'!$G$7:$G$26,0))&lt;&gt;"",INDEX('Rules'!$F$7:$F$26,MATCH(SUBSTITUTE(SUBSTITUTE(SUBSTITUTE(SUBSTITUTE("type:"&amp;B361,"%","%25"),"~","%7E"),"*","%2A"),"?","%3F"),'Rules'!$G$7:$G$26,0)),IF(AND(C361&lt;&gt;"",C361&lt;&gt;INDEX('Rules'!$B$7:$B$26,MATCH(SUBSTITUTE(SUBSTITUTE(SUBSTITUTE(SUBSTITUTE("type:"&amp;B361,"%","%25"),"~","%7E"),"*","%2A"),"?","%3F"),'Rules'!$G$7:$G$26,0))),"Unit mismatch",IF(IF(NOT(ISNUMBER(D361)),TRUE,OR(D361&lt;0,D361&gt;999999999,ROUND(D361,3)&lt;&gt;D361)),"Invalid current reading",IF(AND(E361&lt;&gt;"",IF(NOT(ISNUMBER(E361)),TRUE,OR(E361&lt;0,E361&gt;999999999,ROUND(E361,3)&lt;&gt;E361))),"Invalid previous reading",IF(IF(NOT(ISNUMBER(F361)),TRUE,OR(F361&lt;0,F361&gt;999999999,ROUND(F361,3)&lt;&gt;F361)),"Invalid last service",IF(AND(E361&lt;&gt;"",D361&lt;E361),"Decreased reading",IF(F361&gt;D361,"Last service above current","")))))))))))))</x:f>
      </x:c>
      <x:c r="L361" s="6" t="str">
        <x:f>IF(AND(NOT(COUNTA(A361:F361)=0),K361=""),INDEX('Rules'!$C$7:$C$26,MATCH(SUBSTITUTE(SUBSTITUTE(SUBSTITUTE(SUBSTITUTE("type:"&amp;B361,"%","%25"),"~","%7E"),"*","%2A"),"?","%3F"),'Rules'!$G$7:$G$26,0)),"")</x:f>
      </x:c>
      <x:c r="M361" s="6" t="str">
        <x:f>IF(AND(NOT(COUNTA(A361:F361)=0),K361=""),INDEX('Rules'!$D$7:$D$26,MATCH(SUBSTITUTE(SUBSTITUTE(SUBSTITUTE(SUBSTITUTE("type:"&amp;B361,"%","%25"),"~","%7E"),"*","%2A"),"?","%3F"),'Rules'!$G$7:$G$26,0)),"")</x:f>
      </x:c>
      <x:c r="N361" s="5" t="str">
        <x:f>IF(COUNTA(A361:F361)=0,"",SUBSTITUTE(SUBSTITUTE(SUBSTITUTE(SUBSTITUTE("id:"&amp;A361,"%","%25"),"~","%7E"),"*","%2A"),"?","%3F"))</x:f>
      </x:c>
    </x:row>
    <x:row r="362" ht="22" customHeight="1">
      <x:c r="A362" s="3"/>
      <x:c r="B362" s="3"/>
      <x:c r="C362" s="3"/>
      <x:c r="D362" s="4"/>
      <x:c r="E362" s="4"/>
      <x:c r="F362" s="4"/>
      <x:c r="G362" s="5" t="str">
        <x:f>IF(COUNTA(A362:F362)=0,"",IF(K362&lt;&gt;"","Review",IF(I362&lt;0,"Overdue",IF(I362=0,"Due now",IF(I362&lt;=M362,"Due soon","Not due")))))</x:f>
      </x:c>
      <x:c r="H362" s="5" t="str">
        <x:f>IF(OR(COUNTA(A362:F362)=0,COUNTIFS('Rules'!$G$7:$G$26,"="&amp;(SUBSTITUTE(SUBSTITUTE(SUBSTITUTE(SUBSTITUTE("type:"&amp;B362,"%","%25"),"~","%7E"),"*","%2A"),"?","%3F")))&lt;&gt;1),"",IF(OR(INDEX('Rules'!$B$7:$B$26,MATCH(SUBSTITUTE(SUBSTITUTE(SUBSTITUTE(SUBSTITUTE("type:"&amp;B362,"%","%25"),"~","%7E"),"*","%2A"),"?","%3F"),'Rules'!$G$7:$G$26,0))="hours",INDEX('Rules'!$B$7:$B$26,MATCH(SUBSTITUTE(SUBSTITUTE(SUBSTITUTE(SUBSTITUTE("type:"&amp;B362,"%","%25"),"~","%7E"),"*","%2A"),"?","%3F"),'Rules'!$G$7:$G$26,0))="km"),INDEX('Rules'!$B$7:$B$26,MATCH(SUBSTITUTE(SUBSTITUTE(SUBSTITUTE(SUBSTITUTE("type:"&amp;B362,"%","%25"),"~","%7E"),"*","%2A"),"?","%3F"),'Rules'!$G$7:$G$26,0)),""))</x:f>
      </x:c>
      <x:c r="I362" s="6" t="str">
        <x:f>IF(AND(NOT(COUNTA(A362:F362)=0),K362=""),ROUND(J362-D362,3),"")</x:f>
      </x:c>
      <x:c r="J362" s="6" t="str">
        <x:f>IF(AND(NOT(COUNTA(A362:F362)=0),K362=""),ROUND(F362+L362,3),"")</x:f>
      </x:c>
      <x:c r="K362" s="5" t="str">
        <x:f>IF(COUNTA(A362:F362)=0,"",IF(A362="","Missing equipment ID",IF(COUNTIFS($N$8:$N$2007,"="&amp;N362)&gt;1,"Duplicate equipment ID",IF(B362="","Missing type",IF(COUNTIFS('Rules'!$G$7:$G$26,"="&amp;(SUBSTITUTE(SUBSTITUTE(SUBSTITUTE(SUBSTITUTE("type:"&amp;B362,"%","%25"),"~","%7E"),"*","%2A"),"?","%3F")))=0,"Unknown type",IF(COUNTIFS('Rules'!$G$7:$G$26,"="&amp;(SUBSTITUTE(SUBSTITUTE(SUBSTITUTE(SUBSTITUTE("type:"&amp;B362,"%","%25"),"~","%7E"),"*","%2A"),"?","%3F")))&gt;1,"Duplicate type",IF(INDEX('Rules'!$F$7:$F$26,MATCH(SUBSTITUTE(SUBSTITUTE(SUBSTITUTE(SUBSTITUTE("type:"&amp;B362,"%","%25"),"~","%7E"),"*","%2A"),"?","%3F"),'Rules'!$G$7:$G$26,0))&lt;&gt;"",INDEX('Rules'!$F$7:$F$26,MATCH(SUBSTITUTE(SUBSTITUTE(SUBSTITUTE(SUBSTITUTE("type:"&amp;B362,"%","%25"),"~","%7E"),"*","%2A"),"?","%3F"),'Rules'!$G$7:$G$26,0)),IF(AND(C362&lt;&gt;"",C362&lt;&gt;INDEX('Rules'!$B$7:$B$26,MATCH(SUBSTITUTE(SUBSTITUTE(SUBSTITUTE(SUBSTITUTE("type:"&amp;B362,"%","%25"),"~","%7E"),"*","%2A"),"?","%3F"),'Rules'!$G$7:$G$26,0))),"Unit mismatch",IF(IF(NOT(ISNUMBER(D362)),TRUE,OR(D362&lt;0,D362&gt;999999999,ROUND(D362,3)&lt;&gt;D362)),"Invalid current reading",IF(AND(E362&lt;&gt;"",IF(NOT(ISNUMBER(E362)),TRUE,OR(E362&lt;0,E362&gt;999999999,ROUND(E362,3)&lt;&gt;E362))),"Invalid previous reading",IF(IF(NOT(ISNUMBER(F362)),TRUE,OR(F362&lt;0,F362&gt;999999999,ROUND(F362,3)&lt;&gt;F362)),"Invalid last service",IF(AND(E362&lt;&gt;"",D362&lt;E362),"Decreased reading",IF(F362&gt;D362,"Last service above current","")))))))))))))</x:f>
      </x:c>
      <x:c r="L362" s="6" t="str">
        <x:f>IF(AND(NOT(COUNTA(A362:F362)=0),K362=""),INDEX('Rules'!$C$7:$C$26,MATCH(SUBSTITUTE(SUBSTITUTE(SUBSTITUTE(SUBSTITUTE("type:"&amp;B362,"%","%25"),"~","%7E"),"*","%2A"),"?","%3F"),'Rules'!$G$7:$G$26,0)),"")</x:f>
      </x:c>
      <x:c r="M362" s="6" t="str">
        <x:f>IF(AND(NOT(COUNTA(A362:F362)=0),K362=""),INDEX('Rules'!$D$7:$D$26,MATCH(SUBSTITUTE(SUBSTITUTE(SUBSTITUTE(SUBSTITUTE("type:"&amp;B362,"%","%25"),"~","%7E"),"*","%2A"),"?","%3F"),'Rules'!$G$7:$G$26,0)),"")</x:f>
      </x:c>
      <x:c r="N362" s="5" t="str">
        <x:f>IF(COUNTA(A362:F362)=0,"",SUBSTITUTE(SUBSTITUTE(SUBSTITUTE(SUBSTITUTE("id:"&amp;A362,"%","%25"),"~","%7E"),"*","%2A"),"?","%3F"))</x:f>
      </x:c>
    </x:row>
    <x:row r="363" ht="22" customHeight="1">
      <x:c r="A363" s="3"/>
      <x:c r="B363" s="3"/>
      <x:c r="C363" s="3"/>
      <x:c r="D363" s="4"/>
      <x:c r="E363" s="4"/>
      <x:c r="F363" s="4"/>
      <x:c r="G363" s="5" t="str">
        <x:f>IF(COUNTA(A363:F363)=0,"",IF(K363&lt;&gt;"","Review",IF(I363&lt;0,"Overdue",IF(I363=0,"Due now",IF(I363&lt;=M363,"Due soon","Not due")))))</x:f>
      </x:c>
      <x:c r="H363" s="5" t="str">
        <x:f>IF(OR(COUNTA(A363:F363)=0,COUNTIFS('Rules'!$G$7:$G$26,"="&amp;(SUBSTITUTE(SUBSTITUTE(SUBSTITUTE(SUBSTITUTE("type:"&amp;B363,"%","%25"),"~","%7E"),"*","%2A"),"?","%3F")))&lt;&gt;1),"",IF(OR(INDEX('Rules'!$B$7:$B$26,MATCH(SUBSTITUTE(SUBSTITUTE(SUBSTITUTE(SUBSTITUTE("type:"&amp;B363,"%","%25"),"~","%7E"),"*","%2A"),"?","%3F"),'Rules'!$G$7:$G$26,0))="hours",INDEX('Rules'!$B$7:$B$26,MATCH(SUBSTITUTE(SUBSTITUTE(SUBSTITUTE(SUBSTITUTE("type:"&amp;B363,"%","%25"),"~","%7E"),"*","%2A"),"?","%3F"),'Rules'!$G$7:$G$26,0))="km"),INDEX('Rules'!$B$7:$B$26,MATCH(SUBSTITUTE(SUBSTITUTE(SUBSTITUTE(SUBSTITUTE("type:"&amp;B363,"%","%25"),"~","%7E"),"*","%2A"),"?","%3F"),'Rules'!$G$7:$G$26,0)),""))</x:f>
      </x:c>
      <x:c r="I363" s="6" t="str">
        <x:f>IF(AND(NOT(COUNTA(A363:F363)=0),K363=""),ROUND(J363-D363,3),"")</x:f>
      </x:c>
      <x:c r="J363" s="6" t="str">
        <x:f>IF(AND(NOT(COUNTA(A363:F363)=0),K363=""),ROUND(F363+L363,3),"")</x:f>
      </x:c>
      <x:c r="K363" s="5" t="str">
        <x:f>IF(COUNTA(A363:F363)=0,"",IF(A363="","Missing equipment ID",IF(COUNTIFS($N$8:$N$2007,"="&amp;N363)&gt;1,"Duplicate equipment ID",IF(B363="","Missing type",IF(COUNTIFS('Rules'!$G$7:$G$26,"="&amp;(SUBSTITUTE(SUBSTITUTE(SUBSTITUTE(SUBSTITUTE("type:"&amp;B363,"%","%25"),"~","%7E"),"*","%2A"),"?","%3F")))=0,"Unknown type",IF(COUNTIFS('Rules'!$G$7:$G$26,"="&amp;(SUBSTITUTE(SUBSTITUTE(SUBSTITUTE(SUBSTITUTE("type:"&amp;B363,"%","%25"),"~","%7E"),"*","%2A"),"?","%3F")))&gt;1,"Duplicate type",IF(INDEX('Rules'!$F$7:$F$26,MATCH(SUBSTITUTE(SUBSTITUTE(SUBSTITUTE(SUBSTITUTE("type:"&amp;B363,"%","%25"),"~","%7E"),"*","%2A"),"?","%3F"),'Rules'!$G$7:$G$26,0))&lt;&gt;"",INDEX('Rules'!$F$7:$F$26,MATCH(SUBSTITUTE(SUBSTITUTE(SUBSTITUTE(SUBSTITUTE("type:"&amp;B363,"%","%25"),"~","%7E"),"*","%2A"),"?","%3F"),'Rules'!$G$7:$G$26,0)),IF(AND(C363&lt;&gt;"",C363&lt;&gt;INDEX('Rules'!$B$7:$B$26,MATCH(SUBSTITUTE(SUBSTITUTE(SUBSTITUTE(SUBSTITUTE("type:"&amp;B363,"%","%25"),"~","%7E"),"*","%2A"),"?","%3F"),'Rules'!$G$7:$G$26,0))),"Unit mismatch",IF(IF(NOT(ISNUMBER(D363)),TRUE,OR(D363&lt;0,D363&gt;999999999,ROUND(D363,3)&lt;&gt;D363)),"Invalid current reading",IF(AND(E363&lt;&gt;"",IF(NOT(ISNUMBER(E363)),TRUE,OR(E363&lt;0,E363&gt;999999999,ROUND(E363,3)&lt;&gt;E363))),"Invalid previous reading",IF(IF(NOT(ISNUMBER(F363)),TRUE,OR(F363&lt;0,F363&gt;999999999,ROUND(F363,3)&lt;&gt;F363)),"Invalid last service",IF(AND(E363&lt;&gt;"",D363&lt;E363),"Decreased reading",IF(F363&gt;D363,"Last service above current","")))))))))))))</x:f>
      </x:c>
      <x:c r="L363" s="6" t="str">
        <x:f>IF(AND(NOT(COUNTA(A363:F363)=0),K363=""),INDEX('Rules'!$C$7:$C$26,MATCH(SUBSTITUTE(SUBSTITUTE(SUBSTITUTE(SUBSTITUTE("type:"&amp;B363,"%","%25"),"~","%7E"),"*","%2A"),"?","%3F"),'Rules'!$G$7:$G$26,0)),"")</x:f>
      </x:c>
      <x:c r="M363" s="6" t="str">
        <x:f>IF(AND(NOT(COUNTA(A363:F363)=0),K363=""),INDEX('Rules'!$D$7:$D$26,MATCH(SUBSTITUTE(SUBSTITUTE(SUBSTITUTE(SUBSTITUTE("type:"&amp;B363,"%","%25"),"~","%7E"),"*","%2A"),"?","%3F"),'Rules'!$G$7:$G$26,0)),"")</x:f>
      </x:c>
      <x:c r="N363" s="5" t="str">
        <x:f>IF(COUNTA(A363:F363)=0,"",SUBSTITUTE(SUBSTITUTE(SUBSTITUTE(SUBSTITUTE("id:"&amp;A363,"%","%25"),"~","%7E"),"*","%2A"),"?","%3F"))</x:f>
      </x:c>
    </x:row>
    <x:row r="364" ht="22" customHeight="1">
      <x:c r="A364" s="3"/>
      <x:c r="B364" s="3"/>
      <x:c r="C364" s="3"/>
      <x:c r="D364" s="4"/>
      <x:c r="E364" s="4"/>
      <x:c r="F364" s="4"/>
      <x:c r="G364" s="5" t="str">
        <x:f>IF(COUNTA(A364:F364)=0,"",IF(K364&lt;&gt;"","Review",IF(I364&lt;0,"Overdue",IF(I364=0,"Due now",IF(I364&lt;=M364,"Due soon","Not due")))))</x:f>
      </x:c>
      <x:c r="H364" s="5" t="str">
        <x:f>IF(OR(COUNTA(A364:F364)=0,COUNTIFS('Rules'!$G$7:$G$26,"="&amp;(SUBSTITUTE(SUBSTITUTE(SUBSTITUTE(SUBSTITUTE("type:"&amp;B364,"%","%25"),"~","%7E"),"*","%2A"),"?","%3F")))&lt;&gt;1),"",IF(OR(INDEX('Rules'!$B$7:$B$26,MATCH(SUBSTITUTE(SUBSTITUTE(SUBSTITUTE(SUBSTITUTE("type:"&amp;B364,"%","%25"),"~","%7E"),"*","%2A"),"?","%3F"),'Rules'!$G$7:$G$26,0))="hours",INDEX('Rules'!$B$7:$B$26,MATCH(SUBSTITUTE(SUBSTITUTE(SUBSTITUTE(SUBSTITUTE("type:"&amp;B364,"%","%25"),"~","%7E"),"*","%2A"),"?","%3F"),'Rules'!$G$7:$G$26,0))="km"),INDEX('Rules'!$B$7:$B$26,MATCH(SUBSTITUTE(SUBSTITUTE(SUBSTITUTE(SUBSTITUTE("type:"&amp;B364,"%","%25"),"~","%7E"),"*","%2A"),"?","%3F"),'Rules'!$G$7:$G$26,0)),""))</x:f>
      </x:c>
      <x:c r="I364" s="6" t="str">
        <x:f>IF(AND(NOT(COUNTA(A364:F364)=0),K364=""),ROUND(J364-D364,3),"")</x:f>
      </x:c>
      <x:c r="J364" s="6" t="str">
        <x:f>IF(AND(NOT(COUNTA(A364:F364)=0),K364=""),ROUND(F364+L364,3),"")</x:f>
      </x:c>
      <x:c r="K364" s="5" t="str">
        <x:f>IF(COUNTA(A364:F364)=0,"",IF(A364="","Missing equipment ID",IF(COUNTIFS($N$8:$N$2007,"="&amp;N364)&gt;1,"Duplicate equipment ID",IF(B364="","Missing type",IF(COUNTIFS('Rules'!$G$7:$G$26,"="&amp;(SUBSTITUTE(SUBSTITUTE(SUBSTITUTE(SUBSTITUTE("type:"&amp;B364,"%","%25"),"~","%7E"),"*","%2A"),"?","%3F")))=0,"Unknown type",IF(COUNTIFS('Rules'!$G$7:$G$26,"="&amp;(SUBSTITUTE(SUBSTITUTE(SUBSTITUTE(SUBSTITUTE("type:"&amp;B364,"%","%25"),"~","%7E"),"*","%2A"),"?","%3F")))&gt;1,"Duplicate type",IF(INDEX('Rules'!$F$7:$F$26,MATCH(SUBSTITUTE(SUBSTITUTE(SUBSTITUTE(SUBSTITUTE("type:"&amp;B364,"%","%25"),"~","%7E"),"*","%2A"),"?","%3F"),'Rules'!$G$7:$G$26,0))&lt;&gt;"",INDEX('Rules'!$F$7:$F$26,MATCH(SUBSTITUTE(SUBSTITUTE(SUBSTITUTE(SUBSTITUTE("type:"&amp;B364,"%","%25"),"~","%7E"),"*","%2A"),"?","%3F"),'Rules'!$G$7:$G$26,0)),IF(AND(C364&lt;&gt;"",C364&lt;&gt;INDEX('Rules'!$B$7:$B$26,MATCH(SUBSTITUTE(SUBSTITUTE(SUBSTITUTE(SUBSTITUTE("type:"&amp;B364,"%","%25"),"~","%7E"),"*","%2A"),"?","%3F"),'Rules'!$G$7:$G$26,0))),"Unit mismatch",IF(IF(NOT(ISNUMBER(D364)),TRUE,OR(D364&lt;0,D364&gt;999999999,ROUND(D364,3)&lt;&gt;D364)),"Invalid current reading",IF(AND(E364&lt;&gt;"",IF(NOT(ISNUMBER(E364)),TRUE,OR(E364&lt;0,E364&gt;999999999,ROUND(E364,3)&lt;&gt;E364))),"Invalid previous reading",IF(IF(NOT(ISNUMBER(F364)),TRUE,OR(F364&lt;0,F364&gt;999999999,ROUND(F364,3)&lt;&gt;F364)),"Invalid last service",IF(AND(E364&lt;&gt;"",D364&lt;E364),"Decreased reading",IF(F364&gt;D364,"Last service above current","")))))))))))))</x:f>
      </x:c>
      <x:c r="L364" s="6" t="str">
        <x:f>IF(AND(NOT(COUNTA(A364:F364)=0),K364=""),INDEX('Rules'!$C$7:$C$26,MATCH(SUBSTITUTE(SUBSTITUTE(SUBSTITUTE(SUBSTITUTE("type:"&amp;B364,"%","%25"),"~","%7E"),"*","%2A"),"?","%3F"),'Rules'!$G$7:$G$26,0)),"")</x:f>
      </x:c>
      <x:c r="M364" s="6" t="str">
        <x:f>IF(AND(NOT(COUNTA(A364:F364)=0),K364=""),INDEX('Rules'!$D$7:$D$26,MATCH(SUBSTITUTE(SUBSTITUTE(SUBSTITUTE(SUBSTITUTE("type:"&amp;B364,"%","%25"),"~","%7E"),"*","%2A"),"?","%3F"),'Rules'!$G$7:$G$26,0)),"")</x:f>
      </x:c>
      <x:c r="N364" s="5" t="str">
        <x:f>IF(COUNTA(A364:F364)=0,"",SUBSTITUTE(SUBSTITUTE(SUBSTITUTE(SUBSTITUTE("id:"&amp;A364,"%","%25"),"~","%7E"),"*","%2A"),"?","%3F"))</x:f>
      </x:c>
    </x:row>
    <x:row r="365" ht="22" customHeight="1">
      <x:c r="A365" s="3"/>
      <x:c r="B365" s="3"/>
      <x:c r="C365" s="3"/>
      <x:c r="D365" s="4"/>
      <x:c r="E365" s="4"/>
      <x:c r="F365" s="4"/>
      <x:c r="G365" s="5" t="str">
        <x:f>IF(COUNTA(A365:F365)=0,"",IF(K365&lt;&gt;"","Review",IF(I365&lt;0,"Overdue",IF(I365=0,"Due now",IF(I365&lt;=M365,"Due soon","Not due")))))</x:f>
      </x:c>
      <x:c r="H365" s="5" t="str">
        <x:f>IF(OR(COUNTA(A365:F365)=0,COUNTIFS('Rules'!$G$7:$G$26,"="&amp;(SUBSTITUTE(SUBSTITUTE(SUBSTITUTE(SUBSTITUTE("type:"&amp;B365,"%","%25"),"~","%7E"),"*","%2A"),"?","%3F")))&lt;&gt;1),"",IF(OR(INDEX('Rules'!$B$7:$B$26,MATCH(SUBSTITUTE(SUBSTITUTE(SUBSTITUTE(SUBSTITUTE("type:"&amp;B365,"%","%25"),"~","%7E"),"*","%2A"),"?","%3F"),'Rules'!$G$7:$G$26,0))="hours",INDEX('Rules'!$B$7:$B$26,MATCH(SUBSTITUTE(SUBSTITUTE(SUBSTITUTE(SUBSTITUTE("type:"&amp;B365,"%","%25"),"~","%7E"),"*","%2A"),"?","%3F"),'Rules'!$G$7:$G$26,0))="km"),INDEX('Rules'!$B$7:$B$26,MATCH(SUBSTITUTE(SUBSTITUTE(SUBSTITUTE(SUBSTITUTE("type:"&amp;B365,"%","%25"),"~","%7E"),"*","%2A"),"?","%3F"),'Rules'!$G$7:$G$26,0)),""))</x:f>
      </x:c>
      <x:c r="I365" s="6" t="str">
        <x:f>IF(AND(NOT(COUNTA(A365:F365)=0),K365=""),ROUND(J365-D365,3),"")</x:f>
      </x:c>
      <x:c r="J365" s="6" t="str">
        <x:f>IF(AND(NOT(COUNTA(A365:F365)=0),K365=""),ROUND(F365+L365,3),"")</x:f>
      </x:c>
      <x:c r="K365" s="5" t="str">
        <x:f>IF(COUNTA(A365:F365)=0,"",IF(A365="","Missing equipment ID",IF(COUNTIFS($N$8:$N$2007,"="&amp;N365)&gt;1,"Duplicate equipment ID",IF(B365="","Missing type",IF(COUNTIFS('Rules'!$G$7:$G$26,"="&amp;(SUBSTITUTE(SUBSTITUTE(SUBSTITUTE(SUBSTITUTE("type:"&amp;B365,"%","%25"),"~","%7E"),"*","%2A"),"?","%3F")))=0,"Unknown type",IF(COUNTIFS('Rules'!$G$7:$G$26,"="&amp;(SUBSTITUTE(SUBSTITUTE(SUBSTITUTE(SUBSTITUTE("type:"&amp;B365,"%","%25"),"~","%7E"),"*","%2A"),"?","%3F")))&gt;1,"Duplicate type",IF(INDEX('Rules'!$F$7:$F$26,MATCH(SUBSTITUTE(SUBSTITUTE(SUBSTITUTE(SUBSTITUTE("type:"&amp;B365,"%","%25"),"~","%7E"),"*","%2A"),"?","%3F"),'Rules'!$G$7:$G$26,0))&lt;&gt;"",INDEX('Rules'!$F$7:$F$26,MATCH(SUBSTITUTE(SUBSTITUTE(SUBSTITUTE(SUBSTITUTE("type:"&amp;B365,"%","%25"),"~","%7E"),"*","%2A"),"?","%3F"),'Rules'!$G$7:$G$26,0)),IF(AND(C365&lt;&gt;"",C365&lt;&gt;INDEX('Rules'!$B$7:$B$26,MATCH(SUBSTITUTE(SUBSTITUTE(SUBSTITUTE(SUBSTITUTE("type:"&amp;B365,"%","%25"),"~","%7E"),"*","%2A"),"?","%3F"),'Rules'!$G$7:$G$26,0))),"Unit mismatch",IF(IF(NOT(ISNUMBER(D365)),TRUE,OR(D365&lt;0,D365&gt;999999999,ROUND(D365,3)&lt;&gt;D365)),"Invalid current reading",IF(AND(E365&lt;&gt;"",IF(NOT(ISNUMBER(E365)),TRUE,OR(E365&lt;0,E365&gt;999999999,ROUND(E365,3)&lt;&gt;E365))),"Invalid previous reading",IF(IF(NOT(ISNUMBER(F365)),TRUE,OR(F365&lt;0,F365&gt;999999999,ROUND(F365,3)&lt;&gt;F365)),"Invalid last service",IF(AND(E365&lt;&gt;"",D365&lt;E365),"Decreased reading",IF(F365&gt;D365,"Last service above current","")))))))))))))</x:f>
      </x:c>
      <x:c r="L365" s="6" t="str">
        <x:f>IF(AND(NOT(COUNTA(A365:F365)=0),K365=""),INDEX('Rules'!$C$7:$C$26,MATCH(SUBSTITUTE(SUBSTITUTE(SUBSTITUTE(SUBSTITUTE("type:"&amp;B365,"%","%25"),"~","%7E"),"*","%2A"),"?","%3F"),'Rules'!$G$7:$G$26,0)),"")</x:f>
      </x:c>
      <x:c r="M365" s="6" t="str">
        <x:f>IF(AND(NOT(COUNTA(A365:F365)=0),K365=""),INDEX('Rules'!$D$7:$D$26,MATCH(SUBSTITUTE(SUBSTITUTE(SUBSTITUTE(SUBSTITUTE("type:"&amp;B365,"%","%25"),"~","%7E"),"*","%2A"),"?","%3F"),'Rules'!$G$7:$G$26,0)),"")</x:f>
      </x:c>
      <x:c r="N365" s="5" t="str">
        <x:f>IF(COUNTA(A365:F365)=0,"",SUBSTITUTE(SUBSTITUTE(SUBSTITUTE(SUBSTITUTE("id:"&amp;A365,"%","%25"),"~","%7E"),"*","%2A"),"?","%3F"))</x:f>
      </x:c>
    </x:row>
    <x:row r="366" ht="22" customHeight="1">
      <x:c r="A366" s="3"/>
      <x:c r="B366" s="3"/>
      <x:c r="C366" s="3"/>
      <x:c r="D366" s="4"/>
      <x:c r="E366" s="4"/>
      <x:c r="F366" s="4"/>
      <x:c r="G366" s="5" t="str">
        <x:f>IF(COUNTA(A366:F366)=0,"",IF(K366&lt;&gt;"","Review",IF(I366&lt;0,"Overdue",IF(I366=0,"Due now",IF(I366&lt;=M366,"Due soon","Not due")))))</x:f>
      </x:c>
      <x:c r="H366" s="5" t="str">
        <x:f>IF(OR(COUNTA(A366:F366)=0,COUNTIFS('Rules'!$G$7:$G$26,"="&amp;(SUBSTITUTE(SUBSTITUTE(SUBSTITUTE(SUBSTITUTE("type:"&amp;B366,"%","%25"),"~","%7E"),"*","%2A"),"?","%3F")))&lt;&gt;1),"",IF(OR(INDEX('Rules'!$B$7:$B$26,MATCH(SUBSTITUTE(SUBSTITUTE(SUBSTITUTE(SUBSTITUTE("type:"&amp;B366,"%","%25"),"~","%7E"),"*","%2A"),"?","%3F"),'Rules'!$G$7:$G$26,0))="hours",INDEX('Rules'!$B$7:$B$26,MATCH(SUBSTITUTE(SUBSTITUTE(SUBSTITUTE(SUBSTITUTE("type:"&amp;B366,"%","%25"),"~","%7E"),"*","%2A"),"?","%3F"),'Rules'!$G$7:$G$26,0))="km"),INDEX('Rules'!$B$7:$B$26,MATCH(SUBSTITUTE(SUBSTITUTE(SUBSTITUTE(SUBSTITUTE("type:"&amp;B366,"%","%25"),"~","%7E"),"*","%2A"),"?","%3F"),'Rules'!$G$7:$G$26,0)),""))</x:f>
      </x:c>
      <x:c r="I366" s="6" t="str">
        <x:f>IF(AND(NOT(COUNTA(A366:F366)=0),K366=""),ROUND(J366-D366,3),"")</x:f>
      </x:c>
      <x:c r="J366" s="6" t="str">
        <x:f>IF(AND(NOT(COUNTA(A366:F366)=0),K366=""),ROUND(F366+L366,3),"")</x:f>
      </x:c>
      <x:c r="K366" s="5" t="str">
        <x:f>IF(COUNTA(A366:F366)=0,"",IF(A366="","Missing equipment ID",IF(COUNTIFS($N$8:$N$2007,"="&amp;N366)&gt;1,"Duplicate equipment ID",IF(B366="","Missing type",IF(COUNTIFS('Rules'!$G$7:$G$26,"="&amp;(SUBSTITUTE(SUBSTITUTE(SUBSTITUTE(SUBSTITUTE("type:"&amp;B366,"%","%25"),"~","%7E"),"*","%2A"),"?","%3F")))=0,"Unknown type",IF(COUNTIFS('Rules'!$G$7:$G$26,"="&amp;(SUBSTITUTE(SUBSTITUTE(SUBSTITUTE(SUBSTITUTE("type:"&amp;B366,"%","%25"),"~","%7E"),"*","%2A"),"?","%3F")))&gt;1,"Duplicate type",IF(INDEX('Rules'!$F$7:$F$26,MATCH(SUBSTITUTE(SUBSTITUTE(SUBSTITUTE(SUBSTITUTE("type:"&amp;B366,"%","%25"),"~","%7E"),"*","%2A"),"?","%3F"),'Rules'!$G$7:$G$26,0))&lt;&gt;"",INDEX('Rules'!$F$7:$F$26,MATCH(SUBSTITUTE(SUBSTITUTE(SUBSTITUTE(SUBSTITUTE("type:"&amp;B366,"%","%25"),"~","%7E"),"*","%2A"),"?","%3F"),'Rules'!$G$7:$G$26,0)),IF(AND(C366&lt;&gt;"",C366&lt;&gt;INDEX('Rules'!$B$7:$B$26,MATCH(SUBSTITUTE(SUBSTITUTE(SUBSTITUTE(SUBSTITUTE("type:"&amp;B366,"%","%25"),"~","%7E"),"*","%2A"),"?","%3F"),'Rules'!$G$7:$G$26,0))),"Unit mismatch",IF(IF(NOT(ISNUMBER(D366)),TRUE,OR(D366&lt;0,D366&gt;999999999,ROUND(D366,3)&lt;&gt;D366)),"Invalid current reading",IF(AND(E366&lt;&gt;"",IF(NOT(ISNUMBER(E366)),TRUE,OR(E366&lt;0,E366&gt;999999999,ROUND(E366,3)&lt;&gt;E366))),"Invalid previous reading",IF(IF(NOT(ISNUMBER(F366)),TRUE,OR(F366&lt;0,F366&gt;999999999,ROUND(F366,3)&lt;&gt;F366)),"Invalid last service",IF(AND(E366&lt;&gt;"",D366&lt;E366),"Decreased reading",IF(F366&gt;D366,"Last service above current","")))))))))))))</x:f>
      </x:c>
      <x:c r="L366" s="6" t="str">
        <x:f>IF(AND(NOT(COUNTA(A366:F366)=0),K366=""),INDEX('Rules'!$C$7:$C$26,MATCH(SUBSTITUTE(SUBSTITUTE(SUBSTITUTE(SUBSTITUTE("type:"&amp;B366,"%","%25"),"~","%7E"),"*","%2A"),"?","%3F"),'Rules'!$G$7:$G$26,0)),"")</x:f>
      </x:c>
      <x:c r="M366" s="6" t="str">
        <x:f>IF(AND(NOT(COUNTA(A366:F366)=0),K366=""),INDEX('Rules'!$D$7:$D$26,MATCH(SUBSTITUTE(SUBSTITUTE(SUBSTITUTE(SUBSTITUTE("type:"&amp;B366,"%","%25"),"~","%7E"),"*","%2A"),"?","%3F"),'Rules'!$G$7:$G$26,0)),"")</x:f>
      </x:c>
      <x:c r="N366" s="5" t="str">
        <x:f>IF(COUNTA(A366:F366)=0,"",SUBSTITUTE(SUBSTITUTE(SUBSTITUTE(SUBSTITUTE("id:"&amp;A366,"%","%25"),"~","%7E"),"*","%2A"),"?","%3F"))</x:f>
      </x:c>
    </x:row>
    <x:row r="367" ht="22" customHeight="1">
      <x:c r="A367" s="3"/>
      <x:c r="B367" s="3"/>
      <x:c r="C367" s="3"/>
      <x:c r="D367" s="4"/>
      <x:c r="E367" s="4"/>
      <x:c r="F367" s="4"/>
      <x:c r="G367" s="5" t="str">
        <x:f>IF(COUNTA(A367:F367)=0,"",IF(K367&lt;&gt;"","Review",IF(I367&lt;0,"Overdue",IF(I367=0,"Due now",IF(I367&lt;=M367,"Due soon","Not due")))))</x:f>
      </x:c>
      <x:c r="H367" s="5" t="str">
        <x:f>IF(OR(COUNTA(A367:F367)=0,COUNTIFS('Rules'!$G$7:$G$26,"="&amp;(SUBSTITUTE(SUBSTITUTE(SUBSTITUTE(SUBSTITUTE("type:"&amp;B367,"%","%25"),"~","%7E"),"*","%2A"),"?","%3F")))&lt;&gt;1),"",IF(OR(INDEX('Rules'!$B$7:$B$26,MATCH(SUBSTITUTE(SUBSTITUTE(SUBSTITUTE(SUBSTITUTE("type:"&amp;B367,"%","%25"),"~","%7E"),"*","%2A"),"?","%3F"),'Rules'!$G$7:$G$26,0))="hours",INDEX('Rules'!$B$7:$B$26,MATCH(SUBSTITUTE(SUBSTITUTE(SUBSTITUTE(SUBSTITUTE("type:"&amp;B367,"%","%25"),"~","%7E"),"*","%2A"),"?","%3F"),'Rules'!$G$7:$G$26,0))="km"),INDEX('Rules'!$B$7:$B$26,MATCH(SUBSTITUTE(SUBSTITUTE(SUBSTITUTE(SUBSTITUTE("type:"&amp;B367,"%","%25"),"~","%7E"),"*","%2A"),"?","%3F"),'Rules'!$G$7:$G$26,0)),""))</x:f>
      </x:c>
      <x:c r="I367" s="6" t="str">
        <x:f>IF(AND(NOT(COUNTA(A367:F367)=0),K367=""),ROUND(J367-D367,3),"")</x:f>
      </x:c>
      <x:c r="J367" s="6" t="str">
        <x:f>IF(AND(NOT(COUNTA(A367:F367)=0),K367=""),ROUND(F367+L367,3),"")</x:f>
      </x:c>
      <x:c r="K367" s="5" t="str">
        <x:f>IF(COUNTA(A367:F367)=0,"",IF(A367="","Missing equipment ID",IF(COUNTIFS($N$8:$N$2007,"="&amp;N367)&gt;1,"Duplicate equipment ID",IF(B367="","Missing type",IF(COUNTIFS('Rules'!$G$7:$G$26,"="&amp;(SUBSTITUTE(SUBSTITUTE(SUBSTITUTE(SUBSTITUTE("type:"&amp;B367,"%","%25"),"~","%7E"),"*","%2A"),"?","%3F")))=0,"Unknown type",IF(COUNTIFS('Rules'!$G$7:$G$26,"="&amp;(SUBSTITUTE(SUBSTITUTE(SUBSTITUTE(SUBSTITUTE("type:"&amp;B367,"%","%25"),"~","%7E"),"*","%2A"),"?","%3F")))&gt;1,"Duplicate type",IF(INDEX('Rules'!$F$7:$F$26,MATCH(SUBSTITUTE(SUBSTITUTE(SUBSTITUTE(SUBSTITUTE("type:"&amp;B367,"%","%25"),"~","%7E"),"*","%2A"),"?","%3F"),'Rules'!$G$7:$G$26,0))&lt;&gt;"",INDEX('Rules'!$F$7:$F$26,MATCH(SUBSTITUTE(SUBSTITUTE(SUBSTITUTE(SUBSTITUTE("type:"&amp;B367,"%","%25"),"~","%7E"),"*","%2A"),"?","%3F"),'Rules'!$G$7:$G$26,0)),IF(AND(C367&lt;&gt;"",C367&lt;&gt;INDEX('Rules'!$B$7:$B$26,MATCH(SUBSTITUTE(SUBSTITUTE(SUBSTITUTE(SUBSTITUTE("type:"&amp;B367,"%","%25"),"~","%7E"),"*","%2A"),"?","%3F"),'Rules'!$G$7:$G$26,0))),"Unit mismatch",IF(IF(NOT(ISNUMBER(D367)),TRUE,OR(D367&lt;0,D367&gt;999999999,ROUND(D367,3)&lt;&gt;D367)),"Invalid current reading",IF(AND(E367&lt;&gt;"",IF(NOT(ISNUMBER(E367)),TRUE,OR(E367&lt;0,E367&gt;999999999,ROUND(E367,3)&lt;&gt;E367))),"Invalid previous reading",IF(IF(NOT(ISNUMBER(F367)),TRUE,OR(F367&lt;0,F367&gt;999999999,ROUND(F367,3)&lt;&gt;F367)),"Invalid last service",IF(AND(E367&lt;&gt;"",D367&lt;E367),"Decreased reading",IF(F367&gt;D367,"Last service above current","")))))))))))))</x:f>
      </x:c>
      <x:c r="L367" s="6" t="str">
        <x:f>IF(AND(NOT(COUNTA(A367:F367)=0),K367=""),INDEX('Rules'!$C$7:$C$26,MATCH(SUBSTITUTE(SUBSTITUTE(SUBSTITUTE(SUBSTITUTE("type:"&amp;B367,"%","%25"),"~","%7E"),"*","%2A"),"?","%3F"),'Rules'!$G$7:$G$26,0)),"")</x:f>
      </x:c>
      <x:c r="M367" s="6" t="str">
        <x:f>IF(AND(NOT(COUNTA(A367:F367)=0),K367=""),INDEX('Rules'!$D$7:$D$26,MATCH(SUBSTITUTE(SUBSTITUTE(SUBSTITUTE(SUBSTITUTE("type:"&amp;B367,"%","%25"),"~","%7E"),"*","%2A"),"?","%3F"),'Rules'!$G$7:$G$26,0)),"")</x:f>
      </x:c>
      <x:c r="N367" s="5" t="str">
        <x:f>IF(COUNTA(A367:F367)=0,"",SUBSTITUTE(SUBSTITUTE(SUBSTITUTE(SUBSTITUTE("id:"&amp;A367,"%","%25"),"~","%7E"),"*","%2A"),"?","%3F"))</x:f>
      </x:c>
    </x:row>
    <x:row r="368" ht="22" customHeight="1">
      <x:c r="A368" s="3"/>
      <x:c r="B368" s="3"/>
      <x:c r="C368" s="3"/>
      <x:c r="D368" s="4"/>
      <x:c r="E368" s="4"/>
      <x:c r="F368" s="4"/>
      <x:c r="G368" s="5" t="str">
        <x:f>IF(COUNTA(A368:F368)=0,"",IF(K368&lt;&gt;"","Review",IF(I368&lt;0,"Overdue",IF(I368=0,"Due now",IF(I368&lt;=M368,"Due soon","Not due")))))</x:f>
      </x:c>
      <x:c r="H368" s="5" t="str">
        <x:f>IF(OR(COUNTA(A368:F368)=0,COUNTIFS('Rules'!$G$7:$G$26,"="&amp;(SUBSTITUTE(SUBSTITUTE(SUBSTITUTE(SUBSTITUTE("type:"&amp;B368,"%","%25"),"~","%7E"),"*","%2A"),"?","%3F")))&lt;&gt;1),"",IF(OR(INDEX('Rules'!$B$7:$B$26,MATCH(SUBSTITUTE(SUBSTITUTE(SUBSTITUTE(SUBSTITUTE("type:"&amp;B368,"%","%25"),"~","%7E"),"*","%2A"),"?","%3F"),'Rules'!$G$7:$G$26,0))="hours",INDEX('Rules'!$B$7:$B$26,MATCH(SUBSTITUTE(SUBSTITUTE(SUBSTITUTE(SUBSTITUTE("type:"&amp;B368,"%","%25"),"~","%7E"),"*","%2A"),"?","%3F"),'Rules'!$G$7:$G$26,0))="km"),INDEX('Rules'!$B$7:$B$26,MATCH(SUBSTITUTE(SUBSTITUTE(SUBSTITUTE(SUBSTITUTE("type:"&amp;B368,"%","%25"),"~","%7E"),"*","%2A"),"?","%3F"),'Rules'!$G$7:$G$26,0)),""))</x:f>
      </x:c>
      <x:c r="I368" s="6" t="str">
        <x:f>IF(AND(NOT(COUNTA(A368:F368)=0),K368=""),ROUND(J368-D368,3),"")</x:f>
      </x:c>
      <x:c r="J368" s="6" t="str">
        <x:f>IF(AND(NOT(COUNTA(A368:F368)=0),K368=""),ROUND(F368+L368,3),"")</x:f>
      </x:c>
      <x:c r="K368" s="5" t="str">
        <x:f>IF(COUNTA(A368:F368)=0,"",IF(A368="","Missing equipment ID",IF(COUNTIFS($N$8:$N$2007,"="&amp;N368)&gt;1,"Duplicate equipment ID",IF(B368="","Missing type",IF(COUNTIFS('Rules'!$G$7:$G$26,"="&amp;(SUBSTITUTE(SUBSTITUTE(SUBSTITUTE(SUBSTITUTE("type:"&amp;B368,"%","%25"),"~","%7E"),"*","%2A"),"?","%3F")))=0,"Unknown type",IF(COUNTIFS('Rules'!$G$7:$G$26,"="&amp;(SUBSTITUTE(SUBSTITUTE(SUBSTITUTE(SUBSTITUTE("type:"&amp;B368,"%","%25"),"~","%7E"),"*","%2A"),"?","%3F")))&gt;1,"Duplicate type",IF(INDEX('Rules'!$F$7:$F$26,MATCH(SUBSTITUTE(SUBSTITUTE(SUBSTITUTE(SUBSTITUTE("type:"&amp;B368,"%","%25"),"~","%7E"),"*","%2A"),"?","%3F"),'Rules'!$G$7:$G$26,0))&lt;&gt;"",INDEX('Rules'!$F$7:$F$26,MATCH(SUBSTITUTE(SUBSTITUTE(SUBSTITUTE(SUBSTITUTE("type:"&amp;B368,"%","%25"),"~","%7E"),"*","%2A"),"?","%3F"),'Rules'!$G$7:$G$26,0)),IF(AND(C368&lt;&gt;"",C368&lt;&gt;INDEX('Rules'!$B$7:$B$26,MATCH(SUBSTITUTE(SUBSTITUTE(SUBSTITUTE(SUBSTITUTE("type:"&amp;B368,"%","%25"),"~","%7E"),"*","%2A"),"?","%3F"),'Rules'!$G$7:$G$26,0))),"Unit mismatch",IF(IF(NOT(ISNUMBER(D368)),TRUE,OR(D368&lt;0,D368&gt;999999999,ROUND(D368,3)&lt;&gt;D368)),"Invalid current reading",IF(AND(E368&lt;&gt;"",IF(NOT(ISNUMBER(E368)),TRUE,OR(E368&lt;0,E368&gt;999999999,ROUND(E368,3)&lt;&gt;E368))),"Invalid previous reading",IF(IF(NOT(ISNUMBER(F368)),TRUE,OR(F368&lt;0,F368&gt;999999999,ROUND(F368,3)&lt;&gt;F368)),"Invalid last service",IF(AND(E368&lt;&gt;"",D368&lt;E368),"Decreased reading",IF(F368&gt;D368,"Last service above current","")))))))))))))</x:f>
      </x:c>
      <x:c r="L368" s="6" t="str">
        <x:f>IF(AND(NOT(COUNTA(A368:F368)=0),K368=""),INDEX('Rules'!$C$7:$C$26,MATCH(SUBSTITUTE(SUBSTITUTE(SUBSTITUTE(SUBSTITUTE("type:"&amp;B368,"%","%25"),"~","%7E"),"*","%2A"),"?","%3F"),'Rules'!$G$7:$G$26,0)),"")</x:f>
      </x:c>
      <x:c r="M368" s="6" t="str">
        <x:f>IF(AND(NOT(COUNTA(A368:F368)=0),K368=""),INDEX('Rules'!$D$7:$D$26,MATCH(SUBSTITUTE(SUBSTITUTE(SUBSTITUTE(SUBSTITUTE("type:"&amp;B368,"%","%25"),"~","%7E"),"*","%2A"),"?","%3F"),'Rules'!$G$7:$G$26,0)),"")</x:f>
      </x:c>
      <x:c r="N368" s="5" t="str">
        <x:f>IF(COUNTA(A368:F368)=0,"",SUBSTITUTE(SUBSTITUTE(SUBSTITUTE(SUBSTITUTE("id:"&amp;A368,"%","%25"),"~","%7E"),"*","%2A"),"?","%3F"))</x:f>
      </x:c>
    </x:row>
    <x:row r="369" ht="22" customHeight="1">
      <x:c r="A369" s="3"/>
      <x:c r="B369" s="3"/>
      <x:c r="C369" s="3"/>
      <x:c r="D369" s="4"/>
      <x:c r="E369" s="4"/>
      <x:c r="F369" s="4"/>
      <x:c r="G369" s="5" t="str">
        <x:f>IF(COUNTA(A369:F369)=0,"",IF(K369&lt;&gt;"","Review",IF(I369&lt;0,"Overdue",IF(I369=0,"Due now",IF(I369&lt;=M369,"Due soon","Not due")))))</x:f>
      </x:c>
      <x:c r="H369" s="5" t="str">
        <x:f>IF(OR(COUNTA(A369:F369)=0,COUNTIFS('Rules'!$G$7:$G$26,"="&amp;(SUBSTITUTE(SUBSTITUTE(SUBSTITUTE(SUBSTITUTE("type:"&amp;B369,"%","%25"),"~","%7E"),"*","%2A"),"?","%3F")))&lt;&gt;1),"",IF(OR(INDEX('Rules'!$B$7:$B$26,MATCH(SUBSTITUTE(SUBSTITUTE(SUBSTITUTE(SUBSTITUTE("type:"&amp;B369,"%","%25"),"~","%7E"),"*","%2A"),"?","%3F"),'Rules'!$G$7:$G$26,0))="hours",INDEX('Rules'!$B$7:$B$26,MATCH(SUBSTITUTE(SUBSTITUTE(SUBSTITUTE(SUBSTITUTE("type:"&amp;B369,"%","%25"),"~","%7E"),"*","%2A"),"?","%3F"),'Rules'!$G$7:$G$26,0))="km"),INDEX('Rules'!$B$7:$B$26,MATCH(SUBSTITUTE(SUBSTITUTE(SUBSTITUTE(SUBSTITUTE("type:"&amp;B369,"%","%25"),"~","%7E"),"*","%2A"),"?","%3F"),'Rules'!$G$7:$G$26,0)),""))</x:f>
      </x:c>
      <x:c r="I369" s="6" t="str">
        <x:f>IF(AND(NOT(COUNTA(A369:F369)=0),K369=""),ROUND(J369-D369,3),"")</x:f>
      </x:c>
      <x:c r="J369" s="6" t="str">
        <x:f>IF(AND(NOT(COUNTA(A369:F369)=0),K369=""),ROUND(F369+L369,3),"")</x:f>
      </x:c>
      <x:c r="K369" s="5" t="str">
        <x:f>IF(COUNTA(A369:F369)=0,"",IF(A369="","Missing equipment ID",IF(COUNTIFS($N$8:$N$2007,"="&amp;N369)&gt;1,"Duplicate equipment ID",IF(B369="","Missing type",IF(COUNTIFS('Rules'!$G$7:$G$26,"="&amp;(SUBSTITUTE(SUBSTITUTE(SUBSTITUTE(SUBSTITUTE("type:"&amp;B369,"%","%25"),"~","%7E"),"*","%2A"),"?","%3F")))=0,"Unknown type",IF(COUNTIFS('Rules'!$G$7:$G$26,"="&amp;(SUBSTITUTE(SUBSTITUTE(SUBSTITUTE(SUBSTITUTE("type:"&amp;B369,"%","%25"),"~","%7E"),"*","%2A"),"?","%3F")))&gt;1,"Duplicate type",IF(INDEX('Rules'!$F$7:$F$26,MATCH(SUBSTITUTE(SUBSTITUTE(SUBSTITUTE(SUBSTITUTE("type:"&amp;B369,"%","%25"),"~","%7E"),"*","%2A"),"?","%3F"),'Rules'!$G$7:$G$26,0))&lt;&gt;"",INDEX('Rules'!$F$7:$F$26,MATCH(SUBSTITUTE(SUBSTITUTE(SUBSTITUTE(SUBSTITUTE("type:"&amp;B369,"%","%25"),"~","%7E"),"*","%2A"),"?","%3F"),'Rules'!$G$7:$G$26,0)),IF(AND(C369&lt;&gt;"",C369&lt;&gt;INDEX('Rules'!$B$7:$B$26,MATCH(SUBSTITUTE(SUBSTITUTE(SUBSTITUTE(SUBSTITUTE("type:"&amp;B369,"%","%25"),"~","%7E"),"*","%2A"),"?","%3F"),'Rules'!$G$7:$G$26,0))),"Unit mismatch",IF(IF(NOT(ISNUMBER(D369)),TRUE,OR(D369&lt;0,D369&gt;999999999,ROUND(D369,3)&lt;&gt;D369)),"Invalid current reading",IF(AND(E369&lt;&gt;"",IF(NOT(ISNUMBER(E369)),TRUE,OR(E369&lt;0,E369&gt;999999999,ROUND(E369,3)&lt;&gt;E369))),"Invalid previous reading",IF(IF(NOT(ISNUMBER(F369)),TRUE,OR(F369&lt;0,F369&gt;999999999,ROUND(F369,3)&lt;&gt;F369)),"Invalid last service",IF(AND(E369&lt;&gt;"",D369&lt;E369),"Decreased reading",IF(F369&gt;D369,"Last service above current","")))))))))))))</x:f>
      </x:c>
      <x:c r="L369" s="6" t="str">
        <x:f>IF(AND(NOT(COUNTA(A369:F369)=0),K369=""),INDEX('Rules'!$C$7:$C$26,MATCH(SUBSTITUTE(SUBSTITUTE(SUBSTITUTE(SUBSTITUTE("type:"&amp;B369,"%","%25"),"~","%7E"),"*","%2A"),"?","%3F"),'Rules'!$G$7:$G$26,0)),"")</x:f>
      </x:c>
      <x:c r="M369" s="6" t="str">
        <x:f>IF(AND(NOT(COUNTA(A369:F369)=0),K369=""),INDEX('Rules'!$D$7:$D$26,MATCH(SUBSTITUTE(SUBSTITUTE(SUBSTITUTE(SUBSTITUTE("type:"&amp;B369,"%","%25"),"~","%7E"),"*","%2A"),"?","%3F"),'Rules'!$G$7:$G$26,0)),"")</x:f>
      </x:c>
      <x:c r="N369" s="5" t="str">
        <x:f>IF(COUNTA(A369:F369)=0,"",SUBSTITUTE(SUBSTITUTE(SUBSTITUTE(SUBSTITUTE("id:"&amp;A369,"%","%25"),"~","%7E"),"*","%2A"),"?","%3F"))</x:f>
      </x:c>
    </x:row>
    <x:row r="370" ht="22" customHeight="1">
      <x:c r="A370" s="3"/>
      <x:c r="B370" s="3"/>
      <x:c r="C370" s="3"/>
      <x:c r="D370" s="4"/>
      <x:c r="E370" s="4"/>
      <x:c r="F370" s="4"/>
      <x:c r="G370" s="5" t="str">
        <x:f>IF(COUNTA(A370:F370)=0,"",IF(K370&lt;&gt;"","Review",IF(I370&lt;0,"Overdue",IF(I370=0,"Due now",IF(I370&lt;=M370,"Due soon","Not due")))))</x:f>
      </x:c>
      <x:c r="H370" s="5" t="str">
        <x:f>IF(OR(COUNTA(A370:F370)=0,COUNTIFS('Rules'!$G$7:$G$26,"="&amp;(SUBSTITUTE(SUBSTITUTE(SUBSTITUTE(SUBSTITUTE("type:"&amp;B370,"%","%25"),"~","%7E"),"*","%2A"),"?","%3F")))&lt;&gt;1),"",IF(OR(INDEX('Rules'!$B$7:$B$26,MATCH(SUBSTITUTE(SUBSTITUTE(SUBSTITUTE(SUBSTITUTE("type:"&amp;B370,"%","%25"),"~","%7E"),"*","%2A"),"?","%3F"),'Rules'!$G$7:$G$26,0))="hours",INDEX('Rules'!$B$7:$B$26,MATCH(SUBSTITUTE(SUBSTITUTE(SUBSTITUTE(SUBSTITUTE("type:"&amp;B370,"%","%25"),"~","%7E"),"*","%2A"),"?","%3F"),'Rules'!$G$7:$G$26,0))="km"),INDEX('Rules'!$B$7:$B$26,MATCH(SUBSTITUTE(SUBSTITUTE(SUBSTITUTE(SUBSTITUTE("type:"&amp;B370,"%","%25"),"~","%7E"),"*","%2A"),"?","%3F"),'Rules'!$G$7:$G$26,0)),""))</x:f>
      </x:c>
      <x:c r="I370" s="6" t="str">
        <x:f>IF(AND(NOT(COUNTA(A370:F370)=0),K370=""),ROUND(J370-D370,3),"")</x:f>
      </x:c>
      <x:c r="J370" s="6" t="str">
        <x:f>IF(AND(NOT(COUNTA(A370:F370)=0),K370=""),ROUND(F370+L370,3),"")</x:f>
      </x:c>
      <x:c r="K370" s="5" t="str">
        <x:f>IF(COUNTA(A370:F370)=0,"",IF(A370="","Missing equipment ID",IF(COUNTIFS($N$8:$N$2007,"="&amp;N370)&gt;1,"Duplicate equipment ID",IF(B370="","Missing type",IF(COUNTIFS('Rules'!$G$7:$G$26,"="&amp;(SUBSTITUTE(SUBSTITUTE(SUBSTITUTE(SUBSTITUTE("type:"&amp;B370,"%","%25"),"~","%7E"),"*","%2A"),"?","%3F")))=0,"Unknown type",IF(COUNTIFS('Rules'!$G$7:$G$26,"="&amp;(SUBSTITUTE(SUBSTITUTE(SUBSTITUTE(SUBSTITUTE("type:"&amp;B370,"%","%25"),"~","%7E"),"*","%2A"),"?","%3F")))&gt;1,"Duplicate type",IF(INDEX('Rules'!$F$7:$F$26,MATCH(SUBSTITUTE(SUBSTITUTE(SUBSTITUTE(SUBSTITUTE("type:"&amp;B370,"%","%25"),"~","%7E"),"*","%2A"),"?","%3F"),'Rules'!$G$7:$G$26,0))&lt;&gt;"",INDEX('Rules'!$F$7:$F$26,MATCH(SUBSTITUTE(SUBSTITUTE(SUBSTITUTE(SUBSTITUTE("type:"&amp;B370,"%","%25"),"~","%7E"),"*","%2A"),"?","%3F"),'Rules'!$G$7:$G$26,0)),IF(AND(C370&lt;&gt;"",C370&lt;&gt;INDEX('Rules'!$B$7:$B$26,MATCH(SUBSTITUTE(SUBSTITUTE(SUBSTITUTE(SUBSTITUTE("type:"&amp;B370,"%","%25"),"~","%7E"),"*","%2A"),"?","%3F"),'Rules'!$G$7:$G$26,0))),"Unit mismatch",IF(IF(NOT(ISNUMBER(D370)),TRUE,OR(D370&lt;0,D370&gt;999999999,ROUND(D370,3)&lt;&gt;D370)),"Invalid current reading",IF(AND(E370&lt;&gt;"",IF(NOT(ISNUMBER(E370)),TRUE,OR(E370&lt;0,E370&gt;999999999,ROUND(E370,3)&lt;&gt;E370))),"Invalid previous reading",IF(IF(NOT(ISNUMBER(F370)),TRUE,OR(F370&lt;0,F370&gt;999999999,ROUND(F370,3)&lt;&gt;F370)),"Invalid last service",IF(AND(E370&lt;&gt;"",D370&lt;E370),"Decreased reading",IF(F370&gt;D370,"Last service above current","")))))))))))))</x:f>
      </x:c>
      <x:c r="L370" s="6" t="str">
        <x:f>IF(AND(NOT(COUNTA(A370:F370)=0),K370=""),INDEX('Rules'!$C$7:$C$26,MATCH(SUBSTITUTE(SUBSTITUTE(SUBSTITUTE(SUBSTITUTE("type:"&amp;B370,"%","%25"),"~","%7E"),"*","%2A"),"?","%3F"),'Rules'!$G$7:$G$26,0)),"")</x:f>
      </x:c>
      <x:c r="M370" s="6" t="str">
        <x:f>IF(AND(NOT(COUNTA(A370:F370)=0),K370=""),INDEX('Rules'!$D$7:$D$26,MATCH(SUBSTITUTE(SUBSTITUTE(SUBSTITUTE(SUBSTITUTE("type:"&amp;B370,"%","%25"),"~","%7E"),"*","%2A"),"?","%3F"),'Rules'!$G$7:$G$26,0)),"")</x:f>
      </x:c>
      <x:c r="N370" s="5" t="str">
        <x:f>IF(COUNTA(A370:F370)=0,"",SUBSTITUTE(SUBSTITUTE(SUBSTITUTE(SUBSTITUTE("id:"&amp;A370,"%","%25"),"~","%7E"),"*","%2A"),"?","%3F"))</x:f>
      </x:c>
    </x:row>
    <x:row r="371" ht="22" customHeight="1">
      <x:c r="A371" s="3"/>
      <x:c r="B371" s="3"/>
      <x:c r="C371" s="3"/>
      <x:c r="D371" s="4"/>
      <x:c r="E371" s="4"/>
      <x:c r="F371" s="4"/>
      <x:c r="G371" s="5" t="str">
        <x:f>IF(COUNTA(A371:F371)=0,"",IF(K371&lt;&gt;"","Review",IF(I371&lt;0,"Overdue",IF(I371=0,"Due now",IF(I371&lt;=M371,"Due soon","Not due")))))</x:f>
      </x:c>
      <x:c r="H371" s="5" t="str">
        <x:f>IF(OR(COUNTA(A371:F371)=0,COUNTIFS('Rules'!$G$7:$G$26,"="&amp;(SUBSTITUTE(SUBSTITUTE(SUBSTITUTE(SUBSTITUTE("type:"&amp;B371,"%","%25"),"~","%7E"),"*","%2A"),"?","%3F")))&lt;&gt;1),"",IF(OR(INDEX('Rules'!$B$7:$B$26,MATCH(SUBSTITUTE(SUBSTITUTE(SUBSTITUTE(SUBSTITUTE("type:"&amp;B371,"%","%25"),"~","%7E"),"*","%2A"),"?","%3F"),'Rules'!$G$7:$G$26,0))="hours",INDEX('Rules'!$B$7:$B$26,MATCH(SUBSTITUTE(SUBSTITUTE(SUBSTITUTE(SUBSTITUTE("type:"&amp;B371,"%","%25"),"~","%7E"),"*","%2A"),"?","%3F"),'Rules'!$G$7:$G$26,0))="km"),INDEX('Rules'!$B$7:$B$26,MATCH(SUBSTITUTE(SUBSTITUTE(SUBSTITUTE(SUBSTITUTE("type:"&amp;B371,"%","%25"),"~","%7E"),"*","%2A"),"?","%3F"),'Rules'!$G$7:$G$26,0)),""))</x:f>
      </x:c>
      <x:c r="I371" s="6" t="str">
        <x:f>IF(AND(NOT(COUNTA(A371:F371)=0),K371=""),ROUND(J371-D371,3),"")</x:f>
      </x:c>
      <x:c r="J371" s="6" t="str">
        <x:f>IF(AND(NOT(COUNTA(A371:F371)=0),K371=""),ROUND(F371+L371,3),"")</x:f>
      </x:c>
      <x:c r="K371" s="5" t="str">
        <x:f>IF(COUNTA(A371:F371)=0,"",IF(A371="","Missing equipment ID",IF(COUNTIFS($N$8:$N$2007,"="&amp;N371)&gt;1,"Duplicate equipment ID",IF(B371="","Missing type",IF(COUNTIFS('Rules'!$G$7:$G$26,"="&amp;(SUBSTITUTE(SUBSTITUTE(SUBSTITUTE(SUBSTITUTE("type:"&amp;B371,"%","%25"),"~","%7E"),"*","%2A"),"?","%3F")))=0,"Unknown type",IF(COUNTIFS('Rules'!$G$7:$G$26,"="&amp;(SUBSTITUTE(SUBSTITUTE(SUBSTITUTE(SUBSTITUTE("type:"&amp;B371,"%","%25"),"~","%7E"),"*","%2A"),"?","%3F")))&gt;1,"Duplicate type",IF(INDEX('Rules'!$F$7:$F$26,MATCH(SUBSTITUTE(SUBSTITUTE(SUBSTITUTE(SUBSTITUTE("type:"&amp;B371,"%","%25"),"~","%7E"),"*","%2A"),"?","%3F"),'Rules'!$G$7:$G$26,0))&lt;&gt;"",INDEX('Rules'!$F$7:$F$26,MATCH(SUBSTITUTE(SUBSTITUTE(SUBSTITUTE(SUBSTITUTE("type:"&amp;B371,"%","%25"),"~","%7E"),"*","%2A"),"?","%3F"),'Rules'!$G$7:$G$26,0)),IF(AND(C371&lt;&gt;"",C371&lt;&gt;INDEX('Rules'!$B$7:$B$26,MATCH(SUBSTITUTE(SUBSTITUTE(SUBSTITUTE(SUBSTITUTE("type:"&amp;B371,"%","%25"),"~","%7E"),"*","%2A"),"?","%3F"),'Rules'!$G$7:$G$26,0))),"Unit mismatch",IF(IF(NOT(ISNUMBER(D371)),TRUE,OR(D371&lt;0,D371&gt;999999999,ROUND(D371,3)&lt;&gt;D371)),"Invalid current reading",IF(AND(E371&lt;&gt;"",IF(NOT(ISNUMBER(E371)),TRUE,OR(E371&lt;0,E371&gt;999999999,ROUND(E371,3)&lt;&gt;E371))),"Invalid previous reading",IF(IF(NOT(ISNUMBER(F371)),TRUE,OR(F371&lt;0,F371&gt;999999999,ROUND(F371,3)&lt;&gt;F371)),"Invalid last service",IF(AND(E371&lt;&gt;"",D371&lt;E371),"Decreased reading",IF(F371&gt;D371,"Last service above current","")))))))))))))</x:f>
      </x:c>
      <x:c r="L371" s="6" t="str">
        <x:f>IF(AND(NOT(COUNTA(A371:F371)=0),K371=""),INDEX('Rules'!$C$7:$C$26,MATCH(SUBSTITUTE(SUBSTITUTE(SUBSTITUTE(SUBSTITUTE("type:"&amp;B371,"%","%25"),"~","%7E"),"*","%2A"),"?","%3F"),'Rules'!$G$7:$G$26,0)),"")</x:f>
      </x:c>
      <x:c r="M371" s="6" t="str">
        <x:f>IF(AND(NOT(COUNTA(A371:F371)=0),K371=""),INDEX('Rules'!$D$7:$D$26,MATCH(SUBSTITUTE(SUBSTITUTE(SUBSTITUTE(SUBSTITUTE("type:"&amp;B371,"%","%25"),"~","%7E"),"*","%2A"),"?","%3F"),'Rules'!$G$7:$G$26,0)),"")</x:f>
      </x:c>
      <x:c r="N371" s="5" t="str">
        <x:f>IF(COUNTA(A371:F371)=0,"",SUBSTITUTE(SUBSTITUTE(SUBSTITUTE(SUBSTITUTE("id:"&amp;A371,"%","%25"),"~","%7E"),"*","%2A"),"?","%3F"))</x:f>
      </x:c>
    </x:row>
    <x:row r="372" ht="22" customHeight="1">
      <x:c r="A372" s="3"/>
      <x:c r="B372" s="3"/>
      <x:c r="C372" s="3"/>
      <x:c r="D372" s="4"/>
      <x:c r="E372" s="4"/>
      <x:c r="F372" s="4"/>
      <x:c r="G372" s="5" t="str">
        <x:f>IF(COUNTA(A372:F372)=0,"",IF(K372&lt;&gt;"","Review",IF(I372&lt;0,"Overdue",IF(I372=0,"Due now",IF(I372&lt;=M372,"Due soon","Not due")))))</x:f>
      </x:c>
      <x:c r="H372" s="5" t="str">
        <x:f>IF(OR(COUNTA(A372:F372)=0,COUNTIFS('Rules'!$G$7:$G$26,"="&amp;(SUBSTITUTE(SUBSTITUTE(SUBSTITUTE(SUBSTITUTE("type:"&amp;B372,"%","%25"),"~","%7E"),"*","%2A"),"?","%3F")))&lt;&gt;1),"",IF(OR(INDEX('Rules'!$B$7:$B$26,MATCH(SUBSTITUTE(SUBSTITUTE(SUBSTITUTE(SUBSTITUTE("type:"&amp;B372,"%","%25"),"~","%7E"),"*","%2A"),"?","%3F"),'Rules'!$G$7:$G$26,0))="hours",INDEX('Rules'!$B$7:$B$26,MATCH(SUBSTITUTE(SUBSTITUTE(SUBSTITUTE(SUBSTITUTE("type:"&amp;B372,"%","%25"),"~","%7E"),"*","%2A"),"?","%3F"),'Rules'!$G$7:$G$26,0))="km"),INDEX('Rules'!$B$7:$B$26,MATCH(SUBSTITUTE(SUBSTITUTE(SUBSTITUTE(SUBSTITUTE("type:"&amp;B372,"%","%25"),"~","%7E"),"*","%2A"),"?","%3F"),'Rules'!$G$7:$G$26,0)),""))</x:f>
      </x:c>
      <x:c r="I372" s="6" t="str">
        <x:f>IF(AND(NOT(COUNTA(A372:F372)=0),K372=""),ROUND(J372-D372,3),"")</x:f>
      </x:c>
      <x:c r="J372" s="6" t="str">
        <x:f>IF(AND(NOT(COUNTA(A372:F372)=0),K372=""),ROUND(F372+L372,3),"")</x:f>
      </x:c>
      <x:c r="K372" s="5" t="str">
        <x:f>IF(COUNTA(A372:F372)=0,"",IF(A372="","Missing equipment ID",IF(COUNTIFS($N$8:$N$2007,"="&amp;N372)&gt;1,"Duplicate equipment ID",IF(B372="","Missing type",IF(COUNTIFS('Rules'!$G$7:$G$26,"="&amp;(SUBSTITUTE(SUBSTITUTE(SUBSTITUTE(SUBSTITUTE("type:"&amp;B372,"%","%25"),"~","%7E"),"*","%2A"),"?","%3F")))=0,"Unknown type",IF(COUNTIFS('Rules'!$G$7:$G$26,"="&amp;(SUBSTITUTE(SUBSTITUTE(SUBSTITUTE(SUBSTITUTE("type:"&amp;B372,"%","%25"),"~","%7E"),"*","%2A"),"?","%3F")))&gt;1,"Duplicate type",IF(INDEX('Rules'!$F$7:$F$26,MATCH(SUBSTITUTE(SUBSTITUTE(SUBSTITUTE(SUBSTITUTE("type:"&amp;B372,"%","%25"),"~","%7E"),"*","%2A"),"?","%3F"),'Rules'!$G$7:$G$26,0))&lt;&gt;"",INDEX('Rules'!$F$7:$F$26,MATCH(SUBSTITUTE(SUBSTITUTE(SUBSTITUTE(SUBSTITUTE("type:"&amp;B372,"%","%25"),"~","%7E"),"*","%2A"),"?","%3F"),'Rules'!$G$7:$G$26,0)),IF(AND(C372&lt;&gt;"",C372&lt;&gt;INDEX('Rules'!$B$7:$B$26,MATCH(SUBSTITUTE(SUBSTITUTE(SUBSTITUTE(SUBSTITUTE("type:"&amp;B372,"%","%25"),"~","%7E"),"*","%2A"),"?","%3F"),'Rules'!$G$7:$G$26,0))),"Unit mismatch",IF(IF(NOT(ISNUMBER(D372)),TRUE,OR(D372&lt;0,D372&gt;999999999,ROUND(D372,3)&lt;&gt;D372)),"Invalid current reading",IF(AND(E372&lt;&gt;"",IF(NOT(ISNUMBER(E372)),TRUE,OR(E372&lt;0,E372&gt;999999999,ROUND(E372,3)&lt;&gt;E372))),"Invalid previous reading",IF(IF(NOT(ISNUMBER(F372)),TRUE,OR(F372&lt;0,F372&gt;999999999,ROUND(F372,3)&lt;&gt;F372)),"Invalid last service",IF(AND(E372&lt;&gt;"",D372&lt;E372),"Decreased reading",IF(F372&gt;D372,"Last service above current","")))))))))))))</x:f>
      </x:c>
      <x:c r="L372" s="6" t="str">
        <x:f>IF(AND(NOT(COUNTA(A372:F372)=0),K372=""),INDEX('Rules'!$C$7:$C$26,MATCH(SUBSTITUTE(SUBSTITUTE(SUBSTITUTE(SUBSTITUTE("type:"&amp;B372,"%","%25"),"~","%7E"),"*","%2A"),"?","%3F"),'Rules'!$G$7:$G$26,0)),"")</x:f>
      </x:c>
      <x:c r="M372" s="6" t="str">
        <x:f>IF(AND(NOT(COUNTA(A372:F372)=0),K372=""),INDEX('Rules'!$D$7:$D$26,MATCH(SUBSTITUTE(SUBSTITUTE(SUBSTITUTE(SUBSTITUTE("type:"&amp;B372,"%","%25"),"~","%7E"),"*","%2A"),"?","%3F"),'Rules'!$G$7:$G$26,0)),"")</x:f>
      </x:c>
      <x:c r="N372" s="5" t="str">
        <x:f>IF(COUNTA(A372:F372)=0,"",SUBSTITUTE(SUBSTITUTE(SUBSTITUTE(SUBSTITUTE("id:"&amp;A372,"%","%25"),"~","%7E"),"*","%2A"),"?","%3F"))</x:f>
      </x:c>
    </x:row>
    <x:row r="373" ht="22" customHeight="1">
      <x:c r="A373" s="3"/>
      <x:c r="B373" s="3"/>
      <x:c r="C373" s="3"/>
      <x:c r="D373" s="4"/>
      <x:c r="E373" s="4"/>
      <x:c r="F373" s="4"/>
      <x:c r="G373" s="5" t="str">
        <x:f>IF(COUNTA(A373:F373)=0,"",IF(K373&lt;&gt;"","Review",IF(I373&lt;0,"Overdue",IF(I373=0,"Due now",IF(I373&lt;=M373,"Due soon","Not due")))))</x:f>
      </x:c>
      <x:c r="H373" s="5" t="str">
        <x:f>IF(OR(COUNTA(A373:F373)=0,COUNTIFS('Rules'!$G$7:$G$26,"="&amp;(SUBSTITUTE(SUBSTITUTE(SUBSTITUTE(SUBSTITUTE("type:"&amp;B373,"%","%25"),"~","%7E"),"*","%2A"),"?","%3F")))&lt;&gt;1),"",IF(OR(INDEX('Rules'!$B$7:$B$26,MATCH(SUBSTITUTE(SUBSTITUTE(SUBSTITUTE(SUBSTITUTE("type:"&amp;B373,"%","%25"),"~","%7E"),"*","%2A"),"?","%3F"),'Rules'!$G$7:$G$26,0))="hours",INDEX('Rules'!$B$7:$B$26,MATCH(SUBSTITUTE(SUBSTITUTE(SUBSTITUTE(SUBSTITUTE("type:"&amp;B373,"%","%25"),"~","%7E"),"*","%2A"),"?","%3F"),'Rules'!$G$7:$G$26,0))="km"),INDEX('Rules'!$B$7:$B$26,MATCH(SUBSTITUTE(SUBSTITUTE(SUBSTITUTE(SUBSTITUTE("type:"&amp;B373,"%","%25"),"~","%7E"),"*","%2A"),"?","%3F"),'Rules'!$G$7:$G$26,0)),""))</x:f>
      </x:c>
      <x:c r="I373" s="6" t="str">
        <x:f>IF(AND(NOT(COUNTA(A373:F373)=0),K373=""),ROUND(J373-D373,3),"")</x:f>
      </x:c>
      <x:c r="J373" s="6" t="str">
        <x:f>IF(AND(NOT(COUNTA(A373:F373)=0),K373=""),ROUND(F373+L373,3),"")</x:f>
      </x:c>
      <x:c r="K373" s="5" t="str">
        <x:f>IF(COUNTA(A373:F373)=0,"",IF(A373="","Missing equipment ID",IF(COUNTIFS($N$8:$N$2007,"="&amp;N373)&gt;1,"Duplicate equipment ID",IF(B373="","Missing type",IF(COUNTIFS('Rules'!$G$7:$G$26,"="&amp;(SUBSTITUTE(SUBSTITUTE(SUBSTITUTE(SUBSTITUTE("type:"&amp;B373,"%","%25"),"~","%7E"),"*","%2A"),"?","%3F")))=0,"Unknown type",IF(COUNTIFS('Rules'!$G$7:$G$26,"="&amp;(SUBSTITUTE(SUBSTITUTE(SUBSTITUTE(SUBSTITUTE("type:"&amp;B373,"%","%25"),"~","%7E"),"*","%2A"),"?","%3F")))&gt;1,"Duplicate type",IF(INDEX('Rules'!$F$7:$F$26,MATCH(SUBSTITUTE(SUBSTITUTE(SUBSTITUTE(SUBSTITUTE("type:"&amp;B373,"%","%25"),"~","%7E"),"*","%2A"),"?","%3F"),'Rules'!$G$7:$G$26,0))&lt;&gt;"",INDEX('Rules'!$F$7:$F$26,MATCH(SUBSTITUTE(SUBSTITUTE(SUBSTITUTE(SUBSTITUTE("type:"&amp;B373,"%","%25"),"~","%7E"),"*","%2A"),"?","%3F"),'Rules'!$G$7:$G$26,0)),IF(AND(C373&lt;&gt;"",C373&lt;&gt;INDEX('Rules'!$B$7:$B$26,MATCH(SUBSTITUTE(SUBSTITUTE(SUBSTITUTE(SUBSTITUTE("type:"&amp;B373,"%","%25"),"~","%7E"),"*","%2A"),"?","%3F"),'Rules'!$G$7:$G$26,0))),"Unit mismatch",IF(IF(NOT(ISNUMBER(D373)),TRUE,OR(D373&lt;0,D373&gt;999999999,ROUND(D373,3)&lt;&gt;D373)),"Invalid current reading",IF(AND(E373&lt;&gt;"",IF(NOT(ISNUMBER(E373)),TRUE,OR(E373&lt;0,E373&gt;999999999,ROUND(E373,3)&lt;&gt;E373))),"Invalid previous reading",IF(IF(NOT(ISNUMBER(F373)),TRUE,OR(F373&lt;0,F373&gt;999999999,ROUND(F373,3)&lt;&gt;F373)),"Invalid last service",IF(AND(E373&lt;&gt;"",D373&lt;E373),"Decreased reading",IF(F373&gt;D373,"Last service above current","")))))))))))))</x:f>
      </x:c>
      <x:c r="L373" s="6" t="str">
        <x:f>IF(AND(NOT(COUNTA(A373:F373)=0),K373=""),INDEX('Rules'!$C$7:$C$26,MATCH(SUBSTITUTE(SUBSTITUTE(SUBSTITUTE(SUBSTITUTE("type:"&amp;B373,"%","%25"),"~","%7E"),"*","%2A"),"?","%3F"),'Rules'!$G$7:$G$26,0)),"")</x:f>
      </x:c>
      <x:c r="M373" s="6" t="str">
        <x:f>IF(AND(NOT(COUNTA(A373:F373)=0),K373=""),INDEX('Rules'!$D$7:$D$26,MATCH(SUBSTITUTE(SUBSTITUTE(SUBSTITUTE(SUBSTITUTE("type:"&amp;B373,"%","%25"),"~","%7E"),"*","%2A"),"?","%3F"),'Rules'!$G$7:$G$26,0)),"")</x:f>
      </x:c>
      <x:c r="N373" s="5" t="str">
        <x:f>IF(COUNTA(A373:F373)=0,"",SUBSTITUTE(SUBSTITUTE(SUBSTITUTE(SUBSTITUTE("id:"&amp;A373,"%","%25"),"~","%7E"),"*","%2A"),"?","%3F"))</x:f>
      </x:c>
    </x:row>
    <x:row r="374" ht="22" customHeight="1">
      <x:c r="A374" s="3"/>
      <x:c r="B374" s="3"/>
      <x:c r="C374" s="3"/>
      <x:c r="D374" s="4"/>
      <x:c r="E374" s="4"/>
      <x:c r="F374" s="4"/>
      <x:c r="G374" s="5" t="str">
        <x:f>IF(COUNTA(A374:F374)=0,"",IF(K374&lt;&gt;"","Review",IF(I374&lt;0,"Overdue",IF(I374=0,"Due now",IF(I374&lt;=M374,"Due soon","Not due")))))</x:f>
      </x:c>
      <x:c r="H374" s="5" t="str">
        <x:f>IF(OR(COUNTA(A374:F374)=0,COUNTIFS('Rules'!$G$7:$G$26,"="&amp;(SUBSTITUTE(SUBSTITUTE(SUBSTITUTE(SUBSTITUTE("type:"&amp;B374,"%","%25"),"~","%7E"),"*","%2A"),"?","%3F")))&lt;&gt;1),"",IF(OR(INDEX('Rules'!$B$7:$B$26,MATCH(SUBSTITUTE(SUBSTITUTE(SUBSTITUTE(SUBSTITUTE("type:"&amp;B374,"%","%25"),"~","%7E"),"*","%2A"),"?","%3F"),'Rules'!$G$7:$G$26,0))="hours",INDEX('Rules'!$B$7:$B$26,MATCH(SUBSTITUTE(SUBSTITUTE(SUBSTITUTE(SUBSTITUTE("type:"&amp;B374,"%","%25"),"~","%7E"),"*","%2A"),"?","%3F"),'Rules'!$G$7:$G$26,0))="km"),INDEX('Rules'!$B$7:$B$26,MATCH(SUBSTITUTE(SUBSTITUTE(SUBSTITUTE(SUBSTITUTE("type:"&amp;B374,"%","%25"),"~","%7E"),"*","%2A"),"?","%3F"),'Rules'!$G$7:$G$26,0)),""))</x:f>
      </x:c>
      <x:c r="I374" s="6" t="str">
        <x:f>IF(AND(NOT(COUNTA(A374:F374)=0),K374=""),ROUND(J374-D374,3),"")</x:f>
      </x:c>
      <x:c r="J374" s="6" t="str">
        <x:f>IF(AND(NOT(COUNTA(A374:F374)=0),K374=""),ROUND(F374+L374,3),"")</x:f>
      </x:c>
      <x:c r="K374" s="5" t="str">
        <x:f>IF(COUNTA(A374:F374)=0,"",IF(A374="","Missing equipment ID",IF(COUNTIFS($N$8:$N$2007,"="&amp;N374)&gt;1,"Duplicate equipment ID",IF(B374="","Missing type",IF(COUNTIFS('Rules'!$G$7:$G$26,"="&amp;(SUBSTITUTE(SUBSTITUTE(SUBSTITUTE(SUBSTITUTE("type:"&amp;B374,"%","%25"),"~","%7E"),"*","%2A"),"?","%3F")))=0,"Unknown type",IF(COUNTIFS('Rules'!$G$7:$G$26,"="&amp;(SUBSTITUTE(SUBSTITUTE(SUBSTITUTE(SUBSTITUTE("type:"&amp;B374,"%","%25"),"~","%7E"),"*","%2A"),"?","%3F")))&gt;1,"Duplicate type",IF(INDEX('Rules'!$F$7:$F$26,MATCH(SUBSTITUTE(SUBSTITUTE(SUBSTITUTE(SUBSTITUTE("type:"&amp;B374,"%","%25"),"~","%7E"),"*","%2A"),"?","%3F"),'Rules'!$G$7:$G$26,0))&lt;&gt;"",INDEX('Rules'!$F$7:$F$26,MATCH(SUBSTITUTE(SUBSTITUTE(SUBSTITUTE(SUBSTITUTE("type:"&amp;B374,"%","%25"),"~","%7E"),"*","%2A"),"?","%3F"),'Rules'!$G$7:$G$26,0)),IF(AND(C374&lt;&gt;"",C374&lt;&gt;INDEX('Rules'!$B$7:$B$26,MATCH(SUBSTITUTE(SUBSTITUTE(SUBSTITUTE(SUBSTITUTE("type:"&amp;B374,"%","%25"),"~","%7E"),"*","%2A"),"?","%3F"),'Rules'!$G$7:$G$26,0))),"Unit mismatch",IF(IF(NOT(ISNUMBER(D374)),TRUE,OR(D374&lt;0,D374&gt;999999999,ROUND(D374,3)&lt;&gt;D374)),"Invalid current reading",IF(AND(E374&lt;&gt;"",IF(NOT(ISNUMBER(E374)),TRUE,OR(E374&lt;0,E374&gt;999999999,ROUND(E374,3)&lt;&gt;E374))),"Invalid previous reading",IF(IF(NOT(ISNUMBER(F374)),TRUE,OR(F374&lt;0,F374&gt;999999999,ROUND(F374,3)&lt;&gt;F374)),"Invalid last service",IF(AND(E374&lt;&gt;"",D374&lt;E374),"Decreased reading",IF(F374&gt;D374,"Last service above current","")))))))))))))</x:f>
      </x:c>
      <x:c r="L374" s="6" t="str">
        <x:f>IF(AND(NOT(COUNTA(A374:F374)=0),K374=""),INDEX('Rules'!$C$7:$C$26,MATCH(SUBSTITUTE(SUBSTITUTE(SUBSTITUTE(SUBSTITUTE("type:"&amp;B374,"%","%25"),"~","%7E"),"*","%2A"),"?","%3F"),'Rules'!$G$7:$G$26,0)),"")</x:f>
      </x:c>
      <x:c r="M374" s="6" t="str">
        <x:f>IF(AND(NOT(COUNTA(A374:F374)=0),K374=""),INDEX('Rules'!$D$7:$D$26,MATCH(SUBSTITUTE(SUBSTITUTE(SUBSTITUTE(SUBSTITUTE("type:"&amp;B374,"%","%25"),"~","%7E"),"*","%2A"),"?","%3F"),'Rules'!$G$7:$G$26,0)),"")</x:f>
      </x:c>
      <x:c r="N374" s="5" t="str">
        <x:f>IF(COUNTA(A374:F374)=0,"",SUBSTITUTE(SUBSTITUTE(SUBSTITUTE(SUBSTITUTE("id:"&amp;A374,"%","%25"),"~","%7E"),"*","%2A"),"?","%3F"))</x:f>
      </x:c>
    </x:row>
    <x:row r="375" ht="22" customHeight="1">
      <x:c r="A375" s="3"/>
      <x:c r="B375" s="3"/>
      <x:c r="C375" s="3"/>
      <x:c r="D375" s="4"/>
      <x:c r="E375" s="4"/>
      <x:c r="F375" s="4"/>
      <x:c r="G375" s="5" t="str">
        <x:f>IF(COUNTA(A375:F375)=0,"",IF(K375&lt;&gt;"","Review",IF(I375&lt;0,"Overdue",IF(I375=0,"Due now",IF(I375&lt;=M375,"Due soon","Not due")))))</x:f>
      </x:c>
      <x:c r="H375" s="5" t="str">
        <x:f>IF(OR(COUNTA(A375:F375)=0,COUNTIFS('Rules'!$G$7:$G$26,"="&amp;(SUBSTITUTE(SUBSTITUTE(SUBSTITUTE(SUBSTITUTE("type:"&amp;B375,"%","%25"),"~","%7E"),"*","%2A"),"?","%3F")))&lt;&gt;1),"",IF(OR(INDEX('Rules'!$B$7:$B$26,MATCH(SUBSTITUTE(SUBSTITUTE(SUBSTITUTE(SUBSTITUTE("type:"&amp;B375,"%","%25"),"~","%7E"),"*","%2A"),"?","%3F"),'Rules'!$G$7:$G$26,0))="hours",INDEX('Rules'!$B$7:$B$26,MATCH(SUBSTITUTE(SUBSTITUTE(SUBSTITUTE(SUBSTITUTE("type:"&amp;B375,"%","%25"),"~","%7E"),"*","%2A"),"?","%3F"),'Rules'!$G$7:$G$26,0))="km"),INDEX('Rules'!$B$7:$B$26,MATCH(SUBSTITUTE(SUBSTITUTE(SUBSTITUTE(SUBSTITUTE("type:"&amp;B375,"%","%25"),"~","%7E"),"*","%2A"),"?","%3F"),'Rules'!$G$7:$G$26,0)),""))</x:f>
      </x:c>
      <x:c r="I375" s="6" t="str">
        <x:f>IF(AND(NOT(COUNTA(A375:F375)=0),K375=""),ROUND(J375-D375,3),"")</x:f>
      </x:c>
      <x:c r="J375" s="6" t="str">
        <x:f>IF(AND(NOT(COUNTA(A375:F375)=0),K375=""),ROUND(F375+L375,3),"")</x:f>
      </x:c>
      <x:c r="K375" s="5" t="str">
        <x:f>IF(COUNTA(A375:F375)=0,"",IF(A375="","Missing equipment ID",IF(COUNTIFS($N$8:$N$2007,"="&amp;N375)&gt;1,"Duplicate equipment ID",IF(B375="","Missing type",IF(COUNTIFS('Rules'!$G$7:$G$26,"="&amp;(SUBSTITUTE(SUBSTITUTE(SUBSTITUTE(SUBSTITUTE("type:"&amp;B375,"%","%25"),"~","%7E"),"*","%2A"),"?","%3F")))=0,"Unknown type",IF(COUNTIFS('Rules'!$G$7:$G$26,"="&amp;(SUBSTITUTE(SUBSTITUTE(SUBSTITUTE(SUBSTITUTE("type:"&amp;B375,"%","%25"),"~","%7E"),"*","%2A"),"?","%3F")))&gt;1,"Duplicate type",IF(INDEX('Rules'!$F$7:$F$26,MATCH(SUBSTITUTE(SUBSTITUTE(SUBSTITUTE(SUBSTITUTE("type:"&amp;B375,"%","%25"),"~","%7E"),"*","%2A"),"?","%3F"),'Rules'!$G$7:$G$26,0))&lt;&gt;"",INDEX('Rules'!$F$7:$F$26,MATCH(SUBSTITUTE(SUBSTITUTE(SUBSTITUTE(SUBSTITUTE("type:"&amp;B375,"%","%25"),"~","%7E"),"*","%2A"),"?","%3F"),'Rules'!$G$7:$G$26,0)),IF(AND(C375&lt;&gt;"",C375&lt;&gt;INDEX('Rules'!$B$7:$B$26,MATCH(SUBSTITUTE(SUBSTITUTE(SUBSTITUTE(SUBSTITUTE("type:"&amp;B375,"%","%25"),"~","%7E"),"*","%2A"),"?","%3F"),'Rules'!$G$7:$G$26,0))),"Unit mismatch",IF(IF(NOT(ISNUMBER(D375)),TRUE,OR(D375&lt;0,D375&gt;999999999,ROUND(D375,3)&lt;&gt;D375)),"Invalid current reading",IF(AND(E375&lt;&gt;"",IF(NOT(ISNUMBER(E375)),TRUE,OR(E375&lt;0,E375&gt;999999999,ROUND(E375,3)&lt;&gt;E375))),"Invalid previous reading",IF(IF(NOT(ISNUMBER(F375)),TRUE,OR(F375&lt;0,F375&gt;999999999,ROUND(F375,3)&lt;&gt;F375)),"Invalid last service",IF(AND(E375&lt;&gt;"",D375&lt;E375),"Decreased reading",IF(F375&gt;D375,"Last service above current","")))))))))))))</x:f>
      </x:c>
      <x:c r="L375" s="6" t="str">
        <x:f>IF(AND(NOT(COUNTA(A375:F375)=0),K375=""),INDEX('Rules'!$C$7:$C$26,MATCH(SUBSTITUTE(SUBSTITUTE(SUBSTITUTE(SUBSTITUTE("type:"&amp;B375,"%","%25"),"~","%7E"),"*","%2A"),"?","%3F"),'Rules'!$G$7:$G$26,0)),"")</x:f>
      </x:c>
      <x:c r="M375" s="6" t="str">
        <x:f>IF(AND(NOT(COUNTA(A375:F375)=0),K375=""),INDEX('Rules'!$D$7:$D$26,MATCH(SUBSTITUTE(SUBSTITUTE(SUBSTITUTE(SUBSTITUTE("type:"&amp;B375,"%","%25"),"~","%7E"),"*","%2A"),"?","%3F"),'Rules'!$G$7:$G$26,0)),"")</x:f>
      </x:c>
      <x:c r="N375" s="5" t="str">
        <x:f>IF(COUNTA(A375:F375)=0,"",SUBSTITUTE(SUBSTITUTE(SUBSTITUTE(SUBSTITUTE("id:"&amp;A375,"%","%25"),"~","%7E"),"*","%2A"),"?","%3F"))</x:f>
      </x:c>
    </x:row>
    <x:row r="376" ht="22" customHeight="1">
      <x:c r="A376" s="3"/>
      <x:c r="B376" s="3"/>
      <x:c r="C376" s="3"/>
      <x:c r="D376" s="4"/>
      <x:c r="E376" s="4"/>
      <x:c r="F376" s="4"/>
      <x:c r="G376" s="5" t="str">
        <x:f>IF(COUNTA(A376:F376)=0,"",IF(K376&lt;&gt;"","Review",IF(I376&lt;0,"Overdue",IF(I376=0,"Due now",IF(I376&lt;=M376,"Due soon","Not due")))))</x:f>
      </x:c>
      <x:c r="H376" s="5" t="str">
        <x:f>IF(OR(COUNTA(A376:F376)=0,COUNTIFS('Rules'!$G$7:$G$26,"="&amp;(SUBSTITUTE(SUBSTITUTE(SUBSTITUTE(SUBSTITUTE("type:"&amp;B376,"%","%25"),"~","%7E"),"*","%2A"),"?","%3F")))&lt;&gt;1),"",IF(OR(INDEX('Rules'!$B$7:$B$26,MATCH(SUBSTITUTE(SUBSTITUTE(SUBSTITUTE(SUBSTITUTE("type:"&amp;B376,"%","%25"),"~","%7E"),"*","%2A"),"?","%3F"),'Rules'!$G$7:$G$26,0))="hours",INDEX('Rules'!$B$7:$B$26,MATCH(SUBSTITUTE(SUBSTITUTE(SUBSTITUTE(SUBSTITUTE("type:"&amp;B376,"%","%25"),"~","%7E"),"*","%2A"),"?","%3F"),'Rules'!$G$7:$G$26,0))="km"),INDEX('Rules'!$B$7:$B$26,MATCH(SUBSTITUTE(SUBSTITUTE(SUBSTITUTE(SUBSTITUTE("type:"&amp;B376,"%","%25"),"~","%7E"),"*","%2A"),"?","%3F"),'Rules'!$G$7:$G$26,0)),""))</x:f>
      </x:c>
      <x:c r="I376" s="6" t="str">
        <x:f>IF(AND(NOT(COUNTA(A376:F376)=0),K376=""),ROUND(J376-D376,3),"")</x:f>
      </x:c>
      <x:c r="J376" s="6" t="str">
        <x:f>IF(AND(NOT(COUNTA(A376:F376)=0),K376=""),ROUND(F376+L376,3),"")</x:f>
      </x:c>
      <x:c r="K376" s="5" t="str">
        <x:f>IF(COUNTA(A376:F376)=0,"",IF(A376="","Missing equipment ID",IF(COUNTIFS($N$8:$N$2007,"="&amp;N376)&gt;1,"Duplicate equipment ID",IF(B376="","Missing type",IF(COUNTIFS('Rules'!$G$7:$G$26,"="&amp;(SUBSTITUTE(SUBSTITUTE(SUBSTITUTE(SUBSTITUTE("type:"&amp;B376,"%","%25"),"~","%7E"),"*","%2A"),"?","%3F")))=0,"Unknown type",IF(COUNTIFS('Rules'!$G$7:$G$26,"="&amp;(SUBSTITUTE(SUBSTITUTE(SUBSTITUTE(SUBSTITUTE("type:"&amp;B376,"%","%25"),"~","%7E"),"*","%2A"),"?","%3F")))&gt;1,"Duplicate type",IF(INDEX('Rules'!$F$7:$F$26,MATCH(SUBSTITUTE(SUBSTITUTE(SUBSTITUTE(SUBSTITUTE("type:"&amp;B376,"%","%25"),"~","%7E"),"*","%2A"),"?","%3F"),'Rules'!$G$7:$G$26,0))&lt;&gt;"",INDEX('Rules'!$F$7:$F$26,MATCH(SUBSTITUTE(SUBSTITUTE(SUBSTITUTE(SUBSTITUTE("type:"&amp;B376,"%","%25"),"~","%7E"),"*","%2A"),"?","%3F"),'Rules'!$G$7:$G$26,0)),IF(AND(C376&lt;&gt;"",C376&lt;&gt;INDEX('Rules'!$B$7:$B$26,MATCH(SUBSTITUTE(SUBSTITUTE(SUBSTITUTE(SUBSTITUTE("type:"&amp;B376,"%","%25"),"~","%7E"),"*","%2A"),"?","%3F"),'Rules'!$G$7:$G$26,0))),"Unit mismatch",IF(IF(NOT(ISNUMBER(D376)),TRUE,OR(D376&lt;0,D376&gt;999999999,ROUND(D376,3)&lt;&gt;D376)),"Invalid current reading",IF(AND(E376&lt;&gt;"",IF(NOT(ISNUMBER(E376)),TRUE,OR(E376&lt;0,E376&gt;999999999,ROUND(E376,3)&lt;&gt;E376))),"Invalid previous reading",IF(IF(NOT(ISNUMBER(F376)),TRUE,OR(F376&lt;0,F376&gt;999999999,ROUND(F376,3)&lt;&gt;F376)),"Invalid last service",IF(AND(E376&lt;&gt;"",D376&lt;E376),"Decreased reading",IF(F376&gt;D376,"Last service above current","")))))))))))))</x:f>
      </x:c>
      <x:c r="L376" s="6" t="str">
        <x:f>IF(AND(NOT(COUNTA(A376:F376)=0),K376=""),INDEX('Rules'!$C$7:$C$26,MATCH(SUBSTITUTE(SUBSTITUTE(SUBSTITUTE(SUBSTITUTE("type:"&amp;B376,"%","%25"),"~","%7E"),"*","%2A"),"?","%3F"),'Rules'!$G$7:$G$26,0)),"")</x:f>
      </x:c>
      <x:c r="M376" s="6" t="str">
        <x:f>IF(AND(NOT(COUNTA(A376:F376)=0),K376=""),INDEX('Rules'!$D$7:$D$26,MATCH(SUBSTITUTE(SUBSTITUTE(SUBSTITUTE(SUBSTITUTE("type:"&amp;B376,"%","%25"),"~","%7E"),"*","%2A"),"?","%3F"),'Rules'!$G$7:$G$26,0)),"")</x:f>
      </x:c>
      <x:c r="N376" s="5" t="str">
        <x:f>IF(COUNTA(A376:F376)=0,"",SUBSTITUTE(SUBSTITUTE(SUBSTITUTE(SUBSTITUTE("id:"&amp;A376,"%","%25"),"~","%7E"),"*","%2A"),"?","%3F"))</x:f>
      </x:c>
    </x:row>
    <x:row r="377" ht="22" customHeight="1">
      <x:c r="A377" s="3"/>
      <x:c r="B377" s="3"/>
      <x:c r="C377" s="3"/>
      <x:c r="D377" s="4"/>
      <x:c r="E377" s="4"/>
      <x:c r="F377" s="4"/>
      <x:c r="G377" s="5" t="str">
        <x:f>IF(COUNTA(A377:F377)=0,"",IF(K377&lt;&gt;"","Review",IF(I377&lt;0,"Overdue",IF(I377=0,"Due now",IF(I377&lt;=M377,"Due soon","Not due")))))</x:f>
      </x:c>
      <x:c r="H377" s="5" t="str">
        <x:f>IF(OR(COUNTA(A377:F377)=0,COUNTIFS('Rules'!$G$7:$G$26,"="&amp;(SUBSTITUTE(SUBSTITUTE(SUBSTITUTE(SUBSTITUTE("type:"&amp;B377,"%","%25"),"~","%7E"),"*","%2A"),"?","%3F")))&lt;&gt;1),"",IF(OR(INDEX('Rules'!$B$7:$B$26,MATCH(SUBSTITUTE(SUBSTITUTE(SUBSTITUTE(SUBSTITUTE("type:"&amp;B377,"%","%25"),"~","%7E"),"*","%2A"),"?","%3F"),'Rules'!$G$7:$G$26,0))="hours",INDEX('Rules'!$B$7:$B$26,MATCH(SUBSTITUTE(SUBSTITUTE(SUBSTITUTE(SUBSTITUTE("type:"&amp;B377,"%","%25"),"~","%7E"),"*","%2A"),"?","%3F"),'Rules'!$G$7:$G$26,0))="km"),INDEX('Rules'!$B$7:$B$26,MATCH(SUBSTITUTE(SUBSTITUTE(SUBSTITUTE(SUBSTITUTE("type:"&amp;B377,"%","%25"),"~","%7E"),"*","%2A"),"?","%3F"),'Rules'!$G$7:$G$26,0)),""))</x:f>
      </x:c>
      <x:c r="I377" s="6" t="str">
        <x:f>IF(AND(NOT(COUNTA(A377:F377)=0),K377=""),ROUND(J377-D377,3),"")</x:f>
      </x:c>
      <x:c r="J377" s="6" t="str">
        <x:f>IF(AND(NOT(COUNTA(A377:F377)=0),K377=""),ROUND(F377+L377,3),"")</x:f>
      </x:c>
      <x:c r="K377" s="5" t="str">
        <x:f>IF(COUNTA(A377:F377)=0,"",IF(A377="","Missing equipment ID",IF(COUNTIFS($N$8:$N$2007,"="&amp;N377)&gt;1,"Duplicate equipment ID",IF(B377="","Missing type",IF(COUNTIFS('Rules'!$G$7:$G$26,"="&amp;(SUBSTITUTE(SUBSTITUTE(SUBSTITUTE(SUBSTITUTE("type:"&amp;B377,"%","%25"),"~","%7E"),"*","%2A"),"?","%3F")))=0,"Unknown type",IF(COUNTIFS('Rules'!$G$7:$G$26,"="&amp;(SUBSTITUTE(SUBSTITUTE(SUBSTITUTE(SUBSTITUTE("type:"&amp;B377,"%","%25"),"~","%7E"),"*","%2A"),"?","%3F")))&gt;1,"Duplicate type",IF(INDEX('Rules'!$F$7:$F$26,MATCH(SUBSTITUTE(SUBSTITUTE(SUBSTITUTE(SUBSTITUTE("type:"&amp;B377,"%","%25"),"~","%7E"),"*","%2A"),"?","%3F"),'Rules'!$G$7:$G$26,0))&lt;&gt;"",INDEX('Rules'!$F$7:$F$26,MATCH(SUBSTITUTE(SUBSTITUTE(SUBSTITUTE(SUBSTITUTE("type:"&amp;B377,"%","%25"),"~","%7E"),"*","%2A"),"?","%3F"),'Rules'!$G$7:$G$26,0)),IF(AND(C377&lt;&gt;"",C377&lt;&gt;INDEX('Rules'!$B$7:$B$26,MATCH(SUBSTITUTE(SUBSTITUTE(SUBSTITUTE(SUBSTITUTE("type:"&amp;B377,"%","%25"),"~","%7E"),"*","%2A"),"?","%3F"),'Rules'!$G$7:$G$26,0))),"Unit mismatch",IF(IF(NOT(ISNUMBER(D377)),TRUE,OR(D377&lt;0,D377&gt;999999999,ROUND(D377,3)&lt;&gt;D377)),"Invalid current reading",IF(AND(E377&lt;&gt;"",IF(NOT(ISNUMBER(E377)),TRUE,OR(E377&lt;0,E377&gt;999999999,ROUND(E377,3)&lt;&gt;E377))),"Invalid previous reading",IF(IF(NOT(ISNUMBER(F377)),TRUE,OR(F377&lt;0,F377&gt;999999999,ROUND(F377,3)&lt;&gt;F377)),"Invalid last service",IF(AND(E377&lt;&gt;"",D377&lt;E377),"Decreased reading",IF(F377&gt;D377,"Last service above current","")))))))))))))</x:f>
      </x:c>
      <x:c r="L377" s="6" t="str">
        <x:f>IF(AND(NOT(COUNTA(A377:F377)=0),K377=""),INDEX('Rules'!$C$7:$C$26,MATCH(SUBSTITUTE(SUBSTITUTE(SUBSTITUTE(SUBSTITUTE("type:"&amp;B377,"%","%25"),"~","%7E"),"*","%2A"),"?","%3F"),'Rules'!$G$7:$G$26,0)),"")</x:f>
      </x:c>
      <x:c r="M377" s="6" t="str">
        <x:f>IF(AND(NOT(COUNTA(A377:F377)=0),K377=""),INDEX('Rules'!$D$7:$D$26,MATCH(SUBSTITUTE(SUBSTITUTE(SUBSTITUTE(SUBSTITUTE("type:"&amp;B377,"%","%25"),"~","%7E"),"*","%2A"),"?","%3F"),'Rules'!$G$7:$G$26,0)),"")</x:f>
      </x:c>
      <x:c r="N377" s="5" t="str">
        <x:f>IF(COUNTA(A377:F377)=0,"",SUBSTITUTE(SUBSTITUTE(SUBSTITUTE(SUBSTITUTE("id:"&amp;A377,"%","%25"),"~","%7E"),"*","%2A"),"?","%3F"))</x:f>
      </x:c>
    </x:row>
    <x:row r="378" ht="22" customHeight="1">
      <x:c r="A378" s="3"/>
      <x:c r="B378" s="3"/>
      <x:c r="C378" s="3"/>
      <x:c r="D378" s="4"/>
      <x:c r="E378" s="4"/>
      <x:c r="F378" s="4"/>
      <x:c r="G378" s="5" t="str">
        <x:f>IF(COUNTA(A378:F378)=0,"",IF(K378&lt;&gt;"","Review",IF(I378&lt;0,"Overdue",IF(I378=0,"Due now",IF(I378&lt;=M378,"Due soon","Not due")))))</x:f>
      </x:c>
      <x:c r="H378" s="5" t="str">
        <x:f>IF(OR(COUNTA(A378:F378)=0,COUNTIFS('Rules'!$G$7:$G$26,"="&amp;(SUBSTITUTE(SUBSTITUTE(SUBSTITUTE(SUBSTITUTE("type:"&amp;B378,"%","%25"),"~","%7E"),"*","%2A"),"?","%3F")))&lt;&gt;1),"",IF(OR(INDEX('Rules'!$B$7:$B$26,MATCH(SUBSTITUTE(SUBSTITUTE(SUBSTITUTE(SUBSTITUTE("type:"&amp;B378,"%","%25"),"~","%7E"),"*","%2A"),"?","%3F"),'Rules'!$G$7:$G$26,0))="hours",INDEX('Rules'!$B$7:$B$26,MATCH(SUBSTITUTE(SUBSTITUTE(SUBSTITUTE(SUBSTITUTE("type:"&amp;B378,"%","%25"),"~","%7E"),"*","%2A"),"?","%3F"),'Rules'!$G$7:$G$26,0))="km"),INDEX('Rules'!$B$7:$B$26,MATCH(SUBSTITUTE(SUBSTITUTE(SUBSTITUTE(SUBSTITUTE("type:"&amp;B378,"%","%25"),"~","%7E"),"*","%2A"),"?","%3F"),'Rules'!$G$7:$G$26,0)),""))</x:f>
      </x:c>
      <x:c r="I378" s="6" t="str">
        <x:f>IF(AND(NOT(COUNTA(A378:F378)=0),K378=""),ROUND(J378-D378,3),"")</x:f>
      </x:c>
      <x:c r="J378" s="6" t="str">
        <x:f>IF(AND(NOT(COUNTA(A378:F378)=0),K378=""),ROUND(F378+L378,3),"")</x:f>
      </x:c>
      <x:c r="K378" s="5" t="str">
        <x:f>IF(COUNTA(A378:F378)=0,"",IF(A378="","Missing equipment ID",IF(COUNTIFS($N$8:$N$2007,"="&amp;N378)&gt;1,"Duplicate equipment ID",IF(B378="","Missing type",IF(COUNTIFS('Rules'!$G$7:$G$26,"="&amp;(SUBSTITUTE(SUBSTITUTE(SUBSTITUTE(SUBSTITUTE("type:"&amp;B378,"%","%25"),"~","%7E"),"*","%2A"),"?","%3F")))=0,"Unknown type",IF(COUNTIFS('Rules'!$G$7:$G$26,"="&amp;(SUBSTITUTE(SUBSTITUTE(SUBSTITUTE(SUBSTITUTE("type:"&amp;B378,"%","%25"),"~","%7E"),"*","%2A"),"?","%3F")))&gt;1,"Duplicate type",IF(INDEX('Rules'!$F$7:$F$26,MATCH(SUBSTITUTE(SUBSTITUTE(SUBSTITUTE(SUBSTITUTE("type:"&amp;B378,"%","%25"),"~","%7E"),"*","%2A"),"?","%3F"),'Rules'!$G$7:$G$26,0))&lt;&gt;"",INDEX('Rules'!$F$7:$F$26,MATCH(SUBSTITUTE(SUBSTITUTE(SUBSTITUTE(SUBSTITUTE("type:"&amp;B378,"%","%25"),"~","%7E"),"*","%2A"),"?","%3F"),'Rules'!$G$7:$G$26,0)),IF(AND(C378&lt;&gt;"",C378&lt;&gt;INDEX('Rules'!$B$7:$B$26,MATCH(SUBSTITUTE(SUBSTITUTE(SUBSTITUTE(SUBSTITUTE("type:"&amp;B378,"%","%25"),"~","%7E"),"*","%2A"),"?","%3F"),'Rules'!$G$7:$G$26,0))),"Unit mismatch",IF(IF(NOT(ISNUMBER(D378)),TRUE,OR(D378&lt;0,D378&gt;999999999,ROUND(D378,3)&lt;&gt;D378)),"Invalid current reading",IF(AND(E378&lt;&gt;"",IF(NOT(ISNUMBER(E378)),TRUE,OR(E378&lt;0,E378&gt;999999999,ROUND(E378,3)&lt;&gt;E378))),"Invalid previous reading",IF(IF(NOT(ISNUMBER(F378)),TRUE,OR(F378&lt;0,F378&gt;999999999,ROUND(F378,3)&lt;&gt;F378)),"Invalid last service",IF(AND(E378&lt;&gt;"",D378&lt;E378),"Decreased reading",IF(F378&gt;D378,"Last service above current","")))))))))))))</x:f>
      </x:c>
      <x:c r="L378" s="6" t="str">
        <x:f>IF(AND(NOT(COUNTA(A378:F378)=0),K378=""),INDEX('Rules'!$C$7:$C$26,MATCH(SUBSTITUTE(SUBSTITUTE(SUBSTITUTE(SUBSTITUTE("type:"&amp;B378,"%","%25"),"~","%7E"),"*","%2A"),"?","%3F"),'Rules'!$G$7:$G$26,0)),"")</x:f>
      </x:c>
      <x:c r="M378" s="6" t="str">
        <x:f>IF(AND(NOT(COUNTA(A378:F378)=0),K378=""),INDEX('Rules'!$D$7:$D$26,MATCH(SUBSTITUTE(SUBSTITUTE(SUBSTITUTE(SUBSTITUTE("type:"&amp;B378,"%","%25"),"~","%7E"),"*","%2A"),"?","%3F"),'Rules'!$G$7:$G$26,0)),"")</x:f>
      </x:c>
      <x:c r="N378" s="5" t="str">
        <x:f>IF(COUNTA(A378:F378)=0,"",SUBSTITUTE(SUBSTITUTE(SUBSTITUTE(SUBSTITUTE("id:"&amp;A378,"%","%25"),"~","%7E"),"*","%2A"),"?","%3F"))</x:f>
      </x:c>
    </x:row>
    <x:row r="379" ht="22" customHeight="1">
      <x:c r="A379" s="3"/>
      <x:c r="B379" s="3"/>
      <x:c r="C379" s="3"/>
      <x:c r="D379" s="4"/>
      <x:c r="E379" s="4"/>
      <x:c r="F379" s="4"/>
      <x:c r="G379" s="5" t="str">
        <x:f>IF(COUNTA(A379:F379)=0,"",IF(K379&lt;&gt;"","Review",IF(I379&lt;0,"Overdue",IF(I379=0,"Due now",IF(I379&lt;=M379,"Due soon","Not due")))))</x:f>
      </x:c>
      <x:c r="H379" s="5" t="str">
        <x:f>IF(OR(COUNTA(A379:F379)=0,COUNTIFS('Rules'!$G$7:$G$26,"="&amp;(SUBSTITUTE(SUBSTITUTE(SUBSTITUTE(SUBSTITUTE("type:"&amp;B379,"%","%25"),"~","%7E"),"*","%2A"),"?","%3F")))&lt;&gt;1),"",IF(OR(INDEX('Rules'!$B$7:$B$26,MATCH(SUBSTITUTE(SUBSTITUTE(SUBSTITUTE(SUBSTITUTE("type:"&amp;B379,"%","%25"),"~","%7E"),"*","%2A"),"?","%3F"),'Rules'!$G$7:$G$26,0))="hours",INDEX('Rules'!$B$7:$B$26,MATCH(SUBSTITUTE(SUBSTITUTE(SUBSTITUTE(SUBSTITUTE("type:"&amp;B379,"%","%25"),"~","%7E"),"*","%2A"),"?","%3F"),'Rules'!$G$7:$G$26,0))="km"),INDEX('Rules'!$B$7:$B$26,MATCH(SUBSTITUTE(SUBSTITUTE(SUBSTITUTE(SUBSTITUTE("type:"&amp;B379,"%","%25"),"~","%7E"),"*","%2A"),"?","%3F"),'Rules'!$G$7:$G$26,0)),""))</x:f>
      </x:c>
      <x:c r="I379" s="6" t="str">
        <x:f>IF(AND(NOT(COUNTA(A379:F379)=0),K379=""),ROUND(J379-D379,3),"")</x:f>
      </x:c>
      <x:c r="J379" s="6" t="str">
        <x:f>IF(AND(NOT(COUNTA(A379:F379)=0),K379=""),ROUND(F379+L379,3),"")</x:f>
      </x:c>
      <x:c r="K379" s="5" t="str">
        <x:f>IF(COUNTA(A379:F379)=0,"",IF(A379="","Missing equipment ID",IF(COUNTIFS($N$8:$N$2007,"="&amp;N379)&gt;1,"Duplicate equipment ID",IF(B379="","Missing type",IF(COUNTIFS('Rules'!$G$7:$G$26,"="&amp;(SUBSTITUTE(SUBSTITUTE(SUBSTITUTE(SUBSTITUTE("type:"&amp;B379,"%","%25"),"~","%7E"),"*","%2A"),"?","%3F")))=0,"Unknown type",IF(COUNTIFS('Rules'!$G$7:$G$26,"="&amp;(SUBSTITUTE(SUBSTITUTE(SUBSTITUTE(SUBSTITUTE("type:"&amp;B379,"%","%25"),"~","%7E"),"*","%2A"),"?","%3F")))&gt;1,"Duplicate type",IF(INDEX('Rules'!$F$7:$F$26,MATCH(SUBSTITUTE(SUBSTITUTE(SUBSTITUTE(SUBSTITUTE("type:"&amp;B379,"%","%25"),"~","%7E"),"*","%2A"),"?","%3F"),'Rules'!$G$7:$G$26,0))&lt;&gt;"",INDEX('Rules'!$F$7:$F$26,MATCH(SUBSTITUTE(SUBSTITUTE(SUBSTITUTE(SUBSTITUTE("type:"&amp;B379,"%","%25"),"~","%7E"),"*","%2A"),"?","%3F"),'Rules'!$G$7:$G$26,0)),IF(AND(C379&lt;&gt;"",C379&lt;&gt;INDEX('Rules'!$B$7:$B$26,MATCH(SUBSTITUTE(SUBSTITUTE(SUBSTITUTE(SUBSTITUTE("type:"&amp;B379,"%","%25"),"~","%7E"),"*","%2A"),"?","%3F"),'Rules'!$G$7:$G$26,0))),"Unit mismatch",IF(IF(NOT(ISNUMBER(D379)),TRUE,OR(D379&lt;0,D379&gt;999999999,ROUND(D379,3)&lt;&gt;D379)),"Invalid current reading",IF(AND(E379&lt;&gt;"",IF(NOT(ISNUMBER(E379)),TRUE,OR(E379&lt;0,E379&gt;999999999,ROUND(E379,3)&lt;&gt;E379))),"Invalid previous reading",IF(IF(NOT(ISNUMBER(F379)),TRUE,OR(F379&lt;0,F379&gt;999999999,ROUND(F379,3)&lt;&gt;F379)),"Invalid last service",IF(AND(E379&lt;&gt;"",D379&lt;E379),"Decreased reading",IF(F379&gt;D379,"Last service above current","")))))))))))))</x:f>
      </x:c>
      <x:c r="L379" s="6" t="str">
        <x:f>IF(AND(NOT(COUNTA(A379:F379)=0),K379=""),INDEX('Rules'!$C$7:$C$26,MATCH(SUBSTITUTE(SUBSTITUTE(SUBSTITUTE(SUBSTITUTE("type:"&amp;B379,"%","%25"),"~","%7E"),"*","%2A"),"?","%3F"),'Rules'!$G$7:$G$26,0)),"")</x:f>
      </x:c>
      <x:c r="M379" s="6" t="str">
        <x:f>IF(AND(NOT(COUNTA(A379:F379)=0),K379=""),INDEX('Rules'!$D$7:$D$26,MATCH(SUBSTITUTE(SUBSTITUTE(SUBSTITUTE(SUBSTITUTE("type:"&amp;B379,"%","%25"),"~","%7E"),"*","%2A"),"?","%3F"),'Rules'!$G$7:$G$26,0)),"")</x:f>
      </x:c>
      <x:c r="N379" s="5" t="str">
        <x:f>IF(COUNTA(A379:F379)=0,"",SUBSTITUTE(SUBSTITUTE(SUBSTITUTE(SUBSTITUTE("id:"&amp;A379,"%","%25"),"~","%7E"),"*","%2A"),"?","%3F"))</x:f>
      </x:c>
    </x:row>
    <x:row r="380" ht="22" customHeight="1">
      <x:c r="A380" s="3"/>
      <x:c r="B380" s="3"/>
      <x:c r="C380" s="3"/>
      <x:c r="D380" s="4"/>
      <x:c r="E380" s="4"/>
      <x:c r="F380" s="4"/>
      <x:c r="G380" s="5" t="str">
        <x:f>IF(COUNTA(A380:F380)=0,"",IF(K380&lt;&gt;"","Review",IF(I380&lt;0,"Overdue",IF(I380=0,"Due now",IF(I380&lt;=M380,"Due soon","Not due")))))</x:f>
      </x:c>
      <x:c r="H380" s="5" t="str">
        <x:f>IF(OR(COUNTA(A380:F380)=0,COUNTIFS('Rules'!$G$7:$G$26,"="&amp;(SUBSTITUTE(SUBSTITUTE(SUBSTITUTE(SUBSTITUTE("type:"&amp;B380,"%","%25"),"~","%7E"),"*","%2A"),"?","%3F")))&lt;&gt;1),"",IF(OR(INDEX('Rules'!$B$7:$B$26,MATCH(SUBSTITUTE(SUBSTITUTE(SUBSTITUTE(SUBSTITUTE("type:"&amp;B380,"%","%25"),"~","%7E"),"*","%2A"),"?","%3F"),'Rules'!$G$7:$G$26,0))="hours",INDEX('Rules'!$B$7:$B$26,MATCH(SUBSTITUTE(SUBSTITUTE(SUBSTITUTE(SUBSTITUTE("type:"&amp;B380,"%","%25"),"~","%7E"),"*","%2A"),"?","%3F"),'Rules'!$G$7:$G$26,0))="km"),INDEX('Rules'!$B$7:$B$26,MATCH(SUBSTITUTE(SUBSTITUTE(SUBSTITUTE(SUBSTITUTE("type:"&amp;B380,"%","%25"),"~","%7E"),"*","%2A"),"?","%3F"),'Rules'!$G$7:$G$26,0)),""))</x:f>
      </x:c>
      <x:c r="I380" s="6" t="str">
        <x:f>IF(AND(NOT(COUNTA(A380:F380)=0),K380=""),ROUND(J380-D380,3),"")</x:f>
      </x:c>
      <x:c r="J380" s="6" t="str">
        <x:f>IF(AND(NOT(COUNTA(A380:F380)=0),K380=""),ROUND(F380+L380,3),"")</x:f>
      </x:c>
      <x:c r="K380" s="5" t="str">
        <x:f>IF(COUNTA(A380:F380)=0,"",IF(A380="","Missing equipment ID",IF(COUNTIFS($N$8:$N$2007,"="&amp;N380)&gt;1,"Duplicate equipment ID",IF(B380="","Missing type",IF(COUNTIFS('Rules'!$G$7:$G$26,"="&amp;(SUBSTITUTE(SUBSTITUTE(SUBSTITUTE(SUBSTITUTE("type:"&amp;B380,"%","%25"),"~","%7E"),"*","%2A"),"?","%3F")))=0,"Unknown type",IF(COUNTIFS('Rules'!$G$7:$G$26,"="&amp;(SUBSTITUTE(SUBSTITUTE(SUBSTITUTE(SUBSTITUTE("type:"&amp;B380,"%","%25"),"~","%7E"),"*","%2A"),"?","%3F")))&gt;1,"Duplicate type",IF(INDEX('Rules'!$F$7:$F$26,MATCH(SUBSTITUTE(SUBSTITUTE(SUBSTITUTE(SUBSTITUTE("type:"&amp;B380,"%","%25"),"~","%7E"),"*","%2A"),"?","%3F"),'Rules'!$G$7:$G$26,0))&lt;&gt;"",INDEX('Rules'!$F$7:$F$26,MATCH(SUBSTITUTE(SUBSTITUTE(SUBSTITUTE(SUBSTITUTE("type:"&amp;B380,"%","%25"),"~","%7E"),"*","%2A"),"?","%3F"),'Rules'!$G$7:$G$26,0)),IF(AND(C380&lt;&gt;"",C380&lt;&gt;INDEX('Rules'!$B$7:$B$26,MATCH(SUBSTITUTE(SUBSTITUTE(SUBSTITUTE(SUBSTITUTE("type:"&amp;B380,"%","%25"),"~","%7E"),"*","%2A"),"?","%3F"),'Rules'!$G$7:$G$26,0))),"Unit mismatch",IF(IF(NOT(ISNUMBER(D380)),TRUE,OR(D380&lt;0,D380&gt;999999999,ROUND(D380,3)&lt;&gt;D380)),"Invalid current reading",IF(AND(E380&lt;&gt;"",IF(NOT(ISNUMBER(E380)),TRUE,OR(E380&lt;0,E380&gt;999999999,ROUND(E380,3)&lt;&gt;E380))),"Invalid previous reading",IF(IF(NOT(ISNUMBER(F380)),TRUE,OR(F380&lt;0,F380&gt;999999999,ROUND(F380,3)&lt;&gt;F380)),"Invalid last service",IF(AND(E380&lt;&gt;"",D380&lt;E380),"Decreased reading",IF(F380&gt;D380,"Last service above current","")))))))))))))</x:f>
      </x:c>
      <x:c r="L380" s="6" t="str">
        <x:f>IF(AND(NOT(COUNTA(A380:F380)=0),K380=""),INDEX('Rules'!$C$7:$C$26,MATCH(SUBSTITUTE(SUBSTITUTE(SUBSTITUTE(SUBSTITUTE("type:"&amp;B380,"%","%25"),"~","%7E"),"*","%2A"),"?","%3F"),'Rules'!$G$7:$G$26,0)),"")</x:f>
      </x:c>
      <x:c r="M380" s="6" t="str">
        <x:f>IF(AND(NOT(COUNTA(A380:F380)=0),K380=""),INDEX('Rules'!$D$7:$D$26,MATCH(SUBSTITUTE(SUBSTITUTE(SUBSTITUTE(SUBSTITUTE("type:"&amp;B380,"%","%25"),"~","%7E"),"*","%2A"),"?","%3F"),'Rules'!$G$7:$G$26,0)),"")</x:f>
      </x:c>
      <x:c r="N380" s="5" t="str">
        <x:f>IF(COUNTA(A380:F380)=0,"",SUBSTITUTE(SUBSTITUTE(SUBSTITUTE(SUBSTITUTE("id:"&amp;A380,"%","%25"),"~","%7E"),"*","%2A"),"?","%3F"))</x:f>
      </x:c>
    </x:row>
    <x:row r="381" ht="22" customHeight="1">
      <x:c r="A381" s="3"/>
      <x:c r="B381" s="3"/>
      <x:c r="C381" s="3"/>
      <x:c r="D381" s="4"/>
      <x:c r="E381" s="4"/>
      <x:c r="F381" s="4"/>
      <x:c r="G381" s="5" t="str">
        <x:f>IF(COUNTA(A381:F381)=0,"",IF(K381&lt;&gt;"","Review",IF(I381&lt;0,"Overdue",IF(I381=0,"Due now",IF(I381&lt;=M381,"Due soon","Not due")))))</x:f>
      </x:c>
      <x:c r="H381" s="5" t="str">
        <x:f>IF(OR(COUNTA(A381:F381)=0,COUNTIFS('Rules'!$G$7:$G$26,"="&amp;(SUBSTITUTE(SUBSTITUTE(SUBSTITUTE(SUBSTITUTE("type:"&amp;B381,"%","%25"),"~","%7E"),"*","%2A"),"?","%3F")))&lt;&gt;1),"",IF(OR(INDEX('Rules'!$B$7:$B$26,MATCH(SUBSTITUTE(SUBSTITUTE(SUBSTITUTE(SUBSTITUTE("type:"&amp;B381,"%","%25"),"~","%7E"),"*","%2A"),"?","%3F"),'Rules'!$G$7:$G$26,0))="hours",INDEX('Rules'!$B$7:$B$26,MATCH(SUBSTITUTE(SUBSTITUTE(SUBSTITUTE(SUBSTITUTE("type:"&amp;B381,"%","%25"),"~","%7E"),"*","%2A"),"?","%3F"),'Rules'!$G$7:$G$26,0))="km"),INDEX('Rules'!$B$7:$B$26,MATCH(SUBSTITUTE(SUBSTITUTE(SUBSTITUTE(SUBSTITUTE("type:"&amp;B381,"%","%25"),"~","%7E"),"*","%2A"),"?","%3F"),'Rules'!$G$7:$G$26,0)),""))</x:f>
      </x:c>
      <x:c r="I381" s="6" t="str">
        <x:f>IF(AND(NOT(COUNTA(A381:F381)=0),K381=""),ROUND(J381-D381,3),"")</x:f>
      </x:c>
      <x:c r="J381" s="6" t="str">
        <x:f>IF(AND(NOT(COUNTA(A381:F381)=0),K381=""),ROUND(F381+L381,3),"")</x:f>
      </x:c>
      <x:c r="K381" s="5" t="str">
        <x:f>IF(COUNTA(A381:F381)=0,"",IF(A381="","Missing equipment ID",IF(COUNTIFS($N$8:$N$2007,"="&amp;N381)&gt;1,"Duplicate equipment ID",IF(B381="","Missing type",IF(COUNTIFS('Rules'!$G$7:$G$26,"="&amp;(SUBSTITUTE(SUBSTITUTE(SUBSTITUTE(SUBSTITUTE("type:"&amp;B381,"%","%25"),"~","%7E"),"*","%2A"),"?","%3F")))=0,"Unknown type",IF(COUNTIFS('Rules'!$G$7:$G$26,"="&amp;(SUBSTITUTE(SUBSTITUTE(SUBSTITUTE(SUBSTITUTE("type:"&amp;B381,"%","%25"),"~","%7E"),"*","%2A"),"?","%3F")))&gt;1,"Duplicate type",IF(INDEX('Rules'!$F$7:$F$26,MATCH(SUBSTITUTE(SUBSTITUTE(SUBSTITUTE(SUBSTITUTE("type:"&amp;B381,"%","%25"),"~","%7E"),"*","%2A"),"?","%3F"),'Rules'!$G$7:$G$26,0))&lt;&gt;"",INDEX('Rules'!$F$7:$F$26,MATCH(SUBSTITUTE(SUBSTITUTE(SUBSTITUTE(SUBSTITUTE("type:"&amp;B381,"%","%25"),"~","%7E"),"*","%2A"),"?","%3F"),'Rules'!$G$7:$G$26,0)),IF(AND(C381&lt;&gt;"",C381&lt;&gt;INDEX('Rules'!$B$7:$B$26,MATCH(SUBSTITUTE(SUBSTITUTE(SUBSTITUTE(SUBSTITUTE("type:"&amp;B381,"%","%25"),"~","%7E"),"*","%2A"),"?","%3F"),'Rules'!$G$7:$G$26,0))),"Unit mismatch",IF(IF(NOT(ISNUMBER(D381)),TRUE,OR(D381&lt;0,D381&gt;999999999,ROUND(D381,3)&lt;&gt;D381)),"Invalid current reading",IF(AND(E381&lt;&gt;"",IF(NOT(ISNUMBER(E381)),TRUE,OR(E381&lt;0,E381&gt;999999999,ROUND(E381,3)&lt;&gt;E381))),"Invalid previous reading",IF(IF(NOT(ISNUMBER(F381)),TRUE,OR(F381&lt;0,F381&gt;999999999,ROUND(F381,3)&lt;&gt;F381)),"Invalid last service",IF(AND(E381&lt;&gt;"",D381&lt;E381),"Decreased reading",IF(F381&gt;D381,"Last service above current","")))))))))))))</x:f>
      </x:c>
      <x:c r="L381" s="6" t="str">
        <x:f>IF(AND(NOT(COUNTA(A381:F381)=0),K381=""),INDEX('Rules'!$C$7:$C$26,MATCH(SUBSTITUTE(SUBSTITUTE(SUBSTITUTE(SUBSTITUTE("type:"&amp;B381,"%","%25"),"~","%7E"),"*","%2A"),"?","%3F"),'Rules'!$G$7:$G$26,0)),"")</x:f>
      </x:c>
      <x:c r="M381" s="6" t="str">
        <x:f>IF(AND(NOT(COUNTA(A381:F381)=0),K381=""),INDEX('Rules'!$D$7:$D$26,MATCH(SUBSTITUTE(SUBSTITUTE(SUBSTITUTE(SUBSTITUTE("type:"&amp;B381,"%","%25"),"~","%7E"),"*","%2A"),"?","%3F"),'Rules'!$G$7:$G$26,0)),"")</x:f>
      </x:c>
      <x:c r="N381" s="5" t="str">
        <x:f>IF(COUNTA(A381:F381)=0,"",SUBSTITUTE(SUBSTITUTE(SUBSTITUTE(SUBSTITUTE("id:"&amp;A381,"%","%25"),"~","%7E"),"*","%2A"),"?","%3F"))</x:f>
      </x:c>
    </x:row>
    <x:row r="382" ht="22" customHeight="1">
      <x:c r="A382" s="3"/>
      <x:c r="B382" s="3"/>
      <x:c r="C382" s="3"/>
      <x:c r="D382" s="4"/>
      <x:c r="E382" s="4"/>
      <x:c r="F382" s="4"/>
      <x:c r="G382" s="5" t="str">
        <x:f>IF(COUNTA(A382:F382)=0,"",IF(K382&lt;&gt;"","Review",IF(I382&lt;0,"Overdue",IF(I382=0,"Due now",IF(I382&lt;=M382,"Due soon","Not due")))))</x:f>
      </x:c>
      <x:c r="H382" s="5" t="str">
        <x:f>IF(OR(COUNTA(A382:F382)=0,COUNTIFS('Rules'!$G$7:$G$26,"="&amp;(SUBSTITUTE(SUBSTITUTE(SUBSTITUTE(SUBSTITUTE("type:"&amp;B382,"%","%25"),"~","%7E"),"*","%2A"),"?","%3F")))&lt;&gt;1),"",IF(OR(INDEX('Rules'!$B$7:$B$26,MATCH(SUBSTITUTE(SUBSTITUTE(SUBSTITUTE(SUBSTITUTE("type:"&amp;B382,"%","%25"),"~","%7E"),"*","%2A"),"?","%3F"),'Rules'!$G$7:$G$26,0))="hours",INDEX('Rules'!$B$7:$B$26,MATCH(SUBSTITUTE(SUBSTITUTE(SUBSTITUTE(SUBSTITUTE("type:"&amp;B382,"%","%25"),"~","%7E"),"*","%2A"),"?","%3F"),'Rules'!$G$7:$G$26,0))="km"),INDEX('Rules'!$B$7:$B$26,MATCH(SUBSTITUTE(SUBSTITUTE(SUBSTITUTE(SUBSTITUTE("type:"&amp;B382,"%","%25"),"~","%7E"),"*","%2A"),"?","%3F"),'Rules'!$G$7:$G$26,0)),""))</x:f>
      </x:c>
      <x:c r="I382" s="6" t="str">
        <x:f>IF(AND(NOT(COUNTA(A382:F382)=0),K382=""),ROUND(J382-D382,3),"")</x:f>
      </x:c>
      <x:c r="J382" s="6" t="str">
        <x:f>IF(AND(NOT(COUNTA(A382:F382)=0),K382=""),ROUND(F382+L382,3),"")</x:f>
      </x:c>
      <x:c r="K382" s="5" t="str">
        <x:f>IF(COUNTA(A382:F382)=0,"",IF(A382="","Missing equipment ID",IF(COUNTIFS($N$8:$N$2007,"="&amp;N382)&gt;1,"Duplicate equipment ID",IF(B382="","Missing type",IF(COUNTIFS('Rules'!$G$7:$G$26,"="&amp;(SUBSTITUTE(SUBSTITUTE(SUBSTITUTE(SUBSTITUTE("type:"&amp;B382,"%","%25"),"~","%7E"),"*","%2A"),"?","%3F")))=0,"Unknown type",IF(COUNTIFS('Rules'!$G$7:$G$26,"="&amp;(SUBSTITUTE(SUBSTITUTE(SUBSTITUTE(SUBSTITUTE("type:"&amp;B382,"%","%25"),"~","%7E"),"*","%2A"),"?","%3F")))&gt;1,"Duplicate type",IF(INDEX('Rules'!$F$7:$F$26,MATCH(SUBSTITUTE(SUBSTITUTE(SUBSTITUTE(SUBSTITUTE("type:"&amp;B382,"%","%25"),"~","%7E"),"*","%2A"),"?","%3F"),'Rules'!$G$7:$G$26,0))&lt;&gt;"",INDEX('Rules'!$F$7:$F$26,MATCH(SUBSTITUTE(SUBSTITUTE(SUBSTITUTE(SUBSTITUTE("type:"&amp;B382,"%","%25"),"~","%7E"),"*","%2A"),"?","%3F"),'Rules'!$G$7:$G$26,0)),IF(AND(C382&lt;&gt;"",C382&lt;&gt;INDEX('Rules'!$B$7:$B$26,MATCH(SUBSTITUTE(SUBSTITUTE(SUBSTITUTE(SUBSTITUTE("type:"&amp;B382,"%","%25"),"~","%7E"),"*","%2A"),"?","%3F"),'Rules'!$G$7:$G$26,0))),"Unit mismatch",IF(IF(NOT(ISNUMBER(D382)),TRUE,OR(D382&lt;0,D382&gt;999999999,ROUND(D382,3)&lt;&gt;D382)),"Invalid current reading",IF(AND(E382&lt;&gt;"",IF(NOT(ISNUMBER(E382)),TRUE,OR(E382&lt;0,E382&gt;999999999,ROUND(E382,3)&lt;&gt;E382))),"Invalid previous reading",IF(IF(NOT(ISNUMBER(F382)),TRUE,OR(F382&lt;0,F382&gt;999999999,ROUND(F382,3)&lt;&gt;F382)),"Invalid last service",IF(AND(E382&lt;&gt;"",D382&lt;E382),"Decreased reading",IF(F382&gt;D382,"Last service above current","")))))))))))))</x:f>
      </x:c>
      <x:c r="L382" s="6" t="str">
        <x:f>IF(AND(NOT(COUNTA(A382:F382)=0),K382=""),INDEX('Rules'!$C$7:$C$26,MATCH(SUBSTITUTE(SUBSTITUTE(SUBSTITUTE(SUBSTITUTE("type:"&amp;B382,"%","%25"),"~","%7E"),"*","%2A"),"?","%3F"),'Rules'!$G$7:$G$26,0)),"")</x:f>
      </x:c>
      <x:c r="M382" s="6" t="str">
        <x:f>IF(AND(NOT(COUNTA(A382:F382)=0),K382=""),INDEX('Rules'!$D$7:$D$26,MATCH(SUBSTITUTE(SUBSTITUTE(SUBSTITUTE(SUBSTITUTE("type:"&amp;B382,"%","%25"),"~","%7E"),"*","%2A"),"?","%3F"),'Rules'!$G$7:$G$26,0)),"")</x:f>
      </x:c>
      <x:c r="N382" s="5" t="str">
        <x:f>IF(COUNTA(A382:F382)=0,"",SUBSTITUTE(SUBSTITUTE(SUBSTITUTE(SUBSTITUTE("id:"&amp;A382,"%","%25"),"~","%7E"),"*","%2A"),"?","%3F"))</x:f>
      </x:c>
    </x:row>
    <x:row r="383" ht="22" customHeight="1">
      <x:c r="A383" s="3"/>
      <x:c r="B383" s="3"/>
      <x:c r="C383" s="3"/>
      <x:c r="D383" s="4"/>
      <x:c r="E383" s="4"/>
      <x:c r="F383" s="4"/>
      <x:c r="G383" s="5" t="str">
        <x:f>IF(COUNTA(A383:F383)=0,"",IF(K383&lt;&gt;"","Review",IF(I383&lt;0,"Overdue",IF(I383=0,"Due now",IF(I383&lt;=M383,"Due soon","Not due")))))</x:f>
      </x:c>
      <x:c r="H383" s="5" t="str">
        <x:f>IF(OR(COUNTA(A383:F383)=0,COUNTIFS('Rules'!$G$7:$G$26,"="&amp;(SUBSTITUTE(SUBSTITUTE(SUBSTITUTE(SUBSTITUTE("type:"&amp;B383,"%","%25"),"~","%7E"),"*","%2A"),"?","%3F")))&lt;&gt;1),"",IF(OR(INDEX('Rules'!$B$7:$B$26,MATCH(SUBSTITUTE(SUBSTITUTE(SUBSTITUTE(SUBSTITUTE("type:"&amp;B383,"%","%25"),"~","%7E"),"*","%2A"),"?","%3F"),'Rules'!$G$7:$G$26,0))="hours",INDEX('Rules'!$B$7:$B$26,MATCH(SUBSTITUTE(SUBSTITUTE(SUBSTITUTE(SUBSTITUTE("type:"&amp;B383,"%","%25"),"~","%7E"),"*","%2A"),"?","%3F"),'Rules'!$G$7:$G$26,0))="km"),INDEX('Rules'!$B$7:$B$26,MATCH(SUBSTITUTE(SUBSTITUTE(SUBSTITUTE(SUBSTITUTE("type:"&amp;B383,"%","%25"),"~","%7E"),"*","%2A"),"?","%3F"),'Rules'!$G$7:$G$26,0)),""))</x:f>
      </x:c>
      <x:c r="I383" s="6" t="str">
        <x:f>IF(AND(NOT(COUNTA(A383:F383)=0),K383=""),ROUND(J383-D383,3),"")</x:f>
      </x:c>
      <x:c r="J383" s="6" t="str">
        <x:f>IF(AND(NOT(COUNTA(A383:F383)=0),K383=""),ROUND(F383+L383,3),"")</x:f>
      </x:c>
      <x:c r="K383" s="5" t="str">
        <x:f>IF(COUNTA(A383:F383)=0,"",IF(A383="","Missing equipment ID",IF(COUNTIFS($N$8:$N$2007,"="&amp;N383)&gt;1,"Duplicate equipment ID",IF(B383="","Missing type",IF(COUNTIFS('Rules'!$G$7:$G$26,"="&amp;(SUBSTITUTE(SUBSTITUTE(SUBSTITUTE(SUBSTITUTE("type:"&amp;B383,"%","%25"),"~","%7E"),"*","%2A"),"?","%3F")))=0,"Unknown type",IF(COUNTIFS('Rules'!$G$7:$G$26,"="&amp;(SUBSTITUTE(SUBSTITUTE(SUBSTITUTE(SUBSTITUTE("type:"&amp;B383,"%","%25"),"~","%7E"),"*","%2A"),"?","%3F")))&gt;1,"Duplicate type",IF(INDEX('Rules'!$F$7:$F$26,MATCH(SUBSTITUTE(SUBSTITUTE(SUBSTITUTE(SUBSTITUTE("type:"&amp;B383,"%","%25"),"~","%7E"),"*","%2A"),"?","%3F"),'Rules'!$G$7:$G$26,0))&lt;&gt;"",INDEX('Rules'!$F$7:$F$26,MATCH(SUBSTITUTE(SUBSTITUTE(SUBSTITUTE(SUBSTITUTE("type:"&amp;B383,"%","%25"),"~","%7E"),"*","%2A"),"?","%3F"),'Rules'!$G$7:$G$26,0)),IF(AND(C383&lt;&gt;"",C383&lt;&gt;INDEX('Rules'!$B$7:$B$26,MATCH(SUBSTITUTE(SUBSTITUTE(SUBSTITUTE(SUBSTITUTE("type:"&amp;B383,"%","%25"),"~","%7E"),"*","%2A"),"?","%3F"),'Rules'!$G$7:$G$26,0))),"Unit mismatch",IF(IF(NOT(ISNUMBER(D383)),TRUE,OR(D383&lt;0,D383&gt;999999999,ROUND(D383,3)&lt;&gt;D383)),"Invalid current reading",IF(AND(E383&lt;&gt;"",IF(NOT(ISNUMBER(E383)),TRUE,OR(E383&lt;0,E383&gt;999999999,ROUND(E383,3)&lt;&gt;E383))),"Invalid previous reading",IF(IF(NOT(ISNUMBER(F383)),TRUE,OR(F383&lt;0,F383&gt;999999999,ROUND(F383,3)&lt;&gt;F383)),"Invalid last service",IF(AND(E383&lt;&gt;"",D383&lt;E383),"Decreased reading",IF(F383&gt;D383,"Last service above current","")))))))))))))</x:f>
      </x:c>
      <x:c r="L383" s="6" t="str">
        <x:f>IF(AND(NOT(COUNTA(A383:F383)=0),K383=""),INDEX('Rules'!$C$7:$C$26,MATCH(SUBSTITUTE(SUBSTITUTE(SUBSTITUTE(SUBSTITUTE("type:"&amp;B383,"%","%25"),"~","%7E"),"*","%2A"),"?","%3F"),'Rules'!$G$7:$G$26,0)),"")</x:f>
      </x:c>
      <x:c r="M383" s="6" t="str">
        <x:f>IF(AND(NOT(COUNTA(A383:F383)=0),K383=""),INDEX('Rules'!$D$7:$D$26,MATCH(SUBSTITUTE(SUBSTITUTE(SUBSTITUTE(SUBSTITUTE("type:"&amp;B383,"%","%25"),"~","%7E"),"*","%2A"),"?","%3F"),'Rules'!$G$7:$G$26,0)),"")</x:f>
      </x:c>
      <x:c r="N383" s="5" t="str">
        <x:f>IF(COUNTA(A383:F383)=0,"",SUBSTITUTE(SUBSTITUTE(SUBSTITUTE(SUBSTITUTE("id:"&amp;A383,"%","%25"),"~","%7E"),"*","%2A"),"?","%3F"))</x:f>
      </x:c>
    </x:row>
    <x:row r="384" ht="22" customHeight="1">
      <x:c r="A384" s="3"/>
      <x:c r="B384" s="3"/>
      <x:c r="C384" s="3"/>
      <x:c r="D384" s="4"/>
      <x:c r="E384" s="4"/>
      <x:c r="F384" s="4"/>
      <x:c r="G384" s="5" t="str">
        <x:f>IF(COUNTA(A384:F384)=0,"",IF(K384&lt;&gt;"","Review",IF(I384&lt;0,"Overdue",IF(I384=0,"Due now",IF(I384&lt;=M384,"Due soon","Not due")))))</x:f>
      </x:c>
      <x:c r="H384" s="5" t="str">
        <x:f>IF(OR(COUNTA(A384:F384)=0,COUNTIFS('Rules'!$G$7:$G$26,"="&amp;(SUBSTITUTE(SUBSTITUTE(SUBSTITUTE(SUBSTITUTE("type:"&amp;B384,"%","%25"),"~","%7E"),"*","%2A"),"?","%3F")))&lt;&gt;1),"",IF(OR(INDEX('Rules'!$B$7:$B$26,MATCH(SUBSTITUTE(SUBSTITUTE(SUBSTITUTE(SUBSTITUTE("type:"&amp;B384,"%","%25"),"~","%7E"),"*","%2A"),"?","%3F"),'Rules'!$G$7:$G$26,0))="hours",INDEX('Rules'!$B$7:$B$26,MATCH(SUBSTITUTE(SUBSTITUTE(SUBSTITUTE(SUBSTITUTE("type:"&amp;B384,"%","%25"),"~","%7E"),"*","%2A"),"?","%3F"),'Rules'!$G$7:$G$26,0))="km"),INDEX('Rules'!$B$7:$B$26,MATCH(SUBSTITUTE(SUBSTITUTE(SUBSTITUTE(SUBSTITUTE("type:"&amp;B384,"%","%25"),"~","%7E"),"*","%2A"),"?","%3F"),'Rules'!$G$7:$G$26,0)),""))</x:f>
      </x:c>
      <x:c r="I384" s="6" t="str">
        <x:f>IF(AND(NOT(COUNTA(A384:F384)=0),K384=""),ROUND(J384-D384,3),"")</x:f>
      </x:c>
      <x:c r="J384" s="6" t="str">
        <x:f>IF(AND(NOT(COUNTA(A384:F384)=0),K384=""),ROUND(F384+L384,3),"")</x:f>
      </x:c>
      <x:c r="K384" s="5" t="str">
        <x:f>IF(COUNTA(A384:F384)=0,"",IF(A384="","Missing equipment ID",IF(COUNTIFS($N$8:$N$2007,"="&amp;N384)&gt;1,"Duplicate equipment ID",IF(B384="","Missing type",IF(COUNTIFS('Rules'!$G$7:$G$26,"="&amp;(SUBSTITUTE(SUBSTITUTE(SUBSTITUTE(SUBSTITUTE("type:"&amp;B384,"%","%25"),"~","%7E"),"*","%2A"),"?","%3F")))=0,"Unknown type",IF(COUNTIFS('Rules'!$G$7:$G$26,"="&amp;(SUBSTITUTE(SUBSTITUTE(SUBSTITUTE(SUBSTITUTE("type:"&amp;B384,"%","%25"),"~","%7E"),"*","%2A"),"?","%3F")))&gt;1,"Duplicate type",IF(INDEX('Rules'!$F$7:$F$26,MATCH(SUBSTITUTE(SUBSTITUTE(SUBSTITUTE(SUBSTITUTE("type:"&amp;B384,"%","%25"),"~","%7E"),"*","%2A"),"?","%3F"),'Rules'!$G$7:$G$26,0))&lt;&gt;"",INDEX('Rules'!$F$7:$F$26,MATCH(SUBSTITUTE(SUBSTITUTE(SUBSTITUTE(SUBSTITUTE("type:"&amp;B384,"%","%25"),"~","%7E"),"*","%2A"),"?","%3F"),'Rules'!$G$7:$G$26,0)),IF(AND(C384&lt;&gt;"",C384&lt;&gt;INDEX('Rules'!$B$7:$B$26,MATCH(SUBSTITUTE(SUBSTITUTE(SUBSTITUTE(SUBSTITUTE("type:"&amp;B384,"%","%25"),"~","%7E"),"*","%2A"),"?","%3F"),'Rules'!$G$7:$G$26,0))),"Unit mismatch",IF(IF(NOT(ISNUMBER(D384)),TRUE,OR(D384&lt;0,D384&gt;999999999,ROUND(D384,3)&lt;&gt;D384)),"Invalid current reading",IF(AND(E384&lt;&gt;"",IF(NOT(ISNUMBER(E384)),TRUE,OR(E384&lt;0,E384&gt;999999999,ROUND(E384,3)&lt;&gt;E384))),"Invalid previous reading",IF(IF(NOT(ISNUMBER(F384)),TRUE,OR(F384&lt;0,F384&gt;999999999,ROUND(F384,3)&lt;&gt;F384)),"Invalid last service",IF(AND(E384&lt;&gt;"",D384&lt;E384),"Decreased reading",IF(F384&gt;D384,"Last service above current","")))))))))))))</x:f>
      </x:c>
      <x:c r="L384" s="6" t="str">
        <x:f>IF(AND(NOT(COUNTA(A384:F384)=0),K384=""),INDEX('Rules'!$C$7:$C$26,MATCH(SUBSTITUTE(SUBSTITUTE(SUBSTITUTE(SUBSTITUTE("type:"&amp;B384,"%","%25"),"~","%7E"),"*","%2A"),"?","%3F"),'Rules'!$G$7:$G$26,0)),"")</x:f>
      </x:c>
      <x:c r="M384" s="6" t="str">
        <x:f>IF(AND(NOT(COUNTA(A384:F384)=0),K384=""),INDEX('Rules'!$D$7:$D$26,MATCH(SUBSTITUTE(SUBSTITUTE(SUBSTITUTE(SUBSTITUTE("type:"&amp;B384,"%","%25"),"~","%7E"),"*","%2A"),"?","%3F"),'Rules'!$G$7:$G$26,0)),"")</x:f>
      </x:c>
      <x:c r="N384" s="5" t="str">
        <x:f>IF(COUNTA(A384:F384)=0,"",SUBSTITUTE(SUBSTITUTE(SUBSTITUTE(SUBSTITUTE("id:"&amp;A384,"%","%25"),"~","%7E"),"*","%2A"),"?","%3F"))</x:f>
      </x:c>
    </x:row>
    <x:row r="385" ht="22" customHeight="1">
      <x:c r="A385" s="3"/>
      <x:c r="B385" s="3"/>
      <x:c r="C385" s="3"/>
      <x:c r="D385" s="4"/>
      <x:c r="E385" s="4"/>
      <x:c r="F385" s="4"/>
      <x:c r="G385" s="5" t="str">
        <x:f>IF(COUNTA(A385:F385)=0,"",IF(K385&lt;&gt;"","Review",IF(I385&lt;0,"Overdue",IF(I385=0,"Due now",IF(I385&lt;=M385,"Due soon","Not due")))))</x:f>
      </x:c>
      <x:c r="H385" s="5" t="str">
        <x:f>IF(OR(COUNTA(A385:F385)=0,COUNTIFS('Rules'!$G$7:$G$26,"="&amp;(SUBSTITUTE(SUBSTITUTE(SUBSTITUTE(SUBSTITUTE("type:"&amp;B385,"%","%25"),"~","%7E"),"*","%2A"),"?","%3F")))&lt;&gt;1),"",IF(OR(INDEX('Rules'!$B$7:$B$26,MATCH(SUBSTITUTE(SUBSTITUTE(SUBSTITUTE(SUBSTITUTE("type:"&amp;B385,"%","%25"),"~","%7E"),"*","%2A"),"?","%3F"),'Rules'!$G$7:$G$26,0))="hours",INDEX('Rules'!$B$7:$B$26,MATCH(SUBSTITUTE(SUBSTITUTE(SUBSTITUTE(SUBSTITUTE("type:"&amp;B385,"%","%25"),"~","%7E"),"*","%2A"),"?","%3F"),'Rules'!$G$7:$G$26,0))="km"),INDEX('Rules'!$B$7:$B$26,MATCH(SUBSTITUTE(SUBSTITUTE(SUBSTITUTE(SUBSTITUTE("type:"&amp;B385,"%","%25"),"~","%7E"),"*","%2A"),"?","%3F"),'Rules'!$G$7:$G$26,0)),""))</x:f>
      </x:c>
      <x:c r="I385" s="6" t="str">
        <x:f>IF(AND(NOT(COUNTA(A385:F385)=0),K385=""),ROUND(J385-D385,3),"")</x:f>
      </x:c>
      <x:c r="J385" s="6" t="str">
        <x:f>IF(AND(NOT(COUNTA(A385:F385)=0),K385=""),ROUND(F385+L385,3),"")</x:f>
      </x:c>
      <x:c r="K385" s="5" t="str">
        <x:f>IF(COUNTA(A385:F385)=0,"",IF(A385="","Missing equipment ID",IF(COUNTIFS($N$8:$N$2007,"="&amp;N385)&gt;1,"Duplicate equipment ID",IF(B385="","Missing type",IF(COUNTIFS('Rules'!$G$7:$G$26,"="&amp;(SUBSTITUTE(SUBSTITUTE(SUBSTITUTE(SUBSTITUTE("type:"&amp;B385,"%","%25"),"~","%7E"),"*","%2A"),"?","%3F")))=0,"Unknown type",IF(COUNTIFS('Rules'!$G$7:$G$26,"="&amp;(SUBSTITUTE(SUBSTITUTE(SUBSTITUTE(SUBSTITUTE("type:"&amp;B385,"%","%25"),"~","%7E"),"*","%2A"),"?","%3F")))&gt;1,"Duplicate type",IF(INDEX('Rules'!$F$7:$F$26,MATCH(SUBSTITUTE(SUBSTITUTE(SUBSTITUTE(SUBSTITUTE("type:"&amp;B385,"%","%25"),"~","%7E"),"*","%2A"),"?","%3F"),'Rules'!$G$7:$G$26,0))&lt;&gt;"",INDEX('Rules'!$F$7:$F$26,MATCH(SUBSTITUTE(SUBSTITUTE(SUBSTITUTE(SUBSTITUTE("type:"&amp;B385,"%","%25"),"~","%7E"),"*","%2A"),"?","%3F"),'Rules'!$G$7:$G$26,0)),IF(AND(C385&lt;&gt;"",C385&lt;&gt;INDEX('Rules'!$B$7:$B$26,MATCH(SUBSTITUTE(SUBSTITUTE(SUBSTITUTE(SUBSTITUTE("type:"&amp;B385,"%","%25"),"~","%7E"),"*","%2A"),"?","%3F"),'Rules'!$G$7:$G$26,0))),"Unit mismatch",IF(IF(NOT(ISNUMBER(D385)),TRUE,OR(D385&lt;0,D385&gt;999999999,ROUND(D385,3)&lt;&gt;D385)),"Invalid current reading",IF(AND(E385&lt;&gt;"",IF(NOT(ISNUMBER(E385)),TRUE,OR(E385&lt;0,E385&gt;999999999,ROUND(E385,3)&lt;&gt;E385))),"Invalid previous reading",IF(IF(NOT(ISNUMBER(F385)),TRUE,OR(F385&lt;0,F385&gt;999999999,ROUND(F385,3)&lt;&gt;F385)),"Invalid last service",IF(AND(E385&lt;&gt;"",D385&lt;E385),"Decreased reading",IF(F385&gt;D385,"Last service above current","")))))))))))))</x:f>
      </x:c>
      <x:c r="L385" s="6" t="str">
        <x:f>IF(AND(NOT(COUNTA(A385:F385)=0),K385=""),INDEX('Rules'!$C$7:$C$26,MATCH(SUBSTITUTE(SUBSTITUTE(SUBSTITUTE(SUBSTITUTE("type:"&amp;B385,"%","%25"),"~","%7E"),"*","%2A"),"?","%3F"),'Rules'!$G$7:$G$26,0)),"")</x:f>
      </x:c>
      <x:c r="M385" s="6" t="str">
        <x:f>IF(AND(NOT(COUNTA(A385:F385)=0),K385=""),INDEX('Rules'!$D$7:$D$26,MATCH(SUBSTITUTE(SUBSTITUTE(SUBSTITUTE(SUBSTITUTE("type:"&amp;B385,"%","%25"),"~","%7E"),"*","%2A"),"?","%3F"),'Rules'!$G$7:$G$26,0)),"")</x:f>
      </x:c>
      <x:c r="N385" s="5" t="str">
        <x:f>IF(COUNTA(A385:F385)=0,"",SUBSTITUTE(SUBSTITUTE(SUBSTITUTE(SUBSTITUTE("id:"&amp;A385,"%","%25"),"~","%7E"),"*","%2A"),"?","%3F"))</x:f>
      </x:c>
    </x:row>
    <x:row r="386" ht="22" customHeight="1">
      <x:c r="A386" s="3"/>
      <x:c r="B386" s="3"/>
      <x:c r="C386" s="3"/>
      <x:c r="D386" s="4"/>
      <x:c r="E386" s="4"/>
      <x:c r="F386" s="4"/>
      <x:c r="G386" s="5" t="str">
        <x:f>IF(COUNTA(A386:F386)=0,"",IF(K386&lt;&gt;"","Review",IF(I386&lt;0,"Overdue",IF(I386=0,"Due now",IF(I386&lt;=M386,"Due soon","Not due")))))</x:f>
      </x:c>
      <x:c r="H386" s="5" t="str">
        <x:f>IF(OR(COUNTA(A386:F386)=0,COUNTIFS('Rules'!$G$7:$G$26,"="&amp;(SUBSTITUTE(SUBSTITUTE(SUBSTITUTE(SUBSTITUTE("type:"&amp;B386,"%","%25"),"~","%7E"),"*","%2A"),"?","%3F")))&lt;&gt;1),"",IF(OR(INDEX('Rules'!$B$7:$B$26,MATCH(SUBSTITUTE(SUBSTITUTE(SUBSTITUTE(SUBSTITUTE("type:"&amp;B386,"%","%25"),"~","%7E"),"*","%2A"),"?","%3F"),'Rules'!$G$7:$G$26,0))="hours",INDEX('Rules'!$B$7:$B$26,MATCH(SUBSTITUTE(SUBSTITUTE(SUBSTITUTE(SUBSTITUTE("type:"&amp;B386,"%","%25"),"~","%7E"),"*","%2A"),"?","%3F"),'Rules'!$G$7:$G$26,0))="km"),INDEX('Rules'!$B$7:$B$26,MATCH(SUBSTITUTE(SUBSTITUTE(SUBSTITUTE(SUBSTITUTE("type:"&amp;B386,"%","%25"),"~","%7E"),"*","%2A"),"?","%3F"),'Rules'!$G$7:$G$26,0)),""))</x:f>
      </x:c>
      <x:c r="I386" s="6" t="str">
        <x:f>IF(AND(NOT(COUNTA(A386:F386)=0),K386=""),ROUND(J386-D386,3),"")</x:f>
      </x:c>
      <x:c r="J386" s="6" t="str">
        <x:f>IF(AND(NOT(COUNTA(A386:F386)=0),K386=""),ROUND(F386+L386,3),"")</x:f>
      </x:c>
      <x:c r="K386" s="5" t="str">
        <x:f>IF(COUNTA(A386:F386)=0,"",IF(A386="","Missing equipment ID",IF(COUNTIFS($N$8:$N$2007,"="&amp;N386)&gt;1,"Duplicate equipment ID",IF(B386="","Missing type",IF(COUNTIFS('Rules'!$G$7:$G$26,"="&amp;(SUBSTITUTE(SUBSTITUTE(SUBSTITUTE(SUBSTITUTE("type:"&amp;B386,"%","%25"),"~","%7E"),"*","%2A"),"?","%3F")))=0,"Unknown type",IF(COUNTIFS('Rules'!$G$7:$G$26,"="&amp;(SUBSTITUTE(SUBSTITUTE(SUBSTITUTE(SUBSTITUTE("type:"&amp;B386,"%","%25"),"~","%7E"),"*","%2A"),"?","%3F")))&gt;1,"Duplicate type",IF(INDEX('Rules'!$F$7:$F$26,MATCH(SUBSTITUTE(SUBSTITUTE(SUBSTITUTE(SUBSTITUTE("type:"&amp;B386,"%","%25"),"~","%7E"),"*","%2A"),"?","%3F"),'Rules'!$G$7:$G$26,0))&lt;&gt;"",INDEX('Rules'!$F$7:$F$26,MATCH(SUBSTITUTE(SUBSTITUTE(SUBSTITUTE(SUBSTITUTE("type:"&amp;B386,"%","%25"),"~","%7E"),"*","%2A"),"?","%3F"),'Rules'!$G$7:$G$26,0)),IF(AND(C386&lt;&gt;"",C386&lt;&gt;INDEX('Rules'!$B$7:$B$26,MATCH(SUBSTITUTE(SUBSTITUTE(SUBSTITUTE(SUBSTITUTE("type:"&amp;B386,"%","%25"),"~","%7E"),"*","%2A"),"?","%3F"),'Rules'!$G$7:$G$26,0))),"Unit mismatch",IF(IF(NOT(ISNUMBER(D386)),TRUE,OR(D386&lt;0,D386&gt;999999999,ROUND(D386,3)&lt;&gt;D386)),"Invalid current reading",IF(AND(E386&lt;&gt;"",IF(NOT(ISNUMBER(E386)),TRUE,OR(E386&lt;0,E386&gt;999999999,ROUND(E386,3)&lt;&gt;E386))),"Invalid previous reading",IF(IF(NOT(ISNUMBER(F386)),TRUE,OR(F386&lt;0,F386&gt;999999999,ROUND(F386,3)&lt;&gt;F386)),"Invalid last service",IF(AND(E386&lt;&gt;"",D386&lt;E386),"Decreased reading",IF(F386&gt;D386,"Last service above current","")))))))))))))</x:f>
      </x:c>
      <x:c r="L386" s="6" t="str">
        <x:f>IF(AND(NOT(COUNTA(A386:F386)=0),K386=""),INDEX('Rules'!$C$7:$C$26,MATCH(SUBSTITUTE(SUBSTITUTE(SUBSTITUTE(SUBSTITUTE("type:"&amp;B386,"%","%25"),"~","%7E"),"*","%2A"),"?","%3F"),'Rules'!$G$7:$G$26,0)),"")</x:f>
      </x:c>
      <x:c r="M386" s="6" t="str">
        <x:f>IF(AND(NOT(COUNTA(A386:F386)=0),K386=""),INDEX('Rules'!$D$7:$D$26,MATCH(SUBSTITUTE(SUBSTITUTE(SUBSTITUTE(SUBSTITUTE("type:"&amp;B386,"%","%25"),"~","%7E"),"*","%2A"),"?","%3F"),'Rules'!$G$7:$G$26,0)),"")</x:f>
      </x:c>
      <x:c r="N386" s="5" t="str">
        <x:f>IF(COUNTA(A386:F386)=0,"",SUBSTITUTE(SUBSTITUTE(SUBSTITUTE(SUBSTITUTE("id:"&amp;A386,"%","%25"),"~","%7E"),"*","%2A"),"?","%3F"))</x:f>
      </x:c>
    </x:row>
    <x:row r="387" ht="22" customHeight="1">
      <x:c r="A387" s="3"/>
      <x:c r="B387" s="3"/>
      <x:c r="C387" s="3"/>
      <x:c r="D387" s="4"/>
      <x:c r="E387" s="4"/>
      <x:c r="F387" s="4"/>
      <x:c r="G387" s="5" t="str">
        <x:f>IF(COUNTA(A387:F387)=0,"",IF(K387&lt;&gt;"","Review",IF(I387&lt;0,"Overdue",IF(I387=0,"Due now",IF(I387&lt;=M387,"Due soon","Not due")))))</x:f>
      </x:c>
      <x:c r="H387" s="5" t="str">
        <x:f>IF(OR(COUNTA(A387:F387)=0,COUNTIFS('Rules'!$G$7:$G$26,"="&amp;(SUBSTITUTE(SUBSTITUTE(SUBSTITUTE(SUBSTITUTE("type:"&amp;B387,"%","%25"),"~","%7E"),"*","%2A"),"?","%3F")))&lt;&gt;1),"",IF(OR(INDEX('Rules'!$B$7:$B$26,MATCH(SUBSTITUTE(SUBSTITUTE(SUBSTITUTE(SUBSTITUTE("type:"&amp;B387,"%","%25"),"~","%7E"),"*","%2A"),"?","%3F"),'Rules'!$G$7:$G$26,0))="hours",INDEX('Rules'!$B$7:$B$26,MATCH(SUBSTITUTE(SUBSTITUTE(SUBSTITUTE(SUBSTITUTE("type:"&amp;B387,"%","%25"),"~","%7E"),"*","%2A"),"?","%3F"),'Rules'!$G$7:$G$26,0))="km"),INDEX('Rules'!$B$7:$B$26,MATCH(SUBSTITUTE(SUBSTITUTE(SUBSTITUTE(SUBSTITUTE("type:"&amp;B387,"%","%25"),"~","%7E"),"*","%2A"),"?","%3F"),'Rules'!$G$7:$G$26,0)),""))</x:f>
      </x:c>
      <x:c r="I387" s="6" t="str">
        <x:f>IF(AND(NOT(COUNTA(A387:F387)=0),K387=""),ROUND(J387-D387,3),"")</x:f>
      </x:c>
      <x:c r="J387" s="6" t="str">
        <x:f>IF(AND(NOT(COUNTA(A387:F387)=0),K387=""),ROUND(F387+L387,3),"")</x:f>
      </x:c>
      <x:c r="K387" s="5" t="str">
        <x:f>IF(COUNTA(A387:F387)=0,"",IF(A387="","Missing equipment ID",IF(COUNTIFS($N$8:$N$2007,"="&amp;N387)&gt;1,"Duplicate equipment ID",IF(B387="","Missing type",IF(COUNTIFS('Rules'!$G$7:$G$26,"="&amp;(SUBSTITUTE(SUBSTITUTE(SUBSTITUTE(SUBSTITUTE("type:"&amp;B387,"%","%25"),"~","%7E"),"*","%2A"),"?","%3F")))=0,"Unknown type",IF(COUNTIFS('Rules'!$G$7:$G$26,"="&amp;(SUBSTITUTE(SUBSTITUTE(SUBSTITUTE(SUBSTITUTE("type:"&amp;B387,"%","%25"),"~","%7E"),"*","%2A"),"?","%3F")))&gt;1,"Duplicate type",IF(INDEX('Rules'!$F$7:$F$26,MATCH(SUBSTITUTE(SUBSTITUTE(SUBSTITUTE(SUBSTITUTE("type:"&amp;B387,"%","%25"),"~","%7E"),"*","%2A"),"?","%3F"),'Rules'!$G$7:$G$26,0))&lt;&gt;"",INDEX('Rules'!$F$7:$F$26,MATCH(SUBSTITUTE(SUBSTITUTE(SUBSTITUTE(SUBSTITUTE("type:"&amp;B387,"%","%25"),"~","%7E"),"*","%2A"),"?","%3F"),'Rules'!$G$7:$G$26,0)),IF(AND(C387&lt;&gt;"",C387&lt;&gt;INDEX('Rules'!$B$7:$B$26,MATCH(SUBSTITUTE(SUBSTITUTE(SUBSTITUTE(SUBSTITUTE("type:"&amp;B387,"%","%25"),"~","%7E"),"*","%2A"),"?","%3F"),'Rules'!$G$7:$G$26,0))),"Unit mismatch",IF(IF(NOT(ISNUMBER(D387)),TRUE,OR(D387&lt;0,D387&gt;999999999,ROUND(D387,3)&lt;&gt;D387)),"Invalid current reading",IF(AND(E387&lt;&gt;"",IF(NOT(ISNUMBER(E387)),TRUE,OR(E387&lt;0,E387&gt;999999999,ROUND(E387,3)&lt;&gt;E387))),"Invalid previous reading",IF(IF(NOT(ISNUMBER(F387)),TRUE,OR(F387&lt;0,F387&gt;999999999,ROUND(F387,3)&lt;&gt;F387)),"Invalid last service",IF(AND(E387&lt;&gt;"",D387&lt;E387),"Decreased reading",IF(F387&gt;D387,"Last service above current","")))))))))))))</x:f>
      </x:c>
      <x:c r="L387" s="6" t="str">
        <x:f>IF(AND(NOT(COUNTA(A387:F387)=0),K387=""),INDEX('Rules'!$C$7:$C$26,MATCH(SUBSTITUTE(SUBSTITUTE(SUBSTITUTE(SUBSTITUTE("type:"&amp;B387,"%","%25"),"~","%7E"),"*","%2A"),"?","%3F"),'Rules'!$G$7:$G$26,0)),"")</x:f>
      </x:c>
      <x:c r="M387" s="6" t="str">
        <x:f>IF(AND(NOT(COUNTA(A387:F387)=0),K387=""),INDEX('Rules'!$D$7:$D$26,MATCH(SUBSTITUTE(SUBSTITUTE(SUBSTITUTE(SUBSTITUTE("type:"&amp;B387,"%","%25"),"~","%7E"),"*","%2A"),"?","%3F"),'Rules'!$G$7:$G$26,0)),"")</x:f>
      </x:c>
      <x:c r="N387" s="5" t="str">
        <x:f>IF(COUNTA(A387:F387)=0,"",SUBSTITUTE(SUBSTITUTE(SUBSTITUTE(SUBSTITUTE("id:"&amp;A387,"%","%25"),"~","%7E"),"*","%2A"),"?","%3F"))</x:f>
      </x:c>
    </x:row>
    <x:row r="388" ht="22" customHeight="1">
      <x:c r="A388" s="3"/>
      <x:c r="B388" s="3"/>
      <x:c r="C388" s="3"/>
      <x:c r="D388" s="4"/>
      <x:c r="E388" s="4"/>
      <x:c r="F388" s="4"/>
      <x:c r="G388" s="5" t="str">
        <x:f>IF(COUNTA(A388:F388)=0,"",IF(K388&lt;&gt;"","Review",IF(I388&lt;0,"Overdue",IF(I388=0,"Due now",IF(I388&lt;=M388,"Due soon","Not due")))))</x:f>
      </x:c>
      <x:c r="H388" s="5" t="str">
        <x:f>IF(OR(COUNTA(A388:F388)=0,COUNTIFS('Rules'!$G$7:$G$26,"="&amp;(SUBSTITUTE(SUBSTITUTE(SUBSTITUTE(SUBSTITUTE("type:"&amp;B388,"%","%25"),"~","%7E"),"*","%2A"),"?","%3F")))&lt;&gt;1),"",IF(OR(INDEX('Rules'!$B$7:$B$26,MATCH(SUBSTITUTE(SUBSTITUTE(SUBSTITUTE(SUBSTITUTE("type:"&amp;B388,"%","%25"),"~","%7E"),"*","%2A"),"?","%3F"),'Rules'!$G$7:$G$26,0))="hours",INDEX('Rules'!$B$7:$B$26,MATCH(SUBSTITUTE(SUBSTITUTE(SUBSTITUTE(SUBSTITUTE("type:"&amp;B388,"%","%25"),"~","%7E"),"*","%2A"),"?","%3F"),'Rules'!$G$7:$G$26,0))="km"),INDEX('Rules'!$B$7:$B$26,MATCH(SUBSTITUTE(SUBSTITUTE(SUBSTITUTE(SUBSTITUTE("type:"&amp;B388,"%","%25"),"~","%7E"),"*","%2A"),"?","%3F"),'Rules'!$G$7:$G$26,0)),""))</x:f>
      </x:c>
      <x:c r="I388" s="6" t="str">
        <x:f>IF(AND(NOT(COUNTA(A388:F388)=0),K388=""),ROUND(J388-D388,3),"")</x:f>
      </x:c>
      <x:c r="J388" s="6" t="str">
        <x:f>IF(AND(NOT(COUNTA(A388:F388)=0),K388=""),ROUND(F388+L388,3),"")</x:f>
      </x:c>
      <x:c r="K388" s="5" t="str">
        <x:f>IF(COUNTA(A388:F388)=0,"",IF(A388="","Missing equipment ID",IF(COUNTIFS($N$8:$N$2007,"="&amp;N388)&gt;1,"Duplicate equipment ID",IF(B388="","Missing type",IF(COUNTIFS('Rules'!$G$7:$G$26,"="&amp;(SUBSTITUTE(SUBSTITUTE(SUBSTITUTE(SUBSTITUTE("type:"&amp;B388,"%","%25"),"~","%7E"),"*","%2A"),"?","%3F")))=0,"Unknown type",IF(COUNTIFS('Rules'!$G$7:$G$26,"="&amp;(SUBSTITUTE(SUBSTITUTE(SUBSTITUTE(SUBSTITUTE("type:"&amp;B388,"%","%25"),"~","%7E"),"*","%2A"),"?","%3F")))&gt;1,"Duplicate type",IF(INDEX('Rules'!$F$7:$F$26,MATCH(SUBSTITUTE(SUBSTITUTE(SUBSTITUTE(SUBSTITUTE("type:"&amp;B388,"%","%25"),"~","%7E"),"*","%2A"),"?","%3F"),'Rules'!$G$7:$G$26,0))&lt;&gt;"",INDEX('Rules'!$F$7:$F$26,MATCH(SUBSTITUTE(SUBSTITUTE(SUBSTITUTE(SUBSTITUTE("type:"&amp;B388,"%","%25"),"~","%7E"),"*","%2A"),"?","%3F"),'Rules'!$G$7:$G$26,0)),IF(AND(C388&lt;&gt;"",C388&lt;&gt;INDEX('Rules'!$B$7:$B$26,MATCH(SUBSTITUTE(SUBSTITUTE(SUBSTITUTE(SUBSTITUTE("type:"&amp;B388,"%","%25"),"~","%7E"),"*","%2A"),"?","%3F"),'Rules'!$G$7:$G$26,0))),"Unit mismatch",IF(IF(NOT(ISNUMBER(D388)),TRUE,OR(D388&lt;0,D388&gt;999999999,ROUND(D388,3)&lt;&gt;D388)),"Invalid current reading",IF(AND(E388&lt;&gt;"",IF(NOT(ISNUMBER(E388)),TRUE,OR(E388&lt;0,E388&gt;999999999,ROUND(E388,3)&lt;&gt;E388))),"Invalid previous reading",IF(IF(NOT(ISNUMBER(F388)),TRUE,OR(F388&lt;0,F388&gt;999999999,ROUND(F388,3)&lt;&gt;F388)),"Invalid last service",IF(AND(E388&lt;&gt;"",D388&lt;E388),"Decreased reading",IF(F388&gt;D388,"Last service above current","")))))))))))))</x:f>
      </x:c>
      <x:c r="L388" s="6" t="str">
        <x:f>IF(AND(NOT(COUNTA(A388:F388)=0),K388=""),INDEX('Rules'!$C$7:$C$26,MATCH(SUBSTITUTE(SUBSTITUTE(SUBSTITUTE(SUBSTITUTE("type:"&amp;B388,"%","%25"),"~","%7E"),"*","%2A"),"?","%3F"),'Rules'!$G$7:$G$26,0)),"")</x:f>
      </x:c>
      <x:c r="M388" s="6" t="str">
        <x:f>IF(AND(NOT(COUNTA(A388:F388)=0),K388=""),INDEX('Rules'!$D$7:$D$26,MATCH(SUBSTITUTE(SUBSTITUTE(SUBSTITUTE(SUBSTITUTE("type:"&amp;B388,"%","%25"),"~","%7E"),"*","%2A"),"?","%3F"),'Rules'!$G$7:$G$26,0)),"")</x:f>
      </x:c>
      <x:c r="N388" s="5" t="str">
        <x:f>IF(COUNTA(A388:F388)=0,"",SUBSTITUTE(SUBSTITUTE(SUBSTITUTE(SUBSTITUTE("id:"&amp;A388,"%","%25"),"~","%7E"),"*","%2A"),"?","%3F"))</x:f>
      </x:c>
    </x:row>
    <x:row r="389" ht="22" customHeight="1">
      <x:c r="A389" s="3"/>
      <x:c r="B389" s="3"/>
      <x:c r="C389" s="3"/>
      <x:c r="D389" s="4"/>
      <x:c r="E389" s="4"/>
      <x:c r="F389" s="4"/>
      <x:c r="G389" s="5" t="str">
        <x:f>IF(COUNTA(A389:F389)=0,"",IF(K389&lt;&gt;"","Review",IF(I389&lt;0,"Overdue",IF(I389=0,"Due now",IF(I389&lt;=M389,"Due soon","Not due")))))</x:f>
      </x:c>
      <x:c r="H389" s="5" t="str">
        <x:f>IF(OR(COUNTA(A389:F389)=0,COUNTIFS('Rules'!$G$7:$G$26,"="&amp;(SUBSTITUTE(SUBSTITUTE(SUBSTITUTE(SUBSTITUTE("type:"&amp;B389,"%","%25"),"~","%7E"),"*","%2A"),"?","%3F")))&lt;&gt;1),"",IF(OR(INDEX('Rules'!$B$7:$B$26,MATCH(SUBSTITUTE(SUBSTITUTE(SUBSTITUTE(SUBSTITUTE("type:"&amp;B389,"%","%25"),"~","%7E"),"*","%2A"),"?","%3F"),'Rules'!$G$7:$G$26,0))="hours",INDEX('Rules'!$B$7:$B$26,MATCH(SUBSTITUTE(SUBSTITUTE(SUBSTITUTE(SUBSTITUTE("type:"&amp;B389,"%","%25"),"~","%7E"),"*","%2A"),"?","%3F"),'Rules'!$G$7:$G$26,0))="km"),INDEX('Rules'!$B$7:$B$26,MATCH(SUBSTITUTE(SUBSTITUTE(SUBSTITUTE(SUBSTITUTE("type:"&amp;B389,"%","%25"),"~","%7E"),"*","%2A"),"?","%3F"),'Rules'!$G$7:$G$26,0)),""))</x:f>
      </x:c>
      <x:c r="I389" s="6" t="str">
        <x:f>IF(AND(NOT(COUNTA(A389:F389)=0),K389=""),ROUND(J389-D389,3),"")</x:f>
      </x:c>
      <x:c r="J389" s="6" t="str">
        <x:f>IF(AND(NOT(COUNTA(A389:F389)=0),K389=""),ROUND(F389+L389,3),"")</x:f>
      </x:c>
      <x:c r="K389" s="5" t="str">
        <x:f>IF(COUNTA(A389:F389)=0,"",IF(A389="","Missing equipment ID",IF(COUNTIFS($N$8:$N$2007,"="&amp;N389)&gt;1,"Duplicate equipment ID",IF(B389="","Missing type",IF(COUNTIFS('Rules'!$G$7:$G$26,"="&amp;(SUBSTITUTE(SUBSTITUTE(SUBSTITUTE(SUBSTITUTE("type:"&amp;B389,"%","%25"),"~","%7E"),"*","%2A"),"?","%3F")))=0,"Unknown type",IF(COUNTIFS('Rules'!$G$7:$G$26,"="&amp;(SUBSTITUTE(SUBSTITUTE(SUBSTITUTE(SUBSTITUTE("type:"&amp;B389,"%","%25"),"~","%7E"),"*","%2A"),"?","%3F")))&gt;1,"Duplicate type",IF(INDEX('Rules'!$F$7:$F$26,MATCH(SUBSTITUTE(SUBSTITUTE(SUBSTITUTE(SUBSTITUTE("type:"&amp;B389,"%","%25"),"~","%7E"),"*","%2A"),"?","%3F"),'Rules'!$G$7:$G$26,0))&lt;&gt;"",INDEX('Rules'!$F$7:$F$26,MATCH(SUBSTITUTE(SUBSTITUTE(SUBSTITUTE(SUBSTITUTE("type:"&amp;B389,"%","%25"),"~","%7E"),"*","%2A"),"?","%3F"),'Rules'!$G$7:$G$26,0)),IF(AND(C389&lt;&gt;"",C389&lt;&gt;INDEX('Rules'!$B$7:$B$26,MATCH(SUBSTITUTE(SUBSTITUTE(SUBSTITUTE(SUBSTITUTE("type:"&amp;B389,"%","%25"),"~","%7E"),"*","%2A"),"?","%3F"),'Rules'!$G$7:$G$26,0))),"Unit mismatch",IF(IF(NOT(ISNUMBER(D389)),TRUE,OR(D389&lt;0,D389&gt;999999999,ROUND(D389,3)&lt;&gt;D389)),"Invalid current reading",IF(AND(E389&lt;&gt;"",IF(NOT(ISNUMBER(E389)),TRUE,OR(E389&lt;0,E389&gt;999999999,ROUND(E389,3)&lt;&gt;E389))),"Invalid previous reading",IF(IF(NOT(ISNUMBER(F389)),TRUE,OR(F389&lt;0,F389&gt;999999999,ROUND(F389,3)&lt;&gt;F389)),"Invalid last service",IF(AND(E389&lt;&gt;"",D389&lt;E389),"Decreased reading",IF(F389&gt;D389,"Last service above current","")))))))))))))</x:f>
      </x:c>
      <x:c r="L389" s="6" t="str">
        <x:f>IF(AND(NOT(COUNTA(A389:F389)=0),K389=""),INDEX('Rules'!$C$7:$C$26,MATCH(SUBSTITUTE(SUBSTITUTE(SUBSTITUTE(SUBSTITUTE("type:"&amp;B389,"%","%25"),"~","%7E"),"*","%2A"),"?","%3F"),'Rules'!$G$7:$G$26,0)),"")</x:f>
      </x:c>
      <x:c r="M389" s="6" t="str">
        <x:f>IF(AND(NOT(COUNTA(A389:F389)=0),K389=""),INDEX('Rules'!$D$7:$D$26,MATCH(SUBSTITUTE(SUBSTITUTE(SUBSTITUTE(SUBSTITUTE("type:"&amp;B389,"%","%25"),"~","%7E"),"*","%2A"),"?","%3F"),'Rules'!$G$7:$G$26,0)),"")</x:f>
      </x:c>
      <x:c r="N389" s="5" t="str">
        <x:f>IF(COUNTA(A389:F389)=0,"",SUBSTITUTE(SUBSTITUTE(SUBSTITUTE(SUBSTITUTE("id:"&amp;A389,"%","%25"),"~","%7E"),"*","%2A"),"?","%3F"))</x:f>
      </x:c>
    </x:row>
    <x:row r="390" ht="22" customHeight="1">
      <x:c r="A390" s="3"/>
      <x:c r="B390" s="3"/>
      <x:c r="C390" s="3"/>
      <x:c r="D390" s="4"/>
      <x:c r="E390" s="4"/>
      <x:c r="F390" s="4"/>
      <x:c r="G390" s="5" t="str">
        <x:f>IF(COUNTA(A390:F390)=0,"",IF(K390&lt;&gt;"","Review",IF(I390&lt;0,"Overdue",IF(I390=0,"Due now",IF(I390&lt;=M390,"Due soon","Not due")))))</x:f>
      </x:c>
      <x:c r="H390" s="5" t="str">
        <x:f>IF(OR(COUNTA(A390:F390)=0,COUNTIFS('Rules'!$G$7:$G$26,"="&amp;(SUBSTITUTE(SUBSTITUTE(SUBSTITUTE(SUBSTITUTE("type:"&amp;B390,"%","%25"),"~","%7E"),"*","%2A"),"?","%3F")))&lt;&gt;1),"",IF(OR(INDEX('Rules'!$B$7:$B$26,MATCH(SUBSTITUTE(SUBSTITUTE(SUBSTITUTE(SUBSTITUTE("type:"&amp;B390,"%","%25"),"~","%7E"),"*","%2A"),"?","%3F"),'Rules'!$G$7:$G$26,0))="hours",INDEX('Rules'!$B$7:$B$26,MATCH(SUBSTITUTE(SUBSTITUTE(SUBSTITUTE(SUBSTITUTE("type:"&amp;B390,"%","%25"),"~","%7E"),"*","%2A"),"?","%3F"),'Rules'!$G$7:$G$26,0))="km"),INDEX('Rules'!$B$7:$B$26,MATCH(SUBSTITUTE(SUBSTITUTE(SUBSTITUTE(SUBSTITUTE("type:"&amp;B390,"%","%25"),"~","%7E"),"*","%2A"),"?","%3F"),'Rules'!$G$7:$G$26,0)),""))</x:f>
      </x:c>
      <x:c r="I390" s="6" t="str">
        <x:f>IF(AND(NOT(COUNTA(A390:F390)=0),K390=""),ROUND(J390-D390,3),"")</x:f>
      </x:c>
      <x:c r="J390" s="6" t="str">
        <x:f>IF(AND(NOT(COUNTA(A390:F390)=0),K390=""),ROUND(F390+L390,3),"")</x:f>
      </x:c>
      <x:c r="K390" s="5" t="str">
        <x:f>IF(COUNTA(A390:F390)=0,"",IF(A390="","Missing equipment ID",IF(COUNTIFS($N$8:$N$2007,"="&amp;N390)&gt;1,"Duplicate equipment ID",IF(B390="","Missing type",IF(COUNTIFS('Rules'!$G$7:$G$26,"="&amp;(SUBSTITUTE(SUBSTITUTE(SUBSTITUTE(SUBSTITUTE("type:"&amp;B390,"%","%25"),"~","%7E"),"*","%2A"),"?","%3F")))=0,"Unknown type",IF(COUNTIFS('Rules'!$G$7:$G$26,"="&amp;(SUBSTITUTE(SUBSTITUTE(SUBSTITUTE(SUBSTITUTE("type:"&amp;B390,"%","%25"),"~","%7E"),"*","%2A"),"?","%3F")))&gt;1,"Duplicate type",IF(INDEX('Rules'!$F$7:$F$26,MATCH(SUBSTITUTE(SUBSTITUTE(SUBSTITUTE(SUBSTITUTE("type:"&amp;B390,"%","%25"),"~","%7E"),"*","%2A"),"?","%3F"),'Rules'!$G$7:$G$26,0))&lt;&gt;"",INDEX('Rules'!$F$7:$F$26,MATCH(SUBSTITUTE(SUBSTITUTE(SUBSTITUTE(SUBSTITUTE("type:"&amp;B390,"%","%25"),"~","%7E"),"*","%2A"),"?","%3F"),'Rules'!$G$7:$G$26,0)),IF(AND(C390&lt;&gt;"",C390&lt;&gt;INDEX('Rules'!$B$7:$B$26,MATCH(SUBSTITUTE(SUBSTITUTE(SUBSTITUTE(SUBSTITUTE("type:"&amp;B390,"%","%25"),"~","%7E"),"*","%2A"),"?","%3F"),'Rules'!$G$7:$G$26,0))),"Unit mismatch",IF(IF(NOT(ISNUMBER(D390)),TRUE,OR(D390&lt;0,D390&gt;999999999,ROUND(D390,3)&lt;&gt;D390)),"Invalid current reading",IF(AND(E390&lt;&gt;"",IF(NOT(ISNUMBER(E390)),TRUE,OR(E390&lt;0,E390&gt;999999999,ROUND(E390,3)&lt;&gt;E390))),"Invalid previous reading",IF(IF(NOT(ISNUMBER(F390)),TRUE,OR(F390&lt;0,F390&gt;999999999,ROUND(F390,3)&lt;&gt;F390)),"Invalid last service",IF(AND(E390&lt;&gt;"",D390&lt;E390),"Decreased reading",IF(F390&gt;D390,"Last service above current","")))))))))))))</x:f>
      </x:c>
      <x:c r="L390" s="6" t="str">
        <x:f>IF(AND(NOT(COUNTA(A390:F390)=0),K390=""),INDEX('Rules'!$C$7:$C$26,MATCH(SUBSTITUTE(SUBSTITUTE(SUBSTITUTE(SUBSTITUTE("type:"&amp;B390,"%","%25"),"~","%7E"),"*","%2A"),"?","%3F"),'Rules'!$G$7:$G$26,0)),"")</x:f>
      </x:c>
      <x:c r="M390" s="6" t="str">
        <x:f>IF(AND(NOT(COUNTA(A390:F390)=0),K390=""),INDEX('Rules'!$D$7:$D$26,MATCH(SUBSTITUTE(SUBSTITUTE(SUBSTITUTE(SUBSTITUTE("type:"&amp;B390,"%","%25"),"~","%7E"),"*","%2A"),"?","%3F"),'Rules'!$G$7:$G$26,0)),"")</x:f>
      </x:c>
      <x:c r="N390" s="5" t="str">
        <x:f>IF(COUNTA(A390:F390)=0,"",SUBSTITUTE(SUBSTITUTE(SUBSTITUTE(SUBSTITUTE("id:"&amp;A390,"%","%25"),"~","%7E"),"*","%2A"),"?","%3F"))</x:f>
      </x:c>
    </x:row>
    <x:row r="391" ht="22" customHeight="1">
      <x:c r="A391" s="3"/>
      <x:c r="B391" s="3"/>
      <x:c r="C391" s="3"/>
      <x:c r="D391" s="4"/>
      <x:c r="E391" s="4"/>
      <x:c r="F391" s="4"/>
      <x:c r="G391" s="5" t="str">
        <x:f>IF(COUNTA(A391:F391)=0,"",IF(K391&lt;&gt;"","Review",IF(I391&lt;0,"Overdue",IF(I391=0,"Due now",IF(I391&lt;=M391,"Due soon","Not due")))))</x:f>
      </x:c>
      <x:c r="H391" s="5" t="str">
        <x:f>IF(OR(COUNTA(A391:F391)=0,COUNTIFS('Rules'!$G$7:$G$26,"="&amp;(SUBSTITUTE(SUBSTITUTE(SUBSTITUTE(SUBSTITUTE("type:"&amp;B391,"%","%25"),"~","%7E"),"*","%2A"),"?","%3F")))&lt;&gt;1),"",IF(OR(INDEX('Rules'!$B$7:$B$26,MATCH(SUBSTITUTE(SUBSTITUTE(SUBSTITUTE(SUBSTITUTE("type:"&amp;B391,"%","%25"),"~","%7E"),"*","%2A"),"?","%3F"),'Rules'!$G$7:$G$26,0))="hours",INDEX('Rules'!$B$7:$B$26,MATCH(SUBSTITUTE(SUBSTITUTE(SUBSTITUTE(SUBSTITUTE("type:"&amp;B391,"%","%25"),"~","%7E"),"*","%2A"),"?","%3F"),'Rules'!$G$7:$G$26,0))="km"),INDEX('Rules'!$B$7:$B$26,MATCH(SUBSTITUTE(SUBSTITUTE(SUBSTITUTE(SUBSTITUTE("type:"&amp;B391,"%","%25"),"~","%7E"),"*","%2A"),"?","%3F"),'Rules'!$G$7:$G$26,0)),""))</x:f>
      </x:c>
      <x:c r="I391" s="6" t="str">
        <x:f>IF(AND(NOT(COUNTA(A391:F391)=0),K391=""),ROUND(J391-D391,3),"")</x:f>
      </x:c>
      <x:c r="J391" s="6" t="str">
        <x:f>IF(AND(NOT(COUNTA(A391:F391)=0),K391=""),ROUND(F391+L391,3),"")</x:f>
      </x:c>
      <x:c r="K391" s="5" t="str">
        <x:f>IF(COUNTA(A391:F391)=0,"",IF(A391="","Missing equipment ID",IF(COUNTIFS($N$8:$N$2007,"="&amp;N391)&gt;1,"Duplicate equipment ID",IF(B391="","Missing type",IF(COUNTIFS('Rules'!$G$7:$G$26,"="&amp;(SUBSTITUTE(SUBSTITUTE(SUBSTITUTE(SUBSTITUTE("type:"&amp;B391,"%","%25"),"~","%7E"),"*","%2A"),"?","%3F")))=0,"Unknown type",IF(COUNTIFS('Rules'!$G$7:$G$26,"="&amp;(SUBSTITUTE(SUBSTITUTE(SUBSTITUTE(SUBSTITUTE("type:"&amp;B391,"%","%25"),"~","%7E"),"*","%2A"),"?","%3F")))&gt;1,"Duplicate type",IF(INDEX('Rules'!$F$7:$F$26,MATCH(SUBSTITUTE(SUBSTITUTE(SUBSTITUTE(SUBSTITUTE("type:"&amp;B391,"%","%25"),"~","%7E"),"*","%2A"),"?","%3F"),'Rules'!$G$7:$G$26,0))&lt;&gt;"",INDEX('Rules'!$F$7:$F$26,MATCH(SUBSTITUTE(SUBSTITUTE(SUBSTITUTE(SUBSTITUTE("type:"&amp;B391,"%","%25"),"~","%7E"),"*","%2A"),"?","%3F"),'Rules'!$G$7:$G$26,0)),IF(AND(C391&lt;&gt;"",C391&lt;&gt;INDEX('Rules'!$B$7:$B$26,MATCH(SUBSTITUTE(SUBSTITUTE(SUBSTITUTE(SUBSTITUTE("type:"&amp;B391,"%","%25"),"~","%7E"),"*","%2A"),"?","%3F"),'Rules'!$G$7:$G$26,0))),"Unit mismatch",IF(IF(NOT(ISNUMBER(D391)),TRUE,OR(D391&lt;0,D391&gt;999999999,ROUND(D391,3)&lt;&gt;D391)),"Invalid current reading",IF(AND(E391&lt;&gt;"",IF(NOT(ISNUMBER(E391)),TRUE,OR(E391&lt;0,E391&gt;999999999,ROUND(E391,3)&lt;&gt;E391))),"Invalid previous reading",IF(IF(NOT(ISNUMBER(F391)),TRUE,OR(F391&lt;0,F391&gt;999999999,ROUND(F391,3)&lt;&gt;F391)),"Invalid last service",IF(AND(E391&lt;&gt;"",D391&lt;E391),"Decreased reading",IF(F391&gt;D391,"Last service above current","")))))))))))))</x:f>
      </x:c>
      <x:c r="L391" s="6" t="str">
        <x:f>IF(AND(NOT(COUNTA(A391:F391)=0),K391=""),INDEX('Rules'!$C$7:$C$26,MATCH(SUBSTITUTE(SUBSTITUTE(SUBSTITUTE(SUBSTITUTE("type:"&amp;B391,"%","%25"),"~","%7E"),"*","%2A"),"?","%3F"),'Rules'!$G$7:$G$26,0)),"")</x:f>
      </x:c>
      <x:c r="M391" s="6" t="str">
        <x:f>IF(AND(NOT(COUNTA(A391:F391)=0),K391=""),INDEX('Rules'!$D$7:$D$26,MATCH(SUBSTITUTE(SUBSTITUTE(SUBSTITUTE(SUBSTITUTE("type:"&amp;B391,"%","%25"),"~","%7E"),"*","%2A"),"?","%3F"),'Rules'!$G$7:$G$26,0)),"")</x:f>
      </x:c>
      <x:c r="N391" s="5" t="str">
        <x:f>IF(COUNTA(A391:F391)=0,"",SUBSTITUTE(SUBSTITUTE(SUBSTITUTE(SUBSTITUTE("id:"&amp;A391,"%","%25"),"~","%7E"),"*","%2A"),"?","%3F"))</x:f>
      </x:c>
    </x:row>
    <x:row r="392" ht="22" customHeight="1">
      <x:c r="A392" s="3"/>
      <x:c r="B392" s="3"/>
      <x:c r="C392" s="3"/>
      <x:c r="D392" s="4"/>
      <x:c r="E392" s="4"/>
      <x:c r="F392" s="4"/>
      <x:c r="G392" s="5" t="str">
        <x:f>IF(COUNTA(A392:F392)=0,"",IF(K392&lt;&gt;"","Review",IF(I392&lt;0,"Overdue",IF(I392=0,"Due now",IF(I392&lt;=M392,"Due soon","Not due")))))</x:f>
      </x:c>
      <x:c r="H392" s="5" t="str">
        <x:f>IF(OR(COUNTA(A392:F392)=0,COUNTIFS('Rules'!$G$7:$G$26,"="&amp;(SUBSTITUTE(SUBSTITUTE(SUBSTITUTE(SUBSTITUTE("type:"&amp;B392,"%","%25"),"~","%7E"),"*","%2A"),"?","%3F")))&lt;&gt;1),"",IF(OR(INDEX('Rules'!$B$7:$B$26,MATCH(SUBSTITUTE(SUBSTITUTE(SUBSTITUTE(SUBSTITUTE("type:"&amp;B392,"%","%25"),"~","%7E"),"*","%2A"),"?","%3F"),'Rules'!$G$7:$G$26,0))="hours",INDEX('Rules'!$B$7:$B$26,MATCH(SUBSTITUTE(SUBSTITUTE(SUBSTITUTE(SUBSTITUTE("type:"&amp;B392,"%","%25"),"~","%7E"),"*","%2A"),"?","%3F"),'Rules'!$G$7:$G$26,0))="km"),INDEX('Rules'!$B$7:$B$26,MATCH(SUBSTITUTE(SUBSTITUTE(SUBSTITUTE(SUBSTITUTE("type:"&amp;B392,"%","%25"),"~","%7E"),"*","%2A"),"?","%3F"),'Rules'!$G$7:$G$26,0)),""))</x:f>
      </x:c>
      <x:c r="I392" s="6" t="str">
        <x:f>IF(AND(NOT(COUNTA(A392:F392)=0),K392=""),ROUND(J392-D392,3),"")</x:f>
      </x:c>
      <x:c r="J392" s="6" t="str">
        <x:f>IF(AND(NOT(COUNTA(A392:F392)=0),K392=""),ROUND(F392+L392,3),"")</x:f>
      </x:c>
      <x:c r="K392" s="5" t="str">
        <x:f>IF(COUNTA(A392:F392)=0,"",IF(A392="","Missing equipment ID",IF(COUNTIFS($N$8:$N$2007,"="&amp;N392)&gt;1,"Duplicate equipment ID",IF(B392="","Missing type",IF(COUNTIFS('Rules'!$G$7:$G$26,"="&amp;(SUBSTITUTE(SUBSTITUTE(SUBSTITUTE(SUBSTITUTE("type:"&amp;B392,"%","%25"),"~","%7E"),"*","%2A"),"?","%3F")))=0,"Unknown type",IF(COUNTIFS('Rules'!$G$7:$G$26,"="&amp;(SUBSTITUTE(SUBSTITUTE(SUBSTITUTE(SUBSTITUTE("type:"&amp;B392,"%","%25"),"~","%7E"),"*","%2A"),"?","%3F")))&gt;1,"Duplicate type",IF(INDEX('Rules'!$F$7:$F$26,MATCH(SUBSTITUTE(SUBSTITUTE(SUBSTITUTE(SUBSTITUTE("type:"&amp;B392,"%","%25"),"~","%7E"),"*","%2A"),"?","%3F"),'Rules'!$G$7:$G$26,0))&lt;&gt;"",INDEX('Rules'!$F$7:$F$26,MATCH(SUBSTITUTE(SUBSTITUTE(SUBSTITUTE(SUBSTITUTE("type:"&amp;B392,"%","%25"),"~","%7E"),"*","%2A"),"?","%3F"),'Rules'!$G$7:$G$26,0)),IF(AND(C392&lt;&gt;"",C392&lt;&gt;INDEX('Rules'!$B$7:$B$26,MATCH(SUBSTITUTE(SUBSTITUTE(SUBSTITUTE(SUBSTITUTE("type:"&amp;B392,"%","%25"),"~","%7E"),"*","%2A"),"?","%3F"),'Rules'!$G$7:$G$26,0))),"Unit mismatch",IF(IF(NOT(ISNUMBER(D392)),TRUE,OR(D392&lt;0,D392&gt;999999999,ROUND(D392,3)&lt;&gt;D392)),"Invalid current reading",IF(AND(E392&lt;&gt;"",IF(NOT(ISNUMBER(E392)),TRUE,OR(E392&lt;0,E392&gt;999999999,ROUND(E392,3)&lt;&gt;E392))),"Invalid previous reading",IF(IF(NOT(ISNUMBER(F392)),TRUE,OR(F392&lt;0,F392&gt;999999999,ROUND(F392,3)&lt;&gt;F392)),"Invalid last service",IF(AND(E392&lt;&gt;"",D392&lt;E392),"Decreased reading",IF(F392&gt;D392,"Last service above current","")))))))))))))</x:f>
      </x:c>
      <x:c r="L392" s="6" t="str">
        <x:f>IF(AND(NOT(COUNTA(A392:F392)=0),K392=""),INDEX('Rules'!$C$7:$C$26,MATCH(SUBSTITUTE(SUBSTITUTE(SUBSTITUTE(SUBSTITUTE("type:"&amp;B392,"%","%25"),"~","%7E"),"*","%2A"),"?","%3F"),'Rules'!$G$7:$G$26,0)),"")</x:f>
      </x:c>
      <x:c r="M392" s="6" t="str">
        <x:f>IF(AND(NOT(COUNTA(A392:F392)=0),K392=""),INDEX('Rules'!$D$7:$D$26,MATCH(SUBSTITUTE(SUBSTITUTE(SUBSTITUTE(SUBSTITUTE("type:"&amp;B392,"%","%25"),"~","%7E"),"*","%2A"),"?","%3F"),'Rules'!$G$7:$G$26,0)),"")</x:f>
      </x:c>
      <x:c r="N392" s="5" t="str">
        <x:f>IF(COUNTA(A392:F392)=0,"",SUBSTITUTE(SUBSTITUTE(SUBSTITUTE(SUBSTITUTE("id:"&amp;A392,"%","%25"),"~","%7E"),"*","%2A"),"?","%3F"))</x:f>
      </x:c>
    </x:row>
    <x:row r="393" ht="22" customHeight="1">
      <x:c r="A393" s="3"/>
      <x:c r="B393" s="3"/>
      <x:c r="C393" s="3"/>
      <x:c r="D393" s="4"/>
      <x:c r="E393" s="4"/>
      <x:c r="F393" s="4"/>
      <x:c r="G393" s="5" t="str">
        <x:f>IF(COUNTA(A393:F393)=0,"",IF(K393&lt;&gt;"","Review",IF(I393&lt;0,"Overdue",IF(I393=0,"Due now",IF(I393&lt;=M393,"Due soon","Not due")))))</x:f>
      </x:c>
      <x:c r="H393" s="5" t="str">
        <x:f>IF(OR(COUNTA(A393:F393)=0,COUNTIFS('Rules'!$G$7:$G$26,"="&amp;(SUBSTITUTE(SUBSTITUTE(SUBSTITUTE(SUBSTITUTE("type:"&amp;B393,"%","%25"),"~","%7E"),"*","%2A"),"?","%3F")))&lt;&gt;1),"",IF(OR(INDEX('Rules'!$B$7:$B$26,MATCH(SUBSTITUTE(SUBSTITUTE(SUBSTITUTE(SUBSTITUTE("type:"&amp;B393,"%","%25"),"~","%7E"),"*","%2A"),"?","%3F"),'Rules'!$G$7:$G$26,0))="hours",INDEX('Rules'!$B$7:$B$26,MATCH(SUBSTITUTE(SUBSTITUTE(SUBSTITUTE(SUBSTITUTE("type:"&amp;B393,"%","%25"),"~","%7E"),"*","%2A"),"?","%3F"),'Rules'!$G$7:$G$26,0))="km"),INDEX('Rules'!$B$7:$B$26,MATCH(SUBSTITUTE(SUBSTITUTE(SUBSTITUTE(SUBSTITUTE("type:"&amp;B393,"%","%25"),"~","%7E"),"*","%2A"),"?","%3F"),'Rules'!$G$7:$G$26,0)),""))</x:f>
      </x:c>
      <x:c r="I393" s="6" t="str">
        <x:f>IF(AND(NOT(COUNTA(A393:F393)=0),K393=""),ROUND(J393-D393,3),"")</x:f>
      </x:c>
      <x:c r="J393" s="6" t="str">
        <x:f>IF(AND(NOT(COUNTA(A393:F393)=0),K393=""),ROUND(F393+L393,3),"")</x:f>
      </x:c>
      <x:c r="K393" s="5" t="str">
        <x:f>IF(COUNTA(A393:F393)=0,"",IF(A393="","Missing equipment ID",IF(COUNTIFS($N$8:$N$2007,"="&amp;N393)&gt;1,"Duplicate equipment ID",IF(B393="","Missing type",IF(COUNTIFS('Rules'!$G$7:$G$26,"="&amp;(SUBSTITUTE(SUBSTITUTE(SUBSTITUTE(SUBSTITUTE("type:"&amp;B393,"%","%25"),"~","%7E"),"*","%2A"),"?","%3F")))=0,"Unknown type",IF(COUNTIFS('Rules'!$G$7:$G$26,"="&amp;(SUBSTITUTE(SUBSTITUTE(SUBSTITUTE(SUBSTITUTE("type:"&amp;B393,"%","%25"),"~","%7E"),"*","%2A"),"?","%3F")))&gt;1,"Duplicate type",IF(INDEX('Rules'!$F$7:$F$26,MATCH(SUBSTITUTE(SUBSTITUTE(SUBSTITUTE(SUBSTITUTE("type:"&amp;B393,"%","%25"),"~","%7E"),"*","%2A"),"?","%3F"),'Rules'!$G$7:$G$26,0))&lt;&gt;"",INDEX('Rules'!$F$7:$F$26,MATCH(SUBSTITUTE(SUBSTITUTE(SUBSTITUTE(SUBSTITUTE("type:"&amp;B393,"%","%25"),"~","%7E"),"*","%2A"),"?","%3F"),'Rules'!$G$7:$G$26,0)),IF(AND(C393&lt;&gt;"",C393&lt;&gt;INDEX('Rules'!$B$7:$B$26,MATCH(SUBSTITUTE(SUBSTITUTE(SUBSTITUTE(SUBSTITUTE("type:"&amp;B393,"%","%25"),"~","%7E"),"*","%2A"),"?","%3F"),'Rules'!$G$7:$G$26,0))),"Unit mismatch",IF(IF(NOT(ISNUMBER(D393)),TRUE,OR(D393&lt;0,D393&gt;999999999,ROUND(D393,3)&lt;&gt;D393)),"Invalid current reading",IF(AND(E393&lt;&gt;"",IF(NOT(ISNUMBER(E393)),TRUE,OR(E393&lt;0,E393&gt;999999999,ROUND(E393,3)&lt;&gt;E393))),"Invalid previous reading",IF(IF(NOT(ISNUMBER(F393)),TRUE,OR(F393&lt;0,F393&gt;999999999,ROUND(F393,3)&lt;&gt;F393)),"Invalid last service",IF(AND(E393&lt;&gt;"",D393&lt;E393),"Decreased reading",IF(F393&gt;D393,"Last service above current","")))))))))))))</x:f>
      </x:c>
      <x:c r="L393" s="6" t="str">
        <x:f>IF(AND(NOT(COUNTA(A393:F393)=0),K393=""),INDEX('Rules'!$C$7:$C$26,MATCH(SUBSTITUTE(SUBSTITUTE(SUBSTITUTE(SUBSTITUTE("type:"&amp;B393,"%","%25"),"~","%7E"),"*","%2A"),"?","%3F"),'Rules'!$G$7:$G$26,0)),"")</x:f>
      </x:c>
      <x:c r="M393" s="6" t="str">
        <x:f>IF(AND(NOT(COUNTA(A393:F393)=0),K393=""),INDEX('Rules'!$D$7:$D$26,MATCH(SUBSTITUTE(SUBSTITUTE(SUBSTITUTE(SUBSTITUTE("type:"&amp;B393,"%","%25"),"~","%7E"),"*","%2A"),"?","%3F"),'Rules'!$G$7:$G$26,0)),"")</x:f>
      </x:c>
      <x:c r="N393" s="5" t="str">
        <x:f>IF(COUNTA(A393:F393)=0,"",SUBSTITUTE(SUBSTITUTE(SUBSTITUTE(SUBSTITUTE("id:"&amp;A393,"%","%25"),"~","%7E"),"*","%2A"),"?","%3F"))</x:f>
      </x:c>
    </x:row>
    <x:row r="394" ht="22" customHeight="1">
      <x:c r="A394" s="3"/>
      <x:c r="B394" s="3"/>
      <x:c r="C394" s="3"/>
      <x:c r="D394" s="4"/>
      <x:c r="E394" s="4"/>
      <x:c r="F394" s="4"/>
      <x:c r="G394" s="5" t="str">
        <x:f>IF(COUNTA(A394:F394)=0,"",IF(K394&lt;&gt;"","Review",IF(I394&lt;0,"Overdue",IF(I394=0,"Due now",IF(I394&lt;=M394,"Due soon","Not due")))))</x:f>
      </x:c>
      <x:c r="H394" s="5" t="str">
        <x:f>IF(OR(COUNTA(A394:F394)=0,COUNTIFS('Rules'!$G$7:$G$26,"="&amp;(SUBSTITUTE(SUBSTITUTE(SUBSTITUTE(SUBSTITUTE("type:"&amp;B394,"%","%25"),"~","%7E"),"*","%2A"),"?","%3F")))&lt;&gt;1),"",IF(OR(INDEX('Rules'!$B$7:$B$26,MATCH(SUBSTITUTE(SUBSTITUTE(SUBSTITUTE(SUBSTITUTE("type:"&amp;B394,"%","%25"),"~","%7E"),"*","%2A"),"?","%3F"),'Rules'!$G$7:$G$26,0))="hours",INDEX('Rules'!$B$7:$B$26,MATCH(SUBSTITUTE(SUBSTITUTE(SUBSTITUTE(SUBSTITUTE("type:"&amp;B394,"%","%25"),"~","%7E"),"*","%2A"),"?","%3F"),'Rules'!$G$7:$G$26,0))="km"),INDEX('Rules'!$B$7:$B$26,MATCH(SUBSTITUTE(SUBSTITUTE(SUBSTITUTE(SUBSTITUTE("type:"&amp;B394,"%","%25"),"~","%7E"),"*","%2A"),"?","%3F"),'Rules'!$G$7:$G$26,0)),""))</x:f>
      </x:c>
      <x:c r="I394" s="6" t="str">
        <x:f>IF(AND(NOT(COUNTA(A394:F394)=0),K394=""),ROUND(J394-D394,3),"")</x:f>
      </x:c>
      <x:c r="J394" s="6" t="str">
        <x:f>IF(AND(NOT(COUNTA(A394:F394)=0),K394=""),ROUND(F394+L394,3),"")</x:f>
      </x:c>
      <x:c r="K394" s="5" t="str">
        <x:f>IF(COUNTA(A394:F394)=0,"",IF(A394="","Missing equipment ID",IF(COUNTIFS($N$8:$N$2007,"="&amp;N394)&gt;1,"Duplicate equipment ID",IF(B394="","Missing type",IF(COUNTIFS('Rules'!$G$7:$G$26,"="&amp;(SUBSTITUTE(SUBSTITUTE(SUBSTITUTE(SUBSTITUTE("type:"&amp;B394,"%","%25"),"~","%7E"),"*","%2A"),"?","%3F")))=0,"Unknown type",IF(COUNTIFS('Rules'!$G$7:$G$26,"="&amp;(SUBSTITUTE(SUBSTITUTE(SUBSTITUTE(SUBSTITUTE("type:"&amp;B394,"%","%25"),"~","%7E"),"*","%2A"),"?","%3F")))&gt;1,"Duplicate type",IF(INDEX('Rules'!$F$7:$F$26,MATCH(SUBSTITUTE(SUBSTITUTE(SUBSTITUTE(SUBSTITUTE("type:"&amp;B394,"%","%25"),"~","%7E"),"*","%2A"),"?","%3F"),'Rules'!$G$7:$G$26,0))&lt;&gt;"",INDEX('Rules'!$F$7:$F$26,MATCH(SUBSTITUTE(SUBSTITUTE(SUBSTITUTE(SUBSTITUTE("type:"&amp;B394,"%","%25"),"~","%7E"),"*","%2A"),"?","%3F"),'Rules'!$G$7:$G$26,0)),IF(AND(C394&lt;&gt;"",C394&lt;&gt;INDEX('Rules'!$B$7:$B$26,MATCH(SUBSTITUTE(SUBSTITUTE(SUBSTITUTE(SUBSTITUTE("type:"&amp;B394,"%","%25"),"~","%7E"),"*","%2A"),"?","%3F"),'Rules'!$G$7:$G$26,0))),"Unit mismatch",IF(IF(NOT(ISNUMBER(D394)),TRUE,OR(D394&lt;0,D394&gt;999999999,ROUND(D394,3)&lt;&gt;D394)),"Invalid current reading",IF(AND(E394&lt;&gt;"",IF(NOT(ISNUMBER(E394)),TRUE,OR(E394&lt;0,E394&gt;999999999,ROUND(E394,3)&lt;&gt;E394))),"Invalid previous reading",IF(IF(NOT(ISNUMBER(F394)),TRUE,OR(F394&lt;0,F394&gt;999999999,ROUND(F394,3)&lt;&gt;F394)),"Invalid last service",IF(AND(E394&lt;&gt;"",D394&lt;E394),"Decreased reading",IF(F394&gt;D394,"Last service above current","")))))))))))))</x:f>
      </x:c>
      <x:c r="L394" s="6" t="str">
        <x:f>IF(AND(NOT(COUNTA(A394:F394)=0),K394=""),INDEX('Rules'!$C$7:$C$26,MATCH(SUBSTITUTE(SUBSTITUTE(SUBSTITUTE(SUBSTITUTE("type:"&amp;B394,"%","%25"),"~","%7E"),"*","%2A"),"?","%3F"),'Rules'!$G$7:$G$26,0)),"")</x:f>
      </x:c>
      <x:c r="M394" s="6" t="str">
        <x:f>IF(AND(NOT(COUNTA(A394:F394)=0),K394=""),INDEX('Rules'!$D$7:$D$26,MATCH(SUBSTITUTE(SUBSTITUTE(SUBSTITUTE(SUBSTITUTE("type:"&amp;B394,"%","%25"),"~","%7E"),"*","%2A"),"?","%3F"),'Rules'!$G$7:$G$26,0)),"")</x:f>
      </x:c>
      <x:c r="N394" s="5" t="str">
        <x:f>IF(COUNTA(A394:F394)=0,"",SUBSTITUTE(SUBSTITUTE(SUBSTITUTE(SUBSTITUTE("id:"&amp;A394,"%","%25"),"~","%7E"),"*","%2A"),"?","%3F"))</x:f>
      </x:c>
    </x:row>
    <x:row r="395" ht="22" customHeight="1">
      <x:c r="A395" s="3"/>
      <x:c r="B395" s="3"/>
      <x:c r="C395" s="3"/>
      <x:c r="D395" s="4"/>
      <x:c r="E395" s="4"/>
      <x:c r="F395" s="4"/>
      <x:c r="G395" s="5" t="str">
        <x:f>IF(COUNTA(A395:F395)=0,"",IF(K395&lt;&gt;"","Review",IF(I395&lt;0,"Overdue",IF(I395=0,"Due now",IF(I395&lt;=M395,"Due soon","Not due")))))</x:f>
      </x:c>
      <x:c r="H395" s="5" t="str">
        <x:f>IF(OR(COUNTA(A395:F395)=0,COUNTIFS('Rules'!$G$7:$G$26,"="&amp;(SUBSTITUTE(SUBSTITUTE(SUBSTITUTE(SUBSTITUTE("type:"&amp;B395,"%","%25"),"~","%7E"),"*","%2A"),"?","%3F")))&lt;&gt;1),"",IF(OR(INDEX('Rules'!$B$7:$B$26,MATCH(SUBSTITUTE(SUBSTITUTE(SUBSTITUTE(SUBSTITUTE("type:"&amp;B395,"%","%25"),"~","%7E"),"*","%2A"),"?","%3F"),'Rules'!$G$7:$G$26,0))="hours",INDEX('Rules'!$B$7:$B$26,MATCH(SUBSTITUTE(SUBSTITUTE(SUBSTITUTE(SUBSTITUTE("type:"&amp;B395,"%","%25"),"~","%7E"),"*","%2A"),"?","%3F"),'Rules'!$G$7:$G$26,0))="km"),INDEX('Rules'!$B$7:$B$26,MATCH(SUBSTITUTE(SUBSTITUTE(SUBSTITUTE(SUBSTITUTE("type:"&amp;B395,"%","%25"),"~","%7E"),"*","%2A"),"?","%3F"),'Rules'!$G$7:$G$26,0)),""))</x:f>
      </x:c>
      <x:c r="I395" s="6" t="str">
        <x:f>IF(AND(NOT(COUNTA(A395:F395)=0),K395=""),ROUND(J395-D395,3),"")</x:f>
      </x:c>
      <x:c r="J395" s="6" t="str">
        <x:f>IF(AND(NOT(COUNTA(A395:F395)=0),K395=""),ROUND(F395+L395,3),"")</x:f>
      </x:c>
      <x:c r="K395" s="5" t="str">
        <x:f>IF(COUNTA(A395:F395)=0,"",IF(A395="","Missing equipment ID",IF(COUNTIFS($N$8:$N$2007,"="&amp;N395)&gt;1,"Duplicate equipment ID",IF(B395="","Missing type",IF(COUNTIFS('Rules'!$G$7:$G$26,"="&amp;(SUBSTITUTE(SUBSTITUTE(SUBSTITUTE(SUBSTITUTE("type:"&amp;B395,"%","%25"),"~","%7E"),"*","%2A"),"?","%3F")))=0,"Unknown type",IF(COUNTIFS('Rules'!$G$7:$G$26,"="&amp;(SUBSTITUTE(SUBSTITUTE(SUBSTITUTE(SUBSTITUTE("type:"&amp;B395,"%","%25"),"~","%7E"),"*","%2A"),"?","%3F")))&gt;1,"Duplicate type",IF(INDEX('Rules'!$F$7:$F$26,MATCH(SUBSTITUTE(SUBSTITUTE(SUBSTITUTE(SUBSTITUTE("type:"&amp;B395,"%","%25"),"~","%7E"),"*","%2A"),"?","%3F"),'Rules'!$G$7:$G$26,0))&lt;&gt;"",INDEX('Rules'!$F$7:$F$26,MATCH(SUBSTITUTE(SUBSTITUTE(SUBSTITUTE(SUBSTITUTE("type:"&amp;B395,"%","%25"),"~","%7E"),"*","%2A"),"?","%3F"),'Rules'!$G$7:$G$26,0)),IF(AND(C395&lt;&gt;"",C395&lt;&gt;INDEX('Rules'!$B$7:$B$26,MATCH(SUBSTITUTE(SUBSTITUTE(SUBSTITUTE(SUBSTITUTE("type:"&amp;B395,"%","%25"),"~","%7E"),"*","%2A"),"?","%3F"),'Rules'!$G$7:$G$26,0))),"Unit mismatch",IF(IF(NOT(ISNUMBER(D395)),TRUE,OR(D395&lt;0,D395&gt;999999999,ROUND(D395,3)&lt;&gt;D395)),"Invalid current reading",IF(AND(E395&lt;&gt;"",IF(NOT(ISNUMBER(E395)),TRUE,OR(E395&lt;0,E395&gt;999999999,ROUND(E395,3)&lt;&gt;E395))),"Invalid previous reading",IF(IF(NOT(ISNUMBER(F395)),TRUE,OR(F395&lt;0,F395&gt;999999999,ROUND(F395,3)&lt;&gt;F395)),"Invalid last service",IF(AND(E395&lt;&gt;"",D395&lt;E395),"Decreased reading",IF(F395&gt;D395,"Last service above current","")))))))))))))</x:f>
      </x:c>
      <x:c r="L395" s="6" t="str">
        <x:f>IF(AND(NOT(COUNTA(A395:F395)=0),K395=""),INDEX('Rules'!$C$7:$C$26,MATCH(SUBSTITUTE(SUBSTITUTE(SUBSTITUTE(SUBSTITUTE("type:"&amp;B395,"%","%25"),"~","%7E"),"*","%2A"),"?","%3F"),'Rules'!$G$7:$G$26,0)),"")</x:f>
      </x:c>
      <x:c r="M395" s="6" t="str">
        <x:f>IF(AND(NOT(COUNTA(A395:F395)=0),K395=""),INDEX('Rules'!$D$7:$D$26,MATCH(SUBSTITUTE(SUBSTITUTE(SUBSTITUTE(SUBSTITUTE("type:"&amp;B395,"%","%25"),"~","%7E"),"*","%2A"),"?","%3F"),'Rules'!$G$7:$G$26,0)),"")</x:f>
      </x:c>
      <x:c r="N395" s="5" t="str">
        <x:f>IF(COUNTA(A395:F395)=0,"",SUBSTITUTE(SUBSTITUTE(SUBSTITUTE(SUBSTITUTE("id:"&amp;A395,"%","%25"),"~","%7E"),"*","%2A"),"?","%3F"))</x:f>
      </x:c>
    </x:row>
    <x:row r="396" ht="22" customHeight="1">
      <x:c r="A396" s="3"/>
      <x:c r="B396" s="3"/>
      <x:c r="C396" s="3"/>
      <x:c r="D396" s="4"/>
      <x:c r="E396" s="4"/>
      <x:c r="F396" s="4"/>
      <x:c r="G396" s="5" t="str">
        <x:f>IF(COUNTA(A396:F396)=0,"",IF(K396&lt;&gt;"","Review",IF(I396&lt;0,"Overdue",IF(I396=0,"Due now",IF(I396&lt;=M396,"Due soon","Not due")))))</x:f>
      </x:c>
      <x:c r="H396" s="5" t="str">
        <x:f>IF(OR(COUNTA(A396:F396)=0,COUNTIFS('Rules'!$G$7:$G$26,"="&amp;(SUBSTITUTE(SUBSTITUTE(SUBSTITUTE(SUBSTITUTE("type:"&amp;B396,"%","%25"),"~","%7E"),"*","%2A"),"?","%3F")))&lt;&gt;1),"",IF(OR(INDEX('Rules'!$B$7:$B$26,MATCH(SUBSTITUTE(SUBSTITUTE(SUBSTITUTE(SUBSTITUTE("type:"&amp;B396,"%","%25"),"~","%7E"),"*","%2A"),"?","%3F"),'Rules'!$G$7:$G$26,0))="hours",INDEX('Rules'!$B$7:$B$26,MATCH(SUBSTITUTE(SUBSTITUTE(SUBSTITUTE(SUBSTITUTE("type:"&amp;B396,"%","%25"),"~","%7E"),"*","%2A"),"?","%3F"),'Rules'!$G$7:$G$26,0))="km"),INDEX('Rules'!$B$7:$B$26,MATCH(SUBSTITUTE(SUBSTITUTE(SUBSTITUTE(SUBSTITUTE("type:"&amp;B396,"%","%25"),"~","%7E"),"*","%2A"),"?","%3F"),'Rules'!$G$7:$G$26,0)),""))</x:f>
      </x:c>
      <x:c r="I396" s="6" t="str">
        <x:f>IF(AND(NOT(COUNTA(A396:F396)=0),K396=""),ROUND(J396-D396,3),"")</x:f>
      </x:c>
      <x:c r="J396" s="6" t="str">
        <x:f>IF(AND(NOT(COUNTA(A396:F396)=0),K396=""),ROUND(F396+L396,3),"")</x:f>
      </x:c>
      <x:c r="K396" s="5" t="str">
        <x:f>IF(COUNTA(A396:F396)=0,"",IF(A396="","Missing equipment ID",IF(COUNTIFS($N$8:$N$2007,"="&amp;N396)&gt;1,"Duplicate equipment ID",IF(B396="","Missing type",IF(COUNTIFS('Rules'!$G$7:$G$26,"="&amp;(SUBSTITUTE(SUBSTITUTE(SUBSTITUTE(SUBSTITUTE("type:"&amp;B396,"%","%25"),"~","%7E"),"*","%2A"),"?","%3F")))=0,"Unknown type",IF(COUNTIFS('Rules'!$G$7:$G$26,"="&amp;(SUBSTITUTE(SUBSTITUTE(SUBSTITUTE(SUBSTITUTE("type:"&amp;B396,"%","%25"),"~","%7E"),"*","%2A"),"?","%3F")))&gt;1,"Duplicate type",IF(INDEX('Rules'!$F$7:$F$26,MATCH(SUBSTITUTE(SUBSTITUTE(SUBSTITUTE(SUBSTITUTE("type:"&amp;B396,"%","%25"),"~","%7E"),"*","%2A"),"?","%3F"),'Rules'!$G$7:$G$26,0))&lt;&gt;"",INDEX('Rules'!$F$7:$F$26,MATCH(SUBSTITUTE(SUBSTITUTE(SUBSTITUTE(SUBSTITUTE("type:"&amp;B396,"%","%25"),"~","%7E"),"*","%2A"),"?","%3F"),'Rules'!$G$7:$G$26,0)),IF(AND(C396&lt;&gt;"",C396&lt;&gt;INDEX('Rules'!$B$7:$B$26,MATCH(SUBSTITUTE(SUBSTITUTE(SUBSTITUTE(SUBSTITUTE("type:"&amp;B396,"%","%25"),"~","%7E"),"*","%2A"),"?","%3F"),'Rules'!$G$7:$G$26,0))),"Unit mismatch",IF(IF(NOT(ISNUMBER(D396)),TRUE,OR(D396&lt;0,D396&gt;999999999,ROUND(D396,3)&lt;&gt;D396)),"Invalid current reading",IF(AND(E396&lt;&gt;"",IF(NOT(ISNUMBER(E396)),TRUE,OR(E396&lt;0,E396&gt;999999999,ROUND(E396,3)&lt;&gt;E396))),"Invalid previous reading",IF(IF(NOT(ISNUMBER(F396)),TRUE,OR(F396&lt;0,F396&gt;999999999,ROUND(F396,3)&lt;&gt;F396)),"Invalid last service",IF(AND(E396&lt;&gt;"",D396&lt;E396),"Decreased reading",IF(F396&gt;D396,"Last service above current","")))))))))))))</x:f>
      </x:c>
      <x:c r="L396" s="6" t="str">
        <x:f>IF(AND(NOT(COUNTA(A396:F396)=0),K396=""),INDEX('Rules'!$C$7:$C$26,MATCH(SUBSTITUTE(SUBSTITUTE(SUBSTITUTE(SUBSTITUTE("type:"&amp;B396,"%","%25"),"~","%7E"),"*","%2A"),"?","%3F"),'Rules'!$G$7:$G$26,0)),"")</x:f>
      </x:c>
      <x:c r="M396" s="6" t="str">
        <x:f>IF(AND(NOT(COUNTA(A396:F396)=0),K396=""),INDEX('Rules'!$D$7:$D$26,MATCH(SUBSTITUTE(SUBSTITUTE(SUBSTITUTE(SUBSTITUTE("type:"&amp;B396,"%","%25"),"~","%7E"),"*","%2A"),"?","%3F"),'Rules'!$G$7:$G$26,0)),"")</x:f>
      </x:c>
      <x:c r="N396" s="5" t="str">
        <x:f>IF(COUNTA(A396:F396)=0,"",SUBSTITUTE(SUBSTITUTE(SUBSTITUTE(SUBSTITUTE("id:"&amp;A396,"%","%25"),"~","%7E"),"*","%2A"),"?","%3F"))</x:f>
      </x:c>
    </x:row>
    <x:row r="397" ht="22" customHeight="1">
      <x:c r="A397" s="3"/>
      <x:c r="B397" s="3"/>
      <x:c r="C397" s="3"/>
      <x:c r="D397" s="4"/>
      <x:c r="E397" s="4"/>
      <x:c r="F397" s="4"/>
      <x:c r="G397" s="5" t="str">
        <x:f>IF(COUNTA(A397:F397)=0,"",IF(K397&lt;&gt;"","Review",IF(I397&lt;0,"Overdue",IF(I397=0,"Due now",IF(I397&lt;=M397,"Due soon","Not due")))))</x:f>
      </x:c>
      <x:c r="H397" s="5" t="str">
        <x:f>IF(OR(COUNTA(A397:F397)=0,COUNTIFS('Rules'!$G$7:$G$26,"="&amp;(SUBSTITUTE(SUBSTITUTE(SUBSTITUTE(SUBSTITUTE("type:"&amp;B397,"%","%25"),"~","%7E"),"*","%2A"),"?","%3F")))&lt;&gt;1),"",IF(OR(INDEX('Rules'!$B$7:$B$26,MATCH(SUBSTITUTE(SUBSTITUTE(SUBSTITUTE(SUBSTITUTE("type:"&amp;B397,"%","%25"),"~","%7E"),"*","%2A"),"?","%3F"),'Rules'!$G$7:$G$26,0))="hours",INDEX('Rules'!$B$7:$B$26,MATCH(SUBSTITUTE(SUBSTITUTE(SUBSTITUTE(SUBSTITUTE("type:"&amp;B397,"%","%25"),"~","%7E"),"*","%2A"),"?","%3F"),'Rules'!$G$7:$G$26,0))="km"),INDEX('Rules'!$B$7:$B$26,MATCH(SUBSTITUTE(SUBSTITUTE(SUBSTITUTE(SUBSTITUTE("type:"&amp;B397,"%","%25"),"~","%7E"),"*","%2A"),"?","%3F"),'Rules'!$G$7:$G$26,0)),""))</x:f>
      </x:c>
      <x:c r="I397" s="6" t="str">
        <x:f>IF(AND(NOT(COUNTA(A397:F397)=0),K397=""),ROUND(J397-D397,3),"")</x:f>
      </x:c>
      <x:c r="J397" s="6" t="str">
        <x:f>IF(AND(NOT(COUNTA(A397:F397)=0),K397=""),ROUND(F397+L397,3),"")</x:f>
      </x:c>
      <x:c r="K397" s="5" t="str">
        <x:f>IF(COUNTA(A397:F397)=0,"",IF(A397="","Missing equipment ID",IF(COUNTIFS($N$8:$N$2007,"="&amp;N397)&gt;1,"Duplicate equipment ID",IF(B397="","Missing type",IF(COUNTIFS('Rules'!$G$7:$G$26,"="&amp;(SUBSTITUTE(SUBSTITUTE(SUBSTITUTE(SUBSTITUTE("type:"&amp;B397,"%","%25"),"~","%7E"),"*","%2A"),"?","%3F")))=0,"Unknown type",IF(COUNTIFS('Rules'!$G$7:$G$26,"="&amp;(SUBSTITUTE(SUBSTITUTE(SUBSTITUTE(SUBSTITUTE("type:"&amp;B397,"%","%25"),"~","%7E"),"*","%2A"),"?","%3F")))&gt;1,"Duplicate type",IF(INDEX('Rules'!$F$7:$F$26,MATCH(SUBSTITUTE(SUBSTITUTE(SUBSTITUTE(SUBSTITUTE("type:"&amp;B397,"%","%25"),"~","%7E"),"*","%2A"),"?","%3F"),'Rules'!$G$7:$G$26,0))&lt;&gt;"",INDEX('Rules'!$F$7:$F$26,MATCH(SUBSTITUTE(SUBSTITUTE(SUBSTITUTE(SUBSTITUTE("type:"&amp;B397,"%","%25"),"~","%7E"),"*","%2A"),"?","%3F"),'Rules'!$G$7:$G$26,0)),IF(AND(C397&lt;&gt;"",C397&lt;&gt;INDEX('Rules'!$B$7:$B$26,MATCH(SUBSTITUTE(SUBSTITUTE(SUBSTITUTE(SUBSTITUTE("type:"&amp;B397,"%","%25"),"~","%7E"),"*","%2A"),"?","%3F"),'Rules'!$G$7:$G$26,0))),"Unit mismatch",IF(IF(NOT(ISNUMBER(D397)),TRUE,OR(D397&lt;0,D397&gt;999999999,ROUND(D397,3)&lt;&gt;D397)),"Invalid current reading",IF(AND(E397&lt;&gt;"",IF(NOT(ISNUMBER(E397)),TRUE,OR(E397&lt;0,E397&gt;999999999,ROUND(E397,3)&lt;&gt;E397))),"Invalid previous reading",IF(IF(NOT(ISNUMBER(F397)),TRUE,OR(F397&lt;0,F397&gt;999999999,ROUND(F397,3)&lt;&gt;F397)),"Invalid last service",IF(AND(E397&lt;&gt;"",D397&lt;E397),"Decreased reading",IF(F397&gt;D397,"Last service above current","")))))))))))))</x:f>
      </x:c>
      <x:c r="L397" s="6" t="str">
        <x:f>IF(AND(NOT(COUNTA(A397:F397)=0),K397=""),INDEX('Rules'!$C$7:$C$26,MATCH(SUBSTITUTE(SUBSTITUTE(SUBSTITUTE(SUBSTITUTE("type:"&amp;B397,"%","%25"),"~","%7E"),"*","%2A"),"?","%3F"),'Rules'!$G$7:$G$26,0)),"")</x:f>
      </x:c>
      <x:c r="M397" s="6" t="str">
        <x:f>IF(AND(NOT(COUNTA(A397:F397)=0),K397=""),INDEX('Rules'!$D$7:$D$26,MATCH(SUBSTITUTE(SUBSTITUTE(SUBSTITUTE(SUBSTITUTE("type:"&amp;B397,"%","%25"),"~","%7E"),"*","%2A"),"?","%3F"),'Rules'!$G$7:$G$26,0)),"")</x:f>
      </x:c>
      <x:c r="N397" s="5" t="str">
        <x:f>IF(COUNTA(A397:F397)=0,"",SUBSTITUTE(SUBSTITUTE(SUBSTITUTE(SUBSTITUTE("id:"&amp;A397,"%","%25"),"~","%7E"),"*","%2A"),"?","%3F"))</x:f>
      </x:c>
    </x:row>
    <x:row r="398" ht="22" customHeight="1">
      <x:c r="A398" s="3"/>
      <x:c r="B398" s="3"/>
      <x:c r="C398" s="3"/>
      <x:c r="D398" s="4"/>
      <x:c r="E398" s="4"/>
      <x:c r="F398" s="4"/>
      <x:c r="G398" s="5" t="str">
        <x:f>IF(COUNTA(A398:F398)=0,"",IF(K398&lt;&gt;"","Review",IF(I398&lt;0,"Overdue",IF(I398=0,"Due now",IF(I398&lt;=M398,"Due soon","Not due")))))</x:f>
      </x:c>
      <x:c r="H398" s="5" t="str">
        <x:f>IF(OR(COUNTA(A398:F398)=0,COUNTIFS('Rules'!$G$7:$G$26,"="&amp;(SUBSTITUTE(SUBSTITUTE(SUBSTITUTE(SUBSTITUTE("type:"&amp;B398,"%","%25"),"~","%7E"),"*","%2A"),"?","%3F")))&lt;&gt;1),"",IF(OR(INDEX('Rules'!$B$7:$B$26,MATCH(SUBSTITUTE(SUBSTITUTE(SUBSTITUTE(SUBSTITUTE("type:"&amp;B398,"%","%25"),"~","%7E"),"*","%2A"),"?","%3F"),'Rules'!$G$7:$G$26,0))="hours",INDEX('Rules'!$B$7:$B$26,MATCH(SUBSTITUTE(SUBSTITUTE(SUBSTITUTE(SUBSTITUTE("type:"&amp;B398,"%","%25"),"~","%7E"),"*","%2A"),"?","%3F"),'Rules'!$G$7:$G$26,0))="km"),INDEX('Rules'!$B$7:$B$26,MATCH(SUBSTITUTE(SUBSTITUTE(SUBSTITUTE(SUBSTITUTE("type:"&amp;B398,"%","%25"),"~","%7E"),"*","%2A"),"?","%3F"),'Rules'!$G$7:$G$26,0)),""))</x:f>
      </x:c>
      <x:c r="I398" s="6" t="str">
        <x:f>IF(AND(NOT(COUNTA(A398:F398)=0),K398=""),ROUND(J398-D398,3),"")</x:f>
      </x:c>
      <x:c r="J398" s="6" t="str">
        <x:f>IF(AND(NOT(COUNTA(A398:F398)=0),K398=""),ROUND(F398+L398,3),"")</x:f>
      </x:c>
      <x:c r="K398" s="5" t="str">
        <x:f>IF(COUNTA(A398:F398)=0,"",IF(A398="","Missing equipment ID",IF(COUNTIFS($N$8:$N$2007,"="&amp;N398)&gt;1,"Duplicate equipment ID",IF(B398="","Missing type",IF(COUNTIFS('Rules'!$G$7:$G$26,"="&amp;(SUBSTITUTE(SUBSTITUTE(SUBSTITUTE(SUBSTITUTE("type:"&amp;B398,"%","%25"),"~","%7E"),"*","%2A"),"?","%3F")))=0,"Unknown type",IF(COUNTIFS('Rules'!$G$7:$G$26,"="&amp;(SUBSTITUTE(SUBSTITUTE(SUBSTITUTE(SUBSTITUTE("type:"&amp;B398,"%","%25"),"~","%7E"),"*","%2A"),"?","%3F")))&gt;1,"Duplicate type",IF(INDEX('Rules'!$F$7:$F$26,MATCH(SUBSTITUTE(SUBSTITUTE(SUBSTITUTE(SUBSTITUTE("type:"&amp;B398,"%","%25"),"~","%7E"),"*","%2A"),"?","%3F"),'Rules'!$G$7:$G$26,0))&lt;&gt;"",INDEX('Rules'!$F$7:$F$26,MATCH(SUBSTITUTE(SUBSTITUTE(SUBSTITUTE(SUBSTITUTE("type:"&amp;B398,"%","%25"),"~","%7E"),"*","%2A"),"?","%3F"),'Rules'!$G$7:$G$26,0)),IF(AND(C398&lt;&gt;"",C398&lt;&gt;INDEX('Rules'!$B$7:$B$26,MATCH(SUBSTITUTE(SUBSTITUTE(SUBSTITUTE(SUBSTITUTE("type:"&amp;B398,"%","%25"),"~","%7E"),"*","%2A"),"?","%3F"),'Rules'!$G$7:$G$26,0))),"Unit mismatch",IF(IF(NOT(ISNUMBER(D398)),TRUE,OR(D398&lt;0,D398&gt;999999999,ROUND(D398,3)&lt;&gt;D398)),"Invalid current reading",IF(AND(E398&lt;&gt;"",IF(NOT(ISNUMBER(E398)),TRUE,OR(E398&lt;0,E398&gt;999999999,ROUND(E398,3)&lt;&gt;E398))),"Invalid previous reading",IF(IF(NOT(ISNUMBER(F398)),TRUE,OR(F398&lt;0,F398&gt;999999999,ROUND(F398,3)&lt;&gt;F398)),"Invalid last service",IF(AND(E398&lt;&gt;"",D398&lt;E398),"Decreased reading",IF(F398&gt;D398,"Last service above current","")))))))))))))</x:f>
      </x:c>
      <x:c r="L398" s="6" t="str">
        <x:f>IF(AND(NOT(COUNTA(A398:F398)=0),K398=""),INDEX('Rules'!$C$7:$C$26,MATCH(SUBSTITUTE(SUBSTITUTE(SUBSTITUTE(SUBSTITUTE("type:"&amp;B398,"%","%25"),"~","%7E"),"*","%2A"),"?","%3F"),'Rules'!$G$7:$G$26,0)),"")</x:f>
      </x:c>
      <x:c r="M398" s="6" t="str">
        <x:f>IF(AND(NOT(COUNTA(A398:F398)=0),K398=""),INDEX('Rules'!$D$7:$D$26,MATCH(SUBSTITUTE(SUBSTITUTE(SUBSTITUTE(SUBSTITUTE("type:"&amp;B398,"%","%25"),"~","%7E"),"*","%2A"),"?","%3F"),'Rules'!$G$7:$G$26,0)),"")</x:f>
      </x:c>
      <x:c r="N398" s="5" t="str">
        <x:f>IF(COUNTA(A398:F398)=0,"",SUBSTITUTE(SUBSTITUTE(SUBSTITUTE(SUBSTITUTE("id:"&amp;A398,"%","%25"),"~","%7E"),"*","%2A"),"?","%3F"))</x:f>
      </x:c>
    </x:row>
    <x:row r="399" ht="22" customHeight="1">
      <x:c r="A399" s="3"/>
      <x:c r="B399" s="3"/>
      <x:c r="C399" s="3"/>
      <x:c r="D399" s="4"/>
      <x:c r="E399" s="4"/>
      <x:c r="F399" s="4"/>
      <x:c r="G399" s="5" t="str">
        <x:f>IF(COUNTA(A399:F399)=0,"",IF(K399&lt;&gt;"","Review",IF(I399&lt;0,"Overdue",IF(I399=0,"Due now",IF(I399&lt;=M399,"Due soon","Not due")))))</x:f>
      </x:c>
      <x:c r="H399" s="5" t="str">
        <x:f>IF(OR(COUNTA(A399:F399)=0,COUNTIFS('Rules'!$G$7:$G$26,"="&amp;(SUBSTITUTE(SUBSTITUTE(SUBSTITUTE(SUBSTITUTE("type:"&amp;B399,"%","%25"),"~","%7E"),"*","%2A"),"?","%3F")))&lt;&gt;1),"",IF(OR(INDEX('Rules'!$B$7:$B$26,MATCH(SUBSTITUTE(SUBSTITUTE(SUBSTITUTE(SUBSTITUTE("type:"&amp;B399,"%","%25"),"~","%7E"),"*","%2A"),"?","%3F"),'Rules'!$G$7:$G$26,0))="hours",INDEX('Rules'!$B$7:$B$26,MATCH(SUBSTITUTE(SUBSTITUTE(SUBSTITUTE(SUBSTITUTE("type:"&amp;B399,"%","%25"),"~","%7E"),"*","%2A"),"?","%3F"),'Rules'!$G$7:$G$26,0))="km"),INDEX('Rules'!$B$7:$B$26,MATCH(SUBSTITUTE(SUBSTITUTE(SUBSTITUTE(SUBSTITUTE("type:"&amp;B399,"%","%25"),"~","%7E"),"*","%2A"),"?","%3F"),'Rules'!$G$7:$G$26,0)),""))</x:f>
      </x:c>
      <x:c r="I399" s="6" t="str">
        <x:f>IF(AND(NOT(COUNTA(A399:F399)=0),K399=""),ROUND(J399-D399,3),"")</x:f>
      </x:c>
      <x:c r="J399" s="6" t="str">
        <x:f>IF(AND(NOT(COUNTA(A399:F399)=0),K399=""),ROUND(F399+L399,3),"")</x:f>
      </x:c>
      <x:c r="K399" s="5" t="str">
        <x:f>IF(COUNTA(A399:F399)=0,"",IF(A399="","Missing equipment ID",IF(COUNTIFS($N$8:$N$2007,"="&amp;N399)&gt;1,"Duplicate equipment ID",IF(B399="","Missing type",IF(COUNTIFS('Rules'!$G$7:$G$26,"="&amp;(SUBSTITUTE(SUBSTITUTE(SUBSTITUTE(SUBSTITUTE("type:"&amp;B399,"%","%25"),"~","%7E"),"*","%2A"),"?","%3F")))=0,"Unknown type",IF(COUNTIFS('Rules'!$G$7:$G$26,"="&amp;(SUBSTITUTE(SUBSTITUTE(SUBSTITUTE(SUBSTITUTE("type:"&amp;B399,"%","%25"),"~","%7E"),"*","%2A"),"?","%3F")))&gt;1,"Duplicate type",IF(INDEX('Rules'!$F$7:$F$26,MATCH(SUBSTITUTE(SUBSTITUTE(SUBSTITUTE(SUBSTITUTE("type:"&amp;B399,"%","%25"),"~","%7E"),"*","%2A"),"?","%3F"),'Rules'!$G$7:$G$26,0))&lt;&gt;"",INDEX('Rules'!$F$7:$F$26,MATCH(SUBSTITUTE(SUBSTITUTE(SUBSTITUTE(SUBSTITUTE("type:"&amp;B399,"%","%25"),"~","%7E"),"*","%2A"),"?","%3F"),'Rules'!$G$7:$G$26,0)),IF(AND(C399&lt;&gt;"",C399&lt;&gt;INDEX('Rules'!$B$7:$B$26,MATCH(SUBSTITUTE(SUBSTITUTE(SUBSTITUTE(SUBSTITUTE("type:"&amp;B399,"%","%25"),"~","%7E"),"*","%2A"),"?","%3F"),'Rules'!$G$7:$G$26,0))),"Unit mismatch",IF(IF(NOT(ISNUMBER(D399)),TRUE,OR(D399&lt;0,D399&gt;999999999,ROUND(D399,3)&lt;&gt;D399)),"Invalid current reading",IF(AND(E399&lt;&gt;"",IF(NOT(ISNUMBER(E399)),TRUE,OR(E399&lt;0,E399&gt;999999999,ROUND(E399,3)&lt;&gt;E399))),"Invalid previous reading",IF(IF(NOT(ISNUMBER(F399)),TRUE,OR(F399&lt;0,F399&gt;999999999,ROUND(F399,3)&lt;&gt;F399)),"Invalid last service",IF(AND(E399&lt;&gt;"",D399&lt;E399),"Decreased reading",IF(F399&gt;D399,"Last service above current","")))))))))))))</x:f>
      </x:c>
      <x:c r="L399" s="6" t="str">
        <x:f>IF(AND(NOT(COUNTA(A399:F399)=0),K399=""),INDEX('Rules'!$C$7:$C$26,MATCH(SUBSTITUTE(SUBSTITUTE(SUBSTITUTE(SUBSTITUTE("type:"&amp;B399,"%","%25"),"~","%7E"),"*","%2A"),"?","%3F"),'Rules'!$G$7:$G$26,0)),"")</x:f>
      </x:c>
      <x:c r="M399" s="6" t="str">
        <x:f>IF(AND(NOT(COUNTA(A399:F399)=0),K399=""),INDEX('Rules'!$D$7:$D$26,MATCH(SUBSTITUTE(SUBSTITUTE(SUBSTITUTE(SUBSTITUTE("type:"&amp;B399,"%","%25"),"~","%7E"),"*","%2A"),"?","%3F"),'Rules'!$G$7:$G$26,0)),"")</x:f>
      </x:c>
      <x:c r="N399" s="5" t="str">
        <x:f>IF(COUNTA(A399:F399)=0,"",SUBSTITUTE(SUBSTITUTE(SUBSTITUTE(SUBSTITUTE("id:"&amp;A399,"%","%25"),"~","%7E"),"*","%2A"),"?","%3F"))</x:f>
      </x:c>
    </x:row>
    <x:row r="400" ht="22" customHeight="1">
      <x:c r="A400" s="3"/>
      <x:c r="B400" s="3"/>
      <x:c r="C400" s="3"/>
      <x:c r="D400" s="4"/>
      <x:c r="E400" s="4"/>
      <x:c r="F400" s="4"/>
      <x:c r="G400" s="5" t="str">
        <x:f>IF(COUNTA(A400:F400)=0,"",IF(K400&lt;&gt;"","Review",IF(I400&lt;0,"Overdue",IF(I400=0,"Due now",IF(I400&lt;=M400,"Due soon","Not due")))))</x:f>
      </x:c>
      <x:c r="H400" s="5" t="str">
        <x:f>IF(OR(COUNTA(A400:F400)=0,COUNTIFS('Rules'!$G$7:$G$26,"="&amp;(SUBSTITUTE(SUBSTITUTE(SUBSTITUTE(SUBSTITUTE("type:"&amp;B400,"%","%25"),"~","%7E"),"*","%2A"),"?","%3F")))&lt;&gt;1),"",IF(OR(INDEX('Rules'!$B$7:$B$26,MATCH(SUBSTITUTE(SUBSTITUTE(SUBSTITUTE(SUBSTITUTE("type:"&amp;B400,"%","%25"),"~","%7E"),"*","%2A"),"?","%3F"),'Rules'!$G$7:$G$26,0))="hours",INDEX('Rules'!$B$7:$B$26,MATCH(SUBSTITUTE(SUBSTITUTE(SUBSTITUTE(SUBSTITUTE("type:"&amp;B400,"%","%25"),"~","%7E"),"*","%2A"),"?","%3F"),'Rules'!$G$7:$G$26,0))="km"),INDEX('Rules'!$B$7:$B$26,MATCH(SUBSTITUTE(SUBSTITUTE(SUBSTITUTE(SUBSTITUTE("type:"&amp;B400,"%","%25"),"~","%7E"),"*","%2A"),"?","%3F"),'Rules'!$G$7:$G$26,0)),""))</x:f>
      </x:c>
      <x:c r="I400" s="6" t="str">
        <x:f>IF(AND(NOT(COUNTA(A400:F400)=0),K400=""),ROUND(J400-D400,3),"")</x:f>
      </x:c>
      <x:c r="J400" s="6" t="str">
        <x:f>IF(AND(NOT(COUNTA(A400:F400)=0),K400=""),ROUND(F400+L400,3),"")</x:f>
      </x:c>
      <x:c r="K400" s="5" t="str">
        <x:f>IF(COUNTA(A400:F400)=0,"",IF(A400="","Missing equipment ID",IF(COUNTIFS($N$8:$N$2007,"="&amp;N400)&gt;1,"Duplicate equipment ID",IF(B400="","Missing type",IF(COUNTIFS('Rules'!$G$7:$G$26,"="&amp;(SUBSTITUTE(SUBSTITUTE(SUBSTITUTE(SUBSTITUTE("type:"&amp;B400,"%","%25"),"~","%7E"),"*","%2A"),"?","%3F")))=0,"Unknown type",IF(COUNTIFS('Rules'!$G$7:$G$26,"="&amp;(SUBSTITUTE(SUBSTITUTE(SUBSTITUTE(SUBSTITUTE("type:"&amp;B400,"%","%25"),"~","%7E"),"*","%2A"),"?","%3F")))&gt;1,"Duplicate type",IF(INDEX('Rules'!$F$7:$F$26,MATCH(SUBSTITUTE(SUBSTITUTE(SUBSTITUTE(SUBSTITUTE("type:"&amp;B400,"%","%25"),"~","%7E"),"*","%2A"),"?","%3F"),'Rules'!$G$7:$G$26,0))&lt;&gt;"",INDEX('Rules'!$F$7:$F$26,MATCH(SUBSTITUTE(SUBSTITUTE(SUBSTITUTE(SUBSTITUTE("type:"&amp;B400,"%","%25"),"~","%7E"),"*","%2A"),"?","%3F"),'Rules'!$G$7:$G$26,0)),IF(AND(C400&lt;&gt;"",C400&lt;&gt;INDEX('Rules'!$B$7:$B$26,MATCH(SUBSTITUTE(SUBSTITUTE(SUBSTITUTE(SUBSTITUTE("type:"&amp;B400,"%","%25"),"~","%7E"),"*","%2A"),"?","%3F"),'Rules'!$G$7:$G$26,0))),"Unit mismatch",IF(IF(NOT(ISNUMBER(D400)),TRUE,OR(D400&lt;0,D400&gt;999999999,ROUND(D400,3)&lt;&gt;D400)),"Invalid current reading",IF(AND(E400&lt;&gt;"",IF(NOT(ISNUMBER(E400)),TRUE,OR(E400&lt;0,E400&gt;999999999,ROUND(E400,3)&lt;&gt;E400))),"Invalid previous reading",IF(IF(NOT(ISNUMBER(F400)),TRUE,OR(F400&lt;0,F400&gt;999999999,ROUND(F400,3)&lt;&gt;F400)),"Invalid last service",IF(AND(E400&lt;&gt;"",D400&lt;E400),"Decreased reading",IF(F400&gt;D400,"Last service above current","")))))))))))))</x:f>
      </x:c>
      <x:c r="L400" s="6" t="str">
        <x:f>IF(AND(NOT(COUNTA(A400:F400)=0),K400=""),INDEX('Rules'!$C$7:$C$26,MATCH(SUBSTITUTE(SUBSTITUTE(SUBSTITUTE(SUBSTITUTE("type:"&amp;B400,"%","%25"),"~","%7E"),"*","%2A"),"?","%3F"),'Rules'!$G$7:$G$26,0)),"")</x:f>
      </x:c>
      <x:c r="M400" s="6" t="str">
        <x:f>IF(AND(NOT(COUNTA(A400:F400)=0),K400=""),INDEX('Rules'!$D$7:$D$26,MATCH(SUBSTITUTE(SUBSTITUTE(SUBSTITUTE(SUBSTITUTE("type:"&amp;B400,"%","%25"),"~","%7E"),"*","%2A"),"?","%3F"),'Rules'!$G$7:$G$26,0)),"")</x:f>
      </x:c>
      <x:c r="N400" s="5" t="str">
        <x:f>IF(COUNTA(A400:F400)=0,"",SUBSTITUTE(SUBSTITUTE(SUBSTITUTE(SUBSTITUTE("id:"&amp;A400,"%","%25"),"~","%7E"),"*","%2A"),"?","%3F"))</x:f>
      </x:c>
    </x:row>
    <x:row r="401" ht="22" customHeight="1">
      <x:c r="A401" s="3"/>
      <x:c r="B401" s="3"/>
      <x:c r="C401" s="3"/>
      <x:c r="D401" s="4"/>
      <x:c r="E401" s="4"/>
      <x:c r="F401" s="4"/>
      <x:c r="G401" s="5" t="str">
        <x:f>IF(COUNTA(A401:F401)=0,"",IF(K401&lt;&gt;"","Review",IF(I401&lt;0,"Overdue",IF(I401=0,"Due now",IF(I401&lt;=M401,"Due soon","Not due")))))</x:f>
      </x:c>
      <x:c r="H401" s="5" t="str">
        <x:f>IF(OR(COUNTA(A401:F401)=0,COUNTIFS('Rules'!$G$7:$G$26,"="&amp;(SUBSTITUTE(SUBSTITUTE(SUBSTITUTE(SUBSTITUTE("type:"&amp;B401,"%","%25"),"~","%7E"),"*","%2A"),"?","%3F")))&lt;&gt;1),"",IF(OR(INDEX('Rules'!$B$7:$B$26,MATCH(SUBSTITUTE(SUBSTITUTE(SUBSTITUTE(SUBSTITUTE("type:"&amp;B401,"%","%25"),"~","%7E"),"*","%2A"),"?","%3F"),'Rules'!$G$7:$G$26,0))="hours",INDEX('Rules'!$B$7:$B$26,MATCH(SUBSTITUTE(SUBSTITUTE(SUBSTITUTE(SUBSTITUTE("type:"&amp;B401,"%","%25"),"~","%7E"),"*","%2A"),"?","%3F"),'Rules'!$G$7:$G$26,0))="km"),INDEX('Rules'!$B$7:$B$26,MATCH(SUBSTITUTE(SUBSTITUTE(SUBSTITUTE(SUBSTITUTE("type:"&amp;B401,"%","%25"),"~","%7E"),"*","%2A"),"?","%3F"),'Rules'!$G$7:$G$26,0)),""))</x:f>
      </x:c>
      <x:c r="I401" s="6" t="str">
        <x:f>IF(AND(NOT(COUNTA(A401:F401)=0),K401=""),ROUND(J401-D401,3),"")</x:f>
      </x:c>
      <x:c r="J401" s="6" t="str">
        <x:f>IF(AND(NOT(COUNTA(A401:F401)=0),K401=""),ROUND(F401+L401,3),"")</x:f>
      </x:c>
      <x:c r="K401" s="5" t="str">
        <x:f>IF(COUNTA(A401:F401)=0,"",IF(A401="","Missing equipment ID",IF(COUNTIFS($N$8:$N$2007,"="&amp;N401)&gt;1,"Duplicate equipment ID",IF(B401="","Missing type",IF(COUNTIFS('Rules'!$G$7:$G$26,"="&amp;(SUBSTITUTE(SUBSTITUTE(SUBSTITUTE(SUBSTITUTE("type:"&amp;B401,"%","%25"),"~","%7E"),"*","%2A"),"?","%3F")))=0,"Unknown type",IF(COUNTIFS('Rules'!$G$7:$G$26,"="&amp;(SUBSTITUTE(SUBSTITUTE(SUBSTITUTE(SUBSTITUTE("type:"&amp;B401,"%","%25"),"~","%7E"),"*","%2A"),"?","%3F")))&gt;1,"Duplicate type",IF(INDEX('Rules'!$F$7:$F$26,MATCH(SUBSTITUTE(SUBSTITUTE(SUBSTITUTE(SUBSTITUTE("type:"&amp;B401,"%","%25"),"~","%7E"),"*","%2A"),"?","%3F"),'Rules'!$G$7:$G$26,0))&lt;&gt;"",INDEX('Rules'!$F$7:$F$26,MATCH(SUBSTITUTE(SUBSTITUTE(SUBSTITUTE(SUBSTITUTE("type:"&amp;B401,"%","%25"),"~","%7E"),"*","%2A"),"?","%3F"),'Rules'!$G$7:$G$26,0)),IF(AND(C401&lt;&gt;"",C401&lt;&gt;INDEX('Rules'!$B$7:$B$26,MATCH(SUBSTITUTE(SUBSTITUTE(SUBSTITUTE(SUBSTITUTE("type:"&amp;B401,"%","%25"),"~","%7E"),"*","%2A"),"?","%3F"),'Rules'!$G$7:$G$26,0))),"Unit mismatch",IF(IF(NOT(ISNUMBER(D401)),TRUE,OR(D401&lt;0,D401&gt;999999999,ROUND(D401,3)&lt;&gt;D401)),"Invalid current reading",IF(AND(E401&lt;&gt;"",IF(NOT(ISNUMBER(E401)),TRUE,OR(E401&lt;0,E401&gt;999999999,ROUND(E401,3)&lt;&gt;E401))),"Invalid previous reading",IF(IF(NOT(ISNUMBER(F401)),TRUE,OR(F401&lt;0,F401&gt;999999999,ROUND(F401,3)&lt;&gt;F401)),"Invalid last service",IF(AND(E401&lt;&gt;"",D401&lt;E401),"Decreased reading",IF(F401&gt;D401,"Last service above current","")))))))))))))</x:f>
      </x:c>
      <x:c r="L401" s="6" t="str">
        <x:f>IF(AND(NOT(COUNTA(A401:F401)=0),K401=""),INDEX('Rules'!$C$7:$C$26,MATCH(SUBSTITUTE(SUBSTITUTE(SUBSTITUTE(SUBSTITUTE("type:"&amp;B401,"%","%25"),"~","%7E"),"*","%2A"),"?","%3F"),'Rules'!$G$7:$G$26,0)),"")</x:f>
      </x:c>
      <x:c r="M401" s="6" t="str">
        <x:f>IF(AND(NOT(COUNTA(A401:F401)=0),K401=""),INDEX('Rules'!$D$7:$D$26,MATCH(SUBSTITUTE(SUBSTITUTE(SUBSTITUTE(SUBSTITUTE("type:"&amp;B401,"%","%25"),"~","%7E"),"*","%2A"),"?","%3F"),'Rules'!$G$7:$G$26,0)),"")</x:f>
      </x:c>
      <x:c r="N401" s="5" t="str">
        <x:f>IF(COUNTA(A401:F401)=0,"",SUBSTITUTE(SUBSTITUTE(SUBSTITUTE(SUBSTITUTE("id:"&amp;A401,"%","%25"),"~","%7E"),"*","%2A"),"?","%3F"))</x:f>
      </x:c>
    </x:row>
    <x:row r="402" ht="22" customHeight="1">
      <x:c r="A402" s="3"/>
      <x:c r="B402" s="3"/>
      <x:c r="C402" s="3"/>
      <x:c r="D402" s="4"/>
      <x:c r="E402" s="4"/>
      <x:c r="F402" s="4"/>
      <x:c r="G402" s="5" t="str">
        <x:f>IF(COUNTA(A402:F402)=0,"",IF(K402&lt;&gt;"","Review",IF(I402&lt;0,"Overdue",IF(I402=0,"Due now",IF(I402&lt;=M402,"Due soon","Not due")))))</x:f>
      </x:c>
      <x:c r="H402" s="5" t="str">
        <x:f>IF(OR(COUNTA(A402:F402)=0,COUNTIFS('Rules'!$G$7:$G$26,"="&amp;(SUBSTITUTE(SUBSTITUTE(SUBSTITUTE(SUBSTITUTE("type:"&amp;B402,"%","%25"),"~","%7E"),"*","%2A"),"?","%3F")))&lt;&gt;1),"",IF(OR(INDEX('Rules'!$B$7:$B$26,MATCH(SUBSTITUTE(SUBSTITUTE(SUBSTITUTE(SUBSTITUTE("type:"&amp;B402,"%","%25"),"~","%7E"),"*","%2A"),"?","%3F"),'Rules'!$G$7:$G$26,0))="hours",INDEX('Rules'!$B$7:$B$26,MATCH(SUBSTITUTE(SUBSTITUTE(SUBSTITUTE(SUBSTITUTE("type:"&amp;B402,"%","%25"),"~","%7E"),"*","%2A"),"?","%3F"),'Rules'!$G$7:$G$26,0))="km"),INDEX('Rules'!$B$7:$B$26,MATCH(SUBSTITUTE(SUBSTITUTE(SUBSTITUTE(SUBSTITUTE("type:"&amp;B402,"%","%25"),"~","%7E"),"*","%2A"),"?","%3F"),'Rules'!$G$7:$G$26,0)),""))</x:f>
      </x:c>
      <x:c r="I402" s="6" t="str">
        <x:f>IF(AND(NOT(COUNTA(A402:F402)=0),K402=""),ROUND(J402-D402,3),"")</x:f>
      </x:c>
      <x:c r="J402" s="6" t="str">
        <x:f>IF(AND(NOT(COUNTA(A402:F402)=0),K402=""),ROUND(F402+L402,3),"")</x:f>
      </x:c>
      <x:c r="K402" s="5" t="str">
        <x:f>IF(COUNTA(A402:F402)=0,"",IF(A402="","Missing equipment ID",IF(COUNTIFS($N$8:$N$2007,"="&amp;N402)&gt;1,"Duplicate equipment ID",IF(B402="","Missing type",IF(COUNTIFS('Rules'!$G$7:$G$26,"="&amp;(SUBSTITUTE(SUBSTITUTE(SUBSTITUTE(SUBSTITUTE("type:"&amp;B402,"%","%25"),"~","%7E"),"*","%2A"),"?","%3F")))=0,"Unknown type",IF(COUNTIFS('Rules'!$G$7:$G$26,"="&amp;(SUBSTITUTE(SUBSTITUTE(SUBSTITUTE(SUBSTITUTE("type:"&amp;B402,"%","%25"),"~","%7E"),"*","%2A"),"?","%3F")))&gt;1,"Duplicate type",IF(INDEX('Rules'!$F$7:$F$26,MATCH(SUBSTITUTE(SUBSTITUTE(SUBSTITUTE(SUBSTITUTE("type:"&amp;B402,"%","%25"),"~","%7E"),"*","%2A"),"?","%3F"),'Rules'!$G$7:$G$26,0))&lt;&gt;"",INDEX('Rules'!$F$7:$F$26,MATCH(SUBSTITUTE(SUBSTITUTE(SUBSTITUTE(SUBSTITUTE("type:"&amp;B402,"%","%25"),"~","%7E"),"*","%2A"),"?","%3F"),'Rules'!$G$7:$G$26,0)),IF(AND(C402&lt;&gt;"",C402&lt;&gt;INDEX('Rules'!$B$7:$B$26,MATCH(SUBSTITUTE(SUBSTITUTE(SUBSTITUTE(SUBSTITUTE("type:"&amp;B402,"%","%25"),"~","%7E"),"*","%2A"),"?","%3F"),'Rules'!$G$7:$G$26,0))),"Unit mismatch",IF(IF(NOT(ISNUMBER(D402)),TRUE,OR(D402&lt;0,D402&gt;999999999,ROUND(D402,3)&lt;&gt;D402)),"Invalid current reading",IF(AND(E402&lt;&gt;"",IF(NOT(ISNUMBER(E402)),TRUE,OR(E402&lt;0,E402&gt;999999999,ROUND(E402,3)&lt;&gt;E402))),"Invalid previous reading",IF(IF(NOT(ISNUMBER(F402)),TRUE,OR(F402&lt;0,F402&gt;999999999,ROUND(F402,3)&lt;&gt;F402)),"Invalid last service",IF(AND(E402&lt;&gt;"",D402&lt;E402),"Decreased reading",IF(F402&gt;D402,"Last service above current","")))))))))))))</x:f>
      </x:c>
      <x:c r="L402" s="6" t="str">
        <x:f>IF(AND(NOT(COUNTA(A402:F402)=0),K402=""),INDEX('Rules'!$C$7:$C$26,MATCH(SUBSTITUTE(SUBSTITUTE(SUBSTITUTE(SUBSTITUTE("type:"&amp;B402,"%","%25"),"~","%7E"),"*","%2A"),"?","%3F"),'Rules'!$G$7:$G$26,0)),"")</x:f>
      </x:c>
      <x:c r="M402" s="6" t="str">
        <x:f>IF(AND(NOT(COUNTA(A402:F402)=0),K402=""),INDEX('Rules'!$D$7:$D$26,MATCH(SUBSTITUTE(SUBSTITUTE(SUBSTITUTE(SUBSTITUTE("type:"&amp;B402,"%","%25"),"~","%7E"),"*","%2A"),"?","%3F"),'Rules'!$G$7:$G$26,0)),"")</x:f>
      </x:c>
      <x:c r="N402" s="5" t="str">
        <x:f>IF(COUNTA(A402:F402)=0,"",SUBSTITUTE(SUBSTITUTE(SUBSTITUTE(SUBSTITUTE("id:"&amp;A402,"%","%25"),"~","%7E"),"*","%2A"),"?","%3F"))</x:f>
      </x:c>
    </x:row>
    <x:row r="403" ht="22" customHeight="1">
      <x:c r="A403" s="3"/>
      <x:c r="B403" s="3"/>
      <x:c r="C403" s="3"/>
      <x:c r="D403" s="4"/>
      <x:c r="E403" s="4"/>
      <x:c r="F403" s="4"/>
      <x:c r="G403" s="5" t="str">
        <x:f>IF(COUNTA(A403:F403)=0,"",IF(K403&lt;&gt;"","Review",IF(I403&lt;0,"Overdue",IF(I403=0,"Due now",IF(I403&lt;=M403,"Due soon","Not due")))))</x:f>
      </x:c>
      <x:c r="H403" s="5" t="str">
        <x:f>IF(OR(COUNTA(A403:F403)=0,COUNTIFS('Rules'!$G$7:$G$26,"="&amp;(SUBSTITUTE(SUBSTITUTE(SUBSTITUTE(SUBSTITUTE("type:"&amp;B403,"%","%25"),"~","%7E"),"*","%2A"),"?","%3F")))&lt;&gt;1),"",IF(OR(INDEX('Rules'!$B$7:$B$26,MATCH(SUBSTITUTE(SUBSTITUTE(SUBSTITUTE(SUBSTITUTE("type:"&amp;B403,"%","%25"),"~","%7E"),"*","%2A"),"?","%3F"),'Rules'!$G$7:$G$26,0))="hours",INDEX('Rules'!$B$7:$B$26,MATCH(SUBSTITUTE(SUBSTITUTE(SUBSTITUTE(SUBSTITUTE("type:"&amp;B403,"%","%25"),"~","%7E"),"*","%2A"),"?","%3F"),'Rules'!$G$7:$G$26,0))="km"),INDEX('Rules'!$B$7:$B$26,MATCH(SUBSTITUTE(SUBSTITUTE(SUBSTITUTE(SUBSTITUTE("type:"&amp;B403,"%","%25"),"~","%7E"),"*","%2A"),"?","%3F"),'Rules'!$G$7:$G$26,0)),""))</x:f>
      </x:c>
      <x:c r="I403" s="6" t="str">
        <x:f>IF(AND(NOT(COUNTA(A403:F403)=0),K403=""),ROUND(J403-D403,3),"")</x:f>
      </x:c>
      <x:c r="J403" s="6" t="str">
        <x:f>IF(AND(NOT(COUNTA(A403:F403)=0),K403=""),ROUND(F403+L403,3),"")</x:f>
      </x:c>
      <x:c r="K403" s="5" t="str">
        <x:f>IF(COUNTA(A403:F403)=0,"",IF(A403="","Missing equipment ID",IF(COUNTIFS($N$8:$N$2007,"="&amp;N403)&gt;1,"Duplicate equipment ID",IF(B403="","Missing type",IF(COUNTIFS('Rules'!$G$7:$G$26,"="&amp;(SUBSTITUTE(SUBSTITUTE(SUBSTITUTE(SUBSTITUTE("type:"&amp;B403,"%","%25"),"~","%7E"),"*","%2A"),"?","%3F")))=0,"Unknown type",IF(COUNTIFS('Rules'!$G$7:$G$26,"="&amp;(SUBSTITUTE(SUBSTITUTE(SUBSTITUTE(SUBSTITUTE("type:"&amp;B403,"%","%25"),"~","%7E"),"*","%2A"),"?","%3F")))&gt;1,"Duplicate type",IF(INDEX('Rules'!$F$7:$F$26,MATCH(SUBSTITUTE(SUBSTITUTE(SUBSTITUTE(SUBSTITUTE("type:"&amp;B403,"%","%25"),"~","%7E"),"*","%2A"),"?","%3F"),'Rules'!$G$7:$G$26,0))&lt;&gt;"",INDEX('Rules'!$F$7:$F$26,MATCH(SUBSTITUTE(SUBSTITUTE(SUBSTITUTE(SUBSTITUTE("type:"&amp;B403,"%","%25"),"~","%7E"),"*","%2A"),"?","%3F"),'Rules'!$G$7:$G$26,0)),IF(AND(C403&lt;&gt;"",C403&lt;&gt;INDEX('Rules'!$B$7:$B$26,MATCH(SUBSTITUTE(SUBSTITUTE(SUBSTITUTE(SUBSTITUTE("type:"&amp;B403,"%","%25"),"~","%7E"),"*","%2A"),"?","%3F"),'Rules'!$G$7:$G$26,0))),"Unit mismatch",IF(IF(NOT(ISNUMBER(D403)),TRUE,OR(D403&lt;0,D403&gt;999999999,ROUND(D403,3)&lt;&gt;D403)),"Invalid current reading",IF(AND(E403&lt;&gt;"",IF(NOT(ISNUMBER(E403)),TRUE,OR(E403&lt;0,E403&gt;999999999,ROUND(E403,3)&lt;&gt;E403))),"Invalid previous reading",IF(IF(NOT(ISNUMBER(F403)),TRUE,OR(F403&lt;0,F403&gt;999999999,ROUND(F403,3)&lt;&gt;F403)),"Invalid last service",IF(AND(E403&lt;&gt;"",D403&lt;E403),"Decreased reading",IF(F403&gt;D403,"Last service above current","")))))))))))))</x:f>
      </x:c>
      <x:c r="L403" s="6" t="str">
        <x:f>IF(AND(NOT(COUNTA(A403:F403)=0),K403=""),INDEX('Rules'!$C$7:$C$26,MATCH(SUBSTITUTE(SUBSTITUTE(SUBSTITUTE(SUBSTITUTE("type:"&amp;B403,"%","%25"),"~","%7E"),"*","%2A"),"?","%3F"),'Rules'!$G$7:$G$26,0)),"")</x:f>
      </x:c>
      <x:c r="M403" s="6" t="str">
        <x:f>IF(AND(NOT(COUNTA(A403:F403)=0),K403=""),INDEX('Rules'!$D$7:$D$26,MATCH(SUBSTITUTE(SUBSTITUTE(SUBSTITUTE(SUBSTITUTE("type:"&amp;B403,"%","%25"),"~","%7E"),"*","%2A"),"?","%3F"),'Rules'!$G$7:$G$26,0)),"")</x:f>
      </x:c>
      <x:c r="N403" s="5" t="str">
        <x:f>IF(COUNTA(A403:F403)=0,"",SUBSTITUTE(SUBSTITUTE(SUBSTITUTE(SUBSTITUTE("id:"&amp;A403,"%","%25"),"~","%7E"),"*","%2A"),"?","%3F"))</x:f>
      </x:c>
    </x:row>
    <x:row r="404" ht="22" customHeight="1">
      <x:c r="A404" s="3"/>
      <x:c r="B404" s="3"/>
      <x:c r="C404" s="3"/>
      <x:c r="D404" s="4"/>
      <x:c r="E404" s="4"/>
      <x:c r="F404" s="4"/>
      <x:c r="G404" s="5" t="str">
        <x:f>IF(COUNTA(A404:F404)=0,"",IF(K404&lt;&gt;"","Review",IF(I404&lt;0,"Overdue",IF(I404=0,"Due now",IF(I404&lt;=M404,"Due soon","Not due")))))</x:f>
      </x:c>
      <x:c r="H404" s="5" t="str">
        <x:f>IF(OR(COUNTA(A404:F404)=0,COUNTIFS('Rules'!$G$7:$G$26,"="&amp;(SUBSTITUTE(SUBSTITUTE(SUBSTITUTE(SUBSTITUTE("type:"&amp;B404,"%","%25"),"~","%7E"),"*","%2A"),"?","%3F")))&lt;&gt;1),"",IF(OR(INDEX('Rules'!$B$7:$B$26,MATCH(SUBSTITUTE(SUBSTITUTE(SUBSTITUTE(SUBSTITUTE("type:"&amp;B404,"%","%25"),"~","%7E"),"*","%2A"),"?","%3F"),'Rules'!$G$7:$G$26,0))="hours",INDEX('Rules'!$B$7:$B$26,MATCH(SUBSTITUTE(SUBSTITUTE(SUBSTITUTE(SUBSTITUTE("type:"&amp;B404,"%","%25"),"~","%7E"),"*","%2A"),"?","%3F"),'Rules'!$G$7:$G$26,0))="km"),INDEX('Rules'!$B$7:$B$26,MATCH(SUBSTITUTE(SUBSTITUTE(SUBSTITUTE(SUBSTITUTE("type:"&amp;B404,"%","%25"),"~","%7E"),"*","%2A"),"?","%3F"),'Rules'!$G$7:$G$26,0)),""))</x:f>
      </x:c>
      <x:c r="I404" s="6" t="str">
        <x:f>IF(AND(NOT(COUNTA(A404:F404)=0),K404=""),ROUND(J404-D404,3),"")</x:f>
      </x:c>
      <x:c r="J404" s="6" t="str">
        <x:f>IF(AND(NOT(COUNTA(A404:F404)=0),K404=""),ROUND(F404+L404,3),"")</x:f>
      </x:c>
      <x:c r="K404" s="5" t="str">
        <x:f>IF(COUNTA(A404:F404)=0,"",IF(A404="","Missing equipment ID",IF(COUNTIFS($N$8:$N$2007,"="&amp;N404)&gt;1,"Duplicate equipment ID",IF(B404="","Missing type",IF(COUNTIFS('Rules'!$G$7:$G$26,"="&amp;(SUBSTITUTE(SUBSTITUTE(SUBSTITUTE(SUBSTITUTE("type:"&amp;B404,"%","%25"),"~","%7E"),"*","%2A"),"?","%3F")))=0,"Unknown type",IF(COUNTIFS('Rules'!$G$7:$G$26,"="&amp;(SUBSTITUTE(SUBSTITUTE(SUBSTITUTE(SUBSTITUTE("type:"&amp;B404,"%","%25"),"~","%7E"),"*","%2A"),"?","%3F")))&gt;1,"Duplicate type",IF(INDEX('Rules'!$F$7:$F$26,MATCH(SUBSTITUTE(SUBSTITUTE(SUBSTITUTE(SUBSTITUTE("type:"&amp;B404,"%","%25"),"~","%7E"),"*","%2A"),"?","%3F"),'Rules'!$G$7:$G$26,0))&lt;&gt;"",INDEX('Rules'!$F$7:$F$26,MATCH(SUBSTITUTE(SUBSTITUTE(SUBSTITUTE(SUBSTITUTE("type:"&amp;B404,"%","%25"),"~","%7E"),"*","%2A"),"?","%3F"),'Rules'!$G$7:$G$26,0)),IF(AND(C404&lt;&gt;"",C404&lt;&gt;INDEX('Rules'!$B$7:$B$26,MATCH(SUBSTITUTE(SUBSTITUTE(SUBSTITUTE(SUBSTITUTE("type:"&amp;B404,"%","%25"),"~","%7E"),"*","%2A"),"?","%3F"),'Rules'!$G$7:$G$26,0))),"Unit mismatch",IF(IF(NOT(ISNUMBER(D404)),TRUE,OR(D404&lt;0,D404&gt;999999999,ROUND(D404,3)&lt;&gt;D404)),"Invalid current reading",IF(AND(E404&lt;&gt;"",IF(NOT(ISNUMBER(E404)),TRUE,OR(E404&lt;0,E404&gt;999999999,ROUND(E404,3)&lt;&gt;E404))),"Invalid previous reading",IF(IF(NOT(ISNUMBER(F404)),TRUE,OR(F404&lt;0,F404&gt;999999999,ROUND(F404,3)&lt;&gt;F404)),"Invalid last service",IF(AND(E404&lt;&gt;"",D404&lt;E404),"Decreased reading",IF(F404&gt;D404,"Last service above current","")))))))))))))</x:f>
      </x:c>
      <x:c r="L404" s="6" t="str">
        <x:f>IF(AND(NOT(COUNTA(A404:F404)=0),K404=""),INDEX('Rules'!$C$7:$C$26,MATCH(SUBSTITUTE(SUBSTITUTE(SUBSTITUTE(SUBSTITUTE("type:"&amp;B404,"%","%25"),"~","%7E"),"*","%2A"),"?","%3F"),'Rules'!$G$7:$G$26,0)),"")</x:f>
      </x:c>
      <x:c r="M404" s="6" t="str">
        <x:f>IF(AND(NOT(COUNTA(A404:F404)=0),K404=""),INDEX('Rules'!$D$7:$D$26,MATCH(SUBSTITUTE(SUBSTITUTE(SUBSTITUTE(SUBSTITUTE("type:"&amp;B404,"%","%25"),"~","%7E"),"*","%2A"),"?","%3F"),'Rules'!$G$7:$G$26,0)),"")</x:f>
      </x:c>
      <x:c r="N404" s="5" t="str">
        <x:f>IF(COUNTA(A404:F404)=0,"",SUBSTITUTE(SUBSTITUTE(SUBSTITUTE(SUBSTITUTE("id:"&amp;A404,"%","%25"),"~","%7E"),"*","%2A"),"?","%3F"))</x:f>
      </x:c>
    </x:row>
    <x:row r="405" ht="22" customHeight="1">
      <x:c r="A405" s="3"/>
      <x:c r="B405" s="3"/>
      <x:c r="C405" s="3"/>
      <x:c r="D405" s="4"/>
      <x:c r="E405" s="4"/>
      <x:c r="F405" s="4"/>
      <x:c r="G405" s="5" t="str">
        <x:f>IF(COUNTA(A405:F405)=0,"",IF(K405&lt;&gt;"","Review",IF(I405&lt;0,"Overdue",IF(I405=0,"Due now",IF(I405&lt;=M405,"Due soon","Not due")))))</x:f>
      </x:c>
      <x:c r="H405" s="5" t="str">
        <x:f>IF(OR(COUNTA(A405:F405)=0,COUNTIFS('Rules'!$G$7:$G$26,"="&amp;(SUBSTITUTE(SUBSTITUTE(SUBSTITUTE(SUBSTITUTE("type:"&amp;B405,"%","%25"),"~","%7E"),"*","%2A"),"?","%3F")))&lt;&gt;1),"",IF(OR(INDEX('Rules'!$B$7:$B$26,MATCH(SUBSTITUTE(SUBSTITUTE(SUBSTITUTE(SUBSTITUTE("type:"&amp;B405,"%","%25"),"~","%7E"),"*","%2A"),"?","%3F"),'Rules'!$G$7:$G$26,0))="hours",INDEX('Rules'!$B$7:$B$26,MATCH(SUBSTITUTE(SUBSTITUTE(SUBSTITUTE(SUBSTITUTE("type:"&amp;B405,"%","%25"),"~","%7E"),"*","%2A"),"?","%3F"),'Rules'!$G$7:$G$26,0))="km"),INDEX('Rules'!$B$7:$B$26,MATCH(SUBSTITUTE(SUBSTITUTE(SUBSTITUTE(SUBSTITUTE("type:"&amp;B405,"%","%25"),"~","%7E"),"*","%2A"),"?","%3F"),'Rules'!$G$7:$G$26,0)),""))</x:f>
      </x:c>
      <x:c r="I405" s="6" t="str">
        <x:f>IF(AND(NOT(COUNTA(A405:F405)=0),K405=""),ROUND(J405-D405,3),"")</x:f>
      </x:c>
      <x:c r="J405" s="6" t="str">
        <x:f>IF(AND(NOT(COUNTA(A405:F405)=0),K405=""),ROUND(F405+L405,3),"")</x:f>
      </x:c>
      <x:c r="K405" s="5" t="str">
        <x:f>IF(COUNTA(A405:F405)=0,"",IF(A405="","Missing equipment ID",IF(COUNTIFS($N$8:$N$2007,"="&amp;N405)&gt;1,"Duplicate equipment ID",IF(B405="","Missing type",IF(COUNTIFS('Rules'!$G$7:$G$26,"="&amp;(SUBSTITUTE(SUBSTITUTE(SUBSTITUTE(SUBSTITUTE("type:"&amp;B405,"%","%25"),"~","%7E"),"*","%2A"),"?","%3F")))=0,"Unknown type",IF(COUNTIFS('Rules'!$G$7:$G$26,"="&amp;(SUBSTITUTE(SUBSTITUTE(SUBSTITUTE(SUBSTITUTE("type:"&amp;B405,"%","%25"),"~","%7E"),"*","%2A"),"?","%3F")))&gt;1,"Duplicate type",IF(INDEX('Rules'!$F$7:$F$26,MATCH(SUBSTITUTE(SUBSTITUTE(SUBSTITUTE(SUBSTITUTE("type:"&amp;B405,"%","%25"),"~","%7E"),"*","%2A"),"?","%3F"),'Rules'!$G$7:$G$26,0))&lt;&gt;"",INDEX('Rules'!$F$7:$F$26,MATCH(SUBSTITUTE(SUBSTITUTE(SUBSTITUTE(SUBSTITUTE("type:"&amp;B405,"%","%25"),"~","%7E"),"*","%2A"),"?","%3F"),'Rules'!$G$7:$G$26,0)),IF(AND(C405&lt;&gt;"",C405&lt;&gt;INDEX('Rules'!$B$7:$B$26,MATCH(SUBSTITUTE(SUBSTITUTE(SUBSTITUTE(SUBSTITUTE("type:"&amp;B405,"%","%25"),"~","%7E"),"*","%2A"),"?","%3F"),'Rules'!$G$7:$G$26,0))),"Unit mismatch",IF(IF(NOT(ISNUMBER(D405)),TRUE,OR(D405&lt;0,D405&gt;999999999,ROUND(D405,3)&lt;&gt;D405)),"Invalid current reading",IF(AND(E405&lt;&gt;"",IF(NOT(ISNUMBER(E405)),TRUE,OR(E405&lt;0,E405&gt;999999999,ROUND(E405,3)&lt;&gt;E405))),"Invalid previous reading",IF(IF(NOT(ISNUMBER(F405)),TRUE,OR(F405&lt;0,F405&gt;999999999,ROUND(F405,3)&lt;&gt;F405)),"Invalid last service",IF(AND(E405&lt;&gt;"",D405&lt;E405),"Decreased reading",IF(F405&gt;D405,"Last service above current","")))))))))))))</x:f>
      </x:c>
      <x:c r="L405" s="6" t="str">
        <x:f>IF(AND(NOT(COUNTA(A405:F405)=0),K405=""),INDEX('Rules'!$C$7:$C$26,MATCH(SUBSTITUTE(SUBSTITUTE(SUBSTITUTE(SUBSTITUTE("type:"&amp;B405,"%","%25"),"~","%7E"),"*","%2A"),"?","%3F"),'Rules'!$G$7:$G$26,0)),"")</x:f>
      </x:c>
      <x:c r="M405" s="6" t="str">
        <x:f>IF(AND(NOT(COUNTA(A405:F405)=0),K405=""),INDEX('Rules'!$D$7:$D$26,MATCH(SUBSTITUTE(SUBSTITUTE(SUBSTITUTE(SUBSTITUTE("type:"&amp;B405,"%","%25"),"~","%7E"),"*","%2A"),"?","%3F"),'Rules'!$G$7:$G$26,0)),"")</x:f>
      </x:c>
      <x:c r="N405" s="5" t="str">
        <x:f>IF(COUNTA(A405:F405)=0,"",SUBSTITUTE(SUBSTITUTE(SUBSTITUTE(SUBSTITUTE("id:"&amp;A405,"%","%25"),"~","%7E"),"*","%2A"),"?","%3F"))</x:f>
      </x:c>
    </x:row>
    <x:row r="406" ht="22" customHeight="1">
      <x:c r="A406" s="3"/>
      <x:c r="B406" s="3"/>
      <x:c r="C406" s="3"/>
      <x:c r="D406" s="4"/>
      <x:c r="E406" s="4"/>
      <x:c r="F406" s="4"/>
      <x:c r="G406" s="5" t="str">
        <x:f>IF(COUNTA(A406:F406)=0,"",IF(K406&lt;&gt;"","Review",IF(I406&lt;0,"Overdue",IF(I406=0,"Due now",IF(I406&lt;=M406,"Due soon","Not due")))))</x:f>
      </x:c>
      <x:c r="H406" s="5" t="str">
        <x:f>IF(OR(COUNTA(A406:F406)=0,COUNTIFS('Rules'!$G$7:$G$26,"="&amp;(SUBSTITUTE(SUBSTITUTE(SUBSTITUTE(SUBSTITUTE("type:"&amp;B406,"%","%25"),"~","%7E"),"*","%2A"),"?","%3F")))&lt;&gt;1),"",IF(OR(INDEX('Rules'!$B$7:$B$26,MATCH(SUBSTITUTE(SUBSTITUTE(SUBSTITUTE(SUBSTITUTE("type:"&amp;B406,"%","%25"),"~","%7E"),"*","%2A"),"?","%3F"),'Rules'!$G$7:$G$26,0))="hours",INDEX('Rules'!$B$7:$B$26,MATCH(SUBSTITUTE(SUBSTITUTE(SUBSTITUTE(SUBSTITUTE("type:"&amp;B406,"%","%25"),"~","%7E"),"*","%2A"),"?","%3F"),'Rules'!$G$7:$G$26,0))="km"),INDEX('Rules'!$B$7:$B$26,MATCH(SUBSTITUTE(SUBSTITUTE(SUBSTITUTE(SUBSTITUTE("type:"&amp;B406,"%","%25"),"~","%7E"),"*","%2A"),"?","%3F"),'Rules'!$G$7:$G$26,0)),""))</x:f>
      </x:c>
      <x:c r="I406" s="6" t="str">
        <x:f>IF(AND(NOT(COUNTA(A406:F406)=0),K406=""),ROUND(J406-D406,3),"")</x:f>
      </x:c>
      <x:c r="J406" s="6" t="str">
        <x:f>IF(AND(NOT(COUNTA(A406:F406)=0),K406=""),ROUND(F406+L406,3),"")</x:f>
      </x:c>
      <x:c r="K406" s="5" t="str">
        <x:f>IF(COUNTA(A406:F406)=0,"",IF(A406="","Missing equipment ID",IF(COUNTIFS($N$8:$N$2007,"="&amp;N406)&gt;1,"Duplicate equipment ID",IF(B406="","Missing type",IF(COUNTIFS('Rules'!$G$7:$G$26,"="&amp;(SUBSTITUTE(SUBSTITUTE(SUBSTITUTE(SUBSTITUTE("type:"&amp;B406,"%","%25"),"~","%7E"),"*","%2A"),"?","%3F")))=0,"Unknown type",IF(COUNTIFS('Rules'!$G$7:$G$26,"="&amp;(SUBSTITUTE(SUBSTITUTE(SUBSTITUTE(SUBSTITUTE("type:"&amp;B406,"%","%25"),"~","%7E"),"*","%2A"),"?","%3F")))&gt;1,"Duplicate type",IF(INDEX('Rules'!$F$7:$F$26,MATCH(SUBSTITUTE(SUBSTITUTE(SUBSTITUTE(SUBSTITUTE("type:"&amp;B406,"%","%25"),"~","%7E"),"*","%2A"),"?","%3F"),'Rules'!$G$7:$G$26,0))&lt;&gt;"",INDEX('Rules'!$F$7:$F$26,MATCH(SUBSTITUTE(SUBSTITUTE(SUBSTITUTE(SUBSTITUTE("type:"&amp;B406,"%","%25"),"~","%7E"),"*","%2A"),"?","%3F"),'Rules'!$G$7:$G$26,0)),IF(AND(C406&lt;&gt;"",C406&lt;&gt;INDEX('Rules'!$B$7:$B$26,MATCH(SUBSTITUTE(SUBSTITUTE(SUBSTITUTE(SUBSTITUTE("type:"&amp;B406,"%","%25"),"~","%7E"),"*","%2A"),"?","%3F"),'Rules'!$G$7:$G$26,0))),"Unit mismatch",IF(IF(NOT(ISNUMBER(D406)),TRUE,OR(D406&lt;0,D406&gt;999999999,ROUND(D406,3)&lt;&gt;D406)),"Invalid current reading",IF(AND(E406&lt;&gt;"",IF(NOT(ISNUMBER(E406)),TRUE,OR(E406&lt;0,E406&gt;999999999,ROUND(E406,3)&lt;&gt;E406))),"Invalid previous reading",IF(IF(NOT(ISNUMBER(F406)),TRUE,OR(F406&lt;0,F406&gt;999999999,ROUND(F406,3)&lt;&gt;F406)),"Invalid last service",IF(AND(E406&lt;&gt;"",D406&lt;E406),"Decreased reading",IF(F406&gt;D406,"Last service above current","")))))))))))))</x:f>
      </x:c>
      <x:c r="L406" s="6" t="str">
        <x:f>IF(AND(NOT(COUNTA(A406:F406)=0),K406=""),INDEX('Rules'!$C$7:$C$26,MATCH(SUBSTITUTE(SUBSTITUTE(SUBSTITUTE(SUBSTITUTE("type:"&amp;B406,"%","%25"),"~","%7E"),"*","%2A"),"?","%3F"),'Rules'!$G$7:$G$26,0)),"")</x:f>
      </x:c>
      <x:c r="M406" s="6" t="str">
        <x:f>IF(AND(NOT(COUNTA(A406:F406)=0),K406=""),INDEX('Rules'!$D$7:$D$26,MATCH(SUBSTITUTE(SUBSTITUTE(SUBSTITUTE(SUBSTITUTE("type:"&amp;B406,"%","%25"),"~","%7E"),"*","%2A"),"?","%3F"),'Rules'!$G$7:$G$26,0)),"")</x:f>
      </x:c>
      <x:c r="N406" s="5" t="str">
        <x:f>IF(COUNTA(A406:F406)=0,"",SUBSTITUTE(SUBSTITUTE(SUBSTITUTE(SUBSTITUTE("id:"&amp;A406,"%","%25"),"~","%7E"),"*","%2A"),"?","%3F"))</x:f>
      </x:c>
    </x:row>
    <x:row r="407" ht="22" customHeight="1">
      <x:c r="A407" s="3"/>
      <x:c r="B407" s="3"/>
      <x:c r="C407" s="3"/>
      <x:c r="D407" s="4"/>
      <x:c r="E407" s="4"/>
      <x:c r="F407" s="4"/>
      <x:c r="G407" s="5" t="str">
        <x:f>IF(COUNTA(A407:F407)=0,"",IF(K407&lt;&gt;"","Review",IF(I407&lt;0,"Overdue",IF(I407=0,"Due now",IF(I407&lt;=M407,"Due soon","Not due")))))</x:f>
      </x:c>
      <x:c r="H407" s="5" t="str">
        <x:f>IF(OR(COUNTA(A407:F407)=0,COUNTIFS('Rules'!$G$7:$G$26,"="&amp;(SUBSTITUTE(SUBSTITUTE(SUBSTITUTE(SUBSTITUTE("type:"&amp;B407,"%","%25"),"~","%7E"),"*","%2A"),"?","%3F")))&lt;&gt;1),"",IF(OR(INDEX('Rules'!$B$7:$B$26,MATCH(SUBSTITUTE(SUBSTITUTE(SUBSTITUTE(SUBSTITUTE("type:"&amp;B407,"%","%25"),"~","%7E"),"*","%2A"),"?","%3F"),'Rules'!$G$7:$G$26,0))="hours",INDEX('Rules'!$B$7:$B$26,MATCH(SUBSTITUTE(SUBSTITUTE(SUBSTITUTE(SUBSTITUTE("type:"&amp;B407,"%","%25"),"~","%7E"),"*","%2A"),"?","%3F"),'Rules'!$G$7:$G$26,0))="km"),INDEX('Rules'!$B$7:$B$26,MATCH(SUBSTITUTE(SUBSTITUTE(SUBSTITUTE(SUBSTITUTE("type:"&amp;B407,"%","%25"),"~","%7E"),"*","%2A"),"?","%3F"),'Rules'!$G$7:$G$26,0)),""))</x:f>
      </x:c>
      <x:c r="I407" s="6" t="str">
        <x:f>IF(AND(NOT(COUNTA(A407:F407)=0),K407=""),ROUND(J407-D407,3),"")</x:f>
      </x:c>
      <x:c r="J407" s="6" t="str">
        <x:f>IF(AND(NOT(COUNTA(A407:F407)=0),K407=""),ROUND(F407+L407,3),"")</x:f>
      </x:c>
      <x:c r="K407" s="5" t="str">
        <x:f>IF(COUNTA(A407:F407)=0,"",IF(A407="","Missing equipment ID",IF(COUNTIFS($N$8:$N$2007,"="&amp;N407)&gt;1,"Duplicate equipment ID",IF(B407="","Missing type",IF(COUNTIFS('Rules'!$G$7:$G$26,"="&amp;(SUBSTITUTE(SUBSTITUTE(SUBSTITUTE(SUBSTITUTE("type:"&amp;B407,"%","%25"),"~","%7E"),"*","%2A"),"?","%3F")))=0,"Unknown type",IF(COUNTIFS('Rules'!$G$7:$G$26,"="&amp;(SUBSTITUTE(SUBSTITUTE(SUBSTITUTE(SUBSTITUTE("type:"&amp;B407,"%","%25"),"~","%7E"),"*","%2A"),"?","%3F")))&gt;1,"Duplicate type",IF(INDEX('Rules'!$F$7:$F$26,MATCH(SUBSTITUTE(SUBSTITUTE(SUBSTITUTE(SUBSTITUTE("type:"&amp;B407,"%","%25"),"~","%7E"),"*","%2A"),"?","%3F"),'Rules'!$G$7:$G$26,0))&lt;&gt;"",INDEX('Rules'!$F$7:$F$26,MATCH(SUBSTITUTE(SUBSTITUTE(SUBSTITUTE(SUBSTITUTE("type:"&amp;B407,"%","%25"),"~","%7E"),"*","%2A"),"?","%3F"),'Rules'!$G$7:$G$26,0)),IF(AND(C407&lt;&gt;"",C407&lt;&gt;INDEX('Rules'!$B$7:$B$26,MATCH(SUBSTITUTE(SUBSTITUTE(SUBSTITUTE(SUBSTITUTE("type:"&amp;B407,"%","%25"),"~","%7E"),"*","%2A"),"?","%3F"),'Rules'!$G$7:$G$26,0))),"Unit mismatch",IF(IF(NOT(ISNUMBER(D407)),TRUE,OR(D407&lt;0,D407&gt;999999999,ROUND(D407,3)&lt;&gt;D407)),"Invalid current reading",IF(AND(E407&lt;&gt;"",IF(NOT(ISNUMBER(E407)),TRUE,OR(E407&lt;0,E407&gt;999999999,ROUND(E407,3)&lt;&gt;E407))),"Invalid previous reading",IF(IF(NOT(ISNUMBER(F407)),TRUE,OR(F407&lt;0,F407&gt;999999999,ROUND(F407,3)&lt;&gt;F407)),"Invalid last service",IF(AND(E407&lt;&gt;"",D407&lt;E407),"Decreased reading",IF(F407&gt;D407,"Last service above current","")))))))))))))</x:f>
      </x:c>
      <x:c r="L407" s="6" t="str">
        <x:f>IF(AND(NOT(COUNTA(A407:F407)=0),K407=""),INDEX('Rules'!$C$7:$C$26,MATCH(SUBSTITUTE(SUBSTITUTE(SUBSTITUTE(SUBSTITUTE("type:"&amp;B407,"%","%25"),"~","%7E"),"*","%2A"),"?","%3F"),'Rules'!$G$7:$G$26,0)),"")</x:f>
      </x:c>
      <x:c r="M407" s="6" t="str">
        <x:f>IF(AND(NOT(COUNTA(A407:F407)=0),K407=""),INDEX('Rules'!$D$7:$D$26,MATCH(SUBSTITUTE(SUBSTITUTE(SUBSTITUTE(SUBSTITUTE("type:"&amp;B407,"%","%25"),"~","%7E"),"*","%2A"),"?","%3F"),'Rules'!$G$7:$G$26,0)),"")</x:f>
      </x:c>
      <x:c r="N407" s="5" t="str">
        <x:f>IF(COUNTA(A407:F407)=0,"",SUBSTITUTE(SUBSTITUTE(SUBSTITUTE(SUBSTITUTE("id:"&amp;A407,"%","%25"),"~","%7E"),"*","%2A"),"?","%3F"))</x:f>
      </x:c>
    </x:row>
    <x:row r="408" ht="22" customHeight="1">
      <x:c r="A408" s="3"/>
      <x:c r="B408" s="3"/>
      <x:c r="C408" s="3"/>
      <x:c r="D408" s="4"/>
      <x:c r="E408" s="4"/>
      <x:c r="F408" s="4"/>
      <x:c r="G408" s="5" t="str">
        <x:f>IF(COUNTA(A408:F408)=0,"",IF(K408&lt;&gt;"","Review",IF(I408&lt;0,"Overdue",IF(I408=0,"Due now",IF(I408&lt;=M408,"Due soon","Not due")))))</x:f>
      </x:c>
      <x:c r="H408" s="5" t="str">
        <x:f>IF(OR(COUNTA(A408:F408)=0,COUNTIFS('Rules'!$G$7:$G$26,"="&amp;(SUBSTITUTE(SUBSTITUTE(SUBSTITUTE(SUBSTITUTE("type:"&amp;B408,"%","%25"),"~","%7E"),"*","%2A"),"?","%3F")))&lt;&gt;1),"",IF(OR(INDEX('Rules'!$B$7:$B$26,MATCH(SUBSTITUTE(SUBSTITUTE(SUBSTITUTE(SUBSTITUTE("type:"&amp;B408,"%","%25"),"~","%7E"),"*","%2A"),"?","%3F"),'Rules'!$G$7:$G$26,0))="hours",INDEX('Rules'!$B$7:$B$26,MATCH(SUBSTITUTE(SUBSTITUTE(SUBSTITUTE(SUBSTITUTE("type:"&amp;B408,"%","%25"),"~","%7E"),"*","%2A"),"?","%3F"),'Rules'!$G$7:$G$26,0))="km"),INDEX('Rules'!$B$7:$B$26,MATCH(SUBSTITUTE(SUBSTITUTE(SUBSTITUTE(SUBSTITUTE("type:"&amp;B408,"%","%25"),"~","%7E"),"*","%2A"),"?","%3F"),'Rules'!$G$7:$G$26,0)),""))</x:f>
      </x:c>
      <x:c r="I408" s="6" t="str">
        <x:f>IF(AND(NOT(COUNTA(A408:F408)=0),K408=""),ROUND(J408-D408,3),"")</x:f>
      </x:c>
      <x:c r="J408" s="6" t="str">
        <x:f>IF(AND(NOT(COUNTA(A408:F408)=0),K408=""),ROUND(F408+L408,3),"")</x:f>
      </x:c>
      <x:c r="K408" s="5" t="str">
        <x:f>IF(COUNTA(A408:F408)=0,"",IF(A408="","Missing equipment ID",IF(COUNTIFS($N$8:$N$2007,"="&amp;N408)&gt;1,"Duplicate equipment ID",IF(B408="","Missing type",IF(COUNTIFS('Rules'!$G$7:$G$26,"="&amp;(SUBSTITUTE(SUBSTITUTE(SUBSTITUTE(SUBSTITUTE("type:"&amp;B408,"%","%25"),"~","%7E"),"*","%2A"),"?","%3F")))=0,"Unknown type",IF(COUNTIFS('Rules'!$G$7:$G$26,"="&amp;(SUBSTITUTE(SUBSTITUTE(SUBSTITUTE(SUBSTITUTE("type:"&amp;B408,"%","%25"),"~","%7E"),"*","%2A"),"?","%3F")))&gt;1,"Duplicate type",IF(INDEX('Rules'!$F$7:$F$26,MATCH(SUBSTITUTE(SUBSTITUTE(SUBSTITUTE(SUBSTITUTE("type:"&amp;B408,"%","%25"),"~","%7E"),"*","%2A"),"?","%3F"),'Rules'!$G$7:$G$26,0))&lt;&gt;"",INDEX('Rules'!$F$7:$F$26,MATCH(SUBSTITUTE(SUBSTITUTE(SUBSTITUTE(SUBSTITUTE("type:"&amp;B408,"%","%25"),"~","%7E"),"*","%2A"),"?","%3F"),'Rules'!$G$7:$G$26,0)),IF(AND(C408&lt;&gt;"",C408&lt;&gt;INDEX('Rules'!$B$7:$B$26,MATCH(SUBSTITUTE(SUBSTITUTE(SUBSTITUTE(SUBSTITUTE("type:"&amp;B408,"%","%25"),"~","%7E"),"*","%2A"),"?","%3F"),'Rules'!$G$7:$G$26,0))),"Unit mismatch",IF(IF(NOT(ISNUMBER(D408)),TRUE,OR(D408&lt;0,D408&gt;999999999,ROUND(D408,3)&lt;&gt;D408)),"Invalid current reading",IF(AND(E408&lt;&gt;"",IF(NOT(ISNUMBER(E408)),TRUE,OR(E408&lt;0,E408&gt;999999999,ROUND(E408,3)&lt;&gt;E408))),"Invalid previous reading",IF(IF(NOT(ISNUMBER(F408)),TRUE,OR(F408&lt;0,F408&gt;999999999,ROUND(F408,3)&lt;&gt;F408)),"Invalid last service",IF(AND(E408&lt;&gt;"",D408&lt;E408),"Decreased reading",IF(F408&gt;D408,"Last service above current","")))))))))))))</x:f>
      </x:c>
      <x:c r="L408" s="6" t="str">
        <x:f>IF(AND(NOT(COUNTA(A408:F408)=0),K408=""),INDEX('Rules'!$C$7:$C$26,MATCH(SUBSTITUTE(SUBSTITUTE(SUBSTITUTE(SUBSTITUTE("type:"&amp;B408,"%","%25"),"~","%7E"),"*","%2A"),"?","%3F"),'Rules'!$G$7:$G$26,0)),"")</x:f>
      </x:c>
      <x:c r="M408" s="6" t="str">
        <x:f>IF(AND(NOT(COUNTA(A408:F408)=0),K408=""),INDEX('Rules'!$D$7:$D$26,MATCH(SUBSTITUTE(SUBSTITUTE(SUBSTITUTE(SUBSTITUTE("type:"&amp;B408,"%","%25"),"~","%7E"),"*","%2A"),"?","%3F"),'Rules'!$G$7:$G$26,0)),"")</x:f>
      </x:c>
      <x:c r="N408" s="5" t="str">
        <x:f>IF(COUNTA(A408:F408)=0,"",SUBSTITUTE(SUBSTITUTE(SUBSTITUTE(SUBSTITUTE("id:"&amp;A408,"%","%25"),"~","%7E"),"*","%2A"),"?","%3F"))</x:f>
      </x:c>
    </x:row>
    <x:row r="409" ht="22" customHeight="1">
      <x:c r="A409" s="3"/>
      <x:c r="B409" s="3"/>
      <x:c r="C409" s="3"/>
      <x:c r="D409" s="4"/>
      <x:c r="E409" s="4"/>
      <x:c r="F409" s="4"/>
      <x:c r="G409" s="5" t="str">
        <x:f>IF(COUNTA(A409:F409)=0,"",IF(K409&lt;&gt;"","Review",IF(I409&lt;0,"Overdue",IF(I409=0,"Due now",IF(I409&lt;=M409,"Due soon","Not due")))))</x:f>
      </x:c>
      <x:c r="H409" s="5" t="str">
        <x:f>IF(OR(COUNTA(A409:F409)=0,COUNTIFS('Rules'!$G$7:$G$26,"="&amp;(SUBSTITUTE(SUBSTITUTE(SUBSTITUTE(SUBSTITUTE("type:"&amp;B409,"%","%25"),"~","%7E"),"*","%2A"),"?","%3F")))&lt;&gt;1),"",IF(OR(INDEX('Rules'!$B$7:$B$26,MATCH(SUBSTITUTE(SUBSTITUTE(SUBSTITUTE(SUBSTITUTE("type:"&amp;B409,"%","%25"),"~","%7E"),"*","%2A"),"?","%3F"),'Rules'!$G$7:$G$26,0))="hours",INDEX('Rules'!$B$7:$B$26,MATCH(SUBSTITUTE(SUBSTITUTE(SUBSTITUTE(SUBSTITUTE("type:"&amp;B409,"%","%25"),"~","%7E"),"*","%2A"),"?","%3F"),'Rules'!$G$7:$G$26,0))="km"),INDEX('Rules'!$B$7:$B$26,MATCH(SUBSTITUTE(SUBSTITUTE(SUBSTITUTE(SUBSTITUTE("type:"&amp;B409,"%","%25"),"~","%7E"),"*","%2A"),"?","%3F"),'Rules'!$G$7:$G$26,0)),""))</x:f>
      </x:c>
      <x:c r="I409" s="6" t="str">
        <x:f>IF(AND(NOT(COUNTA(A409:F409)=0),K409=""),ROUND(J409-D409,3),"")</x:f>
      </x:c>
      <x:c r="J409" s="6" t="str">
        <x:f>IF(AND(NOT(COUNTA(A409:F409)=0),K409=""),ROUND(F409+L409,3),"")</x:f>
      </x:c>
      <x:c r="K409" s="5" t="str">
        <x:f>IF(COUNTA(A409:F409)=0,"",IF(A409="","Missing equipment ID",IF(COUNTIFS($N$8:$N$2007,"="&amp;N409)&gt;1,"Duplicate equipment ID",IF(B409="","Missing type",IF(COUNTIFS('Rules'!$G$7:$G$26,"="&amp;(SUBSTITUTE(SUBSTITUTE(SUBSTITUTE(SUBSTITUTE("type:"&amp;B409,"%","%25"),"~","%7E"),"*","%2A"),"?","%3F")))=0,"Unknown type",IF(COUNTIFS('Rules'!$G$7:$G$26,"="&amp;(SUBSTITUTE(SUBSTITUTE(SUBSTITUTE(SUBSTITUTE("type:"&amp;B409,"%","%25"),"~","%7E"),"*","%2A"),"?","%3F")))&gt;1,"Duplicate type",IF(INDEX('Rules'!$F$7:$F$26,MATCH(SUBSTITUTE(SUBSTITUTE(SUBSTITUTE(SUBSTITUTE("type:"&amp;B409,"%","%25"),"~","%7E"),"*","%2A"),"?","%3F"),'Rules'!$G$7:$G$26,0))&lt;&gt;"",INDEX('Rules'!$F$7:$F$26,MATCH(SUBSTITUTE(SUBSTITUTE(SUBSTITUTE(SUBSTITUTE("type:"&amp;B409,"%","%25"),"~","%7E"),"*","%2A"),"?","%3F"),'Rules'!$G$7:$G$26,0)),IF(AND(C409&lt;&gt;"",C409&lt;&gt;INDEX('Rules'!$B$7:$B$26,MATCH(SUBSTITUTE(SUBSTITUTE(SUBSTITUTE(SUBSTITUTE("type:"&amp;B409,"%","%25"),"~","%7E"),"*","%2A"),"?","%3F"),'Rules'!$G$7:$G$26,0))),"Unit mismatch",IF(IF(NOT(ISNUMBER(D409)),TRUE,OR(D409&lt;0,D409&gt;999999999,ROUND(D409,3)&lt;&gt;D409)),"Invalid current reading",IF(AND(E409&lt;&gt;"",IF(NOT(ISNUMBER(E409)),TRUE,OR(E409&lt;0,E409&gt;999999999,ROUND(E409,3)&lt;&gt;E409))),"Invalid previous reading",IF(IF(NOT(ISNUMBER(F409)),TRUE,OR(F409&lt;0,F409&gt;999999999,ROUND(F409,3)&lt;&gt;F409)),"Invalid last service",IF(AND(E409&lt;&gt;"",D409&lt;E409),"Decreased reading",IF(F409&gt;D409,"Last service above current","")))))))))))))</x:f>
      </x:c>
      <x:c r="L409" s="6" t="str">
        <x:f>IF(AND(NOT(COUNTA(A409:F409)=0),K409=""),INDEX('Rules'!$C$7:$C$26,MATCH(SUBSTITUTE(SUBSTITUTE(SUBSTITUTE(SUBSTITUTE("type:"&amp;B409,"%","%25"),"~","%7E"),"*","%2A"),"?","%3F"),'Rules'!$G$7:$G$26,0)),"")</x:f>
      </x:c>
      <x:c r="M409" s="6" t="str">
        <x:f>IF(AND(NOT(COUNTA(A409:F409)=0),K409=""),INDEX('Rules'!$D$7:$D$26,MATCH(SUBSTITUTE(SUBSTITUTE(SUBSTITUTE(SUBSTITUTE("type:"&amp;B409,"%","%25"),"~","%7E"),"*","%2A"),"?","%3F"),'Rules'!$G$7:$G$26,0)),"")</x:f>
      </x:c>
      <x:c r="N409" s="5" t="str">
        <x:f>IF(COUNTA(A409:F409)=0,"",SUBSTITUTE(SUBSTITUTE(SUBSTITUTE(SUBSTITUTE("id:"&amp;A409,"%","%25"),"~","%7E"),"*","%2A"),"?","%3F"))</x:f>
      </x:c>
    </x:row>
    <x:row r="410" ht="22" customHeight="1">
      <x:c r="A410" s="3"/>
      <x:c r="B410" s="3"/>
      <x:c r="C410" s="3"/>
      <x:c r="D410" s="4"/>
      <x:c r="E410" s="4"/>
      <x:c r="F410" s="4"/>
      <x:c r="G410" s="5" t="str">
        <x:f>IF(COUNTA(A410:F410)=0,"",IF(K410&lt;&gt;"","Review",IF(I410&lt;0,"Overdue",IF(I410=0,"Due now",IF(I410&lt;=M410,"Due soon","Not due")))))</x:f>
      </x:c>
      <x:c r="H410" s="5" t="str">
        <x:f>IF(OR(COUNTA(A410:F410)=0,COUNTIFS('Rules'!$G$7:$G$26,"="&amp;(SUBSTITUTE(SUBSTITUTE(SUBSTITUTE(SUBSTITUTE("type:"&amp;B410,"%","%25"),"~","%7E"),"*","%2A"),"?","%3F")))&lt;&gt;1),"",IF(OR(INDEX('Rules'!$B$7:$B$26,MATCH(SUBSTITUTE(SUBSTITUTE(SUBSTITUTE(SUBSTITUTE("type:"&amp;B410,"%","%25"),"~","%7E"),"*","%2A"),"?","%3F"),'Rules'!$G$7:$G$26,0))="hours",INDEX('Rules'!$B$7:$B$26,MATCH(SUBSTITUTE(SUBSTITUTE(SUBSTITUTE(SUBSTITUTE("type:"&amp;B410,"%","%25"),"~","%7E"),"*","%2A"),"?","%3F"),'Rules'!$G$7:$G$26,0))="km"),INDEX('Rules'!$B$7:$B$26,MATCH(SUBSTITUTE(SUBSTITUTE(SUBSTITUTE(SUBSTITUTE("type:"&amp;B410,"%","%25"),"~","%7E"),"*","%2A"),"?","%3F"),'Rules'!$G$7:$G$26,0)),""))</x:f>
      </x:c>
      <x:c r="I410" s="6" t="str">
        <x:f>IF(AND(NOT(COUNTA(A410:F410)=0),K410=""),ROUND(J410-D410,3),"")</x:f>
      </x:c>
      <x:c r="J410" s="6" t="str">
        <x:f>IF(AND(NOT(COUNTA(A410:F410)=0),K410=""),ROUND(F410+L410,3),"")</x:f>
      </x:c>
      <x:c r="K410" s="5" t="str">
        <x:f>IF(COUNTA(A410:F410)=0,"",IF(A410="","Missing equipment ID",IF(COUNTIFS($N$8:$N$2007,"="&amp;N410)&gt;1,"Duplicate equipment ID",IF(B410="","Missing type",IF(COUNTIFS('Rules'!$G$7:$G$26,"="&amp;(SUBSTITUTE(SUBSTITUTE(SUBSTITUTE(SUBSTITUTE("type:"&amp;B410,"%","%25"),"~","%7E"),"*","%2A"),"?","%3F")))=0,"Unknown type",IF(COUNTIFS('Rules'!$G$7:$G$26,"="&amp;(SUBSTITUTE(SUBSTITUTE(SUBSTITUTE(SUBSTITUTE("type:"&amp;B410,"%","%25"),"~","%7E"),"*","%2A"),"?","%3F")))&gt;1,"Duplicate type",IF(INDEX('Rules'!$F$7:$F$26,MATCH(SUBSTITUTE(SUBSTITUTE(SUBSTITUTE(SUBSTITUTE("type:"&amp;B410,"%","%25"),"~","%7E"),"*","%2A"),"?","%3F"),'Rules'!$G$7:$G$26,0))&lt;&gt;"",INDEX('Rules'!$F$7:$F$26,MATCH(SUBSTITUTE(SUBSTITUTE(SUBSTITUTE(SUBSTITUTE("type:"&amp;B410,"%","%25"),"~","%7E"),"*","%2A"),"?","%3F"),'Rules'!$G$7:$G$26,0)),IF(AND(C410&lt;&gt;"",C410&lt;&gt;INDEX('Rules'!$B$7:$B$26,MATCH(SUBSTITUTE(SUBSTITUTE(SUBSTITUTE(SUBSTITUTE("type:"&amp;B410,"%","%25"),"~","%7E"),"*","%2A"),"?","%3F"),'Rules'!$G$7:$G$26,0))),"Unit mismatch",IF(IF(NOT(ISNUMBER(D410)),TRUE,OR(D410&lt;0,D410&gt;999999999,ROUND(D410,3)&lt;&gt;D410)),"Invalid current reading",IF(AND(E410&lt;&gt;"",IF(NOT(ISNUMBER(E410)),TRUE,OR(E410&lt;0,E410&gt;999999999,ROUND(E410,3)&lt;&gt;E410))),"Invalid previous reading",IF(IF(NOT(ISNUMBER(F410)),TRUE,OR(F410&lt;0,F410&gt;999999999,ROUND(F410,3)&lt;&gt;F410)),"Invalid last service",IF(AND(E410&lt;&gt;"",D410&lt;E410),"Decreased reading",IF(F410&gt;D410,"Last service above current","")))))))))))))</x:f>
      </x:c>
      <x:c r="L410" s="6" t="str">
        <x:f>IF(AND(NOT(COUNTA(A410:F410)=0),K410=""),INDEX('Rules'!$C$7:$C$26,MATCH(SUBSTITUTE(SUBSTITUTE(SUBSTITUTE(SUBSTITUTE("type:"&amp;B410,"%","%25"),"~","%7E"),"*","%2A"),"?","%3F"),'Rules'!$G$7:$G$26,0)),"")</x:f>
      </x:c>
      <x:c r="M410" s="6" t="str">
        <x:f>IF(AND(NOT(COUNTA(A410:F410)=0),K410=""),INDEX('Rules'!$D$7:$D$26,MATCH(SUBSTITUTE(SUBSTITUTE(SUBSTITUTE(SUBSTITUTE("type:"&amp;B410,"%","%25"),"~","%7E"),"*","%2A"),"?","%3F"),'Rules'!$G$7:$G$26,0)),"")</x:f>
      </x:c>
      <x:c r="N410" s="5" t="str">
        <x:f>IF(COUNTA(A410:F410)=0,"",SUBSTITUTE(SUBSTITUTE(SUBSTITUTE(SUBSTITUTE("id:"&amp;A410,"%","%25"),"~","%7E"),"*","%2A"),"?","%3F"))</x:f>
      </x:c>
    </x:row>
    <x:row r="411" ht="22" customHeight="1">
      <x:c r="A411" s="3"/>
      <x:c r="B411" s="3"/>
      <x:c r="C411" s="3"/>
      <x:c r="D411" s="4"/>
      <x:c r="E411" s="4"/>
      <x:c r="F411" s="4"/>
      <x:c r="G411" s="5" t="str">
        <x:f>IF(COUNTA(A411:F411)=0,"",IF(K411&lt;&gt;"","Review",IF(I411&lt;0,"Overdue",IF(I411=0,"Due now",IF(I411&lt;=M411,"Due soon","Not due")))))</x:f>
      </x:c>
      <x:c r="H411" s="5" t="str">
        <x:f>IF(OR(COUNTA(A411:F411)=0,COUNTIFS('Rules'!$G$7:$G$26,"="&amp;(SUBSTITUTE(SUBSTITUTE(SUBSTITUTE(SUBSTITUTE("type:"&amp;B411,"%","%25"),"~","%7E"),"*","%2A"),"?","%3F")))&lt;&gt;1),"",IF(OR(INDEX('Rules'!$B$7:$B$26,MATCH(SUBSTITUTE(SUBSTITUTE(SUBSTITUTE(SUBSTITUTE("type:"&amp;B411,"%","%25"),"~","%7E"),"*","%2A"),"?","%3F"),'Rules'!$G$7:$G$26,0))="hours",INDEX('Rules'!$B$7:$B$26,MATCH(SUBSTITUTE(SUBSTITUTE(SUBSTITUTE(SUBSTITUTE("type:"&amp;B411,"%","%25"),"~","%7E"),"*","%2A"),"?","%3F"),'Rules'!$G$7:$G$26,0))="km"),INDEX('Rules'!$B$7:$B$26,MATCH(SUBSTITUTE(SUBSTITUTE(SUBSTITUTE(SUBSTITUTE("type:"&amp;B411,"%","%25"),"~","%7E"),"*","%2A"),"?","%3F"),'Rules'!$G$7:$G$26,0)),""))</x:f>
      </x:c>
      <x:c r="I411" s="6" t="str">
        <x:f>IF(AND(NOT(COUNTA(A411:F411)=0),K411=""),ROUND(J411-D411,3),"")</x:f>
      </x:c>
      <x:c r="J411" s="6" t="str">
        <x:f>IF(AND(NOT(COUNTA(A411:F411)=0),K411=""),ROUND(F411+L411,3),"")</x:f>
      </x:c>
      <x:c r="K411" s="5" t="str">
        <x:f>IF(COUNTA(A411:F411)=0,"",IF(A411="","Missing equipment ID",IF(COUNTIFS($N$8:$N$2007,"="&amp;N411)&gt;1,"Duplicate equipment ID",IF(B411="","Missing type",IF(COUNTIFS('Rules'!$G$7:$G$26,"="&amp;(SUBSTITUTE(SUBSTITUTE(SUBSTITUTE(SUBSTITUTE("type:"&amp;B411,"%","%25"),"~","%7E"),"*","%2A"),"?","%3F")))=0,"Unknown type",IF(COUNTIFS('Rules'!$G$7:$G$26,"="&amp;(SUBSTITUTE(SUBSTITUTE(SUBSTITUTE(SUBSTITUTE("type:"&amp;B411,"%","%25"),"~","%7E"),"*","%2A"),"?","%3F")))&gt;1,"Duplicate type",IF(INDEX('Rules'!$F$7:$F$26,MATCH(SUBSTITUTE(SUBSTITUTE(SUBSTITUTE(SUBSTITUTE("type:"&amp;B411,"%","%25"),"~","%7E"),"*","%2A"),"?","%3F"),'Rules'!$G$7:$G$26,0))&lt;&gt;"",INDEX('Rules'!$F$7:$F$26,MATCH(SUBSTITUTE(SUBSTITUTE(SUBSTITUTE(SUBSTITUTE("type:"&amp;B411,"%","%25"),"~","%7E"),"*","%2A"),"?","%3F"),'Rules'!$G$7:$G$26,0)),IF(AND(C411&lt;&gt;"",C411&lt;&gt;INDEX('Rules'!$B$7:$B$26,MATCH(SUBSTITUTE(SUBSTITUTE(SUBSTITUTE(SUBSTITUTE("type:"&amp;B411,"%","%25"),"~","%7E"),"*","%2A"),"?","%3F"),'Rules'!$G$7:$G$26,0))),"Unit mismatch",IF(IF(NOT(ISNUMBER(D411)),TRUE,OR(D411&lt;0,D411&gt;999999999,ROUND(D411,3)&lt;&gt;D411)),"Invalid current reading",IF(AND(E411&lt;&gt;"",IF(NOT(ISNUMBER(E411)),TRUE,OR(E411&lt;0,E411&gt;999999999,ROUND(E411,3)&lt;&gt;E411))),"Invalid previous reading",IF(IF(NOT(ISNUMBER(F411)),TRUE,OR(F411&lt;0,F411&gt;999999999,ROUND(F411,3)&lt;&gt;F411)),"Invalid last service",IF(AND(E411&lt;&gt;"",D411&lt;E411),"Decreased reading",IF(F411&gt;D411,"Last service above current","")))))))))))))</x:f>
      </x:c>
      <x:c r="L411" s="6" t="str">
        <x:f>IF(AND(NOT(COUNTA(A411:F411)=0),K411=""),INDEX('Rules'!$C$7:$C$26,MATCH(SUBSTITUTE(SUBSTITUTE(SUBSTITUTE(SUBSTITUTE("type:"&amp;B411,"%","%25"),"~","%7E"),"*","%2A"),"?","%3F"),'Rules'!$G$7:$G$26,0)),"")</x:f>
      </x:c>
      <x:c r="M411" s="6" t="str">
        <x:f>IF(AND(NOT(COUNTA(A411:F411)=0),K411=""),INDEX('Rules'!$D$7:$D$26,MATCH(SUBSTITUTE(SUBSTITUTE(SUBSTITUTE(SUBSTITUTE("type:"&amp;B411,"%","%25"),"~","%7E"),"*","%2A"),"?","%3F"),'Rules'!$G$7:$G$26,0)),"")</x:f>
      </x:c>
      <x:c r="N411" s="5" t="str">
        <x:f>IF(COUNTA(A411:F411)=0,"",SUBSTITUTE(SUBSTITUTE(SUBSTITUTE(SUBSTITUTE("id:"&amp;A411,"%","%25"),"~","%7E"),"*","%2A"),"?","%3F"))</x:f>
      </x:c>
    </x:row>
    <x:row r="412" ht="22" customHeight="1">
      <x:c r="A412" s="3"/>
      <x:c r="B412" s="3"/>
      <x:c r="C412" s="3"/>
      <x:c r="D412" s="4"/>
      <x:c r="E412" s="4"/>
      <x:c r="F412" s="4"/>
      <x:c r="G412" s="5" t="str">
        <x:f>IF(COUNTA(A412:F412)=0,"",IF(K412&lt;&gt;"","Review",IF(I412&lt;0,"Overdue",IF(I412=0,"Due now",IF(I412&lt;=M412,"Due soon","Not due")))))</x:f>
      </x:c>
      <x:c r="H412" s="5" t="str">
        <x:f>IF(OR(COUNTA(A412:F412)=0,COUNTIFS('Rules'!$G$7:$G$26,"="&amp;(SUBSTITUTE(SUBSTITUTE(SUBSTITUTE(SUBSTITUTE("type:"&amp;B412,"%","%25"),"~","%7E"),"*","%2A"),"?","%3F")))&lt;&gt;1),"",IF(OR(INDEX('Rules'!$B$7:$B$26,MATCH(SUBSTITUTE(SUBSTITUTE(SUBSTITUTE(SUBSTITUTE("type:"&amp;B412,"%","%25"),"~","%7E"),"*","%2A"),"?","%3F"),'Rules'!$G$7:$G$26,0))="hours",INDEX('Rules'!$B$7:$B$26,MATCH(SUBSTITUTE(SUBSTITUTE(SUBSTITUTE(SUBSTITUTE("type:"&amp;B412,"%","%25"),"~","%7E"),"*","%2A"),"?","%3F"),'Rules'!$G$7:$G$26,0))="km"),INDEX('Rules'!$B$7:$B$26,MATCH(SUBSTITUTE(SUBSTITUTE(SUBSTITUTE(SUBSTITUTE("type:"&amp;B412,"%","%25"),"~","%7E"),"*","%2A"),"?","%3F"),'Rules'!$G$7:$G$26,0)),""))</x:f>
      </x:c>
      <x:c r="I412" s="6" t="str">
        <x:f>IF(AND(NOT(COUNTA(A412:F412)=0),K412=""),ROUND(J412-D412,3),"")</x:f>
      </x:c>
      <x:c r="J412" s="6" t="str">
        <x:f>IF(AND(NOT(COUNTA(A412:F412)=0),K412=""),ROUND(F412+L412,3),"")</x:f>
      </x:c>
      <x:c r="K412" s="5" t="str">
        <x:f>IF(COUNTA(A412:F412)=0,"",IF(A412="","Missing equipment ID",IF(COUNTIFS($N$8:$N$2007,"="&amp;N412)&gt;1,"Duplicate equipment ID",IF(B412="","Missing type",IF(COUNTIFS('Rules'!$G$7:$G$26,"="&amp;(SUBSTITUTE(SUBSTITUTE(SUBSTITUTE(SUBSTITUTE("type:"&amp;B412,"%","%25"),"~","%7E"),"*","%2A"),"?","%3F")))=0,"Unknown type",IF(COUNTIFS('Rules'!$G$7:$G$26,"="&amp;(SUBSTITUTE(SUBSTITUTE(SUBSTITUTE(SUBSTITUTE("type:"&amp;B412,"%","%25"),"~","%7E"),"*","%2A"),"?","%3F")))&gt;1,"Duplicate type",IF(INDEX('Rules'!$F$7:$F$26,MATCH(SUBSTITUTE(SUBSTITUTE(SUBSTITUTE(SUBSTITUTE("type:"&amp;B412,"%","%25"),"~","%7E"),"*","%2A"),"?","%3F"),'Rules'!$G$7:$G$26,0))&lt;&gt;"",INDEX('Rules'!$F$7:$F$26,MATCH(SUBSTITUTE(SUBSTITUTE(SUBSTITUTE(SUBSTITUTE("type:"&amp;B412,"%","%25"),"~","%7E"),"*","%2A"),"?","%3F"),'Rules'!$G$7:$G$26,0)),IF(AND(C412&lt;&gt;"",C412&lt;&gt;INDEX('Rules'!$B$7:$B$26,MATCH(SUBSTITUTE(SUBSTITUTE(SUBSTITUTE(SUBSTITUTE("type:"&amp;B412,"%","%25"),"~","%7E"),"*","%2A"),"?","%3F"),'Rules'!$G$7:$G$26,0))),"Unit mismatch",IF(IF(NOT(ISNUMBER(D412)),TRUE,OR(D412&lt;0,D412&gt;999999999,ROUND(D412,3)&lt;&gt;D412)),"Invalid current reading",IF(AND(E412&lt;&gt;"",IF(NOT(ISNUMBER(E412)),TRUE,OR(E412&lt;0,E412&gt;999999999,ROUND(E412,3)&lt;&gt;E412))),"Invalid previous reading",IF(IF(NOT(ISNUMBER(F412)),TRUE,OR(F412&lt;0,F412&gt;999999999,ROUND(F412,3)&lt;&gt;F412)),"Invalid last service",IF(AND(E412&lt;&gt;"",D412&lt;E412),"Decreased reading",IF(F412&gt;D412,"Last service above current","")))))))))))))</x:f>
      </x:c>
      <x:c r="L412" s="6" t="str">
        <x:f>IF(AND(NOT(COUNTA(A412:F412)=0),K412=""),INDEX('Rules'!$C$7:$C$26,MATCH(SUBSTITUTE(SUBSTITUTE(SUBSTITUTE(SUBSTITUTE("type:"&amp;B412,"%","%25"),"~","%7E"),"*","%2A"),"?","%3F"),'Rules'!$G$7:$G$26,0)),"")</x:f>
      </x:c>
      <x:c r="M412" s="6" t="str">
        <x:f>IF(AND(NOT(COUNTA(A412:F412)=0),K412=""),INDEX('Rules'!$D$7:$D$26,MATCH(SUBSTITUTE(SUBSTITUTE(SUBSTITUTE(SUBSTITUTE("type:"&amp;B412,"%","%25"),"~","%7E"),"*","%2A"),"?","%3F"),'Rules'!$G$7:$G$26,0)),"")</x:f>
      </x:c>
      <x:c r="N412" s="5" t="str">
        <x:f>IF(COUNTA(A412:F412)=0,"",SUBSTITUTE(SUBSTITUTE(SUBSTITUTE(SUBSTITUTE("id:"&amp;A412,"%","%25"),"~","%7E"),"*","%2A"),"?","%3F"))</x:f>
      </x:c>
    </x:row>
    <x:row r="413" ht="22" customHeight="1">
      <x:c r="A413" s="3"/>
      <x:c r="B413" s="3"/>
      <x:c r="C413" s="3"/>
      <x:c r="D413" s="4"/>
      <x:c r="E413" s="4"/>
      <x:c r="F413" s="4"/>
      <x:c r="G413" s="5" t="str">
        <x:f>IF(COUNTA(A413:F413)=0,"",IF(K413&lt;&gt;"","Review",IF(I413&lt;0,"Overdue",IF(I413=0,"Due now",IF(I413&lt;=M413,"Due soon","Not due")))))</x:f>
      </x:c>
      <x:c r="H413" s="5" t="str">
        <x:f>IF(OR(COUNTA(A413:F413)=0,COUNTIFS('Rules'!$G$7:$G$26,"="&amp;(SUBSTITUTE(SUBSTITUTE(SUBSTITUTE(SUBSTITUTE("type:"&amp;B413,"%","%25"),"~","%7E"),"*","%2A"),"?","%3F")))&lt;&gt;1),"",IF(OR(INDEX('Rules'!$B$7:$B$26,MATCH(SUBSTITUTE(SUBSTITUTE(SUBSTITUTE(SUBSTITUTE("type:"&amp;B413,"%","%25"),"~","%7E"),"*","%2A"),"?","%3F"),'Rules'!$G$7:$G$26,0))="hours",INDEX('Rules'!$B$7:$B$26,MATCH(SUBSTITUTE(SUBSTITUTE(SUBSTITUTE(SUBSTITUTE("type:"&amp;B413,"%","%25"),"~","%7E"),"*","%2A"),"?","%3F"),'Rules'!$G$7:$G$26,0))="km"),INDEX('Rules'!$B$7:$B$26,MATCH(SUBSTITUTE(SUBSTITUTE(SUBSTITUTE(SUBSTITUTE("type:"&amp;B413,"%","%25"),"~","%7E"),"*","%2A"),"?","%3F"),'Rules'!$G$7:$G$26,0)),""))</x:f>
      </x:c>
      <x:c r="I413" s="6" t="str">
        <x:f>IF(AND(NOT(COUNTA(A413:F413)=0),K413=""),ROUND(J413-D413,3),"")</x:f>
      </x:c>
      <x:c r="J413" s="6" t="str">
        <x:f>IF(AND(NOT(COUNTA(A413:F413)=0),K413=""),ROUND(F413+L413,3),"")</x:f>
      </x:c>
      <x:c r="K413" s="5" t="str">
        <x:f>IF(COUNTA(A413:F413)=0,"",IF(A413="","Missing equipment ID",IF(COUNTIFS($N$8:$N$2007,"="&amp;N413)&gt;1,"Duplicate equipment ID",IF(B413="","Missing type",IF(COUNTIFS('Rules'!$G$7:$G$26,"="&amp;(SUBSTITUTE(SUBSTITUTE(SUBSTITUTE(SUBSTITUTE("type:"&amp;B413,"%","%25"),"~","%7E"),"*","%2A"),"?","%3F")))=0,"Unknown type",IF(COUNTIFS('Rules'!$G$7:$G$26,"="&amp;(SUBSTITUTE(SUBSTITUTE(SUBSTITUTE(SUBSTITUTE("type:"&amp;B413,"%","%25"),"~","%7E"),"*","%2A"),"?","%3F")))&gt;1,"Duplicate type",IF(INDEX('Rules'!$F$7:$F$26,MATCH(SUBSTITUTE(SUBSTITUTE(SUBSTITUTE(SUBSTITUTE("type:"&amp;B413,"%","%25"),"~","%7E"),"*","%2A"),"?","%3F"),'Rules'!$G$7:$G$26,0))&lt;&gt;"",INDEX('Rules'!$F$7:$F$26,MATCH(SUBSTITUTE(SUBSTITUTE(SUBSTITUTE(SUBSTITUTE("type:"&amp;B413,"%","%25"),"~","%7E"),"*","%2A"),"?","%3F"),'Rules'!$G$7:$G$26,0)),IF(AND(C413&lt;&gt;"",C413&lt;&gt;INDEX('Rules'!$B$7:$B$26,MATCH(SUBSTITUTE(SUBSTITUTE(SUBSTITUTE(SUBSTITUTE("type:"&amp;B413,"%","%25"),"~","%7E"),"*","%2A"),"?","%3F"),'Rules'!$G$7:$G$26,0))),"Unit mismatch",IF(IF(NOT(ISNUMBER(D413)),TRUE,OR(D413&lt;0,D413&gt;999999999,ROUND(D413,3)&lt;&gt;D413)),"Invalid current reading",IF(AND(E413&lt;&gt;"",IF(NOT(ISNUMBER(E413)),TRUE,OR(E413&lt;0,E413&gt;999999999,ROUND(E413,3)&lt;&gt;E413))),"Invalid previous reading",IF(IF(NOT(ISNUMBER(F413)),TRUE,OR(F413&lt;0,F413&gt;999999999,ROUND(F413,3)&lt;&gt;F413)),"Invalid last service",IF(AND(E413&lt;&gt;"",D413&lt;E413),"Decreased reading",IF(F413&gt;D413,"Last service above current","")))))))))))))</x:f>
      </x:c>
      <x:c r="L413" s="6" t="str">
        <x:f>IF(AND(NOT(COUNTA(A413:F413)=0),K413=""),INDEX('Rules'!$C$7:$C$26,MATCH(SUBSTITUTE(SUBSTITUTE(SUBSTITUTE(SUBSTITUTE("type:"&amp;B413,"%","%25"),"~","%7E"),"*","%2A"),"?","%3F"),'Rules'!$G$7:$G$26,0)),"")</x:f>
      </x:c>
      <x:c r="M413" s="6" t="str">
        <x:f>IF(AND(NOT(COUNTA(A413:F413)=0),K413=""),INDEX('Rules'!$D$7:$D$26,MATCH(SUBSTITUTE(SUBSTITUTE(SUBSTITUTE(SUBSTITUTE("type:"&amp;B413,"%","%25"),"~","%7E"),"*","%2A"),"?","%3F"),'Rules'!$G$7:$G$26,0)),"")</x:f>
      </x:c>
      <x:c r="N413" s="5" t="str">
        <x:f>IF(COUNTA(A413:F413)=0,"",SUBSTITUTE(SUBSTITUTE(SUBSTITUTE(SUBSTITUTE("id:"&amp;A413,"%","%25"),"~","%7E"),"*","%2A"),"?","%3F"))</x:f>
      </x:c>
    </x:row>
    <x:row r="414" ht="22" customHeight="1">
      <x:c r="A414" s="3"/>
      <x:c r="B414" s="3"/>
      <x:c r="C414" s="3"/>
      <x:c r="D414" s="4"/>
      <x:c r="E414" s="4"/>
      <x:c r="F414" s="4"/>
      <x:c r="G414" s="5" t="str">
        <x:f>IF(COUNTA(A414:F414)=0,"",IF(K414&lt;&gt;"","Review",IF(I414&lt;0,"Overdue",IF(I414=0,"Due now",IF(I414&lt;=M414,"Due soon","Not due")))))</x:f>
      </x:c>
      <x:c r="H414" s="5" t="str">
        <x:f>IF(OR(COUNTA(A414:F414)=0,COUNTIFS('Rules'!$G$7:$G$26,"="&amp;(SUBSTITUTE(SUBSTITUTE(SUBSTITUTE(SUBSTITUTE("type:"&amp;B414,"%","%25"),"~","%7E"),"*","%2A"),"?","%3F")))&lt;&gt;1),"",IF(OR(INDEX('Rules'!$B$7:$B$26,MATCH(SUBSTITUTE(SUBSTITUTE(SUBSTITUTE(SUBSTITUTE("type:"&amp;B414,"%","%25"),"~","%7E"),"*","%2A"),"?","%3F"),'Rules'!$G$7:$G$26,0))="hours",INDEX('Rules'!$B$7:$B$26,MATCH(SUBSTITUTE(SUBSTITUTE(SUBSTITUTE(SUBSTITUTE("type:"&amp;B414,"%","%25"),"~","%7E"),"*","%2A"),"?","%3F"),'Rules'!$G$7:$G$26,0))="km"),INDEX('Rules'!$B$7:$B$26,MATCH(SUBSTITUTE(SUBSTITUTE(SUBSTITUTE(SUBSTITUTE("type:"&amp;B414,"%","%25"),"~","%7E"),"*","%2A"),"?","%3F"),'Rules'!$G$7:$G$26,0)),""))</x:f>
      </x:c>
      <x:c r="I414" s="6" t="str">
        <x:f>IF(AND(NOT(COUNTA(A414:F414)=0),K414=""),ROUND(J414-D414,3),"")</x:f>
      </x:c>
      <x:c r="J414" s="6" t="str">
        <x:f>IF(AND(NOT(COUNTA(A414:F414)=0),K414=""),ROUND(F414+L414,3),"")</x:f>
      </x:c>
      <x:c r="K414" s="5" t="str">
        <x:f>IF(COUNTA(A414:F414)=0,"",IF(A414="","Missing equipment ID",IF(COUNTIFS($N$8:$N$2007,"="&amp;N414)&gt;1,"Duplicate equipment ID",IF(B414="","Missing type",IF(COUNTIFS('Rules'!$G$7:$G$26,"="&amp;(SUBSTITUTE(SUBSTITUTE(SUBSTITUTE(SUBSTITUTE("type:"&amp;B414,"%","%25"),"~","%7E"),"*","%2A"),"?","%3F")))=0,"Unknown type",IF(COUNTIFS('Rules'!$G$7:$G$26,"="&amp;(SUBSTITUTE(SUBSTITUTE(SUBSTITUTE(SUBSTITUTE("type:"&amp;B414,"%","%25"),"~","%7E"),"*","%2A"),"?","%3F")))&gt;1,"Duplicate type",IF(INDEX('Rules'!$F$7:$F$26,MATCH(SUBSTITUTE(SUBSTITUTE(SUBSTITUTE(SUBSTITUTE("type:"&amp;B414,"%","%25"),"~","%7E"),"*","%2A"),"?","%3F"),'Rules'!$G$7:$G$26,0))&lt;&gt;"",INDEX('Rules'!$F$7:$F$26,MATCH(SUBSTITUTE(SUBSTITUTE(SUBSTITUTE(SUBSTITUTE("type:"&amp;B414,"%","%25"),"~","%7E"),"*","%2A"),"?","%3F"),'Rules'!$G$7:$G$26,0)),IF(AND(C414&lt;&gt;"",C414&lt;&gt;INDEX('Rules'!$B$7:$B$26,MATCH(SUBSTITUTE(SUBSTITUTE(SUBSTITUTE(SUBSTITUTE("type:"&amp;B414,"%","%25"),"~","%7E"),"*","%2A"),"?","%3F"),'Rules'!$G$7:$G$26,0))),"Unit mismatch",IF(IF(NOT(ISNUMBER(D414)),TRUE,OR(D414&lt;0,D414&gt;999999999,ROUND(D414,3)&lt;&gt;D414)),"Invalid current reading",IF(AND(E414&lt;&gt;"",IF(NOT(ISNUMBER(E414)),TRUE,OR(E414&lt;0,E414&gt;999999999,ROUND(E414,3)&lt;&gt;E414))),"Invalid previous reading",IF(IF(NOT(ISNUMBER(F414)),TRUE,OR(F414&lt;0,F414&gt;999999999,ROUND(F414,3)&lt;&gt;F414)),"Invalid last service",IF(AND(E414&lt;&gt;"",D414&lt;E414),"Decreased reading",IF(F414&gt;D414,"Last service above current","")))))))))))))</x:f>
      </x:c>
      <x:c r="L414" s="6" t="str">
        <x:f>IF(AND(NOT(COUNTA(A414:F414)=0),K414=""),INDEX('Rules'!$C$7:$C$26,MATCH(SUBSTITUTE(SUBSTITUTE(SUBSTITUTE(SUBSTITUTE("type:"&amp;B414,"%","%25"),"~","%7E"),"*","%2A"),"?","%3F"),'Rules'!$G$7:$G$26,0)),"")</x:f>
      </x:c>
      <x:c r="M414" s="6" t="str">
        <x:f>IF(AND(NOT(COUNTA(A414:F414)=0),K414=""),INDEX('Rules'!$D$7:$D$26,MATCH(SUBSTITUTE(SUBSTITUTE(SUBSTITUTE(SUBSTITUTE("type:"&amp;B414,"%","%25"),"~","%7E"),"*","%2A"),"?","%3F"),'Rules'!$G$7:$G$26,0)),"")</x:f>
      </x:c>
      <x:c r="N414" s="5" t="str">
        <x:f>IF(COUNTA(A414:F414)=0,"",SUBSTITUTE(SUBSTITUTE(SUBSTITUTE(SUBSTITUTE("id:"&amp;A414,"%","%25"),"~","%7E"),"*","%2A"),"?","%3F"))</x:f>
      </x:c>
    </x:row>
    <x:row r="415" ht="22" customHeight="1">
      <x:c r="A415" s="3"/>
      <x:c r="B415" s="3"/>
      <x:c r="C415" s="3"/>
      <x:c r="D415" s="4"/>
      <x:c r="E415" s="4"/>
      <x:c r="F415" s="4"/>
      <x:c r="G415" s="5" t="str">
        <x:f>IF(COUNTA(A415:F415)=0,"",IF(K415&lt;&gt;"","Review",IF(I415&lt;0,"Overdue",IF(I415=0,"Due now",IF(I415&lt;=M415,"Due soon","Not due")))))</x:f>
      </x:c>
      <x:c r="H415" s="5" t="str">
        <x:f>IF(OR(COUNTA(A415:F415)=0,COUNTIFS('Rules'!$G$7:$G$26,"="&amp;(SUBSTITUTE(SUBSTITUTE(SUBSTITUTE(SUBSTITUTE("type:"&amp;B415,"%","%25"),"~","%7E"),"*","%2A"),"?","%3F")))&lt;&gt;1),"",IF(OR(INDEX('Rules'!$B$7:$B$26,MATCH(SUBSTITUTE(SUBSTITUTE(SUBSTITUTE(SUBSTITUTE("type:"&amp;B415,"%","%25"),"~","%7E"),"*","%2A"),"?","%3F"),'Rules'!$G$7:$G$26,0))="hours",INDEX('Rules'!$B$7:$B$26,MATCH(SUBSTITUTE(SUBSTITUTE(SUBSTITUTE(SUBSTITUTE("type:"&amp;B415,"%","%25"),"~","%7E"),"*","%2A"),"?","%3F"),'Rules'!$G$7:$G$26,0))="km"),INDEX('Rules'!$B$7:$B$26,MATCH(SUBSTITUTE(SUBSTITUTE(SUBSTITUTE(SUBSTITUTE("type:"&amp;B415,"%","%25"),"~","%7E"),"*","%2A"),"?","%3F"),'Rules'!$G$7:$G$26,0)),""))</x:f>
      </x:c>
      <x:c r="I415" s="6" t="str">
        <x:f>IF(AND(NOT(COUNTA(A415:F415)=0),K415=""),ROUND(J415-D415,3),"")</x:f>
      </x:c>
      <x:c r="J415" s="6" t="str">
        <x:f>IF(AND(NOT(COUNTA(A415:F415)=0),K415=""),ROUND(F415+L415,3),"")</x:f>
      </x:c>
      <x:c r="K415" s="5" t="str">
        <x:f>IF(COUNTA(A415:F415)=0,"",IF(A415="","Missing equipment ID",IF(COUNTIFS($N$8:$N$2007,"="&amp;N415)&gt;1,"Duplicate equipment ID",IF(B415="","Missing type",IF(COUNTIFS('Rules'!$G$7:$G$26,"="&amp;(SUBSTITUTE(SUBSTITUTE(SUBSTITUTE(SUBSTITUTE("type:"&amp;B415,"%","%25"),"~","%7E"),"*","%2A"),"?","%3F")))=0,"Unknown type",IF(COUNTIFS('Rules'!$G$7:$G$26,"="&amp;(SUBSTITUTE(SUBSTITUTE(SUBSTITUTE(SUBSTITUTE("type:"&amp;B415,"%","%25"),"~","%7E"),"*","%2A"),"?","%3F")))&gt;1,"Duplicate type",IF(INDEX('Rules'!$F$7:$F$26,MATCH(SUBSTITUTE(SUBSTITUTE(SUBSTITUTE(SUBSTITUTE("type:"&amp;B415,"%","%25"),"~","%7E"),"*","%2A"),"?","%3F"),'Rules'!$G$7:$G$26,0))&lt;&gt;"",INDEX('Rules'!$F$7:$F$26,MATCH(SUBSTITUTE(SUBSTITUTE(SUBSTITUTE(SUBSTITUTE("type:"&amp;B415,"%","%25"),"~","%7E"),"*","%2A"),"?","%3F"),'Rules'!$G$7:$G$26,0)),IF(AND(C415&lt;&gt;"",C415&lt;&gt;INDEX('Rules'!$B$7:$B$26,MATCH(SUBSTITUTE(SUBSTITUTE(SUBSTITUTE(SUBSTITUTE("type:"&amp;B415,"%","%25"),"~","%7E"),"*","%2A"),"?","%3F"),'Rules'!$G$7:$G$26,0))),"Unit mismatch",IF(IF(NOT(ISNUMBER(D415)),TRUE,OR(D415&lt;0,D415&gt;999999999,ROUND(D415,3)&lt;&gt;D415)),"Invalid current reading",IF(AND(E415&lt;&gt;"",IF(NOT(ISNUMBER(E415)),TRUE,OR(E415&lt;0,E415&gt;999999999,ROUND(E415,3)&lt;&gt;E415))),"Invalid previous reading",IF(IF(NOT(ISNUMBER(F415)),TRUE,OR(F415&lt;0,F415&gt;999999999,ROUND(F415,3)&lt;&gt;F415)),"Invalid last service",IF(AND(E415&lt;&gt;"",D415&lt;E415),"Decreased reading",IF(F415&gt;D415,"Last service above current","")))))))))))))</x:f>
      </x:c>
      <x:c r="L415" s="6" t="str">
        <x:f>IF(AND(NOT(COUNTA(A415:F415)=0),K415=""),INDEX('Rules'!$C$7:$C$26,MATCH(SUBSTITUTE(SUBSTITUTE(SUBSTITUTE(SUBSTITUTE("type:"&amp;B415,"%","%25"),"~","%7E"),"*","%2A"),"?","%3F"),'Rules'!$G$7:$G$26,0)),"")</x:f>
      </x:c>
      <x:c r="M415" s="6" t="str">
        <x:f>IF(AND(NOT(COUNTA(A415:F415)=0),K415=""),INDEX('Rules'!$D$7:$D$26,MATCH(SUBSTITUTE(SUBSTITUTE(SUBSTITUTE(SUBSTITUTE("type:"&amp;B415,"%","%25"),"~","%7E"),"*","%2A"),"?","%3F"),'Rules'!$G$7:$G$26,0)),"")</x:f>
      </x:c>
      <x:c r="N415" s="5" t="str">
        <x:f>IF(COUNTA(A415:F415)=0,"",SUBSTITUTE(SUBSTITUTE(SUBSTITUTE(SUBSTITUTE("id:"&amp;A415,"%","%25"),"~","%7E"),"*","%2A"),"?","%3F"))</x:f>
      </x:c>
    </x:row>
    <x:row r="416" ht="22" customHeight="1">
      <x:c r="A416" s="3"/>
      <x:c r="B416" s="3"/>
      <x:c r="C416" s="3"/>
      <x:c r="D416" s="4"/>
      <x:c r="E416" s="4"/>
      <x:c r="F416" s="4"/>
      <x:c r="G416" s="5" t="str">
        <x:f>IF(COUNTA(A416:F416)=0,"",IF(K416&lt;&gt;"","Review",IF(I416&lt;0,"Overdue",IF(I416=0,"Due now",IF(I416&lt;=M416,"Due soon","Not due")))))</x:f>
      </x:c>
      <x:c r="H416" s="5" t="str">
        <x:f>IF(OR(COUNTA(A416:F416)=0,COUNTIFS('Rules'!$G$7:$G$26,"="&amp;(SUBSTITUTE(SUBSTITUTE(SUBSTITUTE(SUBSTITUTE("type:"&amp;B416,"%","%25"),"~","%7E"),"*","%2A"),"?","%3F")))&lt;&gt;1),"",IF(OR(INDEX('Rules'!$B$7:$B$26,MATCH(SUBSTITUTE(SUBSTITUTE(SUBSTITUTE(SUBSTITUTE("type:"&amp;B416,"%","%25"),"~","%7E"),"*","%2A"),"?","%3F"),'Rules'!$G$7:$G$26,0))="hours",INDEX('Rules'!$B$7:$B$26,MATCH(SUBSTITUTE(SUBSTITUTE(SUBSTITUTE(SUBSTITUTE("type:"&amp;B416,"%","%25"),"~","%7E"),"*","%2A"),"?","%3F"),'Rules'!$G$7:$G$26,0))="km"),INDEX('Rules'!$B$7:$B$26,MATCH(SUBSTITUTE(SUBSTITUTE(SUBSTITUTE(SUBSTITUTE("type:"&amp;B416,"%","%25"),"~","%7E"),"*","%2A"),"?","%3F"),'Rules'!$G$7:$G$26,0)),""))</x:f>
      </x:c>
      <x:c r="I416" s="6" t="str">
        <x:f>IF(AND(NOT(COUNTA(A416:F416)=0),K416=""),ROUND(J416-D416,3),"")</x:f>
      </x:c>
      <x:c r="J416" s="6" t="str">
        <x:f>IF(AND(NOT(COUNTA(A416:F416)=0),K416=""),ROUND(F416+L416,3),"")</x:f>
      </x:c>
      <x:c r="K416" s="5" t="str">
        <x:f>IF(COUNTA(A416:F416)=0,"",IF(A416="","Missing equipment ID",IF(COUNTIFS($N$8:$N$2007,"="&amp;N416)&gt;1,"Duplicate equipment ID",IF(B416="","Missing type",IF(COUNTIFS('Rules'!$G$7:$G$26,"="&amp;(SUBSTITUTE(SUBSTITUTE(SUBSTITUTE(SUBSTITUTE("type:"&amp;B416,"%","%25"),"~","%7E"),"*","%2A"),"?","%3F")))=0,"Unknown type",IF(COUNTIFS('Rules'!$G$7:$G$26,"="&amp;(SUBSTITUTE(SUBSTITUTE(SUBSTITUTE(SUBSTITUTE("type:"&amp;B416,"%","%25"),"~","%7E"),"*","%2A"),"?","%3F")))&gt;1,"Duplicate type",IF(INDEX('Rules'!$F$7:$F$26,MATCH(SUBSTITUTE(SUBSTITUTE(SUBSTITUTE(SUBSTITUTE("type:"&amp;B416,"%","%25"),"~","%7E"),"*","%2A"),"?","%3F"),'Rules'!$G$7:$G$26,0))&lt;&gt;"",INDEX('Rules'!$F$7:$F$26,MATCH(SUBSTITUTE(SUBSTITUTE(SUBSTITUTE(SUBSTITUTE("type:"&amp;B416,"%","%25"),"~","%7E"),"*","%2A"),"?","%3F"),'Rules'!$G$7:$G$26,0)),IF(AND(C416&lt;&gt;"",C416&lt;&gt;INDEX('Rules'!$B$7:$B$26,MATCH(SUBSTITUTE(SUBSTITUTE(SUBSTITUTE(SUBSTITUTE("type:"&amp;B416,"%","%25"),"~","%7E"),"*","%2A"),"?","%3F"),'Rules'!$G$7:$G$26,0))),"Unit mismatch",IF(IF(NOT(ISNUMBER(D416)),TRUE,OR(D416&lt;0,D416&gt;999999999,ROUND(D416,3)&lt;&gt;D416)),"Invalid current reading",IF(AND(E416&lt;&gt;"",IF(NOT(ISNUMBER(E416)),TRUE,OR(E416&lt;0,E416&gt;999999999,ROUND(E416,3)&lt;&gt;E416))),"Invalid previous reading",IF(IF(NOT(ISNUMBER(F416)),TRUE,OR(F416&lt;0,F416&gt;999999999,ROUND(F416,3)&lt;&gt;F416)),"Invalid last service",IF(AND(E416&lt;&gt;"",D416&lt;E416),"Decreased reading",IF(F416&gt;D416,"Last service above current","")))))))))))))</x:f>
      </x:c>
      <x:c r="L416" s="6" t="str">
        <x:f>IF(AND(NOT(COUNTA(A416:F416)=0),K416=""),INDEX('Rules'!$C$7:$C$26,MATCH(SUBSTITUTE(SUBSTITUTE(SUBSTITUTE(SUBSTITUTE("type:"&amp;B416,"%","%25"),"~","%7E"),"*","%2A"),"?","%3F"),'Rules'!$G$7:$G$26,0)),"")</x:f>
      </x:c>
      <x:c r="M416" s="6" t="str">
        <x:f>IF(AND(NOT(COUNTA(A416:F416)=0),K416=""),INDEX('Rules'!$D$7:$D$26,MATCH(SUBSTITUTE(SUBSTITUTE(SUBSTITUTE(SUBSTITUTE("type:"&amp;B416,"%","%25"),"~","%7E"),"*","%2A"),"?","%3F"),'Rules'!$G$7:$G$26,0)),"")</x:f>
      </x:c>
      <x:c r="N416" s="5" t="str">
        <x:f>IF(COUNTA(A416:F416)=0,"",SUBSTITUTE(SUBSTITUTE(SUBSTITUTE(SUBSTITUTE("id:"&amp;A416,"%","%25"),"~","%7E"),"*","%2A"),"?","%3F"))</x:f>
      </x:c>
    </x:row>
    <x:row r="417" ht="22" customHeight="1">
      <x:c r="A417" s="3"/>
      <x:c r="B417" s="3"/>
      <x:c r="C417" s="3"/>
      <x:c r="D417" s="4"/>
      <x:c r="E417" s="4"/>
      <x:c r="F417" s="4"/>
      <x:c r="G417" s="5" t="str">
        <x:f>IF(COUNTA(A417:F417)=0,"",IF(K417&lt;&gt;"","Review",IF(I417&lt;0,"Overdue",IF(I417=0,"Due now",IF(I417&lt;=M417,"Due soon","Not due")))))</x:f>
      </x:c>
      <x:c r="H417" s="5" t="str">
        <x:f>IF(OR(COUNTA(A417:F417)=0,COUNTIFS('Rules'!$G$7:$G$26,"="&amp;(SUBSTITUTE(SUBSTITUTE(SUBSTITUTE(SUBSTITUTE("type:"&amp;B417,"%","%25"),"~","%7E"),"*","%2A"),"?","%3F")))&lt;&gt;1),"",IF(OR(INDEX('Rules'!$B$7:$B$26,MATCH(SUBSTITUTE(SUBSTITUTE(SUBSTITUTE(SUBSTITUTE("type:"&amp;B417,"%","%25"),"~","%7E"),"*","%2A"),"?","%3F"),'Rules'!$G$7:$G$26,0))="hours",INDEX('Rules'!$B$7:$B$26,MATCH(SUBSTITUTE(SUBSTITUTE(SUBSTITUTE(SUBSTITUTE("type:"&amp;B417,"%","%25"),"~","%7E"),"*","%2A"),"?","%3F"),'Rules'!$G$7:$G$26,0))="km"),INDEX('Rules'!$B$7:$B$26,MATCH(SUBSTITUTE(SUBSTITUTE(SUBSTITUTE(SUBSTITUTE("type:"&amp;B417,"%","%25"),"~","%7E"),"*","%2A"),"?","%3F"),'Rules'!$G$7:$G$26,0)),""))</x:f>
      </x:c>
      <x:c r="I417" s="6" t="str">
        <x:f>IF(AND(NOT(COUNTA(A417:F417)=0),K417=""),ROUND(J417-D417,3),"")</x:f>
      </x:c>
      <x:c r="J417" s="6" t="str">
        <x:f>IF(AND(NOT(COUNTA(A417:F417)=0),K417=""),ROUND(F417+L417,3),"")</x:f>
      </x:c>
      <x:c r="K417" s="5" t="str">
        <x:f>IF(COUNTA(A417:F417)=0,"",IF(A417="","Missing equipment ID",IF(COUNTIFS($N$8:$N$2007,"="&amp;N417)&gt;1,"Duplicate equipment ID",IF(B417="","Missing type",IF(COUNTIFS('Rules'!$G$7:$G$26,"="&amp;(SUBSTITUTE(SUBSTITUTE(SUBSTITUTE(SUBSTITUTE("type:"&amp;B417,"%","%25"),"~","%7E"),"*","%2A"),"?","%3F")))=0,"Unknown type",IF(COUNTIFS('Rules'!$G$7:$G$26,"="&amp;(SUBSTITUTE(SUBSTITUTE(SUBSTITUTE(SUBSTITUTE("type:"&amp;B417,"%","%25"),"~","%7E"),"*","%2A"),"?","%3F")))&gt;1,"Duplicate type",IF(INDEX('Rules'!$F$7:$F$26,MATCH(SUBSTITUTE(SUBSTITUTE(SUBSTITUTE(SUBSTITUTE("type:"&amp;B417,"%","%25"),"~","%7E"),"*","%2A"),"?","%3F"),'Rules'!$G$7:$G$26,0))&lt;&gt;"",INDEX('Rules'!$F$7:$F$26,MATCH(SUBSTITUTE(SUBSTITUTE(SUBSTITUTE(SUBSTITUTE("type:"&amp;B417,"%","%25"),"~","%7E"),"*","%2A"),"?","%3F"),'Rules'!$G$7:$G$26,0)),IF(AND(C417&lt;&gt;"",C417&lt;&gt;INDEX('Rules'!$B$7:$B$26,MATCH(SUBSTITUTE(SUBSTITUTE(SUBSTITUTE(SUBSTITUTE("type:"&amp;B417,"%","%25"),"~","%7E"),"*","%2A"),"?","%3F"),'Rules'!$G$7:$G$26,0))),"Unit mismatch",IF(IF(NOT(ISNUMBER(D417)),TRUE,OR(D417&lt;0,D417&gt;999999999,ROUND(D417,3)&lt;&gt;D417)),"Invalid current reading",IF(AND(E417&lt;&gt;"",IF(NOT(ISNUMBER(E417)),TRUE,OR(E417&lt;0,E417&gt;999999999,ROUND(E417,3)&lt;&gt;E417))),"Invalid previous reading",IF(IF(NOT(ISNUMBER(F417)),TRUE,OR(F417&lt;0,F417&gt;999999999,ROUND(F417,3)&lt;&gt;F417)),"Invalid last service",IF(AND(E417&lt;&gt;"",D417&lt;E417),"Decreased reading",IF(F417&gt;D417,"Last service above current","")))))))))))))</x:f>
      </x:c>
      <x:c r="L417" s="6" t="str">
        <x:f>IF(AND(NOT(COUNTA(A417:F417)=0),K417=""),INDEX('Rules'!$C$7:$C$26,MATCH(SUBSTITUTE(SUBSTITUTE(SUBSTITUTE(SUBSTITUTE("type:"&amp;B417,"%","%25"),"~","%7E"),"*","%2A"),"?","%3F"),'Rules'!$G$7:$G$26,0)),"")</x:f>
      </x:c>
      <x:c r="M417" s="6" t="str">
        <x:f>IF(AND(NOT(COUNTA(A417:F417)=0),K417=""),INDEX('Rules'!$D$7:$D$26,MATCH(SUBSTITUTE(SUBSTITUTE(SUBSTITUTE(SUBSTITUTE("type:"&amp;B417,"%","%25"),"~","%7E"),"*","%2A"),"?","%3F"),'Rules'!$G$7:$G$26,0)),"")</x:f>
      </x:c>
      <x:c r="N417" s="5" t="str">
        <x:f>IF(COUNTA(A417:F417)=0,"",SUBSTITUTE(SUBSTITUTE(SUBSTITUTE(SUBSTITUTE("id:"&amp;A417,"%","%25"),"~","%7E"),"*","%2A"),"?","%3F"))</x:f>
      </x:c>
    </x:row>
    <x:row r="418" ht="22" customHeight="1">
      <x:c r="A418" s="3"/>
      <x:c r="B418" s="3"/>
      <x:c r="C418" s="3"/>
      <x:c r="D418" s="4"/>
      <x:c r="E418" s="4"/>
      <x:c r="F418" s="4"/>
      <x:c r="G418" s="5" t="str">
        <x:f>IF(COUNTA(A418:F418)=0,"",IF(K418&lt;&gt;"","Review",IF(I418&lt;0,"Overdue",IF(I418=0,"Due now",IF(I418&lt;=M418,"Due soon","Not due")))))</x:f>
      </x:c>
      <x:c r="H418" s="5" t="str">
        <x:f>IF(OR(COUNTA(A418:F418)=0,COUNTIFS('Rules'!$G$7:$G$26,"="&amp;(SUBSTITUTE(SUBSTITUTE(SUBSTITUTE(SUBSTITUTE("type:"&amp;B418,"%","%25"),"~","%7E"),"*","%2A"),"?","%3F")))&lt;&gt;1),"",IF(OR(INDEX('Rules'!$B$7:$B$26,MATCH(SUBSTITUTE(SUBSTITUTE(SUBSTITUTE(SUBSTITUTE("type:"&amp;B418,"%","%25"),"~","%7E"),"*","%2A"),"?","%3F"),'Rules'!$G$7:$G$26,0))="hours",INDEX('Rules'!$B$7:$B$26,MATCH(SUBSTITUTE(SUBSTITUTE(SUBSTITUTE(SUBSTITUTE("type:"&amp;B418,"%","%25"),"~","%7E"),"*","%2A"),"?","%3F"),'Rules'!$G$7:$G$26,0))="km"),INDEX('Rules'!$B$7:$B$26,MATCH(SUBSTITUTE(SUBSTITUTE(SUBSTITUTE(SUBSTITUTE("type:"&amp;B418,"%","%25"),"~","%7E"),"*","%2A"),"?","%3F"),'Rules'!$G$7:$G$26,0)),""))</x:f>
      </x:c>
      <x:c r="I418" s="6" t="str">
        <x:f>IF(AND(NOT(COUNTA(A418:F418)=0),K418=""),ROUND(J418-D418,3),"")</x:f>
      </x:c>
      <x:c r="J418" s="6" t="str">
        <x:f>IF(AND(NOT(COUNTA(A418:F418)=0),K418=""),ROUND(F418+L418,3),"")</x:f>
      </x:c>
      <x:c r="K418" s="5" t="str">
        <x:f>IF(COUNTA(A418:F418)=0,"",IF(A418="","Missing equipment ID",IF(COUNTIFS($N$8:$N$2007,"="&amp;N418)&gt;1,"Duplicate equipment ID",IF(B418="","Missing type",IF(COUNTIFS('Rules'!$G$7:$G$26,"="&amp;(SUBSTITUTE(SUBSTITUTE(SUBSTITUTE(SUBSTITUTE("type:"&amp;B418,"%","%25"),"~","%7E"),"*","%2A"),"?","%3F")))=0,"Unknown type",IF(COUNTIFS('Rules'!$G$7:$G$26,"="&amp;(SUBSTITUTE(SUBSTITUTE(SUBSTITUTE(SUBSTITUTE("type:"&amp;B418,"%","%25"),"~","%7E"),"*","%2A"),"?","%3F")))&gt;1,"Duplicate type",IF(INDEX('Rules'!$F$7:$F$26,MATCH(SUBSTITUTE(SUBSTITUTE(SUBSTITUTE(SUBSTITUTE("type:"&amp;B418,"%","%25"),"~","%7E"),"*","%2A"),"?","%3F"),'Rules'!$G$7:$G$26,0))&lt;&gt;"",INDEX('Rules'!$F$7:$F$26,MATCH(SUBSTITUTE(SUBSTITUTE(SUBSTITUTE(SUBSTITUTE("type:"&amp;B418,"%","%25"),"~","%7E"),"*","%2A"),"?","%3F"),'Rules'!$G$7:$G$26,0)),IF(AND(C418&lt;&gt;"",C418&lt;&gt;INDEX('Rules'!$B$7:$B$26,MATCH(SUBSTITUTE(SUBSTITUTE(SUBSTITUTE(SUBSTITUTE("type:"&amp;B418,"%","%25"),"~","%7E"),"*","%2A"),"?","%3F"),'Rules'!$G$7:$G$26,0))),"Unit mismatch",IF(IF(NOT(ISNUMBER(D418)),TRUE,OR(D418&lt;0,D418&gt;999999999,ROUND(D418,3)&lt;&gt;D418)),"Invalid current reading",IF(AND(E418&lt;&gt;"",IF(NOT(ISNUMBER(E418)),TRUE,OR(E418&lt;0,E418&gt;999999999,ROUND(E418,3)&lt;&gt;E418))),"Invalid previous reading",IF(IF(NOT(ISNUMBER(F418)),TRUE,OR(F418&lt;0,F418&gt;999999999,ROUND(F418,3)&lt;&gt;F418)),"Invalid last service",IF(AND(E418&lt;&gt;"",D418&lt;E418),"Decreased reading",IF(F418&gt;D418,"Last service above current","")))))))))))))</x:f>
      </x:c>
      <x:c r="L418" s="6" t="str">
        <x:f>IF(AND(NOT(COUNTA(A418:F418)=0),K418=""),INDEX('Rules'!$C$7:$C$26,MATCH(SUBSTITUTE(SUBSTITUTE(SUBSTITUTE(SUBSTITUTE("type:"&amp;B418,"%","%25"),"~","%7E"),"*","%2A"),"?","%3F"),'Rules'!$G$7:$G$26,0)),"")</x:f>
      </x:c>
      <x:c r="M418" s="6" t="str">
        <x:f>IF(AND(NOT(COUNTA(A418:F418)=0),K418=""),INDEX('Rules'!$D$7:$D$26,MATCH(SUBSTITUTE(SUBSTITUTE(SUBSTITUTE(SUBSTITUTE("type:"&amp;B418,"%","%25"),"~","%7E"),"*","%2A"),"?","%3F"),'Rules'!$G$7:$G$26,0)),"")</x:f>
      </x:c>
      <x:c r="N418" s="5" t="str">
        <x:f>IF(COUNTA(A418:F418)=0,"",SUBSTITUTE(SUBSTITUTE(SUBSTITUTE(SUBSTITUTE("id:"&amp;A418,"%","%25"),"~","%7E"),"*","%2A"),"?","%3F"))</x:f>
      </x:c>
    </x:row>
    <x:row r="419" ht="22" customHeight="1">
      <x:c r="A419" s="3"/>
      <x:c r="B419" s="3"/>
      <x:c r="C419" s="3"/>
      <x:c r="D419" s="4"/>
      <x:c r="E419" s="4"/>
      <x:c r="F419" s="4"/>
      <x:c r="G419" s="5" t="str">
        <x:f>IF(COUNTA(A419:F419)=0,"",IF(K419&lt;&gt;"","Review",IF(I419&lt;0,"Overdue",IF(I419=0,"Due now",IF(I419&lt;=M419,"Due soon","Not due")))))</x:f>
      </x:c>
      <x:c r="H419" s="5" t="str">
        <x:f>IF(OR(COUNTA(A419:F419)=0,COUNTIFS('Rules'!$G$7:$G$26,"="&amp;(SUBSTITUTE(SUBSTITUTE(SUBSTITUTE(SUBSTITUTE("type:"&amp;B419,"%","%25"),"~","%7E"),"*","%2A"),"?","%3F")))&lt;&gt;1),"",IF(OR(INDEX('Rules'!$B$7:$B$26,MATCH(SUBSTITUTE(SUBSTITUTE(SUBSTITUTE(SUBSTITUTE("type:"&amp;B419,"%","%25"),"~","%7E"),"*","%2A"),"?","%3F"),'Rules'!$G$7:$G$26,0))="hours",INDEX('Rules'!$B$7:$B$26,MATCH(SUBSTITUTE(SUBSTITUTE(SUBSTITUTE(SUBSTITUTE("type:"&amp;B419,"%","%25"),"~","%7E"),"*","%2A"),"?","%3F"),'Rules'!$G$7:$G$26,0))="km"),INDEX('Rules'!$B$7:$B$26,MATCH(SUBSTITUTE(SUBSTITUTE(SUBSTITUTE(SUBSTITUTE("type:"&amp;B419,"%","%25"),"~","%7E"),"*","%2A"),"?","%3F"),'Rules'!$G$7:$G$26,0)),""))</x:f>
      </x:c>
      <x:c r="I419" s="6" t="str">
        <x:f>IF(AND(NOT(COUNTA(A419:F419)=0),K419=""),ROUND(J419-D419,3),"")</x:f>
      </x:c>
      <x:c r="J419" s="6" t="str">
        <x:f>IF(AND(NOT(COUNTA(A419:F419)=0),K419=""),ROUND(F419+L419,3),"")</x:f>
      </x:c>
      <x:c r="K419" s="5" t="str">
        <x:f>IF(COUNTA(A419:F419)=0,"",IF(A419="","Missing equipment ID",IF(COUNTIFS($N$8:$N$2007,"="&amp;N419)&gt;1,"Duplicate equipment ID",IF(B419="","Missing type",IF(COUNTIFS('Rules'!$G$7:$G$26,"="&amp;(SUBSTITUTE(SUBSTITUTE(SUBSTITUTE(SUBSTITUTE("type:"&amp;B419,"%","%25"),"~","%7E"),"*","%2A"),"?","%3F")))=0,"Unknown type",IF(COUNTIFS('Rules'!$G$7:$G$26,"="&amp;(SUBSTITUTE(SUBSTITUTE(SUBSTITUTE(SUBSTITUTE("type:"&amp;B419,"%","%25"),"~","%7E"),"*","%2A"),"?","%3F")))&gt;1,"Duplicate type",IF(INDEX('Rules'!$F$7:$F$26,MATCH(SUBSTITUTE(SUBSTITUTE(SUBSTITUTE(SUBSTITUTE("type:"&amp;B419,"%","%25"),"~","%7E"),"*","%2A"),"?","%3F"),'Rules'!$G$7:$G$26,0))&lt;&gt;"",INDEX('Rules'!$F$7:$F$26,MATCH(SUBSTITUTE(SUBSTITUTE(SUBSTITUTE(SUBSTITUTE("type:"&amp;B419,"%","%25"),"~","%7E"),"*","%2A"),"?","%3F"),'Rules'!$G$7:$G$26,0)),IF(AND(C419&lt;&gt;"",C419&lt;&gt;INDEX('Rules'!$B$7:$B$26,MATCH(SUBSTITUTE(SUBSTITUTE(SUBSTITUTE(SUBSTITUTE("type:"&amp;B419,"%","%25"),"~","%7E"),"*","%2A"),"?","%3F"),'Rules'!$G$7:$G$26,0))),"Unit mismatch",IF(IF(NOT(ISNUMBER(D419)),TRUE,OR(D419&lt;0,D419&gt;999999999,ROUND(D419,3)&lt;&gt;D419)),"Invalid current reading",IF(AND(E419&lt;&gt;"",IF(NOT(ISNUMBER(E419)),TRUE,OR(E419&lt;0,E419&gt;999999999,ROUND(E419,3)&lt;&gt;E419))),"Invalid previous reading",IF(IF(NOT(ISNUMBER(F419)),TRUE,OR(F419&lt;0,F419&gt;999999999,ROUND(F419,3)&lt;&gt;F419)),"Invalid last service",IF(AND(E419&lt;&gt;"",D419&lt;E419),"Decreased reading",IF(F419&gt;D419,"Last service above current","")))))))))))))</x:f>
      </x:c>
      <x:c r="L419" s="6" t="str">
        <x:f>IF(AND(NOT(COUNTA(A419:F419)=0),K419=""),INDEX('Rules'!$C$7:$C$26,MATCH(SUBSTITUTE(SUBSTITUTE(SUBSTITUTE(SUBSTITUTE("type:"&amp;B419,"%","%25"),"~","%7E"),"*","%2A"),"?","%3F"),'Rules'!$G$7:$G$26,0)),"")</x:f>
      </x:c>
      <x:c r="M419" s="6" t="str">
        <x:f>IF(AND(NOT(COUNTA(A419:F419)=0),K419=""),INDEX('Rules'!$D$7:$D$26,MATCH(SUBSTITUTE(SUBSTITUTE(SUBSTITUTE(SUBSTITUTE("type:"&amp;B419,"%","%25"),"~","%7E"),"*","%2A"),"?","%3F"),'Rules'!$G$7:$G$26,0)),"")</x:f>
      </x:c>
      <x:c r="N419" s="5" t="str">
        <x:f>IF(COUNTA(A419:F419)=0,"",SUBSTITUTE(SUBSTITUTE(SUBSTITUTE(SUBSTITUTE("id:"&amp;A419,"%","%25"),"~","%7E"),"*","%2A"),"?","%3F"))</x:f>
      </x:c>
    </x:row>
    <x:row r="420" ht="22" customHeight="1">
      <x:c r="A420" s="3"/>
      <x:c r="B420" s="3"/>
      <x:c r="C420" s="3"/>
      <x:c r="D420" s="4"/>
      <x:c r="E420" s="4"/>
      <x:c r="F420" s="4"/>
      <x:c r="G420" s="5" t="str">
        <x:f>IF(COUNTA(A420:F420)=0,"",IF(K420&lt;&gt;"","Review",IF(I420&lt;0,"Overdue",IF(I420=0,"Due now",IF(I420&lt;=M420,"Due soon","Not due")))))</x:f>
      </x:c>
      <x:c r="H420" s="5" t="str">
        <x:f>IF(OR(COUNTA(A420:F420)=0,COUNTIFS('Rules'!$G$7:$G$26,"="&amp;(SUBSTITUTE(SUBSTITUTE(SUBSTITUTE(SUBSTITUTE("type:"&amp;B420,"%","%25"),"~","%7E"),"*","%2A"),"?","%3F")))&lt;&gt;1),"",IF(OR(INDEX('Rules'!$B$7:$B$26,MATCH(SUBSTITUTE(SUBSTITUTE(SUBSTITUTE(SUBSTITUTE("type:"&amp;B420,"%","%25"),"~","%7E"),"*","%2A"),"?","%3F"),'Rules'!$G$7:$G$26,0))="hours",INDEX('Rules'!$B$7:$B$26,MATCH(SUBSTITUTE(SUBSTITUTE(SUBSTITUTE(SUBSTITUTE("type:"&amp;B420,"%","%25"),"~","%7E"),"*","%2A"),"?","%3F"),'Rules'!$G$7:$G$26,0))="km"),INDEX('Rules'!$B$7:$B$26,MATCH(SUBSTITUTE(SUBSTITUTE(SUBSTITUTE(SUBSTITUTE("type:"&amp;B420,"%","%25"),"~","%7E"),"*","%2A"),"?","%3F"),'Rules'!$G$7:$G$26,0)),""))</x:f>
      </x:c>
      <x:c r="I420" s="6" t="str">
        <x:f>IF(AND(NOT(COUNTA(A420:F420)=0),K420=""),ROUND(J420-D420,3),"")</x:f>
      </x:c>
      <x:c r="J420" s="6" t="str">
        <x:f>IF(AND(NOT(COUNTA(A420:F420)=0),K420=""),ROUND(F420+L420,3),"")</x:f>
      </x:c>
      <x:c r="K420" s="5" t="str">
        <x:f>IF(COUNTA(A420:F420)=0,"",IF(A420="","Missing equipment ID",IF(COUNTIFS($N$8:$N$2007,"="&amp;N420)&gt;1,"Duplicate equipment ID",IF(B420="","Missing type",IF(COUNTIFS('Rules'!$G$7:$G$26,"="&amp;(SUBSTITUTE(SUBSTITUTE(SUBSTITUTE(SUBSTITUTE("type:"&amp;B420,"%","%25"),"~","%7E"),"*","%2A"),"?","%3F")))=0,"Unknown type",IF(COUNTIFS('Rules'!$G$7:$G$26,"="&amp;(SUBSTITUTE(SUBSTITUTE(SUBSTITUTE(SUBSTITUTE("type:"&amp;B420,"%","%25"),"~","%7E"),"*","%2A"),"?","%3F")))&gt;1,"Duplicate type",IF(INDEX('Rules'!$F$7:$F$26,MATCH(SUBSTITUTE(SUBSTITUTE(SUBSTITUTE(SUBSTITUTE("type:"&amp;B420,"%","%25"),"~","%7E"),"*","%2A"),"?","%3F"),'Rules'!$G$7:$G$26,0))&lt;&gt;"",INDEX('Rules'!$F$7:$F$26,MATCH(SUBSTITUTE(SUBSTITUTE(SUBSTITUTE(SUBSTITUTE("type:"&amp;B420,"%","%25"),"~","%7E"),"*","%2A"),"?","%3F"),'Rules'!$G$7:$G$26,0)),IF(AND(C420&lt;&gt;"",C420&lt;&gt;INDEX('Rules'!$B$7:$B$26,MATCH(SUBSTITUTE(SUBSTITUTE(SUBSTITUTE(SUBSTITUTE("type:"&amp;B420,"%","%25"),"~","%7E"),"*","%2A"),"?","%3F"),'Rules'!$G$7:$G$26,0))),"Unit mismatch",IF(IF(NOT(ISNUMBER(D420)),TRUE,OR(D420&lt;0,D420&gt;999999999,ROUND(D420,3)&lt;&gt;D420)),"Invalid current reading",IF(AND(E420&lt;&gt;"",IF(NOT(ISNUMBER(E420)),TRUE,OR(E420&lt;0,E420&gt;999999999,ROUND(E420,3)&lt;&gt;E420))),"Invalid previous reading",IF(IF(NOT(ISNUMBER(F420)),TRUE,OR(F420&lt;0,F420&gt;999999999,ROUND(F420,3)&lt;&gt;F420)),"Invalid last service",IF(AND(E420&lt;&gt;"",D420&lt;E420),"Decreased reading",IF(F420&gt;D420,"Last service above current","")))))))))))))</x:f>
      </x:c>
      <x:c r="L420" s="6" t="str">
        <x:f>IF(AND(NOT(COUNTA(A420:F420)=0),K420=""),INDEX('Rules'!$C$7:$C$26,MATCH(SUBSTITUTE(SUBSTITUTE(SUBSTITUTE(SUBSTITUTE("type:"&amp;B420,"%","%25"),"~","%7E"),"*","%2A"),"?","%3F"),'Rules'!$G$7:$G$26,0)),"")</x:f>
      </x:c>
      <x:c r="M420" s="6" t="str">
        <x:f>IF(AND(NOT(COUNTA(A420:F420)=0),K420=""),INDEX('Rules'!$D$7:$D$26,MATCH(SUBSTITUTE(SUBSTITUTE(SUBSTITUTE(SUBSTITUTE("type:"&amp;B420,"%","%25"),"~","%7E"),"*","%2A"),"?","%3F"),'Rules'!$G$7:$G$26,0)),"")</x:f>
      </x:c>
      <x:c r="N420" s="5" t="str">
        <x:f>IF(COUNTA(A420:F420)=0,"",SUBSTITUTE(SUBSTITUTE(SUBSTITUTE(SUBSTITUTE("id:"&amp;A420,"%","%25"),"~","%7E"),"*","%2A"),"?","%3F"))</x:f>
      </x:c>
    </x:row>
    <x:row r="421" ht="22" customHeight="1">
      <x:c r="A421" s="3"/>
      <x:c r="B421" s="3"/>
      <x:c r="C421" s="3"/>
      <x:c r="D421" s="4"/>
      <x:c r="E421" s="4"/>
      <x:c r="F421" s="4"/>
      <x:c r="G421" s="5" t="str">
        <x:f>IF(COUNTA(A421:F421)=0,"",IF(K421&lt;&gt;"","Review",IF(I421&lt;0,"Overdue",IF(I421=0,"Due now",IF(I421&lt;=M421,"Due soon","Not due")))))</x:f>
      </x:c>
      <x:c r="H421" s="5" t="str">
        <x:f>IF(OR(COUNTA(A421:F421)=0,COUNTIFS('Rules'!$G$7:$G$26,"="&amp;(SUBSTITUTE(SUBSTITUTE(SUBSTITUTE(SUBSTITUTE("type:"&amp;B421,"%","%25"),"~","%7E"),"*","%2A"),"?","%3F")))&lt;&gt;1),"",IF(OR(INDEX('Rules'!$B$7:$B$26,MATCH(SUBSTITUTE(SUBSTITUTE(SUBSTITUTE(SUBSTITUTE("type:"&amp;B421,"%","%25"),"~","%7E"),"*","%2A"),"?","%3F"),'Rules'!$G$7:$G$26,0))="hours",INDEX('Rules'!$B$7:$B$26,MATCH(SUBSTITUTE(SUBSTITUTE(SUBSTITUTE(SUBSTITUTE("type:"&amp;B421,"%","%25"),"~","%7E"),"*","%2A"),"?","%3F"),'Rules'!$G$7:$G$26,0))="km"),INDEX('Rules'!$B$7:$B$26,MATCH(SUBSTITUTE(SUBSTITUTE(SUBSTITUTE(SUBSTITUTE("type:"&amp;B421,"%","%25"),"~","%7E"),"*","%2A"),"?","%3F"),'Rules'!$G$7:$G$26,0)),""))</x:f>
      </x:c>
      <x:c r="I421" s="6" t="str">
        <x:f>IF(AND(NOT(COUNTA(A421:F421)=0),K421=""),ROUND(J421-D421,3),"")</x:f>
      </x:c>
      <x:c r="J421" s="6" t="str">
        <x:f>IF(AND(NOT(COUNTA(A421:F421)=0),K421=""),ROUND(F421+L421,3),"")</x:f>
      </x:c>
      <x:c r="K421" s="5" t="str">
        <x:f>IF(COUNTA(A421:F421)=0,"",IF(A421="","Missing equipment ID",IF(COUNTIFS($N$8:$N$2007,"="&amp;N421)&gt;1,"Duplicate equipment ID",IF(B421="","Missing type",IF(COUNTIFS('Rules'!$G$7:$G$26,"="&amp;(SUBSTITUTE(SUBSTITUTE(SUBSTITUTE(SUBSTITUTE("type:"&amp;B421,"%","%25"),"~","%7E"),"*","%2A"),"?","%3F")))=0,"Unknown type",IF(COUNTIFS('Rules'!$G$7:$G$26,"="&amp;(SUBSTITUTE(SUBSTITUTE(SUBSTITUTE(SUBSTITUTE("type:"&amp;B421,"%","%25"),"~","%7E"),"*","%2A"),"?","%3F")))&gt;1,"Duplicate type",IF(INDEX('Rules'!$F$7:$F$26,MATCH(SUBSTITUTE(SUBSTITUTE(SUBSTITUTE(SUBSTITUTE("type:"&amp;B421,"%","%25"),"~","%7E"),"*","%2A"),"?","%3F"),'Rules'!$G$7:$G$26,0))&lt;&gt;"",INDEX('Rules'!$F$7:$F$26,MATCH(SUBSTITUTE(SUBSTITUTE(SUBSTITUTE(SUBSTITUTE("type:"&amp;B421,"%","%25"),"~","%7E"),"*","%2A"),"?","%3F"),'Rules'!$G$7:$G$26,0)),IF(AND(C421&lt;&gt;"",C421&lt;&gt;INDEX('Rules'!$B$7:$B$26,MATCH(SUBSTITUTE(SUBSTITUTE(SUBSTITUTE(SUBSTITUTE("type:"&amp;B421,"%","%25"),"~","%7E"),"*","%2A"),"?","%3F"),'Rules'!$G$7:$G$26,0))),"Unit mismatch",IF(IF(NOT(ISNUMBER(D421)),TRUE,OR(D421&lt;0,D421&gt;999999999,ROUND(D421,3)&lt;&gt;D421)),"Invalid current reading",IF(AND(E421&lt;&gt;"",IF(NOT(ISNUMBER(E421)),TRUE,OR(E421&lt;0,E421&gt;999999999,ROUND(E421,3)&lt;&gt;E421))),"Invalid previous reading",IF(IF(NOT(ISNUMBER(F421)),TRUE,OR(F421&lt;0,F421&gt;999999999,ROUND(F421,3)&lt;&gt;F421)),"Invalid last service",IF(AND(E421&lt;&gt;"",D421&lt;E421),"Decreased reading",IF(F421&gt;D421,"Last service above current","")))))))))))))</x:f>
      </x:c>
      <x:c r="L421" s="6" t="str">
        <x:f>IF(AND(NOT(COUNTA(A421:F421)=0),K421=""),INDEX('Rules'!$C$7:$C$26,MATCH(SUBSTITUTE(SUBSTITUTE(SUBSTITUTE(SUBSTITUTE("type:"&amp;B421,"%","%25"),"~","%7E"),"*","%2A"),"?","%3F"),'Rules'!$G$7:$G$26,0)),"")</x:f>
      </x:c>
      <x:c r="M421" s="6" t="str">
        <x:f>IF(AND(NOT(COUNTA(A421:F421)=0),K421=""),INDEX('Rules'!$D$7:$D$26,MATCH(SUBSTITUTE(SUBSTITUTE(SUBSTITUTE(SUBSTITUTE("type:"&amp;B421,"%","%25"),"~","%7E"),"*","%2A"),"?","%3F"),'Rules'!$G$7:$G$26,0)),"")</x:f>
      </x:c>
      <x:c r="N421" s="5" t="str">
        <x:f>IF(COUNTA(A421:F421)=0,"",SUBSTITUTE(SUBSTITUTE(SUBSTITUTE(SUBSTITUTE("id:"&amp;A421,"%","%25"),"~","%7E"),"*","%2A"),"?","%3F"))</x:f>
      </x:c>
    </x:row>
    <x:row r="422" ht="22" customHeight="1">
      <x:c r="A422" s="3"/>
      <x:c r="B422" s="3"/>
      <x:c r="C422" s="3"/>
      <x:c r="D422" s="4"/>
      <x:c r="E422" s="4"/>
      <x:c r="F422" s="4"/>
      <x:c r="G422" s="5" t="str">
        <x:f>IF(COUNTA(A422:F422)=0,"",IF(K422&lt;&gt;"","Review",IF(I422&lt;0,"Overdue",IF(I422=0,"Due now",IF(I422&lt;=M422,"Due soon","Not due")))))</x:f>
      </x:c>
      <x:c r="H422" s="5" t="str">
        <x:f>IF(OR(COUNTA(A422:F422)=0,COUNTIFS('Rules'!$G$7:$G$26,"="&amp;(SUBSTITUTE(SUBSTITUTE(SUBSTITUTE(SUBSTITUTE("type:"&amp;B422,"%","%25"),"~","%7E"),"*","%2A"),"?","%3F")))&lt;&gt;1),"",IF(OR(INDEX('Rules'!$B$7:$B$26,MATCH(SUBSTITUTE(SUBSTITUTE(SUBSTITUTE(SUBSTITUTE("type:"&amp;B422,"%","%25"),"~","%7E"),"*","%2A"),"?","%3F"),'Rules'!$G$7:$G$26,0))="hours",INDEX('Rules'!$B$7:$B$26,MATCH(SUBSTITUTE(SUBSTITUTE(SUBSTITUTE(SUBSTITUTE("type:"&amp;B422,"%","%25"),"~","%7E"),"*","%2A"),"?","%3F"),'Rules'!$G$7:$G$26,0))="km"),INDEX('Rules'!$B$7:$B$26,MATCH(SUBSTITUTE(SUBSTITUTE(SUBSTITUTE(SUBSTITUTE("type:"&amp;B422,"%","%25"),"~","%7E"),"*","%2A"),"?","%3F"),'Rules'!$G$7:$G$26,0)),""))</x:f>
      </x:c>
      <x:c r="I422" s="6" t="str">
        <x:f>IF(AND(NOT(COUNTA(A422:F422)=0),K422=""),ROUND(J422-D422,3),"")</x:f>
      </x:c>
      <x:c r="J422" s="6" t="str">
        <x:f>IF(AND(NOT(COUNTA(A422:F422)=0),K422=""),ROUND(F422+L422,3),"")</x:f>
      </x:c>
      <x:c r="K422" s="5" t="str">
        <x:f>IF(COUNTA(A422:F422)=0,"",IF(A422="","Missing equipment ID",IF(COUNTIFS($N$8:$N$2007,"="&amp;N422)&gt;1,"Duplicate equipment ID",IF(B422="","Missing type",IF(COUNTIFS('Rules'!$G$7:$G$26,"="&amp;(SUBSTITUTE(SUBSTITUTE(SUBSTITUTE(SUBSTITUTE("type:"&amp;B422,"%","%25"),"~","%7E"),"*","%2A"),"?","%3F")))=0,"Unknown type",IF(COUNTIFS('Rules'!$G$7:$G$26,"="&amp;(SUBSTITUTE(SUBSTITUTE(SUBSTITUTE(SUBSTITUTE("type:"&amp;B422,"%","%25"),"~","%7E"),"*","%2A"),"?","%3F")))&gt;1,"Duplicate type",IF(INDEX('Rules'!$F$7:$F$26,MATCH(SUBSTITUTE(SUBSTITUTE(SUBSTITUTE(SUBSTITUTE("type:"&amp;B422,"%","%25"),"~","%7E"),"*","%2A"),"?","%3F"),'Rules'!$G$7:$G$26,0))&lt;&gt;"",INDEX('Rules'!$F$7:$F$26,MATCH(SUBSTITUTE(SUBSTITUTE(SUBSTITUTE(SUBSTITUTE("type:"&amp;B422,"%","%25"),"~","%7E"),"*","%2A"),"?","%3F"),'Rules'!$G$7:$G$26,0)),IF(AND(C422&lt;&gt;"",C422&lt;&gt;INDEX('Rules'!$B$7:$B$26,MATCH(SUBSTITUTE(SUBSTITUTE(SUBSTITUTE(SUBSTITUTE("type:"&amp;B422,"%","%25"),"~","%7E"),"*","%2A"),"?","%3F"),'Rules'!$G$7:$G$26,0))),"Unit mismatch",IF(IF(NOT(ISNUMBER(D422)),TRUE,OR(D422&lt;0,D422&gt;999999999,ROUND(D422,3)&lt;&gt;D422)),"Invalid current reading",IF(AND(E422&lt;&gt;"",IF(NOT(ISNUMBER(E422)),TRUE,OR(E422&lt;0,E422&gt;999999999,ROUND(E422,3)&lt;&gt;E422))),"Invalid previous reading",IF(IF(NOT(ISNUMBER(F422)),TRUE,OR(F422&lt;0,F422&gt;999999999,ROUND(F422,3)&lt;&gt;F422)),"Invalid last service",IF(AND(E422&lt;&gt;"",D422&lt;E422),"Decreased reading",IF(F422&gt;D422,"Last service above current","")))))))))))))</x:f>
      </x:c>
      <x:c r="L422" s="6" t="str">
        <x:f>IF(AND(NOT(COUNTA(A422:F422)=0),K422=""),INDEX('Rules'!$C$7:$C$26,MATCH(SUBSTITUTE(SUBSTITUTE(SUBSTITUTE(SUBSTITUTE("type:"&amp;B422,"%","%25"),"~","%7E"),"*","%2A"),"?","%3F"),'Rules'!$G$7:$G$26,0)),"")</x:f>
      </x:c>
      <x:c r="M422" s="6" t="str">
        <x:f>IF(AND(NOT(COUNTA(A422:F422)=0),K422=""),INDEX('Rules'!$D$7:$D$26,MATCH(SUBSTITUTE(SUBSTITUTE(SUBSTITUTE(SUBSTITUTE("type:"&amp;B422,"%","%25"),"~","%7E"),"*","%2A"),"?","%3F"),'Rules'!$G$7:$G$26,0)),"")</x:f>
      </x:c>
      <x:c r="N422" s="5" t="str">
        <x:f>IF(COUNTA(A422:F422)=0,"",SUBSTITUTE(SUBSTITUTE(SUBSTITUTE(SUBSTITUTE("id:"&amp;A422,"%","%25"),"~","%7E"),"*","%2A"),"?","%3F"))</x:f>
      </x:c>
    </x:row>
    <x:row r="423" ht="22" customHeight="1">
      <x:c r="A423" s="3"/>
      <x:c r="B423" s="3"/>
      <x:c r="C423" s="3"/>
      <x:c r="D423" s="4"/>
      <x:c r="E423" s="4"/>
      <x:c r="F423" s="4"/>
      <x:c r="G423" s="5" t="str">
        <x:f>IF(COUNTA(A423:F423)=0,"",IF(K423&lt;&gt;"","Review",IF(I423&lt;0,"Overdue",IF(I423=0,"Due now",IF(I423&lt;=M423,"Due soon","Not due")))))</x:f>
      </x:c>
      <x:c r="H423" s="5" t="str">
        <x:f>IF(OR(COUNTA(A423:F423)=0,COUNTIFS('Rules'!$G$7:$G$26,"="&amp;(SUBSTITUTE(SUBSTITUTE(SUBSTITUTE(SUBSTITUTE("type:"&amp;B423,"%","%25"),"~","%7E"),"*","%2A"),"?","%3F")))&lt;&gt;1),"",IF(OR(INDEX('Rules'!$B$7:$B$26,MATCH(SUBSTITUTE(SUBSTITUTE(SUBSTITUTE(SUBSTITUTE("type:"&amp;B423,"%","%25"),"~","%7E"),"*","%2A"),"?","%3F"),'Rules'!$G$7:$G$26,0))="hours",INDEX('Rules'!$B$7:$B$26,MATCH(SUBSTITUTE(SUBSTITUTE(SUBSTITUTE(SUBSTITUTE("type:"&amp;B423,"%","%25"),"~","%7E"),"*","%2A"),"?","%3F"),'Rules'!$G$7:$G$26,0))="km"),INDEX('Rules'!$B$7:$B$26,MATCH(SUBSTITUTE(SUBSTITUTE(SUBSTITUTE(SUBSTITUTE("type:"&amp;B423,"%","%25"),"~","%7E"),"*","%2A"),"?","%3F"),'Rules'!$G$7:$G$26,0)),""))</x:f>
      </x:c>
      <x:c r="I423" s="6" t="str">
        <x:f>IF(AND(NOT(COUNTA(A423:F423)=0),K423=""),ROUND(J423-D423,3),"")</x:f>
      </x:c>
      <x:c r="J423" s="6" t="str">
        <x:f>IF(AND(NOT(COUNTA(A423:F423)=0),K423=""),ROUND(F423+L423,3),"")</x:f>
      </x:c>
      <x:c r="K423" s="5" t="str">
        <x:f>IF(COUNTA(A423:F423)=0,"",IF(A423="","Missing equipment ID",IF(COUNTIFS($N$8:$N$2007,"="&amp;N423)&gt;1,"Duplicate equipment ID",IF(B423="","Missing type",IF(COUNTIFS('Rules'!$G$7:$G$26,"="&amp;(SUBSTITUTE(SUBSTITUTE(SUBSTITUTE(SUBSTITUTE("type:"&amp;B423,"%","%25"),"~","%7E"),"*","%2A"),"?","%3F")))=0,"Unknown type",IF(COUNTIFS('Rules'!$G$7:$G$26,"="&amp;(SUBSTITUTE(SUBSTITUTE(SUBSTITUTE(SUBSTITUTE("type:"&amp;B423,"%","%25"),"~","%7E"),"*","%2A"),"?","%3F")))&gt;1,"Duplicate type",IF(INDEX('Rules'!$F$7:$F$26,MATCH(SUBSTITUTE(SUBSTITUTE(SUBSTITUTE(SUBSTITUTE("type:"&amp;B423,"%","%25"),"~","%7E"),"*","%2A"),"?","%3F"),'Rules'!$G$7:$G$26,0))&lt;&gt;"",INDEX('Rules'!$F$7:$F$26,MATCH(SUBSTITUTE(SUBSTITUTE(SUBSTITUTE(SUBSTITUTE("type:"&amp;B423,"%","%25"),"~","%7E"),"*","%2A"),"?","%3F"),'Rules'!$G$7:$G$26,0)),IF(AND(C423&lt;&gt;"",C423&lt;&gt;INDEX('Rules'!$B$7:$B$26,MATCH(SUBSTITUTE(SUBSTITUTE(SUBSTITUTE(SUBSTITUTE("type:"&amp;B423,"%","%25"),"~","%7E"),"*","%2A"),"?","%3F"),'Rules'!$G$7:$G$26,0))),"Unit mismatch",IF(IF(NOT(ISNUMBER(D423)),TRUE,OR(D423&lt;0,D423&gt;999999999,ROUND(D423,3)&lt;&gt;D423)),"Invalid current reading",IF(AND(E423&lt;&gt;"",IF(NOT(ISNUMBER(E423)),TRUE,OR(E423&lt;0,E423&gt;999999999,ROUND(E423,3)&lt;&gt;E423))),"Invalid previous reading",IF(IF(NOT(ISNUMBER(F423)),TRUE,OR(F423&lt;0,F423&gt;999999999,ROUND(F423,3)&lt;&gt;F423)),"Invalid last service",IF(AND(E423&lt;&gt;"",D423&lt;E423),"Decreased reading",IF(F423&gt;D423,"Last service above current","")))))))))))))</x:f>
      </x:c>
      <x:c r="L423" s="6" t="str">
        <x:f>IF(AND(NOT(COUNTA(A423:F423)=0),K423=""),INDEX('Rules'!$C$7:$C$26,MATCH(SUBSTITUTE(SUBSTITUTE(SUBSTITUTE(SUBSTITUTE("type:"&amp;B423,"%","%25"),"~","%7E"),"*","%2A"),"?","%3F"),'Rules'!$G$7:$G$26,0)),"")</x:f>
      </x:c>
      <x:c r="M423" s="6" t="str">
        <x:f>IF(AND(NOT(COUNTA(A423:F423)=0),K423=""),INDEX('Rules'!$D$7:$D$26,MATCH(SUBSTITUTE(SUBSTITUTE(SUBSTITUTE(SUBSTITUTE("type:"&amp;B423,"%","%25"),"~","%7E"),"*","%2A"),"?","%3F"),'Rules'!$G$7:$G$26,0)),"")</x:f>
      </x:c>
      <x:c r="N423" s="5" t="str">
        <x:f>IF(COUNTA(A423:F423)=0,"",SUBSTITUTE(SUBSTITUTE(SUBSTITUTE(SUBSTITUTE("id:"&amp;A423,"%","%25"),"~","%7E"),"*","%2A"),"?","%3F"))</x:f>
      </x:c>
    </x:row>
    <x:row r="424" ht="22" customHeight="1">
      <x:c r="A424" s="3"/>
      <x:c r="B424" s="3"/>
      <x:c r="C424" s="3"/>
      <x:c r="D424" s="4"/>
      <x:c r="E424" s="4"/>
      <x:c r="F424" s="4"/>
      <x:c r="G424" s="5" t="str">
        <x:f>IF(COUNTA(A424:F424)=0,"",IF(K424&lt;&gt;"","Review",IF(I424&lt;0,"Overdue",IF(I424=0,"Due now",IF(I424&lt;=M424,"Due soon","Not due")))))</x:f>
      </x:c>
      <x:c r="H424" s="5" t="str">
        <x:f>IF(OR(COUNTA(A424:F424)=0,COUNTIFS('Rules'!$G$7:$G$26,"="&amp;(SUBSTITUTE(SUBSTITUTE(SUBSTITUTE(SUBSTITUTE("type:"&amp;B424,"%","%25"),"~","%7E"),"*","%2A"),"?","%3F")))&lt;&gt;1),"",IF(OR(INDEX('Rules'!$B$7:$B$26,MATCH(SUBSTITUTE(SUBSTITUTE(SUBSTITUTE(SUBSTITUTE("type:"&amp;B424,"%","%25"),"~","%7E"),"*","%2A"),"?","%3F"),'Rules'!$G$7:$G$26,0))="hours",INDEX('Rules'!$B$7:$B$26,MATCH(SUBSTITUTE(SUBSTITUTE(SUBSTITUTE(SUBSTITUTE("type:"&amp;B424,"%","%25"),"~","%7E"),"*","%2A"),"?","%3F"),'Rules'!$G$7:$G$26,0))="km"),INDEX('Rules'!$B$7:$B$26,MATCH(SUBSTITUTE(SUBSTITUTE(SUBSTITUTE(SUBSTITUTE("type:"&amp;B424,"%","%25"),"~","%7E"),"*","%2A"),"?","%3F"),'Rules'!$G$7:$G$26,0)),""))</x:f>
      </x:c>
      <x:c r="I424" s="6" t="str">
        <x:f>IF(AND(NOT(COUNTA(A424:F424)=0),K424=""),ROUND(J424-D424,3),"")</x:f>
      </x:c>
      <x:c r="J424" s="6" t="str">
        <x:f>IF(AND(NOT(COUNTA(A424:F424)=0),K424=""),ROUND(F424+L424,3),"")</x:f>
      </x:c>
      <x:c r="K424" s="5" t="str">
        <x:f>IF(COUNTA(A424:F424)=0,"",IF(A424="","Missing equipment ID",IF(COUNTIFS($N$8:$N$2007,"="&amp;N424)&gt;1,"Duplicate equipment ID",IF(B424="","Missing type",IF(COUNTIFS('Rules'!$G$7:$G$26,"="&amp;(SUBSTITUTE(SUBSTITUTE(SUBSTITUTE(SUBSTITUTE("type:"&amp;B424,"%","%25"),"~","%7E"),"*","%2A"),"?","%3F")))=0,"Unknown type",IF(COUNTIFS('Rules'!$G$7:$G$26,"="&amp;(SUBSTITUTE(SUBSTITUTE(SUBSTITUTE(SUBSTITUTE("type:"&amp;B424,"%","%25"),"~","%7E"),"*","%2A"),"?","%3F")))&gt;1,"Duplicate type",IF(INDEX('Rules'!$F$7:$F$26,MATCH(SUBSTITUTE(SUBSTITUTE(SUBSTITUTE(SUBSTITUTE("type:"&amp;B424,"%","%25"),"~","%7E"),"*","%2A"),"?","%3F"),'Rules'!$G$7:$G$26,0))&lt;&gt;"",INDEX('Rules'!$F$7:$F$26,MATCH(SUBSTITUTE(SUBSTITUTE(SUBSTITUTE(SUBSTITUTE("type:"&amp;B424,"%","%25"),"~","%7E"),"*","%2A"),"?","%3F"),'Rules'!$G$7:$G$26,0)),IF(AND(C424&lt;&gt;"",C424&lt;&gt;INDEX('Rules'!$B$7:$B$26,MATCH(SUBSTITUTE(SUBSTITUTE(SUBSTITUTE(SUBSTITUTE("type:"&amp;B424,"%","%25"),"~","%7E"),"*","%2A"),"?","%3F"),'Rules'!$G$7:$G$26,0))),"Unit mismatch",IF(IF(NOT(ISNUMBER(D424)),TRUE,OR(D424&lt;0,D424&gt;999999999,ROUND(D424,3)&lt;&gt;D424)),"Invalid current reading",IF(AND(E424&lt;&gt;"",IF(NOT(ISNUMBER(E424)),TRUE,OR(E424&lt;0,E424&gt;999999999,ROUND(E424,3)&lt;&gt;E424))),"Invalid previous reading",IF(IF(NOT(ISNUMBER(F424)),TRUE,OR(F424&lt;0,F424&gt;999999999,ROUND(F424,3)&lt;&gt;F424)),"Invalid last service",IF(AND(E424&lt;&gt;"",D424&lt;E424),"Decreased reading",IF(F424&gt;D424,"Last service above current","")))))))))))))</x:f>
      </x:c>
      <x:c r="L424" s="6" t="str">
        <x:f>IF(AND(NOT(COUNTA(A424:F424)=0),K424=""),INDEX('Rules'!$C$7:$C$26,MATCH(SUBSTITUTE(SUBSTITUTE(SUBSTITUTE(SUBSTITUTE("type:"&amp;B424,"%","%25"),"~","%7E"),"*","%2A"),"?","%3F"),'Rules'!$G$7:$G$26,0)),"")</x:f>
      </x:c>
      <x:c r="M424" s="6" t="str">
        <x:f>IF(AND(NOT(COUNTA(A424:F424)=0),K424=""),INDEX('Rules'!$D$7:$D$26,MATCH(SUBSTITUTE(SUBSTITUTE(SUBSTITUTE(SUBSTITUTE("type:"&amp;B424,"%","%25"),"~","%7E"),"*","%2A"),"?","%3F"),'Rules'!$G$7:$G$26,0)),"")</x:f>
      </x:c>
      <x:c r="N424" s="5" t="str">
        <x:f>IF(COUNTA(A424:F424)=0,"",SUBSTITUTE(SUBSTITUTE(SUBSTITUTE(SUBSTITUTE("id:"&amp;A424,"%","%25"),"~","%7E"),"*","%2A"),"?","%3F"))</x:f>
      </x:c>
    </x:row>
    <x:row r="425" ht="22" customHeight="1">
      <x:c r="A425" s="3"/>
      <x:c r="B425" s="3"/>
      <x:c r="C425" s="3"/>
      <x:c r="D425" s="4"/>
      <x:c r="E425" s="4"/>
      <x:c r="F425" s="4"/>
      <x:c r="G425" s="5" t="str">
        <x:f>IF(COUNTA(A425:F425)=0,"",IF(K425&lt;&gt;"","Review",IF(I425&lt;0,"Overdue",IF(I425=0,"Due now",IF(I425&lt;=M425,"Due soon","Not due")))))</x:f>
      </x:c>
      <x:c r="H425" s="5" t="str">
        <x:f>IF(OR(COUNTA(A425:F425)=0,COUNTIFS('Rules'!$G$7:$G$26,"="&amp;(SUBSTITUTE(SUBSTITUTE(SUBSTITUTE(SUBSTITUTE("type:"&amp;B425,"%","%25"),"~","%7E"),"*","%2A"),"?","%3F")))&lt;&gt;1),"",IF(OR(INDEX('Rules'!$B$7:$B$26,MATCH(SUBSTITUTE(SUBSTITUTE(SUBSTITUTE(SUBSTITUTE("type:"&amp;B425,"%","%25"),"~","%7E"),"*","%2A"),"?","%3F"),'Rules'!$G$7:$G$26,0))="hours",INDEX('Rules'!$B$7:$B$26,MATCH(SUBSTITUTE(SUBSTITUTE(SUBSTITUTE(SUBSTITUTE("type:"&amp;B425,"%","%25"),"~","%7E"),"*","%2A"),"?","%3F"),'Rules'!$G$7:$G$26,0))="km"),INDEX('Rules'!$B$7:$B$26,MATCH(SUBSTITUTE(SUBSTITUTE(SUBSTITUTE(SUBSTITUTE("type:"&amp;B425,"%","%25"),"~","%7E"),"*","%2A"),"?","%3F"),'Rules'!$G$7:$G$26,0)),""))</x:f>
      </x:c>
      <x:c r="I425" s="6" t="str">
        <x:f>IF(AND(NOT(COUNTA(A425:F425)=0),K425=""),ROUND(J425-D425,3),"")</x:f>
      </x:c>
      <x:c r="J425" s="6" t="str">
        <x:f>IF(AND(NOT(COUNTA(A425:F425)=0),K425=""),ROUND(F425+L425,3),"")</x:f>
      </x:c>
      <x:c r="K425" s="5" t="str">
        <x:f>IF(COUNTA(A425:F425)=0,"",IF(A425="","Missing equipment ID",IF(COUNTIFS($N$8:$N$2007,"="&amp;N425)&gt;1,"Duplicate equipment ID",IF(B425="","Missing type",IF(COUNTIFS('Rules'!$G$7:$G$26,"="&amp;(SUBSTITUTE(SUBSTITUTE(SUBSTITUTE(SUBSTITUTE("type:"&amp;B425,"%","%25"),"~","%7E"),"*","%2A"),"?","%3F")))=0,"Unknown type",IF(COUNTIFS('Rules'!$G$7:$G$26,"="&amp;(SUBSTITUTE(SUBSTITUTE(SUBSTITUTE(SUBSTITUTE("type:"&amp;B425,"%","%25"),"~","%7E"),"*","%2A"),"?","%3F")))&gt;1,"Duplicate type",IF(INDEX('Rules'!$F$7:$F$26,MATCH(SUBSTITUTE(SUBSTITUTE(SUBSTITUTE(SUBSTITUTE("type:"&amp;B425,"%","%25"),"~","%7E"),"*","%2A"),"?","%3F"),'Rules'!$G$7:$G$26,0))&lt;&gt;"",INDEX('Rules'!$F$7:$F$26,MATCH(SUBSTITUTE(SUBSTITUTE(SUBSTITUTE(SUBSTITUTE("type:"&amp;B425,"%","%25"),"~","%7E"),"*","%2A"),"?","%3F"),'Rules'!$G$7:$G$26,0)),IF(AND(C425&lt;&gt;"",C425&lt;&gt;INDEX('Rules'!$B$7:$B$26,MATCH(SUBSTITUTE(SUBSTITUTE(SUBSTITUTE(SUBSTITUTE("type:"&amp;B425,"%","%25"),"~","%7E"),"*","%2A"),"?","%3F"),'Rules'!$G$7:$G$26,0))),"Unit mismatch",IF(IF(NOT(ISNUMBER(D425)),TRUE,OR(D425&lt;0,D425&gt;999999999,ROUND(D425,3)&lt;&gt;D425)),"Invalid current reading",IF(AND(E425&lt;&gt;"",IF(NOT(ISNUMBER(E425)),TRUE,OR(E425&lt;0,E425&gt;999999999,ROUND(E425,3)&lt;&gt;E425))),"Invalid previous reading",IF(IF(NOT(ISNUMBER(F425)),TRUE,OR(F425&lt;0,F425&gt;999999999,ROUND(F425,3)&lt;&gt;F425)),"Invalid last service",IF(AND(E425&lt;&gt;"",D425&lt;E425),"Decreased reading",IF(F425&gt;D425,"Last service above current","")))))))))))))</x:f>
      </x:c>
      <x:c r="L425" s="6" t="str">
        <x:f>IF(AND(NOT(COUNTA(A425:F425)=0),K425=""),INDEX('Rules'!$C$7:$C$26,MATCH(SUBSTITUTE(SUBSTITUTE(SUBSTITUTE(SUBSTITUTE("type:"&amp;B425,"%","%25"),"~","%7E"),"*","%2A"),"?","%3F"),'Rules'!$G$7:$G$26,0)),"")</x:f>
      </x:c>
      <x:c r="M425" s="6" t="str">
        <x:f>IF(AND(NOT(COUNTA(A425:F425)=0),K425=""),INDEX('Rules'!$D$7:$D$26,MATCH(SUBSTITUTE(SUBSTITUTE(SUBSTITUTE(SUBSTITUTE("type:"&amp;B425,"%","%25"),"~","%7E"),"*","%2A"),"?","%3F"),'Rules'!$G$7:$G$26,0)),"")</x:f>
      </x:c>
      <x:c r="N425" s="5" t="str">
        <x:f>IF(COUNTA(A425:F425)=0,"",SUBSTITUTE(SUBSTITUTE(SUBSTITUTE(SUBSTITUTE("id:"&amp;A425,"%","%25"),"~","%7E"),"*","%2A"),"?","%3F"))</x:f>
      </x:c>
    </x:row>
    <x:row r="426" ht="22" customHeight="1">
      <x:c r="A426" s="3"/>
      <x:c r="B426" s="3"/>
      <x:c r="C426" s="3"/>
      <x:c r="D426" s="4"/>
      <x:c r="E426" s="4"/>
      <x:c r="F426" s="4"/>
      <x:c r="G426" s="5" t="str">
        <x:f>IF(COUNTA(A426:F426)=0,"",IF(K426&lt;&gt;"","Review",IF(I426&lt;0,"Overdue",IF(I426=0,"Due now",IF(I426&lt;=M426,"Due soon","Not due")))))</x:f>
      </x:c>
      <x:c r="H426" s="5" t="str">
        <x:f>IF(OR(COUNTA(A426:F426)=0,COUNTIFS('Rules'!$G$7:$G$26,"="&amp;(SUBSTITUTE(SUBSTITUTE(SUBSTITUTE(SUBSTITUTE("type:"&amp;B426,"%","%25"),"~","%7E"),"*","%2A"),"?","%3F")))&lt;&gt;1),"",IF(OR(INDEX('Rules'!$B$7:$B$26,MATCH(SUBSTITUTE(SUBSTITUTE(SUBSTITUTE(SUBSTITUTE("type:"&amp;B426,"%","%25"),"~","%7E"),"*","%2A"),"?","%3F"),'Rules'!$G$7:$G$26,0))="hours",INDEX('Rules'!$B$7:$B$26,MATCH(SUBSTITUTE(SUBSTITUTE(SUBSTITUTE(SUBSTITUTE("type:"&amp;B426,"%","%25"),"~","%7E"),"*","%2A"),"?","%3F"),'Rules'!$G$7:$G$26,0))="km"),INDEX('Rules'!$B$7:$B$26,MATCH(SUBSTITUTE(SUBSTITUTE(SUBSTITUTE(SUBSTITUTE("type:"&amp;B426,"%","%25"),"~","%7E"),"*","%2A"),"?","%3F"),'Rules'!$G$7:$G$26,0)),""))</x:f>
      </x:c>
      <x:c r="I426" s="6" t="str">
        <x:f>IF(AND(NOT(COUNTA(A426:F426)=0),K426=""),ROUND(J426-D426,3),"")</x:f>
      </x:c>
      <x:c r="J426" s="6" t="str">
        <x:f>IF(AND(NOT(COUNTA(A426:F426)=0),K426=""),ROUND(F426+L426,3),"")</x:f>
      </x:c>
      <x:c r="K426" s="5" t="str">
        <x:f>IF(COUNTA(A426:F426)=0,"",IF(A426="","Missing equipment ID",IF(COUNTIFS($N$8:$N$2007,"="&amp;N426)&gt;1,"Duplicate equipment ID",IF(B426="","Missing type",IF(COUNTIFS('Rules'!$G$7:$G$26,"="&amp;(SUBSTITUTE(SUBSTITUTE(SUBSTITUTE(SUBSTITUTE("type:"&amp;B426,"%","%25"),"~","%7E"),"*","%2A"),"?","%3F")))=0,"Unknown type",IF(COUNTIFS('Rules'!$G$7:$G$26,"="&amp;(SUBSTITUTE(SUBSTITUTE(SUBSTITUTE(SUBSTITUTE("type:"&amp;B426,"%","%25"),"~","%7E"),"*","%2A"),"?","%3F")))&gt;1,"Duplicate type",IF(INDEX('Rules'!$F$7:$F$26,MATCH(SUBSTITUTE(SUBSTITUTE(SUBSTITUTE(SUBSTITUTE("type:"&amp;B426,"%","%25"),"~","%7E"),"*","%2A"),"?","%3F"),'Rules'!$G$7:$G$26,0))&lt;&gt;"",INDEX('Rules'!$F$7:$F$26,MATCH(SUBSTITUTE(SUBSTITUTE(SUBSTITUTE(SUBSTITUTE("type:"&amp;B426,"%","%25"),"~","%7E"),"*","%2A"),"?","%3F"),'Rules'!$G$7:$G$26,0)),IF(AND(C426&lt;&gt;"",C426&lt;&gt;INDEX('Rules'!$B$7:$B$26,MATCH(SUBSTITUTE(SUBSTITUTE(SUBSTITUTE(SUBSTITUTE("type:"&amp;B426,"%","%25"),"~","%7E"),"*","%2A"),"?","%3F"),'Rules'!$G$7:$G$26,0))),"Unit mismatch",IF(IF(NOT(ISNUMBER(D426)),TRUE,OR(D426&lt;0,D426&gt;999999999,ROUND(D426,3)&lt;&gt;D426)),"Invalid current reading",IF(AND(E426&lt;&gt;"",IF(NOT(ISNUMBER(E426)),TRUE,OR(E426&lt;0,E426&gt;999999999,ROUND(E426,3)&lt;&gt;E426))),"Invalid previous reading",IF(IF(NOT(ISNUMBER(F426)),TRUE,OR(F426&lt;0,F426&gt;999999999,ROUND(F426,3)&lt;&gt;F426)),"Invalid last service",IF(AND(E426&lt;&gt;"",D426&lt;E426),"Decreased reading",IF(F426&gt;D426,"Last service above current","")))))))))))))</x:f>
      </x:c>
      <x:c r="L426" s="6" t="str">
        <x:f>IF(AND(NOT(COUNTA(A426:F426)=0),K426=""),INDEX('Rules'!$C$7:$C$26,MATCH(SUBSTITUTE(SUBSTITUTE(SUBSTITUTE(SUBSTITUTE("type:"&amp;B426,"%","%25"),"~","%7E"),"*","%2A"),"?","%3F"),'Rules'!$G$7:$G$26,0)),"")</x:f>
      </x:c>
      <x:c r="M426" s="6" t="str">
        <x:f>IF(AND(NOT(COUNTA(A426:F426)=0),K426=""),INDEX('Rules'!$D$7:$D$26,MATCH(SUBSTITUTE(SUBSTITUTE(SUBSTITUTE(SUBSTITUTE("type:"&amp;B426,"%","%25"),"~","%7E"),"*","%2A"),"?","%3F"),'Rules'!$G$7:$G$26,0)),"")</x:f>
      </x:c>
      <x:c r="N426" s="5" t="str">
        <x:f>IF(COUNTA(A426:F426)=0,"",SUBSTITUTE(SUBSTITUTE(SUBSTITUTE(SUBSTITUTE("id:"&amp;A426,"%","%25"),"~","%7E"),"*","%2A"),"?","%3F"))</x:f>
      </x:c>
    </x:row>
    <x:row r="427" ht="22" customHeight="1">
      <x:c r="A427" s="3"/>
      <x:c r="B427" s="3"/>
      <x:c r="C427" s="3"/>
      <x:c r="D427" s="4"/>
      <x:c r="E427" s="4"/>
      <x:c r="F427" s="4"/>
      <x:c r="G427" s="5" t="str">
        <x:f>IF(COUNTA(A427:F427)=0,"",IF(K427&lt;&gt;"","Review",IF(I427&lt;0,"Overdue",IF(I427=0,"Due now",IF(I427&lt;=M427,"Due soon","Not due")))))</x:f>
      </x:c>
      <x:c r="H427" s="5" t="str">
        <x:f>IF(OR(COUNTA(A427:F427)=0,COUNTIFS('Rules'!$G$7:$G$26,"="&amp;(SUBSTITUTE(SUBSTITUTE(SUBSTITUTE(SUBSTITUTE("type:"&amp;B427,"%","%25"),"~","%7E"),"*","%2A"),"?","%3F")))&lt;&gt;1),"",IF(OR(INDEX('Rules'!$B$7:$B$26,MATCH(SUBSTITUTE(SUBSTITUTE(SUBSTITUTE(SUBSTITUTE("type:"&amp;B427,"%","%25"),"~","%7E"),"*","%2A"),"?","%3F"),'Rules'!$G$7:$G$26,0))="hours",INDEX('Rules'!$B$7:$B$26,MATCH(SUBSTITUTE(SUBSTITUTE(SUBSTITUTE(SUBSTITUTE("type:"&amp;B427,"%","%25"),"~","%7E"),"*","%2A"),"?","%3F"),'Rules'!$G$7:$G$26,0))="km"),INDEX('Rules'!$B$7:$B$26,MATCH(SUBSTITUTE(SUBSTITUTE(SUBSTITUTE(SUBSTITUTE("type:"&amp;B427,"%","%25"),"~","%7E"),"*","%2A"),"?","%3F"),'Rules'!$G$7:$G$26,0)),""))</x:f>
      </x:c>
      <x:c r="I427" s="6" t="str">
        <x:f>IF(AND(NOT(COUNTA(A427:F427)=0),K427=""),ROUND(J427-D427,3),"")</x:f>
      </x:c>
      <x:c r="J427" s="6" t="str">
        <x:f>IF(AND(NOT(COUNTA(A427:F427)=0),K427=""),ROUND(F427+L427,3),"")</x:f>
      </x:c>
      <x:c r="K427" s="5" t="str">
        <x:f>IF(COUNTA(A427:F427)=0,"",IF(A427="","Missing equipment ID",IF(COUNTIFS($N$8:$N$2007,"="&amp;N427)&gt;1,"Duplicate equipment ID",IF(B427="","Missing type",IF(COUNTIFS('Rules'!$G$7:$G$26,"="&amp;(SUBSTITUTE(SUBSTITUTE(SUBSTITUTE(SUBSTITUTE("type:"&amp;B427,"%","%25"),"~","%7E"),"*","%2A"),"?","%3F")))=0,"Unknown type",IF(COUNTIFS('Rules'!$G$7:$G$26,"="&amp;(SUBSTITUTE(SUBSTITUTE(SUBSTITUTE(SUBSTITUTE("type:"&amp;B427,"%","%25"),"~","%7E"),"*","%2A"),"?","%3F")))&gt;1,"Duplicate type",IF(INDEX('Rules'!$F$7:$F$26,MATCH(SUBSTITUTE(SUBSTITUTE(SUBSTITUTE(SUBSTITUTE("type:"&amp;B427,"%","%25"),"~","%7E"),"*","%2A"),"?","%3F"),'Rules'!$G$7:$G$26,0))&lt;&gt;"",INDEX('Rules'!$F$7:$F$26,MATCH(SUBSTITUTE(SUBSTITUTE(SUBSTITUTE(SUBSTITUTE("type:"&amp;B427,"%","%25"),"~","%7E"),"*","%2A"),"?","%3F"),'Rules'!$G$7:$G$26,0)),IF(AND(C427&lt;&gt;"",C427&lt;&gt;INDEX('Rules'!$B$7:$B$26,MATCH(SUBSTITUTE(SUBSTITUTE(SUBSTITUTE(SUBSTITUTE("type:"&amp;B427,"%","%25"),"~","%7E"),"*","%2A"),"?","%3F"),'Rules'!$G$7:$G$26,0))),"Unit mismatch",IF(IF(NOT(ISNUMBER(D427)),TRUE,OR(D427&lt;0,D427&gt;999999999,ROUND(D427,3)&lt;&gt;D427)),"Invalid current reading",IF(AND(E427&lt;&gt;"",IF(NOT(ISNUMBER(E427)),TRUE,OR(E427&lt;0,E427&gt;999999999,ROUND(E427,3)&lt;&gt;E427))),"Invalid previous reading",IF(IF(NOT(ISNUMBER(F427)),TRUE,OR(F427&lt;0,F427&gt;999999999,ROUND(F427,3)&lt;&gt;F427)),"Invalid last service",IF(AND(E427&lt;&gt;"",D427&lt;E427),"Decreased reading",IF(F427&gt;D427,"Last service above current","")))))))))))))</x:f>
      </x:c>
      <x:c r="L427" s="6" t="str">
        <x:f>IF(AND(NOT(COUNTA(A427:F427)=0),K427=""),INDEX('Rules'!$C$7:$C$26,MATCH(SUBSTITUTE(SUBSTITUTE(SUBSTITUTE(SUBSTITUTE("type:"&amp;B427,"%","%25"),"~","%7E"),"*","%2A"),"?","%3F"),'Rules'!$G$7:$G$26,0)),"")</x:f>
      </x:c>
      <x:c r="M427" s="6" t="str">
        <x:f>IF(AND(NOT(COUNTA(A427:F427)=0),K427=""),INDEX('Rules'!$D$7:$D$26,MATCH(SUBSTITUTE(SUBSTITUTE(SUBSTITUTE(SUBSTITUTE("type:"&amp;B427,"%","%25"),"~","%7E"),"*","%2A"),"?","%3F"),'Rules'!$G$7:$G$26,0)),"")</x:f>
      </x:c>
      <x:c r="N427" s="5" t="str">
        <x:f>IF(COUNTA(A427:F427)=0,"",SUBSTITUTE(SUBSTITUTE(SUBSTITUTE(SUBSTITUTE("id:"&amp;A427,"%","%25"),"~","%7E"),"*","%2A"),"?","%3F"))</x:f>
      </x:c>
    </x:row>
    <x:row r="428" ht="22" customHeight="1">
      <x:c r="A428" s="3"/>
      <x:c r="B428" s="3"/>
      <x:c r="C428" s="3"/>
      <x:c r="D428" s="4"/>
      <x:c r="E428" s="4"/>
      <x:c r="F428" s="4"/>
      <x:c r="G428" s="5" t="str">
        <x:f>IF(COUNTA(A428:F428)=0,"",IF(K428&lt;&gt;"","Review",IF(I428&lt;0,"Overdue",IF(I428=0,"Due now",IF(I428&lt;=M428,"Due soon","Not due")))))</x:f>
      </x:c>
      <x:c r="H428" s="5" t="str">
        <x:f>IF(OR(COUNTA(A428:F428)=0,COUNTIFS('Rules'!$G$7:$G$26,"="&amp;(SUBSTITUTE(SUBSTITUTE(SUBSTITUTE(SUBSTITUTE("type:"&amp;B428,"%","%25"),"~","%7E"),"*","%2A"),"?","%3F")))&lt;&gt;1),"",IF(OR(INDEX('Rules'!$B$7:$B$26,MATCH(SUBSTITUTE(SUBSTITUTE(SUBSTITUTE(SUBSTITUTE("type:"&amp;B428,"%","%25"),"~","%7E"),"*","%2A"),"?","%3F"),'Rules'!$G$7:$G$26,0))="hours",INDEX('Rules'!$B$7:$B$26,MATCH(SUBSTITUTE(SUBSTITUTE(SUBSTITUTE(SUBSTITUTE("type:"&amp;B428,"%","%25"),"~","%7E"),"*","%2A"),"?","%3F"),'Rules'!$G$7:$G$26,0))="km"),INDEX('Rules'!$B$7:$B$26,MATCH(SUBSTITUTE(SUBSTITUTE(SUBSTITUTE(SUBSTITUTE("type:"&amp;B428,"%","%25"),"~","%7E"),"*","%2A"),"?","%3F"),'Rules'!$G$7:$G$26,0)),""))</x:f>
      </x:c>
      <x:c r="I428" s="6" t="str">
        <x:f>IF(AND(NOT(COUNTA(A428:F428)=0),K428=""),ROUND(J428-D428,3),"")</x:f>
      </x:c>
      <x:c r="J428" s="6" t="str">
        <x:f>IF(AND(NOT(COUNTA(A428:F428)=0),K428=""),ROUND(F428+L428,3),"")</x:f>
      </x:c>
      <x:c r="K428" s="5" t="str">
        <x:f>IF(COUNTA(A428:F428)=0,"",IF(A428="","Missing equipment ID",IF(COUNTIFS($N$8:$N$2007,"="&amp;N428)&gt;1,"Duplicate equipment ID",IF(B428="","Missing type",IF(COUNTIFS('Rules'!$G$7:$G$26,"="&amp;(SUBSTITUTE(SUBSTITUTE(SUBSTITUTE(SUBSTITUTE("type:"&amp;B428,"%","%25"),"~","%7E"),"*","%2A"),"?","%3F")))=0,"Unknown type",IF(COUNTIFS('Rules'!$G$7:$G$26,"="&amp;(SUBSTITUTE(SUBSTITUTE(SUBSTITUTE(SUBSTITUTE("type:"&amp;B428,"%","%25"),"~","%7E"),"*","%2A"),"?","%3F")))&gt;1,"Duplicate type",IF(INDEX('Rules'!$F$7:$F$26,MATCH(SUBSTITUTE(SUBSTITUTE(SUBSTITUTE(SUBSTITUTE("type:"&amp;B428,"%","%25"),"~","%7E"),"*","%2A"),"?","%3F"),'Rules'!$G$7:$G$26,0))&lt;&gt;"",INDEX('Rules'!$F$7:$F$26,MATCH(SUBSTITUTE(SUBSTITUTE(SUBSTITUTE(SUBSTITUTE("type:"&amp;B428,"%","%25"),"~","%7E"),"*","%2A"),"?","%3F"),'Rules'!$G$7:$G$26,0)),IF(AND(C428&lt;&gt;"",C428&lt;&gt;INDEX('Rules'!$B$7:$B$26,MATCH(SUBSTITUTE(SUBSTITUTE(SUBSTITUTE(SUBSTITUTE("type:"&amp;B428,"%","%25"),"~","%7E"),"*","%2A"),"?","%3F"),'Rules'!$G$7:$G$26,0))),"Unit mismatch",IF(IF(NOT(ISNUMBER(D428)),TRUE,OR(D428&lt;0,D428&gt;999999999,ROUND(D428,3)&lt;&gt;D428)),"Invalid current reading",IF(AND(E428&lt;&gt;"",IF(NOT(ISNUMBER(E428)),TRUE,OR(E428&lt;0,E428&gt;999999999,ROUND(E428,3)&lt;&gt;E428))),"Invalid previous reading",IF(IF(NOT(ISNUMBER(F428)),TRUE,OR(F428&lt;0,F428&gt;999999999,ROUND(F428,3)&lt;&gt;F428)),"Invalid last service",IF(AND(E428&lt;&gt;"",D428&lt;E428),"Decreased reading",IF(F428&gt;D428,"Last service above current","")))))))))))))</x:f>
      </x:c>
      <x:c r="L428" s="6" t="str">
        <x:f>IF(AND(NOT(COUNTA(A428:F428)=0),K428=""),INDEX('Rules'!$C$7:$C$26,MATCH(SUBSTITUTE(SUBSTITUTE(SUBSTITUTE(SUBSTITUTE("type:"&amp;B428,"%","%25"),"~","%7E"),"*","%2A"),"?","%3F"),'Rules'!$G$7:$G$26,0)),"")</x:f>
      </x:c>
      <x:c r="M428" s="6" t="str">
        <x:f>IF(AND(NOT(COUNTA(A428:F428)=0),K428=""),INDEX('Rules'!$D$7:$D$26,MATCH(SUBSTITUTE(SUBSTITUTE(SUBSTITUTE(SUBSTITUTE("type:"&amp;B428,"%","%25"),"~","%7E"),"*","%2A"),"?","%3F"),'Rules'!$G$7:$G$26,0)),"")</x:f>
      </x:c>
      <x:c r="N428" s="5" t="str">
        <x:f>IF(COUNTA(A428:F428)=0,"",SUBSTITUTE(SUBSTITUTE(SUBSTITUTE(SUBSTITUTE("id:"&amp;A428,"%","%25"),"~","%7E"),"*","%2A"),"?","%3F"))</x:f>
      </x:c>
    </x:row>
    <x:row r="429" ht="22" customHeight="1">
      <x:c r="A429" s="3"/>
      <x:c r="B429" s="3"/>
      <x:c r="C429" s="3"/>
      <x:c r="D429" s="4"/>
      <x:c r="E429" s="4"/>
      <x:c r="F429" s="4"/>
      <x:c r="G429" s="5" t="str">
        <x:f>IF(COUNTA(A429:F429)=0,"",IF(K429&lt;&gt;"","Review",IF(I429&lt;0,"Overdue",IF(I429=0,"Due now",IF(I429&lt;=M429,"Due soon","Not due")))))</x:f>
      </x:c>
      <x:c r="H429" s="5" t="str">
        <x:f>IF(OR(COUNTA(A429:F429)=0,COUNTIFS('Rules'!$G$7:$G$26,"="&amp;(SUBSTITUTE(SUBSTITUTE(SUBSTITUTE(SUBSTITUTE("type:"&amp;B429,"%","%25"),"~","%7E"),"*","%2A"),"?","%3F")))&lt;&gt;1),"",IF(OR(INDEX('Rules'!$B$7:$B$26,MATCH(SUBSTITUTE(SUBSTITUTE(SUBSTITUTE(SUBSTITUTE("type:"&amp;B429,"%","%25"),"~","%7E"),"*","%2A"),"?","%3F"),'Rules'!$G$7:$G$26,0))="hours",INDEX('Rules'!$B$7:$B$26,MATCH(SUBSTITUTE(SUBSTITUTE(SUBSTITUTE(SUBSTITUTE("type:"&amp;B429,"%","%25"),"~","%7E"),"*","%2A"),"?","%3F"),'Rules'!$G$7:$G$26,0))="km"),INDEX('Rules'!$B$7:$B$26,MATCH(SUBSTITUTE(SUBSTITUTE(SUBSTITUTE(SUBSTITUTE("type:"&amp;B429,"%","%25"),"~","%7E"),"*","%2A"),"?","%3F"),'Rules'!$G$7:$G$26,0)),""))</x:f>
      </x:c>
      <x:c r="I429" s="6" t="str">
        <x:f>IF(AND(NOT(COUNTA(A429:F429)=0),K429=""),ROUND(J429-D429,3),"")</x:f>
      </x:c>
      <x:c r="J429" s="6" t="str">
        <x:f>IF(AND(NOT(COUNTA(A429:F429)=0),K429=""),ROUND(F429+L429,3),"")</x:f>
      </x:c>
      <x:c r="K429" s="5" t="str">
        <x:f>IF(COUNTA(A429:F429)=0,"",IF(A429="","Missing equipment ID",IF(COUNTIFS($N$8:$N$2007,"="&amp;N429)&gt;1,"Duplicate equipment ID",IF(B429="","Missing type",IF(COUNTIFS('Rules'!$G$7:$G$26,"="&amp;(SUBSTITUTE(SUBSTITUTE(SUBSTITUTE(SUBSTITUTE("type:"&amp;B429,"%","%25"),"~","%7E"),"*","%2A"),"?","%3F")))=0,"Unknown type",IF(COUNTIFS('Rules'!$G$7:$G$26,"="&amp;(SUBSTITUTE(SUBSTITUTE(SUBSTITUTE(SUBSTITUTE("type:"&amp;B429,"%","%25"),"~","%7E"),"*","%2A"),"?","%3F")))&gt;1,"Duplicate type",IF(INDEX('Rules'!$F$7:$F$26,MATCH(SUBSTITUTE(SUBSTITUTE(SUBSTITUTE(SUBSTITUTE("type:"&amp;B429,"%","%25"),"~","%7E"),"*","%2A"),"?","%3F"),'Rules'!$G$7:$G$26,0))&lt;&gt;"",INDEX('Rules'!$F$7:$F$26,MATCH(SUBSTITUTE(SUBSTITUTE(SUBSTITUTE(SUBSTITUTE("type:"&amp;B429,"%","%25"),"~","%7E"),"*","%2A"),"?","%3F"),'Rules'!$G$7:$G$26,0)),IF(AND(C429&lt;&gt;"",C429&lt;&gt;INDEX('Rules'!$B$7:$B$26,MATCH(SUBSTITUTE(SUBSTITUTE(SUBSTITUTE(SUBSTITUTE("type:"&amp;B429,"%","%25"),"~","%7E"),"*","%2A"),"?","%3F"),'Rules'!$G$7:$G$26,0))),"Unit mismatch",IF(IF(NOT(ISNUMBER(D429)),TRUE,OR(D429&lt;0,D429&gt;999999999,ROUND(D429,3)&lt;&gt;D429)),"Invalid current reading",IF(AND(E429&lt;&gt;"",IF(NOT(ISNUMBER(E429)),TRUE,OR(E429&lt;0,E429&gt;999999999,ROUND(E429,3)&lt;&gt;E429))),"Invalid previous reading",IF(IF(NOT(ISNUMBER(F429)),TRUE,OR(F429&lt;0,F429&gt;999999999,ROUND(F429,3)&lt;&gt;F429)),"Invalid last service",IF(AND(E429&lt;&gt;"",D429&lt;E429),"Decreased reading",IF(F429&gt;D429,"Last service above current","")))))))))))))</x:f>
      </x:c>
      <x:c r="L429" s="6" t="str">
        <x:f>IF(AND(NOT(COUNTA(A429:F429)=0),K429=""),INDEX('Rules'!$C$7:$C$26,MATCH(SUBSTITUTE(SUBSTITUTE(SUBSTITUTE(SUBSTITUTE("type:"&amp;B429,"%","%25"),"~","%7E"),"*","%2A"),"?","%3F"),'Rules'!$G$7:$G$26,0)),"")</x:f>
      </x:c>
      <x:c r="M429" s="6" t="str">
        <x:f>IF(AND(NOT(COUNTA(A429:F429)=0),K429=""),INDEX('Rules'!$D$7:$D$26,MATCH(SUBSTITUTE(SUBSTITUTE(SUBSTITUTE(SUBSTITUTE("type:"&amp;B429,"%","%25"),"~","%7E"),"*","%2A"),"?","%3F"),'Rules'!$G$7:$G$26,0)),"")</x:f>
      </x:c>
      <x:c r="N429" s="5" t="str">
        <x:f>IF(COUNTA(A429:F429)=0,"",SUBSTITUTE(SUBSTITUTE(SUBSTITUTE(SUBSTITUTE("id:"&amp;A429,"%","%25"),"~","%7E"),"*","%2A"),"?","%3F"))</x:f>
      </x:c>
    </x:row>
    <x:row r="430" ht="22" customHeight="1">
      <x:c r="A430" s="3"/>
      <x:c r="B430" s="3"/>
      <x:c r="C430" s="3"/>
      <x:c r="D430" s="4"/>
      <x:c r="E430" s="4"/>
      <x:c r="F430" s="4"/>
      <x:c r="G430" s="5" t="str">
        <x:f>IF(COUNTA(A430:F430)=0,"",IF(K430&lt;&gt;"","Review",IF(I430&lt;0,"Overdue",IF(I430=0,"Due now",IF(I430&lt;=M430,"Due soon","Not due")))))</x:f>
      </x:c>
      <x:c r="H430" s="5" t="str">
        <x:f>IF(OR(COUNTA(A430:F430)=0,COUNTIFS('Rules'!$G$7:$G$26,"="&amp;(SUBSTITUTE(SUBSTITUTE(SUBSTITUTE(SUBSTITUTE("type:"&amp;B430,"%","%25"),"~","%7E"),"*","%2A"),"?","%3F")))&lt;&gt;1),"",IF(OR(INDEX('Rules'!$B$7:$B$26,MATCH(SUBSTITUTE(SUBSTITUTE(SUBSTITUTE(SUBSTITUTE("type:"&amp;B430,"%","%25"),"~","%7E"),"*","%2A"),"?","%3F"),'Rules'!$G$7:$G$26,0))="hours",INDEX('Rules'!$B$7:$B$26,MATCH(SUBSTITUTE(SUBSTITUTE(SUBSTITUTE(SUBSTITUTE("type:"&amp;B430,"%","%25"),"~","%7E"),"*","%2A"),"?","%3F"),'Rules'!$G$7:$G$26,0))="km"),INDEX('Rules'!$B$7:$B$26,MATCH(SUBSTITUTE(SUBSTITUTE(SUBSTITUTE(SUBSTITUTE("type:"&amp;B430,"%","%25"),"~","%7E"),"*","%2A"),"?","%3F"),'Rules'!$G$7:$G$26,0)),""))</x:f>
      </x:c>
      <x:c r="I430" s="6" t="str">
        <x:f>IF(AND(NOT(COUNTA(A430:F430)=0),K430=""),ROUND(J430-D430,3),"")</x:f>
      </x:c>
      <x:c r="J430" s="6" t="str">
        <x:f>IF(AND(NOT(COUNTA(A430:F430)=0),K430=""),ROUND(F430+L430,3),"")</x:f>
      </x:c>
      <x:c r="K430" s="5" t="str">
        <x:f>IF(COUNTA(A430:F430)=0,"",IF(A430="","Missing equipment ID",IF(COUNTIFS($N$8:$N$2007,"="&amp;N430)&gt;1,"Duplicate equipment ID",IF(B430="","Missing type",IF(COUNTIFS('Rules'!$G$7:$G$26,"="&amp;(SUBSTITUTE(SUBSTITUTE(SUBSTITUTE(SUBSTITUTE("type:"&amp;B430,"%","%25"),"~","%7E"),"*","%2A"),"?","%3F")))=0,"Unknown type",IF(COUNTIFS('Rules'!$G$7:$G$26,"="&amp;(SUBSTITUTE(SUBSTITUTE(SUBSTITUTE(SUBSTITUTE("type:"&amp;B430,"%","%25"),"~","%7E"),"*","%2A"),"?","%3F")))&gt;1,"Duplicate type",IF(INDEX('Rules'!$F$7:$F$26,MATCH(SUBSTITUTE(SUBSTITUTE(SUBSTITUTE(SUBSTITUTE("type:"&amp;B430,"%","%25"),"~","%7E"),"*","%2A"),"?","%3F"),'Rules'!$G$7:$G$26,0))&lt;&gt;"",INDEX('Rules'!$F$7:$F$26,MATCH(SUBSTITUTE(SUBSTITUTE(SUBSTITUTE(SUBSTITUTE("type:"&amp;B430,"%","%25"),"~","%7E"),"*","%2A"),"?","%3F"),'Rules'!$G$7:$G$26,0)),IF(AND(C430&lt;&gt;"",C430&lt;&gt;INDEX('Rules'!$B$7:$B$26,MATCH(SUBSTITUTE(SUBSTITUTE(SUBSTITUTE(SUBSTITUTE("type:"&amp;B430,"%","%25"),"~","%7E"),"*","%2A"),"?","%3F"),'Rules'!$G$7:$G$26,0))),"Unit mismatch",IF(IF(NOT(ISNUMBER(D430)),TRUE,OR(D430&lt;0,D430&gt;999999999,ROUND(D430,3)&lt;&gt;D430)),"Invalid current reading",IF(AND(E430&lt;&gt;"",IF(NOT(ISNUMBER(E430)),TRUE,OR(E430&lt;0,E430&gt;999999999,ROUND(E430,3)&lt;&gt;E430))),"Invalid previous reading",IF(IF(NOT(ISNUMBER(F430)),TRUE,OR(F430&lt;0,F430&gt;999999999,ROUND(F430,3)&lt;&gt;F430)),"Invalid last service",IF(AND(E430&lt;&gt;"",D430&lt;E430),"Decreased reading",IF(F430&gt;D430,"Last service above current","")))))))))))))</x:f>
      </x:c>
      <x:c r="L430" s="6" t="str">
        <x:f>IF(AND(NOT(COUNTA(A430:F430)=0),K430=""),INDEX('Rules'!$C$7:$C$26,MATCH(SUBSTITUTE(SUBSTITUTE(SUBSTITUTE(SUBSTITUTE("type:"&amp;B430,"%","%25"),"~","%7E"),"*","%2A"),"?","%3F"),'Rules'!$G$7:$G$26,0)),"")</x:f>
      </x:c>
      <x:c r="M430" s="6" t="str">
        <x:f>IF(AND(NOT(COUNTA(A430:F430)=0),K430=""),INDEX('Rules'!$D$7:$D$26,MATCH(SUBSTITUTE(SUBSTITUTE(SUBSTITUTE(SUBSTITUTE("type:"&amp;B430,"%","%25"),"~","%7E"),"*","%2A"),"?","%3F"),'Rules'!$G$7:$G$26,0)),"")</x:f>
      </x:c>
      <x:c r="N430" s="5" t="str">
        <x:f>IF(COUNTA(A430:F430)=0,"",SUBSTITUTE(SUBSTITUTE(SUBSTITUTE(SUBSTITUTE("id:"&amp;A430,"%","%25"),"~","%7E"),"*","%2A"),"?","%3F"))</x:f>
      </x:c>
    </x:row>
    <x:row r="431" ht="22" customHeight="1">
      <x:c r="A431" s="3"/>
      <x:c r="B431" s="3"/>
      <x:c r="C431" s="3"/>
      <x:c r="D431" s="4"/>
      <x:c r="E431" s="4"/>
      <x:c r="F431" s="4"/>
      <x:c r="G431" s="5" t="str">
        <x:f>IF(COUNTA(A431:F431)=0,"",IF(K431&lt;&gt;"","Review",IF(I431&lt;0,"Overdue",IF(I431=0,"Due now",IF(I431&lt;=M431,"Due soon","Not due")))))</x:f>
      </x:c>
      <x:c r="H431" s="5" t="str">
        <x:f>IF(OR(COUNTA(A431:F431)=0,COUNTIFS('Rules'!$G$7:$G$26,"="&amp;(SUBSTITUTE(SUBSTITUTE(SUBSTITUTE(SUBSTITUTE("type:"&amp;B431,"%","%25"),"~","%7E"),"*","%2A"),"?","%3F")))&lt;&gt;1),"",IF(OR(INDEX('Rules'!$B$7:$B$26,MATCH(SUBSTITUTE(SUBSTITUTE(SUBSTITUTE(SUBSTITUTE("type:"&amp;B431,"%","%25"),"~","%7E"),"*","%2A"),"?","%3F"),'Rules'!$G$7:$G$26,0))="hours",INDEX('Rules'!$B$7:$B$26,MATCH(SUBSTITUTE(SUBSTITUTE(SUBSTITUTE(SUBSTITUTE("type:"&amp;B431,"%","%25"),"~","%7E"),"*","%2A"),"?","%3F"),'Rules'!$G$7:$G$26,0))="km"),INDEX('Rules'!$B$7:$B$26,MATCH(SUBSTITUTE(SUBSTITUTE(SUBSTITUTE(SUBSTITUTE("type:"&amp;B431,"%","%25"),"~","%7E"),"*","%2A"),"?","%3F"),'Rules'!$G$7:$G$26,0)),""))</x:f>
      </x:c>
      <x:c r="I431" s="6" t="str">
        <x:f>IF(AND(NOT(COUNTA(A431:F431)=0),K431=""),ROUND(J431-D431,3),"")</x:f>
      </x:c>
      <x:c r="J431" s="6" t="str">
        <x:f>IF(AND(NOT(COUNTA(A431:F431)=0),K431=""),ROUND(F431+L431,3),"")</x:f>
      </x:c>
      <x:c r="K431" s="5" t="str">
        <x:f>IF(COUNTA(A431:F431)=0,"",IF(A431="","Missing equipment ID",IF(COUNTIFS($N$8:$N$2007,"="&amp;N431)&gt;1,"Duplicate equipment ID",IF(B431="","Missing type",IF(COUNTIFS('Rules'!$G$7:$G$26,"="&amp;(SUBSTITUTE(SUBSTITUTE(SUBSTITUTE(SUBSTITUTE("type:"&amp;B431,"%","%25"),"~","%7E"),"*","%2A"),"?","%3F")))=0,"Unknown type",IF(COUNTIFS('Rules'!$G$7:$G$26,"="&amp;(SUBSTITUTE(SUBSTITUTE(SUBSTITUTE(SUBSTITUTE("type:"&amp;B431,"%","%25"),"~","%7E"),"*","%2A"),"?","%3F")))&gt;1,"Duplicate type",IF(INDEX('Rules'!$F$7:$F$26,MATCH(SUBSTITUTE(SUBSTITUTE(SUBSTITUTE(SUBSTITUTE("type:"&amp;B431,"%","%25"),"~","%7E"),"*","%2A"),"?","%3F"),'Rules'!$G$7:$G$26,0))&lt;&gt;"",INDEX('Rules'!$F$7:$F$26,MATCH(SUBSTITUTE(SUBSTITUTE(SUBSTITUTE(SUBSTITUTE("type:"&amp;B431,"%","%25"),"~","%7E"),"*","%2A"),"?","%3F"),'Rules'!$G$7:$G$26,0)),IF(AND(C431&lt;&gt;"",C431&lt;&gt;INDEX('Rules'!$B$7:$B$26,MATCH(SUBSTITUTE(SUBSTITUTE(SUBSTITUTE(SUBSTITUTE("type:"&amp;B431,"%","%25"),"~","%7E"),"*","%2A"),"?","%3F"),'Rules'!$G$7:$G$26,0))),"Unit mismatch",IF(IF(NOT(ISNUMBER(D431)),TRUE,OR(D431&lt;0,D431&gt;999999999,ROUND(D431,3)&lt;&gt;D431)),"Invalid current reading",IF(AND(E431&lt;&gt;"",IF(NOT(ISNUMBER(E431)),TRUE,OR(E431&lt;0,E431&gt;999999999,ROUND(E431,3)&lt;&gt;E431))),"Invalid previous reading",IF(IF(NOT(ISNUMBER(F431)),TRUE,OR(F431&lt;0,F431&gt;999999999,ROUND(F431,3)&lt;&gt;F431)),"Invalid last service",IF(AND(E431&lt;&gt;"",D431&lt;E431),"Decreased reading",IF(F431&gt;D431,"Last service above current","")))))))))))))</x:f>
      </x:c>
      <x:c r="L431" s="6" t="str">
        <x:f>IF(AND(NOT(COUNTA(A431:F431)=0),K431=""),INDEX('Rules'!$C$7:$C$26,MATCH(SUBSTITUTE(SUBSTITUTE(SUBSTITUTE(SUBSTITUTE("type:"&amp;B431,"%","%25"),"~","%7E"),"*","%2A"),"?","%3F"),'Rules'!$G$7:$G$26,0)),"")</x:f>
      </x:c>
      <x:c r="M431" s="6" t="str">
        <x:f>IF(AND(NOT(COUNTA(A431:F431)=0),K431=""),INDEX('Rules'!$D$7:$D$26,MATCH(SUBSTITUTE(SUBSTITUTE(SUBSTITUTE(SUBSTITUTE("type:"&amp;B431,"%","%25"),"~","%7E"),"*","%2A"),"?","%3F"),'Rules'!$G$7:$G$26,0)),"")</x:f>
      </x:c>
      <x:c r="N431" s="5" t="str">
        <x:f>IF(COUNTA(A431:F431)=0,"",SUBSTITUTE(SUBSTITUTE(SUBSTITUTE(SUBSTITUTE("id:"&amp;A431,"%","%25"),"~","%7E"),"*","%2A"),"?","%3F"))</x:f>
      </x:c>
    </x:row>
    <x:row r="432" ht="22" customHeight="1">
      <x:c r="A432" s="3"/>
      <x:c r="B432" s="3"/>
      <x:c r="C432" s="3"/>
      <x:c r="D432" s="4"/>
      <x:c r="E432" s="4"/>
      <x:c r="F432" s="4"/>
      <x:c r="G432" s="5" t="str">
        <x:f>IF(COUNTA(A432:F432)=0,"",IF(K432&lt;&gt;"","Review",IF(I432&lt;0,"Overdue",IF(I432=0,"Due now",IF(I432&lt;=M432,"Due soon","Not due")))))</x:f>
      </x:c>
      <x:c r="H432" s="5" t="str">
        <x:f>IF(OR(COUNTA(A432:F432)=0,COUNTIFS('Rules'!$G$7:$G$26,"="&amp;(SUBSTITUTE(SUBSTITUTE(SUBSTITUTE(SUBSTITUTE("type:"&amp;B432,"%","%25"),"~","%7E"),"*","%2A"),"?","%3F")))&lt;&gt;1),"",IF(OR(INDEX('Rules'!$B$7:$B$26,MATCH(SUBSTITUTE(SUBSTITUTE(SUBSTITUTE(SUBSTITUTE("type:"&amp;B432,"%","%25"),"~","%7E"),"*","%2A"),"?","%3F"),'Rules'!$G$7:$G$26,0))="hours",INDEX('Rules'!$B$7:$B$26,MATCH(SUBSTITUTE(SUBSTITUTE(SUBSTITUTE(SUBSTITUTE("type:"&amp;B432,"%","%25"),"~","%7E"),"*","%2A"),"?","%3F"),'Rules'!$G$7:$G$26,0))="km"),INDEX('Rules'!$B$7:$B$26,MATCH(SUBSTITUTE(SUBSTITUTE(SUBSTITUTE(SUBSTITUTE("type:"&amp;B432,"%","%25"),"~","%7E"),"*","%2A"),"?","%3F"),'Rules'!$G$7:$G$26,0)),""))</x:f>
      </x:c>
      <x:c r="I432" s="6" t="str">
        <x:f>IF(AND(NOT(COUNTA(A432:F432)=0),K432=""),ROUND(J432-D432,3),"")</x:f>
      </x:c>
      <x:c r="J432" s="6" t="str">
        <x:f>IF(AND(NOT(COUNTA(A432:F432)=0),K432=""),ROUND(F432+L432,3),"")</x:f>
      </x:c>
      <x:c r="K432" s="5" t="str">
        <x:f>IF(COUNTA(A432:F432)=0,"",IF(A432="","Missing equipment ID",IF(COUNTIFS($N$8:$N$2007,"="&amp;N432)&gt;1,"Duplicate equipment ID",IF(B432="","Missing type",IF(COUNTIFS('Rules'!$G$7:$G$26,"="&amp;(SUBSTITUTE(SUBSTITUTE(SUBSTITUTE(SUBSTITUTE("type:"&amp;B432,"%","%25"),"~","%7E"),"*","%2A"),"?","%3F")))=0,"Unknown type",IF(COUNTIFS('Rules'!$G$7:$G$26,"="&amp;(SUBSTITUTE(SUBSTITUTE(SUBSTITUTE(SUBSTITUTE("type:"&amp;B432,"%","%25"),"~","%7E"),"*","%2A"),"?","%3F")))&gt;1,"Duplicate type",IF(INDEX('Rules'!$F$7:$F$26,MATCH(SUBSTITUTE(SUBSTITUTE(SUBSTITUTE(SUBSTITUTE("type:"&amp;B432,"%","%25"),"~","%7E"),"*","%2A"),"?","%3F"),'Rules'!$G$7:$G$26,0))&lt;&gt;"",INDEX('Rules'!$F$7:$F$26,MATCH(SUBSTITUTE(SUBSTITUTE(SUBSTITUTE(SUBSTITUTE("type:"&amp;B432,"%","%25"),"~","%7E"),"*","%2A"),"?","%3F"),'Rules'!$G$7:$G$26,0)),IF(AND(C432&lt;&gt;"",C432&lt;&gt;INDEX('Rules'!$B$7:$B$26,MATCH(SUBSTITUTE(SUBSTITUTE(SUBSTITUTE(SUBSTITUTE("type:"&amp;B432,"%","%25"),"~","%7E"),"*","%2A"),"?","%3F"),'Rules'!$G$7:$G$26,0))),"Unit mismatch",IF(IF(NOT(ISNUMBER(D432)),TRUE,OR(D432&lt;0,D432&gt;999999999,ROUND(D432,3)&lt;&gt;D432)),"Invalid current reading",IF(AND(E432&lt;&gt;"",IF(NOT(ISNUMBER(E432)),TRUE,OR(E432&lt;0,E432&gt;999999999,ROUND(E432,3)&lt;&gt;E432))),"Invalid previous reading",IF(IF(NOT(ISNUMBER(F432)),TRUE,OR(F432&lt;0,F432&gt;999999999,ROUND(F432,3)&lt;&gt;F432)),"Invalid last service",IF(AND(E432&lt;&gt;"",D432&lt;E432),"Decreased reading",IF(F432&gt;D432,"Last service above current","")))))))))))))</x:f>
      </x:c>
      <x:c r="L432" s="6" t="str">
        <x:f>IF(AND(NOT(COUNTA(A432:F432)=0),K432=""),INDEX('Rules'!$C$7:$C$26,MATCH(SUBSTITUTE(SUBSTITUTE(SUBSTITUTE(SUBSTITUTE("type:"&amp;B432,"%","%25"),"~","%7E"),"*","%2A"),"?","%3F"),'Rules'!$G$7:$G$26,0)),"")</x:f>
      </x:c>
      <x:c r="M432" s="6" t="str">
        <x:f>IF(AND(NOT(COUNTA(A432:F432)=0),K432=""),INDEX('Rules'!$D$7:$D$26,MATCH(SUBSTITUTE(SUBSTITUTE(SUBSTITUTE(SUBSTITUTE("type:"&amp;B432,"%","%25"),"~","%7E"),"*","%2A"),"?","%3F"),'Rules'!$G$7:$G$26,0)),"")</x:f>
      </x:c>
      <x:c r="N432" s="5" t="str">
        <x:f>IF(COUNTA(A432:F432)=0,"",SUBSTITUTE(SUBSTITUTE(SUBSTITUTE(SUBSTITUTE("id:"&amp;A432,"%","%25"),"~","%7E"),"*","%2A"),"?","%3F"))</x:f>
      </x:c>
    </x:row>
    <x:row r="433" ht="22" customHeight="1">
      <x:c r="A433" s="3"/>
      <x:c r="B433" s="3"/>
      <x:c r="C433" s="3"/>
      <x:c r="D433" s="4"/>
      <x:c r="E433" s="4"/>
      <x:c r="F433" s="4"/>
      <x:c r="G433" s="5" t="str">
        <x:f>IF(COUNTA(A433:F433)=0,"",IF(K433&lt;&gt;"","Review",IF(I433&lt;0,"Overdue",IF(I433=0,"Due now",IF(I433&lt;=M433,"Due soon","Not due")))))</x:f>
      </x:c>
      <x:c r="H433" s="5" t="str">
        <x:f>IF(OR(COUNTA(A433:F433)=0,COUNTIFS('Rules'!$G$7:$G$26,"="&amp;(SUBSTITUTE(SUBSTITUTE(SUBSTITUTE(SUBSTITUTE("type:"&amp;B433,"%","%25"),"~","%7E"),"*","%2A"),"?","%3F")))&lt;&gt;1),"",IF(OR(INDEX('Rules'!$B$7:$B$26,MATCH(SUBSTITUTE(SUBSTITUTE(SUBSTITUTE(SUBSTITUTE("type:"&amp;B433,"%","%25"),"~","%7E"),"*","%2A"),"?","%3F"),'Rules'!$G$7:$G$26,0))="hours",INDEX('Rules'!$B$7:$B$26,MATCH(SUBSTITUTE(SUBSTITUTE(SUBSTITUTE(SUBSTITUTE("type:"&amp;B433,"%","%25"),"~","%7E"),"*","%2A"),"?","%3F"),'Rules'!$G$7:$G$26,0))="km"),INDEX('Rules'!$B$7:$B$26,MATCH(SUBSTITUTE(SUBSTITUTE(SUBSTITUTE(SUBSTITUTE("type:"&amp;B433,"%","%25"),"~","%7E"),"*","%2A"),"?","%3F"),'Rules'!$G$7:$G$26,0)),""))</x:f>
      </x:c>
      <x:c r="I433" s="6" t="str">
        <x:f>IF(AND(NOT(COUNTA(A433:F433)=0),K433=""),ROUND(J433-D433,3),"")</x:f>
      </x:c>
      <x:c r="J433" s="6" t="str">
        <x:f>IF(AND(NOT(COUNTA(A433:F433)=0),K433=""),ROUND(F433+L433,3),"")</x:f>
      </x:c>
      <x:c r="K433" s="5" t="str">
        <x:f>IF(COUNTA(A433:F433)=0,"",IF(A433="","Missing equipment ID",IF(COUNTIFS($N$8:$N$2007,"="&amp;N433)&gt;1,"Duplicate equipment ID",IF(B433="","Missing type",IF(COUNTIFS('Rules'!$G$7:$G$26,"="&amp;(SUBSTITUTE(SUBSTITUTE(SUBSTITUTE(SUBSTITUTE("type:"&amp;B433,"%","%25"),"~","%7E"),"*","%2A"),"?","%3F")))=0,"Unknown type",IF(COUNTIFS('Rules'!$G$7:$G$26,"="&amp;(SUBSTITUTE(SUBSTITUTE(SUBSTITUTE(SUBSTITUTE("type:"&amp;B433,"%","%25"),"~","%7E"),"*","%2A"),"?","%3F")))&gt;1,"Duplicate type",IF(INDEX('Rules'!$F$7:$F$26,MATCH(SUBSTITUTE(SUBSTITUTE(SUBSTITUTE(SUBSTITUTE("type:"&amp;B433,"%","%25"),"~","%7E"),"*","%2A"),"?","%3F"),'Rules'!$G$7:$G$26,0))&lt;&gt;"",INDEX('Rules'!$F$7:$F$26,MATCH(SUBSTITUTE(SUBSTITUTE(SUBSTITUTE(SUBSTITUTE("type:"&amp;B433,"%","%25"),"~","%7E"),"*","%2A"),"?","%3F"),'Rules'!$G$7:$G$26,0)),IF(AND(C433&lt;&gt;"",C433&lt;&gt;INDEX('Rules'!$B$7:$B$26,MATCH(SUBSTITUTE(SUBSTITUTE(SUBSTITUTE(SUBSTITUTE("type:"&amp;B433,"%","%25"),"~","%7E"),"*","%2A"),"?","%3F"),'Rules'!$G$7:$G$26,0))),"Unit mismatch",IF(IF(NOT(ISNUMBER(D433)),TRUE,OR(D433&lt;0,D433&gt;999999999,ROUND(D433,3)&lt;&gt;D433)),"Invalid current reading",IF(AND(E433&lt;&gt;"",IF(NOT(ISNUMBER(E433)),TRUE,OR(E433&lt;0,E433&gt;999999999,ROUND(E433,3)&lt;&gt;E433))),"Invalid previous reading",IF(IF(NOT(ISNUMBER(F433)),TRUE,OR(F433&lt;0,F433&gt;999999999,ROUND(F433,3)&lt;&gt;F433)),"Invalid last service",IF(AND(E433&lt;&gt;"",D433&lt;E433),"Decreased reading",IF(F433&gt;D433,"Last service above current","")))))))))))))</x:f>
      </x:c>
      <x:c r="L433" s="6" t="str">
        <x:f>IF(AND(NOT(COUNTA(A433:F433)=0),K433=""),INDEX('Rules'!$C$7:$C$26,MATCH(SUBSTITUTE(SUBSTITUTE(SUBSTITUTE(SUBSTITUTE("type:"&amp;B433,"%","%25"),"~","%7E"),"*","%2A"),"?","%3F"),'Rules'!$G$7:$G$26,0)),"")</x:f>
      </x:c>
      <x:c r="M433" s="6" t="str">
        <x:f>IF(AND(NOT(COUNTA(A433:F433)=0),K433=""),INDEX('Rules'!$D$7:$D$26,MATCH(SUBSTITUTE(SUBSTITUTE(SUBSTITUTE(SUBSTITUTE("type:"&amp;B433,"%","%25"),"~","%7E"),"*","%2A"),"?","%3F"),'Rules'!$G$7:$G$26,0)),"")</x:f>
      </x:c>
      <x:c r="N433" s="5" t="str">
        <x:f>IF(COUNTA(A433:F433)=0,"",SUBSTITUTE(SUBSTITUTE(SUBSTITUTE(SUBSTITUTE("id:"&amp;A433,"%","%25"),"~","%7E"),"*","%2A"),"?","%3F"))</x:f>
      </x:c>
    </x:row>
    <x:row r="434" ht="22" customHeight="1">
      <x:c r="A434" s="3"/>
      <x:c r="B434" s="3"/>
      <x:c r="C434" s="3"/>
      <x:c r="D434" s="4"/>
      <x:c r="E434" s="4"/>
      <x:c r="F434" s="4"/>
      <x:c r="G434" s="5" t="str">
        <x:f>IF(COUNTA(A434:F434)=0,"",IF(K434&lt;&gt;"","Review",IF(I434&lt;0,"Overdue",IF(I434=0,"Due now",IF(I434&lt;=M434,"Due soon","Not due")))))</x:f>
      </x:c>
      <x:c r="H434" s="5" t="str">
        <x:f>IF(OR(COUNTA(A434:F434)=0,COUNTIFS('Rules'!$G$7:$G$26,"="&amp;(SUBSTITUTE(SUBSTITUTE(SUBSTITUTE(SUBSTITUTE("type:"&amp;B434,"%","%25"),"~","%7E"),"*","%2A"),"?","%3F")))&lt;&gt;1),"",IF(OR(INDEX('Rules'!$B$7:$B$26,MATCH(SUBSTITUTE(SUBSTITUTE(SUBSTITUTE(SUBSTITUTE("type:"&amp;B434,"%","%25"),"~","%7E"),"*","%2A"),"?","%3F"),'Rules'!$G$7:$G$26,0))="hours",INDEX('Rules'!$B$7:$B$26,MATCH(SUBSTITUTE(SUBSTITUTE(SUBSTITUTE(SUBSTITUTE("type:"&amp;B434,"%","%25"),"~","%7E"),"*","%2A"),"?","%3F"),'Rules'!$G$7:$G$26,0))="km"),INDEX('Rules'!$B$7:$B$26,MATCH(SUBSTITUTE(SUBSTITUTE(SUBSTITUTE(SUBSTITUTE("type:"&amp;B434,"%","%25"),"~","%7E"),"*","%2A"),"?","%3F"),'Rules'!$G$7:$G$26,0)),""))</x:f>
      </x:c>
      <x:c r="I434" s="6" t="str">
        <x:f>IF(AND(NOT(COUNTA(A434:F434)=0),K434=""),ROUND(J434-D434,3),"")</x:f>
      </x:c>
      <x:c r="J434" s="6" t="str">
        <x:f>IF(AND(NOT(COUNTA(A434:F434)=0),K434=""),ROUND(F434+L434,3),"")</x:f>
      </x:c>
      <x:c r="K434" s="5" t="str">
        <x:f>IF(COUNTA(A434:F434)=0,"",IF(A434="","Missing equipment ID",IF(COUNTIFS($N$8:$N$2007,"="&amp;N434)&gt;1,"Duplicate equipment ID",IF(B434="","Missing type",IF(COUNTIFS('Rules'!$G$7:$G$26,"="&amp;(SUBSTITUTE(SUBSTITUTE(SUBSTITUTE(SUBSTITUTE("type:"&amp;B434,"%","%25"),"~","%7E"),"*","%2A"),"?","%3F")))=0,"Unknown type",IF(COUNTIFS('Rules'!$G$7:$G$26,"="&amp;(SUBSTITUTE(SUBSTITUTE(SUBSTITUTE(SUBSTITUTE("type:"&amp;B434,"%","%25"),"~","%7E"),"*","%2A"),"?","%3F")))&gt;1,"Duplicate type",IF(INDEX('Rules'!$F$7:$F$26,MATCH(SUBSTITUTE(SUBSTITUTE(SUBSTITUTE(SUBSTITUTE("type:"&amp;B434,"%","%25"),"~","%7E"),"*","%2A"),"?","%3F"),'Rules'!$G$7:$G$26,0))&lt;&gt;"",INDEX('Rules'!$F$7:$F$26,MATCH(SUBSTITUTE(SUBSTITUTE(SUBSTITUTE(SUBSTITUTE("type:"&amp;B434,"%","%25"),"~","%7E"),"*","%2A"),"?","%3F"),'Rules'!$G$7:$G$26,0)),IF(AND(C434&lt;&gt;"",C434&lt;&gt;INDEX('Rules'!$B$7:$B$26,MATCH(SUBSTITUTE(SUBSTITUTE(SUBSTITUTE(SUBSTITUTE("type:"&amp;B434,"%","%25"),"~","%7E"),"*","%2A"),"?","%3F"),'Rules'!$G$7:$G$26,0))),"Unit mismatch",IF(IF(NOT(ISNUMBER(D434)),TRUE,OR(D434&lt;0,D434&gt;999999999,ROUND(D434,3)&lt;&gt;D434)),"Invalid current reading",IF(AND(E434&lt;&gt;"",IF(NOT(ISNUMBER(E434)),TRUE,OR(E434&lt;0,E434&gt;999999999,ROUND(E434,3)&lt;&gt;E434))),"Invalid previous reading",IF(IF(NOT(ISNUMBER(F434)),TRUE,OR(F434&lt;0,F434&gt;999999999,ROUND(F434,3)&lt;&gt;F434)),"Invalid last service",IF(AND(E434&lt;&gt;"",D434&lt;E434),"Decreased reading",IF(F434&gt;D434,"Last service above current","")))))))))))))</x:f>
      </x:c>
      <x:c r="L434" s="6" t="str">
        <x:f>IF(AND(NOT(COUNTA(A434:F434)=0),K434=""),INDEX('Rules'!$C$7:$C$26,MATCH(SUBSTITUTE(SUBSTITUTE(SUBSTITUTE(SUBSTITUTE("type:"&amp;B434,"%","%25"),"~","%7E"),"*","%2A"),"?","%3F"),'Rules'!$G$7:$G$26,0)),"")</x:f>
      </x:c>
      <x:c r="M434" s="6" t="str">
        <x:f>IF(AND(NOT(COUNTA(A434:F434)=0),K434=""),INDEX('Rules'!$D$7:$D$26,MATCH(SUBSTITUTE(SUBSTITUTE(SUBSTITUTE(SUBSTITUTE("type:"&amp;B434,"%","%25"),"~","%7E"),"*","%2A"),"?","%3F"),'Rules'!$G$7:$G$26,0)),"")</x:f>
      </x:c>
      <x:c r="N434" s="5" t="str">
        <x:f>IF(COUNTA(A434:F434)=0,"",SUBSTITUTE(SUBSTITUTE(SUBSTITUTE(SUBSTITUTE("id:"&amp;A434,"%","%25"),"~","%7E"),"*","%2A"),"?","%3F"))</x:f>
      </x:c>
    </x:row>
    <x:row r="435" ht="22" customHeight="1">
      <x:c r="A435" s="3"/>
      <x:c r="B435" s="3"/>
      <x:c r="C435" s="3"/>
      <x:c r="D435" s="4"/>
      <x:c r="E435" s="4"/>
      <x:c r="F435" s="4"/>
      <x:c r="G435" s="5" t="str">
        <x:f>IF(COUNTA(A435:F435)=0,"",IF(K435&lt;&gt;"","Review",IF(I435&lt;0,"Overdue",IF(I435=0,"Due now",IF(I435&lt;=M435,"Due soon","Not due")))))</x:f>
      </x:c>
      <x:c r="H435" s="5" t="str">
        <x:f>IF(OR(COUNTA(A435:F435)=0,COUNTIFS('Rules'!$G$7:$G$26,"="&amp;(SUBSTITUTE(SUBSTITUTE(SUBSTITUTE(SUBSTITUTE("type:"&amp;B435,"%","%25"),"~","%7E"),"*","%2A"),"?","%3F")))&lt;&gt;1),"",IF(OR(INDEX('Rules'!$B$7:$B$26,MATCH(SUBSTITUTE(SUBSTITUTE(SUBSTITUTE(SUBSTITUTE("type:"&amp;B435,"%","%25"),"~","%7E"),"*","%2A"),"?","%3F"),'Rules'!$G$7:$G$26,0))="hours",INDEX('Rules'!$B$7:$B$26,MATCH(SUBSTITUTE(SUBSTITUTE(SUBSTITUTE(SUBSTITUTE("type:"&amp;B435,"%","%25"),"~","%7E"),"*","%2A"),"?","%3F"),'Rules'!$G$7:$G$26,0))="km"),INDEX('Rules'!$B$7:$B$26,MATCH(SUBSTITUTE(SUBSTITUTE(SUBSTITUTE(SUBSTITUTE("type:"&amp;B435,"%","%25"),"~","%7E"),"*","%2A"),"?","%3F"),'Rules'!$G$7:$G$26,0)),""))</x:f>
      </x:c>
      <x:c r="I435" s="6" t="str">
        <x:f>IF(AND(NOT(COUNTA(A435:F435)=0),K435=""),ROUND(J435-D435,3),"")</x:f>
      </x:c>
      <x:c r="J435" s="6" t="str">
        <x:f>IF(AND(NOT(COUNTA(A435:F435)=0),K435=""),ROUND(F435+L435,3),"")</x:f>
      </x:c>
      <x:c r="K435" s="5" t="str">
        <x:f>IF(COUNTA(A435:F435)=0,"",IF(A435="","Missing equipment ID",IF(COUNTIFS($N$8:$N$2007,"="&amp;N435)&gt;1,"Duplicate equipment ID",IF(B435="","Missing type",IF(COUNTIFS('Rules'!$G$7:$G$26,"="&amp;(SUBSTITUTE(SUBSTITUTE(SUBSTITUTE(SUBSTITUTE("type:"&amp;B435,"%","%25"),"~","%7E"),"*","%2A"),"?","%3F")))=0,"Unknown type",IF(COUNTIFS('Rules'!$G$7:$G$26,"="&amp;(SUBSTITUTE(SUBSTITUTE(SUBSTITUTE(SUBSTITUTE("type:"&amp;B435,"%","%25"),"~","%7E"),"*","%2A"),"?","%3F")))&gt;1,"Duplicate type",IF(INDEX('Rules'!$F$7:$F$26,MATCH(SUBSTITUTE(SUBSTITUTE(SUBSTITUTE(SUBSTITUTE("type:"&amp;B435,"%","%25"),"~","%7E"),"*","%2A"),"?","%3F"),'Rules'!$G$7:$G$26,0))&lt;&gt;"",INDEX('Rules'!$F$7:$F$26,MATCH(SUBSTITUTE(SUBSTITUTE(SUBSTITUTE(SUBSTITUTE("type:"&amp;B435,"%","%25"),"~","%7E"),"*","%2A"),"?","%3F"),'Rules'!$G$7:$G$26,0)),IF(AND(C435&lt;&gt;"",C435&lt;&gt;INDEX('Rules'!$B$7:$B$26,MATCH(SUBSTITUTE(SUBSTITUTE(SUBSTITUTE(SUBSTITUTE("type:"&amp;B435,"%","%25"),"~","%7E"),"*","%2A"),"?","%3F"),'Rules'!$G$7:$G$26,0))),"Unit mismatch",IF(IF(NOT(ISNUMBER(D435)),TRUE,OR(D435&lt;0,D435&gt;999999999,ROUND(D435,3)&lt;&gt;D435)),"Invalid current reading",IF(AND(E435&lt;&gt;"",IF(NOT(ISNUMBER(E435)),TRUE,OR(E435&lt;0,E435&gt;999999999,ROUND(E435,3)&lt;&gt;E435))),"Invalid previous reading",IF(IF(NOT(ISNUMBER(F435)),TRUE,OR(F435&lt;0,F435&gt;999999999,ROUND(F435,3)&lt;&gt;F435)),"Invalid last service",IF(AND(E435&lt;&gt;"",D435&lt;E435),"Decreased reading",IF(F435&gt;D435,"Last service above current","")))))))))))))</x:f>
      </x:c>
      <x:c r="L435" s="6" t="str">
        <x:f>IF(AND(NOT(COUNTA(A435:F435)=0),K435=""),INDEX('Rules'!$C$7:$C$26,MATCH(SUBSTITUTE(SUBSTITUTE(SUBSTITUTE(SUBSTITUTE("type:"&amp;B435,"%","%25"),"~","%7E"),"*","%2A"),"?","%3F"),'Rules'!$G$7:$G$26,0)),"")</x:f>
      </x:c>
      <x:c r="M435" s="6" t="str">
        <x:f>IF(AND(NOT(COUNTA(A435:F435)=0),K435=""),INDEX('Rules'!$D$7:$D$26,MATCH(SUBSTITUTE(SUBSTITUTE(SUBSTITUTE(SUBSTITUTE("type:"&amp;B435,"%","%25"),"~","%7E"),"*","%2A"),"?","%3F"),'Rules'!$G$7:$G$26,0)),"")</x:f>
      </x:c>
      <x:c r="N435" s="5" t="str">
        <x:f>IF(COUNTA(A435:F435)=0,"",SUBSTITUTE(SUBSTITUTE(SUBSTITUTE(SUBSTITUTE("id:"&amp;A435,"%","%25"),"~","%7E"),"*","%2A"),"?","%3F"))</x:f>
      </x:c>
    </x:row>
    <x:row r="436" ht="22" customHeight="1">
      <x:c r="A436" s="3"/>
      <x:c r="B436" s="3"/>
      <x:c r="C436" s="3"/>
      <x:c r="D436" s="4"/>
      <x:c r="E436" s="4"/>
      <x:c r="F436" s="4"/>
      <x:c r="G436" s="5" t="str">
        <x:f>IF(COUNTA(A436:F436)=0,"",IF(K436&lt;&gt;"","Review",IF(I436&lt;0,"Overdue",IF(I436=0,"Due now",IF(I436&lt;=M436,"Due soon","Not due")))))</x:f>
      </x:c>
      <x:c r="H436" s="5" t="str">
        <x:f>IF(OR(COUNTA(A436:F436)=0,COUNTIFS('Rules'!$G$7:$G$26,"="&amp;(SUBSTITUTE(SUBSTITUTE(SUBSTITUTE(SUBSTITUTE("type:"&amp;B436,"%","%25"),"~","%7E"),"*","%2A"),"?","%3F")))&lt;&gt;1),"",IF(OR(INDEX('Rules'!$B$7:$B$26,MATCH(SUBSTITUTE(SUBSTITUTE(SUBSTITUTE(SUBSTITUTE("type:"&amp;B436,"%","%25"),"~","%7E"),"*","%2A"),"?","%3F"),'Rules'!$G$7:$G$26,0))="hours",INDEX('Rules'!$B$7:$B$26,MATCH(SUBSTITUTE(SUBSTITUTE(SUBSTITUTE(SUBSTITUTE("type:"&amp;B436,"%","%25"),"~","%7E"),"*","%2A"),"?","%3F"),'Rules'!$G$7:$G$26,0))="km"),INDEX('Rules'!$B$7:$B$26,MATCH(SUBSTITUTE(SUBSTITUTE(SUBSTITUTE(SUBSTITUTE("type:"&amp;B436,"%","%25"),"~","%7E"),"*","%2A"),"?","%3F"),'Rules'!$G$7:$G$26,0)),""))</x:f>
      </x:c>
      <x:c r="I436" s="6" t="str">
        <x:f>IF(AND(NOT(COUNTA(A436:F436)=0),K436=""),ROUND(J436-D436,3),"")</x:f>
      </x:c>
      <x:c r="J436" s="6" t="str">
        <x:f>IF(AND(NOT(COUNTA(A436:F436)=0),K436=""),ROUND(F436+L436,3),"")</x:f>
      </x:c>
      <x:c r="K436" s="5" t="str">
        <x:f>IF(COUNTA(A436:F436)=0,"",IF(A436="","Missing equipment ID",IF(COUNTIFS($N$8:$N$2007,"="&amp;N436)&gt;1,"Duplicate equipment ID",IF(B436="","Missing type",IF(COUNTIFS('Rules'!$G$7:$G$26,"="&amp;(SUBSTITUTE(SUBSTITUTE(SUBSTITUTE(SUBSTITUTE("type:"&amp;B436,"%","%25"),"~","%7E"),"*","%2A"),"?","%3F")))=0,"Unknown type",IF(COUNTIFS('Rules'!$G$7:$G$26,"="&amp;(SUBSTITUTE(SUBSTITUTE(SUBSTITUTE(SUBSTITUTE("type:"&amp;B436,"%","%25"),"~","%7E"),"*","%2A"),"?","%3F")))&gt;1,"Duplicate type",IF(INDEX('Rules'!$F$7:$F$26,MATCH(SUBSTITUTE(SUBSTITUTE(SUBSTITUTE(SUBSTITUTE("type:"&amp;B436,"%","%25"),"~","%7E"),"*","%2A"),"?","%3F"),'Rules'!$G$7:$G$26,0))&lt;&gt;"",INDEX('Rules'!$F$7:$F$26,MATCH(SUBSTITUTE(SUBSTITUTE(SUBSTITUTE(SUBSTITUTE("type:"&amp;B436,"%","%25"),"~","%7E"),"*","%2A"),"?","%3F"),'Rules'!$G$7:$G$26,0)),IF(AND(C436&lt;&gt;"",C436&lt;&gt;INDEX('Rules'!$B$7:$B$26,MATCH(SUBSTITUTE(SUBSTITUTE(SUBSTITUTE(SUBSTITUTE("type:"&amp;B436,"%","%25"),"~","%7E"),"*","%2A"),"?","%3F"),'Rules'!$G$7:$G$26,0))),"Unit mismatch",IF(IF(NOT(ISNUMBER(D436)),TRUE,OR(D436&lt;0,D436&gt;999999999,ROUND(D436,3)&lt;&gt;D436)),"Invalid current reading",IF(AND(E436&lt;&gt;"",IF(NOT(ISNUMBER(E436)),TRUE,OR(E436&lt;0,E436&gt;999999999,ROUND(E436,3)&lt;&gt;E436))),"Invalid previous reading",IF(IF(NOT(ISNUMBER(F436)),TRUE,OR(F436&lt;0,F436&gt;999999999,ROUND(F436,3)&lt;&gt;F436)),"Invalid last service",IF(AND(E436&lt;&gt;"",D436&lt;E436),"Decreased reading",IF(F436&gt;D436,"Last service above current","")))))))))))))</x:f>
      </x:c>
      <x:c r="L436" s="6" t="str">
        <x:f>IF(AND(NOT(COUNTA(A436:F436)=0),K436=""),INDEX('Rules'!$C$7:$C$26,MATCH(SUBSTITUTE(SUBSTITUTE(SUBSTITUTE(SUBSTITUTE("type:"&amp;B436,"%","%25"),"~","%7E"),"*","%2A"),"?","%3F"),'Rules'!$G$7:$G$26,0)),"")</x:f>
      </x:c>
      <x:c r="M436" s="6" t="str">
        <x:f>IF(AND(NOT(COUNTA(A436:F436)=0),K436=""),INDEX('Rules'!$D$7:$D$26,MATCH(SUBSTITUTE(SUBSTITUTE(SUBSTITUTE(SUBSTITUTE("type:"&amp;B436,"%","%25"),"~","%7E"),"*","%2A"),"?","%3F"),'Rules'!$G$7:$G$26,0)),"")</x:f>
      </x:c>
      <x:c r="N436" s="5" t="str">
        <x:f>IF(COUNTA(A436:F436)=0,"",SUBSTITUTE(SUBSTITUTE(SUBSTITUTE(SUBSTITUTE("id:"&amp;A436,"%","%25"),"~","%7E"),"*","%2A"),"?","%3F"))</x:f>
      </x:c>
    </x:row>
    <x:row r="437" ht="22" customHeight="1">
      <x:c r="A437" s="3"/>
      <x:c r="B437" s="3"/>
      <x:c r="C437" s="3"/>
      <x:c r="D437" s="4"/>
      <x:c r="E437" s="4"/>
      <x:c r="F437" s="4"/>
      <x:c r="G437" s="5" t="str">
        <x:f>IF(COUNTA(A437:F437)=0,"",IF(K437&lt;&gt;"","Review",IF(I437&lt;0,"Overdue",IF(I437=0,"Due now",IF(I437&lt;=M437,"Due soon","Not due")))))</x:f>
      </x:c>
      <x:c r="H437" s="5" t="str">
        <x:f>IF(OR(COUNTA(A437:F437)=0,COUNTIFS('Rules'!$G$7:$G$26,"="&amp;(SUBSTITUTE(SUBSTITUTE(SUBSTITUTE(SUBSTITUTE("type:"&amp;B437,"%","%25"),"~","%7E"),"*","%2A"),"?","%3F")))&lt;&gt;1),"",IF(OR(INDEX('Rules'!$B$7:$B$26,MATCH(SUBSTITUTE(SUBSTITUTE(SUBSTITUTE(SUBSTITUTE("type:"&amp;B437,"%","%25"),"~","%7E"),"*","%2A"),"?","%3F"),'Rules'!$G$7:$G$26,0))="hours",INDEX('Rules'!$B$7:$B$26,MATCH(SUBSTITUTE(SUBSTITUTE(SUBSTITUTE(SUBSTITUTE("type:"&amp;B437,"%","%25"),"~","%7E"),"*","%2A"),"?","%3F"),'Rules'!$G$7:$G$26,0))="km"),INDEX('Rules'!$B$7:$B$26,MATCH(SUBSTITUTE(SUBSTITUTE(SUBSTITUTE(SUBSTITUTE("type:"&amp;B437,"%","%25"),"~","%7E"),"*","%2A"),"?","%3F"),'Rules'!$G$7:$G$26,0)),""))</x:f>
      </x:c>
      <x:c r="I437" s="6" t="str">
        <x:f>IF(AND(NOT(COUNTA(A437:F437)=0),K437=""),ROUND(J437-D437,3),"")</x:f>
      </x:c>
      <x:c r="J437" s="6" t="str">
        <x:f>IF(AND(NOT(COUNTA(A437:F437)=0),K437=""),ROUND(F437+L437,3),"")</x:f>
      </x:c>
      <x:c r="K437" s="5" t="str">
        <x:f>IF(COUNTA(A437:F437)=0,"",IF(A437="","Missing equipment ID",IF(COUNTIFS($N$8:$N$2007,"="&amp;N437)&gt;1,"Duplicate equipment ID",IF(B437="","Missing type",IF(COUNTIFS('Rules'!$G$7:$G$26,"="&amp;(SUBSTITUTE(SUBSTITUTE(SUBSTITUTE(SUBSTITUTE("type:"&amp;B437,"%","%25"),"~","%7E"),"*","%2A"),"?","%3F")))=0,"Unknown type",IF(COUNTIFS('Rules'!$G$7:$G$26,"="&amp;(SUBSTITUTE(SUBSTITUTE(SUBSTITUTE(SUBSTITUTE("type:"&amp;B437,"%","%25"),"~","%7E"),"*","%2A"),"?","%3F")))&gt;1,"Duplicate type",IF(INDEX('Rules'!$F$7:$F$26,MATCH(SUBSTITUTE(SUBSTITUTE(SUBSTITUTE(SUBSTITUTE("type:"&amp;B437,"%","%25"),"~","%7E"),"*","%2A"),"?","%3F"),'Rules'!$G$7:$G$26,0))&lt;&gt;"",INDEX('Rules'!$F$7:$F$26,MATCH(SUBSTITUTE(SUBSTITUTE(SUBSTITUTE(SUBSTITUTE("type:"&amp;B437,"%","%25"),"~","%7E"),"*","%2A"),"?","%3F"),'Rules'!$G$7:$G$26,0)),IF(AND(C437&lt;&gt;"",C437&lt;&gt;INDEX('Rules'!$B$7:$B$26,MATCH(SUBSTITUTE(SUBSTITUTE(SUBSTITUTE(SUBSTITUTE("type:"&amp;B437,"%","%25"),"~","%7E"),"*","%2A"),"?","%3F"),'Rules'!$G$7:$G$26,0))),"Unit mismatch",IF(IF(NOT(ISNUMBER(D437)),TRUE,OR(D437&lt;0,D437&gt;999999999,ROUND(D437,3)&lt;&gt;D437)),"Invalid current reading",IF(AND(E437&lt;&gt;"",IF(NOT(ISNUMBER(E437)),TRUE,OR(E437&lt;0,E437&gt;999999999,ROUND(E437,3)&lt;&gt;E437))),"Invalid previous reading",IF(IF(NOT(ISNUMBER(F437)),TRUE,OR(F437&lt;0,F437&gt;999999999,ROUND(F437,3)&lt;&gt;F437)),"Invalid last service",IF(AND(E437&lt;&gt;"",D437&lt;E437),"Decreased reading",IF(F437&gt;D437,"Last service above current","")))))))))))))</x:f>
      </x:c>
      <x:c r="L437" s="6" t="str">
        <x:f>IF(AND(NOT(COUNTA(A437:F437)=0),K437=""),INDEX('Rules'!$C$7:$C$26,MATCH(SUBSTITUTE(SUBSTITUTE(SUBSTITUTE(SUBSTITUTE("type:"&amp;B437,"%","%25"),"~","%7E"),"*","%2A"),"?","%3F"),'Rules'!$G$7:$G$26,0)),"")</x:f>
      </x:c>
      <x:c r="M437" s="6" t="str">
        <x:f>IF(AND(NOT(COUNTA(A437:F437)=0),K437=""),INDEX('Rules'!$D$7:$D$26,MATCH(SUBSTITUTE(SUBSTITUTE(SUBSTITUTE(SUBSTITUTE("type:"&amp;B437,"%","%25"),"~","%7E"),"*","%2A"),"?","%3F"),'Rules'!$G$7:$G$26,0)),"")</x:f>
      </x:c>
      <x:c r="N437" s="5" t="str">
        <x:f>IF(COUNTA(A437:F437)=0,"",SUBSTITUTE(SUBSTITUTE(SUBSTITUTE(SUBSTITUTE("id:"&amp;A437,"%","%25"),"~","%7E"),"*","%2A"),"?","%3F"))</x:f>
      </x:c>
    </x:row>
    <x:row r="438" ht="22" customHeight="1">
      <x:c r="A438" s="3"/>
      <x:c r="B438" s="3"/>
      <x:c r="C438" s="3"/>
      <x:c r="D438" s="4"/>
      <x:c r="E438" s="4"/>
      <x:c r="F438" s="4"/>
      <x:c r="G438" s="5" t="str">
        <x:f>IF(COUNTA(A438:F438)=0,"",IF(K438&lt;&gt;"","Review",IF(I438&lt;0,"Overdue",IF(I438=0,"Due now",IF(I438&lt;=M438,"Due soon","Not due")))))</x:f>
      </x:c>
      <x:c r="H438" s="5" t="str">
        <x:f>IF(OR(COUNTA(A438:F438)=0,COUNTIFS('Rules'!$G$7:$G$26,"="&amp;(SUBSTITUTE(SUBSTITUTE(SUBSTITUTE(SUBSTITUTE("type:"&amp;B438,"%","%25"),"~","%7E"),"*","%2A"),"?","%3F")))&lt;&gt;1),"",IF(OR(INDEX('Rules'!$B$7:$B$26,MATCH(SUBSTITUTE(SUBSTITUTE(SUBSTITUTE(SUBSTITUTE("type:"&amp;B438,"%","%25"),"~","%7E"),"*","%2A"),"?","%3F"),'Rules'!$G$7:$G$26,0))="hours",INDEX('Rules'!$B$7:$B$26,MATCH(SUBSTITUTE(SUBSTITUTE(SUBSTITUTE(SUBSTITUTE("type:"&amp;B438,"%","%25"),"~","%7E"),"*","%2A"),"?","%3F"),'Rules'!$G$7:$G$26,0))="km"),INDEX('Rules'!$B$7:$B$26,MATCH(SUBSTITUTE(SUBSTITUTE(SUBSTITUTE(SUBSTITUTE("type:"&amp;B438,"%","%25"),"~","%7E"),"*","%2A"),"?","%3F"),'Rules'!$G$7:$G$26,0)),""))</x:f>
      </x:c>
      <x:c r="I438" s="6" t="str">
        <x:f>IF(AND(NOT(COUNTA(A438:F438)=0),K438=""),ROUND(J438-D438,3),"")</x:f>
      </x:c>
      <x:c r="J438" s="6" t="str">
        <x:f>IF(AND(NOT(COUNTA(A438:F438)=0),K438=""),ROUND(F438+L438,3),"")</x:f>
      </x:c>
      <x:c r="K438" s="5" t="str">
        <x:f>IF(COUNTA(A438:F438)=0,"",IF(A438="","Missing equipment ID",IF(COUNTIFS($N$8:$N$2007,"="&amp;N438)&gt;1,"Duplicate equipment ID",IF(B438="","Missing type",IF(COUNTIFS('Rules'!$G$7:$G$26,"="&amp;(SUBSTITUTE(SUBSTITUTE(SUBSTITUTE(SUBSTITUTE("type:"&amp;B438,"%","%25"),"~","%7E"),"*","%2A"),"?","%3F")))=0,"Unknown type",IF(COUNTIFS('Rules'!$G$7:$G$26,"="&amp;(SUBSTITUTE(SUBSTITUTE(SUBSTITUTE(SUBSTITUTE("type:"&amp;B438,"%","%25"),"~","%7E"),"*","%2A"),"?","%3F")))&gt;1,"Duplicate type",IF(INDEX('Rules'!$F$7:$F$26,MATCH(SUBSTITUTE(SUBSTITUTE(SUBSTITUTE(SUBSTITUTE("type:"&amp;B438,"%","%25"),"~","%7E"),"*","%2A"),"?","%3F"),'Rules'!$G$7:$G$26,0))&lt;&gt;"",INDEX('Rules'!$F$7:$F$26,MATCH(SUBSTITUTE(SUBSTITUTE(SUBSTITUTE(SUBSTITUTE("type:"&amp;B438,"%","%25"),"~","%7E"),"*","%2A"),"?","%3F"),'Rules'!$G$7:$G$26,0)),IF(AND(C438&lt;&gt;"",C438&lt;&gt;INDEX('Rules'!$B$7:$B$26,MATCH(SUBSTITUTE(SUBSTITUTE(SUBSTITUTE(SUBSTITUTE("type:"&amp;B438,"%","%25"),"~","%7E"),"*","%2A"),"?","%3F"),'Rules'!$G$7:$G$26,0))),"Unit mismatch",IF(IF(NOT(ISNUMBER(D438)),TRUE,OR(D438&lt;0,D438&gt;999999999,ROUND(D438,3)&lt;&gt;D438)),"Invalid current reading",IF(AND(E438&lt;&gt;"",IF(NOT(ISNUMBER(E438)),TRUE,OR(E438&lt;0,E438&gt;999999999,ROUND(E438,3)&lt;&gt;E438))),"Invalid previous reading",IF(IF(NOT(ISNUMBER(F438)),TRUE,OR(F438&lt;0,F438&gt;999999999,ROUND(F438,3)&lt;&gt;F438)),"Invalid last service",IF(AND(E438&lt;&gt;"",D438&lt;E438),"Decreased reading",IF(F438&gt;D438,"Last service above current","")))))))))))))</x:f>
      </x:c>
      <x:c r="L438" s="6" t="str">
        <x:f>IF(AND(NOT(COUNTA(A438:F438)=0),K438=""),INDEX('Rules'!$C$7:$C$26,MATCH(SUBSTITUTE(SUBSTITUTE(SUBSTITUTE(SUBSTITUTE("type:"&amp;B438,"%","%25"),"~","%7E"),"*","%2A"),"?","%3F"),'Rules'!$G$7:$G$26,0)),"")</x:f>
      </x:c>
      <x:c r="M438" s="6" t="str">
        <x:f>IF(AND(NOT(COUNTA(A438:F438)=0),K438=""),INDEX('Rules'!$D$7:$D$26,MATCH(SUBSTITUTE(SUBSTITUTE(SUBSTITUTE(SUBSTITUTE("type:"&amp;B438,"%","%25"),"~","%7E"),"*","%2A"),"?","%3F"),'Rules'!$G$7:$G$26,0)),"")</x:f>
      </x:c>
      <x:c r="N438" s="5" t="str">
        <x:f>IF(COUNTA(A438:F438)=0,"",SUBSTITUTE(SUBSTITUTE(SUBSTITUTE(SUBSTITUTE("id:"&amp;A438,"%","%25"),"~","%7E"),"*","%2A"),"?","%3F"))</x:f>
      </x:c>
    </x:row>
    <x:row r="439" ht="22" customHeight="1">
      <x:c r="A439" s="3"/>
      <x:c r="B439" s="3"/>
      <x:c r="C439" s="3"/>
      <x:c r="D439" s="4"/>
      <x:c r="E439" s="4"/>
      <x:c r="F439" s="4"/>
      <x:c r="G439" s="5" t="str">
        <x:f>IF(COUNTA(A439:F439)=0,"",IF(K439&lt;&gt;"","Review",IF(I439&lt;0,"Overdue",IF(I439=0,"Due now",IF(I439&lt;=M439,"Due soon","Not due")))))</x:f>
      </x:c>
      <x:c r="H439" s="5" t="str">
        <x:f>IF(OR(COUNTA(A439:F439)=0,COUNTIFS('Rules'!$G$7:$G$26,"="&amp;(SUBSTITUTE(SUBSTITUTE(SUBSTITUTE(SUBSTITUTE("type:"&amp;B439,"%","%25"),"~","%7E"),"*","%2A"),"?","%3F")))&lt;&gt;1),"",IF(OR(INDEX('Rules'!$B$7:$B$26,MATCH(SUBSTITUTE(SUBSTITUTE(SUBSTITUTE(SUBSTITUTE("type:"&amp;B439,"%","%25"),"~","%7E"),"*","%2A"),"?","%3F"),'Rules'!$G$7:$G$26,0))="hours",INDEX('Rules'!$B$7:$B$26,MATCH(SUBSTITUTE(SUBSTITUTE(SUBSTITUTE(SUBSTITUTE("type:"&amp;B439,"%","%25"),"~","%7E"),"*","%2A"),"?","%3F"),'Rules'!$G$7:$G$26,0))="km"),INDEX('Rules'!$B$7:$B$26,MATCH(SUBSTITUTE(SUBSTITUTE(SUBSTITUTE(SUBSTITUTE("type:"&amp;B439,"%","%25"),"~","%7E"),"*","%2A"),"?","%3F"),'Rules'!$G$7:$G$26,0)),""))</x:f>
      </x:c>
      <x:c r="I439" s="6" t="str">
        <x:f>IF(AND(NOT(COUNTA(A439:F439)=0),K439=""),ROUND(J439-D439,3),"")</x:f>
      </x:c>
      <x:c r="J439" s="6" t="str">
        <x:f>IF(AND(NOT(COUNTA(A439:F439)=0),K439=""),ROUND(F439+L439,3),"")</x:f>
      </x:c>
      <x:c r="K439" s="5" t="str">
        <x:f>IF(COUNTA(A439:F439)=0,"",IF(A439="","Missing equipment ID",IF(COUNTIFS($N$8:$N$2007,"="&amp;N439)&gt;1,"Duplicate equipment ID",IF(B439="","Missing type",IF(COUNTIFS('Rules'!$G$7:$G$26,"="&amp;(SUBSTITUTE(SUBSTITUTE(SUBSTITUTE(SUBSTITUTE("type:"&amp;B439,"%","%25"),"~","%7E"),"*","%2A"),"?","%3F")))=0,"Unknown type",IF(COUNTIFS('Rules'!$G$7:$G$26,"="&amp;(SUBSTITUTE(SUBSTITUTE(SUBSTITUTE(SUBSTITUTE("type:"&amp;B439,"%","%25"),"~","%7E"),"*","%2A"),"?","%3F")))&gt;1,"Duplicate type",IF(INDEX('Rules'!$F$7:$F$26,MATCH(SUBSTITUTE(SUBSTITUTE(SUBSTITUTE(SUBSTITUTE("type:"&amp;B439,"%","%25"),"~","%7E"),"*","%2A"),"?","%3F"),'Rules'!$G$7:$G$26,0))&lt;&gt;"",INDEX('Rules'!$F$7:$F$26,MATCH(SUBSTITUTE(SUBSTITUTE(SUBSTITUTE(SUBSTITUTE("type:"&amp;B439,"%","%25"),"~","%7E"),"*","%2A"),"?","%3F"),'Rules'!$G$7:$G$26,0)),IF(AND(C439&lt;&gt;"",C439&lt;&gt;INDEX('Rules'!$B$7:$B$26,MATCH(SUBSTITUTE(SUBSTITUTE(SUBSTITUTE(SUBSTITUTE("type:"&amp;B439,"%","%25"),"~","%7E"),"*","%2A"),"?","%3F"),'Rules'!$G$7:$G$26,0))),"Unit mismatch",IF(IF(NOT(ISNUMBER(D439)),TRUE,OR(D439&lt;0,D439&gt;999999999,ROUND(D439,3)&lt;&gt;D439)),"Invalid current reading",IF(AND(E439&lt;&gt;"",IF(NOT(ISNUMBER(E439)),TRUE,OR(E439&lt;0,E439&gt;999999999,ROUND(E439,3)&lt;&gt;E439))),"Invalid previous reading",IF(IF(NOT(ISNUMBER(F439)),TRUE,OR(F439&lt;0,F439&gt;999999999,ROUND(F439,3)&lt;&gt;F439)),"Invalid last service",IF(AND(E439&lt;&gt;"",D439&lt;E439),"Decreased reading",IF(F439&gt;D439,"Last service above current","")))))))))))))</x:f>
      </x:c>
      <x:c r="L439" s="6" t="str">
        <x:f>IF(AND(NOT(COUNTA(A439:F439)=0),K439=""),INDEX('Rules'!$C$7:$C$26,MATCH(SUBSTITUTE(SUBSTITUTE(SUBSTITUTE(SUBSTITUTE("type:"&amp;B439,"%","%25"),"~","%7E"),"*","%2A"),"?","%3F"),'Rules'!$G$7:$G$26,0)),"")</x:f>
      </x:c>
      <x:c r="M439" s="6" t="str">
        <x:f>IF(AND(NOT(COUNTA(A439:F439)=0),K439=""),INDEX('Rules'!$D$7:$D$26,MATCH(SUBSTITUTE(SUBSTITUTE(SUBSTITUTE(SUBSTITUTE("type:"&amp;B439,"%","%25"),"~","%7E"),"*","%2A"),"?","%3F"),'Rules'!$G$7:$G$26,0)),"")</x:f>
      </x:c>
      <x:c r="N439" s="5" t="str">
        <x:f>IF(COUNTA(A439:F439)=0,"",SUBSTITUTE(SUBSTITUTE(SUBSTITUTE(SUBSTITUTE("id:"&amp;A439,"%","%25"),"~","%7E"),"*","%2A"),"?","%3F"))</x:f>
      </x:c>
    </x:row>
    <x:row r="440" ht="22" customHeight="1">
      <x:c r="A440" s="3"/>
      <x:c r="B440" s="3"/>
      <x:c r="C440" s="3"/>
      <x:c r="D440" s="4"/>
      <x:c r="E440" s="4"/>
      <x:c r="F440" s="4"/>
      <x:c r="G440" s="5" t="str">
        <x:f>IF(COUNTA(A440:F440)=0,"",IF(K440&lt;&gt;"","Review",IF(I440&lt;0,"Overdue",IF(I440=0,"Due now",IF(I440&lt;=M440,"Due soon","Not due")))))</x:f>
      </x:c>
      <x:c r="H440" s="5" t="str">
        <x:f>IF(OR(COUNTA(A440:F440)=0,COUNTIFS('Rules'!$G$7:$G$26,"="&amp;(SUBSTITUTE(SUBSTITUTE(SUBSTITUTE(SUBSTITUTE("type:"&amp;B440,"%","%25"),"~","%7E"),"*","%2A"),"?","%3F")))&lt;&gt;1),"",IF(OR(INDEX('Rules'!$B$7:$B$26,MATCH(SUBSTITUTE(SUBSTITUTE(SUBSTITUTE(SUBSTITUTE("type:"&amp;B440,"%","%25"),"~","%7E"),"*","%2A"),"?","%3F"),'Rules'!$G$7:$G$26,0))="hours",INDEX('Rules'!$B$7:$B$26,MATCH(SUBSTITUTE(SUBSTITUTE(SUBSTITUTE(SUBSTITUTE("type:"&amp;B440,"%","%25"),"~","%7E"),"*","%2A"),"?","%3F"),'Rules'!$G$7:$G$26,0))="km"),INDEX('Rules'!$B$7:$B$26,MATCH(SUBSTITUTE(SUBSTITUTE(SUBSTITUTE(SUBSTITUTE("type:"&amp;B440,"%","%25"),"~","%7E"),"*","%2A"),"?","%3F"),'Rules'!$G$7:$G$26,0)),""))</x:f>
      </x:c>
      <x:c r="I440" s="6" t="str">
        <x:f>IF(AND(NOT(COUNTA(A440:F440)=0),K440=""),ROUND(J440-D440,3),"")</x:f>
      </x:c>
      <x:c r="J440" s="6" t="str">
        <x:f>IF(AND(NOT(COUNTA(A440:F440)=0),K440=""),ROUND(F440+L440,3),"")</x:f>
      </x:c>
      <x:c r="K440" s="5" t="str">
        <x:f>IF(COUNTA(A440:F440)=0,"",IF(A440="","Missing equipment ID",IF(COUNTIFS($N$8:$N$2007,"="&amp;N440)&gt;1,"Duplicate equipment ID",IF(B440="","Missing type",IF(COUNTIFS('Rules'!$G$7:$G$26,"="&amp;(SUBSTITUTE(SUBSTITUTE(SUBSTITUTE(SUBSTITUTE("type:"&amp;B440,"%","%25"),"~","%7E"),"*","%2A"),"?","%3F")))=0,"Unknown type",IF(COUNTIFS('Rules'!$G$7:$G$26,"="&amp;(SUBSTITUTE(SUBSTITUTE(SUBSTITUTE(SUBSTITUTE("type:"&amp;B440,"%","%25"),"~","%7E"),"*","%2A"),"?","%3F")))&gt;1,"Duplicate type",IF(INDEX('Rules'!$F$7:$F$26,MATCH(SUBSTITUTE(SUBSTITUTE(SUBSTITUTE(SUBSTITUTE("type:"&amp;B440,"%","%25"),"~","%7E"),"*","%2A"),"?","%3F"),'Rules'!$G$7:$G$26,0))&lt;&gt;"",INDEX('Rules'!$F$7:$F$26,MATCH(SUBSTITUTE(SUBSTITUTE(SUBSTITUTE(SUBSTITUTE("type:"&amp;B440,"%","%25"),"~","%7E"),"*","%2A"),"?","%3F"),'Rules'!$G$7:$G$26,0)),IF(AND(C440&lt;&gt;"",C440&lt;&gt;INDEX('Rules'!$B$7:$B$26,MATCH(SUBSTITUTE(SUBSTITUTE(SUBSTITUTE(SUBSTITUTE("type:"&amp;B440,"%","%25"),"~","%7E"),"*","%2A"),"?","%3F"),'Rules'!$G$7:$G$26,0))),"Unit mismatch",IF(IF(NOT(ISNUMBER(D440)),TRUE,OR(D440&lt;0,D440&gt;999999999,ROUND(D440,3)&lt;&gt;D440)),"Invalid current reading",IF(AND(E440&lt;&gt;"",IF(NOT(ISNUMBER(E440)),TRUE,OR(E440&lt;0,E440&gt;999999999,ROUND(E440,3)&lt;&gt;E440))),"Invalid previous reading",IF(IF(NOT(ISNUMBER(F440)),TRUE,OR(F440&lt;0,F440&gt;999999999,ROUND(F440,3)&lt;&gt;F440)),"Invalid last service",IF(AND(E440&lt;&gt;"",D440&lt;E440),"Decreased reading",IF(F440&gt;D440,"Last service above current","")))))))))))))</x:f>
      </x:c>
      <x:c r="L440" s="6" t="str">
        <x:f>IF(AND(NOT(COUNTA(A440:F440)=0),K440=""),INDEX('Rules'!$C$7:$C$26,MATCH(SUBSTITUTE(SUBSTITUTE(SUBSTITUTE(SUBSTITUTE("type:"&amp;B440,"%","%25"),"~","%7E"),"*","%2A"),"?","%3F"),'Rules'!$G$7:$G$26,0)),"")</x:f>
      </x:c>
      <x:c r="M440" s="6" t="str">
        <x:f>IF(AND(NOT(COUNTA(A440:F440)=0),K440=""),INDEX('Rules'!$D$7:$D$26,MATCH(SUBSTITUTE(SUBSTITUTE(SUBSTITUTE(SUBSTITUTE("type:"&amp;B440,"%","%25"),"~","%7E"),"*","%2A"),"?","%3F"),'Rules'!$G$7:$G$26,0)),"")</x:f>
      </x:c>
      <x:c r="N440" s="5" t="str">
        <x:f>IF(COUNTA(A440:F440)=0,"",SUBSTITUTE(SUBSTITUTE(SUBSTITUTE(SUBSTITUTE("id:"&amp;A440,"%","%25"),"~","%7E"),"*","%2A"),"?","%3F"))</x:f>
      </x:c>
    </x:row>
    <x:row r="441" ht="22" customHeight="1">
      <x:c r="A441" s="3"/>
      <x:c r="B441" s="3"/>
      <x:c r="C441" s="3"/>
      <x:c r="D441" s="4"/>
      <x:c r="E441" s="4"/>
      <x:c r="F441" s="4"/>
      <x:c r="G441" s="5" t="str">
        <x:f>IF(COUNTA(A441:F441)=0,"",IF(K441&lt;&gt;"","Review",IF(I441&lt;0,"Overdue",IF(I441=0,"Due now",IF(I441&lt;=M441,"Due soon","Not due")))))</x:f>
      </x:c>
      <x:c r="H441" s="5" t="str">
        <x:f>IF(OR(COUNTA(A441:F441)=0,COUNTIFS('Rules'!$G$7:$G$26,"="&amp;(SUBSTITUTE(SUBSTITUTE(SUBSTITUTE(SUBSTITUTE("type:"&amp;B441,"%","%25"),"~","%7E"),"*","%2A"),"?","%3F")))&lt;&gt;1),"",IF(OR(INDEX('Rules'!$B$7:$B$26,MATCH(SUBSTITUTE(SUBSTITUTE(SUBSTITUTE(SUBSTITUTE("type:"&amp;B441,"%","%25"),"~","%7E"),"*","%2A"),"?","%3F"),'Rules'!$G$7:$G$26,0))="hours",INDEX('Rules'!$B$7:$B$26,MATCH(SUBSTITUTE(SUBSTITUTE(SUBSTITUTE(SUBSTITUTE("type:"&amp;B441,"%","%25"),"~","%7E"),"*","%2A"),"?","%3F"),'Rules'!$G$7:$G$26,0))="km"),INDEX('Rules'!$B$7:$B$26,MATCH(SUBSTITUTE(SUBSTITUTE(SUBSTITUTE(SUBSTITUTE("type:"&amp;B441,"%","%25"),"~","%7E"),"*","%2A"),"?","%3F"),'Rules'!$G$7:$G$26,0)),""))</x:f>
      </x:c>
      <x:c r="I441" s="6" t="str">
        <x:f>IF(AND(NOT(COUNTA(A441:F441)=0),K441=""),ROUND(J441-D441,3),"")</x:f>
      </x:c>
      <x:c r="J441" s="6" t="str">
        <x:f>IF(AND(NOT(COUNTA(A441:F441)=0),K441=""),ROUND(F441+L441,3),"")</x:f>
      </x:c>
      <x:c r="K441" s="5" t="str">
        <x:f>IF(COUNTA(A441:F441)=0,"",IF(A441="","Missing equipment ID",IF(COUNTIFS($N$8:$N$2007,"="&amp;N441)&gt;1,"Duplicate equipment ID",IF(B441="","Missing type",IF(COUNTIFS('Rules'!$G$7:$G$26,"="&amp;(SUBSTITUTE(SUBSTITUTE(SUBSTITUTE(SUBSTITUTE("type:"&amp;B441,"%","%25"),"~","%7E"),"*","%2A"),"?","%3F")))=0,"Unknown type",IF(COUNTIFS('Rules'!$G$7:$G$26,"="&amp;(SUBSTITUTE(SUBSTITUTE(SUBSTITUTE(SUBSTITUTE("type:"&amp;B441,"%","%25"),"~","%7E"),"*","%2A"),"?","%3F")))&gt;1,"Duplicate type",IF(INDEX('Rules'!$F$7:$F$26,MATCH(SUBSTITUTE(SUBSTITUTE(SUBSTITUTE(SUBSTITUTE("type:"&amp;B441,"%","%25"),"~","%7E"),"*","%2A"),"?","%3F"),'Rules'!$G$7:$G$26,0))&lt;&gt;"",INDEX('Rules'!$F$7:$F$26,MATCH(SUBSTITUTE(SUBSTITUTE(SUBSTITUTE(SUBSTITUTE("type:"&amp;B441,"%","%25"),"~","%7E"),"*","%2A"),"?","%3F"),'Rules'!$G$7:$G$26,0)),IF(AND(C441&lt;&gt;"",C441&lt;&gt;INDEX('Rules'!$B$7:$B$26,MATCH(SUBSTITUTE(SUBSTITUTE(SUBSTITUTE(SUBSTITUTE("type:"&amp;B441,"%","%25"),"~","%7E"),"*","%2A"),"?","%3F"),'Rules'!$G$7:$G$26,0))),"Unit mismatch",IF(IF(NOT(ISNUMBER(D441)),TRUE,OR(D441&lt;0,D441&gt;999999999,ROUND(D441,3)&lt;&gt;D441)),"Invalid current reading",IF(AND(E441&lt;&gt;"",IF(NOT(ISNUMBER(E441)),TRUE,OR(E441&lt;0,E441&gt;999999999,ROUND(E441,3)&lt;&gt;E441))),"Invalid previous reading",IF(IF(NOT(ISNUMBER(F441)),TRUE,OR(F441&lt;0,F441&gt;999999999,ROUND(F441,3)&lt;&gt;F441)),"Invalid last service",IF(AND(E441&lt;&gt;"",D441&lt;E441),"Decreased reading",IF(F441&gt;D441,"Last service above current","")))))))))))))</x:f>
      </x:c>
      <x:c r="L441" s="6" t="str">
        <x:f>IF(AND(NOT(COUNTA(A441:F441)=0),K441=""),INDEX('Rules'!$C$7:$C$26,MATCH(SUBSTITUTE(SUBSTITUTE(SUBSTITUTE(SUBSTITUTE("type:"&amp;B441,"%","%25"),"~","%7E"),"*","%2A"),"?","%3F"),'Rules'!$G$7:$G$26,0)),"")</x:f>
      </x:c>
      <x:c r="M441" s="6" t="str">
        <x:f>IF(AND(NOT(COUNTA(A441:F441)=0),K441=""),INDEX('Rules'!$D$7:$D$26,MATCH(SUBSTITUTE(SUBSTITUTE(SUBSTITUTE(SUBSTITUTE("type:"&amp;B441,"%","%25"),"~","%7E"),"*","%2A"),"?","%3F"),'Rules'!$G$7:$G$26,0)),"")</x:f>
      </x:c>
      <x:c r="N441" s="5" t="str">
        <x:f>IF(COUNTA(A441:F441)=0,"",SUBSTITUTE(SUBSTITUTE(SUBSTITUTE(SUBSTITUTE("id:"&amp;A441,"%","%25"),"~","%7E"),"*","%2A"),"?","%3F"))</x:f>
      </x:c>
    </x:row>
    <x:row r="442" ht="22" customHeight="1">
      <x:c r="A442" s="3"/>
      <x:c r="B442" s="3"/>
      <x:c r="C442" s="3"/>
      <x:c r="D442" s="4"/>
      <x:c r="E442" s="4"/>
      <x:c r="F442" s="4"/>
      <x:c r="G442" s="5" t="str">
        <x:f>IF(COUNTA(A442:F442)=0,"",IF(K442&lt;&gt;"","Review",IF(I442&lt;0,"Overdue",IF(I442=0,"Due now",IF(I442&lt;=M442,"Due soon","Not due")))))</x:f>
      </x:c>
      <x:c r="H442" s="5" t="str">
        <x:f>IF(OR(COUNTA(A442:F442)=0,COUNTIFS('Rules'!$G$7:$G$26,"="&amp;(SUBSTITUTE(SUBSTITUTE(SUBSTITUTE(SUBSTITUTE("type:"&amp;B442,"%","%25"),"~","%7E"),"*","%2A"),"?","%3F")))&lt;&gt;1),"",IF(OR(INDEX('Rules'!$B$7:$B$26,MATCH(SUBSTITUTE(SUBSTITUTE(SUBSTITUTE(SUBSTITUTE("type:"&amp;B442,"%","%25"),"~","%7E"),"*","%2A"),"?","%3F"),'Rules'!$G$7:$G$26,0))="hours",INDEX('Rules'!$B$7:$B$26,MATCH(SUBSTITUTE(SUBSTITUTE(SUBSTITUTE(SUBSTITUTE("type:"&amp;B442,"%","%25"),"~","%7E"),"*","%2A"),"?","%3F"),'Rules'!$G$7:$G$26,0))="km"),INDEX('Rules'!$B$7:$B$26,MATCH(SUBSTITUTE(SUBSTITUTE(SUBSTITUTE(SUBSTITUTE("type:"&amp;B442,"%","%25"),"~","%7E"),"*","%2A"),"?","%3F"),'Rules'!$G$7:$G$26,0)),""))</x:f>
      </x:c>
      <x:c r="I442" s="6" t="str">
        <x:f>IF(AND(NOT(COUNTA(A442:F442)=0),K442=""),ROUND(J442-D442,3),"")</x:f>
      </x:c>
      <x:c r="J442" s="6" t="str">
        <x:f>IF(AND(NOT(COUNTA(A442:F442)=0),K442=""),ROUND(F442+L442,3),"")</x:f>
      </x:c>
      <x:c r="K442" s="5" t="str">
        <x:f>IF(COUNTA(A442:F442)=0,"",IF(A442="","Missing equipment ID",IF(COUNTIFS($N$8:$N$2007,"="&amp;N442)&gt;1,"Duplicate equipment ID",IF(B442="","Missing type",IF(COUNTIFS('Rules'!$G$7:$G$26,"="&amp;(SUBSTITUTE(SUBSTITUTE(SUBSTITUTE(SUBSTITUTE("type:"&amp;B442,"%","%25"),"~","%7E"),"*","%2A"),"?","%3F")))=0,"Unknown type",IF(COUNTIFS('Rules'!$G$7:$G$26,"="&amp;(SUBSTITUTE(SUBSTITUTE(SUBSTITUTE(SUBSTITUTE("type:"&amp;B442,"%","%25"),"~","%7E"),"*","%2A"),"?","%3F")))&gt;1,"Duplicate type",IF(INDEX('Rules'!$F$7:$F$26,MATCH(SUBSTITUTE(SUBSTITUTE(SUBSTITUTE(SUBSTITUTE("type:"&amp;B442,"%","%25"),"~","%7E"),"*","%2A"),"?","%3F"),'Rules'!$G$7:$G$26,0))&lt;&gt;"",INDEX('Rules'!$F$7:$F$26,MATCH(SUBSTITUTE(SUBSTITUTE(SUBSTITUTE(SUBSTITUTE("type:"&amp;B442,"%","%25"),"~","%7E"),"*","%2A"),"?","%3F"),'Rules'!$G$7:$G$26,0)),IF(AND(C442&lt;&gt;"",C442&lt;&gt;INDEX('Rules'!$B$7:$B$26,MATCH(SUBSTITUTE(SUBSTITUTE(SUBSTITUTE(SUBSTITUTE("type:"&amp;B442,"%","%25"),"~","%7E"),"*","%2A"),"?","%3F"),'Rules'!$G$7:$G$26,0))),"Unit mismatch",IF(IF(NOT(ISNUMBER(D442)),TRUE,OR(D442&lt;0,D442&gt;999999999,ROUND(D442,3)&lt;&gt;D442)),"Invalid current reading",IF(AND(E442&lt;&gt;"",IF(NOT(ISNUMBER(E442)),TRUE,OR(E442&lt;0,E442&gt;999999999,ROUND(E442,3)&lt;&gt;E442))),"Invalid previous reading",IF(IF(NOT(ISNUMBER(F442)),TRUE,OR(F442&lt;0,F442&gt;999999999,ROUND(F442,3)&lt;&gt;F442)),"Invalid last service",IF(AND(E442&lt;&gt;"",D442&lt;E442),"Decreased reading",IF(F442&gt;D442,"Last service above current","")))))))))))))</x:f>
      </x:c>
      <x:c r="L442" s="6" t="str">
        <x:f>IF(AND(NOT(COUNTA(A442:F442)=0),K442=""),INDEX('Rules'!$C$7:$C$26,MATCH(SUBSTITUTE(SUBSTITUTE(SUBSTITUTE(SUBSTITUTE("type:"&amp;B442,"%","%25"),"~","%7E"),"*","%2A"),"?","%3F"),'Rules'!$G$7:$G$26,0)),"")</x:f>
      </x:c>
      <x:c r="M442" s="6" t="str">
        <x:f>IF(AND(NOT(COUNTA(A442:F442)=0),K442=""),INDEX('Rules'!$D$7:$D$26,MATCH(SUBSTITUTE(SUBSTITUTE(SUBSTITUTE(SUBSTITUTE("type:"&amp;B442,"%","%25"),"~","%7E"),"*","%2A"),"?","%3F"),'Rules'!$G$7:$G$26,0)),"")</x:f>
      </x:c>
      <x:c r="N442" s="5" t="str">
        <x:f>IF(COUNTA(A442:F442)=0,"",SUBSTITUTE(SUBSTITUTE(SUBSTITUTE(SUBSTITUTE("id:"&amp;A442,"%","%25"),"~","%7E"),"*","%2A"),"?","%3F"))</x:f>
      </x:c>
    </x:row>
    <x:row r="443" ht="22" customHeight="1">
      <x:c r="A443" s="3"/>
      <x:c r="B443" s="3"/>
      <x:c r="C443" s="3"/>
      <x:c r="D443" s="4"/>
      <x:c r="E443" s="4"/>
      <x:c r="F443" s="4"/>
      <x:c r="G443" s="5" t="str">
        <x:f>IF(COUNTA(A443:F443)=0,"",IF(K443&lt;&gt;"","Review",IF(I443&lt;0,"Overdue",IF(I443=0,"Due now",IF(I443&lt;=M443,"Due soon","Not due")))))</x:f>
      </x:c>
      <x:c r="H443" s="5" t="str">
        <x:f>IF(OR(COUNTA(A443:F443)=0,COUNTIFS('Rules'!$G$7:$G$26,"="&amp;(SUBSTITUTE(SUBSTITUTE(SUBSTITUTE(SUBSTITUTE("type:"&amp;B443,"%","%25"),"~","%7E"),"*","%2A"),"?","%3F")))&lt;&gt;1),"",IF(OR(INDEX('Rules'!$B$7:$B$26,MATCH(SUBSTITUTE(SUBSTITUTE(SUBSTITUTE(SUBSTITUTE("type:"&amp;B443,"%","%25"),"~","%7E"),"*","%2A"),"?","%3F"),'Rules'!$G$7:$G$26,0))="hours",INDEX('Rules'!$B$7:$B$26,MATCH(SUBSTITUTE(SUBSTITUTE(SUBSTITUTE(SUBSTITUTE("type:"&amp;B443,"%","%25"),"~","%7E"),"*","%2A"),"?","%3F"),'Rules'!$G$7:$G$26,0))="km"),INDEX('Rules'!$B$7:$B$26,MATCH(SUBSTITUTE(SUBSTITUTE(SUBSTITUTE(SUBSTITUTE("type:"&amp;B443,"%","%25"),"~","%7E"),"*","%2A"),"?","%3F"),'Rules'!$G$7:$G$26,0)),""))</x:f>
      </x:c>
      <x:c r="I443" s="6" t="str">
        <x:f>IF(AND(NOT(COUNTA(A443:F443)=0),K443=""),ROUND(J443-D443,3),"")</x:f>
      </x:c>
      <x:c r="J443" s="6" t="str">
        <x:f>IF(AND(NOT(COUNTA(A443:F443)=0),K443=""),ROUND(F443+L443,3),"")</x:f>
      </x:c>
      <x:c r="K443" s="5" t="str">
        <x:f>IF(COUNTA(A443:F443)=0,"",IF(A443="","Missing equipment ID",IF(COUNTIFS($N$8:$N$2007,"="&amp;N443)&gt;1,"Duplicate equipment ID",IF(B443="","Missing type",IF(COUNTIFS('Rules'!$G$7:$G$26,"="&amp;(SUBSTITUTE(SUBSTITUTE(SUBSTITUTE(SUBSTITUTE("type:"&amp;B443,"%","%25"),"~","%7E"),"*","%2A"),"?","%3F")))=0,"Unknown type",IF(COUNTIFS('Rules'!$G$7:$G$26,"="&amp;(SUBSTITUTE(SUBSTITUTE(SUBSTITUTE(SUBSTITUTE("type:"&amp;B443,"%","%25"),"~","%7E"),"*","%2A"),"?","%3F")))&gt;1,"Duplicate type",IF(INDEX('Rules'!$F$7:$F$26,MATCH(SUBSTITUTE(SUBSTITUTE(SUBSTITUTE(SUBSTITUTE("type:"&amp;B443,"%","%25"),"~","%7E"),"*","%2A"),"?","%3F"),'Rules'!$G$7:$G$26,0))&lt;&gt;"",INDEX('Rules'!$F$7:$F$26,MATCH(SUBSTITUTE(SUBSTITUTE(SUBSTITUTE(SUBSTITUTE("type:"&amp;B443,"%","%25"),"~","%7E"),"*","%2A"),"?","%3F"),'Rules'!$G$7:$G$26,0)),IF(AND(C443&lt;&gt;"",C443&lt;&gt;INDEX('Rules'!$B$7:$B$26,MATCH(SUBSTITUTE(SUBSTITUTE(SUBSTITUTE(SUBSTITUTE("type:"&amp;B443,"%","%25"),"~","%7E"),"*","%2A"),"?","%3F"),'Rules'!$G$7:$G$26,0))),"Unit mismatch",IF(IF(NOT(ISNUMBER(D443)),TRUE,OR(D443&lt;0,D443&gt;999999999,ROUND(D443,3)&lt;&gt;D443)),"Invalid current reading",IF(AND(E443&lt;&gt;"",IF(NOT(ISNUMBER(E443)),TRUE,OR(E443&lt;0,E443&gt;999999999,ROUND(E443,3)&lt;&gt;E443))),"Invalid previous reading",IF(IF(NOT(ISNUMBER(F443)),TRUE,OR(F443&lt;0,F443&gt;999999999,ROUND(F443,3)&lt;&gt;F443)),"Invalid last service",IF(AND(E443&lt;&gt;"",D443&lt;E443),"Decreased reading",IF(F443&gt;D443,"Last service above current","")))))))))))))</x:f>
      </x:c>
      <x:c r="L443" s="6" t="str">
        <x:f>IF(AND(NOT(COUNTA(A443:F443)=0),K443=""),INDEX('Rules'!$C$7:$C$26,MATCH(SUBSTITUTE(SUBSTITUTE(SUBSTITUTE(SUBSTITUTE("type:"&amp;B443,"%","%25"),"~","%7E"),"*","%2A"),"?","%3F"),'Rules'!$G$7:$G$26,0)),"")</x:f>
      </x:c>
      <x:c r="M443" s="6" t="str">
        <x:f>IF(AND(NOT(COUNTA(A443:F443)=0),K443=""),INDEX('Rules'!$D$7:$D$26,MATCH(SUBSTITUTE(SUBSTITUTE(SUBSTITUTE(SUBSTITUTE("type:"&amp;B443,"%","%25"),"~","%7E"),"*","%2A"),"?","%3F"),'Rules'!$G$7:$G$26,0)),"")</x:f>
      </x:c>
      <x:c r="N443" s="5" t="str">
        <x:f>IF(COUNTA(A443:F443)=0,"",SUBSTITUTE(SUBSTITUTE(SUBSTITUTE(SUBSTITUTE("id:"&amp;A443,"%","%25"),"~","%7E"),"*","%2A"),"?","%3F"))</x:f>
      </x:c>
    </x:row>
    <x:row r="444" ht="22" customHeight="1">
      <x:c r="A444" s="3"/>
      <x:c r="B444" s="3"/>
      <x:c r="C444" s="3"/>
      <x:c r="D444" s="4"/>
      <x:c r="E444" s="4"/>
      <x:c r="F444" s="4"/>
      <x:c r="G444" s="5" t="str">
        <x:f>IF(COUNTA(A444:F444)=0,"",IF(K444&lt;&gt;"","Review",IF(I444&lt;0,"Overdue",IF(I444=0,"Due now",IF(I444&lt;=M444,"Due soon","Not due")))))</x:f>
      </x:c>
      <x:c r="H444" s="5" t="str">
        <x:f>IF(OR(COUNTA(A444:F444)=0,COUNTIFS('Rules'!$G$7:$G$26,"="&amp;(SUBSTITUTE(SUBSTITUTE(SUBSTITUTE(SUBSTITUTE("type:"&amp;B444,"%","%25"),"~","%7E"),"*","%2A"),"?","%3F")))&lt;&gt;1),"",IF(OR(INDEX('Rules'!$B$7:$B$26,MATCH(SUBSTITUTE(SUBSTITUTE(SUBSTITUTE(SUBSTITUTE("type:"&amp;B444,"%","%25"),"~","%7E"),"*","%2A"),"?","%3F"),'Rules'!$G$7:$G$26,0))="hours",INDEX('Rules'!$B$7:$B$26,MATCH(SUBSTITUTE(SUBSTITUTE(SUBSTITUTE(SUBSTITUTE("type:"&amp;B444,"%","%25"),"~","%7E"),"*","%2A"),"?","%3F"),'Rules'!$G$7:$G$26,0))="km"),INDEX('Rules'!$B$7:$B$26,MATCH(SUBSTITUTE(SUBSTITUTE(SUBSTITUTE(SUBSTITUTE("type:"&amp;B444,"%","%25"),"~","%7E"),"*","%2A"),"?","%3F"),'Rules'!$G$7:$G$26,0)),""))</x:f>
      </x:c>
      <x:c r="I444" s="6" t="str">
        <x:f>IF(AND(NOT(COUNTA(A444:F444)=0),K444=""),ROUND(J444-D444,3),"")</x:f>
      </x:c>
      <x:c r="J444" s="6" t="str">
        <x:f>IF(AND(NOT(COUNTA(A444:F444)=0),K444=""),ROUND(F444+L444,3),"")</x:f>
      </x:c>
      <x:c r="K444" s="5" t="str">
        <x:f>IF(COUNTA(A444:F444)=0,"",IF(A444="","Missing equipment ID",IF(COUNTIFS($N$8:$N$2007,"="&amp;N444)&gt;1,"Duplicate equipment ID",IF(B444="","Missing type",IF(COUNTIFS('Rules'!$G$7:$G$26,"="&amp;(SUBSTITUTE(SUBSTITUTE(SUBSTITUTE(SUBSTITUTE("type:"&amp;B444,"%","%25"),"~","%7E"),"*","%2A"),"?","%3F")))=0,"Unknown type",IF(COUNTIFS('Rules'!$G$7:$G$26,"="&amp;(SUBSTITUTE(SUBSTITUTE(SUBSTITUTE(SUBSTITUTE("type:"&amp;B444,"%","%25"),"~","%7E"),"*","%2A"),"?","%3F")))&gt;1,"Duplicate type",IF(INDEX('Rules'!$F$7:$F$26,MATCH(SUBSTITUTE(SUBSTITUTE(SUBSTITUTE(SUBSTITUTE("type:"&amp;B444,"%","%25"),"~","%7E"),"*","%2A"),"?","%3F"),'Rules'!$G$7:$G$26,0))&lt;&gt;"",INDEX('Rules'!$F$7:$F$26,MATCH(SUBSTITUTE(SUBSTITUTE(SUBSTITUTE(SUBSTITUTE("type:"&amp;B444,"%","%25"),"~","%7E"),"*","%2A"),"?","%3F"),'Rules'!$G$7:$G$26,0)),IF(AND(C444&lt;&gt;"",C444&lt;&gt;INDEX('Rules'!$B$7:$B$26,MATCH(SUBSTITUTE(SUBSTITUTE(SUBSTITUTE(SUBSTITUTE("type:"&amp;B444,"%","%25"),"~","%7E"),"*","%2A"),"?","%3F"),'Rules'!$G$7:$G$26,0))),"Unit mismatch",IF(IF(NOT(ISNUMBER(D444)),TRUE,OR(D444&lt;0,D444&gt;999999999,ROUND(D444,3)&lt;&gt;D444)),"Invalid current reading",IF(AND(E444&lt;&gt;"",IF(NOT(ISNUMBER(E444)),TRUE,OR(E444&lt;0,E444&gt;999999999,ROUND(E444,3)&lt;&gt;E444))),"Invalid previous reading",IF(IF(NOT(ISNUMBER(F444)),TRUE,OR(F444&lt;0,F444&gt;999999999,ROUND(F444,3)&lt;&gt;F444)),"Invalid last service",IF(AND(E444&lt;&gt;"",D444&lt;E444),"Decreased reading",IF(F444&gt;D444,"Last service above current","")))))))))))))</x:f>
      </x:c>
      <x:c r="L444" s="6" t="str">
        <x:f>IF(AND(NOT(COUNTA(A444:F444)=0),K444=""),INDEX('Rules'!$C$7:$C$26,MATCH(SUBSTITUTE(SUBSTITUTE(SUBSTITUTE(SUBSTITUTE("type:"&amp;B444,"%","%25"),"~","%7E"),"*","%2A"),"?","%3F"),'Rules'!$G$7:$G$26,0)),"")</x:f>
      </x:c>
      <x:c r="M444" s="6" t="str">
        <x:f>IF(AND(NOT(COUNTA(A444:F444)=0),K444=""),INDEX('Rules'!$D$7:$D$26,MATCH(SUBSTITUTE(SUBSTITUTE(SUBSTITUTE(SUBSTITUTE("type:"&amp;B444,"%","%25"),"~","%7E"),"*","%2A"),"?","%3F"),'Rules'!$G$7:$G$26,0)),"")</x:f>
      </x:c>
      <x:c r="N444" s="5" t="str">
        <x:f>IF(COUNTA(A444:F444)=0,"",SUBSTITUTE(SUBSTITUTE(SUBSTITUTE(SUBSTITUTE("id:"&amp;A444,"%","%25"),"~","%7E"),"*","%2A"),"?","%3F"))</x:f>
      </x:c>
    </x:row>
    <x:row r="445" ht="22" customHeight="1">
      <x:c r="A445" s="3"/>
      <x:c r="B445" s="3"/>
      <x:c r="C445" s="3"/>
      <x:c r="D445" s="4"/>
      <x:c r="E445" s="4"/>
      <x:c r="F445" s="4"/>
      <x:c r="G445" s="5" t="str">
        <x:f>IF(COUNTA(A445:F445)=0,"",IF(K445&lt;&gt;"","Review",IF(I445&lt;0,"Overdue",IF(I445=0,"Due now",IF(I445&lt;=M445,"Due soon","Not due")))))</x:f>
      </x:c>
      <x:c r="H445" s="5" t="str">
        <x:f>IF(OR(COUNTA(A445:F445)=0,COUNTIFS('Rules'!$G$7:$G$26,"="&amp;(SUBSTITUTE(SUBSTITUTE(SUBSTITUTE(SUBSTITUTE("type:"&amp;B445,"%","%25"),"~","%7E"),"*","%2A"),"?","%3F")))&lt;&gt;1),"",IF(OR(INDEX('Rules'!$B$7:$B$26,MATCH(SUBSTITUTE(SUBSTITUTE(SUBSTITUTE(SUBSTITUTE("type:"&amp;B445,"%","%25"),"~","%7E"),"*","%2A"),"?","%3F"),'Rules'!$G$7:$G$26,0))="hours",INDEX('Rules'!$B$7:$B$26,MATCH(SUBSTITUTE(SUBSTITUTE(SUBSTITUTE(SUBSTITUTE("type:"&amp;B445,"%","%25"),"~","%7E"),"*","%2A"),"?","%3F"),'Rules'!$G$7:$G$26,0))="km"),INDEX('Rules'!$B$7:$B$26,MATCH(SUBSTITUTE(SUBSTITUTE(SUBSTITUTE(SUBSTITUTE("type:"&amp;B445,"%","%25"),"~","%7E"),"*","%2A"),"?","%3F"),'Rules'!$G$7:$G$26,0)),""))</x:f>
      </x:c>
      <x:c r="I445" s="6" t="str">
        <x:f>IF(AND(NOT(COUNTA(A445:F445)=0),K445=""),ROUND(J445-D445,3),"")</x:f>
      </x:c>
      <x:c r="J445" s="6" t="str">
        <x:f>IF(AND(NOT(COUNTA(A445:F445)=0),K445=""),ROUND(F445+L445,3),"")</x:f>
      </x:c>
      <x:c r="K445" s="5" t="str">
        <x:f>IF(COUNTA(A445:F445)=0,"",IF(A445="","Missing equipment ID",IF(COUNTIFS($N$8:$N$2007,"="&amp;N445)&gt;1,"Duplicate equipment ID",IF(B445="","Missing type",IF(COUNTIFS('Rules'!$G$7:$G$26,"="&amp;(SUBSTITUTE(SUBSTITUTE(SUBSTITUTE(SUBSTITUTE("type:"&amp;B445,"%","%25"),"~","%7E"),"*","%2A"),"?","%3F")))=0,"Unknown type",IF(COUNTIFS('Rules'!$G$7:$G$26,"="&amp;(SUBSTITUTE(SUBSTITUTE(SUBSTITUTE(SUBSTITUTE("type:"&amp;B445,"%","%25"),"~","%7E"),"*","%2A"),"?","%3F")))&gt;1,"Duplicate type",IF(INDEX('Rules'!$F$7:$F$26,MATCH(SUBSTITUTE(SUBSTITUTE(SUBSTITUTE(SUBSTITUTE("type:"&amp;B445,"%","%25"),"~","%7E"),"*","%2A"),"?","%3F"),'Rules'!$G$7:$G$26,0))&lt;&gt;"",INDEX('Rules'!$F$7:$F$26,MATCH(SUBSTITUTE(SUBSTITUTE(SUBSTITUTE(SUBSTITUTE("type:"&amp;B445,"%","%25"),"~","%7E"),"*","%2A"),"?","%3F"),'Rules'!$G$7:$G$26,0)),IF(AND(C445&lt;&gt;"",C445&lt;&gt;INDEX('Rules'!$B$7:$B$26,MATCH(SUBSTITUTE(SUBSTITUTE(SUBSTITUTE(SUBSTITUTE("type:"&amp;B445,"%","%25"),"~","%7E"),"*","%2A"),"?","%3F"),'Rules'!$G$7:$G$26,0))),"Unit mismatch",IF(IF(NOT(ISNUMBER(D445)),TRUE,OR(D445&lt;0,D445&gt;999999999,ROUND(D445,3)&lt;&gt;D445)),"Invalid current reading",IF(AND(E445&lt;&gt;"",IF(NOT(ISNUMBER(E445)),TRUE,OR(E445&lt;0,E445&gt;999999999,ROUND(E445,3)&lt;&gt;E445))),"Invalid previous reading",IF(IF(NOT(ISNUMBER(F445)),TRUE,OR(F445&lt;0,F445&gt;999999999,ROUND(F445,3)&lt;&gt;F445)),"Invalid last service",IF(AND(E445&lt;&gt;"",D445&lt;E445),"Decreased reading",IF(F445&gt;D445,"Last service above current","")))))))))))))</x:f>
      </x:c>
      <x:c r="L445" s="6" t="str">
        <x:f>IF(AND(NOT(COUNTA(A445:F445)=0),K445=""),INDEX('Rules'!$C$7:$C$26,MATCH(SUBSTITUTE(SUBSTITUTE(SUBSTITUTE(SUBSTITUTE("type:"&amp;B445,"%","%25"),"~","%7E"),"*","%2A"),"?","%3F"),'Rules'!$G$7:$G$26,0)),"")</x:f>
      </x:c>
      <x:c r="M445" s="6" t="str">
        <x:f>IF(AND(NOT(COUNTA(A445:F445)=0),K445=""),INDEX('Rules'!$D$7:$D$26,MATCH(SUBSTITUTE(SUBSTITUTE(SUBSTITUTE(SUBSTITUTE("type:"&amp;B445,"%","%25"),"~","%7E"),"*","%2A"),"?","%3F"),'Rules'!$G$7:$G$26,0)),"")</x:f>
      </x:c>
      <x:c r="N445" s="5" t="str">
        <x:f>IF(COUNTA(A445:F445)=0,"",SUBSTITUTE(SUBSTITUTE(SUBSTITUTE(SUBSTITUTE("id:"&amp;A445,"%","%25"),"~","%7E"),"*","%2A"),"?","%3F"))</x:f>
      </x:c>
    </x:row>
    <x:row r="446" ht="22" customHeight="1">
      <x:c r="A446" s="3"/>
      <x:c r="B446" s="3"/>
      <x:c r="C446" s="3"/>
      <x:c r="D446" s="4"/>
      <x:c r="E446" s="4"/>
      <x:c r="F446" s="4"/>
      <x:c r="G446" s="5" t="str">
        <x:f>IF(COUNTA(A446:F446)=0,"",IF(K446&lt;&gt;"","Review",IF(I446&lt;0,"Overdue",IF(I446=0,"Due now",IF(I446&lt;=M446,"Due soon","Not due")))))</x:f>
      </x:c>
      <x:c r="H446" s="5" t="str">
        <x:f>IF(OR(COUNTA(A446:F446)=0,COUNTIFS('Rules'!$G$7:$G$26,"="&amp;(SUBSTITUTE(SUBSTITUTE(SUBSTITUTE(SUBSTITUTE("type:"&amp;B446,"%","%25"),"~","%7E"),"*","%2A"),"?","%3F")))&lt;&gt;1),"",IF(OR(INDEX('Rules'!$B$7:$B$26,MATCH(SUBSTITUTE(SUBSTITUTE(SUBSTITUTE(SUBSTITUTE("type:"&amp;B446,"%","%25"),"~","%7E"),"*","%2A"),"?","%3F"),'Rules'!$G$7:$G$26,0))="hours",INDEX('Rules'!$B$7:$B$26,MATCH(SUBSTITUTE(SUBSTITUTE(SUBSTITUTE(SUBSTITUTE("type:"&amp;B446,"%","%25"),"~","%7E"),"*","%2A"),"?","%3F"),'Rules'!$G$7:$G$26,0))="km"),INDEX('Rules'!$B$7:$B$26,MATCH(SUBSTITUTE(SUBSTITUTE(SUBSTITUTE(SUBSTITUTE("type:"&amp;B446,"%","%25"),"~","%7E"),"*","%2A"),"?","%3F"),'Rules'!$G$7:$G$26,0)),""))</x:f>
      </x:c>
      <x:c r="I446" s="6" t="str">
        <x:f>IF(AND(NOT(COUNTA(A446:F446)=0),K446=""),ROUND(J446-D446,3),"")</x:f>
      </x:c>
      <x:c r="J446" s="6" t="str">
        <x:f>IF(AND(NOT(COUNTA(A446:F446)=0),K446=""),ROUND(F446+L446,3),"")</x:f>
      </x:c>
      <x:c r="K446" s="5" t="str">
        <x:f>IF(COUNTA(A446:F446)=0,"",IF(A446="","Missing equipment ID",IF(COUNTIFS($N$8:$N$2007,"="&amp;N446)&gt;1,"Duplicate equipment ID",IF(B446="","Missing type",IF(COUNTIFS('Rules'!$G$7:$G$26,"="&amp;(SUBSTITUTE(SUBSTITUTE(SUBSTITUTE(SUBSTITUTE("type:"&amp;B446,"%","%25"),"~","%7E"),"*","%2A"),"?","%3F")))=0,"Unknown type",IF(COUNTIFS('Rules'!$G$7:$G$26,"="&amp;(SUBSTITUTE(SUBSTITUTE(SUBSTITUTE(SUBSTITUTE("type:"&amp;B446,"%","%25"),"~","%7E"),"*","%2A"),"?","%3F")))&gt;1,"Duplicate type",IF(INDEX('Rules'!$F$7:$F$26,MATCH(SUBSTITUTE(SUBSTITUTE(SUBSTITUTE(SUBSTITUTE("type:"&amp;B446,"%","%25"),"~","%7E"),"*","%2A"),"?","%3F"),'Rules'!$G$7:$G$26,0))&lt;&gt;"",INDEX('Rules'!$F$7:$F$26,MATCH(SUBSTITUTE(SUBSTITUTE(SUBSTITUTE(SUBSTITUTE("type:"&amp;B446,"%","%25"),"~","%7E"),"*","%2A"),"?","%3F"),'Rules'!$G$7:$G$26,0)),IF(AND(C446&lt;&gt;"",C446&lt;&gt;INDEX('Rules'!$B$7:$B$26,MATCH(SUBSTITUTE(SUBSTITUTE(SUBSTITUTE(SUBSTITUTE("type:"&amp;B446,"%","%25"),"~","%7E"),"*","%2A"),"?","%3F"),'Rules'!$G$7:$G$26,0))),"Unit mismatch",IF(IF(NOT(ISNUMBER(D446)),TRUE,OR(D446&lt;0,D446&gt;999999999,ROUND(D446,3)&lt;&gt;D446)),"Invalid current reading",IF(AND(E446&lt;&gt;"",IF(NOT(ISNUMBER(E446)),TRUE,OR(E446&lt;0,E446&gt;999999999,ROUND(E446,3)&lt;&gt;E446))),"Invalid previous reading",IF(IF(NOT(ISNUMBER(F446)),TRUE,OR(F446&lt;0,F446&gt;999999999,ROUND(F446,3)&lt;&gt;F446)),"Invalid last service",IF(AND(E446&lt;&gt;"",D446&lt;E446),"Decreased reading",IF(F446&gt;D446,"Last service above current","")))))))))))))</x:f>
      </x:c>
      <x:c r="L446" s="6" t="str">
        <x:f>IF(AND(NOT(COUNTA(A446:F446)=0),K446=""),INDEX('Rules'!$C$7:$C$26,MATCH(SUBSTITUTE(SUBSTITUTE(SUBSTITUTE(SUBSTITUTE("type:"&amp;B446,"%","%25"),"~","%7E"),"*","%2A"),"?","%3F"),'Rules'!$G$7:$G$26,0)),"")</x:f>
      </x:c>
      <x:c r="M446" s="6" t="str">
        <x:f>IF(AND(NOT(COUNTA(A446:F446)=0),K446=""),INDEX('Rules'!$D$7:$D$26,MATCH(SUBSTITUTE(SUBSTITUTE(SUBSTITUTE(SUBSTITUTE("type:"&amp;B446,"%","%25"),"~","%7E"),"*","%2A"),"?","%3F"),'Rules'!$G$7:$G$26,0)),"")</x:f>
      </x:c>
      <x:c r="N446" s="5" t="str">
        <x:f>IF(COUNTA(A446:F446)=0,"",SUBSTITUTE(SUBSTITUTE(SUBSTITUTE(SUBSTITUTE("id:"&amp;A446,"%","%25"),"~","%7E"),"*","%2A"),"?","%3F"))</x:f>
      </x:c>
    </x:row>
    <x:row r="447" ht="22" customHeight="1">
      <x:c r="A447" s="3"/>
      <x:c r="B447" s="3"/>
      <x:c r="C447" s="3"/>
      <x:c r="D447" s="4"/>
      <x:c r="E447" s="4"/>
      <x:c r="F447" s="4"/>
      <x:c r="G447" s="5" t="str">
        <x:f>IF(COUNTA(A447:F447)=0,"",IF(K447&lt;&gt;"","Review",IF(I447&lt;0,"Overdue",IF(I447=0,"Due now",IF(I447&lt;=M447,"Due soon","Not due")))))</x:f>
      </x:c>
      <x:c r="H447" s="5" t="str">
        <x:f>IF(OR(COUNTA(A447:F447)=0,COUNTIFS('Rules'!$G$7:$G$26,"="&amp;(SUBSTITUTE(SUBSTITUTE(SUBSTITUTE(SUBSTITUTE("type:"&amp;B447,"%","%25"),"~","%7E"),"*","%2A"),"?","%3F")))&lt;&gt;1),"",IF(OR(INDEX('Rules'!$B$7:$B$26,MATCH(SUBSTITUTE(SUBSTITUTE(SUBSTITUTE(SUBSTITUTE("type:"&amp;B447,"%","%25"),"~","%7E"),"*","%2A"),"?","%3F"),'Rules'!$G$7:$G$26,0))="hours",INDEX('Rules'!$B$7:$B$26,MATCH(SUBSTITUTE(SUBSTITUTE(SUBSTITUTE(SUBSTITUTE("type:"&amp;B447,"%","%25"),"~","%7E"),"*","%2A"),"?","%3F"),'Rules'!$G$7:$G$26,0))="km"),INDEX('Rules'!$B$7:$B$26,MATCH(SUBSTITUTE(SUBSTITUTE(SUBSTITUTE(SUBSTITUTE("type:"&amp;B447,"%","%25"),"~","%7E"),"*","%2A"),"?","%3F"),'Rules'!$G$7:$G$26,0)),""))</x:f>
      </x:c>
      <x:c r="I447" s="6" t="str">
        <x:f>IF(AND(NOT(COUNTA(A447:F447)=0),K447=""),ROUND(J447-D447,3),"")</x:f>
      </x:c>
      <x:c r="J447" s="6" t="str">
        <x:f>IF(AND(NOT(COUNTA(A447:F447)=0),K447=""),ROUND(F447+L447,3),"")</x:f>
      </x:c>
      <x:c r="K447" s="5" t="str">
        <x:f>IF(COUNTA(A447:F447)=0,"",IF(A447="","Missing equipment ID",IF(COUNTIFS($N$8:$N$2007,"="&amp;N447)&gt;1,"Duplicate equipment ID",IF(B447="","Missing type",IF(COUNTIFS('Rules'!$G$7:$G$26,"="&amp;(SUBSTITUTE(SUBSTITUTE(SUBSTITUTE(SUBSTITUTE("type:"&amp;B447,"%","%25"),"~","%7E"),"*","%2A"),"?","%3F")))=0,"Unknown type",IF(COUNTIFS('Rules'!$G$7:$G$26,"="&amp;(SUBSTITUTE(SUBSTITUTE(SUBSTITUTE(SUBSTITUTE("type:"&amp;B447,"%","%25"),"~","%7E"),"*","%2A"),"?","%3F")))&gt;1,"Duplicate type",IF(INDEX('Rules'!$F$7:$F$26,MATCH(SUBSTITUTE(SUBSTITUTE(SUBSTITUTE(SUBSTITUTE("type:"&amp;B447,"%","%25"),"~","%7E"),"*","%2A"),"?","%3F"),'Rules'!$G$7:$G$26,0))&lt;&gt;"",INDEX('Rules'!$F$7:$F$26,MATCH(SUBSTITUTE(SUBSTITUTE(SUBSTITUTE(SUBSTITUTE("type:"&amp;B447,"%","%25"),"~","%7E"),"*","%2A"),"?","%3F"),'Rules'!$G$7:$G$26,0)),IF(AND(C447&lt;&gt;"",C447&lt;&gt;INDEX('Rules'!$B$7:$B$26,MATCH(SUBSTITUTE(SUBSTITUTE(SUBSTITUTE(SUBSTITUTE("type:"&amp;B447,"%","%25"),"~","%7E"),"*","%2A"),"?","%3F"),'Rules'!$G$7:$G$26,0))),"Unit mismatch",IF(IF(NOT(ISNUMBER(D447)),TRUE,OR(D447&lt;0,D447&gt;999999999,ROUND(D447,3)&lt;&gt;D447)),"Invalid current reading",IF(AND(E447&lt;&gt;"",IF(NOT(ISNUMBER(E447)),TRUE,OR(E447&lt;0,E447&gt;999999999,ROUND(E447,3)&lt;&gt;E447))),"Invalid previous reading",IF(IF(NOT(ISNUMBER(F447)),TRUE,OR(F447&lt;0,F447&gt;999999999,ROUND(F447,3)&lt;&gt;F447)),"Invalid last service",IF(AND(E447&lt;&gt;"",D447&lt;E447),"Decreased reading",IF(F447&gt;D447,"Last service above current","")))))))))))))</x:f>
      </x:c>
      <x:c r="L447" s="6" t="str">
        <x:f>IF(AND(NOT(COUNTA(A447:F447)=0),K447=""),INDEX('Rules'!$C$7:$C$26,MATCH(SUBSTITUTE(SUBSTITUTE(SUBSTITUTE(SUBSTITUTE("type:"&amp;B447,"%","%25"),"~","%7E"),"*","%2A"),"?","%3F"),'Rules'!$G$7:$G$26,0)),"")</x:f>
      </x:c>
      <x:c r="M447" s="6" t="str">
        <x:f>IF(AND(NOT(COUNTA(A447:F447)=0),K447=""),INDEX('Rules'!$D$7:$D$26,MATCH(SUBSTITUTE(SUBSTITUTE(SUBSTITUTE(SUBSTITUTE("type:"&amp;B447,"%","%25"),"~","%7E"),"*","%2A"),"?","%3F"),'Rules'!$G$7:$G$26,0)),"")</x:f>
      </x:c>
      <x:c r="N447" s="5" t="str">
        <x:f>IF(COUNTA(A447:F447)=0,"",SUBSTITUTE(SUBSTITUTE(SUBSTITUTE(SUBSTITUTE("id:"&amp;A447,"%","%25"),"~","%7E"),"*","%2A"),"?","%3F"))</x:f>
      </x:c>
    </x:row>
    <x:row r="448" ht="22" customHeight="1">
      <x:c r="A448" s="3"/>
      <x:c r="B448" s="3"/>
      <x:c r="C448" s="3"/>
      <x:c r="D448" s="4"/>
      <x:c r="E448" s="4"/>
      <x:c r="F448" s="4"/>
      <x:c r="G448" s="5" t="str">
        <x:f>IF(COUNTA(A448:F448)=0,"",IF(K448&lt;&gt;"","Review",IF(I448&lt;0,"Overdue",IF(I448=0,"Due now",IF(I448&lt;=M448,"Due soon","Not due")))))</x:f>
      </x:c>
      <x:c r="H448" s="5" t="str">
        <x:f>IF(OR(COUNTA(A448:F448)=0,COUNTIFS('Rules'!$G$7:$G$26,"="&amp;(SUBSTITUTE(SUBSTITUTE(SUBSTITUTE(SUBSTITUTE("type:"&amp;B448,"%","%25"),"~","%7E"),"*","%2A"),"?","%3F")))&lt;&gt;1),"",IF(OR(INDEX('Rules'!$B$7:$B$26,MATCH(SUBSTITUTE(SUBSTITUTE(SUBSTITUTE(SUBSTITUTE("type:"&amp;B448,"%","%25"),"~","%7E"),"*","%2A"),"?","%3F"),'Rules'!$G$7:$G$26,0))="hours",INDEX('Rules'!$B$7:$B$26,MATCH(SUBSTITUTE(SUBSTITUTE(SUBSTITUTE(SUBSTITUTE("type:"&amp;B448,"%","%25"),"~","%7E"),"*","%2A"),"?","%3F"),'Rules'!$G$7:$G$26,0))="km"),INDEX('Rules'!$B$7:$B$26,MATCH(SUBSTITUTE(SUBSTITUTE(SUBSTITUTE(SUBSTITUTE("type:"&amp;B448,"%","%25"),"~","%7E"),"*","%2A"),"?","%3F"),'Rules'!$G$7:$G$26,0)),""))</x:f>
      </x:c>
      <x:c r="I448" s="6" t="str">
        <x:f>IF(AND(NOT(COUNTA(A448:F448)=0),K448=""),ROUND(J448-D448,3),"")</x:f>
      </x:c>
      <x:c r="J448" s="6" t="str">
        <x:f>IF(AND(NOT(COUNTA(A448:F448)=0),K448=""),ROUND(F448+L448,3),"")</x:f>
      </x:c>
      <x:c r="K448" s="5" t="str">
        <x:f>IF(COUNTA(A448:F448)=0,"",IF(A448="","Missing equipment ID",IF(COUNTIFS($N$8:$N$2007,"="&amp;N448)&gt;1,"Duplicate equipment ID",IF(B448="","Missing type",IF(COUNTIFS('Rules'!$G$7:$G$26,"="&amp;(SUBSTITUTE(SUBSTITUTE(SUBSTITUTE(SUBSTITUTE("type:"&amp;B448,"%","%25"),"~","%7E"),"*","%2A"),"?","%3F")))=0,"Unknown type",IF(COUNTIFS('Rules'!$G$7:$G$26,"="&amp;(SUBSTITUTE(SUBSTITUTE(SUBSTITUTE(SUBSTITUTE("type:"&amp;B448,"%","%25"),"~","%7E"),"*","%2A"),"?","%3F")))&gt;1,"Duplicate type",IF(INDEX('Rules'!$F$7:$F$26,MATCH(SUBSTITUTE(SUBSTITUTE(SUBSTITUTE(SUBSTITUTE("type:"&amp;B448,"%","%25"),"~","%7E"),"*","%2A"),"?","%3F"),'Rules'!$G$7:$G$26,0))&lt;&gt;"",INDEX('Rules'!$F$7:$F$26,MATCH(SUBSTITUTE(SUBSTITUTE(SUBSTITUTE(SUBSTITUTE("type:"&amp;B448,"%","%25"),"~","%7E"),"*","%2A"),"?","%3F"),'Rules'!$G$7:$G$26,0)),IF(AND(C448&lt;&gt;"",C448&lt;&gt;INDEX('Rules'!$B$7:$B$26,MATCH(SUBSTITUTE(SUBSTITUTE(SUBSTITUTE(SUBSTITUTE("type:"&amp;B448,"%","%25"),"~","%7E"),"*","%2A"),"?","%3F"),'Rules'!$G$7:$G$26,0))),"Unit mismatch",IF(IF(NOT(ISNUMBER(D448)),TRUE,OR(D448&lt;0,D448&gt;999999999,ROUND(D448,3)&lt;&gt;D448)),"Invalid current reading",IF(AND(E448&lt;&gt;"",IF(NOT(ISNUMBER(E448)),TRUE,OR(E448&lt;0,E448&gt;999999999,ROUND(E448,3)&lt;&gt;E448))),"Invalid previous reading",IF(IF(NOT(ISNUMBER(F448)),TRUE,OR(F448&lt;0,F448&gt;999999999,ROUND(F448,3)&lt;&gt;F448)),"Invalid last service",IF(AND(E448&lt;&gt;"",D448&lt;E448),"Decreased reading",IF(F448&gt;D448,"Last service above current","")))))))))))))</x:f>
      </x:c>
      <x:c r="L448" s="6" t="str">
        <x:f>IF(AND(NOT(COUNTA(A448:F448)=0),K448=""),INDEX('Rules'!$C$7:$C$26,MATCH(SUBSTITUTE(SUBSTITUTE(SUBSTITUTE(SUBSTITUTE("type:"&amp;B448,"%","%25"),"~","%7E"),"*","%2A"),"?","%3F"),'Rules'!$G$7:$G$26,0)),"")</x:f>
      </x:c>
      <x:c r="M448" s="6" t="str">
        <x:f>IF(AND(NOT(COUNTA(A448:F448)=0),K448=""),INDEX('Rules'!$D$7:$D$26,MATCH(SUBSTITUTE(SUBSTITUTE(SUBSTITUTE(SUBSTITUTE("type:"&amp;B448,"%","%25"),"~","%7E"),"*","%2A"),"?","%3F"),'Rules'!$G$7:$G$26,0)),"")</x:f>
      </x:c>
      <x:c r="N448" s="5" t="str">
        <x:f>IF(COUNTA(A448:F448)=0,"",SUBSTITUTE(SUBSTITUTE(SUBSTITUTE(SUBSTITUTE("id:"&amp;A448,"%","%25"),"~","%7E"),"*","%2A"),"?","%3F"))</x:f>
      </x:c>
    </x:row>
    <x:row r="449" ht="22" customHeight="1">
      <x:c r="A449" s="3"/>
      <x:c r="B449" s="3"/>
      <x:c r="C449" s="3"/>
      <x:c r="D449" s="4"/>
      <x:c r="E449" s="4"/>
      <x:c r="F449" s="4"/>
      <x:c r="G449" s="5" t="str">
        <x:f>IF(COUNTA(A449:F449)=0,"",IF(K449&lt;&gt;"","Review",IF(I449&lt;0,"Overdue",IF(I449=0,"Due now",IF(I449&lt;=M449,"Due soon","Not due")))))</x:f>
      </x:c>
      <x:c r="H449" s="5" t="str">
        <x:f>IF(OR(COUNTA(A449:F449)=0,COUNTIFS('Rules'!$G$7:$G$26,"="&amp;(SUBSTITUTE(SUBSTITUTE(SUBSTITUTE(SUBSTITUTE("type:"&amp;B449,"%","%25"),"~","%7E"),"*","%2A"),"?","%3F")))&lt;&gt;1),"",IF(OR(INDEX('Rules'!$B$7:$B$26,MATCH(SUBSTITUTE(SUBSTITUTE(SUBSTITUTE(SUBSTITUTE("type:"&amp;B449,"%","%25"),"~","%7E"),"*","%2A"),"?","%3F"),'Rules'!$G$7:$G$26,0))="hours",INDEX('Rules'!$B$7:$B$26,MATCH(SUBSTITUTE(SUBSTITUTE(SUBSTITUTE(SUBSTITUTE("type:"&amp;B449,"%","%25"),"~","%7E"),"*","%2A"),"?","%3F"),'Rules'!$G$7:$G$26,0))="km"),INDEX('Rules'!$B$7:$B$26,MATCH(SUBSTITUTE(SUBSTITUTE(SUBSTITUTE(SUBSTITUTE("type:"&amp;B449,"%","%25"),"~","%7E"),"*","%2A"),"?","%3F"),'Rules'!$G$7:$G$26,0)),""))</x:f>
      </x:c>
      <x:c r="I449" s="6" t="str">
        <x:f>IF(AND(NOT(COUNTA(A449:F449)=0),K449=""),ROUND(J449-D449,3),"")</x:f>
      </x:c>
      <x:c r="J449" s="6" t="str">
        <x:f>IF(AND(NOT(COUNTA(A449:F449)=0),K449=""),ROUND(F449+L449,3),"")</x:f>
      </x:c>
      <x:c r="K449" s="5" t="str">
        <x:f>IF(COUNTA(A449:F449)=0,"",IF(A449="","Missing equipment ID",IF(COUNTIFS($N$8:$N$2007,"="&amp;N449)&gt;1,"Duplicate equipment ID",IF(B449="","Missing type",IF(COUNTIFS('Rules'!$G$7:$G$26,"="&amp;(SUBSTITUTE(SUBSTITUTE(SUBSTITUTE(SUBSTITUTE("type:"&amp;B449,"%","%25"),"~","%7E"),"*","%2A"),"?","%3F")))=0,"Unknown type",IF(COUNTIFS('Rules'!$G$7:$G$26,"="&amp;(SUBSTITUTE(SUBSTITUTE(SUBSTITUTE(SUBSTITUTE("type:"&amp;B449,"%","%25"),"~","%7E"),"*","%2A"),"?","%3F")))&gt;1,"Duplicate type",IF(INDEX('Rules'!$F$7:$F$26,MATCH(SUBSTITUTE(SUBSTITUTE(SUBSTITUTE(SUBSTITUTE("type:"&amp;B449,"%","%25"),"~","%7E"),"*","%2A"),"?","%3F"),'Rules'!$G$7:$G$26,0))&lt;&gt;"",INDEX('Rules'!$F$7:$F$26,MATCH(SUBSTITUTE(SUBSTITUTE(SUBSTITUTE(SUBSTITUTE("type:"&amp;B449,"%","%25"),"~","%7E"),"*","%2A"),"?","%3F"),'Rules'!$G$7:$G$26,0)),IF(AND(C449&lt;&gt;"",C449&lt;&gt;INDEX('Rules'!$B$7:$B$26,MATCH(SUBSTITUTE(SUBSTITUTE(SUBSTITUTE(SUBSTITUTE("type:"&amp;B449,"%","%25"),"~","%7E"),"*","%2A"),"?","%3F"),'Rules'!$G$7:$G$26,0))),"Unit mismatch",IF(IF(NOT(ISNUMBER(D449)),TRUE,OR(D449&lt;0,D449&gt;999999999,ROUND(D449,3)&lt;&gt;D449)),"Invalid current reading",IF(AND(E449&lt;&gt;"",IF(NOT(ISNUMBER(E449)),TRUE,OR(E449&lt;0,E449&gt;999999999,ROUND(E449,3)&lt;&gt;E449))),"Invalid previous reading",IF(IF(NOT(ISNUMBER(F449)),TRUE,OR(F449&lt;0,F449&gt;999999999,ROUND(F449,3)&lt;&gt;F449)),"Invalid last service",IF(AND(E449&lt;&gt;"",D449&lt;E449),"Decreased reading",IF(F449&gt;D449,"Last service above current","")))))))))))))</x:f>
      </x:c>
      <x:c r="L449" s="6" t="str">
        <x:f>IF(AND(NOT(COUNTA(A449:F449)=0),K449=""),INDEX('Rules'!$C$7:$C$26,MATCH(SUBSTITUTE(SUBSTITUTE(SUBSTITUTE(SUBSTITUTE("type:"&amp;B449,"%","%25"),"~","%7E"),"*","%2A"),"?","%3F"),'Rules'!$G$7:$G$26,0)),"")</x:f>
      </x:c>
      <x:c r="M449" s="6" t="str">
        <x:f>IF(AND(NOT(COUNTA(A449:F449)=0),K449=""),INDEX('Rules'!$D$7:$D$26,MATCH(SUBSTITUTE(SUBSTITUTE(SUBSTITUTE(SUBSTITUTE("type:"&amp;B449,"%","%25"),"~","%7E"),"*","%2A"),"?","%3F"),'Rules'!$G$7:$G$26,0)),"")</x:f>
      </x:c>
      <x:c r="N449" s="5" t="str">
        <x:f>IF(COUNTA(A449:F449)=0,"",SUBSTITUTE(SUBSTITUTE(SUBSTITUTE(SUBSTITUTE("id:"&amp;A449,"%","%25"),"~","%7E"),"*","%2A"),"?","%3F"))</x:f>
      </x:c>
    </x:row>
    <x:row r="450" ht="22" customHeight="1">
      <x:c r="A450" s="3"/>
      <x:c r="B450" s="3"/>
      <x:c r="C450" s="3"/>
      <x:c r="D450" s="4"/>
      <x:c r="E450" s="4"/>
      <x:c r="F450" s="4"/>
      <x:c r="G450" s="5" t="str">
        <x:f>IF(COUNTA(A450:F450)=0,"",IF(K450&lt;&gt;"","Review",IF(I450&lt;0,"Overdue",IF(I450=0,"Due now",IF(I450&lt;=M450,"Due soon","Not due")))))</x:f>
      </x:c>
      <x:c r="H450" s="5" t="str">
        <x:f>IF(OR(COUNTA(A450:F450)=0,COUNTIFS('Rules'!$G$7:$G$26,"="&amp;(SUBSTITUTE(SUBSTITUTE(SUBSTITUTE(SUBSTITUTE("type:"&amp;B450,"%","%25"),"~","%7E"),"*","%2A"),"?","%3F")))&lt;&gt;1),"",IF(OR(INDEX('Rules'!$B$7:$B$26,MATCH(SUBSTITUTE(SUBSTITUTE(SUBSTITUTE(SUBSTITUTE("type:"&amp;B450,"%","%25"),"~","%7E"),"*","%2A"),"?","%3F"),'Rules'!$G$7:$G$26,0))="hours",INDEX('Rules'!$B$7:$B$26,MATCH(SUBSTITUTE(SUBSTITUTE(SUBSTITUTE(SUBSTITUTE("type:"&amp;B450,"%","%25"),"~","%7E"),"*","%2A"),"?","%3F"),'Rules'!$G$7:$G$26,0))="km"),INDEX('Rules'!$B$7:$B$26,MATCH(SUBSTITUTE(SUBSTITUTE(SUBSTITUTE(SUBSTITUTE("type:"&amp;B450,"%","%25"),"~","%7E"),"*","%2A"),"?","%3F"),'Rules'!$G$7:$G$26,0)),""))</x:f>
      </x:c>
      <x:c r="I450" s="6" t="str">
        <x:f>IF(AND(NOT(COUNTA(A450:F450)=0),K450=""),ROUND(J450-D450,3),"")</x:f>
      </x:c>
      <x:c r="J450" s="6" t="str">
        <x:f>IF(AND(NOT(COUNTA(A450:F450)=0),K450=""),ROUND(F450+L450,3),"")</x:f>
      </x:c>
      <x:c r="K450" s="5" t="str">
        <x:f>IF(COUNTA(A450:F450)=0,"",IF(A450="","Missing equipment ID",IF(COUNTIFS($N$8:$N$2007,"="&amp;N450)&gt;1,"Duplicate equipment ID",IF(B450="","Missing type",IF(COUNTIFS('Rules'!$G$7:$G$26,"="&amp;(SUBSTITUTE(SUBSTITUTE(SUBSTITUTE(SUBSTITUTE("type:"&amp;B450,"%","%25"),"~","%7E"),"*","%2A"),"?","%3F")))=0,"Unknown type",IF(COUNTIFS('Rules'!$G$7:$G$26,"="&amp;(SUBSTITUTE(SUBSTITUTE(SUBSTITUTE(SUBSTITUTE("type:"&amp;B450,"%","%25"),"~","%7E"),"*","%2A"),"?","%3F")))&gt;1,"Duplicate type",IF(INDEX('Rules'!$F$7:$F$26,MATCH(SUBSTITUTE(SUBSTITUTE(SUBSTITUTE(SUBSTITUTE("type:"&amp;B450,"%","%25"),"~","%7E"),"*","%2A"),"?","%3F"),'Rules'!$G$7:$G$26,0))&lt;&gt;"",INDEX('Rules'!$F$7:$F$26,MATCH(SUBSTITUTE(SUBSTITUTE(SUBSTITUTE(SUBSTITUTE("type:"&amp;B450,"%","%25"),"~","%7E"),"*","%2A"),"?","%3F"),'Rules'!$G$7:$G$26,0)),IF(AND(C450&lt;&gt;"",C450&lt;&gt;INDEX('Rules'!$B$7:$B$26,MATCH(SUBSTITUTE(SUBSTITUTE(SUBSTITUTE(SUBSTITUTE("type:"&amp;B450,"%","%25"),"~","%7E"),"*","%2A"),"?","%3F"),'Rules'!$G$7:$G$26,0))),"Unit mismatch",IF(IF(NOT(ISNUMBER(D450)),TRUE,OR(D450&lt;0,D450&gt;999999999,ROUND(D450,3)&lt;&gt;D450)),"Invalid current reading",IF(AND(E450&lt;&gt;"",IF(NOT(ISNUMBER(E450)),TRUE,OR(E450&lt;0,E450&gt;999999999,ROUND(E450,3)&lt;&gt;E450))),"Invalid previous reading",IF(IF(NOT(ISNUMBER(F450)),TRUE,OR(F450&lt;0,F450&gt;999999999,ROUND(F450,3)&lt;&gt;F450)),"Invalid last service",IF(AND(E450&lt;&gt;"",D450&lt;E450),"Decreased reading",IF(F450&gt;D450,"Last service above current","")))))))))))))</x:f>
      </x:c>
      <x:c r="L450" s="6" t="str">
        <x:f>IF(AND(NOT(COUNTA(A450:F450)=0),K450=""),INDEX('Rules'!$C$7:$C$26,MATCH(SUBSTITUTE(SUBSTITUTE(SUBSTITUTE(SUBSTITUTE("type:"&amp;B450,"%","%25"),"~","%7E"),"*","%2A"),"?","%3F"),'Rules'!$G$7:$G$26,0)),"")</x:f>
      </x:c>
      <x:c r="M450" s="6" t="str">
        <x:f>IF(AND(NOT(COUNTA(A450:F450)=0),K450=""),INDEX('Rules'!$D$7:$D$26,MATCH(SUBSTITUTE(SUBSTITUTE(SUBSTITUTE(SUBSTITUTE("type:"&amp;B450,"%","%25"),"~","%7E"),"*","%2A"),"?","%3F"),'Rules'!$G$7:$G$26,0)),"")</x:f>
      </x:c>
      <x:c r="N450" s="5" t="str">
        <x:f>IF(COUNTA(A450:F450)=0,"",SUBSTITUTE(SUBSTITUTE(SUBSTITUTE(SUBSTITUTE("id:"&amp;A450,"%","%25"),"~","%7E"),"*","%2A"),"?","%3F"))</x:f>
      </x:c>
    </x:row>
    <x:row r="451" ht="22" customHeight="1">
      <x:c r="A451" s="3"/>
      <x:c r="B451" s="3"/>
      <x:c r="C451" s="3"/>
      <x:c r="D451" s="4"/>
      <x:c r="E451" s="4"/>
      <x:c r="F451" s="4"/>
      <x:c r="G451" s="5" t="str">
        <x:f>IF(COUNTA(A451:F451)=0,"",IF(K451&lt;&gt;"","Review",IF(I451&lt;0,"Overdue",IF(I451=0,"Due now",IF(I451&lt;=M451,"Due soon","Not due")))))</x:f>
      </x:c>
      <x:c r="H451" s="5" t="str">
        <x:f>IF(OR(COUNTA(A451:F451)=0,COUNTIFS('Rules'!$G$7:$G$26,"="&amp;(SUBSTITUTE(SUBSTITUTE(SUBSTITUTE(SUBSTITUTE("type:"&amp;B451,"%","%25"),"~","%7E"),"*","%2A"),"?","%3F")))&lt;&gt;1),"",IF(OR(INDEX('Rules'!$B$7:$B$26,MATCH(SUBSTITUTE(SUBSTITUTE(SUBSTITUTE(SUBSTITUTE("type:"&amp;B451,"%","%25"),"~","%7E"),"*","%2A"),"?","%3F"),'Rules'!$G$7:$G$26,0))="hours",INDEX('Rules'!$B$7:$B$26,MATCH(SUBSTITUTE(SUBSTITUTE(SUBSTITUTE(SUBSTITUTE("type:"&amp;B451,"%","%25"),"~","%7E"),"*","%2A"),"?","%3F"),'Rules'!$G$7:$G$26,0))="km"),INDEX('Rules'!$B$7:$B$26,MATCH(SUBSTITUTE(SUBSTITUTE(SUBSTITUTE(SUBSTITUTE("type:"&amp;B451,"%","%25"),"~","%7E"),"*","%2A"),"?","%3F"),'Rules'!$G$7:$G$26,0)),""))</x:f>
      </x:c>
      <x:c r="I451" s="6" t="str">
        <x:f>IF(AND(NOT(COUNTA(A451:F451)=0),K451=""),ROUND(J451-D451,3),"")</x:f>
      </x:c>
      <x:c r="J451" s="6" t="str">
        <x:f>IF(AND(NOT(COUNTA(A451:F451)=0),K451=""),ROUND(F451+L451,3),"")</x:f>
      </x:c>
      <x:c r="K451" s="5" t="str">
        <x:f>IF(COUNTA(A451:F451)=0,"",IF(A451="","Missing equipment ID",IF(COUNTIFS($N$8:$N$2007,"="&amp;N451)&gt;1,"Duplicate equipment ID",IF(B451="","Missing type",IF(COUNTIFS('Rules'!$G$7:$G$26,"="&amp;(SUBSTITUTE(SUBSTITUTE(SUBSTITUTE(SUBSTITUTE("type:"&amp;B451,"%","%25"),"~","%7E"),"*","%2A"),"?","%3F")))=0,"Unknown type",IF(COUNTIFS('Rules'!$G$7:$G$26,"="&amp;(SUBSTITUTE(SUBSTITUTE(SUBSTITUTE(SUBSTITUTE("type:"&amp;B451,"%","%25"),"~","%7E"),"*","%2A"),"?","%3F")))&gt;1,"Duplicate type",IF(INDEX('Rules'!$F$7:$F$26,MATCH(SUBSTITUTE(SUBSTITUTE(SUBSTITUTE(SUBSTITUTE("type:"&amp;B451,"%","%25"),"~","%7E"),"*","%2A"),"?","%3F"),'Rules'!$G$7:$G$26,0))&lt;&gt;"",INDEX('Rules'!$F$7:$F$26,MATCH(SUBSTITUTE(SUBSTITUTE(SUBSTITUTE(SUBSTITUTE("type:"&amp;B451,"%","%25"),"~","%7E"),"*","%2A"),"?","%3F"),'Rules'!$G$7:$G$26,0)),IF(AND(C451&lt;&gt;"",C451&lt;&gt;INDEX('Rules'!$B$7:$B$26,MATCH(SUBSTITUTE(SUBSTITUTE(SUBSTITUTE(SUBSTITUTE("type:"&amp;B451,"%","%25"),"~","%7E"),"*","%2A"),"?","%3F"),'Rules'!$G$7:$G$26,0))),"Unit mismatch",IF(IF(NOT(ISNUMBER(D451)),TRUE,OR(D451&lt;0,D451&gt;999999999,ROUND(D451,3)&lt;&gt;D451)),"Invalid current reading",IF(AND(E451&lt;&gt;"",IF(NOT(ISNUMBER(E451)),TRUE,OR(E451&lt;0,E451&gt;999999999,ROUND(E451,3)&lt;&gt;E451))),"Invalid previous reading",IF(IF(NOT(ISNUMBER(F451)),TRUE,OR(F451&lt;0,F451&gt;999999999,ROUND(F451,3)&lt;&gt;F451)),"Invalid last service",IF(AND(E451&lt;&gt;"",D451&lt;E451),"Decreased reading",IF(F451&gt;D451,"Last service above current","")))))))))))))</x:f>
      </x:c>
      <x:c r="L451" s="6" t="str">
        <x:f>IF(AND(NOT(COUNTA(A451:F451)=0),K451=""),INDEX('Rules'!$C$7:$C$26,MATCH(SUBSTITUTE(SUBSTITUTE(SUBSTITUTE(SUBSTITUTE("type:"&amp;B451,"%","%25"),"~","%7E"),"*","%2A"),"?","%3F"),'Rules'!$G$7:$G$26,0)),"")</x:f>
      </x:c>
      <x:c r="M451" s="6" t="str">
        <x:f>IF(AND(NOT(COUNTA(A451:F451)=0),K451=""),INDEX('Rules'!$D$7:$D$26,MATCH(SUBSTITUTE(SUBSTITUTE(SUBSTITUTE(SUBSTITUTE("type:"&amp;B451,"%","%25"),"~","%7E"),"*","%2A"),"?","%3F"),'Rules'!$G$7:$G$26,0)),"")</x:f>
      </x:c>
      <x:c r="N451" s="5" t="str">
        <x:f>IF(COUNTA(A451:F451)=0,"",SUBSTITUTE(SUBSTITUTE(SUBSTITUTE(SUBSTITUTE("id:"&amp;A451,"%","%25"),"~","%7E"),"*","%2A"),"?","%3F"))</x:f>
      </x:c>
    </x:row>
    <x:row r="452" ht="22" customHeight="1">
      <x:c r="A452" s="3"/>
      <x:c r="B452" s="3"/>
      <x:c r="C452" s="3"/>
      <x:c r="D452" s="4"/>
      <x:c r="E452" s="4"/>
      <x:c r="F452" s="4"/>
      <x:c r="G452" s="5" t="str">
        <x:f>IF(COUNTA(A452:F452)=0,"",IF(K452&lt;&gt;"","Review",IF(I452&lt;0,"Overdue",IF(I452=0,"Due now",IF(I452&lt;=M452,"Due soon","Not due")))))</x:f>
      </x:c>
      <x:c r="H452" s="5" t="str">
        <x:f>IF(OR(COUNTA(A452:F452)=0,COUNTIFS('Rules'!$G$7:$G$26,"="&amp;(SUBSTITUTE(SUBSTITUTE(SUBSTITUTE(SUBSTITUTE("type:"&amp;B452,"%","%25"),"~","%7E"),"*","%2A"),"?","%3F")))&lt;&gt;1),"",IF(OR(INDEX('Rules'!$B$7:$B$26,MATCH(SUBSTITUTE(SUBSTITUTE(SUBSTITUTE(SUBSTITUTE("type:"&amp;B452,"%","%25"),"~","%7E"),"*","%2A"),"?","%3F"),'Rules'!$G$7:$G$26,0))="hours",INDEX('Rules'!$B$7:$B$26,MATCH(SUBSTITUTE(SUBSTITUTE(SUBSTITUTE(SUBSTITUTE("type:"&amp;B452,"%","%25"),"~","%7E"),"*","%2A"),"?","%3F"),'Rules'!$G$7:$G$26,0))="km"),INDEX('Rules'!$B$7:$B$26,MATCH(SUBSTITUTE(SUBSTITUTE(SUBSTITUTE(SUBSTITUTE("type:"&amp;B452,"%","%25"),"~","%7E"),"*","%2A"),"?","%3F"),'Rules'!$G$7:$G$26,0)),""))</x:f>
      </x:c>
      <x:c r="I452" s="6" t="str">
        <x:f>IF(AND(NOT(COUNTA(A452:F452)=0),K452=""),ROUND(J452-D452,3),"")</x:f>
      </x:c>
      <x:c r="J452" s="6" t="str">
        <x:f>IF(AND(NOT(COUNTA(A452:F452)=0),K452=""),ROUND(F452+L452,3),"")</x:f>
      </x:c>
      <x:c r="K452" s="5" t="str">
        <x:f>IF(COUNTA(A452:F452)=0,"",IF(A452="","Missing equipment ID",IF(COUNTIFS($N$8:$N$2007,"="&amp;N452)&gt;1,"Duplicate equipment ID",IF(B452="","Missing type",IF(COUNTIFS('Rules'!$G$7:$G$26,"="&amp;(SUBSTITUTE(SUBSTITUTE(SUBSTITUTE(SUBSTITUTE("type:"&amp;B452,"%","%25"),"~","%7E"),"*","%2A"),"?","%3F")))=0,"Unknown type",IF(COUNTIFS('Rules'!$G$7:$G$26,"="&amp;(SUBSTITUTE(SUBSTITUTE(SUBSTITUTE(SUBSTITUTE("type:"&amp;B452,"%","%25"),"~","%7E"),"*","%2A"),"?","%3F")))&gt;1,"Duplicate type",IF(INDEX('Rules'!$F$7:$F$26,MATCH(SUBSTITUTE(SUBSTITUTE(SUBSTITUTE(SUBSTITUTE("type:"&amp;B452,"%","%25"),"~","%7E"),"*","%2A"),"?","%3F"),'Rules'!$G$7:$G$26,0))&lt;&gt;"",INDEX('Rules'!$F$7:$F$26,MATCH(SUBSTITUTE(SUBSTITUTE(SUBSTITUTE(SUBSTITUTE("type:"&amp;B452,"%","%25"),"~","%7E"),"*","%2A"),"?","%3F"),'Rules'!$G$7:$G$26,0)),IF(AND(C452&lt;&gt;"",C452&lt;&gt;INDEX('Rules'!$B$7:$B$26,MATCH(SUBSTITUTE(SUBSTITUTE(SUBSTITUTE(SUBSTITUTE("type:"&amp;B452,"%","%25"),"~","%7E"),"*","%2A"),"?","%3F"),'Rules'!$G$7:$G$26,0))),"Unit mismatch",IF(IF(NOT(ISNUMBER(D452)),TRUE,OR(D452&lt;0,D452&gt;999999999,ROUND(D452,3)&lt;&gt;D452)),"Invalid current reading",IF(AND(E452&lt;&gt;"",IF(NOT(ISNUMBER(E452)),TRUE,OR(E452&lt;0,E452&gt;999999999,ROUND(E452,3)&lt;&gt;E452))),"Invalid previous reading",IF(IF(NOT(ISNUMBER(F452)),TRUE,OR(F452&lt;0,F452&gt;999999999,ROUND(F452,3)&lt;&gt;F452)),"Invalid last service",IF(AND(E452&lt;&gt;"",D452&lt;E452),"Decreased reading",IF(F452&gt;D452,"Last service above current","")))))))))))))</x:f>
      </x:c>
      <x:c r="L452" s="6" t="str">
        <x:f>IF(AND(NOT(COUNTA(A452:F452)=0),K452=""),INDEX('Rules'!$C$7:$C$26,MATCH(SUBSTITUTE(SUBSTITUTE(SUBSTITUTE(SUBSTITUTE("type:"&amp;B452,"%","%25"),"~","%7E"),"*","%2A"),"?","%3F"),'Rules'!$G$7:$G$26,0)),"")</x:f>
      </x:c>
      <x:c r="M452" s="6" t="str">
        <x:f>IF(AND(NOT(COUNTA(A452:F452)=0),K452=""),INDEX('Rules'!$D$7:$D$26,MATCH(SUBSTITUTE(SUBSTITUTE(SUBSTITUTE(SUBSTITUTE("type:"&amp;B452,"%","%25"),"~","%7E"),"*","%2A"),"?","%3F"),'Rules'!$G$7:$G$26,0)),"")</x:f>
      </x:c>
      <x:c r="N452" s="5" t="str">
        <x:f>IF(COUNTA(A452:F452)=0,"",SUBSTITUTE(SUBSTITUTE(SUBSTITUTE(SUBSTITUTE("id:"&amp;A452,"%","%25"),"~","%7E"),"*","%2A"),"?","%3F"))</x:f>
      </x:c>
    </x:row>
    <x:row r="453" ht="22" customHeight="1">
      <x:c r="A453" s="3"/>
      <x:c r="B453" s="3"/>
      <x:c r="C453" s="3"/>
      <x:c r="D453" s="4"/>
      <x:c r="E453" s="4"/>
      <x:c r="F453" s="4"/>
      <x:c r="G453" s="5" t="str">
        <x:f>IF(COUNTA(A453:F453)=0,"",IF(K453&lt;&gt;"","Review",IF(I453&lt;0,"Overdue",IF(I453=0,"Due now",IF(I453&lt;=M453,"Due soon","Not due")))))</x:f>
      </x:c>
      <x:c r="H453" s="5" t="str">
        <x:f>IF(OR(COUNTA(A453:F453)=0,COUNTIFS('Rules'!$G$7:$G$26,"="&amp;(SUBSTITUTE(SUBSTITUTE(SUBSTITUTE(SUBSTITUTE("type:"&amp;B453,"%","%25"),"~","%7E"),"*","%2A"),"?","%3F")))&lt;&gt;1),"",IF(OR(INDEX('Rules'!$B$7:$B$26,MATCH(SUBSTITUTE(SUBSTITUTE(SUBSTITUTE(SUBSTITUTE("type:"&amp;B453,"%","%25"),"~","%7E"),"*","%2A"),"?","%3F"),'Rules'!$G$7:$G$26,0))="hours",INDEX('Rules'!$B$7:$B$26,MATCH(SUBSTITUTE(SUBSTITUTE(SUBSTITUTE(SUBSTITUTE("type:"&amp;B453,"%","%25"),"~","%7E"),"*","%2A"),"?","%3F"),'Rules'!$G$7:$G$26,0))="km"),INDEX('Rules'!$B$7:$B$26,MATCH(SUBSTITUTE(SUBSTITUTE(SUBSTITUTE(SUBSTITUTE("type:"&amp;B453,"%","%25"),"~","%7E"),"*","%2A"),"?","%3F"),'Rules'!$G$7:$G$26,0)),""))</x:f>
      </x:c>
      <x:c r="I453" s="6" t="str">
        <x:f>IF(AND(NOT(COUNTA(A453:F453)=0),K453=""),ROUND(J453-D453,3),"")</x:f>
      </x:c>
      <x:c r="J453" s="6" t="str">
        <x:f>IF(AND(NOT(COUNTA(A453:F453)=0),K453=""),ROUND(F453+L453,3),"")</x:f>
      </x:c>
      <x:c r="K453" s="5" t="str">
        <x:f>IF(COUNTA(A453:F453)=0,"",IF(A453="","Missing equipment ID",IF(COUNTIFS($N$8:$N$2007,"="&amp;N453)&gt;1,"Duplicate equipment ID",IF(B453="","Missing type",IF(COUNTIFS('Rules'!$G$7:$G$26,"="&amp;(SUBSTITUTE(SUBSTITUTE(SUBSTITUTE(SUBSTITUTE("type:"&amp;B453,"%","%25"),"~","%7E"),"*","%2A"),"?","%3F")))=0,"Unknown type",IF(COUNTIFS('Rules'!$G$7:$G$26,"="&amp;(SUBSTITUTE(SUBSTITUTE(SUBSTITUTE(SUBSTITUTE("type:"&amp;B453,"%","%25"),"~","%7E"),"*","%2A"),"?","%3F")))&gt;1,"Duplicate type",IF(INDEX('Rules'!$F$7:$F$26,MATCH(SUBSTITUTE(SUBSTITUTE(SUBSTITUTE(SUBSTITUTE("type:"&amp;B453,"%","%25"),"~","%7E"),"*","%2A"),"?","%3F"),'Rules'!$G$7:$G$26,0))&lt;&gt;"",INDEX('Rules'!$F$7:$F$26,MATCH(SUBSTITUTE(SUBSTITUTE(SUBSTITUTE(SUBSTITUTE("type:"&amp;B453,"%","%25"),"~","%7E"),"*","%2A"),"?","%3F"),'Rules'!$G$7:$G$26,0)),IF(AND(C453&lt;&gt;"",C453&lt;&gt;INDEX('Rules'!$B$7:$B$26,MATCH(SUBSTITUTE(SUBSTITUTE(SUBSTITUTE(SUBSTITUTE("type:"&amp;B453,"%","%25"),"~","%7E"),"*","%2A"),"?","%3F"),'Rules'!$G$7:$G$26,0))),"Unit mismatch",IF(IF(NOT(ISNUMBER(D453)),TRUE,OR(D453&lt;0,D453&gt;999999999,ROUND(D453,3)&lt;&gt;D453)),"Invalid current reading",IF(AND(E453&lt;&gt;"",IF(NOT(ISNUMBER(E453)),TRUE,OR(E453&lt;0,E453&gt;999999999,ROUND(E453,3)&lt;&gt;E453))),"Invalid previous reading",IF(IF(NOT(ISNUMBER(F453)),TRUE,OR(F453&lt;0,F453&gt;999999999,ROUND(F453,3)&lt;&gt;F453)),"Invalid last service",IF(AND(E453&lt;&gt;"",D453&lt;E453),"Decreased reading",IF(F453&gt;D453,"Last service above current","")))))))))))))</x:f>
      </x:c>
      <x:c r="L453" s="6" t="str">
        <x:f>IF(AND(NOT(COUNTA(A453:F453)=0),K453=""),INDEX('Rules'!$C$7:$C$26,MATCH(SUBSTITUTE(SUBSTITUTE(SUBSTITUTE(SUBSTITUTE("type:"&amp;B453,"%","%25"),"~","%7E"),"*","%2A"),"?","%3F"),'Rules'!$G$7:$G$26,0)),"")</x:f>
      </x:c>
      <x:c r="M453" s="6" t="str">
        <x:f>IF(AND(NOT(COUNTA(A453:F453)=0),K453=""),INDEX('Rules'!$D$7:$D$26,MATCH(SUBSTITUTE(SUBSTITUTE(SUBSTITUTE(SUBSTITUTE("type:"&amp;B453,"%","%25"),"~","%7E"),"*","%2A"),"?","%3F"),'Rules'!$G$7:$G$26,0)),"")</x:f>
      </x:c>
      <x:c r="N453" s="5" t="str">
        <x:f>IF(COUNTA(A453:F453)=0,"",SUBSTITUTE(SUBSTITUTE(SUBSTITUTE(SUBSTITUTE("id:"&amp;A453,"%","%25"),"~","%7E"),"*","%2A"),"?","%3F"))</x:f>
      </x:c>
    </x:row>
    <x:row r="454" ht="22" customHeight="1">
      <x:c r="A454" s="3"/>
      <x:c r="B454" s="3"/>
      <x:c r="C454" s="3"/>
      <x:c r="D454" s="4"/>
      <x:c r="E454" s="4"/>
      <x:c r="F454" s="4"/>
      <x:c r="G454" s="5" t="str">
        <x:f>IF(COUNTA(A454:F454)=0,"",IF(K454&lt;&gt;"","Review",IF(I454&lt;0,"Overdue",IF(I454=0,"Due now",IF(I454&lt;=M454,"Due soon","Not due")))))</x:f>
      </x:c>
      <x:c r="H454" s="5" t="str">
        <x:f>IF(OR(COUNTA(A454:F454)=0,COUNTIFS('Rules'!$G$7:$G$26,"="&amp;(SUBSTITUTE(SUBSTITUTE(SUBSTITUTE(SUBSTITUTE("type:"&amp;B454,"%","%25"),"~","%7E"),"*","%2A"),"?","%3F")))&lt;&gt;1),"",IF(OR(INDEX('Rules'!$B$7:$B$26,MATCH(SUBSTITUTE(SUBSTITUTE(SUBSTITUTE(SUBSTITUTE("type:"&amp;B454,"%","%25"),"~","%7E"),"*","%2A"),"?","%3F"),'Rules'!$G$7:$G$26,0))="hours",INDEX('Rules'!$B$7:$B$26,MATCH(SUBSTITUTE(SUBSTITUTE(SUBSTITUTE(SUBSTITUTE("type:"&amp;B454,"%","%25"),"~","%7E"),"*","%2A"),"?","%3F"),'Rules'!$G$7:$G$26,0))="km"),INDEX('Rules'!$B$7:$B$26,MATCH(SUBSTITUTE(SUBSTITUTE(SUBSTITUTE(SUBSTITUTE("type:"&amp;B454,"%","%25"),"~","%7E"),"*","%2A"),"?","%3F"),'Rules'!$G$7:$G$26,0)),""))</x:f>
      </x:c>
      <x:c r="I454" s="6" t="str">
        <x:f>IF(AND(NOT(COUNTA(A454:F454)=0),K454=""),ROUND(J454-D454,3),"")</x:f>
      </x:c>
      <x:c r="J454" s="6" t="str">
        <x:f>IF(AND(NOT(COUNTA(A454:F454)=0),K454=""),ROUND(F454+L454,3),"")</x:f>
      </x:c>
      <x:c r="K454" s="5" t="str">
        <x:f>IF(COUNTA(A454:F454)=0,"",IF(A454="","Missing equipment ID",IF(COUNTIFS($N$8:$N$2007,"="&amp;N454)&gt;1,"Duplicate equipment ID",IF(B454="","Missing type",IF(COUNTIFS('Rules'!$G$7:$G$26,"="&amp;(SUBSTITUTE(SUBSTITUTE(SUBSTITUTE(SUBSTITUTE("type:"&amp;B454,"%","%25"),"~","%7E"),"*","%2A"),"?","%3F")))=0,"Unknown type",IF(COUNTIFS('Rules'!$G$7:$G$26,"="&amp;(SUBSTITUTE(SUBSTITUTE(SUBSTITUTE(SUBSTITUTE("type:"&amp;B454,"%","%25"),"~","%7E"),"*","%2A"),"?","%3F")))&gt;1,"Duplicate type",IF(INDEX('Rules'!$F$7:$F$26,MATCH(SUBSTITUTE(SUBSTITUTE(SUBSTITUTE(SUBSTITUTE("type:"&amp;B454,"%","%25"),"~","%7E"),"*","%2A"),"?","%3F"),'Rules'!$G$7:$G$26,0))&lt;&gt;"",INDEX('Rules'!$F$7:$F$26,MATCH(SUBSTITUTE(SUBSTITUTE(SUBSTITUTE(SUBSTITUTE("type:"&amp;B454,"%","%25"),"~","%7E"),"*","%2A"),"?","%3F"),'Rules'!$G$7:$G$26,0)),IF(AND(C454&lt;&gt;"",C454&lt;&gt;INDEX('Rules'!$B$7:$B$26,MATCH(SUBSTITUTE(SUBSTITUTE(SUBSTITUTE(SUBSTITUTE("type:"&amp;B454,"%","%25"),"~","%7E"),"*","%2A"),"?","%3F"),'Rules'!$G$7:$G$26,0))),"Unit mismatch",IF(IF(NOT(ISNUMBER(D454)),TRUE,OR(D454&lt;0,D454&gt;999999999,ROUND(D454,3)&lt;&gt;D454)),"Invalid current reading",IF(AND(E454&lt;&gt;"",IF(NOT(ISNUMBER(E454)),TRUE,OR(E454&lt;0,E454&gt;999999999,ROUND(E454,3)&lt;&gt;E454))),"Invalid previous reading",IF(IF(NOT(ISNUMBER(F454)),TRUE,OR(F454&lt;0,F454&gt;999999999,ROUND(F454,3)&lt;&gt;F454)),"Invalid last service",IF(AND(E454&lt;&gt;"",D454&lt;E454),"Decreased reading",IF(F454&gt;D454,"Last service above current","")))))))))))))</x:f>
      </x:c>
      <x:c r="L454" s="6" t="str">
        <x:f>IF(AND(NOT(COUNTA(A454:F454)=0),K454=""),INDEX('Rules'!$C$7:$C$26,MATCH(SUBSTITUTE(SUBSTITUTE(SUBSTITUTE(SUBSTITUTE("type:"&amp;B454,"%","%25"),"~","%7E"),"*","%2A"),"?","%3F"),'Rules'!$G$7:$G$26,0)),"")</x:f>
      </x:c>
      <x:c r="M454" s="6" t="str">
        <x:f>IF(AND(NOT(COUNTA(A454:F454)=0),K454=""),INDEX('Rules'!$D$7:$D$26,MATCH(SUBSTITUTE(SUBSTITUTE(SUBSTITUTE(SUBSTITUTE("type:"&amp;B454,"%","%25"),"~","%7E"),"*","%2A"),"?","%3F"),'Rules'!$G$7:$G$26,0)),"")</x:f>
      </x:c>
      <x:c r="N454" s="5" t="str">
        <x:f>IF(COUNTA(A454:F454)=0,"",SUBSTITUTE(SUBSTITUTE(SUBSTITUTE(SUBSTITUTE("id:"&amp;A454,"%","%25"),"~","%7E"),"*","%2A"),"?","%3F"))</x:f>
      </x:c>
    </x:row>
    <x:row r="455" ht="22" customHeight="1">
      <x:c r="A455" s="3"/>
      <x:c r="B455" s="3"/>
      <x:c r="C455" s="3"/>
      <x:c r="D455" s="4"/>
      <x:c r="E455" s="4"/>
      <x:c r="F455" s="4"/>
      <x:c r="G455" s="5" t="str">
        <x:f>IF(COUNTA(A455:F455)=0,"",IF(K455&lt;&gt;"","Review",IF(I455&lt;0,"Overdue",IF(I455=0,"Due now",IF(I455&lt;=M455,"Due soon","Not due")))))</x:f>
      </x:c>
      <x:c r="H455" s="5" t="str">
        <x:f>IF(OR(COUNTA(A455:F455)=0,COUNTIFS('Rules'!$G$7:$G$26,"="&amp;(SUBSTITUTE(SUBSTITUTE(SUBSTITUTE(SUBSTITUTE("type:"&amp;B455,"%","%25"),"~","%7E"),"*","%2A"),"?","%3F")))&lt;&gt;1),"",IF(OR(INDEX('Rules'!$B$7:$B$26,MATCH(SUBSTITUTE(SUBSTITUTE(SUBSTITUTE(SUBSTITUTE("type:"&amp;B455,"%","%25"),"~","%7E"),"*","%2A"),"?","%3F"),'Rules'!$G$7:$G$26,0))="hours",INDEX('Rules'!$B$7:$B$26,MATCH(SUBSTITUTE(SUBSTITUTE(SUBSTITUTE(SUBSTITUTE("type:"&amp;B455,"%","%25"),"~","%7E"),"*","%2A"),"?","%3F"),'Rules'!$G$7:$G$26,0))="km"),INDEX('Rules'!$B$7:$B$26,MATCH(SUBSTITUTE(SUBSTITUTE(SUBSTITUTE(SUBSTITUTE("type:"&amp;B455,"%","%25"),"~","%7E"),"*","%2A"),"?","%3F"),'Rules'!$G$7:$G$26,0)),""))</x:f>
      </x:c>
      <x:c r="I455" s="6" t="str">
        <x:f>IF(AND(NOT(COUNTA(A455:F455)=0),K455=""),ROUND(J455-D455,3),"")</x:f>
      </x:c>
      <x:c r="J455" s="6" t="str">
        <x:f>IF(AND(NOT(COUNTA(A455:F455)=0),K455=""),ROUND(F455+L455,3),"")</x:f>
      </x:c>
      <x:c r="K455" s="5" t="str">
        <x:f>IF(COUNTA(A455:F455)=0,"",IF(A455="","Missing equipment ID",IF(COUNTIFS($N$8:$N$2007,"="&amp;N455)&gt;1,"Duplicate equipment ID",IF(B455="","Missing type",IF(COUNTIFS('Rules'!$G$7:$G$26,"="&amp;(SUBSTITUTE(SUBSTITUTE(SUBSTITUTE(SUBSTITUTE("type:"&amp;B455,"%","%25"),"~","%7E"),"*","%2A"),"?","%3F")))=0,"Unknown type",IF(COUNTIFS('Rules'!$G$7:$G$26,"="&amp;(SUBSTITUTE(SUBSTITUTE(SUBSTITUTE(SUBSTITUTE("type:"&amp;B455,"%","%25"),"~","%7E"),"*","%2A"),"?","%3F")))&gt;1,"Duplicate type",IF(INDEX('Rules'!$F$7:$F$26,MATCH(SUBSTITUTE(SUBSTITUTE(SUBSTITUTE(SUBSTITUTE("type:"&amp;B455,"%","%25"),"~","%7E"),"*","%2A"),"?","%3F"),'Rules'!$G$7:$G$26,0))&lt;&gt;"",INDEX('Rules'!$F$7:$F$26,MATCH(SUBSTITUTE(SUBSTITUTE(SUBSTITUTE(SUBSTITUTE("type:"&amp;B455,"%","%25"),"~","%7E"),"*","%2A"),"?","%3F"),'Rules'!$G$7:$G$26,0)),IF(AND(C455&lt;&gt;"",C455&lt;&gt;INDEX('Rules'!$B$7:$B$26,MATCH(SUBSTITUTE(SUBSTITUTE(SUBSTITUTE(SUBSTITUTE("type:"&amp;B455,"%","%25"),"~","%7E"),"*","%2A"),"?","%3F"),'Rules'!$G$7:$G$26,0))),"Unit mismatch",IF(IF(NOT(ISNUMBER(D455)),TRUE,OR(D455&lt;0,D455&gt;999999999,ROUND(D455,3)&lt;&gt;D455)),"Invalid current reading",IF(AND(E455&lt;&gt;"",IF(NOT(ISNUMBER(E455)),TRUE,OR(E455&lt;0,E455&gt;999999999,ROUND(E455,3)&lt;&gt;E455))),"Invalid previous reading",IF(IF(NOT(ISNUMBER(F455)),TRUE,OR(F455&lt;0,F455&gt;999999999,ROUND(F455,3)&lt;&gt;F455)),"Invalid last service",IF(AND(E455&lt;&gt;"",D455&lt;E455),"Decreased reading",IF(F455&gt;D455,"Last service above current","")))))))))))))</x:f>
      </x:c>
      <x:c r="L455" s="6" t="str">
        <x:f>IF(AND(NOT(COUNTA(A455:F455)=0),K455=""),INDEX('Rules'!$C$7:$C$26,MATCH(SUBSTITUTE(SUBSTITUTE(SUBSTITUTE(SUBSTITUTE("type:"&amp;B455,"%","%25"),"~","%7E"),"*","%2A"),"?","%3F"),'Rules'!$G$7:$G$26,0)),"")</x:f>
      </x:c>
      <x:c r="M455" s="6" t="str">
        <x:f>IF(AND(NOT(COUNTA(A455:F455)=0),K455=""),INDEX('Rules'!$D$7:$D$26,MATCH(SUBSTITUTE(SUBSTITUTE(SUBSTITUTE(SUBSTITUTE("type:"&amp;B455,"%","%25"),"~","%7E"),"*","%2A"),"?","%3F"),'Rules'!$G$7:$G$26,0)),"")</x:f>
      </x:c>
      <x:c r="N455" s="5" t="str">
        <x:f>IF(COUNTA(A455:F455)=0,"",SUBSTITUTE(SUBSTITUTE(SUBSTITUTE(SUBSTITUTE("id:"&amp;A455,"%","%25"),"~","%7E"),"*","%2A"),"?","%3F"))</x:f>
      </x:c>
    </x:row>
    <x:row r="456" ht="22" customHeight="1">
      <x:c r="A456" s="3"/>
      <x:c r="B456" s="3"/>
      <x:c r="C456" s="3"/>
      <x:c r="D456" s="4"/>
      <x:c r="E456" s="4"/>
      <x:c r="F456" s="4"/>
      <x:c r="G456" s="5" t="str">
        <x:f>IF(COUNTA(A456:F456)=0,"",IF(K456&lt;&gt;"","Review",IF(I456&lt;0,"Overdue",IF(I456=0,"Due now",IF(I456&lt;=M456,"Due soon","Not due")))))</x:f>
      </x:c>
      <x:c r="H456" s="5" t="str">
        <x:f>IF(OR(COUNTA(A456:F456)=0,COUNTIFS('Rules'!$G$7:$G$26,"="&amp;(SUBSTITUTE(SUBSTITUTE(SUBSTITUTE(SUBSTITUTE("type:"&amp;B456,"%","%25"),"~","%7E"),"*","%2A"),"?","%3F")))&lt;&gt;1),"",IF(OR(INDEX('Rules'!$B$7:$B$26,MATCH(SUBSTITUTE(SUBSTITUTE(SUBSTITUTE(SUBSTITUTE("type:"&amp;B456,"%","%25"),"~","%7E"),"*","%2A"),"?","%3F"),'Rules'!$G$7:$G$26,0))="hours",INDEX('Rules'!$B$7:$B$26,MATCH(SUBSTITUTE(SUBSTITUTE(SUBSTITUTE(SUBSTITUTE("type:"&amp;B456,"%","%25"),"~","%7E"),"*","%2A"),"?","%3F"),'Rules'!$G$7:$G$26,0))="km"),INDEX('Rules'!$B$7:$B$26,MATCH(SUBSTITUTE(SUBSTITUTE(SUBSTITUTE(SUBSTITUTE("type:"&amp;B456,"%","%25"),"~","%7E"),"*","%2A"),"?","%3F"),'Rules'!$G$7:$G$26,0)),""))</x:f>
      </x:c>
      <x:c r="I456" s="6" t="str">
        <x:f>IF(AND(NOT(COUNTA(A456:F456)=0),K456=""),ROUND(J456-D456,3),"")</x:f>
      </x:c>
      <x:c r="J456" s="6" t="str">
        <x:f>IF(AND(NOT(COUNTA(A456:F456)=0),K456=""),ROUND(F456+L456,3),"")</x:f>
      </x:c>
      <x:c r="K456" s="5" t="str">
        <x:f>IF(COUNTA(A456:F456)=0,"",IF(A456="","Missing equipment ID",IF(COUNTIFS($N$8:$N$2007,"="&amp;N456)&gt;1,"Duplicate equipment ID",IF(B456="","Missing type",IF(COUNTIFS('Rules'!$G$7:$G$26,"="&amp;(SUBSTITUTE(SUBSTITUTE(SUBSTITUTE(SUBSTITUTE("type:"&amp;B456,"%","%25"),"~","%7E"),"*","%2A"),"?","%3F")))=0,"Unknown type",IF(COUNTIFS('Rules'!$G$7:$G$26,"="&amp;(SUBSTITUTE(SUBSTITUTE(SUBSTITUTE(SUBSTITUTE("type:"&amp;B456,"%","%25"),"~","%7E"),"*","%2A"),"?","%3F")))&gt;1,"Duplicate type",IF(INDEX('Rules'!$F$7:$F$26,MATCH(SUBSTITUTE(SUBSTITUTE(SUBSTITUTE(SUBSTITUTE("type:"&amp;B456,"%","%25"),"~","%7E"),"*","%2A"),"?","%3F"),'Rules'!$G$7:$G$26,0))&lt;&gt;"",INDEX('Rules'!$F$7:$F$26,MATCH(SUBSTITUTE(SUBSTITUTE(SUBSTITUTE(SUBSTITUTE("type:"&amp;B456,"%","%25"),"~","%7E"),"*","%2A"),"?","%3F"),'Rules'!$G$7:$G$26,0)),IF(AND(C456&lt;&gt;"",C456&lt;&gt;INDEX('Rules'!$B$7:$B$26,MATCH(SUBSTITUTE(SUBSTITUTE(SUBSTITUTE(SUBSTITUTE("type:"&amp;B456,"%","%25"),"~","%7E"),"*","%2A"),"?","%3F"),'Rules'!$G$7:$G$26,0))),"Unit mismatch",IF(IF(NOT(ISNUMBER(D456)),TRUE,OR(D456&lt;0,D456&gt;999999999,ROUND(D456,3)&lt;&gt;D456)),"Invalid current reading",IF(AND(E456&lt;&gt;"",IF(NOT(ISNUMBER(E456)),TRUE,OR(E456&lt;0,E456&gt;999999999,ROUND(E456,3)&lt;&gt;E456))),"Invalid previous reading",IF(IF(NOT(ISNUMBER(F456)),TRUE,OR(F456&lt;0,F456&gt;999999999,ROUND(F456,3)&lt;&gt;F456)),"Invalid last service",IF(AND(E456&lt;&gt;"",D456&lt;E456),"Decreased reading",IF(F456&gt;D456,"Last service above current","")))))))))))))</x:f>
      </x:c>
      <x:c r="L456" s="6" t="str">
        <x:f>IF(AND(NOT(COUNTA(A456:F456)=0),K456=""),INDEX('Rules'!$C$7:$C$26,MATCH(SUBSTITUTE(SUBSTITUTE(SUBSTITUTE(SUBSTITUTE("type:"&amp;B456,"%","%25"),"~","%7E"),"*","%2A"),"?","%3F"),'Rules'!$G$7:$G$26,0)),"")</x:f>
      </x:c>
      <x:c r="M456" s="6" t="str">
        <x:f>IF(AND(NOT(COUNTA(A456:F456)=0),K456=""),INDEX('Rules'!$D$7:$D$26,MATCH(SUBSTITUTE(SUBSTITUTE(SUBSTITUTE(SUBSTITUTE("type:"&amp;B456,"%","%25"),"~","%7E"),"*","%2A"),"?","%3F"),'Rules'!$G$7:$G$26,0)),"")</x:f>
      </x:c>
      <x:c r="N456" s="5" t="str">
        <x:f>IF(COUNTA(A456:F456)=0,"",SUBSTITUTE(SUBSTITUTE(SUBSTITUTE(SUBSTITUTE("id:"&amp;A456,"%","%25"),"~","%7E"),"*","%2A"),"?","%3F"))</x:f>
      </x:c>
    </x:row>
    <x:row r="457" ht="22" customHeight="1">
      <x:c r="A457" s="3"/>
      <x:c r="B457" s="3"/>
      <x:c r="C457" s="3"/>
      <x:c r="D457" s="4"/>
      <x:c r="E457" s="4"/>
      <x:c r="F457" s="4"/>
      <x:c r="G457" s="5" t="str">
        <x:f>IF(COUNTA(A457:F457)=0,"",IF(K457&lt;&gt;"","Review",IF(I457&lt;0,"Overdue",IF(I457=0,"Due now",IF(I457&lt;=M457,"Due soon","Not due")))))</x:f>
      </x:c>
      <x:c r="H457" s="5" t="str">
        <x:f>IF(OR(COUNTA(A457:F457)=0,COUNTIFS('Rules'!$G$7:$G$26,"="&amp;(SUBSTITUTE(SUBSTITUTE(SUBSTITUTE(SUBSTITUTE("type:"&amp;B457,"%","%25"),"~","%7E"),"*","%2A"),"?","%3F")))&lt;&gt;1),"",IF(OR(INDEX('Rules'!$B$7:$B$26,MATCH(SUBSTITUTE(SUBSTITUTE(SUBSTITUTE(SUBSTITUTE("type:"&amp;B457,"%","%25"),"~","%7E"),"*","%2A"),"?","%3F"),'Rules'!$G$7:$G$26,0))="hours",INDEX('Rules'!$B$7:$B$26,MATCH(SUBSTITUTE(SUBSTITUTE(SUBSTITUTE(SUBSTITUTE("type:"&amp;B457,"%","%25"),"~","%7E"),"*","%2A"),"?","%3F"),'Rules'!$G$7:$G$26,0))="km"),INDEX('Rules'!$B$7:$B$26,MATCH(SUBSTITUTE(SUBSTITUTE(SUBSTITUTE(SUBSTITUTE("type:"&amp;B457,"%","%25"),"~","%7E"),"*","%2A"),"?","%3F"),'Rules'!$G$7:$G$26,0)),""))</x:f>
      </x:c>
      <x:c r="I457" s="6" t="str">
        <x:f>IF(AND(NOT(COUNTA(A457:F457)=0),K457=""),ROUND(J457-D457,3),"")</x:f>
      </x:c>
      <x:c r="J457" s="6" t="str">
        <x:f>IF(AND(NOT(COUNTA(A457:F457)=0),K457=""),ROUND(F457+L457,3),"")</x:f>
      </x:c>
      <x:c r="K457" s="5" t="str">
        <x:f>IF(COUNTA(A457:F457)=0,"",IF(A457="","Missing equipment ID",IF(COUNTIFS($N$8:$N$2007,"="&amp;N457)&gt;1,"Duplicate equipment ID",IF(B457="","Missing type",IF(COUNTIFS('Rules'!$G$7:$G$26,"="&amp;(SUBSTITUTE(SUBSTITUTE(SUBSTITUTE(SUBSTITUTE("type:"&amp;B457,"%","%25"),"~","%7E"),"*","%2A"),"?","%3F")))=0,"Unknown type",IF(COUNTIFS('Rules'!$G$7:$G$26,"="&amp;(SUBSTITUTE(SUBSTITUTE(SUBSTITUTE(SUBSTITUTE("type:"&amp;B457,"%","%25"),"~","%7E"),"*","%2A"),"?","%3F")))&gt;1,"Duplicate type",IF(INDEX('Rules'!$F$7:$F$26,MATCH(SUBSTITUTE(SUBSTITUTE(SUBSTITUTE(SUBSTITUTE("type:"&amp;B457,"%","%25"),"~","%7E"),"*","%2A"),"?","%3F"),'Rules'!$G$7:$G$26,0))&lt;&gt;"",INDEX('Rules'!$F$7:$F$26,MATCH(SUBSTITUTE(SUBSTITUTE(SUBSTITUTE(SUBSTITUTE("type:"&amp;B457,"%","%25"),"~","%7E"),"*","%2A"),"?","%3F"),'Rules'!$G$7:$G$26,0)),IF(AND(C457&lt;&gt;"",C457&lt;&gt;INDEX('Rules'!$B$7:$B$26,MATCH(SUBSTITUTE(SUBSTITUTE(SUBSTITUTE(SUBSTITUTE("type:"&amp;B457,"%","%25"),"~","%7E"),"*","%2A"),"?","%3F"),'Rules'!$G$7:$G$26,0))),"Unit mismatch",IF(IF(NOT(ISNUMBER(D457)),TRUE,OR(D457&lt;0,D457&gt;999999999,ROUND(D457,3)&lt;&gt;D457)),"Invalid current reading",IF(AND(E457&lt;&gt;"",IF(NOT(ISNUMBER(E457)),TRUE,OR(E457&lt;0,E457&gt;999999999,ROUND(E457,3)&lt;&gt;E457))),"Invalid previous reading",IF(IF(NOT(ISNUMBER(F457)),TRUE,OR(F457&lt;0,F457&gt;999999999,ROUND(F457,3)&lt;&gt;F457)),"Invalid last service",IF(AND(E457&lt;&gt;"",D457&lt;E457),"Decreased reading",IF(F457&gt;D457,"Last service above current","")))))))))))))</x:f>
      </x:c>
      <x:c r="L457" s="6" t="str">
        <x:f>IF(AND(NOT(COUNTA(A457:F457)=0),K457=""),INDEX('Rules'!$C$7:$C$26,MATCH(SUBSTITUTE(SUBSTITUTE(SUBSTITUTE(SUBSTITUTE("type:"&amp;B457,"%","%25"),"~","%7E"),"*","%2A"),"?","%3F"),'Rules'!$G$7:$G$26,0)),"")</x:f>
      </x:c>
      <x:c r="M457" s="6" t="str">
        <x:f>IF(AND(NOT(COUNTA(A457:F457)=0),K457=""),INDEX('Rules'!$D$7:$D$26,MATCH(SUBSTITUTE(SUBSTITUTE(SUBSTITUTE(SUBSTITUTE("type:"&amp;B457,"%","%25"),"~","%7E"),"*","%2A"),"?","%3F"),'Rules'!$G$7:$G$26,0)),"")</x:f>
      </x:c>
      <x:c r="N457" s="5" t="str">
        <x:f>IF(COUNTA(A457:F457)=0,"",SUBSTITUTE(SUBSTITUTE(SUBSTITUTE(SUBSTITUTE("id:"&amp;A457,"%","%25"),"~","%7E"),"*","%2A"),"?","%3F"))</x:f>
      </x:c>
    </x:row>
    <x:row r="458" ht="22" customHeight="1">
      <x:c r="A458" s="3"/>
      <x:c r="B458" s="3"/>
      <x:c r="C458" s="3"/>
      <x:c r="D458" s="4"/>
      <x:c r="E458" s="4"/>
      <x:c r="F458" s="4"/>
      <x:c r="G458" s="5" t="str">
        <x:f>IF(COUNTA(A458:F458)=0,"",IF(K458&lt;&gt;"","Review",IF(I458&lt;0,"Overdue",IF(I458=0,"Due now",IF(I458&lt;=M458,"Due soon","Not due")))))</x:f>
      </x:c>
      <x:c r="H458" s="5" t="str">
        <x:f>IF(OR(COUNTA(A458:F458)=0,COUNTIFS('Rules'!$G$7:$G$26,"="&amp;(SUBSTITUTE(SUBSTITUTE(SUBSTITUTE(SUBSTITUTE("type:"&amp;B458,"%","%25"),"~","%7E"),"*","%2A"),"?","%3F")))&lt;&gt;1),"",IF(OR(INDEX('Rules'!$B$7:$B$26,MATCH(SUBSTITUTE(SUBSTITUTE(SUBSTITUTE(SUBSTITUTE("type:"&amp;B458,"%","%25"),"~","%7E"),"*","%2A"),"?","%3F"),'Rules'!$G$7:$G$26,0))="hours",INDEX('Rules'!$B$7:$B$26,MATCH(SUBSTITUTE(SUBSTITUTE(SUBSTITUTE(SUBSTITUTE("type:"&amp;B458,"%","%25"),"~","%7E"),"*","%2A"),"?","%3F"),'Rules'!$G$7:$G$26,0))="km"),INDEX('Rules'!$B$7:$B$26,MATCH(SUBSTITUTE(SUBSTITUTE(SUBSTITUTE(SUBSTITUTE("type:"&amp;B458,"%","%25"),"~","%7E"),"*","%2A"),"?","%3F"),'Rules'!$G$7:$G$26,0)),""))</x:f>
      </x:c>
      <x:c r="I458" s="6" t="str">
        <x:f>IF(AND(NOT(COUNTA(A458:F458)=0),K458=""),ROUND(J458-D458,3),"")</x:f>
      </x:c>
      <x:c r="J458" s="6" t="str">
        <x:f>IF(AND(NOT(COUNTA(A458:F458)=0),K458=""),ROUND(F458+L458,3),"")</x:f>
      </x:c>
      <x:c r="K458" s="5" t="str">
        <x:f>IF(COUNTA(A458:F458)=0,"",IF(A458="","Missing equipment ID",IF(COUNTIFS($N$8:$N$2007,"="&amp;N458)&gt;1,"Duplicate equipment ID",IF(B458="","Missing type",IF(COUNTIFS('Rules'!$G$7:$G$26,"="&amp;(SUBSTITUTE(SUBSTITUTE(SUBSTITUTE(SUBSTITUTE("type:"&amp;B458,"%","%25"),"~","%7E"),"*","%2A"),"?","%3F")))=0,"Unknown type",IF(COUNTIFS('Rules'!$G$7:$G$26,"="&amp;(SUBSTITUTE(SUBSTITUTE(SUBSTITUTE(SUBSTITUTE("type:"&amp;B458,"%","%25"),"~","%7E"),"*","%2A"),"?","%3F")))&gt;1,"Duplicate type",IF(INDEX('Rules'!$F$7:$F$26,MATCH(SUBSTITUTE(SUBSTITUTE(SUBSTITUTE(SUBSTITUTE("type:"&amp;B458,"%","%25"),"~","%7E"),"*","%2A"),"?","%3F"),'Rules'!$G$7:$G$26,0))&lt;&gt;"",INDEX('Rules'!$F$7:$F$26,MATCH(SUBSTITUTE(SUBSTITUTE(SUBSTITUTE(SUBSTITUTE("type:"&amp;B458,"%","%25"),"~","%7E"),"*","%2A"),"?","%3F"),'Rules'!$G$7:$G$26,0)),IF(AND(C458&lt;&gt;"",C458&lt;&gt;INDEX('Rules'!$B$7:$B$26,MATCH(SUBSTITUTE(SUBSTITUTE(SUBSTITUTE(SUBSTITUTE("type:"&amp;B458,"%","%25"),"~","%7E"),"*","%2A"),"?","%3F"),'Rules'!$G$7:$G$26,0))),"Unit mismatch",IF(IF(NOT(ISNUMBER(D458)),TRUE,OR(D458&lt;0,D458&gt;999999999,ROUND(D458,3)&lt;&gt;D458)),"Invalid current reading",IF(AND(E458&lt;&gt;"",IF(NOT(ISNUMBER(E458)),TRUE,OR(E458&lt;0,E458&gt;999999999,ROUND(E458,3)&lt;&gt;E458))),"Invalid previous reading",IF(IF(NOT(ISNUMBER(F458)),TRUE,OR(F458&lt;0,F458&gt;999999999,ROUND(F458,3)&lt;&gt;F458)),"Invalid last service",IF(AND(E458&lt;&gt;"",D458&lt;E458),"Decreased reading",IF(F458&gt;D458,"Last service above current","")))))))))))))</x:f>
      </x:c>
      <x:c r="L458" s="6" t="str">
        <x:f>IF(AND(NOT(COUNTA(A458:F458)=0),K458=""),INDEX('Rules'!$C$7:$C$26,MATCH(SUBSTITUTE(SUBSTITUTE(SUBSTITUTE(SUBSTITUTE("type:"&amp;B458,"%","%25"),"~","%7E"),"*","%2A"),"?","%3F"),'Rules'!$G$7:$G$26,0)),"")</x:f>
      </x:c>
      <x:c r="M458" s="6" t="str">
        <x:f>IF(AND(NOT(COUNTA(A458:F458)=0),K458=""),INDEX('Rules'!$D$7:$D$26,MATCH(SUBSTITUTE(SUBSTITUTE(SUBSTITUTE(SUBSTITUTE("type:"&amp;B458,"%","%25"),"~","%7E"),"*","%2A"),"?","%3F"),'Rules'!$G$7:$G$26,0)),"")</x:f>
      </x:c>
      <x:c r="N458" s="5" t="str">
        <x:f>IF(COUNTA(A458:F458)=0,"",SUBSTITUTE(SUBSTITUTE(SUBSTITUTE(SUBSTITUTE("id:"&amp;A458,"%","%25"),"~","%7E"),"*","%2A"),"?","%3F"))</x:f>
      </x:c>
    </x:row>
    <x:row r="459" ht="22" customHeight="1">
      <x:c r="A459" s="3"/>
      <x:c r="B459" s="3"/>
      <x:c r="C459" s="3"/>
      <x:c r="D459" s="4"/>
      <x:c r="E459" s="4"/>
      <x:c r="F459" s="4"/>
      <x:c r="G459" s="5" t="str">
        <x:f>IF(COUNTA(A459:F459)=0,"",IF(K459&lt;&gt;"","Review",IF(I459&lt;0,"Overdue",IF(I459=0,"Due now",IF(I459&lt;=M459,"Due soon","Not due")))))</x:f>
      </x:c>
      <x:c r="H459" s="5" t="str">
        <x:f>IF(OR(COUNTA(A459:F459)=0,COUNTIFS('Rules'!$G$7:$G$26,"="&amp;(SUBSTITUTE(SUBSTITUTE(SUBSTITUTE(SUBSTITUTE("type:"&amp;B459,"%","%25"),"~","%7E"),"*","%2A"),"?","%3F")))&lt;&gt;1),"",IF(OR(INDEX('Rules'!$B$7:$B$26,MATCH(SUBSTITUTE(SUBSTITUTE(SUBSTITUTE(SUBSTITUTE("type:"&amp;B459,"%","%25"),"~","%7E"),"*","%2A"),"?","%3F"),'Rules'!$G$7:$G$26,0))="hours",INDEX('Rules'!$B$7:$B$26,MATCH(SUBSTITUTE(SUBSTITUTE(SUBSTITUTE(SUBSTITUTE("type:"&amp;B459,"%","%25"),"~","%7E"),"*","%2A"),"?","%3F"),'Rules'!$G$7:$G$26,0))="km"),INDEX('Rules'!$B$7:$B$26,MATCH(SUBSTITUTE(SUBSTITUTE(SUBSTITUTE(SUBSTITUTE("type:"&amp;B459,"%","%25"),"~","%7E"),"*","%2A"),"?","%3F"),'Rules'!$G$7:$G$26,0)),""))</x:f>
      </x:c>
      <x:c r="I459" s="6" t="str">
        <x:f>IF(AND(NOT(COUNTA(A459:F459)=0),K459=""),ROUND(J459-D459,3),"")</x:f>
      </x:c>
      <x:c r="J459" s="6" t="str">
        <x:f>IF(AND(NOT(COUNTA(A459:F459)=0),K459=""),ROUND(F459+L459,3),"")</x:f>
      </x:c>
      <x:c r="K459" s="5" t="str">
        <x:f>IF(COUNTA(A459:F459)=0,"",IF(A459="","Missing equipment ID",IF(COUNTIFS($N$8:$N$2007,"="&amp;N459)&gt;1,"Duplicate equipment ID",IF(B459="","Missing type",IF(COUNTIFS('Rules'!$G$7:$G$26,"="&amp;(SUBSTITUTE(SUBSTITUTE(SUBSTITUTE(SUBSTITUTE("type:"&amp;B459,"%","%25"),"~","%7E"),"*","%2A"),"?","%3F")))=0,"Unknown type",IF(COUNTIFS('Rules'!$G$7:$G$26,"="&amp;(SUBSTITUTE(SUBSTITUTE(SUBSTITUTE(SUBSTITUTE("type:"&amp;B459,"%","%25"),"~","%7E"),"*","%2A"),"?","%3F")))&gt;1,"Duplicate type",IF(INDEX('Rules'!$F$7:$F$26,MATCH(SUBSTITUTE(SUBSTITUTE(SUBSTITUTE(SUBSTITUTE("type:"&amp;B459,"%","%25"),"~","%7E"),"*","%2A"),"?","%3F"),'Rules'!$G$7:$G$26,0))&lt;&gt;"",INDEX('Rules'!$F$7:$F$26,MATCH(SUBSTITUTE(SUBSTITUTE(SUBSTITUTE(SUBSTITUTE("type:"&amp;B459,"%","%25"),"~","%7E"),"*","%2A"),"?","%3F"),'Rules'!$G$7:$G$26,0)),IF(AND(C459&lt;&gt;"",C459&lt;&gt;INDEX('Rules'!$B$7:$B$26,MATCH(SUBSTITUTE(SUBSTITUTE(SUBSTITUTE(SUBSTITUTE("type:"&amp;B459,"%","%25"),"~","%7E"),"*","%2A"),"?","%3F"),'Rules'!$G$7:$G$26,0))),"Unit mismatch",IF(IF(NOT(ISNUMBER(D459)),TRUE,OR(D459&lt;0,D459&gt;999999999,ROUND(D459,3)&lt;&gt;D459)),"Invalid current reading",IF(AND(E459&lt;&gt;"",IF(NOT(ISNUMBER(E459)),TRUE,OR(E459&lt;0,E459&gt;999999999,ROUND(E459,3)&lt;&gt;E459))),"Invalid previous reading",IF(IF(NOT(ISNUMBER(F459)),TRUE,OR(F459&lt;0,F459&gt;999999999,ROUND(F459,3)&lt;&gt;F459)),"Invalid last service",IF(AND(E459&lt;&gt;"",D459&lt;E459),"Decreased reading",IF(F459&gt;D459,"Last service above current","")))))))))))))</x:f>
      </x:c>
      <x:c r="L459" s="6" t="str">
        <x:f>IF(AND(NOT(COUNTA(A459:F459)=0),K459=""),INDEX('Rules'!$C$7:$C$26,MATCH(SUBSTITUTE(SUBSTITUTE(SUBSTITUTE(SUBSTITUTE("type:"&amp;B459,"%","%25"),"~","%7E"),"*","%2A"),"?","%3F"),'Rules'!$G$7:$G$26,0)),"")</x:f>
      </x:c>
      <x:c r="M459" s="6" t="str">
        <x:f>IF(AND(NOT(COUNTA(A459:F459)=0),K459=""),INDEX('Rules'!$D$7:$D$26,MATCH(SUBSTITUTE(SUBSTITUTE(SUBSTITUTE(SUBSTITUTE("type:"&amp;B459,"%","%25"),"~","%7E"),"*","%2A"),"?","%3F"),'Rules'!$G$7:$G$26,0)),"")</x:f>
      </x:c>
      <x:c r="N459" s="5" t="str">
        <x:f>IF(COUNTA(A459:F459)=0,"",SUBSTITUTE(SUBSTITUTE(SUBSTITUTE(SUBSTITUTE("id:"&amp;A459,"%","%25"),"~","%7E"),"*","%2A"),"?","%3F"))</x:f>
      </x:c>
    </x:row>
    <x:row r="460" ht="22" customHeight="1">
      <x:c r="A460" s="3"/>
      <x:c r="B460" s="3"/>
      <x:c r="C460" s="3"/>
      <x:c r="D460" s="4"/>
      <x:c r="E460" s="4"/>
      <x:c r="F460" s="4"/>
      <x:c r="G460" s="5" t="str">
        <x:f>IF(COUNTA(A460:F460)=0,"",IF(K460&lt;&gt;"","Review",IF(I460&lt;0,"Overdue",IF(I460=0,"Due now",IF(I460&lt;=M460,"Due soon","Not due")))))</x:f>
      </x:c>
      <x:c r="H460" s="5" t="str">
        <x:f>IF(OR(COUNTA(A460:F460)=0,COUNTIFS('Rules'!$G$7:$G$26,"="&amp;(SUBSTITUTE(SUBSTITUTE(SUBSTITUTE(SUBSTITUTE("type:"&amp;B460,"%","%25"),"~","%7E"),"*","%2A"),"?","%3F")))&lt;&gt;1),"",IF(OR(INDEX('Rules'!$B$7:$B$26,MATCH(SUBSTITUTE(SUBSTITUTE(SUBSTITUTE(SUBSTITUTE("type:"&amp;B460,"%","%25"),"~","%7E"),"*","%2A"),"?","%3F"),'Rules'!$G$7:$G$26,0))="hours",INDEX('Rules'!$B$7:$B$26,MATCH(SUBSTITUTE(SUBSTITUTE(SUBSTITUTE(SUBSTITUTE("type:"&amp;B460,"%","%25"),"~","%7E"),"*","%2A"),"?","%3F"),'Rules'!$G$7:$G$26,0))="km"),INDEX('Rules'!$B$7:$B$26,MATCH(SUBSTITUTE(SUBSTITUTE(SUBSTITUTE(SUBSTITUTE("type:"&amp;B460,"%","%25"),"~","%7E"),"*","%2A"),"?","%3F"),'Rules'!$G$7:$G$26,0)),""))</x:f>
      </x:c>
      <x:c r="I460" s="6" t="str">
        <x:f>IF(AND(NOT(COUNTA(A460:F460)=0),K460=""),ROUND(J460-D460,3),"")</x:f>
      </x:c>
      <x:c r="J460" s="6" t="str">
        <x:f>IF(AND(NOT(COUNTA(A460:F460)=0),K460=""),ROUND(F460+L460,3),"")</x:f>
      </x:c>
      <x:c r="K460" s="5" t="str">
        <x:f>IF(COUNTA(A460:F460)=0,"",IF(A460="","Missing equipment ID",IF(COUNTIFS($N$8:$N$2007,"="&amp;N460)&gt;1,"Duplicate equipment ID",IF(B460="","Missing type",IF(COUNTIFS('Rules'!$G$7:$G$26,"="&amp;(SUBSTITUTE(SUBSTITUTE(SUBSTITUTE(SUBSTITUTE("type:"&amp;B460,"%","%25"),"~","%7E"),"*","%2A"),"?","%3F")))=0,"Unknown type",IF(COUNTIFS('Rules'!$G$7:$G$26,"="&amp;(SUBSTITUTE(SUBSTITUTE(SUBSTITUTE(SUBSTITUTE("type:"&amp;B460,"%","%25"),"~","%7E"),"*","%2A"),"?","%3F")))&gt;1,"Duplicate type",IF(INDEX('Rules'!$F$7:$F$26,MATCH(SUBSTITUTE(SUBSTITUTE(SUBSTITUTE(SUBSTITUTE("type:"&amp;B460,"%","%25"),"~","%7E"),"*","%2A"),"?","%3F"),'Rules'!$G$7:$G$26,0))&lt;&gt;"",INDEX('Rules'!$F$7:$F$26,MATCH(SUBSTITUTE(SUBSTITUTE(SUBSTITUTE(SUBSTITUTE("type:"&amp;B460,"%","%25"),"~","%7E"),"*","%2A"),"?","%3F"),'Rules'!$G$7:$G$26,0)),IF(AND(C460&lt;&gt;"",C460&lt;&gt;INDEX('Rules'!$B$7:$B$26,MATCH(SUBSTITUTE(SUBSTITUTE(SUBSTITUTE(SUBSTITUTE("type:"&amp;B460,"%","%25"),"~","%7E"),"*","%2A"),"?","%3F"),'Rules'!$G$7:$G$26,0))),"Unit mismatch",IF(IF(NOT(ISNUMBER(D460)),TRUE,OR(D460&lt;0,D460&gt;999999999,ROUND(D460,3)&lt;&gt;D460)),"Invalid current reading",IF(AND(E460&lt;&gt;"",IF(NOT(ISNUMBER(E460)),TRUE,OR(E460&lt;0,E460&gt;999999999,ROUND(E460,3)&lt;&gt;E460))),"Invalid previous reading",IF(IF(NOT(ISNUMBER(F460)),TRUE,OR(F460&lt;0,F460&gt;999999999,ROUND(F460,3)&lt;&gt;F460)),"Invalid last service",IF(AND(E460&lt;&gt;"",D460&lt;E460),"Decreased reading",IF(F460&gt;D460,"Last service above current","")))))))))))))</x:f>
      </x:c>
      <x:c r="L460" s="6" t="str">
        <x:f>IF(AND(NOT(COUNTA(A460:F460)=0),K460=""),INDEX('Rules'!$C$7:$C$26,MATCH(SUBSTITUTE(SUBSTITUTE(SUBSTITUTE(SUBSTITUTE("type:"&amp;B460,"%","%25"),"~","%7E"),"*","%2A"),"?","%3F"),'Rules'!$G$7:$G$26,0)),"")</x:f>
      </x:c>
      <x:c r="M460" s="6" t="str">
        <x:f>IF(AND(NOT(COUNTA(A460:F460)=0),K460=""),INDEX('Rules'!$D$7:$D$26,MATCH(SUBSTITUTE(SUBSTITUTE(SUBSTITUTE(SUBSTITUTE("type:"&amp;B460,"%","%25"),"~","%7E"),"*","%2A"),"?","%3F"),'Rules'!$G$7:$G$26,0)),"")</x:f>
      </x:c>
      <x:c r="N460" s="5" t="str">
        <x:f>IF(COUNTA(A460:F460)=0,"",SUBSTITUTE(SUBSTITUTE(SUBSTITUTE(SUBSTITUTE("id:"&amp;A460,"%","%25"),"~","%7E"),"*","%2A"),"?","%3F"))</x:f>
      </x:c>
    </x:row>
    <x:row r="461" ht="22" customHeight="1">
      <x:c r="A461" s="3"/>
      <x:c r="B461" s="3"/>
      <x:c r="C461" s="3"/>
      <x:c r="D461" s="4"/>
      <x:c r="E461" s="4"/>
      <x:c r="F461" s="4"/>
      <x:c r="G461" s="5" t="str">
        <x:f>IF(COUNTA(A461:F461)=0,"",IF(K461&lt;&gt;"","Review",IF(I461&lt;0,"Overdue",IF(I461=0,"Due now",IF(I461&lt;=M461,"Due soon","Not due")))))</x:f>
      </x:c>
      <x:c r="H461" s="5" t="str">
        <x:f>IF(OR(COUNTA(A461:F461)=0,COUNTIFS('Rules'!$G$7:$G$26,"="&amp;(SUBSTITUTE(SUBSTITUTE(SUBSTITUTE(SUBSTITUTE("type:"&amp;B461,"%","%25"),"~","%7E"),"*","%2A"),"?","%3F")))&lt;&gt;1),"",IF(OR(INDEX('Rules'!$B$7:$B$26,MATCH(SUBSTITUTE(SUBSTITUTE(SUBSTITUTE(SUBSTITUTE("type:"&amp;B461,"%","%25"),"~","%7E"),"*","%2A"),"?","%3F"),'Rules'!$G$7:$G$26,0))="hours",INDEX('Rules'!$B$7:$B$26,MATCH(SUBSTITUTE(SUBSTITUTE(SUBSTITUTE(SUBSTITUTE("type:"&amp;B461,"%","%25"),"~","%7E"),"*","%2A"),"?","%3F"),'Rules'!$G$7:$G$26,0))="km"),INDEX('Rules'!$B$7:$B$26,MATCH(SUBSTITUTE(SUBSTITUTE(SUBSTITUTE(SUBSTITUTE("type:"&amp;B461,"%","%25"),"~","%7E"),"*","%2A"),"?","%3F"),'Rules'!$G$7:$G$26,0)),""))</x:f>
      </x:c>
      <x:c r="I461" s="6" t="str">
        <x:f>IF(AND(NOT(COUNTA(A461:F461)=0),K461=""),ROUND(J461-D461,3),"")</x:f>
      </x:c>
      <x:c r="J461" s="6" t="str">
        <x:f>IF(AND(NOT(COUNTA(A461:F461)=0),K461=""),ROUND(F461+L461,3),"")</x:f>
      </x:c>
      <x:c r="K461" s="5" t="str">
        <x:f>IF(COUNTA(A461:F461)=0,"",IF(A461="","Missing equipment ID",IF(COUNTIFS($N$8:$N$2007,"="&amp;N461)&gt;1,"Duplicate equipment ID",IF(B461="","Missing type",IF(COUNTIFS('Rules'!$G$7:$G$26,"="&amp;(SUBSTITUTE(SUBSTITUTE(SUBSTITUTE(SUBSTITUTE("type:"&amp;B461,"%","%25"),"~","%7E"),"*","%2A"),"?","%3F")))=0,"Unknown type",IF(COUNTIFS('Rules'!$G$7:$G$26,"="&amp;(SUBSTITUTE(SUBSTITUTE(SUBSTITUTE(SUBSTITUTE("type:"&amp;B461,"%","%25"),"~","%7E"),"*","%2A"),"?","%3F")))&gt;1,"Duplicate type",IF(INDEX('Rules'!$F$7:$F$26,MATCH(SUBSTITUTE(SUBSTITUTE(SUBSTITUTE(SUBSTITUTE("type:"&amp;B461,"%","%25"),"~","%7E"),"*","%2A"),"?","%3F"),'Rules'!$G$7:$G$26,0))&lt;&gt;"",INDEX('Rules'!$F$7:$F$26,MATCH(SUBSTITUTE(SUBSTITUTE(SUBSTITUTE(SUBSTITUTE("type:"&amp;B461,"%","%25"),"~","%7E"),"*","%2A"),"?","%3F"),'Rules'!$G$7:$G$26,0)),IF(AND(C461&lt;&gt;"",C461&lt;&gt;INDEX('Rules'!$B$7:$B$26,MATCH(SUBSTITUTE(SUBSTITUTE(SUBSTITUTE(SUBSTITUTE("type:"&amp;B461,"%","%25"),"~","%7E"),"*","%2A"),"?","%3F"),'Rules'!$G$7:$G$26,0))),"Unit mismatch",IF(IF(NOT(ISNUMBER(D461)),TRUE,OR(D461&lt;0,D461&gt;999999999,ROUND(D461,3)&lt;&gt;D461)),"Invalid current reading",IF(AND(E461&lt;&gt;"",IF(NOT(ISNUMBER(E461)),TRUE,OR(E461&lt;0,E461&gt;999999999,ROUND(E461,3)&lt;&gt;E461))),"Invalid previous reading",IF(IF(NOT(ISNUMBER(F461)),TRUE,OR(F461&lt;0,F461&gt;999999999,ROUND(F461,3)&lt;&gt;F461)),"Invalid last service",IF(AND(E461&lt;&gt;"",D461&lt;E461),"Decreased reading",IF(F461&gt;D461,"Last service above current","")))))))))))))</x:f>
      </x:c>
      <x:c r="L461" s="6" t="str">
        <x:f>IF(AND(NOT(COUNTA(A461:F461)=0),K461=""),INDEX('Rules'!$C$7:$C$26,MATCH(SUBSTITUTE(SUBSTITUTE(SUBSTITUTE(SUBSTITUTE("type:"&amp;B461,"%","%25"),"~","%7E"),"*","%2A"),"?","%3F"),'Rules'!$G$7:$G$26,0)),"")</x:f>
      </x:c>
      <x:c r="M461" s="6" t="str">
        <x:f>IF(AND(NOT(COUNTA(A461:F461)=0),K461=""),INDEX('Rules'!$D$7:$D$26,MATCH(SUBSTITUTE(SUBSTITUTE(SUBSTITUTE(SUBSTITUTE("type:"&amp;B461,"%","%25"),"~","%7E"),"*","%2A"),"?","%3F"),'Rules'!$G$7:$G$26,0)),"")</x:f>
      </x:c>
      <x:c r="N461" s="5" t="str">
        <x:f>IF(COUNTA(A461:F461)=0,"",SUBSTITUTE(SUBSTITUTE(SUBSTITUTE(SUBSTITUTE("id:"&amp;A461,"%","%25"),"~","%7E"),"*","%2A"),"?","%3F"))</x:f>
      </x:c>
    </x:row>
    <x:row r="462" ht="22" customHeight="1">
      <x:c r="A462" s="3"/>
      <x:c r="B462" s="3"/>
      <x:c r="C462" s="3"/>
      <x:c r="D462" s="4"/>
      <x:c r="E462" s="4"/>
      <x:c r="F462" s="4"/>
      <x:c r="G462" s="5" t="str">
        <x:f>IF(COUNTA(A462:F462)=0,"",IF(K462&lt;&gt;"","Review",IF(I462&lt;0,"Overdue",IF(I462=0,"Due now",IF(I462&lt;=M462,"Due soon","Not due")))))</x:f>
      </x:c>
      <x:c r="H462" s="5" t="str">
        <x:f>IF(OR(COUNTA(A462:F462)=0,COUNTIFS('Rules'!$G$7:$G$26,"="&amp;(SUBSTITUTE(SUBSTITUTE(SUBSTITUTE(SUBSTITUTE("type:"&amp;B462,"%","%25"),"~","%7E"),"*","%2A"),"?","%3F")))&lt;&gt;1),"",IF(OR(INDEX('Rules'!$B$7:$B$26,MATCH(SUBSTITUTE(SUBSTITUTE(SUBSTITUTE(SUBSTITUTE("type:"&amp;B462,"%","%25"),"~","%7E"),"*","%2A"),"?","%3F"),'Rules'!$G$7:$G$26,0))="hours",INDEX('Rules'!$B$7:$B$26,MATCH(SUBSTITUTE(SUBSTITUTE(SUBSTITUTE(SUBSTITUTE("type:"&amp;B462,"%","%25"),"~","%7E"),"*","%2A"),"?","%3F"),'Rules'!$G$7:$G$26,0))="km"),INDEX('Rules'!$B$7:$B$26,MATCH(SUBSTITUTE(SUBSTITUTE(SUBSTITUTE(SUBSTITUTE("type:"&amp;B462,"%","%25"),"~","%7E"),"*","%2A"),"?","%3F"),'Rules'!$G$7:$G$26,0)),""))</x:f>
      </x:c>
      <x:c r="I462" s="6" t="str">
        <x:f>IF(AND(NOT(COUNTA(A462:F462)=0),K462=""),ROUND(J462-D462,3),"")</x:f>
      </x:c>
      <x:c r="J462" s="6" t="str">
        <x:f>IF(AND(NOT(COUNTA(A462:F462)=0),K462=""),ROUND(F462+L462,3),"")</x:f>
      </x:c>
      <x:c r="K462" s="5" t="str">
        <x:f>IF(COUNTA(A462:F462)=0,"",IF(A462="","Missing equipment ID",IF(COUNTIFS($N$8:$N$2007,"="&amp;N462)&gt;1,"Duplicate equipment ID",IF(B462="","Missing type",IF(COUNTIFS('Rules'!$G$7:$G$26,"="&amp;(SUBSTITUTE(SUBSTITUTE(SUBSTITUTE(SUBSTITUTE("type:"&amp;B462,"%","%25"),"~","%7E"),"*","%2A"),"?","%3F")))=0,"Unknown type",IF(COUNTIFS('Rules'!$G$7:$G$26,"="&amp;(SUBSTITUTE(SUBSTITUTE(SUBSTITUTE(SUBSTITUTE("type:"&amp;B462,"%","%25"),"~","%7E"),"*","%2A"),"?","%3F")))&gt;1,"Duplicate type",IF(INDEX('Rules'!$F$7:$F$26,MATCH(SUBSTITUTE(SUBSTITUTE(SUBSTITUTE(SUBSTITUTE("type:"&amp;B462,"%","%25"),"~","%7E"),"*","%2A"),"?","%3F"),'Rules'!$G$7:$G$26,0))&lt;&gt;"",INDEX('Rules'!$F$7:$F$26,MATCH(SUBSTITUTE(SUBSTITUTE(SUBSTITUTE(SUBSTITUTE("type:"&amp;B462,"%","%25"),"~","%7E"),"*","%2A"),"?","%3F"),'Rules'!$G$7:$G$26,0)),IF(AND(C462&lt;&gt;"",C462&lt;&gt;INDEX('Rules'!$B$7:$B$26,MATCH(SUBSTITUTE(SUBSTITUTE(SUBSTITUTE(SUBSTITUTE("type:"&amp;B462,"%","%25"),"~","%7E"),"*","%2A"),"?","%3F"),'Rules'!$G$7:$G$26,0))),"Unit mismatch",IF(IF(NOT(ISNUMBER(D462)),TRUE,OR(D462&lt;0,D462&gt;999999999,ROUND(D462,3)&lt;&gt;D462)),"Invalid current reading",IF(AND(E462&lt;&gt;"",IF(NOT(ISNUMBER(E462)),TRUE,OR(E462&lt;0,E462&gt;999999999,ROUND(E462,3)&lt;&gt;E462))),"Invalid previous reading",IF(IF(NOT(ISNUMBER(F462)),TRUE,OR(F462&lt;0,F462&gt;999999999,ROUND(F462,3)&lt;&gt;F462)),"Invalid last service",IF(AND(E462&lt;&gt;"",D462&lt;E462),"Decreased reading",IF(F462&gt;D462,"Last service above current","")))))))))))))</x:f>
      </x:c>
      <x:c r="L462" s="6" t="str">
        <x:f>IF(AND(NOT(COUNTA(A462:F462)=0),K462=""),INDEX('Rules'!$C$7:$C$26,MATCH(SUBSTITUTE(SUBSTITUTE(SUBSTITUTE(SUBSTITUTE("type:"&amp;B462,"%","%25"),"~","%7E"),"*","%2A"),"?","%3F"),'Rules'!$G$7:$G$26,0)),"")</x:f>
      </x:c>
      <x:c r="M462" s="6" t="str">
        <x:f>IF(AND(NOT(COUNTA(A462:F462)=0),K462=""),INDEX('Rules'!$D$7:$D$26,MATCH(SUBSTITUTE(SUBSTITUTE(SUBSTITUTE(SUBSTITUTE("type:"&amp;B462,"%","%25"),"~","%7E"),"*","%2A"),"?","%3F"),'Rules'!$G$7:$G$26,0)),"")</x:f>
      </x:c>
      <x:c r="N462" s="5" t="str">
        <x:f>IF(COUNTA(A462:F462)=0,"",SUBSTITUTE(SUBSTITUTE(SUBSTITUTE(SUBSTITUTE("id:"&amp;A462,"%","%25"),"~","%7E"),"*","%2A"),"?","%3F"))</x:f>
      </x:c>
    </x:row>
    <x:row r="463" ht="22" customHeight="1">
      <x:c r="A463" s="3"/>
      <x:c r="B463" s="3"/>
      <x:c r="C463" s="3"/>
      <x:c r="D463" s="4"/>
      <x:c r="E463" s="4"/>
      <x:c r="F463" s="4"/>
      <x:c r="G463" s="5" t="str">
        <x:f>IF(COUNTA(A463:F463)=0,"",IF(K463&lt;&gt;"","Review",IF(I463&lt;0,"Overdue",IF(I463=0,"Due now",IF(I463&lt;=M463,"Due soon","Not due")))))</x:f>
      </x:c>
      <x:c r="H463" s="5" t="str">
        <x:f>IF(OR(COUNTA(A463:F463)=0,COUNTIFS('Rules'!$G$7:$G$26,"="&amp;(SUBSTITUTE(SUBSTITUTE(SUBSTITUTE(SUBSTITUTE("type:"&amp;B463,"%","%25"),"~","%7E"),"*","%2A"),"?","%3F")))&lt;&gt;1),"",IF(OR(INDEX('Rules'!$B$7:$B$26,MATCH(SUBSTITUTE(SUBSTITUTE(SUBSTITUTE(SUBSTITUTE("type:"&amp;B463,"%","%25"),"~","%7E"),"*","%2A"),"?","%3F"),'Rules'!$G$7:$G$26,0))="hours",INDEX('Rules'!$B$7:$B$26,MATCH(SUBSTITUTE(SUBSTITUTE(SUBSTITUTE(SUBSTITUTE("type:"&amp;B463,"%","%25"),"~","%7E"),"*","%2A"),"?","%3F"),'Rules'!$G$7:$G$26,0))="km"),INDEX('Rules'!$B$7:$B$26,MATCH(SUBSTITUTE(SUBSTITUTE(SUBSTITUTE(SUBSTITUTE("type:"&amp;B463,"%","%25"),"~","%7E"),"*","%2A"),"?","%3F"),'Rules'!$G$7:$G$26,0)),""))</x:f>
      </x:c>
      <x:c r="I463" s="6" t="str">
        <x:f>IF(AND(NOT(COUNTA(A463:F463)=0),K463=""),ROUND(J463-D463,3),"")</x:f>
      </x:c>
      <x:c r="J463" s="6" t="str">
        <x:f>IF(AND(NOT(COUNTA(A463:F463)=0),K463=""),ROUND(F463+L463,3),"")</x:f>
      </x:c>
      <x:c r="K463" s="5" t="str">
        <x:f>IF(COUNTA(A463:F463)=0,"",IF(A463="","Missing equipment ID",IF(COUNTIFS($N$8:$N$2007,"="&amp;N463)&gt;1,"Duplicate equipment ID",IF(B463="","Missing type",IF(COUNTIFS('Rules'!$G$7:$G$26,"="&amp;(SUBSTITUTE(SUBSTITUTE(SUBSTITUTE(SUBSTITUTE("type:"&amp;B463,"%","%25"),"~","%7E"),"*","%2A"),"?","%3F")))=0,"Unknown type",IF(COUNTIFS('Rules'!$G$7:$G$26,"="&amp;(SUBSTITUTE(SUBSTITUTE(SUBSTITUTE(SUBSTITUTE("type:"&amp;B463,"%","%25"),"~","%7E"),"*","%2A"),"?","%3F")))&gt;1,"Duplicate type",IF(INDEX('Rules'!$F$7:$F$26,MATCH(SUBSTITUTE(SUBSTITUTE(SUBSTITUTE(SUBSTITUTE("type:"&amp;B463,"%","%25"),"~","%7E"),"*","%2A"),"?","%3F"),'Rules'!$G$7:$G$26,0))&lt;&gt;"",INDEX('Rules'!$F$7:$F$26,MATCH(SUBSTITUTE(SUBSTITUTE(SUBSTITUTE(SUBSTITUTE("type:"&amp;B463,"%","%25"),"~","%7E"),"*","%2A"),"?","%3F"),'Rules'!$G$7:$G$26,0)),IF(AND(C463&lt;&gt;"",C463&lt;&gt;INDEX('Rules'!$B$7:$B$26,MATCH(SUBSTITUTE(SUBSTITUTE(SUBSTITUTE(SUBSTITUTE("type:"&amp;B463,"%","%25"),"~","%7E"),"*","%2A"),"?","%3F"),'Rules'!$G$7:$G$26,0))),"Unit mismatch",IF(IF(NOT(ISNUMBER(D463)),TRUE,OR(D463&lt;0,D463&gt;999999999,ROUND(D463,3)&lt;&gt;D463)),"Invalid current reading",IF(AND(E463&lt;&gt;"",IF(NOT(ISNUMBER(E463)),TRUE,OR(E463&lt;0,E463&gt;999999999,ROUND(E463,3)&lt;&gt;E463))),"Invalid previous reading",IF(IF(NOT(ISNUMBER(F463)),TRUE,OR(F463&lt;0,F463&gt;999999999,ROUND(F463,3)&lt;&gt;F463)),"Invalid last service",IF(AND(E463&lt;&gt;"",D463&lt;E463),"Decreased reading",IF(F463&gt;D463,"Last service above current","")))))))))))))</x:f>
      </x:c>
      <x:c r="L463" s="6" t="str">
        <x:f>IF(AND(NOT(COUNTA(A463:F463)=0),K463=""),INDEX('Rules'!$C$7:$C$26,MATCH(SUBSTITUTE(SUBSTITUTE(SUBSTITUTE(SUBSTITUTE("type:"&amp;B463,"%","%25"),"~","%7E"),"*","%2A"),"?","%3F"),'Rules'!$G$7:$G$26,0)),"")</x:f>
      </x:c>
      <x:c r="M463" s="6" t="str">
        <x:f>IF(AND(NOT(COUNTA(A463:F463)=0),K463=""),INDEX('Rules'!$D$7:$D$26,MATCH(SUBSTITUTE(SUBSTITUTE(SUBSTITUTE(SUBSTITUTE("type:"&amp;B463,"%","%25"),"~","%7E"),"*","%2A"),"?","%3F"),'Rules'!$G$7:$G$26,0)),"")</x:f>
      </x:c>
      <x:c r="N463" s="5" t="str">
        <x:f>IF(COUNTA(A463:F463)=0,"",SUBSTITUTE(SUBSTITUTE(SUBSTITUTE(SUBSTITUTE("id:"&amp;A463,"%","%25"),"~","%7E"),"*","%2A"),"?","%3F"))</x:f>
      </x:c>
    </x:row>
    <x:row r="464" ht="22" customHeight="1">
      <x:c r="A464" s="3"/>
      <x:c r="B464" s="3"/>
      <x:c r="C464" s="3"/>
      <x:c r="D464" s="4"/>
      <x:c r="E464" s="4"/>
      <x:c r="F464" s="4"/>
      <x:c r="G464" s="5" t="str">
        <x:f>IF(COUNTA(A464:F464)=0,"",IF(K464&lt;&gt;"","Review",IF(I464&lt;0,"Overdue",IF(I464=0,"Due now",IF(I464&lt;=M464,"Due soon","Not due")))))</x:f>
      </x:c>
      <x:c r="H464" s="5" t="str">
        <x:f>IF(OR(COUNTA(A464:F464)=0,COUNTIFS('Rules'!$G$7:$G$26,"="&amp;(SUBSTITUTE(SUBSTITUTE(SUBSTITUTE(SUBSTITUTE("type:"&amp;B464,"%","%25"),"~","%7E"),"*","%2A"),"?","%3F")))&lt;&gt;1),"",IF(OR(INDEX('Rules'!$B$7:$B$26,MATCH(SUBSTITUTE(SUBSTITUTE(SUBSTITUTE(SUBSTITUTE("type:"&amp;B464,"%","%25"),"~","%7E"),"*","%2A"),"?","%3F"),'Rules'!$G$7:$G$26,0))="hours",INDEX('Rules'!$B$7:$B$26,MATCH(SUBSTITUTE(SUBSTITUTE(SUBSTITUTE(SUBSTITUTE("type:"&amp;B464,"%","%25"),"~","%7E"),"*","%2A"),"?","%3F"),'Rules'!$G$7:$G$26,0))="km"),INDEX('Rules'!$B$7:$B$26,MATCH(SUBSTITUTE(SUBSTITUTE(SUBSTITUTE(SUBSTITUTE("type:"&amp;B464,"%","%25"),"~","%7E"),"*","%2A"),"?","%3F"),'Rules'!$G$7:$G$26,0)),""))</x:f>
      </x:c>
      <x:c r="I464" s="6" t="str">
        <x:f>IF(AND(NOT(COUNTA(A464:F464)=0),K464=""),ROUND(J464-D464,3),"")</x:f>
      </x:c>
      <x:c r="J464" s="6" t="str">
        <x:f>IF(AND(NOT(COUNTA(A464:F464)=0),K464=""),ROUND(F464+L464,3),"")</x:f>
      </x:c>
      <x:c r="K464" s="5" t="str">
        <x:f>IF(COUNTA(A464:F464)=0,"",IF(A464="","Missing equipment ID",IF(COUNTIFS($N$8:$N$2007,"="&amp;N464)&gt;1,"Duplicate equipment ID",IF(B464="","Missing type",IF(COUNTIFS('Rules'!$G$7:$G$26,"="&amp;(SUBSTITUTE(SUBSTITUTE(SUBSTITUTE(SUBSTITUTE("type:"&amp;B464,"%","%25"),"~","%7E"),"*","%2A"),"?","%3F")))=0,"Unknown type",IF(COUNTIFS('Rules'!$G$7:$G$26,"="&amp;(SUBSTITUTE(SUBSTITUTE(SUBSTITUTE(SUBSTITUTE("type:"&amp;B464,"%","%25"),"~","%7E"),"*","%2A"),"?","%3F")))&gt;1,"Duplicate type",IF(INDEX('Rules'!$F$7:$F$26,MATCH(SUBSTITUTE(SUBSTITUTE(SUBSTITUTE(SUBSTITUTE("type:"&amp;B464,"%","%25"),"~","%7E"),"*","%2A"),"?","%3F"),'Rules'!$G$7:$G$26,0))&lt;&gt;"",INDEX('Rules'!$F$7:$F$26,MATCH(SUBSTITUTE(SUBSTITUTE(SUBSTITUTE(SUBSTITUTE("type:"&amp;B464,"%","%25"),"~","%7E"),"*","%2A"),"?","%3F"),'Rules'!$G$7:$G$26,0)),IF(AND(C464&lt;&gt;"",C464&lt;&gt;INDEX('Rules'!$B$7:$B$26,MATCH(SUBSTITUTE(SUBSTITUTE(SUBSTITUTE(SUBSTITUTE("type:"&amp;B464,"%","%25"),"~","%7E"),"*","%2A"),"?","%3F"),'Rules'!$G$7:$G$26,0))),"Unit mismatch",IF(IF(NOT(ISNUMBER(D464)),TRUE,OR(D464&lt;0,D464&gt;999999999,ROUND(D464,3)&lt;&gt;D464)),"Invalid current reading",IF(AND(E464&lt;&gt;"",IF(NOT(ISNUMBER(E464)),TRUE,OR(E464&lt;0,E464&gt;999999999,ROUND(E464,3)&lt;&gt;E464))),"Invalid previous reading",IF(IF(NOT(ISNUMBER(F464)),TRUE,OR(F464&lt;0,F464&gt;999999999,ROUND(F464,3)&lt;&gt;F464)),"Invalid last service",IF(AND(E464&lt;&gt;"",D464&lt;E464),"Decreased reading",IF(F464&gt;D464,"Last service above current","")))))))))))))</x:f>
      </x:c>
      <x:c r="L464" s="6" t="str">
        <x:f>IF(AND(NOT(COUNTA(A464:F464)=0),K464=""),INDEX('Rules'!$C$7:$C$26,MATCH(SUBSTITUTE(SUBSTITUTE(SUBSTITUTE(SUBSTITUTE("type:"&amp;B464,"%","%25"),"~","%7E"),"*","%2A"),"?","%3F"),'Rules'!$G$7:$G$26,0)),"")</x:f>
      </x:c>
      <x:c r="M464" s="6" t="str">
        <x:f>IF(AND(NOT(COUNTA(A464:F464)=0),K464=""),INDEX('Rules'!$D$7:$D$26,MATCH(SUBSTITUTE(SUBSTITUTE(SUBSTITUTE(SUBSTITUTE("type:"&amp;B464,"%","%25"),"~","%7E"),"*","%2A"),"?","%3F"),'Rules'!$G$7:$G$26,0)),"")</x:f>
      </x:c>
      <x:c r="N464" s="5" t="str">
        <x:f>IF(COUNTA(A464:F464)=0,"",SUBSTITUTE(SUBSTITUTE(SUBSTITUTE(SUBSTITUTE("id:"&amp;A464,"%","%25"),"~","%7E"),"*","%2A"),"?","%3F"))</x:f>
      </x:c>
    </x:row>
    <x:row r="465" ht="22" customHeight="1">
      <x:c r="A465" s="3"/>
      <x:c r="B465" s="3"/>
      <x:c r="C465" s="3"/>
      <x:c r="D465" s="4"/>
      <x:c r="E465" s="4"/>
      <x:c r="F465" s="4"/>
      <x:c r="G465" s="5" t="str">
        <x:f>IF(COUNTA(A465:F465)=0,"",IF(K465&lt;&gt;"","Review",IF(I465&lt;0,"Overdue",IF(I465=0,"Due now",IF(I465&lt;=M465,"Due soon","Not due")))))</x:f>
      </x:c>
      <x:c r="H465" s="5" t="str">
        <x:f>IF(OR(COUNTA(A465:F465)=0,COUNTIFS('Rules'!$G$7:$G$26,"="&amp;(SUBSTITUTE(SUBSTITUTE(SUBSTITUTE(SUBSTITUTE("type:"&amp;B465,"%","%25"),"~","%7E"),"*","%2A"),"?","%3F")))&lt;&gt;1),"",IF(OR(INDEX('Rules'!$B$7:$B$26,MATCH(SUBSTITUTE(SUBSTITUTE(SUBSTITUTE(SUBSTITUTE("type:"&amp;B465,"%","%25"),"~","%7E"),"*","%2A"),"?","%3F"),'Rules'!$G$7:$G$26,0))="hours",INDEX('Rules'!$B$7:$B$26,MATCH(SUBSTITUTE(SUBSTITUTE(SUBSTITUTE(SUBSTITUTE("type:"&amp;B465,"%","%25"),"~","%7E"),"*","%2A"),"?","%3F"),'Rules'!$G$7:$G$26,0))="km"),INDEX('Rules'!$B$7:$B$26,MATCH(SUBSTITUTE(SUBSTITUTE(SUBSTITUTE(SUBSTITUTE("type:"&amp;B465,"%","%25"),"~","%7E"),"*","%2A"),"?","%3F"),'Rules'!$G$7:$G$26,0)),""))</x:f>
      </x:c>
      <x:c r="I465" s="6" t="str">
        <x:f>IF(AND(NOT(COUNTA(A465:F465)=0),K465=""),ROUND(J465-D465,3),"")</x:f>
      </x:c>
      <x:c r="J465" s="6" t="str">
        <x:f>IF(AND(NOT(COUNTA(A465:F465)=0),K465=""),ROUND(F465+L465,3),"")</x:f>
      </x:c>
      <x:c r="K465" s="5" t="str">
        <x:f>IF(COUNTA(A465:F465)=0,"",IF(A465="","Missing equipment ID",IF(COUNTIFS($N$8:$N$2007,"="&amp;N465)&gt;1,"Duplicate equipment ID",IF(B465="","Missing type",IF(COUNTIFS('Rules'!$G$7:$G$26,"="&amp;(SUBSTITUTE(SUBSTITUTE(SUBSTITUTE(SUBSTITUTE("type:"&amp;B465,"%","%25"),"~","%7E"),"*","%2A"),"?","%3F")))=0,"Unknown type",IF(COUNTIFS('Rules'!$G$7:$G$26,"="&amp;(SUBSTITUTE(SUBSTITUTE(SUBSTITUTE(SUBSTITUTE("type:"&amp;B465,"%","%25"),"~","%7E"),"*","%2A"),"?","%3F")))&gt;1,"Duplicate type",IF(INDEX('Rules'!$F$7:$F$26,MATCH(SUBSTITUTE(SUBSTITUTE(SUBSTITUTE(SUBSTITUTE("type:"&amp;B465,"%","%25"),"~","%7E"),"*","%2A"),"?","%3F"),'Rules'!$G$7:$G$26,0))&lt;&gt;"",INDEX('Rules'!$F$7:$F$26,MATCH(SUBSTITUTE(SUBSTITUTE(SUBSTITUTE(SUBSTITUTE("type:"&amp;B465,"%","%25"),"~","%7E"),"*","%2A"),"?","%3F"),'Rules'!$G$7:$G$26,0)),IF(AND(C465&lt;&gt;"",C465&lt;&gt;INDEX('Rules'!$B$7:$B$26,MATCH(SUBSTITUTE(SUBSTITUTE(SUBSTITUTE(SUBSTITUTE("type:"&amp;B465,"%","%25"),"~","%7E"),"*","%2A"),"?","%3F"),'Rules'!$G$7:$G$26,0))),"Unit mismatch",IF(IF(NOT(ISNUMBER(D465)),TRUE,OR(D465&lt;0,D465&gt;999999999,ROUND(D465,3)&lt;&gt;D465)),"Invalid current reading",IF(AND(E465&lt;&gt;"",IF(NOT(ISNUMBER(E465)),TRUE,OR(E465&lt;0,E465&gt;999999999,ROUND(E465,3)&lt;&gt;E465))),"Invalid previous reading",IF(IF(NOT(ISNUMBER(F465)),TRUE,OR(F465&lt;0,F465&gt;999999999,ROUND(F465,3)&lt;&gt;F465)),"Invalid last service",IF(AND(E465&lt;&gt;"",D465&lt;E465),"Decreased reading",IF(F465&gt;D465,"Last service above current","")))))))))))))</x:f>
      </x:c>
      <x:c r="L465" s="6" t="str">
        <x:f>IF(AND(NOT(COUNTA(A465:F465)=0),K465=""),INDEX('Rules'!$C$7:$C$26,MATCH(SUBSTITUTE(SUBSTITUTE(SUBSTITUTE(SUBSTITUTE("type:"&amp;B465,"%","%25"),"~","%7E"),"*","%2A"),"?","%3F"),'Rules'!$G$7:$G$26,0)),"")</x:f>
      </x:c>
      <x:c r="M465" s="6" t="str">
        <x:f>IF(AND(NOT(COUNTA(A465:F465)=0),K465=""),INDEX('Rules'!$D$7:$D$26,MATCH(SUBSTITUTE(SUBSTITUTE(SUBSTITUTE(SUBSTITUTE("type:"&amp;B465,"%","%25"),"~","%7E"),"*","%2A"),"?","%3F"),'Rules'!$G$7:$G$26,0)),"")</x:f>
      </x:c>
      <x:c r="N465" s="5" t="str">
        <x:f>IF(COUNTA(A465:F465)=0,"",SUBSTITUTE(SUBSTITUTE(SUBSTITUTE(SUBSTITUTE("id:"&amp;A465,"%","%25"),"~","%7E"),"*","%2A"),"?","%3F"))</x:f>
      </x:c>
    </x:row>
    <x:row r="466" ht="22" customHeight="1">
      <x:c r="A466" s="3"/>
      <x:c r="B466" s="3"/>
      <x:c r="C466" s="3"/>
      <x:c r="D466" s="4"/>
      <x:c r="E466" s="4"/>
      <x:c r="F466" s="4"/>
      <x:c r="G466" s="5" t="str">
        <x:f>IF(COUNTA(A466:F466)=0,"",IF(K466&lt;&gt;"","Review",IF(I466&lt;0,"Overdue",IF(I466=0,"Due now",IF(I466&lt;=M466,"Due soon","Not due")))))</x:f>
      </x:c>
      <x:c r="H466" s="5" t="str">
        <x:f>IF(OR(COUNTA(A466:F466)=0,COUNTIFS('Rules'!$G$7:$G$26,"="&amp;(SUBSTITUTE(SUBSTITUTE(SUBSTITUTE(SUBSTITUTE("type:"&amp;B466,"%","%25"),"~","%7E"),"*","%2A"),"?","%3F")))&lt;&gt;1),"",IF(OR(INDEX('Rules'!$B$7:$B$26,MATCH(SUBSTITUTE(SUBSTITUTE(SUBSTITUTE(SUBSTITUTE("type:"&amp;B466,"%","%25"),"~","%7E"),"*","%2A"),"?","%3F"),'Rules'!$G$7:$G$26,0))="hours",INDEX('Rules'!$B$7:$B$26,MATCH(SUBSTITUTE(SUBSTITUTE(SUBSTITUTE(SUBSTITUTE("type:"&amp;B466,"%","%25"),"~","%7E"),"*","%2A"),"?","%3F"),'Rules'!$G$7:$G$26,0))="km"),INDEX('Rules'!$B$7:$B$26,MATCH(SUBSTITUTE(SUBSTITUTE(SUBSTITUTE(SUBSTITUTE("type:"&amp;B466,"%","%25"),"~","%7E"),"*","%2A"),"?","%3F"),'Rules'!$G$7:$G$26,0)),""))</x:f>
      </x:c>
      <x:c r="I466" s="6" t="str">
        <x:f>IF(AND(NOT(COUNTA(A466:F466)=0),K466=""),ROUND(J466-D466,3),"")</x:f>
      </x:c>
      <x:c r="J466" s="6" t="str">
        <x:f>IF(AND(NOT(COUNTA(A466:F466)=0),K466=""),ROUND(F466+L466,3),"")</x:f>
      </x:c>
      <x:c r="K466" s="5" t="str">
        <x:f>IF(COUNTA(A466:F466)=0,"",IF(A466="","Missing equipment ID",IF(COUNTIFS($N$8:$N$2007,"="&amp;N466)&gt;1,"Duplicate equipment ID",IF(B466="","Missing type",IF(COUNTIFS('Rules'!$G$7:$G$26,"="&amp;(SUBSTITUTE(SUBSTITUTE(SUBSTITUTE(SUBSTITUTE("type:"&amp;B466,"%","%25"),"~","%7E"),"*","%2A"),"?","%3F")))=0,"Unknown type",IF(COUNTIFS('Rules'!$G$7:$G$26,"="&amp;(SUBSTITUTE(SUBSTITUTE(SUBSTITUTE(SUBSTITUTE("type:"&amp;B466,"%","%25"),"~","%7E"),"*","%2A"),"?","%3F")))&gt;1,"Duplicate type",IF(INDEX('Rules'!$F$7:$F$26,MATCH(SUBSTITUTE(SUBSTITUTE(SUBSTITUTE(SUBSTITUTE("type:"&amp;B466,"%","%25"),"~","%7E"),"*","%2A"),"?","%3F"),'Rules'!$G$7:$G$26,0))&lt;&gt;"",INDEX('Rules'!$F$7:$F$26,MATCH(SUBSTITUTE(SUBSTITUTE(SUBSTITUTE(SUBSTITUTE("type:"&amp;B466,"%","%25"),"~","%7E"),"*","%2A"),"?","%3F"),'Rules'!$G$7:$G$26,0)),IF(AND(C466&lt;&gt;"",C466&lt;&gt;INDEX('Rules'!$B$7:$B$26,MATCH(SUBSTITUTE(SUBSTITUTE(SUBSTITUTE(SUBSTITUTE("type:"&amp;B466,"%","%25"),"~","%7E"),"*","%2A"),"?","%3F"),'Rules'!$G$7:$G$26,0))),"Unit mismatch",IF(IF(NOT(ISNUMBER(D466)),TRUE,OR(D466&lt;0,D466&gt;999999999,ROUND(D466,3)&lt;&gt;D466)),"Invalid current reading",IF(AND(E466&lt;&gt;"",IF(NOT(ISNUMBER(E466)),TRUE,OR(E466&lt;0,E466&gt;999999999,ROUND(E466,3)&lt;&gt;E466))),"Invalid previous reading",IF(IF(NOT(ISNUMBER(F466)),TRUE,OR(F466&lt;0,F466&gt;999999999,ROUND(F466,3)&lt;&gt;F466)),"Invalid last service",IF(AND(E466&lt;&gt;"",D466&lt;E466),"Decreased reading",IF(F466&gt;D466,"Last service above current","")))))))))))))</x:f>
      </x:c>
      <x:c r="L466" s="6" t="str">
        <x:f>IF(AND(NOT(COUNTA(A466:F466)=0),K466=""),INDEX('Rules'!$C$7:$C$26,MATCH(SUBSTITUTE(SUBSTITUTE(SUBSTITUTE(SUBSTITUTE("type:"&amp;B466,"%","%25"),"~","%7E"),"*","%2A"),"?","%3F"),'Rules'!$G$7:$G$26,0)),"")</x:f>
      </x:c>
      <x:c r="M466" s="6" t="str">
        <x:f>IF(AND(NOT(COUNTA(A466:F466)=0),K466=""),INDEX('Rules'!$D$7:$D$26,MATCH(SUBSTITUTE(SUBSTITUTE(SUBSTITUTE(SUBSTITUTE("type:"&amp;B466,"%","%25"),"~","%7E"),"*","%2A"),"?","%3F"),'Rules'!$G$7:$G$26,0)),"")</x:f>
      </x:c>
      <x:c r="N466" s="5" t="str">
        <x:f>IF(COUNTA(A466:F466)=0,"",SUBSTITUTE(SUBSTITUTE(SUBSTITUTE(SUBSTITUTE("id:"&amp;A466,"%","%25"),"~","%7E"),"*","%2A"),"?","%3F"))</x:f>
      </x:c>
    </x:row>
    <x:row r="467" ht="22" customHeight="1">
      <x:c r="A467" s="3"/>
      <x:c r="B467" s="3"/>
      <x:c r="C467" s="3"/>
      <x:c r="D467" s="4"/>
      <x:c r="E467" s="4"/>
      <x:c r="F467" s="4"/>
      <x:c r="G467" s="5" t="str">
        <x:f>IF(COUNTA(A467:F467)=0,"",IF(K467&lt;&gt;"","Review",IF(I467&lt;0,"Overdue",IF(I467=0,"Due now",IF(I467&lt;=M467,"Due soon","Not due")))))</x:f>
      </x:c>
      <x:c r="H467" s="5" t="str">
        <x:f>IF(OR(COUNTA(A467:F467)=0,COUNTIFS('Rules'!$G$7:$G$26,"="&amp;(SUBSTITUTE(SUBSTITUTE(SUBSTITUTE(SUBSTITUTE("type:"&amp;B467,"%","%25"),"~","%7E"),"*","%2A"),"?","%3F")))&lt;&gt;1),"",IF(OR(INDEX('Rules'!$B$7:$B$26,MATCH(SUBSTITUTE(SUBSTITUTE(SUBSTITUTE(SUBSTITUTE("type:"&amp;B467,"%","%25"),"~","%7E"),"*","%2A"),"?","%3F"),'Rules'!$G$7:$G$26,0))="hours",INDEX('Rules'!$B$7:$B$26,MATCH(SUBSTITUTE(SUBSTITUTE(SUBSTITUTE(SUBSTITUTE("type:"&amp;B467,"%","%25"),"~","%7E"),"*","%2A"),"?","%3F"),'Rules'!$G$7:$G$26,0))="km"),INDEX('Rules'!$B$7:$B$26,MATCH(SUBSTITUTE(SUBSTITUTE(SUBSTITUTE(SUBSTITUTE("type:"&amp;B467,"%","%25"),"~","%7E"),"*","%2A"),"?","%3F"),'Rules'!$G$7:$G$26,0)),""))</x:f>
      </x:c>
      <x:c r="I467" s="6" t="str">
        <x:f>IF(AND(NOT(COUNTA(A467:F467)=0),K467=""),ROUND(J467-D467,3),"")</x:f>
      </x:c>
      <x:c r="J467" s="6" t="str">
        <x:f>IF(AND(NOT(COUNTA(A467:F467)=0),K467=""),ROUND(F467+L467,3),"")</x:f>
      </x:c>
      <x:c r="K467" s="5" t="str">
        <x:f>IF(COUNTA(A467:F467)=0,"",IF(A467="","Missing equipment ID",IF(COUNTIFS($N$8:$N$2007,"="&amp;N467)&gt;1,"Duplicate equipment ID",IF(B467="","Missing type",IF(COUNTIFS('Rules'!$G$7:$G$26,"="&amp;(SUBSTITUTE(SUBSTITUTE(SUBSTITUTE(SUBSTITUTE("type:"&amp;B467,"%","%25"),"~","%7E"),"*","%2A"),"?","%3F")))=0,"Unknown type",IF(COUNTIFS('Rules'!$G$7:$G$26,"="&amp;(SUBSTITUTE(SUBSTITUTE(SUBSTITUTE(SUBSTITUTE("type:"&amp;B467,"%","%25"),"~","%7E"),"*","%2A"),"?","%3F")))&gt;1,"Duplicate type",IF(INDEX('Rules'!$F$7:$F$26,MATCH(SUBSTITUTE(SUBSTITUTE(SUBSTITUTE(SUBSTITUTE("type:"&amp;B467,"%","%25"),"~","%7E"),"*","%2A"),"?","%3F"),'Rules'!$G$7:$G$26,0))&lt;&gt;"",INDEX('Rules'!$F$7:$F$26,MATCH(SUBSTITUTE(SUBSTITUTE(SUBSTITUTE(SUBSTITUTE("type:"&amp;B467,"%","%25"),"~","%7E"),"*","%2A"),"?","%3F"),'Rules'!$G$7:$G$26,0)),IF(AND(C467&lt;&gt;"",C467&lt;&gt;INDEX('Rules'!$B$7:$B$26,MATCH(SUBSTITUTE(SUBSTITUTE(SUBSTITUTE(SUBSTITUTE("type:"&amp;B467,"%","%25"),"~","%7E"),"*","%2A"),"?","%3F"),'Rules'!$G$7:$G$26,0))),"Unit mismatch",IF(IF(NOT(ISNUMBER(D467)),TRUE,OR(D467&lt;0,D467&gt;999999999,ROUND(D467,3)&lt;&gt;D467)),"Invalid current reading",IF(AND(E467&lt;&gt;"",IF(NOT(ISNUMBER(E467)),TRUE,OR(E467&lt;0,E467&gt;999999999,ROUND(E467,3)&lt;&gt;E467))),"Invalid previous reading",IF(IF(NOT(ISNUMBER(F467)),TRUE,OR(F467&lt;0,F467&gt;999999999,ROUND(F467,3)&lt;&gt;F467)),"Invalid last service",IF(AND(E467&lt;&gt;"",D467&lt;E467),"Decreased reading",IF(F467&gt;D467,"Last service above current","")))))))))))))</x:f>
      </x:c>
      <x:c r="L467" s="6" t="str">
        <x:f>IF(AND(NOT(COUNTA(A467:F467)=0),K467=""),INDEX('Rules'!$C$7:$C$26,MATCH(SUBSTITUTE(SUBSTITUTE(SUBSTITUTE(SUBSTITUTE("type:"&amp;B467,"%","%25"),"~","%7E"),"*","%2A"),"?","%3F"),'Rules'!$G$7:$G$26,0)),"")</x:f>
      </x:c>
      <x:c r="M467" s="6" t="str">
        <x:f>IF(AND(NOT(COUNTA(A467:F467)=0),K467=""),INDEX('Rules'!$D$7:$D$26,MATCH(SUBSTITUTE(SUBSTITUTE(SUBSTITUTE(SUBSTITUTE("type:"&amp;B467,"%","%25"),"~","%7E"),"*","%2A"),"?","%3F"),'Rules'!$G$7:$G$26,0)),"")</x:f>
      </x:c>
      <x:c r="N467" s="5" t="str">
        <x:f>IF(COUNTA(A467:F467)=0,"",SUBSTITUTE(SUBSTITUTE(SUBSTITUTE(SUBSTITUTE("id:"&amp;A467,"%","%25"),"~","%7E"),"*","%2A"),"?","%3F"))</x:f>
      </x:c>
    </x:row>
    <x:row r="468" ht="22" customHeight="1">
      <x:c r="A468" s="3"/>
      <x:c r="B468" s="3"/>
      <x:c r="C468" s="3"/>
      <x:c r="D468" s="4"/>
      <x:c r="E468" s="4"/>
      <x:c r="F468" s="4"/>
      <x:c r="G468" s="5" t="str">
        <x:f>IF(COUNTA(A468:F468)=0,"",IF(K468&lt;&gt;"","Review",IF(I468&lt;0,"Overdue",IF(I468=0,"Due now",IF(I468&lt;=M468,"Due soon","Not due")))))</x:f>
      </x:c>
      <x:c r="H468" s="5" t="str">
        <x:f>IF(OR(COUNTA(A468:F468)=0,COUNTIFS('Rules'!$G$7:$G$26,"="&amp;(SUBSTITUTE(SUBSTITUTE(SUBSTITUTE(SUBSTITUTE("type:"&amp;B468,"%","%25"),"~","%7E"),"*","%2A"),"?","%3F")))&lt;&gt;1),"",IF(OR(INDEX('Rules'!$B$7:$B$26,MATCH(SUBSTITUTE(SUBSTITUTE(SUBSTITUTE(SUBSTITUTE("type:"&amp;B468,"%","%25"),"~","%7E"),"*","%2A"),"?","%3F"),'Rules'!$G$7:$G$26,0))="hours",INDEX('Rules'!$B$7:$B$26,MATCH(SUBSTITUTE(SUBSTITUTE(SUBSTITUTE(SUBSTITUTE("type:"&amp;B468,"%","%25"),"~","%7E"),"*","%2A"),"?","%3F"),'Rules'!$G$7:$G$26,0))="km"),INDEX('Rules'!$B$7:$B$26,MATCH(SUBSTITUTE(SUBSTITUTE(SUBSTITUTE(SUBSTITUTE("type:"&amp;B468,"%","%25"),"~","%7E"),"*","%2A"),"?","%3F"),'Rules'!$G$7:$G$26,0)),""))</x:f>
      </x:c>
      <x:c r="I468" s="6" t="str">
        <x:f>IF(AND(NOT(COUNTA(A468:F468)=0),K468=""),ROUND(J468-D468,3),"")</x:f>
      </x:c>
      <x:c r="J468" s="6" t="str">
        <x:f>IF(AND(NOT(COUNTA(A468:F468)=0),K468=""),ROUND(F468+L468,3),"")</x:f>
      </x:c>
      <x:c r="K468" s="5" t="str">
        <x:f>IF(COUNTA(A468:F468)=0,"",IF(A468="","Missing equipment ID",IF(COUNTIFS($N$8:$N$2007,"="&amp;N468)&gt;1,"Duplicate equipment ID",IF(B468="","Missing type",IF(COUNTIFS('Rules'!$G$7:$G$26,"="&amp;(SUBSTITUTE(SUBSTITUTE(SUBSTITUTE(SUBSTITUTE("type:"&amp;B468,"%","%25"),"~","%7E"),"*","%2A"),"?","%3F")))=0,"Unknown type",IF(COUNTIFS('Rules'!$G$7:$G$26,"="&amp;(SUBSTITUTE(SUBSTITUTE(SUBSTITUTE(SUBSTITUTE("type:"&amp;B468,"%","%25"),"~","%7E"),"*","%2A"),"?","%3F")))&gt;1,"Duplicate type",IF(INDEX('Rules'!$F$7:$F$26,MATCH(SUBSTITUTE(SUBSTITUTE(SUBSTITUTE(SUBSTITUTE("type:"&amp;B468,"%","%25"),"~","%7E"),"*","%2A"),"?","%3F"),'Rules'!$G$7:$G$26,0))&lt;&gt;"",INDEX('Rules'!$F$7:$F$26,MATCH(SUBSTITUTE(SUBSTITUTE(SUBSTITUTE(SUBSTITUTE("type:"&amp;B468,"%","%25"),"~","%7E"),"*","%2A"),"?","%3F"),'Rules'!$G$7:$G$26,0)),IF(AND(C468&lt;&gt;"",C468&lt;&gt;INDEX('Rules'!$B$7:$B$26,MATCH(SUBSTITUTE(SUBSTITUTE(SUBSTITUTE(SUBSTITUTE("type:"&amp;B468,"%","%25"),"~","%7E"),"*","%2A"),"?","%3F"),'Rules'!$G$7:$G$26,0))),"Unit mismatch",IF(IF(NOT(ISNUMBER(D468)),TRUE,OR(D468&lt;0,D468&gt;999999999,ROUND(D468,3)&lt;&gt;D468)),"Invalid current reading",IF(AND(E468&lt;&gt;"",IF(NOT(ISNUMBER(E468)),TRUE,OR(E468&lt;0,E468&gt;999999999,ROUND(E468,3)&lt;&gt;E468))),"Invalid previous reading",IF(IF(NOT(ISNUMBER(F468)),TRUE,OR(F468&lt;0,F468&gt;999999999,ROUND(F468,3)&lt;&gt;F468)),"Invalid last service",IF(AND(E468&lt;&gt;"",D468&lt;E468),"Decreased reading",IF(F468&gt;D468,"Last service above current","")))))))))))))</x:f>
      </x:c>
      <x:c r="L468" s="6" t="str">
        <x:f>IF(AND(NOT(COUNTA(A468:F468)=0),K468=""),INDEX('Rules'!$C$7:$C$26,MATCH(SUBSTITUTE(SUBSTITUTE(SUBSTITUTE(SUBSTITUTE("type:"&amp;B468,"%","%25"),"~","%7E"),"*","%2A"),"?","%3F"),'Rules'!$G$7:$G$26,0)),"")</x:f>
      </x:c>
      <x:c r="M468" s="6" t="str">
        <x:f>IF(AND(NOT(COUNTA(A468:F468)=0),K468=""),INDEX('Rules'!$D$7:$D$26,MATCH(SUBSTITUTE(SUBSTITUTE(SUBSTITUTE(SUBSTITUTE("type:"&amp;B468,"%","%25"),"~","%7E"),"*","%2A"),"?","%3F"),'Rules'!$G$7:$G$26,0)),"")</x:f>
      </x:c>
      <x:c r="N468" s="5" t="str">
        <x:f>IF(COUNTA(A468:F468)=0,"",SUBSTITUTE(SUBSTITUTE(SUBSTITUTE(SUBSTITUTE("id:"&amp;A468,"%","%25"),"~","%7E"),"*","%2A"),"?","%3F"))</x:f>
      </x:c>
    </x:row>
    <x:row r="469" ht="22" customHeight="1">
      <x:c r="A469" s="3"/>
      <x:c r="B469" s="3"/>
      <x:c r="C469" s="3"/>
      <x:c r="D469" s="4"/>
      <x:c r="E469" s="4"/>
      <x:c r="F469" s="4"/>
      <x:c r="G469" s="5" t="str">
        <x:f>IF(COUNTA(A469:F469)=0,"",IF(K469&lt;&gt;"","Review",IF(I469&lt;0,"Overdue",IF(I469=0,"Due now",IF(I469&lt;=M469,"Due soon","Not due")))))</x:f>
      </x:c>
      <x:c r="H469" s="5" t="str">
        <x:f>IF(OR(COUNTA(A469:F469)=0,COUNTIFS('Rules'!$G$7:$G$26,"="&amp;(SUBSTITUTE(SUBSTITUTE(SUBSTITUTE(SUBSTITUTE("type:"&amp;B469,"%","%25"),"~","%7E"),"*","%2A"),"?","%3F")))&lt;&gt;1),"",IF(OR(INDEX('Rules'!$B$7:$B$26,MATCH(SUBSTITUTE(SUBSTITUTE(SUBSTITUTE(SUBSTITUTE("type:"&amp;B469,"%","%25"),"~","%7E"),"*","%2A"),"?","%3F"),'Rules'!$G$7:$G$26,0))="hours",INDEX('Rules'!$B$7:$B$26,MATCH(SUBSTITUTE(SUBSTITUTE(SUBSTITUTE(SUBSTITUTE("type:"&amp;B469,"%","%25"),"~","%7E"),"*","%2A"),"?","%3F"),'Rules'!$G$7:$G$26,0))="km"),INDEX('Rules'!$B$7:$B$26,MATCH(SUBSTITUTE(SUBSTITUTE(SUBSTITUTE(SUBSTITUTE("type:"&amp;B469,"%","%25"),"~","%7E"),"*","%2A"),"?","%3F"),'Rules'!$G$7:$G$26,0)),""))</x:f>
      </x:c>
      <x:c r="I469" s="6" t="str">
        <x:f>IF(AND(NOT(COUNTA(A469:F469)=0),K469=""),ROUND(J469-D469,3),"")</x:f>
      </x:c>
      <x:c r="J469" s="6" t="str">
        <x:f>IF(AND(NOT(COUNTA(A469:F469)=0),K469=""),ROUND(F469+L469,3),"")</x:f>
      </x:c>
      <x:c r="K469" s="5" t="str">
        <x:f>IF(COUNTA(A469:F469)=0,"",IF(A469="","Missing equipment ID",IF(COUNTIFS($N$8:$N$2007,"="&amp;N469)&gt;1,"Duplicate equipment ID",IF(B469="","Missing type",IF(COUNTIFS('Rules'!$G$7:$G$26,"="&amp;(SUBSTITUTE(SUBSTITUTE(SUBSTITUTE(SUBSTITUTE("type:"&amp;B469,"%","%25"),"~","%7E"),"*","%2A"),"?","%3F")))=0,"Unknown type",IF(COUNTIFS('Rules'!$G$7:$G$26,"="&amp;(SUBSTITUTE(SUBSTITUTE(SUBSTITUTE(SUBSTITUTE("type:"&amp;B469,"%","%25"),"~","%7E"),"*","%2A"),"?","%3F")))&gt;1,"Duplicate type",IF(INDEX('Rules'!$F$7:$F$26,MATCH(SUBSTITUTE(SUBSTITUTE(SUBSTITUTE(SUBSTITUTE("type:"&amp;B469,"%","%25"),"~","%7E"),"*","%2A"),"?","%3F"),'Rules'!$G$7:$G$26,0))&lt;&gt;"",INDEX('Rules'!$F$7:$F$26,MATCH(SUBSTITUTE(SUBSTITUTE(SUBSTITUTE(SUBSTITUTE("type:"&amp;B469,"%","%25"),"~","%7E"),"*","%2A"),"?","%3F"),'Rules'!$G$7:$G$26,0)),IF(AND(C469&lt;&gt;"",C469&lt;&gt;INDEX('Rules'!$B$7:$B$26,MATCH(SUBSTITUTE(SUBSTITUTE(SUBSTITUTE(SUBSTITUTE("type:"&amp;B469,"%","%25"),"~","%7E"),"*","%2A"),"?","%3F"),'Rules'!$G$7:$G$26,0))),"Unit mismatch",IF(IF(NOT(ISNUMBER(D469)),TRUE,OR(D469&lt;0,D469&gt;999999999,ROUND(D469,3)&lt;&gt;D469)),"Invalid current reading",IF(AND(E469&lt;&gt;"",IF(NOT(ISNUMBER(E469)),TRUE,OR(E469&lt;0,E469&gt;999999999,ROUND(E469,3)&lt;&gt;E469))),"Invalid previous reading",IF(IF(NOT(ISNUMBER(F469)),TRUE,OR(F469&lt;0,F469&gt;999999999,ROUND(F469,3)&lt;&gt;F469)),"Invalid last service",IF(AND(E469&lt;&gt;"",D469&lt;E469),"Decreased reading",IF(F469&gt;D469,"Last service above current","")))))))))))))</x:f>
      </x:c>
      <x:c r="L469" s="6" t="str">
        <x:f>IF(AND(NOT(COUNTA(A469:F469)=0),K469=""),INDEX('Rules'!$C$7:$C$26,MATCH(SUBSTITUTE(SUBSTITUTE(SUBSTITUTE(SUBSTITUTE("type:"&amp;B469,"%","%25"),"~","%7E"),"*","%2A"),"?","%3F"),'Rules'!$G$7:$G$26,0)),"")</x:f>
      </x:c>
      <x:c r="M469" s="6" t="str">
        <x:f>IF(AND(NOT(COUNTA(A469:F469)=0),K469=""),INDEX('Rules'!$D$7:$D$26,MATCH(SUBSTITUTE(SUBSTITUTE(SUBSTITUTE(SUBSTITUTE("type:"&amp;B469,"%","%25"),"~","%7E"),"*","%2A"),"?","%3F"),'Rules'!$G$7:$G$26,0)),"")</x:f>
      </x:c>
      <x:c r="N469" s="5" t="str">
        <x:f>IF(COUNTA(A469:F469)=0,"",SUBSTITUTE(SUBSTITUTE(SUBSTITUTE(SUBSTITUTE("id:"&amp;A469,"%","%25"),"~","%7E"),"*","%2A"),"?","%3F"))</x:f>
      </x:c>
    </x:row>
    <x:row r="470" ht="22" customHeight="1">
      <x:c r="A470" s="3"/>
      <x:c r="B470" s="3"/>
      <x:c r="C470" s="3"/>
      <x:c r="D470" s="4"/>
      <x:c r="E470" s="4"/>
      <x:c r="F470" s="4"/>
      <x:c r="G470" s="5" t="str">
        <x:f>IF(COUNTA(A470:F470)=0,"",IF(K470&lt;&gt;"","Review",IF(I470&lt;0,"Overdue",IF(I470=0,"Due now",IF(I470&lt;=M470,"Due soon","Not due")))))</x:f>
      </x:c>
      <x:c r="H470" s="5" t="str">
        <x:f>IF(OR(COUNTA(A470:F470)=0,COUNTIFS('Rules'!$G$7:$G$26,"="&amp;(SUBSTITUTE(SUBSTITUTE(SUBSTITUTE(SUBSTITUTE("type:"&amp;B470,"%","%25"),"~","%7E"),"*","%2A"),"?","%3F")))&lt;&gt;1),"",IF(OR(INDEX('Rules'!$B$7:$B$26,MATCH(SUBSTITUTE(SUBSTITUTE(SUBSTITUTE(SUBSTITUTE("type:"&amp;B470,"%","%25"),"~","%7E"),"*","%2A"),"?","%3F"),'Rules'!$G$7:$G$26,0))="hours",INDEX('Rules'!$B$7:$B$26,MATCH(SUBSTITUTE(SUBSTITUTE(SUBSTITUTE(SUBSTITUTE("type:"&amp;B470,"%","%25"),"~","%7E"),"*","%2A"),"?","%3F"),'Rules'!$G$7:$G$26,0))="km"),INDEX('Rules'!$B$7:$B$26,MATCH(SUBSTITUTE(SUBSTITUTE(SUBSTITUTE(SUBSTITUTE("type:"&amp;B470,"%","%25"),"~","%7E"),"*","%2A"),"?","%3F"),'Rules'!$G$7:$G$26,0)),""))</x:f>
      </x:c>
      <x:c r="I470" s="6" t="str">
        <x:f>IF(AND(NOT(COUNTA(A470:F470)=0),K470=""),ROUND(J470-D470,3),"")</x:f>
      </x:c>
      <x:c r="J470" s="6" t="str">
        <x:f>IF(AND(NOT(COUNTA(A470:F470)=0),K470=""),ROUND(F470+L470,3),"")</x:f>
      </x:c>
      <x:c r="K470" s="5" t="str">
        <x:f>IF(COUNTA(A470:F470)=0,"",IF(A470="","Missing equipment ID",IF(COUNTIFS($N$8:$N$2007,"="&amp;N470)&gt;1,"Duplicate equipment ID",IF(B470="","Missing type",IF(COUNTIFS('Rules'!$G$7:$G$26,"="&amp;(SUBSTITUTE(SUBSTITUTE(SUBSTITUTE(SUBSTITUTE("type:"&amp;B470,"%","%25"),"~","%7E"),"*","%2A"),"?","%3F")))=0,"Unknown type",IF(COUNTIFS('Rules'!$G$7:$G$26,"="&amp;(SUBSTITUTE(SUBSTITUTE(SUBSTITUTE(SUBSTITUTE("type:"&amp;B470,"%","%25"),"~","%7E"),"*","%2A"),"?","%3F")))&gt;1,"Duplicate type",IF(INDEX('Rules'!$F$7:$F$26,MATCH(SUBSTITUTE(SUBSTITUTE(SUBSTITUTE(SUBSTITUTE("type:"&amp;B470,"%","%25"),"~","%7E"),"*","%2A"),"?","%3F"),'Rules'!$G$7:$G$26,0))&lt;&gt;"",INDEX('Rules'!$F$7:$F$26,MATCH(SUBSTITUTE(SUBSTITUTE(SUBSTITUTE(SUBSTITUTE("type:"&amp;B470,"%","%25"),"~","%7E"),"*","%2A"),"?","%3F"),'Rules'!$G$7:$G$26,0)),IF(AND(C470&lt;&gt;"",C470&lt;&gt;INDEX('Rules'!$B$7:$B$26,MATCH(SUBSTITUTE(SUBSTITUTE(SUBSTITUTE(SUBSTITUTE("type:"&amp;B470,"%","%25"),"~","%7E"),"*","%2A"),"?","%3F"),'Rules'!$G$7:$G$26,0))),"Unit mismatch",IF(IF(NOT(ISNUMBER(D470)),TRUE,OR(D470&lt;0,D470&gt;999999999,ROUND(D470,3)&lt;&gt;D470)),"Invalid current reading",IF(AND(E470&lt;&gt;"",IF(NOT(ISNUMBER(E470)),TRUE,OR(E470&lt;0,E470&gt;999999999,ROUND(E470,3)&lt;&gt;E470))),"Invalid previous reading",IF(IF(NOT(ISNUMBER(F470)),TRUE,OR(F470&lt;0,F470&gt;999999999,ROUND(F470,3)&lt;&gt;F470)),"Invalid last service",IF(AND(E470&lt;&gt;"",D470&lt;E470),"Decreased reading",IF(F470&gt;D470,"Last service above current","")))))))))))))</x:f>
      </x:c>
      <x:c r="L470" s="6" t="str">
        <x:f>IF(AND(NOT(COUNTA(A470:F470)=0),K470=""),INDEX('Rules'!$C$7:$C$26,MATCH(SUBSTITUTE(SUBSTITUTE(SUBSTITUTE(SUBSTITUTE("type:"&amp;B470,"%","%25"),"~","%7E"),"*","%2A"),"?","%3F"),'Rules'!$G$7:$G$26,0)),"")</x:f>
      </x:c>
      <x:c r="M470" s="6" t="str">
        <x:f>IF(AND(NOT(COUNTA(A470:F470)=0),K470=""),INDEX('Rules'!$D$7:$D$26,MATCH(SUBSTITUTE(SUBSTITUTE(SUBSTITUTE(SUBSTITUTE("type:"&amp;B470,"%","%25"),"~","%7E"),"*","%2A"),"?","%3F"),'Rules'!$G$7:$G$26,0)),"")</x:f>
      </x:c>
      <x:c r="N470" s="5" t="str">
        <x:f>IF(COUNTA(A470:F470)=0,"",SUBSTITUTE(SUBSTITUTE(SUBSTITUTE(SUBSTITUTE("id:"&amp;A470,"%","%25"),"~","%7E"),"*","%2A"),"?","%3F"))</x:f>
      </x:c>
    </x:row>
    <x:row r="471" ht="22" customHeight="1">
      <x:c r="A471" s="3"/>
      <x:c r="B471" s="3"/>
      <x:c r="C471" s="3"/>
      <x:c r="D471" s="4"/>
      <x:c r="E471" s="4"/>
      <x:c r="F471" s="4"/>
      <x:c r="G471" s="5" t="str">
        <x:f>IF(COUNTA(A471:F471)=0,"",IF(K471&lt;&gt;"","Review",IF(I471&lt;0,"Overdue",IF(I471=0,"Due now",IF(I471&lt;=M471,"Due soon","Not due")))))</x:f>
      </x:c>
      <x:c r="H471" s="5" t="str">
        <x:f>IF(OR(COUNTA(A471:F471)=0,COUNTIFS('Rules'!$G$7:$G$26,"="&amp;(SUBSTITUTE(SUBSTITUTE(SUBSTITUTE(SUBSTITUTE("type:"&amp;B471,"%","%25"),"~","%7E"),"*","%2A"),"?","%3F")))&lt;&gt;1),"",IF(OR(INDEX('Rules'!$B$7:$B$26,MATCH(SUBSTITUTE(SUBSTITUTE(SUBSTITUTE(SUBSTITUTE("type:"&amp;B471,"%","%25"),"~","%7E"),"*","%2A"),"?","%3F"),'Rules'!$G$7:$G$26,0))="hours",INDEX('Rules'!$B$7:$B$26,MATCH(SUBSTITUTE(SUBSTITUTE(SUBSTITUTE(SUBSTITUTE("type:"&amp;B471,"%","%25"),"~","%7E"),"*","%2A"),"?","%3F"),'Rules'!$G$7:$G$26,0))="km"),INDEX('Rules'!$B$7:$B$26,MATCH(SUBSTITUTE(SUBSTITUTE(SUBSTITUTE(SUBSTITUTE("type:"&amp;B471,"%","%25"),"~","%7E"),"*","%2A"),"?","%3F"),'Rules'!$G$7:$G$26,0)),""))</x:f>
      </x:c>
      <x:c r="I471" s="6" t="str">
        <x:f>IF(AND(NOT(COUNTA(A471:F471)=0),K471=""),ROUND(J471-D471,3),"")</x:f>
      </x:c>
      <x:c r="J471" s="6" t="str">
        <x:f>IF(AND(NOT(COUNTA(A471:F471)=0),K471=""),ROUND(F471+L471,3),"")</x:f>
      </x:c>
      <x:c r="K471" s="5" t="str">
        <x:f>IF(COUNTA(A471:F471)=0,"",IF(A471="","Missing equipment ID",IF(COUNTIFS($N$8:$N$2007,"="&amp;N471)&gt;1,"Duplicate equipment ID",IF(B471="","Missing type",IF(COUNTIFS('Rules'!$G$7:$G$26,"="&amp;(SUBSTITUTE(SUBSTITUTE(SUBSTITUTE(SUBSTITUTE("type:"&amp;B471,"%","%25"),"~","%7E"),"*","%2A"),"?","%3F")))=0,"Unknown type",IF(COUNTIFS('Rules'!$G$7:$G$26,"="&amp;(SUBSTITUTE(SUBSTITUTE(SUBSTITUTE(SUBSTITUTE("type:"&amp;B471,"%","%25"),"~","%7E"),"*","%2A"),"?","%3F")))&gt;1,"Duplicate type",IF(INDEX('Rules'!$F$7:$F$26,MATCH(SUBSTITUTE(SUBSTITUTE(SUBSTITUTE(SUBSTITUTE("type:"&amp;B471,"%","%25"),"~","%7E"),"*","%2A"),"?","%3F"),'Rules'!$G$7:$G$26,0))&lt;&gt;"",INDEX('Rules'!$F$7:$F$26,MATCH(SUBSTITUTE(SUBSTITUTE(SUBSTITUTE(SUBSTITUTE("type:"&amp;B471,"%","%25"),"~","%7E"),"*","%2A"),"?","%3F"),'Rules'!$G$7:$G$26,0)),IF(AND(C471&lt;&gt;"",C471&lt;&gt;INDEX('Rules'!$B$7:$B$26,MATCH(SUBSTITUTE(SUBSTITUTE(SUBSTITUTE(SUBSTITUTE("type:"&amp;B471,"%","%25"),"~","%7E"),"*","%2A"),"?","%3F"),'Rules'!$G$7:$G$26,0))),"Unit mismatch",IF(IF(NOT(ISNUMBER(D471)),TRUE,OR(D471&lt;0,D471&gt;999999999,ROUND(D471,3)&lt;&gt;D471)),"Invalid current reading",IF(AND(E471&lt;&gt;"",IF(NOT(ISNUMBER(E471)),TRUE,OR(E471&lt;0,E471&gt;999999999,ROUND(E471,3)&lt;&gt;E471))),"Invalid previous reading",IF(IF(NOT(ISNUMBER(F471)),TRUE,OR(F471&lt;0,F471&gt;999999999,ROUND(F471,3)&lt;&gt;F471)),"Invalid last service",IF(AND(E471&lt;&gt;"",D471&lt;E471),"Decreased reading",IF(F471&gt;D471,"Last service above current","")))))))))))))</x:f>
      </x:c>
      <x:c r="L471" s="6" t="str">
        <x:f>IF(AND(NOT(COUNTA(A471:F471)=0),K471=""),INDEX('Rules'!$C$7:$C$26,MATCH(SUBSTITUTE(SUBSTITUTE(SUBSTITUTE(SUBSTITUTE("type:"&amp;B471,"%","%25"),"~","%7E"),"*","%2A"),"?","%3F"),'Rules'!$G$7:$G$26,0)),"")</x:f>
      </x:c>
      <x:c r="M471" s="6" t="str">
        <x:f>IF(AND(NOT(COUNTA(A471:F471)=0),K471=""),INDEX('Rules'!$D$7:$D$26,MATCH(SUBSTITUTE(SUBSTITUTE(SUBSTITUTE(SUBSTITUTE("type:"&amp;B471,"%","%25"),"~","%7E"),"*","%2A"),"?","%3F"),'Rules'!$G$7:$G$26,0)),"")</x:f>
      </x:c>
      <x:c r="N471" s="5" t="str">
        <x:f>IF(COUNTA(A471:F471)=0,"",SUBSTITUTE(SUBSTITUTE(SUBSTITUTE(SUBSTITUTE("id:"&amp;A471,"%","%25"),"~","%7E"),"*","%2A"),"?","%3F"))</x:f>
      </x:c>
    </x:row>
    <x:row r="472" ht="22" customHeight="1">
      <x:c r="A472" s="3"/>
      <x:c r="B472" s="3"/>
      <x:c r="C472" s="3"/>
      <x:c r="D472" s="4"/>
      <x:c r="E472" s="4"/>
      <x:c r="F472" s="4"/>
      <x:c r="G472" s="5" t="str">
        <x:f>IF(COUNTA(A472:F472)=0,"",IF(K472&lt;&gt;"","Review",IF(I472&lt;0,"Overdue",IF(I472=0,"Due now",IF(I472&lt;=M472,"Due soon","Not due")))))</x:f>
      </x:c>
      <x:c r="H472" s="5" t="str">
        <x:f>IF(OR(COUNTA(A472:F472)=0,COUNTIFS('Rules'!$G$7:$G$26,"="&amp;(SUBSTITUTE(SUBSTITUTE(SUBSTITUTE(SUBSTITUTE("type:"&amp;B472,"%","%25"),"~","%7E"),"*","%2A"),"?","%3F")))&lt;&gt;1),"",IF(OR(INDEX('Rules'!$B$7:$B$26,MATCH(SUBSTITUTE(SUBSTITUTE(SUBSTITUTE(SUBSTITUTE("type:"&amp;B472,"%","%25"),"~","%7E"),"*","%2A"),"?","%3F"),'Rules'!$G$7:$G$26,0))="hours",INDEX('Rules'!$B$7:$B$26,MATCH(SUBSTITUTE(SUBSTITUTE(SUBSTITUTE(SUBSTITUTE("type:"&amp;B472,"%","%25"),"~","%7E"),"*","%2A"),"?","%3F"),'Rules'!$G$7:$G$26,0))="km"),INDEX('Rules'!$B$7:$B$26,MATCH(SUBSTITUTE(SUBSTITUTE(SUBSTITUTE(SUBSTITUTE("type:"&amp;B472,"%","%25"),"~","%7E"),"*","%2A"),"?","%3F"),'Rules'!$G$7:$G$26,0)),""))</x:f>
      </x:c>
      <x:c r="I472" s="6" t="str">
        <x:f>IF(AND(NOT(COUNTA(A472:F472)=0),K472=""),ROUND(J472-D472,3),"")</x:f>
      </x:c>
      <x:c r="J472" s="6" t="str">
        <x:f>IF(AND(NOT(COUNTA(A472:F472)=0),K472=""),ROUND(F472+L472,3),"")</x:f>
      </x:c>
      <x:c r="K472" s="5" t="str">
        <x:f>IF(COUNTA(A472:F472)=0,"",IF(A472="","Missing equipment ID",IF(COUNTIFS($N$8:$N$2007,"="&amp;N472)&gt;1,"Duplicate equipment ID",IF(B472="","Missing type",IF(COUNTIFS('Rules'!$G$7:$G$26,"="&amp;(SUBSTITUTE(SUBSTITUTE(SUBSTITUTE(SUBSTITUTE("type:"&amp;B472,"%","%25"),"~","%7E"),"*","%2A"),"?","%3F")))=0,"Unknown type",IF(COUNTIFS('Rules'!$G$7:$G$26,"="&amp;(SUBSTITUTE(SUBSTITUTE(SUBSTITUTE(SUBSTITUTE("type:"&amp;B472,"%","%25"),"~","%7E"),"*","%2A"),"?","%3F")))&gt;1,"Duplicate type",IF(INDEX('Rules'!$F$7:$F$26,MATCH(SUBSTITUTE(SUBSTITUTE(SUBSTITUTE(SUBSTITUTE("type:"&amp;B472,"%","%25"),"~","%7E"),"*","%2A"),"?","%3F"),'Rules'!$G$7:$G$26,0))&lt;&gt;"",INDEX('Rules'!$F$7:$F$26,MATCH(SUBSTITUTE(SUBSTITUTE(SUBSTITUTE(SUBSTITUTE("type:"&amp;B472,"%","%25"),"~","%7E"),"*","%2A"),"?","%3F"),'Rules'!$G$7:$G$26,0)),IF(AND(C472&lt;&gt;"",C472&lt;&gt;INDEX('Rules'!$B$7:$B$26,MATCH(SUBSTITUTE(SUBSTITUTE(SUBSTITUTE(SUBSTITUTE("type:"&amp;B472,"%","%25"),"~","%7E"),"*","%2A"),"?","%3F"),'Rules'!$G$7:$G$26,0))),"Unit mismatch",IF(IF(NOT(ISNUMBER(D472)),TRUE,OR(D472&lt;0,D472&gt;999999999,ROUND(D472,3)&lt;&gt;D472)),"Invalid current reading",IF(AND(E472&lt;&gt;"",IF(NOT(ISNUMBER(E472)),TRUE,OR(E472&lt;0,E472&gt;999999999,ROUND(E472,3)&lt;&gt;E472))),"Invalid previous reading",IF(IF(NOT(ISNUMBER(F472)),TRUE,OR(F472&lt;0,F472&gt;999999999,ROUND(F472,3)&lt;&gt;F472)),"Invalid last service",IF(AND(E472&lt;&gt;"",D472&lt;E472),"Decreased reading",IF(F472&gt;D472,"Last service above current","")))))))))))))</x:f>
      </x:c>
      <x:c r="L472" s="6" t="str">
        <x:f>IF(AND(NOT(COUNTA(A472:F472)=0),K472=""),INDEX('Rules'!$C$7:$C$26,MATCH(SUBSTITUTE(SUBSTITUTE(SUBSTITUTE(SUBSTITUTE("type:"&amp;B472,"%","%25"),"~","%7E"),"*","%2A"),"?","%3F"),'Rules'!$G$7:$G$26,0)),"")</x:f>
      </x:c>
      <x:c r="M472" s="6" t="str">
        <x:f>IF(AND(NOT(COUNTA(A472:F472)=0),K472=""),INDEX('Rules'!$D$7:$D$26,MATCH(SUBSTITUTE(SUBSTITUTE(SUBSTITUTE(SUBSTITUTE("type:"&amp;B472,"%","%25"),"~","%7E"),"*","%2A"),"?","%3F"),'Rules'!$G$7:$G$26,0)),"")</x:f>
      </x:c>
      <x:c r="N472" s="5" t="str">
        <x:f>IF(COUNTA(A472:F472)=0,"",SUBSTITUTE(SUBSTITUTE(SUBSTITUTE(SUBSTITUTE("id:"&amp;A472,"%","%25"),"~","%7E"),"*","%2A"),"?","%3F"))</x:f>
      </x:c>
    </x:row>
    <x:row r="473" ht="22" customHeight="1">
      <x:c r="A473" s="3"/>
      <x:c r="B473" s="3"/>
      <x:c r="C473" s="3"/>
      <x:c r="D473" s="4"/>
      <x:c r="E473" s="4"/>
      <x:c r="F473" s="4"/>
      <x:c r="G473" s="5" t="str">
        <x:f>IF(COUNTA(A473:F473)=0,"",IF(K473&lt;&gt;"","Review",IF(I473&lt;0,"Overdue",IF(I473=0,"Due now",IF(I473&lt;=M473,"Due soon","Not due")))))</x:f>
      </x:c>
      <x:c r="H473" s="5" t="str">
        <x:f>IF(OR(COUNTA(A473:F473)=0,COUNTIFS('Rules'!$G$7:$G$26,"="&amp;(SUBSTITUTE(SUBSTITUTE(SUBSTITUTE(SUBSTITUTE("type:"&amp;B473,"%","%25"),"~","%7E"),"*","%2A"),"?","%3F")))&lt;&gt;1),"",IF(OR(INDEX('Rules'!$B$7:$B$26,MATCH(SUBSTITUTE(SUBSTITUTE(SUBSTITUTE(SUBSTITUTE("type:"&amp;B473,"%","%25"),"~","%7E"),"*","%2A"),"?","%3F"),'Rules'!$G$7:$G$26,0))="hours",INDEX('Rules'!$B$7:$B$26,MATCH(SUBSTITUTE(SUBSTITUTE(SUBSTITUTE(SUBSTITUTE("type:"&amp;B473,"%","%25"),"~","%7E"),"*","%2A"),"?","%3F"),'Rules'!$G$7:$G$26,0))="km"),INDEX('Rules'!$B$7:$B$26,MATCH(SUBSTITUTE(SUBSTITUTE(SUBSTITUTE(SUBSTITUTE("type:"&amp;B473,"%","%25"),"~","%7E"),"*","%2A"),"?","%3F"),'Rules'!$G$7:$G$26,0)),""))</x:f>
      </x:c>
      <x:c r="I473" s="6" t="str">
        <x:f>IF(AND(NOT(COUNTA(A473:F473)=0),K473=""),ROUND(J473-D473,3),"")</x:f>
      </x:c>
      <x:c r="J473" s="6" t="str">
        <x:f>IF(AND(NOT(COUNTA(A473:F473)=0),K473=""),ROUND(F473+L473,3),"")</x:f>
      </x:c>
      <x:c r="K473" s="5" t="str">
        <x:f>IF(COUNTA(A473:F473)=0,"",IF(A473="","Missing equipment ID",IF(COUNTIFS($N$8:$N$2007,"="&amp;N473)&gt;1,"Duplicate equipment ID",IF(B473="","Missing type",IF(COUNTIFS('Rules'!$G$7:$G$26,"="&amp;(SUBSTITUTE(SUBSTITUTE(SUBSTITUTE(SUBSTITUTE("type:"&amp;B473,"%","%25"),"~","%7E"),"*","%2A"),"?","%3F")))=0,"Unknown type",IF(COUNTIFS('Rules'!$G$7:$G$26,"="&amp;(SUBSTITUTE(SUBSTITUTE(SUBSTITUTE(SUBSTITUTE("type:"&amp;B473,"%","%25"),"~","%7E"),"*","%2A"),"?","%3F")))&gt;1,"Duplicate type",IF(INDEX('Rules'!$F$7:$F$26,MATCH(SUBSTITUTE(SUBSTITUTE(SUBSTITUTE(SUBSTITUTE("type:"&amp;B473,"%","%25"),"~","%7E"),"*","%2A"),"?","%3F"),'Rules'!$G$7:$G$26,0))&lt;&gt;"",INDEX('Rules'!$F$7:$F$26,MATCH(SUBSTITUTE(SUBSTITUTE(SUBSTITUTE(SUBSTITUTE("type:"&amp;B473,"%","%25"),"~","%7E"),"*","%2A"),"?","%3F"),'Rules'!$G$7:$G$26,0)),IF(AND(C473&lt;&gt;"",C473&lt;&gt;INDEX('Rules'!$B$7:$B$26,MATCH(SUBSTITUTE(SUBSTITUTE(SUBSTITUTE(SUBSTITUTE("type:"&amp;B473,"%","%25"),"~","%7E"),"*","%2A"),"?","%3F"),'Rules'!$G$7:$G$26,0))),"Unit mismatch",IF(IF(NOT(ISNUMBER(D473)),TRUE,OR(D473&lt;0,D473&gt;999999999,ROUND(D473,3)&lt;&gt;D473)),"Invalid current reading",IF(AND(E473&lt;&gt;"",IF(NOT(ISNUMBER(E473)),TRUE,OR(E473&lt;0,E473&gt;999999999,ROUND(E473,3)&lt;&gt;E473))),"Invalid previous reading",IF(IF(NOT(ISNUMBER(F473)),TRUE,OR(F473&lt;0,F473&gt;999999999,ROUND(F473,3)&lt;&gt;F473)),"Invalid last service",IF(AND(E473&lt;&gt;"",D473&lt;E473),"Decreased reading",IF(F473&gt;D473,"Last service above current","")))))))))))))</x:f>
      </x:c>
      <x:c r="L473" s="6" t="str">
        <x:f>IF(AND(NOT(COUNTA(A473:F473)=0),K473=""),INDEX('Rules'!$C$7:$C$26,MATCH(SUBSTITUTE(SUBSTITUTE(SUBSTITUTE(SUBSTITUTE("type:"&amp;B473,"%","%25"),"~","%7E"),"*","%2A"),"?","%3F"),'Rules'!$G$7:$G$26,0)),"")</x:f>
      </x:c>
      <x:c r="M473" s="6" t="str">
        <x:f>IF(AND(NOT(COUNTA(A473:F473)=0),K473=""),INDEX('Rules'!$D$7:$D$26,MATCH(SUBSTITUTE(SUBSTITUTE(SUBSTITUTE(SUBSTITUTE("type:"&amp;B473,"%","%25"),"~","%7E"),"*","%2A"),"?","%3F"),'Rules'!$G$7:$G$26,0)),"")</x:f>
      </x:c>
      <x:c r="N473" s="5" t="str">
        <x:f>IF(COUNTA(A473:F473)=0,"",SUBSTITUTE(SUBSTITUTE(SUBSTITUTE(SUBSTITUTE("id:"&amp;A473,"%","%25"),"~","%7E"),"*","%2A"),"?","%3F"))</x:f>
      </x:c>
    </x:row>
    <x:row r="474" ht="22" customHeight="1">
      <x:c r="A474" s="3"/>
      <x:c r="B474" s="3"/>
      <x:c r="C474" s="3"/>
      <x:c r="D474" s="4"/>
      <x:c r="E474" s="4"/>
      <x:c r="F474" s="4"/>
      <x:c r="G474" s="5" t="str">
        <x:f>IF(COUNTA(A474:F474)=0,"",IF(K474&lt;&gt;"","Review",IF(I474&lt;0,"Overdue",IF(I474=0,"Due now",IF(I474&lt;=M474,"Due soon","Not due")))))</x:f>
      </x:c>
      <x:c r="H474" s="5" t="str">
        <x:f>IF(OR(COUNTA(A474:F474)=0,COUNTIFS('Rules'!$G$7:$G$26,"="&amp;(SUBSTITUTE(SUBSTITUTE(SUBSTITUTE(SUBSTITUTE("type:"&amp;B474,"%","%25"),"~","%7E"),"*","%2A"),"?","%3F")))&lt;&gt;1),"",IF(OR(INDEX('Rules'!$B$7:$B$26,MATCH(SUBSTITUTE(SUBSTITUTE(SUBSTITUTE(SUBSTITUTE("type:"&amp;B474,"%","%25"),"~","%7E"),"*","%2A"),"?","%3F"),'Rules'!$G$7:$G$26,0))="hours",INDEX('Rules'!$B$7:$B$26,MATCH(SUBSTITUTE(SUBSTITUTE(SUBSTITUTE(SUBSTITUTE("type:"&amp;B474,"%","%25"),"~","%7E"),"*","%2A"),"?","%3F"),'Rules'!$G$7:$G$26,0))="km"),INDEX('Rules'!$B$7:$B$26,MATCH(SUBSTITUTE(SUBSTITUTE(SUBSTITUTE(SUBSTITUTE("type:"&amp;B474,"%","%25"),"~","%7E"),"*","%2A"),"?","%3F"),'Rules'!$G$7:$G$26,0)),""))</x:f>
      </x:c>
      <x:c r="I474" s="6" t="str">
        <x:f>IF(AND(NOT(COUNTA(A474:F474)=0),K474=""),ROUND(J474-D474,3),"")</x:f>
      </x:c>
      <x:c r="J474" s="6" t="str">
        <x:f>IF(AND(NOT(COUNTA(A474:F474)=0),K474=""),ROUND(F474+L474,3),"")</x:f>
      </x:c>
      <x:c r="K474" s="5" t="str">
        <x:f>IF(COUNTA(A474:F474)=0,"",IF(A474="","Missing equipment ID",IF(COUNTIFS($N$8:$N$2007,"="&amp;N474)&gt;1,"Duplicate equipment ID",IF(B474="","Missing type",IF(COUNTIFS('Rules'!$G$7:$G$26,"="&amp;(SUBSTITUTE(SUBSTITUTE(SUBSTITUTE(SUBSTITUTE("type:"&amp;B474,"%","%25"),"~","%7E"),"*","%2A"),"?","%3F")))=0,"Unknown type",IF(COUNTIFS('Rules'!$G$7:$G$26,"="&amp;(SUBSTITUTE(SUBSTITUTE(SUBSTITUTE(SUBSTITUTE("type:"&amp;B474,"%","%25"),"~","%7E"),"*","%2A"),"?","%3F")))&gt;1,"Duplicate type",IF(INDEX('Rules'!$F$7:$F$26,MATCH(SUBSTITUTE(SUBSTITUTE(SUBSTITUTE(SUBSTITUTE("type:"&amp;B474,"%","%25"),"~","%7E"),"*","%2A"),"?","%3F"),'Rules'!$G$7:$G$26,0))&lt;&gt;"",INDEX('Rules'!$F$7:$F$26,MATCH(SUBSTITUTE(SUBSTITUTE(SUBSTITUTE(SUBSTITUTE("type:"&amp;B474,"%","%25"),"~","%7E"),"*","%2A"),"?","%3F"),'Rules'!$G$7:$G$26,0)),IF(AND(C474&lt;&gt;"",C474&lt;&gt;INDEX('Rules'!$B$7:$B$26,MATCH(SUBSTITUTE(SUBSTITUTE(SUBSTITUTE(SUBSTITUTE("type:"&amp;B474,"%","%25"),"~","%7E"),"*","%2A"),"?","%3F"),'Rules'!$G$7:$G$26,0))),"Unit mismatch",IF(IF(NOT(ISNUMBER(D474)),TRUE,OR(D474&lt;0,D474&gt;999999999,ROUND(D474,3)&lt;&gt;D474)),"Invalid current reading",IF(AND(E474&lt;&gt;"",IF(NOT(ISNUMBER(E474)),TRUE,OR(E474&lt;0,E474&gt;999999999,ROUND(E474,3)&lt;&gt;E474))),"Invalid previous reading",IF(IF(NOT(ISNUMBER(F474)),TRUE,OR(F474&lt;0,F474&gt;999999999,ROUND(F474,3)&lt;&gt;F474)),"Invalid last service",IF(AND(E474&lt;&gt;"",D474&lt;E474),"Decreased reading",IF(F474&gt;D474,"Last service above current","")))))))))))))</x:f>
      </x:c>
      <x:c r="L474" s="6" t="str">
        <x:f>IF(AND(NOT(COUNTA(A474:F474)=0),K474=""),INDEX('Rules'!$C$7:$C$26,MATCH(SUBSTITUTE(SUBSTITUTE(SUBSTITUTE(SUBSTITUTE("type:"&amp;B474,"%","%25"),"~","%7E"),"*","%2A"),"?","%3F"),'Rules'!$G$7:$G$26,0)),"")</x:f>
      </x:c>
      <x:c r="M474" s="6" t="str">
        <x:f>IF(AND(NOT(COUNTA(A474:F474)=0),K474=""),INDEX('Rules'!$D$7:$D$26,MATCH(SUBSTITUTE(SUBSTITUTE(SUBSTITUTE(SUBSTITUTE("type:"&amp;B474,"%","%25"),"~","%7E"),"*","%2A"),"?","%3F"),'Rules'!$G$7:$G$26,0)),"")</x:f>
      </x:c>
      <x:c r="N474" s="5" t="str">
        <x:f>IF(COUNTA(A474:F474)=0,"",SUBSTITUTE(SUBSTITUTE(SUBSTITUTE(SUBSTITUTE("id:"&amp;A474,"%","%25"),"~","%7E"),"*","%2A"),"?","%3F"))</x:f>
      </x:c>
    </x:row>
    <x:row r="475" ht="22" customHeight="1">
      <x:c r="A475" s="3"/>
      <x:c r="B475" s="3"/>
      <x:c r="C475" s="3"/>
      <x:c r="D475" s="4"/>
      <x:c r="E475" s="4"/>
      <x:c r="F475" s="4"/>
      <x:c r="G475" s="5" t="str">
        <x:f>IF(COUNTA(A475:F475)=0,"",IF(K475&lt;&gt;"","Review",IF(I475&lt;0,"Overdue",IF(I475=0,"Due now",IF(I475&lt;=M475,"Due soon","Not due")))))</x:f>
      </x:c>
      <x:c r="H475" s="5" t="str">
        <x:f>IF(OR(COUNTA(A475:F475)=0,COUNTIFS('Rules'!$G$7:$G$26,"="&amp;(SUBSTITUTE(SUBSTITUTE(SUBSTITUTE(SUBSTITUTE("type:"&amp;B475,"%","%25"),"~","%7E"),"*","%2A"),"?","%3F")))&lt;&gt;1),"",IF(OR(INDEX('Rules'!$B$7:$B$26,MATCH(SUBSTITUTE(SUBSTITUTE(SUBSTITUTE(SUBSTITUTE("type:"&amp;B475,"%","%25"),"~","%7E"),"*","%2A"),"?","%3F"),'Rules'!$G$7:$G$26,0))="hours",INDEX('Rules'!$B$7:$B$26,MATCH(SUBSTITUTE(SUBSTITUTE(SUBSTITUTE(SUBSTITUTE("type:"&amp;B475,"%","%25"),"~","%7E"),"*","%2A"),"?","%3F"),'Rules'!$G$7:$G$26,0))="km"),INDEX('Rules'!$B$7:$B$26,MATCH(SUBSTITUTE(SUBSTITUTE(SUBSTITUTE(SUBSTITUTE("type:"&amp;B475,"%","%25"),"~","%7E"),"*","%2A"),"?","%3F"),'Rules'!$G$7:$G$26,0)),""))</x:f>
      </x:c>
      <x:c r="I475" s="6" t="str">
        <x:f>IF(AND(NOT(COUNTA(A475:F475)=0),K475=""),ROUND(J475-D475,3),"")</x:f>
      </x:c>
      <x:c r="J475" s="6" t="str">
        <x:f>IF(AND(NOT(COUNTA(A475:F475)=0),K475=""),ROUND(F475+L475,3),"")</x:f>
      </x:c>
      <x:c r="K475" s="5" t="str">
        <x:f>IF(COUNTA(A475:F475)=0,"",IF(A475="","Missing equipment ID",IF(COUNTIFS($N$8:$N$2007,"="&amp;N475)&gt;1,"Duplicate equipment ID",IF(B475="","Missing type",IF(COUNTIFS('Rules'!$G$7:$G$26,"="&amp;(SUBSTITUTE(SUBSTITUTE(SUBSTITUTE(SUBSTITUTE("type:"&amp;B475,"%","%25"),"~","%7E"),"*","%2A"),"?","%3F")))=0,"Unknown type",IF(COUNTIFS('Rules'!$G$7:$G$26,"="&amp;(SUBSTITUTE(SUBSTITUTE(SUBSTITUTE(SUBSTITUTE("type:"&amp;B475,"%","%25"),"~","%7E"),"*","%2A"),"?","%3F")))&gt;1,"Duplicate type",IF(INDEX('Rules'!$F$7:$F$26,MATCH(SUBSTITUTE(SUBSTITUTE(SUBSTITUTE(SUBSTITUTE("type:"&amp;B475,"%","%25"),"~","%7E"),"*","%2A"),"?","%3F"),'Rules'!$G$7:$G$26,0))&lt;&gt;"",INDEX('Rules'!$F$7:$F$26,MATCH(SUBSTITUTE(SUBSTITUTE(SUBSTITUTE(SUBSTITUTE("type:"&amp;B475,"%","%25"),"~","%7E"),"*","%2A"),"?","%3F"),'Rules'!$G$7:$G$26,0)),IF(AND(C475&lt;&gt;"",C475&lt;&gt;INDEX('Rules'!$B$7:$B$26,MATCH(SUBSTITUTE(SUBSTITUTE(SUBSTITUTE(SUBSTITUTE("type:"&amp;B475,"%","%25"),"~","%7E"),"*","%2A"),"?","%3F"),'Rules'!$G$7:$G$26,0))),"Unit mismatch",IF(IF(NOT(ISNUMBER(D475)),TRUE,OR(D475&lt;0,D475&gt;999999999,ROUND(D475,3)&lt;&gt;D475)),"Invalid current reading",IF(AND(E475&lt;&gt;"",IF(NOT(ISNUMBER(E475)),TRUE,OR(E475&lt;0,E475&gt;999999999,ROUND(E475,3)&lt;&gt;E475))),"Invalid previous reading",IF(IF(NOT(ISNUMBER(F475)),TRUE,OR(F475&lt;0,F475&gt;999999999,ROUND(F475,3)&lt;&gt;F475)),"Invalid last service",IF(AND(E475&lt;&gt;"",D475&lt;E475),"Decreased reading",IF(F475&gt;D475,"Last service above current","")))))))))))))</x:f>
      </x:c>
      <x:c r="L475" s="6" t="str">
        <x:f>IF(AND(NOT(COUNTA(A475:F475)=0),K475=""),INDEX('Rules'!$C$7:$C$26,MATCH(SUBSTITUTE(SUBSTITUTE(SUBSTITUTE(SUBSTITUTE("type:"&amp;B475,"%","%25"),"~","%7E"),"*","%2A"),"?","%3F"),'Rules'!$G$7:$G$26,0)),"")</x:f>
      </x:c>
      <x:c r="M475" s="6" t="str">
        <x:f>IF(AND(NOT(COUNTA(A475:F475)=0),K475=""),INDEX('Rules'!$D$7:$D$26,MATCH(SUBSTITUTE(SUBSTITUTE(SUBSTITUTE(SUBSTITUTE("type:"&amp;B475,"%","%25"),"~","%7E"),"*","%2A"),"?","%3F"),'Rules'!$G$7:$G$26,0)),"")</x:f>
      </x:c>
      <x:c r="N475" s="5" t="str">
        <x:f>IF(COUNTA(A475:F475)=0,"",SUBSTITUTE(SUBSTITUTE(SUBSTITUTE(SUBSTITUTE("id:"&amp;A475,"%","%25"),"~","%7E"),"*","%2A"),"?","%3F"))</x:f>
      </x:c>
    </x:row>
    <x:row r="476" ht="22" customHeight="1">
      <x:c r="A476" s="3"/>
      <x:c r="B476" s="3"/>
      <x:c r="C476" s="3"/>
      <x:c r="D476" s="4"/>
      <x:c r="E476" s="4"/>
      <x:c r="F476" s="4"/>
      <x:c r="G476" s="5" t="str">
        <x:f>IF(COUNTA(A476:F476)=0,"",IF(K476&lt;&gt;"","Review",IF(I476&lt;0,"Overdue",IF(I476=0,"Due now",IF(I476&lt;=M476,"Due soon","Not due")))))</x:f>
      </x:c>
      <x:c r="H476" s="5" t="str">
        <x:f>IF(OR(COUNTA(A476:F476)=0,COUNTIFS('Rules'!$G$7:$G$26,"="&amp;(SUBSTITUTE(SUBSTITUTE(SUBSTITUTE(SUBSTITUTE("type:"&amp;B476,"%","%25"),"~","%7E"),"*","%2A"),"?","%3F")))&lt;&gt;1),"",IF(OR(INDEX('Rules'!$B$7:$B$26,MATCH(SUBSTITUTE(SUBSTITUTE(SUBSTITUTE(SUBSTITUTE("type:"&amp;B476,"%","%25"),"~","%7E"),"*","%2A"),"?","%3F"),'Rules'!$G$7:$G$26,0))="hours",INDEX('Rules'!$B$7:$B$26,MATCH(SUBSTITUTE(SUBSTITUTE(SUBSTITUTE(SUBSTITUTE("type:"&amp;B476,"%","%25"),"~","%7E"),"*","%2A"),"?","%3F"),'Rules'!$G$7:$G$26,0))="km"),INDEX('Rules'!$B$7:$B$26,MATCH(SUBSTITUTE(SUBSTITUTE(SUBSTITUTE(SUBSTITUTE("type:"&amp;B476,"%","%25"),"~","%7E"),"*","%2A"),"?","%3F"),'Rules'!$G$7:$G$26,0)),""))</x:f>
      </x:c>
      <x:c r="I476" s="6" t="str">
        <x:f>IF(AND(NOT(COUNTA(A476:F476)=0),K476=""),ROUND(J476-D476,3),"")</x:f>
      </x:c>
      <x:c r="J476" s="6" t="str">
        <x:f>IF(AND(NOT(COUNTA(A476:F476)=0),K476=""),ROUND(F476+L476,3),"")</x:f>
      </x:c>
      <x:c r="K476" s="5" t="str">
        <x:f>IF(COUNTA(A476:F476)=0,"",IF(A476="","Missing equipment ID",IF(COUNTIFS($N$8:$N$2007,"="&amp;N476)&gt;1,"Duplicate equipment ID",IF(B476="","Missing type",IF(COUNTIFS('Rules'!$G$7:$G$26,"="&amp;(SUBSTITUTE(SUBSTITUTE(SUBSTITUTE(SUBSTITUTE("type:"&amp;B476,"%","%25"),"~","%7E"),"*","%2A"),"?","%3F")))=0,"Unknown type",IF(COUNTIFS('Rules'!$G$7:$G$26,"="&amp;(SUBSTITUTE(SUBSTITUTE(SUBSTITUTE(SUBSTITUTE("type:"&amp;B476,"%","%25"),"~","%7E"),"*","%2A"),"?","%3F")))&gt;1,"Duplicate type",IF(INDEX('Rules'!$F$7:$F$26,MATCH(SUBSTITUTE(SUBSTITUTE(SUBSTITUTE(SUBSTITUTE("type:"&amp;B476,"%","%25"),"~","%7E"),"*","%2A"),"?","%3F"),'Rules'!$G$7:$G$26,0))&lt;&gt;"",INDEX('Rules'!$F$7:$F$26,MATCH(SUBSTITUTE(SUBSTITUTE(SUBSTITUTE(SUBSTITUTE("type:"&amp;B476,"%","%25"),"~","%7E"),"*","%2A"),"?","%3F"),'Rules'!$G$7:$G$26,0)),IF(AND(C476&lt;&gt;"",C476&lt;&gt;INDEX('Rules'!$B$7:$B$26,MATCH(SUBSTITUTE(SUBSTITUTE(SUBSTITUTE(SUBSTITUTE("type:"&amp;B476,"%","%25"),"~","%7E"),"*","%2A"),"?","%3F"),'Rules'!$G$7:$G$26,0))),"Unit mismatch",IF(IF(NOT(ISNUMBER(D476)),TRUE,OR(D476&lt;0,D476&gt;999999999,ROUND(D476,3)&lt;&gt;D476)),"Invalid current reading",IF(AND(E476&lt;&gt;"",IF(NOT(ISNUMBER(E476)),TRUE,OR(E476&lt;0,E476&gt;999999999,ROUND(E476,3)&lt;&gt;E476))),"Invalid previous reading",IF(IF(NOT(ISNUMBER(F476)),TRUE,OR(F476&lt;0,F476&gt;999999999,ROUND(F476,3)&lt;&gt;F476)),"Invalid last service",IF(AND(E476&lt;&gt;"",D476&lt;E476),"Decreased reading",IF(F476&gt;D476,"Last service above current","")))))))))))))</x:f>
      </x:c>
      <x:c r="L476" s="6" t="str">
        <x:f>IF(AND(NOT(COUNTA(A476:F476)=0),K476=""),INDEX('Rules'!$C$7:$C$26,MATCH(SUBSTITUTE(SUBSTITUTE(SUBSTITUTE(SUBSTITUTE("type:"&amp;B476,"%","%25"),"~","%7E"),"*","%2A"),"?","%3F"),'Rules'!$G$7:$G$26,0)),"")</x:f>
      </x:c>
      <x:c r="M476" s="6" t="str">
        <x:f>IF(AND(NOT(COUNTA(A476:F476)=0),K476=""),INDEX('Rules'!$D$7:$D$26,MATCH(SUBSTITUTE(SUBSTITUTE(SUBSTITUTE(SUBSTITUTE("type:"&amp;B476,"%","%25"),"~","%7E"),"*","%2A"),"?","%3F"),'Rules'!$G$7:$G$26,0)),"")</x:f>
      </x:c>
      <x:c r="N476" s="5" t="str">
        <x:f>IF(COUNTA(A476:F476)=0,"",SUBSTITUTE(SUBSTITUTE(SUBSTITUTE(SUBSTITUTE("id:"&amp;A476,"%","%25"),"~","%7E"),"*","%2A"),"?","%3F"))</x:f>
      </x:c>
    </x:row>
    <x:row r="477" ht="22" customHeight="1">
      <x:c r="A477" s="3"/>
      <x:c r="B477" s="3"/>
      <x:c r="C477" s="3"/>
      <x:c r="D477" s="4"/>
      <x:c r="E477" s="4"/>
      <x:c r="F477" s="4"/>
      <x:c r="G477" s="5" t="str">
        <x:f>IF(COUNTA(A477:F477)=0,"",IF(K477&lt;&gt;"","Review",IF(I477&lt;0,"Overdue",IF(I477=0,"Due now",IF(I477&lt;=M477,"Due soon","Not due")))))</x:f>
      </x:c>
      <x:c r="H477" s="5" t="str">
        <x:f>IF(OR(COUNTA(A477:F477)=0,COUNTIFS('Rules'!$G$7:$G$26,"="&amp;(SUBSTITUTE(SUBSTITUTE(SUBSTITUTE(SUBSTITUTE("type:"&amp;B477,"%","%25"),"~","%7E"),"*","%2A"),"?","%3F")))&lt;&gt;1),"",IF(OR(INDEX('Rules'!$B$7:$B$26,MATCH(SUBSTITUTE(SUBSTITUTE(SUBSTITUTE(SUBSTITUTE("type:"&amp;B477,"%","%25"),"~","%7E"),"*","%2A"),"?","%3F"),'Rules'!$G$7:$G$26,0))="hours",INDEX('Rules'!$B$7:$B$26,MATCH(SUBSTITUTE(SUBSTITUTE(SUBSTITUTE(SUBSTITUTE("type:"&amp;B477,"%","%25"),"~","%7E"),"*","%2A"),"?","%3F"),'Rules'!$G$7:$G$26,0))="km"),INDEX('Rules'!$B$7:$B$26,MATCH(SUBSTITUTE(SUBSTITUTE(SUBSTITUTE(SUBSTITUTE("type:"&amp;B477,"%","%25"),"~","%7E"),"*","%2A"),"?","%3F"),'Rules'!$G$7:$G$26,0)),""))</x:f>
      </x:c>
      <x:c r="I477" s="6" t="str">
        <x:f>IF(AND(NOT(COUNTA(A477:F477)=0),K477=""),ROUND(J477-D477,3),"")</x:f>
      </x:c>
      <x:c r="J477" s="6" t="str">
        <x:f>IF(AND(NOT(COUNTA(A477:F477)=0),K477=""),ROUND(F477+L477,3),"")</x:f>
      </x:c>
      <x:c r="K477" s="5" t="str">
        <x:f>IF(COUNTA(A477:F477)=0,"",IF(A477="","Missing equipment ID",IF(COUNTIFS($N$8:$N$2007,"="&amp;N477)&gt;1,"Duplicate equipment ID",IF(B477="","Missing type",IF(COUNTIFS('Rules'!$G$7:$G$26,"="&amp;(SUBSTITUTE(SUBSTITUTE(SUBSTITUTE(SUBSTITUTE("type:"&amp;B477,"%","%25"),"~","%7E"),"*","%2A"),"?","%3F")))=0,"Unknown type",IF(COUNTIFS('Rules'!$G$7:$G$26,"="&amp;(SUBSTITUTE(SUBSTITUTE(SUBSTITUTE(SUBSTITUTE("type:"&amp;B477,"%","%25"),"~","%7E"),"*","%2A"),"?","%3F")))&gt;1,"Duplicate type",IF(INDEX('Rules'!$F$7:$F$26,MATCH(SUBSTITUTE(SUBSTITUTE(SUBSTITUTE(SUBSTITUTE("type:"&amp;B477,"%","%25"),"~","%7E"),"*","%2A"),"?","%3F"),'Rules'!$G$7:$G$26,0))&lt;&gt;"",INDEX('Rules'!$F$7:$F$26,MATCH(SUBSTITUTE(SUBSTITUTE(SUBSTITUTE(SUBSTITUTE("type:"&amp;B477,"%","%25"),"~","%7E"),"*","%2A"),"?","%3F"),'Rules'!$G$7:$G$26,0)),IF(AND(C477&lt;&gt;"",C477&lt;&gt;INDEX('Rules'!$B$7:$B$26,MATCH(SUBSTITUTE(SUBSTITUTE(SUBSTITUTE(SUBSTITUTE("type:"&amp;B477,"%","%25"),"~","%7E"),"*","%2A"),"?","%3F"),'Rules'!$G$7:$G$26,0))),"Unit mismatch",IF(IF(NOT(ISNUMBER(D477)),TRUE,OR(D477&lt;0,D477&gt;999999999,ROUND(D477,3)&lt;&gt;D477)),"Invalid current reading",IF(AND(E477&lt;&gt;"",IF(NOT(ISNUMBER(E477)),TRUE,OR(E477&lt;0,E477&gt;999999999,ROUND(E477,3)&lt;&gt;E477))),"Invalid previous reading",IF(IF(NOT(ISNUMBER(F477)),TRUE,OR(F477&lt;0,F477&gt;999999999,ROUND(F477,3)&lt;&gt;F477)),"Invalid last service",IF(AND(E477&lt;&gt;"",D477&lt;E477),"Decreased reading",IF(F477&gt;D477,"Last service above current","")))))))))))))</x:f>
      </x:c>
      <x:c r="L477" s="6" t="str">
        <x:f>IF(AND(NOT(COUNTA(A477:F477)=0),K477=""),INDEX('Rules'!$C$7:$C$26,MATCH(SUBSTITUTE(SUBSTITUTE(SUBSTITUTE(SUBSTITUTE("type:"&amp;B477,"%","%25"),"~","%7E"),"*","%2A"),"?","%3F"),'Rules'!$G$7:$G$26,0)),"")</x:f>
      </x:c>
      <x:c r="M477" s="6" t="str">
        <x:f>IF(AND(NOT(COUNTA(A477:F477)=0),K477=""),INDEX('Rules'!$D$7:$D$26,MATCH(SUBSTITUTE(SUBSTITUTE(SUBSTITUTE(SUBSTITUTE("type:"&amp;B477,"%","%25"),"~","%7E"),"*","%2A"),"?","%3F"),'Rules'!$G$7:$G$26,0)),"")</x:f>
      </x:c>
      <x:c r="N477" s="5" t="str">
        <x:f>IF(COUNTA(A477:F477)=0,"",SUBSTITUTE(SUBSTITUTE(SUBSTITUTE(SUBSTITUTE("id:"&amp;A477,"%","%25"),"~","%7E"),"*","%2A"),"?","%3F"))</x:f>
      </x:c>
    </x:row>
    <x:row r="478" ht="22" customHeight="1">
      <x:c r="A478" s="3"/>
      <x:c r="B478" s="3"/>
      <x:c r="C478" s="3"/>
      <x:c r="D478" s="4"/>
      <x:c r="E478" s="4"/>
      <x:c r="F478" s="4"/>
      <x:c r="G478" s="5" t="str">
        <x:f>IF(COUNTA(A478:F478)=0,"",IF(K478&lt;&gt;"","Review",IF(I478&lt;0,"Overdue",IF(I478=0,"Due now",IF(I478&lt;=M478,"Due soon","Not due")))))</x:f>
      </x:c>
      <x:c r="H478" s="5" t="str">
        <x:f>IF(OR(COUNTA(A478:F478)=0,COUNTIFS('Rules'!$G$7:$G$26,"="&amp;(SUBSTITUTE(SUBSTITUTE(SUBSTITUTE(SUBSTITUTE("type:"&amp;B478,"%","%25"),"~","%7E"),"*","%2A"),"?","%3F")))&lt;&gt;1),"",IF(OR(INDEX('Rules'!$B$7:$B$26,MATCH(SUBSTITUTE(SUBSTITUTE(SUBSTITUTE(SUBSTITUTE("type:"&amp;B478,"%","%25"),"~","%7E"),"*","%2A"),"?","%3F"),'Rules'!$G$7:$G$26,0))="hours",INDEX('Rules'!$B$7:$B$26,MATCH(SUBSTITUTE(SUBSTITUTE(SUBSTITUTE(SUBSTITUTE("type:"&amp;B478,"%","%25"),"~","%7E"),"*","%2A"),"?","%3F"),'Rules'!$G$7:$G$26,0))="km"),INDEX('Rules'!$B$7:$B$26,MATCH(SUBSTITUTE(SUBSTITUTE(SUBSTITUTE(SUBSTITUTE("type:"&amp;B478,"%","%25"),"~","%7E"),"*","%2A"),"?","%3F"),'Rules'!$G$7:$G$26,0)),""))</x:f>
      </x:c>
      <x:c r="I478" s="6" t="str">
        <x:f>IF(AND(NOT(COUNTA(A478:F478)=0),K478=""),ROUND(J478-D478,3),"")</x:f>
      </x:c>
      <x:c r="J478" s="6" t="str">
        <x:f>IF(AND(NOT(COUNTA(A478:F478)=0),K478=""),ROUND(F478+L478,3),"")</x:f>
      </x:c>
      <x:c r="K478" s="5" t="str">
        <x:f>IF(COUNTA(A478:F478)=0,"",IF(A478="","Missing equipment ID",IF(COUNTIFS($N$8:$N$2007,"="&amp;N478)&gt;1,"Duplicate equipment ID",IF(B478="","Missing type",IF(COUNTIFS('Rules'!$G$7:$G$26,"="&amp;(SUBSTITUTE(SUBSTITUTE(SUBSTITUTE(SUBSTITUTE("type:"&amp;B478,"%","%25"),"~","%7E"),"*","%2A"),"?","%3F")))=0,"Unknown type",IF(COUNTIFS('Rules'!$G$7:$G$26,"="&amp;(SUBSTITUTE(SUBSTITUTE(SUBSTITUTE(SUBSTITUTE("type:"&amp;B478,"%","%25"),"~","%7E"),"*","%2A"),"?","%3F")))&gt;1,"Duplicate type",IF(INDEX('Rules'!$F$7:$F$26,MATCH(SUBSTITUTE(SUBSTITUTE(SUBSTITUTE(SUBSTITUTE("type:"&amp;B478,"%","%25"),"~","%7E"),"*","%2A"),"?","%3F"),'Rules'!$G$7:$G$26,0))&lt;&gt;"",INDEX('Rules'!$F$7:$F$26,MATCH(SUBSTITUTE(SUBSTITUTE(SUBSTITUTE(SUBSTITUTE("type:"&amp;B478,"%","%25"),"~","%7E"),"*","%2A"),"?","%3F"),'Rules'!$G$7:$G$26,0)),IF(AND(C478&lt;&gt;"",C478&lt;&gt;INDEX('Rules'!$B$7:$B$26,MATCH(SUBSTITUTE(SUBSTITUTE(SUBSTITUTE(SUBSTITUTE("type:"&amp;B478,"%","%25"),"~","%7E"),"*","%2A"),"?","%3F"),'Rules'!$G$7:$G$26,0))),"Unit mismatch",IF(IF(NOT(ISNUMBER(D478)),TRUE,OR(D478&lt;0,D478&gt;999999999,ROUND(D478,3)&lt;&gt;D478)),"Invalid current reading",IF(AND(E478&lt;&gt;"",IF(NOT(ISNUMBER(E478)),TRUE,OR(E478&lt;0,E478&gt;999999999,ROUND(E478,3)&lt;&gt;E478))),"Invalid previous reading",IF(IF(NOT(ISNUMBER(F478)),TRUE,OR(F478&lt;0,F478&gt;999999999,ROUND(F478,3)&lt;&gt;F478)),"Invalid last service",IF(AND(E478&lt;&gt;"",D478&lt;E478),"Decreased reading",IF(F478&gt;D478,"Last service above current","")))))))))))))</x:f>
      </x:c>
      <x:c r="L478" s="6" t="str">
        <x:f>IF(AND(NOT(COUNTA(A478:F478)=0),K478=""),INDEX('Rules'!$C$7:$C$26,MATCH(SUBSTITUTE(SUBSTITUTE(SUBSTITUTE(SUBSTITUTE("type:"&amp;B478,"%","%25"),"~","%7E"),"*","%2A"),"?","%3F"),'Rules'!$G$7:$G$26,0)),"")</x:f>
      </x:c>
      <x:c r="M478" s="6" t="str">
        <x:f>IF(AND(NOT(COUNTA(A478:F478)=0),K478=""),INDEX('Rules'!$D$7:$D$26,MATCH(SUBSTITUTE(SUBSTITUTE(SUBSTITUTE(SUBSTITUTE("type:"&amp;B478,"%","%25"),"~","%7E"),"*","%2A"),"?","%3F"),'Rules'!$G$7:$G$26,0)),"")</x:f>
      </x:c>
      <x:c r="N478" s="5" t="str">
        <x:f>IF(COUNTA(A478:F478)=0,"",SUBSTITUTE(SUBSTITUTE(SUBSTITUTE(SUBSTITUTE("id:"&amp;A478,"%","%25"),"~","%7E"),"*","%2A"),"?","%3F"))</x:f>
      </x:c>
    </x:row>
    <x:row r="479" ht="22" customHeight="1">
      <x:c r="A479" s="3"/>
      <x:c r="B479" s="3"/>
      <x:c r="C479" s="3"/>
      <x:c r="D479" s="4"/>
      <x:c r="E479" s="4"/>
      <x:c r="F479" s="4"/>
      <x:c r="G479" s="5" t="str">
        <x:f>IF(COUNTA(A479:F479)=0,"",IF(K479&lt;&gt;"","Review",IF(I479&lt;0,"Overdue",IF(I479=0,"Due now",IF(I479&lt;=M479,"Due soon","Not due")))))</x:f>
      </x:c>
      <x:c r="H479" s="5" t="str">
        <x:f>IF(OR(COUNTA(A479:F479)=0,COUNTIFS('Rules'!$G$7:$G$26,"="&amp;(SUBSTITUTE(SUBSTITUTE(SUBSTITUTE(SUBSTITUTE("type:"&amp;B479,"%","%25"),"~","%7E"),"*","%2A"),"?","%3F")))&lt;&gt;1),"",IF(OR(INDEX('Rules'!$B$7:$B$26,MATCH(SUBSTITUTE(SUBSTITUTE(SUBSTITUTE(SUBSTITUTE("type:"&amp;B479,"%","%25"),"~","%7E"),"*","%2A"),"?","%3F"),'Rules'!$G$7:$G$26,0))="hours",INDEX('Rules'!$B$7:$B$26,MATCH(SUBSTITUTE(SUBSTITUTE(SUBSTITUTE(SUBSTITUTE("type:"&amp;B479,"%","%25"),"~","%7E"),"*","%2A"),"?","%3F"),'Rules'!$G$7:$G$26,0))="km"),INDEX('Rules'!$B$7:$B$26,MATCH(SUBSTITUTE(SUBSTITUTE(SUBSTITUTE(SUBSTITUTE("type:"&amp;B479,"%","%25"),"~","%7E"),"*","%2A"),"?","%3F"),'Rules'!$G$7:$G$26,0)),""))</x:f>
      </x:c>
      <x:c r="I479" s="6" t="str">
        <x:f>IF(AND(NOT(COUNTA(A479:F479)=0),K479=""),ROUND(J479-D479,3),"")</x:f>
      </x:c>
      <x:c r="J479" s="6" t="str">
        <x:f>IF(AND(NOT(COUNTA(A479:F479)=0),K479=""),ROUND(F479+L479,3),"")</x:f>
      </x:c>
      <x:c r="K479" s="5" t="str">
        <x:f>IF(COUNTA(A479:F479)=0,"",IF(A479="","Missing equipment ID",IF(COUNTIFS($N$8:$N$2007,"="&amp;N479)&gt;1,"Duplicate equipment ID",IF(B479="","Missing type",IF(COUNTIFS('Rules'!$G$7:$G$26,"="&amp;(SUBSTITUTE(SUBSTITUTE(SUBSTITUTE(SUBSTITUTE("type:"&amp;B479,"%","%25"),"~","%7E"),"*","%2A"),"?","%3F")))=0,"Unknown type",IF(COUNTIFS('Rules'!$G$7:$G$26,"="&amp;(SUBSTITUTE(SUBSTITUTE(SUBSTITUTE(SUBSTITUTE("type:"&amp;B479,"%","%25"),"~","%7E"),"*","%2A"),"?","%3F")))&gt;1,"Duplicate type",IF(INDEX('Rules'!$F$7:$F$26,MATCH(SUBSTITUTE(SUBSTITUTE(SUBSTITUTE(SUBSTITUTE("type:"&amp;B479,"%","%25"),"~","%7E"),"*","%2A"),"?","%3F"),'Rules'!$G$7:$G$26,0))&lt;&gt;"",INDEX('Rules'!$F$7:$F$26,MATCH(SUBSTITUTE(SUBSTITUTE(SUBSTITUTE(SUBSTITUTE("type:"&amp;B479,"%","%25"),"~","%7E"),"*","%2A"),"?","%3F"),'Rules'!$G$7:$G$26,0)),IF(AND(C479&lt;&gt;"",C479&lt;&gt;INDEX('Rules'!$B$7:$B$26,MATCH(SUBSTITUTE(SUBSTITUTE(SUBSTITUTE(SUBSTITUTE("type:"&amp;B479,"%","%25"),"~","%7E"),"*","%2A"),"?","%3F"),'Rules'!$G$7:$G$26,0))),"Unit mismatch",IF(IF(NOT(ISNUMBER(D479)),TRUE,OR(D479&lt;0,D479&gt;999999999,ROUND(D479,3)&lt;&gt;D479)),"Invalid current reading",IF(AND(E479&lt;&gt;"",IF(NOT(ISNUMBER(E479)),TRUE,OR(E479&lt;0,E479&gt;999999999,ROUND(E479,3)&lt;&gt;E479))),"Invalid previous reading",IF(IF(NOT(ISNUMBER(F479)),TRUE,OR(F479&lt;0,F479&gt;999999999,ROUND(F479,3)&lt;&gt;F479)),"Invalid last service",IF(AND(E479&lt;&gt;"",D479&lt;E479),"Decreased reading",IF(F479&gt;D479,"Last service above current","")))))))))))))</x:f>
      </x:c>
      <x:c r="L479" s="6" t="str">
        <x:f>IF(AND(NOT(COUNTA(A479:F479)=0),K479=""),INDEX('Rules'!$C$7:$C$26,MATCH(SUBSTITUTE(SUBSTITUTE(SUBSTITUTE(SUBSTITUTE("type:"&amp;B479,"%","%25"),"~","%7E"),"*","%2A"),"?","%3F"),'Rules'!$G$7:$G$26,0)),"")</x:f>
      </x:c>
      <x:c r="M479" s="6" t="str">
        <x:f>IF(AND(NOT(COUNTA(A479:F479)=0),K479=""),INDEX('Rules'!$D$7:$D$26,MATCH(SUBSTITUTE(SUBSTITUTE(SUBSTITUTE(SUBSTITUTE("type:"&amp;B479,"%","%25"),"~","%7E"),"*","%2A"),"?","%3F"),'Rules'!$G$7:$G$26,0)),"")</x:f>
      </x:c>
      <x:c r="N479" s="5" t="str">
        <x:f>IF(COUNTA(A479:F479)=0,"",SUBSTITUTE(SUBSTITUTE(SUBSTITUTE(SUBSTITUTE("id:"&amp;A479,"%","%25"),"~","%7E"),"*","%2A"),"?","%3F"))</x:f>
      </x:c>
    </x:row>
    <x:row r="480" ht="22" customHeight="1">
      <x:c r="A480" s="3"/>
      <x:c r="B480" s="3"/>
      <x:c r="C480" s="3"/>
      <x:c r="D480" s="4"/>
      <x:c r="E480" s="4"/>
      <x:c r="F480" s="4"/>
      <x:c r="G480" s="5" t="str">
        <x:f>IF(COUNTA(A480:F480)=0,"",IF(K480&lt;&gt;"","Review",IF(I480&lt;0,"Overdue",IF(I480=0,"Due now",IF(I480&lt;=M480,"Due soon","Not due")))))</x:f>
      </x:c>
      <x:c r="H480" s="5" t="str">
        <x:f>IF(OR(COUNTA(A480:F480)=0,COUNTIFS('Rules'!$G$7:$G$26,"="&amp;(SUBSTITUTE(SUBSTITUTE(SUBSTITUTE(SUBSTITUTE("type:"&amp;B480,"%","%25"),"~","%7E"),"*","%2A"),"?","%3F")))&lt;&gt;1),"",IF(OR(INDEX('Rules'!$B$7:$B$26,MATCH(SUBSTITUTE(SUBSTITUTE(SUBSTITUTE(SUBSTITUTE("type:"&amp;B480,"%","%25"),"~","%7E"),"*","%2A"),"?","%3F"),'Rules'!$G$7:$G$26,0))="hours",INDEX('Rules'!$B$7:$B$26,MATCH(SUBSTITUTE(SUBSTITUTE(SUBSTITUTE(SUBSTITUTE("type:"&amp;B480,"%","%25"),"~","%7E"),"*","%2A"),"?","%3F"),'Rules'!$G$7:$G$26,0))="km"),INDEX('Rules'!$B$7:$B$26,MATCH(SUBSTITUTE(SUBSTITUTE(SUBSTITUTE(SUBSTITUTE("type:"&amp;B480,"%","%25"),"~","%7E"),"*","%2A"),"?","%3F"),'Rules'!$G$7:$G$26,0)),""))</x:f>
      </x:c>
      <x:c r="I480" s="6" t="str">
        <x:f>IF(AND(NOT(COUNTA(A480:F480)=0),K480=""),ROUND(J480-D480,3),"")</x:f>
      </x:c>
      <x:c r="J480" s="6" t="str">
        <x:f>IF(AND(NOT(COUNTA(A480:F480)=0),K480=""),ROUND(F480+L480,3),"")</x:f>
      </x:c>
      <x:c r="K480" s="5" t="str">
        <x:f>IF(COUNTA(A480:F480)=0,"",IF(A480="","Missing equipment ID",IF(COUNTIFS($N$8:$N$2007,"="&amp;N480)&gt;1,"Duplicate equipment ID",IF(B480="","Missing type",IF(COUNTIFS('Rules'!$G$7:$G$26,"="&amp;(SUBSTITUTE(SUBSTITUTE(SUBSTITUTE(SUBSTITUTE("type:"&amp;B480,"%","%25"),"~","%7E"),"*","%2A"),"?","%3F")))=0,"Unknown type",IF(COUNTIFS('Rules'!$G$7:$G$26,"="&amp;(SUBSTITUTE(SUBSTITUTE(SUBSTITUTE(SUBSTITUTE("type:"&amp;B480,"%","%25"),"~","%7E"),"*","%2A"),"?","%3F")))&gt;1,"Duplicate type",IF(INDEX('Rules'!$F$7:$F$26,MATCH(SUBSTITUTE(SUBSTITUTE(SUBSTITUTE(SUBSTITUTE("type:"&amp;B480,"%","%25"),"~","%7E"),"*","%2A"),"?","%3F"),'Rules'!$G$7:$G$26,0))&lt;&gt;"",INDEX('Rules'!$F$7:$F$26,MATCH(SUBSTITUTE(SUBSTITUTE(SUBSTITUTE(SUBSTITUTE("type:"&amp;B480,"%","%25"),"~","%7E"),"*","%2A"),"?","%3F"),'Rules'!$G$7:$G$26,0)),IF(AND(C480&lt;&gt;"",C480&lt;&gt;INDEX('Rules'!$B$7:$B$26,MATCH(SUBSTITUTE(SUBSTITUTE(SUBSTITUTE(SUBSTITUTE("type:"&amp;B480,"%","%25"),"~","%7E"),"*","%2A"),"?","%3F"),'Rules'!$G$7:$G$26,0))),"Unit mismatch",IF(IF(NOT(ISNUMBER(D480)),TRUE,OR(D480&lt;0,D480&gt;999999999,ROUND(D480,3)&lt;&gt;D480)),"Invalid current reading",IF(AND(E480&lt;&gt;"",IF(NOT(ISNUMBER(E480)),TRUE,OR(E480&lt;0,E480&gt;999999999,ROUND(E480,3)&lt;&gt;E480))),"Invalid previous reading",IF(IF(NOT(ISNUMBER(F480)),TRUE,OR(F480&lt;0,F480&gt;999999999,ROUND(F480,3)&lt;&gt;F480)),"Invalid last service",IF(AND(E480&lt;&gt;"",D480&lt;E480),"Decreased reading",IF(F480&gt;D480,"Last service above current","")))))))))))))</x:f>
      </x:c>
      <x:c r="L480" s="6" t="str">
        <x:f>IF(AND(NOT(COUNTA(A480:F480)=0),K480=""),INDEX('Rules'!$C$7:$C$26,MATCH(SUBSTITUTE(SUBSTITUTE(SUBSTITUTE(SUBSTITUTE("type:"&amp;B480,"%","%25"),"~","%7E"),"*","%2A"),"?","%3F"),'Rules'!$G$7:$G$26,0)),"")</x:f>
      </x:c>
      <x:c r="M480" s="6" t="str">
        <x:f>IF(AND(NOT(COUNTA(A480:F480)=0),K480=""),INDEX('Rules'!$D$7:$D$26,MATCH(SUBSTITUTE(SUBSTITUTE(SUBSTITUTE(SUBSTITUTE("type:"&amp;B480,"%","%25"),"~","%7E"),"*","%2A"),"?","%3F"),'Rules'!$G$7:$G$26,0)),"")</x:f>
      </x:c>
      <x:c r="N480" s="5" t="str">
        <x:f>IF(COUNTA(A480:F480)=0,"",SUBSTITUTE(SUBSTITUTE(SUBSTITUTE(SUBSTITUTE("id:"&amp;A480,"%","%25"),"~","%7E"),"*","%2A"),"?","%3F"))</x:f>
      </x:c>
    </x:row>
    <x:row r="481" ht="22" customHeight="1">
      <x:c r="A481" s="3"/>
      <x:c r="B481" s="3"/>
      <x:c r="C481" s="3"/>
      <x:c r="D481" s="4"/>
      <x:c r="E481" s="4"/>
      <x:c r="F481" s="4"/>
      <x:c r="G481" s="5" t="str">
        <x:f>IF(COUNTA(A481:F481)=0,"",IF(K481&lt;&gt;"","Review",IF(I481&lt;0,"Overdue",IF(I481=0,"Due now",IF(I481&lt;=M481,"Due soon","Not due")))))</x:f>
      </x:c>
      <x:c r="H481" s="5" t="str">
        <x:f>IF(OR(COUNTA(A481:F481)=0,COUNTIFS('Rules'!$G$7:$G$26,"="&amp;(SUBSTITUTE(SUBSTITUTE(SUBSTITUTE(SUBSTITUTE("type:"&amp;B481,"%","%25"),"~","%7E"),"*","%2A"),"?","%3F")))&lt;&gt;1),"",IF(OR(INDEX('Rules'!$B$7:$B$26,MATCH(SUBSTITUTE(SUBSTITUTE(SUBSTITUTE(SUBSTITUTE("type:"&amp;B481,"%","%25"),"~","%7E"),"*","%2A"),"?","%3F"),'Rules'!$G$7:$G$26,0))="hours",INDEX('Rules'!$B$7:$B$26,MATCH(SUBSTITUTE(SUBSTITUTE(SUBSTITUTE(SUBSTITUTE("type:"&amp;B481,"%","%25"),"~","%7E"),"*","%2A"),"?","%3F"),'Rules'!$G$7:$G$26,0))="km"),INDEX('Rules'!$B$7:$B$26,MATCH(SUBSTITUTE(SUBSTITUTE(SUBSTITUTE(SUBSTITUTE("type:"&amp;B481,"%","%25"),"~","%7E"),"*","%2A"),"?","%3F"),'Rules'!$G$7:$G$26,0)),""))</x:f>
      </x:c>
      <x:c r="I481" s="6" t="str">
        <x:f>IF(AND(NOT(COUNTA(A481:F481)=0),K481=""),ROUND(J481-D481,3),"")</x:f>
      </x:c>
      <x:c r="J481" s="6" t="str">
        <x:f>IF(AND(NOT(COUNTA(A481:F481)=0),K481=""),ROUND(F481+L481,3),"")</x:f>
      </x:c>
      <x:c r="K481" s="5" t="str">
        <x:f>IF(COUNTA(A481:F481)=0,"",IF(A481="","Missing equipment ID",IF(COUNTIFS($N$8:$N$2007,"="&amp;N481)&gt;1,"Duplicate equipment ID",IF(B481="","Missing type",IF(COUNTIFS('Rules'!$G$7:$G$26,"="&amp;(SUBSTITUTE(SUBSTITUTE(SUBSTITUTE(SUBSTITUTE("type:"&amp;B481,"%","%25"),"~","%7E"),"*","%2A"),"?","%3F")))=0,"Unknown type",IF(COUNTIFS('Rules'!$G$7:$G$26,"="&amp;(SUBSTITUTE(SUBSTITUTE(SUBSTITUTE(SUBSTITUTE("type:"&amp;B481,"%","%25"),"~","%7E"),"*","%2A"),"?","%3F")))&gt;1,"Duplicate type",IF(INDEX('Rules'!$F$7:$F$26,MATCH(SUBSTITUTE(SUBSTITUTE(SUBSTITUTE(SUBSTITUTE("type:"&amp;B481,"%","%25"),"~","%7E"),"*","%2A"),"?","%3F"),'Rules'!$G$7:$G$26,0))&lt;&gt;"",INDEX('Rules'!$F$7:$F$26,MATCH(SUBSTITUTE(SUBSTITUTE(SUBSTITUTE(SUBSTITUTE("type:"&amp;B481,"%","%25"),"~","%7E"),"*","%2A"),"?","%3F"),'Rules'!$G$7:$G$26,0)),IF(AND(C481&lt;&gt;"",C481&lt;&gt;INDEX('Rules'!$B$7:$B$26,MATCH(SUBSTITUTE(SUBSTITUTE(SUBSTITUTE(SUBSTITUTE("type:"&amp;B481,"%","%25"),"~","%7E"),"*","%2A"),"?","%3F"),'Rules'!$G$7:$G$26,0))),"Unit mismatch",IF(IF(NOT(ISNUMBER(D481)),TRUE,OR(D481&lt;0,D481&gt;999999999,ROUND(D481,3)&lt;&gt;D481)),"Invalid current reading",IF(AND(E481&lt;&gt;"",IF(NOT(ISNUMBER(E481)),TRUE,OR(E481&lt;0,E481&gt;999999999,ROUND(E481,3)&lt;&gt;E481))),"Invalid previous reading",IF(IF(NOT(ISNUMBER(F481)),TRUE,OR(F481&lt;0,F481&gt;999999999,ROUND(F481,3)&lt;&gt;F481)),"Invalid last service",IF(AND(E481&lt;&gt;"",D481&lt;E481),"Decreased reading",IF(F481&gt;D481,"Last service above current","")))))))))))))</x:f>
      </x:c>
      <x:c r="L481" s="6" t="str">
        <x:f>IF(AND(NOT(COUNTA(A481:F481)=0),K481=""),INDEX('Rules'!$C$7:$C$26,MATCH(SUBSTITUTE(SUBSTITUTE(SUBSTITUTE(SUBSTITUTE("type:"&amp;B481,"%","%25"),"~","%7E"),"*","%2A"),"?","%3F"),'Rules'!$G$7:$G$26,0)),"")</x:f>
      </x:c>
      <x:c r="M481" s="6" t="str">
        <x:f>IF(AND(NOT(COUNTA(A481:F481)=0),K481=""),INDEX('Rules'!$D$7:$D$26,MATCH(SUBSTITUTE(SUBSTITUTE(SUBSTITUTE(SUBSTITUTE("type:"&amp;B481,"%","%25"),"~","%7E"),"*","%2A"),"?","%3F"),'Rules'!$G$7:$G$26,0)),"")</x:f>
      </x:c>
      <x:c r="N481" s="5" t="str">
        <x:f>IF(COUNTA(A481:F481)=0,"",SUBSTITUTE(SUBSTITUTE(SUBSTITUTE(SUBSTITUTE("id:"&amp;A481,"%","%25"),"~","%7E"),"*","%2A"),"?","%3F"))</x:f>
      </x:c>
    </x:row>
    <x:row r="482" ht="22" customHeight="1">
      <x:c r="A482" s="3"/>
      <x:c r="B482" s="3"/>
      <x:c r="C482" s="3"/>
      <x:c r="D482" s="4"/>
      <x:c r="E482" s="4"/>
      <x:c r="F482" s="4"/>
      <x:c r="G482" s="5" t="str">
        <x:f>IF(COUNTA(A482:F482)=0,"",IF(K482&lt;&gt;"","Review",IF(I482&lt;0,"Overdue",IF(I482=0,"Due now",IF(I482&lt;=M482,"Due soon","Not due")))))</x:f>
      </x:c>
      <x:c r="H482" s="5" t="str">
        <x:f>IF(OR(COUNTA(A482:F482)=0,COUNTIFS('Rules'!$G$7:$G$26,"="&amp;(SUBSTITUTE(SUBSTITUTE(SUBSTITUTE(SUBSTITUTE("type:"&amp;B482,"%","%25"),"~","%7E"),"*","%2A"),"?","%3F")))&lt;&gt;1),"",IF(OR(INDEX('Rules'!$B$7:$B$26,MATCH(SUBSTITUTE(SUBSTITUTE(SUBSTITUTE(SUBSTITUTE("type:"&amp;B482,"%","%25"),"~","%7E"),"*","%2A"),"?","%3F"),'Rules'!$G$7:$G$26,0))="hours",INDEX('Rules'!$B$7:$B$26,MATCH(SUBSTITUTE(SUBSTITUTE(SUBSTITUTE(SUBSTITUTE("type:"&amp;B482,"%","%25"),"~","%7E"),"*","%2A"),"?","%3F"),'Rules'!$G$7:$G$26,0))="km"),INDEX('Rules'!$B$7:$B$26,MATCH(SUBSTITUTE(SUBSTITUTE(SUBSTITUTE(SUBSTITUTE("type:"&amp;B482,"%","%25"),"~","%7E"),"*","%2A"),"?","%3F"),'Rules'!$G$7:$G$26,0)),""))</x:f>
      </x:c>
      <x:c r="I482" s="6" t="str">
        <x:f>IF(AND(NOT(COUNTA(A482:F482)=0),K482=""),ROUND(J482-D482,3),"")</x:f>
      </x:c>
      <x:c r="J482" s="6" t="str">
        <x:f>IF(AND(NOT(COUNTA(A482:F482)=0),K482=""),ROUND(F482+L482,3),"")</x:f>
      </x:c>
      <x:c r="K482" s="5" t="str">
        <x:f>IF(COUNTA(A482:F482)=0,"",IF(A482="","Missing equipment ID",IF(COUNTIFS($N$8:$N$2007,"="&amp;N482)&gt;1,"Duplicate equipment ID",IF(B482="","Missing type",IF(COUNTIFS('Rules'!$G$7:$G$26,"="&amp;(SUBSTITUTE(SUBSTITUTE(SUBSTITUTE(SUBSTITUTE("type:"&amp;B482,"%","%25"),"~","%7E"),"*","%2A"),"?","%3F")))=0,"Unknown type",IF(COUNTIFS('Rules'!$G$7:$G$26,"="&amp;(SUBSTITUTE(SUBSTITUTE(SUBSTITUTE(SUBSTITUTE("type:"&amp;B482,"%","%25"),"~","%7E"),"*","%2A"),"?","%3F")))&gt;1,"Duplicate type",IF(INDEX('Rules'!$F$7:$F$26,MATCH(SUBSTITUTE(SUBSTITUTE(SUBSTITUTE(SUBSTITUTE("type:"&amp;B482,"%","%25"),"~","%7E"),"*","%2A"),"?","%3F"),'Rules'!$G$7:$G$26,0))&lt;&gt;"",INDEX('Rules'!$F$7:$F$26,MATCH(SUBSTITUTE(SUBSTITUTE(SUBSTITUTE(SUBSTITUTE("type:"&amp;B482,"%","%25"),"~","%7E"),"*","%2A"),"?","%3F"),'Rules'!$G$7:$G$26,0)),IF(AND(C482&lt;&gt;"",C482&lt;&gt;INDEX('Rules'!$B$7:$B$26,MATCH(SUBSTITUTE(SUBSTITUTE(SUBSTITUTE(SUBSTITUTE("type:"&amp;B482,"%","%25"),"~","%7E"),"*","%2A"),"?","%3F"),'Rules'!$G$7:$G$26,0))),"Unit mismatch",IF(IF(NOT(ISNUMBER(D482)),TRUE,OR(D482&lt;0,D482&gt;999999999,ROUND(D482,3)&lt;&gt;D482)),"Invalid current reading",IF(AND(E482&lt;&gt;"",IF(NOT(ISNUMBER(E482)),TRUE,OR(E482&lt;0,E482&gt;999999999,ROUND(E482,3)&lt;&gt;E482))),"Invalid previous reading",IF(IF(NOT(ISNUMBER(F482)),TRUE,OR(F482&lt;0,F482&gt;999999999,ROUND(F482,3)&lt;&gt;F482)),"Invalid last service",IF(AND(E482&lt;&gt;"",D482&lt;E482),"Decreased reading",IF(F482&gt;D482,"Last service above current","")))))))))))))</x:f>
      </x:c>
      <x:c r="L482" s="6" t="str">
        <x:f>IF(AND(NOT(COUNTA(A482:F482)=0),K482=""),INDEX('Rules'!$C$7:$C$26,MATCH(SUBSTITUTE(SUBSTITUTE(SUBSTITUTE(SUBSTITUTE("type:"&amp;B482,"%","%25"),"~","%7E"),"*","%2A"),"?","%3F"),'Rules'!$G$7:$G$26,0)),"")</x:f>
      </x:c>
      <x:c r="M482" s="6" t="str">
        <x:f>IF(AND(NOT(COUNTA(A482:F482)=0),K482=""),INDEX('Rules'!$D$7:$D$26,MATCH(SUBSTITUTE(SUBSTITUTE(SUBSTITUTE(SUBSTITUTE("type:"&amp;B482,"%","%25"),"~","%7E"),"*","%2A"),"?","%3F"),'Rules'!$G$7:$G$26,0)),"")</x:f>
      </x:c>
      <x:c r="N482" s="5" t="str">
        <x:f>IF(COUNTA(A482:F482)=0,"",SUBSTITUTE(SUBSTITUTE(SUBSTITUTE(SUBSTITUTE("id:"&amp;A482,"%","%25"),"~","%7E"),"*","%2A"),"?","%3F"))</x:f>
      </x:c>
    </x:row>
    <x:row r="483" ht="22" customHeight="1">
      <x:c r="A483" s="3"/>
      <x:c r="B483" s="3"/>
      <x:c r="C483" s="3"/>
      <x:c r="D483" s="4"/>
      <x:c r="E483" s="4"/>
      <x:c r="F483" s="4"/>
      <x:c r="G483" s="5" t="str">
        <x:f>IF(COUNTA(A483:F483)=0,"",IF(K483&lt;&gt;"","Review",IF(I483&lt;0,"Overdue",IF(I483=0,"Due now",IF(I483&lt;=M483,"Due soon","Not due")))))</x:f>
      </x:c>
      <x:c r="H483" s="5" t="str">
        <x:f>IF(OR(COUNTA(A483:F483)=0,COUNTIFS('Rules'!$G$7:$G$26,"="&amp;(SUBSTITUTE(SUBSTITUTE(SUBSTITUTE(SUBSTITUTE("type:"&amp;B483,"%","%25"),"~","%7E"),"*","%2A"),"?","%3F")))&lt;&gt;1),"",IF(OR(INDEX('Rules'!$B$7:$B$26,MATCH(SUBSTITUTE(SUBSTITUTE(SUBSTITUTE(SUBSTITUTE("type:"&amp;B483,"%","%25"),"~","%7E"),"*","%2A"),"?","%3F"),'Rules'!$G$7:$G$26,0))="hours",INDEX('Rules'!$B$7:$B$26,MATCH(SUBSTITUTE(SUBSTITUTE(SUBSTITUTE(SUBSTITUTE("type:"&amp;B483,"%","%25"),"~","%7E"),"*","%2A"),"?","%3F"),'Rules'!$G$7:$G$26,0))="km"),INDEX('Rules'!$B$7:$B$26,MATCH(SUBSTITUTE(SUBSTITUTE(SUBSTITUTE(SUBSTITUTE("type:"&amp;B483,"%","%25"),"~","%7E"),"*","%2A"),"?","%3F"),'Rules'!$G$7:$G$26,0)),""))</x:f>
      </x:c>
      <x:c r="I483" s="6" t="str">
        <x:f>IF(AND(NOT(COUNTA(A483:F483)=0),K483=""),ROUND(J483-D483,3),"")</x:f>
      </x:c>
      <x:c r="J483" s="6" t="str">
        <x:f>IF(AND(NOT(COUNTA(A483:F483)=0),K483=""),ROUND(F483+L483,3),"")</x:f>
      </x:c>
      <x:c r="K483" s="5" t="str">
        <x:f>IF(COUNTA(A483:F483)=0,"",IF(A483="","Missing equipment ID",IF(COUNTIFS($N$8:$N$2007,"="&amp;N483)&gt;1,"Duplicate equipment ID",IF(B483="","Missing type",IF(COUNTIFS('Rules'!$G$7:$G$26,"="&amp;(SUBSTITUTE(SUBSTITUTE(SUBSTITUTE(SUBSTITUTE("type:"&amp;B483,"%","%25"),"~","%7E"),"*","%2A"),"?","%3F")))=0,"Unknown type",IF(COUNTIFS('Rules'!$G$7:$G$26,"="&amp;(SUBSTITUTE(SUBSTITUTE(SUBSTITUTE(SUBSTITUTE("type:"&amp;B483,"%","%25"),"~","%7E"),"*","%2A"),"?","%3F")))&gt;1,"Duplicate type",IF(INDEX('Rules'!$F$7:$F$26,MATCH(SUBSTITUTE(SUBSTITUTE(SUBSTITUTE(SUBSTITUTE("type:"&amp;B483,"%","%25"),"~","%7E"),"*","%2A"),"?","%3F"),'Rules'!$G$7:$G$26,0))&lt;&gt;"",INDEX('Rules'!$F$7:$F$26,MATCH(SUBSTITUTE(SUBSTITUTE(SUBSTITUTE(SUBSTITUTE("type:"&amp;B483,"%","%25"),"~","%7E"),"*","%2A"),"?","%3F"),'Rules'!$G$7:$G$26,0)),IF(AND(C483&lt;&gt;"",C483&lt;&gt;INDEX('Rules'!$B$7:$B$26,MATCH(SUBSTITUTE(SUBSTITUTE(SUBSTITUTE(SUBSTITUTE("type:"&amp;B483,"%","%25"),"~","%7E"),"*","%2A"),"?","%3F"),'Rules'!$G$7:$G$26,0))),"Unit mismatch",IF(IF(NOT(ISNUMBER(D483)),TRUE,OR(D483&lt;0,D483&gt;999999999,ROUND(D483,3)&lt;&gt;D483)),"Invalid current reading",IF(AND(E483&lt;&gt;"",IF(NOT(ISNUMBER(E483)),TRUE,OR(E483&lt;0,E483&gt;999999999,ROUND(E483,3)&lt;&gt;E483))),"Invalid previous reading",IF(IF(NOT(ISNUMBER(F483)),TRUE,OR(F483&lt;0,F483&gt;999999999,ROUND(F483,3)&lt;&gt;F483)),"Invalid last service",IF(AND(E483&lt;&gt;"",D483&lt;E483),"Decreased reading",IF(F483&gt;D483,"Last service above current","")))))))))))))</x:f>
      </x:c>
      <x:c r="L483" s="6" t="str">
        <x:f>IF(AND(NOT(COUNTA(A483:F483)=0),K483=""),INDEX('Rules'!$C$7:$C$26,MATCH(SUBSTITUTE(SUBSTITUTE(SUBSTITUTE(SUBSTITUTE("type:"&amp;B483,"%","%25"),"~","%7E"),"*","%2A"),"?","%3F"),'Rules'!$G$7:$G$26,0)),"")</x:f>
      </x:c>
      <x:c r="M483" s="6" t="str">
        <x:f>IF(AND(NOT(COUNTA(A483:F483)=0),K483=""),INDEX('Rules'!$D$7:$D$26,MATCH(SUBSTITUTE(SUBSTITUTE(SUBSTITUTE(SUBSTITUTE("type:"&amp;B483,"%","%25"),"~","%7E"),"*","%2A"),"?","%3F"),'Rules'!$G$7:$G$26,0)),"")</x:f>
      </x:c>
      <x:c r="N483" s="5" t="str">
        <x:f>IF(COUNTA(A483:F483)=0,"",SUBSTITUTE(SUBSTITUTE(SUBSTITUTE(SUBSTITUTE("id:"&amp;A483,"%","%25"),"~","%7E"),"*","%2A"),"?","%3F"))</x:f>
      </x:c>
    </x:row>
    <x:row r="484" ht="22" customHeight="1">
      <x:c r="A484" s="3"/>
      <x:c r="B484" s="3"/>
      <x:c r="C484" s="3"/>
      <x:c r="D484" s="4"/>
      <x:c r="E484" s="4"/>
      <x:c r="F484" s="4"/>
      <x:c r="G484" s="5" t="str">
        <x:f>IF(COUNTA(A484:F484)=0,"",IF(K484&lt;&gt;"","Review",IF(I484&lt;0,"Overdue",IF(I484=0,"Due now",IF(I484&lt;=M484,"Due soon","Not due")))))</x:f>
      </x:c>
      <x:c r="H484" s="5" t="str">
        <x:f>IF(OR(COUNTA(A484:F484)=0,COUNTIFS('Rules'!$G$7:$G$26,"="&amp;(SUBSTITUTE(SUBSTITUTE(SUBSTITUTE(SUBSTITUTE("type:"&amp;B484,"%","%25"),"~","%7E"),"*","%2A"),"?","%3F")))&lt;&gt;1),"",IF(OR(INDEX('Rules'!$B$7:$B$26,MATCH(SUBSTITUTE(SUBSTITUTE(SUBSTITUTE(SUBSTITUTE("type:"&amp;B484,"%","%25"),"~","%7E"),"*","%2A"),"?","%3F"),'Rules'!$G$7:$G$26,0))="hours",INDEX('Rules'!$B$7:$B$26,MATCH(SUBSTITUTE(SUBSTITUTE(SUBSTITUTE(SUBSTITUTE("type:"&amp;B484,"%","%25"),"~","%7E"),"*","%2A"),"?","%3F"),'Rules'!$G$7:$G$26,0))="km"),INDEX('Rules'!$B$7:$B$26,MATCH(SUBSTITUTE(SUBSTITUTE(SUBSTITUTE(SUBSTITUTE("type:"&amp;B484,"%","%25"),"~","%7E"),"*","%2A"),"?","%3F"),'Rules'!$G$7:$G$26,0)),""))</x:f>
      </x:c>
      <x:c r="I484" s="6" t="str">
        <x:f>IF(AND(NOT(COUNTA(A484:F484)=0),K484=""),ROUND(J484-D484,3),"")</x:f>
      </x:c>
      <x:c r="J484" s="6" t="str">
        <x:f>IF(AND(NOT(COUNTA(A484:F484)=0),K484=""),ROUND(F484+L484,3),"")</x:f>
      </x:c>
      <x:c r="K484" s="5" t="str">
        <x:f>IF(COUNTA(A484:F484)=0,"",IF(A484="","Missing equipment ID",IF(COUNTIFS($N$8:$N$2007,"="&amp;N484)&gt;1,"Duplicate equipment ID",IF(B484="","Missing type",IF(COUNTIFS('Rules'!$G$7:$G$26,"="&amp;(SUBSTITUTE(SUBSTITUTE(SUBSTITUTE(SUBSTITUTE("type:"&amp;B484,"%","%25"),"~","%7E"),"*","%2A"),"?","%3F")))=0,"Unknown type",IF(COUNTIFS('Rules'!$G$7:$G$26,"="&amp;(SUBSTITUTE(SUBSTITUTE(SUBSTITUTE(SUBSTITUTE("type:"&amp;B484,"%","%25"),"~","%7E"),"*","%2A"),"?","%3F")))&gt;1,"Duplicate type",IF(INDEX('Rules'!$F$7:$F$26,MATCH(SUBSTITUTE(SUBSTITUTE(SUBSTITUTE(SUBSTITUTE("type:"&amp;B484,"%","%25"),"~","%7E"),"*","%2A"),"?","%3F"),'Rules'!$G$7:$G$26,0))&lt;&gt;"",INDEX('Rules'!$F$7:$F$26,MATCH(SUBSTITUTE(SUBSTITUTE(SUBSTITUTE(SUBSTITUTE("type:"&amp;B484,"%","%25"),"~","%7E"),"*","%2A"),"?","%3F"),'Rules'!$G$7:$G$26,0)),IF(AND(C484&lt;&gt;"",C484&lt;&gt;INDEX('Rules'!$B$7:$B$26,MATCH(SUBSTITUTE(SUBSTITUTE(SUBSTITUTE(SUBSTITUTE("type:"&amp;B484,"%","%25"),"~","%7E"),"*","%2A"),"?","%3F"),'Rules'!$G$7:$G$26,0))),"Unit mismatch",IF(IF(NOT(ISNUMBER(D484)),TRUE,OR(D484&lt;0,D484&gt;999999999,ROUND(D484,3)&lt;&gt;D484)),"Invalid current reading",IF(AND(E484&lt;&gt;"",IF(NOT(ISNUMBER(E484)),TRUE,OR(E484&lt;0,E484&gt;999999999,ROUND(E484,3)&lt;&gt;E484))),"Invalid previous reading",IF(IF(NOT(ISNUMBER(F484)),TRUE,OR(F484&lt;0,F484&gt;999999999,ROUND(F484,3)&lt;&gt;F484)),"Invalid last service",IF(AND(E484&lt;&gt;"",D484&lt;E484),"Decreased reading",IF(F484&gt;D484,"Last service above current","")))))))))))))</x:f>
      </x:c>
      <x:c r="L484" s="6" t="str">
        <x:f>IF(AND(NOT(COUNTA(A484:F484)=0),K484=""),INDEX('Rules'!$C$7:$C$26,MATCH(SUBSTITUTE(SUBSTITUTE(SUBSTITUTE(SUBSTITUTE("type:"&amp;B484,"%","%25"),"~","%7E"),"*","%2A"),"?","%3F"),'Rules'!$G$7:$G$26,0)),"")</x:f>
      </x:c>
      <x:c r="M484" s="6" t="str">
        <x:f>IF(AND(NOT(COUNTA(A484:F484)=0),K484=""),INDEX('Rules'!$D$7:$D$26,MATCH(SUBSTITUTE(SUBSTITUTE(SUBSTITUTE(SUBSTITUTE("type:"&amp;B484,"%","%25"),"~","%7E"),"*","%2A"),"?","%3F"),'Rules'!$G$7:$G$26,0)),"")</x:f>
      </x:c>
      <x:c r="N484" s="5" t="str">
        <x:f>IF(COUNTA(A484:F484)=0,"",SUBSTITUTE(SUBSTITUTE(SUBSTITUTE(SUBSTITUTE("id:"&amp;A484,"%","%25"),"~","%7E"),"*","%2A"),"?","%3F"))</x:f>
      </x:c>
    </x:row>
    <x:row r="485" ht="22" customHeight="1">
      <x:c r="A485" s="3"/>
      <x:c r="B485" s="3"/>
      <x:c r="C485" s="3"/>
      <x:c r="D485" s="4"/>
      <x:c r="E485" s="4"/>
      <x:c r="F485" s="4"/>
      <x:c r="G485" s="5" t="str">
        <x:f>IF(COUNTA(A485:F485)=0,"",IF(K485&lt;&gt;"","Review",IF(I485&lt;0,"Overdue",IF(I485=0,"Due now",IF(I485&lt;=M485,"Due soon","Not due")))))</x:f>
      </x:c>
      <x:c r="H485" s="5" t="str">
        <x:f>IF(OR(COUNTA(A485:F485)=0,COUNTIFS('Rules'!$G$7:$G$26,"="&amp;(SUBSTITUTE(SUBSTITUTE(SUBSTITUTE(SUBSTITUTE("type:"&amp;B485,"%","%25"),"~","%7E"),"*","%2A"),"?","%3F")))&lt;&gt;1),"",IF(OR(INDEX('Rules'!$B$7:$B$26,MATCH(SUBSTITUTE(SUBSTITUTE(SUBSTITUTE(SUBSTITUTE("type:"&amp;B485,"%","%25"),"~","%7E"),"*","%2A"),"?","%3F"),'Rules'!$G$7:$G$26,0))="hours",INDEX('Rules'!$B$7:$B$26,MATCH(SUBSTITUTE(SUBSTITUTE(SUBSTITUTE(SUBSTITUTE("type:"&amp;B485,"%","%25"),"~","%7E"),"*","%2A"),"?","%3F"),'Rules'!$G$7:$G$26,0))="km"),INDEX('Rules'!$B$7:$B$26,MATCH(SUBSTITUTE(SUBSTITUTE(SUBSTITUTE(SUBSTITUTE("type:"&amp;B485,"%","%25"),"~","%7E"),"*","%2A"),"?","%3F"),'Rules'!$G$7:$G$26,0)),""))</x:f>
      </x:c>
      <x:c r="I485" s="6" t="str">
        <x:f>IF(AND(NOT(COUNTA(A485:F485)=0),K485=""),ROUND(J485-D485,3),"")</x:f>
      </x:c>
      <x:c r="J485" s="6" t="str">
        <x:f>IF(AND(NOT(COUNTA(A485:F485)=0),K485=""),ROUND(F485+L485,3),"")</x:f>
      </x:c>
      <x:c r="K485" s="5" t="str">
        <x:f>IF(COUNTA(A485:F485)=0,"",IF(A485="","Missing equipment ID",IF(COUNTIFS($N$8:$N$2007,"="&amp;N485)&gt;1,"Duplicate equipment ID",IF(B485="","Missing type",IF(COUNTIFS('Rules'!$G$7:$G$26,"="&amp;(SUBSTITUTE(SUBSTITUTE(SUBSTITUTE(SUBSTITUTE("type:"&amp;B485,"%","%25"),"~","%7E"),"*","%2A"),"?","%3F")))=0,"Unknown type",IF(COUNTIFS('Rules'!$G$7:$G$26,"="&amp;(SUBSTITUTE(SUBSTITUTE(SUBSTITUTE(SUBSTITUTE("type:"&amp;B485,"%","%25"),"~","%7E"),"*","%2A"),"?","%3F")))&gt;1,"Duplicate type",IF(INDEX('Rules'!$F$7:$F$26,MATCH(SUBSTITUTE(SUBSTITUTE(SUBSTITUTE(SUBSTITUTE("type:"&amp;B485,"%","%25"),"~","%7E"),"*","%2A"),"?","%3F"),'Rules'!$G$7:$G$26,0))&lt;&gt;"",INDEX('Rules'!$F$7:$F$26,MATCH(SUBSTITUTE(SUBSTITUTE(SUBSTITUTE(SUBSTITUTE("type:"&amp;B485,"%","%25"),"~","%7E"),"*","%2A"),"?","%3F"),'Rules'!$G$7:$G$26,0)),IF(AND(C485&lt;&gt;"",C485&lt;&gt;INDEX('Rules'!$B$7:$B$26,MATCH(SUBSTITUTE(SUBSTITUTE(SUBSTITUTE(SUBSTITUTE("type:"&amp;B485,"%","%25"),"~","%7E"),"*","%2A"),"?","%3F"),'Rules'!$G$7:$G$26,0))),"Unit mismatch",IF(IF(NOT(ISNUMBER(D485)),TRUE,OR(D485&lt;0,D485&gt;999999999,ROUND(D485,3)&lt;&gt;D485)),"Invalid current reading",IF(AND(E485&lt;&gt;"",IF(NOT(ISNUMBER(E485)),TRUE,OR(E485&lt;0,E485&gt;999999999,ROUND(E485,3)&lt;&gt;E485))),"Invalid previous reading",IF(IF(NOT(ISNUMBER(F485)),TRUE,OR(F485&lt;0,F485&gt;999999999,ROUND(F485,3)&lt;&gt;F485)),"Invalid last service",IF(AND(E485&lt;&gt;"",D485&lt;E485),"Decreased reading",IF(F485&gt;D485,"Last service above current","")))))))))))))</x:f>
      </x:c>
      <x:c r="L485" s="6" t="str">
        <x:f>IF(AND(NOT(COUNTA(A485:F485)=0),K485=""),INDEX('Rules'!$C$7:$C$26,MATCH(SUBSTITUTE(SUBSTITUTE(SUBSTITUTE(SUBSTITUTE("type:"&amp;B485,"%","%25"),"~","%7E"),"*","%2A"),"?","%3F"),'Rules'!$G$7:$G$26,0)),"")</x:f>
      </x:c>
      <x:c r="M485" s="6" t="str">
        <x:f>IF(AND(NOT(COUNTA(A485:F485)=0),K485=""),INDEX('Rules'!$D$7:$D$26,MATCH(SUBSTITUTE(SUBSTITUTE(SUBSTITUTE(SUBSTITUTE("type:"&amp;B485,"%","%25"),"~","%7E"),"*","%2A"),"?","%3F"),'Rules'!$G$7:$G$26,0)),"")</x:f>
      </x:c>
      <x:c r="N485" s="5" t="str">
        <x:f>IF(COUNTA(A485:F485)=0,"",SUBSTITUTE(SUBSTITUTE(SUBSTITUTE(SUBSTITUTE("id:"&amp;A485,"%","%25"),"~","%7E"),"*","%2A"),"?","%3F"))</x:f>
      </x:c>
    </x:row>
    <x:row r="486" ht="22" customHeight="1">
      <x:c r="A486" s="3"/>
      <x:c r="B486" s="3"/>
      <x:c r="C486" s="3"/>
      <x:c r="D486" s="4"/>
      <x:c r="E486" s="4"/>
      <x:c r="F486" s="4"/>
      <x:c r="G486" s="5" t="str">
        <x:f>IF(COUNTA(A486:F486)=0,"",IF(K486&lt;&gt;"","Review",IF(I486&lt;0,"Overdue",IF(I486=0,"Due now",IF(I486&lt;=M486,"Due soon","Not due")))))</x:f>
      </x:c>
      <x:c r="H486" s="5" t="str">
        <x:f>IF(OR(COUNTA(A486:F486)=0,COUNTIFS('Rules'!$G$7:$G$26,"="&amp;(SUBSTITUTE(SUBSTITUTE(SUBSTITUTE(SUBSTITUTE("type:"&amp;B486,"%","%25"),"~","%7E"),"*","%2A"),"?","%3F")))&lt;&gt;1),"",IF(OR(INDEX('Rules'!$B$7:$B$26,MATCH(SUBSTITUTE(SUBSTITUTE(SUBSTITUTE(SUBSTITUTE("type:"&amp;B486,"%","%25"),"~","%7E"),"*","%2A"),"?","%3F"),'Rules'!$G$7:$G$26,0))="hours",INDEX('Rules'!$B$7:$B$26,MATCH(SUBSTITUTE(SUBSTITUTE(SUBSTITUTE(SUBSTITUTE("type:"&amp;B486,"%","%25"),"~","%7E"),"*","%2A"),"?","%3F"),'Rules'!$G$7:$G$26,0))="km"),INDEX('Rules'!$B$7:$B$26,MATCH(SUBSTITUTE(SUBSTITUTE(SUBSTITUTE(SUBSTITUTE("type:"&amp;B486,"%","%25"),"~","%7E"),"*","%2A"),"?","%3F"),'Rules'!$G$7:$G$26,0)),""))</x:f>
      </x:c>
      <x:c r="I486" s="6" t="str">
        <x:f>IF(AND(NOT(COUNTA(A486:F486)=0),K486=""),ROUND(J486-D486,3),"")</x:f>
      </x:c>
      <x:c r="J486" s="6" t="str">
        <x:f>IF(AND(NOT(COUNTA(A486:F486)=0),K486=""),ROUND(F486+L486,3),"")</x:f>
      </x:c>
      <x:c r="K486" s="5" t="str">
        <x:f>IF(COUNTA(A486:F486)=0,"",IF(A486="","Missing equipment ID",IF(COUNTIFS($N$8:$N$2007,"="&amp;N486)&gt;1,"Duplicate equipment ID",IF(B486="","Missing type",IF(COUNTIFS('Rules'!$G$7:$G$26,"="&amp;(SUBSTITUTE(SUBSTITUTE(SUBSTITUTE(SUBSTITUTE("type:"&amp;B486,"%","%25"),"~","%7E"),"*","%2A"),"?","%3F")))=0,"Unknown type",IF(COUNTIFS('Rules'!$G$7:$G$26,"="&amp;(SUBSTITUTE(SUBSTITUTE(SUBSTITUTE(SUBSTITUTE("type:"&amp;B486,"%","%25"),"~","%7E"),"*","%2A"),"?","%3F")))&gt;1,"Duplicate type",IF(INDEX('Rules'!$F$7:$F$26,MATCH(SUBSTITUTE(SUBSTITUTE(SUBSTITUTE(SUBSTITUTE("type:"&amp;B486,"%","%25"),"~","%7E"),"*","%2A"),"?","%3F"),'Rules'!$G$7:$G$26,0))&lt;&gt;"",INDEX('Rules'!$F$7:$F$26,MATCH(SUBSTITUTE(SUBSTITUTE(SUBSTITUTE(SUBSTITUTE("type:"&amp;B486,"%","%25"),"~","%7E"),"*","%2A"),"?","%3F"),'Rules'!$G$7:$G$26,0)),IF(AND(C486&lt;&gt;"",C486&lt;&gt;INDEX('Rules'!$B$7:$B$26,MATCH(SUBSTITUTE(SUBSTITUTE(SUBSTITUTE(SUBSTITUTE("type:"&amp;B486,"%","%25"),"~","%7E"),"*","%2A"),"?","%3F"),'Rules'!$G$7:$G$26,0))),"Unit mismatch",IF(IF(NOT(ISNUMBER(D486)),TRUE,OR(D486&lt;0,D486&gt;999999999,ROUND(D486,3)&lt;&gt;D486)),"Invalid current reading",IF(AND(E486&lt;&gt;"",IF(NOT(ISNUMBER(E486)),TRUE,OR(E486&lt;0,E486&gt;999999999,ROUND(E486,3)&lt;&gt;E486))),"Invalid previous reading",IF(IF(NOT(ISNUMBER(F486)),TRUE,OR(F486&lt;0,F486&gt;999999999,ROUND(F486,3)&lt;&gt;F486)),"Invalid last service",IF(AND(E486&lt;&gt;"",D486&lt;E486),"Decreased reading",IF(F486&gt;D486,"Last service above current","")))))))))))))</x:f>
      </x:c>
      <x:c r="L486" s="6" t="str">
        <x:f>IF(AND(NOT(COUNTA(A486:F486)=0),K486=""),INDEX('Rules'!$C$7:$C$26,MATCH(SUBSTITUTE(SUBSTITUTE(SUBSTITUTE(SUBSTITUTE("type:"&amp;B486,"%","%25"),"~","%7E"),"*","%2A"),"?","%3F"),'Rules'!$G$7:$G$26,0)),"")</x:f>
      </x:c>
      <x:c r="M486" s="6" t="str">
        <x:f>IF(AND(NOT(COUNTA(A486:F486)=0),K486=""),INDEX('Rules'!$D$7:$D$26,MATCH(SUBSTITUTE(SUBSTITUTE(SUBSTITUTE(SUBSTITUTE("type:"&amp;B486,"%","%25"),"~","%7E"),"*","%2A"),"?","%3F"),'Rules'!$G$7:$G$26,0)),"")</x:f>
      </x:c>
      <x:c r="N486" s="5" t="str">
        <x:f>IF(COUNTA(A486:F486)=0,"",SUBSTITUTE(SUBSTITUTE(SUBSTITUTE(SUBSTITUTE("id:"&amp;A486,"%","%25"),"~","%7E"),"*","%2A"),"?","%3F"))</x:f>
      </x:c>
    </x:row>
    <x:row r="487" ht="22" customHeight="1">
      <x:c r="A487" s="3"/>
      <x:c r="B487" s="3"/>
      <x:c r="C487" s="3"/>
      <x:c r="D487" s="4"/>
      <x:c r="E487" s="4"/>
      <x:c r="F487" s="4"/>
      <x:c r="G487" s="5" t="str">
        <x:f>IF(COUNTA(A487:F487)=0,"",IF(K487&lt;&gt;"","Review",IF(I487&lt;0,"Overdue",IF(I487=0,"Due now",IF(I487&lt;=M487,"Due soon","Not due")))))</x:f>
      </x:c>
      <x:c r="H487" s="5" t="str">
        <x:f>IF(OR(COUNTA(A487:F487)=0,COUNTIFS('Rules'!$G$7:$G$26,"="&amp;(SUBSTITUTE(SUBSTITUTE(SUBSTITUTE(SUBSTITUTE("type:"&amp;B487,"%","%25"),"~","%7E"),"*","%2A"),"?","%3F")))&lt;&gt;1),"",IF(OR(INDEX('Rules'!$B$7:$B$26,MATCH(SUBSTITUTE(SUBSTITUTE(SUBSTITUTE(SUBSTITUTE("type:"&amp;B487,"%","%25"),"~","%7E"),"*","%2A"),"?","%3F"),'Rules'!$G$7:$G$26,0))="hours",INDEX('Rules'!$B$7:$B$26,MATCH(SUBSTITUTE(SUBSTITUTE(SUBSTITUTE(SUBSTITUTE("type:"&amp;B487,"%","%25"),"~","%7E"),"*","%2A"),"?","%3F"),'Rules'!$G$7:$G$26,0))="km"),INDEX('Rules'!$B$7:$B$26,MATCH(SUBSTITUTE(SUBSTITUTE(SUBSTITUTE(SUBSTITUTE("type:"&amp;B487,"%","%25"),"~","%7E"),"*","%2A"),"?","%3F"),'Rules'!$G$7:$G$26,0)),""))</x:f>
      </x:c>
      <x:c r="I487" s="6" t="str">
        <x:f>IF(AND(NOT(COUNTA(A487:F487)=0),K487=""),ROUND(J487-D487,3),"")</x:f>
      </x:c>
      <x:c r="J487" s="6" t="str">
        <x:f>IF(AND(NOT(COUNTA(A487:F487)=0),K487=""),ROUND(F487+L487,3),"")</x:f>
      </x:c>
      <x:c r="K487" s="5" t="str">
        <x:f>IF(COUNTA(A487:F487)=0,"",IF(A487="","Missing equipment ID",IF(COUNTIFS($N$8:$N$2007,"="&amp;N487)&gt;1,"Duplicate equipment ID",IF(B487="","Missing type",IF(COUNTIFS('Rules'!$G$7:$G$26,"="&amp;(SUBSTITUTE(SUBSTITUTE(SUBSTITUTE(SUBSTITUTE("type:"&amp;B487,"%","%25"),"~","%7E"),"*","%2A"),"?","%3F")))=0,"Unknown type",IF(COUNTIFS('Rules'!$G$7:$G$26,"="&amp;(SUBSTITUTE(SUBSTITUTE(SUBSTITUTE(SUBSTITUTE("type:"&amp;B487,"%","%25"),"~","%7E"),"*","%2A"),"?","%3F")))&gt;1,"Duplicate type",IF(INDEX('Rules'!$F$7:$F$26,MATCH(SUBSTITUTE(SUBSTITUTE(SUBSTITUTE(SUBSTITUTE("type:"&amp;B487,"%","%25"),"~","%7E"),"*","%2A"),"?","%3F"),'Rules'!$G$7:$G$26,0))&lt;&gt;"",INDEX('Rules'!$F$7:$F$26,MATCH(SUBSTITUTE(SUBSTITUTE(SUBSTITUTE(SUBSTITUTE("type:"&amp;B487,"%","%25"),"~","%7E"),"*","%2A"),"?","%3F"),'Rules'!$G$7:$G$26,0)),IF(AND(C487&lt;&gt;"",C487&lt;&gt;INDEX('Rules'!$B$7:$B$26,MATCH(SUBSTITUTE(SUBSTITUTE(SUBSTITUTE(SUBSTITUTE("type:"&amp;B487,"%","%25"),"~","%7E"),"*","%2A"),"?","%3F"),'Rules'!$G$7:$G$26,0))),"Unit mismatch",IF(IF(NOT(ISNUMBER(D487)),TRUE,OR(D487&lt;0,D487&gt;999999999,ROUND(D487,3)&lt;&gt;D487)),"Invalid current reading",IF(AND(E487&lt;&gt;"",IF(NOT(ISNUMBER(E487)),TRUE,OR(E487&lt;0,E487&gt;999999999,ROUND(E487,3)&lt;&gt;E487))),"Invalid previous reading",IF(IF(NOT(ISNUMBER(F487)),TRUE,OR(F487&lt;0,F487&gt;999999999,ROUND(F487,3)&lt;&gt;F487)),"Invalid last service",IF(AND(E487&lt;&gt;"",D487&lt;E487),"Decreased reading",IF(F487&gt;D487,"Last service above current","")))))))))))))</x:f>
      </x:c>
      <x:c r="L487" s="6" t="str">
        <x:f>IF(AND(NOT(COUNTA(A487:F487)=0),K487=""),INDEX('Rules'!$C$7:$C$26,MATCH(SUBSTITUTE(SUBSTITUTE(SUBSTITUTE(SUBSTITUTE("type:"&amp;B487,"%","%25"),"~","%7E"),"*","%2A"),"?","%3F"),'Rules'!$G$7:$G$26,0)),"")</x:f>
      </x:c>
      <x:c r="M487" s="6" t="str">
        <x:f>IF(AND(NOT(COUNTA(A487:F487)=0),K487=""),INDEX('Rules'!$D$7:$D$26,MATCH(SUBSTITUTE(SUBSTITUTE(SUBSTITUTE(SUBSTITUTE("type:"&amp;B487,"%","%25"),"~","%7E"),"*","%2A"),"?","%3F"),'Rules'!$G$7:$G$26,0)),"")</x:f>
      </x:c>
      <x:c r="N487" s="5" t="str">
        <x:f>IF(COUNTA(A487:F487)=0,"",SUBSTITUTE(SUBSTITUTE(SUBSTITUTE(SUBSTITUTE("id:"&amp;A487,"%","%25"),"~","%7E"),"*","%2A"),"?","%3F"))</x:f>
      </x:c>
    </x:row>
    <x:row r="488" ht="22" customHeight="1">
      <x:c r="A488" s="3"/>
      <x:c r="B488" s="3"/>
      <x:c r="C488" s="3"/>
      <x:c r="D488" s="4"/>
      <x:c r="E488" s="4"/>
      <x:c r="F488" s="4"/>
      <x:c r="G488" s="5" t="str">
        <x:f>IF(COUNTA(A488:F488)=0,"",IF(K488&lt;&gt;"","Review",IF(I488&lt;0,"Overdue",IF(I488=0,"Due now",IF(I488&lt;=M488,"Due soon","Not due")))))</x:f>
      </x:c>
      <x:c r="H488" s="5" t="str">
        <x:f>IF(OR(COUNTA(A488:F488)=0,COUNTIFS('Rules'!$G$7:$G$26,"="&amp;(SUBSTITUTE(SUBSTITUTE(SUBSTITUTE(SUBSTITUTE("type:"&amp;B488,"%","%25"),"~","%7E"),"*","%2A"),"?","%3F")))&lt;&gt;1),"",IF(OR(INDEX('Rules'!$B$7:$B$26,MATCH(SUBSTITUTE(SUBSTITUTE(SUBSTITUTE(SUBSTITUTE("type:"&amp;B488,"%","%25"),"~","%7E"),"*","%2A"),"?","%3F"),'Rules'!$G$7:$G$26,0))="hours",INDEX('Rules'!$B$7:$B$26,MATCH(SUBSTITUTE(SUBSTITUTE(SUBSTITUTE(SUBSTITUTE("type:"&amp;B488,"%","%25"),"~","%7E"),"*","%2A"),"?","%3F"),'Rules'!$G$7:$G$26,0))="km"),INDEX('Rules'!$B$7:$B$26,MATCH(SUBSTITUTE(SUBSTITUTE(SUBSTITUTE(SUBSTITUTE("type:"&amp;B488,"%","%25"),"~","%7E"),"*","%2A"),"?","%3F"),'Rules'!$G$7:$G$26,0)),""))</x:f>
      </x:c>
      <x:c r="I488" s="6" t="str">
        <x:f>IF(AND(NOT(COUNTA(A488:F488)=0),K488=""),ROUND(J488-D488,3),"")</x:f>
      </x:c>
      <x:c r="J488" s="6" t="str">
        <x:f>IF(AND(NOT(COUNTA(A488:F488)=0),K488=""),ROUND(F488+L488,3),"")</x:f>
      </x:c>
      <x:c r="K488" s="5" t="str">
        <x:f>IF(COUNTA(A488:F488)=0,"",IF(A488="","Missing equipment ID",IF(COUNTIFS($N$8:$N$2007,"="&amp;N488)&gt;1,"Duplicate equipment ID",IF(B488="","Missing type",IF(COUNTIFS('Rules'!$G$7:$G$26,"="&amp;(SUBSTITUTE(SUBSTITUTE(SUBSTITUTE(SUBSTITUTE("type:"&amp;B488,"%","%25"),"~","%7E"),"*","%2A"),"?","%3F")))=0,"Unknown type",IF(COUNTIFS('Rules'!$G$7:$G$26,"="&amp;(SUBSTITUTE(SUBSTITUTE(SUBSTITUTE(SUBSTITUTE("type:"&amp;B488,"%","%25"),"~","%7E"),"*","%2A"),"?","%3F")))&gt;1,"Duplicate type",IF(INDEX('Rules'!$F$7:$F$26,MATCH(SUBSTITUTE(SUBSTITUTE(SUBSTITUTE(SUBSTITUTE("type:"&amp;B488,"%","%25"),"~","%7E"),"*","%2A"),"?","%3F"),'Rules'!$G$7:$G$26,0))&lt;&gt;"",INDEX('Rules'!$F$7:$F$26,MATCH(SUBSTITUTE(SUBSTITUTE(SUBSTITUTE(SUBSTITUTE("type:"&amp;B488,"%","%25"),"~","%7E"),"*","%2A"),"?","%3F"),'Rules'!$G$7:$G$26,0)),IF(AND(C488&lt;&gt;"",C488&lt;&gt;INDEX('Rules'!$B$7:$B$26,MATCH(SUBSTITUTE(SUBSTITUTE(SUBSTITUTE(SUBSTITUTE("type:"&amp;B488,"%","%25"),"~","%7E"),"*","%2A"),"?","%3F"),'Rules'!$G$7:$G$26,0))),"Unit mismatch",IF(IF(NOT(ISNUMBER(D488)),TRUE,OR(D488&lt;0,D488&gt;999999999,ROUND(D488,3)&lt;&gt;D488)),"Invalid current reading",IF(AND(E488&lt;&gt;"",IF(NOT(ISNUMBER(E488)),TRUE,OR(E488&lt;0,E488&gt;999999999,ROUND(E488,3)&lt;&gt;E488))),"Invalid previous reading",IF(IF(NOT(ISNUMBER(F488)),TRUE,OR(F488&lt;0,F488&gt;999999999,ROUND(F488,3)&lt;&gt;F488)),"Invalid last service",IF(AND(E488&lt;&gt;"",D488&lt;E488),"Decreased reading",IF(F488&gt;D488,"Last service above current","")))))))))))))</x:f>
      </x:c>
      <x:c r="L488" s="6" t="str">
        <x:f>IF(AND(NOT(COUNTA(A488:F488)=0),K488=""),INDEX('Rules'!$C$7:$C$26,MATCH(SUBSTITUTE(SUBSTITUTE(SUBSTITUTE(SUBSTITUTE("type:"&amp;B488,"%","%25"),"~","%7E"),"*","%2A"),"?","%3F"),'Rules'!$G$7:$G$26,0)),"")</x:f>
      </x:c>
      <x:c r="M488" s="6" t="str">
        <x:f>IF(AND(NOT(COUNTA(A488:F488)=0),K488=""),INDEX('Rules'!$D$7:$D$26,MATCH(SUBSTITUTE(SUBSTITUTE(SUBSTITUTE(SUBSTITUTE("type:"&amp;B488,"%","%25"),"~","%7E"),"*","%2A"),"?","%3F"),'Rules'!$G$7:$G$26,0)),"")</x:f>
      </x:c>
      <x:c r="N488" s="5" t="str">
        <x:f>IF(COUNTA(A488:F488)=0,"",SUBSTITUTE(SUBSTITUTE(SUBSTITUTE(SUBSTITUTE("id:"&amp;A488,"%","%25"),"~","%7E"),"*","%2A"),"?","%3F"))</x:f>
      </x:c>
    </x:row>
    <x:row r="489" ht="22" customHeight="1">
      <x:c r="A489" s="3"/>
      <x:c r="B489" s="3"/>
      <x:c r="C489" s="3"/>
      <x:c r="D489" s="4"/>
      <x:c r="E489" s="4"/>
      <x:c r="F489" s="4"/>
      <x:c r="G489" s="5" t="str">
        <x:f>IF(COUNTA(A489:F489)=0,"",IF(K489&lt;&gt;"","Review",IF(I489&lt;0,"Overdue",IF(I489=0,"Due now",IF(I489&lt;=M489,"Due soon","Not due")))))</x:f>
      </x:c>
      <x:c r="H489" s="5" t="str">
        <x:f>IF(OR(COUNTA(A489:F489)=0,COUNTIFS('Rules'!$G$7:$G$26,"="&amp;(SUBSTITUTE(SUBSTITUTE(SUBSTITUTE(SUBSTITUTE("type:"&amp;B489,"%","%25"),"~","%7E"),"*","%2A"),"?","%3F")))&lt;&gt;1),"",IF(OR(INDEX('Rules'!$B$7:$B$26,MATCH(SUBSTITUTE(SUBSTITUTE(SUBSTITUTE(SUBSTITUTE("type:"&amp;B489,"%","%25"),"~","%7E"),"*","%2A"),"?","%3F"),'Rules'!$G$7:$G$26,0))="hours",INDEX('Rules'!$B$7:$B$26,MATCH(SUBSTITUTE(SUBSTITUTE(SUBSTITUTE(SUBSTITUTE("type:"&amp;B489,"%","%25"),"~","%7E"),"*","%2A"),"?","%3F"),'Rules'!$G$7:$G$26,0))="km"),INDEX('Rules'!$B$7:$B$26,MATCH(SUBSTITUTE(SUBSTITUTE(SUBSTITUTE(SUBSTITUTE("type:"&amp;B489,"%","%25"),"~","%7E"),"*","%2A"),"?","%3F"),'Rules'!$G$7:$G$26,0)),""))</x:f>
      </x:c>
      <x:c r="I489" s="6" t="str">
        <x:f>IF(AND(NOT(COUNTA(A489:F489)=0),K489=""),ROUND(J489-D489,3),"")</x:f>
      </x:c>
      <x:c r="J489" s="6" t="str">
        <x:f>IF(AND(NOT(COUNTA(A489:F489)=0),K489=""),ROUND(F489+L489,3),"")</x:f>
      </x:c>
      <x:c r="K489" s="5" t="str">
        <x:f>IF(COUNTA(A489:F489)=0,"",IF(A489="","Missing equipment ID",IF(COUNTIFS($N$8:$N$2007,"="&amp;N489)&gt;1,"Duplicate equipment ID",IF(B489="","Missing type",IF(COUNTIFS('Rules'!$G$7:$G$26,"="&amp;(SUBSTITUTE(SUBSTITUTE(SUBSTITUTE(SUBSTITUTE("type:"&amp;B489,"%","%25"),"~","%7E"),"*","%2A"),"?","%3F")))=0,"Unknown type",IF(COUNTIFS('Rules'!$G$7:$G$26,"="&amp;(SUBSTITUTE(SUBSTITUTE(SUBSTITUTE(SUBSTITUTE("type:"&amp;B489,"%","%25"),"~","%7E"),"*","%2A"),"?","%3F")))&gt;1,"Duplicate type",IF(INDEX('Rules'!$F$7:$F$26,MATCH(SUBSTITUTE(SUBSTITUTE(SUBSTITUTE(SUBSTITUTE("type:"&amp;B489,"%","%25"),"~","%7E"),"*","%2A"),"?","%3F"),'Rules'!$G$7:$G$26,0))&lt;&gt;"",INDEX('Rules'!$F$7:$F$26,MATCH(SUBSTITUTE(SUBSTITUTE(SUBSTITUTE(SUBSTITUTE("type:"&amp;B489,"%","%25"),"~","%7E"),"*","%2A"),"?","%3F"),'Rules'!$G$7:$G$26,0)),IF(AND(C489&lt;&gt;"",C489&lt;&gt;INDEX('Rules'!$B$7:$B$26,MATCH(SUBSTITUTE(SUBSTITUTE(SUBSTITUTE(SUBSTITUTE("type:"&amp;B489,"%","%25"),"~","%7E"),"*","%2A"),"?","%3F"),'Rules'!$G$7:$G$26,0))),"Unit mismatch",IF(IF(NOT(ISNUMBER(D489)),TRUE,OR(D489&lt;0,D489&gt;999999999,ROUND(D489,3)&lt;&gt;D489)),"Invalid current reading",IF(AND(E489&lt;&gt;"",IF(NOT(ISNUMBER(E489)),TRUE,OR(E489&lt;0,E489&gt;999999999,ROUND(E489,3)&lt;&gt;E489))),"Invalid previous reading",IF(IF(NOT(ISNUMBER(F489)),TRUE,OR(F489&lt;0,F489&gt;999999999,ROUND(F489,3)&lt;&gt;F489)),"Invalid last service",IF(AND(E489&lt;&gt;"",D489&lt;E489),"Decreased reading",IF(F489&gt;D489,"Last service above current","")))))))))))))</x:f>
      </x:c>
      <x:c r="L489" s="6" t="str">
        <x:f>IF(AND(NOT(COUNTA(A489:F489)=0),K489=""),INDEX('Rules'!$C$7:$C$26,MATCH(SUBSTITUTE(SUBSTITUTE(SUBSTITUTE(SUBSTITUTE("type:"&amp;B489,"%","%25"),"~","%7E"),"*","%2A"),"?","%3F"),'Rules'!$G$7:$G$26,0)),"")</x:f>
      </x:c>
      <x:c r="M489" s="6" t="str">
        <x:f>IF(AND(NOT(COUNTA(A489:F489)=0),K489=""),INDEX('Rules'!$D$7:$D$26,MATCH(SUBSTITUTE(SUBSTITUTE(SUBSTITUTE(SUBSTITUTE("type:"&amp;B489,"%","%25"),"~","%7E"),"*","%2A"),"?","%3F"),'Rules'!$G$7:$G$26,0)),"")</x:f>
      </x:c>
      <x:c r="N489" s="5" t="str">
        <x:f>IF(COUNTA(A489:F489)=0,"",SUBSTITUTE(SUBSTITUTE(SUBSTITUTE(SUBSTITUTE("id:"&amp;A489,"%","%25"),"~","%7E"),"*","%2A"),"?","%3F"))</x:f>
      </x:c>
    </x:row>
    <x:row r="490" ht="22" customHeight="1">
      <x:c r="A490" s="3"/>
      <x:c r="B490" s="3"/>
      <x:c r="C490" s="3"/>
      <x:c r="D490" s="4"/>
      <x:c r="E490" s="4"/>
      <x:c r="F490" s="4"/>
      <x:c r="G490" s="5" t="str">
        <x:f>IF(COUNTA(A490:F490)=0,"",IF(K490&lt;&gt;"","Review",IF(I490&lt;0,"Overdue",IF(I490=0,"Due now",IF(I490&lt;=M490,"Due soon","Not due")))))</x:f>
      </x:c>
      <x:c r="H490" s="5" t="str">
        <x:f>IF(OR(COUNTA(A490:F490)=0,COUNTIFS('Rules'!$G$7:$G$26,"="&amp;(SUBSTITUTE(SUBSTITUTE(SUBSTITUTE(SUBSTITUTE("type:"&amp;B490,"%","%25"),"~","%7E"),"*","%2A"),"?","%3F")))&lt;&gt;1),"",IF(OR(INDEX('Rules'!$B$7:$B$26,MATCH(SUBSTITUTE(SUBSTITUTE(SUBSTITUTE(SUBSTITUTE("type:"&amp;B490,"%","%25"),"~","%7E"),"*","%2A"),"?","%3F"),'Rules'!$G$7:$G$26,0))="hours",INDEX('Rules'!$B$7:$B$26,MATCH(SUBSTITUTE(SUBSTITUTE(SUBSTITUTE(SUBSTITUTE("type:"&amp;B490,"%","%25"),"~","%7E"),"*","%2A"),"?","%3F"),'Rules'!$G$7:$G$26,0))="km"),INDEX('Rules'!$B$7:$B$26,MATCH(SUBSTITUTE(SUBSTITUTE(SUBSTITUTE(SUBSTITUTE("type:"&amp;B490,"%","%25"),"~","%7E"),"*","%2A"),"?","%3F"),'Rules'!$G$7:$G$26,0)),""))</x:f>
      </x:c>
      <x:c r="I490" s="6" t="str">
        <x:f>IF(AND(NOT(COUNTA(A490:F490)=0),K490=""),ROUND(J490-D490,3),"")</x:f>
      </x:c>
      <x:c r="J490" s="6" t="str">
        <x:f>IF(AND(NOT(COUNTA(A490:F490)=0),K490=""),ROUND(F490+L490,3),"")</x:f>
      </x:c>
      <x:c r="K490" s="5" t="str">
        <x:f>IF(COUNTA(A490:F490)=0,"",IF(A490="","Missing equipment ID",IF(COUNTIFS($N$8:$N$2007,"="&amp;N490)&gt;1,"Duplicate equipment ID",IF(B490="","Missing type",IF(COUNTIFS('Rules'!$G$7:$G$26,"="&amp;(SUBSTITUTE(SUBSTITUTE(SUBSTITUTE(SUBSTITUTE("type:"&amp;B490,"%","%25"),"~","%7E"),"*","%2A"),"?","%3F")))=0,"Unknown type",IF(COUNTIFS('Rules'!$G$7:$G$26,"="&amp;(SUBSTITUTE(SUBSTITUTE(SUBSTITUTE(SUBSTITUTE("type:"&amp;B490,"%","%25"),"~","%7E"),"*","%2A"),"?","%3F")))&gt;1,"Duplicate type",IF(INDEX('Rules'!$F$7:$F$26,MATCH(SUBSTITUTE(SUBSTITUTE(SUBSTITUTE(SUBSTITUTE("type:"&amp;B490,"%","%25"),"~","%7E"),"*","%2A"),"?","%3F"),'Rules'!$G$7:$G$26,0))&lt;&gt;"",INDEX('Rules'!$F$7:$F$26,MATCH(SUBSTITUTE(SUBSTITUTE(SUBSTITUTE(SUBSTITUTE("type:"&amp;B490,"%","%25"),"~","%7E"),"*","%2A"),"?","%3F"),'Rules'!$G$7:$G$26,0)),IF(AND(C490&lt;&gt;"",C490&lt;&gt;INDEX('Rules'!$B$7:$B$26,MATCH(SUBSTITUTE(SUBSTITUTE(SUBSTITUTE(SUBSTITUTE("type:"&amp;B490,"%","%25"),"~","%7E"),"*","%2A"),"?","%3F"),'Rules'!$G$7:$G$26,0))),"Unit mismatch",IF(IF(NOT(ISNUMBER(D490)),TRUE,OR(D490&lt;0,D490&gt;999999999,ROUND(D490,3)&lt;&gt;D490)),"Invalid current reading",IF(AND(E490&lt;&gt;"",IF(NOT(ISNUMBER(E490)),TRUE,OR(E490&lt;0,E490&gt;999999999,ROUND(E490,3)&lt;&gt;E490))),"Invalid previous reading",IF(IF(NOT(ISNUMBER(F490)),TRUE,OR(F490&lt;0,F490&gt;999999999,ROUND(F490,3)&lt;&gt;F490)),"Invalid last service",IF(AND(E490&lt;&gt;"",D490&lt;E490),"Decreased reading",IF(F490&gt;D490,"Last service above current","")))))))))))))</x:f>
      </x:c>
      <x:c r="L490" s="6" t="str">
        <x:f>IF(AND(NOT(COUNTA(A490:F490)=0),K490=""),INDEX('Rules'!$C$7:$C$26,MATCH(SUBSTITUTE(SUBSTITUTE(SUBSTITUTE(SUBSTITUTE("type:"&amp;B490,"%","%25"),"~","%7E"),"*","%2A"),"?","%3F"),'Rules'!$G$7:$G$26,0)),"")</x:f>
      </x:c>
      <x:c r="M490" s="6" t="str">
        <x:f>IF(AND(NOT(COUNTA(A490:F490)=0),K490=""),INDEX('Rules'!$D$7:$D$26,MATCH(SUBSTITUTE(SUBSTITUTE(SUBSTITUTE(SUBSTITUTE("type:"&amp;B490,"%","%25"),"~","%7E"),"*","%2A"),"?","%3F"),'Rules'!$G$7:$G$26,0)),"")</x:f>
      </x:c>
      <x:c r="N490" s="5" t="str">
        <x:f>IF(COUNTA(A490:F490)=0,"",SUBSTITUTE(SUBSTITUTE(SUBSTITUTE(SUBSTITUTE("id:"&amp;A490,"%","%25"),"~","%7E"),"*","%2A"),"?","%3F"))</x:f>
      </x:c>
    </x:row>
    <x:row r="491" ht="22" customHeight="1">
      <x:c r="A491" s="3"/>
      <x:c r="B491" s="3"/>
      <x:c r="C491" s="3"/>
      <x:c r="D491" s="4"/>
      <x:c r="E491" s="4"/>
      <x:c r="F491" s="4"/>
      <x:c r="G491" s="5" t="str">
        <x:f>IF(COUNTA(A491:F491)=0,"",IF(K491&lt;&gt;"","Review",IF(I491&lt;0,"Overdue",IF(I491=0,"Due now",IF(I491&lt;=M491,"Due soon","Not due")))))</x:f>
      </x:c>
      <x:c r="H491" s="5" t="str">
        <x:f>IF(OR(COUNTA(A491:F491)=0,COUNTIFS('Rules'!$G$7:$G$26,"="&amp;(SUBSTITUTE(SUBSTITUTE(SUBSTITUTE(SUBSTITUTE("type:"&amp;B491,"%","%25"),"~","%7E"),"*","%2A"),"?","%3F")))&lt;&gt;1),"",IF(OR(INDEX('Rules'!$B$7:$B$26,MATCH(SUBSTITUTE(SUBSTITUTE(SUBSTITUTE(SUBSTITUTE("type:"&amp;B491,"%","%25"),"~","%7E"),"*","%2A"),"?","%3F"),'Rules'!$G$7:$G$26,0))="hours",INDEX('Rules'!$B$7:$B$26,MATCH(SUBSTITUTE(SUBSTITUTE(SUBSTITUTE(SUBSTITUTE("type:"&amp;B491,"%","%25"),"~","%7E"),"*","%2A"),"?","%3F"),'Rules'!$G$7:$G$26,0))="km"),INDEX('Rules'!$B$7:$B$26,MATCH(SUBSTITUTE(SUBSTITUTE(SUBSTITUTE(SUBSTITUTE("type:"&amp;B491,"%","%25"),"~","%7E"),"*","%2A"),"?","%3F"),'Rules'!$G$7:$G$26,0)),""))</x:f>
      </x:c>
      <x:c r="I491" s="6" t="str">
        <x:f>IF(AND(NOT(COUNTA(A491:F491)=0),K491=""),ROUND(J491-D491,3),"")</x:f>
      </x:c>
      <x:c r="J491" s="6" t="str">
        <x:f>IF(AND(NOT(COUNTA(A491:F491)=0),K491=""),ROUND(F491+L491,3),"")</x:f>
      </x:c>
      <x:c r="K491" s="5" t="str">
        <x:f>IF(COUNTA(A491:F491)=0,"",IF(A491="","Missing equipment ID",IF(COUNTIFS($N$8:$N$2007,"="&amp;N491)&gt;1,"Duplicate equipment ID",IF(B491="","Missing type",IF(COUNTIFS('Rules'!$G$7:$G$26,"="&amp;(SUBSTITUTE(SUBSTITUTE(SUBSTITUTE(SUBSTITUTE("type:"&amp;B491,"%","%25"),"~","%7E"),"*","%2A"),"?","%3F")))=0,"Unknown type",IF(COUNTIFS('Rules'!$G$7:$G$26,"="&amp;(SUBSTITUTE(SUBSTITUTE(SUBSTITUTE(SUBSTITUTE("type:"&amp;B491,"%","%25"),"~","%7E"),"*","%2A"),"?","%3F")))&gt;1,"Duplicate type",IF(INDEX('Rules'!$F$7:$F$26,MATCH(SUBSTITUTE(SUBSTITUTE(SUBSTITUTE(SUBSTITUTE("type:"&amp;B491,"%","%25"),"~","%7E"),"*","%2A"),"?","%3F"),'Rules'!$G$7:$G$26,0))&lt;&gt;"",INDEX('Rules'!$F$7:$F$26,MATCH(SUBSTITUTE(SUBSTITUTE(SUBSTITUTE(SUBSTITUTE("type:"&amp;B491,"%","%25"),"~","%7E"),"*","%2A"),"?","%3F"),'Rules'!$G$7:$G$26,0)),IF(AND(C491&lt;&gt;"",C491&lt;&gt;INDEX('Rules'!$B$7:$B$26,MATCH(SUBSTITUTE(SUBSTITUTE(SUBSTITUTE(SUBSTITUTE("type:"&amp;B491,"%","%25"),"~","%7E"),"*","%2A"),"?","%3F"),'Rules'!$G$7:$G$26,0))),"Unit mismatch",IF(IF(NOT(ISNUMBER(D491)),TRUE,OR(D491&lt;0,D491&gt;999999999,ROUND(D491,3)&lt;&gt;D491)),"Invalid current reading",IF(AND(E491&lt;&gt;"",IF(NOT(ISNUMBER(E491)),TRUE,OR(E491&lt;0,E491&gt;999999999,ROUND(E491,3)&lt;&gt;E491))),"Invalid previous reading",IF(IF(NOT(ISNUMBER(F491)),TRUE,OR(F491&lt;0,F491&gt;999999999,ROUND(F491,3)&lt;&gt;F491)),"Invalid last service",IF(AND(E491&lt;&gt;"",D491&lt;E491),"Decreased reading",IF(F491&gt;D491,"Last service above current","")))))))))))))</x:f>
      </x:c>
      <x:c r="L491" s="6" t="str">
        <x:f>IF(AND(NOT(COUNTA(A491:F491)=0),K491=""),INDEX('Rules'!$C$7:$C$26,MATCH(SUBSTITUTE(SUBSTITUTE(SUBSTITUTE(SUBSTITUTE("type:"&amp;B491,"%","%25"),"~","%7E"),"*","%2A"),"?","%3F"),'Rules'!$G$7:$G$26,0)),"")</x:f>
      </x:c>
      <x:c r="M491" s="6" t="str">
        <x:f>IF(AND(NOT(COUNTA(A491:F491)=0),K491=""),INDEX('Rules'!$D$7:$D$26,MATCH(SUBSTITUTE(SUBSTITUTE(SUBSTITUTE(SUBSTITUTE("type:"&amp;B491,"%","%25"),"~","%7E"),"*","%2A"),"?","%3F"),'Rules'!$G$7:$G$26,0)),"")</x:f>
      </x:c>
      <x:c r="N491" s="5" t="str">
        <x:f>IF(COUNTA(A491:F491)=0,"",SUBSTITUTE(SUBSTITUTE(SUBSTITUTE(SUBSTITUTE("id:"&amp;A491,"%","%25"),"~","%7E"),"*","%2A"),"?","%3F"))</x:f>
      </x:c>
    </x:row>
    <x:row r="492" ht="22" customHeight="1">
      <x:c r="A492" s="3"/>
      <x:c r="B492" s="3"/>
      <x:c r="C492" s="3"/>
      <x:c r="D492" s="4"/>
      <x:c r="E492" s="4"/>
      <x:c r="F492" s="4"/>
      <x:c r="G492" s="5" t="str">
        <x:f>IF(COUNTA(A492:F492)=0,"",IF(K492&lt;&gt;"","Review",IF(I492&lt;0,"Overdue",IF(I492=0,"Due now",IF(I492&lt;=M492,"Due soon","Not due")))))</x:f>
      </x:c>
      <x:c r="H492" s="5" t="str">
        <x:f>IF(OR(COUNTA(A492:F492)=0,COUNTIFS('Rules'!$G$7:$G$26,"="&amp;(SUBSTITUTE(SUBSTITUTE(SUBSTITUTE(SUBSTITUTE("type:"&amp;B492,"%","%25"),"~","%7E"),"*","%2A"),"?","%3F")))&lt;&gt;1),"",IF(OR(INDEX('Rules'!$B$7:$B$26,MATCH(SUBSTITUTE(SUBSTITUTE(SUBSTITUTE(SUBSTITUTE("type:"&amp;B492,"%","%25"),"~","%7E"),"*","%2A"),"?","%3F"),'Rules'!$G$7:$G$26,0))="hours",INDEX('Rules'!$B$7:$B$26,MATCH(SUBSTITUTE(SUBSTITUTE(SUBSTITUTE(SUBSTITUTE("type:"&amp;B492,"%","%25"),"~","%7E"),"*","%2A"),"?","%3F"),'Rules'!$G$7:$G$26,0))="km"),INDEX('Rules'!$B$7:$B$26,MATCH(SUBSTITUTE(SUBSTITUTE(SUBSTITUTE(SUBSTITUTE("type:"&amp;B492,"%","%25"),"~","%7E"),"*","%2A"),"?","%3F"),'Rules'!$G$7:$G$26,0)),""))</x:f>
      </x:c>
      <x:c r="I492" s="6" t="str">
        <x:f>IF(AND(NOT(COUNTA(A492:F492)=0),K492=""),ROUND(J492-D492,3),"")</x:f>
      </x:c>
      <x:c r="J492" s="6" t="str">
        <x:f>IF(AND(NOT(COUNTA(A492:F492)=0),K492=""),ROUND(F492+L492,3),"")</x:f>
      </x:c>
      <x:c r="K492" s="5" t="str">
        <x:f>IF(COUNTA(A492:F492)=0,"",IF(A492="","Missing equipment ID",IF(COUNTIFS($N$8:$N$2007,"="&amp;N492)&gt;1,"Duplicate equipment ID",IF(B492="","Missing type",IF(COUNTIFS('Rules'!$G$7:$G$26,"="&amp;(SUBSTITUTE(SUBSTITUTE(SUBSTITUTE(SUBSTITUTE("type:"&amp;B492,"%","%25"),"~","%7E"),"*","%2A"),"?","%3F")))=0,"Unknown type",IF(COUNTIFS('Rules'!$G$7:$G$26,"="&amp;(SUBSTITUTE(SUBSTITUTE(SUBSTITUTE(SUBSTITUTE("type:"&amp;B492,"%","%25"),"~","%7E"),"*","%2A"),"?","%3F")))&gt;1,"Duplicate type",IF(INDEX('Rules'!$F$7:$F$26,MATCH(SUBSTITUTE(SUBSTITUTE(SUBSTITUTE(SUBSTITUTE("type:"&amp;B492,"%","%25"),"~","%7E"),"*","%2A"),"?","%3F"),'Rules'!$G$7:$G$26,0))&lt;&gt;"",INDEX('Rules'!$F$7:$F$26,MATCH(SUBSTITUTE(SUBSTITUTE(SUBSTITUTE(SUBSTITUTE("type:"&amp;B492,"%","%25"),"~","%7E"),"*","%2A"),"?","%3F"),'Rules'!$G$7:$G$26,0)),IF(AND(C492&lt;&gt;"",C492&lt;&gt;INDEX('Rules'!$B$7:$B$26,MATCH(SUBSTITUTE(SUBSTITUTE(SUBSTITUTE(SUBSTITUTE("type:"&amp;B492,"%","%25"),"~","%7E"),"*","%2A"),"?","%3F"),'Rules'!$G$7:$G$26,0))),"Unit mismatch",IF(IF(NOT(ISNUMBER(D492)),TRUE,OR(D492&lt;0,D492&gt;999999999,ROUND(D492,3)&lt;&gt;D492)),"Invalid current reading",IF(AND(E492&lt;&gt;"",IF(NOT(ISNUMBER(E492)),TRUE,OR(E492&lt;0,E492&gt;999999999,ROUND(E492,3)&lt;&gt;E492))),"Invalid previous reading",IF(IF(NOT(ISNUMBER(F492)),TRUE,OR(F492&lt;0,F492&gt;999999999,ROUND(F492,3)&lt;&gt;F492)),"Invalid last service",IF(AND(E492&lt;&gt;"",D492&lt;E492),"Decreased reading",IF(F492&gt;D492,"Last service above current","")))))))))))))</x:f>
      </x:c>
      <x:c r="L492" s="6" t="str">
        <x:f>IF(AND(NOT(COUNTA(A492:F492)=0),K492=""),INDEX('Rules'!$C$7:$C$26,MATCH(SUBSTITUTE(SUBSTITUTE(SUBSTITUTE(SUBSTITUTE("type:"&amp;B492,"%","%25"),"~","%7E"),"*","%2A"),"?","%3F"),'Rules'!$G$7:$G$26,0)),"")</x:f>
      </x:c>
      <x:c r="M492" s="6" t="str">
        <x:f>IF(AND(NOT(COUNTA(A492:F492)=0),K492=""),INDEX('Rules'!$D$7:$D$26,MATCH(SUBSTITUTE(SUBSTITUTE(SUBSTITUTE(SUBSTITUTE("type:"&amp;B492,"%","%25"),"~","%7E"),"*","%2A"),"?","%3F"),'Rules'!$G$7:$G$26,0)),"")</x:f>
      </x:c>
      <x:c r="N492" s="5" t="str">
        <x:f>IF(COUNTA(A492:F492)=0,"",SUBSTITUTE(SUBSTITUTE(SUBSTITUTE(SUBSTITUTE("id:"&amp;A492,"%","%25"),"~","%7E"),"*","%2A"),"?","%3F"))</x:f>
      </x:c>
    </x:row>
    <x:row r="493" ht="22" customHeight="1">
      <x:c r="A493" s="3"/>
      <x:c r="B493" s="3"/>
      <x:c r="C493" s="3"/>
      <x:c r="D493" s="4"/>
      <x:c r="E493" s="4"/>
      <x:c r="F493" s="4"/>
      <x:c r="G493" s="5" t="str">
        <x:f>IF(COUNTA(A493:F493)=0,"",IF(K493&lt;&gt;"","Review",IF(I493&lt;0,"Overdue",IF(I493=0,"Due now",IF(I493&lt;=M493,"Due soon","Not due")))))</x:f>
      </x:c>
      <x:c r="H493" s="5" t="str">
        <x:f>IF(OR(COUNTA(A493:F493)=0,COUNTIFS('Rules'!$G$7:$G$26,"="&amp;(SUBSTITUTE(SUBSTITUTE(SUBSTITUTE(SUBSTITUTE("type:"&amp;B493,"%","%25"),"~","%7E"),"*","%2A"),"?","%3F")))&lt;&gt;1),"",IF(OR(INDEX('Rules'!$B$7:$B$26,MATCH(SUBSTITUTE(SUBSTITUTE(SUBSTITUTE(SUBSTITUTE("type:"&amp;B493,"%","%25"),"~","%7E"),"*","%2A"),"?","%3F"),'Rules'!$G$7:$G$26,0))="hours",INDEX('Rules'!$B$7:$B$26,MATCH(SUBSTITUTE(SUBSTITUTE(SUBSTITUTE(SUBSTITUTE("type:"&amp;B493,"%","%25"),"~","%7E"),"*","%2A"),"?","%3F"),'Rules'!$G$7:$G$26,0))="km"),INDEX('Rules'!$B$7:$B$26,MATCH(SUBSTITUTE(SUBSTITUTE(SUBSTITUTE(SUBSTITUTE("type:"&amp;B493,"%","%25"),"~","%7E"),"*","%2A"),"?","%3F"),'Rules'!$G$7:$G$26,0)),""))</x:f>
      </x:c>
      <x:c r="I493" s="6" t="str">
        <x:f>IF(AND(NOT(COUNTA(A493:F493)=0),K493=""),ROUND(J493-D493,3),"")</x:f>
      </x:c>
      <x:c r="J493" s="6" t="str">
        <x:f>IF(AND(NOT(COUNTA(A493:F493)=0),K493=""),ROUND(F493+L493,3),"")</x:f>
      </x:c>
      <x:c r="K493" s="5" t="str">
        <x:f>IF(COUNTA(A493:F493)=0,"",IF(A493="","Missing equipment ID",IF(COUNTIFS($N$8:$N$2007,"="&amp;N493)&gt;1,"Duplicate equipment ID",IF(B493="","Missing type",IF(COUNTIFS('Rules'!$G$7:$G$26,"="&amp;(SUBSTITUTE(SUBSTITUTE(SUBSTITUTE(SUBSTITUTE("type:"&amp;B493,"%","%25"),"~","%7E"),"*","%2A"),"?","%3F")))=0,"Unknown type",IF(COUNTIFS('Rules'!$G$7:$G$26,"="&amp;(SUBSTITUTE(SUBSTITUTE(SUBSTITUTE(SUBSTITUTE("type:"&amp;B493,"%","%25"),"~","%7E"),"*","%2A"),"?","%3F")))&gt;1,"Duplicate type",IF(INDEX('Rules'!$F$7:$F$26,MATCH(SUBSTITUTE(SUBSTITUTE(SUBSTITUTE(SUBSTITUTE("type:"&amp;B493,"%","%25"),"~","%7E"),"*","%2A"),"?","%3F"),'Rules'!$G$7:$G$26,0))&lt;&gt;"",INDEX('Rules'!$F$7:$F$26,MATCH(SUBSTITUTE(SUBSTITUTE(SUBSTITUTE(SUBSTITUTE("type:"&amp;B493,"%","%25"),"~","%7E"),"*","%2A"),"?","%3F"),'Rules'!$G$7:$G$26,0)),IF(AND(C493&lt;&gt;"",C493&lt;&gt;INDEX('Rules'!$B$7:$B$26,MATCH(SUBSTITUTE(SUBSTITUTE(SUBSTITUTE(SUBSTITUTE("type:"&amp;B493,"%","%25"),"~","%7E"),"*","%2A"),"?","%3F"),'Rules'!$G$7:$G$26,0))),"Unit mismatch",IF(IF(NOT(ISNUMBER(D493)),TRUE,OR(D493&lt;0,D493&gt;999999999,ROUND(D493,3)&lt;&gt;D493)),"Invalid current reading",IF(AND(E493&lt;&gt;"",IF(NOT(ISNUMBER(E493)),TRUE,OR(E493&lt;0,E493&gt;999999999,ROUND(E493,3)&lt;&gt;E493))),"Invalid previous reading",IF(IF(NOT(ISNUMBER(F493)),TRUE,OR(F493&lt;0,F493&gt;999999999,ROUND(F493,3)&lt;&gt;F493)),"Invalid last service",IF(AND(E493&lt;&gt;"",D493&lt;E493),"Decreased reading",IF(F493&gt;D493,"Last service above current","")))))))))))))</x:f>
      </x:c>
      <x:c r="L493" s="6" t="str">
        <x:f>IF(AND(NOT(COUNTA(A493:F493)=0),K493=""),INDEX('Rules'!$C$7:$C$26,MATCH(SUBSTITUTE(SUBSTITUTE(SUBSTITUTE(SUBSTITUTE("type:"&amp;B493,"%","%25"),"~","%7E"),"*","%2A"),"?","%3F"),'Rules'!$G$7:$G$26,0)),"")</x:f>
      </x:c>
      <x:c r="M493" s="6" t="str">
        <x:f>IF(AND(NOT(COUNTA(A493:F493)=0),K493=""),INDEX('Rules'!$D$7:$D$26,MATCH(SUBSTITUTE(SUBSTITUTE(SUBSTITUTE(SUBSTITUTE("type:"&amp;B493,"%","%25"),"~","%7E"),"*","%2A"),"?","%3F"),'Rules'!$G$7:$G$26,0)),"")</x:f>
      </x:c>
      <x:c r="N493" s="5" t="str">
        <x:f>IF(COUNTA(A493:F493)=0,"",SUBSTITUTE(SUBSTITUTE(SUBSTITUTE(SUBSTITUTE("id:"&amp;A493,"%","%25"),"~","%7E"),"*","%2A"),"?","%3F"))</x:f>
      </x:c>
    </x:row>
    <x:row r="494" ht="22" customHeight="1">
      <x:c r="A494" s="3"/>
      <x:c r="B494" s="3"/>
      <x:c r="C494" s="3"/>
      <x:c r="D494" s="4"/>
      <x:c r="E494" s="4"/>
      <x:c r="F494" s="4"/>
      <x:c r="G494" s="5" t="str">
        <x:f>IF(COUNTA(A494:F494)=0,"",IF(K494&lt;&gt;"","Review",IF(I494&lt;0,"Overdue",IF(I494=0,"Due now",IF(I494&lt;=M494,"Due soon","Not due")))))</x:f>
      </x:c>
      <x:c r="H494" s="5" t="str">
        <x:f>IF(OR(COUNTA(A494:F494)=0,COUNTIFS('Rules'!$G$7:$G$26,"="&amp;(SUBSTITUTE(SUBSTITUTE(SUBSTITUTE(SUBSTITUTE("type:"&amp;B494,"%","%25"),"~","%7E"),"*","%2A"),"?","%3F")))&lt;&gt;1),"",IF(OR(INDEX('Rules'!$B$7:$B$26,MATCH(SUBSTITUTE(SUBSTITUTE(SUBSTITUTE(SUBSTITUTE("type:"&amp;B494,"%","%25"),"~","%7E"),"*","%2A"),"?","%3F"),'Rules'!$G$7:$G$26,0))="hours",INDEX('Rules'!$B$7:$B$26,MATCH(SUBSTITUTE(SUBSTITUTE(SUBSTITUTE(SUBSTITUTE("type:"&amp;B494,"%","%25"),"~","%7E"),"*","%2A"),"?","%3F"),'Rules'!$G$7:$G$26,0))="km"),INDEX('Rules'!$B$7:$B$26,MATCH(SUBSTITUTE(SUBSTITUTE(SUBSTITUTE(SUBSTITUTE("type:"&amp;B494,"%","%25"),"~","%7E"),"*","%2A"),"?","%3F"),'Rules'!$G$7:$G$26,0)),""))</x:f>
      </x:c>
      <x:c r="I494" s="6" t="str">
        <x:f>IF(AND(NOT(COUNTA(A494:F494)=0),K494=""),ROUND(J494-D494,3),"")</x:f>
      </x:c>
      <x:c r="J494" s="6" t="str">
        <x:f>IF(AND(NOT(COUNTA(A494:F494)=0),K494=""),ROUND(F494+L494,3),"")</x:f>
      </x:c>
      <x:c r="K494" s="5" t="str">
        <x:f>IF(COUNTA(A494:F494)=0,"",IF(A494="","Missing equipment ID",IF(COUNTIFS($N$8:$N$2007,"="&amp;N494)&gt;1,"Duplicate equipment ID",IF(B494="","Missing type",IF(COUNTIFS('Rules'!$G$7:$G$26,"="&amp;(SUBSTITUTE(SUBSTITUTE(SUBSTITUTE(SUBSTITUTE("type:"&amp;B494,"%","%25"),"~","%7E"),"*","%2A"),"?","%3F")))=0,"Unknown type",IF(COUNTIFS('Rules'!$G$7:$G$26,"="&amp;(SUBSTITUTE(SUBSTITUTE(SUBSTITUTE(SUBSTITUTE("type:"&amp;B494,"%","%25"),"~","%7E"),"*","%2A"),"?","%3F")))&gt;1,"Duplicate type",IF(INDEX('Rules'!$F$7:$F$26,MATCH(SUBSTITUTE(SUBSTITUTE(SUBSTITUTE(SUBSTITUTE("type:"&amp;B494,"%","%25"),"~","%7E"),"*","%2A"),"?","%3F"),'Rules'!$G$7:$G$26,0))&lt;&gt;"",INDEX('Rules'!$F$7:$F$26,MATCH(SUBSTITUTE(SUBSTITUTE(SUBSTITUTE(SUBSTITUTE("type:"&amp;B494,"%","%25"),"~","%7E"),"*","%2A"),"?","%3F"),'Rules'!$G$7:$G$26,0)),IF(AND(C494&lt;&gt;"",C494&lt;&gt;INDEX('Rules'!$B$7:$B$26,MATCH(SUBSTITUTE(SUBSTITUTE(SUBSTITUTE(SUBSTITUTE("type:"&amp;B494,"%","%25"),"~","%7E"),"*","%2A"),"?","%3F"),'Rules'!$G$7:$G$26,0))),"Unit mismatch",IF(IF(NOT(ISNUMBER(D494)),TRUE,OR(D494&lt;0,D494&gt;999999999,ROUND(D494,3)&lt;&gt;D494)),"Invalid current reading",IF(AND(E494&lt;&gt;"",IF(NOT(ISNUMBER(E494)),TRUE,OR(E494&lt;0,E494&gt;999999999,ROUND(E494,3)&lt;&gt;E494))),"Invalid previous reading",IF(IF(NOT(ISNUMBER(F494)),TRUE,OR(F494&lt;0,F494&gt;999999999,ROUND(F494,3)&lt;&gt;F494)),"Invalid last service",IF(AND(E494&lt;&gt;"",D494&lt;E494),"Decreased reading",IF(F494&gt;D494,"Last service above current","")))))))))))))</x:f>
      </x:c>
      <x:c r="L494" s="6" t="str">
        <x:f>IF(AND(NOT(COUNTA(A494:F494)=0),K494=""),INDEX('Rules'!$C$7:$C$26,MATCH(SUBSTITUTE(SUBSTITUTE(SUBSTITUTE(SUBSTITUTE("type:"&amp;B494,"%","%25"),"~","%7E"),"*","%2A"),"?","%3F"),'Rules'!$G$7:$G$26,0)),"")</x:f>
      </x:c>
      <x:c r="M494" s="6" t="str">
        <x:f>IF(AND(NOT(COUNTA(A494:F494)=0),K494=""),INDEX('Rules'!$D$7:$D$26,MATCH(SUBSTITUTE(SUBSTITUTE(SUBSTITUTE(SUBSTITUTE("type:"&amp;B494,"%","%25"),"~","%7E"),"*","%2A"),"?","%3F"),'Rules'!$G$7:$G$26,0)),"")</x:f>
      </x:c>
      <x:c r="N494" s="5" t="str">
        <x:f>IF(COUNTA(A494:F494)=0,"",SUBSTITUTE(SUBSTITUTE(SUBSTITUTE(SUBSTITUTE("id:"&amp;A494,"%","%25"),"~","%7E"),"*","%2A"),"?","%3F"))</x:f>
      </x:c>
    </x:row>
    <x:row r="495" ht="22" customHeight="1">
      <x:c r="A495" s="3"/>
      <x:c r="B495" s="3"/>
      <x:c r="C495" s="3"/>
      <x:c r="D495" s="4"/>
      <x:c r="E495" s="4"/>
      <x:c r="F495" s="4"/>
      <x:c r="G495" s="5" t="str">
        <x:f>IF(COUNTA(A495:F495)=0,"",IF(K495&lt;&gt;"","Review",IF(I495&lt;0,"Overdue",IF(I495=0,"Due now",IF(I495&lt;=M495,"Due soon","Not due")))))</x:f>
      </x:c>
      <x:c r="H495" s="5" t="str">
        <x:f>IF(OR(COUNTA(A495:F495)=0,COUNTIFS('Rules'!$G$7:$G$26,"="&amp;(SUBSTITUTE(SUBSTITUTE(SUBSTITUTE(SUBSTITUTE("type:"&amp;B495,"%","%25"),"~","%7E"),"*","%2A"),"?","%3F")))&lt;&gt;1),"",IF(OR(INDEX('Rules'!$B$7:$B$26,MATCH(SUBSTITUTE(SUBSTITUTE(SUBSTITUTE(SUBSTITUTE("type:"&amp;B495,"%","%25"),"~","%7E"),"*","%2A"),"?","%3F"),'Rules'!$G$7:$G$26,0))="hours",INDEX('Rules'!$B$7:$B$26,MATCH(SUBSTITUTE(SUBSTITUTE(SUBSTITUTE(SUBSTITUTE("type:"&amp;B495,"%","%25"),"~","%7E"),"*","%2A"),"?","%3F"),'Rules'!$G$7:$G$26,0))="km"),INDEX('Rules'!$B$7:$B$26,MATCH(SUBSTITUTE(SUBSTITUTE(SUBSTITUTE(SUBSTITUTE("type:"&amp;B495,"%","%25"),"~","%7E"),"*","%2A"),"?","%3F"),'Rules'!$G$7:$G$26,0)),""))</x:f>
      </x:c>
      <x:c r="I495" s="6" t="str">
        <x:f>IF(AND(NOT(COUNTA(A495:F495)=0),K495=""),ROUND(J495-D495,3),"")</x:f>
      </x:c>
      <x:c r="J495" s="6" t="str">
        <x:f>IF(AND(NOT(COUNTA(A495:F495)=0),K495=""),ROUND(F495+L495,3),"")</x:f>
      </x:c>
      <x:c r="K495" s="5" t="str">
        <x:f>IF(COUNTA(A495:F495)=0,"",IF(A495="","Missing equipment ID",IF(COUNTIFS($N$8:$N$2007,"="&amp;N495)&gt;1,"Duplicate equipment ID",IF(B495="","Missing type",IF(COUNTIFS('Rules'!$G$7:$G$26,"="&amp;(SUBSTITUTE(SUBSTITUTE(SUBSTITUTE(SUBSTITUTE("type:"&amp;B495,"%","%25"),"~","%7E"),"*","%2A"),"?","%3F")))=0,"Unknown type",IF(COUNTIFS('Rules'!$G$7:$G$26,"="&amp;(SUBSTITUTE(SUBSTITUTE(SUBSTITUTE(SUBSTITUTE("type:"&amp;B495,"%","%25"),"~","%7E"),"*","%2A"),"?","%3F")))&gt;1,"Duplicate type",IF(INDEX('Rules'!$F$7:$F$26,MATCH(SUBSTITUTE(SUBSTITUTE(SUBSTITUTE(SUBSTITUTE("type:"&amp;B495,"%","%25"),"~","%7E"),"*","%2A"),"?","%3F"),'Rules'!$G$7:$G$26,0))&lt;&gt;"",INDEX('Rules'!$F$7:$F$26,MATCH(SUBSTITUTE(SUBSTITUTE(SUBSTITUTE(SUBSTITUTE("type:"&amp;B495,"%","%25"),"~","%7E"),"*","%2A"),"?","%3F"),'Rules'!$G$7:$G$26,0)),IF(AND(C495&lt;&gt;"",C495&lt;&gt;INDEX('Rules'!$B$7:$B$26,MATCH(SUBSTITUTE(SUBSTITUTE(SUBSTITUTE(SUBSTITUTE("type:"&amp;B495,"%","%25"),"~","%7E"),"*","%2A"),"?","%3F"),'Rules'!$G$7:$G$26,0))),"Unit mismatch",IF(IF(NOT(ISNUMBER(D495)),TRUE,OR(D495&lt;0,D495&gt;999999999,ROUND(D495,3)&lt;&gt;D495)),"Invalid current reading",IF(AND(E495&lt;&gt;"",IF(NOT(ISNUMBER(E495)),TRUE,OR(E495&lt;0,E495&gt;999999999,ROUND(E495,3)&lt;&gt;E495))),"Invalid previous reading",IF(IF(NOT(ISNUMBER(F495)),TRUE,OR(F495&lt;0,F495&gt;999999999,ROUND(F495,3)&lt;&gt;F495)),"Invalid last service",IF(AND(E495&lt;&gt;"",D495&lt;E495),"Decreased reading",IF(F495&gt;D495,"Last service above current","")))))))))))))</x:f>
      </x:c>
      <x:c r="L495" s="6" t="str">
        <x:f>IF(AND(NOT(COUNTA(A495:F495)=0),K495=""),INDEX('Rules'!$C$7:$C$26,MATCH(SUBSTITUTE(SUBSTITUTE(SUBSTITUTE(SUBSTITUTE("type:"&amp;B495,"%","%25"),"~","%7E"),"*","%2A"),"?","%3F"),'Rules'!$G$7:$G$26,0)),"")</x:f>
      </x:c>
      <x:c r="M495" s="6" t="str">
        <x:f>IF(AND(NOT(COUNTA(A495:F495)=0),K495=""),INDEX('Rules'!$D$7:$D$26,MATCH(SUBSTITUTE(SUBSTITUTE(SUBSTITUTE(SUBSTITUTE("type:"&amp;B495,"%","%25"),"~","%7E"),"*","%2A"),"?","%3F"),'Rules'!$G$7:$G$26,0)),"")</x:f>
      </x:c>
      <x:c r="N495" s="5" t="str">
        <x:f>IF(COUNTA(A495:F495)=0,"",SUBSTITUTE(SUBSTITUTE(SUBSTITUTE(SUBSTITUTE("id:"&amp;A495,"%","%25"),"~","%7E"),"*","%2A"),"?","%3F"))</x:f>
      </x:c>
    </x:row>
    <x:row r="496" ht="22" customHeight="1">
      <x:c r="A496" s="3"/>
      <x:c r="B496" s="3"/>
      <x:c r="C496" s="3"/>
      <x:c r="D496" s="4"/>
      <x:c r="E496" s="4"/>
      <x:c r="F496" s="4"/>
      <x:c r="G496" s="5" t="str">
        <x:f>IF(COUNTA(A496:F496)=0,"",IF(K496&lt;&gt;"","Review",IF(I496&lt;0,"Overdue",IF(I496=0,"Due now",IF(I496&lt;=M496,"Due soon","Not due")))))</x:f>
      </x:c>
      <x:c r="H496" s="5" t="str">
        <x:f>IF(OR(COUNTA(A496:F496)=0,COUNTIFS('Rules'!$G$7:$G$26,"="&amp;(SUBSTITUTE(SUBSTITUTE(SUBSTITUTE(SUBSTITUTE("type:"&amp;B496,"%","%25"),"~","%7E"),"*","%2A"),"?","%3F")))&lt;&gt;1),"",IF(OR(INDEX('Rules'!$B$7:$B$26,MATCH(SUBSTITUTE(SUBSTITUTE(SUBSTITUTE(SUBSTITUTE("type:"&amp;B496,"%","%25"),"~","%7E"),"*","%2A"),"?","%3F"),'Rules'!$G$7:$G$26,0))="hours",INDEX('Rules'!$B$7:$B$26,MATCH(SUBSTITUTE(SUBSTITUTE(SUBSTITUTE(SUBSTITUTE("type:"&amp;B496,"%","%25"),"~","%7E"),"*","%2A"),"?","%3F"),'Rules'!$G$7:$G$26,0))="km"),INDEX('Rules'!$B$7:$B$26,MATCH(SUBSTITUTE(SUBSTITUTE(SUBSTITUTE(SUBSTITUTE("type:"&amp;B496,"%","%25"),"~","%7E"),"*","%2A"),"?","%3F"),'Rules'!$G$7:$G$26,0)),""))</x:f>
      </x:c>
      <x:c r="I496" s="6" t="str">
        <x:f>IF(AND(NOT(COUNTA(A496:F496)=0),K496=""),ROUND(J496-D496,3),"")</x:f>
      </x:c>
      <x:c r="J496" s="6" t="str">
        <x:f>IF(AND(NOT(COUNTA(A496:F496)=0),K496=""),ROUND(F496+L496,3),"")</x:f>
      </x:c>
      <x:c r="K496" s="5" t="str">
        <x:f>IF(COUNTA(A496:F496)=0,"",IF(A496="","Missing equipment ID",IF(COUNTIFS($N$8:$N$2007,"="&amp;N496)&gt;1,"Duplicate equipment ID",IF(B496="","Missing type",IF(COUNTIFS('Rules'!$G$7:$G$26,"="&amp;(SUBSTITUTE(SUBSTITUTE(SUBSTITUTE(SUBSTITUTE("type:"&amp;B496,"%","%25"),"~","%7E"),"*","%2A"),"?","%3F")))=0,"Unknown type",IF(COUNTIFS('Rules'!$G$7:$G$26,"="&amp;(SUBSTITUTE(SUBSTITUTE(SUBSTITUTE(SUBSTITUTE("type:"&amp;B496,"%","%25"),"~","%7E"),"*","%2A"),"?","%3F")))&gt;1,"Duplicate type",IF(INDEX('Rules'!$F$7:$F$26,MATCH(SUBSTITUTE(SUBSTITUTE(SUBSTITUTE(SUBSTITUTE("type:"&amp;B496,"%","%25"),"~","%7E"),"*","%2A"),"?","%3F"),'Rules'!$G$7:$G$26,0))&lt;&gt;"",INDEX('Rules'!$F$7:$F$26,MATCH(SUBSTITUTE(SUBSTITUTE(SUBSTITUTE(SUBSTITUTE("type:"&amp;B496,"%","%25"),"~","%7E"),"*","%2A"),"?","%3F"),'Rules'!$G$7:$G$26,0)),IF(AND(C496&lt;&gt;"",C496&lt;&gt;INDEX('Rules'!$B$7:$B$26,MATCH(SUBSTITUTE(SUBSTITUTE(SUBSTITUTE(SUBSTITUTE("type:"&amp;B496,"%","%25"),"~","%7E"),"*","%2A"),"?","%3F"),'Rules'!$G$7:$G$26,0))),"Unit mismatch",IF(IF(NOT(ISNUMBER(D496)),TRUE,OR(D496&lt;0,D496&gt;999999999,ROUND(D496,3)&lt;&gt;D496)),"Invalid current reading",IF(AND(E496&lt;&gt;"",IF(NOT(ISNUMBER(E496)),TRUE,OR(E496&lt;0,E496&gt;999999999,ROUND(E496,3)&lt;&gt;E496))),"Invalid previous reading",IF(IF(NOT(ISNUMBER(F496)),TRUE,OR(F496&lt;0,F496&gt;999999999,ROUND(F496,3)&lt;&gt;F496)),"Invalid last service",IF(AND(E496&lt;&gt;"",D496&lt;E496),"Decreased reading",IF(F496&gt;D496,"Last service above current","")))))))))))))</x:f>
      </x:c>
      <x:c r="L496" s="6" t="str">
        <x:f>IF(AND(NOT(COUNTA(A496:F496)=0),K496=""),INDEX('Rules'!$C$7:$C$26,MATCH(SUBSTITUTE(SUBSTITUTE(SUBSTITUTE(SUBSTITUTE("type:"&amp;B496,"%","%25"),"~","%7E"),"*","%2A"),"?","%3F"),'Rules'!$G$7:$G$26,0)),"")</x:f>
      </x:c>
      <x:c r="M496" s="6" t="str">
        <x:f>IF(AND(NOT(COUNTA(A496:F496)=0),K496=""),INDEX('Rules'!$D$7:$D$26,MATCH(SUBSTITUTE(SUBSTITUTE(SUBSTITUTE(SUBSTITUTE("type:"&amp;B496,"%","%25"),"~","%7E"),"*","%2A"),"?","%3F"),'Rules'!$G$7:$G$26,0)),"")</x:f>
      </x:c>
      <x:c r="N496" s="5" t="str">
        <x:f>IF(COUNTA(A496:F496)=0,"",SUBSTITUTE(SUBSTITUTE(SUBSTITUTE(SUBSTITUTE("id:"&amp;A496,"%","%25"),"~","%7E"),"*","%2A"),"?","%3F"))</x:f>
      </x:c>
    </x:row>
    <x:row r="497" ht="22" customHeight="1">
      <x:c r="A497" s="3"/>
      <x:c r="B497" s="3"/>
      <x:c r="C497" s="3"/>
      <x:c r="D497" s="4"/>
      <x:c r="E497" s="4"/>
      <x:c r="F497" s="4"/>
      <x:c r="G497" s="5" t="str">
        <x:f>IF(COUNTA(A497:F497)=0,"",IF(K497&lt;&gt;"","Review",IF(I497&lt;0,"Overdue",IF(I497=0,"Due now",IF(I497&lt;=M497,"Due soon","Not due")))))</x:f>
      </x:c>
      <x:c r="H497" s="5" t="str">
        <x:f>IF(OR(COUNTA(A497:F497)=0,COUNTIFS('Rules'!$G$7:$G$26,"="&amp;(SUBSTITUTE(SUBSTITUTE(SUBSTITUTE(SUBSTITUTE("type:"&amp;B497,"%","%25"),"~","%7E"),"*","%2A"),"?","%3F")))&lt;&gt;1),"",IF(OR(INDEX('Rules'!$B$7:$B$26,MATCH(SUBSTITUTE(SUBSTITUTE(SUBSTITUTE(SUBSTITUTE("type:"&amp;B497,"%","%25"),"~","%7E"),"*","%2A"),"?","%3F"),'Rules'!$G$7:$G$26,0))="hours",INDEX('Rules'!$B$7:$B$26,MATCH(SUBSTITUTE(SUBSTITUTE(SUBSTITUTE(SUBSTITUTE("type:"&amp;B497,"%","%25"),"~","%7E"),"*","%2A"),"?","%3F"),'Rules'!$G$7:$G$26,0))="km"),INDEX('Rules'!$B$7:$B$26,MATCH(SUBSTITUTE(SUBSTITUTE(SUBSTITUTE(SUBSTITUTE("type:"&amp;B497,"%","%25"),"~","%7E"),"*","%2A"),"?","%3F"),'Rules'!$G$7:$G$26,0)),""))</x:f>
      </x:c>
      <x:c r="I497" s="6" t="str">
        <x:f>IF(AND(NOT(COUNTA(A497:F497)=0),K497=""),ROUND(J497-D497,3),"")</x:f>
      </x:c>
      <x:c r="J497" s="6" t="str">
        <x:f>IF(AND(NOT(COUNTA(A497:F497)=0),K497=""),ROUND(F497+L497,3),"")</x:f>
      </x:c>
      <x:c r="K497" s="5" t="str">
        <x:f>IF(COUNTA(A497:F497)=0,"",IF(A497="","Missing equipment ID",IF(COUNTIFS($N$8:$N$2007,"="&amp;N497)&gt;1,"Duplicate equipment ID",IF(B497="","Missing type",IF(COUNTIFS('Rules'!$G$7:$G$26,"="&amp;(SUBSTITUTE(SUBSTITUTE(SUBSTITUTE(SUBSTITUTE("type:"&amp;B497,"%","%25"),"~","%7E"),"*","%2A"),"?","%3F")))=0,"Unknown type",IF(COUNTIFS('Rules'!$G$7:$G$26,"="&amp;(SUBSTITUTE(SUBSTITUTE(SUBSTITUTE(SUBSTITUTE("type:"&amp;B497,"%","%25"),"~","%7E"),"*","%2A"),"?","%3F")))&gt;1,"Duplicate type",IF(INDEX('Rules'!$F$7:$F$26,MATCH(SUBSTITUTE(SUBSTITUTE(SUBSTITUTE(SUBSTITUTE("type:"&amp;B497,"%","%25"),"~","%7E"),"*","%2A"),"?","%3F"),'Rules'!$G$7:$G$26,0))&lt;&gt;"",INDEX('Rules'!$F$7:$F$26,MATCH(SUBSTITUTE(SUBSTITUTE(SUBSTITUTE(SUBSTITUTE("type:"&amp;B497,"%","%25"),"~","%7E"),"*","%2A"),"?","%3F"),'Rules'!$G$7:$G$26,0)),IF(AND(C497&lt;&gt;"",C497&lt;&gt;INDEX('Rules'!$B$7:$B$26,MATCH(SUBSTITUTE(SUBSTITUTE(SUBSTITUTE(SUBSTITUTE("type:"&amp;B497,"%","%25"),"~","%7E"),"*","%2A"),"?","%3F"),'Rules'!$G$7:$G$26,0))),"Unit mismatch",IF(IF(NOT(ISNUMBER(D497)),TRUE,OR(D497&lt;0,D497&gt;999999999,ROUND(D497,3)&lt;&gt;D497)),"Invalid current reading",IF(AND(E497&lt;&gt;"",IF(NOT(ISNUMBER(E497)),TRUE,OR(E497&lt;0,E497&gt;999999999,ROUND(E497,3)&lt;&gt;E497))),"Invalid previous reading",IF(IF(NOT(ISNUMBER(F497)),TRUE,OR(F497&lt;0,F497&gt;999999999,ROUND(F497,3)&lt;&gt;F497)),"Invalid last service",IF(AND(E497&lt;&gt;"",D497&lt;E497),"Decreased reading",IF(F497&gt;D497,"Last service above current","")))))))))))))</x:f>
      </x:c>
      <x:c r="L497" s="6" t="str">
        <x:f>IF(AND(NOT(COUNTA(A497:F497)=0),K497=""),INDEX('Rules'!$C$7:$C$26,MATCH(SUBSTITUTE(SUBSTITUTE(SUBSTITUTE(SUBSTITUTE("type:"&amp;B497,"%","%25"),"~","%7E"),"*","%2A"),"?","%3F"),'Rules'!$G$7:$G$26,0)),"")</x:f>
      </x:c>
      <x:c r="M497" s="6" t="str">
        <x:f>IF(AND(NOT(COUNTA(A497:F497)=0),K497=""),INDEX('Rules'!$D$7:$D$26,MATCH(SUBSTITUTE(SUBSTITUTE(SUBSTITUTE(SUBSTITUTE("type:"&amp;B497,"%","%25"),"~","%7E"),"*","%2A"),"?","%3F"),'Rules'!$G$7:$G$26,0)),"")</x:f>
      </x:c>
      <x:c r="N497" s="5" t="str">
        <x:f>IF(COUNTA(A497:F497)=0,"",SUBSTITUTE(SUBSTITUTE(SUBSTITUTE(SUBSTITUTE("id:"&amp;A497,"%","%25"),"~","%7E"),"*","%2A"),"?","%3F"))</x:f>
      </x:c>
    </x:row>
    <x:row r="498" ht="22" customHeight="1">
      <x:c r="A498" s="3"/>
      <x:c r="B498" s="3"/>
      <x:c r="C498" s="3"/>
      <x:c r="D498" s="4"/>
      <x:c r="E498" s="4"/>
      <x:c r="F498" s="4"/>
      <x:c r="G498" s="5" t="str">
        <x:f>IF(COUNTA(A498:F498)=0,"",IF(K498&lt;&gt;"","Review",IF(I498&lt;0,"Overdue",IF(I498=0,"Due now",IF(I498&lt;=M498,"Due soon","Not due")))))</x:f>
      </x:c>
      <x:c r="H498" s="5" t="str">
        <x:f>IF(OR(COUNTA(A498:F498)=0,COUNTIFS('Rules'!$G$7:$G$26,"="&amp;(SUBSTITUTE(SUBSTITUTE(SUBSTITUTE(SUBSTITUTE("type:"&amp;B498,"%","%25"),"~","%7E"),"*","%2A"),"?","%3F")))&lt;&gt;1),"",IF(OR(INDEX('Rules'!$B$7:$B$26,MATCH(SUBSTITUTE(SUBSTITUTE(SUBSTITUTE(SUBSTITUTE("type:"&amp;B498,"%","%25"),"~","%7E"),"*","%2A"),"?","%3F"),'Rules'!$G$7:$G$26,0))="hours",INDEX('Rules'!$B$7:$B$26,MATCH(SUBSTITUTE(SUBSTITUTE(SUBSTITUTE(SUBSTITUTE("type:"&amp;B498,"%","%25"),"~","%7E"),"*","%2A"),"?","%3F"),'Rules'!$G$7:$G$26,0))="km"),INDEX('Rules'!$B$7:$B$26,MATCH(SUBSTITUTE(SUBSTITUTE(SUBSTITUTE(SUBSTITUTE("type:"&amp;B498,"%","%25"),"~","%7E"),"*","%2A"),"?","%3F"),'Rules'!$G$7:$G$26,0)),""))</x:f>
      </x:c>
      <x:c r="I498" s="6" t="str">
        <x:f>IF(AND(NOT(COUNTA(A498:F498)=0),K498=""),ROUND(J498-D498,3),"")</x:f>
      </x:c>
      <x:c r="J498" s="6" t="str">
        <x:f>IF(AND(NOT(COUNTA(A498:F498)=0),K498=""),ROUND(F498+L498,3),"")</x:f>
      </x:c>
      <x:c r="K498" s="5" t="str">
        <x:f>IF(COUNTA(A498:F498)=0,"",IF(A498="","Missing equipment ID",IF(COUNTIFS($N$8:$N$2007,"="&amp;N498)&gt;1,"Duplicate equipment ID",IF(B498="","Missing type",IF(COUNTIFS('Rules'!$G$7:$G$26,"="&amp;(SUBSTITUTE(SUBSTITUTE(SUBSTITUTE(SUBSTITUTE("type:"&amp;B498,"%","%25"),"~","%7E"),"*","%2A"),"?","%3F")))=0,"Unknown type",IF(COUNTIFS('Rules'!$G$7:$G$26,"="&amp;(SUBSTITUTE(SUBSTITUTE(SUBSTITUTE(SUBSTITUTE("type:"&amp;B498,"%","%25"),"~","%7E"),"*","%2A"),"?","%3F")))&gt;1,"Duplicate type",IF(INDEX('Rules'!$F$7:$F$26,MATCH(SUBSTITUTE(SUBSTITUTE(SUBSTITUTE(SUBSTITUTE("type:"&amp;B498,"%","%25"),"~","%7E"),"*","%2A"),"?","%3F"),'Rules'!$G$7:$G$26,0))&lt;&gt;"",INDEX('Rules'!$F$7:$F$26,MATCH(SUBSTITUTE(SUBSTITUTE(SUBSTITUTE(SUBSTITUTE("type:"&amp;B498,"%","%25"),"~","%7E"),"*","%2A"),"?","%3F"),'Rules'!$G$7:$G$26,0)),IF(AND(C498&lt;&gt;"",C498&lt;&gt;INDEX('Rules'!$B$7:$B$26,MATCH(SUBSTITUTE(SUBSTITUTE(SUBSTITUTE(SUBSTITUTE("type:"&amp;B498,"%","%25"),"~","%7E"),"*","%2A"),"?","%3F"),'Rules'!$G$7:$G$26,0))),"Unit mismatch",IF(IF(NOT(ISNUMBER(D498)),TRUE,OR(D498&lt;0,D498&gt;999999999,ROUND(D498,3)&lt;&gt;D498)),"Invalid current reading",IF(AND(E498&lt;&gt;"",IF(NOT(ISNUMBER(E498)),TRUE,OR(E498&lt;0,E498&gt;999999999,ROUND(E498,3)&lt;&gt;E498))),"Invalid previous reading",IF(IF(NOT(ISNUMBER(F498)),TRUE,OR(F498&lt;0,F498&gt;999999999,ROUND(F498,3)&lt;&gt;F498)),"Invalid last service",IF(AND(E498&lt;&gt;"",D498&lt;E498),"Decreased reading",IF(F498&gt;D498,"Last service above current","")))))))))))))</x:f>
      </x:c>
      <x:c r="L498" s="6" t="str">
        <x:f>IF(AND(NOT(COUNTA(A498:F498)=0),K498=""),INDEX('Rules'!$C$7:$C$26,MATCH(SUBSTITUTE(SUBSTITUTE(SUBSTITUTE(SUBSTITUTE("type:"&amp;B498,"%","%25"),"~","%7E"),"*","%2A"),"?","%3F"),'Rules'!$G$7:$G$26,0)),"")</x:f>
      </x:c>
      <x:c r="M498" s="6" t="str">
        <x:f>IF(AND(NOT(COUNTA(A498:F498)=0),K498=""),INDEX('Rules'!$D$7:$D$26,MATCH(SUBSTITUTE(SUBSTITUTE(SUBSTITUTE(SUBSTITUTE("type:"&amp;B498,"%","%25"),"~","%7E"),"*","%2A"),"?","%3F"),'Rules'!$G$7:$G$26,0)),"")</x:f>
      </x:c>
      <x:c r="N498" s="5" t="str">
        <x:f>IF(COUNTA(A498:F498)=0,"",SUBSTITUTE(SUBSTITUTE(SUBSTITUTE(SUBSTITUTE("id:"&amp;A498,"%","%25"),"~","%7E"),"*","%2A"),"?","%3F"))</x:f>
      </x:c>
    </x:row>
    <x:row r="499" ht="22" customHeight="1">
      <x:c r="A499" s="3"/>
      <x:c r="B499" s="3"/>
      <x:c r="C499" s="3"/>
      <x:c r="D499" s="4"/>
      <x:c r="E499" s="4"/>
      <x:c r="F499" s="4"/>
      <x:c r="G499" s="5" t="str">
        <x:f>IF(COUNTA(A499:F499)=0,"",IF(K499&lt;&gt;"","Review",IF(I499&lt;0,"Overdue",IF(I499=0,"Due now",IF(I499&lt;=M499,"Due soon","Not due")))))</x:f>
      </x:c>
      <x:c r="H499" s="5" t="str">
        <x:f>IF(OR(COUNTA(A499:F499)=0,COUNTIFS('Rules'!$G$7:$G$26,"="&amp;(SUBSTITUTE(SUBSTITUTE(SUBSTITUTE(SUBSTITUTE("type:"&amp;B499,"%","%25"),"~","%7E"),"*","%2A"),"?","%3F")))&lt;&gt;1),"",IF(OR(INDEX('Rules'!$B$7:$B$26,MATCH(SUBSTITUTE(SUBSTITUTE(SUBSTITUTE(SUBSTITUTE("type:"&amp;B499,"%","%25"),"~","%7E"),"*","%2A"),"?","%3F"),'Rules'!$G$7:$G$26,0))="hours",INDEX('Rules'!$B$7:$B$26,MATCH(SUBSTITUTE(SUBSTITUTE(SUBSTITUTE(SUBSTITUTE("type:"&amp;B499,"%","%25"),"~","%7E"),"*","%2A"),"?","%3F"),'Rules'!$G$7:$G$26,0))="km"),INDEX('Rules'!$B$7:$B$26,MATCH(SUBSTITUTE(SUBSTITUTE(SUBSTITUTE(SUBSTITUTE("type:"&amp;B499,"%","%25"),"~","%7E"),"*","%2A"),"?","%3F"),'Rules'!$G$7:$G$26,0)),""))</x:f>
      </x:c>
      <x:c r="I499" s="6" t="str">
        <x:f>IF(AND(NOT(COUNTA(A499:F499)=0),K499=""),ROUND(J499-D499,3),"")</x:f>
      </x:c>
      <x:c r="J499" s="6" t="str">
        <x:f>IF(AND(NOT(COUNTA(A499:F499)=0),K499=""),ROUND(F499+L499,3),"")</x:f>
      </x:c>
      <x:c r="K499" s="5" t="str">
        <x:f>IF(COUNTA(A499:F499)=0,"",IF(A499="","Missing equipment ID",IF(COUNTIFS($N$8:$N$2007,"="&amp;N499)&gt;1,"Duplicate equipment ID",IF(B499="","Missing type",IF(COUNTIFS('Rules'!$G$7:$G$26,"="&amp;(SUBSTITUTE(SUBSTITUTE(SUBSTITUTE(SUBSTITUTE("type:"&amp;B499,"%","%25"),"~","%7E"),"*","%2A"),"?","%3F")))=0,"Unknown type",IF(COUNTIFS('Rules'!$G$7:$G$26,"="&amp;(SUBSTITUTE(SUBSTITUTE(SUBSTITUTE(SUBSTITUTE("type:"&amp;B499,"%","%25"),"~","%7E"),"*","%2A"),"?","%3F")))&gt;1,"Duplicate type",IF(INDEX('Rules'!$F$7:$F$26,MATCH(SUBSTITUTE(SUBSTITUTE(SUBSTITUTE(SUBSTITUTE("type:"&amp;B499,"%","%25"),"~","%7E"),"*","%2A"),"?","%3F"),'Rules'!$G$7:$G$26,0))&lt;&gt;"",INDEX('Rules'!$F$7:$F$26,MATCH(SUBSTITUTE(SUBSTITUTE(SUBSTITUTE(SUBSTITUTE("type:"&amp;B499,"%","%25"),"~","%7E"),"*","%2A"),"?","%3F"),'Rules'!$G$7:$G$26,0)),IF(AND(C499&lt;&gt;"",C499&lt;&gt;INDEX('Rules'!$B$7:$B$26,MATCH(SUBSTITUTE(SUBSTITUTE(SUBSTITUTE(SUBSTITUTE("type:"&amp;B499,"%","%25"),"~","%7E"),"*","%2A"),"?","%3F"),'Rules'!$G$7:$G$26,0))),"Unit mismatch",IF(IF(NOT(ISNUMBER(D499)),TRUE,OR(D499&lt;0,D499&gt;999999999,ROUND(D499,3)&lt;&gt;D499)),"Invalid current reading",IF(AND(E499&lt;&gt;"",IF(NOT(ISNUMBER(E499)),TRUE,OR(E499&lt;0,E499&gt;999999999,ROUND(E499,3)&lt;&gt;E499))),"Invalid previous reading",IF(IF(NOT(ISNUMBER(F499)),TRUE,OR(F499&lt;0,F499&gt;999999999,ROUND(F499,3)&lt;&gt;F499)),"Invalid last service",IF(AND(E499&lt;&gt;"",D499&lt;E499),"Decreased reading",IF(F499&gt;D499,"Last service above current","")))))))))))))</x:f>
      </x:c>
      <x:c r="L499" s="6" t="str">
        <x:f>IF(AND(NOT(COUNTA(A499:F499)=0),K499=""),INDEX('Rules'!$C$7:$C$26,MATCH(SUBSTITUTE(SUBSTITUTE(SUBSTITUTE(SUBSTITUTE("type:"&amp;B499,"%","%25"),"~","%7E"),"*","%2A"),"?","%3F"),'Rules'!$G$7:$G$26,0)),"")</x:f>
      </x:c>
      <x:c r="M499" s="6" t="str">
        <x:f>IF(AND(NOT(COUNTA(A499:F499)=0),K499=""),INDEX('Rules'!$D$7:$D$26,MATCH(SUBSTITUTE(SUBSTITUTE(SUBSTITUTE(SUBSTITUTE("type:"&amp;B499,"%","%25"),"~","%7E"),"*","%2A"),"?","%3F"),'Rules'!$G$7:$G$26,0)),"")</x:f>
      </x:c>
      <x:c r="N499" s="5" t="str">
        <x:f>IF(COUNTA(A499:F499)=0,"",SUBSTITUTE(SUBSTITUTE(SUBSTITUTE(SUBSTITUTE("id:"&amp;A499,"%","%25"),"~","%7E"),"*","%2A"),"?","%3F"))</x:f>
      </x:c>
    </x:row>
    <x:row r="500" ht="22" customHeight="1">
      <x:c r="A500" s="3"/>
      <x:c r="B500" s="3"/>
      <x:c r="C500" s="3"/>
      <x:c r="D500" s="4"/>
      <x:c r="E500" s="4"/>
      <x:c r="F500" s="4"/>
      <x:c r="G500" s="5" t="str">
        <x:f>IF(COUNTA(A500:F500)=0,"",IF(K500&lt;&gt;"","Review",IF(I500&lt;0,"Overdue",IF(I500=0,"Due now",IF(I500&lt;=M500,"Due soon","Not due")))))</x:f>
      </x:c>
      <x:c r="H500" s="5" t="str">
        <x:f>IF(OR(COUNTA(A500:F500)=0,COUNTIFS('Rules'!$G$7:$G$26,"="&amp;(SUBSTITUTE(SUBSTITUTE(SUBSTITUTE(SUBSTITUTE("type:"&amp;B500,"%","%25"),"~","%7E"),"*","%2A"),"?","%3F")))&lt;&gt;1),"",IF(OR(INDEX('Rules'!$B$7:$B$26,MATCH(SUBSTITUTE(SUBSTITUTE(SUBSTITUTE(SUBSTITUTE("type:"&amp;B500,"%","%25"),"~","%7E"),"*","%2A"),"?","%3F"),'Rules'!$G$7:$G$26,0))="hours",INDEX('Rules'!$B$7:$B$26,MATCH(SUBSTITUTE(SUBSTITUTE(SUBSTITUTE(SUBSTITUTE("type:"&amp;B500,"%","%25"),"~","%7E"),"*","%2A"),"?","%3F"),'Rules'!$G$7:$G$26,0))="km"),INDEX('Rules'!$B$7:$B$26,MATCH(SUBSTITUTE(SUBSTITUTE(SUBSTITUTE(SUBSTITUTE("type:"&amp;B500,"%","%25"),"~","%7E"),"*","%2A"),"?","%3F"),'Rules'!$G$7:$G$26,0)),""))</x:f>
      </x:c>
      <x:c r="I500" s="6" t="str">
        <x:f>IF(AND(NOT(COUNTA(A500:F500)=0),K500=""),ROUND(J500-D500,3),"")</x:f>
      </x:c>
      <x:c r="J500" s="6" t="str">
        <x:f>IF(AND(NOT(COUNTA(A500:F500)=0),K500=""),ROUND(F500+L500,3),"")</x:f>
      </x:c>
      <x:c r="K500" s="5" t="str">
        <x:f>IF(COUNTA(A500:F500)=0,"",IF(A500="","Missing equipment ID",IF(COUNTIFS($N$8:$N$2007,"="&amp;N500)&gt;1,"Duplicate equipment ID",IF(B500="","Missing type",IF(COUNTIFS('Rules'!$G$7:$G$26,"="&amp;(SUBSTITUTE(SUBSTITUTE(SUBSTITUTE(SUBSTITUTE("type:"&amp;B500,"%","%25"),"~","%7E"),"*","%2A"),"?","%3F")))=0,"Unknown type",IF(COUNTIFS('Rules'!$G$7:$G$26,"="&amp;(SUBSTITUTE(SUBSTITUTE(SUBSTITUTE(SUBSTITUTE("type:"&amp;B500,"%","%25"),"~","%7E"),"*","%2A"),"?","%3F")))&gt;1,"Duplicate type",IF(INDEX('Rules'!$F$7:$F$26,MATCH(SUBSTITUTE(SUBSTITUTE(SUBSTITUTE(SUBSTITUTE("type:"&amp;B500,"%","%25"),"~","%7E"),"*","%2A"),"?","%3F"),'Rules'!$G$7:$G$26,0))&lt;&gt;"",INDEX('Rules'!$F$7:$F$26,MATCH(SUBSTITUTE(SUBSTITUTE(SUBSTITUTE(SUBSTITUTE("type:"&amp;B500,"%","%25"),"~","%7E"),"*","%2A"),"?","%3F"),'Rules'!$G$7:$G$26,0)),IF(AND(C500&lt;&gt;"",C500&lt;&gt;INDEX('Rules'!$B$7:$B$26,MATCH(SUBSTITUTE(SUBSTITUTE(SUBSTITUTE(SUBSTITUTE("type:"&amp;B500,"%","%25"),"~","%7E"),"*","%2A"),"?","%3F"),'Rules'!$G$7:$G$26,0))),"Unit mismatch",IF(IF(NOT(ISNUMBER(D500)),TRUE,OR(D500&lt;0,D500&gt;999999999,ROUND(D500,3)&lt;&gt;D500)),"Invalid current reading",IF(AND(E500&lt;&gt;"",IF(NOT(ISNUMBER(E500)),TRUE,OR(E500&lt;0,E500&gt;999999999,ROUND(E500,3)&lt;&gt;E500))),"Invalid previous reading",IF(IF(NOT(ISNUMBER(F500)),TRUE,OR(F500&lt;0,F500&gt;999999999,ROUND(F500,3)&lt;&gt;F500)),"Invalid last service",IF(AND(E500&lt;&gt;"",D500&lt;E500),"Decreased reading",IF(F500&gt;D500,"Last service above current","")))))))))))))</x:f>
      </x:c>
      <x:c r="L500" s="6" t="str">
        <x:f>IF(AND(NOT(COUNTA(A500:F500)=0),K500=""),INDEX('Rules'!$C$7:$C$26,MATCH(SUBSTITUTE(SUBSTITUTE(SUBSTITUTE(SUBSTITUTE("type:"&amp;B500,"%","%25"),"~","%7E"),"*","%2A"),"?","%3F"),'Rules'!$G$7:$G$26,0)),"")</x:f>
      </x:c>
      <x:c r="M500" s="6" t="str">
        <x:f>IF(AND(NOT(COUNTA(A500:F500)=0),K500=""),INDEX('Rules'!$D$7:$D$26,MATCH(SUBSTITUTE(SUBSTITUTE(SUBSTITUTE(SUBSTITUTE("type:"&amp;B500,"%","%25"),"~","%7E"),"*","%2A"),"?","%3F"),'Rules'!$G$7:$G$26,0)),"")</x:f>
      </x:c>
      <x:c r="N500" s="5" t="str">
        <x:f>IF(COUNTA(A500:F500)=0,"",SUBSTITUTE(SUBSTITUTE(SUBSTITUTE(SUBSTITUTE("id:"&amp;A500,"%","%25"),"~","%7E"),"*","%2A"),"?","%3F"))</x:f>
      </x:c>
    </x:row>
    <x:row r="501" ht="22" customHeight="1">
      <x:c r="A501" s="3"/>
      <x:c r="B501" s="3"/>
      <x:c r="C501" s="3"/>
      <x:c r="D501" s="4"/>
      <x:c r="E501" s="4"/>
      <x:c r="F501" s="4"/>
      <x:c r="G501" s="5" t="str">
        <x:f>IF(COUNTA(A501:F501)=0,"",IF(K501&lt;&gt;"","Review",IF(I501&lt;0,"Overdue",IF(I501=0,"Due now",IF(I501&lt;=M501,"Due soon","Not due")))))</x:f>
      </x:c>
      <x:c r="H501" s="5" t="str">
        <x:f>IF(OR(COUNTA(A501:F501)=0,COUNTIFS('Rules'!$G$7:$G$26,"="&amp;(SUBSTITUTE(SUBSTITUTE(SUBSTITUTE(SUBSTITUTE("type:"&amp;B501,"%","%25"),"~","%7E"),"*","%2A"),"?","%3F")))&lt;&gt;1),"",IF(OR(INDEX('Rules'!$B$7:$B$26,MATCH(SUBSTITUTE(SUBSTITUTE(SUBSTITUTE(SUBSTITUTE("type:"&amp;B501,"%","%25"),"~","%7E"),"*","%2A"),"?","%3F"),'Rules'!$G$7:$G$26,0))="hours",INDEX('Rules'!$B$7:$B$26,MATCH(SUBSTITUTE(SUBSTITUTE(SUBSTITUTE(SUBSTITUTE("type:"&amp;B501,"%","%25"),"~","%7E"),"*","%2A"),"?","%3F"),'Rules'!$G$7:$G$26,0))="km"),INDEX('Rules'!$B$7:$B$26,MATCH(SUBSTITUTE(SUBSTITUTE(SUBSTITUTE(SUBSTITUTE("type:"&amp;B501,"%","%25"),"~","%7E"),"*","%2A"),"?","%3F"),'Rules'!$G$7:$G$26,0)),""))</x:f>
      </x:c>
      <x:c r="I501" s="6" t="str">
        <x:f>IF(AND(NOT(COUNTA(A501:F501)=0),K501=""),ROUND(J501-D501,3),"")</x:f>
      </x:c>
      <x:c r="J501" s="6" t="str">
        <x:f>IF(AND(NOT(COUNTA(A501:F501)=0),K501=""),ROUND(F501+L501,3),"")</x:f>
      </x:c>
      <x:c r="K501" s="5" t="str">
        <x:f>IF(COUNTA(A501:F501)=0,"",IF(A501="","Missing equipment ID",IF(COUNTIFS($N$8:$N$2007,"="&amp;N501)&gt;1,"Duplicate equipment ID",IF(B501="","Missing type",IF(COUNTIFS('Rules'!$G$7:$G$26,"="&amp;(SUBSTITUTE(SUBSTITUTE(SUBSTITUTE(SUBSTITUTE("type:"&amp;B501,"%","%25"),"~","%7E"),"*","%2A"),"?","%3F")))=0,"Unknown type",IF(COUNTIFS('Rules'!$G$7:$G$26,"="&amp;(SUBSTITUTE(SUBSTITUTE(SUBSTITUTE(SUBSTITUTE("type:"&amp;B501,"%","%25"),"~","%7E"),"*","%2A"),"?","%3F")))&gt;1,"Duplicate type",IF(INDEX('Rules'!$F$7:$F$26,MATCH(SUBSTITUTE(SUBSTITUTE(SUBSTITUTE(SUBSTITUTE("type:"&amp;B501,"%","%25"),"~","%7E"),"*","%2A"),"?","%3F"),'Rules'!$G$7:$G$26,0))&lt;&gt;"",INDEX('Rules'!$F$7:$F$26,MATCH(SUBSTITUTE(SUBSTITUTE(SUBSTITUTE(SUBSTITUTE("type:"&amp;B501,"%","%25"),"~","%7E"),"*","%2A"),"?","%3F"),'Rules'!$G$7:$G$26,0)),IF(AND(C501&lt;&gt;"",C501&lt;&gt;INDEX('Rules'!$B$7:$B$26,MATCH(SUBSTITUTE(SUBSTITUTE(SUBSTITUTE(SUBSTITUTE("type:"&amp;B501,"%","%25"),"~","%7E"),"*","%2A"),"?","%3F"),'Rules'!$G$7:$G$26,0))),"Unit mismatch",IF(IF(NOT(ISNUMBER(D501)),TRUE,OR(D501&lt;0,D501&gt;999999999,ROUND(D501,3)&lt;&gt;D501)),"Invalid current reading",IF(AND(E501&lt;&gt;"",IF(NOT(ISNUMBER(E501)),TRUE,OR(E501&lt;0,E501&gt;999999999,ROUND(E501,3)&lt;&gt;E501))),"Invalid previous reading",IF(IF(NOT(ISNUMBER(F501)),TRUE,OR(F501&lt;0,F501&gt;999999999,ROUND(F501,3)&lt;&gt;F501)),"Invalid last service",IF(AND(E501&lt;&gt;"",D501&lt;E501),"Decreased reading",IF(F501&gt;D501,"Last service above current","")))))))))))))</x:f>
      </x:c>
      <x:c r="L501" s="6" t="str">
        <x:f>IF(AND(NOT(COUNTA(A501:F501)=0),K501=""),INDEX('Rules'!$C$7:$C$26,MATCH(SUBSTITUTE(SUBSTITUTE(SUBSTITUTE(SUBSTITUTE("type:"&amp;B501,"%","%25"),"~","%7E"),"*","%2A"),"?","%3F"),'Rules'!$G$7:$G$26,0)),"")</x:f>
      </x:c>
      <x:c r="M501" s="6" t="str">
        <x:f>IF(AND(NOT(COUNTA(A501:F501)=0),K501=""),INDEX('Rules'!$D$7:$D$26,MATCH(SUBSTITUTE(SUBSTITUTE(SUBSTITUTE(SUBSTITUTE("type:"&amp;B501,"%","%25"),"~","%7E"),"*","%2A"),"?","%3F"),'Rules'!$G$7:$G$26,0)),"")</x:f>
      </x:c>
      <x:c r="N501" s="5" t="str">
        <x:f>IF(COUNTA(A501:F501)=0,"",SUBSTITUTE(SUBSTITUTE(SUBSTITUTE(SUBSTITUTE("id:"&amp;A501,"%","%25"),"~","%7E"),"*","%2A"),"?","%3F"))</x:f>
      </x:c>
    </x:row>
    <x:row r="502" ht="22" customHeight="1">
      <x:c r="A502" s="3"/>
      <x:c r="B502" s="3"/>
      <x:c r="C502" s="3"/>
      <x:c r="D502" s="4"/>
      <x:c r="E502" s="4"/>
      <x:c r="F502" s="4"/>
      <x:c r="G502" s="5" t="str">
        <x:f>IF(COUNTA(A502:F502)=0,"",IF(K502&lt;&gt;"","Review",IF(I502&lt;0,"Overdue",IF(I502=0,"Due now",IF(I502&lt;=M502,"Due soon","Not due")))))</x:f>
      </x:c>
      <x:c r="H502" s="5" t="str">
        <x:f>IF(OR(COUNTA(A502:F502)=0,COUNTIFS('Rules'!$G$7:$G$26,"="&amp;(SUBSTITUTE(SUBSTITUTE(SUBSTITUTE(SUBSTITUTE("type:"&amp;B502,"%","%25"),"~","%7E"),"*","%2A"),"?","%3F")))&lt;&gt;1),"",IF(OR(INDEX('Rules'!$B$7:$B$26,MATCH(SUBSTITUTE(SUBSTITUTE(SUBSTITUTE(SUBSTITUTE("type:"&amp;B502,"%","%25"),"~","%7E"),"*","%2A"),"?","%3F"),'Rules'!$G$7:$G$26,0))="hours",INDEX('Rules'!$B$7:$B$26,MATCH(SUBSTITUTE(SUBSTITUTE(SUBSTITUTE(SUBSTITUTE("type:"&amp;B502,"%","%25"),"~","%7E"),"*","%2A"),"?","%3F"),'Rules'!$G$7:$G$26,0))="km"),INDEX('Rules'!$B$7:$B$26,MATCH(SUBSTITUTE(SUBSTITUTE(SUBSTITUTE(SUBSTITUTE("type:"&amp;B502,"%","%25"),"~","%7E"),"*","%2A"),"?","%3F"),'Rules'!$G$7:$G$26,0)),""))</x:f>
      </x:c>
      <x:c r="I502" s="6" t="str">
        <x:f>IF(AND(NOT(COUNTA(A502:F502)=0),K502=""),ROUND(J502-D502,3),"")</x:f>
      </x:c>
      <x:c r="J502" s="6" t="str">
        <x:f>IF(AND(NOT(COUNTA(A502:F502)=0),K502=""),ROUND(F502+L502,3),"")</x:f>
      </x:c>
      <x:c r="K502" s="5" t="str">
        <x:f>IF(COUNTA(A502:F502)=0,"",IF(A502="","Missing equipment ID",IF(COUNTIFS($N$8:$N$2007,"="&amp;N502)&gt;1,"Duplicate equipment ID",IF(B502="","Missing type",IF(COUNTIFS('Rules'!$G$7:$G$26,"="&amp;(SUBSTITUTE(SUBSTITUTE(SUBSTITUTE(SUBSTITUTE("type:"&amp;B502,"%","%25"),"~","%7E"),"*","%2A"),"?","%3F")))=0,"Unknown type",IF(COUNTIFS('Rules'!$G$7:$G$26,"="&amp;(SUBSTITUTE(SUBSTITUTE(SUBSTITUTE(SUBSTITUTE("type:"&amp;B502,"%","%25"),"~","%7E"),"*","%2A"),"?","%3F")))&gt;1,"Duplicate type",IF(INDEX('Rules'!$F$7:$F$26,MATCH(SUBSTITUTE(SUBSTITUTE(SUBSTITUTE(SUBSTITUTE("type:"&amp;B502,"%","%25"),"~","%7E"),"*","%2A"),"?","%3F"),'Rules'!$G$7:$G$26,0))&lt;&gt;"",INDEX('Rules'!$F$7:$F$26,MATCH(SUBSTITUTE(SUBSTITUTE(SUBSTITUTE(SUBSTITUTE("type:"&amp;B502,"%","%25"),"~","%7E"),"*","%2A"),"?","%3F"),'Rules'!$G$7:$G$26,0)),IF(AND(C502&lt;&gt;"",C502&lt;&gt;INDEX('Rules'!$B$7:$B$26,MATCH(SUBSTITUTE(SUBSTITUTE(SUBSTITUTE(SUBSTITUTE("type:"&amp;B502,"%","%25"),"~","%7E"),"*","%2A"),"?","%3F"),'Rules'!$G$7:$G$26,0))),"Unit mismatch",IF(IF(NOT(ISNUMBER(D502)),TRUE,OR(D502&lt;0,D502&gt;999999999,ROUND(D502,3)&lt;&gt;D502)),"Invalid current reading",IF(AND(E502&lt;&gt;"",IF(NOT(ISNUMBER(E502)),TRUE,OR(E502&lt;0,E502&gt;999999999,ROUND(E502,3)&lt;&gt;E502))),"Invalid previous reading",IF(IF(NOT(ISNUMBER(F502)),TRUE,OR(F502&lt;0,F502&gt;999999999,ROUND(F502,3)&lt;&gt;F502)),"Invalid last service",IF(AND(E502&lt;&gt;"",D502&lt;E502),"Decreased reading",IF(F502&gt;D502,"Last service above current","")))))))))))))</x:f>
      </x:c>
      <x:c r="L502" s="6" t="str">
        <x:f>IF(AND(NOT(COUNTA(A502:F502)=0),K502=""),INDEX('Rules'!$C$7:$C$26,MATCH(SUBSTITUTE(SUBSTITUTE(SUBSTITUTE(SUBSTITUTE("type:"&amp;B502,"%","%25"),"~","%7E"),"*","%2A"),"?","%3F"),'Rules'!$G$7:$G$26,0)),"")</x:f>
      </x:c>
      <x:c r="M502" s="6" t="str">
        <x:f>IF(AND(NOT(COUNTA(A502:F502)=0),K502=""),INDEX('Rules'!$D$7:$D$26,MATCH(SUBSTITUTE(SUBSTITUTE(SUBSTITUTE(SUBSTITUTE("type:"&amp;B502,"%","%25"),"~","%7E"),"*","%2A"),"?","%3F"),'Rules'!$G$7:$G$26,0)),"")</x:f>
      </x:c>
      <x:c r="N502" s="5" t="str">
        <x:f>IF(COUNTA(A502:F502)=0,"",SUBSTITUTE(SUBSTITUTE(SUBSTITUTE(SUBSTITUTE("id:"&amp;A502,"%","%25"),"~","%7E"),"*","%2A"),"?","%3F"))</x:f>
      </x:c>
    </x:row>
    <x:row r="503" ht="22" customHeight="1">
      <x:c r="A503" s="3"/>
      <x:c r="B503" s="3"/>
      <x:c r="C503" s="3"/>
      <x:c r="D503" s="4"/>
      <x:c r="E503" s="4"/>
      <x:c r="F503" s="4"/>
      <x:c r="G503" s="5" t="str">
        <x:f>IF(COUNTA(A503:F503)=0,"",IF(K503&lt;&gt;"","Review",IF(I503&lt;0,"Overdue",IF(I503=0,"Due now",IF(I503&lt;=M503,"Due soon","Not due")))))</x:f>
      </x:c>
      <x:c r="H503" s="5" t="str">
        <x:f>IF(OR(COUNTA(A503:F503)=0,COUNTIFS('Rules'!$G$7:$G$26,"="&amp;(SUBSTITUTE(SUBSTITUTE(SUBSTITUTE(SUBSTITUTE("type:"&amp;B503,"%","%25"),"~","%7E"),"*","%2A"),"?","%3F")))&lt;&gt;1),"",IF(OR(INDEX('Rules'!$B$7:$B$26,MATCH(SUBSTITUTE(SUBSTITUTE(SUBSTITUTE(SUBSTITUTE("type:"&amp;B503,"%","%25"),"~","%7E"),"*","%2A"),"?","%3F"),'Rules'!$G$7:$G$26,0))="hours",INDEX('Rules'!$B$7:$B$26,MATCH(SUBSTITUTE(SUBSTITUTE(SUBSTITUTE(SUBSTITUTE("type:"&amp;B503,"%","%25"),"~","%7E"),"*","%2A"),"?","%3F"),'Rules'!$G$7:$G$26,0))="km"),INDEX('Rules'!$B$7:$B$26,MATCH(SUBSTITUTE(SUBSTITUTE(SUBSTITUTE(SUBSTITUTE("type:"&amp;B503,"%","%25"),"~","%7E"),"*","%2A"),"?","%3F"),'Rules'!$G$7:$G$26,0)),""))</x:f>
      </x:c>
      <x:c r="I503" s="6" t="str">
        <x:f>IF(AND(NOT(COUNTA(A503:F503)=0),K503=""),ROUND(J503-D503,3),"")</x:f>
      </x:c>
      <x:c r="J503" s="6" t="str">
        <x:f>IF(AND(NOT(COUNTA(A503:F503)=0),K503=""),ROUND(F503+L503,3),"")</x:f>
      </x:c>
      <x:c r="K503" s="5" t="str">
        <x:f>IF(COUNTA(A503:F503)=0,"",IF(A503="","Missing equipment ID",IF(COUNTIFS($N$8:$N$2007,"="&amp;N503)&gt;1,"Duplicate equipment ID",IF(B503="","Missing type",IF(COUNTIFS('Rules'!$G$7:$G$26,"="&amp;(SUBSTITUTE(SUBSTITUTE(SUBSTITUTE(SUBSTITUTE("type:"&amp;B503,"%","%25"),"~","%7E"),"*","%2A"),"?","%3F")))=0,"Unknown type",IF(COUNTIFS('Rules'!$G$7:$G$26,"="&amp;(SUBSTITUTE(SUBSTITUTE(SUBSTITUTE(SUBSTITUTE("type:"&amp;B503,"%","%25"),"~","%7E"),"*","%2A"),"?","%3F")))&gt;1,"Duplicate type",IF(INDEX('Rules'!$F$7:$F$26,MATCH(SUBSTITUTE(SUBSTITUTE(SUBSTITUTE(SUBSTITUTE("type:"&amp;B503,"%","%25"),"~","%7E"),"*","%2A"),"?","%3F"),'Rules'!$G$7:$G$26,0))&lt;&gt;"",INDEX('Rules'!$F$7:$F$26,MATCH(SUBSTITUTE(SUBSTITUTE(SUBSTITUTE(SUBSTITUTE("type:"&amp;B503,"%","%25"),"~","%7E"),"*","%2A"),"?","%3F"),'Rules'!$G$7:$G$26,0)),IF(AND(C503&lt;&gt;"",C503&lt;&gt;INDEX('Rules'!$B$7:$B$26,MATCH(SUBSTITUTE(SUBSTITUTE(SUBSTITUTE(SUBSTITUTE("type:"&amp;B503,"%","%25"),"~","%7E"),"*","%2A"),"?","%3F"),'Rules'!$G$7:$G$26,0))),"Unit mismatch",IF(IF(NOT(ISNUMBER(D503)),TRUE,OR(D503&lt;0,D503&gt;999999999,ROUND(D503,3)&lt;&gt;D503)),"Invalid current reading",IF(AND(E503&lt;&gt;"",IF(NOT(ISNUMBER(E503)),TRUE,OR(E503&lt;0,E503&gt;999999999,ROUND(E503,3)&lt;&gt;E503))),"Invalid previous reading",IF(IF(NOT(ISNUMBER(F503)),TRUE,OR(F503&lt;0,F503&gt;999999999,ROUND(F503,3)&lt;&gt;F503)),"Invalid last service",IF(AND(E503&lt;&gt;"",D503&lt;E503),"Decreased reading",IF(F503&gt;D503,"Last service above current","")))))))))))))</x:f>
      </x:c>
      <x:c r="L503" s="6" t="str">
        <x:f>IF(AND(NOT(COUNTA(A503:F503)=0),K503=""),INDEX('Rules'!$C$7:$C$26,MATCH(SUBSTITUTE(SUBSTITUTE(SUBSTITUTE(SUBSTITUTE("type:"&amp;B503,"%","%25"),"~","%7E"),"*","%2A"),"?","%3F"),'Rules'!$G$7:$G$26,0)),"")</x:f>
      </x:c>
      <x:c r="M503" s="6" t="str">
        <x:f>IF(AND(NOT(COUNTA(A503:F503)=0),K503=""),INDEX('Rules'!$D$7:$D$26,MATCH(SUBSTITUTE(SUBSTITUTE(SUBSTITUTE(SUBSTITUTE("type:"&amp;B503,"%","%25"),"~","%7E"),"*","%2A"),"?","%3F"),'Rules'!$G$7:$G$26,0)),"")</x:f>
      </x:c>
      <x:c r="N503" s="5" t="str">
        <x:f>IF(COUNTA(A503:F503)=0,"",SUBSTITUTE(SUBSTITUTE(SUBSTITUTE(SUBSTITUTE("id:"&amp;A503,"%","%25"),"~","%7E"),"*","%2A"),"?","%3F"))</x:f>
      </x:c>
    </x:row>
    <x:row r="504" ht="22" customHeight="1">
      <x:c r="A504" s="3"/>
      <x:c r="B504" s="3"/>
      <x:c r="C504" s="3"/>
      <x:c r="D504" s="4"/>
      <x:c r="E504" s="4"/>
      <x:c r="F504" s="4"/>
      <x:c r="G504" s="5" t="str">
        <x:f>IF(COUNTA(A504:F504)=0,"",IF(K504&lt;&gt;"","Review",IF(I504&lt;0,"Overdue",IF(I504=0,"Due now",IF(I504&lt;=M504,"Due soon","Not due")))))</x:f>
      </x:c>
      <x:c r="H504" s="5" t="str">
        <x:f>IF(OR(COUNTA(A504:F504)=0,COUNTIFS('Rules'!$G$7:$G$26,"="&amp;(SUBSTITUTE(SUBSTITUTE(SUBSTITUTE(SUBSTITUTE("type:"&amp;B504,"%","%25"),"~","%7E"),"*","%2A"),"?","%3F")))&lt;&gt;1),"",IF(OR(INDEX('Rules'!$B$7:$B$26,MATCH(SUBSTITUTE(SUBSTITUTE(SUBSTITUTE(SUBSTITUTE("type:"&amp;B504,"%","%25"),"~","%7E"),"*","%2A"),"?","%3F"),'Rules'!$G$7:$G$26,0))="hours",INDEX('Rules'!$B$7:$B$26,MATCH(SUBSTITUTE(SUBSTITUTE(SUBSTITUTE(SUBSTITUTE("type:"&amp;B504,"%","%25"),"~","%7E"),"*","%2A"),"?","%3F"),'Rules'!$G$7:$G$26,0))="km"),INDEX('Rules'!$B$7:$B$26,MATCH(SUBSTITUTE(SUBSTITUTE(SUBSTITUTE(SUBSTITUTE("type:"&amp;B504,"%","%25"),"~","%7E"),"*","%2A"),"?","%3F"),'Rules'!$G$7:$G$26,0)),""))</x:f>
      </x:c>
      <x:c r="I504" s="6" t="str">
        <x:f>IF(AND(NOT(COUNTA(A504:F504)=0),K504=""),ROUND(J504-D504,3),"")</x:f>
      </x:c>
      <x:c r="J504" s="6" t="str">
        <x:f>IF(AND(NOT(COUNTA(A504:F504)=0),K504=""),ROUND(F504+L504,3),"")</x:f>
      </x:c>
      <x:c r="K504" s="5" t="str">
        <x:f>IF(COUNTA(A504:F504)=0,"",IF(A504="","Missing equipment ID",IF(COUNTIFS($N$8:$N$2007,"="&amp;N504)&gt;1,"Duplicate equipment ID",IF(B504="","Missing type",IF(COUNTIFS('Rules'!$G$7:$G$26,"="&amp;(SUBSTITUTE(SUBSTITUTE(SUBSTITUTE(SUBSTITUTE("type:"&amp;B504,"%","%25"),"~","%7E"),"*","%2A"),"?","%3F")))=0,"Unknown type",IF(COUNTIFS('Rules'!$G$7:$G$26,"="&amp;(SUBSTITUTE(SUBSTITUTE(SUBSTITUTE(SUBSTITUTE("type:"&amp;B504,"%","%25"),"~","%7E"),"*","%2A"),"?","%3F")))&gt;1,"Duplicate type",IF(INDEX('Rules'!$F$7:$F$26,MATCH(SUBSTITUTE(SUBSTITUTE(SUBSTITUTE(SUBSTITUTE("type:"&amp;B504,"%","%25"),"~","%7E"),"*","%2A"),"?","%3F"),'Rules'!$G$7:$G$26,0))&lt;&gt;"",INDEX('Rules'!$F$7:$F$26,MATCH(SUBSTITUTE(SUBSTITUTE(SUBSTITUTE(SUBSTITUTE("type:"&amp;B504,"%","%25"),"~","%7E"),"*","%2A"),"?","%3F"),'Rules'!$G$7:$G$26,0)),IF(AND(C504&lt;&gt;"",C504&lt;&gt;INDEX('Rules'!$B$7:$B$26,MATCH(SUBSTITUTE(SUBSTITUTE(SUBSTITUTE(SUBSTITUTE("type:"&amp;B504,"%","%25"),"~","%7E"),"*","%2A"),"?","%3F"),'Rules'!$G$7:$G$26,0))),"Unit mismatch",IF(IF(NOT(ISNUMBER(D504)),TRUE,OR(D504&lt;0,D504&gt;999999999,ROUND(D504,3)&lt;&gt;D504)),"Invalid current reading",IF(AND(E504&lt;&gt;"",IF(NOT(ISNUMBER(E504)),TRUE,OR(E504&lt;0,E504&gt;999999999,ROUND(E504,3)&lt;&gt;E504))),"Invalid previous reading",IF(IF(NOT(ISNUMBER(F504)),TRUE,OR(F504&lt;0,F504&gt;999999999,ROUND(F504,3)&lt;&gt;F504)),"Invalid last service",IF(AND(E504&lt;&gt;"",D504&lt;E504),"Decreased reading",IF(F504&gt;D504,"Last service above current","")))))))))))))</x:f>
      </x:c>
      <x:c r="L504" s="6" t="str">
        <x:f>IF(AND(NOT(COUNTA(A504:F504)=0),K504=""),INDEX('Rules'!$C$7:$C$26,MATCH(SUBSTITUTE(SUBSTITUTE(SUBSTITUTE(SUBSTITUTE("type:"&amp;B504,"%","%25"),"~","%7E"),"*","%2A"),"?","%3F"),'Rules'!$G$7:$G$26,0)),"")</x:f>
      </x:c>
      <x:c r="M504" s="6" t="str">
        <x:f>IF(AND(NOT(COUNTA(A504:F504)=0),K504=""),INDEX('Rules'!$D$7:$D$26,MATCH(SUBSTITUTE(SUBSTITUTE(SUBSTITUTE(SUBSTITUTE("type:"&amp;B504,"%","%25"),"~","%7E"),"*","%2A"),"?","%3F"),'Rules'!$G$7:$G$26,0)),"")</x:f>
      </x:c>
      <x:c r="N504" s="5" t="str">
        <x:f>IF(COUNTA(A504:F504)=0,"",SUBSTITUTE(SUBSTITUTE(SUBSTITUTE(SUBSTITUTE("id:"&amp;A504,"%","%25"),"~","%7E"),"*","%2A"),"?","%3F"))</x:f>
      </x:c>
    </x:row>
    <x:row r="505" ht="22" customHeight="1">
      <x:c r="A505" s="3"/>
      <x:c r="B505" s="3"/>
      <x:c r="C505" s="3"/>
      <x:c r="D505" s="4"/>
      <x:c r="E505" s="4"/>
      <x:c r="F505" s="4"/>
      <x:c r="G505" s="5" t="str">
        <x:f>IF(COUNTA(A505:F505)=0,"",IF(K505&lt;&gt;"","Review",IF(I505&lt;0,"Overdue",IF(I505=0,"Due now",IF(I505&lt;=M505,"Due soon","Not due")))))</x:f>
      </x:c>
      <x:c r="H505" s="5" t="str">
        <x:f>IF(OR(COUNTA(A505:F505)=0,COUNTIFS('Rules'!$G$7:$G$26,"="&amp;(SUBSTITUTE(SUBSTITUTE(SUBSTITUTE(SUBSTITUTE("type:"&amp;B505,"%","%25"),"~","%7E"),"*","%2A"),"?","%3F")))&lt;&gt;1),"",IF(OR(INDEX('Rules'!$B$7:$B$26,MATCH(SUBSTITUTE(SUBSTITUTE(SUBSTITUTE(SUBSTITUTE("type:"&amp;B505,"%","%25"),"~","%7E"),"*","%2A"),"?","%3F"),'Rules'!$G$7:$G$26,0))="hours",INDEX('Rules'!$B$7:$B$26,MATCH(SUBSTITUTE(SUBSTITUTE(SUBSTITUTE(SUBSTITUTE("type:"&amp;B505,"%","%25"),"~","%7E"),"*","%2A"),"?","%3F"),'Rules'!$G$7:$G$26,0))="km"),INDEX('Rules'!$B$7:$B$26,MATCH(SUBSTITUTE(SUBSTITUTE(SUBSTITUTE(SUBSTITUTE("type:"&amp;B505,"%","%25"),"~","%7E"),"*","%2A"),"?","%3F"),'Rules'!$G$7:$G$26,0)),""))</x:f>
      </x:c>
      <x:c r="I505" s="6" t="str">
        <x:f>IF(AND(NOT(COUNTA(A505:F505)=0),K505=""),ROUND(J505-D505,3),"")</x:f>
      </x:c>
      <x:c r="J505" s="6" t="str">
        <x:f>IF(AND(NOT(COUNTA(A505:F505)=0),K505=""),ROUND(F505+L505,3),"")</x:f>
      </x:c>
      <x:c r="K505" s="5" t="str">
        <x:f>IF(COUNTA(A505:F505)=0,"",IF(A505="","Missing equipment ID",IF(COUNTIFS($N$8:$N$2007,"="&amp;N505)&gt;1,"Duplicate equipment ID",IF(B505="","Missing type",IF(COUNTIFS('Rules'!$G$7:$G$26,"="&amp;(SUBSTITUTE(SUBSTITUTE(SUBSTITUTE(SUBSTITUTE("type:"&amp;B505,"%","%25"),"~","%7E"),"*","%2A"),"?","%3F")))=0,"Unknown type",IF(COUNTIFS('Rules'!$G$7:$G$26,"="&amp;(SUBSTITUTE(SUBSTITUTE(SUBSTITUTE(SUBSTITUTE("type:"&amp;B505,"%","%25"),"~","%7E"),"*","%2A"),"?","%3F")))&gt;1,"Duplicate type",IF(INDEX('Rules'!$F$7:$F$26,MATCH(SUBSTITUTE(SUBSTITUTE(SUBSTITUTE(SUBSTITUTE("type:"&amp;B505,"%","%25"),"~","%7E"),"*","%2A"),"?","%3F"),'Rules'!$G$7:$G$26,0))&lt;&gt;"",INDEX('Rules'!$F$7:$F$26,MATCH(SUBSTITUTE(SUBSTITUTE(SUBSTITUTE(SUBSTITUTE("type:"&amp;B505,"%","%25"),"~","%7E"),"*","%2A"),"?","%3F"),'Rules'!$G$7:$G$26,0)),IF(AND(C505&lt;&gt;"",C505&lt;&gt;INDEX('Rules'!$B$7:$B$26,MATCH(SUBSTITUTE(SUBSTITUTE(SUBSTITUTE(SUBSTITUTE("type:"&amp;B505,"%","%25"),"~","%7E"),"*","%2A"),"?","%3F"),'Rules'!$G$7:$G$26,0))),"Unit mismatch",IF(IF(NOT(ISNUMBER(D505)),TRUE,OR(D505&lt;0,D505&gt;999999999,ROUND(D505,3)&lt;&gt;D505)),"Invalid current reading",IF(AND(E505&lt;&gt;"",IF(NOT(ISNUMBER(E505)),TRUE,OR(E505&lt;0,E505&gt;999999999,ROUND(E505,3)&lt;&gt;E505))),"Invalid previous reading",IF(IF(NOT(ISNUMBER(F505)),TRUE,OR(F505&lt;0,F505&gt;999999999,ROUND(F505,3)&lt;&gt;F505)),"Invalid last service",IF(AND(E505&lt;&gt;"",D505&lt;E505),"Decreased reading",IF(F505&gt;D505,"Last service above current","")))))))))))))</x:f>
      </x:c>
      <x:c r="L505" s="6" t="str">
        <x:f>IF(AND(NOT(COUNTA(A505:F505)=0),K505=""),INDEX('Rules'!$C$7:$C$26,MATCH(SUBSTITUTE(SUBSTITUTE(SUBSTITUTE(SUBSTITUTE("type:"&amp;B505,"%","%25"),"~","%7E"),"*","%2A"),"?","%3F"),'Rules'!$G$7:$G$26,0)),"")</x:f>
      </x:c>
      <x:c r="M505" s="6" t="str">
        <x:f>IF(AND(NOT(COUNTA(A505:F505)=0),K505=""),INDEX('Rules'!$D$7:$D$26,MATCH(SUBSTITUTE(SUBSTITUTE(SUBSTITUTE(SUBSTITUTE("type:"&amp;B505,"%","%25"),"~","%7E"),"*","%2A"),"?","%3F"),'Rules'!$G$7:$G$26,0)),"")</x:f>
      </x:c>
      <x:c r="N505" s="5" t="str">
        <x:f>IF(COUNTA(A505:F505)=0,"",SUBSTITUTE(SUBSTITUTE(SUBSTITUTE(SUBSTITUTE("id:"&amp;A505,"%","%25"),"~","%7E"),"*","%2A"),"?","%3F"))</x:f>
      </x:c>
    </x:row>
    <x:row r="506" ht="22" customHeight="1">
      <x:c r="A506" s="3"/>
      <x:c r="B506" s="3"/>
      <x:c r="C506" s="3"/>
      <x:c r="D506" s="4"/>
      <x:c r="E506" s="4"/>
      <x:c r="F506" s="4"/>
      <x:c r="G506" s="5" t="str">
        <x:f>IF(COUNTA(A506:F506)=0,"",IF(K506&lt;&gt;"","Review",IF(I506&lt;0,"Overdue",IF(I506=0,"Due now",IF(I506&lt;=M506,"Due soon","Not due")))))</x:f>
      </x:c>
      <x:c r="H506" s="5" t="str">
        <x:f>IF(OR(COUNTA(A506:F506)=0,COUNTIFS('Rules'!$G$7:$G$26,"="&amp;(SUBSTITUTE(SUBSTITUTE(SUBSTITUTE(SUBSTITUTE("type:"&amp;B506,"%","%25"),"~","%7E"),"*","%2A"),"?","%3F")))&lt;&gt;1),"",IF(OR(INDEX('Rules'!$B$7:$B$26,MATCH(SUBSTITUTE(SUBSTITUTE(SUBSTITUTE(SUBSTITUTE("type:"&amp;B506,"%","%25"),"~","%7E"),"*","%2A"),"?","%3F"),'Rules'!$G$7:$G$26,0))="hours",INDEX('Rules'!$B$7:$B$26,MATCH(SUBSTITUTE(SUBSTITUTE(SUBSTITUTE(SUBSTITUTE("type:"&amp;B506,"%","%25"),"~","%7E"),"*","%2A"),"?","%3F"),'Rules'!$G$7:$G$26,0))="km"),INDEX('Rules'!$B$7:$B$26,MATCH(SUBSTITUTE(SUBSTITUTE(SUBSTITUTE(SUBSTITUTE("type:"&amp;B506,"%","%25"),"~","%7E"),"*","%2A"),"?","%3F"),'Rules'!$G$7:$G$26,0)),""))</x:f>
      </x:c>
      <x:c r="I506" s="6" t="str">
        <x:f>IF(AND(NOT(COUNTA(A506:F506)=0),K506=""),ROUND(J506-D506,3),"")</x:f>
      </x:c>
      <x:c r="J506" s="6" t="str">
        <x:f>IF(AND(NOT(COUNTA(A506:F506)=0),K506=""),ROUND(F506+L506,3),"")</x:f>
      </x:c>
      <x:c r="K506" s="5" t="str">
        <x:f>IF(COUNTA(A506:F506)=0,"",IF(A506="","Missing equipment ID",IF(COUNTIFS($N$8:$N$2007,"="&amp;N506)&gt;1,"Duplicate equipment ID",IF(B506="","Missing type",IF(COUNTIFS('Rules'!$G$7:$G$26,"="&amp;(SUBSTITUTE(SUBSTITUTE(SUBSTITUTE(SUBSTITUTE("type:"&amp;B506,"%","%25"),"~","%7E"),"*","%2A"),"?","%3F")))=0,"Unknown type",IF(COUNTIFS('Rules'!$G$7:$G$26,"="&amp;(SUBSTITUTE(SUBSTITUTE(SUBSTITUTE(SUBSTITUTE("type:"&amp;B506,"%","%25"),"~","%7E"),"*","%2A"),"?","%3F")))&gt;1,"Duplicate type",IF(INDEX('Rules'!$F$7:$F$26,MATCH(SUBSTITUTE(SUBSTITUTE(SUBSTITUTE(SUBSTITUTE("type:"&amp;B506,"%","%25"),"~","%7E"),"*","%2A"),"?","%3F"),'Rules'!$G$7:$G$26,0))&lt;&gt;"",INDEX('Rules'!$F$7:$F$26,MATCH(SUBSTITUTE(SUBSTITUTE(SUBSTITUTE(SUBSTITUTE("type:"&amp;B506,"%","%25"),"~","%7E"),"*","%2A"),"?","%3F"),'Rules'!$G$7:$G$26,0)),IF(AND(C506&lt;&gt;"",C506&lt;&gt;INDEX('Rules'!$B$7:$B$26,MATCH(SUBSTITUTE(SUBSTITUTE(SUBSTITUTE(SUBSTITUTE("type:"&amp;B506,"%","%25"),"~","%7E"),"*","%2A"),"?","%3F"),'Rules'!$G$7:$G$26,0))),"Unit mismatch",IF(IF(NOT(ISNUMBER(D506)),TRUE,OR(D506&lt;0,D506&gt;999999999,ROUND(D506,3)&lt;&gt;D506)),"Invalid current reading",IF(AND(E506&lt;&gt;"",IF(NOT(ISNUMBER(E506)),TRUE,OR(E506&lt;0,E506&gt;999999999,ROUND(E506,3)&lt;&gt;E506))),"Invalid previous reading",IF(IF(NOT(ISNUMBER(F506)),TRUE,OR(F506&lt;0,F506&gt;999999999,ROUND(F506,3)&lt;&gt;F506)),"Invalid last service",IF(AND(E506&lt;&gt;"",D506&lt;E506),"Decreased reading",IF(F506&gt;D506,"Last service above current","")))))))))))))</x:f>
      </x:c>
      <x:c r="L506" s="6" t="str">
        <x:f>IF(AND(NOT(COUNTA(A506:F506)=0),K506=""),INDEX('Rules'!$C$7:$C$26,MATCH(SUBSTITUTE(SUBSTITUTE(SUBSTITUTE(SUBSTITUTE("type:"&amp;B506,"%","%25"),"~","%7E"),"*","%2A"),"?","%3F"),'Rules'!$G$7:$G$26,0)),"")</x:f>
      </x:c>
      <x:c r="M506" s="6" t="str">
        <x:f>IF(AND(NOT(COUNTA(A506:F506)=0),K506=""),INDEX('Rules'!$D$7:$D$26,MATCH(SUBSTITUTE(SUBSTITUTE(SUBSTITUTE(SUBSTITUTE("type:"&amp;B506,"%","%25"),"~","%7E"),"*","%2A"),"?","%3F"),'Rules'!$G$7:$G$26,0)),"")</x:f>
      </x:c>
      <x:c r="N506" s="5" t="str">
        <x:f>IF(COUNTA(A506:F506)=0,"",SUBSTITUTE(SUBSTITUTE(SUBSTITUTE(SUBSTITUTE("id:"&amp;A506,"%","%25"),"~","%7E"),"*","%2A"),"?","%3F"))</x:f>
      </x:c>
    </x:row>
    <x:row r="507" ht="22" customHeight="1">
      <x:c r="A507" s="3"/>
      <x:c r="B507" s="3"/>
      <x:c r="C507" s="3"/>
      <x:c r="D507" s="4"/>
      <x:c r="E507" s="4"/>
      <x:c r="F507" s="4"/>
      <x:c r="G507" s="5" t="str">
        <x:f>IF(COUNTA(A507:F507)=0,"",IF(K507&lt;&gt;"","Review",IF(I507&lt;0,"Overdue",IF(I507=0,"Due now",IF(I507&lt;=M507,"Due soon","Not due")))))</x:f>
      </x:c>
      <x:c r="H507" s="5" t="str">
        <x:f>IF(OR(COUNTA(A507:F507)=0,COUNTIFS('Rules'!$G$7:$G$26,"="&amp;(SUBSTITUTE(SUBSTITUTE(SUBSTITUTE(SUBSTITUTE("type:"&amp;B507,"%","%25"),"~","%7E"),"*","%2A"),"?","%3F")))&lt;&gt;1),"",IF(OR(INDEX('Rules'!$B$7:$B$26,MATCH(SUBSTITUTE(SUBSTITUTE(SUBSTITUTE(SUBSTITUTE("type:"&amp;B507,"%","%25"),"~","%7E"),"*","%2A"),"?","%3F"),'Rules'!$G$7:$G$26,0))="hours",INDEX('Rules'!$B$7:$B$26,MATCH(SUBSTITUTE(SUBSTITUTE(SUBSTITUTE(SUBSTITUTE("type:"&amp;B507,"%","%25"),"~","%7E"),"*","%2A"),"?","%3F"),'Rules'!$G$7:$G$26,0))="km"),INDEX('Rules'!$B$7:$B$26,MATCH(SUBSTITUTE(SUBSTITUTE(SUBSTITUTE(SUBSTITUTE("type:"&amp;B507,"%","%25"),"~","%7E"),"*","%2A"),"?","%3F"),'Rules'!$G$7:$G$26,0)),""))</x:f>
      </x:c>
      <x:c r="I507" s="6" t="str">
        <x:f>IF(AND(NOT(COUNTA(A507:F507)=0),K507=""),ROUND(J507-D507,3),"")</x:f>
      </x:c>
      <x:c r="J507" s="6" t="str">
        <x:f>IF(AND(NOT(COUNTA(A507:F507)=0),K507=""),ROUND(F507+L507,3),"")</x:f>
      </x:c>
      <x:c r="K507" s="5" t="str">
        <x:f>IF(COUNTA(A507:F507)=0,"",IF(A507="","Missing equipment ID",IF(COUNTIFS($N$8:$N$2007,"="&amp;N507)&gt;1,"Duplicate equipment ID",IF(B507="","Missing type",IF(COUNTIFS('Rules'!$G$7:$G$26,"="&amp;(SUBSTITUTE(SUBSTITUTE(SUBSTITUTE(SUBSTITUTE("type:"&amp;B507,"%","%25"),"~","%7E"),"*","%2A"),"?","%3F")))=0,"Unknown type",IF(COUNTIFS('Rules'!$G$7:$G$26,"="&amp;(SUBSTITUTE(SUBSTITUTE(SUBSTITUTE(SUBSTITUTE("type:"&amp;B507,"%","%25"),"~","%7E"),"*","%2A"),"?","%3F")))&gt;1,"Duplicate type",IF(INDEX('Rules'!$F$7:$F$26,MATCH(SUBSTITUTE(SUBSTITUTE(SUBSTITUTE(SUBSTITUTE("type:"&amp;B507,"%","%25"),"~","%7E"),"*","%2A"),"?","%3F"),'Rules'!$G$7:$G$26,0))&lt;&gt;"",INDEX('Rules'!$F$7:$F$26,MATCH(SUBSTITUTE(SUBSTITUTE(SUBSTITUTE(SUBSTITUTE("type:"&amp;B507,"%","%25"),"~","%7E"),"*","%2A"),"?","%3F"),'Rules'!$G$7:$G$26,0)),IF(AND(C507&lt;&gt;"",C507&lt;&gt;INDEX('Rules'!$B$7:$B$26,MATCH(SUBSTITUTE(SUBSTITUTE(SUBSTITUTE(SUBSTITUTE("type:"&amp;B507,"%","%25"),"~","%7E"),"*","%2A"),"?","%3F"),'Rules'!$G$7:$G$26,0))),"Unit mismatch",IF(IF(NOT(ISNUMBER(D507)),TRUE,OR(D507&lt;0,D507&gt;999999999,ROUND(D507,3)&lt;&gt;D507)),"Invalid current reading",IF(AND(E507&lt;&gt;"",IF(NOT(ISNUMBER(E507)),TRUE,OR(E507&lt;0,E507&gt;999999999,ROUND(E507,3)&lt;&gt;E507))),"Invalid previous reading",IF(IF(NOT(ISNUMBER(F507)),TRUE,OR(F507&lt;0,F507&gt;999999999,ROUND(F507,3)&lt;&gt;F507)),"Invalid last service",IF(AND(E507&lt;&gt;"",D507&lt;E507),"Decreased reading",IF(F507&gt;D507,"Last service above current","")))))))))))))</x:f>
      </x:c>
      <x:c r="L507" s="6" t="str">
        <x:f>IF(AND(NOT(COUNTA(A507:F507)=0),K507=""),INDEX('Rules'!$C$7:$C$26,MATCH(SUBSTITUTE(SUBSTITUTE(SUBSTITUTE(SUBSTITUTE("type:"&amp;B507,"%","%25"),"~","%7E"),"*","%2A"),"?","%3F"),'Rules'!$G$7:$G$26,0)),"")</x:f>
      </x:c>
      <x:c r="M507" s="6" t="str">
        <x:f>IF(AND(NOT(COUNTA(A507:F507)=0),K507=""),INDEX('Rules'!$D$7:$D$26,MATCH(SUBSTITUTE(SUBSTITUTE(SUBSTITUTE(SUBSTITUTE("type:"&amp;B507,"%","%25"),"~","%7E"),"*","%2A"),"?","%3F"),'Rules'!$G$7:$G$26,0)),"")</x:f>
      </x:c>
      <x:c r="N507" s="5" t="str">
        <x:f>IF(COUNTA(A507:F507)=0,"",SUBSTITUTE(SUBSTITUTE(SUBSTITUTE(SUBSTITUTE("id:"&amp;A507,"%","%25"),"~","%7E"),"*","%2A"),"?","%3F"))</x:f>
      </x:c>
    </x:row>
    <x:row r="508" ht="22" customHeight="1">
      <x:c r="A508" s="3"/>
      <x:c r="B508" s="3"/>
      <x:c r="C508" s="3"/>
      <x:c r="D508" s="4"/>
      <x:c r="E508" s="4"/>
      <x:c r="F508" s="4"/>
      <x:c r="G508" s="5" t="str">
        <x:f>IF(COUNTA(A508:F508)=0,"",IF(K508&lt;&gt;"","Review",IF(I508&lt;0,"Overdue",IF(I508=0,"Due now",IF(I508&lt;=M508,"Due soon","Not due")))))</x:f>
      </x:c>
      <x:c r="H508" s="5" t="str">
        <x:f>IF(OR(COUNTA(A508:F508)=0,COUNTIFS('Rules'!$G$7:$G$26,"="&amp;(SUBSTITUTE(SUBSTITUTE(SUBSTITUTE(SUBSTITUTE("type:"&amp;B508,"%","%25"),"~","%7E"),"*","%2A"),"?","%3F")))&lt;&gt;1),"",IF(OR(INDEX('Rules'!$B$7:$B$26,MATCH(SUBSTITUTE(SUBSTITUTE(SUBSTITUTE(SUBSTITUTE("type:"&amp;B508,"%","%25"),"~","%7E"),"*","%2A"),"?","%3F"),'Rules'!$G$7:$G$26,0))="hours",INDEX('Rules'!$B$7:$B$26,MATCH(SUBSTITUTE(SUBSTITUTE(SUBSTITUTE(SUBSTITUTE("type:"&amp;B508,"%","%25"),"~","%7E"),"*","%2A"),"?","%3F"),'Rules'!$G$7:$G$26,0))="km"),INDEX('Rules'!$B$7:$B$26,MATCH(SUBSTITUTE(SUBSTITUTE(SUBSTITUTE(SUBSTITUTE("type:"&amp;B508,"%","%25"),"~","%7E"),"*","%2A"),"?","%3F"),'Rules'!$G$7:$G$26,0)),""))</x:f>
      </x:c>
      <x:c r="I508" s="6" t="str">
        <x:f>IF(AND(NOT(COUNTA(A508:F508)=0),K508=""),ROUND(J508-D508,3),"")</x:f>
      </x:c>
      <x:c r="J508" s="6" t="str">
        <x:f>IF(AND(NOT(COUNTA(A508:F508)=0),K508=""),ROUND(F508+L508,3),"")</x:f>
      </x:c>
      <x:c r="K508" s="5" t="str">
        <x:f>IF(COUNTA(A508:F508)=0,"",IF(A508="","Missing equipment ID",IF(COUNTIFS($N$8:$N$2007,"="&amp;N508)&gt;1,"Duplicate equipment ID",IF(B508="","Missing type",IF(COUNTIFS('Rules'!$G$7:$G$26,"="&amp;(SUBSTITUTE(SUBSTITUTE(SUBSTITUTE(SUBSTITUTE("type:"&amp;B508,"%","%25"),"~","%7E"),"*","%2A"),"?","%3F")))=0,"Unknown type",IF(COUNTIFS('Rules'!$G$7:$G$26,"="&amp;(SUBSTITUTE(SUBSTITUTE(SUBSTITUTE(SUBSTITUTE("type:"&amp;B508,"%","%25"),"~","%7E"),"*","%2A"),"?","%3F")))&gt;1,"Duplicate type",IF(INDEX('Rules'!$F$7:$F$26,MATCH(SUBSTITUTE(SUBSTITUTE(SUBSTITUTE(SUBSTITUTE("type:"&amp;B508,"%","%25"),"~","%7E"),"*","%2A"),"?","%3F"),'Rules'!$G$7:$G$26,0))&lt;&gt;"",INDEX('Rules'!$F$7:$F$26,MATCH(SUBSTITUTE(SUBSTITUTE(SUBSTITUTE(SUBSTITUTE("type:"&amp;B508,"%","%25"),"~","%7E"),"*","%2A"),"?","%3F"),'Rules'!$G$7:$G$26,0)),IF(AND(C508&lt;&gt;"",C508&lt;&gt;INDEX('Rules'!$B$7:$B$26,MATCH(SUBSTITUTE(SUBSTITUTE(SUBSTITUTE(SUBSTITUTE("type:"&amp;B508,"%","%25"),"~","%7E"),"*","%2A"),"?","%3F"),'Rules'!$G$7:$G$26,0))),"Unit mismatch",IF(IF(NOT(ISNUMBER(D508)),TRUE,OR(D508&lt;0,D508&gt;999999999,ROUND(D508,3)&lt;&gt;D508)),"Invalid current reading",IF(AND(E508&lt;&gt;"",IF(NOT(ISNUMBER(E508)),TRUE,OR(E508&lt;0,E508&gt;999999999,ROUND(E508,3)&lt;&gt;E508))),"Invalid previous reading",IF(IF(NOT(ISNUMBER(F508)),TRUE,OR(F508&lt;0,F508&gt;999999999,ROUND(F508,3)&lt;&gt;F508)),"Invalid last service",IF(AND(E508&lt;&gt;"",D508&lt;E508),"Decreased reading",IF(F508&gt;D508,"Last service above current","")))))))))))))</x:f>
      </x:c>
      <x:c r="L508" s="6" t="str">
        <x:f>IF(AND(NOT(COUNTA(A508:F508)=0),K508=""),INDEX('Rules'!$C$7:$C$26,MATCH(SUBSTITUTE(SUBSTITUTE(SUBSTITUTE(SUBSTITUTE("type:"&amp;B508,"%","%25"),"~","%7E"),"*","%2A"),"?","%3F"),'Rules'!$G$7:$G$26,0)),"")</x:f>
      </x:c>
      <x:c r="M508" s="6" t="str">
        <x:f>IF(AND(NOT(COUNTA(A508:F508)=0),K508=""),INDEX('Rules'!$D$7:$D$26,MATCH(SUBSTITUTE(SUBSTITUTE(SUBSTITUTE(SUBSTITUTE("type:"&amp;B508,"%","%25"),"~","%7E"),"*","%2A"),"?","%3F"),'Rules'!$G$7:$G$26,0)),"")</x:f>
      </x:c>
      <x:c r="N508" s="5" t="str">
        <x:f>IF(COUNTA(A508:F508)=0,"",SUBSTITUTE(SUBSTITUTE(SUBSTITUTE(SUBSTITUTE("id:"&amp;A508,"%","%25"),"~","%7E"),"*","%2A"),"?","%3F"))</x:f>
      </x:c>
    </x:row>
    <x:row r="509" ht="22" customHeight="1">
      <x:c r="A509" s="3"/>
      <x:c r="B509" s="3"/>
      <x:c r="C509" s="3"/>
      <x:c r="D509" s="4"/>
      <x:c r="E509" s="4"/>
      <x:c r="F509" s="4"/>
      <x:c r="G509" s="5" t="str">
        <x:f>IF(COUNTA(A509:F509)=0,"",IF(K509&lt;&gt;"","Review",IF(I509&lt;0,"Overdue",IF(I509=0,"Due now",IF(I509&lt;=M509,"Due soon","Not due")))))</x:f>
      </x:c>
      <x:c r="H509" s="5" t="str">
        <x:f>IF(OR(COUNTA(A509:F509)=0,COUNTIFS('Rules'!$G$7:$G$26,"="&amp;(SUBSTITUTE(SUBSTITUTE(SUBSTITUTE(SUBSTITUTE("type:"&amp;B509,"%","%25"),"~","%7E"),"*","%2A"),"?","%3F")))&lt;&gt;1),"",IF(OR(INDEX('Rules'!$B$7:$B$26,MATCH(SUBSTITUTE(SUBSTITUTE(SUBSTITUTE(SUBSTITUTE("type:"&amp;B509,"%","%25"),"~","%7E"),"*","%2A"),"?","%3F"),'Rules'!$G$7:$G$26,0))="hours",INDEX('Rules'!$B$7:$B$26,MATCH(SUBSTITUTE(SUBSTITUTE(SUBSTITUTE(SUBSTITUTE("type:"&amp;B509,"%","%25"),"~","%7E"),"*","%2A"),"?","%3F"),'Rules'!$G$7:$G$26,0))="km"),INDEX('Rules'!$B$7:$B$26,MATCH(SUBSTITUTE(SUBSTITUTE(SUBSTITUTE(SUBSTITUTE("type:"&amp;B509,"%","%25"),"~","%7E"),"*","%2A"),"?","%3F"),'Rules'!$G$7:$G$26,0)),""))</x:f>
      </x:c>
      <x:c r="I509" s="6" t="str">
        <x:f>IF(AND(NOT(COUNTA(A509:F509)=0),K509=""),ROUND(J509-D509,3),"")</x:f>
      </x:c>
      <x:c r="J509" s="6" t="str">
        <x:f>IF(AND(NOT(COUNTA(A509:F509)=0),K509=""),ROUND(F509+L509,3),"")</x:f>
      </x:c>
      <x:c r="K509" s="5" t="str">
        <x:f>IF(COUNTA(A509:F509)=0,"",IF(A509="","Missing equipment ID",IF(COUNTIFS($N$8:$N$2007,"="&amp;N509)&gt;1,"Duplicate equipment ID",IF(B509="","Missing type",IF(COUNTIFS('Rules'!$G$7:$G$26,"="&amp;(SUBSTITUTE(SUBSTITUTE(SUBSTITUTE(SUBSTITUTE("type:"&amp;B509,"%","%25"),"~","%7E"),"*","%2A"),"?","%3F")))=0,"Unknown type",IF(COUNTIFS('Rules'!$G$7:$G$26,"="&amp;(SUBSTITUTE(SUBSTITUTE(SUBSTITUTE(SUBSTITUTE("type:"&amp;B509,"%","%25"),"~","%7E"),"*","%2A"),"?","%3F")))&gt;1,"Duplicate type",IF(INDEX('Rules'!$F$7:$F$26,MATCH(SUBSTITUTE(SUBSTITUTE(SUBSTITUTE(SUBSTITUTE("type:"&amp;B509,"%","%25"),"~","%7E"),"*","%2A"),"?","%3F"),'Rules'!$G$7:$G$26,0))&lt;&gt;"",INDEX('Rules'!$F$7:$F$26,MATCH(SUBSTITUTE(SUBSTITUTE(SUBSTITUTE(SUBSTITUTE("type:"&amp;B509,"%","%25"),"~","%7E"),"*","%2A"),"?","%3F"),'Rules'!$G$7:$G$26,0)),IF(AND(C509&lt;&gt;"",C509&lt;&gt;INDEX('Rules'!$B$7:$B$26,MATCH(SUBSTITUTE(SUBSTITUTE(SUBSTITUTE(SUBSTITUTE("type:"&amp;B509,"%","%25"),"~","%7E"),"*","%2A"),"?","%3F"),'Rules'!$G$7:$G$26,0))),"Unit mismatch",IF(IF(NOT(ISNUMBER(D509)),TRUE,OR(D509&lt;0,D509&gt;999999999,ROUND(D509,3)&lt;&gt;D509)),"Invalid current reading",IF(AND(E509&lt;&gt;"",IF(NOT(ISNUMBER(E509)),TRUE,OR(E509&lt;0,E509&gt;999999999,ROUND(E509,3)&lt;&gt;E509))),"Invalid previous reading",IF(IF(NOT(ISNUMBER(F509)),TRUE,OR(F509&lt;0,F509&gt;999999999,ROUND(F509,3)&lt;&gt;F509)),"Invalid last service",IF(AND(E509&lt;&gt;"",D509&lt;E509),"Decreased reading",IF(F509&gt;D509,"Last service above current","")))))))))))))</x:f>
      </x:c>
      <x:c r="L509" s="6" t="str">
        <x:f>IF(AND(NOT(COUNTA(A509:F509)=0),K509=""),INDEX('Rules'!$C$7:$C$26,MATCH(SUBSTITUTE(SUBSTITUTE(SUBSTITUTE(SUBSTITUTE("type:"&amp;B509,"%","%25"),"~","%7E"),"*","%2A"),"?","%3F"),'Rules'!$G$7:$G$26,0)),"")</x:f>
      </x:c>
      <x:c r="M509" s="6" t="str">
        <x:f>IF(AND(NOT(COUNTA(A509:F509)=0),K509=""),INDEX('Rules'!$D$7:$D$26,MATCH(SUBSTITUTE(SUBSTITUTE(SUBSTITUTE(SUBSTITUTE("type:"&amp;B509,"%","%25"),"~","%7E"),"*","%2A"),"?","%3F"),'Rules'!$G$7:$G$26,0)),"")</x:f>
      </x:c>
      <x:c r="N509" s="5" t="str">
        <x:f>IF(COUNTA(A509:F509)=0,"",SUBSTITUTE(SUBSTITUTE(SUBSTITUTE(SUBSTITUTE("id:"&amp;A509,"%","%25"),"~","%7E"),"*","%2A"),"?","%3F"))</x:f>
      </x:c>
    </x:row>
    <x:row r="510" ht="22" customHeight="1">
      <x:c r="A510" s="3"/>
      <x:c r="B510" s="3"/>
      <x:c r="C510" s="3"/>
      <x:c r="D510" s="4"/>
      <x:c r="E510" s="4"/>
      <x:c r="F510" s="4"/>
      <x:c r="G510" s="5" t="str">
        <x:f>IF(COUNTA(A510:F510)=0,"",IF(K510&lt;&gt;"","Review",IF(I510&lt;0,"Overdue",IF(I510=0,"Due now",IF(I510&lt;=M510,"Due soon","Not due")))))</x:f>
      </x:c>
      <x:c r="H510" s="5" t="str">
        <x:f>IF(OR(COUNTA(A510:F510)=0,COUNTIFS('Rules'!$G$7:$G$26,"="&amp;(SUBSTITUTE(SUBSTITUTE(SUBSTITUTE(SUBSTITUTE("type:"&amp;B510,"%","%25"),"~","%7E"),"*","%2A"),"?","%3F")))&lt;&gt;1),"",IF(OR(INDEX('Rules'!$B$7:$B$26,MATCH(SUBSTITUTE(SUBSTITUTE(SUBSTITUTE(SUBSTITUTE("type:"&amp;B510,"%","%25"),"~","%7E"),"*","%2A"),"?","%3F"),'Rules'!$G$7:$G$26,0))="hours",INDEX('Rules'!$B$7:$B$26,MATCH(SUBSTITUTE(SUBSTITUTE(SUBSTITUTE(SUBSTITUTE("type:"&amp;B510,"%","%25"),"~","%7E"),"*","%2A"),"?","%3F"),'Rules'!$G$7:$G$26,0))="km"),INDEX('Rules'!$B$7:$B$26,MATCH(SUBSTITUTE(SUBSTITUTE(SUBSTITUTE(SUBSTITUTE("type:"&amp;B510,"%","%25"),"~","%7E"),"*","%2A"),"?","%3F"),'Rules'!$G$7:$G$26,0)),""))</x:f>
      </x:c>
      <x:c r="I510" s="6" t="str">
        <x:f>IF(AND(NOT(COUNTA(A510:F510)=0),K510=""),ROUND(J510-D510,3),"")</x:f>
      </x:c>
      <x:c r="J510" s="6" t="str">
        <x:f>IF(AND(NOT(COUNTA(A510:F510)=0),K510=""),ROUND(F510+L510,3),"")</x:f>
      </x:c>
      <x:c r="K510" s="5" t="str">
        <x:f>IF(COUNTA(A510:F510)=0,"",IF(A510="","Missing equipment ID",IF(COUNTIFS($N$8:$N$2007,"="&amp;N510)&gt;1,"Duplicate equipment ID",IF(B510="","Missing type",IF(COUNTIFS('Rules'!$G$7:$G$26,"="&amp;(SUBSTITUTE(SUBSTITUTE(SUBSTITUTE(SUBSTITUTE("type:"&amp;B510,"%","%25"),"~","%7E"),"*","%2A"),"?","%3F")))=0,"Unknown type",IF(COUNTIFS('Rules'!$G$7:$G$26,"="&amp;(SUBSTITUTE(SUBSTITUTE(SUBSTITUTE(SUBSTITUTE("type:"&amp;B510,"%","%25"),"~","%7E"),"*","%2A"),"?","%3F")))&gt;1,"Duplicate type",IF(INDEX('Rules'!$F$7:$F$26,MATCH(SUBSTITUTE(SUBSTITUTE(SUBSTITUTE(SUBSTITUTE("type:"&amp;B510,"%","%25"),"~","%7E"),"*","%2A"),"?","%3F"),'Rules'!$G$7:$G$26,0))&lt;&gt;"",INDEX('Rules'!$F$7:$F$26,MATCH(SUBSTITUTE(SUBSTITUTE(SUBSTITUTE(SUBSTITUTE("type:"&amp;B510,"%","%25"),"~","%7E"),"*","%2A"),"?","%3F"),'Rules'!$G$7:$G$26,0)),IF(AND(C510&lt;&gt;"",C510&lt;&gt;INDEX('Rules'!$B$7:$B$26,MATCH(SUBSTITUTE(SUBSTITUTE(SUBSTITUTE(SUBSTITUTE("type:"&amp;B510,"%","%25"),"~","%7E"),"*","%2A"),"?","%3F"),'Rules'!$G$7:$G$26,0))),"Unit mismatch",IF(IF(NOT(ISNUMBER(D510)),TRUE,OR(D510&lt;0,D510&gt;999999999,ROUND(D510,3)&lt;&gt;D510)),"Invalid current reading",IF(AND(E510&lt;&gt;"",IF(NOT(ISNUMBER(E510)),TRUE,OR(E510&lt;0,E510&gt;999999999,ROUND(E510,3)&lt;&gt;E510))),"Invalid previous reading",IF(IF(NOT(ISNUMBER(F510)),TRUE,OR(F510&lt;0,F510&gt;999999999,ROUND(F510,3)&lt;&gt;F510)),"Invalid last service",IF(AND(E510&lt;&gt;"",D510&lt;E510),"Decreased reading",IF(F510&gt;D510,"Last service above current","")))))))))))))</x:f>
      </x:c>
      <x:c r="L510" s="6" t="str">
        <x:f>IF(AND(NOT(COUNTA(A510:F510)=0),K510=""),INDEX('Rules'!$C$7:$C$26,MATCH(SUBSTITUTE(SUBSTITUTE(SUBSTITUTE(SUBSTITUTE("type:"&amp;B510,"%","%25"),"~","%7E"),"*","%2A"),"?","%3F"),'Rules'!$G$7:$G$26,0)),"")</x:f>
      </x:c>
      <x:c r="M510" s="6" t="str">
        <x:f>IF(AND(NOT(COUNTA(A510:F510)=0),K510=""),INDEX('Rules'!$D$7:$D$26,MATCH(SUBSTITUTE(SUBSTITUTE(SUBSTITUTE(SUBSTITUTE("type:"&amp;B510,"%","%25"),"~","%7E"),"*","%2A"),"?","%3F"),'Rules'!$G$7:$G$26,0)),"")</x:f>
      </x:c>
      <x:c r="N510" s="5" t="str">
        <x:f>IF(COUNTA(A510:F510)=0,"",SUBSTITUTE(SUBSTITUTE(SUBSTITUTE(SUBSTITUTE("id:"&amp;A510,"%","%25"),"~","%7E"),"*","%2A"),"?","%3F"))</x:f>
      </x:c>
    </x:row>
    <x:row r="511" ht="22" customHeight="1">
      <x:c r="A511" s="3"/>
      <x:c r="B511" s="3"/>
      <x:c r="C511" s="3"/>
      <x:c r="D511" s="4"/>
      <x:c r="E511" s="4"/>
      <x:c r="F511" s="4"/>
      <x:c r="G511" s="5" t="str">
        <x:f>IF(COUNTA(A511:F511)=0,"",IF(K511&lt;&gt;"","Review",IF(I511&lt;0,"Overdue",IF(I511=0,"Due now",IF(I511&lt;=M511,"Due soon","Not due")))))</x:f>
      </x:c>
      <x:c r="H511" s="5" t="str">
        <x:f>IF(OR(COUNTA(A511:F511)=0,COUNTIFS('Rules'!$G$7:$G$26,"="&amp;(SUBSTITUTE(SUBSTITUTE(SUBSTITUTE(SUBSTITUTE("type:"&amp;B511,"%","%25"),"~","%7E"),"*","%2A"),"?","%3F")))&lt;&gt;1),"",IF(OR(INDEX('Rules'!$B$7:$B$26,MATCH(SUBSTITUTE(SUBSTITUTE(SUBSTITUTE(SUBSTITUTE("type:"&amp;B511,"%","%25"),"~","%7E"),"*","%2A"),"?","%3F"),'Rules'!$G$7:$G$26,0))="hours",INDEX('Rules'!$B$7:$B$26,MATCH(SUBSTITUTE(SUBSTITUTE(SUBSTITUTE(SUBSTITUTE("type:"&amp;B511,"%","%25"),"~","%7E"),"*","%2A"),"?","%3F"),'Rules'!$G$7:$G$26,0))="km"),INDEX('Rules'!$B$7:$B$26,MATCH(SUBSTITUTE(SUBSTITUTE(SUBSTITUTE(SUBSTITUTE("type:"&amp;B511,"%","%25"),"~","%7E"),"*","%2A"),"?","%3F"),'Rules'!$G$7:$G$26,0)),""))</x:f>
      </x:c>
      <x:c r="I511" s="6" t="str">
        <x:f>IF(AND(NOT(COUNTA(A511:F511)=0),K511=""),ROUND(J511-D511,3),"")</x:f>
      </x:c>
      <x:c r="J511" s="6" t="str">
        <x:f>IF(AND(NOT(COUNTA(A511:F511)=0),K511=""),ROUND(F511+L511,3),"")</x:f>
      </x:c>
      <x:c r="K511" s="5" t="str">
        <x:f>IF(COUNTA(A511:F511)=0,"",IF(A511="","Missing equipment ID",IF(COUNTIFS($N$8:$N$2007,"="&amp;N511)&gt;1,"Duplicate equipment ID",IF(B511="","Missing type",IF(COUNTIFS('Rules'!$G$7:$G$26,"="&amp;(SUBSTITUTE(SUBSTITUTE(SUBSTITUTE(SUBSTITUTE("type:"&amp;B511,"%","%25"),"~","%7E"),"*","%2A"),"?","%3F")))=0,"Unknown type",IF(COUNTIFS('Rules'!$G$7:$G$26,"="&amp;(SUBSTITUTE(SUBSTITUTE(SUBSTITUTE(SUBSTITUTE("type:"&amp;B511,"%","%25"),"~","%7E"),"*","%2A"),"?","%3F")))&gt;1,"Duplicate type",IF(INDEX('Rules'!$F$7:$F$26,MATCH(SUBSTITUTE(SUBSTITUTE(SUBSTITUTE(SUBSTITUTE("type:"&amp;B511,"%","%25"),"~","%7E"),"*","%2A"),"?","%3F"),'Rules'!$G$7:$G$26,0))&lt;&gt;"",INDEX('Rules'!$F$7:$F$26,MATCH(SUBSTITUTE(SUBSTITUTE(SUBSTITUTE(SUBSTITUTE("type:"&amp;B511,"%","%25"),"~","%7E"),"*","%2A"),"?","%3F"),'Rules'!$G$7:$G$26,0)),IF(AND(C511&lt;&gt;"",C511&lt;&gt;INDEX('Rules'!$B$7:$B$26,MATCH(SUBSTITUTE(SUBSTITUTE(SUBSTITUTE(SUBSTITUTE("type:"&amp;B511,"%","%25"),"~","%7E"),"*","%2A"),"?","%3F"),'Rules'!$G$7:$G$26,0))),"Unit mismatch",IF(IF(NOT(ISNUMBER(D511)),TRUE,OR(D511&lt;0,D511&gt;999999999,ROUND(D511,3)&lt;&gt;D511)),"Invalid current reading",IF(AND(E511&lt;&gt;"",IF(NOT(ISNUMBER(E511)),TRUE,OR(E511&lt;0,E511&gt;999999999,ROUND(E511,3)&lt;&gt;E511))),"Invalid previous reading",IF(IF(NOT(ISNUMBER(F511)),TRUE,OR(F511&lt;0,F511&gt;999999999,ROUND(F511,3)&lt;&gt;F511)),"Invalid last service",IF(AND(E511&lt;&gt;"",D511&lt;E511),"Decreased reading",IF(F511&gt;D511,"Last service above current","")))))))))))))</x:f>
      </x:c>
      <x:c r="L511" s="6" t="str">
        <x:f>IF(AND(NOT(COUNTA(A511:F511)=0),K511=""),INDEX('Rules'!$C$7:$C$26,MATCH(SUBSTITUTE(SUBSTITUTE(SUBSTITUTE(SUBSTITUTE("type:"&amp;B511,"%","%25"),"~","%7E"),"*","%2A"),"?","%3F"),'Rules'!$G$7:$G$26,0)),"")</x:f>
      </x:c>
      <x:c r="M511" s="6" t="str">
        <x:f>IF(AND(NOT(COUNTA(A511:F511)=0),K511=""),INDEX('Rules'!$D$7:$D$26,MATCH(SUBSTITUTE(SUBSTITUTE(SUBSTITUTE(SUBSTITUTE("type:"&amp;B511,"%","%25"),"~","%7E"),"*","%2A"),"?","%3F"),'Rules'!$G$7:$G$26,0)),"")</x:f>
      </x:c>
      <x:c r="N511" s="5" t="str">
        <x:f>IF(COUNTA(A511:F511)=0,"",SUBSTITUTE(SUBSTITUTE(SUBSTITUTE(SUBSTITUTE("id:"&amp;A511,"%","%25"),"~","%7E"),"*","%2A"),"?","%3F"))</x:f>
      </x:c>
    </x:row>
    <x:row r="512" ht="22" customHeight="1">
      <x:c r="A512" s="3"/>
      <x:c r="B512" s="3"/>
      <x:c r="C512" s="3"/>
      <x:c r="D512" s="4"/>
      <x:c r="E512" s="4"/>
      <x:c r="F512" s="4"/>
      <x:c r="G512" s="5" t="str">
        <x:f>IF(COUNTA(A512:F512)=0,"",IF(K512&lt;&gt;"","Review",IF(I512&lt;0,"Overdue",IF(I512=0,"Due now",IF(I512&lt;=M512,"Due soon","Not due")))))</x:f>
      </x:c>
      <x:c r="H512" s="5" t="str">
        <x:f>IF(OR(COUNTA(A512:F512)=0,COUNTIFS('Rules'!$G$7:$G$26,"="&amp;(SUBSTITUTE(SUBSTITUTE(SUBSTITUTE(SUBSTITUTE("type:"&amp;B512,"%","%25"),"~","%7E"),"*","%2A"),"?","%3F")))&lt;&gt;1),"",IF(OR(INDEX('Rules'!$B$7:$B$26,MATCH(SUBSTITUTE(SUBSTITUTE(SUBSTITUTE(SUBSTITUTE("type:"&amp;B512,"%","%25"),"~","%7E"),"*","%2A"),"?","%3F"),'Rules'!$G$7:$G$26,0))="hours",INDEX('Rules'!$B$7:$B$26,MATCH(SUBSTITUTE(SUBSTITUTE(SUBSTITUTE(SUBSTITUTE("type:"&amp;B512,"%","%25"),"~","%7E"),"*","%2A"),"?","%3F"),'Rules'!$G$7:$G$26,0))="km"),INDEX('Rules'!$B$7:$B$26,MATCH(SUBSTITUTE(SUBSTITUTE(SUBSTITUTE(SUBSTITUTE("type:"&amp;B512,"%","%25"),"~","%7E"),"*","%2A"),"?","%3F"),'Rules'!$G$7:$G$26,0)),""))</x:f>
      </x:c>
      <x:c r="I512" s="6" t="str">
        <x:f>IF(AND(NOT(COUNTA(A512:F512)=0),K512=""),ROUND(J512-D512,3),"")</x:f>
      </x:c>
      <x:c r="J512" s="6" t="str">
        <x:f>IF(AND(NOT(COUNTA(A512:F512)=0),K512=""),ROUND(F512+L512,3),"")</x:f>
      </x:c>
      <x:c r="K512" s="5" t="str">
        <x:f>IF(COUNTA(A512:F512)=0,"",IF(A512="","Missing equipment ID",IF(COUNTIFS($N$8:$N$2007,"="&amp;N512)&gt;1,"Duplicate equipment ID",IF(B512="","Missing type",IF(COUNTIFS('Rules'!$G$7:$G$26,"="&amp;(SUBSTITUTE(SUBSTITUTE(SUBSTITUTE(SUBSTITUTE("type:"&amp;B512,"%","%25"),"~","%7E"),"*","%2A"),"?","%3F")))=0,"Unknown type",IF(COUNTIFS('Rules'!$G$7:$G$26,"="&amp;(SUBSTITUTE(SUBSTITUTE(SUBSTITUTE(SUBSTITUTE("type:"&amp;B512,"%","%25"),"~","%7E"),"*","%2A"),"?","%3F")))&gt;1,"Duplicate type",IF(INDEX('Rules'!$F$7:$F$26,MATCH(SUBSTITUTE(SUBSTITUTE(SUBSTITUTE(SUBSTITUTE("type:"&amp;B512,"%","%25"),"~","%7E"),"*","%2A"),"?","%3F"),'Rules'!$G$7:$G$26,0))&lt;&gt;"",INDEX('Rules'!$F$7:$F$26,MATCH(SUBSTITUTE(SUBSTITUTE(SUBSTITUTE(SUBSTITUTE("type:"&amp;B512,"%","%25"),"~","%7E"),"*","%2A"),"?","%3F"),'Rules'!$G$7:$G$26,0)),IF(AND(C512&lt;&gt;"",C512&lt;&gt;INDEX('Rules'!$B$7:$B$26,MATCH(SUBSTITUTE(SUBSTITUTE(SUBSTITUTE(SUBSTITUTE("type:"&amp;B512,"%","%25"),"~","%7E"),"*","%2A"),"?","%3F"),'Rules'!$G$7:$G$26,0))),"Unit mismatch",IF(IF(NOT(ISNUMBER(D512)),TRUE,OR(D512&lt;0,D512&gt;999999999,ROUND(D512,3)&lt;&gt;D512)),"Invalid current reading",IF(AND(E512&lt;&gt;"",IF(NOT(ISNUMBER(E512)),TRUE,OR(E512&lt;0,E512&gt;999999999,ROUND(E512,3)&lt;&gt;E512))),"Invalid previous reading",IF(IF(NOT(ISNUMBER(F512)),TRUE,OR(F512&lt;0,F512&gt;999999999,ROUND(F512,3)&lt;&gt;F512)),"Invalid last service",IF(AND(E512&lt;&gt;"",D512&lt;E512),"Decreased reading",IF(F512&gt;D512,"Last service above current","")))))))))))))</x:f>
      </x:c>
      <x:c r="L512" s="6" t="str">
        <x:f>IF(AND(NOT(COUNTA(A512:F512)=0),K512=""),INDEX('Rules'!$C$7:$C$26,MATCH(SUBSTITUTE(SUBSTITUTE(SUBSTITUTE(SUBSTITUTE("type:"&amp;B512,"%","%25"),"~","%7E"),"*","%2A"),"?","%3F"),'Rules'!$G$7:$G$26,0)),"")</x:f>
      </x:c>
      <x:c r="M512" s="6" t="str">
        <x:f>IF(AND(NOT(COUNTA(A512:F512)=0),K512=""),INDEX('Rules'!$D$7:$D$26,MATCH(SUBSTITUTE(SUBSTITUTE(SUBSTITUTE(SUBSTITUTE("type:"&amp;B512,"%","%25"),"~","%7E"),"*","%2A"),"?","%3F"),'Rules'!$G$7:$G$26,0)),"")</x:f>
      </x:c>
      <x:c r="N512" s="5" t="str">
        <x:f>IF(COUNTA(A512:F512)=0,"",SUBSTITUTE(SUBSTITUTE(SUBSTITUTE(SUBSTITUTE("id:"&amp;A512,"%","%25"),"~","%7E"),"*","%2A"),"?","%3F"))</x:f>
      </x:c>
    </x:row>
    <x:row r="513" ht="22" customHeight="1">
      <x:c r="A513" s="3"/>
      <x:c r="B513" s="3"/>
      <x:c r="C513" s="3"/>
      <x:c r="D513" s="4"/>
      <x:c r="E513" s="4"/>
      <x:c r="F513" s="4"/>
      <x:c r="G513" s="5" t="str">
        <x:f>IF(COUNTA(A513:F513)=0,"",IF(K513&lt;&gt;"","Review",IF(I513&lt;0,"Overdue",IF(I513=0,"Due now",IF(I513&lt;=M513,"Due soon","Not due")))))</x:f>
      </x:c>
      <x:c r="H513" s="5" t="str">
        <x:f>IF(OR(COUNTA(A513:F513)=0,COUNTIFS('Rules'!$G$7:$G$26,"="&amp;(SUBSTITUTE(SUBSTITUTE(SUBSTITUTE(SUBSTITUTE("type:"&amp;B513,"%","%25"),"~","%7E"),"*","%2A"),"?","%3F")))&lt;&gt;1),"",IF(OR(INDEX('Rules'!$B$7:$B$26,MATCH(SUBSTITUTE(SUBSTITUTE(SUBSTITUTE(SUBSTITUTE("type:"&amp;B513,"%","%25"),"~","%7E"),"*","%2A"),"?","%3F"),'Rules'!$G$7:$G$26,0))="hours",INDEX('Rules'!$B$7:$B$26,MATCH(SUBSTITUTE(SUBSTITUTE(SUBSTITUTE(SUBSTITUTE("type:"&amp;B513,"%","%25"),"~","%7E"),"*","%2A"),"?","%3F"),'Rules'!$G$7:$G$26,0))="km"),INDEX('Rules'!$B$7:$B$26,MATCH(SUBSTITUTE(SUBSTITUTE(SUBSTITUTE(SUBSTITUTE("type:"&amp;B513,"%","%25"),"~","%7E"),"*","%2A"),"?","%3F"),'Rules'!$G$7:$G$26,0)),""))</x:f>
      </x:c>
      <x:c r="I513" s="6" t="str">
        <x:f>IF(AND(NOT(COUNTA(A513:F513)=0),K513=""),ROUND(J513-D513,3),"")</x:f>
      </x:c>
      <x:c r="J513" s="6" t="str">
        <x:f>IF(AND(NOT(COUNTA(A513:F513)=0),K513=""),ROUND(F513+L513,3),"")</x:f>
      </x:c>
      <x:c r="K513" s="5" t="str">
        <x:f>IF(COUNTA(A513:F513)=0,"",IF(A513="","Missing equipment ID",IF(COUNTIFS($N$8:$N$2007,"="&amp;N513)&gt;1,"Duplicate equipment ID",IF(B513="","Missing type",IF(COUNTIFS('Rules'!$G$7:$G$26,"="&amp;(SUBSTITUTE(SUBSTITUTE(SUBSTITUTE(SUBSTITUTE("type:"&amp;B513,"%","%25"),"~","%7E"),"*","%2A"),"?","%3F")))=0,"Unknown type",IF(COUNTIFS('Rules'!$G$7:$G$26,"="&amp;(SUBSTITUTE(SUBSTITUTE(SUBSTITUTE(SUBSTITUTE("type:"&amp;B513,"%","%25"),"~","%7E"),"*","%2A"),"?","%3F")))&gt;1,"Duplicate type",IF(INDEX('Rules'!$F$7:$F$26,MATCH(SUBSTITUTE(SUBSTITUTE(SUBSTITUTE(SUBSTITUTE("type:"&amp;B513,"%","%25"),"~","%7E"),"*","%2A"),"?","%3F"),'Rules'!$G$7:$G$26,0))&lt;&gt;"",INDEX('Rules'!$F$7:$F$26,MATCH(SUBSTITUTE(SUBSTITUTE(SUBSTITUTE(SUBSTITUTE("type:"&amp;B513,"%","%25"),"~","%7E"),"*","%2A"),"?","%3F"),'Rules'!$G$7:$G$26,0)),IF(AND(C513&lt;&gt;"",C513&lt;&gt;INDEX('Rules'!$B$7:$B$26,MATCH(SUBSTITUTE(SUBSTITUTE(SUBSTITUTE(SUBSTITUTE("type:"&amp;B513,"%","%25"),"~","%7E"),"*","%2A"),"?","%3F"),'Rules'!$G$7:$G$26,0))),"Unit mismatch",IF(IF(NOT(ISNUMBER(D513)),TRUE,OR(D513&lt;0,D513&gt;999999999,ROUND(D513,3)&lt;&gt;D513)),"Invalid current reading",IF(AND(E513&lt;&gt;"",IF(NOT(ISNUMBER(E513)),TRUE,OR(E513&lt;0,E513&gt;999999999,ROUND(E513,3)&lt;&gt;E513))),"Invalid previous reading",IF(IF(NOT(ISNUMBER(F513)),TRUE,OR(F513&lt;0,F513&gt;999999999,ROUND(F513,3)&lt;&gt;F513)),"Invalid last service",IF(AND(E513&lt;&gt;"",D513&lt;E513),"Decreased reading",IF(F513&gt;D513,"Last service above current","")))))))))))))</x:f>
      </x:c>
      <x:c r="L513" s="6" t="str">
        <x:f>IF(AND(NOT(COUNTA(A513:F513)=0),K513=""),INDEX('Rules'!$C$7:$C$26,MATCH(SUBSTITUTE(SUBSTITUTE(SUBSTITUTE(SUBSTITUTE("type:"&amp;B513,"%","%25"),"~","%7E"),"*","%2A"),"?","%3F"),'Rules'!$G$7:$G$26,0)),"")</x:f>
      </x:c>
      <x:c r="M513" s="6" t="str">
        <x:f>IF(AND(NOT(COUNTA(A513:F513)=0),K513=""),INDEX('Rules'!$D$7:$D$26,MATCH(SUBSTITUTE(SUBSTITUTE(SUBSTITUTE(SUBSTITUTE("type:"&amp;B513,"%","%25"),"~","%7E"),"*","%2A"),"?","%3F"),'Rules'!$G$7:$G$26,0)),"")</x:f>
      </x:c>
      <x:c r="N513" s="5" t="str">
        <x:f>IF(COUNTA(A513:F513)=0,"",SUBSTITUTE(SUBSTITUTE(SUBSTITUTE(SUBSTITUTE("id:"&amp;A513,"%","%25"),"~","%7E"),"*","%2A"),"?","%3F"))</x:f>
      </x:c>
    </x:row>
    <x:row r="514" ht="22" customHeight="1">
      <x:c r="A514" s="3"/>
      <x:c r="B514" s="3"/>
      <x:c r="C514" s="3"/>
      <x:c r="D514" s="4"/>
      <x:c r="E514" s="4"/>
      <x:c r="F514" s="4"/>
      <x:c r="G514" s="5" t="str">
        <x:f>IF(COUNTA(A514:F514)=0,"",IF(K514&lt;&gt;"","Review",IF(I514&lt;0,"Overdue",IF(I514=0,"Due now",IF(I514&lt;=M514,"Due soon","Not due")))))</x:f>
      </x:c>
      <x:c r="H514" s="5" t="str">
        <x:f>IF(OR(COUNTA(A514:F514)=0,COUNTIFS('Rules'!$G$7:$G$26,"="&amp;(SUBSTITUTE(SUBSTITUTE(SUBSTITUTE(SUBSTITUTE("type:"&amp;B514,"%","%25"),"~","%7E"),"*","%2A"),"?","%3F")))&lt;&gt;1),"",IF(OR(INDEX('Rules'!$B$7:$B$26,MATCH(SUBSTITUTE(SUBSTITUTE(SUBSTITUTE(SUBSTITUTE("type:"&amp;B514,"%","%25"),"~","%7E"),"*","%2A"),"?","%3F"),'Rules'!$G$7:$G$26,0))="hours",INDEX('Rules'!$B$7:$B$26,MATCH(SUBSTITUTE(SUBSTITUTE(SUBSTITUTE(SUBSTITUTE("type:"&amp;B514,"%","%25"),"~","%7E"),"*","%2A"),"?","%3F"),'Rules'!$G$7:$G$26,0))="km"),INDEX('Rules'!$B$7:$B$26,MATCH(SUBSTITUTE(SUBSTITUTE(SUBSTITUTE(SUBSTITUTE("type:"&amp;B514,"%","%25"),"~","%7E"),"*","%2A"),"?","%3F"),'Rules'!$G$7:$G$26,0)),""))</x:f>
      </x:c>
      <x:c r="I514" s="6" t="str">
        <x:f>IF(AND(NOT(COUNTA(A514:F514)=0),K514=""),ROUND(J514-D514,3),"")</x:f>
      </x:c>
      <x:c r="J514" s="6" t="str">
        <x:f>IF(AND(NOT(COUNTA(A514:F514)=0),K514=""),ROUND(F514+L514,3),"")</x:f>
      </x:c>
      <x:c r="K514" s="5" t="str">
        <x:f>IF(COUNTA(A514:F514)=0,"",IF(A514="","Missing equipment ID",IF(COUNTIFS($N$8:$N$2007,"="&amp;N514)&gt;1,"Duplicate equipment ID",IF(B514="","Missing type",IF(COUNTIFS('Rules'!$G$7:$G$26,"="&amp;(SUBSTITUTE(SUBSTITUTE(SUBSTITUTE(SUBSTITUTE("type:"&amp;B514,"%","%25"),"~","%7E"),"*","%2A"),"?","%3F")))=0,"Unknown type",IF(COUNTIFS('Rules'!$G$7:$G$26,"="&amp;(SUBSTITUTE(SUBSTITUTE(SUBSTITUTE(SUBSTITUTE("type:"&amp;B514,"%","%25"),"~","%7E"),"*","%2A"),"?","%3F")))&gt;1,"Duplicate type",IF(INDEX('Rules'!$F$7:$F$26,MATCH(SUBSTITUTE(SUBSTITUTE(SUBSTITUTE(SUBSTITUTE("type:"&amp;B514,"%","%25"),"~","%7E"),"*","%2A"),"?","%3F"),'Rules'!$G$7:$G$26,0))&lt;&gt;"",INDEX('Rules'!$F$7:$F$26,MATCH(SUBSTITUTE(SUBSTITUTE(SUBSTITUTE(SUBSTITUTE("type:"&amp;B514,"%","%25"),"~","%7E"),"*","%2A"),"?","%3F"),'Rules'!$G$7:$G$26,0)),IF(AND(C514&lt;&gt;"",C514&lt;&gt;INDEX('Rules'!$B$7:$B$26,MATCH(SUBSTITUTE(SUBSTITUTE(SUBSTITUTE(SUBSTITUTE("type:"&amp;B514,"%","%25"),"~","%7E"),"*","%2A"),"?","%3F"),'Rules'!$G$7:$G$26,0))),"Unit mismatch",IF(IF(NOT(ISNUMBER(D514)),TRUE,OR(D514&lt;0,D514&gt;999999999,ROUND(D514,3)&lt;&gt;D514)),"Invalid current reading",IF(AND(E514&lt;&gt;"",IF(NOT(ISNUMBER(E514)),TRUE,OR(E514&lt;0,E514&gt;999999999,ROUND(E514,3)&lt;&gt;E514))),"Invalid previous reading",IF(IF(NOT(ISNUMBER(F514)),TRUE,OR(F514&lt;0,F514&gt;999999999,ROUND(F514,3)&lt;&gt;F514)),"Invalid last service",IF(AND(E514&lt;&gt;"",D514&lt;E514),"Decreased reading",IF(F514&gt;D514,"Last service above current","")))))))))))))</x:f>
      </x:c>
      <x:c r="L514" s="6" t="str">
        <x:f>IF(AND(NOT(COUNTA(A514:F514)=0),K514=""),INDEX('Rules'!$C$7:$C$26,MATCH(SUBSTITUTE(SUBSTITUTE(SUBSTITUTE(SUBSTITUTE("type:"&amp;B514,"%","%25"),"~","%7E"),"*","%2A"),"?","%3F"),'Rules'!$G$7:$G$26,0)),"")</x:f>
      </x:c>
      <x:c r="M514" s="6" t="str">
        <x:f>IF(AND(NOT(COUNTA(A514:F514)=0),K514=""),INDEX('Rules'!$D$7:$D$26,MATCH(SUBSTITUTE(SUBSTITUTE(SUBSTITUTE(SUBSTITUTE("type:"&amp;B514,"%","%25"),"~","%7E"),"*","%2A"),"?","%3F"),'Rules'!$G$7:$G$26,0)),"")</x:f>
      </x:c>
      <x:c r="N514" s="5" t="str">
        <x:f>IF(COUNTA(A514:F514)=0,"",SUBSTITUTE(SUBSTITUTE(SUBSTITUTE(SUBSTITUTE("id:"&amp;A514,"%","%25"),"~","%7E"),"*","%2A"),"?","%3F"))</x:f>
      </x:c>
    </x:row>
    <x:row r="515" ht="22" customHeight="1">
      <x:c r="A515" s="3"/>
      <x:c r="B515" s="3"/>
      <x:c r="C515" s="3"/>
      <x:c r="D515" s="4"/>
      <x:c r="E515" s="4"/>
      <x:c r="F515" s="4"/>
      <x:c r="G515" s="5" t="str">
        <x:f>IF(COUNTA(A515:F515)=0,"",IF(K515&lt;&gt;"","Review",IF(I515&lt;0,"Overdue",IF(I515=0,"Due now",IF(I515&lt;=M515,"Due soon","Not due")))))</x:f>
      </x:c>
      <x:c r="H515" s="5" t="str">
        <x:f>IF(OR(COUNTA(A515:F515)=0,COUNTIFS('Rules'!$G$7:$G$26,"="&amp;(SUBSTITUTE(SUBSTITUTE(SUBSTITUTE(SUBSTITUTE("type:"&amp;B515,"%","%25"),"~","%7E"),"*","%2A"),"?","%3F")))&lt;&gt;1),"",IF(OR(INDEX('Rules'!$B$7:$B$26,MATCH(SUBSTITUTE(SUBSTITUTE(SUBSTITUTE(SUBSTITUTE("type:"&amp;B515,"%","%25"),"~","%7E"),"*","%2A"),"?","%3F"),'Rules'!$G$7:$G$26,0))="hours",INDEX('Rules'!$B$7:$B$26,MATCH(SUBSTITUTE(SUBSTITUTE(SUBSTITUTE(SUBSTITUTE("type:"&amp;B515,"%","%25"),"~","%7E"),"*","%2A"),"?","%3F"),'Rules'!$G$7:$G$26,0))="km"),INDEX('Rules'!$B$7:$B$26,MATCH(SUBSTITUTE(SUBSTITUTE(SUBSTITUTE(SUBSTITUTE("type:"&amp;B515,"%","%25"),"~","%7E"),"*","%2A"),"?","%3F"),'Rules'!$G$7:$G$26,0)),""))</x:f>
      </x:c>
      <x:c r="I515" s="6" t="str">
        <x:f>IF(AND(NOT(COUNTA(A515:F515)=0),K515=""),ROUND(J515-D515,3),"")</x:f>
      </x:c>
      <x:c r="J515" s="6" t="str">
        <x:f>IF(AND(NOT(COUNTA(A515:F515)=0),K515=""),ROUND(F515+L515,3),"")</x:f>
      </x:c>
      <x:c r="K515" s="5" t="str">
        <x:f>IF(COUNTA(A515:F515)=0,"",IF(A515="","Missing equipment ID",IF(COUNTIFS($N$8:$N$2007,"="&amp;N515)&gt;1,"Duplicate equipment ID",IF(B515="","Missing type",IF(COUNTIFS('Rules'!$G$7:$G$26,"="&amp;(SUBSTITUTE(SUBSTITUTE(SUBSTITUTE(SUBSTITUTE("type:"&amp;B515,"%","%25"),"~","%7E"),"*","%2A"),"?","%3F")))=0,"Unknown type",IF(COUNTIFS('Rules'!$G$7:$G$26,"="&amp;(SUBSTITUTE(SUBSTITUTE(SUBSTITUTE(SUBSTITUTE("type:"&amp;B515,"%","%25"),"~","%7E"),"*","%2A"),"?","%3F")))&gt;1,"Duplicate type",IF(INDEX('Rules'!$F$7:$F$26,MATCH(SUBSTITUTE(SUBSTITUTE(SUBSTITUTE(SUBSTITUTE("type:"&amp;B515,"%","%25"),"~","%7E"),"*","%2A"),"?","%3F"),'Rules'!$G$7:$G$26,0))&lt;&gt;"",INDEX('Rules'!$F$7:$F$26,MATCH(SUBSTITUTE(SUBSTITUTE(SUBSTITUTE(SUBSTITUTE("type:"&amp;B515,"%","%25"),"~","%7E"),"*","%2A"),"?","%3F"),'Rules'!$G$7:$G$26,0)),IF(AND(C515&lt;&gt;"",C515&lt;&gt;INDEX('Rules'!$B$7:$B$26,MATCH(SUBSTITUTE(SUBSTITUTE(SUBSTITUTE(SUBSTITUTE("type:"&amp;B515,"%","%25"),"~","%7E"),"*","%2A"),"?","%3F"),'Rules'!$G$7:$G$26,0))),"Unit mismatch",IF(IF(NOT(ISNUMBER(D515)),TRUE,OR(D515&lt;0,D515&gt;999999999,ROUND(D515,3)&lt;&gt;D515)),"Invalid current reading",IF(AND(E515&lt;&gt;"",IF(NOT(ISNUMBER(E515)),TRUE,OR(E515&lt;0,E515&gt;999999999,ROUND(E515,3)&lt;&gt;E515))),"Invalid previous reading",IF(IF(NOT(ISNUMBER(F515)),TRUE,OR(F515&lt;0,F515&gt;999999999,ROUND(F515,3)&lt;&gt;F515)),"Invalid last service",IF(AND(E515&lt;&gt;"",D515&lt;E515),"Decreased reading",IF(F515&gt;D515,"Last service above current","")))))))))))))</x:f>
      </x:c>
      <x:c r="L515" s="6" t="str">
        <x:f>IF(AND(NOT(COUNTA(A515:F515)=0),K515=""),INDEX('Rules'!$C$7:$C$26,MATCH(SUBSTITUTE(SUBSTITUTE(SUBSTITUTE(SUBSTITUTE("type:"&amp;B515,"%","%25"),"~","%7E"),"*","%2A"),"?","%3F"),'Rules'!$G$7:$G$26,0)),"")</x:f>
      </x:c>
      <x:c r="M515" s="6" t="str">
        <x:f>IF(AND(NOT(COUNTA(A515:F515)=0),K515=""),INDEX('Rules'!$D$7:$D$26,MATCH(SUBSTITUTE(SUBSTITUTE(SUBSTITUTE(SUBSTITUTE("type:"&amp;B515,"%","%25"),"~","%7E"),"*","%2A"),"?","%3F"),'Rules'!$G$7:$G$26,0)),"")</x:f>
      </x:c>
      <x:c r="N515" s="5" t="str">
        <x:f>IF(COUNTA(A515:F515)=0,"",SUBSTITUTE(SUBSTITUTE(SUBSTITUTE(SUBSTITUTE("id:"&amp;A515,"%","%25"),"~","%7E"),"*","%2A"),"?","%3F"))</x:f>
      </x:c>
    </x:row>
    <x:row r="516" ht="22" customHeight="1">
      <x:c r="A516" s="3"/>
      <x:c r="B516" s="3"/>
      <x:c r="C516" s="3"/>
      <x:c r="D516" s="4"/>
      <x:c r="E516" s="4"/>
      <x:c r="F516" s="4"/>
      <x:c r="G516" s="5" t="str">
        <x:f>IF(COUNTA(A516:F516)=0,"",IF(K516&lt;&gt;"","Review",IF(I516&lt;0,"Overdue",IF(I516=0,"Due now",IF(I516&lt;=M516,"Due soon","Not due")))))</x:f>
      </x:c>
      <x:c r="H516" s="5" t="str">
        <x:f>IF(OR(COUNTA(A516:F516)=0,COUNTIFS('Rules'!$G$7:$G$26,"="&amp;(SUBSTITUTE(SUBSTITUTE(SUBSTITUTE(SUBSTITUTE("type:"&amp;B516,"%","%25"),"~","%7E"),"*","%2A"),"?","%3F")))&lt;&gt;1),"",IF(OR(INDEX('Rules'!$B$7:$B$26,MATCH(SUBSTITUTE(SUBSTITUTE(SUBSTITUTE(SUBSTITUTE("type:"&amp;B516,"%","%25"),"~","%7E"),"*","%2A"),"?","%3F"),'Rules'!$G$7:$G$26,0))="hours",INDEX('Rules'!$B$7:$B$26,MATCH(SUBSTITUTE(SUBSTITUTE(SUBSTITUTE(SUBSTITUTE("type:"&amp;B516,"%","%25"),"~","%7E"),"*","%2A"),"?","%3F"),'Rules'!$G$7:$G$26,0))="km"),INDEX('Rules'!$B$7:$B$26,MATCH(SUBSTITUTE(SUBSTITUTE(SUBSTITUTE(SUBSTITUTE("type:"&amp;B516,"%","%25"),"~","%7E"),"*","%2A"),"?","%3F"),'Rules'!$G$7:$G$26,0)),""))</x:f>
      </x:c>
      <x:c r="I516" s="6" t="str">
        <x:f>IF(AND(NOT(COUNTA(A516:F516)=0),K516=""),ROUND(J516-D516,3),"")</x:f>
      </x:c>
      <x:c r="J516" s="6" t="str">
        <x:f>IF(AND(NOT(COUNTA(A516:F516)=0),K516=""),ROUND(F516+L516,3),"")</x:f>
      </x:c>
      <x:c r="K516" s="5" t="str">
        <x:f>IF(COUNTA(A516:F516)=0,"",IF(A516="","Missing equipment ID",IF(COUNTIFS($N$8:$N$2007,"="&amp;N516)&gt;1,"Duplicate equipment ID",IF(B516="","Missing type",IF(COUNTIFS('Rules'!$G$7:$G$26,"="&amp;(SUBSTITUTE(SUBSTITUTE(SUBSTITUTE(SUBSTITUTE("type:"&amp;B516,"%","%25"),"~","%7E"),"*","%2A"),"?","%3F")))=0,"Unknown type",IF(COUNTIFS('Rules'!$G$7:$G$26,"="&amp;(SUBSTITUTE(SUBSTITUTE(SUBSTITUTE(SUBSTITUTE("type:"&amp;B516,"%","%25"),"~","%7E"),"*","%2A"),"?","%3F")))&gt;1,"Duplicate type",IF(INDEX('Rules'!$F$7:$F$26,MATCH(SUBSTITUTE(SUBSTITUTE(SUBSTITUTE(SUBSTITUTE("type:"&amp;B516,"%","%25"),"~","%7E"),"*","%2A"),"?","%3F"),'Rules'!$G$7:$G$26,0))&lt;&gt;"",INDEX('Rules'!$F$7:$F$26,MATCH(SUBSTITUTE(SUBSTITUTE(SUBSTITUTE(SUBSTITUTE("type:"&amp;B516,"%","%25"),"~","%7E"),"*","%2A"),"?","%3F"),'Rules'!$G$7:$G$26,0)),IF(AND(C516&lt;&gt;"",C516&lt;&gt;INDEX('Rules'!$B$7:$B$26,MATCH(SUBSTITUTE(SUBSTITUTE(SUBSTITUTE(SUBSTITUTE("type:"&amp;B516,"%","%25"),"~","%7E"),"*","%2A"),"?","%3F"),'Rules'!$G$7:$G$26,0))),"Unit mismatch",IF(IF(NOT(ISNUMBER(D516)),TRUE,OR(D516&lt;0,D516&gt;999999999,ROUND(D516,3)&lt;&gt;D516)),"Invalid current reading",IF(AND(E516&lt;&gt;"",IF(NOT(ISNUMBER(E516)),TRUE,OR(E516&lt;0,E516&gt;999999999,ROUND(E516,3)&lt;&gt;E516))),"Invalid previous reading",IF(IF(NOT(ISNUMBER(F516)),TRUE,OR(F516&lt;0,F516&gt;999999999,ROUND(F516,3)&lt;&gt;F516)),"Invalid last service",IF(AND(E516&lt;&gt;"",D516&lt;E516),"Decreased reading",IF(F516&gt;D516,"Last service above current","")))))))))))))</x:f>
      </x:c>
      <x:c r="L516" s="6" t="str">
        <x:f>IF(AND(NOT(COUNTA(A516:F516)=0),K516=""),INDEX('Rules'!$C$7:$C$26,MATCH(SUBSTITUTE(SUBSTITUTE(SUBSTITUTE(SUBSTITUTE("type:"&amp;B516,"%","%25"),"~","%7E"),"*","%2A"),"?","%3F"),'Rules'!$G$7:$G$26,0)),"")</x:f>
      </x:c>
      <x:c r="M516" s="6" t="str">
        <x:f>IF(AND(NOT(COUNTA(A516:F516)=0),K516=""),INDEX('Rules'!$D$7:$D$26,MATCH(SUBSTITUTE(SUBSTITUTE(SUBSTITUTE(SUBSTITUTE("type:"&amp;B516,"%","%25"),"~","%7E"),"*","%2A"),"?","%3F"),'Rules'!$G$7:$G$26,0)),"")</x:f>
      </x:c>
      <x:c r="N516" s="5" t="str">
        <x:f>IF(COUNTA(A516:F516)=0,"",SUBSTITUTE(SUBSTITUTE(SUBSTITUTE(SUBSTITUTE("id:"&amp;A516,"%","%25"),"~","%7E"),"*","%2A"),"?","%3F"))</x:f>
      </x:c>
    </x:row>
    <x:row r="517" ht="22" customHeight="1">
      <x:c r="A517" s="3"/>
      <x:c r="B517" s="3"/>
      <x:c r="C517" s="3"/>
      <x:c r="D517" s="4"/>
      <x:c r="E517" s="4"/>
      <x:c r="F517" s="4"/>
      <x:c r="G517" s="5" t="str">
        <x:f>IF(COUNTA(A517:F517)=0,"",IF(K517&lt;&gt;"","Review",IF(I517&lt;0,"Overdue",IF(I517=0,"Due now",IF(I517&lt;=M517,"Due soon","Not due")))))</x:f>
      </x:c>
      <x:c r="H517" s="5" t="str">
        <x:f>IF(OR(COUNTA(A517:F517)=0,COUNTIFS('Rules'!$G$7:$G$26,"="&amp;(SUBSTITUTE(SUBSTITUTE(SUBSTITUTE(SUBSTITUTE("type:"&amp;B517,"%","%25"),"~","%7E"),"*","%2A"),"?","%3F")))&lt;&gt;1),"",IF(OR(INDEX('Rules'!$B$7:$B$26,MATCH(SUBSTITUTE(SUBSTITUTE(SUBSTITUTE(SUBSTITUTE("type:"&amp;B517,"%","%25"),"~","%7E"),"*","%2A"),"?","%3F"),'Rules'!$G$7:$G$26,0))="hours",INDEX('Rules'!$B$7:$B$26,MATCH(SUBSTITUTE(SUBSTITUTE(SUBSTITUTE(SUBSTITUTE("type:"&amp;B517,"%","%25"),"~","%7E"),"*","%2A"),"?","%3F"),'Rules'!$G$7:$G$26,0))="km"),INDEX('Rules'!$B$7:$B$26,MATCH(SUBSTITUTE(SUBSTITUTE(SUBSTITUTE(SUBSTITUTE("type:"&amp;B517,"%","%25"),"~","%7E"),"*","%2A"),"?","%3F"),'Rules'!$G$7:$G$26,0)),""))</x:f>
      </x:c>
      <x:c r="I517" s="6" t="str">
        <x:f>IF(AND(NOT(COUNTA(A517:F517)=0),K517=""),ROUND(J517-D517,3),"")</x:f>
      </x:c>
      <x:c r="J517" s="6" t="str">
        <x:f>IF(AND(NOT(COUNTA(A517:F517)=0),K517=""),ROUND(F517+L517,3),"")</x:f>
      </x:c>
      <x:c r="K517" s="5" t="str">
        <x:f>IF(COUNTA(A517:F517)=0,"",IF(A517="","Missing equipment ID",IF(COUNTIFS($N$8:$N$2007,"="&amp;N517)&gt;1,"Duplicate equipment ID",IF(B517="","Missing type",IF(COUNTIFS('Rules'!$G$7:$G$26,"="&amp;(SUBSTITUTE(SUBSTITUTE(SUBSTITUTE(SUBSTITUTE("type:"&amp;B517,"%","%25"),"~","%7E"),"*","%2A"),"?","%3F")))=0,"Unknown type",IF(COUNTIFS('Rules'!$G$7:$G$26,"="&amp;(SUBSTITUTE(SUBSTITUTE(SUBSTITUTE(SUBSTITUTE("type:"&amp;B517,"%","%25"),"~","%7E"),"*","%2A"),"?","%3F")))&gt;1,"Duplicate type",IF(INDEX('Rules'!$F$7:$F$26,MATCH(SUBSTITUTE(SUBSTITUTE(SUBSTITUTE(SUBSTITUTE("type:"&amp;B517,"%","%25"),"~","%7E"),"*","%2A"),"?","%3F"),'Rules'!$G$7:$G$26,0))&lt;&gt;"",INDEX('Rules'!$F$7:$F$26,MATCH(SUBSTITUTE(SUBSTITUTE(SUBSTITUTE(SUBSTITUTE("type:"&amp;B517,"%","%25"),"~","%7E"),"*","%2A"),"?","%3F"),'Rules'!$G$7:$G$26,0)),IF(AND(C517&lt;&gt;"",C517&lt;&gt;INDEX('Rules'!$B$7:$B$26,MATCH(SUBSTITUTE(SUBSTITUTE(SUBSTITUTE(SUBSTITUTE("type:"&amp;B517,"%","%25"),"~","%7E"),"*","%2A"),"?","%3F"),'Rules'!$G$7:$G$26,0))),"Unit mismatch",IF(IF(NOT(ISNUMBER(D517)),TRUE,OR(D517&lt;0,D517&gt;999999999,ROUND(D517,3)&lt;&gt;D517)),"Invalid current reading",IF(AND(E517&lt;&gt;"",IF(NOT(ISNUMBER(E517)),TRUE,OR(E517&lt;0,E517&gt;999999999,ROUND(E517,3)&lt;&gt;E517))),"Invalid previous reading",IF(IF(NOT(ISNUMBER(F517)),TRUE,OR(F517&lt;0,F517&gt;999999999,ROUND(F517,3)&lt;&gt;F517)),"Invalid last service",IF(AND(E517&lt;&gt;"",D517&lt;E517),"Decreased reading",IF(F517&gt;D517,"Last service above current","")))))))))))))</x:f>
      </x:c>
      <x:c r="L517" s="6" t="str">
        <x:f>IF(AND(NOT(COUNTA(A517:F517)=0),K517=""),INDEX('Rules'!$C$7:$C$26,MATCH(SUBSTITUTE(SUBSTITUTE(SUBSTITUTE(SUBSTITUTE("type:"&amp;B517,"%","%25"),"~","%7E"),"*","%2A"),"?","%3F"),'Rules'!$G$7:$G$26,0)),"")</x:f>
      </x:c>
      <x:c r="M517" s="6" t="str">
        <x:f>IF(AND(NOT(COUNTA(A517:F517)=0),K517=""),INDEX('Rules'!$D$7:$D$26,MATCH(SUBSTITUTE(SUBSTITUTE(SUBSTITUTE(SUBSTITUTE("type:"&amp;B517,"%","%25"),"~","%7E"),"*","%2A"),"?","%3F"),'Rules'!$G$7:$G$26,0)),"")</x:f>
      </x:c>
      <x:c r="N517" s="5" t="str">
        <x:f>IF(COUNTA(A517:F517)=0,"",SUBSTITUTE(SUBSTITUTE(SUBSTITUTE(SUBSTITUTE("id:"&amp;A517,"%","%25"),"~","%7E"),"*","%2A"),"?","%3F"))</x:f>
      </x:c>
    </x:row>
    <x:row r="518" ht="22" customHeight="1">
      <x:c r="A518" s="3"/>
      <x:c r="B518" s="3"/>
      <x:c r="C518" s="3"/>
      <x:c r="D518" s="4"/>
      <x:c r="E518" s="4"/>
      <x:c r="F518" s="4"/>
      <x:c r="G518" s="5" t="str">
        <x:f>IF(COUNTA(A518:F518)=0,"",IF(K518&lt;&gt;"","Review",IF(I518&lt;0,"Overdue",IF(I518=0,"Due now",IF(I518&lt;=M518,"Due soon","Not due")))))</x:f>
      </x:c>
      <x:c r="H518" s="5" t="str">
        <x:f>IF(OR(COUNTA(A518:F518)=0,COUNTIFS('Rules'!$G$7:$G$26,"="&amp;(SUBSTITUTE(SUBSTITUTE(SUBSTITUTE(SUBSTITUTE("type:"&amp;B518,"%","%25"),"~","%7E"),"*","%2A"),"?","%3F")))&lt;&gt;1),"",IF(OR(INDEX('Rules'!$B$7:$B$26,MATCH(SUBSTITUTE(SUBSTITUTE(SUBSTITUTE(SUBSTITUTE("type:"&amp;B518,"%","%25"),"~","%7E"),"*","%2A"),"?","%3F"),'Rules'!$G$7:$G$26,0))="hours",INDEX('Rules'!$B$7:$B$26,MATCH(SUBSTITUTE(SUBSTITUTE(SUBSTITUTE(SUBSTITUTE("type:"&amp;B518,"%","%25"),"~","%7E"),"*","%2A"),"?","%3F"),'Rules'!$G$7:$G$26,0))="km"),INDEX('Rules'!$B$7:$B$26,MATCH(SUBSTITUTE(SUBSTITUTE(SUBSTITUTE(SUBSTITUTE("type:"&amp;B518,"%","%25"),"~","%7E"),"*","%2A"),"?","%3F"),'Rules'!$G$7:$G$26,0)),""))</x:f>
      </x:c>
      <x:c r="I518" s="6" t="str">
        <x:f>IF(AND(NOT(COUNTA(A518:F518)=0),K518=""),ROUND(J518-D518,3),"")</x:f>
      </x:c>
      <x:c r="J518" s="6" t="str">
        <x:f>IF(AND(NOT(COUNTA(A518:F518)=0),K518=""),ROUND(F518+L518,3),"")</x:f>
      </x:c>
      <x:c r="K518" s="5" t="str">
        <x:f>IF(COUNTA(A518:F518)=0,"",IF(A518="","Missing equipment ID",IF(COUNTIFS($N$8:$N$2007,"="&amp;N518)&gt;1,"Duplicate equipment ID",IF(B518="","Missing type",IF(COUNTIFS('Rules'!$G$7:$G$26,"="&amp;(SUBSTITUTE(SUBSTITUTE(SUBSTITUTE(SUBSTITUTE("type:"&amp;B518,"%","%25"),"~","%7E"),"*","%2A"),"?","%3F")))=0,"Unknown type",IF(COUNTIFS('Rules'!$G$7:$G$26,"="&amp;(SUBSTITUTE(SUBSTITUTE(SUBSTITUTE(SUBSTITUTE("type:"&amp;B518,"%","%25"),"~","%7E"),"*","%2A"),"?","%3F")))&gt;1,"Duplicate type",IF(INDEX('Rules'!$F$7:$F$26,MATCH(SUBSTITUTE(SUBSTITUTE(SUBSTITUTE(SUBSTITUTE("type:"&amp;B518,"%","%25"),"~","%7E"),"*","%2A"),"?","%3F"),'Rules'!$G$7:$G$26,0))&lt;&gt;"",INDEX('Rules'!$F$7:$F$26,MATCH(SUBSTITUTE(SUBSTITUTE(SUBSTITUTE(SUBSTITUTE("type:"&amp;B518,"%","%25"),"~","%7E"),"*","%2A"),"?","%3F"),'Rules'!$G$7:$G$26,0)),IF(AND(C518&lt;&gt;"",C518&lt;&gt;INDEX('Rules'!$B$7:$B$26,MATCH(SUBSTITUTE(SUBSTITUTE(SUBSTITUTE(SUBSTITUTE("type:"&amp;B518,"%","%25"),"~","%7E"),"*","%2A"),"?","%3F"),'Rules'!$G$7:$G$26,0))),"Unit mismatch",IF(IF(NOT(ISNUMBER(D518)),TRUE,OR(D518&lt;0,D518&gt;999999999,ROUND(D518,3)&lt;&gt;D518)),"Invalid current reading",IF(AND(E518&lt;&gt;"",IF(NOT(ISNUMBER(E518)),TRUE,OR(E518&lt;0,E518&gt;999999999,ROUND(E518,3)&lt;&gt;E518))),"Invalid previous reading",IF(IF(NOT(ISNUMBER(F518)),TRUE,OR(F518&lt;0,F518&gt;999999999,ROUND(F518,3)&lt;&gt;F518)),"Invalid last service",IF(AND(E518&lt;&gt;"",D518&lt;E518),"Decreased reading",IF(F518&gt;D518,"Last service above current","")))))))))))))</x:f>
      </x:c>
      <x:c r="L518" s="6" t="str">
        <x:f>IF(AND(NOT(COUNTA(A518:F518)=0),K518=""),INDEX('Rules'!$C$7:$C$26,MATCH(SUBSTITUTE(SUBSTITUTE(SUBSTITUTE(SUBSTITUTE("type:"&amp;B518,"%","%25"),"~","%7E"),"*","%2A"),"?","%3F"),'Rules'!$G$7:$G$26,0)),"")</x:f>
      </x:c>
      <x:c r="M518" s="6" t="str">
        <x:f>IF(AND(NOT(COUNTA(A518:F518)=0),K518=""),INDEX('Rules'!$D$7:$D$26,MATCH(SUBSTITUTE(SUBSTITUTE(SUBSTITUTE(SUBSTITUTE("type:"&amp;B518,"%","%25"),"~","%7E"),"*","%2A"),"?","%3F"),'Rules'!$G$7:$G$26,0)),"")</x:f>
      </x:c>
      <x:c r="N518" s="5" t="str">
        <x:f>IF(COUNTA(A518:F518)=0,"",SUBSTITUTE(SUBSTITUTE(SUBSTITUTE(SUBSTITUTE("id:"&amp;A518,"%","%25"),"~","%7E"),"*","%2A"),"?","%3F"))</x:f>
      </x:c>
    </x:row>
    <x:row r="519" ht="22" customHeight="1">
      <x:c r="A519" s="3"/>
      <x:c r="B519" s="3"/>
      <x:c r="C519" s="3"/>
      <x:c r="D519" s="4"/>
      <x:c r="E519" s="4"/>
      <x:c r="F519" s="4"/>
      <x:c r="G519" s="5" t="str">
        <x:f>IF(COUNTA(A519:F519)=0,"",IF(K519&lt;&gt;"","Review",IF(I519&lt;0,"Overdue",IF(I519=0,"Due now",IF(I519&lt;=M519,"Due soon","Not due")))))</x:f>
      </x:c>
      <x:c r="H519" s="5" t="str">
        <x:f>IF(OR(COUNTA(A519:F519)=0,COUNTIFS('Rules'!$G$7:$G$26,"="&amp;(SUBSTITUTE(SUBSTITUTE(SUBSTITUTE(SUBSTITUTE("type:"&amp;B519,"%","%25"),"~","%7E"),"*","%2A"),"?","%3F")))&lt;&gt;1),"",IF(OR(INDEX('Rules'!$B$7:$B$26,MATCH(SUBSTITUTE(SUBSTITUTE(SUBSTITUTE(SUBSTITUTE("type:"&amp;B519,"%","%25"),"~","%7E"),"*","%2A"),"?","%3F"),'Rules'!$G$7:$G$26,0))="hours",INDEX('Rules'!$B$7:$B$26,MATCH(SUBSTITUTE(SUBSTITUTE(SUBSTITUTE(SUBSTITUTE("type:"&amp;B519,"%","%25"),"~","%7E"),"*","%2A"),"?","%3F"),'Rules'!$G$7:$G$26,0))="km"),INDEX('Rules'!$B$7:$B$26,MATCH(SUBSTITUTE(SUBSTITUTE(SUBSTITUTE(SUBSTITUTE("type:"&amp;B519,"%","%25"),"~","%7E"),"*","%2A"),"?","%3F"),'Rules'!$G$7:$G$26,0)),""))</x:f>
      </x:c>
      <x:c r="I519" s="6" t="str">
        <x:f>IF(AND(NOT(COUNTA(A519:F519)=0),K519=""),ROUND(J519-D519,3),"")</x:f>
      </x:c>
      <x:c r="J519" s="6" t="str">
        <x:f>IF(AND(NOT(COUNTA(A519:F519)=0),K519=""),ROUND(F519+L519,3),"")</x:f>
      </x:c>
      <x:c r="K519" s="5" t="str">
        <x:f>IF(COUNTA(A519:F519)=0,"",IF(A519="","Missing equipment ID",IF(COUNTIFS($N$8:$N$2007,"="&amp;N519)&gt;1,"Duplicate equipment ID",IF(B519="","Missing type",IF(COUNTIFS('Rules'!$G$7:$G$26,"="&amp;(SUBSTITUTE(SUBSTITUTE(SUBSTITUTE(SUBSTITUTE("type:"&amp;B519,"%","%25"),"~","%7E"),"*","%2A"),"?","%3F")))=0,"Unknown type",IF(COUNTIFS('Rules'!$G$7:$G$26,"="&amp;(SUBSTITUTE(SUBSTITUTE(SUBSTITUTE(SUBSTITUTE("type:"&amp;B519,"%","%25"),"~","%7E"),"*","%2A"),"?","%3F")))&gt;1,"Duplicate type",IF(INDEX('Rules'!$F$7:$F$26,MATCH(SUBSTITUTE(SUBSTITUTE(SUBSTITUTE(SUBSTITUTE("type:"&amp;B519,"%","%25"),"~","%7E"),"*","%2A"),"?","%3F"),'Rules'!$G$7:$G$26,0))&lt;&gt;"",INDEX('Rules'!$F$7:$F$26,MATCH(SUBSTITUTE(SUBSTITUTE(SUBSTITUTE(SUBSTITUTE("type:"&amp;B519,"%","%25"),"~","%7E"),"*","%2A"),"?","%3F"),'Rules'!$G$7:$G$26,0)),IF(AND(C519&lt;&gt;"",C519&lt;&gt;INDEX('Rules'!$B$7:$B$26,MATCH(SUBSTITUTE(SUBSTITUTE(SUBSTITUTE(SUBSTITUTE("type:"&amp;B519,"%","%25"),"~","%7E"),"*","%2A"),"?","%3F"),'Rules'!$G$7:$G$26,0))),"Unit mismatch",IF(IF(NOT(ISNUMBER(D519)),TRUE,OR(D519&lt;0,D519&gt;999999999,ROUND(D519,3)&lt;&gt;D519)),"Invalid current reading",IF(AND(E519&lt;&gt;"",IF(NOT(ISNUMBER(E519)),TRUE,OR(E519&lt;0,E519&gt;999999999,ROUND(E519,3)&lt;&gt;E519))),"Invalid previous reading",IF(IF(NOT(ISNUMBER(F519)),TRUE,OR(F519&lt;0,F519&gt;999999999,ROUND(F519,3)&lt;&gt;F519)),"Invalid last service",IF(AND(E519&lt;&gt;"",D519&lt;E519),"Decreased reading",IF(F519&gt;D519,"Last service above current","")))))))))))))</x:f>
      </x:c>
      <x:c r="L519" s="6" t="str">
        <x:f>IF(AND(NOT(COUNTA(A519:F519)=0),K519=""),INDEX('Rules'!$C$7:$C$26,MATCH(SUBSTITUTE(SUBSTITUTE(SUBSTITUTE(SUBSTITUTE("type:"&amp;B519,"%","%25"),"~","%7E"),"*","%2A"),"?","%3F"),'Rules'!$G$7:$G$26,0)),"")</x:f>
      </x:c>
      <x:c r="M519" s="6" t="str">
        <x:f>IF(AND(NOT(COUNTA(A519:F519)=0),K519=""),INDEX('Rules'!$D$7:$D$26,MATCH(SUBSTITUTE(SUBSTITUTE(SUBSTITUTE(SUBSTITUTE("type:"&amp;B519,"%","%25"),"~","%7E"),"*","%2A"),"?","%3F"),'Rules'!$G$7:$G$26,0)),"")</x:f>
      </x:c>
      <x:c r="N519" s="5" t="str">
        <x:f>IF(COUNTA(A519:F519)=0,"",SUBSTITUTE(SUBSTITUTE(SUBSTITUTE(SUBSTITUTE("id:"&amp;A519,"%","%25"),"~","%7E"),"*","%2A"),"?","%3F"))</x:f>
      </x:c>
    </x:row>
    <x:row r="520" ht="22" customHeight="1">
      <x:c r="A520" s="3"/>
      <x:c r="B520" s="3"/>
      <x:c r="C520" s="3"/>
      <x:c r="D520" s="4"/>
      <x:c r="E520" s="4"/>
      <x:c r="F520" s="4"/>
      <x:c r="G520" s="5" t="str">
        <x:f>IF(COUNTA(A520:F520)=0,"",IF(K520&lt;&gt;"","Review",IF(I520&lt;0,"Overdue",IF(I520=0,"Due now",IF(I520&lt;=M520,"Due soon","Not due")))))</x:f>
      </x:c>
      <x:c r="H520" s="5" t="str">
        <x:f>IF(OR(COUNTA(A520:F520)=0,COUNTIFS('Rules'!$G$7:$G$26,"="&amp;(SUBSTITUTE(SUBSTITUTE(SUBSTITUTE(SUBSTITUTE("type:"&amp;B520,"%","%25"),"~","%7E"),"*","%2A"),"?","%3F")))&lt;&gt;1),"",IF(OR(INDEX('Rules'!$B$7:$B$26,MATCH(SUBSTITUTE(SUBSTITUTE(SUBSTITUTE(SUBSTITUTE("type:"&amp;B520,"%","%25"),"~","%7E"),"*","%2A"),"?","%3F"),'Rules'!$G$7:$G$26,0))="hours",INDEX('Rules'!$B$7:$B$26,MATCH(SUBSTITUTE(SUBSTITUTE(SUBSTITUTE(SUBSTITUTE("type:"&amp;B520,"%","%25"),"~","%7E"),"*","%2A"),"?","%3F"),'Rules'!$G$7:$G$26,0))="km"),INDEX('Rules'!$B$7:$B$26,MATCH(SUBSTITUTE(SUBSTITUTE(SUBSTITUTE(SUBSTITUTE("type:"&amp;B520,"%","%25"),"~","%7E"),"*","%2A"),"?","%3F"),'Rules'!$G$7:$G$26,0)),""))</x:f>
      </x:c>
      <x:c r="I520" s="6" t="str">
        <x:f>IF(AND(NOT(COUNTA(A520:F520)=0),K520=""),ROUND(J520-D520,3),"")</x:f>
      </x:c>
      <x:c r="J520" s="6" t="str">
        <x:f>IF(AND(NOT(COUNTA(A520:F520)=0),K520=""),ROUND(F520+L520,3),"")</x:f>
      </x:c>
      <x:c r="K520" s="5" t="str">
        <x:f>IF(COUNTA(A520:F520)=0,"",IF(A520="","Missing equipment ID",IF(COUNTIFS($N$8:$N$2007,"="&amp;N520)&gt;1,"Duplicate equipment ID",IF(B520="","Missing type",IF(COUNTIFS('Rules'!$G$7:$G$26,"="&amp;(SUBSTITUTE(SUBSTITUTE(SUBSTITUTE(SUBSTITUTE("type:"&amp;B520,"%","%25"),"~","%7E"),"*","%2A"),"?","%3F")))=0,"Unknown type",IF(COUNTIFS('Rules'!$G$7:$G$26,"="&amp;(SUBSTITUTE(SUBSTITUTE(SUBSTITUTE(SUBSTITUTE("type:"&amp;B520,"%","%25"),"~","%7E"),"*","%2A"),"?","%3F")))&gt;1,"Duplicate type",IF(INDEX('Rules'!$F$7:$F$26,MATCH(SUBSTITUTE(SUBSTITUTE(SUBSTITUTE(SUBSTITUTE("type:"&amp;B520,"%","%25"),"~","%7E"),"*","%2A"),"?","%3F"),'Rules'!$G$7:$G$26,0))&lt;&gt;"",INDEX('Rules'!$F$7:$F$26,MATCH(SUBSTITUTE(SUBSTITUTE(SUBSTITUTE(SUBSTITUTE("type:"&amp;B520,"%","%25"),"~","%7E"),"*","%2A"),"?","%3F"),'Rules'!$G$7:$G$26,0)),IF(AND(C520&lt;&gt;"",C520&lt;&gt;INDEX('Rules'!$B$7:$B$26,MATCH(SUBSTITUTE(SUBSTITUTE(SUBSTITUTE(SUBSTITUTE("type:"&amp;B520,"%","%25"),"~","%7E"),"*","%2A"),"?","%3F"),'Rules'!$G$7:$G$26,0))),"Unit mismatch",IF(IF(NOT(ISNUMBER(D520)),TRUE,OR(D520&lt;0,D520&gt;999999999,ROUND(D520,3)&lt;&gt;D520)),"Invalid current reading",IF(AND(E520&lt;&gt;"",IF(NOT(ISNUMBER(E520)),TRUE,OR(E520&lt;0,E520&gt;999999999,ROUND(E520,3)&lt;&gt;E520))),"Invalid previous reading",IF(IF(NOT(ISNUMBER(F520)),TRUE,OR(F520&lt;0,F520&gt;999999999,ROUND(F520,3)&lt;&gt;F520)),"Invalid last service",IF(AND(E520&lt;&gt;"",D520&lt;E520),"Decreased reading",IF(F520&gt;D520,"Last service above current","")))))))))))))</x:f>
      </x:c>
      <x:c r="L520" s="6" t="str">
        <x:f>IF(AND(NOT(COUNTA(A520:F520)=0),K520=""),INDEX('Rules'!$C$7:$C$26,MATCH(SUBSTITUTE(SUBSTITUTE(SUBSTITUTE(SUBSTITUTE("type:"&amp;B520,"%","%25"),"~","%7E"),"*","%2A"),"?","%3F"),'Rules'!$G$7:$G$26,0)),"")</x:f>
      </x:c>
      <x:c r="M520" s="6" t="str">
        <x:f>IF(AND(NOT(COUNTA(A520:F520)=0),K520=""),INDEX('Rules'!$D$7:$D$26,MATCH(SUBSTITUTE(SUBSTITUTE(SUBSTITUTE(SUBSTITUTE("type:"&amp;B520,"%","%25"),"~","%7E"),"*","%2A"),"?","%3F"),'Rules'!$G$7:$G$26,0)),"")</x:f>
      </x:c>
      <x:c r="N520" s="5" t="str">
        <x:f>IF(COUNTA(A520:F520)=0,"",SUBSTITUTE(SUBSTITUTE(SUBSTITUTE(SUBSTITUTE("id:"&amp;A520,"%","%25"),"~","%7E"),"*","%2A"),"?","%3F"))</x:f>
      </x:c>
    </x:row>
    <x:row r="521" ht="22" customHeight="1">
      <x:c r="A521" s="3"/>
      <x:c r="B521" s="3"/>
      <x:c r="C521" s="3"/>
      <x:c r="D521" s="4"/>
      <x:c r="E521" s="4"/>
      <x:c r="F521" s="4"/>
      <x:c r="G521" s="5" t="str">
        <x:f>IF(COUNTA(A521:F521)=0,"",IF(K521&lt;&gt;"","Review",IF(I521&lt;0,"Overdue",IF(I521=0,"Due now",IF(I521&lt;=M521,"Due soon","Not due")))))</x:f>
      </x:c>
      <x:c r="H521" s="5" t="str">
        <x:f>IF(OR(COUNTA(A521:F521)=0,COUNTIFS('Rules'!$G$7:$G$26,"="&amp;(SUBSTITUTE(SUBSTITUTE(SUBSTITUTE(SUBSTITUTE("type:"&amp;B521,"%","%25"),"~","%7E"),"*","%2A"),"?","%3F")))&lt;&gt;1),"",IF(OR(INDEX('Rules'!$B$7:$B$26,MATCH(SUBSTITUTE(SUBSTITUTE(SUBSTITUTE(SUBSTITUTE("type:"&amp;B521,"%","%25"),"~","%7E"),"*","%2A"),"?","%3F"),'Rules'!$G$7:$G$26,0))="hours",INDEX('Rules'!$B$7:$B$26,MATCH(SUBSTITUTE(SUBSTITUTE(SUBSTITUTE(SUBSTITUTE("type:"&amp;B521,"%","%25"),"~","%7E"),"*","%2A"),"?","%3F"),'Rules'!$G$7:$G$26,0))="km"),INDEX('Rules'!$B$7:$B$26,MATCH(SUBSTITUTE(SUBSTITUTE(SUBSTITUTE(SUBSTITUTE("type:"&amp;B521,"%","%25"),"~","%7E"),"*","%2A"),"?","%3F"),'Rules'!$G$7:$G$26,0)),""))</x:f>
      </x:c>
      <x:c r="I521" s="6" t="str">
        <x:f>IF(AND(NOT(COUNTA(A521:F521)=0),K521=""),ROUND(J521-D521,3),"")</x:f>
      </x:c>
      <x:c r="J521" s="6" t="str">
        <x:f>IF(AND(NOT(COUNTA(A521:F521)=0),K521=""),ROUND(F521+L521,3),"")</x:f>
      </x:c>
      <x:c r="K521" s="5" t="str">
        <x:f>IF(COUNTA(A521:F521)=0,"",IF(A521="","Missing equipment ID",IF(COUNTIFS($N$8:$N$2007,"="&amp;N521)&gt;1,"Duplicate equipment ID",IF(B521="","Missing type",IF(COUNTIFS('Rules'!$G$7:$G$26,"="&amp;(SUBSTITUTE(SUBSTITUTE(SUBSTITUTE(SUBSTITUTE("type:"&amp;B521,"%","%25"),"~","%7E"),"*","%2A"),"?","%3F")))=0,"Unknown type",IF(COUNTIFS('Rules'!$G$7:$G$26,"="&amp;(SUBSTITUTE(SUBSTITUTE(SUBSTITUTE(SUBSTITUTE("type:"&amp;B521,"%","%25"),"~","%7E"),"*","%2A"),"?","%3F")))&gt;1,"Duplicate type",IF(INDEX('Rules'!$F$7:$F$26,MATCH(SUBSTITUTE(SUBSTITUTE(SUBSTITUTE(SUBSTITUTE("type:"&amp;B521,"%","%25"),"~","%7E"),"*","%2A"),"?","%3F"),'Rules'!$G$7:$G$26,0))&lt;&gt;"",INDEX('Rules'!$F$7:$F$26,MATCH(SUBSTITUTE(SUBSTITUTE(SUBSTITUTE(SUBSTITUTE("type:"&amp;B521,"%","%25"),"~","%7E"),"*","%2A"),"?","%3F"),'Rules'!$G$7:$G$26,0)),IF(AND(C521&lt;&gt;"",C521&lt;&gt;INDEX('Rules'!$B$7:$B$26,MATCH(SUBSTITUTE(SUBSTITUTE(SUBSTITUTE(SUBSTITUTE("type:"&amp;B521,"%","%25"),"~","%7E"),"*","%2A"),"?","%3F"),'Rules'!$G$7:$G$26,0))),"Unit mismatch",IF(IF(NOT(ISNUMBER(D521)),TRUE,OR(D521&lt;0,D521&gt;999999999,ROUND(D521,3)&lt;&gt;D521)),"Invalid current reading",IF(AND(E521&lt;&gt;"",IF(NOT(ISNUMBER(E521)),TRUE,OR(E521&lt;0,E521&gt;999999999,ROUND(E521,3)&lt;&gt;E521))),"Invalid previous reading",IF(IF(NOT(ISNUMBER(F521)),TRUE,OR(F521&lt;0,F521&gt;999999999,ROUND(F521,3)&lt;&gt;F521)),"Invalid last service",IF(AND(E521&lt;&gt;"",D521&lt;E521),"Decreased reading",IF(F521&gt;D521,"Last service above current","")))))))))))))</x:f>
      </x:c>
      <x:c r="L521" s="6" t="str">
        <x:f>IF(AND(NOT(COUNTA(A521:F521)=0),K521=""),INDEX('Rules'!$C$7:$C$26,MATCH(SUBSTITUTE(SUBSTITUTE(SUBSTITUTE(SUBSTITUTE("type:"&amp;B521,"%","%25"),"~","%7E"),"*","%2A"),"?","%3F"),'Rules'!$G$7:$G$26,0)),"")</x:f>
      </x:c>
      <x:c r="M521" s="6" t="str">
        <x:f>IF(AND(NOT(COUNTA(A521:F521)=0),K521=""),INDEX('Rules'!$D$7:$D$26,MATCH(SUBSTITUTE(SUBSTITUTE(SUBSTITUTE(SUBSTITUTE("type:"&amp;B521,"%","%25"),"~","%7E"),"*","%2A"),"?","%3F"),'Rules'!$G$7:$G$26,0)),"")</x:f>
      </x:c>
      <x:c r="N521" s="5" t="str">
        <x:f>IF(COUNTA(A521:F521)=0,"",SUBSTITUTE(SUBSTITUTE(SUBSTITUTE(SUBSTITUTE("id:"&amp;A521,"%","%25"),"~","%7E"),"*","%2A"),"?","%3F"))</x:f>
      </x:c>
    </x:row>
    <x:row r="522" ht="22" customHeight="1">
      <x:c r="A522" s="3"/>
      <x:c r="B522" s="3"/>
      <x:c r="C522" s="3"/>
      <x:c r="D522" s="4"/>
      <x:c r="E522" s="4"/>
      <x:c r="F522" s="4"/>
      <x:c r="G522" s="5" t="str">
        <x:f>IF(COUNTA(A522:F522)=0,"",IF(K522&lt;&gt;"","Review",IF(I522&lt;0,"Overdue",IF(I522=0,"Due now",IF(I522&lt;=M522,"Due soon","Not due")))))</x:f>
      </x:c>
      <x:c r="H522" s="5" t="str">
        <x:f>IF(OR(COUNTA(A522:F522)=0,COUNTIFS('Rules'!$G$7:$G$26,"="&amp;(SUBSTITUTE(SUBSTITUTE(SUBSTITUTE(SUBSTITUTE("type:"&amp;B522,"%","%25"),"~","%7E"),"*","%2A"),"?","%3F")))&lt;&gt;1),"",IF(OR(INDEX('Rules'!$B$7:$B$26,MATCH(SUBSTITUTE(SUBSTITUTE(SUBSTITUTE(SUBSTITUTE("type:"&amp;B522,"%","%25"),"~","%7E"),"*","%2A"),"?","%3F"),'Rules'!$G$7:$G$26,0))="hours",INDEX('Rules'!$B$7:$B$26,MATCH(SUBSTITUTE(SUBSTITUTE(SUBSTITUTE(SUBSTITUTE("type:"&amp;B522,"%","%25"),"~","%7E"),"*","%2A"),"?","%3F"),'Rules'!$G$7:$G$26,0))="km"),INDEX('Rules'!$B$7:$B$26,MATCH(SUBSTITUTE(SUBSTITUTE(SUBSTITUTE(SUBSTITUTE("type:"&amp;B522,"%","%25"),"~","%7E"),"*","%2A"),"?","%3F"),'Rules'!$G$7:$G$26,0)),""))</x:f>
      </x:c>
      <x:c r="I522" s="6" t="str">
        <x:f>IF(AND(NOT(COUNTA(A522:F522)=0),K522=""),ROUND(J522-D522,3),"")</x:f>
      </x:c>
      <x:c r="J522" s="6" t="str">
        <x:f>IF(AND(NOT(COUNTA(A522:F522)=0),K522=""),ROUND(F522+L522,3),"")</x:f>
      </x:c>
      <x:c r="K522" s="5" t="str">
        <x:f>IF(COUNTA(A522:F522)=0,"",IF(A522="","Missing equipment ID",IF(COUNTIFS($N$8:$N$2007,"="&amp;N522)&gt;1,"Duplicate equipment ID",IF(B522="","Missing type",IF(COUNTIFS('Rules'!$G$7:$G$26,"="&amp;(SUBSTITUTE(SUBSTITUTE(SUBSTITUTE(SUBSTITUTE("type:"&amp;B522,"%","%25"),"~","%7E"),"*","%2A"),"?","%3F")))=0,"Unknown type",IF(COUNTIFS('Rules'!$G$7:$G$26,"="&amp;(SUBSTITUTE(SUBSTITUTE(SUBSTITUTE(SUBSTITUTE("type:"&amp;B522,"%","%25"),"~","%7E"),"*","%2A"),"?","%3F")))&gt;1,"Duplicate type",IF(INDEX('Rules'!$F$7:$F$26,MATCH(SUBSTITUTE(SUBSTITUTE(SUBSTITUTE(SUBSTITUTE("type:"&amp;B522,"%","%25"),"~","%7E"),"*","%2A"),"?","%3F"),'Rules'!$G$7:$G$26,0))&lt;&gt;"",INDEX('Rules'!$F$7:$F$26,MATCH(SUBSTITUTE(SUBSTITUTE(SUBSTITUTE(SUBSTITUTE("type:"&amp;B522,"%","%25"),"~","%7E"),"*","%2A"),"?","%3F"),'Rules'!$G$7:$G$26,0)),IF(AND(C522&lt;&gt;"",C522&lt;&gt;INDEX('Rules'!$B$7:$B$26,MATCH(SUBSTITUTE(SUBSTITUTE(SUBSTITUTE(SUBSTITUTE("type:"&amp;B522,"%","%25"),"~","%7E"),"*","%2A"),"?","%3F"),'Rules'!$G$7:$G$26,0))),"Unit mismatch",IF(IF(NOT(ISNUMBER(D522)),TRUE,OR(D522&lt;0,D522&gt;999999999,ROUND(D522,3)&lt;&gt;D522)),"Invalid current reading",IF(AND(E522&lt;&gt;"",IF(NOT(ISNUMBER(E522)),TRUE,OR(E522&lt;0,E522&gt;999999999,ROUND(E522,3)&lt;&gt;E522))),"Invalid previous reading",IF(IF(NOT(ISNUMBER(F522)),TRUE,OR(F522&lt;0,F522&gt;999999999,ROUND(F522,3)&lt;&gt;F522)),"Invalid last service",IF(AND(E522&lt;&gt;"",D522&lt;E522),"Decreased reading",IF(F522&gt;D522,"Last service above current","")))))))))))))</x:f>
      </x:c>
      <x:c r="L522" s="6" t="str">
        <x:f>IF(AND(NOT(COUNTA(A522:F522)=0),K522=""),INDEX('Rules'!$C$7:$C$26,MATCH(SUBSTITUTE(SUBSTITUTE(SUBSTITUTE(SUBSTITUTE("type:"&amp;B522,"%","%25"),"~","%7E"),"*","%2A"),"?","%3F"),'Rules'!$G$7:$G$26,0)),"")</x:f>
      </x:c>
      <x:c r="M522" s="6" t="str">
        <x:f>IF(AND(NOT(COUNTA(A522:F522)=0),K522=""),INDEX('Rules'!$D$7:$D$26,MATCH(SUBSTITUTE(SUBSTITUTE(SUBSTITUTE(SUBSTITUTE("type:"&amp;B522,"%","%25"),"~","%7E"),"*","%2A"),"?","%3F"),'Rules'!$G$7:$G$26,0)),"")</x:f>
      </x:c>
      <x:c r="N522" s="5" t="str">
        <x:f>IF(COUNTA(A522:F522)=0,"",SUBSTITUTE(SUBSTITUTE(SUBSTITUTE(SUBSTITUTE("id:"&amp;A522,"%","%25"),"~","%7E"),"*","%2A"),"?","%3F"))</x:f>
      </x:c>
    </x:row>
    <x:row r="523" ht="22" customHeight="1">
      <x:c r="A523" s="3"/>
      <x:c r="B523" s="3"/>
      <x:c r="C523" s="3"/>
      <x:c r="D523" s="4"/>
      <x:c r="E523" s="4"/>
      <x:c r="F523" s="4"/>
      <x:c r="G523" s="5" t="str">
        <x:f>IF(COUNTA(A523:F523)=0,"",IF(K523&lt;&gt;"","Review",IF(I523&lt;0,"Overdue",IF(I523=0,"Due now",IF(I523&lt;=M523,"Due soon","Not due")))))</x:f>
      </x:c>
      <x:c r="H523" s="5" t="str">
        <x:f>IF(OR(COUNTA(A523:F523)=0,COUNTIFS('Rules'!$G$7:$G$26,"="&amp;(SUBSTITUTE(SUBSTITUTE(SUBSTITUTE(SUBSTITUTE("type:"&amp;B523,"%","%25"),"~","%7E"),"*","%2A"),"?","%3F")))&lt;&gt;1),"",IF(OR(INDEX('Rules'!$B$7:$B$26,MATCH(SUBSTITUTE(SUBSTITUTE(SUBSTITUTE(SUBSTITUTE("type:"&amp;B523,"%","%25"),"~","%7E"),"*","%2A"),"?","%3F"),'Rules'!$G$7:$G$26,0))="hours",INDEX('Rules'!$B$7:$B$26,MATCH(SUBSTITUTE(SUBSTITUTE(SUBSTITUTE(SUBSTITUTE("type:"&amp;B523,"%","%25"),"~","%7E"),"*","%2A"),"?","%3F"),'Rules'!$G$7:$G$26,0))="km"),INDEX('Rules'!$B$7:$B$26,MATCH(SUBSTITUTE(SUBSTITUTE(SUBSTITUTE(SUBSTITUTE("type:"&amp;B523,"%","%25"),"~","%7E"),"*","%2A"),"?","%3F"),'Rules'!$G$7:$G$26,0)),""))</x:f>
      </x:c>
      <x:c r="I523" s="6" t="str">
        <x:f>IF(AND(NOT(COUNTA(A523:F523)=0),K523=""),ROUND(J523-D523,3),"")</x:f>
      </x:c>
      <x:c r="J523" s="6" t="str">
        <x:f>IF(AND(NOT(COUNTA(A523:F523)=0),K523=""),ROUND(F523+L523,3),"")</x:f>
      </x:c>
      <x:c r="K523" s="5" t="str">
        <x:f>IF(COUNTA(A523:F523)=0,"",IF(A523="","Missing equipment ID",IF(COUNTIFS($N$8:$N$2007,"="&amp;N523)&gt;1,"Duplicate equipment ID",IF(B523="","Missing type",IF(COUNTIFS('Rules'!$G$7:$G$26,"="&amp;(SUBSTITUTE(SUBSTITUTE(SUBSTITUTE(SUBSTITUTE("type:"&amp;B523,"%","%25"),"~","%7E"),"*","%2A"),"?","%3F")))=0,"Unknown type",IF(COUNTIFS('Rules'!$G$7:$G$26,"="&amp;(SUBSTITUTE(SUBSTITUTE(SUBSTITUTE(SUBSTITUTE("type:"&amp;B523,"%","%25"),"~","%7E"),"*","%2A"),"?","%3F")))&gt;1,"Duplicate type",IF(INDEX('Rules'!$F$7:$F$26,MATCH(SUBSTITUTE(SUBSTITUTE(SUBSTITUTE(SUBSTITUTE("type:"&amp;B523,"%","%25"),"~","%7E"),"*","%2A"),"?","%3F"),'Rules'!$G$7:$G$26,0))&lt;&gt;"",INDEX('Rules'!$F$7:$F$26,MATCH(SUBSTITUTE(SUBSTITUTE(SUBSTITUTE(SUBSTITUTE("type:"&amp;B523,"%","%25"),"~","%7E"),"*","%2A"),"?","%3F"),'Rules'!$G$7:$G$26,0)),IF(AND(C523&lt;&gt;"",C523&lt;&gt;INDEX('Rules'!$B$7:$B$26,MATCH(SUBSTITUTE(SUBSTITUTE(SUBSTITUTE(SUBSTITUTE("type:"&amp;B523,"%","%25"),"~","%7E"),"*","%2A"),"?","%3F"),'Rules'!$G$7:$G$26,0))),"Unit mismatch",IF(IF(NOT(ISNUMBER(D523)),TRUE,OR(D523&lt;0,D523&gt;999999999,ROUND(D523,3)&lt;&gt;D523)),"Invalid current reading",IF(AND(E523&lt;&gt;"",IF(NOT(ISNUMBER(E523)),TRUE,OR(E523&lt;0,E523&gt;999999999,ROUND(E523,3)&lt;&gt;E523))),"Invalid previous reading",IF(IF(NOT(ISNUMBER(F523)),TRUE,OR(F523&lt;0,F523&gt;999999999,ROUND(F523,3)&lt;&gt;F523)),"Invalid last service",IF(AND(E523&lt;&gt;"",D523&lt;E523),"Decreased reading",IF(F523&gt;D523,"Last service above current","")))))))))))))</x:f>
      </x:c>
      <x:c r="L523" s="6" t="str">
        <x:f>IF(AND(NOT(COUNTA(A523:F523)=0),K523=""),INDEX('Rules'!$C$7:$C$26,MATCH(SUBSTITUTE(SUBSTITUTE(SUBSTITUTE(SUBSTITUTE("type:"&amp;B523,"%","%25"),"~","%7E"),"*","%2A"),"?","%3F"),'Rules'!$G$7:$G$26,0)),"")</x:f>
      </x:c>
      <x:c r="M523" s="6" t="str">
        <x:f>IF(AND(NOT(COUNTA(A523:F523)=0),K523=""),INDEX('Rules'!$D$7:$D$26,MATCH(SUBSTITUTE(SUBSTITUTE(SUBSTITUTE(SUBSTITUTE("type:"&amp;B523,"%","%25"),"~","%7E"),"*","%2A"),"?","%3F"),'Rules'!$G$7:$G$26,0)),"")</x:f>
      </x:c>
      <x:c r="N523" s="5" t="str">
        <x:f>IF(COUNTA(A523:F523)=0,"",SUBSTITUTE(SUBSTITUTE(SUBSTITUTE(SUBSTITUTE("id:"&amp;A523,"%","%25"),"~","%7E"),"*","%2A"),"?","%3F"))</x:f>
      </x:c>
    </x:row>
    <x:row r="524" ht="22" customHeight="1">
      <x:c r="A524" s="3"/>
      <x:c r="B524" s="3"/>
      <x:c r="C524" s="3"/>
      <x:c r="D524" s="4"/>
      <x:c r="E524" s="4"/>
      <x:c r="F524" s="4"/>
      <x:c r="G524" s="5" t="str">
        <x:f>IF(COUNTA(A524:F524)=0,"",IF(K524&lt;&gt;"","Review",IF(I524&lt;0,"Overdue",IF(I524=0,"Due now",IF(I524&lt;=M524,"Due soon","Not due")))))</x:f>
      </x:c>
      <x:c r="H524" s="5" t="str">
        <x:f>IF(OR(COUNTA(A524:F524)=0,COUNTIFS('Rules'!$G$7:$G$26,"="&amp;(SUBSTITUTE(SUBSTITUTE(SUBSTITUTE(SUBSTITUTE("type:"&amp;B524,"%","%25"),"~","%7E"),"*","%2A"),"?","%3F")))&lt;&gt;1),"",IF(OR(INDEX('Rules'!$B$7:$B$26,MATCH(SUBSTITUTE(SUBSTITUTE(SUBSTITUTE(SUBSTITUTE("type:"&amp;B524,"%","%25"),"~","%7E"),"*","%2A"),"?","%3F"),'Rules'!$G$7:$G$26,0))="hours",INDEX('Rules'!$B$7:$B$26,MATCH(SUBSTITUTE(SUBSTITUTE(SUBSTITUTE(SUBSTITUTE("type:"&amp;B524,"%","%25"),"~","%7E"),"*","%2A"),"?","%3F"),'Rules'!$G$7:$G$26,0))="km"),INDEX('Rules'!$B$7:$B$26,MATCH(SUBSTITUTE(SUBSTITUTE(SUBSTITUTE(SUBSTITUTE("type:"&amp;B524,"%","%25"),"~","%7E"),"*","%2A"),"?","%3F"),'Rules'!$G$7:$G$26,0)),""))</x:f>
      </x:c>
      <x:c r="I524" s="6" t="str">
        <x:f>IF(AND(NOT(COUNTA(A524:F524)=0),K524=""),ROUND(J524-D524,3),"")</x:f>
      </x:c>
      <x:c r="J524" s="6" t="str">
        <x:f>IF(AND(NOT(COUNTA(A524:F524)=0),K524=""),ROUND(F524+L524,3),"")</x:f>
      </x:c>
      <x:c r="K524" s="5" t="str">
        <x:f>IF(COUNTA(A524:F524)=0,"",IF(A524="","Missing equipment ID",IF(COUNTIFS($N$8:$N$2007,"="&amp;N524)&gt;1,"Duplicate equipment ID",IF(B524="","Missing type",IF(COUNTIFS('Rules'!$G$7:$G$26,"="&amp;(SUBSTITUTE(SUBSTITUTE(SUBSTITUTE(SUBSTITUTE("type:"&amp;B524,"%","%25"),"~","%7E"),"*","%2A"),"?","%3F")))=0,"Unknown type",IF(COUNTIFS('Rules'!$G$7:$G$26,"="&amp;(SUBSTITUTE(SUBSTITUTE(SUBSTITUTE(SUBSTITUTE("type:"&amp;B524,"%","%25"),"~","%7E"),"*","%2A"),"?","%3F")))&gt;1,"Duplicate type",IF(INDEX('Rules'!$F$7:$F$26,MATCH(SUBSTITUTE(SUBSTITUTE(SUBSTITUTE(SUBSTITUTE("type:"&amp;B524,"%","%25"),"~","%7E"),"*","%2A"),"?","%3F"),'Rules'!$G$7:$G$26,0))&lt;&gt;"",INDEX('Rules'!$F$7:$F$26,MATCH(SUBSTITUTE(SUBSTITUTE(SUBSTITUTE(SUBSTITUTE("type:"&amp;B524,"%","%25"),"~","%7E"),"*","%2A"),"?","%3F"),'Rules'!$G$7:$G$26,0)),IF(AND(C524&lt;&gt;"",C524&lt;&gt;INDEX('Rules'!$B$7:$B$26,MATCH(SUBSTITUTE(SUBSTITUTE(SUBSTITUTE(SUBSTITUTE("type:"&amp;B524,"%","%25"),"~","%7E"),"*","%2A"),"?","%3F"),'Rules'!$G$7:$G$26,0))),"Unit mismatch",IF(IF(NOT(ISNUMBER(D524)),TRUE,OR(D524&lt;0,D524&gt;999999999,ROUND(D524,3)&lt;&gt;D524)),"Invalid current reading",IF(AND(E524&lt;&gt;"",IF(NOT(ISNUMBER(E524)),TRUE,OR(E524&lt;0,E524&gt;999999999,ROUND(E524,3)&lt;&gt;E524))),"Invalid previous reading",IF(IF(NOT(ISNUMBER(F524)),TRUE,OR(F524&lt;0,F524&gt;999999999,ROUND(F524,3)&lt;&gt;F524)),"Invalid last service",IF(AND(E524&lt;&gt;"",D524&lt;E524),"Decreased reading",IF(F524&gt;D524,"Last service above current","")))))))))))))</x:f>
      </x:c>
      <x:c r="L524" s="6" t="str">
        <x:f>IF(AND(NOT(COUNTA(A524:F524)=0),K524=""),INDEX('Rules'!$C$7:$C$26,MATCH(SUBSTITUTE(SUBSTITUTE(SUBSTITUTE(SUBSTITUTE("type:"&amp;B524,"%","%25"),"~","%7E"),"*","%2A"),"?","%3F"),'Rules'!$G$7:$G$26,0)),"")</x:f>
      </x:c>
      <x:c r="M524" s="6" t="str">
        <x:f>IF(AND(NOT(COUNTA(A524:F524)=0),K524=""),INDEX('Rules'!$D$7:$D$26,MATCH(SUBSTITUTE(SUBSTITUTE(SUBSTITUTE(SUBSTITUTE("type:"&amp;B524,"%","%25"),"~","%7E"),"*","%2A"),"?","%3F"),'Rules'!$G$7:$G$26,0)),"")</x:f>
      </x:c>
      <x:c r="N524" s="5" t="str">
        <x:f>IF(COUNTA(A524:F524)=0,"",SUBSTITUTE(SUBSTITUTE(SUBSTITUTE(SUBSTITUTE("id:"&amp;A524,"%","%25"),"~","%7E"),"*","%2A"),"?","%3F"))</x:f>
      </x:c>
    </x:row>
    <x:row r="525" ht="22" customHeight="1">
      <x:c r="A525" s="3"/>
      <x:c r="B525" s="3"/>
      <x:c r="C525" s="3"/>
      <x:c r="D525" s="4"/>
      <x:c r="E525" s="4"/>
      <x:c r="F525" s="4"/>
      <x:c r="G525" s="5" t="str">
        <x:f>IF(COUNTA(A525:F525)=0,"",IF(K525&lt;&gt;"","Review",IF(I525&lt;0,"Overdue",IF(I525=0,"Due now",IF(I525&lt;=M525,"Due soon","Not due")))))</x:f>
      </x:c>
      <x:c r="H525" s="5" t="str">
        <x:f>IF(OR(COUNTA(A525:F525)=0,COUNTIFS('Rules'!$G$7:$G$26,"="&amp;(SUBSTITUTE(SUBSTITUTE(SUBSTITUTE(SUBSTITUTE("type:"&amp;B525,"%","%25"),"~","%7E"),"*","%2A"),"?","%3F")))&lt;&gt;1),"",IF(OR(INDEX('Rules'!$B$7:$B$26,MATCH(SUBSTITUTE(SUBSTITUTE(SUBSTITUTE(SUBSTITUTE("type:"&amp;B525,"%","%25"),"~","%7E"),"*","%2A"),"?","%3F"),'Rules'!$G$7:$G$26,0))="hours",INDEX('Rules'!$B$7:$B$26,MATCH(SUBSTITUTE(SUBSTITUTE(SUBSTITUTE(SUBSTITUTE("type:"&amp;B525,"%","%25"),"~","%7E"),"*","%2A"),"?","%3F"),'Rules'!$G$7:$G$26,0))="km"),INDEX('Rules'!$B$7:$B$26,MATCH(SUBSTITUTE(SUBSTITUTE(SUBSTITUTE(SUBSTITUTE("type:"&amp;B525,"%","%25"),"~","%7E"),"*","%2A"),"?","%3F"),'Rules'!$G$7:$G$26,0)),""))</x:f>
      </x:c>
      <x:c r="I525" s="6" t="str">
        <x:f>IF(AND(NOT(COUNTA(A525:F525)=0),K525=""),ROUND(J525-D525,3),"")</x:f>
      </x:c>
      <x:c r="J525" s="6" t="str">
        <x:f>IF(AND(NOT(COUNTA(A525:F525)=0),K525=""),ROUND(F525+L525,3),"")</x:f>
      </x:c>
      <x:c r="K525" s="5" t="str">
        <x:f>IF(COUNTA(A525:F525)=0,"",IF(A525="","Missing equipment ID",IF(COUNTIFS($N$8:$N$2007,"="&amp;N525)&gt;1,"Duplicate equipment ID",IF(B525="","Missing type",IF(COUNTIFS('Rules'!$G$7:$G$26,"="&amp;(SUBSTITUTE(SUBSTITUTE(SUBSTITUTE(SUBSTITUTE("type:"&amp;B525,"%","%25"),"~","%7E"),"*","%2A"),"?","%3F")))=0,"Unknown type",IF(COUNTIFS('Rules'!$G$7:$G$26,"="&amp;(SUBSTITUTE(SUBSTITUTE(SUBSTITUTE(SUBSTITUTE("type:"&amp;B525,"%","%25"),"~","%7E"),"*","%2A"),"?","%3F")))&gt;1,"Duplicate type",IF(INDEX('Rules'!$F$7:$F$26,MATCH(SUBSTITUTE(SUBSTITUTE(SUBSTITUTE(SUBSTITUTE("type:"&amp;B525,"%","%25"),"~","%7E"),"*","%2A"),"?","%3F"),'Rules'!$G$7:$G$26,0))&lt;&gt;"",INDEX('Rules'!$F$7:$F$26,MATCH(SUBSTITUTE(SUBSTITUTE(SUBSTITUTE(SUBSTITUTE("type:"&amp;B525,"%","%25"),"~","%7E"),"*","%2A"),"?","%3F"),'Rules'!$G$7:$G$26,0)),IF(AND(C525&lt;&gt;"",C525&lt;&gt;INDEX('Rules'!$B$7:$B$26,MATCH(SUBSTITUTE(SUBSTITUTE(SUBSTITUTE(SUBSTITUTE("type:"&amp;B525,"%","%25"),"~","%7E"),"*","%2A"),"?","%3F"),'Rules'!$G$7:$G$26,0))),"Unit mismatch",IF(IF(NOT(ISNUMBER(D525)),TRUE,OR(D525&lt;0,D525&gt;999999999,ROUND(D525,3)&lt;&gt;D525)),"Invalid current reading",IF(AND(E525&lt;&gt;"",IF(NOT(ISNUMBER(E525)),TRUE,OR(E525&lt;0,E525&gt;999999999,ROUND(E525,3)&lt;&gt;E525))),"Invalid previous reading",IF(IF(NOT(ISNUMBER(F525)),TRUE,OR(F525&lt;0,F525&gt;999999999,ROUND(F525,3)&lt;&gt;F525)),"Invalid last service",IF(AND(E525&lt;&gt;"",D525&lt;E525),"Decreased reading",IF(F525&gt;D525,"Last service above current","")))))))))))))</x:f>
      </x:c>
      <x:c r="L525" s="6" t="str">
        <x:f>IF(AND(NOT(COUNTA(A525:F525)=0),K525=""),INDEX('Rules'!$C$7:$C$26,MATCH(SUBSTITUTE(SUBSTITUTE(SUBSTITUTE(SUBSTITUTE("type:"&amp;B525,"%","%25"),"~","%7E"),"*","%2A"),"?","%3F"),'Rules'!$G$7:$G$26,0)),"")</x:f>
      </x:c>
      <x:c r="M525" s="6" t="str">
        <x:f>IF(AND(NOT(COUNTA(A525:F525)=0),K525=""),INDEX('Rules'!$D$7:$D$26,MATCH(SUBSTITUTE(SUBSTITUTE(SUBSTITUTE(SUBSTITUTE("type:"&amp;B525,"%","%25"),"~","%7E"),"*","%2A"),"?","%3F"),'Rules'!$G$7:$G$26,0)),"")</x:f>
      </x:c>
      <x:c r="N525" s="5" t="str">
        <x:f>IF(COUNTA(A525:F525)=0,"",SUBSTITUTE(SUBSTITUTE(SUBSTITUTE(SUBSTITUTE("id:"&amp;A525,"%","%25"),"~","%7E"),"*","%2A"),"?","%3F"))</x:f>
      </x:c>
    </x:row>
    <x:row r="526" ht="22" customHeight="1">
      <x:c r="A526" s="3"/>
      <x:c r="B526" s="3"/>
      <x:c r="C526" s="3"/>
      <x:c r="D526" s="4"/>
      <x:c r="E526" s="4"/>
      <x:c r="F526" s="4"/>
      <x:c r="G526" s="5" t="str">
        <x:f>IF(COUNTA(A526:F526)=0,"",IF(K526&lt;&gt;"","Review",IF(I526&lt;0,"Overdue",IF(I526=0,"Due now",IF(I526&lt;=M526,"Due soon","Not due")))))</x:f>
      </x:c>
      <x:c r="H526" s="5" t="str">
        <x:f>IF(OR(COUNTA(A526:F526)=0,COUNTIFS('Rules'!$G$7:$G$26,"="&amp;(SUBSTITUTE(SUBSTITUTE(SUBSTITUTE(SUBSTITUTE("type:"&amp;B526,"%","%25"),"~","%7E"),"*","%2A"),"?","%3F")))&lt;&gt;1),"",IF(OR(INDEX('Rules'!$B$7:$B$26,MATCH(SUBSTITUTE(SUBSTITUTE(SUBSTITUTE(SUBSTITUTE("type:"&amp;B526,"%","%25"),"~","%7E"),"*","%2A"),"?","%3F"),'Rules'!$G$7:$G$26,0))="hours",INDEX('Rules'!$B$7:$B$26,MATCH(SUBSTITUTE(SUBSTITUTE(SUBSTITUTE(SUBSTITUTE("type:"&amp;B526,"%","%25"),"~","%7E"),"*","%2A"),"?","%3F"),'Rules'!$G$7:$G$26,0))="km"),INDEX('Rules'!$B$7:$B$26,MATCH(SUBSTITUTE(SUBSTITUTE(SUBSTITUTE(SUBSTITUTE("type:"&amp;B526,"%","%25"),"~","%7E"),"*","%2A"),"?","%3F"),'Rules'!$G$7:$G$26,0)),""))</x:f>
      </x:c>
      <x:c r="I526" s="6" t="str">
        <x:f>IF(AND(NOT(COUNTA(A526:F526)=0),K526=""),ROUND(J526-D526,3),"")</x:f>
      </x:c>
      <x:c r="J526" s="6" t="str">
        <x:f>IF(AND(NOT(COUNTA(A526:F526)=0),K526=""),ROUND(F526+L526,3),"")</x:f>
      </x:c>
      <x:c r="K526" s="5" t="str">
        <x:f>IF(COUNTA(A526:F526)=0,"",IF(A526="","Missing equipment ID",IF(COUNTIFS($N$8:$N$2007,"="&amp;N526)&gt;1,"Duplicate equipment ID",IF(B526="","Missing type",IF(COUNTIFS('Rules'!$G$7:$G$26,"="&amp;(SUBSTITUTE(SUBSTITUTE(SUBSTITUTE(SUBSTITUTE("type:"&amp;B526,"%","%25"),"~","%7E"),"*","%2A"),"?","%3F")))=0,"Unknown type",IF(COUNTIFS('Rules'!$G$7:$G$26,"="&amp;(SUBSTITUTE(SUBSTITUTE(SUBSTITUTE(SUBSTITUTE("type:"&amp;B526,"%","%25"),"~","%7E"),"*","%2A"),"?","%3F")))&gt;1,"Duplicate type",IF(INDEX('Rules'!$F$7:$F$26,MATCH(SUBSTITUTE(SUBSTITUTE(SUBSTITUTE(SUBSTITUTE("type:"&amp;B526,"%","%25"),"~","%7E"),"*","%2A"),"?","%3F"),'Rules'!$G$7:$G$26,0))&lt;&gt;"",INDEX('Rules'!$F$7:$F$26,MATCH(SUBSTITUTE(SUBSTITUTE(SUBSTITUTE(SUBSTITUTE("type:"&amp;B526,"%","%25"),"~","%7E"),"*","%2A"),"?","%3F"),'Rules'!$G$7:$G$26,0)),IF(AND(C526&lt;&gt;"",C526&lt;&gt;INDEX('Rules'!$B$7:$B$26,MATCH(SUBSTITUTE(SUBSTITUTE(SUBSTITUTE(SUBSTITUTE("type:"&amp;B526,"%","%25"),"~","%7E"),"*","%2A"),"?","%3F"),'Rules'!$G$7:$G$26,0))),"Unit mismatch",IF(IF(NOT(ISNUMBER(D526)),TRUE,OR(D526&lt;0,D526&gt;999999999,ROUND(D526,3)&lt;&gt;D526)),"Invalid current reading",IF(AND(E526&lt;&gt;"",IF(NOT(ISNUMBER(E526)),TRUE,OR(E526&lt;0,E526&gt;999999999,ROUND(E526,3)&lt;&gt;E526))),"Invalid previous reading",IF(IF(NOT(ISNUMBER(F526)),TRUE,OR(F526&lt;0,F526&gt;999999999,ROUND(F526,3)&lt;&gt;F526)),"Invalid last service",IF(AND(E526&lt;&gt;"",D526&lt;E526),"Decreased reading",IF(F526&gt;D526,"Last service above current","")))))))))))))</x:f>
      </x:c>
      <x:c r="L526" s="6" t="str">
        <x:f>IF(AND(NOT(COUNTA(A526:F526)=0),K526=""),INDEX('Rules'!$C$7:$C$26,MATCH(SUBSTITUTE(SUBSTITUTE(SUBSTITUTE(SUBSTITUTE("type:"&amp;B526,"%","%25"),"~","%7E"),"*","%2A"),"?","%3F"),'Rules'!$G$7:$G$26,0)),"")</x:f>
      </x:c>
      <x:c r="M526" s="6" t="str">
        <x:f>IF(AND(NOT(COUNTA(A526:F526)=0),K526=""),INDEX('Rules'!$D$7:$D$26,MATCH(SUBSTITUTE(SUBSTITUTE(SUBSTITUTE(SUBSTITUTE("type:"&amp;B526,"%","%25"),"~","%7E"),"*","%2A"),"?","%3F"),'Rules'!$G$7:$G$26,0)),"")</x:f>
      </x:c>
      <x:c r="N526" s="5" t="str">
        <x:f>IF(COUNTA(A526:F526)=0,"",SUBSTITUTE(SUBSTITUTE(SUBSTITUTE(SUBSTITUTE("id:"&amp;A526,"%","%25"),"~","%7E"),"*","%2A"),"?","%3F"))</x:f>
      </x:c>
    </x:row>
    <x:row r="527" ht="22" customHeight="1">
      <x:c r="A527" s="3"/>
      <x:c r="B527" s="3"/>
      <x:c r="C527" s="3"/>
      <x:c r="D527" s="4"/>
      <x:c r="E527" s="4"/>
      <x:c r="F527" s="4"/>
      <x:c r="G527" s="5" t="str">
        <x:f>IF(COUNTA(A527:F527)=0,"",IF(K527&lt;&gt;"","Review",IF(I527&lt;0,"Overdue",IF(I527=0,"Due now",IF(I527&lt;=M527,"Due soon","Not due")))))</x:f>
      </x:c>
      <x:c r="H527" s="5" t="str">
        <x:f>IF(OR(COUNTA(A527:F527)=0,COUNTIFS('Rules'!$G$7:$G$26,"="&amp;(SUBSTITUTE(SUBSTITUTE(SUBSTITUTE(SUBSTITUTE("type:"&amp;B527,"%","%25"),"~","%7E"),"*","%2A"),"?","%3F")))&lt;&gt;1),"",IF(OR(INDEX('Rules'!$B$7:$B$26,MATCH(SUBSTITUTE(SUBSTITUTE(SUBSTITUTE(SUBSTITUTE("type:"&amp;B527,"%","%25"),"~","%7E"),"*","%2A"),"?","%3F"),'Rules'!$G$7:$G$26,0))="hours",INDEX('Rules'!$B$7:$B$26,MATCH(SUBSTITUTE(SUBSTITUTE(SUBSTITUTE(SUBSTITUTE("type:"&amp;B527,"%","%25"),"~","%7E"),"*","%2A"),"?","%3F"),'Rules'!$G$7:$G$26,0))="km"),INDEX('Rules'!$B$7:$B$26,MATCH(SUBSTITUTE(SUBSTITUTE(SUBSTITUTE(SUBSTITUTE("type:"&amp;B527,"%","%25"),"~","%7E"),"*","%2A"),"?","%3F"),'Rules'!$G$7:$G$26,0)),""))</x:f>
      </x:c>
      <x:c r="I527" s="6" t="str">
        <x:f>IF(AND(NOT(COUNTA(A527:F527)=0),K527=""),ROUND(J527-D527,3),"")</x:f>
      </x:c>
      <x:c r="J527" s="6" t="str">
        <x:f>IF(AND(NOT(COUNTA(A527:F527)=0),K527=""),ROUND(F527+L527,3),"")</x:f>
      </x:c>
      <x:c r="K527" s="5" t="str">
        <x:f>IF(COUNTA(A527:F527)=0,"",IF(A527="","Missing equipment ID",IF(COUNTIFS($N$8:$N$2007,"="&amp;N527)&gt;1,"Duplicate equipment ID",IF(B527="","Missing type",IF(COUNTIFS('Rules'!$G$7:$G$26,"="&amp;(SUBSTITUTE(SUBSTITUTE(SUBSTITUTE(SUBSTITUTE("type:"&amp;B527,"%","%25"),"~","%7E"),"*","%2A"),"?","%3F")))=0,"Unknown type",IF(COUNTIFS('Rules'!$G$7:$G$26,"="&amp;(SUBSTITUTE(SUBSTITUTE(SUBSTITUTE(SUBSTITUTE("type:"&amp;B527,"%","%25"),"~","%7E"),"*","%2A"),"?","%3F")))&gt;1,"Duplicate type",IF(INDEX('Rules'!$F$7:$F$26,MATCH(SUBSTITUTE(SUBSTITUTE(SUBSTITUTE(SUBSTITUTE("type:"&amp;B527,"%","%25"),"~","%7E"),"*","%2A"),"?","%3F"),'Rules'!$G$7:$G$26,0))&lt;&gt;"",INDEX('Rules'!$F$7:$F$26,MATCH(SUBSTITUTE(SUBSTITUTE(SUBSTITUTE(SUBSTITUTE("type:"&amp;B527,"%","%25"),"~","%7E"),"*","%2A"),"?","%3F"),'Rules'!$G$7:$G$26,0)),IF(AND(C527&lt;&gt;"",C527&lt;&gt;INDEX('Rules'!$B$7:$B$26,MATCH(SUBSTITUTE(SUBSTITUTE(SUBSTITUTE(SUBSTITUTE("type:"&amp;B527,"%","%25"),"~","%7E"),"*","%2A"),"?","%3F"),'Rules'!$G$7:$G$26,0))),"Unit mismatch",IF(IF(NOT(ISNUMBER(D527)),TRUE,OR(D527&lt;0,D527&gt;999999999,ROUND(D527,3)&lt;&gt;D527)),"Invalid current reading",IF(AND(E527&lt;&gt;"",IF(NOT(ISNUMBER(E527)),TRUE,OR(E527&lt;0,E527&gt;999999999,ROUND(E527,3)&lt;&gt;E527))),"Invalid previous reading",IF(IF(NOT(ISNUMBER(F527)),TRUE,OR(F527&lt;0,F527&gt;999999999,ROUND(F527,3)&lt;&gt;F527)),"Invalid last service",IF(AND(E527&lt;&gt;"",D527&lt;E527),"Decreased reading",IF(F527&gt;D527,"Last service above current","")))))))))))))</x:f>
      </x:c>
      <x:c r="L527" s="6" t="str">
        <x:f>IF(AND(NOT(COUNTA(A527:F527)=0),K527=""),INDEX('Rules'!$C$7:$C$26,MATCH(SUBSTITUTE(SUBSTITUTE(SUBSTITUTE(SUBSTITUTE("type:"&amp;B527,"%","%25"),"~","%7E"),"*","%2A"),"?","%3F"),'Rules'!$G$7:$G$26,0)),"")</x:f>
      </x:c>
      <x:c r="M527" s="6" t="str">
        <x:f>IF(AND(NOT(COUNTA(A527:F527)=0),K527=""),INDEX('Rules'!$D$7:$D$26,MATCH(SUBSTITUTE(SUBSTITUTE(SUBSTITUTE(SUBSTITUTE("type:"&amp;B527,"%","%25"),"~","%7E"),"*","%2A"),"?","%3F"),'Rules'!$G$7:$G$26,0)),"")</x:f>
      </x:c>
      <x:c r="N527" s="5" t="str">
        <x:f>IF(COUNTA(A527:F527)=0,"",SUBSTITUTE(SUBSTITUTE(SUBSTITUTE(SUBSTITUTE("id:"&amp;A527,"%","%25"),"~","%7E"),"*","%2A"),"?","%3F"))</x:f>
      </x:c>
    </x:row>
    <x:row r="528" ht="22" customHeight="1">
      <x:c r="A528" s="3"/>
      <x:c r="B528" s="3"/>
      <x:c r="C528" s="3"/>
      <x:c r="D528" s="4"/>
      <x:c r="E528" s="4"/>
      <x:c r="F528" s="4"/>
      <x:c r="G528" s="5" t="str">
        <x:f>IF(COUNTA(A528:F528)=0,"",IF(K528&lt;&gt;"","Review",IF(I528&lt;0,"Overdue",IF(I528=0,"Due now",IF(I528&lt;=M528,"Due soon","Not due")))))</x:f>
      </x:c>
      <x:c r="H528" s="5" t="str">
        <x:f>IF(OR(COUNTA(A528:F528)=0,COUNTIFS('Rules'!$G$7:$G$26,"="&amp;(SUBSTITUTE(SUBSTITUTE(SUBSTITUTE(SUBSTITUTE("type:"&amp;B528,"%","%25"),"~","%7E"),"*","%2A"),"?","%3F")))&lt;&gt;1),"",IF(OR(INDEX('Rules'!$B$7:$B$26,MATCH(SUBSTITUTE(SUBSTITUTE(SUBSTITUTE(SUBSTITUTE("type:"&amp;B528,"%","%25"),"~","%7E"),"*","%2A"),"?","%3F"),'Rules'!$G$7:$G$26,0))="hours",INDEX('Rules'!$B$7:$B$26,MATCH(SUBSTITUTE(SUBSTITUTE(SUBSTITUTE(SUBSTITUTE("type:"&amp;B528,"%","%25"),"~","%7E"),"*","%2A"),"?","%3F"),'Rules'!$G$7:$G$26,0))="km"),INDEX('Rules'!$B$7:$B$26,MATCH(SUBSTITUTE(SUBSTITUTE(SUBSTITUTE(SUBSTITUTE("type:"&amp;B528,"%","%25"),"~","%7E"),"*","%2A"),"?","%3F"),'Rules'!$G$7:$G$26,0)),""))</x:f>
      </x:c>
      <x:c r="I528" s="6" t="str">
        <x:f>IF(AND(NOT(COUNTA(A528:F528)=0),K528=""),ROUND(J528-D528,3),"")</x:f>
      </x:c>
      <x:c r="J528" s="6" t="str">
        <x:f>IF(AND(NOT(COUNTA(A528:F528)=0),K528=""),ROUND(F528+L528,3),"")</x:f>
      </x:c>
      <x:c r="K528" s="5" t="str">
        <x:f>IF(COUNTA(A528:F528)=0,"",IF(A528="","Missing equipment ID",IF(COUNTIFS($N$8:$N$2007,"="&amp;N528)&gt;1,"Duplicate equipment ID",IF(B528="","Missing type",IF(COUNTIFS('Rules'!$G$7:$G$26,"="&amp;(SUBSTITUTE(SUBSTITUTE(SUBSTITUTE(SUBSTITUTE("type:"&amp;B528,"%","%25"),"~","%7E"),"*","%2A"),"?","%3F")))=0,"Unknown type",IF(COUNTIFS('Rules'!$G$7:$G$26,"="&amp;(SUBSTITUTE(SUBSTITUTE(SUBSTITUTE(SUBSTITUTE("type:"&amp;B528,"%","%25"),"~","%7E"),"*","%2A"),"?","%3F")))&gt;1,"Duplicate type",IF(INDEX('Rules'!$F$7:$F$26,MATCH(SUBSTITUTE(SUBSTITUTE(SUBSTITUTE(SUBSTITUTE("type:"&amp;B528,"%","%25"),"~","%7E"),"*","%2A"),"?","%3F"),'Rules'!$G$7:$G$26,0))&lt;&gt;"",INDEX('Rules'!$F$7:$F$26,MATCH(SUBSTITUTE(SUBSTITUTE(SUBSTITUTE(SUBSTITUTE("type:"&amp;B528,"%","%25"),"~","%7E"),"*","%2A"),"?","%3F"),'Rules'!$G$7:$G$26,0)),IF(AND(C528&lt;&gt;"",C528&lt;&gt;INDEX('Rules'!$B$7:$B$26,MATCH(SUBSTITUTE(SUBSTITUTE(SUBSTITUTE(SUBSTITUTE("type:"&amp;B528,"%","%25"),"~","%7E"),"*","%2A"),"?","%3F"),'Rules'!$G$7:$G$26,0))),"Unit mismatch",IF(IF(NOT(ISNUMBER(D528)),TRUE,OR(D528&lt;0,D528&gt;999999999,ROUND(D528,3)&lt;&gt;D528)),"Invalid current reading",IF(AND(E528&lt;&gt;"",IF(NOT(ISNUMBER(E528)),TRUE,OR(E528&lt;0,E528&gt;999999999,ROUND(E528,3)&lt;&gt;E528))),"Invalid previous reading",IF(IF(NOT(ISNUMBER(F528)),TRUE,OR(F528&lt;0,F528&gt;999999999,ROUND(F528,3)&lt;&gt;F528)),"Invalid last service",IF(AND(E528&lt;&gt;"",D528&lt;E528),"Decreased reading",IF(F528&gt;D528,"Last service above current","")))))))))))))</x:f>
      </x:c>
      <x:c r="L528" s="6" t="str">
        <x:f>IF(AND(NOT(COUNTA(A528:F528)=0),K528=""),INDEX('Rules'!$C$7:$C$26,MATCH(SUBSTITUTE(SUBSTITUTE(SUBSTITUTE(SUBSTITUTE("type:"&amp;B528,"%","%25"),"~","%7E"),"*","%2A"),"?","%3F"),'Rules'!$G$7:$G$26,0)),"")</x:f>
      </x:c>
      <x:c r="M528" s="6" t="str">
        <x:f>IF(AND(NOT(COUNTA(A528:F528)=0),K528=""),INDEX('Rules'!$D$7:$D$26,MATCH(SUBSTITUTE(SUBSTITUTE(SUBSTITUTE(SUBSTITUTE("type:"&amp;B528,"%","%25"),"~","%7E"),"*","%2A"),"?","%3F"),'Rules'!$G$7:$G$26,0)),"")</x:f>
      </x:c>
      <x:c r="N528" s="5" t="str">
        <x:f>IF(COUNTA(A528:F528)=0,"",SUBSTITUTE(SUBSTITUTE(SUBSTITUTE(SUBSTITUTE("id:"&amp;A528,"%","%25"),"~","%7E"),"*","%2A"),"?","%3F"))</x:f>
      </x:c>
    </x:row>
    <x:row r="529" ht="22" customHeight="1">
      <x:c r="A529" s="3"/>
      <x:c r="B529" s="3"/>
      <x:c r="C529" s="3"/>
      <x:c r="D529" s="4"/>
      <x:c r="E529" s="4"/>
      <x:c r="F529" s="4"/>
      <x:c r="G529" s="5" t="str">
        <x:f>IF(COUNTA(A529:F529)=0,"",IF(K529&lt;&gt;"","Review",IF(I529&lt;0,"Overdue",IF(I529=0,"Due now",IF(I529&lt;=M529,"Due soon","Not due")))))</x:f>
      </x:c>
      <x:c r="H529" s="5" t="str">
        <x:f>IF(OR(COUNTA(A529:F529)=0,COUNTIFS('Rules'!$G$7:$G$26,"="&amp;(SUBSTITUTE(SUBSTITUTE(SUBSTITUTE(SUBSTITUTE("type:"&amp;B529,"%","%25"),"~","%7E"),"*","%2A"),"?","%3F")))&lt;&gt;1),"",IF(OR(INDEX('Rules'!$B$7:$B$26,MATCH(SUBSTITUTE(SUBSTITUTE(SUBSTITUTE(SUBSTITUTE("type:"&amp;B529,"%","%25"),"~","%7E"),"*","%2A"),"?","%3F"),'Rules'!$G$7:$G$26,0))="hours",INDEX('Rules'!$B$7:$B$26,MATCH(SUBSTITUTE(SUBSTITUTE(SUBSTITUTE(SUBSTITUTE("type:"&amp;B529,"%","%25"),"~","%7E"),"*","%2A"),"?","%3F"),'Rules'!$G$7:$G$26,0))="km"),INDEX('Rules'!$B$7:$B$26,MATCH(SUBSTITUTE(SUBSTITUTE(SUBSTITUTE(SUBSTITUTE("type:"&amp;B529,"%","%25"),"~","%7E"),"*","%2A"),"?","%3F"),'Rules'!$G$7:$G$26,0)),""))</x:f>
      </x:c>
      <x:c r="I529" s="6" t="str">
        <x:f>IF(AND(NOT(COUNTA(A529:F529)=0),K529=""),ROUND(J529-D529,3),"")</x:f>
      </x:c>
      <x:c r="J529" s="6" t="str">
        <x:f>IF(AND(NOT(COUNTA(A529:F529)=0),K529=""),ROUND(F529+L529,3),"")</x:f>
      </x:c>
      <x:c r="K529" s="5" t="str">
        <x:f>IF(COUNTA(A529:F529)=0,"",IF(A529="","Missing equipment ID",IF(COUNTIFS($N$8:$N$2007,"="&amp;N529)&gt;1,"Duplicate equipment ID",IF(B529="","Missing type",IF(COUNTIFS('Rules'!$G$7:$G$26,"="&amp;(SUBSTITUTE(SUBSTITUTE(SUBSTITUTE(SUBSTITUTE("type:"&amp;B529,"%","%25"),"~","%7E"),"*","%2A"),"?","%3F")))=0,"Unknown type",IF(COUNTIFS('Rules'!$G$7:$G$26,"="&amp;(SUBSTITUTE(SUBSTITUTE(SUBSTITUTE(SUBSTITUTE("type:"&amp;B529,"%","%25"),"~","%7E"),"*","%2A"),"?","%3F")))&gt;1,"Duplicate type",IF(INDEX('Rules'!$F$7:$F$26,MATCH(SUBSTITUTE(SUBSTITUTE(SUBSTITUTE(SUBSTITUTE("type:"&amp;B529,"%","%25"),"~","%7E"),"*","%2A"),"?","%3F"),'Rules'!$G$7:$G$26,0))&lt;&gt;"",INDEX('Rules'!$F$7:$F$26,MATCH(SUBSTITUTE(SUBSTITUTE(SUBSTITUTE(SUBSTITUTE("type:"&amp;B529,"%","%25"),"~","%7E"),"*","%2A"),"?","%3F"),'Rules'!$G$7:$G$26,0)),IF(AND(C529&lt;&gt;"",C529&lt;&gt;INDEX('Rules'!$B$7:$B$26,MATCH(SUBSTITUTE(SUBSTITUTE(SUBSTITUTE(SUBSTITUTE("type:"&amp;B529,"%","%25"),"~","%7E"),"*","%2A"),"?","%3F"),'Rules'!$G$7:$G$26,0))),"Unit mismatch",IF(IF(NOT(ISNUMBER(D529)),TRUE,OR(D529&lt;0,D529&gt;999999999,ROUND(D529,3)&lt;&gt;D529)),"Invalid current reading",IF(AND(E529&lt;&gt;"",IF(NOT(ISNUMBER(E529)),TRUE,OR(E529&lt;0,E529&gt;999999999,ROUND(E529,3)&lt;&gt;E529))),"Invalid previous reading",IF(IF(NOT(ISNUMBER(F529)),TRUE,OR(F529&lt;0,F529&gt;999999999,ROUND(F529,3)&lt;&gt;F529)),"Invalid last service",IF(AND(E529&lt;&gt;"",D529&lt;E529),"Decreased reading",IF(F529&gt;D529,"Last service above current","")))))))))))))</x:f>
      </x:c>
      <x:c r="L529" s="6" t="str">
        <x:f>IF(AND(NOT(COUNTA(A529:F529)=0),K529=""),INDEX('Rules'!$C$7:$C$26,MATCH(SUBSTITUTE(SUBSTITUTE(SUBSTITUTE(SUBSTITUTE("type:"&amp;B529,"%","%25"),"~","%7E"),"*","%2A"),"?","%3F"),'Rules'!$G$7:$G$26,0)),"")</x:f>
      </x:c>
      <x:c r="M529" s="6" t="str">
        <x:f>IF(AND(NOT(COUNTA(A529:F529)=0),K529=""),INDEX('Rules'!$D$7:$D$26,MATCH(SUBSTITUTE(SUBSTITUTE(SUBSTITUTE(SUBSTITUTE("type:"&amp;B529,"%","%25"),"~","%7E"),"*","%2A"),"?","%3F"),'Rules'!$G$7:$G$26,0)),"")</x:f>
      </x:c>
      <x:c r="N529" s="5" t="str">
        <x:f>IF(COUNTA(A529:F529)=0,"",SUBSTITUTE(SUBSTITUTE(SUBSTITUTE(SUBSTITUTE("id:"&amp;A529,"%","%25"),"~","%7E"),"*","%2A"),"?","%3F"))</x:f>
      </x:c>
    </x:row>
    <x:row r="530" ht="22" customHeight="1">
      <x:c r="A530" s="3"/>
      <x:c r="B530" s="3"/>
      <x:c r="C530" s="3"/>
      <x:c r="D530" s="4"/>
      <x:c r="E530" s="4"/>
      <x:c r="F530" s="4"/>
      <x:c r="G530" s="5" t="str">
        <x:f>IF(COUNTA(A530:F530)=0,"",IF(K530&lt;&gt;"","Review",IF(I530&lt;0,"Overdue",IF(I530=0,"Due now",IF(I530&lt;=M530,"Due soon","Not due")))))</x:f>
      </x:c>
      <x:c r="H530" s="5" t="str">
        <x:f>IF(OR(COUNTA(A530:F530)=0,COUNTIFS('Rules'!$G$7:$G$26,"="&amp;(SUBSTITUTE(SUBSTITUTE(SUBSTITUTE(SUBSTITUTE("type:"&amp;B530,"%","%25"),"~","%7E"),"*","%2A"),"?","%3F")))&lt;&gt;1),"",IF(OR(INDEX('Rules'!$B$7:$B$26,MATCH(SUBSTITUTE(SUBSTITUTE(SUBSTITUTE(SUBSTITUTE("type:"&amp;B530,"%","%25"),"~","%7E"),"*","%2A"),"?","%3F"),'Rules'!$G$7:$G$26,0))="hours",INDEX('Rules'!$B$7:$B$26,MATCH(SUBSTITUTE(SUBSTITUTE(SUBSTITUTE(SUBSTITUTE("type:"&amp;B530,"%","%25"),"~","%7E"),"*","%2A"),"?","%3F"),'Rules'!$G$7:$G$26,0))="km"),INDEX('Rules'!$B$7:$B$26,MATCH(SUBSTITUTE(SUBSTITUTE(SUBSTITUTE(SUBSTITUTE("type:"&amp;B530,"%","%25"),"~","%7E"),"*","%2A"),"?","%3F"),'Rules'!$G$7:$G$26,0)),""))</x:f>
      </x:c>
      <x:c r="I530" s="6" t="str">
        <x:f>IF(AND(NOT(COUNTA(A530:F530)=0),K530=""),ROUND(J530-D530,3),"")</x:f>
      </x:c>
      <x:c r="J530" s="6" t="str">
        <x:f>IF(AND(NOT(COUNTA(A530:F530)=0),K530=""),ROUND(F530+L530,3),"")</x:f>
      </x:c>
      <x:c r="K530" s="5" t="str">
        <x:f>IF(COUNTA(A530:F530)=0,"",IF(A530="","Missing equipment ID",IF(COUNTIFS($N$8:$N$2007,"="&amp;N530)&gt;1,"Duplicate equipment ID",IF(B530="","Missing type",IF(COUNTIFS('Rules'!$G$7:$G$26,"="&amp;(SUBSTITUTE(SUBSTITUTE(SUBSTITUTE(SUBSTITUTE("type:"&amp;B530,"%","%25"),"~","%7E"),"*","%2A"),"?","%3F")))=0,"Unknown type",IF(COUNTIFS('Rules'!$G$7:$G$26,"="&amp;(SUBSTITUTE(SUBSTITUTE(SUBSTITUTE(SUBSTITUTE("type:"&amp;B530,"%","%25"),"~","%7E"),"*","%2A"),"?","%3F")))&gt;1,"Duplicate type",IF(INDEX('Rules'!$F$7:$F$26,MATCH(SUBSTITUTE(SUBSTITUTE(SUBSTITUTE(SUBSTITUTE("type:"&amp;B530,"%","%25"),"~","%7E"),"*","%2A"),"?","%3F"),'Rules'!$G$7:$G$26,0))&lt;&gt;"",INDEX('Rules'!$F$7:$F$26,MATCH(SUBSTITUTE(SUBSTITUTE(SUBSTITUTE(SUBSTITUTE("type:"&amp;B530,"%","%25"),"~","%7E"),"*","%2A"),"?","%3F"),'Rules'!$G$7:$G$26,0)),IF(AND(C530&lt;&gt;"",C530&lt;&gt;INDEX('Rules'!$B$7:$B$26,MATCH(SUBSTITUTE(SUBSTITUTE(SUBSTITUTE(SUBSTITUTE("type:"&amp;B530,"%","%25"),"~","%7E"),"*","%2A"),"?","%3F"),'Rules'!$G$7:$G$26,0))),"Unit mismatch",IF(IF(NOT(ISNUMBER(D530)),TRUE,OR(D530&lt;0,D530&gt;999999999,ROUND(D530,3)&lt;&gt;D530)),"Invalid current reading",IF(AND(E530&lt;&gt;"",IF(NOT(ISNUMBER(E530)),TRUE,OR(E530&lt;0,E530&gt;999999999,ROUND(E530,3)&lt;&gt;E530))),"Invalid previous reading",IF(IF(NOT(ISNUMBER(F530)),TRUE,OR(F530&lt;0,F530&gt;999999999,ROUND(F530,3)&lt;&gt;F530)),"Invalid last service",IF(AND(E530&lt;&gt;"",D530&lt;E530),"Decreased reading",IF(F530&gt;D530,"Last service above current","")))))))))))))</x:f>
      </x:c>
      <x:c r="L530" s="6" t="str">
        <x:f>IF(AND(NOT(COUNTA(A530:F530)=0),K530=""),INDEX('Rules'!$C$7:$C$26,MATCH(SUBSTITUTE(SUBSTITUTE(SUBSTITUTE(SUBSTITUTE("type:"&amp;B530,"%","%25"),"~","%7E"),"*","%2A"),"?","%3F"),'Rules'!$G$7:$G$26,0)),"")</x:f>
      </x:c>
      <x:c r="M530" s="6" t="str">
        <x:f>IF(AND(NOT(COUNTA(A530:F530)=0),K530=""),INDEX('Rules'!$D$7:$D$26,MATCH(SUBSTITUTE(SUBSTITUTE(SUBSTITUTE(SUBSTITUTE("type:"&amp;B530,"%","%25"),"~","%7E"),"*","%2A"),"?","%3F"),'Rules'!$G$7:$G$26,0)),"")</x:f>
      </x:c>
      <x:c r="N530" s="5" t="str">
        <x:f>IF(COUNTA(A530:F530)=0,"",SUBSTITUTE(SUBSTITUTE(SUBSTITUTE(SUBSTITUTE("id:"&amp;A530,"%","%25"),"~","%7E"),"*","%2A"),"?","%3F"))</x:f>
      </x:c>
    </x:row>
    <x:row r="531" ht="22" customHeight="1">
      <x:c r="A531" s="3"/>
      <x:c r="B531" s="3"/>
      <x:c r="C531" s="3"/>
      <x:c r="D531" s="4"/>
      <x:c r="E531" s="4"/>
      <x:c r="F531" s="4"/>
      <x:c r="G531" s="5" t="str">
        <x:f>IF(COUNTA(A531:F531)=0,"",IF(K531&lt;&gt;"","Review",IF(I531&lt;0,"Overdue",IF(I531=0,"Due now",IF(I531&lt;=M531,"Due soon","Not due")))))</x:f>
      </x:c>
      <x:c r="H531" s="5" t="str">
        <x:f>IF(OR(COUNTA(A531:F531)=0,COUNTIFS('Rules'!$G$7:$G$26,"="&amp;(SUBSTITUTE(SUBSTITUTE(SUBSTITUTE(SUBSTITUTE("type:"&amp;B531,"%","%25"),"~","%7E"),"*","%2A"),"?","%3F")))&lt;&gt;1),"",IF(OR(INDEX('Rules'!$B$7:$B$26,MATCH(SUBSTITUTE(SUBSTITUTE(SUBSTITUTE(SUBSTITUTE("type:"&amp;B531,"%","%25"),"~","%7E"),"*","%2A"),"?","%3F"),'Rules'!$G$7:$G$26,0))="hours",INDEX('Rules'!$B$7:$B$26,MATCH(SUBSTITUTE(SUBSTITUTE(SUBSTITUTE(SUBSTITUTE("type:"&amp;B531,"%","%25"),"~","%7E"),"*","%2A"),"?","%3F"),'Rules'!$G$7:$G$26,0))="km"),INDEX('Rules'!$B$7:$B$26,MATCH(SUBSTITUTE(SUBSTITUTE(SUBSTITUTE(SUBSTITUTE("type:"&amp;B531,"%","%25"),"~","%7E"),"*","%2A"),"?","%3F"),'Rules'!$G$7:$G$26,0)),""))</x:f>
      </x:c>
      <x:c r="I531" s="6" t="str">
        <x:f>IF(AND(NOT(COUNTA(A531:F531)=0),K531=""),ROUND(J531-D531,3),"")</x:f>
      </x:c>
      <x:c r="J531" s="6" t="str">
        <x:f>IF(AND(NOT(COUNTA(A531:F531)=0),K531=""),ROUND(F531+L531,3),"")</x:f>
      </x:c>
      <x:c r="K531" s="5" t="str">
        <x:f>IF(COUNTA(A531:F531)=0,"",IF(A531="","Missing equipment ID",IF(COUNTIFS($N$8:$N$2007,"="&amp;N531)&gt;1,"Duplicate equipment ID",IF(B531="","Missing type",IF(COUNTIFS('Rules'!$G$7:$G$26,"="&amp;(SUBSTITUTE(SUBSTITUTE(SUBSTITUTE(SUBSTITUTE("type:"&amp;B531,"%","%25"),"~","%7E"),"*","%2A"),"?","%3F")))=0,"Unknown type",IF(COUNTIFS('Rules'!$G$7:$G$26,"="&amp;(SUBSTITUTE(SUBSTITUTE(SUBSTITUTE(SUBSTITUTE("type:"&amp;B531,"%","%25"),"~","%7E"),"*","%2A"),"?","%3F")))&gt;1,"Duplicate type",IF(INDEX('Rules'!$F$7:$F$26,MATCH(SUBSTITUTE(SUBSTITUTE(SUBSTITUTE(SUBSTITUTE("type:"&amp;B531,"%","%25"),"~","%7E"),"*","%2A"),"?","%3F"),'Rules'!$G$7:$G$26,0))&lt;&gt;"",INDEX('Rules'!$F$7:$F$26,MATCH(SUBSTITUTE(SUBSTITUTE(SUBSTITUTE(SUBSTITUTE("type:"&amp;B531,"%","%25"),"~","%7E"),"*","%2A"),"?","%3F"),'Rules'!$G$7:$G$26,0)),IF(AND(C531&lt;&gt;"",C531&lt;&gt;INDEX('Rules'!$B$7:$B$26,MATCH(SUBSTITUTE(SUBSTITUTE(SUBSTITUTE(SUBSTITUTE("type:"&amp;B531,"%","%25"),"~","%7E"),"*","%2A"),"?","%3F"),'Rules'!$G$7:$G$26,0))),"Unit mismatch",IF(IF(NOT(ISNUMBER(D531)),TRUE,OR(D531&lt;0,D531&gt;999999999,ROUND(D531,3)&lt;&gt;D531)),"Invalid current reading",IF(AND(E531&lt;&gt;"",IF(NOT(ISNUMBER(E531)),TRUE,OR(E531&lt;0,E531&gt;999999999,ROUND(E531,3)&lt;&gt;E531))),"Invalid previous reading",IF(IF(NOT(ISNUMBER(F531)),TRUE,OR(F531&lt;0,F531&gt;999999999,ROUND(F531,3)&lt;&gt;F531)),"Invalid last service",IF(AND(E531&lt;&gt;"",D531&lt;E531),"Decreased reading",IF(F531&gt;D531,"Last service above current","")))))))))))))</x:f>
      </x:c>
      <x:c r="L531" s="6" t="str">
        <x:f>IF(AND(NOT(COUNTA(A531:F531)=0),K531=""),INDEX('Rules'!$C$7:$C$26,MATCH(SUBSTITUTE(SUBSTITUTE(SUBSTITUTE(SUBSTITUTE("type:"&amp;B531,"%","%25"),"~","%7E"),"*","%2A"),"?","%3F"),'Rules'!$G$7:$G$26,0)),"")</x:f>
      </x:c>
      <x:c r="M531" s="6" t="str">
        <x:f>IF(AND(NOT(COUNTA(A531:F531)=0),K531=""),INDEX('Rules'!$D$7:$D$26,MATCH(SUBSTITUTE(SUBSTITUTE(SUBSTITUTE(SUBSTITUTE("type:"&amp;B531,"%","%25"),"~","%7E"),"*","%2A"),"?","%3F"),'Rules'!$G$7:$G$26,0)),"")</x:f>
      </x:c>
      <x:c r="N531" s="5" t="str">
        <x:f>IF(COUNTA(A531:F531)=0,"",SUBSTITUTE(SUBSTITUTE(SUBSTITUTE(SUBSTITUTE("id:"&amp;A531,"%","%25"),"~","%7E"),"*","%2A"),"?","%3F"))</x:f>
      </x:c>
    </x:row>
    <x:row r="532" ht="22" customHeight="1">
      <x:c r="A532" s="3"/>
      <x:c r="B532" s="3"/>
      <x:c r="C532" s="3"/>
      <x:c r="D532" s="4"/>
      <x:c r="E532" s="4"/>
      <x:c r="F532" s="4"/>
      <x:c r="G532" s="5" t="str">
        <x:f>IF(COUNTA(A532:F532)=0,"",IF(K532&lt;&gt;"","Review",IF(I532&lt;0,"Overdue",IF(I532=0,"Due now",IF(I532&lt;=M532,"Due soon","Not due")))))</x:f>
      </x:c>
      <x:c r="H532" s="5" t="str">
        <x:f>IF(OR(COUNTA(A532:F532)=0,COUNTIFS('Rules'!$G$7:$G$26,"="&amp;(SUBSTITUTE(SUBSTITUTE(SUBSTITUTE(SUBSTITUTE("type:"&amp;B532,"%","%25"),"~","%7E"),"*","%2A"),"?","%3F")))&lt;&gt;1),"",IF(OR(INDEX('Rules'!$B$7:$B$26,MATCH(SUBSTITUTE(SUBSTITUTE(SUBSTITUTE(SUBSTITUTE("type:"&amp;B532,"%","%25"),"~","%7E"),"*","%2A"),"?","%3F"),'Rules'!$G$7:$G$26,0))="hours",INDEX('Rules'!$B$7:$B$26,MATCH(SUBSTITUTE(SUBSTITUTE(SUBSTITUTE(SUBSTITUTE("type:"&amp;B532,"%","%25"),"~","%7E"),"*","%2A"),"?","%3F"),'Rules'!$G$7:$G$26,0))="km"),INDEX('Rules'!$B$7:$B$26,MATCH(SUBSTITUTE(SUBSTITUTE(SUBSTITUTE(SUBSTITUTE("type:"&amp;B532,"%","%25"),"~","%7E"),"*","%2A"),"?","%3F"),'Rules'!$G$7:$G$26,0)),""))</x:f>
      </x:c>
      <x:c r="I532" s="6" t="str">
        <x:f>IF(AND(NOT(COUNTA(A532:F532)=0),K532=""),ROUND(J532-D532,3),"")</x:f>
      </x:c>
      <x:c r="J532" s="6" t="str">
        <x:f>IF(AND(NOT(COUNTA(A532:F532)=0),K532=""),ROUND(F532+L532,3),"")</x:f>
      </x:c>
      <x:c r="K532" s="5" t="str">
        <x:f>IF(COUNTA(A532:F532)=0,"",IF(A532="","Missing equipment ID",IF(COUNTIFS($N$8:$N$2007,"="&amp;N532)&gt;1,"Duplicate equipment ID",IF(B532="","Missing type",IF(COUNTIFS('Rules'!$G$7:$G$26,"="&amp;(SUBSTITUTE(SUBSTITUTE(SUBSTITUTE(SUBSTITUTE("type:"&amp;B532,"%","%25"),"~","%7E"),"*","%2A"),"?","%3F")))=0,"Unknown type",IF(COUNTIFS('Rules'!$G$7:$G$26,"="&amp;(SUBSTITUTE(SUBSTITUTE(SUBSTITUTE(SUBSTITUTE("type:"&amp;B532,"%","%25"),"~","%7E"),"*","%2A"),"?","%3F")))&gt;1,"Duplicate type",IF(INDEX('Rules'!$F$7:$F$26,MATCH(SUBSTITUTE(SUBSTITUTE(SUBSTITUTE(SUBSTITUTE("type:"&amp;B532,"%","%25"),"~","%7E"),"*","%2A"),"?","%3F"),'Rules'!$G$7:$G$26,0))&lt;&gt;"",INDEX('Rules'!$F$7:$F$26,MATCH(SUBSTITUTE(SUBSTITUTE(SUBSTITUTE(SUBSTITUTE("type:"&amp;B532,"%","%25"),"~","%7E"),"*","%2A"),"?","%3F"),'Rules'!$G$7:$G$26,0)),IF(AND(C532&lt;&gt;"",C532&lt;&gt;INDEX('Rules'!$B$7:$B$26,MATCH(SUBSTITUTE(SUBSTITUTE(SUBSTITUTE(SUBSTITUTE("type:"&amp;B532,"%","%25"),"~","%7E"),"*","%2A"),"?","%3F"),'Rules'!$G$7:$G$26,0))),"Unit mismatch",IF(IF(NOT(ISNUMBER(D532)),TRUE,OR(D532&lt;0,D532&gt;999999999,ROUND(D532,3)&lt;&gt;D532)),"Invalid current reading",IF(AND(E532&lt;&gt;"",IF(NOT(ISNUMBER(E532)),TRUE,OR(E532&lt;0,E532&gt;999999999,ROUND(E532,3)&lt;&gt;E532))),"Invalid previous reading",IF(IF(NOT(ISNUMBER(F532)),TRUE,OR(F532&lt;0,F532&gt;999999999,ROUND(F532,3)&lt;&gt;F532)),"Invalid last service",IF(AND(E532&lt;&gt;"",D532&lt;E532),"Decreased reading",IF(F532&gt;D532,"Last service above current","")))))))))))))</x:f>
      </x:c>
      <x:c r="L532" s="6" t="str">
        <x:f>IF(AND(NOT(COUNTA(A532:F532)=0),K532=""),INDEX('Rules'!$C$7:$C$26,MATCH(SUBSTITUTE(SUBSTITUTE(SUBSTITUTE(SUBSTITUTE("type:"&amp;B532,"%","%25"),"~","%7E"),"*","%2A"),"?","%3F"),'Rules'!$G$7:$G$26,0)),"")</x:f>
      </x:c>
      <x:c r="M532" s="6" t="str">
        <x:f>IF(AND(NOT(COUNTA(A532:F532)=0),K532=""),INDEX('Rules'!$D$7:$D$26,MATCH(SUBSTITUTE(SUBSTITUTE(SUBSTITUTE(SUBSTITUTE("type:"&amp;B532,"%","%25"),"~","%7E"),"*","%2A"),"?","%3F"),'Rules'!$G$7:$G$26,0)),"")</x:f>
      </x:c>
      <x:c r="N532" s="5" t="str">
        <x:f>IF(COUNTA(A532:F532)=0,"",SUBSTITUTE(SUBSTITUTE(SUBSTITUTE(SUBSTITUTE("id:"&amp;A532,"%","%25"),"~","%7E"),"*","%2A"),"?","%3F"))</x:f>
      </x:c>
    </x:row>
    <x:row r="533" ht="22" customHeight="1">
      <x:c r="A533" s="3"/>
      <x:c r="B533" s="3"/>
      <x:c r="C533" s="3"/>
      <x:c r="D533" s="4"/>
      <x:c r="E533" s="4"/>
      <x:c r="F533" s="4"/>
      <x:c r="G533" s="5" t="str">
        <x:f>IF(COUNTA(A533:F533)=0,"",IF(K533&lt;&gt;"","Review",IF(I533&lt;0,"Overdue",IF(I533=0,"Due now",IF(I533&lt;=M533,"Due soon","Not due")))))</x:f>
      </x:c>
      <x:c r="H533" s="5" t="str">
        <x:f>IF(OR(COUNTA(A533:F533)=0,COUNTIFS('Rules'!$G$7:$G$26,"="&amp;(SUBSTITUTE(SUBSTITUTE(SUBSTITUTE(SUBSTITUTE("type:"&amp;B533,"%","%25"),"~","%7E"),"*","%2A"),"?","%3F")))&lt;&gt;1),"",IF(OR(INDEX('Rules'!$B$7:$B$26,MATCH(SUBSTITUTE(SUBSTITUTE(SUBSTITUTE(SUBSTITUTE("type:"&amp;B533,"%","%25"),"~","%7E"),"*","%2A"),"?","%3F"),'Rules'!$G$7:$G$26,0))="hours",INDEX('Rules'!$B$7:$B$26,MATCH(SUBSTITUTE(SUBSTITUTE(SUBSTITUTE(SUBSTITUTE("type:"&amp;B533,"%","%25"),"~","%7E"),"*","%2A"),"?","%3F"),'Rules'!$G$7:$G$26,0))="km"),INDEX('Rules'!$B$7:$B$26,MATCH(SUBSTITUTE(SUBSTITUTE(SUBSTITUTE(SUBSTITUTE("type:"&amp;B533,"%","%25"),"~","%7E"),"*","%2A"),"?","%3F"),'Rules'!$G$7:$G$26,0)),""))</x:f>
      </x:c>
      <x:c r="I533" s="6" t="str">
        <x:f>IF(AND(NOT(COUNTA(A533:F533)=0),K533=""),ROUND(J533-D533,3),"")</x:f>
      </x:c>
      <x:c r="J533" s="6" t="str">
        <x:f>IF(AND(NOT(COUNTA(A533:F533)=0),K533=""),ROUND(F533+L533,3),"")</x:f>
      </x:c>
      <x:c r="K533" s="5" t="str">
        <x:f>IF(COUNTA(A533:F533)=0,"",IF(A533="","Missing equipment ID",IF(COUNTIFS($N$8:$N$2007,"="&amp;N533)&gt;1,"Duplicate equipment ID",IF(B533="","Missing type",IF(COUNTIFS('Rules'!$G$7:$G$26,"="&amp;(SUBSTITUTE(SUBSTITUTE(SUBSTITUTE(SUBSTITUTE("type:"&amp;B533,"%","%25"),"~","%7E"),"*","%2A"),"?","%3F")))=0,"Unknown type",IF(COUNTIFS('Rules'!$G$7:$G$26,"="&amp;(SUBSTITUTE(SUBSTITUTE(SUBSTITUTE(SUBSTITUTE("type:"&amp;B533,"%","%25"),"~","%7E"),"*","%2A"),"?","%3F")))&gt;1,"Duplicate type",IF(INDEX('Rules'!$F$7:$F$26,MATCH(SUBSTITUTE(SUBSTITUTE(SUBSTITUTE(SUBSTITUTE("type:"&amp;B533,"%","%25"),"~","%7E"),"*","%2A"),"?","%3F"),'Rules'!$G$7:$G$26,0))&lt;&gt;"",INDEX('Rules'!$F$7:$F$26,MATCH(SUBSTITUTE(SUBSTITUTE(SUBSTITUTE(SUBSTITUTE("type:"&amp;B533,"%","%25"),"~","%7E"),"*","%2A"),"?","%3F"),'Rules'!$G$7:$G$26,0)),IF(AND(C533&lt;&gt;"",C533&lt;&gt;INDEX('Rules'!$B$7:$B$26,MATCH(SUBSTITUTE(SUBSTITUTE(SUBSTITUTE(SUBSTITUTE("type:"&amp;B533,"%","%25"),"~","%7E"),"*","%2A"),"?","%3F"),'Rules'!$G$7:$G$26,0))),"Unit mismatch",IF(IF(NOT(ISNUMBER(D533)),TRUE,OR(D533&lt;0,D533&gt;999999999,ROUND(D533,3)&lt;&gt;D533)),"Invalid current reading",IF(AND(E533&lt;&gt;"",IF(NOT(ISNUMBER(E533)),TRUE,OR(E533&lt;0,E533&gt;999999999,ROUND(E533,3)&lt;&gt;E533))),"Invalid previous reading",IF(IF(NOT(ISNUMBER(F533)),TRUE,OR(F533&lt;0,F533&gt;999999999,ROUND(F533,3)&lt;&gt;F533)),"Invalid last service",IF(AND(E533&lt;&gt;"",D533&lt;E533),"Decreased reading",IF(F533&gt;D533,"Last service above current","")))))))))))))</x:f>
      </x:c>
      <x:c r="L533" s="6" t="str">
        <x:f>IF(AND(NOT(COUNTA(A533:F533)=0),K533=""),INDEX('Rules'!$C$7:$C$26,MATCH(SUBSTITUTE(SUBSTITUTE(SUBSTITUTE(SUBSTITUTE("type:"&amp;B533,"%","%25"),"~","%7E"),"*","%2A"),"?","%3F"),'Rules'!$G$7:$G$26,0)),"")</x:f>
      </x:c>
      <x:c r="M533" s="6" t="str">
        <x:f>IF(AND(NOT(COUNTA(A533:F533)=0),K533=""),INDEX('Rules'!$D$7:$D$26,MATCH(SUBSTITUTE(SUBSTITUTE(SUBSTITUTE(SUBSTITUTE("type:"&amp;B533,"%","%25"),"~","%7E"),"*","%2A"),"?","%3F"),'Rules'!$G$7:$G$26,0)),"")</x:f>
      </x:c>
      <x:c r="N533" s="5" t="str">
        <x:f>IF(COUNTA(A533:F533)=0,"",SUBSTITUTE(SUBSTITUTE(SUBSTITUTE(SUBSTITUTE("id:"&amp;A533,"%","%25"),"~","%7E"),"*","%2A"),"?","%3F"))</x:f>
      </x:c>
    </x:row>
    <x:row r="534" ht="22" customHeight="1">
      <x:c r="A534" s="3"/>
      <x:c r="B534" s="3"/>
      <x:c r="C534" s="3"/>
      <x:c r="D534" s="4"/>
      <x:c r="E534" s="4"/>
      <x:c r="F534" s="4"/>
      <x:c r="G534" s="5" t="str">
        <x:f>IF(COUNTA(A534:F534)=0,"",IF(K534&lt;&gt;"","Review",IF(I534&lt;0,"Overdue",IF(I534=0,"Due now",IF(I534&lt;=M534,"Due soon","Not due")))))</x:f>
      </x:c>
      <x:c r="H534" s="5" t="str">
        <x:f>IF(OR(COUNTA(A534:F534)=0,COUNTIFS('Rules'!$G$7:$G$26,"="&amp;(SUBSTITUTE(SUBSTITUTE(SUBSTITUTE(SUBSTITUTE("type:"&amp;B534,"%","%25"),"~","%7E"),"*","%2A"),"?","%3F")))&lt;&gt;1),"",IF(OR(INDEX('Rules'!$B$7:$B$26,MATCH(SUBSTITUTE(SUBSTITUTE(SUBSTITUTE(SUBSTITUTE("type:"&amp;B534,"%","%25"),"~","%7E"),"*","%2A"),"?","%3F"),'Rules'!$G$7:$G$26,0))="hours",INDEX('Rules'!$B$7:$B$26,MATCH(SUBSTITUTE(SUBSTITUTE(SUBSTITUTE(SUBSTITUTE("type:"&amp;B534,"%","%25"),"~","%7E"),"*","%2A"),"?","%3F"),'Rules'!$G$7:$G$26,0))="km"),INDEX('Rules'!$B$7:$B$26,MATCH(SUBSTITUTE(SUBSTITUTE(SUBSTITUTE(SUBSTITUTE("type:"&amp;B534,"%","%25"),"~","%7E"),"*","%2A"),"?","%3F"),'Rules'!$G$7:$G$26,0)),""))</x:f>
      </x:c>
      <x:c r="I534" s="6" t="str">
        <x:f>IF(AND(NOT(COUNTA(A534:F534)=0),K534=""),ROUND(J534-D534,3),"")</x:f>
      </x:c>
      <x:c r="J534" s="6" t="str">
        <x:f>IF(AND(NOT(COUNTA(A534:F534)=0),K534=""),ROUND(F534+L534,3),"")</x:f>
      </x:c>
      <x:c r="K534" s="5" t="str">
        <x:f>IF(COUNTA(A534:F534)=0,"",IF(A534="","Missing equipment ID",IF(COUNTIFS($N$8:$N$2007,"="&amp;N534)&gt;1,"Duplicate equipment ID",IF(B534="","Missing type",IF(COUNTIFS('Rules'!$G$7:$G$26,"="&amp;(SUBSTITUTE(SUBSTITUTE(SUBSTITUTE(SUBSTITUTE("type:"&amp;B534,"%","%25"),"~","%7E"),"*","%2A"),"?","%3F")))=0,"Unknown type",IF(COUNTIFS('Rules'!$G$7:$G$26,"="&amp;(SUBSTITUTE(SUBSTITUTE(SUBSTITUTE(SUBSTITUTE("type:"&amp;B534,"%","%25"),"~","%7E"),"*","%2A"),"?","%3F")))&gt;1,"Duplicate type",IF(INDEX('Rules'!$F$7:$F$26,MATCH(SUBSTITUTE(SUBSTITUTE(SUBSTITUTE(SUBSTITUTE("type:"&amp;B534,"%","%25"),"~","%7E"),"*","%2A"),"?","%3F"),'Rules'!$G$7:$G$26,0))&lt;&gt;"",INDEX('Rules'!$F$7:$F$26,MATCH(SUBSTITUTE(SUBSTITUTE(SUBSTITUTE(SUBSTITUTE("type:"&amp;B534,"%","%25"),"~","%7E"),"*","%2A"),"?","%3F"),'Rules'!$G$7:$G$26,0)),IF(AND(C534&lt;&gt;"",C534&lt;&gt;INDEX('Rules'!$B$7:$B$26,MATCH(SUBSTITUTE(SUBSTITUTE(SUBSTITUTE(SUBSTITUTE("type:"&amp;B534,"%","%25"),"~","%7E"),"*","%2A"),"?","%3F"),'Rules'!$G$7:$G$26,0))),"Unit mismatch",IF(IF(NOT(ISNUMBER(D534)),TRUE,OR(D534&lt;0,D534&gt;999999999,ROUND(D534,3)&lt;&gt;D534)),"Invalid current reading",IF(AND(E534&lt;&gt;"",IF(NOT(ISNUMBER(E534)),TRUE,OR(E534&lt;0,E534&gt;999999999,ROUND(E534,3)&lt;&gt;E534))),"Invalid previous reading",IF(IF(NOT(ISNUMBER(F534)),TRUE,OR(F534&lt;0,F534&gt;999999999,ROUND(F534,3)&lt;&gt;F534)),"Invalid last service",IF(AND(E534&lt;&gt;"",D534&lt;E534),"Decreased reading",IF(F534&gt;D534,"Last service above current","")))))))))))))</x:f>
      </x:c>
      <x:c r="L534" s="6" t="str">
        <x:f>IF(AND(NOT(COUNTA(A534:F534)=0),K534=""),INDEX('Rules'!$C$7:$C$26,MATCH(SUBSTITUTE(SUBSTITUTE(SUBSTITUTE(SUBSTITUTE("type:"&amp;B534,"%","%25"),"~","%7E"),"*","%2A"),"?","%3F"),'Rules'!$G$7:$G$26,0)),"")</x:f>
      </x:c>
      <x:c r="M534" s="6" t="str">
        <x:f>IF(AND(NOT(COUNTA(A534:F534)=0),K534=""),INDEX('Rules'!$D$7:$D$26,MATCH(SUBSTITUTE(SUBSTITUTE(SUBSTITUTE(SUBSTITUTE("type:"&amp;B534,"%","%25"),"~","%7E"),"*","%2A"),"?","%3F"),'Rules'!$G$7:$G$26,0)),"")</x:f>
      </x:c>
      <x:c r="N534" s="5" t="str">
        <x:f>IF(COUNTA(A534:F534)=0,"",SUBSTITUTE(SUBSTITUTE(SUBSTITUTE(SUBSTITUTE("id:"&amp;A534,"%","%25"),"~","%7E"),"*","%2A"),"?","%3F"))</x:f>
      </x:c>
    </x:row>
    <x:row r="535" ht="22" customHeight="1">
      <x:c r="A535" s="3"/>
      <x:c r="B535" s="3"/>
      <x:c r="C535" s="3"/>
      <x:c r="D535" s="4"/>
      <x:c r="E535" s="4"/>
      <x:c r="F535" s="4"/>
      <x:c r="G535" s="5" t="str">
        <x:f>IF(COUNTA(A535:F535)=0,"",IF(K535&lt;&gt;"","Review",IF(I535&lt;0,"Overdue",IF(I535=0,"Due now",IF(I535&lt;=M535,"Due soon","Not due")))))</x:f>
      </x:c>
      <x:c r="H535" s="5" t="str">
        <x:f>IF(OR(COUNTA(A535:F535)=0,COUNTIFS('Rules'!$G$7:$G$26,"="&amp;(SUBSTITUTE(SUBSTITUTE(SUBSTITUTE(SUBSTITUTE("type:"&amp;B535,"%","%25"),"~","%7E"),"*","%2A"),"?","%3F")))&lt;&gt;1),"",IF(OR(INDEX('Rules'!$B$7:$B$26,MATCH(SUBSTITUTE(SUBSTITUTE(SUBSTITUTE(SUBSTITUTE("type:"&amp;B535,"%","%25"),"~","%7E"),"*","%2A"),"?","%3F"),'Rules'!$G$7:$G$26,0))="hours",INDEX('Rules'!$B$7:$B$26,MATCH(SUBSTITUTE(SUBSTITUTE(SUBSTITUTE(SUBSTITUTE("type:"&amp;B535,"%","%25"),"~","%7E"),"*","%2A"),"?","%3F"),'Rules'!$G$7:$G$26,0))="km"),INDEX('Rules'!$B$7:$B$26,MATCH(SUBSTITUTE(SUBSTITUTE(SUBSTITUTE(SUBSTITUTE("type:"&amp;B535,"%","%25"),"~","%7E"),"*","%2A"),"?","%3F"),'Rules'!$G$7:$G$26,0)),""))</x:f>
      </x:c>
      <x:c r="I535" s="6" t="str">
        <x:f>IF(AND(NOT(COUNTA(A535:F535)=0),K535=""),ROUND(J535-D535,3),"")</x:f>
      </x:c>
      <x:c r="J535" s="6" t="str">
        <x:f>IF(AND(NOT(COUNTA(A535:F535)=0),K535=""),ROUND(F535+L535,3),"")</x:f>
      </x:c>
      <x:c r="K535" s="5" t="str">
        <x:f>IF(COUNTA(A535:F535)=0,"",IF(A535="","Missing equipment ID",IF(COUNTIFS($N$8:$N$2007,"="&amp;N535)&gt;1,"Duplicate equipment ID",IF(B535="","Missing type",IF(COUNTIFS('Rules'!$G$7:$G$26,"="&amp;(SUBSTITUTE(SUBSTITUTE(SUBSTITUTE(SUBSTITUTE("type:"&amp;B535,"%","%25"),"~","%7E"),"*","%2A"),"?","%3F")))=0,"Unknown type",IF(COUNTIFS('Rules'!$G$7:$G$26,"="&amp;(SUBSTITUTE(SUBSTITUTE(SUBSTITUTE(SUBSTITUTE("type:"&amp;B535,"%","%25"),"~","%7E"),"*","%2A"),"?","%3F")))&gt;1,"Duplicate type",IF(INDEX('Rules'!$F$7:$F$26,MATCH(SUBSTITUTE(SUBSTITUTE(SUBSTITUTE(SUBSTITUTE("type:"&amp;B535,"%","%25"),"~","%7E"),"*","%2A"),"?","%3F"),'Rules'!$G$7:$G$26,0))&lt;&gt;"",INDEX('Rules'!$F$7:$F$26,MATCH(SUBSTITUTE(SUBSTITUTE(SUBSTITUTE(SUBSTITUTE("type:"&amp;B535,"%","%25"),"~","%7E"),"*","%2A"),"?","%3F"),'Rules'!$G$7:$G$26,0)),IF(AND(C535&lt;&gt;"",C535&lt;&gt;INDEX('Rules'!$B$7:$B$26,MATCH(SUBSTITUTE(SUBSTITUTE(SUBSTITUTE(SUBSTITUTE("type:"&amp;B535,"%","%25"),"~","%7E"),"*","%2A"),"?","%3F"),'Rules'!$G$7:$G$26,0))),"Unit mismatch",IF(IF(NOT(ISNUMBER(D535)),TRUE,OR(D535&lt;0,D535&gt;999999999,ROUND(D535,3)&lt;&gt;D535)),"Invalid current reading",IF(AND(E535&lt;&gt;"",IF(NOT(ISNUMBER(E535)),TRUE,OR(E535&lt;0,E535&gt;999999999,ROUND(E535,3)&lt;&gt;E535))),"Invalid previous reading",IF(IF(NOT(ISNUMBER(F535)),TRUE,OR(F535&lt;0,F535&gt;999999999,ROUND(F535,3)&lt;&gt;F535)),"Invalid last service",IF(AND(E535&lt;&gt;"",D535&lt;E535),"Decreased reading",IF(F535&gt;D535,"Last service above current","")))))))))))))</x:f>
      </x:c>
      <x:c r="L535" s="6" t="str">
        <x:f>IF(AND(NOT(COUNTA(A535:F535)=0),K535=""),INDEX('Rules'!$C$7:$C$26,MATCH(SUBSTITUTE(SUBSTITUTE(SUBSTITUTE(SUBSTITUTE("type:"&amp;B535,"%","%25"),"~","%7E"),"*","%2A"),"?","%3F"),'Rules'!$G$7:$G$26,0)),"")</x:f>
      </x:c>
      <x:c r="M535" s="6" t="str">
        <x:f>IF(AND(NOT(COUNTA(A535:F535)=0),K535=""),INDEX('Rules'!$D$7:$D$26,MATCH(SUBSTITUTE(SUBSTITUTE(SUBSTITUTE(SUBSTITUTE("type:"&amp;B535,"%","%25"),"~","%7E"),"*","%2A"),"?","%3F"),'Rules'!$G$7:$G$26,0)),"")</x:f>
      </x:c>
      <x:c r="N535" s="5" t="str">
        <x:f>IF(COUNTA(A535:F535)=0,"",SUBSTITUTE(SUBSTITUTE(SUBSTITUTE(SUBSTITUTE("id:"&amp;A535,"%","%25"),"~","%7E"),"*","%2A"),"?","%3F"))</x:f>
      </x:c>
    </x:row>
    <x:row r="536" ht="22" customHeight="1">
      <x:c r="A536" s="3"/>
      <x:c r="B536" s="3"/>
      <x:c r="C536" s="3"/>
      <x:c r="D536" s="4"/>
      <x:c r="E536" s="4"/>
      <x:c r="F536" s="4"/>
      <x:c r="G536" s="5" t="str">
        <x:f>IF(COUNTA(A536:F536)=0,"",IF(K536&lt;&gt;"","Review",IF(I536&lt;0,"Overdue",IF(I536=0,"Due now",IF(I536&lt;=M536,"Due soon","Not due")))))</x:f>
      </x:c>
      <x:c r="H536" s="5" t="str">
        <x:f>IF(OR(COUNTA(A536:F536)=0,COUNTIFS('Rules'!$G$7:$G$26,"="&amp;(SUBSTITUTE(SUBSTITUTE(SUBSTITUTE(SUBSTITUTE("type:"&amp;B536,"%","%25"),"~","%7E"),"*","%2A"),"?","%3F")))&lt;&gt;1),"",IF(OR(INDEX('Rules'!$B$7:$B$26,MATCH(SUBSTITUTE(SUBSTITUTE(SUBSTITUTE(SUBSTITUTE("type:"&amp;B536,"%","%25"),"~","%7E"),"*","%2A"),"?","%3F"),'Rules'!$G$7:$G$26,0))="hours",INDEX('Rules'!$B$7:$B$26,MATCH(SUBSTITUTE(SUBSTITUTE(SUBSTITUTE(SUBSTITUTE("type:"&amp;B536,"%","%25"),"~","%7E"),"*","%2A"),"?","%3F"),'Rules'!$G$7:$G$26,0))="km"),INDEX('Rules'!$B$7:$B$26,MATCH(SUBSTITUTE(SUBSTITUTE(SUBSTITUTE(SUBSTITUTE("type:"&amp;B536,"%","%25"),"~","%7E"),"*","%2A"),"?","%3F"),'Rules'!$G$7:$G$26,0)),""))</x:f>
      </x:c>
      <x:c r="I536" s="6" t="str">
        <x:f>IF(AND(NOT(COUNTA(A536:F536)=0),K536=""),ROUND(J536-D536,3),"")</x:f>
      </x:c>
      <x:c r="J536" s="6" t="str">
        <x:f>IF(AND(NOT(COUNTA(A536:F536)=0),K536=""),ROUND(F536+L536,3),"")</x:f>
      </x:c>
      <x:c r="K536" s="5" t="str">
        <x:f>IF(COUNTA(A536:F536)=0,"",IF(A536="","Missing equipment ID",IF(COUNTIFS($N$8:$N$2007,"="&amp;N536)&gt;1,"Duplicate equipment ID",IF(B536="","Missing type",IF(COUNTIFS('Rules'!$G$7:$G$26,"="&amp;(SUBSTITUTE(SUBSTITUTE(SUBSTITUTE(SUBSTITUTE("type:"&amp;B536,"%","%25"),"~","%7E"),"*","%2A"),"?","%3F")))=0,"Unknown type",IF(COUNTIFS('Rules'!$G$7:$G$26,"="&amp;(SUBSTITUTE(SUBSTITUTE(SUBSTITUTE(SUBSTITUTE("type:"&amp;B536,"%","%25"),"~","%7E"),"*","%2A"),"?","%3F")))&gt;1,"Duplicate type",IF(INDEX('Rules'!$F$7:$F$26,MATCH(SUBSTITUTE(SUBSTITUTE(SUBSTITUTE(SUBSTITUTE("type:"&amp;B536,"%","%25"),"~","%7E"),"*","%2A"),"?","%3F"),'Rules'!$G$7:$G$26,0))&lt;&gt;"",INDEX('Rules'!$F$7:$F$26,MATCH(SUBSTITUTE(SUBSTITUTE(SUBSTITUTE(SUBSTITUTE("type:"&amp;B536,"%","%25"),"~","%7E"),"*","%2A"),"?","%3F"),'Rules'!$G$7:$G$26,0)),IF(AND(C536&lt;&gt;"",C536&lt;&gt;INDEX('Rules'!$B$7:$B$26,MATCH(SUBSTITUTE(SUBSTITUTE(SUBSTITUTE(SUBSTITUTE("type:"&amp;B536,"%","%25"),"~","%7E"),"*","%2A"),"?","%3F"),'Rules'!$G$7:$G$26,0))),"Unit mismatch",IF(IF(NOT(ISNUMBER(D536)),TRUE,OR(D536&lt;0,D536&gt;999999999,ROUND(D536,3)&lt;&gt;D536)),"Invalid current reading",IF(AND(E536&lt;&gt;"",IF(NOT(ISNUMBER(E536)),TRUE,OR(E536&lt;0,E536&gt;999999999,ROUND(E536,3)&lt;&gt;E536))),"Invalid previous reading",IF(IF(NOT(ISNUMBER(F536)),TRUE,OR(F536&lt;0,F536&gt;999999999,ROUND(F536,3)&lt;&gt;F536)),"Invalid last service",IF(AND(E536&lt;&gt;"",D536&lt;E536),"Decreased reading",IF(F536&gt;D536,"Last service above current","")))))))))))))</x:f>
      </x:c>
      <x:c r="L536" s="6" t="str">
        <x:f>IF(AND(NOT(COUNTA(A536:F536)=0),K536=""),INDEX('Rules'!$C$7:$C$26,MATCH(SUBSTITUTE(SUBSTITUTE(SUBSTITUTE(SUBSTITUTE("type:"&amp;B536,"%","%25"),"~","%7E"),"*","%2A"),"?","%3F"),'Rules'!$G$7:$G$26,0)),"")</x:f>
      </x:c>
      <x:c r="M536" s="6" t="str">
        <x:f>IF(AND(NOT(COUNTA(A536:F536)=0),K536=""),INDEX('Rules'!$D$7:$D$26,MATCH(SUBSTITUTE(SUBSTITUTE(SUBSTITUTE(SUBSTITUTE("type:"&amp;B536,"%","%25"),"~","%7E"),"*","%2A"),"?","%3F"),'Rules'!$G$7:$G$26,0)),"")</x:f>
      </x:c>
      <x:c r="N536" s="5" t="str">
        <x:f>IF(COUNTA(A536:F536)=0,"",SUBSTITUTE(SUBSTITUTE(SUBSTITUTE(SUBSTITUTE("id:"&amp;A536,"%","%25"),"~","%7E"),"*","%2A"),"?","%3F"))</x:f>
      </x:c>
    </x:row>
    <x:row r="537" ht="22" customHeight="1">
      <x:c r="A537" s="3"/>
      <x:c r="B537" s="3"/>
      <x:c r="C537" s="3"/>
      <x:c r="D537" s="4"/>
      <x:c r="E537" s="4"/>
      <x:c r="F537" s="4"/>
      <x:c r="G537" s="5" t="str">
        <x:f>IF(COUNTA(A537:F537)=0,"",IF(K537&lt;&gt;"","Review",IF(I537&lt;0,"Overdue",IF(I537=0,"Due now",IF(I537&lt;=M537,"Due soon","Not due")))))</x:f>
      </x:c>
      <x:c r="H537" s="5" t="str">
        <x:f>IF(OR(COUNTA(A537:F537)=0,COUNTIFS('Rules'!$G$7:$G$26,"="&amp;(SUBSTITUTE(SUBSTITUTE(SUBSTITUTE(SUBSTITUTE("type:"&amp;B537,"%","%25"),"~","%7E"),"*","%2A"),"?","%3F")))&lt;&gt;1),"",IF(OR(INDEX('Rules'!$B$7:$B$26,MATCH(SUBSTITUTE(SUBSTITUTE(SUBSTITUTE(SUBSTITUTE("type:"&amp;B537,"%","%25"),"~","%7E"),"*","%2A"),"?","%3F"),'Rules'!$G$7:$G$26,0))="hours",INDEX('Rules'!$B$7:$B$26,MATCH(SUBSTITUTE(SUBSTITUTE(SUBSTITUTE(SUBSTITUTE("type:"&amp;B537,"%","%25"),"~","%7E"),"*","%2A"),"?","%3F"),'Rules'!$G$7:$G$26,0))="km"),INDEX('Rules'!$B$7:$B$26,MATCH(SUBSTITUTE(SUBSTITUTE(SUBSTITUTE(SUBSTITUTE("type:"&amp;B537,"%","%25"),"~","%7E"),"*","%2A"),"?","%3F"),'Rules'!$G$7:$G$26,0)),""))</x:f>
      </x:c>
      <x:c r="I537" s="6" t="str">
        <x:f>IF(AND(NOT(COUNTA(A537:F537)=0),K537=""),ROUND(J537-D537,3),"")</x:f>
      </x:c>
      <x:c r="J537" s="6" t="str">
        <x:f>IF(AND(NOT(COUNTA(A537:F537)=0),K537=""),ROUND(F537+L537,3),"")</x:f>
      </x:c>
      <x:c r="K537" s="5" t="str">
        <x:f>IF(COUNTA(A537:F537)=0,"",IF(A537="","Missing equipment ID",IF(COUNTIFS($N$8:$N$2007,"="&amp;N537)&gt;1,"Duplicate equipment ID",IF(B537="","Missing type",IF(COUNTIFS('Rules'!$G$7:$G$26,"="&amp;(SUBSTITUTE(SUBSTITUTE(SUBSTITUTE(SUBSTITUTE("type:"&amp;B537,"%","%25"),"~","%7E"),"*","%2A"),"?","%3F")))=0,"Unknown type",IF(COUNTIFS('Rules'!$G$7:$G$26,"="&amp;(SUBSTITUTE(SUBSTITUTE(SUBSTITUTE(SUBSTITUTE("type:"&amp;B537,"%","%25"),"~","%7E"),"*","%2A"),"?","%3F")))&gt;1,"Duplicate type",IF(INDEX('Rules'!$F$7:$F$26,MATCH(SUBSTITUTE(SUBSTITUTE(SUBSTITUTE(SUBSTITUTE("type:"&amp;B537,"%","%25"),"~","%7E"),"*","%2A"),"?","%3F"),'Rules'!$G$7:$G$26,0))&lt;&gt;"",INDEX('Rules'!$F$7:$F$26,MATCH(SUBSTITUTE(SUBSTITUTE(SUBSTITUTE(SUBSTITUTE("type:"&amp;B537,"%","%25"),"~","%7E"),"*","%2A"),"?","%3F"),'Rules'!$G$7:$G$26,0)),IF(AND(C537&lt;&gt;"",C537&lt;&gt;INDEX('Rules'!$B$7:$B$26,MATCH(SUBSTITUTE(SUBSTITUTE(SUBSTITUTE(SUBSTITUTE("type:"&amp;B537,"%","%25"),"~","%7E"),"*","%2A"),"?","%3F"),'Rules'!$G$7:$G$26,0))),"Unit mismatch",IF(IF(NOT(ISNUMBER(D537)),TRUE,OR(D537&lt;0,D537&gt;999999999,ROUND(D537,3)&lt;&gt;D537)),"Invalid current reading",IF(AND(E537&lt;&gt;"",IF(NOT(ISNUMBER(E537)),TRUE,OR(E537&lt;0,E537&gt;999999999,ROUND(E537,3)&lt;&gt;E537))),"Invalid previous reading",IF(IF(NOT(ISNUMBER(F537)),TRUE,OR(F537&lt;0,F537&gt;999999999,ROUND(F537,3)&lt;&gt;F537)),"Invalid last service",IF(AND(E537&lt;&gt;"",D537&lt;E537),"Decreased reading",IF(F537&gt;D537,"Last service above current","")))))))))))))</x:f>
      </x:c>
      <x:c r="L537" s="6" t="str">
        <x:f>IF(AND(NOT(COUNTA(A537:F537)=0),K537=""),INDEX('Rules'!$C$7:$C$26,MATCH(SUBSTITUTE(SUBSTITUTE(SUBSTITUTE(SUBSTITUTE("type:"&amp;B537,"%","%25"),"~","%7E"),"*","%2A"),"?","%3F"),'Rules'!$G$7:$G$26,0)),"")</x:f>
      </x:c>
      <x:c r="M537" s="6" t="str">
        <x:f>IF(AND(NOT(COUNTA(A537:F537)=0),K537=""),INDEX('Rules'!$D$7:$D$26,MATCH(SUBSTITUTE(SUBSTITUTE(SUBSTITUTE(SUBSTITUTE("type:"&amp;B537,"%","%25"),"~","%7E"),"*","%2A"),"?","%3F"),'Rules'!$G$7:$G$26,0)),"")</x:f>
      </x:c>
      <x:c r="N537" s="5" t="str">
        <x:f>IF(COUNTA(A537:F537)=0,"",SUBSTITUTE(SUBSTITUTE(SUBSTITUTE(SUBSTITUTE("id:"&amp;A537,"%","%25"),"~","%7E"),"*","%2A"),"?","%3F"))</x:f>
      </x:c>
    </x:row>
    <x:row r="538" ht="22" customHeight="1">
      <x:c r="A538" s="3"/>
      <x:c r="B538" s="3"/>
      <x:c r="C538" s="3"/>
      <x:c r="D538" s="4"/>
      <x:c r="E538" s="4"/>
      <x:c r="F538" s="4"/>
      <x:c r="G538" s="5" t="str">
        <x:f>IF(COUNTA(A538:F538)=0,"",IF(K538&lt;&gt;"","Review",IF(I538&lt;0,"Overdue",IF(I538=0,"Due now",IF(I538&lt;=M538,"Due soon","Not due")))))</x:f>
      </x:c>
      <x:c r="H538" s="5" t="str">
        <x:f>IF(OR(COUNTA(A538:F538)=0,COUNTIFS('Rules'!$G$7:$G$26,"="&amp;(SUBSTITUTE(SUBSTITUTE(SUBSTITUTE(SUBSTITUTE("type:"&amp;B538,"%","%25"),"~","%7E"),"*","%2A"),"?","%3F")))&lt;&gt;1),"",IF(OR(INDEX('Rules'!$B$7:$B$26,MATCH(SUBSTITUTE(SUBSTITUTE(SUBSTITUTE(SUBSTITUTE("type:"&amp;B538,"%","%25"),"~","%7E"),"*","%2A"),"?","%3F"),'Rules'!$G$7:$G$26,0))="hours",INDEX('Rules'!$B$7:$B$26,MATCH(SUBSTITUTE(SUBSTITUTE(SUBSTITUTE(SUBSTITUTE("type:"&amp;B538,"%","%25"),"~","%7E"),"*","%2A"),"?","%3F"),'Rules'!$G$7:$G$26,0))="km"),INDEX('Rules'!$B$7:$B$26,MATCH(SUBSTITUTE(SUBSTITUTE(SUBSTITUTE(SUBSTITUTE("type:"&amp;B538,"%","%25"),"~","%7E"),"*","%2A"),"?","%3F"),'Rules'!$G$7:$G$26,0)),""))</x:f>
      </x:c>
      <x:c r="I538" s="6" t="str">
        <x:f>IF(AND(NOT(COUNTA(A538:F538)=0),K538=""),ROUND(J538-D538,3),"")</x:f>
      </x:c>
      <x:c r="J538" s="6" t="str">
        <x:f>IF(AND(NOT(COUNTA(A538:F538)=0),K538=""),ROUND(F538+L538,3),"")</x:f>
      </x:c>
      <x:c r="K538" s="5" t="str">
        <x:f>IF(COUNTA(A538:F538)=0,"",IF(A538="","Missing equipment ID",IF(COUNTIFS($N$8:$N$2007,"="&amp;N538)&gt;1,"Duplicate equipment ID",IF(B538="","Missing type",IF(COUNTIFS('Rules'!$G$7:$G$26,"="&amp;(SUBSTITUTE(SUBSTITUTE(SUBSTITUTE(SUBSTITUTE("type:"&amp;B538,"%","%25"),"~","%7E"),"*","%2A"),"?","%3F")))=0,"Unknown type",IF(COUNTIFS('Rules'!$G$7:$G$26,"="&amp;(SUBSTITUTE(SUBSTITUTE(SUBSTITUTE(SUBSTITUTE("type:"&amp;B538,"%","%25"),"~","%7E"),"*","%2A"),"?","%3F")))&gt;1,"Duplicate type",IF(INDEX('Rules'!$F$7:$F$26,MATCH(SUBSTITUTE(SUBSTITUTE(SUBSTITUTE(SUBSTITUTE("type:"&amp;B538,"%","%25"),"~","%7E"),"*","%2A"),"?","%3F"),'Rules'!$G$7:$G$26,0))&lt;&gt;"",INDEX('Rules'!$F$7:$F$26,MATCH(SUBSTITUTE(SUBSTITUTE(SUBSTITUTE(SUBSTITUTE("type:"&amp;B538,"%","%25"),"~","%7E"),"*","%2A"),"?","%3F"),'Rules'!$G$7:$G$26,0)),IF(AND(C538&lt;&gt;"",C538&lt;&gt;INDEX('Rules'!$B$7:$B$26,MATCH(SUBSTITUTE(SUBSTITUTE(SUBSTITUTE(SUBSTITUTE("type:"&amp;B538,"%","%25"),"~","%7E"),"*","%2A"),"?","%3F"),'Rules'!$G$7:$G$26,0))),"Unit mismatch",IF(IF(NOT(ISNUMBER(D538)),TRUE,OR(D538&lt;0,D538&gt;999999999,ROUND(D538,3)&lt;&gt;D538)),"Invalid current reading",IF(AND(E538&lt;&gt;"",IF(NOT(ISNUMBER(E538)),TRUE,OR(E538&lt;0,E538&gt;999999999,ROUND(E538,3)&lt;&gt;E538))),"Invalid previous reading",IF(IF(NOT(ISNUMBER(F538)),TRUE,OR(F538&lt;0,F538&gt;999999999,ROUND(F538,3)&lt;&gt;F538)),"Invalid last service",IF(AND(E538&lt;&gt;"",D538&lt;E538),"Decreased reading",IF(F538&gt;D538,"Last service above current","")))))))))))))</x:f>
      </x:c>
      <x:c r="L538" s="6" t="str">
        <x:f>IF(AND(NOT(COUNTA(A538:F538)=0),K538=""),INDEX('Rules'!$C$7:$C$26,MATCH(SUBSTITUTE(SUBSTITUTE(SUBSTITUTE(SUBSTITUTE("type:"&amp;B538,"%","%25"),"~","%7E"),"*","%2A"),"?","%3F"),'Rules'!$G$7:$G$26,0)),"")</x:f>
      </x:c>
      <x:c r="M538" s="6" t="str">
        <x:f>IF(AND(NOT(COUNTA(A538:F538)=0),K538=""),INDEX('Rules'!$D$7:$D$26,MATCH(SUBSTITUTE(SUBSTITUTE(SUBSTITUTE(SUBSTITUTE("type:"&amp;B538,"%","%25"),"~","%7E"),"*","%2A"),"?","%3F"),'Rules'!$G$7:$G$26,0)),"")</x:f>
      </x:c>
      <x:c r="N538" s="5" t="str">
        <x:f>IF(COUNTA(A538:F538)=0,"",SUBSTITUTE(SUBSTITUTE(SUBSTITUTE(SUBSTITUTE("id:"&amp;A538,"%","%25"),"~","%7E"),"*","%2A"),"?","%3F"))</x:f>
      </x:c>
    </x:row>
    <x:row r="539" ht="22" customHeight="1">
      <x:c r="A539" s="3"/>
      <x:c r="B539" s="3"/>
      <x:c r="C539" s="3"/>
      <x:c r="D539" s="4"/>
      <x:c r="E539" s="4"/>
      <x:c r="F539" s="4"/>
      <x:c r="G539" s="5" t="str">
        <x:f>IF(COUNTA(A539:F539)=0,"",IF(K539&lt;&gt;"","Review",IF(I539&lt;0,"Overdue",IF(I539=0,"Due now",IF(I539&lt;=M539,"Due soon","Not due")))))</x:f>
      </x:c>
      <x:c r="H539" s="5" t="str">
        <x:f>IF(OR(COUNTA(A539:F539)=0,COUNTIFS('Rules'!$G$7:$G$26,"="&amp;(SUBSTITUTE(SUBSTITUTE(SUBSTITUTE(SUBSTITUTE("type:"&amp;B539,"%","%25"),"~","%7E"),"*","%2A"),"?","%3F")))&lt;&gt;1),"",IF(OR(INDEX('Rules'!$B$7:$B$26,MATCH(SUBSTITUTE(SUBSTITUTE(SUBSTITUTE(SUBSTITUTE("type:"&amp;B539,"%","%25"),"~","%7E"),"*","%2A"),"?","%3F"),'Rules'!$G$7:$G$26,0))="hours",INDEX('Rules'!$B$7:$B$26,MATCH(SUBSTITUTE(SUBSTITUTE(SUBSTITUTE(SUBSTITUTE("type:"&amp;B539,"%","%25"),"~","%7E"),"*","%2A"),"?","%3F"),'Rules'!$G$7:$G$26,0))="km"),INDEX('Rules'!$B$7:$B$26,MATCH(SUBSTITUTE(SUBSTITUTE(SUBSTITUTE(SUBSTITUTE("type:"&amp;B539,"%","%25"),"~","%7E"),"*","%2A"),"?","%3F"),'Rules'!$G$7:$G$26,0)),""))</x:f>
      </x:c>
      <x:c r="I539" s="6" t="str">
        <x:f>IF(AND(NOT(COUNTA(A539:F539)=0),K539=""),ROUND(J539-D539,3),"")</x:f>
      </x:c>
      <x:c r="J539" s="6" t="str">
        <x:f>IF(AND(NOT(COUNTA(A539:F539)=0),K539=""),ROUND(F539+L539,3),"")</x:f>
      </x:c>
      <x:c r="K539" s="5" t="str">
        <x:f>IF(COUNTA(A539:F539)=0,"",IF(A539="","Missing equipment ID",IF(COUNTIFS($N$8:$N$2007,"="&amp;N539)&gt;1,"Duplicate equipment ID",IF(B539="","Missing type",IF(COUNTIFS('Rules'!$G$7:$G$26,"="&amp;(SUBSTITUTE(SUBSTITUTE(SUBSTITUTE(SUBSTITUTE("type:"&amp;B539,"%","%25"),"~","%7E"),"*","%2A"),"?","%3F")))=0,"Unknown type",IF(COUNTIFS('Rules'!$G$7:$G$26,"="&amp;(SUBSTITUTE(SUBSTITUTE(SUBSTITUTE(SUBSTITUTE("type:"&amp;B539,"%","%25"),"~","%7E"),"*","%2A"),"?","%3F")))&gt;1,"Duplicate type",IF(INDEX('Rules'!$F$7:$F$26,MATCH(SUBSTITUTE(SUBSTITUTE(SUBSTITUTE(SUBSTITUTE("type:"&amp;B539,"%","%25"),"~","%7E"),"*","%2A"),"?","%3F"),'Rules'!$G$7:$G$26,0))&lt;&gt;"",INDEX('Rules'!$F$7:$F$26,MATCH(SUBSTITUTE(SUBSTITUTE(SUBSTITUTE(SUBSTITUTE("type:"&amp;B539,"%","%25"),"~","%7E"),"*","%2A"),"?","%3F"),'Rules'!$G$7:$G$26,0)),IF(AND(C539&lt;&gt;"",C539&lt;&gt;INDEX('Rules'!$B$7:$B$26,MATCH(SUBSTITUTE(SUBSTITUTE(SUBSTITUTE(SUBSTITUTE("type:"&amp;B539,"%","%25"),"~","%7E"),"*","%2A"),"?","%3F"),'Rules'!$G$7:$G$26,0))),"Unit mismatch",IF(IF(NOT(ISNUMBER(D539)),TRUE,OR(D539&lt;0,D539&gt;999999999,ROUND(D539,3)&lt;&gt;D539)),"Invalid current reading",IF(AND(E539&lt;&gt;"",IF(NOT(ISNUMBER(E539)),TRUE,OR(E539&lt;0,E539&gt;999999999,ROUND(E539,3)&lt;&gt;E539))),"Invalid previous reading",IF(IF(NOT(ISNUMBER(F539)),TRUE,OR(F539&lt;0,F539&gt;999999999,ROUND(F539,3)&lt;&gt;F539)),"Invalid last service",IF(AND(E539&lt;&gt;"",D539&lt;E539),"Decreased reading",IF(F539&gt;D539,"Last service above current","")))))))))))))</x:f>
      </x:c>
      <x:c r="L539" s="6" t="str">
        <x:f>IF(AND(NOT(COUNTA(A539:F539)=0),K539=""),INDEX('Rules'!$C$7:$C$26,MATCH(SUBSTITUTE(SUBSTITUTE(SUBSTITUTE(SUBSTITUTE("type:"&amp;B539,"%","%25"),"~","%7E"),"*","%2A"),"?","%3F"),'Rules'!$G$7:$G$26,0)),"")</x:f>
      </x:c>
      <x:c r="M539" s="6" t="str">
        <x:f>IF(AND(NOT(COUNTA(A539:F539)=0),K539=""),INDEX('Rules'!$D$7:$D$26,MATCH(SUBSTITUTE(SUBSTITUTE(SUBSTITUTE(SUBSTITUTE("type:"&amp;B539,"%","%25"),"~","%7E"),"*","%2A"),"?","%3F"),'Rules'!$G$7:$G$26,0)),"")</x:f>
      </x:c>
      <x:c r="N539" s="5" t="str">
        <x:f>IF(COUNTA(A539:F539)=0,"",SUBSTITUTE(SUBSTITUTE(SUBSTITUTE(SUBSTITUTE("id:"&amp;A539,"%","%25"),"~","%7E"),"*","%2A"),"?","%3F"))</x:f>
      </x:c>
    </x:row>
    <x:row r="540" ht="22" customHeight="1">
      <x:c r="A540" s="3"/>
      <x:c r="B540" s="3"/>
      <x:c r="C540" s="3"/>
      <x:c r="D540" s="4"/>
      <x:c r="E540" s="4"/>
      <x:c r="F540" s="4"/>
      <x:c r="G540" s="5" t="str">
        <x:f>IF(COUNTA(A540:F540)=0,"",IF(K540&lt;&gt;"","Review",IF(I540&lt;0,"Overdue",IF(I540=0,"Due now",IF(I540&lt;=M540,"Due soon","Not due")))))</x:f>
      </x:c>
      <x:c r="H540" s="5" t="str">
        <x:f>IF(OR(COUNTA(A540:F540)=0,COUNTIFS('Rules'!$G$7:$G$26,"="&amp;(SUBSTITUTE(SUBSTITUTE(SUBSTITUTE(SUBSTITUTE("type:"&amp;B540,"%","%25"),"~","%7E"),"*","%2A"),"?","%3F")))&lt;&gt;1),"",IF(OR(INDEX('Rules'!$B$7:$B$26,MATCH(SUBSTITUTE(SUBSTITUTE(SUBSTITUTE(SUBSTITUTE("type:"&amp;B540,"%","%25"),"~","%7E"),"*","%2A"),"?","%3F"),'Rules'!$G$7:$G$26,0))="hours",INDEX('Rules'!$B$7:$B$26,MATCH(SUBSTITUTE(SUBSTITUTE(SUBSTITUTE(SUBSTITUTE("type:"&amp;B540,"%","%25"),"~","%7E"),"*","%2A"),"?","%3F"),'Rules'!$G$7:$G$26,0))="km"),INDEX('Rules'!$B$7:$B$26,MATCH(SUBSTITUTE(SUBSTITUTE(SUBSTITUTE(SUBSTITUTE("type:"&amp;B540,"%","%25"),"~","%7E"),"*","%2A"),"?","%3F"),'Rules'!$G$7:$G$26,0)),""))</x:f>
      </x:c>
      <x:c r="I540" s="6" t="str">
        <x:f>IF(AND(NOT(COUNTA(A540:F540)=0),K540=""),ROUND(J540-D540,3),"")</x:f>
      </x:c>
      <x:c r="J540" s="6" t="str">
        <x:f>IF(AND(NOT(COUNTA(A540:F540)=0),K540=""),ROUND(F540+L540,3),"")</x:f>
      </x:c>
      <x:c r="K540" s="5" t="str">
        <x:f>IF(COUNTA(A540:F540)=0,"",IF(A540="","Missing equipment ID",IF(COUNTIFS($N$8:$N$2007,"="&amp;N540)&gt;1,"Duplicate equipment ID",IF(B540="","Missing type",IF(COUNTIFS('Rules'!$G$7:$G$26,"="&amp;(SUBSTITUTE(SUBSTITUTE(SUBSTITUTE(SUBSTITUTE("type:"&amp;B540,"%","%25"),"~","%7E"),"*","%2A"),"?","%3F")))=0,"Unknown type",IF(COUNTIFS('Rules'!$G$7:$G$26,"="&amp;(SUBSTITUTE(SUBSTITUTE(SUBSTITUTE(SUBSTITUTE("type:"&amp;B540,"%","%25"),"~","%7E"),"*","%2A"),"?","%3F")))&gt;1,"Duplicate type",IF(INDEX('Rules'!$F$7:$F$26,MATCH(SUBSTITUTE(SUBSTITUTE(SUBSTITUTE(SUBSTITUTE("type:"&amp;B540,"%","%25"),"~","%7E"),"*","%2A"),"?","%3F"),'Rules'!$G$7:$G$26,0))&lt;&gt;"",INDEX('Rules'!$F$7:$F$26,MATCH(SUBSTITUTE(SUBSTITUTE(SUBSTITUTE(SUBSTITUTE("type:"&amp;B540,"%","%25"),"~","%7E"),"*","%2A"),"?","%3F"),'Rules'!$G$7:$G$26,0)),IF(AND(C540&lt;&gt;"",C540&lt;&gt;INDEX('Rules'!$B$7:$B$26,MATCH(SUBSTITUTE(SUBSTITUTE(SUBSTITUTE(SUBSTITUTE("type:"&amp;B540,"%","%25"),"~","%7E"),"*","%2A"),"?","%3F"),'Rules'!$G$7:$G$26,0))),"Unit mismatch",IF(IF(NOT(ISNUMBER(D540)),TRUE,OR(D540&lt;0,D540&gt;999999999,ROUND(D540,3)&lt;&gt;D540)),"Invalid current reading",IF(AND(E540&lt;&gt;"",IF(NOT(ISNUMBER(E540)),TRUE,OR(E540&lt;0,E540&gt;999999999,ROUND(E540,3)&lt;&gt;E540))),"Invalid previous reading",IF(IF(NOT(ISNUMBER(F540)),TRUE,OR(F540&lt;0,F540&gt;999999999,ROUND(F540,3)&lt;&gt;F540)),"Invalid last service",IF(AND(E540&lt;&gt;"",D540&lt;E540),"Decreased reading",IF(F540&gt;D540,"Last service above current","")))))))))))))</x:f>
      </x:c>
      <x:c r="L540" s="6" t="str">
        <x:f>IF(AND(NOT(COUNTA(A540:F540)=0),K540=""),INDEX('Rules'!$C$7:$C$26,MATCH(SUBSTITUTE(SUBSTITUTE(SUBSTITUTE(SUBSTITUTE("type:"&amp;B540,"%","%25"),"~","%7E"),"*","%2A"),"?","%3F"),'Rules'!$G$7:$G$26,0)),"")</x:f>
      </x:c>
      <x:c r="M540" s="6" t="str">
        <x:f>IF(AND(NOT(COUNTA(A540:F540)=0),K540=""),INDEX('Rules'!$D$7:$D$26,MATCH(SUBSTITUTE(SUBSTITUTE(SUBSTITUTE(SUBSTITUTE("type:"&amp;B540,"%","%25"),"~","%7E"),"*","%2A"),"?","%3F"),'Rules'!$G$7:$G$26,0)),"")</x:f>
      </x:c>
      <x:c r="N540" s="5" t="str">
        <x:f>IF(COUNTA(A540:F540)=0,"",SUBSTITUTE(SUBSTITUTE(SUBSTITUTE(SUBSTITUTE("id:"&amp;A540,"%","%25"),"~","%7E"),"*","%2A"),"?","%3F"))</x:f>
      </x:c>
    </x:row>
    <x:row r="541" ht="22" customHeight="1">
      <x:c r="A541" s="3"/>
      <x:c r="B541" s="3"/>
      <x:c r="C541" s="3"/>
      <x:c r="D541" s="4"/>
      <x:c r="E541" s="4"/>
      <x:c r="F541" s="4"/>
      <x:c r="G541" s="5" t="str">
        <x:f>IF(COUNTA(A541:F541)=0,"",IF(K541&lt;&gt;"","Review",IF(I541&lt;0,"Overdue",IF(I541=0,"Due now",IF(I541&lt;=M541,"Due soon","Not due")))))</x:f>
      </x:c>
      <x:c r="H541" s="5" t="str">
        <x:f>IF(OR(COUNTA(A541:F541)=0,COUNTIFS('Rules'!$G$7:$G$26,"="&amp;(SUBSTITUTE(SUBSTITUTE(SUBSTITUTE(SUBSTITUTE("type:"&amp;B541,"%","%25"),"~","%7E"),"*","%2A"),"?","%3F")))&lt;&gt;1),"",IF(OR(INDEX('Rules'!$B$7:$B$26,MATCH(SUBSTITUTE(SUBSTITUTE(SUBSTITUTE(SUBSTITUTE("type:"&amp;B541,"%","%25"),"~","%7E"),"*","%2A"),"?","%3F"),'Rules'!$G$7:$G$26,0))="hours",INDEX('Rules'!$B$7:$B$26,MATCH(SUBSTITUTE(SUBSTITUTE(SUBSTITUTE(SUBSTITUTE("type:"&amp;B541,"%","%25"),"~","%7E"),"*","%2A"),"?","%3F"),'Rules'!$G$7:$G$26,0))="km"),INDEX('Rules'!$B$7:$B$26,MATCH(SUBSTITUTE(SUBSTITUTE(SUBSTITUTE(SUBSTITUTE("type:"&amp;B541,"%","%25"),"~","%7E"),"*","%2A"),"?","%3F"),'Rules'!$G$7:$G$26,0)),""))</x:f>
      </x:c>
      <x:c r="I541" s="6" t="str">
        <x:f>IF(AND(NOT(COUNTA(A541:F541)=0),K541=""),ROUND(J541-D541,3),"")</x:f>
      </x:c>
      <x:c r="J541" s="6" t="str">
        <x:f>IF(AND(NOT(COUNTA(A541:F541)=0),K541=""),ROUND(F541+L541,3),"")</x:f>
      </x:c>
      <x:c r="K541" s="5" t="str">
        <x:f>IF(COUNTA(A541:F541)=0,"",IF(A541="","Missing equipment ID",IF(COUNTIFS($N$8:$N$2007,"="&amp;N541)&gt;1,"Duplicate equipment ID",IF(B541="","Missing type",IF(COUNTIFS('Rules'!$G$7:$G$26,"="&amp;(SUBSTITUTE(SUBSTITUTE(SUBSTITUTE(SUBSTITUTE("type:"&amp;B541,"%","%25"),"~","%7E"),"*","%2A"),"?","%3F")))=0,"Unknown type",IF(COUNTIFS('Rules'!$G$7:$G$26,"="&amp;(SUBSTITUTE(SUBSTITUTE(SUBSTITUTE(SUBSTITUTE("type:"&amp;B541,"%","%25"),"~","%7E"),"*","%2A"),"?","%3F")))&gt;1,"Duplicate type",IF(INDEX('Rules'!$F$7:$F$26,MATCH(SUBSTITUTE(SUBSTITUTE(SUBSTITUTE(SUBSTITUTE("type:"&amp;B541,"%","%25"),"~","%7E"),"*","%2A"),"?","%3F"),'Rules'!$G$7:$G$26,0))&lt;&gt;"",INDEX('Rules'!$F$7:$F$26,MATCH(SUBSTITUTE(SUBSTITUTE(SUBSTITUTE(SUBSTITUTE("type:"&amp;B541,"%","%25"),"~","%7E"),"*","%2A"),"?","%3F"),'Rules'!$G$7:$G$26,0)),IF(AND(C541&lt;&gt;"",C541&lt;&gt;INDEX('Rules'!$B$7:$B$26,MATCH(SUBSTITUTE(SUBSTITUTE(SUBSTITUTE(SUBSTITUTE("type:"&amp;B541,"%","%25"),"~","%7E"),"*","%2A"),"?","%3F"),'Rules'!$G$7:$G$26,0))),"Unit mismatch",IF(IF(NOT(ISNUMBER(D541)),TRUE,OR(D541&lt;0,D541&gt;999999999,ROUND(D541,3)&lt;&gt;D541)),"Invalid current reading",IF(AND(E541&lt;&gt;"",IF(NOT(ISNUMBER(E541)),TRUE,OR(E541&lt;0,E541&gt;999999999,ROUND(E541,3)&lt;&gt;E541))),"Invalid previous reading",IF(IF(NOT(ISNUMBER(F541)),TRUE,OR(F541&lt;0,F541&gt;999999999,ROUND(F541,3)&lt;&gt;F541)),"Invalid last service",IF(AND(E541&lt;&gt;"",D541&lt;E541),"Decreased reading",IF(F541&gt;D541,"Last service above current","")))))))))))))</x:f>
      </x:c>
      <x:c r="L541" s="6" t="str">
        <x:f>IF(AND(NOT(COUNTA(A541:F541)=0),K541=""),INDEX('Rules'!$C$7:$C$26,MATCH(SUBSTITUTE(SUBSTITUTE(SUBSTITUTE(SUBSTITUTE("type:"&amp;B541,"%","%25"),"~","%7E"),"*","%2A"),"?","%3F"),'Rules'!$G$7:$G$26,0)),"")</x:f>
      </x:c>
      <x:c r="M541" s="6" t="str">
        <x:f>IF(AND(NOT(COUNTA(A541:F541)=0),K541=""),INDEX('Rules'!$D$7:$D$26,MATCH(SUBSTITUTE(SUBSTITUTE(SUBSTITUTE(SUBSTITUTE("type:"&amp;B541,"%","%25"),"~","%7E"),"*","%2A"),"?","%3F"),'Rules'!$G$7:$G$26,0)),"")</x:f>
      </x:c>
      <x:c r="N541" s="5" t="str">
        <x:f>IF(COUNTA(A541:F541)=0,"",SUBSTITUTE(SUBSTITUTE(SUBSTITUTE(SUBSTITUTE("id:"&amp;A541,"%","%25"),"~","%7E"),"*","%2A"),"?","%3F"))</x:f>
      </x:c>
    </x:row>
    <x:row r="542" ht="22" customHeight="1">
      <x:c r="A542" s="3"/>
      <x:c r="B542" s="3"/>
      <x:c r="C542" s="3"/>
      <x:c r="D542" s="4"/>
      <x:c r="E542" s="4"/>
      <x:c r="F542" s="4"/>
      <x:c r="G542" s="5" t="str">
        <x:f>IF(COUNTA(A542:F542)=0,"",IF(K542&lt;&gt;"","Review",IF(I542&lt;0,"Overdue",IF(I542=0,"Due now",IF(I542&lt;=M542,"Due soon","Not due")))))</x:f>
      </x:c>
      <x:c r="H542" s="5" t="str">
        <x:f>IF(OR(COUNTA(A542:F542)=0,COUNTIFS('Rules'!$G$7:$G$26,"="&amp;(SUBSTITUTE(SUBSTITUTE(SUBSTITUTE(SUBSTITUTE("type:"&amp;B542,"%","%25"),"~","%7E"),"*","%2A"),"?","%3F")))&lt;&gt;1),"",IF(OR(INDEX('Rules'!$B$7:$B$26,MATCH(SUBSTITUTE(SUBSTITUTE(SUBSTITUTE(SUBSTITUTE("type:"&amp;B542,"%","%25"),"~","%7E"),"*","%2A"),"?","%3F"),'Rules'!$G$7:$G$26,0))="hours",INDEX('Rules'!$B$7:$B$26,MATCH(SUBSTITUTE(SUBSTITUTE(SUBSTITUTE(SUBSTITUTE("type:"&amp;B542,"%","%25"),"~","%7E"),"*","%2A"),"?","%3F"),'Rules'!$G$7:$G$26,0))="km"),INDEX('Rules'!$B$7:$B$26,MATCH(SUBSTITUTE(SUBSTITUTE(SUBSTITUTE(SUBSTITUTE("type:"&amp;B542,"%","%25"),"~","%7E"),"*","%2A"),"?","%3F"),'Rules'!$G$7:$G$26,0)),""))</x:f>
      </x:c>
      <x:c r="I542" s="6" t="str">
        <x:f>IF(AND(NOT(COUNTA(A542:F542)=0),K542=""),ROUND(J542-D542,3),"")</x:f>
      </x:c>
      <x:c r="J542" s="6" t="str">
        <x:f>IF(AND(NOT(COUNTA(A542:F542)=0),K542=""),ROUND(F542+L542,3),"")</x:f>
      </x:c>
      <x:c r="K542" s="5" t="str">
        <x:f>IF(COUNTA(A542:F542)=0,"",IF(A542="","Missing equipment ID",IF(COUNTIFS($N$8:$N$2007,"="&amp;N542)&gt;1,"Duplicate equipment ID",IF(B542="","Missing type",IF(COUNTIFS('Rules'!$G$7:$G$26,"="&amp;(SUBSTITUTE(SUBSTITUTE(SUBSTITUTE(SUBSTITUTE("type:"&amp;B542,"%","%25"),"~","%7E"),"*","%2A"),"?","%3F")))=0,"Unknown type",IF(COUNTIFS('Rules'!$G$7:$G$26,"="&amp;(SUBSTITUTE(SUBSTITUTE(SUBSTITUTE(SUBSTITUTE("type:"&amp;B542,"%","%25"),"~","%7E"),"*","%2A"),"?","%3F")))&gt;1,"Duplicate type",IF(INDEX('Rules'!$F$7:$F$26,MATCH(SUBSTITUTE(SUBSTITUTE(SUBSTITUTE(SUBSTITUTE("type:"&amp;B542,"%","%25"),"~","%7E"),"*","%2A"),"?","%3F"),'Rules'!$G$7:$G$26,0))&lt;&gt;"",INDEX('Rules'!$F$7:$F$26,MATCH(SUBSTITUTE(SUBSTITUTE(SUBSTITUTE(SUBSTITUTE("type:"&amp;B542,"%","%25"),"~","%7E"),"*","%2A"),"?","%3F"),'Rules'!$G$7:$G$26,0)),IF(AND(C542&lt;&gt;"",C542&lt;&gt;INDEX('Rules'!$B$7:$B$26,MATCH(SUBSTITUTE(SUBSTITUTE(SUBSTITUTE(SUBSTITUTE("type:"&amp;B542,"%","%25"),"~","%7E"),"*","%2A"),"?","%3F"),'Rules'!$G$7:$G$26,0))),"Unit mismatch",IF(IF(NOT(ISNUMBER(D542)),TRUE,OR(D542&lt;0,D542&gt;999999999,ROUND(D542,3)&lt;&gt;D542)),"Invalid current reading",IF(AND(E542&lt;&gt;"",IF(NOT(ISNUMBER(E542)),TRUE,OR(E542&lt;0,E542&gt;999999999,ROUND(E542,3)&lt;&gt;E542))),"Invalid previous reading",IF(IF(NOT(ISNUMBER(F542)),TRUE,OR(F542&lt;0,F542&gt;999999999,ROUND(F542,3)&lt;&gt;F542)),"Invalid last service",IF(AND(E542&lt;&gt;"",D542&lt;E542),"Decreased reading",IF(F542&gt;D542,"Last service above current","")))))))))))))</x:f>
      </x:c>
      <x:c r="L542" s="6" t="str">
        <x:f>IF(AND(NOT(COUNTA(A542:F542)=0),K542=""),INDEX('Rules'!$C$7:$C$26,MATCH(SUBSTITUTE(SUBSTITUTE(SUBSTITUTE(SUBSTITUTE("type:"&amp;B542,"%","%25"),"~","%7E"),"*","%2A"),"?","%3F"),'Rules'!$G$7:$G$26,0)),"")</x:f>
      </x:c>
      <x:c r="M542" s="6" t="str">
        <x:f>IF(AND(NOT(COUNTA(A542:F542)=0),K542=""),INDEX('Rules'!$D$7:$D$26,MATCH(SUBSTITUTE(SUBSTITUTE(SUBSTITUTE(SUBSTITUTE("type:"&amp;B542,"%","%25"),"~","%7E"),"*","%2A"),"?","%3F"),'Rules'!$G$7:$G$26,0)),"")</x:f>
      </x:c>
      <x:c r="N542" s="5" t="str">
        <x:f>IF(COUNTA(A542:F542)=0,"",SUBSTITUTE(SUBSTITUTE(SUBSTITUTE(SUBSTITUTE("id:"&amp;A542,"%","%25"),"~","%7E"),"*","%2A"),"?","%3F"))</x:f>
      </x:c>
    </x:row>
    <x:row r="543" ht="22" customHeight="1">
      <x:c r="A543" s="3"/>
      <x:c r="B543" s="3"/>
      <x:c r="C543" s="3"/>
      <x:c r="D543" s="4"/>
      <x:c r="E543" s="4"/>
      <x:c r="F543" s="4"/>
      <x:c r="G543" s="5" t="str">
        <x:f>IF(COUNTA(A543:F543)=0,"",IF(K543&lt;&gt;"","Review",IF(I543&lt;0,"Overdue",IF(I543=0,"Due now",IF(I543&lt;=M543,"Due soon","Not due")))))</x:f>
      </x:c>
      <x:c r="H543" s="5" t="str">
        <x:f>IF(OR(COUNTA(A543:F543)=0,COUNTIFS('Rules'!$G$7:$G$26,"="&amp;(SUBSTITUTE(SUBSTITUTE(SUBSTITUTE(SUBSTITUTE("type:"&amp;B543,"%","%25"),"~","%7E"),"*","%2A"),"?","%3F")))&lt;&gt;1),"",IF(OR(INDEX('Rules'!$B$7:$B$26,MATCH(SUBSTITUTE(SUBSTITUTE(SUBSTITUTE(SUBSTITUTE("type:"&amp;B543,"%","%25"),"~","%7E"),"*","%2A"),"?","%3F"),'Rules'!$G$7:$G$26,0))="hours",INDEX('Rules'!$B$7:$B$26,MATCH(SUBSTITUTE(SUBSTITUTE(SUBSTITUTE(SUBSTITUTE("type:"&amp;B543,"%","%25"),"~","%7E"),"*","%2A"),"?","%3F"),'Rules'!$G$7:$G$26,0))="km"),INDEX('Rules'!$B$7:$B$26,MATCH(SUBSTITUTE(SUBSTITUTE(SUBSTITUTE(SUBSTITUTE("type:"&amp;B543,"%","%25"),"~","%7E"),"*","%2A"),"?","%3F"),'Rules'!$G$7:$G$26,0)),""))</x:f>
      </x:c>
      <x:c r="I543" s="6" t="str">
        <x:f>IF(AND(NOT(COUNTA(A543:F543)=0),K543=""),ROUND(J543-D543,3),"")</x:f>
      </x:c>
      <x:c r="J543" s="6" t="str">
        <x:f>IF(AND(NOT(COUNTA(A543:F543)=0),K543=""),ROUND(F543+L543,3),"")</x:f>
      </x:c>
      <x:c r="K543" s="5" t="str">
        <x:f>IF(COUNTA(A543:F543)=0,"",IF(A543="","Missing equipment ID",IF(COUNTIFS($N$8:$N$2007,"="&amp;N543)&gt;1,"Duplicate equipment ID",IF(B543="","Missing type",IF(COUNTIFS('Rules'!$G$7:$G$26,"="&amp;(SUBSTITUTE(SUBSTITUTE(SUBSTITUTE(SUBSTITUTE("type:"&amp;B543,"%","%25"),"~","%7E"),"*","%2A"),"?","%3F")))=0,"Unknown type",IF(COUNTIFS('Rules'!$G$7:$G$26,"="&amp;(SUBSTITUTE(SUBSTITUTE(SUBSTITUTE(SUBSTITUTE("type:"&amp;B543,"%","%25"),"~","%7E"),"*","%2A"),"?","%3F")))&gt;1,"Duplicate type",IF(INDEX('Rules'!$F$7:$F$26,MATCH(SUBSTITUTE(SUBSTITUTE(SUBSTITUTE(SUBSTITUTE("type:"&amp;B543,"%","%25"),"~","%7E"),"*","%2A"),"?","%3F"),'Rules'!$G$7:$G$26,0))&lt;&gt;"",INDEX('Rules'!$F$7:$F$26,MATCH(SUBSTITUTE(SUBSTITUTE(SUBSTITUTE(SUBSTITUTE("type:"&amp;B543,"%","%25"),"~","%7E"),"*","%2A"),"?","%3F"),'Rules'!$G$7:$G$26,0)),IF(AND(C543&lt;&gt;"",C543&lt;&gt;INDEX('Rules'!$B$7:$B$26,MATCH(SUBSTITUTE(SUBSTITUTE(SUBSTITUTE(SUBSTITUTE("type:"&amp;B543,"%","%25"),"~","%7E"),"*","%2A"),"?","%3F"),'Rules'!$G$7:$G$26,0))),"Unit mismatch",IF(IF(NOT(ISNUMBER(D543)),TRUE,OR(D543&lt;0,D543&gt;999999999,ROUND(D543,3)&lt;&gt;D543)),"Invalid current reading",IF(AND(E543&lt;&gt;"",IF(NOT(ISNUMBER(E543)),TRUE,OR(E543&lt;0,E543&gt;999999999,ROUND(E543,3)&lt;&gt;E543))),"Invalid previous reading",IF(IF(NOT(ISNUMBER(F543)),TRUE,OR(F543&lt;0,F543&gt;999999999,ROUND(F543,3)&lt;&gt;F543)),"Invalid last service",IF(AND(E543&lt;&gt;"",D543&lt;E543),"Decreased reading",IF(F543&gt;D543,"Last service above current","")))))))))))))</x:f>
      </x:c>
      <x:c r="L543" s="6" t="str">
        <x:f>IF(AND(NOT(COUNTA(A543:F543)=0),K543=""),INDEX('Rules'!$C$7:$C$26,MATCH(SUBSTITUTE(SUBSTITUTE(SUBSTITUTE(SUBSTITUTE("type:"&amp;B543,"%","%25"),"~","%7E"),"*","%2A"),"?","%3F"),'Rules'!$G$7:$G$26,0)),"")</x:f>
      </x:c>
      <x:c r="M543" s="6" t="str">
        <x:f>IF(AND(NOT(COUNTA(A543:F543)=0),K543=""),INDEX('Rules'!$D$7:$D$26,MATCH(SUBSTITUTE(SUBSTITUTE(SUBSTITUTE(SUBSTITUTE("type:"&amp;B543,"%","%25"),"~","%7E"),"*","%2A"),"?","%3F"),'Rules'!$G$7:$G$26,0)),"")</x:f>
      </x:c>
      <x:c r="N543" s="5" t="str">
        <x:f>IF(COUNTA(A543:F543)=0,"",SUBSTITUTE(SUBSTITUTE(SUBSTITUTE(SUBSTITUTE("id:"&amp;A543,"%","%25"),"~","%7E"),"*","%2A"),"?","%3F"))</x:f>
      </x:c>
    </x:row>
    <x:row r="544" ht="22" customHeight="1">
      <x:c r="A544" s="3"/>
      <x:c r="B544" s="3"/>
      <x:c r="C544" s="3"/>
      <x:c r="D544" s="4"/>
      <x:c r="E544" s="4"/>
      <x:c r="F544" s="4"/>
      <x:c r="G544" s="5" t="str">
        <x:f>IF(COUNTA(A544:F544)=0,"",IF(K544&lt;&gt;"","Review",IF(I544&lt;0,"Overdue",IF(I544=0,"Due now",IF(I544&lt;=M544,"Due soon","Not due")))))</x:f>
      </x:c>
      <x:c r="H544" s="5" t="str">
        <x:f>IF(OR(COUNTA(A544:F544)=0,COUNTIFS('Rules'!$G$7:$G$26,"="&amp;(SUBSTITUTE(SUBSTITUTE(SUBSTITUTE(SUBSTITUTE("type:"&amp;B544,"%","%25"),"~","%7E"),"*","%2A"),"?","%3F")))&lt;&gt;1),"",IF(OR(INDEX('Rules'!$B$7:$B$26,MATCH(SUBSTITUTE(SUBSTITUTE(SUBSTITUTE(SUBSTITUTE("type:"&amp;B544,"%","%25"),"~","%7E"),"*","%2A"),"?","%3F"),'Rules'!$G$7:$G$26,0))="hours",INDEX('Rules'!$B$7:$B$26,MATCH(SUBSTITUTE(SUBSTITUTE(SUBSTITUTE(SUBSTITUTE("type:"&amp;B544,"%","%25"),"~","%7E"),"*","%2A"),"?","%3F"),'Rules'!$G$7:$G$26,0))="km"),INDEX('Rules'!$B$7:$B$26,MATCH(SUBSTITUTE(SUBSTITUTE(SUBSTITUTE(SUBSTITUTE("type:"&amp;B544,"%","%25"),"~","%7E"),"*","%2A"),"?","%3F"),'Rules'!$G$7:$G$26,0)),""))</x:f>
      </x:c>
      <x:c r="I544" s="6" t="str">
        <x:f>IF(AND(NOT(COUNTA(A544:F544)=0),K544=""),ROUND(J544-D544,3),"")</x:f>
      </x:c>
      <x:c r="J544" s="6" t="str">
        <x:f>IF(AND(NOT(COUNTA(A544:F544)=0),K544=""),ROUND(F544+L544,3),"")</x:f>
      </x:c>
      <x:c r="K544" s="5" t="str">
        <x:f>IF(COUNTA(A544:F544)=0,"",IF(A544="","Missing equipment ID",IF(COUNTIFS($N$8:$N$2007,"="&amp;N544)&gt;1,"Duplicate equipment ID",IF(B544="","Missing type",IF(COUNTIFS('Rules'!$G$7:$G$26,"="&amp;(SUBSTITUTE(SUBSTITUTE(SUBSTITUTE(SUBSTITUTE("type:"&amp;B544,"%","%25"),"~","%7E"),"*","%2A"),"?","%3F")))=0,"Unknown type",IF(COUNTIFS('Rules'!$G$7:$G$26,"="&amp;(SUBSTITUTE(SUBSTITUTE(SUBSTITUTE(SUBSTITUTE("type:"&amp;B544,"%","%25"),"~","%7E"),"*","%2A"),"?","%3F")))&gt;1,"Duplicate type",IF(INDEX('Rules'!$F$7:$F$26,MATCH(SUBSTITUTE(SUBSTITUTE(SUBSTITUTE(SUBSTITUTE("type:"&amp;B544,"%","%25"),"~","%7E"),"*","%2A"),"?","%3F"),'Rules'!$G$7:$G$26,0))&lt;&gt;"",INDEX('Rules'!$F$7:$F$26,MATCH(SUBSTITUTE(SUBSTITUTE(SUBSTITUTE(SUBSTITUTE("type:"&amp;B544,"%","%25"),"~","%7E"),"*","%2A"),"?","%3F"),'Rules'!$G$7:$G$26,0)),IF(AND(C544&lt;&gt;"",C544&lt;&gt;INDEX('Rules'!$B$7:$B$26,MATCH(SUBSTITUTE(SUBSTITUTE(SUBSTITUTE(SUBSTITUTE("type:"&amp;B544,"%","%25"),"~","%7E"),"*","%2A"),"?","%3F"),'Rules'!$G$7:$G$26,0))),"Unit mismatch",IF(IF(NOT(ISNUMBER(D544)),TRUE,OR(D544&lt;0,D544&gt;999999999,ROUND(D544,3)&lt;&gt;D544)),"Invalid current reading",IF(AND(E544&lt;&gt;"",IF(NOT(ISNUMBER(E544)),TRUE,OR(E544&lt;0,E544&gt;999999999,ROUND(E544,3)&lt;&gt;E544))),"Invalid previous reading",IF(IF(NOT(ISNUMBER(F544)),TRUE,OR(F544&lt;0,F544&gt;999999999,ROUND(F544,3)&lt;&gt;F544)),"Invalid last service",IF(AND(E544&lt;&gt;"",D544&lt;E544),"Decreased reading",IF(F544&gt;D544,"Last service above current","")))))))))))))</x:f>
      </x:c>
      <x:c r="L544" s="6" t="str">
        <x:f>IF(AND(NOT(COUNTA(A544:F544)=0),K544=""),INDEX('Rules'!$C$7:$C$26,MATCH(SUBSTITUTE(SUBSTITUTE(SUBSTITUTE(SUBSTITUTE("type:"&amp;B544,"%","%25"),"~","%7E"),"*","%2A"),"?","%3F"),'Rules'!$G$7:$G$26,0)),"")</x:f>
      </x:c>
      <x:c r="M544" s="6" t="str">
        <x:f>IF(AND(NOT(COUNTA(A544:F544)=0),K544=""),INDEX('Rules'!$D$7:$D$26,MATCH(SUBSTITUTE(SUBSTITUTE(SUBSTITUTE(SUBSTITUTE("type:"&amp;B544,"%","%25"),"~","%7E"),"*","%2A"),"?","%3F"),'Rules'!$G$7:$G$26,0)),"")</x:f>
      </x:c>
      <x:c r="N544" s="5" t="str">
        <x:f>IF(COUNTA(A544:F544)=0,"",SUBSTITUTE(SUBSTITUTE(SUBSTITUTE(SUBSTITUTE("id:"&amp;A544,"%","%25"),"~","%7E"),"*","%2A"),"?","%3F"))</x:f>
      </x:c>
    </x:row>
    <x:row r="545" ht="22" customHeight="1">
      <x:c r="A545" s="3"/>
      <x:c r="B545" s="3"/>
      <x:c r="C545" s="3"/>
      <x:c r="D545" s="4"/>
      <x:c r="E545" s="4"/>
      <x:c r="F545" s="4"/>
      <x:c r="G545" s="5" t="str">
        <x:f>IF(COUNTA(A545:F545)=0,"",IF(K545&lt;&gt;"","Review",IF(I545&lt;0,"Overdue",IF(I545=0,"Due now",IF(I545&lt;=M545,"Due soon","Not due")))))</x:f>
      </x:c>
      <x:c r="H545" s="5" t="str">
        <x:f>IF(OR(COUNTA(A545:F545)=0,COUNTIFS('Rules'!$G$7:$G$26,"="&amp;(SUBSTITUTE(SUBSTITUTE(SUBSTITUTE(SUBSTITUTE("type:"&amp;B545,"%","%25"),"~","%7E"),"*","%2A"),"?","%3F")))&lt;&gt;1),"",IF(OR(INDEX('Rules'!$B$7:$B$26,MATCH(SUBSTITUTE(SUBSTITUTE(SUBSTITUTE(SUBSTITUTE("type:"&amp;B545,"%","%25"),"~","%7E"),"*","%2A"),"?","%3F"),'Rules'!$G$7:$G$26,0))="hours",INDEX('Rules'!$B$7:$B$26,MATCH(SUBSTITUTE(SUBSTITUTE(SUBSTITUTE(SUBSTITUTE("type:"&amp;B545,"%","%25"),"~","%7E"),"*","%2A"),"?","%3F"),'Rules'!$G$7:$G$26,0))="km"),INDEX('Rules'!$B$7:$B$26,MATCH(SUBSTITUTE(SUBSTITUTE(SUBSTITUTE(SUBSTITUTE("type:"&amp;B545,"%","%25"),"~","%7E"),"*","%2A"),"?","%3F"),'Rules'!$G$7:$G$26,0)),""))</x:f>
      </x:c>
      <x:c r="I545" s="6" t="str">
        <x:f>IF(AND(NOT(COUNTA(A545:F545)=0),K545=""),ROUND(J545-D545,3),"")</x:f>
      </x:c>
      <x:c r="J545" s="6" t="str">
        <x:f>IF(AND(NOT(COUNTA(A545:F545)=0),K545=""),ROUND(F545+L545,3),"")</x:f>
      </x:c>
      <x:c r="K545" s="5" t="str">
        <x:f>IF(COUNTA(A545:F545)=0,"",IF(A545="","Missing equipment ID",IF(COUNTIFS($N$8:$N$2007,"="&amp;N545)&gt;1,"Duplicate equipment ID",IF(B545="","Missing type",IF(COUNTIFS('Rules'!$G$7:$G$26,"="&amp;(SUBSTITUTE(SUBSTITUTE(SUBSTITUTE(SUBSTITUTE("type:"&amp;B545,"%","%25"),"~","%7E"),"*","%2A"),"?","%3F")))=0,"Unknown type",IF(COUNTIFS('Rules'!$G$7:$G$26,"="&amp;(SUBSTITUTE(SUBSTITUTE(SUBSTITUTE(SUBSTITUTE("type:"&amp;B545,"%","%25"),"~","%7E"),"*","%2A"),"?","%3F")))&gt;1,"Duplicate type",IF(INDEX('Rules'!$F$7:$F$26,MATCH(SUBSTITUTE(SUBSTITUTE(SUBSTITUTE(SUBSTITUTE("type:"&amp;B545,"%","%25"),"~","%7E"),"*","%2A"),"?","%3F"),'Rules'!$G$7:$G$26,0))&lt;&gt;"",INDEX('Rules'!$F$7:$F$26,MATCH(SUBSTITUTE(SUBSTITUTE(SUBSTITUTE(SUBSTITUTE("type:"&amp;B545,"%","%25"),"~","%7E"),"*","%2A"),"?","%3F"),'Rules'!$G$7:$G$26,0)),IF(AND(C545&lt;&gt;"",C545&lt;&gt;INDEX('Rules'!$B$7:$B$26,MATCH(SUBSTITUTE(SUBSTITUTE(SUBSTITUTE(SUBSTITUTE("type:"&amp;B545,"%","%25"),"~","%7E"),"*","%2A"),"?","%3F"),'Rules'!$G$7:$G$26,0))),"Unit mismatch",IF(IF(NOT(ISNUMBER(D545)),TRUE,OR(D545&lt;0,D545&gt;999999999,ROUND(D545,3)&lt;&gt;D545)),"Invalid current reading",IF(AND(E545&lt;&gt;"",IF(NOT(ISNUMBER(E545)),TRUE,OR(E545&lt;0,E545&gt;999999999,ROUND(E545,3)&lt;&gt;E545))),"Invalid previous reading",IF(IF(NOT(ISNUMBER(F545)),TRUE,OR(F545&lt;0,F545&gt;999999999,ROUND(F545,3)&lt;&gt;F545)),"Invalid last service",IF(AND(E545&lt;&gt;"",D545&lt;E545),"Decreased reading",IF(F545&gt;D545,"Last service above current","")))))))))))))</x:f>
      </x:c>
      <x:c r="L545" s="6" t="str">
        <x:f>IF(AND(NOT(COUNTA(A545:F545)=0),K545=""),INDEX('Rules'!$C$7:$C$26,MATCH(SUBSTITUTE(SUBSTITUTE(SUBSTITUTE(SUBSTITUTE("type:"&amp;B545,"%","%25"),"~","%7E"),"*","%2A"),"?","%3F"),'Rules'!$G$7:$G$26,0)),"")</x:f>
      </x:c>
      <x:c r="M545" s="6" t="str">
        <x:f>IF(AND(NOT(COUNTA(A545:F545)=0),K545=""),INDEX('Rules'!$D$7:$D$26,MATCH(SUBSTITUTE(SUBSTITUTE(SUBSTITUTE(SUBSTITUTE("type:"&amp;B545,"%","%25"),"~","%7E"),"*","%2A"),"?","%3F"),'Rules'!$G$7:$G$26,0)),"")</x:f>
      </x:c>
      <x:c r="N545" s="5" t="str">
        <x:f>IF(COUNTA(A545:F545)=0,"",SUBSTITUTE(SUBSTITUTE(SUBSTITUTE(SUBSTITUTE("id:"&amp;A545,"%","%25"),"~","%7E"),"*","%2A"),"?","%3F"))</x:f>
      </x:c>
    </x:row>
    <x:row r="546" ht="22" customHeight="1">
      <x:c r="A546" s="3"/>
      <x:c r="B546" s="3"/>
      <x:c r="C546" s="3"/>
      <x:c r="D546" s="4"/>
      <x:c r="E546" s="4"/>
      <x:c r="F546" s="4"/>
      <x:c r="G546" s="5" t="str">
        <x:f>IF(COUNTA(A546:F546)=0,"",IF(K546&lt;&gt;"","Review",IF(I546&lt;0,"Overdue",IF(I546=0,"Due now",IF(I546&lt;=M546,"Due soon","Not due")))))</x:f>
      </x:c>
      <x:c r="H546" s="5" t="str">
        <x:f>IF(OR(COUNTA(A546:F546)=0,COUNTIFS('Rules'!$G$7:$G$26,"="&amp;(SUBSTITUTE(SUBSTITUTE(SUBSTITUTE(SUBSTITUTE("type:"&amp;B546,"%","%25"),"~","%7E"),"*","%2A"),"?","%3F")))&lt;&gt;1),"",IF(OR(INDEX('Rules'!$B$7:$B$26,MATCH(SUBSTITUTE(SUBSTITUTE(SUBSTITUTE(SUBSTITUTE("type:"&amp;B546,"%","%25"),"~","%7E"),"*","%2A"),"?","%3F"),'Rules'!$G$7:$G$26,0))="hours",INDEX('Rules'!$B$7:$B$26,MATCH(SUBSTITUTE(SUBSTITUTE(SUBSTITUTE(SUBSTITUTE("type:"&amp;B546,"%","%25"),"~","%7E"),"*","%2A"),"?","%3F"),'Rules'!$G$7:$G$26,0))="km"),INDEX('Rules'!$B$7:$B$26,MATCH(SUBSTITUTE(SUBSTITUTE(SUBSTITUTE(SUBSTITUTE("type:"&amp;B546,"%","%25"),"~","%7E"),"*","%2A"),"?","%3F"),'Rules'!$G$7:$G$26,0)),""))</x:f>
      </x:c>
      <x:c r="I546" s="6" t="str">
        <x:f>IF(AND(NOT(COUNTA(A546:F546)=0),K546=""),ROUND(J546-D546,3),"")</x:f>
      </x:c>
      <x:c r="J546" s="6" t="str">
        <x:f>IF(AND(NOT(COUNTA(A546:F546)=0),K546=""),ROUND(F546+L546,3),"")</x:f>
      </x:c>
      <x:c r="K546" s="5" t="str">
        <x:f>IF(COUNTA(A546:F546)=0,"",IF(A546="","Missing equipment ID",IF(COUNTIFS($N$8:$N$2007,"="&amp;N546)&gt;1,"Duplicate equipment ID",IF(B546="","Missing type",IF(COUNTIFS('Rules'!$G$7:$G$26,"="&amp;(SUBSTITUTE(SUBSTITUTE(SUBSTITUTE(SUBSTITUTE("type:"&amp;B546,"%","%25"),"~","%7E"),"*","%2A"),"?","%3F")))=0,"Unknown type",IF(COUNTIFS('Rules'!$G$7:$G$26,"="&amp;(SUBSTITUTE(SUBSTITUTE(SUBSTITUTE(SUBSTITUTE("type:"&amp;B546,"%","%25"),"~","%7E"),"*","%2A"),"?","%3F")))&gt;1,"Duplicate type",IF(INDEX('Rules'!$F$7:$F$26,MATCH(SUBSTITUTE(SUBSTITUTE(SUBSTITUTE(SUBSTITUTE("type:"&amp;B546,"%","%25"),"~","%7E"),"*","%2A"),"?","%3F"),'Rules'!$G$7:$G$26,0))&lt;&gt;"",INDEX('Rules'!$F$7:$F$26,MATCH(SUBSTITUTE(SUBSTITUTE(SUBSTITUTE(SUBSTITUTE("type:"&amp;B546,"%","%25"),"~","%7E"),"*","%2A"),"?","%3F"),'Rules'!$G$7:$G$26,0)),IF(AND(C546&lt;&gt;"",C546&lt;&gt;INDEX('Rules'!$B$7:$B$26,MATCH(SUBSTITUTE(SUBSTITUTE(SUBSTITUTE(SUBSTITUTE("type:"&amp;B546,"%","%25"),"~","%7E"),"*","%2A"),"?","%3F"),'Rules'!$G$7:$G$26,0))),"Unit mismatch",IF(IF(NOT(ISNUMBER(D546)),TRUE,OR(D546&lt;0,D546&gt;999999999,ROUND(D546,3)&lt;&gt;D546)),"Invalid current reading",IF(AND(E546&lt;&gt;"",IF(NOT(ISNUMBER(E546)),TRUE,OR(E546&lt;0,E546&gt;999999999,ROUND(E546,3)&lt;&gt;E546))),"Invalid previous reading",IF(IF(NOT(ISNUMBER(F546)),TRUE,OR(F546&lt;0,F546&gt;999999999,ROUND(F546,3)&lt;&gt;F546)),"Invalid last service",IF(AND(E546&lt;&gt;"",D546&lt;E546),"Decreased reading",IF(F546&gt;D546,"Last service above current","")))))))))))))</x:f>
      </x:c>
      <x:c r="L546" s="6" t="str">
        <x:f>IF(AND(NOT(COUNTA(A546:F546)=0),K546=""),INDEX('Rules'!$C$7:$C$26,MATCH(SUBSTITUTE(SUBSTITUTE(SUBSTITUTE(SUBSTITUTE("type:"&amp;B546,"%","%25"),"~","%7E"),"*","%2A"),"?","%3F"),'Rules'!$G$7:$G$26,0)),"")</x:f>
      </x:c>
      <x:c r="M546" s="6" t="str">
        <x:f>IF(AND(NOT(COUNTA(A546:F546)=0),K546=""),INDEX('Rules'!$D$7:$D$26,MATCH(SUBSTITUTE(SUBSTITUTE(SUBSTITUTE(SUBSTITUTE("type:"&amp;B546,"%","%25"),"~","%7E"),"*","%2A"),"?","%3F"),'Rules'!$G$7:$G$26,0)),"")</x:f>
      </x:c>
      <x:c r="N546" s="5" t="str">
        <x:f>IF(COUNTA(A546:F546)=0,"",SUBSTITUTE(SUBSTITUTE(SUBSTITUTE(SUBSTITUTE("id:"&amp;A546,"%","%25"),"~","%7E"),"*","%2A"),"?","%3F"))</x:f>
      </x:c>
    </x:row>
    <x:row r="547" ht="22" customHeight="1">
      <x:c r="A547" s="3"/>
      <x:c r="B547" s="3"/>
      <x:c r="C547" s="3"/>
      <x:c r="D547" s="4"/>
      <x:c r="E547" s="4"/>
      <x:c r="F547" s="4"/>
      <x:c r="G547" s="5" t="str">
        <x:f>IF(COUNTA(A547:F547)=0,"",IF(K547&lt;&gt;"","Review",IF(I547&lt;0,"Overdue",IF(I547=0,"Due now",IF(I547&lt;=M547,"Due soon","Not due")))))</x:f>
      </x:c>
      <x:c r="H547" s="5" t="str">
        <x:f>IF(OR(COUNTA(A547:F547)=0,COUNTIFS('Rules'!$G$7:$G$26,"="&amp;(SUBSTITUTE(SUBSTITUTE(SUBSTITUTE(SUBSTITUTE("type:"&amp;B547,"%","%25"),"~","%7E"),"*","%2A"),"?","%3F")))&lt;&gt;1),"",IF(OR(INDEX('Rules'!$B$7:$B$26,MATCH(SUBSTITUTE(SUBSTITUTE(SUBSTITUTE(SUBSTITUTE("type:"&amp;B547,"%","%25"),"~","%7E"),"*","%2A"),"?","%3F"),'Rules'!$G$7:$G$26,0))="hours",INDEX('Rules'!$B$7:$B$26,MATCH(SUBSTITUTE(SUBSTITUTE(SUBSTITUTE(SUBSTITUTE("type:"&amp;B547,"%","%25"),"~","%7E"),"*","%2A"),"?","%3F"),'Rules'!$G$7:$G$26,0))="km"),INDEX('Rules'!$B$7:$B$26,MATCH(SUBSTITUTE(SUBSTITUTE(SUBSTITUTE(SUBSTITUTE("type:"&amp;B547,"%","%25"),"~","%7E"),"*","%2A"),"?","%3F"),'Rules'!$G$7:$G$26,0)),""))</x:f>
      </x:c>
      <x:c r="I547" s="6" t="str">
        <x:f>IF(AND(NOT(COUNTA(A547:F547)=0),K547=""),ROUND(J547-D547,3),"")</x:f>
      </x:c>
      <x:c r="J547" s="6" t="str">
        <x:f>IF(AND(NOT(COUNTA(A547:F547)=0),K547=""),ROUND(F547+L547,3),"")</x:f>
      </x:c>
      <x:c r="K547" s="5" t="str">
        <x:f>IF(COUNTA(A547:F547)=0,"",IF(A547="","Missing equipment ID",IF(COUNTIFS($N$8:$N$2007,"="&amp;N547)&gt;1,"Duplicate equipment ID",IF(B547="","Missing type",IF(COUNTIFS('Rules'!$G$7:$G$26,"="&amp;(SUBSTITUTE(SUBSTITUTE(SUBSTITUTE(SUBSTITUTE("type:"&amp;B547,"%","%25"),"~","%7E"),"*","%2A"),"?","%3F")))=0,"Unknown type",IF(COUNTIFS('Rules'!$G$7:$G$26,"="&amp;(SUBSTITUTE(SUBSTITUTE(SUBSTITUTE(SUBSTITUTE("type:"&amp;B547,"%","%25"),"~","%7E"),"*","%2A"),"?","%3F")))&gt;1,"Duplicate type",IF(INDEX('Rules'!$F$7:$F$26,MATCH(SUBSTITUTE(SUBSTITUTE(SUBSTITUTE(SUBSTITUTE("type:"&amp;B547,"%","%25"),"~","%7E"),"*","%2A"),"?","%3F"),'Rules'!$G$7:$G$26,0))&lt;&gt;"",INDEX('Rules'!$F$7:$F$26,MATCH(SUBSTITUTE(SUBSTITUTE(SUBSTITUTE(SUBSTITUTE("type:"&amp;B547,"%","%25"),"~","%7E"),"*","%2A"),"?","%3F"),'Rules'!$G$7:$G$26,0)),IF(AND(C547&lt;&gt;"",C547&lt;&gt;INDEX('Rules'!$B$7:$B$26,MATCH(SUBSTITUTE(SUBSTITUTE(SUBSTITUTE(SUBSTITUTE("type:"&amp;B547,"%","%25"),"~","%7E"),"*","%2A"),"?","%3F"),'Rules'!$G$7:$G$26,0))),"Unit mismatch",IF(IF(NOT(ISNUMBER(D547)),TRUE,OR(D547&lt;0,D547&gt;999999999,ROUND(D547,3)&lt;&gt;D547)),"Invalid current reading",IF(AND(E547&lt;&gt;"",IF(NOT(ISNUMBER(E547)),TRUE,OR(E547&lt;0,E547&gt;999999999,ROUND(E547,3)&lt;&gt;E547))),"Invalid previous reading",IF(IF(NOT(ISNUMBER(F547)),TRUE,OR(F547&lt;0,F547&gt;999999999,ROUND(F547,3)&lt;&gt;F547)),"Invalid last service",IF(AND(E547&lt;&gt;"",D547&lt;E547),"Decreased reading",IF(F547&gt;D547,"Last service above current","")))))))))))))</x:f>
      </x:c>
      <x:c r="L547" s="6" t="str">
        <x:f>IF(AND(NOT(COUNTA(A547:F547)=0),K547=""),INDEX('Rules'!$C$7:$C$26,MATCH(SUBSTITUTE(SUBSTITUTE(SUBSTITUTE(SUBSTITUTE("type:"&amp;B547,"%","%25"),"~","%7E"),"*","%2A"),"?","%3F"),'Rules'!$G$7:$G$26,0)),"")</x:f>
      </x:c>
      <x:c r="M547" s="6" t="str">
        <x:f>IF(AND(NOT(COUNTA(A547:F547)=0),K547=""),INDEX('Rules'!$D$7:$D$26,MATCH(SUBSTITUTE(SUBSTITUTE(SUBSTITUTE(SUBSTITUTE("type:"&amp;B547,"%","%25"),"~","%7E"),"*","%2A"),"?","%3F"),'Rules'!$G$7:$G$26,0)),"")</x:f>
      </x:c>
      <x:c r="N547" s="5" t="str">
        <x:f>IF(COUNTA(A547:F547)=0,"",SUBSTITUTE(SUBSTITUTE(SUBSTITUTE(SUBSTITUTE("id:"&amp;A547,"%","%25"),"~","%7E"),"*","%2A"),"?","%3F"))</x:f>
      </x:c>
    </x:row>
    <x:row r="548" ht="22" customHeight="1">
      <x:c r="A548" s="3"/>
      <x:c r="B548" s="3"/>
      <x:c r="C548" s="3"/>
      <x:c r="D548" s="4"/>
      <x:c r="E548" s="4"/>
      <x:c r="F548" s="4"/>
      <x:c r="G548" s="5" t="str">
        <x:f>IF(COUNTA(A548:F548)=0,"",IF(K548&lt;&gt;"","Review",IF(I548&lt;0,"Overdue",IF(I548=0,"Due now",IF(I548&lt;=M548,"Due soon","Not due")))))</x:f>
      </x:c>
      <x:c r="H548" s="5" t="str">
        <x:f>IF(OR(COUNTA(A548:F548)=0,COUNTIFS('Rules'!$G$7:$G$26,"="&amp;(SUBSTITUTE(SUBSTITUTE(SUBSTITUTE(SUBSTITUTE("type:"&amp;B548,"%","%25"),"~","%7E"),"*","%2A"),"?","%3F")))&lt;&gt;1),"",IF(OR(INDEX('Rules'!$B$7:$B$26,MATCH(SUBSTITUTE(SUBSTITUTE(SUBSTITUTE(SUBSTITUTE("type:"&amp;B548,"%","%25"),"~","%7E"),"*","%2A"),"?","%3F"),'Rules'!$G$7:$G$26,0))="hours",INDEX('Rules'!$B$7:$B$26,MATCH(SUBSTITUTE(SUBSTITUTE(SUBSTITUTE(SUBSTITUTE("type:"&amp;B548,"%","%25"),"~","%7E"),"*","%2A"),"?","%3F"),'Rules'!$G$7:$G$26,0))="km"),INDEX('Rules'!$B$7:$B$26,MATCH(SUBSTITUTE(SUBSTITUTE(SUBSTITUTE(SUBSTITUTE("type:"&amp;B548,"%","%25"),"~","%7E"),"*","%2A"),"?","%3F"),'Rules'!$G$7:$G$26,0)),""))</x:f>
      </x:c>
      <x:c r="I548" s="6" t="str">
        <x:f>IF(AND(NOT(COUNTA(A548:F548)=0),K548=""),ROUND(J548-D548,3),"")</x:f>
      </x:c>
      <x:c r="J548" s="6" t="str">
        <x:f>IF(AND(NOT(COUNTA(A548:F548)=0),K548=""),ROUND(F548+L548,3),"")</x:f>
      </x:c>
      <x:c r="K548" s="5" t="str">
        <x:f>IF(COUNTA(A548:F548)=0,"",IF(A548="","Missing equipment ID",IF(COUNTIFS($N$8:$N$2007,"="&amp;N548)&gt;1,"Duplicate equipment ID",IF(B548="","Missing type",IF(COUNTIFS('Rules'!$G$7:$G$26,"="&amp;(SUBSTITUTE(SUBSTITUTE(SUBSTITUTE(SUBSTITUTE("type:"&amp;B548,"%","%25"),"~","%7E"),"*","%2A"),"?","%3F")))=0,"Unknown type",IF(COUNTIFS('Rules'!$G$7:$G$26,"="&amp;(SUBSTITUTE(SUBSTITUTE(SUBSTITUTE(SUBSTITUTE("type:"&amp;B548,"%","%25"),"~","%7E"),"*","%2A"),"?","%3F")))&gt;1,"Duplicate type",IF(INDEX('Rules'!$F$7:$F$26,MATCH(SUBSTITUTE(SUBSTITUTE(SUBSTITUTE(SUBSTITUTE("type:"&amp;B548,"%","%25"),"~","%7E"),"*","%2A"),"?","%3F"),'Rules'!$G$7:$G$26,0))&lt;&gt;"",INDEX('Rules'!$F$7:$F$26,MATCH(SUBSTITUTE(SUBSTITUTE(SUBSTITUTE(SUBSTITUTE("type:"&amp;B548,"%","%25"),"~","%7E"),"*","%2A"),"?","%3F"),'Rules'!$G$7:$G$26,0)),IF(AND(C548&lt;&gt;"",C548&lt;&gt;INDEX('Rules'!$B$7:$B$26,MATCH(SUBSTITUTE(SUBSTITUTE(SUBSTITUTE(SUBSTITUTE("type:"&amp;B548,"%","%25"),"~","%7E"),"*","%2A"),"?","%3F"),'Rules'!$G$7:$G$26,0))),"Unit mismatch",IF(IF(NOT(ISNUMBER(D548)),TRUE,OR(D548&lt;0,D548&gt;999999999,ROUND(D548,3)&lt;&gt;D548)),"Invalid current reading",IF(AND(E548&lt;&gt;"",IF(NOT(ISNUMBER(E548)),TRUE,OR(E548&lt;0,E548&gt;999999999,ROUND(E548,3)&lt;&gt;E548))),"Invalid previous reading",IF(IF(NOT(ISNUMBER(F548)),TRUE,OR(F548&lt;0,F548&gt;999999999,ROUND(F548,3)&lt;&gt;F548)),"Invalid last service",IF(AND(E548&lt;&gt;"",D548&lt;E548),"Decreased reading",IF(F548&gt;D548,"Last service above current","")))))))))))))</x:f>
      </x:c>
      <x:c r="L548" s="6" t="str">
        <x:f>IF(AND(NOT(COUNTA(A548:F548)=0),K548=""),INDEX('Rules'!$C$7:$C$26,MATCH(SUBSTITUTE(SUBSTITUTE(SUBSTITUTE(SUBSTITUTE("type:"&amp;B548,"%","%25"),"~","%7E"),"*","%2A"),"?","%3F"),'Rules'!$G$7:$G$26,0)),"")</x:f>
      </x:c>
      <x:c r="M548" s="6" t="str">
        <x:f>IF(AND(NOT(COUNTA(A548:F548)=0),K548=""),INDEX('Rules'!$D$7:$D$26,MATCH(SUBSTITUTE(SUBSTITUTE(SUBSTITUTE(SUBSTITUTE("type:"&amp;B548,"%","%25"),"~","%7E"),"*","%2A"),"?","%3F"),'Rules'!$G$7:$G$26,0)),"")</x:f>
      </x:c>
      <x:c r="N548" s="5" t="str">
        <x:f>IF(COUNTA(A548:F548)=0,"",SUBSTITUTE(SUBSTITUTE(SUBSTITUTE(SUBSTITUTE("id:"&amp;A548,"%","%25"),"~","%7E"),"*","%2A"),"?","%3F"))</x:f>
      </x:c>
    </x:row>
    <x:row r="549" ht="22" customHeight="1">
      <x:c r="A549" s="3"/>
      <x:c r="B549" s="3"/>
      <x:c r="C549" s="3"/>
      <x:c r="D549" s="4"/>
      <x:c r="E549" s="4"/>
      <x:c r="F549" s="4"/>
      <x:c r="G549" s="5" t="str">
        <x:f>IF(COUNTA(A549:F549)=0,"",IF(K549&lt;&gt;"","Review",IF(I549&lt;0,"Overdue",IF(I549=0,"Due now",IF(I549&lt;=M549,"Due soon","Not due")))))</x:f>
      </x:c>
      <x:c r="H549" s="5" t="str">
        <x:f>IF(OR(COUNTA(A549:F549)=0,COUNTIFS('Rules'!$G$7:$G$26,"="&amp;(SUBSTITUTE(SUBSTITUTE(SUBSTITUTE(SUBSTITUTE("type:"&amp;B549,"%","%25"),"~","%7E"),"*","%2A"),"?","%3F")))&lt;&gt;1),"",IF(OR(INDEX('Rules'!$B$7:$B$26,MATCH(SUBSTITUTE(SUBSTITUTE(SUBSTITUTE(SUBSTITUTE("type:"&amp;B549,"%","%25"),"~","%7E"),"*","%2A"),"?","%3F"),'Rules'!$G$7:$G$26,0))="hours",INDEX('Rules'!$B$7:$B$26,MATCH(SUBSTITUTE(SUBSTITUTE(SUBSTITUTE(SUBSTITUTE("type:"&amp;B549,"%","%25"),"~","%7E"),"*","%2A"),"?","%3F"),'Rules'!$G$7:$G$26,0))="km"),INDEX('Rules'!$B$7:$B$26,MATCH(SUBSTITUTE(SUBSTITUTE(SUBSTITUTE(SUBSTITUTE("type:"&amp;B549,"%","%25"),"~","%7E"),"*","%2A"),"?","%3F"),'Rules'!$G$7:$G$26,0)),""))</x:f>
      </x:c>
      <x:c r="I549" s="6" t="str">
        <x:f>IF(AND(NOT(COUNTA(A549:F549)=0),K549=""),ROUND(J549-D549,3),"")</x:f>
      </x:c>
      <x:c r="J549" s="6" t="str">
        <x:f>IF(AND(NOT(COUNTA(A549:F549)=0),K549=""),ROUND(F549+L549,3),"")</x:f>
      </x:c>
      <x:c r="K549" s="5" t="str">
        <x:f>IF(COUNTA(A549:F549)=0,"",IF(A549="","Missing equipment ID",IF(COUNTIFS($N$8:$N$2007,"="&amp;N549)&gt;1,"Duplicate equipment ID",IF(B549="","Missing type",IF(COUNTIFS('Rules'!$G$7:$G$26,"="&amp;(SUBSTITUTE(SUBSTITUTE(SUBSTITUTE(SUBSTITUTE("type:"&amp;B549,"%","%25"),"~","%7E"),"*","%2A"),"?","%3F")))=0,"Unknown type",IF(COUNTIFS('Rules'!$G$7:$G$26,"="&amp;(SUBSTITUTE(SUBSTITUTE(SUBSTITUTE(SUBSTITUTE("type:"&amp;B549,"%","%25"),"~","%7E"),"*","%2A"),"?","%3F")))&gt;1,"Duplicate type",IF(INDEX('Rules'!$F$7:$F$26,MATCH(SUBSTITUTE(SUBSTITUTE(SUBSTITUTE(SUBSTITUTE("type:"&amp;B549,"%","%25"),"~","%7E"),"*","%2A"),"?","%3F"),'Rules'!$G$7:$G$26,0))&lt;&gt;"",INDEX('Rules'!$F$7:$F$26,MATCH(SUBSTITUTE(SUBSTITUTE(SUBSTITUTE(SUBSTITUTE("type:"&amp;B549,"%","%25"),"~","%7E"),"*","%2A"),"?","%3F"),'Rules'!$G$7:$G$26,0)),IF(AND(C549&lt;&gt;"",C549&lt;&gt;INDEX('Rules'!$B$7:$B$26,MATCH(SUBSTITUTE(SUBSTITUTE(SUBSTITUTE(SUBSTITUTE("type:"&amp;B549,"%","%25"),"~","%7E"),"*","%2A"),"?","%3F"),'Rules'!$G$7:$G$26,0))),"Unit mismatch",IF(IF(NOT(ISNUMBER(D549)),TRUE,OR(D549&lt;0,D549&gt;999999999,ROUND(D549,3)&lt;&gt;D549)),"Invalid current reading",IF(AND(E549&lt;&gt;"",IF(NOT(ISNUMBER(E549)),TRUE,OR(E549&lt;0,E549&gt;999999999,ROUND(E549,3)&lt;&gt;E549))),"Invalid previous reading",IF(IF(NOT(ISNUMBER(F549)),TRUE,OR(F549&lt;0,F549&gt;999999999,ROUND(F549,3)&lt;&gt;F549)),"Invalid last service",IF(AND(E549&lt;&gt;"",D549&lt;E549),"Decreased reading",IF(F549&gt;D549,"Last service above current","")))))))))))))</x:f>
      </x:c>
      <x:c r="L549" s="6" t="str">
        <x:f>IF(AND(NOT(COUNTA(A549:F549)=0),K549=""),INDEX('Rules'!$C$7:$C$26,MATCH(SUBSTITUTE(SUBSTITUTE(SUBSTITUTE(SUBSTITUTE("type:"&amp;B549,"%","%25"),"~","%7E"),"*","%2A"),"?","%3F"),'Rules'!$G$7:$G$26,0)),"")</x:f>
      </x:c>
      <x:c r="M549" s="6" t="str">
        <x:f>IF(AND(NOT(COUNTA(A549:F549)=0),K549=""),INDEX('Rules'!$D$7:$D$26,MATCH(SUBSTITUTE(SUBSTITUTE(SUBSTITUTE(SUBSTITUTE("type:"&amp;B549,"%","%25"),"~","%7E"),"*","%2A"),"?","%3F"),'Rules'!$G$7:$G$26,0)),"")</x:f>
      </x:c>
      <x:c r="N549" s="5" t="str">
        <x:f>IF(COUNTA(A549:F549)=0,"",SUBSTITUTE(SUBSTITUTE(SUBSTITUTE(SUBSTITUTE("id:"&amp;A549,"%","%25"),"~","%7E"),"*","%2A"),"?","%3F"))</x:f>
      </x:c>
    </x:row>
    <x:row r="550" ht="22" customHeight="1">
      <x:c r="A550" s="3"/>
      <x:c r="B550" s="3"/>
      <x:c r="C550" s="3"/>
      <x:c r="D550" s="4"/>
      <x:c r="E550" s="4"/>
      <x:c r="F550" s="4"/>
      <x:c r="G550" s="5" t="str">
        <x:f>IF(COUNTA(A550:F550)=0,"",IF(K550&lt;&gt;"","Review",IF(I550&lt;0,"Overdue",IF(I550=0,"Due now",IF(I550&lt;=M550,"Due soon","Not due")))))</x:f>
      </x:c>
      <x:c r="H550" s="5" t="str">
        <x:f>IF(OR(COUNTA(A550:F550)=0,COUNTIFS('Rules'!$G$7:$G$26,"="&amp;(SUBSTITUTE(SUBSTITUTE(SUBSTITUTE(SUBSTITUTE("type:"&amp;B550,"%","%25"),"~","%7E"),"*","%2A"),"?","%3F")))&lt;&gt;1),"",IF(OR(INDEX('Rules'!$B$7:$B$26,MATCH(SUBSTITUTE(SUBSTITUTE(SUBSTITUTE(SUBSTITUTE("type:"&amp;B550,"%","%25"),"~","%7E"),"*","%2A"),"?","%3F"),'Rules'!$G$7:$G$26,0))="hours",INDEX('Rules'!$B$7:$B$26,MATCH(SUBSTITUTE(SUBSTITUTE(SUBSTITUTE(SUBSTITUTE("type:"&amp;B550,"%","%25"),"~","%7E"),"*","%2A"),"?","%3F"),'Rules'!$G$7:$G$26,0))="km"),INDEX('Rules'!$B$7:$B$26,MATCH(SUBSTITUTE(SUBSTITUTE(SUBSTITUTE(SUBSTITUTE("type:"&amp;B550,"%","%25"),"~","%7E"),"*","%2A"),"?","%3F"),'Rules'!$G$7:$G$26,0)),""))</x:f>
      </x:c>
      <x:c r="I550" s="6" t="str">
        <x:f>IF(AND(NOT(COUNTA(A550:F550)=0),K550=""),ROUND(J550-D550,3),"")</x:f>
      </x:c>
      <x:c r="J550" s="6" t="str">
        <x:f>IF(AND(NOT(COUNTA(A550:F550)=0),K550=""),ROUND(F550+L550,3),"")</x:f>
      </x:c>
      <x:c r="K550" s="5" t="str">
        <x:f>IF(COUNTA(A550:F550)=0,"",IF(A550="","Missing equipment ID",IF(COUNTIFS($N$8:$N$2007,"="&amp;N550)&gt;1,"Duplicate equipment ID",IF(B550="","Missing type",IF(COUNTIFS('Rules'!$G$7:$G$26,"="&amp;(SUBSTITUTE(SUBSTITUTE(SUBSTITUTE(SUBSTITUTE("type:"&amp;B550,"%","%25"),"~","%7E"),"*","%2A"),"?","%3F")))=0,"Unknown type",IF(COUNTIFS('Rules'!$G$7:$G$26,"="&amp;(SUBSTITUTE(SUBSTITUTE(SUBSTITUTE(SUBSTITUTE("type:"&amp;B550,"%","%25"),"~","%7E"),"*","%2A"),"?","%3F")))&gt;1,"Duplicate type",IF(INDEX('Rules'!$F$7:$F$26,MATCH(SUBSTITUTE(SUBSTITUTE(SUBSTITUTE(SUBSTITUTE("type:"&amp;B550,"%","%25"),"~","%7E"),"*","%2A"),"?","%3F"),'Rules'!$G$7:$G$26,0))&lt;&gt;"",INDEX('Rules'!$F$7:$F$26,MATCH(SUBSTITUTE(SUBSTITUTE(SUBSTITUTE(SUBSTITUTE("type:"&amp;B550,"%","%25"),"~","%7E"),"*","%2A"),"?","%3F"),'Rules'!$G$7:$G$26,0)),IF(AND(C550&lt;&gt;"",C550&lt;&gt;INDEX('Rules'!$B$7:$B$26,MATCH(SUBSTITUTE(SUBSTITUTE(SUBSTITUTE(SUBSTITUTE("type:"&amp;B550,"%","%25"),"~","%7E"),"*","%2A"),"?","%3F"),'Rules'!$G$7:$G$26,0))),"Unit mismatch",IF(IF(NOT(ISNUMBER(D550)),TRUE,OR(D550&lt;0,D550&gt;999999999,ROUND(D550,3)&lt;&gt;D550)),"Invalid current reading",IF(AND(E550&lt;&gt;"",IF(NOT(ISNUMBER(E550)),TRUE,OR(E550&lt;0,E550&gt;999999999,ROUND(E550,3)&lt;&gt;E550))),"Invalid previous reading",IF(IF(NOT(ISNUMBER(F550)),TRUE,OR(F550&lt;0,F550&gt;999999999,ROUND(F550,3)&lt;&gt;F550)),"Invalid last service",IF(AND(E550&lt;&gt;"",D550&lt;E550),"Decreased reading",IF(F550&gt;D550,"Last service above current","")))))))))))))</x:f>
      </x:c>
      <x:c r="L550" s="6" t="str">
        <x:f>IF(AND(NOT(COUNTA(A550:F550)=0),K550=""),INDEX('Rules'!$C$7:$C$26,MATCH(SUBSTITUTE(SUBSTITUTE(SUBSTITUTE(SUBSTITUTE("type:"&amp;B550,"%","%25"),"~","%7E"),"*","%2A"),"?","%3F"),'Rules'!$G$7:$G$26,0)),"")</x:f>
      </x:c>
      <x:c r="M550" s="6" t="str">
        <x:f>IF(AND(NOT(COUNTA(A550:F550)=0),K550=""),INDEX('Rules'!$D$7:$D$26,MATCH(SUBSTITUTE(SUBSTITUTE(SUBSTITUTE(SUBSTITUTE("type:"&amp;B550,"%","%25"),"~","%7E"),"*","%2A"),"?","%3F"),'Rules'!$G$7:$G$26,0)),"")</x:f>
      </x:c>
      <x:c r="N550" s="5" t="str">
        <x:f>IF(COUNTA(A550:F550)=0,"",SUBSTITUTE(SUBSTITUTE(SUBSTITUTE(SUBSTITUTE("id:"&amp;A550,"%","%25"),"~","%7E"),"*","%2A"),"?","%3F"))</x:f>
      </x:c>
    </x:row>
    <x:row r="551" ht="22" customHeight="1">
      <x:c r="A551" s="3"/>
      <x:c r="B551" s="3"/>
      <x:c r="C551" s="3"/>
      <x:c r="D551" s="4"/>
      <x:c r="E551" s="4"/>
      <x:c r="F551" s="4"/>
      <x:c r="G551" s="5" t="str">
        <x:f>IF(COUNTA(A551:F551)=0,"",IF(K551&lt;&gt;"","Review",IF(I551&lt;0,"Overdue",IF(I551=0,"Due now",IF(I551&lt;=M551,"Due soon","Not due")))))</x:f>
      </x:c>
      <x:c r="H551" s="5" t="str">
        <x:f>IF(OR(COUNTA(A551:F551)=0,COUNTIFS('Rules'!$G$7:$G$26,"="&amp;(SUBSTITUTE(SUBSTITUTE(SUBSTITUTE(SUBSTITUTE("type:"&amp;B551,"%","%25"),"~","%7E"),"*","%2A"),"?","%3F")))&lt;&gt;1),"",IF(OR(INDEX('Rules'!$B$7:$B$26,MATCH(SUBSTITUTE(SUBSTITUTE(SUBSTITUTE(SUBSTITUTE("type:"&amp;B551,"%","%25"),"~","%7E"),"*","%2A"),"?","%3F"),'Rules'!$G$7:$G$26,0))="hours",INDEX('Rules'!$B$7:$B$26,MATCH(SUBSTITUTE(SUBSTITUTE(SUBSTITUTE(SUBSTITUTE("type:"&amp;B551,"%","%25"),"~","%7E"),"*","%2A"),"?","%3F"),'Rules'!$G$7:$G$26,0))="km"),INDEX('Rules'!$B$7:$B$26,MATCH(SUBSTITUTE(SUBSTITUTE(SUBSTITUTE(SUBSTITUTE("type:"&amp;B551,"%","%25"),"~","%7E"),"*","%2A"),"?","%3F"),'Rules'!$G$7:$G$26,0)),""))</x:f>
      </x:c>
      <x:c r="I551" s="6" t="str">
        <x:f>IF(AND(NOT(COUNTA(A551:F551)=0),K551=""),ROUND(J551-D551,3),"")</x:f>
      </x:c>
      <x:c r="J551" s="6" t="str">
        <x:f>IF(AND(NOT(COUNTA(A551:F551)=0),K551=""),ROUND(F551+L551,3),"")</x:f>
      </x:c>
      <x:c r="K551" s="5" t="str">
        <x:f>IF(COUNTA(A551:F551)=0,"",IF(A551="","Missing equipment ID",IF(COUNTIFS($N$8:$N$2007,"="&amp;N551)&gt;1,"Duplicate equipment ID",IF(B551="","Missing type",IF(COUNTIFS('Rules'!$G$7:$G$26,"="&amp;(SUBSTITUTE(SUBSTITUTE(SUBSTITUTE(SUBSTITUTE("type:"&amp;B551,"%","%25"),"~","%7E"),"*","%2A"),"?","%3F")))=0,"Unknown type",IF(COUNTIFS('Rules'!$G$7:$G$26,"="&amp;(SUBSTITUTE(SUBSTITUTE(SUBSTITUTE(SUBSTITUTE("type:"&amp;B551,"%","%25"),"~","%7E"),"*","%2A"),"?","%3F")))&gt;1,"Duplicate type",IF(INDEX('Rules'!$F$7:$F$26,MATCH(SUBSTITUTE(SUBSTITUTE(SUBSTITUTE(SUBSTITUTE("type:"&amp;B551,"%","%25"),"~","%7E"),"*","%2A"),"?","%3F"),'Rules'!$G$7:$G$26,0))&lt;&gt;"",INDEX('Rules'!$F$7:$F$26,MATCH(SUBSTITUTE(SUBSTITUTE(SUBSTITUTE(SUBSTITUTE("type:"&amp;B551,"%","%25"),"~","%7E"),"*","%2A"),"?","%3F"),'Rules'!$G$7:$G$26,0)),IF(AND(C551&lt;&gt;"",C551&lt;&gt;INDEX('Rules'!$B$7:$B$26,MATCH(SUBSTITUTE(SUBSTITUTE(SUBSTITUTE(SUBSTITUTE("type:"&amp;B551,"%","%25"),"~","%7E"),"*","%2A"),"?","%3F"),'Rules'!$G$7:$G$26,0))),"Unit mismatch",IF(IF(NOT(ISNUMBER(D551)),TRUE,OR(D551&lt;0,D551&gt;999999999,ROUND(D551,3)&lt;&gt;D551)),"Invalid current reading",IF(AND(E551&lt;&gt;"",IF(NOT(ISNUMBER(E551)),TRUE,OR(E551&lt;0,E551&gt;999999999,ROUND(E551,3)&lt;&gt;E551))),"Invalid previous reading",IF(IF(NOT(ISNUMBER(F551)),TRUE,OR(F551&lt;0,F551&gt;999999999,ROUND(F551,3)&lt;&gt;F551)),"Invalid last service",IF(AND(E551&lt;&gt;"",D551&lt;E551),"Decreased reading",IF(F551&gt;D551,"Last service above current","")))))))))))))</x:f>
      </x:c>
      <x:c r="L551" s="6" t="str">
        <x:f>IF(AND(NOT(COUNTA(A551:F551)=0),K551=""),INDEX('Rules'!$C$7:$C$26,MATCH(SUBSTITUTE(SUBSTITUTE(SUBSTITUTE(SUBSTITUTE("type:"&amp;B551,"%","%25"),"~","%7E"),"*","%2A"),"?","%3F"),'Rules'!$G$7:$G$26,0)),"")</x:f>
      </x:c>
      <x:c r="M551" s="6" t="str">
        <x:f>IF(AND(NOT(COUNTA(A551:F551)=0),K551=""),INDEX('Rules'!$D$7:$D$26,MATCH(SUBSTITUTE(SUBSTITUTE(SUBSTITUTE(SUBSTITUTE("type:"&amp;B551,"%","%25"),"~","%7E"),"*","%2A"),"?","%3F"),'Rules'!$G$7:$G$26,0)),"")</x:f>
      </x:c>
      <x:c r="N551" s="5" t="str">
        <x:f>IF(COUNTA(A551:F551)=0,"",SUBSTITUTE(SUBSTITUTE(SUBSTITUTE(SUBSTITUTE("id:"&amp;A551,"%","%25"),"~","%7E"),"*","%2A"),"?","%3F"))</x:f>
      </x:c>
    </x:row>
    <x:row r="552" ht="22" customHeight="1">
      <x:c r="A552" s="3"/>
      <x:c r="B552" s="3"/>
      <x:c r="C552" s="3"/>
      <x:c r="D552" s="4"/>
      <x:c r="E552" s="4"/>
      <x:c r="F552" s="4"/>
      <x:c r="G552" s="5" t="str">
        <x:f>IF(COUNTA(A552:F552)=0,"",IF(K552&lt;&gt;"","Review",IF(I552&lt;0,"Overdue",IF(I552=0,"Due now",IF(I552&lt;=M552,"Due soon","Not due")))))</x:f>
      </x:c>
      <x:c r="H552" s="5" t="str">
        <x:f>IF(OR(COUNTA(A552:F552)=0,COUNTIFS('Rules'!$G$7:$G$26,"="&amp;(SUBSTITUTE(SUBSTITUTE(SUBSTITUTE(SUBSTITUTE("type:"&amp;B552,"%","%25"),"~","%7E"),"*","%2A"),"?","%3F")))&lt;&gt;1),"",IF(OR(INDEX('Rules'!$B$7:$B$26,MATCH(SUBSTITUTE(SUBSTITUTE(SUBSTITUTE(SUBSTITUTE("type:"&amp;B552,"%","%25"),"~","%7E"),"*","%2A"),"?","%3F"),'Rules'!$G$7:$G$26,0))="hours",INDEX('Rules'!$B$7:$B$26,MATCH(SUBSTITUTE(SUBSTITUTE(SUBSTITUTE(SUBSTITUTE("type:"&amp;B552,"%","%25"),"~","%7E"),"*","%2A"),"?","%3F"),'Rules'!$G$7:$G$26,0))="km"),INDEX('Rules'!$B$7:$B$26,MATCH(SUBSTITUTE(SUBSTITUTE(SUBSTITUTE(SUBSTITUTE("type:"&amp;B552,"%","%25"),"~","%7E"),"*","%2A"),"?","%3F"),'Rules'!$G$7:$G$26,0)),""))</x:f>
      </x:c>
      <x:c r="I552" s="6" t="str">
        <x:f>IF(AND(NOT(COUNTA(A552:F552)=0),K552=""),ROUND(J552-D552,3),"")</x:f>
      </x:c>
      <x:c r="J552" s="6" t="str">
        <x:f>IF(AND(NOT(COUNTA(A552:F552)=0),K552=""),ROUND(F552+L552,3),"")</x:f>
      </x:c>
      <x:c r="K552" s="5" t="str">
        <x:f>IF(COUNTA(A552:F552)=0,"",IF(A552="","Missing equipment ID",IF(COUNTIFS($N$8:$N$2007,"="&amp;N552)&gt;1,"Duplicate equipment ID",IF(B552="","Missing type",IF(COUNTIFS('Rules'!$G$7:$G$26,"="&amp;(SUBSTITUTE(SUBSTITUTE(SUBSTITUTE(SUBSTITUTE("type:"&amp;B552,"%","%25"),"~","%7E"),"*","%2A"),"?","%3F")))=0,"Unknown type",IF(COUNTIFS('Rules'!$G$7:$G$26,"="&amp;(SUBSTITUTE(SUBSTITUTE(SUBSTITUTE(SUBSTITUTE("type:"&amp;B552,"%","%25"),"~","%7E"),"*","%2A"),"?","%3F")))&gt;1,"Duplicate type",IF(INDEX('Rules'!$F$7:$F$26,MATCH(SUBSTITUTE(SUBSTITUTE(SUBSTITUTE(SUBSTITUTE("type:"&amp;B552,"%","%25"),"~","%7E"),"*","%2A"),"?","%3F"),'Rules'!$G$7:$G$26,0))&lt;&gt;"",INDEX('Rules'!$F$7:$F$26,MATCH(SUBSTITUTE(SUBSTITUTE(SUBSTITUTE(SUBSTITUTE("type:"&amp;B552,"%","%25"),"~","%7E"),"*","%2A"),"?","%3F"),'Rules'!$G$7:$G$26,0)),IF(AND(C552&lt;&gt;"",C552&lt;&gt;INDEX('Rules'!$B$7:$B$26,MATCH(SUBSTITUTE(SUBSTITUTE(SUBSTITUTE(SUBSTITUTE("type:"&amp;B552,"%","%25"),"~","%7E"),"*","%2A"),"?","%3F"),'Rules'!$G$7:$G$26,0))),"Unit mismatch",IF(IF(NOT(ISNUMBER(D552)),TRUE,OR(D552&lt;0,D552&gt;999999999,ROUND(D552,3)&lt;&gt;D552)),"Invalid current reading",IF(AND(E552&lt;&gt;"",IF(NOT(ISNUMBER(E552)),TRUE,OR(E552&lt;0,E552&gt;999999999,ROUND(E552,3)&lt;&gt;E552))),"Invalid previous reading",IF(IF(NOT(ISNUMBER(F552)),TRUE,OR(F552&lt;0,F552&gt;999999999,ROUND(F552,3)&lt;&gt;F552)),"Invalid last service",IF(AND(E552&lt;&gt;"",D552&lt;E552),"Decreased reading",IF(F552&gt;D552,"Last service above current","")))))))))))))</x:f>
      </x:c>
      <x:c r="L552" s="6" t="str">
        <x:f>IF(AND(NOT(COUNTA(A552:F552)=0),K552=""),INDEX('Rules'!$C$7:$C$26,MATCH(SUBSTITUTE(SUBSTITUTE(SUBSTITUTE(SUBSTITUTE("type:"&amp;B552,"%","%25"),"~","%7E"),"*","%2A"),"?","%3F"),'Rules'!$G$7:$G$26,0)),"")</x:f>
      </x:c>
      <x:c r="M552" s="6" t="str">
        <x:f>IF(AND(NOT(COUNTA(A552:F552)=0),K552=""),INDEX('Rules'!$D$7:$D$26,MATCH(SUBSTITUTE(SUBSTITUTE(SUBSTITUTE(SUBSTITUTE("type:"&amp;B552,"%","%25"),"~","%7E"),"*","%2A"),"?","%3F"),'Rules'!$G$7:$G$26,0)),"")</x:f>
      </x:c>
      <x:c r="N552" s="5" t="str">
        <x:f>IF(COUNTA(A552:F552)=0,"",SUBSTITUTE(SUBSTITUTE(SUBSTITUTE(SUBSTITUTE("id:"&amp;A552,"%","%25"),"~","%7E"),"*","%2A"),"?","%3F"))</x:f>
      </x:c>
    </x:row>
    <x:row r="553" ht="22" customHeight="1">
      <x:c r="A553" s="3"/>
      <x:c r="B553" s="3"/>
      <x:c r="C553" s="3"/>
      <x:c r="D553" s="4"/>
      <x:c r="E553" s="4"/>
      <x:c r="F553" s="4"/>
      <x:c r="G553" s="5" t="str">
        <x:f>IF(COUNTA(A553:F553)=0,"",IF(K553&lt;&gt;"","Review",IF(I553&lt;0,"Overdue",IF(I553=0,"Due now",IF(I553&lt;=M553,"Due soon","Not due")))))</x:f>
      </x:c>
      <x:c r="H553" s="5" t="str">
        <x:f>IF(OR(COUNTA(A553:F553)=0,COUNTIFS('Rules'!$G$7:$G$26,"="&amp;(SUBSTITUTE(SUBSTITUTE(SUBSTITUTE(SUBSTITUTE("type:"&amp;B553,"%","%25"),"~","%7E"),"*","%2A"),"?","%3F")))&lt;&gt;1),"",IF(OR(INDEX('Rules'!$B$7:$B$26,MATCH(SUBSTITUTE(SUBSTITUTE(SUBSTITUTE(SUBSTITUTE("type:"&amp;B553,"%","%25"),"~","%7E"),"*","%2A"),"?","%3F"),'Rules'!$G$7:$G$26,0))="hours",INDEX('Rules'!$B$7:$B$26,MATCH(SUBSTITUTE(SUBSTITUTE(SUBSTITUTE(SUBSTITUTE("type:"&amp;B553,"%","%25"),"~","%7E"),"*","%2A"),"?","%3F"),'Rules'!$G$7:$G$26,0))="km"),INDEX('Rules'!$B$7:$B$26,MATCH(SUBSTITUTE(SUBSTITUTE(SUBSTITUTE(SUBSTITUTE("type:"&amp;B553,"%","%25"),"~","%7E"),"*","%2A"),"?","%3F"),'Rules'!$G$7:$G$26,0)),""))</x:f>
      </x:c>
      <x:c r="I553" s="6" t="str">
        <x:f>IF(AND(NOT(COUNTA(A553:F553)=0),K553=""),ROUND(J553-D553,3),"")</x:f>
      </x:c>
      <x:c r="J553" s="6" t="str">
        <x:f>IF(AND(NOT(COUNTA(A553:F553)=0),K553=""),ROUND(F553+L553,3),"")</x:f>
      </x:c>
      <x:c r="K553" s="5" t="str">
        <x:f>IF(COUNTA(A553:F553)=0,"",IF(A553="","Missing equipment ID",IF(COUNTIFS($N$8:$N$2007,"="&amp;N553)&gt;1,"Duplicate equipment ID",IF(B553="","Missing type",IF(COUNTIFS('Rules'!$G$7:$G$26,"="&amp;(SUBSTITUTE(SUBSTITUTE(SUBSTITUTE(SUBSTITUTE("type:"&amp;B553,"%","%25"),"~","%7E"),"*","%2A"),"?","%3F")))=0,"Unknown type",IF(COUNTIFS('Rules'!$G$7:$G$26,"="&amp;(SUBSTITUTE(SUBSTITUTE(SUBSTITUTE(SUBSTITUTE("type:"&amp;B553,"%","%25"),"~","%7E"),"*","%2A"),"?","%3F")))&gt;1,"Duplicate type",IF(INDEX('Rules'!$F$7:$F$26,MATCH(SUBSTITUTE(SUBSTITUTE(SUBSTITUTE(SUBSTITUTE("type:"&amp;B553,"%","%25"),"~","%7E"),"*","%2A"),"?","%3F"),'Rules'!$G$7:$G$26,0))&lt;&gt;"",INDEX('Rules'!$F$7:$F$26,MATCH(SUBSTITUTE(SUBSTITUTE(SUBSTITUTE(SUBSTITUTE("type:"&amp;B553,"%","%25"),"~","%7E"),"*","%2A"),"?","%3F"),'Rules'!$G$7:$G$26,0)),IF(AND(C553&lt;&gt;"",C553&lt;&gt;INDEX('Rules'!$B$7:$B$26,MATCH(SUBSTITUTE(SUBSTITUTE(SUBSTITUTE(SUBSTITUTE("type:"&amp;B553,"%","%25"),"~","%7E"),"*","%2A"),"?","%3F"),'Rules'!$G$7:$G$26,0))),"Unit mismatch",IF(IF(NOT(ISNUMBER(D553)),TRUE,OR(D553&lt;0,D553&gt;999999999,ROUND(D553,3)&lt;&gt;D553)),"Invalid current reading",IF(AND(E553&lt;&gt;"",IF(NOT(ISNUMBER(E553)),TRUE,OR(E553&lt;0,E553&gt;999999999,ROUND(E553,3)&lt;&gt;E553))),"Invalid previous reading",IF(IF(NOT(ISNUMBER(F553)),TRUE,OR(F553&lt;0,F553&gt;999999999,ROUND(F553,3)&lt;&gt;F553)),"Invalid last service",IF(AND(E553&lt;&gt;"",D553&lt;E553),"Decreased reading",IF(F553&gt;D553,"Last service above current","")))))))))))))</x:f>
      </x:c>
      <x:c r="L553" s="6" t="str">
        <x:f>IF(AND(NOT(COUNTA(A553:F553)=0),K553=""),INDEX('Rules'!$C$7:$C$26,MATCH(SUBSTITUTE(SUBSTITUTE(SUBSTITUTE(SUBSTITUTE("type:"&amp;B553,"%","%25"),"~","%7E"),"*","%2A"),"?","%3F"),'Rules'!$G$7:$G$26,0)),"")</x:f>
      </x:c>
      <x:c r="M553" s="6" t="str">
        <x:f>IF(AND(NOT(COUNTA(A553:F553)=0),K553=""),INDEX('Rules'!$D$7:$D$26,MATCH(SUBSTITUTE(SUBSTITUTE(SUBSTITUTE(SUBSTITUTE("type:"&amp;B553,"%","%25"),"~","%7E"),"*","%2A"),"?","%3F"),'Rules'!$G$7:$G$26,0)),"")</x:f>
      </x:c>
      <x:c r="N553" s="5" t="str">
        <x:f>IF(COUNTA(A553:F553)=0,"",SUBSTITUTE(SUBSTITUTE(SUBSTITUTE(SUBSTITUTE("id:"&amp;A553,"%","%25"),"~","%7E"),"*","%2A"),"?","%3F"))</x:f>
      </x:c>
    </x:row>
    <x:row r="554" ht="22" customHeight="1">
      <x:c r="A554" s="3"/>
      <x:c r="B554" s="3"/>
      <x:c r="C554" s="3"/>
      <x:c r="D554" s="4"/>
      <x:c r="E554" s="4"/>
      <x:c r="F554" s="4"/>
      <x:c r="G554" s="5" t="str">
        <x:f>IF(COUNTA(A554:F554)=0,"",IF(K554&lt;&gt;"","Review",IF(I554&lt;0,"Overdue",IF(I554=0,"Due now",IF(I554&lt;=M554,"Due soon","Not due")))))</x:f>
      </x:c>
      <x:c r="H554" s="5" t="str">
        <x:f>IF(OR(COUNTA(A554:F554)=0,COUNTIFS('Rules'!$G$7:$G$26,"="&amp;(SUBSTITUTE(SUBSTITUTE(SUBSTITUTE(SUBSTITUTE("type:"&amp;B554,"%","%25"),"~","%7E"),"*","%2A"),"?","%3F")))&lt;&gt;1),"",IF(OR(INDEX('Rules'!$B$7:$B$26,MATCH(SUBSTITUTE(SUBSTITUTE(SUBSTITUTE(SUBSTITUTE("type:"&amp;B554,"%","%25"),"~","%7E"),"*","%2A"),"?","%3F"),'Rules'!$G$7:$G$26,0))="hours",INDEX('Rules'!$B$7:$B$26,MATCH(SUBSTITUTE(SUBSTITUTE(SUBSTITUTE(SUBSTITUTE("type:"&amp;B554,"%","%25"),"~","%7E"),"*","%2A"),"?","%3F"),'Rules'!$G$7:$G$26,0))="km"),INDEX('Rules'!$B$7:$B$26,MATCH(SUBSTITUTE(SUBSTITUTE(SUBSTITUTE(SUBSTITUTE("type:"&amp;B554,"%","%25"),"~","%7E"),"*","%2A"),"?","%3F"),'Rules'!$G$7:$G$26,0)),""))</x:f>
      </x:c>
      <x:c r="I554" s="6" t="str">
        <x:f>IF(AND(NOT(COUNTA(A554:F554)=0),K554=""),ROUND(J554-D554,3),"")</x:f>
      </x:c>
      <x:c r="J554" s="6" t="str">
        <x:f>IF(AND(NOT(COUNTA(A554:F554)=0),K554=""),ROUND(F554+L554,3),"")</x:f>
      </x:c>
      <x:c r="K554" s="5" t="str">
        <x:f>IF(COUNTA(A554:F554)=0,"",IF(A554="","Missing equipment ID",IF(COUNTIFS($N$8:$N$2007,"="&amp;N554)&gt;1,"Duplicate equipment ID",IF(B554="","Missing type",IF(COUNTIFS('Rules'!$G$7:$G$26,"="&amp;(SUBSTITUTE(SUBSTITUTE(SUBSTITUTE(SUBSTITUTE("type:"&amp;B554,"%","%25"),"~","%7E"),"*","%2A"),"?","%3F")))=0,"Unknown type",IF(COUNTIFS('Rules'!$G$7:$G$26,"="&amp;(SUBSTITUTE(SUBSTITUTE(SUBSTITUTE(SUBSTITUTE("type:"&amp;B554,"%","%25"),"~","%7E"),"*","%2A"),"?","%3F")))&gt;1,"Duplicate type",IF(INDEX('Rules'!$F$7:$F$26,MATCH(SUBSTITUTE(SUBSTITUTE(SUBSTITUTE(SUBSTITUTE("type:"&amp;B554,"%","%25"),"~","%7E"),"*","%2A"),"?","%3F"),'Rules'!$G$7:$G$26,0))&lt;&gt;"",INDEX('Rules'!$F$7:$F$26,MATCH(SUBSTITUTE(SUBSTITUTE(SUBSTITUTE(SUBSTITUTE("type:"&amp;B554,"%","%25"),"~","%7E"),"*","%2A"),"?","%3F"),'Rules'!$G$7:$G$26,0)),IF(AND(C554&lt;&gt;"",C554&lt;&gt;INDEX('Rules'!$B$7:$B$26,MATCH(SUBSTITUTE(SUBSTITUTE(SUBSTITUTE(SUBSTITUTE("type:"&amp;B554,"%","%25"),"~","%7E"),"*","%2A"),"?","%3F"),'Rules'!$G$7:$G$26,0))),"Unit mismatch",IF(IF(NOT(ISNUMBER(D554)),TRUE,OR(D554&lt;0,D554&gt;999999999,ROUND(D554,3)&lt;&gt;D554)),"Invalid current reading",IF(AND(E554&lt;&gt;"",IF(NOT(ISNUMBER(E554)),TRUE,OR(E554&lt;0,E554&gt;999999999,ROUND(E554,3)&lt;&gt;E554))),"Invalid previous reading",IF(IF(NOT(ISNUMBER(F554)),TRUE,OR(F554&lt;0,F554&gt;999999999,ROUND(F554,3)&lt;&gt;F554)),"Invalid last service",IF(AND(E554&lt;&gt;"",D554&lt;E554),"Decreased reading",IF(F554&gt;D554,"Last service above current","")))))))))))))</x:f>
      </x:c>
      <x:c r="L554" s="6" t="str">
        <x:f>IF(AND(NOT(COUNTA(A554:F554)=0),K554=""),INDEX('Rules'!$C$7:$C$26,MATCH(SUBSTITUTE(SUBSTITUTE(SUBSTITUTE(SUBSTITUTE("type:"&amp;B554,"%","%25"),"~","%7E"),"*","%2A"),"?","%3F"),'Rules'!$G$7:$G$26,0)),"")</x:f>
      </x:c>
      <x:c r="M554" s="6" t="str">
        <x:f>IF(AND(NOT(COUNTA(A554:F554)=0),K554=""),INDEX('Rules'!$D$7:$D$26,MATCH(SUBSTITUTE(SUBSTITUTE(SUBSTITUTE(SUBSTITUTE("type:"&amp;B554,"%","%25"),"~","%7E"),"*","%2A"),"?","%3F"),'Rules'!$G$7:$G$26,0)),"")</x:f>
      </x:c>
      <x:c r="N554" s="5" t="str">
        <x:f>IF(COUNTA(A554:F554)=0,"",SUBSTITUTE(SUBSTITUTE(SUBSTITUTE(SUBSTITUTE("id:"&amp;A554,"%","%25"),"~","%7E"),"*","%2A"),"?","%3F"))</x:f>
      </x:c>
    </x:row>
    <x:row r="555" ht="22" customHeight="1">
      <x:c r="A555" s="3"/>
      <x:c r="B555" s="3"/>
      <x:c r="C555" s="3"/>
      <x:c r="D555" s="4"/>
      <x:c r="E555" s="4"/>
      <x:c r="F555" s="4"/>
      <x:c r="G555" s="5" t="str">
        <x:f>IF(COUNTA(A555:F555)=0,"",IF(K555&lt;&gt;"","Review",IF(I555&lt;0,"Overdue",IF(I555=0,"Due now",IF(I555&lt;=M555,"Due soon","Not due")))))</x:f>
      </x:c>
      <x:c r="H555" s="5" t="str">
        <x:f>IF(OR(COUNTA(A555:F555)=0,COUNTIFS('Rules'!$G$7:$G$26,"="&amp;(SUBSTITUTE(SUBSTITUTE(SUBSTITUTE(SUBSTITUTE("type:"&amp;B555,"%","%25"),"~","%7E"),"*","%2A"),"?","%3F")))&lt;&gt;1),"",IF(OR(INDEX('Rules'!$B$7:$B$26,MATCH(SUBSTITUTE(SUBSTITUTE(SUBSTITUTE(SUBSTITUTE("type:"&amp;B555,"%","%25"),"~","%7E"),"*","%2A"),"?","%3F"),'Rules'!$G$7:$G$26,0))="hours",INDEX('Rules'!$B$7:$B$26,MATCH(SUBSTITUTE(SUBSTITUTE(SUBSTITUTE(SUBSTITUTE("type:"&amp;B555,"%","%25"),"~","%7E"),"*","%2A"),"?","%3F"),'Rules'!$G$7:$G$26,0))="km"),INDEX('Rules'!$B$7:$B$26,MATCH(SUBSTITUTE(SUBSTITUTE(SUBSTITUTE(SUBSTITUTE("type:"&amp;B555,"%","%25"),"~","%7E"),"*","%2A"),"?","%3F"),'Rules'!$G$7:$G$26,0)),""))</x:f>
      </x:c>
      <x:c r="I555" s="6" t="str">
        <x:f>IF(AND(NOT(COUNTA(A555:F555)=0),K555=""),ROUND(J555-D555,3),"")</x:f>
      </x:c>
      <x:c r="J555" s="6" t="str">
        <x:f>IF(AND(NOT(COUNTA(A555:F555)=0),K555=""),ROUND(F555+L555,3),"")</x:f>
      </x:c>
      <x:c r="K555" s="5" t="str">
        <x:f>IF(COUNTA(A555:F555)=0,"",IF(A555="","Missing equipment ID",IF(COUNTIFS($N$8:$N$2007,"="&amp;N555)&gt;1,"Duplicate equipment ID",IF(B555="","Missing type",IF(COUNTIFS('Rules'!$G$7:$G$26,"="&amp;(SUBSTITUTE(SUBSTITUTE(SUBSTITUTE(SUBSTITUTE("type:"&amp;B555,"%","%25"),"~","%7E"),"*","%2A"),"?","%3F")))=0,"Unknown type",IF(COUNTIFS('Rules'!$G$7:$G$26,"="&amp;(SUBSTITUTE(SUBSTITUTE(SUBSTITUTE(SUBSTITUTE("type:"&amp;B555,"%","%25"),"~","%7E"),"*","%2A"),"?","%3F")))&gt;1,"Duplicate type",IF(INDEX('Rules'!$F$7:$F$26,MATCH(SUBSTITUTE(SUBSTITUTE(SUBSTITUTE(SUBSTITUTE("type:"&amp;B555,"%","%25"),"~","%7E"),"*","%2A"),"?","%3F"),'Rules'!$G$7:$G$26,0))&lt;&gt;"",INDEX('Rules'!$F$7:$F$26,MATCH(SUBSTITUTE(SUBSTITUTE(SUBSTITUTE(SUBSTITUTE("type:"&amp;B555,"%","%25"),"~","%7E"),"*","%2A"),"?","%3F"),'Rules'!$G$7:$G$26,0)),IF(AND(C555&lt;&gt;"",C555&lt;&gt;INDEX('Rules'!$B$7:$B$26,MATCH(SUBSTITUTE(SUBSTITUTE(SUBSTITUTE(SUBSTITUTE("type:"&amp;B555,"%","%25"),"~","%7E"),"*","%2A"),"?","%3F"),'Rules'!$G$7:$G$26,0))),"Unit mismatch",IF(IF(NOT(ISNUMBER(D555)),TRUE,OR(D555&lt;0,D555&gt;999999999,ROUND(D555,3)&lt;&gt;D555)),"Invalid current reading",IF(AND(E555&lt;&gt;"",IF(NOT(ISNUMBER(E555)),TRUE,OR(E555&lt;0,E555&gt;999999999,ROUND(E555,3)&lt;&gt;E555))),"Invalid previous reading",IF(IF(NOT(ISNUMBER(F555)),TRUE,OR(F555&lt;0,F555&gt;999999999,ROUND(F555,3)&lt;&gt;F555)),"Invalid last service",IF(AND(E555&lt;&gt;"",D555&lt;E555),"Decreased reading",IF(F555&gt;D555,"Last service above current","")))))))))))))</x:f>
      </x:c>
      <x:c r="L555" s="6" t="str">
        <x:f>IF(AND(NOT(COUNTA(A555:F555)=0),K555=""),INDEX('Rules'!$C$7:$C$26,MATCH(SUBSTITUTE(SUBSTITUTE(SUBSTITUTE(SUBSTITUTE("type:"&amp;B555,"%","%25"),"~","%7E"),"*","%2A"),"?","%3F"),'Rules'!$G$7:$G$26,0)),"")</x:f>
      </x:c>
      <x:c r="M555" s="6" t="str">
        <x:f>IF(AND(NOT(COUNTA(A555:F555)=0),K555=""),INDEX('Rules'!$D$7:$D$26,MATCH(SUBSTITUTE(SUBSTITUTE(SUBSTITUTE(SUBSTITUTE("type:"&amp;B555,"%","%25"),"~","%7E"),"*","%2A"),"?","%3F"),'Rules'!$G$7:$G$26,0)),"")</x:f>
      </x:c>
      <x:c r="N555" s="5" t="str">
        <x:f>IF(COUNTA(A555:F555)=0,"",SUBSTITUTE(SUBSTITUTE(SUBSTITUTE(SUBSTITUTE("id:"&amp;A555,"%","%25"),"~","%7E"),"*","%2A"),"?","%3F"))</x:f>
      </x:c>
    </x:row>
    <x:row r="556" ht="22" customHeight="1">
      <x:c r="A556" s="3"/>
      <x:c r="B556" s="3"/>
      <x:c r="C556" s="3"/>
      <x:c r="D556" s="4"/>
      <x:c r="E556" s="4"/>
      <x:c r="F556" s="4"/>
      <x:c r="G556" s="5" t="str">
        <x:f>IF(COUNTA(A556:F556)=0,"",IF(K556&lt;&gt;"","Review",IF(I556&lt;0,"Overdue",IF(I556=0,"Due now",IF(I556&lt;=M556,"Due soon","Not due")))))</x:f>
      </x:c>
      <x:c r="H556" s="5" t="str">
        <x:f>IF(OR(COUNTA(A556:F556)=0,COUNTIFS('Rules'!$G$7:$G$26,"="&amp;(SUBSTITUTE(SUBSTITUTE(SUBSTITUTE(SUBSTITUTE("type:"&amp;B556,"%","%25"),"~","%7E"),"*","%2A"),"?","%3F")))&lt;&gt;1),"",IF(OR(INDEX('Rules'!$B$7:$B$26,MATCH(SUBSTITUTE(SUBSTITUTE(SUBSTITUTE(SUBSTITUTE("type:"&amp;B556,"%","%25"),"~","%7E"),"*","%2A"),"?","%3F"),'Rules'!$G$7:$G$26,0))="hours",INDEX('Rules'!$B$7:$B$26,MATCH(SUBSTITUTE(SUBSTITUTE(SUBSTITUTE(SUBSTITUTE("type:"&amp;B556,"%","%25"),"~","%7E"),"*","%2A"),"?","%3F"),'Rules'!$G$7:$G$26,0))="km"),INDEX('Rules'!$B$7:$B$26,MATCH(SUBSTITUTE(SUBSTITUTE(SUBSTITUTE(SUBSTITUTE("type:"&amp;B556,"%","%25"),"~","%7E"),"*","%2A"),"?","%3F"),'Rules'!$G$7:$G$26,0)),""))</x:f>
      </x:c>
      <x:c r="I556" s="6" t="str">
        <x:f>IF(AND(NOT(COUNTA(A556:F556)=0),K556=""),ROUND(J556-D556,3),"")</x:f>
      </x:c>
      <x:c r="J556" s="6" t="str">
        <x:f>IF(AND(NOT(COUNTA(A556:F556)=0),K556=""),ROUND(F556+L556,3),"")</x:f>
      </x:c>
      <x:c r="K556" s="5" t="str">
        <x:f>IF(COUNTA(A556:F556)=0,"",IF(A556="","Missing equipment ID",IF(COUNTIFS($N$8:$N$2007,"="&amp;N556)&gt;1,"Duplicate equipment ID",IF(B556="","Missing type",IF(COUNTIFS('Rules'!$G$7:$G$26,"="&amp;(SUBSTITUTE(SUBSTITUTE(SUBSTITUTE(SUBSTITUTE("type:"&amp;B556,"%","%25"),"~","%7E"),"*","%2A"),"?","%3F")))=0,"Unknown type",IF(COUNTIFS('Rules'!$G$7:$G$26,"="&amp;(SUBSTITUTE(SUBSTITUTE(SUBSTITUTE(SUBSTITUTE("type:"&amp;B556,"%","%25"),"~","%7E"),"*","%2A"),"?","%3F")))&gt;1,"Duplicate type",IF(INDEX('Rules'!$F$7:$F$26,MATCH(SUBSTITUTE(SUBSTITUTE(SUBSTITUTE(SUBSTITUTE("type:"&amp;B556,"%","%25"),"~","%7E"),"*","%2A"),"?","%3F"),'Rules'!$G$7:$G$26,0))&lt;&gt;"",INDEX('Rules'!$F$7:$F$26,MATCH(SUBSTITUTE(SUBSTITUTE(SUBSTITUTE(SUBSTITUTE("type:"&amp;B556,"%","%25"),"~","%7E"),"*","%2A"),"?","%3F"),'Rules'!$G$7:$G$26,0)),IF(AND(C556&lt;&gt;"",C556&lt;&gt;INDEX('Rules'!$B$7:$B$26,MATCH(SUBSTITUTE(SUBSTITUTE(SUBSTITUTE(SUBSTITUTE("type:"&amp;B556,"%","%25"),"~","%7E"),"*","%2A"),"?","%3F"),'Rules'!$G$7:$G$26,0))),"Unit mismatch",IF(IF(NOT(ISNUMBER(D556)),TRUE,OR(D556&lt;0,D556&gt;999999999,ROUND(D556,3)&lt;&gt;D556)),"Invalid current reading",IF(AND(E556&lt;&gt;"",IF(NOT(ISNUMBER(E556)),TRUE,OR(E556&lt;0,E556&gt;999999999,ROUND(E556,3)&lt;&gt;E556))),"Invalid previous reading",IF(IF(NOT(ISNUMBER(F556)),TRUE,OR(F556&lt;0,F556&gt;999999999,ROUND(F556,3)&lt;&gt;F556)),"Invalid last service",IF(AND(E556&lt;&gt;"",D556&lt;E556),"Decreased reading",IF(F556&gt;D556,"Last service above current","")))))))))))))</x:f>
      </x:c>
      <x:c r="L556" s="6" t="str">
        <x:f>IF(AND(NOT(COUNTA(A556:F556)=0),K556=""),INDEX('Rules'!$C$7:$C$26,MATCH(SUBSTITUTE(SUBSTITUTE(SUBSTITUTE(SUBSTITUTE("type:"&amp;B556,"%","%25"),"~","%7E"),"*","%2A"),"?","%3F"),'Rules'!$G$7:$G$26,0)),"")</x:f>
      </x:c>
      <x:c r="M556" s="6" t="str">
        <x:f>IF(AND(NOT(COUNTA(A556:F556)=0),K556=""),INDEX('Rules'!$D$7:$D$26,MATCH(SUBSTITUTE(SUBSTITUTE(SUBSTITUTE(SUBSTITUTE("type:"&amp;B556,"%","%25"),"~","%7E"),"*","%2A"),"?","%3F"),'Rules'!$G$7:$G$26,0)),"")</x:f>
      </x:c>
      <x:c r="N556" s="5" t="str">
        <x:f>IF(COUNTA(A556:F556)=0,"",SUBSTITUTE(SUBSTITUTE(SUBSTITUTE(SUBSTITUTE("id:"&amp;A556,"%","%25"),"~","%7E"),"*","%2A"),"?","%3F"))</x:f>
      </x:c>
    </x:row>
    <x:row r="557" ht="22" customHeight="1">
      <x:c r="A557" s="3"/>
      <x:c r="B557" s="3"/>
      <x:c r="C557" s="3"/>
      <x:c r="D557" s="4"/>
      <x:c r="E557" s="4"/>
      <x:c r="F557" s="4"/>
      <x:c r="G557" s="5" t="str">
        <x:f>IF(COUNTA(A557:F557)=0,"",IF(K557&lt;&gt;"","Review",IF(I557&lt;0,"Overdue",IF(I557=0,"Due now",IF(I557&lt;=M557,"Due soon","Not due")))))</x:f>
      </x:c>
      <x:c r="H557" s="5" t="str">
        <x:f>IF(OR(COUNTA(A557:F557)=0,COUNTIFS('Rules'!$G$7:$G$26,"="&amp;(SUBSTITUTE(SUBSTITUTE(SUBSTITUTE(SUBSTITUTE("type:"&amp;B557,"%","%25"),"~","%7E"),"*","%2A"),"?","%3F")))&lt;&gt;1),"",IF(OR(INDEX('Rules'!$B$7:$B$26,MATCH(SUBSTITUTE(SUBSTITUTE(SUBSTITUTE(SUBSTITUTE("type:"&amp;B557,"%","%25"),"~","%7E"),"*","%2A"),"?","%3F"),'Rules'!$G$7:$G$26,0))="hours",INDEX('Rules'!$B$7:$B$26,MATCH(SUBSTITUTE(SUBSTITUTE(SUBSTITUTE(SUBSTITUTE("type:"&amp;B557,"%","%25"),"~","%7E"),"*","%2A"),"?","%3F"),'Rules'!$G$7:$G$26,0))="km"),INDEX('Rules'!$B$7:$B$26,MATCH(SUBSTITUTE(SUBSTITUTE(SUBSTITUTE(SUBSTITUTE("type:"&amp;B557,"%","%25"),"~","%7E"),"*","%2A"),"?","%3F"),'Rules'!$G$7:$G$26,0)),""))</x:f>
      </x:c>
      <x:c r="I557" s="6" t="str">
        <x:f>IF(AND(NOT(COUNTA(A557:F557)=0),K557=""),ROUND(J557-D557,3),"")</x:f>
      </x:c>
      <x:c r="J557" s="6" t="str">
        <x:f>IF(AND(NOT(COUNTA(A557:F557)=0),K557=""),ROUND(F557+L557,3),"")</x:f>
      </x:c>
      <x:c r="K557" s="5" t="str">
        <x:f>IF(COUNTA(A557:F557)=0,"",IF(A557="","Missing equipment ID",IF(COUNTIFS($N$8:$N$2007,"="&amp;N557)&gt;1,"Duplicate equipment ID",IF(B557="","Missing type",IF(COUNTIFS('Rules'!$G$7:$G$26,"="&amp;(SUBSTITUTE(SUBSTITUTE(SUBSTITUTE(SUBSTITUTE("type:"&amp;B557,"%","%25"),"~","%7E"),"*","%2A"),"?","%3F")))=0,"Unknown type",IF(COUNTIFS('Rules'!$G$7:$G$26,"="&amp;(SUBSTITUTE(SUBSTITUTE(SUBSTITUTE(SUBSTITUTE("type:"&amp;B557,"%","%25"),"~","%7E"),"*","%2A"),"?","%3F")))&gt;1,"Duplicate type",IF(INDEX('Rules'!$F$7:$F$26,MATCH(SUBSTITUTE(SUBSTITUTE(SUBSTITUTE(SUBSTITUTE("type:"&amp;B557,"%","%25"),"~","%7E"),"*","%2A"),"?","%3F"),'Rules'!$G$7:$G$26,0))&lt;&gt;"",INDEX('Rules'!$F$7:$F$26,MATCH(SUBSTITUTE(SUBSTITUTE(SUBSTITUTE(SUBSTITUTE("type:"&amp;B557,"%","%25"),"~","%7E"),"*","%2A"),"?","%3F"),'Rules'!$G$7:$G$26,0)),IF(AND(C557&lt;&gt;"",C557&lt;&gt;INDEX('Rules'!$B$7:$B$26,MATCH(SUBSTITUTE(SUBSTITUTE(SUBSTITUTE(SUBSTITUTE("type:"&amp;B557,"%","%25"),"~","%7E"),"*","%2A"),"?","%3F"),'Rules'!$G$7:$G$26,0))),"Unit mismatch",IF(IF(NOT(ISNUMBER(D557)),TRUE,OR(D557&lt;0,D557&gt;999999999,ROUND(D557,3)&lt;&gt;D557)),"Invalid current reading",IF(AND(E557&lt;&gt;"",IF(NOT(ISNUMBER(E557)),TRUE,OR(E557&lt;0,E557&gt;999999999,ROUND(E557,3)&lt;&gt;E557))),"Invalid previous reading",IF(IF(NOT(ISNUMBER(F557)),TRUE,OR(F557&lt;0,F557&gt;999999999,ROUND(F557,3)&lt;&gt;F557)),"Invalid last service",IF(AND(E557&lt;&gt;"",D557&lt;E557),"Decreased reading",IF(F557&gt;D557,"Last service above current","")))))))))))))</x:f>
      </x:c>
      <x:c r="L557" s="6" t="str">
        <x:f>IF(AND(NOT(COUNTA(A557:F557)=0),K557=""),INDEX('Rules'!$C$7:$C$26,MATCH(SUBSTITUTE(SUBSTITUTE(SUBSTITUTE(SUBSTITUTE("type:"&amp;B557,"%","%25"),"~","%7E"),"*","%2A"),"?","%3F"),'Rules'!$G$7:$G$26,0)),"")</x:f>
      </x:c>
      <x:c r="M557" s="6" t="str">
        <x:f>IF(AND(NOT(COUNTA(A557:F557)=0),K557=""),INDEX('Rules'!$D$7:$D$26,MATCH(SUBSTITUTE(SUBSTITUTE(SUBSTITUTE(SUBSTITUTE("type:"&amp;B557,"%","%25"),"~","%7E"),"*","%2A"),"?","%3F"),'Rules'!$G$7:$G$26,0)),"")</x:f>
      </x:c>
      <x:c r="N557" s="5" t="str">
        <x:f>IF(COUNTA(A557:F557)=0,"",SUBSTITUTE(SUBSTITUTE(SUBSTITUTE(SUBSTITUTE("id:"&amp;A557,"%","%25"),"~","%7E"),"*","%2A"),"?","%3F"))</x:f>
      </x:c>
    </x:row>
    <x:row r="558" ht="22" customHeight="1">
      <x:c r="A558" s="3"/>
      <x:c r="B558" s="3"/>
      <x:c r="C558" s="3"/>
      <x:c r="D558" s="4"/>
      <x:c r="E558" s="4"/>
      <x:c r="F558" s="4"/>
      <x:c r="G558" s="5" t="str">
        <x:f>IF(COUNTA(A558:F558)=0,"",IF(K558&lt;&gt;"","Review",IF(I558&lt;0,"Overdue",IF(I558=0,"Due now",IF(I558&lt;=M558,"Due soon","Not due")))))</x:f>
      </x:c>
      <x:c r="H558" s="5" t="str">
        <x:f>IF(OR(COUNTA(A558:F558)=0,COUNTIFS('Rules'!$G$7:$G$26,"="&amp;(SUBSTITUTE(SUBSTITUTE(SUBSTITUTE(SUBSTITUTE("type:"&amp;B558,"%","%25"),"~","%7E"),"*","%2A"),"?","%3F")))&lt;&gt;1),"",IF(OR(INDEX('Rules'!$B$7:$B$26,MATCH(SUBSTITUTE(SUBSTITUTE(SUBSTITUTE(SUBSTITUTE("type:"&amp;B558,"%","%25"),"~","%7E"),"*","%2A"),"?","%3F"),'Rules'!$G$7:$G$26,0))="hours",INDEX('Rules'!$B$7:$B$26,MATCH(SUBSTITUTE(SUBSTITUTE(SUBSTITUTE(SUBSTITUTE("type:"&amp;B558,"%","%25"),"~","%7E"),"*","%2A"),"?","%3F"),'Rules'!$G$7:$G$26,0))="km"),INDEX('Rules'!$B$7:$B$26,MATCH(SUBSTITUTE(SUBSTITUTE(SUBSTITUTE(SUBSTITUTE("type:"&amp;B558,"%","%25"),"~","%7E"),"*","%2A"),"?","%3F"),'Rules'!$G$7:$G$26,0)),""))</x:f>
      </x:c>
      <x:c r="I558" s="6" t="str">
        <x:f>IF(AND(NOT(COUNTA(A558:F558)=0),K558=""),ROUND(J558-D558,3),"")</x:f>
      </x:c>
      <x:c r="J558" s="6" t="str">
        <x:f>IF(AND(NOT(COUNTA(A558:F558)=0),K558=""),ROUND(F558+L558,3),"")</x:f>
      </x:c>
      <x:c r="K558" s="5" t="str">
        <x:f>IF(COUNTA(A558:F558)=0,"",IF(A558="","Missing equipment ID",IF(COUNTIFS($N$8:$N$2007,"="&amp;N558)&gt;1,"Duplicate equipment ID",IF(B558="","Missing type",IF(COUNTIFS('Rules'!$G$7:$G$26,"="&amp;(SUBSTITUTE(SUBSTITUTE(SUBSTITUTE(SUBSTITUTE("type:"&amp;B558,"%","%25"),"~","%7E"),"*","%2A"),"?","%3F")))=0,"Unknown type",IF(COUNTIFS('Rules'!$G$7:$G$26,"="&amp;(SUBSTITUTE(SUBSTITUTE(SUBSTITUTE(SUBSTITUTE("type:"&amp;B558,"%","%25"),"~","%7E"),"*","%2A"),"?","%3F")))&gt;1,"Duplicate type",IF(INDEX('Rules'!$F$7:$F$26,MATCH(SUBSTITUTE(SUBSTITUTE(SUBSTITUTE(SUBSTITUTE("type:"&amp;B558,"%","%25"),"~","%7E"),"*","%2A"),"?","%3F"),'Rules'!$G$7:$G$26,0))&lt;&gt;"",INDEX('Rules'!$F$7:$F$26,MATCH(SUBSTITUTE(SUBSTITUTE(SUBSTITUTE(SUBSTITUTE("type:"&amp;B558,"%","%25"),"~","%7E"),"*","%2A"),"?","%3F"),'Rules'!$G$7:$G$26,0)),IF(AND(C558&lt;&gt;"",C558&lt;&gt;INDEX('Rules'!$B$7:$B$26,MATCH(SUBSTITUTE(SUBSTITUTE(SUBSTITUTE(SUBSTITUTE("type:"&amp;B558,"%","%25"),"~","%7E"),"*","%2A"),"?","%3F"),'Rules'!$G$7:$G$26,0))),"Unit mismatch",IF(IF(NOT(ISNUMBER(D558)),TRUE,OR(D558&lt;0,D558&gt;999999999,ROUND(D558,3)&lt;&gt;D558)),"Invalid current reading",IF(AND(E558&lt;&gt;"",IF(NOT(ISNUMBER(E558)),TRUE,OR(E558&lt;0,E558&gt;999999999,ROUND(E558,3)&lt;&gt;E558))),"Invalid previous reading",IF(IF(NOT(ISNUMBER(F558)),TRUE,OR(F558&lt;0,F558&gt;999999999,ROUND(F558,3)&lt;&gt;F558)),"Invalid last service",IF(AND(E558&lt;&gt;"",D558&lt;E558),"Decreased reading",IF(F558&gt;D558,"Last service above current","")))))))))))))</x:f>
      </x:c>
      <x:c r="L558" s="6" t="str">
        <x:f>IF(AND(NOT(COUNTA(A558:F558)=0),K558=""),INDEX('Rules'!$C$7:$C$26,MATCH(SUBSTITUTE(SUBSTITUTE(SUBSTITUTE(SUBSTITUTE("type:"&amp;B558,"%","%25"),"~","%7E"),"*","%2A"),"?","%3F"),'Rules'!$G$7:$G$26,0)),"")</x:f>
      </x:c>
      <x:c r="M558" s="6" t="str">
        <x:f>IF(AND(NOT(COUNTA(A558:F558)=0),K558=""),INDEX('Rules'!$D$7:$D$26,MATCH(SUBSTITUTE(SUBSTITUTE(SUBSTITUTE(SUBSTITUTE("type:"&amp;B558,"%","%25"),"~","%7E"),"*","%2A"),"?","%3F"),'Rules'!$G$7:$G$26,0)),"")</x:f>
      </x:c>
      <x:c r="N558" s="5" t="str">
        <x:f>IF(COUNTA(A558:F558)=0,"",SUBSTITUTE(SUBSTITUTE(SUBSTITUTE(SUBSTITUTE("id:"&amp;A558,"%","%25"),"~","%7E"),"*","%2A"),"?","%3F"))</x:f>
      </x:c>
    </x:row>
    <x:row r="559" ht="22" customHeight="1">
      <x:c r="A559" s="3"/>
      <x:c r="B559" s="3"/>
      <x:c r="C559" s="3"/>
      <x:c r="D559" s="4"/>
      <x:c r="E559" s="4"/>
      <x:c r="F559" s="4"/>
      <x:c r="G559" s="5" t="str">
        <x:f>IF(COUNTA(A559:F559)=0,"",IF(K559&lt;&gt;"","Review",IF(I559&lt;0,"Overdue",IF(I559=0,"Due now",IF(I559&lt;=M559,"Due soon","Not due")))))</x:f>
      </x:c>
      <x:c r="H559" s="5" t="str">
        <x:f>IF(OR(COUNTA(A559:F559)=0,COUNTIFS('Rules'!$G$7:$G$26,"="&amp;(SUBSTITUTE(SUBSTITUTE(SUBSTITUTE(SUBSTITUTE("type:"&amp;B559,"%","%25"),"~","%7E"),"*","%2A"),"?","%3F")))&lt;&gt;1),"",IF(OR(INDEX('Rules'!$B$7:$B$26,MATCH(SUBSTITUTE(SUBSTITUTE(SUBSTITUTE(SUBSTITUTE("type:"&amp;B559,"%","%25"),"~","%7E"),"*","%2A"),"?","%3F"),'Rules'!$G$7:$G$26,0))="hours",INDEX('Rules'!$B$7:$B$26,MATCH(SUBSTITUTE(SUBSTITUTE(SUBSTITUTE(SUBSTITUTE("type:"&amp;B559,"%","%25"),"~","%7E"),"*","%2A"),"?","%3F"),'Rules'!$G$7:$G$26,0))="km"),INDEX('Rules'!$B$7:$B$26,MATCH(SUBSTITUTE(SUBSTITUTE(SUBSTITUTE(SUBSTITUTE("type:"&amp;B559,"%","%25"),"~","%7E"),"*","%2A"),"?","%3F"),'Rules'!$G$7:$G$26,0)),""))</x:f>
      </x:c>
      <x:c r="I559" s="6" t="str">
        <x:f>IF(AND(NOT(COUNTA(A559:F559)=0),K559=""),ROUND(J559-D559,3),"")</x:f>
      </x:c>
      <x:c r="J559" s="6" t="str">
        <x:f>IF(AND(NOT(COUNTA(A559:F559)=0),K559=""),ROUND(F559+L559,3),"")</x:f>
      </x:c>
      <x:c r="K559" s="5" t="str">
        <x:f>IF(COUNTA(A559:F559)=0,"",IF(A559="","Missing equipment ID",IF(COUNTIFS($N$8:$N$2007,"="&amp;N559)&gt;1,"Duplicate equipment ID",IF(B559="","Missing type",IF(COUNTIFS('Rules'!$G$7:$G$26,"="&amp;(SUBSTITUTE(SUBSTITUTE(SUBSTITUTE(SUBSTITUTE("type:"&amp;B559,"%","%25"),"~","%7E"),"*","%2A"),"?","%3F")))=0,"Unknown type",IF(COUNTIFS('Rules'!$G$7:$G$26,"="&amp;(SUBSTITUTE(SUBSTITUTE(SUBSTITUTE(SUBSTITUTE("type:"&amp;B559,"%","%25"),"~","%7E"),"*","%2A"),"?","%3F")))&gt;1,"Duplicate type",IF(INDEX('Rules'!$F$7:$F$26,MATCH(SUBSTITUTE(SUBSTITUTE(SUBSTITUTE(SUBSTITUTE("type:"&amp;B559,"%","%25"),"~","%7E"),"*","%2A"),"?","%3F"),'Rules'!$G$7:$G$26,0))&lt;&gt;"",INDEX('Rules'!$F$7:$F$26,MATCH(SUBSTITUTE(SUBSTITUTE(SUBSTITUTE(SUBSTITUTE("type:"&amp;B559,"%","%25"),"~","%7E"),"*","%2A"),"?","%3F"),'Rules'!$G$7:$G$26,0)),IF(AND(C559&lt;&gt;"",C559&lt;&gt;INDEX('Rules'!$B$7:$B$26,MATCH(SUBSTITUTE(SUBSTITUTE(SUBSTITUTE(SUBSTITUTE("type:"&amp;B559,"%","%25"),"~","%7E"),"*","%2A"),"?","%3F"),'Rules'!$G$7:$G$26,0))),"Unit mismatch",IF(IF(NOT(ISNUMBER(D559)),TRUE,OR(D559&lt;0,D559&gt;999999999,ROUND(D559,3)&lt;&gt;D559)),"Invalid current reading",IF(AND(E559&lt;&gt;"",IF(NOT(ISNUMBER(E559)),TRUE,OR(E559&lt;0,E559&gt;999999999,ROUND(E559,3)&lt;&gt;E559))),"Invalid previous reading",IF(IF(NOT(ISNUMBER(F559)),TRUE,OR(F559&lt;0,F559&gt;999999999,ROUND(F559,3)&lt;&gt;F559)),"Invalid last service",IF(AND(E559&lt;&gt;"",D559&lt;E559),"Decreased reading",IF(F559&gt;D559,"Last service above current","")))))))))))))</x:f>
      </x:c>
      <x:c r="L559" s="6" t="str">
        <x:f>IF(AND(NOT(COUNTA(A559:F559)=0),K559=""),INDEX('Rules'!$C$7:$C$26,MATCH(SUBSTITUTE(SUBSTITUTE(SUBSTITUTE(SUBSTITUTE("type:"&amp;B559,"%","%25"),"~","%7E"),"*","%2A"),"?","%3F"),'Rules'!$G$7:$G$26,0)),"")</x:f>
      </x:c>
      <x:c r="M559" s="6" t="str">
        <x:f>IF(AND(NOT(COUNTA(A559:F559)=0),K559=""),INDEX('Rules'!$D$7:$D$26,MATCH(SUBSTITUTE(SUBSTITUTE(SUBSTITUTE(SUBSTITUTE("type:"&amp;B559,"%","%25"),"~","%7E"),"*","%2A"),"?","%3F"),'Rules'!$G$7:$G$26,0)),"")</x:f>
      </x:c>
      <x:c r="N559" s="5" t="str">
        <x:f>IF(COUNTA(A559:F559)=0,"",SUBSTITUTE(SUBSTITUTE(SUBSTITUTE(SUBSTITUTE("id:"&amp;A559,"%","%25"),"~","%7E"),"*","%2A"),"?","%3F"))</x:f>
      </x:c>
    </x:row>
    <x:row r="560" ht="22" customHeight="1">
      <x:c r="A560" s="3"/>
      <x:c r="B560" s="3"/>
      <x:c r="C560" s="3"/>
      <x:c r="D560" s="4"/>
      <x:c r="E560" s="4"/>
      <x:c r="F560" s="4"/>
      <x:c r="G560" s="5" t="str">
        <x:f>IF(COUNTA(A560:F560)=0,"",IF(K560&lt;&gt;"","Review",IF(I560&lt;0,"Overdue",IF(I560=0,"Due now",IF(I560&lt;=M560,"Due soon","Not due")))))</x:f>
      </x:c>
      <x:c r="H560" s="5" t="str">
        <x:f>IF(OR(COUNTA(A560:F560)=0,COUNTIFS('Rules'!$G$7:$G$26,"="&amp;(SUBSTITUTE(SUBSTITUTE(SUBSTITUTE(SUBSTITUTE("type:"&amp;B560,"%","%25"),"~","%7E"),"*","%2A"),"?","%3F")))&lt;&gt;1),"",IF(OR(INDEX('Rules'!$B$7:$B$26,MATCH(SUBSTITUTE(SUBSTITUTE(SUBSTITUTE(SUBSTITUTE("type:"&amp;B560,"%","%25"),"~","%7E"),"*","%2A"),"?","%3F"),'Rules'!$G$7:$G$26,0))="hours",INDEX('Rules'!$B$7:$B$26,MATCH(SUBSTITUTE(SUBSTITUTE(SUBSTITUTE(SUBSTITUTE("type:"&amp;B560,"%","%25"),"~","%7E"),"*","%2A"),"?","%3F"),'Rules'!$G$7:$G$26,0))="km"),INDEX('Rules'!$B$7:$B$26,MATCH(SUBSTITUTE(SUBSTITUTE(SUBSTITUTE(SUBSTITUTE("type:"&amp;B560,"%","%25"),"~","%7E"),"*","%2A"),"?","%3F"),'Rules'!$G$7:$G$26,0)),""))</x:f>
      </x:c>
      <x:c r="I560" s="6" t="str">
        <x:f>IF(AND(NOT(COUNTA(A560:F560)=0),K560=""),ROUND(J560-D560,3),"")</x:f>
      </x:c>
      <x:c r="J560" s="6" t="str">
        <x:f>IF(AND(NOT(COUNTA(A560:F560)=0),K560=""),ROUND(F560+L560,3),"")</x:f>
      </x:c>
      <x:c r="K560" s="5" t="str">
        <x:f>IF(COUNTA(A560:F560)=0,"",IF(A560="","Missing equipment ID",IF(COUNTIFS($N$8:$N$2007,"="&amp;N560)&gt;1,"Duplicate equipment ID",IF(B560="","Missing type",IF(COUNTIFS('Rules'!$G$7:$G$26,"="&amp;(SUBSTITUTE(SUBSTITUTE(SUBSTITUTE(SUBSTITUTE("type:"&amp;B560,"%","%25"),"~","%7E"),"*","%2A"),"?","%3F")))=0,"Unknown type",IF(COUNTIFS('Rules'!$G$7:$G$26,"="&amp;(SUBSTITUTE(SUBSTITUTE(SUBSTITUTE(SUBSTITUTE("type:"&amp;B560,"%","%25"),"~","%7E"),"*","%2A"),"?","%3F")))&gt;1,"Duplicate type",IF(INDEX('Rules'!$F$7:$F$26,MATCH(SUBSTITUTE(SUBSTITUTE(SUBSTITUTE(SUBSTITUTE("type:"&amp;B560,"%","%25"),"~","%7E"),"*","%2A"),"?","%3F"),'Rules'!$G$7:$G$26,0))&lt;&gt;"",INDEX('Rules'!$F$7:$F$26,MATCH(SUBSTITUTE(SUBSTITUTE(SUBSTITUTE(SUBSTITUTE("type:"&amp;B560,"%","%25"),"~","%7E"),"*","%2A"),"?","%3F"),'Rules'!$G$7:$G$26,0)),IF(AND(C560&lt;&gt;"",C560&lt;&gt;INDEX('Rules'!$B$7:$B$26,MATCH(SUBSTITUTE(SUBSTITUTE(SUBSTITUTE(SUBSTITUTE("type:"&amp;B560,"%","%25"),"~","%7E"),"*","%2A"),"?","%3F"),'Rules'!$G$7:$G$26,0))),"Unit mismatch",IF(IF(NOT(ISNUMBER(D560)),TRUE,OR(D560&lt;0,D560&gt;999999999,ROUND(D560,3)&lt;&gt;D560)),"Invalid current reading",IF(AND(E560&lt;&gt;"",IF(NOT(ISNUMBER(E560)),TRUE,OR(E560&lt;0,E560&gt;999999999,ROUND(E560,3)&lt;&gt;E560))),"Invalid previous reading",IF(IF(NOT(ISNUMBER(F560)),TRUE,OR(F560&lt;0,F560&gt;999999999,ROUND(F560,3)&lt;&gt;F560)),"Invalid last service",IF(AND(E560&lt;&gt;"",D560&lt;E560),"Decreased reading",IF(F560&gt;D560,"Last service above current","")))))))))))))</x:f>
      </x:c>
      <x:c r="L560" s="6" t="str">
        <x:f>IF(AND(NOT(COUNTA(A560:F560)=0),K560=""),INDEX('Rules'!$C$7:$C$26,MATCH(SUBSTITUTE(SUBSTITUTE(SUBSTITUTE(SUBSTITUTE("type:"&amp;B560,"%","%25"),"~","%7E"),"*","%2A"),"?","%3F"),'Rules'!$G$7:$G$26,0)),"")</x:f>
      </x:c>
      <x:c r="M560" s="6" t="str">
        <x:f>IF(AND(NOT(COUNTA(A560:F560)=0),K560=""),INDEX('Rules'!$D$7:$D$26,MATCH(SUBSTITUTE(SUBSTITUTE(SUBSTITUTE(SUBSTITUTE("type:"&amp;B560,"%","%25"),"~","%7E"),"*","%2A"),"?","%3F"),'Rules'!$G$7:$G$26,0)),"")</x:f>
      </x:c>
      <x:c r="N560" s="5" t="str">
        <x:f>IF(COUNTA(A560:F560)=0,"",SUBSTITUTE(SUBSTITUTE(SUBSTITUTE(SUBSTITUTE("id:"&amp;A560,"%","%25"),"~","%7E"),"*","%2A"),"?","%3F"))</x:f>
      </x:c>
    </x:row>
    <x:row r="561" ht="22" customHeight="1">
      <x:c r="A561" s="3"/>
      <x:c r="B561" s="3"/>
      <x:c r="C561" s="3"/>
      <x:c r="D561" s="4"/>
      <x:c r="E561" s="4"/>
      <x:c r="F561" s="4"/>
      <x:c r="G561" s="5" t="str">
        <x:f>IF(COUNTA(A561:F561)=0,"",IF(K561&lt;&gt;"","Review",IF(I561&lt;0,"Overdue",IF(I561=0,"Due now",IF(I561&lt;=M561,"Due soon","Not due")))))</x:f>
      </x:c>
      <x:c r="H561" s="5" t="str">
        <x:f>IF(OR(COUNTA(A561:F561)=0,COUNTIFS('Rules'!$G$7:$G$26,"="&amp;(SUBSTITUTE(SUBSTITUTE(SUBSTITUTE(SUBSTITUTE("type:"&amp;B561,"%","%25"),"~","%7E"),"*","%2A"),"?","%3F")))&lt;&gt;1),"",IF(OR(INDEX('Rules'!$B$7:$B$26,MATCH(SUBSTITUTE(SUBSTITUTE(SUBSTITUTE(SUBSTITUTE("type:"&amp;B561,"%","%25"),"~","%7E"),"*","%2A"),"?","%3F"),'Rules'!$G$7:$G$26,0))="hours",INDEX('Rules'!$B$7:$B$26,MATCH(SUBSTITUTE(SUBSTITUTE(SUBSTITUTE(SUBSTITUTE("type:"&amp;B561,"%","%25"),"~","%7E"),"*","%2A"),"?","%3F"),'Rules'!$G$7:$G$26,0))="km"),INDEX('Rules'!$B$7:$B$26,MATCH(SUBSTITUTE(SUBSTITUTE(SUBSTITUTE(SUBSTITUTE("type:"&amp;B561,"%","%25"),"~","%7E"),"*","%2A"),"?","%3F"),'Rules'!$G$7:$G$26,0)),""))</x:f>
      </x:c>
      <x:c r="I561" s="6" t="str">
        <x:f>IF(AND(NOT(COUNTA(A561:F561)=0),K561=""),ROUND(J561-D561,3),"")</x:f>
      </x:c>
      <x:c r="J561" s="6" t="str">
        <x:f>IF(AND(NOT(COUNTA(A561:F561)=0),K561=""),ROUND(F561+L561,3),"")</x:f>
      </x:c>
      <x:c r="K561" s="5" t="str">
        <x:f>IF(COUNTA(A561:F561)=0,"",IF(A561="","Missing equipment ID",IF(COUNTIFS($N$8:$N$2007,"="&amp;N561)&gt;1,"Duplicate equipment ID",IF(B561="","Missing type",IF(COUNTIFS('Rules'!$G$7:$G$26,"="&amp;(SUBSTITUTE(SUBSTITUTE(SUBSTITUTE(SUBSTITUTE("type:"&amp;B561,"%","%25"),"~","%7E"),"*","%2A"),"?","%3F")))=0,"Unknown type",IF(COUNTIFS('Rules'!$G$7:$G$26,"="&amp;(SUBSTITUTE(SUBSTITUTE(SUBSTITUTE(SUBSTITUTE("type:"&amp;B561,"%","%25"),"~","%7E"),"*","%2A"),"?","%3F")))&gt;1,"Duplicate type",IF(INDEX('Rules'!$F$7:$F$26,MATCH(SUBSTITUTE(SUBSTITUTE(SUBSTITUTE(SUBSTITUTE("type:"&amp;B561,"%","%25"),"~","%7E"),"*","%2A"),"?","%3F"),'Rules'!$G$7:$G$26,0))&lt;&gt;"",INDEX('Rules'!$F$7:$F$26,MATCH(SUBSTITUTE(SUBSTITUTE(SUBSTITUTE(SUBSTITUTE("type:"&amp;B561,"%","%25"),"~","%7E"),"*","%2A"),"?","%3F"),'Rules'!$G$7:$G$26,0)),IF(AND(C561&lt;&gt;"",C561&lt;&gt;INDEX('Rules'!$B$7:$B$26,MATCH(SUBSTITUTE(SUBSTITUTE(SUBSTITUTE(SUBSTITUTE("type:"&amp;B561,"%","%25"),"~","%7E"),"*","%2A"),"?","%3F"),'Rules'!$G$7:$G$26,0))),"Unit mismatch",IF(IF(NOT(ISNUMBER(D561)),TRUE,OR(D561&lt;0,D561&gt;999999999,ROUND(D561,3)&lt;&gt;D561)),"Invalid current reading",IF(AND(E561&lt;&gt;"",IF(NOT(ISNUMBER(E561)),TRUE,OR(E561&lt;0,E561&gt;999999999,ROUND(E561,3)&lt;&gt;E561))),"Invalid previous reading",IF(IF(NOT(ISNUMBER(F561)),TRUE,OR(F561&lt;0,F561&gt;999999999,ROUND(F561,3)&lt;&gt;F561)),"Invalid last service",IF(AND(E561&lt;&gt;"",D561&lt;E561),"Decreased reading",IF(F561&gt;D561,"Last service above current","")))))))))))))</x:f>
      </x:c>
      <x:c r="L561" s="6" t="str">
        <x:f>IF(AND(NOT(COUNTA(A561:F561)=0),K561=""),INDEX('Rules'!$C$7:$C$26,MATCH(SUBSTITUTE(SUBSTITUTE(SUBSTITUTE(SUBSTITUTE("type:"&amp;B561,"%","%25"),"~","%7E"),"*","%2A"),"?","%3F"),'Rules'!$G$7:$G$26,0)),"")</x:f>
      </x:c>
      <x:c r="M561" s="6" t="str">
        <x:f>IF(AND(NOT(COUNTA(A561:F561)=0),K561=""),INDEX('Rules'!$D$7:$D$26,MATCH(SUBSTITUTE(SUBSTITUTE(SUBSTITUTE(SUBSTITUTE("type:"&amp;B561,"%","%25"),"~","%7E"),"*","%2A"),"?","%3F"),'Rules'!$G$7:$G$26,0)),"")</x:f>
      </x:c>
      <x:c r="N561" s="5" t="str">
        <x:f>IF(COUNTA(A561:F561)=0,"",SUBSTITUTE(SUBSTITUTE(SUBSTITUTE(SUBSTITUTE("id:"&amp;A561,"%","%25"),"~","%7E"),"*","%2A"),"?","%3F"))</x:f>
      </x:c>
    </x:row>
    <x:row r="562" ht="22" customHeight="1">
      <x:c r="A562" s="3"/>
      <x:c r="B562" s="3"/>
      <x:c r="C562" s="3"/>
      <x:c r="D562" s="4"/>
      <x:c r="E562" s="4"/>
      <x:c r="F562" s="4"/>
      <x:c r="G562" s="5" t="str">
        <x:f>IF(COUNTA(A562:F562)=0,"",IF(K562&lt;&gt;"","Review",IF(I562&lt;0,"Overdue",IF(I562=0,"Due now",IF(I562&lt;=M562,"Due soon","Not due")))))</x:f>
      </x:c>
      <x:c r="H562" s="5" t="str">
        <x:f>IF(OR(COUNTA(A562:F562)=0,COUNTIFS('Rules'!$G$7:$G$26,"="&amp;(SUBSTITUTE(SUBSTITUTE(SUBSTITUTE(SUBSTITUTE("type:"&amp;B562,"%","%25"),"~","%7E"),"*","%2A"),"?","%3F")))&lt;&gt;1),"",IF(OR(INDEX('Rules'!$B$7:$B$26,MATCH(SUBSTITUTE(SUBSTITUTE(SUBSTITUTE(SUBSTITUTE("type:"&amp;B562,"%","%25"),"~","%7E"),"*","%2A"),"?","%3F"),'Rules'!$G$7:$G$26,0))="hours",INDEX('Rules'!$B$7:$B$26,MATCH(SUBSTITUTE(SUBSTITUTE(SUBSTITUTE(SUBSTITUTE("type:"&amp;B562,"%","%25"),"~","%7E"),"*","%2A"),"?","%3F"),'Rules'!$G$7:$G$26,0))="km"),INDEX('Rules'!$B$7:$B$26,MATCH(SUBSTITUTE(SUBSTITUTE(SUBSTITUTE(SUBSTITUTE("type:"&amp;B562,"%","%25"),"~","%7E"),"*","%2A"),"?","%3F"),'Rules'!$G$7:$G$26,0)),""))</x:f>
      </x:c>
      <x:c r="I562" s="6" t="str">
        <x:f>IF(AND(NOT(COUNTA(A562:F562)=0),K562=""),ROUND(J562-D562,3),"")</x:f>
      </x:c>
      <x:c r="J562" s="6" t="str">
        <x:f>IF(AND(NOT(COUNTA(A562:F562)=0),K562=""),ROUND(F562+L562,3),"")</x:f>
      </x:c>
      <x:c r="K562" s="5" t="str">
        <x:f>IF(COUNTA(A562:F562)=0,"",IF(A562="","Missing equipment ID",IF(COUNTIFS($N$8:$N$2007,"="&amp;N562)&gt;1,"Duplicate equipment ID",IF(B562="","Missing type",IF(COUNTIFS('Rules'!$G$7:$G$26,"="&amp;(SUBSTITUTE(SUBSTITUTE(SUBSTITUTE(SUBSTITUTE("type:"&amp;B562,"%","%25"),"~","%7E"),"*","%2A"),"?","%3F")))=0,"Unknown type",IF(COUNTIFS('Rules'!$G$7:$G$26,"="&amp;(SUBSTITUTE(SUBSTITUTE(SUBSTITUTE(SUBSTITUTE("type:"&amp;B562,"%","%25"),"~","%7E"),"*","%2A"),"?","%3F")))&gt;1,"Duplicate type",IF(INDEX('Rules'!$F$7:$F$26,MATCH(SUBSTITUTE(SUBSTITUTE(SUBSTITUTE(SUBSTITUTE("type:"&amp;B562,"%","%25"),"~","%7E"),"*","%2A"),"?","%3F"),'Rules'!$G$7:$G$26,0))&lt;&gt;"",INDEX('Rules'!$F$7:$F$26,MATCH(SUBSTITUTE(SUBSTITUTE(SUBSTITUTE(SUBSTITUTE("type:"&amp;B562,"%","%25"),"~","%7E"),"*","%2A"),"?","%3F"),'Rules'!$G$7:$G$26,0)),IF(AND(C562&lt;&gt;"",C562&lt;&gt;INDEX('Rules'!$B$7:$B$26,MATCH(SUBSTITUTE(SUBSTITUTE(SUBSTITUTE(SUBSTITUTE("type:"&amp;B562,"%","%25"),"~","%7E"),"*","%2A"),"?","%3F"),'Rules'!$G$7:$G$26,0))),"Unit mismatch",IF(IF(NOT(ISNUMBER(D562)),TRUE,OR(D562&lt;0,D562&gt;999999999,ROUND(D562,3)&lt;&gt;D562)),"Invalid current reading",IF(AND(E562&lt;&gt;"",IF(NOT(ISNUMBER(E562)),TRUE,OR(E562&lt;0,E562&gt;999999999,ROUND(E562,3)&lt;&gt;E562))),"Invalid previous reading",IF(IF(NOT(ISNUMBER(F562)),TRUE,OR(F562&lt;0,F562&gt;999999999,ROUND(F562,3)&lt;&gt;F562)),"Invalid last service",IF(AND(E562&lt;&gt;"",D562&lt;E562),"Decreased reading",IF(F562&gt;D562,"Last service above current","")))))))))))))</x:f>
      </x:c>
      <x:c r="L562" s="6" t="str">
        <x:f>IF(AND(NOT(COUNTA(A562:F562)=0),K562=""),INDEX('Rules'!$C$7:$C$26,MATCH(SUBSTITUTE(SUBSTITUTE(SUBSTITUTE(SUBSTITUTE("type:"&amp;B562,"%","%25"),"~","%7E"),"*","%2A"),"?","%3F"),'Rules'!$G$7:$G$26,0)),"")</x:f>
      </x:c>
      <x:c r="M562" s="6" t="str">
        <x:f>IF(AND(NOT(COUNTA(A562:F562)=0),K562=""),INDEX('Rules'!$D$7:$D$26,MATCH(SUBSTITUTE(SUBSTITUTE(SUBSTITUTE(SUBSTITUTE("type:"&amp;B562,"%","%25"),"~","%7E"),"*","%2A"),"?","%3F"),'Rules'!$G$7:$G$26,0)),"")</x:f>
      </x:c>
      <x:c r="N562" s="5" t="str">
        <x:f>IF(COUNTA(A562:F562)=0,"",SUBSTITUTE(SUBSTITUTE(SUBSTITUTE(SUBSTITUTE("id:"&amp;A562,"%","%25"),"~","%7E"),"*","%2A"),"?","%3F"))</x:f>
      </x:c>
    </x:row>
    <x:row r="563" ht="22" customHeight="1">
      <x:c r="A563" s="3"/>
      <x:c r="B563" s="3"/>
      <x:c r="C563" s="3"/>
      <x:c r="D563" s="4"/>
      <x:c r="E563" s="4"/>
      <x:c r="F563" s="4"/>
      <x:c r="G563" s="5" t="str">
        <x:f>IF(COUNTA(A563:F563)=0,"",IF(K563&lt;&gt;"","Review",IF(I563&lt;0,"Overdue",IF(I563=0,"Due now",IF(I563&lt;=M563,"Due soon","Not due")))))</x:f>
      </x:c>
      <x:c r="H563" s="5" t="str">
        <x:f>IF(OR(COUNTA(A563:F563)=0,COUNTIFS('Rules'!$G$7:$G$26,"="&amp;(SUBSTITUTE(SUBSTITUTE(SUBSTITUTE(SUBSTITUTE("type:"&amp;B563,"%","%25"),"~","%7E"),"*","%2A"),"?","%3F")))&lt;&gt;1),"",IF(OR(INDEX('Rules'!$B$7:$B$26,MATCH(SUBSTITUTE(SUBSTITUTE(SUBSTITUTE(SUBSTITUTE("type:"&amp;B563,"%","%25"),"~","%7E"),"*","%2A"),"?","%3F"),'Rules'!$G$7:$G$26,0))="hours",INDEX('Rules'!$B$7:$B$26,MATCH(SUBSTITUTE(SUBSTITUTE(SUBSTITUTE(SUBSTITUTE("type:"&amp;B563,"%","%25"),"~","%7E"),"*","%2A"),"?","%3F"),'Rules'!$G$7:$G$26,0))="km"),INDEX('Rules'!$B$7:$B$26,MATCH(SUBSTITUTE(SUBSTITUTE(SUBSTITUTE(SUBSTITUTE("type:"&amp;B563,"%","%25"),"~","%7E"),"*","%2A"),"?","%3F"),'Rules'!$G$7:$G$26,0)),""))</x:f>
      </x:c>
      <x:c r="I563" s="6" t="str">
        <x:f>IF(AND(NOT(COUNTA(A563:F563)=0),K563=""),ROUND(J563-D563,3),"")</x:f>
      </x:c>
      <x:c r="J563" s="6" t="str">
        <x:f>IF(AND(NOT(COUNTA(A563:F563)=0),K563=""),ROUND(F563+L563,3),"")</x:f>
      </x:c>
      <x:c r="K563" s="5" t="str">
        <x:f>IF(COUNTA(A563:F563)=0,"",IF(A563="","Missing equipment ID",IF(COUNTIFS($N$8:$N$2007,"="&amp;N563)&gt;1,"Duplicate equipment ID",IF(B563="","Missing type",IF(COUNTIFS('Rules'!$G$7:$G$26,"="&amp;(SUBSTITUTE(SUBSTITUTE(SUBSTITUTE(SUBSTITUTE("type:"&amp;B563,"%","%25"),"~","%7E"),"*","%2A"),"?","%3F")))=0,"Unknown type",IF(COUNTIFS('Rules'!$G$7:$G$26,"="&amp;(SUBSTITUTE(SUBSTITUTE(SUBSTITUTE(SUBSTITUTE("type:"&amp;B563,"%","%25"),"~","%7E"),"*","%2A"),"?","%3F")))&gt;1,"Duplicate type",IF(INDEX('Rules'!$F$7:$F$26,MATCH(SUBSTITUTE(SUBSTITUTE(SUBSTITUTE(SUBSTITUTE("type:"&amp;B563,"%","%25"),"~","%7E"),"*","%2A"),"?","%3F"),'Rules'!$G$7:$G$26,0))&lt;&gt;"",INDEX('Rules'!$F$7:$F$26,MATCH(SUBSTITUTE(SUBSTITUTE(SUBSTITUTE(SUBSTITUTE("type:"&amp;B563,"%","%25"),"~","%7E"),"*","%2A"),"?","%3F"),'Rules'!$G$7:$G$26,0)),IF(AND(C563&lt;&gt;"",C563&lt;&gt;INDEX('Rules'!$B$7:$B$26,MATCH(SUBSTITUTE(SUBSTITUTE(SUBSTITUTE(SUBSTITUTE("type:"&amp;B563,"%","%25"),"~","%7E"),"*","%2A"),"?","%3F"),'Rules'!$G$7:$G$26,0))),"Unit mismatch",IF(IF(NOT(ISNUMBER(D563)),TRUE,OR(D563&lt;0,D563&gt;999999999,ROUND(D563,3)&lt;&gt;D563)),"Invalid current reading",IF(AND(E563&lt;&gt;"",IF(NOT(ISNUMBER(E563)),TRUE,OR(E563&lt;0,E563&gt;999999999,ROUND(E563,3)&lt;&gt;E563))),"Invalid previous reading",IF(IF(NOT(ISNUMBER(F563)),TRUE,OR(F563&lt;0,F563&gt;999999999,ROUND(F563,3)&lt;&gt;F563)),"Invalid last service",IF(AND(E563&lt;&gt;"",D563&lt;E563),"Decreased reading",IF(F563&gt;D563,"Last service above current","")))))))))))))</x:f>
      </x:c>
      <x:c r="L563" s="6" t="str">
        <x:f>IF(AND(NOT(COUNTA(A563:F563)=0),K563=""),INDEX('Rules'!$C$7:$C$26,MATCH(SUBSTITUTE(SUBSTITUTE(SUBSTITUTE(SUBSTITUTE("type:"&amp;B563,"%","%25"),"~","%7E"),"*","%2A"),"?","%3F"),'Rules'!$G$7:$G$26,0)),"")</x:f>
      </x:c>
      <x:c r="M563" s="6" t="str">
        <x:f>IF(AND(NOT(COUNTA(A563:F563)=0),K563=""),INDEX('Rules'!$D$7:$D$26,MATCH(SUBSTITUTE(SUBSTITUTE(SUBSTITUTE(SUBSTITUTE("type:"&amp;B563,"%","%25"),"~","%7E"),"*","%2A"),"?","%3F"),'Rules'!$G$7:$G$26,0)),"")</x:f>
      </x:c>
      <x:c r="N563" s="5" t="str">
        <x:f>IF(COUNTA(A563:F563)=0,"",SUBSTITUTE(SUBSTITUTE(SUBSTITUTE(SUBSTITUTE("id:"&amp;A563,"%","%25"),"~","%7E"),"*","%2A"),"?","%3F"))</x:f>
      </x:c>
    </x:row>
    <x:row r="564" ht="22" customHeight="1">
      <x:c r="A564" s="3"/>
      <x:c r="B564" s="3"/>
      <x:c r="C564" s="3"/>
      <x:c r="D564" s="4"/>
      <x:c r="E564" s="4"/>
      <x:c r="F564" s="4"/>
      <x:c r="G564" s="5" t="str">
        <x:f>IF(COUNTA(A564:F564)=0,"",IF(K564&lt;&gt;"","Review",IF(I564&lt;0,"Overdue",IF(I564=0,"Due now",IF(I564&lt;=M564,"Due soon","Not due")))))</x:f>
      </x:c>
      <x:c r="H564" s="5" t="str">
        <x:f>IF(OR(COUNTA(A564:F564)=0,COUNTIFS('Rules'!$G$7:$G$26,"="&amp;(SUBSTITUTE(SUBSTITUTE(SUBSTITUTE(SUBSTITUTE("type:"&amp;B564,"%","%25"),"~","%7E"),"*","%2A"),"?","%3F")))&lt;&gt;1),"",IF(OR(INDEX('Rules'!$B$7:$B$26,MATCH(SUBSTITUTE(SUBSTITUTE(SUBSTITUTE(SUBSTITUTE("type:"&amp;B564,"%","%25"),"~","%7E"),"*","%2A"),"?","%3F"),'Rules'!$G$7:$G$26,0))="hours",INDEX('Rules'!$B$7:$B$26,MATCH(SUBSTITUTE(SUBSTITUTE(SUBSTITUTE(SUBSTITUTE("type:"&amp;B564,"%","%25"),"~","%7E"),"*","%2A"),"?","%3F"),'Rules'!$G$7:$G$26,0))="km"),INDEX('Rules'!$B$7:$B$26,MATCH(SUBSTITUTE(SUBSTITUTE(SUBSTITUTE(SUBSTITUTE("type:"&amp;B564,"%","%25"),"~","%7E"),"*","%2A"),"?","%3F"),'Rules'!$G$7:$G$26,0)),""))</x:f>
      </x:c>
      <x:c r="I564" s="6" t="str">
        <x:f>IF(AND(NOT(COUNTA(A564:F564)=0),K564=""),ROUND(J564-D564,3),"")</x:f>
      </x:c>
      <x:c r="J564" s="6" t="str">
        <x:f>IF(AND(NOT(COUNTA(A564:F564)=0),K564=""),ROUND(F564+L564,3),"")</x:f>
      </x:c>
      <x:c r="K564" s="5" t="str">
        <x:f>IF(COUNTA(A564:F564)=0,"",IF(A564="","Missing equipment ID",IF(COUNTIFS($N$8:$N$2007,"="&amp;N564)&gt;1,"Duplicate equipment ID",IF(B564="","Missing type",IF(COUNTIFS('Rules'!$G$7:$G$26,"="&amp;(SUBSTITUTE(SUBSTITUTE(SUBSTITUTE(SUBSTITUTE("type:"&amp;B564,"%","%25"),"~","%7E"),"*","%2A"),"?","%3F")))=0,"Unknown type",IF(COUNTIFS('Rules'!$G$7:$G$26,"="&amp;(SUBSTITUTE(SUBSTITUTE(SUBSTITUTE(SUBSTITUTE("type:"&amp;B564,"%","%25"),"~","%7E"),"*","%2A"),"?","%3F")))&gt;1,"Duplicate type",IF(INDEX('Rules'!$F$7:$F$26,MATCH(SUBSTITUTE(SUBSTITUTE(SUBSTITUTE(SUBSTITUTE("type:"&amp;B564,"%","%25"),"~","%7E"),"*","%2A"),"?","%3F"),'Rules'!$G$7:$G$26,0))&lt;&gt;"",INDEX('Rules'!$F$7:$F$26,MATCH(SUBSTITUTE(SUBSTITUTE(SUBSTITUTE(SUBSTITUTE("type:"&amp;B564,"%","%25"),"~","%7E"),"*","%2A"),"?","%3F"),'Rules'!$G$7:$G$26,0)),IF(AND(C564&lt;&gt;"",C564&lt;&gt;INDEX('Rules'!$B$7:$B$26,MATCH(SUBSTITUTE(SUBSTITUTE(SUBSTITUTE(SUBSTITUTE("type:"&amp;B564,"%","%25"),"~","%7E"),"*","%2A"),"?","%3F"),'Rules'!$G$7:$G$26,0))),"Unit mismatch",IF(IF(NOT(ISNUMBER(D564)),TRUE,OR(D564&lt;0,D564&gt;999999999,ROUND(D564,3)&lt;&gt;D564)),"Invalid current reading",IF(AND(E564&lt;&gt;"",IF(NOT(ISNUMBER(E564)),TRUE,OR(E564&lt;0,E564&gt;999999999,ROUND(E564,3)&lt;&gt;E564))),"Invalid previous reading",IF(IF(NOT(ISNUMBER(F564)),TRUE,OR(F564&lt;0,F564&gt;999999999,ROUND(F564,3)&lt;&gt;F564)),"Invalid last service",IF(AND(E564&lt;&gt;"",D564&lt;E564),"Decreased reading",IF(F564&gt;D564,"Last service above current","")))))))))))))</x:f>
      </x:c>
      <x:c r="L564" s="6" t="str">
        <x:f>IF(AND(NOT(COUNTA(A564:F564)=0),K564=""),INDEX('Rules'!$C$7:$C$26,MATCH(SUBSTITUTE(SUBSTITUTE(SUBSTITUTE(SUBSTITUTE("type:"&amp;B564,"%","%25"),"~","%7E"),"*","%2A"),"?","%3F"),'Rules'!$G$7:$G$26,0)),"")</x:f>
      </x:c>
      <x:c r="M564" s="6" t="str">
        <x:f>IF(AND(NOT(COUNTA(A564:F564)=0),K564=""),INDEX('Rules'!$D$7:$D$26,MATCH(SUBSTITUTE(SUBSTITUTE(SUBSTITUTE(SUBSTITUTE("type:"&amp;B564,"%","%25"),"~","%7E"),"*","%2A"),"?","%3F"),'Rules'!$G$7:$G$26,0)),"")</x:f>
      </x:c>
      <x:c r="N564" s="5" t="str">
        <x:f>IF(COUNTA(A564:F564)=0,"",SUBSTITUTE(SUBSTITUTE(SUBSTITUTE(SUBSTITUTE("id:"&amp;A564,"%","%25"),"~","%7E"),"*","%2A"),"?","%3F"))</x:f>
      </x:c>
    </x:row>
    <x:row r="565" ht="22" customHeight="1">
      <x:c r="A565" s="3"/>
      <x:c r="B565" s="3"/>
      <x:c r="C565" s="3"/>
      <x:c r="D565" s="4"/>
      <x:c r="E565" s="4"/>
      <x:c r="F565" s="4"/>
      <x:c r="G565" s="5" t="str">
        <x:f>IF(COUNTA(A565:F565)=0,"",IF(K565&lt;&gt;"","Review",IF(I565&lt;0,"Overdue",IF(I565=0,"Due now",IF(I565&lt;=M565,"Due soon","Not due")))))</x:f>
      </x:c>
      <x:c r="H565" s="5" t="str">
        <x:f>IF(OR(COUNTA(A565:F565)=0,COUNTIFS('Rules'!$G$7:$G$26,"="&amp;(SUBSTITUTE(SUBSTITUTE(SUBSTITUTE(SUBSTITUTE("type:"&amp;B565,"%","%25"),"~","%7E"),"*","%2A"),"?","%3F")))&lt;&gt;1),"",IF(OR(INDEX('Rules'!$B$7:$B$26,MATCH(SUBSTITUTE(SUBSTITUTE(SUBSTITUTE(SUBSTITUTE("type:"&amp;B565,"%","%25"),"~","%7E"),"*","%2A"),"?","%3F"),'Rules'!$G$7:$G$26,0))="hours",INDEX('Rules'!$B$7:$B$26,MATCH(SUBSTITUTE(SUBSTITUTE(SUBSTITUTE(SUBSTITUTE("type:"&amp;B565,"%","%25"),"~","%7E"),"*","%2A"),"?","%3F"),'Rules'!$G$7:$G$26,0))="km"),INDEX('Rules'!$B$7:$B$26,MATCH(SUBSTITUTE(SUBSTITUTE(SUBSTITUTE(SUBSTITUTE("type:"&amp;B565,"%","%25"),"~","%7E"),"*","%2A"),"?","%3F"),'Rules'!$G$7:$G$26,0)),""))</x:f>
      </x:c>
      <x:c r="I565" s="6" t="str">
        <x:f>IF(AND(NOT(COUNTA(A565:F565)=0),K565=""),ROUND(J565-D565,3),"")</x:f>
      </x:c>
      <x:c r="J565" s="6" t="str">
        <x:f>IF(AND(NOT(COUNTA(A565:F565)=0),K565=""),ROUND(F565+L565,3),"")</x:f>
      </x:c>
      <x:c r="K565" s="5" t="str">
        <x:f>IF(COUNTA(A565:F565)=0,"",IF(A565="","Missing equipment ID",IF(COUNTIFS($N$8:$N$2007,"="&amp;N565)&gt;1,"Duplicate equipment ID",IF(B565="","Missing type",IF(COUNTIFS('Rules'!$G$7:$G$26,"="&amp;(SUBSTITUTE(SUBSTITUTE(SUBSTITUTE(SUBSTITUTE("type:"&amp;B565,"%","%25"),"~","%7E"),"*","%2A"),"?","%3F")))=0,"Unknown type",IF(COUNTIFS('Rules'!$G$7:$G$26,"="&amp;(SUBSTITUTE(SUBSTITUTE(SUBSTITUTE(SUBSTITUTE("type:"&amp;B565,"%","%25"),"~","%7E"),"*","%2A"),"?","%3F")))&gt;1,"Duplicate type",IF(INDEX('Rules'!$F$7:$F$26,MATCH(SUBSTITUTE(SUBSTITUTE(SUBSTITUTE(SUBSTITUTE("type:"&amp;B565,"%","%25"),"~","%7E"),"*","%2A"),"?","%3F"),'Rules'!$G$7:$G$26,0))&lt;&gt;"",INDEX('Rules'!$F$7:$F$26,MATCH(SUBSTITUTE(SUBSTITUTE(SUBSTITUTE(SUBSTITUTE("type:"&amp;B565,"%","%25"),"~","%7E"),"*","%2A"),"?","%3F"),'Rules'!$G$7:$G$26,0)),IF(AND(C565&lt;&gt;"",C565&lt;&gt;INDEX('Rules'!$B$7:$B$26,MATCH(SUBSTITUTE(SUBSTITUTE(SUBSTITUTE(SUBSTITUTE("type:"&amp;B565,"%","%25"),"~","%7E"),"*","%2A"),"?","%3F"),'Rules'!$G$7:$G$26,0))),"Unit mismatch",IF(IF(NOT(ISNUMBER(D565)),TRUE,OR(D565&lt;0,D565&gt;999999999,ROUND(D565,3)&lt;&gt;D565)),"Invalid current reading",IF(AND(E565&lt;&gt;"",IF(NOT(ISNUMBER(E565)),TRUE,OR(E565&lt;0,E565&gt;999999999,ROUND(E565,3)&lt;&gt;E565))),"Invalid previous reading",IF(IF(NOT(ISNUMBER(F565)),TRUE,OR(F565&lt;0,F565&gt;999999999,ROUND(F565,3)&lt;&gt;F565)),"Invalid last service",IF(AND(E565&lt;&gt;"",D565&lt;E565),"Decreased reading",IF(F565&gt;D565,"Last service above current","")))))))))))))</x:f>
      </x:c>
      <x:c r="L565" s="6" t="str">
        <x:f>IF(AND(NOT(COUNTA(A565:F565)=0),K565=""),INDEX('Rules'!$C$7:$C$26,MATCH(SUBSTITUTE(SUBSTITUTE(SUBSTITUTE(SUBSTITUTE("type:"&amp;B565,"%","%25"),"~","%7E"),"*","%2A"),"?","%3F"),'Rules'!$G$7:$G$26,0)),"")</x:f>
      </x:c>
      <x:c r="M565" s="6" t="str">
        <x:f>IF(AND(NOT(COUNTA(A565:F565)=0),K565=""),INDEX('Rules'!$D$7:$D$26,MATCH(SUBSTITUTE(SUBSTITUTE(SUBSTITUTE(SUBSTITUTE("type:"&amp;B565,"%","%25"),"~","%7E"),"*","%2A"),"?","%3F"),'Rules'!$G$7:$G$26,0)),"")</x:f>
      </x:c>
      <x:c r="N565" s="5" t="str">
        <x:f>IF(COUNTA(A565:F565)=0,"",SUBSTITUTE(SUBSTITUTE(SUBSTITUTE(SUBSTITUTE("id:"&amp;A565,"%","%25"),"~","%7E"),"*","%2A"),"?","%3F"))</x:f>
      </x:c>
    </x:row>
    <x:row r="566" ht="22" customHeight="1">
      <x:c r="A566" s="3"/>
      <x:c r="B566" s="3"/>
      <x:c r="C566" s="3"/>
      <x:c r="D566" s="4"/>
      <x:c r="E566" s="4"/>
      <x:c r="F566" s="4"/>
      <x:c r="G566" s="5" t="str">
        <x:f>IF(COUNTA(A566:F566)=0,"",IF(K566&lt;&gt;"","Review",IF(I566&lt;0,"Overdue",IF(I566=0,"Due now",IF(I566&lt;=M566,"Due soon","Not due")))))</x:f>
      </x:c>
      <x:c r="H566" s="5" t="str">
        <x:f>IF(OR(COUNTA(A566:F566)=0,COUNTIFS('Rules'!$G$7:$G$26,"="&amp;(SUBSTITUTE(SUBSTITUTE(SUBSTITUTE(SUBSTITUTE("type:"&amp;B566,"%","%25"),"~","%7E"),"*","%2A"),"?","%3F")))&lt;&gt;1),"",IF(OR(INDEX('Rules'!$B$7:$B$26,MATCH(SUBSTITUTE(SUBSTITUTE(SUBSTITUTE(SUBSTITUTE("type:"&amp;B566,"%","%25"),"~","%7E"),"*","%2A"),"?","%3F"),'Rules'!$G$7:$G$26,0))="hours",INDEX('Rules'!$B$7:$B$26,MATCH(SUBSTITUTE(SUBSTITUTE(SUBSTITUTE(SUBSTITUTE("type:"&amp;B566,"%","%25"),"~","%7E"),"*","%2A"),"?","%3F"),'Rules'!$G$7:$G$26,0))="km"),INDEX('Rules'!$B$7:$B$26,MATCH(SUBSTITUTE(SUBSTITUTE(SUBSTITUTE(SUBSTITUTE("type:"&amp;B566,"%","%25"),"~","%7E"),"*","%2A"),"?","%3F"),'Rules'!$G$7:$G$26,0)),""))</x:f>
      </x:c>
      <x:c r="I566" s="6" t="str">
        <x:f>IF(AND(NOT(COUNTA(A566:F566)=0),K566=""),ROUND(J566-D566,3),"")</x:f>
      </x:c>
      <x:c r="J566" s="6" t="str">
        <x:f>IF(AND(NOT(COUNTA(A566:F566)=0),K566=""),ROUND(F566+L566,3),"")</x:f>
      </x:c>
      <x:c r="K566" s="5" t="str">
        <x:f>IF(COUNTA(A566:F566)=0,"",IF(A566="","Missing equipment ID",IF(COUNTIFS($N$8:$N$2007,"="&amp;N566)&gt;1,"Duplicate equipment ID",IF(B566="","Missing type",IF(COUNTIFS('Rules'!$G$7:$G$26,"="&amp;(SUBSTITUTE(SUBSTITUTE(SUBSTITUTE(SUBSTITUTE("type:"&amp;B566,"%","%25"),"~","%7E"),"*","%2A"),"?","%3F")))=0,"Unknown type",IF(COUNTIFS('Rules'!$G$7:$G$26,"="&amp;(SUBSTITUTE(SUBSTITUTE(SUBSTITUTE(SUBSTITUTE("type:"&amp;B566,"%","%25"),"~","%7E"),"*","%2A"),"?","%3F")))&gt;1,"Duplicate type",IF(INDEX('Rules'!$F$7:$F$26,MATCH(SUBSTITUTE(SUBSTITUTE(SUBSTITUTE(SUBSTITUTE("type:"&amp;B566,"%","%25"),"~","%7E"),"*","%2A"),"?","%3F"),'Rules'!$G$7:$G$26,0))&lt;&gt;"",INDEX('Rules'!$F$7:$F$26,MATCH(SUBSTITUTE(SUBSTITUTE(SUBSTITUTE(SUBSTITUTE("type:"&amp;B566,"%","%25"),"~","%7E"),"*","%2A"),"?","%3F"),'Rules'!$G$7:$G$26,0)),IF(AND(C566&lt;&gt;"",C566&lt;&gt;INDEX('Rules'!$B$7:$B$26,MATCH(SUBSTITUTE(SUBSTITUTE(SUBSTITUTE(SUBSTITUTE("type:"&amp;B566,"%","%25"),"~","%7E"),"*","%2A"),"?","%3F"),'Rules'!$G$7:$G$26,0))),"Unit mismatch",IF(IF(NOT(ISNUMBER(D566)),TRUE,OR(D566&lt;0,D566&gt;999999999,ROUND(D566,3)&lt;&gt;D566)),"Invalid current reading",IF(AND(E566&lt;&gt;"",IF(NOT(ISNUMBER(E566)),TRUE,OR(E566&lt;0,E566&gt;999999999,ROUND(E566,3)&lt;&gt;E566))),"Invalid previous reading",IF(IF(NOT(ISNUMBER(F566)),TRUE,OR(F566&lt;0,F566&gt;999999999,ROUND(F566,3)&lt;&gt;F566)),"Invalid last service",IF(AND(E566&lt;&gt;"",D566&lt;E566),"Decreased reading",IF(F566&gt;D566,"Last service above current","")))))))))))))</x:f>
      </x:c>
      <x:c r="L566" s="6" t="str">
        <x:f>IF(AND(NOT(COUNTA(A566:F566)=0),K566=""),INDEX('Rules'!$C$7:$C$26,MATCH(SUBSTITUTE(SUBSTITUTE(SUBSTITUTE(SUBSTITUTE("type:"&amp;B566,"%","%25"),"~","%7E"),"*","%2A"),"?","%3F"),'Rules'!$G$7:$G$26,0)),"")</x:f>
      </x:c>
      <x:c r="M566" s="6" t="str">
        <x:f>IF(AND(NOT(COUNTA(A566:F566)=0),K566=""),INDEX('Rules'!$D$7:$D$26,MATCH(SUBSTITUTE(SUBSTITUTE(SUBSTITUTE(SUBSTITUTE("type:"&amp;B566,"%","%25"),"~","%7E"),"*","%2A"),"?","%3F"),'Rules'!$G$7:$G$26,0)),"")</x:f>
      </x:c>
      <x:c r="N566" s="5" t="str">
        <x:f>IF(COUNTA(A566:F566)=0,"",SUBSTITUTE(SUBSTITUTE(SUBSTITUTE(SUBSTITUTE("id:"&amp;A566,"%","%25"),"~","%7E"),"*","%2A"),"?","%3F"))</x:f>
      </x:c>
    </x:row>
    <x:row r="567" ht="22" customHeight="1">
      <x:c r="A567" s="3"/>
      <x:c r="B567" s="3"/>
      <x:c r="C567" s="3"/>
      <x:c r="D567" s="4"/>
      <x:c r="E567" s="4"/>
      <x:c r="F567" s="4"/>
      <x:c r="G567" s="5" t="str">
        <x:f>IF(COUNTA(A567:F567)=0,"",IF(K567&lt;&gt;"","Review",IF(I567&lt;0,"Overdue",IF(I567=0,"Due now",IF(I567&lt;=M567,"Due soon","Not due")))))</x:f>
      </x:c>
      <x:c r="H567" s="5" t="str">
        <x:f>IF(OR(COUNTA(A567:F567)=0,COUNTIFS('Rules'!$G$7:$G$26,"="&amp;(SUBSTITUTE(SUBSTITUTE(SUBSTITUTE(SUBSTITUTE("type:"&amp;B567,"%","%25"),"~","%7E"),"*","%2A"),"?","%3F")))&lt;&gt;1),"",IF(OR(INDEX('Rules'!$B$7:$B$26,MATCH(SUBSTITUTE(SUBSTITUTE(SUBSTITUTE(SUBSTITUTE("type:"&amp;B567,"%","%25"),"~","%7E"),"*","%2A"),"?","%3F"),'Rules'!$G$7:$G$26,0))="hours",INDEX('Rules'!$B$7:$B$26,MATCH(SUBSTITUTE(SUBSTITUTE(SUBSTITUTE(SUBSTITUTE("type:"&amp;B567,"%","%25"),"~","%7E"),"*","%2A"),"?","%3F"),'Rules'!$G$7:$G$26,0))="km"),INDEX('Rules'!$B$7:$B$26,MATCH(SUBSTITUTE(SUBSTITUTE(SUBSTITUTE(SUBSTITUTE("type:"&amp;B567,"%","%25"),"~","%7E"),"*","%2A"),"?","%3F"),'Rules'!$G$7:$G$26,0)),""))</x:f>
      </x:c>
      <x:c r="I567" s="6" t="str">
        <x:f>IF(AND(NOT(COUNTA(A567:F567)=0),K567=""),ROUND(J567-D567,3),"")</x:f>
      </x:c>
      <x:c r="J567" s="6" t="str">
        <x:f>IF(AND(NOT(COUNTA(A567:F567)=0),K567=""),ROUND(F567+L567,3),"")</x:f>
      </x:c>
      <x:c r="K567" s="5" t="str">
        <x:f>IF(COUNTA(A567:F567)=0,"",IF(A567="","Missing equipment ID",IF(COUNTIFS($N$8:$N$2007,"="&amp;N567)&gt;1,"Duplicate equipment ID",IF(B567="","Missing type",IF(COUNTIFS('Rules'!$G$7:$G$26,"="&amp;(SUBSTITUTE(SUBSTITUTE(SUBSTITUTE(SUBSTITUTE("type:"&amp;B567,"%","%25"),"~","%7E"),"*","%2A"),"?","%3F")))=0,"Unknown type",IF(COUNTIFS('Rules'!$G$7:$G$26,"="&amp;(SUBSTITUTE(SUBSTITUTE(SUBSTITUTE(SUBSTITUTE("type:"&amp;B567,"%","%25"),"~","%7E"),"*","%2A"),"?","%3F")))&gt;1,"Duplicate type",IF(INDEX('Rules'!$F$7:$F$26,MATCH(SUBSTITUTE(SUBSTITUTE(SUBSTITUTE(SUBSTITUTE("type:"&amp;B567,"%","%25"),"~","%7E"),"*","%2A"),"?","%3F"),'Rules'!$G$7:$G$26,0))&lt;&gt;"",INDEX('Rules'!$F$7:$F$26,MATCH(SUBSTITUTE(SUBSTITUTE(SUBSTITUTE(SUBSTITUTE("type:"&amp;B567,"%","%25"),"~","%7E"),"*","%2A"),"?","%3F"),'Rules'!$G$7:$G$26,0)),IF(AND(C567&lt;&gt;"",C567&lt;&gt;INDEX('Rules'!$B$7:$B$26,MATCH(SUBSTITUTE(SUBSTITUTE(SUBSTITUTE(SUBSTITUTE("type:"&amp;B567,"%","%25"),"~","%7E"),"*","%2A"),"?","%3F"),'Rules'!$G$7:$G$26,0))),"Unit mismatch",IF(IF(NOT(ISNUMBER(D567)),TRUE,OR(D567&lt;0,D567&gt;999999999,ROUND(D567,3)&lt;&gt;D567)),"Invalid current reading",IF(AND(E567&lt;&gt;"",IF(NOT(ISNUMBER(E567)),TRUE,OR(E567&lt;0,E567&gt;999999999,ROUND(E567,3)&lt;&gt;E567))),"Invalid previous reading",IF(IF(NOT(ISNUMBER(F567)),TRUE,OR(F567&lt;0,F567&gt;999999999,ROUND(F567,3)&lt;&gt;F567)),"Invalid last service",IF(AND(E567&lt;&gt;"",D567&lt;E567),"Decreased reading",IF(F567&gt;D567,"Last service above current","")))))))))))))</x:f>
      </x:c>
      <x:c r="L567" s="6" t="str">
        <x:f>IF(AND(NOT(COUNTA(A567:F567)=0),K567=""),INDEX('Rules'!$C$7:$C$26,MATCH(SUBSTITUTE(SUBSTITUTE(SUBSTITUTE(SUBSTITUTE("type:"&amp;B567,"%","%25"),"~","%7E"),"*","%2A"),"?","%3F"),'Rules'!$G$7:$G$26,0)),"")</x:f>
      </x:c>
      <x:c r="M567" s="6" t="str">
        <x:f>IF(AND(NOT(COUNTA(A567:F567)=0),K567=""),INDEX('Rules'!$D$7:$D$26,MATCH(SUBSTITUTE(SUBSTITUTE(SUBSTITUTE(SUBSTITUTE("type:"&amp;B567,"%","%25"),"~","%7E"),"*","%2A"),"?","%3F"),'Rules'!$G$7:$G$26,0)),"")</x:f>
      </x:c>
      <x:c r="N567" s="5" t="str">
        <x:f>IF(COUNTA(A567:F567)=0,"",SUBSTITUTE(SUBSTITUTE(SUBSTITUTE(SUBSTITUTE("id:"&amp;A567,"%","%25"),"~","%7E"),"*","%2A"),"?","%3F"))</x:f>
      </x:c>
    </x:row>
    <x:row r="568" ht="22" customHeight="1">
      <x:c r="A568" s="3"/>
      <x:c r="B568" s="3"/>
      <x:c r="C568" s="3"/>
      <x:c r="D568" s="4"/>
      <x:c r="E568" s="4"/>
      <x:c r="F568" s="4"/>
      <x:c r="G568" s="5" t="str">
        <x:f>IF(COUNTA(A568:F568)=0,"",IF(K568&lt;&gt;"","Review",IF(I568&lt;0,"Overdue",IF(I568=0,"Due now",IF(I568&lt;=M568,"Due soon","Not due")))))</x:f>
      </x:c>
      <x:c r="H568" s="5" t="str">
        <x:f>IF(OR(COUNTA(A568:F568)=0,COUNTIFS('Rules'!$G$7:$G$26,"="&amp;(SUBSTITUTE(SUBSTITUTE(SUBSTITUTE(SUBSTITUTE("type:"&amp;B568,"%","%25"),"~","%7E"),"*","%2A"),"?","%3F")))&lt;&gt;1),"",IF(OR(INDEX('Rules'!$B$7:$B$26,MATCH(SUBSTITUTE(SUBSTITUTE(SUBSTITUTE(SUBSTITUTE("type:"&amp;B568,"%","%25"),"~","%7E"),"*","%2A"),"?","%3F"),'Rules'!$G$7:$G$26,0))="hours",INDEX('Rules'!$B$7:$B$26,MATCH(SUBSTITUTE(SUBSTITUTE(SUBSTITUTE(SUBSTITUTE("type:"&amp;B568,"%","%25"),"~","%7E"),"*","%2A"),"?","%3F"),'Rules'!$G$7:$G$26,0))="km"),INDEX('Rules'!$B$7:$B$26,MATCH(SUBSTITUTE(SUBSTITUTE(SUBSTITUTE(SUBSTITUTE("type:"&amp;B568,"%","%25"),"~","%7E"),"*","%2A"),"?","%3F"),'Rules'!$G$7:$G$26,0)),""))</x:f>
      </x:c>
      <x:c r="I568" s="6" t="str">
        <x:f>IF(AND(NOT(COUNTA(A568:F568)=0),K568=""),ROUND(J568-D568,3),"")</x:f>
      </x:c>
      <x:c r="J568" s="6" t="str">
        <x:f>IF(AND(NOT(COUNTA(A568:F568)=0),K568=""),ROUND(F568+L568,3),"")</x:f>
      </x:c>
      <x:c r="K568" s="5" t="str">
        <x:f>IF(COUNTA(A568:F568)=0,"",IF(A568="","Missing equipment ID",IF(COUNTIFS($N$8:$N$2007,"="&amp;N568)&gt;1,"Duplicate equipment ID",IF(B568="","Missing type",IF(COUNTIFS('Rules'!$G$7:$G$26,"="&amp;(SUBSTITUTE(SUBSTITUTE(SUBSTITUTE(SUBSTITUTE("type:"&amp;B568,"%","%25"),"~","%7E"),"*","%2A"),"?","%3F")))=0,"Unknown type",IF(COUNTIFS('Rules'!$G$7:$G$26,"="&amp;(SUBSTITUTE(SUBSTITUTE(SUBSTITUTE(SUBSTITUTE("type:"&amp;B568,"%","%25"),"~","%7E"),"*","%2A"),"?","%3F")))&gt;1,"Duplicate type",IF(INDEX('Rules'!$F$7:$F$26,MATCH(SUBSTITUTE(SUBSTITUTE(SUBSTITUTE(SUBSTITUTE("type:"&amp;B568,"%","%25"),"~","%7E"),"*","%2A"),"?","%3F"),'Rules'!$G$7:$G$26,0))&lt;&gt;"",INDEX('Rules'!$F$7:$F$26,MATCH(SUBSTITUTE(SUBSTITUTE(SUBSTITUTE(SUBSTITUTE("type:"&amp;B568,"%","%25"),"~","%7E"),"*","%2A"),"?","%3F"),'Rules'!$G$7:$G$26,0)),IF(AND(C568&lt;&gt;"",C568&lt;&gt;INDEX('Rules'!$B$7:$B$26,MATCH(SUBSTITUTE(SUBSTITUTE(SUBSTITUTE(SUBSTITUTE("type:"&amp;B568,"%","%25"),"~","%7E"),"*","%2A"),"?","%3F"),'Rules'!$G$7:$G$26,0))),"Unit mismatch",IF(IF(NOT(ISNUMBER(D568)),TRUE,OR(D568&lt;0,D568&gt;999999999,ROUND(D568,3)&lt;&gt;D568)),"Invalid current reading",IF(AND(E568&lt;&gt;"",IF(NOT(ISNUMBER(E568)),TRUE,OR(E568&lt;0,E568&gt;999999999,ROUND(E568,3)&lt;&gt;E568))),"Invalid previous reading",IF(IF(NOT(ISNUMBER(F568)),TRUE,OR(F568&lt;0,F568&gt;999999999,ROUND(F568,3)&lt;&gt;F568)),"Invalid last service",IF(AND(E568&lt;&gt;"",D568&lt;E568),"Decreased reading",IF(F568&gt;D568,"Last service above current","")))))))))))))</x:f>
      </x:c>
      <x:c r="L568" s="6" t="str">
        <x:f>IF(AND(NOT(COUNTA(A568:F568)=0),K568=""),INDEX('Rules'!$C$7:$C$26,MATCH(SUBSTITUTE(SUBSTITUTE(SUBSTITUTE(SUBSTITUTE("type:"&amp;B568,"%","%25"),"~","%7E"),"*","%2A"),"?","%3F"),'Rules'!$G$7:$G$26,0)),"")</x:f>
      </x:c>
      <x:c r="M568" s="6" t="str">
        <x:f>IF(AND(NOT(COUNTA(A568:F568)=0),K568=""),INDEX('Rules'!$D$7:$D$26,MATCH(SUBSTITUTE(SUBSTITUTE(SUBSTITUTE(SUBSTITUTE("type:"&amp;B568,"%","%25"),"~","%7E"),"*","%2A"),"?","%3F"),'Rules'!$G$7:$G$26,0)),"")</x:f>
      </x:c>
      <x:c r="N568" s="5" t="str">
        <x:f>IF(COUNTA(A568:F568)=0,"",SUBSTITUTE(SUBSTITUTE(SUBSTITUTE(SUBSTITUTE("id:"&amp;A568,"%","%25"),"~","%7E"),"*","%2A"),"?","%3F"))</x:f>
      </x:c>
    </x:row>
    <x:row r="569" ht="22" customHeight="1">
      <x:c r="A569" s="3"/>
      <x:c r="B569" s="3"/>
      <x:c r="C569" s="3"/>
      <x:c r="D569" s="4"/>
      <x:c r="E569" s="4"/>
      <x:c r="F569" s="4"/>
      <x:c r="G569" s="5" t="str">
        <x:f>IF(COUNTA(A569:F569)=0,"",IF(K569&lt;&gt;"","Review",IF(I569&lt;0,"Overdue",IF(I569=0,"Due now",IF(I569&lt;=M569,"Due soon","Not due")))))</x:f>
      </x:c>
      <x:c r="H569" s="5" t="str">
        <x:f>IF(OR(COUNTA(A569:F569)=0,COUNTIFS('Rules'!$G$7:$G$26,"="&amp;(SUBSTITUTE(SUBSTITUTE(SUBSTITUTE(SUBSTITUTE("type:"&amp;B569,"%","%25"),"~","%7E"),"*","%2A"),"?","%3F")))&lt;&gt;1),"",IF(OR(INDEX('Rules'!$B$7:$B$26,MATCH(SUBSTITUTE(SUBSTITUTE(SUBSTITUTE(SUBSTITUTE("type:"&amp;B569,"%","%25"),"~","%7E"),"*","%2A"),"?","%3F"),'Rules'!$G$7:$G$26,0))="hours",INDEX('Rules'!$B$7:$B$26,MATCH(SUBSTITUTE(SUBSTITUTE(SUBSTITUTE(SUBSTITUTE("type:"&amp;B569,"%","%25"),"~","%7E"),"*","%2A"),"?","%3F"),'Rules'!$G$7:$G$26,0))="km"),INDEX('Rules'!$B$7:$B$26,MATCH(SUBSTITUTE(SUBSTITUTE(SUBSTITUTE(SUBSTITUTE("type:"&amp;B569,"%","%25"),"~","%7E"),"*","%2A"),"?","%3F"),'Rules'!$G$7:$G$26,0)),""))</x:f>
      </x:c>
      <x:c r="I569" s="6" t="str">
        <x:f>IF(AND(NOT(COUNTA(A569:F569)=0),K569=""),ROUND(J569-D569,3),"")</x:f>
      </x:c>
      <x:c r="J569" s="6" t="str">
        <x:f>IF(AND(NOT(COUNTA(A569:F569)=0),K569=""),ROUND(F569+L569,3),"")</x:f>
      </x:c>
      <x:c r="K569" s="5" t="str">
        <x:f>IF(COUNTA(A569:F569)=0,"",IF(A569="","Missing equipment ID",IF(COUNTIFS($N$8:$N$2007,"="&amp;N569)&gt;1,"Duplicate equipment ID",IF(B569="","Missing type",IF(COUNTIFS('Rules'!$G$7:$G$26,"="&amp;(SUBSTITUTE(SUBSTITUTE(SUBSTITUTE(SUBSTITUTE("type:"&amp;B569,"%","%25"),"~","%7E"),"*","%2A"),"?","%3F")))=0,"Unknown type",IF(COUNTIFS('Rules'!$G$7:$G$26,"="&amp;(SUBSTITUTE(SUBSTITUTE(SUBSTITUTE(SUBSTITUTE("type:"&amp;B569,"%","%25"),"~","%7E"),"*","%2A"),"?","%3F")))&gt;1,"Duplicate type",IF(INDEX('Rules'!$F$7:$F$26,MATCH(SUBSTITUTE(SUBSTITUTE(SUBSTITUTE(SUBSTITUTE("type:"&amp;B569,"%","%25"),"~","%7E"),"*","%2A"),"?","%3F"),'Rules'!$G$7:$G$26,0))&lt;&gt;"",INDEX('Rules'!$F$7:$F$26,MATCH(SUBSTITUTE(SUBSTITUTE(SUBSTITUTE(SUBSTITUTE("type:"&amp;B569,"%","%25"),"~","%7E"),"*","%2A"),"?","%3F"),'Rules'!$G$7:$G$26,0)),IF(AND(C569&lt;&gt;"",C569&lt;&gt;INDEX('Rules'!$B$7:$B$26,MATCH(SUBSTITUTE(SUBSTITUTE(SUBSTITUTE(SUBSTITUTE("type:"&amp;B569,"%","%25"),"~","%7E"),"*","%2A"),"?","%3F"),'Rules'!$G$7:$G$26,0))),"Unit mismatch",IF(IF(NOT(ISNUMBER(D569)),TRUE,OR(D569&lt;0,D569&gt;999999999,ROUND(D569,3)&lt;&gt;D569)),"Invalid current reading",IF(AND(E569&lt;&gt;"",IF(NOT(ISNUMBER(E569)),TRUE,OR(E569&lt;0,E569&gt;999999999,ROUND(E569,3)&lt;&gt;E569))),"Invalid previous reading",IF(IF(NOT(ISNUMBER(F569)),TRUE,OR(F569&lt;0,F569&gt;999999999,ROUND(F569,3)&lt;&gt;F569)),"Invalid last service",IF(AND(E569&lt;&gt;"",D569&lt;E569),"Decreased reading",IF(F569&gt;D569,"Last service above current","")))))))))))))</x:f>
      </x:c>
      <x:c r="L569" s="6" t="str">
        <x:f>IF(AND(NOT(COUNTA(A569:F569)=0),K569=""),INDEX('Rules'!$C$7:$C$26,MATCH(SUBSTITUTE(SUBSTITUTE(SUBSTITUTE(SUBSTITUTE("type:"&amp;B569,"%","%25"),"~","%7E"),"*","%2A"),"?","%3F"),'Rules'!$G$7:$G$26,0)),"")</x:f>
      </x:c>
      <x:c r="M569" s="6" t="str">
        <x:f>IF(AND(NOT(COUNTA(A569:F569)=0),K569=""),INDEX('Rules'!$D$7:$D$26,MATCH(SUBSTITUTE(SUBSTITUTE(SUBSTITUTE(SUBSTITUTE("type:"&amp;B569,"%","%25"),"~","%7E"),"*","%2A"),"?","%3F"),'Rules'!$G$7:$G$26,0)),"")</x:f>
      </x:c>
      <x:c r="N569" s="5" t="str">
        <x:f>IF(COUNTA(A569:F569)=0,"",SUBSTITUTE(SUBSTITUTE(SUBSTITUTE(SUBSTITUTE("id:"&amp;A569,"%","%25"),"~","%7E"),"*","%2A"),"?","%3F"))</x:f>
      </x:c>
    </x:row>
    <x:row r="570" ht="22" customHeight="1">
      <x:c r="A570" s="3"/>
      <x:c r="B570" s="3"/>
      <x:c r="C570" s="3"/>
      <x:c r="D570" s="4"/>
      <x:c r="E570" s="4"/>
      <x:c r="F570" s="4"/>
      <x:c r="G570" s="5" t="str">
        <x:f>IF(COUNTA(A570:F570)=0,"",IF(K570&lt;&gt;"","Review",IF(I570&lt;0,"Overdue",IF(I570=0,"Due now",IF(I570&lt;=M570,"Due soon","Not due")))))</x:f>
      </x:c>
      <x:c r="H570" s="5" t="str">
        <x:f>IF(OR(COUNTA(A570:F570)=0,COUNTIFS('Rules'!$G$7:$G$26,"="&amp;(SUBSTITUTE(SUBSTITUTE(SUBSTITUTE(SUBSTITUTE("type:"&amp;B570,"%","%25"),"~","%7E"),"*","%2A"),"?","%3F")))&lt;&gt;1),"",IF(OR(INDEX('Rules'!$B$7:$B$26,MATCH(SUBSTITUTE(SUBSTITUTE(SUBSTITUTE(SUBSTITUTE("type:"&amp;B570,"%","%25"),"~","%7E"),"*","%2A"),"?","%3F"),'Rules'!$G$7:$G$26,0))="hours",INDEX('Rules'!$B$7:$B$26,MATCH(SUBSTITUTE(SUBSTITUTE(SUBSTITUTE(SUBSTITUTE("type:"&amp;B570,"%","%25"),"~","%7E"),"*","%2A"),"?","%3F"),'Rules'!$G$7:$G$26,0))="km"),INDEX('Rules'!$B$7:$B$26,MATCH(SUBSTITUTE(SUBSTITUTE(SUBSTITUTE(SUBSTITUTE("type:"&amp;B570,"%","%25"),"~","%7E"),"*","%2A"),"?","%3F"),'Rules'!$G$7:$G$26,0)),""))</x:f>
      </x:c>
      <x:c r="I570" s="6" t="str">
        <x:f>IF(AND(NOT(COUNTA(A570:F570)=0),K570=""),ROUND(J570-D570,3),"")</x:f>
      </x:c>
      <x:c r="J570" s="6" t="str">
        <x:f>IF(AND(NOT(COUNTA(A570:F570)=0),K570=""),ROUND(F570+L570,3),"")</x:f>
      </x:c>
      <x:c r="K570" s="5" t="str">
        <x:f>IF(COUNTA(A570:F570)=0,"",IF(A570="","Missing equipment ID",IF(COUNTIFS($N$8:$N$2007,"="&amp;N570)&gt;1,"Duplicate equipment ID",IF(B570="","Missing type",IF(COUNTIFS('Rules'!$G$7:$G$26,"="&amp;(SUBSTITUTE(SUBSTITUTE(SUBSTITUTE(SUBSTITUTE("type:"&amp;B570,"%","%25"),"~","%7E"),"*","%2A"),"?","%3F")))=0,"Unknown type",IF(COUNTIFS('Rules'!$G$7:$G$26,"="&amp;(SUBSTITUTE(SUBSTITUTE(SUBSTITUTE(SUBSTITUTE("type:"&amp;B570,"%","%25"),"~","%7E"),"*","%2A"),"?","%3F")))&gt;1,"Duplicate type",IF(INDEX('Rules'!$F$7:$F$26,MATCH(SUBSTITUTE(SUBSTITUTE(SUBSTITUTE(SUBSTITUTE("type:"&amp;B570,"%","%25"),"~","%7E"),"*","%2A"),"?","%3F"),'Rules'!$G$7:$G$26,0))&lt;&gt;"",INDEX('Rules'!$F$7:$F$26,MATCH(SUBSTITUTE(SUBSTITUTE(SUBSTITUTE(SUBSTITUTE("type:"&amp;B570,"%","%25"),"~","%7E"),"*","%2A"),"?","%3F"),'Rules'!$G$7:$G$26,0)),IF(AND(C570&lt;&gt;"",C570&lt;&gt;INDEX('Rules'!$B$7:$B$26,MATCH(SUBSTITUTE(SUBSTITUTE(SUBSTITUTE(SUBSTITUTE("type:"&amp;B570,"%","%25"),"~","%7E"),"*","%2A"),"?","%3F"),'Rules'!$G$7:$G$26,0))),"Unit mismatch",IF(IF(NOT(ISNUMBER(D570)),TRUE,OR(D570&lt;0,D570&gt;999999999,ROUND(D570,3)&lt;&gt;D570)),"Invalid current reading",IF(AND(E570&lt;&gt;"",IF(NOT(ISNUMBER(E570)),TRUE,OR(E570&lt;0,E570&gt;999999999,ROUND(E570,3)&lt;&gt;E570))),"Invalid previous reading",IF(IF(NOT(ISNUMBER(F570)),TRUE,OR(F570&lt;0,F570&gt;999999999,ROUND(F570,3)&lt;&gt;F570)),"Invalid last service",IF(AND(E570&lt;&gt;"",D570&lt;E570),"Decreased reading",IF(F570&gt;D570,"Last service above current","")))))))))))))</x:f>
      </x:c>
      <x:c r="L570" s="6" t="str">
        <x:f>IF(AND(NOT(COUNTA(A570:F570)=0),K570=""),INDEX('Rules'!$C$7:$C$26,MATCH(SUBSTITUTE(SUBSTITUTE(SUBSTITUTE(SUBSTITUTE("type:"&amp;B570,"%","%25"),"~","%7E"),"*","%2A"),"?","%3F"),'Rules'!$G$7:$G$26,0)),"")</x:f>
      </x:c>
      <x:c r="M570" s="6" t="str">
        <x:f>IF(AND(NOT(COUNTA(A570:F570)=0),K570=""),INDEX('Rules'!$D$7:$D$26,MATCH(SUBSTITUTE(SUBSTITUTE(SUBSTITUTE(SUBSTITUTE("type:"&amp;B570,"%","%25"),"~","%7E"),"*","%2A"),"?","%3F"),'Rules'!$G$7:$G$26,0)),"")</x:f>
      </x:c>
      <x:c r="N570" s="5" t="str">
        <x:f>IF(COUNTA(A570:F570)=0,"",SUBSTITUTE(SUBSTITUTE(SUBSTITUTE(SUBSTITUTE("id:"&amp;A570,"%","%25"),"~","%7E"),"*","%2A"),"?","%3F"))</x:f>
      </x:c>
    </x:row>
    <x:row r="571" ht="22" customHeight="1">
      <x:c r="A571" s="3"/>
      <x:c r="B571" s="3"/>
      <x:c r="C571" s="3"/>
      <x:c r="D571" s="4"/>
      <x:c r="E571" s="4"/>
      <x:c r="F571" s="4"/>
      <x:c r="G571" s="5" t="str">
        <x:f>IF(COUNTA(A571:F571)=0,"",IF(K571&lt;&gt;"","Review",IF(I571&lt;0,"Overdue",IF(I571=0,"Due now",IF(I571&lt;=M571,"Due soon","Not due")))))</x:f>
      </x:c>
      <x:c r="H571" s="5" t="str">
        <x:f>IF(OR(COUNTA(A571:F571)=0,COUNTIFS('Rules'!$G$7:$G$26,"="&amp;(SUBSTITUTE(SUBSTITUTE(SUBSTITUTE(SUBSTITUTE("type:"&amp;B571,"%","%25"),"~","%7E"),"*","%2A"),"?","%3F")))&lt;&gt;1),"",IF(OR(INDEX('Rules'!$B$7:$B$26,MATCH(SUBSTITUTE(SUBSTITUTE(SUBSTITUTE(SUBSTITUTE("type:"&amp;B571,"%","%25"),"~","%7E"),"*","%2A"),"?","%3F"),'Rules'!$G$7:$G$26,0))="hours",INDEX('Rules'!$B$7:$B$26,MATCH(SUBSTITUTE(SUBSTITUTE(SUBSTITUTE(SUBSTITUTE("type:"&amp;B571,"%","%25"),"~","%7E"),"*","%2A"),"?","%3F"),'Rules'!$G$7:$G$26,0))="km"),INDEX('Rules'!$B$7:$B$26,MATCH(SUBSTITUTE(SUBSTITUTE(SUBSTITUTE(SUBSTITUTE("type:"&amp;B571,"%","%25"),"~","%7E"),"*","%2A"),"?","%3F"),'Rules'!$G$7:$G$26,0)),""))</x:f>
      </x:c>
      <x:c r="I571" s="6" t="str">
        <x:f>IF(AND(NOT(COUNTA(A571:F571)=0),K571=""),ROUND(J571-D571,3),"")</x:f>
      </x:c>
      <x:c r="J571" s="6" t="str">
        <x:f>IF(AND(NOT(COUNTA(A571:F571)=0),K571=""),ROUND(F571+L571,3),"")</x:f>
      </x:c>
      <x:c r="K571" s="5" t="str">
        <x:f>IF(COUNTA(A571:F571)=0,"",IF(A571="","Missing equipment ID",IF(COUNTIFS($N$8:$N$2007,"="&amp;N571)&gt;1,"Duplicate equipment ID",IF(B571="","Missing type",IF(COUNTIFS('Rules'!$G$7:$G$26,"="&amp;(SUBSTITUTE(SUBSTITUTE(SUBSTITUTE(SUBSTITUTE("type:"&amp;B571,"%","%25"),"~","%7E"),"*","%2A"),"?","%3F")))=0,"Unknown type",IF(COUNTIFS('Rules'!$G$7:$G$26,"="&amp;(SUBSTITUTE(SUBSTITUTE(SUBSTITUTE(SUBSTITUTE("type:"&amp;B571,"%","%25"),"~","%7E"),"*","%2A"),"?","%3F")))&gt;1,"Duplicate type",IF(INDEX('Rules'!$F$7:$F$26,MATCH(SUBSTITUTE(SUBSTITUTE(SUBSTITUTE(SUBSTITUTE("type:"&amp;B571,"%","%25"),"~","%7E"),"*","%2A"),"?","%3F"),'Rules'!$G$7:$G$26,0))&lt;&gt;"",INDEX('Rules'!$F$7:$F$26,MATCH(SUBSTITUTE(SUBSTITUTE(SUBSTITUTE(SUBSTITUTE("type:"&amp;B571,"%","%25"),"~","%7E"),"*","%2A"),"?","%3F"),'Rules'!$G$7:$G$26,0)),IF(AND(C571&lt;&gt;"",C571&lt;&gt;INDEX('Rules'!$B$7:$B$26,MATCH(SUBSTITUTE(SUBSTITUTE(SUBSTITUTE(SUBSTITUTE("type:"&amp;B571,"%","%25"),"~","%7E"),"*","%2A"),"?","%3F"),'Rules'!$G$7:$G$26,0))),"Unit mismatch",IF(IF(NOT(ISNUMBER(D571)),TRUE,OR(D571&lt;0,D571&gt;999999999,ROUND(D571,3)&lt;&gt;D571)),"Invalid current reading",IF(AND(E571&lt;&gt;"",IF(NOT(ISNUMBER(E571)),TRUE,OR(E571&lt;0,E571&gt;999999999,ROUND(E571,3)&lt;&gt;E571))),"Invalid previous reading",IF(IF(NOT(ISNUMBER(F571)),TRUE,OR(F571&lt;0,F571&gt;999999999,ROUND(F571,3)&lt;&gt;F571)),"Invalid last service",IF(AND(E571&lt;&gt;"",D571&lt;E571),"Decreased reading",IF(F571&gt;D571,"Last service above current","")))))))))))))</x:f>
      </x:c>
      <x:c r="L571" s="6" t="str">
        <x:f>IF(AND(NOT(COUNTA(A571:F571)=0),K571=""),INDEX('Rules'!$C$7:$C$26,MATCH(SUBSTITUTE(SUBSTITUTE(SUBSTITUTE(SUBSTITUTE("type:"&amp;B571,"%","%25"),"~","%7E"),"*","%2A"),"?","%3F"),'Rules'!$G$7:$G$26,0)),"")</x:f>
      </x:c>
      <x:c r="M571" s="6" t="str">
        <x:f>IF(AND(NOT(COUNTA(A571:F571)=0),K571=""),INDEX('Rules'!$D$7:$D$26,MATCH(SUBSTITUTE(SUBSTITUTE(SUBSTITUTE(SUBSTITUTE("type:"&amp;B571,"%","%25"),"~","%7E"),"*","%2A"),"?","%3F"),'Rules'!$G$7:$G$26,0)),"")</x:f>
      </x:c>
      <x:c r="N571" s="5" t="str">
        <x:f>IF(COUNTA(A571:F571)=0,"",SUBSTITUTE(SUBSTITUTE(SUBSTITUTE(SUBSTITUTE("id:"&amp;A571,"%","%25"),"~","%7E"),"*","%2A"),"?","%3F"))</x:f>
      </x:c>
    </x:row>
    <x:row r="572" ht="22" customHeight="1">
      <x:c r="A572" s="3"/>
      <x:c r="B572" s="3"/>
      <x:c r="C572" s="3"/>
      <x:c r="D572" s="4"/>
      <x:c r="E572" s="4"/>
      <x:c r="F572" s="4"/>
      <x:c r="G572" s="5" t="str">
        <x:f>IF(COUNTA(A572:F572)=0,"",IF(K572&lt;&gt;"","Review",IF(I572&lt;0,"Overdue",IF(I572=0,"Due now",IF(I572&lt;=M572,"Due soon","Not due")))))</x:f>
      </x:c>
      <x:c r="H572" s="5" t="str">
        <x:f>IF(OR(COUNTA(A572:F572)=0,COUNTIFS('Rules'!$G$7:$G$26,"="&amp;(SUBSTITUTE(SUBSTITUTE(SUBSTITUTE(SUBSTITUTE("type:"&amp;B572,"%","%25"),"~","%7E"),"*","%2A"),"?","%3F")))&lt;&gt;1),"",IF(OR(INDEX('Rules'!$B$7:$B$26,MATCH(SUBSTITUTE(SUBSTITUTE(SUBSTITUTE(SUBSTITUTE("type:"&amp;B572,"%","%25"),"~","%7E"),"*","%2A"),"?","%3F"),'Rules'!$G$7:$G$26,0))="hours",INDEX('Rules'!$B$7:$B$26,MATCH(SUBSTITUTE(SUBSTITUTE(SUBSTITUTE(SUBSTITUTE("type:"&amp;B572,"%","%25"),"~","%7E"),"*","%2A"),"?","%3F"),'Rules'!$G$7:$G$26,0))="km"),INDEX('Rules'!$B$7:$B$26,MATCH(SUBSTITUTE(SUBSTITUTE(SUBSTITUTE(SUBSTITUTE("type:"&amp;B572,"%","%25"),"~","%7E"),"*","%2A"),"?","%3F"),'Rules'!$G$7:$G$26,0)),""))</x:f>
      </x:c>
      <x:c r="I572" s="6" t="str">
        <x:f>IF(AND(NOT(COUNTA(A572:F572)=0),K572=""),ROUND(J572-D572,3),"")</x:f>
      </x:c>
      <x:c r="J572" s="6" t="str">
        <x:f>IF(AND(NOT(COUNTA(A572:F572)=0),K572=""),ROUND(F572+L572,3),"")</x:f>
      </x:c>
      <x:c r="K572" s="5" t="str">
        <x:f>IF(COUNTA(A572:F572)=0,"",IF(A572="","Missing equipment ID",IF(COUNTIFS($N$8:$N$2007,"="&amp;N572)&gt;1,"Duplicate equipment ID",IF(B572="","Missing type",IF(COUNTIFS('Rules'!$G$7:$G$26,"="&amp;(SUBSTITUTE(SUBSTITUTE(SUBSTITUTE(SUBSTITUTE("type:"&amp;B572,"%","%25"),"~","%7E"),"*","%2A"),"?","%3F")))=0,"Unknown type",IF(COUNTIFS('Rules'!$G$7:$G$26,"="&amp;(SUBSTITUTE(SUBSTITUTE(SUBSTITUTE(SUBSTITUTE("type:"&amp;B572,"%","%25"),"~","%7E"),"*","%2A"),"?","%3F")))&gt;1,"Duplicate type",IF(INDEX('Rules'!$F$7:$F$26,MATCH(SUBSTITUTE(SUBSTITUTE(SUBSTITUTE(SUBSTITUTE("type:"&amp;B572,"%","%25"),"~","%7E"),"*","%2A"),"?","%3F"),'Rules'!$G$7:$G$26,0))&lt;&gt;"",INDEX('Rules'!$F$7:$F$26,MATCH(SUBSTITUTE(SUBSTITUTE(SUBSTITUTE(SUBSTITUTE("type:"&amp;B572,"%","%25"),"~","%7E"),"*","%2A"),"?","%3F"),'Rules'!$G$7:$G$26,0)),IF(AND(C572&lt;&gt;"",C572&lt;&gt;INDEX('Rules'!$B$7:$B$26,MATCH(SUBSTITUTE(SUBSTITUTE(SUBSTITUTE(SUBSTITUTE("type:"&amp;B572,"%","%25"),"~","%7E"),"*","%2A"),"?","%3F"),'Rules'!$G$7:$G$26,0))),"Unit mismatch",IF(IF(NOT(ISNUMBER(D572)),TRUE,OR(D572&lt;0,D572&gt;999999999,ROUND(D572,3)&lt;&gt;D572)),"Invalid current reading",IF(AND(E572&lt;&gt;"",IF(NOT(ISNUMBER(E572)),TRUE,OR(E572&lt;0,E572&gt;999999999,ROUND(E572,3)&lt;&gt;E572))),"Invalid previous reading",IF(IF(NOT(ISNUMBER(F572)),TRUE,OR(F572&lt;0,F572&gt;999999999,ROUND(F572,3)&lt;&gt;F572)),"Invalid last service",IF(AND(E572&lt;&gt;"",D572&lt;E572),"Decreased reading",IF(F572&gt;D572,"Last service above current","")))))))))))))</x:f>
      </x:c>
      <x:c r="L572" s="6" t="str">
        <x:f>IF(AND(NOT(COUNTA(A572:F572)=0),K572=""),INDEX('Rules'!$C$7:$C$26,MATCH(SUBSTITUTE(SUBSTITUTE(SUBSTITUTE(SUBSTITUTE("type:"&amp;B572,"%","%25"),"~","%7E"),"*","%2A"),"?","%3F"),'Rules'!$G$7:$G$26,0)),"")</x:f>
      </x:c>
      <x:c r="M572" s="6" t="str">
        <x:f>IF(AND(NOT(COUNTA(A572:F572)=0),K572=""),INDEX('Rules'!$D$7:$D$26,MATCH(SUBSTITUTE(SUBSTITUTE(SUBSTITUTE(SUBSTITUTE("type:"&amp;B572,"%","%25"),"~","%7E"),"*","%2A"),"?","%3F"),'Rules'!$G$7:$G$26,0)),"")</x:f>
      </x:c>
      <x:c r="N572" s="5" t="str">
        <x:f>IF(COUNTA(A572:F572)=0,"",SUBSTITUTE(SUBSTITUTE(SUBSTITUTE(SUBSTITUTE("id:"&amp;A572,"%","%25"),"~","%7E"),"*","%2A"),"?","%3F"))</x:f>
      </x:c>
    </x:row>
    <x:row r="573" ht="22" customHeight="1">
      <x:c r="A573" s="3"/>
      <x:c r="B573" s="3"/>
      <x:c r="C573" s="3"/>
      <x:c r="D573" s="4"/>
      <x:c r="E573" s="4"/>
      <x:c r="F573" s="4"/>
      <x:c r="G573" s="5" t="str">
        <x:f>IF(COUNTA(A573:F573)=0,"",IF(K573&lt;&gt;"","Review",IF(I573&lt;0,"Overdue",IF(I573=0,"Due now",IF(I573&lt;=M573,"Due soon","Not due")))))</x:f>
      </x:c>
      <x:c r="H573" s="5" t="str">
        <x:f>IF(OR(COUNTA(A573:F573)=0,COUNTIFS('Rules'!$G$7:$G$26,"="&amp;(SUBSTITUTE(SUBSTITUTE(SUBSTITUTE(SUBSTITUTE("type:"&amp;B573,"%","%25"),"~","%7E"),"*","%2A"),"?","%3F")))&lt;&gt;1),"",IF(OR(INDEX('Rules'!$B$7:$B$26,MATCH(SUBSTITUTE(SUBSTITUTE(SUBSTITUTE(SUBSTITUTE("type:"&amp;B573,"%","%25"),"~","%7E"),"*","%2A"),"?","%3F"),'Rules'!$G$7:$G$26,0))="hours",INDEX('Rules'!$B$7:$B$26,MATCH(SUBSTITUTE(SUBSTITUTE(SUBSTITUTE(SUBSTITUTE("type:"&amp;B573,"%","%25"),"~","%7E"),"*","%2A"),"?","%3F"),'Rules'!$G$7:$G$26,0))="km"),INDEX('Rules'!$B$7:$B$26,MATCH(SUBSTITUTE(SUBSTITUTE(SUBSTITUTE(SUBSTITUTE("type:"&amp;B573,"%","%25"),"~","%7E"),"*","%2A"),"?","%3F"),'Rules'!$G$7:$G$26,0)),""))</x:f>
      </x:c>
      <x:c r="I573" s="6" t="str">
        <x:f>IF(AND(NOT(COUNTA(A573:F573)=0),K573=""),ROUND(J573-D573,3),"")</x:f>
      </x:c>
      <x:c r="J573" s="6" t="str">
        <x:f>IF(AND(NOT(COUNTA(A573:F573)=0),K573=""),ROUND(F573+L573,3),"")</x:f>
      </x:c>
      <x:c r="K573" s="5" t="str">
        <x:f>IF(COUNTA(A573:F573)=0,"",IF(A573="","Missing equipment ID",IF(COUNTIFS($N$8:$N$2007,"="&amp;N573)&gt;1,"Duplicate equipment ID",IF(B573="","Missing type",IF(COUNTIFS('Rules'!$G$7:$G$26,"="&amp;(SUBSTITUTE(SUBSTITUTE(SUBSTITUTE(SUBSTITUTE("type:"&amp;B573,"%","%25"),"~","%7E"),"*","%2A"),"?","%3F")))=0,"Unknown type",IF(COUNTIFS('Rules'!$G$7:$G$26,"="&amp;(SUBSTITUTE(SUBSTITUTE(SUBSTITUTE(SUBSTITUTE("type:"&amp;B573,"%","%25"),"~","%7E"),"*","%2A"),"?","%3F")))&gt;1,"Duplicate type",IF(INDEX('Rules'!$F$7:$F$26,MATCH(SUBSTITUTE(SUBSTITUTE(SUBSTITUTE(SUBSTITUTE("type:"&amp;B573,"%","%25"),"~","%7E"),"*","%2A"),"?","%3F"),'Rules'!$G$7:$G$26,0))&lt;&gt;"",INDEX('Rules'!$F$7:$F$26,MATCH(SUBSTITUTE(SUBSTITUTE(SUBSTITUTE(SUBSTITUTE("type:"&amp;B573,"%","%25"),"~","%7E"),"*","%2A"),"?","%3F"),'Rules'!$G$7:$G$26,0)),IF(AND(C573&lt;&gt;"",C573&lt;&gt;INDEX('Rules'!$B$7:$B$26,MATCH(SUBSTITUTE(SUBSTITUTE(SUBSTITUTE(SUBSTITUTE("type:"&amp;B573,"%","%25"),"~","%7E"),"*","%2A"),"?","%3F"),'Rules'!$G$7:$G$26,0))),"Unit mismatch",IF(IF(NOT(ISNUMBER(D573)),TRUE,OR(D573&lt;0,D573&gt;999999999,ROUND(D573,3)&lt;&gt;D573)),"Invalid current reading",IF(AND(E573&lt;&gt;"",IF(NOT(ISNUMBER(E573)),TRUE,OR(E573&lt;0,E573&gt;999999999,ROUND(E573,3)&lt;&gt;E573))),"Invalid previous reading",IF(IF(NOT(ISNUMBER(F573)),TRUE,OR(F573&lt;0,F573&gt;999999999,ROUND(F573,3)&lt;&gt;F573)),"Invalid last service",IF(AND(E573&lt;&gt;"",D573&lt;E573),"Decreased reading",IF(F573&gt;D573,"Last service above current","")))))))))))))</x:f>
      </x:c>
      <x:c r="L573" s="6" t="str">
        <x:f>IF(AND(NOT(COUNTA(A573:F573)=0),K573=""),INDEX('Rules'!$C$7:$C$26,MATCH(SUBSTITUTE(SUBSTITUTE(SUBSTITUTE(SUBSTITUTE("type:"&amp;B573,"%","%25"),"~","%7E"),"*","%2A"),"?","%3F"),'Rules'!$G$7:$G$26,0)),"")</x:f>
      </x:c>
      <x:c r="M573" s="6" t="str">
        <x:f>IF(AND(NOT(COUNTA(A573:F573)=0),K573=""),INDEX('Rules'!$D$7:$D$26,MATCH(SUBSTITUTE(SUBSTITUTE(SUBSTITUTE(SUBSTITUTE("type:"&amp;B573,"%","%25"),"~","%7E"),"*","%2A"),"?","%3F"),'Rules'!$G$7:$G$26,0)),"")</x:f>
      </x:c>
      <x:c r="N573" s="5" t="str">
        <x:f>IF(COUNTA(A573:F573)=0,"",SUBSTITUTE(SUBSTITUTE(SUBSTITUTE(SUBSTITUTE("id:"&amp;A573,"%","%25"),"~","%7E"),"*","%2A"),"?","%3F"))</x:f>
      </x:c>
    </x:row>
    <x:row r="574" ht="22" customHeight="1">
      <x:c r="A574" s="3"/>
      <x:c r="B574" s="3"/>
      <x:c r="C574" s="3"/>
      <x:c r="D574" s="4"/>
      <x:c r="E574" s="4"/>
      <x:c r="F574" s="4"/>
      <x:c r="G574" s="5" t="str">
        <x:f>IF(COUNTA(A574:F574)=0,"",IF(K574&lt;&gt;"","Review",IF(I574&lt;0,"Overdue",IF(I574=0,"Due now",IF(I574&lt;=M574,"Due soon","Not due")))))</x:f>
      </x:c>
      <x:c r="H574" s="5" t="str">
        <x:f>IF(OR(COUNTA(A574:F574)=0,COUNTIFS('Rules'!$G$7:$G$26,"="&amp;(SUBSTITUTE(SUBSTITUTE(SUBSTITUTE(SUBSTITUTE("type:"&amp;B574,"%","%25"),"~","%7E"),"*","%2A"),"?","%3F")))&lt;&gt;1),"",IF(OR(INDEX('Rules'!$B$7:$B$26,MATCH(SUBSTITUTE(SUBSTITUTE(SUBSTITUTE(SUBSTITUTE("type:"&amp;B574,"%","%25"),"~","%7E"),"*","%2A"),"?","%3F"),'Rules'!$G$7:$G$26,0))="hours",INDEX('Rules'!$B$7:$B$26,MATCH(SUBSTITUTE(SUBSTITUTE(SUBSTITUTE(SUBSTITUTE("type:"&amp;B574,"%","%25"),"~","%7E"),"*","%2A"),"?","%3F"),'Rules'!$G$7:$G$26,0))="km"),INDEX('Rules'!$B$7:$B$26,MATCH(SUBSTITUTE(SUBSTITUTE(SUBSTITUTE(SUBSTITUTE("type:"&amp;B574,"%","%25"),"~","%7E"),"*","%2A"),"?","%3F"),'Rules'!$G$7:$G$26,0)),""))</x:f>
      </x:c>
      <x:c r="I574" s="6" t="str">
        <x:f>IF(AND(NOT(COUNTA(A574:F574)=0),K574=""),ROUND(J574-D574,3),"")</x:f>
      </x:c>
      <x:c r="J574" s="6" t="str">
        <x:f>IF(AND(NOT(COUNTA(A574:F574)=0),K574=""),ROUND(F574+L574,3),"")</x:f>
      </x:c>
      <x:c r="K574" s="5" t="str">
        <x:f>IF(COUNTA(A574:F574)=0,"",IF(A574="","Missing equipment ID",IF(COUNTIFS($N$8:$N$2007,"="&amp;N574)&gt;1,"Duplicate equipment ID",IF(B574="","Missing type",IF(COUNTIFS('Rules'!$G$7:$G$26,"="&amp;(SUBSTITUTE(SUBSTITUTE(SUBSTITUTE(SUBSTITUTE("type:"&amp;B574,"%","%25"),"~","%7E"),"*","%2A"),"?","%3F")))=0,"Unknown type",IF(COUNTIFS('Rules'!$G$7:$G$26,"="&amp;(SUBSTITUTE(SUBSTITUTE(SUBSTITUTE(SUBSTITUTE("type:"&amp;B574,"%","%25"),"~","%7E"),"*","%2A"),"?","%3F")))&gt;1,"Duplicate type",IF(INDEX('Rules'!$F$7:$F$26,MATCH(SUBSTITUTE(SUBSTITUTE(SUBSTITUTE(SUBSTITUTE("type:"&amp;B574,"%","%25"),"~","%7E"),"*","%2A"),"?","%3F"),'Rules'!$G$7:$G$26,0))&lt;&gt;"",INDEX('Rules'!$F$7:$F$26,MATCH(SUBSTITUTE(SUBSTITUTE(SUBSTITUTE(SUBSTITUTE("type:"&amp;B574,"%","%25"),"~","%7E"),"*","%2A"),"?","%3F"),'Rules'!$G$7:$G$26,0)),IF(AND(C574&lt;&gt;"",C574&lt;&gt;INDEX('Rules'!$B$7:$B$26,MATCH(SUBSTITUTE(SUBSTITUTE(SUBSTITUTE(SUBSTITUTE("type:"&amp;B574,"%","%25"),"~","%7E"),"*","%2A"),"?","%3F"),'Rules'!$G$7:$G$26,0))),"Unit mismatch",IF(IF(NOT(ISNUMBER(D574)),TRUE,OR(D574&lt;0,D574&gt;999999999,ROUND(D574,3)&lt;&gt;D574)),"Invalid current reading",IF(AND(E574&lt;&gt;"",IF(NOT(ISNUMBER(E574)),TRUE,OR(E574&lt;0,E574&gt;999999999,ROUND(E574,3)&lt;&gt;E574))),"Invalid previous reading",IF(IF(NOT(ISNUMBER(F574)),TRUE,OR(F574&lt;0,F574&gt;999999999,ROUND(F574,3)&lt;&gt;F574)),"Invalid last service",IF(AND(E574&lt;&gt;"",D574&lt;E574),"Decreased reading",IF(F574&gt;D574,"Last service above current","")))))))))))))</x:f>
      </x:c>
      <x:c r="L574" s="6" t="str">
        <x:f>IF(AND(NOT(COUNTA(A574:F574)=0),K574=""),INDEX('Rules'!$C$7:$C$26,MATCH(SUBSTITUTE(SUBSTITUTE(SUBSTITUTE(SUBSTITUTE("type:"&amp;B574,"%","%25"),"~","%7E"),"*","%2A"),"?","%3F"),'Rules'!$G$7:$G$26,0)),"")</x:f>
      </x:c>
      <x:c r="M574" s="6" t="str">
        <x:f>IF(AND(NOT(COUNTA(A574:F574)=0),K574=""),INDEX('Rules'!$D$7:$D$26,MATCH(SUBSTITUTE(SUBSTITUTE(SUBSTITUTE(SUBSTITUTE("type:"&amp;B574,"%","%25"),"~","%7E"),"*","%2A"),"?","%3F"),'Rules'!$G$7:$G$26,0)),"")</x:f>
      </x:c>
      <x:c r="N574" s="5" t="str">
        <x:f>IF(COUNTA(A574:F574)=0,"",SUBSTITUTE(SUBSTITUTE(SUBSTITUTE(SUBSTITUTE("id:"&amp;A574,"%","%25"),"~","%7E"),"*","%2A"),"?","%3F"))</x:f>
      </x:c>
    </x:row>
    <x:row r="575" ht="22" customHeight="1">
      <x:c r="A575" s="3"/>
      <x:c r="B575" s="3"/>
      <x:c r="C575" s="3"/>
      <x:c r="D575" s="4"/>
      <x:c r="E575" s="4"/>
      <x:c r="F575" s="4"/>
      <x:c r="G575" s="5" t="str">
        <x:f>IF(COUNTA(A575:F575)=0,"",IF(K575&lt;&gt;"","Review",IF(I575&lt;0,"Overdue",IF(I575=0,"Due now",IF(I575&lt;=M575,"Due soon","Not due")))))</x:f>
      </x:c>
      <x:c r="H575" s="5" t="str">
        <x:f>IF(OR(COUNTA(A575:F575)=0,COUNTIFS('Rules'!$G$7:$G$26,"="&amp;(SUBSTITUTE(SUBSTITUTE(SUBSTITUTE(SUBSTITUTE("type:"&amp;B575,"%","%25"),"~","%7E"),"*","%2A"),"?","%3F")))&lt;&gt;1),"",IF(OR(INDEX('Rules'!$B$7:$B$26,MATCH(SUBSTITUTE(SUBSTITUTE(SUBSTITUTE(SUBSTITUTE("type:"&amp;B575,"%","%25"),"~","%7E"),"*","%2A"),"?","%3F"),'Rules'!$G$7:$G$26,0))="hours",INDEX('Rules'!$B$7:$B$26,MATCH(SUBSTITUTE(SUBSTITUTE(SUBSTITUTE(SUBSTITUTE("type:"&amp;B575,"%","%25"),"~","%7E"),"*","%2A"),"?","%3F"),'Rules'!$G$7:$G$26,0))="km"),INDEX('Rules'!$B$7:$B$26,MATCH(SUBSTITUTE(SUBSTITUTE(SUBSTITUTE(SUBSTITUTE("type:"&amp;B575,"%","%25"),"~","%7E"),"*","%2A"),"?","%3F"),'Rules'!$G$7:$G$26,0)),""))</x:f>
      </x:c>
      <x:c r="I575" s="6" t="str">
        <x:f>IF(AND(NOT(COUNTA(A575:F575)=0),K575=""),ROUND(J575-D575,3),"")</x:f>
      </x:c>
      <x:c r="J575" s="6" t="str">
        <x:f>IF(AND(NOT(COUNTA(A575:F575)=0),K575=""),ROUND(F575+L575,3),"")</x:f>
      </x:c>
      <x:c r="K575" s="5" t="str">
        <x:f>IF(COUNTA(A575:F575)=0,"",IF(A575="","Missing equipment ID",IF(COUNTIFS($N$8:$N$2007,"="&amp;N575)&gt;1,"Duplicate equipment ID",IF(B575="","Missing type",IF(COUNTIFS('Rules'!$G$7:$G$26,"="&amp;(SUBSTITUTE(SUBSTITUTE(SUBSTITUTE(SUBSTITUTE("type:"&amp;B575,"%","%25"),"~","%7E"),"*","%2A"),"?","%3F")))=0,"Unknown type",IF(COUNTIFS('Rules'!$G$7:$G$26,"="&amp;(SUBSTITUTE(SUBSTITUTE(SUBSTITUTE(SUBSTITUTE("type:"&amp;B575,"%","%25"),"~","%7E"),"*","%2A"),"?","%3F")))&gt;1,"Duplicate type",IF(INDEX('Rules'!$F$7:$F$26,MATCH(SUBSTITUTE(SUBSTITUTE(SUBSTITUTE(SUBSTITUTE("type:"&amp;B575,"%","%25"),"~","%7E"),"*","%2A"),"?","%3F"),'Rules'!$G$7:$G$26,0))&lt;&gt;"",INDEX('Rules'!$F$7:$F$26,MATCH(SUBSTITUTE(SUBSTITUTE(SUBSTITUTE(SUBSTITUTE("type:"&amp;B575,"%","%25"),"~","%7E"),"*","%2A"),"?","%3F"),'Rules'!$G$7:$G$26,0)),IF(AND(C575&lt;&gt;"",C575&lt;&gt;INDEX('Rules'!$B$7:$B$26,MATCH(SUBSTITUTE(SUBSTITUTE(SUBSTITUTE(SUBSTITUTE("type:"&amp;B575,"%","%25"),"~","%7E"),"*","%2A"),"?","%3F"),'Rules'!$G$7:$G$26,0))),"Unit mismatch",IF(IF(NOT(ISNUMBER(D575)),TRUE,OR(D575&lt;0,D575&gt;999999999,ROUND(D575,3)&lt;&gt;D575)),"Invalid current reading",IF(AND(E575&lt;&gt;"",IF(NOT(ISNUMBER(E575)),TRUE,OR(E575&lt;0,E575&gt;999999999,ROUND(E575,3)&lt;&gt;E575))),"Invalid previous reading",IF(IF(NOT(ISNUMBER(F575)),TRUE,OR(F575&lt;0,F575&gt;999999999,ROUND(F575,3)&lt;&gt;F575)),"Invalid last service",IF(AND(E575&lt;&gt;"",D575&lt;E575),"Decreased reading",IF(F575&gt;D575,"Last service above current","")))))))))))))</x:f>
      </x:c>
      <x:c r="L575" s="6" t="str">
        <x:f>IF(AND(NOT(COUNTA(A575:F575)=0),K575=""),INDEX('Rules'!$C$7:$C$26,MATCH(SUBSTITUTE(SUBSTITUTE(SUBSTITUTE(SUBSTITUTE("type:"&amp;B575,"%","%25"),"~","%7E"),"*","%2A"),"?","%3F"),'Rules'!$G$7:$G$26,0)),"")</x:f>
      </x:c>
      <x:c r="M575" s="6" t="str">
        <x:f>IF(AND(NOT(COUNTA(A575:F575)=0),K575=""),INDEX('Rules'!$D$7:$D$26,MATCH(SUBSTITUTE(SUBSTITUTE(SUBSTITUTE(SUBSTITUTE("type:"&amp;B575,"%","%25"),"~","%7E"),"*","%2A"),"?","%3F"),'Rules'!$G$7:$G$26,0)),"")</x:f>
      </x:c>
      <x:c r="N575" s="5" t="str">
        <x:f>IF(COUNTA(A575:F575)=0,"",SUBSTITUTE(SUBSTITUTE(SUBSTITUTE(SUBSTITUTE("id:"&amp;A575,"%","%25"),"~","%7E"),"*","%2A"),"?","%3F"))</x:f>
      </x:c>
    </x:row>
    <x:row r="576" ht="22" customHeight="1">
      <x:c r="A576" s="3"/>
      <x:c r="B576" s="3"/>
      <x:c r="C576" s="3"/>
      <x:c r="D576" s="4"/>
      <x:c r="E576" s="4"/>
      <x:c r="F576" s="4"/>
      <x:c r="G576" s="5" t="str">
        <x:f>IF(COUNTA(A576:F576)=0,"",IF(K576&lt;&gt;"","Review",IF(I576&lt;0,"Overdue",IF(I576=0,"Due now",IF(I576&lt;=M576,"Due soon","Not due")))))</x:f>
      </x:c>
      <x:c r="H576" s="5" t="str">
        <x:f>IF(OR(COUNTA(A576:F576)=0,COUNTIFS('Rules'!$G$7:$G$26,"="&amp;(SUBSTITUTE(SUBSTITUTE(SUBSTITUTE(SUBSTITUTE("type:"&amp;B576,"%","%25"),"~","%7E"),"*","%2A"),"?","%3F")))&lt;&gt;1),"",IF(OR(INDEX('Rules'!$B$7:$B$26,MATCH(SUBSTITUTE(SUBSTITUTE(SUBSTITUTE(SUBSTITUTE("type:"&amp;B576,"%","%25"),"~","%7E"),"*","%2A"),"?","%3F"),'Rules'!$G$7:$G$26,0))="hours",INDEX('Rules'!$B$7:$B$26,MATCH(SUBSTITUTE(SUBSTITUTE(SUBSTITUTE(SUBSTITUTE("type:"&amp;B576,"%","%25"),"~","%7E"),"*","%2A"),"?","%3F"),'Rules'!$G$7:$G$26,0))="km"),INDEX('Rules'!$B$7:$B$26,MATCH(SUBSTITUTE(SUBSTITUTE(SUBSTITUTE(SUBSTITUTE("type:"&amp;B576,"%","%25"),"~","%7E"),"*","%2A"),"?","%3F"),'Rules'!$G$7:$G$26,0)),""))</x:f>
      </x:c>
      <x:c r="I576" s="6" t="str">
        <x:f>IF(AND(NOT(COUNTA(A576:F576)=0),K576=""),ROUND(J576-D576,3),"")</x:f>
      </x:c>
      <x:c r="J576" s="6" t="str">
        <x:f>IF(AND(NOT(COUNTA(A576:F576)=0),K576=""),ROUND(F576+L576,3),"")</x:f>
      </x:c>
      <x:c r="K576" s="5" t="str">
        <x:f>IF(COUNTA(A576:F576)=0,"",IF(A576="","Missing equipment ID",IF(COUNTIFS($N$8:$N$2007,"="&amp;N576)&gt;1,"Duplicate equipment ID",IF(B576="","Missing type",IF(COUNTIFS('Rules'!$G$7:$G$26,"="&amp;(SUBSTITUTE(SUBSTITUTE(SUBSTITUTE(SUBSTITUTE("type:"&amp;B576,"%","%25"),"~","%7E"),"*","%2A"),"?","%3F")))=0,"Unknown type",IF(COUNTIFS('Rules'!$G$7:$G$26,"="&amp;(SUBSTITUTE(SUBSTITUTE(SUBSTITUTE(SUBSTITUTE("type:"&amp;B576,"%","%25"),"~","%7E"),"*","%2A"),"?","%3F")))&gt;1,"Duplicate type",IF(INDEX('Rules'!$F$7:$F$26,MATCH(SUBSTITUTE(SUBSTITUTE(SUBSTITUTE(SUBSTITUTE("type:"&amp;B576,"%","%25"),"~","%7E"),"*","%2A"),"?","%3F"),'Rules'!$G$7:$G$26,0))&lt;&gt;"",INDEX('Rules'!$F$7:$F$26,MATCH(SUBSTITUTE(SUBSTITUTE(SUBSTITUTE(SUBSTITUTE("type:"&amp;B576,"%","%25"),"~","%7E"),"*","%2A"),"?","%3F"),'Rules'!$G$7:$G$26,0)),IF(AND(C576&lt;&gt;"",C576&lt;&gt;INDEX('Rules'!$B$7:$B$26,MATCH(SUBSTITUTE(SUBSTITUTE(SUBSTITUTE(SUBSTITUTE("type:"&amp;B576,"%","%25"),"~","%7E"),"*","%2A"),"?","%3F"),'Rules'!$G$7:$G$26,0))),"Unit mismatch",IF(IF(NOT(ISNUMBER(D576)),TRUE,OR(D576&lt;0,D576&gt;999999999,ROUND(D576,3)&lt;&gt;D576)),"Invalid current reading",IF(AND(E576&lt;&gt;"",IF(NOT(ISNUMBER(E576)),TRUE,OR(E576&lt;0,E576&gt;999999999,ROUND(E576,3)&lt;&gt;E576))),"Invalid previous reading",IF(IF(NOT(ISNUMBER(F576)),TRUE,OR(F576&lt;0,F576&gt;999999999,ROUND(F576,3)&lt;&gt;F576)),"Invalid last service",IF(AND(E576&lt;&gt;"",D576&lt;E576),"Decreased reading",IF(F576&gt;D576,"Last service above current","")))))))))))))</x:f>
      </x:c>
      <x:c r="L576" s="6" t="str">
        <x:f>IF(AND(NOT(COUNTA(A576:F576)=0),K576=""),INDEX('Rules'!$C$7:$C$26,MATCH(SUBSTITUTE(SUBSTITUTE(SUBSTITUTE(SUBSTITUTE("type:"&amp;B576,"%","%25"),"~","%7E"),"*","%2A"),"?","%3F"),'Rules'!$G$7:$G$26,0)),"")</x:f>
      </x:c>
      <x:c r="M576" s="6" t="str">
        <x:f>IF(AND(NOT(COUNTA(A576:F576)=0),K576=""),INDEX('Rules'!$D$7:$D$26,MATCH(SUBSTITUTE(SUBSTITUTE(SUBSTITUTE(SUBSTITUTE("type:"&amp;B576,"%","%25"),"~","%7E"),"*","%2A"),"?","%3F"),'Rules'!$G$7:$G$26,0)),"")</x:f>
      </x:c>
      <x:c r="N576" s="5" t="str">
        <x:f>IF(COUNTA(A576:F576)=0,"",SUBSTITUTE(SUBSTITUTE(SUBSTITUTE(SUBSTITUTE("id:"&amp;A576,"%","%25"),"~","%7E"),"*","%2A"),"?","%3F"))</x:f>
      </x:c>
    </x:row>
    <x:row r="577" ht="22" customHeight="1">
      <x:c r="A577" s="3"/>
      <x:c r="B577" s="3"/>
      <x:c r="C577" s="3"/>
      <x:c r="D577" s="4"/>
      <x:c r="E577" s="4"/>
      <x:c r="F577" s="4"/>
      <x:c r="G577" s="5" t="str">
        <x:f>IF(COUNTA(A577:F577)=0,"",IF(K577&lt;&gt;"","Review",IF(I577&lt;0,"Overdue",IF(I577=0,"Due now",IF(I577&lt;=M577,"Due soon","Not due")))))</x:f>
      </x:c>
      <x:c r="H577" s="5" t="str">
        <x:f>IF(OR(COUNTA(A577:F577)=0,COUNTIFS('Rules'!$G$7:$G$26,"="&amp;(SUBSTITUTE(SUBSTITUTE(SUBSTITUTE(SUBSTITUTE("type:"&amp;B577,"%","%25"),"~","%7E"),"*","%2A"),"?","%3F")))&lt;&gt;1),"",IF(OR(INDEX('Rules'!$B$7:$B$26,MATCH(SUBSTITUTE(SUBSTITUTE(SUBSTITUTE(SUBSTITUTE("type:"&amp;B577,"%","%25"),"~","%7E"),"*","%2A"),"?","%3F"),'Rules'!$G$7:$G$26,0))="hours",INDEX('Rules'!$B$7:$B$26,MATCH(SUBSTITUTE(SUBSTITUTE(SUBSTITUTE(SUBSTITUTE("type:"&amp;B577,"%","%25"),"~","%7E"),"*","%2A"),"?","%3F"),'Rules'!$G$7:$G$26,0))="km"),INDEX('Rules'!$B$7:$B$26,MATCH(SUBSTITUTE(SUBSTITUTE(SUBSTITUTE(SUBSTITUTE("type:"&amp;B577,"%","%25"),"~","%7E"),"*","%2A"),"?","%3F"),'Rules'!$G$7:$G$26,0)),""))</x:f>
      </x:c>
      <x:c r="I577" s="6" t="str">
        <x:f>IF(AND(NOT(COUNTA(A577:F577)=0),K577=""),ROUND(J577-D577,3),"")</x:f>
      </x:c>
      <x:c r="J577" s="6" t="str">
        <x:f>IF(AND(NOT(COUNTA(A577:F577)=0),K577=""),ROUND(F577+L577,3),"")</x:f>
      </x:c>
      <x:c r="K577" s="5" t="str">
        <x:f>IF(COUNTA(A577:F577)=0,"",IF(A577="","Missing equipment ID",IF(COUNTIFS($N$8:$N$2007,"="&amp;N577)&gt;1,"Duplicate equipment ID",IF(B577="","Missing type",IF(COUNTIFS('Rules'!$G$7:$G$26,"="&amp;(SUBSTITUTE(SUBSTITUTE(SUBSTITUTE(SUBSTITUTE("type:"&amp;B577,"%","%25"),"~","%7E"),"*","%2A"),"?","%3F")))=0,"Unknown type",IF(COUNTIFS('Rules'!$G$7:$G$26,"="&amp;(SUBSTITUTE(SUBSTITUTE(SUBSTITUTE(SUBSTITUTE("type:"&amp;B577,"%","%25"),"~","%7E"),"*","%2A"),"?","%3F")))&gt;1,"Duplicate type",IF(INDEX('Rules'!$F$7:$F$26,MATCH(SUBSTITUTE(SUBSTITUTE(SUBSTITUTE(SUBSTITUTE("type:"&amp;B577,"%","%25"),"~","%7E"),"*","%2A"),"?","%3F"),'Rules'!$G$7:$G$26,0))&lt;&gt;"",INDEX('Rules'!$F$7:$F$26,MATCH(SUBSTITUTE(SUBSTITUTE(SUBSTITUTE(SUBSTITUTE("type:"&amp;B577,"%","%25"),"~","%7E"),"*","%2A"),"?","%3F"),'Rules'!$G$7:$G$26,0)),IF(AND(C577&lt;&gt;"",C577&lt;&gt;INDEX('Rules'!$B$7:$B$26,MATCH(SUBSTITUTE(SUBSTITUTE(SUBSTITUTE(SUBSTITUTE("type:"&amp;B577,"%","%25"),"~","%7E"),"*","%2A"),"?","%3F"),'Rules'!$G$7:$G$26,0))),"Unit mismatch",IF(IF(NOT(ISNUMBER(D577)),TRUE,OR(D577&lt;0,D577&gt;999999999,ROUND(D577,3)&lt;&gt;D577)),"Invalid current reading",IF(AND(E577&lt;&gt;"",IF(NOT(ISNUMBER(E577)),TRUE,OR(E577&lt;0,E577&gt;999999999,ROUND(E577,3)&lt;&gt;E577))),"Invalid previous reading",IF(IF(NOT(ISNUMBER(F577)),TRUE,OR(F577&lt;0,F577&gt;999999999,ROUND(F577,3)&lt;&gt;F577)),"Invalid last service",IF(AND(E577&lt;&gt;"",D577&lt;E577),"Decreased reading",IF(F577&gt;D577,"Last service above current","")))))))))))))</x:f>
      </x:c>
      <x:c r="L577" s="6" t="str">
        <x:f>IF(AND(NOT(COUNTA(A577:F577)=0),K577=""),INDEX('Rules'!$C$7:$C$26,MATCH(SUBSTITUTE(SUBSTITUTE(SUBSTITUTE(SUBSTITUTE("type:"&amp;B577,"%","%25"),"~","%7E"),"*","%2A"),"?","%3F"),'Rules'!$G$7:$G$26,0)),"")</x:f>
      </x:c>
      <x:c r="M577" s="6" t="str">
        <x:f>IF(AND(NOT(COUNTA(A577:F577)=0),K577=""),INDEX('Rules'!$D$7:$D$26,MATCH(SUBSTITUTE(SUBSTITUTE(SUBSTITUTE(SUBSTITUTE("type:"&amp;B577,"%","%25"),"~","%7E"),"*","%2A"),"?","%3F"),'Rules'!$G$7:$G$26,0)),"")</x:f>
      </x:c>
      <x:c r="N577" s="5" t="str">
        <x:f>IF(COUNTA(A577:F577)=0,"",SUBSTITUTE(SUBSTITUTE(SUBSTITUTE(SUBSTITUTE("id:"&amp;A577,"%","%25"),"~","%7E"),"*","%2A"),"?","%3F"))</x:f>
      </x:c>
    </x:row>
    <x:row r="578" ht="22" customHeight="1">
      <x:c r="A578" s="3"/>
      <x:c r="B578" s="3"/>
      <x:c r="C578" s="3"/>
      <x:c r="D578" s="4"/>
      <x:c r="E578" s="4"/>
      <x:c r="F578" s="4"/>
      <x:c r="G578" s="5" t="str">
        <x:f>IF(COUNTA(A578:F578)=0,"",IF(K578&lt;&gt;"","Review",IF(I578&lt;0,"Overdue",IF(I578=0,"Due now",IF(I578&lt;=M578,"Due soon","Not due")))))</x:f>
      </x:c>
      <x:c r="H578" s="5" t="str">
        <x:f>IF(OR(COUNTA(A578:F578)=0,COUNTIFS('Rules'!$G$7:$G$26,"="&amp;(SUBSTITUTE(SUBSTITUTE(SUBSTITUTE(SUBSTITUTE("type:"&amp;B578,"%","%25"),"~","%7E"),"*","%2A"),"?","%3F")))&lt;&gt;1),"",IF(OR(INDEX('Rules'!$B$7:$B$26,MATCH(SUBSTITUTE(SUBSTITUTE(SUBSTITUTE(SUBSTITUTE("type:"&amp;B578,"%","%25"),"~","%7E"),"*","%2A"),"?","%3F"),'Rules'!$G$7:$G$26,0))="hours",INDEX('Rules'!$B$7:$B$26,MATCH(SUBSTITUTE(SUBSTITUTE(SUBSTITUTE(SUBSTITUTE("type:"&amp;B578,"%","%25"),"~","%7E"),"*","%2A"),"?","%3F"),'Rules'!$G$7:$G$26,0))="km"),INDEX('Rules'!$B$7:$B$26,MATCH(SUBSTITUTE(SUBSTITUTE(SUBSTITUTE(SUBSTITUTE("type:"&amp;B578,"%","%25"),"~","%7E"),"*","%2A"),"?","%3F"),'Rules'!$G$7:$G$26,0)),""))</x:f>
      </x:c>
      <x:c r="I578" s="6" t="str">
        <x:f>IF(AND(NOT(COUNTA(A578:F578)=0),K578=""),ROUND(J578-D578,3),"")</x:f>
      </x:c>
      <x:c r="J578" s="6" t="str">
        <x:f>IF(AND(NOT(COUNTA(A578:F578)=0),K578=""),ROUND(F578+L578,3),"")</x:f>
      </x:c>
      <x:c r="K578" s="5" t="str">
        <x:f>IF(COUNTA(A578:F578)=0,"",IF(A578="","Missing equipment ID",IF(COUNTIFS($N$8:$N$2007,"="&amp;N578)&gt;1,"Duplicate equipment ID",IF(B578="","Missing type",IF(COUNTIFS('Rules'!$G$7:$G$26,"="&amp;(SUBSTITUTE(SUBSTITUTE(SUBSTITUTE(SUBSTITUTE("type:"&amp;B578,"%","%25"),"~","%7E"),"*","%2A"),"?","%3F")))=0,"Unknown type",IF(COUNTIFS('Rules'!$G$7:$G$26,"="&amp;(SUBSTITUTE(SUBSTITUTE(SUBSTITUTE(SUBSTITUTE("type:"&amp;B578,"%","%25"),"~","%7E"),"*","%2A"),"?","%3F")))&gt;1,"Duplicate type",IF(INDEX('Rules'!$F$7:$F$26,MATCH(SUBSTITUTE(SUBSTITUTE(SUBSTITUTE(SUBSTITUTE("type:"&amp;B578,"%","%25"),"~","%7E"),"*","%2A"),"?","%3F"),'Rules'!$G$7:$G$26,0))&lt;&gt;"",INDEX('Rules'!$F$7:$F$26,MATCH(SUBSTITUTE(SUBSTITUTE(SUBSTITUTE(SUBSTITUTE("type:"&amp;B578,"%","%25"),"~","%7E"),"*","%2A"),"?","%3F"),'Rules'!$G$7:$G$26,0)),IF(AND(C578&lt;&gt;"",C578&lt;&gt;INDEX('Rules'!$B$7:$B$26,MATCH(SUBSTITUTE(SUBSTITUTE(SUBSTITUTE(SUBSTITUTE("type:"&amp;B578,"%","%25"),"~","%7E"),"*","%2A"),"?","%3F"),'Rules'!$G$7:$G$26,0))),"Unit mismatch",IF(IF(NOT(ISNUMBER(D578)),TRUE,OR(D578&lt;0,D578&gt;999999999,ROUND(D578,3)&lt;&gt;D578)),"Invalid current reading",IF(AND(E578&lt;&gt;"",IF(NOT(ISNUMBER(E578)),TRUE,OR(E578&lt;0,E578&gt;999999999,ROUND(E578,3)&lt;&gt;E578))),"Invalid previous reading",IF(IF(NOT(ISNUMBER(F578)),TRUE,OR(F578&lt;0,F578&gt;999999999,ROUND(F578,3)&lt;&gt;F578)),"Invalid last service",IF(AND(E578&lt;&gt;"",D578&lt;E578),"Decreased reading",IF(F578&gt;D578,"Last service above current","")))))))))))))</x:f>
      </x:c>
      <x:c r="L578" s="6" t="str">
        <x:f>IF(AND(NOT(COUNTA(A578:F578)=0),K578=""),INDEX('Rules'!$C$7:$C$26,MATCH(SUBSTITUTE(SUBSTITUTE(SUBSTITUTE(SUBSTITUTE("type:"&amp;B578,"%","%25"),"~","%7E"),"*","%2A"),"?","%3F"),'Rules'!$G$7:$G$26,0)),"")</x:f>
      </x:c>
      <x:c r="M578" s="6" t="str">
        <x:f>IF(AND(NOT(COUNTA(A578:F578)=0),K578=""),INDEX('Rules'!$D$7:$D$26,MATCH(SUBSTITUTE(SUBSTITUTE(SUBSTITUTE(SUBSTITUTE("type:"&amp;B578,"%","%25"),"~","%7E"),"*","%2A"),"?","%3F"),'Rules'!$G$7:$G$26,0)),"")</x:f>
      </x:c>
      <x:c r="N578" s="5" t="str">
        <x:f>IF(COUNTA(A578:F578)=0,"",SUBSTITUTE(SUBSTITUTE(SUBSTITUTE(SUBSTITUTE("id:"&amp;A578,"%","%25"),"~","%7E"),"*","%2A"),"?","%3F"))</x:f>
      </x:c>
    </x:row>
    <x:row r="579" ht="22" customHeight="1">
      <x:c r="A579" s="3"/>
      <x:c r="B579" s="3"/>
      <x:c r="C579" s="3"/>
      <x:c r="D579" s="4"/>
      <x:c r="E579" s="4"/>
      <x:c r="F579" s="4"/>
      <x:c r="G579" s="5" t="str">
        <x:f>IF(COUNTA(A579:F579)=0,"",IF(K579&lt;&gt;"","Review",IF(I579&lt;0,"Overdue",IF(I579=0,"Due now",IF(I579&lt;=M579,"Due soon","Not due")))))</x:f>
      </x:c>
      <x:c r="H579" s="5" t="str">
        <x:f>IF(OR(COUNTA(A579:F579)=0,COUNTIFS('Rules'!$G$7:$G$26,"="&amp;(SUBSTITUTE(SUBSTITUTE(SUBSTITUTE(SUBSTITUTE("type:"&amp;B579,"%","%25"),"~","%7E"),"*","%2A"),"?","%3F")))&lt;&gt;1),"",IF(OR(INDEX('Rules'!$B$7:$B$26,MATCH(SUBSTITUTE(SUBSTITUTE(SUBSTITUTE(SUBSTITUTE("type:"&amp;B579,"%","%25"),"~","%7E"),"*","%2A"),"?","%3F"),'Rules'!$G$7:$G$26,0))="hours",INDEX('Rules'!$B$7:$B$26,MATCH(SUBSTITUTE(SUBSTITUTE(SUBSTITUTE(SUBSTITUTE("type:"&amp;B579,"%","%25"),"~","%7E"),"*","%2A"),"?","%3F"),'Rules'!$G$7:$G$26,0))="km"),INDEX('Rules'!$B$7:$B$26,MATCH(SUBSTITUTE(SUBSTITUTE(SUBSTITUTE(SUBSTITUTE("type:"&amp;B579,"%","%25"),"~","%7E"),"*","%2A"),"?","%3F"),'Rules'!$G$7:$G$26,0)),""))</x:f>
      </x:c>
      <x:c r="I579" s="6" t="str">
        <x:f>IF(AND(NOT(COUNTA(A579:F579)=0),K579=""),ROUND(J579-D579,3),"")</x:f>
      </x:c>
      <x:c r="J579" s="6" t="str">
        <x:f>IF(AND(NOT(COUNTA(A579:F579)=0),K579=""),ROUND(F579+L579,3),"")</x:f>
      </x:c>
      <x:c r="K579" s="5" t="str">
        <x:f>IF(COUNTA(A579:F579)=0,"",IF(A579="","Missing equipment ID",IF(COUNTIFS($N$8:$N$2007,"="&amp;N579)&gt;1,"Duplicate equipment ID",IF(B579="","Missing type",IF(COUNTIFS('Rules'!$G$7:$G$26,"="&amp;(SUBSTITUTE(SUBSTITUTE(SUBSTITUTE(SUBSTITUTE("type:"&amp;B579,"%","%25"),"~","%7E"),"*","%2A"),"?","%3F")))=0,"Unknown type",IF(COUNTIFS('Rules'!$G$7:$G$26,"="&amp;(SUBSTITUTE(SUBSTITUTE(SUBSTITUTE(SUBSTITUTE("type:"&amp;B579,"%","%25"),"~","%7E"),"*","%2A"),"?","%3F")))&gt;1,"Duplicate type",IF(INDEX('Rules'!$F$7:$F$26,MATCH(SUBSTITUTE(SUBSTITUTE(SUBSTITUTE(SUBSTITUTE("type:"&amp;B579,"%","%25"),"~","%7E"),"*","%2A"),"?","%3F"),'Rules'!$G$7:$G$26,0))&lt;&gt;"",INDEX('Rules'!$F$7:$F$26,MATCH(SUBSTITUTE(SUBSTITUTE(SUBSTITUTE(SUBSTITUTE("type:"&amp;B579,"%","%25"),"~","%7E"),"*","%2A"),"?","%3F"),'Rules'!$G$7:$G$26,0)),IF(AND(C579&lt;&gt;"",C579&lt;&gt;INDEX('Rules'!$B$7:$B$26,MATCH(SUBSTITUTE(SUBSTITUTE(SUBSTITUTE(SUBSTITUTE("type:"&amp;B579,"%","%25"),"~","%7E"),"*","%2A"),"?","%3F"),'Rules'!$G$7:$G$26,0))),"Unit mismatch",IF(IF(NOT(ISNUMBER(D579)),TRUE,OR(D579&lt;0,D579&gt;999999999,ROUND(D579,3)&lt;&gt;D579)),"Invalid current reading",IF(AND(E579&lt;&gt;"",IF(NOT(ISNUMBER(E579)),TRUE,OR(E579&lt;0,E579&gt;999999999,ROUND(E579,3)&lt;&gt;E579))),"Invalid previous reading",IF(IF(NOT(ISNUMBER(F579)),TRUE,OR(F579&lt;0,F579&gt;999999999,ROUND(F579,3)&lt;&gt;F579)),"Invalid last service",IF(AND(E579&lt;&gt;"",D579&lt;E579),"Decreased reading",IF(F579&gt;D579,"Last service above current","")))))))))))))</x:f>
      </x:c>
      <x:c r="L579" s="6" t="str">
        <x:f>IF(AND(NOT(COUNTA(A579:F579)=0),K579=""),INDEX('Rules'!$C$7:$C$26,MATCH(SUBSTITUTE(SUBSTITUTE(SUBSTITUTE(SUBSTITUTE("type:"&amp;B579,"%","%25"),"~","%7E"),"*","%2A"),"?","%3F"),'Rules'!$G$7:$G$26,0)),"")</x:f>
      </x:c>
      <x:c r="M579" s="6" t="str">
        <x:f>IF(AND(NOT(COUNTA(A579:F579)=0),K579=""),INDEX('Rules'!$D$7:$D$26,MATCH(SUBSTITUTE(SUBSTITUTE(SUBSTITUTE(SUBSTITUTE("type:"&amp;B579,"%","%25"),"~","%7E"),"*","%2A"),"?","%3F"),'Rules'!$G$7:$G$26,0)),"")</x:f>
      </x:c>
      <x:c r="N579" s="5" t="str">
        <x:f>IF(COUNTA(A579:F579)=0,"",SUBSTITUTE(SUBSTITUTE(SUBSTITUTE(SUBSTITUTE("id:"&amp;A579,"%","%25"),"~","%7E"),"*","%2A"),"?","%3F"))</x:f>
      </x:c>
    </x:row>
    <x:row r="580" ht="22" customHeight="1">
      <x:c r="A580" s="3"/>
      <x:c r="B580" s="3"/>
      <x:c r="C580" s="3"/>
      <x:c r="D580" s="4"/>
      <x:c r="E580" s="4"/>
      <x:c r="F580" s="4"/>
      <x:c r="G580" s="5" t="str">
        <x:f>IF(COUNTA(A580:F580)=0,"",IF(K580&lt;&gt;"","Review",IF(I580&lt;0,"Overdue",IF(I580=0,"Due now",IF(I580&lt;=M580,"Due soon","Not due")))))</x:f>
      </x:c>
      <x:c r="H580" s="5" t="str">
        <x:f>IF(OR(COUNTA(A580:F580)=0,COUNTIFS('Rules'!$G$7:$G$26,"="&amp;(SUBSTITUTE(SUBSTITUTE(SUBSTITUTE(SUBSTITUTE("type:"&amp;B580,"%","%25"),"~","%7E"),"*","%2A"),"?","%3F")))&lt;&gt;1),"",IF(OR(INDEX('Rules'!$B$7:$B$26,MATCH(SUBSTITUTE(SUBSTITUTE(SUBSTITUTE(SUBSTITUTE("type:"&amp;B580,"%","%25"),"~","%7E"),"*","%2A"),"?","%3F"),'Rules'!$G$7:$G$26,0))="hours",INDEX('Rules'!$B$7:$B$26,MATCH(SUBSTITUTE(SUBSTITUTE(SUBSTITUTE(SUBSTITUTE("type:"&amp;B580,"%","%25"),"~","%7E"),"*","%2A"),"?","%3F"),'Rules'!$G$7:$G$26,0))="km"),INDEX('Rules'!$B$7:$B$26,MATCH(SUBSTITUTE(SUBSTITUTE(SUBSTITUTE(SUBSTITUTE("type:"&amp;B580,"%","%25"),"~","%7E"),"*","%2A"),"?","%3F"),'Rules'!$G$7:$G$26,0)),""))</x:f>
      </x:c>
      <x:c r="I580" s="6" t="str">
        <x:f>IF(AND(NOT(COUNTA(A580:F580)=0),K580=""),ROUND(J580-D580,3),"")</x:f>
      </x:c>
      <x:c r="J580" s="6" t="str">
        <x:f>IF(AND(NOT(COUNTA(A580:F580)=0),K580=""),ROUND(F580+L580,3),"")</x:f>
      </x:c>
      <x:c r="K580" s="5" t="str">
        <x:f>IF(COUNTA(A580:F580)=0,"",IF(A580="","Missing equipment ID",IF(COUNTIFS($N$8:$N$2007,"="&amp;N580)&gt;1,"Duplicate equipment ID",IF(B580="","Missing type",IF(COUNTIFS('Rules'!$G$7:$G$26,"="&amp;(SUBSTITUTE(SUBSTITUTE(SUBSTITUTE(SUBSTITUTE("type:"&amp;B580,"%","%25"),"~","%7E"),"*","%2A"),"?","%3F")))=0,"Unknown type",IF(COUNTIFS('Rules'!$G$7:$G$26,"="&amp;(SUBSTITUTE(SUBSTITUTE(SUBSTITUTE(SUBSTITUTE("type:"&amp;B580,"%","%25"),"~","%7E"),"*","%2A"),"?","%3F")))&gt;1,"Duplicate type",IF(INDEX('Rules'!$F$7:$F$26,MATCH(SUBSTITUTE(SUBSTITUTE(SUBSTITUTE(SUBSTITUTE("type:"&amp;B580,"%","%25"),"~","%7E"),"*","%2A"),"?","%3F"),'Rules'!$G$7:$G$26,0))&lt;&gt;"",INDEX('Rules'!$F$7:$F$26,MATCH(SUBSTITUTE(SUBSTITUTE(SUBSTITUTE(SUBSTITUTE("type:"&amp;B580,"%","%25"),"~","%7E"),"*","%2A"),"?","%3F"),'Rules'!$G$7:$G$26,0)),IF(AND(C580&lt;&gt;"",C580&lt;&gt;INDEX('Rules'!$B$7:$B$26,MATCH(SUBSTITUTE(SUBSTITUTE(SUBSTITUTE(SUBSTITUTE("type:"&amp;B580,"%","%25"),"~","%7E"),"*","%2A"),"?","%3F"),'Rules'!$G$7:$G$26,0))),"Unit mismatch",IF(IF(NOT(ISNUMBER(D580)),TRUE,OR(D580&lt;0,D580&gt;999999999,ROUND(D580,3)&lt;&gt;D580)),"Invalid current reading",IF(AND(E580&lt;&gt;"",IF(NOT(ISNUMBER(E580)),TRUE,OR(E580&lt;0,E580&gt;999999999,ROUND(E580,3)&lt;&gt;E580))),"Invalid previous reading",IF(IF(NOT(ISNUMBER(F580)),TRUE,OR(F580&lt;0,F580&gt;999999999,ROUND(F580,3)&lt;&gt;F580)),"Invalid last service",IF(AND(E580&lt;&gt;"",D580&lt;E580),"Decreased reading",IF(F580&gt;D580,"Last service above current","")))))))))))))</x:f>
      </x:c>
      <x:c r="L580" s="6" t="str">
        <x:f>IF(AND(NOT(COUNTA(A580:F580)=0),K580=""),INDEX('Rules'!$C$7:$C$26,MATCH(SUBSTITUTE(SUBSTITUTE(SUBSTITUTE(SUBSTITUTE("type:"&amp;B580,"%","%25"),"~","%7E"),"*","%2A"),"?","%3F"),'Rules'!$G$7:$G$26,0)),"")</x:f>
      </x:c>
      <x:c r="M580" s="6" t="str">
        <x:f>IF(AND(NOT(COUNTA(A580:F580)=0),K580=""),INDEX('Rules'!$D$7:$D$26,MATCH(SUBSTITUTE(SUBSTITUTE(SUBSTITUTE(SUBSTITUTE("type:"&amp;B580,"%","%25"),"~","%7E"),"*","%2A"),"?","%3F"),'Rules'!$G$7:$G$26,0)),"")</x:f>
      </x:c>
      <x:c r="N580" s="5" t="str">
        <x:f>IF(COUNTA(A580:F580)=0,"",SUBSTITUTE(SUBSTITUTE(SUBSTITUTE(SUBSTITUTE("id:"&amp;A580,"%","%25"),"~","%7E"),"*","%2A"),"?","%3F"))</x:f>
      </x:c>
    </x:row>
    <x:row r="581" ht="22" customHeight="1">
      <x:c r="A581" s="3"/>
      <x:c r="B581" s="3"/>
      <x:c r="C581" s="3"/>
      <x:c r="D581" s="4"/>
      <x:c r="E581" s="4"/>
      <x:c r="F581" s="4"/>
      <x:c r="G581" s="5" t="str">
        <x:f>IF(COUNTA(A581:F581)=0,"",IF(K581&lt;&gt;"","Review",IF(I581&lt;0,"Overdue",IF(I581=0,"Due now",IF(I581&lt;=M581,"Due soon","Not due")))))</x:f>
      </x:c>
      <x:c r="H581" s="5" t="str">
        <x:f>IF(OR(COUNTA(A581:F581)=0,COUNTIFS('Rules'!$G$7:$G$26,"="&amp;(SUBSTITUTE(SUBSTITUTE(SUBSTITUTE(SUBSTITUTE("type:"&amp;B581,"%","%25"),"~","%7E"),"*","%2A"),"?","%3F")))&lt;&gt;1),"",IF(OR(INDEX('Rules'!$B$7:$B$26,MATCH(SUBSTITUTE(SUBSTITUTE(SUBSTITUTE(SUBSTITUTE("type:"&amp;B581,"%","%25"),"~","%7E"),"*","%2A"),"?","%3F"),'Rules'!$G$7:$G$26,0))="hours",INDEX('Rules'!$B$7:$B$26,MATCH(SUBSTITUTE(SUBSTITUTE(SUBSTITUTE(SUBSTITUTE("type:"&amp;B581,"%","%25"),"~","%7E"),"*","%2A"),"?","%3F"),'Rules'!$G$7:$G$26,0))="km"),INDEX('Rules'!$B$7:$B$26,MATCH(SUBSTITUTE(SUBSTITUTE(SUBSTITUTE(SUBSTITUTE("type:"&amp;B581,"%","%25"),"~","%7E"),"*","%2A"),"?","%3F"),'Rules'!$G$7:$G$26,0)),""))</x:f>
      </x:c>
      <x:c r="I581" s="6" t="str">
        <x:f>IF(AND(NOT(COUNTA(A581:F581)=0),K581=""),ROUND(J581-D581,3),"")</x:f>
      </x:c>
      <x:c r="J581" s="6" t="str">
        <x:f>IF(AND(NOT(COUNTA(A581:F581)=0),K581=""),ROUND(F581+L581,3),"")</x:f>
      </x:c>
      <x:c r="K581" s="5" t="str">
        <x:f>IF(COUNTA(A581:F581)=0,"",IF(A581="","Missing equipment ID",IF(COUNTIFS($N$8:$N$2007,"="&amp;N581)&gt;1,"Duplicate equipment ID",IF(B581="","Missing type",IF(COUNTIFS('Rules'!$G$7:$G$26,"="&amp;(SUBSTITUTE(SUBSTITUTE(SUBSTITUTE(SUBSTITUTE("type:"&amp;B581,"%","%25"),"~","%7E"),"*","%2A"),"?","%3F")))=0,"Unknown type",IF(COUNTIFS('Rules'!$G$7:$G$26,"="&amp;(SUBSTITUTE(SUBSTITUTE(SUBSTITUTE(SUBSTITUTE("type:"&amp;B581,"%","%25"),"~","%7E"),"*","%2A"),"?","%3F")))&gt;1,"Duplicate type",IF(INDEX('Rules'!$F$7:$F$26,MATCH(SUBSTITUTE(SUBSTITUTE(SUBSTITUTE(SUBSTITUTE("type:"&amp;B581,"%","%25"),"~","%7E"),"*","%2A"),"?","%3F"),'Rules'!$G$7:$G$26,0))&lt;&gt;"",INDEX('Rules'!$F$7:$F$26,MATCH(SUBSTITUTE(SUBSTITUTE(SUBSTITUTE(SUBSTITUTE("type:"&amp;B581,"%","%25"),"~","%7E"),"*","%2A"),"?","%3F"),'Rules'!$G$7:$G$26,0)),IF(AND(C581&lt;&gt;"",C581&lt;&gt;INDEX('Rules'!$B$7:$B$26,MATCH(SUBSTITUTE(SUBSTITUTE(SUBSTITUTE(SUBSTITUTE("type:"&amp;B581,"%","%25"),"~","%7E"),"*","%2A"),"?","%3F"),'Rules'!$G$7:$G$26,0))),"Unit mismatch",IF(IF(NOT(ISNUMBER(D581)),TRUE,OR(D581&lt;0,D581&gt;999999999,ROUND(D581,3)&lt;&gt;D581)),"Invalid current reading",IF(AND(E581&lt;&gt;"",IF(NOT(ISNUMBER(E581)),TRUE,OR(E581&lt;0,E581&gt;999999999,ROUND(E581,3)&lt;&gt;E581))),"Invalid previous reading",IF(IF(NOT(ISNUMBER(F581)),TRUE,OR(F581&lt;0,F581&gt;999999999,ROUND(F581,3)&lt;&gt;F581)),"Invalid last service",IF(AND(E581&lt;&gt;"",D581&lt;E581),"Decreased reading",IF(F581&gt;D581,"Last service above current","")))))))))))))</x:f>
      </x:c>
      <x:c r="L581" s="6" t="str">
        <x:f>IF(AND(NOT(COUNTA(A581:F581)=0),K581=""),INDEX('Rules'!$C$7:$C$26,MATCH(SUBSTITUTE(SUBSTITUTE(SUBSTITUTE(SUBSTITUTE("type:"&amp;B581,"%","%25"),"~","%7E"),"*","%2A"),"?","%3F"),'Rules'!$G$7:$G$26,0)),"")</x:f>
      </x:c>
      <x:c r="M581" s="6" t="str">
        <x:f>IF(AND(NOT(COUNTA(A581:F581)=0),K581=""),INDEX('Rules'!$D$7:$D$26,MATCH(SUBSTITUTE(SUBSTITUTE(SUBSTITUTE(SUBSTITUTE("type:"&amp;B581,"%","%25"),"~","%7E"),"*","%2A"),"?","%3F"),'Rules'!$G$7:$G$26,0)),"")</x:f>
      </x:c>
      <x:c r="N581" s="5" t="str">
        <x:f>IF(COUNTA(A581:F581)=0,"",SUBSTITUTE(SUBSTITUTE(SUBSTITUTE(SUBSTITUTE("id:"&amp;A581,"%","%25"),"~","%7E"),"*","%2A"),"?","%3F"))</x:f>
      </x:c>
    </x:row>
    <x:row r="582" ht="22" customHeight="1">
      <x:c r="A582" s="3"/>
      <x:c r="B582" s="3"/>
      <x:c r="C582" s="3"/>
      <x:c r="D582" s="4"/>
      <x:c r="E582" s="4"/>
      <x:c r="F582" s="4"/>
      <x:c r="G582" s="5" t="str">
        <x:f>IF(COUNTA(A582:F582)=0,"",IF(K582&lt;&gt;"","Review",IF(I582&lt;0,"Overdue",IF(I582=0,"Due now",IF(I582&lt;=M582,"Due soon","Not due")))))</x:f>
      </x:c>
      <x:c r="H582" s="5" t="str">
        <x:f>IF(OR(COUNTA(A582:F582)=0,COUNTIFS('Rules'!$G$7:$G$26,"="&amp;(SUBSTITUTE(SUBSTITUTE(SUBSTITUTE(SUBSTITUTE("type:"&amp;B582,"%","%25"),"~","%7E"),"*","%2A"),"?","%3F")))&lt;&gt;1),"",IF(OR(INDEX('Rules'!$B$7:$B$26,MATCH(SUBSTITUTE(SUBSTITUTE(SUBSTITUTE(SUBSTITUTE("type:"&amp;B582,"%","%25"),"~","%7E"),"*","%2A"),"?","%3F"),'Rules'!$G$7:$G$26,0))="hours",INDEX('Rules'!$B$7:$B$26,MATCH(SUBSTITUTE(SUBSTITUTE(SUBSTITUTE(SUBSTITUTE("type:"&amp;B582,"%","%25"),"~","%7E"),"*","%2A"),"?","%3F"),'Rules'!$G$7:$G$26,0))="km"),INDEX('Rules'!$B$7:$B$26,MATCH(SUBSTITUTE(SUBSTITUTE(SUBSTITUTE(SUBSTITUTE("type:"&amp;B582,"%","%25"),"~","%7E"),"*","%2A"),"?","%3F"),'Rules'!$G$7:$G$26,0)),""))</x:f>
      </x:c>
      <x:c r="I582" s="6" t="str">
        <x:f>IF(AND(NOT(COUNTA(A582:F582)=0),K582=""),ROUND(J582-D582,3),"")</x:f>
      </x:c>
      <x:c r="J582" s="6" t="str">
        <x:f>IF(AND(NOT(COUNTA(A582:F582)=0),K582=""),ROUND(F582+L582,3),"")</x:f>
      </x:c>
      <x:c r="K582" s="5" t="str">
        <x:f>IF(COUNTA(A582:F582)=0,"",IF(A582="","Missing equipment ID",IF(COUNTIFS($N$8:$N$2007,"="&amp;N582)&gt;1,"Duplicate equipment ID",IF(B582="","Missing type",IF(COUNTIFS('Rules'!$G$7:$G$26,"="&amp;(SUBSTITUTE(SUBSTITUTE(SUBSTITUTE(SUBSTITUTE("type:"&amp;B582,"%","%25"),"~","%7E"),"*","%2A"),"?","%3F")))=0,"Unknown type",IF(COUNTIFS('Rules'!$G$7:$G$26,"="&amp;(SUBSTITUTE(SUBSTITUTE(SUBSTITUTE(SUBSTITUTE("type:"&amp;B582,"%","%25"),"~","%7E"),"*","%2A"),"?","%3F")))&gt;1,"Duplicate type",IF(INDEX('Rules'!$F$7:$F$26,MATCH(SUBSTITUTE(SUBSTITUTE(SUBSTITUTE(SUBSTITUTE("type:"&amp;B582,"%","%25"),"~","%7E"),"*","%2A"),"?","%3F"),'Rules'!$G$7:$G$26,0))&lt;&gt;"",INDEX('Rules'!$F$7:$F$26,MATCH(SUBSTITUTE(SUBSTITUTE(SUBSTITUTE(SUBSTITUTE("type:"&amp;B582,"%","%25"),"~","%7E"),"*","%2A"),"?","%3F"),'Rules'!$G$7:$G$26,0)),IF(AND(C582&lt;&gt;"",C582&lt;&gt;INDEX('Rules'!$B$7:$B$26,MATCH(SUBSTITUTE(SUBSTITUTE(SUBSTITUTE(SUBSTITUTE("type:"&amp;B582,"%","%25"),"~","%7E"),"*","%2A"),"?","%3F"),'Rules'!$G$7:$G$26,0))),"Unit mismatch",IF(IF(NOT(ISNUMBER(D582)),TRUE,OR(D582&lt;0,D582&gt;999999999,ROUND(D582,3)&lt;&gt;D582)),"Invalid current reading",IF(AND(E582&lt;&gt;"",IF(NOT(ISNUMBER(E582)),TRUE,OR(E582&lt;0,E582&gt;999999999,ROUND(E582,3)&lt;&gt;E582))),"Invalid previous reading",IF(IF(NOT(ISNUMBER(F582)),TRUE,OR(F582&lt;0,F582&gt;999999999,ROUND(F582,3)&lt;&gt;F582)),"Invalid last service",IF(AND(E582&lt;&gt;"",D582&lt;E582),"Decreased reading",IF(F582&gt;D582,"Last service above current","")))))))))))))</x:f>
      </x:c>
      <x:c r="L582" s="6" t="str">
        <x:f>IF(AND(NOT(COUNTA(A582:F582)=0),K582=""),INDEX('Rules'!$C$7:$C$26,MATCH(SUBSTITUTE(SUBSTITUTE(SUBSTITUTE(SUBSTITUTE("type:"&amp;B582,"%","%25"),"~","%7E"),"*","%2A"),"?","%3F"),'Rules'!$G$7:$G$26,0)),"")</x:f>
      </x:c>
      <x:c r="M582" s="6" t="str">
        <x:f>IF(AND(NOT(COUNTA(A582:F582)=0),K582=""),INDEX('Rules'!$D$7:$D$26,MATCH(SUBSTITUTE(SUBSTITUTE(SUBSTITUTE(SUBSTITUTE("type:"&amp;B582,"%","%25"),"~","%7E"),"*","%2A"),"?","%3F"),'Rules'!$G$7:$G$26,0)),"")</x:f>
      </x:c>
      <x:c r="N582" s="5" t="str">
        <x:f>IF(COUNTA(A582:F582)=0,"",SUBSTITUTE(SUBSTITUTE(SUBSTITUTE(SUBSTITUTE("id:"&amp;A582,"%","%25"),"~","%7E"),"*","%2A"),"?","%3F"))</x:f>
      </x:c>
    </x:row>
    <x:row r="583" ht="22" customHeight="1">
      <x:c r="A583" s="3"/>
      <x:c r="B583" s="3"/>
      <x:c r="C583" s="3"/>
      <x:c r="D583" s="4"/>
      <x:c r="E583" s="4"/>
      <x:c r="F583" s="4"/>
      <x:c r="G583" s="5" t="str">
        <x:f>IF(COUNTA(A583:F583)=0,"",IF(K583&lt;&gt;"","Review",IF(I583&lt;0,"Overdue",IF(I583=0,"Due now",IF(I583&lt;=M583,"Due soon","Not due")))))</x:f>
      </x:c>
      <x:c r="H583" s="5" t="str">
        <x:f>IF(OR(COUNTA(A583:F583)=0,COUNTIFS('Rules'!$G$7:$G$26,"="&amp;(SUBSTITUTE(SUBSTITUTE(SUBSTITUTE(SUBSTITUTE("type:"&amp;B583,"%","%25"),"~","%7E"),"*","%2A"),"?","%3F")))&lt;&gt;1),"",IF(OR(INDEX('Rules'!$B$7:$B$26,MATCH(SUBSTITUTE(SUBSTITUTE(SUBSTITUTE(SUBSTITUTE("type:"&amp;B583,"%","%25"),"~","%7E"),"*","%2A"),"?","%3F"),'Rules'!$G$7:$G$26,0))="hours",INDEX('Rules'!$B$7:$B$26,MATCH(SUBSTITUTE(SUBSTITUTE(SUBSTITUTE(SUBSTITUTE("type:"&amp;B583,"%","%25"),"~","%7E"),"*","%2A"),"?","%3F"),'Rules'!$G$7:$G$26,0))="km"),INDEX('Rules'!$B$7:$B$26,MATCH(SUBSTITUTE(SUBSTITUTE(SUBSTITUTE(SUBSTITUTE("type:"&amp;B583,"%","%25"),"~","%7E"),"*","%2A"),"?","%3F"),'Rules'!$G$7:$G$26,0)),""))</x:f>
      </x:c>
      <x:c r="I583" s="6" t="str">
        <x:f>IF(AND(NOT(COUNTA(A583:F583)=0),K583=""),ROUND(J583-D583,3),"")</x:f>
      </x:c>
      <x:c r="J583" s="6" t="str">
        <x:f>IF(AND(NOT(COUNTA(A583:F583)=0),K583=""),ROUND(F583+L583,3),"")</x:f>
      </x:c>
      <x:c r="K583" s="5" t="str">
        <x:f>IF(COUNTA(A583:F583)=0,"",IF(A583="","Missing equipment ID",IF(COUNTIFS($N$8:$N$2007,"="&amp;N583)&gt;1,"Duplicate equipment ID",IF(B583="","Missing type",IF(COUNTIFS('Rules'!$G$7:$G$26,"="&amp;(SUBSTITUTE(SUBSTITUTE(SUBSTITUTE(SUBSTITUTE("type:"&amp;B583,"%","%25"),"~","%7E"),"*","%2A"),"?","%3F")))=0,"Unknown type",IF(COUNTIFS('Rules'!$G$7:$G$26,"="&amp;(SUBSTITUTE(SUBSTITUTE(SUBSTITUTE(SUBSTITUTE("type:"&amp;B583,"%","%25"),"~","%7E"),"*","%2A"),"?","%3F")))&gt;1,"Duplicate type",IF(INDEX('Rules'!$F$7:$F$26,MATCH(SUBSTITUTE(SUBSTITUTE(SUBSTITUTE(SUBSTITUTE("type:"&amp;B583,"%","%25"),"~","%7E"),"*","%2A"),"?","%3F"),'Rules'!$G$7:$G$26,0))&lt;&gt;"",INDEX('Rules'!$F$7:$F$26,MATCH(SUBSTITUTE(SUBSTITUTE(SUBSTITUTE(SUBSTITUTE("type:"&amp;B583,"%","%25"),"~","%7E"),"*","%2A"),"?","%3F"),'Rules'!$G$7:$G$26,0)),IF(AND(C583&lt;&gt;"",C583&lt;&gt;INDEX('Rules'!$B$7:$B$26,MATCH(SUBSTITUTE(SUBSTITUTE(SUBSTITUTE(SUBSTITUTE("type:"&amp;B583,"%","%25"),"~","%7E"),"*","%2A"),"?","%3F"),'Rules'!$G$7:$G$26,0))),"Unit mismatch",IF(IF(NOT(ISNUMBER(D583)),TRUE,OR(D583&lt;0,D583&gt;999999999,ROUND(D583,3)&lt;&gt;D583)),"Invalid current reading",IF(AND(E583&lt;&gt;"",IF(NOT(ISNUMBER(E583)),TRUE,OR(E583&lt;0,E583&gt;999999999,ROUND(E583,3)&lt;&gt;E583))),"Invalid previous reading",IF(IF(NOT(ISNUMBER(F583)),TRUE,OR(F583&lt;0,F583&gt;999999999,ROUND(F583,3)&lt;&gt;F583)),"Invalid last service",IF(AND(E583&lt;&gt;"",D583&lt;E583),"Decreased reading",IF(F583&gt;D583,"Last service above current","")))))))))))))</x:f>
      </x:c>
      <x:c r="L583" s="6" t="str">
        <x:f>IF(AND(NOT(COUNTA(A583:F583)=0),K583=""),INDEX('Rules'!$C$7:$C$26,MATCH(SUBSTITUTE(SUBSTITUTE(SUBSTITUTE(SUBSTITUTE("type:"&amp;B583,"%","%25"),"~","%7E"),"*","%2A"),"?","%3F"),'Rules'!$G$7:$G$26,0)),"")</x:f>
      </x:c>
      <x:c r="M583" s="6" t="str">
        <x:f>IF(AND(NOT(COUNTA(A583:F583)=0),K583=""),INDEX('Rules'!$D$7:$D$26,MATCH(SUBSTITUTE(SUBSTITUTE(SUBSTITUTE(SUBSTITUTE("type:"&amp;B583,"%","%25"),"~","%7E"),"*","%2A"),"?","%3F"),'Rules'!$G$7:$G$26,0)),"")</x:f>
      </x:c>
      <x:c r="N583" s="5" t="str">
        <x:f>IF(COUNTA(A583:F583)=0,"",SUBSTITUTE(SUBSTITUTE(SUBSTITUTE(SUBSTITUTE("id:"&amp;A583,"%","%25"),"~","%7E"),"*","%2A"),"?","%3F"))</x:f>
      </x:c>
    </x:row>
    <x:row r="584" ht="22" customHeight="1">
      <x:c r="A584" s="3"/>
      <x:c r="B584" s="3"/>
      <x:c r="C584" s="3"/>
      <x:c r="D584" s="4"/>
      <x:c r="E584" s="4"/>
      <x:c r="F584" s="4"/>
      <x:c r="G584" s="5" t="str">
        <x:f>IF(COUNTA(A584:F584)=0,"",IF(K584&lt;&gt;"","Review",IF(I584&lt;0,"Overdue",IF(I584=0,"Due now",IF(I584&lt;=M584,"Due soon","Not due")))))</x:f>
      </x:c>
      <x:c r="H584" s="5" t="str">
        <x:f>IF(OR(COUNTA(A584:F584)=0,COUNTIFS('Rules'!$G$7:$G$26,"="&amp;(SUBSTITUTE(SUBSTITUTE(SUBSTITUTE(SUBSTITUTE("type:"&amp;B584,"%","%25"),"~","%7E"),"*","%2A"),"?","%3F")))&lt;&gt;1),"",IF(OR(INDEX('Rules'!$B$7:$B$26,MATCH(SUBSTITUTE(SUBSTITUTE(SUBSTITUTE(SUBSTITUTE("type:"&amp;B584,"%","%25"),"~","%7E"),"*","%2A"),"?","%3F"),'Rules'!$G$7:$G$26,0))="hours",INDEX('Rules'!$B$7:$B$26,MATCH(SUBSTITUTE(SUBSTITUTE(SUBSTITUTE(SUBSTITUTE("type:"&amp;B584,"%","%25"),"~","%7E"),"*","%2A"),"?","%3F"),'Rules'!$G$7:$G$26,0))="km"),INDEX('Rules'!$B$7:$B$26,MATCH(SUBSTITUTE(SUBSTITUTE(SUBSTITUTE(SUBSTITUTE("type:"&amp;B584,"%","%25"),"~","%7E"),"*","%2A"),"?","%3F"),'Rules'!$G$7:$G$26,0)),""))</x:f>
      </x:c>
      <x:c r="I584" s="6" t="str">
        <x:f>IF(AND(NOT(COUNTA(A584:F584)=0),K584=""),ROUND(J584-D584,3),"")</x:f>
      </x:c>
      <x:c r="J584" s="6" t="str">
        <x:f>IF(AND(NOT(COUNTA(A584:F584)=0),K584=""),ROUND(F584+L584,3),"")</x:f>
      </x:c>
      <x:c r="K584" s="5" t="str">
        <x:f>IF(COUNTA(A584:F584)=0,"",IF(A584="","Missing equipment ID",IF(COUNTIFS($N$8:$N$2007,"="&amp;N584)&gt;1,"Duplicate equipment ID",IF(B584="","Missing type",IF(COUNTIFS('Rules'!$G$7:$G$26,"="&amp;(SUBSTITUTE(SUBSTITUTE(SUBSTITUTE(SUBSTITUTE("type:"&amp;B584,"%","%25"),"~","%7E"),"*","%2A"),"?","%3F")))=0,"Unknown type",IF(COUNTIFS('Rules'!$G$7:$G$26,"="&amp;(SUBSTITUTE(SUBSTITUTE(SUBSTITUTE(SUBSTITUTE("type:"&amp;B584,"%","%25"),"~","%7E"),"*","%2A"),"?","%3F")))&gt;1,"Duplicate type",IF(INDEX('Rules'!$F$7:$F$26,MATCH(SUBSTITUTE(SUBSTITUTE(SUBSTITUTE(SUBSTITUTE("type:"&amp;B584,"%","%25"),"~","%7E"),"*","%2A"),"?","%3F"),'Rules'!$G$7:$G$26,0))&lt;&gt;"",INDEX('Rules'!$F$7:$F$26,MATCH(SUBSTITUTE(SUBSTITUTE(SUBSTITUTE(SUBSTITUTE("type:"&amp;B584,"%","%25"),"~","%7E"),"*","%2A"),"?","%3F"),'Rules'!$G$7:$G$26,0)),IF(AND(C584&lt;&gt;"",C584&lt;&gt;INDEX('Rules'!$B$7:$B$26,MATCH(SUBSTITUTE(SUBSTITUTE(SUBSTITUTE(SUBSTITUTE("type:"&amp;B584,"%","%25"),"~","%7E"),"*","%2A"),"?","%3F"),'Rules'!$G$7:$G$26,0))),"Unit mismatch",IF(IF(NOT(ISNUMBER(D584)),TRUE,OR(D584&lt;0,D584&gt;999999999,ROUND(D584,3)&lt;&gt;D584)),"Invalid current reading",IF(AND(E584&lt;&gt;"",IF(NOT(ISNUMBER(E584)),TRUE,OR(E584&lt;0,E584&gt;999999999,ROUND(E584,3)&lt;&gt;E584))),"Invalid previous reading",IF(IF(NOT(ISNUMBER(F584)),TRUE,OR(F584&lt;0,F584&gt;999999999,ROUND(F584,3)&lt;&gt;F584)),"Invalid last service",IF(AND(E584&lt;&gt;"",D584&lt;E584),"Decreased reading",IF(F584&gt;D584,"Last service above current","")))))))))))))</x:f>
      </x:c>
      <x:c r="L584" s="6" t="str">
        <x:f>IF(AND(NOT(COUNTA(A584:F584)=0),K584=""),INDEX('Rules'!$C$7:$C$26,MATCH(SUBSTITUTE(SUBSTITUTE(SUBSTITUTE(SUBSTITUTE("type:"&amp;B584,"%","%25"),"~","%7E"),"*","%2A"),"?","%3F"),'Rules'!$G$7:$G$26,0)),"")</x:f>
      </x:c>
      <x:c r="M584" s="6" t="str">
        <x:f>IF(AND(NOT(COUNTA(A584:F584)=0),K584=""),INDEX('Rules'!$D$7:$D$26,MATCH(SUBSTITUTE(SUBSTITUTE(SUBSTITUTE(SUBSTITUTE("type:"&amp;B584,"%","%25"),"~","%7E"),"*","%2A"),"?","%3F"),'Rules'!$G$7:$G$26,0)),"")</x:f>
      </x:c>
      <x:c r="N584" s="5" t="str">
        <x:f>IF(COUNTA(A584:F584)=0,"",SUBSTITUTE(SUBSTITUTE(SUBSTITUTE(SUBSTITUTE("id:"&amp;A584,"%","%25"),"~","%7E"),"*","%2A"),"?","%3F"))</x:f>
      </x:c>
    </x:row>
    <x:row r="585" ht="22" customHeight="1">
      <x:c r="A585" s="3"/>
      <x:c r="B585" s="3"/>
      <x:c r="C585" s="3"/>
      <x:c r="D585" s="4"/>
      <x:c r="E585" s="4"/>
      <x:c r="F585" s="4"/>
      <x:c r="G585" s="5" t="str">
        <x:f>IF(COUNTA(A585:F585)=0,"",IF(K585&lt;&gt;"","Review",IF(I585&lt;0,"Overdue",IF(I585=0,"Due now",IF(I585&lt;=M585,"Due soon","Not due")))))</x:f>
      </x:c>
      <x:c r="H585" s="5" t="str">
        <x:f>IF(OR(COUNTA(A585:F585)=0,COUNTIFS('Rules'!$G$7:$G$26,"="&amp;(SUBSTITUTE(SUBSTITUTE(SUBSTITUTE(SUBSTITUTE("type:"&amp;B585,"%","%25"),"~","%7E"),"*","%2A"),"?","%3F")))&lt;&gt;1),"",IF(OR(INDEX('Rules'!$B$7:$B$26,MATCH(SUBSTITUTE(SUBSTITUTE(SUBSTITUTE(SUBSTITUTE("type:"&amp;B585,"%","%25"),"~","%7E"),"*","%2A"),"?","%3F"),'Rules'!$G$7:$G$26,0))="hours",INDEX('Rules'!$B$7:$B$26,MATCH(SUBSTITUTE(SUBSTITUTE(SUBSTITUTE(SUBSTITUTE("type:"&amp;B585,"%","%25"),"~","%7E"),"*","%2A"),"?","%3F"),'Rules'!$G$7:$G$26,0))="km"),INDEX('Rules'!$B$7:$B$26,MATCH(SUBSTITUTE(SUBSTITUTE(SUBSTITUTE(SUBSTITUTE("type:"&amp;B585,"%","%25"),"~","%7E"),"*","%2A"),"?","%3F"),'Rules'!$G$7:$G$26,0)),""))</x:f>
      </x:c>
      <x:c r="I585" s="6" t="str">
        <x:f>IF(AND(NOT(COUNTA(A585:F585)=0),K585=""),ROUND(J585-D585,3),"")</x:f>
      </x:c>
      <x:c r="J585" s="6" t="str">
        <x:f>IF(AND(NOT(COUNTA(A585:F585)=0),K585=""),ROUND(F585+L585,3),"")</x:f>
      </x:c>
      <x:c r="K585" s="5" t="str">
        <x:f>IF(COUNTA(A585:F585)=0,"",IF(A585="","Missing equipment ID",IF(COUNTIFS($N$8:$N$2007,"="&amp;N585)&gt;1,"Duplicate equipment ID",IF(B585="","Missing type",IF(COUNTIFS('Rules'!$G$7:$G$26,"="&amp;(SUBSTITUTE(SUBSTITUTE(SUBSTITUTE(SUBSTITUTE("type:"&amp;B585,"%","%25"),"~","%7E"),"*","%2A"),"?","%3F")))=0,"Unknown type",IF(COUNTIFS('Rules'!$G$7:$G$26,"="&amp;(SUBSTITUTE(SUBSTITUTE(SUBSTITUTE(SUBSTITUTE("type:"&amp;B585,"%","%25"),"~","%7E"),"*","%2A"),"?","%3F")))&gt;1,"Duplicate type",IF(INDEX('Rules'!$F$7:$F$26,MATCH(SUBSTITUTE(SUBSTITUTE(SUBSTITUTE(SUBSTITUTE("type:"&amp;B585,"%","%25"),"~","%7E"),"*","%2A"),"?","%3F"),'Rules'!$G$7:$G$26,0))&lt;&gt;"",INDEX('Rules'!$F$7:$F$26,MATCH(SUBSTITUTE(SUBSTITUTE(SUBSTITUTE(SUBSTITUTE("type:"&amp;B585,"%","%25"),"~","%7E"),"*","%2A"),"?","%3F"),'Rules'!$G$7:$G$26,0)),IF(AND(C585&lt;&gt;"",C585&lt;&gt;INDEX('Rules'!$B$7:$B$26,MATCH(SUBSTITUTE(SUBSTITUTE(SUBSTITUTE(SUBSTITUTE("type:"&amp;B585,"%","%25"),"~","%7E"),"*","%2A"),"?","%3F"),'Rules'!$G$7:$G$26,0))),"Unit mismatch",IF(IF(NOT(ISNUMBER(D585)),TRUE,OR(D585&lt;0,D585&gt;999999999,ROUND(D585,3)&lt;&gt;D585)),"Invalid current reading",IF(AND(E585&lt;&gt;"",IF(NOT(ISNUMBER(E585)),TRUE,OR(E585&lt;0,E585&gt;999999999,ROUND(E585,3)&lt;&gt;E585))),"Invalid previous reading",IF(IF(NOT(ISNUMBER(F585)),TRUE,OR(F585&lt;0,F585&gt;999999999,ROUND(F585,3)&lt;&gt;F585)),"Invalid last service",IF(AND(E585&lt;&gt;"",D585&lt;E585),"Decreased reading",IF(F585&gt;D585,"Last service above current","")))))))))))))</x:f>
      </x:c>
      <x:c r="L585" s="6" t="str">
        <x:f>IF(AND(NOT(COUNTA(A585:F585)=0),K585=""),INDEX('Rules'!$C$7:$C$26,MATCH(SUBSTITUTE(SUBSTITUTE(SUBSTITUTE(SUBSTITUTE("type:"&amp;B585,"%","%25"),"~","%7E"),"*","%2A"),"?","%3F"),'Rules'!$G$7:$G$26,0)),"")</x:f>
      </x:c>
      <x:c r="M585" s="6" t="str">
        <x:f>IF(AND(NOT(COUNTA(A585:F585)=0),K585=""),INDEX('Rules'!$D$7:$D$26,MATCH(SUBSTITUTE(SUBSTITUTE(SUBSTITUTE(SUBSTITUTE("type:"&amp;B585,"%","%25"),"~","%7E"),"*","%2A"),"?","%3F"),'Rules'!$G$7:$G$26,0)),"")</x:f>
      </x:c>
      <x:c r="N585" s="5" t="str">
        <x:f>IF(COUNTA(A585:F585)=0,"",SUBSTITUTE(SUBSTITUTE(SUBSTITUTE(SUBSTITUTE("id:"&amp;A585,"%","%25"),"~","%7E"),"*","%2A"),"?","%3F"))</x:f>
      </x:c>
    </x:row>
    <x:row r="586" ht="22" customHeight="1">
      <x:c r="A586" s="3"/>
      <x:c r="B586" s="3"/>
      <x:c r="C586" s="3"/>
      <x:c r="D586" s="4"/>
      <x:c r="E586" s="4"/>
      <x:c r="F586" s="4"/>
      <x:c r="G586" s="5" t="str">
        <x:f>IF(COUNTA(A586:F586)=0,"",IF(K586&lt;&gt;"","Review",IF(I586&lt;0,"Overdue",IF(I586=0,"Due now",IF(I586&lt;=M586,"Due soon","Not due")))))</x:f>
      </x:c>
      <x:c r="H586" s="5" t="str">
        <x:f>IF(OR(COUNTA(A586:F586)=0,COUNTIFS('Rules'!$G$7:$G$26,"="&amp;(SUBSTITUTE(SUBSTITUTE(SUBSTITUTE(SUBSTITUTE("type:"&amp;B586,"%","%25"),"~","%7E"),"*","%2A"),"?","%3F")))&lt;&gt;1),"",IF(OR(INDEX('Rules'!$B$7:$B$26,MATCH(SUBSTITUTE(SUBSTITUTE(SUBSTITUTE(SUBSTITUTE("type:"&amp;B586,"%","%25"),"~","%7E"),"*","%2A"),"?","%3F"),'Rules'!$G$7:$G$26,0))="hours",INDEX('Rules'!$B$7:$B$26,MATCH(SUBSTITUTE(SUBSTITUTE(SUBSTITUTE(SUBSTITUTE("type:"&amp;B586,"%","%25"),"~","%7E"),"*","%2A"),"?","%3F"),'Rules'!$G$7:$G$26,0))="km"),INDEX('Rules'!$B$7:$B$26,MATCH(SUBSTITUTE(SUBSTITUTE(SUBSTITUTE(SUBSTITUTE("type:"&amp;B586,"%","%25"),"~","%7E"),"*","%2A"),"?","%3F"),'Rules'!$G$7:$G$26,0)),""))</x:f>
      </x:c>
      <x:c r="I586" s="6" t="str">
        <x:f>IF(AND(NOT(COUNTA(A586:F586)=0),K586=""),ROUND(J586-D586,3),"")</x:f>
      </x:c>
      <x:c r="J586" s="6" t="str">
        <x:f>IF(AND(NOT(COUNTA(A586:F586)=0),K586=""),ROUND(F586+L586,3),"")</x:f>
      </x:c>
      <x:c r="K586" s="5" t="str">
        <x:f>IF(COUNTA(A586:F586)=0,"",IF(A586="","Missing equipment ID",IF(COUNTIFS($N$8:$N$2007,"="&amp;N586)&gt;1,"Duplicate equipment ID",IF(B586="","Missing type",IF(COUNTIFS('Rules'!$G$7:$G$26,"="&amp;(SUBSTITUTE(SUBSTITUTE(SUBSTITUTE(SUBSTITUTE("type:"&amp;B586,"%","%25"),"~","%7E"),"*","%2A"),"?","%3F")))=0,"Unknown type",IF(COUNTIFS('Rules'!$G$7:$G$26,"="&amp;(SUBSTITUTE(SUBSTITUTE(SUBSTITUTE(SUBSTITUTE("type:"&amp;B586,"%","%25"),"~","%7E"),"*","%2A"),"?","%3F")))&gt;1,"Duplicate type",IF(INDEX('Rules'!$F$7:$F$26,MATCH(SUBSTITUTE(SUBSTITUTE(SUBSTITUTE(SUBSTITUTE("type:"&amp;B586,"%","%25"),"~","%7E"),"*","%2A"),"?","%3F"),'Rules'!$G$7:$G$26,0))&lt;&gt;"",INDEX('Rules'!$F$7:$F$26,MATCH(SUBSTITUTE(SUBSTITUTE(SUBSTITUTE(SUBSTITUTE("type:"&amp;B586,"%","%25"),"~","%7E"),"*","%2A"),"?","%3F"),'Rules'!$G$7:$G$26,0)),IF(AND(C586&lt;&gt;"",C586&lt;&gt;INDEX('Rules'!$B$7:$B$26,MATCH(SUBSTITUTE(SUBSTITUTE(SUBSTITUTE(SUBSTITUTE("type:"&amp;B586,"%","%25"),"~","%7E"),"*","%2A"),"?","%3F"),'Rules'!$G$7:$G$26,0))),"Unit mismatch",IF(IF(NOT(ISNUMBER(D586)),TRUE,OR(D586&lt;0,D586&gt;999999999,ROUND(D586,3)&lt;&gt;D586)),"Invalid current reading",IF(AND(E586&lt;&gt;"",IF(NOT(ISNUMBER(E586)),TRUE,OR(E586&lt;0,E586&gt;999999999,ROUND(E586,3)&lt;&gt;E586))),"Invalid previous reading",IF(IF(NOT(ISNUMBER(F586)),TRUE,OR(F586&lt;0,F586&gt;999999999,ROUND(F586,3)&lt;&gt;F586)),"Invalid last service",IF(AND(E586&lt;&gt;"",D586&lt;E586),"Decreased reading",IF(F586&gt;D586,"Last service above current","")))))))))))))</x:f>
      </x:c>
      <x:c r="L586" s="6" t="str">
        <x:f>IF(AND(NOT(COUNTA(A586:F586)=0),K586=""),INDEX('Rules'!$C$7:$C$26,MATCH(SUBSTITUTE(SUBSTITUTE(SUBSTITUTE(SUBSTITUTE("type:"&amp;B586,"%","%25"),"~","%7E"),"*","%2A"),"?","%3F"),'Rules'!$G$7:$G$26,0)),"")</x:f>
      </x:c>
      <x:c r="M586" s="6" t="str">
        <x:f>IF(AND(NOT(COUNTA(A586:F586)=0),K586=""),INDEX('Rules'!$D$7:$D$26,MATCH(SUBSTITUTE(SUBSTITUTE(SUBSTITUTE(SUBSTITUTE("type:"&amp;B586,"%","%25"),"~","%7E"),"*","%2A"),"?","%3F"),'Rules'!$G$7:$G$26,0)),"")</x:f>
      </x:c>
      <x:c r="N586" s="5" t="str">
        <x:f>IF(COUNTA(A586:F586)=0,"",SUBSTITUTE(SUBSTITUTE(SUBSTITUTE(SUBSTITUTE("id:"&amp;A586,"%","%25"),"~","%7E"),"*","%2A"),"?","%3F"))</x:f>
      </x:c>
    </x:row>
    <x:row r="587" ht="22" customHeight="1">
      <x:c r="A587" s="3"/>
      <x:c r="B587" s="3"/>
      <x:c r="C587" s="3"/>
      <x:c r="D587" s="4"/>
      <x:c r="E587" s="4"/>
      <x:c r="F587" s="4"/>
      <x:c r="G587" s="5" t="str">
        <x:f>IF(COUNTA(A587:F587)=0,"",IF(K587&lt;&gt;"","Review",IF(I587&lt;0,"Overdue",IF(I587=0,"Due now",IF(I587&lt;=M587,"Due soon","Not due")))))</x:f>
      </x:c>
      <x:c r="H587" s="5" t="str">
        <x:f>IF(OR(COUNTA(A587:F587)=0,COUNTIFS('Rules'!$G$7:$G$26,"="&amp;(SUBSTITUTE(SUBSTITUTE(SUBSTITUTE(SUBSTITUTE("type:"&amp;B587,"%","%25"),"~","%7E"),"*","%2A"),"?","%3F")))&lt;&gt;1),"",IF(OR(INDEX('Rules'!$B$7:$B$26,MATCH(SUBSTITUTE(SUBSTITUTE(SUBSTITUTE(SUBSTITUTE("type:"&amp;B587,"%","%25"),"~","%7E"),"*","%2A"),"?","%3F"),'Rules'!$G$7:$G$26,0))="hours",INDEX('Rules'!$B$7:$B$26,MATCH(SUBSTITUTE(SUBSTITUTE(SUBSTITUTE(SUBSTITUTE("type:"&amp;B587,"%","%25"),"~","%7E"),"*","%2A"),"?","%3F"),'Rules'!$G$7:$G$26,0))="km"),INDEX('Rules'!$B$7:$B$26,MATCH(SUBSTITUTE(SUBSTITUTE(SUBSTITUTE(SUBSTITUTE("type:"&amp;B587,"%","%25"),"~","%7E"),"*","%2A"),"?","%3F"),'Rules'!$G$7:$G$26,0)),""))</x:f>
      </x:c>
      <x:c r="I587" s="6" t="str">
        <x:f>IF(AND(NOT(COUNTA(A587:F587)=0),K587=""),ROUND(J587-D587,3),"")</x:f>
      </x:c>
      <x:c r="J587" s="6" t="str">
        <x:f>IF(AND(NOT(COUNTA(A587:F587)=0),K587=""),ROUND(F587+L587,3),"")</x:f>
      </x:c>
      <x:c r="K587" s="5" t="str">
        <x:f>IF(COUNTA(A587:F587)=0,"",IF(A587="","Missing equipment ID",IF(COUNTIFS($N$8:$N$2007,"="&amp;N587)&gt;1,"Duplicate equipment ID",IF(B587="","Missing type",IF(COUNTIFS('Rules'!$G$7:$G$26,"="&amp;(SUBSTITUTE(SUBSTITUTE(SUBSTITUTE(SUBSTITUTE("type:"&amp;B587,"%","%25"),"~","%7E"),"*","%2A"),"?","%3F")))=0,"Unknown type",IF(COUNTIFS('Rules'!$G$7:$G$26,"="&amp;(SUBSTITUTE(SUBSTITUTE(SUBSTITUTE(SUBSTITUTE("type:"&amp;B587,"%","%25"),"~","%7E"),"*","%2A"),"?","%3F")))&gt;1,"Duplicate type",IF(INDEX('Rules'!$F$7:$F$26,MATCH(SUBSTITUTE(SUBSTITUTE(SUBSTITUTE(SUBSTITUTE("type:"&amp;B587,"%","%25"),"~","%7E"),"*","%2A"),"?","%3F"),'Rules'!$G$7:$G$26,0))&lt;&gt;"",INDEX('Rules'!$F$7:$F$26,MATCH(SUBSTITUTE(SUBSTITUTE(SUBSTITUTE(SUBSTITUTE("type:"&amp;B587,"%","%25"),"~","%7E"),"*","%2A"),"?","%3F"),'Rules'!$G$7:$G$26,0)),IF(AND(C587&lt;&gt;"",C587&lt;&gt;INDEX('Rules'!$B$7:$B$26,MATCH(SUBSTITUTE(SUBSTITUTE(SUBSTITUTE(SUBSTITUTE("type:"&amp;B587,"%","%25"),"~","%7E"),"*","%2A"),"?","%3F"),'Rules'!$G$7:$G$26,0))),"Unit mismatch",IF(IF(NOT(ISNUMBER(D587)),TRUE,OR(D587&lt;0,D587&gt;999999999,ROUND(D587,3)&lt;&gt;D587)),"Invalid current reading",IF(AND(E587&lt;&gt;"",IF(NOT(ISNUMBER(E587)),TRUE,OR(E587&lt;0,E587&gt;999999999,ROUND(E587,3)&lt;&gt;E587))),"Invalid previous reading",IF(IF(NOT(ISNUMBER(F587)),TRUE,OR(F587&lt;0,F587&gt;999999999,ROUND(F587,3)&lt;&gt;F587)),"Invalid last service",IF(AND(E587&lt;&gt;"",D587&lt;E587),"Decreased reading",IF(F587&gt;D587,"Last service above current","")))))))))))))</x:f>
      </x:c>
      <x:c r="L587" s="6" t="str">
        <x:f>IF(AND(NOT(COUNTA(A587:F587)=0),K587=""),INDEX('Rules'!$C$7:$C$26,MATCH(SUBSTITUTE(SUBSTITUTE(SUBSTITUTE(SUBSTITUTE("type:"&amp;B587,"%","%25"),"~","%7E"),"*","%2A"),"?","%3F"),'Rules'!$G$7:$G$26,0)),"")</x:f>
      </x:c>
      <x:c r="M587" s="6" t="str">
        <x:f>IF(AND(NOT(COUNTA(A587:F587)=0),K587=""),INDEX('Rules'!$D$7:$D$26,MATCH(SUBSTITUTE(SUBSTITUTE(SUBSTITUTE(SUBSTITUTE("type:"&amp;B587,"%","%25"),"~","%7E"),"*","%2A"),"?","%3F"),'Rules'!$G$7:$G$26,0)),"")</x:f>
      </x:c>
      <x:c r="N587" s="5" t="str">
        <x:f>IF(COUNTA(A587:F587)=0,"",SUBSTITUTE(SUBSTITUTE(SUBSTITUTE(SUBSTITUTE("id:"&amp;A587,"%","%25"),"~","%7E"),"*","%2A"),"?","%3F"))</x:f>
      </x:c>
    </x:row>
    <x:row r="588" ht="22" customHeight="1">
      <x:c r="A588" s="3"/>
      <x:c r="B588" s="3"/>
      <x:c r="C588" s="3"/>
      <x:c r="D588" s="4"/>
      <x:c r="E588" s="4"/>
      <x:c r="F588" s="4"/>
      <x:c r="G588" s="5" t="str">
        <x:f>IF(COUNTA(A588:F588)=0,"",IF(K588&lt;&gt;"","Review",IF(I588&lt;0,"Overdue",IF(I588=0,"Due now",IF(I588&lt;=M588,"Due soon","Not due")))))</x:f>
      </x:c>
      <x:c r="H588" s="5" t="str">
        <x:f>IF(OR(COUNTA(A588:F588)=0,COUNTIFS('Rules'!$G$7:$G$26,"="&amp;(SUBSTITUTE(SUBSTITUTE(SUBSTITUTE(SUBSTITUTE("type:"&amp;B588,"%","%25"),"~","%7E"),"*","%2A"),"?","%3F")))&lt;&gt;1),"",IF(OR(INDEX('Rules'!$B$7:$B$26,MATCH(SUBSTITUTE(SUBSTITUTE(SUBSTITUTE(SUBSTITUTE("type:"&amp;B588,"%","%25"),"~","%7E"),"*","%2A"),"?","%3F"),'Rules'!$G$7:$G$26,0))="hours",INDEX('Rules'!$B$7:$B$26,MATCH(SUBSTITUTE(SUBSTITUTE(SUBSTITUTE(SUBSTITUTE("type:"&amp;B588,"%","%25"),"~","%7E"),"*","%2A"),"?","%3F"),'Rules'!$G$7:$G$26,0))="km"),INDEX('Rules'!$B$7:$B$26,MATCH(SUBSTITUTE(SUBSTITUTE(SUBSTITUTE(SUBSTITUTE("type:"&amp;B588,"%","%25"),"~","%7E"),"*","%2A"),"?","%3F"),'Rules'!$G$7:$G$26,0)),""))</x:f>
      </x:c>
      <x:c r="I588" s="6" t="str">
        <x:f>IF(AND(NOT(COUNTA(A588:F588)=0),K588=""),ROUND(J588-D588,3),"")</x:f>
      </x:c>
      <x:c r="J588" s="6" t="str">
        <x:f>IF(AND(NOT(COUNTA(A588:F588)=0),K588=""),ROUND(F588+L588,3),"")</x:f>
      </x:c>
      <x:c r="K588" s="5" t="str">
        <x:f>IF(COUNTA(A588:F588)=0,"",IF(A588="","Missing equipment ID",IF(COUNTIFS($N$8:$N$2007,"="&amp;N588)&gt;1,"Duplicate equipment ID",IF(B588="","Missing type",IF(COUNTIFS('Rules'!$G$7:$G$26,"="&amp;(SUBSTITUTE(SUBSTITUTE(SUBSTITUTE(SUBSTITUTE("type:"&amp;B588,"%","%25"),"~","%7E"),"*","%2A"),"?","%3F")))=0,"Unknown type",IF(COUNTIFS('Rules'!$G$7:$G$26,"="&amp;(SUBSTITUTE(SUBSTITUTE(SUBSTITUTE(SUBSTITUTE("type:"&amp;B588,"%","%25"),"~","%7E"),"*","%2A"),"?","%3F")))&gt;1,"Duplicate type",IF(INDEX('Rules'!$F$7:$F$26,MATCH(SUBSTITUTE(SUBSTITUTE(SUBSTITUTE(SUBSTITUTE("type:"&amp;B588,"%","%25"),"~","%7E"),"*","%2A"),"?","%3F"),'Rules'!$G$7:$G$26,0))&lt;&gt;"",INDEX('Rules'!$F$7:$F$26,MATCH(SUBSTITUTE(SUBSTITUTE(SUBSTITUTE(SUBSTITUTE("type:"&amp;B588,"%","%25"),"~","%7E"),"*","%2A"),"?","%3F"),'Rules'!$G$7:$G$26,0)),IF(AND(C588&lt;&gt;"",C588&lt;&gt;INDEX('Rules'!$B$7:$B$26,MATCH(SUBSTITUTE(SUBSTITUTE(SUBSTITUTE(SUBSTITUTE("type:"&amp;B588,"%","%25"),"~","%7E"),"*","%2A"),"?","%3F"),'Rules'!$G$7:$G$26,0))),"Unit mismatch",IF(IF(NOT(ISNUMBER(D588)),TRUE,OR(D588&lt;0,D588&gt;999999999,ROUND(D588,3)&lt;&gt;D588)),"Invalid current reading",IF(AND(E588&lt;&gt;"",IF(NOT(ISNUMBER(E588)),TRUE,OR(E588&lt;0,E588&gt;999999999,ROUND(E588,3)&lt;&gt;E588))),"Invalid previous reading",IF(IF(NOT(ISNUMBER(F588)),TRUE,OR(F588&lt;0,F588&gt;999999999,ROUND(F588,3)&lt;&gt;F588)),"Invalid last service",IF(AND(E588&lt;&gt;"",D588&lt;E588),"Decreased reading",IF(F588&gt;D588,"Last service above current","")))))))))))))</x:f>
      </x:c>
      <x:c r="L588" s="6" t="str">
        <x:f>IF(AND(NOT(COUNTA(A588:F588)=0),K588=""),INDEX('Rules'!$C$7:$C$26,MATCH(SUBSTITUTE(SUBSTITUTE(SUBSTITUTE(SUBSTITUTE("type:"&amp;B588,"%","%25"),"~","%7E"),"*","%2A"),"?","%3F"),'Rules'!$G$7:$G$26,0)),"")</x:f>
      </x:c>
      <x:c r="M588" s="6" t="str">
        <x:f>IF(AND(NOT(COUNTA(A588:F588)=0),K588=""),INDEX('Rules'!$D$7:$D$26,MATCH(SUBSTITUTE(SUBSTITUTE(SUBSTITUTE(SUBSTITUTE("type:"&amp;B588,"%","%25"),"~","%7E"),"*","%2A"),"?","%3F"),'Rules'!$G$7:$G$26,0)),"")</x:f>
      </x:c>
      <x:c r="N588" s="5" t="str">
        <x:f>IF(COUNTA(A588:F588)=0,"",SUBSTITUTE(SUBSTITUTE(SUBSTITUTE(SUBSTITUTE("id:"&amp;A588,"%","%25"),"~","%7E"),"*","%2A"),"?","%3F"))</x:f>
      </x:c>
    </x:row>
    <x:row r="589" ht="22" customHeight="1">
      <x:c r="A589" s="3"/>
      <x:c r="B589" s="3"/>
      <x:c r="C589" s="3"/>
      <x:c r="D589" s="4"/>
      <x:c r="E589" s="4"/>
      <x:c r="F589" s="4"/>
      <x:c r="G589" s="5" t="str">
        <x:f>IF(COUNTA(A589:F589)=0,"",IF(K589&lt;&gt;"","Review",IF(I589&lt;0,"Overdue",IF(I589=0,"Due now",IF(I589&lt;=M589,"Due soon","Not due")))))</x:f>
      </x:c>
      <x:c r="H589" s="5" t="str">
        <x:f>IF(OR(COUNTA(A589:F589)=0,COUNTIFS('Rules'!$G$7:$G$26,"="&amp;(SUBSTITUTE(SUBSTITUTE(SUBSTITUTE(SUBSTITUTE("type:"&amp;B589,"%","%25"),"~","%7E"),"*","%2A"),"?","%3F")))&lt;&gt;1),"",IF(OR(INDEX('Rules'!$B$7:$B$26,MATCH(SUBSTITUTE(SUBSTITUTE(SUBSTITUTE(SUBSTITUTE("type:"&amp;B589,"%","%25"),"~","%7E"),"*","%2A"),"?","%3F"),'Rules'!$G$7:$G$26,0))="hours",INDEX('Rules'!$B$7:$B$26,MATCH(SUBSTITUTE(SUBSTITUTE(SUBSTITUTE(SUBSTITUTE("type:"&amp;B589,"%","%25"),"~","%7E"),"*","%2A"),"?","%3F"),'Rules'!$G$7:$G$26,0))="km"),INDEX('Rules'!$B$7:$B$26,MATCH(SUBSTITUTE(SUBSTITUTE(SUBSTITUTE(SUBSTITUTE("type:"&amp;B589,"%","%25"),"~","%7E"),"*","%2A"),"?","%3F"),'Rules'!$G$7:$G$26,0)),""))</x:f>
      </x:c>
      <x:c r="I589" s="6" t="str">
        <x:f>IF(AND(NOT(COUNTA(A589:F589)=0),K589=""),ROUND(J589-D589,3),"")</x:f>
      </x:c>
      <x:c r="J589" s="6" t="str">
        <x:f>IF(AND(NOT(COUNTA(A589:F589)=0),K589=""),ROUND(F589+L589,3),"")</x:f>
      </x:c>
      <x:c r="K589" s="5" t="str">
        <x:f>IF(COUNTA(A589:F589)=0,"",IF(A589="","Missing equipment ID",IF(COUNTIFS($N$8:$N$2007,"="&amp;N589)&gt;1,"Duplicate equipment ID",IF(B589="","Missing type",IF(COUNTIFS('Rules'!$G$7:$G$26,"="&amp;(SUBSTITUTE(SUBSTITUTE(SUBSTITUTE(SUBSTITUTE("type:"&amp;B589,"%","%25"),"~","%7E"),"*","%2A"),"?","%3F")))=0,"Unknown type",IF(COUNTIFS('Rules'!$G$7:$G$26,"="&amp;(SUBSTITUTE(SUBSTITUTE(SUBSTITUTE(SUBSTITUTE("type:"&amp;B589,"%","%25"),"~","%7E"),"*","%2A"),"?","%3F")))&gt;1,"Duplicate type",IF(INDEX('Rules'!$F$7:$F$26,MATCH(SUBSTITUTE(SUBSTITUTE(SUBSTITUTE(SUBSTITUTE("type:"&amp;B589,"%","%25"),"~","%7E"),"*","%2A"),"?","%3F"),'Rules'!$G$7:$G$26,0))&lt;&gt;"",INDEX('Rules'!$F$7:$F$26,MATCH(SUBSTITUTE(SUBSTITUTE(SUBSTITUTE(SUBSTITUTE("type:"&amp;B589,"%","%25"),"~","%7E"),"*","%2A"),"?","%3F"),'Rules'!$G$7:$G$26,0)),IF(AND(C589&lt;&gt;"",C589&lt;&gt;INDEX('Rules'!$B$7:$B$26,MATCH(SUBSTITUTE(SUBSTITUTE(SUBSTITUTE(SUBSTITUTE("type:"&amp;B589,"%","%25"),"~","%7E"),"*","%2A"),"?","%3F"),'Rules'!$G$7:$G$26,0))),"Unit mismatch",IF(IF(NOT(ISNUMBER(D589)),TRUE,OR(D589&lt;0,D589&gt;999999999,ROUND(D589,3)&lt;&gt;D589)),"Invalid current reading",IF(AND(E589&lt;&gt;"",IF(NOT(ISNUMBER(E589)),TRUE,OR(E589&lt;0,E589&gt;999999999,ROUND(E589,3)&lt;&gt;E589))),"Invalid previous reading",IF(IF(NOT(ISNUMBER(F589)),TRUE,OR(F589&lt;0,F589&gt;999999999,ROUND(F589,3)&lt;&gt;F589)),"Invalid last service",IF(AND(E589&lt;&gt;"",D589&lt;E589),"Decreased reading",IF(F589&gt;D589,"Last service above current","")))))))))))))</x:f>
      </x:c>
      <x:c r="L589" s="6" t="str">
        <x:f>IF(AND(NOT(COUNTA(A589:F589)=0),K589=""),INDEX('Rules'!$C$7:$C$26,MATCH(SUBSTITUTE(SUBSTITUTE(SUBSTITUTE(SUBSTITUTE("type:"&amp;B589,"%","%25"),"~","%7E"),"*","%2A"),"?","%3F"),'Rules'!$G$7:$G$26,0)),"")</x:f>
      </x:c>
      <x:c r="M589" s="6" t="str">
        <x:f>IF(AND(NOT(COUNTA(A589:F589)=0),K589=""),INDEX('Rules'!$D$7:$D$26,MATCH(SUBSTITUTE(SUBSTITUTE(SUBSTITUTE(SUBSTITUTE("type:"&amp;B589,"%","%25"),"~","%7E"),"*","%2A"),"?","%3F"),'Rules'!$G$7:$G$26,0)),"")</x:f>
      </x:c>
      <x:c r="N589" s="5" t="str">
        <x:f>IF(COUNTA(A589:F589)=0,"",SUBSTITUTE(SUBSTITUTE(SUBSTITUTE(SUBSTITUTE("id:"&amp;A589,"%","%25"),"~","%7E"),"*","%2A"),"?","%3F"))</x:f>
      </x:c>
    </x:row>
    <x:row r="590" ht="22" customHeight="1">
      <x:c r="A590" s="3"/>
      <x:c r="B590" s="3"/>
      <x:c r="C590" s="3"/>
      <x:c r="D590" s="4"/>
      <x:c r="E590" s="4"/>
      <x:c r="F590" s="4"/>
      <x:c r="G590" s="5" t="str">
        <x:f>IF(COUNTA(A590:F590)=0,"",IF(K590&lt;&gt;"","Review",IF(I590&lt;0,"Overdue",IF(I590=0,"Due now",IF(I590&lt;=M590,"Due soon","Not due")))))</x:f>
      </x:c>
      <x:c r="H590" s="5" t="str">
        <x:f>IF(OR(COUNTA(A590:F590)=0,COUNTIFS('Rules'!$G$7:$G$26,"="&amp;(SUBSTITUTE(SUBSTITUTE(SUBSTITUTE(SUBSTITUTE("type:"&amp;B590,"%","%25"),"~","%7E"),"*","%2A"),"?","%3F")))&lt;&gt;1),"",IF(OR(INDEX('Rules'!$B$7:$B$26,MATCH(SUBSTITUTE(SUBSTITUTE(SUBSTITUTE(SUBSTITUTE("type:"&amp;B590,"%","%25"),"~","%7E"),"*","%2A"),"?","%3F"),'Rules'!$G$7:$G$26,0))="hours",INDEX('Rules'!$B$7:$B$26,MATCH(SUBSTITUTE(SUBSTITUTE(SUBSTITUTE(SUBSTITUTE("type:"&amp;B590,"%","%25"),"~","%7E"),"*","%2A"),"?","%3F"),'Rules'!$G$7:$G$26,0))="km"),INDEX('Rules'!$B$7:$B$26,MATCH(SUBSTITUTE(SUBSTITUTE(SUBSTITUTE(SUBSTITUTE("type:"&amp;B590,"%","%25"),"~","%7E"),"*","%2A"),"?","%3F"),'Rules'!$G$7:$G$26,0)),""))</x:f>
      </x:c>
      <x:c r="I590" s="6" t="str">
        <x:f>IF(AND(NOT(COUNTA(A590:F590)=0),K590=""),ROUND(J590-D590,3),"")</x:f>
      </x:c>
      <x:c r="J590" s="6" t="str">
        <x:f>IF(AND(NOT(COUNTA(A590:F590)=0),K590=""),ROUND(F590+L590,3),"")</x:f>
      </x:c>
      <x:c r="K590" s="5" t="str">
        <x:f>IF(COUNTA(A590:F590)=0,"",IF(A590="","Missing equipment ID",IF(COUNTIFS($N$8:$N$2007,"="&amp;N590)&gt;1,"Duplicate equipment ID",IF(B590="","Missing type",IF(COUNTIFS('Rules'!$G$7:$G$26,"="&amp;(SUBSTITUTE(SUBSTITUTE(SUBSTITUTE(SUBSTITUTE("type:"&amp;B590,"%","%25"),"~","%7E"),"*","%2A"),"?","%3F")))=0,"Unknown type",IF(COUNTIFS('Rules'!$G$7:$G$26,"="&amp;(SUBSTITUTE(SUBSTITUTE(SUBSTITUTE(SUBSTITUTE("type:"&amp;B590,"%","%25"),"~","%7E"),"*","%2A"),"?","%3F")))&gt;1,"Duplicate type",IF(INDEX('Rules'!$F$7:$F$26,MATCH(SUBSTITUTE(SUBSTITUTE(SUBSTITUTE(SUBSTITUTE("type:"&amp;B590,"%","%25"),"~","%7E"),"*","%2A"),"?","%3F"),'Rules'!$G$7:$G$26,0))&lt;&gt;"",INDEX('Rules'!$F$7:$F$26,MATCH(SUBSTITUTE(SUBSTITUTE(SUBSTITUTE(SUBSTITUTE("type:"&amp;B590,"%","%25"),"~","%7E"),"*","%2A"),"?","%3F"),'Rules'!$G$7:$G$26,0)),IF(AND(C590&lt;&gt;"",C590&lt;&gt;INDEX('Rules'!$B$7:$B$26,MATCH(SUBSTITUTE(SUBSTITUTE(SUBSTITUTE(SUBSTITUTE("type:"&amp;B590,"%","%25"),"~","%7E"),"*","%2A"),"?","%3F"),'Rules'!$G$7:$G$26,0))),"Unit mismatch",IF(IF(NOT(ISNUMBER(D590)),TRUE,OR(D590&lt;0,D590&gt;999999999,ROUND(D590,3)&lt;&gt;D590)),"Invalid current reading",IF(AND(E590&lt;&gt;"",IF(NOT(ISNUMBER(E590)),TRUE,OR(E590&lt;0,E590&gt;999999999,ROUND(E590,3)&lt;&gt;E590))),"Invalid previous reading",IF(IF(NOT(ISNUMBER(F590)),TRUE,OR(F590&lt;0,F590&gt;999999999,ROUND(F590,3)&lt;&gt;F590)),"Invalid last service",IF(AND(E590&lt;&gt;"",D590&lt;E590),"Decreased reading",IF(F590&gt;D590,"Last service above current","")))))))))))))</x:f>
      </x:c>
      <x:c r="L590" s="6" t="str">
        <x:f>IF(AND(NOT(COUNTA(A590:F590)=0),K590=""),INDEX('Rules'!$C$7:$C$26,MATCH(SUBSTITUTE(SUBSTITUTE(SUBSTITUTE(SUBSTITUTE("type:"&amp;B590,"%","%25"),"~","%7E"),"*","%2A"),"?","%3F"),'Rules'!$G$7:$G$26,0)),"")</x:f>
      </x:c>
      <x:c r="M590" s="6" t="str">
        <x:f>IF(AND(NOT(COUNTA(A590:F590)=0),K590=""),INDEX('Rules'!$D$7:$D$26,MATCH(SUBSTITUTE(SUBSTITUTE(SUBSTITUTE(SUBSTITUTE("type:"&amp;B590,"%","%25"),"~","%7E"),"*","%2A"),"?","%3F"),'Rules'!$G$7:$G$26,0)),"")</x:f>
      </x:c>
      <x:c r="N590" s="5" t="str">
        <x:f>IF(COUNTA(A590:F590)=0,"",SUBSTITUTE(SUBSTITUTE(SUBSTITUTE(SUBSTITUTE("id:"&amp;A590,"%","%25"),"~","%7E"),"*","%2A"),"?","%3F"))</x:f>
      </x:c>
    </x:row>
    <x:row r="591" ht="22" customHeight="1">
      <x:c r="A591" s="3"/>
      <x:c r="B591" s="3"/>
      <x:c r="C591" s="3"/>
      <x:c r="D591" s="4"/>
      <x:c r="E591" s="4"/>
      <x:c r="F591" s="4"/>
      <x:c r="G591" s="5" t="str">
        <x:f>IF(COUNTA(A591:F591)=0,"",IF(K591&lt;&gt;"","Review",IF(I591&lt;0,"Overdue",IF(I591=0,"Due now",IF(I591&lt;=M591,"Due soon","Not due")))))</x:f>
      </x:c>
      <x:c r="H591" s="5" t="str">
        <x:f>IF(OR(COUNTA(A591:F591)=0,COUNTIFS('Rules'!$G$7:$G$26,"="&amp;(SUBSTITUTE(SUBSTITUTE(SUBSTITUTE(SUBSTITUTE("type:"&amp;B591,"%","%25"),"~","%7E"),"*","%2A"),"?","%3F")))&lt;&gt;1),"",IF(OR(INDEX('Rules'!$B$7:$B$26,MATCH(SUBSTITUTE(SUBSTITUTE(SUBSTITUTE(SUBSTITUTE("type:"&amp;B591,"%","%25"),"~","%7E"),"*","%2A"),"?","%3F"),'Rules'!$G$7:$G$26,0))="hours",INDEX('Rules'!$B$7:$B$26,MATCH(SUBSTITUTE(SUBSTITUTE(SUBSTITUTE(SUBSTITUTE("type:"&amp;B591,"%","%25"),"~","%7E"),"*","%2A"),"?","%3F"),'Rules'!$G$7:$G$26,0))="km"),INDEX('Rules'!$B$7:$B$26,MATCH(SUBSTITUTE(SUBSTITUTE(SUBSTITUTE(SUBSTITUTE("type:"&amp;B591,"%","%25"),"~","%7E"),"*","%2A"),"?","%3F"),'Rules'!$G$7:$G$26,0)),""))</x:f>
      </x:c>
      <x:c r="I591" s="6" t="str">
        <x:f>IF(AND(NOT(COUNTA(A591:F591)=0),K591=""),ROUND(J591-D591,3),"")</x:f>
      </x:c>
      <x:c r="J591" s="6" t="str">
        <x:f>IF(AND(NOT(COUNTA(A591:F591)=0),K591=""),ROUND(F591+L591,3),"")</x:f>
      </x:c>
      <x:c r="K591" s="5" t="str">
        <x:f>IF(COUNTA(A591:F591)=0,"",IF(A591="","Missing equipment ID",IF(COUNTIFS($N$8:$N$2007,"="&amp;N591)&gt;1,"Duplicate equipment ID",IF(B591="","Missing type",IF(COUNTIFS('Rules'!$G$7:$G$26,"="&amp;(SUBSTITUTE(SUBSTITUTE(SUBSTITUTE(SUBSTITUTE("type:"&amp;B591,"%","%25"),"~","%7E"),"*","%2A"),"?","%3F")))=0,"Unknown type",IF(COUNTIFS('Rules'!$G$7:$G$26,"="&amp;(SUBSTITUTE(SUBSTITUTE(SUBSTITUTE(SUBSTITUTE("type:"&amp;B591,"%","%25"),"~","%7E"),"*","%2A"),"?","%3F")))&gt;1,"Duplicate type",IF(INDEX('Rules'!$F$7:$F$26,MATCH(SUBSTITUTE(SUBSTITUTE(SUBSTITUTE(SUBSTITUTE("type:"&amp;B591,"%","%25"),"~","%7E"),"*","%2A"),"?","%3F"),'Rules'!$G$7:$G$26,0))&lt;&gt;"",INDEX('Rules'!$F$7:$F$26,MATCH(SUBSTITUTE(SUBSTITUTE(SUBSTITUTE(SUBSTITUTE("type:"&amp;B591,"%","%25"),"~","%7E"),"*","%2A"),"?","%3F"),'Rules'!$G$7:$G$26,0)),IF(AND(C591&lt;&gt;"",C591&lt;&gt;INDEX('Rules'!$B$7:$B$26,MATCH(SUBSTITUTE(SUBSTITUTE(SUBSTITUTE(SUBSTITUTE("type:"&amp;B591,"%","%25"),"~","%7E"),"*","%2A"),"?","%3F"),'Rules'!$G$7:$G$26,0))),"Unit mismatch",IF(IF(NOT(ISNUMBER(D591)),TRUE,OR(D591&lt;0,D591&gt;999999999,ROUND(D591,3)&lt;&gt;D591)),"Invalid current reading",IF(AND(E591&lt;&gt;"",IF(NOT(ISNUMBER(E591)),TRUE,OR(E591&lt;0,E591&gt;999999999,ROUND(E591,3)&lt;&gt;E591))),"Invalid previous reading",IF(IF(NOT(ISNUMBER(F591)),TRUE,OR(F591&lt;0,F591&gt;999999999,ROUND(F591,3)&lt;&gt;F591)),"Invalid last service",IF(AND(E591&lt;&gt;"",D591&lt;E591),"Decreased reading",IF(F591&gt;D591,"Last service above current","")))))))))))))</x:f>
      </x:c>
      <x:c r="L591" s="6" t="str">
        <x:f>IF(AND(NOT(COUNTA(A591:F591)=0),K591=""),INDEX('Rules'!$C$7:$C$26,MATCH(SUBSTITUTE(SUBSTITUTE(SUBSTITUTE(SUBSTITUTE("type:"&amp;B591,"%","%25"),"~","%7E"),"*","%2A"),"?","%3F"),'Rules'!$G$7:$G$26,0)),"")</x:f>
      </x:c>
      <x:c r="M591" s="6" t="str">
        <x:f>IF(AND(NOT(COUNTA(A591:F591)=0),K591=""),INDEX('Rules'!$D$7:$D$26,MATCH(SUBSTITUTE(SUBSTITUTE(SUBSTITUTE(SUBSTITUTE("type:"&amp;B591,"%","%25"),"~","%7E"),"*","%2A"),"?","%3F"),'Rules'!$G$7:$G$26,0)),"")</x:f>
      </x:c>
      <x:c r="N591" s="5" t="str">
        <x:f>IF(COUNTA(A591:F591)=0,"",SUBSTITUTE(SUBSTITUTE(SUBSTITUTE(SUBSTITUTE("id:"&amp;A591,"%","%25"),"~","%7E"),"*","%2A"),"?","%3F"))</x:f>
      </x:c>
    </x:row>
    <x:row r="592" ht="22" customHeight="1">
      <x:c r="A592" s="3"/>
      <x:c r="B592" s="3"/>
      <x:c r="C592" s="3"/>
      <x:c r="D592" s="4"/>
      <x:c r="E592" s="4"/>
      <x:c r="F592" s="4"/>
      <x:c r="G592" s="5" t="str">
        <x:f>IF(COUNTA(A592:F592)=0,"",IF(K592&lt;&gt;"","Review",IF(I592&lt;0,"Overdue",IF(I592=0,"Due now",IF(I592&lt;=M592,"Due soon","Not due")))))</x:f>
      </x:c>
      <x:c r="H592" s="5" t="str">
        <x:f>IF(OR(COUNTA(A592:F592)=0,COUNTIFS('Rules'!$G$7:$G$26,"="&amp;(SUBSTITUTE(SUBSTITUTE(SUBSTITUTE(SUBSTITUTE("type:"&amp;B592,"%","%25"),"~","%7E"),"*","%2A"),"?","%3F")))&lt;&gt;1),"",IF(OR(INDEX('Rules'!$B$7:$B$26,MATCH(SUBSTITUTE(SUBSTITUTE(SUBSTITUTE(SUBSTITUTE("type:"&amp;B592,"%","%25"),"~","%7E"),"*","%2A"),"?","%3F"),'Rules'!$G$7:$G$26,0))="hours",INDEX('Rules'!$B$7:$B$26,MATCH(SUBSTITUTE(SUBSTITUTE(SUBSTITUTE(SUBSTITUTE("type:"&amp;B592,"%","%25"),"~","%7E"),"*","%2A"),"?","%3F"),'Rules'!$G$7:$G$26,0))="km"),INDEX('Rules'!$B$7:$B$26,MATCH(SUBSTITUTE(SUBSTITUTE(SUBSTITUTE(SUBSTITUTE("type:"&amp;B592,"%","%25"),"~","%7E"),"*","%2A"),"?","%3F"),'Rules'!$G$7:$G$26,0)),""))</x:f>
      </x:c>
      <x:c r="I592" s="6" t="str">
        <x:f>IF(AND(NOT(COUNTA(A592:F592)=0),K592=""),ROUND(J592-D592,3),"")</x:f>
      </x:c>
      <x:c r="J592" s="6" t="str">
        <x:f>IF(AND(NOT(COUNTA(A592:F592)=0),K592=""),ROUND(F592+L592,3),"")</x:f>
      </x:c>
      <x:c r="K592" s="5" t="str">
        <x:f>IF(COUNTA(A592:F592)=0,"",IF(A592="","Missing equipment ID",IF(COUNTIFS($N$8:$N$2007,"="&amp;N592)&gt;1,"Duplicate equipment ID",IF(B592="","Missing type",IF(COUNTIFS('Rules'!$G$7:$G$26,"="&amp;(SUBSTITUTE(SUBSTITUTE(SUBSTITUTE(SUBSTITUTE("type:"&amp;B592,"%","%25"),"~","%7E"),"*","%2A"),"?","%3F")))=0,"Unknown type",IF(COUNTIFS('Rules'!$G$7:$G$26,"="&amp;(SUBSTITUTE(SUBSTITUTE(SUBSTITUTE(SUBSTITUTE("type:"&amp;B592,"%","%25"),"~","%7E"),"*","%2A"),"?","%3F")))&gt;1,"Duplicate type",IF(INDEX('Rules'!$F$7:$F$26,MATCH(SUBSTITUTE(SUBSTITUTE(SUBSTITUTE(SUBSTITUTE("type:"&amp;B592,"%","%25"),"~","%7E"),"*","%2A"),"?","%3F"),'Rules'!$G$7:$G$26,0))&lt;&gt;"",INDEX('Rules'!$F$7:$F$26,MATCH(SUBSTITUTE(SUBSTITUTE(SUBSTITUTE(SUBSTITUTE("type:"&amp;B592,"%","%25"),"~","%7E"),"*","%2A"),"?","%3F"),'Rules'!$G$7:$G$26,0)),IF(AND(C592&lt;&gt;"",C592&lt;&gt;INDEX('Rules'!$B$7:$B$26,MATCH(SUBSTITUTE(SUBSTITUTE(SUBSTITUTE(SUBSTITUTE("type:"&amp;B592,"%","%25"),"~","%7E"),"*","%2A"),"?","%3F"),'Rules'!$G$7:$G$26,0))),"Unit mismatch",IF(IF(NOT(ISNUMBER(D592)),TRUE,OR(D592&lt;0,D592&gt;999999999,ROUND(D592,3)&lt;&gt;D592)),"Invalid current reading",IF(AND(E592&lt;&gt;"",IF(NOT(ISNUMBER(E592)),TRUE,OR(E592&lt;0,E592&gt;999999999,ROUND(E592,3)&lt;&gt;E592))),"Invalid previous reading",IF(IF(NOT(ISNUMBER(F592)),TRUE,OR(F592&lt;0,F592&gt;999999999,ROUND(F592,3)&lt;&gt;F592)),"Invalid last service",IF(AND(E592&lt;&gt;"",D592&lt;E592),"Decreased reading",IF(F592&gt;D592,"Last service above current","")))))))))))))</x:f>
      </x:c>
      <x:c r="L592" s="6" t="str">
        <x:f>IF(AND(NOT(COUNTA(A592:F592)=0),K592=""),INDEX('Rules'!$C$7:$C$26,MATCH(SUBSTITUTE(SUBSTITUTE(SUBSTITUTE(SUBSTITUTE("type:"&amp;B592,"%","%25"),"~","%7E"),"*","%2A"),"?","%3F"),'Rules'!$G$7:$G$26,0)),"")</x:f>
      </x:c>
      <x:c r="M592" s="6" t="str">
        <x:f>IF(AND(NOT(COUNTA(A592:F592)=0),K592=""),INDEX('Rules'!$D$7:$D$26,MATCH(SUBSTITUTE(SUBSTITUTE(SUBSTITUTE(SUBSTITUTE("type:"&amp;B592,"%","%25"),"~","%7E"),"*","%2A"),"?","%3F"),'Rules'!$G$7:$G$26,0)),"")</x:f>
      </x:c>
      <x:c r="N592" s="5" t="str">
        <x:f>IF(COUNTA(A592:F592)=0,"",SUBSTITUTE(SUBSTITUTE(SUBSTITUTE(SUBSTITUTE("id:"&amp;A592,"%","%25"),"~","%7E"),"*","%2A"),"?","%3F"))</x:f>
      </x:c>
    </x:row>
    <x:row r="593" ht="22" customHeight="1">
      <x:c r="A593" s="3"/>
      <x:c r="B593" s="3"/>
      <x:c r="C593" s="3"/>
      <x:c r="D593" s="4"/>
      <x:c r="E593" s="4"/>
      <x:c r="F593" s="4"/>
      <x:c r="G593" s="5" t="str">
        <x:f>IF(COUNTA(A593:F593)=0,"",IF(K593&lt;&gt;"","Review",IF(I593&lt;0,"Overdue",IF(I593=0,"Due now",IF(I593&lt;=M593,"Due soon","Not due")))))</x:f>
      </x:c>
      <x:c r="H593" s="5" t="str">
        <x:f>IF(OR(COUNTA(A593:F593)=0,COUNTIFS('Rules'!$G$7:$G$26,"="&amp;(SUBSTITUTE(SUBSTITUTE(SUBSTITUTE(SUBSTITUTE("type:"&amp;B593,"%","%25"),"~","%7E"),"*","%2A"),"?","%3F")))&lt;&gt;1),"",IF(OR(INDEX('Rules'!$B$7:$B$26,MATCH(SUBSTITUTE(SUBSTITUTE(SUBSTITUTE(SUBSTITUTE("type:"&amp;B593,"%","%25"),"~","%7E"),"*","%2A"),"?","%3F"),'Rules'!$G$7:$G$26,0))="hours",INDEX('Rules'!$B$7:$B$26,MATCH(SUBSTITUTE(SUBSTITUTE(SUBSTITUTE(SUBSTITUTE("type:"&amp;B593,"%","%25"),"~","%7E"),"*","%2A"),"?","%3F"),'Rules'!$G$7:$G$26,0))="km"),INDEX('Rules'!$B$7:$B$26,MATCH(SUBSTITUTE(SUBSTITUTE(SUBSTITUTE(SUBSTITUTE("type:"&amp;B593,"%","%25"),"~","%7E"),"*","%2A"),"?","%3F"),'Rules'!$G$7:$G$26,0)),""))</x:f>
      </x:c>
      <x:c r="I593" s="6" t="str">
        <x:f>IF(AND(NOT(COUNTA(A593:F593)=0),K593=""),ROUND(J593-D593,3),"")</x:f>
      </x:c>
      <x:c r="J593" s="6" t="str">
        <x:f>IF(AND(NOT(COUNTA(A593:F593)=0),K593=""),ROUND(F593+L593,3),"")</x:f>
      </x:c>
      <x:c r="K593" s="5" t="str">
        <x:f>IF(COUNTA(A593:F593)=0,"",IF(A593="","Missing equipment ID",IF(COUNTIFS($N$8:$N$2007,"="&amp;N593)&gt;1,"Duplicate equipment ID",IF(B593="","Missing type",IF(COUNTIFS('Rules'!$G$7:$G$26,"="&amp;(SUBSTITUTE(SUBSTITUTE(SUBSTITUTE(SUBSTITUTE("type:"&amp;B593,"%","%25"),"~","%7E"),"*","%2A"),"?","%3F")))=0,"Unknown type",IF(COUNTIFS('Rules'!$G$7:$G$26,"="&amp;(SUBSTITUTE(SUBSTITUTE(SUBSTITUTE(SUBSTITUTE("type:"&amp;B593,"%","%25"),"~","%7E"),"*","%2A"),"?","%3F")))&gt;1,"Duplicate type",IF(INDEX('Rules'!$F$7:$F$26,MATCH(SUBSTITUTE(SUBSTITUTE(SUBSTITUTE(SUBSTITUTE("type:"&amp;B593,"%","%25"),"~","%7E"),"*","%2A"),"?","%3F"),'Rules'!$G$7:$G$26,0))&lt;&gt;"",INDEX('Rules'!$F$7:$F$26,MATCH(SUBSTITUTE(SUBSTITUTE(SUBSTITUTE(SUBSTITUTE("type:"&amp;B593,"%","%25"),"~","%7E"),"*","%2A"),"?","%3F"),'Rules'!$G$7:$G$26,0)),IF(AND(C593&lt;&gt;"",C593&lt;&gt;INDEX('Rules'!$B$7:$B$26,MATCH(SUBSTITUTE(SUBSTITUTE(SUBSTITUTE(SUBSTITUTE("type:"&amp;B593,"%","%25"),"~","%7E"),"*","%2A"),"?","%3F"),'Rules'!$G$7:$G$26,0))),"Unit mismatch",IF(IF(NOT(ISNUMBER(D593)),TRUE,OR(D593&lt;0,D593&gt;999999999,ROUND(D593,3)&lt;&gt;D593)),"Invalid current reading",IF(AND(E593&lt;&gt;"",IF(NOT(ISNUMBER(E593)),TRUE,OR(E593&lt;0,E593&gt;999999999,ROUND(E593,3)&lt;&gt;E593))),"Invalid previous reading",IF(IF(NOT(ISNUMBER(F593)),TRUE,OR(F593&lt;0,F593&gt;999999999,ROUND(F593,3)&lt;&gt;F593)),"Invalid last service",IF(AND(E593&lt;&gt;"",D593&lt;E593),"Decreased reading",IF(F593&gt;D593,"Last service above current","")))))))))))))</x:f>
      </x:c>
      <x:c r="L593" s="6" t="str">
        <x:f>IF(AND(NOT(COUNTA(A593:F593)=0),K593=""),INDEX('Rules'!$C$7:$C$26,MATCH(SUBSTITUTE(SUBSTITUTE(SUBSTITUTE(SUBSTITUTE("type:"&amp;B593,"%","%25"),"~","%7E"),"*","%2A"),"?","%3F"),'Rules'!$G$7:$G$26,0)),"")</x:f>
      </x:c>
      <x:c r="M593" s="6" t="str">
        <x:f>IF(AND(NOT(COUNTA(A593:F593)=0),K593=""),INDEX('Rules'!$D$7:$D$26,MATCH(SUBSTITUTE(SUBSTITUTE(SUBSTITUTE(SUBSTITUTE("type:"&amp;B593,"%","%25"),"~","%7E"),"*","%2A"),"?","%3F"),'Rules'!$G$7:$G$26,0)),"")</x:f>
      </x:c>
      <x:c r="N593" s="5" t="str">
        <x:f>IF(COUNTA(A593:F593)=0,"",SUBSTITUTE(SUBSTITUTE(SUBSTITUTE(SUBSTITUTE("id:"&amp;A593,"%","%25"),"~","%7E"),"*","%2A"),"?","%3F"))</x:f>
      </x:c>
    </x:row>
    <x:row r="594" ht="22" customHeight="1">
      <x:c r="A594" s="3"/>
      <x:c r="B594" s="3"/>
      <x:c r="C594" s="3"/>
      <x:c r="D594" s="4"/>
      <x:c r="E594" s="4"/>
      <x:c r="F594" s="4"/>
      <x:c r="G594" s="5" t="str">
        <x:f>IF(COUNTA(A594:F594)=0,"",IF(K594&lt;&gt;"","Review",IF(I594&lt;0,"Overdue",IF(I594=0,"Due now",IF(I594&lt;=M594,"Due soon","Not due")))))</x:f>
      </x:c>
      <x:c r="H594" s="5" t="str">
        <x:f>IF(OR(COUNTA(A594:F594)=0,COUNTIFS('Rules'!$G$7:$G$26,"="&amp;(SUBSTITUTE(SUBSTITUTE(SUBSTITUTE(SUBSTITUTE("type:"&amp;B594,"%","%25"),"~","%7E"),"*","%2A"),"?","%3F")))&lt;&gt;1),"",IF(OR(INDEX('Rules'!$B$7:$B$26,MATCH(SUBSTITUTE(SUBSTITUTE(SUBSTITUTE(SUBSTITUTE("type:"&amp;B594,"%","%25"),"~","%7E"),"*","%2A"),"?","%3F"),'Rules'!$G$7:$G$26,0))="hours",INDEX('Rules'!$B$7:$B$26,MATCH(SUBSTITUTE(SUBSTITUTE(SUBSTITUTE(SUBSTITUTE("type:"&amp;B594,"%","%25"),"~","%7E"),"*","%2A"),"?","%3F"),'Rules'!$G$7:$G$26,0))="km"),INDEX('Rules'!$B$7:$B$26,MATCH(SUBSTITUTE(SUBSTITUTE(SUBSTITUTE(SUBSTITUTE("type:"&amp;B594,"%","%25"),"~","%7E"),"*","%2A"),"?","%3F"),'Rules'!$G$7:$G$26,0)),""))</x:f>
      </x:c>
      <x:c r="I594" s="6" t="str">
        <x:f>IF(AND(NOT(COUNTA(A594:F594)=0),K594=""),ROUND(J594-D594,3),"")</x:f>
      </x:c>
      <x:c r="J594" s="6" t="str">
        <x:f>IF(AND(NOT(COUNTA(A594:F594)=0),K594=""),ROUND(F594+L594,3),"")</x:f>
      </x:c>
      <x:c r="K594" s="5" t="str">
        <x:f>IF(COUNTA(A594:F594)=0,"",IF(A594="","Missing equipment ID",IF(COUNTIFS($N$8:$N$2007,"="&amp;N594)&gt;1,"Duplicate equipment ID",IF(B594="","Missing type",IF(COUNTIFS('Rules'!$G$7:$G$26,"="&amp;(SUBSTITUTE(SUBSTITUTE(SUBSTITUTE(SUBSTITUTE("type:"&amp;B594,"%","%25"),"~","%7E"),"*","%2A"),"?","%3F")))=0,"Unknown type",IF(COUNTIFS('Rules'!$G$7:$G$26,"="&amp;(SUBSTITUTE(SUBSTITUTE(SUBSTITUTE(SUBSTITUTE("type:"&amp;B594,"%","%25"),"~","%7E"),"*","%2A"),"?","%3F")))&gt;1,"Duplicate type",IF(INDEX('Rules'!$F$7:$F$26,MATCH(SUBSTITUTE(SUBSTITUTE(SUBSTITUTE(SUBSTITUTE("type:"&amp;B594,"%","%25"),"~","%7E"),"*","%2A"),"?","%3F"),'Rules'!$G$7:$G$26,0))&lt;&gt;"",INDEX('Rules'!$F$7:$F$26,MATCH(SUBSTITUTE(SUBSTITUTE(SUBSTITUTE(SUBSTITUTE("type:"&amp;B594,"%","%25"),"~","%7E"),"*","%2A"),"?","%3F"),'Rules'!$G$7:$G$26,0)),IF(AND(C594&lt;&gt;"",C594&lt;&gt;INDEX('Rules'!$B$7:$B$26,MATCH(SUBSTITUTE(SUBSTITUTE(SUBSTITUTE(SUBSTITUTE("type:"&amp;B594,"%","%25"),"~","%7E"),"*","%2A"),"?","%3F"),'Rules'!$G$7:$G$26,0))),"Unit mismatch",IF(IF(NOT(ISNUMBER(D594)),TRUE,OR(D594&lt;0,D594&gt;999999999,ROUND(D594,3)&lt;&gt;D594)),"Invalid current reading",IF(AND(E594&lt;&gt;"",IF(NOT(ISNUMBER(E594)),TRUE,OR(E594&lt;0,E594&gt;999999999,ROUND(E594,3)&lt;&gt;E594))),"Invalid previous reading",IF(IF(NOT(ISNUMBER(F594)),TRUE,OR(F594&lt;0,F594&gt;999999999,ROUND(F594,3)&lt;&gt;F594)),"Invalid last service",IF(AND(E594&lt;&gt;"",D594&lt;E594),"Decreased reading",IF(F594&gt;D594,"Last service above current","")))))))))))))</x:f>
      </x:c>
      <x:c r="L594" s="6" t="str">
        <x:f>IF(AND(NOT(COUNTA(A594:F594)=0),K594=""),INDEX('Rules'!$C$7:$C$26,MATCH(SUBSTITUTE(SUBSTITUTE(SUBSTITUTE(SUBSTITUTE("type:"&amp;B594,"%","%25"),"~","%7E"),"*","%2A"),"?","%3F"),'Rules'!$G$7:$G$26,0)),"")</x:f>
      </x:c>
      <x:c r="M594" s="6" t="str">
        <x:f>IF(AND(NOT(COUNTA(A594:F594)=0),K594=""),INDEX('Rules'!$D$7:$D$26,MATCH(SUBSTITUTE(SUBSTITUTE(SUBSTITUTE(SUBSTITUTE("type:"&amp;B594,"%","%25"),"~","%7E"),"*","%2A"),"?","%3F"),'Rules'!$G$7:$G$26,0)),"")</x:f>
      </x:c>
      <x:c r="N594" s="5" t="str">
        <x:f>IF(COUNTA(A594:F594)=0,"",SUBSTITUTE(SUBSTITUTE(SUBSTITUTE(SUBSTITUTE("id:"&amp;A594,"%","%25"),"~","%7E"),"*","%2A"),"?","%3F"))</x:f>
      </x:c>
    </x:row>
    <x:row r="595" ht="22" customHeight="1">
      <x:c r="A595" s="3"/>
      <x:c r="B595" s="3"/>
      <x:c r="C595" s="3"/>
      <x:c r="D595" s="4"/>
      <x:c r="E595" s="4"/>
      <x:c r="F595" s="4"/>
      <x:c r="G595" s="5" t="str">
        <x:f>IF(COUNTA(A595:F595)=0,"",IF(K595&lt;&gt;"","Review",IF(I595&lt;0,"Overdue",IF(I595=0,"Due now",IF(I595&lt;=M595,"Due soon","Not due")))))</x:f>
      </x:c>
      <x:c r="H595" s="5" t="str">
        <x:f>IF(OR(COUNTA(A595:F595)=0,COUNTIFS('Rules'!$G$7:$G$26,"="&amp;(SUBSTITUTE(SUBSTITUTE(SUBSTITUTE(SUBSTITUTE("type:"&amp;B595,"%","%25"),"~","%7E"),"*","%2A"),"?","%3F")))&lt;&gt;1),"",IF(OR(INDEX('Rules'!$B$7:$B$26,MATCH(SUBSTITUTE(SUBSTITUTE(SUBSTITUTE(SUBSTITUTE("type:"&amp;B595,"%","%25"),"~","%7E"),"*","%2A"),"?","%3F"),'Rules'!$G$7:$G$26,0))="hours",INDEX('Rules'!$B$7:$B$26,MATCH(SUBSTITUTE(SUBSTITUTE(SUBSTITUTE(SUBSTITUTE("type:"&amp;B595,"%","%25"),"~","%7E"),"*","%2A"),"?","%3F"),'Rules'!$G$7:$G$26,0))="km"),INDEX('Rules'!$B$7:$B$26,MATCH(SUBSTITUTE(SUBSTITUTE(SUBSTITUTE(SUBSTITUTE("type:"&amp;B595,"%","%25"),"~","%7E"),"*","%2A"),"?","%3F"),'Rules'!$G$7:$G$26,0)),""))</x:f>
      </x:c>
      <x:c r="I595" s="6" t="str">
        <x:f>IF(AND(NOT(COUNTA(A595:F595)=0),K595=""),ROUND(J595-D595,3),"")</x:f>
      </x:c>
      <x:c r="J595" s="6" t="str">
        <x:f>IF(AND(NOT(COUNTA(A595:F595)=0),K595=""),ROUND(F595+L595,3),"")</x:f>
      </x:c>
      <x:c r="K595" s="5" t="str">
        <x:f>IF(COUNTA(A595:F595)=0,"",IF(A595="","Missing equipment ID",IF(COUNTIFS($N$8:$N$2007,"="&amp;N595)&gt;1,"Duplicate equipment ID",IF(B595="","Missing type",IF(COUNTIFS('Rules'!$G$7:$G$26,"="&amp;(SUBSTITUTE(SUBSTITUTE(SUBSTITUTE(SUBSTITUTE("type:"&amp;B595,"%","%25"),"~","%7E"),"*","%2A"),"?","%3F")))=0,"Unknown type",IF(COUNTIFS('Rules'!$G$7:$G$26,"="&amp;(SUBSTITUTE(SUBSTITUTE(SUBSTITUTE(SUBSTITUTE("type:"&amp;B595,"%","%25"),"~","%7E"),"*","%2A"),"?","%3F")))&gt;1,"Duplicate type",IF(INDEX('Rules'!$F$7:$F$26,MATCH(SUBSTITUTE(SUBSTITUTE(SUBSTITUTE(SUBSTITUTE("type:"&amp;B595,"%","%25"),"~","%7E"),"*","%2A"),"?","%3F"),'Rules'!$G$7:$G$26,0))&lt;&gt;"",INDEX('Rules'!$F$7:$F$26,MATCH(SUBSTITUTE(SUBSTITUTE(SUBSTITUTE(SUBSTITUTE("type:"&amp;B595,"%","%25"),"~","%7E"),"*","%2A"),"?","%3F"),'Rules'!$G$7:$G$26,0)),IF(AND(C595&lt;&gt;"",C595&lt;&gt;INDEX('Rules'!$B$7:$B$26,MATCH(SUBSTITUTE(SUBSTITUTE(SUBSTITUTE(SUBSTITUTE("type:"&amp;B595,"%","%25"),"~","%7E"),"*","%2A"),"?","%3F"),'Rules'!$G$7:$G$26,0))),"Unit mismatch",IF(IF(NOT(ISNUMBER(D595)),TRUE,OR(D595&lt;0,D595&gt;999999999,ROUND(D595,3)&lt;&gt;D595)),"Invalid current reading",IF(AND(E595&lt;&gt;"",IF(NOT(ISNUMBER(E595)),TRUE,OR(E595&lt;0,E595&gt;999999999,ROUND(E595,3)&lt;&gt;E595))),"Invalid previous reading",IF(IF(NOT(ISNUMBER(F595)),TRUE,OR(F595&lt;0,F595&gt;999999999,ROUND(F595,3)&lt;&gt;F595)),"Invalid last service",IF(AND(E595&lt;&gt;"",D595&lt;E595),"Decreased reading",IF(F595&gt;D595,"Last service above current","")))))))))))))</x:f>
      </x:c>
      <x:c r="L595" s="6" t="str">
        <x:f>IF(AND(NOT(COUNTA(A595:F595)=0),K595=""),INDEX('Rules'!$C$7:$C$26,MATCH(SUBSTITUTE(SUBSTITUTE(SUBSTITUTE(SUBSTITUTE("type:"&amp;B595,"%","%25"),"~","%7E"),"*","%2A"),"?","%3F"),'Rules'!$G$7:$G$26,0)),"")</x:f>
      </x:c>
      <x:c r="M595" s="6" t="str">
        <x:f>IF(AND(NOT(COUNTA(A595:F595)=0),K595=""),INDEX('Rules'!$D$7:$D$26,MATCH(SUBSTITUTE(SUBSTITUTE(SUBSTITUTE(SUBSTITUTE("type:"&amp;B595,"%","%25"),"~","%7E"),"*","%2A"),"?","%3F"),'Rules'!$G$7:$G$26,0)),"")</x:f>
      </x:c>
      <x:c r="N595" s="5" t="str">
        <x:f>IF(COUNTA(A595:F595)=0,"",SUBSTITUTE(SUBSTITUTE(SUBSTITUTE(SUBSTITUTE("id:"&amp;A595,"%","%25"),"~","%7E"),"*","%2A"),"?","%3F"))</x:f>
      </x:c>
    </x:row>
    <x:row r="596" ht="22" customHeight="1">
      <x:c r="A596" s="3"/>
      <x:c r="B596" s="3"/>
      <x:c r="C596" s="3"/>
      <x:c r="D596" s="4"/>
      <x:c r="E596" s="4"/>
      <x:c r="F596" s="4"/>
      <x:c r="G596" s="5" t="str">
        <x:f>IF(COUNTA(A596:F596)=0,"",IF(K596&lt;&gt;"","Review",IF(I596&lt;0,"Overdue",IF(I596=0,"Due now",IF(I596&lt;=M596,"Due soon","Not due")))))</x:f>
      </x:c>
      <x:c r="H596" s="5" t="str">
        <x:f>IF(OR(COUNTA(A596:F596)=0,COUNTIFS('Rules'!$G$7:$G$26,"="&amp;(SUBSTITUTE(SUBSTITUTE(SUBSTITUTE(SUBSTITUTE("type:"&amp;B596,"%","%25"),"~","%7E"),"*","%2A"),"?","%3F")))&lt;&gt;1),"",IF(OR(INDEX('Rules'!$B$7:$B$26,MATCH(SUBSTITUTE(SUBSTITUTE(SUBSTITUTE(SUBSTITUTE("type:"&amp;B596,"%","%25"),"~","%7E"),"*","%2A"),"?","%3F"),'Rules'!$G$7:$G$26,0))="hours",INDEX('Rules'!$B$7:$B$26,MATCH(SUBSTITUTE(SUBSTITUTE(SUBSTITUTE(SUBSTITUTE("type:"&amp;B596,"%","%25"),"~","%7E"),"*","%2A"),"?","%3F"),'Rules'!$G$7:$G$26,0))="km"),INDEX('Rules'!$B$7:$B$26,MATCH(SUBSTITUTE(SUBSTITUTE(SUBSTITUTE(SUBSTITUTE("type:"&amp;B596,"%","%25"),"~","%7E"),"*","%2A"),"?","%3F"),'Rules'!$G$7:$G$26,0)),""))</x:f>
      </x:c>
      <x:c r="I596" s="6" t="str">
        <x:f>IF(AND(NOT(COUNTA(A596:F596)=0),K596=""),ROUND(J596-D596,3),"")</x:f>
      </x:c>
      <x:c r="J596" s="6" t="str">
        <x:f>IF(AND(NOT(COUNTA(A596:F596)=0),K596=""),ROUND(F596+L596,3),"")</x:f>
      </x:c>
      <x:c r="K596" s="5" t="str">
        <x:f>IF(COUNTA(A596:F596)=0,"",IF(A596="","Missing equipment ID",IF(COUNTIFS($N$8:$N$2007,"="&amp;N596)&gt;1,"Duplicate equipment ID",IF(B596="","Missing type",IF(COUNTIFS('Rules'!$G$7:$G$26,"="&amp;(SUBSTITUTE(SUBSTITUTE(SUBSTITUTE(SUBSTITUTE("type:"&amp;B596,"%","%25"),"~","%7E"),"*","%2A"),"?","%3F")))=0,"Unknown type",IF(COUNTIFS('Rules'!$G$7:$G$26,"="&amp;(SUBSTITUTE(SUBSTITUTE(SUBSTITUTE(SUBSTITUTE("type:"&amp;B596,"%","%25"),"~","%7E"),"*","%2A"),"?","%3F")))&gt;1,"Duplicate type",IF(INDEX('Rules'!$F$7:$F$26,MATCH(SUBSTITUTE(SUBSTITUTE(SUBSTITUTE(SUBSTITUTE("type:"&amp;B596,"%","%25"),"~","%7E"),"*","%2A"),"?","%3F"),'Rules'!$G$7:$G$26,0))&lt;&gt;"",INDEX('Rules'!$F$7:$F$26,MATCH(SUBSTITUTE(SUBSTITUTE(SUBSTITUTE(SUBSTITUTE("type:"&amp;B596,"%","%25"),"~","%7E"),"*","%2A"),"?","%3F"),'Rules'!$G$7:$G$26,0)),IF(AND(C596&lt;&gt;"",C596&lt;&gt;INDEX('Rules'!$B$7:$B$26,MATCH(SUBSTITUTE(SUBSTITUTE(SUBSTITUTE(SUBSTITUTE("type:"&amp;B596,"%","%25"),"~","%7E"),"*","%2A"),"?","%3F"),'Rules'!$G$7:$G$26,0))),"Unit mismatch",IF(IF(NOT(ISNUMBER(D596)),TRUE,OR(D596&lt;0,D596&gt;999999999,ROUND(D596,3)&lt;&gt;D596)),"Invalid current reading",IF(AND(E596&lt;&gt;"",IF(NOT(ISNUMBER(E596)),TRUE,OR(E596&lt;0,E596&gt;999999999,ROUND(E596,3)&lt;&gt;E596))),"Invalid previous reading",IF(IF(NOT(ISNUMBER(F596)),TRUE,OR(F596&lt;0,F596&gt;999999999,ROUND(F596,3)&lt;&gt;F596)),"Invalid last service",IF(AND(E596&lt;&gt;"",D596&lt;E596),"Decreased reading",IF(F596&gt;D596,"Last service above current","")))))))))))))</x:f>
      </x:c>
      <x:c r="L596" s="6" t="str">
        <x:f>IF(AND(NOT(COUNTA(A596:F596)=0),K596=""),INDEX('Rules'!$C$7:$C$26,MATCH(SUBSTITUTE(SUBSTITUTE(SUBSTITUTE(SUBSTITUTE("type:"&amp;B596,"%","%25"),"~","%7E"),"*","%2A"),"?","%3F"),'Rules'!$G$7:$G$26,0)),"")</x:f>
      </x:c>
      <x:c r="M596" s="6" t="str">
        <x:f>IF(AND(NOT(COUNTA(A596:F596)=0),K596=""),INDEX('Rules'!$D$7:$D$26,MATCH(SUBSTITUTE(SUBSTITUTE(SUBSTITUTE(SUBSTITUTE("type:"&amp;B596,"%","%25"),"~","%7E"),"*","%2A"),"?","%3F"),'Rules'!$G$7:$G$26,0)),"")</x:f>
      </x:c>
      <x:c r="N596" s="5" t="str">
        <x:f>IF(COUNTA(A596:F596)=0,"",SUBSTITUTE(SUBSTITUTE(SUBSTITUTE(SUBSTITUTE("id:"&amp;A596,"%","%25"),"~","%7E"),"*","%2A"),"?","%3F"))</x:f>
      </x:c>
    </x:row>
    <x:row r="597" ht="22" customHeight="1">
      <x:c r="A597" s="3"/>
      <x:c r="B597" s="3"/>
      <x:c r="C597" s="3"/>
      <x:c r="D597" s="4"/>
      <x:c r="E597" s="4"/>
      <x:c r="F597" s="4"/>
      <x:c r="G597" s="5" t="str">
        <x:f>IF(COUNTA(A597:F597)=0,"",IF(K597&lt;&gt;"","Review",IF(I597&lt;0,"Overdue",IF(I597=0,"Due now",IF(I597&lt;=M597,"Due soon","Not due")))))</x:f>
      </x:c>
      <x:c r="H597" s="5" t="str">
        <x:f>IF(OR(COUNTA(A597:F597)=0,COUNTIFS('Rules'!$G$7:$G$26,"="&amp;(SUBSTITUTE(SUBSTITUTE(SUBSTITUTE(SUBSTITUTE("type:"&amp;B597,"%","%25"),"~","%7E"),"*","%2A"),"?","%3F")))&lt;&gt;1),"",IF(OR(INDEX('Rules'!$B$7:$B$26,MATCH(SUBSTITUTE(SUBSTITUTE(SUBSTITUTE(SUBSTITUTE("type:"&amp;B597,"%","%25"),"~","%7E"),"*","%2A"),"?","%3F"),'Rules'!$G$7:$G$26,0))="hours",INDEX('Rules'!$B$7:$B$26,MATCH(SUBSTITUTE(SUBSTITUTE(SUBSTITUTE(SUBSTITUTE("type:"&amp;B597,"%","%25"),"~","%7E"),"*","%2A"),"?","%3F"),'Rules'!$G$7:$G$26,0))="km"),INDEX('Rules'!$B$7:$B$26,MATCH(SUBSTITUTE(SUBSTITUTE(SUBSTITUTE(SUBSTITUTE("type:"&amp;B597,"%","%25"),"~","%7E"),"*","%2A"),"?","%3F"),'Rules'!$G$7:$G$26,0)),""))</x:f>
      </x:c>
      <x:c r="I597" s="6" t="str">
        <x:f>IF(AND(NOT(COUNTA(A597:F597)=0),K597=""),ROUND(J597-D597,3),"")</x:f>
      </x:c>
      <x:c r="J597" s="6" t="str">
        <x:f>IF(AND(NOT(COUNTA(A597:F597)=0),K597=""),ROUND(F597+L597,3),"")</x:f>
      </x:c>
      <x:c r="K597" s="5" t="str">
        <x:f>IF(COUNTA(A597:F597)=0,"",IF(A597="","Missing equipment ID",IF(COUNTIFS($N$8:$N$2007,"="&amp;N597)&gt;1,"Duplicate equipment ID",IF(B597="","Missing type",IF(COUNTIFS('Rules'!$G$7:$G$26,"="&amp;(SUBSTITUTE(SUBSTITUTE(SUBSTITUTE(SUBSTITUTE("type:"&amp;B597,"%","%25"),"~","%7E"),"*","%2A"),"?","%3F")))=0,"Unknown type",IF(COUNTIFS('Rules'!$G$7:$G$26,"="&amp;(SUBSTITUTE(SUBSTITUTE(SUBSTITUTE(SUBSTITUTE("type:"&amp;B597,"%","%25"),"~","%7E"),"*","%2A"),"?","%3F")))&gt;1,"Duplicate type",IF(INDEX('Rules'!$F$7:$F$26,MATCH(SUBSTITUTE(SUBSTITUTE(SUBSTITUTE(SUBSTITUTE("type:"&amp;B597,"%","%25"),"~","%7E"),"*","%2A"),"?","%3F"),'Rules'!$G$7:$G$26,0))&lt;&gt;"",INDEX('Rules'!$F$7:$F$26,MATCH(SUBSTITUTE(SUBSTITUTE(SUBSTITUTE(SUBSTITUTE("type:"&amp;B597,"%","%25"),"~","%7E"),"*","%2A"),"?","%3F"),'Rules'!$G$7:$G$26,0)),IF(AND(C597&lt;&gt;"",C597&lt;&gt;INDEX('Rules'!$B$7:$B$26,MATCH(SUBSTITUTE(SUBSTITUTE(SUBSTITUTE(SUBSTITUTE("type:"&amp;B597,"%","%25"),"~","%7E"),"*","%2A"),"?","%3F"),'Rules'!$G$7:$G$26,0))),"Unit mismatch",IF(IF(NOT(ISNUMBER(D597)),TRUE,OR(D597&lt;0,D597&gt;999999999,ROUND(D597,3)&lt;&gt;D597)),"Invalid current reading",IF(AND(E597&lt;&gt;"",IF(NOT(ISNUMBER(E597)),TRUE,OR(E597&lt;0,E597&gt;999999999,ROUND(E597,3)&lt;&gt;E597))),"Invalid previous reading",IF(IF(NOT(ISNUMBER(F597)),TRUE,OR(F597&lt;0,F597&gt;999999999,ROUND(F597,3)&lt;&gt;F597)),"Invalid last service",IF(AND(E597&lt;&gt;"",D597&lt;E597),"Decreased reading",IF(F597&gt;D597,"Last service above current","")))))))))))))</x:f>
      </x:c>
      <x:c r="L597" s="6" t="str">
        <x:f>IF(AND(NOT(COUNTA(A597:F597)=0),K597=""),INDEX('Rules'!$C$7:$C$26,MATCH(SUBSTITUTE(SUBSTITUTE(SUBSTITUTE(SUBSTITUTE("type:"&amp;B597,"%","%25"),"~","%7E"),"*","%2A"),"?","%3F"),'Rules'!$G$7:$G$26,0)),"")</x:f>
      </x:c>
      <x:c r="M597" s="6" t="str">
        <x:f>IF(AND(NOT(COUNTA(A597:F597)=0),K597=""),INDEX('Rules'!$D$7:$D$26,MATCH(SUBSTITUTE(SUBSTITUTE(SUBSTITUTE(SUBSTITUTE("type:"&amp;B597,"%","%25"),"~","%7E"),"*","%2A"),"?","%3F"),'Rules'!$G$7:$G$26,0)),"")</x:f>
      </x:c>
      <x:c r="N597" s="5" t="str">
        <x:f>IF(COUNTA(A597:F597)=0,"",SUBSTITUTE(SUBSTITUTE(SUBSTITUTE(SUBSTITUTE("id:"&amp;A597,"%","%25"),"~","%7E"),"*","%2A"),"?","%3F"))</x:f>
      </x:c>
    </x:row>
    <x:row r="598" ht="22" customHeight="1">
      <x:c r="A598" s="3"/>
      <x:c r="B598" s="3"/>
      <x:c r="C598" s="3"/>
      <x:c r="D598" s="4"/>
      <x:c r="E598" s="4"/>
      <x:c r="F598" s="4"/>
      <x:c r="G598" s="5" t="str">
        <x:f>IF(COUNTA(A598:F598)=0,"",IF(K598&lt;&gt;"","Review",IF(I598&lt;0,"Overdue",IF(I598=0,"Due now",IF(I598&lt;=M598,"Due soon","Not due")))))</x:f>
      </x:c>
      <x:c r="H598" s="5" t="str">
        <x:f>IF(OR(COUNTA(A598:F598)=0,COUNTIFS('Rules'!$G$7:$G$26,"="&amp;(SUBSTITUTE(SUBSTITUTE(SUBSTITUTE(SUBSTITUTE("type:"&amp;B598,"%","%25"),"~","%7E"),"*","%2A"),"?","%3F")))&lt;&gt;1),"",IF(OR(INDEX('Rules'!$B$7:$B$26,MATCH(SUBSTITUTE(SUBSTITUTE(SUBSTITUTE(SUBSTITUTE("type:"&amp;B598,"%","%25"),"~","%7E"),"*","%2A"),"?","%3F"),'Rules'!$G$7:$G$26,0))="hours",INDEX('Rules'!$B$7:$B$26,MATCH(SUBSTITUTE(SUBSTITUTE(SUBSTITUTE(SUBSTITUTE("type:"&amp;B598,"%","%25"),"~","%7E"),"*","%2A"),"?","%3F"),'Rules'!$G$7:$G$26,0))="km"),INDEX('Rules'!$B$7:$B$26,MATCH(SUBSTITUTE(SUBSTITUTE(SUBSTITUTE(SUBSTITUTE("type:"&amp;B598,"%","%25"),"~","%7E"),"*","%2A"),"?","%3F"),'Rules'!$G$7:$G$26,0)),""))</x:f>
      </x:c>
      <x:c r="I598" s="6" t="str">
        <x:f>IF(AND(NOT(COUNTA(A598:F598)=0),K598=""),ROUND(J598-D598,3),"")</x:f>
      </x:c>
      <x:c r="J598" s="6" t="str">
        <x:f>IF(AND(NOT(COUNTA(A598:F598)=0),K598=""),ROUND(F598+L598,3),"")</x:f>
      </x:c>
      <x:c r="K598" s="5" t="str">
        <x:f>IF(COUNTA(A598:F598)=0,"",IF(A598="","Missing equipment ID",IF(COUNTIFS($N$8:$N$2007,"="&amp;N598)&gt;1,"Duplicate equipment ID",IF(B598="","Missing type",IF(COUNTIFS('Rules'!$G$7:$G$26,"="&amp;(SUBSTITUTE(SUBSTITUTE(SUBSTITUTE(SUBSTITUTE("type:"&amp;B598,"%","%25"),"~","%7E"),"*","%2A"),"?","%3F")))=0,"Unknown type",IF(COUNTIFS('Rules'!$G$7:$G$26,"="&amp;(SUBSTITUTE(SUBSTITUTE(SUBSTITUTE(SUBSTITUTE("type:"&amp;B598,"%","%25"),"~","%7E"),"*","%2A"),"?","%3F")))&gt;1,"Duplicate type",IF(INDEX('Rules'!$F$7:$F$26,MATCH(SUBSTITUTE(SUBSTITUTE(SUBSTITUTE(SUBSTITUTE("type:"&amp;B598,"%","%25"),"~","%7E"),"*","%2A"),"?","%3F"),'Rules'!$G$7:$G$26,0))&lt;&gt;"",INDEX('Rules'!$F$7:$F$26,MATCH(SUBSTITUTE(SUBSTITUTE(SUBSTITUTE(SUBSTITUTE("type:"&amp;B598,"%","%25"),"~","%7E"),"*","%2A"),"?","%3F"),'Rules'!$G$7:$G$26,0)),IF(AND(C598&lt;&gt;"",C598&lt;&gt;INDEX('Rules'!$B$7:$B$26,MATCH(SUBSTITUTE(SUBSTITUTE(SUBSTITUTE(SUBSTITUTE("type:"&amp;B598,"%","%25"),"~","%7E"),"*","%2A"),"?","%3F"),'Rules'!$G$7:$G$26,0))),"Unit mismatch",IF(IF(NOT(ISNUMBER(D598)),TRUE,OR(D598&lt;0,D598&gt;999999999,ROUND(D598,3)&lt;&gt;D598)),"Invalid current reading",IF(AND(E598&lt;&gt;"",IF(NOT(ISNUMBER(E598)),TRUE,OR(E598&lt;0,E598&gt;999999999,ROUND(E598,3)&lt;&gt;E598))),"Invalid previous reading",IF(IF(NOT(ISNUMBER(F598)),TRUE,OR(F598&lt;0,F598&gt;999999999,ROUND(F598,3)&lt;&gt;F598)),"Invalid last service",IF(AND(E598&lt;&gt;"",D598&lt;E598),"Decreased reading",IF(F598&gt;D598,"Last service above current","")))))))))))))</x:f>
      </x:c>
      <x:c r="L598" s="6" t="str">
        <x:f>IF(AND(NOT(COUNTA(A598:F598)=0),K598=""),INDEX('Rules'!$C$7:$C$26,MATCH(SUBSTITUTE(SUBSTITUTE(SUBSTITUTE(SUBSTITUTE("type:"&amp;B598,"%","%25"),"~","%7E"),"*","%2A"),"?","%3F"),'Rules'!$G$7:$G$26,0)),"")</x:f>
      </x:c>
      <x:c r="M598" s="6" t="str">
        <x:f>IF(AND(NOT(COUNTA(A598:F598)=0),K598=""),INDEX('Rules'!$D$7:$D$26,MATCH(SUBSTITUTE(SUBSTITUTE(SUBSTITUTE(SUBSTITUTE("type:"&amp;B598,"%","%25"),"~","%7E"),"*","%2A"),"?","%3F"),'Rules'!$G$7:$G$26,0)),"")</x:f>
      </x:c>
      <x:c r="N598" s="5" t="str">
        <x:f>IF(COUNTA(A598:F598)=0,"",SUBSTITUTE(SUBSTITUTE(SUBSTITUTE(SUBSTITUTE("id:"&amp;A598,"%","%25"),"~","%7E"),"*","%2A"),"?","%3F"))</x:f>
      </x:c>
    </x:row>
    <x:row r="599" ht="22" customHeight="1">
      <x:c r="A599" s="3"/>
      <x:c r="B599" s="3"/>
      <x:c r="C599" s="3"/>
      <x:c r="D599" s="4"/>
      <x:c r="E599" s="4"/>
      <x:c r="F599" s="4"/>
      <x:c r="G599" s="5" t="str">
        <x:f>IF(COUNTA(A599:F599)=0,"",IF(K599&lt;&gt;"","Review",IF(I599&lt;0,"Overdue",IF(I599=0,"Due now",IF(I599&lt;=M599,"Due soon","Not due")))))</x:f>
      </x:c>
      <x:c r="H599" s="5" t="str">
        <x:f>IF(OR(COUNTA(A599:F599)=0,COUNTIFS('Rules'!$G$7:$G$26,"="&amp;(SUBSTITUTE(SUBSTITUTE(SUBSTITUTE(SUBSTITUTE("type:"&amp;B599,"%","%25"),"~","%7E"),"*","%2A"),"?","%3F")))&lt;&gt;1),"",IF(OR(INDEX('Rules'!$B$7:$B$26,MATCH(SUBSTITUTE(SUBSTITUTE(SUBSTITUTE(SUBSTITUTE("type:"&amp;B599,"%","%25"),"~","%7E"),"*","%2A"),"?","%3F"),'Rules'!$G$7:$G$26,0))="hours",INDEX('Rules'!$B$7:$B$26,MATCH(SUBSTITUTE(SUBSTITUTE(SUBSTITUTE(SUBSTITUTE("type:"&amp;B599,"%","%25"),"~","%7E"),"*","%2A"),"?","%3F"),'Rules'!$G$7:$G$26,0))="km"),INDEX('Rules'!$B$7:$B$26,MATCH(SUBSTITUTE(SUBSTITUTE(SUBSTITUTE(SUBSTITUTE("type:"&amp;B599,"%","%25"),"~","%7E"),"*","%2A"),"?","%3F"),'Rules'!$G$7:$G$26,0)),""))</x:f>
      </x:c>
      <x:c r="I599" s="6" t="str">
        <x:f>IF(AND(NOT(COUNTA(A599:F599)=0),K599=""),ROUND(J599-D599,3),"")</x:f>
      </x:c>
      <x:c r="J599" s="6" t="str">
        <x:f>IF(AND(NOT(COUNTA(A599:F599)=0),K599=""),ROUND(F599+L599,3),"")</x:f>
      </x:c>
      <x:c r="K599" s="5" t="str">
        <x:f>IF(COUNTA(A599:F599)=0,"",IF(A599="","Missing equipment ID",IF(COUNTIFS($N$8:$N$2007,"="&amp;N599)&gt;1,"Duplicate equipment ID",IF(B599="","Missing type",IF(COUNTIFS('Rules'!$G$7:$G$26,"="&amp;(SUBSTITUTE(SUBSTITUTE(SUBSTITUTE(SUBSTITUTE("type:"&amp;B599,"%","%25"),"~","%7E"),"*","%2A"),"?","%3F")))=0,"Unknown type",IF(COUNTIFS('Rules'!$G$7:$G$26,"="&amp;(SUBSTITUTE(SUBSTITUTE(SUBSTITUTE(SUBSTITUTE("type:"&amp;B599,"%","%25"),"~","%7E"),"*","%2A"),"?","%3F")))&gt;1,"Duplicate type",IF(INDEX('Rules'!$F$7:$F$26,MATCH(SUBSTITUTE(SUBSTITUTE(SUBSTITUTE(SUBSTITUTE("type:"&amp;B599,"%","%25"),"~","%7E"),"*","%2A"),"?","%3F"),'Rules'!$G$7:$G$26,0))&lt;&gt;"",INDEX('Rules'!$F$7:$F$26,MATCH(SUBSTITUTE(SUBSTITUTE(SUBSTITUTE(SUBSTITUTE("type:"&amp;B599,"%","%25"),"~","%7E"),"*","%2A"),"?","%3F"),'Rules'!$G$7:$G$26,0)),IF(AND(C599&lt;&gt;"",C599&lt;&gt;INDEX('Rules'!$B$7:$B$26,MATCH(SUBSTITUTE(SUBSTITUTE(SUBSTITUTE(SUBSTITUTE("type:"&amp;B599,"%","%25"),"~","%7E"),"*","%2A"),"?","%3F"),'Rules'!$G$7:$G$26,0))),"Unit mismatch",IF(IF(NOT(ISNUMBER(D599)),TRUE,OR(D599&lt;0,D599&gt;999999999,ROUND(D599,3)&lt;&gt;D599)),"Invalid current reading",IF(AND(E599&lt;&gt;"",IF(NOT(ISNUMBER(E599)),TRUE,OR(E599&lt;0,E599&gt;999999999,ROUND(E599,3)&lt;&gt;E599))),"Invalid previous reading",IF(IF(NOT(ISNUMBER(F599)),TRUE,OR(F599&lt;0,F599&gt;999999999,ROUND(F599,3)&lt;&gt;F599)),"Invalid last service",IF(AND(E599&lt;&gt;"",D599&lt;E599),"Decreased reading",IF(F599&gt;D599,"Last service above current","")))))))))))))</x:f>
      </x:c>
      <x:c r="L599" s="6" t="str">
        <x:f>IF(AND(NOT(COUNTA(A599:F599)=0),K599=""),INDEX('Rules'!$C$7:$C$26,MATCH(SUBSTITUTE(SUBSTITUTE(SUBSTITUTE(SUBSTITUTE("type:"&amp;B599,"%","%25"),"~","%7E"),"*","%2A"),"?","%3F"),'Rules'!$G$7:$G$26,0)),"")</x:f>
      </x:c>
      <x:c r="M599" s="6" t="str">
        <x:f>IF(AND(NOT(COUNTA(A599:F599)=0),K599=""),INDEX('Rules'!$D$7:$D$26,MATCH(SUBSTITUTE(SUBSTITUTE(SUBSTITUTE(SUBSTITUTE("type:"&amp;B599,"%","%25"),"~","%7E"),"*","%2A"),"?","%3F"),'Rules'!$G$7:$G$26,0)),"")</x:f>
      </x:c>
      <x:c r="N599" s="5" t="str">
        <x:f>IF(COUNTA(A599:F599)=0,"",SUBSTITUTE(SUBSTITUTE(SUBSTITUTE(SUBSTITUTE("id:"&amp;A599,"%","%25"),"~","%7E"),"*","%2A"),"?","%3F"))</x:f>
      </x:c>
    </x:row>
    <x:row r="600" ht="22" customHeight="1">
      <x:c r="A600" s="3"/>
      <x:c r="B600" s="3"/>
      <x:c r="C600" s="3"/>
      <x:c r="D600" s="4"/>
      <x:c r="E600" s="4"/>
      <x:c r="F600" s="4"/>
      <x:c r="G600" s="5" t="str">
        <x:f>IF(COUNTA(A600:F600)=0,"",IF(K600&lt;&gt;"","Review",IF(I600&lt;0,"Overdue",IF(I600=0,"Due now",IF(I600&lt;=M600,"Due soon","Not due")))))</x:f>
      </x:c>
      <x:c r="H600" s="5" t="str">
        <x:f>IF(OR(COUNTA(A600:F600)=0,COUNTIFS('Rules'!$G$7:$G$26,"="&amp;(SUBSTITUTE(SUBSTITUTE(SUBSTITUTE(SUBSTITUTE("type:"&amp;B600,"%","%25"),"~","%7E"),"*","%2A"),"?","%3F")))&lt;&gt;1),"",IF(OR(INDEX('Rules'!$B$7:$B$26,MATCH(SUBSTITUTE(SUBSTITUTE(SUBSTITUTE(SUBSTITUTE("type:"&amp;B600,"%","%25"),"~","%7E"),"*","%2A"),"?","%3F"),'Rules'!$G$7:$G$26,0))="hours",INDEX('Rules'!$B$7:$B$26,MATCH(SUBSTITUTE(SUBSTITUTE(SUBSTITUTE(SUBSTITUTE("type:"&amp;B600,"%","%25"),"~","%7E"),"*","%2A"),"?","%3F"),'Rules'!$G$7:$G$26,0))="km"),INDEX('Rules'!$B$7:$B$26,MATCH(SUBSTITUTE(SUBSTITUTE(SUBSTITUTE(SUBSTITUTE("type:"&amp;B600,"%","%25"),"~","%7E"),"*","%2A"),"?","%3F"),'Rules'!$G$7:$G$26,0)),""))</x:f>
      </x:c>
      <x:c r="I600" s="6" t="str">
        <x:f>IF(AND(NOT(COUNTA(A600:F600)=0),K600=""),ROUND(J600-D600,3),"")</x:f>
      </x:c>
      <x:c r="J600" s="6" t="str">
        <x:f>IF(AND(NOT(COUNTA(A600:F600)=0),K600=""),ROUND(F600+L600,3),"")</x:f>
      </x:c>
      <x:c r="K600" s="5" t="str">
        <x:f>IF(COUNTA(A600:F600)=0,"",IF(A600="","Missing equipment ID",IF(COUNTIFS($N$8:$N$2007,"="&amp;N600)&gt;1,"Duplicate equipment ID",IF(B600="","Missing type",IF(COUNTIFS('Rules'!$G$7:$G$26,"="&amp;(SUBSTITUTE(SUBSTITUTE(SUBSTITUTE(SUBSTITUTE("type:"&amp;B600,"%","%25"),"~","%7E"),"*","%2A"),"?","%3F")))=0,"Unknown type",IF(COUNTIFS('Rules'!$G$7:$G$26,"="&amp;(SUBSTITUTE(SUBSTITUTE(SUBSTITUTE(SUBSTITUTE("type:"&amp;B600,"%","%25"),"~","%7E"),"*","%2A"),"?","%3F")))&gt;1,"Duplicate type",IF(INDEX('Rules'!$F$7:$F$26,MATCH(SUBSTITUTE(SUBSTITUTE(SUBSTITUTE(SUBSTITUTE("type:"&amp;B600,"%","%25"),"~","%7E"),"*","%2A"),"?","%3F"),'Rules'!$G$7:$G$26,0))&lt;&gt;"",INDEX('Rules'!$F$7:$F$26,MATCH(SUBSTITUTE(SUBSTITUTE(SUBSTITUTE(SUBSTITUTE("type:"&amp;B600,"%","%25"),"~","%7E"),"*","%2A"),"?","%3F"),'Rules'!$G$7:$G$26,0)),IF(AND(C600&lt;&gt;"",C600&lt;&gt;INDEX('Rules'!$B$7:$B$26,MATCH(SUBSTITUTE(SUBSTITUTE(SUBSTITUTE(SUBSTITUTE("type:"&amp;B600,"%","%25"),"~","%7E"),"*","%2A"),"?","%3F"),'Rules'!$G$7:$G$26,0))),"Unit mismatch",IF(IF(NOT(ISNUMBER(D600)),TRUE,OR(D600&lt;0,D600&gt;999999999,ROUND(D600,3)&lt;&gt;D600)),"Invalid current reading",IF(AND(E600&lt;&gt;"",IF(NOT(ISNUMBER(E600)),TRUE,OR(E600&lt;0,E600&gt;999999999,ROUND(E600,3)&lt;&gt;E600))),"Invalid previous reading",IF(IF(NOT(ISNUMBER(F600)),TRUE,OR(F600&lt;0,F600&gt;999999999,ROUND(F600,3)&lt;&gt;F600)),"Invalid last service",IF(AND(E600&lt;&gt;"",D600&lt;E600),"Decreased reading",IF(F600&gt;D600,"Last service above current","")))))))))))))</x:f>
      </x:c>
      <x:c r="L600" s="6" t="str">
        <x:f>IF(AND(NOT(COUNTA(A600:F600)=0),K600=""),INDEX('Rules'!$C$7:$C$26,MATCH(SUBSTITUTE(SUBSTITUTE(SUBSTITUTE(SUBSTITUTE("type:"&amp;B600,"%","%25"),"~","%7E"),"*","%2A"),"?","%3F"),'Rules'!$G$7:$G$26,0)),"")</x:f>
      </x:c>
      <x:c r="M600" s="6" t="str">
        <x:f>IF(AND(NOT(COUNTA(A600:F600)=0),K600=""),INDEX('Rules'!$D$7:$D$26,MATCH(SUBSTITUTE(SUBSTITUTE(SUBSTITUTE(SUBSTITUTE("type:"&amp;B600,"%","%25"),"~","%7E"),"*","%2A"),"?","%3F"),'Rules'!$G$7:$G$26,0)),"")</x:f>
      </x:c>
      <x:c r="N600" s="5" t="str">
        <x:f>IF(COUNTA(A600:F600)=0,"",SUBSTITUTE(SUBSTITUTE(SUBSTITUTE(SUBSTITUTE("id:"&amp;A600,"%","%25"),"~","%7E"),"*","%2A"),"?","%3F"))</x:f>
      </x:c>
    </x:row>
    <x:row r="601" ht="22" customHeight="1">
      <x:c r="A601" s="3"/>
      <x:c r="B601" s="3"/>
      <x:c r="C601" s="3"/>
      <x:c r="D601" s="4"/>
      <x:c r="E601" s="4"/>
      <x:c r="F601" s="4"/>
      <x:c r="G601" s="5" t="str">
        <x:f>IF(COUNTA(A601:F601)=0,"",IF(K601&lt;&gt;"","Review",IF(I601&lt;0,"Overdue",IF(I601=0,"Due now",IF(I601&lt;=M601,"Due soon","Not due")))))</x:f>
      </x:c>
      <x:c r="H601" s="5" t="str">
        <x:f>IF(OR(COUNTA(A601:F601)=0,COUNTIFS('Rules'!$G$7:$G$26,"="&amp;(SUBSTITUTE(SUBSTITUTE(SUBSTITUTE(SUBSTITUTE("type:"&amp;B601,"%","%25"),"~","%7E"),"*","%2A"),"?","%3F")))&lt;&gt;1),"",IF(OR(INDEX('Rules'!$B$7:$B$26,MATCH(SUBSTITUTE(SUBSTITUTE(SUBSTITUTE(SUBSTITUTE("type:"&amp;B601,"%","%25"),"~","%7E"),"*","%2A"),"?","%3F"),'Rules'!$G$7:$G$26,0))="hours",INDEX('Rules'!$B$7:$B$26,MATCH(SUBSTITUTE(SUBSTITUTE(SUBSTITUTE(SUBSTITUTE("type:"&amp;B601,"%","%25"),"~","%7E"),"*","%2A"),"?","%3F"),'Rules'!$G$7:$G$26,0))="km"),INDEX('Rules'!$B$7:$B$26,MATCH(SUBSTITUTE(SUBSTITUTE(SUBSTITUTE(SUBSTITUTE("type:"&amp;B601,"%","%25"),"~","%7E"),"*","%2A"),"?","%3F"),'Rules'!$G$7:$G$26,0)),""))</x:f>
      </x:c>
      <x:c r="I601" s="6" t="str">
        <x:f>IF(AND(NOT(COUNTA(A601:F601)=0),K601=""),ROUND(J601-D601,3),"")</x:f>
      </x:c>
      <x:c r="J601" s="6" t="str">
        <x:f>IF(AND(NOT(COUNTA(A601:F601)=0),K601=""),ROUND(F601+L601,3),"")</x:f>
      </x:c>
      <x:c r="K601" s="5" t="str">
        <x:f>IF(COUNTA(A601:F601)=0,"",IF(A601="","Missing equipment ID",IF(COUNTIFS($N$8:$N$2007,"="&amp;N601)&gt;1,"Duplicate equipment ID",IF(B601="","Missing type",IF(COUNTIFS('Rules'!$G$7:$G$26,"="&amp;(SUBSTITUTE(SUBSTITUTE(SUBSTITUTE(SUBSTITUTE("type:"&amp;B601,"%","%25"),"~","%7E"),"*","%2A"),"?","%3F")))=0,"Unknown type",IF(COUNTIFS('Rules'!$G$7:$G$26,"="&amp;(SUBSTITUTE(SUBSTITUTE(SUBSTITUTE(SUBSTITUTE("type:"&amp;B601,"%","%25"),"~","%7E"),"*","%2A"),"?","%3F")))&gt;1,"Duplicate type",IF(INDEX('Rules'!$F$7:$F$26,MATCH(SUBSTITUTE(SUBSTITUTE(SUBSTITUTE(SUBSTITUTE("type:"&amp;B601,"%","%25"),"~","%7E"),"*","%2A"),"?","%3F"),'Rules'!$G$7:$G$26,0))&lt;&gt;"",INDEX('Rules'!$F$7:$F$26,MATCH(SUBSTITUTE(SUBSTITUTE(SUBSTITUTE(SUBSTITUTE("type:"&amp;B601,"%","%25"),"~","%7E"),"*","%2A"),"?","%3F"),'Rules'!$G$7:$G$26,0)),IF(AND(C601&lt;&gt;"",C601&lt;&gt;INDEX('Rules'!$B$7:$B$26,MATCH(SUBSTITUTE(SUBSTITUTE(SUBSTITUTE(SUBSTITUTE("type:"&amp;B601,"%","%25"),"~","%7E"),"*","%2A"),"?","%3F"),'Rules'!$G$7:$G$26,0))),"Unit mismatch",IF(IF(NOT(ISNUMBER(D601)),TRUE,OR(D601&lt;0,D601&gt;999999999,ROUND(D601,3)&lt;&gt;D601)),"Invalid current reading",IF(AND(E601&lt;&gt;"",IF(NOT(ISNUMBER(E601)),TRUE,OR(E601&lt;0,E601&gt;999999999,ROUND(E601,3)&lt;&gt;E601))),"Invalid previous reading",IF(IF(NOT(ISNUMBER(F601)),TRUE,OR(F601&lt;0,F601&gt;999999999,ROUND(F601,3)&lt;&gt;F601)),"Invalid last service",IF(AND(E601&lt;&gt;"",D601&lt;E601),"Decreased reading",IF(F601&gt;D601,"Last service above current","")))))))))))))</x:f>
      </x:c>
      <x:c r="L601" s="6" t="str">
        <x:f>IF(AND(NOT(COUNTA(A601:F601)=0),K601=""),INDEX('Rules'!$C$7:$C$26,MATCH(SUBSTITUTE(SUBSTITUTE(SUBSTITUTE(SUBSTITUTE("type:"&amp;B601,"%","%25"),"~","%7E"),"*","%2A"),"?","%3F"),'Rules'!$G$7:$G$26,0)),"")</x:f>
      </x:c>
      <x:c r="M601" s="6" t="str">
        <x:f>IF(AND(NOT(COUNTA(A601:F601)=0),K601=""),INDEX('Rules'!$D$7:$D$26,MATCH(SUBSTITUTE(SUBSTITUTE(SUBSTITUTE(SUBSTITUTE("type:"&amp;B601,"%","%25"),"~","%7E"),"*","%2A"),"?","%3F"),'Rules'!$G$7:$G$26,0)),"")</x:f>
      </x:c>
      <x:c r="N601" s="5" t="str">
        <x:f>IF(COUNTA(A601:F601)=0,"",SUBSTITUTE(SUBSTITUTE(SUBSTITUTE(SUBSTITUTE("id:"&amp;A601,"%","%25"),"~","%7E"),"*","%2A"),"?","%3F"))</x:f>
      </x:c>
    </x:row>
    <x:row r="602" ht="22" customHeight="1">
      <x:c r="A602" s="3"/>
      <x:c r="B602" s="3"/>
      <x:c r="C602" s="3"/>
      <x:c r="D602" s="4"/>
      <x:c r="E602" s="4"/>
      <x:c r="F602" s="4"/>
      <x:c r="G602" s="5" t="str">
        <x:f>IF(COUNTA(A602:F602)=0,"",IF(K602&lt;&gt;"","Review",IF(I602&lt;0,"Overdue",IF(I602=0,"Due now",IF(I602&lt;=M602,"Due soon","Not due")))))</x:f>
      </x:c>
      <x:c r="H602" s="5" t="str">
        <x:f>IF(OR(COUNTA(A602:F602)=0,COUNTIFS('Rules'!$G$7:$G$26,"="&amp;(SUBSTITUTE(SUBSTITUTE(SUBSTITUTE(SUBSTITUTE("type:"&amp;B602,"%","%25"),"~","%7E"),"*","%2A"),"?","%3F")))&lt;&gt;1),"",IF(OR(INDEX('Rules'!$B$7:$B$26,MATCH(SUBSTITUTE(SUBSTITUTE(SUBSTITUTE(SUBSTITUTE("type:"&amp;B602,"%","%25"),"~","%7E"),"*","%2A"),"?","%3F"),'Rules'!$G$7:$G$26,0))="hours",INDEX('Rules'!$B$7:$B$26,MATCH(SUBSTITUTE(SUBSTITUTE(SUBSTITUTE(SUBSTITUTE("type:"&amp;B602,"%","%25"),"~","%7E"),"*","%2A"),"?","%3F"),'Rules'!$G$7:$G$26,0))="km"),INDEX('Rules'!$B$7:$B$26,MATCH(SUBSTITUTE(SUBSTITUTE(SUBSTITUTE(SUBSTITUTE("type:"&amp;B602,"%","%25"),"~","%7E"),"*","%2A"),"?","%3F"),'Rules'!$G$7:$G$26,0)),""))</x:f>
      </x:c>
      <x:c r="I602" s="6" t="str">
        <x:f>IF(AND(NOT(COUNTA(A602:F602)=0),K602=""),ROUND(J602-D602,3),"")</x:f>
      </x:c>
      <x:c r="J602" s="6" t="str">
        <x:f>IF(AND(NOT(COUNTA(A602:F602)=0),K602=""),ROUND(F602+L602,3),"")</x:f>
      </x:c>
      <x:c r="K602" s="5" t="str">
        <x:f>IF(COUNTA(A602:F602)=0,"",IF(A602="","Missing equipment ID",IF(COUNTIFS($N$8:$N$2007,"="&amp;N602)&gt;1,"Duplicate equipment ID",IF(B602="","Missing type",IF(COUNTIFS('Rules'!$G$7:$G$26,"="&amp;(SUBSTITUTE(SUBSTITUTE(SUBSTITUTE(SUBSTITUTE("type:"&amp;B602,"%","%25"),"~","%7E"),"*","%2A"),"?","%3F")))=0,"Unknown type",IF(COUNTIFS('Rules'!$G$7:$G$26,"="&amp;(SUBSTITUTE(SUBSTITUTE(SUBSTITUTE(SUBSTITUTE("type:"&amp;B602,"%","%25"),"~","%7E"),"*","%2A"),"?","%3F")))&gt;1,"Duplicate type",IF(INDEX('Rules'!$F$7:$F$26,MATCH(SUBSTITUTE(SUBSTITUTE(SUBSTITUTE(SUBSTITUTE("type:"&amp;B602,"%","%25"),"~","%7E"),"*","%2A"),"?","%3F"),'Rules'!$G$7:$G$26,0))&lt;&gt;"",INDEX('Rules'!$F$7:$F$26,MATCH(SUBSTITUTE(SUBSTITUTE(SUBSTITUTE(SUBSTITUTE("type:"&amp;B602,"%","%25"),"~","%7E"),"*","%2A"),"?","%3F"),'Rules'!$G$7:$G$26,0)),IF(AND(C602&lt;&gt;"",C602&lt;&gt;INDEX('Rules'!$B$7:$B$26,MATCH(SUBSTITUTE(SUBSTITUTE(SUBSTITUTE(SUBSTITUTE("type:"&amp;B602,"%","%25"),"~","%7E"),"*","%2A"),"?","%3F"),'Rules'!$G$7:$G$26,0))),"Unit mismatch",IF(IF(NOT(ISNUMBER(D602)),TRUE,OR(D602&lt;0,D602&gt;999999999,ROUND(D602,3)&lt;&gt;D602)),"Invalid current reading",IF(AND(E602&lt;&gt;"",IF(NOT(ISNUMBER(E602)),TRUE,OR(E602&lt;0,E602&gt;999999999,ROUND(E602,3)&lt;&gt;E602))),"Invalid previous reading",IF(IF(NOT(ISNUMBER(F602)),TRUE,OR(F602&lt;0,F602&gt;999999999,ROUND(F602,3)&lt;&gt;F602)),"Invalid last service",IF(AND(E602&lt;&gt;"",D602&lt;E602),"Decreased reading",IF(F602&gt;D602,"Last service above current","")))))))))))))</x:f>
      </x:c>
      <x:c r="L602" s="6" t="str">
        <x:f>IF(AND(NOT(COUNTA(A602:F602)=0),K602=""),INDEX('Rules'!$C$7:$C$26,MATCH(SUBSTITUTE(SUBSTITUTE(SUBSTITUTE(SUBSTITUTE("type:"&amp;B602,"%","%25"),"~","%7E"),"*","%2A"),"?","%3F"),'Rules'!$G$7:$G$26,0)),"")</x:f>
      </x:c>
      <x:c r="M602" s="6" t="str">
        <x:f>IF(AND(NOT(COUNTA(A602:F602)=0),K602=""),INDEX('Rules'!$D$7:$D$26,MATCH(SUBSTITUTE(SUBSTITUTE(SUBSTITUTE(SUBSTITUTE("type:"&amp;B602,"%","%25"),"~","%7E"),"*","%2A"),"?","%3F"),'Rules'!$G$7:$G$26,0)),"")</x:f>
      </x:c>
      <x:c r="N602" s="5" t="str">
        <x:f>IF(COUNTA(A602:F602)=0,"",SUBSTITUTE(SUBSTITUTE(SUBSTITUTE(SUBSTITUTE("id:"&amp;A602,"%","%25"),"~","%7E"),"*","%2A"),"?","%3F"))</x:f>
      </x:c>
    </x:row>
    <x:row r="603" ht="22" customHeight="1">
      <x:c r="A603" s="3"/>
      <x:c r="B603" s="3"/>
      <x:c r="C603" s="3"/>
      <x:c r="D603" s="4"/>
      <x:c r="E603" s="4"/>
      <x:c r="F603" s="4"/>
      <x:c r="G603" s="5" t="str">
        <x:f>IF(COUNTA(A603:F603)=0,"",IF(K603&lt;&gt;"","Review",IF(I603&lt;0,"Overdue",IF(I603=0,"Due now",IF(I603&lt;=M603,"Due soon","Not due")))))</x:f>
      </x:c>
      <x:c r="H603" s="5" t="str">
        <x:f>IF(OR(COUNTA(A603:F603)=0,COUNTIFS('Rules'!$G$7:$G$26,"="&amp;(SUBSTITUTE(SUBSTITUTE(SUBSTITUTE(SUBSTITUTE("type:"&amp;B603,"%","%25"),"~","%7E"),"*","%2A"),"?","%3F")))&lt;&gt;1),"",IF(OR(INDEX('Rules'!$B$7:$B$26,MATCH(SUBSTITUTE(SUBSTITUTE(SUBSTITUTE(SUBSTITUTE("type:"&amp;B603,"%","%25"),"~","%7E"),"*","%2A"),"?","%3F"),'Rules'!$G$7:$G$26,0))="hours",INDEX('Rules'!$B$7:$B$26,MATCH(SUBSTITUTE(SUBSTITUTE(SUBSTITUTE(SUBSTITUTE("type:"&amp;B603,"%","%25"),"~","%7E"),"*","%2A"),"?","%3F"),'Rules'!$G$7:$G$26,0))="km"),INDEX('Rules'!$B$7:$B$26,MATCH(SUBSTITUTE(SUBSTITUTE(SUBSTITUTE(SUBSTITUTE("type:"&amp;B603,"%","%25"),"~","%7E"),"*","%2A"),"?","%3F"),'Rules'!$G$7:$G$26,0)),""))</x:f>
      </x:c>
      <x:c r="I603" s="6" t="str">
        <x:f>IF(AND(NOT(COUNTA(A603:F603)=0),K603=""),ROUND(J603-D603,3),"")</x:f>
      </x:c>
      <x:c r="J603" s="6" t="str">
        <x:f>IF(AND(NOT(COUNTA(A603:F603)=0),K603=""),ROUND(F603+L603,3),"")</x:f>
      </x:c>
      <x:c r="K603" s="5" t="str">
        <x:f>IF(COUNTA(A603:F603)=0,"",IF(A603="","Missing equipment ID",IF(COUNTIFS($N$8:$N$2007,"="&amp;N603)&gt;1,"Duplicate equipment ID",IF(B603="","Missing type",IF(COUNTIFS('Rules'!$G$7:$G$26,"="&amp;(SUBSTITUTE(SUBSTITUTE(SUBSTITUTE(SUBSTITUTE("type:"&amp;B603,"%","%25"),"~","%7E"),"*","%2A"),"?","%3F")))=0,"Unknown type",IF(COUNTIFS('Rules'!$G$7:$G$26,"="&amp;(SUBSTITUTE(SUBSTITUTE(SUBSTITUTE(SUBSTITUTE("type:"&amp;B603,"%","%25"),"~","%7E"),"*","%2A"),"?","%3F")))&gt;1,"Duplicate type",IF(INDEX('Rules'!$F$7:$F$26,MATCH(SUBSTITUTE(SUBSTITUTE(SUBSTITUTE(SUBSTITUTE("type:"&amp;B603,"%","%25"),"~","%7E"),"*","%2A"),"?","%3F"),'Rules'!$G$7:$G$26,0))&lt;&gt;"",INDEX('Rules'!$F$7:$F$26,MATCH(SUBSTITUTE(SUBSTITUTE(SUBSTITUTE(SUBSTITUTE("type:"&amp;B603,"%","%25"),"~","%7E"),"*","%2A"),"?","%3F"),'Rules'!$G$7:$G$26,0)),IF(AND(C603&lt;&gt;"",C603&lt;&gt;INDEX('Rules'!$B$7:$B$26,MATCH(SUBSTITUTE(SUBSTITUTE(SUBSTITUTE(SUBSTITUTE("type:"&amp;B603,"%","%25"),"~","%7E"),"*","%2A"),"?","%3F"),'Rules'!$G$7:$G$26,0))),"Unit mismatch",IF(IF(NOT(ISNUMBER(D603)),TRUE,OR(D603&lt;0,D603&gt;999999999,ROUND(D603,3)&lt;&gt;D603)),"Invalid current reading",IF(AND(E603&lt;&gt;"",IF(NOT(ISNUMBER(E603)),TRUE,OR(E603&lt;0,E603&gt;999999999,ROUND(E603,3)&lt;&gt;E603))),"Invalid previous reading",IF(IF(NOT(ISNUMBER(F603)),TRUE,OR(F603&lt;0,F603&gt;999999999,ROUND(F603,3)&lt;&gt;F603)),"Invalid last service",IF(AND(E603&lt;&gt;"",D603&lt;E603),"Decreased reading",IF(F603&gt;D603,"Last service above current","")))))))))))))</x:f>
      </x:c>
      <x:c r="L603" s="6" t="str">
        <x:f>IF(AND(NOT(COUNTA(A603:F603)=0),K603=""),INDEX('Rules'!$C$7:$C$26,MATCH(SUBSTITUTE(SUBSTITUTE(SUBSTITUTE(SUBSTITUTE("type:"&amp;B603,"%","%25"),"~","%7E"),"*","%2A"),"?","%3F"),'Rules'!$G$7:$G$26,0)),"")</x:f>
      </x:c>
      <x:c r="M603" s="6" t="str">
        <x:f>IF(AND(NOT(COUNTA(A603:F603)=0),K603=""),INDEX('Rules'!$D$7:$D$26,MATCH(SUBSTITUTE(SUBSTITUTE(SUBSTITUTE(SUBSTITUTE("type:"&amp;B603,"%","%25"),"~","%7E"),"*","%2A"),"?","%3F"),'Rules'!$G$7:$G$26,0)),"")</x:f>
      </x:c>
      <x:c r="N603" s="5" t="str">
        <x:f>IF(COUNTA(A603:F603)=0,"",SUBSTITUTE(SUBSTITUTE(SUBSTITUTE(SUBSTITUTE("id:"&amp;A603,"%","%25"),"~","%7E"),"*","%2A"),"?","%3F"))</x:f>
      </x:c>
    </x:row>
    <x:row r="604" ht="22" customHeight="1">
      <x:c r="A604" s="3"/>
      <x:c r="B604" s="3"/>
      <x:c r="C604" s="3"/>
      <x:c r="D604" s="4"/>
      <x:c r="E604" s="4"/>
      <x:c r="F604" s="4"/>
      <x:c r="G604" s="5" t="str">
        <x:f>IF(COUNTA(A604:F604)=0,"",IF(K604&lt;&gt;"","Review",IF(I604&lt;0,"Overdue",IF(I604=0,"Due now",IF(I604&lt;=M604,"Due soon","Not due")))))</x:f>
      </x:c>
      <x:c r="H604" s="5" t="str">
        <x:f>IF(OR(COUNTA(A604:F604)=0,COUNTIFS('Rules'!$G$7:$G$26,"="&amp;(SUBSTITUTE(SUBSTITUTE(SUBSTITUTE(SUBSTITUTE("type:"&amp;B604,"%","%25"),"~","%7E"),"*","%2A"),"?","%3F")))&lt;&gt;1),"",IF(OR(INDEX('Rules'!$B$7:$B$26,MATCH(SUBSTITUTE(SUBSTITUTE(SUBSTITUTE(SUBSTITUTE("type:"&amp;B604,"%","%25"),"~","%7E"),"*","%2A"),"?","%3F"),'Rules'!$G$7:$G$26,0))="hours",INDEX('Rules'!$B$7:$B$26,MATCH(SUBSTITUTE(SUBSTITUTE(SUBSTITUTE(SUBSTITUTE("type:"&amp;B604,"%","%25"),"~","%7E"),"*","%2A"),"?","%3F"),'Rules'!$G$7:$G$26,0))="km"),INDEX('Rules'!$B$7:$B$26,MATCH(SUBSTITUTE(SUBSTITUTE(SUBSTITUTE(SUBSTITUTE("type:"&amp;B604,"%","%25"),"~","%7E"),"*","%2A"),"?","%3F"),'Rules'!$G$7:$G$26,0)),""))</x:f>
      </x:c>
      <x:c r="I604" s="6" t="str">
        <x:f>IF(AND(NOT(COUNTA(A604:F604)=0),K604=""),ROUND(J604-D604,3),"")</x:f>
      </x:c>
      <x:c r="J604" s="6" t="str">
        <x:f>IF(AND(NOT(COUNTA(A604:F604)=0),K604=""),ROUND(F604+L604,3),"")</x:f>
      </x:c>
      <x:c r="K604" s="5" t="str">
        <x:f>IF(COUNTA(A604:F604)=0,"",IF(A604="","Missing equipment ID",IF(COUNTIFS($N$8:$N$2007,"="&amp;N604)&gt;1,"Duplicate equipment ID",IF(B604="","Missing type",IF(COUNTIFS('Rules'!$G$7:$G$26,"="&amp;(SUBSTITUTE(SUBSTITUTE(SUBSTITUTE(SUBSTITUTE("type:"&amp;B604,"%","%25"),"~","%7E"),"*","%2A"),"?","%3F")))=0,"Unknown type",IF(COUNTIFS('Rules'!$G$7:$G$26,"="&amp;(SUBSTITUTE(SUBSTITUTE(SUBSTITUTE(SUBSTITUTE("type:"&amp;B604,"%","%25"),"~","%7E"),"*","%2A"),"?","%3F")))&gt;1,"Duplicate type",IF(INDEX('Rules'!$F$7:$F$26,MATCH(SUBSTITUTE(SUBSTITUTE(SUBSTITUTE(SUBSTITUTE("type:"&amp;B604,"%","%25"),"~","%7E"),"*","%2A"),"?","%3F"),'Rules'!$G$7:$G$26,0))&lt;&gt;"",INDEX('Rules'!$F$7:$F$26,MATCH(SUBSTITUTE(SUBSTITUTE(SUBSTITUTE(SUBSTITUTE("type:"&amp;B604,"%","%25"),"~","%7E"),"*","%2A"),"?","%3F"),'Rules'!$G$7:$G$26,0)),IF(AND(C604&lt;&gt;"",C604&lt;&gt;INDEX('Rules'!$B$7:$B$26,MATCH(SUBSTITUTE(SUBSTITUTE(SUBSTITUTE(SUBSTITUTE("type:"&amp;B604,"%","%25"),"~","%7E"),"*","%2A"),"?","%3F"),'Rules'!$G$7:$G$26,0))),"Unit mismatch",IF(IF(NOT(ISNUMBER(D604)),TRUE,OR(D604&lt;0,D604&gt;999999999,ROUND(D604,3)&lt;&gt;D604)),"Invalid current reading",IF(AND(E604&lt;&gt;"",IF(NOT(ISNUMBER(E604)),TRUE,OR(E604&lt;0,E604&gt;999999999,ROUND(E604,3)&lt;&gt;E604))),"Invalid previous reading",IF(IF(NOT(ISNUMBER(F604)),TRUE,OR(F604&lt;0,F604&gt;999999999,ROUND(F604,3)&lt;&gt;F604)),"Invalid last service",IF(AND(E604&lt;&gt;"",D604&lt;E604),"Decreased reading",IF(F604&gt;D604,"Last service above current","")))))))))))))</x:f>
      </x:c>
      <x:c r="L604" s="6" t="str">
        <x:f>IF(AND(NOT(COUNTA(A604:F604)=0),K604=""),INDEX('Rules'!$C$7:$C$26,MATCH(SUBSTITUTE(SUBSTITUTE(SUBSTITUTE(SUBSTITUTE("type:"&amp;B604,"%","%25"),"~","%7E"),"*","%2A"),"?","%3F"),'Rules'!$G$7:$G$26,0)),"")</x:f>
      </x:c>
      <x:c r="M604" s="6" t="str">
        <x:f>IF(AND(NOT(COUNTA(A604:F604)=0),K604=""),INDEX('Rules'!$D$7:$D$26,MATCH(SUBSTITUTE(SUBSTITUTE(SUBSTITUTE(SUBSTITUTE("type:"&amp;B604,"%","%25"),"~","%7E"),"*","%2A"),"?","%3F"),'Rules'!$G$7:$G$26,0)),"")</x:f>
      </x:c>
      <x:c r="N604" s="5" t="str">
        <x:f>IF(COUNTA(A604:F604)=0,"",SUBSTITUTE(SUBSTITUTE(SUBSTITUTE(SUBSTITUTE("id:"&amp;A604,"%","%25"),"~","%7E"),"*","%2A"),"?","%3F"))</x:f>
      </x:c>
    </x:row>
    <x:row r="605" ht="22" customHeight="1">
      <x:c r="A605" s="3"/>
      <x:c r="B605" s="3"/>
      <x:c r="C605" s="3"/>
      <x:c r="D605" s="4"/>
      <x:c r="E605" s="4"/>
      <x:c r="F605" s="4"/>
      <x:c r="G605" s="5" t="str">
        <x:f>IF(COUNTA(A605:F605)=0,"",IF(K605&lt;&gt;"","Review",IF(I605&lt;0,"Overdue",IF(I605=0,"Due now",IF(I605&lt;=M605,"Due soon","Not due")))))</x:f>
      </x:c>
      <x:c r="H605" s="5" t="str">
        <x:f>IF(OR(COUNTA(A605:F605)=0,COUNTIFS('Rules'!$G$7:$G$26,"="&amp;(SUBSTITUTE(SUBSTITUTE(SUBSTITUTE(SUBSTITUTE("type:"&amp;B605,"%","%25"),"~","%7E"),"*","%2A"),"?","%3F")))&lt;&gt;1),"",IF(OR(INDEX('Rules'!$B$7:$B$26,MATCH(SUBSTITUTE(SUBSTITUTE(SUBSTITUTE(SUBSTITUTE("type:"&amp;B605,"%","%25"),"~","%7E"),"*","%2A"),"?","%3F"),'Rules'!$G$7:$G$26,0))="hours",INDEX('Rules'!$B$7:$B$26,MATCH(SUBSTITUTE(SUBSTITUTE(SUBSTITUTE(SUBSTITUTE("type:"&amp;B605,"%","%25"),"~","%7E"),"*","%2A"),"?","%3F"),'Rules'!$G$7:$G$26,0))="km"),INDEX('Rules'!$B$7:$B$26,MATCH(SUBSTITUTE(SUBSTITUTE(SUBSTITUTE(SUBSTITUTE("type:"&amp;B605,"%","%25"),"~","%7E"),"*","%2A"),"?","%3F"),'Rules'!$G$7:$G$26,0)),""))</x:f>
      </x:c>
      <x:c r="I605" s="6" t="str">
        <x:f>IF(AND(NOT(COUNTA(A605:F605)=0),K605=""),ROUND(J605-D605,3),"")</x:f>
      </x:c>
      <x:c r="J605" s="6" t="str">
        <x:f>IF(AND(NOT(COUNTA(A605:F605)=0),K605=""),ROUND(F605+L605,3),"")</x:f>
      </x:c>
      <x:c r="K605" s="5" t="str">
        <x:f>IF(COUNTA(A605:F605)=0,"",IF(A605="","Missing equipment ID",IF(COUNTIFS($N$8:$N$2007,"="&amp;N605)&gt;1,"Duplicate equipment ID",IF(B605="","Missing type",IF(COUNTIFS('Rules'!$G$7:$G$26,"="&amp;(SUBSTITUTE(SUBSTITUTE(SUBSTITUTE(SUBSTITUTE("type:"&amp;B605,"%","%25"),"~","%7E"),"*","%2A"),"?","%3F")))=0,"Unknown type",IF(COUNTIFS('Rules'!$G$7:$G$26,"="&amp;(SUBSTITUTE(SUBSTITUTE(SUBSTITUTE(SUBSTITUTE("type:"&amp;B605,"%","%25"),"~","%7E"),"*","%2A"),"?","%3F")))&gt;1,"Duplicate type",IF(INDEX('Rules'!$F$7:$F$26,MATCH(SUBSTITUTE(SUBSTITUTE(SUBSTITUTE(SUBSTITUTE("type:"&amp;B605,"%","%25"),"~","%7E"),"*","%2A"),"?","%3F"),'Rules'!$G$7:$G$26,0))&lt;&gt;"",INDEX('Rules'!$F$7:$F$26,MATCH(SUBSTITUTE(SUBSTITUTE(SUBSTITUTE(SUBSTITUTE("type:"&amp;B605,"%","%25"),"~","%7E"),"*","%2A"),"?","%3F"),'Rules'!$G$7:$G$26,0)),IF(AND(C605&lt;&gt;"",C605&lt;&gt;INDEX('Rules'!$B$7:$B$26,MATCH(SUBSTITUTE(SUBSTITUTE(SUBSTITUTE(SUBSTITUTE("type:"&amp;B605,"%","%25"),"~","%7E"),"*","%2A"),"?","%3F"),'Rules'!$G$7:$G$26,0))),"Unit mismatch",IF(IF(NOT(ISNUMBER(D605)),TRUE,OR(D605&lt;0,D605&gt;999999999,ROUND(D605,3)&lt;&gt;D605)),"Invalid current reading",IF(AND(E605&lt;&gt;"",IF(NOT(ISNUMBER(E605)),TRUE,OR(E605&lt;0,E605&gt;999999999,ROUND(E605,3)&lt;&gt;E605))),"Invalid previous reading",IF(IF(NOT(ISNUMBER(F605)),TRUE,OR(F605&lt;0,F605&gt;999999999,ROUND(F605,3)&lt;&gt;F605)),"Invalid last service",IF(AND(E605&lt;&gt;"",D605&lt;E605),"Decreased reading",IF(F605&gt;D605,"Last service above current","")))))))))))))</x:f>
      </x:c>
      <x:c r="L605" s="6" t="str">
        <x:f>IF(AND(NOT(COUNTA(A605:F605)=0),K605=""),INDEX('Rules'!$C$7:$C$26,MATCH(SUBSTITUTE(SUBSTITUTE(SUBSTITUTE(SUBSTITUTE("type:"&amp;B605,"%","%25"),"~","%7E"),"*","%2A"),"?","%3F"),'Rules'!$G$7:$G$26,0)),"")</x:f>
      </x:c>
      <x:c r="M605" s="6" t="str">
        <x:f>IF(AND(NOT(COUNTA(A605:F605)=0),K605=""),INDEX('Rules'!$D$7:$D$26,MATCH(SUBSTITUTE(SUBSTITUTE(SUBSTITUTE(SUBSTITUTE("type:"&amp;B605,"%","%25"),"~","%7E"),"*","%2A"),"?","%3F"),'Rules'!$G$7:$G$26,0)),"")</x:f>
      </x:c>
      <x:c r="N605" s="5" t="str">
        <x:f>IF(COUNTA(A605:F605)=0,"",SUBSTITUTE(SUBSTITUTE(SUBSTITUTE(SUBSTITUTE("id:"&amp;A605,"%","%25"),"~","%7E"),"*","%2A"),"?","%3F"))</x:f>
      </x:c>
    </x:row>
    <x:row r="606" ht="22" customHeight="1">
      <x:c r="A606" s="3"/>
      <x:c r="B606" s="3"/>
      <x:c r="C606" s="3"/>
      <x:c r="D606" s="4"/>
      <x:c r="E606" s="4"/>
      <x:c r="F606" s="4"/>
      <x:c r="G606" s="5" t="str">
        <x:f>IF(COUNTA(A606:F606)=0,"",IF(K606&lt;&gt;"","Review",IF(I606&lt;0,"Overdue",IF(I606=0,"Due now",IF(I606&lt;=M606,"Due soon","Not due")))))</x:f>
      </x:c>
      <x:c r="H606" s="5" t="str">
        <x:f>IF(OR(COUNTA(A606:F606)=0,COUNTIFS('Rules'!$G$7:$G$26,"="&amp;(SUBSTITUTE(SUBSTITUTE(SUBSTITUTE(SUBSTITUTE("type:"&amp;B606,"%","%25"),"~","%7E"),"*","%2A"),"?","%3F")))&lt;&gt;1),"",IF(OR(INDEX('Rules'!$B$7:$B$26,MATCH(SUBSTITUTE(SUBSTITUTE(SUBSTITUTE(SUBSTITUTE("type:"&amp;B606,"%","%25"),"~","%7E"),"*","%2A"),"?","%3F"),'Rules'!$G$7:$G$26,0))="hours",INDEX('Rules'!$B$7:$B$26,MATCH(SUBSTITUTE(SUBSTITUTE(SUBSTITUTE(SUBSTITUTE("type:"&amp;B606,"%","%25"),"~","%7E"),"*","%2A"),"?","%3F"),'Rules'!$G$7:$G$26,0))="km"),INDEX('Rules'!$B$7:$B$26,MATCH(SUBSTITUTE(SUBSTITUTE(SUBSTITUTE(SUBSTITUTE("type:"&amp;B606,"%","%25"),"~","%7E"),"*","%2A"),"?","%3F"),'Rules'!$G$7:$G$26,0)),""))</x:f>
      </x:c>
      <x:c r="I606" s="6" t="str">
        <x:f>IF(AND(NOT(COUNTA(A606:F606)=0),K606=""),ROUND(J606-D606,3),"")</x:f>
      </x:c>
      <x:c r="J606" s="6" t="str">
        <x:f>IF(AND(NOT(COUNTA(A606:F606)=0),K606=""),ROUND(F606+L606,3),"")</x:f>
      </x:c>
      <x:c r="K606" s="5" t="str">
        <x:f>IF(COUNTA(A606:F606)=0,"",IF(A606="","Missing equipment ID",IF(COUNTIFS($N$8:$N$2007,"="&amp;N606)&gt;1,"Duplicate equipment ID",IF(B606="","Missing type",IF(COUNTIFS('Rules'!$G$7:$G$26,"="&amp;(SUBSTITUTE(SUBSTITUTE(SUBSTITUTE(SUBSTITUTE("type:"&amp;B606,"%","%25"),"~","%7E"),"*","%2A"),"?","%3F")))=0,"Unknown type",IF(COUNTIFS('Rules'!$G$7:$G$26,"="&amp;(SUBSTITUTE(SUBSTITUTE(SUBSTITUTE(SUBSTITUTE("type:"&amp;B606,"%","%25"),"~","%7E"),"*","%2A"),"?","%3F")))&gt;1,"Duplicate type",IF(INDEX('Rules'!$F$7:$F$26,MATCH(SUBSTITUTE(SUBSTITUTE(SUBSTITUTE(SUBSTITUTE("type:"&amp;B606,"%","%25"),"~","%7E"),"*","%2A"),"?","%3F"),'Rules'!$G$7:$G$26,0))&lt;&gt;"",INDEX('Rules'!$F$7:$F$26,MATCH(SUBSTITUTE(SUBSTITUTE(SUBSTITUTE(SUBSTITUTE("type:"&amp;B606,"%","%25"),"~","%7E"),"*","%2A"),"?","%3F"),'Rules'!$G$7:$G$26,0)),IF(AND(C606&lt;&gt;"",C606&lt;&gt;INDEX('Rules'!$B$7:$B$26,MATCH(SUBSTITUTE(SUBSTITUTE(SUBSTITUTE(SUBSTITUTE("type:"&amp;B606,"%","%25"),"~","%7E"),"*","%2A"),"?","%3F"),'Rules'!$G$7:$G$26,0))),"Unit mismatch",IF(IF(NOT(ISNUMBER(D606)),TRUE,OR(D606&lt;0,D606&gt;999999999,ROUND(D606,3)&lt;&gt;D606)),"Invalid current reading",IF(AND(E606&lt;&gt;"",IF(NOT(ISNUMBER(E606)),TRUE,OR(E606&lt;0,E606&gt;999999999,ROUND(E606,3)&lt;&gt;E606))),"Invalid previous reading",IF(IF(NOT(ISNUMBER(F606)),TRUE,OR(F606&lt;0,F606&gt;999999999,ROUND(F606,3)&lt;&gt;F606)),"Invalid last service",IF(AND(E606&lt;&gt;"",D606&lt;E606),"Decreased reading",IF(F606&gt;D606,"Last service above current","")))))))))))))</x:f>
      </x:c>
      <x:c r="L606" s="6" t="str">
        <x:f>IF(AND(NOT(COUNTA(A606:F606)=0),K606=""),INDEX('Rules'!$C$7:$C$26,MATCH(SUBSTITUTE(SUBSTITUTE(SUBSTITUTE(SUBSTITUTE("type:"&amp;B606,"%","%25"),"~","%7E"),"*","%2A"),"?","%3F"),'Rules'!$G$7:$G$26,0)),"")</x:f>
      </x:c>
      <x:c r="M606" s="6" t="str">
        <x:f>IF(AND(NOT(COUNTA(A606:F606)=0),K606=""),INDEX('Rules'!$D$7:$D$26,MATCH(SUBSTITUTE(SUBSTITUTE(SUBSTITUTE(SUBSTITUTE("type:"&amp;B606,"%","%25"),"~","%7E"),"*","%2A"),"?","%3F"),'Rules'!$G$7:$G$26,0)),"")</x:f>
      </x:c>
      <x:c r="N606" s="5" t="str">
        <x:f>IF(COUNTA(A606:F606)=0,"",SUBSTITUTE(SUBSTITUTE(SUBSTITUTE(SUBSTITUTE("id:"&amp;A606,"%","%25"),"~","%7E"),"*","%2A"),"?","%3F"))</x:f>
      </x:c>
    </x:row>
    <x:row r="607" ht="22" customHeight="1">
      <x:c r="A607" s="3"/>
      <x:c r="B607" s="3"/>
      <x:c r="C607" s="3"/>
      <x:c r="D607" s="4"/>
      <x:c r="E607" s="4"/>
      <x:c r="F607" s="4"/>
      <x:c r="G607" s="5" t="str">
        <x:f>IF(COUNTA(A607:F607)=0,"",IF(K607&lt;&gt;"","Review",IF(I607&lt;0,"Overdue",IF(I607=0,"Due now",IF(I607&lt;=M607,"Due soon","Not due")))))</x:f>
      </x:c>
      <x:c r="H607" s="5" t="str">
        <x:f>IF(OR(COUNTA(A607:F607)=0,COUNTIFS('Rules'!$G$7:$G$26,"="&amp;(SUBSTITUTE(SUBSTITUTE(SUBSTITUTE(SUBSTITUTE("type:"&amp;B607,"%","%25"),"~","%7E"),"*","%2A"),"?","%3F")))&lt;&gt;1),"",IF(OR(INDEX('Rules'!$B$7:$B$26,MATCH(SUBSTITUTE(SUBSTITUTE(SUBSTITUTE(SUBSTITUTE("type:"&amp;B607,"%","%25"),"~","%7E"),"*","%2A"),"?","%3F"),'Rules'!$G$7:$G$26,0))="hours",INDEX('Rules'!$B$7:$B$26,MATCH(SUBSTITUTE(SUBSTITUTE(SUBSTITUTE(SUBSTITUTE("type:"&amp;B607,"%","%25"),"~","%7E"),"*","%2A"),"?","%3F"),'Rules'!$G$7:$G$26,0))="km"),INDEX('Rules'!$B$7:$B$26,MATCH(SUBSTITUTE(SUBSTITUTE(SUBSTITUTE(SUBSTITUTE("type:"&amp;B607,"%","%25"),"~","%7E"),"*","%2A"),"?","%3F"),'Rules'!$G$7:$G$26,0)),""))</x:f>
      </x:c>
      <x:c r="I607" s="6" t="str">
        <x:f>IF(AND(NOT(COUNTA(A607:F607)=0),K607=""),ROUND(J607-D607,3),"")</x:f>
      </x:c>
      <x:c r="J607" s="6" t="str">
        <x:f>IF(AND(NOT(COUNTA(A607:F607)=0),K607=""),ROUND(F607+L607,3),"")</x:f>
      </x:c>
      <x:c r="K607" s="5" t="str">
        <x:f>IF(COUNTA(A607:F607)=0,"",IF(A607="","Missing equipment ID",IF(COUNTIFS($N$8:$N$2007,"="&amp;N607)&gt;1,"Duplicate equipment ID",IF(B607="","Missing type",IF(COUNTIFS('Rules'!$G$7:$G$26,"="&amp;(SUBSTITUTE(SUBSTITUTE(SUBSTITUTE(SUBSTITUTE("type:"&amp;B607,"%","%25"),"~","%7E"),"*","%2A"),"?","%3F")))=0,"Unknown type",IF(COUNTIFS('Rules'!$G$7:$G$26,"="&amp;(SUBSTITUTE(SUBSTITUTE(SUBSTITUTE(SUBSTITUTE("type:"&amp;B607,"%","%25"),"~","%7E"),"*","%2A"),"?","%3F")))&gt;1,"Duplicate type",IF(INDEX('Rules'!$F$7:$F$26,MATCH(SUBSTITUTE(SUBSTITUTE(SUBSTITUTE(SUBSTITUTE("type:"&amp;B607,"%","%25"),"~","%7E"),"*","%2A"),"?","%3F"),'Rules'!$G$7:$G$26,0))&lt;&gt;"",INDEX('Rules'!$F$7:$F$26,MATCH(SUBSTITUTE(SUBSTITUTE(SUBSTITUTE(SUBSTITUTE("type:"&amp;B607,"%","%25"),"~","%7E"),"*","%2A"),"?","%3F"),'Rules'!$G$7:$G$26,0)),IF(AND(C607&lt;&gt;"",C607&lt;&gt;INDEX('Rules'!$B$7:$B$26,MATCH(SUBSTITUTE(SUBSTITUTE(SUBSTITUTE(SUBSTITUTE("type:"&amp;B607,"%","%25"),"~","%7E"),"*","%2A"),"?","%3F"),'Rules'!$G$7:$G$26,0))),"Unit mismatch",IF(IF(NOT(ISNUMBER(D607)),TRUE,OR(D607&lt;0,D607&gt;999999999,ROUND(D607,3)&lt;&gt;D607)),"Invalid current reading",IF(AND(E607&lt;&gt;"",IF(NOT(ISNUMBER(E607)),TRUE,OR(E607&lt;0,E607&gt;999999999,ROUND(E607,3)&lt;&gt;E607))),"Invalid previous reading",IF(IF(NOT(ISNUMBER(F607)),TRUE,OR(F607&lt;0,F607&gt;999999999,ROUND(F607,3)&lt;&gt;F607)),"Invalid last service",IF(AND(E607&lt;&gt;"",D607&lt;E607),"Decreased reading",IF(F607&gt;D607,"Last service above current","")))))))))))))</x:f>
      </x:c>
      <x:c r="L607" s="6" t="str">
        <x:f>IF(AND(NOT(COUNTA(A607:F607)=0),K607=""),INDEX('Rules'!$C$7:$C$26,MATCH(SUBSTITUTE(SUBSTITUTE(SUBSTITUTE(SUBSTITUTE("type:"&amp;B607,"%","%25"),"~","%7E"),"*","%2A"),"?","%3F"),'Rules'!$G$7:$G$26,0)),"")</x:f>
      </x:c>
      <x:c r="M607" s="6" t="str">
        <x:f>IF(AND(NOT(COUNTA(A607:F607)=0),K607=""),INDEX('Rules'!$D$7:$D$26,MATCH(SUBSTITUTE(SUBSTITUTE(SUBSTITUTE(SUBSTITUTE("type:"&amp;B607,"%","%25"),"~","%7E"),"*","%2A"),"?","%3F"),'Rules'!$G$7:$G$26,0)),"")</x:f>
      </x:c>
      <x:c r="N607" s="5" t="str">
        <x:f>IF(COUNTA(A607:F607)=0,"",SUBSTITUTE(SUBSTITUTE(SUBSTITUTE(SUBSTITUTE("id:"&amp;A607,"%","%25"),"~","%7E"),"*","%2A"),"?","%3F"))</x:f>
      </x:c>
    </x:row>
    <x:row r="608" ht="22" customHeight="1">
      <x:c r="A608" s="3"/>
      <x:c r="B608" s="3"/>
      <x:c r="C608" s="3"/>
      <x:c r="D608" s="4"/>
      <x:c r="E608" s="4"/>
      <x:c r="F608" s="4"/>
      <x:c r="G608" s="5" t="str">
        <x:f>IF(COUNTA(A608:F608)=0,"",IF(K608&lt;&gt;"","Review",IF(I608&lt;0,"Overdue",IF(I608=0,"Due now",IF(I608&lt;=M608,"Due soon","Not due")))))</x:f>
      </x:c>
      <x:c r="H608" s="5" t="str">
        <x:f>IF(OR(COUNTA(A608:F608)=0,COUNTIFS('Rules'!$G$7:$G$26,"="&amp;(SUBSTITUTE(SUBSTITUTE(SUBSTITUTE(SUBSTITUTE("type:"&amp;B608,"%","%25"),"~","%7E"),"*","%2A"),"?","%3F")))&lt;&gt;1),"",IF(OR(INDEX('Rules'!$B$7:$B$26,MATCH(SUBSTITUTE(SUBSTITUTE(SUBSTITUTE(SUBSTITUTE("type:"&amp;B608,"%","%25"),"~","%7E"),"*","%2A"),"?","%3F"),'Rules'!$G$7:$G$26,0))="hours",INDEX('Rules'!$B$7:$B$26,MATCH(SUBSTITUTE(SUBSTITUTE(SUBSTITUTE(SUBSTITUTE("type:"&amp;B608,"%","%25"),"~","%7E"),"*","%2A"),"?","%3F"),'Rules'!$G$7:$G$26,0))="km"),INDEX('Rules'!$B$7:$B$26,MATCH(SUBSTITUTE(SUBSTITUTE(SUBSTITUTE(SUBSTITUTE("type:"&amp;B608,"%","%25"),"~","%7E"),"*","%2A"),"?","%3F"),'Rules'!$G$7:$G$26,0)),""))</x:f>
      </x:c>
      <x:c r="I608" s="6" t="str">
        <x:f>IF(AND(NOT(COUNTA(A608:F608)=0),K608=""),ROUND(J608-D608,3),"")</x:f>
      </x:c>
      <x:c r="J608" s="6" t="str">
        <x:f>IF(AND(NOT(COUNTA(A608:F608)=0),K608=""),ROUND(F608+L608,3),"")</x:f>
      </x:c>
      <x:c r="K608" s="5" t="str">
        <x:f>IF(COUNTA(A608:F608)=0,"",IF(A608="","Missing equipment ID",IF(COUNTIFS($N$8:$N$2007,"="&amp;N608)&gt;1,"Duplicate equipment ID",IF(B608="","Missing type",IF(COUNTIFS('Rules'!$G$7:$G$26,"="&amp;(SUBSTITUTE(SUBSTITUTE(SUBSTITUTE(SUBSTITUTE("type:"&amp;B608,"%","%25"),"~","%7E"),"*","%2A"),"?","%3F")))=0,"Unknown type",IF(COUNTIFS('Rules'!$G$7:$G$26,"="&amp;(SUBSTITUTE(SUBSTITUTE(SUBSTITUTE(SUBSTITUTE("type:"&amp;B608,"%","%25"),"~","%7E"),"*","%2A"),"?","%3F")))&gt;1,"Duplicate type",IF(INDEX('Rules'!$F$7:$F$26,MATCH(SUBSTITUTE(SUBSTITUTE(SUBSTITUTE(SUBSTITUTE("type:"&amp;B608,"%","%25"),"~","%7E"),"*","%2A"),"?","%3F"),'Rules'!$G$7:$G$26,0))&lt;&gt;"",INDEX('Rules'!$F$7:$F$26,MATCH(SUBSTITUTE(SUBSTITUTE(SUBSTITUTE(SUBSTITUTE("type:"&amp;B608,"%","%25"),"~","%7E"),"*","%2A"),"?","%3F"),'Rules'!$G$7:$G$26,0)),IF(AND(C608&lt;&gt;"",C608&lt;&gt;INDEX('Rules'!$B$7:$B$26,MATCH(SUBSTITUTE(SUBSTITUTE(SUBSTITUTE(SUBSTITUTE("type:"&amp;B608,"%","%25"),"~","%7E"),"*","%2A"),"?","%3F"),'Rules'!$G$7:$G$26,0))),"Unit mismatch",IF(IF(NOT(ISNUMBER(D608)),TRUE,OR(D608&lt;0,D608&gt;999999999,ROUND(D608,3)&lt;&gt;D608)),"Invalid current reading",IF(AND(E608&lt;&gt;"",IF(NOT(ISNUMBER(E608)),TRUE,OR(E608&lt;0,E608&gt;999999999,ROUND(E608,3)&lt;&gt;E608))),"Invalid previous reading",IF(IF(NOT(ISNUMBER(F608)),TRUE,OR(F608&lt;0,F608&gt;999999999,ROUND(F608,3)&lt;&gt;F608)),"Invalid last service",IF(AND(E608&lt;&gt;"",D608&lt;E608),"Decreased reading",IF(F608&gt;D608,"Last service above current","")))))))))))))</x:f>
      </x:c>
      <x:c r="L608" s="6" t="str">
        <x:f>IF(AND(NOT(COUNTA(A608:F608)=0),K608=""),INDEX('Rules'!$C$7:$C$26,MATCH(SUBSTITUTE(SUBSTITUTE(SUBSTITUTE(SUBSTITUTE("type:"&amp;B608,"%","%25"),"~","%7E"),"*","%2A"),"?","%3F"),'Rules'!$G$7:$G$26,0)),"")</x:f>
      </x:c>
      <x:c r="M608" s="6" t="str">
        <x:f>IF(AND(NOT(COUNTA(A608:F608)=0),K608=""),INDEX('Rules'!$D$7:$D$26,MATCH(SUBSTITUTE(SUBSTITUTE(SUBSTITUTE(SUBSTITUTE("type:"&amp;B608,"%","%25"),"~","%7E"),"*","%2A"),"?","%3F"),'Rules'!$G$7:$G$26,0)),"")</x:f>
      </x:c>
      <x:c r="N608" s="5" t="str">
        <x:f>IF(COUNTA(A608:F608)=0,"",SUBSTITUTE(SUBSTITUTE(SUBSTITUTE(SUBSTITUTE("id:"&amp;A608,"%","%25"),"~","%7E"),"*","%2A"),"?","%3F"))</x:f>
      </x:c>
    </x:row>
    <x:row r="609" ht="22" customHeight="1">
      <x:c r="A609" s="3"/>
      <x:c r="B609" s="3"/>
      <x:c r="C609" s="3"/>
      <x:c r="D609" s="4"/>
      <x:c r="E609" s="4"/>
      <x:c r="F609" s="4"/>
      <x:c r="G609" s="5" t="str">
        <x:f>IF(COUNTA(A609:F609)=0,"",IF(K609&lt;&gt;"","Review",IF(I609&lt;0,"Overdue",IF(I609=0,"Due now",IF(I609&lt;=M609,"Due soon","Not due")))))</x:f>
      </x:c>
      <x:c r="H609" s="5" t="str">
        <x:f>IF(OR(COUNTA(A609:F609)=0,COUNTIFS('Rules'!$G$7:$G$26,"="&amp;(SUBSTITUTE(SUBSTITUTE(SUBSTITUTE(SUBSTITUTE("type:"&amp;B609,"%","%25"),"~","%7E"),"*","%2A"),"?","%3F")))&lt;&gt;1),"",IF(OR(INDEX('Rules'!$B$7:$B$26,MATCH(SUBSTITUTE(SUBSTITUTE(SUBSTITUTE(SUBSTITUTE("type:"&amp;B609,"%","%25"),"~","%7E"),"*","%2A"),"?","%3F"),'Rules'!$G$7:$G$26,0))="hours",INDEX('Rules'!$B$7:$B$26,MATCH(SUBSTITUTE(SUBSTITUTE(SUBSTITUTE(SUBSTITUTE("type:"&amp;B609,"%","%25"),"~","%7E"),"*","%2A"),"?","%3F"),'Rules'!$G$7:$G$26,0))="km"),INDEX('Rules'!$B$7:$B$26,MATCH(SUBSTITUTE(SUBSTITUTE(SUBSTITUTE(SUBSTITUTE("type:"&amp;B609,"%","%25"),"~","%7E"),"*","%2A"),"?","%3F"),'Rules'!$G$7:$G$26,0)),""))</x:f>
      </x:c>
      <x:c r="I609" s="6" t="str">
        <x:f>IF(AND(NOT(COUNTA(A609:F609)=0),K609=""),ROUND(J609-D609,3),"")</x:f>
      </x:c>
      <x:c r="J609" s="6" t="str">
        <x:f>IF(AND(NOT(COUNTA(A609:F609)=0),K609=""),ROUND(F609+L609,3),"")</x:f>
      </x:c>
      <x:c r="K609" s="5" t="str">
        <x:f>IF(COUNTA(A609:F609)=0,"",IF(A609="","Missing equipment ID",IF(COUNTIFS($N$8:$N$2007,"="&amp;N609)&gt;1,"Duplicate equipment ID",IF(B609="","Missing type",IF(COUNTIFS('Rules'!$G$7:$G$26,"="&amp;(SUBSTITUTE(SUBSTITUTE(SUBSTITUTE(SUBSTITUTE("type:"&amp;B609,"%","%25"),"~","%7E"),"*","%2A"),"?","%3F")))=0,"Unknown type",IF(COUNTIFS('Rules'!$G$7:$G$26,"="&amp;(SUBSTITUTE(SUBSTITUTE(SUBSTITUTE(SUBSTITUTE("type:"&amp;B609,"%","%25"),"~","%7E"),"*","%2A"),"?","%3F")))&gt;1,"Duplicate type",IF(INDEX('Rules'!$F$7:$F$26,MATCH(SUBSTITUTE(SUBSTITUTE(SUBSTITUTE(SUBSTITUTE("type:"&amp;B609,"%","%25"),"~","%7E"),"*","%2A"),"?","%3F"),'Rules'!$G$7:$G$26,0))&lt;&gt;"",INDEX('Rules'!$F$7:$F$26,MATCH(SUBSTITUTE(SUBSTITUTE(SUBSTITUTE(SUBSTITUTE("type:"&amp;B609,"%","%25"),"~","%7E"),"*","%2A"),"?","%3F"),'Rules'!$G$7:$G$26,0)),IF(AND(C609&lt;&gt;"",C609&lt;&gt;INDEX('Rules'!$B$7:$B$26,MATCH(SUBSTITUTE(SUBSTITUTE(SUBSTITUTE(SUBSTITUTE("type:"&amp;B609,"%","%25"),"~","%7E"),"*","%2A"),"?","%3F"),'Rules'!$G$7:$G$26,0))),"Unit mismatch",IF(IF(NOT(ISNUMBER(D609)),TRUE,OR(D609&lt;0,D609&gt;999999999,ROUND(D609,3)&lt;&gt;D609)),"Invalid current reading",IF(AND(E609&lt;&gt;"",IF(NOT(ISNUMBER(E609)),TRUE,OR(E609&lt;0,E609&gt;999999999,ROUND(E609,3)&lt;&gt;E609))),"Invalid previous reading",IF(IF(NOT(ISNUMBER(F609)),TRUE,OR(F609&lt;0,F609&gt;999999999,ROUND(F609,3)&lt;&gt;F609)),"Invalid last service",IF(AND(E609&lt;&gt;"",D609&lt;E609),"Decreased reading",IF(F609&gt;D609,"Last service above current","")))))))))))))</x:f>
      </x:c>
      <x:c r="L609" s="6" t="str">
        <x:f>IF(AND(NOT(COUNTA(A609:F609)=0),K609=""),INDEX('Rules'!$C$7:$C$26,MATCH(SUBSTITUTE(SUBSTITUTE(SUBSTITUTE(SUBSTITUTE("type:"&amp;B609,"%","%25"),"~","%7E"),"*","%2A"),"?","%3F"),'Rules'!$G$7:$G$26,0)),"")</x:f>
      </x:c>
      <x:c r="M609" s="6" t="str">
        <x:f>IF(AND(NOT(COUNTA(A609:F609)=0),K609=""),INDEX('Rules'!$D$7:$D$26,MATCH(SUBSTITUTE(SUBSTITUTE(SUBSTITUTE(SUBSTITUTE("type:"&amp;B609,"%","%25"),"~","%7E"),"*","%2A"),"?","%3F"),'Rules'!$G$7:$G$26,0)),"")</x:f>
      </x:c>
      <x:c r="N609" s="5" t="str">
        <x:f>IF(COUNTA(A609:F609)=0,"",SUBSTITUTE(SUBSTITUTE(SUBSTITUTE(SUBSTITUTE("id:"&amp;A609,"%","%25"),"~","%7E"),"*","%2A"),"?","%3F"))</x:f>
      </x:c>
    </x:row>
    <x:row r="610" ht="22" customHeight="1">
      <x:c r="A610" s="3"/>
      <x:c r="B610" s="3"/>
      <x:c r="C610" s="3"/>
      <x:c r="D610" s="4"/>
      <x:c r="E610" s="4"/>
      <x:c r="F610" s="4"/>
      <x:c r="G610" s="5" t="str">
        <x:f>IF(COUNTA(A610:F610)=0,"",IF(K610&lt;&gt;"","Review",IF(I610&lt;0,"Overdue",IF(I610=0,"Due now",IF(I610&lt;=M610,"Due soon","Not due")))))</x:f>
      </x:c>
      <x:c r="H610" s="5" t="str">
        <x:f>IF(OR(COUNTA(A610:F610)=0,COUNTIFS('Rules'!$G$7:$G$26,"="&amp;(SUBSTITUTE(SUBSTITUTE(SUBSTITUTE(SUBSTITUTE("type:"&amp;B610,"%","%25"),"~","%7E"),"*","%2A"),"?","%3F")))&lt;&gt;1),"",IF(OR(INDEX('Rules'!$B$7:$B$26,MATCH(SUBSTITUTE(SUBSTITUTE(SUBSTITUTE(SUBSTITUTE("type:"&amp;B610,"%","%25"),"~","%7E"),"*","%2A"),"?","%3F"),'Rules'!$G$7:$G$26,0))="hours",INDEX('Rules'!$B$7:$B$26,MATCH(SUBSTITUTE(SUBSTITUTE(SUBSTITUTE(SUBSTITUTE("type:"&amp;B610,"%","%25"),"~","%7E"),"*","%2A"),"?","%3F"),'Rules'!$G$7:$G$26,0))="km"),INDEX('Rules'!$B$7:$B$26,MATCH(SUBSTITUTE(SUBSTITUTE(SUBSTITUTE(SUBSTITUTE("type:"&amp;B610,"%","%25"),"~","%7E"),"*","%2A"),"?","%3F"),'Rules'!$G$7:$G$26,0)),""))</x:f>
      </x:c>
      <x:c r="I610" s="6" t="str">
        <x:f>IF(AND(NOT(COUNTA(A610:F610)=0),K610=""),ROUND(J610-D610,3),"")</x:f>
      </x:c>
      <x:c r="J610" s="6" t="str">
        <x:f>IF(AND(NOT(COUNTA(A610:F610)=0),K610=""),ROUND(F610+L610,3),"")</x:f>
      </x:c>
      <x:c r="K610" s="5" t="str">
        <x:f>IF(COUNTA(A610:F610)=0,"",IF(A610="","Missing equipment ID",IF(COUNTIFS($N$8:$N$2007,"="&amp;N610)&gt;1,"Duplicate equipment ID",IF(B610="","Missing type",IF(COUNTIFS('Rules'!$G$7:$G$26,"="&amp;(SUBSTITUTE(SUBSTITUTE(SUBSTITUTE(SUBSTITUTE("type:"&amp;B610,"%","%25"),"~","%7E"),"*","%2A"),"?","%3F")))=0,"Unknown type",IF(COUNTIFS('Rules'!$G$7:$G$26,"="&amp;(SUBSTITUTE(SUBSTITUTE(SUBSTITUTE(SUBSTITUTE("type:"&amp;B610,"%","%25"),"~","%7E"),"*","%2A"),"?","%3F")))&gt;1,"Duplicate type",IF(INDEX('Rules'!$F$7:$F$26,MATCH(SUBSTITUTE(SUBSTITUTE(SUBSTITUTE(SUBSTITUTE("type:"&amp;B610,"%","%25"),"~","%7E"),"*","%2A"),"?","%3F"),'Rules'!$G$7:$G$26,0))&lt;&gt;"",INDEX('Rules'!$F$7:$F$26,MATCH(SUBSTITUTE(SUBSTITUTE(SUBSTITUTE(SUBSTITUTE("type:"&amp;B610,"%","%25"),"~","%7E"),"*","%2A"),"?","%3F"),'Rules'!$G$7:$G$26,0)),IF(AND(C610&lt;&gt;"",C610&lt;&gt;INDEX('Rules'!$B$7:$B$26,MATCH(SUBSTITUTE(SUBSTITUTE(SUBSTITUTE(SUBSTITUTE("type:"&amp;B610,"%","%25"),"~","%7E"),"*","%2A"),"?","%3F"),'Rules'!$G$7:$G$26,0))),"Unit mismatch",IF(IF(NOT(ISNUMBER(D610)),TRUE,OR(D610&lt;0,D610&gt;999999999,ROUND(D610,3)&lt;&gt;D610)),"Invalid current reading",IF(AND(E610&lt;&gt;"",IF(NOT(ISNUMBER(E610)),TRUE,OR(E610&lt;0,E610&gt;999999999,ROUND(E610,3)&lt;&gt;E610))),"Invalid previous reading",IF(IF(NOT(ISNUMBER(F610)),TRUE,OR(F610&lt;0,F610&gt;999999999,ROUND(F610,3)&lt;&gt;F610)),"Invalid last service",IF(AND(E610&lt;&gt;"",D610&lt;E610),"Decreased reading",IF(F610&gt;D610,"Last service above current","")))))))))))))</x:f>
      </x:c>
      <x:c r="L610" s="6" t="str">
        <x:f>IF(AND(NOT(COUNTA(A610:F610)=0),K610=""),INDEX('Rules'!$C$7:$C$26,MATCH(SUBSTITUTE(SUBSTITUTE(SUBSTITUTE(SUBSTITUTE("type:"&amp;B610,"%","%25"),"~","%7E"),"*","%2A"),"?","%3F"),'Rules'!$G$7:$G$26,0)),"")</x:f>
      </x:c>
      <x:c r="M610" s="6" t="str">
        <x:f>IF(AND(NOT(COUNTA(A610:F610)=0),K610=""),INDEX('Rules'!$D$7:$D$26,MATCH(SUBSTITUTE(SUBSTITUTE(SUBSTITUTE(SUBSTITUTE("type:"&amp;B610,"%","%25"),"~","%7E"),"*","%2A"),"?","%3F"),'Rules'!$G$7:$G$26,0)),"")</x:f>
      </x:c>
      <x:c r="N610" s="5" t="str">
        <x:f>IF(COUNTA(A610:F610)=0,"",SUBSTITUTE(SUBSTITUTE(SUBSTITUTE(SUBSTITUTE("id:"&amp;A610,"%","%25"),"~","%7E"),"*","%2A"),"?","%3F"))</x:f>
      </x:c>
    </x:row>
    <x:row r="611" ht="22" customHeight="1">
      <x:c r="A611" s="3"/>
      <x:c r="B611" s="3"/>
      <x:c r="C611" s="3"/>
      <x:c r="D611" s="4"/>
      <x:c r="E611" s="4"/>
      <x:c r="F611" s="4"/>
      <x:c r="G611" s="5" t="str">
        <x:f>IF(COUNTA(A611:F611)=0,"",IF(K611&lt;&gt;"","Review",IF(I611&lt;0,"Overdue",IF(I611=0,"Due now",IF(I611&lt;=M611,"Due soon","Not due")))))</x:f>
      </x:c>
      <x:c r="H611" s="5" t="str">
        <x:f>IF(OR(COUNTA(A611:F611)=0,COUNTIFS('Rules'!$G$7:$G$26,"="&amp;(SUBSTITUTE(SUBSTITUTE(SUBSTITUTE(SUBSTITUTE("type:"&amp;B611,"%","%25"),"~","%7E"),"*","%2A"),"?","%3F")))&lt;&gt;1),"",IF(OR(INDEX('Rules'!$B$7:$B$26,MATCH(SUBSTITUTE(SUBSTITUTE(SUBSTITUTE(SUBSTITUTE("type:"&amp;B611,"%","%25"),"~","%7E"),"*","%2A"),"?","%3F"),'Rules'!$G$7:$G$26,0))="hours",INDEX('Rules'!$B$7:$B$26,MATCH(SUBSTITUTE(SUBSTITUTE(SUBSTITUTE(SUBSTITUTE("type:"&amp;B611,"%","%25"),"~","%7E"),"*","%2A"),"?","%3F"),'Rules'!$G$7:$G$26,0))="km"),INDEX('Rules'!$B$7:$B$26,MATCH(SUBSTITUTE(SUBSTITUTE(SUBSTITUTE(SUBSTITUTE("type:"&amp;B611,"%","%25"),"~","%7E"),"*","%2A"),"?","%3F"),'Rules'!$G$7:$G$26,0)),""))</x:f>
      </x:c>
      <x:c r="I611" s="6" t="str">
        <x:f>IF(AND(NOT(COUNTA(A611:F611)=0),K611=""),ROUND(J611-D611,3),"")</x:f>
      </x:c>
      <x:c r="J611" s="6" t="str">
        <x:f>IF(AND(NOT(COUNTA(A611:F611)=0),K611=""),ROUND(F611+L611,3),"")</x:f>
      </x:c>
      <x:c r="K611" s="5" t="str">
        <x:f>IF(COUNTA(A611:F611)=0,"",IF(A611="","Missing equipment ID",IF(COUNTIFS($N$8:$N$2007,"="&amp;N611)&gt;1,"Duplicate equipment ID",IF(B611="","Missing type",IF(COUNTIFS('Rules'!$G$7:$G$26,"="&amp;(SUBSTITUTE(SUBSTITUTE(SUBSTITUTE(SUBSTITUTE("type:"&amp;B611,"%","%25"),"~","%7E"),"*","%2A"),"?","%3F")))=0,"Unknown type",IF(COUNTIFS('Rules'!$G$7:$G$26,"="&amp;(SUBSTITUTE(SUBSTITUTE(SUBSTITUTE(SUBSTITUTE("type:"&amp;B611,"%","%25"),"~","%7E"),"*","%2A"),"?","%3F")))&gt;1,"Duplicate type",IF(INDEX('Rules'!$F$7:$F$26,MATCH(SUBSTITUTE(SUBSTITUTE(SUBSTITUTE(SUBSTITUTE("type:"&amp;B611,"%","%25"),"~","%7E"),"*","%2A"),"?","%3F"),'Rules'!$G$7:$G$26,0))&lt;&gt;"",INDEX('Rules'!$F$7:$F$26,MATCH(SUBSTITUTE(SUBSTITUTE(SUBSTITUTE(SUBSTITUTE("type:"&amp;B611,"%","%25"),"~","%7E"),"*","%2A"),"?","%3F"),'Rules'!$G$7:$G$26,0)),IF(AND(C611&lt;&gt;"",C611&lt;&gt;INDEX('Rules'!$B$7:$B$26,MATCH(SUBSTITUTE(SUBSTITUTE(SUBSTITUTE(SUBSTITUTE("type:"&amp;B611,"%","%25"),"~","%7E"),"*","%2A"),"?","%3F"),'Rules'!$G$7:$G$26,0))),"Unit mismatch",IF(IF(NOT(ISNUMBER(D611)),TRUE,OR(D611&lt;0,D611&gt;999999999,ROUND(D611,3)&lt;&gt;D611)),"Invalid current reading",IF(AND(E611&lt;&gt;"",IF(NOT(ISNUMBER(E611)),TRUE,OR(E611&lt;0,E611&gt;999999999,ROUND(E611,3)&lt;&gt;E611))),"Invalid previous reading",IF(IF(NOT(ISNUMBER(F611)),TRUE,OR(F611&lt;0,F611&gt;999999999,ROUND(F611,3)&lt;&gt;F611)),"Invalid last service",IF(AND(E611&lt;&gt;"",D611&lt;E611),"Decreased reading",IF(F611&gt;D611,"Last service above current","")))))))))))))</x:f>
      </x:c>
      <x:c r="L611" s="6" t="str">
        <x:f>IF(AND(NOT(COUNTA(A611:F611)=0),K611=""),INDEX('Rules'!$C$7:$C$26,MATCH(SUBSTITUTE(SUBSTITUTE(SUBSTITUTE(SUBSTITUTE("type:"&amp;B611,"%","%25"),"~","%7E"),"*","%2A"),"?","%3F"),'Rules'!$G$7:$G$26,0)),"")</x:f>
      </x:c>
      <x:c r="M611" s="6" t="str">
        <x:f>IF(AND(NOT(COUNTA(A611:F611)=0),K611=""),INDEX('Rules'!$D$7:$D$26,MATCH(SUBSTITUTE(SUBSTITUTE(SUBSTITUTE(SUBSTITUTE("type:"&amp;B611,"%","%25"),"~","%7E"),"*","%2A"),"?","%3F"),'Rules'!$G$7:$G$26,0)),"")</x:f>
      </x:c>
      <x:c r="N611" s="5" t="str">
        <x:f>IF(COUNTA(A611:F611)=0,"",SUBSTITUTE(SUBSTITUTE(SUBSTITUTE(SUBSTITUTE("id:"&amp;A611,"%","%25"),"~","%7E"),"*","%2A"),"?","%3F"))</x:f>
      </x:c>
    </x:row>
    <x:row r="612" ht="22" customHeight="1">
      <x:c r="A612" s="3"/>
      <x:c r="B612" s="3"/>
      <x:c r="C612" s="3"/>
      <x:c r="D612" s="4"/>
      <x:c r="E612" s="4"/>
      <x:c r="F612" s="4"/>
      <x:c r="G612" s="5" t="str">
        <x:f>IF(COUNTA(A612:F612)=0,"",IF(K612&lt;&gt;"","Review",IF(I612&lt;0,"Overdue",IF(I612=0,"Due now",IF(I612&lt;=M612,"Due soon","Not due")))))</x:f>
      </x:c>
      <x:c r="H612" s="5" t="str">
        <x:f>IF(OR(COUNTA(A612:F612)=0,COUNTIFS('Rules'!$G$7:$G$26,"="&amp;(SUBSTITUTE(SUBSTITUTE(SUBSTITUTE(SUBSTITUTE("type:"&amp;B612,"%","%25"),"~","%7E"),"*","%2A"),"?","%3F")))&lt;&gt;1),"",IF(OR(INDEX('Rules'!$B$7:$B$26,MATCH(SUBSTITUTE(SUBSTITUTE(SUBSTITUTE(SUBSTITUTE("type:"&amp;B612,"%","%25"),"~","%7E"),"*","%2A"),"?","%3F"),'Rules'!$G$7:$G$26,0))="hours",INDEX('Rules'!$B$7:$B$26,MATCH(SUBSTITUTE(SUBSTITUTE(SUBSTITUTE(SUBSTITUTE("type:"&amp;B612,"%","%25"),"~","%7E"),"*","%2A"),"?","%3F"),'Rules'!$G$7:$G$26,0))="km"),INDEX('Rules'!$B$7:$B$26,MATCH(SUBSTITUTE(SUBSTITUTE(SUBSTITUTE(SUBSTITUTE("type:"&amp;B612,"%","%25"),"~","%7E"),"*","%2A"),"?","%3F"),'Rules'!$G$7:$G$26,0)),""))</x:f>
      </x:c>
      <x:c r="I612" s="6" t="str">
        <x:f>IF(AND(NOT(COUNTA(A612:F612)=0),K612=""),ROUND(J612-D612,3),"")</x:f>
      </x:c>
      <x:c r="J612" s="6" t="str">
        <x:f>IF(AND(NOT(COUNTA(A612:F612)=0),K612=""),ROUND(F612+L612,3),"")</x:f>
      </x:c>
      <x:c r="K612" s="5" t="str">
        <x:f>IF(COUNTA(A612:F612)=0,"",IF(A612="","Missing equipment ID",IF(COUNTIFS($N$8:$N$2007,"="&amp;N612)&gt;1,"Duplicate equipment ID",IF(B612="","Missing type",IF(COUNTIFS('Rules'!$G$7:$G$26,"="&amp;(SUBSTITUTE(SUBSTITUTE(SUBSTITUTE(SUBSTITUTE("type:"&amp;B612,"%","%25"),"~","%7E"),"*","%2A"),"?","%3F")))=0,"Unknown type",IF(COUNTIFS('Rules'!$G$7:$G$26,"="&amp;(SUBSTITUTE(SUBSTITUTE(SUBSTITUTE(SUBSTITUTE("type:"&amp;B612,"%","%25"),"~","%7E"),"*","%2A"),"?","%3F")))&gt;1,"Duplicate type",IF(INDEX('Rules'!$F$7:$F$26,MATCH(SUBSTITUTE(SUBSTITUTE(SUBSTITUTE(SUBSTITUTE("type:"&amp;B612,"%","%25"),"~","%7E"),"*","%2A"),"?","%3F"),'Rules'!$G$7:$G$26,0))&lt;&gt;"",INDEX('Rules'!$F$7:$F$26,MATCH(SUBSTITUTE(SUBSTITUTE(SUBSTITUTE(SUBSTITUTE("type:"&amp;B612,"%","%25"),"~","%7E"),"*","%2A"),"?","%3F"),'Rules'!$G$7:$G$26,0)),IF(AND(C612&lt;&gt;"",C612&lt;&gt;INDEX('Rules'!$B$7:$B$26,MATCH(SUBSTITUTE(SUBSTITUTE(SUBSTITUTE(SUBSTITUTE("type:"&amp;B612,"%","%25"),"~","%7E"),"*","%2A"),"?","%3F"),'Rules'!$G$7:$G$26,0))),"Unit mismatch",IF(IF(NOT(ISNUMBER(D612)),TRUE,OR(D612&lt;0,D612&gt;999999999,ROUND(D612,3)&lt;&gt;D612)),"Invalid current reading",IF(AND(E612&lt;&gt;"",IF(NOT(ISNUMBER(E612)),TRUE,OR(E612&lt;0,E612&gt;999999999,ROUND(E612,3)&lt;&gt;E612))),"Invalid previous reading",IF(IF(NOT(ISNUMBER(F612)),TRUE,OR(F612&lt;0,F612&gt;999999999,ROUND(F612,3)&lt;&gt;F612)),"Invalid last service",IF(AND(E612&lt;&gt;"",D612&lt;E612),"Decreased reading",IF(F612&gt;D612,"Last service above current","")))))))))))))</x:f>
      </x:c>
      <x:c r="L612" s="6" t="str">
        <x:f>IF(AND(NOT(COUNTA(A612:F612)=0),K612=""),INDEX('Rules'!$C$7:$C$26,MATCH(SUBSTITUTE(SUBSTITUTE(SUBSTITUTE(SUBSTITUTE("type:"&amp;B612,"%","%25"),"~","%7E"),"*","%2A"),"?","%3F"),'Rules'!$G$7:$G$26,0)),"")</x:f>
      </x:c>
      <x:c r="M612" s="6" t="str">
        <x:f>IF(AND(NOT(COUNTA(A612:F612)=0),K612=""),INDEX('Rules'!$D$7:$D$26,MATCH(SUBSTITUTE(SUBSTITUTE(SUBSTITUTE(SUBSTITUTE("type:"&amp;B612,"%","%25"),"~","%7E"),"*","%2A"),"?","%3F"),'Rules'!$G$7:$G$26,0)),"")</x:f>
      </x:c>
      <x:c r="N612" s="5" t="str">
        <x:f>IF(COUNTA(A612:F612)=0,"",SUBSTITUTE(SUBSTITUTE(SUBSTITUTE(SUBSTITUTE("id:"&amp;A612,"%","%25"),"~","%7E"),"*","%2A"),"?","%3F"))</x:f>
      </x:c>
    </x:row>
    <x:row r="613" ht="22" customHeight="1">
      <x:c r="A613" s="3"/>
      <x:c r="B613" s="3"/>
      <x:c r="C613" s="3"/>
      <x:c r="D613" s="4"/>
      <x:c r="E613" s="4"/>
      <x:c r="F613" s="4"/>
      <x:c r="G613" s="5" t="str">
        <x:f>IF(COUNTA(A613:F613)=0,"",IF(K613&lt;&gt;"","Review",IF(I613&lt;0,"Overdue",IF(I613=0,"Due now",IF(I613&lt;=M613,"Due soon","Not due")))))</x:f>
      </x:c>
      <x:c r="H613" s="5" t="str">
        <x:f>IF(OR(COUNTA(A613:F613)=0,COUNTIFS('Rules'!$G$7:$G$26,"="&amp;(SUBSTITUTE(SUBSTITUTE(SUBSTITUTE(SUBSTITUTE("type:"&amp;B613,"%","%25"),"~","%7E"),"*","%2A"),"?","%3F")))&lt;&gt;1),"",IF(OR(INDEX('Rules'!$B$7:$B$26,MATCH(SUBSTITUTE(SUBSTITUTE(SUBSTITUTE(SUBSTITUTE("type:"&amp;B613,"%","%25"),"~","%7E"),"*","%2A"),"?","%3F"),'Rules'!$G$7:$G$26,0))="hours",INDEX('Rules'!$B$7:$B$26,MATCH(SUBSTITUTE(SUBSTITUTE(SUBSTITUTE(SUBSTITUTE("type:"&amp;B613,"%","%25"),"~","%7E"),"*","%2A"),"?","%3F"),'Rules'!$G$7:$G$26,0))="km"),INDEX('Rules'!$B$7:$B$26,MATCH(SUBSTITUTE(SUBSTITUTE(SUBSTITUTE(SUBSTITUTE("type:"&amp;B613,"%","%25"),"~","%7E"),"*","%2A"),"?","%3F"),'Rules'!$G$7:$G$26,0)),""))</x:f>
      </x:c>
      <x:c r="I613" s="6" t="str">
        <x:f>IF(AND(NOT(COUNTA(A613:F613)=0),K613=""),ROUND(J613-D613,3),"")</x:f>
      </x:c>
      <x:c r="J613" s="6" t="str">
        <x:f>IF(AND(NOT(COUNTA(A613:F613)=0),K613=""),ROUND(F613+L613,3),"")</x:f>
      </x:c>
      <x:c r="K613" s="5" t="str">
        <x:f>IF(COUNTA(A613:F613)=0,"",IF(A613="","Missing equipment ID",IF(COUNTIFS($N$8:$N$2007,"="&amp;N613)&gt;1,"Duplicate equipment ID",IF(B613="","Missing type",IF(COUNTIFS('Rules'!$G$7:$G$26,"="&amp;(SUBSTITUTE(SUBSTITUTE(SUBSTITUTE(SUBSTITUTE("type:"&amp;B613,"%","%25"),"~","%7E"),"*","%2A"),"?","%3F")))=0,"Unknown type",IF(COUNTIFS('Rules'!$G$7:$G$26,"="&amp;(SUBSTITUTE(SUBSTITUTE(SUBSTITUTE(SUBSTITUTE("type:"&amp;B613,"%","%25"),"~","%7E"),"*","%2A"),"?","%3F")))&gt;1,"Duplicate type",IF(INDEX('Rules'!$F$7:$F$26,MATCH(SUBSTITUTE(SUBSTITUTE(SUBSTITUTE(SUBSTITUTE("type:"&amp;B613,"%","%25"),"~","%7E"),"*","%2A"),"?","%3F"),'Rules'!$G$7:$G$26,0))&lt;&gt;"",INDEX('Rules'!$F$7:$F$26,MATCH(SUBSTITUTE(SUBSTITUTE(SUBSTITUTE(SUBSTITUTE("type:"&amp;B613,"%","%25"),"~","%7E"),"*","%2A"),"?","%3F"),'Rules'!$G$7:$G$26,0)),IF(AND(C613&lt;&gt;"",C613&lt;&gt;INDEX('Rules'!$B$7:$B$26,MATCH(SUBSTITUTE(SUBSTITUTE(SUBSTITUTE(SUBSTITUTE("type:"&amp;B613,"%","%25"),"~","%7E"),"*","%2A"),"?","%3F"),'Rules'!$G$7:$G$26,0))),"Unit mismatch",IF(IF(NOT(ISNUMBER(D613)),TRUE,OR(D613&lt;0,D613&gt;999999999,ROUND(D613,3)&lt;&gt;D613)),"Invalid current reading",IF(AND(E613&lt;&gt;"",IF(NOT(ISNUMBER(E613)),TRUE,OR(E613&lt;0,E613&gt;999999999,ROUND(E613,3)&lt;&gt;E613))),"Invalid previous reading",IF(IF(NOT(ISNUMBER(F613)),TRUE,OR(F613&lt;0,F613&gt;999999999,ROUND(F613,3)&lt;&gt;F613)),"Invalid last service",IF(AND(E613&lt;&gt;"",D613&lt;E613),"Decreased reading",IF(F613&gt;D613,"Last service above current","")))))))))))))</x:f>
      </x:c>
      <x:c r="L613" s="6" t="str">
        <x:f>IF(AND(NOT(COUNTA(A613:F613)=0),K613=""),INDEX('Rules'!$C$7:$C$26,MATCH(SUBSTITUTE(SUBSTITUTE(SUBSTITUTE(SUBSTITUTE("type:"&amp;B613,"%","%25"),"~","%7E"),"*","%2A"),"?","%3F"),'Rules'!$G$7:$G$26,0)),"")</x:f>
      </x:c>
      <x:c r="M613" s="6" t="str">
        <x:f>IF(AND(NOT(COUNTA(A613:F613)=0),K613=""),INDEX('Rules'!$D$7:$D$26,MATCH(SUBSTITUTE(SUBSTITUTE(SUBSTITUTE(SUBSTITUTE("type:"&amp;B613,"%","%25"),"~","%7E"),"*","%2A"),"?","%3F"),'Rules'!$G$7:$G$26,0)),"")</x:f>
      </x:c>
      <x:c r="N613" s="5" t="str">
        <x:f>IF(COUNTA(A613:F613)=0,"",SUBSTITUTE(SUBSTITUTE(SUBSTITUTE(SUBSTITUTE("id:"&amp;A613,"%","%25"),"~","%7E"),"*","%2A"),"?","%3F"))</x:f>
      </x:c>
    </x:row>
    <x:row r="614" ht="22" customHeight="1">
      <x:c r="A614" s="3"/>
      <x:c r="B614" s="3"/>
      <x:c r="C614" s="3"/>
      <x:c r="D614" s="4"/>
      <x:c r="E614" s="4"/>
      <x:c r="F614" s="4"/>
      <x:c r="G614" s="5" t="str">
        <x:f>IF(COUNTA(A614:F614)=0,"",IF(K614&lt;&gt;"","Review",IF(I614&lt;0,"Overdue",IF(I614=0,"Due now",IF(I614&lt;=M614,"Due soon","Not due")))))</x:f>
      </x:c>
      <x:c r="H614" s="5" t="str">
        <x:f>IF(OR(COUNTA(A614:F614)=0,COUNTIFS('Rules'!$G$7:$G$26,"="&amp;(SUBSTITUTE(SUBSTITUTE(SUBSTITUTE(SUBSTITUTE("type:"&amp;B614,"%","%25"),"~","%7E"),"*","%2A"),"?","%3F")))&lt;&gt;1),"",IF(OR(INDEX('Rules'!$B$7:$B$26,MATCH(SUBSTITUTE(SUBSTITUTE(SUBSTITUTE(SUBSTITUTE("type:"&amp;B614,"%","%25"),"~","%7E"),"*","%2A"),"?","%3F"),'Rules'!$G$7:$G$26,0))="hours",INDEX('Rules'!$B$7:$B$26,MATCH(SUBSTITUTE(SUBSTITUTE(SUBSTITUTE(SUBSTITUTE("type:"&amp;B614,"%","%25"),"~","%7E"),"*","%2A"),"?","%3F"),'Rules'!$G$7:$G$26,0))="km"),INDEX('Rules'!$B$7:$B$26,MATCH(SUBSTITUTE(SUBSTITUTE(SUBSTITUTE(SUBSTITUTE("type:"&amp;B614,"%","%25"),"~","%7E"),"*","%2A"),"?","%3F"),'Rules'!$G$7:$G$26,0)),""))</x:f>
      </x:c>
      <x:c r="I614" s="6" t="str">
        <x:f>IF(AND(NOT(COUNTA(A614:F614)=0),K614=""),ROUND(J614-D614,3),"")</x:f>
      </x:c>
      <x:c r="J614" s="6" t="str">
        <x:f>IF(AND(NOT(COUNTA(A614:F614)=0),K614=""),ROUND(F614+L614,3),"")</x:f>
      </x:c>
      <x:c r="K614" s="5" t="str">
        <x:f>IF(COUNTA(A614:F614)=0,"",IF(A614="","Missing equipment ID",IF(COUNTIFS($N$8:$N$2007,"="&amp;N614)&gt;1,"Duplicate equipment ID",IF(B614="","Missing type",IF(COUNTIFS('Rules'!$G$7:$G$26,"="&amp;(SUBSTITUTE(SUBSTITUTE(SUBSTITUTE(SUBSTITUTE("type:"&amp;B614,"%","%25"),"~","%7E"),"*","%2A"),"?","%3F")))=0,"Unknown type",IF(COUNTIFS('Rules'!$G$7:$G$26,"="&amp;(SUBSTITUTE(SUBSTITUTE(SUBSTITUTE(SUBSTITUTE("type:"&amp;B614,"%","%25"),"~","%7E"),"*","%2A"),"?","%3F")))&gt;1,"Duplicate type",IF(INDEX('Rules'!$F$7:$F$26,MATCH(SUBSTITUTE(SUBSTITUTE(SUBSTITUTE(SUBSTITUTE("type:"&amp;B614,"%","%25"),"~","%7E"),"*","%2A"),"?","%3F"),'Rules'!$G$7:$G$26,0))&lt;&gt;"",INDEX('Rules'!$F$7:$F$26,MATCH(SUBSTITUTE(SUBSTITUTE(SUBSTITUTE(SUBSTITUTE("type:"&amp;B614,"%","%25"),"~","%7E"),"*","%2A"),"?","%3F"),'Rules'!$G$7:$G$26,0)),IF(AND(C614&lt;&gt;"",C614&lt;&gt;INDEX('Rules'!$B$7:$B$26,MATCH(SUBSTITUTE(SUBSTITUTE(SUBSTITUTE(SUBSTITUTE("type:"&amp;B614,"%","%25"),"~","%7E"),"*","%2A"),"?","%3F"),'Rules'!$G$7:$G$26,0))),"Unit mismatch",IF(IF(NOT(ISNUMBER(D614)),TRUE,OR(D614&lt;0,D614&gt;999999999,ROUND(D614,3)&lt;&gt;D614)),"Invalid current reading",IF(AND(E614&lt;&gt;"",IF(NOT(ISNUMBER(E614)),TRUE,OR(E614&lt;0,E614&gt;999999999,ROUND(E614,3)&lt;&gt;E614))),"Invalid previous reading",IF(IF(NOT(ISNUMBER(F614)),TRUE,OR(F614&lt;0,F614&gt;999999999,ROUND(F614,3)&lt;&gt;F614)),"Invalid last service",IF(AND(E614&lt;&gt;"",D614&lt;E614),"Decreased reading",IF(F614&gt;D614,"Last service above current","")))))))))))))</x:f>
      </x:c>
      <x:c r="L614" s="6" t="str">
        <x:f>IF(AND(NOT(COUNTA(A614:F614)=0),K614=""),INDEX('Rules'!$C$7:$C$26,MATCH(SUBSTITUTE(SUBSTITUTE(SUBSTITUTE(SUBSTITUTE("type:"&amp;B614,"%","%25"),"~","%7E"),"*","%2A"),"?","%3F"),'Rules'!$G$7:$G$26,0)),"")</x:f>
      </x:c>
      <x:c r="M614" s="6" t="str">
        <x:f>IF(AND(NOT(COUNTA(A614:F614)=0),K614=""),INDEX('Rules'!$D$7:$D$26,MATCH(SUBSTITUTE(SUBSTITUTE(SUBSTITUTE(SUBSTITUTE("type:"&amp;B614,"%","%25"),"~","%7E"),"*","%2A"),"?","%3F"),'Rules'!$G$7:$G$26,0)),"")</x:f>
      </x:c>
      <x:c r="N614" s="5" t="str">
        <x:f>IF(COUNTA(A614:F614)=0,"",SUBSTITUTE(SUBSTITUTE(SUBSTITUTE(SUBSTITUTE("id:"&amp;A614,"%","%25"),"~","%7E"),"*","%2A"),"?","%3F"))</x:f>
      </x:c>
    </x:row>
    <x:row r="615" ht="22" customHeight="1">
      <x:c r="A615" s="3"/>
      <x:c r="B615" s="3"/>
      <x:c r="C615" s="3"/>
      <x:c r="D615" s="4"/>
      <x:c r="E615" s="4"/>
      <x:c r="F615" s="4"/>
      <x:c r="G615" s="5" t="str">
        <x:f>IF(COUNTA(A615:F615)=0,"",IF(K615&lt;&gt;"","Review",IF(I615&lt;0,"Overdue",IF(I615=0,"Due now",IF(I615&lt;=M615,"Due soon","Not due")))))</x:f>
      </x:c>
      <x:c r="H615" s="5" t="str">
        <x:f>IF(OR(COUNTA(A615:F615)=0,COUNTIFS('Rules'!$G$7:$G$26,"="&amp;(SUBSTITUTE(SUBSTITUTE(SUBSTITUTE(SUBSTITUTE("type:"&amp;B615,"%","%25"),"~","%7E"),"*","%2A"),"?","%3F")))&lt;&gt;1),"",IF(OR(INDEX('Rules'!$B$7:$B$26,MATCH(SUBSTITUTE(SUBSTITUTE(SUBSTITUTE(SUBSTITUTE("type:"&amp;B615,"%","%25"),"~","%7E"),"*","%2A"),"?","%3F"),'Rules'!$G$7:$G$26,0))="hours",INDEX('Rules'!$B$7:$B$26,MATCH(SUBSTITUTE(SUBSTITUTE(SUBSTITUTE(SUBSTITUTE("type:"&amp;B615,"%","%25"),"~","%7E"),"*","%2A"),"?","%3F"),'Rules'!$G$7:$G$26,0))="km"),INDEX('Rules'!$B$7:$B$26,MATCH(SUBSTITUTE(SUBSTITUTE(SUBSTITUTE(SUBSTITUTE("type:"&amp;B615,"%","%25"),"~","%7E"),"*","%2A"),"?","%3F"),'Rules'!$G$7:$G$26,0)),""))</x:f>
      </x:c>
      <x:c r="I615" s="6" t="str">
        <x:f>IF(AND(NOT(COUNTA(A615:F615)=0),K615=""),ROUND(J615-D615,3),"")</x:f>
      </x:c>
      <x:c r="J615" s="6" t="str">
        <x:f>IF(AND(NOT(COUNTA(A615:F615)=0),K615=""),ROUND(F615+L615,3),"")</x:f>
      </x:c>
      <x:c r="K615" s="5" t="str">
        <x:f>IF(COUNTA(A615:F615)=0,"",IF(A615="","Missing equipment ID",IF(COUNTIFS($N$8:$N$2007,"="&amp;N615)&gt;1,"Duplicate equipment ID",IF(B615="","Missing type",IF(COUNTIFS('Rules'!$G$7:$G$26,"="&amp;(SUBSTITUTE(SUBSTITUTE(SUBSTITUTE(SUBSTITUTE("type:"&amp;B615,"%","%25"),"~","%7E"),"*","%2A"),"?","%3F")))=0,"Unknown type",IF(COUNTIFS('Rules'!$G$7:$G$26,"="&amp;(SUBSTITUTE(SUBSTITUTE(SUBSTITUTE(SUBSTITUTE("type:"&amp;B615,"%","%25"),"~","%7E"),"*","%2A"),"?","%3F")))&gt;1,"Duplicate type",IF(INDEX('Rules'!$F$7:$F$26,MATCH(SUBSTITUTE(SUBSTITUTE(SUBSTITUTE(SUBSTITUTE("type:"&amp;B615,"%","%25"),"~","%7E"),"*","%2A"),"?","%3F"),'Rules'!$G$7:$G$26,0))&lt;&gt;"",INDEX('Rules'!$F$7:$F$26,MATCH(SUBSTITUTE(SUBSTITUTE(SUBSTITUTE(SUBSTITUTE("type:"&amp;B615,"%","%25"),"~","%7E"),"*","%2A"),"?","%3F"),'Rules'!$G$7:$G$26,0)),IF(AND(C615&lt;&gt;"",C615&lt;&gt;INDEX('Rules'!$B$7:$B$26,MATCH(SUBSTITUTE(SUBSTITUTE(SUBSTITUTE(SUBSTITUTE("type:"&amp;B615,"%","%25"),"~","%7E"),"*","%2A"),"?","%3F"),'Rules'!$G$7:$G$26,0))),"Unit mismatch",IF(IF(NOT(ISNUMBER(D615)),TRUE,OR(D615&lt;0,D615&gt;999999999,ROUND(D615,3)&lt;&gt;D615)),"Invalid current reading",IF(AND(E615&lt;&gt;"",IF(NOT(ISNUMBER(E615)),TRUE,OR(E615&lt;0,E615&gt;999999999,ROUND(E615,3)&lt;&gt;E615))),"Invalid previous reading",IF(IF(NOT(ISNUMBER(F615)),TRUE,OR(F615&lt;0,F615&gt;999999999,ROUND(F615,3)&lt;&gt;F615)),"Invalid last service",IF(AND(E615&lt;&gt;"",D615&lt;E615),"Decreased reading",IF(F615&gt;D615,"Last service above current","")))))))))))))</x:f>
      </x:c>
      <x:c r="L615" s="6" t="str">
        <x:f>IF(AND(NOT(COUNTA(A615:F615)=0),K615=""),INDEX('Rules'!$C$7:$C$26,MATCH(SUBSTITUTE(SUBSTITUTE(SUBSTITUTE(SUBSTITUTE("type:"&amp;B615,"%","%25"),"~","%7E"),"*","%2A"),"?","%3F"),'Rules'!$G$7:$G$26,0)),"")</x:f>
      </x:c>
      <x:c r="M615" s="6" t="str">
        <x:f>IF(AND(NOT(COUNTA(A615:F615)=0),K615=""),INDEX('Rules'!$D$7:$D$26,MATCH(SUBSTITUTE(SUBSTITUTE(SUBSTITUTE(SUBSTITUTE("type:"&amp;B615,"%","%25"),"~","%7E"),"*","%2A"),"?","%3F"),'Rules'!$G$7:$G$26,0)),"")</x:f>
      </x:c>
      <x:c r="N615" s="5" t="str">
        <x:f>IF(COUNTA(A615:F615)=0,"",SUBSTITUTE(SUBSTITUTE(SUBSTITUTE(SUBSTITUTE("id:"&amp;A615,"%","%25"),"~","%7E"),"*","%2A"),"?","%3F"))</x:f>
      </x:c>
    </x:row>
    <x:row r="616" ht="22" customHeight="1">
      <x:c r="A616" s="3"/>
      <x:c r="B616" s="3"/>
      <x:c r="C616" s="3"/>
      <x:c r="D616" s="4"/>
      <x:c r="E616" s="4"/>
      <x:c r="F616" s="4"/>
      <x:c r="G616" s="5" t="str">
        <x:f>IF(COUNTA(A616:F616)=0,"",IF(K616&lt;&gt;"","Review",IF(I616&lt;0,"Overdue",IF(I616=0,"Due now",IF(I616&lt;=M616,"Due soon","Not due")))))</x:f>
      </x:c>
      <x:c r="H616" s="5" t="str">
        <x:f>IF(OR(COUNTA(A616:F616)=0,COUNTIFS('Rules'!$G$7:$G$26,"="&amp;(SUBSTITUTE(SUBSTITUTE(SUBSTITUTE(SUBSTITUTE("type:"&amp;B616,"%","%25"),"~","%7E"),"*","%2A"),"?","%3F")))&lt;&gt;1),"",IF(OR(INDEX('Rules'!$B$7:$B$26,MATCH(SUBSTITUTE(SUBSTITUTE(SUBSTITUTE(SUBSTITUTE("type:"&amp;B616,"%","%25"),"~","%7E"),"*","%2A"),"?","%3F"),'Rules'!$G$7:$G$26,0))="hours",INDEX('Rules'!$B$7:$B$26,MATCH(SUBSTITUTE(SUBSTITUTE(SUBSTITUTE(SUBSTITUTE("type:"&amp;B616,"%","%25"),"~","%7E"),"*","%2A"),"?","%3F"),'Rules'!$G$7:$G$26,0))="km"),INDEX('Rules'!$B$7:$B$26,MATCH(SUBSTITUTE(SUBSTITUTE(SUBSTITUTE(SUBSTITUTE("type:"&amp;B616,"%","%25"),"~","%7E"),"*","%2A"),"?","%3F"),'Rules'!$G$7:$G$26,0)),""))</x:f>
      </x:c>
      <x:c r="I616" s="6" t="str">
        <x:f>IF(AND(NOT(COUNTA(A616:F616)=0),K616=""),ROUND(J616-D616,3),"")</x:f>
      </x:c>
      <x:c r="J616" s="6" t="str">
        <x:f>IF(AND(NOT(COUNTA(A616:F616)=0),K616=""),ROUND(F616+L616,3),"")</x:f>
      </x:c>
      <x:c r="K616" s="5" t="str">
        <x:f>IF(COUNTA(A616:F616)=0,"",IF(A616="","Missing equipment ID",IF(COUNTIFS($N$8:$N$2007,"="&amp;N616)&gt;1,"Duplicate equipment ID",IF(B616="","Missing type",IF(COUNTIFS('Rules'!$G$7:$G$26,"="&amp;(SUBSTITUTE(SUBSTITUTE(SUBSTITUTE(SUBSTITUTE("type:"&amp;B616,"%","%25"),"~","%7E"),"*","%2A"),"?","%3F")))=0,"Unknown type",IF(COUNTIFS('Rules'!$G$7:$G$26,"="&amp;(SUBSTITUTE(SUBSTITUTE(SUBSTITUTE(SUBSTITUTE("type:"&amp;B616,"%","%25"),"~","%7E"),"*","%2A"),"?","%3F")))&gt;1,"Duplicate type",IF(INDEX('Rules'!$F$7:$F$26,MATCH(SUBSTITUTE(SUBSTITUTE(SUBSTITUTE(SUBSTITUTE("type:"&amp;B616,"%","%25"),"~","%7E"),"*","%2A"),"?","%3F"),'Rules'!$G$7:$G$26,0))&lt;&gt;"",INDEX('Rules'!$F$7:$F$26,MATCH(SUBSTITUTE(SUBSTITUTE(SUBSTITUTE(SUBSTITUTE("type:"&amp;B616,"%","%25"),"~","%7E"),"*","%2A"),"?","%3F"),'Rules'!$G$7:$G$26,0)),IF(AND(C616&lt;&gt;"",C616&lt;&gt;INDEX('Rules'!$B$7:$B$26,MATCH(SUBSTITUTE(SUBSTITUTE(SUBSTITUTE(SUBSTITUTE("type:"&amp;B616,"%","%25"),"~","%7E"),"*","%2A"),"?","%3F"),'Rules'!$G$7:$G$26,0))),"Unit mismatch",IF(IF(NOT(ISNUMBER(D616)),TRUE,OR(D616&lt;0,D616&gt;999999999,ROUND(D616,3)&lt;&gt;D616)),"Invalid current reading",IF(AND(E616&lt;&gt;"",IF(NOT(ISNUMBER(E616)),TRUE,OR(E616&lt;0,E616&gt;999999999,ROUND(E616,3)&lt;&gt;E616))),"Invalid previous reading",IF(IF(NOT(ISNUMBER(F616)),TRUE,OR(F616&lt;0,F616&gt;999999999,ROUND(F616,3)&lt;&gt;F616)),"Invalid last service",IF(AND(E616&lt;&gt;"",D616&lt;E616),"Decreased reading",IF(F616&gt;D616,"Last service above current","")))))))))))))</x:f>
      </x:c>
      <x:c r="L616" s="6" t="str">
        <x:f>IF(AND(NOT(COUNTA(A616:F616)=0),K616=""),INDEX('Rules'!$C$7:$C$26,MATCH(SUBSTITUTE(SUBSTITUTE(SUBSTITUTE(SUBSTITUTE("type:"&amp;B616,"%","%25"),"~","%7E"),"*","%2A"),"?","%3F"),'Rules'!$G$7:$G$26,0)),"")</x:f>
      </x:c>
      <x:c r="M616" s="6" t="str">
        <x:f>IF(AND(NOT(COUNTA(A616:F616)=0),K616=""),INDEX('Rules'!$D$7:$D$26,MATCH(SUBSTITUTE(SUBSTITUTE(SUBSTITUTE(SUBSTITUTE("type:"&amp;B616,"%","%25"),"~","%7E"),"*","%2A"),"?","%3F"),'Rules'!$G$7:$G$26,0)),"")</x:f>
      </x:c>
      <x:c r="N616" s="5" t="str">
        <x:f>IF(COUNTA(A616:F616)=0,"",SUBSTITUTE(SUBSTITUTE(SUBSTITUTE(SUBSTITUTE("id:"&amp;A616,"%","%25"),"~","%7E"),"*","%2A"),"?","%3F"))</x:f>
      </x:c>
    </x:row>
    <x:row r="617" ht="22" customHeight="1">
      <x:c r="A617" s="3"/>
      <x:c r="B617" s="3"/>
      <x:c r="C617" s="3"/>
      <x:c r="D617" s="4"/>
      <x:c r="E617" s="4"/>
      <x:c r="F617" s="4"/>
      <x:c r="G617" s="5" t="str">
        <x:f>IF(COUNTA(A617:F617)=0,"",IF(K617&lt;&gt;"","Review",IF(I617&lt;0,"Overdue",IF(I617=0,"Due now",IF(I617&lt;=M617,"Due soon","Not due")))))</x:f>
      </x:c>
      <x:c r="H617" s="5" t="str">
        <x:f>IF(OR(COUNTA(A617:F617)=0,COUNTIFS('Rules'!$G$7:$G$26,"="&amp;(SUBSTITUTE(SUBSTITUTE(SUBSTITUTE(SUBSTITUTE("type:"&amp;B617,"%","%25"),"~","%7E"),"*","%2A"),"?","%3F")))&lt;&gt;1),"",IF(OR(INDEX('Rules'!$B$7:$B$26,MATCH(SUBSTITUTE(SUBSTITUTE(SUBSTITUTE(SUBSTITUTE("type:"&amp;B617,"%","%25"),"~","%7E"),"*","%2A"),"?","%3F"),'Rules'!$G$7:$G$26,0))="hours",INDEX('Rules'!$B$7:$B$26,MATCH(SUBSTITUTE(SUBSTITUTE(SUBSTITUTE(SUBSTITUTE("type:"&amp;B617,"%","%25"),"~","%7E"),"*","%2A"),"?","%3F"),'Rules'!$G$7:$G$26,0))="km"),INDEX('Rules'!$B$7:$B$26,MATCH(SUBSTITUTE(SUBSTITUTE(SUBSTITUTE(SUBSTITUTE("type:"&amp;B617,"%","%25"),"~","%7E"),"*","%2A"),"?","%3F"),'Rules'!$G$7:$G$26,0)),""))</x:f>
      </x:c>
      <x:c r="I617" s="6" t="str">
        <x:f>IF(AND(NOT(COUNTA(A617:F617)=0),K617=""),ROUND(J617-D617,3),"")</x:f>
      </x:c>
      <x:c r="J617" s="6" t="str">
        <x:f>IF(AND(NOT(COUNTA(A617:F617)=0),K617=""),ROUND(F617+L617,3),"")</x:f>
      </x:c>
      <x:c r="K617" s="5" t="str">
        <x:f>IF(COUNTA(A617:F617)=0,"",IF(A617="","Missing equipment ID",IF(COUNTIFS($N$8:$N$2007,"="&amp;N617)&gt;1,"Duplicate equipment ID",IF(B617="","Missing type",IF(COUNTIFS('Rules'!$G$7:$G$26,"="&amp;(SUBSTITUTE(SUBSTITUTE(SUBSTITUTE(SUBSTITUTE("type:"&amp;B617,"%","%25"),"~","%7E"),"*","%2A"),"?","%3F")))=0,"Unknown type",IF(COUNTIFS('Rules'!$G$7:$G$26,"="&amp;(SUBSTITUTE(SUBSTITUTE(SUBSTITUTE(SUBSTITUTE("type:"&amp;B617,"%","%25"),"~","%7E"),"*","%2A"),"?","%3F")))&gt;1,"Duplicate type",IF(INDEX('Rules'!$F$7:$F$26,MATCH(SUBSTITUTE(SUBSTITUTE(SUBSTITUTE(SUBSTITUTE("type:"&amp;B617,"%","%25"),"~","%7E"),"*","%2A"),"?","%3F"),'Rules'!$G$7:$G$26,0))&lt;&gt;"",INDEX('Rules'!$F$7:$F$26,MATCH(SUBSTITUTE(SUBSTITUTE(SUBSTITUTE(SUBSTITUTE("type:"&amp;B617,"%","%25"),"~","%7E"),"*","%2A"),"?","%3F"),'Rules'!$G$7:$G$26,0)),IF(AND(C617&lt;&gt;"",C617&lt;&gt;INDEX('Rules'!$B$7:$B$26,MATCH(SUBSTITUTE(SUBSTITUTE(SUBSTITUTE(SUBSTITUTE("type:"&amp;B617,"%","%25"),"~","%7E"),"*","%2A"),"?","%3F"),'Rules'!$G$7:$G$26,0))),"Unit mismatch",IF(IF(NOT(ISNUMBER(D617)),TRUE,OR(D617&lt;0,D617&gt;999999999,ROUND(D617,3)&lt;&gt;D617)),"Invalid current reading",IF(AND(E617&lt;&gt;"",IF(NOT(ISNUMBER(E617)),TRUE,OR(E617&lt;0,E617&gt;999999999,ROUND(E617,3)&lt;&gt;E617))),"Invalid previous reading",IF(IF(NOT(ISNUMBER(F617)),TRUE,OR(F617&lt;0,F617&gt;999999999,ROUND(F617,3)&lt;&gt;F617)),"Invalid last service",IF(AND(E617&lt;&gt;"",D617&lt;E617),"Decreased reading",IF(F617&gt;D617,"Last service above current","")))))))))))))</x:f>
      </x:c>
      <x:c r="L617" s="6" t="str">
        <x:f>IF(AND(NOT(COUNTA(A617:F617)=0),K617=""),INDEX('Rules'!$C$7:$C$26,MATCH(SUBSTITUTE(SUBSTITUTE(SUBSTITUTE(SUBSTITUTE("type:"&amp;B617,"%","%25"),"~","%7E"),"*","%2A"),"?","%3F"),'Rules'!$G$7:$G$26,0)),"")</x:f>
      </x:c>
      <x:c r="M617" s="6" t="str">
        <x:f>IF(AND(NOT(COUNTA(A617:F617)=0),K617=""),INDEX('Rules'!$D$7:$D$26,MATCH(SUBSTITUTE(SUBSTITUTE(SUBSTITUTE(SUBSTITUTE("type:"&amp;B617,"%","%25"),"~","%7E"),"*","%2A"),"?","%3F"),'Rules'!$G$7:$G$26,0)),"")</x:f>
      </x:c>
      <x:c r="N617" s="5" t="str">
        <x:f>IF(COUNTA(A617:F617)=0,"",SUBSTITUTE(SUBSTITUTE(SUBSTITUTE(SUBSTITUTE("id:"&amp;A617,"%","%25"),"~","%7E"),"*","%2A"),"?","%3F"))</x:f>
      </x:c>
    </x:row>
    <x:row r="618" ht="22" customHeight="1">
      <x:c r="A618" s="3"/>
      <x:c r="B618" s="3"/>
      <x:c r="C618" s="3"/>
      <x:c r="D618" s="4"/>
      <x:c r="E618" s="4"/>
      <x:c r="F618" s="4"/>
      <x:c r="G618" s="5" t="str">
        <x:f>IF(COUNTA(A618:F618)=0,"",IF(K618&lt;&gt;"","Review",IF(I618&lt;0,"Overdue",IF(I618=0,"Due now",IF(I618&lt;=M618,"Due soon","Not due")))))</x:f>
      </x:c>
      <x:c r="H618" s="5" t="str">
        <x:f>IF(OR(COUNTA(A618:F618)=0,COUNTIFS('Rules'!$G$7:$G$26,"="&amp;(SUBSTITUTE(SUBSTITUTE(SUBSTITUTE(SUBSTITUTE("type:"&amp;B618,"%","%25"),"~","%7E"),"*","%2A"),"?","%3F")))&lt;&gt;1),"",IF(OR(INDEX('Rules'!$B$7:$B$26,MATCH(SUBSTITUTE(SUBSTITUTE(SUBSTITUTE(SUBSTITUTE("type:"&amp;B618,"%","%25"),"~","%7E"),"*","%2A"),"?","%3F"),'Rules'!$G$7:$G$26,0))="hours",INDEX('Rules'!$B$7:$B$26,MATCH(SUBSTITUTE(SUBSTITUTE(SUBSTITUTE(SUBSTITUTE("type:"&amp;B618,"%","%25"),"~","%7E"),"*","%2A"),"?","%3F"),'Rules'!$G$7:$G$26,0))="km"),INDEX('Rules'!$B$7:$B$26,MATCH(SUBSTITUTE(SUBSTITUTE(SUBSTITUTE(SUBSTITUTE("type:"&amp;B618,"%","%25"),"~","%7E"),"*","%2A"),"?","%3F"),'Rules'!$G$7:$G$26,0)),""))</x:f>
      </x:c>
      <x:c r="I618" s="6" t="str">
        <x:f>IF(AND(NOT(COUNTA(A618:F618)=0),K618=""),ROUND(J618-D618,3),"")</x:f>
      </x:c>
      <x:c r="J618" s="6" t="str">
        <x:f>IF(AND(NOT(COUNTA(A618:F618)=0),K618=""),ROUND(F618+L618,3),"")</x:f>
      </x:c>
      <x:c r="K618" s="5" t="str">
        <x:f>IF(COUNTA(A618:F618)=0,"",IF(A618="","Missing equipment ID",IF(COUNTIFS($N$8:$N$2007,"="&amp;N618)&gt;1,"Duplicate equipment ID",IF(B618="","Missing type",IF(COUNTIFS('Rules'!$G$7:$G$26,"="&amp;(SUBSTITUTE(SUBSTITUTE(SUBSTITUTE(SUBSTITUTE("type:"&amp;B618,"%","%25"),"~","%7E"),"*","%2A"),"?","%3F")))=0,"Unknown type",IF(COUNTIFS('Rules'!$G$7:$G$26,"="&amp;(SUBSTITUTE(SUBSTITUTE(SUBSTITUTE(SUBSTITUTE("type:"&amp;B618,"%","%25"),"~","%7E"),"*","%2A"),"?","%3F")))&gt;1,"Duplicate type",IF(INDEX('Rules'!$F$7:$F$26,MATCH(SUBSTITUTE(SUBSTITUTE(SUBSTITUTE(SUBSTITUTE("type:"&amp;B618,"%","%25"),"~","%7E"),"*","%2A"),"?","%3F"),'Rules'!$G$7:$G$26,0))&lt;&gt;"",INDEX('Rules'!$F$7:$F$26,MATCH(SUBSTITUTE(SUBSTITUTE(SUBSTITUTE(SUBSTITUTE("type:"&amp;B618,"%","%25"),"~","%7E"),"*","%2A"),"?","%3F"),'Rules'!$G$7:$G$26,0)),IF(AND(C618&lt;&gt;"",C618&lt;&gt;INDEX('Rules'!$B$7:$B$26,MATCH(SUBSTITUTE(SUBSTITUTE(SUBSTITUTE(SUBSTITUTE("type:"&amp;B618,"%","%25"),"~","%7E"),"*","%2A"),"?","%3F"),'Rules'!$G$7:$G$26,0))),"Unit mismatch",IF(IF(NOT(ISNUMBER(D618)),TRUE,OR(D618&lt;0,D618&gt;999999999,ROUND(D618,3)&lt;&gt;D618)),"Invalid current reading",IF(AND(E618&lt;&gt;"",IF(NOT(ISNUMBER(E618)),TRUE,OR(E618&lt;0,E618&gt;999999999,ROUND(E618,3)&lt;&gt;E618))),"Invalid previous reading",IF(IF(NOT(ISNUMBER(F618)),TRUE,OR(F618&lt;0,F618&gt;999999999,ROUND(F618,3)&lt;&gt;F618)),"Invalid last service",IF(AND(E618&lt;&gt;"",D618&lt;E618),"Decreased reading",IF(F618&gt;D618,"Last service above current","")))))))))))))</x:f>
      </x:c>
      <x:c r="L618" s="6" t="str">
        <x:f>IF(AND(NOT(COUNTA(A618:F618)=0),K618=""),INDEX('Rules'!$C$7:$C$26,MATCH(SUBSTITUTE(SUBSTITUTE(SUBSTITUTE(SUBSTITUTE("type:"&amp;B618,"%","%25"),"~","%7E"),"*","%2A"),"?","%3F"),'Rules'!$G$7:$G$26,0)),"")</x:f>
      </x:c>
      <x:c r="M618" s="6" t="str">
        <x:f>IF(AND(NOT(COUNTA(A618:F618)=0),K618=""),INDEX('Rules'!$D$7:$D$26,MATCH(SUBSTITUTE(SUBSTITUTE(SUBSTITUTE(SUBSTITUTE("type:"&amp;B618,"%","%25"),"~","%7E"),"*","%2A"),"?","%3F"),'Rules'!$G$7:$G$26,0)),"")</x:f>
      </x:c>
      <x:c r="N618" s="5" t="str">
        <x:f>IF(COUNTA(A618:F618)=0,"",SUBSTITUTE(SUBSTITUTE(SUBSTITUTE(SUBSTITUTE("id:"&amp;A618,"%","%25"),"~","%7E"),"*","%2A"),"?","%3F"))</x:f>
      </x:c>
    </x:row>
    <x:row r="619" ht="22" customHeight="1">
      <x:c r="A619" s="3"/>
      <x:c r="B619" s="3"/>
      <x:c r="C619" s="3"/>
      <x:c r="D619" s="4"/>
      <x:c r="E619" s="4"/>
      <x:c r="F619" s="4"/>
      <x:c r="G619" s="5" t="str">
        <x:f>IF(COUNTA(A619:F619)=0,"",IF(K619&lt;&gt;"","Review",IF(I619&lt;0,"Overdue",IF(I619=0,"Due now",IF(I619&lt;=M619,"Due soon","Not due")))))</x:f>
      </x:c>
      <x:c r="H619" s="5" t="str">
        <x:f>IF(OR(COUNTA(A619:F619)=0,COUNTIFS('Rules'!$G$7:$G$26,"="&amp;(SUBSTITUTE(SUBSTITUTE(SUBSTITUTE(SUBSTITUTE("type:"&amp;B619,"%","%25"),"~","%7E"),"*","%2A"),"?","%3F")))&lt;&gt;1),"",IF(OR(INDEX('Rules'!$B$7:$B$26,MATCH(SUBSTITUTE(SUBSTITUTE(SUBSTITUTE(SUBSTITUTE("type:"&amp;B619,"%","%25"),"~","%7E"),"*","%2A"),"?","%3F"),'Rules'!$G$7:$G$26,0))="hours",INDEX('Rules'!$B$7:$B$26,MATCH(SUBSTITUTE(SUBSTITUTE(SUBSTITUTE(SUBSTITUTE("type:"&amp;B619,"%","%25"),"~","%7E"),"*","%2A"),"?","%3F"),'Rules'!$G$7:$G$26,0))="km"),INDEX('Rules'!$B$7:$B$26,MATCH(SUBSTITUTE(SUBSTITUTE(SUBSTITUTE(SUBSTITUTE("type:"&amp;B619,"%","%25"),"~","%7E"),"*","%2A"),"?","%3F"),'Rules'!$G$7:$G$26,0)),""))</x:f>
      </x:c>
      <x:c r="I619" s="6" t="str">
        <x:f>IF(AND(NOT(COUNTA(A619:F619)=0),K619=""),ROUND(J619-D619,3),"")</x:f>
      </x:c>
      <x:c r="J619" s="6" t="str">
        <x:f>IF(AND(NOT(COUNTA(A619:F619)=0),K619=""),ROUND(F619+L619,3),"")</x:f>
      </x:c>
      <x:c r="K619" s="5" t="str">
        <x:f>IF(COUNTA(A619:F619)=0,"",IF(A619="","Missing equipment ID",IF(COUNTIFS($N$8:$N$2007,"="&amp;N619)&gt;1,"Duplicate equipment ID",IF(B619="","Missing type",IF(COUNTIFS('Rules'!$G$7:$G$26,"="&amp;(SUBSTITUTE(SUBSTITUTE(SUBSTITUTE(SUBSTITUTE("type:"&amp;B619,"%","%25"),"~","%7E"),"*","%2A"),"?","%3F")))=0,"Unknown type",IF(COUNTIFS('Rules'!$G$7:$G$26,"="&amp;(SUBSTITUTE(SUBSTITUTE(SUBSTITUTE(SUBSTITUTE("type:"&amp;B619,"%","%25"),"~","%7E"),"*","%2A"),"?","%3F")))&gt;1,"Duplicate type",IF(INDEX('Rules'!$F$7:$F$26,MATCH(SUBSTITUTE(SUBSTITUTE(SUBSTITUTE(SUBSTITUTE("type:"&amp;B619,"%","%25"),"~","%7E"),"*","%2A"),"?","%3F"),'Rules'!$G$7:$G$26,0))&lt;&gt;"",INDEX('Rules'!$F$7:$F$26,MATCH(SUBSTITUTE(SUBSTITUTE(SUBSTITUTE(SUBSTITUTE("type:"&amp;B619,"%","%25"),"~","%7E"),"*","%2A"),"?","%3F"),'Rules'!$G$7:$G$26,0)),IF(AND(C619&lt;&gt;"",C619&lt;&gt;INDEX('Rules'!$B$7:$B$26,MATCH(SUBSTITUTE(SUBSTITUTE(SUBSTITUTE(SUBSTITUTE("type:"&amp;B619,"%","%25"),"~","%7E"),"*","%2A"),"?","%3F"),'Rules'!$G$7:$G$26,0))),"Unit mismatch",IF(IF(NOT(ISNUMBER(D619)),TRUE,OR(D619&lt;0,D619&gt;999999999,ROUND(D619,3)&lt;&gt;D619)),"Invalid current reading",IF(AND(E619&lt;&gt;"",IF(NOT(ISNUMBER(E619)),TRUE,OR(E619&lt;0,E619&gt;999999999,ROUND(E619,3)&lt;&gt;E619))),"Invalid previous reading",IF(IF(NOT(ISNUMBER(F619)),TRUE,OR(F619&lt;0,F619&gt;999999999,ROUND(F619,3)&lt;&gt;F619)),"Invalid last service",IF(AND(E619&lt;&gt;"",D619&lt;E619),"Decreased reading",IF(F619&gt;D619,"Last service above current","")))))))))))))</x:f>
      </x:c>
      <x:c r="L619" s="6" t="str">
        <x:f>IF(AND(NOT(COUNTA(A619:F619)=0),K619=""),INDEX('Rules'!$C$7:$C$26,MATCH(SUBSTITUTE(SUBSTITUTE(SUBSTITUTE(SUBSTITUTE("type:"&amp;B619,"%","%25"),"~","%7E"),"*","%2A"),"?","%3F"),'Rules'!$G$7:$G$26,0)),"")</x:f>
      </x:c>
      <x:c r="M619" s="6" t="str">
        <x:f>IF(AND(NOT(COUNTA(A619:F619)=0),K619=""),INDEX('Rules'!$D$7:$D$26,MATCH(SUBSTITUTE(SUBSTITUTE(SUBSTITUTE(SUBSTITUTE("type:"&amp;B619,"%","%25"),"~","%7E"),"*","%2A"),"?","%3F"),'Rules'!$G$7:$G$26,0)),"")</x:f>
      </x:c>
      <x:c r="N619" s="5" t="str">
        <x:f>IF(COUNTA(A619:F619)=0,"",SUBSTITUTE(SUBSTITUTE(SUBSTITUTE(SUBSTITUTE("id:"&amp;A619,"%","%25"),"~","%7E"),"*","%2A"),"?","%3F"))</x:f>
      </x:c>
    </x:row>
    <x:row r="620" ht="22" customHeight="1">
      <x:c r="A620" s="3"/>
      <x:c r="B620" s="3"/>
      <x:c r="C620" s="3"/>
      <x:c r="D620" s="4"/>
      <x:c r="E620" s="4"/>
      <x:c r="F620" s="4"/>
      <x:c r="G620" s="5" t="str">
        <x:f>IF(COUNTA(A620:F620)=0,"",IF(K620&lt;&gt;"","Review",IF(I620&lt;0,"Overdue",IF(I620=0,"Due now",IF(I620&lt;=M620,"Due soon","Not due")))))</x:f>
      </x:c>
      <x:c r="H620" s="5" t="str">
        <x:f>IF(OR(COUNTA(A620:F620)=0,COUNTIFS('Rules'!$G$7:$G$26,"="&amp;(SUBSTITUTE(SUBSTITUTE(SUBSTITUTE(SUBSTITUTE("type:"&amp;B620,"%","%25"),"~","%7E"),"*","%2A"),"?","%3F")))&lt;&gt;1),"",IF(OR(INDEX('Rules'!$B$7:$B$26,MATCH(SUBSTITUTE(SUBSTITUTE(SUBSTITUTE(SUBSTITUTE("type:"&amp;B620,"%","%25"),"~","%7E"),"*","%2A"),"?","%3F"),'Rules'!$G$7:$G$26,0))="hours",INDEX('Rules'!$B$7:$B$26,MATCH(SUBSTITUTE(SUBSTITUTE(SUBSTITUTE(SUBSTITUTE("type:"&amp;B620,"%","%25"),"~","%7E"),"*","%2A"),"?","%3F"),'Rules'!$G$7:$G$26,0))="km"),INDEX('Rules'!$B$7:$B$26,MATCH(SUBSTITUTE(SUBSTITUTE(SUBSTITUTE(SUBSTITUTE("type:"&amp;B620,"%","%25"),"~","%7E"),"*","%2A"),"?","%3F"),'Rules'!$G$7:$G$26,0)),""))</x:f>
      </x:c>
      <x:c r="I620" s="6" t="str">
        <x:f>IF(AND(NOT(COUNTA(A620:F620)=0),K620=""),ROUND(J620-D620,3),"")</x:f>
      </x:c>
      <x:c r="J620" s="6" t="str">
        <x:f>IF(AND(NOT(COUNTA(A620:F620)=0),K620=""),ROUND(F620+L620,3),"")</x:f>
      </x:c>
      <x:c r="K620" s="5" t="str">
        <x:f>IF(COUNTA(A620:F620)=0,"",IF(A620="","Missing equipment ID",IF(COUNTIFS($N$8:$N$2007,"="&amp;N620)&gt;1,"Duplicate equipment ID",IF(B620="","Missing type",IF(COUNTIFS('Rules'!$G$7:$G$26,"="&amp;(SUBSTITUTE(SUBSTITUTE(SUBSTITUTE(SUBSTITUTE("type:"&amp;B620,"%","%25"),"~","%7E"),"*","%2A"),"?","%3F")))=0,"Unknown type",IF(COUNTIFS('Rules'!$G$7:$G$26,"="&amp;(SUBSTITUTE(SUBSTITUTE(SUBSTITUTE(SUBSTITUTE("type:"&amp;B620,"%","%25"),"~","%7E"),"*","%2A"),"?","%3F")))&gt;1,"Duplicate type",IF(INDEX('Rules'!$F$7:$F$26,MATCH(SUBSTITUTE(SUBSTITUTE(SUBSTITUTE(SUBSTITUTE("type:"&amp;B620,"%","%25"),"~","%7E"),"*","%2A"),"?","%3F"),'Rules'!$G$7:$G$26,0))&lt;&gt;"",INDEX('Rules'!$F$7:$F$26,MATCH(SUBSTITUTE(SUBSTITUTE(SUBSTITUTE(SUBSTITUTE("type:"&amp;B620,"%","%25"),"~","%7E"),"*","%2A"),"?","%3F"),'Rules'!$G$7:$G$26,0)),IF(AND(C620&lt;&gt;"",C620&lt;&gt;INDEX('Rules'!$B$7:$B$26,MATCH(SUBSTITUTE(SUBSTITUTE(SUBSTITUTE(SUBSTITUTE("type:"&amp;B620,"%","%25"),"~","%7E"),"*","%2A"),"?","%3F"),'Rules'!$G$7:$G$26,0))),"Unit mismatch",IF(IF(NOT(ISNUMBER(D620)),TRUE,OR(D620&lt;0,D620&gt;999999999,ROUND(D620,3)&lt;&gt;D620)),"Invalid current reading",IF(AND(E620&lt;&gt;"",IF(NOT(ISNUMBER(E620)),TRUE,OR(E620&lt;0,E620&gt;999999999,ROUND(E620,3)&lt;&gt;E620))),"Invalid previous reading",IF(IF(NOT(ISNUMBER(F620)),TRUE,OR(F620&lt;0,F620&gt;999999999,ROUND(F620,3)&lt;&gt;F620)),"Invalid last service",IF(AND(E620&lt;&gt;"",D620&lt;E620),"Decreased reading",IF(F620&gt;D620,"Last service above current","")))))))))))))</x:f>
      </x:c>
      <x:c r="L620" s="6" t="str">
        <x:f>IF(AND(NOT(COUNTA(A620:F620)=0),K620=""),INDEX('Rules'!$C$7:$C$26,MATCH(SUBSTITUTE(SUBSTITUTE(SUBSTITUTE(SUBSTITUTE("type:"&amp;B620,"%","%25"),"~","%7E"),"*","%2A"),"?","%3F"),'Rules'!$G$7:$G$26,0)),"")</x:f>
      </x:c>
      <x:c r="M620" s="6" t="str">
        <x:f>IF(AND(NOT(COUNTA(A620:F620)=0),K620=""),INDEX('Rules'!$D$7:$D$26,MATCH(SUBSTITUTE(SUBSTITUTE(SUBSTITUTE(SUBSTITUTE("type:"&amp;B620,"%","%25"),"~","%7E"),"*","%2A"),"?","%3F"),'Rules'!$G$7:$G$26,0)),"")</x:f>
      </x:c>
      <x:c r="N620" s="5" t="str">
        <x:f>IF(COUNTA(A620:F620)=0,"",SUBSTITUTE(SUBSTITUTE(SUBSTITUTE(SUBSTITUTE("id:"&amp;A620,"%","%25"),"~","%7E"),"*","%2A"),"?","%3F"))</x:f>
      </x:c>
    </x:row>
    <x:row r="621" ht="22" customHeight="1">
      <x:c r="A621" s="3"/>
      <x:c r="B621" s="3"/>
      <x:c r="C621" s="3"/>
      <x:c r="D621" s="4"/>
      <x:c r="E621" s="4"/>
      <x:c r="F621" s="4"/>
      <x:c r="G621" s="5" t="str">
        <x:f>IF(COUNTA(A621:F621)=0,"",IF(K621&lt;&gt;"","Review",IF(I621&lt;0,"Overdue",IF(I621=0,"Due now",IF(I621&lt;=M621,"Due soon","Not due")))))</x:f>
      </x:c>
      <x:c r="H621" s="5" t="str">
        <x:f>IF(OR(COUNTA(A621:F621)=0,COUNTIFS('Rules'!$G$7:$G$26,"="&amp;(SUBSTITUTE(SUBSTITUTE(SUBSTITUTE(SUBSTITUTE("type:"&amp;B621,"%","%25"),"~","%7E"),"*","%2A"),"?","%3F")))&lt;&gt;1),"",IF(OR(INDEX('Rules'!$B$7:$B$26,MATCH(SUBSTITUTE(SUBSTITUTE(SUBSTITUTE(SUBSTITUTE("type:"&amp;B621,"%","%25"),"~","%7E"),"*","%2A"),"?","%3F"),'Rules'!$G$7:$G$26,0))="hours",INDEX('Rules'!$B$7:$B$26,MATCH(SUBSTITUTE(SUBSTITUTE(SUBSTITUTE(SUBSTITUTE("type:"&amp;B621,"%","%25"),"~","%7E"),"*","%2A"),"?","%3F"),'Rules'!$G$7:$G$26,0))="km"),INDEX('Rules'!$B$7:$B$26,MATCH(SUBSTITUTE(SUBSTITUTE(SUBSTITUTE(SUBSTITUTE("type:"&amp;B621,"%","%25"),"~","%7E"),"*","%2A"),"?","%3F"),'Rules'!$G$7:$G$26,0)),""))</x:f>
      </x:c>
      <x:c r="I621" s="6" t="str">
        <x:f>IF(AND(NOT(COUNTA(A621:F621)=0),K621=""),ROUND(J621-D621,3),"")</x:f>
      </x:c>
      <x:c r="J621" s="6" t="str">
        <x:f>IF(AND(NOT(COUNTA(A621:F621)=0),K621=""),ROUND(F621+L621,3),"")</x:f>
      </x:c>
      <x:c r="K621" s="5" t="str">
        <x:f>IF(COUNTA(A621:F621)=0,"",IF(A621="","Missing equipment ID",IF(COUNTIFS($N$8:$N$2007,"="&amp;N621)&gt;1,"Duplicate equipment ID",IF(B621="","Missing type",IF(COUNTIFS('Rules'!$G$7:$G$26,"="&amp;(SUBSTITUTE(SUBSTITUTE(SUBSTITUTE(SUBSTITUTE("type:"&amp;B621,"%","%25"),"~","%7E"),"*","%2A"),"?","%3F")))=0,"Unknown type",IF(COUNTIFS('Rules'!$G$7:$G$26,"="&amp;(SUBSTITUTE(SUBSTITUTE(SUBSTITUTE(SUBSTITUTE("type:"&amp;B621,"%","%25"),"~","%7E"),"*","%2A"),"?","%3F")))&gt;1,"Duplicate type",IF(INDEX('Rules'!$F$7:$F$26,MATCH(SUBSTITUTE(SUBSTITUTE(SUBSTITUTE(SUBSTITUTE("type:"&amp;B621,"%","%25"),"~","%7E"),"*","%2A"),"?","%3F"),'Rules'!$G$7:$G$26,0))&lt;&gt;"",INDEX('Rules'!$F$7:$F$26,MATCH(SUBSTITUTE(SUBSTITUTE(SUBSTITUTE(SUBSTITUTE("type:"&amp;B621,"%","%25"),"~","%7E"),"*","%2A"),"?","%3F"),'Rules'!$G$7:$G$26,0)),IF(AND(C621&lt;&gt;"",C621&lt;&gt;INDEX('Rules'!$B$7:$B$26,MATCH(SUBSTITUTE(SUBSTITUTE(SUBSTITUTE(SUBSTITUTE("type:"&amp;B621,"%","%25"),"~","%7E"),"*","%2A"),"?","%3F"),'Rules'!$G$7:$G$26,0))),"Unit mismatch",IF(IF(NOT(ISNUMBER(D621)),TRUE,OR(D621&lt;0,D621&gt;999999999,ROUND(D621,3)&lt;&gt;D621)),"Invalid current reading",IF(AND(E621&lt;&gt;"",IF(NOT(ISNUMBER(E621)),TRUE,OR(E621&lt;0,E621&gt;999999999,ROUND(E621,3)&lt;&gt;E621))),"Invalid previous reading",IF(IF(NOT(ISNUMBER(F621)),TRUE,OR(F621&lt;0,F621&gt;999999999,ROUND(F621,3)&lt;&gt;F621)),"Invalid last service",IF(AND(E621&lt;&gt;"",D621&lt;E621),"Decreased reading",IF(F621&gt;D621,"Last service above current","")))))))))))))</x:f>
      </x:c>
      <x:c r="L621" s="6" t="str">
        <x:f>IF(AND(NOT(COUNTA(A621:F621)=0),K621=""),INDEX('Rules'!$C$7:$C$26,MATCH(SUBSTITUTE(SUBSTITUTE(SUBSTITUTE(SUBSTITUTE("type:"&amp;B621,"%","%25"),"~","%7E"),"*","%2A"),"?","%3F"),'Rules'!$G$7:$G$26,0)),"")</x:f>
      </x:c>
      <x:c r="M621" s="6" t="str">
        <x:f>IF(AND(NOT(COUNTA(A621:F621)=0),K621=""),INDEX('Rules'!$D$7:$D$26,MATCH(SUBSTITUTE(SUBSTITUTE(SUBSTITUTE(SUBSTITUTE("type:"&amp;B621,"%","%25"),"~","%7E"),"*","%2A"),"?","%3F"),'Rules'!$G$7:$G$26,0)),"")</x:f>
      </x:c>
      <x:c r="N621" s="5" t="str">
        <x:f>IF(COUNTA(A621:F621)=0,"",SUBSTITUTE(SUBSTITUTE(SUBSTITUTE(SUBSTITUTE("id:"&amp;A621,"%","%25"),"~","%7E"),"*","%2A"),"?","%3F"))</x:f>
      </x:c>
    </x:row>
    <x:row r="622" ht="22" customHeight="1">
      <x:c r="A622" s="3"/>
      <x:c r="B622" s="3"/>
      <x:c r="C622" s="3"/>
      <x:c r="D622" s="4"/>
      <x:c r="E622" s="4"/>
      <x:c r="F622" s="4"/>
      <x:c r="G622" s="5" t="str">
        <x:f>IF(COUNTA(A622:F622)=0,"",IF(K622&lt;&gt;"","Review",IF(I622&lt;0,"Overdue",IF(I622=0,"Due now",IF(I622&lt;=M622,"Due soon","Not due")))))</x:f>
      </x:c>
      <x:c r="H622" s="5" t="str">
        <x:f>IF(OR(COUNTA(A622:F622)=0,COUNTIFS('Rules'!$G$7:$G$26,"="&amp;(SUBSTITUTE(SUBSTITUTE(SUBSTITUTE(SUBSTITUTE("type:"&amp;B622,"%","%25"),"~","%7E"),"*","%2A"),"?","%3F")))&lt;&gt;1),"",IF(OR(INDEX('Rules'!$B$7:$B$26,MATCH(SUBSTITUTE(SUBSTITUTE(SUBSTITUTE(SUBSTITUTE("type:"&amp;B622,"%","%25"),"~","%7E"),"*","%2A"),"?","%3F"),'Rules'!$G$7:$G$26,0))="hours",INDEX('Rules'!$B$7:$B$26,MATCH(SUBSTITUTE(SUBSTITUTE(SUBSTITUTE(SUBSTITUTE("type:"&amp;B622,"%","%25"),"~","%7E"),"*","%2A"),"?","%3F"),'Rules'!$G$7:$G$26,0))="km"),INDEX('Rules'!$B$7:$B$26,MATCH(SUBSTITUTE(SUBSTITUTE(SUBSTITUTE(SUBSTITUTE("type:"&amp;B622,"%","%25"),"~","%7E"),"*","%2A"),"?","%3F"),'Rules'!$G$7:$G$26,0)),""))</x:f>
      </x:c>
      <x:c r="I622" s="6" t="str">
        <x:f>IF(AND(NOT(COUNTA(A622:F622)=0),K622=""),ROUND(J622-D622,3),"")</x:f>
      </x:c>
      <x:c r="J622" s="6" t="str">
        <x:f>IF(AND(NOT(COUNTA(A622:F622)=0),K622=""),ROUND(F622+L622,3),"")</x:f>
      </x:c>
      <x:c r="K622" s="5" t="str">
        <x:f>IF(COUNTA(A622:F622)=0,"",IF(A622="","Missing equipment ID",IF(COUNTIFS($N$8:$N$2007,"="&amp;N622)&gt;1,"Duplicate equipment ID",IF(B622="","Missing type",IF(COUNTIFS('Rules'!$G$7:$G$26,"="&amp;(SUBSTITUTE(SUBSTITUTE(SUBSTITUTE(SUBSTITUTE("type:"&amp;B622,"%","%25"),"~","%7E"),"*","%2A"),"?","%3F")))=0,"Unknown type",IF(COUNTIFS('Rules'!$G$7:$G$26,"="&amp;(SUBSTITUTE(SUBSTITUTE(SUBSTITUTE(SUBSTITUTE("type:"&amp;B622,"%","%25"),"~","%7E"),"*","%2A"),"?","%3F")))&gt;1,"Duplicate type",IF(INDEX('Rules'!$F$7:$F$26,MATCH(SUBSTITUTE(SUBSTITUTE(SUBSTITUTE(SUBSTITUTE("type:"&amp;B622,"%","%25"),"~","%7E"),"*","%2A"),"?","%3F"),'Rules'!$G$7:$G$26,0))&lt;&gt;"",INDEX('Rules'!$F$7:$F$26,MATCH(SUBSTITUTE(SUBSTITUTE(SUBSTITUTE(SUBSTITUTE("type:"&amp;B622,"%","%25"),"~","%7E"),"*","%2A"),"?","%3F"),'Rules'!$G$7:$G$26,0)),IF(AND(C622&lt;&gt;"",C622&lt;&gt;INDEX('Rules'!$B$7:$B$26,MATCH(SUBSTITUTE(SUBSTITUTE(SUBSTITUTE(SUBSTITUTE("type:"&amp;B622,"%","%25"),"~","%7E"),"*","%2A"),"?","%3F"),'Rules'!$G$7:$G$26,0))),"Unit mismatch",IF(IF(NOT(ISNUMBER(D622)),TRUE,OR(D622&lt;0,D622&gt;999999999,ROUND(D622,3)&lt;&gt;D622)),"Invalid current reading",IF(AND(E622&lt;&gt;"",IF(NOT(ISNUMBER(E622)),TRUE,OR(E622&lt;0,E622&gt;999999999,ROUND(E622,3)&lt;&gt;E622))),"Invalid previous reading",IF(IF(NOT(ISNUMBER(F622)),TRUE,OR(F622&lt;0,F622&gt;999999999,ROUND(F622,3)&lt;&gt;F622)),"Invalid last service",IF(AND(E622&lt;&gt;"",D622&lt;E622),"Decreased reading",IF(F622&gt;D622,"Last service above current","")))))))))))))</x:f>
      </x:c>
      <x:c r="L622" s="6" t="str">
        <x:f>IF(AND(NOT(COUNTA(A622:F622)=0),K622=""),INDEX('Rules'!$C$7:$C$26,MATCH(SUBSTITUTE(SUBSTITUTE(SUBSTITUTE(SUBSTITUTE("type:"&amp;B622,"%","%25"),"~","%7E"),"*","%2A"),"?","%3F"),'Rules'!$G$7:$G$26,0)),"")</x:f>
      </x:c>
      <x:c r="M622" s="6" t="str">
        <x:f>IF(AND(NOT(COUNTA(A622:F622)=0),K622=""),INDEX('Rules'!$D$7:$D$26,MATCH(SUBSTITUTE(SUBSTITUTE(SUBSTITUTE(SUBSTITUTE("type:"&amp;B622,"%","%25"),"~","%7E"),"*","%2A"),"?","%3F"),'Rules'!$G$7:$G$26,0)),"")</x:f>
      </x:c>
      <x:c r="N622" s="5" t="str">
        <x:f>IF(COUNTA(A622:F622)=0,"",SUBSTITUTE(SUBSTITUTE(SUBSTITUTE(SUBSTITUTE("id:"&amp;A622,"%","%25"),"~","%7E"),"*","%2A"),"?","%3F"))</x:f>
      </x:c>
    </x:row>
    <x:row r="623" ht="22" customHeight="1">
      <x:c r="A623" s="3"/>
      <x:c r="B623" s="3"/>
      <x:c r="C623" s="3"/>
      <x:c r="D623" s="4"/>
      <x:c r="E623" s="4"/>
      <x:c r="F623" s="4"/>
      <x:c r="G623" s="5" t="str">
        <x:f>IF(COUNTA(A623:F623)=0,"",IF(K623&lt;&gt;"","Review",IF(I623&lt;0,"Overdue",IF(I623=0,"Due now",IF(I623&lt;=M623,"Due soon","Not due")))))</x:f>
      </x:c>
      <x:c r="H623" s="5" t="str">
        <x:f>IF(OR(COUNTA(A623:F623)=0,COUNTIFS('Rules'!$G$7:$G$26,"="&amp;(SUBSTITUTE(SUBSTITUTE(SUBSTITUTE(SUBSTITUTE("type:"&amp;B623,"%","%25"),"~","%7E"),"*","%2A"),"?","%3F")))&lt;&gt;1),"",IF(OR(INDEX('Rules'!$B$7:$B$26,MATCH(SUBSTITUTE(SUBSTITUTE(SUBSTITUTE(SUBSTITUTE("type:"&amp;B623,"%","%25"),"~","%7E"),"*","%2A"),"?","%3F"),'Rules'!$G$7:$G$26,0))="hours",INDEX('Rules'!$B$7:$B$26,MATCH(SUBSTITUTE(SUBSTITUTE(SUBSTITUTE(SUBSTITUTE("type:"&amp;B623,"%","%25"),"~","%7E"),"*","%2A"),"?","%3F"),'Rules'!$G$7:$G$26,0))="km"),INDEX('Rules'!$B$7:$B$26,MATCH(SUBSTITUTE(SUBSTITUTE(SUBSTITUTE(SUBSTITUTE("type:"&amp;B623,"%","%25"),"~","%7E"),"*","%2A"),"?","%3F"),'Rules'!$G$7:$G$26,0)),""))</x:f>
      </x:c>
      <x:c r="I623" s="6" t="str">
        <x:f>IF(AND(NOT(COUNTA(A623:F623)=0),K623=""),ROUND(J623-D623,3),"")</x:f>
      </x:c>
      <x:c r="J623" s="6" t="str">
        <x:f>IF(AND(NOT(COUNTA(A623:F623)=0),K623=""),ROUND(F623+L623,3),"")</x:f>
      </x:c>
      <x:c r="K623" s="5" t="str">
        <x:f>IF(COUNTA(A623:F623)=0,"",IF(A623="","Missing equipment ID",IF(COUNTIFS($N$8:$N$2007,"="&amp;N623)&gt;1,"Duplicate equipment ID",IF(B623="","Missing type",IF(COUNTIFS('Rules'!$G$7:$G$26,"="&amp;(SUBSTITUTE(SUBSTITUTE(SUBSTITUTE(SUBSTITUTE("type:"&amp;B623,"%","%25"),"~","%7E"),"*","%2A"),"?","%3F")))=0,"Unknown type",IF(COUNTIFS('Rules'!$G$7:$G$26,"="&amp;(SUBSTITUTE(SUBSTITUTE(SUBSTITUTE(SUBSTITUTE("type:"&amp;B623,"%","%25"),"~","%7E"),"*","%2A"),"?","%3F")))&gt;1,"Duplicate type",IF(INDEX('Rules'!$F$7:$F$26,MATCH(SUBSTITUTE(SUBSTITUTE(SUBSTITUTE(SUBSTITUTE("type:"&amp;B623,"%","%25"),"~","%7E"),"*","%2A"),"?","%3F"),'Rules'!$G$7:$G$26,0))&lt;&gt;"",INDEX('Rules'!$F$7:$F$26,MATCH(SUBSTITUTE(SUBSTITUTE(SUBSTITUTE(SUBSTITUTE("type:"&amp;B623,"%","%25"),"~","%7E"),"*","%2A"),"?","%3F"),'Rules'!$G$7:$G$26,0)),IF(AND(C623&lt;&gt;"",C623&lt;&gt;INDEX('Rules'!$B$7:$B$26,MATCH(SUBSTITUTE(SUBSTITUTE(SUBSTITUTE(SUBSTITUTE("type:"&amp;B623,"%","%25"),"~","%7E"),"*","%2A"),"?","%3F"),'Rules'!$G$7:$G$26,0))),"Unit mismatch",IF(IF(NOT(ISNUMBER(D623)),TRUE,OR(D623&lt;0,D623&gt;999999999,ROUND(D623,3)&lt;&gt;D623)),"Invalid current reading",IF(AND(E623&lt;&gt;"",IF(NOT(ISNUMBER(E623)),TRUE,OR(E623&lt;0,E623&gt;999999999,ROUND(E623,3)&lt;&gt;E623))),"Invalid previous reading",IF(IF(NOT(ISNUMBER(F623)),TRUE,OR(F623&lt;0,F623&gt;999999999,ROUND(F623,3)&lt;&gt;F623)),"Invalid last service",IF(AND(E623&lt;&gt;"",D623&lt;E623),"Decreased reading",IF(F623&gt;D623,"Last service above current","")))))))))))))</x:f>
      </x:c>
      <x:c r="L623" s="6" t="str">
        <x:f>IF(AND(NOT(COUNTA(A623:F623)=0),K623=""),INDEX('Rules'!$C$7:$C$26,MATCH(SUBSTITUTE(SUBSTITUTE(SUBSTITUTE(SUBSTITUTE("type:"&amp;B623,"%","%25"),"~","%7E"),"*","%2A"),"?","%3F"),'Rules'!$G$7:$G$26,0)),"")</x:f>
      </x:c>
      <x:c r="M623" s="6" t="str">
        <x:f>IF(AND(NOT(COUNTA(A623:F623)=0),K623=""),INDEX('Rules'!$D$7:$D$26,MATCH(SUBSTITUTE(SUBSTITUTE(SUBSTITUTE(SUBSTITUTE("type:"&amp;B623,"%","%25"),"~","%7E"),"*","%2A"),"?","%3F"),'Rules'!$G$7:$G$26,0)),"")</x:f>
      </x:c>
      <x:c r="N623" s="5" t="str">
        <x:f>IF(COUNTA(A623:F623)=0,"",SUBSTITUTE(SUBSTITUTE(SUBSTITUTE(SUBSTITUTE("id:"&amp;A623,"%","%25"),"~","%7E"),"*","%2A"),"?","%3F"))</x:f>
      </x:c>
    </x:row>
    <x:row r="624" ht="22" customHeight="1">
      <x:c r="A624" s="3"/>
      <x:c r="B624" s="3"/>
      <x:c r="C624" s="3"/>
      <x:c r="D624" s="4"/>
      <x:c r="E624" s="4"/>
      <x:c r="F624" s="4"/>
      <x:c r="G624" s="5" t="str">
        <x:f>IF(COUNTA(A624:F624)=0,"",IF(K624&lt;&gt;"","Review",IF(I624&lt;0,"Overdue",IF(I624=0,"Due now",IF(I624&lt;=M624,"Due soon","Not due")))))</x:f>
      </x:c>
      <x:c r="H624" s="5" t="str">
        <x:f>IF(OR(COUNTA(A624:F624)=0,COUNTIFS('Rules'!$G$7:$G$26,"="&amp;(SUBSTITUTE(SUBSTITUTE(SUBSTITUTE(SUBSTITUTE("type:"&amp;B624,"%","%25"),"~","%7E"),"*","%2A"),"?","%3F")))&lt;&gt;1),"",IF(OR(INDEX('Rules'!$B$7:$B$26,MATCH(SUBSTITUTE(SUBSTITUTE(SUBSTITUTE(SUBSTITUTE("type:"&amp;B624,"%","%25"),"~","%7E"),"*","%2A"),"?","%3F"),'Rules'!$G$7:$G$26,0))="hours",INDEX('Rules'!$B$7:$B$26,MATCH(SUBSTITUTE(SUBSTITUTE(SUBSTITUTE(SUBSTITUTE("type:"&amp;B624,"%","%25"),"~","%7E"),"*","%2A"),"?","%3F"),'Rules'!$G$7:$G$26,0))="km"),INDEX('Rules'!$B$7:$B$26,MATCH(SUBSTITUTE(SUBSTITUTE(SUBSTITUTE(SUBSTITUTE("type:"&amp;B624,"%","%25"),"~","%7E"),"*","%2A"),"?","%3F"),'Rules'!$G$7:$G$26,0)),""))</x:f>
      </x:c>
      <x:c r="I624" s="6" t="str">
        <x:f>IF(AND(NOT(COUNTA(A624:F624)=0),K624=""),ROUND(J624-D624,3),"")</x:f>
      </x:c>
      <x:c r="J624" s="6" t="str">
        <x:f>IF(AND(NOT(COUNTA(A624:F624)=0),K624=""),ROUND(F624+L624,3),"")</x:f>
      </x:c>
      <x:c r="K624" s="5" t="str">
        <x:f>IF(COUNTA(A624:F624)=0,"",IF(A624="","Missing equipment ID",IF(COUNTIFS($N$8:$N$2007,"="&amp;N624)&gt;1,"Duplicate equipment ID",IF(B624="","Missing type",IF(COUNTIFS('Rules'!$G$7:$G$26,"="&amp;(SUBSTITUTE(SUBSTITUTE(SUBSTITUTE(SUBSTITUTE("type:"&amp;B624,"%","%25"),"~","%7E"),"*","%2A"),"?","%3F")))=0,"Unknown type",IF(COUNTIFS('Rules'!$G$7:$G$26,"="&amp;(SUBSTITUTE(SUBSTITUTE(SUBSTITUTE(SUBSTITUTE("type:"&amp;B624,"%","%25"),"~","%7E"),"*","%2A"),"?","%3F")))&gt;1,"Duplicate type",IF(INDEX('Rules'!$F$7:$F$26,MATCH(SUBSTITUTE(SUBSTITUTE(SUBSTITUTE(SUBSTITUTE("type:"&amp;B624,"%","%25"),"~","%7E"),"*","%2A"),"?","%3F"),'Rules'!$G$7:$G$26,0))&lt;&gt;"",INDEX('Rules'!$F$7:$F$26,MATCH(SUBSTITUTE(SUBSTITUTE(SUBSTITUTE(SUBSTITUTE("type:"&amp;B624,"%","%25"),"~","%7E"),"*","%2A"),"?","%3F"),'Rules'!$G$7:$G$26,0)),IF(AND(C624&lt;&gt;"",C624&lt;&gt;INDEX('Rules'!$B$7:$B$26,MATCH(SUBSTITUTE(SUBSTITUTE(SUBSTITUTE(SUBSTITUTE("type:"&amp;B624,"%","%25"),"~","%7E"),"*","%2A"),"?","%3F"),'Rules'!$G$7:$G$26,0))),"Unit mismatch",IF(IF(NOT(ISNUMBER(D624)),TRUE,OR(D624&lt;0,D624&gt;999999999,ROUND(D624,3)&lt;&gt;D624)),"Invalid current reading",IF(AND(E624&lt;&gt;"",IF(NOT(ISNUMBER(E624)),TRUE,OR(E624&lt;0,E624&gt;999999999,ROUND(E624,3)&lt;&gt;E624))),"Invalid previous reading",IF(IF(NOT(ISNUMBER(F624)),TRUE,OR(F624&lt;0,F624&gt;999999999,ROUND(F624,3)&lt;&gt;F624)),"Invalid last service",IF(AND(E624&lt;&gt;"",D624&lt;E624),"Decreased reading",IF(F624&gt;D624,"Last service above current","")))))))))))))</x:f>
      </x:c>
      <x:c r="L624" s="6" t="str">
        <x:f>IF(AND(NOT(COUNTA(A624:F624)=0),K624=""),INDEX('Rules'!$C$7:$C$26,MATCH(SUBSTITUTE(SUBSTITUTE(SUBSTITUTE(SUBSTITUTE("type:"&amp;B624,"%","%25"),"~","%7E"),"*","%2A"),"?","%3F"),'Rules'!$G$7:$G$26,0)),"")</x:f>
      </x:c>
      <x:c r="M624" s="6" t="str">
        <x:f>IF(AND(NOT(COUNTA(A624:F624)=0),K624=""),INDEX('Rules'!$D$7:$D$26,MATCH(SUBSTITUTE(SUBSTITUTE(SUBSTITUTE(SUBSTITUTE("type:"&amp;B624,"%","%25"),"~","%7E"),"*","%2A"),"?","%3F"),'Rules'!$G$7:$G$26,0)),"")</x:f>
      </x:c>
      <x:c r="N624" s="5" t="str">
        <x:f>IF(COUNTA(A624:F624)=0,"",SUBSTITUTE(SUBSTITUTE(SUBSTITUTE(SUBSTITUTE("id:"&amp;A624,"%","%25"),"~","%7E"),"*","%2A"),"?","%3F"))</x:f>
      </x:c>
    </x:row>
    <x:row r="625" ht="22" customHeight="1">
      <x:c r="A625" s="3"/>
      <x:c r="B625" s="3"/>
      <x:c r="C625" s="3"/>
      <x:c r="D625" s="4"/>
      <x:c r="E625" s="4"/>
      <x:c r="F625" s="4"/>
      <x:c r="G625" s="5" t="str">
        <x:f>IF(COUNTA(A625:F625)=0,"",IF(K625&lt;&gt;"","Review",IF(I625&lt;0,"Overdue",IF(I625=0,"Due now",IF(I625&lt;=M625,"Due soon","Not due")))))</x:f>
      </x:c>
      <x:c r="H625" s="5" t="str">
        <x:f>IF(OR(COUNTA(A625:F625)=0,COUNTIFS('Rules'!$G$7:$G$26,"="&amp;(SUBSTITUTE(SUBSTITUTE(SUBSTITUTE(SUBSTITUTE("type:"&amp;B625,"%","%25"),"~","%7E"),"*","%2A"),"?","%3F")))&lt;&gt;1),"",IF(OR(INDEX('Rules'!$B$7:$B$26,MATCH(SUBSTITUTE(SUBSTITUTE(SUBSTITUTE(SUBSTITUTE("type:"&amp;B625,"%","%25"),"~","%7E"),"*","%2A"),"?","%3F"),'Rules'!$G$7:$G$26,0))="hours",INDEX('Rules'!$B$7:$B$26,MATCH(SUBSTITUTE(SUBSTITUTE(SUBSTITUTE(SUBSTITUTE("type:"&amp;B625,"%","%25"),"~","%7E"),"*","%2A"),"?","%3F"),'Rules'!$G$7:$G$26,0))="km"),INDEX('Rules'!$B$7:$B$26,MATCH(SUBSTITUTE(SUBSTITUTE(SUBSTITUTE(SUBSTITUTE("type:"&amp;B625,"%","%25"),"~","%7E"),"*","%2A"),"?","%3F"),'Rules'!$G$7:$G$26,0)),""))</x:f>
      </x:c>
      <x:c r="I625" s="6" t="str">
        <x:f>IF(AND(NOT(COUNTA(A625:F625)=0),K625=""),ROUND(J625-D625,3),"")</x:f>
      </x:c>
      <x:c r="J625" s="6" t="str">
        <x:f>IF(AND(NOT(COUNTA(A625:F625)=0),K625=""),ROUND(F625+L625,3),"")</x:f>
      </x:c>
      <x:c r="K625" s="5" t="str">
        <x:f>IF(COUNTA(A625:F625)=0,"",IF(A625="","Missing equipment ID",IF(COUNTIFS($N$8:$N$2007,"="&amp;N625)&gt;1,"Duplicate equipment ID",IF(B625="","Missing type",IF(COUNTIFS('Rules'!$G$7:$G$26,"="&amp;(SUBSTITUTE(SUBSTITUTE(SUBSTITUTE(SUBSTITUTE("type:"&amp;B625,"%","%25"),"~","%7E"),"*","%2A"),"?","%3F")))=0,"Unknown type",IF(COUNTIFS('Rules'!$G$7:$G$26,"="&amp;(SUBSTITUTE(SUBSTITUTE(SUBSTITUTE(SUBSTITUTE("type:"&amp;B625,"%","%25"),"~","%7E"),"*","%2A"),"?","%3F")))&gt;1,"Duplicate type",IF(INDEX('Rules'!$F$7:$F$26,MATCH(SUBSTITUTE(SUBSTITUTE(SUBSTITUTE(SUBSTITUTE("type:"&amp;B625,"%","%25"),"~","%7E"),"*","%2A"),"?","%3F"),'Rules'!$G$7:$G$26,0))&lt;&gt;"",INDEX('Rules'!$F$7:$F$26,MATCH(SUBSTITUTE(SUBSTITUTE(SUBSTITUTE(SUBSTITUTE("type:"&amp;B625,"%","%25"),"~","%7E"),"*","%2A"),"?","%3F"),'Rules'!$G$7:$G$26,0)),IF(AND(C625&lt;&gt;"",C625&lt;&gt;INDEX('Rules'!$B$7:$B$26,MATCH(SUBSTITUTE(SUBSTITUTE(SUBSTITUTE(SUBSTITUTE("type:"&amp;B625,"%","%25"),"~","%7E"),"*","%2A"),"?","%3F"),'Rules'!$G$7:$G$26,0))),"Unit mismatch",IF(IF(NOT(ISNUMBER(D625)),TRUE,OR(D625&lt;0,D625&gt;999999999,ROUND(D625,3)&lt;&gt;D625)),"Invalid current reading",IF(AND(E625&lt;&gt;"",IF(NOT(ISNUMBER(E625)),TRUE,OR(E625&lt;0,E625&gt;999999999,ROUND(E625,3)&lt;&gt;E625))),"Invalid previous reading",IF(IF(NOT(ISNUMBER(F625)),TRUE,OR(F625&lt;0,F625&gt;999999999,ROUND(F625,3)&lt;&gt;F625)),"Invalid last service",IF(AND(E625&lt;&gt;"",D625&lt;E625),"Decreased reading",IF(F625&gt;D625,"Last service above current","")))))))))))))</x:f>
      </x:c>
      <x:c r="L625" s="6" t="str">
        <x:f>IF(AND(NOT(COUNTA(A625:F625)=0),K625=""),INDEX('Rules'!$C$7:$C$26,MATCH(SUBSTITUTE(SUBSTITUTE(SUBSTITUTE(SUBSTITUTE("type:"&amp;B625,"%","%25"),"~","%7E"),"*","%2A"),"?","%3F"),'Rules'!$G$7:$G$26,0)),"")</x:f>
      </x:c>
      <x:c r="M625" s="6" t="str">
        <x:f>IF(AND(NOT(COUNTA(A625:F625)=0),K625=""),INDEX('Rules'!$D$7:$D$26,MATCH(SUBSTITUTE(SUBSTITUTE(SUBSTITUTE(SUBSTITUTE("type:"&amp;B625,"%","%25"),"~","%7E"),"*","%2A"),"?","%3F"),'Rules'!$G$7:$G$26,0)),"")</x:f>
      </x:c>
      <x:c r="N625" s="5" t="str">
        <x:f>IF(COUNTA(A625:F625)=0,"",SUBSTITUTE(SUBSTITUTE(SUBSTITUTE(SUBSTITUTE("id:"&amp;A625,"%","%25"),"~","%7E"),"*","%2A"),"?","%3F"))</x:f>
      </x:c>
    </x:row>
    <x:row r="626" ht="22" customHeight="1">
      <x:c r="A626" s="3"/>
      <x:c r="B626" s="3"/>
      <x:c r="C626" s="3"/>
      <x:c r="D626" s="4"/>
      <x:c r="E626" s="4"/>
      <x:c r="F626" s="4"/>
      <x:c r="G626" s="5" t="str">
        <x:f>IF(COUNTA(A626:F626)=0,"",IF(K626&lt;&gt;"","Review",IF(I626&lt;0,"Overdue",IF(I626=0,"Due now",IF(I626&lt;=M626,"Due soon","Not due")))))</x:f>
      </x:c>
      <x:c r="H626" s="5" t="str">
        <x:f>IF(OR(COUNTA(A626:F626)=0,COUNTIFS('Rules'!$G$7:$G$26,"="&amp;(SUBSTITUTE(SUBSTITUTE(SUBSTITUTE(SUBSTITUTE("type:"&amp;B626,"%","%25"),"~","%7E"),"*","%2A"),"?","%3F")))&lt;&gt;1),"",IF(OR(INDEX('Rules'!$B$7:$B$26,MATCH(SUBSTITUTE(SUBSTITUTE(SUBSTITUTE(SUBSTITUTE("type:"&amp;B626,"%","%25"),"~","%7E"),"*","%2A"),"?","%3F"),'Rules'!$G$7:$G$26,0))="hours",INDEX('Rules'!$B$7:$B$26,MATCH(SUBSTITUTE(SUBSTITUTE(SUBSTITUTE(SUBSTITUTE("type:"&amp;B626,"%","%25"),"~","%7E"),"*","%2A"),"?","%3F"),'Rules'!$G$7:$G$26,0))="km"),INDEX('Rules'!$B$7:$B$26,MATCH(SUBSTITUTE(SUBSTITUTE(SUBSTITUTE(SUBSTITUTE("type:"&amp;B626,"%","%25"),"~","%7E"),"*","%2A"),"?","%3F"),'Rules'!$G$7:$G$26,0)),""))</x:f>
      </x:c>
      <x:c r="I626" s="6" t="str">
        <x:f>IF(AND(NOT(COUNTA(A626:F626)=0),K626=""),ROUND(J626-D626,3),"")</x:f>
      </x:c>
      <x:c r="J626" s="6" t="str">
        <x:f>IF(AND(NOT(COUNTA(A626:F626)=0),K626=""),ROUND(F626+L626,3),"")</x:f>
      </x:c>
      <x:c r="K626" s="5" t="str">
        <x:f>IF(COUNTA(A626:F626)=0,"",IF(A626="","Missing equipment ID",IF(COUNTIFS($N$8:$N$2007,"="&amp;N626)&gt;1,"Duplicate equipment ID",IF(B626="","Missing type",IF(COUNTIFS('Rules'!$G$7:$G$26,"="&amp;(SUBSTITUTE(SUBSTITUTE(SUBSTITUTE(SUBSTITUTE("type:"&amp;B626,"%","%25"),"~","%7E"),"*","%2A"),"?","%3F")))=0,"Unknown type",IF(COUNTIFS('Rules'!$G$7:$G$26,"="&amp;(SUBSTITUTE(SUBSTITUTE(SUBSTITUTE(SUBSTITUTE("type:"&amp;B626,"%","%25"),"~","%7E"),"*","%2A"),"?","%3F")))&gt;1,"Duplicate type",IF(INDEX('Rules'!$F$7:$F$26,MATCH(SUBSTITUTE(SUBSTITUTE(SUBSTITUTE(SUBSTITUTE("type:"&amp;B626,"%","%25"),"~","%7E"),"*","%2A"),"?","%3F"),'Rules'!$G$7:$G$26,0))&lt;&gt;"",INDEX('Rules'!$F$7:$F$26,MATCH(SUBSTITUTE(SUBSTITUTE(SUBSTITUTE(SUBSTITUTE("type:"&amp;B626,"%","%25"),"~","%7E"),"*","%2A"),"?","%3F"),'Rules'!$G$7:$G$26,0)),IF(AND(C626&lt;&gt;"",C626&lt;&gt;INDEX('Rules'!$B$7:$B$26,MATCH(SUBSTITUTE(SUBSTITUTE(SUBSTITUTE(SUBSTITUTE("type:"&amp;B626,"%","%25"),"~","%7E"),"*","%2A"),"?","%3F"),'Rules'!$G$7:$G$26,0))),"Unit mismatch",IF(IF(NOT(ISNUMBER(D626)),TRUE,OR(D626&lt;0,D626&gt;999999999,ROUND(D626,3)&lt;&gt;D626)),"Invalid current reading",IF(AND(E626&lt;&gt;"",IF(NOT(ISNUMBER(E626)),TRUE,OR(E626&lt;0,E626&gt;999999999,ROUND(E626,3)&lt;&gt;E626))),"Invalid previous reading",IF(IF(NOT(ISNUMBER(F626)),TRUE,OR(F626&lt;0,F626&gt;999999999,ROUND(F626,3)&lt;&gt;F626)),"Invalid last service",IF(AND(E626&lt;&gt;"",D626&lt;E626),"Decreased reading",IF(F626&gt;D626,"Last service above current","")))))))))))))</x:f>
      </x:c>
      <x:c r="L626" s="6" t="str">
        <x:f>IF(AND(NOT(COUNTA(A626:F626)=0),K626=""),INDEX('Rules'!$C$7:$C$26,MATCH(SUBSTITUTE(SUBSTITUTE(SUBSTITUTE(SUBSTITUTE("type:"&amp;B626,"%","%25"),"~","%7E"),"*","%2A"),"?","%3F"),'Rules'!$G$7:$G$26,0)),"")</x:f>
      </x:c>
      <x:c r="M626" s="6" t="str">
        <x:f>IF(AND(NOT(COUNTA(A626:F626)=0),K626=""),INDEX('Rules'!$D$7:$D$26,MATCH(SUBSTITUTE(SUBSTITUTE(SUBSTITUTE(SUBSTITUTE("type:"&amp;B626,"%","%25"),"~","%7E"),"*","%2A"),"?","%3F"),'Rules'!$G$7:$G$26,0)),"")</x:f>
      </x:c>
      <x:c r="N626" s="5" t="str">
        <x:f>IF(COUNTA(A626:F626)=0,"",SUBSTITUTE(SUBSTITUTE(SUBSTITUTE(SUBSTITUTE("id:"&amp;A626,"%","%25"),"~","%7E"),"*","%2A"),"?","%3F"))</x:f>
      </x:c>
    </x:row>
    <x:row r="627" ht="22" customHeight="1">
      <x:c r="A627" s="3"/>
      <x:c r="B627" s="3"/>
      <x:c r="C627" s="3"/>
      <x:c r="D627" s="4"/>
      <x:c r="E627" s="4"/>
      <x:c r="F627" s="4"/>
      <x:c r="G627" s="5" t="str">
        <x:f>IF(COUNTA(A627:F627)=0,"",IF(K627&lt;&gt;"","Review",IF(I627&lt;0,"Overdue",IF(I627=0,"Due now",IF(I627&lt;=M627,"Due soon","Not due")))))</x:f>
      </x:c>
      <x:c r="H627" s="5" t="str">
        <x:f>IF(OR(COUNTA(A627:F627)=0,COUNTIFS('Rules'!$G$7:$G$26,"="&amp;(SUBSTITUTE(SUBSTITUTE(SUBSTITUTE(SUBSTITUTE("type:"&amp;B627,"%","%25"),"~","%7E"),"*","%2A"),"?","%3F")))&lt;&gt;1),"",IF(OR(INDEX('Rules'!$B$7:$B$26,MATCH(SUBSTITUTE(SUBSTITUTE(SUBSTITUTE(SUBSTITUTE("type:"&amp;B627,"%","%25"),"~","%7E"),"*","%2A"),"?","%3F"),'Rules'!$G$7:$G$26,0))="hours",INDEX('Rules'!$B$7:$B$26,MATCH(SUBSTITUTE(SUBSTITUTE(SUBSTITUTE(SUBSTITUTE("type:"&amp;B627,"%","%25"),"~","%7E"),"*","%2A"),"?","%3F"),'Rules'!$G$7:$G$26,0))="km"),INDEX('Rules'!$B$7:$B$26,MATCH(SUBSTITUTE(SUBSTITUTE(SUBSTITUTE(SUBSTITUTE("type:"&amp;B627,"%","%25"),"~","%7E"),"*","%2A"),"?","%3F"),'Rules'!$G$7:$G$26,0)),""))</x:f>
      </x:c>
      <x:c r="I627" s="6" t="str">
        <x:f>IF(AND(NOT(COUNTA(A627:F627)=0),K627=""),ROUND(J627-D627,3),"")</x:f>
      </x:c>
      <x:c r="J627" s="6" t="str">
        <x:f>IF(AND(NOT(COUNTA(A627:F627)=0),K627=""),ROUND(F627+L627,3),"")</x:f>
      </x:c>
      <x:c r="K627" s="5" t="str">
        <x:f>IF(COUNTA(A627:F627)=0,"",IF(A627="","Missing equipment ID",IF(COUNTIFS($N$8:$N$2007,"="&amp;N627)&gt;1,"Duplicate equipment ID",IF(B627="","Missing type",IF(COUNTIFS('Rules'!$G$7:$G$26,"="&amp;(SUBSTITUTE(SUBSTITUTE(SUBSTITUTE(SUBSTITUTE("type:"&amp;B627,"%","%25"),"~","%7E"),"*","%2A"),"?","%3F")))=0,"Unknown type",IF(COUNTIFS('Rules'!$G$7:$G$26,"="&amp;(SUBSTITUTE(SUBSTITUTE(SUBSTITUTE(SUBSTITUTE("type:"&amp;B627,"%","%25"),"~","%7E"),"*","%2A"),"?","%3F")))&gt;1,"Duplicate type",IF(INDEX('Rules'!$F$7:$F$26,MATCH(SUBSTITUTE(SUBSTITUTE(SUBSTITUTE(SUBSTITUTE("type:"&amp;B627,"%","%25"),"~","%7E"),"*","%2A"),"?","%3F"),'Rules'!$G$7:$G$26,0))&lt;&gt;"",INDEX('Rules'!$F$7:$F$26,MATCH(SUBSTITUTE(SUBSTITUTE(SUBSTITUTE(SUBSTITUTE("type:"&amp;B627,"%","%25"),"~","%7E"),"*","%2A"),"?","%3F"),'Rules'!$G$7:$G$26,0)),IF(AND(C627&lt;&gt;"",C627&lt;&gt;INDEX('Rules'!$B$7:$B$26,MATCH(SUBSTITUTE(SUBSTITUTE(SUBSTITUTE(SUBSTITUTE("type:"&amp;B627,"%","%25"),"~","%7E"),"*","%2A"),"?","%3F"),'Rules'!$G$7:$G$26,0))),"Unit mismatch",IF(IF(NOT(ISNUMBER(D627)),TRUE,OR(D627&lt;0,D627&gt;999999999,ROUND(D627,3)&lt;&gt;D627)),"Invalid current reading",IF(AND(E627&lt;&gt;"",IF(NOT(ISNUMBER(E627)),TRUE,OR(E627&lt;0,E627&gt;999999999,ROUND(E627,3)&lt;&gt;E627))),"Invalid previous reading",IF(IF(NOT(ISNUMBER(F627)),TRUE,OR(F627&lt;0,F627&gt;999999999,ROUND(F627,3)&lt;&gt;F627)),"Invalid last service",IF(AND(E627&lt;&gt;"",D627&lt;E627),"Decreased reading",IF(F627&gt;D627,"Last service above current","")))))))))))))</x:f>
      </x:c>
      <x:c r="L627" s="6" t="str">
        <x:f>IF(AND(NOT(COUNTA(A627:F627)=0),K627=""),INDEX('Rules'!$C$7:$C$26,MATCH(SUBSTITUTE(SUBSTITUTE(SUBSTITUTE(SUBSTITUTE("type:"&amp;B627,"%","%25"),"~","%7E"),"*","%2A"),"?","%3F"),'Rules'!$G$7:$G$26,0)),"")</x:f>
      </x:c>
      <x:c r="M627" s="6" t="str">
        <x:f>IF(AND(NOT(COUNTA(A627:F627)=0),K627=""),INDEX('Rules'!$D$7:$D$26,MATCH(SUBSTITUTE(SUBSTITUTE(SUBSTITUTE(SUBSTITUTE("type:"&amp;B627,"%","%25"),"~","%7E"),"*","%2A"),"?","%3F"),'Rules'!$G$7:$G$26,0)),"")</x:f>
      </x:c>
      <x:c r="N627" s="5" t="str">
        <x:f>IF(COUNTA(A627:F627)=0,"",SUBSTITUTE(SUBSTITUTE(SUBSTITUTE(SUBSTITUTE("id:"&amp;A627,"%","%25"),"~","%7E"),"*","%2A"),"?","%3F"))</x:f>
      </x:c>
    </x:row>
    <x:row r="628" ht="22" customHeight="1">
      <x:c r="A628" s="3"/>
      <x:c r="B628" s="3"/>
      <x:c r="C628" s="3"/>
      <x:c r="D628" s="4"/>
      <x:c r="E628" s="4"/>
      <x:c r="F628" s="4"/>
      <x:c r="G628" s="5" t="str">
        <x:f>IF(COUNTA(A628:F628)=0,"",IF(K628&lt;&gt;"","Review",IF(I628&lt;0,"Overdue",IF(I628=0,"Due now",IF(I628&lt;=M628,"Due soon","Not due")))))</x:f>
      </x:c>
      <x:c r="H628" s="5" t="str">
        <x:f>IF(OR(COUNTA(A628:F628)=0,COUNTIFS('Rules'!$G$7:$G$26,"="&amp;(SUBSTITUTE(SUBSTITUTE(SUBSTITUTE(SUBSTITUTE("type:"&amp;B628,"%","%25"),"~","%7E"),"*","%2A"),"?","%3F")))&lt;&gt;1),"",IF(OR(INDEX('Rules'!$B$7:$B$26,MATCH(SUBSTITUTE(SUBSTITUTE(SUBSTITUTE(SUBSTITUTE("type:"&amp;B628,"%","%25"),"~","%7E"),"*","%2A"),"?","%3F"),'Rules'!$G$7:$G$26,0))="hours",INDEX('Rules'!$B$7:$B$26,MATCH(SUBSTITUTE(SUBSTITUTE(SUBSTITUTE(SUBSTITUTE("type:"&amp;B628,"%","%25"),"~","%7E"),"*","%2A"),"?","%3F"),'Rules'!$G$7:$G$26,0))="km"),INDEX('Rules'!$B$7:$B$26,MATCH(SUBSTITUTE(SUBSTITUTE(SUBSTITUTE(SUBSTITUTE("type:"&amp;B628,"%","%25"),"~","%7E"),"*","%2A"),"?","%3F"),'Rules'!$G$7:$G$26,0)),""))</x:f>
      </x:c>
      <x:c r="I628" s="6" t="str">
        <x:f>IF(AND(NOT(COUNTA(A628:F628)=0),K628=""),ROUND(J628-D628,3),"")</x:f>
      </x:c>
      <x:c r="J628" s="6" t="str">
        <x:f>IF(AND(NOT(COUNTA(A628:F628)=0),K628=""),ROUND(F628+L628,3),"")</x:f>
      </x:c>
      <x:c r="K628" s="5" t="str">
        <x:f>IF(COUNTA(A628:F628)=0,"",IF(A628="","Missing equipment ID",IF(COUNTIFS($N$8:$N$2007,"="&amp;N628)&gt;1,"Duplicate equipment ID",IF(B628="","Missing type",IF(COUNTIFS('Rules'!$G$7:$G$26,"="&amp;(SUBSTITUTE(SUBSTITUTE(SUBSTITUTE(SUBSTITUTE("type:"&amp;B628,"%","%25"),"~","%7E"),"*","%2A"),"?","%3F")))=0,"Unknown type",IF(COUNTIFS('Rules'!$G$7:$G$26,"="&amp;(SUBSTITUTE(SUBSTITUTE(SUBSTITUTE(SUBSTITUTE("type:"&amp;B628,"%","%25"),"~","%7E"),"*","%2A"),"?","%3F")))&gt;1,"Duplicate type",IF(INDEX('Rules'!$F$7:$F$26,MATCH(SUBSTITUTE(SUBSTITUTE(SUBSTITUTE(SUBSTITUTE("type:"&amp;B628,"%","%25"),"~","%7E"),"*","%2A"),"?","%3F"),'Rules'!$G$7:$G$26,0))&lt;&gt;"",INDEX('Rules'!$F$7:$F$26,MATCH(SUBSTITUTE(SUBSTITUTE(SUBSTITUTE(SUBSTITUTE("type:"&amp;B628,"%","%25"),"~","%7E"),"*","%2A"),"?","%3F"),'Rules'!$G$7:$G$26,0)),IF(AND(C628&lt;&gt;"",C628&lt;&gt;INDEX('Rules'!$B$7:$B$26,MATCH(SUBSTITUTE(SUBSTITUTE(SUBSTITUTE(SUBSTITUTE("type:"&amp;B628,"%","%25"),"~","%7E"),"*","%2A"),"?","%3F"),'Rules'!$G$7:$G$26,0))),"Unit mismatch",IF(IF(NOT(ISNUMBER(D628)),TRUE,OR(D628&lt;0,D628&gt;999999999,ROUND(D628,3)&lt;&gt;D628)),"Invalid current reading",IF(AND(E628&lt;&gt;"",IF(NOT(ISNUMBER(E628)),TRUE,OR(E628&lt;0,E628&gt;999999999,ROUND(E628,3)&lt;&gt;E628))),"Invalid previous reading",IF(IF(NOT(ISNUMBER(F628)),TRUE,OR(F628&lt;0,F628&gt;999999999,ROUND(F628,3)&lt;&gt;F628)),"Invalid last service",IF(AND(E628&lt;&gt;"",D628&lt;E628),"Decreased reading",IF(F628&gt;D628,"Last service above current","")))))))))))))</x:f>
      </x:c>
      <x:c r="L628" s="6" t="str">
        <x:f>IF(AND(NOT(COUNTA(A628:F628)=0),K628=""),INDEX('Rules'!$C$7:$C$26,MATCH(SUBSTITUTE(SUBSTITUTE(SUBSTITUTE(SUBSTITUTE("type:"&amp;B628,"%","%25"),"~","%7E"),"*","%2A"),"?","%3F"),'Rules'!$G$7:$G$26,0)),"")</x:f>
      </x:c>
      <x:c r="M628" s="6" t="str">
        <x:f>IF(AND(NOT(COUNTA(A628:F628)=0),K628=""),INDEX('Rules'!$D$7:$D$26,MATCH(SUBSTITUTE(SUBSTITUTE(SUBSTITUTE(SUBSTITUTE("type:"&amp;B628,"%","%25"),"~","%7E"),"*","%2A"),"?","%3F"),'Rules'!$G$7:$G$26,0)),"")</x:f>
      </x:c>
      <x:c r="N628" s="5" t="str">
        <x:f>IF(COUNTA(A628:F628)=0,"",SUBSTITUTE(SUBSTITUTE(SUBSTITUTE(SUBSTITUTE("id:"&amp;A628,"%","%25"),"~","%7E"),"*","%2A"),"?","%3F"))</x:f>
      </x:c>
    </x:row>
    <x:row r="629" ht="22" customHeight="1">
      <x:c r="A629" s="3"/>
      <x:c r="B629" s="3"/>
      <x:c r="C629" s="3"/>
      <x:c r="D629" s="4"/>
      <x:c r="E629" s="4"/>
      <x:c r="F629" s="4"/>
      <x:c r="G629" s="5" t="str">
        <x:f>IF(COUNTA(A629:F629)=0,"",IF(K629&lt;&gt;"","Review",IF(I629&lt;0,"Overdue",IF(I629=0,"Due now",IF(I629&lt;=M629,"Due soon","Not due")))))</x:f>
      </x:c>
      <x:c r="H629" s="5" t="str">
        <x:f>IF(OR(COUNTA(A629:F629)=0,COUNTIFS('Rules'!$G$7:$G$26,"="&amp;(SUBSTITUTE(SUBSTITUTE(SUBSTITUTE(SUBSTITUTE("type:"&amp;B629,"%","%25"),"~","%7E"),"*","%2A"),"?","%3F")))&lt;&gt;1),"",IF(OR(INDEX('Rules'!$B$7:$B$26,MATCH(SUBSTITUTE(SUBSTITUTE(SUBSTITUTE(SUBSTITUTE("type:"&amp;B629,"%","%25"),"~","%7E"),"*","%2A"),"?","%3F"),'Rules'!$G$7:$G$26,0))="hours",INDEX('Rules'!$B$7:$B$26,MATCH(SUBSTITUTE(SUBSTITUTE(SUBSTITUTE(SUBSTITUTE("type:"&amp;B629,"%","%25"),"~","%7E"),"*","%2A"),"?","%3F"),'Rules'!$G$7:$G$26,0))="km"),INDEX('Rules'!$B$7:$B$26,MATCH(SUBSTITUTE(SUBSTITUTE(SUBSTITUTE(SUBSTITUTE("type:"&amp;B629,"%","%25"),"~","%7E"),"*","%2A"),"?","%3F"),'Rules'!$G$7:$G$26,0)),""))</x:f>
      </x:c>
      <x:c r="I629" s="6" t="str">
        <x:f>IF(AND(NOT(COUNTA(A629:F629)=0),K629=""),ROUND(J629-D629,3),"")</x:f>
      </x:c>
      <x:c r="J629" s="6" t="str">
        <x:f>IF(AND(NOT(COUNTA(A629:F629)=0),K629=""),ROUND(F629+L629,3),"")</x:f>
      </x:c>
      <x:c r="K629" s="5" t="str">
        <x:f>IF(COUNTA(A629:F629)=0,"",IF(A629="","Missing equipment ID",IF(COUNTIFS($N$8:$N$2007,"="&amp;N629)&gt;1,"Duplicate equipment ID",IF(B629="","Missing type",IF(COUNTIFS('Rules'!$G$7:$G$26,"="&amp;(SUBSTITUTE(SUBSTITUTE(SUBSTITUTE(SUBSTITUTE("type:"&amp;B629,"%","%25"),"~","%7E"),"*","%2A"),"?","%3F")))=0,"Unknown type",IF(COUNTIFS('Rules'!$G$7:$G$26,"="&amp;(SUBSTITUTE(SUBSTITUTE(SUBSTITUTE(SUBSTITUTE("type:"&amp;B629,"%","%25"),"~","%7E"),"*","%2A"),"?","%3F")))&gt;1,"Duplicate type",IF(INDEX('Rules'!$F$7:$F$26,MATCH(SUBSTITUTE(SUBSTITUTE(SUBSTITUTE(SUBSTITUTE("type:"&amp;B629,"%","%25"),"~","%7E"),"*","%2A"),"?","%3F"),'Rules'!$G$7:$G$26,0))&lt;&gt;"",INDEX('Rules'!$F$7:$F$26,MATCH(SUBSTITUTE(SUBSTITUTE(SUBSTITUTE(SUBSTITUTE("type:"&amp;B629,"%","%25"),"~","%7E"),"*","%2A"),"?","%3F"),'Rules'!$G$7:$G$26,0)),IF(AND(C629&lt;&gt;"",C629&lt;&gt;INDEX('Rules'!$B$7:$B$26,MATCH(SUBSTITUTE(SUBSTITUTE(SUBSTITUTE(SUBSTITUTE("type:"&amp;B629,"%","%25"),"~","%7E"),"*","%2A"),"?","%3F"),'Rules'!$G$7:$G$26,0))),"Unit mismatch",IF(IF(NOT(ISNUMBER(D629)),TRUE,OR(D629&lt;0,D629&gt;999999999,ROUND(D629,3)&lt;&gt;D629)),"Invalid current reading",IF(AND(E629&lt;&gt;"",IF(NOT(ISNUMBER(E629)),TRUE,OR(E629&lt;0,E629&gt;999999999,ROUND(E629,3)&lt;&gt;E629))),"Invalid previous reading",IF(IF(NOT(ISNUMBER(F629)),TRUE,OR(F629&lt;0,F629&gt;999999999,ROUND(F629,3)&lt;&gt;F629)),"Invalid last service",IF(AND(E629&lt;&gt;"",D629&lt;E629),"Decreased reading",IF(F629&gt;D629,"Last service above current","")))))))))))))</x:f>
      </x:c>
      <x:c r="L629" s="6" t="str">
        <x:f>IF(AND(NOT(COUNTA(A629:F629)=0),K629=""),INDEX('Rules'!$C$7:$C$26,MATCH(SUBSTITUTE(SUBSTITUTE(SUBSTITUTE(SUBSTITUTE("type:"&amp;B629,"%","%25"),"~","%7E"),"*","%2A"),"?","%3F"),'Rules'!$G$7:$G$26,0)),"")</x:f>
      </x:c>
      <x:c r="M629" s="6" t="str">
        <x:f>IF(AND(NOT(COUNTA(A629:F629)=0),K629=""),INDEX('Rules'!$D$7:$D$26,MATCH(SUBSTITUTE(SUBSTITUTE(SUBSTITUTE(SUBSTITUTE("type:"&amp;B629,"%","%25"),"~","%7E"),"*","%2A"),"?","%3F"),'Rules'!$G$7:$G$26,0)),"")</x:f>
      </x:c>
      <x:c r="N629" s="5" t="str">
        <x:f>IF(COUNTA(A629:F629)=0,"",SUBSTITUTE(SUBSTITUTE(SUBSTITUTE(SUBSTITUTE("id:"&amp;A629,"%","%25"),"~","%7E"),"*","%2A"),"?","%3F"))</x:f>
      </x:c>
    </x:row>
    <x:row r="630" ht="22" customHeight="1">
      <x:c r="A630" s="3"/>
      <x:c r="B630" s="3"/>
      <x:c r="C630" s="3"/>
      <x:c r="D630" s="4"/>
      <x:c r="E630" s="4"/>
      <x:c r="F630" s="4"/>
      <x:c r="G630" s="5" t="str">
        <x:f>IF(COUNTA(A630:F630)=0,"",IF(K630&lt;&gt;"","Review",IF(I630&lt;0,"Overdue",IF(I630=0,"Due now",IF(I630&lt;=M630,"Due soon","Not due")))))</x:f>
      </x:c>
      <x:c r="H630" s="5" t="str">
        <x:f>IF(OR(COUNTA(A630:F630)=0,COUNTIFS('Rules'!$G$7:$G$26,"="&amp;(SUBSTITUTE(SUBSTITUTE(SUBSTITUTE(SUBSTITUTE("type:"&amp;B630,"%","%25"),"~","%7E"),"*","%2A"),"?","%3F")))&lt;&gt;1),"",IF(OR(INDEX('Rules'!$B$7:$B$26,MATCH(SUBSTITUTE(SUBSTITUTE(SUBSTITUTE(SUBSTITUTE("type:"&amp;B630,"%","%25"),"~","%7E"),"*","%2A"),"?","%3F"),'Rules'!$G$7:$G$26,0))="hours",INDEX('Rules'!$B$7:$B$26,MATCH(SUBSTITUTE(SUBSTITUTE(SUBSTITUTE(SUBSTITUTE("type:"&amp;B630,"%","%25"),"~","%7E"),"*","%2A"),"?","%3F"),'Rules'!$G$7:$G$26,0))="km"),INDEX('Rules'!$B$7:$B$26,MATCH(SUBSTITUTE(SUBSTITUTE(SUBSTITUTE(SUBSTITUTE("type:"&amp;B630,"%","%25"),"~","%7E"),"*","%2A"),"?","%3F"),'Rules'!$G$7:$G$26,0)),""))</x:f>
      </x:c>
      <x:c r="I630" s="6" t="str">
        <x:f>IF(AND(NOT(COUNTA(A630:F630)=0),K630=""),ROUND(J630-D630,3),"")</x:f>
      </x:c>
      <x:c r="J630" s="6" t="str">
        <x:f>IF(AND(NOT(COUNTA(A630:F630)=0),K630=""),ROUND(F630+L630,3),"")</x:f>
      </x:c>
      <x:c r="K630" s="5" t="str">
        <x:f>IF(COUNTA(A630:F630)=0,"",IF(A630="","Missing equipment ID",IF(COUNTIFS($N$8:$N$2007,"="&amp;N630)&gt;1,"Duplicate equipment ID",IF(B630="","Missing type",IF(COUNTIFS('Rules'!$G$7:$G$26,"="&amp;(SUBSTITUTE(SUBSTITUTE(SUBSTITUTE(SUBSTITUTE("type:"&amp;B630,"%","%25"),"~","%7E"),"*","%2A"),"?","%3F")))=0,"Unknown type",IF(COUNTIFS('Rules'!$G$7:$G$26,"="&amp;(SUBSTITUTE(SUBSTITUTE(SUBSTITUTE(SUBSTITUTE("type:"&amp;B630,"%","%25"),"~","%7E"),"*","%2A"),"?","%3F")))&gt;1,"Duplicate type",IF(INDEX('Rules'!$F$7:$F$26,MATCH(SUBSTITUTE(SUBSTITUTE(SUBSTITUTE(SUBSTITUTE("type:"&amp;B630,"%","%25"),"~","%7E"),"*","%2A"),"?","%3F"),'Rules'!$G$7:$G$26,0))&lt;&gt;"",INDEX('Rules'!$F$7:$F$26,MATCH(SUBSTITUTE(SUBSTITUTE(SUBSTITUTE(SUBSTITUTE("type:"&amp;B630,"%","%25"),"~","%7E"),"*","%2A"),"?","%3F"),'Rules'!$G$7:$G$26,0)),IF(AND(C630&lt;&gt;"",C630&lt;&gt;INDEX('Rules'!$B$7:$B$26,MATCH(SUBSTITUTE(SUBSTITUTE(SUBSTITUTE(SUBSTITUTE("type:"&amp;B630,"%","%25"),"~","%7E"),"*","%2A"),"?","%3F"),'Rules'!$G$7:$G$26,0))),"Unit mismatch",IF(IF(NOT(ISNUMBER(D630)),TRUE,OR(D630&lt;0,D630&gt;999999999,ROUND(D630,3)&lt;&gt;D630)),"Invalid current reading",IF(AND(E630&lt;&gt;"",IF(NOT(ISNUMBER(E630)),TRUE,OR(E630&lt;0,E630&gt;999999999,ROUND(E630,3)&lt;&gt;E630))),"Invalid previous reading",IF(IF(NOT(ISNUMBER(F630)),TRUE,OR(F630&lt;0,F630&gt;999999999,ROUND(F630,3)&lt;&gt;F630)),"Invalid last service",IF(AND(E630&lt;&gt;"",D630&lt;E630),"Decreased reading",IF(F630&gt;D630,"Last service above current","")))))))))))))</x:f>
      </x:c>
      <x:c r="L630" s="6" t="str">
        <x:f>IF(AND(NOT(COUNTA(A630:F630)=0),K630=""),INDEX('Rules'!$C$7:$C$26,MATCH(SUBSTITUTE(SUBSTITUTE(SUBSTITUTE(SUBSTITUTE("type:"&amp;B630,"%","%25"),"~","%7E"),"*","%2A"),"?","%3F"),'Rules'!$G$7:$G$26,0)),"")</x:f>
      </x:c>
      <x:c r="M630" s="6" t="str">
        <x:f>IF(AND(NOT(COUNTA(A630:F630)=0),K630=""),INDEX('Rules'!$D$7:$D$26,MATCH(SUBSTITUTE(SUBSTITUTE(SUBSTITUTE(SUBSTITUTE("type:"&amp;B630,"%","%25"),"~","%7E"),"*","%2A"),"?","%3F"),'Rules'!$G$7:$G$26,0)),"")</x:f>
      </x:c>
      <x:c r="N630" s="5" t="str">
        <x:f>IF(COUNTA(A630:F630)=0,"",SUBSTITUTE(SUBSTITUTE(SUBSTITUTE(SUBSTITUTE("id:"&amp;A630,"%","%25"),"~","%7E"),"*","%2A"),"?","%3F"))</x:f>
      </x:c>
    </x:row>
    <x:row r="631" ht="22" customHeight="1">
      <x:c r="A631" s="3"/>
      <x:c r="B631" s="3"/>
      <x:c r="C631" s="3"/>
      <x:c r="D631" s="4"/>
      <x:c r="E631" s="4"/>
      <x:c r="F631" s="4"/>
      <x:c r="G631" s="5" t="str">
        <x:f>IF(COUNTA(A631:F631)=0,"",IF(K631&lt;&gt;"","Review",IF(I631&lt;0,"Overdue",IF(I631=0,"Due now",IF(I631&lt;=M631,"Due soon","Not due")))))</x:f>
      </x:c>
      <x:c r="H631" s="5" t="str">
        <x:f>IF(OR(COUNTA(A631:F631)=0,COUNTIFS('Rules'!$G$7:$G$26,"="&amp;(SUBSTITUTE(SUBSTITUTE(SUBSTITUTE(SUBSTITUTE("type:"&amp;B631,"%","%25"),"~","%7E"),"*","%2A"),"?","%3F")))&lt;&gt;1),"",IF(OR(INDEX('Rules'!$B$7:$B$26,MATCH(SUBSTITUTE(SUBSTITUTE(SUBSTITUTE(SUBSTITUTE("type:"&amp;B631,"%","%25"),"~","%7E"),"*","%2A"),"?","%3F"),'Rules'!$G$7:$G$26,0))="hours",INDEX('Rules'!$B$7:$B$26,MATCH(SUBSTITUTE(SUBSTITUTE(SUBSTITUTE(SUBSTITUTE("type:"&amp;B631,"%","%25"),"~","%7E"),"*","%2A"),"?","%3F"),'Rules'!$G$7:$G$26,0))="km"),INDEX('Rules'!$B$7:$B$26,MATCH(SUBSTITUTE(SUBSTITUTE(SUBSTITUTE(SUBSTITUTE("type:"&amp;B631,"%","%25"),"~","%7E"),"*","%2A"),"?","%3F"),'Rules'!$G$7:$G$26,0)),""))</x:f>
      </x:c>
      <x:c r="I631" s="6" t="str">
        <x:f>IF(AND(NOT(COUNTA(A631:F631)=0),K631=""),ROUND(J631-D631,3),"")</x:f>
      </x:c>
      <x:c r="J631" s="6" t="str">
        <x:f>IF(AND(NOT(COUNTA(A631:F631)=0),K631=""),ROUND(F631+L631,3),"")</x:f>
      </x:c>
      <x:c r="K631" s="5" t="str">
        <x:f>IF(COUNTA(A631:F631)=0,"",IF(A631="","Missing equipment ID",IF(COUNTIFS($N$8:$N$2007,"="&amp;N631)&gt;1,"Duplicate equipment ID",IF(B631="","Missing type",IF(COUNTIFS('Rules'!$G$7:$G$26,"="&amp;(SUBSTITUTE(SUBSTITUTE(SUBSTITUTE(SUBSTITUTE("type:"&amp;B631,"%","%25"),"~","%7E"),"*","%2A"),"?","%3F")))=0,"Unknown type",IF(COUNTIFS('Rules'!$G$7:$G$26,"="&amp;(SUBSTITUTE(SUBSTITUTE(SUBSTITUTE(SUBSTITUTE("type:"&amp;B631,"%","%25"),"~","%7E"),"*","%2A"),"?","%3F")))&gt;1,"Duplicate type",IF(INDEX('Rules'!$F$7:$F$26,MATCH(SUBSTITUTE(SUBSTITUTE(SUBSTITUTE(SUBSTITUTE("type:"&amp;B631,"%","%25"),"~","%7E"),"*","%2A"),"?","%3F"),'Rules'!$G$7:$G$26,0))&lt;&gt;"",INDEX('Rules'!$F$7:$F$26,MATCH(SUBSTITUTE(SUBSTITUTE(SUBSTITUTE(SUBSTITUTE("type:"&amp;B631,"%","%25"),"~","%7E"),"*","%2A"),"?","%3F"),'Rules'!$G$7:$G$26,0)),IF(AND(C631&lt;&gt;"",C631&lt;&gt;INDEX('Rules'!$B$7:$B$26,MATCH(SUBSTITUTE(SUBSTITUTE(SUBSTITUTE(SUBSTITUTE("type:"&amp;B631,"%","%25"),"~","%7E"),"*","%2A"),"?","%3F"),'Rules'!$G$7:$G$26,0))),"Unit mismatch",IF(IF(NOT(ISNUMBER(D631)),TRUE,OR(D631&lt;0,D631&gt;999999999,ROUND(D631,3)&lt;&gt;D631)),"Invalid current reading",IF(AND(E631&lt;&gt;"",IF(NOT(ISNUMBER(E631)),TRUE,OR(E631&lt;0,E631&gt;999999999,ROUND(E631,3)&lt;&gt;E631))),"Invalid previous reading",IF(IF(NOT(ISNUMBER(F631)),TRUE,OR(F631&lt;0,F631&gt;999999999,ROUND(F631,3)&lt;&gt;F631)),"Invalid last service",IF(AND(E631&lt;&gt;"",D631&lt;E631),"Decreased reading",IF(F631&gt;D631,"Last service above current","")))))))))))))</x:f>
      </x:c>
      <x:c r="L631" s="6" t="str">
        <x:f>IF(AND(NOT(COUNTA(A631:F631)=0),K631=""),INDEX('Rules'!$C$7:$C$26,MATCH(SUBSTITUTE(SUBSTITUTE(SUBSTITUTE(SUBSTITUTE("type:"&amp;B631,"%","%25"),"~","%7E"),"*","%2A"),"?","%3F"),'Rules'!$G$7:$G$26,0)),"")</x:f>
      </x:c>
      <x:c r="M631" s="6" t="str">
        <x:f>IF(AND(NOT(COUNTA(A631:F631)=0),K631=""),INDEX('Rules'!$D$7:$D$26,MATCH(SUBSTITUTE(SUBSTITUTE(SUBSTITUTE(SUBSTITUTE("type:"&amp;B631,"%","%25"),"~","%7E"),"*","%2A"),"?","%3F"),'Rules'!$G$7:$G$26,0)),"")</x:f>
      </x:c>
      <x:c r="N631" s="5" t="str">
        <x:f>IF(COUNTA(A631:F631)=0,"",SUBSTITUTE(SUBSTITUTE(SUBSTITUTE(SUBSTITUTE("id:"&amp;A631,"%","%25"),"~","%7E"),"*","%2A"),"?","%3F"))</x:f>
      </x:c>
    </x:row>
    <x:row r="632" ht="22" customHeight="1">
      <x:c r="A632" s="3"/>
      <x:c r="B632" s="3"/>
      <x:c r="C632" s="3"/>
      <x:c r="D632" s="4"/>
      <x:c r="E632" s="4"/>
      <x:c r="F632" s="4"/>
      <x:c r="G632" s="5" t="str">
        <x:f>IF(COUNTA(A632:F632)=0,"",IF(K632&lt;&gt;"","Review",IF(I632&lt;0,"Overdue",IF(I632=0,"Due now",IF(I632&lt;=M632,"Due soon","Not due")))))</x:f>
      </x:c>
      <x:c r="H632" s="5" t="str">
        <x:f>IF(OR(COUNTA(A632:F632)=0,COUNTIFS('Rules'!$G$7:$G$26,"="&amp;(SUBSTITUTE(SUBSTITUTE(SUBSTITUTE(SUBSTITUTE("type:"&amp;B632,"%","%25"),"~","%7E"),"*","%2A"),"?","%3F")))&lt;&gt;1),"",IF(OR(INDEX('Rules'!$B$7:$B$26,MATCH(SUBSTITUTE(SUBSTITUTE(SUBSTITUTE(SUBSTITUTE("type:"&amp;B632,"%","%25"),"~","%7E"),"*","%2A"),"?","%3F"),'Rules'!$G$7:$G$26,0))="hours",INDEX('Rules'!$B$7:$B$26,MATCH(SUBSTITUTE(SUBSTITUTE(SUBSTITUTE(SUBSTITUTE("type:"&amp;B632,"%","%25"),"~","%7E"),"*","%2A"),"?","%3F"),'Rules'!$G$7:$G$26,0))="km"),INDEX('Rules'!$B$7:$B$26,MATCH(SUBSTITUTE(SUBSTITUTE(SUBSTITUTE(SUBSTITUTE("type:"&amp;B632,"%","%25"),"~","%7E"),"*","%2A"),"?","%3F"),'Rules'!$G$7:$G$26,0)),""))</x:f>
      </x:c>
      <x:c r="I632" s="6" t="str">
        <x:f>IF(AND(NOT(COUNTA(A632:F632)=0),K632=""),ROUND(J632-D632,3),"")</x:f>
      </x:c>
      <x:c r="J632" s="6" t="str">
        <x:f>IF(AND(NOT(COUNTA(A632:F632)=0),K632=""),ROUND(F632+L632,3),"")</x:f>
      </x:c>
      <x:c r="K632" s="5" t="str">
        <x:f>IF(COUNTA(A632:F632)=0,"",IF(A632="","Missing equipment ID",IF(COUNTIFS($N$8:$N$2007,"="&amp;N632)&gt;1,"Duplicate equipment ID",IF(B632="","Missing type",IF(COUNTIFS('Rules'!$G$7:$G$26,"="&amp;(SUBSTITUTE(SUBSTITUTE(SUBSTITUTE(SUBSTITUTE("type:"&amp;B632,"%","%25"),"~","%7E"),"*","%2A"),"?","%3F")))=0,"Unknown type",IF(COUNTIFS('Rules'!$G$7:$G$26,"="&amp;(SUBSTITUTE(SUBSTITUTE(SUBSTITUTE(SUBSTITUTE("type:"&amp;B632,"%","%25"),"~","%7E"),"*","%2A"),"?","%3F")))&gt;1,"Duplicate type",IF(INDEX('Rules'!$F$7:$F$26,MATCH(SUBSTITUTE(SUBSTITUTE(SUBSTITUTE(SUBSTITUTE("type:"&amp;B632,"%","%25"),"~","%7E"),"*","%2A"),"?","%3F"),'Rules'!$G$7:$G$26,0))&lt;&gt;"",INDEX('Rules'!$F$7:$F$26,MATCH(SUBSTITUTE(SUBSTITUTE(SUBSTITUTE(SUBSTITUTE("type:"&amp;B632,"%","%25"),"~","%7E"),"*","%2A"),"?","%3F"),'Rules'!$G$7:$G$26,0)),IF(AND(C632&lt;&gt;"",C632&lt;&gt;INDEX('Rules'!$B$7:$B$26,MATCH(SUBSTITUTE(SUBSTITUTE(SUBSTITUTE(SUBSTITUTE("type:"&amp;B632,"%","%25"),"~","%7E"),"*","%2A"),"?","%3F"),'Rules'!$G$7:$G$26,0))),"Unit mismatch",IF(IF(NOT(ISNUMBER(D632)),TRUE,OR(D632&lt;0,D632&gt;999999999,ROUND(D632,3)&lt;&gt;D632)),"Invalid current reading",IF(AND(E632&lt;&gt;"",IF(NOT(ISNUMBER(E632)),TRUE,OR(E632&lt;0,E632&gt;999999999,ROUND(E632,3)&lt;&gt;E632))),"Invalid previous reading",IF(IF(NOT(ISNUMBER(F632)),TRUE,OR(F632&lt;0,F632&gt;999999999,ROUND(F632,3)&lt;&gt;F632)),"Invalid last service",IF(AND(E632&lt;&gt;"",D632&lt;E632),"Decreased reading",IF(F632&gt;D632,"Last service above current","")))))))))))))</x:f>
      </x:c>
      <x:c r="L632" s="6" t="str">
        <x:f>IF(AND(NOT(COUNTA(A632:F632)=0),K632=""),INDEX('Rules'!$C$7:$C$26,MATCH(SUBSTITUTE(SUBSTITUTE(SUBSTITUTE(SUBSTITUTE("type:"&amp;B632,"%","%25"),"~","%7E"),"*","%2A"),"?","%3F"),'Rules'!$G$7:$G$26,0)),"")</x:f>
      </x:c>
      <x:c r="M632" s="6" t="str">
        <x:f>IF(AND(NOT(COUNTA(A632:F632)=0),K632=""),INDEX('Rules'!$D$7:$D$26,MATCH(SUBSTITUTE(SUBSTITUTE(SUBSTITUTE(SUBSTITUTE("type:"&amp;B632,"%","%25"),"~","%7E"),"*","%2A"),"?","%3F"),'Rules'!$G$7:$G$26,0)),"")</x:f>
      </x:c>
      <x:c r="N632" s="5" t="str">
        <x:f>IF(COUNTA(A632:F632)=0,"",SUBSTITUTE(SUBSTITUTE(SUBSTITUTE(SUBSTITUTE("id:"&amp;A632,"%","%25"),"~","%7E"),"*","%2A"),"?","%3F"))</x:f>
      </x:c>
    </x:row>
    <x:row r="633" ht="22" customHeight="1">
      <x:c r="A633" s="3"/>
      <x:c r="B633" s="3"/>
      <x:c r="C633" s="3"/>
      <x:c r="D633" s="4"/>
      <x:c r="E633" s="4"/>
      <x:c r="F633" s="4"/>
      <x:c r="G633" s="5" t="str">
        <x:f>IF(COUNTA(A633:F633)=0,"",IF(K633&lt;&gt;"","Review",IF(I633&lt;0,"Overdue",IF(I633=0,"Due now",IF(I633&lt;=M633,"Due soon","Not due")))))</x:f>
      </x:c>
      <x:c r="H633" s="5" t="str">
        <x:f>IF(OR(COUNTA(A633:F633)=0,COUNTIFS('Rules'!$G$7:$G$26,"="&amp;(SUBSTITUTE(SUBSTITUTE(SUBSTITUTE(SUBSTITUTE("type:"&amp;B633,"%","%25"),"~","%7E"),"*","%2A"),"?","%3F")))&lt;&gt;1),"",IF(OR(INDEX('Rules'!$B$7:$B$26,MATCH(SUBSTITUTE(SUBSTITUTE(SUBSTITUTE(SUBSTITUTE("type:"&amp;B633,"%","%25"),"~","%7E"),"*","%2A"),"?","%3F"),'Rules'!$G$7:$G$26,0))="hours",INDEX('Rules'!$B$7:$B$26,MATCH(SUBSTITUTE(SUBSTITUTE(SUBSTITUTE(SUBSTITUTE("type:"&amp;B633,"%","%25"),"~","%7E"),"*","%2A"),"?","%3F"),'Rules'!$G$7:$G$26,0))="km"),INDEX('Rules'!$B$7:$B$26,MATCH(SUBSTITUTE(SUBSTITUTE(SUBSTITUTE(SUBSTITUTE("type:"&amp;B633,"%","%25"),"~","%7E"),"*","%2A"),"?","%3F"),'Rules'!$G$7:$G$26,0)),""))</x:f>
      </x:c>
      <x:c r="I633" s="6" t="str">
        <x:f>IF(AND(NOT(COUNTA(A633:F633)=0),K633=""),ROUND(J633-D633,3),"")</x:f>
      </x:c>
      <x:c r="J633" s="6" t="str">
        <x:f>IF(AND(NOT(COUNTA(A633:F633)=0),K633=""),ROUND(F633+L633,3),"")</x:f>
      </x:c>
      <x:c r="K633" s="5" t="str">
        <x:f>IF(COUNTA(A633:F633)=0,"",IF(A633="","Missing equipment ID",IF(COUNTIFS($N$8:$N$2007,"="&amp;N633)&gt;1,"Duplicate equipment ID",IF(B633="","Missing type",IF(COUNTIFS('Rules'!$G$7:$G$26,"="&amp;(SUBSTITUTE(SUBSTITUTE(SUBSTITUTE(SUBSTITUTE("type:"&amp;B633,"%","%25"),"~","%7E"),"*","%2A"),"?","%3F")))=0,"Unknown type",IF(COUNTIFS('Rules'!$G$7:$G$26,"="&amp;(SUBSTITUTE(SUBSTITUTE(SUBSTITUTE(SUBSTITUTE("type:"&amp;B633,"%","%25"),"~","%7E"),"*","%2A"),"?","%3F")))&gt;1,"Duplicate type",IF(INDEX('Rules'!$F$7:$F$26,MATCH(SUBSTITUTE(SUBSTITUTE(SUBSTITUTE(SUBSTITUTE("type:"&amp;B633,"%","%25"),"~","%7E"),"*","%2A"),"?","%3F"),'Rules'!$G$7:$G$26,0))&lt;&gt;"",INDEX('Rules'!$F$7:$F$26,MATCH(SUBSTITUTE(SUBSTITUTE(SUBSTITUTE(SUBSTITUTE("type:"&amp;B633,"%","%25"),"~","%7E"),"*","%2A"),"?","%3F"),'Rules'!$G$7:$G$26,0)),IF(AND(C633&lt;&gt;"",C633&lt;&gt;INDEX('Rules'!$B$7:$B$26,MATCH(SUBSTITUTE(SUBSTITUTE(SUBSTITUTE(SUBSTITUTE("type:"&amp;B633,"%","%25"),"~","%7E"),"*","%2A"),"?","%3F"),'Rules'!$G$7:$G$26,0))),"Unit mismatch",IF(IF(NOT(ISNUMBER(D633)),TRUE,OR(D633&lt;0,D633&gt;999999999,ROUND(D633,3)&lt;&gt;D633)),"Invalid current reading",IF(AND(E633&lt;&gt;"",IF(NOT(ISNUMBER(E633)),TRUE,OR(E633&lt;0,E633&gt;999999999,ROUND(E633,3)&lt;&gt;E633))),"Invalid previous reading",IF(IF(NOT(ISNUMBER(F633)),TRUE,OR(F633&lt;0,F633&gt;999999999,ROUND(F633,3)&lt;&gt;F633)),"Invalid last service",IF(AND(E633&lt;&gt;"",D633&lt;E633),"Decreased reading",IF(F633&gt;D633,"Last service above current","")))))))))))))</x:f>
      </x:c>
      <x:c r="L633" s="6" t="str">
        <x:f>IF(AND(NOT(COUNTA(A633:F633)=0),K633=""),INDEX('Rules'!$C$7:$C$26,MATCH(SUBSTITUTE(SUBSTITUTE(SUBSTITUTE(SUBSTITUTE("type:"&amp;B633,"%","%25"),"~","%7E"),"*","%2A"),"?","%3F"),'Rules'!$G$7:$G$26,0)),"")</x:f>
      </x:c>
      <x:c r="M633" s="6" t="str">
        <x:f>IF(AND(NOT(COUNTA(A633:F633)=0),K633=""),INDEX('Rules'!$D$7:$D$26,MATCH(SUBSTITUTE(SUBSTITUTE(SUBSTITUTE(SUBSTITUTE("type:"&amp;B633,"%","%25"),"~","%7E"),"*","%2A"),"?","%3F"),'Rules'!$G$7:$G$26,0)),"")</x:f>
      </x:c>
      <x:c r="N633" s="5" t="str">
        <x:f>IF(COUNTA(A633:F633)=0,"",SUBSTITUTE(SUBSTITUTE(SUBSTITUTE(SUBSTITUTE("id:"&amp;A633,"%","%25"),"~","%7E"),"*","%2A"),"?","%3F"))</x:f>
      </x:c>
    </x:row>
    <x:row r="634" ht="22" customHeight="1">
      <x:c r="A634" s="3"/>
      <x:c r="B634" s="3"/>
      <x:c r="C634" s="3"/>
      <x:c r="D634" s="4"/>
      <x:c r="E634" s="4"/>
      <x:c r="F634" s="4"/>
      <x:c r="G634" s="5" t="str">
        <x:f>IF(COUNTA(A634:F634)=0,"",IF(K634&lt;&gt;"","Review",IF(I634&lt;0,"Overdue",IF(I634=0,"Due now",IF(I634&lt;=M634,"Due soon","Not due")))))</x:f>
      </x:c>
      <x:c r="H634" s="5" t="str">
        <x:f>IF(OR(COUNTA(A634:F634)=0,COUNTIFS('Rules'!$G$7:$G$26,"="&amp;(SUBSTITUTE(SUBSTITUTE(SUBSTITUTE(SUBSTITUTE("type:"&amp;B634,"%","%25"),"~","%7E"),"*","%2A"),"?","%3F")))&lt;&gt;1),"",IF(OR(INDEX('Rules'!$B$7:$B$26,MATCH(SUBSTITUTE(SUBSTITUTE(SUBSTITUTE(SUBSTITUTE("type:"&amp;B634,"%","%25"),"~","%7E"),"*","%2A"),"?","%3F"),'Rules'!$G$7:$G$26,0))="hours",INDEX('Rules'!$B$7:$B$26,MATCH(SUBSTITUTE(SUBSTITUTE(SUBSTITUTE(SUBSTITUTE("type:"&amp;B634,"%","%25"),"~","%7E"),"*","%2A"),"?","%3F"),'Rules'!$G$7:$G$26,0))="km"),INDEX('Rules'!$B$7:$B$26,MATCH(SUBSTITUTE(SUBSTITUTE(SUBSTITUTE(SUBSTITUTE("type:"&amp;B634,"%","%25"),"~","%7E"),"*","%2A"),"?","%3F"),'Rules'!$G$7:$G$26,0)),""))</x:f>
      </x:c>
      <x:c r="I634" s="6" t="str">
        <x:f>IF(AND(NOT(COUNTA(A634:F634)=0),K634=""),ROUND(J634-D634,3),"")</x:f>
      </x:c>
      <x:c r="J634" s="6" t="str">
        <x:f>IF(AND(NOT(COUNTA(A634:F634)=0),K634=""),ROUND(F634+L634,3),"")</x:f>
      </x:c>
      <x:c r="K634" s="5" t="str">
        <x:f>IF(COUNTA(A634:F634)=0,"",IF(A634="","Missing equipment ID",IF(COUNTIFS($N$8:$N$2007,"="&amp;N634)&gt;1,"Duplicate equipment ID",IF(B634="","Missing type",IF(COUNTIFS('Rules'!$G$7:$G$26,"="&amp;(SUBSTITUTE(SUBSTITUTE(SUBSTITUTE(SUBSTITUTE("type:"&amp;B634,"%","%25"),"~","%7E"),"*","%2A"),"?","%3F")))=0,"Unknown type",IF(COUNTIFS('Rules'!$G$7:$G$26,"="&amp;(SUBSTITUTE(SUBSTITUTE(SUBSTITUTE(SUBSTITUTE("type:"&amp;B634,"%","%25"),"~","%7E"),"*","%2A"),"?","%3F")))&gt;1,"Duplicate type",IF(INDEX('Rules'!$F$7:$F$26,MATCH(SUBSTITUTE(SUBSTITUTE(SUBSTITUTE(SUBSTITUTE("type:"&amp;B634,"%","%25"),"~","%7E"),"*","%2A"),"?","%3F"),'Rules'!$G$7:$G$26,0))&lt;&gt;"",INDEX('Rules'!$F$7:$F$26,MATCH(SUBSTITUTE(SUBSTITUTE(SUBSTITUTE(SUBSTITUTE("type:"&amp;B634,"%","%25"),"~","%7E"),"*","%2A"),"?","%3F"),'Rules'!$G$7:$G$26,0)),IF(AND(C634&lt;&gt;"",C634&lt;&gt;INDEX('Rules'!$B$7:$B$26,MATCH(SUBSTITUTE(SUBSTITUTE(SUBSTITUTE(SUBSTITUTE("type:"&amp;B634,"%","%25"),"~","%7E"),"*","%2A"),"?","%3F"),'Rules'!$G$7:$G$26,0))),"Unit mismatch",IF(IF(NOT(ISNUMBER(D634)),TRUE,OR(D634&lt;0,D634&gt;999999999,ROUND(D634,3)&lt;&gt;D634)),"Invalid current reading",IF(AND(E634&lt;&gt;"",IF(NOT(ISNUMBER(E634)),TRUE,OR(E634&lt;0,E634&gt;999999999,ROUND(E634,3)&lt;&gt;E634))),"Invalid previous reading",IF(IF(NOT(ISNUMBER(F634)),TRUE,OR(F634&lt;0,F634&gt;999999999,ROUND(F634,3)&lt;&gt;F634)),"Invalid last service",IF(AND(E634&lt;&gt;"",D634&lt;E634),"Decreased reading",IF(F634&gt;D634,"Last service above current","")))))))))))))</x:f>
      </x:c>
      <x:c r="L634" s="6" t="str">
        <x:f>IF(AND(NOT(COUNTA(A634:F634)=0),K634=""),INDEX('Rules'!$C$7:$C$26,MATCH(SUBSTITUTE(SUBSTITUTE(SUBSTITUTE(SUBSTITUTE("type:"&amp;B634,"%","%25"),"~","%7E"),"*","%2A"),"?","%3F"),'Rules'!$G$7:$G$26,0)),"")</x:f>
      </x:c>
      <x:c r="M634" s="6" t="str">
        <x:f>IF(AND(NOT(COUNTA(A634:F634)=0),K634=""),INDEX('Rules'!$D$7:$D$26,MATCH(SUBSTITUTE(SUBSTITUTE(SUBSTITUTE(SUBSTITUTE("type:"&amp;B634,"%","%25"),"~","%7E"),"*","%2A"),"?","%3F"),'Rules'!$G$7:$G$26,0)),"")</x:f>
      </x:c>
      <x:c r="N634" s="5" t="str">
        <x:f>IF(COUNTA(A634:F634)=0,"",SUBSTITUTE(SUBSTITUTE(SUBSTITUTE(SUBSTITUTE("id:"&amp;A634,"%","%25"),"~","%7E"),"*","%2A"),"?","%3F"))</x:f>
      </x:c>
    </x:row>
    <x:row r="635" ht="22" customHeight="1">
      <x:c r="A635" s="3"/>
      <x:c r="B635" s="3"/>
      <x:c r="C635" s="3"/>
      <x:c r="D635" s="4"/>
      <x:c r="E635" s="4"/>
      <x:c r="F635" s="4"/>
      <x:c r="G635" s="5" t="str">
        <x:f>IF(COUNTA(A635:F635)=0,"",IF(K635&lt;&gt;"","Review",IF(I635&lt;0,"Overdue",IF(I635=0,"Due now",IF(I635&lt;=M635,"Due soon","Not due")))))</x:f>
      </x:c>
      <x:c r="H635" s="5" t="str">
        <x:f>IF(OR(COUNTA(A635:F635)=0,COUNTIFS('Rules'!$G$7:$G$26,"="&amp;(SUBSTITUTE(SUBSTITUTE(SUBSTITUTE(SUBSTITUTE("type:"&amp;B635,"%","%25"),"~","%7E"),"*","%2A"),"?","%3F")))&lt;&gt;1),"",IF(OR(INDEX('Rules'!$B$7:$B$26,MATCH(SUBSTITUTE(SUBSTITUTE(SUBSTITUTE(SUBSTITUTE("type:"&amp;B635,"%","%25"),"~","%7E"),"*","%2A"),"?","%3F"),'Rules'!$G$7:$G$26,0))="hours",INDEX('Rules'!$B$7:$B$26,MATCH(SUBSTITUTE(SUBSTITUTE(SUBSTITUTE(SUBSTITUTE("type:"&amp;B635,"%","%25"),"~","%7E"),"*","%2A"),"?","%3F"),'Rules'!$G$7:$G$26,0))="km"),INDEX('Rules'!$B$7:$B$26,MATCH(SUBSTITUTE(SUBSTITUTE(SUBSTITUTE(SUBSTITUTE("type:"&amp;B635,"%","%25"),"~","%7E"),"*","%2A"),"?","%3F"),'Rules'!$G$7:$G$26,0)),""))</x:f>
      </x:c>
      <x:c r="I635" s="6" t="str">
        <x:f>IF(AND(NOT(COUNTA(A635:F635)=0),K635=""),ROUND(J635-D635,3),"")</x:f>
      </x:c>
      <x:c r="J635" s="6" t="str">
        <x:f>IF(AND(NOT(COUNTA(A635:F635)=0),K635=""),ROUND(F635+L635,3),"")</x:f>
      </x:c>
      <x:c r="K635" s="5" t="str">
        <x:f>IF(COUNTA(A635:F635)=0,"",IF(A635="","Missing equipment ID",IF(COUNTIFS($N$8:$N$2007,"="&amp;N635)&gt;1,"Duplicate equipment ID",IF(B635="","Missing type",IF(COUNTIFS('Rules'!$G$7:$G$26,"="&amp;(SUBSTITUTE(SUBSTITUTE(SUBSTITUTE(SUBSTITUTE("type:"&amp;B635,"%","%25"),"~","%7E"),"*","%2A"),"?","%3F")))=0,"Unknown type",IF(COUNTIFS('Rules'!$G$7:$G$26,"="&amp;(SUBSTITUTE(SUBSTITUTE(SUBSTITUTE(SUBSTITUTE("type:"&amp;B635,"%","%25"),"~","%7E"),"*","%2A"),"?","%3F")))&gt;1,"Duplicate type",IF(INDEX('Rules'!$F$7:$F$26,MATCH(SUBSTITUTE(SUBSTITUTE(SUBSTITUTE(SUBSTITUTE("type:"&amp;B635,"%","%25"),"~","%7E"),"*","%2A"),"?","%3F"),'Rules'!$G$7:$G$26,0))&lt;&gt;"",INDEX('Rules'!$F$7:$F$26,MATCH(SUBSTITUTE(SUBSTITUTE(SUBSTITUTE(SUBSTITUTE("type:"&amp;B635,"%","%25"),"~","%7E"),"*","%2A"),"?","%3F"),'Rules'!$G$7:$G$26,0)),IF(AND(C635&lt;&gt;"",C635&lt;&gt;INDEX('Rules'!$B$7:$B$26,MATCH(SUBSTITUTE(SUBSTITUTE(SUBSTITUTE(SUBSTITUTE("type:"&amp;B635,"%","%25"),"~","%7E"),"*","%2A"),"?","%3F"),'Rules'!$G$7:$G$26,0))),"Unit mismatch",IF(IF(NOT(ISNUMBER(D635)),TRUE,OR(D635&lt;0,D635&gt;999999999,ROUND(D635,3)&lt;&gt;D635)),"Invalid current reading",IF(AND(E635&lt;&gt;"",IF(NOT(ISNUMBER(E635)),TRUE,OR(E635&lt;0,E635&gt;999999999,ROUND(E635,3)&lt;&gt;E635))),"Invalid previous reading",IF(IF(NOT(ISNUMBER(F635)),TRUE,OR(F635&lt;0,F635&gt;999999999,ROUND(F635,3)&lt;&gt;F635)),"Invalid last service",IF(AND(E635&lt;&gt;"",D635&lt;E635),"Decreased reading",IF(F635&gt;D635,"Last service above current","")))))))))))))</x:f>
      </x:c>
      <x:c r="L635" s="6" t="str">
        <x:f>IF(AND(NOT(COUNTA(A635:F635)=0),K635=""),INDEX('Rules'!$C$7:$C$26,MATCH(SUBSTITUTE(SUBSTITUTE(SUBSTITUTE(SUBSTITUTE("type:"&amp;B635,"%","%25"),"~","%7E"),"*","%2A"),"?","%3F"),'Rules'!$G$7:$G$26,0)),"")</x:f>
      </x:c>
      <x:c r="M635" s="6" t="str">
        <x:f>IF(AND(NOT(COUNTA(A635:F635)=0),K635=""),INDEX('Rules'!$D$7:$D$26,MATCH(SUBSTITUTE(SUBSTITUTE(SUBSTITUTE(SUBSTITUTE("type:"&amp;B635,"%","%25"),"~","%7E"),"*","%2A"),"?","%3F"),'Rules'!$G$7:$G$26,0)),"")</x:f>
      </x:c>
      <x:c r="N635" s="5" t="str">
        <x:f>IF(COUNTA(A635:F635)=0,"",SUBSTITUTE(SUBSTITUTE(SUBSTITUTE(SUBSTITUTE("id:"&amp;A635,"%","%25"),"~","%7E"),"*","%2A"),"?","%3F"))</x:f>
      </x:c>
    </x:row>
    <x:row r="636" ht="22" customHeight="1">
      <x:c r="A636" s="3"/>
      <x:c r="B636" s="3"/>
      <x:c r="C636" s="3"/>
      <x:c r="D636" s="4"/>
      <x:c r="E636" s="4"/>
      <x:c r="F636" s="4"/>
      <x:c r="G636" s="5" t="str">
        <x:f>IF(COUNTA(A636:F636)=0,"",IF(K636&lt;&gt;"","Review",IF(I636&lt;0,"Overdue",IF(I636=0,"Due now",IF(I636&lt;=M636,"Due soon","Not due")))))</x:f>
      </x:c>
      <x:c r="H636" s="5" t="str">
        <x:f>IF(OR(COUNTA(A636:F636)=0,COUNTIFS('Rules'!$G$7:$G$26,"="&amp;(SUBSTITUTE(SUBSTITUTE(SUBSTITUTE(SUBSTITUTE("type:"&amp;B636,"%","%25"),"~","%7E"),"*","%2A"),"?","%3F")))&lt;&gt;1),"",IF(OR(INDEX('Rules'!$B$7:$B$26,MATCH(SUBSTITUTE(SUBSTITUTE(SUBSTITUTE(SUBSTITUTE("type:"&amp;B636,"%","%25"),"~","%7E"),"*","%2A"),"?","%3F"),'Rules'!$G$7:$G$26,0))="hours",INDEX('Rules'!$B$7:$B$26,MATCH(SUBSTITUTE(SUBSTITUTE(SUBSTITUTE(SUBSTITUTE("type:"&amp;B636,"%","%25"),"~","%7E"),"*","%2A"),"?","%3F"),'Rules'!$G$7:$G$26,0))="km"),INDEX('Rules'!$B$7:$B$26,MATCH(SUBSTITUTE(SUBSTITUTE(SUBSTITUTE(SUBSTITUTE("type:"&amp;B636,"%","%25"),"~","%7E"),"*","%2A"),"?","%3F"),'Rules'!$G$7:$G$26,0)),""))</x:f>
      </x:c>
      <x:c r="I636" s="6" t="str">
        <x:f>IF(AND(NOT(COUNTA(A636:F636)=0),K636=""),ROUND(J636-D636,3),"")</x:f>
      </x:c>
      <x:c r="J636" s="6" t="str">
        <x:f>IF(AND(NOT(COUNTA(A636:F636)=0),K636=""),ROUND(F636+L636,3),"")</x:f>
      </x:c>
      <x:c r="K636" s="5" t="str">
        <x:f>IF(COUNTA(A636:F636)=0,"",IF(A636="","Missing equipment ID",IF(COUNTIFS($N$8:$N$2007,"="&amp;N636)&gt;1,"Duplicate equipment ID",IF(B636="","Missing type",IF(COUNTIFS('Rules'!$G$7:$G$26,"="&amp;(SUBSTITUTE(SUBSTITUTE(SUBSTITUTE(SUBSTITUTE("type:"&amp;B636,"%","%25"),"~","%7E"),"*","%2A"),"?","%3F")))=0,"Unknown type",IF(COUNTIFS('Rules'!$G$7:$G$26,"="&amp;(SUBSTITUTE(SUBSTITUTE(SUBSTITUTE(SUBSTITUTE("type:"&amp;B636,"%","%25"),"~","%7E"),"*","%2A"),"?","%3F")))&gt;1,"Duplicate type",IF(INDEX('Rules'!$F$7:$F$26,MATCH(SUBSTITUTE(SUBSTITUTE(SUBSTITUTE(SUBSTITUTE("type:"&amp;B636,"%","%25"),"~","%7E"),"*","%2A"),"?","%3F"),'Rules'!$G$7:$G$26,0))&lt;&gt;"",INDEX('Rules'!$F$7:$F$26,MATCH(SUBSTITUTE(SUBSTITUTE(SUBSTITUTE(SUBSTITUTE("type:"&amp;B636,"%","%25"),"~","%7E"),"*","%2A"),"?","%3F"),'Rules'!$G$7:$G$26,0)),IF(AND(C636&lt;&gt;"",C636&lt;&gt;INDEX('Rules'!$B$7:$B$26,MATCH(SUBSTITUTE(SUBSTITUTE(SUBSTITUTE(SUBSTITUTE("type:"&amp;B636,"%","%25"),"~","%7E"),"*","%2A"),"?","%3F"),'Rules'!$G$7:$G$26,0))),"Unit mismatch",IF(IF(NOT(ISNUMBER(D636)),TRUE,OR(D636&lt;0,D636&gt;999999999,ROUND(D636,3)&lt;&gt;D636)),"Invalid current reading",IF(AND(E636&lt;&gt;"",IF(NOT(ISNUMBER(E636)),TRUE,OR(E636&lt;0,E636&gt;999999999,ROUND(E636,3)&lt;&gt;E636))),"Invalid previous reading",IF(IF(NOT(ISNUMBER(F636)),TRUE,OR(F636&lt;0,F636&gt;999999999,ROUND(F636,3)&lt;&gt;F636)),"Invalid last service",IF(AND(E636&lt;&gt;"",D636&lt;E636),"Decreased reading",IF(F636&gt;D636,"Last service above current","")))))))))))))</x:f>
      </x:c>
      <x:c r="L636" s="6" t="str">
        <x:f>IF(AND(NOT(COUNTA(A636:F636)=0),K636=""),INDEX('Rules'!$C$7:$C$26,MATCH(SUBSTITUTE(SUBSTITUTE(SUBSTITUTE(SUBSTITUTE("type:"&amp;B636,"%","%25"),"~","%7E"),"*","%2A"),"?","%3F"),'Rules'!$G$7:$G$26,0)),"")</x:f>
      </x:c>
      <x:c r="M636" s="6" t="str">
        <x:f>IF(AND(NOT(COUNTA(A636:F636)=0),K636=""),INDEX('Rules'!$D$7:$D$26,MATCH(SUBSTITUTE(SUBSTITUTE(SUBSTITUTE(SUBSTITUTE("type:"&amp;B636,"%","%25"),"~","%7E"),"*","%2A"),"?","%3F"),'Rules'!$G$7:$G$26,0)),"")</x:f>
      </x:c>
      <x:c r="N636" s="5" t="str">
        <x:f>IF(COUNTA(A636:F636)=0,"",SUBSTITUTE(SUBSTITUTE(SUBSTITUTE(SUBSTITUTE("id:"&amp;A636,"%","%25"),"~","%7E"),"*","%2A"),"?","%3F"))</x:f>
      </x:c>
    </x:row>
    <x:row r="637" ht="22" customHeight="1">
      <x:c r="A637" s="3"/>
      <x:c r="B637" s="3"/>
      <x:c r="C637" s="3"/>
      <x:c r="D637" s="4"/>
      <x:c r="E637" s="4"/>
      <x:c r="F637" s="4"/>
      <x:c r="G637" s="5" t="str">
        <x:f>IF(COUNTA(A637:F637)=0,"",IF(K637&lt;&gt;"","Review",IF(I637&lt;0,"Overdue",IF(I637=0,"Due now",IF(I637&lt;=M637,"Due soon","Not due")))))</x:f>
      </x:c>
      <x:c r="H637" s="5" t="str">
        <x:f>IF(OR(COUNTA(A637:F637)=0,COUNTIFS('Rules'!$G$7:$G$26,"="&amp;(SUBSTITUTE(SUBSTITUTE(SUBSTITUTE(SUBSTITUTE("type:"&amp;B637,"%","%25"),"~","%7E"),"*","%2A"),"?","%3F")))&lt;&gt;1),"",IF(OR(INDEX('Rules'!$B$7:$B$26,MATCH(SUBSTITUTE(SUBSTITUTE(SUBSTITUTE(SUBSTITUTE("type:"&amp;B637,"%","%25"),"~","%7E"),"*","%2A"),"?","%3F"),'Rules'!$G$7:$G$26,0))="hours",INDEX('Rules'!$B$7:$B$26,MATCH(SUBSTITUTE(SUBSTITUTE(SUBSTITUTE(SUBSTITUTE("type:"&amp;B637,"%","%25"),"~","%7E"),"*","%2A"),"?","%3F"),'Rules'!$G$7:$G$26,0))="km"),INDEX('Rules'!$B$7:$B$26,MATCH(SUBSTITUTE(SUBSTITUTE(SUBSTITUTE(SUBSTITUTE("type:"&amp;B637,"%","%25"),"~","%7E"),"*","%2A"),"?","%3F"),'Rules'!$G$7:$G$26,0)),""))</x:f>
      </x:c>
      <x:c r="I637" s="6" t="str">
        <x:f>IF(AND(NOT(COUNTA(A637:F637)=0),K637=""),ROUND(J637-D637,3),"")</x:f>
      </x:c>
      <x:c r="J637" s="6" t="str">
        <x:f>IF(AND(NOT(COUNTA(A637:F637)=0),K637=""),ROUND(F637+L637,3),"")</x:f>
      </x:c>
      <x:c r="K637" s="5" t="str">
        <x:f>IF(COUNTA(A637:F637)=0,"",IF(A637="","Missing equipment ID",IF(COUNTIFS($N$8:$N$2007,"="&amp;N637)&gt;1,"Duplicate equipment ID",IF(B637="","Missing type",IF(COUNTIFS('Rules'!$G$7:$G$26,"="&amp;(SUBSTITUTE(SUBSTITUTE(SUBSTITUTE(SUBSTITUTE("type:"&amp;B637,"%","%25"),"~","%7E"),"*","%2A"),"?","%3F")))=0,"Unknown type",IF(COUNTIFS('Rules'!$G$7:$G$26,"="&amp;(SUBSTITUTE(SUBSTITUTE(SUBSTITUTE(SUBSTITUTE("type:"&amp;B637,"%","%25"),"~","%7E"),"*","%2A"),"?","%3F")))&gt;1,"Duplicate type",IF(INDEX('Rules'!$F$7:$F$26,MATCH(SUBSTITUTE(SUBSTITUTE(SUBSTITUTE(SUBSTITUTE("type:"&amp;B637,"%","%25"),"~","%7E"),"*","%2A"),"?","%3F"),'Rules'!$G$7:$G$26,0))&lt;&gt;"",INDEX('Rules'!$F$7:$F$26,MATCH(SUBSTITUTE(SUBSTITUTE(SUBSTITUTE(SUBSTITUTE("type:"&amp;B637,"%","%25"),"~","%7E"),"*","%2A"),"?","%3F"),'Rules'!$G$7:$G$26,0)),IF(AND(C637&lt;&gt;"",C637&lt;&gt;INDEX('Rules'!$B$7:$B$26,MATCH(SUBSTITUTE(SUBSTITUTE(SUBSTITUTE(SUBSTITUTE("type:"&amp;B637,"%","%25"),"~","%7E"),"*","%2A"),"?","%3F"),'Rules'!$G$7:$G$26,0))),"Unit mismatch",IF(IF(NOT(ISNUMBER(D637)),TRUE,OR(D637&lt;0,D637&gt;999999999,ROUND(D637,3)&lt;&gt;D637)),"Invalid current reading",IF(AND(E637&lt;&gt;"",IF(NOT(ISNUMBER(E637)),TRUE,OR(E637&lt;0,E637&gt;999999999,ROUND(E637,3)&lt;&gt;E637))),"Invalid previous reading",IF(IF(NOT(ISNUMBER(F637)),TRUE,OR(F637&lt;0,F637&gt;999999999,ROUND(F637,3)&lt;&gt;F637)),"Invalid last service",IF(AND(E637&lt;&gt;"",D637&lt;E637),"Decreased reading",IF(F637&gt;D637,"Last service above current","")))))))))))))</x:f>
      </x:c>
      <x:c r="L637" s="6" t="str">
        <x:f>IF(AND(NOT(COUNTA(A637:F637)=0),K637=""),INDEX('Rules'!$C$7:$C$26,MATCH(SUBSTITUTE(SUBSTITUTE(SUBSTITUTE(SUBSTITUTE("type:"&amp;B637,"%","%25"),"~","%7E"),"*","%2A"),"?","%3F"),'Rules'!$G$7:$G$26,0)),"")</x:f>
      </x:c>
      <x:c r="M637" s="6" t="str">
        <x:f>IF(AND(NOT(COUNTA(A637:F637)=0),K637=""),INDEX('Rules'!$D$7:$D$26,MATCH(SUBSTITUTE(SUBSTITUTE(SUBSTITUTE(SUBSTITUTE("type:"&amp;B637,"%","%25"),"~","%7E"),"*","%2A"),"?","%3F"),'Rules'!$G$7:$G$26,0)),"")</x:f>
      </x:c>
      <x:c r="N637" s="5" t="str">
        <x:f>IF(COUNTA(A637:F637)=0,"",SUBSTITUTE(SUBSTITUTE(SUBSTITUTE(SUBSTITUTE("id:"&amp;A637,"%","%25"),"~","%7E"),"*","%2A"),"?","%3F"))</x:f>
      </x:c>
    </x:row>
    <x:row r="638" ht="22" customHeight="1">
      <x:c r="A638" s="3"/>
      <x:c r="B638" s="3"/>
      <x:c r="C638" s="3"/>
      <x:c r="D638" s="4"/>
      <x:c r="E638" s="4"/>
      <x:c r="F638" s="4"/>
      <x:c r="G638" s="5" t="str">
        <x:f>IF(COUNTA(A638:F638)=0,"",IF(K638&lt;&gt;"","Review",IF(I638&lt;0,"Overdue",IF(I638=0,"Due now",IF(I638&lt;=M638,"Due soon","Not due")))))</x:f>
      </x:c>
      <x:c r="H638" s="5" t="str">
        <x:f>IF(OR(COUNTA(A638:F638)=0,COUNTIFS('Rules'!$G$7:$G$26,"="&amp;(SUBSTITUTE(SUBSTITUTE(SUBSTITUTE(SUBSTITUTE("type:"&amp;B638,"%","%25"),"~","%7E"),"*","%2A"),"?","%3F")))&lt;&gt;1),"",IF(OR(INDEX('Rules'!$B$7:$B$26,MATCH(SUBSTITUTE(SUBSTITUTE(SUBSTITUTE(SUBSTITUTE("type:"&amp;B638,"%","%25"),"~","%7E"),"*","%2A"),"?","%3F"),'Rules'!$G$7:$G$26,0))="hours",INDEX('Rules'!$B$7:$B$26,MATCH(SUBSTITUTE(SUBSTITUTE(SUBSTITUTE(SUBSTITUTE("type:"&amp;B638,"%","%25"),"~","%7E"),"*","%2A"),"?","%3F"),'Rules'!$G$7:$G$26,0))="km"),INDEX('Rules'!$B$7:$B$26,MATCH(SUBSTITUTE(SUBSTITUTE(SUBSTITUTE(SUBSTITUTE("type:"&amp;B638,"%","%25"),"~","%7E"),"*","%2A"),"?","%3F"),'Rules'!$G$7:$G$26,0)),""))</x:f>
      </x:c>
      <x:c r="I638" s="6" t="str">
        <x:f>IF(AND(NOT(COUNTA(A638:F638)=0),K638=""),ROUND(J638-D638,3),"")</x:f>
      </x:c>
      <x:c r="J638" s="6" t="str">
        <x:f>IF(AND(NOT(COUNTA(A638:F638)=0),K638=""),ROUND(F638+L638,3),"")</x:f>
      </x:c>
      <x:c r="K638" s="5" t="str">
        <x:f>IF(COUNTA(A638:F638)=0,"",IF(A638="","Missing equipment ID",IF(COUNTIFS($N$8:$N$2007,"="&amp;N638)&gt;1,"Duplicate equipment ID",IF(B638="","Missing type",IF(COUNTIFS('Rules'!$G$7:$G$26,"="&amp;(SUBSTITUTE(SUBSTITUTE(SUBSTITUTE(SUBSTITUTE("type:"&amp;B638,"%","%25"),"~","%7E"),"*","%2A"),"?","%3F")))=0,"Unknown type",IF(COUNTIFS('Rules'!$G$7:$G$26,"="&amp;(SUBSTITUTE(SUBSTITUTE(SUBSTITUTE(SUBSTITUTE("type:"&amp;B638,"%","%25"),"~","%7E"),"*","%2A"),"?","%3F")))&gt;1,"Duplicate type",IF(INDEX('Rules'!$F$7:$F$26,MATCH(SUBSTITUTE(SUBSTITUTE(SUBSTITUTE(SUBSTITUTE("type:"&amp;B638,"%","%25"),"~","%7E"),"*","%2A"),"?","%3F"),'Rules'!$G$7:$G$26,0))&lt;&gt;"",INDEX('Rules'!$F$7:$F$26,MATCH(SUBSTITUTE(SUBSTITUTE(SUBSTITUTE(SUBSTITUTE("type:"&amp;B638,"%","%25"),"~","%7E"),"*","%2A"),"?","%3F"),'Rules'!$G$7:$G$26,0)),IF(AND(C638&lt;&gt;"",C638&lt;&gt;INDEX('Rules'!$B$7:$B$26,MATCH(SUBSTITUTE(SUBSTITUTE(SUBSTITUTE(SUBSTITUTE("type:"&amp;B638,"%","%25"),"~","%7E"),"*","%2A"),"?","%3F"),'Rules'!$G$7:$G$26,0))),"Unit mismatch",IF(IF(NOT(ISNUMBER(D638)),TRUE,OR(D638&lt;0,D638&gt;999999999,ROUND(D638,3)&lt;&gt;D638)),"Invalid current reading",IF(AND(E638&lt;&gt;"",IF(NOT(ISNUMBER(E638)),TRUE,OR(E638&lt;0,E638&gt;999999999,ROUND(E638,3)&lt;&gt;E638))),"Invalid previous reading",IF(IF(NOT(ISNUMBER(F638)),TRUE,OR(F638&lt;0,F638&gt;999999999,ROUND(F638,3)&lt;&gt;F638)),"Invalid last service",IF(AND(E638&lt;&gt;"",D638&lt;E638),"Decreased reading",IF(F638&gt;D638,"Last service above current","")))))))))))))</x:f>
      </x:c>
      <x:c r="L638" s="6" t="str">
        <x:f>IF(AND(NOT(COUNTA(A638:F638)=0),K638=""),INDEX('Rules'!$C$7:$C$26,MATCH(SUBSTITUTE(SUBSTITUTE(SUBSTITUTE(SUBSTITUTE("type:"&amp;B638,"%","%25"),"~","%7E"),"*","%2A"),"?","%3F"),'Rules'!$G$7:$G$26,0)),"")</x:f>
      </x:c>
      <x:c r="M638" s="6" t="str">
        <x:f>IF(AND(NOT(COUNTA(A638:F638)=0),K638=""),INDEX('Rules'!$D$7:$D$26,MATCH(SUBSTITUTE(SUBSTITUTE(SUBSTITUTE(SUBSTITUTE("type:"&amp;B638,"%","%25"),"~","%7E"),"*","%2A"),"?","%3F"),'Rules'!$G$7:$G$26,0)),"")</x:f>
      </x:c>
      <x:c r="N638" s="5" t="str">
        <x:f>IF(COUNTA(A638:F638)=0,"",SUBSTITUTE(SUBSTITUTE(SUBSTITUTE(SUBSTITUTE("id:"&amp;A638,"%","%25"),"~","%7E"),"*","%2A"),"?","%3F"))</x:f>
      </x:c>
    </x:row>
    <x:row r="639" ht="22" customHeight="1">
      <x:c r="A639" s="3"/>
      <x:c r="B639" s="3"/>
      <x:c r="C639" s="3"/>
      <x:c r="D639" s="4"/>
      <x:c r="E639" s="4"/>
      <x:c r="F639" s="4"/>
      <x:c r="G639" s="5" t="str">
        <x:f>IF(COUNTA(A639:F639)=0,"",IF(K639&lt;&gt;"","Review",IF(I639&lt;0,"Overdue",IF(I639=0,"Due now",IF(I639&lt;=M639,"Due soon","Not due")))))</x:f>
      </x:c>
      <x:c r="H639" s="5" t="str">
        <x:f>IF(OR(COUNTA(A639:F639)=0,COUNTIFS('Rules'!$G$7:$G$26,"="&amp;(SUBSTITUTE(SUBSTITUTE(SUBSTITUTE(SUBSTITUTE("type:"&amp;B639,"%","%25"),"~","%7E"),"*","%2A"),"?","%3F")))&lt;&gt;1),"",IF(OR(INDEX('Rules'!$B$7:$B$26,MATCH(SUBSTITUTE(SUBSTITUTE(SUBSTITUTE(SUBSTITUTE("type:"&amp;B639,"%","%25"),"~","%7E"),"*","%2A"),"?","%3F"),'Rules'!$G$7:$G$26,0))="hours",INDEX('Rules'!$B$7:$B$26,MATCH(SUBSTITUTE(SUBSTITUTE(SUBSTITUTE(SUBSTITUTE("type:"&amp;B639,"%","%25"),"~","%7E"),"*","%2A"),"?","%3F"),'Rules'!$G$7:$G$26,0))="km"),INDEX('Rules'!$B$7:$B$26,MATCH(SUBSTITUTE(SUBSTITUTE(SUBSTITUTE(SUBSTITUTE("type:"&amp;B639,"%","%25"),"~","%7E"),"*","%2A"),"?","%3F"),'Rules'!$G$7:$G$26,0)),""))</x:f>
      </x:c>
      <x:c r="I639" s="6" t="str">
        <x:f>IF(AND(NOT(COUNTA(A639:F639)=0),K639=""),ROUND(J639-D639,3),"")</x:f>
      </x:c>
      <x:c r="J639" s="6" t="str">
        <x:f>IF(AND(NOT(COUNTA(A639:F639)=0),K639=""),ROUND(F639+L639,3),"")</x:f>
      </x:c>
      <x:c r="K639" s="5" t="str">
        <x:f>IF(COUNTA(A639:F639)=0,"",IF(A639="","Missing equipment ID",IF(COUNTIFS($N$8:$N$2007,"="&amp;N639)&gt;1,"Duplicate equipment ID",IF(B639="","Missing type",IF(COUNTIFS('Rules'!$G$7:$G$26,"="&amp;(SUBSTITUTE(SUBSTITUTE(SUBSTITUTE(SUBSTITUTE("type:"&amp;B639,"%","%25"),"~","%7E"),"*","%2A"),"?","%3F")))=0,"Unknown type",IF(COUNTIFS('Rules'!$G$7:$G$26,"="&amp;(SUBSTITUTE(SUBSTITUTE(SUBSTITUTE(SUBSTITUTE("type:"&amp;B639,"%","%25"),"~","%7E"),"*","%2A"),"?","%3F")))&gt;1,"Duplicate type",IF(INDEX('Rules'!$F$7:$F$26,MATCH(SUBSTITUTE(SUBSTITUTE(SUBSTITUTE(SUBSTITUTE("type:"&amp;B639,"%","%25"),"~","%7E"),"*","%2A"),"?","%3F"),'Rules'!$G$7:$G$26,0))&lt;&gt;"",INDEX('Rules'!$F$7:$F$26,MATCH(SUBSTITUTE(SUBSTITUTE(SUBSTITUTE(SUBSTITUTE("type:"&amp;B639,"%","%25"),"~","%7E"),"*","%2A"),"?","%3F"),'Rules'!$G$7:$G$26,0)),IF(AND(C639&lt;&gt;"",C639&lt;&gt;INDEX('Rules'!$B$7:$B$26,MATCH(SUBSTITUTE(SUBSTITUTE(SUBSTITUTE(SUBSTITUTE("type:"&amp;B639,"%","%25"),"~","%7E"),"*","%2A"),"?","%3F"),'Rules'!$G$7:$G$26,0))),"Unit mismatch",IF(IF(NOT(ISNUMBER(D639)),TRUE,OR(D639&lt;0,D639&gt;999999999,ROUND(D639,3)&lt;&gt;D639)),"Invalid current reading",IF(AND(E639&lt;&gt;"",IF(NOT(ISNUMBER(E639)),TRUE,OR(E639&lt;0,E639&gt;999999999,ROUND(E639,3)&lt;&gt;E639))),"Invalid previous reading",IF(IF(NOT(ISNUMBER(F639)),TRUE,OR(F639&lt;0,F639&gt;999999999,ROUND(F639,3)&lt;&gt;F639)),"Invalid last service",IF(AND(E639&lt;&gt;"",D639&lt;E639),"Decreased reading",IF(F639&gt;D639,"Last service above current","")))))))))))))</x:f>
      </x:c>
      <x:c r="L639" s="6" t="str">
        <x:f>IF(AND(NOT(COUNTA(A639:F639)=0),K639=""),INDEX('Rules'!$C$7:$C$26,MATCH(SUBSTITUTE(SUBSTITUTE(SUBSTITUTE(SUBSTITUTE("type:"&amp;B639,"%","%25"),"~","%7E"),"*","%2A"),"?","%3F"),'Rules'!$G$7:$G$26,0)),"")</x:f>
      </x:c>
      <x:c r="M639" s="6" t="str">
        <x:f>IF(AND(NOT(COUNTA(A639:F639)=0),K639=""),INDEX('Rules'!$D$7:$D$26,MATCH(SUBSTITUTE(SUBSTITUTE(SUBSTITUTE(SUBSTITUTE("type:"&amp;B639,"%","%25"),"~","%7E"),"*","%2A"),"?","%3F"),'Rules'!$G$7:$G$26,0)),"")</x:f>
      </x:c>
      <x:c r="N639" s="5" t="str">
        <x:f>IF(COUNTA(A639:F639)=0,"",SUBSTITUTE(SUBSTITUTE(SUBSTITUTE(SUBSTITUTE("id:"&amp;A639,"%","%25"),"~","%7E"),"*","%2A"),"?","%3F"))</x:f>
      </x:c>
    </x:row>
    <x:row r="640" ht="22" customHeight="1">
      <x:c r="A640" s="3"/>
      <x:c r="B640" s="3"/>
      <x:c r="C640" s="3"/>
      <x:c r="D640" s="4"/>
      <x:c r="E640" s="4"/>
      <x:c r="F640" s="4"/>
      <x:c r="G640" s="5" t="str">
        <x:f>IF(COUNTA(A640:F640)=0,"",IF(K640&lt;&gt;"","Review",IF(I640&lt;0,"Overdue",IF(I640=0,"Due now",IF(I640&lt;=M640,"Due soon","Not due")))))</x:f>
      </x:c>
      <x:c r="H640" s="5" t="str">
        <x:f>IF(OR(COUNTA(A640:F640)=0,COUNTIFS('Rules'!$G$7:$G$26,"="&amp;(SUBSTITUTE(SUBSTITUTE(SUBSTITUTE(SUBSTITUTE("type:"&amp;B640,"%","%25"),"~","%7E"),"*","%2A"),"?","%3F")))&lt;&gt;1),"",IF(OR(INDEX('Rules'!$B$7:$B$26,MATCH(SUBSTITUTE(SUBSTITUTE(SUBSTITUTE(SUBSTITUTE("type:"&amp;B640,"%","%25"),"~","%7E"),"*","%2A"),"?","%3F"),'Rules'!$G$7:$G$26,0))="hours",INDEX('Rules'!$B$7:$B$26,MATCH(SUBSTITUTE(SUBSTITUTE(SUBSTITUTE(SUBSTITUTE("type:"&amp;B640,"%","%25"),"~","%7E"),"*","%2A"),"?","%3F"),'Rules'!$G$7:$G$26,0))="km"),INDEX('Rules'!$B$7:$B$26,MATCH(SUBSTITUTE(SUBSTITUTE(SUBSTITUTE(SUBSTITUTE("type:"&amp;B640,"%","%25"),"~","%7E"),"*","%2A"),"?","%3F"),'Rules'!$G$7:$G$26,0)),""))</x:f>
      </x:c>
      <x:c r="I640" s="6" t="str">
        <x:f>IF(AND(NOT(COUNTA(A640:F640)=0),K640=""),ROUND(J640-D640,3),"")</x:f>
      </x:c>
      <x:c r="J640" s="6" t="str">
        <x:f>IF(AND(NOT(COUNTA(A640:F640)=0),K640=""),ROUND(F640+L640,3),"")</x:f>
      </x:c>
      <x:c r="K640" s="5" t="str">
        <x:f>IF(COUNTA(A640:F640)=0,"",IF(A640="","Missing equipment ID",IF(COUNTIFS($N$8:$N$2007,"="&amp;N640)&gt;1,"Duplicate equipment ID",IF(B640="","Missing type",IF(COUNTIFS('Rules'!$G$7:$G$26,"="&amp;(SUBSTITUTE(SUBSTITUTE(SUBSTITUTE(SUBSTITUTE("type:"&amp;B640,"%","%25"),"~","%7E"),"*","%2A"),"?","%3F")))=0,"Unknown type",IF(COUNTIFS('Rules'!$G$7:$G$26,"="&amp;(SUBSTITUTE(SUBSTITUTE(SUBSTITUTE(SUBSTITUTE("type:"&amp;B640,"%","%25"),"~","%7E"),"*","%2A"),"?","%3F")))&gt;1,"Duplicate type",IF(INDEX('Rules'!$F$7:$F$26,MATCH(SUBSTITUTE(SUBSTITUTE(SUBSTITUTE(SUBSTITUTE("type:"&amp;B640,"%","%25"),"~","%7E"),"*","%2A"),"?","%3F"),'Rules'!$G$7:$G$26,0))&lt;&gt;"",INDEX('Rules'!$F$7:$F$26,MATCH(SUBSTITUTE(SUBSTITUTE(SUBSTITUTE(SUBSTITUTE("type:"&amp;B640,"%","%25"),"~","%7E"),"*","%2A"),"?","%3F"),'Rules'!$G$7:$G$26,0)),IF(AND(C640&lt;&gt;"",C640&lt;&gt;INDEX('Rules'!$B$7:$B$26,MATCH(SUBSTITUTE(SUBSTITUTE(SUBSTITUTE(SUBSTITUTE("type:"&amp;B640,"%","%25"),"~","%7E"),"*","%2A"),"?","%3F"),'Rules'!$G$7:$G$26,0))),"Unit mismatch",IF(IF(NOT(ISNUMBER(D640)),TRUE,OR(D640&lt;0,D640&gt;999999999,ROUND(D640,3)&lt;&gt;D640)),"Invalid current reading",IF(AND(E640&lt;&gt;"",IF(NOT(ISNUMBER(E640)),TRUE,OR(E640&lt;0,E640&gt;999999999,ROUND(E640,3)&lt;&gt;E640))),"Invalid previous reading",IF(IF(NOT(ISNUMBER(F640)),TRUE,OR(F640&lt;0,F640&gt;999999999,ROUND(F640,3)&lt;&gt;F640)),"Invalid last service",IF(AND(E640&lt;&gt;"",D640&lt;E640),"Decreased reading",IF(F640&gt;D640,"Last service above current","")))))))))))))</x:f>
      </x:c>
      <x:c r="L640" s="6" t="str">
        <x:f>IF(AND(NOT(COUNTA(A640:F640)=0),K640=""),INDEX('Rules'!$C$7:$C$26,MATCH(SUBSTITUTE(SUBSTITUTE(SUBSTITUTE(SUBSTITUTE("type:"&amp;B640,"%","%25"),"~","%7E"),"*","%2A"),"?","%3F"),'Rules'!$G$7:$G$26,0)),"")</x:f>
      </x:c>
      <x:c r="M640" s="6" t="str">
        <x:f>IF(AND(NOT(COUNTA(A640:F640)=0),K640=""),INDEX('Rules'!$D$7:$D$26,MATCH(SUBSTITUTE(SUBSTITUTE(SUBSTITUTE(SUBSTITUTE("type:"&amp;B640,"%","%25"),"~","%7E"),"*","%2A"),"?","%3F"),'Rules'!$G$7:$G$26,0)),"")</x:f>
      </x:c>
      <x:c r="N640" s="5" t="str">
        <x:f>IF(COUNTA(A640:F640)=0,"",SUBSTITUTE(SUBSTITUTE(SUBSTITUTE(SUBSTITUTE("id:"&amp;A640,"%","%25"),"~","%7E"),"*","%2A"),"?","%3F"))</x:f>
      </x:c>
    </x:row>
    <x:row r="641" ht="22" customHeight="1">
      <x:c r="A641" s="3"/>
      <x:c r="B641" s="3"/>
      <x:c r="C641" s="3"/>
      <x:c r="D641" s="4"/>
      <x:c r="E641" s="4"/>
      <x:c r="F641" s="4"/>
      <x:c r="G641" s="5" t="str">
        <x:f>IF(COUNTA(A641:F641)=0,"",IF(K641&lt;&gt;"","Review",IF(I641&lt;0,"Overdue",IF(I641=0,"Due now",IF(I641&lt;=M641,"Due soon","Not due")))))</x:f>
      </x:c>
      <x:c r="H641" s="5" t="str">
        <x:f>IF(OR(COUNTA(A641:F641)=0,COUNTIFS('Rules'!$G$7:$G$26,"="&amp;(SUBSTITUTE(SUBSTITUTE(SUBSTITUTE(SUBSTITUTE("type:"&amp;B641,"%","%25"),"~","%7E"),"*","%2A"),"?","%3F")))&lt;&gt;1),"",IF(OR(INDEX('Rules'!$B$7:$B$26,MATCH(SUBSTITUTE(SUBSTITUTE(SUBSTITUTE(SUBSTITUTE("type:"&amp;B641,"%","%25"),"~","%7E"),"*","%2A"),"?","%3F"),'Rules'!$G$7:$G$26,0))="hours",INDEX('Rules'!$B$7:$B$26,MATCH(SUBSTITUTE(SUBSTITUTE(SUBSTITUTE(SUBSTITUTE("type:"&amp;B641,"%","%25"),"~","%7E"),"*","%2A"),"?","%3F"),'Rules'!$G$7:$G$26,0))="km"),INDEX('Rules'!$B$7:$B$26,MATCH(SUBSTITUTE(SUBSTITUTE(SUBSTITUTE(SUBSTITUTE("type:"&amp;B641,"%","%25"),"~","%7E"),"*","%2A"),"?","%3F"),'Rules'!$G$7:$G$26,0)),""))</x:f>
      </x:c>
      <x:c r="I641" s="6" t="str">
        <x:f>IF(AND(NOT(COUNTA(A641:F641)=0),K641=""),ROUND(J641-D641,3),"")</x:f>
      </x:c>
      <x:c r="J641" s="6" t="str">
        <x:f>IF(AND(NOT(COUNTA(A641:F641)=0),K641=""),ROUND(F641+L641,3),"")</x:f>
      </x:c>
      <x:c r="K641" s="5" t="str">
        <x:f>IF(COUNTA(A641:F641)=0,"",IF(A641="","Missing equipment ID",IF(COUNTIFS($N$8:$N$2007,"="&amp;N641)&gt;1,"Duplicate equipment ID",IF(B641="","Missing type",IF(COUNTIFS('Rules'!$G$7:$G$26,"="&amp;(SUBSTITUTE(SUBSTITUTE(SUBSTITUTE(SUBSTITUTE("type:"&amp;B641,"%","%25"),"~","%7E"),"*","%2A"),"?","%3F")))=0,"Unknown type",IF(COUNTIFS('Rules'!$G$7:$G$26,"="&amp;(SUBSTITUTE(SUBSTITUTE(SUBSTITUTE(SUBSTITUTE("type:"&amp;B641,"%","%25"),"~","%7E"),"*","%2A"),"?","%3F")))&gt;1,"Duplicate type",IF(INDEX('Rules'!$F$7:$F$26,MATCH(SUBSTITUTE(SUBSTITUTE(SUBSTITUTE(SUBSTITUTE("type:"&amp;B641,"%","%25"),"~","%7E"),"*","%2A"),"?","%3F"),'Rules'!$G$7:$G$26,0))&lt;&gt;"",INDEX('Rules'!$F$7:$F$26,MATCH(SUBSTITUTE(SUBSTITUTE(SUBSTITUTE(SUBSTITUTE("type:"&amp;B641,"%","%25"),"~","%7E"),"*","%2A"),"?","%3F"),'Rules'!$G$7:$G$26,0)),IF(AND(C641&lt;&gt;"",C641&lt;&gt;INDEX('Rules'!$B$7:$B$26,MATCH(SUBSTITUTE(SUBSTITUTE(SUBSTITUTE(SUBSTITUTE("type:"&amp;B641,"%","%25"),"~","%7E"),"*","%2A"),"?","%3F"),'Rules'!$G$7:$G$26,0))),"Unit mismatch",IF(IF(NOT(ISNUMBER(D641)),TRUE,OR(D641&lt;0,D641&gt;999999999,ROUND(D641,3)&lt;&gt;D641)),"Invalid current reading",IF(AND(E641&lt;&gt;"",IF(NOT(ISNUMBER(E641)),TRUE,OR(E641&lt;0,E641&gt;999999999,ROUND(E641,3)&lt;&gt;E641))),"Invalid previous reading",IF(IF(NOT(ISNUMBER(F641)),TRUE,OR(F641&lt;0,F641&gt;999999999,ROUND(F641,3)&lt;&gt;F641)),"Invalid last service",IF(AND(E641&lt;&gt;"",D641&lt;E641),"Decreased reading",IF(F641&gt;D641,"Last service above current","")))))))))))))</x:f>
      </x:c>
      <x:c r="L641" s="6" t="str">
        <x:f>IF(AND(NOT(COUNTA(A641:F641)=0),K641=""),INDEX('Rules'!$C$7:$C$26,MATCH(SUBSTITUTE(SUBSTITUTE(SUBSTITUTE(SUBSTITUTE("type:"&amp;B641,"%","%25"),"~","%7E"),"*","%2A"),"?","%3F"),'Rules'!$G$7:$G$26,0)),"")</x:f>
      </x:c>
      <x:c r="M641" s="6" t="str">
        <x:f>IF(AND(NOT(COUNTA(A641:F641)=0),K641=""),INDEX('Rules'!$D$7:$D$26,MATCH(SUBSTITUTE(SUBSTITUTE(SUBSTITUTE(SUBSTITUTE("type:"&amp;B641,"%","%25"),"~","%7E"),"*","%2A"),"?","%3F"),'Rules'!$G$7:$G$26,0)),"")</x:f>
      </x:c>
      <x:c r="N641" s="5" t="str">
        <x:f>IF(COUNTA(A641:F641)=0,"",SUBSTITUTE(SUBSTITUTE(SUBSTITUTE(SUBSTITUTE("id:"&amp;A641,"%","%25"),"~","%7E"),"*","%2A"),"?","%3F"))</x:f>
      </x:c>
    </x:row>
    <x:row r="642" ht="22" customHeight="1">
      <x:c r="A642" s="3"/>
      <x:c r="B642" s="3"/>
      <x:c r="C642" s="3"/>
      <x:c r="D642" s="4"/>
      <x:c r="E642" s="4"/>
      <x:c r="F642" s="4"/>
      <x:c r="G642" s="5" t="str">
        <x:f>IF(COUNTA(A642:F642)=0,"",IF(K642&lt;&gt;"","Review",IF(I642&lt;0,"Overdue",IF(I642=0,"Due now",IF(I642&lt;=M642,"Due soon","Not due")))))</x:f>
      </x:c>
      <x:c r="H642" s="5" t="str">
        <x:f>IF(OR(COUNTA(A642:F642)=0,COUNTIFS('Rules'!$G$7:$G$26,"="&amp;(SUBSTITUTE(SUBSTITUTE(SUBSTITUTE(SUBSTITUTE("type:"&amp;B642,"%","%25"),"~","%7E"),"*","%2A"),"?","%3F")))&lt;&gt;1),"",IF(OR(INDEX('Rules'!$B$7:$B$26,MATCH(SUBSTITUTE(SUBSTITUTE(SUBSTITUTE(SUBSTITUTE("type:"&amp;B642,"%","%25"),"~","%7E"),"*","%2A"),"?","%3F"),'Rules'!$G$7:$G$26,0))="hours",INDEX('Rules'!$B$7:$B$26,MATCH(SUBSTITUTE(SUBSTITUTE(SUBSTITUTE(SUBSTITUTE("type:"&amp;B642,"%","%25"),"~","%7E"),"*","%2A"),"?","%3F"),'Rules'!$G$7:$G$26,0))="km"),INDEX('Rules'!$B$7:$B$26,MATCH(SUBSTITUTE(SUBSTITUTE(SUBSTITUTE(SUBSTITUTE("type:"&amp;B642,"%","%25"),"~","%7E"),"*","%2A"),"?","%3F"),'Rules'!$G$7:$G$26,0)),""))</x:f>
      </x:c>
      <x:c r="I642" s="6" t="str">
        <x:f>IF(AND(NOT(COUNTA(A642:F642)=0),K642=""),ROUND(J642-D642,3),"")</x:f>
      </x:c>
      <x:c r="J642" s="6" t="str">
        <x:f>IF(AND(NOT(COUNTA(A642:F642)=0),K642=""),ROUND(F642+L642,3),"")</x:f>
      </x:c>
      <x:c r="K642" s="5" t="str">
        <x:f>IF(COUNTA(A642:F642)=0,"",IF(A642="","Missing equipment ID",IF(COUNTIFS($N$8:$N$2007,"="&amp;N642)&gt;1,"Duplicate equipment ID",IF(B642="","Missing type",IF(COUNTIFS('Rules'!$G$7:$G$26,"="&amp;(SUBSTITUTE(SUBSTITUTE(SUBSTITUTE(SUBSTITUTE("type:"&amp;B642,"%","%25"),"~","%7E"),"*","%2A"),"?","%3F")))=0,"Unknown type",IF(COUNTIFS('Rules'!$G$7:$G$26,"="&amp;(SUBSTITUTE(SUBSTITUTE(SUBSTITUTE(SUBSTITUTE("type:"&amp;B642,"%","%25"),"~","%7E"),"*","%2A"),"?","%3F")))&gt;1,"Duplicate type",IF(INDEX('Rules'!$F$7:$F$26,MATCH(SUBSTITUTE(SUBSTITUTE(SUBSTITUTE(SUBSTITUTE("type:"&amp;B642,"%","%25"),"~","%7E"),"*","%2A"),"?","%3F"),'Rules'!$G$7:$G$26,0))&lt;&gt;"",INDEX('Rules'!$F$7:$F$26,MATCH(SUBSTITUTE(SUBSTITUTE(SUBSTITUTE(SUBSTITUTE("type:"&amp;B642,"%","%25"),"~","%7E"),"*","%2A"),"?","%3F"),'Rules'!$G$7:$G$26,0)),IF(AND(C642&lt;&gt;"",C642&lt;&gt;INDEX('Rules'!$B$7:$B$26,MATCH(SUBSTITUTE(SUBSTITUTE(SUBSTITUTE(SUBSTITUTE("type:"&amp;B642,"%","%25"),"~","%7E"),"*","%2A"),"?","%3F"),'Rules'!$G$7:$G$26,0))),"Unit mismatch",IF(IF(NOT(ISNUMBER(D642)),TRUE,OR(D642&lt;0,D642&gt;999999999,ROUND(D642,3)&lt;&gt;D642)),"Invalid current reading",IF(AND(E642&lt;&gt;"",IF(NOT(ISNUMBER(E642)),TRUE,OR(E642&lt;0,E642&gt;999999999,ROUND(E642,3)&lt;&gt;E642))),"Invalid previous reading",IF(IF(NOT(ISNUMBER(F642)),TRUE,OR(F642&lt;0,F642&gt;999999999,ROUND(F642,3)&lt;&gt;F642)),"Invalid last service",IF(AND(E642&lt;&gt;"",D642&lt;E642),"Decreased reading",IF(F642&gt;D642,"Last service above current","")))))))))))))</x:f>
      </x:c>
      <x:c r="L642" s="6" t="str">
        <x:f>IF(AND(NOT(COUNTA(A642:F642)=0),K642=""),INDEX('Rules'!$C$7:$C$26,MATCH(SUBSTITUTE(SUBSTITUTE(SUBSTITUTE(SUBSTITUTE("type:"&amp;B642,"%","%25"),"~","%7E"),"*","%2A"),"?","%3F"),'Rules'!$G$7:$G$26,0)),"")</x:f>
      </x:c>
      <x:c r="M642" s="6" t="str">
        <x:f>IF(AND(NOT(COUNTA(A642:F642)=0),K642=""),INDEX('Rules'!$D$7:$D$26,MATCH(SUBSTITUTE(SUBSTITUTE(SUBSTITUTE(SUBSTITUTE("type:"&amp;B642,"%","%25"),"~","%7E"),"*","%2A"),"?","%3F"),'Rules'!$G$7:$G$26,0)),"")</x:f>
      </x:c>
      <x:c r="N642" s="5" t="str">
        <x:f>IF(COUNTA(A642:F642)=0,"",SUBSTITUTE(SUBSTITUTE(SUBSTITUTE(SUBSTITUTE("id:"&amp;A642,"%","%25"),"~","%7E"),"*","%2A"),"?","%3F"))</x:f>
      </x:c>
    </x:row>
    <x:row r="643" ht="22" customHeight="1">
      <x:c r="A643" s="3"/>
      <x:c r="B643" s="3"/>
      <x:c r="C643" s="3"/>
      <x:c r="D643" s="4"/>
      <x:c r="E643" s="4"/>
      <x:c r="F643" s="4"/>
      <x:c r="G643" s="5" t="str">
        <x:f>IF(COUNTA(A643:F643)=0,"",IF(K643&lt;&gt;"","Review",IF(I643&lt;0,"Overdue",IF(I643=0,"Due now",IF(I643&lt;=M643,"Due soon","Not due")))))</x:f>
      </x:c>
      <x:c r="H643" s="5" t="str">
        <x:f>IF(OR(COUNTA(A643:F643)=0,COUNTIFS('Rules'!$G$7:$G$26,"="&amp;(SUBSTITUTE(SUBSTITUTE(SUBSTITUTE(SUBSTITUTE("type:"&amp;B643,"%","%25"),"~","%7E"),"*","%2A"),"?","%3F")))&lt;&gt;1),"",IF(OR(INDEX('Rules'!$B$7:$B$26,MATCH(SUBSTITUTE(SUBSTITUTE(SUBSTITUTE(SUBSTITUTE("type:"&amp;B643,"%","%25"),"~","%7E"),"*","%2A"),"?","%3F"),'Rules'!$G$7:$G$26,0))="hours",INDEX('Rules'!$B$7:$B$26,MATCH(SUBSTITUTE(SUBSTITUTE(SUBSTITUTE(SUBSTITUTE("type:"&amp;B643,"%","%25"),"~","%7E"),"*","%2A"),"?","%3F"),'Rules'!$G$7:$G$26,0))="km"),INDEX('Rules'!$B$7:$B$26,MATCH(SUBSTITUTE(SUBSTITUTE(SUBSTITUTE(SUBSTITUTE("type:"&amp;B643,"%","%25"),"~","%7E"),"*","%2A"),"?","%3F"),'Rules'!$G$7:$G$26,0)),""))</x:f>
      </x:c>
      <x:c r="I643" s="6" t="str">
        <x:f>IF(AND(NOT(COUNTA(A643:F643)=0),K643=""),ROUND(J643-D643,3),"")</x:f>
      </x:c>
      <x:c r="J643" s="6" t="str">
        <x:f>IF(AND(NOT(COUNTA(A643:F643)=0),K643=""),ROUND(F643+L643,3),"")</x:f>
      </x:c>
      <x:c r="K643" s="5" t="str">
        <x:f>IF(COUNTA(A643:F643)=0,"",IF(A643="","Missing equipment ID",IF(COUNTIFS($N$8:$N$2007,"="&amp;N643)&gt;1,"Duplicate equipment ID",IF(B643="","Missing type",IF(COUNTIFS('Rules'!$G$7:$G$26,"="&amp;(SUBSTITUTE(SUBSTITUTE(SUBSTITUTE(SUBSTITUTE("type:"&amp;B643,"%","%25"),"~","%7E"),"*","%2A"),"?","%3F")))=0,"Unknown type",IF(COUNTIFS('Rules'!$G$7:$G$26,"="&amp;(SUBSTITUTE(SUBSTITUTE(SUBSTITUTE(SUBSTITUTE("type:"&amp;B643,"%","%25"),"~","%7E"),"*","%2A"),"?","%3F")))&gt;1,"Duplicate type",IF(INDEX('Rules'!$F$7:$F$26,MATCH(SUBSTITUTE(SUBSTITUTE(SUBSTITUTE(SUBSTITUTE("type:"&amp;B643,"%","%25"),"~","%7E"),"*","%2A"),"?","%3F"),'Rules'!$G$7:$G$26,0))&lt;&gt;"",INDEX('Rules'!$F$7:$F$26,MATCH(SUBSTITUTE(SUBSTITUTE(SUBSTITUTE(SUBSTITUTE("type:"&amp;B643,"%","%25"),"~","%7E"),"*","%2A"),"?","%3F"),'Rules'!$G$7:$G$26,0)),IF(AND(C643&lt;&gt;"",C643&lt;&gt;INDEX('Rules'!$B$7:$B$26,MATCH(SUBSTITUTE(SUBSTITUTE(SUBSTITUTE(SUBSTITUTE("type:"&amp;B643,"%","%25"),"~","%7E"),"*","%2A"),"?","%3F"),'Rules'!$G$7:$G$26,0))),"Unit mismatch",IF(IF(NOT(ISNUMBER(D643)),TRUE,OR(D643&lt;0,D643&gt;999999999,ROUND(D643,3)&lt;&gt;D643)),"Invalid current reading",IF(AND(E643&lt;&gt;"",IF(NOT(ISNUMBER(E643)),TRUE,OR(E643&lt;0,E643&gt;999999999,ROUND(E643,3)&lt;&gt;E643))),"Invalid previous reading",IF(IF(NOT(ISNUMBER(F643)),TRUE,OR(F643&lt;0,F643&gt;999999999,ROUND(F643,3)&lt;&gt;F643)),"Invalid last service",IF(AND(E643&lt;&gt;"",D643&lt;E643),"Decreased reading",IF(F643&gt;D643,"Last service above current","")))))))))))))</x:f>
      </x:c>
      <x:c r="L643" s="6" t="str">
        <x:f>IF(AND(NOT(COUNTA(A643:F643)=0),K643=""),INDEX('Rules'!$C$7:$C$26,MATCH(SUBSTITUTE(SUBSTITUTE(SUBSTITUTE(SUBSTITUTE("type:"&amp;B643,"%","%25"),"~","%7E"),"*","%2A"),"?","%3F"),'Rules'!$G$7:$G$26,0)),"")</x:f>
      </x:c>
      <x:c r="M643" s="6" t="str">
        <x:f>IF(AND(NOT(COUNTA(A643:F643)=0),K643=""),INDEX('Rules'!$D$7:$D$26,MATCH(SUBSTITUTE(SUBSTITUTE(SUBSTITUTE(SUBSTITUTE("type:"&amp;B643,"%","%25"),"~","%7E"),"*","%2A"),"?","%3F"),'Rules'!$G$7:$G$26,0)),"")</x:f>
      </x:c>
      <x:c r="N643" s="5" t="str">
        <x:f>IF(COUNTA(A643:F643)=0,"",SUBSTITUTE(SUBSTITUTE(SUBSTITUTE(SUBSTITUTE("id:"&amp;A643,"%","%25"),"~","%7E"),"*","%2A"),"?","%3F"))</x:f>
      </x:c>
    </x:row>
    <x:row r="644" ht="22" customHeight="1">
      <x:c r="A644" s="3"/>
      <x:c r="B644" s="3"/>
      <x:c r="C644" s="3"/>
      <x:c r="D644" s="4"/>
      <x:c r="E644" s="4"/>
      <x:c r="F644" s="4"/>
      <x:c r="G644" s="5" t="str">
        <x:f>IF(COUNTA(A644:F644)=0,"",IF(K644&lt;&gt;"","Review",IF(I644&lt;0,"Overdue",IF(I644=0,"Due now",IF(I644&lt;=M644,"Due soon","Not due")))))</x:f>
      </x:c>
      <x:c r="H644" s="5" t="str">
        <x:f>IF(OR(COUNTA(A644:F644)=0,COUNTIFS('Rules'!$G$7:$G$26,"="&amp;(SUBSTITUTE(SUBSTITUTE(SUBSTITUTE(SUBSTITUTE("type:"&amp;B644,"%","%25"),"~","%7E"),"*","%2A"),"?","%3F")))&lt;&gt;1),"",IF(OR(INDEX('Rules'!$B$7:$B$26,MATCH(SUBSTITUTE(SUBSTITUTE(SUBSTITUTE(SUBSTITUTE("type:"&amp;B644,"%","%25"),"~","%7E"),"*","%2A"),"?","%3F"),'Rules'!$G$7:$G$26,0))="hours",INDEX('Rules'!$B$7:$B$26,MATCH(SUBSTITUTE(SUBSTITUTE(SUBSTITUTE(SUBSTITUTE("type:"&amp;B644,"%","%25"),"~","%7E"),"*","%2A"),"?","%3F"),'Rules'!$G$7:$G$26,0))="km"),INDEX('Rules'!$B$7:$B$26,MATCH(SUBSTITUTE(SUBSTITUTE(SUBSTITUTE(SUBSTITUTE("type:"&amp;B644,"%","%25"),"~","%7E"),"*","%2A"),"?","%3F"),'Rules'!$G$7:$G$26,0)),""))</x:f>
      </x:c>
      <x:c r="I644" s="6" t="str">
        <x:f>IF(AND(NOT(COUNTA(A644:F644)=0),K644=""),ROUND(J644-D644,3),"")</x:f>
      </x:c>
      <x:c r="J644" s="6" t="str">
        <x:f>IF(AND(NOT(COUNTA(A644:F644)=0),K644=""),ROUND(F644+L644,3),"")</x:f>
      </x:c>
      <x:c r="K644" s="5" t="str">
        <x:f>IF(COUNTA(A644:F644)=0,"",IF(A644="","Missing equipment ID",IF(COUNTIFS($N$8:$N$2007,"="&amp;N644)&gt;1,"Duplicate equipment ID",IF(B644="","Missing type",IF(COUNTIFS('Rules'!$G$7:$G$26,"="&amp;(SUBSTITUTE(SUBSTITUTE(SUBSTITUTE(SUBSTITUTE("type:"&amp;B644,"%","%25"),"~","%7E"),"*","%2A"),"?","%3F")))=0,"Unknown type",IF(COUNTIFS('Rules'!$G$7:$G$26,"="&amp;(SUBSTITUTE(SUBSTITUTE(SUBSTITUTE(SUBSTITUTE("type:"&amp;B644,"%","%25"),"~","%7E"),"*","%2A"),"?","%3F")))&gt;1,"Duplicate type",IF(INDEX('Rules'!$F$7:$F$26,MATCH(SUBSTITUTE(SUBSTITUTE(SUBSTITUTE(SUBSTITUTE("type:"&amp;B644,"%","%25"),"~","%7E"),"*","%2A"),"?","%3F"),'Rules'!$G$7:$G$26,0))&lt;&gt;"",INDEX('Rules'!$F$7:$F$26,MATCH(SUBSTITUTE(SUBSTITUTE(SUBSTITUTE(SUBSTITUTE("type:"&amp;B644,"%","%25"),"~","%7E"),"*","%2A"),"?","%3F"),'Rules'!$G$7:$G$26,0)),IF(AND(C644&lt;&gt;"",C644&lt;&gt;INDEX('Rules'!$B$7:$B$26,MATCH(SUBSTITUTE(SUBSTITUTE(SUBSTITUTE(SUBSTITUTE("type:"&amp;B644,"%","%25"),"~","%7E"),"*","%2A"),"?","%3F"),'Rules'!$G$7:$G$26,0))),"Unit mismatch",IF(IF(NOT(ISNUMBER(D644)),TRUE,OR(D644&lt;0,D644&gt;999999999,ROUND(D644,3)&lt;&gt;D644)),"Invalid current reading",IF(AND(E644&lt;&gt;"",IF(NOT(ISNUMBER(E644)),TRUE,OR(E644&lt;0,E644&gt;999999999,ROUND(E644,3)&lt;&gt;E644))),"Invalid previous reading",IF(IF(NOT(ISNUMBER(F644)),TRUE,OR(F644&lt;0,F644&gt;999999999,ROUND(F644,3)&lt;&gt;F644)),"Invalid last service",IF(AND(E644&lt;&gt;"",D644&lt;E644),"Decreased reading",IF(F644&gt;D644,"Last service above current","")))))))))))))</x:f>
      </x:c>
      <x:c r="L644" s="6" t="str">
        <x:f>IF(AND(NOT(COUNTA(A644:F644)=0),K644=""),INDEX('Rules'!$C$7:$C$26,MATCH(SUBSTITUTE(SUBSTITUTE(SUBSTITUTE(SUBSTITUTE("type:"&amp;B644,"%","%25"),"~","%7E"),"*","%2A"),"?","%3F"),'Rules'!$G$7:$G$26,0)),"")</x:f>
      </x:c>
      <x:c r="M644" s="6" t="str">
        <x:f>IF(AND(NOT(COUNTA(A644:F644)=0),K644=""),INDEX('Rules'!$D$7:$D$26,MATCH(SUBSTITUTE(SUBSTITUTE(SUBSTITUTE(SUBSTITUTE("type:"&amp;B644,"%","%25"),"~","%7E"),"*","%2A"),"?","%3F"),'Rules'!$G$7:$G$26,0)),"")</x:f>
      </x:c>
      <x:c r="N644" s="5" t="str">
        <x:f>IF(COUNTA(A644:F644)=0,"",SUBSTITUTE(SUBSTITUTE(SUBSTITUTE(SUBSTITUTE("id:"&amp;A644,"%","%25"),"~","%7E"),"*","%2A"),"?","%3F"))</x:f>
      </x:c>
    </x:row>
    <x:row r="645" ht="22" customHeight="1">
      <x:c r="A645" s="3"/>
      <x:c r="B645" s="3"/>
      <x:c r="C645" s="3"/>
      <x:c r="D645" s="4"/>
      <x:c r="E645" s="4"/>
      <x:c r="F645" s="4"/>
      <x:c r="G645" s="5" t="str">
        <x:f>IF(COUNTA(A645:F645)=0,"",IF(K645&lt;&gt;"","Review",IF(I645&lt;0,"Overdue",IF(I645=0,"Due now",IF(I645&lt;=M645,"Due soon","Not due")))))</x:f>
      </x:c>
      <x:c r="H645" s="5" t="str">
        <x:f>IF(OR(COUNTA(A645:F645)=0,COUNTIFS('Rules'!$G$7:$G$26,"="&amp;(SUBSTITUTE(SUBSTITUTE(SUBSTITUTE(SUBSTITUTE("type:"&amp;B645,"%","%25"),"~","%7E"),"*","%2A"),"?","%3F")))&lt;&gt;1),"",IF(OR(INDEX('Rules'!$B$7:$B$26,MATCH(SUBSTITUTE(SUBSTITUTE(SUBSTITUTE(SUBSTITUTE("type:"&amp;B645,"%","%25"),"~","%7E"),"*","%2A"),"?","%3F"),'Rules'!$G$7:$G$26,0))="hours",INDEX('Rules'!$B$7:$B$26,MATCH(SUBSTITUTE(SUBSTITUTE(SUBSTITUTE(SUBSTITUTE("type:"&amp;B645,"%","%25"),"~","%7E"),"*","%2A"),"?","%3F"),'Rules'!$G$7:$G$26,0))="km"),INDEX('Rules'!$B$7:$B$26,MATCH(SUBSTITUTE(SUBSTITUTE(SUBSTITUTE(SUBSTITUTE("type:"&amp;B645,"%","%25"),"~","%7E"),"*","%2A"),"?","%3F"),'Rules'!$G$7:$G$26,0)),""))</x:f>
      </x:c>
      <x:c r="I645" s="6" t="str">
        <x:f>IF(AND(NOT(COUNTA(A645:F645)=0),K645=""),ROUND(J645-D645,3),"")</x:f>
      </x:c>
      <x:c r="J645" s="6" t="str">
        <x:f>IF(AND(NOT(COUNTA(A645:F645)=0),K645=""),ROUND(F645+L645,3),"")</x:f>
      </x:c>
      <x:c r="K645" s="5" t="str">
        <x:f>IF(COUNTA(A645:F645)=0,"",IF(A645="","Missing equipment ID",IF(COUNTIFS($N$8:$N$2007,"="&amp;N645)&gt;1,"Duplicate equipment ID",IF(B645="","Missing type",IF(COUNTIFS('Rules'!$G$7:$G$26,"="&amp;(SUBSTITUTE(SUBSTITUTE(SUBSTITUTE(SUBSTITUTE("type:"&amp;B645,"%","%25"),"~","%7E"),"*","%2A"),"?","%3F")))=0,"Unknown type",IF(COUNTIFS('Rules'!$G$7:$G$26,"="&amp;(SUBSTITUTE(SUBSTITUTE(SUBSTITUTE(SUBSTITUTE("type:"&amp;B645,"%","%25"),"~","%7E"),"*","%2A"),"?","%3F")))&gt;1,"Duplicate type",IF(INDEX('Rules'!$F$7:$F$26,MATCH(SUBSTITUTE(SUBSTITUTE(SUBSTITUTE(SUBSTITUTE("type:"&amp;B645,"%","%25"),"~","%7E"),"*","%2A"),"?","%3F"),'Rules'!$G$7:$G$26,0))&lt;&gt;"",INDEX('Rules'!$F$7:$F$26,MATCH(SUBSTITUTE(SUBSTITUTE(SUBSTITUTE(SUBSTITUTE("type:"&amp;B645,"%","%25"),"~","%7E"),"*","%2A"),"?","%3F"),'Rules'!$G$7:$G$26,0)),IF(AND(C645&lt;&gt;"",C645&lt;&gt;INDEX('Rules'!$B$7:$B$26,MATCH(SUBSTITUTE(SUBSTITUTE(SUBSTITUTE(SUBSTITUTE("type:"&amp;B645,"%","%25"),"~","%7E"),"*","%2A"),"?","%3F"),'Rules'!$G$7:$G$26,0))),"Unit mismatch",IF(IF(NOT(ISNUMBER(D645)),TRUE,OR(D645&lt;0,D645&gt;999999999,ROUND(D645,3)&lt;&gt;D645)),"Invalid current reading",IF(AND(E645&lt;&gt;"",IF(NOT(ISNUMBER(E645)),TRUE,OR(E645&lt;0,E645&gt;999999999,ROUND(E645,3)&lt;&gt;E645))),"Invalid previous reading",IF(IF(NOT(ISNUMBER(F645)),TRUE,OR(F645&lt;0,F645&gt;999999999,ROUND(F645,3)&lt;&gt;F645)),"Invalid last service",IF(AND(E645&lt;&gt;"",D645&lt;E645),"Decreased reading",IF(F645&gt;D645,"Last service above current","")))))))))))))</x:f>
      </x:c>
      <x:c r="L645" s="6" t="str">
        <x:f>IF(AND(NOT(COUNTA(A645:F645)=0),K645=""),INDEX('Rules'!$C$7:$C$26,MATCH(SUBSTITUTE(SUBSTITUTE(SUBSTITUTE(SUBSTITUTE("type:"&amp;B645,"%","%25"),"~","%7E"),"*","%2A"),"?","%3F"),'Rules'!$G$7:$G$26,0)),"")</x:f>
      </x:c>
      <x:c r="M645" s="6" t="str">
        <x:f>IF(AND(NOT(COUNTA(A645:F645)=0),K645=""),INDEX('Rules'!$D$7:$D$26,MATCH(SUBSTITUTE(SUBSTITUTE(SUBSTITUTE(SUBSTITUTE("type:"&amp;B645,"%","%25"),"~","%7E"),"*","%2A"),"?","%3F"),'Rules'!$G$7:$G$26,0)),"")</x:f>
      </x:c>
      <x:c r="N645" s="5" t="str">
        <x:f>IF(COUNTA(A645:F645)=0,"",SUBSTITUTE(SUBSTITUTE(SUBSTITUTE(SUBSTITUTE("id:"&amp;A645,"%","%25"),"~","%7E"),"*","%2A"),"?","%3F"))</x:f>
      </x:c>
    </x:row>
    <x:row r="646" ht="22" customHeight="1">
      <x:c r="A646" s="3"/>
      <x:c r="B646" s="3"/>
      <x:c r="C646" s="3"/>
      <x:c r="D646" s="4"/>
      <x:c r="E646" s="4"/>
      <x:c r="F646" s="4"/>
      <x:c r="G646" s="5" t="str">
        <x:f>IF(COUNTA(A646:F646)=0,"",IF(K646&lt;&gt;"","Review",IF(I646&lt;0,"Overdue",IF(I646=0,"Due now",IF(I646&lt;=M646,"Due soon","Not due")))))</x:f>
      </x:c>
      <x:c r="H646" s="5" t="str">
        <x:f>IF(OR(COUNTA(A646:F646)=0,COUNTIFS('Rules'!$G$7:$G$26,"="&amp;(SUBSTITUTE(SUBSTITUTE(SUBSTITUTE(SUBSTITUTE("type:"&amp;B646,"%","%25"),"~","%7E"),"*","%2A"),"?","%3F")))&lt;&gt;1),"",IF(OR(INDEX('Rules'!$B$7:$B$26,MATCH(SUBSTITUTE(SUBSTITUTE(SUBSTITUTE(SUBSTITUTE("type:"&amp;B646,"%","%25"),"~","%7E"),"*","%2A"),"?","%3F"),'Rules'!$G$7:$G$26,0))="hours",INDEX('Rules'!$B$7:$B$26,MATCH(SUBSTITUTE(SUBSTITUTE(SUBSTITUTE(SUBSTITUTE("type:"&amp;B646,"%","%25"),"~","%7E"),"*","%2A"),"?","%3F"),'Rules'!$G$7:$G$26,0))="km"),INDEX('Rules'!$B$7:$B$26,MATCH(SUBSTITUTE(SUBSTITUTE(SUBSTITUTE(SUBSTITUTE("type:"&amp;B646,"%","%25"),"~","%7E"),"*","%2A"),"?","%3F"),'Rules'!$G$7:$G$26,0)),""))</x:f>
      </x:c>
      <x:c r="I646" s="6" t="str">
        <x:f>IF(AND(NOT(COUNTA(A646:F646)=0),K646=""),ROUND(J646-D646,3),"")</x:f>
      </x:c>
      <x:c r="J646" s="6" t="str">
        <x:f>IF(AND(NOT(COUNTA(A646:F646)=0),K646=""),ROUND(F646+L646,3),"")</x:f>
      </x:c>
      <x:c r="K646" s="5" t="str">
        <x:f>IF(COUNTA(A646:F646)=0,"",IF(A646="","Missing equipment ID",IF(COUNTIFS($N$8:$N$2007,"="&amp;N646)&gt;1,"Duplicate equipment ID",IF(B646="","Missing type",IF(COUNTIFS('Rules'!$G$7:$G$26,"="&amp;(SUBSTITUTE(SUBSTITUTE(SUBSTITUTE(SUBSTITUTE("type:"&amp;B646,"%","%25"),"~","%7E"),"*","%2A"),"?","%3F")))=0,"Unknown type",IF(COUNTIFS('Rules'!$G$7:$G$26,"="&amp;(SUBSTITUTE(SUBSTITUTE(SUBSTITUTE(SUBSTITUTE("type:"&amp;B646,"%","%25"),"~","%7E"),"*","%2A"),"?","%3F")))&gt;1,"Duplicate type",IF(INDEX('Rules'!$F$7:$F$26,MATCH(SUBSTITUTE(SUBSTITUTE(SUBSTITUTE(SUBSTITUTE("type:"&amp;B646,"%","%25"),"~","%7E"),"*","%2A"),"?","%3F"),'Rules'!$G$7:$G$26,0))&lt;&gt;"",INDEX('Rules'!$F$7:$F$26,MATCH(SUBSTITUTE(SUBSTITUTE(SUBSTITUTE(SUBSTITUTE("type:"&amp;B646,"%","%25"),"~","%7E"),"*","%2A"),"?","%3F"),'Rules'!$G$7:$G$26,0)),IF(AND(C646&lt;&gt;"",C646&lt;&gt;INDEX('Rules'!$B$7:$B$26,MATCH(SUBSTITUTE(SUBSTITUTE(SUBSTITUTE(SUBSTITUTE("type:"&amp;B646,"%","%25"),"~","%7E"),"*","%2A"),"?","%3F"),'Rules'!$G$7:$G$26,0))),"Unit mismatch",IF(IF(NOT(ISNUMBER(D646)),TRUE,OR(D646&lt;0,D646&gt;999999999,ROUND(D646,3)&lt;&gt;D646)),"Invalid current reading",IF(AND(E646&lt;&gt;"",IF(NOT(ISNUMBER(E646)),TRUE,OR(E646&lt;0,E646&gt;999999999,ROUND(E646,3)&lt;&gt;E646))),"Invalid previous reading",IF(IF(NOT(ISNUMBER(F646)),TRUE,OR(F646&lt;0,F646&gt;999999999,ROUND(F646,3)&lt;&gt;F646)),"Invalid last service",IF(AND(E646&lt;&gt;"",D646&lt;E646),"Decreased reading",IF(F646&gt;D646,"Last service above current","")))))))))))))</x:f>
      </x:c>
      <x:c r="L646" s="6" t="str">
        <x:f>IF(AND(NOT(COUNTA(A646:F646)=0),K646=""),INDEX('Rules'!$C$7:$C$26,MATCH(SUBSTITUTE(SUBSTITUTE(SUBSTITUTE(SUBSTITUTE("type:"&amp;B646,"%","%25"),"~","%7E"),"*","%2A"),"?","%3F"),'Rules'!$G$7:$G$26,0)),"")</x:f>
      </x:c>
      <x:c r="M646" s="6" t="str">
        <x:f>IF(AND(NOT(COUNTA(A646:F646)=0),K646=""),INDEX('Rules'!$D$7:$D$26,MATCH(SUBSTITUTE(SUBSTITUTE(SUBSTITUTE(SUBSTITUTE("type:"&amp;B646,"%","%25"),"~","%7E"),"*","%2A"),"?","%3F"),'Rules'!$G$7:$G$26,0)),"")</x:f>
      </x:c>
      <x:c r="N646" s="5" t="str">
        <x:f>IF(COUNTA(A646:F646)=0,"",SUBSTITUTE(SUBSTITUTE(SUBSTITUTE(SUBSTITUTE("id:"&amp;A646,"%","%25"),"~","%7E"),"*","%2A"),"?","%3F"))</x:f>
      </x:c>
    </x:row>
    <x:row r="647" ht="22" customHeight="1">
      <x:c r="A647" s="3"/>
      <x:c r="B647" s="3"/>
      <x:c r="C647" s="3"/>
      <x:c r="D647" s="4"/>
      <x:c r="E647" s="4"/>
      <x:c r="F647" s="4"/>
      <x:c r="G647" s="5" t="str">
        <x:f>IF(COUNTA(A647:F647)=0,"",IF(K647&lt;&gt;"","Review",IF(I647&lt;0,"Overdue",IF(I647=0,"Due now",IF(I647&lt;=M647,"Due soon","Not due")))))</x:f>
      </x:c>
      <x:c r="H647" s="5" t="str">
        <x:f>IF(OR(COUNTA(A647:F647)=0,COUNTIFS('Rules'!$G$7:$G$26,"="&amp;(SUBSTITUTE(SUBSTITUTE(SUBSTITUTE(SUBSTITUTE("type:"&amp;B647,"%","%25"),"~","%7E"),"*","%2A"),"?","%3F")))&lt;&gt;1),"",IF(OR(INDEX('Rules'!$B$7:$B$26,MATCH(SUBSTITUTE(SUBSTITUTE(SUBSTITUTE(SUBSTITUTE("type:"&amp;B647,"%","%25"),"~","%7E"),"*","%2A"),"?","%3F"),'Rules'!$G$7:$G$26,0))="hours",INDEX('Rules'!$B$7:$B$26,MATCH(SUBSTITUTE(SUBSTITUTE(SUBSTITUTE(SUBSTITUTE("type:"&amp;B647,"%","%25"),"~","%7E"),"*","%2A"),"?","%3F"),'Rules'!$G$7:$G$26,0))="km"),INDEX('Rules'!$B$7:$B$26,MATCH(SUBSTITUTE(SUBSTITUTE(SUBSTITUTE(SUBSTITUTE("type:"&amp;B647,"%","%25"),"~","%7E"),"*","%2A"),"?","%3F"),'Rules'!$G$7:$G$26,0)),""))</x:f>
      </x:c>
      <x:c r="I647" s="6" t="str">
        <x:f>IF(AND(NOT(COUNTA(A647:F647)=0),K647=""),ROUND(J647-D647,3),"")</x:f>
      </x:c>
      <x:c r="J647" s="6" t="str">
        <x:f>IF(AND(NOT(COUNTA(A647:F647)=0),K647=""),ROUND(F647+L647,3),"")</x:f>
      </x:c>
      <x:c r="K647" s="5" t="str">
        <x:f>IF(COUNTA(A647:F647)=0,"",IF(A647="","Missing equipment ID",IF(COUNTIFS($N$8:$N$2007,"="&amp;N647)&gt;1,"Duplicate equipment ID",IF(B647="","Missing type",IF(COUNTIFS('Rules'!$G$7:$G$26,"="&amp;(SUBSTITUTE(SUBSTITUTE(SUBSTITUTE(SUBSTITUTE("type:"&amp;B647,"%","%25"),"~","%7E"),"*","%2A"),"?","%3F")))=0,"Unknown type",IF(COUNTIFS('Rules'!$G$7:$G$26,"="&amp;(SUBSTITUTE(SUBSTITUTE(SUBSTITUTE(SUBSTITUTE("type:"&amp;B647,"%","%25"),"~","%7E"),"*","%2A"),"?","%3F")))&gt;1,"Duplicate type",IF(INDEX('Rules'!$F$7:$F$26,MATCH(SUBSTITUTE(SUBSTITUTE(SUBSTITUTE(SUBSTITUTE("type:"&amp;B647,"%","%25"),"~","%7E"),"*","%2A"),"?","%3F"),'Rules'!$G$7:$G$26,0))&lt;&gt;"",INDEX('Rules'!$F$7:$F$26,MATCH(SUBSTITUTE(SUBSTITUTE(SUBSTITUTE(SUBSTITUTE("type:"&amp;B647,"%","%25"),"~","%7E"),"*","%2A"),"?","%3F"),'Rules'!$G$7:$G$26,0)),IF(AND(C647&lt;&gt;"",C647&lt;&gt;INDEX('Rules'!$B$7:$B$26,MATCH(SUBSTITUTE(SUBSTITUTE(SUBSTITUTE(SUBSTITUTE("type:"&amp;B647,"%","%25"),"~","%7E"),"*","%2A"),"?","%3F"),'Rules'!$G$7:$G$26,0))),"Unit mismatch",IF(IF(NOT(ISNUMBER(D647)),TRUE,OR(D647&lt;0,D647&gt;999999999,ROUND(D647,3)&lt;&gt;D647)),"Invalid current reading",IF(AND(E647&lt;&gt;"",IF(NOT(ISNUMBER(E647)),TRUE,OR(E647&lt;0,E647&gt;999999999,ROUND(E647,3)&lt;&gt;E647))),"Invalid previous reading",IF(IF(NOT(ISNUMBER(F647)),TRUE,OR(F647&lt;0,F647&gt;999999999,ROUND(F647,3)&lt;&gt;F647)),"Invalid last service",IF(AND(E647&lt;&gt;"",D647&lt;E647),"Decreased reading",IF(F647&gt;D647,"Last service above current","")))))))))))))</x:f>
      </x:c>
      <x:c r="L647" s="6" t="str">
        <x:f>IF(AND(NOT(COUNTA(A647:F647)=0),K647=""),INDEX('Rules'!$C$7:$C$26,MATCH(SUBSTITUTE(SUBSTITUTE(SUBSTITUTE(SUBSTITUTE("type:"&amp;B647,"%","%25"),"~","%7E"),"*","%2A"),"?","%3F"),'Rules'!$G$7:$G$26,0)),"")</x:f>
      </x:c>
      <x:c r="M647" s="6" t="str">
        <x:f>IF(AND(NOT(COUNTA(A647:F647)=0),K647=""),INDEX('Rules'!$D$7:$D$26,MATCH(SUBSTITUTE(SUBSTITUTE(SUBSTITUTE(SUBSTITUTE("type:"&amp;B647,"%","%25"),"~","%7E"),"*","%2A"),"?","%3F"),'Rules'!$G$7:$G$26,0)),"")</x:f>
      </x:c>
      <x:c r="N647" s="5" t="str">
        <x:f>IF(COUNTA(A647:F647)=0,"",SUBSTITUTE(SUBSTITUTE(SUBSTITUTE(SUBSTITUTE("id:"&amp;A647,"%","%25"),"~","%7E"),"*","%2A"),"?","%3F"))</x:f>
      </x:c>
    </x:row>
    <x:row r="648" ht="22" customHeight="1">
      <x:c r="A648" s="3"/>
      <x:c r="B648" s="3"/>
      <x:c r="C648" s="3"/>
      <x:c r="D648" s="4"/>
      <x:c r="E648" s="4"/>
      <x:c r="F648" s="4"/>
      <x:c r="G648" s="5" t="str">
        <x:f>IF(COUNTA(A648:F648)=0,"",IF(K648&lt;&gt;"","Review",IF(I648&lt;0,"Overdue",IF(I648=0,"Due now",IF(I648&lt;=M648,"Due soon","Not due")))))</x:f>
      </x:c>
      <x:c r="H648" s="5" t="str">
        <x:f>IF(OR(COUNTA(A648:F648)=0,COUNTIFS('Rules'!$G$7:$G$26,"="&amp;(SUBSTITUTE(SUBSTITUTE(SUBSTITUTE(SUBSTITUTE("type:"&amp;B648,"%","%25"),"~","%7E"),"*","%2A"),"?","%3F")))&lt;&gt;1),"",IF(OR(INDEX('Rules'!$B$7:$B$26,MATCH(SUBSTITUTE(SUBSTITUTE(SUBSTITUTE(SUBSTITUTE("type:"&amp;B648,"%","%25"),"~","%7E"),"*","%2A"),"?","%3F"),'Rules'!$G$7:$G$26,0))="hours",INDEX('Rules'!$B$7:$B$26,MATCH(SUBSTITUTE(SUBSTITUTE(SUBSTITUTE(SUBSTITUTE("type:"&amp;B648,"%","%25"),"~","%7E"),"*","%2A"),"?","%3F"),'Rules'!$G$7:$G$26,0))="km"),INDEX('Rules'!$B$7:$B$26,MATCH(SUBSTITUTE(SUBSTITUTE(SUBSTITUTE(SUBSTITUTE("type:"&amp;B648,"%","%25"),"~","%7E"),"*","%2A"),"?","%3F"),'Rules'!$G$7:$G$26,0)),""))</x:f>
      </x:c>
      <x:c r="I648" s="6" t="str">
        <x:f>IF(AND(NOT(COUNTA(A648:F648)=0),K648=""),ROUND(J648-D648,3),"")</x:f>
      </x:c>
      <x:c r="J648" s="6" t="str">
        <x:f>IF(AND(NOT(COUNTA(A648:F648)=0),K648=""),ROUND(F648+L648,3),"")</x:f>
      </x:c>
      <x:c r="K648" s="5" t="str">
        <x:f>IF(COUNTA(A648:F648)=0,"",IF(A648="","Missing equipment ID",IF(COUNTIFS($N$8:$N$2007,"="&amp;N648)&gt;1,"Duplicate equipment ID",IF(B648="","Missing type",IF(COUNTIFS('Rules'!$G$7:$G$26,"="&amp;(SUBSTITUTE(SUBSTITUTE(SUBSTITUTE(SUBSTITUTE("type:"&amp;B648,"%","%25"),"~","%7E"),"*","%2A"),"?","%3F")))=0,"Unknown type",IF(COUNTIFS('Rules'!$G$7:$G$26,"="&amp;(SUBSTITUTE(SUBSTITUTE(SUBSTITUTE(SUBSTITUTE("type:"&amp;B648,"%","%25"),"~","%7E"),"*","%2A"),"?","%3F")))&gt;1,"Duplicate type",IF(INDEX('Rules'!$F$7:$F$26,MATCH(SUBSTITUTE(SUBSTITUTE(SUBSTITUTE(SUBSTITUTE("type:"&amp;B648,"%","%25"),"~","%7E"),"*","%2A"),"?","%3F"),'Rules'!$G$7:$G$26,0))&lt;&gt;"",INDEX('Rules'!$F$7:$F$26,MATCH(SUBSTITUTE(SUBSTITUTE(SUBSTITUTE(SUBSTITUTE("type:"&amp;B648,"%","%25"),"~","%7E"),"*","%2A"),"?","%3F"),'Rules'!$G$7:$G$26,0)),IF(AND(C648&lt;&gt;"",C648&lt;&gt;INDEX('Rules'!$B$7:$B$26,MATCH(SUBSTITUTE(SUBSTITUTE(SUBSTITUTE(SUBSTITUTE("type:"&amp;B648,"%","%25"),"~","%7E"),"*","%2A"),"?","%3F"),'Rules'!$G$7:$G$26,0))),"Unit mismatch",IF(IF(NOT(ISNUMBER(D648)),TRUE,OR(D648&lt;0,D648&gt;999999999,ROUND(D648,3)&lt;&gt;D648)),"Invalid current reading",IF(AND(E648&lt;&gt;"",IF(NOT(ISNUMBER(E648)),TRUE,OR(E648&lt;0,E648&gt;999999999,ROUND(E648,3)&lt;&gt;E648))),"Invalid previous reading",IF(IF(NOT(ISNUMBER(F648)),TRUE,OR(F648&lt;0,F648&gt;999999999,ROUND(F648,3)&lt;&gt;F648)),"Invalid last service",IF(AND(E648&lt;&gt;"",D648&lt;E648),"Decreased reading",IF(F648&gt;D648,"Last service above current","")))))))))))))</x:f>
      </x:c>
      <x:c r="L648" s="6" t="str">
        <x:f>IF(AND(NOT(COUNTA(A648:F648)=0),K648=""),INDEX('Rules'!$C$7:$C$26,MATCH(SUBSTITUTE(SUBSTITUTE(SUBSTITUTE(SUBSTITUTE("type:"&amp;B648,"%","%25"),"~","%7E"),"*","%2A"),"?","%3F"),'Rules'!$G$7:$G$26,0)),"")</x:f>
      </x:c>
      <x:c r="M648" s="6" t="str">
        <x:f>IF(AND(NOT(COUNTA(A648:F648)=0),K648=""),INDEX('Rules'!$D$7:$D$26,MATCH(SUBSTITUTE(SUBSTITUTE(SUBSTITUTE(SUBSTITUTE("type:"&amp;B648,"%","%25"),"~","%7E"),"*","%2A"),"?","%3F"),'Rules'!$G$7:$G$26,0)),"")</x:f>
      </x:c>
      <x:c r="N648" s="5" t="str">
        <x:f>IF(COUNTA(A648:F648)=0,"",SUBSTITUTE(SUBSTITUTE(SUBSTITUTE(SUBSTITUTE("id:"&amp;A648,"%","%25"),"~","%7E"),"*","%2A"),"?","%3F"))</x:f>
      </x:c>
    </x:row>
    <x:row r="649" ht="22" customHeight="1">
      <x:c r="A649" s="3"/>
      <x:c r="B649" s="3"/>
      <x:c r="C649" s="3"/>
      <x:c r="D649" s="4"/>
      <x:c r="E649" s="4"/>
      <x:c r="F649" s="4"/>
      <x:c r="G649" s="5" t="str">
        <x:f>IF(COUNTA(A649:F649)=0,"",IF(K649&lt;&gt;"","Review",IF(I649&lt;0,"Overdue",IF(I649=0,"Due now",IF(I649&lt;=M649,"Due soon","Not due")))))</x:f>
      </x:c>
      <x:c r="H649" s="5" t="str">
        <x:f>IF(OR(COUNTA(A649:F649)=0,COUNTIFS('Rules'!$G$7:$G$26,"="&amp;(SUBSTITUTE(SUBSTITUTE(SUBSTITUTE(SUBSTITUTE("type:"&amp;B649,"%","%25"),"~","%7E"),"*","%2A"),"?","%3F")))&lt;&gt;1),"",IF(OR(INDEX('Rules'!$B$7:$B$26,MATCH(SUBSTITUTE(SUBSTITUTE(SUBSTITUTE(SUBSTITUTE("type:"&amp;B649,"%","%25"),"~","%7E"),"*","%2A"),"?","%3F"),'Rules'!$G$7:$G$26,0))="hours",INDEX('Rules'!$B$7:$B$26,MATCH(SUBSTITUTE(SUBSTITUTE(SUBSTITUTE(SUBSTITUTE("type:"&amp;B649,"%","%25"),"~","%7E"),"*","%2A"),"?","%3F"),'Rules'!$G$7:$G$26,0))="km"),INDEX('Rules'!$B$7:$B$26,MATCH(SUBSTITUTE(SUBSTITUTE(SUBSTITUTE(SUBSTITUTE("type:"&amp;B649,"%","%25"),"~","%7E"),"*","%2A"),"?","%3F"),'Rules'!$G$7:$G$26,0)),""))</x:f>
      </x:c>
      <x:c r="I649" s="6" t="str">
        <x:f>IF(AND(NOT(COUNTA(A649:F649)=0),K649=""),ROUND(J649-D649,3),"")</x:f>
      </x:c>
      <x:c r="J649" s="6" t="str">
        <x:f>IF(AND(NOT(COUNTA(A649:F649)=0),K649=""),ROUND(F649+L649,3),"")</x:f>
      </x:c>
      <x:c r="K649" s="5" t="str">
        <x:f>IF(COUNTA(A649:F649)=0,"",IF(A649="","Missing equipment ID",IF(COUNTIFS($N$8:$N$2007,"="&amp;N649)&gt;1,"Duplicate equipment ID",IF(B649="","Missing type",IF(COUNTIFS('Rules'!$G$7:$G$26,"="&amp;(SUBSTITUTE(SUBSTITUTE(SUBSTITUTE(SUBSTITUTE("type:"&amp;B649,"%","%25"),"~","%7E"),"*","%2A"),"?","%3F")))=0,"Unknown type",IF(COUNTIFS('Rules'!$G$7:$G$26,"="&amp;(SUBSTITUTE(SUBSTITUTE(SUBSTITUTE(SUBSTITUTE("type:"&amp;B649,"%","%25"),"~","%7E"),"*","%2A"),"?","%3F")))&gt;1,"Duplicate type",IF(INDEX('Rules'!$F$7:$F$26,MATCH(SUBSTITUTE(SUBSTITUTE(SUBSTITUTE(SUBSTITUTE("type:"&amp;B649,"%","%25"),"~","%7E"),"*","%2A"),"?","%3F"),'Rules'!$G$7:$G$26,0))&lt;&gt;"",INDEX('Rules'!$F$7:$F$26,MATCH(SUBSTITUTE(SUBSTITUTE(SUBSTITUTE(SUBSTITUTE("type:"&amp;B649,"%","%25"),"~","%7E"),"*","%2A"),"?","%3F"),'Rules'!$G$7:$G$26,0)),IF(AND(C649&lt;&gt;"",C649&lt;&gt;INDEX('Rules'!$B$7:$B$26,MATCH(SUBSTITUTE(SUBSTITUTE(SUBSTITUTE(SUBSTITUTE("type:"&amp;B649,"%","%25"),"~","%7E"),"*","%2A"),"?","%3F"),'Rules'!$G$7:$G$26,0))),"Unit mismatch",IF(IF(NOT(ISNUMBER(D649)),TRUE,OR(D649&lt;0,D649&gt;999999999,ROUND(D649,3)&lt;&gt;D649)),"Invalid current reading",IF(AND(E649&lt;&gt;"",IF(NOT(ISNUMBER(E649)),TRUE,OR(E649&lt;0,E649&gt;999999999,ROUND(E649,3)&lt;&gt;E649))),"Invalid previous reading",IF(IF(NOT(ISNUMBER(F649)),TRUE,OR(F649&lt;0,F649&gt;999999999,ROUND(F649,3)&lt;&gt;F649)),"Invalid last service",IF(AND(E649&lt;&gt;"",D649&lt;E649),"Decreased reading",IF(F649&gt;D649,"Last service above current","")))))))))))))</x:f>
      </x:c>
      <x:c r="L649" s="6" t="str">
        <x:f>IF(AND(NOT(COUNTA(A649:F649)=0),K649=""),INDEX('Rules'!$C$7:$C$26,MATCH(SUBSTITUTE(SUBSTITUTE(SUBSTITUTE(SUBSTITUTE("type:"&amp;B649,"%","%25"),"~","%7E"),"*","%2A"),"?","%3F"),'Rules'!$G$7:$G$26,0)),"")</x:f>
      </x:c>
      <x:c r="M649" s="6" t="str">
        <x:f>IF(AND(NOT(COUNTA(A649:F649)=0),K649=""),INDEX('Rules'!$D$7:$D$26,MATCH(SUBSTITUTE(SUBSTITUTE(SUBSTITUTE(SUBSTITUTE("type:"&amp;B649,"%","%25"),"~","%7E"),"*","%2A"),"?","%3F"),'Rules'!$G$7:$G$26,0)),"")</x:f>
      </x:c>
      <x:c r="N649" s="5" t="str">
        <x:f>IF(COUNTA(A649:F649)=0,"",SUBSTITUTE(SUBSTITUTE(SUBSTITUTE(SUBSTITUTE("id:"&amp;A649,"%","%25"),"~","%7E"),"*","%2A"),"?","%3F"))</x:f>
      </x:c>
    </x:row>
    <x:row r="650" ht="22" customHeight="1">
      <x:c r="A650" s="3"/>
      <x:c r="B650" s="3"/>
      <x:c r="C650" s="3"/>
      <x:c r="D650" s="4"/>
      <x:c r="E650" s="4"/>
      <x:c r="F650" s="4"/>
      <x:c r="G650" s="5" t="str">
        <x:f>IF(COUNTA(A650:F650)=0,"",IF(K650&lt;&gt;"","Review",IF(I650&lt;0,"Overdue",IF(I650=0,"Due now",IF(I650&lt;=M650,"Due soon","Not due")))))</x:f>
      </x:c>
      <x:c r="H650" s="5" t="str">
        <x:f>IF(OR(COUNTA(A650:F650)=0,COUNTIFS('Rules'!$G$7:$G$26,"="&amp;(SUBSTITUTE(SUBSTITUTE(SUBSTITUTE(SUBSTITUTE("type:"&amp;B650,"%","%25"),"~","%7E"),"*","%2A"),"?","%3F")))&lt;&gt;1),"",IF(OR(INDEX('Rules'!$B$7:$B$26,MATCH(SUBSTITUTE(SUBSTITUTE(SUBSTITUTE(SUBSTITUTE("type:"&amp;B650,"%","%25"),"~","%7E"),"*","%2A"),"?","%3F"),'Rules'!$G$7:$G$26,0))="hours",INDEX('Rules'!$B$7:$B$26,MATCH(SUBSTITUTE(SUBSTITUTE(SUBSTITUTE(SUBSTITUTE("type:"&amp;B650,"%","%25"),"~","%7E"),"*","%2A"),"?","%3F"),'Rules'!$G$7:$G$26,0))="km"),INDEX('Rules'!$B$7:$B$26,MATCH(SUBSTITUTE(SUBSTITUTE(SUBSTITUTE(SUBSTITUTE("type:"&amp;B650,"%","%25"),"~","%7E"),"*","%2A"),"?","%3F"),'Rules'!$G$7:$G$26,0)),""))</x:f>
      </x:c>
      <x:c r="I650" s="6" t="str">
        <x:f>IF(AND(NOT(COUNTA(A650:F650)=0),K650=""),ROUND(J650-D650,3),"")</x:f>
      </x:c>
      <x:c r="J650" s="6" t="str">
        <x:f>IF(AND(NOT(COUNTA(A650:F650)=0),K650=""),ROUND(F650+L650,3),"")</x:f>
      </x:c>
      <x:c r="K650" s="5" t="str">
        <x:f>IF(COUNTA(A650:F650)=0,"",IF(A650="","Missing equipment ID",IF(COUNTIFS($N$8:$N$2007,"="&amp;N650)&gt;1,"Duplicate equipment ID",IF(B650="","Missing type",IF(COUNTIFS('Rules'!$G$7:$G$26,"="&amp;(SUBSTITUTE(SUBSTITUTE(SUBSTITUTE(SUBSTITUTE("type:"&amp;B650,"%","%25"),"~","%7E"),"*","%2A"),"?","%3F")))=0,"Unknown type",IF(COUNTIFS('Rules'!$G$7:$G$26,"="&amp;(SUBSTITUTE(SUBSTITUTE(SUBSTITUTE(SUBSTITUTE("type:"&amp;B650,"%","%25"),"~","%7E"),"*","%2A"),"?","%3F")))&gt;1,"Duplicate type",IF(INDEX('Rules'!$F$7:$F$26,MATCH(SUBSTITUTE(SUBSTITUTE(SUBSTITUTE(SUBSTITUTE("type:"&amp;B650,"%","%25"),"~","%7E"),"*","%2A"),"?","%3F"),'Rules'!$G$7:$G$26,0))&lt;&gt;"",INDEX('Rules'!$F$7:$F$26,MATCH(SUBSTITUTE(SUBSTITUTE(SUBSTITUTE(SUBSTITUTE("type:"&amp;B650,"%","%25"),"~","%7E"),"*","%2A"),"?","%3F"),'Rules'!$G$7:$G$26,0)),IF(AND(C650&lt;&gt;"",C650&lt;&gt;INDEX('Rules'!$B$7:$B$26,MATCH(SUBSTITUTE(SUBSTITUTE(SUBSTITUTE(SUBSTITUTE("type:"&amp;B650,"%","%25"),"~","%7E"),"*","%2A"),"?","%3F"),'Rules'!$G$7:$G$26,0))),"Unit mismatch",IF(IF(NOT(ISNUMBER(D650)),TRUE,OR(D650&lt;0,D650&gt;999999999,ROUND(D650,3)&lt;&gt;D650)),"Invalid current reading",IF(AND(E650&lt;&gt;"",IF(NOT(ISNUMBER(E650)),TRUE,OR(E650&lt;0,E650&gt;999999999,ROUND(E650,3)&lt;&gt;E650))),"Invalid previous reading",IF(IF(NOT(ISNUMBER(F650)),TRUE,OR(F650&lt;0,F650&gt;999999999,ROUND(F650,3)&lt;&gt;F650)),"Invalid last service",IF(AND(E650&lt;&gt;"",D650&lt;E650),"Decreased reading",IF(F650&gt;D650,"Last service above current","")))))))))))))</x:f>
      </x:c>
      <x:c r="L650" s="6" t="str">
        <x:f>IF(AND(NOT(COUNTA(A650:F650)=0),K650=""),INDEX('Rules'!$C$7:$C$26,MATCH(SUBSTITUTE(SUBSTITUTE(SUBSTITUTE(SUBSTITUTE("type:"&amp;B650,"%","%25"),"~","%7E"),"*","%2A"),"?","%3F"),'Rules'!$G$7:$G$26,0)),"")</x:f>
      </x:c>
      <x:c r="M650" s="6" t="str">
        <x:f>IF(AND(NOT(COUNTA(A650:F650)=0),K650=""),INDEX('Rules'!$D$7:$D$26,MATCH(SUBSTITUTE(SUBSTITUTE(SUBSTITUTE(SUBSTITUTE("type:"&amp;B650,"%","%25"),"~","%7E"),"*","%2A"),"?","%3F"),'Rules'!$G$7:$G$26,0)),"")</x:f>
      </x:c>
      <x:c r="N650" s="5" t="str">
        <x:f>IF(COUNTA(A650:F650)=0,"",SUBSTITUTE(SUBSTITUTE(SUBSTITUTE(SUBSTITUTE("id:"&amp;A650,"%","%25"),"~","%7E"),"*","%2A"),"?","%3F"))</x:f>
      </x:c>
    </x:row>
    <x:row r="651" ht="22" customHeight="1">
      <x:c r="A651" s="3"/>
      <x:c r="B651" s="3"/>
      <x:c r="C651" s="3"/>
      <x:c r="D651" s="4"/>
      <x:c r="E651" s="4"/>
      <x:c r="F651" s="4"/>
      <x:c r="G651" s="5" t="str">
        <x:f>IF(COUNTA(A651:F651)=0,"",IF(K651&lt;&gt;"","Review",IF(I651&lt;0,"Overdue",IF(I651=0,"Due now",IF(I651&lt;=M651,"Due soon","Not due")))))</x:f>
      </x:c>
      <x:c r="H651" s="5" t="str">
        <x:f>IF(OR(COUNTA(A651:F651)=0,COUNTIFS('Rules'!$G$7:$G$26,"="&amp;(SUBSTITUTE(SUBSTITUTE(SUBSTITUTE(SUBSTITUTE("type:"&amp;B651,"%","%25"),"~","%7E"),"*","%2A"),"?","%3F")))&lt;&gt;1),"",IF(OR(INDEX('Rules'!$B$7:$B$26,MATCH(SUBSTITUTE(SUBSTITUTE(SUBSTITUTE(SUBSTITUTE("type:"&amp;B651,"%","%25"),"~","%7E"),"*","%2A"),"?","%3F"),'Rules'!$G$7:$G$26,0))="hours",INDEX('Rules'!$B$7:$B$26,MATCH(SUBSTITUTE(SUBSTITUTE(SUBSTITUTE(SUBSTITUTE("type:"&amp;B651,"%","%25"),"~","%7E"),"*","%2A"),"?","%3F"),'Rules'!$G$7:$G$26,0))="km"),INDEX('Rules'!$B$7:$B$26,MATCH(SUBSTITUTE(SUBSTITUTE(SUBSTITUTE(SUBSTITUTE("type:"&amp;B651,"%","%25"),"~","%7E"),"*","%2A"),"?","%3F"),'Rules'!$G$7:$G$26,0)),""))</x:f>
      </x:c>
      <x:c r="I651" s="6" t="str">
        <x:f>IF(AND(NOT(COUNTA(A651:F651)=0),K651=""),ROUND(J651-D651,3),"")</x:f>
      </x:c>
      <x:c r="J651" s="6" t="str">
        <x:f>IF(AND(NOT(COUNTA(A651:F651)=0),K651=""),ROUND(F651+L651,3),"")</x:f>
      </x:c>
      <x:c r="K651" s="5" t="str">
        <x:f>IF(COUNTA(A651:F651)=0,"",IF(A651="","Missing equipment ID",IF(COUNTIFS($N$8:$N$2007,"="&amp;N651)&gt;1,"Duplicate equipment ID",IF(B651="","Missing type",IF(COUNTIFS('Rules'!$G$7:$G$26,"="&amp;(SUBSTITUTE(SUBSTITUTE(SUBSTITUTE(SUBSTITUTE("type:"&amp;B651,"%","%25"),"~","%7E"),"*","%2A"),"?","%3F")))=0,"Unknown type",IF(COUNTIFS('Rules'!$G$7:$G$26,"="&amp;(SUBSTITUTE(SUBSTITUTE(SUBSTITUTE(SUBSTITUTE("type:"&amp;B651,"%","%25"),"~","%7E"),"*","%2A"),"?","%3F")))&gt;1,"Duplicate type",IF(INDEX('Rules'!$F$7:$F$26,MATCH(SUBSTITUTE(SUBSTITUTE(SUBSTITUTE(SUBSTITUTE("type:"&amp;B651,"%","%25"),"~","%7E"),"*","%2A"),"?","%3F"),'Rules'!$G$7:$G$26,0))&lt;&gt;"",INDEX('Rules'!$F$7:$F$26,MATCH(SUBSTITUTE(SUBSTITUTE(SUBSTITUTE(SUBSTITUTE("type:"&amp;B651,"%","%25"),"~","%7E"),"*","%2A"),"?","%3F"),'Rules'!$G$7:$G$26,0)),IF(AND(C651&lt;&gt;"",C651&lt;&gt;INDEX('Rules'!$B$7:$B$26,MATCH(SUBSTITUTE(SUBSTITUTE(SUBSTITUTE(SUBSTITUTE("type:"&amp;B651,"%","%25"),"~","%7E"),"*","%2A"),"?","%3F"),'Rules'!$G$7:$G$26,0))),"Unit mismatch",IF(IF(NOT(ISNUMBER(D651)),TRUE,OR(D651&lt;0,D651&gt;999999999,ROUND(D651,3)&lt;&gt;D651)),"Invalid current reading",IF(AND(E651&lt;&gt;"",IF(NOT(ISNUMBER(E651)),TRUE,OR(E651&lt;0,E651&gt;999999999,ROUND(E651,3)&lt;&gt;E651))),"Invalid previous reading",IF(IF(NOT(ISNUMBER(F651)),TRUE,OR(F651&lt;0,F651&gt;999999999,ROUND(F651,3)&lt;&gt;F651)),"Invalid last service",IF(AND(E651&lt;&gt;"",D651&lt;E651),"Decreased reading",IF(F651&gt;D651,"Last service above current","")))))))))))))</x:f>
      </x:c>
      <x:c r="L651" s="6" t="str">
        <x:f>IF(AND(NOT(COUNTA(A651:F651)=0),K651=""),INDEX('Rules'!$C$7:$C$26,MATCH(SUBSTITUTE(SUBSTITUTE(SUBSTITUTE(SUBSTITUTE("type:"&amp;B651,"%","%25"),"~","%7E"),"*","%2A"),"?","%3F"),'Rules'!$G$7:$G$26,0)),"")</x:f>
      </x:c>
      <x:c r="M651" s="6" t="str">
        <x:f>IF(AND(NOT(COUNTA(A651:F651)=0),K651=""),INDEX('Rules'!$D$7:$D$26,MATCH(SUBSTITUTE(SUBSTITUTE(SUBSTITUTE(SUBSTITUTE("type:"&amp;B651,"%","%25"),"~","%7E"),"*","%2A"),"?","%3F"),'Rules'!$G$7:$G$26,0)),"")</x:f>
      </x:c>
      <x:c r="N651" s="5" t="str">
        <x:f>IF(COUNTA(A651:F651)=0,"",SUBSTITUTE(SUBSTITUTE(SUBSTITUTE(SUBSTITUTE("id:"&amp;A651,"%","%25"),"~","%7E"),"*","%2A"),"?","%3F"))</x:f>
      </x:c>
    </x:row>
    <x:row r="652" ht="22" customHeight="1">
      <x:c r="A652" s="3"/>
      <x:c r="B652" s="3"/>
      <x:c r="C652" s="3"/>
      <x:c r="D652" s="4"/>
      <x:c r="E652" s="4"/>
      <x:c r="F652" s="4"/>
      <x:c r="G652" s="5" t="str">
        <x:f>IF(COUNTA(A652:F652)=0,"",IF(K652&lt;&gt;"","Review",IF(I652&lt;0,"Overdue",IF(I652=0,"Due now",IF(I652&lt;=M652,"Due soon","Not due")))))</x:f>
      </x:c>
      <x:c r="H652" s="5" t="str">
        <x:f>IF(OR(COUNTA(A652:F652)=0,COUNTIFS('Rules'!$G$7:$G$26,"="&amp;(SUBSTITUTE(SUBSTITUTE(SUBSTITUTE(SUBSTITUTE("type:"&amp;B652,"%","%25"),"~","%7E"),"*","%2A"),"?","%3F")))&lt;&gt;1),"",IF(OR(INDEX('Rules'!$B$7:$B$26,MATCH(SUBSTITUTE(SUBSTITUTE(SUBSTITUTE(SUBSTITUTE("type:"&amp;B652,"%","%25"),"~","%7E"),"*","%2A"),"?","%3F"),'Rules'!$G$7:$G$26,0))="hours",INDEX('Rules'!$B$7:$B$26,MATCH(SUBSTITUTE(SUBSTITUTE(SUBSTITUTE(SUBSTITUTE("type:"&amp;B652,"%","%25"),"~","%7E"),"*","%2A"),"?","%3F"),'Rules'!$G$7:$G$26,0))="km"),INDEX('Rules'!$B$7:$B$26,MATCH(SUBSTITUTE(SUBSTITUTE(SUBSTITUTE(SUBSTITUTE("type:"&amp;B652,"%","%25"),"~","%7E"),"*","%2A"),"?","%3F"),'Rules'!$G$7:$G$26,0)),""))</x:f>
      </x:c>
      <x:c r="I652" s="6" t="str">
        <x:f>IF(AND(NOT(COUNTA(A652:F652)=0),K652=""),ROUND(J652-D652,3),"")</x:f>
      </x:c>
      <x:c r="J652" s="6" t="str">
        <x:f>IF(AND(NOT(COUNTA(A652:F652)=0),K652=""),ROUND(F652+L652,3),"")</x:f>
      </x:c>
      <x:c r="K652" s="5" t="str">
        <x:f>IF(COUNTA(A652:F652)=0,"",IF(A652="","Missing equipment ID",IF(COUNTIFS($N$8:$N$2007,"="&amp;N652)&gt;1,"Duplicate equipment ID",IF(B652="","Missing type",IF(COUNTIFS('Rules'!$G$7:$G$26,"="&amp;(SUBSTITUTE(SUBSTITUTE(SUBSTITUTE(SUBSTITUTE("type:"&amp;B652,"%","%25"),"~","%7E"),"*","%2A"),"?","%3F")))=0,"Unknown type",IF(COUNTIFS('Rules'!$G$7:$G$26,"="&amp;(SUBSTITUTE(SUBSTITUTE(SUBSTITUTE(SUBSTITUTE("type:"&amp;B652,"%","%25"),"~","%7E"),"*","%2A"),"?","%3F")))&gt;1,"Duplicate type",IF(INDEX('Rules'!$F$7:$F$26,MATCH(SUBSTITUTE(SUBSTITUTE(SUBSTITUTE(SUBSTITUTE("type:"&amp;B652,"%","%25"),"~","%7E"),"*","%2A"),"?","%3F"),'Rules'!$G$7:$G$26,0))&lt;&gt;"",INDEX('Rules'!$F$7:$F$26,MATCH(SUBSTITUTE(SUBSTITUTE(SUBSTITUTE(SUBSTITUTE("type:"&amp;B652,"%","%25"),"~","%7E"),"*","%2A"),"?","%3F"),'Rules'!$G$7:$G$26,0)),IF(AND(C652&lt;&gt;"",C652&lt;&gt;INDEX('Rules'!$B$7:$B$26,MATCH(SUBSTITUTE(SUBSTITUTE(SUBSTITUTE(SUBSTITUTE("type:"&amp;B652,"%","%25"),"~","%7E"),"*","%2A"),"?","%3F"),'Rules'!$G$7:$G$26,0))),"Unit mismatch",IF(IF(NOT(ISNUMBER(D652)),TRUE,OR(D652&lt;0,D652&gt;999999999,ROUND(D652,3)&lt;&gt;D652)),"Invalid current reading",IF(AND(E652&lt;&gt;"",IF(NOT(ISNUMBER(E652)),TRUE,OR(E652&lt;0,E652&gt;999999999,ROUND(E652,3)&lt;&gt;E652))),"Invalid previous reading",IF(IF(NOT(ISNUMBER(F652)),TRUE,OR(F652&lt;0,F652&gt;999999999,ROUND(F652,3)&lt;&gt;F652)),"Invalid last service",IF(AND(E652&lt;&gt;"",D652&lt;E652),"Decreased reading",IF(F652&gt;D652,"Last service above current","")))))))))))))</x:f>
      </x:c>
      <x:c r="L652" s="6" t="str">
        <x:f>IF(AND(NOT(COUNTA(A652:F652)=0),K652=""),INDEX('Rules'!$C$7:$C$26,MATCH(SUBSTITUTE(SUBSTITUTE(SUBSTITUTE(SUBSTITUTE("type:"&amp;B652,"%","%25"),"~","%7E"),"*","%2A"),"?","%3F"),'Rules'!$G$7:$G$26,0)),"")</x:f>
      </x:c>
      <x:c r="M652" s="6" t="str">
        <x:f>IF(AND(NOT(COUNTA(A652:F652)=0),K652=""),INDEX('Rules'!$D$7:$D$26,MATCH(SUBSTITUTE(SUBSTITUTE(SUBSTITUTE(SUBSTITUTE("type:"&amp;B652,"%","%25"),"~","%7E"),"*","%2A"),"?","%3F"),'Rules'!$G$7:$G$26,0)),"")</x:f>
      </x:c>
      <x:c r="N652" s="5" t="str">
        <x:f>IF(COUNTA(A652:F652)=0,"",SUBSTITUTE(SUBSTITUTE(SUBSTITUTE(SUBSTITUTE("id:"&amp;A652,"%","%25"),"~","%7E"),"*","%2A"),"?","%3F"))</x:f>
      </x:c>
    </x:row>
    <x:row r="653" ht="22" customHeight="1">
      <x:c r="A653" s="3"/>
      <x:c r="B653" s="3"/>
      <x:c r="C653" s="3"/>
      <x:c r="D653" s="4"/>
      <x:c r="E653" s="4"/>
      <x:c r="F653" s="4"/>
      <x:c r="G653" s="5" t="str">
        <x:f>IF(COUNTA(A653:F653)=0,"",IF(K653&lt;&gt;"","Review",IF(I653&lt;0,"Overdue",IF(I653=0,"Due now",IF(I653&lt;=M653,"Due soon","Not due")))))</x:f>
      </x:c>
      <x:c r="H653" s="5" t="str">
        <x:f>IF(OR(COUNTA(A653:F653)=0,COUNTIFS('Rules'!$G$7:$G$26,"="&amp;(SUBSTITUTE(SUBSTITUTE(SUBSTITUTE(SUBSTITUTE("type:"&amp;B653,"%","%25"),"~","%7E"),"*","%2A"),"?","%3F")))&lt;&gt;1),"",IF(OR(INDEX('Rules'!$B$7:$B$26,MATCH(SUBSTITUTE(SUBSTITUTE(SUBSTITUTE(SUBSTITUTE("type:"&amp;B653,"%","%25"),"~","%7E"),"*","%2A"),"?","%3F"),'Rules'!$G$7:$G$26,0))="hours",INDEX('Rules'!$B$7:$B$26,MATCH(SUBSTITUTE(SUBSTITUTE(SUBSTITUTE(SUBSTITUTE("type:"&amp;B653,"%","%25"),"~","%7E"),"*","%2A"),"?","%3F"),'Rules'!$G$7:$G$26,0))="km"),INDEX('Rules'!$B$7:$B$26,MATCH(SUBSTITUTE(SUBSTITUTE(SUBSTITUTE(SUBSTITUTE("type:"&amp;B653,"%","%25"),"~","%7E"),"*","%2A"),"?","%3F"),'Rules'!$G$7:$G$26,0)),""))</x:f>
      </x:c>
      <x:c r="I653" s="6" t="str">
        <x:f>IF(AND(NOT(COUNTA(A653:F653)=0),K653=""),ROUND(J653-D653,3),"")</x:f>
      </x:c>
      <x:c r="J653" s="6" t="str">
        <x:f>IF(AND(NOT(COUNTA(A653:F653)=0),K653=""),ROUND(F653+L653,3),"")</x:f>
      </x:c>
      <x:c r="K653" s="5" t="str">
        <x:f>IF(COUNTA(A653:F653)=0,"",IF(A653="","Missing equipment ID",IF(COUNTIFS($N$8:$N$2007,"="&amp;N653)&gt;1,"Duplicate equipment ID",IF(B653="","Missing type",IF(COUNTIFS('Rules'!$G$7:$G$26,"="&amp;(SUBSTITUTE(SUBSTITUTE(SUBSTITUTE(SUBSTITUTE("type:"&amp;B653,"%","%25"),"~","%7E"),"*","%2A"),"?","%3F")))=0,"Unknown type",IF(COUNTIFS('Rules'!$G$7:$G$26,"="&amp;(SUBSTITUTE(SUBSTITUTE(SUBSTITUTE(SUBSTITUTE("type:"&amp;B653,"%","%25"),"~","%7E"),"*","%2A"),"?","%3F")))&gt;1,"Duplicate type",IF(INDEX('Rules'!$F$7:$F$26,MATCH(SUBSTITUTE(SUBSTITUTE(SUBSTITUTE(SUBSTITUTE("type:"&amp;B653,"%","%25"),"~","%7E"),"*","%2A"),"?","%3F"),'Rules'!$G$7:$G$26,0))&lt;&gt;"",INDEX('Rules'!$F$7:$F$26,MATCH(SUBSTITUTE(SUBSTITUTE(SUBSTITUTE(SUBSTITUTE("type:"&amp;B653,"%","%25"),"~","%7E"),"*","%2A"),"?","%3F"),'Rules'!$G$7:$G$26,0)),IF(AND(C653&lt;&gt;"",C653&lt;&gt;INDEX('Rules'!$B$7:$B$26,MATCH(SUBSTITUTE(SUBSTITUTE(SUBSTITUTE(SUBSTITUTE("type:"&amp;B653,"%","%25"),"~","%7E"),"*","%2A"),"?","%3F"),'Rules'!$G$7:$G$26,0))),"Unit mismatch",IF(IF(NOT(ISNUMBER(D653)),TRUE,OR(D653&lt;0,D653&gt;999999999,ROUND(D653,3)&lt;&gt;D653)),"Invalid current reading",IF(AND(E653&lt;&gt;"",IF(NOT(ISNUMBER(E653)),TRUE,OR(E653&lt;0,E653&gt;999999999,ROUND(E653,3)&lt;&gt;E653))),"Invalid previous reading",IF(IF(NOT(ISNUMBER(F653)),TRUE,OR(F653&lt;0,F653&gt;999999999,ROUND(F653,3)&lt;&gt;F653)),"Invalid last service",IF(AND(E653&lt;&gt;"",D653&lt;E653),"Decreased reading",IF(F653&gt;D653,"Last service above current","")))))))))))))</x:f>
      </x:c>
      <x:c r="L653" s="6" t="str">
        <x:f>IF(AND(NOT(COUNTA(A653:F653)=0),K653=""),INDEX('Rules'!$C$7:$C$26,MATCH(SUBSTITUTE(SUBSTITUTE(SUBSTITUTE(SUBSTITUTE("type:"&amp;B653,"%","%25"),"~","%7E"),"*","%2A"),"?","%3F"),'Rules'!$G$7:$G$26,0)),"")</x:f>
      </x:c>
      <x:c r="M653" s="6" t="str">
        <x:f>IF(AND(NOT(COUNTA(A653:F653)=0),K653=""),INDEX('Rules'!$D$7:$D$26,MATCH(SUBSTITUTE(SUBSTITUTE(SUBSTITUTE(SUBSTITUTE("type:"&amp;B653,"%","%25"),"~","%7E"),"*","%2A"),"?","%3F"),'Rules'!$G$7:$G$26,0)),"")</x:f>
      </x:c>
      <x:c r="N653" s="5" t="str">
        <x:f>IF(COUNTA(A653:F653)=0,"",SUBSTITUTE(SUBSTITUTE(SUBSTITUTE(SUBSTITUTE("id:"&amp;A653,"%","%25"),"~","%7E"),"*","%2A"),"?","%3F"))</x:f>
      </x:c>
    </x:row>
    <x:row r="654" ht="22" customHeight="1">
      <x:c r="A654" s="3"/>
      <x:c r="B654" s="3"/>
      <x:c r="C654" s="3"/>
      <x:c r="D654" s="4"/>
      <x:c r="E654" s="4"/>
      <x:c r="F654" s="4"/>
      <x:c r="G654" s="5" t="str">
        <x:f>IF(COUNTA(A654:F654)=0,"",IF(K654&lt;&gt;"","Review",IF(I654&lt;0,"Overdue",IF(I654=0,"Due now",IF(I654&lt;=M654,"Due soon","Not due")))))</x:f>
      </x:c>
      <x:c r="H654" s="5" t="str">
        <x:f>IF(OR(COUNTA(A654:F654)=0,COUNTIFS('Rules'!$G$7:$G$26,"="&amp;(SUBSTITUTE(SUBSTITUTE(SUBSTITUTE(SUBSTITUTE("type:"&amp;B654,"%","%25"),"~","%7E"),"*","%2A"),"?","%3F")))&lt;&gt;1),"",IF(OR(INDEX('Rules'!$B$7:$B$26,MATCH(SUBSTITUTE(SUBSTITUTE(SUBSTITUTE(SUBSTITUTE("type:"&amp;B654,"%","%25"),"~","%7E"),"*","%2A"),"?","%3F"),'Rules'!$G$7:$G$26,0))="hours",INDEX('Rules'!$B$7:$B$26,MATCH(SUBSTITUTE(SUBSTITUTE(SUBSTITUTE(SUBSTITUTE("type:"&amp;B654,"%","%25"),"~","%7E"),"*","%2A"),"?","%3F"),'Rules'!$G$7:$G$26,0))="km"),INDEX('Rules'!$B$7:$B$26,MATCH(SUBSTITUTE(SUBSTITUTE(SUBSTITUTE(SUBSTITUTE("type:"&amp;B654,"%","%25"),"~","%7E"),"*","%2A"),"?","%3F"),'Rules'!$G$7:$G$26,0)),""))</x:f>
      </x:c>
      <x:c r="I654" s="6" t="str">
        <x:f>IF(AND(NOT(COUNTA(A654:F654)=0),K654=""),ROUND(J654-D654,3),"")</x:f>
      </x:c>
      <x:c r="J654" s="6" t="str">
        <x:f>IF(AND(NOT(COUNTA(A654:F654)=0),K654=""),ROUND(F654+L654,3),"")</x:f>
      </x:c>
      <x:c r="K654" s="5" t="str">
        <x:f>IF(COUNTA(A654:F654)=0,"",IF(A654="","Missing equipment ID",IF(COUNTIFS($N$8:$N$2007,"="&amp;N654)&gt;1,"Duplicate equipment ID",IF(B654="","Missing type",IF(COUNTIFS('Rules'!$G$7:$G$26,"="&amp;(SUBSTITUTE(SUBSTITUTE(SUBSTITUTE(SUBSTITUTE("type:"&amp;B654,"%","%25"),"~","%7E"),"*","%2A"),"?","%3F")))=0,"Unknown type",IF(COUNTIFS('Rules'!$G$7:$G$26,"="&amp;(SUBSTITUTE(SUBSTITUTE(SUBSTITUTE(SUBSTITUTE("type:"&amp;B654,"%","%25"),"~","%7E"),"*","%2A"),"?","%3F")))&gt;1,"Duplicate type",IF(INDEX('Rules'!$F$7:$F$26,MATCH(SUBSTITUTE(SUBSTITUTE(SUBSTITUTE(SUBSTITUTE("type:"&amp;B654,"%","%25"),"~","%7E"),"*","%2A"),"?","%3F"),'Rules'!$G$7:$G$26,0))&lt;&gt;"",INDEX('Rules'!$F$7:$F$26,MATCH(SUBSTITUTE(SUBSTITUTE(SUBSTITUTE(SUBSTITUTE("type:"&amp;B654,"%","%25"),"~","%7E"),"*","%2A"),"?","%3F"),'Rules'!$G$7:$G$26,0)),IF(AND(C654&lt;&gt;"",C654&lt;&gt;INDEX('Rules'!$B$7:$B$26,MATCH(SUBSTITUTE(SUBSTITUTE(SUBSTITUTE(SUBSTITUTE("type:"&amp;B654,"%","%25"),"~","%7E"),"*","%2A"),"?","%3F"),'Rules'!$G$7:$G$26,0))),"Unit mismatch",IF(IF(NOT(ISNUMBER(D654)),TRUE,OR(D654&lt;0,D654&gt;999999999,ROUND(D654,3)&lt;&gt;D654)),"Invalid current reading",IF(AND(E654&lt;&gt;"",IF(NOT(ISNUMBER(E654)),TRUE,OR(E654&lt;0,E654&gt;999999999,ROUND(E654,3)&lt;&gt;E654))),"Invalid previous reading",IF(IF(NOT(ISNUMBER(F654)),TRUE,OR(F654&lt;0,F654&gt;999999999,ROUND(F654,3)&lt;&gt;F654)),"Invalid last service",IF(AND(E654&lt;&gt;"",D654&lt;E654),"Decreased reading",IF(F654&gt;D654,"Last service above current","")))))))))))))</x:f>
      </x:c>
      <x:c r="L654" s="6" t="str">
        <x:f>IF(AND(NOT(COUNTA(A654:F654)=0),K654=""),INDEX('Rules'!$C$7:$C$26,MATCH(SUBSTITUTE(SUBSTITUTE(SUBSTITUTE(SUBSTITUTE("type:"&amp;B654,"%","%25"),"~","%7E"),"*","%2A"),"?","%3F"),'Rules'!$G$7:$G$26,0)),"")</x:f>
      </x:c>
      <x:c r="M654" s="6" t="str">
        <x:f>IF(AND(NOT(COUNTA(A654:F654)=0),K654=""),INDEX('Rules'!$D$7:$D$26,MATCH(SUBSTITUTE(SUBSTITUTE(SUBSTITUTE(SUBSTITUTE("type:"&amp;B654,"%","%25"),"~","%7E"),"*","%2A"),"?","%3F"),'Rules'!$G$7:$G$26,0)),"")</x:f>
      </x:c>
      <x:c r="N654" s="5" t="str">
        <x:f>IF(COUNTA(A654:F654)=0,"",SUBSTITUTE(SUBSTITUTE(SUBSTITUTE(SUBSTITUTE("id:"&amp;A654,"%","%25"),"~","%7E"),"*","%2A"),"?","%3F"))</x:f>
      </x:c>
    </x:row>
    <x:row r="655" ht="22" customHeight="1">
      <x:c r="A655" s="3"/>
      <x:c r="B655" s="3"/>
      <x:c r="C655" s="3"/>
      <x:c r="D655" s="4"/>
      <x:c r="E655" s="4"/>
      <x:c r="F655" s="4"/>
      <x:c r="G655" s="5" t="str">
        <x:f>IF(COUNTA(A655:F655)=0,"",IF(K655&lt;&gt;"","Review",IF(I655&lt;0,"Overdue",IF(I655=0,"Due now",IF(I655&lt;=M655,"Due soon","Not due")))))</x:f>
      </x:c>
      <x:c r="H655" s="5" t="str">
        <x:f>IF(OR(COUNTA(A655:F655)=0,COUNTIFS('Rules'!$G$7:$G$26,"="&amp;(SUBSTITUTE(SUBSTITUTE(SUBSTITUTE(SUBSTITUTE("type:"&amp;B655,"%","%25"),"~","%7E"),"*","%2A"),"?","%3F")))&lt;&gt;1),"",IF(OR(INDEX('Rules'!$B$7:$B$26,MATCH(SUBSTITUTE(SUBSTITUTE(SUBSTITUTE(SUBSTITUTE("type:"&amp;B655,"%","%25"),"~","%7E"),"*","%2A"),"?","%3F"),'Rules'!$G$7:$G$26,0))="hours",INDEX('Rules'!$B$7:$B$26,MATCH(SUBSTITUTE(SUBSTITUTE(SUBSTITUTE(SUBSTITUTE("type:"&amp;B655,"%","%25"),"~","%7E"),"*","%2A"),"?","%3F"),'Rules'!$G$7:$G$26,0))="km"),INDEX('Rules'!$B$7:$B$26,MATCH(SUBSTITUTE(SUBSTITUTE(SUBSTITUTE(SUBSTITUTE("type:"&amp;B655,"%","%25"),"~","%7E"),"*","%2A"),"?","%3F"),'Rules'!$G$7:$G$26,0)),""))</x:f>
      </x:c>
      <x:c r="I655" s="6" t="str">
        <x:f>IF(AND(NOT(COUNTA(A655:F655)=0),K655=""),ROUND(J655-D655,3),"")</x:f>
      </x:c>
      <x:c r="J655" s="6" t="str">
        <x:f>IF(AND(NOT(COUNTA(A655:F655)=0),K655=""),ROUND(F655+L655,3),"")</x:f>
      </x:c>
      <x:c r="K655" s="5" t="str">
        <x:f>IF(COUNTA(A655:F655)=0,"",IF(A655="","Missing equipment ID",IF(COUNTIFS($N$8:$N$2007,"="&amp;N655)&gt;1,"Duplicate equipment ID",IF(B655="","Missing type",IF(COUNTIFS('Rules'!$G$7:$G$26,"="&amp;(SUBSTITUTE(SUBSTITUTE(SUBSTITUTE(SUBSTITUTE("type:"&amp;B655,"%","%25"),"~","%7E"),"*","%2A"),"?","%3F")))=0,"Unknown type",IF(COUNTIFS('Rules'!$G$7:$G$26,"="&amp;(SUBSTITUTE(SUBSTITUTE(SUBSTITUTE(SUBSTITUTE("type:"&amp;B655,"%","%25"),"~","%7E"),"*","%2A"),"?","%3F")))&gt;1,"Duplicate type",IF(INDEX('Rules'!$F$7:$F$26,MATCH(SUBSTITUTE(SUBSTITUTE(SUBSTITUTE(SUBSTITUTE("type:"&amp;B655,"%","%25"),"~","%7E"),"*","%2A"),"?","%3F"),'Rules'!$G$7:$G$26,0))&lt;&gt;"",INDEX('Rules'!$F$7:$F$26,MATCH(SUBSTITUTE(SUBSTITUTE(SUBSTITUTE(SUBSTITUTE("type:"&amp;B655,"%","%25"),"~","%7E"),"*","%2A"),"?","%3F"),'Rules'!$G$7:$G$26,0)),IF(AND(C655&lt;&gt;"",C655&lt;&gt;INDEX('Rules'!$B$7:$B$26,MATCH(SUBSTITUTE(SUBSTITUTE(SUBSTITUTE(SUBSTITUTE("type:"&amp;B655,"%","%25"),"~","%7E"),"*","%2A"),"?","%3F"),'Rules'!$G$7:$G$26,0))),"Unit mismatch",IF(IF(NOT(ISNUMBER(D655)),TRUE,OR(D655&lt;0,D655&gt;999999999,ROUND(D655,3)&lt;&gt;D655)),"Invalid current reading",IF(AND(E655&lt;&gt;"",IF(NOT(ISNUMBER(E655)),TRUE,OR(E655&lt;0,E655&gt;999999999,ROUND(E655,3)&lt;&gt;E655))),"Invalid previous reading",IF(IF(NOT(ISNUMBER(F655)),TRUE,OR(F655&lt;0,F655&gt;999999999,ROUND(F655,3)&lt;&gt;F655)),"Invalid last service",IF(AND(E655&lt;&gt;"",D655&lt;E655),"Decreased reading",IF(F655&gt;D655,"Last service above current","")))))))))))))</x:f>
      </x:c>
      <x:c r="L655" s="6" t="str">
        <x:f>IF(AND(NOT(COUNTA(A655:F655)=0),K655=""),INDEX('Rules'!$C$7:$C$26,MATCH(SUBSTITUTE(SUBSTITUTE(SUBSTITUTE(SUBSTITUTE("type:"&amp;B655,"%","%25"),"~","%7E"),"*","%2A"),"?","%3F"),'Rules'!$G$7:$G$26,0)),"")</x:f>
      </x:c>
      <x:c r="M655" s="6" t="str">
        <x:f>IF(AND(NOT(COUNTA(A655:F655)=0),K655=""),INDEX('Rules'!$D$7:$D$26,MATCH(SUBSTITUTE(SUBSTITUTE(SUBSTITUTE(SUBSTITUTE("type:"&amp;B655,"%","%25"),"~","%7E"),"*","%2A"),"?","%3F"),'Rules'!$G$7:$G$26,0)),"")</x:f>
      </x:c>
      <x:c r="N655" s="5" t="str">
        <x:f>IF(COUNTA(A655:F655)=0,"",SUBSTITUTE(SUBSTITUTE(SUBSTITUTE(SUBSTITUTE("id:"&amp;A655,"%","%25"),"~","%7E"),"*","%2A"),"?","%3F"))</x:f>
      </x:c>
    </x:row>
    <x:row r="656" ht="22" customHeight="1">
      <x:c r="A656" s="3"/>
      <x:c r="B656" s="3"/>
      <x:c r="C656" s="3"/>
      <x:c r="D656" s="4"/>
      <x:c r="E656" s="4"/>
      <x:c r="F656" s="4"/>
      <x:c r="G656" s="5" t="str">
        <x:f>IF(COUNTA(A656:F656)=0,"",IF(K656&lt;&gt;"","Review",IF(I656&lt;0,"Overdue",IF(I656=0,"Due now",IF(I656&lt;=M656,"Due soon","Not due")))))</x:f>
      </x:c>
      <x:c r="H656" s="5" t="str">
        <x:f>IF(OR(COUNTA(A656:F656)=0,COUNTIFS('Rules'!$G$7:$G$26,"="&amp;(SUBSTITUTE(SUBSTITUTE(SUBSTITUTE(SUBSTITUTE("type:"&amp;B656,"%","%25"),"~","%7E"),"*","%2A"),"?","%3F")))&lt;&gt;1),"",IF(OR(INDEX('Rules'!$B$7:$B$26,MATCH(SUBSTITUTE(SUBSTITUTE(SUBSTITUTE(SUBSTITUTE("type:"&amp;B656,"%","%25"),"~","%7E"),"*","%2A"),"?","%3F"),'Rules'!$G$7:$G$26,0))="hours",INDEX('Rules'!$B$7:$B$26,MATCH(SUBSTITUTE(SUBSTITUTE(SUBSTITUTE(SUBSTITUTE("type:"&amp;B656,"%","%25"),"~","%7E"),"*","%2A"),"?","%3F"),'Rules'!$G$7:$G$26,0))="km"),INDEX('Rules'!$B$7:$B$26,MATCH(SUBSTITUTE(SUBSTITUTE(SUBSTITUTE(SUBSTITUTE("type:"&amp;B656,"%","%25"),"~","%7E"),"*","%2A"),"?","%3F"),'Rules'!$G$7:$G$26,0)),""))</x:f>
      </x:c>
      <x:c r="I656" s="6" t="str">
        <x:f>IF(AND(NOT(COUNTA(A656:F656)=0),K656=""),ROUND(J656-D656,3),"")</x:f>
      </x:c>
      <x:c r="J656" s="6" t="str">
        <x:f>IF(AND(NOT(COUNTA(A656:F656)=0),K656=""),ROUND(F656+L656,3),"")</x:f>
      </x:c>
      <x:c r="K656" s="5" t="str">
        <x:f>IF(COUNTA(A656:F656)=0,"",IF(A656="","Missing equipment ID",IF(COUNTIFS($N$8:$N$2007,"="&amp;N656)&gt;1,"Duplicate equipment ID",IF(B656="","Missing type",IF(COUNTIFS('Rules'!$G$7:$G$26,"="&amp;(SUBSTITUTE(SUBSTITUTE(SUBSTITUTE(SUBSTITUTE("type:"&amp;B656,"%","%25"),"~","%7E"),"*","%2A"),"?","%3F")))=0,"Unknown type",IF(COUNTIFS('Rules'!$G$7:$G$26,"="&amp;(SUBSTITUTE(SUBSTITUTE(SUBSTITUTE(SUBSTITUTE("type:"&amp;B656,"%","%25"),"~","%7E"),"*","%2A"),"?","%3F")))&gt;1,"Duplicate type",IF(INDEX('Rules'!$F$7:$F$26,MATCH(SUBSTITUTE(SUBSTITUTE(SUBSTITUTE(SUBSTITUTE("type:"&amp;B656,"%","%25"),"~","%7E"),"*","%2A"),"?","%3F"),'Rules'!$G$7:$G$26,0))&lt;&gt;"",INDEX('Rules'!$F$7:$F$26,MATCH(SUBSTITUTE(SUBSTITUTE(SUBSTITUTE(SUBSTITUTE("type:"&amp;B656,"%","%25"),"~","%7E"),"*","%2A"),"?","%3F"),'Rules'!$G$7:$G$26,0)),IF(AND(C656&lt;&gt;"",C656&lt;&gt;INDEX('Rules'!$B$7:$B$26,MATCH(SUBSTITUTE(SUBSTITUTE(SUBSTITUTE(SUBSTITUTE("type:"&amp;B656,"%","%25"),"~","%7E"),"*","%2A"),"?","%3F"),'Rules'!$G$7:$G$26,0))),"Unit mismatch",IF(IF(NOT(ISNUMBER(D656)),TRUE,OR(D656&lt;0,D656&gt;999999999,ROUND(D656,3)&lt;&gt;D656)),"Invalid current reading",IF(AND(E656&lt;&gt;"",IF(NOT(ISNUMBER(E656)),TRUE,OR(E656&lt;0,E656&gt;999999999,ROUND(E656,3)&lt;&gt;E656))),"Invalid previous reading",IF(IF(NOT(ISNUMBER(F656)),TRUE,OR(F656&lt;0,F656&gt;999999999,ROUND(F656,3)&lt;&gt;F656)),"Invalid last service",IF(AND(E656&lt;&gt;"",D656&lt;E656),"Decreased reading",IF(F656&gt;D656,"Last service above current","")))))))))))))</x:f>
      </x:c>
      <x:c r="L656" s="6" t="str">
        <x:f>IF(AND(NOT(COUNTA(A656:F656)=0),K656=""),INDEX('Rules'!$C$7:$C$26,MATCH(SUBSTITUTE(SUBSTITUTE(SUBSTITUTE(SUBSTITUTE("type:"&amp;B656,"%","%25"),"~","%7E"),"*","%2A"),"?","%3F"),'Rules'!$G$7:$G$26,0)),"")</x:f>
      </x:c>
      <x:c r="M656" s="6" t="str">
        <x:f>IF(AND(NOT(COUNTA(A656:F656)=0),K656=""),INDEX('Rules'!$D$7:$D$26,MATCH(SUBSTITUTE(SUBSTITUTE(SUBSTITUTE(SUBSTITUTE("type:"&amp;B656,"%","%25"),"~","%7E"),"*","%2A"),"?","%3F"),'Rules'!$G$7:$G$26,0)),"")</x:f>
      </x:c>
      <x:c r="N656" s="5" t="str">
        <x:f>IF(COUNTA(A656:F656)=0,"",SUBSTITUTE(SUBSTITUTE(SUBSTITUTE(SUBSTITUTE("id:"&amp;A656,"%","%25"),"~","%7E"),"*","%2A"),"?","%3F"))</x:f>
      </x:c>
    </x:row>
    <x:row r="657" ht="22" customHeight="1">
      <x:c r="A657" s="3"/>
      <x:c r="B657" s="3"/>
      <x:c r="C657" s="3"/>
      <x:c r="D657" s="4"/>
      <x:c r="E657" s="4"/>
      <x:c r="F657" s="4"/>
      <x:c r="G657" s="5" t="str">
        <x:f>IF(COUNTA(A657:F657)=0,"",IF(K657&lt;&gt;"","Review",IF(I657&lt;0,"Overdue",IF(I657=0,"Due now",IF(I657&lt;=M657,"Due soon","Not due")))))</x:f>
      </x:c>
      <x:c r="H657" s="5" t="str">
        <x:f>IF(OR(COUNTA(A657:F657)=0,COUNTIFS('Rules'!$G$7:$G$26,"="&amp;(SUBSTITUTE(SUBSTITUTE(SUBSTITUTE(SUBSTITUTE("type:"&amp;B657,"%","%25"),"~","%7E"),"*","%2A"),"?","%3F")))&lt;&gt;1),"",IF(OR(INDEX('Rules'!$B$7:$B$26,MATCH(SUBSTITUTE(SUBSTITUTE(SUBSTITUTE(SUBSTITUTE("type:"&amp;B657,"%","%25"),"~","%7E"),"*","%2A"),"?","%3F"),'Rules'!$G$7:$G$26,0))="hours",INDEX('Rules'!$B$7:$B$26,MATCH(SUBSTITUTE(SUBSTITUTE(SUBSTITUTE(SUBSTITUTE("type:"&amp;B657,"%","%25"),"~","%7E"),"*","%2A"),"?","%3F"),'Rules'!$G$7:$G$26,0))="km"),INDEX('Rules'!$B$7:$B$26,MATCH(SUBSTITUTE(SUBSTITUTE(SUBSTITUTE(SUBSTITUTE("type:"&amp;B657,"%","%25"),"~","%7E"),"*","%2A"),"?","%3F"),'Rules'!$G$7:$G$26,0)),""))</x:f>
      </x:c>
      <x:c r="I657" s="6" t="str">
        <x:f>IF(AND(NOT(COUNTA(A657:F657)=0),K657=""),ROUND(J657-D657,3),"")</x:f>
      </x:c>
      <x:c r="J657" s="6" t="str">
        <x:f>IF(AND(NOT(COUNTA(A657:F657)=0),K657=""),ROUND(F657+L657,3),"")</x:f>
      </x:c>
      <x:c r="K657" s="5" t="str">
        <x:f>IF(COUNTA(A657:F657)=0,"",IF(A657="","Missing equipment ID",IF(COUNTIFS($N$8:$N$2007,"="&amp;N657)&gt;1,"Duplicate equipment ID",IF(B657="","Missing type",IF(COUNTIFS('Rules'!$G$7:$G$26,"="&amp;(SUBSTITUTE(SUBSTITUTE(SUBSTITUTE(SUBSTITUTE("type:"&amp;B657,"%","%25"),"~","%7E"),"*","%2A"),"?","%3F")))=0,"Unknown type",IF(COUNTIFS('Rules'!$G$7:$G$26,"="&amp;(SUBSTITUTE(SUBSTITUTE(SUBSTITUTE(SUBSTITUTE("type:"&amp;B657,"%","%25"),"~","%7E"),"*","%2A"),"?","%3F")))&gt;1,"Duplicate type",IF(INDEX('Rules'!$F$7:$F$26,MATCH(SUBSTITUTE(SUBSTITUTE(SUBSTITUTE(SUBSTITUTE("type:"&amp;B657,"%","%25"),"~","%7E"),"*","%2A"),"?","%3F"),'Rules'!$G$7:$G$26,0))&lt;&gt;"",INDEX('Rules'!$F$7:$F$26,MATCH(SUBSTITUTE(SUBSTITUTE(SUBSTITUTE(SUBSTITUTE("type:"&amp;B657,"%","%25"),"~","%7E"),"*","%2A"),"?","%3F"),'Rules'!$G$7:$G$26,0)),IF(AND(C657&lt;&gt;"",C657&lt;&gt;INDEX('Rules'!$B$7:$B$26,MATCH(SUBSTITUTE(SUBSTITUTE(SUBSTITUTE(SUBSTITUTE("type:"&amp;B657,"%","%25"),"~","%7E"),"*","%2A"),"?","%3F"),'Rules'!$G$7:$G$26,0))),"Unit mismatch",IF(IF(NOT(ISNUMBER(D657)),TRUE,OR(D657&lt;0,D657&gt;999999999,ROUND(D657,3)&lt;&gt;D657)),"Invalid current reading",IF(AND(E657&lt;&gt;"",IF(NOT(ISNUMBER(E657)),TRUE,OR(E657&lt;0,E657&gt;999999999,ROUND(E657,3)&lt;&gt;E657))),"Invalid previous reading",IF(IF(NOT(ISNUMBER(F657)),TRUE,OR(F657&lt;0,F657&gt;999999999,ROUND(F657,3)&lt;&gt;F657)),"Invalid last service",IF(AND(E657&lt;&gt;"",D657&lt;E657),"Decreased reading",IF(F657&gt;D657,"Last service above current","")))))))))))))</x:f>
      </x:c>
      <x:c r="L657" s="6" t="str">
        <x:f>IF(AND(NOT(COUNTA(A657:F657)=0),K657=""),INDEX('Rules'!$C$7:$C$26,MATCH(SUBSTITUTE(SUBSTITUTE(SUBSTITUTE(SUBSTITUTE("type:"&amp;B657,"%","%25"),"~","%7E"),"*","%2A"),"?","%3F"),'Rules'!$G$7:$G$26,0)),"")</x:f>
      </x:c>
      <x:c r="M657" s="6" t="str">
        <x:f>IF(AND(NOT(COUNTA(A657:F657)=0),K657=""),INDEX('Rules'!$D$7:$D$26,MATCH(SUBSTITUTE(SUBSTITUTE(SUBSTITUTE(SUBSTITUTE("type:"&amp;B657,"%","%25"),"~","%7E"),"*","%2A"),"?","%3F"),'Rules'!$G$7:$G$26,0)),"")</x:f>
      </x:c>
      <x:c r="N657" s="5" t="str">
        <x:f>IF(COUNTA(A657:F657)=0,"",SUBSTITUTE(SUBSTITUTE(SUBSTITUTE(SUBSTITUTE("id:"&amp;A657,"%","%25"),"~","%7E"),"*","%2A"),"?","%3F"))</x:f>
      </x:c>
    </x:row>
    <x:row r="658" ht="22" customHeight="1">
      <x:c r="A658" s="3"/>
      <x:c r="B658" s="3"/>
      <x:c r="C658" s="3"/>
      <x:c r="D658" s="4"/>
      <x:c r="E658" s="4"/>
      <x:c r="F658" s="4"/>
      <x:c r="G658" s="5" t="str">
        <x:f>IF(COUNTA(A658:F658)=0,"",IF(K658&lt;&gt;"","Review",IF(I658&lt;0,"Overdue",IF(I658=0,"Due now",IF(I658&lt;=M658,"Due soon","Not due")))))</x:f>
      </x:c>
      <x:c r="H658" s="5" t="str">
        <x:f>IF(OR(COUNTA(A658:F658)=0,COUNTIFS('Rules'!$G$7:$G$26,"="&amp;(SUBSTITUTE(SUBSTITUTE(SUBSTITUTE(SUBSTITUTE("type:"&amp;B658,"%","%25"),"~","%7E"),"*","%2A"),"?","%3F")))&lt;&gt;1),"",IF(OR(INDEX('Rules'!$B$7:$B$26,MATCH(SUBSTITUTE(SUBSTITUTE(SUBSTITUTE(SUBSTITUTE("type:"&amp;B658,"%","%25"),"~","%7E"),"*","%2A"),"?","%3F"),'Rules'!$G$7:$G$26,0))="hours",INDEX('Rules'!$B$7:$B$26,MATCH(SUBSTITUTE(SUBSTITUTE(SUBSTITUTE(SUBSTITUTE("type:"&amp;B658,"%","%25"),"~","%7E"),"*","%2A"),"?","%3F"),'Rules'!$G$7:$G$26,0))="km"),INDEX('Rules'!$B$7:$B$26,MATCH(SUBSTITUTE(SUBSTITUTE(SUBSTITUTE(SUBSTITUTE("type:"&amp;B658,"%","%25"),"~","%7E"),"*","%2A"),"?","%3F"),'Rules'!$G$7:$G$26,0)),""))</x:f>
      </x:c>
      <x:c r="I658" s="6" t="str">
        <x:f>IF(AND(NOT(COUNTA(A658:F658)=0),K658=""),ROUND(J658-D658,3),"")</x:f>
      </x:c>
      <x:c r="J658" s="6" t="str">
        <x:f>IF(AND(NOT(COUNTA(A658:F658)=0),K658=""),ROUND(F658+L658,3),"")</x:f>
      </x:c>
      <x:c r="K658" s="5" t="str">
        <x:f>IF(COUNTA(A658:F658)=0,"",IF(A658="","Missing equipment ID",IF(COUNTIFS($N$8:$N$2007,"="&amp;N658)&gt;1,"Duplicate equipment ID",IF(B658="","Missing type",IF(COUNTIFS('Rules'!$G$7:$G$26,"="&amp;(SUBSTITUTE(SUBSTITUTE(SUBSTITUTE(SUBSTITUTE("type:"&amp;B658,"%","%25"),"~","%7E"),"*","%2A"),"?","%3F")))=0,"Unknown type",IF(COUNTIFS('Rules'!$G$7:$G$26,"="&amp;(SUBSTITUTE(SUBSTITUTE(SUBSTITUTE(SUBSTITUTE("type:"&amp;B658,"%","%25"),"~","%7E"),"*","%2A"),"?","%3F")))&gt;1,"Duplicate type",IF(INDEX('Rules'!$F$7:$F$26,MATCH(SUBSTITUTE(SUBSTITUTE(SUBSTITUTE(SUBSTITUTE("type:"&amp;B658,"%","%25"),"~","%7E"),"*","%2A"),"?","%3F"),'Rules'!$G$7:$G$26,0))&lt;&gt;"",INDEX('Rules'!$F$7:$F$26,MATCH(SUBSTITUTE(SUBSTITUTE(SUBSTITUTE(SUBSTITUTE("type:"&amp;B658,"%","%25"),"~","%7E"),"*","%2A"),"?","%3F"),'Rules'!$G$7:$G$26,0)),IF(AND(C658&lt;&gt;"",C658&lt;&gt;INDEX('Rules'!$B$7:$B$26,MATCH(SUBSTITUTE(SUBSTITUTE(SUBSTITUTE(SUBSTITUTE("type:"&amp;B658,"%","%25"),"~","%7E"),"*","%2A"),"?","%3F"),'Rules'!$G$7:$G$26,0))),"Unit mismatch",IF(IF(NOT(ISNUMBER(D658)),TRUE,OR(D658&lt;0,D658&gt;999999999,ROUND(D658,3)&lt;&gt;D658)),"Invalid current reading",IF(AND(E658&lt;&gt;"",IF(NOT(ISNUMBER(E658)),TRUE,OR(E658&lt;0,E658&gt;999999999,ROUND(E658,3)&lt;&gt;E658))),"Invalid previous reading",IF(IF(NOT(ISNUMBER(F658)),TRUE,OR(F658&lt;0,F658&gt;999999999,ROUND(F658,3)&lt;&gt;F658)),"Invalid last service",IF(AND(E658&lt;&gt;"",D658&lt;E658),"Decreased reading",IF(F658&gt;D658,"Last service above current","")))))))))))))</x:f>
      </x:c>
      <x:c r="L658" s="6" t="str">
        <x:f>IF(AND(NOT(COUNTA(A658:F658)=0),K658=""),INDEX('Rules'!$C$7:$C$26,MATCH(SUBSTITUTE(SUBSTITUTE(SUBSTITUTE(SUBSTITUTE("type:"&amp;B658,"%","%25"),"~","%7E"),"*","%2A"),"?","%3F"),'Rules'!$G$7:$G$26,0)),"")</x:f>
      </x:c>
      <x:c r="M658" s="6" t="str">
        <x:f>IF(AND(NOT(COUNTA(A658:F658)=0),K658=""),INDEX('Rules'!$D$7:$D$26,MATCH(SUBSTITUTE(SUBSTITUTE(SUBSTITUTE(SUBSTITUTE("type:"&amp;B658,"%","%25"),"~","%7E"),"*","%2A"),"?","%3F"),'Rules'!$G$7:$G$26,0)),"")</x:f>
      </x:c>
      <x:c r="N658" s="5" t="str">
        <x:f>IF(COUNTA(A658:F658)=0,"",SUBSTITUTE(SUBSTITUTE(SUBSTITUTE(SUBSTITUTE("id:"&amp;A658,"%","%25"),"~","%7E"),"*","%2A"),"?","%3F"))</x:f>
      </x:c>
    </x:row>
    <x:row r="659" ht="22" customHeight="1">
      <x:c r="A659" s="3"/>
      <x:c r="B659" s="3"/>
      <x:c r="C659" s="3"/>
      <x:c r="D659" s="4"/>
      <x:c r="E659" s="4"/>
      <x:c r="F659" s="4"/>
      <x:c r="G659" s="5" t="str">
        <x:f>IF(COUNTA(A659:F659)=0,"",IF(K659&lt;&gt;"","Review",IF(I659&lt;0,"Overdue",IF(I659=0,"Due now",IF(I659&lt;=M659,"Due soon","Not due")))))</x:f>
      </x:c>
      <x:c r="H659" s="5" t="str">
        <x:f>IF(OR(COUNTA(A659:F659)=0,COUNTIFS('Rules'!$G$7:$G$26,"="&amp;(SUBSTITUTE(SUBSTITUTE(SUBSTITUTE(SUBSTITUTE("type:"&amp;B659,"%","%25"),"~","%7E"),"*","%2A"),"?","%3F")))&lt;&gt;1),"",IF(OR(INDEX('Rules'!$B$7:$B$26,MATCH(SUBSTITUTE(SUBSTITUTE(SUBSTITUTE(SUBSTITUTE("type:"&amp;B659,"%","%25"),"~","%7E"),"*","%2A"),"?","%3F"),'Rules'!$G$7:$G$26,0))="hours",INDEX('Rules'!$B$7:$B$26,MATCH(SUBSTITUTE(SUBSTITUTE(SUBSTITUTE(SUBSTITUTE("type:"&amp;B659,"%","%25"),"~","%7E"),"*","%2A"),"?","%3F"),'Rules'!$G$7:$G$26,0))="km"),INDEX('Rules'!$B$7:$B$26,MATCH(SUBSTITUTE(SUBSTITUTE(SUBSTITUTE(SUBSTITUTE("type:"&amp;B659,"%","%25"),"~","%7E"),"*","%2A"),"?","%3F"),'Rules'!$G$7:$G$26,0)),""))</x:f>
      </x:c>
      <x:c r="I659" s="6" t="str">
        <x:f>IF(AND(NOT(COUNTA(A659:F659)=0),K659=""),ROUND(J659-D659,3),"")</x:f>
      </x:c>
      <x:c r="J659" s="6" t="str">
        <x:f>IF(AND(NOT(COUNTA(A659:F659)=0),K659=""),ROUND(F659+L659,3),"")</x:f>
      </x:c>
      <x:c r="K659" s="5" t="str">
        <x:f>IF(COUNTA(A659:F659)=0,"",IF(A659="","Missing equipment ID",IF(COUNTIFS($N$8:$N$2007,"="&amp;N659)&gt;1,"Duplicate equipment ID",IF(B659="","Missing type",IF(COUNTIFS('Rules'!$G$7:$G$26,"="&amp;(SUBSTITUTE(SUBSTITUTE(SUBSTITUTE(SUBSTITUTE("type:"&amp;B659,"%","%25"),"~","%7E"),"*","%2A"),"?","%3F")))=0,"Unknown type",IF(COUNTIFS('Rules'!$G$7:$G$26,"="&amp;(SUBSTITUTE(SUBSTITUTE(SUBSTITUTE(SUBSTITUTE("type:"&amp;B659,"%","%25"),"~","%7E"),"*","%2A"),"?","%3F")))&gt;1,"Duplicate type",IF(INDEX('Rules'!$F$7:$F$26,MATCH(SUBSTITUTE(SUBSTITUTE(SUBSTITUTE(SUBSTITUTE("type:"&amp;B659,"%","%25"),"~","%7E"),"*","%2A"),"?","%3F"),'Rules'!$G$7:$G$26,0))&lt;&gt;"",INDEX('Rules'!$F$7:$F$26,MATCH(SUBSTITUTE(SUBSTITUTE(SUBSTITUTE(SUBSTITUTE("type:"&amp;B659,"%","%25"),"~","%7E"),"*","%2A"),"?","%3F"),'Rules'!$G$7:$G$26,0)),IF(AND(C659&lt;&gt;"",C659&lt;&gt;INDEX('Rules'!$B$7:$B$26,MATCH(SUBSTITUTE(SUBSTITUTE(SUBSTITUTE(SUBSTITUTE("type:"&amp;B659,"%","%25"),"~","%7E"),"*","%2A"),"?","%3F"),'Rules'!$G$7:$G$26,0))),"Unit mismatch",IF(IF(NOT(ISNUMBER(D659)),TRUE,OR(D659&lt;0,D659&gt;999999999,ROUND(D659,3)&lt;&gt;D659)),"Invalid current reading",IF(AND(E659&lt;&gt;"",IF(NOT(ISNUMBER(E659)),TRUE,OR(E659&lt;0,E659&gt;999999999,ROUND(E659,3)&lt;&gt;E659))),"Invalid previous reading",IF(IF(NOT(ISNUMBER(F659)),TRUE,OR(F659&lt;0,F659&gt;999999999,ROUND(F659,3)&lt;&gt;F659)),"Invalid last service",IF(AND(E659&lt;&gt;"",D659&lt;E659),"Decreased reading",IF(F659&gt;D659,"Last service above current","")))))))))))))</x:f>
      </x:c>
      <x:c r="L659" s="6" t="str">
        <x:f>IF(AND(NOT(COUNTA(A659:F659)=0),K659=""),INDEX('Rules'!$C$7:$C$26,MATCH(SUBSTITUTE(SUBSTITUTE(SUBSTITUTE(SUBSTITUTE("type:"&amp;B659,"%","%25"),"~","%7E"),"*","%2A"),"?","%3F"),'Rules'!$G$7:$G$26,0)),"")</x:f>
      </x:c>
      <x:c r="M659" s="6" t="str">
        <x:f>IF(AND(NOT(COUNTA(A659:F659)=0),K659=""),INDEX('Rules'!$D$7:$D$26,MATCH(SUBSTITUTE(SUBSTITUTE(SUBSTITUTE(SUBSTITUTE("type:"&amp;B659,"%","%25"),"~","%7E"),"*","%2A"),"?","%3F"),'Rules'!$G$7:$G$26,0)),"")</x:f>
      </x:c>
      <x:c r="N659" s="5" t="str">
        <x:f>IF(COUNTA(A659:F659)=0,"",SUBSTITUTE(SUBSTITUTE(SUBSTITUTE(SUBSTITUTE("id:"&amp;A659,"%","%25"),"~","%7E"),"*","%2A"),"?","%3F"))</x:f>
      </x:c>
    </x:row>
    <x:row r="660" ht="22" customHeight="1">
      <x:c r="A660" s="3"/>
      <x:c r="B660" s="3"/>
      <x:c r="C660" s="3"/>
      <x:c r="D660" s="4"/>
      <x:c r="E660" s="4"/>
      <x:c r="F660" s="4"/>
      <x:c r="G660" s="5" t="str">
        <x:f>IF(COUNTA(A660:F660)=0,"",IF(K660&lt;&gt;"","Review",IF(I660&lt;0,"Overdue",IF(I660=0,"Due now",IF(I660&lt;=M660,"Due soon","Not due")))))</x:f>
      </x:c>
      <x:c r="H660" s="5" t="str">
        <x:f>IF(OR(COUNTA(A660:F660)=0,COUNTIFS('Rules'!$G$7:$G$26,"="&amp;(SUBSTITUTE(SUBSTITUTE(SUBSTITUTE(SUBSTITUTE("type:"&amp;B660,"%","%25"),"~","%7E"),"*","%2A"),"?","%3F")))&lt;&gt;1),"",IF(OR(INDEX('Rules'!$B$7:$B$26,MATCH(SUBSTITUTE(SUBSTITUTE(SUBSTITUTE(SUBSTITUTE("type:"&amp;B660,"%","%25"),"~","%7E"),"*","%2A"),"?","%3F"),'Rules'!$G$7:$G$26,0))="hours",INDEX('Rules'!$B$7:$B$26,MATCH(SUBSTITUTE(SUBSTITUTE(SUBSTITUTE(SUBSTITUTE("type:"&amp;B660,"%","%25"),"~","%7E"),"*","%2A"),"?","%3F"),'Rules'!$G$7:$G$26,0))="km"),INDEX('Rules'!$B$7:$B$26,MATCH(SUBSTITUTE(SUBSTITUTE(SUBSTITUTE(SUBSTITUTE("type:"&amp;B660,"%","%25"),"~","%7E"),"*","%2A"),"?","%3F"),'Rules'!$G$7:$G$26,0)),""))</x:f>
      </x:c>
      <x:c r="I660" s="6" t="str">
        <x:f>IF(AND(NOT(COUNTA(A660:F660)=0),K660=""),ROUND(J660-D660,3),"")</x:f>
      </x:c>
      <x:c r="J660" s="6" t="str">
        <x:f>IF(AND(NOT(COUNTA(A660:F660)=0),K660=""),ROUND(F660+L660,3),"")</x:f>
      </x:c>
      <x:c r="K660" s="5" t="str">
        <x:f>IF(COUNTA(A660:F660)=0,"",IF(A660="","Missing equipment ID",IF(COUNTIFS($N$8:$N$2007,"="&amp;N660)&gt;1,"Duplicate equipment ID",IF(B660="","Missing type",IF(COUNTIFS('Rules'!$G$7:$G$26,"="&amp;(SUBSTITUTE(SUBSTITUTE(SUBSTITUTE(SUBSTITUTE("type:"&amp;B660,"%","%25"),"~","%7E"),"*","%2A"),"?","%3F")))=0,"Unknown type",IF(COUNTIFS('Rules'!$G$7:$G$26,"="&amp;(SUBSTITUTE(SUBSTITUTE(SUBSTITUTE(SUBSTITUTE("type:"&amp;B660,"%","%25"),"~","%7E"),"*","%2A"),"?","%3F")))&gt;1,"Duplicate type",IF(INDEX('Rules'!$F$7:$F$26,MATCH(SUBSTITUTE(SUBSTITUTE(SUBSTITUTE(SUBSTITUTE("type:"&amp;B660,"%","%25"),"~","%7E"),"*","%2A"),"?","%3F"),'Rules'!$G$7:$G$26,0))&lt;&gt;"",INDEX('Rules'!$F$7:$F$26,MATCH(SUBSTITUTE(SUBSTITUTE(SUBSTITUTE(SUBSTITUTE("type:"&amp;B660,"%","%25"),"~","%7E"),"*","%2A"),"?","%3F"),'Rules'!$G$7:$G$26,0)),IF(AND(C660&lt;&gt;"",C660&lt;&gt;INDEX('Rules'!$B$7:$B$26,MATCH(SUBSTITUTE(SUBSTITUTE(SUBSTITUTE(SUBSTITUTE("type:"&amp;B660,"%","%25"),"~","%7E"),"*","%2A"),"?","%3F"),'Rules'!$G$7:$G$26,0))),"Unit mismatch",IF(IF(NOT(ISNUMBER(D660)),TRUE,OR(D660&lt;0,D660&gt;999999999,ROUND(D660,3)&lt;&gt;D660)),"Invalid current reading",IF(AND(E660&lt;&gt;"",IF(NOT(ISNUMBER(E660)),TRUE,OR(E660&lt;0,E660&gt;999999999,ROUND(E660,3)&lt;&gt;E660))),"Invalid previous reading",IF(IF(NOT(ISNUMBER(F660)),TRUE,OR(F660&lt;0,F660&gt;999999999,ROUND(F660,3)&lt;&gt;F660)),"Invalid last service",IF(AND(E660&lt;&gt;"",D660&lt;E660),"Decreased reading",IF(F660&gt;D660,"Last service above current","")))))))))))))</x:f>
      </x:c>
      <x:c r="L660" s="6" t="str">
        <x:f>IF(AND(NOT(COUNTA(A660:F660)=0),K660=""),INDEX('Rules'!$C$7:$C$26,MATCH(SUBSTITUTE(SUBSTITUTE(SUBSTITUTE(SUBSTITUTE("type:"&amp;B660,"%","%25"),"~","%7E"),"*","%2A"),"?","%3F"),'Rules'!$G$7:$G$26,0)),"")</x:f>
      </x:c>
      <x:c r="M660" s="6" t="str">
        <x:f>IF(AND(NOT(COUNTA(A660:F660)=0),K660=""),INDEX('Rules'!$D$7:$D$26,MATCH(SUBSTITUTE(SUBSTITUTE(SUBSTITUTE(SUBSTITUTE("type:"&amp;B660,"%","%25"),"~","%7E"),"*","%2A"),"?","%3F"),'Rules'!$G$7:$G$26,0)),"")</x:f>
      </x:c>
      <x:c r="N660" s="5" t="str">
        <x:f>IF(COUNTA(A660:F660)=0,"",SUBSTITUTE(SUBSTITUTE(SUBSTITUTE(SUBSTITUTE("id:"&amp;A660,"%","%25"),"~","%7E"),"*","%2A"),"?","%3F"))</x:f>
      </x:c>
    </x:row>
    <x:row r="661" ht="22" customHeight="1">
      <x:c r="A661" s="3"/>
      <x:c r="B661" s="3"/>
      <x:c r="C661" s="3"/>
      <x:c r="D661" s="4"/>
      <x:c r="E661" s="4"/>
      <x:c r="F661" s="4"/>
      <x:c r="G661" s="5" t="str">
        <x:f>IF(COUNTA(A661:F661)=0,"",IF(K661&lt;&gt;"","Review",IF(I661&lt;0,"Overdue",IF(I661=0,"Due now",IF(I661&lt;=M661,"Due soon","Not due")))))</x:f>
      </x:c>
      <x:c r="H661" s="5" t="str">
        <x:f>IF(OR(COUNTA(A661:F661)=0,COUNTIFS('Rules'!$G$7:$G$26,"="&amp;(SUBSTITUTE(SUBSTITUTE(SUBSTITUTE(SUBSTITUTE("type:"&amp;B661,"%","%25"),"~","%7E"),"*","%2A"),"?","%3F")))&lt;&gt;1),"",IF(OR(INDEX('Rules'!$B$7:$B$26,MATCH(SUBSTITUTE(SUBSTITUTE(SUBSTITUTE(SUBSTITUTE("type:"&amp;B661,"%","%25"),"~","%7E"),"*","%2A"),"?","%3F"),'Rules'!$G$7:$G$26,0))="hours",INDEX('Rules'!$B$7:$B$26,MATCH(SUBSTITUTE(SUBSTITUTE(SUBSTITUTE(SUBSTITUTE("type:"&amp;B661,"%","%25"),"~","%7E"),"*","%2A"),"?","%3F"),'Rules'!$G$7:$G$26,0))="km"),INDEX('Rules'!$B$7:$B$26,MATCH(SUBSTITUTE(SUBSTITUTE(SUBSTITUTE(SUBSTITUTE("type:"&amp;B661,"%","%25"),"~","%7E"),"*","%2A"),"?","%3F"),'Rules'!$G$7:$G$26,0)),""))</x:f>
      </x:c>
      <x:c r="I661" s="6" t="str">
        <x:f>IF(AND(NOT(COUNTA(A661:F661)=0),K661=""),ROUND(J661-D661,3),"")</x:f>
      </x:c>
      <x:c r="J661" s="6" t="str">
        <x:f>IF(AND(NOT(COUNTA(A661:F661)=0),K661=""),ROUND(F661+L661,3),"")</x:f>
      </x:c>
      <x:c r="K661" s="5" t="str">
        <x:f>IF(COUNTA(A661:F661)=0,"",IF(A661="","Missing equipment ID",IF(COUNTIFS($N$8:$N$2007,"="&amp;N661)&gt;1,"Duplicate equipment ID",IF(B661="","Missing type",IF(COUNTIFS('Rules'!$G$7:$G$26,"="&amp;(SUBSTITUTE(SUBSTITUTE(SUBSTITUTE(SUBSTITUTE("type:"&amp;B661,"%","%25"),"~","%7E"),"*","%2A"),"?","%3F")))=0,"Unknown type",IF(COUNTIFS('Rules'!$G$7:$G$26,"="&amp;(SUBSTITUTE(SUBSTITUTE(SUBSTITUTE(SUBSTITUTE("type:"&amp;B661,"%","%25"),"~","%7E"),"*","%2A"),"?","%3F")))&gt;1,"Duplicate type",IF(INDEX('Rules'!$F$7:$F$26,MATCH(SUBSTITUTE(SUBSTITUTE(SUBSTITUTE(SUBSTITUTE("type:"&amp;B661,"%","%25"),"~","%7E"),"*","%2A"),"?","%3F"),'Rules'!$G$7:$G$26,0))&lt;&gt;"",INDEX('Rules'!$F$7:$F$26,MATCH(SUBSTITUTE(SUBSTITUTE(SUBSTITUTE(SUBSTITUTE("type:"&amp;B661,"%","%25"),"~","%7E"),"*","%2A"),"?","%3F"),'Rules'!$G$7:$G$26,0)),IF(AND(C661&lt;&gt;"",C661&lt;&gt;INDEX('Rules'!$B$7:$B$26,MATCH(SUBSTITUTE(SUBSTITUTE(SUBSTITUTE(SUBSTITUTE("type:"&amp;B661,"%","%25"),"~","%7E"),"*","%2A"),"?","%3F"),'Rules'!$G$7:$G$26,0))),"Unit mismatch",IF(IF(NOT(ISNUMBER(D661)),TRUE,OR(D661&lt;0,D661&gt;999999999,ROUND(D661,3)&lt;&gt;D661)),"Invalid current reading",IF(AND(E661&lt;&gt;"",IF(NOT(ISNUMBER(E661)),TRUE,OR(E661&lt;0,E661&gt;999999999,ROUND(E661,3)&lt;&gt;E661))),"Invalid previous reading",IF(IF(NOT(ISNUMBER(F661)),TRUE,OR(F661&lt;0,F661&gt;999999999,ROUND(F661,3)&lt;&gt;F661)),"Invalid last service",IF(AND(E661&lt;&gt;"",D661&lt;E661),"Decreased reading",IF(F661&gt;D661,"Last service above current","")))))))))))))</x:f>
      </x:c>
      <x:c r="L661" s="6" t="str">
        <x:f>IF(AND(NOT(COUNTA(A661:F661)=0),K661=""),INDEX('Rules'!$C$7:$C$26,MATCH(SUBSTITUTE(SUBSTITUTE(SUBSTITUTE(SUBSTITUTE("type:"&amp;B661,"%","%25"),"~","%7E"),"*","%2A"),"?","%3F"),'Rules'!$G$7:$G$26,0)),"")</x:f>
      </x:c>
      <x:c r="M661" s="6" t="str">
        <x:f>IF(AND(NOT(COUNTA(A661:F661)=0),K661=""),INDEX('Rules'!$D$7:$D$26,MATCH(SUBSTITUTE(SUBSTITUTE(SUBSTITUTE(SUBSTITUTE("type:"&amp;B661,"%","%25"),"~","%7E"),"*","%2A"),"?","%3F"),'Rules'!$G$7:$G$26,0)),"")</x:f>
      </x:c>
      <x:c r="N661" s="5" t="str">
        <x:f>IF(COUNTA(A661:F661)=0,"",SUBSTITUTE(SUBSTITUTE(SUBSTITUTE(SUBSTITUTE("id:"&amp;A661,"%","%25"),"~","%7E"),"*","%2A"),"?","%3F"))</x:f>
      </x:c>
    </x:row>
    <x:row r="662" ht="22" customHeight="1">
      <x:c r="A662" s="3"/>
      <x:c r="B662" s="3"/>
      <x:c r="C662" s="3"/>
      <x:c r="D662" s="4"/>
      <x:c r="E662" s="4"/>
      <x:c r="F662" s="4"/>
      <x:c r="G662" s="5" t="str">
        <x:f>IF(COUNTA(A662:F662)=0,"",IF(K662&lt;&gt;"","Review",IF(I662&lt;0,"Overdue",IF(I662=0,"Due now",IF(I662&lt;=M662,"Due soon","Not due")))))</x:f>
      </x:c>
      <x:c r="H662" s="5" t="str">
        <x:f>IF(OR(COUNTA(A662:F662)=0,COUNTIFS('Rules'!$G$7:$G$26,"="&amp;(SUBSTITUTE(SUBSTITUTE(SUBSTITUTE(SUBSTITUTE("type:"&amp;B662,"%","%25"),"~","%7E"),"*","%2A"),"?","%3F")))&lt;&gt;1),"",IF(OR(INDEX('Rules'!$B$7:$B$26,MATCH(SUBSTITUTE(SUBSTITUTE(SUBSTITUTE(SUBSTITUTE("type:"&amp;B662,"%","%25"),"~","%7E"),"*","%2A"),"?","%3F"),'Rules'!$G$7:$G$26,0))="hours",INDEX('Rules'!$B$7:$B$26,MATCH(SUBSTITUTE(SUBSTITUTE(SUBSTITUTE(SUBSTITUTE("type:"&amp;B662,"%","%25"),"~","%7E"),"*","%2A"),"?","%3F"),'Rules'!$G$7:$G$26,0))="km"),INDEX('Rules'!$B$7:$B$26,MATCH(SUBSTITUTE(SUBSTITUTE(SUBSTITUTE(SUBSTITUTE("type:"&amp;B662,"%","%25"),"~","%7E"),"*","%2A"),"?","%3F"),'Rules'!$G$7:$G$26,0)),""))</x:f>
      </x:c>
      <x:c r="I662" s="6" t="str">
        <x:f>IF(AND(NOT(COUNTA(A662:F662)=0),K662=""),ROUND(J662-D662,3),"")</x:f>
      </x:c>
      <x:c r="J662" s="6" t="str">
        <x:f>IF(AND(NOT(COUNTA(A662:F662)=0),K662=""),ROUND(F662+L662,3),"")</x:f>
      </x:c>
      <x:c r="K662" s="5" t="str">
        <x:f>IF(COUNTA(A662:F662)=0,"",IF(A662="","Missing equipment ID",IF(COUNTIFS($N$8:$N$2007,"="&amp;N662)&gt;1,"Duplicate equipment ID",IF(B662="","Missing type",IF(COUNTIFS('Rules'!$G$7:$G$26,"="&amp;(SUBSTITUTE(SUBSTITUTE(SUBSTITUTE(SUBSTITUTE("type:"&amp;B662,"%","%25"),"~","%7E"),"*","%2A"),"?","%3F")))=0,"Unknown type",IF(COUNTIFS('Rules'!$G$7:$G$26,"="&amp;(SUBSTITUTE(SUBSTITUTE(SUBSTITUTE(SUBSTITUTE("type:"&amp;B662,"%","%25"),"~","%7E"),"*","%2A"),"?","%3F")))&gt;1,"Duplicate type",IF(INDEX('Rules'!$F$7:$F$26,MATCH(SUBSTITUTE(SUBSTITUTE(SUBSTITUTE(SUBSTITUTE("type:"&amp;B662,"%","%25"),"~","%7E"),"*","%2A"),"?","%3F"),'Rules'!$G$7:$G$26,0))&lt;&gt;"",INDEX('Rules'!$F$7:$F$26,MATCH(SUBSTITUTE(SUBSTITUTE(SUBSTITUTE(SUBSTITUTE("type:"&amp;B662,"%","%25"),"~","%7E"),"*","%2A"),"?","%3F"),'Rules'!$G$7:$G$26,0)),IF(AND(C662&lt;&gt;"",C662&lt;&gt;INDEX('Rules'!$B$7:$B$26,MATCH(SUBSTITUTE(SUBSTITUTE(SUBSTITUTE(SUBSTITUTE("type:"&amp;B662,"%","%25"),"~","%7E"),"*","%2A"),"?","%3F"),'Rules'!$G$7:$G$26,0))),"Unit mismatch",IF(IF(NOT(ISNUMBER(D662)),TRUE,OR(D662&lt;0,D662&gt;999999999,ROUND(D662,3)&lt;&gt;D662)),"Invalid current reading",IF(AND(E662&lt;&gt;"",IF(NOT(ISNUMBER(E662)),TRUE,OR(E662&lt;0,E662&gt;999999999,ROUND(E662,3)&lt;&gt;E662))),"Invalid previous reading",IF(IF(NOT(ISNUMBER(F662)),TRUE,OR(F662&lt;0,F662&gt;999999999,ROUND(F662,3)&lt;&gt;F662)),"Invalid last service",IF(AND(E662&lt;&gt;"",D662&lt;E662),"Decreased reading",IF(F662&gt;D662,"Last service above current","")))))))))))))</x:f>
      </x:c>
      <x:c r="L662" s="6" t="str">
        <x:f>IF(AND(NOT(COUNTA(A662:F662)=0),K662=""),INDEX('Rules'!$C$7:$C$26,MATCH(SUBSTITUTE(SUBSTITUTE(SUBSTITUTE(SUBSTITUTE("type:"&amp;B662,"%","%25"),"~","%7E"),"*","%2A"),"?","%3F"),'Rules'!$G$7:$G$26,0)),"")</x:f>
      </x:c>
      <x:c r="M662" s="6" t="str">
        <x:f>IF(AND(NOT(COUNTA(A662:F662)=0),K662=""),INDEX('Rules'!$D$7:$D$26,MATCH(SUBSTITUTE(SUBSTITUTE(SUBSTITUTE(SUBSTITUTE("type:"&amp;B662,"%","%25"),"~","%7E"),"*","%2A"),"?","%3F"),'Rules'!$G$7:$G$26,0)),"")</x:f>
      </x:c>
      <x:c r="N662" s="5" t="str">
        <x:f>IF(COUNTA(A662:F662)=0,"",SUBSTITUTE(SUBSTITUTE(SUBSTITUTE(SUBSTITUTE("id:"&amp;A662,"%","%25"),"~","%7E"),"*","%2A"),"?","%3F"))</x:f>
      </x:c>
    </x:row>
    <x:row r="663" ht="22" customHeight="1">
      <x:c r="A663" s="3"/>
      <x:c r="B663" s="3"/>
      <x:c r="C663" s="3"/>
      <x:c r="D663" s="4"/>
      <x:c r="E663" s="4"/>
      <x:c r="F663" s="4"/>
      <x:c r="G663" s="5" t="str">
        <x:f>IF(COUNTA(A663:F663)=0,"",IF(K663&lt;&gt;"","Review",IF(I663&lt;0,"Overdue",IF(I663=0,"Due now",IF(I663&lt;=M663,"Due soon","Not due")))))</x:f>
      </x:c>
      <x:c r="H663" s="5" t="str">
        <x:f>IF(OR(COUNTA(A663:F663)=0,COUNTIFS('Rules'!$G$7:$G$26,"="&amp;(SUBSTITUTE(SUBSTITUTE(SUBSTITUTE(SUBSTITUTE("type:"&amp;B663,"%","%25"),"~","%7E"),"*","%2A"),"?","%3F")))&lt;&gt;1),"",IF(OR(INDEX('Rules'!$B$7:$B$26,MATCH(SUBSTITUTE(SUBSTITUTE(SUBSTITUTE(SUBSTITUTE("type:"&amp;B663,"%","%25"),"~","%7E"),"*","%2A"),"?","%3F"),'Rules'!$G$7:$G$26,0))="hours",INDEX('Rules'!$B$7:$B$26,MATCH(SUBSTITUTE(SUBSTITUTE(SUBSTITUTE(SUBSTITUTE("type:"&amp;B663,"%","%25"),"~","%7E"),"*","%2A"),"?","%3F"),'Rules'!$G$7:$G$26,0))="km"),INDEX('Rules'!$B$7:$B$26,MATCH(SUBSTITUTE(SUBSTITUTE(SUBSTITUTE(SUBSTITUTE("type:"&amp;B663,"%","%25"),"~","%7E"),"*","%2A"),"?","%3F"),'Rules'!$G$7:$G$26,0)),""))</x:f>
      </x:c>
      <x:c r="I663" s="6" t="str">
        <x:f>IF(AND(NOT(COUNTA(A663:F663)=0),K663=""),ROUND(J663-D663,3),"")</x:f>
      </x:c>
      <x:c r="J663" s="6" t="str">
        <x:f>IF(AND(NOT(COUNTA(A663:F663)=0),K663=""),ROUND(F663+L663,3),"")</x:f>
      </x:c>
      <x:c r="K663" s="5" t="str">
        <x:f>IF(COUNTA(A663:F663)=0,"",IF(A663="","Missing equipment ID",IF(COUNTIFS($N$8:$N$2007,"="&amp;N663)&gt;1,"Duplicate equipment ID",IF(B663="","Missing type",IF(COUNTIFS('Rules'!$G$7:$G$26,"="&amp;(SUBSTITUTE(SUBSTITUTE(SUBSTITUTE(SUBSTITUTE("type:"&amp;B663,"%","%25"),"~","%7E"),"*","%2A"),"?","%3F")))=0,"Unknown type",IF(COUNTIFS('Rules'!$G$7:$G$26,"="&amp;(SUBSTITUTE(SUBSTITUTE(SUBSTITUTE(SUBSTITUTE("type:"&amp;B663,"%","%25"),"~","%7E"),"*","%2A"),"?","%3F")))&gt;1,"Duplicate type",IF(INDEX('Rules'!$F$7:$F$26,MATCH(SUBSTITUTE(SUBSTITUTE(SUBSTITUTE(SUBSTITUTE("type:"&amp;B663,"%","%25"),"~","%7E"),"*","%2A"),"?","%3F"),'Rules'!$G$7:$G$26,0))&lt;&gt;"",INDEX('Rules'!$F$7:$F$26,MATCH(SUBSTITUTE(SUBSTITUTE(SUBSTITUTE(SUBSTITUTE("type:"&amp;B663,"%","%25"),"~","%7E"),"*","%2A"),"?","%3F"),'Rules'!$G$7:$G$26,0)),IF(AND(C663&lt;&gt;"",C663&lt;&gt;INDEX('Rules'!$B$7:$B$26,MATCH(SUBSTITUTE(SUBSTITUTE(SUBSTITUTE(SUBSTITUTE("type:"&amp;B663,"%","%25"),"~","%7E"),"*","%2A"),"?","%3F"),'Rules'!$G$7:$G$26,0))),"Unit mismatch",IF(IF(NOT(ISNUMBER(D663)),TRUE,OR(D663&lt;0,D663&gt;999999999,ROUND(D663,3)&lt;&gt;D663)),"Invalid current reading",IF(AND(E663&lt;&gt;"",IF(NOT(ISNUMBER(E663)),TRUE,OR(E663&lt;0,E663&gt;999999999,ROUND(E663,3)&lt;&gt;E663))),"Invalid previous reading",IF(IF(NOT(ISNUMBER(F663)),TRUE,OR(F663&lt;0,F663&gt;999999999,ROUND(F663,3)&lt;&gt;F663)),"Invalid last service",IF(AND(E663&lt;&gt;"",D663&lt;E663),"Decreased reading",IF(F663&gt;D663,"Last service above current","")))))))))))))</x:f>
      </x:c>
      <x:c r="L663" s="6" t="str">
        <x:f>IF(AND(NOT(COUNTA(A663:F663)=0),K663=""),INDEX('Rules'!$C$7:$C$26,MATCH(SUBSTITUTE(SUBSTITUTE(SUBSTITUTE(SUBSTITUTE("type:"&amp;B663,"%","%25"),"~","%7E"),"*","%2A"),"?","%3F"),'Rules'!$G$7:$G$26,0)),"")</x:f>
      </x:c>
      <x:c r="M663" s="6" t="str">
        <x:f>IF(AND(NOT(COUNTA(A663:F663)=0),K663=""),INDEX('Rules'!$D$7:$D$26,MATCH(SUBSTITUTE(SUBSTITUTE(SUBSTITUTE(SUBSTITUTE("type:"&amp;B663,"%","%25"),"~","%7E"),"*","%2A"),"?","%3F"),'Rules'!$G$7:$G$26,0)),"")</x:f>
      </x:c>
      <x:c r="N663" s="5" t="str">
        <x:f>IF(COUNTA(A663:F663)=0,"",SUBSTITUTE(SUBSTITUTE(SUBSTITUTE(SUBSTITUTE("id:"&amp;A663,"%","%25"),"~","%7E"),"*","%2A"),"?","%3F"))</x:f>
      </x:c>
    </x:row>
    <x:row r="664" ht="22" customHeight="1">
      <x:c r="A664" s="3"/>
      <x:c r="B664" s="3"/>
      <x:c r="C664" s="3"/>
      <x:c r="D664" s="4"/>
      <x:c r="E664" s="4"/>
      <x:c r="F664" s="4"/>
      <x:c r="G664" s="5" t="str">
        <x:f>IF(COUNTA(A664:F664)=0,"",IF(K664&lt;&gt;"","Review",IF(I664&lt;0,"Overdue",IF(I664=0,"Due now",IF(I664&lt;=M664,"Due soon","Not due")))))</x:f>
      </x:c>
      <x:c r="H664" s="5" t="str">
        <x:f>IF(OR(COUNTA(A664:F664)=0,COUNTIFS('Rules'!$G$7:$G$26,"="&amp;(SUBSTITUTE(SUBSTITUTE(SUBSTITUTE(SUBSTITUTE("type:"&amp;B664,"%","%25"),"~","%7E"),"*","%2A"),"?","%3F")))&lt;&gt;1),"",IF(OR(INDEX('Rules'!$B$7:$B$26,MATCH(SUBSTITUTE(SUBSTITUTE(SUBSTITUTE(SUBSTITUTE("type:"&amp;B664,"%","%25"),"~","%7E"),"*","%2A"),"?","%3F"),'Rules'!$G$7:$G$26,0))="hours",INDEX('Rules'!$B$7:$B$26,MATCH(SUBSTITUTE(SUBSTITUTE(SUBSTITUTE(SUBSTITUTE("type:"&amp;B664,"%","%25"),"~","%7E"),"*","%2A"),"?","%3F"),'Rules'!$G$7:$G$26,0))="km"),INDEX('Rules'!$B$7:$B$26,MATCH(SUBSTITUTE(SUBSTITUTE(SUBSTITUTE(SUBSTITUTE("type:"&amp;B664,"%","%25"),"~","%7E"),"*","%2A"),"?","%3F"),'Rules'!$G$7:$G$26,0)),""))</x:f>
      </x:c>
      <x:c r="I664" s="6" t="str">
        <x:f>IF(AND(NOT(COUNTA(A664:F664)=0),K664=""),ROUND(J664-D664,3),"")</x:f>
      </x:c>
      <x:c r="J664" s="6" t="str">
        <x:f>IF(AND(NOT(COUNTA(A664:F664)=0),K664=""),ROUND(F664+L664,3),"")</x:f>
      </x:c>
      <x:c r="K664" s="5" t="str">
        <x:f>IF(COUNTA(A664:F664)=0,"",IF(A664="","Missing equipment ID",IF(COUNTIFS($N$8:$N$2007,"="&amp;N664)&gt;1,"Duplicate equipment ID",IF(B664="","Missing type",IF(COUNTIFS('Rules'!$G$7:$G$26,"="&amp;(SUBSTITUTE(SUBSTITUTE(SUBSTITUTE(SUBSTITUTE("type:"&amp;B664,"%","%25"),"~","%7E"),"*","%2A"),"?","%3F")))=0,"Unknown type",IF(COUNTIFS('Rules'!$G$7:$G$26,"="&amp;(SUBSTITUTE(SUBSTITUTE(SUBSTITUTE(SUBSTITUTE("type:"&amp;B664,"%","%25"),"~","%7E"),"*","%2A"),"?","%3F")))&gt;1,"Duplicate type",IF(INDEX('Rules'!$F$7:$F$26,MATCH(SUBSTITUTE(SUBSTITUTE(SUBSTITUTE(SUBSTITUTE("type:"&amp;B664,"%","%25"),"~","%7E"),"*","%2A"),"?","%3F"),'Rules'!$G$7:$G$26,0))&lt;&gt;"",INDEX('Rules'!$F$7:$F$26,MATCH(SUBSTITUTE(SUBSTITUTE(SUBSTITUTE(SUBSTITUTE("type:"&amp;B664,"%","%25"),"~","%7E"),"*","%2A"),"?","%3F"),'Rules'!$G$7:$G$26,0)),IF(AND(C664&lt;&gt;"",C664&lt;&gt;INDEX('Rules'!$B$7:$B$26,MATCH(SUBSTITUTE(SUBSTITUTE(SUBSTITUTE(SUBSTITUTE("type:"&amp;B664,"%","%25"),"~","%7E"),"*","%2A"),"?","%3F"),'Rules'!$G$7:$G$26,0))),"Unit mismatch",IF(IF(NOT(ISNUMBER(D664)),TRUE,OR(D664&lt;0,D664&gt;999999999,ROUND(D664,3)&lt;&gt;D664)),"Invalid current reading",IF(AND(E664&lt;&gt;"",IF(NOT(ISNUMBER(E664)),TRUE,OR(E664&lt;0,E664&gt;999999999,ROUND(E664,3)&lt;&gt;E664))),"Invalid previous reading",IF(IF(NOT(ISNUMBER(F664)),TRUE,OR(F664&lt;0,F664&gt;999999999,ROUND(F664,3)&lt;&gt;F664)),"Invalid last service",IF(AND(E664&lt;&gt;"",D664&lt;E664),"Decreased reading",IF(F664&gt;D664,"Last service above current","")))))))))))))</x:f>
      </x:c>
      <x:c r="L664" s="6" t="str">
        <x:f>IF(AND(NOT(COUNTA(A664:F664)=0),K664=""),INDEX('Rules'!$C$7:$C$26,MATCH(SUBSTITUTE(SUBSTITUTE(SUBSTITUTE(SUBSTITUTE("type:"&amp;B664,"%","%25"),"~","%7E"),"*","%2A"),"?","%3F"),'Rules'!$G$7:$G$26,0)),"")</x:f>
      </x:c>
      <x:c r="M664" s="6" t="str">
        <x:f>IF(AND(NOT(COUNTA(A664:F664)=0),K664=""),INDEX('Rules'!$D$7:$D$26,MATCH(SUBSTITUTE(SUBSTITUTE(SUBSTITUTE(SUBSTITUTE("type:"&amp;B664,"%","%25"),"~","%7E"),"*","%2A"),"?","%3F"),'Rules'!$G$7:$G$26,0)),"")</x:f>
      </x:c>
      <x:c r="N664" s="5" t="str">
        <x:f>IF(COUNTA(A664:F664)=0,"",SUBSTITUTE(SUBSTITUTE(SUBSTITUTE(SUBSTITUTE("id:"&amp;A664,"%","%25"),"~","%7E"),"*","%2A"),"?","%3F"))</x:f>
      </x:c>
    </x:row>
    <x:row r="665" ht="22" customHeight="1">
      <x:c r="A665" s="3"/>
      <x:c r="B665" s="3"/>
      <x:c r="C665" s="3"/>
      <x:c r="D665" s="4"/>
      <x:c r="E665" s="4"/>
      <x:c r="F665" s="4"/>
      <x:c r="G665" s="5" t="str">
        <x:f>IF(COUNTA(A665:F665)=0,"",IF(K665&lt;&gt;"","Review",IF(I665&lt;0,"Overdue",IF(I665=0,"Due now",IF(I665&lt;=M665,"Due soon","Not due")))))</x:f>
      </x:c>
      <x:c r="H665" s="5" t="str">
        <x:f>IF(OR(COUNTA(A665:F665)=0,COUNTIFS('Rules'!$G$7:$G$26,"="&amp;(SUBSTITUTE(SUBSTITUTE(SUBSTITUTE(SUBSTITUTE("type:"&amp;B665,"%","%25"),"~","%7E"),"*","%2A"),"?","%3F")))&lt;&gt;1),"",IF(OR(INDEX('Rules'!$B$7:$B$26,MATCH(SUBSTITUTE(SUBSTITUTE(SUBSTITUTE(SUBSTITUTE("type:"&amp;B665,"%","%25"),"~","%7E"),"*","%2A"),"?","%3F"),'Rules'!$G$7:$G$26,0))="hours",INDEX('Rules'!$B$7:$B$26,MATCH(SUBSTITUTE(SUBSTITUTE(SUBSTITUTE(SUBSTITUTE("type:"&amp;B665,"%","%25"),"~","%7E"),"*","%2A"),"?","%3F"),'Rules'!$G$7:$G$26,0))="km"),INDEX('Rules'!$B$7:$B$26,MATCH(SUBSTITUTE(SUBSTITUTE(SUBSTITUTE(SUBSTITUTE("type:"&amp;B665,"%","%25"),"~","%7E"),"*","%2A"),"?","%3F"),'Rules'!$G$7:$G$26,0)),""))</x:f>
      </x:c>
      <x:c r="I665" s="6" t="str">
        <x:f>IF(AND(NOT(COUNTA(A665:F665)=0),K665=""),ROUND(J665-D665,3),"")</x:f>
      </x:c>
      <x:c r="J665" s="6" t="str">
        <x:f>IF(AND(NOT(COUNTA(A665:F665)=0),K665=""),ROUND(F665+L665,3),"")</x:f>
      </x:c>
      <x:c r="K665" s="5" t="str">
        <x:f>IF(COUNTA(A665:F665)=0,"",IF(A665="","Missing equipment ID",IF(COUNTIFS($N$8:$N$2007,"="&amp;N665)&gt;1,"Duplicate equipment ID",IF(B665="","Missing type",IF(COUNTIFS('Rules'!$G$7:$G$26,"="&amp;(SUBSTITUTE(SUBSTITUTE(SUBSTITUTE(SUBSTITUTE("type:"&amp;B665,"%","%25"),"~","%7E"),"*","%2A"),"?","%3F")))=0,"Unknown type",IF(COUNTIFS('Rules'!$G$7:$G$26,"="&amp;(SUBSTITUTE(SUBSTITUTE(SUBSTITUTE(SUBSTITUTE("type:"&amp;B665,"%","%25"),"~","%7E"),"*","%2A"),"?","%3F")))&gt;1,"Duplicate type",IF(INDEX('Rules'!$F$7:$F$26,MATCH(SUBSTITUTE(SUBSTITUTE(SUBSTITUTE(SUBSTITUTE("type:"&amp;B665,"%","%25"),"~","%7E"),"*","%2A"),"?","%3F"),'Rules'!$G$7:$G$26,0))&lt;&gt;"",INDEX('Rules'!$F$7:$F$26,MATCH(SUBSTITUTE(SUBSTITUTE(SUBSTITUTE(SUBSTITUTE("type:"&amp;B665,"%","%25"),"~","%7E"),"*","%2A"),"?","%3F"),'Rules'!$G$7:$G$26,0)),IF(AND(C665&lt;&gt;"",C665&lt;&gt;INDEX('Rules'!$B$7:$B$26,MATCH(SUBSTITUTE(SUBSTITUTE(SUBSTITUTE(SUBSTITUTE("type:"&amp;B665,"%","%25"),"~","%7E"),"*","%2A"),"?","%3F"),'Rules'!$G$7:$G$26,0))),"Unit mismatch",IF(IF(NOT(ISNUMBER(D665)),TRUE,OR(D665&lt;0,D665&gt;999999999,ROUND(D665,3)&lt;&gt;D665)),"Invalid current reading",IF(AND(E665&lt;&gt;"",IF(NOT(ISNUMBER(E665)),TRUE,OR(E665&lt;0,E665&gt;999999999,ROUND(E665,3)&lt;&gt;E665))),"Invalid previous reading",IF(IF(NOT(ISNUMBER(F665)),TRUE,OR(F665&lt;0,F665&gt;999999999,ROUND(F665,3)&lt;&gt;F665)),"Invalid last service",IF(AND(E665&lt;&gt;"",D665&lt;E665),"Decreased reading",IF(F665&gt;D665,"Last service above current","")))))))))))))</x:f>
      </x:c>
      <x:c r="L665" s="6" t="str">
        <x:f>IF(AND(NOT(COUNTA(A665:F665)=0),K665=""),INDEX('Rules'!$C$7:$C$26,MATCH(SUBSTITUTE(SUBSTITUTE(SUBSTITUTE(SUBSTITUTE("type:"&amp;B665,"%","%25"),"~","%7E"),"*","%2A"),"?","%3F"),'Rules'!$G$7:$G$26,0)),"")</x:f>
      </x:c>
      <x:c r="M665" s="6" t="str">
        <x:f>IF(AND(NOT(COUNTA(A665:F665)=0),K665=""),INDEX('Rules'!$D$7:$D$26,MATCH(SUBSTITUTE(SUBSTITUTE(SUBSTITUTE(SUBSTITUTE("type:"&amp;B665,"%","%25"),"~","%7E"),"*","%2A"),"?","%3F"),'Rules'!$G$7:$G$26,0)),"")</x:f>
      </x:c>
      <x:c r="N665" s="5" t="str">
        <x:f>IF(COUNTA(A665:F665)=0,"",SUBSTITUTE(SUBSTITUTE(SUBSTITUTE(SUBSTITUTE("id:"&amp;A665,"%","%25"),"~","%7E"),"*","%2A"),"?","%3F"))</x:f>
      </x:c>
    </x:row>
    <x:row r="666" ht="22" customHeight="1">
      <x:c r="A666" s="3"/>
      <x:c r="B666" s="3"/>
      <x:c r="C666" s="3"/>
      <x:c r="D666" s="4"/>
      <x:c r="E666" s="4"/>
      <x:c r="F666" s="4"/>
      <x:c r="G666" s="5" t="str">
        <x:f>IF(COUNTA(A666:F666)=0,"",IF(K666&lt;&gt;"","Review",IF(I666&lt;0,"Overdue",IF(I666=0,"Due now",IF(I666&lt;=M666,"Due soon","Not due")))))</x:f>
      </x:c>
      <x:c r="H666" s="5" t="str">
        <x:f>IF(OR(COUNTA(A666:F666)=0,COUNTIFS('Rules'!$G$7:$G$26,"="&amp;(SUBSTITUTE(SUBSTITUTE(SUBSTITUTE(SUBSTITUTE("type:"&amp;B666,"%","%25"),"~","%7E"),"*","%2A"),"?","%3F")))&lt;&gt;1),"",IF(OR(INDEX('Rules'!$B$7:$B$26,MATCH(SUBSTITUTE(SUBSTITUTE(SUBSTITUTE(SUBSTITUTE("type:"&amp;B666,"%","%25"),"~","%7E"),"*","%2A"),"?","%3F"),'Rules'!$G$7:$G$26,0))="hours",INDEX('Rules'!$B$7:$B$26,MATCH(SUBSTITUTE(SUBSTITUTE(SUBSTITUTE(SUBSTITUTE("type:"&amp;B666,"%","%25"),"~","%7E"),"*","%2A"),"?","%3F"),'Rules'!$G$7:$G$26,0))="km"),INDEX('Rules'!$B$7:$B$26,MATCH(SUBSTITUTE(SUBSTITUTE(SUBSTITUTE(SUBSTITUTE("type:"&amp;B666,"%","%25"),"~","%7E"),"*","%2A"),"?","%3F"),'Rules'!$G$7:$G$26,0)),""))</x:f>
      </x:c>
      <x:c r="I666" s="6" t="str">
        <x:f>IF(AND(NOT(COUNTA(A666:F666)=0),K666=""),ROUND(J666-D666,3),"")</x:f>
      </x:c>
      <x:c r="J666" s="6" t="str">
        <x:f>IF(AND(NOT(COUNTA(A666:F666)=0),K666=""),ROUND(F666+L666,3),"")</x:f>
      </x:c>
      <x:c r="K666" s="5" t="str">
        <x:f>IF(COUNTA(A666:F666)=0,"",IF(A666="","Missing equipment ID",IF(COUNTIFS($N$8:$N$2007,"="&amp;N666)&gt;1,"Duplicate equipment ID",IF(B666="","Missing type",IF(COUNTIFS('Rules'!$G$7:$G$26,"="&amp;(SUBSTITUTE(SUBSTITUTE(SUBSTITUTE(SUBSTITUTE("type:"&amp;B666,"%","%25"),"~","%7E"),"*","%2A"),"?","%3F")))=0,"Unknown type",IF(COUNTIFS('Rules'!$G$7:$G$26,"="&amp;(SUBSTITUTE(SUBSTITUTE(SUBSTITUTE(SUBSTITUTE("type:"&amp;B666,"%","%25"),"~","%7E"),"*","%2A"),"?","%3F")))&gt;1,"Duplicate type",IF(INDEX('Rules'!$F$7:$F$26,MATCH(SUBSTITUTE(SUBSTITUTE(SUBSTITUTE(SUBSTITUTE("type:"&amp;B666,"%","%25"),"~","%7E"),"*","%2A"),"?","%3F"),'Rules'!$G$7:$G$26,0))&lt;&gt;"",INDEX('Rules'!$F$7:$F$26,MATCH(SUBSTITUTE(SUBSTITUTE(SUBSTITUTE(SUBSTITUTE("type:"&amp;B666,"%","%25"),"~","%7E"),"*","%2A"),"?","%3F"),'Rules'!$G$7:$G$26,0)),IF(AND(C666&lt;&gt;"",C666&lt;&gt;INDEX('Rules'!$B$7:$B$26,MATCH(SUBSTITUTE(SUBSTITUTE(SUBSTITUTE(SUBSTITUTE("type:"&amp;B666,"%","%25"),"~","%7E"),"*","%2A"),"?","%3F"),'Rules'!$G$7:$G$26,0))),"Unit mismatch",IF(IF(NOT(ISNUMBER(D666)),TRUE,OR(D666&lt;0,D666&gt;999999999,ROUND(D666,3)&lt;&gt;D666)),"Invalid current reading",IF(AND(E666&lt;&gt;"",IF(NOT(ISNUMBER(E666)),TRUE,OR(E666&lt;0,E666&gt;999999999,ROUND(E666,3)&lt;&gt;E666))),"Invalid previous reading",IF(IF(NOT(ISNUMBER(F666)),TRUE,OR(F666&lt;0,F666&gt;999999999,ROUND(F666,3)&lt;&gt;F666)),"Invalid last service",IF(AND(E666&lt;&gt;"",D666&lt;E666),"Decreased reading",IF(F666&gt;D666,"Last service above current","")))))))))))))</x:f>
      </x:c>
      <x:c r="L666" s="6" t="str">
        <x:f>IF(AND(NOT(COUNTA(A666:F666)=0),K666=""),INDEX('Rules'!$C$7:$C$26,MATCH(SUBSTITUTE(SUBSTITUTE(SUBSTITUTE(SUBSTITUTE("type:"&amp;B666,"%","%25"),"~","%7E"),"*","%2A"),"?","%3F"),'Rules'!$G$7:$G$26,0)),"")</x:f>
      </x:c>
      <x:c r="M666" s="6" t="str">
        <x:f>IF(AND(NOT(COUNTA(A666:F666)=0),K666=""),INDEX('Rules'!$D$7:$D$26,MATCH(SUBSTITUTE(SUBSTITUTE(SUBSTITUTE(SUBSTITUTE("type:"&amp;B666,"%","%25"),"~","%7E"),"*","%2A"),"?","%3F"),'Rules'!$G$7:$G$26,0)),"")</x:f>
      </x:c>
      <x:c r="N666" s="5" t="str">
        <x:f>IF(COUNTA(A666:F666)=0,"",SUBSTITUTE(SUBSTITUTE(SUBSTITUTE(SUBSTITUTE("id:"&amp;A666,"%","%25"),"~","%7E"),"*","%2A"),"?","%3F"))</x:f>
      </x:c>
    </x:row>
    <x:row r="667" ht="22" customHeight="1">
      <x:c r="A667" s="3"/>
      <x:c r="B667" s="3"/>
      <x:c r="C667" s="3"/>
      <x:c r="D667" s="4"/>
      <x:c r="E667" s="4"/>
      <x:c r="F667" s="4"/>
      <x:c r="G667" s="5" t="str">
        <x:f>IF(COUNTA(A667:F667)=0,"",IF(K667&lt;&gt;"","Review",IF(I667&lt;0,"Overdue",IF(I667=0,"Due now",IF(I667&lt;=M667,"Due soon","Not due")))))</x:f>
      </x:c>
      <x:c r="H667" s="5" t="str">
        <x:f>IF(OR(COUNTA(A667:F667)=0,COUNTIFS('Rules'!$G$7:$G$26,"="&amp;(SUBSTITUTE(SUBSTITUTE(SUBSTITUTE(SUBSTITUTE("type:"&amp;B667,"%","%25"),"~","%7E"),"*","%2A"),"?","%3F")))&lt;&gt;1),"",IF(OR(INDEX('Rules'!$B$7:$B$26,MATCH(SUBSTITUTE(SUBSTITUTE(SUBSTITUTE(SUBSTITUTE("type:"&amp;B667,"%","%25"),"~","%7E"),"*","%2A"),"?","%3F"),'Rules'!$G$7:$G$26,0))="hours",INDEX('Rules'!$B$7:$B$26,MATCH(SUBSTITUTE(SUBSTITUTE(SUBSTITUTE(SUBSTITUTE("type:"&amp;B667,"%","%25"),"~","%7E"),"*","%2A"),"?","%3F"),'Rules'!$G$7:$G$26,0))="km"),INDEX('Rules'!$B$7:$B$26,MATCH(SUBSTITUTE(SUBSTITUTE(SUBSTITUTE(SUBSTITUTE("type:"&amp;B667,"%","%25"),"~","%7E"),"*","%2A"),"?","%3F"),'Rules'!$G$7:$G$26,0)),""))</x:f>
      </x:c>
      <x:c r="I667" s="6" t="str">
        <x:f>IF(AND(NOT(COUNTA(A667:F667)=0),K667=""),ROUND(J667-D667,3),"")</x:f>
      </x:c>
      <x:c r="J667" s="6" t="str">
        <x:f>IF(AND(NOT(COUNTA(A667:F667)=0),K667=""),ROUND(F667+L667,3),"")</x:f>
      </x:c>
      <x:c r="K667" s="5" t="str">
        <x:f>IF(COUNTA(A667:F667)=0,"",IF(A667="","Missing equipment ID",IF(COUNTIFS($N$8:$N$2007,"="&amp;N667)&gt;1,"Duplicate equipment ID",IF(B667="","Missing type",IF(COUNTIFS('Rules'!$G$7:$G$26,"="&amp;(SUBSTITUTE(SUBSTITUTE(SUBSTITUTE(SUBSTITUTE("type:"&amp;B667,"%","%25"),"~","%7E"),"*","%2A"),"?","%3F")))=0,"Unknown type",IF(COUNTIFS('Rules'!$G$7:$G$26,"="&amp;(SUBSTITUTE(SUBSTITUTE(SUBSTITUTE(SUBSTITUTE("type:"&amp;B667,"%","%25"),"~","%7E"),"*","%2A"),"?","%3F")))&gt;1,"Duplicate type",IF(INDEX('Rules'!$F$7:$F$26,MATCH(SUBSTITUTE(SUBSTITUTE(SUBSTITUTE(SUBSTITUTE("type:"&amp;B667,"%","%25"),"~","%7E"),"*","%2A"),"?","%3F"),'Rules'!$G$7:$G$26,0))&lt;&gt;"",INDEX('Rules'!$F$7:$F$26,MATCH(SUBSTITUTE(SUBSTITUTE(SUBSTITUTE(SUBSTITUTE("type:"&amp;B667,"%","%25"),"~","%7E"),"*","%2A"),"?","%3F"),'Rules'!$G$7:$G$26,0)),IF(AND(C667&lt;&gt;"",C667&lt;&gt;INDEX('Rules'!$B$7:$B$26,MATCH(SUBSTITUTE(SUBSTITUTE(SUBSTITUTE(SUBSTITUTE("type:"&amp;B667,"%","%25"),"~","%7E"),"*","%2A"),"?","%3F"),'Rules'!$G$7:$G$26,0))),"Unit mismatch",IF(IF(NOT(ISNUMBER(D667)),TRUE,OR(D667&lt;0,D667&gt;999999999,ROUND(D667,3)&lt;&gt;D667)),"Invalid current reading",IF(AND(E667&lt;&gt;"",IF(NOT(ISNUMBER(E667)),TRUE,OR(E667&lt;0,E667&gt;999999999,ROUND(E667,3)&lt;&gt;E667))),"Invalid previous reading",IF(IF(NOT(ISNUMBER(F667)),TRUE,OR(F667&lt;0,F667&gt;999999999,ROUND(F667,3)&lt;&gt;F667)),"Invalid last service",IF(AND(E667&lt;&gt;"",D667&lt;E667),"Decreased reading",IF(F667&gt;D667,"Last service above current","")))))))))))))</x:f>
      </x:c>
      <x:c r="L667" s="6" t="str">
        <x:f>IF(AND(NOT(COUNTA(A667:F667)=0),K667=""),INDEX('Rules'!$C$7:$C$26,MATCH(SUBSTITUTE(SUBSTITUTE(SUBSTITUTE(SUBSTITUTE("type:"&amp;B667,"%","%25"),"~","%7E"),"*","%2A"),"?","%3F"),'Rules'!$G$7:$G$26,0)),"")</x:f>
      </x:c>
      <x:c r="M667" s="6" t="str">
        <x:f>IF(AND(NOT(COUNTA(A667:F667)=0),K667=""),INDEX('Rules'!$D$7:$D$26,MATCH(SUBSTITUTE(SUBSTITUTE(SUBSTITUTE(SUBSTITUTE("type:"&amp;B667,"%","%25"),"~","%7E"),"*","%2A"),"?","%3F"),'Rules'!$G$7:$G$26,0)),"")</x:f>
      </x:c>
      <x:c r="N667" s="5" t="str">
        <x:f>IF(COUNTA(A667:F667)=0,"",SUBSTITUTE(SUBSTITUTE(SUBSTITUTE(SUBSTITUTE("id:"&amp;A667,"%","%25"),"~","%7E"),"*","%2A"),"?","%3F"))</x:f>
      </x:c>
    </x:row>
    <x:row r="668" ht="22" customHeight="1">
      <x:c r="A668" s="3"/>
      <x:c r="B668" s="3"/>
      <x:c r="C668" s="3"/>
      <x:c r="D668" s="4"/>
      <x:c r="E668" s="4"/>
      <x:c r="F668" s="4"/>
      <x:c r="G668" s="5" t="str">
        <x:f>IF(COUNTA(A668:F668)=0,"",IF(K668&lt;&gt;"","Review",IF(I668&lt;0,"Overdue",IF(I668=0,"Due now",IF(I668&lt;=M668,"Due soon","Not due")))))</x:f>
      </x:c>
      <x:c r="H668" s="5" t="str">
        <x:f>IF(OR(COUNTA(A668:F668)=0,COUNTIFS('Rules'!$G$7:$G$26,"="&amp;(SUBSTITUTE(SUBSTITUTE(SUBSTITUTE(SUBSTITUTE("type:"&amp;B668,"%","%25"),"~","%7E"),"*","%2A"),"?","%3F")))&lt;&gt;1),"",IF(OR(INDEX('Rules'!$B$7:$B$26,MATCH(SUBSTITUTE(SUBSTITUTE(SUBSTITUTE(SUBSTITUTE("type:"&amp;B668,"%","%25"),"~","%7E"),"*","%2A"),"?","%3F"),'Rules'!$G$7:$G$26,0))="hours",INDEX('Rules'!$B$7:$B$26,MATCH(SUBSTITUTE(SUBSTITUTE(SUBSTITUTE(SUBSTITUTE("type:"&amp;B668,"%","%25"),"~","%7E"),"*","%2A"),"?","%3F"),'Rules'!$G$7:$G$26,0))="km"),INDEX('Rules'!$B$7:$B$26,MATCH(SUBSTITUTE(SUBSTITUTE(SUBSTITUTE(SUBSTITUTE("type:"&amp;B668,"%","%25"),"~","%7E"),"*","%2A"),"?","%3F"),'Rules'!$G$7:$G$26,0)),""))</x:f>
      </x:c>
      <x:c r="I668" s="6" t="str">
        <x:f>IF(AND(NOT(COUNTA(A668:F668)=0),K668=""),ROUND(J668-D668,3),"")</x:f>
      </x:c>
      <x:c r="J668" s="6" t="str">
        <x:f>IF(AND(NOT(COUNTA(A668:F668)=0),K668=""),ROUND(F668+L668,3),"")</x:f>
      </x:c>
      <x:c r="K668" s="5" t="str">
        <x:f>IF(COUNTA(A668:F668)=0,"",IF(A668="","Missing equipment ID",IF(COUNTIFS($N$8:$N$2007,"="&amp;N668)&gt;1,"Duplicate equipment ID",IF(B668="","Missing type",IF(COUNTIFS('Rules'!$G$7:$G$26,"="&amp;(SUBSTITUTE(SUBSTITUTE(SUBSTITUTE(SUBSTITUTE("type:"&amp;B668,"%","%25"),"~","%7E"),"*","%2A"),"?","%3F")))=0,"Unknown type",IF(COUNTIFS('Rules'!$G$7:$G$26,"="&amp;(SUBSTITUTE(SUBSTITUTE(SUBSTITUTE(SUBSTITUTE("type:"&amp;B668,"%","%25"),"~","%7E"),"*","%2A"),"?","%3F")))&gt;1,"Duplicate type",IF(INDEX('Rules'!$F$7:$F$26,MATCH(SUBSTITUTE(SUBSTITUTE(SUBSTITUTE(SUBSTITUTE("type:"&amp;B668,"%","%25"),"~","%7E"),"*","%2A"),"?","%3F"),'Rules'!$G$7:$G$26,0))&lt;&gt;"",INDEX('Rules'!$F$7:$F$26,MATCH(SUBSTITUTE(SUBSTITUTE(SUBSTITUTE(SUBSTITUTE("type:"&amp;B668,"%","%25"),"~","%7E"),"*","%2A"),"?","%3F"),'Rules'!$G$7:$G$26,0)),IF(AND(C668&lt;&gt;"",C668&lt;&gt;INDEX('Rules'!$B$7:$B$26,MATCH(SUBSTITUTE(SUBSTITUTE(SUBSTITUTE(SUBSTITUTE("type:"&amp;B668,"%","%25"),"~","%7E"),"*","%2A"),"?","%3F"),'Rules'!$G$7:$G$26,0))),"Unit mismatch",IF(IF(NOT(ISNUMBER(D668)),TRUE,OR(D668&lt;0,D668&gt;999999999,ROUND(D668,3)&lt;&gt;D668)),"Invalid current reading",IF(AND(E668&lt;&gt;"",IF(NOT(ISNUMBER(E668)),TRUE,OR(E668&lt;0,E668&gt;999999999,ROUND(E668,3)&lt;&gt;E668))),"Invalid previous reading",IF(IF(NOT(ISNUMBER(F668)),TRUE,OR(F668&lt;0,F668&gt;999999999,ROUND(F668,3)&lt;&gt;F668)),"Invalid last service",IF(AND(E668&lt;&gt;"",D668&lt;E668),"Decreased reading",IF(F668&gt;D668,"Last service above current","")))))))))))))</x:f>
      </x:c>
      <x:c r="L668" s="6" t="str">
        <x:f>IF(AND(NOT(COUNTA(A668:F668)=0),K668=""),INDEX('Rules'!$C$7:$C$26,MATCH(SUBSTITUTE(SUBSTITUTE(SUBSTITUTE(SUBSTITUTE("type:"&amp;B668,"%","%25"),"~","%7E"),"*","%2A"),"?","%3F"),'Rules'!$G$7:$G$26,0)),"")</x:f>
      </x:c>
      <x:c r="M668" s="6" t="str">
        <x:f>IF(AND(NOT(COUNTA(A668:F668)=0),K668=""),INDEX('Rules'!$D$7:$D$26,MATCH(SUBSTITUTE(SUBSTITUTE(SUBSTITUTE(SUBSTITUTE("type:"&amp;B668,"%","%25"),"~","%7E"),"*","%2A"),"?","%3F"),'Rules'!$G$7:$G$26,0)),"")</x:f>
      </x:c>
      <x:c r="N668" s="5" t="str">
        <x:f>IF(COUNTA(A668:F668)=0,"",SUBSTITUTE(SUBSTITUTE(SUBSTITUTE(SUBSTITUTE("id:"&amp;A668,"%","%25"),"~","%7E"),"*","%2A"),"?","%3F"))</x:f>
      </x:c>
    </x:row>
    <x:row r="669" ht="22" customHeight="1">
      <x:c r="A669" s="3"/>
      <x:c r="B669" s="3"/>
      <x:c r="C669" s="3"/>
      <x:c r="D669" s="4"/>
      <x:c r="E669" s="4"/>
      <x:c r="F669" s="4"/>
      <x:c r="G669" s="5" t="str">
        <x:f>IF(COUNTA(A669:F669)=0,"",IF(K669&lt;&gt;"","Review",IF(I669&lt;0,"Overdue",IF(I669=0,"Due now",IF(I669&lt;=M669,"Due soon","Not due")))))</x:f>
      </x:c>
      <x:c r="H669" s="5" t="str">
        <x:f>IF(OR(COUNTA(A669:F669)=0,COUNTIFS('Rules'!$G$7:$G$26,"="&amp;(SUBSTITUTE(SUBSTITUTE(SUBSTITUTE(SUBSTITUTE("type:"&amp;B669,"%","%25"),"~","%7E"),"*","%2A"),"?","%3F")))&lt;&gt;1),"",IF(OR(INDEX('Rules'!$B$7:$B$26,MATCH(SUBSTITUTE(SUBSTITUTE(SUBSTITUTE(SUBSTITUTE("type:"&amp;B669,"%","%25"),"~","%7E"),"*","%2A"),"?","%3F"),'Rules'!$G$7:$G$26,0))="hours",INDEX('Rules'!$B$7:$B$26,MATCH(SUBSTITUTE(SUBSTITUTE(SUBSTITUTE(SUBSTITUTE("type:"&amp;B669,"%","%25"),"~","%7E"),"*","%2A"),"?","%3F"),'Rules'!$G$7:$G$26,0))="km"),INDEX('Rules'!$B$7:$B$26,MATCH(SUBSTITUTE(SUBSTITUTE(SUBSTITUTE(SUBSTITUTE("type:"&amp;B669,"%","%25"),"~","%7E"),"*","%2A"),"?","%3F"),'Rules'!$G$7:$G$26,0)),""))</x:f>
      </x:c>
      <x:c r="I669" s="6" t="str">
        <x:f>IF(AND(NOT(COUNTA(A669:F669)=0),K669=""),ROUND(J669-D669,3),"")</x:f>
      </x:c>
      <x:c r="J669" s="6" t="str">
        <x:f>IF(AND(NOT(COUNTA(A669:F669)=0),K669=""),ROUND(F669+L669,3),"")</x:f>
      </x:c>
      <x:c r="K669" s="5" t="str">
        <x:f>IF(COUNTA(A669:F669)=0,"",IF(A669="","Missing equipment ID",IF(COUNTIFS($N$8:$N$2007,"="&amp;N669)&gt;1,"Duplicate equipment ID",IF(B669="","Missing type",IF(COUNTIFS('Rules'!$G$7:$G$26,"="&amp;(SUBSTITUTE(SUBSTITUTE(SUBSTITUTE(SUBSTITUTE("type:"&amp;B669,"%","%25"),"~","%7E"),"*","%2A"),"?","%3F")))=0,"Unknown type",IF(COUNTIFS('Rules'!$G$7:$G$26,"="&amp;(SUBSTITUTE(SUBSTITUTE(SUBSTITUTE(SUBSTITUTE("type:"&amp;B669,"%","%25"),"~","%7E"),"*","%2A"),"?","%3F")))&gt;1,"Duplicate type",IF(INDEX('Rules'!$F$7:$F$26,MATCH(SUBSTITUTE(SUBSTITUTE(SUBSTITUTE(SUBSTITUTE("type:"&amp;B669,"%","%25"),"~","%7E"),"*","%2A"),"?","%3F"),'Rules'!$G$7:$G$26,0))&lt;&gt;"",INDEX('Rules'!$F$7:$F$26,MATCH(SUBSTITUTE(SUBSTITUTE(SUBSTITUTE(SUBSTITUTE("type:"&amp;B669,"%","%25"),"~","%7E"),"*","%2A"),"?","%3F"),'Rules'!$G$7:$G$26,0)),IF(AND(C669&lt;&gt;"",C669&lt;&gt;INDEX('Rules'!$B$7:$B$26,MATCH(SUBSTITUTE(SUBSTITUTE(SUBSTITUTE(SUBSTITUTE("type:"&amp;B669,"%","%25"),"~","%7E"),"*","%2A"),"?","%3F"),'Rules'!$G$7:$G$26,0))),"Unit mismatch",IF(IF(NOT(ISNUMBER(D669)),TRUE,OR(D669&lt;0,D669&gt;999999999,ROUND(D669,3)&lt;&gt;D669)),"Invalid current reading",IF(AND(E669&lt;&gt;"",IF(NOT(ISNUMBER(E669)),TRUE,OR(E669&lt;0,E669&gt;999999999,ROUND(E669,3)&lt;&gt;E669))),"Invalid previous reading",IF(IF(NOT(ISNUMBER(F669)),TRUE,OR(F669&lt;0,F669&gt;999999999,ROUND(F669,3)&lt;&gt;F669)),"Invalid last service",IF(AND(E669&lt;&gt;"",D669&lt;E669),"Decreased reading",IF(F669&gt;D669,"Last service above current","")))))))))))))</x:f>
      </x:c>
      <x:c r="L669" s="6" t="str">
        <x:f>IF(AND(NOT(COUNTA(A669:F669)=0),K669=""),INDEX('Rules'!$C$7:$C$26,MATCH(SUBSTITUTE(SUBSTITUTE(SUBSTITUTE(SUBSTITUTE("type:"&amp;B669,"%","%25"),"~","%7E"),"*","%2A"),"?","%3F"),'Rules'!$G$7:$G$26,0)),"")</x:f>
      </x:c>
      <x:c r="M669" s="6" t="str">
        <x:f>IF(AND(NOT(COUNTA(A669:F669)=0),K669=""),INDEX('Rules'!$D$7:$D$26,MATCH(SUBSTITUTE(SUBSTITUTE(SUBSTITUTE(SUBSTITUTE("type:"&amp;B669,"%","%25"),"~","%7E"),"*","%2A"),"?","%3F"),'Rules'!$G$7:$G$26,0)),"")</x:f>
      </x:c>
      <x:c r="N669" s="5" t="str">
        <x:f>IF(COUNTA(A669:F669)=0,"",SUBSTITUTE(SUBSTITUTE(SUBSTITUTE(SUBSTITUTE("id:"&amp;A669,"%","%25"),"~","%7E"),"*","%2A"),"?","%3F"))</x:f>
      </x:c>
    </x:row>
    <x:row r="670" ht="22" customHeight="1">
      <x:c r="A670" s="3"/>
      <x:c r="B670" s="3"/>
      <x:c r="C670" s="3"/>
      <x:c r="D670" s="4"/>
      <x:c r="E670" s="4"/>
      <x:c r="F670" s="4"/>
      <x:c r="G670" s="5" t="str">
        <x:f>IF(COUNTA(A670:F670)=0,"",IF(K670&lt;&gt;"","Review",IF(I670&lt;0,"Overdue",IF(I670=0,"Due now",IF(I670&lt;=M670,"Due soon","Not due")))))</x:f>
      </x:c>
      <x:c r="H670" s="5" t="str">
        <x:f>IF(OR(COUNTA(A670:F670)=0,COUNTIFS('Rules'!$G$7:$G$26,"="&amp;(SUBSTITUTE(SUBSTITUTE(SUBSTITUTE(SUBSTITUTE("type:"&amp;B670,"%","%25"),"~","%7E"),"*","%2A"),"?","%3F")))&lt;&gt;1),"",IF(OR(INDEX('Rules'!$B$7:$B$26,MATCH(SUBSTITUTE(SUBSTITUTE(SUBSTITUTE(SUBSTITUTE("type:"&amp;B670,"%","%25"),"~","%7E"),"*","%2A"),"?","%3F"),'Rules'!$G$7:$G$26,0))="hours",INDEX('Rules'!$B$7:$B$26,MATCH(SUBSTITUTE(SUBSTITUTE(SUBSTITUTE(SUBSTITUTE("type:"&amp;B670,"%","%25"),"~","%7E"),"*","%2A"),"?","%3F"),'Rules'!$G$7:$G$26,0))="km"),INDEX('Rules'!$B$7:$B$26,MATCH(SUBSTITUTE(SUBSTITUTE(SUBSTITUTE(SUBSTITUTE("type:"&amp;B670,"%","%25"),"~","%7E"),"*","%2A"),"?","%3F"),'Rules'!$G$7:$G$26,0)),""))</x:f>
      </x:c>
      <x:c r="I670" s="6" t="str">
        <x:f>IF(AND(NOT(COUNTA(A670:F670)=0),K670=""),ROUND(J670-D670,3),"")</x:f>
      </x:c>
      <x:c r="J670" s="6" t="str">
        <x:f>IF(AND(NOT(COUNTA(A670:F670)=0),K670=""),ROUND(F670+L670,3),"")</x:f>
      </x:c>
      <x:c r="K670" s="5" t="str">
        <x:f>IF(COUNTA(A670:F670)=0,"",IF(A670="","Missing equipment ID",IF(COUNTIFS($N$8:$N$2007,"="&amp;N670)&gt;1,"Duplicate equipment ID",IF(B670="","Missing type",IF(COUNTIFS('Rules'!$G$7:$G$26,"="&amp;(SUBSTITUTE(SUBSTITUTE(SUBSTITUTE(SUBSTITUTE("type:"&amp;B670,"%","%25"),"~","%7E"),"*","%2A"),"?","%3F")))=0,"Unknown type",IF(COUNTIFS('Rules'!$G$7:$G$26,"="&amp;(SUBSTITUTE(SUBSTITUTE(SUBSTITUTE(SUBSTITUTE("type:"&amp;B670,"%","%25"),"~","%7E"),"*","%2A"),"?","%3F")))&gt;1,"Duplicate type",IF(INDEX('Rules'!$F$7:$F$26,MATCH(SUBSTITUTE(SUBSTITUTE(SUBSTITUTE(SUBSTITUTE("type:"&amp;B670,"%","%25"),"~","%7E"),"*","%2A"),"?","%3F"),'Rules'!$G$7:$G$26,0))&lt;&gt;"",INDEX('Rules'!$F$7:$F$26,MATCH(SUBSTITUTE(SUBSTITUTE(SUBSTITUTE(SUBSTITUTE("type:"&amp;B670,"%","%25"),"~","%7E"),"*","%2A"),"?","%3F"),'Rules'!$G$7:$G$26,0)),IF(AND(C670&lt;&gt;"",C670&lt;&gt;INDEX('Rules'!$B$7:$B$26,MATCH(SUBSTITUTE(SUBSTITUTE(SUBSTITUTE(SUBSTITUTE("type:"&amp;B670,"%","%25"),"~","%7E"),"*","%2A"),"?","%3F"),'Rules'!$G$7:$G$26,0))),"Unit mismatch",IF(IF(NOT(ISNUMBER(D670)),TRUE,OR(D670&lt;0,D670&gt;999999999,ROUND(D670,3)&lt;&gt;D670)),"Invalid current reading",IF(AND(E670&lt;&gt;"",IF(NOT(ISNUMBER(E670)),TRUE,OR(E670&lt;0,E670&gt;999999999,ROUND(E670,3)&lt;&gt;E670))),"Invalid previous reading",IF(IF(NOT(ISNUMBER(F670)),TRUE,OR(F670&lt;0,F670&gt;999999999,ROUND(F670,3)&lt;&gt;F670)),"Invalid last service",IF(AND(E670&lt;&gt;"",D670&lt;E670),"Decreased reading",IF(F670&gt;D670,"Last service above current","")))))))))))))</x:f>
      </x:c>
      <x:c r="L670" s="6" t="str">
        <x:f>IF(AND(NOT(COUNTA(A670:F670)=0),K670=""),INDEX('Rules'!$C$7:$C$26,MATCH(SUBSTITUTE(SUBSTITUTE(SUBSTITUTE(SUBSTITUTE("type:"&amp;B670,"%","%25"),"~","%7E"),"*","%2A"),"?","%3F"),'Rules'!$G$7:$G$26,0)),"")</x:f>
      </x:c>
      <x:c r="M670" s="6" t="str">
        <x:f>IF(AND(NOT(COUNTA(A670:F670)=0),K670=""),INDEX('Rules'!$D$7:$D$26,MATCH(SUBSTITUTE(SUBSTITUTE(SUBSTITUTE(SUBSTITUTE("type:"&amp;B670,"%","%25"),"~","%7E"),"*","%2A"),"?","%3F"),'Rules'!$G$7:$G$26,0)),"")</x:f>
      </x:c>
      <x:c r="N670" s="5" t="str">
        <x:f>IF(COUNTA(A670:F670)=0,"",SUBSTITUTE(SUBSTITUTE(SUBSTITUTE(SUBSTITUTE("id:"&amp;A670,"%","%25"),"~","%7E"),"*","%2A"),"?","%3F"))</x:f>
      </x:c>
    </x:row>
    <x:row r="671" ht="22" customHeight="1">
      <x:c r="A671" s="3"/>
      <x:c r="B671" s="3"/>
      <x:c r="C671" s="3"/>
      <x:c r="D671" s="4"/>
      <x:c r="E671" s="4"/>
      <x:c r="F671" s="4"/>
      <x:c r="G671" s="5" t="str">
        <x:f>IF(COUNTA(A671:F671)=0,"",IF(K671&lt;&gt;"","Review",IF(I671&lt;0,"Overdue",IF(I671=0,"Due now",IF(I671&lt;=M671,"Due soon","Not due")))))</x:f>
      </x:c>
      <x:c r="H671" s="5" t="str">
        <x:f>IF(OR(COUNTA(A671:F671)=0,COUNTIFS('Rules'!$G$7:$G$26,"="&amp;(SUBSTITUTE(SUBSTITUTE(SUBSTITUTE(SUBSTITUTE("type:"&amp;B671,"%","%25"),"~","%7E"),"*","%2A"),"?","%3F")))&lt;&gt;1),"",IF(OR(INDEX('Rules'!$B$7:$B$26,MATCH(SUBSTITUTE(SUBSTITUTE(SUBSTITUTE(SUBSTITUTE("type:"&amp;B671,"%","%25"),"~","%7E"),"*","%2A"),"?","%3F"),'Rules'!$G$7:$G$26,0))="hours",INDEX('Rules'!$B$7:$B$26,MATCH(SUBSTITUTE(SUBSTITUTE(SUBSTITUTE(SUBSTITUTE("type:"&amp;B671,"%","%25"),"~","%7E"),"*","%2A"),"?","%3F"),'Rules'!$G$7:$G$26,0))="km"),INDEX('Rules'!$B$7:$B$26,MATCH(SUBSTITUTE(SUBSTITUTE(SUBSTITUTE(SUBSTITUTE("type:"&amp;B671,"%","%25"),"~","%7E"),"*","%2A"),"?","%3F"),'Rules'!$G$7:$G$26,0)),""))</x:f>
      </x:c>
      <x:c r="I671" s="6" t="str">
        <x:f>IF(AND(NOT(COUNTA(A671:F671)=0),K671=""),ROUND(J671-D671,3),"")</x:f>
      </x:c>
      <x:c r="J671" s="6" t="str">
        <x:f>IF(AND(NOT(COUNTA(A671:F671)=0),K671=""),ROUND(F671+L671,3),"")</x:f>
      </x:c>
      <x:c r="K671" s="5" t="str">
        <x:f>IF(COUNTA(A671:F671)=0,"",IF(A671="","Missing equipment ID",IF(COUNTIFS($N$8:$N$2007,"="&amp;N671)&gt;1,"Duplicate equipment ID",IF(B671="","Missing type",IF(COUNTIFS('Rules'!$G$7:$G$26,"="&amp;(SUBSTITUTE(SUBSTITUTE(SUBSTITUTE(SUBSTITUTE("type:"&amp;B671,"%","%25"),"~","%7E"),"*","%2A"),"?","%3F")))=0,"Unknown type",IF(COUNTIFS('Rules'!$G$7:$G$26,"="&amp;(SUBSTITUTE(SUBSTITUTE(SUBSTITUTE(SUBSTITUTE("type:"&amp;B671,"%","%25"),"~","%7E"),"*","%2A"),"?","%3F")))&gt;1,"Duplicate type",IF(INDEX('Rules'!$F$7:$F$26,MATCH(SUBSTITUTE(SUBSTITUTE(SUBSTITUTE(SUBSTITUTE("type:"&amp;B671,"%","%25"),"~","%7E"),"*","%2A"),"?","%3F"),'Rules'!$G$7:$G$26,0))&lt;&gt;"",INDEX('Rules'!$F$7:$F$26,MATCH(SUBSTITUTE(SUBSTITUTE(SUBSTITUTE(SUBSTITUTE("type:"&amp;B671,"%","%25"),"~","%7E"),"*","%2A"),"?","%3F"),'Rules'!$G$7:$G$26,0)),IF(AND(C671&lt;&gt;"",C671&lt;&gt;INDEX('Rules'!$B$7:$B$26,MATCH(SUBSTITUTE(SUBSTITUTE(SUBSTITUTE(SUBSTITUTE("type:"&amp;B671,"%","%25"),"~","%7E"),"*","%2A"),"?","%3F"),'Rules'!$G$7:$G$26,0))),"Unit mismatch",IF(IF(NOT(ISNUMBER(D671)),TRUE,OR(D671&lt;0,D671&gt;999999999,ROUND(D671,3)&lt;&gt;D671)),"Invalid current reading",IF(AND(E671&lt;&gt;"",IF(NOT(ISNUMBER(E671)),TRUE,OR(E671&lt;0,E671&gt;999999999,ROUND(E671,3)&lt;&gt;E671))),"Invalid previous reading",IF(IF(NOT(ISNUMBER(F671)),TRUE,OR(F671&lt;0,F671&gt;999999999,ROUND(F671,3)&lt;&gt;F671)),"Invalid last service",IF(AND(E671&lt;&gt;"",D671&lt;E671),"Decreased reading",IF(F671&gt;D671,"Last service above current","")))))))))))))</x:f>
      </x:c>
      <x:c r="L671" s="6" t="str">
        <x:f>IF(AND(NOT(COUNTA(A671:F671)=0),K671=""),INDEX('Rules'!$C$7:$C$26,MATCH(SUBSTITUTE(SUBSTITUTE(SUBSTITUTE(SUBSTITUTE("type:"&amp;B671,"%","%25"),"~","%7E"),"*","%2A"),"?","%3F"),'Rules'!$G$7:$G$26,0)),"")</x:f>
      </x:c>
      <x:c r="M671" s="6" t="str">
        <x:f>IF(AND(NOT(COUNTA(A671:F671)=0),K671=""),INDEX('Rules'!$D$7:$D$26,MATCH(SUBSTITUTE(SUBSTITUTE(SUBSTITUTE(SUBSTITUTE("type:"&amp;B671,"%","%25"),"~","%7E"),"*","%2A"),"?","%3F"),'Rules'!$G$7:$G$26,0)),"")</x:f>
      </x:c>
      <x:c r="N671" s="5" t="str">
        <x:f>IF(COUNTA(A671:F671)=0,"",SUBSTITUTE(SUBSTITUTE(SUBSTITUTE(SUBSTITUTE("id:"&amp;A671,"%","%25"),"~","%7E"),"*","%2A"),"?","%3F"))</x:f>
      </x:c>
    </x:row>
    <x:row r="672" ht="22" customHeight="1">
      <x:c r="A672" s="3"/>
      <x:c r="B672" s="3"/>
      <x:c r="C672" s="3"/>
      <x:c r="D672" s="4"/>
      <x:c r="E672" s="4"/>
      <x:c r="F672" s="4"/>
      <x:c r="G672" s="5" t="str">
        <x:f>IF(COUNTA(A672:F672)=0,"",IF(K672&lt;&gt;"","Review",IF(I672&lt;0,"Overdue",IF(I672=0,"Due now",IF(I672&lt;=M672,"Due soon","Not due")))))</x:f>
      </x:c>
      <x:c r="H672" s="5" t="str">
        <x:f>IF(OR(COUNTA(A672:F672)=0,COUNTIFS('Rules'!$G$7:$G$26,"="&amp;(SUBSTITUTE(SUBSTITUTE(SUBSTITUTE(SUBSTITUTE("type:"&amp;B672,"%","%25"),"~","%7E"),"*","%2A"),"?","%3F")))&lt;&gt;1),"",IF(OR(INDEX('Rules'!$B$7:$B$26,MATCH(SUBSTITUTE(SUBSTITUTE(SUBSTITUTE(SUBSTITUTE("type:"&amp;B672,"%","%25"),"~","%7E"),"*","%2A"),"?","%3F"),'Rules'!$G$7:$G$26,0))="hours",INDEX('Rules'!$B$7:$B$26,MATCH(SUBSTITUTE(SUBSTITUTE(SUBSTITUTE(SUBSTITUTE("type:"&amp;B672,"%","%25"),"~","%7E"),"*","%2A"),"?","%3F"),'Rules'!$G$7:$G$26,0))="km"),INDEX('Rules'!$B$7:$B$26,MATCH(SUBSTITUTE(SUBSTITUTE(SUBSTITUTE(SUBSTITUTE("type:"&amp;B672,"%","%25"),"~","%7E"),"*","%2A"),"?","%3F"),'Rules'!$G$7:$G$26,0)),""))</x:f>
      </x:c>
      <x:c r="I672" s="6" t="str">
        <x:f>IF(AND(NOT(COUNTA(A672:F672)=0),K672=""),ROUND(J672-D672,3),"")</x:f>
      </x:c>
      <x:c r="J672" s="6" t="str">
        <x:f>IF(AND(NOT(COUNTA(A672:F672)=0),K672=""),ROUND(F672+L672,3),"")</x:f>
      </x:c>
      <x:c r="K672" s="5" t="str">
        <x:f>IF(COUNTA(A672:F672)=0,"",IF(A672="","Missing equipment ID",IF(COUNTIFS($N$8:$N$2007,"="&amp;N672)&gt;1,"Duplicate equipment ID",IF(B672="","Missing type",IF(COUNTIFS('Rules'!$G$7:$G$26,"="&amp;(SUBSTITUTE(SUBSTITUTE(SUBSTITUTE(SUBSTITUTE("type:"&amp;B672,"%","%25"),"~","%7E"),"*","%2A"),"?","%3F")))=0,"Unknown type",IF(COUNTIFS('Rules'!$G$7:$G$26,"="&amp;(SUBSTITUTE(SUBSTITUTE(SUBSTITUTE(SUBSTITUTE("type:"&amp;B672,"%","%25"),"~","%7E"),"*","%2A"),"?","%3F")))&gt;1,"Duplicate type",IF(INDEX('Rules'!$F$7:$F$26,MATCH(SUBSTITUTE(SUBSTITUTE(SUBSTITUTE(SUBSTITUTE("type:"&amp;B672,"%","%25"),"~","%7E"),"*","%2A"),"?","%3F"),'Rules'!$G$7:$G$26,0))&lt;&gt;"",INDEX('Rules'!$F$7:$F$26,MATCH(SUBSTITUTE(SUBSTITUTE(SUBSTITUTE(SUBSTITUTE("type:"&amp;B672,"%","%25"),"~","%7E"),"*","%2A"),"?","%3F"),'Rules'!$G$7:$G$26,0)),IF(AND(C672&lt;&gt;"",C672&lt;&gt;INDEX('Rules'!$B$7:$B$26,MATCH(SUBSTITUTE(SUBSTITUTE(SUBSTITUTE(SUBSTITUTE("type:"&amp;B672,"%","%25"),"~","%7E"),"*","%2A"),"?","%3F"),'Rules'!$G$7:$G$26,0))),"Unit mismatch",IF(IF(NOT(ISNUMBER(D672)),TRUE,OR(D672&lt;0,D672&gt;999999999,ROUND(D672,3)&lt;&gt;D672)),"Invalid current reading",IF(AND(E672&lt;&gt;"",IF(NOT(ISNUMBER(E672)),TRUE,OR(E672&lt;0,E672&gt;999999999,ROUND(E672,3)&lt;&gt;E672))),"Invalid previous reading",IF(IF(NOT(ISNUMBER(F672)),TRUE,OR(F672&lt;0,F672&gt;999999999,ROUND(F672,3)&lt;&gt;F672)),"Invalid last service",IF(AND(E672&lt;&gt;"",D672&lt;E672),"Decreased reading",IF(F672&gt;D672,"Last service above current","")))))))))))))</x:f>
      </x:c>
      <x:c r="L672" s="6" t="str">
        <x:f>IF(AND(NOT(COUNTA(A672:F672)=0),K672=""),INDEX('Rules'!$C$7:$C$26,MATCH(SUBSTITUTE(SUBSTITUTE(SUBSTITUTE(SUBSTITUTE("type:"&amp;B672,"%","%25"),"~","%7E"),"*","%2A"),"?","%3F"),'Rules'!$G$7:$G$26,0)),"")</x:f>
      </x:c>
      <x:c r="M672" s="6" t="str">
        <x:f>IF(AND(NOT(COUNTA(A672:F672)=0),K672=""),INDEX('Rules'!$D$7:$D$26,MATCH(SUBSTITUTE(SUBSTITUTE(SUBSTITUTE(SUBSTITUTE("type:"&amp;B672,"%","%25"),"~","%7E"),"*","%2A"),"?","%3F"),'Rules'!$G$7:$G$26,0)),"")</x:f>
      </x:c>
      <x:c r="N672" s="5" t="str">
        <x:f>IF(COUNTA(A672:F672)=0,"",SUBSTITUTE(SUBSTITUTE(SUBSTITUTE(SUBSTITUTE("id:"&amp;A672,"%","%25"),"~","%7E"),"*","%2A"),"?","%3F"))</x:f>
      </x:c>
    </x:row>
    <x:row r="673" ht="22" customHeight="1">
      <x:c r="A673" s="3"/>
      <x:c r="B673" s="3"/>
      <x:c r="C673" s="3"/>
      <x:c r="D673" s="4"/>
      <x:c r="E673" s="4"/>
      <x:c r="F673" s="4"/>
      <x:c r="G673" s="5" t="str">
        <x:f>IF(COUNTA(A673:F673)=0,"",IF(K673&lt;&gt;"","Review",IF(I673&lt;0,"Overdue",IF(I673=0,"Due now",IF(I673&lt;=M673,"Due soon","Not due")))))</x:f>
      </x:c>
      <x:c r="H673" s="5" t="str">
        <x:f>IF(OR(COUNTA(A673:F673)=0,COUNTIFS('Rules'!$G$7:$G$26,"="&amp;(SUBSTITUTE(SUBSTITUTE(SUBSTITUTE(SUBSTITUTE("type:"&amp;B673,"%","%25"),"~","%7E"),"*","%2A"),"?","%3F")))&lt;&gt;1),"",IF(OR(INDEX('Rules'!$B$7:$B$26,MATCH(SUBSTITUTE(SUBSTITUTE(SUBSTITUTE(SUBSTITUTE("type:"&amp;B673,"%","%25"),"~","%7E"),"*","%2A"),"?","%3F"),'Rules'!$G$7:$G$26,0))="hours",INDEX('Rules'!$B$7:$B$26,MATCH(SUBSTITUTE(SUBSTITUTE(SUBSTITUTE(SUBSTITUTE("type:"&amp;B673,"%","%25"),"~","%7E"),"*","%2A"),"?","%3F"),'Rules'!$G$7:$G$26,0))="km"),INDEX('Rules'!$B$7:$B$26,MATCH(SUBSTITUTE(SUBSTITUTE(SUBSTITUTE(SUBSTITUTE("type:"&amp;B673,"%","%25"),"~","%7E"),"*","%2A"),"?","%3F"),'Rules'!$G$7:$G$26,0)),""))</x:f>
      </x:c>
      <x:c r="I673" s="6" t="str">
        <x:f>IF(AND(NOT(COUNTA(A673:F673)=0),K673=""),ROUND(J673-D673,3),"")</x:f>
      </x:c>
      <x:c r="J673" s="6" t="str">
        <x:f>IF(AND(NOT(COUNTA(A673:F673)=0),K673=""),ROUND(F673+L673,3),"")</x:f>
      </x:c>
      <x:c r="K673" s="5" t="str">
        <x:f>IF(COUNTA(A673:F673)=0,"",IF(A673="","Missing equipment ID",IF(COUNTIFS($N$8:$N$2007,"="&amp;N673)&gt;1,"Duplicate equipment ID",IF(B673="","Missing type",IF(COUNTIFS('Rules'!$G$7:$G$26,"="&amp;(SUBSTITUTE(SUBSTITUTE(SUBSTITUTE(SUBSTITUTE("type:"&amp;B673,"%","%25"),"~","%7E"),"*","%2A"),"?","%3F")))=0,"Unknown type",IF(COUNTIFS('Rules'!$G$7:$G$26,"="&amp;(SUBSTITUTE(SUBSTITUTE(SUBSTITUTE(SUBSTITUTE("type:"&amp;B673,"%","%25"),"~","%7E"),"*","%2A"),"?","%3F")))&gt;1,"Duplicate type",IF(INDEX('Rules'!$F$7:$F$26,MATCH(SUBSTITUTE(SUBSTITUTE(SUBSTITUTE(SUBSTITUTE("type:"&amp;B673,"%","%25"),"~","%7E"),"*","%2A"),"?","%3F"),'Rules'!$G$7:$G$26,0))&lt;&gt;"",INDEX('Rules'!$F$7:$F$26,MATCH(SUBSTITUTE(SUBSTITUTE(SUBSTITUTE(SUBSTITUTE("type:"&amp;B673,"%","%25"),"~","%7E"),"*","%2A"),"?","%3F"),'Rules'!$G$7:$G$26,0)),IF(AND(C673&lt;&gt;"",C673&lt;&gt;INDEX('Rules'!$B$7:$B$26,MATCH(SUBSTITUTE(SUBSTITUTE(SUBSTITUTE(SUBSTITUTE("type:"&amp;B673,"%","%25"),"~","%7E"),"*","%2A"),"?","%3F"),'Rules'!$G$7:$G$26,0))),"Unit mismatch",IF(IF(NOT(ISNUMBER(D673)),TRUE,OR(D673&lt;0,D673&gt;999999999,ROUND(D673,3)&lt;&gt;D673)),"Invalid current reading",IF(AND(E673&lt;&gt;"",IF(NOT(ISNUMBER(E673)),TRUE,OR(E673&lt;0,E673&gt;999999999,ROUND(E673,3)&lt;&gt;E673))),"Invalid previous reading",IF(IF(NOT(ISNUMBER(F673)),TRUE,OR(F673&lt;0,F673&gt;999999999,ROUND(F673,3)&lt;&gt;F673)),"Invalid last service",IF(AND(E673&lt;&gt;"",D673&lt;E673),"Decreased reading",IF(F673&gt;D673,"Last service above current","")))))))))))))</x:f>
      </x:c>
      <x:c r="L673" s="6" t="str">
        <x:f>IF(AND(NOT(COUNTA(A673:F673)=0),K673=""),INDEX('Rules'!$C$7:$C$26,MATCH(SUBSTITUTE(SUBSTITUTE(SUBSTITUTE(SUBSTITUTE("type:"&amp;B673,"%","%25"),"~","%7E"),"*","%2A"),"?","%3F"),'Rules'!$G$7:$G$26,0)),"")</x:f>
      </x:c>
      <x:c r="M673" s="6" t="str">
        <x:f>IF(AND(NOT(COUNTA(A673:F673)=0),K673=""),INDEX('Rules'!$D$7:$D$26,MATCH(SUBSTITUTE(SUBSTITUTE(SUBSTITUTE(SUBSTITUTE("type:"&amp;B673,"%","%25"),"~","%7E"),"*","%2A"),"?","%3F"),'Rules'!$G$7:$G$26,0)),"")</x:f>
      </x:c>
      <x:c r="N673" s="5" t="str">
        <x:f>IF(COUNTA(A673:F673)=0,"",SUBSTITUTE(SUBSTITUTE(SUBSTITUTE(SUBSTITUTE("id:"&amp;A673,"%","%25"),"~","%7E"),"*","%2A"),"?","%3F"))</x:f>
      </x:c>
    </x:row>
    <x:row r="674" ht="22" customHeight="1">
      <x:c r="A674" s="3"/>
      <x:c r="B674" s="3"/>
      <x:c r="C674" s="3"/>
      <x:c r="D674" s="4"/>
      <x:c r="E674" s="4"/>
      <x:c r="F674" s="4"/>
      <x:c r="G674" s="5" t="str">
        <x:f>IF(COUNTA(A674:F674)=0,"",IF(K674&lt;&gt;"","Review",IF(I674&lt;0,"Overdue",IF(I674=0,"Due now",IF(I674&lt;=M674,"Due soon","Not due")))))</x:f>
      </x:c>
      <x:c r="H674" s="5" t="str">
        <x:f>IF(OR(COUNTA(A674:F674)=0,COUNTIFS('Rules'!$G$7:$G$26,"="&amp;(SUBSTITUTE(SUBSTITUTE(SUBSTITUTE(SUBSTITUTE("type:"&amp;B674,"%","%25"),"~","%7E"),"*","%2A"),"?","%3F")))&lt;&gt;1),"",IF(OR(INDEX('Rules'!$B$7:$B$26,MATCH(SUBSTITUTE(SUBSTITUTE(SUBSTITUTE(SUBSTITUTE("type:"&amp;B674,"%","%25"),"~","%7E"),"*","%2A"),"?","%3F"),'Rules'!$G$7:$G$26,0))="hours",INDEX('Rules'!$B$7:$B$26,MATCH(SUBSTITUTE(SUBSTITUTE(SUBSTITUTE(SUBSTITUTE("type:"&amp;B674,"%","%25"),"~","%7E"),"*","%2A"),"?","%3F"),'Rules'!$G$7:$G$26,0))="km"),INDEX('Rules'!$B$7:$B$26,MATCH(SUBSTITUTE(SUBSTITUTE(SUBSTITUTE(SUBSTITUTE("type:"&amp;B674,"%","%25"),"~","%7E"),"*","%2A"),"?","%3F"),'Rules'!$G$7:$G$26,0)),""))</x:f>
      </x:c>
      <x:c r="I674" s="6" t="str">
        <x:f>IF(AND(NOT(COUNTA(A674:F674)=0),K674=""),ROUND(J674-D674,3),"")</x:f>
      </x:c>
      <x:c r="J674" s="6" t="str">
        <x:f>IF(AND(NOT(COUNTA(A674:F674)=0),K674=""),ROUND(F674+L674,3),"")</x:f>
      </x:c>
      <x:c r="K674" s="5" t="str">
        <x:f>IF(COUNTA(A674:F674)=0,"",IF(A674="","Missing equipment ID",IF(COUNTIFS($N$8:$N$2007,"="&amp;N674)&gt;1,"Duplicate equipment ID",IF(B674="","Missing type",IF(COUNTIFS('Rules'!$G$7:$G$26,"="&amp;(SUBSTITUTE(SUBSTITUTE(SUBSTITUTE(SUBSTITUTE("type:"&amp;B674,"%","%25"),"~","%7E"),"*","%2A"),"?","%3F")))=0,"Unknown type",IF(COUNTIFS('Rules'!$G$7:$G$26,"="&amp;(SUBSTITUTE(SUBSTITUTE(SUBSTITUTE(SUBSTITUTE("type:"&amp;B674,"%","%25"),"~","%7E"),"*","%2A"),"?","%3F")))&gt;1,"Duplicate type",IF(INDEX('Rules'!$F$7:$F$26,MATCH(SUBSTITUTE(SUBSTITUTE(SUBSTITUTE(SUBSTITUTE("type:"&amp;B674,"%","%25"),"~","%7E"),"*","%2A"),"?","%3F"),'Rules'!$G$7:$G$26,0))&lt;&gt;"",INDEX('Rules'!$F$7:$F$26,MATCH(SUBSTITUTE(SUBSTITUTE(SUBSTITUTE(SUBSTITUTE("type:"&amp;B674,"%","%25"),"~","%7E"),"*","%2A"),"?","%3F"),'Rules'!$G$7:$G$26,0)),IF(AND(C674&lt;&gt;"",C674&lt;&gt;INDEX('Rules'!$B$7:$B$26,MATCH(SUBSTITUTE(SUBSTITUTE(SUBSTITUTE(SUBSTITUTE("type:"&amp;B674,"%","%25"),"~","%7E"),"*","%2A"),"?","%3F"),'Rules'!$G$7:$G$26,0))),"Unit mismatch",IF(IF(NOT(ISNUMBER(D674)),TRUE,OR(D674&lt;0,D674&gt;999999999,ROUND(D674,3)&lt;&gt;D674)),"Invalid current reading",IF(AND(E674&lt;&gt;"",IF(NOT(ISNUMBER(E674)),TRUE,OR(E674&lt;0,E674&gt;999999999,ROUND(E674,3)&lt;&gt;E674))),"Invalid previous reading",IF(IF(NOT(ISNUMBER(F674)),TRUE,OR(F674&lt;0,F674&gt;999999999,ROUND(F674,3)&lt;&gt;F674)),"Invalid last service",IF(AND(E674&lt;&gt;"",D674&lt;E674),"Decreased reading",IF(F674&gt;D674,"Last service above current","")))))))))))))</x:f>
      </x:c>
      <x:c r="L674" s="6" t="str">
        <x:f>IF(AND(NOT(COUNTA(A674:F674)=0),K674=""),INDEX('Rules'!$C$7:$C$26,MATCH(SUBSTITUTE(SUBSTITUTE(SUBSTITUTE(SUBSTITUTE("type:"&amp;B674,"%","%25"),"~","%7E"),"*","%2A"),"?","%3F"),'Rules'!$G$7:$G$26,0)),"")</x:f>
      </x:c>
      <x:c r="M674" s="6" t="str">
        <x:f>IF(AND(NOT(COUNTA(A674:F674)=0),K674=""),INDEX('Rules'!$D$7:$D$26,MATCH(SUBSTITUTE(SUBSTITUTE(SUBSTITUTE(SUBSTITUTE("type:"&amp;B674,"%","%25"),"~","%7E"),"*","%2A"),"?","%3F"),'Rules'!$G$7:$G$26,0)),"")</x:f>
      </x:c>
      <x:c r="N674" s="5" t="str">
        <x:f>IF(COUNTA(A674:F674)=0,"",SUBSTITUTE(SUBSTITUTE(SUBSTITUTE(SUBSTITUTE("id:"&amp;A674,"%","%25"),"~","%7E"),"*","%2A"),"?","%3F"))</x:f>
      </x:c>
    </x:row>
    <x:row r="675" ht="22" customHeight="1">
      <x:c r="A675" s="3"/>
      <x:c r="B675" s="3"/>
      <x:c r="C675" s="3"/>
      <x:c r="D675" s="4"/>
      <x:c r="E675" s="4"/>
      <x:c r="F675" s="4"/>
      <x:c r="G675" s="5" t="str">
        <x:f>IF(COUNTA(A675:F675)=0,"",IF(K675&lt;&gt;"","Review",IF(I675&lt;0,"Overdue",IF(I675=0,"Due now",IF(I675&lt;=M675,"Due soon","Not due")))))</x:f>
      </x:c>
      <x:c r="H675" s="5" t="str">
        <x:f>IF(OR(COUNTA(A675:F675)=0,COUNTIFS('Rules'!$G$7:$G$26,"="&amp;(SUBSTITUTE(SUBSTITUTE(SUBSTITUTE(SUBSTITUTE("type:"&amp;B675,"%","%25"),"~","%7E"),"*","%2A"),"?","%3F")))&lt;&gt;1),"",IF(OR(INDEX('Rules'!$B$7:$B$26,MATCH(SUBSTITUTE(SUBSTITUTE(SUBSTITUTE(SUBSTITUTE("type:"&amp;B675,"%","%25"),"~","%7E"),"*","%2A"),"?","%3F"),'Rules'!$G$7:$G$26,0))="hours",INDEX('Rules'!$B$7:$B$26,MATCH(SUBSTITUTE(SUBSTITUTE(SUBSTITUTE(SUBSTITUTE("type:"&amp;B675,"%","%25"),"~","%7E"),"*","%2A"),"?","%3F"),'Rules'!$G$7:$G$26,0))="km"),INDEX('Rules'!$B$7:$B$26,MATCH(SUBSTITUTE(SUBSTITUTE(SUBSTITUTE(SUBSTITUTE("type:"&amp;B675,"%","%25"),"~","%7E"),"*","%2A"),"?","%3F"),'Rules'!$G$7:$G$26,0)),""))</x:f>
      </x:c>
      <x:c r="I675" s="6" t="str">
        <x:f>IF(AND(NOT(COUNTA(A675:F675)=0),K675=""),ROUND(J675-D675,3),"")</x:f>
      </x:c>
      <x:c r="J675" s="6" t="str">
        <x:f>IF(AND(NOT(COUNTA(A675:F675)=0),K675=""),ROUND(F675+L675,3),"")</x:f>
      </x:c>
      <x:c r="K675" s="5" t="str">
        <x:f>IF(COUNTA(A675:F675)=0,"",IF(A675="","Missing equipment ID",IF(COUNTIFS($N$8:$N$2007,"="&amp;N675)&gt;1,"Duplicate equipment ID",IF(B675="","Missing type",IF(COUNTIFS('Rules'!$G$7:$G$26,"="&amp;(SUBSTITUTE(SUBSTITUTE(SUBSTITUTE(SUBSTITUTE("type:"&amp;B675,"%","%25"),"~","%7E"),"*","%2A"),"?","%3F")))=0,"Unknown type",IF(COUNTIFS('Rules'!$G$7:$G$26,"="&amp;(SUBSTITUTE(SUBSTITUTE(SUBSTITUTE(SUBSTITUTE("type:"&amp;B675,"%","%25"),"~","%7E"),"*","%2A"),"?","%3F")))&gt;1,"Duplicate type",IF(INDEX('Rules'!$F$7:$F$26,MATCH(SUBSTITUTE(SUBSTITUTE(SUBSTITUTE(SUBSTITUTE("type:"&amp;B675,"%","%25"),"~","%7E"),"*","%2A"),"?","%3F"),'Rules'!$G$7:$G$26,0))&lt;&gt;"",INDEX('Rules'!$F$7:$F$26,MATCH(SUBSTITUTE(SUBSTITUTE(SUBSTITUTE(SUBSTITUTE("type:"&amp;B675,"%","%25"),"~","%7E"),"*","%2A"),"?","%3F"),'Rules'!$G$7:$G$26,0)),IF(AND(C675&lt;&gt;"",C675&lt;&gt;INDEX('Rules'!$B$7:$B$26,MATCH(SUBSTITUTE(SUBSTITUTE(SUBSTITUTE(SUBSTITUTE("type:"&amp;B675,"%","%25"),"~","%7E"),"*","%2A"),"?","%3F"),'Rules'!$G$7:$G$26,0))),"Unit mismatch",IF(IF(NOT(ISNUMBER(D675)),TRUE,OR(D675&lt;0,D675&gt;999999999,ROUND(D675,3)&lt;&gt;D675)),"Invalid current reading",IF(AND(E675&lt;&gt;"",IF(NOT(ISNUMBER(E675)),TRUE,OR(E675&lt;0,E675&gt;999999999,ROUND(E675,3)&lt;&gt;E675))),"Invalid previous reading",IF(IF(NOT(ISNUMBER(F675)),TRUE,OR(F675&lt;0,F675&gt;999999999,ROUND(F675,3)&lt;&gt;F675)),"Invalid last service",IF(AND(E675&lt;&gt;"",D675&lt;E675),"Decreased reading",IF(F675&gt;D675,"Last service above current","")))))))))))))</x:f>
      </x:c>
      <x:c r="L675" s="6" t="str">
        <x:f>IF(AND(NOT(COUNTA(A675:F675)=0),K675=""),INDEX('Rules'!$C$7:$C$26,MATCH(SUBSTITUTE(SUBSTITUTE(SUBSTITUTE(SUBSTITUTE("type:"&amp;B675,"%","%25"),"~","%7E"),"*","%2A"),"?","%3F"),'Rules'!$G$7:$G$26,0)),"")</x:f>
      </x:c>
      <x:c r="M675" s="6" t="str">
        <x:f>IF(AND(NOT(COUNTA(A675:F675)=0),K675=""),INDEX('Rules'!$D$7:$D$26,MATCH(SUBSTITUTE(SUBSTITUTE(SUBSTITUTE(SUBSTITUTE("type:"&amp;B675,"%","%25"),"~","%7E"),"*","%2A"),"?","%3F"),'Rules'!$G$7:$G$26,0)),"")</x:f>
      </x:c>
      <x:c r="N675" s="5" t="str">
        <x:f>IF(COUNTA(A675:F675)=0,"",SUBSTITUTE(SUBSTITUTE(SUBSTITUTE(SUBSTITUTE("id:"&amp;A675,"%","%25"),"~","%7E"),"*","%2A"),"?","%3F"))</x:f>
      </x:c>
    </x:row>
    <x:row r="676" ht="22" customHeight="1">
      <x:c r="A676" s="3"/>
      <x:c r="B676" s="3"/>
      <x:c r="C676" s="3"/>
      <x:c r="D676" s="4"/>
      <x:c r="E676" s="4"/>
      <x:c r="F676" s="4"/>
      <x:c r="G676" s="5" t="str">
        <x:f>IF(COUNTA(A676:F676)=0,"",IF(K676&lt;&gt;"","Review",IF(I676&lt;0,"Overdue",IF(I676=0,"Due now",IF(I676&lt;=M676,"Due soon","Not due")))))</x:f>
      </x:c>
      <x:c r="H676" s="5" t="str">
        <x:f>IF(OR(COUNTA(A676:F676)=0,COUNTIFS('Rules'!$G$7:$G$26,"="&amp;(SUBSTITUTE(SUBSTITUTE(SUBSTITUTE(SUBSTITUTE("type:"&amp;B676,"%","%25"),"~","%7E"),"*","%2A"),"?","%3F")))&lt;&gt;1),"",IF(OR(INDEX('Rules'!$B$7:$B$26,MATCH(SUBSTITUTE(SUBSTITUTE(SUBSTITUTE(SUBSTITUTE("type:"&amp;B676,"%","%25"),"~","%7E"),"*","%2A"),"?","%3F"),'Rules'!$G$7:$G$26,0))="hours",INDEX('Rules'!$B$7:$B$26,MATCH(SUBSTITUTE(SUBSTITUTE(SUBSTITUTE(SUBSTITUTE("type:"&amp;B676,"%","%25"),"~","%7E"),"*","%2A"),"?","%3F"),'Rules'!$G$7:$G$26,0))="km"),INDEX('Rules'!$B$7:$B$26,MATCH(SUBSTITUTE(SUBSTITUTE(SUBSTITUTE(SUBSTITUTE("type:"&amp;B676,"%","%25"),"~","%7E"),"*","%2A"),"?","%3F"),'Rules'!$G$7:$G$26,0)),""))</x:f>
      </x:c>
      <x:c r="I676" s="6" t="str">
        <x:f>IF(AND(NOT(COUNTA(A676:F676)=0),K676=""),ROUND(J676-D676,3),"")</x:f>
      </x:c>
      <x:c r="J676" s="6" t="str">
        <x:f>IF(AND(NOT(COUNTA(A676:F676)=0),K676=""),ROUND(F676+L676,3),"")</x:f>
      </x:c>
      <x:c r="K676" s="5" t="str">
        <x:f>IF(COUNTA(A676:F676)=0,"",IF(A676="","Missing equipment ID",IF(COUNTIFS($N$8:$N$2007,"="&amp;N676)&gt;1,"Duplicate equipment ID",IF(B676="","Missing type",IF(COUNTIFS('Rules'!$G$7:$G$26,"="&amp;(SUBSTITUTE(SUBSTITUTE(SUBSTITUTE(SUBSTITUTE("type:"&amp;B676,"%","%25"),"~","%7E"),"*","%2A"),"?","%3F")))=0,"Unknown type",IF(COUNTIFS('Rules'!$G$7:$G$26,"="&amp;(SUBSTITUTE(SUBSTITUTE(SUBSTITUTE(SUBSTITUTE("type:"&amp;B676,"%","%25"),"~","%7E"),"*","%2A"),"?","%3F")))&gt;1,"Duplicate type",IF(INDEX('Rules'!$F$7:$F$26,MATCH(SUBSTITUTE(SUBSTITUTE(SUBSTITUTE(SUBSTITUTE("type:"&amp;B676,"%","%25"),"~","%7E"),"*","%2A"),"?","%3F"),'Rules'!$G$7:$G$26,0))&lt;&gt;"",INDEX('Rules'!$F$7:$F$26,MATCH(SUBSTITUTE(SUBSTITUTE(SUBSTITUTE(SUBSTITUTE("type:"&amp;B676,"%","%25"),"~","%7E"),"*","%2A"),"?","%3F"),'Rules'!$G$7:$G$26,0)),IF(AND(C676&lt;&gt;"",C676&lt;&gt;INDEX('Rules'!$B$7:$B$26,MATCH(SUBSTITUTE(SUBSTITUTE(SUBSTITUTE(SUBSTITUTE("type:"&amp;B676,"%","%25"),"~","%7E"),"*","%2A"),"?","%3F"),'Rules'!$G$7:$G$26,0))),"Unit mismatch",IF(IF(NOT(ISNUMBER(D676)),TRUE,OR(D676&lt;0,D676&gt;999999999,ROUND(D676,3)&lt;&gt;D676)),"Invalid current reading",IF(AND(E676&lt;&gt;"",IF(NOT(ISNUMBER(E676)),TRUE,OR(E676&lt;0,E676&gt;999999999,ROUND(E676,3)&lt;&gt;E676))),"Invalid previous reading",IF(IF(NOT(ISNUMBER(F676)),TRUE,OR(F676&lt;0,F676&gt;999999999,ROUND(F676,3)&lt;&gt;F676)),"Invalid last service",IF(AND(E676&lt;&gt;"",D676&lt;E676),"Decreased reading",IF(F676&gt;D676,"Last service above current","")))))))))))))</x:f>
      </x:c>
      <x:c r="L676" s="6" t="str">
        <x:f>IF(AND(NOT(COUNTA(A676:F676)=0),K676=""),INDEX('Rules'!$C$7:$C$26,MATCH(SUBSTITUTE(SUBSTITUTE(SUBSTITUTE(SUBSTITUTE("type:"&amp;B676,"%","%25"),"~","%7E"),"*","%2A"),"?","%3F"),'Rules'!$G$7:$G$26,0)),"")</x:f>
      </x:c>
      <x:c r="M676" s="6" t="str">
        <x:f>IF(AND(NOT(COUNTA(A676:F676)=0),K676=""),INDEX('Rules'!$D$7:$D$26,MATCH(SUBSTITUTE(SUBSTITUTE(SUBSTITUTE(SUBSTITUTE("type:"&amp;B676,"%","%25"),"~","%7E"),"*","%2A"),"?","%3F"),'Rules'!$G$7:$G$26,0)),"")</x:f>
      </x:c>
      <x:c r="N676" s="5" t="str">
        <x:f>IF(COUNTA(A676:F676)=0,"",SUBSTITUTE(SUBSTITUTE(SUBSTITUTE(SUBSTITUTE("id:"&amp;A676,"%","%25"),"~","%7E"),"*","%2A"),"?","%3F"))</x:f>
      </x:c>
    </x:row>
    <x:row r="677" ht="22" customHeight="1">
      <x:c r="A677" s="3"/>
      <x:c r="B677" s="3"/>
      <x:c r="C677" s="3"/>
      <x:c r="D677" s="4"/>
      <x:c r="E677" s="4"/>
      <x:c r="F677" s="4"/>
      <x:c r="G677" s="5" t="str">
        <x:f>IF(COUNTA(A677:F677)=0,"",IF(K677&lt;&gt;"","Review",IF(I677&lt;0,"Overdue",IF(I677=0,"Due now",IF(I677&lt;=M677,"Due soon","Not due")))))</x:f>
      </x:c>
      <x:c r="H677" s="5" t="str">
        <x:f>IF(OR(COUNTA(A677:F677)=0,COUNTIFS('Rules'!$G$7:$G$26,"="&amp;(SUBSTITUTE(SUBSTITUTE(SUBSTITUTE(SUBSTITUTE("type:"&amp;B677,"%","%25"),"~","%7E"),"*","%2A"),"?","%3F")))&lt;&gt;1),"",IF(OR(INDEX('Rules'!$B$7:$B$26,MATCH(SUBSTITUTE(SUBSTITUTE(SUBSTITUTE(SUBSTITUTE("type:"&amp;B677,"%","%25"),"~","%7E"),"*","%2A"),"?","%3F"),'Rules'!$G$7:$G$26,0))="hours",INDEX('Rules'!$B$7:$B$26,MATCH(SUBSTITUTE(SUBSTITUTE(SUBSTITUTE(SUBSTITUTE("type:"&amp;B677,"%","%25"),"~","%7E"),"*","%2A"),"?","%3F"),'Rules'!$G$7:$G$26,0))="km"),INDEX('Rules'!$B$7:$B$26,MATCH(SUBSTITUTE(SUBSTITUTE(SUBSTITUTE(SUBSTITUTE("type:"&amp;B677,"%","%25"),"~","%7E"),"*","%2A"),"?","%3F"),'Rules'!$G$7:$G$26,0)),""))</x:f>
      </x:c>
      <x:c r="I677" s="6" t="str">
        <x:f>IF(AND(NOT(COUNTA(A677:F677)=0),K677=""),ROUND(J677-D677,3),"")</x:f>
      </x:c>
      <x:c r="J677" s="6" t="str">
        <x:f>IF(AND(NOT(COUNTA(A677:F677)=0),K677=""),ROUND(F677+L677,3),"")</x:f>
      </x:c>
      <x:c r="K677" s="5" t="str">
        <x:f>IF(COUNTA(A677:F677)=0,"",IF(A677="","Missing equipment ID",IF(COUNTIFS($N$8:$N$2007,"="&amp;N677)&gt;1,"Duplicate equipment ID",IF(B677="","Missing type",IF(COUNTIFS('Rules'!$G$7:$G$26,"="&amp;(SUBSTITUTE(SUBSTITUTE(SUBSTITUTE(SUBSTITUTE("type:"&amp;B677,"%","%25"),"~","%7E"),"*","%2A"),"?","%3F")))=0,"Unknown type",IF(COUNTIFS('Rules'!$G$7:$G$26,"="&amp;(SUBSTITUTE(SUBSTITUTE(SUBSTITUTE(SUBSTITUTE("type:"&amp;B677,"%","%25"),"~","%7E"),"*","%2A"),"?","%3F")))&gt;1,"Duplicate type",IF(INDEX('Rules'!$F$7:$F$26,MATCH(SUBSTITUTE(SUBSTITUTE(SUBSTITUTE(SUBSTITUTE("type:"&amp;B677,"%","%25"),"~","%7E"),"*","%2A"),"?","%3F"),'Rules'!$G$7:$G$26,0))&lt;&gt;"",INDEX('Rules'!$F$7:$F$26,MATCH(SUBSTITUTE(SUBSTITUTE(SUBSTITUTE(SUBSTITUTE("type:"&amp;B677,"%","%25"),"~","%7E"),"*","%2A"),"?","%3F"),'Rules'!$G$7:$G$26,0)),IF(AND(C677&lt;&gt;"",C677&lt;&gt;INDEX('Rules'!$B$7:$B$26,MATCH(SUBSTITUTE(SUBSTITUTE(SUBSTITUTE(SUBSTITUTE("type:"&amp;B677,"%","%25"),"~","%7E"),"*","%2A"),"?","%3F"),'Rules'!$G$7:$G$26,0))),"Unit mismatch",IF(IF(NOT(ISNUMBER(D677)),TRUE,OR(D677&lt;0,D677&gt;999999999,ROUND(D677,3)&lt;&gt;D677)),"Invalid current reading",IF(AND(E677&lt;&gt;"",IF(NOT(ISNUMBER(E677)),TRUE,OR(E677&lt;0,E677&gt;999999999,ROUND(E677,3)&lt;&gt;E677))),"Invalid previous reading",IF(IF(NOT(ISNUMBER(F677)),TRUE,OR(F677&lt;0,F677&gt;999999999,ROUND(F677,3)&lt;&gt;F677)),"Invalid last service",IF(AND(E677&lt;&gt;"",D677&lt;E677),"Decreased reading",IF(F677&gt;D677,"Last service above current","")))))))))))))</x:f>
      </x:c>
      <x:c r="L677" s="6" t="str">
        <x:f>IF(AND(NOT(COUNTA(A677:F677)=0),K677=""),INDEX('Rules'!$C$7:$C$26,MATCH(SUBSTITUTE(SUBSTITUTE(SUBSTITUTE(SUBSTITUTE("type:"&amp;B677,"%","%25"),"~","%7E"),"*","%2A"),"?","%3F"),'Rules'!$G$7:$G$26,0)),"")</x:f>
      </x:c>
      <x:c r="M677" s="6" t="str">
        <x:f>IF(AND(NOT(COUNTA(A677:F677)=0),K677=""),INDEX('Rules'!$D$7:$D$26,MATCH(SUBSTITUTE(SUBSTITUTE(SUBSTITUTE(SUBSTITUTE("type:"&amp;B677,"%","%25"),"~","%7E"),"*","%2A"),"?","%3F"),'Rules'!$G$7:$G$26,0)),"")</x:f>
      </x:c>
      <x:c r="N677" s="5" t="str">
        <x:f>IF(COUNTA(A677:F677)=0,"",SUBSTITUTE(SUBSTITUTE(SUBSTITUTE(SUBSTITUTE("id:"&amp;A677,"%","%25"),"~","%7E"),"*","%2A"),"?","%3F"))</x:f>
      </x:c>
    </x:row>
    <x:row r="678" ht="22" customHeight="1">
      <x:c r="A678" s="3"/>
      <x:c r="B678" s="3"/>
      <x:c r="C678" s="3"/>
      <x:c r="D678" s="4"/>
      <x:c r="E678" s="4"/>
      <x:c r="F678" s="4"/>
      <x:c r="G678" s="5" t="str">
        <x:f>IF(COUNTA(A678:F678)=0,"",IF(K678&lt;&gt;"","Review",IF(I678&lt;0,"Overdue",IF(I678=0,"Due now",IF(I678&lt;=M678,"Due soon","Not due")))))</x:f>
      </x:c>
      <x:c r="H678" s="5" t="str">
        <x:f>IF(OR(COUNTA(A678:F678)=0,COUNTIFS('Rules'!$G$7:$G$26,"="&amp;(SUBSTITUTE(SUBSTITUTE(SUBSTITUTE(SUBSTITUTE("type:"&amp;B678,"%","%25"),"~","%7E"),"*","%2A"),"?","%3F")))&lt;&gt;1),"",IF(OR(INDEX('Rules'!$B$7:$B$26,MATCH(SUBSTITUTE(SUBSTITUTE(SUBSTITUTE(SUBSTITUTE("type:"&amp;B678,"%","%25"),"~","%7E"),"*","%2A"),"?","%3F"),'Rules'!$G$7:$G$26,0))="hours",INDEX('Rules'!$B$7:$B$26,MATCH(SUBSTITUTE(SUBSTITUTE(SUBSTITUTE(SUBSTITUTE("type:"&amp;B678,"%","%25"),"~","%7E"),"*","%2A"),"?","%3F"),'Rules'!$G$7:$G$26,0))="km"),INDEX('Rules'!$B$7:$B$26,MATCH(SUBSTITUTE(SUBSTITUTE(SUBSTITUTE(SUBSTITUTE("type:"&amp;B678,"%","%25"),"~","%7E"),"*","%2A"),"?","%3F"),'Rules'!$G$7:$G$26,0)),""))</x:f>
      </x:c>
      <x:c r="I678" s="6" t="str">
        <x:f>IF(AND(NOT(COUNTA(A678:F678)=0),K678=""),ROUND(J678-D678,3),"")</x:f>
      </x:c>
      <x:c r="J678" s="6" t="str">
        <x:f>IF(AND(NOT(COUNTA(A678:F678)=0),K678=""),ROUND(F678+L678,3),"")</x:f>
      </x:c>
      <x:c r="K678" s="5" t="str">
        <x:f>IF(COUNTA(A678:F678)=0,"",IF(A678="","Missing equipment ID",IF(COUNTIFS($N$8:$N$2007,"="&amp;N678)&gt;1,"Duplicate equipment ID",IF(B678="","Missing type",IF(COUNTIFS('Rules'!$G$7:$G$26,"="&amp;(SUBSTITUTE(SUBSTITUTE(SUBSTITUTE(SUBSTITUTE("type:"&amp;B678,"%","%25"),"~","%7E"),"*","%2A"),"?","%3F")))=0,"Unknown type",IF(COUNTIFS('Rules'!$G$7:$G$26,"="&amp;(SUBSTITUTE(SUBSTITUTE(SUBSTITUTE(SUBSTITUTE("type:"&amp;B678,"%","%25"),"~","%7E"),"*","%2A"),"?","%3F")))&gt;1,"Duplicate type",IF(INDEX('Rules'!$F$7:$F$26,MATCH(SUBSTITUTE(SUBSTITUTE(SUBSTITUTE(SUBSTITUTE("type:"&amp;B678,"%","%25"),"~","%7E"),"*","%2A"),"?","%3F"),'Rules'!$G$7:$G$26,0))&lt;&gt;"",INDEX('Rules'!$F$7:$F$26,MATCH(SUBSTITUTE(SUBSTITUTE(SUBSTITUTE(SUBSTITUTE("type:"&amp;B678,"%","%25"),"~","%7E"),"*","%2A"),"?","%3F"),'Rules'!$G$7:$G$26,0)),IF(AND(C678&lt;&gt;"",C678&lt;&gt;INDEX('Rules'!$B$7:$B$26,MATCH(SUBSTITUTE(SUBSTITUTE(SUBSTITUTE(SUBSTITUTE("type:"&amp;B678,"%","%25"),"~","%7E"),"*","%2A"),"?","%3F"),'Rules'!$G$7:$G$26,0))),"Unit mismatch",IF(IF(NOT(ISNUMBER(D678)),TRUE,OR(D678&lt;0,D678&gt;999999999,ROUND(D678,3)&lt;&gt;D678)),"Invalid current reading",IF(AND(E678&lt;&gt;"",IF(NOT(ISNUMBER(E678)),TRUE,OR(E678&lt;0,E678&gt;999999999,ROUND(E678,3)&lt;&gt;E678))),"Invalid previous reading",IF(IF(NOT(ISNUMBER(F678)),TRUE,OR(F678&lt;0,F678&gt;999999999,ROUND(F678,3)&lt;&gt;F678)),"Invalid last service",IF(AND(E678&lt;&gt;"",D678&lt;E678),"Decreased reading",IF(F678&gt;D678,"Last service above current","")))))))))))))</x:f>
      </x:c>
      <x:c r="L678" s="6" t="str">
        <x:f>IF(AND(NOT(COUNTA(A678:F678)=0),K678=""),INDEX('Rules'!$C$7:$C$26,MATCH(SUBSTITUTE(SUBSTITUTE(SUBSTITUTE(SUBSTITUTE("type:"&amp;B678,"%","%25"),"~","%7E"),"*","%2A"),"?","%3F"),'Rules'!$G$7:$G$26,0)),"")</x:f>
      </x:c>
      <x:c r="M678" s="6" t="str">
        <x:f>IF(AND(NOT(COUNTA(A678:F678)=0),K678=""),INDEX('Rules'!$D$7:$D$26,MATCH(SUBSTITUTE(SUBSTITUTE(SUBSTITUTE(SUBSTITUTE("type:"&amp;B678,"%","%25"),"~","%7E"),"*","%2A"),"?","%3F"),'Rules'!$G$7:$G$26,0)),"")</x:f>
      </x:c>
      <x:c r="N678" s="5" t="str">
        <x:f>IF(COUNTA(A678:F678)=0,"",SUBSTITUTE(SUBSTITUTE(SUBSTITUTE(SUBSTITUTE("id:"&amp;A678,"%","%25"),"~","%7E"),"*","%2A"),"?","%3F"))</x:f>
      </x:c>
    </x:row>
    <x:row r="679" ht="22" customHeight="1">
      <x:c r="A679" s="3"/>
      <x:c r="B679" s="3"/>
      <x:c r="C679" s="3"/>
      <x:c r="D679" s="4"/>
      <x:c r="E679" s="4"/>
      <x:c r="F679" s="4"/>
      <x:c r="G679" s="5" t="str">
        <x:f>IF(COUNTA(A679:F679)=0,"",IF(K679&lt;&gt;"","Review",IF(I679&lt;0,"Overdue",IF(I679=0,"Due now",IF(I679&lt;=M679,"Due soon","Not due")))))</x:f>
      </x:c>
      <x:c r="H679" s="5" t="str">
        <x:f>IF(OR(COUNTA(A679:F679)=0,COUNTIFS('Rules'!$G$7:$G$26,"="&amp;(SUBSTITUTE(SUBSTITUTE(SUBSTITUTE(SUBSTITUTE("type:"&amp;B679,"%","%25"),"~","%7E"),"*","%2A"),"?","%3F")))&lt;&gt;1),"",IF(OR(INDEX('Rules'!$B$7:$B$26,MATCH(SUBSTITUTE(SUBSTITUTE(SUBSTITUTE(SUBSTITUTE("type:"&amp;B679,"%","%25"),"~","%7E"),"*","%2A"),"?","%3F"),'Rules'!$G$7:$G$26,0))="hours",INDEX('Rules'!$B$7:$B$26,MATCH(SUBSTITUTE(SUBSTITUTE(SUBSTITUTE(SUBSTITUTE("type:"&amp;B679,"%","%25"),"~","%7E"),"*","%2A"),"?","%3F"),'Rules'!$G$7:$G$26,0))="km"),INDEX('Rules'!$B$7:$B$26,MATCH(SUBSTITUTE(SUBSTITUTE(SUBSTITUTE(SUBSTITUTE("type:"&amp;B679,"%","%25"),"~","%7E"),"*","%2A"),"?","%3F"),'Rules'!$G$7:$G$26,0)),""))</x:f>
      </x:c>
      <x:c r="I679" s="6" t="str">
        <x:f>IF(AND(NOT(COUNTA(A679:F679)=0),K679=""),ROUND(J679-D679,3),"")</x:f>
      </x:c>
      <x:c r="J679" s="6" t="str">
        <x:f>IF(AND(NOT(COUNTA(A679:F679)=0),K679=""),ROUND(F679+L679,3),"")</x:f>
      </x:c>
      <x:c r="K679" s="5" t="str">
        <x:f>IF(COUNTA(A679:F679)=0,"",IF(A679="","Missing equipment ID",IF(COUNTIFS($N$8:$N$2007,"="&amp;N679)&gt;1,"Duplicate equipment ID",IF(B679="","Missing type",IF(COUNTIFS('Rules'!$G$7:$G$26,"="&amp;(SUBSTITUTE(SUBSTITUTE(SUBSTITUTE(SUBSTITUTE("type:"&amp;B679,"%","%25"),"~","%7E"),"*","%2A"),"?","%3F")))=0,"Unknown type",IF(COUNTIFS('Rules'!$G$7:$G$26,"="&amp;(SUBSTITUTE(SUBSTITUTE(SUBSTITUTE(SUBSTITUTE("type:"&amp;B679,"%","%25"),"~","%7E"),"*","%2A"),"?","%3F")))&gt;1,"Duplicate type",IF(INDEX('Rules'!$F$7:$F$26,MATCH(SUBSTITUTE(SUBSTITUTE(SUBSTITUTE(SUBSTITUTE("type:"&amp;B679,"%","%25"),"~","%7E"),"*","%2A"),"?","%3F"),'Rules'!$G$7:$G$26,0))&lt;&gt;"",INDEX('Rules'!$F$7:$F$26,MATCH(SUBSTITUTE(SUBSTITUTE(SUBSTITUTE(SUBSTITUTE("type:"&amp;B679,"%","%25"),"~","%7E"),"*","%2A"),"?","%3F"),'Rules'!$G$7:$G$26,0)),IF(AND(C679&lt;&gt;"",C679&lt;&gt;INDEX('Rules'!$B$7:$B$26,MATCH(SUBSTITUTE(SUBSTITUTE(SUBSTITUTE(SUBSTITUTE("type:"&amp;B679,"%","%25"),"~","%7E"),"*","%2A"),"?","%3F"),'Rules'!$G$7:$G$26,0))),"Unit mismatch",IF(IF(NOT(ISNUMBER(D679)),TRUE,OR(D679&lt;0,D679&gt;999999999,ROUND(D679,3)&lt;&gt;D679)),"Invalid current reading",IF(AND(E679&lt;&gt;"",IF(NOT(ISNUMBER(E679)),TRUE,OR(E679&lt;0,E679&gt;999999999,ROUND(E679,3)&lt;&gt;E679))),"Invalid previous reading",IF(IF(NOT(ISNUMBER(F679)),TRUE,OR(F679&lt;0,F679&gt;999999999,ROUND(F679,3)&lt;&gt;F679)),"Invalid last service",IF(AND(E679&lt;&gt;"",D679&lt;E679),"Decreased reading",IF(F679&gt;D679,"Last service above current","")))))))))))))</x:f>
      </x:c>
      <x:c r="L679" s="6" t="str">
        <x:f>IF(AND(NOT(COUNTA(A679:F679)=0),K679=""),INDEX('Rules'!$C$7:$C$26,MATCH(SUBSTITUTE(SUBSTITUTE(SUBSTITUTE(SUBSTITUTE("type:"&amp;B679,"%","%25"),"~","%7E"),"*","%2A"),"?","%3F"),'Rules'!$G$7:$G$26,0)),"")</x:f>
      </x:c>
      <x:c r="M679" s="6" t="str">
        <x:f>IF(AND(NOT(COUNTA(A679:F679)=0),K679=""),INDEX('Rules'!$D$7:$D$26,MATCH(SUBSTITUTE(SUBSTITUTE(SUBSTITUTE(SUBSTITUTE("type:"&amp;B679,"%","%25"),"~","%7E"),"*","%2A"),"?","%3F"),'Rules'!$G$7:$G$26,0)),"")</x:f>
      </x:c>
      <x:c r="N679" s="5" t="str">
        <x:f>IF(COUNTA(A679:F679)=0,"",SUBSTITUTE(SUBSTITUTE(SUBSTITUTE(SUBSTITUTE("id:"&amp;A679,"%","%25"),"~","%7E"),"*","%2A"),"?","%3F"))</x:f>
      </x:c>
    </x:row>
    <x:row r="680" ht="22" customHeight="1">
      <x:c r="A680" s="3"/>
      <x:c r="B680" s="3"/>
      <x:c r="C680" s="3"/>
      <x:c r="D680" s="4"/>
      <x:c r="E680" s="4"/>
      <x:c r="F680" s="4"/>
      <x:c r="G680" s="5" t="str">
        <x:f>IF(COUNTA(A680:F680)=0,"",IF(K680&lt;&gt;"","Review",IF(I680&lt;0,"Overdue",IF(I680=0,"Due now",IF(I680&lt;=M680,"Due soon","Not due")))))</x:f>
      </x:c>
      <x:c r="H680" s="5" t="str">
        <x:f>IF(OR(COUNTA(A680:F680)=0,COUNTIFS('Rules'!$G$7:$G$26,"="&amp;(SUBSTITUTE(SUBSTITUTE(SUBSTITUTE(SUBSTITUTE("type:"&amp;B680,"%","%25"),"~","%7E"),"*","%2A"),"?","%3F")))&lt;&gt;1),"",IF(OR(INDEX('Rules'!$B$7:$B$26,MATCH(SUBSTITUTE(SUBSTITUTE(SUBSTITUTE(SUBSTITUTE("type:"&amp;B680,"%","%25"),"~","%7E"),"*","%2A"),"?","%3F"),'Rules'!$G$7:$G$26,0))="hours",INDEX('Rules'!$B$7:$B$26,MATCH(SUBSTITUTE(SUBSTITUTE(SUBSTITUTE(SUBSTITUTE("type:"&amp;B680,"%","%25"),"~","%7E"),"*","%2A"),"?","%3F"),'Rules'!$G$7:$G$26,0))="km"),INDEX('Rules'!$B$7:$B$26,MATCH(SUBSTITUTE(SUBSTITUTE(SUBSTITUTE(SUBSTITUTE("type:"&amp;B680,"%","%25"),"~","%7E"),"*","%2A"),"?","%3F"),'Rules'!$G$7:$G$26,0)),""))</x:f>
      </x:c>
      <x:c r="I680" s="6" t="str">
        <x:f>IF(AND(NOT(COUNTA(A680:F680)=0),K680=""),ROUND(J680-D680,3),"")</x:f>
      </x:c>
      <x:c r="J680" s="6" t="str">
        <x:f>IF(AND(NOT(COUNTA(A680:F680)=0),K680=""),ROUND(F680+L680,3),"")</x:f>
      </x:c>
      <x:c r="K680" s="5" t="str">
        <x:f>IF(COUNTA(A680:F680)=0,"",IF(A680="","Missing equipment ID",IF(COUNTIFS($N$8:$N$2007,"="&amp;N680)&gt;1,"Duplicate equipment ID",IF(B680="","Missing type",IF(COUNTIFS('Rules'!$G$7:$G$26,"="&amp;(SUBSTITUTE(SUBSTITUTE(SUBSTITUTE(SUBSTITUTE("type:"&amp;B680,"%","%25"),"~","%7E"),"*","%2A"),"?","%3F")))=0,"Unknown type",IF(COUNTIFS('Rules'!$G$7:$G$26,"="&amp;(SUBSTITUTE(SUBSTITUTE(SUBSTITUTE(SUBSTITUTE("type:"&amp;B680,"%","%25"),"~","%7E"),"*","%2A"),"?","%3F")))&gt;1,"Duplicate type",IF(INDEX('Rules'!$F$7:$F$26,MATCH(SUBSTITUTE(SUBSTITUTE(SUBSTITUTE(SUBSTITUTE("type:"&amp;B680,"%","%25"),"~","%7E"),"*","%2A"),"?","%3F"),'Rules'!$G$7:$G$26,0))&lt;&gt;"",INDEX('Rules'!$F$7:$F$26,MATCH(SUBSTITUTE(SUBSTITUTE(SUBSTITUTE(SUBSTITUTE("type:"&amp;B680,"%","%25"),"~","%7E"),"*","%2A"),"?","%3F"),'Rules'!$G$7:$G$26,0)),IF(AND(C680&lt;&gt;"",C680&lt;&gt;INDEX('Rules'!$B$7:$B$26,MATCH(SUBSTITUTE(SUBSTITUTE(SUBSTITUTE(SUBSTITUTE("type:"&amp;B680,"%","%25"),"~","%7E"),"*","%2A"),"?","%3F"),'Rules'!$G$7:$G$26,0))),"Unit mismatch",IF(IF(NOT(ISNUMBER(D680)),TRUE,OR(D680&lt;0,D680&gt;999999999,ROUND(D680,3)&lt;&gt;D680)),"Invalid current reading",IF(AND(E680&lt;&gt;"",IF(NOT(ISNUMBER(E680)),TRUE,OR(E680&lt;0,E680&gt;999999999,ROUND(E680,3)&lt;&gt;E680))),"Invalid previous reading",IF(IF(NOT(ISNUMBER(F680)),TRUE,OR(F680&lt;0,F680&gt;999999999,ROUND(F680,3)&lt;&gt;F680)),"Invalid last service",IF(AND(E680&lt;&gt;"",D680&lt;E680),"Decreased reading",IF(F680&gt;D680,"Last service above current","")))))))))))))</x:f>
      </x:c>
      <x:c r="L680" s="6" t="str">
        <x:f>IF(AND(NOT(COUNTA(A680:F680)=0),K680=""),INDEX('Rules'!$C$7:$C$26,MATCH(SUBSTITUTE(SUBSTITUTE(SUBSTITUTE(SUBSTITUTE("type:"&amp;B680,"%","%25"),"~","%7E"),"*","%2A"),"?","%3F"),'Rules'!$G$7:$G$26,0)),"")</x:f>
      </x:c>
      <x:c r="M680" s="6" t="str">
        <x:f>IF(AND(NOT(COUNTA(A680:F680)=0),K680=""),INDEX('Rules'!$D$7:$D$26,MATCH(SUBSTITUTE(SUBSTITUTE(SUBSTITUTE(SUBSTITUTE("type:"&amp;B680,"%","%25"),"~","%7E"),"*","%2A"),"?","%3F"),'Rules'!$G$7:$G$26,0)),"")</x:f>
      </x:c>
      <x:c r="N680" s="5" t="str">
        <x:f>IF(COUNTA(A680:F680)=0,"",SUBSTITUTE(SUBSTITUTE(SUBSTITUTE(SUBSTITUTE("id:"&amp;A680,"%","%25"),"~","%7E"),"*","%2A"),"?","%3F"))</x:f>
      </x:c>
    </x:row>
    <x:row r="681" ht="22" customHeight="1">
      <x:c r="A681" s="3"/>
      <x:c r="B681" s="3"/>
      <x:c r="C681" s="3"/>
      <x:c r="D681" s="4"/>
      <x:c r="E681" s="4"/>
      <x:c r="F681" s="4"/>
      <x:c r="G681" s="5" t="str">
        <x:f>IF(COUNTA(A681:F681)=0,"",IF(K681&lt;&gt;"","Review",IF(I681&lt;0,"Overdue",IF(I681=0,"Due now",IF(I681&lt;=M681,"Due soon","Not due")))))</x:f>
      </x:c>
      <x:c r="H681" s="5" t="str">
        <x:f>IF(OR(COUNTA(A681:F681)=0,COUNTIFS('Rules'!$G$7:$G$26,"="&amp;(SUBSTITUTE(SUBSTITUTE(SUBSTITUTE(SUBSTITUTE("type:"&amp;B681,"%","%25"),"~","%7E"),"*","%2A"),"?","%3F")))&lt;&gt;1),"",IF(OR(INDEX('Rules'!$B$7:$B$26,MATCH(SUBSTITUTE(SUBSTITUTE(SUBSTITUTE(SUBSTITUTE("type:"&amp;B681,"%","%25"),"~","%7E"),"*","%2A"),"?","%3F"),'Rules'!$G$7:$G$26,0))="hours",INDEX('Rules'!$B$7:$B$26,MATCH(SUBSTITUTE(SUBSTITUTE(SUBSTITUTE(SUBSTITUTE("type:"&amp;B681,"%","%25"),"~","%7E"),"*","%2A"),"?","%3F"),'Rules'!$G$7:$G$26,0))="km"),INDEX('Rules'!$B$7:$B$26,MATCH(SUBSTITUTE(SUBSTITUTE(SUBSTITUTE(SUBSTITUTE("type:"&amp;B681,"%","%25"),"~","%7E"),"*","%2A"),"?","%3F"),'Rules'!$G$7:$G$26,0)),""))</x:f>
      </x:c>
      <x:c r="I681" s="6" t="str">
        <x:f>IF(AND(NOT(COUNTA(A681:F681)=0),K681=""),ROUND(J681-D681,3),"")</x:f>
      </x:c>
      <x:c r="J681" s="6" t="str">
        <x:f>IF(AND(NOT(COUNTA(A681:F681)=0),K681=""),ROUND(F681+L681,3),"")</x:f>
      </x:c>
      <x:c r="K681" s="5" t="str">
        <x:f>IF(COUNTA(A681:F681)=0,"",IF(A681="","Missing equipment ID",IF(COUNTIFS($N$8:$N$2007,"="&amp;N681)&gt;1,"Duplicate equipment ID",IF(B681="","Missing type",IF(COUNTIFS('Rules'!$G$7:$G$26,"="&amp;(SUBSTITUTE(SUBSTITUTE(SUBSTITUTE(SUBSTITUTE("type:"&amp;B681,"%","%25"),"~","%7E"),"*","%2A"),"?","%3F")))=0,"Unknown type",IF(COUNTIFS('Rules'!$G$7:$G$26,"="&amp;(SUBSTITUTE(SUBSTITUTE(SUBSTITUTE(SUBSTITUTE("type:"&amp;B681,"%","%25"),"~","%7E"),"*","%2A"),"?","%3F")))&gt;1,"Duplicate type",IF(INDEX('Rules'!$F$7:$F$26,MATCH(SUBSTITUTE(SUBSTITUTE(SUBSTITUTE(SUBSTITUTE("type:"&amp;B681,"%","%25"),"~","%7E"),"*","%2A"),"?","%3F"),'Rules'!$G$7:$G$26,0))&lt;&gt;"",INDEX('Rules'!$F$7:$F$26,MATCH(SUBSTITUTE(SUBSTITUTE(SUBSTITUTE(SUBSTITUTE("type:"&amp;B681,"%","%25"),"~","%7E"),"*","%2A"),"?","%3F"),'Rules'!$G$7:$G$26,0)),IF(AND(C681&lt;&gt;"",C681&lt;&gt;INDEX('Rules'!$B$7:$B$26,MATCH(SUBSTITUTE(SUBSTITUTE(SUBSTITUTE(SUBSTITUTE("type:"&amp;B681,"%","%25"),"~","%7E"),"*","%2A"),"?","%3F"),'Rules'!$G$7:$G$26,0))),"Unit mismatch",IF(IF(NOT(ISNUMBER(D681)),TRUE,OR(D681&lt;0,D681&gt;999999999,ROUND(D681,3)&lt;&gt;D681)),"Invalid current reading",IF(AND(E681&lt;&gt;"",IF(NOT(ISNUMBER(E681)),TRUE,OR(E681&lt;0,E681&gt;999999999,ROUND(E681,3)&lt;&gt;E681))),"Invalid previous reading",IF(IF(NOT(ISNUMBER(F681)),TRUE,OR(F681&lt;0,F681&gt;999999999,ROUND(F681,3)&lt;&gt;F681)),"Invalid last service",IF(AND(E681&lt;&gt;"",D681&lt;E681),"Decreased reading",IF(F681&gt;D681,"Last service above current","")))))))))))))</x:f>
      </x:c>
      <x:c r="L681" s="6" t="str">
        <x:f>IF(AND(NOT(COUNTA(A681:F681)=0),K681=""),INDEX('Rules'!$C$7:$C$26,MATCH(SUBSTITUTE(SUBSTITUTE(SUBSTITUTE(SUBSTITUTE("type:"&amp;B681,"%","%25"),"~","%7E"),"*","%2A"),"?","%3F"),'Rules'!$G$7:$G$26,0)),"")</x:f>
      </x:c>
      <x:c r="M681" s="6" t="str">
        <x:f>IF(AND(NOT(COUNTA(A681:F681)=0),K681=""),INDEX('Rules'!$D$7:$D$26,MATCH(SUBSTITUTE(SUBSTITUTE(SUBSTITUTE(SUBSTITUTE("type:"&amp;B681,"%","%25"),"~","%7E"),"*","%2A"),"?","%3F"),'Rules'!$G$7:$G$26,0)),"")</x:f>
      </x:c>
      <x:c r="N681" s="5" t="str">
        <x:f>IF(COUNTA(A681:F681)=0,"",SUBSTITUTE(SUBSTITUTE(SUBSTITUTE(SUBSTITUTE("id:"&amp;A681,"%","%25"),"~","%7E"),"*","%2A"),"?","%3F"))</x:f>
      </x:c>
    </x:row>
    <x:row r="682" ht="22" customHeight="1">
      <x:c r="A682" s="3"/>
      <x:c r="B682" s="3"/>
      <x:c r="C682" s="3"/>
      <x:c r="D682" s="4"/>
      <x:c r="E682" s="4"/>
      <x:c r="F682" s="4"/>
      <x:c r="G682" s="5" t="str">
        <x:f>IF(COUNTA(A682:F682)=0,"",IF(K682&lt;&gt;"","Review",IF(I682&lt;0,"Overdue",IF(I682=0,"Due now",IF(I682&lt;=M682,"Due soon","Not due")))))</x:f>
      </x:c>
      <x:c r="H682" s="5" t="str">
        <x:f>IF(OR(COUNTA(A682:F682)=0,COUNTIFS('Rules'!$G$7:$G$26,"="&amp;(SUBSTITUTE(SUBSTITUTE(SUBSTITUTE(SUBSTITUTE("type:"&amp;B682,"%","%25"),"~","%7E"),"*","%2A"),"?","%3F")))&lt;&gt;1),"",IF(OR(INDEX('Rules'!$B$7:$B$26,MATCH(SUBSTITUTE(SUBSTITUTE(SUBSTITUTE(SUBSTITUTE("type:"&amp;B682,"%","%25"),"~","%7E"),"*","%2A"),"?","%3F"),'Rules'!$G$7:$G$26,0))="hours",INDEX('Rules'!$B$7:$B$26,MATCH(SUBSTITUTE(SUBSTITUTE(SUBSTITUTE(SUBSTITUTE("type:"&amp;B682,"%","%25"),"~","%7E"),"*","%2A"),"?","%3F"),'Rules'!$G$7:$G$26,0))="km"),INDEX('Rules'!$B$7:$B$26,MATCH(SUBSTITUTE(SUBSTITUTE(SUBSTITUTE(SUBSTITUTE("type:"&amp;B682,"%","%25"),"~","%7E"),"*","%2A"),"?","%3F"),'Rules'!$G$7:$G$26,0)),""))</x:f>
      </x:c>
      <x:c r="I682" s="6" t="str">
        <x:f>IF(AND(NOT(COUNTA(A682:F682)=0),K682=""),ROUND(J682-D682,3),"")</x:f>
      </x:c>
      <x:c r="J682" s="6" t="str">
        <x:f>IF(AND(NOT(COUNTA(A682:F682)=0),K682=""),ROUND(F682+L682,3),"")</x:f>
      </x:c>
      <x:c r="K682" s="5" t="str">
        <x:f>IF(COUNTA(A682:F682)=0,"",IF(A682="","Missing equipment ID",IF(COUNTIFS($N$8:$N$2007,"="&amp;N682)&gt;1,"Duplicate equipment ID",IF(B682="","Missing type",IF(COUNTIFS('Rules'!$G$7:$G$26,"="&amp;(SUBSTITUTE(SUBSTITUTE(SUBSTITUTE(SUBSTITUTE("type:"&amp;B682,"%","%25"),"~","%7E"),"*","%2A"),"?","%3F")))=0,"Unknown type",IF(COUNTIFS('Rules'!$G$7:$G$26,"="&amp;(SUBSTITUTE(SUBSTITUTE(SUBSTITUTE(SUBSTITUTE("type:"&amp;B682,"%","%25"),"~","%7E"),"*","%2A"),"?","%3F")))&gt;1,"Duplicate type",IF(INDEX('Rules'!$F$7:$F$26,MATCH(SUBSTITUTE(SUBSTITUTE(SUBSTITUTE(SUBSTITUTE("type:"&amp;B682,"%","%25"),"~","%7E"),"*","%2A"),"?","%3F"),'Rules'!$G$7:$G$26,0))&lt;&gt;"",INDEX('Rules'!$F$7:$F$26,MATCH(SUBSTITUTE(SUBSTITUTE(SUBSTITUTE(SUBSTITUTE("type:"&amp;B682,"%","%25"),"~","%7E"),"*","%2A"),"?","%3F"),'Rules'!$G$7:$G$26,0)),IF(AND(C682&lt;&gt;"",C682&lt;&gt;INDEX('Rules'!$B$7:$B$26,MATCH(SUBSTITUTE(SUBSTITUTE(SUBSTITUTE(SUBSTITUTE("type:"&amp;B682,"%","%25"),"~","%7E"),"*","%2A"),"?","%3F"),'Rules'!$G$7:$G$26,0))),"Unit mismatch",IF(IF(NOT(ISNUMBER(D682)),TRUE,OR(D682&lt;0,D682&gt;999999999,ROUND(D682,3)&lt;&gt;D682)),"Invalid current reading",IF(AND(E682&lt;&gt;"",IF(NOT(ISNUMBER(E682)),TRUE,OR(E682&lt;0,E682&gt;999999999,ROUND(E682,3)&lt;&gt;E682))),"Invalid previous reading",IF(IF(NOT(ISNUMBER(F682)),TRUE,OR(F682&lt;0,F682&gt;999999999,ROUND(F682,3)&lt;&gt;F682)),"Invalid last service",IF(AND(E682&lt;&gt;"",D682&lt;E682),"Decreased reading",IF(F682&gt;D682,"Last service above current","")))))))))))))</x:f>
      </x:c>
      <x:c r="L682" s="6" t="str">
        <x:f>IF(AND(NOT(COUNTA(A682:F682)=0),K682=""),INDEX('Rules'!$C$7:$C$26,MATCH(SUBSTITUTE(SUBSTITUTE(SUBSTITUTE(SUBSTITUTE("type:"&amp;B682,"%","%25"),"~","%7E"),"*","%2A"),"?","%3F"),'Rules'!$G$7:$G$26,0)),"")</x:f>
      </x:c>
      <x:c r="M682" s="6" t="str">
        <x:f>IF(AND(NOT(COUNTA(A682:F682)=0),K682=""),INDEX('Rules'!$D$7:$D$26,MATCH(SUBSTITUTE(SUBSTITUTE(SUBSTITUTE(SUBSTITUTE("type:"&amp;B682,"%","%25"),"~","%7E"),"*","%2A"),"?","%3F"),'Rules'!$G$7:$G$26,0)),"")</x:f>
      </x:c>
      <x:c r="N682" s="5" t="str">
        <x:f>IF(COUNTA(A682:F682)=0,"",SUBSTITUTE(SUBSTITUTE(SUBSTITUTE(SUBSTITUTE("id:"&amp;A682,"%","%25"),"~","%7E"),"*","%2A"),"?","%3F"))</x:f>
      </x:c>
    </x:row>
    <x:row r="683" ht="22" customHeight="1">
      <x:c r="A683" s="3"/>
      <x:c r="B683" s="3"/>
      <x:c r="C683" s="3"/>
      <x:c r="D683" s="4"/>
      <x:c r="E683" s="4"/>
      <x:c r="F683" s="4"/>
      <x:c r="G683" s="5" t="str">
        <x:f>IF(COUNTA(A683:F683)=0,"",IF(K683&lt;&gt;"","Review",IF(I683&lt;0,"Overdue",IF(I683=0,"Due now",IF(I683&lt;=M683,"Due soon","Not due")))))</x:f>
      </x:c>
      <x:c r="H683" s="5" t="str">
        <x:f>IF(OR(COUNTA(A683:F683)=0,COUNTIFS('Rules'!$G$7:$G$26,"="&amp;(SUBSTITUTE(SUBSTITUTE(SUBSTITUTE(SUBSTITUTE("type:"&amp;B683,"%","%25"),"~","%7E"),"*","%2A"),"?","%3F")))&lt;&gt;1),"",IF(OR(INDEX('Rules'!$B$7:$B$26,MATCH(SUBSTITUTE(SUBSTITUTE(SUBSTITUTE(SUBSTITUTE("type:"&amp;B683,"%","%25"),"~","%7E"),"*","%2A"),"?","%3F"),'Rules'!$G$7:$G$26,0))="hours",INDEX('Rules'!$B$7:$B$26,MATCH(SUBSTITUTE(SUBSTITUTE(SUBSTITUTE(SUBSTITUTE("type:"&amp;B683,"%","%25"),"~","%7E"),"*","%2A"),"?","%3F"),'Rules'!$G$7:$G$26,0))="km"),INDEX('Rules'!$B$7:$B$26,MATCH(SUBSTITUTE(SUBSTITUTE(SUBSTITUTE(SUBSTITUTE("type:"&amp;B683,"%","%25"),"~","%7E"),"*","%2A"),"?","%3F"),'Rules'!$G$7:$G$26,0)),""))</x:f>
      </x:c>
      <x:c r="I683" s="6" t="str">
        <x:f>IF(AND(NOT(COUNTA(A683:F683)=0),K683=""),ROUND(J683-D683,3),"")</x:f>
      </x:c>
      <x:c r="J683" s="6" t="str">
        <x:f>IF(AND(NOT(COUNTA(A683:F683)=0),K683=""),ROUND(F683+L683,3),"")</x:f>
      </x:c>
      <x:c r="K683" s="5" t="str">
        <x:f>IF(COUNTA(A683:F683)=0,"",IF(A683="","Missing equipment ID",IF(COUNTIFS($N$8:$N$2007,"="&amp;N683)&gt;1,"Duplicate equipment ID",IF(B683="","Missing type",IF(COUNTIFS('Rules'!$G$7:$G$26,"="&amp;(SUBSTITUTE(SUBSTITUTE(SUBSTITUTE(SUBSTITUTE("type:"&amp;B683,"%","%25"),"~","%7E"),"*","%2A"),"?","%3F")))=0,"Unknown type",IF(COUNTIFS('Rules'!$G$7:$G$26,"="&amp;(SUBSTITUTE(SUBSTITUTE(SUBSTITUTE(SUBSTITUTE("type:"&amp;B683,"%","%25"),"~","%7E"),"*","%2A"),"?","%3F")))&gt;1,"Duplicate type",IF(INDEX('Rules'!$F$7:$F$26,MATCH(SUBSTITUTE(SUBSTITUTE(SUBSTITUTE(SUBSTITUTE("type:"&amp;B683,"%","%25"),"~","%7E"),"*","%2A"),"?","%3F"),'Rules'!$G$7:$G$26,0))&lt;&gt;"",INDEX('Rules'!$F$7:$F$26,MATCH(SUBSTITUTE(SUBSTITUTE(SUBSTITUTE(SUBSTITUTE("type:"&amp;B683,"%","%25"),"~","%7E"),"*","%2A"),"?","%3F"),'Rules'!$G$7:$G$26,0)),IF(AND(C683&lt;&gt;"",C683&lt;&gt;INDEX('Rules'!$B$7:$B$26,MATCH(SUBSTITUTE(SUBSTITUTE(SUBSTITUTE(SUBSTITUTE("type:"&amp;B683,"%","%25"),"~","%7E"),"*","%2A"),"?","%3F"),'Rules'!$G$7:$G$26,0))),"Unit mismatch",IF(IF(NOT(ISNUMBER(D683)),TRUE,OR(D683&lt;0,D683&gt;999999999,ROUND(D683,3)&lt;&gt;D683)),"Invalid current reading",IF(AND(E683&lt;&gt;"",IF(NOT(ISNUMBER(E683)),TRUE,OR(E683&lt;0,E683&gt;999999999,ROUND(E683,3)&lt;&gt;E683))),"Invalid previous reading",IF(IF(NOT(ISNUMBER(F683)),TRUE,OR(F683&lt;0,F683&gt;999999999,ROUND(F683,3)&lt;&gt;F683)),"Invalid last service",IF(AND(E683&lt;&gt;"",D683&lt;E683),"Decreased reading",IF(F683&gt;D683,"Last service above current","")))))))))))))</x:f>
      </x:c>
      <x:c r="L683" s="6" t="str">
        <x:f>IF(AND(NOT(COUNTA(A683:F683)=0),K683=""),INDEX('Rules'!$C$7:$C$26,MATCH(SUBSTITUTE(SUBSTITUTE(SUBSTITUTE(SUBSTITUTE("type:"&amp;B683,"%","%25"),"~","%7E"),"*","%2A"),"?","%3F"),'Rules'!$G$7:$G$26,0)),"")</x:f>
      </x:c>
      <x:c r="M683" s="6" t="str">
        <x:f>IF(AND(NOT(COUNTA(A683:F683)=0),K683=""),INDEX('Rules'!$D$7:$D$26,MATCH(SUBSTITUTE(SUBSTITUTE(SUBSTITUTE(SUBSTITUTE("type:"&amp;B683,"%","%25"),"~","%7E"),"*","%2A"),"?","%3F"),'Rules'!$G$7:$G$26,0)),"")</x:f>
      </x:c>
      <x:c r="N683" s="5" t="str">
        <x:f>IF(COUNTA(A683:F683)=0,"",SUBSTITUTE(SUBSTITUTE(SUBSTITUTE(SUBSTITUTE("id:"&amp;A683,"%","%25"),"~","%7E"),"*","%2A"),"?","%3F"))</x:f>
      </x:c>
    </x:row>
    <x:row r="684" ht="22" customHeight="1">
      <x:c r="A684" s="3"/>
      <x:c r="B684" s="3"/>
      <x:c r="C684" s="3"/>
      <x:c r="D684" s="4"/>
      <x:c r="E684" s="4"/>
      <x:c r="F684" s="4"/>
      <x:c r="G684" s="5" t="str">
        <x:f>IF(COUNTA(A684:F684)=0,"",IF(K684&lt;&gt;"","Review",IF(I684&lt;0,"Overdue",IF(I684=0,"Due now",IF(I684&lt;=M684,"Due soon","Not due")))))</x:f>
      </x:c>
      <x:c r="H684" s="5" t="str">
        <x:f>IF(OR(COUNTA(A684:F684)=0,COUNTIFS('Rules'!$G$7:$G$26,"="&amp;(SUBSTITUTE(SUBSTITUTE(SUBSTITUTE(SUBSTITUTE("type:"&amp;B684,"%","%25"),"~","%7E"),"*","%2A"),"?","%3F")))&lt;&gt;1),"",IF(OR(INDEX('Rules'!$B$7:$B$26,MATCH(SUBSTITUTE(SUBSTITUTE(SUBSTITUTE(SUBSTITUTE("type:"&amp;B684,"%","%25"),"~","%7E"),"*","%2A"),"?","%3F"),'Rules'!$G$7:$G$26,0))="hours",INDEX('Rules'!$B$7:$B$26,MATCH(SUBSTITUTE(SUBSTITUTE(SUBSTITUTE(SUBSTITUTE("type:"&amp;B684,"%","%25"),"~","%7E"),"*","%2A"),"?","%3F"),'Rules'!$G$7:$G$26,0))="km"),INDEX('Rules'!$B$7:$B$26,MATCH(SUBSTITUTE(SUBSTITUTE(SUBSTITUTE(SUBSTITUTE("type:"&amp;B684,"%","%25"),"~","%7E"),"*","%2A"),"?","%3F"),'Rules'!$G$7:$G$26,0)),""))</x:f>
      </x:c>
      <x:c r="I684" s="6" t="str">
        <x:f>IF(AND(NOT(COUNTA(A684:F684)=0),K684=""),ROUND(J684-D684,3),"")</x:f>
      </x:c>
      <x:c r="J684" s="6" t="str">
        <x:f>IF(AND(NOT(COUNTA(A684:F684)=0),K684=""),ROUND(F684+L684,3),"")</x:f>
      </x:c>
      <x:c r="K684" s="5" t="str">
        <x:f>IF(COUNTA(A684:F684)=0,"",IF(A684="","Missing equipment ID",IF(COUNTIFS($N$8:$N$2007,"="&amp;N684)&gt;1,"Duplicate equipment ID",IF(B684="","Missing type",IF(COUNTIFS('Rules'!$G$7:$G$26,"="&amp;(SUBSTITUTE(SUBSTITUTE(SUBSTITUTE(SUBSTITUTE("type:"&amp;B684,"%","%25"),"~","%7E"),"*","%2A"),"?","%3F")))=0,"Unknown type",IF(COUNTIFS('Rules'!$G$7:$G$26,"="&amp;(SUBSTITUTE(SUBSTITUTE(SUBSTITUTE(SUBSTITUTE("type:"&amp;B684,"%","%25"),"~","%7E"),"*","%2A"),"?","%3F")))&gt;1,"Duplicate type",IF(INDEX('Rules'!$F$7:$F$26,MATCH(SUBSTITUTE(SUBSTITUTE(SUBSTITUTE(SUBSTITUTE("type:"&amp;B684,"%","%25"),"~","%7E"),"*","%2A"),"?","%3F"),'Rules'!$G$7:$G$26,0))&lt;&gt;"",INDEX('Rules'!$F$7:$F$26,MATCH(SUBSTITUTE(SUBSTITUTE(SUBSTITUTE(SUBSTITUTE("type:"&amp;B684,"%","%25"),"~","%7E"),"*","%2A"),"?","%3F"),'Rules'!$G$7:$G$26,0)),IF(AND(C684&lt;&gt;"",C684&lt;&gt;INDEX('Rules'!$B$7:$B$26,MATCH(SUBSTITUTE(SUBSTITUTE(SUBSTITUTE(SUBSTITUTE("type:"&amp;B684,"%","%25"),"~","%7E"),"*","%2A"),"?","%3F"),'Rules'!$G$7:$G$26,0))),"Unit mismatch",IF(IF(NOT(ISNUMBER(D684)),TRUE,OR(D684&lt;0,D684&gt;999999999,ROUND(D684,3)&lt;&gt;D684)),"Invalid current reading",IF(AND(E684&lt;&gt;"",IF(NOT(ISNUMBER(E684)),TRUE,OR(E684&lt;0,E684&gt;999999999,ROUND(E684,3)&lt;&gt;E684))),"Invalid previous reading",IF(IF(NOT(ISNUMBER(F684)),TRUE,OR(F684&lt;0,F684&gt;999999999,ROUND(F684,3)&lt;&gt;F684)),"Invalid last service",IF(AND(E684&lt;&gt;"",D684&lt;E684),"Decreased reading",IF(F684&gt;D684,"Last service above current","")))))))))))))</x:f>
      </x:c>
      <x:c r="L684" s="6" t="str">
        <x:f>IF(AND(NOT(COUNTA(A684:F684)=0),K684=""),INDEX('Rules'!$C$7:$C$26,MATCH(SUBSTITUTE(SUBSTITUTE(SUBSTITUTE(SUBSTITUTE("type:"&amp;B684,"%","%25"),"~","%7E"),"*","%2A"),"?","%3F"),'Rules'!$G$7:$G$26,0)),"")</x:f>
      </x:c>
      <x:c r="M684" s="6" t="str">
        <x:f>IF(AND(NOT(COUNTA(A684:F684)=0),K684=""),INDEX('Rules'!$D$7:$D$26,MATCH(SUBSTITUTE(SUBSTITUTE(SUBSTITUTE(SUBSTITUTE("type:"&amp;B684,"%","%25"),"~","%7E"),"*","%2A"),"?","%3F"),'Rules'!$G$7:$G$26,0)),"")</x:f>
      </x:c>
      <x:c r="N684" s="5" t="str">
        <x:f>IF(COUNTA(A684:F684)=0,"",SUBSTITUTE(SUBSTITUTE(SUBSTITUTE(SUBSTITUTE("id:"&amp;A684,"%","%25"),"~","%7E"),"*","%2A"),"?","%3F"))</x:f>
      </x:c>
    </x:row>
    <x:row r="685" ht="22" customHeight="1">
      <x:c r="A685" s="3"/>
      <x:c r="B685" s="3"/>
      <x:c r="C685" s="3"/>
      <x:c r="D685" s="4"/>
      <x:c r="E685" s="4"/>
      <x:c r="F685" s="4"/>
      <x:c r="G685" s="5" t="str">
        <x:f>IF(COUNTA(A685:F685)=0,"",IF(K685&lt;&gt;"","Review",IF(I685&lt;0,"Overdue",IF(I685=0,"Due now",IF(I685&lt;=M685,"Due soon","Not due")))))</x:f>
      </x:c>
      <x:c r="H685" s="5" t="str">
        <x:f>IF(OR(COUNTA(A685:F685)=0,COUNTIFS('Rules'!$G$7:$G$26,"="&amp;(SUBSTITUTE(SUBSTITUTE(SUBSTITUTE(SUBSTITUTE("type:"&amp;B685,"%","%25"),"~","%7E"),"*","%2A"),"?","%3F")))&lt;&gt;1),"",IF(OR(INDEX('Rules'!$B$7:$B$26,MATCH(SUBSTITUTE(SUBSTITUTE(SUBSTITUTE(SUBSTITUTE("type:"&amp;B685,"%","%25"),"~","%7E"),"*","%2A"),"?","%3F"),'Rules'!$G$7:$G$26,0))="hours",INDEX('Rules'!$B$7:$B$26,MATCH(SUBSTITUTE(SUBSTITUTE(SUBSTITUTE(SUBSTITUTE("type:"&amp;B685,"%","%25"),"~","%7E"),"*","%2A"),"?","%3F"),'Rules'!$G$7:$G$26,0))="km"),INDEX('Rules'!$B$7:$B$26,MATCH(SUBSTITUTE(SUBSTITUTE(SUBSTITUTE(SUBSTITUTE("type:"&amp;B685,"%","%25"),"~","%7E"),"*","%2A"),"?","%3F"),'Rules'!$G$7:$G$26,0)),""))</x:f>
      </x:c>
      <x:c r="I685" s="6" t="str">
        <x:f>IF(AND(NOT(COUNTA(A685:F685)=0),K685=""),ROUND(J685-D685,3),"")</x:f>
      </x:c>
      <x:c r="J685" s="6" t="str">
        <x:f>IF(AND(NOT(COUNTA(A685:F685)=0),K685=""),ROUND(F685+L685,3),"")</x:f>
      </x:c>
      <x:c r="K685" s="5" t="str">
        <x:f>IF(COUNTA(A685:F685)=0,"",IF(A685="","Missing equipment ID",IF(COUNTIFS($N$8:$N$2007,"="&amp;N685)&gt;1,"Duplicate equipment ID",IF(B685="","Missing type",IF(COUNTIFS('Rules'!$G$7:$G$26,"="&amp;(SUBSTITUTE(SUBSTITUTE(SUBSTITUTE(SUBSTITUTE("type:"&amp;B685,"%","%25"),"~","%7E"),"*","%2A"),"?","%3F")))=0,"Unknown type",IF(COUNTIFS('Rules'!$G$7:$G$26,"="&amp;(SUBSTITUTE(SUBSTITUTE(SUBSTITUTE(SUBSTITUTE("type:"&amp;B685,"%","%25"),"~","%7E"),"*","%2A"),"?","%3F")))&gt;1,"Duplicate type",IF(INDEX('Rules'!$F$7:$F$26,MATCH(SUBSTITUTE(SUBSTITUTE(SUBSTITUTE(SUBSTITUTE("type:"&amp;B685,"%","%25"),"~","%7E"),"*","%2A"),"?","%3F"),'Rules'!$G$7:$G$26,0))&lt;&gt;"",INDEX('Rules'!$F$7:$F$26,MATCH(SUBSTITUTE(SUBSTITUTE(SUBSTITUTE(SUBSTITUTE("type:"&amp;B685,"%","%25"),"~","%7E"),"*","%2A"),"?","%3F"),'Rules'!$G$7:$G$26,0)),IF(AND(C685&lt;&gt;"",C685&lt;&gt;INDEX('Rules'!$B$7:$B$26,MATCH(SUBSTITUTE(SUBSTITUTE(SUBSTITUTE(SUBSTITUTE("type:"&amp;B685,"%","%25"),"~","%7E"),"*","%2A"),"?","%3F"),'Rules'!$G$7:$G$26,0))),"Unit mismatch",IF(IF(NOT(ISNUMBER(D685)),TRUE,OR(D685&lt;0,D685&gt;999999999,ROUND(D685,3)&lt;&gt;D685)),"Invalid current reading",IF(AND(E685&lt;&gt;"",IF(NOT(ISNUMBER(E685)),TRUE,OR(E685&lt;0,E685&gt;999999999,ROUND(E685,3)&lt;&gt;E685))),"Invalid previous reading",IF(IF(NOT(ISNUMBER(F685)),TRUE,OR(F685&lt;0,F685&gt;999999999,ROUND(F685,3)&lt;&gt;F685)),"Invalid last service",IF(AND(E685&lt;&gt;"",D685&lt;E685),"Decreased reading",IF(F685&gt;D685,"Last service above current","")))))))))))))</x:f>
      </x:c>
      <x:c r="L685" s="6" t="str">
        <x:f>IF(AND(NOT(COUNTA(A685:F685)=0),K685=""),INDEX('Rules'!$C$7:$C$26,MATCH(SUBSTITUTE(SUBSTITUTE(SUBSTITUTE(SUBSTITUTE("type:"&amp;B685,"%","%25"),"~","%7E"),"*","%2A"),"?","%3F"),'Rules'!$G$7:$G$26,0)),"")</x:f>
      </x:c>
      <x:c r="M685" s="6" t="str">
        <x:f>IF(AND(NOT(COUNTA(A685:F685)=0),K685=""),INDEX('Rules'!$D$7:$D$26,MATCH(SUBSTITUTE(SUBSTITUTE(SUBSTITUTE(SUBSTITUTE("type:"&amp;B685,"%","%25"),"~","%7E"),"*","%2A"),"?","%3F"),'Rules'!$G$7:$G$26,0)),"")</x:f>
      </x:c>
      <x:c r="N685" s="5" t="str">
        <x:f>IF(COUNTA(A685:F685)=0,"",SUBSTITUTE(SUBSTITUTE(SUBSTITUTE(SUBSTITUTE("id:"&amp;A685,"%","%25"),"~","%7E"),"*","%2A"),"?","%3F"))</x:f>
      </x:c>
    </x:row>
    <x:row r="686" ht="22" customHeight="1">
      <x:c r="A686" s="3"/>
      <x:c r="B686" s="3"/>
      <x:c r="C686" s="3"/>
      <x:c r="D686" s="4"/>
      <x:c r="E686" s="4"/>
      <x:c r="F686" s="4"/>
      <x:c r="G686" s="5" t="str">
        <x:f>IF(COUNTA(A686:F686)=0,"",IF(K686&lt;&gt;"","Review",IF(I686&lt;0,"Overdue",IF(I686=0,"Due now",IF(I686&lt;=M686,"Due soon","Not due")))))</x:f>
      </x:c>
      <x:c r="H686" s="5" t="str">
        <x:f>IF(OR(COUNTA(A686:F686)=0,COUNTIFS('Rules'!$G$7:$G$26,"="&amp;(SUBSTITUTE(SUBSTITUTE(SUBSTITUTE(SUBSTITUTE("type:"&amp;B686,"%","%25"),"~","%7E"),"*","%2A"),"?","%3F")))&lt;&gt;1),"",IF(OR(INDEX('Rules'!$B$7:$B$26,MATCH(SUBSTITUTE(SUBSTITUTE(SUBSTITUTE(SUBSTITUTE("type:"&amp;B686,"%","%25"),"~","%7E"),"*","%2A"),"?","%3F"),'Rules'!$G$7:$G$26,0))="hours",INDEX('Rules'!$B$7:$B$26,MATCH(SUBSTITUTE(SUBSTITUTE(SUBSTITUTE(SUBSTITUTE("type:"&amp;B686,"%","%25"),"~","%7E"),"*","%2A"),"?","%3F"),'Rules'!$G$7:$G$26,0))="km"),INDEX('Rules'!$B$7:$B$26,MATCH(SUBSTITUTE(SUBSTITUTE(SUBSTITUTE(SUBSTITUTE("type:"&amp;B686,"%","%25"),"~","%7E"),"*","%2A"),"?","%3F"),'Rules'!$G$7:$G$26,0)),""))</x:f>
      </x:c>
      <x:c r="I686" s="6" t="str">
        <x:f>IF(AND(NOT(COUNTA(A686:F686)=0),K686=""),ROUND(J686-D686,3),"")</x:f>
      </x:c>
      <x:c r="J686" s="6" t="str">
        <x:f>IF(AND(NOT(COUNTA(A686:F686)=0),K686=""),ROUND(F686+L686,3),"")</x:f>
      </x:c>
      <x:c r="K686" s="5" t="str">
        <x:f>IF(COUNTA(A686:F686)=0,"",IF(A686="","Missing equipment ID",IF(COUNTIFS($N$8:$N$2007,"="&amp;N686)&gt;1,"Duplicate equipment ID",IF(B686="","Missing type",IF(COUNTIFS('Rules'!$G$7:$G$26,"="&amp;(SUBSTITUTE(SUBSTITUTE(SUBSTITUTE(SUBSTITUTE("type:"&amp;B686,"%","%25"),"~","%7E"),"*","%2A"),"?","%3F")))=0,"Unknown type",IF(COUNTIFS('Rules'!$G$7:$G$26,"="&amp;(SUBSTITUTE(SUBSTITUTE(SUBSTITUTE(SUBSTITUTE("type:"&amp;B686,"%","%25"),"~","%7E"),"*","%2A"),"?","%3F")))&gt;1,"Duplicate type",IF(INDEX('Rules'!$F$7:$F$26,MATCH(SUBSTITUTE(SUBSTITUTE(SUBSTITUTE(SUBSTITUTE("type:"&amp;B686,"%","%25"),"~","%7E"),"*","%2A"),"?","%3F"),'Rules'!$G$7:$G$26,0))&lt;&gt;"",INDEX('Rules'!$F$7:$F$26,MATCH(SUBSTITUTE(SUBSTITUTE(SUBSTITUTE(SUBSTITUTE("type:"&amp;B686,"%","%25"),"~","%7E"),"*","%2A"),"?","%3F"),'Rules'!$G$7:$G$26,0)),IF(AND(C686&lt;&gt;"",C686&lt;&gt;INDEX('Rules'!$B$7:$B$26,MATCH(SUBSTITUTE(SUBSTITUTE(SUBSTITUTE(SUBSTITUTE("type:"&amp;B686,"%","%25"),"~","%7E"),"*","%2A"),"?","%3F"),'Rules'!$G$7:$G$26,0))),"Unit mismatch",IF(IF(NOT(ISNUMBER(D686)),TRUE,OR(D686&lt;0,D686&gt;999999999,ROUND(D686,3)&lt;&gt;D686)),"Invalid current reading",IF(AND(E686&lt;&gt;"",IF(NOT(ISNUMBER(E686)),TRUE,OR(E686&lt;0,E686&gt;999999999,ROUND(E686,3)&lt;&gt;E686))),"Invalid previous reading",IF(IF(NOT(ISNUMBER(F686)),TRUE,OR(F686&lt;0,F686&gt;999999999,ROUND(F686,3)&lt;&gt;F686)),"Invalid last service",IF(AND(E686&lt;&gt;"",D686&lt;E686),"Decreased reading",IF(F686&gt;D686,"Last service above current","")))))))))))))</x:f>
      </x:c>
      <x:c r="L686" s="6" t="str">
        <x:f>IF(AND(NOT(COUNTA(A686:F686)=0),K686=""),INDEX('Rules'!$C$7:$C$26,MATCH(SUBSTITUTE(SUBSTITUTE(SUBSTITUTE(SUBSTITUTE("type:"&amp;B686,"%","%25"),"~","%7E"),"*","%2A"),"?","%3F"),'Rules'!$G$7:$G$26,0)),"")</x:f>
      </x:c>
      <x:c r="M686" s="6" t="str">
        <x:f>IF(AND(NOT(COUNTA(A686:F686)=0),K686=""),INDEX('Rules'!$D$7:$D$26,MATCH(SUBSTITUTE(SUBSTITUTE(SUBSTITUTE(SUBSTITUTE("type:"&amp;B686,"%","%25"),"~","%7E"),"*","%2A"),"?","%3F"),'Rules'!$G$7:$G$26,0)),"")</x:f>
      </x:c>
      <x:c r="N686" s="5" t="str">
        <x:f>IF(COUNTA(A686:F686)=0,"",SUBSTITUTE(SUBSTITUTE(SUBSTITUTE(SUBSTITUTE("id:"&amp;A686,"%","%25"),"~","%7E"),"*","%2A"),"?","%3F"))</x:f>
      </x:c>
    </x:row>
    <x:row r="687" ht="22" customHeight="1">
      <x:c r="A687" s="3"/>
      <x:c r="B687" s="3"/>
      <x:c r="C687" s="3"/>
      <x:c r="D687" s="4"/>
      <x:c r="E687" s="4"/>
      <x:c r="F687" s="4"/>
      <x:c r="G687" s="5" t="str">
        <x:f>IF(COUNTA(A687:F687)=0,"",IF(K687&lt;&gt;"","Review",IF(I687&lt;0,"Overdue",IF(I687=0,"Due now",IF(I687&lt;=M687,"Due soon","Not due")))))</x:f>
      </x:c>
      <x:c r="H687" s="5" t="str">
        <x:f>IF(OR(COUNTA(A687:F687)=0,COUNTIFS('Rules'!$G$7:$G$26,"="&amp;(SUBSTITUTE(SUBSTITUTE(SUBSTITUTE(SUBSTITUTE("type:"&amp;B687,"%","%25"),"~","%7E"),"*","%2A"),"?","%3F")))&lt;&gt;1),"",IF(OR(INDEX('Rules'!$B$7:$B$26,MATCH(SUBSTITUTE(SUBSTITUTE(SUBSTITUTE(SUBSTITUTE("type:"&amp;B687,"%","%25"),"~","%7E"),"*","%2A"),"?","%3F"),'Rules'!$G$7:$G$26,0))="hours",INDEX('Rules'!$B$7:$B$26,MATCH(SUBSTITUTE(SUBSTITUTE(SUBSTITUTE(SUBSTITUTE("type:"&amp;B687,"%","%25"),"~","%7E"),"*","%2A"),"?","%3F"),'Rules'!$G$7:$G$26,0))="km"),INDEX('Rules'!$B$7:$B$26,MATCH(SUBSTITUTE(SUBSTITUTE(SUBSTITUTE(SUBSTITUTE("type:"&amp;B687,"%","%25"),"~","%7E"),"*","%2A"),"?","%3F"),'Rules'!$G$7:$G$26,0)),""))</x:f>
      </x:c>
      <x:c r="I687" s="6" t="str">
        <x:f>IF(AND(NOT(COUNTA(A687:F687)=0),K687=""),ROUND(J687-D687,3),"")</x:f>
      </x:c>
      <x:c r="J687" s="6" t="str">
        <x:f>IF(AND(NOT(COUNTA(A687:F687)=0),K687=""),ROUND(F687+L687,3),"")</x:f>
      </x:c>
      <x:c r="K687" s="5" t="str">
        <x:f>IF(COUNTA(A687:F687)=0,"",IF(A687="","Missing equipment ID",IF(COUNTIFS($N$8:$N$2007,"="&amp;N687)&gt;1,"Duplicate equipment ID",IF(B687="","Missing type",IF(COUNTIFS('Rules'!$G$7:$G$26,"="&amp;(SUBSTITUTE(SUBSTITUTE(SUBSTITUTE(SUBSTITUTE("type:"&amp;B687,"%","%25"),"~","%7E"),"*","%2A"),"?","%3F")))=0,"Unknown type",IF(COUNTIFS('Rules'!$G$7:$G$26,"="&amp;(SUBSTITUTE(SUBSTITUTE(SUBSTITUTE(SUBSTITUTE("type:"&amp;B687,"%","%25"),"~","%7E"),"*","%2A"),"?","%3F")))&gt;1,"Duplicate type",IF(INDEX('Rules'!$F$7:$F$26,MATCH(SUBSTITUTE(SUBSTITUTE(SUBSTITUTE(SUBSTITUTE("type:"&amp;B687,"%","%25"),"~","%7E"),"*","%2A"),"?","%3F"),'Rules'!$G$7:$G$26,0))&lt;&gt;"",INDEX('Rules'!$F$7:$F$26,MATCH(SUBSTITUTE(SUBSTITUTE(SUBSTITUTE(SUBSTITUTE("type:"&amp;B687,"%","%25"),"~","%7E"),"*","%2A"),"?","%3F"),'Rules'!$G$7:$G$26,0)),IF(AND(C687&lt;&gt;"",C687&lt;&gt;INDEX('Rules'!$B$7:$B$26,MATCH(SUBSTITUTE(SUBSTITUTE(SUBSTITUTE(SUBSTITUTE("type:"&amp;B687,"%","%25"),"~","%7E"),"*","%2A"),"?","%3F"),'Rules'!$G$7:$G$26,0))),"Unit mismatch",IF(IF(NOT(ISNUMBER(D687)),TRUE,OR(D687&lt;0,D687&gt;999999999,ROUND(D687,3)&lt;&gt;D687)),"Invalid current reading",IF(AND(E687&lt;&gt;"",IF(NOT(ISNUMBER(E687)),TRUE,OR(E687&lt;0,E687&gt;999999999,ROUND(E687,3)&lt;&gt;E687))),"Invalid previous reading",IF(IF(NOT(ISNUMBER(F687)),TRUE,OR(F687&lt;0,F687&gt;999999999,ROUND(F687,3)&lt;&gt;F687)),"Invalid last service",IF(AND(E687&lt;&gt;"",D687&lt;E687),"Decreased reading",IF(F687&gt;D687,"Last service above current","")))))))))))))</x:f>
      </x:c>
      <x:c r="L687" s="6" t="str">
        <x:f>IF(AND(NOT(COUNTA(A687:F687)=0),K687=""),INDEX('Rules'!$C$7:$C$26,MATCH(SUBSTITUTE(SUBSTITUTE(SUBSTITUTE(SUBSTITUTE("type:"&amp;B687,"%","%25"),"~","%7E"),"*","%2A"),"?","%3F"),'Rules'!$G$7:$G$26,0)),"")</x:f>
      </x:c>
      <x:c r="M687" s="6" t="str">
        <x:f>IF(AND(NOT(COUNTA(A687:F687)=0),K687=""),INDEX('Rules'!$D$7:$D$26,MATCH(SUBSTITUTE(SUBSTITUTE(SUBSTITUTE(SUBSTITUTE("type:"&amp;B687,"%","%25"),"~","%7E"),"*","%2A"),"?","%3F"),'Rules'!$G$7:$G$26,0)),"")</x:f>
      </x:c>
      <x:c r="N687" s="5" t="str">
        <x:f>IF(COUNTA(A687:F687)=0,"",SUBSTITUTE(SUBSTITUTE(SUBSTITUTE(SUBSTITUTE("id:"&amp;A687,"%","%25"),"~","%7E"),"*","%2A"),"?","%3F"))</x:f>
      </x:c>
    </x:row>
    <x:row r="688" ht="22" customHeight="1">
      <x:c r="A688" s="3"/>
      <x:c r="B688" s="3"/>
      <x:c r="C688" s="3"/>
      <x:c r="D688" s="4"/>
      <x:c r="E688" s="4"/>
      <x:c r="F688" s="4"/>
      <x:c r="G688" s="5" t="str">
        <x:f>IF(COUNTA(A688:F688)=0,"",IF(K688&lt;&gt;"","Review",IF(I688&lt;0,"Overdue",IF(I688=0,"Due now",IF(I688&lt;=M688,"Due soon","Not due")))))</x:f>
      </x:c>
      <x:c r="H688" s="5" t="str">
        <x:f>IF(OR(COUNTA(A688:F688)=0,COUNTIFS('Rules'!$G$7:$G$26,"="&amp;(SUBSTITUTE(SUBSTITUTE(SUBSTITUTE(SUBSTITUTE("type:"&amp;B688,"%","%25"),"~","%7E"),"*","%2A"),"?","%3F")))&lt;&gt;1),"",IF(OR(INDEX('Rules'!$B$7:$B$26,MATCH(SUBSTITUTE(SUBSTITUTE(SUBSTITUTE(SUBSTITUTE("type:"&amp;B688,"%","%25"),"~","%7E"),"*","%2A"),"?","%3F"),'Rules'!$G$7:$G$26,0))="hours",INDEX('Rules'!$B$7:$B$26,MATCH(SUBSTITUTE(SUBSTITUTE(SUBSTITUTE(SUBSTITUTE("type:"&amp;B688,"%","%25"),"~","%7E"),"*","%2A"),"?","%3F"),'Rules'!$G$7:$G$26,0))="km"),INDEX('Rules'!$B$7:$B$26,MATCH(SUBSTITUTE(SUBSTITUTE(SUBSTITUTE(SUBSTITUTE("type:"&amp;B688,"%","%25"),"~","%7E"),"*","%2A"),"?","%3F"),'Rules'!$G$7:$G$26,0)),""))</x:f>
      </x:c>
      <x:c r="I688" s="6" t="str">
        <x:f>IF(AND(NOT(COUNTA(A688:F688)=0),K688=""),ROUND(J688-D688,3),"")</x:f>
      </x:c>
      <x:c r="J688" s="6" t="str">
        <x:f>IF(AND(NOT(COUNTA(A688:F688)=0),K688=""),ROUND(F688+L688,3),"")</x:f>
      </x:c>
      <x:c r="K688" s="5" t="str">
        <x:f>IF(COUNTA(A688:F688)=0,"",IF(A688="","Missing equipment ID",IF(COUNTIFS($N$8:$N$2007,"="&amp;N688)&gt;1,"Duplicate equipment ID",IF(B688="","Missing type",IF(COUNTIFS('Rules'!$G$7:$G$26,"="&amp;(SUBSTITUTE(SUBSTITUTE(SUBSTITUTE(SUBSTITUTE("type:"&amp;B688,"%","%25"),"~","%7E"),"*","%2A"),"?","%3F")))=0,"Unknown type",IF(COUNTIFS('Rules'!$G$7:$G$26,"="&amp;(SUBSTITUTE(SUBSTITUTE(SUBSTITUTE(SUBSTITUTE("type:"&amp;B688,"%","%25"),"~","%7E"),"*","%2A"),"?","%3F")))&gt;1,"Duplicate type",IF(INDEX('Rules'!$F$7:$F$26,MATCH(SUBSTITUTE(SUBSTITUTE(SUBSTITUTE(SUBSTITUTE("type:"&amp;B688,"%","%25"),"~","%7E"),"*","%2A"),"?","%3F"),'Rules'!$G$7:$G$26,0))&lt;&gt;"",INDEX('Rules'!$F$7:$F$26,MATCH(SUBSTITUTE(SUBSTITUTE(SUBSTITUTE(SUBSTITUTE("type:"&amp;B688,"%","%25"),"~","%7E"),"*","%2A"),"?","%3F"),'Rules'!$G$7:$G$26,0)),IF(AND(C688&lt;&gt;"",C688&lt;&gt;INDEX('Rules'!$B$7:$B$26,MATCH(SUBSTITUTE(SUBSTITUTE(SUBSTITUTE(SUBSTITUTE("type:"&amp;B688,"%","%25"),"~","%7E"),"*","%2A"),"?","%3F"),'Rules'!$G$7:$G$26,0))),"Unit mismatch",IF(IF(NOT(ISNUMBER(D688)),TRUE,OR(D688&lt;0,D688&gt;999999999,ROUND(D688,3)&lt;&gt;D688)),"Invalid current reading",IF(AND(E688&lt;&gt;"",IF(NOT(ISNUMBER(E688)),TRUE,OR(E688&lt;0,E688&gt;999999999,ROUND(E688,3)&lt;&gt;E688))),"Invalid previous reading",IF(IF(NOT(ISNUMBER(F688)),TRUE,OR(F688&lt;0,F688&gt;999999999,ROUND(F688,3)&lt;&gt;F688)),"Invalid last service",IF(AND(E688&lt;&gt;"",D688&lt;E688),"Decreased reading",IF(F688&gt;D688,"Last service above current","")))))))))))))</x:f>
      </x:c>
      <x:c r="L688" s="6" t="str">
        <x:f>IF(AND(NOT(COUNTA(A688:F688)=0),K688=""),INDEX('Rules'!$C$7:$C$26,MATCH(SUBSTITUTE(SUBSTITUTE(SUBSTITUTE(SUBSTITUTE("type:"&amp;B688,"%","%25"),"~","%7E"),"*","%2A"),"?","%3F"),'Rules'!$G$7:$G$26,0)),"")</x:f>
      </x:c>
      <x:c r="M688" s="6" t="str">
        <x:f>IF(AND(NOT(COUNTA(A688:F688)=0),K688=""),INDEX('Rules'!$D$7:$D$26,MATCH(SUBSTITUTE(SUBSTITUTE(SUBSTITUTE(SUBSTITUTE("type:"&amp;B688,"%","%25"),"~","%7E"),"*","%2A"),"?","%3F"),'Rules'!$G$7:$G$26,0)),"")</x:f>
      </x:c>
      <x:c r="N688" s="5" t="str">
        <x:f>IF(COUNTA(A688:F688)=0,"",SUBSTITUTE(SUBSTITUTE(SUBSTITUTE(SUBSTITUTE("id:"&amp;A688,"%","%25"),"~","%7E"),"*","%2A"),"?","%3F"))</x:f>
      </x:c>
    </x:row>
    <x:row r="689" ht="22" customHeight="1">
      <x:c r="A689" s="3"/>
      <x:c r="B689" s="3"/>
      <x:c r="C689" s="3"/>
      <x:c r="D689" s="4"/>
      <x:c r="E689" s="4"/>
      <x:c r="F689" s="4"/>
      <x:c r="G689" s="5" t="str">
        <x:f>IF(COUNTA(A689:F689)=0,"",IF(K689&lt;&gt;"","Review",IF(I689&lt;0,"Overdue",IF(I689=0,"Due now",IF(I689&lt;=M689,"Due soon","Not due")))))</x:f>
      </x:c>
      <x:c r="H689" s="5" t="str">
        <x:f>IF(OR(COUNTA(A689:F689)=0,COUNTIFS('Rules'!$G$7:$G$26,"="&amp;(SUBSTITUTE(SUBSTITUTE(SUBSTITUTE(SUBSTITUTE("type:"&amp;B689,"%","%25"),"~","%7E"),"*","%2A"),"?","%3F")))&lt;&gt;1),"",IF(OR(INDEX('Rules'!$B$7:$B$26,MATCH(SUBSTITUTE(SUBSTITUTE(SUBSTITUTE(SUBSTITUTE("type:"&amp;B689,"%","%25"),"~","%7E"),"*","%2A"),"?","%3F"),'Rules'!$G$7:$G$26,0))="hours",INDEX('Rules'!$B$7:$B$26,MATCH(SUBSTITUTE(SUBSTITUTE(SUBSTITUTE(SUBSTITUTE("type:"&amp;B689,"%","%25"),"~","%7E"),"*","%2A"),"?","%3F"),'Rules'!$G$7:$G$26,0))="km"),INDEX('Rules'!$B$7:$B$26,MATCH(SUBSTITUTE(SUBSTITUTE(SUBSTITUTE(SUBSTITUTE("type:"&amp;B689,"%","%25"),"~","%7E"),"*","%2A"),"?","%3F"),'Rules'!$G$7:$G$26,0)),""))</x:f>
      </x:c>
      <x:c r="I689" s="6" t="str">
        <x:f>IF(AND(NOT(COUNTA(A689:F689)=0),K689=""),ROUND(J689-D689,3),"")</x:f>
      </x:c>
      <x:c r="J689" s="6" t="str">
        <x:f>IF(AND(NOT(COUNTA(A689:F689)=0),K689=""),ROUND(F689+L689,3),"")</x:f>
      </x:c>
      <x:c r="K689" s="5" t="str">
        <x:f>IF(COUNTA(A689:F689)=0,"",IF(A689="","Missing equipment ID",IF(COUNTIFS($N$8:$N$2007,"="&amp;N689)&gt;1,"Duplicate equipment ID",IF(B689="","Missing type",IF(COUNTIFS('Rules'!$G$7:$G$26,"="&amp;(SUBSTITUTE(SUBSTITUTE(SUBSTITUTE(SUBSTITUTE("type:"&amp;B689,"%","%25"),"~","%7E"),"*","%2A"),"?","%3F")))=0,"Unknown type",IF(COUNTIFS('Rules'!$G$7:$G$26,"="&amp;(SUBSTITUTE(SUBSTITUTE(SUBSTITUTE(SUBSTITUTE("type:"&amp;B689,"%","%25"),"~","%7E"),"*","%2A"),"?","%3F")))&gt;1,"Duplicate type",IF(INDEX('Rules'!$F$7:$F$26,MATCH(SUBSTITUTE(SUBSTITUTE(SUBSTITUTE(SUBSTITUTE("type:"&amp;B689,"%","%25"),"~","%7E"),"*","%2A"),"?","%3F"),'Rules'!$G$7:$G$26,0))&lt;&gt;"",INDEX('Rules'!$F$7:$F$26,MATCH(SUBSTITUTE(SUBSTITUTE(SUBSTITUTE(SUBSTITUTE("type:"&amp;B689,"%","%25"),"~","%7E"),"*","%2A"),"?","%3F"),'Rules'!$G$7:$G$26,0)),IF(AND(C689&lt;&gt;"",C689&lt;&gt;INDEX('Rules'!$B$7:$B$26,MATCH(SUBSTITUTE(SUBSTITUTE(SUBSTITUTE(SUBSTITUTE("type:"&amp;B689,"%","%25"),"~","%7E"),"*","%2A"),"?","%3F"),'Rules'!$G$7:$G$26,0))),"Unit mismatch",IF(IF(NOT(ISNUMBER(D689)),TRUE,OR(D689&lt;0,D689&gt;999999999,ROUND(D689,3)&lt;&gt;D689)),"Invalid current reading",IF(AND(E689&lt;&gt;"",IF(NOT(ISNUMBER(E689)),TRUE,OR(E689&lt;0,E689&gt;999999999,ROUND(E689,3)&lt;&gt;E689))),"Invalid previous reading",IF(IF(NOT(ISNUMBER(F689)),TRUE,OR(F689&lt;0,F689&gt;999999999,ROUND(F689,3)&lt;&gt;F689)),"Invalid last service",IF(AND(E689&lt;&gt;"",D689&lt;E689),"Decreased reading",IF(F689&gt;D689,"Last service above current","")))))))))))))</x:f>
      </x:c>
      <x:c r="L689" s="6" t="str">
        <x:f>IF(AND(NOT(COUNTA(A689:F689)=0),K689=""),INDEX('Rules'!$C$7:$C$26,MATCH(SUBSTITUTE(SUBSTITUTE(SUBSTITUTE(SUBSTITUTE("type:"&amp;B689,"%","%25"),"~","%7E"),"*","%2A"),"?","%3F"),'Rules'!$G$7:$G$26,0)),"")</x:f>
      </x:c>
      <x:c r="M689" s="6" t="str">
        <x:f>IF(AND(NOT(COUNTA(A689:F689)=0),K689=""),INDEX('Rules'!$D$7:$D$26,MATCH(SUBSTITUTE(SUBSTITUTE(SUBSTITUTE(SUBSTITUTE("type:"&amp;B689,"%","%25"),"~","%7E"),"*","%2A"),"?","%3F"),'Rules'!$G$7:$G$26,0)),"")</x:f>
      </x:c>
      <x:c r="N689" s="5" t="str">
        <x:f>IF(COUNTA(A689:F689)=0,"",SUBSTITUTE(SUBSTITUTE(SUBSTITUTE(SUBSTITUTE("id:"&amp;A689,"%","%25"),"~","%7E"),"*","%2A"),"?","%3F"))</x:f>
      </x:c>
    </x:row>
    <x:row r="690" ht="22" customHeight="1">
      <x:c r="A690" s="3"/>
      <x:c r="B690" s="3"/>
      <x:c r="C690" s="3"/>
      <x:c r="D690" s="4"/>
      <x:c r="E690" s="4"/>
      <x:c r="F690" s="4"/>
      <x:c r="G690" s="5" t="str">
        <x:f>IF(COUNTA(A690:F690)=0,"",IF(K690&lt;&gt;"","Review",IF(I690&lt;0,"Overdue",IF(I690=0,"Due now",IF(I690&lt;=M690,"Due soon","Not due")))))</x:f>
      </x:c>
      <x:c r="H690" s="5" t="str">
        <x:f>IF(OR(COUNTA(A690:F690)=0,COUNTIFS('Rules'!$G$7:$G$26,"="&amp;(SUBSTITUTE(SUBSTITUTE(SUBSTITUTE(SUBSTITUTE("type:"&amp;B690,"%","%25"),"~","%7E"),"*","%2A"),"?","%3F")))&lt;&gt;1),"",IF(OR(INDEX('Rules'!$B$7:$B$26,MATCH(SUBSTITUTE(SUBSTITUTE(SUBSTITUTE(SUBSTITUTE("type:"&amp;B690,"%","%25"),"~","%7E"),"*","%2A"),"?","%3F"),'Rules'!$G$7:$G$26,0))="hours",INDEX('Rules'!$B$7:$B$26,MATCH(SUBSTITUTE(SUBSTITUTE(SUBSTITUTE(SUBSTITUTE("type:"&amp;B690,"%","%25"),"~","%7E"),"*","%2A"),"?","%3F"),'Rules'!$G$7:$G$26,0))="km"),INDEX('Rules'!$B$7:$B$26,MATCH(SUBSTITUTE(SUBSTITUTE(SUBSTITUTE(SUBSTITUTE("type:"&amp;B690,"%","%25"),"~","%7E"),"*","%2A"),"?","%3F"),'Rules'!$G$7:$G$26,0)),""))</x:f>
      </x:c>
      <x:c r="I690" s="6" t="str">
        <x:f>IF(AND(NOT(COUNTA(A690:F690)=0),K690=""),ROUND(J690-D690,3),"")</x:f>
      </x:c>
      <x:c r="J690" s="6" t="str">
        <x:f>IF(AND(NOT(COUNTA(A690:F690)=0),K690=""),ROUND(F690+L690,3),"")</x:f>
      </x:c>
      <x:c r="K690" s="5" t="str">
        <x:f>IF(COUNTA(A690:F690)=0,"",IF(A690="","Missing equipment ID",IF(COUNTIFS($N$8:$N$2007,"="&amp;N690)&gt;1,"Duplicate equipment ID",IF(B690="","Missing type",IF(COUNTIFS('Rules'!$G$7:$G$26,"="&amp;(SUBSTITUTE(SUBSTITUTE(SUBSTITUTE(SUBSTITUTE("type:"&amp;B690,"%","%25"),"~","%7E"),"*","%2A"),"?","%3F")))=0,"Unknown type",IF(COUNTIFS('Rules'!$G$7:$G$26,"="&amp;(SUBSTITUTE(SUBSTITUTE(SUBSTITUTE(SUBSTITUTE("type:"&amp;B690,"%","%25"),"~","%7E"),"*","%2A"),"?","%3F")))&gt;1,"Duplicate type",IF(INDEX('Rules'!$F$7:$F$26,MATCH(SUBSTITUTE(SUBSTITUTE(SUBSTITUTE(SUBSTITUTE("type:"&amp;B690,"%","%25"),"~","%7E"),"*","%2A"),"?","%3F"),'Rules'!$G$7:$G$26,0))&lt;&gt;"",INDEX('Rules'!$F$7:$F$26,MATCH(SUBSTITUTE(SUBSTITUTE(SUBSTITUTE(SUBSTITUTE("type:"&amp;B690,"%","%25"),"~","%7E"),"*","%2A"),"?","%3F"),'Rules'!$G$7:$G$26,0)),IF(AND(C690&lt;&gt;"",C690&lt;&gt;INDEX('Rules'!$B$7:$B$26,MATCH(SUBSTITUTE(SUBSTITUTE(SUBSTITUTE(SUBSTITUTE("type:"&amp;B690,"%","%25"),"~","%7E"),"*","%2A"),"?","%3F"),'Rules'!$G$7:$G$26,0))),"Unit mismatch",IF(IF(NOT(ISNUMBER(D690)),TRUE,OR(D690&lt;0,D690&gt;999999999,ROUND(D690,3)&lt;&gt;D690)),"Invalid current reading",IF(AND(E690&lt;&gt;"",IF(NOT(ISNUMBER(E690)),TRUE,OR(E690&lt;0,E690&gt;999999999,ROUND(E690,3)&lt;&gt;E690))),"Invalid previous reading",IF(IF(NOT(ISNUMBER(F690)),TRUE,OR(F690&lt;0,F690&gt;999999999,ROUND(F690,3)&lt;&gt;F690)),"Invalid last service",IF(AND(E690&lt;&gt;"",D690&lt;E690),"Decreased reading",IF(F690&gt;D690,"Last service above current","")))))))))))))</x:f>
      </x:c>
      <x:c r="L690" s="6" t="str">
        <x:f>IF(AND(NOT(COUNTA(A690:F690)=0),K690=""),INDEX('Rules'!$C$7:$C$26,MATCH(SUBSTITUTE(SUBSTITUTE(SUBSTITUTE(SUBSTITUTE("type:"&amp;B690,"%","%25"),"~","%7E"),"*","%2A"),"?","%3F"),'Rules'!$G$7:$G$26,0)),"")</x:f>
      </x:c>
      <x:c r="M690" s="6" t="str">
        <x:f>IF(AND(NOT(COUNTA(A690:F690)=0),K690=""),INDEX('Rules'!$D$7:$D$26,MATCH(SUBSTITUTE(SUBSTITUTE(SUBSTITUTE(SUBSTITUTE("type:"&amp;B690,"%","%25"),"~","%7E"),"*","%2A"),"?","%3F"),'Rules'!$G$7:$G$26,0)),"")</x:f>
      </x:c>
      <x:c r="N690" s="5" t="str">
        <x:f>IF(COUNTA(A690:F690)=0,"",SUBSTITUTE(SUBSTITUTE(SUBSTITUTE(SUBSTITUTE("id:"&amp;A690,"%","%25"),"~","%7E"),"*","%2A"),"?","%3F"))</x:f>
      </x:c>
    </x:row>
    <x:row r="691" ht="22" customHeight="1">
      <x:c r="A691" s="3"/>
      <x:c r="B691" s="3"/>
      <x:c r="C691" s="3"/>
      <x:c r="D691" s="4"/>
      <x:c r="E691" s="4"/>
      <x:c r="F691" s="4"/>
      <x:c r="G691" s="5" t="str">
        <x:f>IF(COUNTA(A691:F691)=0,"",IF(K691&lt;&gt;"","Review",IF(I691&lt;0,"Overdue",IF(I691=0,"Due now",IF(I691&lt;=M691,"Due soon","Not due")))))</x:f>
      </x:c>
      <x:c r="H691" s="5" t="str">
        <x:f>IF(OR(COUNTA(A691:F691)=0,COUNTIFS('Rules'!$G$7:$G$26,"="&amp;(SUBSTITUTE(SUBSTITUTE(SUBSTITUTE(SUBSTITUTE("type:"&amp;B691,"%","%25"),"~","%7E"),"*","%2A"),"?","%3F")))&lt;&gt;1),"",IF(OR(INDEX('Rules'!$B$7:$B$26,MATCH(SUBSTITUTE(SUBSTITUTE(SUBSTITUTE(SUBSTITUTE("type:"&amp;B691,"%","%25"),"~","%7E"),"*","%2A"),"?","%3F"),'Rules'!$G$7:$G$26,0))="hours",INDEX('Rules'!$B$7:$B$26,MATCH(SUBSTITUTE(SUBSTITUTE(SUBSTITUTE(SUBSTITUTE("type:"&amp;B691,"%","%25"),"~","%7E"),"*","%2A"),"?","%3F"),'Rules'!$G$7:$G$26,0))="km"),INDEX('Rules'!$B$7:$B$26,MATCH(SUBSTITUTE(SUBSTITUTE(SUBSTITUTE(SUBSTITUTE("type:"&amp;B691,"%","%25"),"~","%7E"),"*","%2A"),"?","%3F"),'Rules'!$G$7:$G$26,0)),""))</x:f>
      </x:c>
      <x:c r="I691" s="6" t="str">
        <x:f>IF(AND(NOT(COUNTA(A691:F691)=0),K691=""),ROUND(J691-D691,3),"")</x:f>
      </x:c>
      <x:c r="J691" s="6" t="str">
        <x:f>IF(AND(NOT(COUNTA(A691:F691)=0),K691=""),ROUND(F691+L691,3),"")</x:f>
      </x:c>
      <x:c r="K691" s="5" t="str">
        <x:f>IF(COUNTA(A691:F691)=0,"",IF(A691="","Missing equipment ID",IF(COUNTIFS($N$8:$N$2007,"="&amp;N691)&gt;1,"Duplicate equipment ID",IF(B691="","Missing type",IF(COUNTIFS('Rules'!$G$7:$G$26,"="&amp;(SUBSTITUTE(SUBSTITUTE(SUBSTITUTE(SUBSTITUTE("type:"&amp;B691,"%","%25"),"~","%7E"),"*","%2A"),"?","%3F")))=0,"Unknown type",IF(COUNTIFS('Rules'!$G$7:$G$26,"="&amp;(SUBSTITUTE(SUBSTITUTE(SUBSTITUTE(SUBSTITUTE("type:"&amp;B691,"%","%25"),"~","%7E"),"*","%2A"),"?","%3F")))&gt;1,"Duplicate type",IF(INDEX('Rules'!$F$7:$F$26,MATCH(SUBSTITUTE(SUBSTITUTE(SUBSTITUTE(SUBSTITUTE("type:"&amp;B691,"%","%25"),"~","%7E"),"*","%2A"),"?","%3F"),'Rules'!$G$7:$G$26,0))&lt;&gt;"",INDEX('Rules'!$F$7:$F$26,MATCH(SUBSTITUTE(SUBSTITUTE(SUBSTITUTE(SUBSTITUTE("type:"&amp;B691,"%","%25"),"~","%7E"),"*","%2A"),"?","%3F"),'Rules'!$G$7:$G$26,0)),IF(AND(C691&lt;&gt;"",C691&lt;&gt;INDEX('Rules'!$B$7:$B$26,MATCH(SUBSTITUTE(SUBSTITUTE(SUBSTITUTE(SUBSTITUTE("type:"&amp;B691,"%","%25"),"~","%7E"),"*","%2A"),"?","%3F"),'Rules'!$G$7:$G$26,0))),"Unit mismatch",IF(IF(NOT(ISNUMBER(D691)),TRUE,OR(D691&lt;0,D691&gt;999999999,ROUND(D691,3)&lt;&gt;D691)),"Invalid current reading",IF(AND(E691&lt;&gt;"",IF(NOT(ISNUMBER(E691)),TRUE,OR(E691&lt;0,E691&gt;999999999,ROUND(E691,3)&lt;&gt;E691))),"Invalid previous reading",IF(IF(NOT(ISNUMBER(F691)),TRUE,OR(F691&lt;0,F691&gt;999999999,ROUND(F691,3)&lt;&gt;F691)),"Invalid last service",IF(AND(E691&lt;&gt;"",D691&lt;E691),"Decreased reading",IF(F691&gt;D691,"Last service above current","")))))))))))))</x:f>
      </x:c>
      <x:c r="L691" s="6" t="str">
        <x:f>IF(AND(NOT(COUNTA(A691:F691)=0),K691=""),INDEX('Rules'!$C$7:$C$26,MATCH(SUBSTITUTE(SUBSTITUTE(SUBSTITUTE(SUBSTITUTE("type:"&amp;B691,"%","%25"),"~","%7E"),"*","%2A"),"?","%3F"),'Rules'!$G$7:$G$26,0)),"")</x:f>
      </x:c>
      <x:c r="M691" s="6" t="str">
        <x:f>IF(AND(NOT(COUNTA(A691:F691)=0),K691=""),INDEX('Rules'!$D$7:$D$26,MATCH(SUBSTITUTE(SUBSTITUTE(SUBSTITUTE(SUBSTITUTE("type:"&amp;B691,"%","%25"),"~","%7E"),"*","%2A"),"?","%3F"),'Rules'!$G$7:$G$26,0)),"")</x:f>
      </x:c>
      <x:c r="N691" s="5" t="str">
        <x:f>IF(COUNTA(A691:F691)=0,"",SUBSTITUTE(SUBSTITUTE(SUBSTITUTE(SUBSTITUTE("id:"&amp;A691,"%","%25"),"~","%7E"),"*","%2A"),"?","%3F"))</x:f>
      </x:c>
    </x:row>
    <x:row r="692" ht="22" customHeight="1">
      <x:c r="A692" s="3"/>
      <x:c r="B692" s="3"/>
      <x:c r="C692" s="3"/>
      <x:c r="D692" s="4"/>
      <x:c r="E692" s="4"/>
      <x:c r="F692" s="4"/>
      <x:c r="G692" s="5" t="str">
        <x:f>IF(COUNTA(A692:F692)=0,"",IF(K692&lt;&gt;"","Review",IF(I692&lt;0,"Overdue",IF(I692=0,"Due now",IF(I692&lt;=M692,"Due soon","Not due")))))</x:f>
      </x:c>
      <x:c r="H692" s="5" t="str">
        <x:f>IF(OR(COUNTA(A692:F692)=0,COUNTIFS('Rules'!$G$7:$G$26,"="&amp;(SUBSTITUTE(SUBSTITUTE(SUBSTITUTE(SUBSTITUTE("type:"&amp;B692,"%","%25"),"~","%7E"),"*","%2A"),"?","%3F")))&lt;&gt;1),"",IF(OR(INDEX('Rules'!$B$7:$B$26,MATCH(SUBSTITUTE(SUBSTITUTE(SUBSTITUTE(SUBSTITUTE("type:"&amp;B692,"%","%25"),"~","%7E"),"*","%2A"),"?","%3F"),'Rules'!$G$7:$G$26,0))="hours",INDEX('Rules'!$B$7:$B$26,MATCH(SUBSTITUTE(SUBSTITUTE(SUBSTITUTE(SUBSTITUTE("type:"&amp;B692,"%","%25"),"~","%7E"),"*","%2A"),"?","%3F"),'Rules'!$G$7:$G$26,0))="km"),INDEX('Rules'!$B$7:$B$26,MATCH(SUBSTITUTE(SUBSTITUTE(SUBSTITUTE(SUBSTITUTE("type:"&amp;B692,"%","%25"),"~","%7E"),"*","%2A"),"?","%3F"),'Rules'!$G$7:$G$26,0)),""))</x:f>
      </x:c>
      <x:c r="I692" s="6" t="str">
        <x:f>IF(AND(NOT(COUNTA(A692:F692)=0),K692=""),ROUND(J692-D692,3),"")</x:f>
      </x:c>
      <x:c r="J692" s="6" t="str">
        <x:f>IF(AND(NOT(COUNTA(A692:F692)=0),K692=""),ROUND(F692+L692,3),"")</x:f>
      </x:c>
      <x:c r="K692" s="5" t="str">
        <x:f>IF(COUNTA(A692:F692)=0,"",IF(A692="","Missing equipment ID",IF(COUNTIFS($N$8:$N$2007,"="&amp;N692)&gt;1,"Duplicate equipment ID",IF(B692="","Missing type",IF(COUNTIFS('Rules'!$G$7:$G$26,"="&amp;(SUBSTITUTE(SUBSTITUTE(SUBSTITUTE(SUBSTITUTE("type:"&amp;B692,"%","%25"),"~","%7E"),"*","%2A"),"?","%3F")))=0,"Unknown type",IF(COUNTIFS('Rules'!$G$7:$G$26,"="&amp;(SUBSTITUTE(SUBSTITUTE(SUBSTITUTE(SUBSTITUTE("type:"&amp;B692,"%","%25"),"~","%7E"),"*","%2A"),"?","%3F")))&gt;1,"Duplicate type",IF(INDEX('Rules'!$F$7:$F$26,MATCH(SUBSTITUTE(SUBSTITUTE(SUBSTITUTE(SUBSTITUTE("type:"&amp;B692,"%","%25"),"~","%7E"),"*","%2A"),"?","%3F"),'Rules'!$G$7:$G$26,0))&lt;&gt;"",INDEX('Rules'!$F$7:$F$26,MATCH(SUBSTITUTE(SUBSTITUTE(SUBSTITUTE(SUBSTITUTE("type:"&amp;B692,"%","%25"),"~","%7E"),"*","%2A"),"?","%3F"),'Rules'!$G$7:$G$26,0)),IF(AND(C692&lt;&gt;"",C692&lt;&gt;INDEX('Rules'!$B$7:$B$26,MATCH(SUBSTITUTE(SUBSTITUTE(SUBSTITUTE(SUBSTITUTE("type:"&amp;B692,"%","%25"),"~","%7E"),"*","%2A"),"?","%3F"),'Rules'!$G$7:$G$26,0))),"Unit mismatch",IF(IF(NOT(ISNUMBER(D692)),TRUE,OR(D692&lt;0,D692&gt;999999999,ROUND(D692,3)&lt;&gt;D692)),"Invalid current reading",IF(AND(E692&lt;&gt;"",IF(NOT(ISNUMBER(E692)),TRUE,OR(E692&lt;0,E692&gt;999999999,ROUND(E692,3)&lt;&gt;E692))),"Invalid previous reading",IF(IF(NOT(ISNUMBER(F692)),TRUE,OR(F692&lt;0,F692&gt;999999999,ROUND(F692,3)&lt;&gt;F692)),"Invalid last service",IF(AND(E692&lt;&gt;"",D692&lt;E692),"Decreased reading",IF(F692&gt;D692,"Last service above current","")))))))))))))</x:f>
      </x:c>
      <x:c r="L692" s="6" t="str">
        <x:f>IF(AND(NOT(COUNTA(A692:F692)=0),K692=""),INDEX('Rules'!$C$7:$C$26,MATCH(SUBSTITUTE(SUBSTITUTE(SUBSTITUTE(SUBSTITUTE("type:"&amp;B692,"%","%25"),"~","%7E"),"*","%2A"),"?","%3F"),'Rules'!$G$7:$G$26,0)),"")</x:f>
      </x:c>
      <x:c r="M692" s="6" t="str">
        <x:f>IF(AND(NOT(COUNTA(A692:F692)=0),K692=""),INDEX('Rules'!$D$7:$D$26,MATCH(SUBSTITUTE(SUBSTITUTE(SUBSTITUTE(SUBSTITUTE("type:"&amp;B692,"%","%25"),"~","%7E"),"*","%2A"),"?","%3F"),'Rules'!$G$7:$G$26,0)),"")</x:f>
      </x:c>
      <x:c r="N692" s="5" t="str">
        <x:f>IF(COUNTA(A692:F692)=0,"",SUBSTITUTE(SUBSTITUTE(SUBSTITUTE(SUBSTITUTE("id:"&amp;A692,"%","%25"),"~","%7E"),"*","%2A"),"?","%3F"))</x:f>
      </x:c>
    </x:row>
    <x:row r="693" ht="22" customHeight="1">
      <x:c r="A693" s="3"/>
      <x:c r="B693" s="3"/>
      <x:c r="C693" s="3"/>
      <x:c r="D693" s="4"/>
      <x:c r="E693" s="4"/>
      <x:c r="F693" s="4"/>
      <x:c r="G693" s="5" t="str">
        <x:f>IF(COUNTA(A693:F693)=0,"",IF(K693&lt;&gt;"","Review",IF(I693&lt;0,"Overdue",IF(I693=0,"Due now",IF(I693&lt;=M693,"Due soon","Not due")))))</x:f>
      </x:c>
      <x:c r="H693" s="5" t="str">
        <x:f>IF(OR(COUNTA(A693:F693)=0,COUNTIFS('Rules'!$G$7:$G$26,"="&amp;(SUBSTITUTE(SUBSTITUTE(SUBSTITUTE(SUBSTITUTE("type:"&amp;B693,"%","%25"),"~","%7E"),"*","%2A"),"?","%3F")))&lt;&gt;1),"",IF(OR(INDEX('Rules'!$B$7:$B$26,MATCH(SUBSTITUTE(SUBSTITUTE(SUBSTITUTE(SUBSTITUTE("type:"&amp;B693,"%","%25"),"~","%7E"),"*","%2A"),"?","%3F"),'Rules'!$G$7:$G$26,0))="hours",INDEX('Rules'!$B$7:$B$26,MATCH(SUBSTITUTE(SUBSTITUTE(SUBSTITUTE(SUBSTITUTE("type:"&amp;B693,"%","%25"),"~","%7E"),"*","%2A"),"?","%3F"),'Rules'!$G$7:$G$26,0))="km"),INDEX('Rules'!$B$7:$B$26,MATCH(SUBSTITUTE(SUBSTITUTE(SUBSTITUTE(SUBSTITUTE("type:"&amp;B693,"%","%25"),"~","%7E"),"*","%2A"),"?","%3F"),'Rules'!$G$7:$G$26,0)),""))</x:f>
      </x:c>
      <x:c r="I693" s="6" t="str">
        <x:f>IF(AND(NOT(COUNTA(A693:F693)=0),K693=""),ROUND(J693-D693,3),"")</x:f>
      </x:c>
      <x:c r="J693" s="6" t="str">
        <x:f>IF(AND(NOT(COUNTA(A693:F693)=0),K693=""),ROUND(F693+L693,3),"")</x:f>
      </x:c>
      <x:c r="K693" s="5" t="str">
        <x:f>IF(COUNTA(A693:F693)=0,"",IF(A693="","Missing equipment ID",IF(COUNTIFS($N$8:$N$2007,"="&amp;N693)&gt;1,"Duplicate equipment ID",IF(B693="","Missing type",IF(COUNTIFS('Rules'!$G$7:$G$26,"="&amp;(SUBSTITUTE(SUBSTITUTE(SUBSTITUTE(SUBSTITUTE("type:"&amp;B693,"%","%25"),"~","%7E"),"*","%2A"),"?","%3F")))=0,"Unknown type",IF(COUNTIFS('Rules'!$G$7:$G$26,"="&amp;(SUBSTITUTE(SUBSTITUTE(SUBSTITUTE(SUBSTITUTE("type:"&amp;B693,"%","%25"),"~","%7E"),"*","%2A"),"?","%3F")))&gt;1,"Duplicate type",IF(INDEX('Rules'!$F$7:$F$26,MATCH(SUBSTITUTE(SUBSTITUTE(SUBSTITUTE(SUBSTITUTE("type:"&amp;B693,"%","%25"),"~","%7E"),"*","%2A"),"?","%3F"),'Rules'!$G$7:$G$26,0))&lt;&gt;"",INDEX('Rules'!$F$7:$F$26,MATCH(SUBSTITUTE(SUBSTITUTE(SUBSTITUTE(SUBSTITUTE("type:"&amp;B693,"%","%25"),"~","%7E"),"*","%2A"),"?","%3F"),'Rules'!$G$7:$G$26,0)),IF(AND(C693&lt;&gt;"",C693&lt;&gt;INDEX('Rules'!$B$7:$B$26,MATCH(SUBSTITUTE(SUBSTITUTE(SUBSTITUTE(SUBSTITUTE("type:"&amp;B693,"%","%25"),"~","%7E"),"*","%2A"),"?","%3F"),'Rules'!$G$7:$G$26,0))),"Unit mismatch",IF(IF(NOT(ISNUMBER(D693)),TRUE,OR(D693&lt;0,D693&gt;999999999,ROUND(D693,3)&lt;&gt;D693)),"Invalid current reading",IF(AND(E693&lt;&gt;"",IF(NOT(ISNUMBER(E693)),TRUE,OR(E693&lt;0,E693&gt;999999999,ROUND(E693,3)&lt;&gt;E693))),"Invalid previous reading",IF(IF(NOT(ISNUMBER(F693)),TRUE,OR(F693&lt;0,F693&gt;999999999,ROUND(F693,3)&lt;&gt;F693)),"Invalid last service",IF(AND(E693&lt;&gt;"",D693&lt;E693),"Decreased reading",IF(F693&gt;D693,"Last service above current","")))))))))))))</x:f>
      </x:c>
      <x:c r="L693" s="6" t="str">
        <x:f>IF(AND(NOT(COUNTA(A693:F693)=0),K693=""),INDEX('Rules'!$C$7:$C$26,MATCH(SUBSTITUTE(SUBSTITUTE(SUBSTITUTE(SUBSTITUTE("type:"&amp;B693,"%","%25"),"~","%7E"),"*","%2A"),"?","%3F"),'Rules'!$G$7:$G$26,0)),"")</x:f>
      </x:c>
      <x:c r="M693" s="6" t="str">
        <x:f>IF(AND(NOT(COUNTA(A693:F693)=0),K693=""),INDEX('Rules'!$D$7:$D$26,MATCH(SUBSTITUTE(SUBSTITUTE(SUBSTITUTE(SUBSTITUTE("type:"&amp;B693,"%","%25"),"~","%7E"),"*","%2A"),"?","%3F"),'Rules'!$G$7:$G$26,0)),"")</x:f>
      </x:c>
      <x:c r="N693" s="5" t="str">
        <x:f>IF(COUNTA(A693:F693)=0,"",SUBSTITUTE(SUBSTITUTE(SUBSTITUTE(SUBSTITUTE("id:"&amp;A693,"%","%25"),"~","%7E"),"*","%2A"),"?","%3F"))</x:f>
      </x:c>
    </x:row>
    <x:row r="694" ht="22" customHeight="1">
      <x:c r="A694" s="3"/>
      <x:c r="B694" s="3"/>
      <x:c r="C694" s="3"/>
      <x:c r="D694" s="4"/>
      <x:c r="E694" s="4"/>
      <x:c r="F694" s="4"/>
      <x:c r="G694" s="5" t="str">
        <x:f>IF(COUNTA(A694:F694)=0,"",IF(K694&lt;&gt;"","Review",IF(I694&lt;0,"Overdue",IF(I694=0,"Due now",IF(I694&lt;=M694,"Due soon","Not due")))))</x:f>
      </x:c>
      <x:c r="H694" s="5" t="str">
        <x:f>IF(OR(COUNTA(A694:F694)=0,COUNTIFS('Rules'!$G$7:$G$26,"="&amp;(SUBSTITUTE(SUBSTITUTE(SUBSTITUTE(SUBSTITUTE("type:"&amp;B694,"%","%25"),"~","%7E"),"*","%2A"),"?","%3F")))&lt;&gt;1),"",IF(OR(INDEX('Rules'!$B$7:$B$26,MATCH(SUBSTITUTE(SUBSTITUTE(SUBSTITUTE(SUBSTITUTE("type:"&amp;B694,"%","%25"),"~","%7E"),"*","%2A"),"?","%3F"),'Rules'!$G$7:$G$26,0))="hours",INDEX('Rules'!$B$7:$B$26,MATCH(SUBSTITUTE(SUBSTITUTE(SUBSTITUTE(SUBSTITUTE("type:"&amp;B694,"%","%25"),"~","%7E"),"*","%2A"),"?","%3F"),'Rules'!$G$7:$G$26,0))="km"),INDEX('Rules'!$B$7:$B$26,MATCH(SUBSTITUTE(SUBSTITUTE(SUBSTITUTE(SUBSTITUTE("type:"&amp;B694,"%","%25"),"~","%7E"),"*","%2A"),"?","%3F"),'Rules'!$G$7:$G$26,0)),""))</x:f>
      </x:c>
      <x:c r="I694" s="6" t="str">
        <x:f>IF(AND(NOT(COUNTA(A694:F694)=0),K694=""),ROUND(J694-D694,3),"")</x:f>
      </x:c>
      <x:c r="J694" s="6" t="str">
        <x:f>IF(AND(NOT(COUNTA(A694:F694)=0),K694=""),ROUND(F694+L694,3),"")</x:f>
      </x:c>
      <x:c r="K694" s="5" t="str">
        <x:f>IF(COUNTA(A694:F694)=0,"",IF(A694="","Missing equipment ID",IF(COUNTIFS($N$8:$N$2007,"="&amp;N694)&gt;1,"Duplicate equipment ID",IF(B694="","Missing type",IF(COUNTIFS('Rules'!$G$7:$G$26,"="&amp;(SUBSTITUTE(SUBSTITUTE(SUBSTITUTE(SUBSTITUTE("type:"&amp;B694,"%","%25"),"~","%7E"),"*","%2A"),"?","%3F")))=0,"Unknown type",IF(COUNTIFS('Rules'!$G$7:$G$26,"="&amp;(SUBSTITUTE(SUBSTITUTE(SUBSTITUTE(SUBSTITUTE("type:"&amp;B694,"%","%25"),"~","%7E"),"*","%2A"),"?","%3F")))&gt;1,"Duplicate type",IF(INDEX('Rules'!$F$7:$F$26,MATCH(SUBSTITUTE(SUBSTITUTE(SUBSTITUTE(SUBSTITUTE("type:"&amp;B694,"%","%25"),"~","%7E"),"*","%2A"),"?","%3F"),'Rules'!$G$7:$G$26,0))&lt;&gt;"",INDEX('Rules'!$F$7:$F$26,MATCH(SUBSTITUTE(SUBSTITUTE(SUBSTITUTE(SUBSTITUTE("type:"&amp;B694,"%","%25"),"~","%7E"),"*","%2A"),"?","%3F"),'Rules'!$G$7:$G$26,0)),IF(AND(C694&lt;&gt;"",C694&lt;&gt;INDEX('Rules'!$B$7:$B$26,MATCH(SUBSTITUTE(SUBSTITUTE(SUBSTITUTE(SUBSTITUTE("type:"&amp;B694,"%","%25"),"~","%7E"),"*","%2A"),"?","%3F"),'Rules'!$G$7:$G$26,0))),"Unit mismatch",IF(IF(NOT(ISNUMBER(D694)),TRUE,OR(D694&lt;0,D694&gt;999999999,ROUND(D694,3)&lt;&gt;D694)),"Invalid current reading",IF(AND(E694&lt;&gt;"",IF(NOT(ISNUMBER(E694)),TRUE,OR(E694&lt;0,E694&gt;999999999,ROUND(E694,3)&lt;&gt;E694))),"Invalid previous reading",IF(IF(NOT(ISNUMBER(F694)),TRUE,OR(F694&lt;0,F694&gt;999999999,ROUND(F694,3)&lt;&gt;F694)),"Invalid last service",IF(AND(E694&lt;&gt;"",D694&lt;E694),"Decreased reading",IF(F694&gt;D694,"Last service above current","")))))))))))))</x:f>
      </x:c>
      <x:c r="L694" s="6" t="str">
        <x:f>IF(AND(NOT(COUNTA(A694:F694)=0),K694=""),INDEX('Rules'!$C$7:$C$26,MATCH(SUBSTITUTE(SUBSTITUTE(SUBSTITUTE(SUBSTITUTE("type:"&amp;B694,"%","%25"),"~","%7E"),"*","%2A"),"?","%3F"),'Rules'!$G$7:$G$26,0)),"")</x:f>
      </x:c>
      <x:c r="M694" s="6" t="str">
        <x:f>IF(AND(NOT(COUNTA(A694:F694)=0),K694=""),INDEX('Rules'!$D$7:$D$26,MATCH(SUBSTITUTE(SUBSTITUTE(SUBSTITUTE(SUBSTITUTE("type:"&amp;B694,"%","%25"),"~","%7E"),"*","%2A"),"?","%3F"),'Rules'!$G$7:$G$26,0)),"")</x:f>
      </x:c>
      <x:c r="N694" s="5" t="str">
        <x:f>IF(COUNTA(A694:F694)=0,"",SUBSTITUTE(SUBSTITUTE(SUBSTITUTE(SUBSTITUTE("id:"&amp;A694,"%","%25"),"~","%7E"),"*","%2A"),"?","%3F"))</x:f>
      </x:c>
    </x:row>
    <x:row r="695" ht="22" customHeight="1">
      <x:c r="A695" s="3"/>
      <x:c r="B695" s="3"/>
      <x:c r="C695" s="3"/>
      <x:c r="D695" s="4"/>
      <x:c r="E695" s="4"/>
      <x:c r="F695" s="4"/>
      <x:c r="G695" s="5" t="str">
        <x:f>IF(COUNTA(A695:F695)=0,"",IF(K695&lt;&gt;"","Review",IF(I695&lt;0,"Overdue",IF(I695=0,"Due now",IF(I695&lt;=M695,"Due soon","Not due")))))</x:f>
      </x:c>
      <x:c r="H695" s="5" t="str">
        <x:f>IF(OR(COUNTA(A695:F695)=0,COUNTIFS('Rules'!$G$7:$G$26,"="&amp;(SUBSTITUTE(SUBSTITUTE(SUBSTITUTE(SUBSTITUTE("type:"&amp;B695,"%","%25"),"~","%7E"),"*","%2A"),"?","%3F")))&lt;&gt;1),"",IF(OR(INDEX('Rules'!$B$7:$B$26,MATCH(SUBSTITUTE(SUBSTITUTE(SUBSTITUTE(SUBSTITUTE("type:"&amp;B695,"%","%25"),"~","%7E"),"*","%2A"),"?","%3F"),'Rules'!$G$7:$G$26,0))="hours",INDEX('Rules'!$B$7:$B$26,MATCH(SUBSTITUTE(SUBSTITUTE(SUBSTITUTE(SUBSTITUTE("type:"&amp;B695,"%","%25"),"~","%7E"),"*","%2A"),"?","%3F"),'Rules'!$G$7:$G$26,0))="km"),INDEX('Rules'!$B$7:$B$26,MATCH(SUBSTITUTE(SUBSTITUTE(SUBSTITUTE(SUBSTITUTE("type:"&amp;B695,"%","%25"),"~","%7E"),"*","%2A"),"?","%3F"),'Rules'!$G$7:$G$26,0)),""))</x:f>
      </x:c>
      <x:c r="I695" s="6" t="str">
        <x:f>IF(AND(NOT(COUNTA(A695:F695)=0),K695=""),ROUND(J695-D695,3),"")</x:f>
      </x:c>
      <x:c r="J695" s="6" t="str">
        <x:f>IF(AND(NOT(COUNTA(A695:F695)=0),K695=""),ROUND(F695+L695,3),"")</x:f>
      </x:c>
      <x:c r="K695" s="5" t="str">
        <x:f>IF(COUNTA(A695:F695)=0,"",IF(A695="","Missing equipment ID",IF(COUNTIFS($N$8:$N$2007,"="&amp;N695)&gt;1,"Duplicate equipment ID",IF(B695="","Missing type",IF(COUNTIFS('Rules'!$G$7:$G$26,"="&amp;(SUBSTITUTE(SUBSTITUTE(SUBSTITUTE(SUBSTITUTE("type:"&amp;B695,"%","%25"),"~","%7E"),"*","%2A"),"?","%3F")))=0,"Unknown type",IF(COUNTIFS('Rules'!$G$7:$G$26,"="&amp;(SUBSTITUTE(SUBSTITUTE(SUBSTITUTE(SUBSTITUTE("type:"&amp;B695,"%","%25"),"~","%7E"),"*","%2A"),"?","%3F")))&gt;1,"Duplicate type",IF(INDEX('Rules'!$F$7:$F$26,MATCH(SUBSTITUTE(SUBSTITUTE(SUBSTITUTE(SUBSTITUTE("type:"&amp;B695,"%","%25"),"~","%7E"),"*","%2A"),"?","%3F"),'Rules'!$G$7:$G$26,0))&lt;&gt;"",INDEX('Rules'!$F$7:$F$26,MATCH(SUBSTITUTE(SUBSTITUTE(SUBSTITUTE(SUBSTITUTE("type:"&amp;B695,"%","%25"),"~","%7E"),"*","%2A"),"?","%3F"),'Rules'!$G$7:$G$26,0)),IF(AND(C695&lt;&gt;"",C695&lt;&gt;INDEX('Rules'!$B$7:$B$26,MATCH(SUBSTITUTE(SUBSTITUTE(SUBSTITUTE(SUBSTITUTE("type:"&amp;B695,"%","%25"),"~","%7E"),"*","%2A"),"?","%3F"),'Rules'!$G$7:$G$26,0))),"Unit mismatch",IF(IF(NOT(ISNUMBER(D695)),TRUE,OR(D695&lt;0,D695&gt;999999999,ROUND(D695,3)&lt;&gt;D695)),"Invalid current reading",IF(AND(E695&lt;&gt;"",IF(NOT(ISNUMBER(E695)),TRUE,OR(E695&lt;0,E695&gt;999999999,ROUND(E695,3)&lt;&gt;E695))),"Invalid previous reading",IF(IF(NOT(ISNUMBER(F695)),TRUE,OR(F695&lt;0,F695&gt;999999999,ROUND(F695,3)&lt;&gt;F695)),"Invalid last service",IF(AND(E695&lt;&gt;"",D695&lt;E695),"Decreased reading",IF(F695&gt;D695,"Last service above current","")))))))))))))</x:f>
      </x:c>
      <x:c r="L695" s="6" t="str">
        <x:f>IF(AND(NOT(COUNTA(A695:F695)=0),K695=""),INDEX('Rules'!$C$7:$C$26,MATCH(SUBSTITUTE(SUBSTITUTE(SUBSTITUTE(SUBSTITUTE("type:"&amp;B695,"%","%25"),"~","%7E"),"*","%2A"),"?","%3F"),'Rules'!$G$7:$G$26,0)),"")</x:f>
      </x:c>
      <x:c r="M695" s="6" t="str">
        <x:f>IF(AND(NOT(COUNTA(A695:F695)=0),K695=""),INDEX('Rules'!$D$7:$D$26,MATCH(SUBSTITUTE(SUBSTITUTE(SUBSTITUTE(SUBSTITUTE("type:"&amp;B695,"%","%25"),"~","%7E"),"*","%2A"),"?","%3F"),'Rules'!$G$7:$G$26,0)),"")</x:f>
      </x:c>
      <x:c r="N695" s="5" t="str">
        <x:f>IF(COUNTA(A695:F695)=0,"",SUBSTITUTE(SUBSTITUTE(SUBSTITUTE(SUBSTITUTE("id:"&amp;A695,"%","%25"),"~","%7E"),"*","%2A"),"?","%3F"))</x:f>
      </x:c>
    </x:row>
    <x:row r="696" ht="22" customHeight="1">
      <x:c r="A696" s="3"/>
      <x:c r="B696" s="3"/>
      <x:c r="C696" s="3"/>
      <x:c r="D696" s="4"/>
      <x:c r="E696" s="4"/>
      <x:c r="F696" s="4"/>
      <x:c r="G696" s="5" t="str">
        <x:f>IF(COUNTA(A696:F696)=0,"",IF(K696&lt;&gt;"","Review",IF(I696&lt;0,"Overdue",IF(I696=0,"Due now",IF(I696&lt;=M696,"Due soon","Not due")))))</x:f>
      </x:c>
      <x:c r="H696" s="5" t="str">
        <x:f>IF(OR(COUNTA(A696:F696)=0,COUNTIFS('Rules'!$G$7:$G$26,"="&amp;(SUBSTITUTE(SUBSTITUTE(SUBSTITUTE(SUBSTITUTE("type:"&amp;B696,"%","%25"),"~","%7E"),"*","%2A"),"?","%3F")))&lt;&gt;1),"",IF(OR(INDEX('Rules'!$B$7:$B$26,MATCH(SUBSTITUTE(SUBSTITUTE(SUBSTITUTE(SUBSTITUTE("type:"&amp;B696,"%","%25"),"~","%7E"),"*","%2A"),"?","%3F"),'Rules'!$G$7:$G$26,0))="hours",INDEX('Rules'!$B$7:$B$26,MATCH(SUBSTITUTE(SUBSTITUTE(SUBSTITUTE(SUBSTITUTE("type:"&amp;B696,"%","%25"),"~","%7E"),"*","%2A"),"?","%3F"),'Rules'!$G$7:$G$26,0))="km"),INDEX('Rules'!$B$7:$B$26,MATCH(SUBSTITUTE(SUBSTITUTE(SUBSTITUTE(SUBSTITUTE("type:"&amp;B696,"%","%25"),"~","%7E"),"*","%2A"),"?","%3F"),'Rules'!$G$7:$G$26,0)),""))</x:f>
      </x:c>
      <x:c r="I696" s="6" t="str">
        <x:f>IF(AND(NOT(COUNTA(A696:F696)=0),K696=""),ROUND(J696-D696,3),"")</x:f>
      </x:c>
      <x:c r="J696" s="6" t="str">
        <x:f>IF(AND(NOT(COUNTA(A696:F696)=0),K696=""),ROUND(F696+L696,3),"")</x:f>
      </x:c>
      <x:c r="K696" s="5" t="str">
        <x:f>IF(COUNTA(A696:F696)=0,"",IF(A696="","Missing equipment ID",IF(COUNTIFS($N$8:$N$2007,"="&amp;N696)&gt;1,"Duplicate equipment ID",IF(B696="","Missing type",IF(COUNTIFS('Rules'!$G$7:$G$26,"="&amp;(SUBSTITUTE(SUBSTITUTE(SUBSTITUTE(SUBSTITUTE("type:"&amp;B696,"%","%25"),"~","%7E"),"*","%2A"),"?","%3F")))=0,"Unknown type",IF(COUNTIFS('Rules'!$G$7:$G$26,"="&amp;(SUBSTITUTE(SUBSTITUTE(SUBSTITUTE(SUBSTITUTE("type:"&amp;B696,"%","%25"),"~","%7E"),"*","%2A"),"?","%3F")))&gt;1,"Duplicate type",IF(INDEX('Rules'!$F$7:$F$26,MATCH(SUBSTITUTE(SUBSTITUTE(SUBSTITUTE(SUBSTITUTE("type:"&amp;B696,"%","%25"),"~","%7E"),"*","%2A"),"?","%3F"),'Rules'!$G$7:$G$26,0))&lt;&gt;"",INDEX('Rules'!$F$7:$F$26,MATCH(SUBSTITUTE(SUBSTITUTE(SUBSTITUTE(SUBSTITUTE("type:"&amp;B696,"%","%25"),"~","%7E"),"*","%2A"),"?","%3F"),'Rules'!$G$7:$G$26,0)),IF(AND(C696&lt;&gt;"",C696&lt;&gt;INDEX('Rules'!$B$7:$B$26,MATCH(SUBSTITUTE(SUBSTITUTE(SUBSTITUTE(SUBSTITUTE("type:"&amp;B696,"%","%25"),"~","%7E"),"*","%2A"),"?","%3F"),'Rules'!$G$7:$G$26,0))),"Unit mismatch",IF(IF(NOT(ISNUMBER(D696)),TRUE,OR(D696&lt;0,D696&gt;999999999,ROUND(D696,3)&lt;&gt;D696)),"Invalid current reading",IF(AND(E696&lt;&gt;"",IF(NOT(ISNUMBER(E696)),TRUE,OR(E696&lt;0,E696&gt;999999999,ROUND(E696,3)&lt;&gt;E696))),"Invalid previous reading",IF(IF(NOT(ISNUMBER(F696)),TRUE,OR(F696&lt;0,F696&gt;999999999,ROUND(F696,3)&lt;&gt;F696)),"Invalid last service",IF(AND(E696&lt;&gt;"",D696&lt;E696),"Decreased reading",IF(F696&gt;D696,"Last service above current","")))))))))))))</x:f>
      </x:c>
      <x:c r="L696" s="6" t="str">
        <x:f>IF(AND(NOT(COUNTA(A696:F696)=0),K696=""),INDEX('Rules'!$C$7:$C$26,MATCH(SUBSTITUTE(SUBSTITUTE(SUBSTITUTE(SUBSTITUTE("type:"&amp;B696,"%","%25"),"~","%7E"),"*","%2A"),"?","%3F"),'Rules'!$G$7:$G$26,0)),"")</x:f>
      </x:c>
      <x:c r="M696" s="6" t="str">
        <x:f>IF(AND(NOT(COUNTA(A696:F696)=0),K696=""),INDEX('Rules'!$D$7:$D$26,MATCH(SUBSTITUTE(SUBSTITUTE(SUBSTITUTE(SUBSTITUTE("type:"&amp;B696,"%","%25"),"~","%7E"),"*","%2A"),"?","%3F"),'Rules'!$G$7:$G$26,0)),"")</x:f>
      </x:c>
      <x:c r="N696" s="5" t="str">
        <x:f>IF(COUNTA(A696:F696)=0,"",SUBSTITUTE(SUBSTITUTE(SUBSTITUTE(SUBSTITUTE("id:"&amp;A696,"%","%25"),"~","%7E"),"*","%2A"),"?","%3F"))</x:f>
      </x:c>
    </x:row>
    <x:row r="697" ht="22" customHeight="1">
      <x:c r="A697" s="3"/>
      <x:c r="B697" s="3"/>
      <x:c r="C697" s="3"/>
      <x:c r="D697" s="4"/>
      <x:c r="E697" s="4"/>
      <x:c r="F697" s="4"/>
      <x:c r="G697" s="5" t="str">
        <x:f>IF(COUNTA(A697:F697)=0,"",IF(K697&lt;&gt;"","Review",IF(I697&lt;0,"Overdue",IF(I697=0,"Due now",IF(I697&lt;=M697,"Due soon","Not due")))))</x:f>
      </x:c>
      <x:c r="H697" s="5" t="str">
        <x:f>IF(OR(COUNTA(A697:F697)=0,COUNTIFS('Rules'!$G$7:$G$26,"="&amp;(SUBSTITUTE(SUBSTITUTE(SUBSTITUTE(SUBSTITUTE("type:"&amp;B697,"%","%25"),"~","%7E"),"*","%2A"),"?","%3F")))&lt;&gt;1),"",IF(OR(INDEX('Rules'!$B$7:$B$26,MATCH(SUBSTITUTE(SUBSTITUTE(SUBSTITUTE(SUBSTITUTE("type:"&amp;B697,"%","%25"),"~","%7E"),"*","%2A"),"?","%3F"),'Rules'!$G$7:$G$26,0))="hours",INDEX('Rules'!$B$7:$B$26,MATCH(SUBSTITUTE(SUBSTITUTE(SUBSTITUTE(SUBSTITUTE("type:"&amp;B697,"%","%25"),"~","%7E"),"*","%2A"),"?","%3F"),'Rules'!$G$7:$G$26,0))="km"),INDEX('Rules'!$B$7:$B$26,MATCH(SUBSTITUTE(SUBSTITUTE(SUBSTITUTE(SUBSTITUTE("type:"&amp;B697,"%","%25"),"~","%7E"),"*","%2A"),"?","%3F"),'Rules'!$G$7:$G$26,0)),""))</x:f>
      </x:c>
      <x:c r="I697" s="6" t="str">
        <x:f>IF(AND(NOT(COUNTA(A697:F697)=0),K697=""),ROUND(J697-D697,3),"")</x:f>
      </x:c>
      <x:c r="J697" s="6" t="str">
        <x:f>IF(AND(NOT(COUNTA(A697:F697)=0),K697=""),ROUND(F697+L697,3),"")</x:f>
      </x:c>
      <x:c r="K697" s="5" t="str">
        <x:f>IF(COUNTA(A697:F697)=0,"",IF(A697="","Missing equipment ID",IF(COUNTIFS($N$8:$N$2007,"="&amp;N697)&gt;1,"Duplicate equipment ID",IF(B697="","Missing type",IF(COUNTIFS('Rules'!$G$7:$G$26,"="&amp;(SUBSTITUTE(SUBSTITUTE(SUBSTITUTE(SUBSTITUTE("type:"&amp;B697,"%","%25"),"~","%7E"),"*","%2A"),"?","%3F")))=0,"Unknown type",IF(COUNTIFS('Rules'!$G$7:$G$26,"="&amp;(SUBSTITUTE(SUBSTITUTE(SUBSTITUTE(SUBSTITUTE("type:"&amp;B697,"%","%25"),"~","%7E"),"*","%2A"),"?","%3F")))&gt;1,"Duplicate type",IF(INDEX('Rules'!$F$7:$F$26,MATCH(SUBSTITUTE(SUBSTITUTE(SUBSTITUTE(SUBSTITUTE("type:"&amp;B697,"%","%25"),"~","%7E"),"*","%2A"),"?","%3F"),'Rules'!$G$7:$G$26,0))&lt;&gt;"",INDEX('Rules'!$F$7:$F$26,MATCH(SUBSTITUTE(SUBSTITUTE(SUBSTITUTE(SUBSTITUTE("type:"&amp;B697,"%","%25"),"~","%7E"),"*","%2A"),"?","%3F"),'Rules'!$G$7:$G$26,0)),IF(AND(C697&lt;&gt;"",C697&lt;&gt;INDEX('Rules'!$B$7:$B$26,MATCH(SUBSTITUTE(SUBSTITUTE(SUBSTITUTE(SUBSTITUTE("type:"&amp;B697,"%","%25"),"~","%7E"),"*","%2A"),"?","%3F"),'Rules'!$G$7:$G$26,0))),"Unit mismatch",IF(IF(NOT(ISNUMBER(D697)),TRUE,OR(D697&lt;0,D697&gt;999999999,ROUND(D697,3)&lt;&gt;D697)),"Invalid current reading",IF(AND(E697&lt;&gt;"",IF(NOT(ISNUMBER(E697)),TRUE,OR(E697&lt;0,E697&gt;999999999,ROUND(E697,3)&lt;&gt;E697))),"Invalid previous reading",IF(IF(NOT(ISNUMBER(F697)),TRUE,OR(F697&lt;0,F697&gt;999999999,ROUND(F697,3)&lt;&gt;F697)),"Invalid last service",IF(AND(E697&lt;&gt;"",D697&lt;E697),"Decreased reading",IF(F697&gt;D697,"Last service above current","")))))))))))))</x:f>
      </x:c>
      <x:c r="L697" s="6" t="str">
        <x:f>IF(AND(NOT(COUNTA(A697:F697)=0),K697=""),INDEX('Rules'!$C$7:$C$26,MATCH(SUBSTITUTE(SUBSTITUTE(SUBSTITUTE(SUBSTITUTE("type:"&amp;B697,"%","%25"),"~","%7E"),"*","%2A"),"?","%3F"),'Rules'!$G$7:$G$26,0)),"")</x:f>
      </x:c>
      <x:c r="M697" s="6" t="str">
        <x:f>IF(AND(NOT(COUNTA(A697:F697)=0),K697=""),INDEX('Rules'!$D$7:$D$26,MATCH(SUBSTITUTE(SUBSTITUTE(SUBSTITUTE(SUBSTITUTE("type:"&amp;B697,"%","%25"),"~","%7E"),"*","%2A"),"?","%3F"),'Rules'!$G$7:$G$26,0)),"")</x:f>
      </x:c>
      <x:c r="N697" s="5" t="str">
        <x:f>IF(COUNTA(A697:F697)=0,"",SUBSTITUTE(SUBSTITUTE(SUBSTITUTE(SUBSTITUTE("id:"&amp;A697,"%","%25"),"~","%7E"),"*","%2A"),"?","%3F"))</x:f>
      </x:c>
    </x:row>
    <x:row r="698" ht="22" customHeight="1">
      <x:c r="A698" s="3"/>
      <x:c r="B698" s="3"/>
      <x:c r="C698" s="3"/>
      <x:c r="D698" s="4"/>
      <x:c r="E698" s="4"/>
      <x:c r="F698" s="4"/>
      <x:c r="G698" s="5" t="str">
        <x:f>IF(COUNTA(A698:F698)=0,"",IF(K698&lt;&gt;"","Review",IF(I698&lt;0,"Overdue",IF(I698=0,"Due now",IF(I698&lt;=M698,"Due soon","Not due")))))</x:f>
      </x:c>
      <x:c r="H698" s="5" t="str">
        <x:f>IF(OR(COUNTA(A698:F698)=0,COUNTIFS('Rules'!$G$7:$G$26,"="&amp;(SUBSTITUTE(SUBSTITUTE(SUBSTITUTE(SUBSTITUTE("type:"&amp;B698,"%","%25"),"~","%7E"),"*","%2A"),"?","%3F")))&lt;&gt;1),"",IF(OR(INDEX('Rules'!$B$7:$B$26,MATCH(SUBSTITUTE(SUBSTITUTE(SUBSTITUTE(SUBSTITUTE("type:"&amp;B698,"%","%25"),"~","%7E"),"*","%2A"),"?","%3F"),'Rules'!$G$7:$G$26,0))="hours",INDEX('Rules'!$B$7:$B$26,MATCH(SUBSTITUTE(SUBSTITUTE(SUBSTITUTE(SUBSTITUTE("type:"&amp;B698,"%","%25"),"~","%7E"),"*","%2A"),"?","%3F"),'Rules'!$G$7:$G$26,0))="km"),INDEX('Rules'!$B$7:$B$26,MATCH(SUBSTITUTE(SUBSTITUTE(SUBSTITUTE(SUBSTITUTE("type:"&amp;B698,"%","%25"),"~","%7E"),"*","%2A"),"?","%3F"),'Rules'!$G$7:$G$26,0)),""))</x:f>
      </x:c>
      <x:c r="I698" s="6" t="str">
        <x:f>IF(AND(NOT(COUNTA(A698:F698)=0),K698=""),ROUND(J698-D698,3),"")</x:f>
      </x:c>
      <x:c r="J698" s="6" t="str">
        <x:f>IF(AND(NOT(COUNTA(A698:F698)=0),K698=""),ROUND(F698+L698,3),"")</x:f>
      </x:c>
      <x:c r="K698" s="5" t="str">
        <x:f>IF(COUNTA(A698:F698)=0,"",IF(A698="","Missing equipment ID",IF(COUNTIFS($N$8:$N$2007,"="&amp;N698)&gt;1,"Duplicate equipment ID",IF(B698="","Missing type",IF(COUNTIFS('Rules'!$G$7:$G$26,"="&amp;(SUBSTITUTE(SUBSTITUTE(SUBSTITUTE(SUBSTITUTE("type:"&amp;B698,"%","%25"),"~","%7E"),"*","%2A"),"?","%3F")))=0,"Unknown type",IF(COUNTIFS('Rules'!$G$7:$G$26,"="&amp;(SUBSTITUTE(SUBSTITUTE(SUBSTITUTE(SUBSTITUTE("type:"&amp;B698,"%","%25"),"~","%7E"),"*","%2A"),"?","%3F")))&gt;1,"Duplicate type",IF(INDEX('Rules'!$F$7:$F$26,MATCH(SUBSTITUTE(SUBSTITUTE(SUBSTITUTE(SUBSTITUTE("type:"&amp;B698,"%","%25"),"~","%7E"),"*","%2A"),"?","%3F"),'Rules'!$G$7:$G$26,0))&lt;&gt;"",INDEX('Rules'!$F$7:$F$26,MATCH(SUBSTITUTE(SUBSTITUTE(SUBSTITUTE(SUBSTITUTE("type:"&amp;B698,"%","%25"),"~","%7E"),"*","%2A"),"?","%3F"),'Rules'!$G$7:$G$26,0)),IF(AND(C698&lt;&gt;"",C698&lt;&gt;INDEX('Rules'!$B$7:$B$26,MATCH(SUBSTITUTE(SUBSTITUTE(SUBSTITUTE(SUBSTITUTE("type:"&amp;B698,"%","%25"),"~","%7E"),"*","%2A"),"?","%3F"),'Rules'!$G$7:$G$26,0))),"Unit mismatch",IF(IF(NOT(ISNUMBER(D698)),TRUE,OR(D698&lt;0,D698&gt;999999999,ROUND(D698,3)&lt;&gt;D698)),"Invalid current reading",IF(AND(E698&lt;&gt;"",IF(NOT(ISNUMBER(E698)),TRUE,OR(E698&lt;0,E698&gt;999999999,ROUND(E698,3)&lt;&gt;E698))),"Invalid previous reading",IF(IF(NOT(ISNUMBER(F698)),TRUE,OR(F698&lt;0,F698&gt;999999999,ROUND(F698,3)&lt;&gt;F698)),"Invalid last service",IF(AND(E698&lt;&gt;"",D698&lt;E698),"Decreased reading",IF(F698&gt;D698,"Last service above current","")))))))))))))</x:f>
      </x:c>
      <x:c r="L698" s="6" t="str">
        <x:f>IF(AND(NOT(COUNTA(A698:F698)=0),K698=""),INDEX('Rules'!$C$7:$C$26,MATCH(SUBSTITUTE(SUBSTITUTE(SUBSTITUTE(SUBSTITUTE("type:"&amp;B698,"%","%25"),"~","%7E"),"*","%2A"),"?","%3F"),'Rules'!$G$7:$G$26,0)),"")</x:f>
      </x:c>
      <x:c r="M698" s="6" t="str">
        <x:f>IF(AND(NOT(COUNTA(A698:F698)=0),K698=""),INDEX('Rules'!$D$7:$D$26,MATCH(SUBSTITUTE(SUBSTITUTE(SUBSTITUTE(SUBSTITUTE("type:"&amp;B698,"%","%25"),"~","%7E"),"*","%2A"),"?","%3F"),'Rules'!$G$7:$G$26,0)),"")</x:f>
      </x:c>
      <x:c r="N698" s="5" t="str">
        <x:f>IF(COUNTA(A698:F698)=0,"",SUBSTITUTE(SUBSTITUTE(SUBSTITUTE(SUBSTITUTE("id:"&amp;A698,"%","%25"),"~","%7E"),"*","%2A"),"?","%3F"))</x:f>
      </x:c>
    </x:row>
    <x:row r="699" ht="22" customHeight="1">
      <x:c r="A699" s="3"/>
      <x:c r="B699" s="3"/>
      <x:c r="C699" s="3"/>
      <x:c r="D699" s="4"/>
      <x:c r="E699" s="4"/>
      <x:c r="F699" s="4"/>
      <x:c r="G699" s="5" t="str">
        <x:f>IF(COUNTA(A699:F699)=0,"",IF(K699&lt;&gt;"","Review",IF(I699&lt;0,"Overdue",IF(I699=0,"Due now",IF(I699&lt;=M699,"Due soon","Not due")))))</x:f>
      </x:c>
      <x:c r="H699" s="5" t="str">
        <x:f>IF(OR(COUNTA(A699:F699)=0,COUNTIFS('Rules'!$G$7:$G$26,"="&amp;(SUBSTITUTE(SUBSTITUTE(SUBSTITUTE(SUBSTITUTE("type:"&amp;B699,"%","%25"),"~","%7E"),"*","%2A"),"?","%3F")))&lt;&gt;1),"",IF(OR(INDEX('Rules'!$B$7:$B$26,MATCH(SUBSTITUTE(SUBSTITUTE(SUBSTITUTE(SUBSTITUTE("type:"&amp;B699,"%","%25"),"~","%7E"),"*","%2A"),"?","%3F"),'Rules'!$G$7:$G$26,0))="hours",INDEX('Rules'!$B$7:$B$26,MATCH(SUBSTITUTE(SUBSTITUTE(SUBSTITUTE(SUBSTITUTE("type:"&amp;B699,"%","%25"),"~","%7E"),"*","%2A"),"?","%3F"),'Rules'!$G$7:$G$26,0))="km"),INDEX('Rules'!$B$7:$B$26,MATCH(SUBSTITUTE(SUBSTITUTE(SUBSTITUTE(SUBSTITUTE("type:"&amp;B699,"%","%25"),"~","%7E"),"*","%2A"),"?","%3F"),'Rules'!$G$7:$G$26,0)),""))</x:f>
      </x:c>
      <x:c r="I699" s="6" t="str">
        <x:f>IF(AND(NOT(COUNTA(A699:F699)=0),K699=""),ROUND(J699-D699,3),"")</x:f>
      </x:c>
      <x:c r="J699" s="6" t="str">
        <x:f>IF(AND(NOT(COUNTA(A699:F699)=0),K699=""),ROUND(F699+L699,3),"")</x:f>
      </x:c>
      <x:c r="K699" s="5" t="str">
        <x:f>IF(COUNTA(A699:F699)=0,"",IF(A699="","Missing equipment ID",IF(COUNTIFS($N$8:$N$2007,"="&amp;N699)&gt;1,"Duplicate equipment ID",IF(B699="","Missing type",IF(COUNTIFS('Rules'!$G$7:$G$26,"="&amp;(SUBSTITUTE(SUBSTITUTE(SUBSTITUTE(SUBSTITUTE("type:"&amp;B699,"%","%25"),"~","%7E"),"*","%2A"),"?","%3F")))=0,"Unknown type",IF(COUNTIFS('Rules'!$G$7:$G$26,"="&amp;(SUBSTITUTE(SUBSTITUTE(SUBSTITUTE(SUBSTITUTE("type:"&amp;B699,"%","%25"),"~","%7E"),"*","%2A"),"?","%3F")))&gt;1,"Duplicate type",IF(INDEX('Rules'!$F$7:$F$26,MATCH(SUBSTITUTE(SUBSTITUTE(SUBSTITUTE(SUBSTITUTE("type:"&amp;B699,"%","%25"),"~","%7E"),"*","%2A"),"?","%3F"),'Rules'!$G$7:$G$26,0))&lt;&gt;"",INDEX('Rules'!$F$7:$F$26,MATCH(SUBSTITUTE(SUBSTITUTE(SUBSTITUTE(SUBSTITUTE("type:"&amp;B699,"%","%25"),"~","%7E"),"*","%2A"),"?","%3F"),'Rules'!$G$7:$G$26,0)),IF(AND(C699&lt;&gt;"",C699&lt;&gt;INDEX('Rules'!$B$7:$B$26,MATCH(SUBSTITUTE(SUBSTITUTE(SUBSTITUTE(SUBSTITUTE("type:"&amp;B699,"%","%25"),"~","%7E"),"*","%2A"),"?","%3F"),'Rules'!$G$7:$G$26,0))),"Unit mismatch",IF(IF(NOT(ISNUMBER(D699)),TRUE,OR(D699&lt;0,D699&gt;999999999,ROUND(D699,3)&lt;&gt;D699)),"Invalid current reading",IF(AND(E699&lt;&gt;"",IF(NOT(ISNUMBER(E699)),TRUE,OR(E699&lt;0,E699&gt;999999999,ROUND(E699,3)&lt;&gt;E699))),"Invalid previous reading",IF(IF(NOT(ISNUMBER(F699)),TRUE,OR(F699&lt;0,F699&gt;999999999,ROUND(F699,3)&lt;&gt;F699)),"Invalid last service",IF(AND(E699&lt;&gt;"",D699&lt;E699),"Decreased reading",IF(F699&gt;D699,"Last service above current","")))))))))))))</x:f>
      </x:c>
      <x:c r="L699" s="6" t="str">
        <x:f>IF(AND(NOT(COUNTA(A699:F699)=0),K699=""),INDEX('Rules'!$C$7:$C$26,MATCH(SUBSTITUTE(SUBSTITUTE(SUBSTITUTE(SUBSTITUTE("type:"&amp;B699,"%","%25"),"~","%7E"),"*","%2A"),"?","%3F"),'Rules'!$G$7:$G$26,0)),"")</x:f>
      </x:c>
      <x:c r="M699" s="6" t="str">
        <x:f>IF(AND(NOT(COUNTA(A699:F699)=0),K699=""),INDEX('Rules'!$D$7:$D$26,MATCH(SUBSTITUTE(SUBSTITUTE(SUBSTITUTE(SUBSTITUTE("type:"&amp;B699,"%","%25"),"~","%7E"),"*","%2A"),"?","%3F"),'Rules'!$G$7:$G$26,0)),"")</x:f>
      </x:c>
      <x:c r="N699" s="5" t="str">
        <x:f>IF(COUNTA(A699:F699)=0,"",SUBSTITUTE(SUBSTITUTE(SUBSTITUTE(SUBSTITUTE("id:"&amp;A699,"%","%25"),"~","%7E"),"*","%2A"),"?","%3F"))</x:f>
      </x:c>
    </x:row>
    <x:row r="700" ht="22" customHeight="1">
      <x:c r="A700" s="3"/>
      <x:c r="B700" s="3"/>
      <x:c r="C700" s="3"/>
      <x:c r="D700" s="4"/>
      <x:c r="E700" s="4"/>
      <x:c r="F700" s="4"/>
      <x:c r="G700" s="5" t="str">
        <x:f>IF(COUNTA(A700:F700)=0,"",IF(K700&lt;&gt;"","Review",IF(I700&lt;0,"Overdue",IF(I700=0,"Due now",IF(I700&lt;=M700,"Due soon","Not due")))))</x:f>
      </x:c>
      <x:c r="H700" s="5" t="str">
        <x:f>IF(OR(COUNTA(A700:F700)=0,COUNTIFS('Rules'!$G$7:$G$26,"="&amp;(SUBSTITUTE(SUBSTITUTE(SUBSTITUTE(SUBSTITUTE("type:"&amp;B700,"%","%25"),"~","%7E"),"*","%2A"),"?","%3F")))&lt;&gt;1),"",IF(OR(INDEX('Rules'!$B$7:$B$26,MATCH(SUBSTITUTE(SUBSTITUTE(SUBSTITUTE(SUBSTITUTE("type:"&amp;B700,"%","%25"),"~","%7E"),"*","%2A"),"?","%3F"),'Rules'!$G$7:$G$26,0))="hours",INDEX('Rules'!$B$7:$B$26,MATCH(SUBSTITUTE(SUBSTITUTE(SUBSTITUTE(SUBSTITUTE("type:"&amp;B700,"%","%25"),"~","%7E"),"*","%2A"),"?","%3F"),'Rules'!$G$7:$G$26,0))="km"),INDEX('Rules'!$B$7:$B$26,MATCH(SUBSTITUTE(SUBSTITUTE(SUBSTITUTE(SUBSTITUTE("type:"&amp;B700,"%","%25"),"~","%7E"),"*","%2A"),"?","%3F"),'Rules'!$G$7:$G$26,0)),""))</x:f>
      </x:c>
      <x:c r="I700" s="6" t="str">
        <x:f>IF(AND(NOT(COUNTA(A700:F700)=0),K700=""),ROUND(J700-D700,3),"")</x:f>
      </x:c>
      <x:c r="J700" s="6" t="str">
        <x:f>IF(AND(NOT(COUNTA(A700:F700)=0),K700=""),ROUND(F700+L700,3),"")</x:f>
      </x:c>
      <x:c r="K700" s="5" t="str">
        <x:f>IF(COUNTA(A700:F700)=0,"",IF(A700="","Missing equipment ID",IF(COUNTIFS($N$8:$N$2007,"="&amp;N700)&gt;1,"Duplicate equipment ID",IF(B700="","Missing type",IF(COUNTIFS('Rules'!$G$7:$G$26,"="&amp;(SUBSTITUTE(SUBSTITUTE(SUBSTITUTE(SUBSTITUTE("type:"&amp;B700,"%","%25"),"~","%7E"),"*","%2A"),"?","%3F")))=0,"Unknown type",IF(COUNTIFS('Rules'!$G$7:$G$26,"="&amp;(SUBSTITUTE(SUBSTITUTE(SUBSTITUTE(SUBSTITUTE("type:"&amp;B700,"%","%25"),"~","%7E"),"*","%2A"),"?","%3F")))&gt;1,"Duplicate type",IF(INDEX('Rules'!$F$7:$F$26,MATCH(SUBSTITUTE(SUBSTITUTE(SUBSTITUTE(SUBSTITUTE("type:"&amp;B700,"%","%25"),"~","%7E"),"*","%2A"),"?","%3F"),'Rules'!$G$7:$G$26,0))&lt;&gt;"",INDEX('Rules'!$F$7:$F$26,MATCH(SUBSTITUTE(SUBSTITUTE(SUBSTITUTE(SUBSTITUTE("type:"&amp;B700,"%","%25"),"~","%7E"),"*","%2A"),"?","%3F"),'Rules'!$G$7:$G$26,0)),IF(AND(C700&lt;&gt;"",C700&lt;&gt;INDEX('Rules'!$B$7:$B$26,MATCH(SUBSTITUTE(SUBSTITUTE(SUBSTITUTE(SUBSTITUTE("type:"&amp;B700,"%","%25"),"~","%7E"),"*","%2A"),"?","%3F"),'Rules'!$G$7:$G$26,0))),"Unit mismatch",IF(IF(NOT(ISNUMBER(D700)),TRUE,OR(D700&lt;0,D700&gt;999999999,ROUND(D700,3)&lt;&gt;D700)),"Invalid current reading",IF(AND(E700&lt;&gt;"",IF(NOT(ISNUMBER(E700)),TRUE,OR(E700&lt;0,E700&gt;999999999,ROUND(E700,3)&lt;&gt;E700))),"Invalid previous reading",IF(IF(NOT(ISNUMBER(F700)),TRUE,OR(F700&lt;0,F700&gt;999999999,ROUND(F700,3)&lt;&gt;F700)),"Invalid last service",IF(AND(E700&lt;&gt;"",D700&lt;E700),"Decreased reading",IF(F700&gt;D700,"Last service above current","")))))))))))))</x:f>
      </x:c>
      <x:c r="L700" s="6" t="str">
        <x:f>IF(AND(NOT(COUNTA(A700:F700)=0),K700=""),INDEX('Rules'!$C$7:$C$26,MATCH(SUBSTITUTE(SUBSTITUTE(SUBSTITUTE(SUBSTITUTE("type:"&amp;B700,"%","%25"),"~","%7E"),"*","%2A"),"?","%3F"),'Rules'!$G$7:$G$26,0)),"")</x:f>
      </x:c>
      <x:c r="M700" s="6" t="str">
        <x:f>IF(AND(NOT(COUNTA(A700:F700)=0),K700=""),INDEX('Rules'!$D$7:$D$26,MATCH(SUBSTITUTE(SUBSTITUTE(SUBSTITUTE(SUBSTITUTE("type:"&amp;B700,"%","%25"),"~","%7E"),"*","%2A"),"?","%3F"),'Rules'!$G$7:$G$26,0)),"")</x:f>
      </x:c>
      <x:c r="N700" s="5" t="str">
        <x:f>IF(COUNTA(A700:F700)=0,"",SUBSTITUTE(SUBSTITUTE(SUBSTITUTE(SUBSTITUTE("id:"&amp;A700,"%","%25"),"~","%7E"),"*","%2A"),"?","%3F"))</x:f>
      </x:c>
    </x:row>
    <x:row r="701" ht="22" customHeight="1">
      <x:c r="A701" s="3"/>
      <x:c r="B701" s="3"/>
      <x:c r="C701" s="3"/>
      <x:c r="D701" s="4"/>
      <x:c r="E701" s="4"/>
      <x:c r="F701" s="4"/>
      <x:c r="G701" s="5" t="str">
        <x:f>IF(COUNTA(A701:F701)=0,"",IF(K701&lt;&gt;"","Review",IF(I701&lt;0,"Overdue",IF(I701=0,"Due now",IF(I701&lt;=M701,"Due soon","Not due")))))</x:f>
      </x:c>
      <x:c r="H701" s="5" t="str">
        <x:f>IF(OR(COUNTA(A701:F701)=0,COUNTIFS('Rules'!$G$7:$G$26,"="&amp;(SUBSTITUTE(SUBSTITUTE(SUBSTITUTE(SUBSTITUTE("type:"&amp;B701,"%","%25"),"~","%7E"),"*","%2A"),"?","%3F")))&lt;&gt;1),"",IF(OR(INDEX('Rules'!$B$7:$B$26,MATCH(SUBSTITUTE(SUBSTITUTE(SUBSTITUTE(SUBSTITUTE("type:"&amp;B701,"%","%25"),"~","%7E"),"*","%2A"),"?","%3F"),'Rules'!$G$7:$G$26,0))="hours",INDEX('Rules'!$B$7:$B$26,MATCH(SUBSTITUTE(SUBSTITUTE(SUBSTITUTE(SUBSTITUTE("type:"&amp;B701,"%","%25"),"~","%7E"),"*","%2A"),"?","%3F"),'Rules'!$G$7:$G$26,0))="km"),INDEX('Rules'!$B$7:$B$26,MATCH(SUBSTITUTE(SUBSTITUTE(SUBSTITUTE(SUBSTITUTE("type:"&amp;B701,"%","%25"),"~","%7E"),"*","%2A"),"?","%3F"),'Rules'!$G$7:$G$26,0)),""))</x:f>
      </x:c>
      <x:c r="I701" s="6" t="str">
        <x:f>IF(AND(NOT(COUNTA(A701:F701)=0),K701=""),ROUND(J701-D701,3),"")</x:f>
      </x:c>
      <x:c r="J701" s="6" t="str">
        <x:f>IF(AND(NOT(COUNTA(A701:F701)=0),K701=""),ROUND(F701+L701,3),"")</x:f>
      </x:c>
      <x:c r="K701" s="5" t="str">
        <x:f>IF(COUNTA(A701:F701)=0,"",IF(A701="","Missing equipment ID",IF(COUNTIFS($N$8:$N$2007,"="&amp;N701)&gt;1,"Duplicate equipment ID",IF(B701="","Missing type",IF(COUNTIFS('Rules'!$G$7:$G$26,"="&amp;(SUBSTITUTE(SUBSTITUTE(SUBSTITUTE(SUBSTITUTE("type:"&amp;B701,"%","%25"),"~","%7E"),"*","%2A"),"?","%3F")))=0,"Unknown type",IF(COUNTIFS('Rules'!$G$7:$G$26,"="&amp;(SUBSTITUTE(SUBSTITUTE(SUBSTITUTE(SUBSTITUTE("type:"&amp;B701,"%","%25"),"~","%7E"),"*","%2A"),"?","%3F")))&gt;1,"Duplicate type",IF(INDEX('Rules'!$F$7:$F$26,MATCH(SUBSTITUTE(SUBSTITUTE(SUBSTITUTE(SUBSTITUTE("type:"&amp;B701,"%","%25"),"~","%7E"),"*","%2A"),"?","%3F"),'Rules'!$G$7:$G$26,0))&lt;&gt;"",INDEX('Rules'!$F$7:$F$26,MATCH(SUBSTITUTE(SUBSTITUTE(SUBSTITUTE(SUBSTITUTE("type:"&amp;B701,"%","%25"),"~","%7E"),"*","%2A"),"?","%3F"),'Rules'!$G$7:$G$26,0)),IF(AND(C701&lt;&gt;"",C701&lt;&gt;INDEX('Rules'!$B$7:$B$26,MATCH(SUBSTITUTE(SUBSTITUTE(SUBSTITUTE(SUBSTITUTE("type:"&amp;B701,"%","%25"),"~","%7E"),"*","%2A"),"?","%3F"),'Rules'!$G$7:$G$26,0))),"Unit mismatch",IF(IF(NOT(ISNUMBER(D701)),TRUE,OR(D701&lt;0,D701&gt;999999999,ROUND(D701,3)&lt;&gt;D701)),"Invalid current reading",IF(AND(E701&lt;&gt;"",IF(NOT(ISNUMBER(E701)),TRUE,OR(E701&lt;0,E701&gt;999999999,ROUND(E701,3)&lt;&gt;E701))),"Invalid previous reading",IF(IF(NOT(ISNUMBER(F701)),TRUE,OR(F701&lt;0,F701&gt;999999999,ROUND(F701,3)&lt;&gt;F701)),"Invalid last service",IF(AND(E701&lt;&gt;"",D701&lt;E701),"Decreased reading",IF(F701&gt;D701,"Last service above current","")))))))))))))</x:f>
      </x:c>
      <x:c r="L701" s="6" t="str">
        <x:f>IF(AND(NOT(COUNTA(A701:F701)=0),K701=""),INDEX('Rules'!$C$7:$C$26,MATCH(SUBSTITUTE(SUBSTITUTE(SUBSTITUTE(SUBSTITUTE("type:"&amp;B701,"%","%25"),"~","%7E"),"*","%2A"),"?","%3F"),'Rules'!$G$7:$G$26,0)),"")</x:f>
      </x:c>
      <x:c r="M701" s="6" t="str">
        <x:f>IF(AND(NOT(COUNTA(A701:F701)=0),K701=""),INDEX('Rules'!$D$7:$D$26,MATCH(SUBSTITUTE(SUBSTITUTE(SUBSTITUTE(SUBSTITUTE("type:"&amp;B701,"%","%25"),"~","%7E"),"*","%2A"),"?","%3F"),'Rules'!$G$7:$G$26,0)),"")</x:f>
      </x:c>
      <x:c r="N701" s="5" t="str">
        <x:f>IF(COUNTA(A701:F701)=0,"",SUBSTITUTE(SUBSTITUTE(SUBSTITUTE(SUBSTITUTE("id:"&amp;A701,"%","%25"),"~","%7E"),"*","%2A"),"?","%3F"))</x:f>
      </x:c>
    </x:row>
    <x:row r="702" ht="22" customHeight="1">
      <x:c r="A702" s="3"/>
      <x:c r="B702" s="3"/>
      <x:c r="C702" s="3"/>
      <x:c r="D702" s="4"/>
      <x:c r="E702" s="4"/>
      <x:c r="F702" s="4"/>
      <x:c r="G702" s="5" t="str">
        <x:f>IF(COUNTA(A702:F702)=0,"",IF(K702&lt;&gt;"","Review",IF(I702&lt;0,"Overdue",IF(I702=0,"Due now",IF(I702&lt;=M702,"Due soon","Not due")))))</x:f>
      </x:c>
      <x:c r="H702" s="5" t="str">
        <x:f>IF(OR(COUNTA(A702:F702)=0,COUNTIFS('Rules'!$G$7:$G$26,"="&amp;(SUBSTITUTE(SUBSTITUTE(SUBSTITUTE(SUBSTITUTE("type:"&amp;B702,"%","%25"),"~","%7E"),"*","%2A"),"?","%3F")))&lt;&gt;1),"",IF(OR(INDEX('Rules'!$B$7:$B$26,MATCH(SUBSTITUTE(SUBSTITUTE(SUBSTITUTE(SUBSTITUTE("type:"&amp;B702,"%","%25"),"~","%7E"),"*","%2A"),"?","%3F"),'Rules'!$G$7:$G$26,0))="hours",INDEX('Rules'!$B$7:$B$26,MATCH(SUBSTITUTE(SUBSTITUTE(SUBSTITUTE(SUBSTITUTE("type:"&amp;B702,"%","%25"),"~","%7E"),"*","%2A"),"?","%3F"),'Rules'!$G$7:$G$26,0))="km"),INDEX('Rules'!$B$7:$B$26,MATCH(SUBSTITUTE(SUBSTITUTE(SUBSTITUTE(SUBSTITUTE("type:"&amp;B702,"%","%25"),"~","%7E"),"*","%2A"),"?","%3F"),'Rules'!$G$7:$G$26,0)),""))</x:f>
      </x:c>
      <x:c r="I702" s="6" t="str">
        <x:f>IF(AND(NOT(COUNTA(A702:F702)=0),K702=""),ROUND(J702-D702,3),"")</x:f>
      </x:c>
      <x:c r="J702" s="6" t="str">
        <x:f>IF(AND(NOT(COUNTA(A702:F702)=0),K702=""),ROUND(F702+L702,3),"")</x:f>
      </x:c>
      <x:c r="K702" s="5" t="str">
        <x:f>IF(COUNTA(A702:F702)=0,"",IF(A702="","Missing equipment ID",IF(COUNTIFS($N$8:$N$2007,"="&amp;N702)&gt;1,"Duplicate equipment ID",IF(B702="","Missing type",IF(COUNTIFS('Rules'!$G$7:$G$26,"="&amp;(SUBSTITUTE(SUBSTITUTE(SUBSTITUTE(SUBSTITUTE("type:"&amp;B702,"%","%25"),"~","%7E"),"*","%2A"),"?","%3F")))=0,"Unknown type",IF(COUNTIFS('Rules'!$G$7:$G$26,"="&amp;(SUBSTITUTE(SUBSTITUTE(SUBSTITUTE(SUBSTITUTE("type:"&amp;B702,"%","%25"),"~","%7E"),"*","%2A"),"?","%3F")))&gt;1,"Duplicate type",IF(INDEX('Rules'!$F$7:$F$26,MATCH(SUBSTITUTE(SUBSTITUTE(SUBSTITUTE(SUBSTITUTE("type:"&amp;B702,"%","%25"),"~","%7E"),"*","%2A"),"?","%3F"),'Rules'!$G$7:$G$26,0))&lt;&gt;"",INDEX('Rules'!$F$7:$F$26,MATCH(SUBSTITUTE(SUBSTITUTE(SUBSTITUTE(SUBSTITUTE("type:"&amp;B702,"%","%25"),"~","%7E"),"*","%2A"),"?","%3F"),'Rules'!$G$7:$G$26,0)),IF(AND(C702&lt;&gt;"",C702&lt;&gt;INDEX('Rules'!$B$7:$B$26,MATCH(SUBSTITUTE(SUBSTITUTE(SUBSTITUTE(SUBSTITUTE("type:"&amp;B702,"%","%25"),"~","%7E"),"*","%2A"),"?","%3F"),'Rules'!$G$7:$G$26,0))),"Unit mismatch",IF(IF(NOT(ISNUMBER(D702)),TRUE,OR(D702&lt;0,D702&gt;999999999,ROUND(D702,3)&lt;&gt;D702)),"Invalid current reading",IF(AND(E702&lt;&gt;"",IF(NOT(ISNUMBER(E702)),TRUE,OR(E702&lt;0,E702&gt;999999999,ROUND(E702,3)&lt;&gt;E702))),"Invalid previous reading",IF(IF(NOT(ISNUMBER(F702)),TRUE,OR(F702&lt;0,F702&gt;999999999,ROUND(F702,3)&lt;&gt;F702)),"Invalid last service",IF(AND(E702&lt;&gt;"",D702&lt;E702),"Decreased reading",IF(F702&gt;D702,"Last service above current","")))))))))))))</x:f>
      </x:c>
      <x:c r="L702" s="6" t="str">
        <x:f>IF(AND(NOT(COUNTA(A702:F702)=0),K702=""),INDEX('Rules'!$C$7:$C$26,MATCH(SUBSTITUTE(SUBSTITUTE(SUBSTITUTE(SUBSTITUTE("type:"&amp;B702,"%","%25"),"~","%7E"),"*","%2A"),"?","%3F"),'Rules'!$G$7:$G$26,0)),"")</x:f>
      </x:c>
      <x:c r="M702" s="6" t="str">
        <x:f>IF(AND(NOT(COUNTA(A702:F702)=0),K702=""),INDEX('Rules'!$D$7:$D$26,MATCH(SUBSTITUTE(SUBSTITUTE(SUBSTITUTE(SUBSTITUTE("type:"&amp;B702,"%","%25"),"~","%7E"),"*","%2A"),"?","%3F"),'Rules'!$G$7:$G$26,0)),"")</x:f>
      </x:c>
      <x:c r="N702" s="5" t="str">
        <x:f>IF(COUNTA(A702:F702)=0,"",SUBSTITUTE(SUBSTITUTE(SUBSTITUTE(SUBSTITUTE("id:"&amp;A702,"%","%25"),"~","%7E"),"*","%2A"),"?","%3F"))</x:f>
      </x:c>
    </x:row>
    <x:row r="703" ht="22" customHeight="1">
      <x:c r="A703" s="3"/>
      <x:c r="B703" s="3"/>
      <x:c r="C703" s="3"/>
      <x:c r="D703" s="4"/>
      <x:c r="E703" s="4"/>
      <x:c r="F703" s="4"/>
      <x:c r="G703" s="5" t="str">
        <x:f>IF(COUNTA(A703:F703)=0,"",IF(K703&lt;&gt;"","Review",IF(I703&lt;0,"Overdue",IF(I703=0,"Due now",IF(I703&lt;=M703,"Due soon","Not due")))))</x:f>
      </x:c>
      <x:c r="H703" s="5" t="str">
        <x:f>IF(OR(COUNTA(A703:F703)=0,COUNTIFS('Rules'!$G$7:$G$26,"="&amp;(SUBSTITUTE(SUBSTITUTE(SUBSTITUTE(SUBSTITUTE("type:"&amp;B703,"%","%25"),"~","%7E"),"*","%2A"),"?","%3F")))&lt;&gt;1),"",IF(OR(INDEX('Rules'!$B$7:$B$26,MATCH(SUBSTITUTE(SUBSTITUTE(SUBSTITUTE(SUBSTITUTE("type:"&amp;B703,"%","%25"),"~","%7E"),"*","%2A"),"?","%3F"),'Rules'!$G$7:$G$26,0))="hours",INDEX('Rules'!$B$7:$B$26,MATCH(SUBSTITUTE(SUBSTITUTE(SUBSTITUTE(SUBSTITUTE("type:"&amp;B703,"%","%25"),"~","%7E"),"*","%2A"),"?","%3F"),'Rules'!$G$7:$G$26,0))="km"),INDEX('Rules'!$B$7:$B$26,MATCH(SUBSTITUTE(SUBSTITUTE(SUBSTITUTE(SUBSTITUTE("type:"&amp;B703,"%","%25"),"~","%7E"),"*","%2A"),"?","%3F"),'Rules'!$G$7:$G$26,0)),""))</x:f>
      </x:c>
      <x:c r="I703" s="6" t="str">
        <x:f>IF(AND(NOT(COUNTA(A703:F703)=0),K703=""),ROUND(J703-D703,3),"")</x:f>
      </x:c>
      <x:c r="J703" s="6" t="str">
        <x:f>IF(AND(NOT(COUNTA(A703:F703)=0),K703=""),ROUND(F703+L703,3),"")</x:f>
      </x:c>
      <x:c r="K703" s="5" t="str">
        <x:f>IF(COUNTA(A703:F703)=0,"",IF(A703="","Missing equipment ID",IF(COUNTIFS($N$8:$N$2007,"="&amp;N703)&gt;1,"Duplicate equipment ID",IF(B703="","Missing type",IF(COUNTIFS('Rules'!$G$7:$G$26,"="&amp;(SUBSTITUTE(SUBSTITUTE(SUBSTITUTE(SUBSTITUTE("type:"&amp;B703,"%","%25"),"~","%7E"),"*","%2A"),"?","%3F")))=0,"Unknown type",IF(COUNTIFS('Rules'!$G$7:$G$26,"="&amp;(SUBSTITUTE(SUBSTITUTE(SUBSTITUTE(SUBSTITUTE("type:"&amp;B703,"%","%25"),"~","%7E"),"*","%2A"),"?","%3F")))&gt;1,"Duplicate type",IF(INDEX('Rules'!$F$7:$F$26,MATCH(SUBSTITUTE(SUBSTITUTE(SUBSTITUTE(SUBSTITUTE("type:"&amp;B703,"%","%25"),"~","%7E"),"*","%2A"),"?","%3F"),'Rules'!$G$7:$G$26,0))&lt;&gt;"",INDEX('Rules'!$F$7:$F$26,MATCH(SUBSTITUTE(SUBSTITUTE(SUBSTITUTE(SUBSTITUTE("type:"&amp;B703,"%","%25"),"~","%7E"),"*","%2A"),"?","%3F"),'Rules'!$G$7:$G$26,0)),IF(AND(C703&lt;&gt;"",C703&lt;&gt;INDEX('Rules'!$B$7:$B$26,MATCH(SUBSTITUTE(SUBSTITUTE(SUBSTITUTE(SUBSTITUTE("type:"&amp;B703,"%","%25"),"~","%7E"),"*","%2A"),"?","%3F"),'Rules'!$G$7:$G$26,0))),"Unit mismatch",IF(IF(NOT(ISNUMBER(D703)),TRUE,OR(D703&lt;0,D703&gt;999999999,ROUND(D703,3)&lt;&gt;D703)),"Invalid current reading",IF(AND(E703&lt;&gt;"",IF(NOT(ISNUMBER(E703)),TRUE,OR(E703&lt;0,E703&gt;999999999,ROUND(E703,3)&lt;&gt;E703))),"Invalid previous reading",IF(IF(NOT(ISNUMBER(F703)),TRUE,OR(F703&lt;0,F703&gt;999999999,ROUND(F703,3)&lt;&gt;F703)),"Invalid last service",IF(AND(E703&lt;&gt;"",D703&lt;E703),"Decreased reading",IF(F703&gt;D703,"Last service above current","")))))))))))))</x:f>
      </x:c>
      <x:c r="L703" s="6" t="str">
        <x:f>IF(AND(NOT(COUNTA(A703:F703)=0),K703=""),INDEX('Rules'!$C$7:$C$26,MATCH(SUBSTITUTE(SUBSTITUTE(SUBSTITUTE(SUBSTITUTE("type:"&amp;B703,"%","%25"),"~","%7E"),"*","%2A"),"?","%3F"),'Rules'!$G$7:$G$26,0)),"")</x:f>
      </x:c>
      <x:c r="M703" s="6" t="str">
        <x:f>IF(AND(NOT(COUNTA(A703:F703)=0),K703=""),INDEX('Rules'!$D$7:$D$26,MATCH(SUBSTITUTE(SUBSTITUTE(SUBSTITUTE(SUBSTITUTE("type:"&amp;B703,"%","%25"),"~","%7E"),"*","%2A"),"?","%3F"),'Rules'!$G$7:$G$26,0)),"")</x:f>
      </x:c>
      <x:c r="N703" s="5" t="str">
        <x:f>IF(COUNTA(A703:F703)=0,"",SUBSTITUTE(SUBSTITUTE(SUBSTITUTE(SUBSTITUTE("id:"&amp;A703,"%","%25"),"~","%7E"),"*","%2A"),"?","%3F"))</x:f>
      </x:c>
    </x:row>
    <x:row r="704" ht="22" customHeight="1">
      <x:c r="A704" s="3"/>
      <x:c r="B704" s="3"/>
      <x:c r="C704" s="3"/>
      <x:c r="D704" s="4"/>
      <x:c r="E704" s="4"/>
      <x:c r="F704" s="4"/>
      <x:c r="G704" s="5" t="str">
        <x:f>IF(COUNTA(A704:F704)=0,"",IF(K704&lt;&gt;"","Review",IF(I704&lt;0,"Overdue",IF(I704=0,"Due now",IF(I704&lt;=M704,"Due soon","Not due")))))</x:f>
      </x:c>
      <x:c r="H704" s="5" t="str">
        <x:f>IF(OR(COUNTA(A704:F704)=0,COUNTIFS('Rules'!$G$7:$G$26,"="&amp;(SUBSTITUTE(SUBSTITUTE(SUBSTITUTE(SUBSTITUTE("type:"&amp;B704,"%","%25"),"~","%7E"),"*","%2A"),"?","%3F")))&lt;&gt;1),"",IF(OR(INDEX('Rules'!$B$7:$B$26,MATCH(SUBSTITUTE(SUBSTITUTE(SUBSTITUTE(SUBSTITUTE("type:"&amp;B704,"%","%25"),"~","%7E"),"*","%2A"),"?","%3F"),'Rules'!$G$7:$G$26,0))="hours",INDEX('Rules'!$B$7:$B$26,MATCH(SUBSTITUTE(SUBSTITUTE(SUBSTITUTE(SUBSTITUTE("type:"&amp;B704,"%","%25"),"~","%7E"),"*","%2A"),"?","%3F"),'Rules'!$G$7:$G$26,0))="km"),INDEX('Rules'!$B$7:$B$26,MATCH(SUBSTITUTE(SUBSTITUTE(SUBSTITUTE(SUBSTITUTE("type:"&amp;B704,"%","%25"),"~","%7E"),"*","%2A"),"?","%3F"),'Rules'!$G$7:$G$26,0)),""))</x:f>
      </x:c>
      <x:c r="I704" s="6" t="str">
        <x:f>IF(AND(NOT(COUNTA(A704:F704)=0),K704=""),ROUND(J704-D704,3),"")</x:f>
      </x:c>
      <x:c r="J704" s="6" t="str">
        <x:f>IF(AND(NOT(COUNTA(A704:F704)=0),K704=""),ROUND(F704+L704,3),"")</x:f>
      </x:c>
      <x:c r="K704" s="5" t="str">
        <x:f>IF(COUNTA(A704:F704)=0,"",IF(A704="","Missing equipment ID",IF(COUNTIFS($N$8:$N$2007,"="&amp;N704)&gt;1,"Duplicate equipment ID",IF(B704="","Missing type",IF(COUNTIFS('Rules'!$G$7:$G$26,"="&amp;(SUBSTITUTE(SUBSTITUTE(SUBSTITUTE(SUBSTITUTE("type:"&amp;B704,"%","%25"),"~","%7E"),"*","%2A"),"?","%3F")))=0,"Unknown type",IF(COUNTIFS('Rules'!$G$7:$G$26,"="&amp;(SUBSTITUTE(SUBSTITUTE(SUBSTITUTE(SUBSTITUTE("type:"&amp;B704,"%","%25"),"~","%7E"),"*","%2A"),"?","%3F")))&gt;1,"Duplicate type",IF(INDEX('Rules'!$F$7:$F$26,MATCH(SUBSTITUTE(SUBSTITUTE(SUBSTITUTE(SUBSTITUTE("type:"&amp;B704,"%","%25"),"~","%7E"),"*","%2A"),"?","%3F"),'Rules'!$G$7:$G$26,0))&lt;&gt;"",INDEX('Rules'!$F$7:$F$26,MATCH(SUBSTITUTE(SUBSTITUTE(SUBSTITUTE(SUBSTITUTE("type:"&amp;B704,"%","%25"),"~","%7E"),"*","%2A"),"?","%3F"),'Rules'!$G$7:$G$26,0)),IF(AND(C704&lt;&gt;"",C704&lt;&gt;INDEX('Rules'!$B$7:$B$26,MATCH(SUBSTITUTE(SUBSTITUTE(SUBSTITUTE(SUBSTITUTE("type:"&amp;B704,"%","%25"),"~","%7E"),"*","%2A"),"?","%3F"),'Rules'!$G$7:$G$26,0))),"Unit mismatch",IF(IF(NOT(ISNUMBER(D704)),TRUE,OR(D704&lt;0,D704&gt;999999999,ROUND(D704,3)&lt;&gt;D704)),"Invalid current reading",IF(AND(E704&lt;&gt;"",IF(NOT(ISNUMBER(E704)),TRUE,OR(E704&lt;0,E704&gt;999999999,ROUND(E704,3)&lt;&gt;E704))),"Invalid previous reading",IF(IF(NOT(ISNUMBER(F704)),TRUE,OR(F704&lt;0,F704&gt;999999999,ROUND(F704,3)&lt;&gt;F704)),"Invalid last service",IF(AND(E704&lt;&gt;"",D704&lt;E704),"Decreased reading",IF(F704&gt;D704,"Last service above current","")))))))))))))</x:f>
      </x:c>
      <x:c r="L704" s="6" t="str">
        <x:f>IF(AND(NOT(COUNTA(A704:F704)=0),K704=""),INDEX('Rules'!$C$7:$C$26,MATCH(SUBSTITUTE(SUBSTITUTE(SUBSTITUTE(SUBSTITUTE("type:"&amp;B704,"%","%25"),"~","%7E"),"*","%2A"),"?","%3F"),'Rules'!$G$7:$G$26,0)),"")</x:f>
      </x:c>
      <x:c r="M704" s="6" t="str">
        <x:f>IF(AND(NOT(COUNTA(A704:F704)=0),K704=""),INDEX('Rules'!$D$7:$D$26,MATCH(SUBSTITUTE(SUBSTITUTE(SUBSTITUTE(SUBSTITUTE("type:"&amp;B704,"%","%25"),"~","%7E"),"*","%2A"),"?","%3F"),'Rules'!$G$7:$G$26,0)),"")</x:f>
      </x:c>
      <x:c r="N704" s="5" t="str">
        <x:f>IF(COUNTA(A704:F704)=0,"",SUBSTITUTE(SUBSTITUTE(SUBSTITUTE(SUBSTITUTE("id:"&amp;A704,"%","%25"),"~","%7E"),"*","%2A"),"?","%3F"))</x:f>
      </x:c>
    </x:row>
    <x:row r="705" ht="22" customHeight="1">
      <x:c r="A705" s="3"/>
      <x:c r="B705" s="3"/>
      <x:c r="C705" s="3"/>
      <x:c r="D705" s="4"/>
      <x:c r="E705" s="4"/>
      <x:c r="F705" s="4"/>
      <x:c r="G705" s="5" t="str">
        <x:f>IF(COUNTA(A705:F705)=0,"",IF(K705&lt;&gt;"","Review",IF(I705&lt;0,"Overdue",IF(I705=0,"Due now",IF(I705&lt;=M705,"Due soon","Not due")))))</x:f>
      </x:c>
      <x:c r="H705" s="5" t="str">
        <x:f>IF(OR(COUNTA(A705:F705)=0,COUNTIFS('Rules'!$G$7:$G$26,"="&amp;(SUBSTITUTE(SUBSTITUTE(SUBSTITUTE(SUBSTITUTE("type:"&amp;B705,"%","%25"),"~","%7E"),"*","%2A"),"?","%3F")))&lt;&gt;1),"",IF(OR(INDEX('Rules'!$B$7:$B$26,MATCH(SUBSTITUTE(SUBSTITUTE(SUBSTITUTE(SUBSTITUTE("type:"&amp;B705,"%","%25"),"~","%7E"),"*","%2A"),"?","%3F"),'Rules'!$G$7:$G$26,0))="hours",INDEX('Rules'!$B$7:$B$26,MATCH(SUBSTITUTE(SUBSTITUTE(SUBSTITUTE(SUBSTITUTE("type:"&amp;B705,"%","%25"),"~","%7E"),"*","%2A"),"?","%3F"),'Rules'!$G$7:$G$26,0))="km"),INDEX('Rules'!$B$7:$B$26,MATCH(SUBSTITUTE(SUBSTITUTE(SUBSTITUTE(SUBSTITUTE("type:"&amp;B705,"%","%25"),"~","%7E"),"*","%2A"),"?","%3F"),'Rules'!$G$7:$G$26,0)),""))</x:f>
      </x:c>
      <x:c r="I705" s="6" t="str">
        <x:f>IF(AND(NOT(COUNTA(A705:F705)=0),K705=""),ROUND(J705-D705,3),"")</x:f>
      </x:c>
      <x:c r="J705" s="6" t="str">
        <x:f>IF(AND(NOT(COUNTA(A705:F705)=0),K705=""),ROUND(F705+L705,3),"")</x:f>
      </x:c>
      <x:c r="K705" s="5" t="str">
        <x:f>IF(COUNTA(A705:F705)=0,"",IF(A705="","Missing equipment ID",IF(COUNTIFS($N$8:$N$2007,"="&amp;N705)&gt;1,"Duplicate equipment ID",IF(B705="","Missing type",IF(COUNTIFS('Rules'!$G$7:$G$26,"="&amp;(SUBSTITUTE(SUBSTITUTE(SUBSTITUTE(SUBSTITUTE("type:"&amp;B705,"%","%25"),"~","%7E"),"*","%2A"),"?","%3F")))=0,"Unknown type",IF(COUNTIFS('Rules'!$G$7:$G$26,"="&amp;(SUBSTITUTE(SUBSTITUTE(SUBSTITUTE(SUBSTITUTE("type:"&amp;B705,"%","%25"),"~","%7E"),"*","%2A"),"?","%3F")))&gt;1,"Duplicate type",IF(INDEX('Rules'!$F$7:$F$26,MATCH(SUBSTITUTE(SUBSTITUTE(SUBSTITUTE(SUBSTITUTE("type:"&amp;B705,"%","%25"),"~","%7E"),"*","%2A"),"?","%3F"),'Rules'!$G$7:$G$26,0))&lt;&gt;"",INDEX('Rules'!$F$7:$F$26,MATCH(SUBSTITUTE(SUBSTITUTE(SUBSTITUTE(SUBSTITUTE("type:"&amp;B705,"%","%25"),"~","%7E"),"*","%2A"),"?","%3F"),'Rules'!$G$7:$G$26,0)),IF(AND(C705&lt;&gt;"",C705&lt;&gt;INDEX('Rules'!$B$7:$B$26,MATCH(SUBSTITUTE(SUBSTITUTE(SUBSTITUTE(SUBSTITUTE("type:"&amp;B705,"%","%25"),"~","%7E"),"*","%2A"),"?","%3F"),'Rules'!$G$7:$G$26,0))),"Unit mismatch",IF(IF(NOT(ISNUMBER(D705)),TRUE,OR(D705&lt;0,D705&gt;999999999,ROUND(D705,3)&lt;&gt;D705)),"Invalid current reading",IF(AND(E705&lt;&gt;"",IF(NOT(ISNUMBER(E705)),TRUE,OR(E705&lt;0,E705&gt;999999999,ROUND(E705,3)&lt;&gt;E705))),"Invalid previous reading",IF(IF(NOT(ISNUMBER(F705)),TRUE,OR(F705&lt;0,F705&gt;999999999,ROUND(F705,3)&lt;&gt;F705)),"Invalid last service",IF(AND(E705&lt;&gt;"",D705&lt;E705),"Decreased reading",IF(F705&gt;D705,"Last service above current","")))))))))))))</x:f>
      </x:c>
      <x:c r="L705" s="6" t="str">
        <x:f>IF(AND(NOT(COUNTA(A705:F705)=0),K705=""),INDEX('Rules'!$C$7:$C$26,MATCH(SUBSTITUTE(SUBSTITUTE(SUBSTITUTE(SUBSTITUTE("type:"&amp;B705,"%","%25"),"~","%7E"),"*","%2A"),"?","%3F"),'Rules'!$G$7:$G$26,0)),"")</x:f>
      </x:c>
      <x:c r="M705" s="6" t="str">
        <x:f>IF(AND(NOT(COUNTA(A705:F705)=0),K705=""),INDEX('Rules'!$D$7:$D$26,MATCH(SUBSTITUTE(SUBSTITUTE(SUBSTITUTE(SUBSTITUTE("type:"&amp;B705,"%","%25"),"~","%7E"),"*","%2A"),"?","%3F"),'Rules'!$G$7:$G$26,0)),"")</x:f>
      </x:c>
      <x:c r="N705" s="5" t="str">
        <x:f>IF(COUNTA(A705:F705)=0,"",SUBSTITUTE(SUBSTITUTE(SUBSTITUTE(SUBSTITUTE("id:"&amp;A705,"%","%25"),"~","%7E"),"*","%2A"),"?","%3F"))</x:f>
      </x:c>
    </x:row>
    <x:row r="706" ht="22" customHeight="1">
      <x:c r="A706" s="3"/>
      <x:c r="B706" s="3"/>
      <x:c r="C706" s="3"/>
      <x:c r="D706" s="4"/>
      <x:c r="E706" s="4"/>
      <x:c r="F706" s="4"/>
      <x:c r="G706" s="5" t="str">
        <x:f>IF(COUNTA(A706:F706)=0,"",IF(K706&lt;&gt;"","Review",IF(I706&lt;0,"Overdue",IF(I706=0,"Due now",IF(I706&lt;=M706,"Due soon","Not due")))))</x:f>
      </x:c>
      <x:c r="H706" s="5" t="str">
        <x:f>IF(OR(COUNTA(A706:F706)=0,COUNTIFS('Rules'!$G$7:$G$26,"="&amp;(SUBSTITUTE(SUBSTITUTE(SUBSTITUTE(SUBSTITUTE("type:"&amp;B706,"%","%25"),"~","%7E"),"*","%2A"),"?","%3F")))&lt;&gt;1),"",IF(OR(INDEX('Rules'!$B$7:$B$26,MATCH(SUBSTITUTE(SUBSTITUTE(SUBSTITUTE(SUBSTITUTE("type:"&amp;B706,"%","%25"),"~","%7E"),"*","%2A"),"?","%3F"),'Rules'!$G$7:$G$26,0))="hours",INDEX('Rules'!$B$7:$B$26,MATCH(SUBSTITUTE(SUBSTITUTE(SUBSTITUTE(SUBSTITUTE("type:"&amp;B706,"%","%25"),"~","%7E"),"*","%2A"),"?","%3F"),'Rules'!$G$7:$G$26,0))="km"),INDEX('Rules'!$B$7:$B$26,MATCH(SUBSTITUTE(SUBSTITUTE(SUBSTITUTE(SUBSTITUTE("type:"&amp;B706,"%","%25"),"~","%7E"),"*","%2A"),"?","%3F"),'Rules'!$G$7:$G$26,0)),""))</x:f>
      </x:c>
      <x:c r="I706" s="6" t="str">
        <x:f>IF(AND(NOT(COUNTA(A706:F706)=0),K706=""),ROUND(J706-D706,3),"")</x:f>
      </x:c>
      <x:c r="J706" s="6" t="str">
        <x:f>IF(AND(NOT(COUNTA(A706:F706)=0),K706=""),ROUND(F706+L706,3),"")</x:f>
      </x:c>
      <x:c r="K706" s="5" t="str">
        <x:f>IF(COUNTA(A706:F706)=0,"",IF(A706="","Missing equipment ID",IF(COUNTIFS($N$8:$N$2007,"="&amp;N706)&gt;1,"Duplicate equipment ID",IF(B706="","Missing type",IF(COUNTIFS('Rules'!$G$7:$G$26,"="&amp;(SUBSTITUTE(SUBSTITUTE(SUBSTITUTE(SUBSTITUTE("type:"&amp;B706,"%","%25"),"~","%7E"),"*","%2A"),"?","%3F")))=0,"Unknown type",IF(COUNTIFS('Rules'!$G$7:$G$26,"="&amp;(SUBSTITUTE(SUBSTITUTE(SUBSTITUTE(SUBSTITUTE("type:"&amp;B706,"%","%25"),"~","%7E"),"*","%2A"),"?","%3F")))&gt;1,"Duplicate type",IF(INDEX('Rules'!$F$7:$F$26,MATCH(SUBSTITUTE(SUBSTITUTE(SUBSTITUTE(SUBSTITUTE("type:"&amp;B706,"%","%25"),"~","%7E"),"*","%2A"),"?","%3F"),'Rules'!$G$7:$G$26,0))&lt;&gt;"",INDEX('Rules'!$F$7:$F$26,MATCH(SUBSTITUTE(SUBSTITUTE(SUBSTITUTE(SUBSTITUTE("type:"&amp;B706,"%","%25"),"~","%7E"),"*","%2A"),"?","%3F"),'Rules'!$G$7:$G$26,0)),IF(AND(C706&lt;&gt;"",C706&lt;&gt;INDEX('Rules'!$B$7:$B$26,MATCH(SUBSTITUTE(SUBSTITUTE(SUBSTITUTE(SUBSTITUTE("type:"&amp;B706,"%","%25"),"~","%7E"),"*","%2A"),"?","%3F"),'Rules'!$G$7:$G$26,0))),"Unit mismatch",IF(IF(NOT(ISNUMBER(D706)),TRUE,OR(D706&lt;0,D706&gt;999999999,ROUND(D706,3)&lt;&gt;D706)),"Invalid current reading",IF(AND(E706&lt;&gt;"",IF(NOT(ISNUMBER(E706)),TRUE,OR(E706&lt;0,E706&gt;999999999,ROUND(E706,3)&lt;&gt;E706))),"Invalid previous reading",IF(IF(NOT(ISNUMBER(F706)),TRUE,OR(F706&lt;0,F706&gt;999999999,ROUND(F706,3)&lt;&gt;F706)),"Invalid last service",IF(AND(E706&lt;&gt;"",D706&lt;E706),"Decreased reading",IF(F706&gt;D706,"Last service above current","")))))))))))))</x:f>
      </x:c>
      <x:c r="L706" s="6" t="str">
        <x:f>IF(AND(NOT(COUNTA(A706:F706)=0),K706=""),INDEX('Rules'!$C$7:$C$26,MATCH(SUBSTITUTE(SUBSTITUTE(SUBSTITUTE(SUBSTITUTE("type:"&amp;B706,"%","%25"),"~","%7E"),"*","%2A"),"?","%3F"),'Rules'!$G$7:$G$26,0)),"")</x:f>
      </x:c>
      <x:c r="M706" s="6" t="str">
        <x:f>IF(AND(NOT(COUNTA(A706:F706)=0),K706=""),INDEX('Rules'!$D$7:$D$26,MATCH(SUBSTITUTE(SUBSTITUTE(SUBSTITUTE(SUBSTITUTE("type:"&amp;B706,"%","%25"),"~","%7E"),"*","%2A"),"?","%3F"),'Rules'!$G$7:$G$26,0)),"")</x:f>
      </x:c>
      <x:c r="N706" s="5" t="str">
        <x:f>IF(COUNTA(A706:F706)=0,"",SUBSTITUTE(SUBSTITUTE(SUBSTITUTE(SUBSTITUTE("id:"&amp;A706,"%","%25"),"~","%7E"),"*","%2A"),"?","%3F"))</x:f>
      </x:c>
    </x:row>
    <x:row r="707" ht="22" customHeight="1">
      <x:c r="A707" s="3"/>
      <x:c r="B707" s="3"/>
      <x:c r="C707" s="3"/>
      <x:c r="D707" s="4"/>
      <x:c r="E707" s="4"/>
      <x:c r="F707" s="4"/>
      <x:c r="G707" s="5" t="str">
        <x:f>IF(COUNTA(A707:F707)=0,"",IF(K707&lt;&gt;"","Review",IF(I707&lt;0,"Overdue",IF(I707=0,"Due now",IF(I707&lt;=M707,"Due soon","Not due")))))</x:f>
      </x:c>
      <x:c r="H707" s="5" t="str">
        <x:f>IF(OR(COUNTA(A707:F707)=0,COUNTIFS('Rules'!$G$7:$G$26,"="&amp;(SUBSTITUTE(SUBSTITUTE(SUBSTITUTE(SUBSTITUTE("type:"&amp;B707,"%","%25"),"~","%7E"),"*","%2A"),"?","%3F")))&lt;&gt;1),"",IF(OR(INDEX('Rules'!$B$7:$B$26,MATCH(SUBSTITUTE(SUBSTITUTE(SUBSTITUTE(SUBSTITUTE("type:"&amp;B707,"%","%25"),"~","%7E"),"*","%2A"),"?","%3F"),'Rules'!$G$7:$G$26,0))="hours",INDEX('Rules'!$B$7:$B$26,MATCH(SUBSTITUTE(SUBSTITUTE(SUBSTITUTE(SUBSTITUTE("type:"&amp;B707,"%","%25"),"~","%7E"),"*","%2A"),"?","%3F"),'Rules'!$G$7:$G$26,0))="km"),INDEX('Rules'!$B$7:$B$26,MATCH(SUBSTITUTE(SUBSTITUTE(SUBSTITUTE(SUBSTITUTE("type:"&amp;B707,"%","%25"),"~","%7E"),"*","%2A"),"?","%3F"),'Rules'!$G$7:$G$26,0)),""))</x:f>
      </x:c>
      <x:c r="I707" s="6" t="str">
        <x:f>IF(AND(NOT(COUNTA(A707:F707)=0),K707=""),ROUND(J707-D707,3),"")</x:f>
      </x:c>
      <x:c r="J707" s="6" t="str">
        <x:f>IF(AND(NOT(COUNTA(A707:F707)=0),K707=""),ROUND(F707+L707,3),"")</x:f>
      </x:c>
      <x:c r="K707" s="5" t="str">
        <x:f>IF(COUNTA(A707:F707)=0,"",IF(A707="","Missing equipment ID",IF(COUNTIFS($N$8:$N$2007,"="&amp;N707)&gt;1,"Duplicate equipment ID",IF(B707="","Missing type",IF(COUNTIFS('Rules'!$G$7:$G$26,"="&amp;(SUBSTITUTE(SUBSTITUTE(SUBSTITUTE(SUBSTITUTE("type:"&amp;B707,"%","%25"),"~","%7E"),"*","%2A"),"?","%3F")))=0,"Unknown type",IF(COUNTIFS('Rules'!$G$7:$G$26,"="&amp;(SUBSTITUTE(SUBSTITUTE(SUBSTITUTE(SUBSTITUTE("type:"&amp;B707,"%","%25"),"~","%7E"),"*","%2A"),"?","%3F")))&gt;1,"Duplicate type",IF(INDEX('Rules'!$F$7:$F$26,MATCH(SUBSTITUTE(SUBSTITUTE(SUBSTITUTE(SUBSTITUTE("type:"&amp;B707,"%","%25"),"~","%7E"),"*","%2A"),"?","%3F"),'Rules'!$G$7:$G$26,0))&lt;&gt;"",INDEX('Rules'!$F$7:$F$26,MATCH(SUBSTITUTE(SUBSTITUTE(SUBSTITUTE(SUBSTITUTE("type:"&amp;B707,"%","%25"),"~","%7E"),"*","%2A"),"?","%3F"),'Rules'!$G$7:$G$26,0)),IF(AND(C707&lt;&gt;"",C707&lt;&gt;INDEX('Rules'!$B$7:$B$26,MATCH(SUBSTITUTE(SUBSTITUTE(SUBSTITUTE(SUBSTITUTE("type:"&amp;B707,"%","%25"),"~","%7E"),"*","%2A"),"?","%3F"),'Rules'!$G$7:$G$26,0))),"Unit mismatch",IF(IF(NOT(ISNUMBER(D707)),TRUE,OR(D707&lt;0,D707&gt;999999999,ROUND(D707,3)&lt;&gt;D707)),"Invalid current reading",IF(AND(E707&lt;&gt;"",IF(NOT(ISNUMBER(E707)),TRUE,OR(E707&lt;0,E707&gt;999999999,ROUND(E707,3)&lt;&gt;E707))),"Invalid previous reading",IF(IF(NOT(ISNUMBER(F707)),TRUE,OR(F707&lt;0,F707&gt;999999999,ROUND(F707,3)&lt;&gt;F707)),"Invalid last service",IF(AND(E707&lt;&gt;"",D707&lt;E707),"Decreased reading",IF(F707&gt;D707,"Last service above current","")))))))))))))</x:f>
      </x:c>
      <x:c r="L707" s="6" t="str">
        <x:f>IF(AND(NOT(COUNTA(A707:F707)=0),K707=""),INDEX('Rules'!$C$7:$C$26,MATCH(SUBSTITUTE(SUBSTITUTE(SUBSTITUTE(SUBSTITUTE("type:"&amp;B707,"%","%25"),"~","%7E"),"*","%2A"),"?","%3F"),'Rules'!$G$7:$G$26,0)),"")</x:f>
      </x:c>
      <x:c r="M707" s="6" t="str">
        <x:f>IF(AND(NOT(COUNTA(A707:F707)=0),K707=""),INDEX('Rules'!$D$7:$D$26,MATCH(SUBSTITUTE(SUBSTITUTE(SUBSTITUTE(SUBSTITUTE("type:"&amp;B707,"%","%25"),"~","%7E"),"*","%2A"),"?","%3F"),'Rules'!$G$7:$G$26,0)),"")</x:f>
      </x:c>
      <x:c r="N707" s="5" t="str">
        <x:f>IF(COUNTA(A707:F707)=0,"",SUBSTITUTE(SUBSTITUTE(SUBSTITUTE(SUBSTITUTE("id:"&amp;A707,"%","%25"),"~","%7E"),"*","%2A"),"?","%3F"))</x:f>
      </x:c>
    </x:row>
    <x:row r="708" ht="22" customHeight="1">
      <x:c r="A708" s="3"/>
      <x:c r="B708" s="3"/>
      <x:c r="C708" s="3"/>
      <x:c r="D708" s="4"/>
      <x:c r="E708" s="4"/>
      <x:c r="F708" s="4"/>
      <x:c r="G708" s="5" t="str">
        <x:f>IF(COUNTA(A708:F708)=0,"",IF(K708&lt;&gt;"","Review",IF(I708&lt;0,"Overdue",IF(I708=0,"Due now",IF(I708&lt;=M708,"Due soon","Not due")))))</x:f>
      </x:c>
      <x:c r="H708" s="5" t="str">
        <x:f>IF(OR(COUNTA(A708:F708)=0,COUNTIFS('Rules'!$G$7:$G$26,"="&amp;(SUBSTITUTE(SUBSTITUTE(SUBSTITUTE(SUBSTITUTE("type:"&amp;B708,"%","%25"),"~","%7E"),"*","%2A"),"?","%3F")))&lt;&gt;1),"",IF(OR(INDEX('Rules'!$B$7:$B$26,MATCH(SUBSTITUTE(SUBSTITUTE(SUBSTITUTE(SUBSTITUTE("type:"&amp;B708,"%","%25"),"~","%7E"),"*","%2A"),"?","%3F"),'Rules'!$G$7:$G$26,0))="hours",INDEX('Rules'!$B$7:$B$26,MATCH(SUBSTITUTE(SUBSTITUTE(SUBSTITUTE(SUBSTITUTE("type:"&amp;B708,"%","%25"),"~","%7E"),"*","%2A"),"?","%3F"),'Rules'!$G$7:$G$26,0))="km"),INDEX('Rules'!$B$7:$B$26,MATCH(SUBSTITUTE(SUBSTITUTE(SUBSTITUTE(SUBSTITUTE("type:"&amp;B708,"%","%25"),"~","%7E"),"*","%2A"),"?","%3F"),'Rules'!$G$7:$G$26,0)),""))</x:f>
      </x:c>
      <x:c r="I708" s="6" t="str">
        <x:f>IF(AND(NOT(COUNTA(A708:F708)=0),K708=""),ROUND(J708-D708,3),"")</x:f>
      </x:c>
      <x:c r="J708" s="6" t="str">
        <x:f>IF(AND(NOT(COUNTA(A708:F708)=0),K708=""),ROUND(F708+L708,3),"")</x:f>
      </x:c>
      <x:c r="K708" s="5" t="str">
        <x:f>IF(COUNTA(A708:F708)=0,"",IF(A708="","Missing equipment ID",IF(COUNTIFS($N$8:$N$2007,"="&amp;N708)&gt;1,"Duplicate equipment ID",IF(B708="","Missing type",IF(COUNTIFS('Rules'!$G$7:$G$26,"="&amp;(SUBSTITUTE(SUBSTITUTE(SUBSTITUTE(SUBSTITUTE("type:"&amp;B708,"%","%25"),"~","%7E"),"*","%2A"),"?","%3F")))=0,"Unknown type",IF(COUNTIFS('Rules'!$G$7:$G$26,"="&amp;(SUBSTITUTE(SUBSTITUTE(SUBSTITUTE(SUBSTITUTE("type:"&amp;B708,"%","%25"),"~","%7E"),"*","%2A"),"?","%3F")))&gt;1,"Duplicate type",IF(INDEX('Rules'!$F$7:$F$26,MATCH(SUBSTITUTE(SUBSTITUTE(SUBSTITUTE(SUBSTITUTE("type:"&amp;B708,"%","%25"),"~","%7E"),"*","%2A"),"?","%3F"),'Rules'!$G$7:$G$26,0))&lt;&gt;"",INDEX('Rules'!$F$7:$F$26,MATCH(SUBSTITUTE(SUBSTITUTE(SUBSTITUTE(SUBSTITUTE("type:"&amp;B708,"%","%25"),"~","%7E"),"*","%2A"),"?","%3F"),'Rules'!$G$7:$G$26,0)),IF(AND(C708&lt;&gt;"",C708&lt;&gt;INDEX('Rules'!$B$7:$B$26,MATCH(SUBSTITUTE(SUBSTITUTE(SUBSTITUTE(SUBSTITUTE("type:"&amp;B708,"%","%25"),"~","%7E"),"*","%2A"),"?","%3F"),'Rules'!$G$7:$G$26,0))),"Unit mismatch",IF(IF(NOT(ISNUMBER(D708)),TRUE,OR(D708&lt;0,D708&gt;999999999,ROUND(D708,3)&lt;&gt;D708)),"Invalid current reading",IF(AND(E708&lt;&gt;"",IF(NOT(ISNUMBER(E708)),TRUE,OR(E708&lt;0,E708&gt;999999999,ROUND(E708,3)&lt;&gt;E708))),"Invalid previous reading",IF(IF(NOT(ISNUMBER(F708)),TRUE,OR(F708&lt;0,F708&gt;999999999,ROUND(F708,3)&lt;&gt;F708)),"Invalid last service",IF(AND(E708&lt;&gt;"",D708&lt;E708),"Decreased reading",IF(F708&gt;D708,"Last service above current","")))))))))))))</x:f>
      </x:c>
      <x:c r="L708" s="6" t="str">
        <x:f>IF(AND(NOT(COUNTA(A708:F708)=0),K708=""),INDEX('Rules'!$C$7:$C$26,MATCH(SUBSTITUTE(SUBSTITUTE(SUBSTITUTE(SUBSTITUTE("type:"&amp;B708,"%","%25"),"~","%7E"),"*","%2A"),"?","%3F"),'Rules'!$G$7:$G$26,0)),"")</x:f>
      </x:c>
      <x:c r="M708" s="6" t="str">
        <x:f>IF(AND(NOT(COUNTA(A708:F708)=0),K708=""),INDEX('Rules'!$D$7:$D$26,MATCH(SUBSTITUTE(SUBSTITUTE(SUBSTITUTE(SUBSTITUTE("type:"&amp;B708,"%","%25"),"~","%7E"),"*","%2A"),"?","%3F"),'Rules'!$G$7:$G$26,0)),"")</x:f>
      </x:c>
      <x:c r="N708" s="5" t="str">
        <x:f>IF(COUNTA(A708:F708)=0,"",SUBSTITUTE(SUBSTITUTE(SUBSTITUTE(SUBSTITUTE("id:"&amp;A708,"%","%25"),"~","%7E"),"*","%2A"),"?","%3F"))</x:f>
      </x:c>
    </x:row>
    <x:row r="709" ht="22" customHeight="1">
      <x:c r="A709" s="3"/>
      <x:c r="B709" s="3"/>
      <x:c r="C709" s="3"/>
      <x:c r="D709" s="4"/>
      <x:c r="E709" s="4"/>
      <x:c r="F709" s="4"/>
      <x:c r="G709" s="5" t="str">
        <x:f>IF(COUNTA(A709:F709)=0,"",IF(K709&lt;&gt;"","Review",IF(I709&lt;0,"Overdue",IF(I709=0,"Due now",IF(I709&lt;=M709,"Due soon","Not due")))))</x:f>
      </x:c>
      <x:c r="H709" s="5" t="str">
        <x:f>IF(OR(COUNTA(A709:F709)=0,COUNTIFS('Rules'!$G$7:$G$26,"="&amp;(SUBSTITUTE(SUBSTITUTE(SUBSTITUTE(SUBSTITUTE("type:"&amp;B709,"%","%25"),"~","%7E"),"*","%2A"),"?","%3F")))&lt;&gt;1),"",IF(OR(INDEX('Rules'!$B$7:$B$26,MATCH(SUBSTITUTE(SUBSTITUTE(SUBSTITUTE(SUBSTITUTE("type:"&amp;B709,"%","%25"),"~","%7E"),"*","%2A"),"?","%3F"),'Rules'!$G$7:$G$26,0))="hours",INDEX('Rules'!$B$7:$B$26,MATCH(SUBSTITUTE(SUBSTITUTE(SUBSTITUTE(SUBSTITUTE("type:"&amp;B709,"%","%25"),"~","%7E"),"*","%2A"),"?","%3F"),'Rules'!$G$7:$G$26,0))="km"),INDEX('Rules'!$B$7:$B$26,MATCH(SUBSTITUTE(SUBSTITUTE(SUBSTITUTE(SUBSTITUTE("type:"&amp;B709,"%","%25"),"~","%7E"),"*","%2A"),"?","%3F"),'Rules'!$G$7:$G$26,0)),""))</x:f>
      </x:c>
      <x:c r="I709" s="6" t="str">
        <x:f>IF(AND(NOT(COUNTA(A709:F709)=0),K709=""),ROUND(J709-D709,3),"")</x:f>
      </x:c>
      <x:c r="J709" s="6" t="str">
        <x:f>IF(AND(NOT(COUNTA(A709:F709)=0),K709=""),ROUND(F709+L709,3),"")</x:f>
      </x:c>
      <x:c r="K709" s="5" t="str">
        <x:f>IF(COUNTA(A709:F709)=0,"",IF(A709="","Missing equipment ID",IF(COUNTIFS($N$8:$N$2007,"="&amp;N709)&gt;1,"Duplicate equipment ID",IF(B709="","Missing type",IF(COUNTIFS('Rules'!$G$7:$G$26,"="&amp;(SUBSTITUTE(SUBSTITUTE(SUBSTITUTE(SUBSTITUTE("type:"&amp;B709,"%","%25"),"~","%7E"),"*","%2A"),"?","%3F")))=0,"Unknown type",IF(COUNTIFS('Rules'!$G$7:$G$26,"="&amp;(SUBSTITUTE(SUBSTITUTE(SUBSTITUTE(SUBSTITUTE("type:"&amp;B709,"%","%25"),"~","%7E"),"*","%2A"),"?","%3F")))&gt;1,"Duplicate type",IF(INDEX('Rules'!$F$7:$F$26,MATCH(SUBSTITUTE(SUBSTITUTE(SUBSTITUTE(SUBSTITUTE("type:"&amp;B709,"%","%25"),"~","%7E"),"*","%2A"),"?","%3F"),'Rules'!$G$7:$G$26,0))&lt;&gt;"",INDEX('Rules'!$F$7:$F$26,MATCH(SUBSTITUTE(SUBSTITUTE(SUBSTITUTE(SUBSTITUTE("type:"&amp;B709,"%","%25"),"~","%7E"),"*","%2A"),"?","%3F"),'Rules'!$G$7:$G$26,0)),IF(AND(C709&lt;&gt;"",C709&lt;&gt;INDEX('Rules'!$B$7:$B$26,MATCH(SUBSTITUTE(SUBSTITUTE(SUBSTITUTE(SUBSTITUTE("type:"&amp;B709,"%","%25"),"~","%7E"),"*","%2A"),"?","%3F"),'Rules'!$G$7:$G$26,0))),"Unit mismatch",IF(IF(NOT(ISNUMBER(D709)),TRUE,OR(D709&lt;0,D709&gt;999999999,ROUND(D709,3)&lt;&gt;D709)),"Invalid current reading",IF(AND(E709&lt;&gt;"",IF(NOT(ISNUMBER(E709)),TRUE,OR(E709&lt;0,E709&gt;999999999,ROUND(E709,3)&lt;&gt;E709))),"Invalid previous reading",IF(IF(NOT(ISNUMBER(F709)),TRUE,OR(F709&lt;0,F709&gt;999999999,ROUND(F709,3)&lt;&gt;F709)),"Invalid last service",IF(AND(E709&lt;&gt;"",D709&lt;E709),"Decreased reading",IF(F709&gt;D709,"Last service above current","")))))))))))))</x:f>
      </x:c>
      <x:c r="L709" s="6" t="str">
        <x:f>IF(AND(NOT(COUNTA(A709:F709)=0),K709=""),INDEX('Rules'!$C$7:$C$26,MATCH(SUBSTITUTE(SUBSTITUTE(SUBSTITUTE(SUBSTITUTE("type:"&amp;B709,"%","%25"),"~","%7E"),"*","%2A"),"?","%3F"),'Rules'!$G$7:$G$26,0)),"")</x:f>
      </x:c>
      <x:c r="M709" s="6" t="str">
        <x:f>IF(AND(NOT(COUNTA(A709:F709)=0),K709=""),INDEX('Rules'!$D$7:$D$26,MATCH(SUBSTITUTE(SUBSTITUTE(SUBSTITUTE(SUBSTITUTE("type:"&amp;B709,"%","%25"),"~","%7E"),"*","%2A"),"?","%3F"),'Rules'!$G$7:$G$26,0)),"")</x:f>
      </x:c>
      <x:c r="N709" s="5" t="str">
        <x:f>IF(COUNTA(A709:F709)=0,"",SUBSTITUTE(SUBSTITUTE(SUBSTITUTE(SUBSTITUTE("id:"&amp;A709,"%","%25"),"~","%7E"),"*","%2A"),"?","%3F"))</x:f>
      </x:c>
    </x:row>
    <x:row r="710" ht="22" customHeight="1">
      <x:c r="A710" s="3"/>
      <x:c r="B710" s="3"/>
      <x:c r="C710" s="3"/>
      <x:c r="D710" s="4"/>
      <x:c r="E710" s="4"/>
      <x:c r="F710" s="4"/>
      <x:c r="G710" s="5" t="str">
        <x:f>IF(COUNTA(A710:F710)=0,"",IF(K710&lt;&gt;"","Review",IF(I710&lt;0,"Overdue",IF(I710=0,"Due now",IF(I710&lt;=M710,"Due soon","Not due")))))</x:f>
      </x:c>
      <x:c r="H710" s="5" t="str">
        <x:f>IF(OR(COUNTA(A710:F710)=0,COUNTIFS('Rules'!$G$7:$G$26,"="&amp;(SUBSTITUTE(SUBSTITUTE(SUBSTITUTE(SUBSTITUTE("type:"&amp;B710,"%","%25"),"~","%7E"),"*","%2A"),"?","%3F")))&lt;&gt;1),"",IF(OR(INDEX('Rules'!$B$7:$B$26,MATCH(SUBSTITUTE(SUBSTITUTE(SUBSTITUTE(SUBSTITUTE("type:"&amp;B710,"%","%25"),"~","%7E"),"*","%2A"),"?","%3F"),'Rules'!$G$7:$G$26,0))="hours",INDEX('Rules'!$B$7:$B$26,MATCH(SUBSTITUTE(SUBSTITUTE(SUBSTITUTE(SUBSTITUTE("type:"&amp;B710,"%","%25"),"~","%7E"),"*","%2A"),"?","%3F"),'Rules'!$G$7:$G$26,0))="km"),INDEX('Rules'!$B$7:$B$26,MATCH(SUBSTITUTE(SUBSTITUTE(SUBSTITUTE(SUBSTITUTE("type:"&amp;B710,"%","%25"),"~","%7E"),"*","%2A"),"?","%3F"),'Rules'!$G$7:$G$26,0)),""))</x:f>
      </x:c>
      <x:c r="I710" s="6" t="str">
        <x:f>IF(AND(NOT(COUNTA(A710:F710)=0),K710=""),ROUND(J710-D710,3),"")</x:f>
      </x:c>
      <x:c r="J710" s="6" t="str">
        <x:f>IF(AND(NOT(COUNTA(A710:F710)=0),K710=""),ROUND(F710+L710,3),"")</x:f>
      </x:c>
      <x:c r="K710" s="5" t="str">
        <x:f>IF(COUNTA(A710:F710)=0,"",IF(A710="","Missing equipment ID",IF(COUNTIFS($N$8:$N$2007,"="&amp;N710)&gt;1,"Duplicate equipment ID",IF(B710="","Missing type",IF(COUNTIFS('Rules'!$G$7:$G$26,"="&amp;(SUBSTITUTE(SUBSTITUTE(SUBSTITUTE(SUBSTITUTE("type:"&amp;B710,"%","%25"),"~","%7E"),"*","%2A"),"?","%3F")))=0,"Unknown type",IF(COUNTIFS('Rules'!$G$7:$G$26,"="&amp;(SUBSTITUTE(SUBSTITUTE(SUBSTITUTE(SUBSTITUTE("type:"&amp;B710,"%","%25"),"~","%7E"),"*","%2A"),"?","%3F")))&gt;1,"Duplicate type",IF(INDEX('Rules'!$F$7:$F$26,MATCH(SUBSTITUTE(SUBSTITUTE(SUBSTITUTE(SUBSTITUTE("type:"&amp;B710,"%","%25"),"~","%7E"),"*","%2A"),"?","%3F"),'Rules'!$G$7:$G$26,0))&lt;&gt;"",INDEX('Rules'!$F$7:$F$26,MATCH(SUBSTITUTE(SUBSTITUTE(SUBSTITUTE(SUBSTITUTE("type:"&amp;B710,"%","%25"),"~","%7E"),"*","%2A"),"?","%3F"),'Rules'!$G$7:$G$26,0)),IF(AND(C710&lt;&gt;"",C710&lt;&gt;INDEX('Rules'!$B$7:$B$26,MATCH(SUBSTITUTE(SUBSTITUTE(SUBSTITUTE(SUBSTITUTE("type:"&amp;B710,"%","%25"),"~","%7E"),"*","%2A"),"?","%3F"),'Rules'!$G$7:$G$26,0))),"Unit mismatch",IF(IF(NOT(ISNUMBER(D710)),TRUE,OR(D710&lt;0,D710&gt;999999999,ROUND(D710,3)&lt;&gt;D710)),"Invalid current reading",IF(AND(E710&lt;&gt;"",IF(NOT(ISNUMBER(E710)),TRUE,OR(E710&lt;0,E710&gt;999999999,ROUND(E710,3)&lt;&gt;E710))),"Invalid previous reading",IF(IF(NOT(ISNUMBER(F710)),TRUE,OR(F710&lt;0,F710&gt;999999999,ROUND(F710,3)&lt;&gt;F710)),"Invalid last service",IF(AND(E710&lt;&gt;"",D710&lt;E710),"Decreased reading",IF(F710&gt;D710,"Last service above current","")))))))))))))</x:f>
      </x:c>
      <x:c r="L710" s="6" t="str">
        <x:f>IF(AND(NOT(COUNTA(A710:F710)=0),K710=""),INDEX('Rules'!$C$7:$C$26,MATCH(SUBSTITUTE(SUBSTITUTE(SUBSTITUTE(SUBSTITUTE("type:"&amp;B710,"%","%25"),"~","%7E"),"*","%2A"),"?","%3F"),'Rules'!$G$7:$G$26,0)),"")</x:f>
      </x:c>
      <x:c r="M710" s="6" t="str">
        <x:f>IF(AND(NOT(COUNTA(A710:F710)=0),K710=""),INDEX('Rules'!$D$7:$D$26,MATCH(SUBSTITUTE(SUBSTITUTE(SUBSTITUTE(SUBSTITUTE("type:"&amp;B710,"%","%25"),"~","%7E"),"*","%2A"),"?","%3F"),'Rules'!$G$7:$G$26,0)),"")</x:f>
      </x:c>
      <x:c r="N710" s="5" t="str">
        <x:f>IF(COUNTA(A710:F710)=0,"",SUBSTITUTE(SUBSTITUTE(SUBSTITUTE(SUBSTITUTE("id:"&amp;A710,"%","%25"),"~","%7E"),"*","%2A"),"?","%3F"))</x:f>
      </x:c>
    </x:row>
    <x:row r="711" ht="22" customHeight="1">
      <x:c r="A711" s="3"/>
      <x:c r="B711" s="3"/>
      <x:c r="C711" s="3"/>
      <x:c r="D711" s="4"/>
      <x:c r="E711" s="4"/>
      <x:c r="F711" s="4"/>
      <x:c r="G711" s="5" t="str">
        <x:f>IF(COUNTA(A711:F711)=0,"",IF(K711&lt;&gt;"","Review",IF(I711&lt;0,"Overdue",IF(I711=0,"Due now",IF(I711&lt;=M711,"Due soon","Not due")))))</x:f>
      </x:c>
      <x:c r="H711" s="5" t="str">
        <x:f>IF(OR(COUNTA(A711:F711)=0,COUNTIFS('Rules'!$G$7:$G$26,"="&amp;(SUBSTITUTE(SUBSTITUTE(SUBSTITUTE(SUBSTITUTE("type:"&amp;B711,"%","%25"),"~","%7E"),"*","%2A"),"?","%3F")))&lt;&gt;1),"",IF(OR(INDEX('Rules'!$B$7:$B$26,MATCH(SUBSTITUTE(SUBSTITUTE(SUBSTITUTE(SUBSTITUTE("type:"&amp;B711,"%","%25"),"~","%7E"),"*","%2A"),"?","%3F"),'Rules'!$G$7:$G$26,0))="hours",INDEX('Rules'!$B$7:$B$26,MATCH(SUBSTITUTE(SUBSTITUTE(SUBSTITUTE(SUBSTITUTE("type:"&amp;B711,"%","%25"),"~","%7E"),"*","%2A"),"?","%3F"),'Rules'!$G$7:$G$26,0))="km"),INDEX('Rules'!$B$7:$B$26,MATCH(SUBSTITUTE(SUBSTITUTE(SUBSTITUTE(SUBSTITUTE("type:"&amp;B711,"%","%25"),"~","%7E"),"*","%2A"),"?","%3F"),'Rules'!$G$7:$G$26,0)),""))</x:f>
      </x:c>
      <x:c r="I711" s="6" t="str">
        <x:f>IF(AND(NOT(COUNTA(A711:F711)=0),K711=""),ROUND(J711-D711,3),"")</x:f>
      </x:c>
      <x:c r="J711" s="6" t="str">
        <x:f>IF(AND(NOT(COUNTA(A711:F711)=0),K711=""),ROUND(F711+L711,3),"")</x:f>
      </x:c>
      <x:c r="K711" s="5" t="str">
        <x:f>IF(COUNTA(A711:F711)=0,"",IF(A711="","Missing equipment ID",IF(COUNTIFS($N$8:$N$2007,"="&amp;N711)&gt;1,"Duplicate equipment ID",IF(B711="","Missing type",IF(COUNTIFS('Rules'!$G$7:$G$26,"="&amp;(SUBSTITUTE(SUBSTITUTE(SUBSTITUTE(SUBSTITUTE("type:"&amp;B711,"%","%25"),"~","%7E"),"*","%2A"),"?","%3F")))=0,"Unknown type",IF(COUNTIFS('Rules'!$G$7:$G$26,"="&amp;(SUBSTITUTE(SUBSTITUTE(SUBSTITUTE(SUBSTITUTE("type:"&amp;B711,"%","%25"),"~","%7E"),"*","%2A"),"?","%3F")))&gt;1,"Duplicate type",IF(INDEX('Rules'!$F$7:$F$26,MATCH(SUBSTITUTE(SUBSTITUTE(SUBSTITUTE(SUBSTITUTE("type:"&amp;B711,"%","%25"),"~","%7E"),"*","%2A"),"?","%3F"),'Rules'!$G$7:$G$26,0))&lt;&gt;"",INDEX('Rules'!$F$7:$F$26,MATCH(SUBSTITUTE(SUBSTITUTE(SUBSTITUTE(SUBSTITUTE("type:"&amp;B711,"%","%25"),"~","%7E"),"*","%2A"),"?","%3F"),'Rules'!$G$7:$G$26,0)),IF(AND(C711&lt;&gt;"",C711&lt;&gt;INDEX('Rules'!$B$7:$B$26,MATCH(SUBSTITUTE(SUBSTITUTE(SUBSTITUTE(SUBSTITUTE("type:"&amp;B711,"%","%25"),"~","%7E"),"*","%2A"),"?","%3F"),'Rules'!$G$7:$G$26,0))),"Unit mismatch",IF(IF(NOT(ISNUMBER(D711)),TRUE,OR(D711&lt;0,D711&gt;999999999,ROUND(D711,3)&lt;&gt;D711)),"Invalid current reading",IF(AND(E711&lt;&gt;"",IF(NOT(ISNUMBER(E711)),TRUE,OR(E711&lt;0,E711&gt;999999999,ROUND(E711,3)&lt;&gt;E711))),"Invalid previous reading",IF(IF(NOT(ISNUMBER(F711)),TRUE,OR(F711&lt;0,F711&gt;999999999,ROUND(F711,3)&lt;&gt;F711)),"Invalid last service",IF(AND(E711&lt;&gt;"",D711&lt;E711),"Decreased reading",IF(F711&gt;D711,"Last service above current","")))))))))))))</x:f>
      </x:c>
      <x:c r="L711" s="6" t="str">
        <x:f>IF(AND(NOT(COUNTA(A711:F711)=0),K711=""),INDEX('Rules'!$C$7:$C$26,MATCH(SUBSTITUTE(SUBSTITUTE(SUBSTITUTE(SUBSTITUTE("type:"&amp;B711,"%","%25"),"~","%7E"),"*","%2A"),"?","%3F"),'Rules'!$G$7:$G$26,0)),"")</x:f>
      </x:c>
      <x:c r="M711" s="6" t="str">
        <x:f>IF(AND(NOT(COUNTA(A711:F711)=0),K711=""),INDEX('Rules'!$D$7:$D$26,MATCH(SUBSTITUTE(SUBSTITUTE(SUBSTITUTE(SUBSTITUTE("type:"&amp;B711,"%","%25"),"~","%7E"),"*","%2A"),"?","%3F"),'Rules'!$G$7:$G$26,0)),"")</x:f>
      </x:c>
      <x:c r="N711" s="5" t="str">
        <x:f>IF(COUNTA(A711:F711)=0,"",SUBSTITUTE(SUBSTITUTE(SUBSTITUTE(SUBSTITUTE("id:"&amp;A711,"%","%25"),"~","%7E"),"*","%2A"),"?","%3F"))</x:f>
      </x:c>
    </x:row>
    <x:row r="712" ht="22" customHeight="1">
      <x:c r="A712" s="3"/>
      <x:c r="B712" s="3"/>
      <x:c r="C712" s="3"/>
      <x:c r="D712" s="4"/>
      <x:c r="E712" s="4"/>
      <x:c r="F712" s="4"/>
      <x:c r="G712" s="5" t="str">
        <x:f>IF(COUNTA(A712:F712)=0,"",IF(K712&lt;&gt;"","Review",IF(I712&lt;0,"Overdue",IF(I712=0,"Due now",IF(I712&lt;=M712,"Due soon","Not due")))))</x:f>
      </x:c>
      <x:c r="H712" s="5" t="str">
        <x:f>IF(OR(COUNTA(A712:F712)=0,COUNTIFS('Rules'!$G$7:$G$26,"="&amp;(SUBSTITUTE(SUBSTITUTE(SUBSTITUTE(SUBSTITUTE("type:"&amp;B712,"%","%25"),"~","%7E"),"*","%2A"),"?","%3F")))&lt;&gt;1),"",IF(OR(INDEX('Rules'!$B$7:$B$26,MATCH(SUBSTITUTE(SUBSTITUTE(SUBSTITUTE(SUBSTITUTE("type:"&amp;B712,"%","%25"),"~","%7E"),"*","%2A"),"?","%3F"),'Rules'!$G$7:$G$26,0))="hours",INDEX('Rules'!$B$7:$B$26,MATCH(SUBSTITUTE(SUBSTITUTE(SUBSTITUTE(SUBSTITUTE("type:"&amp;B712,"%","%25"),"~","%7E"),"*","%2A"),"?","%3F"),'Rules'!$G$7:$G$26,0))="km"),INDEX('Rules'!$B$7:$B$26,MATCH(SUBSTITUTE(SUBSTITUTE(SUBSTITUTE(SUBSTITUTE("type:"&amp;B712,"%","%25"),"~","%7E"),"*","%2A"),"?","%3F"),'Rules'!$G$7:$G$26,0)),""))</x:f>
      </x:c>
      <x:c r="I712" s="6" t="str">
        <x:f>IF(AND(NOT(COUNTA(A712:F712)=0),K712=""),ROUND(J712-D712,3),"")</x:f>
      </x:c>
      <x:c r="J712" s="6" t="str">
        <x:f>IF(AND(NOT(COUNTA(A712:F712)=0),K712=""),ROUND(F712+L712,3),"")</x:f>
      </x:c>
      <x:c r="K712" s="5" t="str">
        <x:f>IF(COUNTA(A712:F712)=0,"",IF(A712="","Missing equipment ID",IF(COUNTIFS($N$8:$N$2007,"="&amp;N712)&gt;1,"Duplicate equipment ID",IF(B712="","Missing type",IF(COUNTIFS('Rules'!$G$7:$G$26,"="&amp;(SUBSTITUTE(SUBSTITUTE(SUBSTITUTE(SUBSTITUTE("type:"&amp;B712,"%","%25"),"~","%7E"),"*","%2A"),"?","%3F")))=0,"Unknown type",IF(COUNTIFS('Rules'!$G$7:$G$26,"="&amp;(SUBSTITUTE(SUBSTITUTE(SUBSTITUTE(SUBSTITUTE("type:"&amp;B712,"%","%25"),"~","%7E"),"*","%2A"),"?","%3F")))&gt;1,"Duplicate type",IF(INDEX('Rules'!$F$7:$F$26,MATCH(SUBSTITUTE(SUBSTITUTE(SUBSTITUTE(SUBSTITUTE("type:"&amp;B712,"%","%25"),"~","%7E"),"*","%2A"),"?","%3F"),'Rules'!$G$7:$G$26,0))&lt;&gt;"",INDEX('Rules'!$F$7:$F$26,MATCH(SUBSTITUTE(SUBSTITUTE(SUBSTITUTE(SUBSTITUTE("type:"&amp;B712,"%","%25"),"~","%7E"),"*","%2A"),"?","%3F"),'Rules'!$G$7:$G$26,0)),IF(AND(C712&lt;&gt;"",C712&lt;&gt;INDEX('Rules'!$B$7:$B$26,MATCH(SUBSTITUTE(SUBSTITUTE(SUBSTITUTE(SUBSTITUTE("type:"&amp;B712,"%","%25"),"~","%7E"),"*","%2A"),"?","%3F"),'Rules'!$G$7:$G$26,0))),"Unit mismatch",IF(IF(NOT(ISNUMBER(D712)),TRUE,OR(D712&lt;0,D712&gt;999999999,ROUND(D712,3)&lt;&gt;D712)),"Invalid current reading",IF(AND(E712&lt;&gt;"",IF(NOT(ISNUMBER(E712)),TRUE,OR(E712&lt;0,E712&gt;999999999,ROUND(E712,3)&lt;&gt;E712))),"Invalid previous reading",IF(IF(NOT(ISNUMBER(F712)),TRUE,OR(F712&lt;0,F712&gt;999999999,ROUND(F712,3)&lt;&gt;F712)),"Invalid last service",IF(AND(E712&lt;&gt;"",D712&lt;E712),"Decreased reading",IF(F712&gt;D712,"Last service above current","")))))))))))))</x:f>
      </x:c>
      <x:c r="L712" s="6" t="str">
        <x:f>IF(AND(NOT(COUNTA(A712:F712)=0),K712=""),INDEX('Rules'!$C$7:$C$26,MATCH(SUBSTITUTE(SUBSTITUTE(SUBSTITUTE(SUBSTITUTE("type:"&amp;B712,"%","%25"),"~","%7E"),"*","%2A"),"?","%3F"),'Rules'!$G$7:$G$26,0)),"")</x:f>
      </x:c>
      <x:c r="M712" s="6" t="str">
        <x:f>IF(AND(NOT(COUNTA(A712:F712)=0),K712=""),INDEX('Rules'!$D$7:$D$26,MATCH(SUBSTITUTE(SUBSTITUTE(SUBSTITUTE(SUBSTITUTE("type:"&amp;B712,"%","%25"),"~","%7E"),"*","%2A"),"?","%3F"),'Rules'!$G$7:$G$26,0)),"")</x:f>
      </x:c>
      <x:c r="N712" s="5" t="str">
        <x:f>IF(COUNTA(A712:F712)=0,"",SUBSTITUTE(SUBSTITUTE(SUBSTITUTE(SUBSTITUTE("id:"&amp;A712,"%","%25"),"~","%7E"),"*","%2A"),"?","%3F"))</x:f>
      </x:c>
    </x:row>
    <x:row r="713" ht="22" customHeight="1">
      <x:c r="A713" s="3"/>
      <x:c r="B713" s="3"/>
      <x:c r="C713" s="3"/>
      <x:c r="D713" s="4"/>
      <x:c r="E713" s="4"/>
      <x:c r="F713" s="4"/>
      <x:c r="G713" s="5" t="str">
        <x:f>IF(COUNTA(A713:F713)=0,"",IF(K713&lt;&gt;"","Review",IF(I713&lt;0,"Overdue",IF(I713=0,"Due now",IF(I713&lt;=M713,"Due soon","Not due")))))</x:f>
      </x:c>
      <x:c r="H713" s="5" t="str">
        <x:f>IF(OR(COUNTA(A713:F713)=0,COUNTIFS('Rules'!$G$7:$G$26,"="&amp;(SUBSTITUTE(SUBSTITUTE(SUBSTITUTE(SUBSTITUTE("type:"&amp;B713,"%","%25"),"~","%7E"),"*","%2A"),"?","%3F")))&lt;&gt;1),"",IF(OR(INDEX('Rules'!$B$7:$B$26,MATCH(SUBSTITUTE(SUBSTITUTE(SUBSTITUTE(SUBSTITUTE("type:"&amp;B713,"%","%25"),"~","%7E"),"*","%2A"),"?","%3F"),'Rules'!$G$7:$G$26,0))="hours",INDEX('Rules'!$B$7:$B$26,MATCH(SUBSTITUTE(SUBSTITUTE(SUBSTITUTE(SUBSTITUTE("type:"&amp;B713,"%","%25"),"~","%7E"),"*","%2A"),"?","%3F"),'Rules'!$G$7:$G$26,0))="km"),INDEX('Rules'!$B$7:$B$26,MATCH(SUBSTITUTE(SUBSTITUTE(SUBSTITUTE(SUBSTITUTE("type:"&amp;B713,"%","%25"),"~","%7E"),"*","%2A"),"?","%3F"),'Rules'!$G$7:$G$26,0)),""))</x:f>
      </x:c>
      <x:c r="I713" s="6" t="str">
        <x:f>IF(AND(NOT(COUNTA(A713:F713)=0),K713=""),ROUND(J713-D713,3),"")</x:f>
      </x:c>
      <x:c r="J713" s="6" t="str">
        <x:f>IF(AND(NOT(COUNTA(A713:F713)=0),K713=""),ROUND(F713+L713,3),"")</x:f>
      </x:c>
      <x:c r="K713" s="5" t="str">
        <x:f>IF(COUNTA(A713:F713)=0,"",IF(A713="","Missing equipment ID",IF(COUNTIFS($N$8:$N$2007,"="&amp;N713)&gt;1,"Duplicate equipment ID",IF(B713="","Missing type",IF(COUNTIFS('Rules'!$G$7:$G$26,"="&amp;(SUBSTITUTE(SUBSTITUTE(SUBSTITUTE(SUBSTITUTE("type:"&amp;B713,"%","%25"),"~","%7E"),"*","%2A"),"?","%3F")))=0,"Unknown type",IF(COUNTIFS('Rules'!$G$7:$G$26,"="&amp;(SUBSTITUTE(SUBSTITUTE(SUBSTITUTE(SUBSTITUTE("type:"&amp;B713,"%","%25"),"~","%7E"),"*","%2A"),"?","%3F")))&gt;1,"Duplicate type",IF(INDEX('Rules'!$F$7:$F$26,MATCH(SUBSTITUTE(SUBSTITUTE(SUBSTITUTE(SUBSTITUTE("type:"&amp;B713,"%","%25"),"~","%7E"),"*","%2A"),"?","%3F"),'Rules'!$G$7:$G$26,0))&lt;&gt;"",INDEX('Rules'!$F$7:$F$26,MATCH(SUBSTITUTE(SUBSTITUTE(SUBSTITUTE(SUBSTITUTE("type:"&amp;B713,"%","%25"),"~","%7E"),"*","%2A"),"?","%3F"),'Rules'!$G$7:$G$26,0)),IF(AND(C713&lt;&gt;"",C713&lt;&gt;INDEX('Rules'!$B$7:$B$26,MATCH(SUBSTITUTE(SUBSTITUTE(SUBSTITUTE(SUBSTITUTE("type:"&amp;B713,"%","%25"),"~","%7E"),"*","%2A"),"?","%3F"),'Rules'!$G$7:$G$26,0))),"Unit mismatch",IF(IF(NOT(ISNUMBER(D713)),TRUE,OR(D713&lt;0,D713&gt;999999999,ROUND(D713,3)&lt;&gt;D713)),"Invalid current reading",IF(AND(E713&lt;&gt;"",IF(NOT(ISNUMBER(E713)),TRUE,OR(E713&lt;0,E713&gt;999999999,ROUND(E713,3)&lt;&gt;E713))),"Invalid previous reading",IF(IF(NOT(ISNUMBER(F713)),TRUE,OR(F713&lt;0,F713&gt;999999999,ROUND(F713,3)&lt;&gt;F713)),"Invalid last service",IF(AND(E713&lt;&gt;"",D713&lt;E713),"Decreased reading",IF(F713&gt;D713,"Last service above current","")))))))))))))</x:f>
      </x:c>
      <x:c r="L713" s="6" t="str">
        <x:f>IF(AND(NOT(COUNTA(A713:F713)=0),K713=""),INDEX('Rules'!$C$7:$C$26,MATCH(SUBSTITUTE(SUBSTITUTE(SUBSTITUTE(SUBSTITUTE("type:"&amp;B713,"%","%25"),"~","%7E"),"*","%2A"),"?","%3F"),'Rules'!$G$7:$G$26,0)),"")</x:f>
      </x:c>
      <x:c r="M713" s="6" t="str">
        <x:f>IF(AND(NOT(COUNTA(A713:F713)=0),K713=""),INDEX('Rules'!$D$7:$D$26,MATCH(SUBSTITUTE(SUBSTITUTE(SUBSTITUTE(SUBSTITUTE("type:"&amp;B713,"%","%25"),"~","%7E"),"*","%2A"),"?","%3F"),'Rules'!$G$7:$G$26,0)),"")</x:f>
      </x:c>
      <x:c r="N713" s="5" t="str">
        <x:f>IF(COUNTA(A713:F713)=0,"",SUBSTITUTE(SUBSTITUTE(SUBSTITUTE(SUBSTITUTE("id:"&amp;A713,"%","%25"),"~","%7E"),"*","%2A"),"?","%3F"))</x:f>
      </x:c>
    </x:row>
    <x:row r="714" ht="22" customHeight="1">
      <x:c r="A714" s="3"/>
      <x:c r="B714" s="3"/>
      <x:c r="C714" s="3"/>
      <x:c r="D714" s="4"/>
      <x:c r="E714" s="4"/>
      <x:c r="F714" s="4"/>
      <x:c r="G714" s="5" t="str">
        <x:f>IF(COUNTA(A714:F714)=0,"",IF(K714&lt;&gt;"","Review",IF(I714&lt;0,"Overdue",IF(I714=0,"Due now",IF(I714&lt;=M714,"Due soon","Not due")))))</x:f>
      </x:c>
      <x:c r="H714" s="5" t="str">
        <x:f>IF(OR(COUNTA(A714:F714)=0,COUNTIFS('Rules'!$G$7:$G$26,"="&amp;(SUBSTITUTE(SUBSTITUTE(SUBSTITUTE(SUBSTITUTE("type:"&amp;B714,"%","%25"),"~","%7E"),"*","%2A"),"?","%3F")))&lt;&gt;1),"",IF(OR(INDEX('Rules'!$B$7:$B$26,MATCH(SUBSTITUTE(SUBSTITUTE(SUBSTITUTE(SUBSTITUTE("type:"&amp;B714,"%","%25"),"~","%7E"),"*","%2A"),"?","%3F"),'Rules'!$G$7:$G$26,0))="hours",INDEX('Rules'!$B$7:$B$26,MATCH(SUBSTITUTE(SUBSTITUTE(SUBSTITUTE(SUBSTITUTE("type:"&amp;B714,"%","%25"),"~","%7E"),"*","%2A"),"?","%3F"),'Rules'!$G$7:$G$26,0))="km"),INDEX('Rules'!$B$7:$B$26,MATCH(SUBSTITUTE(SUBSTITUTE(SUBSTITUTE(SUBSTITUTE("type:"&amp;B714,"%","%25"),"~","%7E"),"*","%2A"),"?","%3F"),'Rules'!$G$7:$G$26,0)),""))</x:f>
      </x:c>
      <x:c r="I714" s="6" t="str">
        <x:f>IF(AND(NOT(COUNTA(A714:F714)=0),K714=""),ROUND(J714-D714,3),"")</x:f>
      </x:c>
      <x:c r="J714" s="6" t="str">
        <x:f>IF(AND(NOT(COUNTA(A714:F714)=0),K714=""),ROUND(F714+L714,3),"")</x:f>
      </x:c>
      <x:c r="K714" s="5" t="str">
        <x:f>IF(COUNTA(A714:F714)=0,"",IF(A714="","Missing equipment ID",IF(COUNTIFS($N$8:$N$2007,"="&amp;N714)&gt;1,"Duplicate equipment ID",IF(B714="","Missing type",IF(COUNTIFS('Rules'!$G$7:$G$26,"="&amp;(SUBSTITUTE(SUBSTITUTE(SUBSTITUTE(SUBSTITUTE("type:"&amp;B714,"%","%25"),"~","%7E"),"*","%2A"),"?","%3F")))=0,"Unknown type",IF(COUNTIFS('Rules'!$G$7:$G$26,"="&amp;(SUBSTITUTE(SUBSTITUTE(SUBSTITUTE(SUBSTITUTE("type:"&amp;B714,"%","%25"),"~","%7E"),"*","%2A"),"?","%3F")))&gt;1,"Duplicate type",IF(INDEX('Rules'!$F$7:$F$26,MATCH(SUBSTITUTE(SUBSTITUTE(SUBSTITUTE(SUBSTITUTE("type:"&amp;B714,"%","%25"),"~","%7E"),"*","%2A"),"?","%3F"),'Rules'!$G$7:$G$26,0))&lt;&gt;"",INDEX('Rules'!$F$7:$F$26,MATCH(SUBSTITUTE(SUBSTITUTE(SUBSTITUTE(SUBSTITUTE("type:"&amp;B714,"%","%25"),"~","%7E"),"*","%2A"),"?","%3F"),'Rules'!$G$7:$G$26,0)),IF(AND(C714&lt;&gt;"",C714&lt;&gt;INDEX('Rules'!$B$7:$B$26,MATCH(SUBSTITUTE(SUBSTITUTE(SUBSTITUTE(SUBSTITUTE("type:"&amp;B714,"%","%25"),"~","%7E"),"*","%2A"),"?","%3F"),'Rules'!$G$7:$G$26,0))),"Unit mismatch",IF(IF(NOT(ISNUMBER(D714)),TRUE,OR(D714&lt;0,D714&gt;999999999,ROUND(D714,3)&lt;&gt;D714)),"Invalid current reading",IF(AND(E714&lt;&gt;"",IF(NOT(ISNUMBER(E714)),TRUE,OR(E714&lt;0,E714&gt;999999999,ROUND(E714,3)&lt;&gt;E714))),"Invalid previous reading",IF(IF(NOT(ISNUMBER(F714)),TRUE,OR(F714&lt;0,F714&gt;999999999,ROUND(F714,3)&lt;&gt;F714)),"Invalid last service",IF(AND(E714&lt;&gt;"",D714&lt;E714),"Decreased reading",IF(F714&gt;D714,"Last service above current","")))))))))))))</x:f>
      </x:c>
      <x:c r="L714" s="6" t="str">
        <x:f>IF(AND(NOT(COUNTA(A714:F714)=0),K714=""),INDEX('Rules'!$C$7:$C$26,MATCH(SUBSTITUTE(SUBSTITUTE(SUBSTITUTE(SUBSTITUTE("type:"&amp;B714,"%","%25"),"~","%7E"),"*","%2A"),"?","%3F"),'Rules'!$G$7:$G$26,0)),"")</x:f>
      </x:c>
      <x:c r="M714" s="6" t="str">
        <x:f>IF(AND(NOT(COUNTA(A714:F714)=0),K714=""),INDEX('Rules'!$D$7:$D$26,MATCH(SUBSTITUTE(SUBSTITUTE(SUBSTITUTE(SUBSTITUTE("type:"&amp;B714,"%","%25"),"~","%7E"),"*","%2A"),"?","%3F"),'Rules'!$G$7:$G$26,0)),"")</x:f>
      </x:c>
      <x:c r="N714" s="5" t="str">
        <x:f>IF(COUNTA(A714:F714)=0,"",SUBSTITUTE(SUBSTITUTE(SUBSTITUTE(SUBSTITUTE("id:"&amp;A714,"%","%25"),"~","%7E"),"*","%2A"),"?","%3F"))</x:f>
      </x:c>
    </x:row>
    <x:row r="715" ht="22" customHeight="1">
      <x:c r="A715" s="3"/>
      <x:c r="B715" s="3"/>
      <x:c r="C715" s="3"/>
      <x:c r="D715" s="4"/>
      <x:c r="E715" s="4"/>
      <x:c r="F715" s="4"/>
      <x:c r="G715" s="5" t="str">
        <x:f>IF(COUNTA(A715:F715)=0,"",IF(K715&lt;&gt;"","Review",IF(I715&lt;0,"Overdue",IF(I715=0,"Due now",IF(I715&lt;=M715,"Due soon","Not due")))))</x:f>
      </x:c>
      <x:c r="H715" s="5" t="str">
        <x:f>IF(OR(COUNTA(A715:F715)=0,COUNTIFS('Rules'!$G$7:$G$26,"="&amp;(SUBSTITUTE(SUBSTITUTE(SUBSTITUTE(SUBSTITUTE("type:"&amp;B715,"%","%25"),"~","%7E"),"*","%2A"),"?","%3F")))&lt;&gt;1),"",IF(OR(INDEX('Rules'!$B$7:$B$26,MATCH(SUBSTITUTE(SUBSTITUTE(SUBSTITUTE(SUBSTITUTE("type:"&amp;B715,"%","%25"),"~","%7E"),"*","%2A"),"?","%3F"),'Rules'!$G$7:$G$26,0))="hours",INDEX('Rules'!$B$7:$B$26,MATCH(SUBSTITUTE(SUBSTITUTE(SUBSTITUTE(SUBSTITUTE("type:"&amp;B715,"%","%25"),"~","%7E"),"*","%2A"),"?","%3F"),'Rules'!$G$7:$G$26,0))="km"),INDEX('Rules'!$B$7:$B$26,MATCH(SUBSTITUTE(SUBSTITUTE(SUBSTITUTE(SUBSTITUTE("type:"&amp;B715,"%","%25"),"~","%7E"),"*","%2A"),"?","%3F"),'Rules'!$G$7:$G$26,0)),""))</x:f>
      </x:c>
      <x:c r="I715" s="6" t="str">
        <x:f>IF(AND(NOT(COUNTA(A715:F715)=0),K715=""),ROUND(J715-D715,3),"")</x:f>
      </x:c>
      <x:c r="J715" s="6" t="str">
        <x:f>IF(AND(NOT(COUNTA(A715:F715)=0),K715=""),ROUND(F715+L715,3),"")</x:f>
      </x:c>
      <x:c r="K715" s="5" t="str">
        <x:f>IF(COUNTA(A715:F715)=0,"",IF(A715="","Missing equipment ID",IF(COUNTIFS($N$8:$N$2007,"="&amp;N715)&gt;1,"Duplicate equipment ID",IF(B715="","Missing type",IF(COUNTIFS('Rules'!$G$7:$G$26,"="&amp;(SUBSTITUTE(SUBSTITUTE(SUBSTITUTE(SUBSTITUTE("type:"&amp;B715,"%","%25"),"~","%7E"),"*","%2A"),"?","%3F")))=0,"Unknown type",IF(COUNTIFS('Rules'!$G$7:$G$26,"="&amp;(SUBSTITUTE(SUBSTITUTE(SUBSTITUTE(SUBSTITUTE("type:"&amp;B715,"%","%25"),"~","%7E"),"*","%2A"),"?","%3F")))&gt;1,"Duplicate type",IF(INDEX('Rules'!$F$7:$F$26,MATCH(SUBSTITUTE(SUBSTITUTE(SUBSTITUTE(SUBSTITUTE("type:"&amp;B715,"%","%25"),"~","%7E"),"*","%2A"),"?","%3F"),'Rules'!$G$7:$G$26,0))&lt;&gt;"",INDEX('Rules'!$F$7:$F$26,MATCH(SUBSTITUTE(SUBSTITUTE(SUBSTITUTE(SUBSTITUTE("type:"&amp;B715,"%","%25"),"~","%7E"),"*","%2A"),"?","%3F"),'Rules'!$G$7:$G$26,0)),IF(AND(C715&lt;&gt;"",C715&lt;&gt;INDEX('Rules'!$B$7:$B$26,MATCH(SUBSTITUTE(SUBSTITUTE(SUBSTITUTE(SUBSTITUTE("type:"&amp;B715,"%","%25"),"~","%7E"),"*","%2A"),"?","%3F"),'Rules'!$G$7:$G$26,0))),"Unit mismatch",IF(IF(NOT(ISNUMBER(D715)),TRUE,OR(D715&lt;0,D715&gt;999999999,ROUND(D715,3)&lt;&gt;D715)),"Invalid current reading",IF(AND(E715&lt;&gt;"",IF(NOT(ISNUMBER(E715)),TRUE,OR(E715&lt;0,E715&gt;999999999,ROUND(E715,3)&lt;&gt;E715))),"Invalid previous reading",IF(IF(NOT(ISNUMBER(F715)),TRUE,OR(F715&lt;0,F715&gt;999999999,ROUND(F715,3)&lt;&gt;F715)),"Invalid last service",IF(AND(E715&lt;&gt;"",D715&lt;E715),"Decreased reading",IF(F715&gt;D715,"Last service above current","")))))))))))))</x:f>
      </x:c>
      <x:c r="L715" s="6" t="str">
        <x:f>IF(AND(NOT(COUNTA(A715:F715)=0),K715=""),INDEX('Rules'!$C$7:$C$26,MATCH(SUBSTITUTE(SUBSTITUTE(SUBSTITUTE(SUBSTITUTE("type:"&amp;B715,"%","%25"),"~","%7E"),"*","%2A"),"?","%3F"),'Rules'!$G$7:$G$26,0)),"")</x:f>
      </x:c>
      <x:c r="M715" s="6" t="str">
        <x:f>IF(AND(NOT(COUNTA(A715:F715)=0),K715=""),INDEX('Rules'!$D$7:$D$26,MATCH(SUBSTITUTE(SUBSTITUTE(SUBSTITUTE(SUBSTITUTE("type:"&amp;B715,"%","%25"),"~","%7E"),"*","%2A"),"?","%3F"),'Rules'!$G$7:$G$26,0)),"")</x:f>
      </x:c>
      <x:c r="N715" s="5" t="str">
        <x:f>IF(COUNTA(A715:F715)=0,"",SUBSTITUTE(SUBSTITUTE(SUBSTITUTE(SUBSTITUTE("id:"&amp;A715,"%","%25"),"~","%7E"),"*","%2A"),"?","%3F"))</x:f>
      </x:c>
    </x:row>
    <x:row r="716" ht="22" customHeight="1">
      <x:c r="A716" s="3"/>
      <x:c r="B716" s="3"/>
      <x:c r="C716" s="3"/>
      <x:c r="D716" s="4"/>
      <x:c r="E716" s="4"/>
      <x:c r="F716" s="4"/>
      <x:c r="G716" s="5" t="str">
        <x:f>IF(COUNTA(A716:F716)=0,"",IF(K716&lt;&gt;"","Review",IF(I716&lt;0,"Overdue",IF(I716=0,"Due now",IF(I716&lt;=M716,"Due soon","Not due")))))</x:f>
      </x:c>
      <x:c r="H716" s="5" t="str">
        <x:f>IF(OR(COUNTA(A716:F716)=0,COUNTIFS('Rules'!$G$7:$G$26,"="&amp;(SUBSTITUTE(SUBSTITUTE(SUBSTITUTE(SUBSTITUTE("type:"&amp;B716,"%","%25"),"~","%7E"),"*","%2A"),"?","%3F")))&lt;&gt;1),"",IF(OR(INDEX('Rules'!$B$7:$B$26,MATCH(SUBSTITUTE(SUBSTITUTE(SUBSTITUTE(SUBSTITUTE("type:"&amp;B716,"%","%25"),"~","%7E"),"*","%2A"),"?","%3F"),'Rules'!$G$7:$G$26,0))="hours",INDEX('Rules'!$B$7:$B$26,MATCH(SUBSTITUTE(SUBSTITUTE(SUBSTITUTE(SUBSTITUTE("type:"&amp;B716,"%","%25"),"~","%7E"),"*","%2A"),"?","%3F"),'Rules'!$G$7:$G$26,0))="km"),INDEX('Rules'!$B$7:$B$26,MATCH(SUBSTITUTE(SUBSTITUTE(SUBSTITUTE(SUBSTITUTE("type:"&amp;B716,"%","%25"),"~","%7E"),"*","%2A"),"?","%3F"),'Rules'!$G$7:$G$26,0)),""))</x:f>
      </x:c>
      <x:c r="I716" s="6" t="str">
        <x:f>IF(AND(NOT(COUNTA(A716:F716)=0),K716=""),ROUND(J716-D716,3),"")</x:f>
      </x:c>
      <x:c r="J716" s="6" t="str">
        <x:f>IF(AND(NOT(COUNTA(A716:F716)=0),K716=""),ROUND(F716+L716,3),"")</x:f>
      </x:c>
      <x:c r="K716" s="5" t="str">
        <x:f>IF(COUNTA(A716:F716)=0,"",IF(A716="","Missing equipment ID",IF(COUNTIFS($N$8:$N$2007,"="&amp;N716)&gt;1,"Duplicate equipment ID",IF(B716="","Missing type",IF(COUNTIFS('Rules'!$G$7:$G$26,"="&amp;(SUBSTITUTE(SUBSTITUTE(SUBSTITUTE(SUBSTITUTE("type:"&amp;B716,"%","%25"),"~","%7E"),"*","%2A"),"?","%3F")))=0,"Unknown type",IF(COUNTIFS('Rules'!$G$7:$G$26,"="&amp;(SUBSTITUTE(SUBSTITUTE(SUBSTITUTE(SUBSTITUTE("type:"&amp;B716,"%","%25"),"~","%7E"),"*","%2A"),"?","%3F")))&gt;1,"Duplicate type",IF(INDEX('Rules'!$F$7:$F$26,MATCH(SUBSTITUTE(SUBSTITUTE(SUBSTITUTE(SUBSTITUTE("type:"&amp;B716,"%","%25"),"~","%7E"),"*","%2A"),"?","%3F"),'Rules'!$G$7:$G$26,0))&lt;&gt;"",INDEX('Rules'!$F$7:$F$26,MATCH(SUBSTITUTE(SUBSTITUTE(SUBSTITUTE(SUBSTITUTE("type:"&amp;B716,"%","%25"),"~","%7E"),"*","%2A"),"?","%3F"),'Rules'!$G$7:$G$26,0)),IF(AND(C716&lt;&gt;"",C716&lt;&gt;INDEX('Rules'!$B$7:$B$26,MATCH(SUBSTITUTE(SUBSTITUTE(SUBSTITUTE(SUBSTITUTE("type:"&amp;B716,"%","%25"),"~","%7E"),"*","%2A"),"?","%3F"),'Rules'!$G$7:$G$26,0))),"Unit mismatch",IF(IF(NOT(ISNUMBER(D716)),TRUE,OR(D716&lt;0,D716&gt;999999999,ROUND(D716,3)&lt;&gt;D716)),"Invalid current reading",IF(AND(E716&lt;&gt;"",IF(NOT(ISNUMBER(E716)),TRUE,OR(E716&lt;0,E716&gt;999999999,ROUND(E716,3)&lt;&gt;E716))),"Invalid previous reading",IF(IF(NOT(ISNUMBER(F716)),TRUE,OR(F716&lt;0,F716&gt;999999999,ROUND(F716,3)&lt;&gt;F716)),"Invalid last service",IF(AND(E716&lt;&gt;"",D716&lt;E716),"Decreased reading",IF(F716&gt;D716,"Last service above current","")))))))))))))</x:f>
      </x:c>
      <x:c r="L716" s="6" t="str">
        <x:f>IF(AND(NOT(COUNTA(A716:F716)=0),K716=""),INDEX('Rules'!$C$7:$C$26,MATCH(SUBSTITUTE(SUBSTITUTE(SUBSTITUTE(SUBSTITUTE("type:"&amp;B716,"%","%25"),"~","%7E"),"*","%2A"),"?","%3F"),'Rules'!$G$7:$G$26,0)),"")</x:f>
      </x:c>
      <x:c r="M716" s="6" t="str">
        <x:f>IF(AND(NOT(COUNTA(A716:F716)=0),K716=""),INDEX('Rules'!$D$7:$D$26,MATCH(SUBSTITUTE(SUBSTITUTE(SUBSTITUTE(SUBSTITUTE("type:"&amp;B716,"%","%25"),"~","%7E"),"*","%2A"),"?","%3F"),'Rules'!$G$7:$G$26,0)),"")</x:f>
      </x:c>
      <x:c r="N716" s="5" t="str">
        <x:f>IF(COUNTA(A716:F716)=0,"",SUBSTITUTE(SUBSTITUTE(SUBSTITUTE(SUBSTITUTE("id:"&amp;A716,"%","%25"),"~","%7E"),"*","%2A"),"?","%3F"))</x:f>
      </x:c>
    </x:row>
    <x:row r="717" ht="22" customHeight="1">
      <x:c r="A717" s="3"/>
      <x:c r="B717" s="3"/>
      <x:c r="C717" s="3"/>
      <x:c r="D717" s="4"/>
      <x:c r="E717" s="4"/>
      <x:c r="F717" s="4"/>
      <x:c r="G717" s="5" t="str">
        <x:f>IF(COUNTA(A717:F717)=0,"",IF(K717&lt;&gt;"","Review",IF(I717&lt;0,"Overdue",IF(I717=0,"Due now",IF(I717&lt;=M717,"Due soon","Not due")))))</x:f>
      </x:c>
      <x:c r="H717" s="5" t="str">
        <x:f>IF(OR(COUNTA(A717:F717)=0,COUNTIFS('Rules'!$G$7:$G$26,"="&amp;(SUBSTITUTE(SUBSTITUTE(SUBSTITUTE(SUBSTITUTE("type:"&amp;B717,"%","%25"),"~","%7E"),"*","%2A"),"?","%3F")))&lt;&gt;1),"",IF(OR(INDEX('Rules'!$B$7:$B$26,MATCH(SUBSTITUTE(SUBSTITUTE(SUBSTITUTE(SUBSTITUTE("type:"&amp;B717,"%","%25"),"~","%7E"),"*","%2A"),"?","%3F"),'Rules'!$G$7:$G$26,0))="hours",INDEX('Rules'!$B$7:$B$26,MATCH(SUBSTITUTE(SUBSTITUTE(SUBSTITUTE(SUBSTITUTE("type:"&amp;B717,"%","%25"),"~","%7E"),"*","%2A"),"?","%3F"),'Rules'!$G$7:$G$26,0))="km"),INDEX('Rules'!$B$7:$B$26,MATCH(SUBSTITUTE(SUBSTITUTE(SUBSTITUTE(SUBSTITUTE("type:"&amp;B717,"%","%25"),"~","%7E"),"*","%2A"),"?","%3F"),'Rules'!$G$7:$G$26,0)),""))</x:f>
      </x:c>
      <x:c r="I717" s="6" t="str">
        <x:f>IF(AND(NOT(COUNTA(A717:F717)=0),K717=""),ROUND(J717-D717,3),"")</x:f>
      </x:c>
      <x:c r="J717" s="6" t="str">
        <x:f>IF(AND(NOT(COUNTA(A717:F717)=0),K717=""),ROUND(F717+L717,3),"")</x:f>
      </x:c>
      <x:c r="K717" s="5" t="str">
        <x:f>IF(COUNTA(A717:F717)=0,"",IF(A717="","Missing equipment ID",IF(COUNTIFS($N$8:$N$2007,"="&amp;N717)&gt;1,"Duplicate equipment ID",IF(B717="","Missing type",IF(COUNTIFS('Rules'!$G$7:$G$26,"="&amp;(SUBSTITUTE(SUBSTITUTE(SUBSTITUTE(SUBSTITUTE("type:"&amp;B717,"%","%25"),"~","%7E"),"*","%2A"),"?","%3F")))=0,"Unknown type",IF(COUNTIFS('Rules'!$G$7:$G$26,"="&amp;(SUBSTITUTE(SUBSTITUTE(SUBSTITUTE(SUBSTITUTE("type:"&amp;B717,"%","%25"),"~","%7E"),"*","%2A"),"?","%3F")))&gt;1,"Duplicate type",IF(INDEX('Rules'!$F$7:$F$26,MATCH(SUBSTITUTE(SUBSTITUTE(SUBSTITUTE(SUBSTITUTE("type:"&amp;B717,"%","%25"),"~","%7E"),"*","%2A"),"?","%3F"),'Rules'!$G$7:$G$26,0))&lt;&gt;"",INDEX('Rules'!$F$7:$F$26,MATCH(SUBSTITUTE(SUBSTITUTE(SUBSTITUTE(SUBSTITUTE("type:"&amp;B717,"%","%25"),"~","%7E"),"*","%2A"),"?","%3F"),'Rules'!$G$7:$G$26,0)),IF(AND(C717&lt;&gt;"",C717&lt;&gt;INDEX('Rules'!$B$7:$B$26,MATCH(SUBSTITUTE(SUBSTITUTE(SUBSTITUTE(SUBSTITUTE("type:"&amp;B717,"%","%25"),"~","%7E"),"*","%2A"),"?","%3F"),'Rules'!$G$7:$G$26,0))),"Unit mismatch",IF(IF(NOT(ISNUMBER(D717)),TRUE,OR(D717&lt;0,D717&gt;999999999,ROUND(D717,3)&lt;&gt;D717)),"Invalid current reading",IF(AND(E717&lt;&gt;"",IF(NOT(ISNUMBER(E717)),TRUE,OR(E717&lt;0,E717&gt;999999999,ROUND(E717,3)&lt;&gt;E717))),"Invalid previous reading",IF(IF(NOT(ISNUMBER(F717)),TRUE,OR(F717&lt;0,F717&gt;999999999,ROUND(F717,3)&lt;&gt;F717)),"Invalid last service",IF(AND(E717&lt;&gt;"",D717&lt;E717),"Decreased reading",IF(F717&gt;D717,"Last service above current","")))))))))))))</x:f>
      </x:c>
      <x:c r="L717" s="6" t="str">
        <x:f>IF(AND(NOT(COUNTA(A717:F717)=0),K717=""),INDEX('Rules'!$C$7:$C$26,MATCH(SUBSTITUTE(SUBSTITUTE(SUBSTITUTE(SUBSTITUTE("type:"&amp;B717,"%","%25"),"~","%7E"),"*","%2A"),"?","%3F"),'Rules'!$G$7:$G$26,0)),"")</x:f>
      </x:c>
      <x:c r="M717" s="6" t="str">
        <x:f>IF(AND(NOT(COUNTA(A717:F717)=0),K717=""),INDEX('Rules'!$D$7:$D$26,MATCH(SUBSTITUTE(SUBSTITUTE(SUBSTITUTE(SUBSTITUTE("type:"&amp;B717,"%","%25"),"~","%7E"),"*","%2A"),"?","%3F"),'Rules'!$G$7:$G$26,0)),"")</x:f>
      </x:c>
      <x:c r="N717" s="5" t="str">
        <x:f>IF(COUNTA(A717:F717)=0,"",SUBSTITUTE(SUBSTITUTE(SUBSTITUTE(SUBSTITUTE("id:"&amp;A717,"%","%25"),"~","%7E"),"*","%2A"),"?","%3F"))</x:f>
      </x:c>
    </x:row>
    <x:row r="718" ht="22" customHeight="1">
      <x:c r="A718" s="3"/>
      <x:c r="B718" s="3"/>
      <x:c r="C718" s="3"/>
      <x:c r="D718" s="4"/>
      <x:c r="E718" s="4"/>
      <x:c r="F718" s="4"/>
      <x:c r="G718" s="5" t="str">
        <x:f>IF(COUNTA(A718:F718)=0,"",IF(K718&lt;&gt;"","Review",IF(I718&lt;0,"Overdue",IF(I718=0,"Due now",IF(I718&lt;=M718,"Due soon","Not due")))))</x:f>
      </x:c>
      <x:c r="H718" s="5" t="str">
        <x:f>IF(OR(COUNTA(A718:F718)=0,COUNTIFS('Rules'!$G$7:$G$26,"="&amp;(SUBSTITUTE(SUBSTITUTE(SUBSTITUTE(SUBSTITUTE("type:"&amp;B718,"%","%25"),"~","%7E"),"*","%2A"),"?","%3F")))&lt;&gt;1),"",IF(OR(INDEX('Rules'!$B$7:$B$26,MATCH(SUBSTITUTE(SUBSTITUTE(SUBSTITUTE(SUBSTITUTE("type:"&amp;B718,"%","%25"),"~","%7E"),"*","%2A"),"?","%3F"),'Rules'!$G$7:$G$26,0))="hours",INDEX('Rules'!$B$7:$B$26,MATCH(SUBSTITUTE(SUBSTITUTE(SUBSTITUTE(SUBSTITUTE("type:"&amp;B718,"%","%25"),"~","%7E"),"*","%2A"),"?","%3F"),'Rules'!$G$7:$G$26,0))="km"),INDEX('Rules'!$B$7:$B$26,MATCH(SUBSTITUTE(SUBSTITUTE(SUBSTITUTE(SUBSTITUTE("type:"&amp;B718,"%","%25"),"~","%7E"),"*","%2A"),"?","%3F"),'Rules'!$G$7:$G$26,0)),""))</x:f>
      </x:c>
      <x:c r="I718" s="6" t="str">
        <x:f>IF(AND(NOT(COUNTA(A718:F718)=0),K718=""),ROUND(J718-D718,3),"")</x:f>
      </x:c>
      <x:c r="J718" s="6" t="str">
        <x:f>IF(AND(NOT(COUNTA(A718:F718)=0),K718=""),ROUND(F718+L718,3),"")</x:f>
      </x:c>
      <x:c r="K718" s="5" t="str">
        <x:f>IF(COUNTA(A718:F718)=0,"",IF(A718="","Missing equipment ID",IF(COUNTIFS($N$8:$N$2007,"="&amp;N718)&gt;1,"Duplicate equipment ID",IF(B718="","Missing type",IF(COUNTIFS('Rules'!$G$7:$G$26,"="&amp;(SUBSTITUTE(SUBSTITUTE(SUBSTITUTE(SUBSTITUTE("type:"&amp;B718,"%","%25"),"~","%7E"),"*","%2A"),"?","%3F")))=0,"Unknown type",IF(COUNTIFS('Rules'!$G$7:$G$26,"="&amp;(SUBSTITUTE(SUBSTITUTE(SUBSTITUTE(SUBSTITUTE("type:"&amp;B718,"%","%25"),"~","%7E"),"*","%2A"),"?","%3F")))&gt;1,"Duplicate type",IF(INDEX('Rules'!$F$7:$F$26,MATCH(SUBSTITUTE(SUBSTITUTE(SUBSTITUTE(SUBSTITUTE("type:"&amp;B718,"%","%25"),"~","%7E"),"*","%2A"),"?","%3F"),'Rules'!$G$7:$G$26,0))&lt;&gt;"",INDEX('Rules'!$F$7:$F$26,MATCH(SUBSTITUTE(SUBSTITUTE(SUBSTITUTE(SUBSTITUTE("type:"&amp;B718,"%","%25"),"~","%7E"),"*","%2A"),"?","%3F"),'Rules'!$G$7:$G$26,0)),IF(AND(C718&lt;&gt;"",C718&lt;&gt;INDEX('Rules'!$B$7:$B$26,MATCH(SUBSTITUTE(SUBSTITUTE(SUBSTITUTE(SUBSTITUTE("type:"&amp;B718,"%","%25"),"~","%7E"),"*","%2A"),"?","%3F"),'Rules'!$G$7:$G$26,0))),"Unit mismatch",IF(IF(NOT(ISNUMBER(D718)),TRUE,OR(D718&lt;0,D718&gt;999999999,ROUND(D718,3)&lt;&gt;D718)),"Invalid current reading",IF(AND(E718&lt;&gt;"",IF(NOT(ISNUMBER(E718)),TRUE,OR(E718&lt;0,E718&gt;999999999,ROUND(E718,3)&lt;&gt;E718))),"Invalid previous reading",IF(IF(NOT(ISNUMBER(F718)),TRUE,OR(F718&lt;0,F718&gt;999999999,ROUND(F718,3)&lt;&gt;F718)),"Invalid last service",IF(AND(E718&lt;&gt;"",D718&lt;E718),"Decreased reading",IF(F718&gt;D718,"Last service above current","")))))))))))))</x:f>
      </x:c>
      <x:c r="L718" s="6" t="str">
        <x:f>IF(AND(NOT(COUNTA(A718:F718)=0),K718=""),INDEX('Rules'!$C$7:$C$26,MATCH(SUBSTITUTE(SUBSTITUTE(SUBSTITUTE(SUBSTITUTE("type:"&amp;B718,"%","%25"),"~","%7E"),"*","%2A"),"?","%3F"),'Rules'!$G$7:$G$26,0)),"")</x:f>
      </x:c>
      <x:c r="M718" s="6" t="str">
        <x:f>IF(AND(NOT(COUNTA(A718:F718)=0),K718=""),INDEX('Rules'!$D$7:$D$26,MATCH(SUBSTITUTE(SUBSTITUTE(SUBSTITUTE(SUBSTITUTE("type:"&amp;B718,"%","%25"),"~","%7E"),"*","%2A"),"?","%3F"),'Rules'!$G$7:$G$26,0)),"")</x:f>
      </x:c>
      <x:c r="N718" s="5" t="str">
        <x:f>IF(COUNTA(A718:F718)=0,"",SUBSTITUTE(SUBSTITUTE(SUBSTITUTE(SUBSTITUTE("id:"&amp;A718,"%","%25"),"~","%7E"),"*","%2A"),"?","%3F"))</x:f>
      </x:c>
    </x:row>
    <x:row r="719" ht="22" customHeight="1">
      <x:c r="A719" s="3"/>
      <x:c r="B719" s="3"/>
      <x:c r="C719" s="3"/>
      <x:c r="D719" s="4"/>
      <x:c r="E719" s="4"/>
      <x:c r="F719" s="4"/>
      <x:c r="G719" s="5" t="str">
        <x:f>IF(COUNTA(A719:F719)=0,"",IF(K719&lt;&gt;"","Review",IF(I719&lt;0,"Overdue",IF(I719=0,"Due now",IF(I719&lt;=M719,"Due soon","Not due")))))</x:f>
      </x:c>
      <x:c r="H719" s="5" t="str">
        <x:f>IF(OR(COUNTA(A719:F719)=0,COUNTIFS('Rules'!$G$7:$G$26,"="&amp;(SUBSTITUTE(SUBSTITUTE(SUBSTITUTE(SUBSTITUTE("type:"&amp;B719,"%","%25"),"~","%7E"),"*","%2A"),"?","%3F")))&lt;&gt;1),"",IF(OR(INDEX('Rules'!$B$7:$B$26,MATCH(SUBSTITUTE(SUBSTITUTE(SUBSTITUTE(SUBSTITUTE("type:"&amp;B719,"%","%25"),"~","%7E"),"*","%2A"),"?","%3F"),'Rules'!$G$7:$G$26,0))="hours",INDEX('Rules'!$B$7:$B$26,MATCH(SUBSTITUTE(SUBSTITUTE(SUBSTITUTE(SUBSTITUTE("type:"&amp;B719,"%","%25"),"~","%7E"),"*","%2A"),"?","%3F"),'Rules'!$G$7:$G$26,0))="km"),INDEX('Rules'!$B$7:$B$26,MATCH(SUBSTITUTE(SUBSTITUTE(SUBSTITUTE(SUBSTITUTE("type:"&amp;B719,"%","%25"),"~","%7E"),"*","%2A"),"?","%3F"),'Rules'!$G$7:$G$26,0)),""))</x:f>
      </x:c>
      <x:c r="I719" s="6" t="str">
        <x:f>IF(AND(NOT(COUNTA(A719:F719)=0),K719=""),ROUND(J719-D719,3),"")</x:f>
      </x:c>
      <x:c r="J719" s="6" t="str">
        <x:f>IF(AND(NOT(COUNTA(A719:F719)=0),K719=""),ROUND(F719+L719,3),"")</x:f>
      </x:c>
      <x:c r="K719" s="5" t="str">
        <x:f>IF(COUNTA(A719:F719)=0,"",IF(A719="","Missing equipment ID",IF(COUNTIFS($N$8:$N$2007,"="&amp;N719)&gt;1,"Duplicate equipment ID",IF(B719="","Missing type",IF(COUNTIFS('Rules'!$G$7:$G$26,"="&amp;(SUBSTITUTE(SUBSTITUTE(SUBSTITUTE(SUBSTITUTE("type:"&amp;B719,"%","%25"),"~","%7E"),"*","%2A"),"?","%3F")))=0,"Unknown type",IF(COUNTIFS('Rules'!$G$7:$G$26,"="&amp;(SUBSTITUTE(SUBSTITUTE(SUBSTITUTE(SUBSTITUTE("type:"&amp;B719,"%","%25"),"~","%7E"),"*","%2A"),"?","%3F")))&gt;1,"Duplicate type",IF(INDEX('Rules'!$F$7:$F$26,MATCH(SUBSTITUTE(SUBSTITUTE(SUBSTITUTE(SUBSTITUTE("type:"&amp;B719,"%","%25"),"~","%7E"),"*","%2A"),"?","%3F"),'Rules'!$G$7:$G$26,0))&lt;&gt;"",INDEX('Rules'!$F$7:$F$26,MATCH(SUBSTITUTE(SUBSTITUTE(SUBSTITUTE(SUBSTITUTE("type:"&amp;B719,"%","%25"),"~","%7E"),"*","%2A"),"?","%3F"),'Rules'!$G$7:$G$26,0)),IF(AND(C719&lt;&gt;"",C719&lt;&gt;INDEX('Rules'!$B$7:$B$26,MATCH(SUBSTITUTE(SUBSTITUTE(SUBSTITUTE(SUBSTITUTE("type:"&amp;B719,"%","%25"),"~","%7E"),"*","%2A"),"?","%3F"),'Rules'!$G$7:$G$26,0))),"Unit mismatch",IF(IF(NOT(ISNUMBER(D719)),TRUE,OR(D719&lt;0,D719&gt;999999999,ROUND(D719,3)&lt;&gt;D719)),"Invalid current reading",IF(AND(E719&lt;&gt;"",IF(NOT(ISNUMBER(E719)),TRUE,OR(E719&lt;0,E719&gt;999999999,ROUND(E719,3)&lt;&gt;E719))),"Invalid previous reading",IF(IF(NOT(ISNUMBER(F719)),TRUE,OR(F719&lt;0,F719&gt;999999999,ROUND(F719,3)&lt;&gt;F719)),"Invalid last service",IF(AND(E719&lt;&gt;"",D719&lt;E719),"Decreased reading",IF(F719&gt;D719,"Last service above current","")))))))))))))</x:f>
      </x:c>
      <x:c r="L719" s="6" t="str">
        <x:f>IF(AND(NOT(COUNTA(A719:F719)=0),K719=""),INDEX('Rules'!$C$7:$C$26,MATCH(SUBSTITUTE(SUBSTITUTE(SUBSTITUTE(SUBSTITUTE("type:"&amp;B719,"%","%25"),"~","%7E"),"*","%2A"),"?","%3F"),'Rules'!$G$7:$G$26,0)),"")</x:f>
      </x:c>
      <x:c r="M719" s="6" t="str">
        <x:f>IF(AND(NOT(COUNTA(A719:F719)=0),K719=""),INDEX('Rules'!$D$7:$D$26,MATCH(SUBSTITUTE(SUBSTITUTE(SUBSTITUTE(SUBSTITUTE("type:"&amp;B719,"%","%25"),"~","%7E"),"*","%2A"),"?","%3F"),'Rules'!$G$7:$G$26,0)),"")</x:f>
      </x:c>
      <x:c r="N719" s="5" t="str">
        <x:f>IF(COUNTA(A719:F719)=0,"",SUBSTITUTE(SUBSTITUTE(SUBSTITUTE(SUBSTITUTE("id:"&amp;A719,"%","%25"),"~","%7E"),"*","%2A"),"?","%3F"))</x:f>
      </x:c>
    </x:row>
    <x:row r="720" ht="22" customHeight="1">
      <x:c r="A720" s="3"/>
      <x:c r="B720" s="3"/>
      <x:c r="C720" s="3"/>
      <x:c r="D720" s="4"/>
      <x:c r="E720" s="4"/>
      <x:c r="F720" s="4"/>
      <x:c r="G720" s="5" t="str">
        <x:f>IF(COUNTA(A720:F720)=0,"",IF(K720&lt;&gt;"","Review",IF(I720&lt;0,"Overdue",IF(I720=0,"Due now",IF(I720&lt;=M720,"Due soon","Not due")))))</x:f>
      </x:c>
      <x:c r="H720" s="5" t="str">
        <x:f>IF(OR(COUNTA(A720:F720)=0,COUNTIFS('Rules'!$G$7:$G$26,"="&amp;(SUBSTITUTE(SUBSTITUTE(SUBSTITUTE(SUBSTITUTE("type:"&amp;B720,"%","%25"),"~","%7E"),"*","%2A"),"?","%3F")))&lt;&gt;1),"",IF(OR(INDEX('Rules'!$B$7:$B$26,MATCH(SUBSTITUTE(SUBSTITUTE(SUBSTITUTE(SUBSTITUTE("type:"&amp;B720,"%","%25"),"~","%7E"),"*","%2A"),"?","%3F"),'Rules'!$G$7:$G$26,0))="hours",INDEX('Rules'!$B$7:$B$26,MATCH(SUBSTITUTE(SUBSTITUTE(SUBSTITUTE(SUBSTITUTE("type:"&amp;B720,"%","%25"),"~","%7E"),"*","%2A"),"?","%3F"),'Rules'!$G$7:$G$26,0))="km"),INDEX('Rules'!$B$7:$B$26,MATCH(SUBSTITUTE(SUBSTITUTE(SUBSTITUTE(SUBSTITUTE("type:"&amp;B720,"%","%25"),"~","%7E"),"*","%2A"),"?","%3F"),'Rules'!$G$7:$G$26,0)),""))</x:f>
      </x:c>
      <x:c r="I720" s="6" t="str">
        <x:f>IF(AND(NOT(COUNTA(A720:F720)=0),K720=""),ROUND(J720-D720,3),"")</x:f>
      </x:c>
      <x:c r="J720" s="6" t="str">
        <x:f>IF(AND(NOT(COUNTA(A720:F720)=0),K720=""),ROUND(F720+L720,3),"")</x:f>
      </x:c>
      <x:c r="K720" s="5" t="str">
        <x:f>IF(COUNTA(A720:F720)=0,"",IF(A720="","Missing equipment ID",IF(COUNTIFS($N$8:$N$2007,"="&amp;N720)&gt;1,"Duplicate equipment ID",IF(B720="","Missing type",IF(COUNTIFS('Rules'!$G$7:$G$26,"="&amp;(SUBSTITUTE(SUBSTITUTE(SUBSTITUTE(SUBSTITUTE("type:"&amp;B720,"%","%25"),"~","%7E"),"*","%2A"),"?","%3F")))=0,"Unknown type",IF(COUNTIFS('Rules'!$G$7:$G$26,"="&amp;(SUBSTITUTE(SUBSTITUTE(SUBSTITUTE(SUBSTITUTE("type:"&amp;B720,"%","%25"),"~","%7E"),"*","%2A"),"?","%3F")))&gt;1,"Duplicate type",IF(INDEX('Rules'!$F$7:$F$26,MATCH(SUBSTITUTE(SUBSTITUTE(SUBSTITUTE(SUBSTITUTE("type:"&amp;B720,"%","%25"),"~","%7E"),"*","%2A"),"?","%3F"),'Rules'!$G$7:$G$26,0))&lt;&gt;"",INDEX('Rules'!$F$7:$F$26,MATCH(SUBSTITUTE(SUBSTITUTE(SUBSTITUTE(SUBSTITUTE("type:"&amp;B720,"%","%25"),"~","%7E"),"*","%2A"),"?","%3F"),'Rules'!$G$7:$G$26,0)),IF(AND(C720&lt;&gt;"",C720&lt;&gt;INDEX('Rules'!$B$7:$B$26,MATCH(SUBSTITUTE(SUBSTITUTE(SUBSTITUTE(SUBSTITUTE("type:"&amp;B720,"%","%25"),"~","%7E"),"*","%2A"),"?","%3F"),'Rules'!$G$7:$G$26,0))),"Unit mismatch",IF(IF(NOT(ISNUMBER(D720)),TRUE,OR(D720&lt;0,D720&gt;999999999,ROUND(D720,3)&lt;&gt;D720)),"Invalid current reading",IF(AND(E720&lt;&gt;"",IF(NOT(ISNUMBER(E720)),TRUE,OR(E720&lt;0,E720&gt;999999999,ROUND(E720,3)&lt;&gt;E720))),"Invalid previous reading",IF(IF(NOT(ISNUMBER(F720)),TRUE,OR(F720&lt;0,F720&gt;999999999,ROUND(F720,3)&lt;&gt;F720)),"Invalid last service",IF(AND(E720&lt;&gt;"",D720&lt;E720),"Decreased reading",IF(F720&gt;D720,"Last service above current","")))))))))))))</x:f>
      </x:c>
      <x:c r="L720" s="6" t="str">
        <x:f>IF(AND(NOT(COUNTA(A720:F720)=0),K720=""),INDEX('Rules'!$C$7:$C$26,MATCH(SUBSTITUTE(SUBSTITUTE(SUBSTITUTE(SUBSTITUTE("type:"&amp;B720,"%","%25"),"~","%7E"),"*","%2A"),"?","%3F"),'Rules'!$G$7:$G$26,0)),"")</x:f>
      </x:c>
      <x:c r="M720" s="6" t="str">
        <x:f>IF(AND(NOT(COUNTA(A720:F720)=0),K720=""),INDEX('Rules'!$D$7:$D$26,MATCH(SUBSTITUTE(SUBSTITUTE(SUBSTITUTE(SUBSTITUTE("type:"&amp;B720,"%","%25"),"~","%7E"),"*","%2A"),"?","%3F"),'Rules'!$G$7:$G$26,0)),"")</x:f>
      </x:c>
      <x:c r="N720" s="5" t="str">
        <x:f>IF(COUNTA(A720:F720)=0,"",SUBSTITUTE(SUBSTITUTE(SUBSTITUTE(SUBSTITUTE("id:"&amp;A720,"%","%25"),"~","%7E"),"*","%2A"),"?","%3F"))</x:f>
      </x:c>
    </x:row>
    <x:row r="721" ht="22" customHeight="1">
      <x:c r="A721" s="3"/>
      <x:c r="B721" s="3"/>
      <x:c r="C721" s="3"/>
      <x:c r="D721" s="4"/>
      <x:c r="E721" s="4"/>
      <x:c r="F721" s="4"/>
      <x:c r="G721" s="5" t="str">
        <x:f>IF(COUNTA(A721:F721)=0,"",IF(K721&lt;&gt;"","Review",IF(I721&lt;0,"Overdue",IF(I721=0,"Due now",IF(I721&lt;=M721,"Due soon","Not due")))))</x:f>
      </x:c>
      <x:c r="H721" s="5" t="str">
        <x:f>IF(OR(COUNTA(A721:F721)=0,COUNTIFS('Rules'!$G$7:$G$26,"="&amp;(SUBSTITUTE(SUBSTITUTE(SUBSTITUTE(SUBSTITUTE("type:"&amp;B721,"%","%25"),"~","%7E"),"*","%2A"),"?","%3F")))&lt;&gt;1),"",IF(OR(INDEX('Rules'!$B$7:$B$26,MATCH(SUBSTITUTE(SUBSTITUTE(SUBSTITUTE(SUBSTITUTE("type:"&amp;B721,"%","%25"),"~","%7E"),"*","%2A"),"?","%3F"),'Rules'!$G$7:$G$26,0))="hours",INDEX('Rules'!$B$7:$B$26,MATCH(SUBSTITUTE(SUBSTITUTE(SUBSTITUTE(SUBSTITUTE("type:"&amp;B721,"%","%25"),"~","%7E"),"*","%2A"),"?","%3F"),'Rules'!$G$7:$G$26,0))="km"),INDEX('Rules'!$B$7:$B$26,MATCH(SUBSTITUTE(SUBSTITUTE(SUBSTITUTE(SUBSTITUTE("type:"&amp;B721,"%","%25"),"~","%7E"),"*","%2A"),"?","%3F"),'Rules'!$G$7:$G$26,0)),""))</x:f>
      </x:c>
      <x:c r="I721" s="6" t="str">
        <x:f>IF(AND(NOT(COUNTA(A721:F721)=0),K721=""),ROUND(J721-D721,3),"")</x:f>
      </x:c>
      <x:c r="J721" s="6" t="str">
        <x:f>IF(AND(NOT(COUNTA(A721:F721)=0),K721=""),ROUND(F721+L721,3),"")</x:f>
      </x:c>
      <x:c r="K721" s="5" t="str">
        <x:f>IF(COUNTA(A721:F721)=0,"",IF(A721="","Missing equipment ID",IF(COUNTIFS($N$8:$N$2007,"="&amp;N721)&gt;1,"Duplicate equipment ID",IF(B721="","Missing type",IF(COUNTIFS('Rules'!$G$7:$G$26,"="&amp;(SUBSTITUTE(SUBSTITUTE(SUBSTITUTE(SUBSTITUTE("type:"&amp;B721,"%","%25"),"~","%7E"),"*","%2A"),"?","%3F")))=0,"Unknown type",IF(COUNTIFS('Rules'!$G$7:$G$26,"="&amp;(SUBSTITUTE(SUBSTITUTE(SUBSTITUTE(SUBSTITUTE("type:"&amp;B721,"%","%25"),"~","%7E"),"*","%2A"),"?","%3F")))&gt;1,"Duplicate type",IF(INDEX('Rules'!$F$7:$F$26,MATCH(SUBSTITUTE(SUBSTITUTE(SUBSTITUTE(SUBSTITUTE("type:"&amp;B721,"%","%25"),"~","%7E"),"*","%2A"),"?","%3F"),'Rules'!$G$7:$G$26,0))&lt;&gt;"",INDEX('Rules'!$F$7:$F$26,MATCH(SUBSTITUTE(SUBSTITUTE(SUBSTITUTE(SUBSTITUTE("type:"&amp;B721,"%","%25"),"~","%7E"),"*","%2A"),"?","%3F"),'Rules'!$G$7:$G$26,0)),IF(AND(C721&lt;&gt;"",C721&lt;&gt;INDEX('Rules'!$B$7:$B$26,MATCH(SUBSTITUTE(SUBSTITUTE(SUBSTITUTE(SUBSTITUTE("type:"&amp;B721,"%","%25"),"~","%7E"),"*","%2A"),"?","%3F"),'Rules'!$G$7:$G$26,0))),"Unit mismatch",IF(IF(NOT(ISNUMBER(D721)),TRUE,OR(D721&lt;0,D721&gt;999999999,ROUND(D721,3)&lt;&gt;D721)),"Invalid current reading",IF(AND(E721&lt;&gt;"",IF(NOT(ISNUMBER(E721)),TRUE,OR(E721&lt;0,E721&gt;999999999,ROUND(E721,3)&lt;&gt;E721))),"Invalid previous reading",IF(IF(NOT(ISNUMBER(F721)),TRUE,OR(F721&lt;0,F721&gt;999999999,ROUND(F721,3)&lt;&gt;F721)),"Invalid last service",IF(AND(E721&lt;&gt;"",D721&lt;E721),"Decreased reading",IF(F721&gt;D721,"Last service above current","")))))))))))))</x:f>
      </x:c>
      <x:c r="L721" s="6" t="str">
        <x:f>IF(AND(NOT(COUNTA(A721:F721)=0),K721=""),INDEX('Rules'!$C$7:$C$26,MATCH(SUBSTITUTE(SUBSTITUTE(SUBSTITUTE(SUBSTITUTE("type:"&amp;B721,"%","%25"),"~","%7E"),"*","%2A"),"?","%3F"),'Rules'!$G$7:$G$26,0)),"")</x:f>
      </x:c>
      <x:c r="M721" s="6" t="str">
        <x:f>IF(AND(NOT(COUNTA(A721:F721)=0),K721=""),INDEX('Rules'!$D$7:$D$26,MATCH(SUBSTITUTE(SUBSTITUTE(SUBSTITUTE(SUBSTITUTE("type:"&amp;B721,"%","%25"),"~","%7E"),"*","%2A"),"?","%3F"),'Rules'!$G$7:$G$26,0)),"")</x:f>
      </x:c>
      <x:c r="N721" s="5" t="str">
        <x:f>IF(COUNTA(A721:F721)=0,"",SUBSTITUTE(SUBSTITUTE(SUBSTITUTE(SUBSTITUTE("id:"&amp;A721,"%","%25"),"~","%7E"),"*","%2A"),"?","%3F"))</x:f>
      </x:c>
    </x:row>
    <x:row r="722" ht="22" customHeight="1">
      <x:c r="A722" s="3"/>
      <x:c r="B722" s="3"/>
      <x:c r="C722" s="3"/>
      <x:c r="D722" s="4"/>
      <x:c r="E722" s="4"/>
      <x:c r="F722" s="4"/>
      <x:c r="G722" s="5" t="str">
        <x:f>IF(COUNTA(A722:F722)=0,"",IF(K722&lt;&gt;"","Review",IF(I722&lt;0,"Overdue",IF(I722=0,"Due now",IF(I722&lt;=M722,"Due soon","Not due")))))</x:f>
      </x:c>
      <x:c r="H722" s="5" t="str">
        <x:f>IF(OR(COUNTA(A722:F722)=0,COUNTIFS('Rules'!$G$7:$G$26,"="&amp;(SUBSTITUTE(SUBSTITUTE(SUBSTITUTE(SUBSTITUTE("type:"&amp;B722,"%","%25"),"~","%7E"),"*","%2A"),"?","%3F")))&lt;&gt;1),"",IF(OR(INDEX('Rules'!$B$7:$B$26,MATCH(SUBSTITUTE(SUBSTITUTE(SUBSTITUTE(SUBSTITUTE("type:"&amp;B722,"%","%25"),"~","%7E"),"*","%2A"),"?","%3F"),'Rules'!$G$7:$G$26,0))="hours",INDEX('Rules'!$B$7:$B$26,MATCH(SUBSTITUTE(SUBSTITUTE(SUBSTITUTE(SUBSTITUTE("type:"&amp;B722,"%","%25"),"~","%7E"),"*","%2A"),"?","%3F"),'Rules'!$G$7:$G$26,0))="km"),INDEX('Rules'!$B$7:$B$26,MATCH(SUBSTITUTE(SUBSTITUTE(SUBSTITUTE(SUBSTITUTE("type:"&amp;B722,"%","%25"),"~","%7E"),"*","%2A"),"?","%3F"),'Rules'!$G$7:$G$26,0)),""))</x:f>
      </x:c>
      <x:c r="I722" s="6" t="str">
        <x:f>IF(AND(NOT(COUNTA(A722:F722)=0),K722=""),ROUND(J722-D722,3),"")</x:f>
      </x:c>
      <x:c r="J722" s="6" t="str">
        <x:f>IF(AND(NOT(COUNTA(A722:F722)=0),K722=""),ROUND(F722+L722,3),"")</x:f>
      </x:c>
      <x:c r="K722" s="5" t="str">
        <x:f>IF(COUNTA(A722:F722)=0,"",IF(A722="","Missing equipment ID",IF(COUNTIFS($N$8:$N$2007,"="&amp;N722)&gt;1,"Duplicate equipment ID",IF(B722="","Missing type",IF(COUNTIFS('Rules'!$G$7:$G$26,"="&amp;(SUBSTITUTE(SUBSTITUTE(SUBSTITUTE(SUBSTITUTE("type:"&amp;B722,"%","%25"),"~","%7E"),"*","%2A"),"?","%3F")))=0,"Unknown type",IF(COUNTIFS('Rules'!$G$7:$G$26,"="&amp;(SUBSTITUTE(SUBSTITUTE(SUBSTITUTE(SUBSTITUTE("type:"&amp;B722,"%","%25"),"~","%7E"),"*","%2A"),"?","%3F")))&gt;1,"Duplicate type",IF(INDEX('Rules'!$F$7:$F$26,MATCH(SUBSTITUTE(SUBSTITUTE(SUBSTITUTE(SUBSTITUTE("type:"&amp;B722,"%","%25"),"~","%7E"),"*","%2A"),"?","%3F"),'Rules'!$G$7:$G$26,0))&lt;&gt;"",INDEX('Rules'!$F$7:$F$26,MATCH(SUBSTITUTE(SUBSTITUTE(SUBSTITUTE(SUBSTITUTE("type:"&amp;B722,"%","%25"),"~","%7E"),"*","%2A"),"?","%3F"),'Rules'!$G$7:$G$26,0)),IF(AND(C722&lt;&gt;"",C722&lt;&gt;INDEX('Rules'!$B$7:$B$26,MATCH(SUBSTITUTE(SUBSTITUTE(SUBSTITUTE(SUBSTITUTE("type:"&amp;B722,"%","%25"),"~","%7E"),"*","%2A"),"?","%3F"),'Rules'!$G$7:$G$26,0))),"Unit mismatch",IF(IF(NOT(ISNUMBER(D722)),TRUE,OR(D722&lt;0,D722&gt;999999999,ROUND(D722,3)&lt;&gt;D722)),"Invalid current reading",IF(AND(E722&lt;&gt;"",IF(NOT(ISNUMBER(E722)),TRUE,OR(E722&lt;0,E722&gt;999999999,ROUND(E722,3)&lt;&gt;E722))),"Invalid previous reading",IF(IF(NOT(ISNUMBER(F722)),TRUE,OR(F722&lt;0,F722&gt;999999999,ROUND(F722,3)&lt;&gt;F722)),"Invalid last service",IF(AND(E722&lt;&gt;"",D722&lt;E722),"Decreased reading",IF(F722&gt;D722,"Last service above current","")))))))))))))</x:f>
      </x:c>
      <x:c r="L722" s="6" t="str">
        <x:f>IF(AND(NOT(COUNTA(A722:F722)=0),K722=""),INDEX('Rules'!$C$7:$C$26,MATCH(SUBSTITUTE(SUBSTITUTE(SUBSTITUTE(SUBSTITUTE("type:"&amp;B722,"%","%25"),"~","%7E"),"*","%2A"),"?","%3F"),'Rules'!$G$7:$G$26,0)),"")</x:f>
      </x:c>
      <x:c r="M722" s="6" t="str">
        <x:f>IF(AND(NOT(COUNTA(A722:F722)=0),K722=""),INDEX('Rules'!$D$7:$D$26,MATCH(SUBSTITUTE(SUBSTITUTE(SUBSTITUTE(SUBSTITUTE("type:"&amp;B722,"%","%25"),"~","%7E"),"*","%2A"),"?","%3F"),'Rules'!$G$7:$G$26,0)),"")</x:f>
      </x:c>
      <x:c r="N722" s="5" t="str">
        <x:f>IF(COUNTA(A722:F722)=0,"",SUBSTITUTE(SUBSTITUTE(SUBSTITUTE(SUBSTITUTE("id:"&amp;A722,"%","%25"),"~","%7E"),"*","%2A"),"?","%3F"))</x:f>
      </x:c>
    </x:row>
    <x:row r="723" ht="22" customHeight="1">
      <x:c r="A723" s="3"/>
      <x:c r="B723" s="3"/>
      <x:c r="C723" s="3"/>
      <x:c r="D723" s="4"/>
      <x:c r="E723" s="4"/>
      <x:c r="F723" s="4"/>
      <x:c r="G723" s="5" t="str">
        <x:f>IF(COUNTA(A723:F723)=0,"",IF(K723&lt;&gt;"","Review",IF(I723&lt;0,"Overdue",IF(I723=0,"Due now",IF(I723&lt;=M723,"Due soon","Not due")))))</x:f>
      </x:c>
      <x:c r="H723" s="5" t="str">
        <x:f>IF(OR(COUNTA(A723:F723)=0,COUNTIFS('Rules'!$G$7:$G$26,"="&amp;(SUBSTITUTE(SUBSTITUTE(SUBSTITUTE(SUBSTITUTE("type:"&amp;B723,"%","%25"),"~","%7E"),"*","%2A"),"?","%3F")))&lt;&gt;1),"",IF(OR(INDEX('Rules'!$B$7:$B$26,MATCH(SUBSTITUTE(SUBSTITUTE(SUBSTITUTE(SUBSTITUTE("type:"&amp;B723,"%","%25"),"~","%7E"),"*","%2A"),"?","%3F"),'Rules'!$G$7:$G$26,0))="hours",INDEX('Rules'!$B$7:$B$26,MATCH(SUBSTITUTE(SUBSTITUTE(SUBSTITUTE(SUBSTITUTE("type:"&amp;B723,"%","%25"),"~","%7E"),"*","%2A"),"?","%3F"),'Rules'!$G$7:$G$26,0))="km"),INDEX('Rules'!$B$7:$B$26,MATCH(SUBSTITUTE(SUBSTITUTE(SUBSTITUTE(SUBSTITUTE("type:"&amp;B723,"%","%25"),"~","%7E"),"*","%2A"),"?","%3F"),'Rules'!$G$7:$G$26,0)),""))</x:f>
      </x:c>
      <x:c r="I723" s="6" t="str">
        <x:f>IF(AND(NOT(COUNTA(A723:F723)=0),K723=""),ROUND(J723-D723,3),"")</x:f>
      </x:c>
      <x:c r="J723" s="6" t="str">
        <x:f>IF(AND(NOT(COUNTA(A723:F723)=0),K723=""),ROUND(F723+L723,3),"")</x:f>
      </x:c>
      <x:c r="K723" s="5" t="str">
        <x:f>IF(COUNTA(A723:F723)=0,"",IF(A723="","Missing equipment ID",IF(COUNTIFS($N$8:$N$2007,"="&amp;N723)&gt;1,"Duplicate equipment ID",IF(B723="","Missing type",IF(COUNTIFS('Rules'!$G$7:$G$26,"="&amp;(SUBSTITUTE(SUBSTITUTE(SUBSTITUTE(SUBSTITUTE("type:"&amp;B723,"%","%25"),"~","%7E"),"*","%2A"),"?","%3F")))=0,"Unknown type",IF(COUNTIFS('Rules'!$G$7:$G$26,"="&amp;(SUBSTITUTE(SUBSTITUTE(SUBSTITUTE(SUBSTITUTE("type:"&amp;B723,"%","%25"),"~","%7E"),"*","%2A"),"?","%3F")))&gt;1,"Duplicate type",IF(INDEX('Rules'!$F$7:$F$26,MATCH(SUBSTITUTE(SUBSTITUTE(SUBSTITUTE(SUBSTITUTE("type:"&amp;B723,"%","%25"),"~","%7E"),"*","%2A"),"?","%3F"),'Rules'!$G$7:$G$26,0))&lt;&gt;"",INDEX('Rules'!$F$7:$F$26,MATCH(SUBSTITUTE(SUBSTITUTE(SUBSTITUTE(SUBSTITUTE("type:"&amp;B723,"%","%25"),"~","%7E"),"*","%2A"),"?","%3F"),'Rules'!$G$7:$G$26,0)),IF(AND(C723&lt;&gt;"",C723&lt;&gt;INDEX('Rules'!$B$7:$B$26,MATCH(SUBSTITUTE(SUBSTITUTE(SUBSTITUTE(SUBSTITUTE("type:"&amp;B723,"%","%25"),"~","%7E"),"*","%2A"),"?","%3F"),'Rules'!$G$7:$G$26,0))),"Unit mismatch",IF(IF(NOT(ISNUMBER(D723)),TRUE,OR(D723&lt;0,D723&gt;999999999,ROUND(D723,3)&lt;&gt;D723)),"Invalid current reading",IF(AND(E723&lt;&gt;"",IF(NOT(ISNUMBER(E723)),TRUE,OR(E723&lt;0,E723&gt;999999999,ROUND(E723,3)&lt;&gt;E723))),"Invalid previous reading",IF(IF(NOT(ISNUMBER(F723)),TRUE,OR(F723&lt;0,F723&gt;999999999,ROUND(F723,3)&lt;&gt;F723)),"Invalid last service",IF(AND(E723&lt;&gt;"",D723&lt;E723),"Decreased reading",IF(F723&gt;D723,"Last service above current","")))))))))))))</x:f>
      </x:c>
      <x:c r="L723" s="6" t="str">
        <x:f>IF(AND(NOT(COUNTA(A723:F723)=0),K723=""),INDEX('Rules'!$C$7:$C$26,MATCH(SUBSTITUTE(SUBSTITUTE(SUBSTITUTE(SUBSTITUTE("type:"&amp;B723,"%","%25"),"~","%7E"),"*","%2A"),"?","%3F"),'Rules'!$G$7:$G$26,0)),"")</x:f>
      </x:c>
      <x:c r="M723" s="6" t="str">
        <x:f>IF(AND(NOT(COUNTA(A723:F723)=0),K723=""),INDEX('Rules'!$D$7:$D$26,MATCH(SUBSTITUTE(SUBSTITUTE(SUBSTITUTE(SUBSTITUTE("type:"&amp;B723,"%","%25"),"~","%7E"),"*","%2A"),"?","%3F"),'Rules'!$G$7:$G$26,0)),"")</x:f>
      </x:c>
      <x:c r="N723" s="5" t="str">
        <x:f>IF(COUNTA(A723:F723)=0,"",SUBSTITUTE(SUBSTITUTE(SUBSTITUTE(SUBSTITUTE("id:"&amp;A723,"%","%25"),"~","%7E"),"*","%2A"),"?","%3F"))</x:f>
      </x:c>
    </x:row>
    <x:row r="724" ht="22" customHeight="1">
      <x:c r="A724" s="3"/>
      <x:c r="B724" s="3"/>
      <x:c r="C724" s="3"/>
      <x:c r="D724" s="4"/>
      <x:c r="E724" s="4"/>
      <x:c r="F724" s="4"/>
      <x:c r="G724" s="5" t="str">
        <x:f>IF(COUNTA(A724:F724)=0,"",IF(K724&lt;&gt;"","Review",IF(I724&lt;0,"Overdue",IF(I724=0,"Due now",IF(I724&lt;=M724,"Due soon","Not due")))))</x:f>
      </x:c>
      <x:c r="H724" s="5" t="str">
        <x:f>IF(OR(COUNTA(A724:F724)=0,COUNTIFS('Rules'!$G$7:$G$26,"="&amp;(SUBSTITUTE(SUBSTITUTE(SUBSTITUTE(SUBSTITUTE("type:"&amp;B724,"%","%25"),"~","%7E"),"*","%2A"),"?","%3F")))&lt;&gt;1),"",IF(OR(INDEX('Rules'!$B$7:$B$26,MATCH(SUBSTITUTE(SUBSTITUTE(SUBSTITUTE(SUBSTITUTE("type:"&amp;B724,"%","%25"),"~","%7E"),"*","%2A"),"?","%3F"),'Rules'!$G$7:$G$26,0))="hours",INDEX('Rules'!$B$7:$B$26,MATCH(SUBSTITUTE(SUBSTITUTE(SUBSTITUTE(SUBSTITUTE("type:"&amp;B724,"%","%25"),"~","%7E"),"*","%2A"),"?","%3F"),'Rules'!$G$7:$G$26,0))="km"),INDEX('Rules'!$B$7:$B$26,MATCH(SUBSTITUTE(SUBSTITUTE(SUBSTITUTE(SUBSTITUTE("type:"&amp;B724,"%","%25"),"~","%7E"),"*","%2A"),"?","%3F"),'Rules'!$G$7:$G$26,0)),""))</x:f>
      </x:c>
      <x:c r="I724" s="6" t="str">
        <x:f>IF(AND(NOT(COUNTA(A724:F724)=0),K724=""),ROUND(J724-D724,3),"")</x:f>
      </x:c>
      <x:c r="J724" s="6" t="str">
        <x:f>IF(AND(NOT(COUNTA(A724:F724)=0),K724=""),ROUND(F724+L724,3),"")</x:f>
      </x:c>
      <x:c r="K724" s="5" t="str">
        <x:f>IF(COUNTA(A724:F724)=0,"",IF(A724="","Missing equipment ID",IF(COUNTIFS($N$8:$N$2007,"="&amp;N724)&gt;1,"Duplicate equipment ID",IF(B724="","Missing type",IF(COUNTIFS('Rules'!$G$7:$G$26,"="&amp;(SUBSTITUTE(SUBSTITUTE(SUBSTITUTE(SUBSTITUTE("type:"&amp;B724,"%","%25"),"~","%7E"),"*","%2A"),"?","%3F")))=0,"Unknown type",IF(COUNTIFS('Rules'!$G$7:$G$26,"="&amp;(SUBSTITUTE(SUBSTITUTE(SUBSTITUTE(SUBSTITUTE("type:"&amp;B724,"%","%25"),"~","%7E"),"*","%2A"),"?","%3F")))&gt;1,"Duplicate type",IF(INDEX('Rules'!$F$7:$F$26,MATCH(SUBSTITUTE(SUBSTITUTE(SUBSTITUTE(SUBSTITUTE("type:"&amp;B724,"%","%25"),"~","%7E"),"*","%2A"),"?","%3F"),'Rules'!$G$7:$G$26,0))&lt;&gt;"",INDEX('Rules'!$F$7:$F$26,MATCH(SUBSTITUTE(SUBSTITUTE(SUBSTITUTE(SUBSTITUTE("type:"&amp;B724,"%","%25"),"~","%7E"),"*","%2A"),"?","%3F"),'Rules'!$G$7:$G$26,0)),IF(AND(C724&lt;&gt;"",C724&lt;&gt;INDEX('Rules'!$B$7:$B$26,MATCH(SUBSTITUTE(SUBSTITUTE(SUBSTITUTE(SUBSTITUTE("type:"&amp;B724,"%","%25"),"~","%7E"),"*","%2A"),"?","%3F"),'Rules'!$G$7:$G$26,0))),"Unit mismatch",IF(IF(NOT(ISNUMBER(D724)),TRUE,OR(D724&lt;0,D724&gt;999999999,ROUND(D724,3)&lt;&gt;D724)),"Invalid current reading",IF(AND(E724&lt;&gt;"",IF(NOT(ISNUMBER(E724)),TRUE,OR(E724&lt;0,E724&gt;999999999,ROUND(E724,3)&lt;&gt;E724))),"Invalid previous reading",IF(IF(NOT(ISNUMBER(F724)),TRUE,OR(F724&lt;0,F724&gt;999999999,ROUND(F724,3)&lt;&gt;F724)),"Invalid last service",IF(AND(E724&lt;&gt;"",D724&lt;E724),"Decreased reading",IF(F724&gt;D724,"Last service above current","")))))))))))))</x:f>
      </x:c>
      <x:c r="L724" s="6" t="str">
        <x:f>IF(AND(NOT(COUNTA(A724:F724)=0),K724=""),INDEX('Rules'!$C$7:$C$26,MATCH(SUBSTITUTE(SUBSTITUTE(SUBSTITUTE(SUBSTITUTE("type:"&amp;B724,"%","%25"),"~","%7E"),"*","%2A"),"?","%3F"),'Rules'!$G$7:$G$26,0)),"")</x:f>
      </x:c>
      <x:c r="M724" s="6" t="str">
        <x:f>IF(AND(NOT(COUNTA(A724:F724)=0),K724=""),INDEX('Rules'!$D$7:$D$26,MATCH(SUBSTITUTE(SUBSTITUTE(SUBSTITUTE(SUBSTITUTE("type:"&amp;B724,"%","%25"),"~","%7E"),"*","%2A"),"?","%3F"),'Rules'!$G$7:$G$26,0)),"")</x:f>
      </x:c>
      <x:c r="N724" s="5" t="str">
        <x:f>IF(COUNTA(A724:F724)=0,"",SUBSTITUTE(SUBSTITUTE(SUBSTITUTE(SUBSTITUTE("id:"&amp;A724,"%","%25"),"~","%7E"),"*","%2A"),"?","%3F"))</x:f>
      </x:c>
    </x:row>
    <x:row r="725" ht="22" customHeight="1">
      <x:c r="A725" s="3"/>
      <x:c r="B725" s="3"/>
      <x:c r="C725" s="3"/>
      <x:c r="D725" s="4"/>
      <x:c r="E725" s="4"/>
      <x:c r="F725" s="4"/>
      <x:c r="G725" s="5" t="str">
        <x:f>IF(COUNTA(A725:F725)=0,"",IF(K725&lt;&gt;"","Review",IF(I725&lt;0,"Overdue",IF(I725=0,"Due now",IF(I725&lt;=M725,"Due soon","Not due")))))</x:f>
      </x:c>
      <x:c r="H725" s="5" t="str">
        <x:f>IF(OR(COUNTA(A725:F725)=0,COUNTIFS('Rules'!$G$7:$G$26,"="&amp;(SUBSTITUTE(SUBSTITUTE(SUBSTITUTE(SUBSTITUTE("type:"&amp;B725,"%","%25"),"~","%7E"),"*","%2A"),"?","%3F")))&lt;&gt;1),"",IF(OR(INDEX('Rules'!$B$7:$B$26,MATCH(SUBSTITUTE(SUBSTITUTE(SUBSTITUTE(SUBSTITUTE("type:"&amp;B725,"%","%25"),"~","%7E"),"*","%2A"),"?","%3F"),'Rules'!$G$7:$G$26,0))="hours",INDEX('Rules'!$B$7:$B$26,MATCH(SUBSTITUTE(SUBSTITUTE(SUBSTITUTE(SUBSTITUTE("type:"&amp;B725,"%","%25"),"~","%7E"),"*","%2A"),"?","%3F"),'Rules'!$G$7:$G$26,0))="km"),INDEX('Rules'!$B$7:$B$26,MATCH(SUBSTITUTE(SUBSTITUTE(SUBSTITUTE(SUBSTITUTE("type:"&amp;B725,"%","%25"),"~","%7E"),"*","%2A"),"?","%3F"),'Rules'!$G$7:$G$26,0)),""))</x:f>
      </x:c>
      <x:c r="I725" s="6" t="str">
        <x:f>IF(AND(NOT(COUNTA(A725:F725)=0),K725=""),ROUND(J725-D725,3),"")</x:f>
      </x:c>
      <x:c r="J725" s="6" t="str">
        <x:f>IF(AND(NOT(COUNTA(A725:F725)=0),K725=""),ROUND(F725+L725,3),"")</x:f>
      </x:c>
      <x:c r="K725" s="5" t="str">
        <x:f>IF(COUNTA(A725:F725)=0,"",IF(A725="","Missing equipment ID",IF(COUNTIFS($N$8:$N$2007,"="&amp;N725)&gt;1,"Duplicate equipment ID",IF(B725="","Missing type",IF(COUNTIFS('Rules'!$G$7:$G$26,"="&amp;(SUBSTITUTE(SUBSTITUTE(SUBSTITUTE(SUBSTITUTE("type:"&amp;B725,"%","%25"),"~","%7E"),"*","%2A"),"?","%3F")))=0,"Unknown type",IF(COUNTIFS('Rules'!$G$7:$G$26,"="&amp;(SUBSTITUTE(SUBSTITUTE(SUBSTITUTE(SUBSTITUTE("type:"&amp;B725,"%","%25"),"~","%7E"),"*","%2A"),"?","%3F")))&gt;1,"Duplicate type",IF(INDEX('Rules'!$F$7:$F$26,MATCH(SUBSTITUTE(SUBSTITUTE(SUBSTITUTE(SUBSTITUTE("type:"&amp;B725,"%","%25"),"~","%7E"),"*","%2A"),"?","%3F"),'Rules'!$G$7:$G$26,0))&lt;&gt;"",INDEX('Rules'!$F$7:$F$26,MATCH(SUBSTITUTE(SUBSTITUTE(SUBSTITUTE(SUBSTITUTE("type:"&amp;B725,"%","%25"),"~","%7E"),"*","%2A"),"?","%3F"),'Rules'!$G$7:$G$26,0)),IF(AND(C725&lt;&gt;"",C725&lt;&gt;INDEX('Rules'!$B$7:$B$26,MATCH(SUBSTITUTE(SUBSTITUTE(SUBSTITUTE(SUBSTITUTE("type:"&amp;B725,"%","%25"),"~","%7E"),"*","%2A"),"?","%3F"),'Rules'!$G$7:$G$26,0))),"Unit mismatch",IF(IF(NOT(ISNUMBER(D725)),TRUE,OR(D725&lt;0,D725&gt;999999999,ROUND(D725,3)&lt;&gt;D725)),"Invalid current reading",IF(AND(E725&lt;&gt;"",IF(NOT(ISNUMBER(E725)),TRUE,OR(E725&lt;0,E725&gt;999999999,ROUND(E725,3)&lt;&gt;E725))),"Invalid previous reading",IF(IF(NOT(ISNUMBER(F725)),TRUE,OR(F725&lt;0,F725&gt;999999999,ROUND(F725,3)&lt;&gt;F725)),"Invalid last service",IF(AND(E725&lt;&gt;"",D725&lt;E725),"Decreased reading",IF(F725&gt;D725,"Last service above current","")))))))))))))</x:f>
      </x:c>
      <x:c r="L725" s="6" t="str">
        <x:f>IF(AND(NOT(COUNTA(A725:F725)=0),K725=""),INDEX('Rules'!$C$7:$C$26,MATCH(SUBSTITUTE(SUBSTITUTE(SUBSTITUTE(SUBSTITUTE("type:"&amp;B725,"%","%25"),"~","%7E"),"*","%2A"),"?","%3F"),'Rules'!$G$7:$G$26,0)),"")</x:f>
      </x:c>
      <x:c r="M725" s="6" t="str">
        <x:f>IF(AND(NOT(COUNTA(A725:F725)=0),K725=""),INDEX('Rules'!$D$7:$D$26,MATCH(SUBSTITUTE(SUBSTITUTE(SUBSTITUTE(SUBSTITUTE("type:"&amp;B725,"%","%25"),"~","%7E"),"*","%2A"),"?","%3F"),'Rules'!$G$7:$G$26,0)),"")</x:f>
      </x:c>
      <x:c r="N725" s="5" t="str">
        <x:f>IF(COUNTA(A725:F725)=0,"",SUBSTITUTE(SUBSTITUTE(SUBSTITUTE(SUBSTITUTE("id:"&amp;A725,"%","%25"),"~","%7E"),"*","%2A"),"?","%3F"))</x:f>
      </x:c>
    </x:row>
    <x:row r="726" ht="22" customHeight="1">
      <x:c r="A726" s="3"/>
      <x:c r="B726" s="3"/>
      <x:c r="C726" s="3"/>
      <x:c r="D726" s="4"/>
      <x:c r="E726" s="4"/>
      <x:c r="F726" s="4"/>
      <x:c r="G726" s="5" t="str">
        <x:f>IF(COUNTA(A726:F726)=0,"",IF(K726&lt;&gt;"","Review",IF(I726&lt;0,"Overdue",IF(I726=0,"Due now",IF(I726&lt;=M726,"Due soon","Not due")))))</x:f>
      </x:c>
      <x:c r="H726" s="5" t="str">
        <x:f>IF(OR(COUNTA(A726:F726)=0,COUNTIFS('Rules'!$G$7:$G$26,"="&amp;(SUBSTITUTE(SUBSTITUTE(SUBSTITUTE(SUBSTITUTE("type:"&amp;B726,"%","%25"),"~","%7E"),"*","%2A"),"?","%3F")))&lt;&gt;1),"",IF(OR(INDEX('Rules'!$B$7:$B$26,MATCH(SUBSTITUTE(SUBSTITUTE(SUBSTITUTE(SUBSTITUTE("type:"&amp;B726,"%","%25"),"~","%7E"),"*","%2A"),"?","%3F"),'Rules'!$G$7:$G$26,0))="hours",INDEX('Rules'!$B$7:$B$26,MATCH(SUBSTITUTE(SUBSTITUTE(SUBSTITUTE(SUBSTITUTE("type:"&amp;B726,"%","%25"),"~","%7E"),"*","%2A"),"?","%3F"),'Rules'!$G$7:$G$26,0))="km"),INDEX('Rules'!$B$7:$B$26,MATCH(SUBSTITUTE(SUBSTITUTE(SUBSTITUTE(SUBSTITUTE("type:"&amp;B726,"%","%25"),"~","%7E"),"*","%2A"),"?","%3F"),'Rules'!$G$7:$G$26,0)),""))</x:f>
      </x:c>
      <x:c r="I726" s="6" t="str">
        <x:f>IF(AND(NOT(COUNTA(A726:F726)=0),K726=""),ROUND(J726-D726,3),"")</x:f>
      </x:c>
      <x:c r="J726" s="6" t="str">
        <x:f>IF(AND(NOT(COUNTA(A726:F726)=0),K726=""),ROUND(F726+L726,3),"")</x:f>
      </x:c>
      <x:c r="K726" s="5" t="str">
        <x:f>IF(COUNTA(A726:F726)=0,"",IF(A726="","Missing equipment ID",IF(COUNTIFS($N$8:$N$2007,"="&amp;N726)&gt;1,"Duplicate equipment ID",IF(B726="","Missing type",IF(COUNTIFS('Rules'!$G$7:$G$26,"="&amp;(SUBSTITUTE(SUBSTITUTE(SUBSTITUTE(SUBSTITUTE("type:"&amp;B726,"%","%25"),"~","%7E"),"*","%2A"),"?","%3F")))=0,"Unknown type",IF(COUNTIFS('Rules'!$G$7:$G$26,"="&amp;(SUBSTITUTE(SUBSTITUTE(SUBSTITUTE(SUBSTITUTE("type:"&amp;B726,"%","%25"),"~","%7E"),"*","%2A"),"?","%3F")))&gt;1,"Duplicate type",IF(INDEX('Rules'!$F$7:$F$26,MATCH(SUBSTITUTE(SUBSTITUTE(SUBSTITUTE(SUBSTITUTE("type:"&amp;B726,"%","%25"),"~","%7E"),"*","%2A"),"?","%3F"),'Rules'!$G$7:$G$26,0))&lt;&gt;"",INDEX('Rules'!$F$7:$F$26,MATCH(SUBSTITUTE(SUBSTITUTE(SUBSTITUTE(SUBSTITUTE("type:"&amp;B726,"%","%25"),"~","%7E"),"*","%2A"),"?","%3F"),'Rules'!$G$7:$G$26,0)),IF(AND(C726&lt;&gt;"",C726&lt;&gt;INDEX('Rules'!$B$7:$B$26,MATCH(SUBSTITUTE(SUBSTITUTE(SUBSTITUTE(SUBSTITUTE("type:"&amp;B726,"%","%25"),"~","%7E"),"*","%2A"),"?","%3F"),'Rules'!$G$7:$G$26,0))),"Unit mismatch",IF(IF(NOT(ISNUMBER(D726)),TRUE,OR(D726&lt;0,D726&gt;999999999,ROUND(D726,3)&lt;&gt;D726)),"Invalid current reading",IF(AND(E726&lt;&gt;"",IF(NOT(ISNUMBER(E726)),TRUE,OR(E726&lt;0,E726&gt;999999999,ROUND(E726,3)&lt;&gt;E726))),"Invalid previous reading",IF(IF(NOT(ISNUMBER(F726)),TRUE,OR(F726&lt;0,F726&gt;999999999,ROUND(F726,3)&lt;&gt;F726)),"Invalid last service",IF(AND(E726&lt;&gt;"",D726&lt;E726),"Decreased reading",IF(F726&gt;D726,"Last service above current","")))))))))))))</x:f>
      </x:c>
      <x:c r="L726" s="6" t="str">
        <x:f>IF(AND(NOT(COUNTA(A726:F726)=0),K726=""),INDEX('Rules'!$C$7:$C$26,MATCH(SUBSTITUTE(SUBSTITUTE(SUBSTITUTE(SUBSTITUTE("type:"&amp;B726,"%","%25"),"~","%7E"),"*","%2A"),"?","%3F"),'Rules'!$G$7:$G$26,0)),"")</x:f>
      </x:c>
      <x:c r="M726" s="6" t="str">
        <x:f>IF(AND(NOT(COUNTA(A726:F726)=0),K726=""),INDEX('Rules'!$D$7:$D$26,MATCH(SUBSTITUTE(SUBSTITUTE(SUBSTITUTE(SUBSTITUTE("type:"&amp;B726,"%","%25"),"~","%7E"),"*","%2A"),"?","%3F"),'Rules'!$G$7:$G$26,0)),"")</x:f>
      </x:c>
      <x:c r="N726" s="5" t="str">
        <x:f>IF(COUNTA(A726:F726)=0,"",SUBSTITUTE(SUBSTITUTE(SUBSTITUTE(SUBSTITUTE("id:"&amp;A726,"%","%25"),"~","%7E"),"*","%2A"),"?","%3F"))</x:f>
      </x:c>
    </x:row>
    <x:row r="727" ht="22" customHeight="1">
      <x:c r="A727" s="3"/>
      <x:c r="B727" s="3"/>
      <x:c r="C727" s="3"/>
      <x:c r="D727" s="4"/>
      <x:c r="E727" s="4"/>
      <x:c r="F727" s="4"/>
      <x:c r="G727" s="5" t="str">
        <x:f>IF(COUNTA(A727:F727)=0,"",IF(K727&lt;&gt;"","Review",IF(I727&lt;0,"Overdue",IF(I727=0,"Due now",IF(I727&lt;=M727,"Due soon","Not due")))))</x:f>
      </x:c>
      <x:c r="H727" s="5" t="str">
        <x:f>IF(OR(COUNTA(A727:F727)=0,COUNTIFS('Rules'!$G$7:$G$26,"="&amp;(SUBSTITUTE(SUBSTITUTE(SUBSTITUTE(SUBSTITUTE("type:"&amp;B727,"%","%25"),"~","%7E"),"*","%2A"),"?","%3F")))&lt;&gt;1),"",IF(OR(INDEX('Rules'!$B$7:$B$26,MATCH(SUBSTITUTE(SUBSTITUTE(SUBSTITUTE(SUBSTITUTE("type:"&amp;B727,"%","%25"),"~","%7E"),"*","%2A"),"?","%3F"),'Rules'!$G$7:$G$26,0))="hours",INDEX('Rules'!$B$7:$B$26,MATCH(SUBSTITUTE(SUBSTITUTE(SUBSTITUTE(SUBSTITUTE("type:"&amp;B727,"%","%25"),"~","%7E"),"*","%2A"),"?","%3F"),'Rules'!$G$7:$G$26,0))="km"),INDEX('Rules'!$B$7:$B$26,MATCH(SUBSTITUTE(SUBSTITUTE(SUBSTITUTE(SUBSTITUTE("type:"&amp;B727,"%","%25"),"~","%7E"),"*","%2A"),"?","%3F"),'Rules'!$G$7:$G$26,0)),""))</x:f>
      </x:c>
      <x:c r="I727" s="6" t="str">
        <x:f>IF(AND(NOT(COUNTA(A727:F727)=0),K727=""),ROUND(J727-D727,3),"")</x:f>
      </x:c>
      <x:c r="J727" s="6" t="str">
        <x:f>IF(AND(NOT(COUNTA(A727:F727)=0),K727=""),ROUND(F727+L727,3),"")</x:f>
      </x:c>
      <x:c r="K727" s="5" t="str">
        <x:f>IF(COUNTA(A727:F727)=0,"",IF(A727="","Missing equipment ID",IF(COUNTIFS($N$8:$N$2007,"="&amp;N727)&gt;1,"Duplicate equipment ID",IF(B727="","Missing type",IF(COUNTIFS('Rules'!$G$7:$G$26,"="&amp;(SUBSTITUTE(SUBSTITUTE(SUBSTITUTE(SUBSTITUTE("type:"&amp;B727,"%","%25"),"~","%7E"),"*","%2A"),"?","%3F")))=0,"Unknown type",IF(COUNTIFS('Rules'!$G$7:$G$26,"="&amp;(SUBSTITUTE(SUBSTITUTE(SUBSTITUTE(SUBSTITUTE("type:"&amp;B727,"%","%25"),"~","%7E"),"*","%2A"),"?","%3F")))&gt;1,"Duplicate type",IF(INDEX('Rules'!$F$7:$F$26,MATCH(SUBSTITUTE(SUBSTITUTE(SUBSTITUTE(SUBSTITUTE("type:"&amp;B727,"%","%25"),"~","%7E"),"*","%2A"),"?","%3F"),'Rules'!$G$7:$G$26,0))&lt;&gt;"",INDEX('Rules'!$F$7:$F$26,MATCH(SUBSTITUTE(SUBSTITUTE(SUBSTITUTE(SUBSTITUTE("type:"&amp;B727,"%","%25"),"~","%7E"),"*","%2A"),"?","%3F"),'Rules'!$G$7:$G$26,0)),IF(AND(C727&lt;&gt;"",C727&lt;&gt;INDEX('Rules'!$B$7:$B$26,MATCH(SUBSTITUTE(SUBSTITUTE(SUBSTITUTE(SUBSTITUTE("type:"&amp;B727,"%","%25"),"~","%7E"),"*","%2A"),"?","%3F"),'Rules'!$G$7:$G$26,0))),"Unit mismatch",IF(IF(NOT(ISNUMBER(D727)),TRUE,OR(D727&lt;0,D727&gt;999999999,ROUND(D727,3)&lt;&gt;D727)),"Invalid current reading",IF(AND(E727&lt;&gt;"",IF(NOT(ISNUMBER(E727)),TRUE,OR(E727&lt;0,E727&gt;999999999,ROUND(E727,3)&lt;&gt;E727))),"Invalid previous reading",IF(IF(NOT(ISNUMBER(F727)),TRUE,OR(F727&lt;0,F727&gt;999999999,ROUND(F727,3)&lt;&gt;F727)),"Invalid last service",IF(AND(E727&lt;&gt;"",D727&lt;E727),"Decreased reading",IF(F727&gt;D727,"Last service above current","")))))))))))))</x:f>
      </x:c>
      <x:c r="L727" s="6" t="str">
        <x:f>IF(AND(NOT(COUNTA(A727:F727)=0),K727=""),INDEX('Rules'!$C$7:$C$26,MATCH(SUBSTITUTE(SUBSTITUTE(SUBSTITUTE(SUBSTITUTE("type:"&amp;B727,"%","%25"),"~","%7E"),"*","%2A"),"?","%3F"),'Rules'!$G$7:$G$26,0)),"")</x:f>
      </x:c>
      <x:c r="M727" s="6" t="str">
        <x:f>IF(AND(NOT(COUNTA(A727:F727)=0),K727=""),INDEX('Rules'!$D$7:$D$26,MATCH(SUBSTITUTE(SUBSTITUTE(SUBSTITUTE(SUBSTITUTE("type:"&amp;B727,"%","%25"),"~","%7E"),"*","%2A"),"?","%3F"),'Rules'!$G$7:$G$26,0)),"")</x:f>
      </x:c>
      <x:c r="N727" s="5" t="str">
        <x:f>IF(COUNTA(A727:F727)=0,"",SUBSTITUTE(SUBSTITUTE(SUBSTITUTE(SUBSTITUTE("id:"&amp;A727,"%","%25"),"~","%7E"),"*","%2A"),"?","%3F"))</x:f>
      </x:c>
    </x:row>
    <x:row r="728" ht="22" customHeight="1">
      <x:c r="A728" s="3"/>
      <x:c r="B728" s="3"/>
      <x:c r="C728" s="3"/>
      <x:c r="D728" s="4"/>
      <x:c r="E728" s="4"/>
      <x:c r="F728" s="4"/>
      <x:c r="G728" s="5" t="str">
        <x:f>IF(COUNTA(A728:F728)=0,"",IF(K728&lt;&gt;"","Review",IF(I728&lt;0,"Overdue",IF(I728=0,"Due now",IF(I728&lt;=M728,"Due soon","Not due")))))</x:f>
      </x:c>
      <x:c r="H728" s="5" t="str">
        <x:f>IF(OR(COUNTA(A728:F728)=0,COUNTIFS('Rules'!$G$7:$G$26,"="&amp;(SUBSTITUTE(SUBSTITUTE(SUBSTITUTE(SUBSTITUTE("type:"&amp;B728,"%","%25"),"~","%7E"),"*","%2A"),"?","%3F")))&lt;&gt;1),"",IF(OR(INDEX('Rules'!$B$7:$B$26,MATCH(SUBSTITUTE(SUBSTITUTE(SUBSTITUTE(SUBSTITUTE("type:"&amp;B728,"%","%25"),"~","%7E"),"*","%2A"),"?","%3F"),'Rules'!$G$7:$G$26,0))="hours",INDEX('Rules'!$B$7:$B$26,MATCH(SUBSTITUTE(SUBSTITUTE(SUBSTITUTE(SUBSTITUTE("type:"&amp;B728,"%","%25"),"~","%7E"),"*","%2A"),"?","%3F"),'Rules'!$G$7:$G$26,0))="km"),INDEX('Rules'!$B$7:$B$26,MATCH(SUBSTITUTE(SUBSTITUTE(SUBSTITUTE(SUBSTITUTE("type:"&amp;B728,"%","%25"),"~","%7E"),"*","%2A"),"?","%3F"),'Rules'!$G$7:$G$26,0)),""))</x:f>
      </x:c>
      <x:c r="I728" s="6" t="str">
        <x:f>IF(AND(NOT(COUNTA(A728:F728)=0),K728=""),ROUND(J728-D728,3),"")</x:f>
      </x:c>
      <x:c r="J728" s="6" t="str">
        <x:f>IF(AND(NOT(COUNTA(A728:F728)=0),K728=""),ROUND(F728+L728,3),"")</x:f>
      </x:c>
      <x:c r="K728" s="5" t="str">
        <x:f>IF(COUNTA(A728:F728)=0,"",IF(A728="","Missing equipment ID",IF(COUNTIFS($N$8:$N$2007,"="&amp;N728)&gt;1,"Duplicate equipment ID",IF(B728="","Missing type",IF(COUNTIFS('Rules'!$G$7:$G$26,"="&amp;(SUBSTITUTE(SUBSTITUTE(SUBSTITUTE(SUBSTITUTE("type:"&amp;B728,"%","%25"),"~","%7E"),"*","%2A"),"?","%3F")))=0,"Unknown type",IF(COUNTIFS('Rules'!$G$7:$G$26,"="&amp;(SUBSTITUTE(SUBSTITUTE(SUBSTITUTE(SUBSTITUTE("type:"&amp;B728,"%","%25"),"~","%7E"),"*","%2A"),"?","%3F")))&gt;1,"Duplicate type",IF(INDEX('Rules'!$F$7:$F$26,MATCH(SUBSTITUTE(SUBSTITUTE(SUBSTITUTE(SUBSTITUTE("type:"&amp;B728,"%","%25"),"~","%7E"),"*","%2A"),"?","%3F"),'Rules'!$G$7:$G$26,0))&lt;&gt;"",INDEX('Rules'!$F$7:$F$26,MATCH(SUBSTITUTE(SUBSTITUTE(SUBSTITUTE(SUBSTITUTE("type:"&amp;B728,"%","%25"),"~","%7E"),"*","%2A"),"?","%3F"),'Rules'!$G$7:$G$26,0)),IF(AND(C728&lt;&gt;"",C728&lt;&gt;INDEX('Rules'!$B$7:$B$26,MATCH(SUBSTITUTE(SUBSTITUTE(SUBSTITUTE(SUBSTITUTE("type:"&amp;B728,"%","%25"),"~","%7E"),"*","%2A"),"?","%3F"),'Rules'!$G$7:$G$26,0))),"Unit mismatch",IF(IF(NOT(ISNUMBER(D728)),TRUE,OR(D728&lt;0,D728&gt;999999999,ROUND(D728,3)&lt;&gt;D728)),"Invalid current reading",IF(AND(E728&lt;&gt;"",IF(NOT(ISNUMBER(E728)),TRUE,OR(E728&lt;0,E728&gt;999999999,ROUND(E728,3)&lt;&gt;E728))),"Invalid previous reading",IF(IF(NOT(ISNUMBER(F728)),TRUE,OR(F728&lt;0,F728&gt;999999999,ROUND(F728,3)&lt;&gt;F728)),"Invalid last service",IF(AND(E728&lt;&gt;"",D728&lt;E728),"Decreased reading",IF(F728&gt;D728,"Last service above current","")))))))))))))</x:f>
      </x:c>
      <x:c r="L728" s="6" t="str">
        <x:f>IF(AND(NOT(COUNTA(A728:F728)=0),K728=""),INDEX('Rules'!$C$7:$C$26,MATCH(SUBSTITUTE(SUBSTITUTE(SUBSTITUTE(SUBSTITUTE("type:"&amp;B728,"%","%25"),"~","%7E"),"*","%2A"),"?","%3F"),'Rules'!$G$7:$G$26,0)),"")</x:f>
      </x:c>
      <x:c r="M728" s="6" t="str">
        <x:f>IF(AND(NOT(COUNTA(A728:F728)=0),K728=""),INDEX('Rules'!$D$7:$D$26,MATCH(SUBSTITUTE(SUBSTITUTE(SUBSTITUTE(SUBSTITUTE("type:"&amp;B728,"%","%25"),"~","%7E"),"*","%2A"),"?","%3F"),'Rules'!$G$7:$G$26,0)),"")</x:f>
      </x:c>
      <x:c r="N728" s="5" t="str">
        <x:f>IF(COUNTA(A728:F728)=0,"",SUBSTITUTE(SUBSTITUTE(SUBSTITUTE(SUBSTITUTE("id:"&amp;A728,"%","%25"),"~","%7E"),"*","%2A"),"?","%3F"))</x:f>
      </x:c>
    </x:row>
    <x:row r="729" ht="22" customHeight="1">
      <x:c r="A729" s="3"/>
      <x:c r="B729" s="3"/>
      <x:c r="C729" s="3"/>
      <x:c r="D729" s="4"/>
      <x:c r="E729" s="4"/>
      <x:c r="F729" s="4"/>
      <x:c r="G729" s="5" t="str">
        <x:f>IF(COUNTA(A729:F729)=0,"",IF(K729&lt;&gt;"","Review",IF(I729&lt;0,"Overdue",IF(I729=0,"Due now",IF(I729&lt;=M729,"Due soon","Not due")))))</x:f>
      </x:c>
      <x:c r="H729" s="5" t="str">
        <x:f>IF(OR(COUNTA(A729:F729)=0,COUNTIFS('Rules'!$G$7:$G$26,"="&amp;(SUBSTITUTE(SUBSTITUTE(SUBSTITUTE(SUBSTITUTE("type:"&amp;B729,"%","%25"),"~","%7E"),"*","%2A"),"?","%3F")))&lt;&gt;1),"",IF(OR(INDEX('Rules'!$B$7:$B$26,MATCH(SUBSTITUTE(SUBSTITUTE(SUBSTITUTE(SUBSTITUTE("type:"&amp;B729,"%","%25"),"~","%7E"),"*","%2A"),"?","%3F"),'Rules'!$G$7:$G$26,0))="hours",INDEX('Rules'!$B$7:$B$26,MATCH(SUBSTITUTE(SUBSTITUTE(SUBSTITUTE(SUBSTITUTE("type:"&amp;B729,"%","%25"),"~","%7E"),"*","%2A"),"?","%3F"),'Rules'!$G$7:$G$26,0))="km"),INDEX('Rules'!$B$7:$B$26,MATCH(SUBSTITUTE(SUBSTITUTE(SUBSTITUTE(SUBSTITUTE("type:"&amp;B729,"%","%25"),"~","%7E"),"*","%2A"),"?","%3F"),'Rules'!$G$7:$G$26,0)),""))</x:f>
      </x:c>
      <x:c r="I729" s="6" t="str">
        <x:f>IF(AND(NOT(COUNTA(A729:F729)=0),K729=""),ROUND(J729-D729,3),"")</x:f>
      </x:c>
      <x:c r="J729" s="6" t="str">
        <x:f>IF(AND(NOT(COUNTA(A729:F729)=0),K729=""),ROUND(F729+L729,3),"")</x:f>
      </x:c>
      <x:c r="K729" s="5" t="str">
        <x:f>IF(COUNTA(A729:F729)=0,"",IF(A729="","Missing equipment ID",IF(COUNTIFS($N$8:$N$2007,"="&amp;N729)&gt;1,"Duplicate equipment ID",IF(B729="","Missing type",IF(COUNTIFS('Rules'!$G$7:$G$26,"="&amp;(SUBSTITUTE(SUBSTITUTE(SUBSTITUTE(SUBSTITUTE("type:"&amp;B729,"%","%25"),"~","%7E"),"*","%2A"),"?","%3F")))=0,"Unknown type",IF(COUNTIFS('Rules'!$G$7:$G$26,"="&amp;(SUBSTITUTE(SUBSTITUTE(SUBSTITUTE(SUBSTITUTE("type:"&amp;B729,"%","%25"),"~","%7E"),"*","%2A"),"?","%3F")))&gt;1,"Duplicate type",IF(INDEX('Rules'!$F$7:$F$26,MATCH(SUBSTITUTE(SUBSTITUTE(SUBSTITUTE(SUBSTITUTE("type:"&amp;B729,"%","%25"),"~","%7E"),"*","%2A"),"?","%3F"),'Rules'!$G$7:$G$26,0))&lt;&gt;"",INDEX('Rules'!$F$7:$F$26,MATCH(SUBSTITUTE(SUBSTITUTE(SUBSTITUTE(SUBSTITUTE("type:"&amp;B729,"%","%25"),"~","%7E"),"*","%2A"),"?","%3F"),'Rules'!$G$7:$G$26,0)),IF(AND(C729&lt;&gt;"",C729&lt;&gt;INDEX('Rules'!$B$7:$B$26,MATCH(SUBSTITUTE(SUBSTITUTE(SUBSTITUTE(SUBSTITUTE("type:"&amp;B729,"%","%25"),"~","%7E"),"*","%2A"),"?","%3F"),'Rules'!$G$7:$G$26,0))),"Unit mismatch",IF(IF(NOT(ISNUMBER(D729)),TRUE,OR(D729&lt;0,D729&gt;999999999,ROUND(D729,3)&lt;&gt;D729)),"Invalid current reading",IF(AND(E729&lt;&gt;"",IF(NOT(ISNUMBER(E729)),TRUE,OR(E729&lt;0,E729&gt;999999999,ROUND(E729,3)&lt;&gt;E729))),"Invalid previous reading",IF(IF(NOT(ISNUMBER(F729)),TRUE,OR(F729&lt;0,F729&gt;999999999,ROUND(F729,3)&lt;&gt;F729)),"Invalid last service",IF(AND(E729&lt;&gt;"",D729&lt;E729),"Decreased reading",IF(F729&gt;D729,"Last service above current","")))))))))))))</x:f>
      </x:c>
      <x:c r="L729" s="6" t="str">
        <x:f>IF(AND(NOT(COUNTA(A729:F729)=0),K729=""),INDEX('Rules'!$C$7:$C$26,MATCH(SUBSTITUTE(SUBSTITUTE(SUBSTITUTE(SUBSTITUTE("type:"&amp;B729,"%","%25"),"~","%7E"),"*","%2A"),"?","%3F"),'Rules'!$G$7:$G$26,0)),"")</x:f>
      </x:c>
      <x:c r="M729" s="6" t="str">
        <x:f>IF(AND(NOT(COUNTA(A729:F729)=0),K729=""),INDEX('Rules'!$D$7:$D$26,MATCH(SUBSTITUTE(SUBSTITUTE(SUBSTITUTE(SUBSTITUTE("type:"&amp;B729,"%","%25"),"~","%7E"),"*","%2A"),"?","%3F"),'Rules'!$G$7:$G$26,0)),"")</x:f>
      </x:c>
      <x:c r="N729" s="5" t="str">
        <x:f>IF(COUNTA(A729:F729)=0,"",SUBSTITUTE(SUBSTITUTE(SUBSTITUTE(SUBSTITUTE("id:"&amp;A729,"%","%25"),"~","%7E"),"*","%2A"),"?","%3F"))</x:f>
      </x:c>
    </x:row>
    <x:row r="730" ht="22" customHeight="1">
      <x:c r="A730" s="3"/>
      <x:c r="B730" s="3"/>
      <x:c r="C730" s="3"/>
      <x:c r="D730" s="4"/>
      <x:c r="E730" s="4"/>
      <x:c r="F730" s="4"/>
      <x:c r="G730" s="5" t="str">
        <x:f>IF(COUNTA(A730:F730)=0,"",IF(K730&lt;&gt;"","Review",IF(I730&lt;0,"Overdue",IF(I730=0,"Due now",IF(I730&lt;=M730,"Due soon","Not due")))))</x:f>
      </x:c>
      <x:c r="H730" s="5" t="str">
        <x:f>IF(OR(COUNTA(A730:F730)=0,COUNTIFS('Rules'!$G$7:$G$26,"="&amp;(SUBSTITUTE(SUBSTITUTE(SUBSTITUTE(SUBSTITUTE("type:"&amp;B730,"%","%25"),"~","%7E"),"*","%2A"),"?","%3F")))&lt;&gt;1),"",IF(OR(INDEX('Rules'!$B$7:$B$26,MATCH(SUBSTITUTE(SUBSTITUTE(SUBSTITUTE(SUBSTITUTE("type:"&amp;B730,"%","%25"),"~","%7E"),"*","%2A"),"?","%3F"),'Rules'!$G$7:$G$26,0))="hours",INDEX('Rules'!$B$7:$B$26,MATCH(SUBSTITUTE(SUBSTITUTE(SUBSTITUTE(SUBSTITUTE("type:"&amp;B730,"%","%25"),"~","%7E"),"*","%2A"),"?","%3F"),'Rules'!$G$7:$G$26,0))="km"),INDEX('Rules'!$B$7:$B$26,MATCH(SUBSTITUTE(SUBSTITUTE(SUBSTITUTE(SUBSTITUTE("type:"&amp;B730,"%","%25"),"~","%7E"),"*","%2A"),"?","%3F"),'Rules'!$G$7:$G$26,0)),""))</x:f>
      </x:c>
      <x:c r="I730" s="6" t="str">
        <x:f>IF(AND(NOT(COUNTA(A730:F730)=0),K730=""),ROUND(J730-D730,3),"")</x:f>
      </x:c>
      <x:c r="J730" s="6" t="str">
        <x:f>IF(AND(NOT(COUNTA(A730:F730)=0),K730=""),ROUND(F730+L730,3),"")</x:f>
      </x:c>
      <x:c r="K730" s="5" t="str">
        <x:f>IF(COUNTA(A730:F730)=0,"",IF(A730="","Missing equipment ID",IF(COUNTIFS($N$8:$N$2007,"="&amp;N730)&gt;1,"Duplicate equipment ID",IF(B730="","Missing type",IF(COUNTIFS('Rules'!$G$7:$G$26,"="&amp;(SUBSTITUTE(SUBSTITUTE(SUBSTITUTE(SUBSTITUTE("type:"&amp;B730,"%","%25"),"~","%7E"),"*","%2A"),"?","%3F")))=0,"Unknown type",IF(COUNTIFS('Rules'!$G$7:$G$26,"="&amp;(SUBSTITUTE(SUBSTITUTE(SUBSTITUTE(SUBSTITUTE("type:"&amp;B730,"%","%25"),"~","%7E"),"*","%2A"),"?","%3F")))&gt;1,"Duplicate type",IF(INDEX('Rules'!$F$7:$F$26,MATCH(SUBSTITUTE(SUBSTITUTE(SUBSTITUTE(SUBSTITUTE("type:"&amp;B730,"%","%25"),"~","%7E"),"*","%2A"),"?","%3F"),'Rules'!$G$7:$G$26,0))&lt;&gt;"",INDEX('Rules'!$F$7:$F$26,MATCH(SUBSTITUTE(SUBSTITUTE(SUBSTITUTE(SUBSTITUTE("type:"&amp;B730,"%","%25"),"~","%7E"),"*","%2A"),"?","%3F"),'Rules'!$G$7:$G$26,0)),IF(AND(C730&lt;&gt;"",C730&lt;&gt;INDEX('Rules'!$B$7:$B$26,MATCH(SUBSTITUTE(SUBSTITUTE(SUBSTITUTE(SUBSTITUTE("type:"&amp;B730,"%","%25"),"~","%7E"),"*","%2A"),"?","%3F"),'Rules'!$G$7:$G$26,0))),"Unit mismatch",IF(IF(NOT(ISNUMBER(D730)),TRUE,OR(D730&lt;0,D730&gt;999999999,ROUND(D730,3)&lt;&gt;D730)),"Invalid current reading",IF(AND(E730&lt;&gt;"",IF(NOT(ISNUMBER(E730)),TRUE,OR(E730&lt;0,E730&gt;999999999,ROUND(E730,3)&lt;&gt;E730))),"Invalid previous reading",IF(IF(NOT(ISNUMBER(F730)),TRUE,OR(F730&lt;0,F730&gt;999999999,ROUND(F730,3)&lt;&gt;F730)),"Invalid last service",IF(AND(E730&lt;&gt;"",D730&lt;E730),"Decreased reading",IF(F730&gt;D730,"Last service above current","")))))))))))))</x:f>
      </x:c>
      <x:c r="L730" s="6" t="str">
        <x:f>IF(AND(NOT(COUNTA(A730:F730)=0),K730=""),INDEX('Rules'!$C$7:$C$26,MATCH(SUBSTITUTE(SUBSTITUTE(SUBSTITUTE(SUBSTITUTE("type:"&amp;B730,"%","%25"),"~","%7E"),"*","%2A"),"?","%3F"),'Rules'!$G$7:$G$26,0)),"")</x:f>
      </x:c>
      <x:c r="M730" s="6" t="str">
        <x:f>IF(AND(NOT(COUNTA(A730:F730)=0),K730=""),INDEX('Rules'!$D$7:$D$26,MATCH(SUBSTITUTE(SUBSTITUTE(SUBSTITUTE(SUBSTITUTE("type:"&amp;B730,"%","%25"),"~","%7E"),"*","%2A"),"?","%3F"),'Rules'!$G$7:$G$26,0)),"")</x:f>
      </x:c>
      <x:c r="N730" s="5" t="str">
        <x:f>IF(COUNTA(A730:F730)=0,"",SUBSTITUTE(SUBSTITUTE(SUBSTITUTE(SUBSTITUTE("id:"&amp;A730,"%","%25"),"~","%7E"),"*","%2A"),"?","%3F"))</x:f>
      </x:c>
    </x:row>
    <x:row r="731" ht="22" customHeight="1">
      <x:c r="A731" s="3"/>
      <x:c r="B731" s="3"/>
      <x:c r="C731" s="3"/>
      <x:c r="D731" s="4"/>
      <x:c r="E731" s="4"/>
      <x:c r="F731" s="4"/>
      <x:c r="G731" s="5" t="str">
        <x:f>IF(COUNTA(A731:F731)=0,"",IF(K731&lt;&gt;"","Review",IF(I731&lt;0,"Overdue",IF(I731=0,"Due now",IF(I731&lt;=M731,"Due soon","Not due")))))</x:f>
      </x:c>
      <x:c r="H731" s="5" t="str">
        <x:f>IF(OR(COUNTA(A731:F731)=0,COUNTIFS('Rules'!$G$7:$G$26,"="&amp;(SUBSTITUTE(SUBSTITUTE(SUBSTITUTE(SUBSTITUTE("type:"&amp;B731,"%","%25"),"~","%7E"),"*","%2A"),"?","%3F")))&lt;&gt;1),"",IF(OR(INDEX('Rules'!$B$7:$B$26,MATCH(SUBSTITUTE(SUBSTITUTE(SUBSTITUTE(SUBSTITUTE("type:"&amp;B731,"%","%25"),"~","%7E"),"*","%2A"),"?","%3F"),'Rules'!$G$7:$G$26,0))="hours",INDEX('Rules'!$B$7:$B$26,MATCH(SUBSTITUTE(SUBSTITUTE(SUBSTITUTE(SUBSTITUTE("type:"&amp;B731,"%","%25"),"~","%7E"),"*","%2A"),"?","%3F"),'Rules'!$G$7:$G$26,0))="km"),INDEX('Rules'!$B$7:$B$26,MATCH(SUBSTITUTE(SUBSTITUTE(SUBSTITUTE(SUBSTITUTE("type:"&amp;B731,"%","%25"),"~","%7E"),"*","%2A"),"?","%3F"),'Rules'!$G$7:$G$26,0)),""))</x:f>
      </x:c>
      <x:c r="I731" s="6" t="str">
        <x:f>IF(AND(NOT(COUNTA(A731:F731)=0),K731=""),ROUND(J731-D731,3),"")</x:f>
      </x:c>
      <x:c r="J731" s="6" t="str">
        <x:f>IF(AND(NOT(COUNTA(A731:F731)=0),K731=""),ROUND(F731+L731,3),"")</x:f>
      </x:c>
      <x:c r="K731" s="5" t="str">
        <x:f>IF(COUNTA(A731:F731)=0,"",IF(A731="","Missing equipment ID",IF(COUNTIFS($N$8:$N$2007,"="&amp;N731)&gt;1,"Duplicate equipment ID",IF(B731="","Missing type",IF(COUNTIFS('Rules'!$G$7:$G$26,"="&amp;(SUBSTITUTE(SUBSTITUTE(SUBSTITUTE(SUBSTITUTE("type:"&amp;B731,"%","%25"),"~","%7E"),"*","%2A"),"?","%3F")))=0,"Unknown type",IF(COUNTIFS('Rules'!$G$7:$G$26,"="&amp;(SUBSTITUTE(SUBSTITUTE(SUBSTITUTE(SUBSTITUTE("type:"&amp;B731,"%","%25"),"~","%7E"),"*","%2A"),"?","%3F")))&gt;1,"Duplicate type",IF(INDEX('Rules'!$F$7:$F$26,MATCH(SUBSTITUTE(SUBSTITUTE(SUBSTITUTE(SUBSTITUTE("type:"&amp;B731,"%","%25"),"~","%7E"),"*","%2A"),"?","%3F"),'Rules'!$G$7:$G$26,0))&lt;&gt;"",INDEX('Rules'!$F$7:$F$26,MATCH(SUBSTITUTE(SUBSTITUTE(SUBSTITUTE(SUBSTITUTE("type:"&amp;B731,"%","%25"),"~","%7E"),"*","%2A"),"?","%3F"),'Rules'!$G$7:$G$26,0)),IF(AND(C731&lt;&gt;"",C731&lt;&gt;INDEX('Rules'!$B$7:$B$26,MATCH(SUBSTITUTE(SUBSTITUTE(SUBSTITUTE(SUBSTITUTE("type:"&amp;B731,"%","%25"),"~","%7E"),"*","%2A"),"?","%3F"),'Rules'!$G$7:$G$26,0))),"Unit mismatch",IF(IF(NOT(ISNUMBER(D731)),TRUE,OR(D731&lt;0,D731&gt;999999999,ROUND(D731,3)&lt;&gt;D731)),"Invalid current reading",IF(AND(E731&lt;&gt;"",IF(NOT(ISNUMBER(E731)),TRUE,OR(E731&lt;0,E731&gt;999999999,ROUND(E731,3)&lt;&gt;E731))),"Invalid previous reading",IF(IF(NOT(ISNUMBER(F731)),TRUE,OR(F731&lt;0,F731&gt;999999999,ROUND(F731,3)&lt;&gt;F731)),"Invalid last service",IF(AND(E731&lt;&gt;"",D731&lt;E731),"Decreased reading",IF(F731&gt;D731,"Last service above current","")))))))))))))</x:f>
      </x:c>
      <x:c r="L731" s="6" t="str">
        <x:f>IF(AND(NOT(COUNTA(A731:F731)=0),K731=""),INDEX('Rules'!$C$7:$C$26,MATCH(SUBSTITUTE(SUBSTITUTE(SUBSTITUTE(SUBSTITUTE("type:"&amp;B731,"%","%25"),"~","%7E"),"*","%2A"),"?","%3F"),'Rules'!$G$7:$G$26,0)),"")</x:f>
      </x:c>
      <x:c r="M731" s="6" t="str">
        <x:f>IF(AND(NOT(COUNTA(A731:F731)=0),K731=""),INDEX('Rules'!$D$7:$D$26,MATCH(SUBSTITUTE(SUBSTITUTE(SUBSTITUTE(SUBSTITUTE("type:"&amp;B731,"%","%25"),"~","%7E"),"*","%2A"),"?","%3F"),'Rules'!$G$7:$G$26,0)),"")</x:f>
      </x:c>
      <x:c r="N731" s="5" t="str">
        <x:f>IF(COUNTA(A731:F731)=0,"",SUBSTITUTE(SUBSTITUTE(SUBSTITUTE(SUBSTITUTE("id:"&amp;A731,"%","%25"),"~","%7E"),"*","%2A"),"?","%3F"))</x:f>
      </x:c>
    </x:row>
    <x:row r="732" ht="22" customHeight="1">
      <x:c r="A732" s="3"/>
      <x:c r="B732" s="3"/>
      <x:c r="C732" s="3"/>
      <x:c r="D732" s="4"/>
      <x:c r="E732" s="4"/>
      <x:c r="F732" s="4"/>
      <x:c r="G732" s="5" t="str">
        <x:f>IF(COUNTA(A732:F732)=0,"",IF(K732&lt;&gt;"","Review",IF(I732&lt;0,"Overdue",IF(I732=0,"Due now",IF(I732&lt;=M732,"Due soon","Not due")))))</x:f>
      </x:c>
      <x:c r="H732" s="5" t="str">
        <x:f>IF(OR(COUNTA(A732:F732)=0,COUNTIFS('Rules'!$G$7:$G$26,"="&amp;(SUBSTITUTE(SUBSTITUTE(SUBSTITUTE(SUBSTITUTE("type:"&amp;B732,"%","%25"),"~","%7E"),"*","%2A"),"?","%3F")))&lt;&gt;1),"",IF(OR(INDEX('Rules'!$B$7:$B$26,MATCH(SUBSTITUTE(SUBSTITUTE(SUBSTITUTE(SUBSTITUTE("type:"&amp;B732,"%","%25"),"~","%7E"),"*","%2A"),"?","%3F"),'Rules'!$G$7:$G$26,0))="hours",INDEX('Rules'!$B$7:$B$26,MATCH(SUBSTITUTE(SUBSTITUTE(SUBSTITUTE(SUBSTITUTE("type:"&amp;B732,"%","%25"),"~","%7E"),"*","%2A"),"?","%3F"),'Rules'!$G$7:$G$26,0))="km"),INDEX('Rules'!$B$7:$B$26,MATCH(SUBSTITUTE(SUBSTITUTE(SUBSTITUTE(SUBSTITUTE("type:"&amp;B732,"%","%25"),"~","%7E"),"*","%2A"),"?","%3F"),'Rules'!$G$7:$G$26,0)),""))</x:f>
      </x:c>
      <x:c r="I732" s="6" t="str">
        <x:f>IF(AND(NOT(COUNTA(A732:F732)=0),K732=""),ROUND(J732-D732,3),"")</x:f>
      </x:c>
      <x:c r="J732" s="6" t="str">
        <x:f>IF(AND(NOT(COUNTA(A732:F732)=0),K732=""),ROUND(F732+L732,3),"")</x:f>
      </x:c>
      <x:c r="K732" s="5" t="str">
        <x:f>IF(COUNTA(A732:F732)=0,"",IF(A732="","Missing equipment ID",IF(COUNTIFS($N$8:$N$2007,"="&amp;N732)&gt;1,"Duplicate equipment ID",IF(B732="","Missing type",IF(COUNTIFS('Rules'!$G$7:$G$26,"="&amp;(SUBSTITUTE(SUBSTITUTE(SUBSTITUTE(SUBSTITUTE("type:"&amp;B732,"%","%25"),"~","%7E"),"*","%2A"),"?","%3F")))=0,"Unknown type",IF(COUNTIFS('Rules'!$G$7:$G$26,"="&amp;(SUBSTITUTE(SUBSTITUTE(SUBSTITUTE(SUBSTITUTE("type:"&amp;B732,"%","%25"),"~","%7E"),"*","%2A"),"?","%3F")))&gt;1,"Duplicate type",IF(INDEX('Rules'!$F$7:$F$26,MATCH(SUBSTITUTE(SUBSTITUTE(SUBSTITUTE(SUBSTITUTE("type:"&amp;B732,"%","%25"),"~","%7E"),"*","%2A"),"?","%3F"),'Rules'!$G$7:$G$26,0))&lt;&gt;"",INDEX('Rules'!$F$7:$F$26,MATCH(SUBSTITUTE(SUBSTITUTE(SUBSTITUTE(SUBSTITUTE("type:"&amp;B732,"%","%25"),"~","%7E"),"*","%2A"),"?","%3F"),'Rules'!$G$7:$G$26,0)),IF(AND(C732&lt;&gt;"",C732&lt;&gt;INDEX('Rules'!$B$7:$B$26,MATCH(SUBSTITUTE(SUBSTITUTE(SUBSTITUTE(SUBSTITUTE("type:"&amp;B732,"%","%25"),"~","%7E"),"*","%2A"),"?","%3F"),'Rules'!$G$7:$G$26,0))),"Unit mismatch",IF(IF(NOT(ISNUMBER(D732)),TRUE,OR(D732&lt;0,D732&gt;999999999,ROUND(D732,3)&lt;&gt;D732)),"Invalid current reading",IF(AND(E732&lt;&gt;"",IF(NOT(ISNUMBER(E732)),TRUE,OR(E732&lt;0,E732&gt;999999999,ROUND(E732,3)&lt;&gt;E732))),"Invalid previous reading",IF(IF(NOT(ISNUMBER(F732)),TRUE,OR(F732&lt;0,F732&gt;999999999,ROUND(F732,3)&lt;&gt;F732)),"Invalid last service",IF(AND(E732&lt;&gt;"",D732&lt;E732),"Decreased reading",IF(F732&gt;D732,"Last service above current","")))))))))))))</x:f>
      </x:c>
      <x:c r="L732" s="6" t="str">
        <x:f>IF(AND(NOT(COUNTA(A732:F732)=0),K732=""),INDEX('Rules'!$C$7:$C$26,MATCH(SUBSTITUTE(SUBSTITUTE(SUBSTITUTE(SUBSTITUTE("type:"&amp;B732,"%","%25"),"~","%7E"),"*","%2A"),"?","%3F"),'Rules'!$G$7:$G$26,0)),"")</x:f>
      </x:c>
      <x:c r="M732" s="6" t="str">
        <x:f>IF(AND(NOT(COUNTA(A732:F732)=0),K732=""),INDEX('Rules'!$D$7:$D$26,MATCH(SUBSTITUTE(SUBSTITUTE(SUBSTITUTE(SUBSTITUTE("type:"&amp;B732,"%","%25"),"~","%7E"),"*","%2A"),"?","%3F"),'Rules'!$G$7:$G$26,0)),"")</x:f>
      </x:c>
      <x:c r="N732" s="5" t="str">
        <x:f>IF(COUNTA(A732:F732)=0,"",SUBSTITUTE(SUBSTITUTE(SUBSTITUTE(SUBSTITUTE("id:"&amp;A732,"%","%25"),"~","%7E"),"*","%2A"),"?","%3F"))</x:f>
      </x:c>
    </x:row>
    <x:row r="733" ht="22" customHeight="1">
      <x:c r="A733" s="3"/>
      <x:c r="B733" s="3"/>
      <x:c r="C733" s="3"/>
      <x:c r="D733" s="4"/>
      <x:c r="E733" s="4"/>
      <x:c r="F733" s="4"/>
      <x:c r="G733" s="5" t="str">
        <x:f>IF(COUNTA(A733:F733)=0,"",IF(K733&lt;&gt;"","Review",IF(I733&lt;0,"Overdue",IF(I733=0,"Due now",IF(I733&lt;=M733,"Due soon","Not due")))))</x:f>
      </x:c>
      <x:c r="H733" s="5" t="str">
        <x:f>IF(OR(COUNTA(A733:F733)=0,COUNTIFS('Rules'!$G$7:$G$26,"="&amp;(SUBSTITUTE(SUBSTITUTE(SUBSTITUTE(SUBSTITUTE("type:"&amp;B733,"%","%25"),"~","%7E"),"*","%2A"),"?","%3F")))&lt;&gt;1),"",IF(OR(INDEX('Rules'!$B$7:$B$26,MATCH(SUBSTITUTE(SUBSTITUTE(SUBSTITUTE(SUBSTITUTE("type:"&amp;B733,"%","%25"),"~","%7E"),"*","%2A"),"?","%3F"),'Rules'!$G$7:$G$26,0))="hours",INDEX('Rules'!$B$7:$B$26,MATCH(SUBSTITUTE(SUBSTITUTE(SUBSTITUTE(SUBSTITUTE("type:"&amp;B733,"%","%25"),"~","%7E"),"*","%2A"),"?","%3F"),'Rules'!$G$7:$G$26,0))="km"),INDEX('Rules'!$B$7:$B$26,MATCH(SUBSTITUTE(SUBSTITUTE(SUBSTITUTE(SUBSTITUTE("type:"&amp;B733,"%","%25"),"~","%7E"),"*","%2A"),"?","%3F"),'Rules'!$G$7:$G$26,0)),""))</x:f>
      </x:c>
      <x:c r="I733" s="6" t="str">
        <x:f>IF(AND(NOT(COUNTA(A733:F733)=0),K733=""),ROUND(J733-D733,3),"")</x:f>
      </x:c>
      <x:c r="J733" s="6" t="str">
        <x:f>IF(AND(NOT(COUNTA(A733:F733)=0),K733=""),ROUND(F733+L733,3),"")</x:f>
      </x:c>
      <x:c r="K733" s="5" t="str">
        <x:f>IF(COUNTA(A733:F733)=0,"",IF(A733="","Missing equipment ID",IF(COUNTIFS($N$8:$N$2007,"="&amp;N733)&gt;1,"Duplicate equipment ID",IF(B733="","Missing type",IF(COUNTIFS('Rules'!$G$7:$G$26,"="&amp;(SUBSTITUTE(SUBSTITUTE(SUBSTITUTE(SUBSTITUTE("type:"&amp;B733,"%","%25"),"~","%7E"),"*","%2A"),"?","%3F")))=0,"Unknown type",IF(COUNTIFS('Rules'!$G$7:$G$26,"="&amp;(SUBSTITUTE(SUBSTITUTE(SUBSTITUTE(SUBSTITUTE("type:"&amp;B733,"%","%25"),"~","%7E"),"*","%2A"),"?","%3F")))&gt;1,"Duplicate type",IF(INDEX('Rules'!$F$7:$F$26,MATCH(SUBSTITUTE(SUBSTITUTE(SUBSTITUTE(SUBSTITUTE("type:"&amp;B733,"%","%25"),"~","%7E"),"*","%2A"),"?","%3F"),'Rules'!$G$7:$G$26,0))&lt;&gt;"",INDEX('Rules'!$F$7:$F$26,MATCH(SUBSTITUTE(SUBSTITUTE(SUBSTITUTE(SUBSTITUTE("type:"&amp;B733,"%","%25"),"~","%7E"),"*","%2A"),"?","%3F"),'Rules'!$G$7:$G$26,0)),IF(AND(C733&lt;&gt;"",C733&lt;&gt;INDEX('Rules'!$B$7:$B$26,MATCH(SUBSTITUTE(SUBSTITUTE(SUBSTITUTE(SUBSTITUTE("type:"&amp;B733,"%","%25"),"~","%7E"),"*","%2A"),"?","%3F"),'Rules'!$G$7:$G$26,0))),"Unit mismatch",IF(IF(NOT(ISNUMBER(D733)),TRUE,OR(D733&lt;0,D733&gt;999999999,ROUND(D733,3)&lt;&gt;D733)),"Invalid current reading",IF(AND(E733&lt;&gt;"",IF(NOT(ISNUMBER(E733)),TRUE,OR(E733&lt;0,E733&gt;999999999,ROUND(E733,3)&lt;&gt;E733))),"Invalid previous reading",IF(IF(NOT(ISNUMBER(F733)),TRUE,OR(F733&lt;0,F733&gt;999999999,ROUND(F733,3)&lt;&gt;F733)),"Invalid last service",IF(AND(E733&lt;&gt;"",D733&lt;E733),"Decreased reading",IF(F733&gt;D733,"Last service above current","")))))))))))))</x:f>
      </x:c>
      <x:c r="L733" s="6" t="str">
        <x:f>IF(AND(NOT(COUNTA(A733:F733)=0),K733=""),INDEX('Rules'!$C$7:$C$26,MATCH(SUBSTITUTE(SUBSTITUTE(SUBSTITUTE(SUBSTITUTE("type:"&amp;B733,"%","%25"),"~","%7E"),"*","%2A"),"?","%3F"),'Rules'!$G$7:$G$26,0)),"")</x:f>
      </x:c>
      <x:c r="M733" s="6" t="str">
        <x:f>IF(AND(NOT(COUNTA(A733:F733)=0),K733=""),INDEX('Rules'!$D$7:$D$26,MATCH(SUBSTITUTE(SUBSTITUTE(SUBSTITUTE(SUBSTITUTE("type:"&amp;B733,"%","%25"),"~","%7E"),"*","%2A"),"?","%3F"),'Rules'!$G$7:$G$26,0)),"")</x:f>
      </x:c>
      <x:c r="N733" s="5" t="str">
        <x:f>IF(COUNTA(A733:F733)=0,"",SUBSTITUTE(SUBSTITUTE(SUBSTITUTE(SUBSTITUTE("id:"&amp;A733,"%","%25"),"~","%7E"),"*","%2A"),"?","%3F"))</x:f>
      </x:c>
    </x:row>
    <x:row r="734" ht="22" customHeight="1">
      <x:c r="A734" s="3"/>
      <x:c r="B734" s="3"/>
      <x:c r="C734" s="3"/>
      <x:c r="D734" s="4"/>
      <x:c r="E734" s="4"/>
      <x:c r="F734" s="4"/>
      <x:c r="G734" s="5" t="str">
        <x:f>IF(COUNTA(A734:F734)=0,"",IF(K734&lt;&gt;"","Review",IF(I734&lt;0,"Overdue",IF(I734=0,"Due now",IF(I734&lt;=M734,"Due soon","Not due")))))</x:f>
      </x:c>
      <x:c r="H734" s="5" t="str">
        <x:f>IF(OR(COUNTA(A734:F734)=0,COUNTIFS('Rules'!$G$7:$G$26,"="&amp;(SUBSTITUTE(SUBSTITUTE(SUBSTITUTE(SUBSTITUTE("type:"&amp;B734,"%","%25"),"~","%7E"),"*","%2A"),"?","%3F")))&lt;&gt;1),"",IF(OR(INDEX('Rules'!$B$7:$B$26,MATCH(SUBSTITUTE(SUBSTITUTE(SUBSTITUTE(SUBSTITUTE("type:"&amp;B734,"%","%25"),"~","%7E"),"*","%2A"),"?","%3F"),'Rules'!$G$7:$G$26,0))="hours",INDEX('Rules'!$B$7:$B$26,MATCH(SUBSTITUTE(SUBSTITUTE(SUBSTITUTE(SUBSTITUTE("type:"&amp;B734,"%","%25"),"~","%7E"),"*","%2A"),"?","%3F"),'Rules'!$G$7:$G$26,0))="km"),INDEX('Rules'!$B$7:$B$26,MATCH(SUBSTITUTE(SUBSTITUTE(SUBSTITUTE(SUBSTITUTE("type:"&amp;B734,"%","%25"),"~","%7E"),"*","%2A"),"?","%3F"),'Rules'!$G$7:$G$26,0)),""))</x:f>
      </x:c>
      <x:c r="I734" s="6" t="str">
        <x:f>IF(AND(NOT(COUNTA(A734:F734)=0),K734=""),ROUND(J734-D734,3),"")</x:f>
      </x:c>
      <x:c r="J734" s="6" t="str">
        <x:f>IF(AND(NOT(COUNTA(A734:F734)=0),K734=""),ROUND(F734+L734,3),"")</x:f>
      </x:c>
      <x:c r="K734" s="5" t="str">
        <x:f>IF(COUNTA(A734:F734)=0,"",IF(A734="","Missing equipment ID",IF(COUNTIFS($N$8:$N$2007,"="&amp;N734)&gt;1,"Duplicate equipment ID",IF(B734="","Missing type",IF(COUNTIFS('Rules'!$G$7:$G$26,"="&amp;(SUBSTITUTE(SUBSTITUTE(SUBSTITUTE(SUBSTITUTE("type:"&amp;B734,"%","%25"),"~","%7E"),"*","%2A"),"?","%3F")))=0,"Unknown type",IF(COUNTIFS('Rules'!$G$7:$G$26,"="&amp;(SUBSTITUTE(SUBSTITUTE(SUBSTITUTE(SUBSTITUTE("type:"&amp;B734,"%","%25"),"~","%7E"),"*","%2A"),"?","%3F")))&gt;1,"Duplicate type",IF(INDEX('Rules'!$F$7:$F$26,MATCH(SUBSTITUTE(SUBSTITUTE(SUBSTITUTE(SUBSTITUTE("type:"&amp;B734,"%","%25"),"~","%7E"),"*","%2A"),"?","%3F"),'Rules'!$G$7:$G$26,0))&lt;&gt;"",INDEX('Rules'!$F$7:$F$26,MATCH(SUBSTITUTE(SUBSTITUTE(SUBSTITUTE(SUBSTITUTE("type:"&amp;B734,"%","%25"),"~","%7E"),"*","%2A"),"?","%3F"),'Rules'!$G$7:$G$26,0)),IF(AND(C734&lt;&gt;"",C734&lt;&gt;INDEX('Rules'!$B$7:$B$26,MATCH(SUBSTITUTE(SUBSTITUTE(SUBSTITUTE(SUBSTITUTE("type:"&amp;B734,"%","%25"),"~","%7E"),"*","%2A"),"?","%3F"),'Rules'!$G$7:$G$26,0))),"Unit mismatch",IF(IF(NOT(ISNUMBER(D734)),TRUE,OR(D734&lt;0,D734&gt;999999999,ROUND(D734,3)&lt;&gt;D734)),"Invalid current reading",IF(AND(E734&lt;&gt;"",IF(NOT(ISNUMBER(E734)),TRUE,OR(E734&lt;0,E734&gt;999999999,ROUND(E734,3)&lt;&gt;E734))),"Invalid previous reading",IF(IF(NOT(ISNUMBER(F734)),TRUE,OR(F734&lt;0,F734&gt;999999999,ROUND(F734,3)&lt;&gt;F734)),"Invalid last service",IF(AND(E734&lt;&gt;"",D734&lt;E734),"Decreased reading",IF(F734&gt;D734,"Last service above current","")))))))))))))</x:f>
      </x:c>
      <x:c r="L734" s="6" t="str">
        <x:f>IF(AND(NOT(COUNTA(A734:F734)=0),K734=""),INDEX('Rules'!$C$7:$C$26,MATCH(SUBSTITUTE(SUBSTITUTE(SUBSTITUTE(SUBSTITUTE("type:"&amp;B734,"%","%25"),"~","%7E"),"*","%2A"),"?","%3F"),'Rules'!$G$7:$G$26,0)),"")</x:f>
      </x:c>
      <x:c r="M734" s="6" t="str">
        <x:f>IF(AND(NOT(COUNTA(A734:F734)=0),K734=""),INDEX('Rules'!$D$7:$D$26,MATCH(SUBSTITUTE(SUBSTITUTE(SUBSTITUTE(SUBSTITUTE("type:"&amp;B734,"%","%25"),"~","%7E"),"*","%2A"),"?","%3F"),'Rules'!$G$7:$G$26,0)),"")</x:f>
      </x:c>
      <x:c r="N734" s="5" t="str">
        <x:f>IF(COUNTA(A734:F734)=0,"",SUBSTITUTE(SUBSTITUTE(SUBSTITUTE(SUBSTITUTE("id:"&amp;A734,"%","%25"),"~","%7E"),"*","%2A"),"?","%3F"))</x:f>
      </x:c>
    </x:row>
    <x:row r="735" ht="22" customHeight="1">
      <x:c r="A735" s="3"/>
      <x:c r="B735" s="3"/>
      <x:c r="C735" s="3"/>
      <x:c r="D735" s="4"/>
      <x:c r="E735" s="4"/>
      <x:c r="F735" s="4"/>
      <x:c r="G735" s="5" t="str">
        <x:f>IF(COUNTA(A735:F735)=0,"",IF(K735&lt;&gt;"","Review",IF(I735&lt;0,"Overdue",IF(I735=0,"Due now",IF(I735&lt;=M735,"Due soon","Not due")))))</x:f>
      </x:c>
      <x:c r="H735" s="5" t="str">
        <x:f>IF(OR(COUNTA(A735:F735)=0,COUNTIFS('Rules'!$G$7:$G$26,"="&amp;(SUBSTITUTE(SUBSTITUTE(SUBSTITUTE(SUBSTITUTE("type:"&amp;B735,"%","%25"),"~","%7E"),"*","%2A"),"?","%3F")))&lt;&gt;1),"",IF(OR(INDEX('Rules'!$B$7:$B$26,MATCH(SUBSTITUTE(SUBSTITUTE(SUBSTITUTE(SUBSTITUTE("type:"&amp;B735,"%","%25"),"~","%7E"),"*","%2A"),"?","%3F"),'Rules'!$G$7:$G$26,0))="hours",INDEX('Rules'!$B$7:$B$26,MATCH(SUBSTITUTE(SUBSTITUTE(SUBSTITUTE(SUBSTITUTE("type:"&amp;B735,"%","%25"),"~","%7E"),"*","%2A"),"?","%3F"),'Rules'!$G$7:$G$26,0))="km"),INDEX('Rules'!$B$7:$B$26,MATCH(SUBSTITUTE(SUBSTITUTE(SUBSTITUTE(SUBSTITUTE("type:"&amp;B735,"%","%25"),"~","%7E"),"*","%2A"),"?","%3F"),'Rules'!$G$7:$G$26,0)),""))</x:f>
      </x:c>
      <x:c r="I735" s="6" t="str">
        <x:f>IF(AND(NOT(COUNTA(A735:F735)=0),K735=""),ROUND(J735-D735,3),"")</x:f>
      </x:c>
      <x:c r="J735" s="6" t="str">
        <x:f>IF(AND(NOT(COUNTA(A735:F735)=0),K735=""),ROUND(F735+L735,3),"")</x:f>
      </x:c>
      <x:c r="K735" s="5" t="str">
        <x:f>IF(COUNTA(A735:F735)=0,"",IF(A735="","Missing equipment ID",IF(COUNTIFS($N$8:$N$2007,"="&amp;N735)&gt;1,"Duplicate equipment ID",IF(B735="","Missing type",IF(COUNTIFS('Rules'!$G$7:$G$26,"="&amp;(SUBSTITUTE(SUBSTITUTE(SUBSTITUTE(SUBSTITUTE("type:"&amp;B735,"%","%25"),"~","%7E"),"*","%2A"),"?","%3F")))=0,"Unknown type",IF(COUNTIFS('Rules'!$G$7:$G$26,"="&amp;(SUBSTITUTE(SUBSTITUTE(SUBSTITUTE(SUBSTITUTE("type:"&amp;B735,"%","%25"),"~","%7E"),"*","%2A"),"?","%3F")))&gt;1,"Duplicate type",IF(INDEX('Rules'!$F$7:$F$26,MATCH(SUBSTITUTE(SUBSTITUTE(SUBSTITUTE(SUBSTITUTE("type:"&amp;B735,"%","%25"),"~","%7E"),"*","%2A"),"?","%3F"),'Rules'!$G$7:$G$26,0))&lt;&gt;"",INDEX('Rules'!$F$7:$F$26,MATCH(SUBSTITUTE(SUBSTITUTE(SUBSTITUTE(SUBSTITUTE("type:"&amp;B735,"%","%25"),"~","%7E"),"*","%2A"),"?","%3F"),'Rules'!$G$7:$G$26,0)),IF(AND(C735&lt;&gt;"",C735&lt;&gt;INDEX('Rules'!$B$7:$B$26,MATCH(SUBSTITUTE(SUBSTITUTE(SUBSTITUTE(SUBSTITUTE("type:"&amp;B735,"%","%25"),"~","%7E"),"*","%2A"),"?","%3F"),'Rules'!$G$7:$G$26,0))),"Unit mismatch",IF(IF(NOT(ISNUMBER(D735)),TRUE,OR(D735&lt;0,D735&gt;999999999,ROUND(D735,3)&lt;&gt;D735)),"Invalid current reading",IF(AND(E735&lt;&gt;"",IF(NOT(ISNUMBER(E735)),TRUE,OR(E735&lt;0,E735&gt;999999999,ROUND(E735,3)&lt;&gt;E735))),"Invalid previous reading",IF(IF(NOT(ISNUMBER(F735)),TRUE,OR(F735&lt;0,F735&gt;999999999,ROUND(F735,3)&lt;&gt;F735)),"Invalid last service",IF(AND(E735&lt;&gt;"",D735&lt;E735),"Decreased reading",IF(F735&gt;D735,"Last service above current","")))))))))))))</x:f>
      </x:c>
      <x:c r="L735" s="6" t="str">
        <x:f>IF(AND(NOT(COUNTA(A735:F735)=0),K735=""),INDEX('Rules'!$C$7:$C$26,MATCH(SUBSTITUTE(SUBSTITUTE(SUBSTITUTE(SUBSTITUTE("type:"&amp;B735,"%","%25"),"~","%7E"),"*","%2A"),"?","%3F"),'Rules'!$G$7:$G$26,0)),"")</x:f>
      </x:c>
      <x:c r="M735" s="6" t="str">
        <x:f>IF(AND(NOT(COUNTA(A735:F735)=0),K735=""),INDEX('Rules'!$D$7:$D$26,MATCH(SUBSTITUTE(SUBSTITUTE(SUBSTITUTE(SUBSTITUTE("type:"&amp;B735,"%","%25"),"~","%7E"),"*","%2A"),"?","%3F"),'Rules'!$G$7:$G$26,0)),"")</x:f>
      </x:c>
      <x:c r="N735" s="5" t="str">
        <x:f>IF(COUNTA(A735:F735)=0,"",SUBSTITUTE(SUBSTITUTE(SUBSTITUTE(SUBSTITUTE("id:"&amp;A735,"%","%25"),"~","%7E"),"*","%2A"),"?","%3F"))</x:f>
      </x:c>
    </x:row>
    <x:row r="736" ht="22" customHeight="1">
      <x:c r="A736" s="3"/>
      <x:c r="B736" s="3"/>
      <x:c r="C736" s="3"/>
      <x:c r="D736" s="4"/>
      <x:c r="E736" s="4"/>
      <x:c r="F736" s="4"/>
      <x:c r="G736" s="5" t="str">
        <x:f>IF(COUNTA(A736:F736)=0,"",IF(K736&lt;&gt;"","Review",IF(I736&lt;0,"Overdue",IF(I736=0,"Due now",IF(I736&lt;=M736,"Due soon","Not due")))))</x:f>
      </x:c>
      <x:c r="H736" s="5" t="str">
        <x:f>IF(OR(COUNTA(A736:F736)=0,COUNTIFS('Rules'!$G$7:$G$26,"="&amp;(SUBSTITUTE(SUBSTITUTE(SUBSTITUTE(SUBSTITUTE("type:"&amp;B736,"%","%25"),"~","%7E"),"*","%2A"),"?","%3F")))&lt;&gt;1),"",IF(OR(INDEX('Rules'!$B$7:$B$26,MATCH(SUBSTITUTE(SUBSTITUTE(SUBSTITUTE(SUBSTITUTE("type:"&amp;B736,"%","%25"),"~","%7E"),"*","%2A"),"?","%3F"),'Rules'!$G$7:$G$26,0))="hours",INDEX('Rules'!$B$7:$B$26,MATCH(SUBSTITUTE(SUBSTITUTE(SUBSTITUTE(SUBSTITUTE("type:"&amp;B736,"%","%25"),"~","%7E"),"*","%2A"),"?","%3F"),'Rules'!$G$7:$G$26,0))="km"),INDEX('Rules'!$B$7:$B$26,MATCH(SUBSTITUTE(SUBSTITUTE(SUBSTITUTE(SUBSTITUTE("type:"&amp;B736,"%","%25"),"~","%7E"),"*","%2A"),"?","%3F"),'Rules'!$G$7:$G$26,0)),""))</x:f>
      </x:c>
      <x:c r="I736" s="6" t="str">
        <x:f>IF(AND(NOT(COUNTA(A736:F736)=0),K736=""),ROUND(J736-D736,3),"")</x:f>
      </x:c>
      <x:c r="J736" s="6" t="str">
        <x:f>IF(AND(NOT(COUNTA(A736:F736)=0),K736=""),ROUND(F736+L736,3),"")</x:f>
      </x:c>
      <x:c r="K736" s="5" t="str">
        <x:f>IF(COUNTA(A736:F736)=0,"",IF(A736="","Missing equipment ID",IF(COUNTIFS($N$8:$N$2007,"="&amp;N736)&gt;1,"Duplicate equipment ID",IF(B736="","Missing type",IF(COUNTIFS('Rules'!$G$7:$G$26,"="&amp;(SUBSTITUTE(SUBSTITUTE(SUBSTITUTE(SUBSTITUTE("type:"&amp;B736,"%","%25"),"~","%7E"),"*","%2A"),"?","%3F")))=0,"Unknown type",IF(COUNTIFS('Rules'!$G$7:$G$26,"="&amp;(SUBSTITUTE(SUBSTITUTE(SUBSTITUTE(SUBSTITUTE("type:"&amp;B736,"%","%25"),"~","%7E"),"*","%2A"),"?","%3F")))&gt;1,"Duplicate type",IF(INDEX('Rules'!$F$7:$F$26,MATCH(SUBSTITUTE(SUBSTITUTE(SUBSTITUTE(SUBSTITUTE("type:"&amp;B736,"%","%25"),"~","%7E"),"*","%2A"),"?","%3F"),'Rules'!$G$7:$G$26,0))&lt;&gt;"",INDEX('Rules'!$F$7:$F$26,MATCH(SUBSTITUTE(SUBSTITUTE(SUBSTITUTE(SUBSTITUTE("type:"&amp;B736,"%","%25"),"~","%7E"),"*","%2A"),"?","%3F"),'Rules'!$G$7:$G$26,0)),IF(AND(C736&lt;&gt;"",C736&lt;&gt;INDEX('Rules'!$B$7:$B$26,MATCH(SUBSTITUTE(SUBSTITUTE(SUBSTITUTE(SUBSTITUTE("type:"&amp;B736,"%","%25"),"~","%7E"),"*","%2A"),"?","%3F"),'Rules'!$G$7:$G$26,0))),"Unit mismatch",IF(IF(NOT(ISNUMBER(D736)),TRUE,OR(D736&lt;0,D736&gt;999999999,ROUND(D736,3)&lt;&gt;D736)),"Invalid current reading",IF(AND(E736&lt;&gt;"",IF(NOT(ISNUMBER(E736)),TRUE,OR(E736&lt;0,E736&gt;999999999,ROUND(E736,3)&lt;&gt;E736))),"Invalid previous reading",IF(IF(NOT(ISNUMBER(F736)),TRUE,OR(F736&lt;0,F736&gt;999999999,ROUND(F736,3)&lt;&gt;F736)),"Invalid last service",IF(AND(E736&lt;&gt;"",D736&lt;E736),"Decreased reading",IF(F736&gt;D736,"Last service above current","")))))))))))))</x:f>
      </x:c>
      <x:c r="L736" s="6" t="str">
        <x:f>IF(AND(NOT(COUNTA(A736:F736)=0),K736=""),INDEX('Rules'!$C$7:$C$26,MATCH(SUBSTITUTE(SUBSTITUTE(SUBSTITUTE(SUBSTITUTE("type:"&amp;B736,"%","%25"),"~","%7E"),"*","%2A"),"?","%3F"),'Rules'!$G$7:$G$26,0)),"")</x:f>
      </x:c>
      <x:c r="M736" s="6" t="str">
        <x:f>IF(AND(NOT(COUNTA(A736:F736)=0),K736=""),INDEX('Rules'!$D$7:$D$26,MATCH(SUBSTITUTE(SUBSTITUTE(SUBSTITUTE(SUBSTITUTE("type:"&amp;B736,"%","%25"),"~","%7E"),"*","%2A"),"?","%3F"),'Rules'!$G$7:$G$26,0)),"")</x:f>
      </x:c>
      <x:c r="N736" s="5" t="str">
        <x:f>IF(COUNTA(A736:F736)=0,"",SUBSTITUTE(SUBSTITUTE(SUBSTITUTE(SUBSTITUTE("id:"&amp;A736,"%","%25"),"~","%7E"),"*","%2A"),"?","%3F"))</x:f>
      </x:c>
    </x:row>
    <x:row r="737" ht="22" customHeight="1">
      <x:c r="A737" s="3"/>
      <x:c r="B737" s="3"/>
      <x:c r="C737" s="3"/>
      <x:c r="D737" s="4"/>
      <x:c r="E737" s="4"/>
      <x:c r="F737" s="4"/>
      <x:c r="G737" s="5" t="str">
        <x:f>IF(COUNTA(A737:F737)=0,"",IF(K737&lt;&gt;"","Review",IF(I737&lt;0,"Overdue",IF(I737=0,"Due now",IF(I737&lt;=M737,"Due soon","Not due")))))</x:f>
      </x:c>
      <x:c r="H737" s="5" t="str">
        <x:f>IF(OR(COUNTA(A737:F737)=0,COUNTIFS('Rules'!$G$7:$G$26,"="&amp;(SUBSTITUTE(SUBSTITUTE(SUBSTITUTE(SUBSTITUTE("type:"&amp;B737,"%","%25"),"~","%7E"),"*","%2A"),"?","%3F")))&lt;&gt;1),"",IF(OR(INDEX('Rules'!$B$7:$B$26,MATCH(SUBSTITUTE(SUBSTITUTE(SUBSTITUTE(SUBSTITUTE("type:"&amp;B737,"%","%25"),"~","%7E"),"*","%2A"),"?","%3F"),'Rules'!$G$7:$G$26,0))="hours",INDEX('Rules'!$B$7:$B$26,MATCH(SUBSTITUTE(SUBSTITUTE(SUBSTITUTE(SUBSTITUTE("type:"&amp;B737,"%","%25"),"~","%7E"),"*","%2A"),"?","%3F"),'Rules'!$G$7:$G$26,0))="km"),INDEX('Rules'!$B$7:$B$26,MATCH(SUBSTITUTE(SUBSTITUTE(SUBSTITUTE(SUBSTITUTE("type:"&amp;B737,"%","%25"),"~","%7E"),"*","%2A"),"?","%3F"),'Rules'!$G$7:$G$26,0)),""))</x:f>
      </x:c>
      <x:c r="I737" s="6" t="str">
        <x:f>IF(AND(NOT(COUNTA(A737:F737)=0),K737=""),ROUND(J737-D737,3),"")</x:f>
      </x:c>
      <x:c r="J737" s="6" t="str">
        <x:f>IF(AND(NOT(COUNTA(A737:F737)=0),K737=""),ROUND(F737+L737,3),"")</x:f>
      </x:c>
      <x:c r="K737" s="5" t="str">
        <x:f>IF(COUNTA(A737:F737)=0,"",IF(A737="","Missing equipment ID",IF(COUNTIFS($N$8:$N$2007,"="&amp;N737)&gt;1,"Duplicate equipment ID",IF(B737="","Missing type",IF(COUNTIFS('Rules'!$G$7:$G$26,"="&amp;(SUBSTITUTE(SUBSTITUTE(SUBSTITUTE(SUBSTITUTE("type:"&amp;B737,"%","%25"),"~","%7E"),"*","%2A"),"?","%3F")))=0,"Unknown type",IF(COUNTIFS('Rules'!$G$7:$G$26,"="&amp;(SUBSTITUTE(SUBSTITUTE(SUBSTITUTE(SUBSTITUTE("type:"&amp;B737,"%","%25"),"~","%7E"),"*","%2A"),"?","%3F")))&gt;1,"Duplicate type",IF(INDEX('Rules'!$F$7:$F$26,MATCH(SUBSTITUTE(SUBSTITUTE(SUBSTITUTE(SUBSTITUTE("type:"&amp;B737,"%","%25"),"~","%7E"),"*","%2A"),"?","%3F"),'Rules'!$G$7:$G$26,0))&lt;&gt;"",INDEX('Rules'!$F$7:$F$26,MATCH(SUBSTITUTE(SUBSTITUTE(SUBSTITUTE(SUBSTITUTE("type:"&amp;B737,"%","%25"),"~","%7E"),"*","%2A"),"?","%3F"),'Rules'!$G$7:$G$26,0)),IF(AND(C737&lt;&gt;"",C737&lt;&gt;INDEX('Rules'!$B$7:$B$26,MATCH(SUBSTITUTE(SUBSTITUTE(SUBSTITUTE(SUBSTITUTE("type:"&amp;B737,"%","%25"),"~","%7E"),"*","%2A"),"?","%3F"),'Rules'!$G$7:$G$26,0))),"Unit mismatch",IF(IF(NOT(ISNUMBER(D737)),TRUE,OR(D737&lt;0,D737&gt;999999999,ROUND(D737,3)&lt;&gt;D737)),"Invalid current reading",IF(AND(E737&lt;&gt;"",IF(NOT(ISNUMBER(E737)),TRUE,OR(E737&lt;0,E737&gt;999999999,ROUND(E737,3)&lt;&gt;E737))),"Invalid previous reading",IF(IF(NOT(ISNUMBER(F737)),TRUE,OR(F737&lt;0,F737&gt;999999999,ROUND(F737,3)&lt;&gt;F737)),"Invalid last service",IF(AND(E737&lt;&gt;"",D737&lt;E737),"Decreased reading",IF(F737&gt;D737,"Last service above current","")))))))))))))</x:f>
      </x:c>
      <x:c r="L737" s="6" t="str">
        <x:f>IF(AND(NOT(COUNTA(A737:F737)=0),K737=""),INDEX('Rules'!$C$7:$C$26,MATCH(SUBSTITUTE(SUBSTITUTE(SUBSTITUTE(SUBSTITUTE("type:"&amp;B737,"%","%25"),"~","%7E"),"*","%2A"),"?","%3F"),'Rules'!$G$7:$G$26,0)),"")</x:f>
      </x:c>
      <x:c r="M737" s="6" t="str">
        <x:f>IF(AND(NOT(COUNTA(A737:F737)=0),K737=""),INDEX('Rules'!$D$7:$D$26,MATCH(SUBSTITUTE(SUBSTITUTE(SUBSTITUTE(SUBSTITUTE("type:"&amp;B737,"%","%25"),"~","%7E"),"*","%2A"),"?","%3F"),'Rules'!$G$7:$G$26,0)),"")</x:f>
      </x:c>
      <x:c r="N737" s="5" t="str">
        <x:f>IF(COUNTA(A737:F737)=0,"",SUBSTITUTE(SUBSTITUTE(SUBSTITUTE(SUBSTITUTE("id:"&amp;A737,"%","%25"),"~","%7E"),"*","%2A"),"?","%3F"))</x:f>
      </x:c>
    </x:row>
    <x:row r="738" ht="22" customHeight="1">
      <x:c r="A738" s="3"/>
      <x:c r="B738" s="3"/>
      <x:c r="C738" s="3"/>
      <x:c r="D738" s="4"/>
      <x:c r="E738" s="4"/>
      <x:c r="F738" s="4"/>
      <x:c r="G738" s="5" t="str">
        <x:f>IF(COUNTA(A738:F738)=0,"",IF(K738&lt;&gt;"","Review",IF(I738&lt;0,"Overdue",IF(I738=0,"Due now",IF(I738&lt;=M738,"Due soon","Not due")))))</x:f>
      </x:c>
      <x:c r="H738" s="5" t="str">
        <x:f>IF(OR(COUNTA(A738:F738)=0,COUNTIFS('Rules'!$G$7:$G$26,"="&amp;(SUBSTITUTE(SUBSTITUTE(SUBSTITUTE(SUBSTITUTE("type:"&amp;B738,"%","%25"),"~","%7E"),"*","%2A"),"?","%3F")))&lt;&gt;1),"",IF(OR(INDEX('Rules'!$B$7:$B$26,MATCH(SUBSTITUTE(SUBSTITUTE(SUBSTITUTE(SUBSTITUTE("type:"&amp;B738,"%","%25"),"~","%7E"),"*","%2A"),"?","%3F"),'Rules'!$G$7:$G$26,0))="hours",INDEX('Rules'!$B$7:$B$26,MATCH(SUBSTITUTE(SUBSTITUTE(SUBSTITUTE(SUBSTITUTE("type:"&amp;B738,"%","%25"),"~","%7E"),"*","%2A"),"?","%3F"),'Rules'!$G$7:$G$26,0))="km"),INDEX('Rules'!$B$7:$B$26,MATCH(SUBSTITUTE(SUBSTITUTE(SUBSTITUTE(SUBSTITUTE("type:"&amp;B738,"%","%25"),"~","%7E"),"*","%2A"),"?","%3F"),'Rules'!$G$7:$G$26,0)),""))</x:f>
      </x:c>
      <x:c r="I738" s="6" t="str">
        <x:f>IF(AND(NOT(COUNTA(A738:F738)=0),K738=""),ROUND(J738-D738,3),"")</x:f>
      </x:c>
      <x:c r="J738" s="6" t="str">
        <x:f>IF(AND(NOT(COUNTA(A738:F738)=0),K738=""),ROUND(F738+L738,3),"")</x:f>
      </x:c>
      <x:c r="K738" s="5" t="str">
        <x:f>IF(COUNTA(A738:F738)=0,"",IF(A738="","Missing equipment ID",IF(COUNTIFS($N$8:$N$2007,"="&amp;N738)&gt;1,"Duplicate equipment ID",IF(B738="","Missing type",IF(COUNTIFS('Rules'!$G$7:$G$26,"="&amp;(SUBSTITUTE(SUBSTITUTE(SUBSTITUTE(SUBSTITUTE("type:"&amp;B738,"%","%25"),"~","%7E"),"*","%2A"),"?","%3F")))=0,"Unknown type",IF(COUNTIFS('Rules'!$G$7:$G$26,"="&amp;(SUBSTITUTE(SUBSTITUTE(SUBSTITUTE(SUBSTITUTE("type:"&amp;B738,"%","%25"),"~","%7E"),"*","%2A"),"?","%3F")))&gt;1,"Duplicate type",IF(INDEX('Rules'!$F$7:$F$26,MATCH(SUBSTITUTE(SUBSTITUTE(SUBSTITUTE(SUBSTITUTE("type:"&amp;B738,"%","%25"),"~","%7E"),"*","%2A"),"?","%3F"),'Rules'!$G$7:$G$26,0))&lt;&gt;"",INDEX('Rules'!$F$7:$F$26,MATCH(SUBSTITUTE(SUBSTITUTE(SUBSTITUTE(SUBSTITUTE("type:"&amp;B738,"%","%25"),"~","%7E"),"*","%2A"),"?","%3F"),'Rules'!$G$7:$G$26,0)),IF(AND(C738&lt;&gt;"",C738&lt;&gt;INDEX('Rules'!$B$7:$B$26,MATCH(SUBSTITUTE(SUBSTITUTE(SUBSTITUTE(SUBSTITUTE("type:"&amp;B738,"%","%25"),"~","%7E"),"*","%2A"),"?","%3F"),'Rules'!$G$7:$G$26,0))),"Unit mismatch",IF(IF(NOT(ISNUMBER(D738)),TRUE,OR(D738&lt;0,D738&gt;999999999,ROUND(D738,3)&lt;&gt;D738)),"Invalid current reading",IF(AND(E738&lt;&gt;"",IF(NOT(ISNUMBER(E738)),TRUE,OR(E738&lt;0,E738&gt;999999999,ROUND(E738,3)&lt;&gt;E738))),"Invalid previous reading",IF(IF(NOT(ISNUMBER(F738)),TRUE,OR(F738&lt;0,F738&gt;999999999,ROUND(F738,3)&lt;&gt;F738)),"Invalid last service",IF(AND(E738&lt;&gt;"",D738&lt;E738),"Decreased reading",IF(F738&gt;D738,"Last service above current","")))))))))))))</x:f>
      </x:c>
      <x:c r="L738" s="6" t="str">
        <x:f>IF(AND(NOT(COUNTA(A738:F738)=0),K738=""),INDEX('Rules'!$C$7:$C$26,MATCH(SUBSTITUTE(SUBSTITUTE(SUBSTITUTE(SUBSTITUTE("type:"&amp;B738,"%","%25"),"~","%7E"),"*","%2A"),"?","%3F"),'Rules'!$G$7:$G$26,0)),"")</x:f>
      </x:c>
      <x:c r="M738" s="6" t="str">
        <x:f>IF(AND(NOT(COUNTA(A738:F738)=0),K738=""),INDEX('Rules'!$D$7:$D$26,MATCH(SUBSTITUTE(SUBSTITUTE(SUBSTITUTE(SUBSTITUTE("type:"&amp;B738,"%","%25"),"~","%7E"),"*","%2A"),"?","%3F"),'Rules'!$G$7:$G$26,0)),"")</x:f>
      </x:c>
      <x:c r="N738" s="5" t="str">
        <x:f>IF(COUNTA(A738:F738)=0,"",SUBSTITUTE(SUBSTITUTE(SUBSTITUTE(SUBSTITUTE("id:"&amp;A738,"%","%25"),"~","%7E"),"*","%2A"),"?","%3F"))</x:f>
      </x:c>
    </x:row>
    <x:row r="739" ht="22" customHeight="1">
      <x:c r="A739" s="3"/>
      <x:c r="B739" s="3"/>
      <x:c r="C739" s="3"/>
      <x:c r="D739" s="4"/>
      <x:c r="E739" s="4"/>
      <x:c r="F739" s="4"/>
      <x:c r="G739" s="5" t="str">
        <x:f>IF(COUNTA(A739:F739)=0,"",IF(K739&lt;&gt;"","Review",IF(I739&lt;0,"Overdue",IF(I739=0,"Due now",IF(I739&lt;=M739,"Due soon","Not due")))))</x:f>
      </x:c>
      <x:c r="H739" s="5" t="str">
        <x:f>IF(OR(COUNTA(A739:F739)=0,COUNTIFS('Rules'!$G$7:$G$26,"="&amp;(SUBSTITUTE(SUBSTITUTE(SUBSTITUTE(SUBSTITUTE("type:"&amp;B739,"%","%25"),"~","%7E"),"*","%2A"),"?","%3F")))&lt;&gt;1),"",IF(OR(INDEX('Rules'!$B$7:$B$26,MATCH(SUBSTITUTE(SUBSTITUTE(SUBSTITUTE(SUBSTITUTE("type:"&amp;B739,"%","%25"),"~","%7E"),"*","%2A"),"?","%3F"),'Rules'!$G$7:$G$26,0))="hours",INDEX('Rules'!$B$7:$B$26,MATCH(SUBSTITUTE(SUBSTITUTE(SUBSTITUTE(SUBSTITUTE("type:"&amp;B739,"%","%25"),"~","%7E"),"*","%2A"),"?","%3F"),'Rules'!$G$7:$G$26,0))="km"),INDEX('Rules'!$B$7:$B$26,MATCH(SUBSTITUTE(SUBSTITUTE(SUBSTITUTE(SUBSTITUTE("type:"&amp;B739,"%","%25"),"~","%7E"),"*","%2A"),"?","%3F"),'Rules'!$G$7:$G$26,0)),""))</x:f>
      </x:c>
      <x:c r="I739" s="6" t="str">
        <x:f>IF(AND(NOT(COUNTA(A739:F739)=0),K739=""),ROUND(J739-D739,3),"")</x:f>
      </x:c>
      <x:c r="J739" s="6" t="str">
        <x:f>IF(AND(NOT(COUNTA(A739:F739)=0),K739=""),ROUND(F739+L739,3),"")</x:f>
      </x:c>
      <x:c r="K739" s="5" t="str">
        <x:f>IF(COUNTA(A739:F739)=0,"",IF(A739="","Missing equipment ID",IF(COUNTIFS($N$8:$N$2007,"="&amp;N739)&gt;1,"Duplicate equipment ID",IF(B739="","Missing type",IF(COUNTIFS('Rules'!$G$7:$G$26,"="&amp;(SUBSTITUTE(SUBSTITUTE(SUBSTITUTE(SUBSTITUTE("type:"&amp;B739,"%","%25"),"~","%7E"),"*","%2A"),"?","%3F")))=0,"Unknown type",IF(COUNTIFS('Rules'!$G$7:$G$26,"="&amp;(SUBSTITUTE(SUBSTITUTE(SUBSTITUTE(SUBSTITUTE("type:"&amp;B739,"%","%25"),"~","%7E"),"*","%2A"),"?","%3F")))&gt;1,"Duplicate type",IF(INDEX('Rules'!$F$7:$F$26,MATCH(SUBSTITUTE(SUBSTITUTE(SUBSTITUTE(SUBSTITUTE("type:"&amp;B739,"%","%25"),"~","%7E"),"*","%2A"),"?","%3F"),'Rules'!$G$7:$G$26,0))&lt;&gt;"",INDEX('Rules'!$F$7:$F$26,MATCH(SUBSTITUTE(SUBSTITUTE(SUBSTITUTE(SUBSTITUTE("type:"&amp;B739,"%","%25"),"~","%7E"),"*","%2A"),"?","%3F"),'Rules'!$G$7:$G$26,0)),IF(AND(C739&lt;&gt;"",C739&lt;&gt;INDEX('Rules'!$B$7:$B$26,MATCH(SUBSTITUTE(SUBSTITUTE(SUBSTITUTE(SUBSTITUTE("type:"&amp;B739,"%","%25"),"~","%7E"),"*","%2A"),"?","%3F"),'Rules'!$G$7:$G$26,0))),"Unit mismatch",IF(IF(NOT(ISNUMBER(D739)),TRUE,OR(D739&lt;0,D739&gt;999999999,ROUND(D739,3)&lt;&gt;D739)),"Invalid current reading",IF(AND(E739&lt;&gt;"",IF(NOT(ISNUMBER(E739)),TRUE,OR(E739&lt;0,E739&gt;999999999,ROUND(E739,3)&lt;&gt;E739))),"Invalid previous reading",IF(IF(NOT(ISNUMBER(F739)),TRUE,OR(F739&lt;0,F739&gt;999999999,ROUND(F739,3)&lt;&gt;F739)),"Invalid last service",IF(AND(E739&lt;&gt;"",D739&lt;E739),"Decreased reading",IF(F739&gt;D739,"Last service above current","")))))))))))))</x:f>
      </x:c>
      <x:c r="L739" s="6" t="str">
        <x:f>IF(AND(NOT(COUNTA(A739:F739)=0),K739=""),INDEX('Rules'!$C$7:$C$26,MATCH(SUBSTITUTE(SUBSTITUTE(SUBSTITUTE(SUBSTITUTE("type:"&amp;B739,"%","%25"),"~","%7E"),"*","%2A"),"?","%3F"),'Rules'!$G$7:$G$26,0)),"")</x:f>
      </x:c>
      <x:c r="M739" s="6" t="str">
        <x:f>IF(AND(NOT(COUNTA(A739:F739)=0),K739=""),INDEX('Rules'!$D$7:$D$26,MATCH(SUBSTITUTE(SUBSTITUTE(SUBSTITUTE(SUBSTITUTE("type:"&amp;B739,"%","%25"),"~","%7E"),"*","%2A"),"?","%3F"),'Rules'!$G$7:$G$26,0)),"")</x:f>
      </x:c>
      <x:c r="N739" s="5" t="str">
        <x:f>IF(COUNTA(A739:F739)=0,"",SUBSTITUTE(SUBSTITUTE(SUBSTITUTE(SUBSTITUTE("id:"&amp;A739,"%","%25"),"~","%7E"),"*","%2A"),"?","%3F"))</x:f>
      </x:c>
    </x:row>
    <x:row r="740" ht="22" customHeight="1">
      <x:c r="A740" s="3"/>
      <x:c r="B740" s="3"/>
      <x:c r="C740" s="3"/>
      <x:c r="D740" s="4"/>
      <x:c r="E740" s="4"/>
      <x:c r="F740" s="4"/>
      <x:c r="G740" s="5" t="str">
        <x:f>IF(COUNTA(A740:F740)=0,"",IF(K740&lt;&gt;"","Review",IF(I740&lt;0,"Overdue",IF(I740=0,"Due now",IF(I740&lt;=M740,"Due soon","Not due")))))</x:f>
      </x:c>
      <x:c r="H740" s="5" t="str">
        <x:f>IF(OR(COUNTA(A740:F740)=0,COUNTIFS('Rules'!$G$7:$G$26,"="&amp;(SUBSTITUTE(SUBSTITUTE(SUBSTITUTE(SUBSTITUTE("type:"&amp;B740,"%","%25"),"~","%7E"),"*","%2A"),"?","%3F")))&lt;&gt;1),"",IF(OR(INDEX('Rules'!$B$7:$B$26,MATCH(SUBSTITUTE(SUBSTITUTE(SUBSTITUTE(SUBSTITUTE("type:"&amp;B740,"%","%25"),"~","%7E"),"*","%2A"),"?","%3F"),'Rules'!$G$7:$G$26,0))="hours",INDEX('Rules'!$B$7:$B$26,MATCH(SUBSTITUTE(SUBSTITUTE(SUBSTITUTE(SUBSTITUTE("type:"&amp;B740,"%","%25"),"~","%7E"),"*","%2A"),"?","%3F"),'Rules'!$G$7:$G$26,0))="km"),INDEX('Rules'!$B$7:$B$26,MATCH(SUBSTITUTE(SUBSTITUTE(SUBSTITUTE(SUBSTITUTE("type:"&amp;B740,"%","%25"),"~","%7E"),"*","%2A"),"?","%3F"),'Rules'!$G$7:$G$26,0)),""))</x:f>
      </x:c>
      <x:c r="I740" s="6" t="str">
        <x:f>IF(AND(NOT(COUNTA(A740:F740)=0),K740=""),ROUND(J740-D740,3),"")</x:f>
      </x:c>
      <x:c r="J740" s="6" t="str">
        <x:f>IF(AND(NOT(COUNTA(A740:F740)=0),K740=""),ROUND(F740+L740,3),"")</x:f>
      </x:c>
      <x:c r="K740" s="5" t="str">
        <x:f>IF(COUNTA(A740:F740)=0,"",IF(A740="","Missing equipment ID",IF(COUNTIFS($N$8:$N$2007,"="&amp;N740)&gt;1,"Duplicate equipment ID",IF(B740="","Missing type",IF(COUNTIFS('Rules'!$G$7:$G$26,"="&amp;(SUBSTITUTE(SUBSTITUTE(SUBSTITUTE(SUBSTITUTE("type:"&amp;B740,"%","%25"),"~","%7E"),"*","%2A"),"?","%3F")))=0,"Unknown type",IF(COUNTIFS('Rules'!$G$7:$G$26,"="&amp;(SUBSTITUTE(SUBSTITUTE(SUBSTITUTE(SUBSTITUTE("type:"&amp;B740,"%","%25"),"~","%7E"),"*","%2A"),"?","%3F")))&gt;1,"Duplicate type",IF(INDEX('Rules'!$F$7:$F$26,MATCH(SUBSTITUTE(SUBSTITUTE(SUBSTITUTE(SUBSTITUTE("type:"&amp;B740,"%","%25"),"~","%7E"),"*","%2A"),"?","%3F"),'Rules'!$G$7:$G$26,0))&lt;&gt;"",INDEX('Rules'!$F$7:$F$26,MATCH(SUBSTITUTE(SUBSTITUTE(SUBSTITUTE(SUBSTITUTE("type:"&amp;B740,"%","%25"),"~","%7E"),"*","%2A"),"?","%3F"),'Rules'!$G$7:$G$26,0)),IF(AND(C740&lt;&gt;"",C740&lt;&gt;INDEX('Rules'!$B$7:$B$26,MATCH(SUBSTITUTE(SUBSTITUTE(SUBSTITUTE(SUBSTITUTE("type:"&amp;B740,"%","%25"),"~","%7E"),"*","%2A"),"?","%3F"),'Rules'!$G$7:$G$26,0))),"Unit mismatch",IF(IF(NOT(ISNUMBER(D740)),TRUE,OR(D740&lt;0,D740&gt;999999999,ROUND(D740,3)&lt;&gt;D740)),"Invalid current reading",IF(AND(E740&lt;&gt;"",IF(NOT(ISNUMBER(E740)),TRUE,OR(E740&lt;0,E740&gt;999999999,ROUND(E740,3)&lt;&gt;E740))),"Invalid previous reading",IF(IF(NOT(ISNUMBER(F740)),TRUE,OR(F740&lt;0,F740&gt;999999999,ROUND(F740,3)&lt;&gt;F740)),"Invalid last service",IF(AND(E740&lt;&gt;"",D740&lt;E740),"Decreased reading",IF(F740&gt;D740,"Last service above current","")))))))))))))</x:f>
      </x:c>
      <x:c r="L740" s="6" t="str">
        <x:f>IF(AND(NOT(COUNTA(A740:F740)=0),K740=""),INDEX('Rules'!$C$7:$C$26,MATCH(SUBSTITUTE(SUBSTITUTE(SUBSTITUTE(SUBSTITUTE("type:"&amp;B740,"%","%25"),"~","%7E"),"*","%2A"),"?","%3F"),'Rules'!$G$7:$G$26,0)),"")</x:f>
      </x:c>
      <x:c r="M740" s="6" t="str">
        <x:f>IF(AND(NOT(COUNTA(A740:F740)=0),K740=""),INDEX('Rules'!$D$7:$D$26,MATCH(SUBSTITUTE(SUBSTITUTE(SUBSTITUTE(SUBSTITUTE("type:"&amp;B740,"%","%25"),"~","%7E"),"*","%2A"),"?","%3F"),'Rules'!$G$7:$G$26,0)),"")</x:f>
      </x:c>
      <x:c r="N740" s="5" t="str">
        <x:f>IF(COUNTA(A740:F740)=0,"",SUBSTITUTE(SUBSTITUTE(SUBSTITUTE(SUBSTITUTE("id:"&amp;A740,"%","%25"),"~","%7E"),"*","%2A"),"?","%3F"))</x:f>
      </x:c>
    </x:row>
    <x:row r="741" ht="22" customHeight="1">
      <x:c r="A741" s="3"/>
      <x:c r="B741" s="3"/>
      <x:c r="C741" s="3"/>
      <x:c r="D741" s="4"/>
      <x:c r="E741" s="4"/>
      <x:c r="F741" s="4"/>
      <x:c r="G741" s="5" t="str">
        <x:f>IF(COUNTA(A741:F741)=0,"",IF(K741&lt;&gt;"","Review",IF(I741&lt;0,"Overdue",IF(I741=0,"Due now",IF(I741&lt;=M741,"Due soon","Not due")))))</x:f>
      </x:c>
      <x:c r="H741" s="5" t="str">
        <x:f>IF(OR(COUNTA(A741:F741)=0,COUNTIFS('Rules'!$G$7:$G$26,"="&amp;(SUBSTITUTE(SUBSTITUTE(SUBSTITUTE(SUBSTITUTE("type:"&amp;B741,"%","%25"),"~","%7E"),"*","%2A"),"?","%3F")))&lt;&gt;1),"",IF(OR(INDEX('Rules'!$B$7:$B$26,MATCH(SUBSTITUTE(SUBSTITUTE(SUBSTITUTE(SUBSTITUTE("type:"&amp;B741,"%","%25"),"~","%7E"),"*","%2A"),"?","%3F"),'Rules'!$G$7:$G$26,0))="hours",INDEX('Rules'!$B$7:$B$26,MATCH(SUBSTITUTE(SUBSTITUTE(SUBSTITUTE(SUBSTITUTE("type:"&amp;B741,"%","%25"),"~","%7E"),"*","%2A"),"?","%3F"),'Rules'!$G$7:$G$26,0))="km"),INDEX('Rules'!$B$7:$B$26,MATCH(SUBSTITUTE(SUBSTITUTE(SUBSTITUTE(SUBSTITUTE("type:"&amp;B741,"%","%25"),"~","%7E"),"*","%2A"),"?","%3F"),'Rules'!$G$7:$G$26,0)),""))</x:f>
      </x:c>
      <x:c r="I741" s="6" t="str">
        <x:f>IF(AND(NOT(COUNTA(A741:F741)=0),K741=""),ROUND(J741-D741,3),"")</x:f>
      </x:c>
      <x:c r="J741" s="6" t="str">
        <x:f>IF(AND(NOT(COUNTA(A741:F741)=0),K741=""),ROUND(F741+L741,3),"")</x:f>
      </x:c>
      <x:c r="K741" s="5" t="str">
        <x:f>IF(COUNTA(A741:F741)=0,"",IF(A741="","Missing equipment ID",IF(COUNTIFS($N$8:$N$2007,"="&amp;N741)&gt;1,"Duplicate equipment ID",IF(B741="","Missing type",IF(COUNTIFS('Rules'!$G$7:$G$26,"="&amp;(SUBSTITUTE(SUBSTITUTE(SUBSTITUTE(SUBSTITUTE("type:"&amp;B741,"%","%25"),"~","%7E"),"*","%2A"),"?","%3F")))=0,"Unknown type",IF(COUNTIFS('Rules'!$G$7:$G$26,"="&amp;(SUBSTITUTE(SUBSTITUTE(SUBSTITUTE(SUBSTITUTE("type:"&amp;B741,"%","%25"),"~","%7E"),"*","%2A"),"?","%3F")))&gt;1,"Duplicate type",IF(INDEX('Rules'!$F$7:$F$26,MATCH(SUBSTITUTE(SUBSTITUTE(SUBSTITUTE(SUBSTITUTE("type:"&amp;B741,"%","%25"),"~","%7E"),"*","%2A"),"?","%3F"),'Rules'!$G$7:$G$26,0))&lt;&gt;"",INDEX('Rules'!$F$7:$F$26,MATCH(SUBSTITUTE(SUBSTITUTE(SUBSTITUTE(SUBSTITUTE("type:"&amp;B741,"%","%25"),"~","%7E"),"*","%2A"),"?","%3F"),'Rules'!$G$7:$G$26,0)),IF(AND(C741&lt;&gt;"",C741&lt;&gt;INDEX('Rules'!$B$7:$B$26,MATCH(SUBSTITUTE(SUBSTITUTE(SUBSTITUTE(SUBSTITUTE("type:"&amp;B741,"%","%25"),"~","%7E"),"*","%2A"),"?","%3F"),'Rules'!$G$7:$G$26,0))),"Unit mismatch",IF(IF(NOT(ISNUMBER(D741)),TRUE,OR(D741&lt;0,D741&gt;999999999,ROUND(D741,3)&lt;&gt;D741)),"Invalid current reading",IF(AND(E741&lt;&gt;"",IF(NOT(ISNUMBER(E741)),TRUE,OR(E741&lt;0,E741&gt;999999999,ROUND(E741,3)&lt;&gt;E741))),"Invalid previous reading",IF(IF(NOT(ISNUMBER(F741)),TRUE,OR(F741&lt;0,F741&gt;999999999,ROUND(F741,3)&lt;&gt;F741)),"Invalid last service",IF(AND(E741&lt;&gt;"",D741&lt;E741),"Decreased reading",IF(F741&gt;D741,"Last service above current","")))))))))))))</x:f>
      </x:c>
      <x:c r="L741" s="6" t="str">
        <x:f>IF(AND(NOT(COUNTA(A741:F741)=0),K741=""),INDEX('Rules'!$C$7:$C$26,MATCH(SUBSTITUTE(SUBSTITUTE(SUBSTITUTE(SUBSTITUTE("type:"&amp;B741,"%","%25"),"~","%7E"),"*","%2A"),"?","%3F"),'Rules'!$G$7:$G$26,0)),"")</x:f>
      </x:c>
      <x:c r="M741" s="6" t="str">
        <x:f>IF(AND(NOT(COUNTA(A741:F741)=0),K741=""),INDEX('Rules'!$D$7:$D$26,MATCH(SUBSTITUTE(SUBSTITUTE(SUBSTITUTE(SUBSTITUTE("type:"&amp;B741,"%","%25"),"~","%7E"),"*","%2A"),"?","%3F"),'Rules'!$G$7:$G$26,0)),"")</x:f>
      </x:c>
      <x:c r="N741" s="5" t="str">
        <x:f>IF(COUNTA(A741:F741)=0,"",SUBSTITUTE(SUBSTITUTE(SUBSTITUTE(SUBSTITUTE("id:"&amp;A741,"%","%25"),"~","%7E"),"*","%2A"),"?","%3F"))</x:f>
      </x:c>
    </x:row>
    <x:row r="742" ht="22" customHeight="1">
      <x:c r="A742" s="3"/>
      <x:c r="B742" s="3"/>
      <x:c r="C742" s="3"/>
      <x:c r="D742" s="4"/>
      <x:c r="E742" s="4"/>
      <x:c r="F742" s="4"/>
      <x:c r="G742" s="5" t="str">
        <x:f>IF(COUNTA(A742:F742)=0,"",IF(K742&lt;&gt;"","Review",IF(I742&lt;0,"Overdue",IF(I742=0,"Due now",IF(I742&lt;=M742,"Due soon","Not due")))))</x:f>
      </x:c>
      <x:c r="H742" s="5" t="str">
        <x:f>IF(OR(COUNTA(A742:F742)=0,COUNTIFS('Rules'!$G$7:$G$26,"="&amp;(SUBSTITUTE(SUBSTITUTE(SUBSTITUTE(SUBSTITUTE("type:"&amp;B742,"%","%25"),"~","%7E"),"*","%2A"),"?","%3F")))&lt;&gt;1),"",IF(OR(INDEX('Rules'!$B$7:$B$26,MATCH(SUBSTITUTE(SUBSTITUTE(SUBSTITUTE(SUBSTITUTE("type:"&amp;B742,"%","%25"),"~","%7E"),"*","%2A"),"?","%3F"),'Rules'!$G$7:$G$26,0))="hours",INDEX('Rules'!$B$7:$B$26,MATCH(SUBSTITUTE(SUBSTITUTE(SUBSTITUTE(SUBSTITUTE("type:"&amp;B742,"%","%25"),"~","%7E"),"*","%2A"),"?","%3F"),'Rules'!$G$7:$G$26,0))="km"),INDEX('Rules'!$B$7:$B$26,MATCH(SUBSTITUTE(SUBSTITUTE(SUBSTITUTE(SUBSTITUTE("type:"&amp;B742,"%","%25"),"~","%7E"),"*","%2A"),"?","%3F"),'Rules'!$G$7:$G$26,0)),""))</x:f>
      </x:c>
      <x:c r="I742" s="6" t="str">
        <x:f>IF(AND(NOT(COUNTA(A742:F742)=0),K742=""),ROUND(J742-D742,3),"")</x:f>
      </x:c>
      <x:c r="J742" s="6" t="str">
        <x:f>IF(AND(NOT(COUNTA(A742:F742)=0),K742=""),ROUND(F742+L742,3),"")</x:f>
      </x:c>
      <x:c r="K742" s="5" t="str">
        <x:f>IF(COUNTA(A742:F742)=0,"",IF(A742="","Missing equipment ID",IF(COUNTIFS($N$8:$N$2007,"="&amp;N742)&gt;1,"Duplicate equipment ID",IF(B742="","Missing type",IF(COUNTIFS('Rules'!$G$7:$G$26,"="&amp;(SUBSTITUTE(SUBSTITUTE(SUBSTITUTE(SUBSTITUTE("type:"&amp;B742,"%","%25"),"~","%7E"),"*","%2A"),"?","%3F")))=0,"Unknown type",IF(COUNTIFS('Rules'!$G$7:$G$26,"="&amp;(SUBSTITUTE(SUBSTITUTE(SUBSTITUTE(SUBSTITUTE("type:"&amp;B742,"%","%25"),"~","%7E"),"*","%2A"),"?","%3F")))&gt;1,"Duplicate type",IF(INDEX('Rules'!$F$7:$F$26,MATCH(SUBSTITUTE(SUBSTITUTE(SUBSTITUTE(SUBSTITUTE("type:"&amp;B742,"%","%25"),"~","%7E"),"*","%2A"),"?","%3F"),'Rules'!$G$7:$G$26,0))&lt;&gt;"",INDEX('Rules'!$F$7:$F$26,MATCH(SUBSTITUTE(SUBSTITUTE(SUBSTITUTE(SUBSTITUTE("type:"&amp;B742,"%","%25"),"~","%7E"),"*","%2A"),"?","%3F"),'Rules'!$G$7:$G$26,0)),IF(AND(C742&lt;&gt;"",C742&lt;&gt;INDEX('Rules'!$B$7:$B$26,MATCH(SUBSTITUTE(SUBSTITUTE(SUBSTITUTE(SUBSTITUTE("type:"&amp;B742,"%","%25"),"~","%7E"),"*","%2A"),"?","%3F"),'Rules'!$G$7:$G$26,0))),"Unit mismatch",IF(IF(NOT(ISNUMBER(D742)),TRUE,OR(D742&lt;0,D742&gt;999999999,ROUND(D742,3)&lt;&gt;D742)),"Invalid current reading",IF(AND(E742&lt;&gt;"",IF(NOT(ISNUMBER(E742)),TRUE,OR(E742&lt;0,E742&gt;999999999,ROUND(E742,3)&lt;&gt;E742))),"Invalid previous reading",IF(IF(NOT(ISNUMBER(F742)),TRUE,OR(F742&lt;0,F742&gt;999999999,ROUND(F742,3)&lt;&gt;F742)),"Invalid last service",IF(AND(E742&lt;&gt;"",D742&lt;E742),"Decreased reading",IF(F742&gt;D742,"Last service above current","")))))))))))))</x:f>
      </x:c>
      <x:c r="L742" s="6" t="str">
        <x:f>IF(AND(NOT(COUNTA(A742:F742)=0),K742=""),INDEX('Rules'!$C$7:$C$26,MATCH(SUBSTITUTE(SUBSTITUTE(SUBSTITUTE(SUBSTITUTE("type:"&amp;B742,"%","%25"),"~","%7E"),"*","%2A"),"?","%3F"),'Rules'!$G$7:$G$26,0)),"")</x:f>
      </x:c>
      <x:c r="M742" s="6" t="str">
        <x:f>IF(AND(NOT(COUNTA(A742:F742)=0),K742=""),INDEX('Rules'!$D$7:$D$26,MATCH(SUBSTITUTE(SUBSTITUTE(SUBSTITUTE(SUBSTITUTE("type:"&amp;B742,"%","%25"),"~","%7E"),"*","%2A"),"?","%3F"),'Rules'!$G$7:$G$26,0)),"")</x:f>
      </x:c>
      <x:c r="N742" s="5" t="str">
        <x:f>IF(COUNTA(A742:F742)=0,"",SUBSTITUTE(SUBSTITUTE(SUBSTITUTE(SUBSTITUTE("id:"&amp;A742,"%","%25"),"~","%7E"),"*","%2A"),"?","%3F"))</x:f>
      </x:c>
    </x:row>
    <x:row r="743" ht="22" customHeight="1">
      <x:c r="A743" s="3"/>
      <x:c r="B743" s="3"/>
      <x:c r="C743" s="3"/>
      <x:c r="D743" s="4"/>
      <x:c r="E743" s="4"/>
      <x:c r="F743" s="4"/>
      <x:c r="G743" s="5" t="str">
        <x:f>IF(COUNTA(A743:F743)=0,"",IF(K743&lt;&gt;"","Review",IF(I743&lt;0,"Overdue",IF(I743=0,"Due now",IF(I743&lt;=M743,"Due soon","Not due")))))</x:f>
      </x:c>
      <x:c r="H743" s="5" t="str">
        <x:f>IF(OR(COUNTA(A743:F743)=0,COUNTIFS('Rules'!$G$7:$G$26,"="&amp;(SUBSTITUTE(SUBSTITUTE(SUBSTITUTE(SUBSTITUTE("type:"&amp;B743,"%","%25"),"~","%7E"),"*","%2A"),"?","%3F")))&lt;&gt;1),"",IF(OR(INDEX('Rules'!$B$7:$B$26,MATCH(SUBSTITUTE(SUBSTITUTE(SUBSTITUTE(SUBSTITUTE("type:"&amp;B743,"%","%25"),"~","%7E"),"*","%2A"),"?","%3F"),'Rules'!$G$7:$G$26,0))="hours",INDEX('Rules'!$B$7:$B$26,MATCH(SUBSTITUTE(SUBSTITUTE(SUBSTITUTE(SUBSTITUTE("type:"&amp;B743,"%","%25"),"~","%7E"),"*","%2A"),"?","%3F"),'Rules'!$G$7:$G$26,0))="km"),INDEX('Rules'!$B$7:$B$26,MATCH(SUBSTITUTE(SUBSTITUTE(SUBSTITUTE(SUBSTITUTE("type:"&amp;B743,"%","%25"),"~","%7E"),"*","%2A"),"?","%3F"),'Rules'!$G$7:$G$26,0)),""))</x:f>
      </x:c>
      <x:c r="I743" s="6" t="str">
        <x:f>IF(AND(NOT(COUNTA(A743:F743)=0),K743=""),ROUND(J743-D743,3),"")</x:f>
      </x:c>
      <x:c r="J743" s="6" t="str">
        <x:f>IF(AND(NOT(COUNTA(A743:F743)=0),K743=""),ROUND(F743+L743,3),"")</x:f>
      </x:c>
      <x:c r="K743" s="5" t="str">
        <x:f>IF(COUNTA(A743:F743)=0,"",IF(A743="","Missing equipment ID",IF(COUNTIFS($N$8:$N$2007,"="&amp;N743)&gt;1,"Duplicate equipment ID",IF(B743="","Missing type",IF(COUNTIFS('Rules'!$G$7:$G$26,"="&amp;(SUBSTITUTE(SUBSTITUTE(SUBSTITUTE(SUBSTITUTE("type:"&amp;B743,"%","%25"),"~","%7E"),"*","%2A"),"?","%3F")))=0,"Unknown type",IF(COUNTIFS('Rules'!$G$7:$G$26,"="&amp;(SUBSTITUTE(SUBSTITUTE(SUBSTITUTE(SUBSTITUTE("type:"&amp;B743,"%","%25"),"~","%7E"),"*","%2A"),"?","%3F")))&gt;1,"Duplicate type",IF(INDEX('Rules'!$F$7:$F$26,MATCH(SUBSTITUTE(SUBSTITUTE(SUBSTITUTE(SUBSTITUTE("type:"&amp;B743,"%","%25"),"~","%7E"),"*","%2A"),"?","%3F"),'Rules'!$G$7:$G$26,0))&lt;&gt;"",INDEX('Rules'!$F$7:$F$26,MATCH(SUBSTITUTE(SUBSTITUTE(SUBSTITUTE(SUBSTITUTE("type:"&amp;B743,"%","%25"),"~","%7E"),"*","%2A"),"?","%3F"),'Rules'!$G$7:$G$26,0)),IF(AND(C743&lt;&gt;"",C743&lt;&gt;INDEX('Rules'!$B$7:$B$26,MATCH(SUBSTITUTE(SUBSTITUTE(SUBSTITUTE(SUBSTITUTE("type:"&amp;B743,"%","%25"),"~","%7E"),"*","%2A"),"?","%3F"),'Rules'!$G$7:$G$26,0))),"Unit mismatch",IF(IF(NOT(ISNUMBER(D743)),TRUE,OR(D743&lt;0,D743&gt;999999999,ROUND(D743,3)&lt;&gt;D743)),"Invalid current reading",IF(AND(E743&lt;&gt;"",IF(NOT(ISNUMBER(E743)),TRUE,OR(E743&lt;0,E743&gt;999999999,ROUND(E743,3)&lt;&gt;E743))),"Invalid previous reading",IF(IF(NOT(ISNUMBER(F743)),TRUE,OR(F743&lt;0,F743&gt;999999999,ROUND(F743,3)&lt;&gt;F743)),"Invalid last service",IF(AND(E743&lt;&gt;"",D743&lt;E743),"Decreased reading",IF(F743&gt;D743,"Last service above current","")))))))))))))</x:f>
      </x:c>
      <x:c r="L743" s="6" t="str">
        <x:f>IF(AND(NOT(COUNTA(A743:F743)=0),K743=""),INDEX('Rules'!$C$7:$C$26,MATCH(SUBSTITUTE(SUBSTITUTE(SUBSTITUTE(SUBSTITUTE("type:"&amp;B743,"%","%25"),"~","%7E"),"*","%2A"),"?","%3F"),'Rules'!$G$7:$G$26,0)),"")</x:f>
      </x:c>
      <x:c r="M743" s="6" t="str">
        <x:f>IF(AND(NOT(COUNTA(A743:F743)=0),K743=""),INDEX('Rules'!$D$7:$D$26,MATCH(SUBSTITUTE(SUBSTITUTE(SUBSTITUTE(SUBSTITUTE("type:"&amp;B743,"%","%25"),"~","%7E"),"*","%2A"),"?","%3F"),'Rules'!$G$7:$G$26,0)),"")</x:f>
      </x:c>
      <x:c r="N743" s="5" t="str">
        <x:f>IF(COUNTA(A743:F743)=0,"",SUBSTITUTE(SUBSTITUTE(SUBSTITUTE(SUBSTITUTE("id:"&amp;A743,"%","%25"),"~","%7E"),"*","%2A"),"?","%3F"))</x:f>
      </x:c>
    </x:row>
    <x:row r="744" ht="22" customHeight="1">
      <x:c r="A744" s="3"/>
      <x:c r="B744" s="3"/>
      <x:c r="C744" s="3"/>
      <x:c r="D744" s="4"/>
      <x:c r="E744" s="4"/>
      <x:c r="F744" s="4"/>
      <x:c r="G744" s="5" t="str">
        <x:f>IF(COUNTA(A744:F744)=0,"",IF(K744&lt;&gt;"","Review",IF(I744&lt;0,"Overdue",IF(I744=0,"Due now",IF(I744&lt;=M744,"Due soon","Not due")))))</x:f>
      </x:c>
      <x:c r="H744" s="5" t="str">
        <x:f>IF(OR(COUNTA(A744:F744)=0,COUNTIFS('Rules'!$G$7:$G$26,"="&amp;(SUBSTITUTE(SUBSTITUTE(SUBSTITUTE(SUBSTITUTE("type:"&amp;B744,"%","%25"),"~","%7E"),"*","%2A"),"?","%3F")))&lt;&gt;1),"",IF(OR(INDEX('Rules'!$B$7:$B$26,MATCH(SUBSTITUTE(SUBSTITUTE(SUBSTITUTE(SUBSTITUTE("type:"&amp;B744,"%","%25"),"~","%7E"),"*","%2A"),"?","%3F"),'Rules'!$G$7:$G$26,0))="hours",INDEX('Rules'!$B$7:$B$26,MATCH(SUBSTITUTE(SUBSTITUTE(SUBSTITUTE(SUBSTITUTE("type:"&amp;B744,"%","%25"),"~","%7E"),"*","%2A"),"?","%3F"),'Rules'!$G$7:$G$26,0))="km"),INDEX('Rules'!$B$7:$B$26,MATCH(SUBSTITUTE(SUBSTITUTE(SUBSTITUTE(SUBSTITUTE("type:"&amp;B744,"%","%25"),"~","%7E"),"*","%2A"),"?","%3F"),'Rules'!$G$7:$G$26,0)),""))</x:f>
      </x:c>
      <x:c r="I744" s="6" t="str">
        <x:f>IF(AND(NOT(COUNTA(A744:F744)=0),K744=""),ROUND(J744-D744,3),"")</x:f>
      </x:c>
      <x:c r="J744" s="6" t="str">
        <x:f>IF(AND(NOT(COUNTA(A744:F744)=0),K744=""),ROUND(F744+L744,3),"")</x:f>
      </x:c>
      <x:c r="K744" s="5" t="str">
        <x:f>IF(COUNTA(A744:F744)=0,"",IF(A744="","Missing equipment ID",IF(COUNTIFS($N$8:$N$2007,"="&amp;N744)&gt;1,"Duplicate equipment ID",IF(B744="","Missing type",IF(COUNTIFS('Rules'!$G$7:$G$26,"="&amp;(SUBSTITUTE(SUBSTITUTE(SUBSTITUTE(SUBSTITUTE("type:"&amp;B744,"%","%25"),"~","%7E"),"*","%2A"),"?","%3F")))=0,"Unknown type",IF(COUNTIFS('Rules'!$G$7:$G$26,"="&amp;(SUBSTITUTE(SUBSTITUTE(SUBSTITUTE(SUBSTITUTE("type:"&amp;B744,"%","%25"),"~","%7E"),"*","%2A"),"?","%3F")))&gt;1,"Duplicate type",IF(INDEX('Rules'!$F$7:$F$26,MATCH(SUBSTITUTE(SUBSTITUTE(SUBSTITUTE(SUBSTITUTE("type:"&amp;B744,"%","%25"),"~","%7E"),"*","%2A"),"?","%3F"),'Rules'!$G$7:$G$26,0))&lt;&gt;"",INDEX('Rules'!$F$7:$F$26,MATCH(SUBSTITUTE(SUBSTITUTE(SUBSTITUTE(SUBSTITUTE("type:"&amp;B744,"%","%25"),"~","%7E"),"*","%2A"),"?","%3F"),'Rules'!$G$7:$G$26,0)),IF(AND(C744&lt;&gt;"",C744&lt;&gt;INDEX('Rules'!$B$7:$B$26,MATCH(SUBSTITUTE(SUBSTITUTE(SUBSTITUTE(SUBSTITUTE("type:"&amp;B744,"%","%25"),"~","%7E"),"*","%2A"),"?","%3F"),'Rules'!$G$7:$G$26,0))),"Unit mismatch",IF(IF(NOT(ISNUMBER(D744)),TRUE,OR(D744&lt;0,D744&gt;999999999,ROUND(D744,3)&lt;&gt;D744)),"Invalid current reading",IF(AND(E744&lt;&gt;"",IF(NOT(ISNUMBER(E744)),TRUE,OR(E744&lt;0,E744&gt;999999999,ROUND(E744,3)&lt;&gt;E744))),"Invalid previous reading",IF(IF(NOT(ISNUMBER(F744)),TRUE,OR(F744&lt;0,F744&gt;999999999,ROUND(F744,3)&lt;&gt;F744)),"Invalid last service",IF(AND(E744&lt;&gt;"",D744&lt;E744),"Decreased reading",IF(F744&gt;D744,"Last service above current","")))))))))))))</x:f>
      </x:c>
      <x:c r="L744" s="6" t="str">
        <x:f>IF(AND(NOT(COUNTA(A744:F744)=0),K744=""),INDEX('Rules'!$C$7:$C$26,MATCH(SUBSTITUTE(SUBSTITUTE(SUBSTITUTE(SUBSTITUTE("type:"&amp;B744,"%","%25"),"~","%7E"),"*","%2A"),"?","%3F"),'Rules'!$G$7:$G$26,0)),"")</x:f>
      </x:c>
      <x:c r="M744" s="6" t="str">
        <x:f>IF(AND(NOT(COUNTA(A744:F744)=0),K744=""),INDEX('Rules'!$D$7:$D$26,MATCH(SUBSTITUTE(SUBSTITUTE(SUBSTITUTE(SUBSTITUTE("type:"&amp;B744,"%","%25"),"~","%7E"),"*","%2A"),"?","%3F"),'Rules'!$G$7:$G$26,0)),"")</x:f>
      </x:c>
      <x:c r="N744" s="5" t="str">
        <x:f>IF(COUNTA(A744:F744)=0,"",SUBSTITUTE(SUBSTITUTE(SUBSTITUTE(SUBSTITUTE("id:"&amp;A744,"%","%25"),"~","%7E"),"*","%2A"),"?","%3F"))</x:f>
      </x:c>
    </x:row>
    <x:row r="745" ht="22" customHeight="1">
      <x:c r="A745" s="3"/>
      <x:c r="B745" s="3"/>
      <x:c r="C745" s="3"/>
      <x:c r="D745" s="4"/>
      <x:c r="E745" s="4"/>
      <x:c r="F745" s="4"/>
      <x:c r="G745" s="5" t="str">
        <x:f>IF(COUNTA(A745:F745)=0,"",IF(K745&lt;&gt;"","Review",IF(I745&lt;0,"Overdue",IF(I745=0,"Due now",IF(I745&lt;=M745,"Due soon","Not due")))))</x:f>
      </x:c>
      <x:c r="H745" s="5" t="str">
        <x:f>IF(OR(COUNTA(A745:F745)=0,COUNTIFS('Rules'!$G$7:$G$26,"="&amp;(SUBSTITUTE(SUBSTITUTE(SUBSTITUTE(SUBSTITUTE("type:"&amp;B745,"%","%25"),"~","%7E"),"*","%2A"),"?","%3F")))&lt;&gt;1),"",IF(OR(INDEX('Rules'!$B$7:$B$26,MATCH(SUBSTITUTE(SUBSTITUTE(SUBSTITUTE(SUBSTITUTE("type:"&amp;B745,"%","%25"),"~","%7E"),"*","%2A"),"?","%3F"),'Rules'!$G$7:$G$26,0))="hours",INDEX('Rules'!$B$7:$B$26,MATCH(SUBSTITUTE(SUBSTITUTE(SUBSTITUTE(SUBSTITUTE("type:"&amp;B745,"%","%25"),"~","%7E"),"*","%2A"),"?","%3F"),'Rules'!$G$7:$G$26,0))="km"),INDEX('Rules'!$B$7:$B$26,MATCH(SUBSTITUTE(SUBSTITUTE(SUBSTITUTE(SUBSTITUTE("type:"&amp;B745,"%","%25"),"~","%7E"),"*","%2A"),"?","%3F"),'Rules'!$G$7:$G$26,0)),""))</x:f>
      </x:c>
      <x:c r="I745" s="6" t="str">
        <x:f>IF(AND(NOT(COUNTA(A745:F745)=0),K745=""),ROUND(J745-D745,3),"")</x:f>
      </x:c>
      <x:c r="J745" s="6" t="str">
        <x:f>IF(AND(NOT(COUNTA(A745:F745)=0),K745=""),ROUND(F745+L745,3),"")</x:f>
      </x:c>
      <x:c r="K745" s="5" t="str">
        <x:f>IF(COUNTA(A745:F745)=0,"",IF(A745="","Missing equipment ID",IF(COUNTIFS($N$8:$N$2007,"="&amp;N745)&gt;1,"Duplicate equipment ID",IF(B745="","Missing type",IF(COUNTIFS('Rules'!$G$7:$G$26,"="&amp;(SUBSTITUTE(SUBSTITUTE(SUBSTITUTE(SUBSTITUTE("type:"&amp;B745,"%","%25"),"~","%7E"),"*","%2A"),"?","%3F")))=0,"Unknown type",IF(COUNTIFS('Rules'!$G$7:$G$26,"="&amp;(SUBSTITUTE(SUBSTITUTE(SUBSTITUTE(SUBSTITUTE("type:"&amp;B745,"%","%25"),"~","%7E"),"*","%2A"),"?","%3F")))&gt;1,"Duplicate type",IF(INDEX('Rules'!$F$7:$F$26,MATCH(SUBSTITUTE(SUBSTITUTE(SUBSTITUTE(SUBSTITUTE("type:"&amp;B745,"%","%25"),"~","%7E"),"*","%2A"),"?","%3F"),'Rules'!$G$7:$G$26,0))&lt;&gt;"",INDEX('Rules'!$F$7:$F$26,MATCH(SUBSTITUTE(SUBSTITUTE(SUBSTITUTE(SUBSTITUTE("type:"&amp;B745,"%","%25"),"~","%7E"),"*","%2A"),"?","%3F"),'Rules'!$G$7:$G$26,0)),IF(AND(C745&lt;&gt;"",C745&lt;&gt;INDEX('Rules'!$B$7:$B$26,MATCH(SUBSTITUTE(SUBSTITUTE(SUBSTITUTE(SUBSTITUTE("type:"&amp;B745,"%","%25"),"~","%7E"),"*","%2A"),"?","%3F"),'Rules'!$G$7:$G$26,0))),"Unit mismatch",IF(IF(NOT(ISNUMBER(D745)),TRUE,OR(D745&lt;0,D745&gt;999999999,ROUND(D745,3)&lt;&gt;D745)),"Invalid current reading",IF(AND(E745&lt;&gt;"",IF(NOT(ISNUMBER(E745)),TRUE,OR(E745&lt;0,E745&gt;999999999,ROUND(E745,3)&lt;&gt;E745))),"Invalid previous reading",IF(IF(NOT(ISNUMBER(F745)),TRUE,OR(F745&lt;0,F745&gt;999999999,ROUND(F745,3)&lt;&gt;F745)),"Invalid last service",IF(AND(E745&lt;&gt;"",D745&lt;E745),"Decreased reading",IF(F745&gt;D745,"Last service above current","")))))))))))))</x:f>
      </x:c>
      <x:c r="L745" s="6" t="str">
        <x:f>IF(AND(NOT(COUNTA(A745:F745)=0),K745=""),INDEX('Rules'!$C$7:$C$26,MATCH(SUBSTITUTE(SUBSTITUTE(SUBSTITUTE(SUBSTITUTE("type:"&amp;B745,"%","%25"),"~","%7E"),"*","%2A"),"?","%3F"),'Rules'!$G$7:$G$26,0)),"")</x:f>
      </x:c>
      <x:c r="M745" s="6" t="str">
        <x:f>IF(AND(NOT(COUNTA(A745:F745)=0),K745=""),INDEX('Rules'!$D$7:$D$26,MATCH(SUBSTITUTE(SUBSTITUTE(SUBSTITUTE(SUBSTITUTE("type:"&amp;B745,"%","%25"),"~","%7E"),"*","%2A"),"?","%3F"),'Rules'!$G$7:$G$26,0)),"")</x:f>
      </x:c>
      <x:c r="N745" s="5" t="str">
        <x:f>IF(COUNTA(A745:F745)=0,"",SUBSTITUTE(SUBSTITUTE(SUBSTITUTE(SUBSTITUTE("id:"&amp;A745,"%","%25"),"~","%7E"),"*","%2A"),"?","%3F"))</x:f>
      </x:c>
    </x:row>
    <x:row r="746" ht="22" customHeight="1">
      <x:c r="A746" s="3"/>
      <x:c r="B746" s="3"/>
      <x:c r="C746" s="3"/>
      <x:c r="D746" s="4"/>
      <x:c r="E746" s="4"/>
      <x:c r="F746" s="4"/>
      <x:c r="G746" s="5" t="str">
        <x:f>IF(COUNTA(A746:F746)=0,"",IF(K746&lt;&gt;"","Review",IF(I746&lt;0,"Overdue",IF(I746=0,"Due now",IF(I746&lt;=M746,"Due soon","Not due")))))</x:f>
      </x:c>
      <x:c r="H746" s="5" t="str">
        <x:f>IF(OR(COUNTA(A746:F746)=0,COUNTIFS('Rules'!$G$7:$G$26,"="&amp;(SUBSTITUTE(SUBSTITUTE(SUBSTITUTE(SUBSTITUTE("type:"&amp;B746,"%","%25"),"~","%7E"),"*","%2A"),"?","%3F")))&lt;&gt;1),"",IF(OR(INDEX('Rules'!$B$7:$B$26,MATCH(SUBSTITUTE(SUBSTITUTE(SUBSTITUTE(SUBSTITUTE("type:"&amp;B746,"%","%25"),"~","%7E"),"*","%2A"),"?","%3F"),'Rules'!$G$7:$G$26,0))="hours",INDEX('Rules'!$B$7:$B$26,MATCH(SUBSTITUTE(SUBSTITUTE(SUBSTITUTE(SUBSTITUTE("type:"&amp;B746,"%","%25"),"~","%7E"),"*","%2A"),"?","%3F"),'Rules'!$G$7:$G$26,0))="km"),INDEX('Rules'!$B$7:$B$26,MATCH(SUBSTITUTE(SUBSTITUTE(SUBSTITUTE(SUBSTITUTE("type:"&amp;B746,"%","%25"),"~","%7E"),"*","%2A"),"?","%3F"),'Rules'!$G$7:$G$26,0)),""))</x:f>
      </x:c>
      <x:c r="I746" s="6" t="str">
        <x:f>IF(AND(NOT(COUNTA(A746:F746)=0),K746=""),ROUND(J746-D746,3),"")</x:f>
      </x:c>
      <x:c r="J746" s="6" t="str">
        <x:f>IF(AND(NOT(COUNTA(A746:F746)=0),K746=""),ROUND(F746+L746,3),"")</x:f>
      </x:c>
      <x:c r="K746" s="5" t="str">
        <x:f>IF(COUNTA(A746:F746)=0,"",IF(A746="","Missing equipment ID",IF(COUNTIFS($N$8:$N$2007,"="&amp;N746)&gt;1,"Duplicate equipment ID",IF(B746="","Missing type",IF(COUNTIFS('Rules'!$G$7:$G$26,"="&amp;(SUBSTITUTE(SUBSTITUTE(SUBSTITUTE(SUBSTITUTE("type:"&amp;B746,"%","%25"),"~","%7E"),"*","%2A"),"?","%3F")))=0,"Unknown type",IF(COUNTIFS('Rules'!$G$7:$G$26,"="&amp;(SUBSTITUTE(SUBSTITUTE(SUBSTITUTE(SUBSTITUTE("type:"&amp;B746,"%","%25"),"~","%7E"),"*","%2A"),"?","%3F")))&gt;1,"Duplicate type",IF(INDEX('Rules'!$F$7:$F$26,MATCH(SUBSTITUTE(SUBSTITUTE(SUBSTITUTE(SUBSTITUTE("type:"&amp;B746,"%","%25"),"~","%7E"),"*","%2A"),"?","%3F"),'Rules'!$G$7:$G$26,0))&lt;&gt;"",INDEX('Rules'!$F$7:$F$26,MATCH(SUBSTITUTE(SUBSTITUTE(SUBSTITUTE(SUBSTITUTE("type:"&amp;B746,"%","%25"),"~","%7E"),"*","%2A"),"?","%3F"),'Rules'!$G$7:$G$26,0)),IF(AND(C746&lt;&gt;"",C746&lt;&gt;INDEX('Rules'!$B$7:$B$26,MATCH(SUBSTITUTE(SUBSTITUTE(SUBSTITUTE(SUBSTITUTE("type:"&amp;B746,"%","%25"),"~","%7E"),"*","%2A"),"?","%3F"),'Rules'!$G$7:$G$26,0))),"Unit mismatch",IF(IF(NOT(ISNUMBER(D746)),TRUE,OR(D746&lt;0,D746&gt;999999999,ROUND(D746,3)&lt;&gt;D746)),"Invalid current reading",IF(AND(E746&lt;&gt;"",IF(NOT(ISNUMBER(E746)),TRUE,OR(E746&lt;0,E746&gt;999999999,ROUND(E746,3)&lt;&gt;E746))),"Invalid previous reading",IF(IF(NOT(ISNUMBER(F746)),TRUE,OR(F746&lt;0,F746&gt;999999999,ROUND(F746,3)&lt;&gt;F746)),"Invalid last service",IF(AND(E746&lt;&gt;"",D746&lt;E746),"Decreased reading",IF(F746&gt;D746,"Last service above current","")))))))))))))</x:f>
      </x:c>
      <x:c r="L746" s="6" t="str">
        <x:f>IF(AND(NOT(COUNTA(A746:F746)=0),K746=""),INDEX('Rules'!$C$7:$C$26,MATCH(SUBSTITUTE(SUBSTITUTE(SUBSTITUTE(SUBSTITUTE("type:"&amp;B746,"%","%25"),"~","%7E"),"*","%2A"),"?","%3F"),'Rules'!$G$7:$G$26,0)),"")</x:f>
      </x:c>
      <x:c r="M746" s="6" t="str">
        <x:f>IF(AND(NOT(COUNTA(A746:F746)=0),K746=""),INDEX('Rules'!$D$7:$D$26,MATCH(SUBSTITUTE(SUBSTITUTE(SUBSTITUTE(SUBSTITUTE("type:"&amp;B746,"%","%25"),"~","%7E"),"*","%2A"),"?","%3F"),'Rules'!$G$7:$G$26,0)),"")</x:f>
      </x:c>
      <x:c r="N746" s="5" t="str">
        <x:f>IF(COUNTA(A746:F746)=0,"",SUBSTITUTE(SUBSTITUTE(SUBSTITUTE(SUBSTITUTE("id:"&amp;A746,"%","%25"),"~","%7E"),"*","%2A"),"?","%3F"))</x:f>
      </x:c>
    </x:row>
    <x:row r="747" ht="22" customHeight="1">
      <x:c r="A747" s="3"/>
      <x:c r="B747" s="3"/>
      <x:c r="C747" s="3"/>
      <x:c r="D747" s="4"/>
      <x:c r="E747" s="4"/>
      <x:c r="F747" s="4"/>
      <x:c r="G747" s="5" t="str">
        <x:f>IF(COUNTA(A747:F747)=0,"",IF(K747&lt;&gt;"","Review",IF(I747&lt;0,"Overdue",IF(I747=0,"Due now",IF(I747&lt;=M747,"Due soon","Not due")))))</x:f>
      </x:c>
      <x:c r="H747" s="5" t="str">
        <x:f>IF(OR(COUNTA(A747:F747)=0,COUNTIFS('Rules'!$G$7:$G$26,"="&amp;(SUBSTITUTE(SUBSTITUTE(SUBSTITUTE(SUBSTITUTE("type:"&amp;B747,"%","%25"),"~","%7E"),"*","%2A"),"?","%3F")))&lt;&gt;1),"",IF(OR(INDEX('Rules'!$B$7:$B$26,MATCH(SUBSTITUTE(SUBSTITUTE(SUBSTITUTE(SUBSTITUTE("type:"&amp;B747,"%","%25"),"~","%7E"),"*","%2A"),"?","%3F"),'Rules'!$G$7:$G$26,0))="hours",INDEX('Rules'!$B$7:$B$26,MATCH(SUBSTITUTE(SUBSTITUTE(SUBSTITUTE(SUBSTITUTE("type:"&amp;B747,"%","%25"),"~","%7E"),"*","%2A"),"?","%3F"),'Rules'!$G$7:$G$26,0))="km"),INDEX('Rules'!$B$7:$B$26,MATCH(SUBSTITUTE(SUBSTITUTE(SUBSTITUTE(SUBSTITUTE("type:"&amp;B747,"%","%25"),"~","%7E"),"*","%2A"),"?","%3F"),'Rules'!$G$7:$G$26,0)),""))</x:f>
      </x:c>
      <x:c r="I747" s="6" t="str">
        <x:f>IF(AND(NOT(COUNTA(A747:F747)=0),K747=""),ROUND(J747-D747,3),"")</x:f>
      </x:c>
      <x:c r="J747" s="6" t="str">
        <x:f>IF(AND(NOT(COUNTA(A747:F747)=0),K747=""),ROUND(F747+L747,3),"")</x:f>
      </x:c>
      <x:c r="K747" s="5" t="str">
        <x:f>IF(COUNTA(A747:F747)=0,"",IF(A747="","Missing equipment ID",IF(COUNTIFS($N$8:$N$2007,"="&amp;N747)&gt;1,"Duplicate equipment ID",IF(B747="","Missing type",IF(COUNTIFS('Rules'!$G$7:$G$26,"="&amp;(SUBSTITUTE(SUBSTITUTE(SUBSTITUTE(SUBSTITUTE("type:"&amp;B747,"%","%25"),"~","%7E"),"*","%2A"),"?","%3F")))=0,"Unknown type",IF(COUNTIFS('Rules'!$G$7:$G$26,"="&amp;(SUBSTITUTE(SUBSTITUTE(SUBSTITUTE(SUBSTITUTE("type:"&amp;B747,"%","%25"),"~","%7E"),"*","%2A"),"?","%3F")))&gt;1,"Duplicate type",IF(INDEX('Rules'!$F$7:$F$26,MATCH(SUBSTITUTE(SUBSTITUTE(SUBSTITUTE(SUBSTITUTE("type:"&amp;B747,"%","%25"),"~","%7E"),"*","%2A"),"?","%3F"),'Rules'!$G$7:$G$26,0))&lt;&gt;"",INDEX('Rules'!$F$7:$F$26,MATCH(SUBSTITUTE(SUBSTITUTE(SUBSTITUTE(SUBSTITUTE("type:"&amp;B747,"%","%25"),"~","%7E"),"*","%2A"),"?","%3F"),'Rules'!$G$7:$G$26,0)),IF(AND(C747&lt;&gt;"",C747&lt;&gt;INDEX('Rules'!$B$7:$B$26,MATCH(SUBSTITUTE(SUBSTITUTE(SUBSTITUTE(SUBSTITUTE("type:"&amp;B747,"%","%25"),"~","%7E"),"*","%2A"),"?","%3F"),'Rules'!$G$7:$G$26,0))),"Unit mismatch",IF(IF(NOT(ISNUMBER(D747)),TRUE,OR(D747&lt;0,D747&gt;999999999,ROUND(D747,3)&lt;&gt;D747)),"Invalid current reading",IF(AND(E747&lt;&gt;"",IF(NOT(ISNUMBER(E747)),TRUE,OR(E747&lt;0,E747&gt;999999999,ROUND(E747,3)&lt;&gt;E747))),"Invalid previous reading",IF(IF(NOT(ISNUMBER(F747)),TRUE,OR(F747&lt;0,F747&gt;999999999,ROUND(F747,3)&lt;&gt;F747)),"Invalid last service",IF(AND(E747&lt;&gt;"",D747&lt;E747),"Decreased reading",IF(F747&gt;D747,"Last service above current","")))))))))))))</x:f>
      </x:c>
      <x:c r="L747" s="6" t="str">
        <x:f>IF(AND(NOT(COUNTA(A747:F747)=0),K747=""),INDEX('Rules'!$C$7:$C$26,MATCH(SUBSTITUTE(SUBSTITUTE(SUBSTITUTE(SUBSTITUTE("type:"&amp;B747,"%","%25"),"~","%7E"),"*","%2A"),"?","%3F"),'Rules'!$G$7:$G$26,0)),"")</x:f>
      </x:c>
      <x:c r="M747" s="6" t="str">
        <x:f>IF(AND(NOT(COUNTA(A747:F747)=0),K747=""),INDEX('Rules'!$D$7:$D$26,MATCH(SUBSTITUTE(SUBSTITUTE(SUBSTITUTE(SUBSTITUTE("type:"&amp;B747,"%","%25"),"~","%7E"),"*","%2A"),"?","%3F"),'Rules'!$G$7:$G$26,0)),"")</x:f>
      </x:c>
      <x:c r="N747" s="5" t="str">
        <x:f>IF(COUNTA(A747:F747)=0,"",SUBSTITUTE(SUBSTITUTE(SUBSTITUTE(SUBSTITUTE("id:"&amp;A747,"%","%25"),"~","%7E"),"*","%2A"),"?","%3F"))</x:f>
      </x:c>
    </x:row>
    <x:row r="748" ht="22" customHeight="1">
      <x:c r="A748" s="3"/>
      <x:c r="B748" s="3"/>
      <x:c r="C748" s="3"/>
      <x:c r="D748" s="4"/>
      <x:c r="E748" s="4"/>
      <x:c r="F748" s="4"/>
      <x:c r="G748" s="5" t="str">
        <x:f>IF(COUNTA(A748:F748)=0,"",IF(K748&lt;&gt;"","Review",IF(I748&lt;0,"Overdue",IF(I748=0,"Due now",IF(I748&lt;=M748,"Due soon","Not due")))))</x:f>
      </x:c>
      <x:c r="H748" s="5" t="str">
        <x:f>IF(OR(COUNTA(A748:F748)=0,COUNTIFS('Rules'!$G$7:$G$26,"="&amp;(SUBSTITUTE(SUBSTITUTE(SUBSTITUTE(SUBSTITUTE("type:"&amp;B748,"%","%25"),"~","%7E"),"*","%2A"),"?","%3F")))&lt;&gt;1),"",IF(OR(INDEX('Rules'!$B$7:$B$26,MATCH(SUBSTITUTE(SUBSTITUTE(SUBSTITUTE(SUBSTITUTE("type:"&amp;B748,"%","%25"),"~","%7E"),"*","%2A"),"?","%3F"),'Rules'!$G$7:$G$26,0))="hours",INDEX('Rules'!$B$7:$B$26,MATCH(SUBSTITUTE(SUBSTITUTE(SUBSTITUTE(SUBSTITUTE("type:"&amp;B748,"%","%25"),"~","%7E"),"*","%2A"),"?","%3F"),'Rules'!$G$7:$G$26,0))="km"),INDEX('Rules'!$B$7:$B$26,MATCH(SUBSTITUTE(SUBSTITUTE(SUBSTITUTE(SUBSTITUTE("type:"&amp;B748,"%","%25"),"~","%7E"),"*","%2A"),"?","%3F"),'Rules'!$G$7:$G$26,0)),""))</x:f>
      </x:c>
      <x:c r="I748" s="6" t="str">
        <x:f>IF(AND(NOT(COUNTA(A748:F748)=0),K748=""),ROUND(J748-D748,3),"")</x:f>
      </x:c>
      <x:c r="J748" s="6" t="str">
        <x:f>IF(AND(NOT(COUNTA(A748:F748)=0),K748=""),ROUND(F748+L748,3),"")</x:f>
      </x:c>
      <x:c r="K748" s="5" t="str">
        <x:f>IF(COUNTA(A748:F748)=0,"",IF(A748="","Missing equipment ID",IF(COUNTIFS($N$8:$N$2007,"="&amp;N748)&gt;1,"Duplicate equipment ID",IF(B748="","Missing type",IF(COUNTIFS('Rules'!$G$7:$G$26,"="&amp;(SUBSTITUTE(SUBSTITUTE(SUBSTITUTE(SUBSTITUTE("type:"&amp;B748,"%","%25"),"~","%7E"),"*","%2A"),"?","%3F")))=0,"Unknown type",IF(COUNTIFS('Rules'!$G$7:$G$26,"="&amp;(SUBSTITUTE(SUBSTITUTE(SUBSTITUTE(SUBSTITUTE("type:"&amp;B748,"%","%25"),"~","%7E"),"*","%2A"),"?","%3F")))&gt;1,"Duplicate type",IF(INDEX('Rules'!$F$7:$F$26,MATCH(SUBSTITUTE(SUBSTITUTE(SUBSTITUTE(SUBSTITUTE("type:"&amp;B748,"%","%25"),"~","%7E"),"*","%2A"),"?","%3F"),'Rules'!$G$7:$G$26,0))&lt;&gt;"",INDEX('Rules'!$F$7:$F$26,MATCH(SUBSTITUTE(SUBSTITUTE(SUBSTITUTE(SUBSTITUTE("type:"&amp;B748,"%","%25"),"~","%7E"),"*","%2A"),"?","%3F"),'Rules'!$G$7:$G$26,0)),IF(AND(C748&lt;&gt;"",C748&lt;&gt;INDEX('Rules'!$B$7:$B$26,MATCH(SUBSTITUTE(SUBSTITUTE(SUBSTITUTE(SUBSTITUTE("type:"&amp;B748,"%","%25"),"~","%7E"),"*","%2A"),"?","%3F"),'Rules'!$G$7:$G$26,0))),"Unit mismatch",IF(IF(NOT(ISNUMBER(D748)),TRUE,OR(D748&lt;0,D748&gt;999999999,ROUND(D748,3)&lt;&gt;D748)),"Invalid current reading",IF(AND(E748&lt;&gt;"",IF(NOT(ISNUMBER(E748)),TRUE,OR(E748&lt;0,E748&gt;999999999,ROUND(E748,3)&lt;&gt;E748))),"Invalid previous reading",IF(IF(NOT(ISNUMBER(F748)),TRUE,OR(F748&lt;0,F748&gt;999999999,ROUND(F748,3)&lt;&gt;F748)),"Invalid last service",IF(AND(E748&lt;&gt;"",D748&lt;E748),"Decreased reading",IF(F748&gt;D748,"Last service above current","")))))))))))))</x:f>
      </x:c>
      <x:c r="L748" s="6" t="str">
        <x:f>IF(AND(NOT(COUNTA(A748:F748)=0),K748=""),INDEX('Rules'!$C$7:$C$26,MATCH(SUBSTITUTE(SUBSTITUTE(SUBSTITUTE(SUBSTITUTE("type:"&amp;B748,"%","%25"),"~","%7E"),"*","%2A"),"?","%3F"),'Rules'!$G$7:$G$26,0)),"")</x:f>
      </x:c>
      <x:c r="M748" s="6" t="str">
        <x:f>IF(AND(NOT(COUNTA(A748:F748)=0),K748=""),INDEX('Rules'!$D$7:$D$26,MATCH(SUBSTITUTE(SUBSTITUTE(SUBSTITUTE(SUBSTITUTE("type:"&amp;B748,"%","%25"),"~","%7E"),"*","%2A"),"?","%3F"),'Rules'!$G$7:$G$26,0)),"")</x:f>
      </x:c>
      <x:c r="N748" s="5" t="str">
        <x:f>IF(COUNTA(A748:F748)=0,"",SUBSTITUTE(SUBSTITUTE(SUBSTITUTE(SUBSTITUTE("id:"&amp;A748,"%","%25"),"~","%7E"),"*","%2A"),"?","%3F"))</x:f>
      </x:c>
    </x:row>
    <x:row r="749" ht="22" customHeight="1">
      <x:c r="A749" s="3"/>
      <x:c r="B749" s="3"/>
      <x:c r="C749" s="3"/>
      <x:c r="D749" s="4"/>
      <x:c r="E749" s="4"/>
      <x:c r="F749" s="4"/>
      <x:c r="G749" s="5" t="str">
        <x:f>IF(COUNTA(A749:F749)=0,"",IF(K749&lt;&gt;"","Review",IF(I749&lt;0,"Overdue",IF(I749=0,"Due now",IF(I749&lt;=M749,"Due soon","Not due")))))</x:f>
      </x:c>
      <x:c r="H749" s="5" t="str">
        <x:f>IF(OR(COUNTA(A749:F749)=0,COUNTIFS('Rules'!$G$7:$G$26,"="&amp;(SUBSTITUTE(SUBSTITUTE(SUBSTITUTE(SUBSTITUTE("type:"&amp;B749,"%","%25"),"~","%7E"),"*","%2A"),"?","%3F")))&lt;&gt;1),"",IF(OR(INDEX('Rules'!$B$7:$B$26,MATCH(SUBSTITUTE(SUBSTITUTE(SUBSTITUTE(SUBSTITUTE("type:"&amp;B749,"%","%25"),"~","%7E"),"*","%2A"),"?","%3F"),'Rules'!$G$7:$G$26,0))="hours",INDEX('Rules'!$B$7:$B$26,MATCH(SUBSTITUTE(SUBSTITUTE(SUBSTITUTE(SUBSTITUTE("type:"&amp;B749,"%","%25"),"~","%7E"),"*","%2A"),"?","%3F"),'Rules'!$G$7:$G$26,0))="km"),INDEX('Rules'!$B$7:$B$26,MATCH(SUBSTITUTE(SUBSTITUTE(SUBSTITUTE(SUBSTITUTE("type:"&amp;B749,"%","%25"),"~","%7E"),"*","%2A"),"?","%3F"),'Rules'!$G$7:$G$26,0)),""))</x:f>
      </x:c>
      <x:c r="I749" s="6" t="str">
        <x:f>IF(AND(NOT(COUNTA(A749:F749)=0),K749=""),ROUND(J749-D749,3),"")</x:f>
      </x:c>
      <x:c r="J749" s="6" t="str">
        <x:f>IF(AND(NOT(COUNTA(A749:F749)=0),K749=""),ROUND(F749+L749,3),"")</x:f>
      </x:c>
      <x:c r="K749" s="5" t="str">
        <x:f>IF(COUNTA(A749:F749)=0,"",IF(A749="","Missing equipment ID",IF(COUNTIFS($N$8:$N$2007,"="&amp;N749)&gt;1,"Duplicate equipment ID",IF(B749="","Missing type",IF(COUNTIFS('Rules'!$G$7:$G$26,"="&amp;(SUBSTITUTE(SUBSTITUTE(SUBSTITUTE(SUBSTITUTE("type:"&amp;B749,"%","%25"),"~","%7E"),"*","%2A"),"?","%3F")))=0,"Unknown type",IF(COUNTIFS('Rules'!$G$7:$G$26,"="&amp;(SUBSTITUTE(SUBSTITUTE(SUBSTITUTE(SUBSTITUTE("type:"&amp;B749,"%","%25"),"~","%7E"),"*","%2A"),"?","%3F")))&gt;1,"Duplicate type",IF(INDEX('Rules'!$F$7:$F$26,MATCH(SUBSTITUTE(SUBSTITUTE(SUBSTITUTE(SUBSTITUTE("type:"&amp;B749,"%","%25"),"~","%7E"),"*","%2A"),"?","%3F"),'Rules'!$G$7:$G$26,0))&lt;&gt;"",INDEX('Rules'!$F$7:$F$26,MATCH(SUBSTITUTE(SUBSTITUTE(SUBSTITUTE(SUBSTITUTE("type:"&amp;B749,"%","%25"),"~","%7E"),"*","%2A"),"?","%3F"),'Rules'!$G$7:$G$26,0)),IF(AND(C749&lt;&gt;"",C749&lt;&gt;INDEX('Rules'!$B$7:$B$26,MATCH(SUBSTITUTE(SUBSTITUTE(SUBSTITUTE(SUBSTITUTE("type:"&amp;B749,"%","%25"),"~","%7E"),"*","%2A"),"?","%3F"),'Rules'!$G$7:$G$26,0))),"Unit mismatch",IF(IF(NOT(ISNUMBER(D749)),TRUE,OR(D749&lt;0,D749&gt;999999999,ROUND(D749,3)&lt;&gt;D749)),"Invalid current reading",IF(AND(E749&lt;&gt;"",IF(NOT(ISNUMBER(E749)),TRUE,OR(E749&lt;0,E749&gt;999999999,ROUND(E749,3)&lt;&gt;E749))),"Invalid previous reading",IF(IF(NOT(ISNUMBER(F749)),TRUE,OR(F749&lt;0,F749&gt;999999999,ROUND(F749,3)&lt;&gt;F749)),"Invalid last service",IF(AND(E749&lt;&gt;"",D749&lt;E749),"Decreased reading",IF(F749&gt;D749,"Last service above current","")))))))))))))</x:f>
      </x:c>
      <x:c r="L749" s="6" t="str">
        <x:f>IF(AND(NOT(COUNTA(A749:F749)=0),K749=""),INDEX('Rules'!$C$7:$C$26,MATCH(SUBSTITUTE(SUBSTITUTE(SUBSTITUTE(SUBSTITUTE("type:"&amp;B749,"%","%25"),"~","%7E"),"*","%2A"),"?","%3F"),'Rules'!$G$7:$G$26,0)),"")</x:f>
      </x:c>
      <x:c r="M749" s="6" t="str">
        <x:f>IF(AND(NOT(COUNTA(A749:F749)=0),K749=""),INDEX('Rules'!$D$7:$D$26,MATCH(SUBSTITUTE(SUBSTITUTE(SUBSTITUTE(SUBSTITUTE("type:"&amp;B749,"%","%25"),"~","%7E"),"*","%2A"),"?","%3F"),'Rules'!$G$7:$G$26,0)),"")</x:f>
      </x:c>
      <x:c r="N749" s="5" t="str">
        <x:f>IF(COUNTA(A749:F749)=0,"",SUBSTITUTE(SUBSTITUTE(SUBSTITUTE(SUBSTITUTE("id:"&amp;A749,"%","%25"),"~","%7E"),"*","%2A"),"?","%3F"))</x:f>
      </x:c>
    </x:row>
    <x:row r="750" ht="22" customHeight="1">
      <x:c r="A750" s="3"/>
      <x:c r="B750" s="3"/>
      <x:c r="C750" s="3"/>
      <x:c r="D750" s="4"/>
      <x:c r="E750" s="4"/>
      <x:c r="F750" s="4"/>
      <x:c r="G750" s="5" t="str">
        <x:f>IF(COUNTA(A750:F750)=0,"",IF(K750&lt;&gt;"","Review",IF(I750&lt;0,"Overdue",IF(I750=0,"Due now",IF(I750&lt;=M750,"Due soon","Not due")))))</x:f>
      </x:c>
      <x:c r="H750" s="5" t="str">
        <x:f>IF(OR(COUNTA(A750:F750)=0,COUNTIFS('Rules'!$G$7:$G$26,"="&amp;(SUBSTITUTE(SUBSTITUTE(SUBSTITUTE(SUBSTITUTE("type:"&amp;B750,"%","%25"),"~","%7E"),"*","%2A"),"?","%3F")))&lt;&gt;1),"",IF(OR(INDEX('Rules'!$B$7:$B$26,MATCH(SUBSTITUTE(SUBSTITUTE(SUBSTITUTE(SUBSTITUTE("type:"&amp;B750,"%","%25"),"~","%7E"),"*","%2A"),"?","%3F"),'Rules'!$G$7:$G$26,0))="hours",INDEX('Rules'!$B$7:$B$26,MATCH(SUBSTITUTE(SUBSTITUTE(SUBSTITUTE(SUBSTITUTE("type:"&amp;B750,"%","%25"),"~","%7E"),"*","%2A"),"?","%3F"),'Rules'!$G$7:$G$26,0))="km"),INDEX('Rules'!$B$7:$B$26,MATCH(SUBSTITUTE(SUBSTITUTE(SUBSTITUTE(SUBSTITUTE("type:"&amp;B750,"%","%25"),"~","%7E"),"*","%2A"),"?","%3F"),'Rules'!$G$7:$G$26,0)),""))</x:f>
      </x:c>
      <x:c r="I750" s="6" t="str">
        <x:f>IF(AND(NOT(COUNTA(A750:F750)=0),K750=""),ROUND(J750-D750,3),"")</x:f>
      </x:c>
      <x:c r="J750" s="6" t="str">
        <x:f>IF(AND(NOT(COUNTA(A750:F750)=0),K750=""),ROUND(F750+L750,3),"")</x:f>
      </x:c>
      <x:c r="K750" s="5" t="str">
        <x:f>IF(COUNTA(A750:F750)=0,"",IF(A750="","Missing equipment ID",IF(COUNTIFS($N$8:$N$2007,"="&amp;N750)&gt;1,"Duplicate equipment ID",IF(B750="","Missing type",IF(COUNTIFS('Rules'!$G$7:$G$26,"="&amp;(SUBSTITUTE(SUBSTITUTE(SUBSTITUTE(SUBSTITUTE("type:"&amp;B750,"%","%25"),"~","%7E"),"*","%2A"),"?","%3F")))=0,"Unknown type",IF(COUNTIFS('Rules'!$G$7:$G$26,"="&amp;(SUBSTITUTE(SUBSTITUTE(SUBSTITUTE(SUBSTITUTE("type:"&amp;B750,"%","%25"),"~","%7E"),"*","%2A"),"?","%3F")))&gt;1,"Duplicate type",IF(INDEX('Rules'!$F$7:$F$26,MATCH(SUBSTITUTE(SUBSTITUTE(SUBSTITUTE(SUBSTITUTE("type:"&amp;B750,"%","%25"),"~","%7E"),"*","%2A"),"?","%3F"),'Rules'!$G$7:$G$26,0))&lt;&gt;"",INDEX('Rules'!$F$7:$F$26,MATCH(SUBSTITUTE(SUBSTITUTE(SUBSTITUTE(SUBSTITUTE("type:"&amp;B750,"%","%25"),"~","%7E"),"*","%2A"),"?","%3F"),'Rules'!$G$7:$G$26,0)),IF(AND(C750&lt;&gt;"",C750&lt;&gt;INDEX('Rules'!$B$7:$B$26,MATCH(SUBSTITUTE(SUBSTITUTE(SUBSTITUTE(SUBSTITUTE("type:"&amp;B750,"%","%25"),"~","%7E"),"*","%2A"),"?","%3F"),'Rules'!$G$7:$G$26,0))),"Unit mismatch",IF(IF(NOT(ISNUMBER(D750)),TRUE,OR(D750&lt;0,D750&gt;999999999,ROUND(D750,3)&lt;&gt;D750)),"Invalid current reading",IF(AND(E750&lt;&gt;"",IF(NOT(ISNUMBER(E750)),TRUE,OR(E750&lt;0,E750&gt;999999999,ROUND(E750,3)&lt;&gt;E750))),"Invalid previous reading",IF(IF(NOT(ISNUMBER(F750)),TRUE,OR(F750&lt;0,F750&gt;999999999,ROUND(F750,3)&lt;&gt;F750)),"Invalid last service",IF(AND(E750&lt;&gt;"",D750&lt;E750),"Decreased reading",IF(F750&gt;D750,"Last service above current","")))))))))))))</x:f>
      </x:c>
      <x:c r="L750" s="6" t="str">
        <x:f>IF(AND(NOT(COUNTA(A750:F750)=0),K750=""),INDEX('Rules'!$C$7:$C$26,MATCH(SUBSTITUTE(SUBSTITUTE(SUBSTITUTE(SUBSTITUTE("type:"&amp;B750,"%","%25"),"~","%7E"),"*","%2A"),"?","%3F"),'Rules'!$G$7:$G$26,0)),"")</x:f>
      </x:c>
      <x:c r="M750" s="6" t="str">
        <x:f>IF(AND(NOT(COUNTA(A750:F750)=0),K750=""),INDEX('Rules'!$D$7:$D$26,MATCH(SUBSTITUTE(SUBSTITUTE(SUBSTITUTE(SUBSTITUTE("type:"&amp;B750,"%","%25"),"~","%7E"),"*","%2A"),"?","%3F"),'Rules'!$G$7:$G$26,0)),"")</x:f>
      </x:c>
      <x:c r="N750" s="5" t="str">
        <x:f>IF(COUNTA(A750:F750)=0,"",SUBSTITUTE(SUBSTITUTE(SUBSTITUTE(SUBSTITUTE("id:"&amp;A750,"%","%25"),"~","%7E"),"*","%2A"),"?","%3F"))</x:f>
      </x:c>
    </x:row>
    <x:row r="751" ht="22" customHeight="1">
      <x:c r="A751" s="3"/>
      <x:c r="B751" s="3"/>
      <x:c r="C751" s="3"/>
      <x:c r="D751" s="4"/>
      <x:c r="E751" s="4"/>
      <x:c r="F751" s="4"/>
      <x:c r="G751" s="5" t="str">
        <x:f>IF(COUNTA(A751:F751)=0,"",IF(K751&lt;&gt;"","Review",IF(I751&lt;0,"Overdue",IF(I751=0,"Due now",IF(I751&lt;=M751,"Due soon","Not due")))))</x:f>
      </x:c>
      <x:c r="H751" s="5" t="str">
        <x:f>IF(OR(COUNTA(A751:F751)=0,COUNTIFS('Rules'!$G$7:$G$26,"="&amp;(SUBSTITUTE(SUBSTITUTE(SUBSTITUTE(SUBSTITUTE("type:"&amp;B751,"%","%25"),"~","%7E"),"*","%2A"),"?","%3F")))&lt;&gt;1),"",IF(OR(INDEX('Rules'!$B$7:$B$26,MATCH(SUBSTITUTE(SUBSTITUTE(SUBSTITUTE(SUBSTITUTE("type:"&amp;B751,"%","%25"),"~","%7E"),"*","%2A"),"?","%3F"),'Rules'!$G$7:$G$26,0))="hours",INDEX('Rules'!$B$7:$B$26,MATCH(SUBSTITUTE(SUBSTITUTE(SUBSTITUTE(SUBSTITUTE("type:"&amp;B751,"%","%25"),"~","%7E"),"*","%2A"),"?","%3F"),'Rules'!$G$7:$G$26,0))="km"),INDEX('Rules'!$B$7:$B$26,MATCH(SUBSTITUTE(SUBSTITUTE(SUBSTITUTE(SUBSTITUTE("type:"&amp;B751,"%","%25"),"~","%7E"),"*","%2A"),"?","%3F"),'Rules'!$G$7:$G$26,0)),""))</x:f>
      </x:c>
      <x:c r="I751" s="6" t="str">
        <x:f>IF(AND(NOT(COUNTA(A751:F751)=0),K751=""),ROUND(J751-D751,3),"")</x:f>
      </x:c>
      <x:c r="J751" s="6" t="str">
        <x:f>IF(AND(NOT(COUNTA(A751:F751)=0),K751=""),ROUND(F751+L751,3),"")</x:f>
      </x:c>
      <x:c r="K751" s="5" t="str">
        <x:f>IF(COUNTA(A751:F751)=0,"",IF(A751="","Missing equipment ID",IF(COUNTIFS($N$8:$N$2007,"="&amp;N751)&gt;1,"Duplicate equipment ID",IF(B751="","Missing type",IF(COUNTIFS('Rules'!$G$7:$G$26,"="&amp;(SUBSTITUTE(SUBSTITUTE(SUBSTITUTE(SUBSTITUTE("type:"&amp;B751,"%","%25"),"~","%7E"),"*","%2A"),"?","%3F")))=0,"Unknown type",IF(COUNTIFS('Rules'!$G$7:$G$26,"="&amp;(SUBSTITUTE(SUBSTITUTE(SUBSTITUTE(SUBSTITUTE("type:"&amp;B751,"%","%25"),"~","%7E"),"*","%2A"),"?","%3F")))&gt;1,"Duplicate type",IF(INDEX('Rules'!$F$7:$F$26,MATCH(SUBSTITUTE(SUBSTITUTE(SUBSTITUTE(SUBSTITUTE("type:"&amp;B751,"%","%25"),"~","%7E"),"*","%2A"),"?","%3F"),'Rules'!$G$7:$G$26,0))&lt;&gt;"",INDEX('Rules'!$F$7:$F$26,MATCH(SUBSTITUTE(SUBSTITUTE(SUBSTITUTE(SUBSTITUTE("type:"&amp;B751,"%","%25"),"~","%7E"),"*","%2A"),"?","%3F"),'Rules'!$G$7:$G$26,0)),IF(AND(C751&lt;&gt;"",C751&lt;&gt;INDEX('Rules'!$B$7:$B$26,MATCH(SUBSTITUTE(SUBSTITUTE(SUBSTITUTE(SUBSTITUTE("type:"&amp;B751,"%","%25"),"~","%7E"),"*","%2A"),"?","%3F"),'Rules'!$G$7:$G$26,0))),"Unit mismatch",IF(IF(NOT(ISNUMBER(D751)),TRUE,OR(D751&lt;0,D751&gt;999999999,ROUND(D751,3)&lt;&gt;D751)),"Invalid current reading",IF(AND(E751&lt;&gt;"",IF(NOT(ISNUMBER(E751)),TRUE,OR(E751&lt;0,E751&gt;999999999,ROUND(E751,3)&lt;&gt;E751))),"Invalid previous reading",IF(IF(NOT(ISNUMBER(F751)),TRUE,OR(F751&lt;0,F751&gt;999999999,ROUND(F751,3)&lt;&gt;F751)),"Invalid last service",IF(AND(E751&lt;&gt;"",D751&lt;E751),"Decreased reading",IF(F751&gt;D751,"Last service above current","")))))))))))))</x:f>
      </x:c>
      <x:c r="L751" s="6" t="str">
        <x:f>IF(AND(NOT(COUNTA(A751:F751)=0),K751=""),INDEX('Rules'!$C$7:$C$26,MATCH(SUBSTITUTE(SUBSTITUTE(SUBSTITUTE(SUBSTITUTE("type:"&amp;B751,"%","%25"),"~","%7E"),"*","%2A"),"?","%3F"),'Rules'!$G$7:$G$26,0)),"")</x:f>
      </x:c>
      <x:c r="M751" s="6" t="str">
        <x:f>IF(AND(NOT(COUNTA(A751:F751)=0),K751=""),INDEX('Rules'!$D$7:$D$26,MATCH(SUBSTITUTE(SUBSTITUTE(SUBSTITUTE(SUBSTITUTE("type:"&amp;B751,"%","%25"),"~","%7E"),"*","%2A"),"?","%3F"),'Rules'!$G$7:$G$26,0)),"")</x:f>
      </x:c>
      <x:c r="N751" s="5" t="str">
        <x:f>IF(COUNTA(A751:F751)=0,"",SUBSTITUTE(SUBSTITUTE(SUBSTITUTE(SUBSTITUTE("id:"&amp;A751,"%","%25"),"~","%7E"),"*","%2A"),"?","%3F"))</x:f>
      </x:c>
    </x:row>
    <x:row r="752" ht="22" customHeight="1">
      <x:c r="A752" s="3"/>
      <x:c r="B752" s="3"/>
      <x:c r="C752" s="3"/>
      <x:c r="D752" s="4"/>
      <x:c r="E752" s="4"/>
      <x:c r="F752" s="4"/>
      <x:c r="G752" s="5" t="str">
        <x:f>IF(COUNTA(A752:F752)=0,"",IF(K752&lt;&gt;"","Review",IF(I752&lt;0,"Overdue",IF(I752=0,"Due now",IF(I752&lt;=M752,"Due soon","Not due")))))</x:f>
      </x:c>
      <x:c r="H752" s="5" t="str">
        <x:f>IF(OR(COUNTA(A752:F752)=0,COUNTIFS('Rules'!$G$7:$G$26,"="&amp;(SUBSTITUTE(SUBSTITUTE(SUBSTITUTE(SUBSTITUTE("type:"&amp;B752,"%","%25"),"~","%7E"),"*","%2A"),"?","%3F")))&lt;&gt;1),"",IF(OR(INDEX('Rules'!$B$7:$B$26,MATCH(SUBSTITUTE(SUBSTITUTE(SUBSTITUTE(SUBSTITUTE("type:"&amp;B752,"%","%25"),"~","%7E"),"*","%2A"),"?","%3F"),'Rules'!$G$7:$G$26,0))="hours",INDEX('Rules'!$B$7:$B$26,MATCH(SUBSTITUTE(SUBSTITUTE(SUBSTITUTE(SUBSTITUTE("type:"&amp;B752,"%","%25"),"~","%7E"),"*","%2A"),"?","%3F"),'Rules'!$G$7:$G$26,0))="km"),INDEX('Rules'!$B$7:$B$26,MATCH(SUBSTITUTE(SUBSTITUTE(SUBSTITUTE(SUBSTITUTE("type:"&amp;B752,"%","%25"),"~","%7E"),"*","%2A"),"?","%3F"),'Rules'!$G$7:$G$26,0)),""))</x:f>
      </x:c>
      <x:c r="I752" s="6" t="str">
        <x:f>IF(AND(NOT(COUNTA(A752:F752)=0),K752=""),ROUND(J752-D752,3),"")</x:f>
      </x:c>
      <x:c r="J752" s="6" t="str">
        <x:f>IF(AND(NOT(COUNTA(A752:F752)=0),K752=""),ROUND(F752+L752,3),"")</x:f>
      </x:c>
      <x:c r="K752" s="5" t="str">
        <x:f>IF(COUNTA(A752:F752)=0,"",IF(A752="","Missing equipment ID",IF(COUNTIFS($N$8:$N$2007,"="&amp;N752)&gt;1,"Duplicate equipment ID",IF(B752="","Missing type",IF(COUNTIFS('Rules'!$G$7:$G$26,"="&amp;(SUBSTITUTE(SUBSTITUTE(SUBSTITUTE(SUBSTITUTE("type:"&amp;B752,"%","%25"),"~","%7E"),"*","%2A"),"?","%3F")))=0,"Unknown type",IF(COUNTIFS('Rules'!$G$7:$G$26,"="&amp;(SUBSTITUTE(SUBSTITUTE(SUBSTITUTE(SUBSTITUTE("type:"&amp;B752,"%","%25"),"~","%7E"),"*","%2A"),"?","%3F")))&gt;1,"Duplicate type",IF(INDEX('Rules'!$F$7:$F$26,MATCH(SUBSTITUTE(SUBSTITUTE(SUBSTITUTE(SUBSTITUTE("type:"&amp;B752,"%","%25"),"~","%7E"),"*","%2A"),"?","%3F"),'Rules'!$G$7:$G$26,0))&lt;&gt;"",INDEX('Rules'!$F$7:$F$26,MATCH(SUBSTITUTE(SUBSTITUTE(SUBSTITUTE(SUBSTITUTE("type:"&amp;B752,"%","%25"),"~","%7E"),"*","%2A"),"?","%3F"),'Rules'!$G$7:$G$26,0)),IF(AND(C752&lt;&gt;"",C752&lt;&gt;INDEX('Rules'!$B$7:$B$26,MATCH(SUBSTITUTE(SUBSTITUTE(SUBSTITUTE(SUBSTITUTE("type:"&amp;B752,"%","%25"),"~","%7E"),"*","%2A"),"?","%3F"),'Rules'!$G$7:$G$26,0))),"Unit mismatch",IF(IF(NOT(ISNUMBER(D752)),TRUE,OR(D752&lt;0,D752&gt;999999999,ROUND(D752,3)&lt;&gt;D752)),"Invalid current reading",IF(AND(E752&lt;&gt;"",IF(NOT(ISNUMBER(E752)),TRUE,OR(E752&lt;0,E752&gt;999999999,ROUND(E752,3)&lt;&gt;E752))),"Invalid previous reading",IF(IF(NOT(ISNUMBER(F752)),TRUE,OR(F752&lt;0,F752&gt;999999999,ROUND(F752,3)&lt;&gt;F752)),"Invalid last service",IF(AND(E752&lt;&gt;"",D752&lt;E752),"Decreased reading",IF(F752&gt;D752,"Last service above current","")))))))))))))</x:f>
      </x:c>
      <x:c r="L752" s="6" t="str">
        <x:f>IF(AND(NOT(COUNTA(A752:F752)=0),K752=""),INDEX('Rules'!$C$7:$C$26,MATCH(SUBSTITUTE(SUBSTITUTE(SUBSTITUTE(SUBSTITUTE("type:"&amp;B752,"%","%25"),"~","%7E"),"*","%2A"),"?","%3F"),'Rules'!$G$7:$G$26,0)),"")</x:f>
      </x:c>
      <x:c r="M752" s="6" t="str">
        <x:f>IF(AND(NOT(COUNTA(A752:F752)=0),K752=""),INDEX('Rules'!$D$7:$D$26,MATCH(SUBSTITUTE(SUBSTITUTE(SUBSTITUTE(SUBSTITUTE("type:"&amp;B752,"%","%25"),"~","%7E"),"*","%2A"),"?","%3F"),'Rules'!$G$7:$G$26,0)),"")</x:f>
      </x:c>
      <x:c r="N752" s="5" t="str">
        <x:f>IF(COUNTA(A752:F752)=0,"",SUBSTITUTE(SUBSTITUTE(SUBSTITUTE(SUBSTITUTE("id:"&amp;A752,"%","%25"),"~","%7E"),"*","%2A"),"?","%3F"))</x:f>
      </x:c>
    </x:row>
    <x:row r="753" ht="22" customHeight="1">
      <x:c r="A753" s="3"/>
      <x:c r="B753" s="3"/>
      <x:c r="C753" s="3"/>
      <x:c r="D753" s="4"/>
      <x:c r="E753" s="4"/>
      <x:c r="F753" s="4"/>
      <x:c r="G753" s="5" t="str">
        <x:f>IF(COUNTA(A753:F753)=0,"",IF(K753&lt;&gt;"","Review",IF(I753&lt;0,"Overdue",IF(I753=0,"Due now",IF(I753&lt;=M753,"Due soon","Not due")))))</x:f>
      </x:c>
      <x:c r="H753" s="5" t="str">
        <x:f>IF(OR(COUNTA(A753:F753)=0,COUNTIFS('Rules'!$G$7:$G$26,"="&amp;(SUBSTITUTE(SUBSTITUTE(SUBSTITUTE(SUBSTITUTE("type:"&amp;B753,"%","%25"),"~","%7E"),"*","%2A"),"?","%3F")))&lt;&gt;1),"",IF(OR(INDEX('Rules'!$B$7:$B$26,MATCH(SUBSTITUTE(SUBSTITUTE(SUBSTITUTE(SUBSTITUTE("type:"&amp;B753,"%","%25"),"~","%7E"),"*","%2A"),"?","%3F"),'Rules'!$G$7:$G$26,0))="hours",INDEX('Rules'!$B$7:$B$26,MATCH(SUBSTITUTE(SUBSTITUTE(SUBSTITUTE(SUBSTITUTE("type:"&amp;B753,"%","%25"),"~","%7E"),"*","%2A"),"?","%3F"),'Rules'!$G$7:$G$26,0))="km"),INDEX('Rules'!$B$7:$B$26,MATCH(SUBSTITUTE(SUBSTITUTE(SUBSTITUTE(SUBSTITUTE("type:"&amp;B753,"%","%25"),"~","%7E"),"*","%2A"),"?","%3F"),'Rules'!$G$7:$G$26,0)),""))</x:f>
      </x:c>
      <x:c r="I753" s="6" t="str">
        <x:f>IF(AND(NOT(COUNTA(A753:F753)=0),K753=""),ROUND(J753-D753,3),"")</x:f>
      </x:c>
      <x:c r="J753" s="6" t="str">
        <x:f>IF(AND(NOT(COUNTA(A753:F753)=0),K753=""),ROUND(F753+L753,3),"")</x:f>
      </x:c>
      <x:c r="K753" s="5" t="str">
        <x:f>IF(COUNTA(A753:F753)=0,"",IF(A753="","Missing equipment ID",IF(COUNTIFS($N$8:$N$2007,"="&amp;N753)&gt;1,"Duplicate equipment ID",IF(B753="","Missing type",IF(COUNTIFS('Rules'!$G$7:$G$26,"="&amp;(SUBSTITUTE(SUBSTITUTE(SUBSTITUTE(SUBSTITUTE("type:"&amp;B753,"%","%25"),"~","%7E"),"*","%2A"),"?","%3F")))=0,"Unknown type",IF(COUNTIFS('Rules'!$G$7:$G$26,"="&amp;(SUBSTITUTE(SUBSTITUTE(SUBSTITUTE(SUBSTITUTE("type:"&amp;B753,"%","%25"),"~","%7E"),"*","%2A"),"?","%3F")))&gt;1,"Duplicate type",IF(INDEX('Rules'!$F$7:$F$26,MATCH(SUBSTITUTE(SUBSTITUTE(SUBSTITUTE(SUBSTITUTE("type:"&amp;B753,"%","%25"),"~","%7E"),"*","%2A"),"?","%3F"),'Rules'!$G$7:$G$26,0))&lt;&gt;"",INDEX('Rules'!$F$7:$F$26,MATCH(SUBSTITUTE(SUBSTITUTE(SUBSTITUTE(SUBSTITUTE("type:"&amp;B753,"%","%25"),"~","%7E"),"*","%2A"),"?","%3F"),'Rules'!$G$7:$G$26,0)),IF(AND(C753&lt;&gt;"",C753&lt;&gt;INDEX('Rules'!$B$7:$B$26,MATCH(SUBSTITUTE(SUBSTITUTE(SUBSTITUTE(SUBSTITUTE("type:"&amp;B753,"%","%25"),"~","%7E"),"*","%2A"),"?","%3F"),'Rules'!$G$7:$G$26,0))),"Unit mismatch",IF(IF(NOT(ISNUMBER(D753)),TRUE,OR(D753&lt;0,D753&gt;999999999,ROUND(D753,3)&lt;&gt;D753)),"Invalid current reading",IF(AND(E753&lt;&gt;"",IF(NOT(ISNUMBER(E753)),TRUE,OR(E753&lt;0,E753&gt;999999999,ROUND(E753,3)&lt;&gt;E753))),"Invalid previous reading",IF(IF(NOT(ISNUMBER(F753)),TRUE,OR(F753&lt;0,F753&gt;999999999,ROUND(F753,3)&lt;&gt;F753)),"Invalid last service",IF(AND(E753&lt;&gt;"",D753&lt;E753),"Decreased reading",IF(F753&gt;D753,"Last service above current","")))))))))))))</x:f>
      </x:c>
      <x:c r="L753" s="6" t="str">
        <x:f>IF(AND(NOT(COUNTA(A753:F753)=0),K753=""),INDEX('Rules'!$C$7:$C$26,MATCH(SUBSTITUTE(SUBSTITUTE(SUBSTITUTE(SUBSTITUTE("type:"&amp;B753,"%","%25"),"~","%7E"),"*","%2A"),"?","%3F"),'Rules'!$G$7:$G$26,0)),"")</x:f>
      </x:c>
      <x:c r="M753" s="6" t="str">
        <x:f>IF(AND(NOT(COUNTA(A753:F753)=0),K753=""),INDEX('Rules'!$D$7:$D$26,MATCH(SUBSTITUTE(SUBSTITUTE(SUBSTITUTE(SUBSTITUTE("type:"&amp;B753,"%","%25"),"~","%7E"),"*","%2A"),"?","%3F"),'Rules'!$G$7:$G$26,0)),"")</x:f>
      </x:c>
      <x:c r="N753" s="5" t="str">
        <x:f>IF(COUNTA(A753:F753)=0,"",SUBSTITUTE(SUBSTITUTE(SUBSTITUTE(SUBSTITUTE("id:"&amp;A753,"%","%25"),"~","%7E"),"*","%2A"),"?","%3F"))</x:f>
      </x:c>
    </x:row>
    <x:row r="754" ht="22" customHeight="1">
      <x:c r="A754" s="3"/>
      <x:c r="B754" s="3"/>
      <x:c r="C754" s="3"/>
      <x:c r="D754" s="4"/>
      <x:c r="E754" s="4"/>
      <x:c r="F754" s="4"/>
      <x:c r="G754" s="5" t="str">
        <x:f>IF(COUNTA(A754:F754)=0,"",IF(K754&lt;&gt;"","Review",IF(I754&lt;0,"Overdue",IF(I754=0,"Due now",IF(I754&lt;=M754,"Due soon","Not due")))))</x:f>
      </x:c>
      <x:c r="H754" s="5" t="str">
        <x:f>IF(OR(COUNTA(A754:F754)=0,COUNTIFS('Rules'!$G$7:$G$26,"="&amp;(SUBSTITUTE(SUBSTITUTE(SUBSTITUTE(SUBSTITUTE("type:"&amp;B754,"%","%25"),"~","%7E"),"*","%2A"),"?","%3F")))&lt;&gt;1),"",IF(OR(INDEX('Rules'!$B$7:$B$26,MATCH(SUBSTITUTE(SUBSTITUTE(SUBSTITUTE(SUBSTITUTE("type:"&amp;B754,"%","%25"),"~","%7E"),"*","%2A"),"?","%3F"),'Rules'!$G$7:$G$26,0))="hours",INDEX('Rules'!$B$7:$B$26,MATCH(SUBSTITUTE(SUBSTITUTE(SUBSTITUTE(SUBSTITUTE("type:"&amp;B754,"%","%25"),"~","%7E"),"*","%2A"),"?","%3F"),'Rules'!$G$7:$G$26,0))="km"),INDEX('Rules'!$B$7:$B$26,MATCH(SUBSTITUTE(SUBSTITUTE(SUBSTITUTE(SUBSTITUTE("type:"&amp;B754,"%","%25"),"~","%7E"),"*","%2A"),"?","%3F"),'Rules'!$G$7:$G$26,0)),""))</x:f>
      </x:c>
      <x:c r="I754" s="6" t="str">
        <x:f>IF(AND(NOT(COUNTA(A754:F754)=0),K754=""),ROUND(J754-D754,3),"")</x:f>
      </x:c>
      <x:c r="J754" s="6" t="str">
        <x:f>IF(AND(NOT(COUNTA(A754:F754)=0),K754=""),ROUND(F754+L754,3),"")</x:f>
      </x:c>
      <x:c r="K754" s="5" t="str">
        <x:f>IF(COUNTA(A754:F754)=0,"",IF(A754="","Missing equipment ID",IF(COUNTIFS($N$8:$N$2007,"="&amp;N754)&gt;1,"Duplicate equipment ID",IF(B754="","Missing type",IF(COUNTIFS('Rules'!$G$7:$G$26,"="&amp;(SUBSTITUTE(SUBSTITUTE(SUBSTITUTE(SUBSTITUTE("type:"&amp;B754,"%","%25"),"~","%7E"),"*","%2A"),"?","%3F")))=0,"Unknown type",IF(COUNTIFS('Rules'!$G$7:$G$26,"="&amp;(SUBSTITUTE(SUBSTITUTE(SUBSTITUTE(SUBSTITUTE("type:"&amp;B754,"%","%25"),"~","%7E"),"*","%2A"),"?","%3F")))&gt;1,"Duplicate type",IF(INDEX('Rules'!$F$7:$F$26,MATCH(SUBSTITUTE(SUBSTITUTE(SUBSTITUTE(SUBSTITUTE("type:"&amp;B754,"%","%25"),"~","%7E"),"*","%2A"),"?","%3F"),'Rules'!$G$7:$G$26,0))&lt;&gt;"",INDEX('Rules'!$F$7:$F$26,MATCH(SUBSTITUTE(SUBSTITUTE(SUBSTITUTE(SUBSTITUTE("type:"&amp;B754,"%","%25"),"~","%7E"),"*","%2A"),"?","%3F"),'Rules'!$G$7:$G$26,0)),IF(AND(C754&lt;&gt;"",C754&lt;&gt;INDEX('Rules'!$B$7:$B$26,MATCH(SUBSTITUTE(SUBSTITUTE(SUBSTITUTE(SUBSTITUTE("type:"&amp;B754,"%","%25"),"~","%7E"),"*","%2A"),"?","%3F"),'Rules'!$G$7:$G$26,0))),"Unit mismatch",IF(IF(NOT(ISNUMBER(D754)),TRUE,OR(D754&lt;0,D754&gt;999999999,ROUND(D754,3)&lt;&gt;D754)),"Invalid current reading",IF(AND(E754&lt;&gt;"",IF(NOT(ISNUMBER(E754)),TRUE,OR(E754&lt;0,E754&gt;999999999,ROUND(E754,3)&lt;&gt;E754))),"Invalid previous reading",IF(IF(NOT(ISNUMBER(F754)),TRUE,OR(F754&lt;0,F754&gt;999999999,ROUND(F754,3)&lt;&gt;F754)),"Invalid last service",IF(AND(E754&lt;&gt;"",D754&lt;E754),"Decreased reading",IF(F754&gt;D754,"Last service above current","")))))))))))))</x:f>
      </x:c>
      <x:c r="L754" s="6" t="str">
        <x:f>IF(AND(NOT(COUNTA(A754:F754)=0),K754=""),INDEX('Rules'!$C$7:$C$26,MATCH(SUBSTITUTE(SUBSTITUTE(SUBSTITUTE(SUBSTITUTE("type:"&amp;B754,"%","%25"),"~","%7E"),"*","%2A"),"?","%3F"),'Rules'!$G$7:$G$26,0)),"")</x:f>
      </x:c>
      <x:c r="M754" s="6" t="str">
        <x:f>IF(AND(NOT(COUNTA(A754:F754)=0),K754=""),INDEX('Rules'!$D$7:$D$26,MATCH(SUBSTITUTE(SUBSTITUTE(SUBSTITUTE(SUBSTITUTE("type:"&amp;B754,"%","%25"),"~","%7E"),"*","%2A"),"?","%3F"),'Rules'!$G$7:$G$26,0)),"")</x:f>
      </x:c>
      <x:c r="N754" s="5" t="str">
        <x:f>IF(COUNTA(A754:F754)=0,"",SUBSTITUTE(SUBSTITUTE(SUBSTITUTE(SUBSTITUTE("id:"&amp;A754,"%","%25"),"~","%7E"),"*","%2A"),"?","%3F"))</x:f>
      </x:c>
    </x:row>
    <x:row r="755" ht="22" customHeight="1">
      <x:c r="A755" s="3"/>
      <x:c r="B755" s="3"/>
      <x:c r="C755" s="3"/>
      <x:c r="D755" s="4"/>
      <x:c r="E755" s="4"/>
      <x:c r="F755" s="4"/>
      <x:c r="G755" s="5" t="str">
        <x:f>IF(COUNTA(A755:F755)=0,"",IF(K755&lt;&gt;"","Review",IF(I755&lt;0,"Overdue",IF(I755=0,"Due now",IF(I755&lt;=M755,"Due soon","Not due")))))</x:f>
      </x:c>
      <x:c r="H755" s="5" t="str">
        <x:f>IF(OR(COUNTA(A755:F755)=0,COUNTIFS('Rules'!$G$7:$G$26,"="&amp;(SUBSTITUTE(SUBSTITUTE(SUBSTITUTE(SUBSTITUTE("type:"&amp;B755,"%","%25"),"~","%7E"),"*","%2A"),"?","%3F")))&lt;&gt;1),"",IF(OR(INDEX('Rules'!$B$7:$B$26,MATCH(SUBSTITUTE(SUBSTITUTE(SUBSTITUTE(SUBSTITUTE("type:"&amp;B755,"%","%25"),"~","%7E"),"*","%2A"),"?","%3F"),'Rules'!$G$7:$G$26,0))="hours",INDEX('Rules'!$B$7:$B$26,MATCH(SUBSTITUTE(SUBSTITUTE(SUBSTITUTE(SUBSTITUTE("type:"&amp;B755,"%","%25"),"~","%7E"),"*","%2A"),"?","%3F"),'Rules'!$G$7:$G$26,0))="km"),INDEX('Rules'!$B$7:$B$26,MATCH(SUBSTITUTE(SUBSTITUTE(SUBSTITUTE(SUBSTITUTE("type:"&amp;B755,"%","%25"),"~","%7E"),"*","%2A"),"?","%3F"),'Rules'!$G$7:$G$26,0)),""))</x:f>
      </x:c>
      <x:c r="I755" s="6" t="str">
        <x:f>IF(AND(NOT(COUNTA(A755:F755)=0),K755=""),ROUND(J755-D755,3),"")</x:f>
      </x:c>
      <x:c r="J755" s="6" t="str">
        <x:f>IF(AND(NOT(COUNTA(A755:F755)=0),K755=""),ROUND(F755+L755,3),"")</x:f>
      </x:c>
      <x:c r="K755" s="5" t="str">
        <x:f>IF(COUNTA(A755:F755)=0,"",IF(A755="","Missing equipment ID",IF(COUNTIFS($N$8:$N$2007,"="&amp;N755)&gt;1,"Duplicate equipment ID",IF(B755="","Missing type",IF(COUNTIFS('Rules'!$G$7:$G$26,"="&amp;(SUBSTITUTE(SUBSTITUTE(SUBSTITUTE(SUBSTITUTE("type:"&amp;B755,"%","%25"),"~","%7E"),"*","%2A"),"?","%3F")))=0,"Unknown type",IF(COUNTIFS('Rules'!$G$7:$G$26,"="&amp;(SUBSTITUTE(SUBSTITUTE(SUBSTITUTE(SUBSTITUTE("type:"&amp;B755,"%","%25"),"~","%7E"),"*","%2A"),"?","%3F")))&gt;1,"Duplicate type",IF(INDEX('Rules'!$F$7:$F$26,MATCH(SUBSTITUTE(SUBSTITUTE(SUBSTITUTE(SUBSTITUTE("type:"&amp;B755,"%","%25"),"~","%7E"),"*","%2A"),"?","%3F"),'Rules'!$G$7:$G$26,0))&lt;&gt;"",INDEX('Rules'!$F$7:$F$26,MATCH(SUBSTITUTE(SUBSTITUTE(SUBSTITUTE(SUBSTITUTE("type:"&amp;B755,"%","%25"),"~","%7E"),"*","%2A"),"?","%3F"),'Rules'!$G$7:$G$26,0)),IF(AND(C755&lt;&gt;"",C755&lt;&gt;INDEX('Rules'!$B$7:$B$26,MATCH(SUBSTITUTE(SUBSTITUTE(SUBSTITUTE(SUBSTITUTE("type:"&amp;B755,"%","%25"),"~","%7E"),"*","%2A"),"?","%3F"),'Rules'!$G$7:$G$26,0))),"Unit mismatch",IF(IF(NOT(ISNUMBER(D755)),TRUE,OR(D755&lt;0,D755&gt;999999999,ROUND(D755,3)&lt;&gt;D755)),"Invalid current reading",IF(AND(E755&lt;&gt;"",IF(NOT(ISNUMBER(E755)),TRUE,OR(E755&lt;0,E755&gt;999999999,ROUND(E755,3)&lt;&gt;E755))),"Invalid previous reading",IF(IF(NOT(ISNUMBER(F755)),TRUE,OR(F755&lt;0,F755&gt;999999999,ROUND(F755,3)&lt;&gt;F755)),"Invalid last service",IF(AND(E755&lt;&gt;"",D755&lt;E755),"Decreased reading",IF(F755&gt;D755,"Last service above current","")))))))))))))</x:f>
      </x:c>
      <x:c r="L755" s="6" t="str">
        <x:f>IF(AND(NOT(COUNTA(A755:F755)=0),K755=""),INDEX('Rules'!$C$7:$C$26,MATCH(SUBSTITUTE(SUBSTITUTE(SUBSTITUTE(SUBSTITUTE("type:"&amp;B755,"%","%25"),"~","%7E"),"*","%2A"),"?","%3F"),'Rules'!$G$7:$G$26,0)),"")</x:f>
      </x:c>
      <x:c r="M755" s="6" t="str">
        <x:f>IF(AND(NOT(COUNTA(A755:F755)=0),K755=""),INDEX('Rules'!$D$7:$D$26,MATCH(SUBSTITUTE(SUBSTITUTE(SUBSTITUTE(SUBSTITUTE("type:"&amp;B755,"%","%25"),"~","%7E"),"*","%2A"),"?","%3F"),'Rules'!$G$7:$G$26,0)),"")</x:f>
      </x:c>
      <x:c r="N755" s="5" t="str">
        <x:f>IF(COUNTA(A755:F755)=0,"",SUBSTITUTE(SUBSTITUTE(SUBSTITUTE(SUBSTITUTE("id:"&amp;A755,"%","%25"),"~","%7E"),"*","%2A"),"?","%3F"))</x:f>
      </x:c>
    </x:row>
    <x:row r="756" ht="22" customHeight="1">
      <x:c r="A756" s="3"/>
      <x:c r="B756" s="3"/>
      <x:c r="C756" s="3"/>
      <x:c r="D756" s="4"/>
      <x:c r="E756" s="4"/>
      <x:c r="F756" s="4"/>
      <x:c r="G756" s="5" t="str">
        <x:f>IF(COUNTA(A756:F756)=0,"",IF(K756&lt;&gt;"","Review",IF(I756&lt;0,"Overdue",IF(I756=0,"Due now",IF(I756&lt;=M756,"Due soon","Not due")))))</x:f>
      </x:c>
      <x:c r="H756" s="5" t="str">
        <x:f>IF(OR(COUNTA(A756:F756)=0,COUNTIFS('Rules'!$G$7:$G$26,"="&amp;(SUBSTITUTE(SUBSTITUTE(SUBSTITUTE(SUBSTITUTE("type:"&amp;B756,"%","%25"),"~","%7E"),"*","%2A"),"?","%3F")))&lt;&gt;1),"",IF(OR(INDEX('Rules'!$B$7:$B$26,MATCH(SUBSTITUTE(SUBSTITUTE(SUBSTITUTE(SUBSTITUTE("type:"&amp;B756,"%","%25"),"~","%7E"),"*","%2A"),"?","%3F"),'Rules'!$G$7:$G$26,0))="hours",INDEX('Rules'!$B$7:$B$26,MATCH(SUBSTITUTE(SUBSTITUTE(SUBSTITUTE(SUBSTITUTE("type:"&amp;B756,"%","%25"),"~","%7E"),"*","%2A"),"?","%3F"),'Rules'!$G$7:$G$26,0))="km"),INDEX('Rules'!$B$7:$B$26,MATCH(SUBSTITUTE(SUBSTITUTE(SUBSTITUTE(SUBSTITUTE("type:"&amp;B756,"%","%25"),"~","%7E"),"*","%2A"),"?","%3F"),'Rules'!$G$7:$G$26,0)),""))</x:f>
      </x:c>
      <x:c r="I756" s="6" t="str">
        <x:f>IF(AND(NOT(COUNTA(A756:F756)=0),K756=""),ROUND(J756-D756,3),"")</x:f>
      </x:c>
      <x:c r="J756" s="6" t="str">
        <x:f>IF(AND(NOT(COUNTA(A756:F756)=0),K756=""),ROUND(F756+L756,3),"")</x:f>
      </x:c>
      <x:c r="K756" s="5" t="str">
        <x:f>IF(COUNTA(A756:F756)=0,"",IF(A756="","Missing equipment ID",IF(COUNTIFS($N$8:$N$2007,"="&amp;N756)&gt;1,"Duplicate equipment ID",IF(B756="","Missing type",IF(COUNTIFS('Rules'!$G$7:$G$26,"="&amp;(SUBSTITUTE(SUBSTITUTE(SUBSTITUTE(SUBSTITUTE("type:"&amp;B756,"%","%25"),"~","%7E"),"*","%2A"),"?","%3F")))=0,"Unknown type",IF(COUNTIFS('Rules'!$G$7:$G$26,"="&amp;(SUBSTITUTE(SUBSTITUTE(SUBSTITUTE(SUBSTITUTE("type:"&amp;B756,"%","%25"),"~","%7E"),"*","%2A"),"?","%3F")))&gt;1,"Duplicate type",IF(INDEX('Rules'!$F$7:$F$26,MATCH(SUBSTITUTE(SUBSTITUTE(SUBSTITUTE(SUBSTITUTE("type:"&amp;B756,"%","%25"),"~","%7E"),"*","%2A"),"?","%3F"),'Rules'!$G$7:$G$26,0))&lt;&gt;"",INDEX('Rules'!$F$7:$F$26,MATCH(SUBSTITUTE(SUBSTITUTE(SUBSTITUTE(SUBSTITUTE("type:"&amp;B756,"%","%25"),"~","%7E"),"*","%2A"),"?","%3F"),'Rules'!$G$7:$G$26,0)),IF(AND(C756&lt;&gt;"",C756&lt;&gt;INDEX('Rules'!$B$7:$B$26,MATCH(SUBSTITUTE(SUBSTITUTE(SUBSTITUTE(SUBSTITUTE("type:"&amp;B756,"%","%25"),"~","%7E"),"*","%2A"),"?","%3F"),'Rules'!$G$7:$G$26,0))),"Unit mismatch",IF(IF(NOT(ISNUMBER(D756)),TRUE,OR(D756&lt;0,D756&gt;999999999,ROUND(D756,3)&lt;&gt;D756)),"Invalid current reading",IF(AND(E756&lt;&gt;"",IF(NOT(ISNUMBER(E756)),TRUE,OR(E756&lt;0,E756&gt;999999999,ROUND(E756,3)&lt;&gt;E756))),"Invalid previous reading",IF(IF(NOT(ISNUMBER(F756)),TRUE,OR(F756&lt;0,F756&gt;999999999,ROUND(F756,3)&lt;&gt;F756)),"Invalid last service",IF(AND(E756&lt;&gt;"",D756&lt;E756),"Decreased reading",IF(F756&gt;D756,"Last service above current","")))))))))))))</x:f>
      </x:c>
      <x:c r="L756" s="6" t="str">
        <x:f>IF(AND(NOT(COUNTA(A756:F756)=0),K756=""),INDEX('Rules'!$C$7:$C$26,MATCH(SUBSTITUTE(SUBSTITUTE(SUBSTITUTE(SUBSTITUTE("type:"&amp;B756,"%","%25"),"~","%7E"),"*","%2A"),"?","%3F"),'Rules'!$G$7:$G$26,0)),"")</x:f>
      </x:c>
      <x:c r="M756" s="6" t="str">
        <x:f>IF(AND(NOT(COUNTA(A756:F756)=0),K756=""),INDEX('Rules'!$D$7:$D$26,MATCH(SUBSTITUTE(SUBSTITUTE(SUBSTITUTE(SUBSTITUTE("type:"&amp;B756,"%","%25"),"~","%7E"),"*","%2A"),"?","%3F"),'Rules'!$G$7:$G$26,0)),"")</x:f>
      </x:c>
      <x:c r="N756" s="5" t="str">
        <x:f>IF(COUNTA(A756:F756)=0,"",SUBSTITUTE(SUBSTITUTE(SUBSTITUTE(SUBSTITUTE("id:"&amp;A756,"%","%25"),"~","%7E"),"*","%2A"),"?","%3F"))</x:f>
      </x:c>
    </x:row>
    <x:row r="757" ht="22" customHeight="1">
      <x:c r="A757" s="3"/>
      <x:c r="B757" s="3"/>
      <x:c r="C757" s="3"/>
      <x:c r="D757" s="4"/>
      <x:c r="E757" s="4"/>
      <x:c r="F757" s="4"/>
      <x:c r="G757" s="5" t="str">
        <x:f>IF(COUNTA(A757:F757)=0,"",IF(K757&lt;&gt;"","Review",IF(I757&lt;0,"Overdue",IF(I757=0,"Due now",IF(I757&lt;=M757,"Due soon","Not due")))))</x:f>
      </x:c>
      <x:c r="H757" s="5" t="str">
        <x:f>IF(OR(COUNTA(A757:F757)=0,COUNTIFS('Rules'!$G$7:$G$26,"="&amp;(SUBSTITUTE(SUBSTITUTE(SUBSTITUTE(SUBSTITUTE("type:"&amp;B757,"%","%25"),"~","%7E"),"*","%2A"),"?","%3F")))&lt;&gt;1),"",IF(OR(INDEX('Rules'!$B$7:$B$26,MATCH(SUBSTITUTE(SUBSTITUTE(SUBSTITUTE(SUBSTITUTE("type:"&amp;B757,"%","%25"),"~","%7E"),"*","%2A"),"?","%3F"),'Rules'!$G$7:$G$26,0))="hours",INDEX('Rules'!$B$7:$B$26,MATCH(SUBSTITUTE(SUBSTITUTE(SUBSTITUTE(SUBSTITUTE("type:"&amp;B757,"%","%25"),"~","%7E"),"*","%2A"),"?","%3F"),'Rules'!$G$7:$G$26,0))="km"),INDEX('Rules'!$B$7:$B$26,MATCH(SUBSTITUTE(SUBSTITUTE(SUBSTITUTE(SUBSTITUTE("type:"&amp;B757,"%","%25"),"~","%7E"),"*","%2A"),"?","%3F"),'Rules'!$G$7:$G$26,0)),""))</x:f>
      </x:c>
      <x:c r="I757" s="6" t="str">
        <x:f>IF(AND(NOT(COUNTA(A757:F757)=0),K757=""),ROUND(J757-D757,3),"")</x:f>
      </x:c>
      <x:c r="J757" s="6" t="str">
        <x:f>IF(AND(NOT(COUNTA(A757:F757)=0),K757=""),ROUND(F757+L757,3),"")</x:f>
      </x:c>
      <x:c r="K757" s="5" t="str">
        <x:f>IF(COUNTA(A757:F757)=0,"",IF(A757="","Missing equipment ID",IF(COUNTIFS($N$8:$N$2007,"="&amp;N757)&gt;1,"Duplicate equipment ID",IF(B757="","Missing type",IF(COUNTIFS('Rules'!$G$7:$G$26,"="&amp;(SUBSTITUTE(SUBSTITUTE(SUBSTITUTE(SUBSTITUTE("type:"&amp;B757,"%","%25"),"~","%7E"),"*","%2A"),"?","%3F")))=0,"Unknown type",IF(COUNTIFS('Rules'!$G$7:$G$26,"="&amp;(SUBSTITUTE(SUBSTITUTE(SUBSTITUTE(SUBSTITUTE("type:"&amp;B757,"%","%25"),"~","%7E"),"*","%2A"),"?","%3F")))&gt;1,"Duplicate type",IF(INDEX('Rules'!$F$7:$F$26,MATCH(SUBSTITUTE(SUBSTITUTE(SUBSTITUTE(SUBSTITUTE("type:"&amp;B757,"%","%25"),"~","%7E"),"*","%2A"),"?","%3F"),'Rules'!$G$7:$G$26,0))&lt;&gt;"",INDEX('Rules'!$F$7:$F$26,MATCH(SUBSTITUTE(SUBSTITUTE(SUBSTITUTE(SUBSTITUTE("type:"&amp;B757,"%","%25"),"~","%7E"),"*","%2A"),"?","%3F"),'Rules'!$G$7:$G$26,0)),IF(AND(C757&lt;&gt;"",C757&lt;&gt;INDEX('Rules'!$B$7:$B$26,MATCH(SUBSTITUTE(SUBSTITUTE(SUBSTITUTE(SUBSTITUTE("type:"&amp;B757,"%","%25"),"~","%7E"),"*","%2A"),"?","%3F"),'Rules'!$G$7:$G$26,0))),"Unit mismatch",IF(IF(NOT(ISNUMBER(D757)),TRUE,OR(D757&lt;0,D757&gt;999999999,ROUND(D757,3)&lt;&gt;D757)),"Invalid current reading",IF(AND(E757&lt;&gt;"",IF(NOT(ISNUMBER(E757)),TRUE,OR(E757&lt;0,E757&gt;999999999,ROUND(E757,3)&lt;&gt;E757))),"Invalid previous reading",IF(IF(NOT(ISNUMBER(F757)),TRUE,OR(F757&lt;0,F757&gt;999999999,ROUND(F757,3)&lt;&gt;F757)),"Invalid last service",IF(AND(E757&lt;&gt;"",D757&lt;E757),"Decreased reading",IF(F757&gt;D757,"Last service above current","")))))))))))))</x:f>
      </x:c>
      <x:c r="L757" s="6" t="str">
        <x:f>IF(AND(NOT(COUNTA(A757:F757)=0),K757=""),INDEX('Rules'!$C$7:$C$26,MATCH(SUBSTITUTE(SUBSTITUTE(SUBSTITUTE(SUBSTITUTE("type:"&amp;B757,"%","%25"),"~","%7E"),"*","%2A"),"?","%3F"),'Rules'!$G$7:$G$26,0)),"")</x:f>
      </x:c>
      <x:c r="M757" s="6" t="str">
        <x:f>IF(AND(NOT(COUNTA(A757:F757)=0),K757=""),INDEX('Rules'!$D$7:$D$26,MATCH(SUBSTITUTE(SUBSTITUTE(SUBSTITUTE(SUBSTITUTE("type:"&amp;B757,"%","%25"),"~","%7E"),"*","%2A"),"?","%3F"),'Rules'!$G$7:$G$26,0)),"")</x:f>
      </x:c>
      <x:c r="N757" s="5" t="str">
        <x:f>IF(COUNTA(A757:F757)=0,"",SUBSTITUTE(SUBSTITUTE(SUBSTITUTE(SUBSTITUTE("id:"&amp;A757,"%","%25"),"~","%7E"),"*","%2A"),"?","%3F"))</x:f>
      </x:c>
    </x:row>
    <x:row r="758" ht="22" customHeight="1">
      <x:c r="A758" s="3"/>
      <x:c r="B758" s="3"/>
      <x:c r="C758" s="3"/>
      <x:c r="D758" s="4"/>
      <x:c r="E758" s="4"/>
      <x:c r="F758" s="4"/>
      <x:c r="G758" s="5" t="str">
        <x:f>IF(COUNTA(A758:F758)=0,"",IF(K758&lt;&gt;"","Review",IF(I758&lt;0,"Overdue",IF(I758=0,"Due now",IF(I758&lt;=M758,"Due soon","Not due")))))</x:f>
      </x:c>
      <x:c r="H758" s="5" t="str">
        <x:f>IF(OR(COUNTA(A758:F758)=0,COUNTIFS('Rules'!$G$7:$G$26,"="&amp;(SUBSTITUTE(SUBSTITUTE(SUBSTITUTE(SUBSTITUTE("type:"&amp;B758,"%","%25"),"~","%7E"),"*","%2A"),"?","%3F")))&lt;&gt;1),"",IF(OR(INDEX('Rules'!$B$7:$B$26,MATCH(SUBSTITUTE(SUBSTITUTE(SUBSTITUTE(SUBSTITUTE("type:"&amp;B758,"%","%25"),"~","%7E"),"*","%2A"),"?","%3F"),'Rules'!$G$7:$G$26,0))="hours",INDEX('Rules'!$B$7:$B$26,MATCH(SUBSTITUTE(SUBSTITUTE(SUBSTITUTE(SUBSTITUTE("type:"&amp;B758,"%","%25"),"~","%7E"),"*","%2A"),"?","%3F"),'Rules'!$G$7:$G$26,0))="km"),INDEX('Rules'!$B$7:$B$26,MATCH(SUBSTITUTE(SUBSTITUTE(SUBSTITUTE(SUBSTITUTE("type:"&amp;B758,"%","%25"),"~","%7E"),"*","%2A"),"?","%3F"),'Rules'!$G$7:$G$26,0)),""))</x:f>
      </x:c>
      <x:c r="I758" s="6" t="str">
        <x:f>IF(AND(NOT(COUNTA(A758:F758)=0),K758=""),ROUND(J758-D758,3),"")</x:f>
      </x:c>
      <x:c r="J758" s="6" t="str">
        <x:f>IF(AND(NOT(COUNTA(A758:F758)=0),K758=""),ROUND(F758+L758,3),"")</x:f>
      </x:c>
      <x:c r="K758" s="5" t="str">
        <x:f>IF(COUNTA(A758:F758)=0,"",IF(A758="","Missing equipment ID",IF(COUNTIFS($N$8:$N$2007,"="&amp;N758)&gt;1,"Duplicate equipment ID",IF(B758="","Missing type",IF(COUNTIFS('Rules'!$G$7:$G$26,"="&amp;(SUBSTITUTE(SUBSTITUTE(SUBSTITUTE(SUBSTITUTE("type:"&amp;B758,"%","%25"),"~","%7E"),"*","%2A"),"?","%3F")))=0,"Unknown type",IF(COUNTIFS('Rules'!$G$7:$G$26,"="&amp;(SUBSTITUTE(SUBSTITUTE(SUBSTITUTE(SUBSTITUTE("type:"&amp;B758,"%","%25"),"~","%7E"),"*","%2A"),"?","%3F")))&gt;1,"Duplicate type",IF(INDEX('Rules'!$F$7:$F$26,MATCH(SUBSTITUTE(SUBSTITUTE(SUBSTITUTE(SUBSTITUTE("type:"&amp;B758,"%","%25"),"~","%7E"),"*","%2A"),"?","%3F"),'Rules'!$G$7:$G$26,0))&lt;&gt;"",INDEX('Rules'!$F$7:$F$26,MATCH(SUBSTITUTE(SUBSTITUTE(SUBSTITUTE(SUBSTITUTE("type:"&amp;B758,"%","%25"),"~","%7E"),"*","%2A"),"?","%3F"),'Rules'!$G$7:$G$26,0)),IF(AND(C758&lt;&gt;"",C758&lt;&gt;INDEX('Rules'!$B$7:$B$26,MATCH(SUBSTITUTE(SUBSTITUTE(SUBSTITUTE(SUBSTITUTE("type:"&amp;B758,"%","%25"),"~","%7E"),"*","%2A"),"?","%3F"),'Rules'!$G$7:$G$26,0))),"Unit mismatch",IF(IF(NOT(ISNUMBER(D758)),TRUE,OR(D758&lt;0,D758&gt;999999999,ROUND(D758,3)&lt;&gt;D758)),"Invalid current reading",IF(AND(E758&lt;&gt;"",IF(NOT(ISNUMBER(E758)),TRUE,OR(E758&lt;0,E758&gt;999999999,ROUND(E758,3)&lt;&gt;E758))),"Invalid previous reading",IF(IF(NOT(ISNUMBER(F758)),TRUE,OR(F758&lt;0,F758&gt;999999999,ROUND(F758,3)&lt;&gt;F758)),"Invalid last service",IF(AND(E758&lt;&gt;"",D758&lt;E758),"Decreased reading",IF(F758&gt;D758,"Last service above current","")))))))))))))</x:f>
      </x:c>
      <x:c r="L758" s="6" t="str">
        <x:f>IF(AND(NOT(COUNTA(A758:F758)=0),K758=""),INDEX('Rules'!$C$7:$C$26,MATCH(SUBSTITUTE(SUBSTITUTE(SUBSTITUTE(SUBSTITUTE("type:"&amp;B758,"%","%25"),"~","%7E"),"*","%2A"),"?","%3F"),'Rules'!$G$7:$G$26,0)),"")</x:f>
      </x:c>
      <x:c r="M758" s="6" t="str">
        <x:f>IF(AND(NOT(COUNTA(A758:F758)=0),K758=""),INDEX('Rules'!$D$7:$D$26,MATCH(SUBSTITUTE(SUBSTITUTE(SUBSTITUTE(SUBSTITUTE("type:"&amp;B758,"%","%25"),"~","%7E"),"*","%2A"),"?","%3F"),'Rules'!$G$7:$G$26,0)),"")</x:f>
      </x:c>
      <x:c r="N758" s="5" t="str">
        <x:f>IF(COUNTA(A758:F758)=0,"",SUBSTITUTE(SUBSTITUTE(SUBSTITUTE(SUBSTITUTE("id:"&amp;A758,"%","%25"),"~","%7E"),"*","%2A"),"?","%3F"))</x:f>
      </x:c>
    </x:row>
    <x:row r="759" ht="22" customHeight="1">
      <x:c r="A759" s="3"/>
      <x:c r="B759" s="3"/>
      <x:c r="C759" s="3"/>
      <x:c r="D759" s="4"/>
      <x:c r="E759" s="4"/>
      <x:c r="F759" s="4"/>
      <x:c r="G759" s="5" t="str">
        <x:f>IF(COUNTA(A759:F759)=0,"",IF(K759&lt;&gt;"","Review",IF(I759&lt;0,"Overdue",IF(I759=0,"Due now",IF(I759&lt;=M759,"Due soon","Not due")))))</x:f>
      </x:c>
      <x:c r="H759" s="5" t="str">
        <x:f>IF(OR(COUNTA(A759:F759)=0,COUNTIFS('Rules'!$G$7:$G$26,"="&amp;(SUBSTITUTE(SUBSTITUTE(SUBSTITUTE(SUBSTITUTE("type:"&amp;B759,"%","%25"),"~","%7E"),"*","%2A"),"?","%3F")))&lt;&gt;1),"",IF(OR(INDEX('Rules'!$B$7:$B$26,MATCH(SUBSTITUTE(SUBSTITUTE(SUBSTITUTE(SUBSTITUTE("type:"&amp;B759,"%","%25"),"~","%7E"),"*","%2A"),"?","%3F"),'Rules'!$G$7:$G$26,0))="hours",INDEX('Rules'!$B$7:$B$26,MATCH(SUBSTITUTE(SUBSTITUTE(SUBSTITUTE(SUBSTITUTE("type:"&amp;B759,"%","%25"),"~","%7E"),"*","%2A"),"?","%3F"),'Rules'!$G$7:$G$26,0))="km"),INDEX('Rules'!$B$7:$B$26,MATCH(SUBSTITUTE(SUBSTITUTE(SUBSTITUTE(SUBSTITUTE("type:"&amp;B759,"%","%25"),"~","%7E"),"*","%2A"),"?","%3F"),'Rules'!$G$7:$G$26,0)),""))</x:f>
      </x:c>
      <x:c r="I759" s="6" t="str">
        <x:f>IF(AND(NOT(COUNTA(A759:F759)=0),K759=""),ROUND(J759-D759,3),"")</x:f>
      </x:c>
      <x:c r="J759" s="6" t="str">
        <x:f>IF(AND(NOT(COUNTA(A759:F759)=0),K759=""),ROUND(F759+L759,3),"")</x:f>
      </x:c>
      <x:c r="K759" s="5" t="str">
        <x:f>IF(COUNTA(A759:F759)=0,"",IF(A759="","Missing equipment ID",IF(COUNTIFS($N$8:$N$2007,"="&amp;N759)&gt;1,"Duplicate equipment ID",IF(B759="","Missing type",IF(COUNTIFS('Rules'!$G$7:$G$26,"="&amp;(SUBSTITUTE(SUBSTITUTE(SUBSTITUTE(SUBSTITUTE("type:"&amp;B759,"%","%25"),"~","%7E"),"*","%2A"),"?","%3F")))=0,"Unknown type",IF(COUNTIFS('Rules'!$G$7:$G$26,"="&amp;(SUBSTITUTE(SUBSTITUTE(SUBSTITUTE(SUBSTITUTE("type:"&amp;B759,"%","%25"),"~","%7E"),"*","%2A"),"?","%3F")))&gt;1,"Duplicate type",IF(INDEX('Rules'!$F$7:$F$26,MATCH(SUBSTITUTE(SUBSTITUTE(SUBSTITUTE(SUBSTITUTE("type:"&amp;B759,"%","%25"),"~","%7E"),"*","%2A"),"?","%3F"),'Rules'!$G$7:$G$26,0))&lt;&gt;"",INDEX('Rules'!$F$7:$F$26,MATCH(SUBSTITUTE(SUBSTITUTE(SUBSTITUTE(SUBSTITUTE("type:"&amp;B759,"%","%25"),"~","%7E"),"*","%2A"),"?","%3F"),'Rules'!$G$7:$G$26,0)),IF(AND(C759&lt;&gt;"",C759&lt;&gt;INDEX('Rules'!$B$7:$B$26,MATCH(SUBSTITUTE(SUBSTITUTE(SUBSTITUTE(SUBSTITUTE("type:"&amp;B759,"%","%25"),"~","%7E"),"*","%2A"),"?","%3F"),'Rules'!$G$7:$G$26,0))),"Unit mismatch",IF(IF(NOT(ISNUMBER(D759)),TRUE,OR(D759&lt;0,D759&gt;999999999,ROUND(D759,3)&lt;&gt;D759)),"Invalid current reading",IF(AND(E759&lt;&gt;"",IF(NOT(ISNUMBER(E759)),TRUE,OR(E759&lt;0,E759&gt;999999999,ROUND(E759,3)&lt;&gt;E759))),"Invalid previous reading",IF(IF(NOT(ISNUMBER(F759)),TRUE,OR(F759&lt;0,F759&gt;999999999,ROUND(F759,3)&lt;&gt;F759)),"Invalid last service",IF(AND(E759&lt;&gt;"",D759&lt;E759),"Decreased reading",IF(F759&gt;D759,"Last service above current","")))))))))))))</x:f>
      </x:c>
      <x:c r="L759" s="6" t="str">
        <x:f>IF(AND(NOT(COUNTA(A759:F759)=0),K759=""),INDEX('Rules'!$C$7:$C$26,MATCH(SUBSTITUTE(SUBSTITUTE(SUBSTITUTE(SUBSTITUTE("type:"&amp;B759,"%","%25"),"~","%7E"),"*","%2A"),"?","%3F"),'Rules'!$G$7:$G$26,0)),"")</x:f>
      </x:c>
      <x:c r="M759" s="6" t="str">
        <x:f>IF(AND(NOT(COUNTA(A759:F759)=0),K759=""),INDEX('Rules'!$D$7:$D$26,MATCH(SUBSTITUTE(SUBSTITUTE(SUBSTITUTE(SUBSTITUTE("type:"&amp;B759,"%","%25"),"~","%7E"),"*","%2A"),"?","%3F"),'Rules'!$G$7:$G$26,0)),"")</x:f>
      </x:c>
      <x:c r="N759" s="5" t="str">
        <x:f>IF(COUNTA(A759:F759)=0,"",SUBSTITUTE(SUBSTITUTE(SUBSTITUTE(SUBSTITUTE("id:"&amp;A759,"%","%25"),"~","%7E"),"*","%2A"),"?","%3F"))</x:f>
      </x:c>
    </x:row>
    <x:row r="760" ht="22" customHeight="1">
      <x:c r="A760" s="3"/>
      <x:c r="B760" s="3"/>
      <x:c r="C760" s="3"/>
      <x:c r="D760" s="4"/>
      <x:c r="E760" s="4"/>
      <x:c r="F760" s="4"/>
      <x:c r="G760" s="5" t="str">
        <x:f>IF(COUNTA(A760:F760)=0,"",IF(K760&lt;&gt;"","Review",IF(I760&lt;0,"Overdue",IF(I760=0,"Due now",IF(I760&lt;=M760,"Due soon","Not due")))))</x:f>
      </x:c>
      <x:c r="H760" s="5" t="str">
        <x:f>IF(OR(COUNTA(A760:F760)=0,COUNTIFS('Rules'!$G$7:$G$26,"="&amp;(SUBSTITUTE(SUBSTITUTE(SUBSTITUTE(SUBSTITUTE("type:"&amp;B760,"%","%25"),"~","%7E"),"*","%2A"),"?","%3F")))&lt;&gt;1),"",IF(OR(INDEX('Rules'!$B$7:$B$26,MATCH(SUBSTITUTE(SUBSTITUTE(SUBSTITUTE(SUBSTITUTE("type:"&amp;B760,"%","%25"),"~","%7E"),"*","%2A"),"?","%3F"),'Rules'!$G$7:$G$26,0))="hours",INDEX('Rules'!$B$7:$B$26,MATCH(SUBSTITUTE(SUBSTITUTE(SUBSTITUTE(SUBSTITUTE("type:"&amp;B760,"%","%25"),"~","%7E"),"*","%2A"),"?","%3F"),'Rules'!$G$7:$G$26,0))="km"),INDEX('Rules'!$B$7:$B$26,MATCH(SUBSTITUTE(SUBSTITUTE(SUBSTITUTE(SUBSTITUTE("type:"&amp;B760,"%","%25"),"~","%7E"),"*","%2A"),"?","%3F"),'Rules'!$G$7:$G$26,0)),""))</x:f>
      </x:c>
      <x:c r="I760" s="6" t="str">
        <x:f>IF(AND(NOT(COUNTA(A760:F760)=0),K760=""),ROUND(J760-D760,3),"")</x:f>
      </x:c>
      <x:c r="J760" s="6" t="str">
        <x:f>IF(AND(NOT(COUNTA(A760:F760)=0),K760=""),ROUND(F760+L760,3),"")</x:f>
      </x:c>
      <x:c r="K760" s="5" t="str">
        <x:f>IF(COUNTA(A760:F760)=0,"",IF(A760="","Missing equipment ID",IF(COUNTIFS($N$8:$N$2007,"="&amp;N760)&gt;1,"Duplicate equipment ID",IF(B760="","Missing type",IF(COUNTIFS('Rules'!$G$7:$G$26,"="&amp;(SUBSTITUTE(SUBSTITUTE(SUBSTITUTE(SUBSTITUTE("type:"&amp;B760,"%","%25"),"~","%7E"),"*","%2A"),"?","%3F")))=0,"Unknown type",IF(COUNTIFS('Rules'!$G$7:$G$26,"="&amp;(SUBSTITUTE(SUBSTITUTE(SUBSTITUTE(SUBSTITUTE("type:"&amp;B760,"%","%25"),"~","%7E"),"*","%2A"),"?","%3F")))&gt;1,"Duplicate type",IF(INDEX('Rules'!$F$7:$F$26,MATCH(SUBSTITUTE(SUBSTITUTE(SUBSTITUTE(SUBSTITUTE("type:"&amp;B760,"%","%25"),"~","%7E"),"*","%2A"),"?","%3F"),'Rules'!$G$7:$G$26,0))&lt;&gt;"",INDEX('Rules'!$F$7:$F$26,MATCH(SUBSTITUTE(SUBSTITUTE(SUBSTITUTE(SUBSTITUTE("type:"&amp;B760,"%","%25"),"~","%7E"),"*","%2A"),"?","%3F"),'Rules'!$G$7:$G$26,0)),IF(AND(C760&lt;&gt;"",C760&lt;&gt;INDEX('Rules'!$B$7:$B$26,MATCH(SUBSTITUTE(SUBSTITUTE(SUBSTITUTE(SUBSTITUTE("type:"&amp;B760,"%","%25"),"~","%7E"),"*","%2A"),"?","%3F"),'Rules'!$G$7:$G$26,0))),"Unit mismatch",IF(IF(NOT(ISNUMBER(D760)),TRUE,OR(D760&lt;0,D760&gt;999999999,ROUND(D760,3)&lt;&gt;D760)),"Invalid current reading",IF(AND(E760&lt;&gt;"",IF(NOT(ISNUMBER(E760)),TRUE,OR(E760&lt;0,E760&gt;999999999,ROUND(E760,3)&lt;&gt;E760))),"Invalid previous reading",IF(IF(NOT(ISNUMBER(F760)),TRUE,OR(F760&lt;0,F760&gt;999999999,ROUND(F760,3)&lt;&gt;F760)),"Invalid last service",IF(AND(E760&lt;&gt;"",D760&lt;E760),"Decreased reading",IF(F760&gt;D760,"Last service above current","")))))))))))))</x:f>
      </x:c>
      <x:c r="L760" s="6" t="str">
        <x:f>IF(AND(NOT(COUNTA(A760:F760)=0),K760=""),INDEX('Rules'!$C$7:$C$26,MATCH(SUBSTITUTE(SUBSTITUTE(SUBSTITUTE(SUBSTITUTE("type:"&amp;B760,"%","%25"),"~","%7E"),"*","%2A"),"?","%3F"),'Rules'!$G$7:$G$26,0)),"")</x:f>
      </x:c>
      <x:c r="M760" s="6" t="str">
        <x:f>IF(AND(NOT(COUNTA(A760:F760)=0),K760=""),INDEX('Rules'!$D$7:$D$26,MATCH(SUBSTITUTE(SUBSTITUTE(SUBSTITUTE(SUBSTITUTE("type:"&amp;B760,"%","%25"),"~","%7E"),"*","%2A"),"?","%3F"),'Rules'!$G$7:$G$26,0)),"")</x:f>
      </x:c>
      <x:c r="N760" s="5" t="str">
        <x:f>IF(COUNTA(A760:F760)=0,"",SUBSTITUTE(SUBSTITUTE(SUBSTITUTE(SUBSTITUTE("id:"&amp;A760,"%","%25"),"~","%7E"),"*","%2A"),"?","%3F"))</x:f>
      </x:c>
    </x:row>
    <x:row r="761" ht="22" customHeight="1">
      <x:c r="A761" s="3"/>
      <x:c r="B761" s="3"/>
      <x:c r="C761" s="3"/>
      <x:c r="D761" s="4"/>
      <x:c r="E761" s="4"/>
      <x:c r="F761" s="4"/>
      <x:c r="G761" s="5" t="str">
        <x:f>IF(COUNTA(A761:F761)=0,"",IF(K761&lt;&gt;"","Review",IF(I761&lt;0,"Overdue",IF(I761=0,"Due now",IF(I761&lt;=M761,"Due soon","Not due")))))</x:f>
      </x:c>
      <x:c r="H761" s="5" t="str">
        <x:f>IF(OR(COUNTA(A761:F761)=0,COUNTIFS('Rules'!$G$7:$G$26,"="&amp;(SUBSTITUTE(SUBSTITUTE(SUBSTITUTE(SUBSTITUTE("type:"&amp;B761,"%","%25"),"~","%7E"),"*","%2A"),"?","%3F")))&lt;&gt;1),"",IF(OR(INDEX('Rules'!$B$7:$B$26,MATCH(SUBSTITUTE(SUBSTITUTE(SUBSTITUTE(SUBSTITUTE("type:"&amp;B761,"%","%25"),"~","%7E"),"*","%2A"),"?","%3F"),'Rules'!$G$7:$G$26,0))="hours",INDEX('Rules'!$B$7:$B$26,MATCH(SUBSTITUTE(SUBSTITUTE(SUBSTITUTE(SUBSTITUTE("type:"&amp;B761,"%","%25"),"~","%7E"),"*","%2A"),"?","%3F"),'Rules'!$G$7:$G$26,0))="km"),INDEX('Rules'!$B$7:$B$26,MATCH(SUBSTITUTE(SUBSTITUTE(SUBSTITUTE(SUBSTITUTE("type:"&amp;B761,"%","%25"),"~","%7E"),"*","%2A"),"?","%3F"),'Rules'!$G$7:$G$26,0)),""))</x:f>
      </x:c>
      <x:c r="I761" s="6" t="str">
        <x:f>IF(AND(NOT(COUNTA(A761:F761)=0),K761=""),ROUND(J761-D761,3),"")</x:f>
      </x:c>
      <x:c r="J761" s="6" t="str">
        <x:f>IF(AND(NOT(COUNTA(A761:F761)=0),K761=""),ROUND(F761+L761,3),"")</x:f>
      </x:c>
      <x:c r="K761" s="5" t="str">
        <x:f>IF(COUNTA(A761:F761)=0,"",IF(A761="","Missing equipment ID",IF(COUNTIFS($N$8:$N$2007,"="&amp;N761)&gt;1,"Duplicate equipment ID",IF(B761="","Missing type",IF(COUNTIFS('Rules'!$G$7:$G$26,"="&amp;(SUBSTITUTE(SUBSTITUTE(SUBSTITUTE(SUBSTITUTE("type:"&amp;B761,"%","%25"),"~","%7E"),"*","%2A"),"?","%3F")))=0,"Unknown type",IF(COUNTIFS('Rules'!$G$7:$G$26,"="&amp;(SUBSTITUTE(SUBSTITUTE(SUBSTITUTE(SUBSTITUTE("type:"&amp;B761,"%","%25"),"~","%7E"),"*","%2A"),"?","%3F")))&gt;1,"Duplicate type",IF(INDEX('Rules'!$F$7:$F$26,MATCH(SUBSTITUTE(SUBSTITUTE(SUBSTITUTE(SUBSTITUTE("type:"&amp;B761,"%","%25"),"~","%7E"),"*","%2A"),"?","%3F"),'Rules'!$G$7:$G$26,0))&lt;&gt;"",INDEX('Rules'!$F$7:$F$26,MATCH(SUBSTITUTE(SUBSTITUTE(SUBSTITUTE(SUBSTITUTE("type:"&amp;B761,"%","%25"),"~","%7E"),"*","%2A"),"?","%3F"),'Rules'!$G$7:$G$26,0)),IF(AND(C761&lt;&gt;"",C761&lt;&gt;INDEX('Rules'!$B$7:$B$26,MATCH(SUBSTITUTE(SUBSTITUTE(SUBSTITUTE(SUBSTITUTE("type:"&amp;B761,"%","%25"),"~","%7E"),"*","%2A"),"?","%3F"),'Rules'!$G$7:$G$26,0))),"Unit mismatch",IF(IF(NOT(ISNUMBER(D761)),TRUE,OR(D761&lt;0,D761&gt;999999999,ROUND(D761,3)&lt;&gt;D761)),"Invalid current reading",IF(AND(E761&lt;&gt;"",IF(NOT(ISNUMBER(E761)),TRUE,OR(E761&lt;0,E761&gt;999999999,ROUND(E761,3)&lt;&gt;E761))),"Invalid previous reading",IF(IF(NOT(ISNUMBER(F761)),TRUE,OR(F761&lt;0,F761&gt;999999999,ROUND(F761,3)&lt;&gt;F761)),"Invalid last service",IF(AND(E761&lt;&gt;"",D761&lt;E761),"Decreased reading",IF(F761&gt;D761,"Last service above current","")))))))))))))</x:f>
      </x:c>
      <x:c r="L761" s="6" t="str">
        <x:f>IF(AND(NOT(COUNTA(A761:F761)=0),K761=""),INDEX('Rules'!$C$7:$C$26,MATCH(SUBSTITUTE(SUBSTITUTE(SUBSTITUTE(SUBSTITUTE("type:"&amp;B761,"%","%25"),"~","%7E"),"*","%2A"),"?","%3F"),'Rules'!$G$7:$G$26,0)),"")</x:f>
      </x:c>
      <x:c r="M761" s="6" t="str">
        <x:f>IF(AND(NOT(COUNTA(A761:F761)=0),K761=""),INDEX('Rules'!$D$7:$D$26,MATCH(SUBSTITUTE(SUBSTITUTE(SUBSTITUTE(SUBSTITUTE("type:"&amp;B761,"%","%25"),"~","%7E"),"*","%2A"),"?","%3F"),'Rules'!$G$7:$G$26,0)),"")</x:f>
      </x:c>
      <x:c r="N761" s="5" t="str">
        <x:f>IF(COUNTA(A761:F761)=0,"",SUBSTITUTE(SUBSTITUTE(SUBSTITUTE(SUBSTITUTE("id:"&amp;A761,"%","%25"),"~","%7E"),"*","%2A"),"?","%3F"))</x:f>
      </x:c>
    </x:row>
    <x:row r="762" ht="22" customHeight="1">
      <x:c r="A762" s="3"/>
      <x:c r="B762" s="3"/>
      <x:c r="C762" s="3"/>
      <x:c r="D762" s="4"/>
      <x:c r="E762" s="4"/>
      <x:c r="F762" s="4"/>
      <x:c r="G762" s="5" t="str">
        <x:f>IF(COUNTA(A762:F762)=0,"",IF(K762&lt;&gt;"","Review",IF(I762&lt;0,"Overdue",IF(I762=0,"Due now",IF(I762&lt;=M762,"Due soon","Not due")))))</x:f>
      </x:c>
      <x:c r="H762" s="5" t="str">
        <x:f>IF(OR(COUNTA(A762:F762)=0,COUNTIFS('Rules'!$G$7:$G$26,"="&amp;(SUBSTITUTE(SUBSTITUTE(SUBSTITUTE(SUBSTITUTE("type:"&amp;B762,"%","%25"),"~","%7E"),"*","%2A"),"?","%3F")))&lt;&gt;1),"",IF(OR(INDEX('Rules'!$B$7:$B$26,MATCH(SUBSTITUTE(SUBSTITUTE(SUBSTITUTE(SUBSTITUTE("type:"&amp;B762,"%","%25"),"~","%7E"),"*","%2A"),"?","%3F"),'Rules'!$G$7:$G$26,0))="hours",INDEX('Rules'!$B$7:$B$26,MATCH(SUBSTITUTE(SUBSTITUTE(SUBSTITUTE(SUBSTITUTE("type:"&amp;B762,"%","%25"),"~","%7E"),"*","%2A"),"?","%3F"),'Rules'!$G$7:$G$26,0))="km"),INDEX('Rules'!$B$7:$B$26,MATCH(SUBSTITUTE(SUBSTITUTE(SUBSTITUTE(SUBSTITUTE("type:"&amp;B762,"%","%25"),"~","%7E"),"*","%2A"),"?","%3F"),'Rules'!$G$7:$G$26,0)),""))</x:f>
      </x:c>
      <x:c r="I762" s="6" t="str">
        <x:f>IF(AND(NOT(COUNTA(A762:F762)=0),K762=""),ROUND(J762-D762,3),"")</x:f>
      </x:c>
      <x:c r="J762" s="6" t="str">
        <x:f>IF(AND(NOT(COUNTA(A762:F762)=0),K762=""),ROUND(F762+L762,3),"")</x:f>
      </x:c>
      <x:c r="K762" s="5" t="str">
        <x:f>IF(COUNTA(A762:F762)=0,"",IF(A762="","Missing equipment ID",IF(COUNTIFS($N$8:$N$2007,"="&amp;N762)&gt;1,"Duplicate equipment ID",IF(B762="","Missing type",IF(COUNTIFS('Rules'!$G$7:$G$26,"="&amp;(SUBSTITUTE(SUBSTITUTE(SUBSTITUTE(SUBSTITUTE("type:"&amp;B762,"%","%25"),"~","%7E"),"*","%2A"),"?","%3F")))=0,"Unknown type",IF(COUNTIFS('Rules'!$G$7:$G$26,"="&amp;(SUBSTITUTE(SUBSTITUTE(SUBSTITUTE(SUBSTITUTE("type:"&amp;B762,"%","%25"),"~","%7E"),"*","%2A"),"?","%3F")))&gt;1,"Duplicate type",IF(INDEX('Rules'!$F$7:$F$26,MATCH(SUBSTITUTE(SUBSTITUTE(SUBSTITUTE(SUBSTITUTE("type:"&amp;B762,"%","%25"),"~","%7E"),"*","%2A"),"?","%3F"),'Rules'!$G$7:$G$26,0))&lt;&gt;"",INDEX('Rules'!$F$7:$F$26,MATCH(SUBSTITUTE(SUBSTITUTE(SUBSTITUTE(SUBSTITUTE("type:"&amp;B762,"%","%25"),"~","%7E"),"*","%2A"),"?","%3F"),'Rules'!$G$7:$G$26,0)),IF(AND(C762&lt;&gt;"",C762&lt;&gt;INDEX('Rules'!$B$7:$B$26,MATCH(SUBSTITUTE(SUBSTITUTE(SUBSTITUTE(SUBSTITUTE("type:"&amp;B762,"%","%25"),"~","%7E"),"*","%2A"),"?","%3F"),'Rules'!$G$7:$G$26,0))),"Unit mismatch",IF(IF(NOT(ISNUMBER(D762)),TRUE,OR(D762&lt;0,D762&gt;999999999,ROUND(D762,3)&lt;&gt;D762)),"Invalid current reading",IF(AND(E762&lt;&gt;"",IF(NOT(ISNUMBER(E762)),TRUE,OR(E762&lt;0,E762&gt;999999999,ROUND(E762,3)&lt;&gt;E762))),"Invalid previous reading",IF(IF(NOT(ISNUMBER(F762)),TRUE,OR(F762&lt;0,F762&gt;999999999,ROUND(F762,3)&lt;&gt;F762)),"Invalid last service",IF(AND(E762&lt;&gt;"",D762&lt;E762),"Decreased reading",IF(F762&gt;D762,"Last service above current","")))))))))))))</x:f>
      </x:c>
      <x:c r="L762" s="6" t="str">
        <x:f>IF(AND(NOT(COUNTA(A762:F762)=0),K762=""),INDEX('Rules'!$C$7:$C$26,MATCH(SUBSTITUTE(SUBSTITUTE(SUBSTITUTE(SUBSTITUTE("type:"&amp;B762,"%","%25"),"~","%7E"),"*","%2A"),"?","%3F"),'Rules'!$G$7:$G$26,0)),"")</x:f>
      </x:c>
      <x:c r="M762" s="6" t="str">
        <x:f>IF(AND(NOT(COUNTA(A762:F762)=0),K762=""),INDEX('Rules'!$D$7:$D$26,MATCH(SUBSTITUTE(SUBSTITUTE(SUBSTITUTE(SUBSTITUTE("type:"&amp;B762,"%","%25"),"~","%7E"),"*","%2A"),"?","%3F"),'Rules'!$G$7:$G$26,0)),"")</x:f>
      </x:c>
      <x:c r="N762" s="5" t="str">
        <x:f>IF(COUNTA(A762:F762)=0,"",SUBSTITUTE(SUBSTITUTE(SUBSTITUTE(SUBSTITUTE("id:"&amp;A762,"%","%25"),"~","%7E"),"*","%2A"),"?","%3F"))</x:f>
      </x:c>
    </x:row>
    <x:row r="763" ht="22" customHeight="1">
      <x:c r="A763" s="3"/>
      <x:c r="B763" s="3"/>
      <x:c r="C763" s="3"/>
      <x:c r="D763" s="4"/>
      <x:c r="E763" s="4"/>
      <x:c r="F763" s="4"/>
      <x:c r="G763" s="5" t="str">
        <x:f>IF(COUNTA(A763:F763)=0,"",IF(K763&lt;&gt;"","Review",IF(I763&lt;0,"Overdue",IF(I763=0,"Due now",IF(I763&lt;=M763,"Due soon","Not due")))))</x:f>
      </x:c>
      <x:c r="H763" s="5" t="str">
        <x:f>IF(OR(COUNTA(A763:F763)=0,COUNTIFS('Rules'!$G$7:$G$26,"="&amp;(SUBSTITUTE(SUBSTITUTE(SUBSTITUTE(SUBSTITUTE("type:"&amp;B763,"%","%25"),"~","%7E"),"*","%2A"),"?","%3F")))&lt;&gt;1),"",IF(OR(INDEX('Rules'!$B$7:$B$26,MATCH(SUBSTITUTE(SUBSTITUTE(SUBSTITUTE(SUBSTITUTE("type:"&amp;B763,"%","%25"),"~","%7E"),"*","%2A"),"?","%3F"),'Rules'!$G$7:$G$26,0))="hours",INDEX('Rules'!$B$7:$B$26,MATCH(SUBSTITUTE(SUBSTITUTE(SUBSTITUTE(SUBSTITUTE("type:"&amp;B763,"%","%25"),"~","%7E"),"*","%2A"),"?","%3F"),'Rules'!$G$7:$G$26,0))="km"),INDEX('Rules'!$B$7:$B$26,MATCH(SUBSTITUTE(SUBSTITUTE(SUBSTITUTE(SUBSTITUTE("type:"&amp;B763,"%","%25"),"~","%7E"),"*","%2A"),"?","%3F"),'Rules'!$G$7:$G$26,0)),""))</x:f>
      </x:c>
      <x:c r="I763" s="6" t="str">
        <x:f>IF(AND(NOT(COUNTA(A763:F763)=0),K763=""),ROUND(J763-D763,3),"")</x:f>
      </x:c>
      <x:c r="J763" s="6" t="str">
        <x:f>IF(AND(NOT(COUNTA(A763:F763)=0),K763=""),ROUND(F763+L763,3),"")</x:f>
      </x:c>
      <x:c r="K763" s="5" t="str">
        <x:f>IF(COUNTA(A763:F763)=0,"",IF(A763="","Missing equipment ID",IF(COUNTIFS($N$8:$N$2007,"="&amp;N763)&gt;1,"Duplicate equipment ID",IF(B763="","Missing type",IF(COUNTIFS('Rules'!$G$7:$G$26,"="&amp;(SUBSTITUTE(SUBSTITUTE(SUBSTITUTE(SUBSTITUTE("type:"&amp;B763,"%","%25"),"~","%7E"),"*","%2A"),"?","%3F")))=0,"Unknown type",IF(COUNTIFS('Rules'!$G$7:$G$26,"="&amp;(SUBSTITUTE(SUBSTITUTE(SUBSTITUTE(SUBSTITUTE("type:"&amp;B763,"%","%25"),"~","%7E"),"*","%2A"),"?","%3F")))&gt;1,"Duplicate type",IF(INDEX('Rules'!$F$7:$F$26,MATCH(SUBSTITUTE(SUBSTITUTE(SUBSTITUTE(SUBSTITUTE("type:"&amp;B763,"%","%25"),"~","%7E"),"*","%2A"),"?","%3F"),'Rules'!$G$7:$G$26,0))&lt;&gt;"",INDEX('Rules'!$F$7:$F$26,MATCH(SUBSTITUTE(SUBSTITUTE(SUBSTITUTE(SUBSTITUTE("type:"&amp;B763,"%","%25"),"~","%7E"),"*","%2A"),"?","%3F"),'Rules'!$G$7:$G$26,0)),IF(AND(C763&lt;&gt;"",C763&lt;&gt;INDEX('Rules'!$B$7:$B$26,MATCH(SUBSTITUTE(SUBSTITUTE(SUBSTITUTE(SUBSTITUTE("type:"&amp;B763,"%","%25"),"~","%7E"),"*","%2A"),"?","%3F"),'Rules'!$G$7:$G$26,0))),"Unit mismatch",IF(IF(NOT(ISNUMBER(D763)),TRUE,OR(D763&lt;0,D763&gt;999999999,ROUND(D763,3)&lt;&gt;D763)),"Invalid current reading",IF(AND(E763&lt;&gt;"",IF(NOT(ISNUMBER(E763)),TRUE,OR(E763&lt;0,E763&gt;999999999,ROUND(E763,3)&lt;&gt;E763))),"Invalid previous reading",IF(IF(NOT(ISNUMBER(F763)),TRUE,OR(F763&lt;0,F763&gt;999999999,ROUND(F763,3)&lt;&gt;F763)),"Invalid last service",IF(AND(E763&lt;&gt;"",D763&lt;E763),"Decreased reading",IF(F763&gt;D763,"Last service above current","")))))))))))))</x:f>
      </x:c>
      <x:c r="L763" s="6" t="str">
        <x:f>IF(AND(NOT(COUNTA(A763:F763)=0),K763=""),INDEX('Rules'!$C$7:$C$26,MATCH(SUBSTITUTE(SUBSTITUTE(SUBSTITUTE(SUBSTITUTE("type:"&amp;B763,"%","%25"),"~","%7E"),"*","%2A"),"?","%3F"),'Rules'!$G$7:$G$26,0)),"")</x:f>
      </x:c>
      <x:c r="M763" s="6" t="str">
        <x:f>IF(AND(NOT(COUNTA(A763:F763)=0),K763=""),INDEX('Rules'!$D$7:$D$26,MATCH(SUBSTITUTE(SUBSTITUTE(SUBSTITUTE(SUBSTITUTE("type:"&amp;B763,"%","%25"),"~","%7E"),"*","%2A"),"?","%3F"),'Rules'!$G$7:$G$26,0)),"")</x:f>
      </x:c>
      <x:c r="N763" s="5" t="str">
        <x:f>IF(COUNTA(A763:F763)=0,"",SUBSTITUTE(SUBSTITUTE(SUBSTITUTE(SUBSTITUTE("id:"&amp;A763,"%","%25"),"~","%7E"),"*","%2A"),"?","%3F"))</x:f>
      </x:c>
    </x:row>
    <x:row r="764" ht="22" customHeight="1">
      <x:c r="A764" s="3"/>
      <x:c r="B764" s="3"/>
      <x:c r="C764" s="3"/>
      <x:c r="D764" s="4"/>
      <x:c r="E764" s="4"/>
      <x:c r="F764" s="4"/>
      <x:c r="G764" s="5" t="str">
        <x:f>IF(COUNTA(A764:F764)=0,"",IF(K764&lt;&gt;"","Review",IF(I764&lt;0,"Overdue",IF(I764=0,"Due now",IF(I764&lt;=M764,"Due soon","Not due")))))</x:f>
      </x:c>
      <x:c r="H764" s="5" t="str">
        <x:f>IF(OR(COUNTA(A764:F764)=0,COUNTIFS('Rules'!$G$7:$G$26,"="&amp;(SUBSTITUTE(SUBSTITUTE(SUBSTITUTE(SUBSTITUTE("type:"&amp;B764,"%","%25"),"~","%7E"),"*","%2A"),"?","%3F")))&lt;&gt;1),"",IF(OR(INDEX('Rules'!$B$7:$B$26,MATCH(SUBSTITUTE(SUBSTITUTE(SUBSTITUTE(SUBSTITUTE("type:"&amp;B764,"%","%25"),"~","%7E"),"*","%2A"),"?","%3F"),'Rules'!$G$7:$G$26,0))="hours",INDEX('Rules'!$B$7:$B$26,MATCH(SUBSTITUTE(SUBSTITUTE(SUBSTITUTE(SUBSTITUTE("type:"&amp;B764,"%","%25"),"~","%7E"),"*","%2A"),"?","%3F"),'Rules'!$G$7:$G$26,0))="km"),INDEX('Rules'!$B$7:$B$26,MATCH(SUBSTITUTE(SUBSTITUTE(SUBSTITUTE(SUBSTITUTE("type:"&amp;B764,"%","%25"),"~","%7E"),"*","%2A"),"?","%3F"),'Rules'!$G$7:$G$26,0)),""))</x:f>
      </x:c>
      <x:c r="I764" s="6" t="str">
        <x:f>IF(AND(NOT(COUNTA(A764:F764)=0),K764=""),ROUND(J764-D764,3),"")</x:f>
      </x:c>
      <x:c r="J764" s="6" t="str">
        <x:f>IF(AND(NOT(COUNTA(A764:F764)=0),K764=""),ROUND(F764+L764,3),"")</x:f>
      </x:c>
      <x:c r="K764" s="5" t="str">
        <x:f>IF(COUNTA(A764:F764)=0,"",IF(A764="","Missing equipment ID",IF(COUNTIFS($N$8:$N$2007,"="&amp;N764)&gt;1,"Duplicate equipment ID",IF(B764="","Missing type",IF(COUNTIFS('Rules'!$G$7:$G$26,"="&amp;(SUBSTITUTE(SUBSTITUTE(SUBSTITUTE(SUBSTITUTE("type:"&amp;B764,"%","%25"),"~","%7E"),"*","%2A"),"?","%3F")))=0,"Unknown type",IF(COUNTIFS('Rules'!$G$7:$G$26,"="&amp;(SUBSTITUTE(SUBSTITUTE(SUBSTITUTE(SUBSTITUTE("type:"&amp;B764,"%","%25"),"~","%7E"),"*","%2A"),"?","%3F")))&gt;1,"Duplicate type",IF(INDEX('Rules'!$F$7:$F$26,MATCH(SUBSTITUTE(SUBSTITUTE(SUBSTITUTE(SUBSTITUTE("type:"&amp;B764,"%","%25"),"~","%7E"),"*","%2A"),"?","%3F"),'Rules'!$G$7:$G$26,0))&lt;&gt;"",INDEX('Rules'!$F$7:$F$26,MATCH(SUBSTITUTE(SUBSTITUTE(SUBSTITUTE(SUBSTITUTE("type:"&amp;B764,"%","%25"),"~","%7E"),"*","%2A"),"?","%3F"),'Rules'!$G$7:$G$26,0)),IF(AND(C764&lt;&gt;"",C764&lt;&gt;INDEX('Rules'!$B$7:$B$26,MATCH(SUBSTITUTE(SUBSTITUTE(SUBSTITUTE(SUBSTITUTE("type:"&amp;B764,"%","%25"),"~","%7E"),"*","%2A"),"?","%3F"),'Rules'!$G$7:$G$26,0))),"Unit mismatch",IF(IF(NOT(ISNUMBER(D764)),TRUE,OR(D764&lt;0,D764&gt;999999999,ROUND(D764,3)&lt;&gt;D764)),"Invalid current reading",IF(AND(E764&lt;&gt;"",IF(NOT(ISNUMBER(E764)),TRUE,OR(E764&lt;0,E764&gt;999999999,ROUND(E764,3)&lt;&gt;E764))),"Invalid previous reading",IF(IF(NOT(ISNUMBER(F764)),TRUE,OR(F764&lt;0,F764&gt;999999999,ROUND(F764,3)&lt;&gt;F764)),"Invalid last service",IF(AND(E764&lt;&gt;"",D764&lt;E764),"Decreased reading",IF(F764&gt;D764,"Last service above current","")))))))))))))</x:f>
      </x:c>
      <x:c r="L764" s="6" t="str">
        <x:f>IF(AND(NOT(COUNTA(A764:F764)=0),K764=""),INDEX('Rules'!$C$7:$C$26,MATCH(SUBSTITUTE(SUBSTITUTE(SUBSTITUTE(SUBSTITUTE("type:"&amp;B764,"%","%25"),"~","%7E"),"*","%2A"),"?","%3F"),'Rules'!$G$7:$G$26,0)),"")</x:f>
      </x:c>
      <x:c r="M764" s="6" t="str">
        <x:f>IF(AND(NOT(COUNTA(A764:F764)=0),K764=""),INDEX('Rules'!$D$7:$D$26,MATCH(SUBSTITUTE(SUBSTITUTE(SUBSTITUTE(SUBSTITUTE("type:"&amp;B764,"%","%25"),"~","%7E"),"*","%2A"),"?","%3F"),'Rules'!$G$7:$G$26,0)),"")</x:f>
      </x:c>
      <x:c r="N764" s="5" t="str">
        <x:f>IF(COUNTA(A764:F764)=0,"",SUBSTITUTE(SUBSTITUTE(SUBSTITUTE(SUBSTITUTE("id:"&amp;A764,"%","%25"),"~","%7E"),"*","%2A"),"?","%3F"))</x:f>
      </x:c>
    </x:row>
    <x:row r="765" ht="22" customHeight="1">
      <x:c r="A765" s="3"/>
      <x:c r="B765" s="3"/>
      <x:c r="C765" s="3"/>
      <x:c r="D765" s="4"/>
      <x:c r="E765" s="4"/>
      <x:c r="F765" s="4"/>
      <x:c r="G765" s="5" t="str">
        <x:f>IF(COUNTA(A765:F765)=0,"",IF(K765&lt;&gt;"","Review",IF(I765&lt;0,"Overdue",IF(I765=0,"Due now",IF(I765&lt;=M765,"Due soon","Not due")))))</x:f>
      </x:c>
      <x:c r="H765" s="5" t="str">
        <x:f>IF(OR(COUNTA(A765:F765)=0,COUNTIFS('Rules'!$G$7:$G$26,"="&amp;(SUBSTITUTE(SUBSTITUTE(SUBSTITUTE(SUBSTITUTE("type:"&amp;B765,"%","%25"),"~","%7E"),"*","%2A"),"?","%3F")))&lt;&gt;1),"",IF(OR(INDEX('Rules'!$B$7:$B$26,MATCH(SUBSTITUTE(SUBSTITUTE(SUBSTITUTE(SUBSTITUTE("type:"&amp;B765,"%","%25"),"~","%7E"),"*","%2A"),"?","%3F"),'Rules'!$G$7:$G$26,0))="hours",INDEX('Rules'!$B$7:$B$26,MATCH(SUBSTITUTE(SUBSTITUTE(SUBSTITUTE(SUBSTITUTE("type:"&amp;B765,"%","%25"),"~","%7E"),"*","%2A"),"?","%3F"),'Rules'!$G$7:$G$26,0))="km"),INDEX('Rules'!$B$7:$B$26,MATCH(SUBSTITUTE(SUBSTITUTE(SUBSTITUTE(SUBSTITUTE("type:"&amp;B765,"%","%25"),"~","%7E"),"*","%2A"),"?","%3F"),'Rules'!$G$7:$G$26,0)),""))</x:f>
      </x:c>
      <x:c r="I765" s="6" t="str">
        <x:f>IF(AND(NOT(COUNTA(A765:F765)=0),K765=""),ROUND(J765-D765,3),"")</x:f>
      </x:c>
      <x:c r="J765" s="6" t="str">
        <x:f>IF(AND(NOT(COUNTA(A765:F765)=0),K765=""),ROUND(F765+L765,3),"")</x:f>
      </x:c>
      <x:c r="K765" s="5" t="str">
        <x:f>IF(COUNTA(A765:F765)=0,"",IF(A765="","Missing equipment ID",IF(COUNTIFS($N$8:$N$2007,"="&amp;N765)&gt;1,"Duplicate equipment ID",IF(B765="","Missing type",IF(COUNTIFS('Rules'!$G$7:$G$26,"="&amp;(SUBSTITUTE(SUBSTITUTE(SUBSTITUTE(SUBSTITUTE("type:"&amp;B765,"%","%25"),"~","%7E"),"*","%2A"),"?","%3F")))=0,"Unknown type",IF(COUNTIFS('Rules'!$G$7:$G$26,"="&amp;(SUBSTITUTE(SUBSTITUTE(SUBSTITUTE(SUBSTITUTE("type:"&amp;B765,"%","%25"),"~","%7E"),"*","%2A"),"?","%3F")))&gt;1,"Duplicate type",IF(INDEX('Rules'!$F$7:$F$26,MATCH(SUBSTITUTE(SUBSTITUTE(SUBSTITUTE(SUBSTITUTE("type:"&amp;B765,"%","%25"),"~","%7E"),"*","%2A"),"?","%3F"),'Rules'!$G$7:$G$26,0))&lt;&gt;"",INDEX('Rules'!$F$7:$F$26,MATCH(SUBSTITUTE(SUBSTITUTE(SUBSTITUTE(SUBSTITUTE("type:"&amp;B765,"%","%25"),"~","%7E"),"*","%2A"),"?","%3F"),'Rules'!$G$7:$G$26,0)),IF(AND(C765&lt;&gt;"",C765&lt;&gt;INDEX('Rules'!$B$7:$B$26,MATCH(SUBSTITUTE(SUBSTITUTE(SUBSTITUTE(SUBSTITUTE("type:"&amp;B765,"%","%25"),"~","%7E"),"*","%2A"),"?","%3F"),'Rules'!$G$7:$G$26,0))),"Unit mismatch",IF(IF(NOT(ISNUMBER(D765)),TRUE,OR(D765&lt;0,D765&gt;999999999,ROUND(D765,3)&lt;&gt;D765)),"Invalid current reading",IF(AND(E765&lt;&gt;"",IF(NOT(ISNUMBER(E765)),TRUE,OR(E765&lt;0,E765&gt;999999999,ROUND(E765,3)&lt;&gt;E765))),"Invalid previous reading",IF(IF(NOT(ISNUMBER(F765)),TRUE,OR(F765&lt;0,F765&gt;999999999,ROUND(F765,3)&lt;&gt;F765)),"Invalid last service",IF(AND(E765&lt;&gt;"",D765&lt;E765),"Decreased reading",IF(F765&gt;D765,"Last service above current","")))))))))))))</x:f>
      </x:c>
      <x:c r="L765" s="6" t="str">
        <x:f>IF(AND(NOT(COUNTA(A765:F765)=0),K765=""),INDEX('Rules'!$C$7:$C$26,MATCH(SUBSTITUTE(SUBSTITUTE(SUBSTITUTE(SUBSTITUTE("type:"&amp;B765,"%","%25"),"~","%7E"),"*","%2A"),"?","%3F"),'Rules'!$G$7:$G$26,0)),"")</x:f>
      </x:c>
      <x:c r="M765" s="6" t="str">
        <x:f>IF(AND(NOT(COUNTA(A765:F765)=0),K765=""),INDEX('Rules'!$D$7:$D$26,MATCH(SUBSTITUTE(SUBSTITUTE(SUBSTITUTE(SUBSTITUTE("type:"&amp;B765,"%","%25"),"~","%7E"),"*","%2A"),"?","%3F"),'Rules'!$G$7:$G$26,0)),"")</x:f>
      </x:c>
      <x:c r="N765" s="5" t="str">
        <x:f>IF(COUNTA(A765:F765)=0,"",SUBSTITUTE(SUBSTITUTE(SUBSTITUTE(SUBSTITUTE("id:"&amp;A765,"%","%25"),"~","%7E"),"*","%2A"),"?","%3F"))</x:f>
      </x:c>
    </x:row>
    <x:row r="766" ht="22" customHeight="1">
      <x:c r="A766" s="3"/>
      <x:c r="B766" s="3"/>
      <x:c r="C766" s="3"/>
      <x:c r="D766" s="4"/>
      <x:c r="E766" s="4"/>
      <x:c r="F766" s="4"/>
      <x:c r="G766" s="5" t="str">
        <x:f>IF(COUNTA(A766:F766)=0,"",IF(K766&lt;&gt;"","Review",IF(I766&lt;0,"Overdue",IF(I766=0,"Due now",IF(I766&lt;=M766,"Due soon","Not due")))))</x:f>
      </x:c>
      <x:c r="H766" s="5" t="str">
        <x:f>IF(OR(COUNTA(A766:F766)=0,COUNTIFS('Rules'!$G$7:$G$26,"="&amp;(SUBSTITUTE(SUBSTITUTE(SUBSTITUTE(SUBSTITUTE("type:"&amp;B766,"%","%25"),"~","%7E"),"*","%2A"),"?","%3F")))&lt;&gt;1),"",IF(OR(INDEX('Rules'!$B$7:$B$26,MATCH(SUBSTITUTE(SUBSTITUTE(SUBSTITUTE(SUBSTITUTE("type:"&amp;B766,"%","%25"),"~","%7E"),"*","%2A"),"?","%3F"),'Rules'!$G$7:$G$26,0))="hours",INDEX('Rules'!$B$7:$B$26,MATCH(SUBSTITUTE(SUBSTITUTE(SUBSTITUTE(SUBSTITUTE("type:"&amp;B766,"%","%25"),"~","%7E"),"*","%2A"),"?","%3F"),'Rules'!$G$7:$G$26,0))="km"),INDEX('Rules'!$B$7:$B$26,MATCH(SUBSTITUTE(SUBSTITUTE(SUBSTITUTE(SUBSTITUTE("type:"&amp;B766,"%","%25"),"~","%7E"),"*","%2A"),"?","%3F"),'Rules'!$G$7:$G$26,0)),""))</x:f>
      </x:c>
      <x:c r="I766" s="6" t="str">
        <x:f>IF(AND(NOT(COUNTA(A766:F766)=0),K766=""),ROUND(J766-D766,3),"")</x:f>
      </x:c>
      <x:c r="J766" s="6" t="str">
        <x:f>IF(AND(NOT(COUNTA(A766:F766)=0),K766=""),ROUND(F766+L766,3),"")</x:f>
      </x:c>
      <x:c r="K766" s="5" t="str">
        <x:f>IF(COUNTA(A766:F766)=0,"",IF(A766="","Missing equipment ID",IF(COUNTIFS($N$8:$N$2007,"="&amp;N766)&gt;1,"Duplicate equipment ID",IF(B766="","Missing type",IF(COUNTIFS('Rules'!$G$7:$G$26,"="&amp;(SUBSTITUTE(SUBSTITUTE(SUBSTITUTE(SUBSTITUTE("type:"&amp;B766,"%","%25"),"~","%7E"),"*","%2A"),"?","%3F")))=0,"Unknown type",IF(COUNTIFS('Rules'!$G$7:$G$26,"="&amp;(SUBSTITUTE(SUBSTITUTE(SUBSTITUTE(SUBSTITUTE("type:"&amp;B766,"%","%25"),"~","%7E"),"*","%2A"),"?","%3F")))&gt;1,"Duplicate type",IF(INDEX('Rules'!$F$7:$F$26,MATCH(SUBSTITUTE(SUBSTITUTE(SUBSTITUTE(SUBSTITUTE("type:"&amp;B766,"%","%25"),"~","%7E"),"*","%2A"),"?","%3F"),'Rules'!$G$7:$G$26,0))&lt;&gt;"",INDEX('Rules'!$F$7:$F$26,MATCH(SUBSTITUTE(SUBSTITUTE(SUBSTITUTE(SUBSTITUTE("type:"&amp;B766,"%","%25"),"~","%7E"),"*","%2A"),"?","%3F"),'Rules'!$G$7:$G$26,0)),IF(AND(C766&lt;&gt;"",C766&lt;&gt;INDEX('Rules'!$B$7:$B$26,MATCH(SUBSTITUTE(SUBSTITUTE(SUBSTITUTE(SUBSTITUTE("type:"&amp;B766,"%","%25"),"~","%7E"),"*","%2A"),"?","%3F"),'Rules'!$G$7:$G$26,0))),"Unit mismatch",IF(IF(NOT(ISNUMBER(D766)),TRUE,OR(D766&lt;0,D766&gt;999999999,ROUND(D766,3)&lt;&gt;D766)),"Invalid current reading",IF(AND(E766&lt;&gt;"",IF(NOT(ISNUMBER(E766)),TRUE,OR(E766&lt;0,E766&gt;999999999,ROUND(E766,3)&lt;&gt;E766))),"Invalid previous reading",IF(IF(NOT(ISNUMBER(F766)),TRUE,OR(F766&lt;0,F766&gt;999999999,ROUND(F766,3)&lt;&gt;F766)),"Invalid last service",IF(AND(E766&lt;&gt;"",D766&lt;E766),"Decreased reading",IF(F766&gt;D766,"Last service above current","")))))))))))))</x:f>
      </x:c>
      <x:c r="L766" s="6" t="str">
        <x:f>IF(AND(NOT(COUNTA(A766:F766)=0),K766=""),INDEX('Rules'!$C$7:$C$26,MATCH(SUBSTITUTE(SUBSTITUTE(SUBSTITUTE(SUBSTITUTE("type:"&amp;B766,"%","%25"),"~","%7E"),"*","%2A"),"?","%3F"),'Rules'!$G$7:$G$26,0)),"")</x:f>
      </x:c>
      <x:c r="M766" s="6" t="str">
        <x:f>IF(AND(NOT(COUNTA(A766:F766)=0),K766=""),INDEX('Rules'!$D$7:$D$26,MATCH(SUBSTITUTE(SUBSTITUTE(SUBSTITUTE(SUBSTITUTE("type:"&amp;B766,"%","%25"),"~","%7E"),"*","%2A"),"?","%3F"),'Rules'!$G$7:$G$26,0)),"")</x:f>
      </x:c>
      <x:c r="N766" s="5" t="str">
        <x:f>IF(COUNTA(A766:F766)=0,"",SUBSTITUTE(SUBSTITUTE(SUBSTITUTE(SUBSTITUTE("id:"&amp;A766,"%","%25"),"~","%7E"),"*","%2A"),"?","%3F"))</x:f>
      </x:c>
    </x:row>
    <x:row r="767" ht="22" customHeight="1">
      <x:c r="A767" s="3"/>
      <x:c r="B767" s="3"/>
      <x:c r="C767" s="3"/>
      <x:c r="D767" s="4"/>
      <x:c r="E767" s="4"/>
      <x:c r="F767" s="4"/>
      <x:c r="G767" s="5" t="str">
        <x:f>IF(COUNTA(A767:F767)=0,"",IF(K767&lt;&gt;"","Review",IF(I767&lt;0,"Overdue",IF(I767=0,"Due now",IF(I767&lt;=M767,"Due soon","Not due")))))</x:f>
      </x:c>
      <x:c r="H767" s="5" t="str">
        <x:f>IF(OR(COUNTA(A767:F767)=0,COUNTIFS('Rules'!$G$7:$G$26,"="&amp;(SUBSTITUTE(SUBSTITUTE(SUBSTITUTE(SUBSTITUTE("type:"&amp;B767,"%","%25"),"~","%7E"),"*","%2A"),"?","%3F")))&lt;&gt;1),"",IF(OR(INDEX('Rules'!$B$7:$B$26,MATCH(SUBSTITUTE(SUBSTITUTE(SUBSTITUTE(SUBSTITUTE("type:"&amp;B767,"%","%25"),"~","%7E"),"*","%2A"),"?","%3F"),'Rules'!$G$7:$G$26,0))="hours",INDEX('Rules'!$B$7:$B$26,MATCH(SUBSTITUTE(SUBSTITUTE(SUBSTITUTE(SUBSTITUTE("type:"&amp;B767,"%","%25"),"~","%7E"),"*","%2A"),"?","%3F"),'Rules'!$G$7:$G$26,0))="km"),INDEX('Rules'!$B$7:$B$26,MATCH(SUBSTITUTE(SUBSTITUTE(SUBSTITUTE(SUBSTITUTE("type:"&amp;B767,"%","%25"),"~","%7E"),"*","%2A"),"?","%3F"),'Rules'!$G$7:$G$26,0)),""))</x:f>
      </x:c>
      <x:c r="I767" s="6" t="str">
        <x:f>IF(AND(NOT(COUNTA(A767:F767)=0),K767=""),ROUND(J767-D767,3),"")</x:f>
      </x:c>
      <x:c r="J767" s="6" t="str">
        <x:f>IF(AND(NOT(COUNTA(A767:F767)=0),K767=""),ROUND(F767+L767,3),"")</x:f>
      </x:c>
      <x:c r="K767" s="5" t="str">
        <x:f>IF(COUNTA(A767:F767)=0,"",IF(A767="","Missing equipment ID",IF(COUNTIFS($N$8:$N$2007,"="&amp;N767)&gt;1,"Duplicate equipment ID",IF(B767="","Missing type",IF(COUNTIFS('Rules'!$G$7:$G$26,"="&amp;(SUBSTITUTE(SUBSTITUTE(SUBSTITUTE(SUBSTITUTE("type:"&amp;B767,"%","%25"),"~","%7E"),"*","%2A"),"?","%3F")))=0,"Unknown type",IF(COUNTIFS('Rules'!$G$7:$G$26,"="&amp;(SUBSTITUTE(SUBSTITUTE(SUBSTITUTE(SUBSTITUTE("type:"&amp;B767,"%","%25"),"~","%7E"),"*","%2A"),"?","%3F")))&gt;1,"Duplicate type",IF(INDEX('Rules'!$F$7:$F$26,MATCH(SUBSTITUTE(SUBSTITUTE(SUBSTITUTE(SUBSTITUTE("type:"&amp;B767,"%","%25"),"~","%7E"),"*","%2A"),"?","%3F"),'Rules'!$G$7:$G$26,0))&lt;&gt;"",INDEX('Rules'!$F$7:$F$26,MATCH(SUBSTITUTE(SUBSTITUTE(SUBSTITUTE(SUBSTITUTE("type:"&amp;B767,"%","%25"),"~","%7E"),"*","%2A"),"?","%3F"),'Rules'!$G$7:$G$26,0)),IF(AND(C767&lt;&gt;"",C767&lt;&gt;INDEX('Rules'!$B$7:$B$26,MATCH(SUBSTITUTE(SUBSTITUTE(SUBSTITUTE(SUBSTITUTE("type:"&amp;B767,"%","%25"),"~","%7E"),"*","%2A"),"?","%3F"),'Rules'!$G$7:$G$26,0))),"Unit mismatch",IF(IF(NOT(ISNUMBER(D767)),TRUE,OR(D767&lt;0,D767&gt;999999999,ROUND(D767,3)&lt;&gt;D767)),"Invalid current reading",IF(AND(E767&lt;&gt;"",IF(NOT(ISNUMBER(E767)),TRUE,OR(E767&lt;0,E767&gt;999999999,ROUND(E767,3)&lt;&gt;E767))),"Invalid previous reading",IF(IF(NOT(ISNUMBER(F767)),TRUE,OR(F767&lt;0,F767&gt;999999999,ROUND(F767,3)&lt;&gt;F767)),"Invalid last service",IF(AND(E767&lt;&gt;"",D767&lt;E767),"Decreased reading",IF(F767&gt;D767,"Last service above current","")))))))))))))</x:f>
      </x:c>
      <x:c r="L767" s="6" t="str">
        <x:f>IF(AND(NOT(COUNTA(A767:F767)=0),K767=""),INDEX('Rules'!$C$7:$C$26,MATCH(SUBSTITUTE(SUBSTITUTE(SUBSTITUTE(SUBSTITUTE("type:"&amp;B767,"%","%25"),"~","%7E"),"*","%2A"),"?","%3F"),'Rules'!$G$7:$G$26,0)),"")</x:f>
      </x:c>
      <x:c r="M767" s="6" t="str">
        <x:f>IF(AND(NOT(COUNTA(A767:F767)=0),K767=""),INDEX('Rules'!$D$7:$D$26,MATCH(SUBSTITUTE(SUBSTITUTE(SUBSTITUTE(SUBSTITUTE("type:"&amp;B767,"%","%25"),"~","%7E"),"*","%2A"),"?","%3F"),'Rules'!$G$7:$G$26,0)),"")</x:f>
      </x:c>
      <x:c r="N767" s="5" t="str">
        <x:f>IF(COUNTA(A767:F767)=0,"",SUBSTITUTE(SUBSTITUTE(SUBSTITUTE(SUBSTITUTE("id:"&amp;A767,"%","%25"),"~","%7E"),"*","%2A"),"?","%3F"))</x:f>
      </x:c>
    </x:row>
    <x:row r="768" ht="22" customHeight="1">
      <x:c r="A768" s="3"/>
      <x:c r="B768" s="3"/>
      <x:c r="C768" s="3"/>
      <x:c r="D768" s="4"/>
      <x:c r="E768" s="4"/>
      <x:c r="F768" s="4"/>
      <x:c r="G768" s="5" t="str">
        <x:f>IF(COUNTA(A768:F768)=0,"",IF(K768&lt;&gt;"","Review",IF(I768&lt;0,"Overdue",IF(I768=0,"Due now",IF(I768&lt;=M768,"Due soon","Not due")))))</x:f>
      </x:c>
      <x:c r="H768" s="5" t="str">
        <x:f>IF(OR(COUNTA(A768:F768)=0,COUNTIFS('Rules'!$G$7:$G$26,"="&amp;(SUBSTITUTE(SUBSTITUTE(SUBSTITUTE(SUBSTITUTE("type:"&amp;B768,"%","%25"),"~","%7E"),"*","%2A"),"?","%3F")))&lt;&gt;1),"",IF(OR(INDEX('Rules'!$B$7:$B$26,MATCH(SUBSTITUTE(SUBSTITUTE(SUBSTITUTE(SUBSTITUTE("type:"&amp;B768,"%","%25"),"~","%7E"),"*","%2A"),"?","%3F"),'Rules'!$G$7:$G$26,0))="hours",INDEX('Rules'!$B$7:$B$26,MATCH(SUBSTITUTE(SUBSTITUTE(SUBSTITUTE(SUBSTITUTE("type:"&amp;B768,"%","%25"),"~","%7E"),"*","%2A"),"?","%3F"),'Rules'!$G$7:$G$26,0))="km"),INDEX('Rules'!$B$7:$B$26,MATCH(SUBSTITUTE(SUBSTITUTE(SUBSTITUTE(SUBSTITUTE("type:"&amp;B768,"%","%25"),"~","%7E"),"*","%2A"),"?","%3F"),'Rules'!$G$7:$G$26,0)),""))</x:f>
      </x:c>
      <x:c r="I768" s="6" t="str">
        <x:f>IF(AND(NOT(COUNTA(A768:F768)=0),K768=""),ROUND(J768-D768,3),"")</x:f>
      </x:c>
      <x:c r="J768" s="6" t="str">
        <x:f>IF(AND(NOT(COUNTA(A768:F768)=0),K768=""),ROUND(F768+L768,3),"")</x:f>
      </x:c>
      <x:c r="K768" s="5" t="str">
        <x:f>IF(COUNTA(A768:F768)=0,"",IF(A768="","Missing equipment ID",IF(COUNTIFS($N$8:$N$2007,"="&amp;N768)&gt;1,"Duplicate equipment ID",IF(B768="","Missing type",IF(COUNTIFS('Rules'!$G$7:$G$26,"="&amp;(SUBSTITUTE(SUBSTITUTE(SUBSTITUTE(SUBSTITUTE("type:"&amp;B768,"%","%25"),"~","%7E"),"*","%2A"),"?","%3F")))=0,"Unknown type",IF(COUNTIFS('Rules'!$G$7:$G$26,"="&amp;(SUBSTITUTE(SUBSTITUTE(SUBSTITUTE(SUBSTITUTE("type:"&amp;B768,"%","%25"),"~","%7E"),"*","%2A"),"?","%3F")))&gt;1,"Duplicate type",IF(INDEX('Rules'!$F$7:$F$26,MATCH(SUBSTITUTE(SUBSTITUTE(SUBSTITUTE(SUBSTITUTE("type:"&amp;B768,"%","%25"),"~","%7E"),"*","%2A"),"?","%3F"),'Rules'!$G$7:$G$26,0))&lt;&gt;"",INDEX('Rules'!$F$7:$F$26,MATCH(SUBSTITUTE(SUBSTITUTE(SUBSTITUTE(SUBSTITUTE("type:"&amp;B768,"%","%25"),"~","%7E"),"*","%2A"),"?","%3F"),'Rules'!$G$7:$G$26,0)),IF(AND(C768&lt;&gt;"",C768&lt;&gt;INDEX('Rules'!$B$7:$B$26,MATCH(SUBSTITUTE(SUBSTITUTE(SUBSTITUTE(SUBSTITUTE("type:"&amp;B768,"%","%25"),"~","%7E"),"*","%2A"),"?","%3F"),'Rules'!$G$7:$G$26,0))),"Unit mismatch",IF(IF(NOT(ISNUMBER(D768)),TRUE,OR(D768&lt;0,D768&gt;999999999,ROUND(D768,3)&lt;&gt;D768)),"Invalid current reading",IF(AND(E768&lt;&gt;"",IF(NOT(ISNUMBER(E768)),TRUE,OR(E768&lt;0,E768&gt;999999999,ROUND(E768,3)&lt;&gt;E768))),"Invalid previous reading",IF(IF(NOT(ISNUMBER(F768)),TRUE,OR(F768&lt;0,F768&gt;999999999,ROUND(F768,3)&lt;&gt;F768)),"Invalid last service",IF(AND(E768&lt;&gt;"",D768&lt;E768),"Decreased reading",IF(F768&gt;D768,"Last service above current","")))))))))))))</x:f>
      </x:c>
      <x:c r="L768" s="6" t="str">
        <x:f>IF(AND(NOT(COUNTA(A768:F768)=0),K768=""),INDEX('Rules'!$C$7:$C$26,MATCH(SUBSTITUTE(SUBSTITUTE(SUBSTITUTE(SUBSTITUTE("type:"&amp;B768,"%","%25"),"~","%7E"),"*","%2A"),"?","%3F"),'Rules'!$G$7:$G$26,0)),"")</x:f>
      </x:c>
      <x:c r="M768" s="6" t="str">
        <x:f>IF(AND(NOT(COUNTA(A768:F768)=0),K768=""),INDEX('Rules'!$D$7:$D$26,MATCH(SUBSTITUTE(SUBSTITUTE(SUBSTITUTE(SUBSTITUTE("type:"&amp;B768,"%","%25"),"~","%7E"),"*","%2A"),"?","%3F"),'Rules'!$G$7:$G$26,0)),"")</x:f>
      </x:c>
      <x:c r="N768" s="5" t="str">
        <x:f>IF(COUNTA(A768:F768)=0,"",SUBSTITUTE(SUBSTITUTE(SUBSTITUTE(SUBSTITUTE("id:"&amp;A768,"%","%25"),"~","%7E"),"*","%2A"),"?","%3F"))</x:f>
      </x:c>
    </x:row>
    <x:row r="769" ht="22" customHeight="1">
      <x:c r="A769" s="3"/>
      <x:c r="B769" s="3"/>
      <x:c r="C769" s="3"/>
      <x:c r="D769" s="4"/>
      <x:c r="E769" s="4"/>
      <x:c r="F769" s="4"/>
      <x:c r="G769" s="5" t="str">
        <x:f>IF(COUNTA(A769:F769)=0,"",IF(K769&lt;&gt;"","Review",IF(I769&lt;0,"Overdue",IF(I769=0,"Due now",IF(I769&lt;=M769,"Due soon","Not due")))))</x:f>
      </x:c>
      <x:c r="H769" s="5" t="str">
        <x:f>IF(OR(COUNTA(A769:F769)=0,COUNTIFS('Rules'!$G$7:$G$26,"="&amp;(SUBSTITUTE(SUBSTITUTE(SUBSTITUTE(SUBSTITUTE("type:"&amp;B769,"%","%25"),"~","%7E"),"*","%2A"),"?","%3F")))&lt;&gt;1),"",IF(OR(INDEX('Rules'!$B$7:$B$26,MATCH(SUBSTITUTE(SUBSTITUTE(SUBSTITUTE(SUBSTITUTE("type:"&amp;B769,"%","%25"),"~","%7E"),"*","%2A"),"?","%3F"),'Rules'!$G$7:$G$26,0))="hours",INDEX('Rules'!$B$7:$B$26,MATCH(SUBSTITUTE(SUBSTITUTE(SUBSTITUTE(SUBSTITUTE("type:"&amp;B769,"%","%25"),"~","%7E"),"*","%2A"),"?","%3F"),'Rules'!$G$7:$G$26,0))="km"),INDEX('Rules'!$B$7:$B$26,MATCH(SUBSTITUTE(SUBSTITUTE(SUBSTITUTE(SUBSTITUTE("type:"&amp;B769,"%","%25"),"~","%7E"),"*","%2A"),"?","%3F"),'Rules'!$G$7:$G$26,0)),""))</x:f>
      </x:c>
      <x:c r="I769" s="6" t="str">
        <x:f>IF(AND(NOT(COUNTA(A769:F769)=0),K769=""),ROUND(J769-D769,3),"")</x:f>
      </x:c>
      <x:c r="J769" s="6" t="str">
        <x:f>IF(AND(NOT(COUNTA(A769:F769)=0),K769=""),ROUND(F769+L769,3),"")</x:f>
      </x:c>
      <x:c r="K769" s="5" t="str">
        <x:f>IF(COUNTA(A769:F769)=0,"",IF(A769="","Missing equipment ID",IF(COUNTIFS($N$8:$N$2007,"="&amp;N769)&gt;1,"Duplicate equipment ID",IF(B769="","Missing type",IF(COUNTIFS('Rules'!$G$7:$G$26,"="&amp;(SUBSTITUTE(SUBSTITUTE(SUBSTITUTE(SUBSTITUTE("type:"&amp;B769,"%","%25"),"~","%7E"),"*","%2A"),"?","%3F")))=0,"Unknown type",IF(COUNTIFS('Rules'!$G$7:$G$26,"="&amp;(SUBSTITUTE(SUBSTITUTE(SUBSTITUTE(SUBSTITUTE("type:"&amp;B769,"%","%25"),"~","%7E"),"*","%2A"),"?","%3F")))&gt;1,"Duplicate type",IF(INDEX('Rules'!$F$7:$F$26,MATCH(SUBSTITUTE(SUBSTITUTE(SUBSTITUTE(SUBSTITUTE("type:"&amp;B769,"%","%25"),"~","%7E"),"*","%2A"),"?","%3F"),'Rules'!$G$7:$G$26,0))&lt;&gt;"",INDEX('Rules'!$F$7:$F$26,MATCH(SUBSTITUTE(SUBSTITUTE(SUBSTITUTE(SUBSTITUTE("type:"&amp;B769,"%","%25"),"~","%7E"),"*","%2A"),"?","%3F"),'Rules'!$G$7:$G$26,0)),IF(AND(C769&lt;&gt;"",C769&lt;&gt;INDEX('Rules'!$B$7:$B$26,MATCH(SUBSTITUTE(SUBSTITUTE(SUBSTITUTE(SUBSTITUTE("type:"&amp;B769,"%","%25"),"~","%7E"),"*","%2A"),"?","%3F"),'Rules'!$G$7:$G$26,0))),"Unit mismatch",IF(IF(NOT(ISNUMBER(D769)),TRUE,OR(D769&lt;0,D769&gt;999999999,ROUND(D769,3)&lt;&gt;D769)),"Invalid current reading",IF(AND(E769&lt;&gt;"",IF(NOT(ISNUMBER(E769)),TRUE,OR(E769&lt;0,E769&gt;999999999,ROUND(E769,3)&lt;&gt;E769))),"Invalid previous reading",IF(IF(NOT(ISNUMBER(F769)),TRUE,OR(F769&lt;0,F769&gt;999999999,ROUND(F769,3)&lt;&gt;F769)),"Invalid last service",IF(AND(E769&lt;&gt;"",D769&lt;E769),"Decreased reading",IF(F769&gt;D769,"Last service above current","")))))))))))))</x:f>
      </x:c>
      <x:c r="L769" s="6" t="str">
        <x:f>IF(AND(NOT(COUNTA(A769:F769)=0),K769=""),INDEX('Rules'!$C$7:$C$26,MATCH(SUBSTITUTE(SUBSTITUTE(SUBSTITUTE(SUBSTITUTE("type:"&amp;B769,"%","%25"),"~","%7E"),"*","%2A"),"?","%3F"),'Rules'!$G$7:$G$26,0)),"")</x:f>
      </x:c>
      <x:c r="M769" s="6" t="str">
        <x:f>IF(AND(NOT(COUNTA(A769:F769)=0),K769=""),INDEX('Rules'!$D$7:$D$26,MATCH(SUBSTITUTE(SUBSTITUTE(SUBSTITUTE(SUBSTITUTE("type:"&amp;B769,"%","%25"),"~","%7E"),"*","%2A"),"?","%3F"),'Rules'!$G$7:$G$26,0)),"")</x:f>
      </x:c>
      <x:c r="N769" s="5" t="str">
        <x:f>IF(COUNTA(A769:F769)=0,"",SUBSTITUTE(SUBSTITUTE(SUBSTITUTE(SUBSTITUTE("id:"&amp;A769,"%","%25"),"~","%7E"),"*","%2A"),"?","%3F"))</x:f>
      </x:c>
    </x:row>
    <x:row r="770" ht="22" customHeight="1">
      <x:c r="A770" s="3"/>
      <x:c r="B770" s="3"/>
      <x:c r="C770" s="3"/>
      <x:c r="D770" s="4"/>
      <x:c r="E770" s="4"/>
      <x:c r="F770" s="4"/>
      <x:c r="G770" s="5" t="str">
        <x:f>IF(COUNTA(A770:F770)=0,"",IF(K770&lt;&gt;"","Review",IF(I770&lt;0,"Overdue",IF(I770=0,"Due now",IF(I770&lt;=M770,"Due soon","Not due")))))</x:f>
      </x:c>
      <x:c r="H770" s="5" t="str">
        <x:f>IF(OR(COUNTA(A770:F770)=0,COUNTIFS('Rules'!$G$7:$G$26,"="&amp;(SUBSTITUTE(SUBSTITUTE(SUBSTITUTE(SUBSTITUTE("type:"&amp;B770,"%","%25"),"~","%7E"),"*","%2A"),"?","%3F")))&lt;&gt;1),"",IF(OR(INDEX('Rules'!$B$7:$B$26,MATCH(SUBSTITUTE(SUBSTITUTE(SUBSTITUTE(SUBSTITUTE("type:"&amp;B770,"%","%25"),"~","%7E"),"*","%2A"),"?","%3F"),'Rules'!$G$7:$G$26,0))="hours",INDEX('Rules'!$B$7:$B$26,MATCH(SUBSTITUTE(SUBSTITUTE(SUBSTITUTE(SUBSTITUTE("type:"&amp;B770,"%","%25"),"~","%7E"),"*","%2A"),"?","%3F"),'Rules'!$G$7:$G$26,0))="km"),INDEX('Rules'!$B$7:$B$26,MATCH(SUBSTITUTE(SUBSTITUTE(SUBSTITUTE(SUBSTITUTE("type:"&amp;B770,"%","%25"),"~","%7E"),"*","%2A"),"?","%3F"),'Rules'!$G$7:$G$26,0)),""))</x:f>
      </x:c>
      <x:c r="I770" s="6" t="str">
        <x:f>IF(AND(NOT(COUNTA(A770:F770)=0),K770=""),ROUND(J770-D770,3),"")</x:f>
      </x:c>
      <x:c r="J770" s="6" t="str">
        <x:f>IF(AND(NOT(COUNTA(A770:F770)=0),K770=""),ROUND(F770+L770,3),"")</x:f>
      </x:c>
      <x:c r="K770" s="5" t="str">
        <x:f>IF(COUNTA(A770:F770)=0,"",IF(A770="","Missing equipment ID",IF(COUNTIFS($N$8:$N$2007,"="&amp;N770)&gt;1,"Duplicate equipment ID",IF(B770="","Missing type",IF(COUNTIFS('Rules'!$G$7:$G$26,"="&amp;(SUBSTITUTE(SUBSTITUTE(SUBSTITUTE(SUBSTITUTE("type:"&amp;B770,"%","%25"),"~","%7E"),"*","%2A"),"?","%3F")))=0,"Unknown type",IF(COUNTIFS('Rules'!$G$7:$G$26,"="&amp;(SUBSTITUTE(SUBSTITUTE(SUBSTITUTE(SUBSTITUTE("type:"&amp;B770,"%","%25"),"~","%7E"),"*","%2A"),"?","%3F")))&gt;1,"Duplicate type",IF(INDEX('Rules'!$F$7:$F$26,MATCH(SUBSTITUTE(SUBSTITUTE(SUBSTITUTE(SUBSTITUTE("type:"&amp;B770,"%","%25"),"~","%7E"),"*","%2A"),"?","%3F"),'Rules'!$G$7:$G$26,0))&lt;&gt;"",INDEX('Rules'!$F$7:$F$26,MATCH(SUBSTITUTE(SUBSTITUTE(SUBSTITUTE(SUBSTITUTE("type:"&amp;B770,"%","%25"),"~","%7E"),"*","%2A"),"?","%3F"),'Rules'!$G$7:$G$26,0)),IF(AND(C770&lt;&gt;"",C770&lt;&gt;INDEX('Rules'!$B$7:$B$26,MATCH(SUBSTITUTE(SUBSTITUTE(SUBSTITUTE(SUBSTITUTE("type:"&amp;B770,"%","%25"),"~","%7E"),"*","%2A"),"?","%3F"),'Rules'!$G$7:$G$26,0))),"Unit mismatch",IF(IF(NOT(ISNUMBER(D770)),TRUE,OR(D770&lt;0,D770&gt;999999999,ROUND(D770,3)&lt;&gt;D770)),"Invalid current reading",IF(AND(E770&lt;&gt;"",IF(NOT(ISNUMBER(E770)),TRUE,OR(E770&lt;0,E770&gt;999999999,ROUND(E770,3)&lt;&gt;E770))),"Invalid previous reading",IF(IF(NOT(ISNUMBER(F770)),TRUE,OR(F770&lt;0,F770&gt;999999999,ROUND(F770,3)&lt;&gt;F770)),"Invalid last service",IF(AND(E770&lt;&gt;"",D770&lt;E770),"Decreased reading",IF(F770&gt;D770,"Last service above current","")))))))))))))</x:f>
      </x:c>
      <x:c r="L770" s="6" t="str">
        <x:f>IF(AND(NOT(COUNTA(A770:F770)=0),K770=""),INDEX('Rules'!$C$7:$C$26,MATCH(SUBSTITUTE(SUBSTITUTE(SUBSTITUTE(SUBSTITUTE("type:"&amp;B770,"%","%25"),"~","%7E"),"*","%2A"),"?","%3F"),'Rules'!$G$7:$G$26,0)),"")</x:f>
      </x:c>
      <x:c r="M770" s="6" t="str">
        <x:f>IF(AND(NOT(COUNTA(A770:F770)=0),K770=""),INDEX('Rules'!$D$7:$D$26,MATCH(SUBSTITUTE(SUBSTITUTE(SUBSTITUTE(SUBSTITUTE("type:"&amp;B770,"%","%25"),"~","%7E"),"*","%2A"),"?","%3F"),'Rules'!$G$7:$G$26,0)),"")</x:f>
      </x:c>
      <x:c r="N770" s="5" t="str">
        <x:f>IF(COUNTA(A770:F770)=0,"",SUBSTITUTE(SUBSTITUTE(SUBSTITUTE(SUBSTITUTE("id:"&amp;A770,"%","%25"),"~","%7E"),"*","%2A"),"?","%3F"))</x:f>
      </x:c>
    </x:row>
    <x:row r="771" ht="22" customHeight="1">
      <x:c r="A771" s="3"/>
      <x:c r="B771" s="3"/>
      <x:c r="C771" s="3"/>
      <x:c r="D771" s="4"/>
      <x:c r="E771" s="4"/>
      <x:c r="F771" s="4"/>
      <x:c r="G771" s="5" t="str">
        <x:f>IF(COUNTA(A771:F771)=0,"",IF(K771&lt;&gt;"","Review",IF(I771&lt;0,"Overdue",IF(I771=0,"Due now",IF(I771&lt;=M771,"Due soon","Not due")))))</x:f>
      </x:c>
      <x:c r="H771" s="5" t="str">
        <x:f>IF(OR(COUNTA(A771:F771)=0,COUNTIFS('Rules'!$G$7:$G$26,"="&amp;(SUBSTITUTE(SUBSTITUTE(SUBSTITUTE(SUBSTITUTE("type:"&amp;B771,"%","%25"),"~","%7E"),"*","%2A"),"?","%3F")))&lt;&gt;1),"",IF(OR(INDEX('Rules'!$B$7:$B$26,MATCH(SUBSTITUTE(SUBSTITUTE(SUBSTITUTE(SUBSTITUTE("type:"&amp;B771,"%","%25"),"~","%7E"),"*","%2A"),"?","%3F"),'Rules'!$G$7:$G$26,0))="hours",INDEX('Rules'!$B$7:$B$26,MATCH(SUBSTITUTE(SUBSTITUTE(SUBSTITUTE(SUBSTITUTE("type:"&amp;B771,"%","%25"),"~","%7E"),"*","%2A"),"?","%3F"),'Rules'!$G$7:$G$26,0))="km"),INDEX('Rules'!$B$7:$B$26,MATCH(SUBSTITUTE(SUBSTITUTE(SUBSTITUTE(SUBSTITUTE("type:"&amp;B771,"%","%25"),"~","%7E"),"*","%2A"),"?","%3F"),'Rules'!$G$7:$G$26,0)),""))</x:f>
      </x:c>
      <x:c r="I771" s="6" t="str">
        <x:f>IF(AND(NOT(COUNTA(A771:F771)=0),K771=""),ROUND(J771-D771,3),"")</x:f>
      </x:c>
      <x:c r="J771" s="6" t="str">
        <x:f>IF(AND(NOT(COUNTA(A771:F771)=0),K771=""),ROUND(F771+L771,3),"")</x:f>
      </x:c>
      <x:c r="K771" s="5" t="str">
        <x:f>IF(COUNTA(A771:F771)=0,"",IF(A771="","Missing equipment ID",IF(COUNTIFS($N$8:$N$2007,"="&amp;N771)&gt;1,"Duplicate equipment ID",IF(B771="","Missing type",IF(COUNTIFS('Rules'!$G$7:$G$26,"="&amp;(SUBSTITUTE(SUBSTITUTE(SUBSTITUTE(SUBSTITUTE("type:"&amp;B771,"%","%25"),"~","%7E"),"*","%2A"),"?","%3F")))=0,"Unknown type",IF(COUNTIFS('Rules'!$G$7:$G$26,"="&amp;(SUBSTITUTE(SUBSTITUTE(SUBSTITUTE(SUBSTITUTE("type:"&amp;B771,"%","%25"),"~","%7E"),"*","%2A"),"?","%3F")))&gt;1,"Duplicate type",IF(INDEX('Rules'!$F$7:$F$26,MATCH(SUBSTITUTE(SUBSTITUTE(SUBSTITUTE(SUBSTITUTE("type:"&amp;B771,"%","%25"),"~","%7E"),"*","%2A"),"?","%3F"),'Rules'!$G$7:$G$26,0))&lt;&gt;"",INDEX('Rules'!$F$7:$F$26,MATCH(SUBSTITUTE(SUBSTITUTE(SUBSTITUTE(SUBSTITUTE("type:"&amp;B771,"%","%25"),"~","%7E"),"*","%2A"),"?","%3F"),'Rules'!$G$7:$G$26,0)),IF(AND(C771&lt;&gt;"",C771&lt;&gt;INDEX('Rules'!$B$7:$B$26,MATCH(SUBSTITUTE(SUBSTITUTE(SUBSTITUTE(SUBSTITUTE("type:"&amp;B771,"%","%25"),"~","%7E"),"*","%2A"),"?","%3F"),'Rules'!$G$7:$G$26,0))),"Unit mismatch",IF(IF(NOT(ISNUMBER(D771)),TRUE,OR(D771&lt;0,D771&gt;999999999,ROUND(D771,3)&lt;&gt;D771)),"Invalid current reading",IF(AND(E771&lt;&gt;"",IF(NOT(ISNUMBER(E771)),TRUE,OR(E771&lt;0,E771&gt;999999999,ROUND(E771,3)&lt;&gt;E771))),"Invalid previous reading",IF(IF(NOT(ISNUMBER(F771)),TRUE,OR(F771&lt;0,F771&gt;999999999,ROUND(F771,3)&lt;&gt;F771)),"Invalid last service",IF(AND(E771&lt;&gt;"",D771&lt;E771),"Decreased reading",IF(F771&gt;D771,"Last service above current","")))))))))))))</x:f>
      </x:c>
      <x:c r="L771" s="6" t="str">
        <x:f>IF(AND(NOT(COUNTA(A771:F771)=0),K771=""),INDEX('Rules'!$C$7:$C$26,MATCH(SUBSTITUTE(SUBSTITUTE(SUBSTITUTE(SUBSTITUTE("type:"&amp;B771,"%","%25"),"~","%7E"),"*","%2A"),"?","%3F"),'Rules'!$G$7:$G$26,0)),"")</x:f>
      </x:c>
      <x:c r="M771" s="6" t="str">
        <x:f>IF(AND(NOT(COUNTA(A771:F771)=0),K771=""),INDEX('Rules'!$D$7:$D$26,MATCH(SUBSTITUTE(SUBSTITUTE(SUBSTITUTE(SUBSTITUTE("type:"&amp;B771,"%","%25"),"~","%7E"),"*","%2A"),"?","%3F"),'Rules'!$G$7:$G$26,0)),"")</x:f>
      </x:c>
      <x:c r="N771" s="5" t="str">
        <x:f>IF(COUNTA(A771:F771)=0,"",SUBSTITUTE(SUBSTITUTE(SUBSTITUTE(SUBSTITUTE("id:"&amp;A771,"%","%25"),"~","%7E"),"*","%2A"),"?","%3F"))</x:f>
      </x:c>
    </x:row>
    <x:row r="772" ht="22" customHeight="1">
      <x:c r="A772" s="3"/>
      <x:c r="B772" s="3"/>
      <x:c r="C772" s="3"/>
      <x:c r="D772" s="4"/>
      <x:c r="E772" s="4"/>
      <x:c r="F772" s="4"/>
      <x:c r="G772" s="5" t="str">
        <x:f>IF(COUNTA(A772:F772)=0,"",IF(K772&lt;&gt;"","Review",IF(I772&lt;0,"Overdue",IF(I772=0,"Due now",IF(I772&lt;=M772,"Due soon","Not due")))))</x:f>
      </x:c>
      <x:c r="H772" s="5" t="str">
        <x:f>IF(OR(COUNTA(A772:F772)=0,COUNTIFS('Rules'!$G$7:$G$26,"="&amp;(SUBSTITUTE(SUBSTITUTE(SUBSTITUTE(SUBSTITUTE("type:"&amp;B772,"%","%25"),"~","%7E"),"*","%2A"),"?","%3F")))&lt;&gt;1),"",IF(OR(INDEX('Rules'!$B$7:$B$26,MATCH(SUBSTITUTE(SUBSTITUTE(SUBSTITUTE(SUBSTITUTE("type:"&amp;B772,"%","%25"),"~","%7E"),"*","%2A"),"?","%3F"),'Rules'!$G$7:$G$26,0))="hours",INDEX('Rules'!$B$7:$B$26,MATCH(SUBSTITUTE(SUBSTITUTE(SUBSTITUTE(SUBSTITUTE("type:"&amp;B772,"%","%25"),"~","%7E"),"*","%2A"),"?","%3F"),'Rules'!$G$7:$G$26,0))="km"),INDEX('Rules'!$B$7:$B$26,MATCH(SUBSTITUTE(SUBSTITUTE(SUBSTITUTE(SUBSTITUTE("type:"&amp;B772,"%","%25"),"~","%7E"),"*","%2A"),"?","%3F"),'Rules'!$G$7:$G$26,0)),""))</x:f>
      </x:c>
      <x:c r="I772" s="6" t="str">
        <x:f>IF(AND(NOT(COUNTA(A772:F772)=0),K772=""),ROUND(J772-D772,3),"")</x:f>
      </x:c>
      <x:c r="J772" s="6" t="str">
        <x:f>IF(AND(NOT(COUNTA(A772:F772)=0),K772=""),ROUND(F772+L772,3),"")</x:f>
      </x:c>
      <x:c r="K772" s="5" t="str">
        <x:f>IF(COUNTA(A772:F772)=0,"",IF(A772="","Missing equipment ID",IF(COUNTIFS($N$8:$N$2007,"="&amp;N772)&gt;1,"Duplicate equipment ID",IF(B772="","Missing type",IF(COUNTIFS('Rules'!$G$7:$G$26,"="&amp;(SUBSTITUTE(SUBSTITUTE(SUBSTITUTE(SUBSTITUTE("type:"&amp;B772,"%","%25"),"~","%7E"),"*","%2A"),"?","%3F")))=0,"Unknown type",IF(COUNTIFS('Rules'!$G$7:$G$26,"="&amp;(SUBSTITUTE(SUBSTITUTE(SUBSTITUTE(SUBSTITUTE("type:"&amp;B772,"%","%25"),"~","%7E"),"*","%2A"),"?","%3F")))&gt;1,"Duplicate type",IF(INDEX('Rules'!$F$7:$F$26,MATCH(SUBSTITUTE(SUBSTITUTE(SUBSTITUTE(SUBSTITUTE("type:"&amp;B772,"%","%25"),"~","%7E"),"*","%2A"),"?","%3F"),'Rules'!$G$7:$G$26,0))&lt;&gt;"",INDEX('Rules'!$F$7:$F$26,MATCH(SUBSTITUTE(SUBSTITUTE(SUBSTITUTE(SUBSTITUTE("type:"&amp;B772,"%","%25"),"~","%7E"),"*","%2A"),"?","%3F"),'Rules'!$G$7:$G$26,0)),IF(AND(C772&lt;&gt;"",C772&lt;&gt;INDEX('Rules'!$B$7:$B$26,MATCH(SUBSTITUTE(SUBSTITUTE(SUBSTITUTE(SUBSTITUTE("type:"&amp;B772,"%","%25"),"~","%7E"),"*","%2A"),"?","%3F"),'Rules'!$G$7:$G$26,0))),"Unit mismatch",IF(IF(NOT(ISNUMBER(D772)),TRUE,OR(D772&lt;0,D772&gt;999999999,ROUND(D772,3)&lt;&gt;D772)),"Invalid current reading",IF(AND(E772&lt;&gt;"",IF(NOT(ISNUMBER(E772)),TRUE,OR(E772&lt;0,E772&gt;999999999,ROUND(E772,3)&lt;&gt;E772))),"Invalid previous reading",IF(IF(NOT(ISNUMBER(F772)),TRUE,OR(F772&lt;0,F772&gt;999999999,ROUND(F772,3)&lt;&gt;F772)),"Invalid last service",IF(AND(E772&lt;&gt;"",D772&lt;E772),"Decreased reading",IF(F772&gt;D772,"Last service above current","")))))))))))))</x:f>
      </x:c>
      <x:c r="L772" s="6" t="str">
        <x:f>IF(AND(NOT(COUNTA(A772:F772)=0),K772=""),INDEX('Rules'!$C$7:$C$26,MATCH(SUBSTITUTE(SUBSTITUTE(SUBSTITUTE(SUBSTITUTE("type:"&amp;B772,"%","%25"),"~","%7E"),"*","%2A"),"?","%3F"),'Rules'!$G$7:$G$26,0)),"")</x:f>
      </x:c>
      <x:c r="M772" s="6" t="str">
        <x:f>IF(AND(NOT(COUNTA(A772:F772)=0),K772=""),INDEX('Rules'!$D$7:$D$26,MATCH(SUBSTITUTE(SUBSTITUTE(SUBSTITUTE(SUBSTITUTE("type:"&amp;B772,"%","%25"),"~","%7E"),"*","%2A"),"?","%3F"),'Rules'!$G$7:$G$26,0)),"")</x:f>
      </x:c>
      <x:c r="N772" s="5" t="str">
        <x:f>IF(COUNTA(A772:F772)=0,"",SUBSTITUTE(SUBSTITUTE(SUBSTITUTE(SUBSTITUTE("id:"&amp;A772,"%","%25"),"~","%7E"),"*","%2A"),"?","%3F"))</x:f>
      </x:c>
    </x:row>
    <x:row r="773" ht="22" customHeight="1">
      <x:c r="A773" s="3"/>
      <x:c r="B773" s="3"/>
      <x:c r="C773" s="3"/>
      <x:c r="D773" s="4"/>
      <x:c r="E773" s="4"/>
      <x:c r="F773" s="4"/>
      <x:c r="G773" s="5" t="str">
        <x:f>IF(COUNTA(A773:F773)=0,"",IF(K773&lt;&gt;"","Review",IF(I773&lt;0,"Overdue",IF(I773=0,"Due now",IF(I773&lt;=M773,"Due soon","Not due")))))</x:f>
      </x:c>
      <x:c r="H773" s="5" t="str">
        <x:f>IF(OR(COUNTA(A773:F773)=0,COUNTIFS('Rules'!$G$7:$G$26,"="&amp;(SUBSTITUTE(SUBSTITUTE(SUBSTITUTE(SUBSTITUTE("type:"&amp;B773,"%","%25"),"~","%7E"),"*","%2A"),"?","%3F")))&lt;&gt;1),"",IF(OR(INDEX('Rules'!$B$7:$B$26,MATCH(SUBSTITUTE(SUBSTITUTE(SUBSTITUTE(SUBSTITUTE("type:"&amp;B773,"%","%25"),"~","%7E"),"*","%2A"),"?","%3F"),'Rules'!$G$7:$G$26,0))="hours",INDEX('Rules'!$B$7:$B$26,MATCH(SUBSTITUTE(SUBSTITUTE(SUBSTITUTE(SUBSTITUTE("type:"&amp;B773,"%","%25"),"~","%7E"),"*","%2A"),"?","%3F"),'Rules'!$G$7:$G$26,0))="km"),INDEX('Rules'!$B$7:$B$26,MATCH(SUBSTITUTE(SUBSTITUTE(SUBSTITUTE(SUBSTITUTE("type:"&amp;B773,"%","%25"),"~","%7E"),"*","%2A"),"?","%3F"),'Rules'!$G$7:$G$26,0)),""))</x:f>
      </x:c>
      <x:c r="I773" s="6" t="str">
        <x:f>IF(AND(NOT(COUNTA(A773:F773)=0),K773=""),ROUND(J773-D773,3),"")</x:f>
      </x:c>
      <x:c r="J773" s="6" t="str">
        <x:f>IF(AND(NOT(COUNTA(A773:F773)=0),K773=""),ROUND(F773+L773,3),"")</x:f>
      </x:c>
      <x:c r="K773" s="5" t="str">
        <x:f>IF(COUNTA(A773:F773)=0,"",IF(A773="","Missing equipment ID",IF(COUNTIFS($N$8:$N$2007,"="&amp;N773)&gt;1,"Duplicate equipment ID",IF(B773="","Missing type",IF(COUNTIFS('Rules'!$G$7:$G$26,"="&amp;(SUBSTITUTE(SUBSTITUTE(SUBSTITUTE(SUBSTITUTE("type:"&amp;B773,"%","%25"),"~","%7E"),"*","%2A"),"?","%3F")))=0,"Unknown type",IF(COUNTIFS('Rules'!$G$7:$G$26,"="&amp;(SUBSTITUTE(SUBSTITUTE(SUBSTITUTE(SUBSTITUTE("type:"&amp;B773,"%","%25"),"~","%7E"),"*","%2A"),"?","%3F")))&gt;1,"Duplicate type",IF(INDEX('Rules'!$F$7:$F$26,MATCH(SUBSTITUTE(SUBSTITUTE(SUBSTITUTE(SUBSTITUTE("type:"&amp;B773,"%","%25"),"~","%7E"),"*","%2A"),"?","%3F"),'Rules'!$G$7:$G$26,0))&lt;&gt;"",INDEX('Rules'!$F$7:$F$26,MATCH(SUBSTITUTE(SUBSTITUTE(SUBSTITUTE(SUBSTITUTE("type:"&amp;B773,"%","%25"),"~","%7E"),"*","%2A"),"?","%3F"),'Rules'!$G$7:$G$26,0)),IF(AND(C773&lt;&gt;"",C773&lt;&gt;INDEX('Rules'!$B$7:$B$26,MATCH(SUBSTITUTE(SUBSTITUTE(SUBSTITUTE(SUBSTITUTE("type:"&amp;B773,"%","%25"),"~","%7E"),"*","%2A"),"?","%3F"),'Rules'!$G$7:$G$26,0))),"Unit mismatch",IF(IF(NOT(ISNUMBER(D773)),TRUE,OR(D773&lt;0,D773&gt;999999999,ROUND(D773,3)&lt;&gt;D773)),"Invalid current reading",IF(AND(E773&lt;&gt;"",IF(NOT(ISNUMBER(E773)),TRUE,OR(E773&lt;0,E773&gt;999999999,ROUND(E773,3)&lt;&gt;E773))),"Invalid previous reading",IF(IF(NOT(ISNUMBER(F773)),TRUE,OR(F773&lt;0,F773&gt;999999999,ROUND(F773,3)&lt;&gt;F773)),"Invalid last service",IF(AND(E773&lt;&gt;"",D773&lt;E773),"Decreased reading",IF(F773&gt;D773,"Last service above current","")))))))))))))</x:f>
      </x:c>
      <x:c r="L773" s="6" t="str">
        <x:f>IF(AND(NOT(COUNTA(A773:F773)=0),K773=""),INDEX('Rules'!$C$7:$C$26,MATCH(SUBSTITUTE(SUBSTITUTE(SUBSTITUTE(SUBSTITUTE("type:"&amp;B773,"%","%25"),"~","%7E"),"*","%2A"),"?","%3F"),'Rules'!$G$7:$G$26,0)),"")</x:f>
      </x:c>
      <x:c r="M773" s="6" t="str">
        <x:f>IF(AND(NOT(COUNTA(A773:F773)=0),K773=""),INDEX('Rules'!$D$7:$D$26,MATCH(SUBSTITUTE(SUBSTITUTE(SUBSTITUTE(SUBSTITUTE("type:"&amp;B773,"%","%25"),"~","%7E"),"*","%2A"),"?","%3F"),'Rules'!$G$7:$G$26,0)),"")</x:f>
      </x:c>
      <x:c r="N773" s="5" t="str">
        <x:f>IF(COUNTA(A773:F773)=0,"",SUBSTITUTE(SUBSTITUTE(SUBSTITUTE(SUBSTITUTE("id:"&amp;A773,"%","%25"),"~","%7E"),"*","%2A"),"?","%3F"))</x:f>
      </x:c>
    </x:row>
    <x:row r="774" ht="22" customHeight="1">
      <x:c r="A774" s="3"/>
      <x:c r="B774" s="3"/>
      <x:c r="C774" s="3"/>
      <x:c r="D774" s="4"/>
      <x:c r="E774" s="4"/>
      <x:c r="F774" s="4"/>
      <x:c r="G774" s="5" t="str">
        <x:f>IF(COUNTA(A774:F774)=0,"",IF(K774&lt;&gt;"","Review",IF(I774&lt;0,"Overdue",IF(I774=0,"Due now",IF(I774&lt;=M774,"Due soon","Not due")))))</x:f>
      </x:c>
      <x:c r="H774" s="5" t="str">
        <x:f>IF(OR(COUNTA(A774:F774)=0,COUNTIFS('Rules'!$G$7:$G$26,"="&amp;(SUBSTITUTE(SUBSTITUTE(SUBSTITUTE(SUBSTITUTE("type:"&amp;B774,"%","%25"),"~","%7E"),"*","%2A"),"?","%3F")))&lt;&gt;1),"",IF(OR(INDEX('Rules'!$B$7:$B$26,MATCH(SUBSTITUTE(SUBSTITUTE(SUBSTITUTE(SUBSTITUTE("type:"&amp;B774,"%","%25"),"~","%7E"),"*","%2A"),"?","%3F"),'Rules'!$G$7:$G$26,0))="hours",INDEX('Rules'!$B$7:$B$26,MATCH(SUBSTITUTE(SUBSTITUTE(SUBSTITUTE(SUBSTITUTE("type:"&amp;B774,"%","%25"),"~","%7E"),"*","%2A"),"?","%3F"),'Rules'!$G$7:$G$26,0))="km"),INDEX('Rules'!$B$7:$B$26,MATCH(SUBSTITUTE(SUBSTITUTE(SUBSTITUTE(SUBSTITUTE("type:"&amp;B774,"%","%25"),"~","%7E"),"*","%2A"),"?","%3F"),'Rules'!$G$7:$G$26,0)),""))</x:f>
      </x:c>
      <x:c r="I774" s="6" t="str">
        <x:f>IF(AND(NOT(COUNTA(A774:F774)=0),K774=""),ROUND(J774-D774,3),"")</x:f>
      </x:c>
      <x:c r="J774" s="6" t="str">
        <x:f>IF(AND(NOT(COUNTA(A774:F774)=0),K774=""),ROUND(F774+L774,3),"")</x:f>
      </x:c>
      <x:c r="K774" s="5" t="str">
        <x:f>IF(COUNTA(A774:F774)=0,"",IF(A774="","Missing equipment ID",IF(COUNTIFS($N$8:$N$2007,"="&amp;N774)&gt;1,"Duplicate equipment ID",IF(B774="","Missing type",IF(COUNTIFS('Rules'!$G$7:$G$26,"="&amp;(SUBSTITUTE(SUBSTITUTE(SUBSTITUTE(SUBSTITUTE("type:"&amp;B774,"%","%25"),"~","%7E"),"*","%2A"),"?","%3F")))=0,"Unknown type",IF(COUNTIFS('Rules'!$G$7:$G$26,"="&amp;(SUBSTITUTE(SUBSTITUTE(SUBSTITUTE(SUBSTITUTE("type:"&amp;B774,"%","%25"),"~","%7E"),"*","%2A"),"?","%3F")))&gt;1,"Duplicate type",IF(INDEX('Rules'!$F$7:$F$26,MATCH(SUBSTITUTE(SUBSTITUTE(SUBSTITUTE(SUBSTITUTE("type:"&amp;B774,"%","%25"),"~","%7E"),"*","%2A"),"?","%3F"),'Rules'!$G$7:$G$26,0))&lt;&gt;"",INDEX('Rules'!$F$7:$F$26,MATCH(SUBSTITUTE(SUBSTITUTE(SUBSTITUTE(SUBSTITUTE("type:"&amp;B774,"%","%25"),"~","%7E"),"*","%2A"),"?","%3F"),'Rules'!$G$7:$G$26,0)),IF(AND(C774&lt;&gt;"",C774&lt;&gt;INDEX('Rules'!$B$7:$B$26,MATCH(SUBSTITUTE(SUBSTITUTE(SUBSTITUTE(SUBSTITUTE("type:"&amp;B774,"%","%25"),"~","%7E"),"*","%2A"),"?","%3F"),'Rules'!$G$7:$G$26,0))),"Unit mismatch",IF(IF(NOT(ISNUMBER(D774)),TRUE,OR(D774&lt;0,D774&gt;999999999,ROUND(D774,3)&lt;&gt;D774)),"Invalid current reading",IF(AND(E774&lt;&gt;"",IF(NOT(ISNUMBER(E774)),TRUE,OR(E774&lt;0,E774&gt;999999999,ROUND(E774,3)&lt;&gt;E774))),"Invalid previous reading",IF(IF(NOT(ISNUMBER(F774)),TRUE,OR(F774&lt;0,F774&gt;999999999,ROUND(F774,3)&lt;&gt;F774)),"Invalid last service",IF(AND(E774&lt;&gt;"",D774&lt;E774),"Decreased reading",IF(F774&gt;D774,"Last service above current","")))))))))))))</x:f>
      </x:c>
      <x:c r="L774" s="6" t="str">
        <x:f>IF(AND(NOT(COUNTA(A774:F774)=0),K774=""),INDEX('Rules'!$C$7:$C$26,MATCH(SUBSTITUTE(SUBSTITUTE(SUBSTITUTE(SUBSTITUTE("type:"&amp;B774,"%","%25"),"~","%7E"),"*","%2A"),"?","%3F"),'Rules'!$G$7:$G$26,0)),"")</x:f>
      </x:c>
      <x:c r="M774" s="6" t="str">
        <x:f>IF(AND(NOT(COUNTA(A774:F774)=0),K774=""),INDEX('Rules'!$D$7:$D$26,MATCH(SUBSTITUTE(SUBSTITUTE(SUBSTITUTE(SUBSTITUTE("type:"&amp;B774,"%","%25"),"~","%7E"),"*","%2A"),"?","%3F"),'Rules'!$G$7:$G$26,0)),"")</x:f>
      </x:c>
      <x:c r="N774" s="5" t="str">
        <x:f>IF(COUNTA(A774:F774)=0,"",SUBSTITUTE(SUBSTITUTE(SUBSTITUTE(SUBSTITUTE("id:"&amp;A774,"%","%25"),"~","%7E"),"*","%2A"),"?","%3F"))</x:f>
      </x:c>
    </x:row>
    <x:row r="775" ht="22" customHeight="1">
      <x:c r="A775" s="3"/>
      <x:c r="B775" s="3"/>
      <x:c r="C775" s="3"/>
      <x:c r="D775" s="4"/>
      <x:c r="E775" s="4"/>
      <x:c r="F775" s="4"/>
      <x:c r="G775" s="5" t="str">
        <x:f>IF(COUNTA(A775:F775)=0,"",IF(K775&lt;&gt;"","Review",IF(I775&lt;0,"Overdue",IF(I775=0,"Due now",IF(I775&lt;=M775,"Due soon","Not due")))))</x:f>
      </x:c>
      <x:c r="H775" s="5" t="str">
        <x:f>IF(OR(COUNTA(A775:F775)=0,COUNTIFS('Rules'!$G$7:$G$26,"="&amp;(SUBSTITUTE(SUBSTITUTE(SUBSTITUTE(SUBSTITUTE("type:"&amp;B775,"%","%25"),"~","%7E"),"*","%2A"),"?","%3F")))&lt;&gt;1),"",IF(OR(INDEX('Rules'!$B$7:$B$26,MATCH(SUBSTITUTE(SUBSTITUTE(SUBSTITUTE(SUBSTITUTE("type:"&amp;B775,"%","%25"),"~","%7E"),"*","%2A"),"?","%3F"),'Rules'!$G$7:$G$26,0))="hours",INDEX('Rules'!$B$7:$B$26,MATCH(SUBSTITUTE(SUBSTITUTE(SUBSTITUTE(SUBSTITUTE("type:"&amp;B775,"%","%25"),"~","%7E"),"*","%2A"),"?","%3F"),'Rules'!$G$7:$G$26,0))="km"),INDEX('Rules'!$B$7:$B$26,MATCH(SUBSTITUTE(SUBSTITUTE(SUBSTITUTE(SUBSTITUTE("type:"&amp;B775,"%","%25"),"~","%7E"),"*","%2A"),"?","%3F"),'Rules'!$G$7:$G$26,0)),""))</x:f>
      </x:c>
      <x:c r="I775" s="6" t="str">
        <x:f>IF(AND(NOT(COUNTA(A775:F775)=0),K775=""),ROUND(J775-D775,3),"")</x:f>
      </x:c>
      <x:c r="J775" s="6" t="str">
        <x:f>IF(AND(NOT(COUNTA(A775:F775)=0),K775=""),ROUND(F775+L775,3),"")</x:f>
      </x:c>
      <x:c r="K775" s="5" t="str">
        <x:f>IF(COUNTA(A775:F775)=0,"",IF(A775="","Missing equipment ID",IF(COUNTIFS($N$8:$N$2007,"="&amp;N775)&gt;1,"Duplicate equipment ID",IF(B775="","Missing type",IF(COUNTIFS('Rules'!$G$7:$G$26,"="&amp;(SUBSTITUTE(SUBSTITUTE(SUBSTITUTE(SUBSTITUTE("type:"&amp;B775,"%","%25"),"~","%7E"),"*","%2A"),"?","%3F")))=0,"Unknown type",IF(COUNTIFS('Rules'!$G$7:$G$26,"="&amp;(SUBSTITUTE(SUBSTITUTE(SUBSTITUTE(SUBSTITUTE("type:"&amp;B775,"%","%25"),"~","%7E"),"*","%2A"),"?","%3F")))&gt;1,"Duplicate type",IF(INDEX('Rules'!$F$7:$F$26,MATCH(SUBSTITUTE(SUBSTITUTE(SUBSTITUTE(SUBSTITUTE("type:"&amp;B775,"%","%25"),"~","%7E"),"*","%2A"),"?","%3F"),'Rules'!$G$7:$G$26,0))&lt;&gt;"",INDEX('Rules'!$F$7:$F$26,MATCH(SUBSTITUTE(SUBSTITUTE(SUBSTITUTE(SUBSTITUTE("type:"&amp;B775,"%","%25"),"~","%7E"),"*","%2A"),"?","%3F"),'Rules'!$G$7:$G$26,0)),IF(AND(C775&lt;&gt;"",C775&lt;&gt;INDEX('Rules'!$B$7:$B$26,MATCH(SUBSTITUTE(SUBSTITUTE(SUBSTITUTE(SUBSTITUTE("type:"&amp;B775,"%","%25"),"~","%7E"),"*","%2A"),"?","%3F"),'Rules'!$G$7:$G$26,0))),"Unit mismatch",IF(IF(NOT(ISNUMBER(D775)),TRUE,OR(D775&lt;0,D775&gt;999999999,ROUND(D775,3)&lt;&gt;D775)),"Invalid current reading",IF(AND(E775&lt;&gt;"",IF(NOT(ISNUMBER(E775)),TRUE,OR(E775&lt;0,E775&gt;999999999,ROUND(E775,3)&lt;&gt;E775))),"Invalid previous reading",IF(IF(NOT(ISNUMBER(F775)),TRUE,OR(F775&lt;0,F775&gt;999999999,ROUND(F775,3)&lt;&gt;F775)),"Invalid last service",IF(AND(E775&lt;&gt;"",D775&lt;E775),"Decreased reading",IF(F775&gt;D775,"Last service above current","")))))))))))))</x:f>
      </x:c>
      <x:c r="L775" s="6" t="str">
        <x:f>IF(AND(NOT(COUNTA(A775:F775)=0),K775=""),INDEX('Rules'!$C$7:$C$26,MATCH(SUBSTITUTE(SUBSTITUTE(SUBSTITUTE(SUBSTITUTE("type:"&amp;B775,"%","%25"),"~","%7E"),"*","%2A"),"?","%3F"),'Rules'!$G$7:$G$26,0)),"")</x:f>
      </x:c>
      <x:c r="M775" s="6" t="str">
        <x:f>IF(AND(NOT(COUNTA(A775:F775)=0),K775=""),INDEX('Rules'!$D$7:$D$26,MATCH(SUBSTITUTE(SUBSTITUTE(SUBSTITUTE(SUBSTITUTE("type:"&amp;B775,"%","%25"),"~","%7E"),"*","%2A"),"?","%3F"),'Rules'!$G$7:$G$26,0)),"")</x:f>
      </x:c>
      <x:c r="N775" s="5" t="str">
        <x:f>IF(COUNTA(A775:F775)=0,"",SUBSTITUTE(SUBSTITUTE(SUBSTITUTE(SUBSTITUTE("id:"&amp;A775,"%","%25"),"~","%7E"),"*","%2A"),"?","%3F"))</x:f>
      </x:c>
    </x:row>
    <x:row r="776" ht="22" customHeight="1">
      <x:c r="A776" s="3"/>
      <x:c r="B776" s="3"/>
      <x:c r="C776" s="3"/>
      <x:c r="D776" s="4"/>
      <x:c r="E776" s="4"/>
      <x:c r="F776" s="4"/>
      <x:c r="G776" s="5" t="str">
        <x:f>IF(COUNTA(A776:F776)=0,"",IF(K776&lt;&gt;"","Review",IF(I776&lt;0,"Overdue",IF(I776=0,"Due now",IF(I776&lt;=M776,"Due soon","Not due")))))</x:f>
      </x:c>
      <x:c r="H776" s="5" t="str">
        <x:f>IF(OR(COUNTA(A776:F776)=0,COUNTIFS('Rules'!$G$7:$G$26,"="&amp;(SUBSTITUTE(SUBSTITUTE(SUBSTITUTE(SUBSTITUTE("type:"&amp;B776,"%","%25"),"~","%7E"),"*","%2A"),"?","%3F")))&lt;&gt;1),"",IF(OR(INDEX('Rules'!$B$7:$B$26,MATCH(SUBSTITUTE(SUBSTITUTE(SUBSTITUTE(SUBSTITUTE("type:"&amp;B776,"%","%25"),"~","%7E"),"*","%2A"),"?","%3F"),'Rules'!$G$7:$G$26,0))="hours",INDEX('Rules'!$B$7:$B$26,MATCH(SUBSTITUTE(SUBSTITUTE(SUBSTITUTE(SUBSTITUTE("type:"&amp;B776,"%","%25"),"~","%7E"),"*","%2A"),"?","%3F"),'Rules'!$G$7:$G$26,0))="km"),INDEX('Rules'!$B$7:$B$26,MATCH(SUBSTITUTE(SUBSTITUTE(SUBSTITUTE(SUBSTITUTE("type:"&amp;B776,"%","%25"),"~","%7E"),"*","%2A"),"?","%3F"),'Rules'!$G$7:$G$26,0)),""))</x:f>
      </x:c>
      <x:c r="I776" s="6" t="str">
        <x:f>IF(AND(NOT(COUNTA(A776:F776)=0),K776=""),ROUND(J776-D776,3),"")</x:f>
      </x:c>
      <x:c r="J776" s="6" t="str">
        <x:f>IF(AND(NOT(COUNTA(A776:F776)=0),K776=""),ROUND(F776+L776,3),"")</x:f>
      </x:c>
      <x:c r="K776" s="5" t="str">
        <x:f>IF(COUNTA(A776:F776)=0,"",IF(A776="","Missing equipment ID",IF(COUNTIFS($N$8:$N$2007,"="&amp;N776)&gt;1,"Duplicate equipment ID",IF(B776="","Missing type",IF(COUNTIFS('Rules'!$G$7:$G$26,"="&amp;(SUBSTITUTE(SUBSTITUTE(SUBSTITUTE(SUBSTITUTE("type:"&amp;B776,"%","%25"),"~","%7E"),"*","%2A"),"?","%3F")))=0,"Unknown type",IF(COUNTIFS('Rules'!$G$7:$G$26,"="&amp;(SUBSTITUTE(SUBSTITUTE(SUBSTITUTE(SUBSTITUTE("type:"&amp;B776,"%","%25"),"~","%7E"),"*","%2A"),"?","%3F")))&gt;1,"Duplicate type",IF(INDEX('Rules'!$F$7:$F$26,MATCH(SUBSTITUTE(SUBSTITUTE(SUBSTITUTE(SUBSTITUTE("type:"&amp;B776,"%","%25"),"~","%7E"),"*","%2A"),"?","%3F"),'Rules'!$G$7:$G$26,0))&lt;&gt;"",INDEX('Rules'!$F$7:$F$26,MATCH(SUBSTITUTE(SUBSTITUTE(SUBSTITUTE(SUBSTITUTE("type:"&amp;B776,"%","%25"),"~","%7E"),"*","%2A"),"?","%3F"),'Rules'!$G$7:$G$26,0)),IF(AND(C776&lt;&gt;"",C776&lt;&gt;INDEX('Rules'!$B$7:$B$26,MATCH(SUBSTITUTE(SUBSTITUTE(SUBSTITUTE(SUBSTITUTE("type:"&amp;B776,"%","%25"),"~","%7E"),"*","%2A"),"?","%3F"),'Rules'!$G$7:$G$26,0))),"Unit mismatch",IF(IF(NOT(ISNUMBER(D776)),TRUE,OR(D776&lt;0,D776&gt;999999999,ROUND(D776,3)&lt;&gt;D776)),"Invalid current reading",IF(AND(E776&lt;&gt;"",IF(NOT(ISNUMBER(E776)),TRUE,OR(E776&lt;0,E776&gt;999999999,ROUND(E776,3)&lt;&gt;E776))),"Invalid previous reading",IF(IF(NOT(ISNUMBER(F776)),TRUE,OR(F776&lt;0,F776&gt;999999999,ROUND(F776,3)&lt;&gt;F776)),"Invalid last service",IF(AND(E776&lt;&gt;"",D776&lt;E776),"Decreased reading",IF(F776&gt;D776,"Last service above current","")))))))))))))</x:f>
      </x:c>
      <x:c r="L776" s="6" t="str">
        <x:f>IF(AND(NOT(COUNTA(A776:F776)=0),K776=""),INDEX('Rules'!$C$7:$C$26,MATCH(SUBSTITUTE(SUBSTITUTE(SUBSTITUTE(SUBSTITUTE("type:"&amp;B776,"%","%25"),"~","%7E"),"*","%2A"),"?","%3F"),'Rules'!$G$7:$G$26,0)),"")</x:f>
      </x:c>
      <x:c r="M776" s="6" t="str">
        <x:f>IF(AND(NOT(COUNTA(A776:F776)=0),K776=""),INDEX('Rules'!$D$7:$D$26,MATCH(SUBSTITUTE(SUBSTITUTE(SUBSTITUTE(SUBSTITUTE("type:"&amp;B776,"%","%25"),"~","%7E"),"*","%2A"),"?","%3F"),'Rules'!$G$7:$G$26,0)),"")</x:f>
      </x:c>
      <x:c r="N776" s="5" t="str">
        <x:f>IF(COUNTA(A776:F776)=0,"",SUBSTITUTE(SUBSTITUTE(SUBSTITUTE(SUBSTITUTE("id:"&amp;A776,"%","%25"),"~","%7E"),"*","%2A"),"?","%3F"))</x:f>
      </x:c>
    </x:row>
    <x:row r="777" ht="22" customHeight="1">
      <x:c r="A777" s="3"/>
      <x:c r="B777" s="3"/>
      <x:c r="C777" s="3"/>
      <x:c r="D777" s="4"/>
      <x:c r="E777" s="4"/>
      <x:c r="F777" s="4"/>
      <x:c r="G777" s="5" t="str">
        <x:f>IF(COUNTA(A777:F777)=0,"",IF(K777&lt;&gt;"","Review",IF(I777&lt;0,"Overdue",IF(I777=0,"Due now",IF(I777&lt;=M777,"Due soon","Not due")))))</x:f>
      </x:c>
      <x:c r="H777" s="5" t="str">
        <x:f>IF(OR(COUNTA(A777:F777)=0,COUNTIFS('Rules'!$G$7:$G$26,"="&amp;(SUBSTITUTE(SUBSTITUTE(SUBSTITUTE(SUBSTITUTE("type:"&amp;B777,"%","%25"),"~","%7E"),"*","%2A"),"?","%3F")))&lt;&gt;1),"",IF(OR(INDEX('Rules'!$B$7:$B$26,MATCH(SUBSTITUTE(SUBSTITUTE(SUBSTITUTE(SUBSTITUTE("type:"&amp;B777,"%","%25"),"~","%7E"),"*","%2A"),"?","%3F"),'Rules'!$G$7:$G$26,0))="hours",INDEX('Rules'!$B$7:$B$26,MATCH(SUBSTITUTE(SUBSTITUTE(SUBSTITUTE(SUBSTITUTE("type:"&amp;B777,"%","%25"),"~","%7E"),"*","%2A"),"?","%3F"),'Rules'!$G$7:$G$26,0))="km"),INDEX('Rules'!$B$7:$B$26,MATCH(SUBSTITUTE(SUBSTITUTE(SUBSTITUTE(SUBSTITUTE("type:"&amp;B777,"%","%25"),"~","%7E"),"*","%2A"),"?","%3F"),'Rules'!$G$7:$G$26,0)),""))</x:f>
      </x:c>
      <x:c r="I777" s="6" t="str">
        <x:f>IF(AND(NOT(COUNTA(A777:F777)=0),K777=""),ROUND(J777-D777,3),"")</x:f>
      </x:c>
      <x:c r="J777" s="6" t="str">
        <x:f>IF(AND(NOT(COUNTA(A777:F777)=0),K777=""),ROUND(F777+L777,3),"")</x:f>
      </x:c>
      <x:c r="K777" s="5" t="str">
        <x:f>IF(COUNTA(A777:F777)=0,"",IF(A777="","Missing equipment ID",IF(COUNTIFS($N$8:$N$2007,"="&amp;N777)&gt;1,"Duplicate equipment ID",IF(B777="","Missing type",IF(COUNTIFS('Rules'!$G$7:$G$26,"="&amp;(SUBSTITUTE(SUBSTITUTE(SUBSTITUTE(SUBSTITUTE("type:"&amp;B777,"%","%25"),"~","%7E"),"*","%2A"),"?","%3F")))=0,"Unknown type",IF(COUNTIFS('Rules'!$G$7:$G$26,"="&amp;(SUBSTITUTE(SUBSTITUTE(SUBSTITUTE(SUBSTITUTE("type:"&amp;B777,"%","%25"),"~","%7E"),"*","%2A"),"?","%3F")))&gt;1,"Duplicate type",IF(INDEX('Rules'!$F$7:$F$26,MATCH(SUBSTITUTE(SUBSTITUTE(SUBSTITUTE(SUBSTITUTE("type:"&amp;B777,"%","%25"),"~","%7E"),"*","%2A"),"?","%3F"),'Rules'!$G$7:$G$26,0))&lt;&gt;"",INDEX('Rules'!$F$7:$F$26,MATCH(SUBSTITUTE(SUBSTITUTE(SUBSTITUTE(SUBSTITUTE("type:"&amp;B777,"%","%25"),"~","%7E"),"*","%2A"),"?","%3F"),'Rules'!$G$7:$G$26,0)),IF(AND(C777&lt;&gt;"",C777&lt;&gt;INDEX('Rules'!$B$7:$B$26,MATCH(SUBSTITUTE(SUBSTITUTE(SUBSTITUTE(SUBSTITUTE("type:"&amp;B777,"%","%25"),"~","%7E"),"*","%2A"),"?","%3F"),'Rules'!$G$7:$G$26,0))),"Unit mismatch",IF(IF(NOT(ISNUMBER(D777)),TRUE,OR(D777&lt;0,D777&gt;999999999,ROUND(D777,3)&lt;&gt;D777)),"Invalid current reading",IF(AND(E777&lt;&gt;"",IF(NOT(ISNUMBER(E777)),TRUE,OR(E777&lt;0,E777&gt;999999999,ROUND(E777,3)&lt;&gt;E777))),"Invalid previous reading",IF(IF(NOT(ISNUMBER(F777)),TRUE,OR(F777&lt;0,F777&gt;999999999,ROUND(F777,3)&lt;&gt;F777)),"Invalid last service",IF(AND(E777&lt;&gt;"",D777&lt;E777),"Decreased reading",IF(F777&gt;D777,"Last service above current","")))))))))))))</x:f>
      </x:c>
      <x:c r="L777" s="6" t="str">
        <x:f>IF(AND(NOT(COUNTA(A777:F777)=0),K777=""),INDEX('Rules'!$C$7:$C$26,MATCH(SUBSTITUTE(SUBSTITUTE(SUBSTITUTE(SUBSTITUTE("type:"&amp;B777,"%","%25"),"~","%7E"),"*","%2A"),"?","%3F"),'Rules'!$G$7:$G$26,0)),"")</x:f>
      </x:c>
      <x:c r="M777" s="6" t="str">
        <x:f>IF(AND(NOT(COUNTA(A777:F777)=0),K777=""),INDEX('Rules'!$D$7:$D$26,MATCH(SUBSTITUTE(SUBSTITUTE(SUBSTITUTE(SUBSTITUTE("type:"&amp;B777,"%","%25"),"~","%7E"),"*","%2A"),"?","%3F"),'Rules'!$G$7:$G$26,0)),"")</x:f>
      </x:c>
      <x:c r="N777" s="5" t="str">
        <x:f>IF(COUNTA(A777:F777)=0,"",SUBSTITUTE(SUBSTITUTE(SUBSTITUTE(SUBSTITUTE("id:"&amp;A777,"%","%25"),"~","%7E"),"*","%2A"),"?","%3F"))</x:f>
      </x:c>
    </x:row>
    <x:row r="778" ht="22" customHeight="1">
      <x:c r="A778" s="3"/>
      <x:c r="B778" s="3"/>
      <x:c r="C778" s="3"/>
      <x:c r="D778" s="4"/>
      <x:c r="E778" s="4"/>
      <x:c r="F778" s="4"/>
      <x:c r="G778" s="5" t="str">
        <x:f>IF(COUNTA(A778:F778)=0,"",IF(K778&lt;&gt;"","Review",IF(I778&lt;0,"Overdue",IF(I778=0,"Due now",IF(I778&lt;=M778,"Due soon","Not due")))))</x:f>
      </x:c>
      <x:c r="H778" s="5" t="str">
        <x:f>IF(OR(COUNTA(A778:F778)=0,COUNTIFS('Rules'!$G$7:$G$26,"="&amp;(SUBSTITUTE(SUBSTITUTE(SUBSTITUTE(SUBSTITUTE("type:"&amp;B778,"%","%25"),"~","%7E"),"*","%2A"),"?","%3F")))&lt;&gt;1),"",IF(OR(INDEX('Rules'!$B$7:$B$26,MATCH(SUBSTITUTE(SUBSTITUTE(SUBSTITUTE(SUBSTITUTE("type:"&amp;B778,"%","%25"),"~","%7E"),"*","%2A"),"?","%3F"),'Rules'!$G$7:$G$26,0))="hours",INDEX('Rules'!$B$7:$B$26,MATCH(SUBSTITUTE(SUBSTITUTE(SUBSTITUTE(SUBSTITUTE("type:"&amp;B778,"%","%25"),"~","%7E"),"*","%2A"),"?","%3F"),'Rules'!$G$7:$G$26,0))="km"),INDEX('Rules'!$B$7:$B$26,MATCH(SUBSTITUTE(SUBSTITUTE(SUBSTITUTE(SUBSTITUTE("type:"&amp;B778,"%","%25"),"~","%7E"),"*","%2A"),"?","%3F"),'Rules'!$G$7:$G$26,0)),""))</x:f>
      </x:c>
      <x:c r="I778" s="6" t="str">
        <x:f>IF(AND(NOT(COUNTA(A778:F778)=0),K778=""),ROUND(J778-D778,3),"")</x:f>
      </x:c>
      <x:c r="J778" s="6" t="str">
        <x:f>IF(AND(NOT(COUNTA(A778:F778)=0),K778=""),ROUND(F778+L778,3),"")</x:f>
      </x:c>
      <x:c r="K778" s="5" t="str">
        <x:f>IF(COUNTA(A778:F778)=0,"",IF(A778="","Missing equipment ID",IF(COUNTIFS($N$8:$N$2007,"="&amp;N778)&gt;1,"Duplicate equipment ID",IF(B778="","Missing type",IF(COUNTIFS('Rules'!$G$7:$G$26,"="&amp;(SUBSTITUTE(SUBSTITUTE(SUBSTITUTE(SUBSTITUTE("type:"&amp;B778,"%","%25"),"~","%7E"),"*","%2A"),"?","%3F")))=0,"Unknown type",IF(COUNTIFS('Rules'!$G$7:$G$26,"="&amp;(SUBSTITUTE(SUBSTITUTE(SUBSTITUTE(SUBSTITUTE("type:"&amp;B778,"%","%25"),"~","%7E"),"*","%2A"),"?","%3F")))&gt;1,"Duplicate type",IF(INDEX('Rules'!$F$7:$F$26,MATCH(SUBSTITUTE(SUBSTITUTE(SUBSTITUTE(SUBSTITUTE("type:"&amp;B778,"%","%25"),"~","%7E"),"*","%2A"),"?","%3F"),'Rules'!$G$7:$G$26,0))&lt;&gt;"",INDEX('Rules'!$F$7:$F$26,MATCH(SUBSTITUTE(SUBSTITUTE(SUBSTITUTE(SUBSTITUTE("type:"&amp;B778,"%","%25"),"~","%7E"),"*","%2A"),"?","%3F"),'Rules'!$G$7:$G$26,0)),IF(AND(C778&lt;&gt;"",C778&lt;&gt;INDEX('Rules'!$B$7:$B$26,MATCH(SUBSTITUTE(SUBSTITUTE(SUBSTITUTE(SUBSTITUTE("type:"&amp;B778,"%","%25"),"~","%7E"),"*","%2A"),"?","%3F"),'Rules'!$G$7:$G$26,0))),"Unit mismatch",IF(IF(NOT(ISNUMBER(D778)),TRUE,OR(D778&lt;0,D778&gt;999999999,ROUND(D778,3)&lt;&gt;D778)),"Invalid current reading",IF(AND(E778&lt;&gt;"",IF(NOT(ISNUMBER(E778)),TRUE,OR(E778&lt;0,E778&gt;999999999,ROUND(E778,3)&lt;&gt;E778))),"Invalid previous reading",IF(IF(NOT(ISNUMBER(F778)),TRUE,OR(F778&lt;0,F778&gt;999999999,ROUND(F778,3)&lt;&gt;F778)),"Invalid last service",IF(AND(E778&lt;&gt;"",D778&lt;E778),"Decreased reading",IF(F778&gt;D778,"Last service above current","")))))))))))))</x:f>
      </x:c>
      <x:c r="L778" s="6" t="str">
        <x:f>IF(AND(NOT(COUNTA(A778:F778)=0),K778=""),INDEX('Rules'!$C$7:$C$26,MATCH(SUBSTITUTE(SUBSTITUTE(SUBSTITUTE(SUBSTITUTE("type:"&amp;B778,"%","%25"),"~","%7E"),"*","%2A"),"?","%3F"),'Rules'!$G$7:$G$26,0)),"")</x:f>
      </x:c>
      <x:c r="M778" s="6" t="str">
        <x:f>IF(AND(NOT(COUNTA(A778:F778)=0),K778=""),INDEX('Rules'!$D$7:$D$26,MATCH(SUBSTITUTE(SUBSTITUTE(SUBSTITUTE(SUBSTITUTE("type:"&amp;B778,"%","%25"),"~","%7E"),"*","%2A"),"?","%3F"),'Rules'!$G$7:$G$26,0)),"")</x:f>
      </x:c>
      <x:c r="N778" s="5" t="str">
        <x:f>IF(COUNTA(A778:F778)=0,"",SUBSTITUTE(SUBSTITUTE(SUBSTITUTE(SUBSTITUTE("id:"&amp;A778,"%","%25"),"~","%7E"),"*","%2A"),"?","%3F"))</x:f>
      </x:c>
    </x:row>
    <x:row r="779" ht="22" customHeight="1">
      <x:c r="A779" s="3"/>
      <x:c r="B779" s="3"/>
      <x:c r="C779" s="3"/>
      <x:c r="D779" s="4"/>
      <x:c r="E779" s="4"/>
      <x:c r="F779" s="4"/>
      <x:c r="G779" s="5" t="str">
        <x:f>IF(COUNTA(A779:F779)=0,"",IF(K779&lt;&gt;"","Review",IF(I779&lt;0,"Overdue",IF(I779=0,"Due now",IF(I779&lt;=M779,"Due soon","Not due")))))</x:f>
      </x:c>
      <x:c r="H779" s="5" t="str">
        <x:f>IF(OR(COUNTA(A779:F779)=0,COUNTIFS('Rules'!$G$7:$G$26,"="&amp;(SUBSTITUTE(SUBSTITUTE(SUBSTITUTE(SUBSTITUTE("type:"&amp;B779,"%","%25"),"~","%7E"),"*","%2A"),"?","%3F")))&lt;&gt;1),"",IF(OR(INDEX('Rules'!$B$7:$B$26,MATCH(SUBSTITUTE(SUBSTITUTE(SUBSTITUTE(SUBSTITUTE("type:"&amp;B779,"%","%25"),"~","%7E"),"*","%2A"),"?","%3F"),'Rules'!$G$7:$G$26,0))="hours",INDEX('Rules'!$B$7:$B$26,MATCH(SUBSTITUTE(SUBSTITUTE(SUBSTITUTE(SUBSTITUTE("type:"&amp;B779,"%","%25"),"~","%7E"),"*","%2A"),"?","%3F"),'Rules'!$G$7:$G$26,0))="km"),INDEX('Rules'!$B$7:$B$26,MATCH(SUBSTITUTE(SUBSTITUTE(SUBSTITUTE(SUBSTITUTE("type:"&amp;B779,"%","%25"),"~","%7E"),"*","%2A"),"?","%3F"),'Rules'!$G$7:$G$26,0)),""))</x:f>
      </x:c>
      <x:c r="I779" s="6" t="str">
        <x:f>IF(AND(NOT(COUNTA(A779:F779)=0),K779=""),ROUND(J779-D779,3),"")</x:f>
      </x:c>
      <x:c r="J779" s="6" t="str">
        <x:f>IF(AND(NOT(COUNTA(A779:F779)=0),K779=""),ROUND(F779+L779,3),"")</x:f>
      </x:c>
      <x:c r="K779" s="5" t="str">
        <x:f>IF(COUNTA(A779:F779)=0,"",IF(A779="","Missing equipment ID",IF(COUNTIFS($N$8:$N$2007,"="&amp;N779)&gt;1,"Duplicate equipment ID",IF(B779="","Missing type",IF(COUNTIFS('Rules'!$G$7:$G$26,"="&amp;(SUBSTITUTE(SUBSTITUTE(SUBSTITUTE(SUBSTITUTE("type:"&amp;B779,"%","%25"),"~","%7E"),"*","%2A"),"?","%3F")))=0,"Unknown type",IF(COUNTIFS('Rules'!$G$7:$G$26,"="&amp;(SUBSTITUTE(SUBSTITUTE(SUBSTITUTE(SUBSTITUTE("type:"&amp;B779,"%","%25"),"~","%7E"),"*","%2A"),"?","%3F")))&gt;1,"Duplicate type",IF(INDEX('Rules'!$F$7:$F$26,MATCH(SUBSTITUTE(SUBSTITUTE(SUBSTITUTE(SUBSTITUTE("type:"&amp;B779,"%","%25"),"~","%7E"),"*","%2A"),"?","%3F"),'Rules'!$G$7:$G$26,0))&lt;&gt;"",INDEX('Rules'!$F$7:$F$26,MATCH(SUBSTITUTE(SUBSTITUTE(SUBSTITUTE(SUBSTITUTE("type:"&amp;B779,"%","%25"),"~","%7E"),"*","%2A"),"?","%3F"),'Rules'!$G$7:$G$26,0)),IF(AND(C779&lt;&gt;"",C779&lt;&gt;INDEX('Rules'!$B$7:$B$26,MATCH(SUBSTITUTE(SUBSTITUTE(SUBSTITUTE(SUBSTITUTE("type:"&amp;B779,"%","%25"),"~","%7E"),"*","%2A"),"?","%3F"),'Rules'!$G$7:$G$26,0))),"Unit mismatch",IF(IF(NOT(ISNUMBER(D779)),TRUE,OR(D779&lt;0,D779&gt;999999999,ROUND(D779,3)&lt;&gt;D779)),"Invalid current reading",IF(AND(E779&lt;&gt;"",IF(NOT(ISNUMBER(E779)),TRUE,OR(E779&lt;0,E779&gt;999999999,ROUND(E779,3)&lt;&gt;E779))),"Invalid previous reading",IF(IF(NOT(ISNUMBER(F779)),TRUE,OR(F779&lt;0,F779&gt;999999999,ROUND(F779,3)&lt;&gt;F779)),"Invalid last service",IF(AND(E779&lt;&gt;"",D779&lt;E779),"Decreased reading",IF(F779&gt;D779,"Last service above current","")))))))))))))</x:f>
      </x:c>
      <x:c r="L779" s="6" t="str">
        <x:f>IF(AND(NOT(COUNTA(A779:F779)=0),K779=""),INDEX('Rules'!$C$7:$C$26,MATCH(SUBSTITUTE(SUBSTITUTE(SUBSTITUTE(SUBSTITUTE("type:"&amp;B779,"%","%25"),"~","%7E"),"*","%2A"),"?","%3F"),'Rules'!$G$7:$G$26,0)),"")</x:f>
      </x:c>
      <x:c r="M779" s="6" t="str">
        <x:f>IF(AND(NOT(COUNTA(A779:F779)=0),K779=""),INDEX('Rules'!$D$7:$D$26,MATCH(SUBSTITUTE(SUBSTITUTE(SUBSTITUTE(SUBSTITUTE("type:"&amp;B779,"%","%25"),"~","%7E"),"*","%2A"),"?","%3F"),'Rules'!$G$7:$G$26,0)),"")</x:f>
      </x:c>
      <x:c r="N779" s="5" t="str">
        <x:f>IF(COUNTA(A779:F779)=0,"",SUBSTITUTE(SUBSTITUTE(SUBSTITUTE(SUBSTITUTE("id:"&amp;A779,"%","%25"),"~","%7E"),"*","%2A"),"?","%3F"))</x:f>
      </x:c>
    </x:row>
    <x:row r="780" ht="22" customHeight="1">
      <x:c r="A780" s="3"/>
      <x:c r="B780" s="3"/>
      <x:c r="C780" s="3"/>
      <x:c r="D780" s="4"/>
      <x:c r="E780" s="4"/>
      <x:c r="F780" s="4"/>
      <x:c r="G780" s="5" t="str">
        <x:f>IF(COUNTA(A780:F780)=0,"",IF(K780&lt;&gt;"","Review",IF(I780&lt;0,"Overdue",IF(I780=0,"Due now",IF(I780&lt;=M780,"Due soon","Not due")))))</x:f>
      </x:c>
      <x:c r="H780" s="5" t="str">
        <x:f>IF(OR(COUNTA(A780:F780)=0,COUNTIFS('Rules'!$G$7:$G$26,"="&amp;(SUBSTITUTE(SUBSTITUTE(SUBSTITUTE(SUBSTITUTE("type:"&amp;B780,"%","%25"),"~","%7E"),"*","%2A"),"?","%3F")))&lt;&gt;1),"",IF(OR(INDEX('Rules'!$B$7:$B$26,MATCH(SUBSTITUTE(SUBSTITUTE(SUBSTITUTE(SUBSTITUTE("type:"&amp;B780,"%","%25"),"~","%7E"),"*","%2A"),"?","%3F"),'Rules'!$G$7:$G$26,0))="hours",INDEX('Rules'!$B$7:$B$26,MATCH(SUBSTITUTE(SUBSTITUTE(SUBSTITUTE(SUBSTITUTE("type:"&amp;B780,"%","%25"),"~","%7E"),"*","%2A"),"?","%3F"),'Rules'!$G$7:$G$26,0))="km"),INDEX('Rules'!$B$7:$B$26,MATCH(SUBSTITUTE(SUBSTITUTE(SUBSTITUTE(SUBSTITUTE("type:"&amp;B780,"%","%25"),"~","%7E"),"*","%2A"),"?","%3F"),'Rules'!$G$7:$G$26,0)),""))</x:f>
      </x:c>
      <x:c r="I780" s="6" t="str">
        <x:f>IF(AND(NOT(COUNTA(A780:F780)=0),K780=""),ROUND(J780-D780,3),"")</x:f>
      </x:c>
      <x:c r="J780" s="6" t="str">
        <x:f>IF(AND(NOT(COUNTA(A780:F780)=0),K780=""),ROUND(F780+L780,3),"")</x:f>
      </x:c>
      <x:c r="K780" s="5" t="str">
        <x:f>IF(COUNTA(A780:F780)=0,"",IF(A780="","Missing equipment ID",IF(COUNTIFS($N$8:$N$2007,"="&amp;N780)&gt;1,"Duplicate equipment ID",IF(B780="","Missing type",IF(COUNTIFS('Rules'!$G$7:$G$26,"="&amp;(SUBSTITUTE(SUBSTITUTE(SUBSTITUTE(SUBSTITUTE("type:"&amp;B780,"%","%25"),"~","%7E"),"*","%2A"),"?","%3F")))=0,"Unknown type",IF(COUNTIFS('Rules'!$G$7:$G$26,"="&amp;(SUBSTITUTE(SUBSTITUTE(SUBSTITUTE(SUBSTITUTE("type:"&amp;B780,"%","%25"),"~","%7E"),"*","%2A"),"?","%3F")))&gt;1,"Duplicate type",IF(INDEX('Rules'!$F$7:$F$26,MATCH(SUBSTITUTE(SUBSTITUTE(SUBSTITUTE(SUBSTITUTE("type:"&amp;B780,"%","%25"),"~","%7E"),"*","%2A"),"?","%3F"),'Rules'!$G$7:$G$26,0))&lt;&gt;"",INDEX('Rules'!$F$7:$F$26,MATCH(SUBSTITUTE(SUBSTITUTE(SUBSTITUTE(SUBSTITUTE("type:"&amp;B780,"%","%25"),"~","%7E"),"*","%2A"),"?","%3F"),'Rules'!$G$7:$G$26,0)),IF(AND(C780&lt;&gt;"",C780&lt;&gt;INDEX('Rules'!$B$7:$B$26,MATCH(SUBSTITUTE(SUBSTITUTE(SUBSTITUTE(SUBSTITUTE("type:"&amp;B780,"%","%25"),"~","%7E"),"*","%2A"),"?","%3F"),'Rules'!$G$7:$G$26,0))),"Unit mismatch",IF(IF(NOT(ISNUMBER(D780)),TRUE,OR(D780&lt;0,D780&gt;999999999,ROUND(D780,3)&lt;&gt;D780)),"Invalid current reading",IF(AND(E780&lt;&gt;"",IF(NOT(ISNUMBER(E780)),TRUE,OR(E780&lt;0,E780&gt;999999999,ROUND(E780,3)&lt;&gt;E780))),"Invalid previous reading",IF(IF(NOT(ISNUMBER(F780)),TRUE,OR(F780&lt;0,F780&gt;999999999,ROUND(F780,3)&lt;&gt;F780)),"Invalid last service",IF(AND(E780&lt;&gt;"",D780&lt;E780),"Decreased reading",IF(F780&gt;D780,"Last service above current","")))))))))))))</x:f>
      </x:c>
      <x:c r="L780" s="6" t="str">
        <x:f>IF(AND(NOT(COUNTA(A780:F780)=0),K780=""),INDEX('Rules'!$C$7:$C$26,MATCH(SUBSTITUTE(SUBSTITUTE(SUBSTITUTE(SUBSTITUTE("type:"&amp;B780,"%","%25"),"~","%7E"),"*","%2A"),"?","%3F"),'Rules'!$G$7:$G$26,0)),"")</x:f>
      </x:c>
      <x:c r="M780" s="6" t="str">
        <x:f>IF(AND(NOT(COUNTA(A780:F780)=0),K780=""),INDEX('Rules'!$D$7:$D$26,MATCH(SUBSTITUTE(SUBSTITUTE(SUBSTITUTE(SUBSTITUTE("type:"&amp;B780,"%","%25"),"~","%7E"),"*","%2A"),"?","%3F"),'Rules'!$G$7:$G$26,0)),"")</x:f>
      </x:c>
      <x:c r="N780" s="5" t="str">
        <x:f>IF(COUNTA(A780:F780)=0,"",SUBSTITUTE(SUBSTITUTE(SUBSTITUTE(SUBSTITUTE("id:"&amp;A780,"%","%25"),"~","%7E"),"*","%2A"),"?","%3F"))</x:f>
      </x:c>
    </x:row>
    <x:row r="781" ht="22" customHeight="1">
      <x:c r="A781" s="3"/>
      <x:c r="B781" s="3"/>
      <x:c r="C781" s="3"/>
      <x:c r="D781" s="4"/>
      <x:c r="E781" s="4"/>
      <x:c r="F781" s="4"/>
      <x:c r="G781" s="5" t="str">
        <x:f>IF(COUNTA(A781:F781)=0,"",IF(K781&lt;&gt;"","Review",IF(I781&lt;0,"Overdue",IF(I781=0,"Due now",IF(I781&lt;=M781,"Due soon","Not due")))))</x:f>
      </x:c>
      <x:c r="H781" s="5" t="str">
        <x:f>IF(OR(COUNTA(A781:F781)=0,COUNTIFS('Rules'!$G$7:$G$26,"="&amp;(SUBSTITUTE(SUBSTITUTE(SUBSTITUTE(SUBSTITUTE("type:"&amp;B781,"%","%25"),"~","%7E"),"*","%2A"),"?","%3F")))&lt;&gt;1),"",IF(OR(INDEX('Rules'!$B$7:$B$26,MATCH(SUBSTITUTE(SUBSTITUTE(SUBSTITUTE(SUBSTITUTE("type:"&amp;B781,"%","%25"),"~","%7E"),"*","%2A"),"?","%3F"),'Rules'!$G$7:$G$26,0))="hours",INDEX('Rules'!$B$7:$B$26,MATCH(SUBSTITUTE(SUBSTITUTE(SUBSTITUTE(SUBSTITUTE("type:"&amp;B781,"%","%25"),"~","%7E"),"*","%2A"),"?","%3F"),'Rules'!$G$7:$G$26,0))="km"),INDEX('Rules'!$B$7:$B$26,MATCH(SUBSTITUTE(SUBSTITUTE(SUBSTITUTE(SUBSTITUTE("type:"&amp;B781,"%","%25"),"~","%7E"),"*","%2A"),"?","%3F"),'Rules'!$G$7:$G$26,0)),""))</x:f>
      </x:c>
      <x:c r="I781" s="6" t="str">
        <x:f>IF(AND(NOT(COUNTA(A781:F781)=0),K781=""),ROUND(J781-D781,3),"")</x:f>
      </x:c>
      <x:c r="J781" s="6" t="str">
        <x:f>IF(AND(NOT(COUNTA(A781:F781)=0),K781=""),ROUND(F781+L781,3),"")</x:f>
      </x:c>
      <x:c r="K781" s="5" t="str">
        <x:f>IF(COUNTA(A781:F781)=0,"",IF(A781="","Missing equipment ID",IF(COUNTIFS($N$8:$N$2007,"="&amp;N781)&gt;1,"Duplicate equipment ID",IF(B781="","Missing type",IF(COUNTIFS('Rules'!$G$7:$G$26,"="&amp;(SUBSTITUTE(SUBSTITUTE(SUBSTITUTE(SUBSTITUTE("type:"&amp;B781,"%","%25"),"~","%7E"),"*","%2A"),"?","%3F")))=0,"Unknown type",IF(COUNTIFS('Rules'!$G$7:$G$26,"="&amp;(SUBSTITUTE(SUBSTITUTE(SUBSTITUTE(SUBSTITUTE("type:"&amp;B781,"%","%25"),"~","%7E"),"*","%2A"),"?","%3F")))&gt;1,"Duplicate type",IF(INDEX('Rules'!$F$7:$F$26,MATCH(SUBSTITUTE(SUBSTITUTE(SUBSTITUTE(SUBSTITUTE("type:"&amp;B781,"%","%25"),"~","%7E"),"*","%2A"),"?","%3F"),'Rules'!$G$7:$G$26,0))&lt;&gt;"",INDEX('Rules'!$F$7:$F$26,MATCH(SUBSTITUTE(SUBSTITUTE(SUBSTITUTE(SUBSTITUTE("type:"&amp;B781,"%","%25"),"~","%7E"),"*","%2A"),"?","%3F"),'Rules'!$G$7:$G$26,0)),IF(AND(C781&lt;&gt;"",C781&lt;&gt;INDEX('Rules'!$B$7:$B$26,MATCH(SUBSTITUTE(SUBSTITUTE(SUBSTITUTE(SUBSTITUTE("type:"&amp;B781,"%","%25"),"~","%7E"),"*","%2A"),"?","%3F"),'Rules'!$G$7:$G$26,0))),"Unit mismatch",IF(IF(NOT(ISNUMBER(D781)),TRUE,OR(D781&lt;0,D781&gt;999999999,ROUND(D781,3)&lt;&gt;D781)),"Invalid current reading",IF(AND(E781&lt;&gt;"",IF(NOT(ISNUMBER(E781)),TRUE,OR(E781&lt;0,E781&gt;999999999,ROUND(E781,3)&lt;&gt;E781))),"Invalid previous reading",IF(IF(NOT(ISNUMBER(F781)),TRUE,OR(F781&lt;0,F781&gt;999999999,ROUND(F781,3)&lt;&gt;F781)),"Invalid last service",IF(AND(E781&lt;&gt;"",D781&lt;E781),"Decreased reading",IF(F781&gt;D781,"Last service above current","")))))))))))))</x:f>
      </x:c>
      <x:c r="L781" s="6" t="str">
        <x:f>IF(AND(NOT(COUNTA(A781:F781)=0),K781=""),INDEX('Rules'!$C$7:$C$26,MATCH(SUBSTITUTE(SUBSTITUTE(SUBSTITUTE(SUBSTITUTE("type:"&amp;B781,"%","%25"),"~","%7E"),"*","%2A"),"?","%3F"),'Rules'!$G$7:$G$26,0)),"")</x:f>
      </x:c>
      <x:c r="M781" s="6" t="str">
        <x:f>IF(AND(NOT(COUNTA(A781:F781)=0),K781=""),INDEX('Rules'!$D$7:$D$26,MATCH(SUBSTITUTE(SUBSTITUTE(SUBSTITUTE(SUBSTITUTE("type:"&amp;B781,"%","%25"),"~","%7E"),"*","%2A"),"?","%3F"),'Rules'!$G$7:$G$26,0)),"")</x:f>
      </x:c>
      <x:c r="N781" s="5" t="str">
        <x:f>IF(COUNTA(A781:F781)=0,"",SUBSTITUTE(SUBSTITUTE(SUBSTITUTE(SUBSTITUTE("id:"&amp;A781,"%","%25"),"~","%7E"),"*","%2A"),"?","%3F"))</x:f>
      </x:c>
    </x:row>
    <x:row r="782" ht="22" customHeight="1">
      <x:c r="A782" s="3"/>
      <x:c r="B782" s="3"/>
      <x:c r="C782" s="3"/>
      <x:c r="D782" s="4"/>
      <x:c r="E782" s="4"/>
      <x:c r="F782" s="4"/>
      <x:c r="G782" s="5" t="str">
        <x:f>IF(COUNTA(A782:F782)=0,"",IF(K782&lt;&gt;"","Review",IF(I782&lt;0,"Overdue",IF(I782=0,"Due now",IF(I782&lt;=M782,"Due soon","Not due")))))</x:f>
      </x:c>
      <x:c r="H782" s="5" t="str">
        <x:f>IF(OR(COUNTA(A782:F782)=0,COUNTIFS('Rules'!$G$7:$G$26,"="&amp;(SUBSTITUTE(SUBSTITUTE(SUBSTITUTE(SUBSTITUTE("type:"&amp;B782,"%","%25"),"~","%7E"),"*","%2A"),"?","%3F")))&lt;&gt;1),"",IF(OR(INDEX('Rules'!$B$7:$B$26,MATCH(SUBSTITUTE(SUBSTITUTE(SUBSTITUTE(SUBSTITUTE("type:"&amp;B782,"%","%25"),"~","%7E"),"*","%2A"),"?","%3F"),'Rules'!$G$7:$G$26,0))="hours",INDEX('Rules'!$B$7:$B$26,MATCH(SUBSTITUTE(SUBSTITUTE(SUBSTITUTE(SUBSTITUTE("type:"&amp;B782,"%","%25"),"~","%7E"),"*","%2A"),"?","%3F"),'Rules'!$G$7:$G$26,0))="km"),INDEX('Rules'!$B$7:$B$26,MATCH(SUBSTITUTE(SUBSTITUTE(SUBSTITUTE(SUBSTITUTE("type:"&amp;B782,"%","%25"),"~","%7E"),"*","%2A"),"?","%3F"),'Rules'!$G$7:$G$26,0)),""))</x:f>
      </x:c>
      <x:c r="I782" s="6" t="str">
        <x:f>IF(AND(NOT(COUNTA(A782:F782)=0),K782=""),ROUND(J782-D782,3),"")</x:f>
      </x:c>
      <x:c r="J782" s="6" t="str">
        <x:f>IF(AND(NOT(COUNTA(A782:F782)=0),K782=""),ROUND(F782+L782,3),"")</x:f>
      </x:c>
      <x:c r="K782" s="5" t="str">
        <x:f>IF(COUNTA(A782:F782)=0,"",IF(A782="","Missing equipment ID",IF(COUNTIFS($N$8:$N$2007,"="&amp;N782)&gt;1,"Duplicate equipment ID",IF(B782="","Missing type",IF(COUNTIFS('Rules'!$G$7:$G$26,"="&amp;(SUBSTITUTE(SUBSTITUTE(SUBSTITUTE(SUBSTITUTE("type:"&amp;B782,"%","%25"),"~","%7E"),"*","%2A"),"?","%3F")))=0,"Unknown type",IF(COUNTIFS('Rules'!$G$7:$G$26,"="&amp;(SUBSTITUTE(SUBSTITUTE(SUBSTITUTE(SUBSTITUTE("type:"&amp;B782,"%","%25"),"~","%7E"),"*","%2A"),"?","%3F")))&gt;1,"Duplicate type",IF(INDEX('Rules'!$F$7:$F$26,MATCH(SUBSTITUTE(SUBSTITUTE(SUBSTITUTE(SUBSTITUTE("type:"&amp;B782,"%","%25"),"~","%7E"),"*","%2A"),"?","%3F"),'Rules'!$G$7:$G$26,0))&lt;&gt;"",INDEX('Rules'!$F$7:$F$26,MATCH(SUBSTITUTE(SUBSTITUTE(SUBSTITUTE(SUBSTITUTE("type:"&amp;B782,"%","%25"),"~","%7E"),"*","%2A"),"?","%3F"),'Rules'!$G$7:$G$26,0)),IF(AND(C782&lt;&gt;"",C782&lt;&gt;INDEX('Rules'!$B$7:$B$26,MATCH(SUBSTITUTE(SUBSTITUTE(SUBSTITUTE(SUBSTITUTE("type:"&amp;B782,"%","%25"),"~","%7E"),"*","%2A"),"?","%3F"),'Rules'!$G$7:$G$26,0))),"Unit mismatch",IF(IF(NOT(ISNUMBER(D782)),TRUE,OR(D782&lt;0,D782&gt;999999999,ROUND(D782,3)&lt;&gt;D782)),"Invalid current reading",IF(AND(E782&lt;&gt;"",IF(NOT(ISNUMBER(E782)),TRUE,OR(E782&lt;0,E782&gt;999999999,ROUND(E782,3)&lt;&gt;E782))),"Invalid previous reading",IF(IF(NOT(ISNUMBER(F782)),TRUE,OR(F782&lt;0,F782&gt;999999999,ROUND(F782,3)&lt;&gt;F782)),"Invalid last service",IF(AND(E782&lt;&gt;"",D782&lt;E782),"Decreased reading",IF(F782&gt;D782,"Last service above current","")))))))))))))</x:f>
      </x:c>
      <x:c r="L782" s="6" t="str">
        <x:f>IF(AND(NOT(COUNTA(A782:F782)=0),K782=""),INDEX('Rules'!$C$7:$C$26,MATCH(SUBSTITUTE(SUBSTITUTE(SUBSTITUTE(SUBSTITUTE("type:"&amp;B782,"%","%25"),"~","%7E"),"*","%2A"),"?","%3F"),'Rules'!$G$7:$G$26,0)),"")</x:f>
      </x:c>
      <x:c r="M782" s="6" t="str">
        <x:f>IF(AND(NOT(COUNTA(A782:F782)=0),K782=""),INDEX('Rules'!$D$7:$D$26,MATCH(SUBSTITUTE(SUBSTITUTE(SUBSTITUTE(SUBSTITUTE("type:"&amp;B782,"%","%25"),"~","%7E"),"*","%2A"),"?","%3F"),'Rules'!$G$7:$G$26,0)),"")</x:f>
      </x:c>
      <x:c r="N782" s="5" t="str">
        <x:f>IF(COUNTA(A782:F782)=0,"",SUBSTITUTE(SUBSTITUTE(SUBSTITUTE(SUBSTITUTE("id:"&amp;A782,"%","%25"),"~","%7E"),"*","%2A"),"?","%3F"))</x:f>
      </x:c>
    </x:row>
    <x:row r="783" ht="22" customHeight="1">
      <x:c r="A783" s="3"/>
      <x:c r="B783" s="3"/>
      <x:c r="C783" s="3"/>
      <x:c r="D783" s="4"/>
      <x:c r="E783" s="4"/>
      <x:c r="F783" s="4"/>
      <x:c r="G783" s="5" t="str">
        <x:f>IF(COUNTA(A783:F783)=0,"",IF(K783&lt;&gt;"","Review",IF(I783&lt;0,"Overdue",IF(I783=0,"Due now",IF(I783&lt;=M783,"Due soon","Not due")))))</x:f>
      </x:c>
      <x:c r="H783" s="5" t="str">
        <x:f>IF(OR(COUNTA(A783:F783)=0,COUNTIFS('Rules'!$G$7:$G$26,"="&amp;(SUBSTITUTE(SUBSTITUTE(SUBSTITUTE(SUBSTITUTE("type:"&amp;B783,"%","%25"),"~","%7E"),"*","%2A"),"?","%3F")))&lt;&gt;1),"",IF(OR(INDEX('Rules'!$B$7:$B$26,MATCH(SUBSTITUTE(SUBSTITUTE(SUBSTITUTE(SUBSTITUTE("type:"&amp;B783,"%","%25"),"~","%7E"),"*","%2A"),"?","%3F"),'Rules'!$G$7:$G$26,0))="hours",INDEX('Rules'!$B$7:$B$26,MATCH(SUBSTITUTE(SUBSTITUTE(SUBSTITUTE(SUBSTITUTE("type:"&amp;B783,"%","%25"),"~","%7E"),"*","%2A"),"?","%3F"),'Rules'!$G$7:$G$26,0))="km"),INDEX('Rules'!$B$7:$B$26,MATCH(SUBSTITUTE(SUBSTITUTE(SUBSTITUTE(SUBSTITUTE("type:"&amp;B783,"%","%25"),"~","%7E"),"*","%2A"),"?","%3F"),'Rules'!$G$7:$G$26,0)),""))</x:f>
      </x:c>
      <x:c r="I783" s="6" t="str">
        <x:f>IF(AND(NOT(COUNTA(A783:F783)=0),K783=""),ROUND(J783-D783,3),"")</x:f>
      </x:c>
      <x:c r="J783" s="6" t="str">
        <x:f>IF(AND(NOT(COUNTA(A783:F783)=0),K783=""),ROUND(F783+L783,3),"")</x:f>
      </x:c>
      <x:c r="K783" s="5" t="str">
        <x:f>IF(COUNTA(A783:F783)=0,"",IF(A783="","Missing equipment ID",IF(COUNTIFS($N$8:$N$2007,"="&amp;N783)&gt;1,"Duplicate equipment ID",IF(B783="","Missing type",IF(COUNTIFS('Rules'!$G$7:$G$26,"="&amp;(SUBSTITUTE(SUBSTITUTE(SUBSTITUTE(SUBSTITUTE("type:"&amp;B783,"%","%25"),"~","%7E"),"*","%2A"),"?","%3F")))=0,"Unknown type",IF(COUNTIFS('Rules'!$G$7:$G$26,"="&amp;(SUBSTITUTE(SUBSTITUTE(SUBSTITUTE(SUBSTITUTE("type:"&amp;B783,"%","%25"),"~","%7E"),"*","%2A"),"?","%3F")))&gt;1,"Duplicate type",IF(INDEX('Rules'!$F$7:$F$26,MATCH(SUBSTITUTE(SUBSTITUTE(SUBSTITUTE(SUBSTITUTE("type:"&amp;B783,"%","%25"),"~","%7E"),"*","%2A"),"?","%3F"),'Rules'!$G$7:$G$26,0))&lt;&gt;"",INDEX('Rules'!$F$7:$F$26,MATCH(SUBSTITUTE(SUBSTITUTE(SUBSTITUTE(SUBSTITUTE("type:"&amp;B783,"%","%25"),"~","%7E"),"*","%2A"),"?","%3F"),'Rules'!$G$7:$G$26,0)),IF(AND(C783&lt;&gt;"",C783&lt;&gt;INDEX('Rules'!$B$7:$B$26,MATCH(SUBSTITUTE(SUBSTITUTE(SUBSTITUTE(SUBSTITUTE("type:"&amp;B783,"%","%25"),"~","%7E"),"*","%2A"),"?","%3F"),'Rules'!$G$7:$G$26,0))),"Unit mismatch",IF(IF(NOT(ISNUMBER(D783)),TRUE,OR(D783&lt;0,D783&gt;999999999,ROUND(D783,3)&lt;&gt;D783)),"Invalid current reading",IF(AND(E783&lt;&gt;"",IF(NOT(ISNUMBER(E783)),TRUE,OR(E783&lt;0,E783&gt;999999999,ROUND(E783,3)&lt;&gt;E783))),"Invalid previous reading",IF(IF(NOT(ISNUMBER(F783)),TRUE,OR(F783&lt;0,F783&gt;999999999,ROUND(F783,3)&lt;&gt;F783)),"Invalid last service",IF(AND(E783&lt;&gt;"",D783&lt;E783),"Decreased reading",IF(F783&gt;D783,"Last service above current","")))))))))))))</x:f>
      </x:c>
      <x:c r="L783" s="6" t="str">
        <x:f>IF(AND(NOT(COUNTA(A783:F783)=0),K783=""),INDEX('Rules'!$C$7:$C$26,MATCH(SUBSTITUTE(SUBSTITUTE(SUBSTITUTE(SUBSTITUTE("type:"&amp;B783,"%","%25"),"~","%7E"),"*","%2A"),"?","%3F"),'Rules'!$G$7:$G$26,0)),"")</x:f>
      </x:c>
      <x:c r="M783" s="6" t="str">
        <x:f>IF(AND(NOT(COUNTA(A783:F783)=0),K783=""),INDEX('Rules'!$D$7:$D$26,MATCH(SUBSTITUTE(SUBSTITUTE(SUBSTITUTE(SUBSTITUTE("type:"&amp;B783,"%","%25"),"~","%7E"),"*","%2A"),"?","%3F"),'Rules'!$G$7:$G$26,0)),"")</x:f>
      </x:c>
      <x:c r="N783" s="5" t="str">
        <x:f>IF(COUNTA(A783:F783)=0,"",SUBSTITUTE(SUBSTITUTE(SUBSTITUTE(SUBSTITUTE("id:"&amp;A783,"%","%25"),"~","%7E"),"*","%2A"),"?","%3F"))</x:f>
      </x:c>
    </x:row>
    <x:row r="784" ht="22" customHeight="1">
      <x:c r="A784" s="3"/>
      <x:c r="B784" s="3"/>
      <x:c r="C784" s="3"/>
      <x:c r="D784" s="4"/>
      <x:c r="E784" s="4"/>
      <x:c r="F784" s="4"/>
      <x:c r="G784" s="5" t="str">
        <x:f>IF(COUNTA(A784:F784)=0,"",IF(K784&lt;&gt;"","Review",IF(I784&lt;0,"Overdue",IF(I784=0,"Due now",IF(I784&lt;=M784,"Due soon","Not due")))))</x:f>
      </x:c>
      <x:c r="H784" s="5" t="str">
        <x:f>IF(OR(COUNTA(A784:F784)=0,COUNTIFS('Rules'!$G$7:$G$26,"="&amp;(SUBSTITUTE(SUBSTITUTE(SUBSTITUTE(SUBSTITUTE("type:"&amp;B784,"%","%25"),"~","%7E"),"*","%2A"),"?","%3F")))&lt;&gt;1),"",IF(OR(INDEX('Rules'!$B$7:$B$26,MATCH(SUBSTITUTE(SUBSTITUTE(SUBSTITUTE(SUBSTITUTE("type:"&amp;B784,"%","%25"),"~","%7E"),"*","%2A"),"?","%3F"),'Rules'!$G$7:$G$26,0))="hours",INDEX('Rules'!$B$7:$B$26,MATCH(SUBSTITUTE(SUBSTITUTE(SUBSTITUTE(SUBSTITUTE("type:"&amp;B784,"%","%25"),"~","%7E"),"*","%2A"),"?","%3F"),'Rules'!$G$7:$G$26,0))="km"),INDEX('Rules'!$B$7:$B$26,MATCH(SUBSTITUTE(SUBSTITUTE(SUBSTITUTE(SUBSTITUTE("type:"&amp;B784,"%","%25"),"~","%7E"),"*","%2A"),"?","%3F"),'Rules'!$G$7:$G$26,0)),""))</x:f>
      </x:c>
      <x:c r="I784" s="6" t="str">
        <x:f>IF(AND(NOT(COUNTA(A784:F784)=0),K784=""),ROUND(J784-D784,3),"")</x:f>
      </x:c>
      <x:c r="J784" s="6" t="str">
        <x:f>IF(AND(NOT(COUNTA(A784:F784)=0),K784=""),ROUND(F784+L784,3),"")</x:f>
      </x:c>
      <x:c r="K784" s="5" t="str">
        <x:f>IF(COUNTA(A784:F784)=0,"",IF(A784="","Missing equipment ID",IF(COUNTIFS($N$8:$N$2007,"="&amp;N784)&gt;1,"Duplicate equipment ID",IF(B784="","Missing type",IF(COUNTIFS('Rules'!$G$7:$G$26,"="&amp;(SUBSTITUTE(SUBSTITUTE(SUBSTITUTE(SUBSTITUTE("type:"&amp;B784,"%","%25"),"~","%7E"),"*","%2A"),"?","%3F")))=0,"Unknown type",IF(COUNTIFS('Rules'!$G$7:$G$26,"="&amp;(SUBSTITUTE(SUBSTITUTE(SUBSTITUTE(SUBSTITUTE("type:"&amp;B784,"%","%25"),"~","%7E"),"*","%2A"),"?","%3F")))&gt;1,"Duplicate type",IF(INDEX('Rules'!$F$7:$F$26,MATCH(SUBSTITUTE(SUBSTITUTE(SUBSTITUTE(SUBSTITUTE("type:"&amp;B784,"%","%25"),"~","%7E"),"*","%2A"),"?","%3F"),'Rules'!$G$7:$G$26,0))&lt;&gt;"",INDEX('Rules'!$F$7:$F$26,MATCH(SUBSTITUTE(SUBSTITUTE(SUBSTITUTE(SUBSTITUTE("type:"&amp;B784,"%","%25"),"~","%7E"),"*","%2A"),"?","%3F"),'Rules'!$G$7:$G$26,0)),IF(AND(C784&lt;&gt;"",C784&lt;&gt;INDEX('Rules'!$B$7:$B$26,MATCH(SUBSTITUTE(SUBSTITUTE(SUBSTITUTE(SUBSTITUTE("type:"&amp;B784,"%","%25"),"~","%7E"),"*","%2A"),"?","%3F"),'Rules'!$G$7:$G$26,0))),"Unit mismatch",IF(IF(NOT(ISNUMBER(D784)),TRUE,OR(D784&lt;0,D784&gt;999999999,ROUND(D784,3)&lt;&gt;D784)),"Invalid current reading",IF(AND(E784&lt;&gt;"",IF(NOT(ISNUMBER(E784)),TRUE,OR(E784&lt;0,E784&gt;999999999,ROUND(E784,3)&lt;&gt;E784))),"Invalid previous reading",IF(IF(NOT(ISNUMBER(F784)),TRUE,OR(F784&lt;0,F784&gt;999999999,ROUND(F784,3)&lt;&gt;F784)),"Invalid last service",IF(AND(E784&lt;&gt;"",D784&lt;E784),"Decreased reading",IF(F784&gt;D784,"Last service above current","")))))))))))))</x:f>
      </x:c>
      <x:c r="L784" s="6" t="str">
        <x:f>IF(AND(NOT(COUNTA(A784:F784)=0),K784=""),INDEX('Rules'!$C$7:$C$26,MATCH(SUBSTITUTE(SUBSTITUTE(SUBSTITUTE(SUBSTITUTE("type:"&amp;B784,"%","%25"),"~","%7E"),"*","%2A"),"?","%3F"),'Rules'!$G$7:$G$26,0)),"")</x:f>
      </x:c>
      <x:c r="M784" s="6" t="str">
        <x:f>IF(AND(NOT(COUNTA(A784:F784)=0),K784=""),INDEX('Rules'!$D$7:$D$26,MATCH(SUBSTITUTE(SUBSTITUTE(SUBSTITUTE(SUBSTITUTE("type:"&amp;B784,"%","%25"),"~","%7E"),"*","%2A"),"?","%3F"),'Rules'!$G$7:$G$26,0)),"")</x:f>
      </x:c>
      <x:c r="N784" s="5" t="str">
        <x:f>IF(COUNTA(A784:F784)=0,"",SUBSTITUTE(SUBSTITUTE(SUBSTITUTE(SUBSTITUTE("id:"&amp;A784,"%","%25"),"~","%7E"),"*","%2A"),"?","%3F"))</x:f>
      </x:c>
    </x:row>
    <x:row r="785" ht="22" customHeight="1">
      <x:c r="A785" s="3"/>
      <x:c r="B785" s="3"/>
      <x:c r="C785" s="3"/>
      <x:c r="D785" s="4"/>
      <x:c r="E785" s="4"/>
      <x:c r="F785" s="4"/>
      <x:c r="G785" s="5" t="str">
        <x:f>IF(COUNTA(A785:F785)=0,"",IF(K785&lt;&gt;"","Review",IF(I785&lt;0,"Overdue",IF(I785=0,"Due now",IF(I785&lt;=M785,"Due soon","Not due")))))</x:f>
      </x:c>
      <x:c r="H785" s="5" t="str">
        <x:f>IF(OR(COUNTA(A785:F785)=0,COUNTIFS('Rules'!$G$7:$G$26,"="&amp;(SUBSTITUTE(SUBSTITUTE(SUBSTITUTE(SUBSTITUTE("type:"&amp;B785,"%","%25"),"~","%7E"),"*","%2A"),"?","%3F")))&lt;&gt;1),"",IF(OR(INDEX('Rules'!$B$7:$B$26,MATCH(SUBSTITUTE(SUBSTITUTE(SUBSTITUTE(SUBSTITUTE("type:"&amp;B785,"%","%25"),"~","%7E"),"*","%2A"),"?","%3F"),'Rules'!$G$7:$G$26,0))="hours",INDEX('Rules'!$B$7:$B$26,MATCH(SUBSTITUTE(SUBSTITUTE(SUBSTITUTE(SUBSTITUTE("type:"&amp;B785,"%","%25"),"~","%7E"),"*","%2A"),"?","%3F"),'Rules'!$G$7:$G$26,0))="km"),INDEX('Rules'!$B$7:$B$26,MATCH(SUBSTITUTE(SUBSTITUTE(SUBSTITUTE(SUBSTITUTE("type:"&amp;B785,"%","%25"),"~","%7E"),"*","%2A"),"?","%3F"),'Rules'!$G$7:$G$26,0)),""))</x:f>
      </x:c>
      <x:c r="I785" s="6" t="str">
        <x:f>IF(AND(NOT(COUNTA(A785:F785)=0),K785=""),ROUND(J785-D785,3),"")</x:f>
      </x:c>
      <x:c r="J785" s="6" t="str">
        <x:f>IF(AND(NOT(COUNTA(A785:F785)=0),K785=""),ROUND(F785+L785,3),"")</x:f>
      </x:c>
      <x:c r="K785" s="5" t="str">
        <x:f>IF(COUNTA(A785:F785)=0,"",IF(A785="","Missing equipment ID",IF(COUNTIFS($N$8:$N$2007,"="&amp;N785)&gt;1,"Duplicate equipment ID",IF(B785="","Missing type",IF(COUNTIFS('Rules'!$G$7:$G$26,"="&amp;(SUBSTITUTE(SUBSTITUTE(SUBSTITUTE(SUBSTITUTE("type:"&amp;B785,"%","%25"),"~","%7E"),"*","%2A"),"?","%3F")))=0,"Unknown type",IF(COUNTIFS('Rules'!$G$7:$G$26,"="&amp;(SUBSTITUTE(SUBSTITUTE(SUBSTITUTE(SUBSTITUTE("type:"&amp;B785,"%","%25"),"~","%7E"),"*","%2A"),"?","%3F")))&gt;1,"Duplicate type",IF(INDEX('Rules'!$F$7:$F$26,MATCH(SUBSTITUTE(SUBSTITUTE(SUBSTITUTE(SUBSTITUTE("type:"&amp;B785,"%","%25"),"~","%7E"),"*","%2A"),"?","%3F"),'Rules'!$G$7:$G$26,0))&lt;&gt;"",INDEX('Rules'!$F$7:$F$26,MATCH(SUBSTITUTE(SUBSTITUTE(SUBSTITUTE(SUBSTITUTE("type:"&amp;B785,"%","%25"),"~","%7E"),"*","%2A"),"?","%3F"),'Rules'!$G$7:$G$26,0)),IF(AND(C785&lt;&gt;"",C785&lt;&gt;INDEX('Rules'!$B$7:$B$26,MATCH(SUBSTITUTE(SUBSTITUTE(SUBSTITUTE(SUBSTITUTE("type:"&amp;B785,"%","%25"),"~","%7E"),"*","%2A"),"?","%3F"),'Rules'!$G$7:$G$26,0))),"Unit mismatch",IF(IF(NOT(ISNUMBER(D785)),TRUE,OR(D785&lt;0,D785&gt;999999999,ROUND(D785,3)&lt;&gt;D785)),"Invalid current reading",IF(AND(E785&lt;&gt;"",IF(NOT(ISNUMBER(E785)),TRUE,OR(E785&lt;0,E785&gt;999999999,ROUND(E785,3)&lt;&gt;E785))),"Invalid previous reading",IF(IF(NOT(ISNUMBER(F785)),TRUE,OR(F785&lt;0,F785&gt;999999999,ROUND(F785,3)&lt;&gt;F785)),"Invalid last service",IF(AND(E785&lt;&gt;"",D785&lt;E785),"Decreased reading",IF(F785&gt;D785,"Last service above current","")))))))))))))</x:f>
      </x:c>
      <x:c r="L785" s="6" t="str">
        <x:f>IF(AND(NOT(COUNTA(A785:F785)=0),K785=""),INDEX('Rules'!$C$7:$C$26,MATCH(SUBSTITUTE(SUBSTITUTE(SUBSTITUTE(SUBSTITUTE("type:"&amp;B785,"%","%25"),"~","%7E"),"*","%2A"),"?","%3F"),'Rules'!$G$7:$G$26,0)),"")</x:f>
      </x:c>
      <x:c r="M785" s="6" t="str">
        <x:f>IF(AND(NOT(COUNTA(A785:F785)=0),K785=""),INDEX('Rules'!$D$7:$D$26,MATCH(SUBSTITUTE(SUBSTITUTE(SUBSTITUTE(SUBSTITUTE("type:"&amp;B785,"%","%25"),"~","%7E"),"*","%2A"),"?","%3F"),'Rules'!$G$7:$G$26,0)),"")</x:f>
      </x:c>
      <x:c r="N785" s="5" t="str">
        <x:f>IF(COUNTA(A785:F785)=0,"",SUBSTITUTE(SUBSTITUTE(SUBSTITUTE(SUBSTITUTE("id:"&amp;A785,"%","%25"),"~","%7E"),"*","%2A"),"?","%3F"))</x:f>
      </x:c>
    </x:row>
    <x:row r="786" ht="22" customHeight="1">
      <x:c r="A786" s="3"/>
      <x:c r="B786" s="3"/>
      <x:c r="C786" s="3"/>
      <x:c r="D786" s="4"/>
      <x:c r="E786" s="4"/>
      <x:c r="F786" s="4"/>
      <x:c r="G786" s="5" t="str">
        <x:f>IF(COUNTA(A786:F786)=0,"",IF(K786&lt;&gt;"","Review",IF(I786&lt;0,"Overdue",IF(I786=0,"Due now",IF(I786&lt;=M786,"Due soon","Not due")))))</x:f>
      </x:c>
      <x:c r="H786" s="5" t="str">
        <x:f>IF(OR(COUNTA(A786:F786)=0,COUNTIFS('Rules'!$G$7:$G$26,"="&amp;(SUBSTITUTE(SUBSTITUTE(SUBSTITUTE(SUBSTITUTE("type:"&amp;B786,"%","%25"),"~","%7E"),"*","%2A"),"?","%3F")))&lt;&gt;1),"",IF(OR(INDEX('Rules'!$B$7:$B$26,MATCH(SUBSTITUTE(SUBSTITUTE(SUBSTITUTE(SUBSTITUTE("type:"&amp;B786,"%","%25"),"~","%7E"),"*","%2A"),"?","%3F"),'Rules'!$G$7:$G$26,0))="hours",INDEX('Rules'!$B$7:$B$26,MATCH(SUBSTITUTE(SUBSTITUTE(SUBSTITUTE(SUBSTITUTE("type:"&amp;B786,"%","%25"),"~","%7E"),"*","%2A"),"?","%3F"),'Rules'!$G$7:$G$26,0))="km"),INDEX('Rules'!$B$7:$B$26,MATCH(SUBSTITUTE(SUBSTITUTE(SUBSTITUTE(SUBSTITUTE("type:"&amp;B786,"%","%25"),"~","%7E"),"*","%2A"),"?","%3F"),'Rules'!$G$7:$G$26,0)),""))</x:f>
      </x:c>
      <x:c r="I786" s="6" t="str">
        <x:f>IF(AND(NOT(COUNTA(A786:F786)=0),K786=""),ROUND(J786-D786,3),"")</x:f>
      </x:c>
      <x:c r="J786" s="6" t="str">
        <x:f>IF(AND(NOT(COUNTA(A786:F786)=0),K786=""),ROUND(F786+L786,3),"")</x:f>
      </x:c>
      <x:c r="K786" s="5" t="str">
        <x:f>IF(COUNTA(A786:F786)=0,"",IF(A786="","Missing equipment ID",IF(COUNTIFS($N$8:$N$2007,"="&amp;N786)&gt;1,"Duplicate equipment ID",IF(B786="","Missing type",IF(COUNTIFS('Rules'!$G$7:$G$26,"="&amp;(SUBSTITUTE(SUBSTITUTE(SUBSTITUTE(SUBSTITUTE("type:"&amp;B786,"%","%25"),"~","%7E"),"*","%2A"),"?","%3F")))=0,"Unknown type",IF(COUNTIFS('Rules'!$G$7:$G$26,"="&amp;(SUBSTITUTE(SUBSTITUTE(SUBSTITUTE(SUBSTITUTE("type:"&amp;B786,"%","%25"),"~","%7E"),"*","%2A"),"?","%3F")))&gt;1,"Duplicate type",IF(INDEX('Rules'!$F$7:$F$26,MATCH(SUBSTITUTE(SUBSTITUTE(SUBSTITUTE(SUBSTITUTE("type:"&amp;B786,"%","%25"),"~","%7E"),"*","%2A"),"?","%3F"),'Rules'!$G$7:$G$26,0))&lt;&gt;"",INDEX('Rules'!$F$7:$F$26,MATCH(SUBSTITUTE(SUBSTITUTE(SUBSTITUTE(SUBSTITUTE("type:"&amp;B786,"%","%25"),"~","%7E"),"*","%2A"),"?","%3F"),'Rules'!$G$7:$G$26,0)),IF(AND(C786&lt;&gt;"",C786&lt;&gt;INDEX('Rules'!$B$7:$B$26,MATCH(SUBSTITUTE(SUBSTITUTE(SUBSTITUTE(SUBSTITUTE("type:"&amp;B786,"%","%25"),"~","%7E"),"*","%2A"),"?","%3F"),'Rules'!$G$7:$G$26,0))),"Unit mismatch",IF(IF(NOT(ISNUMBER(D786)),TRUE,OR(D786&lt;0,D786&gt;999999999,ROUND(D786,3)&lt;&gt;D786)),"Invalid current reading",IF(AND(E786&lt;&gt;"",IF(NOT(ISNUMBER(E786)),TRUE,OR(E786&lt;0,E786&gt;999999999,ROUND(E786,3)&lt;&gt;E786))),"Invalid previous reading",IF(IF(NOT(ISNUMBER(F786)),TRUE,OR(F786&lt;0,F786&gt;999999999,ROUND(F786,3)&lt;&gt;F786)),"Invalid last service",IF(AND(E786&lt;&gt;"",D786&lt;E786),"Decreased reading",IF(F786&gt;D786,"Last service above current","")))))))))))))</x:f>
      </x:c>
      <x:c r="L786" s="6" t="str">
        <x:f>IF(AND(NOT(COUNTA(A786:F786)=0),K786=""),INDEX('Rules'!$C$7:$C$26,MATCH(SUBSTITUTE(SUBSTITUTE(SUBSTITUTE(SUBSTITUTE("type:"&amp;B786,"%","%25"),"~","%7E"),"*","%2A"),"?","%3F"),'Rules'!$G$7:$G$26,0)),"")</x:f>
      </x:c>
      <x:c r="M786" s="6" t="str">
        <x:f>IF(AND(NOT(COUNTA(A786:F786)=0),K786=""),INDEX('Rules'!$D$7:$D$26,MATCH(SUBSTITUTE(SUBSTITUTE(SUBSTITUTE(SUBSTITUTE("type:"&amp;B786,"%","%25"),"~","%7E"),"*","%2A"),"?","%3F"),'Rules'!$G$7:$G$26,0)),"")</x:f>
      </x:c>
      <x:c r="N786" s="5" t="str">
        <x:f>IF(COUNTA(A786:F786)=0,"",SUBSTITUTE(SUBSTITUTE(SUBSTITUTE(SUBSTITUTE("id:"&amp;A786,"%","%25"),"~","%7E"),"*","%2A"),"?","%3F"))</x:f>
      </x:c>
    </x:row>
    <x:row r="787" ht="22" customHeight="1">
      <x:c r="A787" s="3"/>
      <x:c r="B787" s="3"/>
      <x:c r="C787" s="3"/>
      <x:c r="D787" s="4"/>
      <x:c r="E787" s="4"/>
      <x:c r="F787" s="4"/>
      <x:c r="G787" s="5" t="str">
        <x:f>IF(COUNTA(A787:F787)=0,"",IF(K787&lt;&gt;"","Review",IF(I787&lt;0,"Overdue",IF(I787=0,"Due now",IF(I787&lt;=M787,"Due soon","Not due")))))</x:f>
      </x:c>
      <x:c r="H787" s="5" t="str">
        <x:f>IF(OR(COUNTA(A787:F787)=0,COUNTIFS('Rules'!$G$7:$G$26,"="&amp;(SUBSTITUTE(SUBSTITUTE(SUBSTITUTE(SUBSTITUTE("type:"&amp;B787,"%","%25"),"~","%7E"),"*","%2A"),"?","%3F")))&lt;&gt;1),"",IF(OR(INDEX('Rules'!$B$7:$B$26,MATCH(SUBSTITUTE(SUBSTITUTE(SUBSTITUTE(SUBSTITUTE("type:"&amp;B787,"%","%25"),"~","%7E"),"*","%2A"),"?","%3F"),'Rules'!$G$7:$G$26,0))="hours",INDEX('Rules'!$B$7:$B$26,MATCH(SUBSTITUTE(SUBSTITUTE(SUBSTITUTE(SUBSTITUTE("type:"&amp;B787,"%","%25"),"~","%7E"),"*","%2A"),"?","%3F"),'Rules'!$G$7:$G$26,0))="km"),INDEX('Rules'!$B$7:$B$26,MATCH(SUBSTITUTE(SUBSTITUTE(SUBSTITUTE(SUBSTITUTE("type:"&amp;B787,"%","%25"),"~","%7E"),"*","%2A"),"?","%3F"),'Rules'!$G$7:$G$26,0)),""))</x:f>
      </x:c>
      <x:c r="I787" s="6" t="str">
        <x:f>IF(AND(NOT(COUNTA(A787:F787)=0),K787=""),ROUND(J787-D787,3),"")</x:f>
      </x:c>
      <x:c r="J787" s="6" t="str">
        <x:f>IF(AND(NOT(COUNTA(A787:F787)=0),K787=""),ROUND(F787+L787,3),"")</x:f>
      </x:c>
      <x:c r="K787" s="5" t="str">
        <x:f>IF(COUNTA(A787:F787)=0,"",IF(A787="","Missing equipment ID",IF(COUNTIFS($N$8:$N$2007,"="&amp;N787)&gt;1,"Duplicate equipment ID",IF(B787="","Missing type",IF(COUNTIFS('Rules'!$G$7:$G$26,"="&amp;(SUBSTITUTE(SUBSTITUTE(SUBSTITUTE(SUBSTITUTE("type:"&amp;B787,"%","%25"),"~","%7E"),"*","%2A"),"?","%3F")))=0,"Unknown type",IF(COUNTIFS('Rules'!$G$7:$G$26,"="&amp;(SUBSTITUTE(SUBSTITUTE(SUBSTITUTE(SUBSTITUTE("type:"&amp;B787,"%","%25"),"~","%7E"),"*","%2A"),"?","%3F")))&gt;1,"Duplicate type",IF(INDEX('Rules'!$F$7:$F$26,MATCH(SUBSTITUTE(SUBSTITUTE(SUBSTITUTE(SUBSTITUTE("type:"&amp;B787,"%","%25"),"~","%7E"),"*","%2A"),"?","%3F"),'Rules'!$G$7:$G$26,0))&lt;&gt;"",INDEX('Rules'!$F$7:$F$26,MATCH(SUBSTITUTE(SUBSTITUTE(SUBSTITUTE(SUBSTITUTE("type:"&amp;B787,"%","%25"),"~","%7E"),"*","%2A"),"?","%3F"),'Rules'!$G$7:$G$26,0)),IF(AND(C787&lt;&gt;"",C787&lt;&gt;INDEX('Rules'!$B$7:$B$26,MATCH(SUBSTITUTE(SUBSTITUTE(SUBSTITUTE(SUBSTITUTE("type:"&amp;B787,"%","%25"),"~","%7E"),"*","%2A"),"?","%3F"),'Rules'!$G$7:$G$26,0))),"Unit mismatch",IF(IF(NOT(ISNUMBER(D787)),TRUE,OR(D787&lt;0,D787&gt;999999999,ROUND(D787,3)&lt;&gt;D787)),"Invalid current reading",IF(AND(E787&lt;&gt;"",IF(NOT(ISNUMBER(E787)),TRUE,OR(E787&lt;0,E787&gt;999999999,ROUND(E787,3)&lt;&gt;E787))),"Invalid previous reading",IF(IF(NOT(ISNUMBER(F787)),TRUE,OR(F787&lt;0,F787&gt;999999999,ROUND(F787,3)&lt;&gt;F787)),"Invalid last service",IF(AND(E787&lt;&gt;"",D787&lt;E787),"Decreased reading",IF(F787&gt;D787,"Last service above current","")))))))))))))</x:f>
      </x:c>
      <x:c r="L787" s="6" t="str">
        <x:f>IF(AND(NOT(COUNTA(A787:F787)=0),K787=""),INDEX('Rules'!$C$7:$C$26,MATCH(SUBSTITUTE(SUBSTITUTE(SUBSTITUTE(SUBSTITUTE("type:"&amp;B787,"%","%25"),"~","%7E"),"*","%2A"),"?","%3F"),'Rules'!$G$7:$G$26,0)),"")</x:f>
      </x:c>
      <x:c r="M787" s="6" t="str">
        <x:f>IF(AND(NOT(COUNTA(A787:F787)=0),K787=""),INDEX('Rules'!$D$7:$D$26,MATCH(SUBSTITUTE(SUBSTITUTE(SUBSTITUTE(SUBSTITUTE("type:"&amp;B787,"%","%25"),"~","%7E"),"*","%2A"),"?","%3F"),'Rules'!$G$7:$G$26,0)),"")</x:f>
      </x:c>
      <x:c r="N787" s="5" t="str">
        <x:f>IF(COUNTA(A787:F787)=0,"",SUBSTITUTE(SUBSTITUTE(SUBSTITUTE(SUBSTITUTE("id:"&amp;A787,"%","%25"),"~","%7E"),"*","%2A"),"?","%3F"))</x:f>
      </x:c>
    </x:row>
    <x:row r="788" ht="22" customHeight="1">
      <x:c r="A788" s="3"/>
      <x:c r="B788" s="3"/>
      <x:c r="C788" s="3"/>
      <x:c r="D788" s="4"/>
      <x:c r="E788" s="4"/>
      <x:c r="F788" s="4"/>
      <x:c r="G788" s="5" t="str">
        <x:f>IF(COUNTA(A788:F788)=0,"",IF(K788&lt;&gt;"","Review",IF(I788&lt;0,"Overdue",IF(I788=0,"Due now",IF(I788&lt;=M788,"Due soon","Not due")))))</x:f>
      </x:c>
      <x:c r="H788" s="5" t="str">
        <x:f>IF(OR(COUNTA(A788:F788)=0,COUNTIFS('Rules'!$G$7:$G$26,"="&amp;(SUBSTITUTE(SUBSTITUTE(SUBSTITUTE(SUBSTITUTE("type:"&amp;B788,"%","%25"),"~","%7E"),"*","%2A"),"?","%3F")))&lt;&gt;1),"",IF(OR(INDEX('Rules'!$B$7:$B$26,MATCH(SUBSTITUTE(SUBSTITUTE(SUBSTITUTE(SUBSTITUTE("type:"&amp;B788,"%","%25"),"~","%7E"),"*","%2A"),"?","%3F"),'Rules'!$G$7:$G$26,0))="hours",INDEX('Rules'!$B$7:$B$26,MATCH(SUBSTITUTE(SUBSTITUTE(SUBSTITUTE(SUBSTITUTE("type:"&amp;B788,"%","%25"),"~","%7E"),"*","%2A"),"?","%3F"),'Rules'!$G$7:$G$26,0))="km"),INDEX('Rules'!$B$7:$B$26,MATCH(SUBSTITUTE(SUBSTITUTE(SUBSTITUTE(SUBSTITUTE("type:"&amp;B788,"%","%25"),"~","%7E"),"*","%2A"),"?","%3F"),'Rules'!$G$7:$G$26,0)),""))</x:f>
      </x:c>
      <x:c r="I788" s="6" t="str">
        <x:f>IF(AND(NOT(COUNTA(A788:F788)=0),K788=""),ROUND(J788-D788,3),"")</x:f>
      </x:c>
      <x:c r="J788" s="6" t="str">
        <x:f>IF(AND(NOT(COUNTA(A788:F788)=0),K788=""),ROUND(F788+L788,3),"")</x:f>
      </x:c>
      <x:c r="K788" s="5" t="str">
        <x:f>IF(COUNTA(A788:F788)=0,"",IF(A788="","Missing equipment ID",IF(COUNTIFS($N$8:$N$2007,"="&amp;N788)&gt;1,"Duplicate equipment ID",IF(B788="","Missing type",IF(COUNTIFS('Rules'!$G$7:$G$26,"="&amp;(SUBSTITUTE(SUBSTITUTE(SUBSTITUTE(SUBSTITUTE("type:"&amp;B788,"%","%25"),"~","%7E"),"*","%2A"),"?","%3F")))=0,"Unknown type",IF(COUNTIFS('Rules'!$G$7:$G$26,"="&amp;(SUBSTITUTE(SUBSTITUTE(SUBSTITUTE(SUBSTITUTE("type:"&amp;B788,"%","%25"),"~","%7E"),"*","%2A"),"?","%3F")))&gt;1,"Duplicate type",IF(INDEX('Rules'!$F$7:$F$26,MATCH(SUBSTITUTE(SUBSTITUTE(SUBSTITUTE(SUBSTITUTE("type:"&amp;B788,"%","%25"),"~","%7E"),"*","%2A"),"?","%3F"),'Rules'!$G$7:$G$26,0))&lt;&gt;"",INDEX('Rules'!$F$7:$F$26,MATCH(SUBSTITUTE(SUBSTITUTE(SUBSTITUTE(SUBSTITUTE("type:"&amp;B788,"%","%25"),"~","%7E"),"*","%2A"),"?","%3F"),'Rules'!$G$7:$G$26,0)),IF(AND(C788&lt;&gt;"",C788&lt;&gt;INDEX('Rules'!$B$7:$B$26,MATCH(SUBSTITUTE(SUBSTITUTE(SUBSTITUTE(SUBSTITUTE("type:"&amp;B788,"%","%25"),"~","%7E"),"*","%2A"),"?","%3F"),'Rules'!$G$7:$G$26,0))),"Unit mismatch",IF(IF(NOT(ISNUMBER(D788)),TRUE,OR(D788&lt;0,D788&gt;999999999,ROUND(D788,3)&lt;&gt;D788)),"Invalid current reading",IF(AND(E788&lt;&gt;"",IF(NOT(ISNUMBER(E788)),TRUE,OR(E788&lt;0,E788&gt;999999999,ROUND(E788,3)&lt;&gt;E788))),"Invalid previous reading",IF(IF(NOT(ISNUMBER(F788)),TRUE,OR(F788&lt;0,F788&gt;999999999,ROUND(F788,3)&lt;&gt;F788)),"Invalid last service",IF(AND(E788&lt;&gt;"",D788&lt;E788),"Decreased reading",IF(F788&gt;D788,"Last service above current","")))))))))))))</x:f>
      </x:c>
      <x:c r="L788" s="6" t="str">
        <x:f>IF(AND(NOT(COUNTA(A788:F788)=0),K788=""),INDEX('Rules'!$C$7:$C$26,MATCH(SUBSTITUTE(SUBSTITUTE(SUBSTITUTE(SUBSTITUTE("type:"&amp;B788,"%","%25"),"~","%7E"),"*","%2A"),"?","%3F"),'Rules'!$G$7:$G$26,0)),"")</x:f>
      </x:c>
      <x:c r="M788" s="6" t="str">
        <x:f>IF(AND(NOT(COUNTA(A788:F788)=0),K788=""),INDEX('Rules'!$D$7:$D$26,MATCH(SUBSTITUTE(SUBSTITUTE(SUBSTITUTE(SUBSTITUTE("type:"&amp;B788,"%","%25"),"~","%7E"),"*","%2A"),"?","%3F"),'Rules'!$G$7:$G$26,0)),"")</x:f>
      </x:c>
      <x:c r="N788" s="5" t="str">
        <x:f>IF(COUNTA(A788:F788)=0,"",SUBSTITUTE(SUBSTITUTE(SUBSTITUTE(SUBSTITUTE("id:"&amp;A788,"%","%25"),"~","%7E"),"*","%2A"),"?","%3F"))</x:f>
      </x:c>
    </x:row>
    <x:row r="789" ht="22" customHeight="1">
      <x:c r="A789" s="3"/>
      <x:c r="B789" s="3"/>
      <x:c r="C789" s="3"/>
      <x:c r="D789" s="4"/>
      <x:c r="E789" s="4"/>
      <x:c r="F789" s="4"/>
      <x:c r="G789" s="5" t="str">
        <x:f>IF(COUNTA(A789:F789)=0,"",IF(K789&lt;&gt;"","Review",IF(I789&lt;0,"Overdue",IF(I789=0,"Due now",IF(I789&lt;=M789,"Due soon","Not due")))))</x:f>
      </x:c>
      <x:c r="H789" s="5" t="str">
        <x:f>IF(OR(COUNTA(A789:F789)=0,COUNTIFS('Rules'!$G$7:$G$26,"="&amp;(SUBSTITUTE(SUBSTITUTE(SUBSTITUTE(SUBSTITUTE("type:"&amp;B789,"%","%25"),"~","%7E"),"*","%2A"),"?","%3F")))&lt;&gt;1),"",IF(OR(INDEX('Rules'!$B$7:$B$26,MATCH(SUBSTITUTE(SUBSTITUTE(SUBSTITUTE(SUBSTITUTE("type:"&amp;B789,"%","%25"),"~","%7E"),"*","%2A"),"?","%3F"),'Rules'!$G$7:$G$26,0))="hours",INDEX('Rules'!$B$7:$B$26,MATCH(SUBSTITUTE(SUBSTITUTE(SUBSTITUTE(SUBSTITUTE("type:"&amp;B789,"%","%25"),"~","%7E"),"*","%2A"),"?","%3F"),'Rules'!$G$7:$G$26,0))="km"),INDEX('Rules'!$B$7:$B$26,MATCH(SUBSTITUTE(SUBSTITUTE(SUBSTITUTE(SUBSTITUTE("type:"&amp;B789,"%","%25"),"~","%7E"),"*","%2A"),"?","%3F"),'Rules'!$G$7:$G$26,0)),""))</x:f>
      </x:c>
      <x:c r="I789" s="6" t="str">
        <x:f>IF(AND(NOT(COUNTA(A789:F789)=0),K789=""),ROUND(J789-D789,3),"")</x:f>
      </x:c>
      <x:c r="J789" s="6" t="str">
        <x:f>IF(AND(NOT(COUNTA(A789:F789)=0),K789=""),ROUND(F789+L789,3),"")</x:f>
      </x:c>
      <x:c r="K789" s="5" t="str">
        <x:f>IF(COUNTA(A789:F789)=0,"",IF(A789="","Missing equipment ID",IF(COUNTIFS($N$8:$N$2007,"="&amp;N789)&gt;1,"Duplicate equipment ID",IF(B789="","Missing type",IF(COUNTIFS('Rules'!$G$7:$G$26,"="&amp;(SUBSTITUTE(SUBSTITUTE(SUBSTITUTE(SUBSTITUTE("type:"&amp;B789,"%","%25"),"~","%7E"),"*","%2A"),"?","%3F")))=0,"Unknown type",IF(COUNTIFS('Rules'!$G$7:$G$26,"="&amp;(SUBSTITUTE(SUBSTITUTE(SUBSTITUTE(SUBSTITUTE("type:"&amp;B789,"%","%25"),"~","%7E"),"*","%2A"),"?","%3F")))&gt;1,"Duplicate type",IF(INDEX('Rules'!$F$7:$F$26,MATCH(SUBSTITUTE(SUBSTITUTE(SUBSTITUTE(SUBSTITUTE("type:"&amp;B789,"%","%25"),"~","%7E"),"*","%2A"),"?","%3F"),'Rules'!$G$7:$G$26,0))&lt;&gt;"",INDEX('Rules'!$F$7:$F$26,MATCH(SUBSTITUTE(SUBSTITUTE(SUBSTITUTE(SUBSTITUTE("type:"&amp;B789,"%","%25"),"~","%7E"),"*","%2A"),"?","%3F"),'Rules'!$G$7:$G$26,0)),IF(AND(C789&lt;&gt;"",C789&lt;&gt;INDEX('Rules'!$B$7:$B$26,MATCH(SUBSTITUTE(SUBSTITUTE(SUBSTITUTE(SUBSTITUTE("type:"&amp;B789,"%","%25"),"~","%7E"),"*","%2A"),"?","%3F"),'Rules'!$G$7:$G$26,0))),"Unit mismatch",IF(IF(NOT(ISNUMBER(D789)),TRUE,OR(D789&lt;0,D789&gt;999999999,ROUND(D789,3)&lt;&gt;D789)),"Invalid current reading",IF(AND(E789&lt;&gt;"",IF(NOT(ISNUMBER(E789)),TRUE,OR(E789&lt;0,E789&gt;999999999,ROUND(E789,3)&lt;&gt;E789))),"Invalid previous reading",IF(IF(NOT(ISNUMBER(F789)),TRUE,OR(F789&lt;0,F789&gt;999999999,ROUND(F789,3)&lt;&gt;F789)),"Invalid last service",IF(AND(E789&lt;&gt;"",D789&lt;E789),"Decreased reading",IF(F789&gt;D789,"Last service above current","")))))))))))))</x:f>
      </x:c>
      <x:c r="L789" s="6" t="str">
        <x:f>IF(AND(NOT(COUNTA(A789:F789)=0),K789=""),INDEX('Rules'!$C$7:$C$26,MATCH(SUBSTITUTE(SUBSTITUTE(SUBSTITUTE(SUBSTITUTE("type:"&amp;B789,"%","%25"),"~","%7E"),"*","%2A"),"?","%3F"),'Rules'!$G$7:$G$26,0)),"")</x:f>
      </x:c>
      <x:c r="M789" s="6" t="str">
        <x:f>IF(AND(NOT(COUNTA(A789:F789)=0),K789=""),INDEX('Rules'!$D$7:$D$26,MATCH(SUBSTITUTE(SUBSTITUTE(SUBSTITUTE(SUBSTITUTE("type:"&amp;B789,"%","%25"),"~","%7E"),"*","%2A"),"?","%3F"),'Rules'!$G$7:$G$26,0)),"")</x:f>
      </x:c>
      <x:c r="N789" s="5" t="str">
        <x:f>IF(COUNTA(A789:F789)=0,"",SUBSTITUTE(SUBSTITUTE(SUBSTITUTE(SUBSTITUTE("id:"&amp;A789,"%","%25"),"~","%7E"),"*","%2A"),"?","%3F"))</x:f>
      </x:c>
    </x:row>
    <x:row r="790" ht="22" customHeight="1">
      <x:c r="A790" s="3"/>
      <x:c r="B790" s="3"/>
      <x:c r="C790" s="3"/>
      <x:c r="D790" s="4"/>
      <x:c r="E790" s="4"/>
      <x:c r="F790" s="4"/>
      <x:c r="G790" s="5" t="str">
        <x:f>IF(COUNTA(A790:F790)=0,"",IF(K790&lt;&gt;"","Review",IF(I790&lt;0,"Overdue",IF(I790=0,"Due now",IF(I790&lt;=M790,"Due soon","Not due")))))</x:f>
      </x:c>
      <x:c r="H790" s="5" t="str">
        <x:f>IF(OR(COUNTA(A790:F790)=0,COUNTIFS('Rules'!$G$7:$G$26,"="&amp;(SUBSTITUTE(SUBSTITUTE(SUBSTITUTE(SUBSTITUTE("type:"&amp;B790,"%","%25"),"~","%7E"),"*","%2A"),"?","%3F")))&lt;&gt;1),"",IF(OR(INDEX('Rules'!$B$7:$B$26,MATCH(SUBSTITUTE(SUBSTITUTE(SUBSTITUTE(SUBSTITUTE("type:"&amp;B790,"%","%25"),"~","%7E"),"*","%2A"),"?","%3F"),'Rules'!$G$7:$G$26,0))="hours",INDEX('Rules'!$B$7:$B$26,MATCH(SUBSTITUTE(SUBSTITUTE(SUBSTITUTE(SUBSTITUTE("type:"&amp;B790,"%","%25"),"~","%7E"),"*","%2A"),"?","%3F"),'Rules'!$G$7:$G$26,0))="km"),INDEX('Rules'!$B$7:$B$26,MATCH(SUBSTITUTE(SUBSTITUTE(SUBSTITUTE(SUBSTITUTE("type:"&amp;B790,"%","%25"),"~","%7E"),"*","%2A"),"?","%3F"),'Rules'!$G$7:$G$26,0)),""))</x:f>
      </x:c>
      <x:c r="I790" s="6" t="str">
        <x:f>IF(AND(NOT(COUNTA(A790:F790)=0),K790=""),ROUND(J790-D790,3),"")</x:f>
      </x:c>
      <x:c r="J790" s="6" t="str">
        <x:f>IF(AND(NOT(COUNTA(A790:F790)=0),K790=""),ROUND(F790+L790,3),"")</x:f>
      </x:c>
      <x:c r="K790" s="5" t="str">
        <x:f>IF(COUNTA(A790:F790)=0,"",IF(A790="","Missing equipment ID",IF(COUNTIFS($N$8:$N$2007,"="&amp;N790)&gt;1,"Duplicate equipment ID",IF(B790="","Missing type",IF(COUNTIFS('Rules'!$G$7:$G$26,"="&amp;(SUBSTITUTE(SUBSTITUTE(SUBSTITUTE(SUBSTITUTE("type:"&amp;B790,"%","%25"),"~","%7E"),"*","%2A"),"?","%3F")))=0,"Unknown type",IF(COUNTIFS('Rules'!$G$7:$G$26,"="&amp;(SUBSTITUTE(SUBSTITUTE(SUBSTITUTE(SUBSTITUTE("type:"&amp;B790,"%","%25"),"~","%7E"),"*","%2A"),"?","%3F")))&gt;1,"Duplicate type",IF(INDEX('Rules'!$F$7:$F$26,MATCH(SUBSTITUTE(SUBSTITUTE(SUBSTITUTE(SUBSTITUTE("type:"&amp;B790,"%","%25"),"~","%7E"),"*","%2A"),"?","%3F"),'Rules'!$G$7:$G$26,0))&lt;&gt;"",INDEX('Rules'!$F$7:$F$26,MATCH(SUBSTITUTE(SUBSTITUTE(SUBSTITUTE(SUBSTITUTE("type:"&amp;B790,"%","%25"),"~","%7E"),"*","%2A"),"?","%3F"),'Rules'!$G$7:$G$26,0)),IF(AND(C790&lt;&gt;"",C790&lt;&gt;INDEX('Rules'!$B$7:$B$26,MATCH(SUBSTITUTE(SUBSTITUTE(SUBSTITUTE(SUBSTITUTE("type:"&amp;B790,"%","%25"),"~","%7E"),"*","%2A"),"?","%3F"),'Rules'!$G$7:$G$26,0))),"Unit mismatch",IF(IF(NOT(ISNUMBER(D790)),TRUE,OR(D790&lt;0,D790&gt;999999999,ROUND(D790,3)&lt;&gt;D790)),"Invalid current reading",IF(AND(E790&lt;&gt;"",IF(NOT(ISNUMBER(E790)),TRUE,OR(E790&lt;0,E790&gt;999999999,ROUND(E790,3)&lt;&gt;E790))),"Invalid previous reading",IF(IF(NOT(ISNUMBER(F790)),TRUE,OR(F790&lt;0,F790&gt;999999999,ROUND(F790,3)&lt;&gt;F790)),"Invalid last service",IF(AND(E790&lt;&gt;"",D790&lt;E790),"Decreased reading",IF(F790&gt;D790,"Last service above current","")))))))))))))</x:f>
      </x:c>
      <x:c r="L790" s="6" t="str">
        <x:f>IF(AND(NOT(COUNTA(A790:F790)=0),K790=""),INDEX('Rules'!$C$7:$C$26,MATCH(SUBSTITUTE(SUBSTITUTE(SUBSTITUTE(SUBSTITUTE("type:"&amp;B790,"%","%25"),"~","%7E"),"*","%2A"),"?","%3F"),'Rules'!$G$7:$G$26,0)),"")</x:f>
      </x:c>
      <x:c r="M790" s="6" t="str">
        <x:f>IF(AND(NOT(COUNTA(A790:F790)=0),K790=""),INDEX('Rules'!$D$7:$D$26,MATCH(SUBSTITUTE(SUBSTITUTE(SUBSTITUTE(SUBSTITUTE("type:"&amp;B790,"%","%25"),"~","%7E"),"*","%2A"),"?","%3F"),'Rules'!$G$7:$G$26,0)),"")</x:f>
      </x:c>
      <x:c r="N790" s="5" t="str">
        <x:f>IF(COUNTA(A790:F790)=0,"",SUBSTITUTE(SUBSTITUTE(SUBSTITUTE(SUBSTITUTE("id:"&amp;A790,"%","%25"),"~","%7E"),"*","%2A"),"?","%3F"))</x:f>
      </x:c>
    </x:row>
    <x:row r="791" ht="22" customHeight="1">
      <x:c r="A791" s="3"/>
      <x:c r="B791" s="3"/>
      <x:c r="C791" s="3"/>
      <x:c r="D791" s="4"/>
      <x:c r="E791" s="4"/>
      <x:c r="F791" s="4"/>
      <x:c r="G791" s="5" t="str">
        <x:f>IF(COUNTA(A791:F791)=0,"",IF(K791&lt;&gt;"","Review",IF(I791&lt;0,"Overdue",IF(I791=0,"Due now",IF(I791&lt;=M791,"Due soon","Not due")))))</x:f>
      </x:c>
      <x:c r="H791" s="5" t="str">
        <x:f>IF(OR(COUNTA(A791:F791)=0,COUNTIFS('Rules'!$G$7:$G$26,"="&amp;(SUBSTITUTE(SUBSTITUTE(SUBSTITUTE(SUBSTITUTE("type:"&amp;B791,"%","%25"),"~","%7E"),"*","%2A"),"?","%3F")))&lt;&gt;1),"",IF(OR(INDEX('Rules'!$B$7:$B$26,MATCH(SUBSTITUTE(SUBSTITUTE(SUBSTITUTE(SUBSTITUTE("type:"&amp;B791,"%","%25"),"~","%7E"),"*","%2A"),"?","%3F"),'Rules'!$G$7:$G$26,0))="hours",INDEX('Rules'!$B$7:$B$26,MATCH(SUBSTITUTE(SUBSTITUTE(SUBSTITUTE(SUBSTITUTE("type:"&amp;B791,"%","%25"),"~","%7E"),"*","%2A"),"?","%3F"),'Rules'!$G$7:$G$26,0))="km"),INDEX('Rules'!$B$7:$B$26,MATCH(SUBSTITUTE(SUBSTITUTE(SUBSTITUTE(SUBSTITUTE("type:"&amp;B791,"%","%25"),"~","%7E"),"*","%2A"),"?","%3F"),'Rules'!$G$7:$G$26,0)),""))</x:f>
      </x:c>
      <x:c r="I791" s="6" t="str">
        <x:f>IF(AND(NOT(COUNTA(A791:F791)=0),K791=""),ROUND(J791-D791,3),"")</x:f>
      </x:c>
      <x:c r="J791" s="6" t="str">
        <x:f>IF(AND(NOT(COUNTA(A791:F791)=0),K791=""),ROUND(F791+L791,3),"")</x:f>
      </x:c>
      <x:c r="K791" s="5" t="str">
        <x:f>IF(COUNTA(A791:F791)=0,"",IF(A791="","Missing equipment ID",IF(COUNTIFS($N$8:$N$2007,"="&amp;N791)&gt;1,"Duplicate equipment ID",IF(B791="","Missing type",IF(COUNTIFS('Rules'!$G$7:$G$26,"="&amp;(SUBSTITUTE(SUBSTITUTE(SUBSTITUTE(SUBSTITUTE("type:"&amp;B791,"%","%25"),"~","%7E"),"*","%2A"),"?","%3F")))=0,"Unknown type",IF(COUNTIFS('Rules'!$G$7:$G$26,"="&amp;(SUBSTITUTE(SUBSTITUTE(SUBSTITUTE(SUBSTITUTE("type:"&amp;B791,"%","%25"),"~","%7E"),"*","%2A"),"?","%3F")))&gt;1,"Duplicate type",IF(INDEX('Rules'!$F$7:$F$26,MATCH(SUBSTITUTE(SUBSTITUTE(SUBSTITUTE(SUBSTITUTE("type:"&amp;B791,"%","%25"),"~","%7E"),"*","%2A"),"?","%3F"),'Rules'!$G$7:$G$26,0))&lt;&gt;"",INDEX('Rules'!$F$7:$F$26,MATCH(SUBSTITUTE(SUBSTITUTE(SUBSTITUTE(SUBSTITUTE("type:"&amp;B791,"%","%25"),"~","%7E"),"*","%2A"),"?","%3F"),'Rules'!$G$7:$G$26,0)),IF(AND(C791&lt;&gt;"",C791&lt;&gt;INDEX('Rules'!$B$7:$B$26,MATCH(SUBSTITUTE(SUBSTITUTE(SUBSTITUTE(SUBSTITUTE("type:"&amp;B791,"%","%25"),"~","%7E"),"*","%2A"),"?","%3F"),'Rules'!$G$7:$G$26,0))),"Unit mismatch",IF(IF(NOT(ISNUMBER(D791)),TRUE,OR(D791&lt;0,D791&gt;999999999,ROUND(D791,3)&lt;&gt;D791)),"Invalid current reading",IF(AND(E791&lt;&gt;"",IF(NOT(ISNUMBER(E791)),TRUE,OR(E791&lt;0,E791&gt;999999999,ROUND(E791,3)&lt;&gt;E791))),"Invalid previous reading",IF(IF(NOT(ISNUMBER(F791)),TRUE,OR(F791&lt;0,F791&gt;999999999,ROUND(F791,3)&lt;&gt;F791)),"Invalid last service",IF(AND(E791&lt;&gt;"",D791&lt;E791),"Decreased reading",IF(F791&gt;D791,"Last service above current","")))))))))))))</x:f>
      </x:c>
      <x:c r="L791" s="6" t="str">
        <x:f>IF(AND(NOT(COUNTA(A791:F791)=0),K791=""),INDEX('Rules'!$C$7:$C$26,MATCH(SUBSTITUTE(SUBSTITUTE(SUBSTITUTE(SUBSTITUTE("type:"&amp;B791,"%","%25"),"~","%7E"),"*","%2A"),"?","%3F"),'Rules'!$G$7:$G$26,0)),"")</x:f>
      </x:c>
      <x:c r="M791" s="6" t="str">
        <x:f>IF(AND(NOT(COUNTA(A791:F791)=0),K791=""),INDEX('Rules'!$D$7:$D$26,MATCH(SUBSTITUTE(SUBSTITUTE(SUBSTITUTE(SUBSTITUTE("type:"&amp;B791,"%","%25"),"~","%7E"),"*","%2A"),"?","%3F"),'Rules'!$G$7:$G$26,0)),"")</x:f>
      </x:c>
      <x:c r="N791" s="5" t="str">
        <x:f>IF(COUNTA(A791:F791)=0,"",SUBSTITUTE(SUBSTITUTE(SUBSTITUTE(SUBSTITUTE("id:"&amp;A791,"%","%25"),"~","%7E"),"*","%2A"),"?","%3F"))</x:f>
      </x:c>
    </x:row>
    <x:row r="792" ht="22" customHeight="1">
      <x:c r="A792" s="3"/>
      <x:c r="B792" s="3"/>
      <x:c r="C792" s="3"/>
      <x:c r="D792" s="4"/>
      <x:c r="E792" s="4"/>
      <x:c r="F792" s="4"/>
      <x:c r="G792" s="5" t="str">
        <x:f>IF(COUNTA(A792:F792)=0,"",IF(K792&lt;&gt;"","Review",IF(I792&lt;0,"Overdue",IF(I792=0,"Due now",IF(I792&lt;=M792,"Due soon","Not due")))))</x:f>
      </x:c>
      <x:c r="H792" s="5" t="str">
        <x:f>IF(OR(COUNTA(A792:F792)=0,COUNTIFS('Rules'!$G$7:$G$26,"="&amp;(SUBSTITUTE(SUBSTITUTE(SUBSTITUTE(SUBSTITUTE("type:"&amp;B792,"%","%25"),"~","%7E"),"*","%2A"),"?","%3F")))&lt;&gt;1),"",IF(OR(INDEX('Rules'!$B$7:$B$26,MATCH(SUBSTITUTE(SUBSTITUTE(SUBSTITUTE(SUBSTITUTE("type:"&amp;B792,"%","%25"),"~","%7E"),"*","%2A"),"?","%3F"),'Rules'!$G$7:$G$26,0))="hours",INDEX('Rules'!$B$7:$B$26,MATCH(SUBSTITUTE(SUBSTITUTE(SUBSTITUTE(SUBSTITUTE("type:"&amp;B792,"%","%25"),"~","%7E"),"*","%2A"),"?","%3F"),'Rules'!$G$7:$G$26,0))="km"),INDEX('Rules'!$B$7:$B$26,MATCH(SUBSTITUTE(SUBSTITUTE(SUBSTITUTE(SUBSTITUTE("type:"&amp;B792,"%","%25"),"~","%7E"),"*","%2A"),"?","%3F"),'Rules'!$G$7:$G$26,0)),""))</x:f>
      </x:c>
      <x:c r="I792" s="6" t="str">
        <x:f>IF(AND(NOT(COUNTA(A792:F792)=0),K792=""),ROUND(J792-D792,3),"")</x:f>
      </x:c>
      <x:c r="J792" s="6" t="str">
        <x:f>IF(AND(NOT(COUNTA(A792:F792)=0),K792=""),ROUND(F792+L792,3),"")</x:f>
      </x:c>
      <x:c r="K792" s="5" t="str">
        <x:f>IF(COUNTA(A792:F792)=0,"",IF(A792="","Missing equipment ID",IF(COUNTIFS($N$8:$N$2007,"="&amp;N792)&gt;1,"Duplicate equipment ID",IF(B792="","Missing type",IF(COUNTIFS('Rules'!$G$7:$G$26,"="&amp;(SUBSTITUTE(SUBSTITUTE(SUBSTITUTE(SUBSTITUTE("type:"&amp;B792,"%","%25"),"~","%7E"),"*","%2A"),"?","%3F")))=0,"Unknown type",IF(COUNTIFS('Rules'!$G$7:$G$26,"="&amp;(SUBSTITUTE(SUBSTITUTE(SUBSTITUTE(SUBSTITUTE("type:"&amp;B792,"%","%25"),"~","%7E"),"*","%2A"),"?","%3F")))&gt;1,"Duplicate type",IF(INDEX('Rules'!$F$7:$F$26,MATCH(SUBSTITUTE(SUBSTITUTE(SUBSTITUTE(SUBSTITUTE("type:"&amp;B792,"%","%25"),"~","%7E"),"*","%2A"),"?","%3F"),'Rules'!$G$7:$G$26,0))&lt;&gt;"",INDEX('Rules'!$F$7:$F$26,MATCH(SUBSTITUTE(SUBSTITUTE(SUBSTITUTE(SUBSTITUTE("type:"&amp;B792,"%","%25"),"~","%7E"),"*","%2A"),"?","%3F"),'Rules'!$G$7:$G$26,0)),IF(AND(C792&lt;&gt;"",C792&lt;&gt;INDEX('Rules'!$B$7:$B$26,MATCH(SUBSTITUTE(SUBSTITUTE(SUBSTITUTE(SUBSTITUTE("type:"&amp;B792,"%","%25"),"~","%7E"),"*","%2A"),"?","%3F"),'Rules'!$G$7:$G$26,0))),"Unit mismatch",IF(IF(NOT(ISNUMBER(D792)),TRUE,OR(D792&lt;0,D792&gt;999999999,ROUND(D792,3)&lt;&gt;D792)),"Invalid current reading",IF(AND(E792&lt;&gt;"",IF(NOT(ISNUMBER(E792)),TRUE,OR(E792&lt;0,E792&gt;999999999,ROUND(E792,3)&lt;&gt;E792))),"Invalid previous reading",IF(IF(NOT(ISNUMBER(F792)),TRUE,OR(F792&lt;0,F792&gt;999999999,ROUND(F792,3)&lt;&gt;F792)),"Invalid last service",IF(AND(E792&lt;&gt;"",D792&lt;E792),"Decreased reading",IF(F792&gt;D792,"Last service above current","")))))))))))))</x:f>
      </x:c>
      <x:c r="L792" s="6" t="str">
        <x:f>IF(AND(NOT(COUNTA(A792:F792)=0),K792=""),INDEX('Rules'!$C$7:$C$26,MATCH(SUBSTITUTE(SUBSTITUTE(SUBSTITUTE(SUBSTITUTE("type:"&amp;B792,"%","%25"),"~","%7E"),"*","%2A"),"?","%3F"),'Rules'!$G$7:$G$26,0)),"")</x:f>
      </x:c>
      <x:c r="M792" s="6" t="str">
        <x:f>IF(AND(NOT(COUNTA(A792:F792)=0),K792=""),INDEX('Rules'!$D$7:$D$26,MATCH(SUBSTITUTE(SUBSTITUTE(SUBSTITUTE(SUBSTITUTE("type:"&amp;B792,"%","%25"),"~","%7E"),"*","%2A"),"?","%3F"),'Rules'!$G$7:$G$26,0)),"")</x:f>
      </x:c>
      <x:c r="N792" s="5" t="str">
        <x:f>IF(COUNTA(A792:F792)=0,"",SUBSTITUTE(SUBSTITUTE(SUBSTITUTE(SUBSTITUTE("id:"&amp;A792,"%","%25"),"~","%7E"),"*","%2A"),"?","%3F"))</x:f>
      </x:c>
    </x:row>
    <x:row r="793" ht="22" customHeight="1">
      <x:c r="A793" s="3"/>
      <x:c r="B793" s="3"/>
      <x:c r="C793" s="3"/>
      <x:c r="D793" s="4"/>
      <x:c r="E793" s="4"/>
      <x:c r="F793" s="4"/>
      <x:c r="G793" s="5" t="str">
        <x:f>IF(COUNTA(A793:F793)=0,"",IF(K793&lt;&gt;"","Review",IF(I793&lt;0,"Overdue",IF(I793=0,"Due now",IF(I793&lt;=M793,"Due soon","Not due")))))</x:f>
      </x:c>
      <x:c r="H793" s="5" t="str">
        <x:f>IF(OR(COUNTA(A793:F793)=0,COUNTIFS('Rules'!$G$7:$G$26,"="&amp;(SUBSTITUTE(SUBSTITUTE(SUBSTITUTE(SUBSTITUTE("type:"&amp;B793,"%","%25"),"~","%7E"),"*","%2A"),"?","%3F")))&lt;&gt;1),"",IF(OR(INDEX('Rules'!$B$7:$B$26,MATCH(SUBSTITUTE(SUBSTITUTE(SUBSTITUTE(SUBSTITUTE("type:"&amp;B793,"%","%25"),"~","%7E"),"*","%2A"),"?","%3F"),'Rules'!$G$7:$G$26,0))="hours",INDEX('Rules'!$B$7:$B$26,MATCH(SUBSTITUTE(SUBSTITUTE(SUBSTITUTE(SUBSTITUTE("type:"&amp;B793,"%","%25"),"~","%7E"),"*","%2A"),"?","%3F"),'Rules'!$G$7:$G$26,0))="km"),INDEX('Rules'!$B$7:$B$26,MATCH(SUBSTITUTE(SUBSTITUTE(SUBSTITUTE(SUBSTITUTE("type:"&amp;B793,"%","%25"),"~","%7E"),"*","%2A"),"?","%3F"),'Rules'!$G$7:$G$26,0)),""))</x:f>
      </x:c>
      <x:c r="I793" s="6" t="str">
        <x:f>IF(AND(NOT(COUNTA(A793:F793)=0),K793=""),ROUND(J793-D793,3),"")</x:f>
      </x:c>
      <x:c r="J793" s="6" t="str">
        <x:f>IF(AND(NOT(COUNTA(A793:F793)=0),K793=""),ROUND(F793+L793,3),"")</x:f>
      </x:c>
      <x:c r="K793" s="5" t="str">
        <x:f>IF(COUNTA(A793:F793)=0,"",IF(A793="","Missing equipment ID",IF(COUNTIFS($N$8:$N$2007,"="&amp;N793)&gt;1,"Duplicate equipment ID",IF(B793="","Missing type",IF(COUNTIFS('Rules'!$G$7:$G$26,"="&amp;(SUBSTITUTE(SUBSTITUTE(SUBSTITUTE(SUBSTITUTE("type:"&amp;B793,"%","%25"),"~","%7E"),"*","%2A"),"?","%3F")))=0,"Unknown type",IF(COUNTIFS('Rules'!$G$7:$G$26,"="&amp;(SUBSTITUTE(SUBSTITUTE(SUBSTITUTE(SUBSTITUTE("type:"&amp;B793,"%","%25"),"~","%7E"),"*","%2A"),"?","%3F")))&gt;1,"Duplicate type",IF(INDEX('Rules'!$F$7:$F$26,MATCH(SUBSTITUTE(SUBSTITUTE(SUBSTITUTE(SUBSTITUTE("type:"&amp;B793,"%","%25"),"~","%7E"),"*","%2A"),"?","%3F"),'Rules'!$G$7:$G$26,0))&lt;&gt;"",INDEX('Rules'!$F$7:$F$26,MATCH(SUBSTITUTE(SUBSTITUTE(SUBSTITUTE(SUBSTITUTE("type:"&amp;B793,"%","%25"),"~","%7E"),"*","%2A"),"?","%3F"),'Rules'!$G$7:$G$26,0)),IF(AND(C793&lt;&gt;"",C793&lt;&gt;INDEX('Rules'!$B$7:$B$26,MATCH(SUBSTITUTE(SUBSTITUTE(SUBSTITUTE(SUBSTITUTE("type:"&amp;B793,"%","%25"),"~","%7E"),"*","%2A"),"?","%3F"),'Rules'!$G$7:$G$26,0))),"Unit mismatch",IF(IF(NOT(ISNUMBER(D793)),TRUE,OR(D793&lt;0,D793&gt;999999999,ROUND(D793,3)&lt;&gt;D793)),"Invalid current reading",IF(AND(E793&lt;&gt;"",IF(NOT(ISNUMBER(E793)),TRUE,OR(E793&lt;0,E793&gt;999999999,ROUND(E793,3)&lt;&gt;E793))),"Invalid previous reading",IF(IF(NOT(ISNUMBER(F793)),TRUE,OR(F793&lt;0,F793&gt;999999999,ROUND(F793,3)&lt;&gt;F793)),"Invalid last service",IF(AND(E793&lt;&gt;"",D793&lt;E793),"Decreased reading",IF(F793&gt;D793,"Last service above current","")))))))))))))</x:f>
      </x:c>
      <x:c r="L793" s="6" t="str">
        <x:f>IF(AND(NOT(COUNTA(A793:F793)=0),K793=""),INDEX('Rules'!$C$7:$C$26,MATCH(SUBSTITUTE(SUBSTITUTE(SUBSTITUTE(SUBSTITUTE("type:"&amp;B793,"%","%25"),"~","%7E"),"*","%2A"),"?","%3F"),'Rules'!$G$7:$G$26,0)),"")</x:f>
      </x:c>
      <x:c r="M793" s="6" t="str">
        <x:f>IF(AND(NOT(COUNTA(A793:F793)=0),K793=""),INDEX('Rules'!$D$7:$D$26,MATCH(SUBSTITUTE(SUBSTITUTE(SUBSTITUTE(SUBSTITUTE("type:"&amp;B793,"%","%25"),"~","%7E"),"*","%2A"),"?","%3F"),'Rules'!$G$7:$G$26,0)),"")</x:f>
      </x:c>
      <x:c r="N793" s="5" t="str">
        <x:f>IF(COUNTA(A793:F793)=0,"",SUBSTITUTE(SUBSTITUTE(SUBSTITUTE(SUBSTITUTE("id:"&amp;A793,"%","%25"),"~","%7E"),"*","%2A"),"?","%3F"))</x:f>
      </x:c>
    </x:row>
    <x:row r="794" ht="22" customHeight="1">
      <x:c r="A794" s="3"/>
      <x:c r="B794" s="3"/>
      <x:c r="C794" s="3"/>
      <x:c r="D794" s="4"/>
      <x:c r="E794" s="4"/>
      <x:c r="F794" s="4"/>
      <x:c r="G794" s="5" t="str">
        <x:f>IF(COUNTA(A794:F794)=0,"",IF(K794&lt;&gt;"","Review",IF(I794&lt;0,"Overdue",IF(I794=0,"Due now",IF(I794&lt;=M794,"Due soon","Not due")))))</x:f>
      </x:c>
      <x:c r="H794" s="5" t="str">
        <x:f>IF(OR(COUNTA(A794:F794)=0,COUNTIFS('Rules'!$G$7:$G$26,"="&amp;(SUBSTITUTE(SUBSTITUTE(SUBSTITUTE(SUBSTITUTE("type:"&amp;B794,"%","%25"),"~","%7E"),"*","%2A"),"?","%3F")))&lt;&gt;1),"",IF(OR(INDEX('Rules'!$B$7:$B$26,MATCH(SUBSTITUTE(SUBSTITUTE(SUBSTITUTE(SUBSTITUTE("type:"&amp;B794,"%","%25"),"~","%7E"),"*","%2A"),"?","%3F"),'Rules'!$G$7:$G$26,0))="hours",INDEX('Rules'!$B$7:$B$26,MATCH(SUBSTITUTE(SUBSTITUTE(SUBSTITUTE(SUBSTITUTE("type:"&amp;B794,"%","%25"),"~","%7E"),"*","%2A"),"?","%3F"),'Rules'!$G$7:$G$26,0))="km"),INDEX('Rules'!$B$7:$B$26,MATCH(SUBSTITUTE(SUBSTITUTE(SUBSTITUTE(SUBSTITUTE("type:"&amp;B794,"%","%25"),"~","%7E"),"*","%2A"),"?","%3F"),'Rules'!$G$7:$G$26,0)),""))</x:f>
      </x:c>
      <x:c r="I794" s="6" t="str">
        <x:f>IF(AND(NOT(COUNTA(A794:F794)=0),K794=""),ROUND(J794-D794,3),"")</x:f>
      </x:c>
      <x:c r="J794" s="6" t="str">
        <x:f>IF(AND(NOT(COUNTA(A794:F794)=0),K794=""),ROUND(F794+L794,3),"")</x:f>
      </x:c>
      <x:c r="K794" s="5" t="str">
        <x:f>IF(COUNTA(A794:F794)=0,"",IF(A794="","Missing equipment ID",IF(COUNTIFS($N$8:$N$2007,"="&amp;N794)&gt;1,"Duplicate equipment ID",IF(B794="","Missing type",IF(COUNTIFS('Rules'!$G$7:$G$26,"="&amp;(SUBSTITUTE(SUBSTITUTE(SUBSTITUTE(SUBSTITUTE("type:"&amp;B794,"%","%25"),"~","%7E"),"*","%2A"),"?","%3F")))=0,"Unknown type",IF(COUNTIFS('Rules'!$G$7:$G$26,"="&amp;(SUBSTITUTE(SUBSTITUTE(SUBSTITUTE(SUBSTITUTE("type:"&amp;B794,"%","%25"),"~","%7E"),"*","%2A"),"?","%3F")))&gt;1,"Duplicate type",IF(INDEX('Rules'!$F$7:$F$26,MATCH(SUBSTITUTE(SUBSTITUTE(SUBSTITUTE(SUBSTITUTE("type:"&amp;B794,"%","%25"),"~","%7E"),"*","%2A"),"?","%3F"),'Rules'!$G$7:$G$26,0))&lt;&gt;"",INDEX('Rules'!$F$7:$F$26,MATCH(SUBSTITUTE(SUBSTITUTE(SUBSTITUTE(SUBSTITUTE("type:"&amp;B794,"%","%25"),"~","%7E"),"*","%2A"),"?","%3F"),'Rules'!$G$7:$G$26,0)),IF(AND(C794&lt;&gt;"",C794&lt;&gt;INDEX('Rules'!$B$7:$B$26,MATCH(SUBSTITUTE(SUBSTITUTE(SUBSTITUTE(SUBSTITUTE("type:"&amp;B794,"%","%25"),"~","%7E"),"*","%2A"),"?","%3F"),'Rules'!$G$7:$G$26,0))),"Unit mismatch",IF(IF(NOT(ISNUMBER(D794)),TRUE,OR(D794&lt;0,D794&gt;999999999,ROUND(D794,3)&lt;&gt;D794)),"Invalid current reading",IF(AND(E794&lt;&gt;"",IF(NOT(ISNUMBER(E794)),TRUE,OR(E794&lt;0,E794&gt;999999999,ROUND(E794,3)&lt;&gt;E794))),"Invalid previous reading",IF(IF(NOT(ISNUMBER(F794)),TRUE,OR(F794&lt;0,F794&gt;999999999,ROUND(F794,3)&lt;&gt;F794)),"Invalid last service",IF(AND(E794&lt;&gt;"",D794&lt;E794),"Decreased reading",IF(F794&gt;D794,"Last service above current","")))))))))))))</x:f>
      </x:c>
      <x:c r="L794" s="6" t="str">
        <x:f>IF(AND(NOT(COUNTA(A794:F794)=0),K794=""),INDEX('Rules'!$C$7:$C$26,MATCH(SUBSTITUTE(SUBSTITUTE(SUBSTITUTE(SUBSTITUTE("type:"&amp;B794,"%","%25"),"~","%7E"),"*","%2A"),"?","%3F"),'Rules'!$G$7:$G$26,0)),"")</x:f>
      </x:c>
      <x:c r="M794" s="6" t="str">
        <x:f>IF(AND(NOT(COUNTA(A794:F794)=0),K794=""),INDEX('Rules'!$D$7:$D$26,MATCH(SUBSTITUTE(SUBSTITUTE(SUBSTITUTE(SUBSTITUTE("type:"&amp;B794,"%","%25"),"~","%7E"),"*","%2A"),"?","%3F"),'Rules'!$G$7:$G$26,0)),"")</x:f>
      </x:c>
      <x:c r="N794" s="5" t="str">
        <x:f>IF(COUNTA(A794:F794)=0,"",SUBSTITUTE(SUBSTITUTE(SUBSTITUTE(SUBSTITUTE("id:"&amp;A794,"%","%25"),"~","%7E"),"*","%2A"),"?","%3F"))</x:f>
      </x:c>
    </x:row>
    <x:row r="795" ht="22" customHeight="1">
      <x:c r="A795" s="3"/>
      <x:c r="B795" s="3"/>
      <x:c r="C795" s="3"/>
      <x:c r="D795" s="4"/>
      <x:c r="E795" s="4"/>
      <x:c r="F795" s="4"/>
      <x:c r="G795" s="5" t="str">
        <x:f>IF(COUNTA(A795:F795)=0,"",IF(K795&lt;&gt;"","Review",IF(I795&lt;0,"Overdue",IF(I795=0,"Due now",IF(I795&lt;=M795,"Due soon","Not due")))))</x:f>
      </x:c>
      <x:c r="H795" s="5" t="str">
        <x:f>IF(OR(COUNTA(A795:F795)=0,COUNTIFS('Rules'!$G$7:$G$26,"="&amp;(SUBSTITUTE(SUBSTITUTE(SUBSTITUTE(SUBSTITUTE("type:"&amp;B795,"%","%25"),"~","%7E"),"*","%2A"),"?","%3F")))&lt;&gt;1),"",IF(OR(INDEX('Rules'!$B$7:$B$26,MATCH(SUBSTITUTE(SUBSTITUTE(SUBSTITUTE(SUBSTITUTE("type:"&amp;B795,"%","%25"),"~","%7E"),"*","%2A"),"?","%3F"),'Rules'!$G$7:$G$26,0))="hours",INDEX('Rules'!$B$7:$B$26,MATCH(SUBSTITUTE(SUBSTITUTE(SUBSTITUTE(SUBSTITUTE("type:"&amp;B795,"%","%25"),"~","%7E"),"*","%2A"),"?","%3F"),'Rules'!$G$7:$G$26,0))="km"),INDEX('Rules'!$B$7:$B$26,MATCH(SUBSTITUTE(SUBSTITUTE(SUBSTITUTE(SUBSTITUTE("type:"&amp;B795,"%","%25"),"~","%7E"),"*","%2A"),"?","%3F"),'Rules'!$G$7:$G$26,0)),""))</x:f>
      </x:c>
      <x:c r="I795" s="6" t="str">
        <x:f>IF(AND(NOT(COUNTA(A795:F795)=0),K795=""),ROUND(J795-D795,3),"")</x:f>
      </x:c>
      <x:c r="J795" s="6" t="str">
        <x:f>IF(AND(NOT(COUNTA(A795:F795)=0),K795=""),ROUND(F795+L795,3),"")</x:f>
      </x:c>
      <x:c r="K795" s="5" t="str">
        <x:f>IF(COUNTA(A795:F795)=0,"",IF(A795="","Missing equipment ID",IF(COUNTIFS($N$8:$N$2007,"="&amp;N795)&gt;1,"Duplicate equipment ID",IF(B795="","Missing type",IF(COUNTIFS('Rules'!$G$7:$G$26,"="&amp;(SUBSTITUTE(SUBSTITUTE(SUBSTITUTE(SUBSTITUTE("type:"&amp;B795,"%","%25"),"~","%7E"),"*","%2A"),"?","%3F")))=0,"Unknown type",IF(COUNTIFS('Rules'!$G$7:$G$26,"="&amp;(SUBSTITUTE(SUBSTITUTE(SUBSTITUTE(SUBSTITUTE("type:"&amp;B795,"%","%25"),"~","%7E"),"*","%2A"),"?","%3F")))&gt;1,"Duplicate type",IF(INDEX('Rules'!$F$7:$F$26,MATCH(SUBSTITUTE(SUBSTITUTE(SUBSTITUTE(SUBSTITUTE("type:"&amp;B795,"%","%25"),"~","%7E"),"*","%2A"),"?","%3F"),'Rules'!$G$7:$G$26,0))&lt;&gt;"",INDEX('Rules'!$F$7:$F$26,MATCH(SUBSTITUTE(SUBSTITUTE(SUBSTITUTE(SUBSTITUTE("type:"&amp;B795,"%","%25"),"~","%7E"),"*","%2A"),"?","%3F"),'Rules'!$G$7:$G$26,0)),IF(AND(C795&lt;&gt;"",C795&lt;&gt;INDEX('Rules'!$B$7:$B$26,MATCH(SUBSTITUTE(SUBSTITUTE(SUBSTITUTE(SUBSTITUTE("type:"&amp;B795,"%","%25"),"~","%7E"),"*","%2A"),"?","%3F"),'Rules'!$G$7:$G$26,0))),"Unit mismatch",IF(IF(NOT(ISNUMBER(D795)),TRUE,OR(D795&lt;0,D795&gt;999999999,ROUND(D795,3)&lt;&gt;D795)),"Invalid current reading",IF(AND(E795&lt;&gt;"",IF(NOT(ISNUMBER(E795)),TRUE,OR(E795&lt;0,E795&gt;999999999,ROUND(E795,3)&lt;&gt;E795))),"Invalid previous reading",IF(IF(NOT(ISNUMBER(F795)),TRUE,OR(F795&lt;0,F795&gt;999999999,ROUND(F795,3)&lt;&gt;F795)),"Invalid last service",IF(AND(E795&lt;&gt;"",D795&lt;E795),"Decreased reading",IF(F795&gt;D795,"Last service above current","")))))))))))))</x:f>
      </x:c>
      <x:c r="L795" s="6" t="str">
        <x:f>IF(AND(NOT(COUNTA(A795:F795)=0),K795=""),INDEX('Rules'!$C$7:$C$26,MATCH(SUBSTITUTE(SUBSTITUTE(SUBSTITUTE(SUBSTITUTE("type:"&amp;B795,"%","%25"),"~","%7E"),"*","%2A"),"?","%3F"),'Rules'!$G$7:$G$26,0)),"")</x:f>
      </x:c>
      <x:c r="M795" s="6" t="str">
        <x:f>IF(AND(NOT(COUNTA(A795:F795)=0),K795=""),INDEX('Rules'!$D$7:$D$26,MATCH(SUBSTITUTE(SUBSTITUTE(SUBSTITUTE(SUBSTITUTE("type:"&amp;B795,"%","%25"),"~","%7E"),"*","%2A"),"?","%3F"),'Rules'!$G$7:$G$26,0)),"")</x:f>
      </x:c>
      <x:c r="N795" s="5" t="str">
        <x:f>IF(COUNTA(A795:F795)=0,"",SUBSTITUTE(SUBSTITUTE(SUBSTITUTE(SUBSTITUTE("id:"&amp;A795,"%","%25"),"~","%7E"),"*","%2A"),"?","%3F"))</x:f>
      </x:c>
    </x:row>
    <x:row r="796" ht="22" customHeight="1">
      <x:c r="A796" s="3"/>
      <x:c r="B796" s="3"/>
      <x:c r="C796" s="3"/>
      <x:c r="D796" s="4"/>
      <x:c r="E796" s="4"/>
      <x:c r="F796" s="4"/>
      <x:c r="G796" s="5" t="str">
        <x:f>IF(COUNTA(A796:F796)=0,"",IF(K796&lt;&gt;"","Review",IF(I796&lt;0,"Overdue",IF(I796=0,"Due now",IF(I796&lt;=M796,"Due soon","Not due")))))</x:f>
      </x:c>
      <x:c r="H796" s="5" t="str">
        <x:f>IF(OR(COUNTA(A796:F796)=0,COUNTIFS('Rules'!$G$7:$G$26,"="&amp;(SUBSTITUTE(SUBSTITUTE(SUBSTITUTE(SUBSTITUTE("type:"&amp;B796,"%","%25"),"~","%7E"),"*","%2A"),"?","%3F")))&lt;&gt;1),"",IF(OR(INDEX('Rules'!$B$7:$B$26,MATCH(SUBSTITUTE(SUBSTITUTE(SUBSTITUTE(SUBSTITUTE("type:"&amp;B796,"%","%25"),"~","%7E"),"*","%2A"),"?","%3F"),'Rules'!$G$7:$G$26,0))="hours",INDEX('Rules'!$B$7:$B$26,MATCH(SUBSTITUTE(SUBSTITUTE(SUBSTITUTE(SUBSTITUTE("type:"&amp;B796,"%","%25"),"~","%7E"),"*","%2A"),"?","%3F"),'Rules'!$G$7:$G$26,0))="km"),INDEX('Rules'!$B$7:$B$26,MATCH(SUBSTITUTE(SUBSTITUTE(SUBSTITUTE(SUBSTITUTE("type:"&amp;B796,"%","%25"),"~","%7E"),"*","%2A"),"?","%3F"),'Rules'!$G$7:$G$26,0)),""))</x:f>
      </x:c>
      <x:c r="I796" s="6" t="str">
        <x:f>IF(AND(NOT(COUNTA(A796:F796)=0),K796=""),ROUND(J796-D796,3),"")</x:f>
      </x:c>
      <x:c r="J796" s="6" t="str">
        <x:f>IF(AND(NOT(COUNTA(A796:F796)=0),K796=""),ROUND(F796+L796,3),"")</x:f>
      </x:c>
      <x:c r="K796" s="5" t="str">
        <x:f>IF(COUNTA(A796:F796)=0,"",IF(A796="","Missing equipment ID",IF(COUNTIFS($N$8:$N$2007,"="&amp;N796)&gt;1,"Duplicate equipment ID",IF(B796="","Missing type",IF(COUNTIFS('Rules'!$G$7:$G$26,"="&amp;(SUBSTITUTE(SUBSTITUTE(SUBSTITUTE(SUBSTITUTE("type:"&amp;B796,"%","%25"),"~","%7E"),"*","%2A"),"?","%3F")))=0,"Unknown type",IF(COUNTIFS('Rules'!$G$7:$G$26,"="&amp;(SUBSTITUTE(SUBSTITUTE(SUBSTITUTE(SUBSTITUTE("type:"&amp;B796,"%","%25"),"~","%7E"),"*","%2A"),"?","%3F")))&gt;1,"Duplicate type",IF(INDEX('Rules'!$F$7:$F$26,MATCH(SUBSTITUTE(SUBSTITUTE(SUBSTITUTE(SUBSTITUTE("type:"&amp;B796,"%","%25"),"~","%7E"),"*","%2A"),"?","%3F"),'Rules'!$G$7:$G$26,0))&lt;&gt;"",INDEX('Rules'!$F$7:$F$26,MATCH(SUBSTITUTE(SUBSTITUTE(SUBSTITUTE(SUBSTITUTE("type:"&amp;B796,"%","%25"),"~","%7E"),"*","%2A"),"?","%3F"),'Rules'!$G$7:$G$26,0)),IF(AND(C796&lt;&gt;"",C796&lt;&gt;INDEX('Rules'!$B$7:$B$26,MATCH(SUBSTITUTE(SUBSTITUTE(SUBSTITUTE(SUBSTITUTE("type:"&amp;B796,"%","%25"),"~","%7E"),"*","%2A"),"?","%3F"),'Rules'!$G$7:$G$26,0))),"Unit mismatch",IF(IF(NOT(ISNUMBER(D796)),TRUE,OR(D796&lt;0,D796&gt;999999999,ROUND(D796,3)&lt;&gt;D796)),"Invalid current reading",IF(AND(E796&lt;&gt;"",IF(NOT(ISNUMBER(E796)),TRUE,OR(E796&lt;0,E796&gt;999999999,ROUND(E796,3)&lt;&gt;E796))),"Invalid previous reading",IF(IF(NOT(ISNUMBER(F796)),TRUE,OR(F796&lt;0,F796&gt;999999999,ROUND(F796,3)&lt;&gt;F796)),"Invalid last service",IF(AND(E796&lt;&gt;"",D796&lt;E796),"Decreased reading",IF(F796&gt;D796,"Last service above current","")))))))))))))</x:f>
      </x:c>
      <x:c r="L796" s="6" t="str">
        <x:f>IF(AND(NOT(COUNTA(A796:F796)=0),K796=""),INDEX('Rules'!$C$7:$C$26,MATCH(SUBSTITUTE(SUBSTITUTE(SUBSTITUTE(SUBSTITUTE("type:"&amp;B796,"%","%25"),"~","%7E"),"*","%2A"),"?","%3F"),'Rules'!$G$7:$G$26,0)),"")</x:f>
      </x:c>
      <x:c r="M796" s="6" t="str">
        <x:f>IF(AND(NOT(COUNTA(A796:F796)=0),K796=""),INDEX('Rules'!$D$7:$D$26,MATCH(SUBSTITUTE(SUBSTITUTE(SUBSTITUTE(SUBSTITUTE("type:"&amp;B796,"%","%25"),"~","%7E"),"*","%2A"),"?","%3F"),'Rules'!$G$7:$G$26,0)),"")</x:f>
      </x:c>
      <x:c r="N796" s="5" t="str">
        <x:f>IF(COUNTA(A796:F796)=0,"",SUBSTITUTE(SUBSTITUTE(SUBSTITUTE(SUBSTITUTE("id:"&amp;A796,"%","%25"),"~","%7E"),"*","%2A"),"?","%3F"))</x:f>
      </x:c>
    </x:row>
    <x:row r="797" ht="22" customHeight="1">
      <x:c r="A797" s="3"/>
      <x:c r="B797" s="3"/>
      <x:c r="C797" s="3"/>
      <x:c r="D797" s="4"/>
      <x:c r="E797" s="4"/>
      <x:c r="F797" s="4"/>
      <x:c r="G797" s="5" t="str">
        <x:f>IF(COUNTA(A797:F797)=0,"",IF(K797&lt;&gt;"","Review",IF(I797&lt;0,"Overdue",IF(I797=0,"Due now",IF(I797&lt;=M797,"Due soon","Not due")))))</x:f>
      </x:c>
      <x:c r="H797" s="5" t="str">
        <x:f>IF(OR(COUNTA(A797:F797)=0,COUNTIFS('Rules'!$G$7:$G$26,"="&amp;(SUBSTITUTE(SUBSTITUTE(SUBSTITUTE(SUBSTITUTE("type:"&amp;B797,"%","%25"),"~","%7E"),"*","%2A"),"?","%3F")))&lt;&gt;1),"",IF(OR(INDEX('Rules'!$B$7:$B$26,MATCH(SUBSTITUTE(SUBSTITUTE(SUBSTITUTE(SUBSTITUTE("type:"&amp;B797,"%","%25"),"~","%7E"),"*","%2A"),"?","%3F"),'Rules'!$G$7:$G$26,0))="hours",INDEX('Rules'!$B$7:$B$26,MATCH(SUBSTITUTE(SUBSTITUTE(SUBSTITUTE(SUBSTITUTE("type:"&amp;B797,"%","%25"),"~","%7E"),"*","%2A"),"?","%3F"),'Rules'!$G$7:$G$26,0))="km"),INDEX('Rules'!$B$7:$B$26,MATCH(SUBSTITUTE(SUBSTITUTE(SUBSTITUTE(SUBSTITUTE("type:"&amp;B797,"%","%25"),"~","%7E"),"*","%2A"),"?","%3F"),'Rules'!$G$7:$G$26,0)),""))</x:f>
      </x:c>
      <x:c r="I797" s="6" t="str">
        <x:f>IF(AND(NOT(COUNTA(A797:F797)=0),K797=""),ROUND(J797-D797,3),"")</x:f>
      </x:c>
      <x:c r="J797" s="6" t="str">
        <x:f>IF(AND(NOT(COUNTA(A797:F797)=0),K797=""),ROUND(F797+L797,3),"")</x:f>
      </x:c>
      <x:c r="K797" s="5" t="str">
        <x:f>IF(COUNTA(A797:F797)=0,"",IF(A797="","Missing equipment ID",IF(COUNTIFS($N$8:$N$2007,"="&amp;N797)&gt;1,"Duplicate equipment ID",IF(B797="","Missing type",IF(COUNTIFS('Rules'!$G$7:$G$26,"="&amp;(SUBSTITUTE(SUBSTITUTE(SUBSTITUTE(SUBSTITUTE("type:"&amp;B797,"%","%25"),"~","%7E"),"*","%2A"),"?","%3F")))=0,"Unknown type",IF(COUNTIFS('Rules'!$G$7:$G$26,"="&amp;(SUBSTITUTE(SUBSTITUTE(SUBSTITUTE(SUBSTITUTE("type:"&amp;B797,"%","%25"),"~","%7E"),"*","%2A"),"?","%3F")))&gt;1,"Duplicate type",IF(INDEX('Rules'!$F$7:$F$26,MATCH(SUBSTITUTE(SUBSTITUTE(SUBSTITUTE(SUBSTITUTE("type:"&amp;B797,"%","%25"),"~","%7E"),"*","%2A"),"?","%3F"),'Rules'!$G$7:$G$26,0))&lt;&gt;"",INDEX('Rules'!$F$7:$F$26,MATCH(SUBSTITUTE(SUBSTITUTE(SUBSTITUTE(SUBSTITUTE("type:"&amp;B797,"%","%25"),"~","%7E"),"*","%2A"),"?","%3F"),'Rules'!$G$7:$G$26,0)),IF(AND(C797&lt;&gt;"",C797&lt;&gt;INDEX('Rules'!$B$7:$B$26,MATCH(SUBSTITUTE(SUBSTITUTE(SUBSTITUTE(SUBSTITUTE("type:"&amp;B797,"%","%25"),"~","%7E"),"*","%2A"),"?","%3F"),'Rules'!$G$7:$G$26,0))),"Unit mismatch",IF(IF(NOT(ISNUMBER(D797)),TRUE,OR(D797&lt;0,D797&gt;999999999,ROUND(D797,3)&lt;&gt;D797)),"Invalid current reading",IF(AND(E797&lt;&gt;"",IF(NOT(ISNUMBER(E797)),TRUE,OR(E797&lt;0,E797&gt;999999999,ROUND(E797,3)&lt;&gt;E797))),"Invalid previous reading",IF(IF(NOT(ISNUMBER(F797)),TRUE,OR(F797&lt;0,F797&gt;999999999,ROUND(F797,3)&lt;&gt;F797)),"Invalid last service",IF(AND(E797&lt;&gt;"",D797&lt;E797),"Decreased reading",IF(F797&gt;D797,"Last service above current","")))))))))))))</x:f>
      </x:c>
      <x:c r="L797" s="6" t="str">
        <x:f>IF(AND(NOT(COUNTA(A797:F797)=0),K797=""),INDEX('Rules'!$C$7:$C$26,MATCH(SUBSTITUTE(SUBSTITUTE(SUBSTITUTE(SUBSTITUTE("type:"&amp;B797,"%","%25"),"~","%7E"),"*","%2A"),"?","%3F"),'Rules'!$G$7:$G$26,0)),"")</x:f>
      </x:c>
      <x:c r="M797" s="6" t="str">
        <x:f>IF(AND(NOT(COUNTA(A797:F797)=0),K797=""),INDEX('Rules'!$D$7:$D$26,MATCH(SUBSTITUTE(SUBSTITUTE(SUBSTITUTE(SUBSTITUTE("type:"&amp;B797,"%","%25"),"~","%7E"),"*","%2A"),"?","%3F"),'Rules'!$G$7:$G$26,0)),"")</x:f>
      </x:c>
      <x:c r="N797" s="5" t="str">
        <x:f>IF(COUNTA(A797:F797)=0,"",SUBSTITUTE(SUBSTITUTE(SUBSTITUTE(SUBSTITUTE("id:"&amp;A797,"%","%25"),"~","%7E"),"*","%2A"),"?","%3F"))</x:f>
      </x:c>
    </x:row>
    <x:row r="798" ht="22" customHeight="1">
      <x:c r="A798" s="3"/>
      <x:c r="B798" s="3"/>
      <x:c r="C798" s="3"/>
      <x:c r="D798" s="4"/>
      <x:c r="E798" s="4"/>
      <x:c r="F798" s="4"/>
      <x:c r="G798" s="5" t="str">
        <x:f>IF(COUNTA(A798:F798)=0,"",IF(K798&lt;&gt;"","Review",IF(I798&lt;0,"Overdue",IF(I798=0,"Due now",IF(I798&lt;=M798,"Due soon","Not due")))))</x:f>
      </x:c>
      <x:c r="H798" s="5" t="str">
        <x:f>IF(OR(COUNTA(A798:F798)=0,COUNTIFS('Rules'!$G$7:$G$26,"="&amp;(SUBSTITUTE(SUBSTITUTE(SUBSTITUTE(SUBSTITUTE("type:"&amp;B798,"%","%25"),"~","%7E"),"*","%2A"),"?","%3F")))&lt;&gt;1),"",IF(OR(INDEX('Rules'!$B$7:$B$26,MATCH(SUBSTITUTE(SUBSTITUTE(SUBSTITUTE(SUBSTITUTE("type:"&amp;B798,"%","%25"),"~","%7E"),"*","%2A"),"?","%3F"),'Rules'!$G$7:$G$26,0))="hours",INDEX('Rules'!$B$7:$B$26,MATCH(SUBSTITUTE(SUBSTITUTE(SUBSTITUTE(SUBSTITUTE("type:"&amp;B798,"%","%25"),"~","%7E"),"*","%2A"),"?","%3F"),'Rules'!$G$7:$G$26,0))="km"),INDEX('Rules'!$B$7:$B$26,MATCH(SUBSTITUTE(SUBSTITUTE(SUBSTITUTE(SUBSTITUTE("type:"&amp;B798,"%","%25"),"~","%7E"),"*","%2A"),"?","%3F"),'Rules'!$G$7:$G$26,0)),""))</x:f>
      </x:c>
      <x:c r="I798" s="6" t="str">
        <x:f>IF(AND(NOT(COUNTA(A798:F798)=0),K798=""),ROUND(J798-D798,3),"")</x:f>
      </x:c>
      <x:c r="J798" s="6" t="str">
        <x:f>IF(AND(NOT(COUNTA(A798:F798)=0),K798=""),ROUND(F798+L798,3),"")</x:f>
      </x:c>
      <x:c r="K798" s="5" t="str">
        <x:f>IF(COUNTA(A798:F798)=0,"",IF(A798="","Missing equipment ID",IF(COUNTIFS($N$8:$N$2007,"="&amp;N798)&gt;1,"Duplicate equipment ID",IF(B798="","Missing type",IF(COUNTIFS('Rules'!$G$7:$G$26,"="&amp;(SUBSTITUTE(SUBSTITUTE(SUBSTITUTE(SUBSTITUTE("type:"&amp;B798,"%","%25"),"~","%7E"),"*","%2A"),"?","%3F")))=0,"Unknown type",IF(COUNTIFS('Rules'!$G$7:$G$26,"="&amp;(SUBSTITUTE(SUBSTITUTE(SUBSTITUTE(SUBSTITUTE("type:"&amp;B798,"%","%25"),"~","%7E"),"*","%2A"),"?","%3F")))&gt;1,"Duplicate type",IF(INDEX('Rules'!$F$7:$F$26,MATCH(SUBSTITUTE(SUBSTITUTE(SUBSTITUTE(SUBSTITUTE("type:"&amp;B798,"%","%25"),"~","%7E"),"*","%2A"),"?","%3F"),'Rules'!$G$7:$G$26,0))&lt;&gt;"",INDEX('Rules'!$F$7:$F$26,MATCH(SUBSTITUTE(SUBSTITUTE(SUBSTITUTE(SUBSTITUTE("type:"&amp;B798,"%","%25"),"~","%7E"),"*","%2A"),"?","%3F"),'Rules'!$G$7:$G$26,0)),IF(AND(C798&lt;&gt;"",C798&lt;&gt;INDEX('Rules'!$B$7:$B$26,MATCH(SUBSTITUTE(SUBSTITUTE(SUBSTITUTE(SUBSTITUTE("type:"&amp;B798,"%","%25"),"~","%7E"),"*","%2A"),"?","%3F"),'Rules'!$G$7:$G$26,0))),"Unit mismatch",IF(IF(NOT(ISNUMBER(D798)),TRUE,OR(D798&lt;0,D798&gt;999999999,ROUND(D798,3)&lt;&gt;D798)),"Invalid current reading",IF(AND(E798&lt;&gt;"",IF(NOT(ISNUMBER(E798)),TRUE,OR(E798&lt;0,E798&gt;999999999,ROUND(E798,3)&lt;&gt;E798))),"Invalid previous reading",IF(IF(NOT(ISNUMBER(F798)),TRUE,OR(F798&lt;0,F798&gt;999999999,ROUND(F798,3)&lt;&gt;F798)),"Invalid last service",IF(AND(E798&lt;&gt;"",D798&lt;E798),"Decreased reading",IF(F798&gt;D798,"Last service above current","")))))))))))))</x:f>
      </x:c>
      <x:c r="L798" s="6" t="str">
        <x:f>IF(AND(NOT(COUNTA(A798:F798)=0),K798=""),INDEX('Rules'!$C$7:$C$26,MATCH(SUBSTITUTE(SUBSTITUTE(SUBSTITUTE(SUBSTITUTE("type:"&amp;B798,"%","%25"),"~","%7E"),"*","%2A"),"?","%3F"),'Rules'!$G$7:$G$26,0)),"")</x:f>
      </x:c>
      <x:c r="M798" s="6" t="str">
        <x:f>IF(AND(NOT(COUNTA(A798:F798)=0),K798=""),INDEX('Rules'!$D$7:$D$26,MATCH(SUBSTITUTE(SUBSTITUTE(SUBSTITUTE(SUBSTITUTE("type:"&amp;B798,"%","%25"),"~","%7E"),"*","%2A"),"?","%3F"),'Rules'!$G$7:$G$26,0)),"")</x:f>
      </x:c>
      <x:c r="N798" s="5" t="str">
        <x:f>IF(COUNTA(A798:F798)=0,"",SUBSTITUTE(SUBSTITUTE(SUBSTITUTE(SUBSTITUTE("id:"&amp;A798,"%","%25"),"~","%7E"),"*","%2A"),"?","%3F"))</x:f>
      </x:c>
    </x:row>
    <x:row r="799" ht="22" customHeight="1">
      <x:c r="A799" s="3"/>
      <x:c r="B799" s="3"/>
      <x:c r="C799" s="3"/>
      <x:c r="D799" s="4"/>
      <x:c r="E799" s="4"/>
      <x:c r="F799" s="4"/>
      <x:c r="G799" s="5" t="str">
        <x:f>IF(COUNTA(A799:F799)=0,"",IF(K799&lt;&gt;"","Review",IF(I799&lt;0,"Overdue",IF(I799=0,"Due now",IF(I799&lt;=M799,"Due soon","Not due")))))</x:f>
      </x:c>
      <x:c r="H799" s="5" t="str">
        <x:f>IF(OR(COUNTA(A799:F799)=0,COUNTIFS('Rules'!$G$7:$G$26,"="&amp;(SUBSTITUTE(SUBSTITUTE(SUBSTITUTE(SUBSTITUTE("type:"&amp;B799,"%","%25"),"~","%7E"),"*","%2A"),"?","%3F")))&lt;&gt;1),"",IF(OR(INDEX('Rules'!$B$7:$B$26,MATCH(SUBSTITUTE(SUBSTITUTE(SUBSTITUTE(SUBSTITUTE("type:"&amp;B799,"%","%25"),"~","%7E"),"*","%2A"),"?","%3F"),'Rules'!$G$7:$G$26,0))="hours",INDEX('Rules'!$B$7:$B$26,MATCH(SUBSTITUTE(SUBSTITUTE(SUBSTITUTE(SUBSTITUTE("type:"&amp;B799,"%","%25"),"~","%7E"),"*","%2A"),"?","%3F"),'Rules'!$G$7:$G$26,0))="km"),INDEX('Rules'!$B$7:$B$26,MATCH(SUBSTITUTE(SUBSTITUTE(SUBSTITUTE(SUBSTITUTE("type:"&amp;B799,"%","%25"),"~","%7E"),"*","%2A"),"?","%3F"),'Rules'!$G$7:$G$26,0)),""))</x:f>
      </x:c>
      <x:c r="I799" s="6" t="str">
        <x:f>IF(AND(NOT(COUNTA(A799:F799)=0),K799=""),ROUND(J799-D799,3),"")</x:f>
      </x:c>
      <x:c r="J799" s="6" t="str">
        <x:f>IF(AND(NOT(COUNTA(A799:F799)=0),K799=""),ROUND(F799+L799,3),"")</x:f>
      </x:c>
      <x:c r="K799" s="5" t="str">
        <x:f>IF(COUNTA(A799:F799)=0,"",IF(A799="","Missing equipment ID",IF(COUNTIFS($N$8:$N$2007,"="&amp;N799)&gt;1,"Duplicate equipment ID",IF(B799="","Missing type",IF(COUNTIFS('Rules'!$G$7:$G$26,"="&amp;(SUBSTITUTE(SUBSTITUTE(SUBSTITUTE(SUBSTITUTE("type:"&amp;B799,"%","%25"),"~","%7E"),"*","%2A"),"?","%3F")))=0,"Unknown type",IF(COUNTIFS('Rules'!$G$7:$G$26,"="&amp;(SUBSTITUTE(SUBSTITUTE(SUBSTITUTE(SUBSTITUTE("type:"&amp;B799,"%","%25"),"~","%7E"),"*","%2A"),"?","%3F")))&gt;1,"Duplicate type",IF(INDEX('Rules'!$F$7:$F$26,MATCH(SUBSTITUTE(SUBSTITUTE(SUBSTITUTE(SUBSTITUTE("type:"&amp;B799,"%","%25"),"~","%7E"),"*","%2A"),"?","%3F"),'Rules'!$G$7:$G$26,0))&lt;&gt;"",INDEX('Rules'!$F$7:$F$26,MATCH(SUBSTITUTE(SUBSTITUTE(SUBSTITUTE(SUBSTITUTE("type:"&amp;B799,"%","%25"),"~","%7E"),"*","%2A"),"?","%3F"),'Rules'!$G$7:$G$26,0)),IF(AND(C799&lt;&gt;"",C799&lt;&gt;INDEX('Rules'!$B$7:$B$26,MATCH(SUBSTITUTE(SUBSTITUTE(SUBSTITUTE(SUBSTITUTE("type:"&amp;B799,"%","%25"),"~","%7E"),"*","%2A"),"?","%3F"),'Rules'!$G$7:$G$26,0))),"Unit mismatch",IF(IF(NOT(ISNUMBER(D799)),TRUE,OR(D799&lt;0,D799&gt;999999999,ROUND(D799,3)&lt;&gt;D799)),"Invalid current reading",IF(AND(E799&lt;&gt;"",IF(NOT(ISNUMBER(E799)),TRUE,OR(E799&lt;0,E799&gt;999999999,ROUND(E799,3)&lt;&gt;E799))),"Invalid previous reading",IF(IF(NOT(ISNUMBER(F799)),TRUE,OR(F799&lt;0,F799&gt;999999999,ROUND(F799,3)&lt;&gt;F799)),"Invalid last service",IF(AND(E799&lt;&gt;"",D799&lt;E799),"Decreased reading",IF(F799&gt;D799,"Last service above current","")))))))))))))</x:f>
      </x:c>
      <x:c r="L799" s="6" t="str">
        <x:f>IF(AND(NOT(COUNTA(A799:F799)=0),K799=""),INDEX('Rules'!$C$7:$C$26,MATCH(SUBSTITUTE(SUBSTITUTE(SUBSTITUTE(SUBSTITUTE("type:"&amp;B799,"%","%25"),"~","%7E"),"*","%2A"),"?","%3F"),'Rules'!$G$7:$G$26,0)),"")</x:f>
      </x:c>
      <x:c r="M799" s="6" t="str">
        <x:f>IF(AND(NOT(COUNTA(A799:F799)=0),K799=""),INDEX('Rules'!$D$7:$D$26,MATCH(SUBSTITUTE(SUBSTITUTE(SUBSTITUTE(SUBSTITUTE("type:"&amp;B799,"%","%25"),"~","%7E"),"*","%2A"),"?","%3F"),'Rules'!$G$7:$G$26,0)),"")</x:f>
      </x:c>
      <x:c r="N799" s="5" t="str">
        <x:f>IF(COUNTA(A799:F799)=0,"",SUBSTITUTE(SUBSTITUTE(SUBSTITUTE(SUBSTITUTE("id:"&amp;A799,"%","%25"),"~","%7E"),"*","%2A"),"?","%3F"))</x:f>
      </x:c>
    </x:row>
    <x:row r="800" ht="22" customHeight="1">
      <x:c r="A800" s="3"/>
      <x:c r="B800" s="3"/>
      <x:c r="C800" s="3"/>
      <x:c r="D800" s="4"/>
      <x:c r="E800" s="4"/>
      <x:c r="F800" s="4"/>
      <x:c r="G800" s="5" t="str">
        <x:f>IF(COUNTA(A800:F800)=0,"",IF(K800&lt;&gt;"","Review",IF(I800&lt;0,"Overdue",IF(I800=0,"Due now",IF(I800&lt;=M800,"Due soon","Not due")))))</x:f>
      </x:c>
      <x:c r="H800" s="5" t="str">
        <x:f>IF(OR(COUNTA(A800:F800)=0,COUNTIFS('Rules'!$G$7:$G$26,"="&amp;(SUBSTITUTE(SUBSTITUTE(SUBSTITUTE(SUBSTITUTE("type:"&amp;B800,"%","%25"),"~","%7E"),"*","%2A"),"?","%3F")))&lt;&gt;1),"",IF(OR(INDEX('Rules'!$B$7:$B$26,MATCH(SUBSTITUTE(SUBSTITUTE(SUBSTITUTE(SUBSTITUTE("type:"&amp;B800,"%","%25"),"~","%7E"),"*","%2A"),"?","%3F"),'Rules'!$G$7:$G$26,0))="hours",INDEX('Rules'!$B$7:$B$26,MATCH(SUBSTITUTE(SUBSTITUTE(SUBSTITUTE(SUBSTITUTE("type:"&amp;B800,"%","%25"),"~","%7E"),"*","%2A"),"?","%3F"),'Rules'!$G$7:$G$26,0))="km"),INDEX('Rules'!$B$7:$B$26,MATCH(SUBSTITUTE(SUBSTITUTE(SUBSTITUTE(SUBSTITUTE("type:"&amp;B800,"%","%25"),"~","%7E"),"*","%2A"),"?","%3F"),'Rules'!$G$7:$G$26,0)),""))</x:f>
      </x:c>
      <x:c r="I800" s="6" t="str">
        <x:f>IF(AND(NOT(COUNTA(A800:F800)=0),K800=""),ROUND(J800-D800,3),"")</x:f>
      </x:c>
      <x:c r="J800" s="6" t="str">
        <x:f>IF(AND(NOT(COUNTA(A800:F800)=0),K800=""),ROUND(F800+L800,3),"")</x:f>
      </x:c>
      <x:c r="K800" s="5" t="str">
        <x:f>IF(COUNTA(A800:F800)=0,"",IF(A800="","Missing equipment ID",IF(COUNTIFS($N$8:$N$2007,"="&amp;N800)&gt;1,"Duplicate equipment ID",IF(B800="","Missing type",IF(COUNTIFS('Rules'!$G$7:$G$26,"="&amp;(SUBSTITUTE(SUBSTITUTE(SUBSTITUTE(SUBSTITUTE("type:"&amp;B800,"%","%25"),"~","%7E"),"*","%2A"),"?","%3F")))=0,"Unknown type",IF(COUNTIFS('Rules'!$G$7:$G$26,"="&amp;(SUBSTITUTE(SUBSTITUTE(SUBSTITUTE(SUBSTITUTE("type:"&amp;B800,"%","%25"),"~","%7E"),"*","%2A"),"?","%3F")))&gt;1,"Duplicate type",IF(INDEX('Rules'!$F$7:$F$26,MATCH(SUBSTITUTE(SUBSTITUTE(SUBSTITUTE(SUBSTITUTE("type:"&amp;B800,"%","%25"),"~","%7E"),"*","%2A"),"?","%3F"),'Rules'!$G$7:$G$26,0))&lt;&gt;"",INDEX('Rules'!$F$7:$F$26,MATCH(SUBSTITUTE(SUBSTITUTE(SUBSTITUTE(SUBSTITUTE("type:"&amp;B800,"%","%25"),"~","%7E"),"*","%2A"),"?","%3F"),'Rules'!$G$7:$G$26,0)),IF(AND(C800&lt;&gt;"",C800&lt;&gt;INDEX('Rules'!$B$7:$B$26,MATCH(SUBSTITUTE(SUBSTITUTE(SUBSTITUTE(SUBSTITUTE("type:"&amp;B800,"%","%25"),"~","%7E"),"*","%2A"),"?","%3F"),'Rules'!$G$7:$G$26,0))),"Unit mismatch",IF(IF(NOT(ISNUMBER(D800)),TRUE,OR(D800&lt;0,D800&gt;999999999,ROUND(D800,3)&lt;&gt;D800)),"Invalid current reading",IF(AND(E800&lt;&gt;"",IF(NOT(ISNUMBER(E800)),TRUE,OR(E800&lt;0,E800&gt;999999999,ROUND(E800,3)&lt;&gt;E800))),"Invalid previous reading",IF(IF(NOT(ISNUMBER(F800)),TRUE,OR(F800&lt;0,F800&gt;999999999,ROUND(F800,3)&lt;&gt;F800)),"Invalid last service",IF(AND(E800&lt;&gt;"",D800&lt;E800),"Decreased reading",IF(F800&gt;D800,"Last service above current","")))))))))))))</x:f>
      </x:c>
      <x:c r="L800" s="6" t="str">
        <x:f>IF(AND(NOT(COUNTA(A800:F800)=0),K800=""),INDEX('Rules'!$C$7:$C$26,MATCH(SUBSTITUTE(SUBSTITUTE(SUBSTITUTE(SUBSTITUTE("type:"&amp;B800,"%","%25"),"~","%7E"),"*","%2A"),"?","%3F"),'Rules'!$G$7:$G$26,0)),"")</x:f>
      </x:c>
      <x:c r="M800" s="6" t="str">
        <x:f>IF(AND(NOT(COUNTA(A800:F800)=0),K800=""),INDEX('Rules'!$D$7:$D$26,MATCH(SUBSTITUTE(SUBSTITUTE(SUBSTITUTE(SUBSTITUTE("type:"&amp;B800,"%","%25"),"~","%7E"),"*","%2A"),"?","%3F"),'Rules'!$G$7:$G$26,0)),"")</x:f>
      </x:c>
      <x:c r="N800" s="5" t="str">
        <x:f>IF(COUNTA(A800:F800)=0,"",SUBSTITUTE(SUBSTITUTE(SUBSTITUTE(SUBSTITUTE("id:"&amp;A800,"%","%25"),"~","%7E"),"*","%2A"),"?","%3F"))</x:f>
      </x:c>
    </x:row>
    <x:row r="801" ht="22" customHeight="1">
      <x:c r="A801" s="3"/>
      <x:c r="B801" s="3"/>
      <x:c r="C801" s="3"/>
      <x:c r="D801" s="4"/>
      <x:c r="E801" s="4"/>
      <x:c r="F801" s="4"/>
      <x:c r="G801" s="5" t="str">
        <x:f>IF(COUNTA(A801:F801)=0,"",IF(K801&lt;&gt;"","Review",IF(I801&lt;0,"Overdue",IF(I801=0,"Due now",IF(I801&lt;=M801,"Due soon","Not due")))))</x:f>
      </x:c>
      <x:c r="H801" s="5" t="str">
        <x:f>IF(OR(COUNTA(A801:F801)=0,COUNTIFS('Rules'!$G$7:$G$26,"="&amp;(SUBSTITUTE(SUBSTITUTE(SUBSTITUTE(SUBSTITUTE("type:"&amp;B801,"%","%25"),"~","%7E"),"*","%2A"),"?","%3F")))&lt;&gt;1),"",IF(OR(INDEX('Rules'!$B$7:$B$26,MATCH(SUBSTITUTE(SUBSTITUTE(SUBSTITUTE(SUBSTITUTE("type:"&amp;B801,"%","%25"),"~","%7E"),"*","%2A"),"?","%3F"),'Rules'!$G$7:$G$26,0))="hours",INDEX('Rules'!$B$7:$B$26,MATCH(SUBSTITUTE(SUBSTITUTE(SUBSTITUTE(SUBSTITUTE("type:"&amp;B801,"%","%25"),"~","%7E"),"*","%2A"),"?","%3F"),'Rules'!$G$7:$G$26,0))="km"),INDEX('Rules'!$B$7:$B$26,MATCH(SUBSTITUTE(SUBSTITUTE(SUBSTITUTE(SUBSTITUTE("type:"&amp;B801,"%","%25"),"~","%7E"),"*","%2A"),"?","%3F"),'Rules'!$G$7:$G$26,0)),""))</x:f>
      </x:c>
      <x:c r="I801" s="6" t="str">
        <x:f>IF(AND(NOT(COUNTA(A801:F801)=0),K801=""),ROUND(J801-D801,3),"")</x:f>
      </x:c>
      <x:c r="J801" s="6" t="str">
        <x:f>IF(AND(NOT(COUNTA(A801:F801)=0),K801=""),ROUND(F801+L801,3),"")</x:f>
      </x:c>
      <x:c r="K801" s="5" t="str">
        <x:f>IF(COUNTA(A801:F801)=0,"",IF(A801="","Missing equipment ID",IF(COUNTIFS($N$8:$N$2007,"="&amp;N801)&gt;1,"Duplicate equipment ID",IF(B801="","Missing type",IF(COUNTIFS('Rules'!$G$7:$G$26,"="&amp;(SUBSTITUTE(SUBSTITUTE(SUBSTITUTE(SUBSTITUTE("type:"&amp;B801,"%","%25"),"~","%7E"),"*","%2A"),"?","%3F")))=0,"Unknown type",IF(COUNTIFS('Rules'!$G$7:$G$26,"="&amp;(SUBSTITUTE(SUBSTITUTE(SUBSTITUTE(SUBSTITUTE("type:"&amp;B801,"%","%25"),"~","%7E"),"*","%2A"),"?","%3F")))&gt;1,"Duplicate type",IF(INDEX('Rules'!$F$7:$F$26,MATCH(SUBSTITUTE(SUBSTITUTE(SUBSTITUTE(SUBSTITUTE("type:"&amp;B801,"%","%25"),"~","%7E"),"*","%2A"),"?","%3F"),'Rules'!$G$7:$G$26,0))&lt;&gt;"",INDEX('Rules'!$F$7:$F$26,MATCH(SUBSTITUTE(SUBSTITUTE(SUBSTITUTE(SUBSTITUTE("type:"&amp;B801,"%","%25"),"~","%7E"),"*","%2A"),"?","%3F"),'Rules'!$G$7:$G$26,0)),IF(AND(C801&lt;&gt;"",C801&lt;&gt;INDEX('Rules'!$B$7:$B$26,MATCH(SUBSTITUTE(SUBSTITUTE(SUBSTITUTE(SUBSTITUTE("type:"&amp;B801,"%","%25"),"~","%7E"),"*","%2A"),"?","%3F"),'Rules'!$G$7:$G$26,0))),"Unit mismatch",IF(IF(NOT(ISNUMBER(D801)),TRUE,OR(D801&lt;0,D801&gt;999999999,ROUND(D801,3)&lt;&gt;D801)),"Invalid current reading",IF(AND(E801&lt;&gt;"",IF(NOT(ISNUMBER(E801)),TRUE,OR(E801&lt;0,E801&gt;999999999,ROUND(E801,3)&lt;&gt;E801))),"Invalid previous reading",IF(IF(NOT(ISNUMBER(F801)),TRUE,OR(F801&lt;0,F801&gt;999999999,ROUND(F801,3)&lt;&gt;F801)),"Invalid last service",IF(AND(E801&lt;&gt;"",D801&lt;E801),"Decreased reading",IF(F801&gt;D801,"Last service above current","")))))))))))))</x:f>
      </x:c>
      <x:c r="L801" s="6" t="str">
        <x:f>IF(AND(NOT(COUNTA(A801:F801)=0),K801=""),INDEX('Rules'!$C$7:$C$26,MATCH(SUBSTITUTE(SUBSTITUTE(SUBSTITUTE(SUBSTITUTE("type:"&amp;B801,"%","%25"),"~","%7E"),"*","%2A"),"?","%3F"),'Rules'!$G$7:$G$26,0)),"")</x:f>
      </x:c>
      <x:c r="M801" s="6" t="str">
        <x:f>IF(AND(NOT(COUNTA(A801:F801)=0),K801=""),INDEX('Rules'!$D$7:$D$26,MATCH(SUBSTITUTE(SUBSTITUTE(SUBSTITUTE(SUBSTITUTE("type:"&amp;B801,"%","%25"),"~","%7E"),"*","%2A"),"?","%3F"),'Rules'!$G$7:$G$26,0)),"")</x:f>
      </x:c>
      <x:c r="N801" s="5" t="str">
        <x:f>IF(COUNTA(A801:F801)=0,"",SUBSTITUTE(SUBSTITUTE(SUBSTITUTE(SUBSTITUTE("id:"&amp;A801,"%","%25"),"~","%7E"),"*","%2A"),"?","%3F"))</x:f>
      </x:c>
    </x:row>
    <x:row r="802" ht="22" customHeight="1">
      <x:c r="A802" s="3"/>
      <x:c r="B802" s="3"/>
      <x:c r="C802" s="3"/>
      <x:c r="D802" s="4"/>
      <x:c r="E802" s="4"/>
      <x:c r="F802" s="4"/>
      <x:c r="G802" s="5" t="str">
        <x:f>IF(COUNTA(A802:F802)=0,"",IF(K802&lt;&gt;"","Review",IF(I802&lt;0,"Overdue",IF(I802=0,"Due now",IF(I802&lt;=M802,"Due soon","Not due")))))</x:f>
      </x:c>
      <x:c r="H802" s="5" t="str">
        <x:f>IF(OR(COUNTA(A802:F802)=0,COUNTIFS('Rules'!$G$7:$G$26,"="&amp;(SUBSTITUTE(SUBSTITUTE(SUBSTITUTE(SUBSTITUTE("type:"&amp;B802,"%","%25"),"~","%7E"),"*","%2A"),"?","%3F")))&lt;&gt;1),"",IF(OR(INDEX('Rules'!$B$7:$B$26,MATCH(SUBSTITUTE(SUBSTITUTE(SUBSTITUTE(SUBSTITUTE("type:"&amp;B802,"%","%25"),"~","%7E"),"*","%2A"),"?","%3F"),'Rules'!$G$7:$G$26,0))="hours",INDEX('Rules'!$B$7:$B$26,MATCH(SUBSTITUTE(SUBSTITUTE(SUBSTITUTE(SUBSTITUTE("type:"&amp;B802,"%","%25"),"~","%7E"),"*","%2A"),"?","%3F"),'Rules'!$G$7:$G$26,0))="km"),INDEX('Rules'!$B$7:$B$26,MATCH(SUBSTITUTE(SUBSTITUTE(SUBSTITUTE(SUBSTITUTE("type:"&amp;B802,"%","%25"),"~","%7E"),"*","%2A"),"?","%3F"),'Rules'!$G$7:$G$26,0)),""))</x:f>
      </x:c>
      <x:c r="I802" s="6" t="str">
        <x:f>IF(AND(NOT(COUNTA(A802:F802)=0),K802=""),ROUND(J802-D802,3),"")</x:f>
      </x:c>
      <x:c r="J802" s="6" t="str">
        <x:f>IF(AND(NOT(COUNTA(A802:F802)=0),K802=""),ROUND(F802+L802,3),"")</x:f>
      </x:c>
      <x:c r="K802" s="5" t="str">
        <x:f>IF(COUNTA(A802:F802)=0,"",IF(A802="","Missing equipment ID",IF(COUNTIFS($N$8:$N$2007,"="&amp;N802)&gt;1,"Duplicate equipment ID",IF(B802="","Missing type",IF(COUNTIFS('Rules'!$G$7:$G$26,"="&amp;(SUBSTITUTE(SUBSTITUTE(SUBSTITUTE(SUBSTITUTE("type:"&amp;B802,"%","%25"),"~","%7E"),"*","%2A"),"?","%3F")))=0,"Unknown type",IF(COUNTIFS('Rules'!$G$7:$G$26,"="&amp;(SUBSTITUTE(SUBSTITUTE(SUBSTITUTE(SUBSTITUTE("type:"&amp;B802,"%","%25"),"~","%7E"),"*","%2A"),"?","%3F")))&gt;1,"Duplicate type",IF(INDEX('Rules'!$F$7:$F$26,MATCH(SUBSTITUTE(SUBSTITUTE(SUBSTITUTE(SUBSTITUTE("type:"&amp;B802,"%","%25"),"~","%7E"),"*","%2A"),"?","%3F"),'Rules'!$G$7:$G$26,0))&lt;&gt;"",INDEX('Rules'!$F$7:$F$26,MATCH(SUBSTITUTE(SUBSTITUTE(SUBSTITUTE(SUBSTITUTE("type:"&amp;B802,"%","%25"),"~","%7E"),"*","%2A"),"?","%3F"),'Rules'!$G$7:$G$26,0)),IF(AND(C802&lt;&gt;"",C802&lt;&gt;INDEX('Rules'!$B$7:$B$26,MATCH(SUBSTITUTE(SUBSTITUTE(SUBSTITUTE(SUBSTITUTE("type:"&amp;B802,"%","%25"),"~","%7E"),"*","%2A"),"?","%3F"),'Rules'!$G$7:$G$26,0))),"Unit mismatch",IF(IF(NOT(ISNUMBER(D802)),TRUE,OR(D802&lt;0,D802&gt;999999999,ROUND(D802,3)&lt;&gt;D802)),"Invalid current reading",IF(AND(E802&lt;&gt;"",IF(NOT(ISNUMBER(E802)),TRUE,OR(E802&lt;0,E802&gt;999999999,ROUND(E802,3)&lt;&gt;E802))),"Invalid previous reading",IF(IF(NOT(ISNUMBER(F802)),TRUE,OR(F802&lt;0,F802&gt;999999999,ROUND(F802,3)&lt;&gt;F802)),"Invalid last service",IF(AND(E802&lt;&gt;"",D802&lt;E802),"Decreased reading",IF(F802&gt;D802,"Last service above current","")))))))))))))</x:f>
      </x:c>
      <x:c r="L802" s="6" t="str">
        <x:f>IF(AND(NOT(COUNTA(A802:F802)=0),K802=""),INDEX('Rules'!$C$7:$C$26,MATCH(SUBSTITUTE(SUBSTITUTE(SUBSTITUTE(SUBSTITUTE("type:"&amp;B802,"%","%25"),"~","%7E"),"*","%2A"),"?","%3F"),'Rules'!$G$7:$G$26,0)),"")</x:f>
      </x:c>
      <x:c r="M802" s="6" t="str">
        <x:f>IF(AND(NOT(COUNTA(A802:F802)=0),K802=""),INDEX('Rules'!$D$7:$D$26,MATCH(SUBSTITUTE(SUBSTITUTE(SUBSTITUTE(SUBSTITUTE("type:"&amp;B802,"%","%25"),"~","%7E"),"*","%2A"),"?","%3F"),'Rules'!$G$7:$G$26,0)),"")</x:f>
      </x:c>
      <x:c r="N802" s="5" t="str">
        <x:f>IF(COUNTA(A802:F802)=0,"",SUBSTITUTE(SUBSTITUTE(SUBSTITUTE(SUBSTITUTE("id:"&amp;A802,"%","%25"),"~","%7E"),"*","%2A"),"?","%3F"))</x:f>
      </x:c>
    </x:row>
    <x:row r="803" ht="22" customHeight="1">
      <x:c r="A803" s="3"/>
      <x:c r="B803" s="3"/>
      <x:c r="C803" s="3"/>
      <x:c r="D803" s="4"/>
      <x:c r="E803" s="4"/>
      <x:c r="F803" s="4"/>
      <x:c r="G803" s="5" t="str">
        <x:f>IF(COUNTA(A803:F803)=0,"",IF(K803&lt;&gt;"","Review",IF(I803&lt;0,"Overdue",IF(I803=0,"Due now",IF(I803&lt;=M803,"Due soon","Not due")))))</x:f>
      </x:c>
      <x:c r="H803" s="5" t="str">
        <x:f>IF(OR(COUNTA(A803:F803)=0,COUNTIFS('Rules'!$G$7:$G$26,"="&amp;(SUBSTITUTE(SUBSTITUTE(SUBSTITUTE(SUBSTITUTE("type:"&amp;B803,"%","%25"),"~","%7E"),"*","%2A"),"?","%3F")))&lt;&gt;1),"",IF(OR(INDEX('Rules'!$B$7:$B$26,MATCH(SUBSTITUTE(SUBSTITUTE(SUBSTITUTE(SUBSTITUTE("type:"&amp;B803,"%","%25"),"~","%7E"),"*","%2A"),"?","%3F"),'Rules'!$G$7:$G$26,0))="hours",INDEX('Rules'!$B$7:$B$26,MATCH(SUBSTITUTE(SUBSTITUTE(SUBSTITUTE(SUBSTITUTE("type:"&amp;B803,"%","%25"),"~","%7E"),"*","%2A"),"?","%3F"),'Rules'!$G$7:$G$26,0))="km"),INDEX('Rules'!$B$7:$B$26,MATCH(SUBSTITUTE(SUBSTITUTE(SUBSTITUTE(SUBSTITUTE("type:"&amp;B803,"%","%25"),"~","%7E"),"*","%2A"),"?","%3F"),'Rules'!$G$7:$G$26,0)),""))</x:f>
      </x:c>
      <x:c r="I803" s="6" t="str">
        <x:f>IF(AND(NOT(COUNTA(A803:F803)=0),K803=""),ROUND(J803-D803,3),"")</x:f>
      </x:c>
      <x:c r="J803" s="6" t="str">
        <x:f>IF(AND(NOT(COUNTA(A803:F803)=0),K803=""),ROUND(F803+L803,3),"")</x:f>
      </x:c>
      <x:c r="K803" s="5" t="str">
        <x:f>IF(COUNTA(A803:F803)=0,"",IF(A803="","Missing equipment ID",IF(COUNTIFS($N$8:$N$2007,"="&amp;N803)&gt;1,"Duplicate equipment ID",IF(B803="","Missing type",IF(COUNTIFS('Rules'!$G$7:$G$26,"="&amp;(SUBSTITUTE(SUBSTITUTE(SUBSTITUTE(SUBSTITUTE("type:"&amp;B803,"%","%25"),"~","%7E"),"*","%2A"),"?","%3F")))=0,"Unknown type",IF(COUNTIFS('Rules'!$G$7:$G$26,"="&amp;(SUBSTITUTE(SUBSTITUTE(SUBSTITUTE(SUBSTITUTE("type:"&amp;B803,"%","%25"),"~","%7E"),"*","%2A"),"?","%3F")))&gt;1,"Duplicate type",IF(INDEX('Rules'!$F$7:$F$26,MATCH(SUBSTITUTE(SUBSTITUTE(SUBSTITUTE(SUBSTITUTE("type:"&amp;B803,"%","%25"),"~","%7E"),"*","%2A"),"?","%3F"),'Rules'!$G$7:$G$26,0))&lt;&gt;"",INDEX('Rules'!$F$7:$F$26,MATCH(SUBSTITUTE(SUBSTITUTE(SUBSTITUTE(SUBSTITUTE("type:"&amp;B803,"%","%25"),"~","%7E"),"*","%2A"),"?","%3F"),'Rules'!$G$7:$G$26,0)),IF(AND(C803&lt;&gt;"",C803&lt;&gt;INDEX('Rules'!$B$7:$B$26,MATCH(SUBSTITUTE(SUBSTITUTE(SUBSTITUTE(SUBSTITUTE("type:"&amp;B803,"%","%25"),"~","%7E"),"*","%2A"),"?","%3F"),'Rules'!$G$7:$G$26,0))),"Unit mismatch",IF(IF(NOT(ISNUMBER(D803)),TRUE,OR(D803&lt;0,D803&gt;999999999,ROUND(D803,3)&lt;&gt;D803)),"Invalid current reading",IF(AND(E803&lt;&gt;"",IF(NOT(ISNUMBER(E803)),TRUE,OR(E803&lt;0,E803&gt;999999999,ROUND(E803,3)&lt;&gt;E803))),"Invalid previous reading",IF(IF(NOT(ISNUMBER(F803)),TRUE,OR(F803&lt;0,F803&gt;999999999,ROUND(F803,3)&lt;&gt;F803)),"Invalid last service",IF(AND(E803&lt;&gt;"",D803&lt;E803),"Decreased reading",IF(F803&gt;D803,"Last service above current","")))))))))))))</x:f>
      </x:c>
      <x:c r="L803" s="6" t="str">
        <x:f>IF(AND(NOT(COUNTA(A803:F803)=0),K803=""),INDEX('Rules'!$C$7:$C$26,MATCH(SUBSTITUTE(SUBSTITUTE(SUBSTITUTE(SUBSTITUTE("type:"&amp;B803,"%","%25"),"~","%7E"),"*","%2A"),"?","%3F"),'Rules'!$G$7:$G$26,0)),"")</x:f>
      </x:c>
      <x:c r="M803" s="6" t="str">
        <x:f>IF(AND(NOT(COUNTA(A803:F803)=0),K803=""),INDEX('Rules'!$D$7:$D$26,MATCH(SUBSTITUTE(SUBSTITUTE(SUBSTITUTE(SUBSTITUTE("type:"&amp;B803,"%","%25"),"~","%7E"),"*","%2A"),"?","%3F"),'Rules'!$G$7:$G$26,0)),"")</x:f>
      </x:c>
      <x:c r="N803" s="5" t="str">
        <x:f>IF(COUNTA(A803:F803)=0,"",SUBSTITUTE(SUBSTITUTE(SUBSTITUTE(SUBSTITUTE("id:"&amp;A803,"%","%25"),"~","%7E"),"*","%2A"),"?","%3F"))</x:f>
      </x:c>
    </x:row>
    <x:row r="804" ht="22" customHeight="1">
      <x:c r="A804" s="3"/>
      <x:c r="B804" s="3"/>
      <x:c r="C804" s="3"/>
      <x:c r="D804" s="4"/>
      <x:c r="E804" s="4"/>
      <x:c r="F804" s="4"/>
      <x:c r="G804" s="5" t="str">
        <x:f>IF(COUNTA(A804:F804)=0,"",IF(K804&lt;&gt;"","Review",IF(I804&lt;0,"Overdue",IF(I804=0,"Due now",IF(I804&lt;=M804,"Due soon","Not due")))))</x:f>
      </x:c>
      <x:c r="H804" s="5" t="str">
        <x:f>IF(OR(COUNTA(A804:F804)=0,COUNTIFS('Rules'!$G$7:$G$26,"="&amp;(SUBSTITUTE(SUBSTITUTE(SUBSTITUTE(SUBSTITUTE("type:"&amp;B804,"%","%25"),"~","%7E"),"*","%2A"),"?","%3F")))&lt;&gt;1),"",IF(OR(INDEX('Rules'!$B$7:$B$26,MATCH(SUBSTITUTE(SUBSTITUTE(SUBSTITUTE(SUBSTITUTE("type:"&amp;B804,"%","%25"),"~","%7E"),"*","%2A"),"?","%3F"),'Rules'!$G$7:$G$26,0))="hours",INDEX('Rules'!$B$7:$B$26,MATCH(SUBSTITUTE(SUBSTITUTE(SUBSTITUTE(SUBSTITUTE("type:"&amp;B804,"%","%25"),"~","%7E"),"*","%2A"),"?","%3F"),'Rules'!$G$7:$G$26,0))="km"),INDEX('Rules'!$B$7:$B$26,MATCH(SUBSTITUTE(SUBSTITUTE(SUBSTITUTE(SUBSTITUTE("type:"&amp;B804,"%","%25"),"~","%7E"),"*","%2A"),"?","%3F"),'Rules'!$G$7:$G$26,0)),""))</x:f>
      </x:c>
      <x:c r="I804" s="6" t="str">
        <x:f>IF(AND(NOT(COUNTA(A804:F804)=0),K804=""),ROUND(J804-D804,3),"")</x:f>
      </x:c>
      <x:c r="J804" s="6" t="str">
        <x:f>IF(AND(NOT(COUNTA(A804:F804)=0),K804=""),ROUND(F804+L804,3),"")</x:f>
      </x:c>
      <x:c r="K804" s="5" t="str">
        <x:f>IF(COUNTA(A804:F804)=0,"",IF(A804="","Missing equipment ID",IF(COUNTIFS($N$8:$N$2007,"="&amp;N804)&gt;1,"Duplicate equipment ID",IF(B804="","Missing type",IF(COUNTIFS('Rules'!$G$7:$G$26,"="&amp;(SUBSTITUTE(SUBSTITUTE(SUBSTITUTE(SUBSTITUTE("type:"&amp;B804,"%","%25"),"~","%7E"),"*","%2A"),"?","%3F")))=0,"Unknown type",IF(COUNTIFS('Rules'!$G$7:$G$26,"="&amp;(SUBSTITUTE(SUBSTITUTE(SUBSTITUTE(SUBSTITUTE("type:"&amp;B804,"%","%25"),"~","%7E"),"*","%2A"),"?","%3F")))&gt;1,"Duplicate type",IF(INDEX('Rules'!$F$7:$F$26,MATCH(SUBSTITUTE(SUBSTITUTE(SUBSTITUTE(SUBSTITUTE("type:"&amp;B804,"%","%25"),"~","%7E"),"*","%2A"),"?","%3F"),'Rules'!$G$7:$G$26,0))&lt;&gt;"",INDEX('Rules'!$F$7:$F$26,MATCH(SUBSTITUTE(SUBSTITUTE(SUBSTITUTE(SUBSTITUTE("type:"&amp;B804,"%","%25"),"~","%7E"),"*","%2A"),"?","%3F"),'Rules'!$G$7:$G$26,0)),IF(AND(C804&lt;&gt;"",C804&lt;&gt;INDEX('Rules'!$B$7:$B$26,MATCH(SUBSTITUTE(SUBSTITUTE(SUBSTITUTE(SUBSTITUTE("type:"&amp;B804,"%","%25"),"~","%7E"),"*","%2A"),"?","%3F"),'Rules'!$G$7:$G$26,0))),"Unit mismatch",IF(IF(NOT(ISNUMBER(D804)),TRUE,OR(D804&lt;0,D804&gt;999999999,ROUND(D804,3)&lt;&gt;D804)),"Invalid current reading",IF(AND(E804&lt;&gt;"",IF(NOT(ISNUMBER(E804)),TRUE,OR(E804&lt;0,E804&gt;999999999,ROUND(E804,3)&lt;&gt;E804))),"Invalid previous reading",IF(IF(NOT(ISNUMBER(F804)),TRUE,OR(F804&lt;0,F804&gt;999999999,ROUND(F804,3)&lt;&gt;F804)),"Invalid last service",IF(AND(E804&lt;&gt;"",D804&lt;E804),"Decreased reading",IF(F804&gt;D804,"Last service above current","")))))))))))))</x:f>
      </x:c>
      <x:c r="L804" s="6" t="str">
        <x:f>IF(AND(NOT(COUNTA(A804:F804)=0),K804=""),INDEX('Rules'!$C$7:$C$26,MATCH(SUBSTITUTE(SUBSTITUTE(SUBSTITUTE(SUBSTITUTE("type:"&amp;B804,"%","%25"),"~","%7E"),"*","%2A"),"?","%3F"),'Rules'!$G$7:$G$26,0)),"")</x:f>
      </x:c>
      <x:c r="M804" s="6" t="str">
        <x:f>IF(AND(NOT(COUNTA(A804:F804)=0),K804=""),INDEX('Rules'!$D$7:$D$26,MATCH(SUBSTITUTE(SUBSTITUTE(SUBSTITUTE(SUBSTITUTE("type:"&amp;B804,"%","%25"),"~","%7E"),"*","%2A"),"?","%3F"),'Rules'!$G$7:$G$26,0)),"")</x:f>
      </x:c>
      <x:c r="N804" s="5" t="str">
        <x:f>IF(COUNTA(A804:F804)=0,"",SUBSTITUTE(SUBSTITUTE(SUBSTITUTE(SUBSTITUTE("id:"&amp;A804,"%","%25"),"~","%7E"),"*","%2A"),"?","%3F"))</x:f>
      </x:c>
    </x:row>
    <x:row r="805" ht="22" customHeight="1">
      <x:c r="A805" s="3"/>
      <x:c r="B805" s="3"/>
      <x:c r="C805" s="3"/>
      <x:c r="D805" s="4"/>
      <x:c r="E805" s="4"/>
      <x:c r="F805" s="4"/>
      <x:c r="G805" s="5" t="str">
        <x:f>IF(COUNTA(A805:F805)=0,"",IF(K805&lt;&gt;"","Review",IF(I805&lt;0,"Overdue",IF(I805=0,"Due now",IF(I805&lt;=M805,"Due soon","Not due")))))</x:f>
      </x:c>
      <x:c r="H805" s="5" t="str">
        <x:f>IF(OR(COUNTA(A805:F805)=0,COUNTIFS('Rules'!$G$7:$G$26,"="&amp;(SUBSTITUTE(SUBSTITUTE(SUBSTITUTE(SUBSTITUTE("type:"&amp;B805,"%","%25"),"~","%7E"),"*","%2A"),"?","%3F")))&lt;&gt;1),"",IF(OR(INDEX('Rules'!$B$7:$B$26,MATCH(SUBSTITUTE(SUBSTITUTE(SUBSTITUTE(SUBSTITUTE("type:"&amp;B805,"%","%25"),"~","%7E"),"*","%2A"),"?","%3F"),'Rules'!$G$7:$G$26,0))="hours",INDEX('Rules'!$B$7:$B$26,MATCH(SUBSTITUTE(SUBSTITUTE(SUBSTITUTE(SUBSTITUTE("type:"&amp;B805,"%","%25"),"~","%7E"),"*","%2A"),"?","%3F"),'Rules'!$G$7:$G$26,0))="km"),INDEX('Rules'!$B$7:$B$26,MATCH(SUBSTITUTE(SUBSTITUTE(SUBSTITUTE(SUBSTITUTE("type:"&amp;B805,"%","%25"),"~","%7E"),"*","%2A"),"?","%3F"),'Rules'!$G$7:$G$26,0)),""))</x:f>
      </x:c>
      <x:c r="I805" s="6" t="str">
        <x:f>IF(AND(NOT(COUNTA(A805:F805)=0),K805=""),ROUND(J805-D805,3),"")</x:f>
      </x:c>
      <x:c r="J805" s="6" t="str">
        <x:f>IF(AND(NOT(COUNTA(A805:F805)=0),K805=""),ROUND(F805+L805,3),"")</x:f>
      </x:c>
      <x:c r="K805" s="5" t="str">
        <x:f>IF(COUNTA(A805:F805)=0,"",IF(A805="","Missing equipment ID",IF(COUNTIFS($N$8:$N$2007,"="&amp;N805)&gt;1,"Duplicate equipment ID",IF(B805="","Missing type",IF(COUNTIFS('Rules'!$G$7:$G$26,"="&amp;(SUBSTITUTE(SUBSTITUTE(SUBSTITUTE(SUBSTITUTE("type:"&amp;B805,"%","%25"),"~","%7E"),"*","%2A"),"?","%3F")))=0,"Unknown type",IF(COUNTIFS('Rules'!$G$7:$G$26,"="&amp;(SUBSTITUTE(SUBSTITUTE(SUBSTITUTE(SUBSTITUTE("type:"&amp;B805,"%","%25"),"~","%7E"),"*","%2A"),"?","%3F")))&gt;1,"Duplicate type",IF(INDEX('Rules'!$F$7:$F$26,MATCH(SUBSTITUTE(SUBSTITUTE(SUBSTITUTE(SUBSTITUTE("type:"&amp;B805,"%","%25"),"~","%7E"),"*","%2A"),"?","%3F"),'Rules'!$G$7:$G$26,0))&lt;&gt;"",INDEX('Rules'!$F$7:$F$26,MATCH(SUBSTITUTE(SUBSTITUTE(SUBSTITUTE(SUBSTITUTE("type:"&amp;B805,"%","%25"),"~","%7E"),"*","%2A"),"?","%3F"),'Rules'!$G$7:$G$26,0)),IF(AND(C805&lt;&gt;"",C805&lt;&gt;INDEX('Rules'!$B$7:$B$26,MATCH(SUBSTITUTE(SUBSTITUTE(SUBSTITUTE(SUBSTITUTE("type:"&amp;B805,"%","%25"),"~","%7E"),"*","%2A"),"?","%3F"),'Rules'!$G$7:$G$26,0))),"Unit mismatch",IF(IF(NOT(ISNUMBER(D805)),TRUE,OR(D805&lt;0,D805&gt;999999999,ROUND(D805,3)&lt;&gt;D805)),"Invalid current reading",IF(AND(E805&lt;&gt;"",IF(NOT(ISNUMBER(E805)),TRUE,OR(E805&lt;0,E805&gt;999999999,ROUND(E805,3)&lt;&gt;E805))),"Invalid previous reading",IF(IF(NOT(ISNUMBER(F805)),TRUE,OR(F805&lt;0,F805&gt;999999999,ROUND(F805,3)&lt;&gt;F805)),"Invalid last service",IF(AND(E805&lt;&gt;"",D805&lt;E805),"Decreased reading",IF(F805&gt;D805,"Last service above current","")))))))))))))</x:f>
      </x:c>
      <x:c r="L805" s="6" t="str">
        <x:f>IF(AND(NOT(COUNTA(A805:F805)=0),K805=""),INDEX('Rules'!$C$7:$C$26,MATCH(SUBSTITUTE(SUBSTITUTE(SUBSTITUTE(SUBSTITUTE("type:"&amp;B805,"%","%25"),"~","%7E"),"*","%2A"),"?","%3F"),'Rules'!$G$7:$G$26,0)),"")</x:f>
      </x:c>
      <x:c r="M805" s="6" t="str">
        <x:f>IF(AND(NOT(COUNTA(A805:F805)=0),K805=""),INDEX('Rules'!$D$7:$D$26,MATCH(SUBSTITUTE(SUBSTITUTE(SUBSTITUTE(SUBSTITUTE("type:"&amp;B805,"%","%25"),"~","%7E"),"*","%2A"),"?","%3F"),'Rules'!$G$7:$G$26,0)),"")</x:f>
      </x:c>
      <x:c r="N805" s="5" t="str">
        <x:f>IF(COUNTA(A805:F805)=0,"",SUBSTITUTE(SUBSTITUTE(SUBSTITUTE(SUBSTITUTE("id:"&amp;A805,"%","%25"),"~","%7E"),"*","%2A"),"?","%3F"))</x:f>
      </x:c>
    </x:row>
    <x:row r="806" ht="22" customHeight="1">
      <x:c r="A806" s="3"/>
      <x:c r="B806" s="3"/>
      <x:c r="C806" s="3"/>
      <x:c r="D806" s="4"/>
      <x:c r="E806" s="4"/>
      <x:c r="F806" s="4"/>
      <x:c r="G806" s="5" t="str">
        <x:f>IF(COUNTA(A806:F806)=0,"",IF(K806&lt;&gt;"","Review",IF(I806&lt;0,"Overdue",IF(I806=0,"Due now",IF(I806&lt;=M806,"Due soon","Not due")))))</x:f>
      </x:c>
      <x:c r="H806" s="5" t="str">
        <x:f>IF(OR(COUNTA(A806:F806)=0,COUNTIFS('Rules'!$G$7:$G$26,"="&amp;(SUBSTITUTE(SUBSTITUTE(SUBSTITUTE(SUBSTITUTE("type:"&amp;B806,"%","%25"),"~","%7E"),"*","%2A"),"?","%3F")))&lt;&gt;1),"",IF(OR(INDEX('Rules'!$B$7:$B$26,MATCH(SUBSTITUTE(SUBSTITUTE(SUBSTITUTE(SUBSTITUTE("type:"&amp;B806,"%","%25"),"~","%7E"),"*","%2A"),"?","%3F"),'Rules'!$G$7:$G$26,0))="hours",INDEX('Rules'!$B$7:$B$26,MATCH(SUBSTITUTE(SUBSTITUTE(SUBSTITUTE(SUBSTITUTE("type:"&amp;B806,"%","%25"),"~","%7E"),"*","%2A"),"?","%3F"),'Rules'!$G$7:$G$26,0))="km"),INDEX('Rules'!$B$7:$B$26,MATCH(SUBSTITUTE(SUBSTITUTE(SUBSTITUTE(SUBSTITUTE("type:"&amp;B806,"%","%25"),"~","%7E"),"*","%2A"),"?","%3F"),'Rules'!$G$7:$G$26,0)),""))</x:f>
      </x:c>
      <x:c r="I806" s="6" t="str">
        <x:f>IF(AND(NOT(COUNTA(A806:F806)=0),K806=""),ROUND(J806-D806,3),"")</x:f>
      </x:c>
      <x:c r="J806" s="6" t="str">
        <x:f>IF(AND(NOT(COUNTA(A806:F806)=0),K806=""),ROUND(F806+L806,3),"")</x:f>
      </x:c>
      <x:c r="K806" s="5" t="str">
        <x:f>IF(COUNTA(A806:F806)=0,"",IF(A806="","Missing equipment ID",IF(COUNTIFS($N$8:$N$2007,"="&amp;N806)&gt;1,"Duplicate equipment ID",IF(B806="","Missing type",IF(COUNTIFS('Rules'!$G$7:$G$26,"="&amp;(SUBSTITUTE(SUBSTITUTE(SUBSTITUTE(SUBSTITUTE("type:"&amp;B806,"%","%25"),"~","%7E"),"*","%2A"),"?","%3F")))=0,"Unknown type",IF(COUNTIFS('Rules'!$G$7:$G$26,"="&amp;(SUBSTITUTE(SUBSTITUTE(SUBSTITUTE(SUBSTITUTE("type:"&amp;B806,"%","%25"),"~","%7E"),"*","%2A"),"?","%3F")))&gt;1,"Duplicate type",IF(INDEX('Rules'!$F$7:$F$26,MATCH(SUBSTITUTE(SUBSTITUTE(SUBSTITUTE(SUBSTITUTE("type:"&amp;B806,"%","%25"),"~","%7E"),"*","%2A"),"?","%3F"),'Rules'!$G$7:$G$26,0))&lt;&gt;"",INDEX('Rules'!$F$7:$F$26,MATCH(SUBSTITUTE(SUBSTITUTE(SUBSTITUTE(SUBSTITUTE("type:"&amp;B806,"%","%25"),"~","%7E"),"*","%2A"),"?","%3F"),'Rules'!$G$7:$G$26,0)),IF(AND(C806&lt;&gt;"",C806&lt;&gt;INDEX('Rules'!$B$7:$B$26,MATCH(SUBSTITUTE(SUBSTITUTE(SUBSTITUTE(SUBSTITUTE("type:"&amp;B806,"%","%25"),"~","%7E"),"*","%2A"),"?","%3F"),'Rules'!$G$7:$G$26,0))),"Unit mismatch",IF(IF(NOT(ISNUMBER(D806)),TRUE,OR(D806&lt;0,D806&gt;999999999,ROUND(D806,3)&lt;&gt;D806)),"Invalid current reading",IF(AND(E806&lt;&gt;"",IF(NOT(ISNUMBER(E806)),TRUE,OR(E806&lt;0,E806&gt;999999999,ROUND(E806,3)&lt;&gt;E806))),"Invalid previous reading",IF(IF(NOT(ISNUMBER(F806)),TRUE,OR(F806&lt;0,F806&gt;999999999,ROUND(F806,3)&lt;&gt;F806)),"Invalid last service",IF(AND(E806&lt;&gt;"",D806&lt;E806),"Decreased reading",IF(F806&gt;D806,"Last service above current","")))))))))))))</x:f>
      </x:c>
      <x:c r="L806" s="6" t="str">
        <x:f>IF(AND(NOT(COUNTA(A806:F806)=0),K806=""),INDEX('Rules'!$C$7:$C$26,MATCH(SUBSTITUTE(SUBSTITUTE(SUBSTITUTE(SUBSTITUTE("type:"&amp;B806,"%","%25"),"~","%7E"),"*","%2A"),"?","%3F"),'Rules'!$G$7:$G$26,0)),"")</x:f>
      </x:c>
      <x:c r="M806" s="6" t="str">
        <x:f>IF(AND(NOT(COUNTA(A806:F806)=0),K806=""),INDEX('Rules'!$D$7:$D$26,MATCH(SUBSTITUTE(SUBSTITUTE(SUBSTITUTE(SUBSTITUTE("type:"&amp;B806,"%","%25"),"~","%7E"),"*","%2A"),"?","%3F"),'Rules'!$G$7:$G$26,0)),"")</x:f>
      </x:c>
      <x:c r="N806" s="5" t="str">
        <x:f>IF(COUNTA(A806:F806)=0,"",SUBSTITUTE(SUBSTITUTE(SUBSTITUTE(SUBSTITUTE("id:"&amp;A806,"%","%25"),"~","%7E"),"*","%2A"),"?","%3F"))</x:f>
      </x:c>
    </x:row>
    <x:row r="807" ht="22" customHeight="1">
      <x:c r="A807" s="3"/>
      <x:c r="B807" s="3"/>
      <x:c r="C807" s="3"/>
      <x:c r="D807" s="4"/>
      <x:c r="E807" s="4"/>
      <x:c r="F807" s="4"/>
      <x:c r="G807" s="5" t="str">
        <x:f>IF(COUNTA(A807:F807)=0,"",IF(K807&lt;&gt;"","Review",IF(I807&lt;0,"Overdue",IF(I807=0,"Due now",IF(I807&lt;=M807,"Due soon","Not due")))))</x:f>
      </x:c>
      <x:c r="H807" s="5" t="str">
        <x:f>IF(OR(COUNTA(A807:F807)=0,COUNTIFS('Rules'!$G$7:$G$26,"="&amp;(SUBSTITUTE(SUBSTITUTE(SUBSTITUTE(SUBSTITUTE("type:"&amp;B807,"%","%25"),"~","%7E"),"*","%2A"),"?","%3F")))&lt;&gt;1),"",IF(OR(INDEX('Rules'!$B$7:$B$26,MATCH(SUBSTITUTE(SUBSTITUTE(SUBSTITUTE(SUBSTITUTE("type:"&amp;B807,"%","%25"),"~","%7E"),"*","%2A"),"?","%3F"),'Rules'!$G$7:$G$26,0))="hours",INDEX('Rules'!$B$7:$B$26,MATCH(SUBSTITUTE(SUBSTITUTE(SUBSTITUTE(SUBSTITUTE("type:"&amp;B807,"%","%25"),"~","%7E"),"*","%2A"),"?","%3F"),'Rules'!$G$7:$G$26,0))="km"),INDEX('Rules'!$B$7:$B$26,MATCH(SUBSTITUTE(SUBSTITUTE(SUBSTITUTE(SUBSTITUTE("type:"&amp;B807,"%","%25"),"~","%7E"),"*","%2A"),"?","%3F"),'Rules'!$G$7:$G$26,0)),""))</x:f>
      </x:c>
      <x:c r="I807" s="6" t="str">
        <x:f>IF(AND(NOT(COUNTA(A807:F807)=0),K807=""),ROUND(J807-D807,3),"")</x:f>
      </x:c>
      <x:c r="J807" s="6" t="str">
        <x:f>IF(AND(NOT(COUNTA(A807:F807)=0),K807=""),ROUND(F807+L807,3),"")</x:f>
      </x:c>
      <x:c r="K807" s="5" t="str">
        <x:f>IF(COUNTA(A807:F807)=0,"",IF(A807="","Missing equipment ID",IF(COUNTIFS($N$8:$N$2007,"="&amp;N807)&gt;1,"Duplicate equipment ID",IF(B807="","Missing type",IF(COUNTIFS('Rules'!$G$7:$G$26,"="&amp;(SUBSTITUTE(SUBSTITUTE(SUBSTITUTE(SUBSTITUTE("type:"&amp;B807,"%","%25"),"~","%7E"),"*","%2A"),"?","%3F")))=0,"Unknown type",IF(COUNTIFS('Rules'!$G$7:$G$26,"="&amp;(SUBSTITUTE(SUBSTITUTE(SUBSTITUTE(SUBSTITUTE("type:"&amp;B807,"%","%25"),"~","%7E"),"*","%2A"),"?","%3F")))&gt;1,"Duplicate type",IF(INDEX('Rules'!$F$7:$F$26,MATCH(SUBSTITUTE(SUBSTITUTE(SUBSTITUTE(SUBSTITUTE("type:"&amp;B807,"%","%25"),"~","%7E"),"*","%2A"),"?","%3F"),'Rules'!$G$7:$G$26,0))&lt;&gt;"",INDEX('Rules'!$F$7:$F$26,MATCH(SUBSTITUTE(SUBSTITUTE(SUBSTITUTE(SUBSTITUTE("type:"&amp;B807,"%","%25"),"~","%7E"),"*","%2A"),"?","%3F"),'Rules'!$G$7:$G$26,0)),IF(AND(C807&lt;&gt;"",C807&lt;&gt;INDEX('Rules'!$B$7:$B$26,MATCH(SUBSTITUTE(SUBSTITUTE(SUBSTITUTE(SUBSTITUTE("type:"&amp;B807,"%","%25"),"~","%7E"),"*","%2A"),"?","%3F"),'Rules'!$G$7:$G$26,0))),"Unit mismatch",IF(IF(NOT(ISNUMBER(D807)),TRUE,OR(D807&lt;0,D807&gt;999999999,ROUND(D807,3)&lt;&gt;D807)),"Invalid current reading",IF(AND(E807&lt;&gt;"",IF(NOT(ISNUMBER(E807)),TRUE,OR(E807&lt;0,E807&gt;999999999,ROUND(E807,3)&lt;&gt;E807))),"Invalid previous reading",IF(IF(NOT(ISNUMBER(F807)),TRUE,OR(F807&lt;0,F807&gt;999999999,ROUND(F807,3)&lt;&gt;F807)),"Invalid last service",IF(AND(E807&lt;&gt;"",D807&lt;E807),"Decreased reading",IF(F807&gt;D807,"Last service above current","")))))))))))))</x:f>
      </x:c>
      <x:c r="L807" s="6" t="str">
        <x:f>IF(AND(NOT(COUNTA(A807:F807)=0),K807=""),INDEX('Rules'!$C$7:$C$26,MATCH(SUBSTITUTE(SUBSTITUTE(SUBSTITUTE(SUBSTITUTE("type:"&amp;B807,"%","%25"),"~","%7E"),"*","%2A"),"?","%3F"),'Rules'!$G$7:$G$26,0)),"")</x:f>
      </x:c>
      <x:c r="M807" s="6" t="str">
        <x:f>IF(AND(NOT(COUNTA(A807:F807)=0),K807=""),INDEX('Rules'!$D$7:$D$26,MATCH(SUBSTITUTE(SUBSTITUTE(SUBSTITUTE(SUBSTITUTE("type:"&amp;B807,"%","%25"),"~","%7E"),"*","%2A"),"?","%3F"),'Rules'!$G$7:$G$26,0)),"")</x:f>
      </x:c>
      <x:c r="N807" s="5" t="str">
        <x:f>IF(COUNTA(A807:F807)=0,"",SUBSTITUTE(SUBSTITUTE(SUBSTITUTE(SUBSTITUTE("id:"&amp;A807,"%","%25"),"~","%7E"),"*","%2A"),"?","%3F"))</x:f>
      </x:c>
    </x:row>
    <x:row r="808" ht="22" customHeight="1">
      <x:c r="A808" s="3"/>
      <x:c r="B808" s="3"/>
      <x:c r="C808" s="3"/>
      <x:c r="D808" s="4"/>
      <x:c r="E808" s="4"/>
      <x:c r="F808" s="4"/>
      <x:c r="G808" s="5" t="str">
        <x:f>IF(COUNTA(A808:F808)=0,"",IF(K808&lt;&gt;"","Review",IF(I808&lt;0,"Overdue",IF(I808=0,"Due now",IF(I808&lt;=M808,"Due soon","Not due")))))</x:f>
      </x:c>
      <x:c r="H808" s="5" t="str">
        <x:f>IF(OR(COUNTA(A808:F808)=0,COUNTIFS('Rules'!$G$7:$G$26,"="&amp;(SUBSTITUTE(SUBSTITUTE(SUBSTITUTE(SUBSTITUTE("type:"&amp;B808,"%","%25"),"~","%7E"),"*","%2A"),"?","%3F")))&lt;&gt;1),"",IF(OR(INDEX('Rules'!$B$7:$B$26,MATCH(SUBSTITUTE(SUBSTITUTE(SUBSTITUTE(SUBSTITUTE("type:"&amp;B808,"%","%25"),"~","%7E"),"*","%2A"),"?","%3F"),'Rules'!$G$7:$G$26,0))="hours",INDEX('Rules'!$B$7:$B$26,MATCH(SUBSTITUTE(SUBSTITUTE(SUBSTITUTE(SUBSTITUTE("type:"&amp;B808,"%","%25"),"~","%7E"),"*","%2A"),"?","%3F"),'Rules'!$G$7:$G$26,0))="km"),INDEX('Rules'!$B$7:$B$26,MATCH(SUBSTITUTE(SUBSTITUTE(SUBSTITUTE(SUBSTITUTE("type:"&amp;B808,"%","%25"),"~","%7E"),"*","%2A"),"?","%3F"),'Rules'!$G$7:$G$26,0)),""))</x:f>
      </x:c>
      <x:c r="I808" s="6" t="str">
        <x:f>IF(AND(NOT(COUNTA(A808:F808)=0),K808=""),ROUND(J808-D808,3),"")</x:f>
      </x:c>
      <x:c r="J808" s="6" t="str">
        <x:f>IF(AND(NOT(COUNTA(A808:F808)=0),K808=""),ROUND(F808+L808,3),"")</x:f>
      </x:c>
      <x:c r="K808" s="5" t="str">
        <x:f>IF(COUNTA(A808:F808)=0,"",IF(A808="","Missing equipment ID",IF(COUNTIFS($N$8:$N$2007,"="&amp;N808)&gt;1,"Duplicate equipment ID",IF(B808="","Missing type",IF(COUNTIFS('Rules'!$G$7:$G$26,"="&amp;(SUBSTITUTE(SUBSTITUTE(SUBSTITUTE(SUBSTITUTE("type:"&amp;B808,"%","%25"),"~","%7E"),"*","%2A"),"?","%3F")))=0,"Unknown type",IF(COUNTIFS('Rules'!$G$7:$G$26,"="&amp;(SUBSTITUTE(SUBSTITUTE(SUBSTITUTE(SUBSTITUTE("type:"&amp;B808,"%","%25"),"~","%7E"),"*","%2A"),"?","%3F")))&gt;1,"Duplicate type",IF(INDEX('Rules'!$F$7:$F$26,MATCH(SUBSTITUTE(SUBSTITUTE(SUBSTITUTE(SUBSTITUTE("type:"&amp;B808,"%","%25"),"~","%7E"),"*","%2A"),"?","%3F"),'Rules'!$G$7:$G$26,0))&lt;&gt;"",INDEX('Rules'!$F$7:$F$26,MATCH(SUBSTITUTE(SUBSTITUTE(SUBSTITUTE(SUBSTITUTE("type:"&amp;B808,"%","%25"),"~","%7E"),"*","%2A"),"?","%3F"),'Rules'!$G$7:$G$26,0)),IF(AND(C808&lt;&gt;"",C808&lt;&gt;INDEX('Rules'!$B$7:$B$26,MATCH(SUBSTITUTE(SUBSTITUTE(SUBSTITUTE(SUBSTITUTE("type:"&amp;B808,"%","%25"),"~","%7E"),"*","%2A"),"?","%3F"),'Rules'!$G$7:$G$26,0))),"Unit mismatch",IF(IF(NOT(ISNUMBER(D808)),TRUE,OR(D808&lt;0,D808&gt;999999999,ROUND(D808,3)&lt;&gt;D808)),"Invalid current reading",IF(AND(E808&lt;&gt;"",IF(NOT(ISNUMBER(E808)),TRUE,OR(E808&lt;0,E808&gt;999999999,ROUND(E808,3)&lt;&gt;E808))),"Invalid previous reading",IF(IF(NOT(ISNUMBER(F808)),TRUE,OR(F808&lt;0,F808&gt;999999999,ROUND(F808,3)&lt;&gt;F808)),"Invalid last service",IF(AND(E808&lt;&gt;"",D808&lt;E808),"Decreased reading",IF(F808&gt;D808,"Last service above current","")))))))))))))</x:f>
      </x:c>
      <x:c r="L808" s="6" t="str">
        <x:f>IF(AND(NOT(COUNTA(A808:F808)=0),K808=""),INDEX('Rules'!$C$7:$C$26,MATCH(SUBSTITUTE(SUBSTITUTE(SUBSTITUTE(SUBSTITUTE("type:"&amp;B808,"%","%25"),"~","%7E"),"*","%2A"),"?","%3F"),'Rules'!$G$7:$G$26,0)),"")</x:f>
      </x:c>
      <x:c r="M808" s="6" t="str">
        <x:f>IF(AND(NOT(COUNTA(A808:F808)=0),K808=""),INDEX('Rules'!$D$7:$D$26,MATCH(SUBSTITUTE(SUBSTITUTE(SUBSTITUTE(SUBSTITUTE("type:"&amp;B808,"%","%25"),"~","%7E"),"*","%2A"),"?","%3F"),'Rules'!$G$7:$G$26,0)),"")</x:f>
      </x:c>
      <x:c r="N808" s="5" t="str">
        <x:f>IF(COUNTA(A808:F808)=0,"",SUBSTITUTE(SUBSTITUTE(SUBSTITUTE(SUBSTITUTE("id:"&amp;A808,"%","%25"),"~","%7E"),"*","%2A"),"?","%3F"))</x:f>
      </x:c>
    </x:row>
    <x:row r="809" ht="22" customHeight="1">
      <x:c r="A809" s="3"/>
      <x:c r="B809" s="3"/>
      <x:c r="C809" s="3"/>
      <x:c r="D809" s="4"/>
      <x:c r="E809" s="4"/>
      <x:c r="F809" s="4"/>
      <x:c r="G809" s="5" t="str">
        <x:f>IF(COUNTA(A809:F809)=0,"",IF(K809&lt;&gt;"","Review",IF(I809&lt;0,"Overdue",IF(I809=0,"Due now",IF(I809&lt;=M809,"Due soon","Not due")))))</x:f>
      </x:c>
      <x:c r="H809" s="5" t="str">
        <x:f>IF(OR(COUNTA(A809:F809)=0,COUNTIFS('Rules'!$G$7:$G$26,"="&amp;(SUBSTITUTE(SUBSTITUTE(SUBSTITUTE(SUBSTITUTE("type:"&amp;B809,"%","%25"),"~","%7E"),"*","%2A"),"?","%3F")))&lt;&gt;1),"",IF(OR(INDEX('Rules'!$B$7:$B$26,MATCH(SUBSTITUTE(SUBSTITUTE(SUBSTITUTE(SUBSTITUTE("type:"&amp;B809,"%","%25"),"~","%7E"),"*","%2A"),"?","%3F"),'Rules'!$G$7:$G$26,0))="hours",INDEX('Rules'!$B$7:$B$26,MATCH(SUBSTITUTE(SUBSTITUTE(SUBSTITUTE(SUBSTITUTE("type:"&amp;B809,"%","%25"),"~","%7E"),"*","%2A"),"?","%3F"),'Rules'!$G$7:$G$26,0))="km"),INDEX('Rules'!$B$7:$B$26,MATCH(SUBSTITUTE(SUBSTITUTE(SUBSTITUTE(SUBSTITUTE("type:"&amp;B809,"%","%25"),"~","%7E"),"*","%2A"),"?","%3F"),'Rules'!$G$7:$G$26,0)),""))</x:f>
      </x:c>
      <x:c r="I809" s="6" t="str">
        <x:f>IF(AND(NOT(COUNTA(A809:F809)=0),K809=""),ROUND(J809-D809,3),"")</x:f>
      </x:c>
      <x:c r="J809" s="6" t="str">
        <x:f>IF(AND(NOT(COUNTA(A809:F809)=0),K809=""),ROUND(F809+L809,3),"")</x:f>
      </x:c>
      <x:c r="K809" s="5" t="str">
        <x:f>IF(COUNTA(A809:F809)=0,"",IF(A809="","Missing equipment ID",IF(COUNTIFS($N$8:$N$2007,"="&amp;N809)&gt;1,"Duplicate equipment ID",IF(B809="","Missing type",IF(COUNTIFS('Rules'!$G$7:$G$26,"="&amp;(SUBSTITUTE(SUBSTITUTE(SUBSTITUTE(SUBSTITUTE("type:"&amp;B809,"%","%25"),"~","%7E"),"*","%2A"),"?","%3F")))=0,"Unknown type",IF(COUNTIFS('Rules'!$G$7:$G$26,"="&amp;(SUBSTITUTE(SUBSTITUTE(SUBSTITUTE(SUBSTITUTE("type:"&amp;B809,"%","%25"),"~","%7E"),"*","%2A"),"?","%3F")))&gt;1,"Duplicate type",IF(INDEX('Rules'!$F$7:$F$26,MATCH(SUBSTITUTE(SUBSTITUTE(SUBSTITUTE(SUBSTITUTE("type:"&amp;B809,"%","%25"),"~","%7E"),"*","%2A"),"?","%3F"),'Rules'!$G$7:$G$26,0))&lt;&gt;"",INDEX('Rules'!$F$7:$F$26,MATCH(SUBSTITUTE(SUBSTITUTE(SUBSTITUTE(SUBSTITUTE("type:"&amp;B809,"%","%25"),"~","%7E"),"*","%2A"),"?","%3F"),'Rules'!$G$7:$G$26,0)),IF(AND(C809&lt;&gt;"",C809&lt;&gt;INDEX('Rules'!$B$7:$B$26,MATCH(SUBSTITUTE(SUBSTITUTE(SUBSTITUTE(SUBSTITUTE("type:"&amp;B809,"%","%25"),"~","%7E"),"*","%2A"),"?","%3F"),'Rules'!$G$7:$G$26,0))),"Unit mismatch",IF(IF(NOT(ISNUMBER(D809)),TRUE,OR(D809&lt;0,D809&gt;999999999,ROUND(D809,3)&lt;&gt;D809)),"Invalid current reading",IF(AND(E809&lt;&gt;"",IF(NOT(ISNUMBER(E809)),TRUE,OR(E809&lt;0,E809&gt;999999999,ROUND(E809,3)&lt;&gt;E809))),"Invalid previous reading",IF(IF(NOT(ISNUMBER(F809)),TRUE,OR(F809&lt;0,F809&gt;999999999,ROUND(F809,3)&lt;&gt;F809)),"Invalid last service",IF(AND(E809&lt;&gt;"",D809&lt;E809),"Decreased reading",IF(F809&gt;D809,"Last service above current","")))))))))))))</x:f>
      </x:c>
      <x:c r="L809" s="6" t="str">
        <x:f>IF(AND(NOT(COUNTA(A809:F809)=0),K809=""),INDEX('Rules'!$C$7:$C$26,MATCH(SUBSTITUTE(SUBSTITUTE(SUBSTITUTE(SUBSTITUTE("type:"&amp;B809,"%","%25"),"~","%7E"),"*","%2A"),"?","%3F"),'Rules'!$G$7:$G$26,0)),"")</x:f>
      </x:c>
      <x:c r="M809" s="6" t="str">
        <x:f>IF(AND(NOT(COUNTA(A809:F809)=0),K809=""),INDEX('Rules'!$D$7:$D$26,MATCH(SUBSTITUTE(SUBSTITUTE(SUBSTITUTE(SUBSTITUTE("type:"&amp;B809,"%","%25"),"~","%7E"),"*","%2A"),"?","%3F"),'Rules'!$G$7:$G$26,0)),"")</x:f>
      </x:c>
      <x:c r="N809" s="5" t="str">
        <x:f>IF(COUNTA(A809:F809)=0,"",SUBSTITUTE(SUBSTITUTE(SUBSTITUTE(SUBSTITUTE("id:"&amp;A809,"%","%25"),"~","%7E"),"*","%2A"),"?","%3F"))</x:f>
      </x:c>
    </x:row>
    <x:row r="810" ht="22" customHeight="1">
      <x:c r="A810" s="3"/>
      <x:c r="B810" s="3"/>
      <x:c r="C810" s="3"/>
      <x:c r="D810" s="4"/>
      <x:c r="E810" s="4"/>
      <x:c r="F810" s="4"/>
      <x:c r="G810" s="5" t="str">
        <x:f>IF(COUNTA(A810:F810)=0,"",IF(K810&lt;&gt;"","Review",IF(I810&lt;0,"Overdue",IF(I810=0,"Due now",IF(I810&lt;=M810,"Due soon","Not due")))))</x:f>
      </x:c>
      <x:c r="H810" s="5" t="str">
        <x:f>IF(OR(COUNTA(A810:F810)=0,COUNTIFS('Rules'!$G$7:$G$26,"="&amp;(SUBSTITUTE(SUBSTITUTE(SUBSTITUTE(SUBSTITUTE("type:"&amp;B810,"%","%25"),"~","%7E"),"*","%2A"),"?","%3F")))&lt;&gt;1),"",IF(OR(INDEX('Rules'!$B$7:$B$26,MATCH(SUBSTITUTE(SUBSTITUTE(SUBSTITUTE(SUBSTITUTE("type:"&amp;B810,"%","%25"),"~","%7E"),"*","%2A"),"?","%3F"),'Rules'!$G$7:$G$26,0))="hours",INDEX('Rules'!$B$7:$B$26,MATCH(SUBSTITUTE(SUBSTITUTE(SUBSTITUTE(SUBSTITUTE("type:"&amp;B810,"%","%25"),"~","%7E"),"*","%2A"),"?","%3F"),'Rules'!$G$7:$G$26,0))="km"),INDEX('Rules'!$B$7:$B$26,MATCH(SUBSTITUTE(SUBSTITUTE(SUBSTITUTE(SUBSTITUTE("type:"&amp;B810,"%","%25"),"~","%7E"),"*","%2A"),"?","%3F"),'Rules'!$G$7:$G$26,0)),""))</x:f>
      </x:c>
      <x:c r="I810" s="6" t="str">
        <x:f>IF(AND(NOT(COUNTA(A810:F810)=0),K810=""),ROUND(J810-D810,3),"")</x:f>
      </x:c>
      <x:c r="J810" s="6" t="str">
        <x:f>IF(AND(NOT(COUNTA(A810:F810)=0),K810=""),ROUND(F810+L810,3),"")</x:f>
      </x:c>
      <x:c r="K810" s="5" t="str">
        <x:f>IF(COUNTA(A810:F810)=0,"",IF(A810="","Missing equipment ID",IF(COUNTIFS($N$8:$N$2007,"="&amp;N810)&gt;1,"Duplicate equipment ID",IF(B810="","Missing type",IF(COUNTIFS('Rules'!$G$7:$G$26,"="&amp;(SUBSTITUTE(SUBSTITUTE(SUBSTITUTE(SUBSTITUTE("type:"&amp;B810,"%","%25"),"~","%7E"),"*","%2A"),"?","%3F")))=0,"Unknown type",IF(COUNTIFS('Rules'!$G$7:$G$26,"="&amp;(SUBSTITUTE(SUBSTITUTE(SUBSTITUTE(SUBSTITUTE("type:"&amp;B810,"%","%25"),"~","%7E"),"*","%2A"),"?","%3F")))&gt;1,"Duplicate type",IF(INDEX('Rules'!$F$7:$F$26,MATCH(SUBSTITUTE(SUBSTITUTE(SUBSTITUTE(SUBSTITUTE("type:"&amp;B810,"%","%25"),"~","%7E"),"*","%2A"),"?","%3F"),'Rules'!$G$7:$G$26,0))&lt;&gt;"",INDEX('Rules'!$F$7:$F$26,MATCH(SUBSTITUTE(SUBSTITUTE(SUBSTITUTE(SUBSTITUTE("type:"&amp;B810,"%","%25"),"~","%7E"),"*","%2A"),"?","%3F"),'Rules'!$G$7:$G$26,0)),IF(AND(C810&lt;&gt;"",C810&lt;&gt;INDEX('Rules'!$B$7:$B$26,MATCH(SUBSTITUTE(SUBSTITUTE(SUBSTITUTE(SUBSTITUTE("type:"&amp;B810,"%","%25"),"~","%7E"),"*","%2A"),"?","%3F"),'Rules'!$G$7:$G$26,0))),"Unit mismatch",IF(IF(NOT(ISNUMBER(D810)),TRUE,OR(D810&lt;0,D810&gt;999999999,ROUND(D810,3)&lt;&gt;D810)),"Invalid current reading",IF(AND(E810&lt;&gt;"",IF(NOT(ISNUMBER(E810)),TRUE,OR(E810&lt;0,E810&gt;999999999,ROUND(E810,3)&lt;&gt;E810))),"Invalid previous reading",IF(IF(NOT(ISNUMBER(F810)),TRUE,OR(F810&lt;0,F810&gt;999999999,ROUND(F810,3)&lt;&gt;F810)),"Invalid last service",IF(AND(E810&lt;&gt;"",D810&lt;E810),"Decreased reading",IF(F810&gt;D810,"Last service above current","")))))))))))))</x:f>
      </x:c>
      <x:c r="L810" s="6" t="str">
        <x:f>IF(AND(NOT(COUNTA(A810:F810)=0),K810=""),INDEX('Rules'!$C$7:$C$26,MATCH(SUBSTITUTE(SUBSTITUTE(SUBSTITUTE(SUBSTITUTE("type:"&amp;B810,"%","%25"),"~","%7E"),"*","%2A"),"?","%3F"),'Rules'!$G$7:$G$26,0)),"")</x:f>
      </x:c>
      <x:c r="M810" s="6" t="str">
        <x:f>IF(AND(NOT(COUNTA(A810:F810)=0),K810=""),INDEX('Rules'!$D$7:$D$26,MATCH(SUBSTITUTE(SUBSTITUTE(SUBSTITUTE(SUBSTITUTE("type:"&amp;B810,"%","%25"),"~","%7E"),"*","%2A"),"?","%3F"),'Rules'!$G$7:$G$26,0)),"")</x:f>
      </x:c>
      <x:c r="N810" s="5" t="str">
        <x:f>IF(COUNTA(A810:F810)=0,"",SUBSTITUTE(SUBSTITUTE(SUBSTITUTE(SUBSTITUTE("id:"&amp;A810,"%","%25"),"~","%7E"),"*","%2A"),"?","%3F"))</x:f>
      </x:c>
    </x:row>
    <x:row r="811" ht="22" customHeight="1">
      <x:c r="A811" s="3"/>
      <x:c r="B811" s="3"/>
      <x:c r="C811" s="3"/>
      <x:c r="D811" s="4"/>
      <x:c r="E811" s="4"/>
      <x:c r="F811" s="4"/>
      <x:c r="G811" s="5" t="str">
        <x:f>IF(COUNTA(A811:F811)=0,"",IF(K811&lt;&gt;"","Review",IF(I811&lt;0,"Overdue",IF(I811=0,"Due now",IF(I811&lt;=M811,"Due soon","Not due")))))</x:f>
      </x:c>
      <x:c r="H811" s="5" t="str">
        <x:f>IF(OR(COUNTA(A811:F811)=0,COUNTIFS('Rules'!$G$7:$G$26,"="&amp;(SUBSTITUTE(SUBSTITUTE(SUBSTITUTE(SUBSTITUTE("type:"&amp;B811,"%","%25"),"~","%7E"),"*","%2A"),"?","%3F")))&lt;&gt;1),"",IF(OR(INDEX('Rules'!$B$7:$B$26,MATCH(SUBSTITUTE(SUBSTITUTE(SUBSTITUTE(SUBSTITUTE("type:"&amp;B811,"%","%25"),"~","%7E"),"*","%2A"),"?","%3F"),'Rules'!$G$7:$G$26,0))="hours",INDEX('Rules'!$B$7:$B$26,MATCH(SUBSTITUTE(SUBSTITUTE(SUBSTITUTE(SUBSTITUTE("type:"&amp;B811,"%","%25"),"~","%7E"),"*","%2A"),"?","%3F"),'Rules'!$G$7:$G$26,0))="km"),INDEX('Rules'!$B$7:$B$26,MATCH(SUBSTITUTE(SUBSTITUTE(SUBSTITUTE(SUBSTITUTE("type:"&amp;B811,"%","%25"),"~","%7E"),"*","%2A"),"?","%3F"),'Rules'!$G$7:$G$26,0)),""))</x:f>
      </x:c>
      <x:c r="I811" s="6" t="str">
        <x:f>IF(AND(NOT(COUNTA(A811:F811)=0),K811=""),ROUND(J811-D811,3),"")</x:f>
      </x:c>
      <x:c r="J811" s="6" t="str">
        <x:f>IF(AND(NOT(COUNTA(A811:F811)=0),K811=""),ROUND(F811+L811,3),"")</x:f>
      </x:c>
      <x:c r="K811" s="5" t="str">
        <x:f>IF(COUNTA(A811:F811)=0,"",IF(A811="","Missing equipment ID",IF(COUNTIFS($N$8:$N$2007,"="&amp;N811)&gt;1,"Duplicate equipment ID",IF(B811="","Missing type",IF(COUNTIFS('Rules'!$G$7:$G$26,"="&amp;(SUBSTITUTE(SUBSTITUTE(SUBSTITUTE(SUBSTITUTE("type:"&amp;B811,"%","%25"),"~","%7E"),"*","%2A"),"?","%3F")))=0,"Unknown type",IF(COUNTIFS('Rules'!$G$7:$G$26,"="&amp;(SUBSTITUTE(SUBSTITUTE(SUBSTITUTE(SUBSTITUTE("type:"&amp;B811,"%","%25"),"~","%7E"),"*","%2A"),"?","%3F")))&gt;1,"Duplicate type",IF(INDEX('Rules'!$F$7:$F$26,MATCH(SUBSTITUTE(SUBSTITUTE(SUBSTITUTE(SUBSTITUTE("type:"&amp;B811,"%","%25"),"~","%7E"),"*","%2A"),"?","%3F"),'Rules'!$G$7:$G$26,0))&lt;&gt;"",INDEX('Rules'!$F$7:$F$26,MATCH(SUBSTITUTE(SUBSTITUTE(SUBSTITUTE(SUBSTITUTE("type:"&amp;B811,"%","%25"),"~","%7E"),"*","%2A"),"?","%3F"),'Rules'!$G$7:$G$26,0)),IF(AND(C811&lt;&gt;"",C811&lt;&gt;INDEX('Rules'!$B$7:$B$26,MATCH(SUBSTITUTE(SUBSTITUTE(SUBSTITUTE(SUBSTITUTE("type:"&amp;B811,"%","%25"),"~","%7E"),"*","%2A"),"?","%3F"),'Rules'!$G$7:$G$26,0))),"Unit mismatch",IF(IF(NOT(ISNUMBER(D811)),TRUE,OR(D811&lt;0,D811&gt;999999999,ROUND(D811,3)&lt;&gt;D811)),"Invalid current reading",IF(AND(E811&lt;&gt;"",IF(NOT(ISNUMBER(E811)),TRUE,OR(E811&lt;0,E811&gt;999999999,ROUND(E811,3)&lt;&gt;E811))),"Invalid previous reading",IF(IF(NOT(ISNUMBER(F811)),TRUE,OR(F811&lt;0,F811&gt;999999999,ROUND(F811,3)&lt;&gt;F811)),"Invalid last service",IF(AND(E811&lt;&gt;"",D811&lt;E811),"Decreased reading",IF(F811&gt;D811,"Last service above current","")))))))))))))</x:f>
      </x:c>
      <x:c r="L811" s="6" t="str">
        <x:f>IF(AND(NOT(COUNTA(A811:F811)=0),K811=""),INDEX('Rules'!$C$7:$C$26,MATCH(SUBSTITUTE(SUBSTITUTE(SUBSTITUTE(SUBSTITUTE("type:"&amp;B811,"%","%25"),"~","%7E"),"*","%2A"),"?","%3F"),'Rules'!$G$7:$G$26,0)),"")</x:f>
      </x:c>
      <x:c r="M811" s="6" t="str">
        <x:f>IF(AND(NOT(COUNTA(A811:F811)=0),K811=""),INDEX('Rules'!$D$7:$D$26,MATCH(SUBSTITUTE(SUBSTITUTE(SUBSTITUTE(SUBSTITUTE("type:"&amp;B811,"%","%25"),"~","%7E"),"*","%2A"),"?","%3F"),'Rules'!$G$7:$G$26,0)),"")</x:f>
      </x:c>
      <x:c r="N811" s="5" t="str">
        <x:f>IF(COUNTA(A811:F811)=0,"",SUBSTITUTE(SUBSTITUTE(SUBSTITUTE(SUBSTITUTE("id:"&amp;A811,"%","%25"),"~","%7E"),"*","%2A"),"?","%3F"))</x:f>
      </x:c>
    </x:row>
    <x:row r="812" ht="22" customHeight="1">
      <x:c r="A812" s="3"/>
      <x:c r="B812" s="3"/>
      <x:c r="C812" s="3"/>
      <x:c r="D812" s="4"/>
      <x:c r="E812" s="4"/>
      <x:c r="F812" s="4"/>
      <x:c r="G812" s="5" t="str">
        <x:f>IF(COUNTA(A812:F812)=0,"",IF(K812&lt;&gt;"","Review",IF(I812&lt;0,"Overdue",IF(I812=0,"Due now",IF(I812&lt;=M812,"Due soon","Not due")))))</x:f>
      </x:c>
      <x:c r="H812" s="5" t="str">
        <x:f>IF(OR(COUNTA(A812:F812)=0,COUNTIFS('Rules'!$G$7:$G$26,"="&amp;(SUBSTITUTE(SUBSTITUTE(SUBSTITUTE(SUBSTITUTE("type:"&amp;B812,"%","%25"),"~","%7E"),"*","%2A"),"?","%3F")))&lt;&gt;1),"",IF(OR(INDEX('Rules'!$B$7:$B$26,MATCH(SUBSTITUTE(SUBSTITUTE(SUBSTITUTE(SUBSTITUTE("type:"&amp;B812,"%","%25"),"~","%7E"),"*","%2A"),"?","%3F"),'Rules'!$G$7:$G$26,0))="hours",INDEX('Rules'!$B$7:$B$26,MATCH(SUBSTITUTE(SUBSTITUTE(SUBSTITUTE(SUBSTITUTE("type:"&amp;B812,"%","%25"),"~","%7E"),"*","%2A"),"?","%3F"),'Rules'!$G$7:$G$26,0))="km"),INDEX('Rules'!$B$7:$B$26,MATCH(SUBSTITUTE(SUBSTITUTE(SUBSTITUTE(SUBSTITUTE("type:"&amp;B812,"%","%25"),"~","%7E"),"*","%2A"),"?","%3F"),'Rules'!$G$7:$G$26,0)),""))</x:f>
      </x:c>
      <x:c r="I812" s="6" t="str">
        <x:f>IF(AND(NOT(COUNTA(A812:F812)=0),K812=""),ROUND(J812-D812,3),"")</x:f>
      </x:c>
      <x:c r="J812" s="6" t="str">
        <x:f>IF(AND(NOT(COUNTA(A812:F812)=0),K812=""),ROUND(F812+L812,3),"")</x:f>
      </x:c>
      <x:c r="K812" s="5" t="str">
        <x:f>IF(COUNTA(A812:F812)=0,"",IF(A812="","Missing equipment ID",IF(COUNTIFS($N$8:$N$2007,"="&amp;N812)&gt;1,"Duplicate equipment ID",IF(B812="","Missing type",IF(COUNTIFS('Rules'!$G$7:$G$26,"="&amp;(SUBSTITUTE(SUBSTITUTE(SUBSTITUTE(SUBSTITUTE("type:"&amp;B812,"%","%25"),"~","%7E"),"*","%2A"),"?","%3F")))=0,"Unknown type",IF(COUNTIFS('Rules'!$G$7:$G$26,"="&amp;(SUBSTITUTE(SUBSTITUTE(SUBSTITUTE(SUBSTITUTE("type:"&amp;B812,"%","%25"),"~","%7E"),"*","%2A"),"?","%3F")))&gt;1,"Duplicate type",IF(INDEX('Rules'!$F$7:$F$26,MATCH(SUBSTITUTE(SUBSTITUTE(SUBSTITUTE(SUBSTITUTE("type:"&amp;B812,"%","%25"),"~","%7E"),"*","%2A"),"?","%3F"),'Rules'!$G$7:$G$26,0))&lt;&gt;"",INDEX('Rules'!$F$7:$F$26,MATCH(SUBSTITUTE(SUBSTITUTE(SUBSTITUTE(SUBSTITUTE("type:"&amp;B812,"%","%25"),"~","%7E"),"*","%2A"),"?","%3F"),'Rules'!$G$7:$G$26,0)),IF(AND(C812&lt;&gt;"",C812&lt;&gt;INDEX('Rules'!$B$7:$B$26,MATCH(SUBSTITUTE(SUBSTITUTE(SUBSTITUTE(SUBSTITUTE("type:"&amp;B812,"%","%25"),"~","%7E"),"*","%2A"),"?","%3F"),'Rules'!$G$7:$G$26,0))),"Unit mismatch",IF(IF(NOT(ISNUMBER(D812)),TRUE,OR(D812&lt;0,D812&gt;999999999,ROUND(D812,3)&lt;&gt;D812)),"Invalid current reading",IF(AND(E812&lt;&gt;"",IF(NOT(ISNUMBER(E812)),TRUE,OR(E812&lt;0,E812&gt;999999999,ROUND(E812,3)&lt;&gt;E812))),"Invalid previous reading",IF(IF(NOT(ISNUMBER(F812)),TRUE,OR(F812&lt;0,F812&gt;999999999,ROUND(F812,3)&lt;&gt;F812)),"Invalid last service",IF(AND(E812&lt;&gt;"",D812&lt;E812),"Decreased reading",IF(F812&gt;D812,"Last service above current","")))))))))))))</x:f>
      </x:c>
      <x:c r="L812" s="6" t="str">
        <x:f>IF(AND(NOT(COUNTA(A812:F812)=0),K812=""),INDEX('Rules'!$C$7:$C$26,MATCH(SUBSTITUTE(SUBSTITUTE(SUBSTITUTE(SUBSTITUTE("type:"&amp;B812,"%","%25"),"~","%7E"),"*","%2A"),"?","%3F"),'Rules'!$G$7:$G$26,0)),"")</x:f>
      </x:c>
      <x:c r="M812" s="6" t="str">
        <x:f>IF(AND(NOT(COUNTA(A812:F812)=0),K812=""),INDEX('Rules'!$D$7:$D$26,MATCH(SUBSTITUTE(SUBSTITUTE(SUBSTITUTE(SUBSTITUTE("type:"&amp;B812,"%","%25"),"~","%7E"),"*","%2A"),"?","%3F"),'Rules'!$G$7:$G$26,0)),"")</x:f>
      </x:c>
      <x:c r="N812" s="5" t="str">
        <x:f>IF(COUNTA(A812:F812)=0,"",SUBSTITUTE(SUBSTITUTE(SUBSTITUTE(SUBSTITUTE("id:"&amp;A812,"%","%25"),"~","%7E"),"*","%2A"),"?","%3F"))</x:f>
      </x:c>
    </x:row>
    <x:row r="813" ht="22" customHeight="1">
      <x:c r="A813" s="3"/>
      <x:c r="B813" s="3"/>
      <x:c r="C813" s="3"/>
      <x:c r="D813" s="4"/>
      <x:c r="E813" s="4"/>
      <x:c r="F813" s="4"/>
      <x:c r="G813" s="5" t="str">
        <x:f>IF(COUNTA(A813:F813)=0,"",IF(K813&lt;&gt;"","Review",IF(I813&lt;0,"Overdue",IF(I813=0,"Due now",IF(I813&lt;=M813,"Due soon","Not due")))))</x:f>
      </x:c>
      <x:c r="H813" s="5" t="str">
        <x:f>IF(OR(COUNTA(A813:F813)=0,COUNTIFS('Rules'!$G$7:$G$26,"="&amp;(SUBSTITUTE(SUBSTITUTE(SUBSTITUTE(SUBSTITUTE("type:"&amp;B813,"%","%25"),"~","%7E"),"*","%2A"),"?","%3F")))&lt;&gt;1),"",IF(OR(INDEX('Rules'!$B$7:$B$26,MATCH(SUBSTITUTE(SUBSTITUTE(SUBSTITUTE(SUBSTITUTE("type:"&amp;B813,"%","%25"),"~","%7E"),"*","%2A"),"?","%3F"),'Rules'!$G$7:$G$26,0))="hours",INDEX('Rules'!$B$7:$B$26,MATCH(SUBSTITUTE(SUBSTITUTE(SUBSTITUTE(SUBSTITUTE("type:"&amp;B813,"%","%25"),"~","%7E"),"*","%2A"),"?","%3F"),'Rules'!$G$7:$G$26,0))="km"),INDEX('Rules'!$B$7:$B$26,MATCH(SUBSTITUTE(SUBSTITUTE(SUBSTITUTE(SUBSTITUTE("type:"&amp;B813,"%","%25"),"~","%7E"),"*","%2A"),"?","%3F"),'Rules'!$G$7:$G$26,0)),""))</x:f>
      </x:c>
      <x:c r="I813" s="6" t="str">
        <x:f>IF(AND(NOT(COUNTA(A813:F813)=0),K813=""),ROUND(J813-D813,3),"")</x:f>
      </x:c>
      <x:c r="J813" s="6" t="str">
        <x:f>IF(AND(NOT(COUNTA(A813:F813)=0),K813=""),ROUND(F813+L813,3),"")</x:f>
      </x:c>
      <x:c r="K813" s="5" t="str">
        <x:f>IF(COUNTA(A813:F813)=0,"",IF(A813="","Missing equipment ID",IF(COUNTIFS($N$8:$N$2007,"="&amp;N813)&gt;1,"Duplicate equipment ID",IF(B813="","Missing type",IF(COUNTIFS('Rules'!$G$7:$G$26,"="&amp;(SUBSTITUTE(SUBSTITUTE(SUBSTITUTE(SUBSTITUTE("type:"&amp;B813,"%","%25"),"~","%7E"),"*","%2A"),"?","%3F")))=0,"Unknown type",IF(COUNTIFS('Rules'!$G$7:$G$26,"="&amp;(SUBSTITUTE(SUBSTITUTE(SUBSTITUTE(SUBSTITUTE("type:"&amp;B813,"%","%25"),"~","%7E"),"*","%2A"),"?","%3F")))&gt;1,"Duplicate type",IF(INDEX('Rules'!$F$7:$F$26,MATCH(SUBSTITUTE(SUBSTITUTE(SUBSTITUTE(SUBSTITUTE("type:"&amp;B813,"%","%25"),"~","%7E"),"*","%2A"),"?","%3F"),'Rules'!$G$7:$G$26,0))&lt;&gt;"",INDEX('Rules'!$F$7:$F$26,MATCH(SUBSTITUTE(SUBSTITUTE(SUBSTITUTE(SUBSTITUTE("type:"&amp;B813,"%","%25"),"~","%7E"),"*","%2A"),"?","%3F"),'Rules'!$G$7:$G$26,0)),IF(AND(C813&lt;&gt;"",C813&lt;&gt;INDEX('Rules'!$B$7:$B$26,MATCH(SUBSTITUTE(SUBSTITUTE(SUBSTITUTE(SUBSTITUTE("type:"&amp;B813,"%","%25"),"~","%7E"),"*","%2A"),"?","%3F"),'Rules'!$G$7:$G$26,0))),"Unit mismatch",IF(IF(NOT(ISNUMBER(D813)),TRUE,OR(D813&lt;0,D813&gt;999999999,ROUND(D813,3)&lt;&gt;D813)),"Invalid current reading",IF(AND(E813&lt;&gt;"",IF(NOT(ISNUMBER(E813)),TRUE,OR(E813&lt;0,E813&gt;999999999,ROUND(E813,3)&lt;&gt;E813))),"Invalid previous reading",IF(IF(NOT(ISNUMBER(F813)),TRUE,OR(F813&lt;0,F813&gt;999999999,ROUND(F813,3)&lt;&gt;F813)),"Invalid last service",IF(AND(E813&lt;&gt;"",D813&lt;E813),"Decreased reading",IF(F813&gt;D813,"Last service above current","")))))))))))))</x:f>
      </x:c>
      <x:c r="L813" s="6" t="str">
        <x:f>IF(AND(NOT(COUNTA(A813:F813)=0),K813=""),INDEX('Rules'!$C$7:$C$26,MATCH(SUBSTITUTE(SUBSTITUTE(SUBSTITUTE(SUBSTITUTE("type:"&amp;B813,"%","%25"),"~","%7E"),"*","%2A"),"?","%3F"),'Rules'!$G$7:$G$26,0)),"")</x:f>
      </x:c>
      <x:c r="M813" s="6" t="str">
        <x:f>IF(AND(NOT(COUNTA(A813:F813)=0),K813=""),INDEX('Rules'!$D$7:$D$26,MATCH(SUBSTITUTE(SUBSTITUTE(SUBSTITUTE(SUBSTITUTE("type:"&amp;B813,"%","%25"),"~","%7E"),"*","%2A"),"?","%3F"),'Rules'!$G$7:$G$26,0)),"")</x:f>
      </x:c>
      <x:c r="N813" s="5" t="str">
        <x:f>IF(COUNTA(A813:F813)=0,"",SUBSTITUTE(SUBSTITUTE(SUBSTITUTE(SUBSTITUTE("id:"&amp;A813,"%","%25"),"~","%7E"),"*","%2A"),"?","%3F"))</x:f>
      </x:c>
    </x:row>
    <x:row r="814" ht="22" customHeight="1">
      <x:c r="A814" s="3"/>
      <x:c r="B814" s="3"/>
      <x:c r="C814" s="3"/>
      <x:c r="D814" s="4"/>
      <x:c r="E814" s="4"/>
      <x:c r="F814" s="4"/>
      <x:c r="G814" s="5" t="str">
        <x:f>IF(COUNTA(A814:F814)=0,"",IF(K814&lt;&gt;"","Review",IF(I814&lt;0,"Overdue",IF(I814=0,"Due now",IF(I814&lt;=M814,"Due soon","Not due")))))</x:f>
      </x:c>
      <x:c r="H814" s="5" t="str">
        <x:f>IF(OR(COUNTA(A814:F814)=0,COUNTIFS('Rules'!$G$7:$G$26,"="&amp;(SUBSTITUTE(SUBSTITUTE(SUBSTITUTE(SUBSTITUTE("type:"&amp;B814,"%","%25"),"~","%7E"),"*","%2A"),"?","%3F")))&lt;&gt;1),"",IF(OR(INDEX('Rules'!$B$7:$B$26,MATCH(SUBSTITUTE(SUBSTITUTE(SUBSTITUTE(SUBSTITUTE("type:"&amp;B814,"%","%25"),"~","%7E"),"*","%2A"),"?","%3F"),'Rules'!$G$7:$G$26,0))="hours",INDEX('Rules'!$B$7:$B$26,MATCH(SUBSTITUTE(SUBSTITUTE(SUBSTITUTE(SUBSTITUTE("type:"&amp;B814,"%","%25"),"~","%7E"),"*","%2A"),"?","%3F"),'Rules'!$G$7:$G$26,0))="km"),INDEX('Rules'!$B$7:$B$26,MATCH(SUBSTITUTE(SUBSTITUTE(SUBSTITUTE(SUBSTITUTE("type:"&amp;B814,"%","%25"),"~","%7E"),"*","%2A"),"?","%3F"),'Rules'!$G$7:$G$26,0)),""))</x:f>
      </x:c>
      <x:c r="I814" s="6" t="str">
        <x:f>IF(AND(NOT(COUNTA(A814:F814)=0),K814=""),ROUND(J814-D814,3),"")</x:f>
      </x:c>
      <x:c r="J814" s="6" t="str">
        <x:f>IF(AND(NOT(COUNTA(A814:F814)=0),K814=""),ROUND(F814+L814,3),"")</x:f>
      </x:c>
      <x:c r="K814" s="5" t="str">
        <x:f>IF(COUNTA(A814:F814)=0,"",IF(A814="","Missing equipment ID",IF(COUNTIFS($N$8:$N$2007,"="&amp;N814)&gt;1,"Duplicate equipment ID",IF(B814="","Missing type",IF(COUNTIFS('Rules'!$G$7:$G$26,"="&amp;(SUBSTITUTE(SUBSTITUTE(SUBSTITUTE(SUBSTITUTE("type:"&amp;B814,"%","%25"),"~","%7E"),"*","%2A"),"?","%3F")))=0,"Unknown type",IF(COUNTIFS('Rules'!$G$7:$G$26,"="&amp;(SUBSTITUTE(SUBSTITUTE(SUBSTITUTE(SUBSTITUTE("type:"&amp;B814,"%","%25"),"~","%7E"),"*","%2A"),"?","%3F")))&gt;1,"Duplicate type",IF(INDEX('Rules'!$F$7:$F$26,MATCH(SUBSTITUTE(SUBSTITUTE(SUBSTITUTE(SUBSTITUTE("type:"&amp;B814,"%","%25"),"~","%7E"),"*","%2A"),"?","%3F"),'Rules'!$G$7:$G$26,0))&lt;&gt;"",INDEX('Rules'!$F$7:$F$26,MATCH(SUBSTITUTE(SUBSTITUTE(SUBSTITUTE(SUBSTITUTE("type:"&amp;B814,"%","%25"),"~","%7E"),"*","%2A"),"?","%3F"),'Rules'!$G$7:$G$26,0)),IF(AND(C814&lt;&gt;"",C814&lt;&gt;INDEX('Rules'!$B$7:$B$26,MATCH(SUBSTITUTE(SUBSTITUTE(SUBSTITUTE(SUBSTITUTE("type:"&amp;B814,"%","%25"),"~","%7E"),"*","%2A"),"?","%3F"),'Rules'!$G$7:$G$26,0))),"Unit mismatch",IF(IF(NOT(ISNUMBER(D814)),TRUE,OR(D814&lt;0,D814&gt;999999999,ROUND(D814,3)&lt;&gt;D814)),"Invalid current reading",IF(AND(E814&lt;&gt;"",IF(NOT(ISNUMBER(E814)),TRUE,OR(E814&lt;0,E814&gt;999999999,ROUND(E814,3)&lt;&gt;E814))),"Invalid previous reading",IF(IF(NOT(ISNUMBER(F814)),TRUE,OR(F814&lt;0,F814&gt;999999999,ROUND(F814,3)&lt;&gt;F814)),"Invalid last service",IF(AND(E814&lt;&gt;"",D814&lt;E814),"Decreased reading",IF(F814&gt;D814,"Last service above current","")))))))))))))</x:f>
      </x:c>
      <x:c r="L814" s="6" t="str">
        <x:f>IF(AND(NOT(COUNTA(A814:F814)=0),K814=""),INDEX('Rules'!$C$7:$C$26,MATCH(SUBSTITUTE(SUBSTITUTE(SUBSTITUTE(SUBSTITUTE("type:"&amp;B814,"%","%25"),"~","%7E"),"*","%2A"),"?","%3F"),'Rules'!$G$7:$G$26,0)),"")</x:f>
      </x:c>
      <x:c r="M814" s="6" t="str">
        <x:f>IF(AND(NOT(COUNTA(A814:F814)=0),K814=""),INDEX('Rules'!$D$7:$D$26,MATCH(SUBSTITUTE(SUBSTITUTE(SUBSTITUTE(SUBSTITUTE("type:"&amp;B814,"%","%25"),"~","%7E"),"*","%2A"),"?","%3F"),'Rules'!$G$7:$G$26,0)),"")</x:f>
      </x:c>
      <x:c r="N814" s="5" t="str">
        <x:f>IF(COUNTA(A814:F814)=0,"",SUBSTITUTE(SUBSTITUTE(SUBSTITUTE(SUBSTITUTE("id:"&amp;A814,"%","%25"),"~","%7E"),"*","%2A"),"?","%3F"))</x:f>
      </x:c>
    </x:row>
    <x:row r="815" ht="22" customHeight="1">
      <x:c r="A815" s="3"/>
      <x:c r="B815" s="3"/>
      <x:c r="C815" s="3"/>
      <x:c r="D815" s="4"/>
      <x:c r="E815" s="4"/>
      <x:c r="F815" s="4"/>
      <x:c r="G815" s="5" t="str">
        <x:f>IF(COUNTA(A815:F815)=0,"",IF(K815&lt;&gt;"","Review",IF(I815&lt;0,"Overdue",IF(I815=0,"Due now",IF(I815&lt;=M815,"Due soon","Not due")))))</x:f>
      </x:c>
      <x:c r="H815" s="5" t="str">
        <x:f>IF(OR(COUNTA(A815:F815)=0,COUNTIFS('Rules'!$G$7:$G$26,"="&amp;(SUBSTITUTE(SUBSTITUTE(SUBSTITUTE(SUBSTITUTE("type:"&amp;B815,"%","%25"),"~","%7E"),"*","%2A"),"?","%3F")))&lt;&gt;1),"",IF(OR(INDEX('Rules'!$B$7:$B$26,MATCH(SUBSTITUTE(SUBSTITUTE(SUBSTITUTE(SUBSTITUTE("type:"&amp;B815,"%","%25"),"~","%7E"),"*","%2A"),"?","%3F"),'Rules'!$G$7:$G$26,0))="hours",INDEX('Rules'!$B$7:$B$26,MATCH(SUBSTITUTE(SUBSTITUTE(SUBSTITUTE(SUBSTITUTE("type:"&amp;B815,"%","%25"),"~","%7E"),"*","%2A"),"?","%3F"),'Rules'!$G$7:$G$26,0))="km"),INDEX('Rules'!$B$7:$B$26,MATCH(SUBSTITUTE(SUBSTITUTE(SUBSTITUTE(SUBSTITUTE("type:"&amp;B815,"%","%25"),"~","%7E"),"*","%2A"),"?","%3F"),'Rules'!$G$7:$G$26,0)),""))</x:f>
      </x:c>
      <x:c r="I815" s="6" t="str">
        <x:f>IF(AND(NOT(COUNTA(A815:F815)=0),K815=""),ROUND(J815-D815,3),"")</x:f>
      </x:c>
      <x:c r="J815" s="6" t="str">
        <x:f>IF(AND(NOT(COUNTA(A815:F815)=0),K815=""),ROUND(F815+L815,3),"")</x:f>
      </x:c>
      <x:c r="K815" s="5" t="str">
        <x:f>IF(COUNTA(A815:F815)=0,"",IF(A815="","Missing equipment ID",IF(COUNTIFS($N$8:$N$2007,"="&amp;N815)&gt;1,"Duplicate equipment ID",IF(B815="","Missing type",IF(COUNTIFS('Rules'!$G$7:$G$26,"="&amp;(SUBSTITUTE(SUBSTITUTE(SUBSTITUTE(SUBSTITUTE("type:"&amp;B815,"%","%25"),"~","%7E"),"*","%2A"),"?","%3F")))=0,"Unknown type",IF(COUNTIFS('Rules'!$G$7:$G$26,"="&amp;(SUBSTITUTE(SUBSTITUTE(SUBSTITUTE(SUBSTITUTE("type:"&amp;B815,"%","%25"),"~","%7E"),"*","%2A"),"?","%3F")))&gt;1,"Duplicate type",IF(INDEX('Rules'!$F$7:$F$26,MATCH(SUBSTITUTE(SUBSTITUTE(SUBSTITUTE(SUBSTITUTE("type:"&amp;B815,"%","%25"),"~","%7E"),"*","%2A"),"?","%3F"),'Rules'!$G$7:$G$26,0))&lt;&gt;"",INDEX('Rules'!$F$7:$F$26,MATCH(SUBSTITUTE(SUBSTITUTE(SUBSTITUTE(SUBSTITUTE("type:"&amp;B815,"%","%25"),"~","%7E"),"*","%2A"),"?","%3F"),'Rules'!$G$7:$G$26,0)),IF(AND(C815&lt;&gt;"",C815&lt;&gt;INDEX('Rules'!$B$7:$B$26,MATCH(SUBSTITUTE(SUBSTITUTE(SUBSTITUTE(SUBSTITUTE("type:"&amp;B815,"%","%25"),"~","%7E"),"*","%2A"),"?","%3F"),'Rules'!$G$7:$G$26,0))),"Unit mismatch",IF(IF(NOT(ISNUMBER(D815)),TRUE,OR(D815&lt;0,D815&gt;999999999,ROUND(D815,3)&lt;&gt;D815)),"Invalid current reading",IF(AND(E815&lt;&gt;"",IF(NOT(ISNUMBER(E815)),TRUE,OR(E815&lt;0,E815&gt;999999999,ROUND(E815,3)&lt;&gt;E815))),"Invalid previous reading",IF(IF(NOT(ISNUMBER(F815)),TRUE,OR(F815&lt;0,F815&gt;999999999,ROUND(F815,3)&lt;&gt;F815)),"Invalid last service",IF(AND(E815&lt;&gt;"",D815&lt;E815),"Decreased reading",IF(F815&gt;D815,"Last service above current","")))))))))))))</x:f>
      </x:c>
      <x:c r="L815" s="6" t="str">
        <x:f>IF(AND(NOT(COUNTA(A815:F815)=0),K815=""),INDEX('Rules'!$C$7:$C$26,MATCH(SUBSTITUTE(SUBSTITUTE(SUBSTITUTE(SUBSTITUTE("type:"&amp;B815,"%","%25"),"~","%7E"),"*","%2A"),"?","%3F"),'Rules'!$G$7:$G$26,0)),"")</x:f>
      </x:c>
      <x:c r="M815" s="6" t="str">
        <x:f>IF(AND(NOT(COUNTA(A815:F815)=0),K815=""),INDEX('Rules'!$D$7:$D$26,MATCH(SUBSTITUTE(SUBSTITUTE(SUBSTITUTE(SUBSTITUTE("type:"&amp;B815,"%","%25"),"~","%7E"),"*","%2A"),"?","%3F"),'Rules'!$G$7:$G$26,0)),"")</x:f>
      </x:c>
      <x:c r="N815" s="5" t="str">
        <x:f>IF(COUNTA(A815:F815)=0,"",SUBSTITUTE(SUBSTITUTE(SUBSTITUTE(SUBSTITUTE("id:"&amp;A815,"%","%25"),"~","%7E"),"*","%2A"),"?","%3F"))</x:f>
      </x:c>
    </x:row>
    <x:row r="816" ht="22" customHeight="1">
      <x:c r="A816" s="3"/>
      <x:c r="B816" s="3"/>
      <x:c r="C816" s="3"/>
      <x:c r="D816" s="4"/>
      <x:c r="E816" s="4"/>
      <x:c r="F816" s="4"/>
      <x:c r="G816" s="5" t="str">
        <x:f>IF(COUNTA(A816:F816)=0,"",IF(K816&lt;&gt;"","Review",IF(I816&lt;0,"Overdue",IF(I816=0,"Due now",IF(I816&lt;=M816,"Due soon","Not due")))))</x:f>
      </x:c>
      <x:c r="H816" s="5" t="str">
        <x:f>IF(OR(COUNTA(A816:F816)=0,COUNTIFS('Rules'!$G$7:$G$26,"="&amp;(SUBSTITUTE(SUBSTITUTE(SUBSTITUTE(SUBSTITUTE("type:"&amp;B816,"%","%25"),"~","%7E"),"*","%2A"),"?","%3F")))&lt;&gt;1),"",IF(OR(INDEX('Rules'!$B$7:$B$26,MATCH(SUBSTITUTE(SUBSTITUTE(SUBSTITUTE(SUBSTITUTE("type:"&amp;B816,"%","%25"),"~","%7E"),"*","%2A"),"?","%3F"),'Rules'!$G$7:$G$26,0))="hours",INDEX('Rules'!$B$7:$B$26,MATCH(SUBSTITUTE(SUBSTITUTE(SUBSTITUTE(SUBSTITUTE("type:"&amp;B816,"%","%25"),"~","%7E"),"*","%2A"),"?","%3F"),'Rules'!$G$7:$G$26,0))="km"),INDEX('Rules'!$B$7:$B$26,MATCH(SUBSTITUTE(SUBSTITUTE(SUBSTITUTE(SUBSTITUTE("type:"&amp;B816,"%","%25"),"~","%7E"),"*","%2A"),"?","%3F"),'Rules'!$G$7:$G$26,0)),""))</x:f>
      </x:c>
      <x:c r="I816" s="6" t="str">
        <x:f>IF(AND(NOT(COUNTA(A816:F816)=0),K816=""),ROUND(J816-D816,3),"")</x:f>
      </x:c>
      <x:c r="J816" s="6" t="str">
        <x:f>IF(AND(NOT(COUNTA(A816:F816)=0),K816=""),ROUND(F816+L816,3),"")</x:f>
      </x:c>
      <x:c r="K816" s="5" t="str">
        <x:f>IF(COUNTA(A816:F816)=0,"",IF(A816="","Missing equipment ID",IF(COUNTIFS($N$8:$N$2007,"="&amp;N816)&gt;1,"Duplicate equipment ID",IF(B816="","Missing type",IF(COUNTIFS('Rules'!$G$7:$G$26,"="&amp;(SUBSTITUTE(SUBSTITUTE(SUBSTITUTE(SUBSTITUTE("type:"&amp;B816,"%","%25"),"~","%7E"),"*","%2A"),"?","%3F")))=0,"Unknown type",IF(COUNTIFS('Rules'!$G$7:$G$26,"="&amp;(SUBSTITUTE(SUBSTITUTE(SUBSTITUTE(SUBSTITUTE("type:"&amp;B816,"%","%25"),"~","%7E"),"*","%2A"),"?","%3F")))&gt;1,"Duplicate type",IF(INDEX('Rules'!$F$7:$F$26,MATCH(SUBSTITUTE(SUBSTITUTE(SUBSTITUTE(SUBSTITUTE("type:"&amp;B816,"%","%25"),"~","%7E"),"*","%2A"),"?","%3F"),'Rules'!$G$7:$G$26,0))&lt;&gt;"",INDEX('Rules'!$F$7:$F$26,MATCH(SUBSTITUTE(SUBSTITUTE(SUBSTITUTE(SUBSTITUTE("type:"&amp;B816,"%","%25"),"~","%7E"),"*","%2A"),"?","%3F"),'Rules'!$G$7:$G$26,0)),IF(AND(C816&lt;&gt;"",C816&lt;&gt;INDEX('Rules'!$B$7:$B$26,MATCH(SUBSTITUTE(SUBSTITUTE(SUBSTITUTE(SUBSTITUTE("type:"&amp;B816,"%","%25"),"~","%7E"),"*","%2A"),"?","%3F"),'Rules'!$G$7:$G$26,0))),"Unit mismatch",IF(IF(NOT(ISNUMBER(D816)),TRUE,OR(D816&lt;0,D816&gt;999999999,ROUND(D816,3)&lt;&gt;D816)),"Invalid current reading",IF(AND(E816&lt;&gt;"",IF(NOT(ISNUMBER(E816)),TRUE,OR(E816&lt;0,E816&gt;999999999,ROUND(E816,3)&lt;&gt;E816))),"Invalid previous reading",IF(IF(NOT(ISNUMBER(F816)),TRUE,OR(F816&lt;0,F816&gt;999999999,ROUND(F816,3)&lt;&gt;F816)),"Invalid last service",IF(AND(E816&lt;&gt;"",D816&lt;E816),"Decreased reading",IF(F816&gt;D816,"Last service above current","")))))))))))))</x:f>
      </x:c>
      <x:c r="L816" s="6" t="str">
        <x:f>IF(AND(NOT(COUNTA(A816:F816)=0),K816=""),INDEX('Rules'!$C$7:$C$26,MATCH(SUBSTITUTE(SUBSTITUTE(SUBSTITUTE(SUBSTITUTE("type:"&amp;B816,"%","%25"),"~","%7E"),"*","%2A"),"?","%3F"),'Rules'!$G$7:$G$26,0)),"")</x:f>
      </x:c>
      <x:c r="M816" s="6" t="str">
        <x:f>IF(AND(NOT(COUNTA(A816:F816)=0),K816=""),INDEX('Rules'!$D$7:$D$26,MATCH(SUBSTITUTE(SUBSTITUTE(SUBSTITUTE(SUBSTITUTE("type:"&amp;B816,"%","%25"),"~","%7E"),"*","%2A"),"?","%3F"),'Rules'!$G$7:$G$26,0)),"")</x:f>
      </x:c>
      <x:c r="N816" s="5" t="str">
        <x:f>IF(COUNTA(A816:F816)=0,"",SUBSTITUTE(SUBSTITUTE(SUBSTITUTE(SUBSTITUTE("id:"&amp;A816,"%","%25"),"~","%7E"),"*","%2A"),"?","%3F"))</x:f>
      </x:c>
    </x:row>
    <x:row r="817" ht="22" customHeight="1">
      <x:c r="A817" s="3"/>
      <x:c r="B817" s="3"/>
      <x:c r="C817" s="3"/>
      <x:c r="D817" s="4"/>
      <x:c r="E817" s="4"/>
      <x:c r="F817" s="4"/>
      <x:c r="G817" s="5" t="str">
        <x:f>IF(COUNTA(A817:F817)=0,"",IF(K817&lt;&gt;"","Review",IF(I817&lt;0,"Overdue",IF(I817=0,"Due now",IF(I817&lt;=M817,"Due soon","Not due")))))</x:f>
      </x:c>
      <x:c r="H817" s="5" t="str">
        <x:f>IF(OR(COUNTA(A817:F817)=0,COUNTIFS('Rules'!$G$7:$G$26,"="&amp;(SUBSTITUTE(SUBSTITUTE(SUBSTITUTE(SUBSTITUTE("type:"&amp;B817,"%","%25"),"~","%7E"),"*","%2A"),"?","%3F")))&lt;&gt;1),"",IF(OR(INDEX('Rules'!$B$7:$B$26,MATCH(SUBSTITUTE(SUBSTITUTE(SUBSTITUTE(SUBSTITUTE("type:"&amp;B817,"%","%25"),"~","%7E"),"*","%2A"),"?","%3F"),'Rules'!$G$7:$G$26,0))="hours",INDEX('Rules'!$B$7:$B$26,MATCH(SUBSTITUTE(SUBSTITUTE(SUBSTITUTE(SUBSTITUTE("type:"&amp;B817,"%","%25"),"~","%7E"),"*","%2A"),"?","%3F"),'Rules'!$G$7:$G$26,0))="km"),INDEX('Rules'!$B$7:$B$26,MATCH(SUBSTITUTE(SUBSTITUTE(SUBSTITUTE(SUBSTITUTE("type:"&amp;B817,"%","%25"),"~","%7E"),"*","%2A"),"?","%3F"),'Rules'!$G$7:$G$26,0)),""))</x:f>
      </x:c>
      <x:c r="I817" s="6" t="str">
        <x:f>IF(AND(NOT(COUNTA(A817:F817)=0),K817=""),ROUND(J817-D817,3),"")</x:f>
      </x:c>
      <x:c r="J817" s="6" t="str">
        <x:f>IF(AND(NOT(COUNTA(A817:F817)=0),K817=""),ROUND(F817+L817,3),"")</x:f>
      </x:c>
      <x:c r="K817" s="5" t="str">
        <x:f>IF(COUNTA(A817:F817)=0,"",IF(A817="","Missing equipment ID",IF(COUNTIFS($N$8:$N$2007,"="&amp;N817)&gt;1,"Duplicate equipment ID",IF(B817="","Missing type",IF(COUNTIFS('Rules'!$G$7:$G$26,"="&amp;(SUBSTITUTE(SUBSTITUTE(SUBSTITUTE(SUBSTITUTE("type:"&amp;B817,"%","%25"),"~","%7E"),"*","%2A"),"?","%3F")))=0,"Unknown type",IF(COUNTIFS('Rules'!$G$7:$G$26,"="&amp;(SUBSTITUTE(SUBSTITUTE(SUBSTITUTE(SUBSTITUTE("type:"&amp;B817,"%","%25"),"~","%7E"),"*","%2A"),"?","%3F")))&gt;1,"Duplicate type",IF(INDEX('Rules'!$F$7:$F$26,MATCH(SUBSTITUTE(SUBSTITUTE(SUBSTITUTE(SUBSTITUTE("type:"&amp;B817,"%","%25"),"~","%7E"),"*","%2A"),"?","%3F"),'Rules'!$G$7:$G$26,0))&lt;&gt;"",INDEX('Rules'!$F$7:$F$26,MATCH(SUBSTITUTE(SUBSTITUTE(SUBSTITUTE(SUBSTITUTE("type:"&amp;B817,"%","%25"),"~","%7E"),"*","%2A"),"?","%3F"),'Rules'!$G$7:$G$26,0)),IF(AND(C817&lt;&gt;"",C817&lt;&gt;INDEX('Rules'!$B$7:$B$26,MATCH(SUBSTITUTE(SUBSTITUTE(SUBSTITUTE(SUBSTITUTE("type:"&amp;B817,"%","%25"),"~","%7E"),"*","%2A"),"?","%3F"),'Rules'!$G$7:$G$26,0))),"Unit mismatch",IF(IF(NOT(ISNUMBER(D817)),TRUE,OR(D817&lt;0,D817&gt;999999999,ROUND(D817,3)&lt;&gt;D817)),"Invalid current reading",IF(AND(E817&lt;&gt;"",IF(NOT(ISNUMBER(E817)),TRUE,OR(E817&lt;0,E817&gt;999999999,ROUND(E817,3)&lt;&gt;E817))),"Invalid previous reading",IF(IF(NOT(ISNUMBER(F817)),TRUE,OR(F817&lt;0,F817&gt;999999999,ROUND(F817,3)&lt;&gt;F817)),"Invalid last service",IF(AND(E817&lt;&gt;"",D817&lt;E817),"Decreased reading",IF(F817&gt;D817,"Last service above current","")))))))))))))</x:f>
      </x:c>
      <x:c r="L817" s="6" t="str">
        <x:f>IF(AND(NOT(COUNTA(A817:F817)=0),K817=""),INDEX('Rules'!$C$7:$C$26,MATCH(SUBSTITUTE(SUBSTITUTE(SUBSTITUTE(SUBSTITUTE("type:"&amp;B817,"%","%25"),"~","%7E"),"*","%2A"),"?","%3F"),'Rules'!$G$7:$G$26,0)),"")</x:f>
      </x:c>
      <x:c r="M817" s="6" t="str">
        <x:f>IF(AND(NOT(COUNTA(A817:F817)=0),K817=""),INDEX('Rules'!$D$7:$D$26,MATCH(SUBSTITUTE(SUBSTITUTE(SUBSTITUTE(SUBSTITUTE("type:"&amp;B817,"%","%25"),"~","%7E"),"*","%2A"),"?","%3F"),'Rules'!$G$7:$G$26,0)),"")</x:f>
      </x:c>
      <x:c r="N817" s="5" t="str">
        <x:f>IF(COUNTA(A817:F817)=0,"",SUBSTITUTE(SUBSTITUTE(SUBSTITUTE(SUBSTITUTE("id:"&amp;A817,"%","%25"),"~","%7E"),"*","%2A"),"?","%3F"))</x:f>
      </x:c>
    </x:row>
    <x:row r="818" ht="22" customHeight="1">
      <x:c r="A818" s="3"/>
      <x:c r="B818" s="3"/>
      <x:c r="C818" s="3"/>
      <x:c r="D818" s="4"/>
      <x:c r="E818" s="4"/>
      <x:c r="F818" s="4"/>
      <x:c r="G818" s="5" t="str">
        <x:f>IF(COUNTA(A818:F818)=0,"",IF(K818&lt;&gt;"","Review",IF(I818&lt;0,"Overdue",IF(I818=0,"Due now",IF(I818&lt;=M818,"Due soon","Not due")))))</x:f>
      </x:c>
      <x:c r="H818" s="5" t="str">
        <x:f>IF(OR(COUNTA(A818:F818)=0,COUNTIFS('Rules'!$G$7:$G$26,"="&amp;(SUBSTITUTE(SUBSTITUTE(SUBSTITUTE(SUBSTITUTE("type:"&amp;B818,"%","%25"),"~","%7E"),"*","%2A"),"?","%3F")))&lt;&gt;1),"",IF(OR(INDEX('Rules'!$B$7:$B$26,MATCH(SUBSTITUTE(SUBSTITUTE(SUBSTITUTE(SUBSTITUTE("type:"&amp;B818,"%","%25"),"~","%7E"),"*","%2A"),"?","%3F"),'Rules'!$G$7:$G$26,0))="hours",INDEX('Rules'!$B$7:$B$26,MATCH(SUBSTITUTE(SUBSTITUTE(SUBSTITUTE(SUBSTITUTE("type:"&amp;B818,"%","%25"),"~","%7E"),"*","%2A"),"?","%3F"),'Rules'!$G$7:$G$26,0))="km"),INDEX('Rules'!$B$7:$B$26,MATCH(SUBSTITUTE(SUBSTITUTE(SUBSTITUTE(SUBSTITUTE("type:"&amp;B818,"%","%25"),"~","%7E"),"*","%2A"),"?","%3F"),'Rules'!$G$7:$G$26,0)),""))</x:f>
      </x:c>
      <x:c r="I818" s="6" t="str">
        <x:f>IF(AND(NOT(COUNTA(A818:F818)=0),K818=""),ROUND(J818-D818,3),"")</x:f>
      </x:c>
      <x:c r="J818" s="6" t="str">
        <x:f>IF(AND(NOT(COUNTA(A818:F818)=0),K818=""),ROUND(F818+L818,3),"")</x:f>
      </x:c>
      <x:c r="K818" s="5" t="str">
        <x:f>IF(COUNTA(A818:F818)=0,"",IF(A818="","Missing equipment ID",IF(COUNTIFS($N$8:$N$2007,"="&amp;N818)&gt;1,"Duplicate equipment ID",IF(B818="","Missing type",IF(COUNTIFS('Rules'!$G$7:$G$26,"="&amp;(SUBSTITUTE(SUBSTITUTE(SUBSTITUTE(SUBSTITUTE("type:"&amp;B818,"%","%25"),"~","%7E"),"*","%2A"),"?","%3F")))=0,"Unknown type",IF(COUNTIFS('Rules'!$G$7:$G$26,"="&amp;(SUBSTITUTE(SUBSTITUTE(SUBSTITUTE(SUBSTITUTE("type:"&amp;B818,"%","%25"),"~","%7E"),"*","%2A"),"?","%3F")))&gt;1,"Duplicate type",IF(INDEX('Rules'!$F$7:$F$26,MATCH(SUBSTITUTE(SUBSTITUTE(SUBSTITUTE(SUBSTITUTE("type:"&amp;B818,"%","%25"),"~","%7E"),"*","%2A"),"?","%3F"),'Rules'!$G$7:$G$26,0))&lt;&gt;"",INDEX('Rules'!$F$7:$F$26,MATCH(SUBSTITUTE(SUBSTITUTE(SUBSTITUTE(SUBSTITUTE("type:"&amp;B818,"%","%25"),"~","%7E"),"*","%2A"),"?","%3F"),'Rules'!$G$7:$G$26,0)),IF(AND(C818&lt;&gt;"",C818&lt;&gt;INDEX('Rules'!$B$7:$B$26,MATCH(SUBSTITUTE(SUBSTITUTE(SUBSTITUTE(SUBSTITUTE("type:"&amp;B818,"%","%25"),"~","%7E"),"*","%2A"),"?","%3F"),'Rules'!$G$7:$G$26,0))),"Unit mismatch",IF(IF(NOT(ISNUMBER(D818)),TRUE,OR(D818&lt;0,D818&gt;999999999,ROUND(D818,3)&lt;&gt;D818)),"Invalid current reading",IF(AND(E818&lt;&gt;"",IF(NOT(ISNUMBER(E818)),TRUE,OR(E818&lt;0,E818&gt;999999999,ROUND(E818,3)&lt;&gt;E818))),"Invalid previous reading",IF(IF(NOT(ISNUMBER(F818)),TRUE,OR(F818&lt;0,F818&gt;999999999,ROUND(F818,3)&lt;&gt;F818)),"Invalid last service",IF(AND(E818&lt;&gt;"",D818&lt;E818),"Decreased reading",IF(F818&gt;D818,"Last service above current","")))))))))))))</x:f>
      </x:c>
      <x:c r="L818" s="6" t="str">
        <x:f>IF(AND(NOT(COUNTA(A818:F818)=0),K818=""),INDEX('Rules'!$C$7:$C$26,MATCH(SUBSTITUTE(SUBSTITUTE(SUBSTITUTE(SUBSTITUTE("type:"&amp;B818,"%","%25"),"~","%7E"),"*","%2A"),"?","%3F"),'Rules'!$G$7:$G$26,0)),"")</x:f>
      </x:c>
      <x:c r="M818" s="6" t="str">
        <x:f>IF(AND(NOT(COUNTA(A818:F818)=0),K818=""),INDEX('Rules'!$D$7:$D$26,MATCH(SUBSTITUTE(SUBSTITUTE(SUBSTITUTE(SUBSTITUTE("type:"&amp;B818,"%","%25"),"~","%7E"),"*","%2A"),"?","%3F"),'Rules'!$G$7:$G$26,0)),"")</x:f>
      </x:c>
      <x:c r="N818" s="5" t="str">
        <x:f>IF(COUNTA(A818:F818)=0,"",SUBSTITUTE(SUBSTITUTE(SUBSTITUTE(SUBSTITUTE("id:"&amp;A818,"%","%25"),"~","%7E"),"*","%2A"),"?","%3F"))</x:f>
      </x:c>
    </x:row>
    <x:row r="819" ht="22" customHeight="1">
      <x:c r="A819" s="3"/>
      <x:c r="B819" s="3"/>
      <x:c r="C819" s="3"/>
      <x:c r="D819" s="4"/>
      <x:c r="E819" s="4"/>
      <x:c r="F819" s="4"/>
      <x:c r="G819" s="5" t="str">
        <x:f>IF(COUNTA(A819:F819)=0,"",IF(K819&lt;&gt;"","Review",IF(I819&lt;0,"Overdue",IF(I819=0,"Due now",IF(I819&lt;=M819,"Due soon","Not due")))))</x:f>
      </x:c>
      <x:c r="H819" s="5" t="str">
        <x:f>IF(OR(COUNTA(A819:F819)=0,COUNTIFS('Rules'!$G$7:$G$26,"="&amp;(SUBSTITUTE(SUBSTITUTE(SUBSTITUTE(SUBSTITUTE("type:"&amp;B819,"%","%25"),"~","%7E"),"*","%2A"),"?","%3F")))&lt;&gt;1),"",IF(OR(INDEX('Rules'!$B$7:$B$26,MATCH(SUBSTITUTE(SUBSTITUTE(SUBSTITUTE(SUBSTITUTE("type:"&amp;B819,"%","%25"),"~","%7E"),"*","%2A"),"?","%3F"),'Rules'!$G$7:$G$26,0))="hours",INDEX('Rules'!$B$7:$B$26,MATCH(SUBSTITUTE(SUBSTITUTE(SUBSTITUTE(SUBSTITUTE("type:"&amp;B819,"%","%25"),"~","%7E"),"*","%2A"),"?","%3F"),'Rules'!$G$7:$G$26,0))="km"),INDEX('Rules'!$B$7:$B$26,MATCH(SUBSTITUTE(SUBSTITUTE(SUBSTITUTE(SUBSTITUTE("type:"&amp;B819,"%","%25"),"~","%7E"),"*","%2A"),"?","%3F"),'Rules'!$G$7:$G$26,0)),""))</x:f>
      </x:c>
      <x:c r="I819" s="6" t="str">
        <x:f>IF(AND(NOT(COUNTA(A819:F819)=0),K819=""),ROUND(J819-D819,3),"")</x:f>
      </x:c>
      <x:c r="J819" s="6" t="str">
        <x:f>IF(AND(NOT(COUNTA(A819:F819)=0),K819=""),ROUND(F819+L819,3),"")</x:f>
      </x:c>
      <x:c r="K819" s="5" t="str">
        <x:f>IF(COUNTA(A819:F819)=0,"",IF(A819="","Missing equipment ID",IF(COUNTIFS($N$8:$N$2007,"="&amp;N819)&gt;1,"Duplicate equipment ID",IF(B819="","Missing type",IF(COUNTIFS('Rules'!$G$7:$G$26,"="&amp;(SUBSTITUTE(SUBSTITUTE(SUBSTITUTE(SUBSTITUTE("type:"&amp;B819,"%","%25"),"~","%7E"),"*","%2A"),"?","%3F")))=0,"Unknown type",IF(COUNTIFS('Rules'!$G$7:$G$26,"="&amp;(SUBSTITUTE(SUBSTITUTE(SUBSTITUTE(SUBSTITUTE("type:"&amp;B819,"%","%25"),"~","%7E"),"*","%2A"),"?","%3F")))&gt;1,"Duplicate type",IF(INDEX('Rules'!$F$7:$F$26,MATCH(SUBSTITUTE(SUBSTITUTE(SUBSTITUTE(SUBSTITUTE("type:"&amp;B819,"%","%25"),"~","%7E"),"*","%2A"),"?","%3F"),'Rules'!$G$7:$G$26,0))&lt;&gt;"",INDEX('Rules'!$F$7:$F$26,MATCH(SUBSTITUTE(SUBSTITUTE(SUBSTITUTE(SUBSTITUTE("type:"&amp;B819,"%","%25"),"~","%7E"),"*","%2A"),"?","%3F"),'Rules'!$G$7:$G$26,0)),IF(AND(C819&lt;&gt;"",C819&lt;&gt;INDEX('Rules'!$B$7:$B$26,MATCH(SUBSTITUTE(SUBSTITUTE(SUBSTITUTE(SUBSTITUTE("type:"&amp;B819,"%","%25"),"~","%7E"),"*","%2A"),"?","%3F"),'Rules'!$G$7:$G$26,0))),"Unit mismatch",IF(IF(NOT(ISNUMBER(D819)),TRUE,OR(D819&lt;0,D819&gt;999999999,ROUND(D819,3)&lt;&gt;D819)),"Invalid current reading",IF(AND(E819&lt;&gt;"",IF(NOT(ISNUMBER(E819)),TRUE,OR(E819&lt;0,E819&gt;999999999,ROUND(E819,3)&lt;&gt;E819))),"Invalid previous reading",IF(IF(NOT(ISNUMBER(F819)),TRUE,OR(F819&lt;0,F819&gt;999999999,ROUND(F819,3)&lt;&gt;F819)),"Invalid last service",IF(AND(E819&lt;&gt;"",D819&lt;E819),"Decreased reading",IF(F819&gt;D819,"Last service above current","")))))))))))))</x:f>
      </x:c>
      <x:c r="L819" s="6" t="str">
        <x:f>IF(AND(NOT(COUNTA(A819:F819)=0),K819=""),INDEX('Rules'!$C$7:$C$26,MATCH(SUBSTITUTE(SUBSTITUTE(SUBSTITUTE(SUBSTITUTE("type:"&amp;B819,"%","%25"),"~","%7E"),"*","%2A"),"?","%3F"),'Rules'!$G$7:$G$26,0)),"")</x:f>
      </x:c>
      <x:c r="M819" s="6" t="str">
        <x:f>IF(AND(NOT(COUNTA(A819:F819)=0),K819=""),INDEX('Rules'!$D$7:$D$26,MATCH(SUBSTITUTE(SUBSTITUTE(SUBSTITUTE(SUBSTITUTE("type:"&amp;B819,"%","%25"),"~","%7E"),"*","%2A"),"?","%3F"),'Rules'!$G$7:$G$26,0)),"")</x:f>
      </x:c>
      <x:c r="N819" s="5" t="str">
        <x:f>IF(COUNTA(A819:F819)=0,"",SUBSTITUTE(SUBSTITUTE(SUBSTITUTE(SUBSTITUTE("id:"&amp;A819,"%","%25"),"~","%7E"),"*","%2A"),"?","%3F"))</x:f>
      </x:c>
    </x:row>
    <x:row r="820" ht="22" customHeight="1">
      <x:c r="A820" s="3"/>
      <x:c r="B820" s="3"/>
      <x:c r="C820" s="3"/>
      <x:c r="D820" s="4"/>
      <x:c r="E820" s="4"/>
      <x:c r="F820" s="4"/>
      <x:c r="G820" s="5" t="str">
        <x:f>IF(COUNTA(A820:F820)=0,"",IF(K820&lt;&gt;"","Review",IF(I820&lt;0,"Overdue",IF(I820=0,"Due now",IF(I820&lt;=M820,"Due soon","Not due")))))</x:f>
      </x:c>
      <x:c r="H820" s="5" t="str">
        <x:f>IF(OR(COUNTA(A820:F820)=0,COUNTIFS('Rules'!$G$7:$G$26,"="&amp;(SUBSTITUTE(SUBSTITUTE(SUBSTITUTE(SUBSTITUTE("type:"&amp;B820,"%","%25"),"~","%7E"),"*","%2A"),"?","%3F")))&lt;&gt;1),"",IF(OR(INDEX('Rules'!$B$7:$B$26,MATCH(SUBSTITUTE(SUBSTITUTE(SUBSTITUTE(SUBSTITUTE("type:"&amp;B820,"%","%25"),"~","%7E"),"*","%2A"),"?","%3F"),'Rules'!$G$7:$G$26,0))="hours",INDEX('Rules'!$B$7:$B$26,MATCH(SUBSTITUTE(SUBSTITUTE(SUBSTITUTE(SUBSTITUTE("type:"&amp;B820,"%","%25"),"~","%7E"),"*","%2A"),"?","%3F"),'Rules'!$G$7:$G$26,0))="km"),INDEX('Rules'!$B$7:$B$26,MATCH(SUBSTITUTE(SUBSTITUTE(SUBSTITUTE(SUBSTITUTE("type:"&amp;B820,"%","%25"),"~","%7E"),"*","%2A"),"?","%3F"),'Rules'!$G$7:$G$26,0)),""))</x:f>
      </x:c>
      <x:c r="I820" s="6" t="str">
        <x:f>IF(AND(NOT(COUNTA(A820:F820)=0),K820=""),ROUND(J820-D820,3),"")</x:f>
      </x:c>
      <x:c r="J820" s="6" t="str">
        <x:f>IF(AND(NOT(COUNTA(A820:F820)=0),K820=""),ROUND(F820+L820,3),"")</x:f>
      </x:c>
      <x:c r="K820" s="5" t="str">
        <x:f>IF(COUNTA(A820:F820)=0,"",IF(A820="","Missing equipment ID",IF(COUNTIFS($N$8:$N$2007,"="&amp;N820)&gt;1,"Duplicate equipment ID",IF(B820="","Missing type",IF(COUNTIFS('Rules'!$G$7:$G$26,"="&amp;(SUBSTITUTE(SUBSTITUTE(SUBSTITUTE(SUBSTITUTE("type:"&amp;B820,"%","%25"),"~","%7E"),"*","%2A"),"?","%3F")))=0,"Unknown type",IF(COUNTIFS('Rules'!$G$7:$G$26,"="&amp;(SUBSTITUTE(SUBSTITUTE(SUBSTITUTE(SUBSTITUTE("type:"&amp;B820,"%","%25"),"~","%7E"),"*","%2A"),"?","%3F")))&gt;1,"Duplicate type",IF(INDEX('Rules'!$F$7:$F$26,MATCH(SUBSTITUTE(SUBSTITUTE(SUBSTITUTE(SUBSTITUTE("type:"&amp;B820,"%","%25"),"~","%7E"),"*","%2A"),"?","%3F"),'Rules'!$G$7:$G$26,0))&lt;&gt;"",INDEX('Rules'!$F$7:$F$26,MATCH(SUBSTITUTE(SUBSTITUTE(SUBSTITUTE(SUBSTITUTE("type:"&amp;B820,"%","%25"),"~","%7E"),"*","%2A"),"?","%3F"),'Rules'!$G$7:$G$26,0)),IF(AND(C820&lt;&gt;"",C820&lt;&gt;INDEX('Rules'!$B$7:$B$26,MATCH(SUBSTITUTE(SUBSTITUTE(SUBSTITUTE(SUBSTITUTE("type:"&amp;B820,"%","%25"),"~","%7E"),"*","%2A"),"?","%3F"),'Rules'!$G$7:$G$26,0))),"Unit mismatch",IF(IF(NOT(ISNUMBER(D820)),TRUE,OR(D820&lt;0,D820&gt;999999999,ROUND(D820,3)&lt;&gt;D820)),"Invalid current reading",IF(AND(E820&lt;&gt;"",IF(NOT(ISNUMBER(E820)),TRUE,OR(E820&lt;0,E820&gt;999999999,ROUND(E820,3)&lt;&gt;E820))),"Invalid previous reading",IF(IF(NOT(ISNUMBER(F820)),TRUE,OR(F820&lt;0,F820&gt;999999999,ROUND(F820,3)&lt;&gt;F820)),"Invalid last service",IF(AND(E820&lt;&gt;"",D820&lt;E820),"Decreased reading",IF(F820&gt;D820,"Last service above current","")))))))))))))</x:f>
      </x:c>
      <x:c r="L820" s="6" t="str">
        <x:f>IF(AND(NOT(COUNTA(A820:F820)=0),K820=""),INDEX('Rules'!$C$7:$C$26,MATCH(SUBSTITUTE(SUBSTITUTE(SUBSTITUTE(SUBSTITUTE("type:"&amp;B820,"%","%25"),"~","%7E"),"*","%2A"),"?","%3F"),'Rules'!$G$7:$G$26,0)),"")</x:f>
      </x:c>
      <x:c r="M820" s="6" t="str">
        <x:f>IF(AND(NOT(COUNTA(A820:F820)=0),K820=""),INDEX('Rules'!$D$7:$D$26,MATCH(SUBSTITUTE(SUBSTITUTE(SUBSTITUTE(SUBSTITUTE("type:"&amp;B820,"%","%25"),"~","%7E"),"*","%2A"),"?","%3F"),'Rules'!$G$7:$G$26,0)),"")</x:f>
      </x:c>
      <x:c r="N820" s="5" t="str">
        <x:f>IF(COUNTA(A820:F820)=0,"",SUBSTITUTE(SUBSTITUTE(SUBSTITUTE(SUBSTITUTE("id:"&amp;A820,"%","%25"),"~","%7E"),"*","%2A"),"?","%3F"))</x:f>
      </x:c>
    </x:row>
    <x:row r="821" ht="22" customHeight="1">
      <x:c r="A821" s="3"/>
      <x:c r="B821" s="3"/>
      <x:c r="C821" s="3"/>
      <x:c r="D821" s="4"/>
      <x:c r="E821" s="4"/>
      <x:c r="F821" s="4"/>
      <x:c r="G821" s="5" t="str">
        <x:f>IF(COUNTA(A821:F821)=0,"",IF(K821&lt;&gt;"","Review",IF(I821&lt;0,"Overdue",IF(I821=0,"Due now",IF(I821&lt;=M821,"Due soon","Not due")))))</x:f>
      </x:c>
      <x:c r="H821" s="5" t="str">
        <x:f>IF(OR(COUNTA(A821:F821)=0,COUNTIFS('Rules'!$G$7:$G$26,"="&amp;(SUBSTITUTE(SUBSTITUTE(SUBSTITUTE(SUBSTITUTE("type:"&amp;B821,"%","%25"),"~","%7E"),"*","%2A"),"?","%3F")))&lt;&gt;1),"",IF(OR(INDEX('Rules'!$B$7:$B$26,MATCH(SUBSTITUTE(SUBSTITUTE(SUBSTITUTE(SUBSTITUTE("type:"&amp;B821,"%","%25"),"~","%7E"),"*","%2A"),"?","%3F"),'Rules'!$G$7:$G$26,0))="hours",INDEX('Rules'!$B$7:$B$26,MATCH(SUBSTITUTE(SUBSTITUTE(SUBSTITUTE(SUBSTITUTE("type:"&amp;B821,"%","%25"),"~","%7E"),"*","%2A"),"?","%3F"),'Rules'!$G$7:$G$26,0))="km"),INDEX('Rules'!$B$7:$B$26,MATCH(SUBSTITUTE(SUBSTITUTE(SUBSTITUTE(SUBSTITUTE("type:"&amp;B821,"%","%25"),"~","%7E"),"*","%2A"),"?","%3F"),'Rules'!$G$7:$G$26,0)),""))</x:f>
      </x:c>
      <x:c r="I821" s="6" t="str">
        <x:f>IF(AND(NOT(COUNTA(A821:F821)=0),K821=""),ROUND(J821-D821,3),"")</x:f>
      </x:c>
      <x:c r="J821" s="6" t="str">
        <x:f>IF(AND(NOT(COUNTA(A821:F821)=0),K821=""),ROUND(F821+L821,3),"")</x:f>
      </x:c>
      <x:c r="K821" s="5" t="str">
        <x:f>IF(COUNTA(A821:F821)=0,"",IF(A821="","Missing equipment ID",IF(COUNTIFS($N$8:$N$2007,"="&amp;N821)&gt;1,"Duplicate equipment ID",IF(B821="","Missing type",IF(COUNTIFS('Rules'!$G$7:$G$26,"="&amp;(SUBSTITUTE(SUBSTITUTE(SUBSTITUTE(SUBSTITUTE("type:"&amp;B821,"%","%25"),"~","%7E"),"*","%2A"),"?","%3F")))=0,"Unknown type",IF(COUNTIFS('Rules'!$G$7:$G$26,"="&amp;(SUBSTITUTE(SUBSTITUTE(SUBSTITUTE(SUBSTITUTE("type:"&amp;B821,"%","%25"),"~","%7E"),"*","%2A"),"?","%3F")))&gt;1,"Duplicate type",IF(INDEX('Rules'!$F$7:$F$26,MATCH(SUBSTITUTE(SUBSTITUTE(SUBSTITUTE(SUBSTITUTE("type:"&amp;B821,"%","%25"),"~","%7E"),"*","%2A"),"?","%3F"),'Rules'!$G$7:$G$26,0))&lt;&gt;"",INDEX('Rules'!$F$7:$F$26,MATCH(SUBSTITUTE(SUBSTITUTE(SUBSTITUTE(SUBSTITUTE("type:"&amp;B821,"%","%25"),"~","%7E"),"*","%2A"),"?","%3F"),'Rules'!$G$7:$G$26,0)),IF(AND(C821&lt;&gt;"",C821&lt;&gt;INDEX('Rules'!$B$7:$B$26,MATCH(SUBSTITUTE(SUBSTITUTE(SUBSTITUTE(SUBSTITUTE("type:"&amp;B821,"%","%25"),"~","%7E"),"*","%2A"),"?","%3F"),'Rules'!$G$7:$G$26,0))),"Unit mismatch",IF(IF(NOT(ISNUMBER(D821)),TRUE,OR(D821&lt;0,D821&gt;999999999,ROUND(D821,3)&lt;&gt;D821)),"Invalid current reading",IF(AND(E821&lt;&gt;"",IF(NOT(ISNUMBER(E821)),TRUE,OR(E821&lt;0,E821&gt;999999999,ROUND(E821,3)&lt;&gt;E821))),"Invalid previous reading",IF(IF(NOT(ISNUMBER(F821)),TRUE,OR(F821&lt;0,F821&gt;999999999,ROUND(F821,3)&lt;&gt;F821)),"Invalid last service",IF(AND(E821&lt;&gt;"",D821&lt;E821),"Decreased reading",IF(F821&gt;D821,"Last service above current","")))))))))))))</x:f>
      </x:c>
      <x:c r="L821" s="6" t="str">
        <x:f>IF(AND(NOT(COUNTA(A821:F821)=0),K821=""),INDEX('Rules'!$C$7:$C$26,MATCH(SUBSTITUTE(SUBSTITUTE(SUBSTITUTE(SUBSTITUTE("type:"&amp;B821,"%","%25"),"~","%7E"),"*","%2A"),"?","%3F"),'Rules'!$G$7:$G$26,0)),"")</x:f>
      </x:c>
      <x:c r="M821" s="6" t="str">
        <x:f>IF(AND(NOT(COUNTA(A821:F821)=0),K821=""),INDEX('Rules'!$D$7:$D$26,MATCH(SUBSTITUTE(SUBSTITUTE(SUBSTITUTE(SUBSTITUTE("type:"&amp;B821,"%","%25"),"~","%7E"),"*","%2A"),"?","%3F"),'Rules'!$G$7:$G$26,0)),"")</x:f>
      </x:c>
      <x:c r="N821" s="5" t="str">
        <x:f>IF(COUNTA(A821:F821)=0,"",SUBSTITUTE(SUBSTITUTE(SUBSTITUTE(SUBSTITUTE("id:"&amp;A821,"%","%25"),"~","%7E"),"*","%2A"),"?","%3F"))</x:f>
      </x:c>
    </x:row>
    <x:row r="822" ht="22" customHeight="1">
      <x:c r="A822" s="3"/>
      <x:c r="B822" s="3"/>
      <x:c r="C822" s="3"/>
      <x:c r="D822" s="4"/>
      <x:c r="E822" s="4"/>
      <x:c r="F822" s="4"/>
      <x:c r="G822" s="5" t="str">
        <x:f>IF(COUNTA(A822:F822)=0,"",IF(K822&lt;&gt;"","Review",IF(I822&lt;0,"Overdue",IF(I822=0,"Due now",IF(I822&lt;=M822,"Due soon","Not due")))))</x:f>
      </x:c>
      <x:c r="H822" s="5" t="str">
        <x:f>IF(OR(COUNTA(A822:F822)=0,COUNTIFS('Rules'!$G$7:$G$26,"="&amp;(SUBSTITUTE(SUBSTITUTE(SUBSTITUTE(SUBSTITUTE("type:"&amp;B822,"%","%25"),"~","%7E"),"*","%2A"),"?","%3F")))&lt;&gt;1),"",IF(OR(INDEX('Rules'!$B$7:$B$26,MATCH(SUBSTITUTE(SUBSTITUTE(SUBSTITUTE(SUBSTITUTE("type:"&amp;B822,"%","%25"),"~","%7E"),"*","%2A"),"?","%3F"),'Rules'!$G$7:$G$26,0))="hours",INDEX('Rules'!$B$7:$B$26,MATCH(SUBSTITUTE(SUBSTITUTE(SUBSTITUTE(SUBSTITUTE("type:"&amp;B822,"%","%25"),"~","%7E"),"*","%2A"),"?","%3F"),'Rules'!$G$7:$G$26,0))="km"),INDEX('Rules'!$B$7:$B$26,MATCH(SUBSTITUTE(SUBSTITUTE(SUBSTITUTE(SUBSTITUTE("type:"&amp;B822,"%","%25"),"~","%7E"),"*","%2A"),"?","%3F"),'Rules'!$G$7:$G$26,0)),""))</x:f>
      </x:c>
      <x:c r="I822" s="6" t="str">
        <x:f>IF(AND(NOT(COUNTA(A822:F822)=0),K822=""),ROUND(J822-D822,3),"")</x:f>
      </x:c>
      <x:c r="J822" s="6" t="str">
        <x:f>IF(AND(NOT(COUNTA(A822:F822)=0),K822=""),ROUND(F822+L822,3),"")</x:f>
      </x:c>
      <x:c r="K822" s="5" t="str">
        <x:f>IF(COUNTA(A822:F822)=0,"",IF(A822="","Missing equipment ID",IF(COUNTIFS($N$8:$N$2007,"="&amp;N822)&gt;1,"Duplicate equipment ID",IF(B822="","Missing type",IF(COUNTIFS('Rules'!$G$7:$G$26,"="&amp;(SUBSTITUTE(SUBSTITUTE(SUBSTITUTE(SUBSTITUTE("type:"&amp;B822,"%","%25"),"~","%7E"),"*","%2A"),"?","%3F")))=0,"Unknown type",IF(COUNTIFS('Rules'!$G$7:$G$26,"="&amp;(SUBSTITUTE(SUBSTITUTE(SUBSTITUTE(SUBSTITUTE("type:"&amp;B822,"%","%25"),"~","%7E"),"*","%2A"),"?","%3F")))&gt;1,"Duplicate type",IF(INDEX('Rules'!$F$7:$F$26,MATCH(SUBSTITUTE(SUBSTITUTE(SUBSTITUTE(SUBSTITUTE("type:"&amp;B822,"%","%25"),"~","%7E"),"*","%2A"),"?","%3F"),'Rules'!$G$7:$G$26,0))&lt;&gt;"",INDEX('Rules'!$F$7:$F$26,MATCH(SUBSTITUTE(SUBSTITUTE(SUBSTITUTE(SUBSTITUTE("type:"&amp;B822,"%","%25"),"~","%7E"),"*","%2A"),"?","%3F"),'Rules'!$G$7:$G$26,0)),IF(AND(C822&lt;&gt;"",C822&lt;&gt;INDEX('Rules'!$B$7:$B$26,MATCH(SUBSTITUTE(SUBSTITUTE(SUBSTITUTE(SUBSTITUTE("type:"&amp;B822,"%","%25"),"~","%7E"),"*","%2A"),"?","%3F"),'Rules'!$G$7:$G$26,0))),"Unit mismatch",IF(IF(NOT(ISNUMBER(D822)),TRUE,OR(D822&lt;0,D822&gt;999999999,ROUND(D822,3)&lt;&gt;D822)),"Invalid current reading",IF(AND(E822&lt;&gt;"",IF(NOT(ISNUMBER(E822)),TRUE,OR(E822&lt;0,E822&gt;999999999,ROUND(E822,3)&lt;&gt;E822))),"Invalid previous reading",IF(IF(NOT(ISNUMBER(F822)),TRUE,OR(F822&lt;0,F822&gt;999999999,ROUND(F822,3)&lt;&gt;F822)),"Invalid last service",IF(AND(E822&lt;&gt;"",D822&lt;E822),"Decreased reading",IF(F822&gt;D822,"Last service above current","")))))))))))))</x:f>
      </x:c>
      <x:c r="L822" s="6" t="str">
        <x:f>IF(AND(NOT(COUNTA(A822:F822)=0),K822=""),INDEX('Rules'!$C$7:$C$26,MATCH(SUBSTITUTE(SUBSTITUTE(SUBSTITUTE(SUBSTITUTE("type:"&amp;B822,"%","%25"),"~","%7E"),"*","%2A"),"?","%3F"),'Rules'!$G$7:$G$26,0)),"")</x:f>
      </x:c>
      <x:c r="M822" s="6" t="str">
        <x:f>IF(AND(NOT(COUNTA(A822:F822)=0),K822=""),INDEX('Rules'!$D$7:$D$26,MATCH(SUBSTITUTE(SUBSTITUTE(SUBSTITUTE(SUBSTITUTE("type:"&amp;B822,"%","%25"),"~","%7E"),"*","%2A"),"?","%3F"),'Rules'!$G$7:$G$26,0)),"")</x:f>
      </x:c>
      <x:c r="N822" s="5" t="str">
        <x:f>IF(COUNTA(A822:F822)=0,"",SUBSTITUTE(SUBSTITUTE(SUBSTITUTE(SUBSTITUTE("id:"&amp;A822,"%","%25"),"~","%7E"),"*","%2A"),"?","%3F"))</x:f>
      </x:c>
    </x:row>
    <x:row r="823" ht="22" customHeight="1">
      <x:c r="A823" s="3"/>
      <x:c r="B823" s="3"/>
      <x:c r="C823" s="3"/>
      <x:c r="D823" s="4"/>
      <x:c r="E823" s="4"/>
      <x:c r="F823" s="4"/>
      <x:c r="G823" s="5" t="str">
        <x:f>IF(COUNTA(A823:F823)=0,"",IF(K823&lt;&gt;"","Review",IF(I823&lt;0,"Overdue",IF(I823=0,"Due now",IF(I823&lt;=M823,"Due soon","Not due")))))</x:f>
      </x:c>
      <x:c r="H823" s="5" t="str">
        <x:f>IF(OR(COUNTA(A823:F823)=0,COUNTIFS('Rules'!$G$7:$G$26,"="&amp;(SUBSTITUTE(SUBSTITUTE(SUBSTITUTE(SUBSTITUTE("type:"&amp;B823,"%","%25"),"~","%7E"),"*","%2A"),"?","%3F")))&lt;&gt;1),"",IF(OR(INDEX('Rules'!$B$7:$B$26,MATCH(SUBSTITUTE(SUBSTITUTE(SUBSTITUTE(SUBSTITUTE("type:"&amp;B823,"%","%25"),"~","%7E"),"*","%2A"),"?","%3F"),'Rules'!$G$7:$G$26,0))="hours",INDEX('Rules'!$B$7:$B$26,MATCH(SUBSTITUTE(SUBSTITUTE(SUBSTITUTE(SUBSTITUTE("type:"&amp;B823,"%","%25"),"~","%7E"),"*","%2A"),"?","%3F"),'Rules'!$G$7:$G$26,0))="km"),INDEX('Rules'!$B$7:$B$26,MATCH(SUBSTITUTE(SUBSTITUTE(SUBSTITUTE(SUBSTITUTE("type:"&amp;B823,"%","%25"),"~","%7E"),"*","%2A"),"?","%3F"),'Rules'!$G$7:$G$26,0)),""))</x:f>
      </x:c>
      <x:c r="I823" s="6" t="str">
        <x:f>IF(AND(NOT(COUNTA(A823:F823)=0),K823=""),ROUND(J823-D823,3),"")</x:f>
      </x:c>
      <x:c r="J823" s="6" t="str">
        <x:f>IF(AND(NOT(COUNTA(A823:F823)=0),K823=""),ROUND(F823+L823,3),"")</x:f>
      </x:c>
      <x:c r="K823" s="5" t="str">
        <x:f>IF(COUNTA(A823:F823)=0,"",IF(A823="","Missing equipment ID",IF(COUNTIFS($N$8:$N$2007,"="&amp;N823)&gt;1,"Duplicate equipment ID",IF(B823="","Missing type",IF(COUNTIFS('Rules'!$G$7:$G$26,"="&amp;(SUBSTITUTE(SUBSTITUTE(SUBSTITUTE(SUBSTITUTE("type:"&amp;B823,"%","%25"),"~","%7E"),"*","%2A"),"?","%3F")))=0,"Unknown type",IF(COUNTIFS('Rules'!$G$7:$G$26,"="&amp;(SUBSTITUTE(SUBSTITUTE(SUBSTITUTE(SUBSTITUTE("type:"&amp;B823,"%","%25"),"~","%7E"),"*","%2A"),"?","%3F")))&gt;1,"Duplicate type",IF(INDEX('Rules'!$F$7:$F$26,MATCH(SUBSTITUTE(SUBSTITUTE(SUBSTITUTE(SUBSTITUTE("type:"&amp;B823,"%","%25"),"~","%7E"),"*","%2A"),"?","%3F"),'Rules'!$G$7:$G$26,0))&lt;&gt;"",INDEX('Rules'!$F$7:$F$26,MATCH(SUBSTITUTE(SUBSTITUTE(SUBSTITUTE(SUBSTITUTE("type:"&amp;B823,"%","%25"),"~","%7E"),"*","%2A"),"?","%3F"),'Rules'!$G$7:$G$26,0)),IF(AND(C823&lt;&gt;"",C823&lt;&gt;INDEX('Rules'!$B$7:$B$26,MATCH(SUBSTITUTE(SUBSTITUTE(SUBSTITUTE(SUBSTITUTE("type:"&amp;B823,"%","%25"),"~","%7E"),"*","%2A"),"?","%3F"),'Rules'!$G$7:$G$26,0))),"Unit mismatch",IF(IF(NOT(ISNUMBER(D823)),TRUE,OR(D823&lt;0,D823&gt;999999999,ROUND(D823,3)&lt;&gt;D823)),"Invalid current reading",IF(AND(E823&lt;&gt;"",IF(NOT(ISNUMBER(E823)),TRUE,OR(E823&lt;0,E823&gt;999999999,ROUND(E823,3)&lt;&gt;E823))),"Invalid previous reading",IF(IF(NOT(ISNUMBER(F823)),TRUE,OR(F823&lt;0,F823&gt;999999999,ROUND(F823,3)&lt;&gt;F823)),"Invalid last service",IF(AND(E823&lt;&gt;"",D823&lt;E823),"Decreased reading",IF(F823&gt;D823,"Last service above current","")))))))))))))</x:f>
      </x:c>
      <x:c r="L823" s="6" t="str">
        <x:f>IF(AND(NOT(COUNTA(A823:F823)=0),K823=""),INDEX('Rules'!$C$7:$C$26,MATCH(SUBSTITUTE(SUBSTITUTE(SUBSTITUTE(SUBSTITUTE("type:"&amp;B823,"%","%25"),"~","%7E"),"*","%2A"),"?","%3F"),'Rules'!$G$7:$G$26,0)),"")</x:f>
      </x:c>
      <x:c r="M823" s="6" t="str">
        <x:f>IF(AND(NOT(COUNTA(A823:F823)=0),K823=""),INDEX('Rules'!$D$7:$D$26,MATCH(SUBSTITUTE(SUBSTITUTE(SUBSTITUTE(SUBSTITUTE("type:"&amp;B823,"%","%25"),"~","%7E"),"*","%2A"),"?","%3F"),'Rules'!$G$7:$G$26,0)),"")</x:f>
      </x:c>
      <x:c r="N823" s="5" t="str">
        <x:f>IF(COUNTA(A823:F823)=0,"",SUBSTITUTE(SUBSTITUTE(SUBSTITUTE(SUBSTITUTE("id:"&amp;A823,"%","%25"),"~","%7E"),"*","%2A"),"?","%3F"))</x:f>
      </x:c>
    </x:row>
    <x:row r="824" ht="22" customHeight="1">
      <x:c r="A824" s="3"/>
      <x:c r="B824" s="3"/>
      <x:c r="C824" s="3"/>
      <x:c r="D824" s="4"/>
      <x:c r="E824" s="4"/>
      <x:c r="F824" s="4"/>
      <x:c r="G824" s="5" t="str">
        <x:f>IF(COUNTA(A824:F824)=0,"",IF(K824&lt;&gt;"","Review",IF(I824&lt;0,"Overdue",IF(I824=0,"Due now",IF(I824&lt;=M824,"Due soon","Not due")))))</x:f>
      </x:c>
      <x:c r="H824" s="5" t="str">
        <x:f>IF(OR(COUNTA(A824:F824)=0,COUNTIFS('Rules'!$G$7:$G$26,"="&amp;(SUBSTITUTE(SUBSTITUTE(SUBSTITUTE(SUBSTITUTE("type:"&amp;B824,"%","%25"),"~","%7E"),"*","%2A"),"?","%3F")))&lt;&gt;1),"",IF(OR(INDEX('Rules'!$B$7:$B$26,MATCH(SUBSTITUTE(SUBSTITUTE(SUBSTITUTE(SUBSTITUTE("type:"&amp;B824,"%","%25"),"~","%7E"),"*","%2A"),"?","%3F"),'Rules'!$G$7:$G$26,0))="hours",INDEX('Rules'!$B$7:$B$26,MATCH(SUBSTITUTE(SUBSTITUTE(SUBSTITUTE(SUBSTITUTE("type:"&amp;B824,"%","%25"),"~","%7E"),"*","%2A"),"?","%3F"),'Rules'!$G$7:$G$26,0))="km"),INDEX('Rules'!$B$7:$B$26,MATCH(SUBSTITUTE(SUBSTITUTE(SUBSTITUTE(SUBSTITUTE("type:"&amp;B824,"%","%25"),"~","%7E"),"*","%2A"),"?","%3F"),'Rules'!$G$7:$G$26,0)),""))</x:f>
      </x:c>
      <x:c r="I824" s="6" t="str">
        <x:f>IF(AND(NOT(COUNTA(A824:F824)=0),K824=""),ROUND(J824-D824,3),"")</x:f>
      </x:c>
      <x:c r="J824" s="6" t="str">
        <x:f>IF(AND(NOT(COUNTA(A824:F824)=0),K824=""),ROUND(F824+L824,3),"")</x:f>
      </x:c>
      <x:c r="K824" s="5" t="str">
        <x:f>IF(COUNTA(A824:F824)=0,"",IF(A824="","Missing equipment ID",IF(COUNTIFS($N$8:$N$2007,"="&amp;N824)&gt;1,"Duplicate equipment ID",IF(B824="","Missing type",IF(COUNTIFS('Rules'!$G$7:$G$26,"="&amp;(SUBSTITUTE(SUBSTITUTE(SUBSTITUTE(SUBSTITUTE("type:"&amp;B824,"%","%25"),"~","%7E"),"*","%2A"),"?","%3F")))=0,"Unknown type",IF(COUNTIFS('Rules'!$G$7:$G$26,"="&amp;(SUBSTITUTE(SUBSTITUTE(SUBSTITUTE(SUBSTITUTE("type:"&amp;B824,"%","%25"),"~","%7E"),"*","%2A"),"?","%3F")))&gt;1,"Duplicate type",IF(INDEX('Rules'!$F$7:$F$26,MATCH(SUBSTITUTE(SUBSTITUTE(SUBSTITUTE(SUBSTITUTE("type:"&amp;B824,"%","%25"),"~","%7E"),"*","%2A"),"?","%3F"),'Rules'!$G$7:$G$26,0))&lt;&gt;"",INDEX('Rules'!$F$7:$F$26,MATCH(SUBSTITUTE(SUBSTITUTE(SUBSTITUTE(SUBSTITUTE("type:"&amp;B824,"%","%25"),"~","%7E"),"*","%2A"),"?","%3F"),'Rules'!$G$7:$G$26,0)),IF(AND(C824&lt;&gt;"",C824&lt;&gt;INDEX('Rules'!$B$7:$B$26,MATCH(SUBSTITUTE(SUBSTITUTE(SUBSTITUTE(SUBSTITUTE("type:"&amp;B824,"%","%25"),"~","%7E"),"*","%2A"),"?","%3F"),'Rules'!$G$7:$G$26,0))),"Unit mismatch",IF(IF(NOT(ISNUMBER(D824)),TRUE,OR(D824&lt;0,D824&gt;999999999,ROUND(D824,3)&lt;&gt;D824)),"Invalid current reading",IF(AND(E824&lt;&gt;"",IF(NOT(ISNUMBER(E824)),TRUE,OR(E824&lt;0,E824&gt;999999999,ROUND(E824,3)&lt;&gt;E824))),"Invalid previous reading",IF(IF(NOT(ISNUMBER(F824)),TRUE,OR(F824&lt;0,F824&gt;999999999,ROUND(F824,3)&lt;&gt;F824)),"Invalid last service",IF(AND(E824&lt;&gt;"",D824&lt;E824),"Decreased reading",IF(F824&gt;D824,"Last service above current","")))))))))))))</x:f>
      </x:c>
      <x:c r="L824" s="6" t="str">
        <x:f>IF(AND(NOT(COUNTA(A824:F824)=0),K824=""),INDEX('Rules'!$C$7:$C$26,MATCH(SUBSTITUTE(SUBSTITUTE(SUBSTITUTE(SUBSTITUTE("type:"&amp;B824,"%","%25"),"~","%7E"),"*","%2A"),"?","%3F"),'Rules'!$G$7:$G$26,0)),"")</x:f>
      </x:c>
      <x:c r="M824" s="6" t="str">
        <x:f>IF(AND(NOT(COUNTA(A824:F824)=0),K824=""),INDEX('Rules'!$D$7:$D$26,MATCH(SUBSTITUTE(SUBSTITUTE(SUBSTITUTE(SUBSTITUTE("type:"&amp;B824,"%","%25"),"~","%7E"),"*","%2A"),"?","%3F"),'Rules'!$G$7:$G$26,0)),"")</x:f>
      </x:c>
      <x:c r="N824" s="5" t="str">
        <x:f>IF(COUNTA(A824:F824)=0,"",SUBSTITUTE(SUBSTITUTE(SUBSTITUTE(SUBSTITUTE("id:"&amp;A824,"%","%25"),"~","%7E"),"*","%2A"),"?","%3F"))</x:f>
      </x:c>
    </x:row>
    <x:row r="825" ht="22" customHeight="1">
      <x:c r="A825" s="3"/>
      <x:c r="B825" s="3"/>
      <x:c r="C825" s="3"/>
      <x:c r="D825" s="4"/>
      <x:c r="E825" s="4"/>
      <x:c r="F825" s="4"/>
      <x:c r="G825" s="5" t="str">
        <x:f>IF(COUNTA(A825:F825)=0,"",IF(K825&lt;&gt;"","Review",IF(I825&lt;0,"Overdue",IF(I825=0,"Due now",IF(I825&lt;=M825,"Due soon","Not due")))))</x:f>
      </x:c>
      <x:c r="H825" s="5" t="str">
        <x:f>IF(OR(COUNTA(A825:F825)=0,COUNTIFS('Rules'!$G$7:$G$26,"="&amp;(SUBSTITUTE(SUBSTITUTE(SUBSTITUTE(SUBSTITUTE("type:"&amp;B825,"%","%25"),"~","%7E"),"*","%2A"),"?","%3F")))&lt;&gt;1),"",IF(OR(INDEX('Rules'!$B$7:$B$26,MATCH(SUBSTITUTE(SUBSTITUTE(SUBSTITUTE(SUBSTITUTE("type:"&amp;B825,"%","%25"),"~","%7E"),"*","%2A"),"?","%3F"),'Rules'!$G$7:$G$26,0))="hours",INDEX('Rules'!$B$7:$B$26,MATCH(SUBSTITUTE(SUBSTITUTE(SUBSTITUTE(SUBSTITUTE("type:"&amp;B825,"%","%25"),"~","%7E"),"*","%2A"),"?","%3F"),'Rules'!$G$7:$G$26,0))="km"),INDEX('Rules'!$B$7:$B$26,MATCH(SUBSTITUTE(SUBSTITUTE(SUBSTITUTE(SUBSTITUTE("type:"&amp;B825,"%","%25"),"~","%7E"),"*","%2A"),"?","%3F"),'Rules'!$G$7:$G$26,0)),""))</x:f>
      </x:c>
      <x:c r="I825" s="6" t="str">
        <x:f>IF(AND(NOT(COUNTA(A825:F825)=0),K825=""),ROUND(J825-D825,3),"")</x:f>
      </x:c>
      <x:c r="J825" s="6" t="str">
        <x:f>IF(AND(NOT(COUNTA(A825:F825)=0),K825=""),ROUND(F825+L825,3),"")</x:f>
      </x:c>
      <x:c r="K825" s="5" t="str">
        <x:f>IF(COUNTA(A825:F825)=0,"",IF(A825="","Missing equipment ID",IF(COUNTIFS($N$8:$N$2007,"="&amp;N825)&gt;1,"Duplicate equipment ID",IF(B825="","Missing type",IF(COUNTIFS('Rules'!$G$7:$G$26,"="&amp;(SUBSTITUTE(SUBSTITUTE(SUBSTITUTE(SUBSTITUTE("type:"&amp;B825,"%","%25"),"~","%7E"),"*","%2A"),"?","%3F")))=0,"Unknown type",IF(COUNTIFS('Rules'!$G$7:$G$26,"="&amp;(SUBSTITUTE(SUBSTITUTE(SUBSTITUTE(SUBSTITUTE("type:"&amp;B825,"%","%25"),"~","%7E"),"*","%2A"),"?","%3F")))&gt;1,"Duplicate type",IF(INDEX('Rules'!$F$7:$F$26,MATCH(SUBSTITUTE(SUBSTITUTE(SUBSTITUTE(SUBSTITUTE("type:"&amp;B825,"%","%25"),"~","%7E"),"*","%2A"),"?","%3F"),'Rules'!$G$7:$G$26,0))&lt;&gt;"",INDEX('Rules'!$F$7:$F$26,MATCH(SUBSTITUTE(SUBSTITUTE(SUBSTITUTE(SUBSTITUTE("type:"&amp;B825,"%","%25"),"~","%7E"),"*","%2A"),"?","%3F"),'Rules'!$G$7:$G$26,0)),IF(AND(C825&lt;&gt;"",C825&lt;&gt;INDEX('Rules'!$B$7:$B$26,MATCH(SUBSTITUTE(SUBSTITUTE(SUBSTITUTE(SUBSTITUTE("type:"&amp;B825,"%","%25"),"~","%7E"),"*","%2A"),"?","%3F"),'Rules'!$G$7:$G$26,0))),"Unit mismatch",IF(IF(NOT(ISNUMBER(D825)),TRUE,OR(D825&lt;0,D825&gt;999999999,ROUND(D825,3)&lt;&gt;D825)),"Invalid current reading",IF(AND(E825&lt;&gt;"",IF(NOT(ISNUMBER(E825)),TRUE,OR(E825&lt;0,E825&gt;999999999,ROUND(E825,3)&lt;&gt;E825))),"Invalid previous reading",IF(IF(NOT(ISNUMBER(F825)),TRUE,OR(F825&lt;0,F825&gt;999999999,ROUND(F825,3)&lt;&gt;F825)),"Invalid last service",IF(AND(E825&lt;&gt;"",D825&lt;E825),"Decreased reading",IF(F825&gt;D825,"Last service above current","")))))))))))))</x:f>
      </x:c>
      <x:c r="L825" s="6" t="str">
        <x:f>IF(AND(NOT(COUNTA(A825:F825)=0),K825=""),INDEX('Rules'!$C$7:$C$26,MATCH(SUBSTITUTE(SUBSTITUTE(SUBSTITUTE(SUBSTITUTE("type:"&amp;B825,"%","%25"),"~","%7E"),"*","%2A"),"?","%3F"),'Rules'!$G$7:$G$26,0)),"")</x:f>
      </x:c>
      <x:c r="M825" s="6" t="str">
        <x:f>IF(AND(NOT(COUNTA(A825:F825)=0),K825=""),INDEX('Rules'!$D$7:$D$26,MATCH(SUBSTITUTE(SUBSTITUTE(SUBSTITUTE(SUBSTITUTE("type:"&amp;B825,"%","%25"),"~","%7E"),"*","%2A"),"?","%3F"),'Rules'!$G$7:$G$26,0)),"")</x:f>
      </x:c>
      <x:c r="N825" s="5" t="str">
        <x:f>IF(COUNTA(A825:F825)=0,"",SUBSTITUTE(SUBSTITUTE(SUBSTITUTE(SUBSTITUTE("id:"&amp;A825,"%","%25"),"~","%7E"),"*","%2A"),"?","%3F"))</x:f>
      </x:c>
    </x:row>
    <x:row r="826" ht="22" customHeight="1">
      <x:c r="A826" s="3"/>
      <x:c r="B826" s="3"/>
      <x:c r="C826" s="3"/>
      <x:c r="D826" s="4"/>
      <x:c r="E826" s="4"/>
      <x:c r="F826" s="4"/>
      <x:c r="G826" s="5" t="str">
        <x:f>IF(COUNTA(A826:F826)=0,"",IF(K826&lt;&gt;"","Review",IF(I826&lt;0,"Overdue",IF(I826=0,"Due now",IF(I826&lt;=M826,"Due soon","Not due")))))</x:f>
      </x:c>
      <x:c r="H826" s="5" t="str">
        <x:f>IF(OR(COUNTA(A826:F826)=0,COUNTIFS('Rules'!$G$7:$G$26,"="&amp;(SUBSTITUTE(SUBSTITUTE(SUBSTITUTE(SUBSTITUTE("type:"&amp;B826,"%","%25"),"~","%7E"),"*","%2A"),"?","%3F")))&lt;&gt;1),"",IF(OR(INDEX('Rules'!$B$7:$B$26,MATCH(SUBSTITUTE(SUBSTITUTE(SUBSTITUTE(SUBSTITUTE("type:"&amp;B826,"%","%25"),"~","%7E"),"*","%2A"),"?","%3F"),'Rules'!$G$7:$G$26,0))="hours",INDEX('Rules'!$B$7:$B$26,MATCH(SUBSTITUTE(SUBSTITUTE(SUBSTITUTE(SUBSTITUTE("type:"&amp;B826,"%","%25"),"~","%7E"),"*","%2A"),"?","%3F"),'Rules'!$G$7:$G$26,0))="km"),INDEX('Rules'!$B$7:$B$26,MATCH(SUBSTITUTE(SUBSTITUTE(SUBSTITUTE(SUBSTITUTE("type:"&amp;B826,"%","%25"),"~","%7E"),"*","%2A"),"?","%3F"),'Rules'!$G$7:$G$26,0)),""))</x:f>
      </x:c>
      <x:c r="I826" s="6" t="str">
        <x:f>IF(AND(NOT(COUNTA(A826:F826)=0),K826=""),ROUND(J826-D826,3),"")</x:f>
      </x:c>
      <x:c r="J826" s="6" t="str">
        <x:f>IF(AND(NOT(COUNTA(A826:F826)=0),K826=""),ROUND(F826+L826,3),"")</x:f>
      </x:c>
      <x:c r="K826" s="5" t="str">
        <x:f>IF(COUNTA(A826:F826)=0,"",IF(A826="","Missing equipment ID",IF(COUNTIFS($N$8:$N$2007,"="&amp;N826)&gt;1,"Duplicate equipment ID",IF(B826="","Missing type",IF(COUNTIFS('Rules'!$G$7:$G$26,"="&amp;(SUBSTITUTE(SUBSTITUTE(SUBSTITUTE(SUBSTITUTE("type:"&amp;B826,"%","%25"),"~","%7E"),"*","%2A"),"?","%3F")))=0,"Unknown type",IF(COUNTIFS('Rules'!$G$7:$G$26,"="&amp;(SUBSTITUTE(SUBSTITUTE(SUBSTITUTE(SUBSTITUTE("type:"&amp;B826,"%","%25"),"~","%7E"),"*","%2A"),"?","%3F")))&gt;1,"Duplicate type",IF(INDEX('Rules'!$F$7:$F$26,MATCH(SUBSTITUTE(SUBSTITUTE(SUBSTITUTE(SUBSTITUTE("type:"&amp;B826,"%","%25"),"~","%7E"),"*","%2A"),"?","%3F"),'Rules'!$G$7:$G$26,0))&lt;&gt;"",INDEX('Rules'!$F$7:$F$26,MATCH(SUBSTITUTE(SUBSTITUTE(SUBSTITUTE(SUBSTITUTE("type:"&amp;B826,"%","%25"),"~","%7E"),"*","%2A"),"?","%3F"),'Rules'!$G$7:$G$26,0)),IF(AND(C826&lt;&gt;"",C826&lt;&gt;INDEX('Rules'!$B$7:$B$26,MATCH(SUBSTITUTE(SUBSTITUTE(SUBSTITUTE(SUBSTITUTE("type:"&amp;B826,"%","%25"),"~","%7E"),"*","%2A"),"?","%3F"),'Rules'!$G$7:$G$26,0))),"Unit mismatch",IF(IF(NOT(ISNUMBER(D826)),TRUE,OR(D826&lt;0,D826&gt;999999999,ROUND(D826,3)&lt;&gt;D826)),"Invalid current reading",IF(AND(E826&lt;&gt;"",IF(NOT(ISNUMBER(E826)),TRUE,OR(E826&lt;0,E826&gt;999999999,ROUND(E826,3)&lt;&gt;E826))),"Invalid previous reading",IF(IF(NOT(ISNUMBER(F826)),TRUE,OR(F826&lt;0,F826&gt;999999999,ROUND(F826,3)&lt;&gt;F826)),"Invalid last service",IF(AND(E826&lt;&gt;"",D826&lt;E826),"Decreased reading",IF(F826&gt;D826,"Last service above current","")))))))))))))</x:f>
      </x:c>
      <x:c r="L826" s="6" t="str">
        <x:f>IF(AND(NOT(COUNTA(A826:F826)=0),K826=""),INDEX('Rules'!$C$7:$C$26,MATCH(SUBSTITUTE(SUBSTITUTE(SUBSTITUTE(SUBSTITUTE("type:"&amp;B826,"%","%25"),"~","%7E"),"*","%2A"),"?","%3F"),'Rules'!$G$7:$G$26,0)),"")</x:f>
      </x:c>
      <x:c r="M826" s="6" t="str">
        <x:f>IF(AND(NOT(COUNTA(A826:F826)=0),K826=""),INDEX('Rules'!$D$7:$D$26,MATCH(SUBSTITUTE(SUBSTITUTE(SUBSTITUTE(SUBSTITUTE("type:"&amp;B826,"%","%25"),"~","%7E"),"*","%2A"),"?","%3F"),'Rules'!$G$7:$G$26,0)),"")</x:f>
      </x:c>
      <x:c r="N826" s="5" t="str">
        <x:f>IF(COUNTA(A826:F826)=0,"",SUBSTITUTE(SUBSTITUTE(SUBSTITUTE(SUBSTITUTE("id:"&amp;A826,"%","%25"),"~","%7E"),"*","%2A"),"?","%3F"))</x:f>
      </x:c>
    </x:row>
    <x:row r="827" ht="22" customHeight="1">
      <x:c r="A827" s="3"/>
      <x:c r="B827" s="3"/>
      <x:c r="C827" s="3"/>
      <x:c r="D827" s="4"/>
      <x:c r="E827" s="4"/>
      <x:c r="F827" s="4"/>
      <x:c r="G827" s="5" t="str">
        <x:f>IF(COUNTA(A827:F827)=0,"",IF(K827&lt;&gt;"","Review",IF(I827&lt;0,"Overdue",IF(I827=0,"Due now",IF(I827&lt;=M827,"Due soon","Not due")))))</x:f>
      </x:c>
      <x:c r="H827" s="5" t="str">
        <x:f>IF(OR(COUNTA(A827:F827)=0,COUNTIFS('Rules'!$G$7:$G$26,"="&amp;(SUBSTITUTE(SUBSTITUTE(SUBSTITUTE(SUBSTITUTE("type:"&amp;B827,"%","%25"),"~","%7E"),"*","%2A"),"?","%3F")))&lt;&gt;1),"",IF(OR(INDEX('Rules'!$B$7:$B$26,MATCH(SUBSTITUTE(SUBSTITUTE(SUBSTITUTE(SUBSTITUTE("type:"&amp;B827,"%","%25"),"~","%7E"),"*","%2A"),"?","%3F"),'Rules'!$G$7:$G$26,0))="hours",INDEX('Rules'!$B$7:$B$26,MATCH(SUBSTITUTE(SUBSTITUTE(SUBSTITUTE(SUBSTITUTE("type:"&amp;B827,"%","%25"),"~","%7E"),"*","%2A"),"?","%3F"),'Rules'!$G$7:$G$26,0))="km"),INDEX('Rules'!$B$7:$B$26,MATCH(SUBSTITUTE(SUBSTITUTE(SUBSTITUTE(SUBSTITUTE("type:"&amp;B827,"%","%25"),"~","%7E"),"*","%2A"),"?","%3F"),'Rules'!$G$7:$G$26,0)),""))</x:f>
      </x:c>
      <x:c r="I827" s="6" t="str">
        <x:f>IF(AND(NOT(COUNTA(A827:F827)=0),K827=""),ROUND(J827-D827,3),"")</x:f>
      </x:c>
      <x:c r="J827" s="6" t="str">
        <x:f>IF(AND(NOT(COUNTA(A827:F827)=0),K827=""),ROUND(F827+L827,3),"")</x:f>
      </x:c>
      <x:c r="K827" s="5" t="str">
        <x:f>IF(COUNTA(A827:F827)=0,"",IF(A827="","Missing equipment ID",IF(COUNTIFS($N$8:$N$2007,"="&amp;N827)&gt;1,"Duplicate equipment ID",IF(B827="","Missing type",IF(COUNTIFS('Rules'!$G$7:$G$26,"="&amp;(SUBSTITUTE(SUBSTITUTE(SUBSTITUTE(SUBSTITUTE("type:"&amp;B827,"%","%25"),"~","%7E"),"*","%2A"),"?","%3F")))=0,"Unknown type",IF(COUNTIFS('Rules'!$G$7:$G$26,"="&amp;(SUBSTITUTE(SUBSTITUTE(SUBSTITUTE(SUBSTITUTE("type:"&amp;B827,"%","%25"),"~","%7E"),"*","%2A"),"?","%3F")))&gt;1,"Duplicate type",IF(INDEX('Rules'!$F$7:$F$26,MATCH(SUBSTITUTE(SUBSTITUTE(SUBSTITUTE(SUBSTITUTE("type:"&amp;B827,"%","%25"),"~","%7E"),"*","%2A"),"?","%3F"),'Rules'!$G$7:$G$26,0))&lt;&gt;"",INDEX('Rules'!$F$7:$F$26,MATCH(SUBSTITUTE(SUBSTITUTE(SUBSTITUTE(SUBSTITUTE("type:"&amp;B827,"%","%25"),"~","%7E"),"*","%2A"),"?","%3F"),'Rules'!$G$7:$G$26,0)),IF(AND(C827&lt;&gt;"",C827&lt;&gt;INDEX('Rules'!$B$7:$B$26,MATCH(SUBSTITUTE(SUBSTITUTE(SUBSTITUTE(SUBSTITUTE("type:"&amp;B827,"%","%25"),"~","%7E"),"*","%2A"),"?","%3F"),'Rules'!$G$7:$G$26,0))),"Unit mismatch",IF(IF(NOT(ISNUMBER(D827)),TRUE,OR(D827&lt;0,D827&gt;999999999,ROUND(D827,3)&lt;&gt;D827)),"Invalid current reading",IF(AND(E827&lt;&gt;"",IF(NOT(ISNUMBER(E827)),TRUE,OR(E827&lt;0,E827&gt;999999999,ROUND(E827,3)&lt;&gt;E827))),"Invalid previous reading",IF(IF(NOT(ISNUMBER(F827)),TRUE,OR(F827&lt;0,F827&gt;999999999,ROUND(F827,3)&lt;&gt;F827)),"Invalid last service",IF(AND(E827&lt;&gt;"",D827&lt;E827),"Decreased reading",IF(F827&gt;D827,"Last service above current","")))))))))))))</x:f>
      </x:c>
      <x:c r="L827" s="6" t="str">
        <x:f>IF(AND(NOT(COUNTA(A827:F827)=0),K827=""),INDEX('Rules'!$C$7:$C$26,MATCH(SUBSTITUTE(SUBSTITUTE(SUBSTITUTE(SUBSTITUTE("type:"&amp;B827,"%","%25"),"~","%7E"),"*","%2A"),"?","%3F"),'Rules'!$G$7:$G$26,0)),"")</x:f>
      </x:c>
      <x:c r="M827" s="6" t="str">
        <x:f>IF(AND(NOT(COUNTA(A827:F827)=0),K827=""),INDEX('Rules'!$D$7:$D$26,MATCH(SUBSTITUTE(SUBSTITUTE(SUBSTITUTE(SUBSTITUTE("type:"&amp;B827,"%","%25"),"~","%7E"),"*","%2A"),"?","%3F"),'Rules'!$G$7:$G$26,0)),"")</x:f>
      </x:c>
      <x:c r="N827" s="5" t="str">
        <x:f>IF(COUNTA(A827:F827)=0,"",SUBSTITUTE(SUBSTITUTE(SUBSTITUTE(SUBSTITUTE("id:"&amp;A827,"%","%25"),"~","%7E"),"*","%2A"),"?","%3F"))</x:f>
      </x:c>
    </x:row>
    <x:row r="828" ht="22" customHeight="1">
      <x:c r="A828" s="3"/>
      <x:c r="B828" s="3"/>
      <x:c r="C828" s="3"/>
      <x:c r="D828" s="4"/>
      <x:c r="E828" s="4"/>
      <x:c r="F828" s="4"/>
      <x:c r="G828" s="5" t="str">
        <x:f>IF(COUNTA(A828:F828)=0,"",IF(K828&lt;&gt;"","Review",IF(I828&lt;0,"Overdue",IF(I828=0,"Due now",IF(I828&lt;=M828,"Due soon","Not due")))))</x:f>
      </x:c>
      <x:c r="H828" s="5" t="str">
        <x:f>IF(OR(COUNTA(A828:F828)=0,COUNTIFS('Rules'!$G$7:$G$26,"="&amp;(SUBSTITUTE(SUBSTITUTE(SUBSTITUTE(SUBSTITUTE("type:"&amp;B828,"%","%25"),"~","%7E"),"*","%2A"),"?","%3F")))&lt;&gt;1),"",IF(OR(INDEX('Rules'!$B$7:$B$26,MATCH(SUBSTITUTE(SUBSTITUTE(SUBSTITUTE(SUBSTITUTE("type:"&amp;B828,"%","%25"),"~","%7E"),"*","%2A"),"?","%3F"),'Rules'!$G$7:$G$26,0))="hours",INDEX('Rules'!$B$7:$B$26,MATCH(SUBSTITUTE(SUBSTITUTE(SUBSTITUTE(SUBSTITUTE("type:"&amp;B828,"%","%25"),"~","%7E"),"*","%2A"),"?","%3F"),'Rules'!$G$7:$G$26,0))="km"),INDEX('Rules'!$B$7:$B$26,MATCH(SUBSTITUTE(SUBSTITUTE(SUBSTITUTE(SUBSTITUTE("type:"&amp;B828,"%","%25"),"~","%7E"),"*","%2A"),"?","%3F"),'Rules'!$G$7:$G$26,0)),""))</x:f>
      </x:c>
      <x:c r="I828" s="6" t="str">
        <x:f>IF(AND(NOT(COUNTA(A828:F828)=0),K828=""),ROUND(J828-D828,3),"")</x:f>
      </x:c>
      <x:c r="J828" s="6" t="str">
        <x:f>IF(AND(NOT(COUNTA(A828:F828)=0),K828=""),ROUND(F828+L828,3),"")</x:f>
      </x:c>
      <x:c r="K828" s="5" t="str">
        <x:f>IF(COUNTA(A828:F828)=0,"",IF(A828="","Missing equipment ID",IF(COUNTIFS($N$8:$N$2007,"="&amp;N828)&gt;1,"Duplicate equipment ID",IF(B828="","Missing type",IF(COUNTIFS('Rules'!$G$7:$G$26,"="&amp;(SUBSTITUTE(SUBSTITUTE(SUBSTITUTE(SUBSTITUTE("type:"&amp;B828,"%","%25"),"~","%7E"),"*","%2A"),"?","%3F")))=0,"Unknown type",IF(COUNTIFS('Rules'!$G$7:$G$26,"="&amp;(SUBSTITUTE(SUBSTITUTE(SUBSTITUTE(SUBSTITUTE("type:"&amp;B828,"%","%25"),"~","%7E"),"*","%2A"),"?","%3F")))&gt;1,"Duplicate type",IF(INDEX('Rules'!$F$7:$F$26,MATCH(SUBSTITUTE(SUBSTITUTE(SUBSTITUTE(SUBSTITUTE("type:"&amp;B828,"%","%25"),"~","%7E"),"*","%2A"),"?","%3F"),'Rules'!$G$7:$G$26,0))&lt;&gt;"",INDEX('Rules'!$F$7:$F$26,MATCH(SUBSTITUTE(SUBSTITUTE(SUBSTITUTE(SUBSTITUTE("type:"&amp;B828,"%","%25"),"~","%7E"),"*","%2A"),"?","%3F"),'Rules'!$G$7:$G$26,0)),IF(AND(C828&lt;&gt;"",C828&lt;&gt;INDEX('Rules'!$B$7:$B$26,MATCH(SUBSTITUTE(SUBSTITUTE(SUBSTITUTE(SUBSTITUTE("type:"&amp;B828,"%","%25"),"~","%7E"),"*","%2A"),"?","%3F"),'Rules'!$G$7:$G$26,0))),"Unit mismatch",IF(IF(NOT(ISNUMBER(D828)),TRUE,OR(D828&lt;0,D828&gt;999999999,ROUND(D828,3)&lt;&gt;D828)),"Invalid current reading",IF(AND(E828&lt;&gt;"",IF(NOT(ISNUMBER(E828)),TRUE,OR(E828&lt;0,E828&gt;999999999,ROUND(E828,3)&lt;&gt;E828))),"Invalid previous reading",IF(IF(NOT(ISNUMBER(F828)),TRUE,OR(F828&lt;0,F828&gt;999999999,ROUND(F828,3)&lt;&gt;F828)),"Invalid last service",IF(AND(E828&lt;&gt;"",D828&lt;E828),"Decreased reading",IF(F828&gt;D828,"Last service above current","")))))))))))))</x:f>
      </x:c>
      <x:c r="L828" s="6" t="str">
        <x:f>IF(AND(NOT(COUNTA(A828:F828)=0),K828=""),INDEX('Rules'!$C$7:$C$26,MATCH(SUBSTITUTE(SUBSTITUTE(SUBSTITUTE(SUBSTITUTE("type:"&amp;B828,"%","%25"),"~","%7E"),"*","%2A"),"?","%3F"),'Rules'!$G$7:$G$26,0)),"")</x:f>
      </x:c>
      <x:c r="M828" s="6" t="str">
        <x:f>IF(AND(NOT(COUNTA(A828:F828)=0),K828=""),INDEX('Rules'!$D$7:$D$26,MATCH(SUBSTITUTE(SUBSTITUTE(SUBSTITUTE(SUBSTITUTE("type:"&amp;B828,"%","%25"),"~","%7E"),"*","%2A"),"?","%3F"),'Rules'!$G$7:$G$26,0)),"")</x:f>
      </x:c>
      <x:c r="N828" s="5" t="str">
        <x:f>IF(COUNTA(A828:F828)=0,"",SUBSTITUTE(SUBSTITUTE(SUBSTITUTE(SUBSTITUTE("id:"&amp;A828,"%","%25"),"~","%7E"),"*","%2A"),"?","%3F"))</x:f>
      </x:c>
    </x:row>
    <x:row r="829" ht="22" customHeight="1">
      <x:c r="A829" s="3"/>
      <x:c r="B829" s="3"/>
      <x:c r="C829" s="3"/>
      <x:c r="D829" s="4"/>
      <x:c r="E829" s="4"/>
      <x:c r="F829" s="4"/>
      <x:c r="G829" s="5" t="str">
        <x:f>IF(COUNTA(A829:F829)=0,"",IF(K829&lt;&gt;"","Review",IF(I829&lt;0,"Overdue",IF(I829=0,"Due now",IF(I829&lt;=M829,"Due soon","Not due")))))</x:f>
      </x:c>
      <x:c r="H829" s="5" t="str">
        <x:f>IF(OR(COUNTA(A829:F829)=0,COUNTIFS('Rules'!$G$7:$G$26,"="&amp;(SUBSTITUTE(SUBSTITUTE(SUBSTITUTE(SUBSTITUTE("type:"&amp;B829,"%","%25"),"~","%7E"),"*","%2A"),"?","%3F")))&lt;&gt;1),"",IF(OR(INDEX('Rules'!$B$7:$B$26,MATCH(SUBSTITUTE(SUBSTITUTE(SUBSTITUTE(SUBSTITUTE("type:"&amp;B829,"%","%25"),"~","%7E"),"*","%2A"),"?","%3F"),'Rules'!$G$7:$G$26,0))="hours",INDEX('Rules'!$B$7:$B$26,MATCH(SUBSTITUTE(SUBSTITUTE(SUBSTITUTE(SUBSTITUTE("type:"&amp;B829,"%","%25"),"~","%7E"),"*","%2A"),"?","%3F"),'Rules'!$G$7:$G$26,0))="km"),INDEX('Rules'!$B$7:$B$26,MATCH(SUBSTITUTE(SUBSTITUTE(SUBSTITUTE(SUBSTITUTE("type:"&amp;B829,"%","%25"),"~","%7E"),"*","%2A"),"?","%3F"),'Rules'!$G$7:$G$26,0)),""))</x:f>
      </x:c>
      <x:c r="I829" s="6" t="str">
        <x:f>IF(AND(NOT(COUNTA(A829:F829)=0),K829=""),ROUND(J829-D829,3),"")</x:f>
      </x:c>
      <x:c r="J829" s="6" t="str">
        <x:f>IF(AND(NOT(COUNTA(A829:F829)=0),K829=""),ROUND(F829+L829,3),"")</x:f>
      </x:c>
      <x:c r="K829" s="5" t="str">
        <x:f>IF(COUNTA(A829:F829)=0,"",IF(A829="","Missing equipment ID",IF(COUNTIFS($N$8:$N$2007,"="&amp;N829)&gt;1,"Duplicate equipment ID",IF(B829="","Missing type",IF(COUNTIFS('Rules'!$G$7:$G$26,"="&amp;(SUBSTITUTE(SUBSTITUTE(SUBSTITUTE(SUBSTITUTE("type:"&amp;B829,"%","%25"),"~","%7E"),"*","%2A"),"?","%3F")))=0,"Unknown type",IF(COUNTIFS('Rules'!$G$7:$G$26,"="&amp;(SUBSTITUTE(SUBSTITUTE(SUBSTITUTE(SUBSTITUTE("type:"&amp;B829,"%","%25"),"~","%7E"),"*","%2A"),"?","%3F")))&gt;1,"Duplicate type",IF(INDEX('Rules'!$F$7:$F$26,MATCH(SUBSTITUTE(SUBSTITUTE(SUBSTITUTE(SUBSTITUTE("type:"&amp;B829,"%","%25"),"~","%7E"),"*","%2A"),"?","%3F"),'Rules'!$G$7:$G$26,0))&lt;&gt;"",INDEX('Rules'!$F$7:$F$26,MATCH(SUBSTITUTE(SUBSTITUTE(SUBSTITUTE(SUBSTITUTE("type:"&amp;B829,"%","%25"),"~","%7E"),"*","%2A"),"?","%3F"),'Rules'!$G$7:$G$26,0)),IF(AND(C829&lt;&gt;"",C829&lt;&gt;INDEX('Rules'!$B$7:$B$26,MATCH(SUBSTITUTE(SUBSTITUTE(SUBSTITUTE(SUBSTITUTE("type:"&amp;B829,"%","%25"),"~","%7E"),"*","%2A"),"?","%3F"),'Rules'!$G$7:$G$26,0))),"Unit mismatch",IF(IF(NOT(ISNUMBER(D829)),TRUE,OR(D829&lt;0,D829&gt;999999999,ROUND(D829,3)&lt;&gt;D829)),"Invalid current reading",IF(AND(E829&lt;&gt;"",IF(NOT(ISNUMBER(E829)),TRUE,OR(E829&lt;0,E829&gt;999999999,ROUND(E829,3)&lt;&gt;E829))),"Invalid previous reading",IF(IF(NOT(ISNUMBER(F829)),TRUE,OR(F829&lt;0,F829&gt;999999999,ROUND(F829,3)&lt;&gt;F829)),"Invalid last service",IF(AND(E829&lt;&gt;"",D829&lt;E829),"Decreased reading",IF(F829&gt;D829,"Last service above current","")))))))))))))</x:f>
      </x:c>
      <x:c r="L829" s="6" t="str">
        <x:f>IF(AND(NOT(COUNTA(A829:F829)=0),K829=""),INDEX('Rules'!$C$7:$C$26,MATCH(SUBSTITUTE(SUBSTITUTE(SUBSTITUTE(SUBSTITUTE("type:"&amp;B829,"%","%25"),"~","%7E"),"*","%2A"),"?","%3F"),'Rules'!$G$7:$G$26,0)),"")</x:f>
      </x:c>
      <x:c r="M829" s="6" t="str">
        <x:f>IF(AND(NOT(COUNTA(A829:F829)=0),K829=""),INDEX('Rules'!$D$7:$D$26,MATCH(SUBSTITUTE(SUBSTITUTE(SUBSTITUTE(SUBSTITUTE("type:"&amp;B829,"%","%25"),"~","%7E"),"*","%2A"),"?","%3F"),'Rules'!$G$7:$G$26,0)),"")</x:f>
      </x:c>
      <x:c r="N829" s="5" t="str">
        <x:f>IF(COUNTA(A829:F829)=0,"",SUBSTITUTE(SUBSTITUTE(SUBSTITUTE(SUBSTITUTE("id:"&amp;A829,"%","%25"),"~","%7E"),"*","%2A"),"?","%3F"))</x:f>
      </x:c>
    </x:row>
    <x:row r="830" ht="22" customHeight="1">
      <x:c r="A830" s="3"/>
      <x:c r="B830" s="3"/>
      <x:c r="C830" s="3"/>
      <x:c r="D830" s="4"/>
      <x:c r="E830" s="4"/>
      <x:c r="F830" s="4"/>
      <x:c r="G830" s="5" t="str">
        <x:f>IF(COUNTA(A830:F830)=0,"",IF(K830&lt;&gt;"","Review",IF(I830&lt;0,"Overdue",IF(I830=0,"Due now",IF(I830&lt;=M830,"Due soon","Not due")))))</x:f>
      </x:c>
      <x:c r="H830" s="5" t="str">
        <x:f>IF(OR(COUNTA(A830:F830)=0,COUNTIFS('Rules'!$G$7:$G$26,"="&amp;(SUBSTITUTE(SUBSTITUTE(SUBSTITUTE(SUBSTITUTE("type:"&amp;B830,"%","%25"),"~","%7E"),"*","%2A"),"?","%3F")))&lt;&gt;1),"",IF(OR(INDEX('Rules'!$B$7:$B$26,MATCH(SUBSTITUTE(SUBSTITUTE(SUBSTITUTE(SUBSTITUTE("type:"&amp;B830,"%","%25"),"~","%7E"),"*","%2A"),"?","%3F"),'Rules'!$G$7:$G$26,0))="hours",INDEX('Rules'!$B$7:$B$26,MATCH(SUBSTITUTE(SUBSTITUTE(SUBSTITUTE(SUBSTITUTE("type:"&amp;B830,"%","%25"),"~","%7E"),"*","%2A"),"?","%3F"),'Rules'!$G$7:$G$26,0))="km"),INDEX('Rules'!$B$7:$B$26,MATCH(SUBSTITUTE(SUBSTITUTE(SUBSTITUTE(SUBSTITUTE("type:"&amp;B830,"%","%25"),"~","%7E"),"*","%2A"),"?","%3F"),'Rules'!$G$7:$G$26,0)),""))</x:f>
      </x:c>
      <x:c r="I830" s="6" t="str">
        <x:f>IF(AND(NOT(COUNTA(A830:F830)=0),K830=""),ROUND(J830-D830,3),"")</x:f>
      </x:c>
      <x:c r="J830" s="6" t="str">
        <x:f>IF(AND(NOT(COUNTA(A830:F830)=0),K830=""),ROUND(F830+L830,3),"")</x:f>
      </x:c>
      <x:c r="K830" s="5" t="str">
        <x:f>IF(COUNTA(A830:F830)=0,"",IF(A830="","Missing equipment ID",IF(COUNTIFS($N$8:$N$2007,"="&amp;N830)&gt;1,"Duplicate equipment ID",IF(B830="","Missing type",IF(COUNTIFS('Rules'!$G$7:$G$26,"="&amp;(SUBSTITUTE(SUBSTITUTE(SUBSTITUTE(SUBSTITUTE("type:"&amp;B830,"%","%25"),"~","%7E"),"*","%2A"),"?","%3F")))=0,"Unknown type",IF(COUNTIFS('Rules'!$G$7:$G$26,"="&amp;(SUBSTITUTE(SUBSTITUTE(SUBSTITUTE(SUBSTITUTE("type:"&amp;B830,"%","%25"),"~","%7E"),"*","%2A"),"?","%3F")))&gt;1,"Duplicate type",IF(INDEX('Rules'!$F$7:$F$26,MATCH(SUBSTITUTE(SUBSTITUTE(SUBSTITUTE(SUBSTITUTE("type:"&amp;B830,"%","%25"),"~","%7E"),"*","%2A"),"?","%3F"),'Rules'!$G$7:$G$26,0))&lt;&gt;"",INDEX('Rules'!$F$7:$F$26,MATCH(SUBSTITUTE(SUBSTITUTE(SUBSTITUTE(SUBSTITUTE("type:"&amp;B830,"%","%25"),"~","%7E"),"*","%2A"),"?","%3F"),'Rules'!$G$7:$G$26,0)),IF(AND(C830&lt;&gt;"",C830&lt;&gt;INDEX('Rules'!$B$7:$B$26,MATCH(SUBSTITUTE(SUBSTITUTE(SUBSTITUTE(SUBSTITUTE("type:"&amp;B830,"%","%25"),"~","%7E"),"*","%2A"),"?","%3F"),'Rules'!$G$7:$G$26,0))),"Unit mismatch",IF(IF(NOT(ISNUMBER(D830)),TRUE,OR(D830&lt;0,D830&gt;999999999,ROUND(D830,3)&lt;&gt;D830)),"Invalid current reading",IF(AND(E830&lt;&gt;"",IF(NOT(ISNUMBER(E830)),TRUE,OR(E830&lt;0,E830&gt;999999999,ROUND(E830,3)&lt;&gt;E830))),"Invalid previous reading",IF(IF(NOT(ISNUMBER(F830)),TRUE,OR(F830&lt;0,F830&gt;999999999,ROUND(F830,3)&lt;&gt;F830)),"Invalid last service",IF(AND(E830&lt;&gt;"",D830&lt;E830),"Decreased reading",IF(F830&gt;D830,"Last service above current","")))))))))))))</x:f>
      </x:c>
      <x:c r="L830" s="6" t="str">
        <x:f>IF(AND(NOT(COUNTA(A830:F830)=0),K830=""),INDEX('Rules'!$C$7:$C$26,MATCH(SUBSTITUTE(SUBSTITUTE(SUBSTITUTE(SUBSTITUTE("type:"&amp;B830,"%","%25"),"~","%7E"),"*","%2A"),"?","%3F"),'Rules'!$G$7:$G$26,0)),"")</x:f>
      </x:c>
      <x:c r="M830" s="6" t="str">
        <x:f>IF(AND(NOT(COUNTA(A830:F830)=0),K830=""),INDEX('Rules'!$D$7:$D$26,MATCH(SUBSTITUTE(SUBSTITUTE(SUBSTITUTE(SUBSTITUTE("type:"&amp;B830,"%","%25"),"~","%7E"),"*","%2A"),"?","%3F"),'Rules'!$G$7:$G$26,0)),"")</x:f>
      </x:c>
      <x:c r="N830" s="5" t="str">
        <x:f>IF(COUNTA(A830:F830)=0,"",SUBSTITUTE(SUBSTITUTE(SUBSTITUTE(SUBSTITUTE("id:"&amp;A830,"%","%25"),"~","%7E"),"*","%2A"),"?","%3F"))</x:f>
      </x:c>
    </x:row>
    <x:row r="831" ht="22" customHeight="1">
      <x:c r="A831" s="3"/>
      <x:c r="B831" s="3"/>
      <x:c r="C831" s="3"/>
      <x:c r="D831" s="4"/>
      <x:c r="E831" s="4"/>
      <x:c r="F831" s="4"/>
      <x:c r="G831" s="5" t="str">
        <x:f>IF(COUNTA(A831:F831)=0,"",IF(K831&lt;&gt;"","Review",IF(I831&lt;0,"Overdue",IF(I831=0,"Due now",IF(I831&lt;=M831,"Due soon","Not due")))))</x:f>
      </x:c>
      <x:c r="H831" s="5" t="str">
        <x:f>IF(OR(COUNTA(A831:F831)=0,COUNTIFS('Rules'!$G$7:$G$26,"="&amp;(SUBSTITUTE(SUBSTITUTE(SUBSTITUTE(SUBSTITUTE("type:"&amp;B831,"%","%25"),"~","%7E"),"*","%2A"),"?","%3F")))&lt;&gt;1),"",IF(OR(INDEX('Rules'!$B$7:$B$26,MATCH(SUBSTITUTE(SUBSTITUTE(SUBSTITUTE(SUBSTITUTE("type:"&amp;B831,"%","%25"),"~","%7E"),"*","%2A"),"?","%3F"),'Rules'!$G$7:$G$26,0))="hours",INDEX('Rules'!$B$7:$B$26,MATCH(SUBSTITUTE(SUBSTITUTE(SUBSTITUTE(SUBSTITUTE("type:"&amp;B831,"%","%25"),"~","%7E"),"*","%2A"),"?","%3F"),'Rules'!$G$7:$G$26,0))="km"),INDEX('Rules'!$B$7:$B$26,MATCH(SUBSTITUTE(SUBSTITUTE(SUBSTITUTE(SUBSTITUTE("type:"&amp;B831,"%","%25"),"~","%7E"),"*","%2A"),"?","%3F"),'Rules'!$G$7:$G$26,0)),""))</x:f>
      </x:c>
      <x:c r="I831" s="6" t="str">
        <x:f>IF(AND(NOT(COUNTA(A831:F831)=0),K831=""),ROUND(J831-D831,3),"")</x:f>
      </x:c>
      <x:c r="J831" s="6" t="str">
        <x:f>IF(AND(NOT(COUNTA(A831:F831)=0),K831=""),ROUND(F831+L831,3),"")</x:f>
      </x:c>
      <x:c r="K831" s="5" t="str">
        <x:f>IF(COUNTA(A831:F831)=0,"",IF(A831="","Missing equipment ID",IF(COUNTIFS($N$8:$N$2007,"="&amp;N831)&gt;1,"Duplicate equipment ID",IF(B831="","Missing type",IF(COUNTIFS('Rules'!$G$7:$G$26,"="&amp;(SUBSTITUTE(SUBSTITUTE(SUBSTITUTE(SUBSTITUTE("type:"&amp;B831,"%","%25"),"~","%7E"),"*","%2A"),"?","%3F")))=0,"Unknown type",IF(COUNTIFS('Rules'!$G$7:$G$26,"="&amp;(SUBSTITUTE(SUBSTITUTE(SUBSTITUTE(SUBSTITUTE("type:"&amp;B831,"%","%25"),"~","%7E"),"*","%2A"),"?","%3F")))&gt;1,"Duplicate type",IF(INDEX('Rules'!$F$7:$F$26,MATCH(SUBSTITUTE(SUBSTITUTE(SUBSTITUTE(SUBSTITUTE("type:"&amp;B831,"%","%25"),"~","%7E"),"*","%2A"),"?","%3F"),'Rules'!$G$7:$G$26,0))&lt;&gt;"",INDEX('Rules'!$F$7:$F$26,MATCH(SUBSTITUTE(SUBSTITUTE(SUBSTITUTE(SUBSTITUTE("type:"&amp;B831,"%","%25"),"~","%7E"),"*","%2A"),"?","%3F"),'Rules'!$G$7:$G$26,0)),IF(AND(C831&lt;&gt;"",C831&lt;&gt;INDEX('Rules'!$B$7:$B$26,MATCH(SUBSTITUTE(SUBSTITUTE(SUBSTITUTE(SUBSTITUTE("type:"&amp;B831,"%","%25"),"~","%7E"),"*","%2A"),"?","%3F"),'Rules'!$G$7:$G$26,0))),"Unit mismatch",IF(IF(NOT(ISNUMBER(D831)),TRUE,OR(D831&lt;0,D831&gt;999999999,ROUND(D831,3)&lt;&gt;D831)),"Invalid current reading",IF(AND(E831&lt;&gt;"",IF(NOT(ISNUMBER(E831)),TRUE,OR(E831&lt;0,E831&gt;999999999,ROUND(E831,3)&lt;&gt;E831))),"Invalid previous reading",IF(IF(NOT(ISNUMBER(F831)),TRUE,OR(F831&lt;0,F831&gt;999999999,ROUND(F831,3)&lt;&gt;F831)),"Invalid last service",IF(AND(E831&lt;&gt;"",D831&lt;E831),"Decreased reading",IF(F831&gt;D831,"Last service above current","")))))))))))))</x:f>
      </x:c>
      <x:c r="L831" s="6" t="str">
        <x:f>IF(AND(NOT(COUNTA(A831:F831)=0),K831=""),INDEX('Rules'!$C$7:$C$26,MATCH(SUBSTITUTE(SUBSTITUTE(SUBSTITUTE(SUBSTITUTE("type:"&amp;B831,"%","%25"),"~","%7E"),"*","%2A"),"?","%3F"),'Rules'!$G$7:$G$26,0)),"")</x:f>
      </x:c>
      <x:c r="M831" s="6" t="str">
        <x:f>IF(AND(NOT(COUNTA(A831:F831)=0),K831=""),INDEX('Rules'!$D$7:$D$26,MATCH(SUBSTITUTE(SUBSTITUTE(SUBSTITUTE(SUBSTITUTE("type:"&amp;B831,"%","%25"),"~","%7E"),"*","%2A"),"?","%3F"),'Rules'!$G$7:$G$26,0)),"")</x:f>
      </x:c>
      <x:c r="N831" s="5" t="str">
        <x:f>IF(COUNTA(A831:F831)=0,"",SUBSTITUTE(SUBSTITUTE(SUBSTITUTE(SUBSTITUTE("id:"&amp;A831,"%","%25"),"~","%7E"),"*","%2A"),"?","%3F"))</x:f>
      </x:c>
    </x:row>
    <x:row r="832" ht="22" customHeight="1">
      <x:c r="A832" s="3"/>
      <x:c r="B832" s="3"/>
      <x:c r="C832" s="3"/>
      <x:c r="D832" s="4"/>
      <x:c r="E832" s="4"/>
      <x:c r="F832" s="4"/>
      <x:c r="G832" s="5" t="str">
        <x:f>IF(COUNTA(A832:F832)=0,"",IF(K832&lt;&gt;"","Review",IF(I832&lt;0,"Overdue",IF(I832=0,"Due now",IF(I832&lt;=M832,"Due soon","Not due")))))</x:f>
      </x:c>
      <x:c r="H832" s="5" t="str">
        <x:f>IF(OR(COUNTA(A832:F832)=0,COUNTIFS('Rules'!$G$7:$G$26,"="&amp;(SUBSTITUTE(SUBSTITUTE(SUBSTITUTE(SUBSTITUTE("type:"&amp;B832,"%","%25"),"~","%7E"),"*","%2A"),"?","%3F")))&lt;&gt;1),"",IF(OR(INDEX('Rules'!$B$7:$B$26,MATCH(SUBSTITUTE(SUBSTITUTE(SUBSTITUTE(SUBSTITUTE("type:"&amp;B832,"%","%25"),"~","%7E"),"*","%2A"),"?","%3F"),'Rules'!$G$7:$G$26,0))="hours",INDEX('Rules'!$B$7:$B$26,MATCH(SUBSTITUTE(SUBSTITUTE(SUBSTITUTE(SUBSTITUTE("type:"&amp;B832,"%","%25"),"~","%7E"),"*","%2A"),"?","%3F"),'Rules'!$G$7:$G$26,0))="km"),INDEX('Rules'!$B$7:$B$26,MATCH(SUBSTITUTE(SUBSTITUTE(SUBSTITUTE(SUBSTITUTE("type:"&amp;B832,"%","%25"),"~","%7E"),"*","%2A"),"?","%3F"),'Rules'!$G$7:$G$26,0)),""))</x:f>
      </x:c>
      <x:c r="I832" s="6" t="str">
        <x:f>IF(AND(NOT(COUNTA(A832:F832)=0),K832=""),ROUND(J832-D832,3),"")</x:f>
      </x:c>
      <x:c r="J832" s="6" t="str">
        <x:f>IF(AND(NOT(COUNTA(A832:F832)=0),K832=""),ROUND(F832+L832,3),"")</x:f>
      </x:c>
      <x:c r="K832" s="5" t="str">
        <x:f>IF(COUNTA(A832:F832)=0,"",IF(A832="","Missing equipment ID",IF(COUNTIFS($N$8:$N$2007,"="&amp;N832)&gt;1,"Duplicate equipment ID",IF(B832="","Missing type",IF(COUNTIFS('Rules'!$G$7:$G$26,"="&amp;(SUBSTITUTE(SUBSTITUTE(SUBSTITUTE(SUBSTITUTE("type:"&amp;B832,"%","%25"),"~","%7E"),"*","%2A"),"?","%3F")))=0,"Unknown type",IF(COUNTIFS('Rules'!$G$7:$G$26,"="&amp;(SUBSTITUTE(SUBSTITUTE(SUBSTITUTE(SUBSTITUTE("type:"&amp;B832,"%","%25"),"~","%7E"),"*","%2A"),"?","%3F")))&gt;1,"Duplicate type",IF(INDEX('Rules'!$F$7:$F$26,MATCH(SUBSTITUTE(SUBSTITUTE(SUBSTITUTE(SUBSTITUTE("type:"&amp;B832,"%","%25"),"~","%7E"),"*","%2A"),"?","%3F"),'Rules'!$G$7:$G$26,0))&lt;&gt;"",INDEX('Rules'!$F$7:$F$26,MATCH(SUBSTITUTE(SUBSTITUTE(SUBSTITUTE(SUBSTITUTE("type:"&amp;B832,"%","%25"),"~","%7E"),"*","%2A"),"?","%3F"),'Rules'!$G$7:$G$26,0)),IF(AND(C832&lt;&gt;"",C832&lt;&gt;INDEX('Rules'!$B$7:$B$26,MATCH(SUBSTITUTE(SUBSTITUTE(SUBSTITUTE(SUBSTITUTE("type:"&amp;B832,"%","%25"),"~","%7E"),"*","%2A"),"?","%3F"),'Rules'!$G$7:$G$26,0))),"Unit mismatch",IF(IF(NOT(ISNUMBER(D832)),TRUE,OR(D832&lt;0,D832&gt;999999999,ROUND(D832,3)&lt;&gt;D832)),"Invalid current reading",IF(AND(E832&lt;&gt;"",IF(NOT(ISNUMBER(E832)),TRUE,OR(E832&lt;0,E832&gt;999999999,ROUND(E832,3)&lt;&gt;E832))),"Invalid previous reading",IF(IF(NOT(ISNUMBER(F832)),TRUE,OR(F832&lt;0,F832&gt;999999999,ROUND(F832,3)&lt;&gt;F832)),"Invalid last service",IF(AND(E832&lt;&gt;"",D832&lt;E832),"Decreased reading",IF(F832&gt;D832,"Last service above current","")))))))))))))</x:f>
      </x:c>
      <x:c r="L832" s="6" t="str">
        <x:f>IF(AND(NOT(COUNTA(A832:F832)=0),K832=""),INDEX('Rules'!$C$7:$C$26,MATCH(SUBSTITUTE(SUBSTITUTE(SUBSTITUTE(SUBSTITUTE("type:"&amp;B832,"%","%25"),"~","%7E"),"*","%2A"),"?","%3F"),'Rules'!$G$7:$G$26,0)),"")</x:f>
      </x:c>
      <x:c r="M832" s="6" t="str">
        <x:f>IF(AND(NOT(COUNTA(A832:F832)=0),K832=""),INDEX('Rules'!$D$7:$D$26,MATCH(SUBSTITUTE(SUBSTITUTE(SUBSTITUTE(SUBSTITUTE("type:"&amp;B832,"%","%25"),"~","%7E"),"*","%2A"),"?","%3F"),'Rules'!$G$7:$G$26,0)),"")</x:f>
      </x:c>
      <x:c r="N832" s="5" t="str">
        <x:f>IF(COUNTA(A832:F832)=0,"",SUBSTITUTE(SUBSTITUTE(SUBSTITUTE(SUBSTITUTE("id:"&amp;A832,"%","%25"),"~","%7E"),"*","%2A"),"?","%3F"))</x:f>
      </x:c>
    </x:row>
    <x:row r="833" ht="22" customHeight="1">
      <x:c r="A833" s="3"/>
      <x:c r="B833" s="3"/>
      <x:c r="C833" s="3"/>
      <x:c r="D833" s="4"/>
      <x:c r="E833" s="4"/>
      <x:c r="F833" s="4"/>
      <x:c r="G833" s="5" t="str">
        <x:f>IF(COUNTA(A833:F833)=0,"",IF(K833&lt;&gt;"","Review",IF(I833&lt;0,"Overdue",IF(I833=0,"Due now",IF(I833&lt;=M833,"Due soon","Not due")))))</x:f>
      </x:c>
      <x:c r="H833" s="5" t="str">
        <x:f>IF(OR(COUNTA(A833:F833)=0,COUNTIFS('Rules'!$G$7:$G$26,"="&amp;(SUBSTITUTE(SUBSTITUTE(SUBSTITUTE(SUBSTITUTE("type:"&amp;B833,"%","%25"),"~","%7E"),"*","%2A"),"?","%3F")))&lt;&gt;1),"",IF(OR(INDEX('Rules'!$B$7:$B$26,MATCH(SUBSTITUTE(SUBSTITUTE(SUBSTITUTE(SUBSTITUTE("type:"&amp;B833,"%","%25"),"~","%7E"),"*","%2A"),"?","%3F"),'Rules'!$G$7:$G$26,0))="hours",INDEX('Rules'!$B$7:$B$26,MATCH(SUBSTITUTE(SUBSTITUTE(SUBSTITUTE(SUBSTITUTE("type:"&amp;B833,"%","%25"),"~","%7E"),"*","%2A"),"?","%3F"),'Rules'!$G$7:$G$26,0))="km"),INDEX('Rules'!$B$7:$B$26,MATCH(SUBSTITUTE(SUBSTITUTE(SUBSTITUTE(SUBSTITUTE("type:"&amp;B833,"%","%25"),"~","%7E"),"*","%2A"),"?","%3F"),'Rules'!$G$7:$G$26,0)),""))</x:f>
      </x:c>
      <x:c r="I833" s="6" t="str">
        <x:f>IF(AND(NOT(COUNTA(A833:F833)=0),K833=""),ROUND(J833-D833,3),"")</x:f>
      </x:c>
      <x:c r="J833" s="6" t="str">
        <x:f>IF(AND(NOT(COUNTA(A833:F833)=0),K833=""),ROUND(F833+L833,3),"")</x:f>
      </x:c>
      <x:c r="K833" s="5" t="str">
        <x:f>IF(COUNTA(A833:F833)=0,"",IF(A833="","Missing equipment ID",IF(COUNTIFS($N$8:$N$2007,"="&amp;N833)&gt;1,"Duplicate equipment ID",IF(B833="","Missing type",IF(COUNTIFS('Rules'!$G$7:$G$26,"="&amp;(SUBSTITUTE(SUBSTITUTE(SUBSTITUTE(SUBSTITUTE("type:"&amp;B833,"%","%25"),"~","%7E"),"*","%2A"),"?","%3F")))=0,"Unknown type",IF(COUNTIFS('Rules'!$G$7:$G$26,"="&amp;(SUBSTITUTE(SUBSTITUTE(SUBSTITUTE(SUBSTITUTE("type:"&amp;B833,"%","%25"),"~","%7E"),"*","%2A"),"?","%3F")))&gt;1,"Duplicate type",IF(INDEX('Rules'!$F$7:$F$26,MATCH(SUBSTITUTE(SUBSTITUTE(SUBSTITUTE(SUBSTITUTE("type:"&amp;B833,"%","%25"),"~","%7E"),"*","%2A"),"?","%3F"),'Rules'!$G$7:$G$26,0))&lt;&gt;"",INDEX('Rules'!$F$7:$F$26,MATCH(SUBSTITUTE(SUBSTITUTE(SUBSTITUTE(SUBSTITUTE("type:"&amp;B833,"%","%25"),"~","%7E"),"*","%2A"),"?","%3F"),'Rules'!$G$7:$G$26,0)),IF(AND(C833&lt;&gt;"",C833&lt;&gt;INDEX('Rules'!$B$7:$B$26,MATCH(SUBSTITUTE(SUBSTITUTE(SUBSTITUTE(SUBSTITUTE("type:"&amp;B833,"%","%25"),"~","%7E"),"*","%2A"),"?","%3F"),'Rules'!$G$7:$G$26,0))),"Unit mismatch",IF(IF(NOT(ISNUMBER(D833)),TRUE,OR(D833&lt;0,D833&gt;999999999,ROUND(D833,3)&lt;&gt;D833)),"Invalid current reading",IF(AND(E833&lt;&gt;"",IF(NOT(ISNUMBER(E833)),TRUE,OR(E833&lt;0,E833&gt;999999999,ROUND(E833,3)&lt;&gt;E833))),"Invalid previous reading",IF(IF(NOT(ISNUMBER(F833)),TRUE,OR(F833&lt;0,F833&gt;999999999,ROUND(F833,3)&lt;&gt;F833)),"Invalid last service",IF(AND(E833&lt;&gt;"",D833&lt;E833),"Decreased reading",IF(F833&gt;D833,"Last service above current","")))))))))))))</x:f>
      </x:c>
      <x:c r="L833" s="6" t="str">
        <x:f>IF(AND(NOT(COUNTA(A833:F833)=0),K833=""),INDEX('Rules'!$C$7:$C$26,MATCH(SUBSTITUTE(SUBSTITUTE(SUBSTITUTE(SUBSTITUTE("type:"&amp;B833,"%","%25"),"~","%7E"),"*","%2A"),"?","%3F"),'Rules'!$G$7:$G$26,0)),"")</x:f>
      </x:c>
      <x:c r="M833" s="6" t="str">
        <x:f>IF(AND(NOT(COUNTA(A833:F833)=0),K833=""),INDEX('Rules'!$D$7:$D$26,MATCH(SUBSTITUTE(SUBSTITUTE(SUBSTITUTE(SUBSTITUTE("type:"&amp;B833,"%","%25"),"~","%7E"),"*","%2A"),"?","%3F"),'Rules'!$G$7:$G$26,0)),"")</x:f>
      </x:c>
      <x:c r="N833" s="5" t="str">
        <x:f>IF(COUNTA(A833:F833)=0,"",SUBSTITUTE(SUBSTITUTE(SUBSTITUTE(SUBSTITUTE("id:"&amp;A833,"%","%25"),"~","%7E"),"*","%2A"),"?","%3F"))</x:f>
      </x:c>
    </x:row>
    <x:row r="834" ht="22" customHeight="1">
      <x:c r="A834" s="3"/>
      <x:c r="B834" s="3"/>
      <x:c r="C834" s="3"/>
      <x:c r="D834" s="4"/>
      <x:c r="E834" s="4"/>
      <x:c r="F834" s="4"/>
      <x:c r="G834" s="5" t="str">
        <x:f>IF(COUNTA(A834:F834)=0,"",IF(K834&lt;&gt;"","Review",IF(I834&lt;0,"Overdue",IF(I834=0,"Due now",IF(I834&lt;=M834,"Due soon","Not due")))))</x:f>
      </x:c>
      <x:c r="H834" s="5" t="str">
        <x:f>IF(OR(COUNTA(A834:F834)=0,COUNTIFS('Rules'!$G$7:$G$26,"="&amp;(SUBSTITUTE(SUBSTITUTE(SUBSTITUTE(SUBSTITUTE("type:"&amp;B834,"%","%25"),"~","%7E"),"*","%2A"),"?","%3F")))&lt;&gt;1),"",IF(OR(INDEX('Rules'!$B$7:$B$26,MATCH(SUBSTITUTE(SUBSTITUTE(SUBSTITUTE(SUBSTITUTE("type:"&amp;B834,"%","%25"),"~","%7E"),"*","%2A"),"?","%3F"),'Rules'!$G$7:$G$26,0))="hours",INDEX('Rules'!$B$7:$B$26,MATCH(SUBSTITUTE(SUBSTITUTE(SUBSTITUTE(SUBSTITUTE("type:"&amp;B834,"%","%25"),"~","%7E"),"*","%2A"),"?","%3F"),'Rules'!$G$7:$G$26,0))="km"),INDEX('Rules'!$B$7:$B$26,MATCH(SUBSTITUTE(SUBSTITUTE(SUBSTITUTE(SUBSTITUTE("type:"&amp;B834,"%","%25"),"~","%7E"),"*","%2A"),"?","%3F"),'Rules'!$G$7:$G$26,0)),""))</x:f>
      </x:c>
      <x:c r="I834" s="6" t="str">
        <x:f>IF(AND(NOT(COUNTA(A834:F834)=0),K834=""),ROUND(J834-D834,3),"")</x:f>
      </x:c>
      <x:c r="J834" s="6" t="str">
        <x:f>IF(AND(NOT(COUNTA(A834:F834)=0),K834=""),ROUND(F834+L834,3),"")</x:f>
      </x:c>
      <x:c r="K834" s="5" t="str">
        <x:f>IF(COUNTA(A834:F834)=0,"",IF(A834="","Missing equipment ID",IF(COUNTIFS($N$8:$N$2007,"="&amp;N834)&gt;1,"Duplicate equipment ID",IF(B834="","Missing type",IF(COUNTIFS('Rules'!$G$7:$G$26,"="&amp;(SUBSTITUTE(SUBSTITUTE(SUBSTITUTE(SUBSTITUTE("type:"&amp;B834,"%","%25"),"~","%7E"),"*","%2A"),"?","%3F")))=0,"Unknown type",IF(COUNTIFS('Rules'!$G$7:$G$26,"="&amp;(SUBSTITUTE(SUBSTITUTE(SUBSTITUTE(SUBSTITUTE("type:"&amp;B834,"%","%25"),"~","%7E"),"*","%2A"),"?","%3F")))&gt;1,"Duplicate type",IF(INDEX('Rules'!$F$7:$F$26,MATCH(SUBSTITUTE(SUBSTITUTE(SUBSTITUTE(SUBSTITUTE("type:"&amp;B834,"%","%25"),"~","%7E"),"*","%2A"),"?","%3F"),'Rules'!$G$7:$G$26,0))&lt;&gt;"",INDEX('Rules'!$F$7:$F$26,MATCH(SUBSTITUTE(SUBSTITUTE(SUBSTITUTE(SUBSTITUTE("type:"&amp;B834,"%","%25"),"~","%7E"),"*","%2A"),"?","%3F"),'Rules'!$G$7:$G$26,0)),IF(AND(C834&lt;&gt;"",C834&lt;&gt;INDEX('Rules'!$B$7:$B$26,MATCH(SUBSTITUTE(SUBSTITUTE(SUBSTITUTE(SUBSTITUTE("type:"&amp;B834,"%","%25"),"~","%7E"),"*","%2A"),"?","%3F"),'Rules'!$G$7:$G$26,0))),"Unit mismatch",IF(IF(NOT(ISNUMBER(D834)),TRUE,OR(D834&lt;0,D834&gt;999999999,ROUND(D834,3)&lt;&gt;D834)),"Invalid current reading",IF(AND(E834&lt;&gt;"",IF(NOT(ISNUMBER(E834)),TRUE,OR(E834&lt;0,E834&gt;999999999,ROUND(E834,3)&lt;&gt;E834))),"Invalid previous reading",IF(IF(NOT(ISNUMBER(F834)),TRUE,OR(F834&lt;0,F834&gt;999999999,ROUND(F834,3)&lt;&gt;F834)),"Invalid last service",IF(AND(E834&lt;&gt;"",D834&lt;E834),"Decreased reading",IF(F834&gt;D834,"Last service above current","")))))))))))))</x:f>
      </x:c>
      <x:c r="L834" s="6" t="str">
        <x:f>IF(AND(NOT(COUNTA(A834:F834)=0),K834=""),INDEX('Rules'!$C$7:$C$26,MATCH(SUBSTITUTE(SUBSTITUTE(SUBSTITUTE(SUBSTITUTE("type:"&amp;B834,"%","%25"),"~","%7E"),"*","%2A"),"?","%3F"),'Rules'!$G$7:$G$26,0)),"")</x:f>
      </x:c>
      <x:c r="M834" s="6" t="str">
        <x:f>IF(AND(NOT(COUNTA(A834:F834)=0),K834=""),INDEX('Rules'!$D$7:$D$26,MATCH(SUBSTITUTE(SUBSTITUTE(SUBSTITUTE(SUBSTITUTE("type:"&amp;B834,"%","%25"),"~","%7E"),"*","%2A"),"?","%3F"),'Rules'!$G$7:$G$26,0)),"")</x:f>
      </x:c>
      <x:c r="N834" s="5" t="str">
        <x:f>IF(COUNTA(A834:F834)=0,"",SUBSTITUTE(SUBSTITUTE(SUBSTITUTE(SUBSTITUTE("id:"&amp;A834,"%","%25"),"~","%7E"),"*","%2A"),"?","%3F"))</x:f>
      </x:c>
    </x:row>
    <x:row r="835" ht="22" customHeight="1">
      <x:c r="A835" s="3"/>
      <x:c r="B835" s="3"/>
      <x:c r="C835" s="3"/>
      <x:c r="D835" s="4"/>
      <x:c r="E835" s="4"/>
      <x:c r="F835" s="4"/>
      <x:c r="G835" s="5" t="str">
        <x:f>IF(COUNTA(A835:F835)=0,"",IF(K835&lt;&gt;"","Review",IF(I835&lt;0,"Overdue",IF(I835=0,"Due now",IF(I835&lt;=M835,"Due soon","Not due")))))</x:f>
      </x:c>
      <x:c r="H835" s="5" t="str">
        <x:f>IF(OR(COUNTA(A835:F835)=0,COUNTIFS('Rules'!$G$7:$G$26,"="&amp;(SUBSTITUTE(SUBSTITUTE(SUBSTITUTE(SUBSTITUTE("type:"&amp;B835,"%","%25"),"~","%7E"),"*","%2A"),"?","%3F")))&lt;&gt;1),"",IF(OR(INDEX('Rules'!$B$7:$B$26,MATCH(SUBSTITUTE(SUBSTITUTE(SUBSTITUTE(SUBSTITUTE("type:"&amp;B835,"%","%25"),"~","%7E"),"*","%2A"),"?","%3F"),'Rules'!$G$7:$G$26,0))="hours",INDEX('Rules'!$B$7:$B$26,MATCH(SUBSTITUTE(SUBSTITUTE(SUBSTITUTE(SUBSTITUTE("type:"&amp;B835,"%","%25"),"~","%7E"),"*","%2A"),"?","%3F"),'Rules'!$G$7:$G$26,0))="km"),INDEX('Rules'!$B$7:$B$26,MATCH(SUBSTITUTE(SUBSTITUTE(SUBSTITUTE(SUBSTITUTE("type:"&amp;B835,"%","%25"),"~","%7E"),"*","%2A"),"?","%3F"),'Rules'!$G$7:$G$26,0)),""))</x:f>
      </x:c>
      <x:c r="I835" s="6" t="str">
        <x:f>IF(AND(NOT(COUNTA(A835:F835)=0),K835=""),ROUND(J835-D835,3),"")</x:f>
      </x:c>
      <x:c r="J835" s="6" t="str">
        <x:f>IF(AND(NOT(COUNTA(A835:F835)=0),K835=""),ROUND(F835+L835,3),"")</x:f>
      </x:c>
      <x:c r="K835" s="5" t="str">
        <x:f>IF(COUNTA(A835:F835)=0,"",IF(A835="","Missing equipment ID",IF(COUNTIFS($N$8:$N$2007,"="&amp;N835)&gt;1,"Duplicate equipment ID",IF(B835="","Missing type",IF(COUNTIFS('Rules'!$G$7:$G$26,"="&amp;(SUBSTITUTE(SUBSTITUTE(SUBSTITUTE(SUBSTITUTE("type:"&amp;B835,"%","%25"),"~","%7E"),"*","%2A"),"?","%3F")))=0,"Unknown type",IF(COUNTIFS('Rules'!$G$7:$G$26,"="&amp;(SUBSTITUTE(SUBSTITUTE(SUBSTITUTE(SUBSTITUTE("type:"&amp;B835,"%","%25"),"~","%7E"),"*","%2A"),"?","%3F")))&gt;1,"Duplicate type",IF(INDEX('Rules'!$F$7:$F$26,MATCH(SUBSTITUTE(SUBSTITUTE(SUBSTITUTE(SUBSTITUTE("type:"&amp;B835,"%","%25"),"~","%7E"),"*","%2A"),"?","%3F"),'Rules'!$G$7:$G$26,0))&lt;&gt;"",INDEX('Rules'!$F$7:$F$26,MATCH(SUBSTITUTE(SUBSTITUTE(SUBSTITUTE(SUBSTITUTE("type:"&amp;B835,"%","%25"),"~","%7E"),"*","%2A"),"?","%3F"),'Rules'!$G$7:$G$26,0)),IF(AND(C835&lt;&gt;"",C835&lt;&gt;INDEX('Rules'!$B$7:$B$26,MATCH(SUBSTITUTE(SUBSTITUTE(SUBSTITUTE(SUBSTITUTE("type:"&amp;B835,"%","%25"),"~","%7E"),"*","%2A"),"?","%3F"),'Rules'!$G$7:$G$26,0))),"Unit mismatch",IF(IF(NOT(ISNUMBER(D835)),TRUE,OR(D835&lt;0,D835&gt;999999999,ROUND(D835,3)&lt;&gt;D835)),"Invalid current reading",IF(AND(E835&lt;&gt;"",IF(NOT(ISNUMBER(E835)),TRUE,OR(E835&lt;0,E835&gt;999999999,ROUND(E835,3)&lt;&gt;E835))),"Invalid previous reading",IF(IF(NOT(ISNUMBER(F835)),TRUE,OR(F835&lt;0,F835&gt;999999999,ROUND(F835,3)&lt;&gt;F835)),"Invalid last service",IF(AND(E835&lt;&gt;"",D835&lt;E835),"Decreased reading",IF(F835&gt;D835,"Last service above current","")))))))))))))</x:f>
      </x:c>
      <x:c r="L835" s="6" t="str">
        <x:f>IF(AND(NOT(COUNTA(A835:F835)=0),K835=""),INDEX('Rules'!$C$7:$C$26,MATCH(SUBSTITUTE(SUBSTITUTE(SUBSTITUTE(SUBSTITUTE("type:"&amp;B835,"%","%25"),"~","%7E"),"*","%2A"),"?","%3F"),'Rules'!$G$7:$G$26,0)),"")</x:f>
      </x:c>
      <x:c r="M835" s="6" t="str">
        <x:f>IF(AND(NOT(COUNTA(A835:F835)=0),K835=""),INDEX('Rules'!$D$7:$D$26,MATCH(SUBSTITUTE(SUBSTITUTE(SUBSTITUTE(SUBSTITUTE("type:"&amp;B835,"%","%25"),"~","%7E"),"*","%2A"),"?","%3F"),'Rules'!$G$7:$G$26,0)),"")</x:f>
      </x:c>
      <x:c r="N835" s="5" t="str">
        <x:f>IF(COUNTA(A835:F835)=0,"",SUBSTITUTE(SUBSTITUTE(SUBSTITUTE(SUBSTITUTE("id:"&amp;A835,"%","%25"),"~","%7E"),"*","%2A"),"?","%3F"))</x:f>
      </x:c>
    </x:row>
    <x:row r="836" ht="22" customHeight="1">
      <x:c r="A836" s="3"/>
      <x:c r="B836" s="3"/>
      <x:c r="C836" s="3"/>
      <x:c r="D836" s="4"/>
      <x:c r="E836" s="4"/>
      <x:c r="F836" s="4"/>
      <x:c r="G836" s="5" t="str">
        <x:f>IF(COUNTA(A836:F836)=0,"",IF(K836&lt;&gt;"","Review",IF(I836&lt;0,"Overdue",IF(I836=0,"Due now",IF(I836&lt;=M836,"Due soon","Not due")))))</x:f>
      </x:c>
      <x:c r="H836" s="5" t="str">
        <x:f>IF(OR(COUNTA(A836:F836)=0,COUNTIFS('Rules'!$G$7:$G$26,"="&amp;(SUBSTITUTE(SUBSTITUTE(SUBSTITUTE(SUBSTITUTE("type:"&amp;B836,"%","%25"),"~","%7E"),"*","%2A"),"?","%3F")))&lt;&gt;1),"",IF(OR(INDEX('Rules'!$B$7:$B$26,MATCH(SUBSTITUTE(SUBSTITUTE(SUBSTITUTE(SUBSTITUTE("type:"&amp;B836,"%","%25"),"~","%7E"),"*","%2A"),"?","%3F"),'Rules'!$G$7:$G$26,0))="hours",INDEX('Rules'!$B$7:$B$26,MATCH(SUBSTITUTE(SUBSTITUTE(SUBSTITUTE(SUBSTITUTE("type:"&amp;B836,"%","%25"),"~","%7E"),"*","%2A"),"?","%3F"),'Rules'!$G$7:$G$26,0))="km"),INDEX('Rules'!$B$7:$B$26,MATCH(SUBSTITUTE(SUBSTITUTE(SUBSTITUTE(SUBSTITUTE("type:"&amp;B836,"%","%25"),"~","%7E"),"*","%2A"),"?","%3F"),'Rules'!$G$7:$G$26,0)),""))</x:f>
      </x:c>
      <x:c r="I836" s="6" t="str">
        <x:f>IF(AND(NOT(COUNTA(A836:F836)=0),K836=""),ROUND(J836-D836,3),"")</x:f>
      </x:c>
      <x:c r="J836" s="6" t="str">
        <x:f>IF(AND(NOT(COUNTA(A836:F836)=0),K836=""),ROUND(F836+L836,3),"")</x:f>
      </x:c>
      <x:c r="K836" s="5" t="str">
        <x:f>IF(COUNTA(A836:F836)=0,"",IF(A836="","Missing equipment ID",IF(COUNTIFS($N$8:$N$2007,"="&amp;N836)&gt;1,"Duplicate equipment ID",IF(B836="","Missing type",IF(COUNTIFS('Rules'!$G$7:$G$26,"="&amp;(SUBSTITUTE(SUBSTITUTE(SUBSTITUTE(SUBSTITUTE("type:"&amp;B836,"%","%25"),"~","%7E"),"*","%2A"),"?","%3F")))=0,"Unknown type",IF(COUNTIFS('Rules'!$G$7:$G$26,"="&amp;(SUBSTITUTE(SUBSTITUTE(SUBSTITUTE(SUBSTITUTE("type:"&amp;B836,"%","%25"),"~","%7E"),"*","%2A"),"?","%3F")))&gt;1,"Duplicate type",IF(INDEX('Rules'!$F$7:$F$26,MATCH(SUBSTITUTE(SUBSTITUTE(SUBSTITUTE(SUBSTITUTE("type:"&amp;B836,"%","%25"),"~","%7E"),"*","%2A"),"?","%3F"),'Rules'!$G$7:$G$26,0))&lt;&gt;"",INDEX('Rules'!$F$7:$F$26,MATCH(SUBSTITUTE(SUBSTITUTE(SUBSTITUTE(SUBSTITUTE("type:"&amp;B836,"%","%25"),"~","%7E"),"*","%2A"),"?","%3F"),'Rules'!$G$7:$G$26,0)),IF(AND(C836&lt;&gt;"",C836&lt;&gt;INDEX('Rules'!$B$7:$B$26,MATCH(SUBSTITUTE(SUBSTITUTE(SUBSTITUTE(SUBSTITUTE("type:"&amp;B836,"%","%25"),"~","%7E"),"*","%2A"),"?","%3F"),'Rules'!$G$7:$G$26,0))),"Unit mismatch",IF(IF(NOT(ISNUMBER(D836)),TRUE,OR(D836&lt;0,D836&gt;999999999,ROUND(D836,3)&lt;&gt;D836)),"Invalid current reading",IF(AND(E836&lt;&gt;"",IF(NOT(ISNUMBER(E836)),TRUE,OR(E836&lt;0,E836&gt;999999999,ROUND(E836,3)&lt;&gt;E836))),"Invalid previous reading",IF(IF(NOT(ISNUMBER(F836)),TRUE,OR(F836&lt;0,F836&gt;999999999,ROUND(F836,3)&lt;&gt;F836)),"Invalid last service",IF(AND(E836&lt;&gt;"",D836&lt;E836),"Decreased reading",IF(F836&gt;D836,"Last service above current","")))))))))))))</x:f>
      </x:c>
      <x:c r="L836" s="6" t="str">
        <x:f>IF(AND(NOT(COUNTA(A836:F836)=0),K836=""),INDEX('Rules'!$C$7:$C$26,MATCH(SUBSTITUTE(SUBSTITUTE(SUBSTITUTE(SUBSTITUTE("type:"&amp;B836,"%","%25"),"~","%7E"),"*","%2A"),"?","%3F"),'Rules'!$G$7:$G$26,0)),"")</x:f>
      </x:c>
      <x:c r="M836" s="6" t="str">
        <x:f>IF(AND(NOT(COUNTA(A836:F836)=0),K836=""),INDEX('Rules'!$D$7:$D$26,MATCH(SUBSTITUTE(SUBSTITUTE(SUBSTITUTE(SUBSTITUTE("type:"&amp;B836,"%","%25"),"~","%7E"),"*","%2A"),"?","%3F"),'Rules'!$G$7:$G$26,0)),"")</x:f>
      </x:c>
      <x:c r="N836" s="5" t="str">
        <x:f>IF(COUNTA(A836:F836)=0,"",SUBSTITUTE(SUBSTITUTE(SUBSTITUTE(SUBSTITUTE("id:"&amp;A836,"%","%25"),"~","%7E"),"*","%2A"),"?","%3F"))</x:f>
      </x:c>
    </x:row>
    <x:row r="837" ht="22" customHeight="1">
      <x:c r="A837" s="3"/>
      <x:c r="B837" s="3"/>
      <x:c r="C837" s="3"/>
      <x:c r="D837" s="4"/>
      <x:c r="E837" s="4"/>
      <x:c r="F837" s="4"/>
      <x:c r="G837" s="5" t="str">
        <x:f>IF(COUNTA(A837:F837)=0,"",IF(K837&lt;&gt;"","Review",IF(I837&lt;0,"Overdue",IF(I837=0,"Due now",IF(I837&lt;=M837,"Due soon","Not due")))))</x:f>
      </x:c>
      <x:c r="H837" s="5" t="str">
        <x:f>IF(OR(COUNTA(A837:F837)=0,COUNTIFS('Rules'!$G$7:$G$26,"="&amp;(SUBSTITUTE(SUBSTITUTE(SUBSTITUTE(SUBSTITUTE("type:"&amp;B837,"%","%25"),"~","%7E"),"*","%2A"),"?","%3F")))&lt;&gt;1),"",IF(OR(INDEX('Rules'!$B$7:$B$26,MATCH(SUBSTITUTE(SUBSTITUTE(SUBSTITUTE(SUBSTITUTE("type:"&amp;B837,"%","%25"),"~","%7E"),"*","%2A"),"?","%3F"),'Rules'!$G$7:$G$26,0))="hours",INDEX('Rules'!$B$7:$B$26,MATCH(SUBSTITUTE(SUBSTITUTE(SUBSTITUTE(SUBSTITUTE("type:"&amp;B837,"%","%25"),"~","%7E"),"*","%2A"),"?","%3F"),'Rules'!$G$7:$G$26,0))="km"),INDEX('Rules'!$B$7:$B$26,MATCH(SUBSTITUTE(SUBSTITUTE(SUBSTITUTE(SUBSTITUTE("type:"&amp;B837,"%","%25"),"~","%7E"),"*","%2A"),"?","%3F"),'Rules'!$G$7:$G$26,0)),""))</x:f>
      </x:c>
      <x:c r="I837" s="6" t="str">
        <x:f>IF(AND(NOT(COUNTA(A837:F837)=0),K837=""),ROUND(J837-D837,3),"")</x:f>
      </x:c>
      <x:c r="J837" s="6" t="str">
        <x:f>IF(AND(NOT(COUNTA(A837:F837)=0),K837=""),ROUND(F837+L837,3),"")</x:f>
      </x:c>
      <x:c r="K837" s="5" t="str">
        <x:f>IF(COUNTA(A837:F837)=0,"",IF(A837="","Missing equipment ID",IF(COUNTIFS($N$8:$N$2007,"="&amp;N837)&gt;1,"Duplicate equipment ID",IF(B837="","Missing type",IF(COUNTIFS('Rules'!$G$7:$G$26,"="&amp;(SUBSTITUTE(SUBSTITUTE(SUBSTITUTE(SUBSTITUTE("type:"&amp;B837,"%","%25"),"~","%7E"),"*","%2A"),"?","%3F")))=0,"Unknown type",IF(COUNTIFS('Rules'!$G$7:$G$26,"="&amp;(SUBSTITUTE(SUBSTITUTE(SUBSTITUTE(SUBSTITUTE("type:"&amp;B837,"%","%25"),"~","%7E"),"*","%2A"),"?","%3F")))&gt;1,"Duplicate type",IF(INDEX('Rules'!$F$7:$F$26,MATCH(SUBSTITUTE(SUBSTITUTE(SUBSTITUTE(SUBSTITUTE("type:"&amp;B837,"%","%25"),"~","%7E"),"*","%2A"),"?","%3F"),'Rules'!$G$7:$G$26,0))&lt;&gt;"",INDEX('Rules'!$F$7:$F$26,MATCH(SUBSTITUTE(SUBSTITUTE(SUBSTITUTE(SUBSTITUTE("type:"&amp;B837,"%","%25"),"~","%7E"),"*","%2A"),"?","%3F"),'Rules'!$G$7:$G$26,0)),IF(AND(C837&lt;&gt;"",C837&lt;&gt;INDEX('Rules'!$B$7:$B$26,MATCH(SUBSTITUTE(SUBSTITUTE(SUBSTITUTE(SUBSTITUTE("type:"&amp;B837,"%","%25"),"~","%7E"),"*","%2A"),"?","%3F"),'Rules'!$G$7:$G$26,0))),"Unit mismatch",IF(IF(NOT(ISNUMBER(D837)),TRUE,OR(D837&lt;0,D837&gt;999999999,ROUND(D837,3)&lt;&gt;D837)),"Invalid current reading",IF(AND(E837&lt;&gt;"",IF(NOT(ISNUMBER(E837)),TRUE,OR(E837&lt;0,E837&gt;999999999,ROUND(E837,3)&lt;&gt;E837))),"Invalid previous reading",IF(IF(NOT(ISNUMBER(F837)),TRUE,OR(F837&lt;0,F837&gt;999999999,ROUND(F837,3)&lt;&gt;F837)),"Invalid last service",IF(AND(E837&lt;&gt;"",D837&lt;E837),"Decreased reading",IF(F837&gt;D837,"Last service above current","")))))))))))))</x:f>
      </x:c>
      <x:c r="L837" s="6" t="str">
        <x:f>IF(AND(NOT(COUNTA(A837:F837)=0),K837=""),INDEX('Rules'!$C$7:$C$26,MATCH(SUBSTITUTE(SUBSTITUTE(SUBSTITUTE(SUBSTITUTE("type:"&amp;B837,"%","%25"),"~","%7E"),"*","%2A"),"?","%3F"),'Rules'!$G$7:$G$26,0)),"")</x:f>
      </x:c>
      <x:c r="M837" s="6" t="str">
        <x:f>IF(AND(NOT(COUNTA(A837:F837)=0),K837=""),INDEX('Rules'!$D$7:$D$26,MATCH(SUBSTITUTE(SUBSTITUTE(SUBSTITUTE(SUBSTITUTE("type:"&amp;B837,"%","%25"),"~","%7E"),"*","%2A"),"?","%3F"),'Rules'!$G$7:$G$26,0)),"")</x:f>
      </x:c>
      <x:c r="N837" s="5" t="str">
        <x:f>IF(COUNTA(A837:F837)=0,"",SUBSTITUTE(SUBSTITUTE(SUBSTITUTE(SUBSTITUTE("id:"&amp;A837,"%","%25"),"~","%7E"),"*","%2A"),"?","%3F"))</x:f>
      </x:c>
    </x:row>
    <x:row r="838" ht="22" customHeight="1">
      <x:c r="A838" s="3"/>
      <x:c r="B838" s="3"/>
      <x:c r="C838" s="3"/>
      <x:c r="D838" s="4"/>
      <x:c r="E838" s="4"/>
      <x:c r="F838" s="4"/>
      <x:c r="G838" s="5" t="str">
        <x:f>IF(COUNTA(A838:F838)=0,"",IF(K838&lt;&gt;"","Review",IF(I838&lt;0,"Overdue",IF(I838=0,"Due now",IF(I838&lt;=M838,"Due soon","Not due")))))</x:f>
      </x:c>
      <x:c r="H838" s="5" t="str">
        <x:f>IF(OR(COUNTA(A838:F838)=0,COUNTIFS('Rules'!$G$7:$G$26,"="&amp;(SUBSTITUTE(SUBSTITUTE(SUBSTITUTE(SUBSTITUTE("type:"&amp;B838,"%","%25"),"~","%7E"),"*","%2A"),"?","%3F")))&lt;&gt;1),"",IF(OR(INDEX('Rules'!$B$7:$B$26,MATCH(SUBSTITUTE(SUBSTITUTE(SUBSTITUTE(SUBSTITUTE("type:"&amp;B838,"%","%25"),"~","%7E"),"*","%2A"),"?","%3F"),'Rules'!$G$7:$G$26,0))="hours",INDEX('Rules'!$B$7:$B$26,MATCH(SUBSTITUTE(SUBSTITUTE(SUBSTITUTE(SUBSTITUTE("type:"&amp;B838,"%","%25"),"~","%7E"),"*","%2A"),"?","%3F"),'Rules'!$G$7:$G$26,0))="km"),INDEX('Rules'!$B$7:$B$26,MATCH(SUBSTITUTE(SUBSTITUTE(SUBSTITUTE(SUBSTITUTE("type:"&amp;B838,"%","%25"),"~","%7E"),"*","%2A"),"?","%3F"),'Rules'!$G$7:$G$26,0)),""))</x:f>
      </x:c>
      <x:c r="I838" s="6" t="str">
        <x:f>IF(AND(NOT(COUNTA(A838:F838)=0),K838=""),ROUND(J838-D838,3),"")</x:f>
      </x:c>
      <x:c r="J838" s="6" t="str">
        <x:f>IF(AND(NOT(COUNTA(A838:F838)=0),K838=""),ROUND(F838+L838,3),"")</x:f>
      </x:c>
      <x:c r="K838" s="5" t="str">
        <x:f>IF(COUNTA(A838:F838)=0,"",IF(A838="","Missing equipment ID",IF(COUNTIFS($N$8:$N$2007,"="&amp;N838)&gt;1,"Duplicate equipment ID",IF(B838="","Missing type",IF(COUNTIFS('Rules'!$G$7:$G$26,"="&amp;(SUBSTITUTE(SUBSTITUTE(SUBSTITUTE(SUBSTITUTE("type:"&amp;B838,"%","%25"),"~","%7E"),"*","%2A"),"?","%3F")))=0,"Unknown type",IF(COUNTIFS('Rules'!$G$7:$G$26,"="&amp;(SUBSTITUTE(SUBSTITUTE(SUBSTITUTE(SUBSTITUTE("type:"&amp;B838,"%","%25"),"~","%7E"),"*","%2A"),"?","%3F")))&gt;1,"Duplicate type",IF(INDEX('Rules'!$F$7:$F$26,MATCH(SUBSTITUTE(SUBSTITUTE(SUBSTITUTE(SUBSTITUTE("type:"&amp;B838,"%","%25"),"~","%7E"),"*","%2A"),"?","%3F"),'Rules'!$G$7:$G$26,0))&lt;&gt;"",INDEX('Rules'!$F$7:$F$26,MATCH(SUBSTITUTE(SUBSTITUTE(SUBSTITUTE(SUBSTITUTE("type:"&amp;B838,"%","%25"),"~","%7E"),"*","%2A"),"?","%3F"),'Rules'!$G$7:$G$26,0)),IF(AND(C838&lt;&gt;"",C838&lt;&gt;INDEX('Rules'!$B$7:$B$26,MATCH(SUBSTITUTE(SUBSTITUTE(SUBSTITUTE(SUBSTITUTE("type:"&amp;B838,"%","%25"),"~","%7E"),"*","%2A"),"?","%3F"),'Rules'!$G$7:$G$26,0))),"Unit mismatch",IF(IF(NOT(ISNUMBER(D838)),TRUE,OR(D838&lt;0,D838&gt;999999999,ROUND(D838,3)&lt;&gt;D838)),"Invalid current reading",IF(AND(E838&lt;&gt;"",IF(NOT(ISNUMBER(E838)),TRUE,OR(E838&lt;0,E838&gt;999999999,ROUND(E838,3)&lt;&gt;E838))),"Invalid previous reading",IF(IF(NOT(ISNUMBER(F838)),TRUE,OR(F838&lt;0,F838&gt;999999999,ROUND(F838,3)&lt;&gt;F838)),"Invalid last service",IF(AND(E838&lt;&gt;"",D838&lt;E838),"Decreased reading",IF(F838&gt;D838,"Last service above current","")))))))))))))</x:f>
      </x:c>
      <x:c r="L838" s="6" t="str">
        <x:f>IF(AND(NOT(COUNTA(A838:F838)=0),K838=""),INDEX('Rules'!$C$7:$C$26,MATCH(SUBSTITUTE(SUBSTITUTE(SUBSTITUTE(SUBSTITUTE("type:"&amp;B838,"%","%25"),"~","%7E"),"*","%2A"),"?","%3F"),'Rules'!$G$7:$G$26,0)),"")</x:f>
      </x:c>
      <x:c r="M838" s="6" t="str">
        <x:f>IF(AND(NOT(COUNTA(A838:F838)=0),K838=""),INDEX('Rules'!$D$7:$D$26,MATCH(SUBSTITUTE(SUBSTITUTE(SUBSTITUTE(SUBSTITUTE("type:"&amp;B838,"%","%25"),"~","%7E"),"*","%2A"),"?","%3F"),'Rules'!$G$7:$G$26,0)),"")</x:f>
      </x:c>
      <x:c r="N838" s="5" t="str">
        <x:f>IF(COUNTA(A838:F838)=0,"",SUBSTITUTE(SUBSTITUTE(SUBSTITUTE(SUBSTITUTE("id:"&amp;A838,"%","%25"),"~","%7E"),"*","%2A"),"?","%3F"))</x:f>
      </x:c>
    </x:row>
    <x:row r="839" ht="22" customHeight="1">
      <x:c r="A839" s="3"/>
      <x:c r="B839" s="3"/>
      <x:c r="C839" s="3"/>
      <x:c r="D839" s="4"/>
      <x:c r="E839" s="4"/>
      <x:c r="F839" s="4"/>
      <x:c r="G839" s="5" t="str">
        <x:f>IF(COUNTA(A839:F839)=0,"",IF(K839&lt;&gt;"","Review",IF(I839&lt;0,"Overdue",IF(I839=0,"Due now",IF(I839&lt;=M839,"Due soon","Not due")))))</x:f>
      </x:c>
      <x:c r="H839" s="5" t="str">
        <x:f>IF(OR(COUNTA(A839:F839)=0,COUNTIFS('Rules'!$G$7:$G$26,"="&amp;(SUBSTITUTE(SUBSTITUTE(SUBSTITUTE(SUBSTITUTE("type:"&amp;B839,"%","%25"),"~","%7E"),"*","%2A"),"?","%3F")))&lt;&gt;1),"",IF(OR(INDEX('Rules'!$B$7:$B$26,MATCH(SUBSTITUTE(SUBSTITUTE(SUBSTITUTE(SUBSTITUTE("type:"&amp;B839,"%","%25"),"~","%7E"),"*","%2A"),"?","%3F"),'Rules'!$G$7:$G$26,0))="hours",INDEX('Rules'!$B$7:$B$26,MATCH(SUBSTITUTE(SUBSTITUTE(SUBSTITUTE(SUBSTITUTE("type:"&amp;B839,"%","%25"),"~","%7E"),"*","%2A"),"?","%3F"),'Rules'!$G$7:$G$26,0))="km"),INDEX('Rules'!$B$7:$B$26,MATCH(SUBSTITUTE(SUBSTITUTE(SUBSTITUTE(SUBSTITUTE("type:"&amp;B839,"%","%25"),"~","%7E"),"*","%2A"),"?","%3F"),'Rules'!$G$7:$G$26,0)),""))</x:f>
      </x:c>
      <x:c r="I839" s="6" t="str">
        <x:f>IF(AND(NOT(COUNTA(A839:F839)=0),K839=""),ROUND(J839-D839,3),"")</x:f>
      </x:c>
      <x:c r="J839" s="6" t="str">
        <x:f>IF(AND(NOT(COUNTA(A839:F839)=0),K839=""),ROUND(F839+L839,3),"")</x:f>
      </x:c>
      <x:c r="K839" s="5" t="str">
        <x:f>IF(COUNTA(A839:F839)=0,"",IF(A839="","Missing equipment ID",IF(COUNTIFS($N$8:$N$2007,"="&amp;N839)&gt;1,"Duplicate equipment ID",IF(B839="","Missing type",IF(COUNTIFS('Rules'!$G$7:$G$26,"="&amp;(SUBSTITUTE(SUBSTITUTE(SUBSTITUTE(SUBSTITUTE("type:"&amp;B839,"%","%25"),"~","%7E"),"*","%2A"),"?","%3F")))=0,"Unknown type",IF(COUNTIFS('Rules'!$G$7:$G$26,"="&amp;(SUBSTITUTE(SUBSTITUTE(SUBSTITUTE(SUBSTITUTE("type:"&amp;B839,"%","%25"),"~","%7E"),"*","%2A"),"?","%3F")))&gt;1,"Duplicate type",IF(INDEX('Rules'!$F$7:$F$26,MATCH(SUBSTITUTE(SUBSTITUTE(SUBSTITUTE(SUBSTITUTE("type:"&amp;B839,"%","%25"),"~","%7E"),"*","%2A"),"?","%3F"),'Rules'!$G$7:$G$26,0))&lt;&gt;"",INDEX('Rules'!$F$7:$F$26,MATCH(SUBSTITUTE(SUBSTITUTE(SUBSTITUTE(SUBSTITUTE("type:"&amp;B839,"%","%25"),"~","%7E"),"*","%2A"),"?","%3F"),'Rules'!$G$7:$G$26,0)),IF(AND(C839&lt;&gt;"",C839&lt;&gt;INDEX('Rules'!$B$7:$B$26,MATCH(SUBSTITUTE(SUBSTITUTE(SUBSTITUTE(SUBSTITUTE("type:"&amp;B839,"%","%25"),"~","%7E"),"*","%2A"),"?","%3F"),'Rules'!$G$7:$G$26,0))),"Unit mismatch",IF(IF(NOT(ISNUMBER(D839)),TRUE,OR(D839&lt;0,D839&gt;999999999,ROUND(D839,3)&lt;&gt;D839)),"Invalid current reading",IF(AND(E839&lt;&gt;"",IF(NOT(ISNUMBER(E839)),TRUE,OR(E839&lt;0,E839&gt;999999999,ROUND(E839,3)&lt;&gt;E839))),"Invalid previous reading",IF(IF(NOT(ISNUMBER(F839)),TRUE,OR(F839&lt;0,F839&gt;999999999,ROUND(F839,3)&lt;&gt;F839)),"Invalid last service",IF(AND(E839&lt;&gt;"",D839&lt;E839),"Decreased reading",IF(F839&gt;D839,"Last service above current","")))))))))))))</x:f>
      </x:c>
      <x:c r="L839" s="6" t="str">
        <x:f>IF(AND(NOT(COUNTA(A839:F839)=0),K839=""),INDEX('Rules'!$C$7:$C$26,MATCH(SUBSTITUTE(SUBSTITUTE(SUBSTITUTE(SUBSTITUTE("type:"&amp;B839,"%","%25"),"~","%7E"),"*","%2A"),"?","%3F"),'Rules'!$G$7:$G$26,0)),"")</x:f>
      </x:c>
      <x:c r="M839" s="6" t="str">
        <x:f>IF(AND(NOT(COUNTA(A839:F839)=0),K839=""),INDEX('Rules'!$D$7:$D$26,MATCH(SUBSTITUTE(SUBSTITUTE(SUBSTITUTE(SUBSTITUTE("type:"&amp;B839,"%","%25"),"~","%7E"),"*","%2A"),"?","%3F"),'Rules'!$G$7:$G$26,0)),"")</x:f>
      </x:c>
      <x:c r="N839" s="5" t="str">
        <x:f>IF(COUNTA(A839:F839)=0,"",SUBSTITUTE(SUBSTITUTE(SUBSTITUTE(SUBSTITUTE("id:"&amp;A839,"%","%25"),"~","%7E"),"*","%2A"),"?","%3F"))</x:f>
      </x:c>
    </x:row>
    <x:row r="840" ht="22" customHeight="1">
      <x:c r="A840" s="3"/>
      <x:c r="B840" s="3"/>
      <x:c r="C840" s="3"/>
      <x:c r="D840" s="4"/>
      <x:c r="E840" s="4"/>
      <x:c r="F840" s="4"/>
      <x:c r="G840" s="5" t="str">
        <x:f>IF(COUNTA(A840:F840)=0,"",IF(K840&lt;&gt;"","Review",IF(I840&lt;0,"Overdue",IF(I840=0,"Due now",IF(I840&lt;=M840,"Due soon","Not due")))))</x:f>
      </x:c>
      <x:c r="H840" s="5" t="str">
        <x:f>IF(OR(COUNTA(A840:F840)=0,COUNTIFS('Rules'!$G$7:$G$26,"="&amp;(SUBSTITUTE(SUBSTITUTE(SUBSTITUTE(SUBSTITUTE("type:"&amp;B840,"%","%25"),"~","%7E"),"*","%2A"),"?","%3F")))&lt;&gt;1),"",IF(OR(INDEX('Rules'!$B$7:$B$26,MATCH(SUBSTITUTE(SUBSTITUTE(SUBSTITUTE(SUBSTITUTE("type:"&amp;B840,"%","%25"),"~","%7E"),"*","%2A"),"?","%3F"),'Rules'!$G$7:$G$26,0))="hours",INDEX('Rules'!$B$7:$B$26,MATCH(SUBSTITUTE(SUBSTITUTE(SUBSTITUTE(SUBSTITUTE("type:"&amp;B840,"%","%25"),"~","%7E"),"*","%2A"),"?","%3F"),'Rules'!$G$7:$G$26,0))="km"),INDEX('Rules'!$B$7:$B$26,MATCH(SUBSTITUTE(SUBSTITUTE(SUBSTITUTE(SUBSTITUTE("type:"&amp;B840,"%","%25"),"~","%7E"),"*","%2A"),"?","%3F"),'Rules'!$G$7:$G$26,0)),""))</x:f>
      </x:c>
      <x:c r="I840" s="6" t="str">
        <x:f>IF(AND(NOT(COUNTA(A840:F840)=0),K840=""),ROUND(J840-D840,3),"")</x:f>
      </x:c>
      <x:c r="J840" s="6" t="str">
        <x:f>IF(AND(NOT(COUNTA(A840:F840)=0),K840=""),ROUND(F840+L840,3),"")</x:f>
      </x:c>
      <x:c r="K840" s="5" t="str">
        <x:f>IF(COUNTA(A840:F840)=0,"",IF(A840="","Missing equipment ID",IF(COUNTIFS($N$8:$N$2007,"="&amp;N840)&gt;1,"Duplicate equipment ID",IF(B840="","Missing type",IF(COUNTIFS('Rules'!$G$7:$G$26,"="&amp;(SUBSTITUTE(SUBSTITUTE(SUBSTITUTE(SUBSTITUTE("type:"&amp;B840,"%","%25"),"~","%7E"),"*","%2A"),"?","%3F")))=0,"Unknown type",IF(COUNTIFS('Rules'!$G$7:$G$26,"="&amp;(SUBSTITUTE(SUBSTITUTE(SUBSTITUTE(SUBSTITUTE("type:"&amp;B840,"%","%25"),"~","%7E"),"*","%2A"),"?","%3F")))&gt;1,"Duplicate type",IF(INDEX('Rules'!$F$7:$F$26,MATCH(SUBSTITUTE(SUBSTITUTE(SUBSTITUTE(SUBSTITUTE("type:"&amp;B840,"%","%25"),"~","%7E"),"*","%2A"),"?","%3F"),'Rules'!$G$7:$G$26,0))&lt;&gt;"",INDEX('Rules'!$F$7:$F$26,MATCH(SUBSTITUTE(SUBSTITUTE(SUBSTITUTE(SUBSTITUTE("type:"&amp;B840,"%","%25"),"~","%7E"),"*","%2A"),"?","%3F"),'Rules'!$G$7:$G$26,0)),IF(AND(C840&lt;&gt;"",C840&lt;&gt;INDEX('Rules'!$B$7:$B$26,MATCH(SUBSTITUTE(SUBSTITUTE(SUBSTITUTE(SUBSTITUTE("type:"&amp;B840,"%","%25"),"~","%7E"),"*","%2A"),"?","%3F"),'Rules'!$G$7:$G$26,0))),"Unit mismatch",IF(IF(NOT(ISNUMBER(D840)),TRUE,OR(D840&lt;0,D840&gt;999999999,ROUND(D840,3)&lt;&gt;D840)),"Invalid current reading",IF(AND(E840&lt;&gt;"",IF(NOT(ISNUMBER(E840)),TRUE,OR(E840&lt;0,E840&gt;999999999,ROUND(E840,3)&lt;&gt;E840))),"Invalid previous reading",IF(IF(NOT(ISNUMBER(F840)),TRUE,OR(F840&lt;0,F840&gt;999999999,ROUND(F840,3)&lt;&gt;F840)),"Invalid last service",IF(AND(E840&lt;&gt;"",D840&lt;E840),"Decreased reading",IF(F840&gt;D840,"Last service above current","")))))))))))))</x:f>
      </x:c>
      <x:c r="L840" s="6" t="str">
        <x:f>IF(AND(NOT(COUNTA(A840:F840)=0),K840=""),INDEX('Rules'!$C$7:$C$26,MATCH(SUBSTITUTE(SUBSTITUTE(SUBSTITUTE(SUBSTITUTE("type:"&amp;B840,"%","%25"),"~","%7E"),"*","%2A"),"?","%3F"),'Rules'!$G$7:$G$26,0)),"")</x:f>
      </x:c>
      <x:c r="M840" s="6" t="str">
        <x:f>IF(AND(NOT(COUNTA(A840:F840)=0),K840=""),INDEX('Rules'!$D$7:$D$26,MATCH(SUBSTITUTE(SUBSTITUTE(SUBSTITUTE(SUBSTITUTE("type:"&amp;B840,"%","%25"),"~","%7E"),"*","%2A"),"?","%3F"),'Rules'!$G$7:$G$26,0)),"")</x:f>
      </x:c>
      <x:c r="N840" s="5" t="str">
        <x:f>IF(COUNTA(A840:F840)=0,"",SUBSTITUTE(SUBSTITUTE(SUBSTITUTE(SUBSTITUTE("id:"&amp;A840,"%","%25"),"~","%7E"),"*","%2A"),"?","%3F"))</x:f>
      </x:c>
    </x:row>
    <x:row r="841" ht="22" customHeight="1">
      <x:c r="A841" s="3"/>
      <x:c r="B841" s="3"/>
      <x:c r="C841" s="3"/>
      <x:c r="D841" s="4"/>
      <x:c r="E841" s="4"/>
      <x:c r="F841" s="4"/>
      <x:c r="G841" s="5" t="str">
        <x:f>IF(COUNTA(A841:F841)=0,"",IF(K841&lt;&gt;"","Review",IF(I841&lt;0,"Overdue",IF(I841=0,"Due now",IF(I841&lt;=M841,"Due soon","Not due")))))</x:f>
      </x:c>
      <x:c r="H841" s="5" t="str">
        <x:f>IF(OR(COUNTA(A841:F841)=0,COUNTIFS('Rules'!$G$7:$G$26,"="&amp;(SUBSTITUTE(SUBSTITUTE(SUBSTITUTE(SUBSTITUTE("type:"&amp;B841,"%","%25"),"~","%7E"),"*","%2A"),"?","%3F")))&lt;&gt;1),"",IF(OR(INDEX('Rules'!$B$7:$B$26,MATCH(SUBSTITUTE(SUBSTITUTE(SUBSTITUTE(SUBSTITUTE("type:"&amp;B841,"%","%25"),"~","%7E"),"*","%2A"),"?","%3F"),'Rules'!$G$7:$G$26,0))="hours",INDEX('Rules'!$B$7:$B$26,MATCH(SUBSTITUTE(SUBSTITUTE(SUBSTITUTE(SUBSTITUTE("type:"&amp;B841,"%","%25"),"~","%7E"),"*","%2A"),"?","%3F"),'Rules'!$G$7:$G$26,0))="km"),INDEX('Rules'!$B$7:$B$26,MATCH(SUBSTITUTE(SUBSTITUTE(SUBSTITUTE(SUBSTITUTE("type:"&amp;B841,"%","%25"),"~","%7E"),"*","%2A"),"?","%3F"),'Rules'!$G$7:$G$26,0)),""))</x:f>
      </x:c>
      <x:c r="I841" s="6" t="str">
        <x:f>IF(AND(NOT(COUNTA(A841:F841)=0),K841=""),ROUND(J841-D841,3),"")</x:f>
      </x:c>
      <x:c r="J841" s="6" t="str">
        <x:f>IF(AND(NOT(COUNTA(A841:F841)=0),K841=""),ROUND(F841+L841,3),"")</x:f>
      </x:c>
      <x:c r="K841" s="5" t="str">
        <x:f>IF(COUNTA(A841:F841)=0,"",IF(A841="","Missing equipment ID",IF(COUNTIFS($N$8:$N$2007,"="&amp;N841)&gt;1,"Duplicate equipment ID",IF(B841="","Missing type",IF(COUNTIFS('Rules'!$G$7:$G$26,"="&amp;(SUBSTITUTE(SUBSTITUTE(SUBSTITUTE(SUBSTITUTE("type:"&amp;B841,"%","%25"),"~","%7E"),"*","%2A"),"?","%3F")))=0,"Unknown type",IF(COUNTIFS('Rules'!$G$7:$G$26,"="&amp;(SUBSTITUTE(SUBSTITUTE(SUBSTITUTE(SUBSTITUTE("type:"&amp;B841,"%","%25"),"~","%7E"),"*","%2A"),"?","%3F")))&gt;1,"Duplicate type",IF(INDEX('Rules'!$F$7:$F$26,MATCH(SUBSTITUTE(SUBSTITUTE(SUBSTITUTE(SUBSTITUTE("type:"&amp;B841,"%","%25"),"~","%7E"),"*","%2A"),"?","%3F"),'Rules'!$G$7:$G$26,0))&lt;&gt;"",INDEX('Rules'!$F$7:$F$26,MATCH(SUBSTITUTE(SUBSTITUTE(SUBSTITUTE(SUBSTITUTE("type:"&amp;B841,"%","%25"),"~","%7E"),"*","%2A"),"?","%3F"),'Rules'!$G$7:$G$26,0)),IF(AND(C841&lt;&gt;"",C841&lt;&gt;INDEX('Rules'!$B$7:$B$26,MATCH(SUBSTITUTE(SUBSTITUTE(SUBSTITUTE(SUBSTITUTE("type:"&amp;B841,"%","%25"),"~","%7E"),"*","%2A"),"?","%3F"),'Rules'!$G$7:$G$26,0))),"Unit mismatch",IF(IF(NOT(ISNUMBER(D841)),TRUE,OR(D841&lt;0,D841&gt;999999999,ROUND(D841,3)&lt;&gt;D841)),"Invalid current reading",IF(AND(E841&lt;&gt;"",IF(NOT(ISNUMBER(E841)),TRUE,OR(E841&lt;0,E841&gt;999999999,ROUND(E841,3)&lt;&gt;E841))),"Invalid previous reading",IF(IF(NOT(ISNUMBER(F841)),TRUE,OR(F841&lt;0,F841&gt;999999999,ROUND(F841,3)&lt;&gt;F841)),"Invalid last service",IF(AND(E841&lt;&gt;"",D841&lt;E841),"Decreased reading",IF(F841&gt;D841,"Last service above current","")))))))))))))</x:f>
      </x:c>
      <x:c r="L841" s="6" t="str">
        <x:f>IF(AND(NOT(COUNTA(A841:F841)=0),K841=""),INDEX('Rules'!$C$7:$C$26,MATCH(SUBSTITUTE(SUBSTITUTE(SUBSTITUTE(SUBSTITUTE("type:"&amp;B841,"%","%25"),"~","%7E"),"*","%2A"),"?","%3F"),'Rules'!$G$7:$G$26,0)),"")</x:f>
      </x:c>
      <x:c r="M841" s="6" t="str">
        <x:f>IF(AND(NOT(COUNTA(A841:F841)=0),K841=""),INDEX('Rules'!$D$7:$D$26,MATCH(SUBSTITUTE(SUBSTITUTE(SUBSTITUTE(SUBSTITUTE("type:"&amp;B841,"%","%25"),"~","%7E"),"*","%2A"),"?","%3F"),'Rules'!$G$7:$G$26,0)),"")</x:f>
      </x:c>
      <x:c r="N841" s="5" t="str">
        <x:f>IF(COUNTA(A841:F841)=0,"",SUBSTITUTE(SUBSTITUTE(SUBSTITUTE(SUBSTITUTE("id:"&amp;A841,"%","%25"),"~","%7E"),"*","%2A"),"?","%3F"))</x:f>
      </x:c>
    </x:row>
    <x:row r="842" ht="22" customHeight="1">
      <x:c r="A842" s="3"/>
      <x:c r="B842" s="3"/>
      <x:c r="C842" s="3"/>
      <x:c r="D842" s="4"/>
      <x:c r="E842" s="4"/>
      <x:c r="F842" s="4"/>
      <x:c r="G842" s="5" t="str">
        <x:f>IF(COUNTA(A842:F842)=0,"",IF(K842&lt;&gt;"","Review",IF(I842&lt;0,"Overdue",IF(I842=0,"Due now",IF(I842&lt;=M842,"Due soon","Not due")))))</x:f>
      </x:c>
      <x:c r="H842" s="5" t="str">
        <x:f>IF(OR(COUNTA(A842:F842)=0,COUNTIFS('Rules'!$G$7:$G$26,"="&amp;(SUBSTITUTE(SUBSTITUTE(SUBSTITUTE(SUBSTITUTE("type:"&amp;B842,"%","%25"),"~","%7E"),"*","%2A"),"?","%3F")))&lt;&gt;1),"",IF(OR(INDEX('Rules'!$B$7:$B$26,MATCH(SUBSTITUTE(SUBSTITUTE(SUBSTITUTE(SUBSTITUTE("type:"&amp;B842,"%","%25"),"~","%7E"),"*","%2A"),"?","%3F"),'Rules'!$G$7:$G$26,0))="hours",INDEX('Rules'!$B$7:$B$26,MATCH(SUBSTITUTE(SUBSTITUTE(SUBSTITUTE(SUBSTITUTE("type:"&amp;B842,"%","%25"),"~","%7E"),"*","%2A"),"?","%3F"),'Rules'!$G$7:$G$26,0))="km"),INDEX('Rules'!$B$7:$B$26,MATCH(SUBSTITUTE(SUBSTITUTE(SUBSTITUTE(SUBSTITUTE("type:"&amp;B842,"%","%25"),"~","%7E"),"*","%2A"),"?","%3F"),'Rules'!$G$7:$G$26,0)),""))</x:f>
      </x:c>
      <x:c r="I842" s="6" t="str">
        <x:f>IF(AND(NOT(COUNTA(A842:F842)=0),K842=""),ROUND(J842-D842,3),"")</x:f>
      </x:c>
      <x:c r="J842" s="6" t="str">
        <x:f>IF(AND(NOT(COUNTA(A842:F842)=0),K842=""),ROUND(F842+L842,3),"")</x:f>
      </x:c>
      <x:c r="K842" s="5" t="str">
        <x:f>IF(COUNTA(A842:F842)=0,"",IF(A842="","Missing equipment ID",IF(COUNTIFS($N$8:$N$2007,"="&amp;N842)&gt;1,"Duplicate equipment ID",IF(B842="","Missing type",IF(COUNTIFS('Rules'!$G$7:$G$26,"="&amp;(SUBSTITUTE(SUBSTITUTE(SUBSTITUTE(SUBSTITUTE("type:"&amp;B842,"%","%25"),"~","%7E"),"*","%2A"),"?","%3F")))=0,"Unknown type",IF(COUNTIFS('Rules'!$G$7:$G$26,"="&amp;(SUBSTITUTE(SUBSTITUTE(SUBSTITUTE(SUBSTITUTE("type:"&amp;B842,"%","%25"),"~","%7E"),"*","%2A"),"?","%3F")))&gt;1,"Duplicate type",IF(INDEX('Rules'!$F$7:$F$26,MATCH(SUBSTITUTE(SUBSTITUTE(SUBSTITUTE(SUBSTITUTE("type:"&amp;B842,"%","%25"),"~","%7E"),"*","%2A"),"?","%3F"),'Rules'!$G$7:$G$26,0))&lt;&gt;"",INDEX('Rules'!$F$7:$F$26,MATCH(SUBSTITUTE(SUBSTITUTE(SUBSTITUTE(SUBSTITUTE("type:"&amp;B842,"%","%25"),"~","%7E"),"*","%2A"),"?","%3F"),'Rules'!$G$7:$G$26,0)),IF(AND(C842&lt;&gt;"",C842&lt;&gt;INDEX('Rules'!$B$7:$B$26,MATCH(SUBSTITUTE(SUBSTITUTE(SUBSTITUTE(SUBSTITUTE("type:"&amp;B842,"%","%25"),"~","%7E"),"*","%2A"),"?","%3F"),'Rules'!$G$7:$G$26,0))),"Unit mismatch",IF(IF(NOT(ISNUMBER(D842)),TRUE,OR(D842&lt;0,D842&gt;999999999,ROUND(D842,3)&lt;&gt;D842)),"Invalid current reading",IF(AND(E842&lt;&gt;"",IF(NOT(ISNUMBER(E842)),TRUE,OR(E842&lt;0,E842&gt;999999999,ROUND(E842,3)&lt;&gt;E842))),"Invalid previous reading",IF(IF(NOT(ISNUMBER(F842)),TRUE,OR(F842&lt;0,F842&gt;999999999,ROUND(F842,3)&lt;&gt;F842)),"Invalid last service",IF(AND(E842&lt;&gt;"",D842&lt;E842),"Decreased reading",IF(F842&gt;D842,"Last service above current","")))))))))))))</x:f>
      </x:c>
      <x:c r="L842" s="6" t="str">
        <x:f>IF(AND(NOT(COUNTA(A842:F842)=0),K842=""),INDEX('Rules'!$C$7:$C$26,MATCH(SUBSTITUTE(SUBSTITUTE(SUBSTITUTE(SUBSTITUTE("type:"&amp;B842,"%","%25"),"~","%7E"),"*","%2A"),"?","%3F"),'Rules'!$G$7:$G$26,0)),"")</x:f>
      </x:c>
      <x:c r="M842" s="6" t="str">
        <x:f>IF(AND(NOT(COUNTA(A842:F842)=0),K842=""),INDEX('Rules'!$D$7:$D$26,MATCH(SUBSTITUTE(SUBSTITUTE(SUBSTITUTE(SUBSTITUTE("type:"&amp;B842,"%","%25"),"~","%7E"),"*","%2A"),"?","%3F"),'Rules'!$G$7:$G$26,0)),"")</x:f>
      </x:c>
      <x:c r="N842" s="5" t="str">
        <x:f>IF(COUNTA(A842:F842)=0,"",SUBSTITUTE(SUBSTITUTE(SUBSTITUTE(SUBSTITUTE("id:"&amp;A842,"%","%25"),"~","%7E"),"*","%2A"),"?","%3F"))</x:f>
      </x:c>
    </x:row>
    <x:row r="843" ht="22" customHeight="1">
      <x:c r="A843" s="3"/>
      <x:c r="B843" s="3"/>
      <x:c r="C843" s="3"/>
      <x:c r="D843" s="4"/>
      <x:c r="E843" s="4"/>
      <x:c r="F843" s="4"/>
      <x:c r="G843" s="5" t="str">
        <x:f>IF(COUNTA(A843:F843)=0,"",IF(K843&lt;&gt;"","Review",IF(I843&lt;0,"Overdue",IF(I843=0,"Due now",IF(I843&lt;=M843,"Due soon","Not due")))))</x:f>
      </x:c>
      <x:c r="H843" s="5" t="str">
        <x:f>IF(OR(COUNTA(A843:F843)=0,COUNTIFS('Rules'!$G$7:$G$26,"="&amp;(SUBSTITUTE(SUBSTITUTE(SUBSTITUTE(SUBSTITUTE("type:"&amp;B843,"%","%25"),"~","%7E"),"*","%2A"),"?","%3F")))&lt;&gt;1),"",IF(OR(INDEX('Rules'!$B$7:$B$26,MATCH(SUBSTITUTE(SUBSTITUTE(SUBSTITUTE(SUBSTITUTE("type:"&amp;B843,"%","%25"),"~","%7E"),"*","%2A"),"?","%3F"),'Rules'!$G$7:$G$26,0))="hours",INDEX('Rules'!$B$7:$B$26,MATCH(SUBSTITUTE(SUBSTITUTE(SUBSTITUTE(SUBSTITUTE("type:"&amp;B843,"%","%25"),"~","%7E"),"*","%2A"),"?","%3F"),'Rules'!$G$7:$G$26,0))="km"),INDEX('Rules'!$B$7:$B$26,MATCH(SUBSTITUTE(SUBSTITUTE(SUBSTITUTE(SUBSTITUTE("type:"&amp;B843,"%","%25"),"~","%7E"),"*","%2A"),"?","%3F"),'Rules'!$G$7:$G$26,0)),""))</x:f>
      </x:c>
      <x:c r="I843" s="6" t="str">
        <x:f>IF(AND(NOT(COUNTA(A843:F843)=0),K843=""),ROUND(J843-D843,3),"")</x:f>
      </x:c>
      <x:c r="J843" s="6" t="str">
        <x:f>IF(AND(NOT(COUNTA(A843:F843)=0),K843=""),ROUND(F843+L843,3),"")</x:f>
      </x:c>
      <x:c r="K843" s="5" t="str">
        <x:f>IF(COUNTA(A843:F843)=0,"",IF(A843="","Missing equipment ID",IF(COUNTIFS($N$8:$N$2007,"="&amp;N843)&gt;1,"Duplicate equipment ID",IF(B843="","Missing type",IF(COUNTIFS('Rules'!$G$7:$G$26,"="&amp;(SUBSTITUTE(SUBSTITUTE(SUBSTITUTE(SUBSTITUTE("type:"&amp;B843,"%","%25"),"~","%7E"),"*","%2A"),"?","%3F")))=0,"Unknown type",IF(COUNTIFS('Rules'!$G$7:$G$26,"="&amp;(SUBSTITUTE(SUBSTITUTE(SUBSTITUTE(SUBSTITUTE("type:"&amp;B843,"%","%25"),"~","%7E"),"*","%2A"),"?","%3F")))&gt;1,"Duplicate type",IF(INDEX('Rules'!$F$7:$F$26,MATCH(SUBSTITUTE(SUBSTITUTE(SUBSTITUTE(SUBSTITUTE("type:"&amp;B843,"%","%25"),"~","%7E"),"*","%2A"),"?","%3F"),'Rules'!$G$7:$G$26,0))&lt;&gt;"",INDEX('Rules'!$F$7:$F$26,MATCH(SUBSTITUTE(SUBSTITUTE(SUBSTITUTE(SUBSTITUTE("type:"&amp;B843,"%","%25"),"~","%7E"),"*","%2A"),"?","%3F"),'Rules'!$G$7:$G$26,0)),IF(AND(C843&lt;&gt;"",C843&lt;&gt;INDEX('Rules'!$B$7:$B$26,MATCH(SUBSTITUTE(SUBSTITUTE(SUBSTITUTE(SUBSTITUTE("type:"&amp;B843,"%","%25"),"~","%7E"),"*","%2A"),"?","%3F"),'Rules'!$G$7:$G$26,0))),"Unit mismatch",IF(IF(NOT(ISNUMBER(D843)),TRUE,OR(D843&lt;0,D843&gt;999999999,ROUND(D843,3)&lt;&gt;D843)),"Invalid current reading",IF(AND(E843&lt;&gt;"",IF(NOT(ISNUMBER(E843)),TRUE,OR(E843&lt;0,E843&gt;999999999,ROUND(E843,3)&lt;&gt;E843))),"Invalid previous reading",IF(IF(NOT(ISNUMBER(F843)),TRUE,OR(F843&lt;0,F843&gt;999999999,ROUND(F843,3)&lt;&gt;F843)),"Invalid last service",IF(AND(E843&lt;&gt;"",D843&lt;E843),"Decreased reading",IF(F843&gt;D843,"Last service above current","")))))))))))))</x:f>
      </x:c>
      <x:c r="L843" s="6" t="str">
        <x:f>IF(AND(NOT(COUNTA(A843:F843)=0),K843=""),INDEX('Rules'!$C$7:$C$26,MATCH(SUBSTITUTE(SUBSTITUTE(SUBSTITUTE(SUBSTITUTE("type:"&amp;B843,"%","%25"),"~","%7E"),"*","%2A"),"?","%3F"),'Rules'!$G$7:$G$26,0)),"")</x:f>
      </x:c>
      <x:c r="M843" s="6" t="str">
        <x:f>IF(AND(NOT(COUNTA(A843:F843)=0),K843=""),INDEX('Rules'!$D$7:$D$26,MATCH(SUBSTITUTE(SUBSTITUTE(SUBSTITUTE(SUBSTITUTE("type:"&amp;B843,"%","%25"),"~","%7E"),"*","%2A"),"?","%3F"),'Rules'!$G$7:$G$26,0)),"")</x:f>
      </x:c>
      <x:c r="N843" s="5" t="str">
        <x:f>IF(COUNTA(A843:F843)=0,"",SUBSTITUTE(SUBSTITUTE(SUBSTITUTE(SUBSTITUTE("id:"&amp;A843,"%","%25"),"~","%7E"),"*","%2A"),"?","%3F"))</x:f>
      </x:c>
    </x:row>
    <x:row r="844" ht="22" customHeight="1">
      <x:c r="A844" s="3"/>
      <x:c r="B844" s="3"/>
      <x:c r="C844" s="3"/>
      <x:c r="D844" s="4"/>
      <x:c r="E844" s="4"/>
      <x:c r="F844" s="4"/>
      <x:c r="G844" s="5" t="str">
        <x:f>IF(COUNTA(A844:F844)=0,"",IF(K844&lt;&gt;"","Review",IF(I844&lt;0,"Overdue",IF(I844=0,"Due now",IF(I844&lt;=M844,"Due soon","Not due")))))</x:f>
      </x:c>
      <x:c r="H844" s="5" t="str">
        <x:f>IF(OR(COUNTA(A844:F844)=0,COUNTIFS('Rules'!$G$7:$G$26,"="&amp;(SUBSTITUTE(SUBSTITUTE(SUBSTITUTE(SUBSTITUTE("type:"&amp;B844,"%","%25"),"~","%7E"),"*","%2A"),"?","%3F")))&lt;&gt;1),"",IF(OR(INDEX('Rules'!$B$7:$B$26,MATCH(SUBSTITUTE(SUBSTITUTE(SUBSTITUTE(SUBSTITUTE("type:"&amp;B844,"%","%25"),"~","%7E"),"*","%2A"),"?","%3F"),'Rules'!$G$7:$G$26,0))="hours",INDEX('Rules'!$B$7:$B$26,MATCH(SUBSTITUTE(SUBSTITUTE(SUBSTITUTE(SUBSTITUTE("type:"&amp;B844,"%","%25"),"~","%7E"),"*","%2A"),"?","%3F"),'Rules'!$G$7:$G$26,0))="km"),INDEX('Rules'!$B$7:$B$26,MATCH(SUBSTITUTE(SUBSTITUTE(SUBSTITUTE(SUBSTITUTE("type:"&amp;B844,"%","%25"),"~","%7E"),"*","%2A"),"?","%3F"),'Rules'!$G$7:$G$26,0)),""))</x:f>
      </x:c>
      <x:c r="I844" s="6" t="str">
        <x:f>IF(AND(NOT(COUNTA(A844:F844)=0),K844=""),ROUND(J844-D844,3),"")</x:f>
      </x:c>
      <x:c r="J844" s="6" t="str">
        <x:f>IF(AND(NOT(COUNTA(A844:F844)=0),K844=""),ROUND(F844+L844,3),"")</x:f>
      </x:c>
      <x:c r="K844" s="5" t="str">
        <x:f>IF(COUNTA(A844:F844)=0,"",IF(A844="","Missing equipment ID",IF(COUNTIFS($N$8:$N$2007,"="&amp;N844)&gt;1,"Duplicate equipment ID",IF(B844="","Missing type",IF(COUNTIFS('Rules'!$G$7:$G$26,"="&amp;(SUBSTITUTE(SUBSTITUTE(SUBSTITUTE(SUBSTITUTE("type:"&amp;B844,"%","%25"),"~","%7E"),"*","%2A"),"?","%3F")))=0,"Unknown type",IF(COUNTIFS('Rules'!$G$7:$G$26,"="&amp;(SUBSTITUTE(SUBSTITUTE(SUBSTITUTE(SUBSTITUTE("type:"&amp;B844,"%","%25"),"~","%7E"),"*","%2A"),"?","%3F")))&gt;1,"Duplicate type",IF(INDEX('Rules'!$F$7:$F$26,MATCH(SUBSTITUTE(SUBSTITUTE(SUBSTITUTE(SUBSTITUTE("type:"&amp;B844,"%","%25"),"~","%7E"),"*","%2A"),"?","%3F"),'Rules'!$G$7:$G$26,0))&lt;&gt;"",INDEX('Rules'!$F$7:$F$26,MATCH(SUBSTITUTE(SUBSTITUTE(SUBSTITUTE(SUBSTITUTE("type:"&amp;B844,"%","%25"),"~","%7E"),"*","%2A"),"?","%3F"),'Rules'!$G$7:$G$26,0)),IF(AND(C844&lt;&gt;"",C844&lt;&gt;INDEX('Rules'!$B$7:$B$26,MATCH(SUBSTITUTE(SUBSTITUTE(SUBSTITUTE(SUBSTITUTE("type:"&amp;B844,"%","%25"),"~","%7E"),"*","%2A"),"?","%3F"),'Rules'!$G$7:$G$26,0))),"Unit mismatch",IF(IF(NOT(ISNUMBER(D844)),TRUE,OR(D844&lt;0,D844&gt;999999999,ROUND(D844,3)&lt;&gt;D844)),"Invalid current reading",IF(AND(E844&lt;&gt;"",IF(NOT(ISNUMBER(E844)),TRUE,OR(E844&lt;0,E844&gt;999999999,ROUND(E844,3)&lt;&gt;E844))),"Invalid previous reading",IF(IF(NOT(ISNUMBER(F844)),TRUE,OR(F844&lt;0,F844&gt;999999999,ROUND(F844,3)&lt;&gt;F844)),"Invalid last service",IF(AND(E844&lt;&gt;"",D844&lt;E844),"Decreased reading",IF(F844&gt;D844,"Last service above current","")))))))))))))</x:f>
      </x:c>
      <x:c r="L844" s="6" t="str">
        <x:f>IF(AND(NOT(COUNTA(A844:F844)=0),K844=""),INDEX('Rules'!$C$7:$C$26,MATCH(SUBSTITUTE(SUBSTITUTE(SUBSTITUTE(SUBSTITUTE("type:"&amp;B844,"%","%25"),"~","%7E"),"*","%2A"),"?","%3F"),'Rules'!$G$7:$G$26,0)),"")</x:f>
      </x:c>
      <x:c r="M844" s="6" t="str">
        <x:f>IF(AND(NOT(COUNTA(A844:F844)=0),K844=""),INDEX('Rules'!$D$7:$D$26,MATCH(SUBSTITUTE(SUBSTITUTE(SUBSTITUTE(SUBSTITUTE("type:"&amp;B844,"%","%25"),"~","%7E"),"*","%2A"),"?","%3F"),'Rules'!$G$7:$G$26,0)),"")</x:f>
      </x:c>
      <x:c r="N844" s="5" t="str">
        <x:f>IF(COUNTA(A844:F844)=0,"",SUBSTITUTE(SUBSTITUTE(SUBSTITUTE(SUBSTITUTE("id:"&amp;A844,"%","%25"),"~","%7E"),"*","%2A"),"?","%3F"))</x:f>
      </x:c>
    </x:row>
    <x:row r="845" ht="22" customHeight="1">
      <x:c r="A845" s="3"/>
      <x:c r="B845" s="3"/>
      <x:c r="C845" s="3"/>
      <x:c r="D845" s="4"/>
      <x:c r="E845" s="4"/>
      <x:c r="F845" s="4"/>
      <x:c r="G845" s="5" t="str">
        <x:f>IF(COUNTA(A845:F845)=0,"",IF(K845&lt;&gt;"","Review",IF(I845&lt;0,"Overdue",IF(I845=0,"Due now",IF(I845&lt;=M845,"Due soon","Not due")))))</x:f>
      </x:c>
      <x:c r="H845" s="5" t="str">
        <x:f>IF(OR(COUNTA(A845:F845)=0,COUNTIFS('Rules'!$G$7:$G$26,"="&amp;(SUBSTITUTE(SUBSTITUTE(SUBSTITUTE(SUBSTITUTE("type:"&amp;B845,"%","%25"),"~","%7E"),"*","%2A"),"?","%3F")))&lt;&gt;1),"",IF(OR(INDEX('Rules'!$B$7:$B$26,MATCH(SUBSTITUTE(SUBSTITUTE(SUBSTITUTE(SUBSTITUTE("type:"&amp;B845,"%","%25"),"~","%7E"),"*","%2A"),"?","%3F"),'Rules'!$G$7:$G$26,0))="hours",INDEX('Rules'!$B$7:$B$26,MATCH(SUBSTITUTE(SUBSTITUTE(SUBSTITUTE(SUBSTITUTE("type:"&amp;B845,"%","%25"),"~","%7E"),"*","%2A"),"?","%3F"),'Rules'!$G$7:$G$26,0))="km"),INDEX('Rules'!$B$7:$B$26,MATCH(SUBSTITUTE(SUBSTITUTE(SUBSTITUTE(SUBSTITUTE("type:"&amp;B845,"%","%25"),"~","%7E"),"*","%2A"),"?","%3F"),'Rules'!$G$7:$G$26,0)),""))</x:f>
      </x:c>
      <x:c r="I845" s="6" t="str">
        <x:f>IF(AND(NOT(COUNTA(A845:F845)=0),K845=""),ROUND(J845-D845,3),"")</x:f>
      </x:c>
      <x:c r="J845" s="6" t="str">
        <x:f>IF(AND(NOT(COUNTA(A845:F845)=0),K845=""),ROUND(F845+L845,3),"")</x:f>
      </x:c>
      <x:c r="K845" s="5" t="str">
        <x:f>IF(COUNTA(A845:F845)=0,"",IF(A845="","Missing equipment ID",IF(COUNTIFS($N$8:$N$2007,"="&amp;N845)&gt;1,"Duplicate equipment ID",IF(B845="","Missing type",IF(COUNTIFS('Rules'!$G$7:$G$26,"="&amp;(SUBSTITUTE(SUBSTITUTE(SUBSTITUTE(SUBSTITUTE("type:"&amp;B845,"%","%25"),"~","%7E"),"*","%2A"),"?","%3F")))=0,"Unknown type",IF(COUNTIFS('Rules'!$G$7:$G$26,"="&amp;(SUBSTITUTE(SUBSTITUTE(SUBSTITUTE(SUBSTITUTE("type:"&amp;B845,"%","%25"),"~","%7E"),"*","%2A"),"?","%3F")))&gt;1,"Duplicate type",IF(INDEX('Rules'!$F$7:$F$26,MATCH(SUBSTITUTE(SUBSTITUTE(SUBSTITUTE(SUBSTITUTE("type:"&amp;B845,"%","%25"),"~","%7E"),"*","%2A"),"?","%3F"),'Rules'!$G$7:$G$26,0))&lt;&gt;"",INDEX('Rules'!$F$7:$F$26,MATCH(SUBSTITUTE(SUBSTITUTE(SUBSTITUTE(SUBSTITUTE("type:"&amp;B845,"%","%25"),"~","%7E"),"*","%2A"),"?","%3F"),'Rules'!$G$7:$G$26,0)),IF(AND(C845&lt;&gt;"",C845&lt;&gt;INDEX('Rules'!$B$7:$B$26,MATCH(SUBSTITUTE(SUBSTITUTE(SUBSTITUTE(SUBSTITUTE("type:"&amp;B845,"%","%25"),"~","%7E"),"*","%2A"),"?","%3F"),'Rules'!$G$7:$G$26,0))),"Unit mismatch",IF(IF(NOT(ISNUMBER(D845)),TRUE,OR(D845&lt;0,D845&gt;999999999,ROUND(D845,3)&lt;&gt;D845)),"Invalid current reading",IF(AND(E845&lt;&gt;"",IF(NOT(ISNUMBER(E845)),TRUE,OR(E845&lt;0,E845&gt;999999999,ROUND(E845,3)&lt;&gt;E845))),"Invalid previous reading",IF(IF(NOT(ISNUMBER(F845)),TRUE,OR(F845&lt;0,F845&gt;999999999,ROUND(F845,3)&lt;&gt;F845)),"Invalid last service",IF(AND(E845&lt;&gt;"",D845&lt;E845),"Decreased reading",IF(F845&gt;D845,"Last service above current","")))))))))))))</x:f>
      </x:c>
      <x:c r="L845" s="6" t="str">
        <x:f>IF(AND(NOT(COUNTA(A845:F845)=0),K845=""),INDEX('Rules'!$C$7:$C$26,MATCH(SUBSTITUTE(SUBSTITUTE(SUBSTITUTE(SUBSTITUTE("type:"&amp;B845,"%","%25"),"~","%7E"),"*","%2A"),"?","%3F"),'Rules'!$G$7:$G$26,0)),"")</x:f>
      </x:c>
      <x:c r="M845" s="6" t="str">
        <x:f>IF(AND(NOT(COUNTA(A845:F845)=0),K845=""),INDEX('Rules'!$D$7:$D$26,MATCH(SUBSTITUTE(SUBSTITUTE(SUBSTITUTE(SUBSTITUTE("type:"&amp;B845,"%","%25"),"~","%7E"),"*","%2A"),"?","%3F"),'Rules'!$G$7:$G$26,0)),"")</x:f>
      </x:c>
      <x:c r="N845" s="5" t="str">
        <x:f>IF(COUNTA(A845:F845)=0,"",SUBSTITUTE(SUBSTITUTE(SUBSTITUTE(SUBSTITUTE("id:"&amp;A845,"%","%25"),"~","%7E"),"*","%2A"),"?","%3F"))</x:f>
      </x:c>
    </x:row>
    <x:row r="846" ht="22" customHeight="1">
      <x:c r="A846" s="3"/>
      <x:c r="B846" s="3"/>
      <x:c r="C846" s="3"/>
      <x:c r="D846" s="4"/>
      <x:c r="E846" s="4"/>
      <x:c r="F846" s="4"/>
      <x:c r="G846" s="5" t="str">
        <x:f>IF(COUNTA(A846:F846)=0,"",IF(K846&lt;&gt;"","Review",IF(I846&lt;0,"Overdue",IF(I846=0,"Due now",IF(I846&lt;=M846,"Due soon","Not due")))))</x:f>
      </x:c>
      <x:c r="H846" s="5" t="str">
        <x:f>IF(OR(COUNTA(A846:F846)=0,COUNTIFS('Rules'!$G$7:$G$26,"="&amp;(SUBSTITUTE(SUBSTITUTE(SUBSTITUTE(SUBSTITUTE("type:"&amp;B846,"%","%25"),"~","%7E"),"*","%2A"),"?","%3F")))&lt;&gt;1),"",IF(OR(INDEX('Rules'!$B$7:$B$26,MATCH(SUBSTITUTE(SUBSTITUTE(SUBSTITUTE(SUBSTITUTE("type:"&amp;B846,"%","%25"),"~","%7E"),"*","%2A"),"?","%3F"),'Rules'!$G$7:$G$26,0))="hours",INDEX('Rules'!$B$7:$B$26,MATCH(SUBSTITUTE(SUBSTITUTE(SUBSTITUTE(SUBSTITUTE("type:"&amp;B846,"%","%25"),"~","%7E"),"*","%2A"),"?","%3F"),'Rules'!$G$7:$G$26,0))="km"),INDEX('Rules'!$B$7:$B$26,MATCH(SUBSTITUTE(SUBSTITUTE(SUBSTITUTE(SUBSTITUTE("type:"&amp;B846,"%","%25"),"~","%7E"),"*","%2A"),"?","%3F"),'Rules'!$G$7:$G$26,0)),""))</x:f>
      </x:c>
      <x:c r="I846" s="6" t="str">
        <x:f>IF(AND(NOT(COUNTA(A846:F846)=0),K846=""),ROUND(J846-D846,3),"")</x:f>
      </x:c>
      <x:c r="J846" s="6" t="str">
        <x:f>IF(AND(NOT(COUNTA(A846:F846)=0),K846=""),ROUND(F846+L846,3),"")</x:f>
      </x:c>
      <x:c r="K846" s="5" t="str">
        <x:f>IF(COUNTA(A846:F846)=0,"",IF(A846="","Missing equipment ID",IF(COUNTIFS($N$8:$N$2007,"="&amp;N846)&gt;1,"Duplicate equipment ID",IF(B846="","Missing type",IF(COUNTIFS('Rules'!$G$7:$G$26,"="&amp;(SUBSTITUTE(SUBSTITUTE(SUBSTITUTE(SUBSTITUTE("type:"&amp;B846,"%","%25"),"~","%7E"),"*","%2A"),"?","%3F")))=0,"Unknown type",IF(COUNTIFS('Rules'!$G$7:$G$26,"="&amp;(SUBSTITUTE(SUBSTITUTE(SUBSTITUTE(SUBSTITUTE("type:"&amp;B846,"%","%25"),"~","%7E"),"*","%2A"),"?","%3F")))&gt;1,"Duplicate type",IF(INDEX('Rules'!$F$7:$F$26,MATCH(SUBSTITUTE(SUBSTITUTE(SUBSTITUTE(SUBSTITUTE("type:"&amp;B846,"%","%25"),"~","%7E"),"*","%2A"),"?","%3F"),'Rules'!$G$7:$G$26,0))&lt;&gt;"",INDEX('Rules'!$F$7:$F$26,MATCH(SUBSTITUTE(SUBSTITUTE(SUBSTITUTE(SUBSTITUTE("type:"&amp;B846,"%","%25"),"~","%7E"),"*","%2A"),"?","%3F"),'Rules'!$G$7:$G$26,0)),IF(AND(C846&lt;&gt;"",C846&lt;&gt;INDEX('Rules'!$B$7:$B$26,MATCH(SUBSTITUTE(SUBSTITUTE(SUBSTITUTE(SUBSTITUTE("type:"&amp;B846,"%","%25"),"~","%7E"),"*","%2A"),"?","%3F"),'Rules'!$G$7:$G$26,0))),"Unit mismatch",IF(IF(NOT(ISNUMBER(D846)),TRUE,OR(D846&lt;0,D846&gt;999999999,ROUND(D846,3)&lt;&gt;D846)),"Invalid current reading",IF(AND(E846&lt;&gt;"",IF(NOT(ISNUMBER(E846)),TRUE,OR(E846&lt;0,E846&gt;999999999,ROUND(E846,3)&lt;&gt;E846))),"Invalid previous reading",IF(IF(NOT(ISNUMBER(F846)),TRUE,OR(F846&lt;0,F846&gt;999999999,ROUND(F846,3)&lt;&gt;F846)),"Invalid last service",IF(AND(E846&lt;&gt;"",D846&lt;E846),"Decreased reading",IF(F846&gt;D846,"Last service above current","")))))))))))))</x:f>
      </x:c>
      <x:c r="L846" s="6" t="str">
        <x:f>IF(AND(NOT(COUNTA(A846:F846)=0),K846=""),INDEX('Rules'!$C$7:$C$26,MATCH(SUBSTITUTE(SUBSTITUTE(SUBSTITUTE(SUBSTITUTE("type:"&amp;B846,"%","%25"),"~","%7E"),"*","%2A"),"?","%3F"),'Rules'!$G$7:$G$26,0)),"")</x:f>
      </x:c>
      <x:c r="M846" s="6" t="str">
        <x:f>IF(AND(NOT(COUNTA(A846:F846)=0),K846=""),INDEX('Rules'!$D$7:$D$26,MATCH(SUBSTITUTE(SUBSTITUTE(SUBSTITUTE(SUBSTITUTE("type:"&amp;B846,"%","%25"),"~","%7E"),"*","%2A"),"?","%3F"),'Rules'!$G$7:$G$26,0)),"")</x:f>
      </x:c>
      <x:c r="N846" s="5" t="str">
        <x:f>IF(COUNTA(A846:F846)=0,"",SUBSTITUTE(SUBSTITUTE(SUBSTITUTE(SUBSTITUTE("id:"&amp;A846,"%","%25"),"~","%7E"),"*","%2A"),"?","%3F"))</x:f>
      </x:c>
    </x:row>
    <x:row r="847" ht="22" customHeight="1">
      <x:c r="A847" s="3"/>
      <x:c r="B847" s="3"/>
      <x:c r="C847" s="3"/>
      <x:c r="D847" s="4"/>
      <x:c r="E847" s="4"/>
      <x:c r="F847" s="4"/>
      <x:c r="G847" s="5" t="str">
        <x:f>IF(COUNTA(A847:F847)=0,"",IF(K847&lt;&gt;"","Review",IF(I847&lt;0,"Overdue",IF(I847=0,"Due now",IF(I847&lt;=M847,"Due soon","Not due")))))</x:f>
      </x:c>
      <x:c r="H847" s="5" t="str">
        <x:f>IF(OR(COUNTA(A847:F847)=0,COUNTIFS('Rules'!$G$7:$G$26,"="&amp;(SUBSTITUTE(SUBSTITUTE(SUBSTITUTE(SUBSTITUTE("type:"&amp;B847,"%","%25"),"~","%7E"),"*","%2A"),"?","%3F")))&lt;&gt;1),"",IF(OR(INDEX('Rules'!$B$7:$B$26,MATCH(SUBSTITUTE(SUBSTITUTE(SUBSTITUTE(SUBSTITUTE("type:"&amp;B847,"%","%25"),"~","%7E"),"*","%2A"),"?","%3F"),'Rules'!$G$7:$G$26,0))="hours",INDEX('Rules'!$B$7:$B$26,MATCH(SUBSTITUTE(SUBSTITUTE(SUBSTITUTE(SUBSTITUTE("type:"&amp;B847,"%","%25"),"~","%7E"),"*","%2A"),"?","%3F"),'Rules'!$G$7:$G$26,0))="km"),INDEX('Rules'!$B$7:$B$26,MATCH(SUBSTITUTE(SUBSTITUTE(SUBSTITUTE(SUBSTITUTE("type:"&amp;B847,"%","%25"),"~","%7E"),"*","%2A"),"?","%3F"),'Rules'!$G$7:$G$26,0)),""))</x:f>
      </x:c>
      <x:c r="I847" s="6" t="str">
        <x:f>IF(AND(NOT(COUNTA(A847:F847)=0),K847=""),ROUND(J847-D847,3),"")</x:f>
      </x:c>
      <x:c r="J847" s="6" t="str">
        <x:f>IF(AND(NOT(COUNTA(A847:F847)=0),K847=""),ROUND(F847+L847,3),"")</x:f>
      </x:c>
      <x:c r="K847" s="5" t="str">
        <x:f>IF(COUNTA(A847:F847)=0,"",IF(A847="","Missing equipment ID",IF(COUNTIFS($N$8:$N$2007,"="&amp;N847)&gt;1,"Duplicate equipment ID",IF(B847="","Missing type",IF(COUNTIFS('Rules'!$G$7:$G$26,"="&amp;(SUBSTITUTE(SUBSTITUTE(SUBSTITUTE(SUBSTITUTE("type:"&amp;B847,"%","%25"),"~","%7E"),"*","%2A"),"?","%3F")))=0,"Unknown type",IF(COUNTIFS('Rules'!$G$7:$G$26,"="&amp;(SUBSTITUTE(SUBSTITUTE(SUBSTITUTE(SUBSTITUTE("type:"&amp;B847,"%","%25"),"~","%7E"),"*","%2A"),"?","%3F")))&gt;1,"Duplicate type",IF(INDEX('Rules'!$F$7:$F$26,MATCH(SUBSTITUTE(SUBSTITUTE(SUBSTITUTE(SUBSTITUTE("type:"&amp;B847,"%","%25"),"~","%7E"),"*","%2A"),"?","%3F"),'Rules'!$G$7:$G$26,0))&lt;&gt;"",INDEX('Rules'!$F$7:$F$26,MATCH(SUBSTITUTE(SUBSTITUTE(SUBSTITUTE(SUBSTITUTE("type:"&amp;B847,"%","%25"),"~","%7E"),"*","%2A"),"?","%3F"),'Rules'!$G$7:$G$26,0)),IF(AND(C847&lt;&gt;"",C847&lt;&gt;INDEX('Rules'!$B$7:$B$26,MATCH(SUBSTITUTE(SUBSTITUTE(SUBSTITUTE(SUBSTITUTE("type:"&amp;B847,"%","%25"),"~","%7E"),"*","%2A"),"?","%3F"),'Rules'!$G$7:$G$26,0))),"Unit mismatch",IF(IF(NOT(ISNUMBER(D847)),TRUE,OR(D847&lt;0,D847&gt;999999999,ROUND(D847,3)&lt;&gt;D847)),"Invalid current reading",IF(AND(E847&lt;&gt;"",IF(NOT(ISNUMBER(E847)),TRUE,OR(E847&lt;0,E847&gt;999999999,ROUND(E847,3)&lt;&gt;E847))),"Invalid previous reading",IF(IF(NOT(ISNUMBER(F847)),TRUE,OR(F847&lt;0,F847&gt;999999999,ROUND(F847,3)&lt;&gt;F847)),"Invalid last service",IF(AND(E847&lt;&gt;"",D847&lt;E847),"Decreased reading",IF(F847&gt;D847,"Last service above current","")))))))))))))</x:f>
      </x:c>
      <x:c r="L847" s="6" t="str">
        <x:f>IF(AND(NOT(COUNTA(A847:F847)=0),K847=""),INDEX('Rules'!$C$7:$C$26,MATCH(SUBSTITUTE(SUBSTITUTE(SUBSTITUTE(SUBSTITUTE("type:"&amp;B847,"%","%25"),"~","%7E"),"*","%2A"),"?","%3F"),'Rules'!$G$7:$G$26,0)),"")</x:f>
      </x:c>
      <x:c r="M847" s="6" t="str">
        <x:f>IF(AND(NOT(COUNTA(A847:F847)=0),K847=""),INDEX('Rules'!$D$7:$D$26,MATCH(SUBSTITUTE(SUBSTITUTE(SUBSTITUTE(SUBSTITUTE("type:"&amp;B847,"%","%25"),"~","%7E"),"*","%2A"),"?","%3F"),'Rules'!$G$7:$G$26,0)),"")</x:f>
      </x:c>
      <x:c r="N847" s="5" t="str">
        <x:f>IF(COUNTA(A847:F847)=0,"",SUBSTITUTE(SUBSTITUTE(SUBSTITUTE(SUBSTITUTE("id:"&amp;A847,"%","%25"),"~","%7E"),"*","%2A"),"?","%3F"))</x:f>
      </x:c>
    </x:row>
    <x:row r="848" ht="22" customHeight="1">
      <x:c r="A848" s="3"/>
      <x:c r="B848" s="3"/>
      <x:c r="C848" s="3"/>
      <x:c r="D848" s="4"/>
      <x:c r="E848" s="4"/>
      <x:c r="F848" s="4"/>
      <x:c r="G848" s="5" t="str">
        <x:f>IF(COUNTA(A848:F848)=0,"",IF(K848&lt;&gt;"","Review",IF(I848&lt;0,"Overdue",IF(I848=0,"Due now",IF(I848&lt;=M848,"Due soon","Not due")))))</x:f>
      </x:c>
      <x:c r="H848" s="5" t="str">
        <x:f>IF(OR(COUNTA(A848:F848)=0,COUNTIFS('Rules'!$G$7:$G$26,"="&amp;(SUBSTITUTE(SUBSTITUTE(SUBSTITUTE(SUBSTITUTE("type:"&amp;B848,"%","%25"),"~","%7E"),"*","%2A"),"?","%3F")))&lt;&gt;1),"",IF(OR(INDEX('Rules'!$B$7:$B$26,MATCH(SUBSTITUTE(SUBSTITUTE(SUBSTITUTE(SUBSTITUTE("type:"&amp;B848,"%","%25"),"~","%7E"),"*","%2A"),"?","%3F"),'Rules'!$G$7:$G$26,0))="hours",INDEX('Rules'!$B$7:$B$26,MATCH(SUBSTITUTE(SUBSTITUTE(SUBSTITUTE(SUBSTITUTE("type:"&amp;B848,"%","%25"),"~","%7E"),"*","%2A"),"?","%3F"),'Rules'!$G$7:$G$26,0))="km"),INDEX('Rules'!$B$7:$B$26,MATCH(SUBSTITUTE(SUBSTITUTE(SUBSTITUTE(SUBSTITUTE("type:"&amp;B848,"%","%25"),"~","%7E"),"*","%2A"),"?","%3F"),'Rules'!$G$7:$G$26,0)),""))</x:f>
      </x:c>
      <x:c r="I848" s="6" t="str">
        <x:f>IF(AND(NOT(COUNTA(A848:F848)=0),K848=""),ROUND(J848-D848,3),"")</x:f>
      </x:c>
      <x:c r="J848" s="6" t="str">
        <x:f>IF(AND(NOT(COUNTA(A848:F848)=0),K848=""),ROUND(F848+L848,3),"")</x:f>
      </x:c>
      <x:c r="K848" s="5" t="str">
        <x:f>IF(COUNTA(A848:F848)=0,"",IF(A848="","Missing equipment ID",IF(COUNTIFS($N$8:$N$2007,"="&amp;N848)&gt;1,"Duplicate equipment ID",IF(B848="","Missing type",IF(COUNTIFS('Rules'!$G$7:$G$26,"="&amp;(SUBSTITUTE(SUBSTITUTE(SUBSTITUTE(SUBSTITUTE("type:"&amp;B848,"%","%25"),"~","%7E"),"*","%2A"),"?","%3F")))=0,"Unknown type",IF(COUNTIFS('Rules'!$G$7:$G$26,"="&amp;(SUBSTITUTE(SUBSTITUTE(SUBSTITUTE(SUBSTITUTE("type:"&amp;B848,"%","%25"),"~","%7E"),"*","%2A"),"?","%3F")))&gt;1,"Duplicate type",IF(INDEX('Rules'!$F$7:$F$26,MATCH(SUBSTITUTE(SUBSTITUTE(SUBSTITUTE(SUBSTITUTE("type:"&amp;B848,"%","%25"),"~","%7E"),"*","%2A"),"?","%3F"),'Rules'!$G$7:$G$26,0))&lt;&gt;"",INDEX('Rules'!$F$7:$F$26,MATCH(SUBSTITUTE(SUBSTITUTE(SUBSTITUTE(SUBSTITUTE("type:"&amp;B848,"%","%25"),"~","%7E"),"*","%2A"),"?","%3F"),'Rules'!$G$7:$G$26,0)),IF(AND(C848&lt;&gt;"",C848&lt;&gt;INDEX('Rules'!$B$7:$B$26,MATCH(SUBSTITUTE(SUBSTITUTE(SUBSTITUTE(SUBSTITUTE("type:"&amp;B848,"%","%25"),"~","%7E"),"*","%2A"),"?","%3F"),'Rules'!$G$7:$G$26,0))),"Unit mismatch",IF(IF(NOT(ISNUMBER(D848)),TRUE,OR(D848&lt;0,D848&gt;999999999,ROUND(D848,3)&lt;&gt;D848)),"Invalid current reading",IF(AND(E848&lt;&gt;"",IF(NOT(ISNUMBER(E848)),TRUE,OR(E848&lt;0,E848&gt;999999999,ROUND(E848,3)&lt;&gt;E848))),"Invalid previous reading",IF(IF(NOT(ISNUMBER(F848)),TRUE,OR(F848&lt;0,F848&gt;999999999,ROUND(F848,3)&lt;&gt;F848)),"Invalid last service",IF(AND(E848&lt;&gt;"",D848&lt;E848),"Decreased reading",IF(F848&gt;D848,"Last service above current","")))))))))))))</x:f>
      </x:c>
      <x:c r="L848" s="6" t="str">
        <x:f>IF(AND(NOT(COUNTA(A848:F848)=0),K848=""),INDEX('Rules'!$C$7:$C$26,MATCH(SUBSTITUTE(SUBSTITUTE(SUBSTITUTE(SUBSTITUTE("type:"&amp;B848,"%","%25"),"~","%7E"),"*","%2A"),"?","%3F"),'Rules'!$G$7:$G$26,0)),"")</x:f>
      </x:c>
      <x:c r="M848" s="6" t="str">
        <x:f>IF(AND(NOT(COUNTA(A848:F848)=0),K848=""),INDEX('Rules'!$D$7:$D$26,MATCH(SUBSTITUTE(SUBSTITUTE(SUBSTITUTE(SUBSTITUTE("type:"&amp;B848,"%","%25"),"~","%7E"),"*","%2A"),"?","%3F"),'Rules'!$G$7:$G$26,0)),"")</x:f>
      </x:c>
      <x:c r="N848" s="5" t="str">
        <x:f>IF(COUNTA(A848:F848)=0,"",SUBSTITUTE(SUBSTITUTE(SUBSTITUTE(SUBSTITUTE("id:"&amp;A848,"%","%25"),"~","%7E"),"*","%2A"),"?","%3F"))</x:f>
      </x:c>
    </x:row>
    <x:row r="849" ht="22" customHeight="1">
      <x:c r="A849" s="3"/>
      <x:c r="B849" s="3"/>
      <x:c r="C849" s="3"/>
      <x:c r="D849" s="4"/>
      <x:c r="E849" s="4"/>
      <x:c r="F849" s="4"/>
      <x:c r="G849" s="5" t="str">
        <x:f>IF(COUNTA(A849:F849)=0,"",IF(K849&lt;&gt;"","Review",IF(I849&lt;0,"Overdue",IF(I849=0,"Due now",IF(I849&lt;=M849,"Due soon","Not due")))))</x:f>
      </x:c>
      <x:c r="H849" s="5" t="str">
        <x:f>IF(OR(COUNTA(A849:F849)=0,COUNTIFS('Rules'!$G$7:$G$26,"="&amp;(SUBSTITUTE(SUBSTITUTE(SUBSTITUTE(SUBSTITUTE("type:"&amp;B849,"%","%25"),"~","%7E"),"*","%2A"),"?","%3F")))&lt;&gt;1),"",IF(OR(INDEX('Rules'!$B$7:$B$26,MATCH(SUBSTITUTE(SUBSTITUTE(SUBSTITUTE(SUBSTITUTE("type:"&amp;B849,"%","%25"),"~","%7E"),"*","%2A"),"?","%3F"),'Rules'!$G$7:$G$26,0))="hours",INDEX('Rules'!$B$7:$B$26,MATCH(SUBSTITUTE(SUBSTITUTE(SUBSTITUTE(SUBSTITUTE("type:"&amp;B849,"%","%25"),"~","%7E"),"*","%2A"),"?","%3F"),'Rules'!$G$7:$G$26,0))="km"),INDEX('Rules'!$B$7:$B$26,MATCH(SUBSTITUTE(SUBSTITUTE(SUBSTITUTE(SUBSTITUTE("type:"&amp;B849,"%","%25"),"~","%7E"),"*","%2A"),"?","%3F"),'Rules'!$G$7:$G$26,0)),""))</x:f>
      </x:c>
      <x:c r="I849" s="6" t="str">
        <x:f>IF(AND(NOT(COUNTA(A849:F849)=0),K849=""),ROUND(J849-D849,3),"")</x:f>
      </x:c>
      <x:c r="J849" s="6" t="str">
        <x:f>IF(AND(NOT(COUNTA(A849:F849)=0),K849=""),ROUND(F849+L849,3),"")</x:f>
      </x:c>
      <x:c r="K849" s="5" t="str">
        <x:f>IF(COUNTA(A849:F849)=0,"",IF(A849="","Missing equipment ID",IF(COUNTIFS($N$8:$N$2007,"="&amp;N849)&gt;1,"Duplicate equipment ID",IF(B849="","Missing type",IF(COUNTIFS('Rules'!$G$7:$G$26,"="&amp;(SUBSTITUTE(SUBSTITUTE(SUBSTITUTE(SUBSTITUTE("type:"&amp;B849,"%","%25"),"~","%7E"),"*","%2A"),"?","%3F")))=0,"Unknown type",IF(COUNTIFS('Rules'!$G$7:$G$26,"="&amp;(SUBSTITUTE(SUBSTITUTE(SUBSTITUTE(SUBSTITUTE("type:"&amp;B849,"%","%25"),"~","%7E"),"*","%2A"),"?","%3F")))&gt;1,"Duplicate type",IF(INDEX('Rules'!$F$7:$F$26,MATCH(SUBSTITUTE(SUBSTITUTE(SUBSTITUTE(SUBSTITUTE("type:"&amp;B849,"%","%25"),"~","%7E"),"*","%2A"),"?","%3F"),'Rules'!$G$7:$G$26,0))&lt;&gt;"",INDEX('Rules'!$F$7:$F$26,MATCH(SUBSTITUTE(SUBSTITUTE(SUBSTITUTE(SUBSTITUTE("type:"&amp;B849,"%","%25"),"~","%7E"),"*","%2A"),"?","%3F"),'Rules'!$G$7:$G$26,0)),IF(AND(C849&lt;&gt;"",C849&lt;&gt;INDEX('Rules'!$B$7:$B$26,MATCH(SUBSTITUTE(SUBSTITUTE(SUBSTITUTE(SUBSTITUTE("type:"&amp;B849,"%","%25"),"~","%7E"),"*","%2A"),"?","%3F"),'Rules'!$G$7:$G$26,0))),"Unit mismatch",IF(IF(NOT(ISNUMBER(D849)),TRUE,OR(D849&lt;0,D849&gt;999999999,ROUND(D849,3)&lt;&gt;D849)),"Invalid current reading",IF(AND(E849&lt;&gt;"",IF(NOT(ISNUMBER(E849)),TRUE,OR(E849&lt;0,E849&gt;999999999,ROUND(E849,3)&lt;&gt;E849))),"Invalid previous reading",IF(IF(NOT(ISNUMBER(F849)),TRUE,OR(F849&lt;0,F849&gt;999999999,ROUND(F849,3)&lt;&gt;F849)),"Invalid last service",IF(AND(E849&lt;&gt;"",D849&lt;E849),"Decreased reading",IF(F849&gt;D849,"Last service above current","")))))))))))))</x:f>
      </x:c>
      <x:c r="L849" s="6" t="str">
        <x:f>IF(AND(NOT(COUNTA(A849:F849)=0),K849=""),INDEX('Rules'!$C$7:$C$26,MATCH(SUBSTITUTE(SUBSTITUTE(SUBSTITUTE(SUBSTITUTE("type:"&amp;B849,"%","%25"),"~","%7E"),"*","%2A"),"?","%3F"),'Rules'!$G$7:$G$26,0)),"")</x:f>
      </x:c>
      <x:c r="M849" s="6" t="str">
        <x:f>IF(AND(NOT(COUNTA(A849:F849)=0),K849=""),INDEX('Rules'!$D$7:$D$26,MATCH(SUBSTITUTE(SUBSTITUTE(SUBSTITUTE(SUBSTITUTE("type:"&amp;B849,"%","%25"),"~","%7E"),"*","%2A"),"?","%3F"),'Rules'!$G$7:$G$26,0)),"")</x:f>
      </x:c>
      <x:c r="N849" s="5" t="str">
        <x:f>IF(COUNTA(A849:F849)=0,"",SUBSTITUTE(SUBSTITUTE(SUBSTITUTE(SUBSTITUTE("id:"&amp;A849,"%","%25"),"~","%7E"),"*","%2A"),"?","%3F"))</x:f>
      </x:c>
    </x:row>
    <x:row r="850" ht="22" customHeight="1">
      <x:c r="A850" s="3"/>
      <x:c r="B850" s="3"/>
      <x:c r="C850" s="3"/>
      <x:c r="D850" s="4"/>
      <x:c r="E850" s="4"/>
      <x:c r="F850" s="4"/>
      <x:c r="G850" s="5" t="str">
        <x:f>IF(COUNTA(A850:F850)=0,"",IF(K850&lt;&gt;"","Review",IF(I850&lt;0,"Overdue",IF(I850=0,"Due now",IF(I850&lt;=M850,"Due soon","Not due")))))</x:f>
      </x:c>
      <x:c r="H850" s="5" t="str">
        <x:f>IF(OR(COUNTA(A850:F850)=0,COUNTIFS('Rules'!$G$7:$G$26,"="&amp;(SUBSTITUTE(SUBSTITUTE(SUBSTITUTE(SUBSTITUTE("type:"&amp;B850,"%","%25"),"~","%7E"),"*","%2A"),"?","%3F")))&lt;&gt;1),"",IF(OR(INDEX('Rules'!$B$7:$B$26,MATCH(SUBSTITUTE(SUBSTITUTE(SUBSTITUTE(SUBSTITUTE("type:"&amp;B850,"%","%25"),"~","%7E"),"*","%2A"),"?","%3F"),'Rules'!$G$7:$G$26,0))="hours",INDEX('Rules'!$B$7:$B$26,MATCH(SUBSTITUTE(SUBSTITUTE(SUBSTITUTE(SUBSTITUTE("type:"&amp;B850,"%","%25"),"~","%7E"),"*","%2A"),"?","%3F"),'Rules'!$G$7:$G$26,0))="km"),INDEX('Rules'!$B$7:$B$26,MATCH(SUBSTITUTE(SUBSTITUTE(SUBSTITUTE(SUBSTITUTE("type:"&amp;B850,"%","%25"),"~","%7E"),"*","%2A"),"?","%3F"),'Rules'!$G$7:$G$26,0)),""))</x:f>
      </x:c>
      <x:c r="I850" s="6" t="str">
        <x:f>IF(AND(NOT(COUNTA(A850:F850)=0),K850=""),ROUND(J850-D850,3),"")</x:f>
      </x:c>
      <x:c r="J850" s="6" t="str">
        <x:f>IF(AND(NOT(COUNTA(A850:F850)=0),K850=""),ROUND(F850+L850,3),"")</x:f>
      </x:c>
      <x:c r="K850" s="5" t="str">
        <x:f>IF(COUNTA(A850:F850)=0,"",IF(A850="","Missing equipment ID",IF(COUNTIFS($N$8:$N$2007,"="&amp;N850)&gt;1,"Duplicate equipment ID",IF(B850="","Missing type",IF(COUNTIFS('Rules'!$G$7:$G$26,"="&amp;(SUBSTITUTE(SUBSTITUTE(SUBSTITUTE(SUBSTITUTE("type:"&amp;B850,"%","%25"),"~","%7E"),"*","%2A"),"?","%3F")))=0,"Unknown type",IF(COUNTIFS('Rules'!$G$7:$G$26,"="&amp;(SUBSTITUTE(SUBSTITUTE(SUBSTITUTE(SUBSTITUTE("type:"&amp;B850,"%","%25"),"~","%7E"),"*","%2A"),"?","%3F")))&gt;1,"Duplicate type",IF(INDEX('Rules'!$F$7:$F$26,MATCH(SUBSTITUTE(SUBSTITUTE(SUBSTITUTE(SUBSTITUTE("type:"&amp;B850,"%","%25"),"~","%7E"),"*","%2A"),"?","%3F"),'Rules'!$G$7:$G$26,0))&lt;&gt;"",INDEX('Rules'!$F$7:$F$26,MATCH(SUBSTITUTE(SUBSTITUTE(SUBSTITUTE(SUBSTITUTE("type:"&amp;B850,"%","%25"),"~","%7E"),"*","%2A"),"?","%3F"),'Rules'!$G$7:$G$26,0)),IF(AND(C850&lt;&gt;"",C850&lt;&gt;INDEX('Rules'!$B$7:$B$26,MATCH(SUBSTITUTE(SUBSTITUTE(SUBSTITUTE(SUBSTITUTE("type:"&amp;B850,"%","%25"),"~","%7E"),"*","%2A"),"?","%3F"),'Rules'!$G$7:$G$26,0))),"Unit mismatch",IF(IF(NOT(ISNUMBER(D850)),TRUE,OR(D850&lt;0,D850&gt;999999999,ROUND(D850,3)&lt;&gt;D850)),"Invalid current reading",IF(AND(E850&lt;&gt;"",IF(NOT(ISNUMBER(E850)),TRUE,OR(E850&lt;0,E850&gt;999999999,ROUND(E850,3)&lt;&gt;E850))),"Invalid previous reading",IF(IF(NOT(ISNUMBER(F850)),TRUE,OR(F850&lt;0,F850&gt;999999999,ROUND(F850,3)&lt;&gt;F850)),"Invalid last service",IF(AND(E850&lt;&gt;"",D850&lt;E850),"Decreased reading",IF(F850&gt;D850,"Last service above current","")))))))))))))</x:f>
      </x:c>
      <x:c r="L850" s="6" t="str">
        <x:f>IF(AND(NOT(COUNTA(A850:F850)=0),K850=""),INDEX('Rules'!$C$7:$C$26,MATCH(SUBSTITUTE(SUBSTITUTE(SUBSTITUTE(SUBSTITUTE("type:"&amp;B850,"%","%25"),"~","%7E"),"*","%2A"),"?","%3F"),'Rules'!$G$7:$G$26,0)),"")</x:f>
      </x:c>
      <x:c r="M850" s="6" t="str">
        <x:f>IF(AND(NOT(COUNTA(A850:F850)=0),K850=""),INDEX('Rules'!$D$7:$D$26,MATCH(SUBSTITUTE(SUBSTITUTE(SUBSTITUTE(SUBSTITUTE("type:"&amp;B850,"%","%25"),"~","%7E"),"*","%2A"),"?","%3F"),'Rules'!$G$7:$G$26,0)),"")</x:f>
      </x:c>
      <x:c r="N850" s="5" t="str">
        <x:f>IF(COUNTA(A850:F850)=0,"",SUBSTITUTE(SUBSTITUTE(SUBSTITUTE(SUBSTITUTE("id:"&amp;A850,"%","%25"),"~","%7E"),"*","%2A"),"?","%3F"))</x:f>
      </x:c>
    </x:row>
    <x:row r="851" ht="22" customHeight="1">
      <x:c r="A851" s="3"/>
      <x:c r="B851" s="3"/>
      <x:c r="C851" s="3"/>
      <x:c r="D851" s="4"/>
      <x:c r="E851" s="4"/>
      <x:c r="F851" s="4"/>
      <x:c r="G851" s="5" t="str">
        <x:f>IF(COUNTA(A851:F851)=0,"",IF(K851&lt;&gt;"","Review",IF(I851&lt;0,"Overdue",IF(I851=0,"Due now",IF(I851&lt;=M851,"Due soon","Not due")))))</x:f>
      </x:c>
      <x:c r="H851" s="5" t="str">
        <x:f>IF(OR(COUNTA(A851:F851)=0,COUNTIFS('Rules'!$G$7:$G$26,"="&amp;(SUBSTITUTE(SUBSTITUTE(SUBSTITUTE(SUBSTITUTE("type:"&amp;B851,"%","%25"),"~","%7E"),"*","%2A"),"?","%3F")))&lt;&gt;1),"",IF(OR(INDEX('Rules'!$B$7:$B$26,MATCH(SUBSTITUTE(SUBSTITUTE(SUBSTITUTE(SUBSTITUTE("type:"&amp;B851,"%","%25"),"~","%7E"),"*","%2A"),"?","%3F"),'Rules'!$G$7:$G$26,0))="hours",INDEX('Rules'!$B$7:$B$26,MATCH(SUBSTITUTE(SUBSTITUTE(SUBSTITUTE(SUBSTITUTE("type:"&amp;B851,"%","%25"),"~","%7E"),"*","%2A"),"?","%3F"),'Rules'!$G$7:$G$26,0))="km"),INDEX('Rules'!$B$7:$B$26,MATCH(SUBSTITUTE(SUBSTITUTE(SUBSTITUTE(SUBSTITUTE("type:"&amp;B851,"%","%25"),"~","%7E"),"*","%2A"),"?","%3F"),'Rules'!$G$7:$G$26,0)),""))</x:f>
      </x:c>
      <x:c r="I851" s="6" t="str">
        <x:f>IF(AND(NOT(COUNTA(A851:F851)=0),K851=""),ROUND(J851-D851,3),"")</x:f>
      </x:c>
      <x:c r="J851" s="6" t="str">
        <x:f>IF(AND(NOT(COUNTA(A851:F851)=0),K851=""),ROUND(F851+L851,3),"")</x:f>
      </x:c>
      <x:c r="K851" s="5" t="str">
        <x:f>IF(COUNTA(A851:F851)=0,"",IF(A851="","Missing equipment ID",IF(COUNTIFS($N$8:$N$2007,"="&amp;N851)&gt;1,"Duplicate equipment ID",IF(B851="","Missing type",IF(COUNTIFS('Rules'!$G$7:$G$26,"="&amp;(SUBSTITUTE(SUBSTITUTE(SUBSTITUTE(SUBSTITUTE("type:"&amp;B851,"%","%25"),"~","%7E"),"*","%2A"),"?","%3F")))=0,"Unknown type",IF(COUNTIFS('Rules'!$G$7:$G$26,"="&amp;(SUBSTITUTE(SUBSTITUTE(SUBSTITUTE(SUBSTITUTE("type:"&amp;B851,"%","%25"),"~","%7E"),"*","%2A"),"?","%3F")))&gt;1,"Duplicate type",IF(INDEX('Rules'!$F$7:$F$26,MATCH(SUBSTITUTE(SUBSTITUTE(SUBSTITUTE(SUBSTITUTE("type:"&amp;B851,"%","%25"),"~","%7E"),"*","%2A"),"?","%3F"),'Rules'!$G$7:$G$26,0))&lt;&gt;"",INDEX('Rules'!$F$7:$F$26,MATCH(SUBSTITUTE(SUBSTITUTE(SUBSTITUTE(SUBSTITUTE("type:"&amp;B851,"%","%25"),"~","%7E"),"*","%2A"),"?","%3F"),'Rules'!$G$7:$G$26,0)),IF(AND(C851&lt;&gt;"",C851&lt;&gt;INDEX('Rules'!$B$7:$B$26,MATCH(SUBSTITUTE(SUBSTITUTE(SUBSTITUTE(SUBSTITUTE("type:"&amp;B851,"%","%25"),"~","%7E"),"*","%2A"),"?","%3F"),'Rules'!$G$7:$G$26,0))),"Unit mismatch",IF(IF(NOT(ISNUMBER(D851)),TRUE,OR(D851&lt;0,D851&gt;999999999,ROUND(D851,3)&lt;&gt;D851)),"Invalid current reading",IF(AND(E851&lt;&gt;"",IF(NOT(ISNUMBER(E851)),TRUE,OR(E851&lt;0,E851&gt;999999999,ROUND(E851,3)&lt;&gt;E851))),"Invalid previous reading",IF(IF(NOT(ISNUMBER(F851)),TRUE,OR(F851&lt;0,F851&gt;999999999,ROUND(F851,3)&lt;&gt;F851)),"Invalid last service",IF(AND(E851&lt;&gt;"",D851&lt;E851),"Decreased reading",IF(F851&gt;D851,"Last service above current","")))))))))))))</x:f>
      </x:c>
      <x:c r="L851" s="6" t="str">
        <x:f>IF(AND(NOT(COUNTA(A851:F851)=0),K851=""),INDEX('Rules'!$C$7:$C$26,MATCH(SUBSTITUTE(SUBSTITUTE(SUBSTITUTE(SUBSTITUTE("type:"&amp;B851,"%","%25"),"~","%7E"),"*","%2A"),"?","%3F"),'Rules'!$G$7:$G$26,0)),"")</x:f>
      </x:c>
      <x:c r="M851" s="6" t="str">
        <x:f>IF(AND(NOT(COUNTA(A851:F851)=0),K851=""),INDEX('Rules'!$D$7:$D$26,MATCH(SUBSTITUTE(SUBSTITUTE(SUBSTITUTE(SUBSTITUTE("type:"&amp;B851,"%","%25"),"~","%7E"),"*","%2A"),"?","%3F"),'Rules'!$G$7:$G$26,0)),"")</x:f>
      </x:c>
      <x:c r="N851" s="5" t="str">
        <x:f>IF(COUNTA(A851:F851)=0,"",SUBSTITUTE(SUBSTITUTE(SUBSTITUTE(SUBSTITUTE("id:"&amp;A851,"%","%25"),"~","%7E"),"*","%2A"),"?","%3F"))</x:f>
      </x:c>
    </x:row>
    <x:row r="852" ht="22" customHeight="1">
      <x:c r="A852" s="3"/>
      <x:c r="B852" s="3"/>
      <x:c r="C852" s="3"/>
      <x:c r="D852" s="4"/>
      <x:c r="E852" s="4"/>
      <x:c r="F852" s="4"/>
      <x:c r="G852" s="5" t="str">
        <x:f>IF(COUNTA(A852:F852)=0,"",IF(K852&lt;&gt;"","Review",IF(I852&lt;0,"Overdue",IF(I852=0,"Due now",IF(I852&lt;=M852,"Due soon","Not due")))))</x:f>
      </x:c>
      <x:c r="H852" s="5" t="str">
        <x:f>IF(OR(COUNTA(A852:F852)=0,COUNTIFS('Rules'!$G$7:$G$26,"="&amp;(SUBSTITUTE(SUBSTITUTE(SUBSTITUTE(SUBSTITUTE("type:"&amp;B852,"%","%25"),"~","%7E"),"*","%2A"),"?","%3F")))&lt;&gt;1),"",IF(OR(INDEX('Rules'!$B$7:$B$26,MATCH(SUBSTITUTE(SUBSTITUTE(SUBSTITUTE(SUBSTITUTE("type:"&amp;B852,"%","%25"),"~","%7E"),"*","%2A"),"?","%3F"),'Rules'!$G$7:$G$26,0))="hours",INDEX('Rules'!$B$7:$B$26,MATCH(SUBSTITUTE(SUBSTITUTE(SUBSTITUTE(SUBSTITUTE("type:"&amp;B852,"%","%25"),"~","%7E"),"*","%2A"),"?","%3F"),'Rules'!$G$7:$G$26,0))="km"),INDEX('Rules'!$B$7:$B$26,MATCH(SUBSTITUTE(SUBSTITUTE(SUBSTITUTE(SUBSTITUTE("type:"&amp;B852,"%","%25"),"~","%7E"),"*","%2A"),"?","%3F"),'Rules'!$G$7:$G$26,0)),""))</x:f>
      </x:c>
      <x:c r="I852" s="6" t="str">
        <x:f>IF(AND(NOT(COUNTA(A852:F852)=0),K852=""),ROUND(J852-D852,3),"")</x:f>
      </x:c>
      <x:c r="J852" s="6" t="str">
        <x:f>IF(AND(NOT(COUNTA(A852:F852)=0),K852=""),ROUND(F852+L852,3),"")</x:f>
      </x:c>
      <x:c r="K852" s="5" t="str">
        <x:f>IF(COUNTA(A852:F852)=0,"",IF(A852="","Missing equipment ID",IF(COUNTIFS($N$8:$N$2007,"="&amp;N852)&gt;1,"Duplicate equipment ID",IF(B852="","Missing type",IF(COUNTIFS('Rules'!$G$7:$G$26,"="&amp;(SUBSTITUTE(SUBSTITUTE(SUBSTITUTE(SUBSTITUTE("type:"&amp;B852,"%","%25"),"~","%7E"),"*","%2A"),"?","%3F")))=0,"Unknown type",IF(COUNTIFS('Rules'!$G$7:$G$26,"="&amp;(SUBSTITUTE(SUBSTITUTE(SUBSTITUTE(SUBSTITUTE("type:"&amp;B852,"%","%25"),"~","%7E"),"*","%2A"),"?","%3F")))&gt;1,"Duplicate type",IF(INDEX('Rules'!$F$7:$F$26,MATCH(SUBSTITUTE(SUBSTITUTE(SUBSTITUTE(SUBSTITUTE("type:"&amp;B852,"%","%25"),"~","%7E"),"*","%2A"),"?","%3F"),'Rules'!$G$7:$G$26,0))&lt;&gt;"",INDEX('Rules'!$F$7:$F$26,MATCH(SUBSTITUTE(SUBSTITUTE(SUBSTITUTE(SUBSTITUTE("type:"&amp;B852,"%","%25"),"~","%7E"),"*","%2A"),"?","%3F"),'Rules'!$G$7:$G$26,0)),IF(AND(C852&lt;&gt;"",C852&lt;&gt;INDEX('Rules'!$B$7:$B$26,MATCH(SUBSTITUTE(SUBSTITUTE(SUBSTITUTE(SUBSTITUTE("type:"&amp;B852,"%","%25"),"~","%7E"),"*","%2A"),"?","%3F"),'Rules'!$G$7:$G$26,0))),"Unit mismatch",IF(IF(NOT(ISNUMBER(D852)),TRUE,OR(D852&lt;0,D852&gt;999999999,ROUND(D852,3)&lt;&gt;D852)),"Invalid current reading",IF(AND(E852&lt;&gt;"",IF(NOT(ISNUMBER(E852)),TRUE,OR(E852&lt;0,E852&gt;999999999,ROUND(E852,3)&lt;&gt;E852))),"Invalid previous reading",IF(IF(NOT(ISNUMBER(F852)),TRUE,OR(F852&lt;0,F852&gt;999999999,ROUND(F852,3)&lt;&gt;F852)),"Invalid last service",IF(AND(E852&lt;&gt;"",D852&lt;E852),"Decreased reading",IF(F852&gt;D852,"Last service above current","")))))))))))))</x:f>
      </x:c>
      <x:c r="L852" s="6" t="str">
        <x:f>IF(AND(NOT(COUNTA(A852:F852)=0),K852=""),INDEX('Rules'!$C$7:$C$26,MATCH(SUBSTITUTE(SUBSTITUTE(SUBSTITUTE(SUBSTITUTE("type:"&amp;B852,"%","%25"),"~","%7E"),"*","%2A"),"?","%3F"),'Rules'!$G$7:$G$26,0)),"")</x:f>
      </x:c>
      <x:c r="M852" s="6" t="str">
        <x:f>IF(AND(NOT(COUNTA(A852:F852)=0),K852=""),INDEX('Rules'!$D$7:$D$26,MATCH(SUBSTITUTE(SUBSTITUTE(SUBSTITUTE(SUBSTITUTE("type:"&amp;B852,"%","%25"),"~","%7E"),"*","%2A"),"?","%3F"),'Rules'!$G$7:$G$26,0)),"")</x:f>
      </x:c>
      <x:c r="N852" s="5" t="str">
        <x:f>IF(COUNTA(A852:F852)=0,"",SUBSTITUTE(SUBSTITUTE(SUBSTITUTE(SUBSTITUTE("id:"&amp;A852,"%","%25"),"~","%7E"),"*","%2A"),"?","%3F"))</x:f>
      </x:c>
    </x:row>
    <x:row r="853" ht="22" customHeight="1">
      <x:c r="A853" s="3"/>
      <x:c r="B853" s="3"/>
      <x:c r="C853" s="3"/>
      <x:c r="D853" s="4"/>
      <x:c r="E853" s="4"/>
      <x:c r="F853" s="4"/>
      <x:c r="G853" s="5" t="str">
        <x:f>IF(COUNTA(A853:F853)=0,"",IF(K853&lt;&gt;"","Review",IF(I853&lt;0,"Overdue",IF(I853=0,"Due now",IF(I853&lt;=M853,"Due soon","Not due")))))</x:f>
      </x:c>
      <x:c r="H853" s="5" t="str">
        <x:f>IF(OR(COUNTA(A853:F853)=0,COUNTIFS('Rules'!$G$7:$G$26,"="&amp;(SUBSTITUTE(SUBSTITUTE(SUBSTITUTE(SUBSTITUTE("type:"&amp;B853,"%","%25"),"~","%7E"),"*","%2A"),"?","%3F")))&lt;&gt;1),"",IF(OR(INDEX('Rules'!$B$7:$B$26,MATCH(SUBSTITUTE(SUBSTITUTE(SUBSTITUTE(SUBSTITUTE("type:"&amp;B853,"%","%25"),"~","%7E"),"*","%2A"),"?","%3F"),'Rules'!$G$7:$G$26,0))="hours",INDEX('Rules'!$B$7:$B$26,MATCH(SUBSTITUTE(SUBSTITUTE(SUBSTITUTE(SUBSTITUTE("type:"&amp;B853,"%","%25"),"~","%7E"),"*","%2A"),"?","%3F"),'Rules'!$G$7:$G$26,0))="km"),INDEX('Rules'!$B$7:$B$26,MATCH(SUBSTITUTE(SUBSTITUTE(SUBSTITUTE(SUBSTITUTE("type:"&amp;B853,"%","%25"),"~","%7E"),"*","%2A"),"?","%3F"),'Rules'!$G$7:$G$26,0)),""))</x:f>
      </x:c>
      <x:c r="I853" s="6" t="str">
        <x:f>IF(AND(NOT(COUNTA(A853:F853)=0),K853=""),ROUND(J853-D853,3),"")</x:f>
      </x:c>
      <x:c r="J853" s="6" t="str">
        <x:f>IF(AND(NOT(COUNTA(A853:F853)=0),K853=""),ROUND(F853+L853,3),"")</x:f>
      </x:c>
      <x:c r="K853" s="5" t="str">
        <x:f>IF(COUNTA(A853:F853)=0,"",IF(A853="","Missing equipment ID",IF(COUNTIFS($N$8:$N$2007,"="&amp;N853)&gt;1,"Duplicate equipment ID",IF(B853="","Missing type",IF(COUNTIFS('Rules'!$G$7:$G$26,"="&amp;(SUBSTITUTE(SUBSTITUTE(SUBSTITUTE(SUBSTITUTE("type:"&amp;B853,"%","%25"),"~","%7E"),"*","%2A"),"?","%3F")))=0,"Unknown type",IF(COUNTIFS('Rules'!$G$7:$G$26,"="&amp;(SUBSTITUTE(SUBSTITUTE(SUBSTITUTE(SUBSTITUTE("type:"&amp;B853,"%","%25"),"~","%7E"),"*","%2A"),"?","%3F")))&gt;1,"Duplicate type",IF(INDEX('Rules'!$F$7:$F$26,MATCH(SUBSTITUTE(SUBSTITUTE(SUBSTITUTE(SUBSTITUTE("type:"&amp;B853,"%","%25"),"~","%7E"),"*","%2A"),"?","%3F"),'Rules'!$G$7:$G$26,0))&lt;&gt;"",INDEX('Rules'!$F$7:$F$26,MATCH(SUBSTITUTE(SUBSTITUTE(SUBSTITUTE(SUBSTITUTE("type:"&amp;B853,"%","%25"),"~","%7E"),"*","%2A"),"?","%3F"),'Rules'!$G$7:$G$26,0)),IF(AND(C853&lt;&gt;"",C853&lt;&gt;INDEX('Rules'!$B$7:$B$26,MATCH(SUBSTITUTE(SUBSTITUTE(SUBSTITUTE(SUBSTITUTE("type:"&amp;B853,"%","%25"),"~","%7E"),"*","%2A"),"?","%3F"),'Rules'!$G$7:$G$26,0))),"Unit mismatch",IF(IF(NOT(ISNUMBER(D853)),TRUE,OR(D853&lt;0,D853&gt;999999999,ROUND(D853,3)&lt;&gt;D853)),"Invalid current reading",IF(AND(E853&lt;&gt;"",IF(NOT(ISNUMBER(E853)),TRUE,OR(E853&lt;0,E853&gt;999999999,ROUND(E853,3)&lt;&gt;E853))),"Invalid previous reading",IF(IF(NOT(ISNUMBER(F853)),TRUE,OR(F853&lt;0,F853&gt;999999999,ROUND(F853,3)&lt;&gt;F853)),"Invalid last service",IF(AND(E853&lt;&gt;"",D853&lt;E853),"Decreased reading",IF(F853&gt;D853,"Last service above current","")))))))))))))</x:f>
      </x:c>
      <x:c r="L853" s="6" t="str">
        <x:f>IF(AND(NOT(COUNTA(A853:F853)=0),K853=""),INDEX('Rules'!$C$7:$C$26,MATCH(SUBSTITUTE(SUBSTITUTE(SUBSTITUTE(SUBSTITUTE("type:"&amp;B853,"%","%25"),"~","%7E"),"*","%2A"),"?","%3F"),'Rules'!$G$7:$G$26,0)),"")</x:f>
      </x:c>
      <x:c r="M853" s="6" t="str">
        <x:f>IF(AND(NOT(COUNTA(A853:F853)=0),K853=""),INDEX('Rules'!$D$7:$D$26,MATCH(SUBSTITUTE(SUBSTITUTE(SUBSTITUTE(SUBSTITUTE("type:"&amp;B853,"%","%25"),"~","%7E"),"*","%2A"),"?","%3F"),'Rules'!$G$7:$G$26,0)),"")</x:f>
      </x:c>
      <x:c r="N853" s="5" t="str">
        <x:f>IF(COUNTA(A853:F853)=0,"",SUBSTITUTE(SUBSTITUTE(SUBSTITUTE(SUBSTITUTE("id:"&amp;A853,"%","%25"),"~","%7E"),"*","%2A"),"?","%3F"))</x:f>
      </x:c>
    </x:row>
    <x:row r="854" ht="22" customHeight="1">
      <x:c r="A854" s="3"/>
      <x:c r="B854" s="3"/>
      <x:c r="C854" s="3"/>
      <x:c r="D854" s="4"/>
      <x:c r="E854" s="4"/>
      <x:c r="F854" s="4"/>
      <x:c r="G854" s="5" t="str">
        <x:f>IF(COUNTA(A854:F854)=0,"",IF(K854&lt;&gt;"","Review",IF(I854&lt;0,"Overdue",IF(I854=0,"Due now",IF(I854&lt;=M854,"Due soon","Not due")))))</x:f>
      </x:c>
      <x:c r="H854" s="5" t="str">
        <x:f>IF(OR(COUNTA(A854:F854)=0,COUNTIFS('Rules'!$G$7:$G$26,"="&amp;(SUBSTITUTE(SUBSTITUTE(SUBSTITUTE(SUBSTITUTE("type:"&amp;B854,"%","%25"),"~","%7E"),"*","%2A"),"?","%3F")))&lt;&gt;1),"",IF(OR(INDEX('Rules'!$B$7:$B$26,MATCH(SUBSTITUTE(SUBSTITUTE(SUBSTITUTE(SUBSTITUTE("type:"&amp;B854,"%","%25"),"~","%7E"),"*","%2A"),"?","%3F"),'Rules'!$G$7:$G$26,0))="hours",INDEX('Rules'!$B$7:$B$26,MATCH(SUBSTITUTE(SUBSTITUTE(SUBSTITUTE(SUBSTITUTE("type:"&amp;B854,"%","%25"),"~","%7E"),"*","%2A"),"?","%3F"),'Rules'!$G$7:$G$26,0))="km"),INDEX('Rules'!$B$7:$B$26,MATCH(SUBSTITUTE(SUBSTITUTE(SUBSTITUTE(SUBSTITUTE("type:"&amp;B854,"%","%25"),"~","%7E"),"*","%2A"),"?","%3F"),'Rules'!$G$7:$G$26,0)),""))</x:f>
      </x:c>
      <x:c r="I854" s="6" t="str">
        <x:f>IF(AND(NOT(COUNTA(A854:F854)=0),K854=""),ROUND(J854-D854,3),"")</x:f>
      </x:c>
      <x:c r="J854" s="6" t="str">
        <x:f>IF(AND(NOT(COUNTA(A854:F854)=0),K854=""),ROUND(F854+L854,3),"")</x:f>
      </x:c>
      <x:c r="K854" s="5" t="str">
        <x:f>IF(COUNTA(A854:F854)=0,"",IF(A854="","Missing equipment ID",IF(COUNTIFS($N$8:$N$2007,"="&amp;N854)&gt;1,"Duplicate equipment ID",IF(B854="","Missing type",IF(COUNTIFS('Rules'!$G$7:$G$26,"="&amp;(SUBSTITUTE(SUBSTITUTE(SUBSTITUTE(SUBSTITUTE("type:"&amp;B854,"%","%25"),"~","%7E"),"*","%2A"),"?","%3F")))=0,"Unknown type",IF(COUNTIFS('Rules'!$G$7:$G$26,"="&amp;(SUBSTITUTE(SUBSTITUTE(SUBSTITUTE(SUBSTITUTE("type:"&amp;B854,"%","%25"),"~","%7E"),"*","%2A"),"?","%3F")))&gt;1,"Duplicate type",IF(INDEX('Rules'!$F$7:$F$26,MATCH(SUBSTITUTE(SUBSTITUTE(SUBSTITUTE(SUBSTITUTE("type:"&amp;B854,"%","%25"),"~","%7E"),"*","%2A"),"?","%3F"),'Rules'!$G$7:$G$26,0))&lt;&gt;"",INDEX('Rules'!$F$7:$F$26,MATCH(SUBSTITUTE(SUBSTITUTE(SUBSTITUTE(SUBSTITUTE("type:"&amp;B854,"%","%25"),"~","%7E"),"*","%2A"),"?","%3F"),'Rules'!$G$7:$G$26,0)),IF(AND(C854&lt;&gt;"",C854&lt;&gt;INDEX('Rules'!$B$7:$B$26,MATCH(SUBSTITUTE(SUBSTITUTE(SUBSTITUTE(SUBSTITUTE("type:"&amp;B854,"%","%25"),"~","%7E"),"*","%2A"),"?","%3F"),'Rules'!$G$7:$G$26,0))),"Unit mismatch",IF(IF(NOT(ISNUMBER(D854)),TRUE,OR(D854&lt;0,D854&gt;999999999,ROUND(D854,3)&lt;&gt;D854)),"Invalid current reading",IF(AND(E854&lt;&gt;"",IF(NOT(ISNUMBER(E854)),TRUE,OR(E854&lt;0,E854&gt;999999999,ROUND(E854,3)&lt;&gt;E854))),"Invalid previous reading",IF(IF(NOT(ISNUMBER(F854)),TRUE,OR(F854&lt;0,F854&gt;999999999,ROUND(F854,3)&lt;&gt;F854)),"Invalid last service",IF(AND(E854&lt;&gt;"",D854&lt;E854),"Decreased reading",IF(F854&gt;D854,"Last service above current","")))))))))))))</x:f>
      </x:c>
      <x:c r="L854" s="6" t="str">
        <x:f>IF(AND(NOT(COUNTA(A854:F854)=0),K854=""),INDEX('Rules'!$C$7:$C$26,MATCH(SUBSTITUTE(SUBSTITUTE(SUBSTITUTE(SUBSTITUTE("type:"&amp;B854,"%","%25"),"~","%7E"),"*","%2A"),"?","%3F"),'Rules'!$G$7:$G$26,0)),"")</x:f>
      </x:c>
      <x:c r="M854" s="6" t="str">
        <x:f>IF(AND(NOT(COUNTA(A854:F854)=0),K854=""),INDEX('Rules'!$D$7:$D$26,MATCH(SUBSTITUTE(SUBSTITUTE(SUBSTITUTE(SUBSTITUTE("type:"&amp;B854,"%","%25"),"~","%7E"),"*","%2A"),"?","%3F"),'Rules'!$G$7:$G$26,0)),"")</x:f>
      </x:c>
      <x:c r="N854" s="5" t="str">
        <x:f>IF(COUNTA(A854:F854)=0,"",SUBSTITUTE(SUBSTITUTE(SUBSTITUTE(SUBSTITUTE("id:"&amp;A854,"%","%25"),"~","%7E"),"*","%2A"),"?","%3F"))</x:f>
      </x:c>
    </x:row>
    <x:row r="855" ht="22" customHeight="1">
      <x:c r="A855" s="3"/>
      <x:c r="B855" s="3"/>
      <x:c r="C855" s="3"/>
      <x:c r="D855" s="4"/>
      <x:c r="E855" s="4"/>
      <x:c r="F855" s="4"/>
      <x:c r="G855" s="5" t="str">
        <x:f>IF(COUNTA(A855:F855)=0,"",IF(K855&lt;&gt;"","Review",IF(I855&lt;0,"Overdue",IF(I855=0,"Due now",IF(I855&lt;=M855,"Due soon","Not due")))))</x:f>
      </x:c>
      <x:c r="H855" s="5" t="str">
        <x:f>IF(OR(COUNTA(A855:F855)=0,COUNTIFS('Rules'!$G$7:$G$26,"="&amp;(SUBSTITUTE(SUBSTITUTE(SUBSTITUTE(SUBSTITUTE("type:"&amp;B855,"%","%25"),"~","%7E"),"*","%2A"),"?","%3F")))&lt;&gt;1),"",IF(OR(INDEX('Rules'!$B$7:$B$26,MATCH(SUBSTITUTE(SUBSTITUTE(SUBSTITUTE(SUBSTITUTE("type:"&amp;B855,"%","%25"),"~","%7E"),"*","%2A"),"?","%3F"),'Rules'!$G$7:$G$26,0))="hours",INDEX('Rules'!$B$7:$B$26,MATCH(SUBSTITUTE(SUBSTITUTE(SUBSTITUTE(SUBSTITUTE("type:"&amp;B855,"%","%25"),"~","%7E"),"*","%2A"),"?","%3F"),'Rules'!$G$7:$G$26,0))="km"),INDEX('Rules'!$B$7:$B$26,MATCH(SUBSTITUTE(SUBSTITUTE(SUBSTITUTE(SUBSTITUTE("type:"&amp;B855,"%","%25"),"~","%7E"),"*","%2A"),"?","%3F"),'Rules'!$G$7:$G$26,0)),""))</x:f>
      </x:c>
      <x:c r="I855" s="6" t="str">
        <x:f>IF(AND(NOT(COUNTA(A855:F855)=0),K855=""),ROUND(J855-D855,3),"")</x:f>
      </x:c>
      <x:c r="J855" s="6" t="str">
        <x:f>IF(AND(NOT(COUNTA(A855:F855)=0),K855=""),ROUND(F855+L855,3),"")</x:f>
      </x:c>
      <x:c r="K855" s="5" t="str">
        <x:f>IF(COUNTA(A855:F855)=0,"",IF(A855="","Missing equipment ID",IF(COUNTIFS($N$8:$N$2007,"="&amp;N855)&gt;1,"Duplicate equipment ID",IF(B855="","Missing type",IF(COUNTIFS('Rules'!$G$7:$G$26,"="&amp;(SUBSTITUTE(SUBSTITUTE(SUBSTITUTE(SUBSTITUTE("type:"&amp;B855,"%","%25"),"~","%7E"),"*","%2A"),"?","%3F")))=0,"Unknown type",IF(COUNTIFS('Rules'!$G$7:$G$26,"="&amp;(SUBSTITUTE(SUBSTITUTE(SUBSTITUTE(SUBSTITUTE("type:"&amp;B855,"%","%25"),"~","%7E"),"*","%2A"),"?","%3F")))&gt;1,"Duplicate type",IF(INDEX('Rules'!$F$7:$F$26,MATCH(SUBSTITUTE(SUBSTITUTE(SUBSTITUTE(SUBSTITUTE("type:"&amp;B855,"%","%25"),"~","%7E"),"*","%2A"),"?","%3F"),'Rules'!$G$7:$G$26,0))&lt;&gt;"",INDEX('Rules'!$F$7:$F$26,MATCH(SUBSTITUTE(SUBSTITUTE(SUBSTITUTE(SUBSTITUTE("type:"&amp;B855,"%","%25"),"~","%7E"),"*","%2A"),"?","%3F"),'Rules'!$G$7:$G$26,0)),IF(AND(C855&lt;&gt;"",C855&lt;&gt;INDEX('Rules'!$B$7:$B$26,MATCH(SUBSTITUTE(SUBSTITUTE(SUBSTITUTE(SUBSTITUTE("type:"&amp;B855,"%","%25"),"~","%7E"),"*","%2A"),"?","%3F"),'Rules'!$G$7:$G$26,0))),"Unit mismatch",IF(IF(NOT(ISNUMBER(D855)),TRUE,OR(D855&lt;0,D855&gt;999999999,ROUND(D855,3)&lt;&gt;D855)),"Invalid current reading",IF(AND(E855&lt;&gt;"",IF(NOT(ISNUMBER(E855)),TRUE,OR(E855&lt;0,E855&gt;999999999,ROUND(E855,3)&lt;&gt;E855))),"Invalid previous reading",IF(IF(NOT(ISNUMBER(F855)),TRUE,OR(F855&lt;0,F855&gt;999999999,ROUND(F855,3)&lt;&gt;F855)),"Invalid last service",IF(AND(E855&lt;&gt;"",D855&lt;E855),"Decreased reading",IF(F855&gt;D855,"Last service above current","")))))))))))))</x:f>
      </x:c>
      <x:c r="L855" s="6" t="str">
        <x:f>IF(AND(NOT(COUNTA(A855:F855)=0),K855=""),INDEX('Rules'!$C$7:$C$26,MATCH(SUBSTITUTE(SUBSTITUTE(SUBSTITUTE(SUBSTITUTE("type:"&amp;B855,"%","%25"),"~","%7E"),"*","%2A"),"?","%3F"),'Rules'!$G$7:$G$26,0)),"")</x:f>
      </x:c>
      <x:c r="M855" s="6" t="str">
        <x:f>IF(AND(NOT(COUNTA(A855:F855)=0),K855=""),INDEX('Rules'!$D$7:$D$26,MATCH(SUBSTITUTE(SUBSTITUTE(SUBSTITUTE(SUBSTITUTE("type:"&amp;B855,"%","%25"),"~","%7E"),"*","%2A"),"?","%3F"),'Rules'!$G$7:$G$26,0)),"")</x:f>
      </x:c>
      <x:c r="N855" s="5" t="str">
        <x:f>IF(COUNTA(A855:F855)=0,"",SUBSTITUTE(SUBSTITUTE(SUBSTITUTE(SUBSTITUTE("id:"&amp;A855,"%","%25"),"~","%7E"),"*","%2A"),"?","%3F"))</x:f>
      </x:c>
    </x:row>
    <x:row r="856" ht="22" customHeight="1">
      <x:c r="A856" s="3"/>
      <x:c r="B856" s="3"/>
      <x:c r="C856" s="3"/>
      <x:c r="D856" s="4"/>
      <x:c r="E856" s="4"/>
      <x:c r="F856" s="4"/>
      <x:c r="G856" s="5" t="str">
        <x:f>IF(COUNTA(A856:F856)=0,"",IF(K856&lt;&gt;"","Review",IF(I856&lt;0,"Overdue",IF(I856=0,"Due now",IF(I856&lt;=M856,"Due soon","Not due")))))</x:f>
      </x:c>
      <x:c r="H856" s="5" t="str">
        <x:f>IF(OR(COUNTA(A856:F856)=0,COUNTIFS('Rules'!$G$7:$G$26,"="&amp;(SUBSTITUTE(SUBSTITUTE(SUBSTITUTE(SUBSTITUTE("type:"&amp;B856,"%","%25"),"~","%7E"),"*","%2A"),"?","%3F")))&lt;&gt;1),"",IF(OR(INDEX('Rules'!$B$7:$B$26,MATCH(SUBSTITUTE(SUBSTITUTE(SUBSTITUTE(SUBSTITUTE("type:"&amp;B856,"%","%25"),"~","%7E"),"*","%2A"),"?","%3F"),'Rules'!$G$7:$G$26,0))="hours",INDEX('Rules'!$B$7:$B$26,MATCH(SUBSTITUTE(SUBSTITUTE(SUBSTITUTE(SUBSTITUTE("type:"&amp;B856,"%","%25"),"~","%7E"),"*","%2A"),"?","%3F"),'Rules'!$G$7:$G$26,0))="km"),INDEX('Rules'!$B$7:$B$26,MATCH(SUBSTITUTE(SUBSTITUTE(SUBSTITUTE(SUBSTITUTE("type:"&amp;B856,"%","%25"),"~","%7E"),"*","%2A"),"?","%3F"),'Rules'!$G$7:$G$26,0)),""))</x:f>
      </x:c>
      <x:c r="I856" s="6" t="str">
        <x:f>IF(AND(NOT(COUNTA(A856:F856)=0),K856=""),ROUND(J856-D856,3),"")</x:f>
      </x:c>
      <x:c r="J856" s="6" t="str">
        <x:f>IF(AND(NOT(COUNTA(A856:F856)=0),K856=""),ROUND(F856+L856,3),"")</x:f>
      </x:c>
      <x:c r="K856" s="5" t="str">
        <x:f>IF(COUNTA(A856:F856)=0,"",IF(A856="","Missing equipment ID",IF(COUNTIFS($N$8:$N$2007,"="&amp;N856)&gt;1,"Duplicate equipment ID",IF(B856="","Missing type",IF(COUNTIFS('Rules'!$G$7:$G$26,"="&amp;(SUBSTITUTE(SUBSTITUTE(SUBSTITUTE(SUBSTITUTE("type:"&amp;B856,"%","%25"),"~","%7E"),"*","%2A"),"?","%3F")))=0,"Unknown type",IF(COUNTIFS('Rules'!$G$7:$G$26,"="&amp;(SUBSTITUTE(SUBSTITUTE(SUBSTITUTE(SUBSTITUTE("type:"&amp;B856,"%","%25"),"~","%7E"),"*","%2A"),"?","%3F")))&gt;1,"Duplicate type",IF(INDEX('Rules'!$F$7:$F$26,MATCH(SUBSTITUTE(SUBSTITUTE(SUBSTITUTE(SUBSTITUTE("type:"&amp;B856,"%","%25"),"~","%7E"),"*","%2A"),"?","%3F"),'Rules'!$G$7:$G$26,0))&lt;&gt;"",INDEX('Rules'!$F$7:$F$26,MATCH(SUBSTITUTE(SUBSTITUTE(SUBSTITUTE(SUBSTITUTE("type:"&amp;B856,"%","%25"),"~","%7E"),"*","%2A"),"?","%3F"),'Rules'!$G$7:$G$26,0)),IF(AND(C856&lt;&gt;"",C856&lt;&gt;INDEX('Rules'!$B$7:$B$26,MATCH(SUBSTITUTE(SUBSTITUTE(SUBSTITUTE(SUBSTITUTE("type:"&amp;B856,"%","%25"),"~","%7E"),"*","%2A"),"?","%3F"),'Rules'!$G$7:$G$26,0))),"Unit mismatch",IF(IF(NOT(ISNUMBER(D856)),TRUE,OR(D856&lt;0,D856&gt;999999999,ROUND(D856,3)&lt;&gt;D856)),"Invalid current reading",IF(AND(E856&lt;&gt;"",IF(NOT(ISNUMBER(E856)),TRUE,OR(E856&lt;0,E856&gt;999999999,ROUND(E856,3)&lt;&gt;E856))),"Invalid previous reading",IF(IF(NOT(ISNUMBER(F856)),TRUE,OR(F856&lt;0,F856&gt;999999999,ROUND(F856,3)&lt;&gt;F856)),"Invalid last service",IF(AND(E856&lt;&gt;"",D856&lt;E856),"Decreased reading",IF(F856&gt;D856,"Last service above current","")))))))))))))</x:f>
      </x:c>
      <x:c r="L856" s="6" t="str">
        <x:f>IF(AND(NOT(COUNTA(A856:F856)=0),K856=""),INDEX('Rules'!$C$7:$C$26,MATCH(SUBSTITUTE(SUBSTITUTE(SUBSTITUTE(SUBSTITUTE("type:"&amp;B856,"%","%25"),"~","%7E"),"*","%2A"),"?","%3F"),'Rules'!$G$7:$G$26,0)),"")</x:f>
      </x:c>
      <x:c r="M856" s="6" t="str">
        <x:f>IF(AND(NOT(COUNTA(A856:F856)=0),K856=""),INDEX('Rules'!$D$7:$D$26,MATCH(SUBSTITUTE(SUBSTITUTE(SUBSTITUTE(SUBSTITUTE("type:"&amp;B856,"%","%25"),"~","%7E"),"*","%2A"),"?","%3F"),'Rules'!$G$7:$G$26,0)),"")</x:f>
      </x:c>
      <x:c r="N856" s="5" t="str">
        <x:f>IF(COUNTA(A856:F856)=0,"",SUBSTITUTE(SUBSTITUTE(SUBSTITUTE(SUBSTITUTE("id:"&amp;A856,"%","%25"),"~","%7E"),"*","%2A"),"?","%3F"))</x:f>
      </x:c>
    </x:row>
    <x:row r="857" ht="22" customHeight="1">
      <x:c r="A857" s="3"/>
      <x:c r="B857" s="3"/>
      <x:c r="C857" s="3"/>
      <x:c r="D857" s="4"/>
      <x:c r="E857" s="4"/>
      <x:c r="F857" s="4"/>
      <x:c r="G857" s="5" t="str">
        <x:f>IF(COUNTA(A857:F857)=0,"",IF(K857&lt;&gt;"","Review",IF(I857&lt;0,"Overdue",IF(I857=0,"Due now",IF(I857&lt;=M857,"Due soon","Not due")))))</x:f>
      </x:c>
      <x:c r="H857" s="5" t="str">
        <x:f>IF(OR(COUNTA(A857:F857)=0,COUNTIFS('Rules'!$G$7:$G$26,"="&amp;(SUBSTITUTE(SUBSTITUTE(SUBSTITUTE(SUBSTITUTE("type:"&amp;B857,"%","%25"),"~","%7E"),"*","%2A"),"?","%3F")))&lt;&gt;1),"",IF(OR(INDEX('Rules'!$B$7:$B$26,MATCH(SUBSTITUTE(SUBSTITUTE(SUBSTITUTE(SUBSTITUTE("type:"&amp;B857,"%","%25"),"~","%7E"),"*","%2A"),"?","%3F"),'Rules'!$G$7:$G$26,0))="hours",INDEX('Rules'!$B$7:$B$26,MATCH(SUBSTITUTE(SUBSTITUTE(SUBSTITUTE(SUBSTITUTE("type:"&amp;B857,"%","%25"),"~","%7E"),"*","%2A"),"?","%3F"),'Rules'!$G$7:$G$26,0))="km"),INDEX('Rules'!$B$7:$B$26,MATCH(SUBSTITUTE(SUBSTITUTE(SUBSTITUTE(SUBSTITUTE("type:"&amp;B857,"%","%25"),"~","%7E"),"*","%2A"),"?","%3F"),'Rules'!$G$7:$G$26,0)),""))</x:f>
      </x:c>
      <x:c r="I857" s="6" t="str">
        <x:f>IF(AND(NOT(COUNTA(A857:F857)=0),K857=""),ROUND(J857-D857,3),"")</x:f>
      </x:c>
      <x:c r="J857" s="6" t="str">
        <x:f>IF(AND(NOT(COUNTA(A857:F857)=0),K857=""),ROUND(F857+L857,3),"")</x:f>
      </x:c>
      <x:c r="K857" s="5" t="str">
        <x:f>IF(COUNTA(A857:F857)=0,"",IF(A857="","Missing equipment ID",IF(COUNTIFS($N$8:$N$2007,"="&amp;N857)&gt;1,"Duplicate equipment ID",IF(B857="","Missing type",IF(COUNTIFS('Rules'!$G$7:$G$26,"="&amp;(SUBSTITUTE(SUBSTITUTE(SUBSTITUTE(SUBSTITUTE("type:"&amp;B857,"%","%25"),"~","%7E"),"*","%2A"),"?","%3F")))=0,"Unknown type",IF(COUNTIFS('Rules'!$G$7:$G$26,"="&amp;(SUBSTITUTE(SUBSTITUTE(SUBSTITUTE(SUBSTITUTE("type:"&amp;B857,"%","%25"),"~","%7E"),"*","%2A"),"?","%3F")))&gt;1,"Duplicate type",IF(INDEX('Rules'!$F$7:$F$26,MATCH(SUBSTITUTE(SUBSTITUTE(SUBSTITUTE(SUBSTITUTE("type:"&amp;B857,"%","%25"),"~","%7E"),"*","%2A"),"?","%3F"),'Rules'!$G$7:$G$26,0))&lt;&gt;"",INDEX('Rules'!$F$7:$F$26,MATCH(SUBSTITUTE(SUBSTITUTE(SUBSTITUTE(SUBSTITUTE("type:"&amp;B857,"%","%25"),"~","%7E"),"*","%2A"),"?","%3F"),'Rules'!$G$7:$G$26,0)),IF(AND(C857&lt;&gt;"",C857&lt;&gt;INDEX('Rules'!$B$7:$B$26,MATCH(SUBSTITUTE(SUBSTITUTE(SUBSTITUTE(SUBSTITUTE("type:"&amp;B857,"%","%25"),"~","%7E"),"*","%2A"),"?","%3F"),'Rules'!$G$7:$G$26,0))),"Unit mismatch",IF(IF(NOT(ISNUMBER(D857)),TRUE,OR(D857&lt;0,D857&gt;999999999,ROUND(D857,3)&lt;&gt;D857)),"Invalid current reading",IF(AND(E857&lt;&gt;"",IF(NOT(ISNUMBER(E857)),TRUE,OR(E857&lt;0,E857&gt;999999999,ROUND(E857,3)&lt;&gt;E857))),"Invalid previous reading",IF(IF(NOT(ISNUMBER(F857)),TRUE,OR(F857&lt;0,F857&gt;999999999,ROUND(F857,3)&lt;&gt;F857)),"Invalid last service",IF(AND(E857&lt;&gt;"",D857&lt;E857),"Decreased reading",IF(F857&gt;D857,"Last service above current","")))))))))))))</x:f>
      </x:c>
      <x:c r="L857" s="6" t="str">
        <x:f>IF(AND(NOT(COUNTA(A857:F857)=0),K857=""),INDEX('Rules'!$C$7:$C$26,MATCH(SUBSTITUTE(SUBSTITUTE(SUBSTITUTE(SUBSTITUTE("type:"&amp;B857,"%","%25"),"~","%7E"),"*","%2A"),"?","%3F"),'Rules'!$G$7:$G$26,0)),"")</x:f>
      </x:c>
      <x:c r="M857" s="6" t="str">
        <x:f>IF(AND(NOT(COUNTA(A857:F857)=0),K857=""),INDEX('Rules'!$D$7:$D$26,MATCH(SUBSTITUTE(SUBSTITUTE(SUBSTITUTE(SUBSTITUTE("type:"&amp;B857,"%","%25"),"~","%7E"),"*","%2A"),"?","%3F"),'Rules'!$G$7:$G$26,0)),"")</x:f>
      </x:c>
      <x:c r="N857" s="5" t="str">
        <x:f>IF(COUNTA(A857:F857)=0,"",SUBSTITUTE(SUBSTITUTE(SUBSTITUTE(SUBSTITUTE("id:"&amp;A857,"%","%25"),"~","%7E"),"*","%2A"),"?","%3F"))</x:f>
      </x:c>
    </x:row>
    <x:row r="858" ht="22" customHeight="1">
      <x:c r="A858" s="3"/>
      <x:c r="B858" s="3"/>
      <x:c r="C858" s="3"/>
      <x:c r="D858" s="4"/>
      <x:c r="E858" s="4"/>
      <x:c r="F858" s="4"/>
      <x:c r="G858" s="5" t="str">
        <x:f>IF(COUNTA(A858:F858)=0,"",IF(K858&lt;&gt;"","Review",IF(I858&lt;0,"Overdue",IF(I858=0,"Due now",IF(I858&lt;=M858,"Due soon","Not due")))))</x:f>
      </x:c>
      <x:c r="H858" s="5" t="str">
        <x:f>IF(OR(COUNTA(A858:F858)=0,COUNTIFS('Rules'!$G$7:$G$26,"="&amp;(SUBSTITUTE(SUBSTITUTE(SUBSTITUTE(SUBSTITUTE("type:"&amp;B858,"%","%25"),"~","%7E"),"*","%2A"),"?","%3F")))&lt;&gt;1),"",IF(OR(INDEX('Rules'!$B$7:$B$26,MATCH(SUBSTITUTE(SUBSTITUTE(SUBSTITUTE(SUBSTITUTE("type:"&amp;B858,"%","%25"),"~","%7E"),"*","%2A"),"?","%3F"),'Rules'!$G$7:$G$26,0))="hours",INDEX('Rules'!$B$7:$B$26,MATCH(SUBSTITUTE(SUBSTITUTE(SUBSTITUTE(SUBSTITUTE("type:"&amp;B858,"%","%25"),"~","%7E"),"*","%2A"),"?","%3F"),'Rules'!$G$7:$G$26,0))="km"),INDEX('Rules'!$B$7:$B$26,MATCH(SUBSTITUTE(SUBSTITUTE(SUBSTITUTE(SUBSTITUTE("type:"&amp;B858,"%","%25"),"~","%7E"),"*","%2A"),"?","%3F"),'Rules'!$G$7:$G$26,0)),""))</x:f>
      </x:c>
      <x:c r="I858" s="6" t="str">
        <x:f>IF(AND(NOT(COUNTA(A858:F858)=0),K858=""),ROUND(J858-D858,3),"")</x:f>
      </x:c>
      <x:c r="J858" s="6" t="str">
        <x:f>IF(AND(NOT(COUNTA(A858:F858)=0),K858=""),ROUND(F858+L858,3),"")</x:f>
      </x:c>
      <x:c r="K858" s="5" t="str">
        <x:f>IF(COUNTA(A858:F858)=0,"",IF(A858="","Missing equipment ID",IF(COUNTIFS($N$8:$N$2007,"="&amp;N858)&gt;1,"Duplicate equipment ID",IF(B858="","Missing type",IF(COUNTIFS('Rules'!$G$7:$G$26,"="&amp;(SUBSTITUTE(SUBSTITUTE(SUBSTITUTE(SUBSTITUTE("type:"&amp;B858,"%","%25"),"~","%7E"),"*","%2A"),"?","%3F")))=0,"Unknown type",IF(COUNTIFS('Rules'!$G$7:$G$26,"="&amp;(SUBSTITUTE(SUBSTITUTE(SUBSTITUTE(SUBSTITUTE("type:"&amp;B858,"%","%25"),"~","%7E"),"*","%2A"),"?","%3F")))&gt;1,"Duplicate type",IF(INDEX('Rules'!$F$7:$F$26,MATCH(SUBSTITUTE(SUBSTITUTE(SUBSTITUTE(SUBSTITUTE("type:"&amp;B858,"%","%25"),"~","%7E"),"*","%2A"),"?","%3F"),'Rules'!$G$7:$G$26,0))&lt;&gt;"",INDEX('Rules'!$F$7:$F$26,MATCH(SUBSTITUTE(SUBSTITUTE(SUBSTITUTE(SUBSTITUTE("type:"&amp;B858,"%","%25"),"~","%7E"),"*","%2A"),"?","%3F"),'Rules'!$G$7:$G$26,0)),IF(AND(C858&lt;&gt;"",C858&lt;&gt;INDEX('Rules'!$B$7:$B$26,MATCH(SUBSTITUTE(SUBSTITUTE(SUBSTITUTE(SUBSTITUTE("type:"&amp;B858,"%","%25"),"~","%7E"),"*","%2A"),"?","%3F"),'Rules'!$G$7:$G$26,0))),"Unit mismatch",IF(IF(NOT(ISNUMBER(D858)),TRUE,OR(D858&lt;0,D858&gt;999999999,ROUND(D858,3)&lt;&gt;D858)),"Invalid current reading",IF(AND(E858&lt;&gt;"",IF(NOT(ISNUMBER(E858)),TRUE,OR(E858&lt;0,E858&gt;999999999,ROUND(E858,3)&lt;&gt;E858))),"Invalid previous reading",IF(IF(NOT(ISNUMBER(F858)),TRUE,OR(F858&lt;0,F858&gt;999999999,ROUND(F858,3)&lt;&gt;F858)),"Invalid last service",IF(AND(E858&lt;&gt;"",D858&lt;E858),"Decreased reading",IF(F858&gt;D858,"Last service above current","")))))))))))))</x:f>
      </x:c>
      <x:c r="L858" s="6" t="str">
        <x:f>IF(AND(NOT(COUNTA(A858:F858)=0),K858=""),INDEX('Rules'!$C$7:$C$26,MATCH(SUBSTITUTE(SUBSTITUTE(SUBSTITUTE(SUBSTITUTE("type:"&amp;B858,"%","%25"),"~","%7E"),"*","%2A"),"?","%3F"),'Rules'!$G$7:$G$26,0)),"")</x:f>
      </x:c>
      <x:c r="M858" s="6" t="str">
        <x:f>IF(AND(NOT(COUNTA(A858:F858)=0),K858=""),INDEX('Rules'!$D$7:$D$26,MATCH(SUBSTITUTE(SUBSTITUTE(SUBSTITUTE(SUBSTITUTE("type:"&amp;B858,"%","%25"),"~","%7E"),"*","%2A"),"?","%3F"),'Rules'!$G$7:$G$26,0)),"")</x:f>
      </x:c>
      <x:c r="N858" s="5" t="str">
        <x:f>IF(COUNTA(A858:F858)=0,"",SUBSTITUTE(SUBSTITUTE(SUBSTITUTE(SUBSTITUTE("id:"&amp;A858,"%","%25"),"~","%7E"),"*","%2A"),"?","%3F"))</x:f>
      </x:c>
    </x:row>
    <x:row r="859" ht="22" customHeight="1">
      <x:c r="A859" s="3"/>
      <x:c r="B859" s="3"/>
      <x:c r="C859" s="3"/>
      <x:c r="D859" s="4"/>
      <x:c r="E859" s="4"/>
      <x:c r="F859" s="4"/>
      <x:c r="G859" s="5" t="str">
        <x:f>IF(COUNTA(A859:F859)=0,"",IF(K859&lt;&gt;"","Review",IF(I859&lt;0,"Overdue",IF(I859=0,"Due now",IF(I859&lt;=M859,"Due soon","Not due")))))</x:f>
      </x:c>
      <x:c r="H859" s="5" t="str">
        <x:f>IF(OR(COUNTA(A859:F859)=0,COUNTIFS('Rules'!$G$7:$G$26,"="&amp;(SUBSTITUTE(SUBSTITUTE(SUBSTITUTE(SUBSTITUTE("type:"&amp;B859,"%","%25"),"~","%7E"),"*","%2A"),"?","%3F")))&lt;&gt;1),"",IF(OR(INDEX('Rules'!$B$7:$B$26,MATCH(SUBSTITUTE(SUBSTITUTE(SUBSTITUTE(SUBSTITUTE("type:"&amp;B859,"%","%25"),"~","%7E"),"*","%2A"),"?","%3F"),'Rules'!$G$7:$G$26,0))="hours",INDEX('Rules'!$B$7:$B$26,MATCH(SUBSTITUTE(SUBSTITUTE(SUBSTITUTE(SUBSTITUTE("type:"&amp;B859,"%","%25"),"~","%7E"),"*","%2A"),"?","%3F"),'Rules'!$G$7:$G$26,0))="km"),INDEX('Rules'!$B$7:$B$26,MATCH(SUBSTITUTE(SUBSTITUTE(SUBSTITUTE(SUBSTITUTE("type:"&amp;B859,"%","%25"),"~","%7E"),"*","%2A"),"?","%3F"),'Rules'!$G$7:$G$26,0)),""))</x:f>
      </x:c>
      <x:c r="I859" s="6" t="str">
        <x:f>IF(AND(NOT(COUNTA(A859:F859)=0),K859=""),ROUND(J859-D859,3),"")</x:f>
      </x:c>
      <x:c r="J859" s="6" t="str">
        <x:f>IF(AND(NOT(COUNTA(A859:F859)=0),K859=""),ROUND(F859+L859,3),"")</x:f>
      </x:c>
      <x:c r="K859" s="5" t="str">
        <x:f>IF(COUNTA(A859:F859)=0,"",IF(A859="","Missing equipment ID",IF(COUNTIFS($N$8:$N$2007,"="&amp;N859)&gt;1,"Duplicate equipment ID",IF(B859="","Missing type",IF(COUNTIFS('Rules'!$G$7:$G$26,"="&amp;(SUBSTITUTE(SUBSTITUTE(SUBSTITUTE(SUBSTITUTE("type:"&amp;B859,"%","%25"),"~","%7E"),"*","%2A"),"?","%3F")))=0,"Unknown type",IF(COUNTIFS('Rules'!$G$7:$G$26,"="&amp;(SUBSTITUTE(SUBSTITUTE(SUBSTITUTE(SUBSTITUTE("type:"&amp;B859,"%","%25"),"~","%7E"),"*","%2A"),"?","%3F")))&gt;1,"Duplicate type",IF(INDEX('Rules'!$F$7:$F$26,MATCH(SUBSTITUTE(SUBSTITUTE(SUBSTITUTE(SUBSTITUTE("type:"&amp;B859,"%","%25"),"~","%7E"),"*","%2A"),"?","%3F"),'Rules'!$G$7:$G$26,0))&lt;&gt;"",INDEX('Rules'!$F$7:$F$26,MATCH(SUBSTITUTE(SUBSTITUTE(SUBSTITUTE(SUBSTITUTE("type:"&amp;B859,"%","%25"),"~","%7E"),"*","%2A"),"?","%3F"),'Rules'!$G$7:$G$26,0)),IF(AND(C859&lt;&gt;"",C859&lt;&gt;INDEX('Rules'!$B$7:$B$26,MATCH(SUBSTITUTE(SUBSTITUTE(SUBSTITUTE(SUBSTITUTE("type:"&amp;B859,"%","%25"),"~","%7E"),"*","%2A"),"?","%3F"),'Rules'!$G$7:$G$26,0))),"Unit mismatch",IF(IF(NOT(ISNUMBER(D859)),TRUE,OR(D859&lt;0,D859&gt;999999999,ROUND(D859,3)&lt;&gt;D859)),"Invalid current reading",IF(AND(E859&lt;&gt;"",IF(NOT(ISNUMBER(E859)),TRUE,OR(E859&lt;0,E859&gt;999999999,ROUND(E859,3)&lt;&gt;E859))),"Invalid previous reading",IF(IF(NOT(ISNUMBER(F859)),TRUE,OR(F859&lt;0,F859&gt;999999999,ROUND(F859,3)&lt;&gt;F859)),"Invalid last service",IF(AND(E859&lt;&gt;"",D859&lt;E859),"Decreased reading",IF(F859&gt;D859,"Last service above current","")))))))))))))</x:f>
      </x:c>
      <x:c r="L859" s="6" t="str">
        <x:f>IF(AND(NOT(COUNTA(A859:F859)=0),K859=""),INDEX('Rules'!$C$7:$C$26,MATCH(SUBSTITUTE(SUBSTITUTE(SUBSTITUTE(SUBSTITUTE("type:"&amp;B859,"%","%25"),"~","%7E"),"*","%2A"),"?","%3F"),'Rules'!$G$7:$G$26,0)),"")</x:f>
      </x:c>
      <x:c r="M859" s="6" t="str">
        <x:f>IF(AND(NOT(COUNTA(A859:F859)=0),K859=""),INDEX('Rules'!$D$7:$D$26,MATCH(SUBSTITUTE(SUBSTITUTE(SUBSTITUTE(SUBSTITUTE("type:"&amp;B859,"%","%25"),"~","%7E"),"*","%2A"),"?","%3F"),'Rules'!$G$7:$G$26,0)),"")</x:f>
      </x:c>
      <x:c r="N859" s="5" t="str">
        <x:f>IF(COUNTA(A859:F859)=0,"",SUBSTITUTE(SUBSTITUTE(SUBSTITUTE(SUBSTITUTE("id:"&amp;A859,"%","%25"),"~","%7E"),"*","%2A"),"?","%3F"))</x:f>
      </x:c>
    </x:row>
    <x:row r="860" ht="22" customHeight="1">
      <x:c r="A860" s="3"/>
      <x:c r="B860" s="3"/>
      <x:c r="C860" s="3"/>
      <x:c r="D860" s="4"/>
      <x:c r="E860" s="4"/>
      <x:c r="F860" s="4"/>
      <x:c r="G860" s="5" t="str">
        <x:f>IF(COUNTA(A860:F860)=0,"",IF(K860&lt;&gt;"","Review",IF(I860&lt;0,"Overdue",IF(I860=0,"Due now",IF(I860&lt;=M860,"Due soon","Not due")))))</x:f>
      </x:c>
      <x:c r="H860" s="5" t="str">
        <x:f>IF(OR(COUNTA(A860:F860)=0,COUNTIFS('Rules'!$G$7:$G$26,"="&amp;(SUBSTITUTE(SUBSTITUTE(SUBSTITUTE(SUBSTITUTE("type:"&amp;B860,"%","%25"),"~","%7E"),"*","%2A"),"?","%3F")))&lt;&gt;1),"",IF(OR(INDEX('Rules'!$B$7:$B$26,MATCH(SUBSTITUTE(SUBSTITUTE(SUBSTITUTE(SUBSTITUTE("type:"&amp;B860,"%","%25"),"~","%7E"),"*","%2A"),"?","%3F"),'Rules'!$G$7:$G$26,0))="hours",INDEX('Rules'!$B$7:$B$26,MATCH(SUBSTITUTE(SUBSTITUTE(SUBSTITUTE(SUBSTITUTE("type:"&amp;B860,"%","%25"),"~","%7E"),"*","%2A"),"?","%3F"),'Rules'!$G$7:$G$26,0))="km"),INDEX('Rules'!$B$7:$B$26,MATCH(SUBSTITUTE(SUBSTITUTE(SUBSTITUTE(SUBSTITUTE("type:"&amp;B860,"%","%25"),"~","%7E"),"*","%2A"),"?","%3F"),'Rules'!$G$7:$G$26,0)),""))</x:f>
      </x:c>
      <x:c r="I860" s="6" t="str">
        <x:f>IF(AND(NOT(COUNTA(A860:F860)=0),K860=""),ROUND(J860-D860,3),"")</x:f>
      </x:c>
      <x:c r="J860" s="6" t="str">
        <x:f>IF(AND(NOT(COUNTA(A860:F860)=0),K860=""),ROUND(F860+L860,3),"")</x:f>
      </x:c>
      <x:c r="K860" s="5" t="str">
        <x:f>IF(COUNTA(A860:F860)=0,"",IF(A860="","Missing equipment ID",IF(COUNTIFS($N$8:$N$2007,"="&amp;N860)&gt;1,"Duplicate equipment ID",IF(B860="","Missing type",IF(COUNTIFS('Rules'!$G$7:$G$26,"="&amp;(SUBSTITUTE(SUBSTITUTE(SUBSTITUTE(SUBSTITUTE("type:"&amp;B860,"%","%25"),"~","%7E"),"*","%2A"),"?","%3F")))=0,"Unknown type",IF(COUNTIFS('Rules'!$G$7:$G$26,"="&amp;(SUBSTITUTE(SUBSTITUTE(SUBSTITUTE(SUBSTITUTE("type:"&amp;B860,"%","%25"),"~","%7E"),"*","%2A"),"?","%3F")))&gt;1,"Duplicate type",IF(INDEX('Rules'!$F$7:$F$26,MATCH(SUBSTITUTE(SUBSTITUTE(SUBSTITUTE(SUBSTITUTE("type:"&amp;B860,"%","%25"),"~","%7E"),"*","%2A"),"?","%3F"),'Rules'!$G$7:$G$26,0))&lt;&gt;"",INDEX('Rules'!$F$7:$F$26,MATCH(SUBSTITUTE(SUBSTITUTE(SUBSTITUTE(SUBSTITUTE("type:"&amp;B860,"%","%25"),"~","%7E"),"*","%2A"),"?","%3F"),'Rules'!$G$7:$G$26,0)),IF(AND(C860&lt;&gt;"",C860&lt;&gt;INDEX('Rules'!$B$7:$B$26,MATCH(SUBSTITUTE(SUBSTITUTE(SUBSTITUTE(SUBSTITUTE("type:"&amp;B860,"%","%25"),"~","%7E"),"*","%2A"),"?","%3F"),'Rules'!$G$7:$G$26,0))),"Unit mismatch",IF(IF(NOT(ISNUMBER(D860)),TRUE,OR(D860&lt;0,D860&gt;999999999,ROUND(D860,3)&lt;&gt;D860)),"Invalid current reading",IF(AND(E860&lt;&gt;"",IF(NOT(ISNUMBER(E860)),TRUE,OR(E860&lt;0,E860&gt;999999999,ROUND(E860,3)&lt;&gt;E860))),"Invalid previous reading",IF(IF(NOT(ISNUMBER(F860)),TRUE,OR(F860&lt;0,F860&gt;999999999,ROUND(F860,3)&lt;&gt;F860)),"Invalid last service",IF(AND(E860&lt;&gt;"",D860&lt;E860),"Decreased reading",IF(F860&gt;D860,"Last service above current","")))))))))))))</x:f>
      </x:c>
      <x:c r="L860" s="6" t="str">
        <x:f>IF(AND(NOT(COUNTA(A860:F860)=0),K860=""),INDEX('Rules'!$C$7:$C$26,MATCH(SUBSTITUTE(SUBSTITUTE(SUBSTITUTE(SUBSTITUTE("type:"&amp;B860,"%","%25"),"~","%7E"),"*","%2A"),"?","%3F"),'Rules'!$G$7:$G$26,0)),"")</x:f>
      </x:c>
      <x:c r="M860" s="6" t="str">
        <x:f>IF(AND(NOT(COUNTA(A860:F860)=0),K860=""),INDEX('Rules'!$D$7:$D$26,MATCH(SUBSTITUTE(SUBSTITUTE(SUBSTITUTE(SUBSTITUTE("type:"&amp;B860,"%","%25"),"~","%7E"),"*","%2A"),"?","%3F"),'Rules'!$G$7:$G$26,0)),"")</x:f>
      </x:c>
      <x:c r="N860" s="5" t="str">
        <x:f>IF(COUNTA(A860:F860)=0,"",SUBSTITUTE(SUBSTITUTE(SUBSTITUTE(SUBSTITUTE("id:"&amp;A860,"%","%25"),"~","%7E"),"*","%2A"),"?","%3F"))</x:f>
      </x:c>
    </x:row>
    <x:row r="861" ht="22" customHeight="1">
      <x:c r="A861" s="3"/>
      <x:c r="B861" s="3"/>
      <x:c r="C861" s="3"/>
      <x:c r="D861" s="4"/>
      <x:c r="E861" s="4"/>
      <x:c r="F861" s="4"/>
      <x:c r="G861" s="5" t="str">
        <x:f>IF(COUNTA(A861:F861)=0,"",IF(K861&lt;&gt;"","Review",IF(I861&lt;0,"Overdue",IF(I861=0,"Due now",IF(I861&lt;=M861,"Due soon","Not due")))))</x:f>
      </x:c>
      <x:c r="H861" s="5" t="str">
        <x:f>IF(OR(COUNTA(A861:F861)=0,COUNTIFS('Rules'!$G$7:$G$26,"="&amp;(SUBSTITUTE(SUBSTITUTE(SUBSTITUTE(SUBSTITUTE("type:"&amp;B861,"%","%25"),"~","%7E"),"*","%2A"),"?","%3F")))&lt;&gt;1),"",IF(OR(INDEX('Rules'!$B$7:$B$26,MATCH(SUBSTITUTE(SUBSTITUTE(SUBSTITUTE(SUBSTITUTE("type:"&amp;B861,"%","%25"),"~","%7E"),"*","%2A"),"?","%3F"),'Rules'!$G$7:$G$26,0))="hours",INDEX('Rules'!$B$7:$B$26,MATCH(SUBSTITUTE(SUBSTITUTE(SUBSTITUTE(SUBSTITUTE("type:"&amp;B861,"%","%25"),"~","%7E"),"*","%2A"),"?","%3F"),'Rules'!$G$7:$G$26,0))="km"),INDEX('Rules'!$B$7:$B$26,MATCH(SUBSTITUTE(SUBSTITUTE(SUBSTITUTE(SUBSTITUTE("type:"&amp;B861,"%","%25"),"~","%7E"),"*","%2A"),"?","%3F"),'Rules'!$G$7:$G$26,0)),""))</x:f>
      </x:c>
      <x:c r="I861" s="6" t="str">
        <x:f>IF(AND(NOT(COUNTA(A861:F861)=0),K861=""),ROUND(J861-D861,3),"")</x:f>
      </x:c>
      <x:c r="J861" s="6" t="str">
        <x:f>IF(AND(NOT(COUNTA(A861:F861)=0),K861=""),ROUND(F861+L861,3),"")</x:f>
      </x:c>
      <x:c r="K861" s="5" t="str">
        <x:f>IF(COUNTA(A861:F861)=0,"",IF(A861="","Missing equipment ID",IF(COUNTIFS($N$8:$N$2007,"="&amp;N861)&gt;1,"Duplicate equipment ID",IF(B861="","Missing type",IF(COUNTIFS('Rules'!$G$7:$G$26,"="&amp;(SUBSTITUTE(SUBSTITUTE(SUBSTITUTE(SUBSTITUTE("type:"&amp;B861,"%","%25"),"~","%7E"),"*","%2A"),"?","%3F")))=0,"Unknown type",IF(COUNTIFS('Rules'!$G$7:$G$26,"="&amp;(SUBSTITUTE(SUBSTITUTE(SUBSTITUTE(SUBSTITUTE("type:"&amp;B861,"%","%25"),"~","%7E"),"*","%2A"),"?","%3F")))&gt;1,"Duplicate type",IF(INDEX('Rules'!$F$7:$F$26,MATCH(SUBSTITUTE(SUBSTITUTE(SUBSTITUTE(SUBSTITUTE("type:"&amp;B861,"%","%25"),"~","%7E"),"*","%2A"),"?","%3F"),'Rules'!$G$7:$G$26,0))&lt;&gt;"",INDEX('Rules'!$F$7:$F$26,MATCH(SUBSTITUTE(SUBSTITUTE(SUBSTITUTE(SUBSTITUTE("type:"&amp;B861,"%","%25"),"~","%7E"),"*","%2A"),"?","%3F"),'Rules'!$G$7:$G$26,0)),IF(AND(C861&lt;&gt;"",C861&lt;&gt;INDEX('Rules'!$B$7:$B$26,MATCH(SUBSTITUTE(SUBSTITUTE(SUBSTITUTE(SUBSTITUTE("type:"&amp;B861,"%","%25"),"~","%7E"),"*","%2A"),"?","%3F"),'Rules'!$G$7:$G$26,0))),"Unit mismatch",IF(IF(NOT(ISNUMBER(D861)),TRUE,OR(D861&lt;0,D861&gt;999999999,ROUND(D861,3)&lt;&gt;D861)),"Invalid current reading",IF(AND(E861&lt;&gt;"",IF(NOT(ISNUMBER(E861)),TRUE,OR(E861&lt;0,E861&gt;999999999,ROUND(E861,3)&lt;&gt;E861))),"Invalid previous reading",IF(IF(NOT(ISNUMBER(F861)),TRUE,OR(F861&lt;0,F861&gt;999999999,ROUND(F861,3)&lt;&gt;F861)),"Invalid last service",IF(AND(E861&lt;&gt;"",D861&lt;E861),"Decreased reading",IF(F861&gt;D861,"Last service above current","")))))))))))))</x:f>
      </x:c>
      <x:c r="L861" s="6" t="str">
        <x:f>IF(AND(NOT(COUNTA(A861:F861)=0),K861=""),INDEX('Rules'!$C$7:$C$26,MATCH(SUBSTITUTE(SUBSTITUTE(SUBSTITUTE(SUBSTITUTE("type:"&amp;B861,"%","%25"),"~","%7E"),"*","%2A"),"?","%3F"),'Rules'!$G$7:$G$26,0)),"")</x:f>
      </x:c>
      <x:c r="M861" s="6" t="str">
        <x:f>IF(AND(NOT(COUNTA(A861:F861)=0),K861=""),INDEX('Rules'!$D$7:$D$26,MATCH(SUBSTITUTE(SUBSTITUTE(SUBSTITUTE(SUBSTITUTE("type:"&amp;B861,"%","%25"),"~","%7E"),"*","%2A"),"?","%3F"),'Rules'!$G$7:$G$26,0)),"")</x:f>
      </x:c>
      <x:c r="N861" s="5" t="str">
        <x:f>IF(COUNTA(A861:F861)=0,"",SUBSTITUTE(SUBSTITUTE(SUBSTITUTE(SUBSTITUTE("id:"&amp;A861,"%","%25"),"~","%7E"),"*","%2A"),"?","%3F"))</x:f>
      </x:c>
    </x:row>
    <x:row r="862" ht="22" customHeight="1">
      <x:c r="A862" s="3"/>
      <x:c r="B862" s="3"/>
      <x:c r="C862" s="3"/>
      <x:c r="D862" s="4"/>
      <x:c r="E862" s="4"/>
      <x:c r="F862" s="4"/>
      <x:c r="G862" s="5" t="str">
        <x:f>IF(COUNTA(A862:F862)=0,"",IF(K862&lt;&gt;"","Review",IF(I862&lt;0,"Overdue",IF(I862=0,"Due now",IF(I862&lt;=M862,"Due soon","Not due")))))</x:f>
      </x:c>
      <x:c r="H862" s="5" t="str">
        <x:f>IF(OR(COUNTA(A862:F862)=0,COUNTIFS('Rules'!$G$7:$G$26,"="&amp;(SUBSTITUTE(SUBSTITUTE(SUBSTITUTE(SUBSTITUTE("type:"&amp;B862,"%","%25"),"~","%7E"),"*","%2A"),"?","%3F")))&lt;&gt;1),"",IF(OR(INDEX('Rules'!$B$7:$B$26,MATCH(SUBSTITUTE(SUBSTITUTE(SUBSTITUTE(SUBSTITUTE("type:"&amp;B862,"%","%25"),"~","%7E"),"*","%2A"),"?","%3F"),'Rules'!$G$7:$G$26,0))="hours",INDEX('Rules'!$B$7:$B$26,MATCH(SUBSTITUTE(SUBSTITUTE(SUBSTITUTE(SUBSTITUTE("type:"&amp;B862,"%","%25"),"~","%7E"),"*","%2A"),"?","%3F"),'Rules'!$G$7:$G$26,0))="km"),INDEX('Rules'!$B$7:$B$26,MATCH(SUBSTITUTE(SUBSTITUTE(SUBSTITUTE(SUBSTITUTE("type:"&amp;B862,"%","%25"),"~","%7E"),"*","%2A"),"?","%3F"),'Rules'!$G$7:$G$26,0)),""))</x:f>
      </x:c>
      <x:c r="I862" s="6" t="str">
        <x:f>IF(AND(NOT(COUNTA(A862:F862)=0),K862=""),ROUND(J862-D862,3),"")</x:f>
      </x:c>
      <x:c r="J862" s="6" t="str">
        <x:f>IF(AND(NOT(COUNTA(A862:F862)=0),K862=""),ROUND(F862+L862,3),"")</x:f>
      </x:c>
      <x:c r="K862" s="5" t="str">
        <x:f>IF(COUNTA(A862:F862)=0,"",IF(A862="","Missing equipment ID",IF(COUNTIFS($N$8:$N$2007,"="&amp;N862)&gt;1,"Duplicate equipment ID",IF(B862="","Missing type",IF(COUNTIFS('Rules'!$G$7:$G$26,"="&amp;(SUBSTITUTE(SUBSTITUTE(SUBSTITUTE(SUBSTITUTE("type:"&amp;B862,"%","%25"),"~","%7E"),"*","%2A"),"?","%3F")))=0,"Unknown type",IF(COUNTIFS('Rules'!$G$7:$G$26,"="&amp;(SUBSTITUTE(SUBSTITUTE(SUBSTITUTE(SUBSTITUTE("type:"&amp;B862,"%","%25"),"~","%7E"),"*","%2A"),"?","%3F")))&gt;1,"Duplicate type",IF(INDEX('Rules'!$F$7:$F$26,MATCH(SUBSTITUTE(SUBSTITUTE(SUBSTITUTE(SUBSTITUTE("type:"&amp;B862,"%","%25"),"~","%7E"),"*","%2A"),"?","%3F"),'Rules'!$G$7:$G$26,0))&lt;&gt;"",INDEX('Rules'!$F$7:$F$26,MATCH(SUBSTITUTE(SUBSTITUTE(SUBSTITUTE(SUBSTITUTE("type:"&amp;B862,"%","%25"),"~","%7E"),"*","%2A"),"?","%3F"),'Rules'!$G$7:$G$26,0)),IF(AND(C862&lt;&gt;"",C862&lt;&gt;INDEX('Rules'!$B$7:$B$26,MATCH(SUBSTITUTE(SUBSTITUTE(SUBSTITUTE(SUBSTITUTE("type:"&amp;B862,"%","%25"),"~","%7E"),"*","%2A"),"?","%3F"),'Rules'!$G$7:$G$26,0))),"Unit mismatch",IF(IF(NOT(ISNUMBER(D862)),TRUE,OR(D862&lt;0,D862&gt;999999999,ROUND(D862,3)&lt;&gt;D862)),"Invalid current reading",IF(AND(E862&lt;&gt;"",IF(NOT(ISNUMBER(E862)),TRUE,OR(E862&lt;0,E862&gt;999999999,ROUND(E862,3)&lt;&gt;E862))),"Invalid previous reading",IF(IF(NOT(ISNUMBER(F862)),TRUE,OR(F862&lt;0,F862&gt;999999999,ROUND(F862,3)&lt;&gt;F862)),"Invalid last service",IF(AND(E862&lt;&gt;"",D862&lt;E862),"Decreased reading",IF(F862&gt;D862,"Last service above current","")))))))))))))</x:f>
      </x:c>
      <x:c r="L862" s="6" t="str">
        <x:f>IF(AND(NOT(COUNTA(A862:F862)=0),K862=""),INDEX('Rules'!$C$7:$C$26,MATCH(SUBSTITUTE(SUBSTITUTE(SUBSTITUTE(SUBSTITUTE("type:"&amp;B862,"%","%25"),"~","%7E"),"*","%2A"),"?","%3F"),'Rules'!$G$7:$G$26,0)),"")</x:f>
      </x:c>
      <x:c r="M862" s="6" t="str">
        <x:f>IF(AND(NOT(COUNTA(A862:F862)=0),K862=""),INDEX('Rules'!$D$7:$D$26,MATCH(SUBSTITUTE(SUBSTITUTE(SUBSTITUTE(SUBSTITUTE("type:"&amp;B862,"%","%25"),"~","%7E"),"*","%2A"),"?","%3F"),'Rules'!$G$7:$G$26,0)),"")</x:f>
      </x:c>
      <x:c r="N862" s="5" t="str">
        <x:f>IF(COUNTA(A862:F862)=0,"",SUBSTITUTE(SUBSTITUTE(SUBSTITUTE(SUBSTITUTE("id:"&amp;A862,"%","%25"),"~","%7E"),"*","%2A"),"?","%3F"))</x:f>
      </x:c>
    </x:row>
    <x:row r="863" ht="22" customHeight="1">
      <x:c r="A863" s="3"/>
      <x:c r="B863" s="3"/>
      <x:c r="C863" s="3"/>
      <x:c r="D863" s="4"/>
      <x:c r="E863" s="4"/>
      <x:c r="F863" s="4"/>
      <x:c r="G863" s="5" t="str">
        <x:f>IF(COUNTA(A863:F863)=0,"",IF(K863&lt;&gt;"","Review",IF(I863&lt;0,"Overdue",IF(I863=0,"Due now",IF(I863&lt;=M863,"Due soon","Not due")))))</x:f>
      </x:c>
      <x:c r="H863" s="5" t="str">
        <x:f>IF(OR(COUNTA(A863:F863)=0,COUNTIFS('Rules'!$G$7:$G$26,"="&amp;(SUBSTITUTE(SUBSTITUTE(SUBSTITUTE(SUBSTITUTE("type:"&amp;B863,"%","%25"),"~","%7E"),"*","%2A"),"?","%3F")))&lt;&gt;1),"",IF(OR(INDEX('Rules'!$B$7:$B$26,MATCH(SUBSTITUTE(SUBSTITUTE(SUBSTITUTE(SUBSTITUTE("type:"&amp;B863,"%","%25"),"~","%7E"),"*","%2A"),"?","%3F"),'Rules'!$G$7:$G$26,0))="hours",INDEX('Rules'!$B$7:$B$26,MATCH(SUBSTITUTE(SUBSTITUTE(SUBSTITUTE(SUBSTITUTE("type:"&amp;B863,"%","%25"),"~","%7E"),"*","%2A"),"?","%3F"),'Rules'!$G$7:$G$26,0))="km"),INDEX('Rules'!$B$7:$B$26,MATCH(SUBSTITUTE(SUBSTITUTE(SUBSTITUTE(SUBSTITUTE("type:"&amp;B863,"%","%25"),"~","%7E"),"*","%2A"),"?","%3F"),'Rules'!$G$7:$G$26,0)),""))</x:f>
      </x:c>
      <x:c r="I863" s="6" t="str">
        <x:f>IF(AND(NOT(COUNTA(A863:F863)=0),K863=""),ROUND(J863-D863,3),"")</x:f>
      </x:c>
      <x:c r="J863" s="6" t="str">
        <x:f>IF(AND(NOT(COUNTA(A863:F863)=0),K863=""),ROUND(F863+L863,3),"")</x:f>
      </x:c>
      <x:c r="K863" s="5" t="str">
        <x:f>IF(COUNTA(A863:F863)=0,"",IF(A863="","Missing equipment ID",IF(COUNTIFS($N$8:$N$2007,"="&amp;N863)&gt;1,"Duplicate equipment ID",IF(B863="","Missing type",IF(COUNTIFS('Rules'!$G$7:$G$26,"="&amp;(SUBSTITUTE(SUBSTITUTE(SUBSTITUTE(SUBSTITUTE("type:"&amp;B863,"%","%25"),"~","%7E"),"*","%2A"),"?","%3F")))=0,"Unknown type",IF(COUNTIFS('Rules'!$G$7:$G$26,"="&amp;(SUBSTITUTE(SUBSTITUTE(SUBSTITUTE(SUBSTITUTE("type:"&amp;B863,"%","%25"),"~","%7E"),"*","%2A"),"?","%3F")))&gt;1,"Duplicate type",IF(INDEX('Rules'!$F$7:$F$26,MATCH(SUBSTITUTE(SUBSTITUTE(SUBSTITUTE(SUBSTITUTE("type:"&amp;B863,"%","%25"),"~","%7E"),"*","%2A"),"?","%3F"),'Rules'!$G$7:$G$26,0))&lt;&gt;"",INDEX('Rules'!$F$7:$F$26,MATCH(SUBSTITUTE(SUBSTITUTE(SUBSTITUTE(SUBSTITUTE("type:"&amp;B863,"%","%25"),"~","%7E"),"*","%2A"),"?","%3F"),'Rules'!$G$7:$G$26,0)),IF(AND(C863&lt;&gt;"",C863&lt;&gt;INDEX('Rules'!$B$7:$B$26,MATCH(SUBSTITUTE(SUBSTITUTE(SUBSTITUTE(SUBSTITUTE("type:"&amp;B863,"%","%25"),"~","%7E"),"*","%2A"),"?","%3F"),'Rules'!$G$7:$G$26,0))),"Unit mismatch",IF(IF(NOT(ISNUMBER(D863)),TRUE,OR(D863&lt;0,D863&gt;999999999,ROUND(D863,3)&lt;&gt;D863)),"Invalid current reading",IF(AND(E863&lt;&gt;"",IF(NOT(ISNUMBER(E863)),TRUE,OR(E863&lt;0,E863&gt;999999999,ROUND(E863,3)&lt;&gt;E863))),"Invalid previous reading",IF(IF(NOT(ISNUMBER(F863)),TRUE,OR(F863&lt;0,F863&gt;999999999,ROUND(F863,3)&lt;&gt;F863)),"Invalid last service",IF(AND(E863&lt;&gt;"",D863&lt;E863),"Decreased reading",IF(F863&gt;D863,"Last service above current","")))))))))))))</x:f>
      </x:c>
      <x:c r="L863" s="6" t="str">
        <x:f>IF(AND(NOT(COUNTA(A863:F863)=0),K863=""),INDEX('Rules'!$C$7:$C$26,MATCH(SUBSTITUTE(SUBSTITUTE(SUBSTITUTE(SUBSTITUTE("type:"&amp;B863,"%","%25"),"~","%7E"),"*","%2A"),"?","%3F"),'Rules'!$G$7:$G$26,0)),"")</x:f>
      </x:c>
      <x:c r="M863" s="6" t="str">
        <x:f>IF(AND(NOT(COUNTA(A863:F863)=0),K863=""),INDEX('Rules'!$D$7:$D$26,MATCH(SUBSTITUTE(SUBSTITUTE(SUBSTITUTE(SUBSTITUTE("type:"&amp;B863,"%","%25"),"~","%7E"),"*","%2A"),"?","%3F"),'Rules'!$G$7:$G$26,0)),"")</x:f>
      </x:c>
      <x:c r="N863" s="5" t="str">
        <x:f>IF(COUNTA(A863:F863)=0,"",SUBSTITUTE(SUBSTITUTE(SUBSTITUTE(SUBSTITUTE("id:"&amp;A863,"%","%25"),"~","%7E"),"*","%2A"),"?","%3F"))</x:f>
      </x:c>
    </x:row>
    <x:row r="864" ht="22" customHeight="1">
      <x:c r="A864" s="3"/>
      <x:c r="B864" s="3"/>
      <x:c r="C864" s="3"/>
      <x:c r="D864" s="4"/>
      <x:c r="E864" s="4"/>
      <x:c r="F864" s="4"/>
      <x:c r="G864" s="5" t="str">
        <x:f>IF(COUNTA(A864:F864)=0,"",IF(K864&lt;&gt;"","Review",IF(I864&lt;0,"Overdue",IF(I864=0,"Due now",IF(I864&lt;=M864,"Due soon","Not due")))))</x:f>
      </x:c>
      <x:c r="H864" s="5" t="str">
        <x:f>IF(OR(COUNTA(A864:F864)=0,COUNTIFS('Rules'!$G$7:$G$26,"="&amp;(SUBSTITUTE(SUBSTITUTE(SUBSTITUTE(SUBSTITUTE("type:"&amp;B864,"%","%25"),"~","%7E"),"*","%2A"),"?","%3F")))&lt;&gt;1),"",IF(OR(INDEX('Rules'!$B$7:$B$26,MATCH(SUBSTITUTE(SUBSTITUTE(SUBSTITUTE(SUBSTITUTE("type:"&amp;B864,"%","%25"),"~","%7E"),"*","%2A"),"?","%3F"),'Rules'!$G$7:$G$26,0))="hours",INDEX('Rules'!$B$7:$B$26,MATCH(SUBSTITUTE(SUBSTITUTE(SUBSTITUTE(SUBSTITUTE("type:"&amp;B864,"%","%25"),"~","%7E"),"*","%2A"),"?","%3F"),'Rules'!$G$7:$G$26,0))="km"),INDEX('Rules'!$B$7:$B$26,MATCH(SUBSTITUTE(SUBSTITUTE(SUBSTITUTE(SUBSTITUTE("type:"&amp;B864,"%","%25"),"~","%7E"),"*","%2A"),"?","%3F"),'Rules'!$G$7:$G$26,0)),""))</x:f>
      </x:c>
      <x:c r="I864" s="6" t="str">
        <x:f>IF(AND(NOT(COUNTA(A864:F864)=0),K864=""),ROUND(J864-D864,3),"")</x:f>
      </x:c>
      <x:c r="J864" s="6" t="str">
        <x:f>IF(AND(NOT(COUNTA(A864:F864)=0),K864=""),ROUND(F864+L864,3),"")</x:f>
      </x:c>
      <x:c r="K864" s="5" t="str">
        <x:f>IF(COUNTA(A864:F864)=0,"",IF(A864="","Missing equipment ID",IF(COUNTIFS($N$8:$N$2007,"="&amp;N864)&gt;1,"Duplicate equipment ID",IF(B864="","Missing type",IF(COUNTIFS('Rules'!$G$7:$G$26,"="&amp;(SUBSTITUTE(SUBSTITUTE(SUBSTITUTE(SUBSTITUTE("type:"&amp;B864,"%","%25"),"~","%7E"),"*","%2A"),"?","%3F")))=0,"Unknown type",IF(COUNTIFS('Rules'!$G$7:$G$26,"="&amp;(SUBSTITUTE(SUBSTITUTE(SUBSTITUTE(SUBSTITUTE("type:"&amp;B864,"%","%25"),"~","%7E"),"*","%2A"),"?","%3F")))&gt;1,"Duplicate type",IF(INDEX('Rules'!$F$7:$F$26,MATCH(SUBSTITUTE(SUBSTITUTE(SUBSTITUTE(SUBSTITUTE("type:"&amp;B864,"%","%25"),"~","%7E"),"*","%2A"),"?","%3F"),'Rules'!$G$7:$G$26,0))&lt;&gt;"",INDEX('Rules'!$F$7:$F$26,MATCH(SUBSTITUTE(SUBSTITUTE(SUBSTITUTE(SUBSTITUTE("type:"&amp;B864,"%","%25"),"~","%7E"),"*","%2A"),"?","%3F"),'Rules'!$G$7:$G$26,0)),IF(AND(C864&lt;&gt;"",C864&lt;&gt;INDEX('Rules'!$B$7:$B$26,MATCH(SUBSTITUTE(SUBSTITUTE(SUBSTITUTE(SUBSTITUTE("type:"&amp;B864,"%","%25"),"~","%7E"),"*","%2A"),"?","%3F"),'Rules'!$G$7:$G$26,0))),"Unit mismatch",IF(IF(NOT(ISNUMBER(D864)),TRUE,OR(D864&lt;0,D864&gt;999999999,ROUND(D864,3)&lt;&gt;D864)),"Invalid current reading",IF(AND(E864&lt;&gt;"",IF(NOT(ISNUMBER(E864)),TRUE,OR(E864&lt;0,E864&gt;999999999,ROUND(E864,3)&lt;&gt;E864))),"Invalid previous reading",IF(IF(NOT(ISNUMBER(F864)),TRUE,OR(F864&lt;0,F864&gt;999999999,ROUND(F864,3)&lt;&gt;F864)),"Invalid last service",IF(AND(E864&lt;&gt;"",D864&lt;E864),"Decreased reading",IF(F864&gt;D864,"Last service above current","")))))))))))))</x:f>
      </x:c>
      <x:c r="L864" s="6" t="str">
        <x:f>IF(AND(NOT(COUNTA(A864:F864)=0),K864=""),INDEX('Rules'!$C$7:$C$26,MATCH(SUBSTITUTE(SUBSTITUTE(SUBSTITUTE(SUBSTITUTE("type:"&amp;B864,"%","%25"),"~","%7E"),"*","%2A"),"?","%3F"),'Rules'!$G$7:$G$26,0)),"")</x:f>
      </x:c>
      <x:c r="M864" s="6" t="str">
        <x:f>IF(AND(NOT(COUNTA(A864:F864)=0),K864=""),INDEX('Rules'!$D$7:$D$26,MATCH(SUBSTITUTE(SUBSTITUTE(SUBSTITUTE(SUBSTITUTE("type:"&amp;B864,"%","%25"),"~","%7E"),"*","%2A"),"?","%3F"),'Rules'!$G$7:$G$26,0)),"")</x:f>
      </x:c>
      <x:c r="N864" s="5" t="str">
        <x:f>IF(COUNTA(A864:F864)=0,"",SUBSTITUTE(SUBSTITUTE(SUBSTITUTE(SUBSTITUTE("id:"&amp;A864,"%","%25"),"~","%7E"),"*","%2A"),"?","%3F"))</x:f>
      </x:c>
    </x:row>
    <x:row r="865" ht="22" customHeight="1">
      <x:c r="A865" s="3"/>
      <x:c r="B865" s="3"/>
      <x:c r="C865" s="3"/>
      <x:c r="D865" s="4"/>
      <x:c r="E865" s="4"/>
      <x:c r="F865" s="4"/>
      <x:c r="G865" s="5" t="str">
        <x:f>IF(COUNTA(A865:F865)=0,"",IF(K865&lt;&gt;"","Review",IF(I865&lt;0,"Overdue",IF(I865=0,"Due now",IF(I865&lt;=M865,"Due soon","Not due")))))</x:f>
      </x:c>
      <x:c r="H865" s="5" t="str">
        <x:f>IF(OR(COUNTA(A865:F865)=0,COUNTIFS('Rules'!$G$7:$G$26,"="&amp;(SUBSTITUTE(SUBSTITUTE(SUBSTITUTE(SUBSTITUTE("type:"&amp;B865,"%","%25"),"~","%7E"),"*","%2A"),"?","%3F")))&lt;&gt;1),"",IF(OR(INDEX('Rules'!$B$7:$B$26,MATCH(SUBSTITUTE(SUBSTITUTE(SUBSTITUTE(SUBSTITUTE("type:"&amp;B865,"%","%25"),"~","%7E"),"*","%2A"),"?","%3F"),'Rules'!$G$7:$G$26,0))="hours",INDEX('Rules'!$B$7:$B$26,MATCH(SUBSTITUTE(SUBSTITUTE(SUBSTITUTE(SUBSTITUTE("type:"&amp;B865,"%","%25"),"~","%7E"),"*","%2A"),"?","%3F"),'Rules'!$G$7:$G$26,0))="km"),INDEX('Rules'!$B$7:$B$26,MATCH(SUBSTITUTE(SUBSTITUTE(SUBSTITUTE(SUBSTITUTE("type:"&amp;B865,"%","%25"),"~","%7E"),"*","%2A"),"?","%3F"),'Rules'!$G$7:$G$26,0)),""))</x:f>
      </x:c>
      <x:c r="I865" s="6" t="str">
        <x:f>IF(AND(NOT(COUNTA(A865:F865)=0),K865=""),ROUND(J865-D865,3),"")</x:f>
      </x:c>
      <x:c r="J865" s="6" t="str">
        <x:f>IF(AND(NOT(COUNTA(A865:F865)=0),K865=""),ROUND(F865+L865,3),"")</x:f>
      </x:c>
      <x:c r="K865" s="5" t="str">
        <x:f>IF(COUNTA(A865:F865)=0,"",IF(A865="","Missing equipment ID",IF(COUNTIFS($N$8:$N$2007,"="&amp;N865)&gt;1,"Duplicate equipment ID",IF(B865="","Missing type",IF(COUNTIFS('Rules'!$G$7:$G$26,"="&amp;(SUBSTITUTE(SUBSTITUTE(SUBSTITUTE(SUBSTITUTE("type:"&amp;B865,"%","%25"),"~","%7E"),"*","%2A"),"?","%3F")))=0,"Unknown type",IF(COUNTIFS('Rules'!$G$7:$G$26,"="&amp;(SUBSTITUTE(SUBSTITUTE(SUBSTITUTE(SUBSTITUTE("type:"&amp;B865,"%","%25"),"~","%7E"),"*","%2A"),"?","%3F")))&gt;1,"Duplicate type",IF(INDEX('Rules'!$F$7:$F$26,MATCH(SUBSTITUTE(SUBSTITUTE(SUBSTITUTE(SUBSTITUTE("type:"&amp;B865,"%","%25"),"~","%7E"),"*","%2A"),"?","%3F"),'Rules'!$G$7:$G$26,0))&lt;&gt;"",INDEX('Rules'!$F$7:$F$26,MATCH(SUBSTITUTE(SUBSTITUTE(SUBSTITUTE(SUBSTITUTE("type:"&amp;B865,"%","%25"),"~","%7E"),"*","%2A"),"?","%3F"),'Rules'!$G$7:$G$26,0)),IF(AND(C865&lt;&gt;"",C865&lt;&gt;INDEX('Rules'!$B$7:$B$26,MATCH(SUBSTITUTE(SUBSTITUTE(SUBSTITUTE(SUBSTITUTE("type:"&amp;B865,"%","%25"),"~","%7E"),"*","%2A"),"?","%3F"),'Rules'!$G$7:$G$26,0))),"Unit mismatch",IF(IF(NOT(ISNUMBER(D865)),TRUE,OR(D865&lt;0,D865&gt;999999999,ROUND(D865,3)&lt;&gt;D865)),"Invalid current reading",IF(AND(E865&lt;&gt;"",IF(NOT(ISNUMBER(E865)),TRUE,OR(E865&lt;0,E865&gt;999999999,ROUND(E865,3)&lt;&gt;E865))),"Invalid previous reading",IF(IF(NOT(ISNUMBER(F865)),TRUE,OR(F865&lt;0,F865&gt;999999999,ROUND(F865,3)&lt;&gt;F865)),"Invalid last service",IF(AND(E865&lt;&gt;"",D865&lt;E865),"Decreased reading",IF(F865&gt;D865,"Last service above current","")))))))))))))</x:f>
      </x:c>
      <x:c r="L865" s="6" t="str">
        <x:f>IF(AND(NOT(COUNTA(A865:F865)=0),K865=""),INDEX('Rules'!$C$7:$C$26,MATCH(SUBSTITUTE(SUBSTITUTE(SUBSTITUTE(SUBSTITUTE("type:"&amp;B865,"%","%25"),"~","%7E"),"*","%2A"),"?","%3F"),'Rules'!$G$7:$G$26,0)),"")</x:f>
      </x:c>
      <x:c r="M865" s="6" t="str">
        <x:f>IF(AND(NOT(COUNTA(A865:F865)=0),K865=""),INDEX('Rules'!$D$7:$D$26,MATCH(SUBSTITUTE(SUBSTITUTE(SUBSTITUTE(SUBSTITUTE("type:"&amp;B865,"%","%25"),"~","%7E"),"*","%2A"),"?","%3F"),'Rules'!$G$7:$G$26,0)),"")</x:f>
      </x:c>
      <x:c r="N865" s="5" t="str">
        <x:f>IF(COUNTA(A865:F865)=0,"",SUBSTITUTE(SUBSTITUTE(SUBSTITUTE(SUBSTITUTE("id:"&amp;A865,"%","%25"),"~","%7E"),"*","%2A"),"?","%3F"))</x:f>
      </x:c>
    </x:row>
    <x:row r="866" ht="22" customHeight="1">
      <x:c r="A866" s="3"/>
      <x:c r="B866" s="3"/>
      <x:c r="C866" s="3"/>
      <x:c r="D866" s="4"/>
      <x:c r="E866" s="4"/>
      <x:c r="F866" s="4"/>
      <x:c r="G866" s="5" t="str">
        <x:f>IF(COUNTA(A866:F866)=0,"",IF(K866&lt;&gt;"","Review",IF(I866&lt;0,"Overdue",IF(I866=0,"Due now",IF(I866&lt;=M866,"Due soon","Not due")))))</x:f>
      </x:c>
      <x:c r="H866" s="5" t="str">
        <x:f>IF(OR(COUNTA(A866:F866)=0,COUNTIFS('Rules'!$G$7:$G$26,"="&amp;(SUBSTITUTE(SUBSTITUTE(SUBSTITUTE(SUBSTITUTE("type:"&amp;B866,"%","%25"),"~","%7E"),"*","%2A"),"?","%3F")))&lt;&gt;1),"",IF(OR(INDEX('Rules'!$B$7:$B$26,MATCH(SUBSTITUTE(SUBSTITUTE(SUBSTITUTE(SUBSTITUTE("type:"&amp;B866,"%","%25"),"~","%7E"),"*","%2A"),"?","%3F"),'Rules'!$G$7:$G$26,0))="hours",INDEX('Rules'!$B$7:$B$26,MATCH(SUBSTITUTE(SUBSTITUTE(SUBSTITUTE(SUBSTITUTE("type:"&amp;B866,"%","%25"),"~","%7E"),"*","%2A"),"?","%3F"),'Rules'!$G$7:$G$26,0))="km"),INDEX('Rules'!$B$7:$B$26,MATCH(SUBSTITUTE(SUBSTITUTE(SUBSTITUTE(SUBSTITUTE("type:"&amp;B866,"%","%25"),"~","%7E"),"*","%2A"),"?","%3F"),'Rules'!$G$7:$G$26,0)),""))</x:f>
      </x:c>
      <x:c r="I866" s="6" t="str">
        <x:f>IF(AND(NOT(COUNTA(A866:F866)=0),K866=""),ROUND(J866-D866,3),"")</x:f>
      </x:c>
      <x:c r="J866" s="6" t="str">
        <x:f>IF(AND(NOT(COUNTA(A866:F866)=0),K866=""),ROUND(F866+L866,3),"")</x:f>
      </x:c>
      <x:c r="K866" s="5" t="str">
        <x:f>IF(COUNTA(A866:F866)=0,"",IF(A866="","Missing equipment ID",IF(COUNTIFS($N$8:$N$2007,"="&amp;N866)&gt;1,"Duplicate equipment ID",IF(B866="","Missing type",IF(COUNTIFS('Rules'!$G$7:$G$26,"="&amp;(SUBSTITUTE(SUBSTITUTE(SUBSTITUTE(SUBSTITUTE("type:"&amp;B866,"%","%25"),"~","%7E"),"*","%2A"),"?","%3F")))=0,"Unknown type",IF(COUNTIFS('Rules'!$G$7:$G$26,"="&amp;(SUBSTITUTE(SUBSTITUTE(SUBSTITUTE(SUBSTITUTE("type:"&amp;B866,"%","%25"),"~","%7E"),"*","%2A"),"?","%3F")))&gt;1,"Duplicate type",IF(INDEX('Rules'!$F$7:$F$26,MATCH(SUBSTITUTE(SUBSTITUTE(SUBSTITUTE(SUBSTITUTE("type:"&amp;B866,"%","%25"),"~","%7E"),"*","%2A"),"?","%3F"),'Rules'!$G$7:$G$26,0))&lt;&gt;"",INDEX('Rules'!$F$7:$F$26,MATCH(SUBSTITUTE(SUBSTITUTE(SUBSTITUTE(SUBSTITUTE("type:"&amp;B866,"%","%25"),"~","%7E"),"*","%2A"),"?","%3F"),'Rules'!$G$7:$G$26,0)),IF(AND(C866&lt;&gt;"",C866&lt;&gt;INDEX('Rules'!$B$7:$B$26,MATCH(SUBSTITUTE(SUBSTITUTE(SUBSTITUTE(SUBSTITUTE("type:"&amp;B866,"%","%25"),"~","%7E"),"*","%2A"),"?","%3F"),'Rules'!$G$7:$G$26,0))),"Unit mismatch",IF(IF(NOT(ISNUMBER(D866)),TRUE,OR(D866&lt;0,D866&gt;999999999,ROUND(D866,3)&lt;&gt;D866)),"Invalid current reading",IF(AND(E866&lt;&gt;"",IF(NOT(ISNUMBER(E866)),TRUE,OR(E866&lt;0,E866&gt;999999999,ROUND(E866,3)&lt;&gt;E866))),"Invalid previous reading",IF(IF(NOT(ISNUMBER(F866)),TRUE,OR(F866&lt;0,F866&gt;999999999,ROUND(F866,3)&lt;&gt;F866)),"Invalid last service",IF(AND(E866&lt;&gt;"",D866&lt;E866),"Decreased reading",IF(F866&gt;D866,"Last service above current","")))))))))))))</x:f>
      </x:c>
      <x:c r="L866" s="6" t="str">
        <x:f>IF(AND(NOT(COUNTA(A866:F866)=0),K866=""),INDEX('Rules'!$C$7:$C$26,MATCH(SUBSTITUTE(SUBSTITUTE(SUBSTITUTE(SUBSTITUTE("type:"&amp;B866,"%","%25"),"~","%7E"),"*","%2A"),"?","%3F"),'Rules'!$G$7:$G$26,0)),"")</x:f>
      </x:c>
      <x:c r="M866" s="6" t="str">
        <x:f>IF(AND(NOT(COUNTA(A866:F866)=0),K866=""),INDEX('Rules'!$D$7:$D$26,MATCH(SUBSTITUTE(SUBSTITUTE(SUBSTITUTE(SUBSTITUTE("type:"&amp;B866,"%","%25"),"~","%7E"),"*","%2A"),"?","%3F"),'Rules'!$G$7:$G$26,0)),"")</x:f>
      </x:c>
      <x:c r="N866" s="5" t="str">
        <x:f>IF(COUNTA(A866:F866)=0,"",SUBSTITUTE(SUBSTITUTE(SUBSTITUTE(SUBSTITUTE("id:"&amp;A866,"%","%25"),"~","%7E"),"*","%2A"),"?","%3F"))</x:f>
      </x:c>
    </x:row>
    <x:row r="867" ht="22" customHeight="1">
      <x:c r="A867" s="3"/>
      <x:c r="B867" s="3"/>
      <x:c r="C867" s="3"/>
      <x:c r="D867" s="4"/>
      <x:c r="E867" s="4"/>
      <x:c r="F867" s="4"/>
      <x:c r="G867" s="5" t="str">
        <x:f>IF(COUNTA(A867:F867)=0,"",IF(K867&lt;&gt;"","Review",IF(I867&lt;0,"Overdue",IF(I867=0,"Due now",IF(I867&lt;=M867,"Due soon","Not due")))))</x:f>
      </x:c>
      <x:c r="H867" s="5" t="str">
        <x:f>IF(OR(COUNTA(A867:F867)=0,COUNTIFS('Rules'!$G$7:$G$26,"="&amp;(SUBSTITUTE(SUBSTITUTE(SUBSTITUTE(SUBSTITUTE("type:"&amp;B867,"%","%25"),"~","%7E"),"*","%2A"),"?","%3F")))&lt;&gt;1),"",IF(OR(INDEX('Rules'!$B$7:$B$26,MATCH(SUBSTITUTE(SUBSTITUTE(SUBSTITUTE(SUBSTITUTE("type:"&amp;B867,"%","%25"),"~","%7E"),"*","%2A"),"?","%3F"),'Rules'!$G$7:$G$26,0))="hours",INDEX('Rules'!$B$7:$B$26,MATCH(SUBSTITUTE(SUBSTITUTE(SUBSTITUTE(SUBSTITUTE("type:"&amp;B867,"%","%25"),"~","%7E"),"*","%2A"),"?","%3F"),'Rules'!$G$7:$G$26,0))="km"),INDEX('Rules'!$B$7:$B$26,MATCH(SUBSTITUTE(SUBSTITUTE(SUBSTITUTE(SUBSTITUTE("type:"&amp;B867,"%","%25"),"~","%7E"),"*","%2A"),"?","%3F"),'Rules'!$G$7:$G$26,0)),""))</x:f>
      </x:c>
      <x:c r="I867" s="6" t="str">
        <x:f>IF(AND(NOT(COUNTA(A867:F867)=0),K867=""),ROUND(J867-D867,3),"")</x:f>
      </x:c>
      <x:c r="J867" s="6" t="str">
        <x:f>IF(AND(NOT(COUNTA(A867:F867)=0),K867=""),ROUND(F867+L867,3),"")</x:f>
      </x:c>
      <x:c r="K867" s="5" t="str">
        <x:f>IF(COUNTA(A867:F867)=0,"",IF(A867="","Missing equipment ID",IF(COUNTIFS($N$8:$N$2007,"="&amp;N867)&gt;1,"Duplicate equipment ID",IF(B867="","Missing type",IF(COUNTIFS('Rules'!$G$7:$G$26,"="&amp;(SUBSTITUTE(SUBSTITUTE(SUBSTITUTE(SUBSTITUTE("type:"&amp;B867,"%","%25"),"~","%7E"),"*","%2A"),"?","%3F")))=0,"Unknown type",IF(COUNTIFS('Rules'!$G$7:$G$26,"="&amp;(SUBSTITUTE(SUBSTITUTE(SUBSTITUTE(SUBSTITUTE("type:"&amp;B867,"%","%25"),"~","%7E"),"*","%2A"),"?","%3F")))&gt;1,"Duplicate type",IF(INDEX('Rules'!$F$7:$F$26,MATCH(SUBSTITUTE(SUBSTITUTE(SUBSTITUTE(SUBSTITUTE("type:"&amp;B867,"%","%25"),"~","%7E"),"*","%2A"),"?","%3F"),'Rules'!$G$7:$G$26,0))&lt;&gt;"",INDEX('Rules'!$F$7:$F$26,MATCH(SUBSTITUTE(SUBSTITUTE(SUBSTITUTE(SUBSTITUTE("type:"&amp;B867,"%","%25"),"~","%7E"),"*","%2A"),"?","%3F"),'Rules'!$G$7:$G$26,0)),IF(AND(C867&lt;&gt;"",C867&lt;&gt;INDEX('Rules'!$B$7:$B$26,MATCH(SUBSTITUTE(SUBSTITUTE(SUBSTITUTE(SUBSTITUTE("type:"&amp;B867,"%","%25"),"~","%7E"),"*","%2A"),"?","%3F"),'Rules'!$G$7:$G$26,0))),"Unit mismatch",IF(IF(NOT(ISNUMBER(D867)),TRUE,OR(D867&lt;0,D867&gt;999999999,ROUND(D867,3)&lt;&gt;D867)),"Invalid current reading",IF(AND(E867&lt;&gt;"",IF(NOT(ISNUMBER(E867)),TRUE,OR(E867&lt;0,E867&gt;999999999,ROUND(E867,3)&lt;&gt;E867))),"Invalid previous reading",IF(IF(NOT(ISNUMBER(F867)),TRUE,OR(F867&lt;0,F867&gt;999999999,ROUND(F867,3)&lt;&gt;F867)),"Invalid last service",IF(AND(E867&lt;&gt;"",D867&lt;E867),"Decreased reading",IF(F867&gt;D867,"Last service above current","")))))))))))))</x:f>
      </x:c>
      <x:c r="L867" s="6" t="str">
        <x:f>IF(AND(NOT(COUNTA(A867:F867)=0),K867=""),INDEX('Rules'!$C$7:$C$26,MATCH(SUBSTITUTE(SUBSTITUTE(SUBSTITUTE(SUBSTITUTE("type:"&amp;B867,"%","%25"),"~","%7E"),"*","%2A"),"?","%3F"),'Rules'!$G$7:$G$26,0)),"")</x:f>
      </x:c>
      <x:c r="M867" s="6" t="str">
        <x:f>IF(AND(NOT(COUNTA(A867:F867)=0),K867=""),INDEX('Rules'!$D$7:$D$26,MATCH(SUBSTITUTE(SUBSTITUTE(SUBSTITUTE(SUBSTITUTE("type:"&amp;B867,"%","%25"),"~","%7E"),"*","%2A"),"?","%3F"),'Rules'!$G$7:$G$26,0)),"")</x:f>
      </x:c>
      <x:c r="N867" s="5" t="str">
        <x:f>IF(COUNTA(A867:F867)=0,"",SUBSTITUTE(SUBSTITUTE(SUBSTITUTE(SUBSTITUTE("id:"&amp;A867,"%","%25"),"~","%7E"),"*","%2A"),"?","%3F"))</x:f>
      </x:c>
    </x:row>
    <x:row r="868" ht="22" customHeight="1">
      <x:c r="A868" s="3"/>
      <x:c r="B868" s="3"/>
      <x:c r="C868" s="3"/>
      <x:c r="D868" s="4"/>
      <x:c r="E868" s="4"/>
      <x:c r="F868" s="4"/>
      <x:c r="G868" s="5" t="str">
        <x:f>IF(COUNTA(A868:F868)=0,"",IF(K868&lt;&gt;"","Review",IF(I868&lt;0,"Overdue",IF(I868=0,"Due now",IF(I868&lt;=M868,"Due soon","Not due")))))</x:f>
      </x:c>
      <x:c r="H868" s="5" t="str">
        <x:f>IF(OR(COUNTA(A868:F868)=0,COUNTIFS('Rules'!$G$7:$G$26,"="&amp;(SUBSTITUTE(SUBSTITUTE(SUBSTITUTE(SUBSTITUTE("type:"&amp;B868,"%","%25"),"~","%7E"),"*","%2A"),"?","%3F")))&lt;&gt;1),"",IF(OR(INDEX('Rules'!$B$7:$B$26,MATCH(SUBSTITUTE(SUBSTITUTE(SUBSTITUTE(SUBSTITUTE("type:"&amp;B868,"%","%25"),"~","%7E"),"*","%2A"),"?","%3F"),'Rules'!$G$7:$G$26,0))="hours",INDEX('Rules'!$B$7:$B$26,MATCH(SUBSTITUTE(SUBSTITUTE(SUBSTITUTE(SUBSTITUTE("type:"&amp;B868,"%","%25"),"~","%7E"),"*","%2A"),"?","%3F"),'Rules'!$G$7:$G$26,0))="km"),INDEX('Rules'!$B$7:$B$26,MATCH(SUBSTITUTE(SUBSTITUTE(SUBSTITUTE(SUBSTITUTE("type:"&amp;B868,"%","%25"),"~","%7E"),"*","%2A"),"?","%3F"),'Rules'!$G$7:$G$26,0)),""))</x:f>
      </x:c>
      <x:c r="I868" s="6" t="str">
        <x:f>IF(AND(NOT(COUNTA(A868:F868)=0),K868=""),ROUND(J868-D868,3),"")</x:f>
      </x:c>
      <x:c r="J868" s="6" t="str">
        <x:f>IF(AND(NOT(COUNTA(A868:F868)=0),K868=""),ROUND(F868+L868,3),"")</x:f>
      </x:c>
      <x:c r="K868" s="5" t="str">
        <x:f>IF(COUNTA(A868:F868)=0,"",IF(A868="","Missing equipment ID",IF(COUNTIFS($N$8:$N$2007,"="&amp;N868)&gt;1,"Duplicate equipment ID",IF(B868="","Missing type",IF(COUNTIFS('Rules'!$G$7:$G$26,"="&amp;(SUBSTITUTE(SUBSTITUTE(SUBSTITUTE(SUBSTITUTE("type:"&amp;B868,"%","%25"),"~","%7E"),"*","%2A"),"?","%3F")))=0,"Unknown type",IF(COUNTIFS('Rules'!$G$7:$G$26,"="&amp;(SUBSTITUTE(SUBSTITUTE(SUBSTITUTE(SUBSTITUTE("type:"&amp;B868,"%","%25"),"~","%7E"),"*","%2A"),"?","%3F")))&gt;1,"Duplicate type",IF(INDEX('Rules'!$F$7:$F$26,MATCH(SUBSTITUTE(SUBSTITUTE(SUBSTITUTE(SUBSTITUTE("type:"&amp;B868,"%","%25"),"~","%7E"),"*","%2A"),"?","%3F"),'Rules'!$G$7:$G$26,0))&lt;&gt;"",INDEX('Rules'!$F$7:$F$26,MATCH(SUBSTITUTE(SUBSTITUTE(SUBSTITUTE(SUBSTITUTE("type:"&amp;B868,"%","%25"),"~","%7E"),"*","%2A"),"?","%3F"),'Rules'!$G$7:$G$26,0)),IF(AND(C868&lt;&gt;"",C868&lt;&gt;INDEX('Rules'!$B$7:$B$26,MATCH(SUBSTITUTE(SUBSTITUTE(SUBSTITUTE(SUBSTITUTE("type:"&amp;B868,"%","%25"),"~","%7E"),"*","%2A"),"?","%3F"),'Rules'!$G$7:$G$26,0))),"Unit mismatch",IF(IF(NOT(ISNUMBER(D868)),TRUE,OR(D868&lt;0,D868&gt;999999999,ROUND(D868,3)&lt;&gt;D868)),"Invalid current reading",IF(AND(E868&lt;&gt;"",IF(NOT(ISNUMBER(E868)),TRUE,OR(E868&lt;0,E868&gt;999999999,ROUND(E868,3)&lt;&gt;E868))),"Invalid previous reading",IF(IF(NOT(ISNUMBER(F868)),TRUE,OR(F868&lt;0,F868&gt;999999999,ROUND(F868,3)&lt;&gt;F868)),"Invalid last service",IF(AND(E868&lt;&gt;"",D868&lt;E868),"Decreased reading",IF(F868&gt;D868,"Last service above current","")))))))))))))</x:f>
      </x:c>
      <x:c r="L868" s="6" t="str">
        <x:f>IF(AND(NOT(COUNTA(A868:F868)=0),K868=""),INDEX('Rules'!$C$7:$C$26,MATCH(SUBSTITUTE(SUBSTITUTE(SUBSTITUTE(SUBSTITUTE("type:"&amp;B868,"%","%25"),"~","%7E"),"*","%2A"),"?","%3F"),'Rules'!$G$7:$G$26,0)),"")</x:f>
      </x:c>
      <x:c r="M868" s="6" t="str">
        <x:f>IF(AND(NOT(COUNTA(A868:F868)=0),K868=""),INDEX('Rules'!$D$7:$D$26,MATCH(SUBSTITUTE(SUBSTITUTE(SUBSTITUTE(SUBSTITUTE("type:"&amp;B868,"%","%25"),"~","%7E"),"*","%2A"),"?","%3F"),'Rules'!$G$7:$G$26,0)),"")</x:f>
      </x:c>
      <x:c r="N868" s="5" t="str">
        <x:f>IF(COUNTA(A868:F868)=0,"",SUBSTITUTE(SUBSTITUTE(SUBSTITUTE(SUBSTITUTE("id:"&amp;A868,"%","%25"),"~","%7E"),"*","%2A"),"?","%3F"))</x:f>
      </x:c>
    </x:row>
    <x:row r="869" ht="22" customHeight="1">
      <x:c r="A869" s="3"/>
      <x:c r="B869" s="3"/>
      <x:c r="C869" s="3"/>
      <x:c r="D869" s="4"/>
      <x:c r="E869" s="4"/>
      <x:c r="F869" s="4"/>
      <x:c r="G869" s="5" t="str">
        <x:f>IF(COUNTA(A869:F869)=0,"",IF(K869&lt;&gt;"","Review",IF(I869&lt;0,"Overdue",IF(I869=0,"Due now",IF(I869&lt;=M869,"Due soon","Not due")))))</x:f>
      </x:c>
      <x:c r="H869" s="5" t="str">
        <x:f>IF(OR(COUNTA(A869:F869)=0,COUNTIFS('Rules'!$G$7:$G$26,"="&amp;(SUBSTITUTE(SUBSTITUTE(SUBSTITUTE(SUBSTITUTE("type:"&amp;B869,"%","%25"),"~","%7E"),"*","%2A"),"?","%3F")))&lt;&gt;1),"",IF(OR(INDEX('Rules'!$B$7:$B$26,MATCH(SUBSTITUTE(SUBSTITUTE(SUBSTITUTE(SUBSTITUTE("type:"&amp;B869,"%","%25"),"~","%7E"),"*","%2A"),"?","%3F"),'Rules'!$G$7:$G$26,0))="hours",INDEX('Rules'!$B$7:$B$26,MATCH(SUBSTITUTE(SUBSTITUTE(SUBSTITUTE(SUBSTITUTE("type:"&amp;B869,"%","%25"),"~","%7E"),"*","%2A"),"?","%3F"),'Rules'!$G$7:$G$26,0))="km"),INDEX('Rules'!$B$7:$B$26,MATCH(SUBSTITUTE(SUBSTITUTE(SUBSTITUTE(SUBSTITUTE("type:"&amp;B869,"%","%25"),"~","%7E"),"*","%2A"),"?","%3F"),'Rules'!$G$7:$G$26,0)),""))</x:f>
      </x:c>
      <x:c r="I869" s="6" t="str">
        <x:f>IF(AND(NOT(COUNTA(A869:F869)=0),K869=""),ROUND(J869-D869,3),"")</x:f>
      </x:c>
      <x:c r="J869" s="6" t="str">
        <x:f>IF(AND(NOT(COUNTA(A869:F869)=0),K869=""),ROUND(F869+L869,3),"")</x:f>
      </x:c>
      <x:c r="K869" s="5" t="str">
        <x:f>IF(COUNTA(A869:F869)=0,"",IF(A869="","Missing equipment ID",IF(COUNTIFS($N$8:$N$2007,"="&amp;N869)&gt;1,"Duplicate equipment ID",IF(B869="","Missing type",IF(COUNTIFS('Rules'!$G$7:$G$26,"="&amp;(SUBSTITUTE(SUBSTITUTE(SUBSTITUTE(SUBSTITUTE("type:"&amp;B869,"%","%25"),"~","%7E"),"*","%2A"),"?","%3F")))=0,"Unknown type",IF(COUNTIFS('Rules'!$G$7:$G$26,"="&amp;(SUBSTITUTE(SUBSTITUTE(SUBSTITUTE(SUBSTITUTE("type:"&amp;B869,"%","%25"),"~","%7E"),"*","%2A"),"?","%3F")))&gt;1,"Duplicate type",IF(INDEX('Rules'!$F$7:$F$26,MATCH(SUBSTITUTE(SUBSTITUTE(SUBSTITUTE(SUBSTITUTE("type:"&amp;B869,"%","%25"),"~","%7E"),"*","%2A"),"?","%3F"),'Rules'!$G$7:$G$26,0))&lt;&gt;"",INDEX('Rules'!$F$7:$F$26,MATCH(SUBSTITUTE(SUBSTITUTE(SUBSTITUTE(SUBSTITUTE("type:"&amp;B869,"%","%25"),"~","%7E"),"*","%2A"),"?","%3F"),'Rules'!$G$7:$G$26,0)),IF(AND(C869&lt;&gt;"",C869&lt;&gt;INDEX('Rules'!$B$7:$B$26,MATCH(SUBSTITUTE(SUBSTITUTE(SUBSTITUTE(SUBSTITUTE("type:"&amp;B869,"%","%25"),"~","%7E"),"*","%2A"),"?","%3F"),'Rules'!$G$7:$G$26,0))),"Unit mismatch",IF(IF(NOT(ISNUMBER(D869)),TRUE,OR(D869&lt;0,D869&gt;999999999,ROUND(D869,3)&lt;&gt;D869)),"Invalid current reading",IF(AND(E869&lt;&gt;"",IF(NOT(ISNUMBER(E869)),TRUE,OR(E869&lt;0,E869&gt;999999999,ROUND(E869,3)&lt;&gt;E869))),"Invalid previous reading",IF(IF(NOT(ISNUMBER(F869)),TRUE,OR(F869&lt;0,F869&gt;999999999,ROUND(F869,3)&lt;&gt;F869)),"Invalid last service",IF(AND(E869&lt;&gt;"",D869&lt;E869),"Decreased reading",IF(F869&gt;D869,"Last service above current","")))))))))))))</x:f>
      </x:c>
      <x:c r="L869" s="6" t="str">
        <x:f>IF(AND(NOT(COUNTA(A869:F869)=0),K869=""),INDEX('Rules'!$C$7:$C$26,MATCH(SUBSTITUTE(SUBSTITUTE(SUBSTITUTE(SUBSTITUTE("type:"&amp;B869,"%","%25"),"~","%7E"),"*","%2A"),"?","%3F"),'Rules'!$G$7:$G$26,0)),"")</x:f>
      </x:c>
      <x:c r="M869" s="6" t="str">
        <x:f>IF(AND(NOT(COUNTA(A869:F869)=0),K869=""),INDEX('Rules'!$D$7:$D$26,MATCH(SUBSTITUTE(SUBSTITUTE(SUBSTITUTE(SUBSTITUTE("type:"&amp;B869,"%","%25"),"~","%7E"),"*","%2A"),"?","%3F"),'Rules'!$G$7:$G$26,0)),"")</x:f>
      </x:c>
      <x:c r="N869" s="5" t="str">
        <x:f>IF(COUNTA(A869:F869)=0,"",SUBSTITUTE(SUBSTITUTE(SUBSTITUTE(SUBSTITUTE("id:"&amp;A869,"%","%25"),"~","%7E"),"*","%2A"),"?","%3F"))</x:f>
      </x:c>
    </x:row>
    <x:row r="870" ht="22" customHeight="1">
      <x:c r="A870" s="3"/>
      <x:c r="B870" s="3"/>
      <x:c r="C870" s="3"/>
      <x:c r="D870" s="4"/>
      <x:c r="E870" s="4"/>
      <x:c r="F870" s="4"/>
      <x:c r="G870" s="5" t="str">
        <x:f>IF(COUNTA(A870:F870)=0,"",IF(K870&lt;&gt;"","Review",IF(I870&lt;0,"Overdue",IF(I870=0,"Due now",IF(I870&lt;=M870,"Due soon","Not due")))))</x:f>
      </x:c>
      <x:c r="H870" s="5" t="str">
        <x:f>IF(OR(COUNTA(A870:F870)=0,COUNTIFS('Rules'!$G$7:$G$26,"="&amp;(SUBSTITUTE(SUBSTITUTE(SUBSTITUTE(SUBSTITUTE("type:"&amp;B870,"%","%25"),"~","%7E"),"*","%2A"),"?","%3F")))&lt;&gt;1),"",IF(OR(INDEX('Rules'!$B$7:$B$26,MATCH(SUBSTITUTE(SUBSTITUTE(SUBSTITUTE(SUBSTITUTE("type:"&amp;B870,"%","%25"),"~","%7E"),"*","%2A"),"?","%3F"),'Rules'!$G$7:$G$26,0))="hours",INDEX('Rules'!$B$7:$B$26,MATCH(SUBSTITUTE(SUBSTITUTE(SUBSTITUTE(SUBSTITUTE("type:"&amp;B870,"%","%25"),"~","%7E"),"*","%2A"),"?","%3F"),'Rules'!$G$7:$G$26,0))="km"),INDEX('Rules'!$B$7:$B$26,MATCH(SUBSTITUTE(SUBSTITUTE(SUBSTITUTE(SUBSTITUTE("type:"&amp;B870,"%","%25"),"~","%7E"),"*","%2A"),"?","%3F"),'Rules'!$G$7:$G$26,0)),""))</x:f>
      </x:c>
      <x:c r="I870" s="6" t="str">
        <x:f>IF(AND(NOT(COUNTA(A870:F870)=0),K870=""),ROUND(J870-D870,3),"")</x:f>
      </x:c>
      <x:c r="J870" s="6" t="str">
        <x:f>IF(AND(NOT(COUNTA(A870:F870)=0),K870=""),ROUND(F870+L870,3),"")</x:f>
      </x:c>
      <x:c r="K870" s="5" t="str">
        <x:f>IF(COUNTA(A870:F870)=0,"",IF(A870="","Missing equipment ID",IF(COUNTIFS($N$8:$N$2007,"="&amp;N870)&gt;1,"Duplicate equipment ID",IF(B870="","Missing type",IF(COUNTIFS('Rules'!$G$7:$G$26,"="&amp;(SUBSTITUTE(SUBSTITUTE(SUBSTITUTE(SUBSTITUTE("type:"&amp;B870,"%","%25"),"~","%7E"),"*","%2A"),"?","%3F")))=0,"Unknown type",IF(COUNTIFS('Rules'!$G$7:$G$26,"="&amp;(SUBSTITUTE(SUBSTITUTE(SUBSTITUTE(SUBSTITUTE("type:"&amp;B870,"%","%25"),"~","%7E"),"*","%2A"),"?","%3F")))&gt;1,"Duplicate type",IF(INDEX('Rules'!$F$7:$F$26,MATCH(SUBSTITUTE(SUBSTITUTE(SUBSTITUTE(SUBSTITUTE("type:"&amp;B870,"%","%25"),"~","%7E"),"*","%2A"),"?","%3F"),'Rules'!$G$7:$G$26,0))&lt;&gt;"",INDEX('Rules'!$F$7:$F$26,MATCH(SUBSTITUTE(SUBSTITUTE(SUBSTITUTE(SUBSTITUTE("type:"&amp;B870,"%","%25"),"~","%7E"),"*","%2A"),"?","%3F"),'Rules'!$G$7:$G$26,0)),IF(AND(C870&lt;&gt;"",C870&lt;&gt;INDEX('Rules'!$B$7:$B$26,MATCH(SUBSTITUTE(SUBSTITUTE(SUBSTITUTE(SUBSTITUTE("type:"&amp;B870,"%","%25"),"~","%7E"),"*","%2A"),"?","%3F"),'Rules'!$G$7:$G$26,0))),"Unit mismatch",IF(IF(NOT(ISNUMBER(D870)),TRUE,OR(D870&lt;0,D870&gt;999999999,ROUND(D870,3)&lt;&gt;D870)),"Invalid current reading",IF(AND(E870&lt;&gt;"",IF(NOT(ISNUMBER(E870)),TRUE,OR(E870&lt;0,E870&gt;999999999,ROUND(E870,3)&lt;&gt;E870))),"Invalid previous reading",IF(IF(NOT(ISNUMBER(F870)),TRUE,OR(F870&lt;0,F870&gt;999999999,ROUND(F870,3)&lt;&gt;F870)),"Invalid last service",IF(AND(E870&lt;&gt;"",D870&lt;E870),"Decreased reading",IF(F870&gt;D870,"Last service above current","")))))))))))))</x:f>
      </x:c>
      <x:c r="L870" s="6" t="str">
        <x:f>IF(AND(NOT(COUNTA(A870:F870)=0),K870=""),INDEX('Rules'!$C$7:$C$26,MATCH(SUBSTITUTE(SUBSTITUTE(SUBSTITUTE(SUBSTITUTE("type:"&amp;B870,"%","%25"),"~","%7E"),"*","%2A"),"?","%3F"),'Rules'!$G$7:$G$26,0)),"")</x:f>
      </x:c>
      <x:c r="M870" s="6" t="str">
        <x:f>IF(AND(NOT(COUNTA(A870:F870)=0),K870=""),INDEX('Rules'!$D$7:$D$26,MATCH(SUBSTITUTE(SUBSTITUTE(SUBSTITUTE(SUBSTITUTE("type:"&amp;B870,"%","%25"),"~","%7E"),"*","%2A"),"?","%3F"),'Rules'!$G$7:$G$26,0)),"")</x:f>
      </x:c>
      <x:c r="N870" s="5" t="str">
        <x:f>IF(COUNTA(A870:F870)=0,"",SUBSTITUTE(SUBSTITUTE(SUBSTITUTE(SUBSTITUTE("id:"&amp;A870,"%","%25"),"~","%7E"),"*","%2A"),"?","%3F"))</x:f>
      </x:c>
    </x:row>
    <x:row r="871" ht="22" customHeight="1">
      <x:c r="A871" s="3"/>
      <x:c r="B871" s="3"/>
      <x:c r="C871" s="3"/>
      <x:c r="D871" s="4"/>
      <x:c r="E871" s="4"/>
      <x:c r="F871" s="4"/>
      <x:c r="G871" s="5" t="str">
        <x:f>IF(COUNTA(A871:F871)=0,"",IF(K871&lt;&gt;"","Review",IF(I871&lt;0,"Overdue",IF(I871=0,"Due now",IF(I871&lt;=M871,"Due soon","Not due")))))</x:f>
      </x:c>
      <x:c r="H871" s="5" t="str">
        <x:f>IF(OR(COUNTA(A871:F871)=0,COUNTIFS('Rules'!$G$7:$G$26,"="&amp;(SUBSTITUTE(SUBSTITUTE(SUBSTITUTE(SUBSTITUTE("type:"&amp;B871,"%","%25"),"~","%7E"),"*","%2A"),"?","%3F")))&lt;&gt;1),"",IF(OR(INDEX('Rules'!$B$7:$B$26,MATCH(SUBSTITUTE(SUBSTITUTE(SUBSTITUTE(SUBSTITUTE("type:"&amp;B871,"%","%25"),"~","%7E"),"*","%2A"),"?","%3F"),'Rules'!$G$7:$G$26,0))="hours",INDEX('Rules'!$B$7:$B$26,MATCH(SUBSTITUTE(SUBSTITUTE(SUBSTITUTE(SUBSTITUTE("type:"&amp;B871,"%","%25"),"~","%7E"),"*","%2A"),"?","%3F"),'Rules'!$G$7:$G$26,0))="km"),INDEX('Rules'!$B$7:$B$26,MATCH(SUBSTITUTE(SUBSTITUTE(SUBSTITUTE(SUBSTITUTE("type:"&amp;B871,"%","%25"),"~","%7E"),"*","%2A"),"?","%3F"),'Rules'!$G$7:$G$26,0)),""))</x:f>
      </x:c>
      <x:c r="I871" s="6" t="str">
        <x:f>IF(AND(NOT(COUNTA(A871:F871)=0),K871=""),ROUND(J871-D871,3),"")</x:f>
      </x:c>
      <x:c r="J871" s="6" t="str">
        <x:f>IF(AND(NOT(COUNTA(A871:F871)=0),K871=""),ROUND(F871+L871,3),"")</x:f>
      </x:c>
      <x:c r="K871" s="5" t="str">
        <x:f>IF(COUNTA(A871:F871)=0,"",IF(A871="","Missing equipment ID",IF(COUNTIFS($N$8:$N$2007,"="&amp;N871)&gt;1,"Duplicate equipment ID",IF(B871="","Missing type",IF(COUNTIFS('Rules'!$G$7:$G$26,"="&amp;(SUBSTITUTE(SUBSTITUTE(SUBSTITUTE(SUBSTITUTE("type:"&amp;B871,"%","%25"),"~","%7E"),"*","%2A"),"?","%3F")))=0,"Unknown type",IF(COUNTIFS('Rules'!$G$7:$G$26,"="&amp;(SUBSTITUTE(SUBSTITUTE(SUBSTITUTE(SUBSTITUTE("type:"&amp;B871,"%","%25"),"~","%7E"),"*","%2A"),"?","%3F")))&gt;1,"Duplicate type",IF(INDEX('Rules'!$F$7:$F$26,MATCH(SUBSTITUTE(SUBSTITUTE(SUBSTITUTE(SUBSTITUTE("type:"&amp;B871,"%","%25"),"~","%7E"),"*","%2A"),"?","%3F"),'Rules'!$G$7:$G$26,0))&lt;&gt;"",INDEX('Rules'!$F$7:$F$26,MATCH(SUBSTITUTE(SUBSTITUTE(SUBSTITUTE(SUBSTITUTE("type:"&amp;B871,"%","%25"),"~","%7E"),"*","%2A"),"?","%3F"),'Rules'!$G$7:$G$26,0)),IF(AND(C871&lt;&gt;"",C871&lt;&gt;INDEX('Rules'!$B$7:$B$26,MATCH(SUBSTITUTE(SUBSTITUTE(SUBSTITUTE(SUBSTITUTE("type:"&amp;B871,"%","%25"),"~","%7E"),"*","%2A"),"?","%3F"),'Rules'!$G$7:$G$26,0))),"Unit mismatch",IF(IF(NOT(ISNUMBER(D871)),TRUE,OR(D871&lt;0,D871&gt;999999999,ROUND(D871,3)&lt;&gt;D871)),"Invalid current reading",IF(AND(E871&lt;&gt;"",IF(NOT(ISNUMBER(E871)),TRUE,OR(E871&lt;0,E871&gt;999999999,ROUND(E871,3)&lt;&gt;E871))),"Invalid previous reading",IF(IF(NOT(ISNUMBER(F871)),TRUE,OR(F871&lt;0,F871&gt;999999999,ROUND(F871,3)&lt;&gt;F871)),"Invalid last service",IF(AND(E871&lt;&gt;"",D871&lt;E871),"Decreased reading",IF(F871&gt;D871,"Last service above current","")))))))))))))</x:f>
      </x:c>
      <x:c r="L871" s="6" t="str">
        <x:f>IF(AND(NOT(COUNTA(A871:F871)=0),K871=""),INDEX('Rules'!$C$7:$C$26,MATCH(SUBSTITUTE(SUBSTITUTE(SUBSTITUTE(SUBSTITUTE("type:"&amp;B871,"%","%25"),"~","%7E"),"*","%2A"),"?","%3F"),'Rules'!$G$7:$G$26,0)),"")</x:f>
      </x:c>
      <x:c r="M871" s="6" t="str">
        <x:f>IF(AND(NOT(COUNTA(A871:F871)=0),K871=""),INDEX('Rules'!$D$7:$D$26,MATCH(SUBSTITUTE(SUBSTITUTE(SUBSTITUTE(SUBSTITUTE("type:"&amp;B871,"%","%25"),"~","%7E"),"*","%2A"),"?","%3F"),'Rules'!$G$7:$G$26,0)),"")</x:f>
      </x:c>
      <x:c r="N871" s="5" t="str">
        <x:f>IF(COUNTA(A871:F871)=0,"",SUBSTITUTE(SUBSTITUTE(SUBSTITUTE(SUBSTITUTE("id:"&amp;A871,"%","%25"),"~","%7E"),"*","%2A"),"?","%3F"))</x:f>
      </x:c>
    </x:row>
    <x:row r="872" ht="22" customHeight="1">
      <x:c r="A872" s="3"/>
      <x:c r="B872" s="3"/>
      <x:c r="C872" s="3"/>
      <x:c r="D872" s="4"/>
      <x:c r="E872" s="4"/>
      <x:c r="F872" s="4"/>
      <x:c r="G872" s="5" t="str">
        <x:f>IF(COUNTA(A872:F872)=0,"",IF(K872&lt;&gt;"","Review",IF(I872&lt;0,"Overdue",IF(I872=0,"Due now",IF(I872&lt;=M872,"Due soon","Not due")))))</x:f>
      </x:c>
      <x:c r="H872" s="5" t="str">
        <x:f>IF(OR(COUNTA(A872:F872)=0,COUNTIFS('Rules'!$G$7:$G$26,"="&amp;(SUBSTITUTE(SUBSTITUTE(SUBSTITUTE(SUBSTITUTE("type:"&amp;B872,"%","%25"),"~","%7E"),"*","%2A"),"?","%3F")))&lt;&gt;1),"",IF(OR(INDEX('Rules'!$B$7:$B$26,MATCH(SUBSTITUTE(SUBSTITUTE(SUBSTITUTE(SUBSTITUTE("type:"&amp;B872,"%","%25"),"~","%7E"),"*","%2A"),"?","%3F"),'Rules'!$G$7:$G$26,0))="hours",INDEX('Rules'!$B$7:$B$26,MATCH(SUBSTITUTE(SUBSTITUTE(SUBSTITUTE(SUBSTITUTE("type:"&amp;B872,"%","%25"),"~","%7E"),"*","%2A"),"?","%3F"),'Rules'!$G$7:$G$26,0))="km"),INDEX('Rules'!$B$7:$B$26,MATCH(SUBSTITUTE(SUBSTITUTE(SUBSTITUTE(SUBSTITUTE("type:"&amp;B872,"%","%25"),"~","%7E"),"*","%2A"),"?","%3F"),'Rules'!$G$7:$G$26,0)),""))</x:f>
      </x:c>
      <x:c r="I872" s="6" t="str">
        <x:f>IF(AND(NOT(COUNTA(A872:F872)=0),K872=""),ROUND(J872-D872,3),"")</x:f>
      </x:c>
      <x:c r="J872" s="6" t="str">
        <x:f>IF(AND(NOT(COUNTA(A872:F872)=0),K872=""),ROUND(F872+L872,3),"")</x:f>
      </x:c>
      <x:c r="K872" s="5" t="str">
        <x:f>IF(COUNTA(A872:F872)=0,"",IF(A872="","Missing equipment ID",IF(COUNTIFS($N$8:$N$2007,"="&amp;N872)&gt;1,"Duplicate equipment ID",IF(B872="","Missing type",IF(COUNTIFS('Rules'!$G$7:$G$26,"="&amp;(SUBSTITUTE(SUBSTITUTE(SUBSTITUTE(SUBSTITUTE("type:"&amp;B872,"%","%25"),"~","%7E"),"*","%2A"),"?","%3F")))=0,"Unknown type",IF(COUNTIFS('Rules'!$G$7:$G$26,"="&amp;(SUBSTITUTE(SUBSTITUTE(SUBSTITUTE(SUBSTITUTE("type:"&amp;B872,"%","%25"),"~","%7E"),"*","%2A"),"?","%3F")))&gt;1,"Duplicate type",IF(INDEX('Rules'!$F$7:$F$26,MATCH(SUBSTITUTE(SUBSTITUTE(SUBSTITUTE(SUBSTITUTE("type:"&amp;B872,"%","%25"),"~","%7E"),"*","%2A"),"?","%3F"),'Rules'!$G$7:$G$26,0))&lt;&gt;"",INDEX('Rules'!$F$7:$F$26,MATCH(SUBSTITUTE(SUBSTITUTE(SUBSTITUTE(SUBSTITUTE("type:"&amp;B872,"%","%25"),"~","%7E"),"*","%2A"),"?","%3F"),'Rules'!$G$7:$G$26,0)),IF(AND(C872&lt;&gt;"",C872&lt;&gt;INDEX('Rules'!$B$7:$B$26,MATCH(SUBSTITUTE(SUBSTITUTE(SUBSTITUTE(SUBSTITUTE("type:"&amp;B872,"%","%25"),"~","%7E"),"*","%2A"),"?","%3F"),'Rules'!$G$7:$G$26,0))),"Unit mismatch",IF(IF(NOT(ISNUMBER(D872)),TRUE,OR(D872&lt;0,D872&gt;999999999,ROUND(D872,3)&lt;&gt;D872)),"Invalid current reading",IF(AND(E872&lt;&gt;"",IF(NOT(ISNUMBER(E872)),TRUE,OR(E872&lt;0,E872&gt;999999999,ROUND(E872,3)&lt;&gt;E872))),"Invalid previous reading",IF(IF(NOT(ISNUMBER(F872)),TRUE,OR(F872&lt;0,F872&gt;999999999,ROUND(F872,3)&lt;&gt;F872)),"Invalid last service",IF(AND(E872&lt;&gt;"",D872&lt;E872),"Decreased reading",IF(F872&gt;D872,"Last service above current","")))))))))))))</x:f>
      </x:c>
      <x:c r="L872" s="6" t="str">
        <x:f>IF(AND(NOT(COUNTA(A872:F872)=0),K872=""),INDEX('Rules'!$C$7:$C$26,MATCH(SUBSTITUTE(SUBSTITUTE(SUBSTITUTE(SUBSTITUTE("type:"&amp;B872,"%","%25"),"~","%7E"),"*","%2A"),"?","%3F"),'Rules'!$G$7:$G$26,0)),"")</x:f>
      </x:c>
      <x:c r="M872" s="6" t="str">
        <x:f>IF(AND(NOT(COUNTA(A872:F872)=0),K872=""),INDEX('Rules'!$D$7:$D$26,MATCH(SUBSTITUTE(SUBSTITUTE(SUBSTITUTE(SUBSTITUTE("type:"&amp;B872,"%","%25"),"~","%7E"),"*","%2A"),"?","%3F"),'Rules'!$G$7:$G$26,0)),"")</x:f>
      </x:c>
      <x:c r="N872" s="5" t="str">
        <x:f>IF(COUNTA(A872:F872)=0,"",SUBSTITUTE(SUBSTITUTE(SUBSTITUTE(SUBSTITUTE("id:"&amp;A872,"%","%25"),"~","%7E"),"*","%2A"),"?","%3F"))</x:f>
      </x:c>
    </x:row>
    <x:row r="873" ht="22" customHeight="1">
      <x:c r="A873" s="3"/>
      <x:c r="B873" s="3"/>
      <x:c r="C873" s="3"/>
      <x:c r="D873" s="4"/>
      <x:c r="E873" s="4"/>
      <x:c r="F873" s="4"/>
      <x:c r="G873" s="5" t="str">
        <x:f>IF(COUNTA(A873:F873)=0,"",IF(K873&lt;&gt;"","Review",IF(I873&lt;0,"Overdue",IF(I873=0,"Due now",IF(I873&lt;=M873,"Due soon","Not due")))))</x:f>
      </x:c>
      <x:c r="H873" s="5" t="str">
        <x:f>IF(OR(COUNTA(A873:F873)=0,COUNTIFS('Rules'!$G$7:$G$26,"="&amp;(SUBSTITUTE(SUBSTITUTE(SUBSTITUTE(SUBSTITUTE("type:"&amp;B873,"%","%25"),"~","%7E"),"*","%2A"),"?","%3F")))&lt;&gt;1),"",IF(OR(INDEX('Rules'!$B$7:$B$26,MATCH(SUBSTITUTE(SUBSTITUTE(SUBSTITUTE(SUBSTITUTE("type:"&amp;B873,"%","%25"),"~","%7E"),"*","%2A"),"?","%3F"),'Rules'!$G$7:$G$26,0))="hours",INDEX('Rules'!$B$7:$B$26,MATCH(SUBSTITUTE(SUBSTITUTE(SUBSTITUTE(SUBSTITUTE("type:"&amp;B873,"%","%25"),"~","%7E"),"*","%2A"),"?","%3F"),'Rules'!$G$7:$G$26,0))="km"),INDEX('Rules'!$B$7:$B$26,MATCH(SUBSTITUTE(SUBSTITUTE(SUBSTITUTE(SUBSTITUTE("type:"&amp;B873,"%","%25"),"~","%7E"),"*","%2A"),"?","%3F"),'Rules'!$G$7:$G$26,0)),""))</x:f>
      </x:c>
      <x:c r="I873" s="6" t="str">
        <x:f>IF(AND(NOT(COUNTA(A873:F873)=0),K873=""),ROUND(J873-D873,3),"")</x:f>
      </x:c>
      <x:c r="J873" s="6" t="str">
        <x:f>IF(AND(NOT(COUNTA(A873:F873)=0),K873=""),ROUND(F873+L873,3),"")</x:f>
      </x:c>
      <x:c r="K873" s="5" t="str">
        <x:f>IF(COUNTA(A873:F873)=0,"",IF(A873="","Missing equipment ID",IF(COUNTIFS($N$8:$N$2007,"="&amp;N873)&gt;1,"Duplicate equipment ID",IF(B873="","Missing type",IF(COUNTIFS('Rules'!$G$7:$G$26,"="&amp;(SUBSTITUTE(SUBSTITUTE(SUBSTITUTE(SUBSTITUTE("type:"&amp;B873,"%","%25"),"~","%7E"),"*","%2A"),"?","%3F")))=0,"Unknown type",IF(COUNTIFS('Rules'!$G$7:$G$26,"="&amp;(SUBSTITUTE(SUBSTITUTE(SUBSTITUTE(SUBSTITUTE("type:"&amp;B873,"%","%25"),"~","%7E"),"*","%2A"),"?","%3F")))&gt;1,"Duplicate type",IF(INDEX('Rules'!$F$7:$F$26,MATCH(SUBSTITUTE(SUBSTITUTE(SUBSTITUTE(SUBSTITUTE("type:"&amp;B873,"%","%25"),"~","%7E"),"*","%2A"),"?","%3F"),'Rules'!$G$7:$G$26,0))&lt;&gt;"",INDEX('Rules'!$F$7:$F$26,MATCH(SUBSTITUTE(SUBSTITUTE(SUBSTITUTE(SUBSTITUTE("type:"&amp;B873,"%","%25"),"~","%7E"),"*","%2A"),"?","%3F"),'Rules'!$G$7:$G$26,0)),IF(AND(C873&lt;&gt;"",C873&lt;&gt;INDEX('Rules'!$B$7:$B$26,MATCH(SUBSTITUTE(SUBSTITUTE(SUBSTITUTE(SUBSTITUTE("type:"&amp;B873,"%","%25"),"~","%7E"),"*","%2A"),"?","%3F"),'Rules'!$G$7:$G$26,0))),"Unit mismatch",IF(IF(NOT(ISNUMBER(D873)),TRUE,OR(D873&lt;0,D873&gt;999999999,ROUND(D873,3)&lt;&gt;D873)),"Invalid current reading",IF(AND(E873&lt;&gt;"",IF(NOT(ISNUMBER(E873)),TRUE,OR(E873&lt;0,E873&gt;999999999,ROUND(E873,3)&lt;&gt;E873))),"Invalid previous reading",IF(IF(NOT(ISNUMBER(F873)),TRUE,OR(F873&lt;0,F873&gt;999999999,ROUND(F873,3)&lt;&gt;F873)),"Invalid last service",IF(AND(E873&lt;&gt;"",D873&lt;E873),"Decreased reading",IF(F873&gt;D873,"Last service above current","")))))))))))))</x:f>
      </x:c>
      <x:c r="L873" s="6" t="str">
        <x:f>IF(AND(NOT(COUNTA(A873:F873)=0),K873=""),INDEX('Rules'!$C$7:$C$26,MATCH(SUBSTITUTE(SUBSTITUTE(SUBSTITUTE(SUBSTITUTE("type:"&amp;B873,"%","%25"),"~","%7E"),"*","%2A"),"?","%3F"),'Rules'!$G$7:$G$26,0)),"")</x:f>
      </x:c>
      <x:c r="M873" s="6" t="str">
        <x:f>IF(AND(NOT(COUNTA(A873:F873)=0),K873=""),INDEX('Rules'!$D$7:$D$26,MATCH(SUBSTITUTE(SUBSTITUTE(SUBSTITUTE(SUBSTITUTE("type:"&amp;B873,"%","%25"),"~","%7E"),"*","%2A"),"?","%3F"),'Rules'!$G$7:$G$26,0)),"")</x:f>
      </x:c>
      <x:c r="N873" s="5" t="str">
        <x:f>IF(COUNTA(A873:F873)=0,"",SUBSTITUTE(SUBSTITUTE(SUBSTITUTE(SUBSTITUTE("id:"&amp;A873,"%","%25"),"~","%7E"),"*","%2A"),"?","%3F"))</x:f>
      </x:c>
    </x:row>
    <x:row r="874" ht="22" customHeight="1">
      <x:c r="A874" s="3"/>
      <x:c r="B874" s="3"/>
      <x:c r="C874" s="3"/>
      <x:c r="D874" s="4"/>
      <x:c r="E874" s="4"/>
      <x:c r="F874" s="4"/>
      <x:c r="G874" s="5" t="str">
        <x:f>IF(COUNTA(A874:F874)=0,"",IF(K874&lt;&gt;"","Review",IF(I874&lt;0,"Overdue",IF(I874=0,"Due now",IF(I874&lt;=M874,"Due soon","Not due")))))</x:f>
      </x:c>
      <x:c r="H874" s="5" t="str">
        <x:f>IF(OR(COUNTA(A874:F874)=0,COUNTIFS('Rules'!$G$7:$G$26,"="&amp;(SUBSTITUTE(SUBSTITUTE(SUBSTITUTE(SUBSTITUTE("type:"&amp;B874,"%","%25"),"~","%7E"),"*","%2A"),"?","%3F")))&lt;&gt;1),"",IF(OR(INDEX('Rules'!$B$7:$B$26,MATCH(SUBSTITUTE(SUBSTITUTE(SUBSTITUTE(SUBSTITUTE("type:"&amp;B874,"%","%25"),"~","%7E"),"*","%2A"),"?","%3F"),'Rules'!$G$7:$G$26,0))="hours",INDEX('Rules'!$B$7:$B$26,MATCH(SUBSTITUTE(SUBSTITUTE(SUBSTITUTE(SUBSTITUTE("type:"&amp;B874,"%","%25"),"~","%7E"),"*","%2A"),"?","%3F"),'Rules'!$G$7:$G$26,0))="km"),INDEX('Rules'!$B$7:$B$26,MATCH(SUBSTITUTE(SUBSTITUTE(SUBSTITUTE(SUBSTITUTE("type:"&amp;B874,"%","%25"),"~","%7E"),"*","%2A"),"?","%3F"),'Rules'!$G$7:$G$26,0)),""))</x:f>
      </x:c>
      <x:c r="I874" s="6" t="str">
        <x:f>IF(AND(NOT(COUNTA(A874:F874)=0),K874=""),ROUND(J874-D874,3),"")</x:f>
      </x:c>
      <x:c r="J874" s="6" t="str">
        <x:f>IF(AND(NOT(COUNTA(A874:F874)=0),K874=""),ROUND(F874+L874,3),"")</x:f>
      </x:c>
      <x:c r="K874" s="5" t="str">
        <x:f>IF(COUNTA(A874:F874)=0,"",IF(A874="","Missing equipment ID",IF(COUNTIFS($N$8:$N$2007,"="&amp;N874)&gt;1,"Duplicate equipment ID",IF(B874="","Missing type",IF(COUNTIFS('Rules'!$G$7:$G$26,"="&amp;(SUBSTITUTE(SUBSTITUTE(SUBSTITUTE(SUBSTITUTE("type:"&amp;B874,"%","%25"),"~","%7E"),"*","%2A"),"?","%3F")))=0,"Unknown type",IF(COUNTIFS('Rules'!$G$7:$G$26,"="&amp;(SUBSTITUTE(SUBSTITUTE(SUBSTITUTE(SUBSTITUTE("type:"&amp;B874,"%","%25"),"~","%7E"),"*","%2A"),"?","%3F")))&gt;1,"Duplicate type",IF(INDEX('Rules'!$F$7:$F$26,MATCH(SUBSTITUTE(SUBSTITUTE(SUBSTITUTE(SUBSTITUTE("type:"&amp;B874,"%","%25"),"~","%7E"),"*","%2A"),"?","%3F"),'Rules'!$G$7:$G$26,0))&lt;&gt;"",INDEX('Rules'!$F$7:$F$26,MATCH(SUBSTITUTE(SUBSTITUTE(SUBSTITUTE(SUBSTITUTE("type:"&amp;B874,"%","%25"),"~","%7E"),"*","%2A"),"?","%3F"),'Rules'!$G$7:$G$26,0)),IF(AND(C874&lt;&gt;"",C874&lt;&gt;INDEX('Rules'!$B$7:$B$26,MATCH(SUBSTITUTE(SUBSTITUTE(SUBSTITUTE(SUBSTITUTE("type:"&amp;B874,"%","%25"),"~","%7E"),"*","%2A"),"?","%3F"),'Rules'!$G$7:$G$26,0))),"Unit mismatch",IF(IF(NOT(ISNUMBER(D874)),TRUE,OR(D874&lt;0,D874&gt;999999999,ROUND(D874,3)&lt;&gt;D874)),"Invalid current reading",IF(AND(E874&lt;&gt;"",IF(NOT(ISNUMBER(E874)),TRUE,OR(E874&lt;0,E874&gt;999999999,ROUND(E874,3)&lt;&gt;E874))),"Invalid previous reading",IF(IF(NOT(ISNUMBER(F874)),TRUE,OR(F874&lt;0,F874&gt;999999999,ROUND(F874,3)&lt;&gt;F874)),"Invalid last service",IF(AND(E874&lt;&gt;"",D874&lt;E874),"Decreased reading",IF(F874&gt;D874,"Last service above current","")))))))))))))</x:f>
      </x:c>
      <x:c r="L874" s="6" t="str">
        <x:f>IF(AND(NOT(COUNTA(A874:F874)=0),K874=""),INDEX('Rules'!$C$7:$C$26,MATCH(SUBSTITUTE(SUBSTITUTE(SUBSTITUTE(SUBSTITUTE("type:"&amp;B874,"%","%25"),"~","%7E"),"*","%2A"),"?","%3F"),'Rules'!$G$7:$G$26,0)),"")</x:f>
      </x:c>
      <x:c r="M874" s="6" t="str">
        <x:f>IF(AND(NOT(COUNTA(A874:F874)=0),K874=""),INDEX('Rules'!$D$7:$D$26,MATCH(SUBSTITUTE(SUBSTITUTE(SUBSTITUTE(SUBSTITUTE("type:"&amp;B874,"%","%25"),"~","%7E"),"*","%2A"),"?","%3F"),'Rules'!$G$7:$G$26,0)),"")</x:f>
      </x:c>
      <x:c r="N874" s="5" t="str">
        <x:f>IF(COUNTA(A874:F874)=0,"",SUBSTITUTE(SUBSTITUTE(SUBSTITUTE(SUBSTITUTE("id:"&amp;A874,"%","%25"),"~","%7E"),"*","%2A"),"?","%3F"))</x:f>
      </x:c>
    </x:row>
    <x:row r="875" ht="22" customHeight="1">
      <x:c r="A875" s="3"/>
      <x:c r="B875" s="3"/>
      <x:c r="C875" s="3"/>
      <x:c r="D875" s="4"/>
      <x:c r="E875" s="4"/>
      <x:c r="F875" s="4"/>
      <x:c r="G875" s="5" t="str">
        <x:f>IF(COUNTA(A875:F875)=0,"",IF(K875&lt;&gt;"","Review",IF(I875&lt;0,"Overdue",IF(I875=0,"Due now",IF(I875&lt;=M875,"Due soon","Not due")))))</x:f>
      </x:c>
      <x:c r="H875" s="5" t="str">
        <x:f>IF(OR(COUNTA(A875:F875)=0,COUNTIFS('Rules'!$G$7:$G$26,"="&amp;(SUBSTITUTE(SUBSTITUTE(SUBSTITUTE(SUBSTITUTE("type:"&amp;B875,"%","%25"),"~","%7E"),"*","%2A"),"?","%3F")))&lt;&gt;1),"",IF(OR(INDEX('Rules'!$B$7:$B$26,MATCH(SUBSTITUTE(SUBSTITUTE(SUBSTITUTE(SUBSTITUTE("type:"&amp;B875,"%","%25"),"~","%7E"),"*","%2A"),"?","%3F"),'Rules'!$G$7:$G$26,0))="hours",INDEX('Rules'!$B$7:$B$26,MATCH(SUBSTITUTE(SUBSTITUTE(SUBSTITUTE(SUBSTITUTE("type:"&amp;B875,"%","%25"),"~","%7E"),"*","%2A"),"?","%3F"),'Rules'!$G$7:$G$26,0))="km"),INDEX('Rules'!$B$7:$B$26,MATCH(SUBSTITUTE(SUBSTITUTE(SUBSTITUTE(SUBSTITUTE("type:"&amp;B875,"%","%25"),"~","%7E"),"*","%2A"),"?","%3F"),'Rules'!$G$7:$G$26,0)),""))</x:f>
      </x:c>
      <x:c r="I875" s="6" t="str">
        <x:f>IF(AND(NOT(COUNTA(A875:F875)=0),K875=""),ROUND(J875-D875,3),"")</x:f>
      </x:c>
      <x:c r="J875" s="6" t="str">
        <x:f>IF(AND(NOT(COUNTA(A875:F875)=0),K875=""),ROUND(F875+L875,3),"")</x:f>
      </x:c>
      <x:c r="K875" s="5" t="str">
        <x:f>IF(COUNTA(A875:F875)=0,"",IF(A875="","Missing equipment ID",IF(COUNTIFS($N$8:$N$2007,"="&amp;N875)&gt;1,"Duplicate equipment ID",IF(B875="","Missing type",IF(COUNTIFS('Rules'!$G$7:$G$26,"="&amp;(SUBSTITUTE(SUBSTITUTE(SUBSTITUTE(SUBSTITUTE("type:"&amp;B875,"%","%25"),"~","%7E"),"*","%2A"),"?","%3F")))=0,"Unknown type",IF(COUNTIFS('Rules'!$G$7:$G$26,"="&amp;(SUBSTITUTE(SUBSTITUTE(SUBSTITUTE(SUBSTITUTE("type:"&amp;B875,"%","%25"),"~","%7E"),"*","%2A"),"?","%3F")))&gt;1,"Duplicate type",IF(INDEX('Rules'!$F$7:$F$26,MATCH(SUBSTITUTE(SUBSTITUTE(SUBSTITUTE(SUBSTITUTE("type:"&amp;B875,"%","%25"),"~","%7E"),"*","%2A"),"?","%3F"),'Rules'!$G$7:$G$26,0))&lt;&gt;"",INDEX('Rules'!$F$7:$F$26,MATCH(SUBSTITUTE(SUBSTITUTE(SUBSTITUTE(SUBSTITUTE("type:"&amp;B875,"%","%25"),"~","%7E"),"*","%2A"),"?","%3F"),'Rules'!$G$7:$G$26,0)),IF(AND(C875&lt;&gt;"",C875&lt;&gt;INDEX('Rules'!$B$7:$B$26,MATCH(SUBSTITUTE(SUBSTITUTE(SUBSTITUTE(SUBSTITUTE("type:"&amp;B875,"%","%25"),"~","%7E"),"*","%2A"),"?","%3F"),'Rules'!$G$7:$G$26,0))),"Unit mismatch",IF(IF(NOT(ISNUMBER(D875)),TRUE,OR(D875&lt;0,D875&gt;999999999,ROUND(D875,3)&lt;&gt;D875)),"Invalid current reading",IF(AND(E875&lt;&gt;"",IF(NOT(ISNUMBER(E875)),TRUE,OR(E875&lt;0,E875&gt;999999999,ROUND(E875,3)&lt;&gt;E875))),"Invalid previous reading",IF(IF(NOT(ISNUMBER(F875)),TRUE,OR(F875&lt;0,F875&gt;999999999,ROUND(F875,3)&lt;&gt;F875)),"Invalid last service",IF(AND(E875&lt;&gt;"",D875&lt;E875),"Decreased reading",IF(F875&gt;D875,"Last service above current","")))))))))))))</x:f>
      </x:c>
      <x:c r="L875" s="6" t="str">
        <x:f>IF(AND(NOT(COUNTA(A875:F875)=0),K875=""),INDEX('Rules'!$C$7:$C$26,MATCH(SUBSTITUTE(SUBSTITUTE(SUBSTITUTE(SUBSTITUTE("type:"&amp;B875,"%","%25"),"~","%7E"),"*","%2A"),"?","%3F"),'Rules'!$G$7:$G$26,0)),"")</x:f>
      </x:c>
      <x:c r="M875" s="6" t="str">
        <x:f>IF(AND(NOT(COUNTA(A875:F875)=0),K875=""),INDEX('Rules'!$D$7:$D$26,MATCH(SUBSTITUTE(SUBSTITUTE(SUBSTITUTE(SUBSTITUTE("type:"&amp;B875,"%","%25"),"~","%7E"),"*","%2A"),"?","%3F"),'Rules'!$G$7:$G$26,0)),"")</x:f>
      </x:c>
      <x:c r="N875" s="5" t="str">
        <x:f>IF(COUNTA(A875:F875)=0,"",SUBSTITUTE(SUBSTITUTE(SUBSTITUTE(SUBSTITUTE("id:"&amp;A875,"%","%25"),"~","%7E"),"*","%2A"),"?","%3F"))</x:f>
      </x:c>
    </x:row>
    <x:row r="876" ht="22" customHeight="1">
      <x:c r="A876" s="3"/>
      <x:c r="B876" s="3"/>
      <x:c r="C876" s="3"/>
      <x:c r="D876" s="4"/>
      <x:c r="E876" s="4"/>
      <x:c r="F876" s="4"/>
      <x:c r="G876" s="5" t="str">
        <x:f>IF(COUNTA(A876:F876)=0,"",IF(K876&lt;&gt;"","Review",IF(I876&lt;0,"Overdue",IF(I876=0,"Due now",IF(I876&lt;=M876,"Due soon","Not due")))))</x:f>
      </x:c>
      <x:c r="H876" s="5" t="str">
        <x:f>IF(OR(COUNTA(A876:F876)=0,COUNTIFS('Rules'!$G$7:$G$26,"="&amp;(SUBSTITUTE(SUBSTITUTE(SUBSTITUTE(SUBSTITUTE("type:"&amp;B876,"%","%25"),"~","%7E"),"*","%2A"),"?","%3F")))&lt;&gt;1),"",IF(OR(INDEX('Rules'!$B$7:$B$26,MATCH(SUBSTITUTE(SUBSTITUTE(SUBSTITUTE(SUBSTITUTE("type:"&amp;B876,"%","%25"),"~","%7E"),"*","%2A"),"?","%3F"),'Rules'!$G$7:$G$26,0))="hours",INDEX('Rules'!$B$7:$B$26,MATCH(SUBSTITUTE(SUBSTITUTE(SUBSTITUTE(SUBSTITUTE("type:"&amp;B876,"%","%25"),"~","%7E"),"*","%2A"),"?","%3F"),'Rules'!$G$7:$G$26,0))="km"),INDEX('Rules'!$B$7:$B$26,MATCH(SUBSTITUTE(SUBSTITUTE(SUBSTITUTE(SUBSTITUTE("type:"&amp;B876,"%","%25"),"~","%7E"),"*","%2A"),"?","%3F"),'Rules'!$G$7:$G$26,0)),""))</x:f>
      </x:c>
      <x:c r="I876" s="6" t="str">
        <x:f>IF(AND(NOT(COUNTA(A876:F876)=0),K876=""),ROUND(J876-D876,3),"")</x:f>
      </x:c>
      <x:c r="J876" s="6" t="str">
        <x:f>IF(AND(NOT(COUNTA(A876:F876)=0),K876=""),ROUND(F876+L876,3),"")</x:f>
      </x:c>
      <x:c r="K876" s="5" t="str">
        <x:f>IF(COUNTA(A876:F876)=0,"",IF(A876="","Missing equipment ID",IF(COUNTIFS($N$8:$N$2007,"="&amp;N876)&gt;1,"Duplicate equipment ID",IF(B876="","Missing type",IF(COUNTIFS('Rules'!$G$7:$G$26,"="&amp;(SUBSTITUTE(SUBSTITUTE(SUBSTITUTE(SUBSTITUTE("type:"&amp;B876,"%","%25"),"~","%7E"),"*","%2A"),"?","%3F")))=0,"Unknown type",IF(COUNTIFS('Rules'!$G$7:$G$26,"="&amp;(SUBSTITUTE(SUBSTITUTE(SUBSTITUTE(SUBSTITUTE("type:"&amp;B876,"%","%25"),"~","%7E"),"*","%2A"),"?","%3F")))&gt;1,"Duplicate type",IF(INDEX('Rules'!$F$7:$F$26,MATCH(SUBSTITUTE(SUBSTITUTE(SUBSTITUTE(SUBSTITUTE("type:"&amp;B876,"%","%25"),"~","%7E"),"*","%2A"),"?","%3F"),'Rules'!$G$7:$G$26,0))&lt;&gt;"",INDEX('Rules'!$F$7:$F$26,MATCH(SUBSTITUTE(SUBSTITUTE(SUBSTITUTE(SUBSTITUTE("type:"&amp;B876,"%","%25"),"~","%7E"),"*","%2A"),"?","%3F"),'Rules'!$G$7:$G$26,0)),IF(AND(C876&lt;&gt;"",C876&lt;&gt;INDEX('Rules'!$B$7:$B$26,MATCH(SUBSTITUTE(SUBSTITUTE(SUBSTITUTE(SUBSTITUTE("type:"&amp;B876,"%","%25"),"~","%7E"),"*","%2A"),"?","%3F"),'Rules'!$G$7:$G$26,0))),"Unit mismatch",IF(IF(NOT(ISNUMBER(D876)),TRUE,OR(D876&lt;0,D876&gt;999999999,ROUND(D876,3)&lt;&gt;D876)),"Invalid current reading",IF(AND(E876&lt;&gt;"",IF(NOT(ISNUMBER(E876)),TRUE,OR(E876&lt;0,E876&gt;999999999,ROUND(E876,3)&lt;&gt;E876))),"Invalid previous reading",IF(IF(NOT(ISNUMBER(F876)),TRUE,OR(F876&lt;0,F876&gt;999999999,ROUND(F876,3)&lt;&gt;F876)),"Invalid last service",IF(AND(E876&lt;&gt;"",D876&lt;E876),"Decreased reading",IF(F876&gt;D876,"Last service above current","")))))))))))))</x:f>
      </x:c>
      <x:c r="L876" s="6" t="str">
        <x:f>IF(AND(NOT(COUNTA(A876:F876)=0),K876=""),INDEX('Rules'!$C$7:$C$26,MATCH(SUBSTITUTE(SUBSTITUTE(SUBSTITUTE(SUBSTITUTE("type:"&amp;B876,"%","%25"),"~","%7E"),"*","%2A"),"?","%3F"),'Rules'!$G$7:$G$26,0)),"")</x:f>
      </x:c>
      <x:c r="M876" s="6" t="str">
        <x:f>IF(AND(NOT(COUNTA(A876:F876)=0),K876=""),INDEX('Rules'!$D$7:$D$26,MATCH(SUBSTITUTE(SUBSTITUTE(SUBSTITUTE(SUBSTITUTE("type:"&amp;B876,"%","%25"),"~","%7E"),"*","%2A"),"?","%3F"),'Rules'!$G$7:$G$26,0)),"")</x:f>
      </x:c>
      <x:c r="N876" s="5" t="str">
        <x:f>IF(COUNTA(A876:F876)=0,"",SUBSTITUTE(SUBSTITUTE(SUBSTITUTE(SUBSTITUTE("id:"&amp;A876,"%","%25"),"~","%7E"),"*","%2A"),"?","%3F"))</x:f>
      </x:c>
    </x:row>
    <x:row r="877" ht="22" customHeight="1">
      <x:c r="A877" s="3"/>
      <x:c r="B877" s="3"/>
      <x:c r="C877" s="3"/>
      <x:c r="D877" s="4"/>
      <x:c r="E877" s="4"/>
      <x:c r="F877" s="4"/>
      <x:c r="G877" s="5" t="str">
        <x:f>IF(COUNTA(A877:F877)=0,"",IF(K877&lt;&gt;"","Review",IF(I877&lt;0,"Overdue",IF(I877=0,"Due now",IF(I877&lt;=M877,"Due soon","Not due")))))</x:f>
      </x:c>
      <x:c r="H877" s="5" t="str">
        <x:f>IF(OR(COUNTA(A877:F877)=0,COUNTIFS('Rules'!$G$7:$G$26,"="&amp;(SUBSTITUTE(SUBSTITUTE(SUBSTITUTE(SUBSTITUTE("type:"&amp;B877,"%","%25"),"~","%7E"),"*","%2A"),"?","%3F")))&lt;&gt;1),"",IF(OR(INDEX('Rules'!$B$7:$B$26,MATCH(SUBSTITUTE(SUBSTITUTE(SUBSTITUTE(SUBSTITUTE("type:"&amp;B877,"%","%25"),"~","%7E"),"*","%2A"),"?","%3F"),'Rules'!$G$7:$G$26,0))="hours",INDEX('Rules'!$B$7:$B$26,MATCH(SUBSTITUTE(SUBSTITUTE(SUBSTITUTE(SUBSTITUTE("type:"&amp;B877,"%","%25"),"~","%7E"),"*","%2A"),"?","%3F"),'Rules'!$G$7:$G$26,0))="km"),INDEX('Rules'!$B$7:$B$26,MATCH(SUBSTITUTE(SUBSTITUTE(SUBSTITUTE(SUBSTITUTE("type:"&amp;B877,"%","%25"),"~","%7E"),"*","%2A"),"?","%3F"),'Rules'!$G$7:$G$26,0)),""))</x:f>
      </x:c>
      <x:c r="I877" s="6" t="str">
        <x:f>IF(AND(NOT(COUNTA(A877:F877)=0),K877=""),ROUND(J877-D877,3),"")</x:f>
      </x:c>
      <x:c r="J877" s="6" t="str">
        <x:f>IF(AND(NOT(COUNTA(A877:F877)=0),K877=""),ROUND(F877+L877,3),"")</x:f>
      </x:c>
      <x:c r="K877" s="5" t="str">
        <x:f>IF(COUNTA(A877:F877)=0,"",IF(A877="","Missing equipment ID",IF(COUNTIFS($N$8:$N$2007,"="&amp;N877)&gt;1,"Duplicate equipment ID",IF(B877="","Missing type",IF(COUNTIFS('Rules'!$G$7:$G$26,"="&amp;(SUBSTITUTE(SUBSTITUTE(SUBSTITUTE(SUBSTITUTE("type:"&amp;B877,"%","%25"),"~","%7E"),"*","%2A"),"?","%3F")))=0,"Unknown type",IF(COUNTIFS('Rules'!$G$7:$G$26,"="&amp;(SUBSTITUTE(SUBSTITUTE(SUBSTITUTE(SUBSTITUTE("type:"&amp;B877,"%","%25"),"~","%7E"),"*","%2A"),"?","%3F")))&gt;1,"Duplicate type",IF(INDEX('Rules'!$F$7:$F$26,MATCH(SUBSTITUTE(SUBSTITUTE(SUBSTITUTE(SUBSTITUTE("type:"&amp;B877,"%","%25"),"~","%7E"),"*","%2A"),"?","%3F"),'Rules'!$G$7:$G$26,0))&lt;&gt;"",INDEX('Rules'!$F$7:$F$26,MATCH(SUBSTITUTE(SUBSTITUTE(SUBSTITUTE(SUBSTITUTE("type:"&amp;B877,"%","%25"),"~","%7E"),"*","%2A"),"?","%3F"),'Rules'!$G$7:$G$26,0)),IF(AND(C877&lt;&gt;"",C877&lt;&gt;INDEX('Rules'!$B$7:$B$26,MATCH(SUBSTITUTE(SUBSTITUTE(SUBSTITUTE(SUBSTITUTE("type:"&amp;B877,"%","%25"),"~","%7E"),"*","%2A"),"?","%3F"),'Rules'!$G$7:$G$26,0))),"Unit mismatch",IF(IF(NOT(ISNUMBER(D877)),TRUE,OR(D877&lt;0,D877&gt;999999999,ROUND(D877,3)&lt;&gt;D877)),"Invalid current reading",IF(AND(E877&lt;&gt;"",IF(NOT(ISNUMBER(E877)),TRUE,OR(E877&lt;0,E877&gt;999999999,ROUND(E877,3)&lt;&gt;E877))),"Invalid previous reading",IF(IF(NOT(ISNUMBER(F877)),TRUE,OR(F877&lt;0,F877&gt;999999999,ROUND(F877,3)&lt;&gt;F877)),"Invalid last service",IF(AND(E877&lt;&gt;"",D877&lt;E877),"Decreased reading",IF(F877&gt;D877,"Last service above current","")))))))))))))</x:f>
      </x:c>
      <x:c r="L877" s="6" t="str">
        <x:f>IF(AND(NOT(COUNTA(A877:F877)=0),K877=""),INDEX('Rules'!$C$7:$C$26,MATCH(SUBSTITUTE(SUBSTITUTE(SUBSTITUTE(SUBSTITUTE("type:"&amp;B877,"%","%25"),"~","%7E"),"*","%2A"),"?","%3F"),'Rules'!$G$7:$G$26,0)),"")</x:f>
      </x:c>
      <x:c r="M877" s="6" t="str">
        <x:f>IF(AND(NOT(COUNTA(A877:F877)=0),K877=""),INDEX('Rules'!$D$7:$D$26,MATCH(SUBSTITUTE(SUBSTITUTE(SUBSTITUTE(SUBSTITUTE("type:"&amp;B877,"%","%25"),"~","%7E"),"*","%2A"),"?","%3F"),'Rules'!$G$7:$G$26,0)),"")</x:f>
      </x:c>
      <x:c r="N877" s="5" t="str">
        <x:f>IF(COUNTA(A877:F877)=0,"",SUBSTITUTE(SUBSTITUTE(SUBSTITUTE(SUBSTITUTE("id:"&amp;A877,"%","%25"),"~","%7E"),"*","%2A"),"?","%3F"))</x:f>
      </x:c>
    </x:row>
    <x:row r="878" ht="22" customHeight="1">
      <x:c r="A878" s="3"/>
      <x:c r="B878" s="3"/>
      <x:c r="C878" s="3"/>
      <x:c r="D878" s="4"/>
      <x:c r="E878" s="4"/>
      <x:c r="F878" s="4"/>
      <x:c r="G878" s="5" t="str">
        <x:f>IF(COUNTA(A878:F878)=0,"",IF(K878&lt;&gt;"","Review",IF(I878&lt;0,"Overdue",IF(I878=0,"Due now",IF(I878&lt;=M878,"Due soon","Not due")))))</x:f>
      </x:c>
      <x:c r="H878" s="5" t="str">
        <x:f>IF(OR(COUNTA(A878:F878)=0,COUNTIFS('Rules'!$G$7:$G$26,"="&amp;(SUBSTITUTE(SUBSTITUTE(SUBSTITUTE(SUBSTITUTE("type:"&amp;B878,"%","%25"),"~","%7E"),"*","%2A"),"?","%3F")))&lt;&gt;1),"",IF(OR(INDEX('Rules'!$B$7:$B$26,MATCH(SUBSTITUTE(SUBSTITUTE(SUBSTITUTE(SUBSTITUTE("type:"&amp;B878,"%","%25"),"~","%7E"),"*","%2A"),"?","%3F"),'Rules'!$G$7:$G$26,0))="hours",INDEX('Rules'!$B$7:$B$26,MATCH(SUBSTITUTE(SUBSTITUTE(SUBSTITUTE(SUBSTITUTE("type:"&amp;B878,"%","%25"),"~","%7E"),"*","%2A"),"?","%3F"),'Rules'!$G$7:$G$26,0))="km"),INDEX('Rules'!$B$7:$B$26,MATCH(SUBSTITUTE(SUBSTITUTE(SUBSTITUTE(SUBSTITUTE("type:"&amp;B878,"%","%25"),"~","%7E"),"*","%2A"),"?","%3F"),'Rules'!$G$7:$G$26,0)),""))</x:f>
      </x:c>
      <x:c r="I878" s="6" t="str">
        <x:f>IF(AND(NOT(COUNTA(A878:F878)=0),K878=""),ROUND(J878-D878,3),"")</x:f>
      </x:c>
      <x:c r="J878" s="6" t="str">
        <x:f>IF(AND(NOT(COUNTA(A878:F878)=0),K878=""),ROUND(F878+L878,3),"")</x:f>
      </x:c>
      <x:c r="K878" s="5" t="str">
        <x:f>IF(COUNTA(A878:F878)=0,"",IF(A878="","Missing equipment ID",IF(COUNTIFS($N$8:$N$2007,"="&amp;N878)&gt;1,"Duplicate equipment ID",IF(B878="","Missing type",IF(COUNTIFS('Rules'!$G$7:$G$26,"="&amp;(SUBSTITUTE(SUBSTITUTE(SUBSTITUTE(SUBSTITUTE("type:"&amp;B878,"%","%25"),"~","%7E"),"*","%2A"),"?","%3F")))=0,"Unknown type",IF(COUNTIFS('Rules'!$G$7:$G$26,"="&amp;(SUBSTITUTE(SUBSTITUTE(SUBSTITUTE(SUBSTITUTE("type:"&amp;B878,"%","%25"),"~","%7E"),"*","%2A"),"?","%3F")))&gt;1,"Duplicate type",IF(INDEX('Rules'!$F$7:$F$26,MATCH(SUBSTITUTE(SUBSTITUTE(SUBSTITUTE(SUBSTITUTE("type:"&amp;B878,"%","%25"),"~","%7E"),"*","%2A"),"?","%3F"),'Rules'!$G$7:$G$26,0))&lt;&gt;"",INDEX('Rules'!$F$7:$F$26,MATCH(SUBSTITUTE(SUBSTITUTE(SUBSTITUTE(SUBSTITUTE("type:"&amp;B878,"%","%25"),"~","%7E"),"*","%2A"),"?","%3F"),'Rules'!$G$7:$G$26,0)),IF(AND(C878&lt;&gt;"",C878&lt;&gt;INDEX('Rules'!$B$7:$B$26,MATCH(SUBSTITUTE(SUBSTITUTE(SUBSTITUTE(SUBSTITUTE("type:"&amp;B878,"%","%25"),"~","%7E"),"*","%2A"),"?","%3F"),'Rules'!$G$7:$G$26,0))),"Unit mismatch",IF(IF(NOT(ISNUMBER(D878)),TRUE,OR(D878&lt;0,D878&gt;999999999,ROUND(D878,3)&lt;&gt;D878)),"Invalid current reading",IF(AND(E878&lt;&gt;"",IF(NOT(ISNUMBER(E878)),TRUE,OR(E878&lt;0,E878&gt;999999999,ROUND(E878,3)&lt;&gt;E878))),"Invalid previous reading",IF(IF(NOT(ISNUMBER(F878)),TRUE,OR(F878&lt;0,F878&gt;999999999,ROUND(F878,3)&lt;&gt;F878)),"Invalid last service",IF(AND(E878&lt;&gt;"",D878&lt;E878),"Decreased reading",IF(F878&gt;D878,"Last service above current","")))))))))))))</x:f>
      </x:c>
      <x:c r="L878" s="6" t="str">
        <x:f>IF(AND(NOT(COUNTA(A878:F878)=0),K878=""),INDEX('Rules'!$C$7:$C$26,MATCH(SUBSTITUTE(SUBSTITUTE(SUBSTITUTE(SUBSTITUTE("type:"&amp;B878,"%","%25"),"~","%7E"),"*","%2A"),"?","%3F"),'Rules'!$G$7:$G$26,0)),"")</x:f>
      </x:c>
      <x:c r="M878" s="6" t="str">
        <x:f>IF(AND(NOT(COUNTA(A878:F878)=0),K878=""),INDEX('Rules'!$D$7:$D$26,MATCH(SUBSTITUTE(SUBSTITUTE(SUBSTITUTE(SUBSTITUTE("type:"&amp;B878,"%","%25"),"~","%7E"),"*","%2A"),"?","%3F"),'Rules'!$G$7:$G$26,0)),"")</x:f>
      </x:c>
      <x:c r="N878" s="5" t="str">
        <x:f>IF(COUNTA(A878:F878)=0,"",SUBSTITUTE(SUBSTITUTE(SUBSTITUTE(SUBSTITUTE("id:"&amp;A878,"%","%25"),"~","%7E"),"*","%2A"),"?","%3F"))</x:f>
      </x:c>
    </x:row>
    <x:row r="879" ht="22" customHeight="1">
      <x:c r="A879" s="3"/>
      <x:c r="B879" s="3"/>
      <x:c r="C879" s="3"/>
      <x:c r="D879" s="4"/>
      <x:c r="E879" s="4"/>
      <x:c r="F879" s="4"/>
      <x:c r="G879" s="5" t="str">
        <x:f>IF(COUNTA(A879:F879)=0,"",IF(K879&lt;&gt;"","Review",IF(I879&lt;0,"Overdue",IF(I879=0,"Due now",IF(I879&lt;=M879,"Due soon","Not due")))))</x:f>
      </x:c>
      <x:c r="H879" s="5" t="str">
        <x:f>IF(OR(COUNTA(A879:F879)=0,COUNTIFS('Rules'!$G$7:$G$26,"="&amp;(SUBSTITUTE(SUBSTITUTE(SUBSTITUTE(SUBSTITUTE("type:"&amp;B879,"%","%25"),"~","%7E"),"*","%2A"),"?","%3F")))&lt;&gt;1),"",IF(OR(INDEX('Rules'!$B$7:$B$26,MATCH(SUBSTITUTE(SUBSTITUTE(SUBSTITUTE(SUBSTITUTE("type:"&amp;B879,"%","%25"),"~","%7E"),"*","%2A"),"?","%3F"),'Rules'!$G$7:$G$26,0))="hours",INDEX('Rules'!$B$7:$B$26,MATCH(SUBSTITUTE(SUBSTITUTE(SUBSTITUTE(SUBSTITUTE("type:"&amp;B879,"%","%25"),"~","%7E"),"*","%2A"),"?","%3F"),'Rules'!$G$7:$G$26,0))="km"),INDEX('Rules'!$B$7:$B$26,MATCH(SUBSTITUTE(SUBSTITUTE(SUBSTITUTE(SUBSTITUTE("type:"&amp;B879,"%","%25"),"~","%7E"),"*","%2A"),"?","%3F"),'Rules'!$G$7:$G$26,0)),""))</x:f>
      </x:c>
      <x:c r="I879" s="6" t="str">
        <x:f>IF(AND(NOT(COUNTA(A879:F879)=0),K879=""),ROUND(J879-D879,3),"")</x:f>
      </x:c>
      <x:c r="J879" s="6" t="str">
        <x:f>IF(AND(NOT(COUNTA(A879:F879)=0),K879=""),ROUND(F879+L879,3),"")</x:f>
      </x:c>
      <x:c r="K879" s="5" t="str">
        <x:f>IF(COUNTA(A879:F879)=0,"",IF(A879="","Missing equipment ID",IF(COUNTIFS($N$8:$N$2007,"="&amp;N879)&gt;1,"Duplicate equipment ID",IF(B879="","Missing type",IF(COUNTIFS('Rules'!$G$7:$G$26,"="&amp;(SUBSTITUTE(SUBSTITUTE(SUBSTITUTE(SUBSTITUTE("type:"&amp;B879,"%","%25"),"~","%7E"),"*","%2A"),"?","%3F")))=0,"Unknown type",IF(COUNTIFS('Rules'!$G$7:$G$26,"="&amp;(SUBSTITUTE(SUBSTITUTE(SUBSTITUTE(SUBSTITUTE("type:"&amp;B879,"%","%25"),"~","%7E"),"*","%2A"),"?","%3F")))&gt;1,"Duplicate type",IF(INDEX('Rules'!$F$7:$F$26,MATCH(SUBSTITUTE(SUBSTITUTE(SUBSTITUTE(SUBSTITUTE("type:"&amp;B879,"%","%25"),"~","%7E"),"*","%2A"),"?","%3F"),'Rules'!$G$7:$G$26,0))&lt;&gt;"",INDEX('Rules'!$F$7:$F$26,MATCH(SUBSTITUTE(SUBSTITUTE(SUBSTITUTE(SUBSTITUTE("type:"&amp;B879,"%","%25"),"~","%7E"),"*","%2A"),"?","%3F"),'Rules'!$G$7:$G$26,0)),IF(AND(C879&lt;&gt;"",C879&lt;&gt;INDEX('Rules'!$B$7:$B$26,MATCH(SUBSTITUTE(SUBSTITUTE(SUBSTITUTE(SUBSTITUTE("type:"&amp;B879,"%","%25"),"~","%7E"),"*","%2A"),"?","%3F"),'Rules'!$G$7:$G$26,0))),"Unit mismatch",IF(IF(NOT(ISNUMBER(D879)),TRUE,OR(D879&lt;0,D879&gt;999999999,ROUND(D879,3)&lt;&gt;D879)),"Invalid current reading",IF(AND(E879&lt;&gt;"",IF(NOT(ISNUMBER(E879)),TRUE,OR(E879&lt;0,E879&gt;999999999,ROUND(E879,3)&lt;&gt;E879))),"Invalid previous reading",IF(IF(NOT(ISNUMBER(F879)),TRUE,OR(F879&lt;0,F879&gt;999999999,ROUND(F879,3)&lt;&gt;F879)),"Invalid last service",IF(AND(E879&lt;&gt;"",D879&lt;E879),"Decreased reading",IF(F879&gt;D879,"Last service above current","")))))))))))))</x:f>
      </x:c>
      <x:c r="L879" s="6" t="str">
        <x:f>IF(AND(NOT(COUNTA(A879:F879)=0),K879=""),INDEX('Rules'!$C$7:$C$26,MATCH(SUBSTITUTE(SUBSTITUTE(SUBSTITUTE(SUBSTITUTE("type:"&amp;B879,"%","%25"),"~","%7E"),"*","%2A"),"?","%3F"),'Rules'!$G$7:$G$26,0)),"")</x:f>
      </x:c>
      <x:c r="M879" s="6" t="str">
        <x:f>IF(AND(NOT(COUNTA(A879:F879)=0),K879=""),INDEX('Rules'!$D$7:$D$26,MATCH(SUBSTITUTE(SUBSTITUTE(SUBSTITUTE(SUBSTITUTE("type:"&amp;B879,"%","%25"),"~","%7E"),"*","%2A"),"?","%3F"),'Rules'!$G$7:$G$26,0)),"")</x:f>
      </x:c>
      <x:c r="N879" s="5" t="str">
        <x:f>IF(COUNTA(A879:F879)=0,"",SUBSTITUTE(SUBSTITUTE(SUBSTITUTE(SUBSTITUTE("id:"&amp;A879,"%","%25"),"~","%7E"),"*","%2A"),"?","%3F"))</x:f>
      </x:c>
    </x:row>
    <x:row r="880" ht="22" customHeight="1">
      <x:c r="A880" s="3"/>
      <x:c r="B880" s="3"/>
      <x:c r="C880" s="3"/>
      <x:c r="D880" s="4"/>
      <x:c r="E880" s="4"/>
      <x:c r="F880" s="4"/>
      <x:c r="G880" s="5" t="str">
        <x:f>IF(COUNTA(A880:F880)=0,"",IF(K880&lt;&gt;"","Review",IF(I880&lt;0,"Overdue",IF(I880=0,"Due now",IF(I880&lt;=M880,"Due soon","Not due")))))</x:f>
      </x:c>
      <x:c r="H880" s="5" t="str">
        <x:f>IF(OR(COUNTA(A880:F880)=0,COUNTIFS('Rules'!$G$7:$G$26,"="&amp;(SUBSTITUTE(SUBSTITUTE(SUBSTITUTE(SUBSTITUTE("type:"&amp;B880,"%","%25"),"~","%7E"),"*","%2A"),"?","%3F")))&lt;&gt;1),"",IF(OR(INDEX('Rules'!$B$7:$B$26,MATCH(SUBSTITUTE(SUBSTITUTE(SUBSTITUTE(SUBSTITUTE("type:"&amp;B880,"%","%25"),"~","%7E"),"*","%2A"),"?","%3F"),'Rules'!$G$7:$G$26,0))="hours",INDEX('Rules'!$B$7:$B$26,MATCH(SUBSTITUTE(SUBSTITUTE(SUBSTITUTE(SUBSTITUTE("type:"&amp;B880,"%","%25"),"~","%7E"),"*","%2A"),"?","%3F"),'Rules'!$G$7:$G$26,0))="km"),INDEX('Rules'!$B$7:$B$26,MATCH(SUBSTITUTE(SUBSTITUTE(SUBSTITUTE(SUBSTITUTE("type:"&amp;B880,"%","%25"),"~","%7E"),"*","%2A"),"?","%3F"),'Rules'!$G$7:$G$26,0)),""))</x:f>
      </x:c>
      <x:c r="I880" s="6" t="str">
        <x:f>IF(AND(NOT(COUNTA(A880:F880)=0),K880=""),ROUND(J880-D880,3),"")</x:f>
      </x:c>
      <x:c r="J880" s="6" t="str">
        <x:f>IF(AND(NOT(COUNTA(A880:F880)=0),K880=""),ROUND(F880+L880,3),"")</x:f>
      </x:c>
      <x:c r="K880" s="5" t="str">
        <x:f>IF(COUNTA(A880:F880)=0,"",IF(A880="","Missing equipment ID",IF(COUNTIFS($N$8:$N$2007,"="&amp;N880)&gt;1,"Duplicate equipment ID",IF(B880="","Missing type",IF(COUNTIFS('Rules'!$G$7:$G$26,"="&amp;(SUBSTITUTE(SUBSTITUTE(SUBSTITUTE(SUBSTITUTE("type:"&amp;B880,"%","%25"),"~","%7E"),"*","%2A"),"?","%3F")))=0,"Unknown type",IF(COUNTIFS('Rules'!$G$7:$G$26,"="&amp;(SUBSTITUTE(SUBSTITUTE(SUBSTITUTE(SUBSTITUTE("type:"&amp;B880,"%","%25"),"~","%7E"),"*","%2A"),"?","%3F")))&gt;1,"Duplicate type",IF(INDEX('Rules'!$F$7:$F$26,MATCH(SUBSTITUTE(SUBSTITUTE(SUBSTITUTE(SUBSTITUTE("type:"&amp;B880,"%","%25"),"~","%7E"),"*","%2A"),"?","%3F"),'Rules'!$G$7:$G$26,0))&lt;&gt;"",INDEX('Rules'!$F$7:$F$26,MATCH(SUBSTITUTE(SUBSTITUTE(SUBSTITUTE(SUBSTITUTE("type:"&amp;B880,"%","%25"),"~","%7E"),"*","%2A"),"?","%3F"),'Rules'!$G$7:$G$26,0)),IF(AND(C880&lt;&gt;"",C880&lt;&gt;INDEX('Rules'!$B$7:$B$26,MATCH(SUBSTITUTE(SUBSTITUTE(SUBSTITUTE(SUBSTITUTE("type:"&amp;B880,"%","%25"),"~","%7E"),"*","%2A"),"?","%3F"),'Rules'!$G$7:$G$26,0))),"Unit mismatch",IF(IF(NOT(ISNUMBER(D880)),TRUE,OR(D880&lt;0,D880&gt;999999999,ROUND(D880,3)&lt;&gt;D880)),"Invalid current reading",IF(AND(E880&lt;&gt;"",IF(NOT(ISNUMBER(E880)),TRUE,OR(E880&lt;0,E880&gt;999999999,ROUND(E880,3)&lt;&gt;E880))),"Invalid previous reading",IF(IF(NOT(ISNUMBER(F880)),TRUE,OR(F880&lt;0,F880&gt;999999999,ROUND(F880,3)&lt;&gt;F880)),"Invalid last service",IF(AND(E880&lt;&gt;"",D880&lt;E880),"Decreased reading",IF(F880&gt;D880,"Last service above current","")))))))))))))</x:f>
      </x:c>
      <x:c r="L880" s="6" t="str">
        <x:f>IF(AND(NOT(COUNTA(A880:F880)=0),K880=""),INDEX('Rules'!$C$7:$C$26,MATCH(SUBSTITUTE(SUBSTITUTE(SUBSTITUTE(SUBSTITUTE("type:"&amp;B880,"%","%25"),"~","%7E"),"*","%2A"),"?","%3F"),'Rules'!$G$7:$G$26,0)),"")</x:f>
      </x:c>
      <x:c r="M880" s="6" t="str">
        <x:f>IF(AND(NOT(COUNTA(A880:F880)=0),K880=""),INDEX('Rules'!$D$7:$D$26,MATCH(SUBSTITUTE(SUBSTITUTE(SUBSTITUTE(SUBSTITUTE("type:"&amp;B880,"%","%25"),"~","%7E"),"*","%2A"),"?","%3F"),'Rules'!$G$7:$G$26,0)),"")</x:f>
      </x:c>
      <x:c r="N880" s="5" t="str">
        <x:f>IF(COUNTA(A880:F880)=0,"",SUBSTITUTE(SUBSTITUTE(SUBSTITUTE(SUBSTITUTE("id:"&amp;A880,"%","%25"),"~","%7E"),"*","%2A"),"?","%3F"))</x:f>
      </x:c>
    </x:row>
    <x:row r="881" ht="22" customHeight="1">
      <x:c r="A881" s="3"/>
      <x:c r="B881" s="3"/>
      <x:c r="C881" s="3"/>
      <x:c r="D881" s="4"/>
      <x:c r="E881" s="4"/>
      <x:c r="F881" s="4"/>
      <x:c r="G881" s="5" t="str">
        <x:f>IF(COUNTA(A881:F881)=0,"",IF(K881&lt;&gt;"","Review",IF(I881&lt;0,"Overdue",IF(I881=0,"Due now",IF(I881&lt;=M881,"Due soon","Not due")))))</x:f>
      </x:c>
      <x:c r="H881" s="5" t="str">
        <x:f>IF(OR(COUNTA(A881:F881)=0,COUNTIFS('Rules'!$G$7:$G$26,"="&amp;(SUBSTITUTE(SUBSTITUTE(SUBSTITUTE(SUBSTITUTE("type:"&amp;B881,"%","%25"),"~","%7E"),"*","%2A"),"?","%3F")))&lt;&gt;1),"",IF(OR(INDEX('Rules'!$B$7:$B$26,MATCH(SUBSTITUTE(SUBSTITUTE(SUBSTITUTE(SUBSTITUTE("type:"&amp;B881,"%","%25"),"~","%7E"),"*","%2A"),"?","%3F"),'Rules'!$G$7:$G$26,0))="hours",INDEX('Rules'!$B$7:$B$26,MATCH(SUBSTITUTE(SUBSTITUTE(SUBSTITUTE(SUBSTITUTE("type:"&amp;B881,"%","%25"),"~","%7E"),"*","%2A"),"?","%3F"),'Rules'!$G$7:$G$26,0))="km"),INDEX('Rules'!$B$7:$B$26,MATCH(SUBSTITUTE(SUBSTITUTE(SUBSTITUTE(SUBSTITUTE("type:"&amp;B881,"%","%25"),"~","%7E"),"*","%2A"),"?","%3F"),'Rules'!$G$7:$G$26,0)),""))</x:f>
      </x:c>
      <x:c r="I881" s="6" t="str">
        <x:f>IF(AND(NOT(COUNTA(A881:F881)=0),K881=""),ROUND(J881-D881,3),"")</x:f>
      </x:c>
      <x:c r="J881" s="6" t="str">
        <x:f>IF(AND(NOT(COUNTA(A881:F881)=0),K881=""),ROUND(F881+L881,3),"")</x:f>
      </x:c>
      <x:c r="K881" s="5" t="str">
        <x:f>IF(COUNTA(A881:F881)=0,"",IF(A881="","Missing equipment ID",IF(COUNTIFS($N$8:$N$2007,"="&amp;N881)&gt;1,"Duplicate equipment ID",IF(B881="","Missing type",IF(COUNTIFS('Rules'!$G$7:$G$26,"="&amp;(SUBSTITUTE(SUBSTITUTE(SUBSTITUTE(SUBSTITUTE("type:"&amp;B881,"%","%25"),"~","%7E"),"*","%2A"),"?","%3F")))=0,"Unknown type",IF(COUNTIFS('Rules'!$G$7:$G$26,"="&amp;(SUBSTITUTE(SUBSTITUTE(SUBSTITUTE(SUBSTITUTE("type:"&amp;B881,"%","%25"),"~","%7E"),"*","%2A"),"?","%3F")))&gt;1,"Duplicate type",IF(INDEX('Rules'!$F$7:$F$26,MATCH(SUBSTITUTE(SUBSTITUTE(SUBSTITUTE(SUBSTITUTE("type:"&amp;B881,"%","%25"),"~","%7E"),"*","%2A"),"?","%3F"),'Rules'!$G$7:$G$26,0))&lt;&gt;"",INDEX('Rules'!$F$7:$F$26,MATCH(SUBSTITUTE(SUBSTITUTE(SUBSTITUTE(SUBSTITUTE("type:"&amp;B881,"%","%25"),"~","%7E"),"*","%2A"),"?","%3F"),'Rules'!$G$7:$G$26,0)),IF(AND(C881&lt;&gt;"",C881&lt;&gt;INDEX('Rules'!$B$7:$B$26,MATCH(SUBSTITUTE(SUBSTITUTE(SUBSTITUTE(SUBSTITUTE("type:"&amp;B881,"%","%25"),"~","%7E"),"*","%2A"),"?","%3F"),'Rules'!$G$7:$G$26,0))),"Unit mismatch",IF(IF(NOT(ISNUMBER(D881)),TRUE,OR(D881&lt;0,D881&gt;999999999,ROUND(D881,3)&lt;&gt;D881)),"Invalid current reading",IF(AND(E881&lt;&gt;"",IF(NOT(ISNUMBER(E881)),TRUE,OR(E881&lt;0,E881&gt;999999999,ROUND(E881,3)&lt;&gt;E881))),"Invalid previous reading",IF(IF(NOT(ISNUMBER(F881)),TRUE,OR(F881&lt;0,F881&gt;999999999,ROUND(F881,3)&lt;&gt;F881)),"Invalid last service",IF(AND(E881&lt;&gt;"",D881&lt;E881),"Decreased reading",IF(F881&gt;D881,"Last service above current","")))))))))))))</x:f>
      </x:c>
      <x:c r="L881" s="6" t="str">
        <x:f>IF(AND(NOT(COUNTA(A881:F881)=0),K881=""),INDEX('Rules'!$C$7:$C$26,MATCH(SUBSTITUTE(SUBSTITUTE(SUBSTITUTE(SUBSTITUTE("type:"&amp;B881,"%","%25"),"~","%7E"),"*","%2A"),"?","%3F"),'Rules'!$G$7:$G$26,0)),"")</x:f>
      </x:c>
      <x:c r="M881" s="6" t="str">
        <x:f>IF(AND(NOT(COUNTA(A881:F881)=0),K881=""),INDEX('Rules'!$D$7:$D$26,MATCH(SUBSTITUTE(SUBSTITUTE(SUBSTITUTE(SUBSTITUTE("type:"&amp;B881,"%","%25"),"~","%7E"),"*","%2A"),"?","%3F"),'Rules'!$G$7:$G$26,0)),"")</x:f>
      </x:c>
      <x:c r="N881" s="5" t="str">
        <x:f>IF(COUNTA(A881:F881)=0,"",SUBSTITUTE(SUBSTITUTE(SUBSTITUTE(SUBSTITUTE("id:"&amp;A881,"%","%25"),"~","%7E"),"*","%2A"),"?","%3F"))</x:f>
      </x:c>
    </x:row>
    <x:row r="882" ht="22" customHeight="1">
      <x:c r="A882" s="3"/>
      <x:c r="B882" s="3"/>
      <x:c r="C882" s="3"/>
      <x:c r="D882" s="4"/>
      <x:c r="E882" s="4"/>
      <x:c r="F882" s="4"/>
      <x:c r="G882" s="5" t="str">
        <x:f>IF(COUNTA(A882:F882)=0,"",IF(K882&lt;&gt;"","Review",IF(I882&lt;0,"Overdue",IF(I882=0,"Due now",IF(I882&lt;=M882,"Due soon","Not due")))))</x:f>
      </x:c>
      <x:c r="H882" s="5" t="str">
        <x:f>IF(OR(COUNTA(A882:F882)=0,COUNTIFS('Rules'!$G$7:$G$26,"="&amp;(SUBSTITUTE(SUBSTITUTE(SUBSTITUTE(SUBSTITUTE("type:"&amp;B882,"%","%25"),"~","%7E"),"*","%2A"),"?","%3F")))&lt;&gt;1),"",IF(OR(INDEX('Rules'!$B$7:$B$26,MATCH(SUBSTITUTE(SUBSTITUTE(SUBSTITUTE(SUBSTITUTE("type:"&amp;B882,"%","%25"),"~","%7E"),"*","%2A"),"?","%3F"),'Rules'!$G$7:$G$26,0))="hours",INDEX('Rules'!$B$7:$B$26,MATCH(SUBSTITUTE(SUBSTITUTE(SUBSTITUTE(SUBSTITUTE("type:"&amp;B882,"%","%25"),"~","%7E"),"*","%2A"),"?","%3F"),'Rules'!$G$7:$G$26,0))="km"),INDEX('Rules'!$B$7:$B$26,MATCH(SUBSTITUTE(SUBSTITUTE(SUBSTITUTE(SUBSTITUTE("type:"&amp;B882,"%","%25"),"~","%7E"),"*","%2A"),"?","%3F"),'Rules'!$G$7:$G$26,0)),""))</x:f>
      </x:c>
      <x:c r="I882" s="6" t="str">
        <x:f>IF(AND(NOT(COUNTA(A882:F882)=0),K882=""),ROUND(J882-D882,3),"")</x:f>
      </x:c>
      <x:c r="J882" s="6" t="str">
        <x:f>IF(AND(NOT(COUNTA(A882:F882)=0),K882=""),ROUND(F882+L882,3),"")</x:f>
      </x:c>
      <x:c r="K882" s="5" t="str">
        <x:f>IF(COUNTA(A882:F882)=0,"",IF(A882="","Missing equipment ID",IF(COUNTIFS($N$8:$N$2007,"="&amp;N882)&gt;1,"Duplicate equipment ID",IF(B882="","Missing type",IF(COUNTIFS('Rules'!$G$7:$G$26,"="&amp;(SUBSTITUTE(SUBSTITUTE(SUBSTITUTE(SUBSTITUTE("type:"&amp;B882,"%","%25"),"~","%7E"),"*","%2A"),"?","%3F")))=0,"Unknown type",IF(COUNTIFS('Rules'!$G$7:$G$26,"="&amp;(SUBSTITUTE(SUBSTITUTE(SUBSTITUTE(SUBSTITUTE("type:"&amp;B882,"%","%25"),"~","%7E"),"*","%2A"),"?","%3F")))&gt;1,"Duplicate type",IF(INDEX('Rules'!$F$7:$F$26,MATCH(SUBSTITUTE(SUBSTITUTE(SUBSTITUTE(SUBSTITUTE("type:"&amp;B882,"%","%25"),"~","%7E"),"*","%2A"),"?","%3F"),'Rules'!$G$7:$G$26,0))&lt;&gt;"",INDEX('Rules'!$F$7:$F$26,MATCH(SUBSTITUTE(SUBSTITUTE(SUBSTITUTE(SUBSTITUTE("type:"&amp;B882,"%","%25"),"~","%7E"),"*","%2A"),"?","%3F"),'Rules'!$G$7:$G$26,0)),IF(AND(C882&lt;&gt;"",C882&lt;&gt;INDEX('Rules'!$B$7:$B$26,MATCH(SUBSTITUTE(SUBSTITUTE(SUBSTITUTE(SUBSTITUTE("type:"&amp;B882,"%","%25"),"~","%7E"),"*","%2A"),"?","%3F"),'Rules'!$G$7:$G$26,0))),"Unit mismatch",IF(IF(NOT(ISNUMBER(D882)),TRUE,OR(D882&lt;0,D882&gt;999999999,ROUND(D882,3)&lt;&gt;D882)),"Invalid current reading",IF(AND(E882&lt;&gt;"",IF(NOT(ISNUMBER(E882)),TRUE,OR(E882&lt;0,E882&gt;999999999,ROUND(E882,3)&lt;&gt;E882))),"Invalid previous reading",IF(IF(NOT(ISNUMBER(F882)),TRUE,OR(F882&lt;0,F882&gt;999999999,ROUND(F882,3)&lt;&gt;F882)),"Invalid last service",IF(AND(E882&lt;&gt;"",D882&lt;E882),"Decreased reading",IF(F882&gt;D882,"Last service above current","")))))))))))))</x:f>
      </x:c>
      <x:c r="L882" s="6" t="str">
        <x:f>IF(AND(NOT(COUNTA(A882:F882)=0),K882=""),INDEX('Rules'!$C$7:$C$26,MATCH(SUBSTITUTE(SUBSTITUTE(SUBSTITUTE(SUBSTITUTE("type:"&amp;B882,"%","%25"),"~","%7E"),"*","%2A"),"?","%3F"),'Rules'!$G$7:$G$26,0)),"")</x:f>
      </x:c>
      <x:c r="M882" s="6" t="str">
        <x:f>IF(AND(NOT(COUNTA(A882:F882)=0),K882=""),INDEX('Rules'!$D$7:$D$26,MATCH(SUBSTITUTE(SUBSTITUTE(SUBSTITUTE(SUBSTITUTE("type:"&amp;B882,"%","%25"),"~","%7E"),"*","%2A"),"?","%3F"),'Rules'!$G$7:$G$26,0)),"")</x:f>
      </x:c>
      <x:c r="N882" s="5" t="str">
        <x:f>IF(COUNTA(A882:F882)=0,"",SUBSTITUTE(SUBSTITUTE(SUBSTITUTE(SUBSTITUTE("id:"&amp;A882,"%","%25"),"~","%7E"),"*","%2A"),"?","%3F"))</x:f>
      </x:c>
    </x:row>
    <x:row r="883" ht="22" customHeight="1">
      <x:c r="A883" s="3"/>
      <x:c r="B883" s="3"/>
      <x:c r="C883" s="3"/>
      <x:c r="D883" s="4"/>
      <x:c r="E883" s="4"/>
      <x:c r="F883" s="4"/>
      <x:c r="G883" s="5" t="str">
        <x:f>IF(COUNTA(A883:F883)=0,"",IF(K883&lt;&gt;"","Review",IF(I883&lt;0,"Overdue",IF(I883=0,"Due now",IF(I883&lt;=M883,"Due soon","Not due")))))</x:f>
      </x:c>
      <x:c r="H883" s="5" t="str">
        <x:f>IF(OR(COUNTA(A883:F883)=0,COUNTIFS('Rules'!$G$7:$G$26,"="&amp;(SUBSTITUTE(SUBSTITUTE(SUBSTITUTE(SUBSTITUTE("type:"&amp;B883,"%","%25"),"~","%7E"),"*","%2A"),"?","%3F")))&lt;&gt;1),"",IF(OR(INDEX('Rules'!$B$7:$B$26,MATCH(SUBSTITUTE(SUBSTITUTE(SUBSTITUTE(SUBSTITUTE("type:"&amp;B883,"%","%25"),"~","%7E"),"*","%2A"),"?","%3F"),'Rules'!$G$7:$G$26,0))="hours",INDEX('Rules'!$B$7:$B$26,MATCH(SUBSTITUTE(SUBSTITUTE(SUBSTITUTE(SUBSTITUTE("type:"&amp;B883,"%","%25"),"~","%7E"),"*","%2A"),"?","%3F"),'Rules'!$G$7:$G$26,0))="km"),INDEX('Rules'!$B$7:$B$26,MATCH(SUBSTITUTE(SUBSTITUTE(SUBSTITUTE(SUBSTITUTE("type:"&amp;B883,"%","%25"),"~","%7E"),"*","%2A"),"?","%3F"),'Rules'!$G$7:$G$26,0)),""))</x:f>
      </x:c>
      <x:c r="I883" s="6" t="str">
        <x:f>IF(AND(NOT(COUNTA(A883:F883)=0),K883=""),ROUND(J883-D883,3),"")</x:f>
      </x:c>
      <x:c r="J883" s="6" t="str">
        <x:f>IF(AND(NOT(COUNTA(A883:F883)=0),K883=""),ROUND(F883+L883,3),"")</x:f>
      </x:c>
      <x:c r="K883" s="5" t="str">
        <x:f>IF(COUNTA(A883:F883)=0,"",IF(A883="","Missing equipment ID",IF(COUNTIFS($N$8:$N$2007,"="&amp;N883)&gt;1,"Duplicate equipment ID",IF(B883="","Missing type",IF(COUNTIFS('Rules'!$G$7:$G$26,"="&amp;(SUBSTITUTE(SUBSTITUTE(SUBSTITUTE(SUBSTITUTE("type:"&amp;B883,"%","%25"),"~","%7E"),"*","%2A"),"?","%3F")))=0,"Unknown type",IF(COUNTIFS('Rules'!$G$7:$G$26,"="&amp;(SUBSTITUTE(SUBSTITUTE(SUBSTITUTE(SUBSTITUTE("type:"&amp;B883,"%","%25"),"~","%7E"),"*","%2A"),"?","%3F")))&gt;1,"Duplicate type",IF(INDEX('Rules'!$F$7:$F$26,MATCH(SUBSTITUTE(SUBSTITUTE(SUBSTITUTE(SUBSTITUTE("type:"&amp;B883,"%","%25"),"~","%7E"),"*","%2A"),"?","%3F"),'Rules'!$G$7:$G$26,0))&lt;&gt;"",INDEX('Rules'!$F$7:$F$26,MATCH(SUBSTITUTE(SUBSTITUTE(SUBSTITUTE(SUBSTITUTE("type:"&amp;B883,"%","%25"),"~","%7E"),"*","%2A"),"?","%3F"),'Rules'!$G$7:$G$26,0)),IF(AND(C883&lt;&gt;"",C883&lt;&gt;INDEX('Rules'!$B$7:$B$26,MATCH(SUBSTITUTE(SUBSTITUTE(SUBSTITUTE(SUBSTITUTE("type:"&amp;B883,"%","%25"),"~","%7E"),"*","%2A"),"?","%3F"),'Rules'!$G$7:$G$26,0))),"Unit mismatch",IF(IF(NOT(ISNUMBER(D883)),TRUE,OR(D883&lt;0,D883&gt;999999999,ROUND(D883,3)&lt;&gt;D883)),"Invalid current reading",IF(AND(E883&lt;&gt;"",IF(NOT(ISNUMBER(E883)),TRUE,OR(E883&lt;0,E883&gt;999999999,ROUND(E883,3)&lt;&gt;E883))),"Invalid previous reading",IF(IF(NOT(ISNUMBER(F883)),TRUE,OR(F883&lt;0,F883&gt;999999999,ROUND(F883,3)&lt;&gt;F883)),"Invalid last service",IF(AND(E883&lt;&gt;"",D883&lt;E883),"Decreased reading",IF(F883&gt;D883,"Last service above current","")))))))))))))</x:f>
      </x:c>
      <x:c r="L883" s="6" t="str">
        <x:f>IF(AND(NOT(COUNTA(A883:F883)=0),K883=""),INDEX('Rules'!$C$7:$C$26,MATCH(SUBSTITUTE(SUBSTITUTE(SUBSTITUTE(SUBSTITUTE("type:"&amp;B883,"%","%25"),"~","%7E"),"*","%2A"),"?","%3F"),'Rules'!$G$7:$G$26,0)),"")</x:f>
      </x:c>
      <x:c r="M883" s="6" t="str">
        <x:f>IF(AND(NOT(COUNTA(A883:F883)=0),K883=""),INDEX('Rules'!$D$7:$D$26,MATCH(SUBSTITUTE(SUBSTITUTE(SUBSTITUTE(SUBSTITUTE("type:"&amp;B883,"%","%25"),"~","%7E"),"*","%2A"),"?","%3F"),'Rules'!$G$7:$G$26,0)),"")</x:f>
      </x:c>
      <x:c r="N883" s="5" t="str">
        <x:f>IF(COUNTA(A883:F883)=0,"",SUBSTITUTE(SUBSTITUTE(SUBSTITUTE(SUBSTITUTE("id:"&amp;A883,"%","%25"),"~","%7E"),"*","%2A"),"?","%3F"))</x:f>
      </x:c>
    </x:row>
    <x:row r="884" ht="22" customHeight="1">
      <x:c r="A884" s="3"/>
      <x:c r="B884" s="3"/>
      <x:c r="C884" s="3"/>
      <x:c r="D884" s="4"/>
      <x:c r="E884" s="4"/>
      <x:c r="F884" s="4"/>
      <x:c r="G884" s="5" t="str">
        <x:f>IF(COUNTA(A884:F884)=0,"",IF(K884&lt;&gt;"","Review",IF(I884&lt;0,"Overdue",IF(I884=0,"Due now",IF(I884&lt;=M884,"Due soon","Not due")))))</x:f>
      </x:c>
      <x:c r="H884" s="5" t="str">
        <x:f>IF(OR(COUNTA(A884:F884)=0,COUNTIFS('Rules'!$G$7:$G$26,"="&amp;(SUBSTITUTE(SUBSTITUTE(SUBSTITUTE(SUBSTITUTE("type:"&amp;B884,"%","%25"),"~","%7E"),"*","%2A"),"?","%3F")))&lt;&gt;1),"",IF(OR(INDEX('Rules'!$B$7:$B$26,MATCH(SUBSTITUTE(SUBSTITUTE(SUBSTITUTE(SUBSTITUTE("type:"&amp;B884,"%","%25"),"~","%7E"),"*","%2A"),"?","%3F"),'Rules'!$G$7:$G$26,0))="hours",INDEX('Rules'!$B$7:$B$26,MATCH(SUBSTITUTE(SUBSTITUTE(SUBSTITUTE(SUBSTITUTE("type:"&amp;B884,"%","%25"),"~","%7E"),"*","%2A"),"?","%3F"),'Rules'!$G$7:$G$26,0))="km"),INDEX('Rules'!$B$7:$B$26,MATCH(SUBSTITUTE(SUBSTITUTE(SUBSTITUTE(SUBSTITUTE("type:"&amp;B884,"%","%25"),"~","%7E"),"*","%2A"),"?","%3F"),'Rules'!$G$7:$G$26,0)),""))</x:f>
      </x:c>
      <x:c r="I884" s="6" t="str">
        <x:f>IF(AND(NOT(COUNTA(A884:F884)=0),K884=""),ROUND(J884-D884,3),"")</x:f>
      </x:c>
      <x:c r="J884" s="6" t="str">
        <x:f>IF(AND(NOT(COUNTA(A884:F884)=0),K884=""),ROUND(F884+L884,3),"")</x:f>
      </x:c>
      <x:c r="K884" s="5" t="str">
        <x:f>IF(COUNTA(A884:F884)=0,"",IF(A884="","Missing equipment ID",IF(COUNTIFS($N$8:$N$2007,"="&amp;N884)&gt;1,"Duplicate equipment ID",IF(B884="","Missing type",IF(COUNTIFS('Rules'!$G$7:$G$26,"="&amp;(SUBSTITUTE(SUBSTITUTE(SUBSTITUTE(SUBSTITUTE("type:"&amp;B884,"%","%25"),"~","%7E"),"*","%2A"),"?","%3F")))=0,"Unknown type",IF(COUNTIFS('Rules'!$G$7:$G$26,"="&amp;(SUBSTITUTE(SUBSTITUTE(SUBSTITUTE(SUBSTITUTE("type:"&amp;B884,"%","%25"),"~","%7E"),"*","%2A"),"?","%3F")))&gt;1,"Duplicate type",IF(INDEX('Rules'!$F$7:$F$26,MATCH(SUBSTITUTE(SUBSTITUTE(SUBSTITUTE(SUBSTITUTE("type:"&amp;B884,"%","%25"),"~","%7E"),"*","%2A"),"?","%3F"),'Rules'!$G$7:$G$26,0))&lt;&gt;"",INDEX('Rules'!$F$7:$F$26,MATCH(SUBSTITUTE(SUBSTITUTE(SUBSTITUTE(SUBSTITUTE("type:"&amp;B884,"%","%25"),"~","%7E"),"*","%2A"),"?","%3F"),'Rules'!$G$7:$G$26,0)),IF(AND(C884&lt;&gt;"",C884&lt;&gt;INDEX('Rules'!$B$7:$B$26,MATCH(SUBSTITUTE(SUBSTITUTE(SUBSTITUTE(SUBSTITUTE("type:"&amp;B884,"%","%25"),"~","%7E"),"*","%2A"),"?","%3F"),'Rules'!$G$7:$G$26,0))),"Unit mismatch",IF(IF(NOT(ISNUMBER(D884)),TRUE,OR(D884&lt;0,D884&gt;999999999,ROUND(D884,3)&lt;&gt;D884)),"Invalid current reading",IF(AND(E884&lt;&gt;"",IF(NOT(ISNUMBER(E884)),TRUE,OR(E884&lt;0,E884&gt;999999999,ROUND(E884,3)&lt;&gt;E884))),"Invalid previous reading",IF(IF(NOT(ISNUMBER(F884)),TRUE,OR(F884&lt;0,F884&gt;999999999,ROUND(F884,3)&lt;&gt;F884)),"Invalid last service",IF(AND(E884&lt;&gt;"",D884&lt;E884),"Decreased reading",IF(F884&gt;D884,"Last service above current","")))))))))))))</x:f>
      </x:c>
      <x:c r="L884" s="6" t="str">
        <x:f>IF(AND(NOT(COUNTA(A884:F884)=0),K884=""),INDEX('Rules'!$C$7:$C$26,MATCH(SUBSTITUTE(SUBSTITUTE(SUBSTITUTE(SUBSTITUTE("type:"&amp;B884,"%","%25"),"~","%7E"),"*","%2A"),"?","%3F"),'Rules'!$G$7:$G$26,0)),"")</x:f>
      </x:c>
      <x:c r="M884" s="6" t="str">
        <x:f>IF(AND(NOT(COUNTA(A884:F884)=0),K884=""),INDEX('Rules'!$D$7:$D$26,MATCH(SUBSTITUTE(SUBSTITUTE(SUBSTITUTE(SUBSTITUTE("type:"&amp;B884,"%","%25"),"~","%7E"),"*","%2A"),"?","%3F"),'Rules'!$G$7:$G$26,0)),"")</x:f>
      </x:c>
      <x:c r="N884" s="5" t="str">
        <x:f>IF(COUNTA(A884:F884)=0,"",SUBSTITUTE(SUBSTITUTE(SUBSTITUTE(SUBSTITUTE("id:"&amp;A884,"%","%25"),"~","%7E"),"*","%2A"),"?","%3F"))</x:f>
      </x:c>
    </x:row>
    <x:row r="885" ht="22" customHeight="1">
      <x:c r="A885" s="3"/>
      <x:c r="B885" s="3"/>
      <x:c r="C885" s="3"/>
      <x:c r="D885" s="4"/>
      <x:c r="E885" s="4"/>
      <x:c r="F885" s="4"/>
      <x:c r="G885" s="5" t="str">
        <x:f>IF(COUNTA(A885:F885)=0,"",IF(K885&lt;&gt;"","Review",IF(I885&lt;0,"Overdue",IF(I885=0,"Due now",IF(I885&lt;=M885,"Due soon","Not due")))))</x:f>
      </x:c>
      <x:c r="H885" s="5" t="str">
        <x:f>IF(OR(COUNTA(A885:F885)=0,COUNTIFS('Rules'!$G$7:$G$26,"="&amp;(SUBSTITUTE(SUBSTITUTE(SUBSTITUTE(SUBSTITUTE("type:"&amp;B885,"%","%25"),"~","%7E"),"*","%2A"),"?","%3F")))&lt;&gt;1),"",IF(OR(INDEX('Rules'!$B$7:$B$26,MATCH(SUBSTITUTE(SUBSTITUTE(SUBSTITUTE(SUBSTITUTE("type:"&amp;B885,"%","%25"),"~","%7E"),"*","%2A"),"?","%3F"),'Rules'!$G$7:$G$26,0))="hours",INDEX('Rules'!$B$7:$B$26,MATCH(SUBSTITUTE(SUBSTITUTE(SUBSTITUTE(SUBSTITUTE("type:"&amp;B885,"%","%25"),"~","%7E"),"*","%2A"),"?","%3F"),'Rules'!$G$7:$G$26,0))="km"),INDEX('Rules'!$B$7:$B$26,MATCH(SUBSTITUTE(SUBSTITUTE(SUBSTITUTE(SUBSTITUTE("type:"&amp;B885,"%","%25"),"~","%7E"),"*","%2A"),"?","%3F"),'Rules'!$G$7:$G$26,0)),""))</x:f>
      </x:c>
      <x:c r="I885" s="6" t="str">
        <x:f>IF(AND(NOT(COUNTA(A885:F885)=0),K885=""),ROUND(J885-D885,3),"")</x:f>
      </x:c>
      <x:c r="J885" s="6" t="str">
        <x:f>IF(AND(NOT(COUNTA(A885:F885)=0),K885=""),ROUND(F885+L885,3),"")</x:f>
      </x:c>
      <x:c r="K885" s="5" t="str">
        <x:f>IF(COUNTA(A885:F885)=0,"",IF(A885="","Missing equipment ID",IF(COUNTIFS($N$8:$N$2007,"="&amp;N885)&gt;1,"Duplicate equipment ID",IF(B885="","Missing type",IF(COUNTIFS('Rules'!$G$7:$G$26,"="&amp;(SUBSTITUTE(SUBSTITUTE(SUBSTITUTE(SUBSTITUTE("type:"&amp;B885,"%","%25"),"~","%7E"),"*","%2A"),"?","%3F")))=0,"Unknown type",IF(COUNTIFS('Rules'!$G$7:$G$26,"="&amp;(SUBSTITUTE(SUBSTITUTE(SUBSTITUTE(SUBSTITUTE("type:"&amp;B885,"%","%25"),"~","%7E"),"*","%2A"),"?","%3F")))&gt;1,"Duplicate type",IF(INDEX('Rules'!$F$7:$F$26,MATCH(SUBSTITUTE(SUBSTITUTE(SUBSTITUTE(SUBSTITUTE("type:"&amp;B885,"%","%25"),"~","%7E"),"*","%2A"),"?","%3F"),'Rules'!$G$7:$G$26,0))&lt;&gt;"",INDEX('Rules'!$F$7:$F$26,MATCH(SUBSTITUTE(SUBSTITUTE(SUBSTITUTE(SUBSTITUTE("type:"&amp;B885,"%","%25"),"~","%7E"),"*","%2A"),"?","%3F"),'Rules'!$G$7:$G$26,0)),IF(AND(C885&lt;&gt;"",C885&lt;&gt;INDEX('Rules'!$B$7:$B$26,MATCH(SUBSTITUTE(SUBSTITUTE(SUBSTITUTE(SUBSTITUTE("type:"&amp;B885,"%","%25"),"~","%7E"),"*","%2A"),"?","%3F"),'Rules'!$G$7:$G$26,0))),"Unit mismatch",IF(IF(NOT(ISNUMBER(D885)),TRUE,OR(D885&lt;0,D885&gt;999999999,ROUND(D885,3)&lt;&gt;D885)),"Invalid current reading",IF(AND(E885&lt;&gt;"",IF(NOT(ISNUMBER(E885)),TRUE,OR(E885&lt;0,E885&gt;999999999,ROUND(E885,3)&lt;&gt;E885))),"Invalid previous reading",IF(IF(NOT(ISNUMBER(F885)),TRUE,OR(F885&lt;0,F885&gt;999999999,ROUND(F885,3)&lt;&gt;F885)),"Invalid last service",IF(AND(E885&lt;&gt;"",D885&lt;E885),"Decreased reading",IF(F885&gt;D885,"Last service above current","")))))))))))))</x:f>
      </x:c>
      <x:c r="L885" s="6" t="str">
        <x:f>IF(AND(NOT(COUNTA(A885:F885)=0),K885=""),INDEX('Rules'!$C$7:$C$26,MATCH(SUBSTITUTE(SUBSTITUTE(SUBSTITUTE(SUBSTITUTE("type:"&amp;B885,"%","%25"),"~","%7E"),"*","%2A"),"?","%3F"),'Rules'!$G$7:$G$26,0)),"")</x:f>
      </x:c>
      <x:c r="M885" s="6" t="str">
        <x:f>IF(AND(NOT(COUNTA(A885:F885)=0),K885=""),INDEX('Rules'!$D$7:$D$26,MATCH(SUBSTITUTE(SUBSTITUTE(SUBSTITUTE(SUBSTITUTE("type:"&amp;B885,"%","%25"),"~","%7E"),"*","%2A"),"?","%3F"),'Rules'!$G$7:$G$26,0)),"")</x:f>
      </x:c>
      <x:c r="N885" s="5" t="str">
        <x:f>IF(COUNTA(A885:F885)=0,"",SUBSTITUTE(SUBSTITUTE(SUBSTITUTE(SUBSTITUTE("id:"&amp;A885,"%","%25"),"~","%7E"),"*","%2A"),"?","%3F"))</x:f>
      </x:c>
    </x:row>
    <x:row r="886" ht="22" customHeight="1">
      <x:c r="A886" s="3"/>
      <x:c r="B886" s="3"/>
      <x:c r="C886" s="3"/>
      <x:c r="D886" s="4"/>
      <x:c r="E886" s="4"/>
      <x:c r="F886" s="4"/>
      <x:c r="G886" s="5" t="str">
        <x:f>IF(COUNTA(A886:F886)=0,"",IF(K886&lt;&gt;"","Review",IF(I886&lt;0,"Overdue",IF(I886=0,"Due now",IF(I886&lt;=M886,"Due soon","Not due")))))</x:f>
      </x:c>
      <x:c r="H886" s="5" t="str">
        <x:f>IF(OR(COUNTA(A886:F886)=0,COUNTIFS('Rules'!$G$7:$G$26,"="&amp;(SUBSTITUTE(SUBSTITUTE(SUBSTITUTE(SUBSTITUTE("type:"&amp;B886,"%","%25"),"~","%7E"),"*","%2A"),"?","%3F")))&lt;&gt;1),"",IF(OR(INDEX('Rules'!$B$7:$B$26,MATCH(SUBSTITUTE(SUBSTITUTE(SUBSTITUTE(SUBSTITUTE("type:"&amp;B886,"%","%25"),"~","%7E"),"*","%2A"),"?","%3F"),'Rules'!$G$7:$G$26,0))="hours",INDEX('Rules'!$B$7:$B$26,MATCH(SUBSTITUTE(SUBSTITUTE(SUBSTITUTE(SUBSTITUTE("type:"&amp;B886,"%","%25"),"~","%7E"),"*","%2A"),"?","%3F"),'Rules'!$G$7:$G$26,0))="km"),INDEX('Rules'!$B$7:$B$26,MATCH(SUBSTITUTE(SUBSTITUTE(SUBSTITUTE(SUBSTITUTE("type:"&amp;B886,"%","%25"),"~","%7E"),"*","%2A"),"?","%3F"),'Rules'!$G$7:$G$26,0)),""))</x:f>
      </x:c>
      <x:c r="I886" s="6" t="str">
        <x:f>IF(AND(NOT(COUNTA(A886:F886)=0),K886=""),ROUND(J886-D886,3),"")</x:f>
      </x:c>
      <x:c r="J886" s="6" t="str">
        <x:f>IF(AND(NOT(COUNTA(A886:F886)=0),K886=""),ROUND(F886+L886,3),"")</x:f>
      </x:c>
      <x:c r="K886" s="5" t="str">
        <x:f>IF(COUNTA(A886:F886)=0,"",IF(A886="","Missing equipment ID",IF(COUNTIFS($N$8:$N$2007,"="&amp;N886)&gt;1,"Duplicate equipment ID",IF(B886="","Missing type",IF(COUNTIFS('Rules'!$G$7:$G$26,"="&amp;(SUBSTITUTE(SUBSTITUTE(SUBSTITUTE(SUBSTITUTE("type:"&amp;B886,"%","%25"),"~","%7E"),"*","%2A"),"?","%3F")))=0,"Unknown type",IF(COUNTIFS('Rules'!$G$7:$G$26,"="&amp;(SUBSTITUTE(SUBSTITUTE(SUBSTITUTE(SUBSTITUTE("type:"&amp;B886,"%","%25"),"~","%7E"),"*","%2A"),"?","%3F")))&gt;1,"Duplicate type",IF(INDEX('Rules'!$F$7:$F$26,MATCH(SUBSTITUTE(SUBSTITUTE(SUBSTITUTE(SUBSTITUTE("type:"&amp;B886,"%","%25"),"~","%7E"),"*","%2A"),"?","%3F"),'Rules'!$G$7:$G$26,0))&lt;&gt;"",INDEX('Rules'!$F$7:$F$26,MATCH(SUBSTITUTE(SUBSTITUTE(SUBSTITUTE(SUBSTITUTE("type:"&amp;B886,"%","%25"),"~","%7E"),"*","%2A"),"?","%3F"),'Rules'!$G$7:$G$26,0)),IF(AND(C886&lt;&gt;"",C886&lt;&gt;INDEX('Rules'!$B$7:$B$26,MATCH(SUBSTITUTE(SUBSTITUTE(SUBSTITUTE(SUBSTITUTE("type:"&amp;B886,"%","%25"),"~","%7E"),"*","%2A"),"?","%3F"),'Rules'!$G$7:$G$26,0))),"Unit mismatch",IF(IF(NOT(ISNUMBER(D886)),TRUE,OR(D886&lt;0,D886&gt;999999999,ROUND(D886,3)&lt;&gt;D886)),"Invalid current reading",IF(AND(E886&lt;&gt;"",IF(NOT(ISNUMBER(E886)),TRUE,OR(E886&lt;0,E886&gt;999999999,ROUND(E886,3)&lt;&gt;E886))),"Invalid previous reading",IF(IF(NOT(ISNUMBER(F886)),TRUE,OR(F886&lt;0,F886&gt;999999999,ROUND(F886,3)&lt;&gt;F886)),"Invalid last service",IF(AND(E886&lt;&gt;"",D886&lt;E886),"Decreased reading",IF(F886&gt;D886,"Last service above current","")))))))))))))</x:f>
      </x:c>
      <x:c r="L886" s="6" t="str">
        <x:f>IF(AND(NOT(COUNTA(A886:F886)=0),K886=""),INDEX('Rules'!$C$7:$C$26,MATCH(SUBSTITUTE(SUBSTITUTE(SUBSTITUTE(SUBSTITUTE("type:"&amp;B886,"%","%25"),"~","%7E"),"*","%2A"),"?","%3F"),'Rules'!$G$7:$G$26,0)),"")</x:f>
      </x:c>
      <x:c r="M886" s="6" t="str">
        <x:f>IF(AND(NOT(COUNTA(A886:F886)=0),K886=""),INDEX('Rules'!$D$7:$D$26,MATCH(SUBSTITUTE(SUBSTITUTE(SUBSTITUTE(SUBSTITUTE("type:"&amp;B886,"%","%25"),"~","%7E"),"*","%2A"),"?","%3F"),'Rules'!$G$7:$G$26,0)),"")</x:f>
      </x:c>
      <x:c r="N886" s="5" t="str">
        <x:f>IF(COUNTA(A886:F886)=0,"",SUBSTITUTE(SUBSTITUTE(SUBSTITUTE(SUBSTITUTE("id:"&amp;A886,"%","%25"),"~","%7E"),"*","%2A"),"?","%3F"))</x:f>
      </x:c>
    </x:row>
    <x:row r="887" ht="22" customHeight="1">
      <x:c r="A887" s="3"/>
      <x:c r="B887" s="3"/>
      <x:c r="C887" s="3"/>
      <x:c r="D887" s="4"/>
      <x:c r="E887" s="4"/>
      <x:c r="F887" s="4"/>
      <x:c r="G887" s="5" t="str">
        <x:f>IF(COUNTA(A887:F887)=0,"",IF(K887&lt;&gt;"","Review",IF(I887&lt;0,"Overdue",IF(I887=0,"Due now",IF(I887&lt;=M887,"Due soon","Not due")))))</x:f>
      </x:c>
      <x:c r="H887" s="5" t="str">
        <x:f>IF(OR(COUNTA(A887:F887)=0,COUNTIFS('Rules'!$G$7:$G$26,"="&amp;(SUBSTITUTE(SUBSTITUTE(SUBSTITUTE(SUBSTITUTE("type:"&amp;B887,"%","%25"),"~","%7E"),"*","%2A"),"?","%3F")))&lt;&gt;1),"",IF(OR(INDEX('Rules'!$B$7:$B$26,MATCH(SUBSTITUTE(SUBSTITUTE(SUBSTITUTE(SUBSTITUTE("type:"&amp;B887,"%","%25"),"~","%7E"),"*","%2A"),"?","%3F"),'Rules'!$G$7:$G$26,0))="hours",INDEX('Rules'!$B$7:$B$26,MATCH(SUBSTITUTE(SUBSTITUTE(SUBSTITUTE(SUBSTITUTE("type:"&amp;B887,"%","%25"),"~","%7E"),"*","%2A"),"?","%3F"),'Rules'!$G$7:$G$26,0))="km"),INDEX('Rules'!$B$7:$B$26,MATCH(SUBSTITUTE(SUBSTITUTE(SUBSTITUTE(SUBSTITUTE("type:"&amp;B887,"%","%25"),"~","%7E"),"*","%2A"),"?","%3F"),'Rules'!$G$7:$G$26,0)),""))</x:f>
      </x:c>
      <x:c r="I887" s="6" t="str">
        <x:f>IF(AND(NOT(COUNTA(A887:F887)=0),K887=""),ROUND(J887-D887,3),"")</x:f>
      </x:c>
      <x:c r="J887" s="6" t="str">
        <x:f>IF(AND(NOT(COUNTA(A887:F887)=0),K887=""),ROUND(F887+L887,3),"")</x:f>
      </x:c>
      <x:c r="K887" s="5" t="str">
        <x:f>IF(COUNTA(A887:F887)=0,"",IF(A887="","Missing equipment ID",IF(COUNTIFS($N$8:$N$2007,"="&amp;N887)&gt;1,"Duplicate equipment ID",IF(B887="","Missing type",IF(COUNTIFS('Rules'!$G$7:$G$26,"="&amp;(SUBSTITUTE(SUBSTITUTE(SUBSTITUTE(SUBSTITUTE("type:"&amp;B887,"%","%25"),"~","%7E"),"*","%2A"),"?","%3F")))=0,"Unknown type",IF(COUNTIFS('Rules'!$G$7:$G$26,"="&amp;(SUBSTITUTE(SUBSTITUTE(SUBSTITUTE(SUBSTITUTE("type:"&amp;B887,"%","%25"),"~","%7E"),"*","%2A"),"?","%3F")))&gt;1,"Duplicate type",IF(INDEX('Rules'!$F$7:$F$26,MATCH(SUBSTITUTE(SUBSTITUTE(SUBSTITUTE(SUBSTITUTE("type:"&amp;B887,"%","%25"),"~","%7E"),"*","%2A"),"?","%3F"),'Rules'!$G$7:$G$26,0))&lt;&gt;"",INDEX('Rules'!$F$7:$F$26,MATCH(SUBSTITUTE(SUBSTITUTE(SUBSTITUTE(SUBSTITUTE("type:"&amp;B887,"%","%25"),"~","%7E"),"*","%2A"),"?","%3F"),'Rules'!$G$7:$G$26,0)),IF(AND(C887&lt;&gt;"",C887&lt;&gt;INDEX('Rules'!$B$7:$B$26,MATCH(SUBSTITUTE(SUBSTITUTE(SUBSTITUTE(SUBSTITUTE("type:"&amp;B887,"%","%25"),"~","%7E"),"*","%2A"),"?","%3F"),'Rules'!$G$7:$G$26,0))),"Unit mismatch",IF(IF(NOT(ISNUMBER(D887)),TRUE,OR(D887&lt;0,D887&gt;999999999,ROUND(D887,3)&lt;&gt;D887)),"Invalid current reading",IF(AND(E887&lt;&gt;"",IF(NOT(ISNUMBER(E887)),TRUE,OR(E887&lt;0,E887&gt;999999999,ROUND(E887,3)&lt;&gt;E887))),"Invalid previous reading",IF(IF(NOT(ISNUMBER(F887)),TRUE,OR(F887&lt;0,F887&gt;999999999,ROUND(F887,3)&lt;&gt;F887)),"Invalid last service",IF(AND(E887&lt;&gt;"",D887&lt;E887),"Decreased reading",IF(F887&gt;D887,"Last service above current","")))))))))))))</x:f>
      </x:c>
      <x:c r="L887" s="6" t="str">
        <x:f>IF(AND(NOT(COUNTA(A887:F887)=0),K887=""),INDEX('Rules'!$C$7:$C$26,MATCH(SUBSTITUTE(SUBSTITUTE(SUBSTITUTE(SUBSTITUTE("type:"&amp;B887,"%","%25"),"~","%7E"),"*","%2A"),"?","%3F"),'Rules'!$G$7:$G$26,0)),"")</x:f>
      </x:c>
      <x:c r="M887" s="6" t="str">
        <x:f>IF(AND(NOT(COUNTA(A887:F887)=0),K887=""),INDEX('Rules'!$D$7:$D$26,MATCH(SUBSTITUTE(SUBSTITUTE(SUBSTITUTE(SUBSTITUTE("type:"&amp;B887,"%","%25"),"~","%7E"),"*","%2A"),"?","%3F"),'Rules'!$G$7:$G$26,0)),"")</x:f>
      </x:c>
      <x:c r="N887" s="5" t="str">
        <x:f>IF(COUNTA(A887:F887)=0,"",SUBSTITUTE(SUBSTITUTE(SUBSTITUTE(SUBSTITUTE("id:"&amp;A887,"%","%25"),"~","%7E"),"*","%2A"),"?","%3F"))</x:f>
      </x:c>
    </x:row>
    <x:row r="888" ht="22" customHeight="1">
      <x:c r="A888" s="3"/>
      <x:c r="B888" s="3"/>
      <x:c r="C888" s="3"/>
      <x:c r="D888" s="4"/>
      <x:c r="E888" s="4"/>
      <x:c r="F888" s="4"/>
      <x:c r="G888" s="5" t="str">
        <x:f>IF(COUNTA(A888:F888)=0,"",IF(K888&lt;&gt;"","Review",IF(I888&lt;0,"Overdue",IF(I888=0,"Due now",IF(I888&lt;=M888,"Due soon","Not due")))))</x:f>
      </x:c>
      <x:c r="H888" s="5" t="str">
        <x:f>IF(OR(COUNTA(A888:F888)=0,COUNTIFS('Rules'!$G$7:$G$26,"="&amp;(SUBSTITUTE(SUBSTITUTE(SUBSTITUTE(SUBSTITUTE("type:"&amp;B888,"%","%25"),"~","%7E"),"*","%2A"),"?","%3F")))&lt;&gt;1),"",IF(OR(INDEX('Rules'!$B$7:$B$26,MATCH(SUBSTITUTE(SUBSTITUTE(SUBSTITUTE(SUBSTITUTE("type:"&amp;B888,"%","%25"),"~","%7E"),"*","%2A"),"?","%3F"),'Rules'!$G$7:$G$26,0))="hours",INDEX('Rules'!$B$7:$B$26,MATCH(SUBSTITUTE(SUBSTITUTE(SUBSTITUTE(SUBSTITUTE("type:"&amp;B888,"%","%25"),"~","%7E"),"*","%2A"),"?","%3F"),'Rules'!$G$7:$G$26,0))="km"),INDEX('Rules'!$B$7:$B$26,MATCH(SUBSTITUTE(SUBSTITUTE(SUBSTITUTE(SUBSTITUTE("type:"&amp;B888,"%","%25"),"~","%7E"),"*","%2A"),"?","%3F"),'Rules'!$G$7:$G$26,0)),""))</x:f>
      </x:c>
      <x:c r="I888" s="6" t="str">
        <x:f>IF(AND(NOT(COUNTA(A888:F888)=0),K888=""),ROUND(J888-D888,3),"")</x:f>
      </x:c>
      <x:c r="J888" s="6" t="str">
        <x:f>IF(AND(NOT(COUNTA(A888:F888)=0),K888=""),ROUND(F888+L888,3),"")</x:f>
      </x:c>
      <x:c r="K888" s="5" t="str">
        <x:f>IF(COUNTA(A888:F888)=0,"",IF(A888="","Missing equipment ID",IF(COUNTIFS($N$8:$N$2007,"="&amp;N888)&gt;1,"Duplicate equipment ID",IF(B888="","Missing type",IF(COUNTIFS('Rules'!$G$7:$G$26,"="&amp;(SUBSTITUTE(SUBSTITUTE(SUBSTITUTE(SUBSTITUTE("type:"&amp;B888,"%","%25"),"~","%7E"),"*","%2A"),"?","%3F")))=0,"Unknown type",IF(COUNTIFS('Rules'!$G$7:$G$26,"="&amp;(SUBSTITUTE(SUBSTITUTE(SUBSTITUTE(SUBSTITUTE("type:"&amp;B888,"%","%25"),"~","%7E"),"*","%2A"),"?","%3F")))&gt;1,"Duplicate type",IF(INDEX('Rules'!$F$7:$F$26,MATCH(SUBSTITUTE(SUBSTITUTE(SUBSTITUTE(SUBSTITUTE("type:"&amp;B888,"%","%25"),"~","%7E"),"*","%2A"),"?","%3F"),'Rules'!$G$7:$G$26,0))&lt;&gt;"",INDEX('Rules'!$F$7:$F$26,MATCH(SUBSTITUTE(SUBSTITUTE(SUBSTITUTE(SUBSTITUTE("type:"&amp;B888,"%","%25"),"~","%7E"),"*","%2A"),"?","%3F"),'Rules'!$G$7:$G$26,0)),IF(AND(C888&lt;&gt;"",C888&lt;&gt;INDEX('Rules'!$B$7:$B$26,MATCH(SUBSTITUTE(SUBSTITUTE(SUBSTITUTE(SUBSTITUTE("type:"&amp;B888,"%","%25"),"~","%7E"),"*","%2A"),"?","%3F"),'Rules'!$G$7:$G$26,0))),"Unit mismatch",IF(IF(NOT(ISNUMBER(D888)),TRUE,OR(D888&lt;0,D888&gt;999999999,ROUND(D888,3)&lt;&gt;D888)),"Invalid current reading",IF(AND(E888&lt;&gt;"",IF(NOT(ISNUMBER(E888)),TRUE,OR(E888&lt;0,E888&gt;999999999,ROUND(E888,3)&lt;&gt;E888))),"Invalid previous reading",IF(IF(NOT(ISNUMBER(F888)),TRUE,OR(F888&lt;0,F888&gt;999999999,ROUND(F888,3)&lt;&gt;F888)),"Invalid last service",IF(AND(E888&lt;&gt;"",D888&lt;E888),"Decreased reading",IF(F888&gt;D888,"Last service above current","")))))))))))))</x:f>
      </x:c>
      <x:c r="L888" s="6" t="str">
        <x:f>IF(AND(NOT(COUNTA(A888:F888)=0),K888=""),INDEX('Rules'!$C$7:$C$26,MATCH(SUBSTITUTE(SUBSTITUTE(SUBSTITUTE(SUBSTITUTE("type:"&amp;B888,"%","%25"),"~","%7E"),"*","%2A"),"?","%3F"),'Rules'!$G$7:$G$26,0)),"")</x:f>
      </x:c>
      <x:c r="M888" s="6" t="str">
        <x:f>IF(AND(NOT(COUNTA(A888:F888)=0),K888=""),INDEX('Rules'!$D$7:$D$26,MATCH(SUBSTITUTE(SUBSTITUTE(SUBSTITUTE(SUBSTITUTE("type:"&amp;B888,"%","%25"),"~","%7E"),"*","%2A"),"?","%3F"),'Rules'!$G$7:$G$26,0)),"")</x:f>
      </x:c>
      <x:c r="N888" s="5" t="str">
        <x:f>IF(COUNTA(A888:F888)=0,"",SUBSTITUTE(SUBSTITUTE(SUBSTITUTE(SUBSTITUTE("id:"&amp;A888,"%","%25"),"~","%7E"),"*","%2A"),"?","%3F"))</x:f>
      </x:c>
    </x:row>
    <x:row r="889" ht="22" customHeight="1">
      <x:c r="A889" s="3"/>
      <x:c r="B889" s="3"/>
      <x:c r="C889" s="3"/>
      <x:c r="D889" s="4"/>
      <x:c r="E889" s="4"/>
      <x:c r="F889" s="4"/>
      <x:c r="G889" s="5" t="str">
        <x:f>IF(COUNTA(A889:F889)=0,"",IF(K889&lt;&gt;"","Review",IF(I889&lt;0,"Overdue",IF(I889=0,"Due now",IF(I889&lt;=M889,"Due soon","Not due")))))</x:f>
      </x:c>
      <x:c r="H889" s="5" t="str">
        <x:f>IF(OR(COUNTA(A889:F889)=0,COUNTIFS('Rules'!$G$7:$G$26,"="&amp;(SUBSTITUTE(SUBSTITUTE(SUBSTITUTE(SUBSTITUTE("type:"&amp;B889,"%","%25"),"~","%7E"),"*","%2A"),"?","%3F")))&lt;&gt;1),"",IF(OR(INDEX('Rules'!$B$7:$B$26,MATCH(SUBSTITUTE(SUBSTITUTE(SUBSTITUTE(SUBSTITUTE("type:"&amp;B889,"%","%25"),"~","%7E"),"*","%2A"),"?","%3F"),'Rules'!$G$7:$G$26,0))="hours",INDEX('Rules'!$B$7:$B$26,MATCH(SUBSTITUTE(SUBSTITUTE(SUBSTITUTE(SUBSTITUTE("type:"&amp;B889,"%","%25"),"~","%7E"),"*","%2A"),"?","%3F"),'Rules'!$G$7:$G$26,0))="km"),INDEX('Rules'!$B$7:$B$26,MATCH(SUBSTITUTE(SUBSTITUTE(SUBSTITUTE(SUBSTITUTE("type:"&amp;B889,"%","%25"),"~","%7E"),"*","%2A"),"?","%3F"),'Rules'!$G$7:$G$26,0)),""))</x:f>
      </x:c>
      <x:c r="I889" s="6" t="str">
        <x:f>IF(AND(NOT(COUNTA(A889:F889)=0),K889=""),ROUND(J889-D889,3),"")</x:f>
      </x:c>
      <x:c r="J889" s="6" t="str">
        <x:f>IF(AND(NOT(COUNTA(A889:F889)=0),K889=""),ROUND(F889+L889,3),"")</x:f>
      </x:c>
      <x:c r="K889" s="5" t="str">
        <x:f>IF(COUNTA(A889:F889)=0,"",IF(A889="","Missing equipment ID",IF(COUNTIFS($N$8:$N$2007,"="&amp;N889)&gt;1,"Duplicate equipment ID",IF(B889="","Missing type",IF(COUNTIFS('Rules'!$G$7:$G$26,"="&amp;(SUBSTITUTE(SUBSTITUTE(SUBSTITUTE(SUBSTITUTE("type:"&amp;B889,"%","%25"),"~","%7E"),"*","%2A"),"?","%3F")))=0,"Unknown type",IF(COUNTIFS('Rules'!$G$7:$G$26,"="&amp;(SUBSTITUTE(SUBSTITUTE(SUBSTITUTE(SUBSTITUTE("type:"&amp;B889,"%","%25"),"~","%7E"),"*","%2A"),"?","%3F")))&gt;1,"Duplicate type",IF(INDEX('Rules'!$F$7:$F$26,MATCH(SUBSTITUTE(SUBSTITUTE(SUBSTITUTE(SUBSTITUTE("type:"&amp;B889,"%","%25"),"~","%7E"),"*","%2A"),"?","%3F"),'Rules'!$G$7:$G$26,0))&lt;&gt;"",INDEX('Rules'!$F$7:$F$26,MATCH(SUBSTITUTE(SUBSTITUTE(SUBSTITUTE(SUBSTITUTE("type:"&amp;B889,"%","%25"),"~","%7E"),"*","%2A"),"?","%3F"),'Rules'!$G$7:$G$26,0)),IF(AND(C889&lt;&gt;"",C889&lt;&gt;INDEX('Rules'!$B$7:$B$26,MATCH(SUBSTITUTE(SUBSTITUTE(SUBSTITUTE(SUBSTITUTE("type:"&amp;B889,"%","%25"),"~","%7E"),"*","%2A"),"?","%3F"),'Rules'!$G$7:$G$26,0))),"Unit mismatch",IF(IF(NOT(ISNUMBER(D889)),TRUE,OR(D889&lt;0,D889&gt;999999999,ROUND(D889,3)&lt;&gt;D889)),"Invalid current reading",IF(AND(E889&lt;&gt;"",IF(NOT(ISNUMBER(E889)),TRUE,OR(E889&lt;0,E889&gt;999999999,ROUND(E889,3)&lt;&gt;E889))),"Invalid previous reading",IF(IF(NOT(ISNUMBER(F889)),TRUE,OR(F889&lt;0,F889&gt;999999999,ROUND(F889,3)&lt;&gt;F889)),"Invalid last service",IF(AND(E889&lt;&gt;"",D889&lt;E889),"Decreased reading",IF(F889&gt;D889,"Last service above current","")))))))))))))</x:f>
      </x:c>
      <x:c r="L889" s="6" t="str">
        <x:f>IF(AND(NOT(COUNTA(A889:F889)=0),K889=""),INDEX('Rules'!$C$7:$C$26,MATCH(SUBSTITUTE(SUBSTITUTE(SUBSTITUTE(SUBSTITUTE("type:"&amp;B889,"%","%25"),"~","%7E"),"*","%2A"),"?","%3F"),'Rules'!$G$7:$G$26,0)),"")</x:f>
      </x:c>
      <x:c r="M889" s="6" t="str">
        <x:f>IF(AND(NOT(COUNTA(A889:F889)=0),K889=""),INDEX('Rules'!$D$7:$D$26,MATCH(SUBSTITUTE(SUBSTITUTE(SUBSTITUTE(SUBSTITUTE("type:"&amp;B889,"%","%25"),"~","%7E"),"*","%2A"),"?","%3F"),'Rules'!$G$7:$G$26,0)),"")</x:f>
      </x:c>
      <x:c r="N889" s="5" t="str">
        <x:f>IF(COUNTA(A889:F889)=0,"",SUBSTITUTE(SUBSTITUTE(SUBSTITUTE(SUBSTITUTE("id:"&amp;A889,"%","%25"),"~","%7E"),"*","%2A"),"?","%3F"))</x:f>
      </x:c>
    </x:row>
    <x:row r="890" ht="22" customHeight="1">
      <x:c r="A890" s="3"/>
      <x:c r="B890" s="3"/>
      <x:c r="C890" s="3"/>
      <x:c r="D890" s="4"/>
      <x:c r="E890" s="4"/>
      <x:c r="F890" s="4"/>
      <x:c r="G890" s="5" t="str">
        <x:f>IF(COUNTA(A890:F890)=0,"",IF(K890&lt;&gt;"","Review",IF(I890&lt;0,"Overdue",IF(I890=0,"Due now",IF(I890&lt;=M890,"Due soon","Not due")))))</x:f>
      </x:c>
      <x:c r="H890" s="5" t="str">
        <x:f>IF(OR(COUNTA(A890:F890)=0,COUNTIFS('Rules'!$G$7:$G$26,"="&amp;(SUBSTITUTE(SUBSTITUTE(SUBSTITUTE(SUBSTITUTE("type:"&amp;B890,"%","%25"),"~","%7E"),"*","%2A"),"?","%3F")))&lt;&gt;1),"",IF(OR(INDEX('Rules'!$B$7:$B$26,MATCH(SUBSTITUTE(SUBSTITUTE(SUBSTITUTE(SUBSTITUTE("type:"&amp;B890,"%","%25"),"~","%7E"),"*","%2A"),"?","%3F"),'Rules'!$G$7:$G$26,0))="hours",INDEX('Rules'!$B$7:$B$26,MATCH(SUBSTITUTE(SUBSTITUTE(SUBSTITUTE(SUBSTITUTE("type:"&amp;B890,"%","%25"),"~","%7E"),"*","%2A"),"?","%3F"),'Rules'!$G$7:$G$26,0))="km"),INDEX('Rules'!$B$7:$B$26,MATCH(SUBSTITUTE(SUBSTITUTE(SUBSTITUTE(SUBSTITUTE("type:"&amp;B890,"%","%25"),"~","%7E"),"*","%2A"),"?","%3F"),'Rules'!$G$7:$G$26,0)),""))</x:f>
      </x:c>
      <x:c r="I890" s="6" t="str">
        <x:f>IF(AND(NOT(COUNTA(A890:F890)=0),K890=""),ROUND(J890-D890,3),"")</x:f>
      </x:c>
      <x:c r="J890" s="6" t="str">
        <x:f>IF(AND(NOT(COUNTA(A890:F890)=0),K890=""),ROUND(F890+L890,3),"")</x:f>
      </x:c>
      <x:c r="K890" s="5" t="str">
        <x:f>IF(COUNTA(A890:F890)=0,"",IF(A890="","Missing equipment ID",IF(COUNTIFS($N$8:$N$2007,"="&amp;N890)&gt;1,"Duplicate equipment ID",IF(B890="","Missing type",IF(COUNTIFS('Rules'!$G$7:$G$26,"="&amp;(SUBSTITUTE(SUBSTITUTE(SUBSTITUTE(SUBSTITUTE("type:"&amp;B890,"%","%25"),"~","%7E"),"*","%2A"),"?","%3F")))=0,"Unknown type",IF(COUNTIFS('Rules'!$G$7:$G$26,"="&amp;(SUBSTITUTE(SUBSTITUTE(SUBSTITUTE(SUBSTITUTE("type:"&amp;B890,"%","%25"),"~","%7E"),"*","%2A"),"?","%3F")))&gt;1,"Duplicate type",IF(INDEX('Rules'!$F$7:$F$26,MATCH(SUBSTITUTE(SUBSTITUTE(SUBSTITUTE(SUBSTITUTE("type:"&amp;B890,"%","%25"),"~","%7E"),"*","%2A"),"?","%3F"),'Rules'!$G$7:$G$26,0))&lt;&gt;"",INDEX('Rules'!$F$7:$F$26,MATCH(SUBSTITUTE(SUBSTITUTE(SUBSTITUTE(SUBSTITUTE("type:"&amp;B890,"%","%25"),"~","%7E"),"*","%2A"),"?","%3F"),'Rules'!$G$7:$G$26,0)),IF(AND(C890&lt;&gt;"",C890&lt;&gt;INDEX('Rules'!$B$7:$B$26,MATCH(SUBSTITUTE(SUBSTITUTE(SUBSTITUTE(SUBSTITUTE("type:"&amp;B890,"%","%25"),"~","%7E"),"*","%2A"),"?","%3F"),'Rules'!$G$7:$G$26,0))),"Unit mismatch",IF(IF(NOT(ISNUMBER(D890)),TRUE,OR(D890&lt;0,D890&gt;999999999,ROUND(D890,3)&lt;&gt;D890)),"Invalid current reading",IF(AND(E890&lt;&gt;"",IF(NOT(ISNUMBER(E890)),TRUE,OR(E890&lt;0,E890&gt;999999999,ROUND(E890,3)&lt;&gt;E890))),"Invalid previous reading",IF(IF(NOT(ISNUMBER(F890)),TRUE,OR(F890&lt;0,F890&gt;999999999,ROUND(F890,3)&lt;&gt;F890)),"Invalid last service",IF(AND(E890&lt;&gt;"",D890&lt;E890),"Decreased reading",IF(F890&gt;D890,"Last service above current","")))))))))))))</x:f>
      </x:c>
      <x:c r="L890" s="6" t="str">
        <x:f>IF(AND(NOT(COUNTA(A890:F890)=0),K890=""),INDEX('Rules'!$C$7:$C$26,MATCH(SUBSTITUTE(SUBSTITUTE(SUBSTITUTE(SUBSTITUTE("type:"&amp;B890,"%","%25"),"~","%7E"),"*","%2A"),"?","%3F"),'Rules'!$G$7:$G$26,0)),"")</x:f>
      </x:c>
      <x:c r="M890" s="6" t="str">
        <x:f>IF(AND(NOT(COUNTA(A890:F890)=0),K890=""),INDEX('Rules'!$D$7:$D$26,MATCH(SUBSTITUTE(SUBSTITUTE(SUBSTITUTE(SUBSTITUTE("type:"&amp;B890,"%","%25"),"~","%7E"),"*","%2A"),"?","%3F"),'Rules'!$G$7:$G$26,0)),"")</x:f>
      </x:c>
      <x:c r="N890" s="5" t="str">
        <x:f>IF(COUNTA(A890:F890)=0,"",SUBSTITUTE(SUBSTITUTE(SUBSTITUTE(SUBSTITUTE("id:"&amp;A890,"%","%25"),"~","%7E"),"*","%2A"),"?","%3F"))</x:f>
      </x:c>
    </x:row>
    <x:row r="891" ht="22" customHeight="1">
      <x:c r="A891" s="3"/>
      <x:c r="B891" s="3"/>
      <x:c r="C891" s="3"/>
      <x:c r="D891" s="4"/>
      <x:c r="E891" s="4"/>
      <x:c r="F891" s="4"/>
      <x:c r="G891" s="5" t="str">
        <x:f>IF(COUNTA(A891:F891)=0,"",IF(K891&lt;&gt;"","Review",IF(I891&lt;0,"Overdue",IF(I891=0,"Due now",IF(I891&lt;=M891,"Due soon","Not due")))))</x:f>
      </x:c>
      <x:c r="H891" s="5" t="str">
        <x:f>IF(OR(COUNTA(A891:F891)=0,COUNTIFS('Rules'!$G$7:$G$26,"="&amp;(SUBSTITUTE(SUBSTITUTE(SUBSTITUTE(SUBSTITUTE("type:"&amp;B891,"%","%25"),"~","%7E"),"*","%2A"),"?","%3F")))&lt;&gt;1),"",IF(OR(INDEX('Rules'!$B$7:$B$26,MATCH(SUBSTITUTE(SUBSTITUTE(SUBSTITUTE(SUBSTITUTE("type:"&amp;B891,"%","%25"),"~","%7E"),"*","%2A"),"?","%3F"),'Rules'!$G$7:$G$26,0))="hours",INDEX('Rules'!$B$7:$B$26,MATCH(SUBSTITUTE(SUBSTITUTE(SUBSTITUTE(SUBSTITUTE("type:"&amp;B891,"%","%25"),"~","%7E"),"*","%2A"),"?","%3F"),'Rules'!$G$7:$G$26,0))="km"),INDEX('Rules'!$B$7:$B$26,MATCH(SUBSTITUTE(SUBSTITUTE(SUBSTITUTE(SUBSTITUTE("type:"&amp;B891,"%","%25"),"~","%7E"),"*","%2A"),"?","%3F"),'Rules'!$G$7:$G$26,0)),""))</x:f>
      </x:c>
      <x:c r="I891" s="6" t="str">
        <x:f>IF(AND(NOT(COUNTA(A891:F891)=0),K891=""),ROUND(J891-D891,3),"")</x:f>
      </x:c>
      <x:c r="J891" s="6" t="str">
        <x:f>IF(AND(NOT(COUNTA(A891:F891)=0),K891=""),ROUND(F891+L891,3),"")</x:f>
      </x:c>
      <x:c r="K891" s="5" t="str">
        <x:f>IF(COUNTA(A891:F891)=0,"",IF(A891="","Missing equipment ID",IF(COUNTIFS($N$8:$N$2007,"="&amp;N891)&gt;1,"Duplicate equipment ID",IF(B891="","Missing type",IF(COUNTIFS('Rules'!$G$7:$G$26,"="&amp;(SUBSTITUTE(SUBSTITUTE(SUBSTITUTE(SUBSTITUTE("type:"&amp;B891,"%","%25"),"~","%7E"),"*","%2A"),"?","%3F")))=0,"Unknown type",IF(COUNTIFS('Rules'!$G$7:$G$26,"="&amp;(SUBSTITUTE(SUBSTITUTE(SUBSTITUTE(SUBSTITUTE("type:"&amp;B891,"%","%25"),"~","%7E"),"*","%2A"),"?","%3F")))&gt;1,"Duplicate type",IF(INDEX('Rules'!$F$7:$F$26,MATCH(SUBSTITUTE(SUBSTITUTE(SUBSTITUTE(SUBSTITUTE("type:"&amp;B891,"%","%25"),"~","%7E"),"*","%2A"),"?","%3F"),'Rules'!$G$7:$G$26,0))&lt;&gt;"",INDEX('Rules'!$F$7:$F$26,MATCH(SUBSTITUTE(SUBSTITUTE(SUBSTITUTE(SUBSTITUTE("type:"&amp;B891,"%","%25"),"~","%7E"),"*","%2A"),"?","%3F"),'Rules'!$G$7:$G$26,0)),IF(AND(C891&lt;&gt;"",C891&lt;&gt;INDEX('Rules'!$B$7:$B$26,MATCH(SUBSTITUTE(SUBSTITUTE(SUBSTITUTE(SUBSTITUTE("type:"&amp;B891,"%","%25"),"~","%7E"),"*","%2A"),"?","%3F"),'Rules'!$G$7:$G$26,0))),"Unit mismatch",IF(IF(NOT(ISNUMBER(D891)),TRUE,OR(D891&lt;0,D891&gt;999999999,ROUND(D891,3)&lt;&gt;D891)),"Invalid current reading",IF(AND(E891&lt;&gt;"",IF(NOT(ISNUMBER(E891)),TRUE,OR(E891&lt;0,E891&gt;999999999,ROUND(E891,3)&lt;&gt;E891))),"Invalid previous reading",IF(IF(NOT(ISNUMBER(F891)),TRUE,OR(F891&lt;0,F891&gt;999999999,ROUND(F891,3)&lt;&gt;F891)),"Invalid last service",IF(AND(E891&lt;&gt;"",D891&lt;E891),"Decreased reading",IF(F891&gt;D891,"Last service above current","")))))))))))))</x:f>
      </x:c>
      <x:c r="L891" s="6" t="str">
        <x:f>IF(AND(NOT(COUNTA(A891:F891)=0),K891=""),INDEX('Rules'!$C$7:$C$26,MATCH(SUBSTITUTE(SUBSTITUTE(SUBSTITUTE(SUBSTITUTE("type:"&amp;B891,"%","%25"),"~","%7E"),"*","%2A"),"?","%3F"),'Rules'!$G$7:$G$26,0)),"")</x:f>
      </x:c>
      <x:c r="M891" s="6" t="str">
        <x:f>IF(AND(NOT(COUNTA(A891:F891)=0),K891=""),INDEX('Rules'!$D$7:$D$26,MATCH(SUBSTITUTE(SUBSTITUTE(SUBSTITUTE(SUBSTITUTE("type:"&amp;B891,"%","%25"),"~","%7E"),"*","%2A"),"?","%3F"),'Rules'!$G$7:$G$26,0)),"")</x:f>
      </x:c>
      <x:c r="N891" s="5" t="str">
        <x:f>IF(COUNTA(A891:F891)=0,"",SUBSTITUTE(SUBSTITUTE(SUBSTITUTE(SUBSTITUTE("id:"&amp;A891,"%","%25"),"~","%7E"),"*","%2A"),"?","%3F"))</x:f>
      </x:c>
    </x:row>
    <x:row r="892" ht="22" customHeight="1">
      <x:c r="A892" s="3"/>
      <x:c r="B892" s="3"/>
      <x:c r="C892" s="3"/>
      <x:c r="D892" s="4"/>
      <x:c r="E892" s="4"/>
      <x:c r="F892" s="4"/>
      <x:c r="G892" s="5" t="str">
        <x:f>IF(COUNTA(A892:F892)=0,"",IF(K892&lt;&gt;"","Review",IF(I892&lt;0,"Overdue",IF(I892=0,"Due now",IF(I892&lt;=M892,"Due soon","Not due")))))</x:f>
      </x:c>
      <x:c r="H892" s="5" t="str">
        <x:f>IF(OR(COUNTA(A892:F892)=0,COUNTIFS('Rules'!$G$7:$G$26,"="&amp;(SUBSTITUTE(SUBSTITUTE(SUBSTITUTE(SUBSTITUTE("type:"&amp;B892,"%","%25"),"~","%7E"),"*","%2A"),"?","%3F")))&lt;&gt;1),"",IF(OR(INDEX('Rules'!$B$7:$B$26,MATCH(SUBSTITUTE(SUBSTITUTE(SUBSTITUTE(SUBSTITUTE("type:"&amp;B892,"%","%25"),"~","%7E"),"*","%2A"),"?","%3F"),'Rules'!$G$7:$G$26,0))="hours",INDEX('Rules'!$B$7:$B$26,MATCH(SUBSTITUTE(SUBSTITUTE(SUBSTITUTE(SUBSTITUTE("type:"&amp;B892,"%","%25"),"~","%7E"),"*","%2A"),"?","%3F"),'Rules'!$G$7:$G$26,0))="km"),INDEX('Rules'!$B$7:$B$26,MATCH(SUBSTITUTE(SUBSTITUTE(SUBSTITUTE(SUBSTITUTE("type:"&amp;B892,"%","%25"),"~","%7E"),"*","%2A"),"?","%3F"),'Rules'!$G$7:$G$26,0)),""))</x:f>
      </x:c>
      <x:c r="I892" s="6" t="str">
        <x:f>IF(AND(NOT(COUNTA(A892:F892)=0),K892=""),ROUND(J892-D892,3),"")</x:f>
      </x:c>
      <x:c r="J892" s="6" t="str">
        <x:f>IF(AND(NOT(COUNTA(A892:F892)=0),K892=""),ROUND(F892+L892,3),"")</x:f>
      </x:c>
      <x:c r="K892" s="5" t="str">
        <x:f>IF(COUNTA(A892:F892)=0,"",IF(A892="","Missing equipment ID",IF(COUNTIFS($N$8:$N$2007,"="&amp;N892)&gt;1,"Duplicate equipment ID",IF(B892="","Missing type",IF(COUNTIFS('Rules'!$G$7:$G$26,"="&amp;(SUBSTITUTE(SUBSTITUTE(SUBSTITUTE(SUBSTITUTE("type:"&amp;B892,"%","%25"),"~","%7E"),"*","%2A"),"?","%3F")))=0,"Unknown type",IF(COUNTIFS('Rules'!$G$7:$G$26,"="&amp;(SUBSTITUTE(SUBSTITUTE(SUBSTITUTE(SUBSTITUTE("type:"&amp;B892,"%","%25"),"~","%7E"),"*","%2A"),"?","%3F")))&gt;1,"Duplicate type",IF(INDEX('Rules'!$F$7:$F$26,MATCH(SUBSTITUTE(SUBSTITUTE(SUBSTITUTE(SUBSTITUTE("type:"&amp;B892,"%","%25"),"~","%7E"),"*","%2A"),"?","%3F"),'Rules'!$G$7:$G$26,0))&lt;&gt;"",INDEX('Rules'!$F$7:$F$26,MATCH(SUBSTITUTE(SUBSTITUTE(SUBSTITUTE(SUBSTITUTE("type:"&amp;B892,"%","%25"),"~","%7E"),"*","%2A"),"?","%3F"),'Rules'!$G$7:$G$26,0)),IF(AND(C892&lt;&gt;"",C892&lt;&gt;INDEX('Rules'!$B$7:$B$26,MATCH(SUBSTITUTE(SUBSTITUTE(SUBSTITUTE(SUBSTITUTE("type:"&amp;B892,"%","%25"),"~","%7E"),"*","%2A"),"?","%3F"),'Rules'!$G$7:$G$26,0))),"Unit mismatch",IF(IF(NOT(ISNUMBER(D892)),TRUE,OR(D892&lt;0,D892&gt;999999999,ROUND(D892,3)&lt;&gt;D892)),"Invalid current reading",IF(AND(E892&lt;&gt;"",IF(NOT(ISNUMBER(E892)),TRUE,OR(E892&lt;0,E892&gt;999999999,ROUND(E892,3)&lt;&gt;E892))),"Invalid previous reading",IF(IF(NOT(ISNUMBER(F892)),TRUE,OR(F892&lt;0,F892&gt;999999999,ROUND(F892,3)&lt;&gt;F892)),"Invalid last service",IF(AND(E892&lt;&gt;"",D892&lt;E892),"Decreased reading",IF(F892&gt;D892,"Last service above current","")))))))))))))</x:f>
      </x:c>
      <x:c r="L892" s="6" t="str">
        <x:f>IF(AND(NOT(COUNTA(A892:F892)=0),K892=""),INDEX('Rules'!$C$7:$C$26,MATCH(SUBSTITUTE(SUBSTITUTE(SUBSTITUTE(SUBSTITUTE("type:"&amp;B892,"%","%25"),"~","%7E"),"*","%2A"),"?","%3F"),'Rules'!$G$7:$G$26,0)),"")</x:f>
      </x:c>
      <x:c r="M892" s="6" t="str">
        <x:f>IF(AND(NOT(COUNTA(A892:F892)=0),K892=""),INDEX('Rules'!$D$7:$D$26,MATCH(SUBSTITUTE(SUBSTITUTE(SUBSTITUTE(SUBSTITUTE("type:"&amp;B892,"%","%25"),"~","%7E"),"*","%2A"),"?","%3F"),'Rules'!$G$7:$G$26,0)),"")</x:f>
      </x:c>
      <x:c r="N892" s="5" t="str">
        <x:f>IF(COUNTA(A892:F892)=0,"",SUBSTITUTE(SUBSTITUTE(SUBSTITUTE(SUBSTITUTE("id:"&amp;A892,"%","%25"),"~","%7E"),"*","%2A"),"?","%3F"))</x:f>
      </x:c>
    </x:row>
    <x:row r="893" ht="22" customHeight="1">
      <x:c r="A893" s="3"/>
      <x:c r="B893" s="3"/>
      <x:c r="C893" s="3"/>
      <x:c r="D893" s="4"/>
      <x:c r="E893" s="4"/>
      <x:c r="F893" s="4"/>
      <x:c r="G893" s="5" t="str">
        <x:f>IF(COUNTA(A893:F893)=0,"",IF(K893&lt;&gt;"","Review",IF(I893&lt;0,"Overdue",IF(I893=0,"Due now",IF(I893&lt;=M893,"Due soon","Not due")))))</x:f>
      </x:c>
      <x:c r="H893" s="5" t="str">
        <x:f>IF(OR(COUNTA(A893:F893)=0,COUNTIFS('Rules'!$G$7:$G$26,"="&amp;(SUBSTITUTE(SUBSTITUTE(SUBSTITUTE(SUBSTITUTE("type:"&amp;B893,"%","%25"),"~","%7E"),"*","%2A"),"?","%3F")))&lt;&gt;1),"",IF(OR(INDEX('Rules'!$B$7:$B$26,MATCH(SUBSTITUTE(SUBSTITUTE(SUBSTITUTE(SUBSTITUTE("type:"&amp;B893,"%","%25"),"~","%7E"),"*","%2A"),"?","%3F"),'Rules'!$G$7:$G$26,0))="hours",INDEX('Rules'!$B$7:$B$26,MATCH(SUBSTITUTE(SUBSTITUTE(SUBSTITUTE(SUBSTITUTE("type:"&amp;B893,"%","%25"),"~","%7E"),"*","%2A"),"?","%3F"),'Rules'!$G$7:$G$26,0))="km"),INDEX('Rules'!$B$7:$B$26,MATCH(SUBSTITUTE(SUBSTITUTE(SUBSTITUTE(SUBSTITUTE("type:"&amp;B893,"%","%25"),"~","%7E"),"*","%2A"),"?","%3F"),'Rules'!$G$7:$G$26,0)),""))</x:f>
      </x:c>
      <x:c r="I893" s="6" t="str">
        <x:f>IF(AND(NOT(COUNTA(A893:F893)=0),K893=""),ROUND(J893-D893,3),"")</x:f>
      </x:c>
      <x:c r="J893" s="6" t="str">
        <x:f>IF(AND(NOT(COUNTA(A893:F893)=0),K893=""),ROUND(F893+L893,3),"")</x:f>
      </x:c>
      <x:c r="K893" s="5" t="str">
        <x:f>IF(COUNTA(A893:F893)=0,"",IF(A893="","Missing equipment ID",IF(COUNTIFS($N$8:$N$2007,"="&amp;N893)&gt;1,"Duplicate equipment ID",IF(B893="","Missing type",IF(COUNTIFS('Rules'!$G$7:$G$26,"="&amp;(SUBSTITUTE(SUBSTITUTE(SUBSTITUTE(SUBSTITUTE("type:"&amp;B893,"%","%25"),"~","%7E"),"*","%2A"),"?","%3F")))=0,"Unknown type",IF(COUNTIFS('Rules'!$G$7:$G$26,"="&amp;(SUBSTITUTE(SUBSTITUTE(SUBSTITUTE(SUBSTITUTE("type:"&amp;B893,"%","%25"),"~","%7E"),"*","%2A"),"?","%3F")))&gt;1,"Duplicate type",IF(INDEX('Rules'!$F$7:$F$26,MATCH(SUBSTITUTE(SUBSTITUTE(SUBSTITUTE(SUBSTITUTE("type:"&amp;B893,"%","%25"),"~","%7E"),"*","%2A"),"?","%3F"),'Rules'!$G$7:$G$26,0))&lt;&gt;"",INDEX('Rules'!$F$7:$F$26,MATCH(SUBSTITUTE(SUBSTITUTE(SUBSTITUTE(SUBSTITUTE("type:"&amp;B893,"%","%25"),"~","%7E"),"*","%2A"),"?","%3F"),'Rules'!$G$7:$G$26,0)),IF(AND(C893&lt;&gt;"",C893&lt;&gt;INDEX('Rules'!$B$7:$B$26,MATCH(SUBSTITUTE(SUBSTITUTE(SUBSTITUTE(SUBSTITUTE("type:"&amp;B893,"%","%25"),"~","%7E"),"*","%2A"),"?","%3F"),'Rules'!$G$7:$G$26,0))),"Unit mismatch",IF(IF(NOT(ISNUMBER(D893)),TRUE,OR(D893&lt;0,D893&gt;999999999,ROUND(D893,3)&lt;&gt;D893)),"Invalid current reading",IF(AND(E893&lt;&gt;"",IF(NOT(ISNUMBER(E893)),TRUE,OR(E893&lt;0,E893&gt;999999999,ROUND(E893,3)&lt;&gt;E893))),"Invalid previous reading",IF(IF(NOT(ISNUMBER(F893)),TRUE,OR(F893&lt;0,F893&gt;999999999,ROUND(F893,3)&lt;&gt;F893)),"Invalid last service",IF(AND(E893&lt;&gt;"",D893&lt;E893),"Decreased reading",IF(F893&gt;D893,"Last service above current","")))))))))))))</x:f>
      </x:c>
      <x:c r="L893" s="6" t="str">
        <x:f>IF(AND(NOT(COUNTA(A893:F893)=0),K893=""),INDEX('Rules'!$C$7:$C$26,MATCH(SUBSTITUTE(SUBSTITUTE(SUBSTITUTE(SUBSTITUTE("type:"&amp;B893,"%","%25"),"~","%7E"),"*","%2A"),"?","%3F"),'Rules'!$G$7:$G$26,0)),"")</x:f>
      </x:c>
      <x:c r="M893" s="6" t="str">
        <x:f>IF(AND(NOT(COUNTA(A893:F893)=0),K893=""),INDEX('Rules'!$D$7:$D$26,MATCH(SUBSTITUTE(SUBSTITUTE(SUBSTITUTE(SUBSTITUTE("type:"&amp;B893,"%","%25"),"~","%7E"),"*","%2A"),"?","%3F"),'Rules'!$G$7:$G$26,0)),"")</x:f>
      </x:c>
      <x:c r="N893" s="5" t="str">
        <x:f>IF(COUNTA(A893:F893)=0,"",SUBSTITUTE(SUBSTITUTE(SUBSTITUTE(SUBSTITUTE("id:"&amp;A893,"%","%25"),"~","%7E"),"*","%2A"),"?","%3F"))</x:f>
      </x:c>
    </x:row>
    <x:row r="894" ht="22" customHeight="1">
      <x:c r="A894" s="3"/>
      <x:c r="B894" s="3"/>
      <x:c r="C894" s="3"/>
      <x:c r="D894" s="4"/>
      <x:c r="E894" s="4"/>
      <x:c r="F894" s="4"/>
      <x:c r="G894" s="5" t="str">
        <x:f>IF(COUNTA(A894:F894)=0,"",IF(K894&lt;&gt;"","Review",IF(I894&lt;0,"Overdue",IF(I894=0,"Due now",IF(I894&lt;=M894,"Due soon","Not due")))))</x:f>
      </x:c>
      <x:c r="H894" s="5" t="str">
        <x:f>IF(OR(COUNTA(A894:F894)=0,COUNTIFS('Rules'!$G$7:$G$26,"="&amp;(SUBSTITUTE(SUBSTITUTE(SUBSTITUTE(SUBSTITUTE("type:"&amp;B894,"%","%25"),"~","%7E"),"*","%2A"),"?","%3F")))&lt;&gt;1),"",IF(OR(INDEX('Rules'!$B$7:$B$26,MATCH(SUBSTITUTE(SUBSTITUTE(SUBSTITUTE(SUBSTITUTE("type:"&amp;B894,"%","%25"),"~","%7E"),"*","%2A"),"?","%3F"),'Rules'!$G$7:$G$26,0))="hours",INDEX('Rules'!$B$7:$B$26,MATCH(SUBSTITUTE(SUBSTITUTE(SUBSTITUTE(SUBSTITUTE("type:"&amp;B894,"%","%25"),"~","%7E"),"*","%2A"),"?","%3F"),'Rules'!$G$7:$G$26,0))="km"),INDEX('Rules'!$B$7:$B$26,MATCH(SUBSTITUTE(SUBSTITUTE(SUBSTITUTE(SUBSTITUTE("type:"&amp;B894,"%","%25"),"~","%7E"),"*","%2A"),"?","%3F"),'Rules'!$G$7:$G$26,0)),""))</x:f>
      </x:c>
      <x:c r="I894" s="6" t="str">
        <x:f>IF(AND(NOT(COUNTA(A894:F894)=0),K894=""),ROUND(J894-D894,3),"")</x:f>
      </x:c>
      <x:c r="J894" s="6" t="str">
        <x:f>IF(AND(NOT(COUNTA(A894:F894)=0),K894=""),ROUND(F894+L894,3),"")</x:f>
      </x:c>
      <x:c r="K894" s="5" t="str">
        <x:f>IF(COUNTA(A894:F894)=0,"",IF(A894="","Missing equipment ID",IF(COUNTIFS($N$8:$N$2007,"="&amp;N894)&gt;1,"Duplicate equipment ID",IF(B894="","Missing type",IF(COUNTIFS('Rules'!$G$7:$G$26,"="&amp;(SUBSTITUTE(SUBSTITUTE(SUBSTITUTE(SUBSTITUTE("type:"&amp;B894,"%","%25"),"~","%7E"),"*","%2A"),"?","%3F")))=0,"Unknown type",IF(COUNTIFS('Rules'!$G$7:$G$26,"="&amp;(SUBSTITUTE(SUBSTITUTE(SUBSTITUTE(SUBSTITUTE("type:"&amp;B894,"%","%25"),"~","%7E"),"*","%2A"),"?","%3F")))&gt;1,"Duplicate type",IF(INDEX('Rules'!$F$7:$F$26,MATCH(SUBSTITUTE(SUBSTITUTE(SUBSTITUTE(SUBSTITUTE("type:"&amp;B894,"%","%25"),"~","%7E"),"*","%2A"),"?","%3F"),'Rules'!$G$7:$G$26,0))&lt;&gt;"",INDEX('Rules'!$F$7:$F$26,MATCH(SUBSTITUTE(SUBSTITUTE(SUBSTITUTE(SUBSTITUTE("type:"&amp;B894,"%","%25"),"~","%7E"),"*","%2A"),"?","%3F"),'Rules'!$G$7:$G$26,0)),IF(AND(C894&lt;&gt;"",C894&lt;&gt;INDEX('Rules'!$B$7:$B$26,MATCH(SUBSTITUTE(SUBSTITUTE(SUBSTITUTE(SUBSTITUTE("type:"&amp;B894,"%","%25"),"~","%7E"),"*","%2A"),"?","%3F"),'Rules'!$G$7:$G$26,0))),"Unit mismatch",IF(IF(NOT(ISNUMBER(D894)),TRUE,OR(D894&lt;0,D894&gt;999999999,ROUND(D894,3)&lt;&gt;D894)),"Invalid current reading",IF(AND(E894&lt;&gt;"",IF(NOT(ISNUMBER(E894)),TRUE,OR(E894&lt;0,E894&gt;999999999,ROUND(E894,3)&lt;&gt;E894))),"Invalid previous reading",IF(IF(NOT(ISNUMBER(F894)),TRUE,OR(F894&lt;0,F894&gt;999999999,ROUND(F894,3)&lt;&gt;F894)),"Invalid last service",IF(AND(E894&lt;&gt;"",D894&lt;E894),"Decreased reading",IF(F894&gt;D894,"Last service above current","")))))))))))))</x:f>
      </x:c>
      <x:c r="L894" s="6" t="str">
        <x:f>IF(AND(NOT(COUNTA(A894:F894)=0),K894=""),INDEX('Rules'!$C$7:$C$26,MATCH(SUBSTITUTE(SUBSTITUTE(SUBSTITUTE(SUBSTITUTE("type:"&amp;B894,"%","%25"),"~","%7E"),"*","%2A"),"?","%3F"),'Rules'!$G$7:$G$26,0)),"")</x:f>
      </x:c>
      <x:c r="M894" s="6" t="str">
        <x:f>IF(AND(NOT(COUNTA(A894:F894)=0),K894=""),INDEX('Rules'!$D$7:$D$26,MATCH(SUBSTITUTE(SUBSTITUTE(SUBSTITUTE(SUBSTITUTE("type:"&amp;B894,"%","%25"),"~","%7E"),"*","%2A"),"?","%3F"),'Rules'!$G$7:$G$26,0)),"")</x:f>
      </x:c>
      <x:c r="N894" s="5" t="str">
        <x:f>IF(COUNTA(A894:F894)=0,"",SUBSTITUTE(SUBSTITUTE(SUBSTITUTE(SUBSTITUTE("id:"&amp;A894,"%","%25"),"~","%7E"),"*","%2A"),"?","%3F"))</x:f>
      </x:c>
    </x:row>
    <x:row r="895" ht="22" customHeight="1">
      <x:c r="A895" s="3"/>
      <x:c r="B895" s="3"/>
      <x:c r="C895" s="3"/>
      <x:c r="D895" s="4"/>
      <x:c r="E895" s="4"/>
      <x:c r="F895" s="4"/>
      <x:c r="G895" s="5" t="str">
        <x:f>IF(COUNTA(A895:F895)=0,"",IF(K895&lt;&gt;"","Review",IF(I895&lt;0,"Overdue",IF(I895=0,"Due now",IF(I895&lt;=M895,"Due soon","Not due")))))</x:f>
      </x:c>
      <x:c r="H895" s="5" t="str">
        <x:f>IF(OR(COUNTA(A895:F895)=0,COUNTIFS('Rules'!$G$7:$G$26,"="&amp;(SUBSTITUTE(SUBSTITUTE(SUBSTITUTE(SUBSTITUTE("type:"&amp;B895,"%","%25"),"~","%7E"),"*","%2A"),"?","%3F")))&lt;&gt;1),"",IF(OR(INDEX('Rules'!$B$7:$B$26,MATCH(SUBSTITUTE(SUBSTITUTE(SUBSTITUTE(SUBSTITUTE("type:"&amp;B895,"%","%25"),"~","%7E"),"*","%2A"),"?","%3F"),'Rules'!$G$7:$G$26,0))="hours",INDEX('Rules'!$B$7:$B$26,MATCH(SUBSTITUTE(SUBSTITUTE(SUBSTITUTE(SUBSTITUTE("type:"&amp;B895,"%","%25"),"~","%7E"),"*","%2A"),"?","%3F"),'Rules'!$G$7:$G$26,0))="km"),INDEX('Rules'!$B$7:$B$26,MATCH(SUBSTITUTE(SUBSTITUTE(SUBSTITUTE(SUBSTITUTE("type:"&amp;B895,"%","%25"),"~","%7E"),"*","%2A"),"?","%3F"),'Rules'!$G$7:$G$26,0)),""))</x:f>
      </x:c>
      <x:c r="I895" s="6" t="str">
        <x:f>IF(AND(NOT(COUNTA(A895:F895)=0),K895=""),ROUND(J895-D895,3),"")</x:f>
      </x:c>
      <x:c r="J895" s="6" t="str">
        <x:f>IF(AND(NOT(COUNTA(A895:F895)=0),K895=""),ROUND(F895+L895,3),"")</x:f>
      </x:c>
      <x:c r="K895" s="5" t="str">
        <x:f>IF(COUNTA(A895:F895)=0,"",IF(A895="","Missing equipment ID",IF(COUNTIFS($N$8:$N$2007,"="&amp;N895)&gt;1,"Duplicate equipment ID",IF(B895="","Missing type",IF(COUNTIFS('Rules'!$G$7:$G$26,"="&amp;(SUBSTITUTE(SUBSTITUTE(SUBSTITUTE(SUBSTITUTE("type:"&amp;B895,"%","%25"),"~","%7E"),"*","%2A"),"?","%3F")))=0,"Unknown type",IF(COUNTIFS('Rules'!$G$7:$G$26,"="&amp;(SUBSTITUTE(SUBSTITUTE(SUBSTITUTE(SUBSTITUTE("type:"&amp;B895,"%","%25"),"~","%7E"),"*","%2A"),"?","%3F")))&gt;1,"Duplicate type",IF(INDEX('Rules'!$F$7:$F$26,MATCH(SUBSTITUTE(SUBSTITUTE(SUBSTITUTE(SUBSTITUTE("type:"&amp;B895,"%","%25"),"~","%7E"),"*","%2A"),"?","%3F"),'Rules'!$G$7:$G$26,0))&lt;&gt;"",INDEX('Rules'!$F$7:$F$26,MATCH(SUBSTITUTE(SUBSTITUTE(SUBSTITUTE(SUBSTITUTE("type:"&amp;B895,"%","%25"),"~","%7E"),"*","%2A"),"?","%3F"),'Rules'!$G$7:$G$26,0)),IF(AND(C895&lt;&gt;"",C895&lt;&gt;INDEX('Rules'!$B$7:$B$26,MATCH(SUBSTITUTE(SUBSTITUTE(SUBSTITUTE(SUBSTITUTE("type:"&amp;B895,"%","%25"),"~","%7E"),"*","%2A"),"?","%3F"),'Rules'!$G$7:$G$26,0))),"Unit mismatch",IF(IF(NOT(ISNUMBER(D895)),TRUE,OR(D895&lt;0,D895&gt;999999999,ROUND(D895,3)&lt;&gt;D895)),"Invalid current reading",IF(AND(E895&lt;&gt;"",IF(NOT(ISNUMBER(E895)),TRUE,OR(E895&lt;0,E895&gt;999999999,ROUND(E895,3)&lt;&gt;E895))),"Invalid previous reading",IF(IF(NOT(ISNUMBER(F895)),TRUE,OR(F895&lt;0,F895&gt;999999999,ROUND(F895,3)&lt;&gt;F895)),"Invalid last service",IF(AND(E895&lt;&gt;"",D895&lt;E895),"Decreased reading",IF(F895&gt;D895,"Last service above current","")))))))))))))</x:f>
      </x:c>
      <x:c r="L895" s="6" t="str">
        <x:f>IF(AND(NOT(COUNTA(A895:F895)=0),K895=""),INDEX('Rules'!$C$7:$C$26,MATCH(SUBSTITUTE(SUBSTITUTE(SUBSTITUTE(SUBSTITUTE("type:"&amp;B895,"%","%25"),"~","%7E"),"*","%2A"),"?","%3F"),'Rules'!$G$7:$G$26,0)),"")</x:f>
      </x:c>
      <x:c r="M895" s="6" t="str">
        <x:f>IF(AND(NOT(COUNTA(A895:F895)=0),K895=""),INDEX('Rules'!$D$7:$D$26,MATCH(SUBSTITUTE(SUBSTITUTE(SUBSTITUTE(SUBSTITUTE("type:"&amp;B895,"%","%25"),"~","%7E"),"*","%2A"),"?","%3F"),'Rules'!$G$7:$G$26,0)),"")</x:f>
      </x:c>
      <x:c r="N895" s="5" t="str">
        <x:f>IF(COUNTA(A895:F895)=0,"",SUBSTITUTE(SUBSTITUTE(SUBSTITUTE(SUBSTITUTE("id:"&amp;A895,"%","%25"),"~","%7E"),"*","%2A"),"?","%3F"))</x:f>
      </x:c>
    </x:row>
    <x:row r="896" ht="22" customHeight="1">
      <x:c r="A896" s="3"/>
      <x:c r="B896" s="3"/>
      <x:c r="C896" s="3"/>
      <x:c r="D896" s="4"/>
      <x:c r="E896" s="4"/>
      <x:c r="F896" s="4"/>
      <x:c r="G896" s="5" t="str">
        <x:f>IF(COUNTA(A896:F896)=0,"",IF(K896&lt;&gt;"","Review",IF(I896&lt;0,"Overdue",IF(I896=0,"Due now",IF(I896&lt;=M896,"Due soon","Not due")))))</x:f>
      </x:c>
      <x:c r="H896" s="5" t="str">
        <x:f>IF(OR(COUNTA(A896:F896)=0,COUNTIFS('Rules'!$G$7:$G$26,"="&amp;(SUBSTITUTE(SUBSTITUTE(SUBSTITUTE(SUBSTITUTE("type:"&amp;B896,"%","%25"),"~","%7E"),"*","%2A"),"?","%3F")))&lt;&gt;1),"",IF(OR(INDEX('Rules'!$B$7:$B$26,MATCH(SUBSTITUTE(SUBSTITUTE(SUBSTITUTE(SUBSTITUTE("type:"&amp;B896,"%","%25"),"~","%7E"),"*","%2A"),"?","%3F"),'Rules'!$G$7:$G$26,0))="hours",INDEX('Rules'!$B$7:$B$26,MATCH(SUBSTITUTE(SUBSTITUTE(SUBSTITUTE(SUBSTITUTE("type:"&amp;B896,"%","%25"),"~","%7E"),"*","%2A"),"?","%3F"),'Rules'!$G$7:$G$26,0))="km"),INDEX('Rules'!$B$7:$B$26,MATCH(SUBSTITUTE(SUBSTITUTE(SUBSTITUTE(SUBSTITUTE("type:"&amp;B896,"%","%25"),"~","%7E"),"*","%2A"),"?","%3F"),'Rules'!$G$7:$G$26,0)),""))</x:f>
      </x:c>
      <x:c r="I896" s="6" t="str">
        <x:f>IF(AND(NOT(COUNTA(A896:F896)=0),K896=""),ROUND(J896-D896,3),"")</x:f>
      </x:c>
      <x:c r="J896" s="6" t="str">
        <x:f>IF(AND(NOT(COUNTA(A896:F896)=0),K896=""),ROUND(F896+L896,3),"")</x:f>
      </x:c>
      <x:c r="K896" s="5" t="str">
        <x:f>IF(COUNTA(A896:F896)=0,"",IF(A896="","Missing equipment ID",IF(COUNTIFS($N$8:$N$2007,"="&amp;N896)&gt;1,"Duplicate equipment ID",IF(B896="","Missing type",IF(COUNTIFS('Rules'!$G$7:$G$26,"="&amp;(SUBSTITUTE(SUBSTITUTE(SUBSTITUTE(SUBSTITUTE("type:"&amp;B896,"%","%25"),"~","%7E"),"*","%2A"),"?","%3F")))=0,"Unknown type",IF(COUNTIFS('Rules'!$G$7:$G$26,"="&amp;(SUBSTITUTE(SUBSTITUTE(SUBSTITUTE(SUBSTITUTE("type:"&amp;B896,"%","%25"),"~","%7E"),"*","%2A"),"?","%3F")))&gt;1,"Duplicate type",IF(INDEX('Rules'!$F$7:$F$26,MATCH(SUBSTITUTE(SUBSTITUTE(SUBSTITUTE(SUBSTITUTE("type:"&amp;B896,"%","%25"),"~","%7E"),"*","%2A"),"?","%3F"),'Rules'!$G$7:$G$26,0))&lt;&gt;"",INDEX('Rules'!$F$7:$F$26,MATCH(SUBSTITUTE(SUBSTITUTE(SUBSTITUTE(SUBSTITUTE("type:"&amp;B896,"%","%25"),"~","%7E"),"*","%2A"),"?","%3F"),'Rules'!$G$7:$G$26,0)),IF(AND(C896&lt;&gt;"",C896&lt;&gt;INDEX('Rules'!$B$7:$B$26,MATCH(SUBSTITUTE(SUBSTITUTE(SUBSTITUTE(SUBSTITUTE("type:"&amp;B896,"%","%25"),"~","%7E"),"*","%2A"),"?","%3F"),'Rules'!$G$7:$G$26,0))),"Unit mismatch",IF(IF(NOT(ISNUMBER(D896)),TRUE,OR(D896&lt;0,D896&gt;999999999,ROUND(D896,3)&lt;&gt;D896)),"Invalid current reading",IF(AND(E896&lt;&gt;"",IF(NOT(ISNUMBER(E896)),TRUE,OR(E896&lt;0,E896&gt;999999999,ROUND(E896,3)&lt;&gt;E896))),"Invalid previous reading",IF(IF(NOT(ISNUMBER(F896)),TRUE,OR(F896&lt;0,F896&gt;999999999,ROUND(F896,3)&lt;&gt;F896)),"Invalid last service",IF(AND(E896&lt;&gt;"",D896&lt;E896),"Decreased reading",IF(F896&gt;D896,"Last service above current","")))))))))))))</x:f>
      </x:c>
      <x:c r="L896" s="6" t="str">
        <x:f>IF(AND(NOT(COUNTA(A896:F896)=0),K896=""),INDEX('Rules'!$C$7:$C$26,MATCH(SUBSTITUTE(SUBSTITUTE(SUBSTITUTE(SUBSTITUTE("type:"&amp;B896,"%","%25"),"~","%7E"),"*","%2A"),"?","%3F"),'Rules'!$G$7:$G$26,0)),"")</x:f>
      </x:c>
      <x:c r="M896" s="6" t="str">
        <x:f>IF(AND(NOT(COUNTA(A896:F896)=0),K896=""),INDEX('Rules'!$D$7:$D$26,MATCH(SUBSTITUTE(SUBSTITUTE(SUBSTITUTE(SUBSTITUTE("type:"&amp;B896,"%","%25"),"~","%7E"),"*","%2A"),"?","%3F"),'Rules'!$G$7:$G$26,0)),"")</x:f>
      </x:c>
      <x:c r="N896" s="5" t="str">
        <x:f>IF(COUNTA(A896:F896)=0,"",SUBSTITUTE(SUBSTITUTE(SUBSTITUTE(SUBSTITUTE("id:"&amp;A896,"%","%25"),"~","%7E"),"*","%2A"),"?","%3F"))</x:f>
      </x:c>
    </x:row>
    <x:row r="897" ht="22" customHeight="1">
      <x:c r="A897" s="3"/>
      <x:c r="B897" s="3"/>
      <x:c r="C897" s="3"/>
      <x:c r="D897" s="4"/>
      <x:c r="E897" s="4"/>
      <x:c r="F897" s="4"/>
      <x:c r="G897" s="5" t="str">
        <x:f>IF(COUNTA(A897:F897)=0,"",IF(K897&lt;&gt;"","Review",IF(I897&lt;0,"Overdue",IF(I897=0,"Due now",IF(I897&lt;=M897,"Due soon","Not due")))))</x:f>
      </x:c>
      <x:c r="H897" s="5" t="str">
        <x:f>IF(OR(COUNTA(A897:F897)=0,COUNTIFS('Rules'!$G$7:$G$26,"="&amp;(SUBSTITUTE(SUBSTITUTE(SUBSTITUTE(SUBSTITUTE("type:"&amp;B897,"%","%25"),"~","%7E"),"*","%2A"),"?","%3F")))&lt;&gt;1),"",IF(OR(INDEX('Rules'!$B$7:$B$26,MATCH(SUBSTITUTE(SUBSTITUTE(SUBSTITUTE(SUBSTITUTE("type:"&amp;B897,"%","%25"),"~","%7E"),"*","%2A"),"?","%3F"),'Rules'!$G$7:$G$26,0))="hours",INDEX('Rules'!$B$7:$B$26,MATCH(SUBSTITUTE(SUBSTITUTE(SUBSTITUTE(SUBSTITUTE("type:"&amp;B897,"%","%25"),"~","%7E"),"*","%2A"),"?","%3F"),'Rules'!$G$7:$G$26,0))="km"),INDEX('Rules'!$B$7:$B$26,MATCH(SUBSTITUTE(SUBSTITUTE(SUBSTITUTE(SUBSTITUTE("type:"&amp;B897,"%","%25"),"~","%7E"),"*","%2A"),"?","%3F"),'Rules'!$G$7:$G$26,0)),""))</x:f>
      </x:c>
      <x:c r="I897" s="6" t="str">
        <x:f>IF(AND(NOT(COUNTA(A897:F897)=0),K897=""),ROUND(J897-D897,3),"")</x:f>
      </x:c>
      <x:c r="J897" s="6" t="str">
        <x:f>IF(AND(NOT(COUNTA(A897:F897)=0),K897=""),ROUND(F897+L897,3),"")</x:f>
      </x:c>
      <x:c r="K897" s="5" t="str">
        <x:f>IF(COUNTA(A897:F897)=0,"",IF(A897="","Missing equipment ID",IF(COUNTIFS($N$8:$N$2007,"="&amp;N897)&gt;1,"Duplicate equipment ID",IF(B897="","Missing type",IF(COUNTIFS('Rules'!$G$7:$G$26,"="&amp;(SUBSTITUTE(SUBSTITUTE(SUBSTITUTE(SUBSTITUTE("type:"&amp;B897,"%","%25"),"~","%7E"),"*","%2A"),"?","%3F")))=0,"Unknown type",IF(COUNTIFS('Rules'!$G$7:$G$26,"="&amp;(SUBSTITUTE(SUBSTITUTE(SUBSTITUTE(SUBSTITUTE("type:"&amp;B897,"%","%25"),"~","%7E"),"*","%2A"),"?","%3F")))&gt;1,"Duplicate type",IF(INDEX('Rules'!$F$7:$F$26,MATCH(SUBSTITUTE(SUBSTITUTE(SUBSTITUTE(SUBSTITUTE("type:"&amp;B897,"%","%25"),"~","%7E"),"*","%2A"),"?","%3F"),'Rules'!$G$7:$G$26,0))&lt;&gt;"",INDEX('Rules'!$F$7:$F$26,MATCH(SUBSTITUTE(SUBSTITUTE(SUBSTITUTE(SUBSTITUTE("type:"&amp;B897,"%","%25"),"~","%7E"),"*","%2A"),"?","%3F"),'Rules'!$G$7:$G$26,0)),IF(AND(C897&lt;&gt;"",C897&lt;&gt;INDEX('Rules'!$B$7:$B$26,MATCH(SUBSTITUTE(SUBSTITUTE(SUBSTITUTE(SUBSTITUTE("type:"&amp;B897,"%","%25"),"~","%7E"),"*","%2A"),"?","%3F"),'Rules'!$G$7:$G$26,0))),"Unit mismatch",IF(IF(NOT(ISNUMBER(D897)),TRUE,OR(D897&lt;0,D897&gt;999999999,ROUND(D897,3)&lt;&gt;D897)),"Invalid current reading",IF(AND(E897&lt;&gt;"",IF(NOT(ISNUMBER(E897)),TRUE,OR(E897&lt;0,E897&gt;999999999,ROUND(E897,3)&lt;&gt;E897))),"Invalid previous reading",IF(IF(NOT(ISNUMBER(F897)),TRUE,OR(F897&lt;0,F897&gt;999999999,ROUND(F897,3)&lt;&gt;F897)),"Invalid last service",IF(AND(E897&lt;&gt;"",D897&lt;E897),"Decreased reading",IF(F897&gt;D897,"Last service above current","")))))))))))))</x:f>
      </x:c>
      <x:c r="L897" s="6" t="str">
        <x:f>IF(AND(NOT(COUNTA(A897:F897)=0),K897=""),INDEX('Rules'!$C$7:$C$26,MATCH(SUBSTITUTE(SUBSTITUTE(SUBSTITUTE(SUBSTITUTE("type:"&amp;B897,"%","%25"),"~","%7E"),"*","%2A"),"?","%3F"),'Rules'!$G$7:$G$26,0)),"")</x:f>
      </x:c>
      <x:c r="M897" s="6" t="str">
        <x:f>IF(AND(NOT(COUNTA(A897:F897)=0),K897=""),INDEX('Rules'!$D$7:$D$26,MATCH(SUBSTITUTE(SUBSTITUTE(SUBSTITUTE(SUBSTITUTE("type:"&amp;B897,"%","%25"),"~","%7E"),"*","%2A"),"?","%3F"),'Rules'!$G$7:$G$26,0)),"")</x:f>
      </x:c>
      <x:c r="N897" s="5" t="str">
        <x:f>IF(COUNTA(A897:F897)=0,"",SUBSTITUTE(SUBSTITUTE(SUBSTITUTE(SUBSTITUTE("id:"&amp;A897,"%","%25"),"~","%7E"),"*","%2A"),"?","%3F"))</x:f>
      </x:c>
    </x:row>
    <x:row r="898" ht="22" customHeight="1">
      <x:c r="A898" s="3"/>
      <x:c r="B898" s="3"/>
      <x:c r="C898" s="3"/>
      <x:c r="D898" s="4"/>
      <x:c r="E898" s="4"/>
      <x:c r="F898" s="4"/>
      <x:c r="G898" s="5" t="str">
        <x:f>IF(COUNTA(A898:F898)=0,"",IF(K898&lt;&gt;"","Review",IF(I898&lt;0,"Overdue",IF(I898=0,"Due now",IF(I898&lt;=M898,"Due soon","Not due")))))</x:f>
      </x:c>
      <x:c r="H898" s="5" t="str">
        <x:f>IF(OR(COUNTA(A898:F898)=0,COUNTIFS('Rules'!$G$7:$G$26,"="&amp;(SUBSTITUTE(SUBSTITUTE(SUBSTITUTE(SUBSTITUTE("type:"&amp;B898,"%","%25"),"~","%7E"),"*","%2A"),"?","%3F")))&lt;&gt;1),"",IF(OR(INDEX('Rules'!$B$7:$B$26,MATCH(SUBSTITUTE(SUBSTITUTE(SUBSTITUTE(SUBSTITUTE("type:"&amp;B898,"%","%25"),"~","%7E"),"*","%2A"),"?","%3F"),'Rules'!$G$7:$G$26,0))="hours",INDEX('Rules'!$B$7:$B$26,MATCH(SUBSTITUTE(SUBSTITUTE(SUBSTITUTE(SUBSTITUTE("type:"&amp;B898,"%","%25"),"~","%7E"),"*","%2A"),"?","%3F"),'Rules'!$G$7:$G$26,0))="km"),INDEX('Rules'!$B$7:$B$26,MATCH(SUBSTITUTE(SUBSTITUTE(SUBSTITUTE(SUBSTITUTE("type:"&amp;B898,"%","%25"),"~","%7E"),"*","%2A"),"?","%3F"),'Rules'!$G$7:$G$26,0)),""))</x:f>
      </x:c>
      <x:c r="I898" s="6" t="str">
        <x:f>IF(AND(NOT(COUNTA(A898:F898)=0),K898=""),ROUND(J898-D898,3),"")</x:f>
      </x:c>
      <x:c r="J898" s="6" t="str">
        <x:f>IF(AND(NOT(COUNTA(A898:F898)=0),K898=""),ROUND(F898+L898,3),"")</x:f>
      </x:c>
      <x:c r="K898" s="5" t="str">
        <x:f>IF(COUNTA(A898:F898)=0,"",IF(A898="","Missing equipment ID",IF(COUNTIFS($N$8:$N$2007,"="&amp;N898)&gt;1,"Duplicate equipment ID",IF(B898="","Missing type",IF(COUNTIFS('Rules'!$G$7:$G$26,"="&amp;(SUBSTITUTE(SUBSTITUTE(SUBSTITUTE(SUBSTITUTE("type:"&amp;B898,"%","%25"),"~","%7E"),"*","%2A"),"?","%3F")))=0,"Unknown type",IF(COUNTIFS('Rules'!$G$7:$G$26,"="&amp;(SUBSTITUTE(SUBSTITUTE(SUBSTITUTE(SUBSTITUTE("type:"&amp;B898,"%","%25"),"~","%7E"),"*","%2A"),"?","%3F")))&gt;1,"Duplicate type",IF(INDEX('Rules'!$F$7:$F$26,MATCH(SUBSTITUTE(SUBSTITUTE(SUBSTITUTE(SUBSTITUTE("type:"&amp;B898,"%","%25"),"~","%7E"),"*","%2A"),"?","%3F"),'Rules'!$G$7:$G$26,0))&lt;&gt;"",INDEX('Rules'!$F$7:$F$26,MATCH(SUBSTITUTE(SUBSTITUTE(SUBSTITUTE(SUBSTITUTE("type:"&amp;B898,"%","%25"),"~","%7E"),"*","%2A"),"?","%3F"),'Rules'!$G$7:$G$26,0)),IF(AND(C898&lt;&gt;"",C898&lt;&gt;INDEX('Rules'!$B$7:$B$26,MATCH(SUBSTITUTE(SUBSTITUTE(SUBSTITUTE(SUBSTITUTE("type:"&amp;B898,"%","%25"),"~","%7E"),"*","%2A"),"?","%3F"),'Rules'!$G$7:$G$26,0))),"Unit mismatch",IF(IF(NOT(ISNUMBER(D898)),TRUE,OR(D898&lt;0,D898&gt;999999999,ROUND(D898,3)&lt;&gt;D898)),"Invalid current reading",IF(AND(E898&lt;&gt;"",IF(NOT(ISNUMBER(E898)),TRUE,OR(E898&lt;0,E898&gt;999999999,ROUND(E898,3)&lt;&gt;E898))),"Invalid previous reading",IF(IF(NOT(ISNUMBER(F898)),TRUE,OR(F898&lt;0,F898&gt;999999999,ROUND(F898,3)&lt;&gt;F898)),"Invalid last service",IF(AND(E898&lt;&gt;"",D898&lt;E898),"Decreased reading",IF(F898&gt;D898,"Last service above current","")))))))))))))</x:f>
      </x:c>
      <x:c r="L898" s="6" t="str">
        <x:f>IF(AND(NOT(COUNTA(A898:F898)=0),K898=""),INDEX('Rules'!$C$7:$C$26,MATCH(SUBSTITUTE(SUBSTITUTE(SUBSTITUTE(SUBSTITUTE("type:"&amp;B898,"%","%25"),"~","%7E"),"*","%2A"),"?","%3F"),'Rules'!$G$7:$G$26,0)),"")</x:f>
      </x:c>
      <x:c r="M898" s="6" t="str">
        <x:f>IF(AND(NOT(COUNTA(A898:F898)=0),K898=""),INDEX('Rules'!$D$7:$D$26,MATCH(SUBSTITUTE(SUBSTITUTE(SUBSTITUTE(SUBSTITUTE("type:"&amp;B898,"%","%25"),"~","%7E"),"*","%2A"),"?","%3F"),'Rules'!$G$7:$G$26,0)),"")</x:f>
      </x:c>
      <x:c r="N898" s="5" t="str">
        <x:f>IF(COUNTA(A898:F898)=0,"",SUBSTITUTE(SUBSTITUTE(SUBSTITUTE(SUBSTITUTE("id:"&amp;A898,"%","%25"),"~","%7E"),"*","%2A"),"?","%3F"))</x:f>
      </x:c>
    </x:row>
    <x:row r="899" ht="22" customHeight="1">
      <x:c r="A899" s="3"/>
      <x:c r="B899" s="3"/>
      <x:c r="C899" s="3"/>
      <x:c r="D899" s="4"/>
      <x:c r="E899" s="4"/>
      <x:c r="F899" s="4"/>
      <x:c r="G899" s="5" t="str">
        <x:f>IF(COUNTA(A899:F899)=0,"",IF(K899&lt;&gt;"","Review",IF(I899&lt;0,"Overdue",IF(I899=0,"Due now",IF(I899&lt;=M899,"Due soon","Not due")))))</x:f>
      </x:c>
      <x:c r="H899" s="5" t="str">
        <x:f>IF(OR(COUNTA(A899:F899)=0,COUNTIFS('Rules'!$G$7:$G$26,"="&amp;(SUBSTITUTE(SUBSTITUTE(SUBSTITUTE(SUBSTITUTE("type:"&amp;B899,"%","%25"),"~","%7E"),"*","%2A"),"?","%3F")))&lt;&gt;1),"",IF(OR(INDEX('Rules'!$B$7:$B$26,MATCH(SUBSTITUTE(SUBSTITUTE(SUBSTITUTE(SUBSTITUTE("type:"&amp;B899,"%","%25"),"~","%7E"),"*","%2A"),"?","%3F"),'Rules'!$G$7:$G$26,0))="hours",INDEX('Rules'!$B$7:$B$26,MATCH(SUBSTITUTE(SUBSTITUTE(SUBSTITUTE(SUBSTITUTE("type:"&amp;B899,"%","%25"),"~","%7E"),"*","%2A"),"?","%3F"),'Rules'!$G$7:$G$26,0))="km"),INDEX('Rules'!$B$7:$B$26,MATCH(SUBSTITUTE(SUBSTITUTE(SUBSTITUTE(SUBSTITUTE("type:"&amp;B899,"%","%25"),"~","%7E"),"*","%2A"),"?","%3F"),'Rules'!$G$7:$G$26,0)),""))</x:f>
      </x:c>
      <x:c r="I899" s="6" t="str">
        <x:f>IF(AND(NOT(COUNTA(A899:F899)=0),K899=""),ROUND(J899-D899,3),"")</x:f>
      </x:c>
      <x:c r="J899" s="6" t="str">
        <x:f>IF(AND(NOT(COUNTA(A899:F899)=0),K899=""),ROUND(F899+L899,3),"")</x:f>
      </x:c>
      <x:c r="K899" s="5" t="str">
        <x:f>IF(COUNTA(A899:F899)=0,"",IF(A899="","Missing equipment ID",IF(COUNTIFS($N$8:$N$2007,"="&amp;N899)&gt;1,"Duplicate equipment ID",IF(B899="","Missing type",IF(COUNTIFS('Rules'!$G$7:$G$26,"="&amp;(SUBSTITUTE(SUBSTITUTE(SUBSTITUTE(SUBSTITUTE("type:"&amp;B899,"%","%25"),"~","%7E"),"*","%2A"),"?","%3F")))=0,"Unknown type",IF(COUNTIFS('Rules'!$G$7:$G$26,"="&amp;(SUBSTITUTE(SUBSTITUTE(SUBSTITUTE(SUBSTITUTE("type:"&amp;B899,"%","%25"),"~","%7E"),"*","%2A"),"?","%3F")))&gt;1,"Duplicate type",IF(INDEX('Rules'!$F$7:$F$26,MATCH(SUBSTITUTE(SUBSTITUTE(SUBSTITUTE(SUBSTITUTE("type:"&amp;B899,"%","%25"),"~","%7E"),"*","%2A"),"?","%3F"),'Rules'!$G$7:$G$26,0))&lt;&gt;"",INDEX('Rules'!$F$7:$F$26,MATCH(SUBSTITUTE(SUBSTITUTE(SUBSTITUTE(SUBSTITUTE("type:"&amp;B899,"%","%25"),"~","%7E"),"*","%2A"),"?","%3F"),'Rules'!$G$7:$G$26,0)),IF(AND(C899&lt;&gt;"",C899&lt;&gt;INDEX('Rules'!$B$7:$B$26,MATCH(SUBSTITUTE(SUBSTITUTE(SUBSTITUTE(SUBSTITUTE("type:"&amp;B899,"%","%25"),"~","%7E"),"*","%2A"),"?","%3F"),'Rules'!$G$7:$G$26,0))),"Unit mismatch",IF(IF(NOT(ISNUMBER(D899)),TRUE,OR(D899&lt;0,D899&gt;999999999,ROUND(D899,3)&lt;&gt;D899)),"Invalid current reading",IF(AND(E899&lt;&gt;"",IF(NOT(ISNUMBER(E899)),TRUE,OR(E899&lt;0,E899&gt;999999999,ROUND(E899,3)&lt;&gt;E899))),"Invalid previous reading",IF(IF(NOT(ISNUMBER(F899)),TRUE,OR(F899&lt;0,F899&gt;999999999,ROUND(F899,3)&lt;&gt;F899)),"Invalid last service",IF(AND(E899&lt;&gt;"",D899&lt;E899),"Decreased reading",IF(F899&gt;D899,"Last service above current","")))))))))))))</x:f>
      </x:c>
      <x:c r="L899" s="6" t="str">
        <x:f>IF(AND(NOT(COUNTA(A899:F899)=0),K899=""),INDEX('Rules'!$C$7:$C$26,MATCH(SUBSTITUTE(SUBSTITUTE(SUBSTITUTE(SUBSTITUTE("type:"&amp;B899,"%","%25"),"~","%7E"),"*","%2A"),"?","%3F"),'Rules'!$G$7:$G$26,0)),"")</x:f>
      </x:c>
      <x:c r="M899" s="6" t="str">
        <x:f>IF(AND(NOT(COUNTA(A899:F899)=0),K899=""),INDEX('Rules'!$D$7:$D$26,MATCH(SUBSTITUTE(SUBSTITUTE(SUBSTITUTE(SUBSTITUTE("type:"&amp;B899,"%","%25"),"~","%7E"),"*","%2A"),"?","%3F"),'Rules'!$G$7:$G$26,0)),"")</x:f>
      </x:c>
      <x:c r="N899" s="5" t="str">
        <x:f>IF(COUNTA(A899:F899)=0,"",SUBSTITUTE(SUBSTITUTE(SUBSTITUTE(SUBSTITUTE("id:"&amp;A899,"%","%25"),"~","%7E"),"*","%2A"),"?","%3F"))</x:f>
      </x:c>
    </x:row>
    <x:row r="900" ht="22" customHeight="1">
      <x:c r="A900" s="3"/>
      <x:c r="B900" s="3"/>
      <x:c r="C900" s="3"/>
      <x:c r="D900" s="4"/>
      <x:c r="E900" s="4"/>
      <x:c r="F900" s="4"/>
      <x:c r="G900" s="5" t="str">
        <x:f>IF(COUNTA(A900:F900)=0,"",IF(K900&lt;&gt;"","Review",IF(I900&lt;0,"Overdue",IF(I900=0,"Due now",IF(I900&lt;=M900,"Due soon","Not due")))))</x:f>
      </x:c>
      <x:c r="H900" s="5" t="str">
        <x:f>IF(OR(COUNTA(A900:F900)=0,COUNTIFS('Rules'!$G$7:$G$26,"="&amp;(SUBSTITUTE(SUBSTITUTE(SUBSTITUTE(SUBSTITUTE("type:"&amp;B900,"%","%25"),"~","%7E"),"*","%2A"),"?","%3F")))&lt;&gt;1),"",IF(OR(INDEX('Rules'!$B$7:$B$26,MATCH(SUBSTITUTE(SUBSTITUTE(SUBSTITUTE(SUBSTITUTE("type:"&amp;B900,"%","%25"),"~","%7E"),"*","%2A"),"?","%3F"),'Rules'!$G$7:$G$26,0))="hours",INDEX('Rules'!$B$7:$B$26,MATCH(SUBSTITUTE(SUBSTITUTE(SUBSTITUTE(SUBSTITUTE("type:"&amp;B900,"%","%25"),"~","%7E"),"*","%2A"),"?","%3F"),'Rules'!$G$7:$G$26,0))="km"),INDEX('Rules'!$B$7:$B$26,MATCH(SUBSTITUTE(SUBSTITUTE(SUBSTITUTE(SUBSTITUTE("type:"&amp;B900,"%","%25"),"~","%7E"),"*","%2A"),"?","%3F"),'Rules'!$G$7:$G$26,0)),""))</x:f>
      </x:c>
      <x:c r="I900" s="6" t="str">
        <x:f>IF(AND(NOT(COUNTA(A900:F900)=0),K900=""),ROUND(J900-D900,3),"")</x:f>
      </x:c>
      <x:c r="J900" s="6" t="str">
        <x:f>IF(AND(NOT(COUNTA(A900:F900)=0),K900=""),ROUND(F900+L900,3),"")</x:f>
      </x:c>
      <x:c r="K900" s="5" t="str">
        <x:f>IF(COUNTA(A900:F900)=0,"",IF(A900="","Missing equipment ID",IF(COUNTIFS($N$8:$N$2007,"="&amp;N900)&gt;1,"Duplicate equipment ID",IF(B900="","Missing type",IF(COUNTIFS('Rules'!$G$7:$G$26,"="&amp;(SUBSTITUTE(SUBSTITUTE(SUBSTITUTE(SUBSTITUTE("type:"&amp;B900,"%","%25"),"~","%7E"),"*","%2A"),"?","%3F")))=0,"Unknown type",IF(COUNTIFS('Rules'!$G$7:$G$26,"="&amp;(SUBSTITUTE(SUBSTITUTE(SUBSTITUTE(SUBSTITUTE("type:"&amp;B900,"%","%25"),"~","%7E"),"*","%2A"),"?","%3F")))&gt;1,"Duplicate type",IF(INDEX('Rules'!$F$7:$F$26,MATCH(SUBSTITUTE(SUBSTITUTE(SUBSTITUTE(SUBSTITUTE("type:"&amp;B900,"%","%25"),"~","%7E"),"*","%2A"),"?","%3F"),'Rules'!$G$7:$G$26,0))&lt;&gt;"",INDEX('Rules'!$F$7:$F$26,MATCH(SUBSTITUTE(SUBSTITUTE(SUBSTITUTE(SUBSTITUTE("type:"&amp;B900,"%","%25"),"~","%7E"),"*","%2A"),"?","%3F"),'Rules'!$G$7:$G$26,0)),IF(AND(C900&lt;&gt;"",C900&lt;&gt;INDEX('Rules'!$B$7:$B$26,MATCH(SUBSTITUTE(SUBSTITUTE(SUBSTITUTE(SUBSTITUTE("type:"&amp;B900,"%","%25"),"~","%7E"),"*","%2A"),"?","%3F"),'Rules'!$G$7:$G$26,0))),"Unit mismatch",IF(IF(NOT(ISNUMBER(D900)),TRUE,OR(D900&lt;0,D900&gt;999999999,ROUND(D900,3)&lt;&gt;D900)),"Invalid current reading",IF(AND(E900&lt;&gt;"",IF(NOT(ISNUMBER(E900)),TRUE,OR(E900&lt;0,E900&gt;999999999,ROUND(E900,3)&lt;&gt;E900))),"Invalid previous reading",IF(IF(NOT(ISNUMBER(F900)),TRUE,OR(F900&lt;0,F900&gt;999999999,ROUND(F900,3)&lt;&gt;F900)),"Invalid last service",IF(AND(E900&lt;&gt;"",D900&lt;E900),"Decreased reading",IF(F900&gt;D900,"Last service above current","")))))))))))))</x:f>
      </x:c>
      <x:c r="L900" s="6" t="str">
        <x:f>IF(AND(NOT(COUNTA(A900:F900)=0),K900=""),INDEX('Rules'!$C$7:$C$26,MATCH(SUBSTITUTE(SUBSTITUTE(SUBSTITUTE(SUBSTITUTE("type:"&amp;B900,"%","%25"),"~","%7E"),"*","%2A"),"?","%3F"),'Rules'!$G$7:$G$26,0)),"")</x:f>
      </x:c>
      <x:c r="M900" s="6" t="str">
        <x:f>IF(AND(NOT(COUNTA(A900:F900)=0),K900=""),INDEX('Rules'!$D$7:$D$26,MATCH(SUBSTITUTE(SUBSTITUTE(SUBSTITUTE(SUBSTITUTE("type:"&amp;B900,"%","%25"),"~","%7E"),"*","%2A"),"?","%3F"),'Rules'!$G$7:$G$26,0)),"")</x:f>
      </x:c>
      <x:c r="N900" s="5" t="str">
        <x:f>IF(COUNTA(A900:F900)=0,"",SUBSTITUTE(SUBSTITUTE(SUBSTITUTE(SUBSTITUTE("id:"&amp;A900,"%","%25"),"~","%7E"),"*","%2A"),"?","%3F"))</x:f>
      </x:c>
    </x:row>
    <x:row r="901" ht="22" customHeight="1">
      <x:c r="A901" s="3"/>
      <x:c r="B901" s="3"/>
      <x:c r="C901" s="3"/>
      <x:c r="D901" s="4"/>
      <x:c r="E901" s="4"/>
      <x:c r="F901" s="4"/>
      <x:c r="G901" s="5" t="str">
        <x:f>IF(COUNTA(A901:F901)=0,"",IF(K901&lt;&gt;"","Review",IF(I901&lt;0,"Overdue",IF(I901=0,"Due now",IF(I901&lt;=M901,"Due soon","Not due")))))</x:f>
      </x:c>
      <x:c r="H901" s="5" t="str">
        <x:f>IF(OR(COUNTA(A901:F901)=0,COUNTIFS('Rules'!$G$7:$G$26,"="&amp;(SUBSTITUTE(SUBSTITUTE(SUBSTITUTE(SUBSTITUTE("type:"&amp;B901,"%","%25"),"~","%7E"),"*","%2A"),"?","%3F")))&lt;&gt;1),"",IF(OR(INDEX('Rules'!$B$7:$B$26,MATCH(SUBSTITUTE(SUBSTITUTE(SUBSTITUTE(SUBSTITUTE("type:"&amp;B901,"%","%25"),"~","%7E"),"*","%2A"),"?","%3F"),'Rules'!$G$7:$G$26,0))="hours",INDEX('Rules'!$B$7:$B$26,MATCH(SUBSTITUTE(SUBSTITUTE(SUBSTITUTE(SUBSTITUTE("type:"&amp;B901,"%","%25"),"~","%7E"),"*","%2A"),"?","%3F"),'Rules'!$G$7:$G$26,0))="km"),INDEX('Rules'!$B$7:$B$26,MATCH(SUBSTITUTE(SUBSTITUTE(SUBSTITUTE(SUBSTITUTE("type:"&amp;B901,"%","%25"),"~","%7E"),"*","%2A"),"?","%3F"),'Rules'!$G$7:$G$26,0)),""))</x:f>
      </x:c>
      <x:c r="I901" s="6" t="str">
        <x:f>IF(AND(NOT(COUNTA(A901:F901)=0),K901=""),ROUND(J901-D901,3),"")</x:f>
      </x:c>
      <x:c r="J901" s="6" t="str">
        <x:f>IF(AND(NOT(COUNTA(A901:F901)=0),K901=""),ROUND(F901+L901,3),"")</x:f>
      </x:c>
      <x:c r="K901" s="5" t="str">
        <x:f>IF(COUNTA(A901:F901)=0,"",IF(A901="","Missing equipment ID",IF(COUNTIFS($N$8:$N$2007,"="&amp;N901)&gt;1,"Duplicate equipment ID",IF(B901="","Missing type",IF(COUNTIFS('Rules'!$G$7:$G$26,"="&amp;(SUBSTITUTE(SUBSTITUTE(SUBSTITUTE(SUBSTITUTE("type:"&amp;B901,"%","%25"),"~","%7E"),"*","%2A"),"?","%3F")))=0,"Unknown type",IF(COUNTIFS('Rules'!$G$7:$G$26,"="&amp;(SUBSTITUTE(SUBSTITUTE(SUBSTITUTE(SUBSTITUTE("type:"&amp;B901,"%","%25"),"~","%7E"),"*","%2A"),"?","%3F")))&gt;1,"Duplicate type",IF(INDEX('Rules'!$F$7:$F$26,MATCH(SUBSTITUTE(SUBSTITUTE(SUBSTITUTE(SUBSTITUTE("type:"&amp;B901,"%","%25"),"~","%7E"),"*","%2A"),"?","%3F"),'Rules'!$G$7:$G$26,0))&lt;&gt;"",INDEX('Rules'!$F$7:$F$26,MATCH(SUBSTITUTE(SUBSTITUTE(SUBSTITUTE(SUBSTITUTE("type:"&amp;B901,"%","%25"),"~","%7E"),"*","%2A"),"?","%3F"),'Rules'!$G$7:$G$26,0)),IF(AND(C901&lt;&gt;"",C901&lt;&gt;INDEX('Rules'!$B$7:$B$26,MATCH(SUBSTITUTE(SUBSTITUTE(SUBSTITUTE(SUBSTITUTE("type:"&amp;B901,"%","%25"),"~","%7E"),"*","%2A"),"?","%3F"),'Rules'!$G$7:$G$26,0))),"Unit mismatch",IF(IF(NOT(ISNUMBER(D901)),TRUE,OR(D901&lt;0,D901&gt;999999999,ROUND(D901,3)&lt;&gt;D901)),"Invalid current reading",IF(AND(E901&lt;&gt;"",IF(NOT(ISNUMBER(E901)),TRUE,OR(E901&lt;0,E901&gt;999999999,ROUND(E901,3)&lt;&gt;E901))),"Invalid previous reading",IF(IF(NOT(ISNUMBER(F901)),TRUE,OR(F901&lt;0,F901&gt;999999999,ROUND(F901,3)&lt;&gt;F901)),"Invalid last service",IF(AND(E901&lt;&gt;"",D901&lt;E901),"Decreased reading",IF(F901&gt;D901,"Last service above current","")))))))))))))</x:f>
      </x:c>
      <x:c r="L901" s="6" t="str">
        <x:f>IF(AND(NOT(COUNTA(A901:F901)=0),K901=""),INDEX('Rules'!$C$7:$C$26,MATCH(SUBSTITUTE(SUBSTITUTE(SUBSTITUTE(SUBSTITUTE("type:"&amp;B901,"%","%25"),"~","%7E"),"*","%2A"),"?","%3F"),'Rules'!$G$7:$G$26,0)),"")</x:f>
      </x:c>
      <x:c r="M901" s="6" t="str">
        <x:f>IF(AND(NOT(COUNTA(A901:F901)=0),K901=""),INDEX('Rules'!$D$7:$D$26,MATCH(SUBSTITUTE(SUBSTITUTE(SUBSTITUTE(SUBSTITUTE("type:"&amp;B901,"%","%25"),"~","%7E"),"*","%2A"),"?","%3F"),'Rules'!$G$7:$G$26,0)),"")</x:f>
      </x:c>
      <x:c r="N901" s="5" t="str">
        <x:f>IF(COUNTA(A901:F901)=0,"",SUBSTITUTE(SUBSTITUTE(SUBSTITUTE(SUBSTITUTE("id:"&amp;A901,"%","%25"),"~","%7E"),"*","%2A"),"?","%3F"))</x:f>
      </x:c>
    </x:row>
    <x:row r="902" ht="22" customHeight="1">
      <x:c r="A902" s="3"/>
      <x:c r="B902" s="3"/>
      <x:c r="C902" s="3"/>
      <x:c r="D902" s="4"/>
      <x:c r="E902" s="4"/>
      <x:c r="F902" s="4"/>
      <x:c r="G902" s="5" t="str">
        <x:f>IF(COUNTA(A902:F902)=0,"",IF(K902&lt;&gt;"","Review",IF(I902&lt;0,"Overdue",IF(I902=0,"Due now",IF(I902&lt;=M902,"Due soon","Not due")))))</x:f>
      </x:c>
      <x:c r="H902" s="5" t="str">
        <x:f>IF(OR(COUNTA(A902:F902)=0,COUNTIFS('Rules'!$G$7:$G$26,"="&amp;(SUBSTITUTE(SUBSTITUTE(SUBSTITUTE(SUBSTITUTE("type:"&amp;B902,"%","%25"),"~","%7E"),"*","%2A"),"?","%3F")))&lt;&gt;1),"",IF(OR(INDEX('Rules'!$B$7:$B$26,MATCH(SUBSTITUTE(SUBSTITUTE(SUBSTITUTE(SUBSTITUTE("type:"&amp;B902,"%","%25"),"~","%7E"),"*","%2A"),"?","%3F"),'Rules'!$G$7:$G$26,0))="hours",INDEX('Rules'!$B$7:$B$26,MATCH(SUBSTITUTE(SUBSTITUTE(SUBSTITUTE(SUBSTITUTE("type:"&amp;B902,"%","%25"),"~","%7E"),"*","%2A"),"?","%3F"),'Rules'!$G$7:$G$26,0))="km"),INDEX('Rules'!$B$7:$B$26,MATCH(SUBSTITUTE(SUBSTITUTE(SUBSTITUTE(SUBSTITUTE("type:"&amp;B902,"%","%25"),"~","%7E"),"*","%2A"),"?","%3F"),'Rules'!$G$7:$G$26,0)),""))</x:f>
      </x:c>
      <x:c r="I902" s="6" t="str">
        <x:f>IF(AND(NOT(COUNTA(A902:F902)=0),K902=""),ROUND(J902-D902,3),"")</x:f>
      </x:c>
      <x:c r="J902" s="6" t="str">
        <x:f>IF(AND(NOT(COUNTA(A902:F902)=0),K902=""),ROUND(F902+L902,3),"")</x:f>
      </x:c>
      <x:c r="K902" s="5" t="str">
        <x:f>IF(COUNTA(A902:F902)=0,"",IF(A902="","Missing equipment ID",IF(COUNTIFS($N$8:$N$2007,"="&amp;N902)&gt;1,"Duplicate equipment ID",IF(B902="","Missing type",IF(COUNTIFS('Rules'!$G$7:$G$26,"="&amp;(SUBSTITUTE(SUBSTITUTE(SUBSTITUTE(SUBSTITUTE("type:"&amp;B902,"%","%25"),"~","%7E"),"*","%2A"),"?","%3F")))=0,"Unknown type",IF(COUNTIFS('Rules'!$G$7:$G$26,"="&amp;(SUBSTITUTE(SUBSTITUTE(SUBSTITUTE(SUBSTITUTE("type:"&amp;B902,"%","%25"),"~","%7E"),"*","%2A"),"?","%3F")))&gt;1,"Duplicate type",IF(INDEX('Rules'!$F$7:$F$26,MATCH(SUBSTITUTE(SUBSTITUTE(SUBSTITUTE(SUBSTITUTE("type:"&amp;B902,"%","%25"),"~","%7E"),"*","%2A"),"?","%3F"),'Rules'!$G$7:$G$26,0))&lt;&gt;"",INDEX('Rules'!$F$7:$F$26,MATCH(SUBSTITUTE(SUBSTITUTE(SUBSTITUTE(SUBSTITUTE("type:"&amp;B902,"%","%25"),"~","%7E"),"*","%2A"),"?","%3F"),'Rules'!$G$7:$G$26,0)),IF(AND(C902&lt;&gt;"",C902&lt;&gt;INDEX('Rules'!$B$7:$B$26,MATCH(SUBSTITUTE(SUBSTITUTE(SUBSTITUTE(SUBSTITUTE("type:"&amp;B902,"%","%25"),"~","%7E"),"*","%2A"),"?","%3F"),'Rules'!$G$7:$G$26,0))),"Unit mismatch",IF(IF(NOT(ISNUMBER(D902)),TRUE,OR(D902&lt;0,D902&gt;999999999,ROUND(D902,3)&lt;&gt;D902)),"Invalid current reading",IF(AND(E902&lt;&gt;"",IF(NOT(ISNUMBER(E902)),TRUE,OR(E902&lt;0,E902&gt;999999999,ROUND(E902,3)&lt;&gt;E902))),"Invalid previous reading",IF(IF(NOT(ISNUMBER(F902)),TRUE,OR(F902&lt;0,F902&gt;999999999,ROUND(F902,3)&lt;&gt;F902)),"Invalid last service",IF(AND(E902&lt;&gt;"",D902&lt;E902),"Decreased reading",IF(F902&gt;D902,"Last service above current","")))))))))))))</x:f>
      </x:c>
      <x:c r="L902" s="6" t="str">
        <x:f>IF(AND(NOT(COUNTA(A902:F902)=0),K902=""),INDEX('Rules'!$C$7:$C$26,MATCH(SUBSTITUTE(SUBSTITUTE(SUBSTITUTE(SUBSTITUTE("type:"&amp;B902,"%","%25"),"~","%7E"),"*","%2A"),"?","%3F"),'Rules'!$G$7:$G$26,0)),"")</x:f>
      </x:c>
      <x:c r="M902" s="6" t="str">
        <x:f>IF(AND(NOT(COUNTA(A902:F902)=0),K902=""),INDEX('Rules'!$D$7:$D$26,MATCH(SUBSTITUTE(SUBSTITUTE(SUBSTITUTE(SUBSTITUTE("type:"&amp;B902,"%","%25"),"~","%7E"),"*","%2A"),"?","%3F"),'Rules'!$G$7:$G$26,0)),"")</x:f>
      </x:c>
      <x:c r="N902" s="5" t="str">
        <x:f>IF(COUNTA(A902:F902)=0,"",SUBSTITUTE(SUBSTITUTE(SUBSTITUTE(SUBSTITUTE("id:"&amp;A902,"%","%25"),"~","%7E"),"*","%2A"),"?","%3F"))</x:f>
      </x:c>
    </x:row>
    <x:row r="903" ht="22" customHeight="1">
      <x:c r="A903" s="3"/>
      <x:c r="B903" s="3"/>
      <x:c r="C903" s="3"/>
      <x:c r="D903" s="4"/>
      <x:c r="E903" s="4"/>
      <x:c r="F903" s="4"/>
      <x:c r="G903" s="5" t="str">
        <x:f>IF(COUNTA(A903:F903)=0,"",IF(K903&lt;&gt;"","Review",IF(I903&lt;0,"Overdue",IF(I903=0,"Due now",IF(I903&lt;=M903,"Due soon","Not due")))))</x:f>
      </x:c>
      <x:c r="H903" s="5" t="str">
        <x:f>IF(OR(COUNTA(A903:F903)=0,COUNTIFS('Rules'!$G$7:$G$26,"="&amp;(SUBSTITUTE(SUBSTITUTE(SUBSTITUTE(SUBSTITUTE("type:"&amp;B903,"%","%25"),"~","%7E"),"*","%2A"),"?","%3F")))&lt;&gt;1),"",IF(OR(INDEX('Rules'!$B$7:$B$26,MATCH(SUBSTITUTE(SUBSTITUTE(SUBSTITUTE(SUBSTITUTE("type:"&amp;B903,"%","%25"),"~","%7E"),"*","%2A"),"?","%3F"),'Rules'!$G$7:$G$26,0))="hours",INDEX('Rules'!$B$7:$B$26,MATCH(SUBSTITUTE(SUBSTITUTE(SUBSTITUTE(SUBSTITUTE("type:"&amp;B903,"%","%25"),"~","%7E"),"*","%2A"),"?","%3F"),'Rules'!$G$7:$G$26,0))="km"),INDEX('Rules'!$B$7:$B$26,MATCH(SUBSTITUTE(SUBSTITUTE(SUBSTITUTE(SUBSTITUTE("type:"&amp;B903,"%","%25"),"~","%7E"),"*","%2A"),"?","%3F"),'Rules'!$G$7:$G$26,0)),""))</x:f>
      </x:c>
      <x:c r="I903" s="6" t="str">
        <x:f>IF(AND(NOT(COUNTA(A903:F903)=0),K903=""),ROUND(J903-D903,3),"")</x:f>
      </x:c>
      <x:c r="J903" s="6" t="str">
        <x:f>IF(AND(NOT(COUNTA(A903:F903)=0),K903=""),ROUND(F903+L903,3),"")</x:f>
      </x:c>
      <x:c r="K903" s="5" t="str">
        <x:f>IF(COUNTA(A903:F903)=0,"",IF(A903="","Missing equipment ID",IF(COUNTIFS($N$8:$N$2007,"="&amp;N903)&gt;1,"Duplicate equipment ID",IF(B903="","Missing type",IF(COUNTIFS('Rules'!$G$7:$G$26,"="&amp;(SUBSTITUTE(SUBSTITUTE(SUBSTITUTE(SUBSTITUTE("type:"&amp;B903,"%","%25"),"~","%7E"),"*","%2A"),"?","%3F")))=0,"Unknown type",IF(COUNTIFS('Rules'!$G$7:$G$26,"="&amp;(SUBSTITUTE(SUBSTITUTE(SUBSTITUTE(SUBSTITUTE("type:"&amp;B903,"%","%25"),"~","%7E"),"*","%2A"),"?","%3F")))&gt;1,"Duplicate type",IF(INDEX('Rules'!$F$7:$F$26,MATCH(SUBSTITUTE(SUBSTITUTE(SUBSTITUTE(SUBSTITUTE("type:"&amp;B903,"%","%25"),"~","%7E"),"*","%2A"),"?","%3F"),'Rules'!$G$7:$G$26,0))&lt;&gt;"",INDEX('Rules'!$F$7:$F$26,MATCH(SUBSTITUTE(SUBSTITUTE(SUBSTITUTE(SUBSTITUTE("type:"&amp;B903,"%","%25"),"~","%7E"),"*","%2A"),"?","%3F"),'Rules'!$G$7:$G$26,0)),IF(AND(C903&lt;&gt;"",C903&lt;&gt;INDEX('Rules'!$B$7:$B$26,MATCH(SUBSTITUTE(SUBSTITUTE(SUBSTITUTE(SUBSTITUTE("type:"&amp;B903,"%","%25"),"~","%7E"),"*","%2A"),"?","%3F"),'Rules'!$G$7:$G$26,0))),"Unit mismatch",IF(IF(NOT(ISNUMBER(D903)),TRUE,OR(D903&lt;0,D903&gt;999999999,ROUND(D903,3)&lt;&gt;D903)),"Invalid current reading",IF(AND(E903&lt;&gt;"",IF(NOT(ISNUMBER(E903)),TRUE,OR(E903&lt;0,E903&gt;999999999,ROUND(E903,3)&lt;&gt;E903))),"Invalid previous reading",IF(IF(NOT(ISNUMBER(F903)),TRUE,OR(F903&lt;0,F903&gt;999999999,ROUND(F903,3)&lt;&gt;F903)),"Invalid last service",IF(AND(E903&lt;&gt;"",D903&lt;E903),"Decreased reading",IF(F903&gt;D903,"Last service above current","")))))))))))))</x:f>
      </x:c>
      <x:c r="L903" s="6" t="str">
        <x:f>IF(AND(NOT(COUNTA(A903:F903)=0),K903=""),INDEX('Rules'!$C$7:$C$26,MATCH(SUBSTITUTE(SUBSTITUTE(SUBSTITUTE(SUBSTITUTE("type:"&amp;B903,"%","%25"),"~","%7E"),"*","%2A"),"?","%3F"),'Rules'!$G$7:$G$26,0)),"")</x:f>
      </x:c>
      <x:c r="M903" s="6" t="str">
        <x:f>IF(AND(NOT(COUNTA(A903:F903)=0),K903=""),INDEX('Rules'!$D$7:$D$26,MATCH(SUBSTITUTE(SUBSTITUTE(SUBSTITUTE(SUBSTITUTE("type:"&amp;B903,"%","%25"),"~","%7E"),"*","%2A"),"?","%3F"),'Rules'!$G$7:$G$26,0)),"")</x:f>
      </x:c>
      <x:c r="N903" s="5" t="str">
        <x:f>IF(COUNTA(A903:F903)=0,"",SUBSTITUTE(SUBSTITUTE(SUBSTITUTE(SUBSTITUTE("id:"&amp;A903,"%","%25"),"~","%7E"),"*","%2A"),"?","%3F"))</x:f>
      </x:c>
    </x:row>
    <x:row r="904" ht="22" customHeight="1">
      <x:c r="A904" s="3"/>
      <x:c r="B904" s="3"/>
      <x:c r="C904" s="3"/>
      <x:c r="D904" s="4"/>
      <x:c r="E904" s="4"/>
      <x:c r="F904" s="4"/>
      <x:c r="G904" s="5" t="str">
        <x:f>IF(COUNTA(A904:F904)=0,"",IF(K904&lt;&gt;"","Review",IF(I904&lt;0,"Overdue",IF(I904=0,"Due now",IF(I904&lt;=M904,"Due soon","Not due")))))</x:f>
      </x:c>
      <x:c r="H904" s="5" t="str">
        <x:f>IF(OR(COUNTA(A904:F904)=0,COUNTIFS('Rules'!$G$7:$G$26,"="&amp;(SUBSTITUTE(SUBSTITUTE(SUBSTITUTE(SUBSTITUTE("type:"&amp;B904,"%","%25"),"~","%7E"),"*","%2A"),"?","%3F")))&lt;&gt;1),"",IF(OR(INDEX('Rules'!$B$7:$B$26,MATCH(SUBSTITUTE(SUBSTITUTE(SUBSTITUTE(SUBSTITUTE("type:"&amp;B904,"%","%25"),"~","%7E"),"*","%2A"),"?","%3F"),'Rules'!$G$7:$G$26,0))="hours",INDEX('Rules'!$B$7:$B$26,MATCH(SUBSTITUTE(SUBSTITUTE(SUBSTITUTE(SUBSTITUTE("type:"&amp;B904,"%","%25"),"~","%7E"),"*","%2A"),"?","%3F"),'Rules'!$G$7:$G$26,0))="km"),INDEX('Rules'!$B$7:$B$26,MATCH(SUBSTITUTE(SUBSTITUTE(SUBSTITUTE(SUBSTITUTE("type:"&amp;B904,"%","%25"),"~","%7E"),"*","%2A"),"?","%3F"),'Rules'!$G$7:$G$26,0)),""))</x:f>
      </x:c>
      <x:c r="I904" s="6" t="str">
        <x:f>IF(AND(NOT(COUNTA(A904:F904)=0),K904=""),ROUND(J904-D904,3),"")</x:f>
      </x:c>
      <x:c r="J904" s="6" t="str">
        <x:f>IF(AND(NOT(COUNTA(A904:F904)=0),K904=""),ROUND(F904+L904,3),"")</x:f>
      </x:c>
      <x:c r="K904" s="5" t="str">
        <x:f>IF(COUNTA(A904:F904)=0,"",IF(A904="","Missing equipment ID",IF(COUNTIFS($N$8:$N$2007,"="&amp;N904)&gt;1,"Duplicate equipment ID",IF(B904="","Missing type",IF(COUNTIFS('Rules'!$G$7:$G$26,"="&amp;(SUBSTITUTE(SUBSTITUTE(SUBSTITUTE(SUBSTITUTE("type:"&amp;B904,"%","%25"),"~","%7E"),"*","%2A"),"?","%3F")))=0,"Unknown type",IF(COUNTIFS('Rules'!$G$7:$G$26,"="&amp;(SUBSTITUTE(SUBSTITUTE(SUBSTITUTE(SUBSTITUTE("type:"&amp;B904,"%","%25"),"~","%7E"),"*","%2A"),"?","%3F")))&gt;1,"Duplicate type",IF(INDEX('Rules'!$F$7:$F$26,MATCH(SUBSTITUTE(SUBSTITUTE(SUBSTITUTE(SUBSTITUTE("type:"&amp;B904,"%","%25"),"~","%7E"),"*","%2A"),"?","%3F"),'Rules'!$G$7:$G$26,0))&lt;&gt;"",INDEX('Rules'!$F$7:$F$26,MATCH(SUBSTITUTE(SUBSTITUTE(SUBSTITUTE(SUBSTITUTE("type:"&amp;B904,"%","%25"),"~","%7E"),"*","%2A"),"?","%3F"),'Rules'!$G$7:$G$26,0)),IF(AND(C904&lt;&gt;"",C904&lt;&gt;INDEX('Rules'!$B$7:$B$26,MATCH(SUBSTITUTE(SUBSTITUTE(SUBSTITUTE(SUBSTITUTE("type:"&amp;B904,"%","%25"),"~","%7E"),"*","%2A"),"?","%3F"),'Rules'!$G$7:$G$26,0))),"Unit mismatch",IF(IF(NOT(ISNUMBER(D904)),TRUE,OR(D904&lt;0,D904&gt;999999999,ROUND(D904,3)&lt;&gt;D904)),"Invalid current reading",IF(AND(E904&lt;&gt;"",IF(NOT(ISNUMBER(E904)),TRUE,OR(E904&lt;0,E904&gt;999999999,ROUND(E904,3)&lt;&gt;E904))),"Invalid previous reading",IF(IF(NOT(ISNUMBER(F904)),TRUE,OR(F904&lt;0,F904&gt;999999999,ROUND(F904,3)&lt;&gt;F904)),"Invalid last service",IF(AND(E904&lt;&gt;"",D904&lt;E904),"Decreased reading",IF(F904&gt;D904,"Last service above current","")))))))))))))</x:f>
      </x:c>
      <x:c r="L904" s="6" t="str">
        <x:f>IF(AND(NOT(COUNTA(A904:F904)=0),K904=""),INDEX('Rules'!$C$7:$C$26,MATCH(SUBSTITUTE(SUBSTITUTE(SUBSTITUTE(SUBSTITUTE("type:"&amp;B904,"%","%25"),"~","%7E"),"*","%2A"),"?","%3F"),'Rules'!$G$7:$G$26,0)),"")</x:f>
      </x:c>
      <x:c r="M904" s="6" t="str">
        <x:f>IF(AND(NOT(COUNTA(A904:F904)=0),K904=""),INDEX('Rules'!$D$7:$D$26,MATCH(SUBSTITUTE(SUBSTITUTE(SUBSTITUTE(SUBSTITUTE("type:"&amp;B904,"%","%25"),"~","%7E"),"*","%2A"),"?","%3F"),'Rules'!$G$7:$G$26,0)),"")</x:f>
      </x:c>
      <x:c r="N904" s="5" t="str">
        <x:f>IF(COUNTA(A904:F904)=0,"",SUBSTITUTE(SUBSTITUTE(SUBSTITUTE(SUBSTITUTE("id:"&amp;A904,"%","%25"),"~","%7E"),"*","%2A"),"?","%3F"))</x:f>
      </x:c>
    </x:row>
    <x:row r="905" ht="22" customHeight="1">
      <x:c r="A905" s="3"/>
      <x:c r="B905" s="3"/>
      <x:c r="C905" s="3"/>
      <x:c r="D905" s="4"/>
      <x:c r="E905" s="4"/>
      <x:c r="F905" s="4"/>
      <x:c r="G905" s="5" t="str">
        <x:f>IF(COUNTA(A905:F905)=0,"",IF(K905&lt;&gt;"","Review",IF(I905&lt;0,"Overdue",IF(I905=0,"Due now",IF(I905&lt;=M905,"Due soon","Not due")))))</x:f>
      </x:c>
      <x:c r="H905" s="5" t="str">
        <x:f>IF(OR(COUNTA(A905:F905)=0,COUNTIFS('Rules'!$G$7:$G$26,"="&amp;(SUBSTITUTE(SUBSTITUTE(SUBSTITUTE(SUBSTITUTE("type:"&amp;B905,"%","%25"),"~","%7E"),"*","%2A"),"?","%3F")))&lt;&gt;1),"",IF(OR(INDEX('Rules'!$B$7:$B$26,MATCH(SUBSTITUTE(SUBSTITUTE(SUBSTITUTE(SUBSTITUTE("type:"&amp;B905,"%","%25"),"~","%7E"),"*","%2A"),"?","%3F"),'Rules'!$G$7:$G$26,0))="hours",INDEX('Rules'!$B$7:$B$26,MATCH(SUBSTITUTE(SUBSTITUTE(SUBSTITUTE(SUBSTITUTE("type:"&amp;B905,"%","%25"),"~","%7E"),"*","%2A"),"?","%3F"),'Rules'!$G$7:$G$26,0))="km"),INDEX('Rules'!$B$7:$B$26,MATCH(SUBSTITUTE(SUBSTITUTE(SUBSTITUTE(SUBSTITUTE("type:"&amp;B905,"%","%25"),"~","%7E"),"*","%2A"),"?","%3F"),'Rules'!$G$7:$G$26,0)),""))</x:f>
      </x:c>
      <x:c r="I905" s="6" t="str">
        <x:f>IF(AND(NOT(COUNTA(A905:F905)=0),K905=""),ROUND(J905-D905,3),"")</x:f>
      </x:c>
      <x:c r="J905" s="6" t="str">
        <x:f>IF(AND(NOT(COUNTA(A905:F905)=0),K905=""),ROUND(F905+L905,3),"")</x:f>
      </x:c>
      <x:c r="K905" s="5" t="str">
        <x:f>IF(COUNTA(A905:F905)=0,"",IF(A905="","Missing equipment ID",IF(COUNTIFS($N$8:$N$2007,"="&amp;N905)&gt;1,"Duplicate equipment ID",IF(B905="","Missing type",IF(COUNTIFS('Rules'!$G$7:$G$26,"="&amp;(SUBSTITUTE(SUBSTITUTE(SUBSTITUTE(SUBSTITUTE("type:"&amp;B905,"%","%25"),"~","%7E"),"*","%2A"),"?","%3F")))=0,"Unknown type",IF(COUNTIFS('Rules'!$G$7:$G$26,"="&amp;(SUBSTITUTE(SUBSTITUTE(SUBSTITUTE(SUBSTITUTE("type:"&amp;B905,"%","%25"),"~","%7E"),"*","%2A"),"?","%3F")))&gt;1,"Duplicate type",IF(INDEX('Rules'!$F$7:$F$26,MATCH(SUBSTITUTE(SUBSTITUTE(SUBSTITUTE(SUBSTITUTE("type:"&amp;B905,"%","%25"),"~","%7E"),"*","%2A"),"?","%3F"),'Rules'!$G$7:$G$26,0))&lt;&gt;"",INDEX('Rules'!$F$7:$F$26,MATCH(SUBSTITUTE(SUBSTITUTE(SUBSTITUTE(SUBSTITUTE("type:"&amp;B905,"%","%25"),"~","%7E"),"*","%2A"),"?","%3F"),'Rules'!$G$7:$G$26,0)),IF(AND(C905&lt;&gt;"",C905&lt;&gt;INDEX('Rules'!$B$7:$B$26,MATCH(SUBSTITUTE(SUBSTITUTE(SUBSTITUTE(SUBSTITUTE("type:"&amp;B905,"%","%25"),"~","%7E"),"*","%2A"),"?","%3F"),'Rules'!$G$7:$G$26,0))),"Unit mismatch",IF(IF(NOT(ISNUMBER(D905)),TRUE,OR(D905&lt;0,D905&gt;999999999,ROUND(D905,3)&lt;&gt;D905)),"Invalid current reading",IF(AND(E905&lt;&gt;"",IF(NOT(ISNUMBER(E905)),TRUE,OR(E905&lt;0,E905&gt;999999999,ROUND(E905,3)&lt;&gt;E905))),"Invalid previous reading",IF(IF(NOT(ISNUMBER(F905)),TRUE,OR(F905&lt;0,F905&gt;999999999,ROUND(F905,3)&lt;&gt;F905)),"Invalid last service",IF(AND(E905&lt;&gt;"",D905&lt;E905),"Decreased reading",IF(F905&gt;D905,"Last service above current","")))))))))))))</x:f>
      </x:c>
      <x:c r="L905" s="6" t="str">
        <x:f>IF(AND(NOT(COUNTA(A905:F905)=0),K905=""),INDEX('Rules'!$C$7:$C$26,MATCH(SUBSTITUTE(SUBSTITUTE(SUBSTITUTE(SUBSTITUTE("type:"&amp;B905,"%","%25"),"~","%7E"),"*","%2A"),"?","%3F"),'Rules'!$G$7:$G$26,0)),"")</x:f>
      </x:c>
      <x:c r="M905" s="6" t="str">
        <x:f>IF(AND(NOT(COUNTA(A905:F905)=0),K905=""),INDEX('Rules'!$D$7:$D$26,MATCH(SUBSTITUTE(SUBSTITUTE(SUBSTITUTE(SUBSTITUTE("type:"&amp;B905,"%","%25"),"~","%7E"),"*","%2A"),"?","%3F"),'Rules'!$G$7:$G$26,0)),"")</x:f>
      </x:c>
      <x:c r="N905" s="5" t="str">
        <x:f>IF(COUNTA(A905:F905)=0,"",SUBSTITUTE(SUBSTITUTE(SUBSTITUTE(SUBSTITUTE("id:"&amp;A905,"%","%25"),"~","%7E"),"*","%2A"),"?","%3F"))</x:f>
      </x:c>
    </x:row>
    <x:row r="906" ht="22" customHeight="1">
      <x:c r="A906" s="3"/>
      <x:c r="B906" s="3"/>
      <x:c r="C906" s="3"/>
      <x:c r="D906" s="4"/>
      <x:c r="E906" s="4"/>
      <x:c r="F906" s="4"/>
      <x:c r="G906" s="5" t="str">
        <x:f>IF(COUNTA(A906:F906)=0,"",IF(K906&lt;&gt;"","Review",IF(I906&lt;0,"Overdue",IF(I906=0,"Due now",IF(I906&lt;=M906,"Due soon","Not due")))))</x:f>
      </x:c>
      <x:c r="H906" s="5" t="str">
        <x:f>IF(OR(COUNTA(A906:F906)=0,COUNTIFS('Rules'!$G$7:$G$26,"="&amp;(SUBSTITUTE(SUBSTITUTE(SUBSTITUTE(SUBSTITUTE("type:"&amp;B906,"%","%25"),"~","%7E"),"*","%2A"),"?","%3F")))&lt;&gt;1),"",IF(OR(INDEX('Rules'!$B$7:$B$26,MATCH(SUBSTITUTE(SUBSTITUTE(SUBSTITUTE(SUBSTITUTE("type:"&amp;B906,"%","%25"),"~","%7E"),"*","%2A"),"?","%3F"),'Rules'!$G$7:$G$26,0))="hours",INDEX('Rules'!$B$7:$B$26,MATCH(SUBSTITUTE(SUBSTITUTE(SUBSTITUTE(SUBSTITUTE("type:"&amp;B906,"%","%25"),"~","%7E"),"*","%2A"),"?","%3F"),'Rules'!$G$7:$G$26,0))="km"),INDEX('Rules'!$B$7:$B$26,MATCH(SUBSTITUTE(SUBSTITUTE(SUBSTITUTE(SUBSTITUTE("type:"&amp;B906,"%","%25"),"~","%7E"),"*","%2A"),"?","%3F"),'Rules'!$G$7:$G$26,0)),""))</x:f>
      </x:c>
      <x:c r="I906" s="6" t="str">
        <x:f>IF(AND(NOT(COUNTA(A906:F906)=0),K906=""),ROUND(J906-D906,3),"")</x:f>
      </x:c>
      <x:c r="J906" s="6" t="str">
        <x:f>IF(AND(NOT(COUNTA(A906:F906)=0),K906=""),ROUND(F906+L906,3),"")</x:f>
      </x:c>
      <x:c r="K906" s="5" t="str">
        <x:f>IF(COUNTA(A906:F906)=0,"",IF(A906="","Missing equipment ID",IF(COUNTIFS($N$8:$N$2007,"="&amp;N906)&gt;1,"Duplicate equipment ID",IF(B906="","Missing type",IF(COUNTIFS('Rules'!$G$7:$G$26,"="&amp;(SUBSTITUTE(SUBSTITUTE(SUBSTITUTE(SUBSTITUTE("type:"&amp;B906,"%","%25"),"~","%7E"),"*","%2A"),"?","%3F")))=0,"Unknown type",IF(COUNTIFS('Rules'!$G$7:$G$26,"="&amp;(SUBSTITUTE(SUBSTITUTE(SUBSTITUTE(SUBSTITUTE("type:"&amp;B906,"%","%25"),"~","%7E"),"*","%2A"),"?","%3F")))&gt;1,"Duplicate type",IF(INDEX('Rules'!$F$7:$F$26,MATCH(SUBSTITUTE(SUBSTITUTE(SUBSTITUTE(SUBSTITUTE("type:"&amp;B906,"%","%25"),"~","%7E"),"*","%2A"),"?","%3F"),'Rules'!$G$7:$G$26,0))&lt;&gt;"",INDEX('Rules'!$F$7:$F$26,MATCH(SUBSTITUTE(SUBSTITUTE(SUBSTITUTE(SUBSTITUTE("type:"&amp;B906,"%","%25"),"~","%7E"),"*","%2A"),"?","%3F"),'Rules'!$G$7:$G$26,0)),IF(AND(C906&lt;&gt;"",C906&lt;&gt;INDEX('Rules'!$B$7:$B$26,MATCH(SUBSTITUTE(SUBSTITUTE(SUBSTITUTE(SUBSTITUTE("type:"&amp;B906,"%","%25"),"~","%7E"),"*","%2A"),"?","%3F"),'Rules'!$G$7:$G$26,0))),"Unit mismatch",IF(IF(NOT(ISNUMBER(D906)),TRUE,OR(D906&lt;0,D906&gt;999999999,ROUND(D906,3)&lt;&gt;D906)),"Invalid current reading",IF(AND(E906&lt;&gt;"",IF(NOT(ISNUMBER(E906)),TRUE,OR(E906&lt;0,E906&gt;999999999,ROUND(E906,3)&lt;&gt;E906))),"Invalid previous reading",IF(IF(NOT(ISNUMBER(F906)),TRUE,OR(F906&lt;0,F906&gt;999999999,ROUND(F906,3)&lt;&gt;F906)),"Invalid last service",IF(AND(E906&lt;&gt;"",D906&lt;E906),"Decreased reading",IF(F906&gt;D906,"Last service above current","")))))))))))))</x:f>
      </x:c>
      <x:c r="L906" s="6" t="str">
        <x:f>IF(AND(NOT(COUNTA(A906:F906)=0),K906=""),INDEX('Rules'!$C$7:$C$26,MATCH(SUBSTITUTE(SUBSTITUTE(SUBSTITUTE(SUBSTITUTE("type:"&amp;B906,"%","%25"),"~","%7E"),"*","%2A"),"?","%3F"),'Rules'!$G$7:$G$26,0)),"")</x:f>
      </x:c>
      <x:c r="M906" s="6" t="str">
        <x:f>IF(AND(NOT(COUNTA(A906:F906)=0),K906=""),INDEX('Rules'!$D$7:$D$26,MATCH(SUBSTITUTE(SUBSTITUTE(SUBSTITUTE(SUBSTITUTE("type:"&amp;B906,"%","%25"),"~","%7E"),"*","%2A"),"?","%3F"),'Rules'!$G$7:$G$26,0)),"")</x:f>
      </x:c>
      <x:c r="N906" s="5" t="str">
        <x:f>IF(COUNTA(A906:F906)=0,"",SUBSTITUTE(SUBSTITUTE(SUBSTITUTE(SUBSTITUTE("id:"&amp;A906,"%","%25"),"~","%7E"),"*","%2A"),"?","%3F"))</x:f>
      </x:c>
    </x:row>
    <x:row r="907" ht="22" customHeight="1">
      <x:c r="A907" s="3"/>
      <x:c r="B907" s="3"/>
      <x:c r="C907" s="3"/>
      <x:c r="D907" s="4"/>
      <x:c r="E907" s="4"/>
      <x:c r="F907" s="4"/>
      <x:c r="G907" s="5" t="str">
        <x:f>IF(COUNTA(A907:F907)=0,"",IF(K907&lt;&gt;"","Review",IF(I907&lt;0,"Overdue",IF(I907=0,"Due now",IF(I907&lt;=M907,"Due soon","Not due")))))</x:f>
      </x:c>
      <x:c r="H907" s="5" t="str">
        <x:f>IF(OR(COUNTA(A907:F907)=0,COUNTIFS('Rules'!$G$7:$G$26,"="&amp;(SUBSTITUTE(SUBSTITUTE(SUBSTITUTE(SUBSTITUTE("type:"&amp;B907,"%","%25"),"~","%7E"),"*","%2A"),"?","%3F")))&lt;&gt;1),"",IF(OR(INDEX('Rules'!$B$7:$B$26,MATCH(SUBSTITUTE(SUBSTITUTE(SUBSTITUTE(SUBSTITUTE("type:"&amp;B907,"%","%25"),"~","%7E"),"*","%2A"),"?","%3F"),'Rules'!$G$7:$G$26,0))="hours",INDEX('Rules'!$B$7:$B$26,MATCH(SUBSTITUTE(SUBSTITUTE(SUBSTITUTE(SUBSTITUTE("type:"&amp;B907,"%","%25"),"~","%7E"),"*","%2A"),"?","%3F"),'Rules'!$G$7:$G$26,0))="km"),INDEX('Rules'!$B$7:$B$26,MATCH(SUBSTITUTE(SUBSTITUTE(SUBSTITUTE(SUBSTITUTE("type:"&amp;B907,"%","%25"),"~","%7E"),"*","%2A"),"?","%3F"),'Rules'!$G$7:$G$26,0)),""))</x:f>
      </x:c>
      <x:c r="I907" s="6" t="str">
        <x:f>IF(AND(NOT(COUNTA(A907:F907)=0),K907=""),ROUND(J907-D907,3),"")</x:f>
      </x:c>
      <x:c r="J907" s="6" t="str">
        <x:f>IF(AND(NOT(COUNTA(A907:F907)=0),K907=""),ROUND(F907+L907,3),"")</x:f>
      </x:c>
      <x:c r="K907" s="5" t="str">
        <x:f>IF(COUNTA(A907:F907)=0,"",IF(A907="","Missing equipment ID",IF(COUNTIFS($N$8:$N$2007,"="&amp;N907)&gt;1,"Duplicate equipment ID",IF(B907="","Missing type",IF(COUNTIFS('Rules'!$G$7:$G$26,"="&amp;(SUBSTITUTE(SUBSTITUTE(SUBSTITUTE(SUBSTITUTE("type:"&amp;B907,"%","%25"),"~","%7E"),"*","%2A"),"?","%3F")))=0,"Unknown type",IF(COUNTIFS('Rules'!$G$7:$G$26,"="&amp;(SUBSTITUTE(SUBSTITUTE(SUBSTITUTE(SUBSTITUTE("type:"&amp;B907,"%","%25"),"~","%7E"),"*","%2A"),"?","%3F")))&gt;1,"Duplicate type",IF(INDEX('Rules'!$F$7:$F$26,MATCH(SUBSTITUTE(SUBSTITUTE(SUBSTITUTE(SUBSTITUTE("type:"&amp;B907,"%","%25"),"~","%7E"),"*","%2A"),"?","%3F"),'Rules'!$G$7:$G$26,0))&lt;&gt;"",INDEX('Rules'!$F$7:$F$26,MATCH(SUBSTITUTE(SUBSTITUTE(SUBSTITUTE(SUBSTITUTE("type:"&amp;B907,"%","%25"),"~","%7E"),"*","%2A"),"?","%3F"),'Rules'!$G$7:$G$26,0)),IF(AND(C907&lt;&gt;"",C907&lt;&gt;INDEX('Rules'!$B$7:$B$26,MATCH(SUBSTITUTE(SUBSTITUTE(SUBSTITUTE(SUBSTITUTE("type:"&amp;B907,"%","%25"),"~","%7E"),"*","%2A"),"?","%3F"),'Rules'!$G$7:$G$26,0))),"Unit mismatch",IF(IF(NOT(ISNUMBER(D907)),TRUE,OR(D907&lt;0,D907&gt;999999999,ROUND(D907,3)&lt;&gt;D907)),"Invalid current reading",IF(AND(E907&lt;&gt;"",IF(NOT(ISNUMBER(E907)),TRUE,OR(E907&lt;0,E907&gt;999999999,ROUND(E907,3)&lt;&gt;E907))),"Invalid previous reading",IF(IF(NOT(ISNUMBER(F907)),TRUE,OR(F907&lt;0,F907&gt;999999999,ROUND(F907,3)&lt;&gt;F907)),"Invalid last service",IF(AND(E907&lt;&gt;"",D907&lt;E907),"Decreased reading",IF(F907&gt;D907,"Last service above current","")))))))))))))</x:f>
      </x:c>
      <x:c r="L907" s="6" t="str">
        <x:f>IF(AND(NOT(COUNTA(A907:F907)=0),K907=""),INDEX('Rules'!$C$7:$C$26,MATCH(SUBSTITUTE(SUBSTITUTE(SUBSTITUTE(SUBSTITUTE("type:"&amp;B907,"%","%25"),"~","%7E"),"*","%2A"),"?","%3F"),'Rules'!$G$7:$G$26,0)),"")</x:f>
      </x:c>
      <x:c r="M907" s="6" t="str">
        <x:f>IF(AND(NOT(COUNTA(A907:F907)=0),K907=""),INDEX('Rules'!$D$7:$D$26,MATCH(SUBSTITUTE(SUBSTITUTE(SUBSTITUTE(SUBSTITUTE("type:"&amp;B907,"%","%25"),"~","%7E"),"*","%2A"),"?","%3F"),'Rules'!$G$7:$G$26,0)),"")</x:f>
      </x:c>
      <x:c r="N907" s="5" t="str">
        <x:f>IF(COUNTA(A907:F907)=0,"",SUBSTITUTE(SUBSTITUTE(SUBSTITUTE(SUBSTITUTE("id:"&amp;A907,"%","%25"),"~","%7E"),"*","%2A"),"?","%3F"))</x:f>
      </x:c>
    </x:row>
    <x:row r="908" ht="22" customHeight="1">
      <x:c r="A908" s="3"/>
      <x:c r="B908" s="3"/>
      <x:c r="C908" s="3"/>
      <x:c r="D908" s="4"/>
      <x:c r="E908" s="4"/>
      <x:c r="F908" s="4"/>
      <x:c r="G908" s="5" t="str">
        <x:f>IF(COUNTA(A908:F908)=0,"",IF(K908&lt;&gt;"","Review",IF(I908&lt;0,"Overdue",IF(I908=0,"Due now",IF(I908&lt;=M908,"Due soon","Not due")))))</x:f>
      </x:c>
      <x:c r="H908" s="5" t="str">
        <x:f>IF(OR(COUNTA(A908:F908)=0,COUNTIFS('Rules'!$G$7:$G$26,"="&amp;(SUBSTITUTE(SUBSTITUTE(SUBSTITUTE(SUBSTITUTE("type:"&amp;B908,"%","%25"),"~","%7E"),"*","%2A"),"?","%3F")))&lt;&gt;1),"",IF(OR(INDEX('Rules'!$B$7:$B$26,MATCH(SUBSTITUTE(SUBSTITUTE(SUBSTITUTE(SUBSTITUTE("type:"&amp;B908,"%","%25"),"~","%7E"),"*","%2A"),"?","%3F"),'Rules'!$G$7:$G$26,0))="hours",INDEX('Rules'!$B$7:$B$26,MATCH(SUBSTITUTE(SUBSTITUTE(SUBSTITUTE(SUBSTITUTE("type:"&amp;B908,"%","%25"),"~","%7E"),"*","%2A"),"?","%3F"),'Rules'!$G$7:$G$26,0))="km"),INDEX('Rules'!$B$7:$B$26,MATCH(SUBSTITUTE(SUBSTITUTE(SUBSTITUTE(SUBSTITUTE("type:"&amp;B908,"%","%25"),"~","%7E"),"*","%2A"),"?","%3F"),'Rules'!$G$7:$G$26,0)),""))</x:f>
      </x:c>
      <x:c r="I908" s="6" t="str">
        <x:f>IF(AND(NOT(COUNTA(A908:F908)=0),K908=""),ROUND(J908-D908,3),"")</x:f>
      </x:c>
      <x:c r="J908" s="6" t="str">
        <x:f>IF(AND(NOT(COUNTA(A908:F908)=0),K908=""),ROUND(F908+L908,3),"")</x:f>
      </x:c>
      <x:c r="K908" s="5" t="str">
        <x:f>IF(COUNTA(A908:F908)=0,"",IF(A908="","Missing equipment ID",IF(COUNTIFS($N$8:$N$2007,"="&amp;N908)&gt;1,"Duplicate equipment ID",IF(B908="","Missing type",IF(COUNTIFS('Rules'!$G$7:$G$26,"="&amp;(SUBSTITUTE(SUBSTITUTE(SUBSTITUTE(SUBSTITUTE("type:"&amp;B908,"%","%25"),"~","%7E"),"*","%2A"),"?","%3F")))=0,"Unknown type",IF(COUNTIFS('Rules'!$G$7:$G$26,"="&amp;(SUBSTITUTE(SUBSTITUTE(SUBSTITUTE(SUBSTITUTE("type:"&amp;B908,"%","%25"),"~","%7E"),"*","%2A"),"?","%3F")))&gt;1,"Duplicate type",IF(INDEX('Rules'!$F$7:$F$26,MATCH(SUBSTITUTE(SUBSTITUTE(SUBSTITUTE(SUBSTITUTE("type:"&amp;B908,"%","%25"),"~","%7E"),"*","%2A"),"?","%3F"),'Rules'!$G$7:$G$26,0))&lt;&gt;"",INDEX('Rules'!$F$7:$F$26,MATCH(SUBSTITUTE(SUBSTITUTE(SUBSTITUTE(SUBSTITUTE("type:"&amp;B908,"%","%25"),"~","%7E"),"*","%2A"),"?","%3F"),'Rules'!$G$7:$G$26,0)),IF(AND(C908&lt;&gt;"",C908&lt;&gt;INDEX('Rules'!$B$7:$B$26,MATCH(SUBSTITUTE(SUBSTITUTE(SUBSTITUTE(SUBSTITUTE("type:"&amp;B908,"%","%25"),"~","%7E"),"*","%2A"),"?","%3F"),'Rules'!$G$7:$G$26,0))),"Unit mismatch",IF(IF(NOT(ISNUMBER(D908)),TRUE,OR(D908&lt;0,D908&gt;999999999,ROUND(D908,3)&lt;&gt;D908)),"Invalid current reading",IF(AND(E908&lt;&gt;"",IF(NOT(ISNUMBER(E908)),TRUE,OR(E908&lt;0,E908&gt;999999999,ROUND(E908,3)&lt;&gt;E908))),"Invalid previous reading",IF(IF(NOT(ISNUMBER(F908)),TRUE,OR(F908&lt;0,F908&gt;999999999,ROUND(F908,3)&lt;&gt;F908)),"Invalid last service",IF(AND(E908&lt;&gt;"",D908&lt;E908),"Decreased reading",IF(F908&gt;D908,"Last service above current","")))))))))))))</x:f>
      </x:c>
      <x:c r="L908" s="6" t="str">
        <x:f>IF(AND(NOT(COUNTA(A908:F908)=0),K908=""),INDEX('Rules'!$C$7:$C$26,MATCH(SUBSTITUTE(SUBSTITUTE(SUBSTITUTE(SUBSTITUTE("type:"&amp;B908,"%","%25"),"~","%7E"),"*","%2A"),"?","%3F"),'Rules'!$G$7:$G$26,0)),"")</x:f>
      </x:c>
      <x:c r="M908" s="6" t="str">
        <x:f>IF(AND(NOT(COUNTA(A908:F908)=0),K908=""),INDEX('Rules'!$D$7:$D$26,MATCH(SUBSTITUTE(SUBSTITUTE(SUBSTITUTE(SUBSTITUTE("type:"&amp;B908,"%","%25"),"~","%7E"),"*","%2A"),"?","%3F"),'Rules'!$G$7:$G$26,0)),"")</x:f>
      </x:c>
      <x:c r="N908" s="5" t="str">
        <x:f>IF(COUNTA(A908:F908)=0,"",SUBSTITUTE(SUBSTITUTE(SUBSTITUTE(SUBSTITUTE("id:"&amp;A908,"%","%25"),"~","%7E"),"*","%2A"),"?","%3F"))</x:f>
      </x:c>
    </x:row>
    <x:row r="909" ht="22" customHeight="1">
      <x:c r="A909" s="3"/>
      <x:c r="B909" s="3"/>
      <x:c r="C909" s="3"/>
      <x:c r="D909" s="4"/>
      <x:c r="E909" s="4"/>
      <x:c r="F909" s="4"/>
      <x:c r="G909" s="5" t="str">
        <x:f>IF(COUNTA(A909:F909)=0,"",IF(K909&lt;&gt;"","Review",IF(I909&lt;0,"Overdue",IF(I909=0,"Due now",IF(I909&lt;=M909,"Due soon","Not due")))))</x:f>
      </x:c>
      <x:c r="H909" s="5" t="str">
        <x:f>IF(OR(COUNTA(A909:F909)=0,COUNTIFS('Rules'!$G$7:$G$26,"="&amp;(SUBSTITUTE(SUBSTITUTE(SUBSTITUTE(SUBSTITUTE("type:"&amp;B909,"%","%25"),"~","%7E"),"*","%2A"),"?","%3F")))&lt;&gt;1),"",IF(OR(INDEX('Rules'!$B$7:$B$26,MATCH(SUBSTITUTE(SUBSTITUTE(SUBSTITUTE(SUBSTITUTE("type:"&amp;B909,"%","%25"),"~","%7E"),"*","%2A"),"?","%3F"),'Rules'!$G$7:$G$26,0))="hours",INDEX('Rules'!$B$7:$B$26,MATCH(SUBSTITUTE(SUBSTITUTE(SUBSTITUTE(SUBSTITUTE("type:"&amp;B909,"%","%25"),"~","%7E"),"*","%2A"),"?","%3F"),'Rules'!$G$7:$G$26,0))="km"),INDEX('Rules'!$B$7:$B$26,MATCH(SUBSTITUTE(SUBSTITUTE(SUBSTITUTE(SUBSTITUTE("type:"&amp;B909,"%","%25"),"~","%7E"),"*","%2A"),"?","%3F"),'Rules'!$G$7:$G$26,0)),""))</x:f>
      </x:c>
      <x:c r="I909" s="6" t="str">
        <x:f>IF(AND(NOT(COUNTA(A909:F909)=0),K909=""),ROUND(J909-D909,3),"")</x:f>
      </x:c>
      <x:c r="J909" s="6" t="str">
        <x:f>IF(AND(NOT(COUNTA(A909:F909)=0),K909=""),ROUND(F909+L909,3),"")</x:f>
      </x:c>
      <x:c r="K909" s="5" t="str">
        <x:f>IF(COUNTA(A909:F909)=0,"",IF(A909="","Missing equipment ID",IF(COUNTIFS($N$8:$N$2007,"="&amp;N909)&gt;1,"Duplicate equipment ID",IF(B909="","Missing type",IF(COUNTIFS('Rules'!$G$7:$G$26,"="&amp;(SUBSTITUTE(SUBSTITUTE(SUBSTITUTE(SUBSTITUTE("type:"&amp;B909,"%","%25"),"~","%7E"),"*","%2A"),"?","%3F")))=0,"Unknown type",IF(COUNTIFS('Rules'!$G$7:$G$26,"="&amp;(SUBSTITUTE(SUBSTITUTE(SUBSTITUTE(SUBSTITUTE("type:"&amp;B909,"%","%25"),"~","%7E"),"*","%2A"),"?","%3F")))&gt;1,"Duplicate type",IF(INDEX('Rules'!$F$7:$F$26,MATCH(SUBSTITUTE(SUBSTITUTE(SUBSTITUTE(SUBSTITUTE("type:"&amp;B909,"%","%25"),"~","%7E"),"*","%2A"),"?","%3F"),'Rules'!$G$7:$G$26,0))&lt;&gt;"",INDEX('Rules'!$F$7:$F$26,MATCH(SUBSTITUTE(SUBSTITUTE(SUBSTITUTE(SUBSTITUTE("type:"&amp;B909,"%","%25"),"~","%7E"),"*","%2A"),"?","%3F"),'Rules'!$G$7:$G$26,0)),IF(AND(C909&lt;&gt;"",C909&lt;&gt;INDEX('Rules'!$B$7:$B$26,MATCH(SUBSTITUTE(SUBSTITUTE(SUBSTITUTE(SUBSTITUTE("type:"&amp;B909,"%","%25"),"~","%7E"),"*","%2A"),"?","%3F"),'Rules'!$G$7:$G$26,0))),"Unit mismatch",IF(IF(NOT(ISNUMBER(D909)),TRUE,OR(D909&lt;0,D909&gt;999999999,ROUND(D909,3)&lt;&gt;D909)),"Invalid current reading",IF(AND(E909&lt;&gt;"",IF(NOT(ISNUMBER(E909)),TRUE,OR(E909&lt;0,E909&gt;999999999,ROUND(E909,3)&lt;&gt;E909))),"Invalid previous reading",IF(IF(NOT(ISNUMBER(F909)),TRUE,OR(F909&lt;0,F909&gt;999999999,ROUND(F909,3)&lt;&gt;F909)),"Invalid last service",IF(AND(E909&lt;&gt;"",D909&lt;E909),"Decreased reading",IF(F909&gt;D909,"Last service above current","")))))))))))))</x:f>
      </x:c>
      <x:c r="L909" s="6" t="str">
        <x:f>IF(AND(NOT(COUNTA(A909:F909)=0),K909=""),INDEX('Rules'!$C$7:$C$26,MATCH(SUBSTITUTE(SUBSTITUTE(SUBSTITUTE(SUBSTITUTE("type:"&amp;B909,"%","%25"),"~","%7E"),"*","%2A"),"?","%3F"),'Rules'!$G$7:$G$26,0)),"")</x:f>
      </x:c>
      <x:c r="M909" s="6" t="str">
        <x:f>IF(AND(NOT(COUNTA(A909:F909)=0),K909=""),INDEX('Rules'!$D$7:$D$26,MATCH(SUBSTITUTE(SUBSTITUTE(SUBSTITUTE(SUBSTITUTE("type:"&amp;B909,"%","%25"),"~","%7E"),"*","%2A"),"?","%3F"),'Rules'!$G$7:$G$26,0)),"")</x:f>
      </x:c>
      <x:c r="N909" s="5" t="str">
        <x:f>IF(COUNTA(A909:F909)=0,"",SUBSTITUTE(SUBSTITUTE(SUBSTITUTE(SUBSTITUTE("id:"&amp;A909,"%","%25"),"~","%7E"),"*","%2A"),"?","%3F"))</x:f>
      </x:c>
    </x:row>
    <x:row r="910" ht="22" customHeight="1">
      <x:c r="A910" s="3"/>
      <x:c r="B910" s="3"/>
      <x:c r="C910" s="3"/>
      <x:c r="D910" s="4"/>
      <x:c r="E910" s="4"/>
      <x:c r="F910" s="4"/>
      <x:c r="G910" s="5" t="str">
        <x:f>IF(COUNTA(A910:F910)=0,"",IF(K910&lt;&gt;"","Review",IF(I910&lt;0,"Overdue",IF(I910=0,"Due now",IF(I910&lt;=M910,"Due soon","Not due")))))</x:f>
      </x:c>
      <x:c r="H910" s="5" t="str">
        <x:f>IF(OR(COUNTA(A910:F910)=0,COUNTIFS('Rules'!$G$7:$G$26,"="&amp;(SUBSTITUTE(SUBSTITUTE(SUBSTITUTE(SUBSTITUTE("type:"&amp;B910,"%","%25"),"~","%7E"),"*","%2A"),"?","%3F")))&lt;&gt;1),"",IF(OR(INDEX('Rules'!$B$7:$B$26,MATCH(SUBSTITUTE(SUBSTITUTE(SUBSTITUTE(SUBSTITUTE("type:"&amp;B910,"%","%25"),"~","%7E"),"*","%2A"),"?","%3F"),'Rules'!$G$7:$G$26,0))="hours",INDEX('Rules'!$B$7:$B$26,MATCH(SUBSTITUTE(SUBSTITUTE(SUBSTITUTE(SUBSTITUTE("type:"&amp;B910,"%","%25"),"~","%7E"),"*","%2A"),"?","%3F"),'Rules'!$G$7:$G$26,0))="km"),INDEX('Rules'!$B$7:$B$26,MATCH(SUBSTITUTE(SUBSTITUTE(SUBSTITUTE(SUBSTITUTE("type:"&amp;B910,"%","%25"),"~","%7E"),"*","%2A"),"?","%3F"),'Rules'!$G$7:$G$26,0)),""))</x:f>
      </x:c>
      <x:c r="I910" s="6" t="str">
        <x:f>IF(AND(NOT(COUNTA(A910:F910)=0),K910=""),ROUND(J910-D910,3),"")</x:f>
      </x:c>
      <x:c r="J910" s="6" t="str">
        <x:f>IF(AND(NOT(COUNTA(A910:F910)=0),K910=""),ROUND(F910+L910,3),"")</x:f>
      </x:c>
      <x:c r="K910" s="5" t="str">
        <x:f>IF(COUNTA(A910:F910)=0,"",IF(A910="","Missing equipment ID",IF(COUNTIFS($N$8:$N$2007,"="&amp;N910)&gt;1,"Duplicate equipment ID",IF(B910="","Missing type",IF(COUNTIFS('Rules'!$G$7:$G$26,"="&amp;(SUBSTITUTE(SUBSTITUTE(SUBSTITUTE(SUBSTITUTE("type:"&amp;B910,"%","%25"),"~","%7E"),"*","%2A"),"?","%3F")))=0,"Unknown type",IF(COUNTIFS('Rules'!$G$7:$G$26,"="&amp;(SUBSTITUTE(SUBSTITUTE(SUBSTITUTE(SUBSTITUTE("type:"&amp;B910,"%","%25"),"~","%7E"),"*","%2A"),"?","%3F")))&gt;1,"Duplicate type",IF(INDEX('Rules'!$F$7:$F$26,MATCH(SUBSTITUTE(SUBSTITUTE(SUBSTITUTE(SUBSTITUTE("type:"&amp;B910,"%","%25"),"~","%7E"),"*","%2A"),"?","%3F"),'Rules'!$G$7:$G$26,0))&lt;&gt;"",INDEX('Rules'!$F$7:$F$26,MATCH(SUBSTITUTE(SUBSTITUTE(SUBSTITUTE(SUBSTITUTE("type:"&amp;B910,"%","%25"),"~","%7E"),"*","%2A"),"?","%3F"),'Rules'!$G$7:$G$26,0)),IF(AND(C910&lt;&gt;"",C910&lt;&gt;INDEX('Rules'!$B$7:$B$26,MATCH(SUBSTITUTE(SUBSTITUTE(SUBSTITUTE(SUBSTITUTE("type:"&amp;B910,"%","%25"),"~","%7E"),"*","%2A"),"?","%3F"),'Rules'!$G$7:$G$26,0))),"Unit mismatch",IF(IF(NOT(ISNUMBER(D910)),TRUE,OR(D910&lt;0,D910&gt;999999999,ROUND(D910,3)&lt;&gt;D910)),"Invalid current reading",IF(AND(E910&lt;&gt;"",IF(NOT(ISNUMBER(E910)),TRUE,OR(E910&lt;0,E910&gt;999999999,ROUND(E910,3)&lt;&gt;E910))),"Invalid previous reading",IF(IF(NOT(ISNUMBER(F910)),TRUE,OR(F910&lt;0,F910&gt;999999999,ROUND(F910,3)&lt;&gt;F910)),"Invalid last service",IF(AND(E910&lt;&gt;"",D910&lt;E910),"Decreased reading",IF(F910&gt;D910,"Last service above current","")))))))))))))</x:f>
      </x:c>
      <x:c r="L910" s="6" t="str">
        <x:f>IF(AND(NOT(COUNTA(A910:F910)=0),K910=""),INDEX('Rules'!$C$7:$C$26,MATCH(SUBSTITUTE(SUBSTITUTE(SUBSTITUTE(SUBSTITUTE("type:"&amp;B910,"%","%25"),"~","%7E"),"*","%2A"),"?","%3F"),'Rules'!$G$7:$G$26,0)),"")</x:f>
      </x:c>
      <x:c r="M910" s="6" t="str">
        <x:f>IF(AND(NOT(COUNTA(A910:F910)=0),K910=""),INDEX('Rules'!$D$7:$D$26,MATCH(SUBSTITUTE(SUBSTITUTE(SUBSTITUTE(SUBSTITUTE("type:"&amp;B910,"%","%25"),"~","%7E"),"*","%2A"),"?","%3F"),'Rules'!$G$7:$G$26,0)),"")</x:f>
      </x:c>
      <x:c r="N910" s="5" t="str">
        <x:f>IF(COUNTA(A910:F910)=0,"",SUBSTITUTE(SUBSTITUTE(SUBSTITUTE(SUBSTITUTE("id:"&amp;A910,"%","%25"),"~","%7E"),"*","%2A"),"?","%3F"))</x:f>
      </x:c>
    </x:row>
    <x:row r="911" ht="22" customHeight="1">
      <x:c r="A911" s="3"/>
      <x:c r="B911" s="3"/>
      <x:c r="C911" s="3"/>
      <x:c r="D911" s="4"/>
      <x:c r="E911" s="4"/>
      <x:c r="F911" s="4"/>
      <x:c r="G911" s="5" t="str">
        <x:f>IF(COUNTA(A911:F911)=0,"",IF(K911&lt;&gt;"","Review",IF(I911&lt;0,"Overdue",IF(I911=0,"Due now",IF(I911&lt;=M911,"Due soon","Not due")))))</x:f>
      </x:c>
      <x:c r="H911" s="5" t="str">
        <x:f>IF(OR(COUNTA(A911:F911)=0,COUNTIFS('Rules'!$G$7:$G$26,"="&amp;(SUBSTITUTE(SUBSTITUTE(SUBSTITUTE(SUBSTITUTE("type:"&amp;B911,"%","%25"),"~","%7E"),"*","%2A"),"?","%3F")))&lt;&gt;1),"",IF(OR(INDEX('Rules'!$B$7:$B$26,MATCH(SUBSTITUTE(SUBSTITUTE(SUBSTITUTE(SUBSTITUTE("type:"&amp;B911,"%","%25"),"~","%7E"),"*","%2A"),"?","%3F"),'Rules'!$G$7:$G$26,0))="hours",INDEX('Rules'!$B$7:$B$26,MATCH(SUBSTITUTE(SUBSTITUTE(SUBSTITUTE(SUBSTITUTE("type:"&amp;B911,"%","%25"),"~","%7E"),"*","%2A"),"?","%3F"),'Rules'!$G$7:$G$26,0))="km"),INDEX('Rules'!$B$7:$B$26,MATCH(SUBSTITUTE(SUBSTITUTE(SUBSTITUTE(SUBSTITUTE("type:"&amp;B911,"%","%25"),"~","%7E"),"*","%2A"),"?","%3F"),'Rules'!$G$7:$G$26,0)),""))</x:f>
      </x:c>
      <x:c r="I911" s="6" t="str">
        <x:f>IF(AND(NOT(COUNTA(A911:F911)=0),K911=""),ROUND(J911-D911,3),"")</x:f>
      </x:c>
      <x:c r="J911" s="6" t="str">
        <x:f>IF(AND(NOT(COUNTA(A911:F911)=0),K911=""),ROUND(F911+L911,3),"")</x:f>
      </x:c>
      <x:c r="K911" s="5" t="str">
        <x:f>IF(COUNTA(A911:F911)=0,"",IF(A911="","Missing equipment ID",IF(COUNTIFS($N$8:$N$2007,"="&amp;N911)&gt;1,"Duplicate equipment ID",IF(B911="","Missing type",IF(COUNTIFS('Rules'!$G$7:$G$26,"="&amp;(SUBSTITUTE(SUBSTITUTE(SUBSTITUTE(SUBSTITUTE("type:"&amp;B911,"%","%25"),"~","%7E"),"*","%2A"),"?","%3F")))=0,"Unknown type",IF(COUNTIFS('Rules'!$G$7:$G$26,"="&amp;(SUBSTITUTE(SUBSTITUTE(SUBSTITUTE(SUBSTITUTE("type:"&amp;B911,"%","%25"),"~","%7E"),"*","%2A"),"?","%3F")))&gt;1,"Duplicate type",IF(INDEX('Rules'!$F$7:$F$26,MATCH(SUBSTITUTE(SUBSTITUTE(SUBSTITUTE(SUBSTITUTE("type:"&amp;B911,"%","%25"),"~","%7E"),"*","%2A"),"?","%3F"),'Rules'!$G$7:$G$26,0))&lt;&gt;"",INDEX('Rules'!$F$7:$F$26,MATCH(SUBSTITUTE(SUBSTITUTE(SUBSTITUTE(SUBSTITUTE("type:"&amp;B911,"%","%25"),"~","%7E"),"*","%2A"),"?","%3F"),'Rules'!$G$7:$G$26,0)),IF(AND(C911&lt;&gt;"",C911&lt;&gt;INDEX('Rules'!$B$7:$B$26,MATCH(SUBSTITUTE(SUBSTITUTE(SUBSTITUTE(SUBSTITUTE("type:"&amp;B911,"%","%25"),"~","%7E"),"*","%2A"),"?","%3F"),'Rules'!$G$7:$G$26,0))),"Unit mismatch",IF(IF(NOT(ISNUMBER(D911)),TRUE,OR(D911&lt;0,D911&gt;999999999,ROUND(D911,3)&lt;&gt;D911)),"Invalid current reading",IF(AND(E911&lt;&gt;"",IF(NOT(ISNUMBER(E911)),TRUE,OR(E911&lt;0,E911&gt;999999999,ROUND(E911,3)&lt;&gt;E911))),"Invalid previous reading",IF(IF(NOT(ISNUMBER(F911)),TRUE,OR(F911&lt;0,F911&gt;999999999,ROUND(F911,3)&lt;&gt;F911)),"Invalid last service",IF(AND(E911&lt;&gt;"",D911&lt;E911),"Decreased reading",IF(F911&gt;D911,"Last service above current","")))))))))))))</x:f>
      </x:c>
      <x:c r="L911" s="6" t="str">
        <x:f>IF(AND(NOT(COUNTA(A911:F911)=0),K911=""),INDEX('Rules'!$C$7:$C$26,MATCH(SUBSTITUTE(SUBSTITUTE(SUBSTITUTE(SUBSTITUTE("type:"&amp;B911,"%","%25"),"~","%7E"),"*","%2A"),"?","%3F"),'Rules'!$G$7:$G$26,0)),"")</x:f>
      </x:c>
      <x:c r="M911" s="6" t="str">
        <x:f>IF(AND(NOT(COUNTA(A911:F911)=0),K911=""),INDEX('Rules'!$D$7:$D$26,MATCH(SUBSTITUTE(SUBSTITUTE(SUBSTITUTE(SUBSTITUTE("type:"&amp;B911,"%","%25"),"~","%7E"),"*","%2A"),"?","%3F"),'Rules'!$G$7:$G$26,0)),"")</x:f>
      </x:c>
      <x:c r="N911" s="5" t="str">
        <x:f>IF(COUNTA(A911:F911)=0,"",SUBSTITUTE(SUBSTITUTE(SUBSTITUTE(SUBSTITUTE("id:"&amp;A911,"%","%25"),"~","%7E"),"*","%2A"),"?","%3F"))</x:f>
      </x:c>
    </x:row>
    <x:row r="912" ht="22" customHeight="1">
      <x:c r="A912" s="3"/>
      <x:c r="B912" s="3"/>
      <x:c r="C912" s="3"/>
      <x:c r="D912" s="4"/>
      <x:c r="E912" s="4"/>
      <x:c r="F912" s="4"/>
      <x:c r="G912" s="5" t="str">
        <x:f>IF(COUNTA(A912:F912)=0,"",IF(K912&lt;&gt;"","Review",IF(I912&lt;0,"Overdue",IF(I912=0,"Due now",IF(I912&lt;=M912,"Due soon","Not due")))))</x:f>
      </x:c>
      <x:c r="H912" s="5" t="str">
        <x:f>IF(OR(COUNTA(A912:F912)=0,COUNTIFS('Rules'!$G$7:$G$26,"="&amp;(SUBSTITUTE(SUBSTITUTE(SUBSTITUTE(SUBSTITUTE("type:"&amp;B912,"%","%25"),"~","%7E"),"*","%2A"),"?","%3F")))&lt;&gt;1),"",IF(OR(INDEX('Rules'!$B$7:$B$26,MATCH(SUBSTITUTE(SUBSTITUTE(SUBSTITUTE(SUBSTITUTE("type:"&amp;B912,"%","%25"),"~","%7E"),"*","%2A"),"?","%3F"),'Rules'!$G$7:$G$26,0))="hours",INDEX('Rules'!$B$7:$B$26,MATCH(SUBSTITUTE(SUBSTITUTE(SUBSTITUTE(SUBSTITUTE("type:"&amp;B912,"%","%25"),"~","%7E"),"*","%2A"),"?","%3F"),'Rules'!$G$7:$G$26,0))="km"),INDEX('Rules'!$B$7:$B$26,MATCH(SUBSTITUTE(SUBSTITUTE(SUBSTITUTE(SUBSTITUTE("type:"&amp;B912,"%","%25"),"~","%7E"),"*","%2A"),"?","%3F"),'Rules'!$G$7:$G$26,0)),""))</x:f>
      </x:c>
      <x:c r="I912" s="6" t="str">
        <x:f>IF(AND(NOT(COUNTA(A912:F912)=0),K912=""),ROUND(J912-D912,3),"")</x:f>
      </x:c>
      <x:c r="J912" s="6" t="str">
        <x:f>IF(AND(NOT(COUNTA(A912:F912)=0),K912=""),ROUND(F912+L912,3),"")</x:f>
      </x:c>
      <x:c r="K912" s="5" t="str">
        <x:f>IF(COUNTA(A912:F912)=0,"",IF(A912="","Missing equipment ID",IF(COUNTIFS($N$8:$N$2007,"="&amp;N912)&gt;1,"Duplicate equipment ID",IF(B912="","Missing type",IF(COUNTIFS('Rules'!$G$7:$G$26,"="&amp;(SUBSTITUTE(SUBSTITUTE(SUBSTITUTE(SUBSTITUTE("type:"&amp;B912,"%","%25"),"~","%7E"),"*","%2A"),"?","%3F")))=0,"Unknown type",IF(COUNTIFS('Rules'!$G$7:$G$26,"="&amp;(SUBSTITUTE(SUBSTITUTE(SUBSTITUTE(SUBSTITUTE("type:"&amp;B912,"%","%25"),"~","%7E"),"*","%2A"),"?","%3F")))&gt;1,"Duplicate type",IF(INDEX('Rules'!$F$7:$F$26,MATCH(SUBSTITUTE(SUBSTITUTE(SUBSTITUTE(SUBSTITUTE("type:"&amp;B912,"%","%25"),"~","%7E"),"*","%2A"),"?","%3F"),'Rules'!$G$7:$G$26,0))&lt;&gt;"",INDEX('Rules'!$F$7:$F$26,MATCH(SUBSTITUTE(SUBSTITUTE(SUBSTITUTE(SUBSTITUTE("type:"&amp;B912,"%","%25"),"~","%7E"),"*","%2A"),"?","%3F"),'Rules'!$G$7:$G$26,0)),IF(AND(C912&lt;&gt;"",C912&lt;&gt;INDEX('Rules'!$B$7:$B$26,MATCH(SUBSTITUTE(SUBSTITUTE(SUBSTITUTE(SUBSTITUTE("type:"&amp;B912,"%","%25"),"~","%7E"),"*","%2A"),"?","%3F"),'Rules'!$G$7:$G$26,0))),"Unit mismatch",IF(IF(NOT(ISNUMBER(D912)),TRUE,OR(D912&lt;0,D912&gt;999999999,ROUND(D912,3)&lt;&gt;D912)),"Invalid current reading",IF(AND(E912&lt;&gt;"",IF(NOT(ISNUMBER(E912)),TRUE,OR(E912&lt;0,E912&gt;999999999,ROUND(E912,3)&lt;&gt;E912))),"Invalid previous reading",IF(IF(NOT(ISNUMBER(F912)),TRUE,OR(F912&lt;0,F912&gt;999999999,ROUND(F912,3)&lt;&gt;F912)),"Invalid last service",IF(AND(E912&lt;&gt;"",D912&lt;E912),"Decreased reading",IF(F912&gt;D912,"Last service above current","")))))))))))))</x:f>
      </x:c>
      <x:c r="L912" s="6" t="str">
        <x:f>IF(AND(NOT(COUNTA(A912:F912)=0),K912=""),INDEX('Rules'!$C$7:$C$26,MATCH(SUBSTITUTE(SUBSTITUTE(SUBSTITUTE(SUBSTITUTE("type:"&amp;B912,"%","%25"),"~","%7E"),"*","%2A"),"?","%3F"),'Rules'!$G$7:$G$26,0)),"")</x:f>
      </x:c>
      <x:c r="M912" s="6" t="str">
        <x:f>IF(AND(NOT(COUNTA(A912:F912)=0),K912=""),INDEX('Rules'!$D$7:$D$26,MATCH(SUBSTITUTE(SUBSTITUTE(SUBSTITUTE(SUBSTITUTE("type:"&amp;B912,"%","%25"),"~","%7E"),"*","%2A"),"?","%3F"),'Rules'!$G$7:$G$26,0)),"")</x:f>
      </x:c>
      <x:c r="N912" s="5" t="str">
        <x:f>IF(COUNTA(A912:F912)=0,"",SUBSTITUTE(SUBSTITUTE(SUBSTITUTE(SUBSTITUTE("id:"&amp;A912,"%","%25"),"~","%7E"),"*","%2A"),"?","%3F"))</x:f>
      </x:c>
    </x:row>
    <x:row r="913" ht="22" customHeight="1">
      <x:c r="A913" s="3"/>
      <x:c r="B913" s="3"/>
      <x:c r="C913" s="3"/>
      <x:c r="D913" s="4"/>
      <x:c r="E913" s="4"/>
      <x:c r="F913" s="4"/>
      <x:c r="G913" s="5" t="str">
        <x:f>IF(COUNTA(A913:F913)=0,"",IF(K913&lt;&gt;"","Review",IF(I913&lt;0,"Overdue",IF(I913=0,"Due now",IF(I913&lt;=M913,"Due soon","Not due")))))</x:f>
      </x:c>
      <x:c r="H913" s="5" t="str">
        <x:f>IF(OR(COUNTA(A913:F913)=0,COUNTIFS('Rules'!$G$7:$G$26,"="&amp;(SUBSTITUTE(SUBSTITUTE(SUBSTITUTE(SUBSTITUTE("type:"&amp;B913,"%","%25"),"~","%7E"),"*","%2A"),"?","%3F")))&lt;&gt;1),"",IF(OR(INDEX('Rules'!$B$7:$B$26,MATCH(SUBSTITUTE(SUBSTITUTE(SUBSTITUTE(SUBSTITUTE("type:"&amp;B913,"%","%25"),"~","%7E"),"*","%2A"),"?","%3F"),'Rules'!$G$7:$G$26,0))="hours",INDEX('Rules'!$B$7:$B$26,MATCH(SUBSTITUTE(SUBSTITUTE(SUBSTITUTE(SUBSTITUTE("type:"&amp;B913,"%","%25"),"~","%7E"),"*","%2A"),"?","%3F"),'Rules'!$G$7:$G$26,0))="km"),INDEX('Rules'!$B$7:$B$26,MATCH(SUBSTITUTE(SUBSTITUTE(SUBSTITUTE(SUBSTITUTE("type:"&amp;B913,"%","%25"),"~","%7E"),"*","%2A"),"?","%3F"),'Rules'!$G$7:$G$26,0)),""))</x:f>
      </x:c>
      <x:c r="I913" s="6" t="str">
        <x:f>IF(AND(NOT(COUNTA(A913:F913)=0),K913=""),ROUND(J913-D913,3),"")</x:f>
      </x:c>
      <x:c r="J913" s="6" t="str">
        <x:f>IF(AND(NOT(COUNTA(A913:F913)=0),K913=""),ROUND(F913+L913,3),"")</x:f>
      </x:c>
      <x:c r="K913" s="5" t="str">
        <x:f>IF(COUNTA(A913:F913)=0,"",IF(A913="","Missing equipment ID",IF(COUNTIFS($N$8:$N$2007,"="&amp;N913)&gt;1,"Duplicate equipment ID",IF(B913="","Missing type",IF(COUNTIFS('Rules'!$G$7:$G$26,"="&amp;(SUBSTITUTE(SUBSTITUTE(SUBSTITUTE(SUBSTITUTE("type:"&amp;B913,"%","%25"),"~","%7E"),"*","%2A"),"?","%3F")))=0,"Unknown type",IF(COUNTIFS('Rules'!$G$7:$G$26,"="&amp;(SUBSTITUTE(SUBSTITUTE(SUBSTITUTE(SUBSTITUTE("type:"&amp;B913,"%","%25"),"~","%7E"),"*","%2A"),"?","%3F")))&gt;1,"Duplicate type",IF(INDEX('Rules'!$F$7:$F$26,MATCH(SUBSTITUTE(SUBSTITUTE(SUBSTITUTE(SUBSTITUTE("type:"&amp;B913,"%","%25"),"~","%7E"),"*","%2A"),"?","%3F"),'Rules'!$G$7:$G$26,0))&lt;&gt;"",INDEX('Rules'!$F$7:$F$26,MATCH(SUBSTITUTE(SUBSTITUTE(SUBSTITUTE(SUBSTITUTE("type:"&amp;B913,"%","%25"),"~","%7E"),"*","%2A"),"?","%3F"),'Rules'!$G$7:$G$26,0)),IF(AND(C913&lt;&gt;"",C913&lt;&gt;INDEX('Rules'!$B$7:$B$26,MATCH(SUBSTITUTE(SUBSTITUTE(SUBSTITUTE(SUBSTITUTE("type:"&amp;B913,"%","%25"),"~","%7E"),"*","%2A"),"?","%3F"),'Rules'!$G$7:$G$26,0))),"Unit mismatch",IF(IF(NOT(ISNUMBER(D913)),TRUE,OR(D913&lt;0,D913&gt;999999999,ROUND(D913,3)&lt;&gt;D913)),"Invalid current reading",IF(AND(E913&lt;&gt;"",IF(NOT(ISNUMBER(E913)),TRUE,OR(E913&lt;0,E913&gt;999999999,ROUND(E913,3)&lt;&gt;E913))),"Invalid previous reading",IF(IF(NOT(ISNUMBER(F913)),TRUE,OR(F913&lt;0,F913&gt;999999999,ROUND(F913,3)&lt;&gt;F913)),"Invalid last service",IF(AND(E913&lt;&gt;"",D913&lt;E913),"Decreased reading",IF(F913&gt;D913,"Last service above current","")))))))))))))</x:f>
      </x:c>
      <x:c r="L913" s="6" t="str">
        <x:f>IF(AND(NOT(COUNTA(A913:F913)=0),K913=""),INDEX('Rules'!$C$7:$C$26,MATCH(SUBSTITUTE(SUBSTITUTE(SUBSTITUTE(SUBSTITUTE("type:"&amp;B913,"%","%25"),"~","%7E"),"*","%2A"),"?","%3F"),'Rules'!$G$7:$G$26,0)),"")</x:f>
      </x:c>
      <x:c r="M913" s="6" t="str">
        <x:f>IF(AND(NOT(COUNTA(A913:F913)=0),K913=""),INDEX('Rules'!$D$7:$D$26,MATCH(SUBSTITUTE(SUBSTITUTE(SUBSTITUTE(SUBSTITUTE("type:"&amp;B913,"%","%25"),"~","%7E"),"*","%2A"),"?","%3F"),'Rules'!$G$7:$G$26,0)),"")</x:f>
      </x:c>
      <x:c r="N913" s="5" t="str">
        <x:f>IF(COUNTA(A913:F913)=0,"",SUBSTITUTE(SUBSTITUTE(SUBSTITUTE(SUBSTITUTE("id:"&amp;A913,"%","%25"),"~","%7E"),"*","%2A"),"?","%3F"))</x:f>
      </x:c>
    </x:row>
    <x:row r="914" ht="22" customHeight="1">
      <x:c r="A914" s="3"/>
      <x:c r="B914" s="3"/>
      <x:c r="C914" s="3"/>
      <x:c r="D914" s="4"/>
      <x:c r="E914" s="4"/>
      <x:c r="F914" s="4"/>
      <x:c r="G914" s="5" t="str">
        <x:f>IF(COUNTA(A914:F914)=0,"",IF(K914&lt;&gt;"","Review",IF(I914&lt;0,"Overdue",IF(I914=0,"Due now",IF(I914&lt;=M914,"Due soon","Not due")))))</x:f>
      </x:c>
      <x:c r="H914" s="5" t="str">
        <x:f>IF(OR(COUNTA(A914:F914)=0,COUNTIFS('Rules'!$G$7:$G$26,"="&amp;(SUBSTITUTE(SUBSTITUTE(SUBSTITUTE(SUBSTITUTE("type:"&amp;B914,"%","%25"),"~","%7E"),"*","%2A"),"?","%3F")))&lt;&gt;1),"",IF(OR(INDEX('Rules'!$B$7:$B$26,MATCH(SUBSTITUTE(SUBSTITUTE(SUBSTITUTE(SUBSTITUTE("type:"&amp;B914,"%","%25"),"~","%7E"),"*","%2A"),"?","%3F"),'Rules'!$G$7:$G$26,0))="hours",INDEX('Rules'!$B$7:$B$26,MATCH(SUBSTITUTE(SUBSTITUTE(SUBSTITUTE(SUBSTITUTE("type:"&amp;B914,"%","%25"),"~","%7E"),"*","%2A"),"?","%3F"),'Rules'!$G$7:$G$26,0))="km"),INDEX('Rules'!$B$7:$B$26,MATCH(SUBSTITUTE(SUBSTITUTE(SUBSTITUTE(SUBSTITUTE("type:"&amp;B914,"%","%25"),"~","%7E"),"*","%2A"),"?","%3F"),'Rules'!$G$7:$G$26,0)),""))</x:f>
      </x:c>
      <x:c r="I914" s="6" t="str">
        <x:f>IF(AND(NOT(COUNTA(A914:F914)=0),K914=""),ROUND(J914-D914,3),"")</x:f>
      </x:c>
      <x:c r="J914" s="6" t="str">
        <x:f>IF(AND(NOT(COUNTA(A914:F914)=0),K914=""),ROUND(F914+L914,3),"")</x:f>
      </x:c>
      <x:c r="K914" s="5" t="str">
        <x:f>IF(COUNTA(A914:F914)=0,"",IF(A914="","Missing equipment ID",IF(COUNTIFS($N$8:$N$2007,"="&amp;N914)&gt;1,"Duplicate equipment ID",IF(B914="","Missing type",IF(COUNTIFS('Rules'!$G$7:$G$26,"="&amp;(SUBSTITUTE(SUBSTITUTE(SUBSTITUTE(SUBSTITUTE("type:"&amp;B914,"%","%25"),"~","%7E"),"*","%2A"),"?","%3F")))=0,"Unknown type",IF(COUNTIFS('Rules'!$G$7:$G$26,"="&amp;(SUBSTITUTE(SUBSTITUTE(SUBSTITUTE(SUBSTITUTE("type:"&amp;B914,"%","%25"),"~","%7E"),"*","%2A"),"?","%3F")))&gt;1,"Duplicate type",IF(INDEX('Rules'!$F$7:$F$26,MATCH(SUBSTITUTE(SUBSTITUTE(SUBSTITUTE(SUBSTITUTE("type:"&amp;B914,"%","%25"),"~","%7E"),"*","%2A"),"?","%3F"),'Rules'!$G$7:$G$26,0))&lt;&gt;"",INDEX('Rules'!$F$7:$F$26,MATCH(SUBSTITUTE(SUBSTITUTE(SUBSTITUTE(SUBSTITUTE("type:"&amp;B914,"%","%25"),"~","%7E"),"*","%2A"),"?","%3F"),'Rules'!$G$7:$G$26,0)),IF(AND(C914&lt;&gt;"",C914&lt;&gt;INDEX('Rules'!$B$7:$B$26,MATCH(SUBSTITUTE(SUBSTITUTE(SUBSTITUTE(SUBSTITUTE("type:"&amp;B914,"%","%25"),"~","%7E"),"*","%2A"),"?","%3F"),'Rules'!$G$7:$G$26,0))),"Unit mismatch",IF(IF(NOT(ISNUMBER(D914)),TRUE,OR(D914&lt;0,D914&gt;999999999,ROUND(D914,3)&lt;&gt;D914)),"Invalid current reading",IF(AND(E914&lt;&gt;"",IF(NOT(ISNUMBER(E914)),TRUE,OR(E914&lt;0,E914&gt;999999999,ROUND(E914,3)&lt;&gt;E914))),"Invalid previous reading",IF(IF(NOT(ISNUMBER(F914)),TRUE,OR(F914&lt;0,F914&gt;999999999,ROUND(F914,3)&lt;&gt;F914)),"Invalid last service",IF(AND(E914&lt;&gt;"",D914&lt;E914),"Decreased reading",IF(F914&gt;D914,"Last service above current","")))))))))))))</x:f>
      </x:c>
      <x:c r="L914" s="6" t="str">
        <x:f>IF(AND(NOT(COUNTA(A914:F914)=0),K914=""),INDEX('Rules'!$C$7:$C$26,MATCH(SUBSTITUTE(SUBSTITUTE(SUBSTITUTE(SUBSTITUTE("type:"&amp;B914,"%","%25"),"~","%7E"),"*","%2A"),"?","%3F"),'Rules'!$G$7:$G$26,0)),"")</x:f>
      </x:c>
      <x:c r="M914" s="6" t="str">
        <x:f>IF(AND(NOT(COUNTA(A914:F914)=0),K914=""),INDEX('Rules'!$D$7:$D$26,MATCH(SUBSTITUTE(SUBSTITUTE(SUBSTITUTE(SUBSTITUTE("type:"&amp;B914,"%","%25"),"~","%7E"),"*","%2A"),"?","%3F"),'Rules'!$G$7:$G$26,0)),"")</x:f>
      </x:c>
      <x:c r="N914" s="5" t="str">
        <x:f>IF(COUNTA(A914:F914)=0,"",SUBSTITUTE(SUBSTITUTE(SUBSTITUTE(SUBSTITUTE("id:"&amp;A914,"%","%25"),"~","%7E"),"*","%2A"),"?","%3F"))</x:f>
      </x:c>
    </x:row>
    <x:row r="915" ht="22" customHeight="1">
      <x:c r="A915" s="3"/>
      <x:c r="B915" s="3"/>
      <x:c r="C915" s="3"/>
      <x:c r="D915" s="4"/>
      <x:c r="E915" s="4"/>
      <x:c r="F915" s="4"/>
      <x:c r="G915" s="5" t="str">
        <x:f>IF(COUNTA(A915:F915)=0,"",IF(K915&lt;&gt;"","Review",IF(I915&lt;0,"Overdue",IF(I915=0,"Due now",IF(I915&lt;=M915,"Due soon","Not due")))))</x:f>
      </x:c>
      <x:c r="H915" s="5" t="str">
        <x:f>IF(OR(COUNTA(A915:F915)=0,COUNTIFS('Rules'!$G$7:$G$26,"="&amp;(SUBSTITUTE(SUBSTITUTE(SUBSTITUTE(SUBSTITUTE("type:"&amp;B915,"%","%25"),"~","%7E"),"*","%2A"),"?","%3F")))&lt;&gt;1),"",IF(OR(INDEX('Rules'!$B$7:$B$26,MATCH(SUBSTITUTE(SUBSTITUTE(SUBSTITUTE(SUBSTITUTE("type:"&amp;B915,"%","%25"),"~","%7E"),"*","%2A"),"?","%3F"),'Rules'!$G$7:$G$26,0))="hours",INDEX('Rules'!$B$7:$B$26,MATCH(SUBSTITUTE(SUBSTITUTE(SUBSTITUTE(SUBSTITUTE("type:"&amp;B915,"%","%25"),"~","%7E"),"*","%2A"),"?","%3F"),'Rules'!$G$7:$G$26,0))="km"),INDEX('Rules'!$B$7:$B$26,MATCH(SUBSTITUTE(SUBSTITUTE(SUBSTITUTE(SUBSTITUTE("type:"&amp;B915,"%","%25"),"~","%7E"),"*","%2A"),"?","%3F"),'Rules'!$G$7:$G$26,0)),""))</x:f>
      </x:c>
      <x:c r="I915" s="6" t="str">
        <x:f>IF(AND(NOT(COUNTA(A915:F915)=0),K915=""),ROUND(J915-D915,3),"")</x:f>
      </x:c>
      <x:c r="J915" s="6" t="str">
        <x:f>IF(AND(NOT(COUNTA(A915:F915)=0),K915=""),ROUND(F915+L915,3),"")</x:f>
      </x:c>
      <x:c r="K915" s="5" t="str">
        <x:f>IF(COUNTA(A915:F915)=0,"",IF(A915="","Missing equipment ID",IF(COUNTIFS($N$8:$N$2007,"="&amp;N915)&gt;1,"Duplicate equipment ID",IF(B915="","Missing type",IF(COUNTIFS('Rules'!$G$7:$G$26,"="&amp;(SUBSTITUTE(SUBSTITUTE(SUBSTITUTE(SUBSTITUTE("type:"&amp;B915,"%","%25"),"~","%7E"),"*","%2A"),"?","%3F")))=0,"Unknown type",IF(COUNTIFS('Rules'!$G$7:$G$26,"="&amp;(SUBSTITUTE(SUBSTITUTE(SUBSTITUTE(SUBSTITUTE("type:"&amp;B915,"%","%25"),"~","%7E"),"*","%2A"),"?","%3F")))&gt;1,"Duplicate type",IF(INDEX('Rules'!$F$7:$F$26,MATCH(SUBSTITUTE(SUBSTITUTE(SUBSTITUTE(SUBSTITUTE("type:"&amp;B915,"%","%25"),"~","%7E"),"*","%2A"),"?","%3F"),'Rules'!$G$7:$G$26,0))&lt;&gt;"",INDEX('Rules'!$F$7:$F$26,MATCH(SUBSTITUTE(SUBSTITUTE(SUBSTITUTE(SUBSTITUTE("type:"&amp;B915,"%","%25"),"~","%7E"),"*","%2A"),"?","%3F"),'Rules'!$G$7:$G$26,0)),IF(AND(C915&lt;&gt;"",C915&lt;&gt;INDEX('Rules'!$B$7:$B$26,MATCH(SUBSTITUTE(SUBSTITUTE(SUBSTITUTE(SUBSTITUTE("type:"&amp;B915,"%","%25"),"~","%7E"),"*","%2A"),"?","%3F"),'Rules'!$G$7:$G$26,0))),"Unit mismatch",IF(IF(NOT(ISNUMBER(D915)),TRUE,OR(D915&lt;0,D915&gt;999999999,ROUND(D915,3)&lt;&gt;D915)),"Invalid current reading",IF(AND(E915&lt;&gt;"",IF(NOT(ISNUMBER(E915)),TRUE,OR(E915&lt;0,E915&gt;999999999,ROUND(E915,3)&lt;&gt;E915))),"Invalid previous reading",IF(IF(NOT(ISNUMBER(F915)),TRUE,OR(F915&lt;0,F915&gt;999999999,ROUND(F915,3)&lt;&gt;F915)),"Invalid last service",IF(AND(E915&lt;&gt;"",D915&lt;E915),"Decreased reading",IF(F915&gt;D915,"Last service above current","")))))))))))))</x:f>
      </x:c>
      <x:c r="L915" s="6" t="str">
        <x:f>IF(AND(NOT(COUNTA(A915:F915)=0),K915=""),INDEX('Rules'!$C$7:$C$26,MATCH(SUBSTITUTE(SUBSTITUTE(SUBSTITUTE(SUBSTITUTE("type:"&amp;B915,"%","%25"),"~","%7E"),"*","%2A"),"?","%3F"),'Rules'!$G$7:$G$26,0)),"")</x:f>
      </x:c>
      <x:c r="M915" s="6" t="str">
        <x:f>IF(AND(NOT(COUNTA(A915:F915)=0),K915=""),INDEX('Rules'!$D$7:$D$26,MATCH(SUBSTITUTE(SUBSTITUTE(SUBSTITUTE(SUBSTITUTE("type:"&amp;B915,"%","%25"),"~","%7E"),"*","%2A"),"?","%3F"),'Rules'!$G$7:$G$26,0)),"")</x:f>
      </x:c>
      <x:c r="N915" s="5" t="str">
        <x:f>IF(COUNTA(A915:F915)=0,"",SUBSTITUTE(SUBSTITUTE(SUBSTITUTE(SUBSTITUTE("id:"&amp;A915,"%","%25"),"~","%7E"),"*","%2A"),"?","%3F"))</x:f>
      </x:c>
    </x:row>
    <x:row r="916" ht="22" customHeight="1">
      <x:c r="A916" s="3"/>
      <x:c r="B916" s="3"/>
      <x:c r="C916" s="3"/>
      <x:c r="D916" s="4"/>
      <x:c r="E916" s="4"/>
      <x:c r="F916" s="4"/>
      <x:c r="G916" s="5" t="str">
        <x:f>IF(COUNTA(A916:F916)=0,"",IF(K916&lt;&gt;"","Review",IF(I916&lt;0,"Overdue",IF(I916=0,"Due now",IF(I916&lt;=M916,"Due soon","Not due")))))</x:f>
      </x:c>
      <x:c r="H916" s="5" t="str">
        <x:f>IF(OR(COUNTA(A916:F916)=0,COUNTIFS('Rules'!$G$7:$G$26,"="&amp;(SUBSTITUTE(SUBSTITUTE(SUBSTITUTE(SUBSTITUTE("type:"&amp;B916,"%","%25"),"~","%7E"),"*","%2A"),"?","%3F")))&lt;&gt;1),"",IF(OR(INDEX('Rules'!$B$7:$B$26,MATCH(SUBSTITUTE(SUBSTITUTE(SUBSTITUTE(SUBSTITUTE("type:"&amp;B916,"%","%25"),"~","%7E"),"*","%2A"),"?","%3F"),'Rules'!$G$7:$G$26,0))="hours",INDEX('Rules'!$B$7:$B$26,MATCH(SUBSTITUTE(SUBSTITUTE(SUBSTITUTE(SUBSTITUTE("type:"&amp;B916,"%","%25"),"~","%7E"),"*","%2A"),"?","%3F"),'Rules'!$G$7:$G$26,0))="km"),INDEX('Rules'!$B$7:$B$26,MATCH(SUBSTITUTE(SUBSTITUTE(SUBSTITUTE(SUBSTITUTE("type:"&amp;B916,"%","%25"),"~","%7E"),"*","%2A"),"?","%3F"),'Rules'!$G$7:$G$26,0)),""))</x:f>
      </x:c>
      <x:c r="I916" s="6" t="str">
        <x:f>IF(AND(NOT(COUNTA(A916:F916)=0),K916=""),ROUND(J916-D916,3),"")</x:f>
      </x:c>
      <x:c r="J916" s="6" t="str">
        <x:f>IF(AND(NOT(COUNTA(A916:F916)=0),K916=""),ROUND(F916+L916,3),"")</x:f>
      </x:c>
      <x:c r="K916" s="5" t="str">
        <x:f>IF(COUNTA(A916:F916)=0,"",IF(A916="","Missing equipment ID",IF(COUNTIFS($N$8:$N$2007,"="&amp;N916)&gt;1,"Duplicate equipment ID",IF(B916="","Missing type",IF(COUNTIFS('Rules'!$G$7:$G$26,"="&amp;(SUBSTITUTE(SUBSTITUTE(SUBSTITUTE(SUBSTITUTE("type:"&amp;B916,"%","%25"),"~","%7E"),"*","%2A"),"?","%3F")))=0,"Unknown type",IF(COUNTIFS('Rules'!$G$7:$G$26,"="&amp;(SUBSTITUTE(SUBSTITUTE(SUBSTITUTE(SUBSTITUTE("type:"&amp;B916,"%","%25"),"~","%7E"),"*","%2A"),"?","%3F")))&gt;1,"Duplicate type",IF(INDEX('Rules'!$F$7:$F$26,MATCH(SUBSTITUTE(SUBSTITUTE(SUBSTITUTE(SUBSTITUTE("type:"&amp;B916,"%","%25"),"~","%7E"),"*","%2A"),"?","%3F"),'Rules'!$G$7:$G$26,0))&lt;&gt;"",INDEX('Rules'!$F$7:$F$26,MATCH(SUBSTITUTE(SUBSTITUTE(SUBSTITUTE(SUBSTITUTE("type:"&amp;B916,"%","%25"),"~","%7E"),"*","%2A"),"?","%3F"),'Rules'!$G$7:$G$26,0)),IF(AND(C916&lt;&gt;"",C916&lt;&gt;INDEX('Rules'!$B$7:$B$26,MATCH(SUBSTITUTE(SUBSTITUTE(SUBSTITUTE(SUBSTITUTE("type:"&amp;B916,"%","%25"),"~","%7E"),"*","%2A"),"?","%3F"),'Rules'!$G$7:$G$26,0))),"Unit mismatch",IF(IF(NOT(ISNUMBER(D916)),TRUE,OR(D916&lt;0,D916&gt;999999999,ROUND(D916,3)&lt;&gt;D916)),"Invalid current reading",IF(AND(E916&lt;&gt;"",IF(NOT(ISNUMBER(E916)),TRUE,OR(E916&lt;0,E916&gt;999999999,ROUND(E916,3)&lt;&gt;E916))),"Invalid previous reading",IF(IF(NOT(ISNUMBER(F916)),TRUE,OR(F916&lt;0,F916&gt;999999999,ROUND(F916,3)&lt;&gt;F916)),"Invalid last service",IF(AND(E916&lt;&gt;"",D916&lt;E916),"Decreased reading",IF(F916&gt;D916,"Last service above current","")))))))))))))</x:f>
      </x:c>
      <x:c r="L916" s="6" t="str">
        <x:f>IF(AND(NOT(COUNTA(A916:F916)=0),K916=""),INDEX('Rules'!$C$7:$C$26,MATCH(SUBSTITUTE(SUBSTITUTE(SUBSTITUTE(SUBSTITUTE("type:"&amp;B916,"%","%25"),"~","%7E"),"*","%2A"),"?","%3F"),'Rules'!$G$7:$G$26,0)),"")</x:f>
      </x:c>
      <x:c r="M916" s="6" t="str">
        <x:f>IF(AND(NOT(COUNTA(A916:F916)=0),K916=""),INDEX('Rules'!$D$7:$D$26,MATCH(SUBSTITUTE(SUBSTITUTE(SUBSTITUTE(SUBSTITUTE("type:"&amp;B916,"%","%25"),"~","%7E"),"*","%2A"),"?","%3F"),'Rules'!$G$7:$G$26,0)),"")</x:f>
      </x:c>
      <x:c r="N916" s="5" t="str">
        <x:f>IF(COUNTA(A916:F916)=0,"",SUBSTITUTE(SUBSTITUTE(SUBSTITUTE(SUBSTITUTE("id:"&amp;A916,"%","%25"),"~","%7E"),"*","%2A"),"?","%3F"))</x:f>
      </x:c>
    </x:row>
    <x:row r="917" ht="22" customHeight="1">
      <x:c r="A917" s="3"/>
      <x:c r="B917" s="3"/>
      <x:c r="C917" s="3"/>
      <x:c r="D917" s="4"/>
      <x:c r="E917" s="4"/>
      <x:c r="F917" s="4"/>
      <x:c r="G917" s="5" t="str">
        <x:f>IF(COUNTA(A917:F917)=0,"",IF(K917&lt;&gt;"","Review",IF(I917&lt;0,"Overdue",IF(I917=0,"Due now",IF(I917&lt;=M917,"Due soon","Not due")))))</x:f>
      </x:c>
      <x:c r="H917" s="5" t="str">
        <x:f>IF(OR(COUNTA(A917:F917)=0,COUNTIFS('Rules'!$G$7:$G$26,"="&amp;(SUBSTITUTE(SUBSTITUTE(SUBSTITUTE(SUBSTITUTE("type:"&amp;B917,"%","%25"),"~","%7E"),"*","%2A"),"?","%3F")))&lt;&gt;1),"",IF(OR(INDEX('Rules'!$B$7:$B$26,MATCH(SUBSTITUTE(SUBSTITUTE(SUBSTITUTE(SUBSTITUTE("type:"&amp;B917,"%","%25"),"~","%7E"),"*","%2A"),"?","%3F"),'Rules'!$G$7:$G$26,0))="hours",INDEX('Rules'!$B$7:$B$26,MATCH(SUBSTITUTE(SUBSTITUTE(SUBSTITUTE(SUBSTITUTE("type:"&amp;B917,"%","%25"),"~","%7E"),"*","%2A"),"?","%3F"),'Rules'!$G$7:$G$26,0))="km"),INDEX('Rules'!$B$7:$B$26,MATCH(SUBSTITUTE(SUBSTITUTE(SUBSTITUTE(SUBSTITUTE("type:"&amp;B917,"%","%25"),"~","%7E"),"*","%2A"),"?","%3F"),'Rules'!$G$7:$G$26,0)),""))</x:f>
      </x:c>
      <x:c r="I917" s="6" t="str">
        <x:f>IF(AND(NOT(COUNTA(A917:F917)=0),K917=""),ROUND(J917-D917,3),"")</x:f>
      </x:c>
      <x:c r="J917" s="6" t="str">
        <x:f>IF(AND(NOT(COUNTA(A917:F917)=0),K917=""),ROUND(F917+L917,3),"")</x:f>
      </x:c>
      <x:c r="K917" s="5" t="str">
        <x:f>IF(COUNTA(A917:F917)=0,"",IF(A917="","Missing equipment ID",IF(COUNTIFS($N$8:$N$2007,"="&amp;N917)&gt;1,"Duplicate equipment ID",IF(B917="","Missing type",IF(COUNTIFS('Rules'!$G$7:$G$26,"="&amp;(SUBSTITUTE(SUBSTITUTE(SUBSTITUTE(SUBSTITUTE("type:"&amp;B917,"%","%25"),"~","%7E"),"*","%2A"),"?","%3F")))=0,"Unknown type",IF(COUNTIFS('Rules'!$G$7:$G$26,"="&amp;(SUBSTITUTE(SUBSTITUTE(SUBSTITUTE(SUBSTITUTE("type:"&amp;B917,"%","%25"),"~","%7E"),"*","%2A"),"?","%3F")))&gt;1,"Duplicate type",IF(INDEX('Rules'!$F$7:$F$26,MATCH(SUBSTITUTE(SUBSTITUTE(SUBSTITUTE(SUBSTITUTE("type:"&amp;B917,"%","%25"),"~","%7E"),"*","%2A"),"?","%3F"),'Rules'!$G$7:$G$26,0))&lt;&gt;"",INDEX('Rules'!$F$7:$F$26,MATCH(SUBSTITUTE(SUBSTITUTE(SUBSTITUTE(SUBSTITUTE("type:"&amp;B917,"%","%25"),"~","%7E"),"*","%2A"),"?","%3F"),'Rules'!$G$7:$G$26,0)),IF(AND(C917&lt;&gt;"",C917&lt;&gt;INDEX('Rules'!$B$7:$B$26,MATCH(SUBSTITUTE(SUBSTITUTE(SUBSTITUTE(SUBSTITUTE("type:"&amp;B917,"%","%25"),"~","%7E"),"*","%2A"),"?","%3F"),'Rules'!$G$7:$G$26,0))),"Unit mismatch",IF(IF(NOT(ISNUMBER(D917)),TRUE,OR(D917&lt;0,D917&gt;999999999,ROUND(D917,3)&lt;&gt;D917)),"Invalid current reading",IF(AND(E917&lt;&gt;"",IF(NOT(ISNUMBER(E917)),TRUE,OR(E917&lt;0,E917&gt;999999999,ROUND(E917,3)&lt;&gt;E917))),"Invalid previous reading",IF(IF(NOT(ISNUMBER(F917)),TRUE,OR(F917&lt;0,F917&gt;999999999,ROUND(F917,3)&lt;&gt;F917)),"Invalid last service",IF(AND(E917&lt;&gt;"",D917&lt;E917),"Decreased reading",IF(F917&gt;D917,"Last service above current","")))))))))))))</x:f>
      </x:c>
      <x:c r="L917" s="6" t="str">
        <x:f>IF(AND(NOT(COUNTA(A917:F917)=0),K917=""),INDEX('Rules'!$C$7:$C$26,MATCH(SUBSTITUTE(SUBSTITUTE(SUBSTITUTE(SUBSTITUTE("type:"&amp;B917,"%","%25"),"~","%7E"),"*","%2A"),"?","%3F"),'Rules'!$G$7:$G$26,0)),"")</x:f>
      </x:c>
      <x:c r="M917" s="6" t="str">
        <x:f>IF(AND(NOT(COUNTA(A917:F917)=0),K917=""),INDEX('Rules'!$D$7:$D$26,MATCH(SUBSTITUTE(SUBSTITUTE(SUBSTITUTE(SUBSTITUTE("type:"&amp;B917,"%","%25"),"~","%7E"),"*","%2A"),"?","%3F"),'Rules'!$G$7:$G$26,0)),"")</x:f>
      </x:c>
      <x:c r="N917" s="5" t="str">
        <x:f>IF(COUNTA(A917:F917)=0,"",SUBSTITUTE(SUBSTITUTE(SUBSTITUTE(SUBSTITUTE("id:"&amp;A917,"%","%25"),"~","%7E"),"*","%2A"),"?","%3F"))</x:f>
      </x:c>
    </x:row>
    <x:row r="918" ht="22" customHeight="1">
      <x:c r="A918" s="3"/>
      <x:c r="B918" s="3"/>
      <x:c r="C918" s="3"/>
      <x:c r="D918" s="4"/>
      <x:c r="E918" s="4"/>
      <x:c r="F918" s="4"/>
      <x:c r="G918" s="5" t="str">
        <x:f>IF(COUNTA(A918:F918)=0,"",IF(K918&lt;&gt;"","Review",IF(I918&lt;0,"Overdue",IF(I918=0,"Due now",IF(I918&lt;=M918,"Due soon","Not due")))))</x:f>
      </x:c>
      <x:c r="H918" s="5" t="str">
        <x:f>IF(OR(COUNTA(A918:F918)=0,COUNTIFS('Rules'!$G$7:$G$26,"="&amp;(SUBSTITUTE(SUBSTITUTE(SUBSTITUTE(SUBSTITUTE("type:"&amp;B918,"%","%25"),"~","%7E"),"*","%2A"),"?","%3F")))&lt;&gt;1),"",IF(OR(INDEX('Rules'!$B$7:$B$26,MATCH(SUBSTITUTE(SUBSTITUTE(SUBSTITUTE(SUBSTITUTE("type:"&amp;B918,"%","%25"),"~","%7E"),"*","%2A"),"?","%3F"),'Rules'!$G$7:$G$26,0))="hours",INDEX('Rules'!$B$7:$B$26,MATCH(SUBSTITUTE(SUBSTITUTE(SUBSTITUTE(SUBSTITUTE("type:"&amp;B918,"%","%25"),"~","%7E"),"*","%2A"),"?","%3F"),'Rules'!$G$7:$G$26,0))="km"),INDEX('Rules'!$B$7:$B$26,MATCH(SUBSTITUTE(SUBSTITUTE(SUBSTITUTE(SUBSTITUTE("type:"&amp;B918,"%","%25"),"~","%7E"),"*","%2A"),"?","%3F"),'Rules'!$G$7:$G$26,0)),""))</x:f>
      </x:c>
      <x:c r="I918" s="6" t="str">
        <x:f>IF(AND(NOT(COUNTA(A918:F918)=0),K918=""),ROUND(J918-D918,3),"")</x:f>
      </x:c>
      <x:c r="J918" s="6" t="str">
        <x:f>IF(AND(NOT(COUNTA(A918:F918)=0),K918=""),ROUND(F918+L918,3),"")</x:f>
      </x:c>
      <x:c r="K918" s="5" t="str">
        <x:f>IF(COUNTA(A918:F918)=0,"",IF(A918="","Missing equipment ID",IF(COUNTIFS($N$8:$N$2007,"="&amp;N918)&gt;1,"Duplicate equipment ID",IF(B918="","Missing type",IF(COUNTIFS('Rules'!$G$7:$G$26,"="&amp;(SUBSTITUTE(SUBSTITUTE(SUBSTITUTE(SUBSTITUTE("type:"&amp;B918,"%","%25"),"~","%7E"),"*","%2A"),"?","%3F")))=0,"Unknown type",IF(COUNTIFS('Rules'!$G$7:$G$26,"="&amp;(SUBSTITUTE(SUBSTITUTE(SUBSTITUTE(SUBSTITUTE("type:"&amp;B918,"%","%25"),"~","%7E"),"*","%2A"),"?","%3F")))&gt;1,"Duplicate type",IF(INDEX('Rules'!$F$7:$F$26,MATCH(SUBSTITUTE(SUBSTITUTE(SUBSTITUTE(SUBSTITUTE("type:"&amp;B918,"%","%25"),"~","%7E"),"*","%2A"),"?","%3F"),'Rules'!$G$7:$G$26,0))&lt;&gt;"",INDEX('Rules'!$F$7:$F$26,MATCH(SUBSTITUTE(SUBSTITUTE(SUBSTITUTE(SUBSTITUTE("type:"&amp;B918,"%","%25"),"~","%7E"),"*","%2A"),"?","%3F"),'Rules'!$G$7:$G$26,0)),IF(AND(C918&lt;&gt;"",C918&lt;&gt;INDEX('Rules'!$B$7:$B$26,MATCH(SUBSTITUTE(SUBSTITUTE(SUBSTITUTE(SUBSTITUTE("type:"&amp;B918,"%","%25"),"~","%7E"),"*","%2A"),"?","%3F"),'Rules'!$G$7:$G$26,0))),"Unit mismatch",IF(IF(NOT(ISNUMBER(D918)),TRUE,OR(D918&lt;0,D918&gt;999999999,ROUND(D918,3)&lt;&gt;D918)),"Invalid current reading",IF(AND(E918&lt;&gt;"",IF(NOT(ISNUMBER(E918)),TRUE,OR(E918&lt;0,E918&gt;999999999,ROUND(E918,3)&lt;&gt;E918))),"Invalid previous reading",IF(IF(NOT(ISNUMBER(F918)),TRUE,OR(F918&lt;0,F918&gt;999999999,ROUND(F918,3)&lt;&gt;F918)),"Invalid last service",IF(AND(E918&lt;&gt;"",D918&lt;E918),"Decreased reading",IF(F918&gt;D918,"Last service above current","")))))))))))))</x:f>
      </x:c>
      <x:c r="L918" s="6" t="str">
        <x:f>IF(AND(NOT(COUNTA(A918:F918)=0),K918=""),INDEX('Rules'!$C$7:$C$26,MATCH(SUBSTITUTE(SUBSTITUTE(SUBSTITUTE(SUBSTITUTE("type:"&amp;B918,"%","%25"),"~","%7E"),"*","%2A"),"?","%3F"),'Rules'!$G$7:$G$26,0)),"")</x:f>
      </x:c>
      <x:c r="M918" s="6" t="str">
        <x:f>IF(AND(NOT(COUNTA(A918:F918)=0),K918=""),INDEX('Rules'!$D$7:$D$26,MATCH(SUBSTITUTE(SUBSTITUTE(SUBSTITUTE(SUBSTITUTE("type:"&amp;B918,"%","%25"),"~","%7E"),"*","%2A"),"?","%3F"),'Rules'!$G$7:$G$26,0)),"")</x:f>
      </x:c>
      <x:c r="N918" s="5" t="str">
        <x:f>IF(COUNTA(A918:F918)=0,"",SUBSTITUTE(SUBSTITUTE(SUBSTITUTE(SUBSTITUTE("id:"&amp;A918,"%","%25"),"~","%7E"),"*","%2A"),"?","%3F"))</x:f>
      </x:c>
    </x:row>
    <x:row r="919" ht="22" customHeight="1">
      <x:c r="A919" s="3"/>
      <x:c r="B919" s="3"/>
      <x:c r="C919" s="3"/>
      <x:c r="D919" s="4"/>
      <x:c r="E919" s="4"/>
      <x:c r="F919" s="4"/>
      <x:c r="G919" s="5" t="str">
        <x:f>IF(COUNTA(A919:F919)=0,"",IF(K919&lt;&gt;"","Review",IF(I919&lt;0,"Overdue",IF(I919=0,"Due now",IF(I919&lt;=M919,"Due soon","Not due")))))</x:f>
      </x:c>
      <x:c r="H919" s="5" t="str">
        <x:f>IF(OR(COUNTA(A919:F919)=0,COUNTIFS('Rules'!$G$7:$G$26,"="&amp;(SUBSTITUTE(SUBSTITUTE(SUBSTITUTE(SUBSTITUTE("type:"&amp;B919,"%","%25"),"~","%7E"),"*","%2A"),"?","%3F")))&lt;&gt;1),"",IF(OR(INDEX('Rules'!$B$7:$B$26,MATCH(SUBSTITUTE(SUBSTITUTE(SUBSTITUTE(SUBSTITUTE("type:"&amp;B919,"%","%25"),"~","%7E"),"*","%2A"),"?","%3F"),'Rules'!$G$7:$G$26,0))="hours",INDEX('Rules'!$B$7:$B$26,MATCH(SUBSTITUTE(SUBSTITUTE(SUBSTITUTE(SUBSTITUTE("type:"&amp;B919,"%","%25"),"~","%7E"),"*","%2A"),"?","%3F"),'Rules'!$G$7:$G$26,0))="km"),INDEX('Rules'!$B$7:$B$26,MATCH(SUBSTITUTE(SUBSTITUTE(SUBSTITUTE(SUBSTITUTE("type:"&amp;B919,"%","%25"),"~","%7E"),"*","%2A"),"?","%3F"),'Rules'!$G$7:$G$26,0)),""))</x:f>
      </x:c>
      <x:c r="I919" s="6" t="str">
        <x:f>IF(AND(NOT(COUNTA(A919:F919)=0),K919=""),ROUND(J919-D919,3),"")</x:f>
      </x:c>
      <x:c r="J919" s="6" t="str">
        <x:f>IF(AND(NOT(COUNTA(A919:F919)=0),K919=""),ROUND(F919+L919,3),"")</x:f>
      </x:c>
      <x:c r="K919" s="5" t="str">
        <x:f>IF(COUNTA(A919:F919)=0,"",IF(A919="","Missing equipment ID",IF(COUNTIFS($N$8:$N$2007,"="&amp;N919)&gt;1,"Duplicate equipment ID",IF(B919="","Missing type",IF(COUNTIFS('Rules'!$G$7:$G$26,"="&amp;(SUBSTITUTE(SUBSTITUTE(SUBSTITUTE(SUBSTITUTE("type:"&amp;B919,"%","%25"),"~","%7E"),"*","%2A"),"?","%3F")))=0,"Unknown type",IF(COUNTIFS('Rules'!$G$7:$G$26,"="&amp;(SUBSTITUTE(SUBSTITUTE(SUBSTITUTE(SUBSTITUTE("type:"&amp;B919,"%","%25"),"~","%7E"),"*","%2A"),"?","%3F")))&gt;1,"Duplicate type",IF(INDEX('Rules'!$F$7:$F$26,MATCH(SUBSTITUTE(SUBSTITUTE(SUBSTITUTE(SUBSTITUTE("type:"&amp;B919,"%","%25"),"~","%7E"),"*","%2A"),"?","%3F"),'Rules'!$G$7:$G$26,0))&lt;&gt;"",INDEX('Rules'!$F$7:$F$26,MATCH(SUBSTITUTE(SUBSTITUTE(SUBSTITUTE(SUBSTITUTE("type:"&amp;B919,"%","%25"),"~","%7E"),"*","%2A"),"?","%3F"),'Rules'!$G$7:$G$26,0)),IF(AND(C919&lt;&gt;"",C919&lt;&gt;INDEX('Rules'!$B$7:$B$26,MATCH(SUBSTITUTE(SUBSTITUTE(SUBSTITUTE(SUBSTITUTE("type:"&amp;B919,"%","%25"),"~","%7E"),"*","%2A"),"?","%3F"),'Rules'!$G$7:$G$26,0))),"Unit mismatch",IF(IF(NOT(ISNUMBER(D919)),TRUE,OR(D919&lt;0,D919&gt;999999999,ROUND(D919,3)&lt;&gt;D919)),"Invalid current reading",IF(AND(E919&lt;&gt;"",IF(NOT(ISNUMBER(E919)),TRUE,OR(E919&lt;0,E919&gt;999999999,ROUND(E919,3)&lt;&gt;E919))),"Invalid previous reading",IF(IF(NOT(ISNUMBER(F919)),TRUE,OR(F919&lt;0,F919&gt;999999999,ROUND(F919,3)&lt;&gt;F919)),"Invalid last service",IF(AND(E919&lt;&gt;"",D919&lt;E919),"Decreased reading",IF(F919&gt;D919,"Last service above current","")))))))))))))</x:f>
      </x:c>
      <x:c r="L919" s="6" t="str">
        <x:f>IF(AND(NOT(COUNTA(A919:F919)=0),K919=""),INDEX('Rules'!$C$7:$C$26,MATCH(SUBSTITUTE(SUBSTITUTE(SUBSTITUTE(SUBSTITUTE("type:"&amp;B919,"%","%25"),"~","%7E"),"*","%2A"),"?","%3F"),'Rules'!$G$7:$G$26,0)),"")</x:f>
      </x:c>
      <x:c r="M919" s="6" t="str">
        <x:f>IF(AND(NOT(COUNTA(A919:F919)=0),K919=""),INDEX('Rules'!$D$7:$D$26,MATCH(SUBSTITUTE(SUBSTITUTE(SUBSTITUTE(SUBSTITUTE("type:"&amp;B919,"%","%25"),"~","%7E"),"*","%2A"),"?","%3F"),'Rules'!$G$7:$G$26,0)),"")</x:f>
      </x:c>
      <x:c r="N919" s="5" t="str">
        <x:f>IF(COUNTA(A919:F919)=0,"",SUBSTITUTE(SUBSTITUTE(SUBSTITUTE(SUBSTITUTE("id:"&amp;A919,"%","%25"),"~","%7E"),"*","%2A"),"?","%3F"))</x:f>
      </x:c>
    </x:row>
    <x:row r="920" ht="22" customHeight="1">
      <x:c r="A920" s="3"/>
      <x:c r="B920" s="3"/>
      <x:c r="C920" s="3"/>
      <x:c r="D920" s="4"/>
      <x:c r="E920" s="4"/>
      <x:c r="F920" s="4"/>
      <x:c r="G920" s="5" t="str">
        <x:f>IF(COUNTA(A920:F920)=0,"",IF(K920&lt;&gt;"","Review",IF(I920&lt;0,"Overdue",IF(I920=0,"Due now",IF(I920&lt;=M920,"Due soon","Not due")))))</x:f>
      </x:c>
      <x:c r="H920" s="5" t="str">
        <x:f>IF(OR(COUNTA(A920:F920)=0,COUNTIFS('Rules'!$G$7:$G$26,"="&amp;(SUBSTITUTE(SUBSTITUTE(SUBSTITUTE(SUBSTITUTE("type:"&amp;B920,"%","%25"),"~","%7E"),"*","%2A"),"?","%3F")))&lt;&gt;1),"",IF(OR(INDEX('Rules'!$B$7:$B$26,MATCH(SUBSTITUTE(SUBSTITUTE(SUBSTITUTE(SUBSTITUTE("type:"&amp;B920,"%","%25"),"~","%7E"),"*","%2A"),"?","%3F"),'Rules'!$G$7:$G$26,0))="hours",INDEX('Rules'!$B$7:$B$26,MATCH(SUBSTITUTE(SUBSTITUTE(SUBSTITUTE(SUBSTITUTE("type:"&amp;B920,"%","%25"),"~","%7E"),"*","%2A"),"?","%3F"),'Rules'!$G$7:$G$26,0))="km"),INDEX('Rules'!$B$7:$B$26,MATCH(SUBSTITUTE(SUBSTITUTE(SUBSTITUTE(SUBSTITUTE("type:"&amp;B920,"%","%25"),"~","%7E"),"*","%2A"),"?","%3F"),'Rules'!$G$7:$G$26,0)),""))</x:f>
      </x:c>
      <x:c r="I920" s="6" t="str">
        <x:f>IF(AND(NOT(COUNTA(A920:F920)=0),K920=""),ROUND(J920-D920,3),"")</x:f>
      </x:c>
      <x:c r="J920" s="6" t="str">
        <x:f>IF(AND(NOT(COUNTA(A920:F920)=0),K920=""),ROUND(F920+L920,3),"")</x:f>
      </x:c>
      <x:c r="K920" s="5" t="str">
        <x:f>IF(COUNTA(A920:F920)=0,"",IF(A920="","Missing equipment ID",IF(COUNTIFS($N$8:$N$2007,"="&amp;N920)&gt;1,"Duplicate equipment ID",IF(B920="","Missing type",IF(COUNTIFS('Rules'!$G$7:$G$26,"="&amp;(SUBSTITUTE(SUBSTITUTE(SUBSTITUTE(SUBSTITUTE("type:"&amp;B920,"%","%25"),"~","%7E"),"*","%2A"),"?","%3F")))=0,"Unknown type",IF(COUNTIFS('Rules'!$G$7:$G$26,"="&amp;(SUBSTITUTE(SUBSTITUTE(SUBSTITUTE(SUBSTITUTE("type:"&amp;B920,"%","%25"),"~","%7E"),"*","%2A"),"?","%3F")))&gt;1,"Duplicate type",IF(INDEX('Rules'!$F$7:$F$26,MATCH(SUBSTITUTE(SUBSTITUTE(SUBSTITUTE(SUBSTITUTE("type:"&amp;B920,"%","%25"),"~","%7E"),"*","%2A"),"?","%3F"),'Rules'!$G$7:$G$26,0))&lt;&gt;"",INDEX('Rules'!$F$7:$F$26,MATCH(SUBSTITUTE(SUBSTITUTE(SUBSTITUTE(SUBSTITUTE("type:"&amp;B920,"%","%25"),"~","%7E"),"*","%2A"),"?","%3F"),'Rules'!$G$7:$G$26,0)),IF(AND(C920&lt;&gt;"",C920&lt;&gt;INDEX('Rules'!$B$7:$B$26,MATCH(SUBSTITUTE(SUBSTITUTE(SUBSTITUTE(SUBSTITUTE("type:"&amp;B920,"%","%25"),"~","%7E"),"*","%2A"),"?","%3F"),'Rules'!$G$7:$G$26,0))),"Unit mismatch",IF(IF(NOT(ISNUMBER(D920)),TRUE,OR(D920&lt;0,D920&gt;999999999,ROUND(D920,3)&lt;&gt;D920)),"Invalid current reading",IF(AND(E920&lt;&gt;"",IF(NOT(ISNUMBER(E920)),TRUE,OR(E920&lt;0,E920&gt;999999999,ROUND(E920,3)&lt;&gt;E920))),"Invalid previous reading",IF(IF(NOT(ISNUMBER(F920)),TRUE,OR(F920&lt;0,F920&gt;999999999,ROUND(F920,3)&lt;&gt;F920)),"Invalid last service",IF(AND(E920&lt;&gt;"",D920&lt;E920),"Decreased reading",IF(F920&gt;D920,"Last service above current","")))))))))))))</x:f>
      </x:c>
      <x:c r="L920" s="6" t="str">
        <x:f>IF(AND(NOT(COUNTA(A920:F920)=0),K920=""),INDEX('Rules'!$C$7:$C$26,MATCH(SUBSTITUTE(SUBSTITUTE(SUBSTITUTE(SUBSTITUTE("type:"&amp;B920,"%","%25"),"~","%7E"),"*","%2A"),"?","%3F"),'Rules'!$G$7:$G$26,0)),"")</x:f>
      </x:c>
      <x:c r="M920" s="6" t="str">
        <x:f>IF(AND(NOT(COUNTA(A920:F920)=0),K920=""),INDEX('Rules'!$D$7:$D$26,MATCH(SUBSTITUTE(SUBSTITUTE(SUBSTITUTE(SUBSTITUTE("type:"&amp;B920,"%","%25"),"~","%7E"),"*","%2A"),"?","%3F"),'Rules'!$G$7:$G$26,0)),"")</x:f>
      </x:c>
      <x:c r="N920" s="5" t="str">
        <x:f>IF(COUNTA(A920:F920)=0,"",SUBSTITUTE(SUBSTITUTE(SUBSTITUTE(SUBSTITUTE("id:"&amp;A920,"%","%25"),"~","%7E"),"*","%2A"),"?","%3F"))</x:f>
      </x:c>
    </x:row>
    <x:row r="921" ht="22" customHeight="1">
      <x:c r="A921" s="3"/>
      <x:c r="B921" s="3"/>
      <x:c r="C921" s="3"/>
      <x:c r="D921" s="4"/>
      <x:c r="E921" s="4"/>
      <x:c r="F921" s="4"/>
      <x:c r="G921" s="5" t="str">
        <x:f>IF(COUNTA(A921:F921)=0,"",IF(K921&lt;&gt;"","Review",IF(I921&lt;0,"Overdue",IF(I921=0,"Due now",IF(I921&lt;=M921,"Due soon","Not due")))))</x:f>
      </x:c>
      <x:c r="H921" s="5" t="str">
        <x:f>IF(OR(COUNTA(A921:F921)=0,COUNTIFS('Rules'!$G$7:$G$26,"="&amp;(SUBSTITUTE(SUBSTITUTE(SUBSTITUTE(SUBSTITUTE("type:"&amp;B921,"%","%25"),"~","%7E"),"*","%2A"),"?","%3F")))&lt;&gt;1),"",IF(OR(INDEX('Rules'!$B$7:$B$26,MATCH(SUBSTITUTE(SUBSTITUTE(SUBSTITUTE(SUBSTITUTE("type:"&amp;B921,"%","%25"),"~","%7E"),"*","%2A"),"?","%3F"),'Rules'!$G$7:$G$26,0))="hours",INDEX('Rules'!$B$7:$B$26,MATCH(SUBSTITUTE(SUBSTITUTE(SUBSTITUTE(SUBSTITUTE("type:"&amp;B921,"%","%25"),"~","%7E"),"*","%2A"),"?","%3F"),'Rules'!$G$7:$G$26,0))="km"),INDEX('Rules'!$B$7:$B$26,MATCH(SUBSTITUTE(SUBSTITUTE(SUBSTITUTE(SUBSTITUTE("type:"&amp;B921,"%","%25"),"~","%7E"),"*","%2A"),"?","%3F"),'Rules'!$G$7:$G$26,0)),""))</x:f>
      </x:c>
      <x:c r="I921" s="6" t="str">
        <x:f>IF(AND(NOT(COUNTA(A921:F921)=0),K921=""),ROUND(J921-D921,3),"")</x:f>
      </x:c>
      <x:c r="J921" s="6" t="str">
        <x:f>IF(AND(NOT(COUNTA(A921:F921)=0),K921=""),ROUND(F921+L921,3),"")</x:f>
      </x:c>
      <x:c r="K921" s="5" t="str">
        <x:f>IF(COUNTA(A921:F921)=0,"",IF(A921="","Missing equipment ID",IF(COUNTIFS($N$8:$N$2007,"="&amp;N921)&gt;1,"Duplicate equipment ID",IF(B921="","Missing type",IF(COUNTIFS('Rules'!$G$7:$G$26,"="&amp;(SUBSTITUTE(SUBSTITUTE(SUBSTITUTE(SUBSTITUTE("type:"&amp;B921,"%","%25"),"~","%7E"),"*","%2A"),"?","%3F")))=0,"Unknown type",IF(COUNTIFS('Rules'!$G$7:$G$26,"="&amp;(SUBSTITUTE(SUBSTITUTE(SUBSTITUTE(SUBSTITUTE("type:"&amp;B921,"%","%25"),"~","%7E"),"*","%2A"),"?","%3F")))&gt;1,"Duplicate type",IF(INDEX('Rules'!$F$7:$F$26,MATCH(SUBSTITUTE(SUBSTITUTE(SUBSTITUTE(SUBSTITUTE("type:"&amp;B921,"%","%25"),"~","%7E"),"*","%2A"),"?","%3F"),'Rules'!$G$7:$G$26,0))&lt;&gt;"",INDEX('Rules'!$F$7:$F$26,MATCH(SUBSTITUTE(SUBSTITUTE(SUBSTITUTE(SUBSTITUTE("type:"&amp;B921,"%","%25"),"~","%7E"),"*","%2A"),"?","%3F"),'Rules'!$G$7:$G$26,0)),IF(AND(C921&lt;&gt;"",C921&lt;&gt;INDEX('Rules'!$B$7:$B$26,MATCH(SUBSTITUTE(SUBSTITUTE(SUBSTITUTE(SUBSTITUTE("type:"&amp;B921,"%","%25"),"~","%7E"),"*","%2A"),"?","%3F"),'Rules'!$G$7:$G$26,0))),"Unit mismatch",IF(IF(NOT(ISNUMBER(D921)),TRUE,OR(D921&lt;0,D921&gt;999999999,ROUND(D921,3)&lt;&gt;D921)),"Invalid current reading",IF(AND(E921&lt;&gt;"",IF(NOT(ISNUMBER(E921)),TRUE,OR(E921&lt;0,E921&gt;999999999,ROUND(E921,3)&lt;&gt;E921))),"Invalid previous reading",IF(IF(NOT(ISNUMBER(F921)),TRUE,OR(F921&lt;0,F921&gt;999999999,ROUND(F921,3)&lt;&gt;F921)),"Invalid last service",IF(AND(E921&lt;&gt;"",D921&lt;E921),"Decreased reading",IF(F921&gt;D921,"Last service above current","")))))))))))))</x:f>
      </x:c>
      <x:c r="L921" s="6" t="str">
        <x:f>IF(AND(NOT(COUNTA(A921:F921)=0),K921=""),INDEX('Rules'!$C$7:$C$26,MATCH(SUBSTITUTE(SUBSTITUTE(SUBSTITUTE(SUBSTITUTE("type:"&amp;B921,"%","%25"),"~","%7E"),"*","%2A"),"?","%3F"),'Rules'!$G$7:$G$26,0)),"")</x:f>
      </x:c>
      <x:c r="M921" s="6" t="str">
        <x:f>IF(AND(NOT(COUNTA(A921:F921)=0),K921=""),INDEX('Rules'!$D$7:$D$26,MATCH(SUBSTITUTE(SUBSTITUTE(SUBSTITUTE(SUBSTITUTE("type:"&amp;B921,"%","%25"),"~","%7E"),"*","%2A"),"?","%3F"),'Rules'!$G$7:$G$26,0)),"")</x:f>
      </x:c>
      <x:c r="N921" s="5" t="str">
        <x:f>IF(COUNTA(A921:F921)=0,"",SUBSTITUTE(SUBSTITUTE(SUBSTITUTE(SUBSTITUTE("id:"&amp;A921,"%","%25"),"~","%7E"),"*","%2A"),"?","%3F"))</x:f>
      </x:c>
    </x:row>
    <x:row r="922" ht="22" customHeight="1">
      <x:c r="A922" s="3"/>
      <x:c r="B922" s="3"/>
      <x:c r="C922" s="3"/>
      <x:c r="D922" s="4"/>
      <x:c r="E922" s="4"/>
      <x:c r="F922" s="4"/>
      <x:c r="G922" s="5" t="str">
        <x:f>IF(COUNTA(A922:F922)=0,"",IF(K922&lt;&gt;"","Review",IF(I922&lt;0,"Overdue",IF(I922=0,"Due now",IF(I922&lt;=M922,"Due soon","Not due")))))</x:f>
      </x:c>
      <x:c r="H922" s="5" t="str">
        <x:f>IF(OR(COUNTA(A922:F922)=0,COUNTIFS('Rules'!$G$7:$G$26,"="&amp;(SUBSTITUTE(SUBSTITUTE(SUBSTITUTE(SUBSTITUTE("type:"&amp;B922,"%","%25"),"~","%7E"),"*","%2A"),"?","%3F")))&lt;&gt;1),"",IF(OR(INDEX('Rules'!$B$7:$B$26,MATCH(SUBSTITUTE(SUBSTITUTE(SUBSTITUTE(SUBSTITUTE("type:"&amp;B922,"%","%25"),"~","%7E"),"*","%2A"),"?","%3F"),'Rules'!$G$7:$G$26,0))="hours",INDEX('Rules'!$B$7:$B$26,MATCH(SUBSTITUTE(SUBSTITUTE(SUBSTITUTE(SUBSTITUTE("type:"&amp;B922,"%","%25"),"~","%7E"),"*","%2A"),"?","%3F"),'Rules'!$G$7:$G$26,0))="km"),INDEX('Rules'!$B$7:$B$26,MATCH(SUBSTITUTE(SUBSTITUTE(SUBSTITUTE(SUBSTITUTE("type:"&amp;B922,"%","%25"),"~","%7E"),"*","%2A"),"?","%3F"),'Rules'!$G$7:$G$26,0)),""))</x:f>
      </x:c>
      <x:c r="I922" s="6" t="str">
        <x:f>IF(AND(NOT(COUNTA(A922:F922)=0),K922=""),ROUND(J922-D922,3),"")</x:f>
      </x:c>
      <x:c r="J922" s="6" t="str">
        <x:f>IF(AND(NOT(COUNTA(A922:F922)=0),K922=""),ROUND(F922+L922,3),"")</x:f>
      </x:c>
      <x:c r="K922" s="5" t="str">
        <x:f>IF(COUNTA(A922:F922)=0,"",IF(A922="","Missing equipment ID",IF(COUNTIFS($N$8:$N$2007,"="&amp;N922)&gt;1,"Duplicate equipment ID",IF(B922="","Missing type",IF(COUNTIFS('Rules'!$G$7:$G$26,"="&amp;(SUBSTITUTE(SUBSTITUTE(SUBSTITUTE(SUBSTITUTE("type:"&amp;B922,"%","%25"),"~","%7E"),"*","%2A"),"?","%3F")))=0,"Unknown type",IF(COUNTIFS('Rules'!$G$7:$G$26,"="&amp;(SUBSTITUTE(SUBSTITUTE(SUBSTITUTE(SUBSTITUTE("type:"&amp;B922,"%","%25"),"~","%7E"),"*","%2A"),"?","%3F")))&gt;1,"Duplicate type",IF(INDEX('Rules'!$F$7:$F$26,MATCH(SUBSTITUTE(SUBSTITUTE(SUBSTITUTE(SUBSTITUTE("type:"&amp;B922,"%","%25"),"~","%7E"),"*","%2A"),"?","%3F"),'Rules'!$G$7:$G$26,0))&lt;&gt;"",INDEX('Rules'!$F$7:$F$26,MATCH(SUBSTITUTE(SUBSTITUTE(SUBSTITUTE(SUBSTITUTE("type:"&amp;B922,"%","%25"),"~","%7E"),"*","%2A"),"?","%3F"),'Rules'!$G$7:$G$26,0)),IF(AND(C922&lt;&gt;"",C922&lt;&gt;INDEX('Rules'!$B$7:$B$26,MATCH(SUBSTITUTE(SUBSTITUTE(SUBSTITUTE(SUBSTITUTE("type:"&amp;B922,"%","%25"),"~","%7E"),"*","%2A"),"?","%3F"),'Rules'!$G$7:$G$26,0))),"Unit mismatch",IF(IF(NOT(ISNUMBER(D922)),TRUE,OR(D922&lt;0,D922&gt;999999999,ROUND(D922,3)&lt;&gt;D922)),"Invalid current reading",IF(AND(E922&lt;&gt;"",IF(NOT(ISNUMBER(E922)),TRUE,OR(E922&lt;0,E922&gt;999999999,ROUND(E922,3)&lt;&gt;E922))),"Invalid previous reading",IF(IF(NOT(ISNUMBER(F922)),TRUE,OR(F922&lt;0,F922&gt;999999999,ROUND(F922,3)&lt;&gt;F922)),"Invalid last service",IF(AND(E922&lt;&gt;"",D922&lt;E922),"Decreased reading",IF(F922&gt;D922,"Last service above current","")))))))))))))</x:f>
      </x:c>
      <x:c r="L922" s="6" t="str">
        <x:f>IF(AND(NOT(COUNTA(A922:F922)=0),K922=""),INDEX('Rules'!$C$7:$C$26,MATCH(SUBSTITUTE(SUBSTITUTE(SUBSTITUTE(SUBSTITUTE("type:"&amp;B922,"%","%25"),"~","%7E"),"*","%2A"),"?","%3F"),'Rules'!$G$7:$G$26,0)),"")</x:f>
      </x:c>
      <x:c r="M922" s="6" t="str">
        <x:f>IF(AND(NOT(COUNTA(A922:F922)=0),K922=""),INDEX('Rules'!$D$7:$D$26,MATCH(SUBSTITUTE(SUBSTITUTE(SUBSTITUTE(SUBSTITUTE("type:"&amp;B922,"%","%25"),"~","%7E"),"*","%2A"),"?","%3F"),'Rules'!$G$7:$G$26,0)),"")</x:f>
      </x:c>
      <x:c r="N922" s="5" t="str">
        <x:f>IF(COUNTA(A922:F922)=0,"",SUBSTITUTE(SUBSTITUTE(SUBSTITUTE(SUBSTITUTE("id:"&amp;A922,"%","%25"),"~","%7E"),"*","%2A"),"?","%3F"))</x:f>
      </x:c>
    </x:row>
    <x:row r="923" ht="22" customHeight="1">
      <x:c r="A923" s="3"/>
      <x:c r="B923" s="3"/>
      <x:c r="C923" s="3"/>
      <x:c r="D923" s="4"/>
      <x:c r="E923" s="4"/>
      <x:c r="F923" s="4"/>
      <x:c r="G923" s="5" t="str">
        <x:f>IF(COUNTA(A923:F923)=0,"",IF(K923&lt;&gt;"","Review",IF(I923&lt;0,"Overdue",IF(I923=0,"Due now",IF(I923&lt;=M923,"Due soon","Not due")))))</x:f>
      </x:c>
      <x:c r="H923" s="5" t="str">
        <x:f>IF(OR(COUNTA(A923:F923)=0,COUNTIFS('Rules'!$G$7:$G$26,"="&amp;(SUBSTITUTE(SUBSTITUTE(SUBSTITUTE(SUBSTITUTE("type:"&amp;B923,"%","%25"),"~","%7E"),"*","%2A"),"?","%3F")))&lt;&gt;1),"",IF(OR(INDEX('Rules'!$B$7:$B$26,MATCH(SUBSTITUTE(SUBSTITUTE(SUBSTITUTE(SUBSTITUTE("type:"&amp;B923,"%","%25"),"~","%7E"),"*","%2A"),"?","%3F"),'Rules'!$G$7:$G$26,0))="hours",INDEX('Rules'!$B$7:$B$26,MATCH(SUBSTITUTE(SUBSTITUTE(SUBSTITUTE(SUBSTITUTE("type:"&amp;B923,"%","%25"),"~","%7E"),"*","%2A"),"?","%3F"),'Rules'!$G$7:$G$26,0))="km"),INDEX('Rules'!$B$7:$B$26,MATCH(SUBSTITUTE(SUBSTITUTE(SUBSTITUTE(SUBSTITUTE("type:"&amp;B923,"%","%25"),"~","%7E"),"*","%2A"),"?","%3F"),'Rules'!$G$7:$G$26,0)),""))</x:f>
      </x:c>
      <x:c r="I923" s="6" t="str">
        <x:f>IF(AND(NOT(COUNTA(A923:F923)=0),K923=""),ROUND(J923-D923,3),"")</x:f>
      </x:c>
      <x:c r="J923" s="6" t="str">
        <x:f>IF(AND(NOT(COUNTA(A923:F923)=0),K923=""),ROUND(F923+L923,3),"")</x:f>
      </x:c>
      <x:c r="K923" s="5" t="str">
        <x:f>IF(COUNTA(A923:F923)=0,"",IF(A923="","Missing equipment ID",IF(COUNTIFS($N$8:$N$2007,"="&amp;N923)&gt;1,"Duplicate equipment ID",IF(B923="","Missing type",IF(COUNTIFS('Rules'!$G$7:$G$26,"="&amp;(SUBSTITUTE(SUBSTITUTE(SUBSTITUTE(SUBSTITUTE("type:"&amp;B923,"%","%25"),"~","%7E"),"*","%2A"),"?","%3F")))=0,"Unknown type",IF(COUNTIFS('Rules'!$G$7:$G$26,"="&amp;(SUBSTITUTE(SUBSTITUTE(SUBSTITUTE(SUBSTITUTE("type:"&amp;B923,"%","%25"),"~","%7E"),"*","%2A"),"?","%3F")))&gt;1,"Duplicate type",IF(INDEX('Rules'!$F$7:$F$26,MATCH(SUBSTITUTE(SUBSTITUTE(SUBSTITUTE(SUBSTITUTE("type:"&amp;B923,"%","%25"),"~","%7E"),"*","%2A"),"?","%3F"),'Rules'!$G$7:$G$26,0))&lt;&gt;"",INDEX('Rules'!$F$7:$F$26,MATCH(SUBSTITUTE(SUBSTITUTE(SUBSTITUTE(SUBSTITUTE("type:"&amp;B923,"%","%25"),"~","%7E"),"*","%2A"),"?","%3F"),'Rules'!$G$7:$G$26,0)),IF(AND(C923&lt;&gt;"",C923&lt;&gt;INDEX('Rules'!$B$7:$B$26,MATCH(SUBSTITUTE(SUBSTITUTE(SUBSTITUTE(SUBSTITUTE("type:"&amp;B923,"%","%25"),"~","%7E"),"*","%2A"),"?","%3F"),'Rules'!$G$7:$G$26,0))),"Unit mismatch",IF(IF(NOT(ISNUMBER(D923)),TRUE,OR(D923&lt;0,D923&gt;999999999,ROUND(D923,3)&lt;&gt;D923)),"Invalid current reading",IF(AND(E923&lt;&gt;"",IF(NOT(ISNUMBER(E923)),TRUE,OR(E923&lt;0,E923&gt;999999999,ROUND(E923,3)&lt;&gt;E923))),"Invalid previous reading",IF(IF(NOT(ISNUMBER(F923)),TRUE,OR(F923&lt;0,F923&gt;999999999,ROUND(F923,3)&lt;&gt;F923)),"Invalid last service",IF(AND(E923&lt;&gt;"",D923&lt;E923),"Decreased reading",IF(F923&gt;D923,"Last service above current","")))))))))))))</x:f>
      </x:c>
      <x:c r="L923" s="6" t="str">
        <x:f>IF(AND(NOT(COUNTA(A923:F923)=0),K923=""),INDEX('Rules'!$C$7:$C$26,MATCH(SUBSTITUTE(SUBSTITUTE(SUBSTITUTE(SUBSTITUTE("type:"&amp;B923,"%","%25"),"~","%7E"),"*","%2A"),"?","%3F"),'Rules'!$G$7:$G$26,0)),"")</x:f>
      </x:c>
      <x:c r="M923" s="6" t="str">
        <x:f>IF(AND(NOT(COUNTA(A923:F923)=0),K923=""),INDEX('Rules'!$D$7:$D$26,MATCH(SUBSTITUTE(SUBSTITUTE(SUBSTITUTE(SUBSTITUTE("type:"&amp;B923,"%","%25"),"~","%7E"),"*","%2A"),"?","%3F"),'Rules'!$G$7:$G$26,0)),"")</x:f>
      </x:c>
      <x:c r="N923" s="5" t="str">
        <x:f>IF(COUNTA(A923:F923)=0,"",SUBSTITUTE(SUBSTITUTE(SUBSTITUTE(SUBSTITUTE("id:"&amp;A923,"%","%25"),"~","%7E"),"*","%2A"),"?","%3F"))</x:f>
      </x:c>
    </x:row>
    <x:row r="924" ht="22" customHeight="1">
      <x:c r="A924" s="3"/>
      <x:c r="B924" s="3"/>
      <x:c r="C924" s="3"/>
      <x:c r="D924" s="4"/>
      <x:c r="E924" s="4"/>
      <x:c r="F924" s="4"/>
      <x:c r="G924" s="5" t="str">
        <x:f>IF(COUNTA(A924:F924)=0,"",IF(K924&lt;&gt;"","Review",IF(I924&lt;0,"Overdue",IF(I924=0,"Due now",IF(I924&lt;=M924,"Due soon","Not due")))))</x:f>
      </x:c>
      <x:c r="H924" s="5" t="str">
        <x:f>IF(OR(COUNTA(A924:F924)=0,COUNTIFS('Rules'!$G$7:$G$26,"="&amp;(SUBSTITUTE(SUBSTITUTE(SUBSTITUTE(SUBSTITUTE("type:"&amp;B924,"%","%25"),"~","%7E"),"*","%2A"),"?","%3F")))&lt;&gt;1),"",IF(OR(INDEX('Rules'!$B$7:$B$26,MATCH(SUBSTITUTE(SUBSTITUTE(SUBSTITUTE(SUBSTITUTE("type:"&amp;B924,"%","%25"),"~","%7E"),"*","%2A"),"?","%3F"),'Rules'!$G$7:$G$26,0))="hours",INDEX('Rules'!$B$7:$B$26,MATCH(SUBSTITUTE(SUBSTITUTE(SUBSTITUTE(SUBSTITUTE("type:"&amp;B924,"%","%25"),"~","%7E"),"*","%2A"),"?","%3F"),'Rules'!$G$7:$G$26,0))="km"),INDEX('Rules'!$B$7:$B$26,MATCH(SUBSTITUTE(SUBSTITUTE(SUBSTITUTE(SUBSTITUTE("type:"&amp;B924,"%","%25"),"~","%7E"),"*","%2A"),"?","%3F"),'Rules'!$G$7:$G$26,0)),""))</x:f>
      </x:c>
      <x:c r="I924" s="6" t="str">
        <x:f>IF(AND(NOT(COUNTA(A924:F924)=0),K924=""),ROUND(J924-D924,3),"")</x:f>
      </x:c>
      <x:c r="J924" s="6" t="str">
        <x:f>IF(AND(NOT(COUNTA(A924:F924)=0),K924=""),ROUND(F924+L924,3),"")</x:f>
      </x:c>
      <x:c r="K924" s="5" t="str">
        <x:f>IF(COUNTA(A924:F924)=0,"",IF(A924="","Missing equipment ID",IF(COUNTIFS($N$8:$N$2007,"="&amp;N924)&gt;1,"Duplicate equipment ID",IF(B924="","Missing type",IF(COUNTIFS('Rules'!$G$7:$G$26,"="&amp;(SUBSTITUTE(SUBSTITUTE(SUBSTITUTE(SUBSTITUTE("type:"&amp;B924,"%","%25"),"~","%7E"),"*","%2A"),"?","%3F")))=0,"Unknown type",IF(COUNTIFS('Rules'!$G$7:$G$26,"="&amp;(SUBSTITUTE(SUBSTITUTE(SUBSTITUTE(SUBSTITUTE("type:"&amp;B924,"%","%25"),"~","%7E"),"*","%2A"),"?","%3F")))&gt;1,"Duplicate type",IF(INDEX('Rules'!$F$7:$F$26,MATCH(SUBSTITUTE(SUBSTITUTE(SUBSTITUTE(SUBSTITUTE("type:"&amp;B924,"%","%25"),"~","%7E"),"*","%2A"),"?","%3F"),'Rules'!$G$7:$G$26,0))&lt;&gt;"",INDEX('Rules'!$F$7:$F$26,MATCH(SUBSTITUTE(SUBSTITUTE(SUBSTITUTE(SUBSTITUTE("type:"&amp;B924,"%","%25"),"~","%7E"),"*","%2A"),"?","%3F"),'Rules'!$G$7:$G$26,0)),IF(AND(C924&lt;&gt;"",C924&lt;&gt;INDEX('Rules'!$B$7:$B$26,MATCH(SUBSTITUTE(SUBSTITUTE(SUBSTITUTE(SUBSTITUTE("type:"&amp;B924,"%","%25"),"~","%7E"),"*","%2A"),"?","%3F"),'Rules'!$G$7:$G$26,0))),"Unit mismatch",IF(IF(NOT(ISNUMBER(D924)),TRUE,OR(D924&lt;0,D924&gt;999999999,ROUND(D924,3)&lt;&gt;D924)),"Invalid current reading",IF(AND(E924&lt;&gt;"",IF(NOT(ISNUMBER(E924)),TRUE,OR(E924&lt;0,E924&gt;999999999,ROUND(E924,3)&lt;&gt;E924))),"Invalid previous reading",IF(IF(NOT(ISNUMBER(F924)),TRUE,OR(F924&lt;0,F924&gt;999999999,ROUND(F924,3)&lt;&gt;F924)),"Invalid last service",IF(AND(E924&lt;&gt;"",D924&lt;E924),"Decreased reading",IF(F924&gt;D924,"Last service above current","")))))))))))))</x:f>
      </x:c>
      <x:c r="L924" s="6" t="str">
        <x:f>IF(AND(NOT(COUNTA(A924:F924)=0),K924=""),INDEX('Rules'!$C$7:$C$26,MATCH(SUBSTITUTE(SUBSTITUTE(SUBSTITUTE(SUBSTITUTE("type:"&amp;B924,"%","%25"),"~","%7E"),"*","%2A"),"?","%3F"),'Rules'!$G$7:$G$26,0)),"")</x:f>
      </x:c>
      <x:c r="M924" s="6" t="str">
        <x:f>IF(AND(NOT(COUNTA(A924:F924)=0),K924=""),INDEX('Rules'!$D$7:$D$26,MATCH(SUBSTITUTE(SUBSTITUTE(SUBSTITUTE(SUBSTITUTE("type:"&amp;B924,"%","%25"),"~","%7E"),"*","%2A"),"?","%3F"),'Rules'!$G$7:$G$26,0)),"")</x:f>
      </x:c>
      <x:c r="N924" s="5" t="str">
        <x:f>IF(COUNTA(A924:F924)=0,"",SUBSTITUTE(SUBSTITUTE(SUBSTITUTE(SUBSTITUTE("id:"&amp;A924,"%","%25"),"~","%7E"),"*","%2A"),"?","%3F"))</x:f>
      </x:c>
    </x:row>
    <x:row r="925" ht="22" customHeight="1">
      <x:c r="A925" s="3"/>
      <x:c r="B925" s="3"/>
      <x:c r="C925" s="3"/>
      <x:c r="D925" s="4"/>
      <x:c r="E925" s="4"/>
      <x:c r="F925" s="4"/>
      <x:c r="G925" s="5" t="str">
        <x:f>IF(COUNTA(A925:F925)=0,"",IF(K925&lt;&gt;"","Review",IF(I925&lt;0,"Overdue",IF(I925=0,"Due now",IF(I925&lt;=M925,"Due soon","Not due")))))</x:f>
      </x:c>
      <x:c r="H925" s="5" t="str">
        <x:f>IF(OR(COUNTA(A925:F925)=0,COUNTIFS('Rules'!$G$7:$G$26,"="&amp;(SUBSTITUTE(SUBSTITUTE(SUBSTITUTE(SUBSTITUTE("type:"&amp;B925,"%","%25"),"~","%7E"),"*","%2A"),"?","%3F")))&lt;&gt;1),"",IF(OR(INDEX('Rules'!$B$7:$B$26,MATCH(SUBSTITUTE(SUBSTITUTE(SUBSTITUTE(SUBSTITUTE("type:"&amp;B925,"%","%25"),"~","%7E"),"*","%2A"),"?","%3F"),'Rules'!$G$7:$G$26,0))="hours",INDEX('Rules'!$B$7:$B$26,MATCH(SUBSTITUTE(SUBSTITUTE(SUBSTITUTE(SUBSTITUTE("type:"&amp;B925,"%","%25"),"~","%7E"),"*","%2A"),"?","%3F"),'Rules'!$G$7:$G$26,0))="km"),INDEX('Rules'!$B$7:$B$26,MATCH(SUBSTITUTE(SUBSTITUTE(SUBSTITUTE(SUBSTITUTE("type:"&amp;B925,"%","%25"),"~","%7E"),"*","%2A"),"?","%3F"),'Rules'!$G$7:$G$26,0)),""))</x:f>
      </x:c>
      <x:c r="I925" s="6" t="str">
        <x:f>IF(AND(NOT(COUNTA(A925:F925)=0),K925=""),ROUND(J925-D925,3),"")</x:f>
      </x:c>
      <x:c r="J925" s="6" t="str">
        <x:f>IF(AND(NOT(COUNTA(A925:F925)=0),K925=""),ROUND(F925+L925,3),"")</x:f>
      </x:c>
      <x:c r="K925" s="5" t="str">
        <x:f>IF(COUNTA(A925:F925)=0,"",IF(A925="","Missing equipment ID",IF(COUNTIFS($N$8:$N$2007,"="&amp;N925)&gt;1,"Duplicate equipment ID",IF(B925="","Missing type",IF(COUNTIFS('Rules'!$G$7:$G$26,"="&amp;(SUBSTITUTE(SUBSTITUTE(SUBSTITUTE(SUBSTITUTE("type:"&amp;B925,"%","%25"),"~","%7E"),"*","%2A"),"?","%3F")))=0,"Unknown type",IF(COUNTIFS('Rules'!$G$7:$G$26,"="&amp;(SUBSTITUTE(SUBSTITUTE(SUBSTITUTE(SUBSTITUTE("type:"&amp;B925,"%","%25"),"~","%7E"),"*","%2A"),"?","%3F")))&gt;1,"Duplicate type",IF(INDEX('Rules'!$F$7:$F$26,MATCH(SUBSTITUTE(SUBSTITUTE(SUBSTITUTE(SUBSTITUTE("type:"&amp;B925,"%","%25"),"~","%7E"),"*","%2A"),"?","%3F"),'Rules'!$G$7:$G$26,0))&lt;&gt;"",INDEX('Rules'!$F$7:$F$26,MATCH(SUBSTITUTE(SUBSTITUTE(SUBSTITUTE(SUBSTITUTE("type:"&amp;B925,"%","%25"),"~","%7E"),"*","%2A"),"?","%3F"),'Rules'!$G$7:$G$26,0)),IF(AND(C925&lt;&gt;"",C925&lt;&gt;INDEX('Rules'!$B$7:$B$26,MATCH(SUBSTITUTE(SUBSTITUTE(SUBSTITUTE(SUBSTITUTE("type:"&amp;B925,"%","%25"),"~","%7E"),"*","%2A"),"?","%3F"),'Rules'!$G$7:$G$26,0))),"Unit mismatch",IF(IF(NOT(ISNUMBER(D925)),TRUE,OR(D925&lt;0,D925&gt;999999999,ROUND(D925,3)&lt;&gt;D925)),"Invalid current reading",IF(AND(E925&lt;&gt;"",IF(NOT(ISNUMBER(E925)),TRUE,OR(E925&lt;0,E925&gt;999999999,ROUND(E925,3)&lt;&gt;E925))),"Invalid previous reading",IF(IF(NOT(ISNUMBER(F925)),TRUE,OR(F925&lt;0,F925&gt;999999999,ROUND(F925,3)&lt;&gt;F925)),"Invalid last service",IF(AND(E925&lt;&gt;"",D925&lt;E925),"Decreased reading",IF(F925&gt;D925,"Last service above current","")))))))))))))</x:f>
      </x:c>
      <x:c r="L925" s="6" t="str">
        <x:f>IF(AND(NOT(COUNTA(A925:F925)=0),K925=""),INDEX('Rules'!$C$7:$C$26,MATCH(SUBSTITUTE(SUBSTITUTE(SUBSTITUTE(SUBSTITUTE("type:"&amp;B925,"%","%25"),"~","%7E"),"*","%2A"),"?","%3F"),'Rules'!$G$7:$G$26,0)),"")</x:f>
      </x:c>
      <x:c r="M925" s="6" t="str">
        <x:f>IF(AND(NOT(COUNTA(A925:F925)=0),K925=""),INDEX('Rules'!$D$7:$D$26,MATCH(SUBSTITUTE(SUBSTITUTE(SUBSTITUTE(SUBSTITUTE("type:"&amp;B925,"%","%25"),"~","%7E"),"*","%2A"),"?","%3F"),'Rules'!$G$7:$G$26,0)),"")</x:f>
      </x:c>
      <x:c r="N925" s="5" t="str">
        <x:f>IF(COUNTA(A925:F925)=0,"",SUBSTITUTE(SUBSTITUTE(SUBSTITUTE(SUBSTITUTE("id:"&amp;A925,"%","%25"),"~","%7E"),"*","%2A"),"?","%3F"))</x:f>
      </x:c>
    </x:row>
    <x:row r="926" ht="22" customHeight="1">
      <x:c r="A926" s="3"/>
      <x:c r="B926" s="3"/>
      <x:c r="C926" s="3"/>
      <x:c r="D926" s="4"/>
      <x:c r="E926" s="4"/>
      <x:c r="F926" s="4"/>
      <x:c r="G926" s="5" t="str">
        <x:f>IF(COUNTA(A926:F926)=0,"",IF(K926&lt;&gt;"","Review",IF(I926&lt;0,"Overdue",IF(I926=0,"Due now",IF(I926&lt;=M926,"Due soon","Not due")))))</x:f>
      </x:c>
      <x:c r="H926" s="5" t="str">
        <x:f>IF(OR(COUNTA(A926:F926)=0,COUNTIFS('Rules'!$G$7:$G$26,"="&amp;(SUBSTITUTE(SUBSTITUTE(SUBSTITUTE(SUBSTITUTE("type:"&amp;B926,"%","%25"),"~","%7E"),"*","%2A"),"?","%3F")))&lt;&gt;1),"",IF(OR(INDEX('Rules'!$B$7:$B$26,MATCH(SUBSTITUTE(SUBSTITUTE(SUBSTITUTE(SUBSTITUTE("type:"&amp;B926,"%","%25"),"~","%7E"),"*","%2A"),"?","%3F"),'Rules'!$G$7:$G$26,0))="hours",INDEX('Rules'!$B$7:$B$26,MATCH(SUBSTITUTE(SUBSTITUTE(SUBSTITUTE(SUBSTITUTE("type:"&amp;B926,"%","%25"),"~","%7E"),"*","%2A"),"?","%3F"),'Rules'!$G$7:$G$26,0))="km"),INDEX('Rules'!$B$7:$B$26,MATCH(SUBSTITUTE(SUBSTITUTE(SUBSTITUTE(SUBSTITUTE("type:"&amp;B926,"%","%25"),"~","%7E"),"*","%2A"),"?","%3F"),'Rules'!$G$7:$G$26,0)),""))</x:f>
      </x:c>
      <x:c r="I926" s="6" t="str">
        <x:f>IF(AND(NOT(COUNTA(A926:F926)=0),K926=""),ROUND(J926-D926,3),"")</x:f>
      </x:c>
      <x:c r="J926" s="6" t="str">
        <x:f>IF(AND(NOT(COUNTA(A926:F926)=0),K926=""),ROUND(F926+L926,3),"")</x:f>
      </x:c>
      <x:c r="K926" s="5" t="str">
        <x:f>IF(COUNTA(A926:F926)=0,"",IF(A926="","Missing equipment ID",IF(COUNTIFS($N$8:$N$2007,"="&amp;N926)&gt;1,"Duplicate equipment ID",IF(B926="","Missing type",IF(COUNTIFS('Rules'!$G$7:$G$26,"="&amp;(SUBSTITUTE(SUBSTITUTE(SUBSTITUTE(SUBSTITUTE("type:"&amp;B926,"%","%25"),"~","%7E"),"*","%2A"),"?","%3F")))=0,"Unknown type",IF(COUNTIFS('Rules'!$G$7:$G$26,"="&amp;(SUBSTITUTE(SUBSTITUTE(SUBSTITUTE(SUBSTITUTE("type:"&amp;B926,"%","%25"),"~","%7E"),"*","%2A"),"?","%3F")))&gt;1,"Duplicate type",IF(INDEX('Rules'!$F$7:$F$26,MATCH(SUBSTITUTE(SUBSTITUTE(SUBSTITUTE(SUBSTITUTE("type:"&amp;B926,"%","%25"),"~","%7E"),"*","%2A"),"?","%3F"),'Rules'!$G$7:$G$26,0))&lt;&gt;"",INDEX('Rules'!$F$7:$F$26,MATCH(SUBSTITUTE(SUBSTITUTE(SUBSTITUTE(SUBSTITUTE("type:"&amp;B926,"%","%25"),"~","%7E"),"*","%2A"),"?","%3F"),'Rules'!$G$7:$G$26,0)),IF(AND(C926&lt;&gt;"",C926&lt;&gt;INDEX('Rules'!$B$7:$B$26,MATCH(SUBSTITUTE(SUBSTITUTE(SUBSTITUTE(SUBSTITUTE("type:"&amp;B926,"%","%25"),"~","%7E"),"*","%2A"),"?","%3F"),'Rules'!$G$7:$G$26,0))),"Unit mismatch",IF(IF(NOT(ISNUMBER(D926)),TRUE,OR(D926&lt;0,D926&gt;999999999,ROUND(D926,3)&lt;&gt;D926)),"Invalid current reading",IF(AND(E926&lt;&gt;"",IF(NOT(ISNUMBER(E926)),TRUE,OR(E926&lt;0,E926&gt;999999999,ROUND(E926,3)&lt;&gt;E926))),"Invalid previous reading",IF(IF(NOT(ISNUMBER(F926)),TRUE,OR(F926&lt;0,F926&gt;999999999,ROUND(F926,3)&lt;&gt;F926)),"Invalid last service",IF(AND(E926&lt;&gt;"",D926&lt;E926),"Decreased reading",IF(F926&gt;D926,"Last service above current","")))))))))))))</x:f>
      </x:c>
      <x:c r="L926" s="6" t="str">
        <x:f>IF(AND(NOT(COUNTA(A926:F926)=0),K926=""),INDEX('Rules'!$C$7:$C$26,MATCH(SUBSTITUTE(SUBSTITUTE(SUBSTITUTE(SUBSTITUTE("type:"&amp;B926,"%","%25"),"~","%7E"),"*","%2A"),"?","%3F"),'Rules'!$G$7:$G$26,0)),"")</x:f>
      </x:c>
      <x:c r="M926" s="6" t="str">
        <x:f>IF(AND(NOT(COUNTA(A926:F926)=0),K926=""),INDEX('Rules'!$D$7:$D$26,MATCH(SUBSTITUTE(SUBSTITUTE(SUBSTITUTE(SUBSTITUTE("type:"&amp;B926,"%","%25"),"~","%7E"),"*","%2A"),"?","%3F"),'Rules'!$G$7:$G$26,0)),"")</x:f>
      </x:c>
      <x:c r="N926" s="5" t="str">
        <x:f>IF(COUNTA(A926:F926)=0,"",SUBSTITUTE(SUBSTITUTE(SUBSTITUTE(SUBSTITUTE("id:"&amp;A926,"%","%25"),"~","%7E"),"*","%2A"),"?","%3F"))</x:f>
      </x:c>
    </x:row>
    <x:row r="927" ht="22" customHeight="1">
      <x:c r="A927" s="3"/>
      <x:c r="B927" s="3"/>
      <x:c r="C927" s="3"/>
      <x:c r="D927" s="4"/>
      <x:c r="E927" s="4"/>
      <x:c r="F927" s="4"/>
      <x:c r="G927" s="5" t="str">
        <x:f>IF(COUNTA(A927:F927)=0,"",IF(K927&lt;&gt;"","Review",IF(I927&lt;0,"Overdue",IF(I927=0,"Due now",IF(I927&lt;=M927,"Due soon","Not due")))))</x:f>
      </x:c>
      <x:c r="H927" s="5" t="str">
        <x:f>IF(OR(COUNTA(A927:F927)=0,COUNTIFS('Rules'!$G$7:$G$26,"="&amp;(SUBSTITUTE(SUBSTITUTE(SUBSTITUTE(SUBSTITUTE("type:"&amp;B927,"%","%25"),"~","%7E"),"*","%2A"),"?","%3F")))&lt;&gt;1),"",IF(OR(INDEX('Rules'!$B$7:$B$26,MATCH(SUBSTITUTE(SUBSTITUTE(SUBSTITUTE(SUBSTITUTE("type:"&amp;B927,"%","%25"),"~","%7E"),"*","%2A"),"?","%3F"),'Rules'!$G$7:$G$26,0))="hours",INDEX('Rules'!$B$7:$B$26,MATCH(SUBSTITUTE(SUBSTITUTE(SUBSTITUTE(SUBSTITUTE("type:"&amp;B927,"%","%25"),"~","%7E"),"*","%2A"),"?","%3F"),'Rules'!$G$7:$G$26,0))="km"),INDEX('Rules'!$B$7:$B$26,MATCH(SUBSTITUTE(SUBSTITUTE(SUBSTITUTE(SUBSTITUTE("type:"&amp;B927,"%","%25"),"~","%7E"),"*","%2A"),"?","%3F"),'Rules'!$G$7:$G$26,0)),""))</x:f>
      </x:c>
      <x:c r="I927" s="6" t="str">
        <x:f>IF(AND(NOT(COUNTA(A927:F927)=0),K927=""),ROUND(J927-D927,3),"")</x:f>
      </x:c>
      <x:c r="J927" s="6" t="str">
        <x:f>IF(AND(NOT(COUNTA(A927:F927)=0),K927=""),ROUND(F927+L927,3),"")</x:f>
      </x:c>
      <x:c r="K927" s="5" t="str">
        <x:f>IF(COUNTA(A927:F927)=0,"",IF(A927="","Missing equipment ID",IF(COUNTIFS($N$8:$N$2007,"="&amp;N927)&gt;1,"Duplicate equipment ID",IF(B927="","Missing type",IF(COUNTIFS('Rules'!$G$7:$G$26,"="&amp;(SUBSTITUTE(SUBSTITUTE(SUBSTITUTE(SUBSTITUTE("type:"&amp;B927,"%","%25"),"~","%7E"),"*","%2A"),"?","%3F")))=0,"Unknown type",IF(COUNTIFS('Rules'!$G$7:$G$26,"="&amp;(SUBSTITUTE(SUBSTITUTE(SUBSTITUTE(SUBSTITUTE("type:"&amp;B927,"%","%25"),"~","%7E"),"*","%2A"),"?","%3F")))&gt;1,"Duplicate type",IF(INDEX('Rules'!$F$7:$F$26,MATCH(SUBSTITUTE(SUBSTITUTE(SUBSTITUTE(SUBSTITUTE("type:"&amp;B927,"%","%25"),"~","%7E"),"*","%2A"),"?","%3F"),'Rules'!$G$7:$G$26,0))&lt;&gt;"",INDEX('Rules'!$F$7:$F$26,MATCH(SUBSTITUTE(SUBSTITUTE(SUBSTITUTE(SUBSTITUTE("type:"&amp;B927,"%","%25"),"~","%7E"),"*","%2A"),"?","%3F"),'Rules'!$G$7:$G$26,0)),IF(AND(C927&lt;&gt;"",C927&lt;&gt;INDEX('Rules'!$B$7:$B$26,MATCH(SUBSTITUTE(SUBSTITUTE(SUBSTITUTE(SUBSTITUTE("type:"&amp;B927,"%","%25"),"~","%7E"),"*","%2A"),"?","%3F"),'Rules'!$G$7:$G$26,0))),"Unit mismatch",IF(IF(NOT(ISNUMBER(D927)),TRUE,OR(D927&lt;0,D927&gt;999999999,ROUND(D927,3)&lt;&gt;D927)),"Invalid current reading",IF(AND(E927&lt;&gt;"",IF(NOT(ISNUMBER(E927)),TRUE,OR(E927&lt;0,E927&gt;999999999,ROUND(E927,3)&lt;&gt;E927))),"Invalid previous reading",IF(IF(NOT(ISNUMBER(F927)),TRUE,OR(F927&lt;0,F927&gt;999999999,ROUND(F927,3)&lt;&gt;F927)),"Invalid last service",IF(AND(E927&lt;&gt;"",D927&lt;E927),"Decreased reading",IF(F927&gt;D927,"Last service above current","")))))))))))))</x:f>
      </x:c>
      <x:c r="L927" s="6" t="str">
        <x:f>IF(AND(NOT(COUNTA(A927:F927)=0),K927=""),INDEX('Rules'!$C$7:$C$26,MATCH(SUBSTITUTE(SUBSTITUTE(SUBSTITUTE(SUBSTITUTE("type:"&amp;B927,"%","%25"),"~","%7E"),"*","%2A"),"?","%3F"),'Rules'!$G$7:$G$26,0)),"")</x:f>
      </x:c>
      <x:c r="M927" s="6" t="str">
        <x:f>IF(AND(NOT(COUNTA(A927:F927)=0),K927=""),INDEX('Rules'!$D$7:$D$26,MATCH(SUBSTITUTE(SUBSTITUTE(SUBSTITUTE(SUBSTITUTE("type:"&amp;B927,"%","%25"),"~","%7E"),"*","%2A"),"?","%3F"),'Rules'!$G$7:$G$26,0)),"")</x:f>
      </x:c>
      <x:c r="N927" s="5" t="str">
        <x:f>IF(COUNTA(A927:F927)=0,"",SUBSTITUTE(SUBSTITUTE(SUBSTITUTE(SUBSTITUTE("id:"&amp;A927,"%","%25"),"~","%7E"),"*","%2A"),"?","%3F"))</x:f>
      </x:c>
    </x:row>
    <x:row r="928" ht="22" customHeight="1">
      <x:c r="A928" s="3"/>
      <x:c r="B928" s="3"/>
      <x:c r="C928" s="3"/>
      <x:c r="D928" s="4"/>
      <x:c r="E928" s="4"/>
      <x:c r="F928" s="4"/>
      <x:c r="G928" s="5" t="str">
        <x:f>IF(COUNTA(A928:F928)=0,"",IF(K928&lt;&gt;"","Review",IF(I928&lt;0,"Overdue",IF(I928=0,"Due now",IF(I928&lt;=M928,"Due soon","Not due")))))</x:f>
      </x:c>
      <x:c r="H928" s="5" t="str">
        <x:f>IF(OR(COUNTA(A928:F928)=0,COUNTIFS('Rules'!$G$7:$G$26,"="&amp;(SUBSTITUTE(SUBSTITUTE(SUBSTITUTE(SUBSTITUTE("type:"&amp;B928,"%","%25"),"~","%7E"),"*","%2A"),"?","%3F")))&lt;&gt;1),"",IF(OR(INDEX('Rules'!$B$7:$B$26,MATCH(SUBSTITUTE(SUBSTITUTE(SUBSTITUTE(SUBSTITUTE("type:"&amp;B928,"%","%25"),"~","%7E"),"*","%2A"),"?","%3F"),'Rules'!$G$7:$G$26,0))="hours",INDEX('Rules'!$B$7:$B$26,MATCH(SUBSTITUTE(SUBSTITUTE(SUBSTITUTE(SUBSTITUTE("type:"&amp;B928,"%","%25"),"~","%7E"),"*","%2A"),"?","%3F"),'Rules'!$G$7:$G$26,0))="km"),INDEX('Rules'!$B$7:$B$26,MATCH(SUBSTITUTE(SUBSTITUTE(SUBSTITUTE(SUBSTITUTE("type:"&amp;B928,"%","%25"),"~","%7E"),"*","%2A"),"?","%3F"),'Rules'!$G$7:$G$26,0)),""))</x:f>
      </x:c>
      <x:c r="I928" s="6" t="str">
        <x:f>IF(AND(NOT(COUNTA(A928:F928)=0),K928=""),ROUND(J928-D928,3),"")</x:f>
      </x:c>
      <x:c r="J928" s="6" t="str">
        <x:f>IF(AND(NOT(COUNTA(A928:F928)=0),K928=""),ROUND(F928+L928,3),"")</x:f>
      </x:c>
      <x:c r="K928" s="5" t="str">
        <x:f>IF(COUNTA(A928:F928)=0,"",IF(A928="","Missing equipment ID",IF(COUNTIFS($N$8:$N$2007,"="&amp;N928)&gt;1,"Duplicate equipment ID",IF(B928="","Missing type",IF(COUNTIFS('Rules'!$G$7:$G$26,"="&amp;(SUBSTITUTE(SUBSTITUTE(SUBSTITUTE(SUBSTITUTE("type:"&amp;B928,"%","%25"),"~","%7E"),"*","%2A"),"?","%3F")))=0,"Unknown type",IF(COUNTIFS('Rules'!$G$7:$G$26,"="&amp;(SUBSTITUTE(SUBSTITUTE(SUBSTITUTE(SUBSTITUTE("type:"&amp;B928,"%","%25"),"~","%7E"),"*","%2A"),"?","%3F")))&gt;1,"Duplicate type",IF(INDEX('Rules'!$F$7:$F$26,MATCH(SUBSTITUTE(SUBSTITUTE(SUBSTITUTE(SUBSTITUTE("type:"&amp;B928,"%","%25"),"~","%7E"),"*","%2A"),"?","%3F"),'Rules'!$G$7:$G$26,0))&lt;&gt;"",INDEX('Rules'!$F$7:$F$26,MATCH(SUBSTITUTE(SUBSTITUTE(SUBSTITUTE(SUBSTITUTE("type:"&amp;B928,"%","%25"),"~","%7E"),"*","%2A"),"?","%3F"),'Rules'!$G$7:$G$26,0)),IF(AND(C928&lt;&gt;"",C928&lt;&gt;INDEX('Rules'!$B$7:$B$26,MATCH(SUBSTITUTE(SUBSTITUTE(SUBSTITUTE(SUBSTITUTE("type:"&amp;B928,"%","%25"),"~","%7E"),"*","%2A"),"?","%3F"),'Rules'!$G$7:$G$26,0))),"Unit mismatch",IF(IF(NOT(ISNUMBER(D928)),TRUE,OR(D928&lt;0,D928&gt;999999999,ROUND(D928,3)&lt;&gt;D928)),"Invalid current reading",IF(AND(E928&lt;&gt;"",IF(NOT(ISNUMBER(E928)),TRUE,OR(E928&lt;0,E928&gt;999999999,ROUND(E928,3)&lt;&gt;E928))),"Invalid previous reading",IF(IF(NOT(ISNUMBER(F928)),TRUE,OR(F928&lt;0,F928&gt;999999999,ROUND(F928,3)&lt;&gt;F928)),"Invalid last service",IF(AND(E928&lt;&gt;"",D928&lt;E928),"Decreased reading",IF(F928&gt;D928,"Last service above current","")))))))))))))</x:f>
      </x:c>
      <x:c r="L928" s="6" t="str">
        <x:f>IF(AND(NOT(COUNTA(A928:F928)=0),K928=""),INDEX('Rules'!$C$7:$C$26,MATCH(SUBSTITUTE(SUBSTITUTE(SUBSTITUTE(SUBSTITUTE("type:"&amp;B928,"%","%25"),"~","%7E"),"*","%2A"),"?","%3F"),'Rules'!$G$7:$G$26,0)),"")</x:f>
      </x:c>
      <x:c r="M928" s="6" t="str">
        <x:f>IF(AND(NOT(COUNTA(A928:F928)=0),K928=""),INDEX('Rules'!$D$7:$D$26,MATCH(SUBSTITUTE(SUBSTITUTE(SUBSTITUTE(SUBSTITUTE("type:"&amp;B928,"%","%25"),"~","%7E"),"*","%2A"),"?","%3F"),'Rules'!$G$7:$G$26,0)),"")</x:f>
      </x:c>
      <x:c r="N928" s="5" t="str">
        <x:f>IF(COUNTA(A928:F928)=0,"",SUBSTITUTE(SUBSTITUTE(SUBSTITUTE(SUBSTITUTE("id:"&amp;A928,"%","%25"),"~","%7E"),"*","%2A"),"?","%3F"))</x:f>
      </x:c>
    </x:row>
    <x:row r="929" ht="22" customHeight="1">
      <x:c r="A929" s="3"/>
      <x:c r="B929" s="3"/>
      <x:c r="C929" s="3"/>
      <x:c r="D929" s="4"/>
      <x:c r="E929" s="4"/>
      <x:c r="F929" s="4"/>
      <x:c r="G929" s="5" t="str">
        <x:f>IF(COUNTA(A929:F929)=0,"",IF(K929&lt;&gt;"","Review",IF(I929&lt;0,"Overdue",IF(I929=0,"Due now",IF(I929&lt;=M929,"Due soon","Not due")))))</x:f>
      </x:c>
      <x:c r="H929" s="5" t="str">
        <x:f>IF(OR(COUNTA(A929:F929)=0,COUNTIFS('Rules'!$G$7:$G$26,"="&amp;(SUBSTITUTE(SUBSTITUTE(SUBSTITUTE(SUBSTITUTE("type:"&amp;B929,"%","%25"),"~","%7E"),"*","%2A"),"?","%3F")))&lt;&gt;1),"",IF(OR(INDEX('Rules'!$B$7:$B$26,MATCH(SUBSTITUTE(SUBSTITUTE(SUBSTITUTE(SUBSTITUTE("type:"&amp;B929,"%","%25"),"~","%7E"),"*","%2A"),"?","%3F"),'Rules'!$G$7:$G$26,0))="hours",INDEX('Rules'!$B$7:$B$26,MATCH(SUBSTITUTE(SUBSTITUTE(SUBSTITUTE(SUBSTITUTE("type:"&amp;B929,"%","%25"),"~","%7E"),"*","%2A"),"?","%3F"),'Rules'!$G$7:$G$26,0))="km"),INDEX('Rules'!$B$7:$B$26,MATCH(SUBSTITUTE(SUBSTITUTE(SUBSTITUTE(SUBSTITUTE("type:"&amp;B929,"%","%25"),"~","%7E"),"*","%2A"),"?","%3F"),'Rules'!$G$7:$G$26,0)),""))</x:f>
      </x:c>
      <x:c r="I929" s="6" t="str">
        <x:f>IF(AND(NOT(COUNTA(A929:F929)=0),K929=""),ROUND(J929-D929,3),"")</x:f>
      </x:c>
      <x:c r="J929" s="6" t="str">
        <x:f>IF(AND(NOT(COUNTA(A929:F929)=0),K929=""),ROUND(F929+L929,3),"")</x:f>
      </x:c>
      <x:c r="K929" s="5" t="str">
        <x:f>IF(COUNTA(A929:F929)=0,"",IF(A929="","Missing equipment ID",IF(COUNTIFS($N$8:$N$2007,"="&amp;N929)&gt;1,"Duplicate equipment ID",IF(B929="","Missing type",IF(COUNTIFS('Rules'!$G$7:$G$26,"="&amp;(SUBSTITUTE(SUBSTITUTE(SUBSTITUTE(SUBSTITUTE("type:"&amp;B929,"%","%25"),"~","%7E"),"*","%2A"),"?","%3F")))=0,"Unknown type",IF(COUNTIFS('Rules'!$G$7:$G$26,"="&amp;(SUBSTITUTE(SUBSTITUTE(SUBSTITUTE(SUBSTITUTE("type:"&amp;B929,"%","%25"),"~","%7E"),"*","%2A"),"?","%3F")))&gt;1,"Duplicate type",IF(INDEX('Rules'!$F$7:$F$26,MATCH(SUBSTITUTE(SUBSTITUTE(SUBSTITUTE(SUBSTITUTE("type:"&amp;B929,"%","%25"),"~","%7E"),"*","%2A"),"?","%3F"),'Rules'!$G$7:$G$26,0))&lt;&gt;"",INDEX('Rules'!$F$7:$F$26,MATCH(SUBSTITUTE(SUBSTITUTE(SUBSTITUTE(SUBSTITUTE("type:"&amp;B929,"%","%25"),"~","%7E"),"*","%2A"),"?","%3F"),'Rules'!$G$7:$G$26,0)),IF(AND(C929&lt;&gt;"",C929&lt;&gt;INDEX('Rules'!$B$7:$B$26,MATCH(SUBSTITUTE(SUBSTITUTE(SUBSTITUTE(SUBSTITUTE("type:"&amp;B929,"%","%25"),"~","%7E"),"*","%2A"),"?","%3F"),'Rules'!$G$7:$G$26,0))),"Unit mismatch",IF(IF(NOT(ISNUMBER(D929)),TRUE,OR(D929&lt;0,D929&gt;999999999,ROUND(D929,3)&lt;&gt;D929)),"Invalid current reading",IF(AND(E929&lt;&gt;"",IF(NOT(ISNUMBER(E929)),TRUE,OR(E929&lt;0,E929&gt;999999999,ROUND(E929,3)&lt;&gt;E929))),"Invalid previous reading",IF(IF(NOT(ISNUMBER(F929)),TRUE,OR(F929&lt;0,F929&gt;999999999,ROUND(F929,3)&lt;&gt;F929)),"Invalid last service",IF(AND(E929&lt;&gt;"",D929&lt;E929),"Decreased reading",IF(F929&gt;D929,"Last service above current","")))))))))))))</x:f>
      </x:c>
      <x:c r="L929" s="6" t="str">
        <x:f>IF(AND(NOT(COUNTA(A929:F929)=0),K929=""),INDEX('Rules'!$C$7:$C$26,MATCH(SUBSTITUTE(SUBSTITUTE(SUBSTITUTE(SUBSTITUTE("type:"&amp;B929,"%","%25"),"~","%7E"),"*","%2A"),"?","%3F"),'Rules'!$G$7:$G$26,0)),"")</x:f>
      </x:c>
      <x:c r="M929" s="6" t="str">
        <x:f>IF(AND(NOT(COUNTA(A929:F929)=0),K929=""),INDEX('Rules'!$D$7:$D$26,MATCH(SUBSTITUTE(SUBSTITUTE(SUBSTITUTE(SUBSTITUTE("type:"&amp;B929,"%","%25"),"~","%7E"),"*","%2A"),"?","%3F"),'Rules'!$G$7:$G$26,0)),"")</x:f>
      </x:c>
      <x:c r="N929" s="5" t="str">
        <x:f>IF(COUNTA(A929:F929)=0,"",SUBSTITUTE(SUBSTITUTE(SUBSTITUTE(SUBSTITUTE("id:"&amp;A929,"%","%25"),"~","%7E"),"*","%2A"),"?","%3F"))</x:f>
      </x:c>
    </x:row>
    <x:row r="930" ht="22" customHeight="1">
      <x:c r="A930" s="3"/>
      <x:c r="B930" s="3"/>
      <x:c r="C930" s="3"/>
      <x:c r="D930" s="4"/>
      <x:c r="E930" s="4"/>
      <x:c r="F930" s="4"/>
      <x:c r="G930" s="5" t="str">
        <x:f>IF(COUNTA(A930:F930)=0,"",IF(K930&lt;&gt;"","Review",IF(I930&lt;0,"Overdue",IF(I930=0,"Due now",IF(I930&lt;=M930,"Due soon","Not due")))))</x:f>
      </x:c>
      <x:c r="H930" s="5" t="str">
        <x:f>IF(OR(COUNTA(A930:F930)=0,COUNTIFS('Rules'!$G$7:$G$26,"="&amp;(SUBSTITUTE(SUBSTITUTE(SUBSTITUTE(SUBSTITUTE("type:"&amp;B930,"%","%25"),"~","%7E"),"*","%2A"),"?","%3F")))&lt;&gt;1),"",IF(OR(INDEX('Rules'!$B$7:$B$26,MATCH(SUBSTITUTE(SUBSTITUTE(SUBSTITUTE(SUBSTITUTE("type:"&amp;B930,"%","%25"),"~","%7E"),"*","%2A"),"?","%3F"),'Rules'!$G$7:$G$26,0))="hours",INDEX('Rules'!$B$7:$B$26,MATCH(SUBSTITUTE(SUBSTITUTE(SUBSTITUTE(SUBSTITUTE("type:"&amp;B930,"%","%25"),"~","%7E"),"*","%2A"),"?","%3F"),'Rules'!$G$7:$G$26,0))="km"),INDEX('Rules'!$B$7:$B$26,MATCH(SUBSTITUTE(SUBSTITUTE(SUBSTITUTE(SUBSTITUTE("type:"&amp;B930,"%","%25"),"~","%7E"),"*","%2A"),"?","%3F"),'Rules'!$G$7:$G$26,0)),""))</x:f>
      </x:c>
      <x:c r="I930" s="6" t="str">
        <x:f>IF(AND(NOT(COUNTA(A930:F930)=0),K930=""),ROUND(J930-D930,3),"")</x:f>
      </x:c>
      <x:c r="J930" s="6" t="str">
        <x:f>IF(AND(NOT(COUNTA(A930:F930)=0),K930=""),ROUND(F930+L930,3),"")</x:f>
      </x:c>
      <x:c r="K930" s="5" t="str">
        <x:f>IF(COUNTA(A930:F930)=0,"",IF(A930="","Missing equipment ID",IF(COUNTIFS($N$8:$N$2007,"="&amp;N930)&gt;1,"Duplicate equipment ID",IF(B930="","Missing type",IF(COUNTIFS('Rules'!$G$7:$G$26,"="&amp;(SUBSTITUTE(SUBSTITUTE(SUBSTITUTE(SUBSTITUTE("type:"&amp;B930,"%","%25"),"~","%7E"),"*","%2A"),"?","%3F")))=0,"Unknown type",IF(COUNTIFS('Rules'!$G$7:$G$26,"="&amp;(SUBSTITUTE(SUBSTITUTE(SUBSTITUTE(SUBSTITUTE("type:"&amp;B930,"%","%25"),"~","%7E"),"*","%2A"),"?","%3F")))&gt;1,"Duplicate type",IF(INDEX('Rules'!$F$7:$F$26,MATCH(SUBSTITUTE(SUBSTITUTE(SUBSTITUTE(SUBSTITUTE("type:"&amp;B930,"%","%25"),"~","%7E"),"*","%2A"),"?","%3F"),'Rules'!$G$7:$G$26,0))&lt;&gt;"",INDEX('Rules'!$F$7:$F$26,MATCH(SUBSTITUTE(SUBSTITUTE(SUBSTITUTE(SUBSTITUTE("type:"&amp;B930,"%","%25"),"~","%7E"),"*","%2A"),"?","%3F"),'Rules'!$G$7:$G$26,0)),IF(AND(C930&lt;&gt;"",C930&lt;&gt;INDEX('Rules'!$B$7:$B$26,MATCH(SUBSTITUTE(SUBSTITUTE(SUBSTITUTE(SUBSTITUTE("type:"&amp;B930,"%","%25"),"~","%7E"),"*","%2A"),"?","%3F"),'Rules'!$G$7:$G$26,0))),"Unit mismatch",IF(IF(NOT(ISNUMBER(D930)),TRUE,OR(D930&lt;0,D930&gt;999999999,ROUND(D930,3)&lt;&gt;D930)),"Invalid current reading",IF(AND(E930&lt;&gt;"",IF(NOT(ISNUMBER(E930)),TRUE,OR(E930&lt;0,E930&gt;999999999,ROUND(E930,3)&lt;&gt;E930))),"Invalid previous reading",IF(IF(NOT(ISNUMBER(F930)),TRUE,OR(F930&lt;0,F930&gt;999999999,ROUND(F930,3)&lt;&gt;F930)),"Invalid last service",IF(AND(E930&lt;&gt;"",D930&lt;E930),"Decreased reading",IF(F930&gt;D930,"Last service above current","")))))))))))))</x:f>
      </x:c>
      <x:c r="L930" s="6" t="str">
        <x:f>IF(AND(NOT(COUNTA(A930:F930)=0),K930=""),INDEX('Rules'!$C$7:$C$26,MATCH(SUBSTITUTE(SUBSTITUTE(SUBSTITUTE(SUBSTITUTE("type:"&amp;B930,"%","%25"),"~","%7E"),"*","%2A"),"?","%3F"),'Rules'!$G$7:$G$26,0)),"")</x:f>
      </x:c>
      <x:c r="M930" s="6" t="str">
        <x:f>IF(AND(NOT(COUNTA(A930:F930)=0),K930=""),INDEX('Rules'!$D$7:$D$26,MATCH(SUBSTITUTE(SUBSTITUTE(SUBSTITUTE(SUBSTITUTE("type:"&amp;B930,"%","%25"),"~","%7E"),"*","%2A"),"?","%3F"),'Rules'!$G$7:$G$26,0)),"")</x:f>
      </x:c>
      <x:c r="N930" s="5" t="str">
        <x:f>IF(COUNTA(A930:F930)=0,"",SUBSTITUTE(SUBSTITUTE(SUBSTITUTE(SUBSTITUTE("id:"&amp;A930,"%","%25"),"~","%7E"),"*","%2A"),"?","%3F"))</x:f>
      </x:c>
    </x:row>
    <x:row r="931" ht="22" customHeight="1">
      <x:c r="A931" s="3"/>
      <x:c r="B931" s="3"/>
      <x:c r="C931" s="3"/>
      <x:c r="D931" s="4"/>
      <x:c r="E931" s="4"/>
      <x:c r="F931" s="4"/>
      <x:c r="G931" s="5" t="str">
        <x:f>IF(COUNTA(A931:F931)=0,"",IF(K931&lt;&gt;"","Review",IF(I931&lt;0,"Overdue",IF(I931=0,"Due now",IF(I931&lt;=M931,"Due soon","Not due")))))</x:f>
      </x:c>
      <x:c r="H931" s="5" t="str">
        <x:f>IF(OR(COUNTA(A931:F931)=0,COUNTIFS('Rules'!$G$7:$G$26,"="&amp;(SUBSTITUTE(SUBSTITUTE(SUBSTITUTE(SUBSTITUTE("type:"&amp;B931,"%","%25"),"~","%7E"),"*","%2A"),"?","%3F")))&lt;&gt;1),"",IF(OR(INDEX('Rules'!$B$7:$B$26,MATCH(SUBSTITUTE(SUBSTITUTE(SUBSTITUTE(SUBSTITUTE("type:"&amp;B931,"%","%25"),"~","%7E"),"*","%2A"),"?","%3F"),'Rules'!$G$7:$G$26,0))="hours",INDEX('Rules'!$B$7:$B$26,MATCH(SUBSTITUTE(SUBSTITUTE(SUBSTITUTE(SUBSTITUTE("type:"&amp;B931,"%","%25"),"~","%7E"),"*","%2A"),"?","%3F"),'Rules'!$G$7:$G$26,0))="km"),INDEX('Rules'!$B$7:$B$26,MATCH(SUBSTITUTE(SUBSTITUTE(SUBSTITUTE(SUBSTITUTE("type:"&amp;B931,"%","%25"),"~","%7E"),"*","%2A"),"?","%3F"),'Rules'!$G$7:$G$26,0)),""))</x:f>
      </x:c>
      <x:c r="I931" s="6" t="str">
        <x:f>IF(AND(NOT(COUNTA(A931:F931)=0),K931=""),ROUND(J931-D931,3),"")</x:f>
      </x:c>
      <x:c r="J931" s="6" t="str">
        <x:f>IF(AND(NOT(COUNTA(A931:F931)=0),K931=""),ROUND(F931+L931,3),"")</x:f>
      </x:c>
      <x:c r="K931" s="5" t="str">
        <x:f>IF(COUNTA(A931:F931)=0,"",IF(A931="","Missing equipment ID",IF(COUNTIFS($N$8:$N$2007,"="&amp;N931)&gt;1,"Duplicate equipment ID",IF(B931="","Missing type",IF(COUNTIFS('Rules'!$G$7:$G$26,"="&amp;(SUBSTITUTE(SUBSTITUTE(SUBSTITUTE(SUBSTITUTE("type:"&amp;B931,"%","%25"),"~","%7E"),"*","%2A"),"?","%3F")))=0,"Unknown type",IF(COUNTIFS('Rules'!$G$7:$G$26,"="&amp;(SUBSTITUTE(SUBSTITUTE(SUBSTITUTE(SUBSTITUTE("type:"&amp;B931,"%","%25"),"~","%7E"),"*","%2A"),"?","%3F")))&gt;1,"Duplicate type",IF(INDEX('Rules'!$F$7:$F$26,MATCH(SUBSTITUTE(SUBSTITUTE(SUBSTITUTE(SUBSTITUTE("type:"&amp;B931,"%","%25"),"~","%7E"),"*","%2A"),"?","%3F"),'Rules'!$G$7:$G$26,0))&lt;&gt;"",INDEX('Rules'!$F$7:$F$26,MATCH(SUBSTITUTE(SUBSTITUTE(SUBSTITUTE(SUBSTITUTE("type:"&amp;B931,"%","%25"),"~","%7E"),"*","%2A"),"?","%3F"),'Rules'!$G$7:$G$26,0)),IF(AND(C931&lt;&gt;"",C931&lt;&gt;INDEX('Rules'!$B$7:$B$26,MATCH(SUBSTITUTE(SUBSTITUTE(SUBSTITUTE(SUBSTITUTE("type:"&amp;B931,"%","%25"),"~","%7E"),"*","%2A"),"?","%3F"),'Rules'!$G$7:$G$26,0))),"Unit mismatch",IF(IF(NOT(ISNUMBER(D931)),TRUE,OR(D931&lt;0,D931&gt;999999999,ROUND(D931,3)&lt;&gt;D931)),"Invalid current reading",IF(AND(E931&lt;&gt;"",IF(NOT(ISNUMBER(E931)),TRUE,OR(E931&lt;0,E931&gt;999999999,ROUND(E931,3)&lt;&gt;E931))),"Invalid previous reading",IF(IF(NOT(ISNUMBER(F931)),TRUE,OR(F931&lt;0,F931&gt;999999999,ROUND(F931,3)&lt;&gt;F931)),"Invalid last service",IF(AND(E931&lt;&gt;"",D931&lt;E931),"Decreased reading",IF(F931&gt;D931,"Last service above current","")))))))))))))</x:f>
      </x:c>
      <x:c r="L931" s="6" t="str">
        <x:f>IF(AND(NOT(COUNTA(A931:F931)=0),K931=""),INDEX('Rules'!$C$7:$C$26,MATCH(SUBSTITUTE(SUBSTITUTE(SUBSTITUTE(SUBSTITUTE("type:"&amp;B931,"%","%25"),"~","%7E"),"*","%2A"),"?","%3F"),'Rules'!$G$7:$G$26,0)),"")</x:f>
      </x:c>
      <x:c r="M931" s="6" t="str">
        <x:f>IF(AND(NOT(COUNTA(A931:F931)=0),K931=""),INDEX('Rules'!$D$7:$D$26,MATCH(SUBSTITUTE(SUBSTITUTE(SUBSTITUTE(SUBSTITUTE("type:"&amp;B931,"%","%25"),"~","%7E"),"*","%2A"),"?","%3F"),'Rules'!$G$7:$G$26,0)),"")</x:f>
      </x:c>
      <x:c r="N931" s="5" t="str">
        <x:f>IF(COUNTA(A931:F931)=0,"",SUBSTITUTE(SUBSTITUTE(SUBSTITUTE(SUBSTITUTE("id:"&amp;A931,"%","%25"),"~","%7E"),"*","%2A"),"?","%3F"))</x:f>
      </x:c>
    </x:row>
    <x:row r="932" ht="22" customHeight="1">
      <x:c r="A932" s="3"/>
      <x:c r="B932" s="3"/>
      <x:c r="C932" s="3"/>
      <x:c r="D932" s="4"/>
      <x:c r="E932" s="4"/>
      <x:c r="F932" s="4"/>
      <x:c r="G932" s="5" t="str">
        <x:f>IF(COUNTA(A932:F932)=0,"",IF(K932&lt;&gt;"","Review",IF(I932&lt;0,"Overdue",IF(I932=0,"Due now",IF(I932&lt;=M932,"Due soon","Not due")))))</x:f>
      </x:c>
      <x:c r="H932" s="5" t="str">
        <x:f>IF(OR(COUNTA(A932:F932)=0,COUNTIFS('Rules'!$G$7:$G$26,"="&amp;(SUBSTITUTE(SUBSTITUTE(SUBSTITUTE(SUBSTITUTE("type:"&amp;B932,"%","%25"),"~","%7E"),"*","%2A"),"?","%3F")))&lt;&gt;1),"",IF(OR(INDEX('Rules'!$B$7:$B$26,MATCH(SUBSTITUTE(SUBSTITUTE(SUBSTITUTE(SUBSTITUTE("type:"&amp;B932,"%","%25"),"~","%7E"),"*","%2A"),"?","%3F"),'Rules'!$G$7:$G$26,0))="hours",INDEX('Rules'!$B$7:$B$26,MATCH(SUBSTITUTE(SUBSTITUTE(SUBSTITUTE(SUBSTITUTE("type:"&amp;B932,"%","%25"),"~","%7E"),"*","%2A"),"?","%3F"),'Rules'!$G$7:$G$26,0))="km"),INDEX('Rules'!$B$7:$B$26,MATCH(SUBSTITUTE(SUBSTITUTE(SUBSTITUTE(SUBSTITUTE("type:"&amp;B932,"%","%25"),"~","%7E"),"*","%2A"),"?","%3F"),'Rules'!$G$7:$G$26,0)),""))</x:f>
      </x:c>
      <x:c r="I932" s="6" t="str">
        <x:f>IF(AND(NOT(COUNTA(A932:F932)=0),K932=""),ROUND(J932-D932,3),"")</x:f>
      </x:c>
      <x:c r="J932" s="6" t="str">
        <x:f>IF(AND(NOT(COUNTA(A932:F932)=0),K932=""),ROUND(F932+L932,3),"")</x:f>
      </x:c>
      <x:c r="K932" s="5" t="str">
        <x:f>IF(COUNTA(A932:F932)=0,"",IF(A932="","Missing equipment ID",IF(COUNTIFS($N$8:$N$2007,"="&amp;N932)&gt;1,"Duplicate equipment ID",IF(B932="","Missing type",IF(COUNTIFS('Rules'!$G$7:$G$26,"="&amp;(SUBSTITUTE(SUBSTITUTE(SUBSTITUTE(SUBSTITUTE("type:"&amp;B932,"%","%25"),"~","%7E"),"*","%2A"),"?","%3F")))=0,"Unknown type",IF(COUNTIFS('Rules'!$G$7:$G$26,"="&amp;(SUBSTITUTE(SUBSTITUTE(SUBSTITUTE(SUBSTITUTE("type:"&amp;B932,"%","%25"),"~","%7E"),"*","%2A"),"?","%3F")))&gt;1,"Duplicate type",IF(INDEX('Rules'!$F$7:$F$26,MATCH(SUBSTITUTE(SUBSTITUTE(SUBSTITUTE(SUBSTITUTE("type:"&amp;B932,"%","%25"),"~","%7E"),"*","%2A"),"?","%3F"),'Rules'!$G$7:$G$26,0))&lt;&gt;"",INDEX('Rules'!$F$7:$F$26,MATCH(SUBSTITUTE(SUBSTITUTE(SUBSTITUTE(SUBSTITUTE("type:"&amp;B932,"%","%25"),"~","%7E"),"*","%2A"),"?","%3F"),'Rules'!$G$7:$G$26,0)),IF(AND(C932&lt;&gt;"",C932&lt;&gt;INDEX('Rules'!$B$7:$B$26,MATCH(SUBSTITUTE(SUBSTITUTE(SUBSTITUTE(SUBSTITUTE("type:"&amp;B932,"%","%25"),"~","%7E"),"*","%2A"),"?","%3F"),'Rules'!$G$7:$G$26,0))),"Unit mismatch",IF(IF(NOT(ISNUMBER(D932)),TRUE,OR(D932&lt;0,D932&gt;999999999,ROUND(D932,3)&lt;&gt;D932)),"Invalid current reading",IF(AND(E932&lt;&gt;"",IF(NOT(ISNUMBER(E932)),TRUE,OR(E932&lt;0,E932&gt;999999999,ROUND(E932,3)&lt;&gt;E932))),"Invalid previous reading",IF(IF(NOT(ISNUMBER(F932)),TRUE,OR(F932&lt;0,F932&gt;999999999,ROUND(F932,3)&lt;&gt;F932)),"Invalid last service",IF(AND(E932&lt;&gt;"",D932&lt;E932),"Decreased reading",IF(F932&gt;D932,"Last service above current","")))))))))))))</x:f>
      </x:c>
      <x:c r="L932" s="6" t="str">
        <x:f>IF(AND(NOT(COUNTA(A932:F932)=0),K932=""),INDEX('Rules'!$C$7:$C$26,MATCH(SUBSTITUTE(SUBSTITUTE(SUBSTITUTE(SUBSTITUTE("type:"&amp;B932,"%","%25"),"~","%7E"),"*","%2A"),"?","%3F"),'Rules'!$G$7:$G$26,0)),"")</x:f>
      </x:c>
      <x:c r="M932" s="6" t="str">
        <x:f>IF(AND(NOT(COUNTA(A932:F932)=0),K932=""),INDEX('Rules'!$D$7:$D$26,MATCH(SUBSTITUTE(SUBSTITUTE(SUBSTITUTE(SUBSTITUTE("type:"&amp;B932,"%","%25"),"~","%7E"),"*","%2A"),"?","%3F"),'Rules'!$G$7:$G$26,0)),"")</x:f>
      </x:c>
      <x:c r="N932" s="5" t="str">
        <x:f>IF(COUNTA(A932:F932)=0,"",SUBSTITUTE(SUBSTITUTE(SUBSTITUTE(SUBSTITUTE("id:"&amp;A932,"%","%25"),"~","%7E"),"*","%2A"),"?","%3F"))</x:f>
      </x:c>
    </x:row>
    <x:row r="933" ht="22" customHeight="1">
      <x:c r="A933" s="3"/>
      <x:c r="B933" s="3"/>
      <x:c r="C933" s="3"/>
      <x:c r="D933" s="4"/>
      <x:c r="E933" s="4"/>
      <x:c r="F933" s="4"/>
      <x:c r="G933" s="5" t="str">
        <x:f>IF(COUNTA(A933:F933)=0,"",IF(K933&lt;&gt;"","Review",IF(I933&lt;0,"Overdue",IF(I933=0,"Due now",IF(I933&lt;=M933,"Due soon","Not due")))))</x:f>
      </x:c>
      <x:c r="H933" s="5" t="str">
        <x:f>IF(OR(COUNTA(A933:F933)=0,COUNTIFS('Rules'!$G$7:$G$26,"="&amp;(SUBSTITUTE(SUBSTITUTE(SUBSTITUTE(SUBSTITUTE("type:"&amp;B933,"%","%25"),"~","%7E"),"*","%2A"),"?","%3F")))&lt;&gt;1),"",IF(OR(INDEX('Rules'!$B$7:$B$26,MATCH(SUBSTITUTE(SUBSTITUTE(SUBSTITUTE(SUBSTITUTE("type:"&amp;B933,"%","%25"),"~","%7E"),"*","%2A"),"?","%3F"),'Rules'!$G$7:$G$26,0))="hours",INDEX('Rules'!$B$7:$B$26,MATCH(SUBSTITUTE(SUBSTITUTE(SUBSTITUTE(SUBSTITUTE("type:"&amp;B933,"%","%25"),"~","%7E"),"*","%2A"),"?","%3F"),'Rules'!$G$7:$G$26,0))="km"),INDEX('Rules'!$B$7:$B$26,MATCH(SUBSTITUTE(SUBSTITUTE(SUBSTITUTE(SUBSTITUTE("type:"&amp;B933,"%","%25"),"~","%7E"),"*","%2A"),"?","%3F"),'Rules'!$G$7:$G$26,0)),""))</x:f>
      </x:c>
      <x:c r="I933" s="6" t="str">
        <x:f>IF(AND(NOT(COUNTA(A933:F933)=0),K933=""),ROUND(J933-D933,3),"")</x:f>
      </x:c>
      <x:c r="J933" s="6" t="str">
        <x:f>IF(AND(NOT(COUNTA(A933:F933)=0),K933=""),ROUND(F933+L933,3),"")</x:f>
      </x:c>
      <x:c r="K933" s="5" t="str">
        <x:f>IF(COUNTA(A933:F933)=0,"",IF(A933="","Missing equipment ID",IF(COUNTIFS($N$8:$N$2007,"="&amp;N933)&gt;1,"Duplicate equipment ID",IF(B933="","Missing type",IF(COUNTIFS('Rules'!$G$7:$G$26,"="&amp;(SUBSTITUTE(SUBSTITUTE(SUBSTITUTE(SUBSTITUTE("type:"&amp;B933,"%","%25"),"~","%7E"),"*","%2A"),"?","%3F")))=0,"Unknown type",IF(COUNTIFS('Rules'!$G$7:$G$26,"="&amp;(SUBSTITUTE(SUBSTITUTE(SUBSTITUTE(SUBSTITUTE("type:"&amp;B933,"%","%25"),"~","%7E"),"*","%2A"),"?","%3F")))&gt;1,"Duplicate type",IF(INDEX('Rules'!$F$7:$F$26,MATCH(SUBSTITUTE(SUBSTITUTE(SUBSTITUTE(SUBSTITUTE("type:"&amp;B933,"%","%25"),"~","%7E"),"*","%2A"),"?","%3F"),'Rules'!$G$7:$G$26,0))&lt;&gt;"",INDEX('Rules'!$F$7:$F$26,MATCH(SUBSTITUTE(SUBSTITUTE(SUBSTITUTE(SUBSTITUTE("type:"&amp;B933,"%","%25"),"~","%7E"),"*","%2A"),"?","%3F"),'Rules'!$G$7:$G$26,0)),IF(AND(C933&lt;&gt;"",C933&lt;&gt;INDEX('Rules'!$B$7:$B$26,MATCH(SUBSTITUTE(SUBSTITUTE(SUBSTITUTE(SUBSTITUTE("type:"&amp;B933,"%","%25"),"~","%7E"),"*","%2A"),"?","%3F"),'Rules'!$G$7:$G$26,0))),"Unit mismatch",IF(IF(NOT(ISNUMBER(D933)),TRUE,OR(D933&lt;0,D933&gt;999999999,ROUND(D933,3)&lt;&gt;D933)),"Invalid current reading",IF(AND(E933&lt;&gt;"",IF(NOT(ISNUMBER(E933)),TRUE,OR(E933&lt;0,E933&gt;999999999,ROUND(E933,3)&lt;&gt;E933))),"Invalid previous reading",IF(IF(NOT(ISNUMBER(F933)),TRUE,OR(F933&lt;0,F933&gt;999999999,ROUND(F933,3)&lt;&gt;F933)),"Invalid last service",IF(AND(E933&lt;&gt;"",D933&lt;E933),"Decreased reading",IF(F933&gt;D933,"Last service above current","")))))))))))))</x:f>
      </x:c>
      <x:c r="L933" s="6" t="str">
        <x:f>IF(AND(NOT(COUNTA(A933:F933)=0),K933=""),INDEX('Rules'!$C$7:$C$26,MATCH(SUBSTITUTE(SUBSTITUTE(SUBSTITUTE(SUBSTITUTE("type:"&amp;B933,"%","%25"),"~","%7E"),"*","%2A"),"?","%3F"),'Rules'!$G$7:$G$26,0)),"")</x:f>
      </x:c>
      <x:c r="M933" s="6" t="str">
        <x:f>IF(AND(NOT(COUNTA(A933:F933)=0),K933=""),INDEX('Rules'!$D$7:$D$26,MATCH(SUBSTITUTE(SUBSTITUTE(SUBSTITUTE(SUBSTITUTE("type:"&amp;B933,"%","%25"),"~","%7E"),"*","%2A"),"?","%3F"),'Rules'!$G$7:$G$26,0)),"")</x:f>
      </x:c>
      <x:c r="N933" s="5" t="str">
        <x:f>IF(COUNTA(A933:F933)=0,"",SUBSTITUTE(SUBSTITUTE(SUBSTITUTE(SUBSTITUTE("id:"&amp;A933,"%","%25"),"~","%7E"),"*","%2A"),"?","%3F"))</x:f>
      </x:c>
    </x:row>
    <x:row r="934" ht="22" customHeight="1">
      <x:c r="A934" s="3"/>
      <x:c r="B934" s="3"/>
      <x:c r="C934" s="3"/>
      <x:c r="D934" s="4"/>
      <x:c r="E934" s="4"/>
      <x:c r="F934" s="4"/>
      <x:c r="G934" s="5" t="str">
        <x:f>IF(COUNTA(A934:F934)=0,"",IF(K934&lt;&gt;"","Review",IF(I934&lt;0,"Overdue",IF(I934=0,"Due now",IF(I934&lt;=M934,"Due soon","Not due")))))</x:f>
      </x:c>
      <x:c r="H934" s="5" t="str">
        <x:f>IF(OR(COUNTA(A934:F934)=0,COUNTIFS('Rules'!$G$7:$G$26,"="&amp;(SUBSTITUTE(SUBSTITUTE(SUBSTITUTE(SUBSTITUTE("type:"&amp;B934,"%","%25"),"~","%7E"),"*","%2A"),"?","%3F")))&lt;&gt;1),"",IF(OR(INDEX('Rules'!$B$7:$B$26,MATCH(SUBSTITUTE(SUBSTITUTE(SUBSTITUTE(SUBSTITUTE("type:"&amp;B934,"%","%25"),"~","%7E"),"*","%2A"),"?","%3F"),'Rules'!$G$7:$G$26,0))="hours",INDEX('Rules'!$B$7:$B$26,MATCH(SUBSTITUTE(SUBSTITUTE(SUBSTITUTE(SUBSTITUTE("type:"&amp;B934,"%","%25"),"~","%7E"),"*","%2A"),"?","%3F"),'Rules'!$G$7:$G$26,0))="km"),INDEX('Rules'!$B$7:$B$26,MATCH(SUBSTITUTE(SUBSTITUTE(SUBSTITUTE(SUBSTITUTE("type:"&amp;B934,"%","%25"),"~","%7E"),"*","%2A"),"?","%3F"),'Rules'!$G$7:$G$26,0)),""))</x:f>
      </x:c>
      <x:c r="I934" s="6" t="str">
        <x:f>IF(AND(NOT(COUNTA(A934:F934)=0),K934=""),ROUND(J934-D934,3),"")</x:f>
      </x:c>
      <x:c r="J934" s="6" t="str">
        <x:f>IF(AND(NOT(COUNTA(A934:F934)=0),K934=""),ROUND(F934+L934,3),"")</x:f>
      </x:c>
      <x:c r="K934" s="5" t="str">
        <x:f>IF(COUNTA(A934:F934)=0,"",IF(A934="","Missing equipment ID",IF(COUNTIFS($N$8:$N$2007,"="&amp;N934)&gt;1,"Duplicate equipment ID",IF(B934="","Missing type",IF(COUNTIFS('Rules'!$G$7:$G$26,"="&amp;(SUBSTITUTE(SUBSTITUTE(SUBSTITUTE(SUBSTITUTE("type:"&amp;B934,"%","%25"),"~","%7E"),"*","%2A"),"?","%3F")))=0,"Unknown type",IF(COUNTIFS('Rules'!$G$7:$G$26,"="&amp;(SUBSTITUTE(SUBSTITUTE(SUBSTITUTE(SUBSTITUTE("type:"&amp;B934,"%","%25"),"~","%7E"),"*","%2A"),"?","%3F")))&gt;1,"Duplicate type",IF(INDEX('Rules'!$F$7:$F$26,MATCH(SUBSTITUTE(SUBSTITUTE(SUBSTITUTE(SUBSTITUTE("type:"&amp;B934,"%","%25"),"~","%7E"),"*","%2A"),"?","%3F"),'Rules'!$G$7:$G$26,0))&lt;&gt;"",INDEX('Rules'!$F$7:$F$26,MATCH(SUBSTITUTE(SUBSTITUTE(SUBSTITUTE(SUBSTITUTE("type:"&amp;B934,"%","%25"),"~","%7E"),"*","%2A"),"?","%3F"),'Rules'!$G$7:$G$26,0)),IF(AND(C934&lt;&gt;"",C934&lt;&gt;INDEX('Rules'!$B$7:$B$26,MATCH(SUBSTITUTE(SUBSTITUTE(SUBSTITUTE(SUBSTITUTE("type:"&amp;B934,"%","%25"),"~","%7E"),"*","%2A"),"?","%3F"),'Rules'!$G$7:$G$26,0))),"Unit mismatch",IF(IF(NOT(ISNUMBER(D934)),TRUE,OR(D934&lt;0,D934&gt;999999999,ROUND(D934,3)&lt;&gt;D934)),"Invalid current reading",IF(AND(E934&lt;&gt;"",IF(NOT(ISNUMBER(E934)),TRUE,OR(E934&lt;0,E934&gt;999999999,ROUND(E934,3)&lt;&gt;E934))),"Invalid previous reading",IF(IF(NOT(ISNUMBER(F934)),TRUE,OR(F934&lt;0,F934&gt;999999999,ROUND(F934,3)&lt;&gt;F934)),"Invalid last service",IF(AND(E934&lt;&gt;"",D934&lt;E934),"Decreased reading",IF(F934&gt;D934,"Last service above current","")))))))))))))</x:f>
      </x:c>
      <x:c r="L934" s="6" t="str">
        <x:f>IF(AND(NOT(COUNTA(A934:F934)=0),K934=""),INDEX('Rules'!$C$7:$C$26,MATCH(SUBSTITUTE(SUBSTITUTE(SUBSTITUTE(SUBSTITUTE("type:"&amp;B934,"%","%25"),"~","%7E"),"*","%2A"),"?","%3F"),'Rules'!$G$7:$G$26,0)),"")</x:f>
      </x:c>
      <x:c r="M934" s="6" t="str">
        <x:f>IF(AND(NOT(COUNTA(A934:F934)=0),K934=""),INDEX('Rules'!$D$7:$D$26,MATCH(SUBSTITUTE(SUBSTITUTE(SUBSTITUTE(SUBSTITUTE("type:"&amp;B934,"%","%25"),"~","%7E"),"*","%2A"),"?","%3F"),'Rules'!$G$7:$G$26,0)),"")</x:f>
      </x:c>
      <x:c r="N934" s="5" t="str">
        <x:f>IF(COUNTA(A934:F934)=0,"",SUBSTITUTE(SUBSTITUTE(SUBSTITUTE(SUBSTITUTE("id:"&amp;A934,"%","%25"),"~","%7E"),"*","%2A"),"?","%3F"))</x:f>
      </x:c>
    </x:row>
    <x:row r="935" ht="22" customHeight="1">
      <x:c r="A935" s="3"/>
      <x:c r="B935" s="3"/>
      <x:c r="C935" s="3"/>
      <x:c r="D935" s="4"/>
      <x:c r="E935" s="4"/>
      <x:c r="F935" s="4"/>
      <x:c r="G935" s="5" t="str">
        <x:f>IF(COUNTA(A935:F935)=0,"",IF(K935&lt;&gt;"","Review",IF(I935&lt;0,"Overdue",IF(I935=0,"Due now",IF(I935&lt;=M935,"Due soon","Not due")))))</x:f>
      </x:c>
      <x:c r="H935" s="5" t="str">
        <x:f>IF(OR(COUNTA(A935:F935)=0,COUNTIFS('Rules'!$G$7:$G$26,"="&amp;(SUBSTITUTE(SUBSTITUTE(SUBSTITUTE(SUBSTITUTE("type:"&amp;B935,"%","%25"),"~","%7E"),"*","%2A"),"?","%3F")))&lt;&gt;1),"",IF(OR(INDEX('Rules'!$B$7:$B$26,MATCH(SUBSTITUTE(SUBSTITUTE(SUBSTITUTE(SUBSTITUTE("type:"&amp;B935,"%","%25"),"~","%7E"),"*","%2A"),"?","%3F"),'Rules'!$G$7:$G$26,0))="hours",INDEX('Rules'!$B$7:$B$26,MATCH(SUBSTITUTE(SUBSTITUTE(SUBSTITUTE(SUBSTITUTE("type:"&amp;B935,"%","%25"),"~","%7E"),"*","%2A"),"?","%3F"),'Rules'!$G$7:$G$26,0))="km"),INDEX('Rules'!$B$7:$B$26,MATCH(SUBSTITUTE(SUBSTITUTE(SUBSTITUTE(SUBSTITUTE("type:"&amp;B935,"%","%25"),"~","%7E"),"*","%2A"),"?","%3F"),'Rules'!$G$7:$G$26,0)),""))</x:f>
      </x:c>
      <x:c r="I935" s="6" t="str">
        <x:f>IF(AND(NOT(COUNTA(A935:F935)=0),K935=""),ROUND(J935-D935,3),"")</x:f>
      </x:c>
      <x:c r="J935" s="6" t="str">
        <x:f>IF(AND(NOT(COUNTA(A935:F935)=0),K935=""),ROUND(F935+L935,3),"")</x:f>
      </x:c>
      <x:c r="K935" s="5" t="str">
        <x:f>IF(COUNTA(A935:F935)=0,"",IF(A935="","Missing equipment ID",IF(COUNTIFS($N$8:$N$2007,"="&amp;N935)&gt;1,"Duplicate equipment ID",IF(B935="","Missing type",IF(COUNTIFS('Rules'!$G$7:$G$26,"="&amp;(SUBSTITUTE(SUBSTITUTE(SUBSTITUTE(SUBSTITUTE("type:"&amp;B935,"%","%25"),"~","%7E"),"*","%2A"),"?","%3F")))=0,"Unknown type",IF(COUNTIFS('Rules'!$G$7:$G$26,"="&amp;(SUBSTITUTE(SUBSTITUTE(SUBSTITUTE(SUBSTITUTE("type:"&amp;B935,"%","%25"),"~","%7E"),"*","%2A"),"?","%3F")))&gt;1,"Duplicate type",IF(INDEX('Rules'!$F$7:$F$26,MATCH(SUBSTITUTE(SUBSTITUTE(SUBSTITUTE(SUBSTITUTE("type:"&amp;B935,"%","%25"),"~","%7E"),"*","%2A"),"?","%3F"),'Rules'!$G$7:$G$26,0))&lt;&gt;"",INDEX('Rules'!$F$7:$F$26,MATCH(SUBSTITUTE(SUBSTITUTE(SUBSTITUTE(SUBSTITUTE("type:"&amp;B935,"%","%25"),"~","%7E"),"*","%2A"),"?","%3F"),'Rules'!$G$7:$G$26,0)),IF(AND(C935&lt;&gt;"",C935&lt;&gt;INDEX('Rules'!$B$7:$B$26,MATCH(SUBSTITUTE(SUBSTITUTE(SUBSTITUTE(SUBSTITUTE("type:"&amp;B935,"%","%25"),"~","%7E"),"*","%2A"),"?","%3F"),'Rules'!$G$7:$G$26,0))),"Unit mismatch",IF(IF(NOT(ISNUMBER(D935)),TRUE,OR(D935&lt;0,D935&gt;999999999,ROUND(D935,3)&lt;&gt;D935)),"Invalid current reading",IF(AND(E935&lt;&gt;"",IF(NOT(ISNUMBER(E935)),TRUE,OR(E935&lt;0,E935&gt;999999999,ROUND(E935,3)&lt;&gt;E935))),"Invalid previous reading",IF(IF(NOT(ISNUMBER(F935)),TRUE,OR(F935&lt;0,F935&gt;999999999,ROUND(F935,3)&lt;&gt;F935)),"Invalid last service",IF(AND(E935&lt;&gt;"",D935&lt;E935),"Decreased reading",IF(F935&gt;D935,"Last service above current","")))))))))))))</x:f>
      </x:c>
      <x:c r="L935" s="6" t="str">
        <x:f>IF(AND(NOT(COUNTA(A935:F935)=0),K935=""),INDEX('Rules'!$C$7:$C$26,MATCH(SUBSTITUTE(SUBSTITUTE(SUBSTITUTE(SUBSTITUTE("type:"&amp;B935,"%","%25"),"~","%7E"),"*","%2A"),"?","%3F"),'Rules'!$G$7:$G$26,0)),"")</x:f>
      </x:c>
      <x:c r="M935" s="6" t="str">
        <x:f>IF(AND(NOT(COUNTA(A935:F935)=0),K935=""),INDEX('Rules'!$D$7:$D$26,MATCH(SUBSTITUTE(SUBSTITUTE(SUBSTITUTE(SUBSTITUTE("type:"&amp;B935,"%","%25"),"~","%7E"),"*","%2A"),"?","%3F"),'Rules'!$G$7:$G$26,0)),"")</x:f>
      </x:c>
      <x:c r="N935" s="5" t="str">
        <x:f>IF(COUNTA(A935:F935)=0,"",SUBSTITUTE(SUBSTITUTE(SUBSTITUTE(SUBSTITUTE("id:"&amp;A935,"%","%25"),"~","%7E"),"*","%2A"),"?","%3F"))</x:f>
      </x:c>
    </x:row>
    <x:row r="936" ht="22" customHeight="1">
      <x:c r="A936" s="3"/>
      <x:c r="B936" s="3"/>
      <x:c r="C936" s="3"/>
      <x:c r="D936" s="4"/>
      <x:c r="E936" s="4"/>
      <x:c r="F936" s="4"/>
      <x:c r="G936" s="5" t="str">
        <x:f>IF(COUNTA(A936:F936)=0,"",IF(K936&lt;&gt;"","Review",IF(I936&lt;0,"Overdue",IF(I936=0,"Due now",IF(I936&lt;=M936,"Due soon","Not due")))))</x:f>
      </x:c>
      <x:c r="H936" s="5" t="str">
        <x:f>IF(OR(COUNTA(A936:F936)=0,COUNTIFS('Rules'!$G$7:$G$26,"="&amp;(SUBSTITUTE(SUBSTITUTE(SUBSTITUTE(SUBSTITUTE("type:"&amp;B936,"%","%25"),"~","%7E"),"*","%2A"),"?","%3F")))&lt;&gt;1),"",IF(OR(INDEX('Rules'!$B$7:$B$26,MATCH(SUBSTITUTE(SUBSTITUTE(SUBSTITUTE(SUBSTITUTE("type:"&amp;B936,"%","%25"),"~","%7E"),"*","%2A"),"?","%3F"),'Rules'!$G$7:$G$26,0))="hours",INDEX('Rules'!$B$7:$B$26,MATCH(SUBSTITUTE(SUBSTITUTE(SUBSTITUTE(SUBSTITUTE("type:"&amp;B936,"%","%25"),"~","%7E"),"*","%2A"),"?","%3F"),'Rules'!$G$7:$G$26,0))="km"),INDEX('Rules'!$B$7:$B$26,MATCH(SUBSTITUTE(SUBSTITUTE(SUBSTITUTE(SUBSTITUTE("type:"&amp;B936,"%","%25"),"~","%7E"),"*","%2A"),"?","%3F"),'Rules'!$G$7:$G$26,0)),""))</x:f>
      </x:c>
      <x:c r="I936" s="6" t="str">
        <x:f>IF(AND(NOT(COUNTA(A936:F936)=0),K936=""),ROUND(J936-D936,3),"")</x:f>
      </x:c>
      <x:c r="J936" s="6" t="str">
        <x:f>IF(AND(NOT(COUNTA(A936:F936)=0),K936=""),ROUND(F936+L936,3),"")</x:f>
      </x:c>
      <x:c r="K936" s="5" t="str">
        <x:f>IF(COUNTA(A936:F936)=0,"",IF(A936="","Missing equipment ID",IF(COUNTIFS($N$8:$N$2007,"="&amp;N936)&gt;1,"Duplicate equipment ID",IF(B936="","Missing type",IF(COUNTIFS('Rules'!$G$7:$G$26,"="&amp;(SUBSTITUTE(SUBSTITUTE(SUBSTITUTE(SUBSTITUTE("type:"&amp;B936,"%","%25"),"~","%7E"),"*","%2A"),"?","%3F")))=0,"Unknown type",IF(COUNTIFS('Rules'!$G$7:$G$26,"="&amp;(SUBSTITUTE(SUBSTITUTE(SUBSTITUTE(SUBSTITUTE("type:"&amp;B936,"%","%25"),"~","%7E"),"*","%2A"),"?","%3F")))&gt;1,"Duplicate type",IF(INDEX('Rules'!$F$7:$F$26,MATCH(SUBSTITUTE(SUBSTITUTE(SUBSTITUTE(SUBSTITUTE("type:"&amp;B936,"%","%25"),"~","%7E"),"*","%2A"),"?","%3F"),'Rules'!$G$7:$G$26,0))&lt;&gt;"",INDEX('Rules'!$F$7:$F$26,MATCH(SUBSTITUTE(SUBSTITUTE(SUBSTITUTE(SUBSTITUTE("type:"&amp;B936,"%","%25"),"~","%7E"),"*","%2A"),"?","%3F"),'Rules'!$G$7:$G$26,0)),IF(AND(C936&lt;&gt;"",C936&lt;&gt;INDEX('Rules'!$B$7:$B$26,MATCH(SUBSTITUTE(SUBSTITUTE(SUBSTITUTE(SUBSTITUTE("type:"&amp;B936,"%","%25"),"~","%7E"),"*","%2A"),"?","%3F"),'Rules'!$G$7:$G$26,0))),"Unit mismatch",IF(IF(NOT(ISNUMBER(D936)),TRUE,OR(D936&lt;0,D936&gt;999999999,ROUND(D936,3)&lt;&gt;D936)),"Invalid current reading",IF(AND(E936&lt;&gt;"",IF(NOT(ISNUMBER(E936)),TRUE,OR(E936&lt;0,E936&gt;999999999,ROUND(E936,3)&lt;&gt;E936))),"Invalid previous reading",IF(IF(NOT(ISNUMBER(F936)),TRUE,OR(F936&lt;0,F936&gt;999999999,ROUND(F936,3)&lt;&gt;F936)),"Invalid last service",IF(AND(E936&lt;&gt;"",D936&lt;E936),"Decreased reading",IF(F936&gt;D936,"Last service above current","")))))))))))))</x:f>
      </x:c>
      <x:c r="L936" s="6" t="str">
        <x:f>IF(AND(NOT(COUNTA(A936:F936)=0),K936=""),INDEX('Rules'!$C$7:$C$26,MATCH(SUBSTITUTE(SUBSTITUTE(SUBSTITUTE(SUBSTITUTE("type:"&amp;B936,"%","%25"),"~","%7E"),"*","%2A"),"?","%3F"),'Rules'!$G$7:$G$26,0)),"")</x:f>
      </x:c>
      <x:c r="M936" s="6" t="str">
        <x:f>IF(AND(NOT(COUNTA(A936:F936)=0),K936=""),INDEX('Rules'!$D$7:$D$26,MATCH(SUBSTITUTE(SUBSTITUTE(SUBSTITUTE(SUBSTITUTE("type:"&amp;B936,"%","%25"),"~","%7E"),"*","%2A"),"?","%3F"),'Rules'!$G$7:$G$26,0)),"")</x:f>
      </x:c>
      <x:c r="N936" s="5" t="str">
        <x:f>IF(COUNTA(A936:F936)=0,"",SUBSTITUTE(SUBSTITUTE(SUBSTITUTE(SUBSTITUTE("id:"&amp;A936,"%","%25"),"~","%7E"),"*","%2A"),"?","%3F"))</x:f>
      </x:c>
    </x:row>
    <x:row r="937" ht="22" customHeight="1">
      <x:c r="A937" s="3"/>
      <x:c r="B937" s="3"/>
      <x:c r="C937" s="3"/>
      <x:c r="D937" s="4"/>
      <x:c r="E937" s="4"/>
      <x:c r="F937" s="4"/>
      <x:c r="G937" s="5" t="str">
        <x:f>IF(COUNTA(A937:F937)=0,"",IF(K937&lt;&gt;"","Review",IF(I937&lt;0,"Overdue",IF(I937=0,"Due now",IF(I937&lt;=M937,"Due soon","Not due")))))</x:f>
      </x:c>
      <x:c r="H937" s="5" t="str">
        <x:f>IF(OR(COUNTA(A937:F937)=0,COUNTIFS('Rules'!$G$7:$G$26,"="&amp;(SUBSTITUTE(SUBSTITUTE(SUBSTITUTE(SUBSTITUTE("type:"&amp;B937,"%","%25"),"~","%7E"),"*","%2A"),"?","%3F")))&lt;&gt;1),"",IF(OR(INDEX('Rules'!$B$7:$B$26,MATCH(SUBSTITUTE(SUBSTITUTE(SUBSTITUTE(SUBSTITUTE("type:"&amp;B937,"%","%25"),"~","%7E"),"*","%2A"),"?","%3F"),'Rules'!$G$7:$G$26,0))="hours",INDEX('Rules'!$B$7:$B$26,MATCH(SUBSTITUTE(SUBSTITUTE(SUBSTITUTE(SUBSTITUTE("type:"&amp;B937,"%","%25"),"~","%7E"),"*","%2A"),"?","%3F"),'Rules'!$G$7:$G$26,0))="km"),INDEX('Rules'!$B$7:$B$26,MATCH(SUBSTITUTE(SUBSTITUTE(SUBSTITUTE(SUBSTITUTE("type:"&amp;B937,"%","%25"),"~","%7E"),"*","%2A"),"?","%3F"),'Rules'!$G$7:$G$26,0)),""))</x:f>
      </x:c>
      <x:c r="I937" s="6" t="str">
        <x:f>IF(AND(NOT(COUNTA(A937:F937)=0),K937=""),ROUND(J937-D937,3),"")</x:f>
      </x:c>
      <x:c r="J937" s="6" t="str">
        <x:f>IF(AND(NOT(COUNTA(A937:F937)=0),K937=""),ROUND(F937+L937,3),"")</x:f>
      </x:c>
      <x:c r="K937" s="5" t="str">
        <x:f>IF(COUNTA(A937:F937)=0,"",IF(A937="","Missing equipment ID",IF(COUNTIFS($N$8:$N$2007,"="&amp;N937)&gt;1,"Duplicate equipment ID",IF(B937="","Missing type",IF(COUNTIFS('Rules'!$G$7:$G$26,"="&amp;(SUBSTITUTE(SUBSTITUTE(SUBSTITUTE(SUBSTITUTE("type:"&amp;B937,"%","%25"),"~","%7E"),"*","%2A"),"?","%3F")))=0,"Unknown type",IF(COUNTIFS('Rules'!$G$7:$G$26,"="&amp;(SUBSTITUTE(SUBSTITUTE(SUBSTITUTE(SUBSTITUTE("type:"&amp;B937,"%","%25"),"~","%7E"),"*","%2A"),"?","%3F")))&gt;1,"Duplicate type",IF(INDEX('Rules'!$F$7:$F$26,MATCH(SUBSTITUTE(SUBSTITUTE(SUBSTITUTE(SUBSTITUTE("type:"&amp;B937,"%","%25"),"~","%7E"),"*","%2A"),"?","%3F"),'Rules'!$G$7:$G$26,0))&lt;&gt;"",INDEX('Rules'!$F$7:$F$26,MATCH(SUBSTITUTE(SUBSTITUTE(SUBSTITUTE(SUBSTITUTE("type:"&amp;B937,"%","%25"),"~","%7E"),"*","%2A"),"?","%3F"),'Rules'!$G$7:$G$26,0)),IF(AND(C937&lt;&gt;"",C937&lt;&gt;INDEX('Rules'!$B$7:$B$26,MATCH(SUBSTITUTE(SUBSTITUTE(SUBSTITUTE(SUBSTITUTE("type:"&amp;B937,"%","%25"),"~","%7E"),"*","%2A"),"?","%3F"),'Rules'!$G$7:$G$26,0))),"Unit mismatch",IF(IF(NOT(ISNUMBER(D937)),TRUE,OR(D937&lt;0,D937&gt;999999999,ROUND(D937,3)&lt;&gt;D937)),"Invalid current reading",IF(AND(E937&lt;&gt;"",IF(NOT(ISNUMBER(E937)),TRUE,OR(E937&lt;0,E937&gt;999999999,ROUND(E937,3)&lt;&gt;E937))),"Invalid previous reading",IF(IF(NOT(ISNUMBER(F937)),TRUE,OR(F937&lt;0,F937&gt;999999999,ROUND(F937,3)&lt;&gt;F937)),"Invalid last service",IF(AND(E937&lt;&gt;"",D937&lt;E937),"Decreased reading",IF(F937&gt;D937,"Last service above current","")))))))))))))</x:f>
      </x:c>
      <x:c r="L937" s="6" t="str">
        <x:f>IF(AND(NOT(COUNTA(A937:F937)=0),K937=""),INDEX('Rules'!$C$7:$C$26,MATCH(SUBSTITUTE(SUBSTITUTE(SUBSTITUTE(SUBSTITUTE("type:"&amp;B937,"%","%25"),"~","%7E"),"*","%2A"),"?","%3F"),'Rules'!$G$7:$G$26,0)),"")</x:f>
      </x:c>
      <x:c r="M937" s="6" t="str">
        <x:f>IF(AND(NOT(COUNTA(A937:F937)=0),K937=""),INDEX('Rules'!$D$7:$D$26,MATCH(SUBSTITUTE(SUBSTITUTE(SUBSTITUTE(SUBSTITUTE("type:"&amp;B937,"%","%25"),"~","%7E"),"*","%2A"),"?","%3F"),'Rules'!$G$7:$G$26,0)),"")</x:f>
      </x:c>
      <x:c r="N937" s="5" t="str">
        <x:f>IF(COUNTA(A937:F937)=0,"",SUBSTITUTE(SUBSTITUTE(SUBSTITUTE(SUBSTITUTE("id:"&amp;A937,"%","%25"),"~","%7E"),"*","%2A"),"?","%3F"))</x:f>
      </x:c>
    </x:row>
    <x:row r="938" ht="22" customHeight="1">
      <x:c r="A938" s="3"/>
      <x:c r="B938" s="3"/>
      <x:c r="C938" s="3"/>
      <x:c r="D938" s="4"/>
      <x:c r="E938" s="4"/>
      <x:c r="F938" s="4"/>
      <x:c r="G938" s="5" t="str">
        <x:f>IF(COUNTA(A938:F938)=0,"",IF(K938&lt;&gt;"","Review",IF(I938&lt;0,"Overdue",IF(I938=0,"Due now",IF(I938&lt;=M938,"Due soon","Not due")))))</x:f>
      </x:c>
      <x:c r="H938" s="5" t="str">
        <x:f>IF(OR(COUNTA(A938:F938)=0,COUNTIFS('Rules'!$G$7:$G$26,"="&amp;(SUBSTITUTE(SUBSTITUTE(SUBSTITUTE(SUBSTITUTE("type:"&amp;B938,"%","%25"),"~","%7E"),"*","%2A"),"?","%3F")))&lt;&gt;1),"",IF(OR(INDEX('Rules'!$B$7:$B$26,MATCH(SUBSTITUTE(SUBSTITUTE(SUBSTITUTE(SUBSTITUTE("type:"&amp;B938,"%","%25"),"~","%7E"),"*","%2A"),"?","%3F"),'Rules'!$G$7:$G$26,0))="hours",INDEX('Rules'!$B$7:$B$26,MATCH(SUBSTITUTE(SUBSTITUTE(SUBSTITUTE(SUBSTITUTE("type:"&amp;B938,"%","%25"),"~","%7E"),"*","%2A"),"?","%3F"),'Rules'!$G$7:$G$26,0))="km"),INDEX('Rules'!$B$7:$B$26,MATCH(SUBSTITUTE(SUBSTITUTE(SUBSTITUTE(SUBSTITUTE("type:"&amp;B938,"%","%25"),"~","%7E"),"*","%2A"),"?","%3F"),'Rules'!$G$7:$G$26,0)),""))</x:f>
      </x:c>
      <x:c r="I938" s="6" t="str">
        <x:f>IF(AND(NOT(COUNTA(A938:F938)=0),K938=""),ROUND(J938-D938,3),"")</x:f>
      </x:c>
      <x:c r="J938" s="6" t="str">
        <x:f>IF(AND(NOT(COUNTA(A938:F938)=0),K938=""),ROUND(F938+L938,3),"")</x:f>
      </x:c>
      <x:c r="K938" s="5" t="str">
        <x:f>IF(COUNTA(A938:F938)=0,"",IF(A938="","Missing equipment ID",IF(COUNTIFS($N$8:$N$2007,"="&amp;N938)&gt;1,"Duplicate equipment ID",IF(B938="","Missing type",IF(COUNTIFS('Rules'!$G$7:$G$26,"="&amp;(SUBSTITUTE(SUBSTITUTE(SUBSTITUTE(SUBSTITUTE("type:"&amp;B938,"%","%25"),"~","%7E"),"*","%2A"),"?","%3F")))=0,"Unknown type",IF(COUNTIFS('Rules'!$G$7:$G$26,"="&amp;(SUBSTITUTE(SUBSTITUTE(SUBSTITUTE(SUBSTITUTE("type:"&amp;B938,"%","%25"),"~","%7E"),"*","%2A"),"?","%3F")))&gt;1,"Duplicate type",IF(INDEX('Rules'!$F$7:$F$26,MATCH(SUBSTITUTE(SUBSTITUTE(SUBSTITUTE(SUBSTITUTE("type:"&amp;B938,"%","%25"),"~","%7E"),"*","%2A"),"?","%3F"),'Rules'!$G$7:$G$26,0))&lt;&gt;"",INDEX('Rules'!$F$7:$F$26,MATCH(SUBSTITUTE(SUBSTITUTE(SUBSTITUTE(SUBSTITUTE("type:"&amp;B938,"%","%25"),"~","%7E"),"*","%2A"),"?","%3F"),'Rules'!$G$7:$G$26,0)),IF(AND(C938&lt;&gt;"",C938&lt;&gt;INDEX('Rules'!$B$7:$B$26,MATCH(SUBSTITUTE(SUBSTITUTE(SUBSTITUTE(SUBSTITUTE("type:"&amp;B938,"%","%25"),"~","%7E"),"*","%2A"),"?","%3F"),'Rules'!$G$7:$G$26,0))),"Unit mismatch",IF(IF(NOT(ISNUMBER(D938)),TRUE,OR(D938&lt;0,D938&gt;999999999,ROUND(D938,3)&lt;&gt;D938)),"Invalid current reading",IF(AND(E938&lt;&gt;"",IF(NOT(ISNUMBER(E938)),TRUE,OR(E938&lt;0,E938&gt;999999999,ROUND(E938,3)&lt;&gt;E938))),"Invalid previous reading",IF(IF(NOT(ISNUMBER(F938)),TRUE,OR(F938&lt;0,F938&gt;999999999,ROUND(F938,3)&lt;&gt;F938)),"Invalid last service",IF(AND(E938&lt;&gt;"",D938&lt;E938),"Decreased reading",IF(F938&gt;D938,"Last service above current","")))))))))))))</x:f>
      </x:c>
      <x:c r="L938" s="6" t="str">
        <x:f>IF(AND(NOT(COUNTA(A938:F938)=0),K938=""),INDEX('Rules'!$C$7:$C$26,MATCH(SUBSTITUTE(SUBSTITUTE(SUBSTITUTE(SUBSTITUTE("type:"&amp;B938,"%","%25"),"~","%7E"),"*","%2A"),"?","%3F"),'Rules'!$G$7:$G$26,0)),"")</x:f>
      </x:c>
      <x:c r="M938" s="6" t="str">
        <x:f>IF(AND(NOT(COUNTA(A938:F938)=0),K938=""),INDEX('Rules'!$D$7:$D$26,MATCH(SUBSTITUTE(SUBSTITUTE(SUBSTITUTE(SUBSTITUTE("type:"&amp;B938,"%","%25"),"~","%7E"),"*","%2A"),"?","%3F"),'Rules'!$G$7:$G$26,0)),"")</x:f>
      </x:c>
      <x:c r="N938" s="5" t="str">
        <x:f>IF(COUNTA(A938:F938)=0,"",SUBSTITUTE(SUBSTITUTE(SUBSTITUTE(SUBSTITUTE("id:"&amp;A938,"%","%25"),"~","%7E"),"*","%2A"),"?","%3F"))</x:f>
      </x:c>
    </x:row>
    <x:row r="939" ht="22" customHeight="1">
      <x:c r="A939" s="3"/>
      <x:c r="B939" s="3"/>
      <x:c r="C939" s="3"/>
      <x:c r="D939" s="4"/>
      <x:c r="E939" s="4"/>
      <x:c r="F939" s="4"/>
      <x:c r="G939" s="5" t="str">
        <x:f>IF(COUNTA(A939:F939)=0,"",IF(K939&lt;&gt;"","Review",IF(I939&lt;0,"Overdue",IF(I939=0,"Due now",IF(I939&lt;=M939,"Due soon","Not due")))))</x:f>
      </x:c>
      <x:c r="H939" s="5" t="str">
        <x:f>IF(OR(COUNTA(A939:F939)=0,COUNTIFS('Rules'!$G$7:$G$26,"="&amp;(SUBSTITUTE(SUBSTITUTE(SUBSTITUTE(SUBSTITUTE("type:"&amp;B939,"%","%25"),"~","%7E"),"*","%2A"),"?","%3F")))&lt;&gt;1),"",IF(OR(INDEX('Rules'!$B$7:$B$26,MATCH(SUBSTITUTE(SUBSTITUTE(SUBSTITUTE(SUBSTITUTE("type:"&amp;B939,"%","%25"),"~","%7E"),"*","%2A"),"?","%3F"),'Rules'!$G$7:$G$26,0))="hours",INDEX('Rules'!$B$7:$B$26,MATCH(SUBSTITUTE(SUBSTITUTE(SUBSTITUTE(SUBSTITUTE("type:"&amp;B939,"%","%25"),"~","%7E"),"*","%2A"),"?","%3F"),'Rules'!$G$7:$G$26,0))="km"),INDEX('Rules'!$B$7:$B$26,MATCH(SUBSTITUTE(SUBSTITUTE(SUBSTITUTE(SUBSTITUTE("type:"&amp;B939,"%","%25"),"~","%7E"),"*","%2A"),"?","%3F"),'Rules'!$G$7:$G$26,0)),""))</x:f>
      </x:c>
      <x:c r="I939" s="6" t="str">
        <x:f>IF(AND(NOT(COUNTA(A939:F939)=0),K939=""),ROUND(J939-D939,3),"")</x:f>
      </x:c>
      <x:c r="J939" s="6" t="str">
        <x:f>IF(AND(NOT(COUNTA(A939:F939)=0),K939=""),ROUND(F939+L939,3),"")</x:f>
      </x:c>
      <x:c r="K939" s="5" t="str">
        <x:f>IF(COUNTA(A939:F939)=0,"",IF(A939="","Missing equipment ID",IF(COUNTIFS($N$8:$N$2007,"="&amp;N939)&gt;1,"Duplicate equipment ID",IF(B939="","Missing type",IF(COUNTIFS('Rules'!$G$7:$G$26,"="&amp;(SUBSTITUTE(SUBSTITUTE(SUBSTITUTE(SUBSTITUTE("type:"&amp;B939,"%","%25"),"~","%7E"),"*","%2A"),"?","%3F")))=0,"Unknown type",IF(COUNTIFS('Rules'!$G$7:$G$26,"="&amp;(SUBSTITUTE(SUBSTITUTE(SUBSTITUTE(SUBSTITUTE("type:"&amp;B939,"%","%25"),"~","%7E"),"*","%2A"),"?","%3F")))&gt;1,"Duplicate type",IF(INDEX('Rules'!$F$7:$F$26,MATCH(SUBSTITUTE(SUBSTITUTE(SUBSTITUTE(SUBSTITUTE("type:"&amp;B939,"%","%25"),"~","%7E"),"*","%2A"),"?","%3F"),'Rules'!$G$7:$G$26,0))&lt;&gt;"",INDEX('Rules'!$F$7:$F$26,MATCH(SUBSTITUTE(SUBSTITUTE(SUBSTITUTE(SUBSTITUTE("type:"&amp;B939,"%","%25"),"~","%7E"),"*","%2A"),"?","%3F"),'Rules'!$G$7:$G$26,0)),IF(AND(C939&lt;&gt;"",C939&lt;&gt;INDEX('Rules'!$B$7:$B$26,MATCH(SUBSTITUTE(SUBSTITUTE(SUBSTITUTE(SUBSTITUTE("type:"&amp;B939,"%","%25"),"~","%7E"),"*","%2A"),"?","%3F"),'Rules'!$G$7:$G$26,0))),"Unit mismatch",IF(IF(NOT(ISNUMBER(D939)),TRUE,OR(D939&lt;0,D939&gt;999999999,ROUND(D939,3)&lt;&gt;D939)),"Invalid current reading",IF(AND(E939&lt;&gt;"",IF(NOT(ISNUMBER(E939)),TRUE,OR(E939&lt;0,E939&gt;999999999,ROUND(E939,3)&lt;&gt;E939))),"Invalid previous reading",IF(IF(NOT(ISNUMBER(F939)),TRUE,OR(F939&lt;0,F939&gt;999999999,ROUND(F939,3)&lt;&gt;F939)),"Invalid last service",IF(AND(E939&lt;&gt;"",D939&lt;E939),"Decreased reading",IF(F939&gt;D939,"Last service above current","")))))))))))))</x:f>
      </x:c>
      <x:c r="L939" s="6" t="str">
        <x:f>IF(AND(NOT(COUNTA(A939:F939)=0),K939=""),INDEX('Rules'!$C$7:$C$26,MATCH(SUBSTITUTE(SUBSTITUTE(SUBSTITUTE(SUBSTITUTE("type:"&amp;B939,"%","%25"),"~","%7E"),"*","%2A"),"?","%3F"),'Rules'!$G$7:$G$26,0)),"")</x:f>
      </x:c>
      <x:c r="M939" s="6" t="str">
        <x:f>IF(AND(NOT(COUNTA(A939:F939)=0),K939=""),INDEX('Rules'!$D$7:$D$26,MATCH(SUBSTITUTE(SUBSTITUTE(SUBSTITUTE(SUBSTITUTE("type:"&amp;B939,"%","%25"),"~","%7E"),"*","%2A"),"?","%3F"),'Rules'!$G$7:$G$26,0)),"")</x:f>
      </x:c>
      <x:c r="N939" s="5" t="str">
        <x:f>IF(COUNTA(A939:F939)=0,"",SUBSTITUTE(SUBSTITUTE(SUBSTITUTE(SUBSTITUTE("id:"&amp;A939,"%","%25"),"~","%7E"),"*","%2A"),"?","%3F"))</x:f>
      </x:c>
    </x:row>
    <x:row r="940" ht="22" customHeight="1">
      <x:c r="A940" s="3"/>
      <x:c r="B940" s="3"/>
      <x:c r="C940" s="3"/>
      <x:c r="D940" s="4"/>
      <x:c r="E940" s="4"/>
      <x:c r="F940" s="4"/>
      <x:c r="G940" s="5" t="str">
        <x:f>IF(COUNTA(A940:F940)=0,"",IF(K940&lt;&gt;"","Review",IF(I940&lt;0,"Overdue",IF(I940=0,"Due now",IF(I940&lt;=M940,"Due soon","Not due")))))</x:f>
      </x:c>
      <x:c r="H940" s="5" t="str">
        <x:f>IF(OR(COUNTA(A940:F940)=0,COUNTIFS('Rules'!$G$7:$G$26,"="&amp;(SUBSTITUTE(SUBSTITUTE(SUBSTITUTE(SUBSTITUTE("type:"&amp;B940,"%","%25"),"~","%7E"),"*","%2A"),"?","%3F")))&lt;&gt;1),"",IF(OR(INDEX('Rules'!$B$7:$B$26,MATCH(SUBSTITUTE(SUBSTITUTE(SUBSTITUTE(SUBSTITUTE("type:"&amp;B940,"%","%25"),"~","%7E"),"*","%2A"),"?","%3F"),'Rules'!$G$7:$G$26,0))="hours",INDEX('Rules'!$B$7:$B$26,MATCH(SUBSTITUTE(SUBSTITUTE(SUBSTITUTE(SUBSTITUTE("type:"&amp;B940,"%","%25"),"~","%7E"),"*","%2A"),"?","%3F"),'Rules'!$G$7:$G$26,0))="km"),INDEX('Rules'!$B$7:$B$26,MATCH(SUBSTITUTE(SUBSTITUTE(SUBSTITUTE(SUBSTITUTE("type:"&amp;B940,"%","%25"),"~","%7E"),"*","%2A"),"?","%3F"),'Rules'!$G$7:$G$26,0)),""))</x:f>
      </x:c>
      <x:c r="I940" s="6" t="str">
        <x:f>IF(AND(NOT(COUNTA(A940:F940)=0),K940=""),ROUND(J940-D940,3),"")</x:f>
      </x:c>
      <x:c r="J940" s="6" t="str">
        <x:f>IF(AND(NOT(COUNTA(A940:F940)=0),K940=""),ROUND(F940+L940,3),"")</x:f>
      </x:c>
      <x:c r="K940" s="5" t="str">
        <x:f>IF(COUNTA(A940:F940)=0,"",IF(A940="","Missing equipment ID",IF(COUNTIFS($N$8:$N$2007,"="&amp;N940)&gt;1,"Duplicate equipment ID",IF(B940="","Missing type",IF(COUNTIFS('Rules'!$G$7:$G$26,"="&amp;(SUBSTITUTE(SUBSTITUTE(SUBSTITUTE(SUBSTITUTE("type:"&amp;B940,"%","%25"),"~","%7E"),"*","%2A"),"?","%3F")))=0,"Unknown type",IF(COUNTIFS('Rules'!$G$7:$G$26,"="&amp;(SUBSTITUTE(SUBSTITUTE(SUBSTITUTE(SUBSTITUTE("type:"&amp;B940,"%","%25"),"~","%7E"),"*","%2A"),"?","%3F")))&gt;1,"Duplicate type",IF(INDEX('Rules'!$F$7:$F$26,MATCH(SUBSTITUTE(SUBSTITUTE(SUBSTITUTE(SUBSTITUTE("type:"&amp;B940,"%","%25"),"~","%7E"),"*","%2A"),"?","%3F"),'Rules'!$G$7:$G$26,0))&lt;&gt;"",INDEX('Rules'!$F$7:$F$26,MATCH(SUBSTITUTE(SUBSTITUTE(SUBSTITUTE(SUBSTITUTE("type:"&amp;B940,"%","%25"),"~","%7E"),"*","%2A"),"?","%3F"),'Rules'!$G$7:$G$26,0)),IF(AND(C940&lt;&gt;"",C940&lt;&gt;INDEX('Rules'!$B$7:$B$26,MATCH(SUBSTITUTE(SUBSTITUTE(SUBSTITUTE(SUBSTITUTE("type:"&amp;B940,"%","%25"),"~","%7E"),"*","%2A"),"?","%3F"),'Rules'!$G$7:$G$26,0))),"Unit mismatch",IF(IF(NOT(ISNUMBER(D940)),TRUE,OR(D940&lt;0,D940&gt;999999999,ROUND(D940,3)&lt;&gt;D940)),"Invalid current reading",IF(AND(E940&lt;&gt;"",IF(NOT(ISNUMBER(E940)),TRUE,OR(E940&lt;0,E940&gt;999999999,ROUND(E940,3)&lt;&gt;E940))),"Invalid previous reading",IF(IF(NOT(ISNUMBER(F940)),TRUE,OR(F940&lt;0,F940&gt;999999999,ROUND(F940,3)&lt;&gt;F940)),"Invalid last service",IF(AND(E940&lt;&gt;"",D940&lt;E940),"Decreased reading",IF(F940&gt;D940,"Last service above current","")))))))))))))</x:f>
      </x:c>
      <x:c r="L940" s="6" t="str">
        <x:f>IF(AND(NOT(COUNTA(A940:F940)=0),K940=""),INDEX('Rules'!$C$7:$C$26,MATCH(SUBSTITUTE(SUBSTITUTE(SUBSTITUTE(SUBSTITUTE("type:"&amp;B940,"%","%25"),"~","%7E"),"*","%2A"),"?","%3F"),'Rules'!$G$7:$G$26,0)),"")</x:f>
      </x:c>
      <x:c r="M940" s="6" t="str">
        <x:f>IF(AND(NOT(COUNTA(A940:F940)=0),K940=""),INDEX('Rules'!$D$7:$D$26,MATCH(SUBSTITUTE(SUBSTITUTE(SUBSTITUTE(SUBSTITUTE("type:"&amp;B940,"%","%25"),"~","%7E"),"*","%2A"),"?","%3F"),'Rules'!$G$7:$G$26,0)),"")</x:f>
      </x:c>
      <x:c r="N940" s="5" t="str">
        <x:f>IF(COUNTA(A940:F940)=0,"",SUBSTITUTE(SUBSTITUTE(SUBSTITUTE(SUBSTITUTE("id:"&amp;A940,"%","%25"),"~","%7E"),"*","%2A"),"?","%3F"))</x:f>
      </x:c>
    </x:row>
    <x:row r="941" ht="22" customHeight="1">
      <x:c r="A941" s="3"/>
      <x:c r="B941" s="3"/>
      <x:c r="C941" s="3"/>
      <x:c r="D941" s="4"/>
      <x:c r="E941" s="4"/>
      <x:c r="F941" s="4"/>
      <x:c r="G941" s="5" t="str">
        <x:f>IF(COUNTA(A941:F941)=0,"",IF(K941&lt;&gt;"","Review",IF(I941&lt;0,"Overdue",IF(I941=0,"Due now",IF(I941&lt;=M941,"Due soon","Not due")))))</x:f>
      </x:c>
      <x:c r="H941" s="5" t="str">
        <x:f>IF(OR(COUNTA(A941:F941)=0,COUNTIFS('Rules'!$G$7:$G$26,"="&amp;(SUBSTITUTE(SUBSTITUTE(SUBSTITUTE(SUBSTITUTE("type:"&amp;B941,"%","%25"),"~","%7E"),"*","%2A"),"?","%3F")))&lt;&gt;1),"",IF(OR(INDEX('Rules'!$B$7:$B$26,MATCH(SUBSTITUTE(SUBSTITUTE(SUBSTITUTE(SUBSTITUTE("type:"&amp;B941,"%","%25"),"~","%7E"),"*","%2A"),"?","%3F"),'Rules'!$G$7:$G$26,0))="hours",INDEX('Rules'!$B$7:$B$26,MATCH(SUBSTITUTE(SUBSTITUTE(SUBSTITUTE(SUBSTITUTE("type:"&amp;B941,"%","%25"),"~","%7E"),"*","%2A"),"?","%3F"),'Rules'!$G$7:$G$26,0))="km"),INDEX('Rules'!$B$7:$B$26,MATCH(SUBSTITUTE(SUBSTITUTE(SUBSTITUTE(SUBSTITUTE("type:"&amp;B941,"%","%25"),"~","%7E"),"*","%2A"),"?","%3F"),'Rules'!$G$7:$G$26,0)),""))</x:f>
      </x:c>
      <x:c r="I941" s="6" t="str">
        <x:f>IF(AND(NOT(COUNTA(A941:F941)=0),K941=""),ROUND(J941-D941,3),"")</x:f>
      </x:c>
      <x:c r="J941" s="6" t="str">
        <x:f>IF(AND(NOT(COUNTA(A941:F941)=0),K941=""),ROUND(F941+L941,3),"")</x:f>
      </x:c>
      <x:c r="K941" s="5" t="str">
        <x:f>IF(COUNTA(A941:F941)=0,"",IF(A941="","Missing equipment ID",IF(COUNTIFS($N$8:$N$2007,"="&amp;N941)&gt;1,"Duplicate equipment ID",IF(B941="","Missing type",IF(COUNTIFS('Rules'!$G$7:$G$26,"="&amp;(SUBSTITUTE(SUBSTITUTE(SUBSTITUTE(SUBSTITUTE("type:"&amp;B941,"%","%25"),"~","%7E"),"*","%2A"),"?","%3F")))=0,"Unknown type",IF(COUNTIFS('Rules'!$G$7:$G$26,"="&amp;(SUBSTITUTE(SUBSTITUTE(SUBSTITUTE(SUBSTITUTE("type:"&amp;B941,"%","%25"),"~","%7E"),"*","%2A"),"?","%3F")))&gt;1,"Duplicate type",IF(INDEX('Rules'!$F$7:$F$26,MATCH(SUBSTITUTE(SUBSTITUTE(SUBSTITUTE(SUBSTITUTE("type:"&amp;B941,"%","%25"),"~","%7E"),"*","%2A"),"?","%3F"),'Rules'!$G$7:$G$26,0))&lt;&gt;"",INDEX('Rules'!$F$7:$F$26,MATCH(SUBSTITUTE(SUBSTITUTE(SUBSTITUTE(SUBSTITUTE("type:"&amp;B941,"%","%25"),"~","%7E"),"*","%2A"),"?","%3F"),'Rules'!$G$7:$G$26,0)),IF(AND(C941&lt;&gt;"",C941&lt;&gt;INDEX('Rules'!$B$7:$B$26,MATCH(SUBSTITUTE(SUBSTITUTE(SUBSTITUTE(SUBSTITUTE("type:"&amp;B941,"%","%25"),"~","%7E"),"*","%2A"),"?","%3F"),'Rules'!$G$7:$G$26,0))),"Unit mismatch",IF(IF(NOT(ISNUMBER(D941)),TRUE,OR(D941&lt;0,D941&gt;999999999,ROUND(D941,3)&lt;&gt;D941)),"Invalid current reading",IF(AND(E941&lt;&gt;"",IF(NOT(ISNUMBER(E941)),TRUE,OR(E941&lt;0,E941&gt;999999999,ROUND(E941,3)&lt;&gt;E941))),"Invalid previous reading",IF(IF(NOT(ISNUMBER(F941)),TRUE,OR(F941&lt;0,F941&gt;999999999,ROUND(F941,3)&lt;&gt;F941)),"Invalid last service",IF(AND(E941&lt;&gt;"",D941&lt;E941),"Decreased reading",IF(F941&gt;D941,"Last service above current","")))))))))))))</x:f>
      </x:c>
      <x:c r="L941" s="6" t="str">
        <x:f>IF(AND(NOT(COUNTA(A941:F941)=0),K941=""),INDEX('Rules'!$C$7:$C$26,MATCH(SUBSTITUTE(SUBSTITUTE(SUBSTITUTE(SUBSTITUTE("type:"&amp;B941,"%","%25"),"~","%7E"),"*","%2A"),"?","%3F"),'Rules'!$G$7:$G$26,0)),"")</x:f>
      </x:c>
      <x:c r="M941" s="6" t="str">
        <x:f>IF(AND(NOT(COUNTA(A941:F941)=0),K941=""),INDEX('Rules'!$D$7:$D$26,MATCH(SUBSTITUTE(SUBSTITUTE(SUBSTITUTE(SUBSTITUTE("type:"&amp;B941,"%","%25"),"~","%7E"),"*","%2A"),"?","%3F"),'Rules'!$G$7:$G$26,0)),"")</x:f>
      </x:c>
      <x:c r="N941" s="5" t="str">
        <x:f>IF(COUNTA(A941:F941)=0,"",SUBSTITUTE(SUBSTITUTE(SUBSTITUTE(SUBSTITUTE("id:"&amp;A941,"%","%25"),"~","%7E"),"*","%2A"),"?","%3F"))</x:f>
      </x:c>
    </x:row>
    <x:row r="942" ht="22" customHeight="1">
      <x:c r="A942" s="3"/>
      <x:c r="B942" s="3"/>
      <x:c r="C942" s="3"/>
      <x:c r="D942" s="4"/>
      <x:c r="E942" s="4"/>
      <x:c r="F942" s="4"/>
      <x:c r="G942" s="5" t="str">
        <x:f>IF(COUNTA(A942:F942)=0,"",IF(K942&lt;&gt;"","Review",IF(I942&lt;0,"Overdue",IF(I942=0,"Due now",IF(I942&lt;=M942,"Due soon","Not due")))))</x:f>
      </x:c>
      <x:c r="H942" s="5" t="str">
        <x:f>IF(OR(COUNTA(A942:F942)=0,COUNTIFS('Rules'!$G$7:$G$26,"="&amp;(SUBSTITUTE(SUBSTITUTE(SUBSTITUTE(SUBSTITUTE("type:"&amp;B942,"%","%25"),"~","%7E"),"*","%2A"),"?","%3F")))&lt;&gt;1),"",IF(OR(INDEX('Rules'!$B$7:$B$26,MATCH(SUBSTITUTE(SUBSTITUTE(SUBSTITUTE(SUBSTITUTE("type:"&amp;B942,"%","%25"),"~","%7E"),"*","%2A"),"?","%3F"),'Rules'!$G$7:$G$26,0))="hours",INDEX('Rules'!$B$7:$B$26,MATCH(SUBSTITUTE(SUBSTITUTE(SUBSTITUTE(SUBSTITUTE("type:"&amp;B942,"%","%25"),"~","%7E"),"*","%2A"),"?","%3F"),'Rules'!$G$7:$G$26,0))="km"),INDEX('Rules'!$B$7:$B$26,MATCH(SUBSTITUTE(SUBSTITUTE(SUBSTITUTE(SUBSTITUTE("type:"&amp;B942,"%","%25"),"~","%7E"),"*","%2A"),"?","%3F"),'Rules'!$G$7:$G$26,0)),""))</x:f>
      </x:c>
      <x:c r="I942" s="6" t="str">
        <x:f>IF(AND(NOT(COUNTA(A942:F942)=0),K942=""),ROUND(J942-D942,3),"")</x:f>
      </x:c>
      <x:c r="J942" s="6" t="str">
        <x:f>IF(AND(NOT(COUNTA(A942:F942)=0),K942=""),ROUND(F942+L942,3),"")</x:f>
      </x:c>
      <x:c r="K942" s="5" t="str">
        <x:f>IF(COUNTA(A942:F942)=0,"",IF(A942="","Missing equipment ID",IF(COUNTIFS($N$8:$N$2007,"="&amp;N942)&gt;1,"Duplicate equipment ID",IF(B942="","Missing type",IF(COUNTIFS('Rules'!$G$7:$G$26,"="&amp;(SUBSTITUTE(SUBSTITUTE(SUBSTITUTE(SUBSTITUTE("type:"&amp;B942,"%","%25"),"~","%7E"),"*","%2A"),"?","%3F")))=0,"Unknown type",IF(COUNTIFS('Rules'!$G$7:$G$26,"="&amp;(SUBSTITUTE(SUBSTITUTE(SUBSTITUTE(SUBSTITUTE("type:"&amp;B942,"%","%25"),"~","%7E"),"*","%2A"),"?","%3F")))&gt;1,"Duplicate type",IF(INDEX('Rules'!$F$7:$F$26,MATCH(SUBSTITUTE(SUBSTITUTE(SUBSTITUTE(SUBSTITUTE("type:"&amp;B942,"%","%25"),"~","%7E"),"*","%2A"),"?","%3F"),'Rules'!$G$7:$G$26,0))&lt;&gt;"",INDEX('Rules'!$F$7:$F$26,MATCH(SUBSTITUTE(SUBSTITUTE(SUBSTITUTE(SUBSTITUTE("type:"&amp;B942,"%","%25"),"~","%7E"),"*","%2A"),"?","%3F"),'Rules'!$G$7:$G$26,0)),IF(AND(C942&lt;&gt;"",C942&lt;&gt;INDEX('Rules'!$B$7:$B$26,MATCH(SUBSTITUTE(SUBSTITUTE(SUBSTITUTE(SUBSTITUTE("type:"&amp;B942,"%","%25"),"~","%7E"),"*","%2A"),"?","%3F"),'Rules'!$G$7:$G$26,0))),"Unit mismatch",IF(IF(NOT(ISNUMBER(D942)),TRUE,OR(D942&lt;0,D942&gt;999999999,ROUND(D942,3)&lt;&gt;D942)),"Invalid current reading",IF(AND(E942&lt;&gt;"",IF(NOT(ISNUMBER(E942)),TRUE,OR(E942&lt;0,E942&gt;999999999,ROUND(E942,3)&lt;&gt;E942))),"Invalid previous reading",IF(IF(NOT(ISNUMBER(F942)),TRUE,OR(F942&lt;0,F942&gt;999999999,ROUND(F942,3)&lt;&gt;F942)),"Invalid last service",IF(AND(E942&lt;&gt;"",D942&lt;E942),"Decreased reading",IF(F942&gt;D942,"Last service above current","")))))))))))))</x:f>
      </x:c>
      <x:c r="L942" s="6" t="str">
        <x:f>IF(AND(NOT(COUNTA(A942:F942)=0),K942=""),INDEX('Rules'!$C$7:$C$26,MATCH(SUBSTITUTE(SUBSTITUTE(SUBSTITUTE(SUBSTITUTE("type:"&amp;B942,"%","%25"),"~","%7E"),"*","%2A"),"?","%3F"),'Rules'!$G$7:$G$26,0)),"")</x:f>
      </x:c>
      <x:c r="M942" s="6" t="str">
        <x:f>IF(AND(NOT(COUNTA(A942:F942)=0),K942=""),INDEX('Rules'!$D$7:$D$26,MATCH(SUBSTITUTE(SUBSTITUTE(SUBSTITUTE(SUBSTITUTE("type:"&amp;B942,"%","%25"),"~","%7E"),"*","%2A"),"?","%3F"),'Rules'!$G$7:$G$26,0)),"")</x:f>
      </x:c>
      <x:c r="N942" s="5" t="str">
        <x:f>IF(COUNTA(A942:F942)=0,"",SUBSTITUTE(SUBSTITUTE(SUBSTITUTE(SUBSTITUTE("id:"&amp;A942,"%","%25"),"~","%7E"),"*","%2A"),"?","%3F"))</x:f>
      </x:c>
    </x:row>
    <x:row r="943" ht="22" customHeight="1">
      <x:c r="A943" s="3"/>
      <x:c r="B943" s="3"/>
      <x:c r="C943" s="3"/>
      <x:c r="D943" s="4"/>
      <x:c r="E943" s="4"/>
      <x:c r="F943" s="4"/>
      <x:c r="G943" s="5" t="str">
        <x:f>IF(COUNTA(A943:F943)=0,"",IF(K943&lt;&gt;"","Review",IF(I943&lt;0,"Overdue",IF(I943=0,"Due now",IF(I943&lt;=M943,"Due soon","Not due")))))</x:f>
      </x:c>
      <x:c r="H943" s="5" t="str">
        <x:f>IF(OR(COUNTA(A943:F943)=0,COUNTIFS('Rules'!$G$7:$G$26,"="&amp;(SUBSTITUTE(SUBSTITUTE(SUBSTITUTE(SUBSTITUTE("type:"&amp;B943,"%","%25"),"~","%7E"),"*","%2A"),"?","%3F")))&lt;&gt;1),"",IF(OR(INDEX('Rules'!$B$7:$B$26,MATCH(SUBSTITUTE(SUBSTITUTE(SUBSTITUTE(SUBSTITUTE("type:"&amp;B943,"%","%25"),"~","%7E"),"*","%2A"),"?","%3F"),'Rules'!$G$7:$G$26,0))="hours",INDEX('Rules'!$B$7:$B$26,MATCH(SUBSTITUTE(SUBSTITUTE(SUBSTITUTE(SUBSTITUTE("type:"&amp;B943,"%","%25"),"~","%7E"),"*","%2A"),"?","%3F"),'Rules'!$G$7:$G$26,0))="km"),INDEX('Rules'!$B$7:$B$26,MATCH(SUBSTITUTE(SUBSTITUTE(SUBSTITUTE(SUBSTITUTE("type:"&amp;B943,"%","%25"),"~","%7E"),"*","%2A"),"?","%3F"),'Rules'!$G$7:$G$26,0)),""))</x:f>
      </x:c>
      <x:c r="I943" s="6" t="str">
        <x:f>IF(AND(NOT(COUNTA(A943:F943)=0),K943=""),ROUND(J943-D943,3),"")</x:f>
      </x:c>
      <x:c r="J943" s="6" t="str">
        <x:f>IF(AND(NOT(COUNTA(A943:F943)=0),K943=""),ROUND(F943+L943,3),"")</x:f>
      </x:c>
      <x:c r="K943" s="5" t="str">
        <x:f>IF(COUNTA(A943:F943)=0,"",IF(A943="","Missing equipment ID",IF(COUNTIFS($N$8:$N$2007,"="&amp;N943)&gt;1,"Duplicate equipment ID",IF(B943="","Missing type",IF(COUNTIFS('Rules'!$G$7:$G$26,"="&amp;(SUBSTITUTE(SUBSTITUTE(SUBSTITUTE(SUBSTITUTE("type:"&amp;B943,"%","%25"),"~","%7E"),"*","%2A"),"?","%3F")))=0,"Unknown type",IF(COUNTIFS('Rules'!$G$7:$G$26,"="&amp;(SUBSTITUTE(SUBSTITUTE(SUBSTITUTE(SUBSTITUTE("type:"&amp;B943,"%","%25"),"~","%7E"),"*","%2A"),"?","%3F")))&gt;1,"Duplicate type",IF(INDEX('Rules'!$F$7:$F$26,MATCH(SUBSTITUTE(SUBSTITUTE(SUBSTITUTE(SUBSTITUTE("type:"&amp;B943,"%","%25"),"~","%7E"),"*","%2A"),"?","%3F"),'Rules'!$G$7:$G$26,0))&lt;&gt;"",INDEX('Rules'!$F$7:$F$26,MATCH(SUBSTITUTE(SUBSTITUTE(SUBSTITUTE(SUBSTITUTE("type:"&amp;B943,"%","%25"),"~","%7E"),"*","%2A"),"?","%3F"),'Rules'!$G$7:$G$26,0)),IF(AND(C943&lt;&gt;"",C943&lt;&gt;INDEX('Rules'!$B$7:$B$26,MATCH(SUBSTITUTE(SUBSTITUTE(SUBSTITUTE(SUBSTITUTE("type:"&amp;B943,"%","%25"),"~","%7E"),"*","%2A"),"?","%3F"),'Rules'!$G$7:$G$26,0))),"Unit mismatch",IF(IF(NOT(ISNUMBER(D943)),TRUE,OR(D943&lt;0,D943&gt;999999999,ROUND(D943,3)&lt;&gt;D943)),"Invalid current reading",IF(AND(E943&lt;&gt;"",IF(NOT(ISNUMBER(E943)),TRUE,OR(E943&lt;0,E943&gt;999999999,ROUND(E943,3)&lt;&gt;E943))),"Invalid previous reading",IF(IF(NOT(ISNUMBER(F943)),TRUE,OR(F943&lt;0,F943&gt;999999999,ROUND(F943,3)&lt;&gt;F943)),"Invalid last service",IF(AND(E943&lt;&gt;"",D943&lt;E943),"Decreased reading",IF(F943&gt;D943,"Last service above current","")))))))))))))</x:f>
      </x:c>
      <x:c r="L943" s="6" t="str">
        <x:f>IF(AND(NOT(COUNTA(A943:F943)=0),K943=""),INDEX('Rules'!$C$7:$C$26,MATCH(SUBSTITUTE(SUBSTITUTE(SUBSTITUTE(SUBSTITUTE("type:"&amp;B943,"%","%25"),"~","%7E"),"*","%2A"),"?","%3F"),'Rules'!$G$7:$G$26,0)),"")</x:f>
      </x:c>
      <x:c r="M943" s="6" t="str">
        <x:f>IF(AND(NOT(COUNTA(A943:F943)=0),K943=""),INDEX('Rules'!$D$7:$D$26,MATCH(SUBSTITUTE(SUBSTITUTE(SUBSTITUTE(SUBSTITUTE("type:"&amp;B943,"%","%25"),"~","%7E"),"*","%2A"),"?","%3F"),'Rules'!$G$7:$G$26,0)),"")</x:f>
      </x:c>
      <x:c r="N943" s="5" t="str">
        <x:f>IF(COUNTA(A943:F943)=0,"",SUBSTITUTE(SUBSTITUTE(SUBSTITUTE(SUBSTITUTE("id:"&amp;A943,"%","%25"),"~","%7E"),"*","%2A"),"?","%3F"))</x:f>
      </x:c>
    </x:row>
    <x:row r="944" ht="22" customHeight="1">
      <x:c r="A944" s="3"/>
      <x:c r="B944" s="3"/>
      <x:c r="C944" s="3"/>
      <x:c r="D944" s="4"/>
      <x:c r="E944" s="4"/>
      <x:c r="F944" s="4"/>
      <x:c r="G944" s="5" t="str">
        <x:f>IF(COUNTA(A944:F944)=0,"",IF(K944&lt;&gt;"","Review",IF(I944&lt;0,"Overdue",IF(I944=0,"Due now",IF(I944&lt;=M944,"Due soon","Not due")))))</x:f>
      </x:c>
      <x:c r="H944" s="5" t="str">
        <x:f>IF(OR(COUNTA(A944:F944)=0,COUNTIFS('Rules'!$G$7:$G$26,"="&amp;(SUBSTITUTE(SUBSTITUTE(SUBSTITUTE(SUBSTITUTE("type:"&amp;B944,"%","%25"),"~","%7E"),"*","%2A"),"?","%3F")))&lt;&gt;1),"",IF(OR(INDEX('Rules'!$B$7:$B$26,MATCH(SUBSTITUTE(SUBSTITUTE(SUBSTITUTE(SUBSTITUTE("type:"&amp;B944,"%","%25"),"~","%7E"),"*","%2A"),"?","%3F"),'Rules'!$G$7:$G$26,0))="hours",INDEX('Rules'!$B$7:$B$26,MATCH(SUBSTITUTE(SUBSTITUTE(SUBSTITUTE(SUBSTITUTE("type:"&amp;B944,"%","%25"),"~","%7E"),"*","%2A"),"?","%3F"),'Rules'!$G$7:$G$26,0))="km"),INDEX('Rules'!$B$7:$B$26,MATCH(SUBSTITUTE(SUBSTITUTE(SUBSTITUTE(SUBSTITUTE("type:"&amp;B944,"%","%25"),"~","%7E"),"*","%2A"),"?","%3F"),'Rules'!$G$7:$G$26,0)),""))</x:f>
      </x:c>
      <x:c r="I944" s="6" t="str">
        <x:f>IF(AND(NOT(COUNTA(A944:F944)=0),K944=""),ROUND(J944-D944,3),"")</x:f>
      </x:c>
      <x:c r="J944" s="6" t="str">
        <x:f>IF(AND(NOT(COUNTA(A944:F944)=0),K944=""),ROUND(F944+L944,3),"")</x:f>
      </x:c>
      <x:c r="K944" s="5" t="str">
        <x:f>IF(COUNTA(A944:F944)=0,"",IF(A944="","Missing equipment ID",IF(COUNTIFS($N$8:$N$2007,"="&amp;N944)&gt;1,"Duplicate equipment ID",IF(B944="","Missing type",IF(COUNTIFS('Rules'!$G$7:$G$26,"="&amp;(SUBSTITUTE(SUBSTITUTE(SUBSTITUTE(SUBSTITUTE("type:"&amp;B944,"%","%25"),"~","%7E"),"*","%2A"),"?","%3F")))=0,"Unknown type",IF(COUNTIFS('Rules'!$G$7:$G$26,"="&amp;(SUBSTITUTE(SUBSTITUTE(SUBSTITUTE(SUBSTITUTE("type:"&amp;B944,"%","%25"),"~","%7E"),"*","%2A"),"?","%3F")))&gt;1,"Duplicate type",IF(INDEX('Rules'!$F$7:$F$26,MATCH(SUBSTITUTE(SUBSTITUTE(SUBSTITUTE(SUBSTITUTE("type:"&amp;B944,"%","%25"),"~","%7E"),"*","%2A"),"?","%3F"),'Rules'!$G$7:$G$26,0))&lt;&gt;"",INDEX('Rules'!$F$7:$F$26,MATCH(SUBSTITUTE(SUBSTITUTE(SUBSTITUTE(SUBSTITUTE("type:"&amp;B944,"%","%25"),"~","%7E"),"*","%2A"),"?","%3F"),'Rules'!$G$7:$G$26,0)),IF(AND(C944&lt;&gt;"",C944&lt;&gt;INDEX('Rules'!$B$7:$B$26,MATCH(SUBSTITUTE(SUBSTITUTE(SUBSTITUTE(SUBSTITUTE("type:"&amp;B944,"%","%25"),"~","%7E"),"*","%2A"),"?","%3F"),'Rules'!$G$7:$G$26,0))),"Unit mismatch",IF(IF(NOT(ISNUMBER(D944)),TRUE,OR(D944&lt;0,D944&gt;999999999,ROUND(D944,3)&lt;&gt;D944)),"Invalid current reading",IF(AND(E944&lt;&gt;"",IF(NOT(ISNUMBER(E944)),TRUE,OR(E944&lt;0,E944&gt;999999999,ROUND(E944,3)&lt;&gt;E944))),"Invalid previous reading",IF(IF(NOT(ISNUMBER(F944)),TRUE,OR(F944&lt;0,F944&gt;999999999,ROUND(F944,3)&lt;&gt;F944)),"Invalid last service",IF(AND(E944&lt;&gt;"",D944&lt;E944),"Decreased reading",IF(F944&gt;D944,"Last service above current","")))))))))))))</x:f>
      </x:c>
      <x:c r="L944" s="6" t="str">
        <x:f>IF(AND(NOT(COUNTA(A944:F944)=0),K944=""),INDEX('Rules'!$C$7:$C$26,MATCH(SUBSTITUTE(SUBSTITUTE(SUBSTITUTE(SUBSTITUTE("type:"&amp;B944,"%","%25"),"~","%7E"),"*","%2A"),"?","%3F"),'Rules'!$G$7:$G$26,0)),"")</x:f>
      </x:c>
      <x:c r="M944" s="6" t="str">
        <x:f>IF(AND(NOT(COUNTA(A944:F944)=0),K944=""),INDEX('Rules'!$D$7:$D$26,MATCH(SUBSTITUTE(SUBSTITUTE(SUBSTITUTE(SUBSTITUTE("type:"&amp;B944,"%","%25"),"~","%7E"),"*","%2A"),"?","%3F"),'Rules'!$G$7:$G$26,0)),"")</x:f>
      </x:c>
      <x:c r="N944" s="5" t="str">
        <x:f>IF(COUNTA(A944:F944)=0,"",SUBSTITUTE(SUBSTITUTE(SUBSTITUTE(SUBSTITUTE("id:"&amp;A944,"%","%25"),"~","%7E"),"*","%2A"),"?","%3F"))</x:f>
      </x:c>
    </x:row>
    <x:row r="945" ht="22" customHeight="1">
      <x:c r="A945" s="3"/>
      <x:c r="B945" s="3"/>
      <x:c r="C945" s="3"/>
      <x:c r="D945" s="4"/>
      <x:c r="E945" s="4"/>
      <x:c r="F945" s="4"/>
      <x:c r="G945" s="5" t="str">
        <x:f>IF(COUNTA(A945:F945)=0,"",IF(K945&lt;&gt;"","Review",IF(I945&lt;0,"Overdue",IF(I945=0,"Due now",IF(I945&lt;=M945,"Due soon","Not due")))))</x:f>
      </x:c>
      <x:c r="H945" s="5" t="str">
        <x:f>IF(OR(COUNTA(A945:F945)=0,COUNTIFS('Rules'!$G$7:$G$26,"="&amp;(SUBSTITUTE(SUBSTITUTE(SUBSTITUTE(SUBSTITUTE("type:"&amp;B945,"%","%25"),"~","%7E"),"*","%2A"),"?","%3F")))&lt;&gt;1),"",IF(OR(INDEX('Rules'!$B$7:$B$26,MATCH(SUBSTITUTE(SUBSTITUTE(SUBSTITUTE(SUBSTITUTE("type:"&amp;B945,"%","%25"),"~","%7E"),"*","%2A"),"?","%3F"),'Rules'!$G$7:$G$26,0))="hours",INDEX('Rules'!$B$7:$B$26,MATCH(SUBSTITUTE(SUBSTITUTE(SUBSTITUTE(SUBSTITUTE("type:"&amp;B945,"%","%25"),"~","%7E"),"*","%2A"),"?","%3F"),'Rules'!$G$7:$G$26,0))="km"),INDEX('Rules'!$B$7:$B$26,MATCH(SUBSTITUTE(SUBSTITUTE(SUBSTITUTE(SUBSTITUTE("type:"&amp;B945,"%","%25"),"~","%7E"),"*","%2A"),"?","%3F"),'Rules'!$G$7:$G$26,0)),""))</x:f>
      </x:c>
      <x:c r="I945" s="6" t="str">
        <x:f>IF(AND(NOT(COUNTA(A945:F945)=0),K945=""),ROUND(J945-D945,3),"")</x:f>
      </x:c>
      <x:c r="J945" s="6" t="str">
        <x:f>IF(AND(NOT(COUNTA(A945:F945)=0),K945=""),ROUND(F945+L945,3),"")</x:f>
      </x:c>
      <x:c r="K945" s="5" t="str">
        <x:f>IF(COUNTA(A945:F945)=0,"",IF(A945="","Missing equipment ID",IF(COUNTIFS($N$8:$N$2007,"="&amp;N945)&gt;1,"Duplicate equipment ID",IF(B945="","Missing type",IF(COUNTIFS('Rules'!$G$7:$G$26,"="&amp;(SUBSTITUTE(SUBSTITUTE(SUBSTITUTE(SUBSTITUTE("type:"&amp;B945,"%","%25"),"~","%7E"),"*","%2A"),"?","%3F")))=0,"Unknown type",IF(COUNTIFS('Rules'!$G$7:$G$26,"="&amp;(SUBSTITUTE(SUBSTITUTE(SUBSTITUTE(SUBSTITUTE("type:"&amp;B945,"%","%25"),"~","%7E"),"*","%2A"),"?","%3F")))&gt;1,"Duplicate type",IF(INDEX('Rules'!$F$7:$F$26,MATCH(SUBSTITUTE(SUBSTITUTE(SUBSTITUTE(SUBSTITUTE("type:"&amp;B945,"%","%25"),"~","%7E"),"*","%2A"),"?","%3F"),'Rules'!$G$7:$G$26,0))&lt;&gt;"",INDEX('Rules'!$F$7:$F$26,MATCH(SUBSTITUTE(SUBSTITUTE(SUBSTITUTE(SUBSTITUTE("type:"&amp;B945,"%","%25"),"~","%7E"),"*","%2A"),"?","%3F"),'Rules'!$G$7:$G$26,0)),IF(AND(C945&lt;&gt;"",C945&lt;&gt;INDEX('Rules'!$B$7:$B$26,MATCH(SUBSTITUTE(SUBSTITUTE(SUBSTITUTE(SUBSTITUTE("type:"&amp;B945,"%","%25"),"~","%7E"),"*","%2A"),"?","%3F"),'Rules'!$G$7:$G$26,0))),"Unit mismatch",IF(IF(NOT(ISNUMBER(D945)),TRUE,OR(D945&lt;0,D945&gt;999999999,ROUND(D945,3)&lt;&gt;D945)),"Invalid current reading",IF(AND(E945&lt;&gt;"",IF(NOT(ISNUMBER(E945)),TRUE,OR(E945&lt;0,E945&gt;999999999,ROUND(E945,3)&lt;&gt;E945))),"Invalid previous reading",IF(IF(NOT(ISNUMBER(F945)),TRUE,OR(F945&lt;0,F945&gt;999999999,ROUND(F945,3)&lt;&gt;F945)),"Invalid last service",IF(AND(E945&lt;&gt;"",D945&lt;E945),"Decreased reading",IF(F945&gt;D945,"Last service above current","")))))))))))))</x:f>
      </x:c>
      <x:c r="L945" s="6" t="str">
        <x:f>IF(AND(NOT(COUNTA(A945:F945)=0),K945=""),INDEX('Rules'!$C$7:$C$26,MATCH(SUBSTITUTE(SUBSTITUTE(SUBSTITUTE(SUBSTITUTE("type:"&amp;B945,"%","%25"),"~","%7E"),"*","%2A"),"?","%3F"),'Rules'!$G$7:$G$26,0)),"")</x:f>
      </x:c>
      <x:c r="M945" s="6" t="str">
        <x:f>IF(AND(NOT(COUNTA(A945:F945)=0),K945=""),INDEX('Rules'!$D$7:$D$26,MATCH(SUBSTITUTE(SUBSTITUTE(SUBSTITUTE(SUBSTITUTE("type:"&amp;B945,"%","%25"),"~","%7E"),"*","%2A"),"?","%3F"),'Rules'!$G$7:$G$26,0)),"")</x:f>
      </x:c>
      <x:c r="N945" s="5" t="str">
        <x:f>IF(COUNTA(A945:F945)=0,"",SUBSTITUTE(SUBSTITUTE(SUBSTITUTE(SUBSTITUTE("id:"&amp;A945,"%","%25"),"~","%7E"),"*","%2A"),"?","%3F"))</x:f>
      </x:c>
    </x:row>
    <x:row r="946" ht="22" customHeight="1">
      <x:c r="A946" s="3"/>
      <x:c r="B946" s="3"/>
      <x:c r="C946" s="3"/>
      <x:c r="D946" s="4"/>
      <x:c r="E946" s="4"/>
      <x:c r="F946" s="4"/>
      <x:c r="G946" s="5" t="str">
        <x:f>IF(COUNTA(A946:F946)=0,"",IF(K946&lt;&gt;"","Review",IF(I946&lt;0,"Overdue",IF(I946=0,"Due now",IF(I946&lt;=M946,"Due soon","Not due")))))</x:f>
      </x:c>
      <x:c r="H946" s="5" t="str">
        <x:f>IF(OR(COUNTA(A946:F946)=0,COUNTIFS('Rules'!$G$7:$G$26,"="&amp;(SUBSTITUTE(SUBSTITUTE(SUBSTITUTE(SUBSTITUTE("type:"&amp;B946,"%","%25"),"~","%7E"),"*","%2A"),"?","%3F")))&lt;&gt;1),"",IF(OR(INDEX('Rules'!$B$7:$B$26,MATCH(SUBSTITUTE(SUBSTITUTE(SUBSTITUTE(SUBSTITUTE("type:"&amp;B946,"%","%25"),"~","%7E"),"*","%2A"),"?","%3F"),'Rules'!$G$7:$G$26,0))="hours",INDEX('Rules'!$B$7:$B$26,MATCH(SUBSTITUTE(SUBSTITUTE(SUBSTITUTE(SUBSTITUTE("type:"&amp;B946,"%","%25"),"~","%7E"),"*","%2A"),"?","%3F"),'Rules'!$G$7:$G$26,0))="km"),INDEX('Rules'!$B$7:$B$26,MATCH(SUBSTITUTE(SUBSTITUTE(SUBSTITUTE(SUBSTITUTE("type:"&amp;B946,"%","%25"),"~","%7E"),"*","%2A"),"?","%3F"),'Rules'!$G$7:$G$26,0)),""))</x:f>
      </x:c>
      <x:c r="I946" s="6" t="str">
        <x:f>IF(AND(NOT(COUNTA(A946:F946)=0),K946=""),ROUND(J946-D946,3),"")</x:f>
      </x:c>
      <x:c r="J946" s="6" t="str">
        <x:f>IF(AND(NOT(COUNTA(A946:F946)=0),K946=""),ROUND(F946+L946,3),"")</x:f>
      </x:c>
      <x:c r="K946" s="5" t="str">
        <x:f>IF(COUNTA(A946:F946)=0,"",IF(A946="","Missing equipment ID",IF(COUNTIFS($N$8:$N$2007,"="&amp;N946)&gt;1,"Duplicate equipment ID",IF(B946="","Missing type",IF(COUNTIFS('Rules'!$G$7:$G$26,"="&amp;(SUBSTITUTE(SUBSTITUTE(SUBSTITUTE(SUBSTITUTE("type:"&amp;B946,"%","%25"),"~","%7E"),"*","%2A"),"?","%3F")))=0,"Unknown type",IF(COUNTIFS('Rules'!$G$7:$G$26,"="&amp;(SUBSTITUTE(SUBSTITUTE(SUBSTITUTE(SUBSTITUTE("type:"&amp;B946,"%","%25"),"~","%7E"),"*","%2A"),"?","%3F")))&gt;1,"Duplicate type",IF(INDEX('Rules'!$F$7:$F$26,MATCH(SUBSTITUTE(SUBSTITUTE(SUBSTITUTE(SUBSTITUTE("type:"&amp;B946,"%","%25"),"~","%7E"),"*","%2A"),"?","%3F"),'Rules'!$G$7:$G$26,0))&lt;&gt;"",INDEX('Rules'!$F$7:$F$26,MATCH(SUBSTITUTE(SUBSTITUTE(SUBSTITUTE(SUBSTITUTE("type:"&amp;B946,"%","%25"),"~","%7E"),"*","%2A"),"?","%3F"),'Rules'!$G$7:$G$26,0)),IF(AND(C946&lt;&gt;"",C946&lt;&gt;INDEX('Rules'!$B$7:$B$26,MATCH(SUBSTITUTE(SUBSTITUTE(SUBSTITUTE(SUBSTITUTE("type:"&amp;B946,"%","%25"),"~","%7E"),"*","%2A"),"?","%3F"),'Rules'!$G$7:$G$26,0))),"Unit mismatch",IF(IF(NOT(ISNUMBER(D946)),TRUE,OR(D946&lt;0,D946&gt;999999999,ROUND(D946,3)&lt;&gt;D946)),"Invalid current reading",IF(AND(E946&lt;&gt;"",IF(NOT(ISNUMBER(E946)),TRUE,OR(E946&lt;0,E946&gt;999999999,ROUND(E946,3)&lt;&gt;E946))),"Invalid previous reading",IF(IF(NOT(ISNUMBER(F946)),TRUE,OR(F946&lt;0,F946&gt;999999999,ROUND(F946,3)&lt;&gt;F946)),"Invalid last service",IF(AND(E946&lt;&gt;"",D946&lt;E946),"Decreased reading",IF(F946&gt;D946,"Last service above current","")))))))))))))</x:f>
      </x:c>
      <x:c r="L946" s="6" t="str">
        <x:f>IF(AND(NOT(COUNTA(A946:F946)=0),K946=""),INDEX('Rules'!$C$7:$C$26,MATCH(SUBSTITUTE(SUBSTITUTE(SUBSTITUTE(SUBSTITUTE("type:"&amp;B946,"%","%25"),"~","%7E"),"*","%2A"),"?","%3F"),'Rules'!$G$7:$G$26,0)),"")</x:f>
      </x:c>
      <x:c r="M946" s="6" t="str">
        <x:f>IF(AND(NOT(COUNTA(A946:F946)=0),K946=""),INDEX('Rules'!$D$7:$D$26,MATCH(SUBSTITUTE(SUBSTITUTE(SUBSTITUTE(SUBSTITUTE("type:"&amp;B946,"%","%25"),"~","%7E"),"*","%2A"),"?","%3F"),'Rules'!$G$7:$G$26,0)),"")</x:f>
      </x:c>
      <x:c r="N946" s="5" t="str">
        <x:f>IF(COUNTA(A946:F946)=0,"",SUBSTITUTE(SUBSTITUTE(SUBSTITUTE(SUBSTITUTE("id:"&amp;A946,"%","%25"),"~","%7E"),"*","%2A"),"?","%3F"))</x:f>
      </x:c>
    </x:row>
    <x:row r="947" ht="22" customHeight="1">
      <x:c r="A947" s="3"/>
      <x:c r="B947" s="3"/>
      <x:c r="C947" s="3"/>
      <x:c r="D947" s="4"/>
      <x:c r="E947" s="4"/>
      <x:c r="F947" s="4"/>
      <x:c r="G947" s="5" t="str">
        <x:f>IF(COUNTA(A947:F947)=0,"",IF(K947&lt;&gt;"","Review",IF(I947&lt;0,"Overdue",IF(I947=0,"Due now",IF(I947&lt;=M947,"Due soon","Not due")))))</x:f>
      </x:c>
      <x:c r="H947" s="5" t="str">
        <x:f>IF(OR(COUNTA(A947:F947)=0,COUNTIFS('Rules'!$G$7:$G$26,"="&amp;(SUBSTITUTE(SUBSTITUTE(SUBSTITUTE(SUBSTITUTE("type:"&amp;B947,"%","%25"),"~","%7E"),"*","%2A"),"?","%3F")))&lt;&gt;1),"",IF(OR(INDEX('Rules'!$B$7:$B$26,MATCH(SUBSTITUTE(SUBSTITUTE(SUBSTITUTE(SUBSTITUTE("type:"&amp;B947,"%","%25"),"~","%7E"),"*","%2A"),"?","%3F"),'Rules'!$G$7:$G$26,0))="hours",INDEX('Rules'!$B$7:$B$26,MATCH(SUBSTITUTE(SUBSTITUTE(SUBSTITUTE(SUBSTITUTE("type:"&amp;B947,"%","%25"),"~","%7E"),"*","%2A"),"?","%3F"),'Rules'!$G$7:$G$26,0))="km"),INDEX('Rules'!$B$7:$B$26,MATCH(SUBSTITUTE(SUBSTITUTE(SUBSTITUTE(SUBSTITUTE("type:"&amp;B947,"%","%25"),"~","%7E"),"*","%2A"),"?","%3F"),'Rules'!$G$7:$G$26,0)),""))</x:f>
      </x:c>
      <x:c r="I947" s="6" t="str">
        <x:f>IF(AND(NOT(COUNTA(A947:F947)=0),K947=""),ROUND(J947-D947,3),"")</x:f>
      </x:c>
      <x:c r="J947" s="6" t="str">
        <x:f>IF(AND(NOT(COUNTA(A947:F947)=0),K947=""),ROUND(F947+L947,3),"")</x:f>
      </x:c>
      <x:c r="K947" s="5" t="str">
        <x:f>IF(COUNTA(A947:F947)=0,"",IF(A947="","Missing equipment ID",IF(COUNTIFS($N$8:$N$2007,"="&amp;N947)&gt;1,"Duplicate equipment ID",IF(B947="","Missing type",IF(COUNTIFS('Rules'!$G$7:$G$26,"="&amp;(SUBSTITUTE(SUBSTITUTE(SUBSTITUTE(SUBSTITUTE("type:"&amp;B947,"%","%25"),"~","%7E"),"*","%2A"),"?","%3F")))=0,"Unknown type",IF(COUNTIFS('Rules'!$G$7:$G$26,"="&amp;(SUBSTITUTE(SUBSTITUTE(SUBSTITUTE(SUBSTITUTE("type:"&amp;B947,"%","%25"),"~","%7E"),"*","%2A"),"?","%3F")))&gt;1,"Duplicate type",IF(INDEX('Rules'!$F$7:$F$26,MATCH(SUBSTITUTE(SUBSTITUTE(SUBSTITUTE(SUBSTITUTE("type:"&amp;B947,"%","%25"),"~","%7E"),"*","%2A"),"?","%3F"),'Rules'!$G$7:$G$26,0))&lt;&gt;"",INDEX('Rules'!$F$7:$F$26,MATCH(SUBSTITUTE(SUBSTITUTE(SUBSTITUTE(SUBSTITUTE("type:"&amp;B947,"%","%25"),"~","%7E"),"*","%2A"),"?","%3F"),'Rules'!$G$7:$G$26,0)),IF(AND(C947&lt;&gt;"",C947&lt;&gt;INDEX('Rules'!$B$7:$B$26,MATCH(SUBSTITUTE(SUBSTITUTE(SUBSTITUTE(SUBSTITUTE("type:"&amp;B947,"%","%25"),"~","%7E"),"*","%2A"),"?","%3F"),'Rules'!$G$7:$G$26,0))),"Unit mismatch",IF(IF(NOT(ISNUMBER(D947)),TRUE,OR(D947&lt;0,D947&gt;999999999,ROUND(D947,3)&lt;&gt;D947)),"Invalid current reading",IF(AND(E947&lt;&gt;"",IF(NOT(ISNUMBER(E947)),TRUE,OR(E947&lt;0,E947&gt;999999999,ROUND(E947,3)&lt;&gt;E947))),"Invalid previous reading",IF(IF(NOT(ISNUMBER(F947)),TRUE,OR(F947&lt;0,F947&gt;999999999,ROUND(F947,3)&lt;&gt;F947)),"Invalid last service",IF(AND(E947&lt;&gt;"",D947&lt;E947),"Decreased reading",IF(F947&gt;D947,"Last service above current","")))))))))))))</x:f>
      </x:c>
      <x:c r="L947" s="6" t="str">
        <x:f>IF(AND(NOT(COUNTA(A947:F947)=0),K947=""),INDEX('Rules'!$C$7:$C$26,MATCH(SUBSTITUTE(SUBSTITUTE(SUBSTITUTE(SUBSTITUTE("type:"&amp;B947,"%","%25"),"~","%7E"),"*","%2A"),"?","%3F"),'Rules'!$G$7:$G$26,0)),"")</x:f>
      </x:c>
      <x:c r="M947" s="6" t="str">
        <x:f>IF(AND(NOT(COUNTA(A947:F947)=0),K947=""),INDEX('Rules'!$D$7:$D$26,MATCH(SUBSTITUTE(SUBSTITUTE(SUBSTITUTE(SUBSTITUTE("type:"&amp;B947,"%","%25"),"~","%7E"),"*","%2A"),"?","%3F"),'Rules'!$G$7:$G$26,0)),"")</x:f>
      </x:c>
      <x:c r="N947" s="5" t="str">
        <x:f>IF(COUNTA(A947:F947)=0,"",SUBSTITUTE(SUBSTITUTE(SUBSTITUTE(SUBSTITUTE("id:"&amp;A947,"%","%25"),"~","%7E"),"*","%2A"),"?","%3F"))</x:f>
      </x:c>
    </x:row>
    <x:row r="948" ht="22" customHeight="1">
      <x:c r="A948" s="3"/>
      <x:c r="B948" s="3"/>
      <x:c r="C948" s="3"/>
      <x:c r="D948" s="4"/>
      <x:c r="E948" s="4"/>
      <x:c r="F948" s="4"/>
      <x:c r="G948" s="5" t="str">
        <x:f>IF(COUNTA(A948:F948)=0,"",IF(K948&lt;&gt;"","Review",IF(I948&lt;0,"Overdue",IF(I948=0,"Due now",IF(I948&lt;=M948,"Due soon","Not due")))))</x:f>
      </x:c>
      <x:c r="H948" s="5" t="str">
        <x:f>IF(OR(COUNTA(A948:F948)=0,COUNTIFS('Rules'!$G$7:$G$26,"="&amp;(SUBSTITUTE(SUBSTITUTE(SUBSTITUTE(SUBSTITUTE("type:"&amp;B948,"%","%25"),"~","%7E"),"*","%2A"),"?","%3F")))&lt;&gt;1),"",IF(OR(INDEX('Rules'!$B$7:$B$26,MATCH(SUBSTITUTE(SUBSTITUTE(SUBSTITUTE(SUBSTITUTE("type:"&amp;B948,"%","%25"),"~","%7E"),"*","%2A"),"?","%3F"),'Rules'!$G$7:$G$26,0))="hours",INDEX('Rules'!$B$7:$B$26,MATCH(SUBSTITUTE(SUBSTITUTE(SUBSTITUTE(SUBSTITUTE("type:"&amp;B948,"%","%25"),"~","%7E"),"*","%2A"),"?","%3F"),'Rules'!$G$7:$G$26,0))="km"),INDEX('Rules'!$B$7:$B$26,MATCH(SUBSTITUTE(SUBSTITUTE(SUBSTITUTE(SUBSTITUTE("type:"&amp;B948,"%","%25"),"~","%7E"),"*","%2A"),"?","%3F"),'Rules'!$G$7:$G$26,0)),""))</x:f>
      </x:c>
      <x:c r="I948" s="6" t="str">
        <x:f>IF(AND(NOT(COUNTA(A948:F948)=0),K948=""),ROUND(J948-D948,3),"")</x:f>
      </x:c>
      <x:c r="J948" s="6" t="str">
        <x:f>IF(AND(NOT(COUNTA(A948:F948)=0),K948=""),ROUND(F948+L948,3),"")</x:f>
      </x:c>
      <x:c r="K948" s="5" t="str">
        <x:f>IF(COUNTA(A948:F948)=0,"",IF(A948="","Missing equipment ID",IF(COUNTIFS($N$8:$N$2007,"="&amp;N948)&gt;1,"Duplicate equipment ID",IF(B948="","Missing type",IF(COUNTIFS('Rules'!$G$7:$G$26,"="&amp;(SUBSTITUTE(SUBSTITUTE(SUBSTITUTE(SUBSTITUTE("type:"&amp;B948,"%","%25"),"~","%7E"),"*","%2A"),"?","%3F")))=0,"Unknown type",IF(COUNTIFS('Rules'!$G$7:$G$26,"="&amp;(SUBSTITUTE(SUBSTITUTE(SUBSTITUTE(SUBSTITUTE("type:"&amp;B948,"%","%25"),"~","%7E"),"*","%2A"),"?","%3F")))&gt;1,"Duplicate type",IF(INDEX('Rules'!$F$7:$F$26,MATCH(SUBSTITUTE(SUBSTITUTE(SUBSTITUTE(SUBSTITUTE("type:"&amp;B948,"%","%25"),"~","%7E"),"*","%2A"),"?","%3F"),'Rules'!$G$7:$G$26,0))&lt;&gt;"",INDEX('Rules'!$F$7:$F$26,MATCH(SUBSTITUTE(SUBSTITUTE(SUBSTITUTE(SUBSTITUTE("type:"&amp;B948,"%","%25"),"~","%7E"),"*","%2A"),"?","%3F"),'Rules'!$G$7:$G$26,0)),IF(AND(C948&lt;&gt;"",C948&lt;&gt;INDEX('Rules'!$B$7:$B$26,MATCH(SUBSTITUTE(SUBSTITUTE(SUBSTITUTE(SUBSTITUTE("type:"&amp;B948,"%","%25"),"~","%7E"),"*","%2A"),"?","%3F"),'Rules'!$G$7:$G$26,0))),"Unit mismatch",IF(IF(NOT(ISNUMBER(D948)),TRUE,OR(D948&lt;0,D948&gt;999999999,ROUND(D948,3)&lt;&gt;D948)),"Invalid current reading",IF(AND(E948&lt;&gt;"",IF(NOT(ISNUMBER(E948)),TRUE,OR(E948&lt;0,E948&gt;999999999,ROUND(E948,3)&lt;&gt;E948))),"Invalid previous reading",IF(IF(NOT(ISNUMBER(F948)),TRUE,OR(F948&lt;0,F948&gt;999999999,ROUND(F948,3)&lt;&gt;F948)),"Invalid last service",IF(AND(E948&lt;&gt;"",D948&lt;E948),"Decreased reading",IF(F948&gt;D948,"Last service above current","")))))))))))))</x:f>
      </x:c>
      <x:c r="L948" s="6" t="str">
        <x:f>IF(AND(NOT(COUNTA(A948:F948)=0),K948=""),INDEX('Rules'!$C$7:$C$26,MATCH(SUBSTITUTE(SUBSTITUTE(SUBSTITUTE(SUBSTITUTE("type:"&amp;B948,"%","%25"),"~","%7E"),"*","%2A"),"?","%3F"),'Rules'!$G$7:$G$26,0)),"")</x:f>
      </x:c>
      <x:c r="M948" s="6" t="str">
        <x:f>IF(AND(NOT(COUNTA(A948:F948)=0),K948=""),INDEX('Rules'!$D$7:$D$26,MATCH(SUBSTITUTE(SUBSTITUTE(SUBSTITUTE(SUBSTITUTE("type:"&amp;B948,"%","%25"),"~","%7E"),"*","%2A"),"?","%3F"),'Rules'!$G$7:$G$26,0)),"")</x:f>
      </x:c>
      <x:c r="N948" s="5" t="str">
        <x:f>IF(COUNTA(A948:F948)=0,"",SUBSTITUTE(SUBSTITUTE(SUBSTITUTE(SUBSTITUTE("id:"&amp;A948,"%","%25"),"~","%7E"),"*","%2A"),"?","%3F"))</x:f>
      </x:c>
    </x:row>
    <x:row r="949" ht="22" customHeight="1">
      <x:c r="A949" s="3"/>
      <x:c r="B949" s="3"/>
      <x:c r="C949" s="3"/>
      <x:c r="D949" s="4"/>
      <x:c r="E949" s="4"/>
      <x:c r="F949" s="4"/>
      <x:c r="G949" s="5" t="str">
        <x:f>IF(COUNTA(A949:F949)=0,"",IF(K949&lt;&gt;"","Review",IF(I949&lt;0,"Overdue",IF(I949=0,"Due now",IF(I949&lt;=M949,"Due soon","Not due")))))</x:f>
      </x:c>
      <x:c r="H949" s="5" t="str">
        <x:f>IF(OR(COUNTA(A949:F949)=0,COUNTIFS('Rules'!$G$7:$G$26,"="&amp;(SUBSTITUTE(SUBSTITUTE(SUBSTITUTE(SUBSTITUTE("type:"&amp;B949,"%","%25"),"~","%7E"),"*","%2A"),"?","%3F")))&lt;&gt;1),"",IF(OR(INDEX('Rules'!$B$7:$B$26,MATCH(SUBSTITUTE(SUBSTITUTE(SUBSTITUTE(SUBSTITUTE("type:"&amp;B949,"%","%25"),"~","%7E"),"*","%2A"),"?","%3F"),'Rules'!$G$7:$G$26,0))="hours",INDEX('Rules'!$B$7:$B$26,MATCH(SUBSTITUTE(SUBSTITUTE(SUBSTITUTE(SUBSTITUTE("type:"&amp;B949,"%","%25"),"~","%7E"),"*","%2A"),"?","%3F"),'Rules'!$G$7:$G$26,0))="km"),INDEX('Rules'!$B$7:$B$26,MATCH(SUBSTITUTE(SUBSTITUTE(SUBSTITUTE(SUBSTITUTE("type:"&amp;B949,"%","%25"),"~","%7E"),"*","%2A"),"?","%3F"),'Rules'!$G$7:$G$26,0)),""))</x:f>
      </x:c>
      <x:c r="I949" s="6" t="str">
        <x:f>IF(AND(NOT(COUNTA(A949:F949)=0),K949=""),ROUND(J949-D949,3),"")</x:f>
      </x:c>
      <x:c r="J949" s="6" t="str">
        <x:f>IF(AND(NOT(COUNTA(A949:F949)=0),K949=""),ROUND(F949+L949,3),"")</x:f>
      </x:c>
      <x:c r="K949" s="5" t="str">
        <x:f>IF(COUNTA(A949:F949)=0,"",IF(A949="","Missing equipment ID",IF(COUNTIFS($N$8:$N$2007,"="&amp;N949)&gt;1,"Duplicate equipment ID",IF(B949="","Missing type",IF(COUNTIFS('Rules'!$G$7:$G$26,"="&amp;(SUBSTITUTE(SUBSTITUTE(SUBSTITUTE(SUBSTITUTE("type:"&amp;B949,"%","%25"),"~","%7E"),"*","%2A"),"?","%3F")))=0,"Unknown type",IF(COUNTIFS('Rules'!$G$7:$G$26,"="&amp;(SUBSTITUTE(SUBSTITUTE(SUBSTITUTE(SUBSTITUTE("type:"&amp;B949,"%","%25"),"~","%7E"),"*","%2A"),"?","%3F")))&gt;1,"Duplicate type",IF(INDEX('Rules'!$F$7:$F$26,MATCH(SUBSTITUTE(SUBSTITUTE(SUBSTITUTE(SUBSTITUTE("type:"&amp;B949,"%","%25"),"~","%7E"),"*","%2A"),"?","%3F"),'Rules'!$G$7:$G$26,0))&lt;&gt;"",INDEX('Rules'!$F$7:$F$26,MATCH(SUBSTITUTE(SUBSTITUTE(SUBSTITUTE(SUBSTITUTE("type:"&amp;B949,"%","%25"),"~","%7E"),"*","%2A"),"?","%3F"),'Rules'!$G$7:$G$26,0)),IF(AND(C949&lt;&gt;"",C949&lt;&gt;INDEX('Rules'!$B$7:$B$26,MATCH(SUBSTITUTE(SUBSTITUTE(SUBSTITUTE(SUBSTITUTE("type:"&amp;B949,"%","%25"),"~","%7E"),"*","%2A"),"?","%3F"),'Rules'!$G$7:$G$26,0))),"Unit mismatch",IF(IF(NOT(ISNUMBER(D949)),TRUE,OR(D949&lt;0,D949&gt;999999999,ROUND(D949,3)&lt;&gt;D949)),"Invalid current reading",IF(AND(E949&lt;&gt;"",IF(NOT(ISNUMBER(E949)),TRUE,OR(E949&lt;0,E949&gt;999999999,ROUND(E949,3)&lt;&gt;E949))),"Invalid previous reading",IF(IF(NOT(ISNUMBER(F949)),TRUE,OR(F949&lt;0,F949&gt;999999999,ROUND(F949,3)&lt;&gt;F949)),"Invalid last service",IF(AND(E949&lt;&gt;"",D949&lt;E949),"Decreased reading",IF(F949&gt;D949,"Last service above current","")))))))))))))</x:f>
      </x:c>
      <x:c r="L949" s="6" t="str">
        <x:f>IF(AND(NOT(COUNTA(A949:F949)=0),K949=""),INDEX('Rules'!$C$7:$C$26,MATCH(SUBSTITUTE(SUBSTITUTE(SUBSTITUTE(SUBSTITUTE("type:"&amp;B949,"%","%25"),"~","%7E"),"*","%2A"),"?","%3F"),'Rules'!$G$7:$G$26,0)),"")</x:f>
      </x:c>
      <x:c r="M949" s="6" t="str">
        <x:f>IF(AND(NOT(COUNTA(A949:F949)=0),K949=""),INDEX('Rules'!$D$7:$D$26,MATCH(SUBSTITUTE(SUBSTITUTE(SUBSTITUTE(SUBSTITUTE("type:"&amp;B949,"%","%25"),"~","%7E"),"*","%2A"),"?","%3F"),'Rules'!$G$7:$G$26,0)),"")</x:f>
      </x:c>
      <x:c r="N949" s="5" t="str">
        <x:f>IF(COUNTA(A949:F949)=0,"",SUBSTITUTE(SUBSTITUTE(SUBSTITUTE(SUBSTITUTE("id:"&amp;A949,"%","%25"),"~","%7E"),"*","%2A"),"?","%3F"))</x:f>
      </x:c>
    </x:row>
    <x:row r="950" ht="22" customHeight="1">
      <x:c r="A950" s="3"/>
      <x:c r="B950" s="3"/>
      <x:c r="C950" s="3"/>
      <x:c r="D950" s="4"/>
      <x:c r="E950" s="4"/>
      <x:c r="F950" s="4"/>
      <x:c r="G950" s="5" t="str">
        <x:f>IF(COUNTA(A950:F950)=0,"",IF(K950&lt;&gt;"","Review",IF(I950&lt;0,"Overdue",IF(I950=0,"Due now",IF(I950&lt;=M950,"Due soon","Not due")))))</x:f>
      </x:c>
      <x:c r="H950" s="5" t="str">
        <x:f>IF(OR(COUNTA(A950:F950)=0,COUNTIFS('Rules'!$G$7:$G$26,"="&amp;(SUBSTITUTE(SUBSTITUTE(SUBSTITUTE(SUBSTITUTE("type:"&amp;B950,"%","%25"),"~","%7E"),"*","%2A"),"?","%3F")))&lt;&gt;1),"",IF(OR(INDEX('Rules'!$B$7:$B$26,MATCH(SUBSTITUTE(SUBSTITUTE(SUBSTITUTE(SUBSTITUTE("type:"&amp;B950,"%","%25"),"~","%7E"),"*","%2A"),"?","%3F"),'Rules'!$G$7:$G$26,0))="hours",INDEX('Rules'!$B$7:$B$26,MATCH(SUBSTITUTE(SUBSTITUTE(SUBSTITUTE(SUBSTITUTE("type:"&amp;B950,"%","%25"),"~","%7E"),"*","%2A"),"?","%3F"),'Rules'!$G$7:$G$26,0))="km"),INDEX('Rules'!$B$7:$B$26,MATCH(SUBSTITUTE(SUBSTITUTE(SUBSTITUTE(SUBSTITUTE("type:"&amp;B950,"%","%25"),"~","%7E"),"*","%2A"),"?","%3F"),'Rules'!$G$7:$G$26,0)),""))</x:f>
      </x:c>
      <x:c r="I950" s="6" t="str">
        <x:f>IF(AND(NOT(COUNTA(A950:F950)=0),K950=""),ROUND(J950-D950,3),"")</x:f>
      </x:c>
      <x:c r="J950" s="6" t="str">
        <x:f>IF(AND(NOT(COUNTA(A950:F950)=0),K950=""),ROUND(F950+L950,3),"")</x:f>
      </x:c>
      <x:c r="K950" s="5" t="str">
        <x:f>IF(COUNTA(A950:F950)=0,"",IF(A950="","Missing equipment ID",IF(COUNTIFS($N$8:$N$2007,"="&amp;N950)&gt;1,"Duplicate equipment ID",IF(B950="","Missing type",IF(COUNTIFS('Rules'!$G$7:$G$26,"="&amp;(SUBSTITUTE(SUBSTITUTE(SUBSTITUTE(SUBSTITUTE("type:"&amp;B950,"%","%25"),"~","%7E"),"*","%2A"),"?","%3F")))=0,"Unknown type",IF(COUNTIFS('Rules'!$G$7:$G$26,"="&amp;(SUBSTITUTE(SUBSTITUTE(SUBSTITUTE(SUBSTITUTE("type:"&amp;B950,"%","%25"),"~","%7E"),"*","%2A"),"?","%3F")))&gt;1,"Duplicate type",IF(INDEX('Rules'!$F$7:$F$26,MATCH(SUBSTITUTE(SUBSTITUTE(SUBSTITUTE(SUBSTITUTE("type:"&amp;B950,"%","%25"),"~","%7E"),"*","%2A"),"?","%3F"),'Rules'!$G$7:$G$26,0))&lt;&gt;"",INDEX('Rules'!$F$7:$F$26,MATCH(SUBSTITUTE(SUBSTITUTE(SUBSTITUTE(SUBSTITUTE("type:"&amp;B950,"%","%25"),"~","%7E"),"*","%2A"),"?","%3F"),'Rules'!$G$7:$G$26,0)),IF(AND(C950&lt;&gt;"",C950&lt;&gt;INDEX('Rules'!$B$7:$B$26,MATCH(SUBSTITUTE(SUBSTITUTE(SUBSTITUTE(SUBSTITUTE("type:"&amp;B950,"%","%25"),"~","%7E"),"*","%2A"),"?","%3F"),'Rules'!$G$7:$G$26,0))),"Unit mismatch",IF(IF(NOT(ISNUMBER(D950)),TRUE,OR(D950&lt;0,D950&gt;999999999,ROUND(D950,3)&lt;&gt;D950)),"Invalid current reading",IF(AND(E950&lt;&gt;"",IF(NOT(ISNUMBER(E950)),TRUE,OR(E950&lt;0,E950&gt;999999999,ROUND(E950,3)&lt;&gt;E950))),"Invalid previous reading",IF(IF(NOT(ISNUMBER(F950)),TRUE,OR(F950&lt;0,F950&gt;999999999,ROUND(F950,3)&lt;&gt;F950)),"Invalid last service",IF(AND(E950&lt;&gt;"",D950&lt;E950),"Decreased reading",IF(F950&gt;D950,"Last service above current","")))))))))))))</x:f>
      </x:c>
      <x:c r="L950" s="6" t="str">
        <x:f>IF(AND(NOT(COUNTA(A950:F950)=0),K950=""),INDEX('Rules'!$C$7:$C$26,MATCH(SUBSTITUTE(SUBSTITUTE(SUBSTITUTE(SUBSTITUTE("type:"&amp;B950,"%","%25"),"~","%7E"),"*","%2A"),"?","%3F"),'Rules'!$G$7:$G$26,0)),"")</x:f>
      </x:c>
      <x:c r="M950" s="6" t="str">
        <x:f>IF(AND(NOT(COUNTA(A950:F950)=0),K950=""),INDEX('Rules'!$D$7:$D$26,MATCH(SUBSTITUTE(SUBSTITUTE(SUBSTITUTE(SUBSTITUTE("type:"&amp;B950,"%","%25"),"~","%7E"),"*","%2A"),"?","%3F"),'Rules'!$G$7:$G$26,0)),"")</x:f>
      </x:c>
      <x:c r="N950" s="5" t="str">
        <x:f>IF(COUNTA(A950:F950)=0,"",SUBSTITUTE(SUBSTITUTE(SUBSTITUTE(SUBSTITUTE("id:"&amp;A950,"%","%25"),"~","%7E"),"*","%2A"),"?","%3F"))</x:f>
      </x:c>
    </x:row>
    <x:row r="951" ht="22" customHeight="1">
      <x:c r="A951" s="3"/>
      <x:c r="B951" s="3"/>
      <x:c r="C951" s="3"/>
      <x:c r="D951" s="4"/>
      <x:c r="E951" s="4"/>
      <x:c r="F951" s="4"/>
      <x:c r="G951" s="5" t="str">
        <x:f>IF(COUNTA(A951:F951)=0,"",IF(K951&lt;&gt;"","Review",IF(I951&lt;0,"Overdue",IF(I951=0,"Due now",IF(I951&lt;=M951,"Due soon","Not due")))))</x:f>
      </x:c>
      <x:c r="H951" s="5" t="str">
        <x:f>IF(OR(COUNTA(A951:F951)=0,COUNTIFS('Rules'!$G$7:$G$26,"="&amp;(SUBSTITUTE(SUBSTITUTE(SUBSTITUTE(SUBSTITUTE("type:"&amp;B951,"%","%25"),"~","%7E"),"*","%2A"),"?","%3F")))&lt;&gt;1),"",IF(OR(INDEX('Rules'!$B$7:$B$26,MATCH(SUBSTITUTE(SUBSTITUTE(SUBSTITUTE(SUBSTITUTE("type:"&amp;B951,"%","%25"),"~","%7E"),"*","%2A"),"?","%3F"),'Rules'!$G$7:$G$26,0))="hours",INDEX('Rules'!$B$7:$B$26,MATCH(SUBSTITUTE(SUBSTITUTE(SUBSTITUTE(SUBSTITUTE("type:"&amp;B951,"%","%25"),"~","%7E"),"*","%2A"),"?","%3F"),'Rules'!$G$7:$G$26,0))="km"),INDEX('Rules'!$B$7:$B$26,MATCH(SUBSTITUTE(SUBSTITUTE(SUBSTITUTE(SUBSTITUTE("type:"&amp;B951,"%","%25"),"~","%7E"),"*","%2A"),"?","%3F"),'Rules'!$G$7:$G$26,0)),""))</x:f>
      </x:c>
      <x:c r="I951" s="6" t="str">
        <x:f>IF(AND(NOT(COUNTA(A951:F951)=0),K951=""),ROUND(J951-D951,3),"")</x:f>
      </x:c>
      <x:c r="J951" s="6" t="str">
        <x:f>IF(AND(NOT(COUNTA(A951:F951)=0),K951=""),ROUND(F951+L951,3),"")</x:f>
      </x:c>
      <x:c r="K951" s="5" t="str">
        <x:f>IF(COUNTA(A951:F951)=0,"",IF(A951="","Missing equipment ID",IF(COUNTIFS($N$8:$N$2007,"="&amp;N951)&gt;1,"Duplicate equipment ID",IF(B951="","Missing type",IF(COUNTIFS('Rules'!$G$7:$G$26,"="&amp;(SUBSTITUTE(SUBSTITUTE(SUBSTITUTE(SUBSTITUTE("type:"&amp;B951,"%","%25"),"~","%7E"),"*","%2A"),"?","%3F")))=0,"Unknown type",IF(COUNTIFS('Rules'!$G$7:$G$26,"="&amp;(SUBSTITUTE(SUBSTITUTE(SUBSTITUTE(SUBSTITUTE("type:"&amp;B951,"%","%25"),"~","%7E"),"*","%2A"),"?","%3F")))&gt;1,"Duplicate type",IF(INDEX('Rules'!$F$7:$F$26,MATCH(SUBSTITUTE(SUBSTITUTE(SUBSTITUTE(SUBSTITUTE("type:"&amp;B951,"%","%25"),"~","%7E"),"*","%2A"),"?","%3F"),'Rules'!$G$7:$G$26,0))&lt;&gt;"",INDEX('Rules'!$F$7:$F$26,MATCH(SUBSTITUTE(SUBSTITUTE(SUBSTITUTE(SUBSTITUTE("type:"&amp;B951,"%","%25"),"~","%7E"),"*","%2A"),"?","%3F"),'Rules'!$G$7:$G$26,0)),IF(AND(C951&lt;&gt;"",C951&lt;&gt;INDEX('Rules'!$B$7:$B$26,MATCH(SUBSTITUTE(SUBSTITUTE(SUBSTITUTE(SUBSTITUTE("type:"&amp;B951,"%","%25"),"~","%7E"),"*","%2A"),"?","%3F"),'Rules'!$G$7:$G$26,0))),"Unit mismatch",IF(IF(NOT(ISNUMBER(D951)),TRUE,OR(D951&lt;0,D951&gt;999999999,ROUND(D951,3)&lt;&gt;D951)),"Invalid current reading",IF(AND(E951&lt;&gt;"",IF(NOT(ISNUMBER(E951)),TRUE,OR(E951&lt;0,E951&gt;999999999,ROUND(E951,3)&lt;&gt;E951))),"Invalid previous reading",IF(IF(NOT(ISNUMBER(F951)),TRUE,OR(F951&lt;0,F951&gt;999999999,ROUND(F951,3)&lt;&gt;F951)),"Invalid last service",IF(AND(E951&lt;&gt;"",D951&lt;E951),"Decreased reading",IF(F951&gt;D951,"Last service above current","")))))))))))))</x:f>
      </x:c>
      <x:c r="L951" s="6" t="str">
        <x:f>IF(AND(NOT(COUNTA(A951:F951)=0),K951=""),INDEX('Rules'!$C$7:$C$26,MATCH(SUBSTITUTE(SUBSTITUTE(SUBSTITUTE(SUBSTITUTE("type:"&amp;B951,"%","%25"),"~","%7E"),"*","%2A"),"?","%3F"),'Rules'!$G$7:$G$26,0)),"")</x:f>
      </x:c>
      <x:c r="M951" s="6" t="str">
        <x:f>IF(AND(NOT(COUNTA(A951:F951)=0),K951=""),INDEX('Rules'!$D$7:$D$26,MATCH(SUBSTITUTE(SUBSTITUTE(SUBSTITUTE(SUBSTITUTE("type:"&amp;B951,"%","%25"),"~","%7E"),"*","%2A"),"?","%3F"),'Rules'!$G$7:$G$26,0)),"")</x:f>
      </x:c>
      <x:c r="N951" s="5" t="str">
        <x:f>IF(COUNTA(A951:F951)=0,"",SUBSTITUTE(SUBSTITUTE(SUBSTITUTE(SUBSTITUTE("id:"&amp;A951,"%","%25"),"~","%7E"),"*","%2A"),"?","%3F"))</x:f>
      </x:c>
    </x:row>
    <x:row r="952" ht="22" customHeight="1">
      <x:c r="A952" s="3"/>
      <x:c r="B952" s="3"/>
      <x:c r="C952" s="3"/>
      <x:c r="D952" s="4"/>
      <x:c r="E952" s="4"/>
      <x:c r="F952" s="4"/>
      <x:c r="G952" s="5" t="str">
        <x:f>IF(COUNTA(A952:F952)=0,"",IF(K952&lt;&gt;"","Review",IF(I952&lt;0,"Overdue",IF(I952=0,"Due now",IF(I952&lt;=M952,"Due soon","Not due")))))</x:f>
      </x:c>
      <x:c r="H952" s="5" t="str">
        <x:f>IF(OR(COUNTA(A952:F952)=0,COUNTIFS('Rules'!$G$7:$G$26,"="&amp;(SUBSTITUTE(SUBSTITUTE(SUBSTITUTE(SUBSTITUTE("type:"&amp;B952,"%","%25"),"~","%7E"),"*","%2A"),"?","%3F")))&lt;&gt;1),"",IF(OR(INDEX('Rules'!$B$7:$B$26,MATCH(SUBSTITUTE(SUBSTITUTE(SUBSTITUTE(SUBSTITUTE("type:"&amp;B952,"%","%25"),"~","%7E"),"*","%2A"),"?","%3F"),'Rules'!$G$7:$G$26,0))="hours",INDEX('Rules'!$B$7:$B$26,MATCH(SUBSTITUTE(SUBSTITUTE(SUBSTITUTE(SUBSTITUTE("type:"&amp;B952,"%","%25"),"~","%7E"),"*","%2A"),"?","%3F"),'Rules'!$G$7:$G$26,0))="km"),INDEX('Rules'!$B$7:$B$26,MATCH(SUBSTITUTE(SUBSTITUTE(SUBSTITUTE(SUBSTITUTE("type:"&amp;B952,"%","%25"),"~","%7E"),"*","%2A"),"?","%3F"),'Rules'!$G$7:$G$26,0)),""))</x:f>
      </x:c>
      <x:c r="I952" s="6" t="str">
        <x:f>IF(AND(NOT(COUNTA(A952:F952)=0),K952=""),ROUND(J952-D952,3),"")</x:f>
      </x:c>
      <x:c r="J952" s="6" t="str">
        <x:f>IF(AND(NOT(COUNTA(A952:F952)=0),K952=""),ROUND(F952+L952,3),"")</x:f>
      </x:c>
      <x:c r="K952" s="5" t="str">
        <x:f>IF(COUNTA(A952:F952)=0,"",IF(A952="","Missing equipment ID",IF(COUNTIFS($N$8:$N$2007,"="&amp;N952)&gt;1,"Duplicate equipment ID",IF(B952="","Missing type",IF(COUNTIFS('Rules'!$G$7:$G$26,"="&amp;(SUBSTITUTE(SUBSTITUTE(SUBSTITUTE(SUBSTITUTE("type:"&amp;B952,"%","%25"),"~","%7E"),"*","%2A"),"?","%3F")))=0,"Unknown type",IF(COUNTIFS('Rules'!$G$7:$G$26,"="&amp;(SUBSTITUTE(SUBSTITUTE(SUBSTITUTE(SUBSTITUTE("type:"&amp;B952,"%","%25"),"~","%7E"),"*","%2A"),"?","%3F")))&gt;1,"Duplicate type",IF(INDEX('Rules'!$F$7:$F$26,MATCH(SUBSTITUTE(SUBSTITUTE(SUBSTITUTE(SUBSTITUTE("type:"&amp;B952,"%","%25"),"~","%7E"),"*","%2A"),"?","%3F"),'Rules'!$G$7:$G$26,0))&lt;&gt;"",INDEX('Rules'!$F$7:$F$26,MATCH(SUBSTITUTE(SUBSTITUTE(SUBSTITUTE(SUBSTITUTE("type:"&amp;B952,"%","%25"),"~","%7E"),"*","%2A"),"?","%3F"),'Rules'!$G$7:$G$26,0)),IF(AND(C952&lt;&gt;"",C952&lt;&gt;INDEX('Rules'!$B$7:$B$26,MATCH(SUBSTITUTE(SUBSTITUTE(SUBSTITUTE(SUBSTITUTE("type:"&amp;B952,"%","%25"),"~","%7E"),"*","%2A"),"?","%3F"),'Rules'!$G$7:$G$26,0))),"Unit mismatch",IF(IF(NOT(ISNUMBER(D952)),TRUE,OR(D952&lt;0,D952&gt;999999999,ROUND(D952,3)&lt;&gt;D952)),"Invalid current reading",IF(AND(E952&lt;&gt;"",IF(NOT(ISNUMBER(E952)),TRUE,OR(E952&lt;0,E952&gt;999999999,ROUND(E952,3)&lt;&gt;E952))),"Invalid previous reading",IF(IF(NOT(ISNUMBER(F952)),TRUE,OR(F952&lt;0,F952&gt;999999999,ROUND(F952,3)&lt;&gt;F952)),"Invalid last service",IF(AND(E952&lt;&gt;"",D952&lt;E952),"Decreased reading",IF(F952&gt;D952,"Last service above current","")))))))))))))</x:f>
      </x:c>
      <x:c r="L952" s="6" t="str">
        <x:f>IF(AND(NOT(COUNTA(A952:F952)=0),K952=""),INDEX('Rules'!$C$7:$C$26,MATCH(SUBSTITUTE(SUBSTITUTE(SUBSTITUTE(SUBSTITUTE("type:"&amp;B952,"%","%25"),"~","%7E"),"*","%2A"),"?","%3F"),'Rules'!$G$7:$G$26,0)),"")</x:f>
      </x:c>
      <x:c r="M952" s="6" t="str">
        <x:f>IF(AND(NOT(COUNTA(A952:F952)=0),K952=""),INDEX('Rules'!$D$7:$D$26,MATCH(SUBSTITUTE(SUBSTITUTE(SUBSTITUTE(SUBSTITUTE("type:"&amp;B952,"%","%25"),"~","%7E"),"*","%2A"),"?","%3F"),'Rules'!$G$7:$G$26,0)),"")</x:f>
      </x:c>
      <x:c r="N952" s="5" t="str">
        <x:f>IF(COUNTA(A952:F952)=0,"",SUBSTITUTE(SUBSTITUTE(SUBSTITUTE(SUBSTITUTE("id:"&amp;A952,"%","%25"),"~","%7E"),"*","%2A"),"?","%3F"))</x:f>
      </x:c>
    </x:row>
    <x:row r="953" ht="22" customHeight="1">
      <x:c r="A953" s="3"/>
      <x:c r="B953" s="3"/>
      <x:c r="C953" s="3"/>
      <x:c r="D953" s="4"/>
      <x:c r="E953" s="4"/>
      <x:c r="F953" s="4"/>
      <x:c r="G953" s="5" t="str">
        <x:f>IF(COUNTA(A953:F953)=0,"",IF(K953&lt;&gt;"","Review",IF(I953&lt;0,"Overdue",IF(I953=0,"Due now",IF(I953&lt;=M953,"Due soon","Not due")))))</x:f>
      </x:c>
      <x:c r="H953" s="5" t="str">
        <x:f>IF(OR(COUNTA(A953:F953)=0,COUNTIFS('Rules'!$G$7:$G$26,"="&amp;(SUBSTITUTE(SUBSTITUTE(SUBSTITUTE(SUBSTITUTE("type:"&amp;B953,"%","%25"),"~","%7E"),"*","%2A"),"?","%3F")))&lt;&gt;1),"",IF(OR(INDEX('Rules'!$B$7:$B$26,MATCH(SUBSTITUTE(SUBSTITUTE(SUBSTITUTE(SUBSTITUTE("type:"&amp;B953,"%","%25"),"~","%7E"),"*","%2A"),"?","%3F"),'Rules'!$G$7:$G$26,0))="hours",INDEX('Rules'!$B$7:$B$26,MATCH(SUBSTITUTE(SUBSTITUTE(SUBSTITUTE(SUBSTITUTE("type:"&amp;B953,"%","%25"),"~","%7E"),"*","%2A"),"?","%3F"),'Rules'!$G$7:$G$26,0))="km"),INDEX('Rules'!$B$7:$B$26,MATCH(SUBSTITUTE(SUBSTITUTE(SUBSTITUTE(SUBSTITUTE("type:"&amp;B953,"%","%25"),"~","%7E"),"*","%2A"),"?","%3F"),'Rules'!$G$7:$G$26,0)),""))</x:f>
      </x:c>
      <x:c r="I953" s="6" t="str">
        <x:f>IF(AND(NOT(COUNTA(A953:F953)=0),K953=""),ROUND(J953-D953,3),"")</x:f>
      </x:c>
      <x:c r="J953" s="6" t="str">
        <x:f>IF(AND(NOT(COUNTA(A953:F953)=0),K953=""),ROUND(F953+L953,3),"")</x:f>
      </x:c>
      <x:c r="K953" s="5" t="str">
        <x:f>IF(COUNTA(A953:F953)=0,"",IF(A953="","Missing equipment ID",IF(COUNTIFS($N$8:$N$2007,"="&amp;N953)&gt;1,"Duplicate equipment ID",IF(B953="","Missing type",IF(COUNTIFS('Rules'!$G$7:$G$26,"="&amp;(SUBSTITUTE(SUBSTITUTE(SUBSTITUTE(SUBSTITUTE("type:"&amp;B953,"%","%25"),"~","%7E"),"*","%2A"),"?","%3F")))=0,"Unknown type",IF(COUNTIFS('Rules'!$G$7:$G$26,"="&amp;(SUBSTITUTE(SUBSTITUTE(SUBSTITUTE(SUBSTITUTE("type:"&amp;B953,"%","%25"),"~","%7E"),"*","%2A"),"?","%3F")))&gt;1,"Duplicate type",IF(INDEX('Rules'!$F$7:$F$26,MATCH(SUBSTITUTE(SUBSTITUTE(SUBSTITUTE(SUBSTITUTE("type:"&amp;B953,"%","%25"),"~","%7E"),"*","%2A"),"?","%3F"),'Rules'!$G$7:$G$26,0))&lt;&gt;"",INDEX('Rules'!$F$7:$F$26,MATCH(SUBSTITUTE(SUBSTITUTE(SUBSTITUTE(SUBSTITUTE("type:"&amp;B953,"%","%25"),"~","%7E"),"*","%2A"),"?","%3F"),'Rules'!$G$7:$G$26,0)),IF(AND(C953&lt;&gt;"",C953&lt;&gt;INDEX('Rules'!$B$7:$B$26,MATCH(SUBSTITUTE(SUBSTITUTE(SUBSTITUTE(SUBSTITUTE("type:"&amp;B953,"%","%25"),"~","%7E"),"*","%2A"),"?","%3F"),'Rules'!$G$7:$G$26,0))),"Unit mismatch",IF(IF(NOT(ISNUMBER(D953)),TRUE,OR(D953&lt;0,D953&gt;999999999,ROUND(D953,3)&lt;&gt;D953)),"Invalid current reading",IF(AND(E953&lt;&gt;"",IF(NOT(ISNUMBER(E953)),TRUE,OR(E953&lt;0,E953&gt;999999999,ROUND(E953,3)&lt;&gt;E953))),"Invalid previous reading",IF(IF(NOT(ISNUMBER(F953)),TRUE,OR(F953&lt;0,F953&gt;999999999,ROUND(F953,3)&lt;&gt;F953)),"Invalid last service",IF(AND(E953&lt;&gt;"",D953&lt;E953),"Decreased reading",IF(F953&gt;D953,"Last service above current","")))))))))))))</x:f>
      </x:c>
      <x:c r="L953" s="6" t="str">
        <x:f>IF(AND(NOT(COUNTA(A953:F953)=0),K953=""),INDEX('Rules'!$C$7:$C$26,MATCH(SUBSTITUTE(SUBSTITUTE(SUBSTITUTE(SUBSTITUTE("type:"&amp;B953,"%","%25"),"~","%7E"),"*","%2A"),"?","%3F"),'Rules'!$G$7:$G$26,0)),"")</x:f>
      </x:c>
      <x:c r="M953" s="6" t="str">
        <x:f>IF(AND(NOT(COUNTA(A953:F953)=0),K953=""),INDEX('Rules'!$D$7:$D$26,MATCH(SUBSTITUTE(SUBSTITUTE(SUBSTITUTE(SUBSTITUTE("type:"&amp;B953,"%","%25"),"~","%7E"),"*","%2A"),"?","%3F"),'Rules'!$G$7:$G$26,0)),"")</x:f>
      </x:c>
      <x:c r="N953" s="5" t="str">
        <x:f>IF(COUNTA(A953:F953)=0,"",SUBSTITUTE(SUBSTITUTE(SUBSTITUTE(SUBSTITUTE("id:"&amp;A953,"%","%25"),"~","%7E"),"*","%2A"),"?","%3F"))</x:f>
      </x:c>
    </x:row>
    <x:row r="954" ht="22" customHeight="1">
      <x:c r="A954" s="3"/>
      <x:c r="B954" s="3"/>
      <x:c r="C954" s="3"/>
      <x:c r="D954" s="4"/>
      <x:c r="E954" s="4"/>
      <x:c r="F954" s="4"/>
      <x:c r="G954" s="5" t="str">
        <x:f>IF(COUNTA(A954:F954)=0,"",IF(K954&lt;&gt;"","Review",IF(I954&lt;0,"Overdue",IF(I954=0,"Due now",IF(I954&lt;=M954,"Due soon","Not due")))))</x:f>
      </x:c>
      <x:c r="H954" s="5" t="str">
        <x:f>IF(OR(COUNTA(A954:F954)=0,COUNTIFS('Rules'!$G$7:$G$26,"="&amp;(SUBSTITUTE(SUBSTITUTE(SUBSTITUTE(SUBSTITUTE("type:"&amp;B954,"%","%25"),"~","%7E"),"*","%2A"),"?","%3F")))&lt;&gt;1),"",IF(OR(INDEX('Rules'!$B$7:$B$26,MATCH(SUBSTITUTE(SUBSTITUTE(SUBSTITUTE(SUBSTITUTE("type:"&amp;B954,"%","%25"),"~","%7E"),"*","%2A"),"?","%3F"),'Rules'!$G$7:$G$26,0))="hours",INDEX('Rules'!$B$7:$B$26,MATCH(SUBSTITUTE(SUBSTITUTE(SUBSTITUTE(SUBSTITUTE("type:"&amp;B954,"%","%25"),"~","%7E"),"*","%2A"),"?","%3F"),'Rules'!$G$7:$G$26,0))="km"),INDEX('Rules'!$B$7:$B$26,MATCH(SUBSTITUTE(SUBSTITUTE(SUBSTITUTE(SUBSTITUTE("type:"&amp;B954,"%","%25"),"~","%7E"),"*","%2A"),"?","%3F"),'Rules'!$G$7:$G$26,0)),""))</x:f>
      </x:c>
      <x:c r="I954" s="6" t="str">
        <x:f>IF(AND(NOT(COUNTA(A954:F954)=0),K954=""),ROUND(J954-D954,3),"")</x:f>
      </x:c>
      <x:c r="J954" s="6" t="str">
        <x:f>IF(AND(NOT(COUNTA(A954:F954)=0),K954=""),ROUND(F954+L954,3),"")</x:f>
      </x:c>
      <x:c r="K954" s="5" t="str">
        <x:f>IF(COUNTA(A954:F954)=0,"",IF(A954="","Missing equipment ID",IF(COUNTIFS($N$8:$N$2007,"="&amp;N954)&gt;1,"Duplicate equipment ID",IF(B954="","Missing type",IF(COUNTIFS('Rules'!$G$7:$G$26,"="&amp;(SUBSTITUTE(SUBSTITUTE(SUBSTITUTE(SUBSTITUTE("type:"&amp;B954,"%","%25"),"~","%7E"),"*","%2A"),"?","%3F")))=0,"Unknown type",IF(COUNTIFS('Rules'!$G$7:$G$26,"="&amp;(SUBSTITUTE(SUBSTITUTE(SUBSTITUTE(SUBSTITUTE("type:"&amp;B954,"%","%25"),"~","%7E"),"*","%2A"),"?","%3F")))&gt;1,"Duplicate type",IF(INDEX('Rules'!$F$7:$F$26,MATCH(SUBSTITUTE(SUBSTITUTE(SUBSTITUTE(SUBSTITUTE("type:"&amp;B954,"%","%25"),"~","%7E"),"*","%2A"),"?","%3F"),'Rules'!$G$7:$G$26,0))&lt;&gt;"",INDEX('Rules'!$F$7:$F$26,MATCH(SUBSTITUTE(SUBSTITUTE(SUBSTITUTE(SUBSTITUTE("type:"&amp;B954,"%","%25"),"~","%7E"),"*","%2A"),"?","%3F"),'Rules'!$G$7:$G$26,0)),IF(AND(C954&lt;&gt;"",C954&lt;&gt;INDEX('Rules'!$B$7:$B$26,MATCH(SUBSTITUTE(SUBSTITUTE(SUBSTITUTE(SUBSTITUTE("type:"&amp;B954,"%","%25"),"~","%7E"),"*","%2A"),"?","%3F"),'Rules'!$G$7:$G$26,0))),"Unit mismatch",IF(IF(NOT(ISNUMBER(D954)),TRUE,OR(D954&lt;0,D954&gt;999999999,ROUND(D954,3)&lt;&gt;D954)),"Invalid current reading",IF(AND(E954&lt;&gt;"",IF(NOT(ISNUMBER(E954)),TRUE,OR(E954&lt;0,E954&gt;999999999,ROUND(E954,3)&lt;&gt;E954))),"Invalid previous reading",IF(IF(NOT(ISNUMBER(F954)),TRUE,OR(F954&lt;0,F954&gt;999999999,ROUND(F954,3)&lt;&gt;F954)),"Invalid last service",IF(AND(E954&lt;&gt;"",D954&lt;E954),"Decreased reading",IF(F954&gt;D954,"Last service above current","")))))))))))))</x:f>
      </x:c>
      <x:c r="L954" s="6" t="str">
        <x:f>IF(AND(NOT(COUNTA(A954:F954)=0),K954=""),INDEX('Rules'!$C$7:$C$26,MATCH(SUBSTITUTE(SUBSTITUTE(SUBSTITUTE(SUBSTITUTE("type:"&amp;B954,"%","%25"),"~","%7E"),"*","%2A"),"?","%3F"),'Rules'!$G$7:$G$26,0)),"")</x:f>
      </x:c>
      <x:c r="M954" s="6" t="str">
        <x:f>IF(AND(NOT(COUNTA(A954:F954)=0),K954=""),INDEX('Rules'!$D$7:$D$26,MATCH(SUBSTITUTE(SUBSTITUTE(SUBSTITUTE(SUBSTITUTE("type:"&amp;B954,"%","%25"),"~","%7E"),"*","%2A"),"?","%3F"),'Rules'!$G$7:$G$26,0)),"")</x:f>
      </x:c>
      <x:c r="N954" s="5" t="str">
        <x:f>IF(COUNTA(A954:F954)=0,"",SUBSTITUTE(SUBSTITUTE(SUBSTITUTE(SUBSTITUTE("id:"&amp;A954,"%","%25"),"~","%7E"),"*","%2A"),"?","%3F"))</x:f>
      </x:c>
    </x:row>
    <x:row r="955" ht="22" customHeight="1">
      <x:c r="A955" s="3"/>
      <x:c r="B955" s="3"/>
      <x:c r="C955" s="3"/>
      <x:c r="D955" s="4"/>
      <x:c r="E955" s="4"/>
      <x:c r="F955" s="4"/>
      <x:c r="G955" s="5" t="str">
        <x:f>IF(COUNTA(A955:F955)=0,"",IF(K955&lt;&gt;"","Review",IF(I955&lt;0,"Overdue",IF(I955=0,"Due now",IF(I955&lt;=M955,"Due soon","Not due")))))</x:f>
      </x:c>
      <x:c r="H955" s="5" t="str">
        <x:f>IF(OR(COUNTA(A955:F955)=0,COUNTIFS('Rules'!$G$7:$G$26,"="&amp;(SUBSTITUTE(SUBSTITUTE(SUBSTITUTE(SUBSTITUTE("type:"&amp;B955,"%","%25"),"~","%7E"),"*","%2A"),"?","%3F")))&lt;&gt;1),"",IF(OR(INDEX('Rules'!$B$7:$B$26,MATCH(SUBSTITUTE(SUBSTITUTE(SUBSTITUTE(SUBSTITUTE("type:"&amp;B955,"%","%25"),"~","%7E"),"*","%2A"),"?","%3F"),'Rules'!$G$7:$G$26,0))="hours",INDEX('Rules'!$B$7:$B$26,MATCH(SUBSTITUTE(SUBSTITUTE(SUBSTITUTE(SUBSTITUTE("type:"&amp;B955,"%","%25"),"~","%7E"),"*","%2A"),"?","%3F"),'Rules'!$G$7:$G$26,0))="km"),INDEX('Rules'!$B$7:$B$26,MATCH(SUBSTITUTE(SUBSTITUTE(SUBSTITUTE(SUBSTITUTE("type:"&amp;B955,"%","%25"),"~","%7E"),"*","%2A"),"?","%3F"),'Rules'!$G$7:$G$26,0)),""))</x:f>
      </x:c>
      <x:c r="I955" s="6" t="str">
        <x:f>IF(AND(NOT(COUNTA(A955:F955)=0),K955=""),ROUND(J955-D955,3),"")</x:f>
      </x:c>
      <x:c r="J955" s="6" t="str">
        <x:f>IF(AND(NOT(COUNTA(A955:F955)=0),K955=""),ROUND(F955+L955,3),"")</x:f>
      </x:c>
      <x:c r="K955" s="5" t="str">
        <x:f>IF(COUNTA(A955:F955)=0,"",IF(A955="","Missing equipment ID",IF(COUNTIFS($N$8:$N$2007,"="&amp;N955)&gt;1,"Duplicate equipment ID",IF(B955="","Missing type",IF(COUNTIFS('Rules'!$G$7:$G$26,"="&amp;(SUBSTITUTE(SUBSTITUTE(SUBSTITUTE(SUBSTITUTE("type:"&amp;B955,"%","%25"),"~","%7E"),"*","%2A"),"?","%3F")))=0,"Unknown type",IF(COUNTIFS('Rules'!$G$7:$G$26,"="&amp;(SUBSTITUTE(SUBSTITUTE(SUBSTITUTE(SUBSTITUTE("type:"&amp;B955,"%","%25"),"~","%7E"),"*","%2A"),"?","%3F")))&gt;1,"Duplicate type",IF(INDEX('Rules'!$F$7:$F$26,MATCH(SUBSTITUTE(SUBSTITUTE(SUBSTITUTE(SUBSTITUTE("type:"&amp;B955,"%","%25"),"~","%7E"),"*","%2A"),"?","%3F"),'Rules'!$G$7:$G$26,0))&lt;&gt;"",INDEX('Rules'!$F$7:$F$26,MATCH(SUBSTITUTE(SUBSTITUTE(SUBSTITUTE(SUBSTITUTE("type:"&amp;B955,"%","%25"),"~","%7E"),"*","%2A"),"?","%3F"),'Rules'!$G$7:$G$26,0)),IF(AND(C955&lt;&gt;"",C955&lt;&gt;INDEX('Rules'!$B$7:$B$26,MATCH(SUBSTITUTE(SUBSTITUTE(SUBSTITUTE(SUBSTITUTE("type:"&amp;B955,"%","%25"),"~","%7E"),"*","%2A"),"?","%3F"),'Rules'!$G$7:$G$26,0))),"Unit mismatch",IF(IF(NOT(ISNUMBER(D955)),TRUE,OR(D955&lt;0,D955&gt;999999999,ROUND(D955,3)&lt;&gt;D955)),"Invalid current reading",IF(AND(E955&lt;&gt;"",IF(NOT(ISNUMBER(E955)),TRUE,OR(E955&lt;0,E955&gt;999999999,ROUND(E955,3)&lt;&gt;E955))),"Invalid previous reading",IF(IF(NOT(ISNUMBER(F955)),TRUE,OR(F955&lt;0,F955&gt;999999999,ROUND(F955,3)&lt;&gt;F955)),"Invalid last service",IF(AND(E955&lt;&gt;"",D955&lt;E955),"Decreased reading",IF(F955&gt;D955,"Last service above current","")))))))))))))</x:f>
      </x:c>
      <x:c r="L955" s="6" t="str">
        <x:f>IF(AND(NOT(COUNTA(A955:F955)=0),K955=""),INDEX('Rules'!$C$7:$C$26,MATCH(SUBSTITUTE(SUBSTITUTE(SUBSTITUTE(SUBSTITUTE("type:"&amp;B955,"%","%25"),"~","%7E"),"*","%2A"),"?","%3F"),'Rules'!$G$7:$G$26,0)),"")</x:f>
      </x:c>
      <x:c r="M955" s="6" t="str">
        <x:f>IF(AND(NOT(COUNTA(A955:F955)=0),K955=""),INDEX('Rules'!$D$7:$D$26,MATCH(SUBSTITUTE(SUBSTITUTE(SUBSTITUTE(SUBSTITUTE("type:"&amp;B955,"%","%25"),"~","%7E"),"*","%2A"),"?","%3F"),'Rules'!$G$7:$G$26,0)),"")</x:f>
      </x:c>
      <x:c r="N955" s="5" t="str">
        <x:f>IF(COUNTA(A955:F955)=0,"",SUBSTITUTE(SUBSTITUTE(SUBSTITUTE(SUBSTITUTE("id:"&amp;A955,"%","%25"),"~","%7E"),"*","%2A"),"?","%3F"))</x:f>
      </x:c>
    </x:row>
    <x:row r="956" ht="22" customHeight="1">
      <x:c r="A956" s="3"/>
      <x:c r="B956" s="3"/>
      <x:c r="C956" s="3"/>
      <x:c r="D956" s="4"/>
      <x:c r="E956" s="4"/>
      <x:c r="F956" s="4"/>
      <x:c r="G956" s="5" t="str">
        <x:f>IF(COUNTA(A956:F956)=0,"",IF(K956&lt;&gt;"","Review",IF(I956&lt;0,"Overdue",IF(I956=0,"Due now",IF(I956&lt;=M956,"Due soon","Not due")))))</x:f>
      </x:c>
      <x:c r="H956" s="5" t="str">
        <x:f>IF(OR(COUNTA(A956:F956)=0,COUNTIFS('Rules'!$G$7:$G$26,"="&amp;(SUBSTITUTE(SUBSTITUTE(SUBSTITUTE(SUBSTITUTE("type:"&amp;B956,"%","%25"),"~","%7E"),"*","%2A"),"?","%3F")))&lt;&gt;1),"",IF(OR(INDEX('Rules'!$B$7:$B$26,MATCH(SUBSTITUTE(SUBSTITUTE(SUBSTITUTE(SUBSTITUTE("type:"&amp;B956,"%","%25"),"~","%7E"),"*","%2A"),"?","%3F"),'Rules'!$G$7:$G$26,0))="hours",INDEX('Rules'!$B$7:$B$26,MATCH(SUBSTITUTE(SUBSTITUTE(SUBSTITUTE(SUBSTITUTE("type:"&amp;B956,"%","%25"),"~","%7E"),"*","%2A"),"?","%3F"),'Rules'!$G$7:$G$26,0))="km"),INDEX('Rules'!$B$7:$B$26,MATCH(SUBSTITUTE(SUBSTITUTE(SUBSTITUTE(SUBSTITUTE("type:"&amp;B956,"%","%25"),"~","%7E"),"*","%2A"),"?","%3F"),'Rules'!$G$7:$G$26,0)),""))</x:f>
      </x:c>
      <x:c r="I956" s="6" t="str">
        <x:f>IF(AND(NOT(COUNTA(A956:F956)=0),K956=""),ROUND(J956-D956,3),"")</x:f>
      </x:c>
      <x:c r="J956" s="6" t="str">
        <x:f>IF(AND(NOT(COUNTA(A956:F956)=0),K956=""),ROUND(F956+L956,3),"")</x:f>
      </x:c>
      <x:c r="K956" s="5" t="str">
        <x:f>IF(COUNTA(A956:F956)=0,"",IF(A956="","Missing equipment ID",IF(COUNTIFS($N$8:$N$2007,"="&amp;N956)&gt;1,"Duplicate equipment ID",IF(B956="","Missing type",IF(COUNTIFS('Rules'!$G$7:$G$26,"="&amp;(SUBSTITUTE(SUBSTITUTE(SUBSTITUTE(SUBSTITUTE("type:"&amp;B956,"%","%25"),"~","%7E"),"*","%2A"),"?","%3F")))=0,"Unknown type",IF(COUNTIFS('Rules'!$G$7:$G$26,"="&amp;(SUBSTITUTE(SUBSTITUTE(SUBSTITUTE(SUBSTITUTE("type:"&amp;B956,"%","%25"),"~","%7E"),"*","%2A"),"?","%3F")))&gt;1,"Duplicate type",IF(INDEX('Rules'!$F$7:$F$26,MATCH(SUBSTITUTE(SUBSTITUTE(SUBSTITUTE(SUBSTITUTE("type:"&amp;B956,"%","%25"),"~","%7E"),"*","%2A"),"?","%3F"),'Rules'!$G$7:$G$26,0))&lt;&gt;"",INDEX('Rules'!$F$7:$F$26,MATCH(SUBSTITUTE(SUBSTITUTE(SUBSTITUTE(SUBSTITUTE("type:"&amp;B956,"%","%25"),"~","%7E"),"*","%2A"),"?","%3F"),'Rules'!$G$7:$G$26,0)),IF(AND(C956&lt;&gt;"",C956&lt;&gt;INDEX('Rules'!$B$7:$B$26,MATCH(SUBSTITUTE(SUBSTITUTE(SUBSTITUTE(SUBSTITUTE("type:"&amp;B956,"%","%25"),"~","%7E"),"*","%2A"),"?","%3F"),'Rules'!$G$7:$G$26,0))),"Unit mismatch",IF(IF(NOT(ISNUMBER(D956)),TRUE,OR(D956&lt;0,D956&gt;999999999,ROUND(D956,3)&lt;&gt;D956)),"Invalid current reading",IF(AND(E956&lt;&gt;"",IF(NOT(ISNUMBER(E956)),TRUE,OR(E956&lt;0,E956&gt;999999999,ROUND(E956,3)&lt;&gt;E956))),"Invalid previous reading",IF(IF(NOT(ISNUMBER(F956)),TRUE,OR(F956&lt;0,F956&gt;999999999,ROUND(F956,3)&lt;&gt;F956)),"Invalid last service",IF(AND(E956&lt;&gt;"",D956&lt;E956),"Decreased reading",IF(F956&gt;D956,"Last service above current","")))))))))))))</x:f>
      </x:c>
      <x:c r="L956" s="6" t="str">
        <x:f>IF(AND(NOT(COUNTA(A956:F956)=0),K956=""),INDEX('Rules'!$C$7:$C$26,MATCH(SUBSTITUTE(SUBSTITUTE(SUBSTITUTE(SUBSTITUTE("type:"&amp;B956,"%","%25"),"~","%7E"),"*","%2A"),"?","%3F"),'Rules'!$G$7:$G$26,0)),"")</x:f>
      </x:c>
      <x:c r="M956" s="6" t="str">
        <x:f>IF(AND(NOT(COUNTA(A956:F956)=0),K956=""),INDEX('Rules'!$D$7:$D$26,MATCH(SUBSTITUTE(SUBSTITUTE(SUBSTITUTE(SUBSTITUTE("type:"&amp;B956,"%","%25"),"~","%7E"),"*","%2A"),"?","%3F"),'Rules'!$G$7:$G$26,0)),"")</x:f>
      </x:c>
      <x:c r="N956" s="5" t="str">
        <x:f>IF(COUNTA(A956:F956)=0,"",SUBSTITUTE(SUBSTITUTE(SUBSTITUTE(SUBSTITUTE("id:"&amp;A956,"%","%25"),"~","%7E"),"*","%2A"),"?","%3F"))</x:f>
      </x:c>
    </x:row>
    <x:row r="957" ht="22" customHeight="1">
      <x:c r="A957" s="3"/>
      <x:c r="B957" s="3"/>
      <x:c r="C957" s="3"/>
      <x:c r="D957" s="4"/>
      <x:c r="E957" s="4"/>
      <x:c r="F957" s="4"/>
      <x:c r="G957" s="5" t="str">
        <x:f>IF(COUNTA(A957:F957)=0,"",IF(K957&lt;&gt;"","Review",IF(I957&lt;0,"Overdue",IF(I957=0,"Due now",IF(I957&lt;=M957,"Due soon","Not due")))))</x:f>
      </x:c>
      <x:c r="H957" s="5" t="str">
        <x:f>IF(OR(COUNTA(A957:F957)=0,COUNTIFS('Rules'!$G$7:$G$26,"="&amp;(SUBSTITUTE(SUBSTITUTE(SUBSTITUTE(SUBSTITUTE("type:"&amp;B957,"%","%25"),"~","%7E"),"*","%2A"),"?","%3F")))&lt;&gt;1),"",IF(OR(INDEX('Rules'!$B$7:$B$26,MATCH(SUBSTITUTE(SUBSTITUTE(SUBSTITUTE(SUBSTITUTE("type:"&amp;B957,"%","%25"),"~","%7E"),"*","%2A"),"?","%3F"),'Rules'!$G$7:$G$26,0))="hours",INDEX('Rules'!$B$7:$B$26,MATCH(SUBSTITUTE(SUBSTITUTE(SUBSTITUTE(SUBSTITUTE("type:"&amp;B957,"%","%25"),"~","%7E"),"*","%2A"),"?","%3F"),'Rules'!$G$7:$G$26,0))="km"),INDEX('Rules'!$B$7:$B$26,MATCH(SUBSTITUTE(SUBSTITUTE(SUBSTITUTE(SUBSTITUTE("type:"&amp;B957,"%","%25"),"~","%7E"),"*","%2A"),"?","%3F"),'Rules'!$G$7:$G$26,0)),""))</x:f>
      </x:c>
      <x:c r="I957" s="6" t="str">
        <x:f>IF(AND(NOT(COUNTA(A957:F957)=0),K957=""),ROUND(J957-D957,3),"")</x:f>
      </x:c>
      <x:c r="J957" s="6" t="str">
        <x:f>IF(AND(NOT(COUNTA(A957:F957)=0),K957=""),ROUND(F957+L957,3),"")</x:f>
      </x:c>
      <x:c r="K957" s="5" t="str">
        <x:f>IF(COUNTA(A957:F957)=0,"",IF(A957="","Missing equipment ID",IF(COUNTIFS($N$8:$N$2007,"="&amp;N957)&gt;1,"Duplicate equipment ID",IF(B957="","Missing type",IF(COUNTIFS('Rules'!$G$7:$G$26,"="&amp;(SUBSTITUTE(SUBSTITUTE(SUBSTITUTE(SUBSTITUTE("type:"&amp;B957,"%","%25"),"~","%7E"),"*","%2A"),"?","%3F")))=0,"Unknown type",IF(COUNTIFS('Rules'!$G$7:$G$26,"="&amp;(SUBSTITUTE(SUBSTITUTE(SUBSTITUTE(SUBSTITUTE("type:"&amp;B957,"%","%25"),"~","%7E"),"*","%2A"),"?","%3F")))&gt;1,"Duplicate type",IF(INDEX('Rules'!$F$7:$F$26,MATCH(SUBSTITUTE(SUBSTITUTE(SUBSTITUTE(SUBSTITUTE("type:"&amp;B957,"%","%25"),"~","%7E"),"*","%2A"),"?","%3F"),'Rules'!$G$7:$G$26,0))&lt;&gt;"",INDEX('Rules'!$F$7:$F$26,MATCH(SUBSTITUTE(SUBSTITUTE(SUBSTITUTE(SUBSTITUTE("type:"&amp;B957,"%","%25"),"~","%7E"),"*","%2A"),"?","%3F"),'Rules'!$G$7:$G$26,0)),IF(AND(C957&lt;&gt;"",C957&lt;&gt;INDEX('Rules'!$B$7:$B$26,MATCH(SUBSTITUTE(SUBSTITUTE(SUBSTITUTE(SUBSTITUTE("type:"&amp;B957,"%","%25"),"~","%7E"),"*","%2A"),"?","%3F"),'Rules'!$G$7:$G$26,0))),"Unit mismatch",IF(IF(NOT(ISNUMBER(D957)),TRUE,OR(D957&lt;0,D957&gt;999999999,ROUND(D957,3)&lt;&gt;D957)),"Invalid current reading",IF(AND(E957&lt;&gt;"",IF(NOT(ISNUMBER(E957)),TRUE,OR(E957&lt;0,E957&gt;999999999,ROUND(E957,3)&lt;&gt;E957))),"Invalid previous reading",IF(IF(NOT(ISNUMBER(F957)),TRUE,OR(F957&lt;0,F957&gt;999999999,ROUND(F957,3)&lt;&gt;F957)),"Invalid last service",IF(AND(E957&lt;&gt;"",D957&lt;E957),"Decreased reading",IF(F957&gt;D957,"Last service above current","")))))))))))))</x:f>
      </x:c>
      <x:c r="L957" s="6" t="str">
        <x:f>IF(AND(NOT(COUNTA(A957:F957)=0),K957=""),INDEX('Rules'!$C$7:$C$26,MATCH(SUBSTITUTE(SUBSTITUTE(SUBSTITUTE(SUBSTITUTE("type:"&amp;B957,"%","%25"),"~","%7E"),"*","%2A"),"?","%3F"),'Rules'!$G$7:$G$26,0)),"")</x:f>
      </x:c>
      <x:c r="M957" s="6" t="str">
        <x:f>IF(AND(NOT(COUNTA(A957:F957)=0),K957=""),INDEX('Rules'!$D$7:$D$26,MATCH(SUBSTITUTE(SUBSTITUTE(SUBSTITUTE(SUBSTITUTE("type:"&amp;B957,"%","%25"),"~","%7E"),"*","%2A"),"?","%3F"),'Rules'!$G$7:$G$26,0)),"")</x:f>
      </x:c>
      <x:c r="N957" s="5" t="str">
        <x:f>IF(COUNTA(A957:F957)=0,"",SUBSTITUTE(SUBSTITUTE(SUBSTITUTE(SUBSTITUTE("id:"&amp;A957,"%","%25"),"~","%7E"),"*","%2A"),"?","%3F"))</x:f>
      </x:c>
    </x:row>
    <x:row r="958" ht="22" customHeight="1">
      <x:c r="A958" s="3"/>
      <x:c r="B958" s="3"/>
      <x:c r="C958" s="3"/>
      <x:c r="D958" s="4"/>
      <x:c r="E958" s="4"/>
      <x:c r="F958" s="4"/>
      <x:c r="G958" s="5" t="str">
        <x:f>IF(COUNTA(A958:F958)=0,"",IF(K958&lt;&gt;"","Review",IF(I958&lt;0,"Overdue",IF(I958=0,"Due now",IF(I958&lt;=M958,"Due soon","Not due")))))</x:f>
      </x:c>
      <x:c r="H958" s="5" t="str">
        <x:f>IF(OR(COUNTA(A958:F958)=0,COUNTIFS('Rules'!$G$7:$G$26,"="&amp;(SUBSTITUTE(SUBSTITUTE(SUBSTITUTE(SUBSTITUTE("type:"&amp;B958,"%","%25"),"~","%7E"),"*","%2A"),"?","%3F")))&lt;&gt;1),"",IF(OR(INDEX('Rules'!$B$7:$B$26,MATCH(SUBSTITUTE(SUBSTITUTE(SUBSTITUTE(SUBSTITUTE("type:"&amp;B958,"%","%25"),"~","%7E"),"*","%2A"),"?","%3F"),'Rules'!$G$7:$G$26,0))="hours",INDEX('Rules'!$B$7:$B$26,MATCH(SUBSTITUTE(SUBSTITUTE(SUBSTITUTE(SUBSTITUTE("type:"&amp;B958,"%","%25"),"~","%7E"),"*","%2A"),"?","%3F"),'Rules'!$G$7:$G$26,0))="km"),INDEX('Rules'!$B$7:$B$26,MATCH(SUBSTITUTE(SUBSTITUTE(SUBSTITUTE(SUBSTITUTE("type:"&amp;B958,"%","%25"),"~","%7E"),"*","%2A"),"?","%3F"),'Rules'!$G$7:$G$26,0)),""))</x:f>
      </x:c>
      <x:c r="I958" s="6" t="str">
        <x:f>IF(AND(NOT(COUNTA(A958:F958)=0),K958=""),ROUND(J958-D958,3),"")</x:f>
      </x:c>
      <x:c r="J958" s="6" t="str">
        <x:f>IF(AND(NOT(COUNTA(A958:F958)=0),K958=""),ROUND(F958+L958,3),"")</x:f>
      </x:c>
      <x:c r="K958" s="5" t="str">
        <x:f>IF(COUNTA(A958:F958)=0,"",IF(A958="","Missing equipment ID",IF(COUNTIFS($N$8:$N$2007,"="&amp;N958)&gt;1,"Duplicate equipment ID",IF(B958="","Missing type",IF(COUNTIFS('Rules'!$G$7:$G$26,"="&amp;(SUBSTITUTE(SUBSTITUTE(SUBSTITUTE(SUBSTITUTE("type:"&amp;B958,"%","%25"),"~","%7E"),"*","%2A"),"?","%3F")))=0,"Unknown type",IF(COUNTIFS('Rules'!$G$7:$G$26,"="&amp;(SUBSTITUTE(SUBSTITUTE(SUBSTITUTE(SUBSTITUTE("type:"&amp;B958,"%","%25"),"~","%7E"),"*","%2A"),"?","%3F")))&gt;1,"Duplicate type",IF(INDEX('Rules'!$F$7:$F$26,MATCH(SUBSTITUTE(SUBSTITUTE(SUBSTITUTE(SUBSTITUTE("type:"&amp;B958,"%","%25"),"~","%7E"),"*","%2A"),"?","%3F"),'Rules'!$G$7:$G$26,0))&lt;&gt;"",INDEX('Rules'!$F$7:$F$26,MATCH(SUBSTITUTE(SUBSTITUTE(SUBSTITUTE(SUBSTITUTE("type:"&amp;B958,"%","%25"),"~","%7E"),"*","%2A"),"?","%3F"),'Rules'!$G$7:$G$26,0)),IF(AND(C958&lt;&gt;"",C958&lt;&gt;INDEX('Rules'!$B$7:$B$26,MATCH(SUBSTITUTE(SUBSTITUTE(SUBSTITUTE(SUBSTITUTE("type:"&amp;B958,"%","%25"),"~","%7E"),"*","%2A"),"?","%3F"),'Rules'!$G$7:$G$26,0))),"Unit mismatch",IF(IF(NOT(ISNUMBER(D958)),TRUE,OR(D958&lt;0,D958&gt;999999999,ROUND(D958,3)&lt;&gt;D958)),"Invalid current reading",IF(AND(E958&lt;&gt;"",IF(NOT(ISNUMBER(E958)),TRUE,OR(E958&lt;0,E958&gt;999999999,ROUND(E958,3)&lt;&gt;E958))),"Invalid previous reading",IF(IF(NOT(ISNUMBER(F958)),TRUE,OR(F958&lt;0,F958&gt;999999999,ROUND(F958,3)&lt;&gt;F958)),"Invalid last service",IF(AND(E958&lt;&gt;"",D958&lt;E958),"Decreased reading",IF(F958&gt;D958,"Last service above current","")))))))))))))</x:f>
      </x:c>
      <x:c r="L958" s="6" t="str">
        <x:f>IF(AND(NOT(COUNTA(A958:F958)=0),K958=""),INDEX('Rules'!$C$7:$C$26,MATCH(SUBSTITUTE(SUBSTITUTE(SUBSTITUTE(SUBSTITUTE("type:"&amp;B958,"%","%25"),"~","%7E"),"*","%2A"),"?","%3F"),'Rules'!$G$7:$G$26,0)),"")</x:f>
      </x:c>
      <x:c r="M958" s="6" t="str">
        <x:f>IF(AND(NOT(COUNTA(A958:F958)=0),K958=""),INDEX('Rules'!$D$7:$D$26,MATCH(SUBSTITUTE(SUBSTITUTE(SUBSTITUTE(SUBSTITUTE("type:"&amp;B958,"%","%25"),"~","%7E"),"*","%2A"),"?","%3F"),'Rules'!$G$7:$G$26,0)),"")</x:f>
      </x:c>
      <x:c r="N958" s="5" t="str">
        <x:f>IF(COUNTA(A958:F958)=0,"",SUBSTITUTE(SUBSTITUTE(SUBSTITUTE(SUBSTITUTE("id:"&amp;A958,"%","%25"),"~","%7E"),"*","%2A"),"?","%3F"))</x:f>
      </x:c>
    </x:row>
    <x:row r="959" ht="22" customHeight="1">
      <x:c r="A959" s="3"/>
      <x:c r="B959" s="3"/>
      <x:c r="C959" s="3"/>
      <x:c r="D959" s="4"/>
      <x:c r="E959" s="4"/>
      <x:c r="F959" s="4"/>
      <x:c r="G959" s="5" t="str">
        <x:f>IF(COUNTA(A959:F959)=0,"",IF(K959&lt;&gt;"","Review",IF(I959&lt;0,"Overdue",IF(I959=0,"Due now",IF(I959&lt;=M959,"Due soon","Not due")))))</x:f>
      </x:c>
      <x:c r="H959" s="5" t="str">
        <x:f>IF(OR(COUNTA(A959:F959)=0,COUNTIFS('Rules'!$G$7:$G$26,"="&amp;(SUBSTITUTE(SUBSTITUTE(SUBSTITUTE(SUBSTITUTE("type:"&amp;B959,"%","%25"),"~","%7E"),"*","%2A"),"?","%3F")))&lt;&gt;1),"",IF(OR(INDEX('Rules'!$B$7:$B$26,MATCH(SUBSTITUTE(SUBSTITUTE(SUBSTITUTE(SUBSTITUTE("type:"&amp;B959,"%","%25"),"~","%7E"),"*","%2A"),"?","%3F"),'Rules'!$G$7:$G$26,0))="hours",INDEX('Rules'!$B$7:$B$26,MATCH(SUBSTITUTE(SUBSTITUTE(SUBSTITUTE(SUBSTITUTE("type:"&amp;B959,"%","%25"),"~","%7E"),"*","%2A"),"?","%3F"),'Rules'!$G$7:$G$26,0))="km"),INDEX('Rules'!$B$7:$B$26,MATCH(SUBSTITUTE(SUBSTITUTE(SUBSTITUTE(SUBSTITUTE("type:"&amp;B959,"%","%25"),"~","%7E"),"*","%2A"),"?","%3F"),'Rules'!$G$7:$G$26,0)),""))</x:f>
      </x:c>
      <x:c r="I959" s="6" t="str">
        <x:f>IF(AND(NOT(COUNTA(A959:F959)=0),K959=""),ROUND(J959-D959,3),"")</x:f>
      </x:c>
      <x:c r="J959" s="6" t="str">
        <x:f>IF(AND(NOT(COUNTA(A959:F959)=0),K959=""),ROUND(F959+L959,3),"")</x:f>
      </x:c>
      <x:c r="K959" s="5" t="str">
        <x:f>IF(COUNTA(A959:F959)=0,"",IF(A959="","Missing equipment ID",IF(COUNTIFS($N$8:$N$2007,"="&amp;N959)&gt;1,"Duplicate equipment ID",IF(B959="","Missing type",IF(COUNTIFS('Rules'!$G$7:$G$26,"="&amp;(SUBSTITUTE(SUBSTITUTE(SUBSTITUTE(SUBSTITUTE("type:"&amp;B959,"%","%25"),"~","%7E"),"*","%2A"),"?","%3F")))=0,"Unknown type",IF(COUNTIFS('Rules'!$G$7:$G$26,"="&amp;(SUBSTITUTE(SUBSTITUTE(SUBSTITUTE(SUBSTITUTE("type:"&amp;B959,"%","%25"),"~","%7E"),"*","%2A"),"?","%3F")))&gt;1,"Duplicate type",IF(INDEX('Rules'!$F$7:$F$26,MATCH(SUBSTITUTE(SUBSTITUTE(SUBSTITUTE(SUBSTITUTE("type:"&amp;B959,"%","%25"),"~","%7E"),"*","%2A"),"?","%3F"),'Rules'!$G$7:$G$26,0))&lt;&gt;"",INDEX('Rules'!$F$7:$F$26,MATCH(SUBSTITUTE(SUBSTITUTE(SUBSTITUTE(SUBSTITUTE("type:"&amp;B959,"%","%25"),"~","%7E"),"*","%2A"),"?","%3F"),'Rules'!$G$7:$G$26,0)),IF(AND(C959&lt;&gt;"",C959&lt;&gt;INDEX('Rules'!$B$7:$B$26,MATCH(SUBSTITUTE(SUBSTITUTE(SUBSTITUTE(SUBSTITUTE("type:"&amp;B959,"%","%25"),"~","%7E"),"*","%2A"),"?","%3F"),'Rules'!$G$7:$G$26,0))),"Unit mismatch",IF(IF(NOT(ISNUMBER(D959)),TRUE,OR(D959&lt;0,D959&gt;999999999,ROUND(D959,3)&lt;&gt;D959)),"Invalid current reading",IF(AND(E959&lt;&gt;"",IF(NOT(ISNUMBER(E959)),TRUE,OR(E959&lt;0,E959&gt;999999999,ROUND(E959,3)&lt;&gt;E959))),"Invalid previous reading",IF(IF(NOT(ISNUMBER(F959)),TRUE,OR(F959&lt;0,F959&gt;999999999,ROUND(F959,3)&lt;&gt;F959)),"Invalid last service",IF(AND(E959&lt;&gt;"",D959&lt;E959),"Decreased reading",IF(F959&gt;D959,"Last service above current","")))))))))))))</x:f>
      </x:c>
      <x:c r="L959" s="6" t="str">
        <x:f>IF(AND(NOT(COUNTA(A959:F959)=0),K959=""),INDEX('Rules'!$C$7:$C$26,MATCH(SUBSTITUTE(SUBSTITUTE(SUBSTITUTE(SUBSTITUTE("type:"&amp;B959,"%","%25"),"~","%7E"),"*","%2A"),"?","%3F"),'Rules'!$G$7:$G$26,0)),"")</x:f>
      </x:c>
      <x:c r="M959" s="6" t="str">
        <x:f>IF(AND(NOT(COUNTA(A959:F959)=0),K959=""),INDEX('Rules'!$D$7:$D$26,MATCH(SUBSTITUTE(SUBSTITUTE(SUBSTITUTE(SUBSTITUTE("type:"&amp;B959,"%","%25"),"~","%7E"),"*","%2A"),"?","%3F"),'Rules'!$G$7:$G$26,0)),"")</x:f>
      </x:c>
      <x:c r="N959" s="5" t="str">
        <x:f>IF(COUNTA(A959:F959)=0,"",SUBSTITUTE(SUBSTITUTE(SUBSTITUTE(SUBSTITUTE("id:"&amp;A959,"%","%25"),"~","%7E"),"*","%2A"),"?","%3F"))</x:f>
      </x:c>
    </x:row>
    <x:row r="960" ht="22" customHeight="1">
      <x:c r="A960" s="3"/>
      <x:c r="B960" s="3"/>
      <x:c r="C960" s="3"/>
      <x:c r="D960" s="4"/>
      <x:c r="E960" s="4"/>
      <x:c r="F960" s="4"/>
      <x:c r="G960" s="5" t="str">
        <x:f>IF(COUNTA(A960:F960)=0,"",IF(K960&lt;&gt;"","Review",IF(I960&lt;0,"Overdue",IF(I960=0,"Due now",IF(I960&lt;=M960,"Due soon","Not due")))))</x:f>
      </x:c>
      <x:c r="H960" s="5" t="str">
        <x:f>IF(OR(COUNTA(A960:F960)=0,COUNTIFS('Rules'!$G$7:$G$26,"="&amp;(SUBSTITUTE(SUBSTITUTE(SUBSTITUTE(SUBSTITUTE("type:"&amp;B960,"%","%25"),"~","%7E"),"*","%2A"),"?","%3F")))&lt;&gt;1),"",IF(OR(INDEX('Rules'!$B$7:$B$26,MATCH(SUBSTITUTE(SUBSTITUTE(SUBSTITUTE(SUBSTITUTE("type:"&amp;B960,"%","%25"),"~","%7E"),"*","%2A"),"?","%3F"),'Rules'!$G$7:$G$26,0))="hours",INDEX('Rules'!$B$7:$B$26,MATCH(SUBSTITUTE(SUBSTITUTE(SUBSTITUTE(SUBSTITUTE("type:"&amp;B960,"%","%25"),"~","%7E"),"*","%2A"),"?","%3F"),'Rules'!$G$7:$G$26,0))="km"),INDEX('Rules'!$B$7:$B$26,MATCH(SUBSTITUTE(SUBSTITUTE(SUBSTITUTE(SUBSTITUTE("type:"&amp;B960,"%","%25"),"~","%7E"),"*","%2A"),"?","%3F"),'Rules'!$G$7:$G$26,0)),""))</x:f>
      </x:c>
      <x:c r="I960" s="6" t="str">
        <x:f>IF(AND(NOT(COUNTA(A960:F960)=0),K960=""),ROUND(J960-D960,3),"")</x:f>
      </x:c>
      <x:c r="J960" s="6" t="str">
        <x:f>IF(AND(NOT(COUNTA(A960:F960)=0),K960=""),ROUND(F960+L960,3),"")</x:f>
      </x:c>
      <x:c r="K960" s="5" t="str">
        <x:f>IF(COUNTA(A960:F960)=0,"",IF(A960="","Missing equipment ID",IF(COUNTIFS($N$8:$N$2007,"="&amp;N960)&gt;1,"Duplicate equipment ID",IF(B960="","Missing type",IF(COUNTIFS('Rules'!$G$7:$G$26,"="&amp;(SUBSTITUTE(SUBSTITUTE(SUBSTITUTE(SUBSTITUTE("type:"&amp;B960,"%","%25"),"~","%7E"),"*","%2A"),"?","%3F")))=0,"Unknown type",IF(COUNTIFS('Rules'!$G$7:$G$26,"="&amp;(SUBSTITUTE(SUBSTITUTE(SUBSTITUTE(SUBSTITUTE("type:"&amp;B960,"%","%25"),"~","%7E"),"*","%2A"),"?","%3F")))&gt;1,"Duplicate type",IF(INDEX('Rules'!$F$7:$F$26,MATCH(SUBSTITUTE(SUBSTITUTE(SUBSTITUTE(SUBSTITUTE("type:"&amp;B960,"%","%25"),"~","%7E"),"*","%2A"),"?","%3F"),'Rules'!$G$7:$G$26,0))&lt;&gt;"",INDEX('Rules'!$F$7:$F$26,MATCH(SUBSTITUTE(SUBSTITUTE(SUBSTITUTE(SUBSTITUTE("type:"&amp;B960,"%","%25"),"~","%7E"),"*","%2A"),"?","%3F"),'Rules'!$G$7:$G$26,0)),IF(AND(C960&lt;&gt;"",C960&lt;&gt;INDEX('Rules'!$B$7:$B$26,MATCH(SUBSTITUTE(SUBSTITUTE(SUBSTITUTE(SUBSTITUTE("type:"&amp;B960,"%","%25"),"~","%7E"),"*","%2A"),"?","%3F"),'Rules'!$G$7:$G$26,0))),"Unit mismatch",IF(IF(NOT(ISNUMBER(D960)),TRUE,OR(D960&lt;0,D960&gt;999999999,ROUND(D960,3)&lt;&gt;D960)),"Invalid current reading",IF(AND(E960&lt;&gt;"",IF(NOT(ISNUMBER(E960)),TRUE,OR(E960&lt;0,E960&gt;999999999,ROUND(E960,3)&lt;&gt;E960))),"Invalid previous reading",IF(IF(NOT(ISNUMBER(F960)),TRUE,OR(F960&lt;0,F960&gt;999999999,ROUND(F960,3)&lt;&gt;F960)),"Invalid last service",IF(AND(E960&lt;&gt;"",D960&lt;E960),"Decreased reading",IF(F960&gt;D960,"Last service above current","")))))))))))))</x:f>
      </x:c>
      <x:c r="L960" s="6" t="str">
        <x:f>IF(AND(NOT(COUNTA(A960:F960)=0),K960=""),INDEX('Rules'!$C$7:$C$26,MATCH(SUBSTITUTE(SUBSTITUTE(SUBSTITUTE(SUBSTITUTE("type:"&amp;B960,"%","%25"),"~","%7E"),"*","%2A"),"?","%3F"),'Rules'!$G$7:$G$26,0)),"")</x:f>
      </x:c>
      <x:c r="M960" s="6" t="str">
        <x:f>IF(AND(NOT(COUNTA(A960:F960)=0),K960=""),INDEX('Rules'!$D$7:$D$26,MATCH(SUBSTITUTE(SUBSTITUTE(SUBSTITUTE(SUBSTITUTE("type:"&amp;B960,"%","%25"),"~","%7E"),"*","%2A"),"?","%3F"),'Rules'!$G$7:$G$26,0)),"")</x:f>
      </x:c>
      <x:c r="N960" s="5" t="str">
        <x:f>IF(COUNTA(A960:F960)=0,"",SUBSTITUTE(SUBSTITUTE(SUBSTITUTE(SUBSTITUTE("id:"&amp;A960,"%","%25"),"~","%7E"),"*","%2A"),"?","%3F"))</x:f>
      </x:c>
    </x:row>
    <x:row r="961" ht="22" customHeight="1">
      <x:c r="A961" s="3"/>
      <x:c r="B961" s="3"/>
      <x:c r="C961" s="3"/>
      <x:c r="D961" s="4"/>
      <x:c r="E961" s="4"/>
      <x:c r="F961" s="4"/>
      <x:c r="G961" s="5" t="str">
        <x:f>IF(COUNTA(A961:F961)=0,"",IF(K961&lt;&gt;"","Review",IF(I961&lt;0,"Overdue",IF(I961=0,"Due now",IF(I961&lt;=M961,"Due soon","Not due")))))</x:f>
      </x:c>
      <x:c r="H961" s="5" t="str">
        <x:f>IF(OR(COUNTA(A961:F961)=0,COUNTIFS('Rules'!$G$7:$G$26,"="&amp;(SUBSTITUTE(SUBSTITUTE(SUBSTITUTE(SUBSTITUTE("type:"&amp;B961,"%","%25"),"~","%7E"),"*","%2A"),"?","%3F")))&lt;&gt;1),"",IF(OR(INDEX('Rules'!$B$7:$B$26,MATCH(SUBSTITUTE(SUBSTITUTE(SUBSTITUTE(SUBSTITUTE("type:"&amp;B961,"%","%25"),"~","%7E"),"*","%2A"),"?","%3F"),'Rules'!$G$7:$G$26,0))="hours",INDEX('Rules'!$B$7:$B$26,MATCH(SUBSTITUTE(SUBSTITUTE(SUBSTITUTE(SUBSTITUTE("type:"&amp;B961,"%","%25"),"~","%7E"),"*","%2A"),"?","%3F"),'Rules'!$G$7:$G$26,0))="km"),INDEX('Rules'!$B$7:$B$26,MATCH(SUBSTITUTE(SUBSTITUTE(SUBSTITUTE(SUBSTITUTE("type:"&amp;B961,"%","%25"),"~","%7E"),"*","%2A"),"?","%3F"),'Rules'!$G$7:$G$26,0)),""))</x:f>
      </x:c>
      <x:c r="I961" s="6" t="str">
        <x:f>IF(AND(NOT(COUNTA(A961:F961)=0),K961=""),ROUND(J961-D961,3),"")</x:f>
      </x:c>
      <x:c r="J961" s="6" t="str">
        <x:f>IF(AND(NOT(COUNTA(A961:F961)=0),K961=""),ROUND(F961+L961,3),"")</x:f>
      </x:c>
      <x:c r="K961" s="5" t="str">
        <x:f>IF(COUNTA(A961:F961)=0,"",IF(A961="","Missing equipment ID",IF(COUNTIFS($N$8:$N$2007,"="&amp;N961)&gt;1,"Duplicate equipment ID",IF(B961="","Missing type",IF(COUNTIFS('Rules'!$G$7:$G$26,"="&amp;(SUBSTITUTE(SUBSTITUTE(SUBSTITUTE(SUBSTITUTE("type:"&amp;B961,"%","%25"),"~","%7E"),"*","%2A"),"?","%3F")))=0,"Unknown type",IF(COUNTIFS('Rules'!$G$7:$G$26,"="&amp;(SUBSTITUTE(SUBSTITUTE(SUBSTITUTE(SUBSTITUTE("type:"&amp;B961,"%","%25"),"~","%7E"),"*","%2A"),"?","%3F")))&gt;1,"Duplicate type",IF(INDEX('Rules'!$F$7:$F$26,MATCH(SUBSTITUTE(SUBSTITUTE(SUBSTITUTE(SUBSTITUTE("type:"&amp;B961,"%","%25"),"~","%7E"),"*","%2A"),"?","%3F"),'Rules'!$G$7:$G$26,0))&lt;&gt;"",INDEX('Rules'!$F$7:$F$26,MATCH(SUBSTITUTE(SUBSTITUTE(SUBSTITUTE(SUBSTITUTE("type:"&amp;B961,"%","%25"),"~","%7E"),"*","%2A"),"?","%3F"),'Rules'!$G$7:$G$26,0)),IF(AND(C961&lt;&gt;"",C961&lt;&gt;INDEX('Rules'!$B$7:$B$26,MATCH(SUBSTITUTE(SUBSTITUTE(SUBSTITUTE(SUBSTITUTE("type:"&amp;B961,"%","%25"),"~","%7E"),"*","%2A"),"?","%3F"),'Rules'!$G$7:$G$26,0))),"Unit mismatch",IF(IF(NOT(ISNUMBER(D961)),TRUE,OR(D961&lt;0,D961&gt;999999999,ROUND(D961,3)&lt;&gt;D961)),"Invalid current reading",IF(AND(E961&lt;&gt;"",IF(NOT(ISNUMBER(E961)),TRUE,OR(E961&lt;0,E961&gt;999999999,ROUND(E961,3)&lt;&gt;E961))),"Invalid previous reading",IF(IF(NOT(ISNUMBER(F961)),TRUE,OR(F961&lt;0,F961&gt;999999999,ROUND(F961,3)&lt;&gt;F961)),"Invalid last service",IF(AND(E961&lt;&gt;"",D961&lt;E961),"Decreased reading",IF(F961&gt;D961,"Last service above current","")))))))))))))</x:f>
      </x:c>
      <x:c r="L961" s="6" t="str">
        <x:f>IF(AND(NOT(COUNTA(A961:F961)=0),K961=""),INDEX('Rules'!$C$7:$C$26,MATCH(SUBSTITUTE(SUBSTITUTE(SUBSTITUTE(SUBSTITUTE("type:"&amp;B961,"%","%25"),"~","%7E"),"*","%2A"),"?","%3F"),'Rules'!$G$7:$G$26,0)),"")</x:f>
      </x:c>
      <x:c r="M961" s="6" t="str">
        <x:f>IF(AND(NOT(COUNTA(A961:F961)=0),K961=""),INDEX('Rules'!$D$7:$D$26,MATCH(SUBSTITUTE(SUBSTITUTE(SUBSTITUTE(SUBSTITUTE("type:"&amp;B961,"%","%25"),"~","%7E"),"*","%2A"),"?","%3F"),'Rules'!$G$7:$G$26,0)),"")</x:f>
      </x:c>
      <x:c r="N961" s="5" t="str">
        <x:f>IF(COUNTA(A961:F961)=0,"",SUBSTITUTE(SUBSTITUTE(SUBSTITUTE(SUBSTITUTE("id:"&amp;A961,"%","%25"),"~","%7E"),"*","%2A"),"?","%3F"))</x:f>
      </x:c>
    </x:row>
    <x:row r="962" ht="22" customHeight="1">
      <x:c r="A962" s="3"/>
      <x:c r="B962" s="3"/>
      <x:c r="C962" s="3"/>
      <x:c r="D962" s="4"/>
      <x:c r="E962" s="4"/>
      <x:c r="F962" s="4"/>
      <x:c r="G962" s="5" t="str">
        <x:f>IF(COUNTA(A962:F962)=0,"",IF(K962&lt;&gt;"","Review",IF(I962&lt;0,"Overdue",IF(I962=0,"Due now",IF(I962&lt;=M962,"Due soon","Not due")))))</x:f>
      </x:c>
      <x:c r="H962" s="5" t="str">
        <x:f>IF(OR(COUNTA(A962:F962)=0,COUNTIFS('Rules'!$G$7:$G$26,"="&amp;(SUBSTITUTE(SUBSTITUTE(SUBSTITUTE(SUBSTITUTE("type:"&amp;B962,"%","%25"),"~","%7E"),"*","%2A"),"?","%3F")))&lt;&gt;1),"",IF(OR(INDEX('Rules'!$B$7:$B$26,MATCH(SUBSTITUTE(SUBSTITUTE(SUBSTITUTE(SUBSTITUTE("type:"&amp;B962,"%","%25"),"~","%7E"),"*","%2A"),"?","%3F"),'Rules'!$G$7:$G$26,0))="hours",INDEX('Rules'!$B$7:$B$26,MATCH(SUBSTITUTE(SUBSTITUTE(SUBSTITUTE(SUBSTITUTE("type:"&amp;B962,"%","%25"),"~","%7E"),"*","%2A"),"?","%3F"),'Rules'!$G$7:$G$26,0))="km"),INDEX('Rules'!$B$7:$B$26,MATCH(SUBSTITUTE(SUBSTITUTE(SUBSTITUTE(SUBSTITUTE("type:"&amp;B962,"%","%25"),"~","%7E"),"*","%2A"),"?","%3F"),'Rules'!$G$7:$G$26,0)),""))</x:f>
      </x:c>
      <x:c r="I962" s="6" t="str">
        <x:f>IF(AND(NOT(COUNTA(A962:F962)=0),K962=""),ROUND(J962-D962,3),"")</x:f>
      </x:c>
      <x:c r="J962" s="6" t="str">
        <x:f>IF(AND(NOT(COUNTA(A962:F962)=0),K962=""),ROUND(F962+L962,3),"")</x:f>
      </x:c>
      <x:c r="K962" s="5" t="str">
        <x:f>IF(COUNTA(A962:F962)=0,"",IF(A962="","Missing equipment ID",IF(COUNTIFS($N$8:$N$2007,"="&amp;N962)&gt;1,"Duplicate equipment ID",IF(B962="","Missing type",IF(COUNTIFS('Rules'!$G$7:$G$26,"="&amp;(SUBSTITUTE(SUBSTITUTE(SUBSTITUTE(SUBSTITUTE("type:"&amp;B962,"%","%25"),"~","%7E"),"*","%2A"),"?","%3F")))=0,"Unknown type",IF(COUNTIFS('Rules'!$G$7:$G$26,"="&amp;(SUBSTITUTE(SUBSTITUTE(SUBSTITUTE(SUBSTITUTE("type:"&amp;B962,"%","%25"),"~","%7E"),"*","%2A"),"?","%3F")))&gt;1,"Duplicate type",IF(INDEX('Rules'!$F$7:$F$26,MATCH(SUBSTITUTE(SUBSTITUTE(SUBSTITUTE(SUBSTITUTE("type:"&amp;B962,"%","%25"),"~","%7E"),"*","%2A"),"?","%3F"),'Rules'!$G$7:$G$26,0))&lt;&gt;"",INDEX('Rules'!$F$7:$F$26,MATCH(SUBSTITUTE(SUBSTITUTE(SUBSTITUTE(SUBSTITUTE("type:"&amp;B962,"%","%25"),"~","%7E"),"*","%2A"),"?","%3F"),'Rules'!$G$7:$G$26,0)),IF(AND(C962&lt;&gt;"",C962&lt;&gt;INDEX('Rules'!$B$7:$B$26,MATCH(SUBSTITUTE(SUBSTITUTE(SUBSTITUTE(SUBSTITUTE("type:"&amp;B962,"%","%25"),"~","%7E"),"*","%2A"),"?","%3F"),'Rules'!$G$7:$G$26,0))),"Unit mismatch",IF(IF(NOT(ISNUMBER(D962)),TRUE,OR(D962&lt;0,D962&gt;999999999,ROUND(D962,3)&lt;&gt;D962)),"Invalid current reading",IF(AND(E962&lt;&gt;"",IF(NOT(ISNUMBER(E962)),TRUE,OR(E962&lt;0,E962&gt;999999999,ROUND(E962,3)&lt;&gt;E962))),"Invalid previous reading",IF(IF(NOT(ISNUMBER(F962)),TRUE,OR(F962&lt;0,F962&gt;999999999,ROUND(F962,3)&lt;&gt;F962)),"Invalid last service",IF(AND(E962&lt;&gt;"",D962&lt;E962),"Decreased reading",IF(F962&gt;D962,"Last service above current","")))))))))))))</x:f>
      </x:c>
      <x:c r="L962" s="6" t="str">
        <x:f>IF(AND(NOT(COUNTA(A962:F962)=0),K962=""),INDEX('Rules'!$C$7:$C$26,MATCH(SUBSTITUTE(SUBSTITUTE(SUBSTITUTE(SUBSTITUTE("type:"&amp;B962,"%","%25"),"~","%7E"),"*","%2A"),"?","%3F"),'Rules'!$G$7:$G$26,0)),"")</x:f>
      </x:c>
      <x:c r="M962" s="6" t="str">
        <x:f>IF(AND(NOT(COUNTA(A962:F962)=0),K962=""),INDEX('Rules'!$D$7:$D$26,MATCH(SUBSTITUTE(SUBSTITUTE(SUBSTITUTE(SUBSTITUTE("type:"&amp;B962,"%","%25"),"~","%7E"),"*","%2A"),"?","%3F"),'Rules'!$G$7:$G$26,0)),"")</x:f>
      </x:c>
      <x:c r="N962" s="5" t="str">
        <x:f>IF(COUNTA(A962:F962)=0,"",SUBSTITUTE(SUBSTITUTE(SUBSTITUTE(SUBSTITUTE("id:"&amp;A962,"%","%25"),"~","%7E"),"*","%2A"),"?","%3F"))</x:f>
      </x:c>
    </x:row>
    <x:row r="963" ht="22" customHeight="1">
      <x:c r="A963" s="3"/>
      <x:c r="B963" s="3"/>
      <x:c r="C963" s="3"/>
      <x:c r="D963" s="4"/>
      <x:c r="E963" s="4"/>
      <x:c r="F963" s="4"/>
      <x:c r="G963" s="5" t="str">
        <x:f>IF(COUNTA(A963:F963)=0,"",IF(K963&lt;&gt;"","Review",IF(I963&lt;0,"Overdue",IF(I963=0,"Due now",IF(I963&lt;=M963,"Due soon","Not due")))))</x:f>
      </x:c>
      <x:c r="H963" s="5" t="str">
        <x:f>IF(OR(COUNTA(A963:F963)=0,COUNTIFS('Rules'!$G$7:$G$26,"="&amp;(SUBSTITUTE(SUBSTITUTE(SUBSTITUTE(SUBSTITUTE("type:"&amp;B963,"%","%25"),"~","%7E"),"*","%2A"),"?","%3F")))&lt;&gt;1),"",IF(OR(INDEX('Rules'!$B$7:$B$26,MATCH(SUBSTITUTE(SUBSTITUTE(SUBSTITUTE(SUBSTITUTE("type:"&amp;B963,"%","%25"),"~","%7E"),"*","%2A"),"?","%3F"),'Rules'!$G$7:$G$26,0))="hours",INDEX('Rules'!$B$7:$B$26,MATCH(SUBSTITUTE(SUBSTITUTE(SUBSTITUTE(SUBSTITUTE("type:"&amp;B963,"%","%25"),"~","%7E"),"*","%2A"),"?","%3F"),'Rules'!$G$7:$G$26,0))="km"),INDEX('Rules'!$B$7:$B$26,MATCH(SUBSTITUTE(SUBSTITUTE(SUBSTITUTE(SUBSTITUTE("type:"&amp;B963,"%","%25"),"~","%7E"),"*","%2A"),"?","%3F"),'Rules'!$G$7:$G$26,0)),""))</x:f>
      </x:c>
      <x:c r="I963" s="6" t="str">
        <x:f>IF(AND(NOT(COUNTA(A963:F963)=0),K963=""),ROUND(J963-D963,3),"")</x:f>
      </x:c>
      <x:c r="J963" s="6" t="str">
        <x:f>IF(AND(NOT(COUNTA(A963:F963)=0),K963=""),ROUND(F963+L963,3),"")</x:f>
      </x:c>
      <x:c r="K963" s="5" t="str">
        <x:f>IF(COUNTA(A963:F963)=0,"",IF(A963="","Missing equipment ID",IF(COUNTIFS($N$8:$N$2007,"="&amp;N963)&gt;1,"Duplicate equipment ID",IF(B963="","Missing type",IF(COUNTIFS('Rules'!$G$7:$G$26,"="&amp;(SUBSTITUTE(SUBSTITUTE(SUBSTITUTE(SUBSTITUTE("type:"&amp;B963,"%","%25"),"~","%7E"),"*","%2A"),"?","%3F")))=0,"Unknown type",IF(COUNTIFS('Rules'!$G$7:$G$26,"="&amp;(SUBSTITUTE(SUBSTITUTE(SUBSTITUTE(SUBSTITUTE("type:"&amp;B963,"%","%25"),"~","%7E"),"*","%2A"),"?","%3F")))&gt;1,"Duplicate type",IF(INDEX('Rules'!$F$7:$F$26,MATCH(SUBSTITUTE(SUBSTITUTE(SUBSTITUTE(SUBSTITUTE("type:"&amp;B963,"%","%25"),"~","%7E"),"*","%2A"),"?","%3F"),'Rules'!$G$7:$G$26,0))&lt;&gt;"",INDEX('Rules'!$F$7:$F$26,MATCH(SUBSTITUTE(SUBSTITUTE(SUBSTITUTE(SUBSTITUTE("type:"&amp;B963,"%","%25"),"~","%7E"),"*","%2A"),"?","%3F"),'Rules'!$G$7:$G$26,0)),IF(AND(C963&lt;&gt;"",C963&lt;&gt;INDEX('Rules'!$B$7:$B$26,MATCH(SUBSTITUTE(SUBSTITUTE(SUBSTITUTE(SUBSTITUTE("type:"&amp;B963,"%","%25"),"~","%7E"),"*","%2A"),"?","%3F"),'Rules'!$G$7:$G$26,0))),"Unit mismatch",IF(IF(NOT(ISNUMBER(D963)),TRUE,OR(D963&lt;0,D963&gt;999999999,ROUND(D963,3)&lt;&gt;D963)),"Invalid current reading",IF(AND(E963&lt;&gt;"",IF(NOT(ISNUMBER(E963)),TRUE,OR(E963&lt;0,E963&gt;999999999,ROUND(E963,3)&lt;&gt;E963))),"Invalid previous reading",IF(IF(NOT(ISNUMBER(F963)),TRUE,OR(F963&lt;0,F963&gt;999999999,ROUND(F963,3)&lt;&gt;F963)),"Invalid last service",IF(AND(E963&lt;&gt;"",D963&lt;E963),"Decreased reading",IF(F963&gt;D963,"Last service above current","")))))))))))))</x:f>
      </x:c>
      <x:c r="L963" s="6" t="str">
        <x:f>IF(AND(NOT(COUNTA(A963:F963)=0),K963=""),INDEX('Rules'!$C$7:$C$26,MATCH(SUBSTITUTE(SUBSTITUTE(SUBSTITUTE(SUBSTITUTE("type:"&amp;B963,"%","%25"),"~","%7E"),"*","%2A"),"?","%3F"),'Rules'!$G$7:$G$26,0)),"")</x:f>
      </x:c>
      <x:c r="M963" s="6" t="str">
        <x:f>IF(AND(NOT(COUNTA(A963:F963)=0),K963=""),INDEX('Rules'!$D$7:$D$26,MATCH(SUBSTITUTE(SUBSTITUTE(SUBSTITUTE(SUBSTITUTE("type:"&amp;B963,"%","%25"),"~","%7E"),"*","%2A"),"?","%3F"),'Rules'!$G$7:$G$26,0)),"")</x:f>
      </x:c>
      <x:c r="N963" s="5" t="str">
        <x:f>IF(COUNTA(A963:F963)=0,"",SUBSTITUTE(SUBSTITUTE(SUBSTITUTE(SUBSTITUTE("id:"&amp;A963,"%","%25"),"~","%7E"),"*","%2A"),"?","%3F"))</x:f>
      </x:c>
    </x:row>
    <x:row r="964" ht="22" customHeight="1">
      <x:c r="A964" s="3"/>
      <x:c r="B964" s="3"/>
      <x:c r="C964" s="3"/>
      <x:c r="D964" s="4"/>
      <x:c r="E964" s="4"/>
      <x:c r="F964" s="4"/>
      <x:c r="G964" s="5" t="str">
        <x:f>IF(COUNTA(A964:F964)=0,"",IF(K964&lt;&gt;"","Review",IF(I964&lt;0,"Overdue",IF(I964=0,"Due now",IF(I964&lt;=M964,"Due soon","Not due")))))</x:f>
      </x:c>
      <x:c r="H964" s="5" t="str">
        <x:f>IF(OR(COUNTA(A964:F964)=0,COUNTIFS('Rules'!$G$7:$G$26,"="&amp;(SUBSTITUTE(SUBSTITUTE(SUBSTITUTE(SUBSTITUTE("type:"&amp;B964,"%","%25"),"~","%7E"),"*","%2A"),"?","%3F")))&lt;&gt;1),"",IF(OR(INDEX('Rules'!$B$7:$B$26,MATCH(SUBSTITUTE(SUBSTITUTE(SUBSTITUTE(SUBSTITUTE("type:"&amp;B964,"%","%25"),"~","%7E"),"*","%2A"),"?","%3F"),'Rules'!$G$7:$G$26,0))="hours",INDEX('Rules'!$B$7:$B$26,MATCH(SUBSTITUTE(SUBSTITUTE(SUBSTITUTE(SUBSTITUTE("type:"&amp;B964,"%","%25"),"~","%7E"),"*","%2A"),"?","%3F"),'Rules'!$G$7:$G$26,0))="km"),INDEX('Rules'!$B$7:$B$26,MATCH(SUBSTITUTE(SUBSTITUTE(SUBSTITUTE(SUBSTITUTE("type:"&amp;B964,"%","%25"),"~","%7E"),"*","%2A"),"?","%3F"),'Rules'!$G$7:$G$26,0)),""))</x:f>
      </x:c>
      <x:c r="I964" s="6" t="str">
        <x:f>IF(AND(NOT(COUNTA(A964:F964)=0),K964=""),ROUND(J964-D964,3),"")</x:f>
      </x:c>
      <x:c r="J964" s="6" t="str">
        <x:f>IF(AND(NOT(COUNTA(A964:F964)=0),K964=""),ROUND(F964+L964,3),"")</x:f>
      </x:c>
      <x:c r="K964" s="5" t="str">
        <x:f>IF(COUNTA(A964:F964)=0,"",IF(A964="","Missing equipment ID",IF(COUNTIFS($N$8:$N$2007,"="&amp;N964)&gt;1,"Duplicate equipment ID",IF(B964="","Missing type",IF(COUNTIFS('Rules'!$G$7:$G$26,"="&amp;(SUBSTITUTE(SUBSTITUTE(SUBSTITUTE(SUBSTITUTE("type:"&amp;B964,"%","%25"),"~","%7E"),"*","%2A"),"?","%3F")))=0,"Unknown type",IF(COUNTIFS('Rules'!$G$7:$G$26,"="&amp;(SUBSTITUTE(SUBSTITUTE(SUBSTITUTE(SUBSTITUTE("type:"&amp;B964,"%","%25"),"~","%7E"),"*","%2A"),"?","%3F")))&gt;1,"Duplicate type",IF(INDEX('Rules'!$F$7:$F$26,MATCH(SUBSTITUTE(SUBSTITUTE(SUBSTITUTE(SUBSTITUTE("type:"&amp;B964,"%","%25"),"~","%7E"),"*","%2A"),"?","%3F"),'Rules'!$G$7:$G$26,0))&lt;&gt;"",INDEX('Rules'!$F$7:$F$26,MATCH(SUBSTITUTE(SUBSTITUTE(SUBSTITUTE(SUBSTITUTE("type:"&amp;B964,"%","%25"),"~","%7E"),"*","%2A"),"?","%3F"),'Rules'!$G$7:$G$26,0)),IF(AND(C964&lt;&gt;"",C964&lt;&gt;INDEX('Rules'!$B$7:$B$26,MATCH(SUBSTITUTE(SUBSTITUTE(SUBSTITUTE(SUBSTITUTE("type:"&amp;B964,"%","%25"),"~","%7E"),"*","%2A"),"?","%3F"),'Rules'!$G$7:$G$26,0))),"Unit mismatch",IF(IF(NOT(ISNUMBER(D964)),TRUE,OR(D964&lt;0,D964&gt;999999999,ROUND(D964,3)&lt;&gt;D964)),"Invalid current reading",IF(AND(E964&lt;&gt;"",IF(NOT(ISNUMBER(E964)),TRUE,OR(E964&lt;0,E964&gt;999999999,ROUND(E964,3)&lt;&gt;E964))),"Invalid previous reading",IF(IF(NOT(ISNUMBER(F964)),TRUE,OR(F964&lt;0,F964&gt;999999999,ROUND(F964,3)&lt;&gt;F964)),"Invalid last service",IF(AND(E964&lt;&gt;"",D964&lt;E964),"Decreased reading",IF(F964&gt;D964,"Last service above current","")))))))))))))</x:f>
      </x:c>
      <x:c r="L964" s="6" t="str">
        <x:f>IF(AND(NOT(COUNTA(A964:F964)=0),K964=""),INDEX('Rules'!$C$7:$C$26,MATCH(SUBSTITUTE(SUBSTITUTE(SUBSTITUTE(SUBSTITUTE("type:"&amp;B964,"%","%25"),"~","%7E"),"*","%2A"),"?","%3F"),'Rules'!$G$7:$G$26,0)),"")</x:f>
      </x:c>
      <x:c r="M964" s="6" t="str">
        <x:f>IF(AND(NOT(COUNTA(A964:F964)=0),K964=""),INDEX('Rules'!$D$7:$D$26,MATCH(SUBSTITUTE(SUBSTITUTE(SUBSTITUTE(SUBSTITUTE("type:"&amp;B964,"%","%25"),"~","%7E"),"*","%2A"),"?","%3F"),'Rules'!$G$7:$G$26,0)),"")</x:f>
      </x:c>
      <x:c r="N964" s="5" t="str">
        <x:f>IF(COUNTA(A964:F964)=0,"",SUBSTITUTE(SUBSTITUTE(SUBSTITUTE(SUBSTITUTE("id:"&amp;A964,"%","%25"),"~","%7E"),"*","%2A"),"?","%3F"))</x:f>
      </x:c>
    </x:row>
    <x:row r="965" ht="22" customHeight="1">
      <x:c r="A965" s="3"/>
      <x:c r="B965" s="3"/>
      <x:c r="C965" s="3"/>
      <x:c r="D965" s="4"/>
      <x:c r="E965" s="4"/>
      <x:c r="F965" s="4"/>
      <x:c r="G965" s="5" t="str">
        <x:f>IF(COUNTA(A965:F965)=0,"",IF(K965&lt;&gt;"","Review",IF(I965&lt;0,"Overdue",IF(I965=0,"Due now",IF(I965&lt;=M965,"Due soon","Not due")))))</x:f>
      </x:c>
      <x:c r="H965" s="5" t="str">
        <x:f>IF(OR(COUNTA(A965:F965)=0,COUNTIFS('Rules'!$G$7:$G$26,"="&amp;(SUBSTITUTE(SUBSTITUTE(SUBSTITUTE(SUBSTITUTE("type:"&amp;B965,"%","%25"),"~","%7E"),"*","%2A"),"?","%3F")))&lt;&gt;1),"",IF(OR(INDEX('Rules'!$B$7:$B$26,MATCH(SUBSTITUTE(SUBSTITUTE(SUBSTITUTE(SUBSTITUTE("type:"&amp;B965,"%","%25"),"~","%7E"),"*","%2A"),"?","%3F"),'Rules'!$G$7:$G$26,0))="hours",INDEX('Rules'!$B$7:$B$26,MATCH(SUBSTITUTE(SUBSTITUTE(SUBSTITUTE(SUBSTITUTE("type:"&amp;B965,"%","%25"),"~","%7E"),"*","%2A"),"?","%3F"),'Rules'!$G$7:$G$26,0))="km"),INDEX('Rules'!$B$7:$B$26,MATCH(SUBSTITUTE(SUBSTITUTE(SUBSTITUTE(SUBSTITUTE("type:"&amp;B965,"%","%25"),"~","%7E"),"*","%2A"),"?","%3F"),'Rules'!$G$7:$G$26,0)),""))</x:f>
      </x:c>
      <x:c r="I965" s="6" t="str">
        <x:f>IF(AND(NOT(COUNTA(A965:F965)=0),K965=""),ROUND(J965-D965,3),"")</x:f>
      </x:c>
      <x:c r="J965" s="6" t="str">
        <x:f>IF(AND(NOT(COUNTA(A965:F965)=0),K965=""),ROUND(F965+L965,3),"")</x:f>
      </x:c>
      <x:c r="K965" s="5" t="str">
        <x:f>IF(COUNTA(A965:F965)=0,"",IF(A965="","Missing equipment ID",IF(COUNTIFS($N$8:$N$2007,"="&amp;N965)&gt;1,"Duplicate equipment ID",IF(B965="","Missing type",IF(COUNTIFS('Rules'!$G$7:$G$26,"="&amp;(SUBSTITUTE(SUBSTITUTE(SUBSTITUTE(SUBSTITUTE("type:"&amp;B965,"%","%25"),"~","%7E"),"*","%2A"),"?","%3F")))=0,"Unknown type",IF(COUNTIFS('Rules'!$G$7:$G$26,"="&amp;(SUBSTITUTE(SUBSTITUTE(SUBSTITUTE(SUBSTITUTE("type:"&amp;B965,"%","%25"),"~","%7E"),"*","%2A"),"?","%3F")))&gt;1,"Duplicate type",IF(INDEX('Rules'!$F$7:$F$26,MATCH(SUBSTITUTE(SUBSTITUTE(SUBSTITUTE(SUBSTITUTE("type:"&amp;B965,"%","%25"),"~","%7E"),"*","%2A"),"?","%3F"),'Rules'!$G$7:$G$26,0))&lt;&gt;"",INDEX('Rules'!$F$7:$F$26,MATCH(SUBSTITUTE(SUBSTITUTE(SUBSTITUTE(SUBSTITUTE("type:"&amp;B965,"%","%25"),"~","%7E"),"*","%2A"),"?","%3F"),'Rules'!$G$7:$G$26,0)),IF(AND(C965&lt;&gt;"",C965&lt;&gt;INDEX('Rules'!$B$7:$B$26,MATCH(SUBSTITUTE(SUBSTITUTE(SUBSTITUTE(SUBSTITUTE("type:"&amp;B965,"%","%25"),"~","%7E"),"*","%2A"),"?","%3F"),'Rules'!$G$7:$G$26,0))),"Unit mismatch",IF(IF(NOT(ISNUMBER(D965)),TRUE,OR(D965&lt;0,D965&gt;999999999,ROUND(D965,3)&lt;&gt;D965)),"Invalid current reading",IF(AND(E965&lt;&gt;"",IF(NOT(ISNUMBER(E965)),TRUE,OR(E965&lt;0,E965&gt;999999999,ROUND(E965,3)&lt;&gt;E965))),"Invalid previous reading",IF(IF(NOT(ISNUMBER(F965)),TRUE,OR(F965&lt;0,F965&gt;999999999,ROUND(F965,3)&lt;&gt;F965)),"Invalid last service",IF(AND(E965&lt;&gt;"",D965&lt;E965),"Decreased reading",IF(F965&gt;D965,"Last service above current","")))))))))))))</x:f>
      </x:c>
      <x:c r="L965" s="6" t="str">
        <x:f>IF(AND(NOT(COUNTA(A965:F965)=0),K965=""),INDEX('Rules'!$C$7:$C$26,MATCH(SUBSTITUTE(SUBSTITUTE(SUBSTITUTE(SUBSTITUTE("type:"&amp;B965,"%","%25"),"~","%7E"),"*","%2A"),"?","%3F"),'Rules'!$G$7:$G$26,0)),"")</x:f>
      </x:c>
      <x:c r="M965" s="6" t="str">
        <x:f>IF(AND(NOT(COUNTA(A965:F965)=0),K965=""),INDEX('Rules'!$D$7:$D$26,MATCH(SUBSTITUTE(SUBSTITUTE(SUBSTITUTE(SUBSTITUTE("type:"&amp;B965,"%","%25"),"~","%7E"),"*","%2A"),"?","%3F"),'Rules'!$G$7:$G$26,0)),"")</x:f>
      </x:c>
      <x:c r="N965" s="5" t="str">
        <x:f>IF(COUNTA(A965:F965)=0,"",SUBSTITUTE(SUBSTITUTE(SUBSTITUTE(SUBSTITUTE("id:"&amp;A965,"%","%25"),"~","%7E"),"*","%2A"),"?","%3F"))</x:f>
      </x:c>
    </x:row>
    <x:row r="966" ht="22" customHeight="1">
      <x:c r="A966" s="3"/>
      <x:c r="B966" s="3"/>
      <x:c r="C966" s="3"/>
      <x:c r="D966" s="4"/>
      <x:c r="E966" s="4"/>
      <x:c r="F966" s="4"/>
      <x:c r="G966" s="5" t="str">
        <x:f>IF(COUNTA(A966:F966)=0,"",IF(K966&lt;&gt;"","Review",IF(I966&lt;0,"Overdue",IF(I966=0,"Due now",IF(I966&lt;=M966,"Due soon","Not due")))))</x:f>
      </x:c>
      <x:c r="H966" s="5" t="str">
        <x:f>IF(OR(COUNTA(A966:F966)=0,COUNTIFS('Rules'!$G$7:$G$26,"="&amp;(SUBSTITUTE(SUBSTITUTE(SUBSTITUTE(SUBSTITUTE("type:"&amp;B966,"%","%25"),"~","%7E"),"*","%2A"),"?","%3F")))&lt;&gt;1),"",IF(OR(INDEX('Rules'!$B$7:$B$26,MATCH(SUBSTITUTE(SUBSTITUTE(SUBSTITUTE(SUBSTITUTE("type:"&amp;B966,"%","%25"),"~","%7E"),"*","%2A"),"?","%3F"),'Rules'!$G$7:$G$26,0))="hours",INDEX('Rules'!$B$7:$B$26,MATCH(SUBSTITUTE(SUBSTITUTE(SUBSTITUTE(SUBSTITUTE("type:"&amp;B966,"%","%25"),"~","%7E"),"*","%2A"),"?","%3F"),'Rules'!$G$7:$G$26,0))="km"),INDEX('Rules'!$B$7:$B$26,MATCH(SUBSTITUTE(SUBSTITUTE(SUBSTITUTE(SUBSTITUTE("type:"&amp;B966,"%","%25"),"~","%7E"),"*","%2A"),"?","%3F"),'Rules'!$G$7:$G$26,0)),""))</x:f>
      </x:c>
      <x:c r="I966" s="6" t="str">
        <x:f>IF(AND(NOT(COUNTA(A966:F966)=0),K966=""),ROUND(J966-D966,3),"")</x:f>
      </x:c>
      <x:c r="J966" s="6" t="str">
        <x:f>IF(AND(NOT(COUNTA(A966:F966)=0),K966=""),ROUND(F966+L966,3),"")</x:f>
      </x:c>
      <x:c r="K966" s="5" t="str">
        <x:f>IF(COUNTA(A966:F966)=0,"",IF(A966="","Missing equipment ID",IF(COUNTIFS($N$8:$N$2007,"="&amp;N966)&gt;1,"Duplicate equipment ID",IF(B966="","Missing type",IF(COUNTIFS('Rules'!$G$7:$G$26,"="&amp;(SUBSTITUTE(SUBSTITUTE(SUBSTITUTE(SUBSTITUTE("type:"&amp;B966,"%","%25"),"~","%7E"),"*","%2A"),"?","%3F")))=0,"Unknown type",IF(COUNTIFS('Rules'!$G$7:$G$26,"="&amp;(SUBSTITUTE(SUBSTITUTE(SUBSTITUTE(SUBSTITUTE("type:"&amp;B966,"%","%25"),"~","%7E"),"*","%2A"),"?","%3F")))&gt;1,"Duplicate type",IF(INDEX('Rules'!$F$7:$F$26,MATCH(SUBSTITUTE(SUBSTITUTE(SUBSTITUTE(SUBSTITUTE("type:"&amp;B966,"%","%25"),"~","%7E"),"*","%2A"),"?","%3F"),'Rules'!$G$7:$G$26,0))&lt;&gt;"",INDEX('Rules'!$F$7:$F$26,MATCH(SUBSTITUTE(SUBSTITUTE(SUBSTITUTE(SUBSTITUTE("type:"&amp;B966,"%","%25"),"~","%7E"),"*","%2A"),"?","%3F"),'Rules'!$G$7:$G$26,0)),IF(AND(C966&lt;&gt;"",C966&lt;&gt;INDEX('Rules'!$B$7:$B$26,MATCH(SUBSTITUTE(SUBSTITUTE(SUBSTITUTE(SUBSTITUTE("type:"&amp;B966,"%","%25"),"~","%7E"),"*","%2A"),"?","%3F"),'Rules'!$G$7:$G$26,0))),"Unit mismatch",IF(IF(NOT(ISNUMBER(D966)),TRUE,OR(D966&lt;0,D966&gt;999999999,ROUND(D966,3)&lt;&gt;D966)),"Invalid current reading",IF(AND(E966&lt;&gt;"",IF(NOT(ISNUMBER(E966)),TRUE,OR(E966&lt;0,E966&gt;999999999,ROUND(E966,3)&lt;&gt;E966))),"Invalid previous reading",IF(IF(NOT(ISNUMBER(F966)),TRUE,OR(F966&lt;0,F966&gt;999999999,ROUND(F966,3)&lt;&gt;F966)),"Invalid last service",IF(AND(E966&lt;&gt;"",D966&lt;E966),"Decreased reading",IF(F966&gt;D966,"Last service above current","")))))))))))))</x:f>
      </x:c>
      <x:c r="L966" s="6" t="str">
        <x:f>IF(AND(NOT(COUNTA(A966:F966)=0),K966=""),INDEX('Rules'!$C$7:$C$26,MATCH(SUBSTITUTE(SUBSTITUTE(SUBSTITUTE(SUBSTITUTE("type:"&amp;B966,"%","%25"),"~","%7E"),"*","%2A"),"?","%3F"),'Rules'!$G$7:$G$26,0)),"")</x:f>
      </x:c>
      <x:c r="M966" s="6" t="str">
        <x:f>IF(AND(NOT(COUNTA(A966:F966)=0),K966=""),INDEX('Rules'!$D$7:$D$26,MATCH(SUBSTITUTE(SUBSTITUTE(SUBSTITUTE(SUBSTITUTE("type:"&amp;B966,"%","%25"),"~","%7E"),"*","%2A"),"?","%3F"),'Rules'!$G$7:$G$26,0)),"")</x:f>
      </x:c>
      <x:c r="N966" s="5" t="str">
        <x:f>IF(COUNTA(A966:F966)=0,"",SUBSTITUTE(SUBSTITUTE(SUBSTITUTE(SUBSTITUTE("id:"&amp;A966,"%","%25"),"~","%7E"),"*","%2A"),"?","%3F"))</x:f>
      </x:c>
    </x:row>
    <x:row r="967" ht="22" customHeight="1">
      <x:c r="A967" s="3"/>
      <x:c r="B967" s="3"/>
      <x:c r="C967" s="3"/>
      <x:c r="D967" s="4"/>
      <x:c r="E967" s="4"/>
      <x:c r="F967" s="4"/>
      <x:c r="G967" s="5" t="str">
        <x:f>IF(COUNTA(A967:F967)=0,"",IF(K967&lt;&gt;"","Review",IF(I967&lt;0,"Overdue",IF(I967=0,"Due now",IF(I967&lt;=M967,"Due soon","Not due")))))</x:f>
      </x:c>
      <x:c r="H967" s="5" t="str">
        <x:f>IF(OR(COUNTA(A967:F967)=0,COUNTIFS('Rules'!$G$7:$G$26,"="&amp;(SUBSTITUTE(SUBSTITUTE(SUBSTITUTE(SUBSTITUTE("type:"&amp;B967,"%","%25"),"~","%7E"),"*","%2A"),"?","%3F")))&lt;&gt;1),"",IF(OR(INDEX('Rules'!$B$7:$B$26,MATCH(SUBSTITUTE(SUBSTITUTE(SUBSTITUTE(SUBSTITUTE("type:"&amp;B967,"%","%25"),"~","%7E"),"*","%2A"),"?","%3F"),'Rules'!$G$7:$G$26,0))="hours",INDEX('Rules'!$B$7:$B$26,MATCH(SUBSTITUTE(SUBSTITUTE(SUBSTITUTE(SUBSTITUTE("type:"&amp;B967,"%","%25"),"~","%7E"),"*","%2A"),"?","%3F"),'Rules'!$G$7:$G$26,0))="km"),INDEX('Rules'!$B$7:$B$26,MATCH(SUBSTITUTE(SUBSTITUTE(SUBSTITUTE(SUBSTITUTE("type:"&amp;B967,"%","%25"),"~","%7E"),"*","%2A"),"?","%3F"),'Rules'!$G$7:$G$26,0)),""))</x:f>
      </x:c>
      <x:c r="I967" s="6" t="str">
        <x:f>IF(AND(NOT(COUNTA(A967:F967)=0),K967=""),ROUND(J967-D967,3),"")</x:f>
      </x:c>
      <x:c r="J967" s="6" t="str">
        <x:f>IF(AND(NOT(COUNTA(A967:F967)=0),K967=""),ROUND(F967+L967,3),"")</x:f>
      </x:c>
      <x:c r="K967" s="5" t="str">
        <x:f>IF(COUNTA(A967:F967)=0,"",IF(A967="","Missing equipment ID",IF(COUNTIFS($N$8:$N$2007,"="&amp;N967)&gt;1,"Duplicate equipment ID",IF(B967="","Missing type",IF(COUNTIFS('Rules'!$G$7:$G$26,"="&amp;(SUBSTITUTE(SUBSTITUTE(SUBSTITUTE(SUBSTITUTE("type:"&amp;B967,"%","%25"),"~","%7E"),"*","%2A"),"?","%3F")))=0,"Unknown type",IF(COUNTIFS('Rules'!$G$7:$G$26,"="&amp;(SUBSTITUTE(SUBSTITUTE(SUBSTITUTE(SUBSTITUTE("type:"&amp;B967,"%","%25"),"~","%7E"),"*","%2A"),"?","%3F")))&gt;1,"Duplicate type",IF(INDEX('Rules'!$F$7:$F$26,MATCH(SUBSTITUTE(SUBSTITUTE(SUBSTITUTE(SUBSTITUTE("type:"&amp;B967,"%","%25"),"~","%7E"),"*","%2A"),"?","%3F"),'Rules'!$G$7:$G$26,0))&lt;&gt;"",INDEX('Rules'!$F$7:$F$26,MATCH(SUBSTITUTE(SUBSTITUTE(SUBSTITUTE(SUBSTITUTE("type:"&amp;B967,"%","%25"),"~","%7E"),"*","%2A"),"?","%3F"),'Rules'!$G$7:$G$26,0)),IF(AND(C967&lt;&gt;"",C967&lt;&gt;INDEX('Rules'!$B$7:$B$26,MATCH(SUBSTITUTE(SUBSTITUTE(SUBSTITUTE(SUBSTITUTE("type:"&amp;B967,"%","%25"),"~","%7E"),"*","%2A"),"?","%3F"),'Rules'!$G$7:$G$26,0))),"Unit mismatch",IF(IF(NOT(ISNUMBER(D967)),TRUE,OR(D967&lt;0,D967&gt;999999999,ROUND(D967,3)&lt;&gt;D967)),"Invalid current reading",IF(AND(E967&lt;&gt;"",IF(NOT(ISNUMBER(E967)),TRUE,OR(E967&lt;0,E967&gt;999999999,ROUND(E967,3)&lt;&gt;E967))),"Invalid previous reading",IF(IF(NOT(ISNUMBER(F967)),TRUE,OR(F967&lt;0,F967&gt;999999999,ROUND(F967,3)&lt;&gt;F967)),"Invalid last service",IF(AND(E967&lt;&gt;"",D967&lt;E967),"Decreased reading",IF(F967&gt;D967,"Last service above current","")))))))))))))</x:f>
      </x:c>
      <x:c r="L967" s="6" t="str">
        <x:f>IF(AND(NOT(COUNTA(A967:F967)=0),K967=""),INDEX('Rules'!$C$7:$C$26,MATCH(SUBSTITUTE(SUBSTITUTE(SUBSTITUTE(SUBSTITUTE("type:"&amp;B967,"%","%25"),"~","%7E"),"*","%2A"),"?","%3F"),'Rules'!$G$7:$G$26,0)),"")</x:f>
      </x:c>
      <x:c r="M967" s="6" t="str">
        <x:f>IF(AND(NOT(COUNTA(A967:F967)=0),K967=""),INDEX('Rules'!$D$7:$D$26,MATCH(SUBSTITUTE(SUBSTITUTE(SUBSTITUTE(SUBSTITUTE("type:"&amp;B967,"%","%25"),"~","%7E"),"*","%2A"),"?","%3F"),'Rules'!$G$7:$G$26,0)),"")</x:f>
      </x:c>
      <x:c r="N967" s="5" t="str">
        <x:f>IF(COUNTA(A967:F967)=0,"",SUBSTITUTE(SUBSTITUTE(SUBSTITUTE(SUBSTITUTE("id:"&amp;A967,"%","%25"),"~","%7E"),"*","%2A"),"?","%3F"))</x:f>
      </x:c>
    </x:row>
    <x:row r="968" ht="22" customHeight="1">
      <x:c r="A968" s="3"/>
      <x:c r="B968" s="3"/>
      <x:c r="C968" s="3"/>
      <x:c r="D968" s="4"/>
      <x:c r="E968" s="4"/>
      <x:c r="F968" s="4"/>
      <x:c r="G968" s="5" t="str">
        <x:f>IF(COUNTA(A968:F968)=0,"",IF(K968&lt;&gt;"","Review",IF(I968&lt;0,"Overdue",IF(I968=0,"Due now",IF(I968&lt;=M968,"Due soon","Not due")))))</x:f>
      </x:c>
      <x:c r="H968" s="5" t="str">
        <x:f>IF(OR(COUNTA(A968:F968)=0,COUNTIFS('Rules'!$G$7:$G$26,"="&amp;(SUBSTITUTE(SUBSTITUTE(SUBSTITUTE(SUBSTITUTE("type:"&amp;B968,"%","%25"),"~","%7E"),"*","%2A"),"?","%3F")))&lt;&gt;1),"",IF(OR(INDEX('Rules'!$B$7:$B$26,MATCH(SUBSTITUTE(SUBSTITUTE(SUBSTITUTE(SUBSTITUTE("type:"&amp;B968,"%","%25"),"~","%7E"),"*","%2A"),"?","%3F"),'Rules'!$G$7:$G$26,0))="hours",INDEX('Rules'!$B$7:$B$26,MATCH(SUBSTITUTE(SUBSTITUTE(SUBSTITUTE(SUBSTITUTE("type:"&amp;B968,"%","%25"),"~","%7E"),"*","%2A"),"?","%3F"),'Rules'!$G$7:$G$26,0))="km"),INDEX('Rules'!$B$7:$B$26,MATCH(SUBSTITUTE(SUBSTITUTE(SUBSTITUTE(SUBSTITUTE("type:"&amp;B968,"%","%25"),"~","%7E"),"*","%2A"),"?","%3F"),'Rules'!$G$7:$G$26,0)),""))</x:f>
      </x:c>
      <x:c r="I968" s="6" t="str">
        <x:f>IF(AND(NOT(COUNTA(A968:F968)=0),K968=""),ROUND(J968-D968,3),"")</x:f>
      </x:c>
      <x:c r="J968" s="6" t="str">
        <x:f>IF(AND(NOT(COUNTA(A968:F968)=0),K968=""),ROUND(F968+L968,3),"")</x:f>
      </x:c>
      <x:c r="K968" s="5" t="str">
        <x:f>IF(COUNTA(A968:F968)=0,"",IF(A968="","Missing equipment ID",IF(COUNTIFS($N$8:$N$2007,"="&amp;N968)&gt;1,"Duplicate equipment ID",IF(B968="","Missing type",IF(COUNTIFS('Rules'!$G$7:$G$26,"="&amp;(SUBSTITUTE(SUBSTITUTE(SUBSTITUTE(SUBSTITUTE("type:"&amp;B968,"%","%25"),"~","%7E"),"*","%2A"),"?","%3F")))=0,"Unknown type",IF(COUNTIFS('Rules'!$G$7:$G$26,"="&amp;(SUBSTITUTE(SUBSTITUTE(SUBSTITUTE(SUBSTITUTE("type:"&amp;B968,"%","%25"),"~","%7E"),"*","%2A"),"?","%3F")))&gt;1,"Duplicate type",IF(INDEX('Rules'!$F$7:$F$26,MATCH(SUBSTITUTE(SUBSTITUTE(SUBSTITUTE(SUBSTITUTE("type:"&amp;B968,"%","%25"),"~","%7E"),"*","%2A"),"?","%3F"),'Rules'!$G$7:$G$26,0))&lt;&gt;"",INDEX('Rules'!$F$7:$F$26,MATCH(SUBSTITUTE(SUBSTITUTE(SUBSTITUTE(SUBSTITUTE("type:"&amp;B968,"%","%25"),"~","%7E"),"*","%2A"),"?","%3F"),'Rules'!$G$7:$G$26,0)),IF(AND(C968&lt;&gt;"",C968&lt;&gt;INDEX('Rules'!$B$7:$B$26,MATCH(SUBSTITUTE(SUBSTITUTE(SUBSTITUTE(SUBSTITUTE("type:"&amp;B968,"%","%25"),"~","%7E"),"*","%2A"),"?","%3F"),'Rules'!$G$7:$G$26,0))),"Unit mismatch",IF(IF(NOT(ISNUMBER(D968)),TRUE,OR(D968&lt;0,D968&gt;999999999,ROUND(D968,3)&lt;&gt;D968)),"Invalid current reading",IF(AND(E968&lt;&gt;"",IF(NOT(ISNUMBER(E968)),TRUE,OR(E968&lt;0,E968&gt;999999999,ROUND(E968,3)&lt;&gt;E968))),"Invalid previous reading",IF(IF(NOT(ISNUMBER(F968)),TRUE,OR(F968&lt;0,F968&gt;999999999,ROUND(F968,3)&lt;&gt;F968)),"Invalid last service",IF(AND(E968&lt;&gt;"",D968&lt;E968),"Decreased reading",IF(F968&gt;D968,"Last service above current","")))))))))))))</x:f>
      </x:c>
      <x:c r="L968" s="6" t="str">
        <x:f>IF(AND(NOT(COUNTA(A968:F968)=0),K968=""),INDEX('Rules'!$C$7:$C$26,MATCH(SUBSTITUTE(SUBSTITUTE(SUBSTITUTE(SUBSTITUTE("type:"&amp;B968,"%","%25"),"~","%7E"),"*","%2A"),"?","%3F"),'Rules'!$G$7:$G$26,0)),"")</x:f>
      </x:c>
      <x:c r="M968" s="6" t="str">
        <x:f>IF(AND(NOT(COUNTA(A968:F968)=0),K968=""),INDEX('Rules'!$D$7:$D$26,MATCH(SUBSTITUTE(SUBSTITUTE(SUBSTITUTE(SUBSTITUTE("type:"&amp;B968,"%","%25"),"~","%7E"),"*","%2A"),"?","%3F"),'Rules'!$G$7:$G$26,0)),"")</x:f>
      </x:c>
      <x:c r="N968" s="5" t="str">
        <x:f>IF(COUNTA(A968:F968)=0,"",SUBSTITUTE(SUBSTITUTE(SUBSTITUTE(SUBSTITUTE("id:"&amp;A968,"%","%25"),"~","%7E"),"*","%2A"),"?","%3F"))</x:f>
      </x:c>
    </x:row>
    <x:row r="969" ht="22" customHeight="1">
      <x:c r="A969" s="3"/>
      <x:c r="B969" s="3"/>
      <x:c r="C969" s="3"/>
      <x:c r="D969" s="4"/>
      <x:c r="E969" s="4"/>
      <x:c r="F969" s="4"/>
      <x:c r="G969" s="5" t="str">
        <x:f>IF(COUNTA(A969:F969)=0,"",IF(K969&lt;&gt;"","Review",IF(I969&lt;0,"Overdue",IF(I969=0,"Due now",IF(I969&lt;=M969,"Due soon","Not due")))))</x:f>
      </x:c>
      <x:c r="H969" s="5" t="str">
        <x:f>IF(OR(COUNTA(A969:F969)=0,COUNTIFS('Rules'!$G$7:$G$26,"="&amp;(SUBSTITUTE(SUBSTITUTE(SUBSTITUTE(SUBSTITUTE("type:"&amp;B969,"%","%25"),"~","%7E"),"*","%2A"),"?","%3F")))&lt;&gt;1),"",IF(OR(INDEX('Rules'!$B$7:$B$26,MATCH(SUBSTITUTE(SUBSTITUTE(SUBSTITUTE(SUBSTITUTE("type:"&amp;B969,"%","%25"),"~","%7E"),"*","%2A"),"?","%3F"),'Rules'!$G$7:$G$26,0))="hours",INDEX('Rules'!$B$7:$B$26,MATCH(SUBSTITUTE(SUBSTITUTE(SUBSTITUTE(SUBSTITUTE("type:"&amp;B969,"%","%25"),"~","%7E"),"*","%2A"),"?","%3F"),'Rules'!$G$7:$G$26,0))="km"),INDEX('Rules'!$B$7:$B$26,MATCH(SUBSTITUTE(SUBSTITUTE(SUBSTITUTE(SUBSTITUTE("type:"&amp;B969,"%","%25"),"~","%7E"),"*","%2A"),"?","%3F"),'Rules'!$G$7:$G$26,0)),""))</x:f>
      </x:c>
      <x:c r="I969" s="6" t="str">
        <x:f>IF(AND(NOT(COUNTA(A969:F969)=0),K969=""),ROUND(J969-D969,3),"")</x:f>
      </x:c>
      <x:c r="J969" s="6" t="str">
        <x:f>IF(AND(NOT(COUNTA(A969:F969)=0),K969=""),ROUND(F969+L969,3),"")</x:f>
      </x:c>
      <x:c r="K969" s="5" t="str">
        <x:f>IF(COUNTA(A969:F969)=0,"",IF(A969="","Missing equipment ID",IF(COUNTIFS($N$8:$N$2007,"="&amp;N969)&gt;1,"Duplicate equipment ID",IF(B969="","Missing type",IF(COUNTIFS('Rules'!$G$7:$G$26,"="&amp;(SUBSTITUTE(SUBSTITUTE(SUBSTITUTE(SUBSTITUTE("type:"&amp;B969,"%","%25"),"~","%7E"),"*","%2A"),"?","%3F")))=0,"Unknown type",IF(COUNTIFS('Rules'!$G$7:$G$26,"="&amp;(SUBSTITUTE(SUBSTITUTE(SUBSTITUTE(SUBSTITUTE("type:"&amp;B969,"%","%25"),"~","%7E"),"*","%2A"),"?","%3F")))&gt;1,"Duplicate type",IF(INDEX('Rules'!$F$7:$F$26,MATCH(SUBSTITUTE(SUBSTITUTE(SUBSTITUTE(SUBSTITUTE("type:"&amp;B969,"%","%25"),"~","%7E"),"*","%2A"),"?","%3F"),'Rules'!$G$7:$G$26,0))&lt;&gt;"",INDEX('Rules'!$F$7:$F$26,MATCH(SUBSTITUTE(SUBSTITUTE(SUBSTITUTE(SUBSTITUTE("type:"&amp;B969,"%","%25"),"~","%7E"),"*","%2A"),"?","%3F"),'Rules'!$G$7:$G$26,0)),IF(AND(C969&lt;&gt;"",C969&lt;&gt;INDEX('Rules'!$B$7:$B$26,MATCH(SUBSTITUTE(SUBSTITUTE(SUBSTITUTE(SUBSTITUTE("type:"&amp;B969,"%","%25"),"~","%7E"),"*","%2A"),"?","%3F"),'Rules'!$G$7:$G$26,0))),"Unit mismatch",IF(IF(NOT(ISNUMBER(D969)),TRUE,OR(D969&lt;0,D969&gt;999999999,ROUND(D969,3)&lt;&gt;D969)),"Invalid current reading",IF(AND(E969&lt;&gt;"",IF(NOT(ISNUMBER(E969)),TRUE,OR(E969&lt;0,E969&gt;999999999,ROUND(E969,3)&lt;&gt;E969))),"Invalid previous reading",IF(IF(NOT(ISNUMBER(F969)),TRUE,OR(F969&lt;0,F969&gt;999999999,ROUND(F969,3)&lt;&gt;F969)),"Invalid last service",IF(AND(E969&lt;&gt;"",D969&lt;E969),"Decreased reading",IF(F969&gt;D969,"Last service above current","")))))))))))))</x:f>
      </x:c>
      <x:c r="L969" s="6" t="str">
        <x:f>IF(AND(NOT(COUNTA(A969:F969)=0),K969=""),INDEX('Rules'!$C$7:$C$26,MATCH(SUBSTITUTE(SUBSTITUTE(SUBSTITUTE(SUBSTITUTE("type:"&amp;B969,"%","%25"),"~","%7E"),"*","%2A"),"?","%3F"),'Rules'!$G$7:$G$26,0)),"")</x:f>
      </x:c>
      <x:c r="M969" s="6" t="str">
        <x:f>IF(AND(NOT(COUNTA(A969:F969)=0),K969=""),INDEX('Rules'!$D$7:$D$26,MATCH(SUBSTITUTE(SUBSTITUTE(SUBSTITUTE(SUBSTITUTE("type:"&amp;B969,"%","%25"),"~","%7E"),"*","%2A"),"?","%3F"),'Rules'!$G$7:$G$26,0)),"")</x:f>
      </x:c>
      <x:c r="N969" s="5" t="str">
        <x:f>IF(COUNTA(A969:F969)=0,"",SUBSTITUTE(SUBSTITUTE(SUBSTITUTE(SUBSTITUTE("id:"&amp;A969,"%","%25"),"~","%7E"),"*","%2A"),"?","%3F"))</x:f>
      </x:c>
    </x:row>
    <x:row r="970" ht="22" customHeight="1">
      <x:c r="A970" s="3"/>
      <x:c r="B970" s="3"/>
      <x:c r="C970" s="3"/>
      <x:c r="D970" s="4"/>
      <x:c r="E970" s="4"/>
      <x:c r="F970" s="4"/>
      <x:c r="G970" s="5" t="str">
        <x:f>IF(COUNTA(A970:F970)=0,"",IF(K970&lt;&gt;"","Review",IF(I970&lt;0,"Overdue",IF(I970=0,"Due now",IF(I970&lt;=M970,"Due soon","Not due")))))</x:f>
      </x:c>
      <x:c r="H970" s="5" t="str">
        <x:f>IF(OR(COUNTA(A970:F970)=0,COUNTIFS('Rules'!$G$7:$G$26,"="&amp;(SUBSTITUTE(SUBSTITUTE(SUBSTITUTE(SUBSTITUTE("type:"&amp;B970,"%","%25"),"~","%7E"),"*","%2A"),"?","%3F")))&lt;&gt;1),"",IF(OR(INDEX('Rules'!$B$7:$B$26,MATCH(SUBSTITUTE(SUBSTITUTE(SUBSTITUTE(SUBSTITUTE("type:"&amp;B970,"%","%25"),"~","%7E"),"*","%2A"),"?","%3F"),'Rules'!$G$7:$G$26,0))="hours",INDEX('Rules'!$B$7:$B$26,MATCH(SUBSTITUTE(SUBSTITUTE(SUBSTITUTE(SUBSTITUTE("type:"&amp;B970,"%","%25"),"~","%7E"),"*","%2A"),"?","%3F"),'Rules'!$G$7:$G$26,0))="km"),INDEX('Rules'!$B$7:$B$26,MATCH(SUBSTITUTE(SUBSTITUTE(SUBSTITUTE(SUBSTITUTE("type:"&amp;B970,"%","%25"),"~","%7E"),"*","%2A"),"?","%3F"),'Rules'!$G$7:$G$26,0)),""))</x:f>
      </x:c>
      <x:c r="I970" s="6" t="str">
        <x:f>IF(AND(NOT(COUNTA(A970:F970)=0),K970=""),ROUND(J970-D970,3),"")</x:f>
      </x:c>
      <x:c r="J970" s="6" t="str">
        <x:f>IF(AND(NOT(COUNTA(A970:F970)=0),K970=""),ROUND(F970+L970,3),"")</x:f>
      </x:c>
      <x:c r="K970" s="5" t="str">
        <x:f>IF(COUNTA(A970:F970)=0,"",IF(A970="","Missing equipment ID",IF(COUNTIFS($N$8:$N$2007,"="&amp;N970)&gt;1,"Duplicate equipment ID",IF(B970="","Missing type",IF(COUNTIFS('Rules'!$G$7:$G$26,"="&amp;(SUBSTITUTE(SUBSTITUTE(SUBSTITUTE(SUBSTITUTE("type:"&amp;B970,"%","%25"),"~","%7E"),"*","%2A"),"?","%3F")))=0,"Unknown type",IF(COUNTIFS('Rules'!$G$7:$G$26,"="&amp;(SUBSTITUTE(SUBSTITUTE(SUBSTITUTE(SUBSTITUTE("type:"&amp;B970,"%","%25"),"~","%7E"),"*","%2A"),"?","%3F")))&gt;1,"Duplicate type",IF(INDEX('Rules'!$F$7:$F$26,MATCH(SUBSTITUTE(SUBSTITUTE(SUBSTITUTE(SUBSTITUTE("type:"&amp;B970,"%","%25"),"~","%7E"),"*","%2A"),"?","%3F"),'Rules'!$G$7:$G$26,0))&lt;&gt;"",INDEX('Rules'!$F$7:$F$26,MATCH(SUBSTITUTE(SUBSTITUTE(SUBSTITUTE(SUBSTITUTE("type:"&amp;B970,"%","%25"),"~","%7E"),"*","%2A"),"?","%3F"),'Rules'!$G$7:$G$26,0)),IF(AND(C970&lt;&gt;"",C970&lt;&gt;INDEX('Rules'!$B$7:$B$26,MATCH(SUBSTITUTE(SUBSTITUTE(SUBSTITUTE(SUBSTITUTE("type:"&amp;B970,"%","%25"),"~","%7E"),"*","%2A"),"?","%3F"),'Rules'!$G$7:$G$26,0))),"Unit mismatch",IF(IF(NOT(ISNUMBER(D970)),TRUE,OR(D970&lt;0,D970&gt;999999999,ROUND(D970,3)&lt;&gt;D970)),"Invalid current reading",IF(AND(E970&lt;&gt;"",IF(NOT(ISNUMBER(E970)),TRUE,OR(E970&lt;0,E970&gt;999999999,ROUND(E970,3)&lt;&gt;E970))),"Invalid previous reading",IF(IF(NOT(ISNUMBER(F970)),TRUE,OR(F970&lt;0,F970&gt;999999999,ROUND(F970,3)&lt;&gt;F970)),"Invalid last service",IF(AND(E970&lt;&gt;"",D970&lt;E970),"Decreased reading",IF(F970&gt;D970,"Last service above current","")))))))))))))</x:f>
      </x:c>
      <x:c r="L970" s="6" t="str">
        <x:f>IF(AND(NOT(COUNTA(A970:F970)=0),K970=""),INDEX('Rules'!$C$7:$C$26,MATCH(SUBSTITUTE(SUBSTITUTE(SUBSTITUTE(SUBSTITUTE("type:"&amp;B970,"%","%25"),"~","%7E"),"*","%2A"),"?","%3F"),'Rules'!$G$7:$G$26,0)),"")</x:f>
      </x:c>
      <x:c r="M970" s="6" t="str">
        <x:f>IF(AND(NOT(COUNTA(A970:F970)=0),K970=""),INDEX('Rules'!$D$7:$D$26,MATCH(SUBSTITUTE(SUBSTITUTE(SUBSTITUTE(SUBSTITUTE("type:"&amp;B970,"%","%25"),"~","%7E"),"*","%2A"),"?","%3F"),'Rules'!$G$7:$G$26,0)),"")</x:f>
      </x:c>
      <x:c r="N970" s="5" t="str">
        <x:f>IF(COUNTA(A970:F970)=0,"",SUBSTITUTE(SUBSTITUTE(SUBSTITUTE(SUBSTITUTE("id:"&amp;A970,"%","%25"),"~","%7E"),"*","%2A"),"?","%3F"))</x:f>
      </x:c>
    </x:row>
    <x:row r="971" ht="22" customHeight="1">
      <x:c r="A971" s="3"/>
      <x:c r="B971" s="3"/>
      <x:c r="C971" s="3"/>
      <x:c r="D971" s="4"/>
      <x:c r="E971" s="4"/>
      <x:c r="F971" s="4"/>
      <x:c r="G971" s="5" t="str">
        <x:f>IF(COUNTA(A971:F971)=0,"",IF(K971&lt;&gt;"","Review",IF(I971&lt;0,"Overdue",IF(I971=0,"Due now",IF(I971&lt;=M971,"Due soon","Not due")))))</x:f>
      </x:c>
      <x:c r="H971" s="5" t="str">
        <x:f>IF(OR(COUNTA(A971:F971)=0,COUNTIFS('Rules'!$G$7:$G$26,"="&amp;(SUBSTITUTE(SUBSTITUTE(SUBSTITUTE(SUBSTITUTE("type:"&amp;B971,"%","%25"),"~","%7E"),"*","%2A"),"?","%3F")))&lt;&gt;1),"",IF(OR(INDEX('Rules'!$B$7:$B$26,MATCH(SUBSTITUTE(SUBSTITUTE(SUBSTITUTE(SUBSTITUTE("type:"&amp;B971,"%","%25"),"~","%7E"),"*","%2A"),"?","%3F"),'Rules'!$G$7:$G$26,0))="hours",INDEX('Rules'!$B$7:$B$26,MATCH(SUBSTITUTE(SUBSTITUTE(SUBSTITUTE(SUBSTITUTE("type:"&amp;B971,"%","%25"),"~","%7E"),"*","%2A"),"?","%3F"),'Rules'!$G$7:$G$26,0))="km"),INDEX('Rules'!$B$7:$B$26,MATCH(SUBSTITUTE(SUBSTITUTE(SUBSTITUTE(SUBSTITUTE("type:"&amp;B971,"%","%25"),"~","%7E"),"*","%2A"),"?","%3F"),'Rules'!$G$7:$G$26,0)),""))</x:f>
      </x:c>
      <x:c r="I971" s="6" t="str">
        <x:f>IF(AND(NOT(COUNTA(A971:F971)=0),K971=""),ROUND(J971-D971,3),"")</x:f>
      </x:c>
      <x:c r="J971" s="6" t="str">
        <x:f>IF(AND(NOT(COUNTA(A971:F971)=0),K971=""),ROUND(F971+L971,3),"")</x:f>
      </x:c>
      <x:c r="K971" s="5" t="str">
        <x:f>IF(COUNTA(A971:F971)=0,"",IF(A971="","Missing equipment ID",IF(COUNTIFS($N$8:$N$2007,"="&amp;N971)&gt;1,"Duplicate equipment ID",IF(B971="","Missing type",IF(COUNTIFS('Rules'!$G$7:$G$26,"="&amp;(SUBSTITUTE(SUBSTITUTE(SUBSTITUTE(SUBSTITUTE("type:"&amp;B971,"%","%25"),"~","%7E"),"*","%2A"),"?","%3F")))=0,"Unknown type",IF(COUNTIFS('Rules'!$G$7:$G$26,"="&amp;(SUBSTITUTE(SUBSTITUTE(SUBSTITUTE(SUBSTITUTE("type:"&amp;B971,"%","%25"),"~","%7E"),"*","%2A"),"?","%3F")))&gt;1,"Duplicate type",IF(INDEX('Rules'!$F$7:$F$26,MATCH(SUBSTITUTE(SUBSTITUTE(SUBSTITUTE(SUBSTITUTE("type:"&amp;B971,"%","%25"),"~","%7E"),"*","%2A"),"?","%3F"),'Rules'!$G$7:$G$26,0))&lt;&gt;"",INDEX('Rules'!$F$7:$F$26,MATCH(SUBSTITUTE(SUBSTITUTE(SUBSTITUTE(SUBSTITUTE("type:"&amp;B971,"%","%25"),"~","%7E"),"*","%2A"),"?","%3F"),'Rules'!$G$7:$G$26,0)),IF(AND(C971&lt;&gt;"",C971&lt;&gt;INDEX('Rules'!$B$7:$B$26,MATCH(SUBSTITUTE(SUBSTITUTE(SUBSTITUTE(SUBSTITUTE("type:"&amp;B971,"%","%25"),"~","%7E"),"*","%2A"),"?","%3F"),'Rules'!$G$7:$G$26,0))),"Unit mismatch",IF(IF(NOT(ISNUMBER(D971)),TRUE,OR(D971&lt;0,D971&gt;999999999,ROUND(D971,3)&lt;&gt;D971)),"Invalid current reading",IF(AND(E971&lt;&gt;"",IF(NOT(ISNUMBER(E971)),TRUE,OR(E971&lt;0,E971&gt;999999999,ROUND(E971,3)&lt;&gt;E971))),"Invalid previous reading",IF(IF(NOT(ISNUMBER(F971)),TRUE,OR(F971&lt;0,F971&gt;999999999,ROUND(F971,3)&lt;&gt;F971)),"Invalid last service",IF(AND(E971&lt;&gt;"",D971&lt;E971),"Decreased reading",IF(F971&gt;D971,"Last service above current","")))))))))))))</x:f>
      </x:c>
      <x:c r="L971" s="6" t="str">
        <x:f>IF(AND(NOT(COUNTA(A971:F971)=0),K971=""),INDEX('Rules'!$C$7:$C$26,MATCH(SUBSTITUTE(SUBSTITUTE(SUBSTITUTE(SUBSTITUTE("type:"&amp;B971,"%","%25"),"~","%7E"),"*","%2A"),"?","%3F"),'Rules'!$G$7:$G$26,0)),"")</x:f>
      </x:c>
      <x:c r="M971" s="6" t="str">
        <x:f>IF(AND(NOT(COUNTA(A971:F971)=0),K971=""),INDEX('Rules'!$D$7:$D$26,MATCH(SUBSTITUTE(SUBSTITUTE(SUBSTITUTE(SUBSTITUTE("type:"&amp;B971,"%","%25"),"~","%7E"),"*","%2A"),"?","%3F"),'Rules'!$G$7:$G$26,0)),"")</x:f>
      </x:c>
      <x:c r="N971" s="5" t="str">
        <x:f>IF(COUNTA(A971:F971)=0,"",SUBSTITUTE(SUBSTITUTE(SUBSTITUTE(SUBSTITUTE("id:"&amp;A971,"%","%25"),"~","%7E"),"*","%2A"),"?","%3F"))</x:f>
      </x:c>
    </x:row>
    <x:row r="972" ht="22" customHeight="1">
      <x:c r="A972" s="3"/>
      <x:c r="B972" s="3"/>
      <x:c r="C972" s="3"/>
      <x:c r="D972" s="4"/>
      <x:c r="E972" s="4"/>
      <x:c r="F972" s="4"/>
      <x:c r="G972" s="5" t="str">
        <x:f>IF(COUNTA(A972:F972)=0,"",IF(K972&lt;&gt;"","Review",IF(I972&lt;0,"Overdue",IF(I972=0,"Due now",IF(I972&lt;=M972,"Due soon","Not due")))))</x:f>
      </x:c>
      <x:c r="H972" s="5" t="str">
        <x:f>IF(OR(COUNTA(A972:F972)=0,COUNTIFS('Rules'!$G$7:$G$26,"="&amp;(SUBSTITUTE(SUBSTITUTE(SUBSTITUTE(SUBSTITUTE("type:"&amp;B972,"%","%25"),"~","%7E"),"*","%2A"),"?","%3F")))&lt;&gt;1),"",IF(OR(INDEX('Rules'!$B$7:$B$26,MATCH(SUBSTITUTE(SUBSTITUTE(SUBSTITUTE(SUBSTITUTE("type:"&amp;B972,"%","%25"),"~","%7E"),"*","%2A"),"?","%3F"),'Rules'!$G$7:$G$26,0))="hours",INDEX('Rules'!$B$7:$B$26,MATCH(SUBSTITUTE(SUBSTITUTE(SUBSTITUTE(SUBSTITUTE("type:"&amp;B972,"%","%25"),"~","%7E"),"*","%2A"),"?","%3F"),'Rules'!$G$7:$G$26,0))="km"),INDEX('Rules'!$B$7:$B$26,MATCH(SUBSTITUTE(SUBSTITUTE(SUBSTITUTE(SUBSTITUTE("type:"&amp;B972,"%","%25"),"~","%7E"),"*","%2A"),"?","%3F"),'Rules'!$G$7:$G$26,0)),""))</x:f>
      </x:c>
      <x:c r="I972" s="6" t="str">
        <x:f>IF(AND(NOT(COUNTA(A972:F972)=0),K972=""),ROUND(J972-D972,3),"")</x:f>
      </x:c>
      <x:c r="J972" s="6" t="str">
        <x:f>IF(AND(NOT(COUNTA(A972:F972)=0),K972=""),ROUND(F972+L972,3),"")</x:f>
      </x:c>
      <x:c r="K972" s="5" t="str">
        <x:f>IF(COUNTA(A972:F972)=0,"",IF(A972="","Missing equipment ID",IF(COUNTIFS($N$8:$N$2007,"="&amp;N972)&gt;1,"Duplicate equipment ID",IF(B972="","Missing type",IF(COUNTIFS('Rules'!$G$7:$G$26,"="&amp;(SUBSTITUTE(SUBSTITUTE(SUBSTITUTE(SUBSTITUTE("type:"&amp;B972,"%","%25"),"~","%7E"),"*","%2A"),"?","%3F")))=0,"Unknown type",IF(COUNTIFS('Rules'!$G$7:$G$26,"="&amp;(SUBSTITUTE(SUBSTITUTE(SUBSTITUTE(SUBSTITUTE("type:"&amp;B972,"%","%25"),"~","%7E"),"*","%2A"),"?","%3F")))&gt;1,"Duplicate type",IF(INDEX('Rules'!$F$7:$F$26,MATCH(SUBSTITUTE(SUBSTITUTE(SUBSTITUTE(SUBSTITUTE("type:"&amp;B972,"%","%25"),"~","%7E"),"*","%2A"),"?","%3F"),'Rules'!$G$7:$G$26,0))&lt;&gt;"",INDEX('Rules'!$F$7:$F$26,MATCH(SUBSTITUTE(SUBSTITUTE(SUBSTITUTE(SUBSTITUTE("type:"&amp;B972,"%","%25"),"~","%7E"),"*","%2A"),"?","%3F"),'Rules'!$G$7:$G$26,0)),IF(AND(C972&lt;&gt;"",C972&lt;&gt;INDEX('Rules'!$B$7:$B$26,MATCH(SUBSTITUTE(SUBSTITUTE(SUBSTITUTE(SUBSTITUTE("type:"&amp;B972,"%","%25"),"~","%7E"),"*","%2A"),"?","%3F"),'Rules'!$G$7:$G$26,0))),"Unit mismatch",IF(IF(NOT(ISNUMBER(D972)),TRUE,OR(D972&lt;0,D972&gt;999999999,ROUND(D972,3)&lt;&gt;D972)),"Invalid current reading",IF(AND(E972&lt;&gt;"",IF(NOT(ISNUMBER(E972)),TRUE,OR(E972&lt;0,E972&gt;999999999,ROUND(E972,3)&lt;&gt;E972))),"Invalid previous reading",IF(IF(NOT(ISNUMBER(F972)),TRUE,OR(F972&lt;0,F972&gt;999999999,ROUND(F972,3)&lt;&gt;F972)),"Invalid last service",IF(AND(E972&lt;&gt;"",D972&lt;E972),"Decreased reading",IF(F972&gt;D972,"Last service above current","")))))))))))))</x:f>
      </x:c>
      <x:c r="L972" s="6" t="str">
        <x:f>IF(AND(NOT(COUNTA(A972:F972)=0),K972=""),INDEX('Rules'!$C$7:$C$26,MATCH(SUBSTITUTE(SUBSTITUTE(SUBSTITUTE(SUBSTITUTE("type:"&amp;B972,"%","%25"),"~","%7E"),"*","%2A"),"?","%3F"),'Rules'!$G$7:$G$26,0)),"")</x:f>
      </x:c>
      <x:c r="M972" s="6" t="str">
        <x:f>IF(AND(NOT(COUNTA(A972:F972)=0),K972=""),INDEX('Rules'!$D$7:$D$26,MATCH(SUBSTITUTE(SUBSTITUTE(SUBSTITUTE(SUBSTITUTE("type:"&amp;B972,"%","%25"),"~","%7E"),"*","%2A"),"?","%3F"),'Rules'!$G$7:$G$26,0)),"")</x:f>
      </x:c>
      <x:c r="N972" s="5" t="str">
        <x:f>IF(COUNTA(A972:F972)=0,"",SUBSTITUTE(SUBSTITUTE(SUBSTITUTE(SUBSTITUTE("id:"&amp;A972,"%","%25"),"~","%7E"),"*","%2A"),"?","%3F"))</x:f>
      </x:c>
    </x:row>
    <x:row r="973" ht="22" customHeight="1">
      <x:c r="A973" s="3"/>
      <x:c r="B973" s="3"/>
      <x:c r="C973" s="3"/>
      <x:c r="D973" s="4"/>
      <x:c r="E973" s="4"/>
      <x:c r="F973" s="4"/>
      <x:c r="G973" s="5" t="str">
        <x:f>IF(COUNTA(A973:F973)=0,"",IF(K973&lt;&gt;"","Review",IF(I973&lt;0,"Overdue",IF(I973=0,"Due now",IF(I973&lt;=M973,"Due soon","Not due")))))</x:f>
      </x:c>
      <x:c r="H973" s="5" t="str">
        <x:f>IF(OR(COUNTA(A973:F973)=0,COUNTIFS('Rules'!$G$7:$G$26,"="&amp;(SUBSTITUTE(SUBSTITUTE(SUBSTITUTE(SUBSTITUTE("type:"&amp;B973,"%","%25"),"~","%7E"),"*","%2A"),"?","%3F")))&lt;&gt;1),"",IF(OR(INDEX('Rules'!$B$7:$B$26,MATCH(SUBSTITUTE(SUBSTITUTE(SUBSTITUTE(SUBSTITUTE("type:"&amp;B973,"%","%25"),"~","%7E"),"*","%2A"),"?","%3F"),'Rules'!$G$7:$G$26,0))="hours",INDEX('Rules'!$B$7:$B$26,MATCH(SUBSTITUTE(SUBSTITUTE(SUBSTITUTE(SUBSTITUTE("type:"&amp;B973,"%","%25"),"~","%7E"),"*","%2A"),"?","%3F"),'Rules'!$G$7:$G$26,0))="km"),INDEX('Rules'!$B$7:$B$26,MATCH(SUBSTITUTE(SUBSTITUTE(SUBSTITUTE(SUBSTITUTE("type:"&amp;B973,"%","%25"),"~","%7E"),"*","%2A"),"?","%3F"),'Rules'!$G$7:$G$26,0)),""))</x:f>
      </x:c>
      <x:c r="I973" s="6" t="str">
        <x:f>IF(AND(NOT(COUNTA(A973:F973)=0),K973=""),ROUND(J973-D973,3),"")</x:f>
      </x:c>
      <x:c r="J973" s="6" t="str">
        <x:f>IF(AND(NOT(COUNTA(A973:F973)=0),K973=""),ROUND(F973+L973,3),"")</x:f>
      </x:c>
      <x:c r="K973" s="5" t="str">
        <x:f>IF(COUNTA(A973:F973)=0,"",IF(A973="","Missing equipment ID",IF(COUNTIFS($N$8:$N$2007,"="&amp;N973)&gt;1,"Duplicate equipment ID",IF(B973="","Missing type",IF(COUNTIFS('Rules'!$G$7:$G$26,"="&amp;(SUBSTITUTE(SUBSTITUTE(SUBSTITUTE(SUBSTITUTE("type:"&amp;B973,"%","%25"),"~","%7E"),"*","%2A"),"?","%3F")))=0,"Unknown type",IF(COUNTIFS('Rules'!$G$7:$G$26,"="&amp;(SUBSTITUTE(SUBSTITUTE(SUBSTITUTE(SUBSTITUTE("type:"&amp;B973,"%","%25"),"~","%7E"),"*","%2A"),"?","%3F")))&gt;1,"Duplicate type",IF(INDEX('Rules'!$F$7:$F$26,MATCH(SUBSTITUTE(SUBSTITUTE(SUBSTITUTE(SUBSTITUTE("type:"&amp;B973,"%","%25"),"~","%7E"),"*","%2A"),"?","%3F"),'Rules'!$G$7:$G$26,0))&lt;&gt;"",INDEX('Rules'!$F$7:$F$26,MATCH(SUBSTITUTE(SUBSTITUTE(SUBSTITUTE(SUBSTITUTE("type:"&amp;B973,"%","%25"),"~","%7E"),"*","%2A"),"?","%3F"),'Rules'!$G$7:$G$26,0)),IF(AND(C973&lt;&gt;"",C973&lt;&gt;INDEX('Rules'!$B$7:$B$26,MATCH(SUBSTITUTE(SUBSTITUTE(SUBSTITUTE(SUBSTITUTE("type:"&amp;B973,"%","%25"),"~","%7E"),"*","%2A"),"?","%3F"),'Rules'!$G$7:$G$26,0))),"Unit mismatch",IF(IF(NOT(ISNUMBER(D973)),TRUE,OR(D973&lt;0,D973&gt;999999999,ROUND(D973,3)&lt;&gt;D973)),"Invalid current reading",IF(AND(E973&lt;&gt;"",IF(NOT(ISNUMBER(E973)),TRUE,OR(E973&lt;0,E973&gt;999999999,ROUND(E973,3)&lt;&gt;E973))),"Invalid previous reading",IF(IF(NOT(ISNUMBER(F973)),TRUE,OR(F973&lt;0,F973&gt;999999999,ROUND(F973,3)&lt;&gt;F973)),"Invalid last service",IF(AND(E973&lt;&gt;"",D973&lt;E973),"Decreased reading",IF(F973&gt;D973,"Last service above current","")))))))))))))</x:f>
      </x:c>
      <x:c r="L973" s="6" t="str">
        <x:f>IF(AND(NOT(COUNTA(A973:F973)=0),K973=""),INDEX('Rules'!$C$7:$C$26,MATCH(SUBSTITUTE(SUBSTITUTE(SUBSTITUTE(SUBSTITUTE("type:"&amp;B973,"%","%25"),"~","%7E"),"*","%2A"),"?","%3F"),'Rules'!$G$7:$G$26,0)),"")</x:f>
      </x:c>
      <x:c r="M973" s="6" t="str">
        <x:f>IF(AND(NOT(COUNTA(A973:F973)=0),K973=""),INDEX('Rules'!$D$7:$D$26,MATCH(SUBSTITUTE(SUBSTITUTE(SUBSTITUTE(SUBSTITUTE("type:"&amp;B973,"%","%25"),"~","%7E"),"*","%2A"),"?","%3F"),'Rules'!$G$7:$G$26,0)),"")</x:f>
      </x:c>
      <x:c r="N973" s="5" t="str">
        <x:f>IF(COUNTA(A973:F973)=0,"",SUBSTITUTE(SUBSTITUTE(SUBSTITUTE(SUBSTITUTE("id:"&amp;A973,"%","%25"),"~","%7E"),"*","%2A"),"?","%3F"))</x:f>
      </x:c>
    </x:row>
    <x:row r="974" ht="22" customHeight="1">
      <x:c r="A974" s="3"/>
      <x:c r="B974" s="3"/>
      <x:c r="C974" s="3"/>
      <x:c r="D974" s="4"/>
      <x:c r="E974" s="4"/>
      <x:c r="F974" s="4"/>
      <x:c r="G974" s="5" t="str">
        <x:f>IF(COUNTA(A974:F974)=0,"",IF(K974&lt;&gt;"","Review",IF(I974&lt;0,"Overdue",IF(I974=0,"Due now",IF(I974&lt;=M974,"Due soon","Not due")))))</x:f>
      </x:c>
      <x:c r="H974" s="5" t="str">
        <x:f>IF(OR(COUNTA(A974:F974)=0,COUNTIFS('Rules'!$G$7:$G$26,"="&amp;(SUBSTITUTE(SUBSTITUTE(SUBSTITUTE(SUBSTITUTE("type:"&amp;B974,"%","%25"),"~","%7E"),"*","%2A"),"?","%3F")))&lt;&gt;1),"",IF(OR(INDEX('Rules'!$B$7:$B$26,MATCH(SUBSTITUTE(SUBSTITUTE(SUBSTITUTE(SUBSTITUTE("type:"&amp;B974,"%","%25"),"~","%7E"),"*","%2A"),"?","%3F"),'Rules'!$G$7:$G$26,0))="hours",INDEX('Rules'!$B$7:$B$26,MATCH(SUBSTITUTE(SUBSTITUTE(SUBSTITUTE(SUBSTITUTE("type:"&amp;B974,"%","%25"),"~","%7E"),"*","%2A"),"?","%3F"),'Rules'!$G$7:$G$26,0))="km"),INDEX('Rules'!$B$7:$B$26,MATCH(SUBSTITUTE(SUBSTITUTE(SUBSTITUTE(SUBSTITUTE("type:"&amp;B974,"%","%25"),"~","%7E"),"*","%2A"),"?","%3F"),'Rules'!$G$7:$G$26,0)),""))</x:f>
      </x:c>
      <x:c r="I974" s="6" t="str">
        <x:f>IF(AND(NOT(COUNTA(A974:F974)=0),K974=""),ROUND(J974-D974,3),"")</x:f>
      </x:c>
      <x:c r="J974" s="6" t="str">
        <x:f>IF(AND(NOT(COUNTA(A974:F974)=0),K974=""),ROUND(F974+L974,3),"")</x:f>
      </x:c>
      <x:c r="K974" s="5" t="str">
        <x:f>IF(COUNTA(A974:F974)=0,"",IF(A974="","Missing equipment ID",IF(COUNTIFS($N$8:$N$2007,"="&amp;N974)&gt;1,"Duplicate equipment ID",IF(B974="","Missing type",IF(COUNTIFS('Rules'!$G$7:$G$26,"="&amp;(SUBSTITUTE(SUBSTITUTE(SUBSTITUTE(SUBSTITUTE("type:"&amp;B974,"%","%25"),"~","%7E"),"*","%2A"),"?","%3F")))=0,"Unknown type",IF(COUNTIFS('Rules'!$G$7:$G$26,"="&amp;(SUBSTITUTE(SUBSTITUTE(SUBSTITUTE(SUBSTITUTE("type:"&amp;B974,"%","%25"),"~","%7E"),"*","%2A"),"?","%3F")))&gt;1,"Duplicate type",IF(INDEX('Rules'!$F$7:$F$26,MATCH(SUBSTITUTE(SUBSTITUTE(SUBSTITUTE(SUBSTITUTE("type:"&amp;B974,"%","%25"),"~","%7E"),"*","%2A"),"?","%3F"),'Rules'!$G$7:$G$26,0))&lt;&gt;"",INDEX('Rules'!$F$7:$F$26,MATCH(SUBSTITUTE(SUBSTITUTE(SUBSTITUTE(SUBSTITUTE("type:"&amp;B974,"%","%25"),"~","%7E"),"*","%2A"),"?","%3F"),'Rules'!$G$7:$G$26,0)),IF(AND(C974&lt;&gt;"",C974&lt;&gt;INDEX('Rules'!$B$7:$B$26,MATCH(SUBSTITUTE(SUBSTITUTE(SUBSTITUTE(SUBSTITUTE("type:"&amp;B974,"%","%25"),"~","%7E"),"*","%2A"),"?","%3F"),'Rules'!$G$7:$G$26,0))),"Unit mismatch",IF(IF(NOT(ISNUMBER(D974)),TRUE,OR(D974&lt;0,D974&gt;999999999,ROUND(D974,3)&lt;&gt;D974)),"Invalid current reading",IF(AND(E974&lt;&gt;"",IF(NOT(ISNUMBER(E974)),TRUE,OR(E974&lt;0,E974&gt;999999999,ROUND(E974,3)&lt;&gt;E974))),"Invalid previous reading",IF(IF(NOT(ISNUMBER(F974)),TRUE,OR(F974&lt;0,F974&gt;999999999,ROUND(F974,3)&lt;&gt;F974)),"Invalid last service",IF(AND(E974&lt;&gt;"",D974&lt;E974),"Decreased reading",IF(F974&gt;D974,"Last service above current","")))))))))))))</x:f>
      </x:c>
      <x:c r="L974" s="6" t="str">
        <x:f>IF(AND(NOT(COUNTA(A974:F974)=0),K974=""),INDEX('Rules'!$C$7:$C$26,MATCH(SUBSTITUTE(SUBSTITUTE(SUBSTITUTE(SUBSTITUTE("type:"&amp;B974,"%","%25"),"~","%7E"),"*","%2A"),"?","%3F"),'Rules'!$G$7:$G$26,0)),"")</x:f>
      </x:c>
      <x:c r="M974" s="6" t="str">
        <x:f>IF(AND(NOT(COUNTA(A974:F974)=0),K974=""),INDEX('Rules'!$D$7:$D$26,MATCH(SUBSTITUTE(SUBSTITUTE(SUBSTITUTE(SUBSTITUTE("type:"&amp;B974,"%","%25"),"~","%7E"),"*","%2A"),"?","%3F"),'Rules'!$G$7:$G$26,0)),"")</x:f>
      </x:c>
      <x:c r="N974" s="5" t="str">
        <x:f>IF(COUNTA(A974:F974)=0,"",SUBSTITUTE(SUBSTITUTE(SUBSTITUTE(SUBSTITUTE("id:"&amp;A974,"%","%25"),"~","%7E"),"*","%2A"),"?","%3F"))</x:f>
      </x:c>
    </x:row>
    <x:row r="975" ht="22" customHeight="1">
      <x:c r="A975" s="3"/>
      <x:c r="B975" s="3"/>
      <x:c r="C975" s="3"/>
      <x:c r="D975" s="4"/>
      <x:c r="E975" s="4"/>
      <x:c r="F975" s="4"/>
      <x:c r="G975" s="5" t="str">
        <x:f>IF(COUNTA(A975:F975)=0,"",IF(K975&lt;&gt;"","Review",IF(I975&lt;0,"Overdue",IF(I975=0,"Due now",IF(I975&lt;=M975,"Due soon","Not due")))))</x:f>
      </x:c>
      <x:c r="H975" s="5" t="str">
        <x:f>IF(OR(COUNTA(A975:F975)=0,COUNTIFS('Rules'!$G$7:$G$26,"="&amp;(SUBSTITUTE(SUBSTITUTE(SUBSTITUTE(SUBSTITUTE("type:"&amp;B975,"%","%25"),"~","%7E"),"*","%2A"),"?","%3F")))&lt;&gt;1),"",IF(OR(INDEX('Rules'!$B$7:$B$26,MATCH(SUBSTITUTE(SUBSTITUTE(SUBSTITUTE(SUBSTITUTE("type:"&amp;B975,"%","%25"),"~","%7E"),"*","%2A"),"?","%3F"),'Rules'!$G$7:$G$26,0))="hours",INDEX('Rules'!$B$7:$B$26,MATCH(SUBSTITUTE(SUBSTITUTE(SUBSTITUTE(SUBSTITUTE("type:"&amp;B975,"%","%25"),"~","%7E"),"*","%2A"),"?","%3F"),'Rules'!$G$7:$G$26,0))="km"),INDEX('Rules'!$B$7:$B$26,MATCH(SUBSTITUTE(SUBSTITUTE(SUBSTITUTE(SUBSTITUTE("type:"&amp;B975,"%","%25"),"~","%7E"),"*","%2A"),"?","%3F"),'Rules'!$G$7:$G$26,0)),""))</x:f>
      </x:c>
      <x:c r="I975" s="6" t="str">
        <x:f>IF(AND(NOT(COUNTA(A975:F975)=0),K975=""),ROUND(J975-D975,3),"")</x:f>
      </x:c>
      <x:c r="J975" s="6" t="str">
        <x:f>IF(AND(NOT(COUNTA(A975:F975)=0),K975=""),ROUND(F975+L975,3),"")</x:f>
      </x:c>
      <x:c r="K975" s="5" t="str">
        <x:f>IF(COUNTA(A975:F975)=0,"",IF(A975="","Missing equipment ID",IF(COUNTIFS($N$8:$N$2007,"="&amp;N975)&gt;1,"Duplicate equipment ID",IF(B975="","Missing type",IF(COUNTIFS('Rules'!$G$7:$G$26,"="&amp;(SUBSTITUTE(SUBSTITUTE(SUBSTITUTE(SUBSTITUTE("type:"&amp;B975,"%","%25"),"~","%7E"),"*","%2A"),"?","%3F")))=0,"Unknown type",IF(COUNTIFS('Rules'!$G$7:$G$26,"="&amp;(SUBSTITUTE(SUBSTITUTE(SUBSTITUTE(SUBSTITUTE("type:"&amp;B975,"%","%25"),"~","%7E"),"*","%2A"),"?","%3F")))&gt;1,"Duplicate type",IF(INDEX('Rules'!$F$7:$F$26,MATCH(SUBSTITUTE(SUBSTITUTE(SUBSTITUTE(SUBSTITUTE("type:"&amp;B975,"%","%25"),"~","%7E"),"*","%2A"),"?","%3F"),'Rules'!$G$7:$G$26,0))&lt;&gt;"",INDEX('Rules'!$F$7:$F$26,MATCH(SUBSTITUTE(SUBSTITUTE(SUBSTITUTE(SUBSTITUTE("type:"&amp;B975,"%","%25"),"~","%7E"),"*","%2A"),"?","%3F"),'Rules'!$G$7:$G$26,0)),IF(AND(C975&lt;&gt;"",C975&lt;&gt;INDEX('Rules'!$B$7:$B$26,MATCH(SUBSTITUTE(SUBSTITUTE(SUBSTITUTE(SUBSTITUTE("type:"&amp;B975,"%","%25"),"~","%7E"),"*","%2A"),"?","%3F"),'Rules'!$G$7:$G$26,0))),"Unit mismatch",IF(IF(NOT(ISNUMBER(D975)),TRUE,OR(D975&lt;0,D975&gt;999999999,ROUND(D975,3)&lt;&gt;D975)),"Invalid current reading",IF(AND(E975&lt;&gt;"",IF(NOT(ISNUMBER(E975)),TRUE,OR(E975&lt;0,E975&gt;999999999,ROUND(E975,3)&lt;&gt;E975))),"Invalid previous reading",IF(IF(NOT(ISNUMBER(F975)),TRUE,OR(F975&lt;0,F975&gt;999999999,ROUND(F975,3)&lt;&gt;F975)),"Invalid last service",IF(AND(E975&lt;&gt;"",D975&lt;E975),"Decreased reading",IF(F975&gt;D975,"Last service above current","")))))))))))))</x:f>
      </x:c>
      <x:c r="L975" s="6" t="str">
        <x:f>IF(AND(NOT(COUNTA(A975:F975)=0),K975=""),INDEX('Rules'!$C$7:$C$26,MATCH(SUBSTITUTE(SUBSTITUTE(SUBSTITUTE(SUBSTITUTE("type:"&amp;B975,"%","%25"),"~","%7E"),"*","%2A"),"?","%3F"),'Rules'!$G$7:$G$26,0)),"")</x:f>
      </x:c>
      <x:c r="M975" s="6" t="str">
        <x:f>IF(AND(NOT(COUNTA(A975:F975)=0),K975=""),INDEX('Rules'!$D$7:$D$26,MATCH(SUBSTITUTE(SUBSTITUTE(SUBSTITUTE(SUBSTITUTE("type:"&amp;B975,"%","%25"),"~","%7E"),"*","%2A"),"?","%3F"),'Rules'!$G$7:$G$26,0)),"")</x:f>
      </x:c>
      <x:c r="N975" s="5" t="str">
        <x:f>IF(COUNTA(A975:F975)=0,"",SUBSTITUTE(SUBSTITUTE(SUBSTITUTE(SUBSTITUTE("id:"&amp;A975,"%","%25"),"~","%7E"),"*","%2A"),"?","%3F"))</x:f>
      </x:c>
    </x:row>
    <x:row r="976" ht="22" customHeight="1">
      <x:c r="A976" s="3"/>
      <x:c r="B976" s="3"/>
      <x:c r="C976" s="3"/>
      <x:c r="D976" s="4"/>
      <x:c r="E976" s="4"/>
      <x:c r="F976" s="4"/>
      <x:c r="G976" s="5" t="str">
        <x:f>IF(COUNTA(A976:F976)=0,"",IF(K976&lt;&gt;"","Review",IF(I976&lt;0,"Overdue",IF(I976=0,"Due now",IF(I976&lt;=M976,"Due soon","Not due")))))</x:f>
      </x:c>
      <x:c r="H976" s="5" t="str">
        <x:f>IF(OR(COUNTA(A976:F976)=0,COUNTIFS('Rules'!$G$7:$G$26,"="&amp;(SUBSTITUTE(SUBSTITUTE(SUBSTITUTE(SUBSTITUTE("type:"&amp;B976,"%","%25"),"~","%7E"),"*","%2A"),"?","%3F")))&lt;&gt;1),"",IF(OR(INDEX('Rules'!$B$7:$B$26,MATCH(SUBSTITUTE(SUBSTITUTE(SUBSTITUTE(SUBSTITUTE("type:"&amp;B976,"%","%25"),"~","%7E"),"*","%2A"),"?","%3F"),'Rules'!$G$7:$G$26,0))="hours",INDEX('Rules'!$B$7:$B$26,MATCH(SUBSTITUTE(SUBSTITUTE(SUBSTITUTE(SUBSTITUTE("type:"&amp;B976,"%","%25"),"~","%7E"),"*","%2A"),"?","%3F"),'Rules'!$G$7:$G$26,0))="km"),INDEX('Rules'!$B$7:$B$26,MATCH(SUBSTITUTE(SUBSTITUTE(SUBSTITUTE(SUBSTITUTE("type:"&amp;B976,"%","%25"),"~","%7E"),"*","%2A"),"?","%3F"),'Rules'!$G$7:$G$26,0)),""))</x:f>
      </x:c>
      <x:c r="I976" s="6" t="str">
        <x:f>IF(AND(NOT(COUNTA(A976:F976)=0),K976=""),ROUND(J976-D976,3),"")</x:f>
      </x:c>
      <x:c r="J976" s="6" t="str">
        <x:f>IF(AND(NOT(COUNTA(A976:F976)=0),K976=""),ROUND(F976+L976,3),"")</x:f>
      </x:c>
      <x:c r="K976" s="5" t="str">
        <x:f>IF(COUNTA(A976:F976)=0,"",IF(A976="","Missing equipment ID",IF(COUNTIFS($N$8:$N$2007,"="&amp;N976)&gt;1,"Duplicate equipment ID",IF(B976="","Missing type",IF(COUNTIFS('Rules'!$G$7:$G$26,"="&amp;(SUBSTITUTE(SUBSTITUTE(SUBSTITUTE(SUBSTITUTE("type:"&amp;B976,"%","%25"),"~","%7E"),"*","%2A"),"?","%3F")))=0,"Unknown type",IF(COUNTIFS('Rules'!$G$7:$G$26,"="&amp;(SUBSTITUTE(SUBSTITUTE(SUBSTITUTE(SUBSTITUTE("type:"&amp;B976,"%","%25"),"~","%7E"),"*","%2A"),"?","%3F")))&gt;1,"Duplicate type",IF(INDEX('Rules'!$F$7:$F$26,MATCH(SUBSTITUTE(SUBSTITUTE(SUBSTITUTE(SUBSTITUTE("type:"&amp;B976,"%","%25"),"~","%7E"),"*","%2A"),"?","%3F"),'Rules'!$G$7:$G$26,0))&lt;&gt;"",INDEX('Rules'!$F$7:$F$26,MATCH(SUBSTITUTE(SUBSTITUTE(SUBSTITUTE(SUBSTITUTE("type:"&amp;B976,"%","%25"),"~","%7E"),"*","%2A"),"?","%3F"),'Rules'!$G$7:$G$26,0)),IF(AND(C976&lt;&gt;"",C976&lt;&gt;INDEX('Rules'!$B$7:$B$26,MATCH(SUBSTITUTE(SUBSTITUTE(SUBSTITUTE(SUBSTITUTE("type:"&amp;B976,"%","%25"),"~","%7E"),"*","%2A"),"?","%3F"),'Rules'!$G$7:$G$26,0))),"Unit mismatch",IF(IF(NOT(ISNUMBER(D976)),TRUE,OR(D976&lt;0,D976&gt;999999999,ROUND(D976,3)&lt;&gt;D976)),"Invalid current reading",IF(AND(E976&lt;&gt;"",IF(NOT(ISNUMBER(E976)),TRUE,OR(E976&lt;0,E976&gt;999999999,ROUND(E976,3)&lt;&gt;E976))),"Invalid previous reading",IF(IF(NOT(ISNUMBER(F976)),TRUE,OR(F976&lt;0,F976&gt;999999999,ROUND(F976,3)&lt;&gt;F976)),"Invalid last service",IF(AND(E976&lt;&gt;"",D976&lt;E976),"Decreased reading",IF(F976&gt;D976,"Last service above current","")))))))))))))</x:f>
      </x:c>
      <x:c r="L976" s="6" t="str">
        <x:f>IF(AND(NOT(COUNTA(A976:F976)=0),K976=""),INDEX('Rules'!$C$7:$C$26,MATCH(SUBSTITUTE(SUBSTITUTE(SUBSTITUTE(SUBSTITUTE("type:"&amp;B976,"%","%25"),"~","%7E"),"*","%2A"),"?","%3F"),'Rules'!$G$7:$G$26,0)),"")</x:f>
      </x:c>
      <x:c r="M976" s="6" t="str">
        <x:f>IF(AND(NOT(COUNTA(A976:F976)=0),K976=""),INDEX('Rules'!$D$7:$D$26,MATCH(SUBSTITUTE(SUBSTITUTE(SUBSTITUTE(SUBSTITUTE("type:"&amp;B976,"%","%25"),"~","%7E"),"*","%2A"),"?","%3F"),'Rules'!$G$7:$G$26,0)),"")</x:f>
      </x:c>
      <x:c r="N976" s="5" t="str">
        <x:f>IF(COUNTA(A976:F976)=0,"",SUBSTITUTE(SUBSTITUTE(SUBSTITUTE(SUBSTITUTE("id:"&amp;A976,"%","%25"),"~","%7E"),"*","%2A"),"?","%3F"))</x:f>
      </x:c>
    </x:row>
    <x:row r="977" ht="22" customHeight="1">
      <x:c r="A977" s="3"/>
      <x:c r="B977" s="3"/>
      <x:c r="C977" s="3"/>
      <x:c r="D977" s="4"/>
      <x:c r="E977" s="4"/>
      <x:c r="F977" s="4"/>
      <x:c r="G977" s="5" t="str">
        <x:f>IF(COUNTA(A977:F977)=0,"",IF(K977&lt;&gt;"","Review",IF(I977&lt;0,"Overdue",IF(I977=0,"Due now",IF(I977&lt;=M977,"Due soon","Not due")))))</x:f>
      </x:c>
      <x:c r="H977" s="5" t="str">
        <x:f>IF(OR(COUNTA(A977:F977)=0,COUNTIFS('Rules'!$G$7:$G$26,"="&amp;(SUBSTITUTE(SUBSTITUTE(SUBSTITUTE(SUBSTITUTE("type:"&amp;B977,"%","%25"),"~","%7E"),"*","%2A"),"?","%3F")))&lt;&gt;1),"",IF(OR(INDEX('Rules'!$B$7:$B$26,MATCH(SUBSTITUTE(SUBSTITUTE(SUBSTITUTE(SUBSTITUTE("type:"&amp;B977,"%","%25"),"~","%7E"),"*","%2A"),"?","%3F"),'Rules'!$G$7:$G$26,0))="hours",INDEX('Rules'!$B$7:$B$26,MATCH(SUBSTITUTE(SUBSTITUTE(SUBSTITUTE(SUBSTITUTE("type:"&amp;B977,"%","%25"),"~","%7E"),"*","%2A"),"?","%3F"),'Rules'!$G$7:$G$26,0))="km"),INDEX('Rules'!$B$7:$B$26,MATCH(SUBSTITUTE(SUBSTITUTE(SUBSTITUTE(SUBSTITUTE("type:"&amp;B977,"%","%25"),"~","%7E"),"*","%2A"),"?","%3F"),'Rules'!$G$7:$G$26,0)),""))</x:f>
      </x:c>
      <x:c r="I977" s="6" t="str">
        <x:f>IF(AND(NOT(COUNTA(A977:F977)=0),K977=""),ROUND(J977-D977,3),"")</x:f>
      </x:c>
      <x:c r="J977" s="6" t="str">
        <x:f>IF(AND(NOT(COUNTA(A977:F977)=0),K977=""),ROUND(F977+L977,3),"")</x:f>
      </x:c>
      <x:c r="K977" s="5" t="str">
        <x:f>IF(COUNTA(A977:F977)=0,"",IF(A977="","Missing equipment ID",IF(COUNTIFS($N$8:$N$2007,"="&amp;N977)&gt;1,"Duplicate equipment ID",IF(B977="","Missing type",IF(COUNTIFS('Rules'!$G$7:$G$26,"="&amp;(SUBSTITUTE(SUBSTITUTE(SUBSTITUTE(SUBSTITUTE("type:"&amp;B977,"%","%25"),"~","%7E"),"*","%2A"),"?","%3F")))=0,"Unknown type",IF(COUNTIFS('Rules'!$G$7:$G$26,"="&amp;(SUBSTITUTE(SUBSTITUTE(SUBSTITUTE(SUBSTITUTE("type:"&amp;B977,"%","%25"),"~","%7E"),"*","%2A"),"?","%3F")))&gt;1,"Duplicate type",IF(INDEX('Rules'!$F$7:$F$26,MATCH(SUBSTITUTE(SUBSTITUTE(SUBSTITUTE(SUBSTITUTE("type:"&amp;B977,"%","%25"),"~","%7E"),"*","%2A"),"?","%3F"),'Rules'!$G$7:$G$26,0))&lt;&gt;"",INDEX('Rules'!$F$7:$F$26,MATCH(SUBSTITUTE(SUBSTITUTE(SUBSTITUTE(SUBSTITUTE("type:"&amp;B977,"%","%25"),"~","%7E"),"*","%2A"),"?","%3F"),'Rules'!$G$7:$G$26,0)),IF(AND(C977&lt;&gt;"",C977&lt;&gt;INDEX('Rules'!$B$7:$B$26,MATCH(SUBSTITUTE(SUBSTITUTE(SUBSTITUTE(SUBSTITUTE("type:"&amp;B977,"%","%25"),"~","%7E"),"*","%2A"),"?","%3F"),'Rules'!$G$7:$G$26,0))),"Unit mismatch",IF(IF(NOT(ISNUMBER(D977)),TRUE,OR(D977&lt;0,D977&gt;999999999,ROUND(D977,3)&lt;&gt;D977)),"Invalid current reading",IF(AND(E977&lt;&gt;"",IF(NOT(ISNUMBER(E977)),TRUE,OR(E977&lt;0,E977&gt;999999999,ROUND(E977,3)&lt;&gt;E977))),"Invalid previous reading",IF(IF(NOT(ISNUMBER(F977)),TRUE,OR(F977&lt;0,F977&gt;999999999,ROUND(F977,3)&lt;&gt;F977)),"Invalid last service",IF(AND(E977&lt;&gt;"",D977&lt;E977),"Decreased reading",IF(F977&gt;D977,"Last service above current","")))))))))))))</x:f>
      </x:c>
      <x:c r="L977" s="6" t="str">
        <x:f>IF(AND(NOT(COUNTA(A977:F977)=0),K977=""),INDEX('Rules'!$C$7:$C$26,MATCH(SUBSTITUTE(SUBSTITUTE(SUBSTITUTE(SUBSTITUTE("type:"&amp;B977,"%","%25"),"~","%7E"),"*","%2A"),"?","%3F"),'Rules'!$G$7:$G$26,0)),"")</x:f>
      </x:c>
      <x:c r="M977" s="6" t="str">
        <x:f>IF(AND(NOT(COUNTA(A977:F977)=0),K977=""),INDEX('Rules'!$D$7:$D$26,MATCH(SUBSTITUTE(SUBSTITUTE(SUBSTITUTE(SUBSTITUTE("type:"&amp;B977,"%","%25"),"~","%7E"),"*","%2A"),"?","%3F"),'Rules'!$G$7:$G$26,0)),"")</x:f>
      </x:c>
      <x:c r="N977" s="5" t="str">
        <x:f>IF(COUNTA(A977:F977)=0,"",SUBSTITUTE(SUBSTITUTE(SUBSTITUTE(SUBSTITUTE("id:"&amp;A977,"%","%25"),"~","%7E"),"*","%2A"),"?","%3F"))</x:f>
      </x:c>
    </x:row>
    <x:row r="978" ht="22" customHeight="1">
      <x:c r="A978" s="3"/>
      <x:c r="B978" s="3"/>
      <x:c r="C978" s="3"/>
      <x:c r="D978" s="4"/>
      <x:c r="E978" s="4"/>
      <x:c r="F978" s="4"/>
      <x:c r="G978" s="5" t="str">
        <x:f>IF(COUNTA(A978:F978)=0,"",IF(K978&lt;&gt;"","Review",IF(I978&lt;0,"Overdue",IF(I978=0,"Due now",IF(I978&lt;=M978,"Due soon","Not due")))))</x:f>
      </x:c>
      <x:c r="H978" s="5" t="str">
        <x:f>IF(OR(COUNTA(A978:F978)=0,COUNTIFS('Rules'!$G$7:$G$26,"="&amp;(SUBSTITUTE(SUBSTITUTE(SUBSTITUTE(SUBSTITUTE("type:"&amp;B978,"%","%25"),"~","%7E"),"*","%2A"),"?","%3F")))&lt;&gt;1),"",IF(OR(INDEX('Rules'!$B$7:$B$26,MATCH(SUBSTITUTE(SUBSTITUTE(SUBSTITUTE(SUBSTITUTE("type:"&amp;B978,"%","%25"),"~","%7E"),"*","%2A"),"?","%3F"),'Rules'!$G$7:$G$26,0))="hours",INDEX('Rules'!$B$7:$B$26,MATCH(SUBSTITUTE(SUBSTITUTE(SUBSTITUTE(SUBSTITUTE("type:"&amp;B978,"%","%25"),"~","%7E"),"*","%2A"),"?","%3F"),'Rules'!$G$7:$G$26,0))="km"),INDEX('Rules'!$B$7:$B$26,MATCH(SUBSTITUTE(SUBSTITUTE(SUBSTITUTE(SUBSTITUTE("type:"&amp;B978,"%","%25"),"~","%7E"),"*","%2A"),"?","%3F"),'Rules'!$G$7:$G$26,0)),""))</x:f>
      </x:c>
      <x:c r="I978" s="6" t="str">
        <x:f>IF(AND(NOT(COUNTA(A978:F978)=0),K978=""),ROUND(J978-D978,3),"")</x:f>
      </x:c>
      <x:c r="J978" s="6" t="str">
        <x:f>IF(AND(NOT(COUNTA(A978:F978)=0),K978=""),ROUND(F978+L978,3),"")</x:f>
      </x:c>
      <x:c r="K978" s="5" t="str">
        <x:f>IF(COUNTA(A978:F978)=0,"",IF(A978="","Missing equipment ID",IF(COUNTIFS($N$8:$N$2007,"="&amp;N978)&gt;1,"Duplicate equipment ID",IF(B978="","Missing type",IF(COUNTIFS('Rules'!$G$7:$G$26,"="&amp;(SUBSTITUTE(SUBSTITUTE(SUBSTITUTE(SUBSTITUTE("type:"&amp;B978,"%","%25"),"~","%7E"),"*","%2A"),"?","%3F")))=0,"Unknown type",IF(COUNTIFS('Rules'!$G$7:$G$26,"="&amp;(SUBSTITUTE(SUBSTITUTE(SUBSTITUTE(SUBSTITUTE("type:"&amp;B978,"%","%25"),"~","%7E"),"*","%2A"),"?","%3F")))&gt;1,"Duplicate type",IF(INDEX('Rules'!$F$7:$F$26,MATCH(SUBSTITUTE(SUBSTITUTE(SUBSTITUTE(SUBSTITUTE("type:"&amp;B978,"%","%25"),"~","%7E"),"*","%2A"),"?","%3F"),'Rules'!$G$7:$G$26,0))&lt;&gt;"",INDEX('Rules'!$F$7:$F$26,MATCH(SUBSTITUTE(SUBSTITUTE(SUBSTITUTE(SUBSTITUTE("type:"&amp;B978,"%","%25"),"~","%7E"),"*","%2A"),"?","%3F"),'Rules'!$G$7:$G$26,0)),IF(AND(C978&lt;&gt;"",C978&lt;&gt;INDEX('Rules'!$B$7:$B$26,MATCH(SUBSTITUTE(SUBSTITUTE(SUBSTITUTE(SUBSTITUTE("type:"&amp;B978,"%","%25"),"~","%7E"),"*","%2A"),"?","%3F"),'Rules'!$G$7:$G$26,0))),"Unit mismatch",IF(IF(NOT(ISNUMBER(D978)),TRUE,OR(D978&lt;0,D978&gt;999999999,ROUND(D978,3)&lt;&gt;D978)),"Invalid current reading",IF(AND(E978&lt;&gt;"",IF(NOT(ISNUMBER(E978)),TRUE,OR(E978&lt;0,E978&gt;999999999,ROUND(E978,3)&lt;&gt;E978))),"Invalid previous reading",IF(IF(NOT(ISNUMBER(F978)),TRUE,OR(F978&lt;0,F978&gt;999999999,ROUND(F978,3)&lt;&gt;F978)),"Invalid last service",IF(AND(E978&lt;&gt;"",D978&lt;E978),"Decreased reading",IF(F978&gt;D978,"Last service above current","")))))))))))))</x:f>
      </x:c>
      <x:c r="L978" s="6" t="str">
        <x:f>IF(AND(NOT(COUNTA(A978:F978)=0),K978=""),INDEX('Rules'!$C$7:$C$26,MATCH(SUBSTITUTE(SUBSTITUTE(SUBSTITUTE(SUBSTITUTE("type:"&amp;B978,"%","%25"),"~","%7E"),"*","%2A"),"?","%3F"),'Rules'!$G$7:$G$26,0)),"")</x:f>
      </x:c>
      <x:c r="M978" s="6" t="str">
        <x:f>IF(AND(NOT(COUNTA(A978:F978)=0),K978=""),INDEX('Rules'!$D$7:$D$26,MATCH(SUBSTITUTE(SUBSTITUTE(SUBSTITUTE(SUBSTITUTE("type:"&amp;B978,"%","%25"),"~","%7E"),"*","%2A"),"?","%3F"),'Rules'!$G$7:$G$26,0)),"")</x:f>
      </x:c>
      <x:c r="N978" s="5" t="str">
        <x:f>IF(COUNTA(A978:F978)=0,"",SUBSTITUTE(SUBSTITUTE(SUBSTITUTE(SUBSTITUTE("id:"&amp;A978,"%","%25"),"~","%7E"),"*","%2A"),"?","%3F"))</x:f>
      </x:c>
    </x:row>
    <x:row r="979" ht="22" customHeight="1">
      <x:c r="A979" s="3"/>
      <x:c r="B979" s="3"/>
      <x:c r="C979" s="3"/>
      <x:c r="D979" s="4"/>
      <x:c r="E979" s="4"/>
      <x:c r="F979" s="4"/>
      <x:c r="G979" s="5" t="str">
        <x:f>IF(COUNTA(A979:F979)=0,"",IF(K979&lt;&gt;"","Review",IF(I979&lt;0,"Overdue",IF(I979=0,"Due now",IF(I979&lt;=M979,"Due soon","Not due")))))</x:f>
      </x:c>
      <x:c r="H979" s="5" t="str">
        <x:f>IF(OR(COUNTA(A979:F979)=0,COUNTIFS('Rules'!$G$7:$G$26,"="&amp;(SUBSTITUTE(SUBSTITUTE(SUBSTITUTE(SUBSTITUTE("type:"&amp;B979,"%","%25"),"~","%7E"),"*","%2A"),"?","%3F")))&lt;&gt;1),"",IF(OR(INDEX('Rules'!$B$7:$B$26,MATCH(SUBSTITUTE(SUBSTITUTE(SUBSTITUTE(SUBSTITUTE("type:"&amp;B979,"%","%25"),"~","%7E"),"*","%2A"),"?","%3F"),'Rules'!$G$7:$G$26,0))="hours",INDEX('Rules'!$B$7:$B$26,MATCH(SUBSTITUTE(SUBSTITUTE(SUBSTITUTE(SUBSTITUTE("type:"&amp;B979,"%","%25"),"~","%7E"),"*","%2A"),"?","%3F"),'Rules'!$G$7:$G$26,0))="km"),INDEX('Rules'!$B$7:$B$26,MATCH(SUBSTITUTE(SUBSTITUTE(SUBSTITUTE(SUBSTITUTE("type:"&amp;B979,"%","%25"),"~","%7E"),"*","%2A"),"?","%3F"),'Rules'!$G$7:$G$26,0)),""))</x:f>
      </x:c>
      <x:c r="I979" s="6" t="str">
        <x:f>IF(AND(NOT(COUNTA(A979:F979)=0),K979=""),ROUND(J979-D979,3),"")</x:f>
      </x:c>
      <x:c r="J979" s="6" t="str">
        <x:f>IF(AND(NOT(COUNTA(A979:F979)=0),K979=""),ROUND(F979+L979,3),"")</x:f>
      </x:c>
      <x:c r="K979" s="5" t="str">
        <x:f>IF(COUNTA(A979:F979)=0,"",IF(A979="","Missing equipment ID",IF(COUNTIFS($N$8:$N$2007,"="&amp;N979)&gt;1,"Duplicate equipment ID",IF(B979="","Missing type",IF(COUNTIFS('Rules'!$G$7:$G$26,"="&amp;(SUBSTITUTE(SUBSTITUTE(SUBSTITUTE(SUBSTITUTE("type:"&amp;B979,"%","%25"),"~","%7E"),"*","%2A"),"?","%3F")))=0,"Unknown type",IF(COUNTIFS('Rules'!$G$7:$G$26,"="&amp;(SUBSTITUTE(SUBSTITUTE(SUBSTITUTE(SUBSTITUTE("type:"&amp;B979,"%","%25"),"~","%7E"),"*","%2A"),"?","%3F")))&gt;1,"Duplicate type",IF(INDEX('Rules'!$F$7:$F$26,MATCH(SUBSTITUTE(SUBSTITUTE(SUBSTITUTE(SUBSTITUTE("type:"&amp;B979,"%","%25"),"~","%7E"),"*","%2A"),"?","%3F"),'Rules'!$G$7:$G$26,0))&lt;&gt;"",INDEX('Rules'!$F$7:$F$26,MATCH(SUBSTITUTE(SUBSTITUTE(SUBSTITUTE(SUBSTITUTE("type:"&amp;B979,"%","%25"),"~","%7E"),"*","%2A"),"?","%3F"),'Rules'!$G$7:$G$26,0)),IF(AND(C979&lt;&gt;"",C979&lt;&gt;INDEX('Rules'!$B$7:$B$26,MATCH(SUBSTITUTE(SUBSTITUTE(SUBSTITUTE(SUBSTITUTE("type:"&amp;B979,"%","%25"),"~","%7E"),"*","%2A"),"?","%3F"),'Rules'!$G$7:$G$26,0))),"Unit mismatch",IF(IF(NOT(ISNUMBER(D979)),TRUE,OR(D979&lt;0,D979&gt;999999999,ROUND(D979,3)&lt;&gt;D979)),"Invalid current reading",IF(AND(E979&lt;&gt;"",IF(NOT(ISNUMBER(E979)),TRUE,OR(E979&lt;0,E979&gt;999999999,ROUND(E979,3)&lt;&gt;E979))),"Invalid previous reading",IF(IF(NOT(ISNUMBER(F979)),TRUE,OR(F979&lt;0,F979&gt;999999999,ROUND(F979,3)&lt;&gt;F979)),"Invalid last service",IF(AND(E979&lt;&gt;"",D979&lt;E979),"Decreased reading",IF(F979&gt;D979,"Last service above current","")))))))))))))</x:f>
      </x:c>
      <x:c r="L979" s="6" t="str">
        <x:f>IF(AND(NOT(COUNTA(A979:F979)=0),K979=""),INDEX('Rules'!$C$7:$C$26,MATCH(SUBSTITUTE(SUBSTITUTE(SUBSTITUTE(SUBSTITUTE("type:"&amp;B979,"%","%25"),"~","%7E"),"*","%2A"),"?","%3F"),'Rules'!$G$7:$G$26,0)),"")</x:f>
      </x:c>
      <x:c r="M979" s="6" t="str">
        <x:f>IF(AND(NOT(COUNTA(A979:F979)=0),K979=""),INDEX('Rules'!$D$7:$D$26,MATCH(SUBSTITUTE(SUBSTITUTE(SUBSTITUTE(SUBSTITUTE("type:"&amp;B979,"%","%25"),"~","%7E"),"*","%2A"),"?","%3F"),'Rules'!$G$7:$G$26,0)),"")</x:f>
      </x:c>
      <x:c r="N979" s="5" t="str">
        <x:f>IF(COUNTA(A979:F979)=0,"",SUBSTITUTE(SUBSTITUTE(SUBSTITUTE(SUBSTITUTE("id:"&amp;A979,"%","%25"),"~","%7E"),"*","%2A"),"?","%3F"))</x:f>
      </x:c>
    </x:row>
    <x:row r="980" ht="22" customHeight="1">
      <x:c r="A980" s="3"/>
      <x:c r="B980" s="3"/>
      <x:c r="C980" s="3"/>
      <x:c r="D980" s="4"/>
      <x:c r="E980" s="4"/>
      <x:c r="F980" s="4"/>
      <x:c r="G980" s="5" t="str">
        <x:f>IF(COUNTA(A980:F980)=0,"",IF(K980&lt;&gt;"","Review",IF(I980&lt;0,"Overdue",IF(I980=0,"Due now",IF(I980&lt;=M980,"Due soon","Not due")))))</x:f>
      </x:c>
      <x:c r="H980" s="5" t="str">
        <x:f>IF(OR(COUNTA(A980:F980)=0,COUNTIFS('Rules'!$G$7:$G$26,"="&amp;(SUBSTITUTE(SUBSTITUTE(SUBSTITUTE(SUBSTITUTE("type:"&amp;B980,"%","%25"),"~","%7E"),"*","%2A"),"?","%3F")))&lt;&gt;1),"",IF(OR(INDEX('Rules'!$B$7:$B$26,MATCH(SUBSTITUTE(SUBSTITUTE(SUBSTITUTE(SUBSTITUTE("type:"&amp;B980,"%","%25"),"~","%7E"),"*","%2A"),"?","%3F"),'Rules'!$G$7:$G$26,0))="hours",INDEX('Rules'!$B$7:$B$26,MATCH(SUBSTITUTE(SUBSTITUTE(SUBSTITUTE(SUBSTITUTE("type:"&amp;B980,"%","%25"),"~","%7E"),"*","%2A"),"?","%3F"),'Rules'!$G$7:$G$26,0))="km"),INDEX('Rules'!$B$7:$B$26,MATCH(SUBSTITUTE(SUBSTITUTE(SUBSTITUTE(SUBSTITUTE("type:"&amp;B980,"%","%25"),"~","%7E"),"*","%2A"),"?","%3F"),'Rules'!$G$7:$G$26,0)),""))</x:f>
      </x:c>
      <x:c r="I980" s="6" t="str">
        <x:f>IF(AND(NOT(COUNTA(A980:F980)=0),K980=""),ROUND(J980-D980,3),"")</x:f>
      </x:c>
      <x:c r="J980" s="6" t="str">
        <x:f>IF(AND(NOT(COUNTA(A980:F980)=0),K980=""),ROUND(F980+L980,3),"")</x:f>
      </x:c>
      <x:c r="K980" s="5" t="str">
        <x:f>IF(COUNTA(A980:F980)=0,"",IF(A980="","Missing equipment ID",IF(COUNTIFS($N$8:$N$2007,"="&amp;N980)&gt;1,"Duplicate equipment ID",IF(B980="","Missing type",IF(COUNTIFS('Rules'!$G$7:$G$26,"="&amp;(SUBSTITUTE(SUBSTITUTE(SUBSTITUTE(SUBSTITUTE("type:"&amp;B980,"%","%25"),"~","%7E"),"*","%2A"),"?","%3F")))=0,"Unknown type",IF(COUNTIFS('Rules'!$G$7:$G$26,"="&amp;(SUBSTITUTE(SUBSTITUTE(SUBSTITUTE(SUBSTITUTE("type:"&amp;B980,"%","%25"),"~","%7E"),"*","%2A"),"?","%3F")))&gt;1,"Duplicate type",IF(INDEX('Rules'!$F$7:$F$26,MATCH(SUBSTITUTE(SUBSTITUTE(SUBSTITUTE(SUBSTITUTE("type:"&amp;B980,"%","%25"),"~","%7E"),"*","%2A"),"?","%3F"),'Rules'!$G$7:$G$26,0))&lt;&gt;"",INDEX('Rules'!$F$7:$F$26,MATCH(SUBSTITUTE(SUBSTITUTE(SUBSTITUTE(SUBSTITUTE("type:"&amp;B980,"%","%25"),"~","%7E"),"*","%2A"),"?","%3F"),'Rules'!$G$7:$G$26,0)),IF(AND(C980&lt;&gt;"",C980&lt;&gt;INDEX('Rules'!$B$7:$B$26,MATCH(SUBSTITUTE(SUBSTITUTE(SUBSTITUTE(SUBSTITUTE("type:"&amp;B980,"%","%25"),"~","%7E"),"*","%2A"),"?","%3F"),'Rules'!$G$7:$G$26,0))),"Unit mismatch",IF(IF(NOT(ISNUMBER(D980)),TRUE,OR(D980&lt;0,D980&gt;999999999,ROUND(D980,3)&lt;&gt;D980)),"Invalid current reading",IF(AND(E980&lt;&gt;"",IF(NOT(ISNUMBER(E980)),TRUE,OR(E980&lt;0,E980&gt;999999999,ROUND(E980,3)&lt;&gt;E980))),"Invalid previous reading",IF(IF(NOT(ISNUMBER(F980)),TRUE,OR(F980&lt;0,F980&gt;999999999,ROUND(F980,3)&lt;&gt;F980)),"Invalid last service",IF(AND(E980&lt;&gt;"",D980&lt;E980),"Decreased reading",IF(F980&gt;D980,"Last service above current","")))))))))))))</x:f>
      </x:c>
      <x:c r="L980" s="6" t="str">
        <x:f>IF(AND(NOT(COUNTA(A980:F980)=0),K980=""),INDEX('Rules'!$C$7:$C$26,MATCH(SUBSTITUTE(SUBSTITUTE(SUBSTITUTE(SUBSTITUTE("type:"&amp;B980,"%","%25"),"~","%7E"),"*","%2A"),"?","%3F"),'Rules'!$G$7:$G$26,0)),"")</x:f>
      </x:c>
      <x:c r="M980" s="6" t="str">
        <x:f>IF(AND(NOT(COUNTA(A980:F980)=0),K980=""),INDEX('Rules'!$D$7:$D$26,MATCH(SUBSTITUTE(SUBSTITUTE(SUBSTITUTE(SUBSTITUTE("type:"&amp;B980,"%","%25"),"~","%7E"),"*","%2A"),"?","%3F"),'Rules'!$G$7:$G$26,0)),"")</x:f>
      </x:c>
      <x:c r="N980" s="5" t="str">
        <x:f>IF(COUNTA(A980:F980)=0,"",SUBSTITUTE(SUBSTITUTE(SUBSTITUTE(SUBSTITUTE("id:"&amp;A980,"%","%25"),"~","%7E"),"*","%2A"),"?","%3F"))</x:f>
      </x:c>
    </x:row>
    <x:row r="981" ht="22" customHeight="1">
      <x:c r="A981" s="3"/>
      <x:c r="B981" s="3"/>
      <x:c r="C981" s="3"/>
      <x:c r="D981" s="4"/>
      <x:c r="E981" s="4"/>
      <x:c r="F981" s="4"/>
      <x:c r="G981" s="5" t="str">
        <x:f>IF(COUNTA(A981:F981)=0,"",IF(K981&lt;&gt;"","Review",IF(I981&lt;0,"Overdue",IF(I981=0,"Due now",IF(I981&lt;=M981,"Due soon","Not due")))))</x:f>
      </x:c>
      <x:c r="H981" s="5" t="str">
        <x:f>IF(OR(COUNTA(A981:F981)=0,COUNTIFS('Rules'!$G$7:$G$26,"="&amp;(SUBSTITUTE(SUBSTITUTE(SUBSTITUTE(SUBSTITUTE("type:"&amp;B981,"%","%25"),"~","%7E"),"*","%2A"),"?","%3F")))&lt;&gt;1),"",IF(OR(INDEX('Rules'!$B$7:$B$26,MATCH(SUBSTITUTE(SUBSTITUTE(SUBSTITUTE(SUBSTITUTE("type:"&amp;B981,"%","%25"),"~","%7E"),"*","%2A"),"?","%3F"),'Rules'!$G$7:$G$26,0))="hours",INDEX('Rules'!$B$7:$B$26,MATCH(SUBSTITUTE(SUBSTITUTE(SUBSTITUTE(SUBSTITUTE("type:"&amp;B981,"%","%25"),"~","%7E"),"*","%2A"),"?","%3F"),'Rules'!$G$7:$G$26,0))="km"),INDEX('Rules'!$B$7:$B$26,MATCH(SUBSTITUTE(SUBSTITUTE(SUBSTITUTE(SUBSTITUTE("type:"&amp;B981,"%","%25"),"~","%7E"),"*","%2A"),"?","%3F"),'Rules'!$G$7:$G$26,0)),""))</x:f>
      </x:c>
      <x:c r="I981" s="6" t="str">
        <x:f>IF(AND(NOT(COUNTA(A981:F981)=0),K981=""),ROUND(J981-D981,3),"")</x:f>
      </x:c>
      <x:c r="J981" s="6" t="str">
        <x:f>IF(AND(NOT(COUNTA(A981:F981)=0),K981=""),ROUND(F981+L981,3),"")</x:f>
      </x:c>
      <x:c r="K981" s="5" t="str">
        <x:f>IF(COUNTA(A981:F981)=0,"",IF(A981="","Missing equipment ID",IF(COUNTIFS($N$8:$N$2007,"="&amp;N981)&gt;1,"Duplicate equipment ID",IF(B981="","Missing type",IF(COUNTIFS('Rules'!$G$7:$G$26,"="&amp;(SUBSTITUTE(SUBSTITUTE(SUBSTITUTE(SUBSTITUTE("type:"&amp;B981,"%","%25"),"~","%7E"),"*","%2A"),"?","%3F")))=0,"Unknown type",IF(COUNTIFS('Rules'!$G$7:$G$26,"="&amp;(SUBSTITUTE(SUBSTITUTE(SUBSTITUTE(SUBSTITUTE("type:"&amp;B981,"%","%25"),"~","%7E"),"*","%2A"),"?","%3F")))&gt;1,"Duplicate type",IF(INDEX('Rules'!$F$7:$F$26,MATCH(SUBSTITUTE(SUBSTITUTE(SUBSTITUTE(SUBSTITUTE("type:"&amp;B981,"%","%25"),"~","%7E"),"*","%2A"),"?","%3F"),'Rules'!$G$7:$G$26,0))&lt;&gt;"",INDEX('Rules'!$F$7:$F$26,MATCH(SUBSTITUTE(SUBSTITUTE(SUBSTITUTE(SUBSTITUTE("type:"&amp;B981,"%","%25"),"~","%7E"),"*","%2A"),"?","%3F"),'Rules'!$G$7:$G$26,0)),IF(AND(C981&lt;&gt;"",C981&lt;&gt;INDEX('Rules'!$B$7:$B$26,MATCH(SUBSTITUTE(SUBSTITUTE(SUBSTITUTE(SUBSTITUTE("type:"&amp;B981,"%","%25"),"~","%7E"),"*","%2A"),"?","%3F"),'Rules'!$G$7:$G$26,0))),"Unit mismatch",IF(IF(NOT(ISNUMBER(D981)),TRUE,OR(D981&lt;0,D981&gt;999999999,ROUND(D981,3)&lt;&gt;D981)),"Invalid current reading",IF(AND(E981&lt;&gt;"",IF(NOT(ISNUMBER(E981)),TRUE,OR(E981&lt;0,E981&gt;999999999,ROUND(E981,3)&lt;&gt;E981))),"Invalid previous reading",IF(IF(NOT(ISNUMBER(F981)),TRUE,OR(F981&lt;0,F981&gt;999999999,ROUND(F981,3)&lt;&gt;F981)),"Invalid last service",IF(AND(E981&lt;&gt;"",D981&lt;E981),"Decreased reading",IF(F981&gt;D981,"Last service above current","")))))))))))))</x:f>
      </x:c>
      <x:c r="L981" s="6" t="str">
        <x:f>IF(AND(NOT(COUNTA(A981:F981)=0),K981=""),INDEX('Rules'!$C$7:$C$26,MATCH(SUBSTITUTE(SUBSTITUTE(SUBSTITUTE(SUBSTITUTE("type:"&amp;B981,"%","%25"),"~","%7E"),"*","%2A"),"?","%3F"),'Rules'!$G$7:$G$26,0)),"")</x:f>
      </x:c>
      <x:c r="M981" s="6" t="str">
        <x:f>IF(AND(NOT(COUNTA(A981:F981)=0),K981=""),INDEX('Rules'!$D$7:$D$26,MATCH(SUBSTITUTE(SUBSTITUTE(SUBSTITUTE(SUBSTITUTE("type:"&amp;B981,"%","%25"),"~","%7E"),"*","%2A"),"?","%3F"),'Rules'!$G$7:$G$26,0)),"")</x:f>
      </x:c>
      <x:c r="N981" s="5" t="str">
        <x:f>IF(COUNTA(A981:F981)=0,"",SUBSTITUTE(SUBSTITUTE(SUBSTITUTE(SUBSTITUTE("id:"&amp;A981,"%","%25"),"~","%7E"),"*","%2A"),"?","%3F"))</x:f>
      </x:c>
    </x:row>
    <x:row r="982" ht="22" customHeight="1">
      <x:c r="A982" s="3"/>
      <x:c r="B982" s="3"/>
      <x:c r="C982" s="3"/>
      <x:c r="D982" s="4"/>
      <x:c r="E982" s="4"/>
      <x:c r="F982" s="4"/>
      <x:c r="G982" s="5" t="str">
        <x:f>IF(COUNTA(A982:F982)=0,"",IF(K982&lt;&gt;"","Review",IF(I982&lt;0,"Overdue",IF(I982=0,"Due now",IF(I982&lt;=M982,"Due soon","Not due")))))</x:f>
      </x:c>
      <x:c r="H982" s="5" t="str">
        <x:f>IF(OR(COUNTA(A982:F982)=0,COUNTIFS('Rules'!$G$7:$G$26,"="&amp;(SUBSTITUTE(SUBSTITUTE(SUBSTITUTE(SUBSTITUTE("type:"&amp;B982,"%","%25"),"~","%7E"),"*","%2A"),"?","%3F")))&lt;&gt;1),"",IF(OR(INDEX('Rules'!$B$7:$B$26,MATCH(SUBSTITUTE(SUBSTITUTE(SUBSTITUTE(SUBSTITUTE("type:"&amp;B982,"%","%25"),"~","%7E"),"*","%2A"),"?","%3F"),'Rules'!$G$7:$G$26,0))="hours",INDEX('Rules'!$B$7:$B$26,MATCH(SUBSTITUTE(SUBSTITUTE(SUBSTITUTE(SUBSTITUTE("type:"&amp;B982,"%","%25"),"~","%7E"),"*","%2A"),"?","%3F"),'Rules'!$G$7:$G$26,0))="km"),INDEX('Rules'!$B$7:$B$26,MATCH(SUBSTITUTE(SUBSTITUTE(SUBSTITUTE(SUBSTITUTE("type:"&amp;B982,"%","%25"),"~","%7E"),"*","%2A"),"?","%3F"),'Rules'!$G$7:$G$26,0)),""))</x:f>
      </x:c>
      <x:c r="I982" s="6" t="str">
        <x:f>IF(AND(NOT(COUNTA(A982:F982)=0),K982=""),ROUND(J982-D982,3),"")</x:f>
      </x:c>
      <x:c r="J982" s="6" t="str">
        <x:f>IF(AND(NOT(COUNTA(A982:F982)=0),K982=""),ROUND(F982+L982,3),"")</x:f>
      </x:c>
      <x:c r="K982" s="5" t="str">
        <x:f>IF(COUNTA(A982:F982)=0,"",IF(A982="","Missing equipment ID",IF(COUNTIFS($N$8:$N$2007,"="&amp;N982)&gt;1,"Duplicate equipment ID",IF(B982="","Missing type",IF(COUNTIFS('Rules'!$G$7:$G$26,"="&amp;(SUBSTITUTE(SUBSTITUTE(SUBSTITUTE(SUBSTITUTE("type:"&amp;B982,"%","%25"),"~","%7E"),"*","%2A"),"?","%3F")))=0,"Unknown type",IF(COUNTIFS('Rules'!$G$7:$G$26,"="&amp;(SUBSTITUTE(SUBSTITUTE(SUBSTITUTE(SUBSTITUTE("type:"&amp;B982,"%","%25"),"~","%7E"),"*","%2A"),"?","%3F")))&gt;1,"Duplicate type",IF(INDEX('Rules'!$F$7:$F$26,MATCH(SUBSTITUTE(SUBSTITUTE(SUBSTITUTE(SUBSTITUTE("type:"&amp;B982,"%","%25"),"~","%7E"),"*","%2A"),"?","%3F"),'Rules'!$G$7:$G$26,0))&lt;&gt;"",INDEX('Rules'!$F$7:$F$26,MATCH(SUBSTITUTE(SUBSTITUTE(SUBSTITUTE(SUBSTITUTE("type:"&amp;B982,"%","%25"),"~","%7E"),"*","%2A"),"?","%3F"),'Rules'!$G$7:$G$26,0)),IF(AND(C982&lt;&gt;"",C982&lt;&gt;INDEX('Rules'!$B$7:$B$26,MATCH(SUBSTITUTE(SUBSTITUTE(SUBSTITUTE(SUBSTITUTE("type:"&amp;B982,"%","%25"),"~","%7E"),"*","%2A"),"?","%3F"),'Rules'!$G$7:$G$26,0))),"Unit mismatch",IF(IF(NOT(ISNUMBER(D982)),TRUE,OR(D982&lt;0,D982&gt;999999999,ROUND(D982,3)&lt;&gt;D982)),"Invalid current reading",IF(AND(E982&lt;&gt;"",IF(NOT(ISNUMBER(E982)),TRUE,OR(E982&lt;0,E982&gt;999999999,ROUND(E982,3)&lt;&gt;E982))),"Invalid previous reading",IF(IF(NOT(ISNUMBER(F982)),TRUE,OR(F982&lt;0,F982&gt;999999999,ROUND(F982,3)&lt;&gt;F982)),"Invalid last service",IF(AND(E982&lt;&gt;"",D982&lt;E982),"Decreased reading",IF(F982&gt;D982,"Last service above current","")))))))))))))</x:f>
      </x:c>
      <x:c r="L982" s="6" t="str">
        <x:f>IF(AND(NOT(COUNTA(A982:F982)=0),K982=""),INDEX('Rules'!$C$7:$C$26,MATCH(SUBSTITUTE(SUBSTITUTE(SUBSTITUTE(SUBSTITUTE("type:"&amp;B982,"%","%25"),"~","%7E"),"*","%2A"),"?","%3F"),'Rules'!$G$7:$G$26,0)),"")</x:f>
      </x:c>
      <x:c r="M982" s="6" t="str">
        <x:f>IF(AND(NOT(COUNTA(A982:F982)=0),K982=""),INDEX('Rules'!$D$7:$D$26,MATCH(SUBSTITUTE(SUBSTITUTE(SUBSTITUTE(SUBSTITUTE("type:"&amp;B982,"%","%25"),"~","%7E"),"*","%2A"),"?","%3F"),'Rules'!$G$7:$G$26,0)),"")</x:f>
      </x:c>
      <x:c r="N982" s="5" t="str">
        <x:f>IF(COUNTA(A982:F982)=0,"",SUBSTITUTE(SUBSTITUTE(SUBSTITUTE(SUBSTITUTE("id:"&amp;A982,"%","%25"),"~","%7E"),"*","%2A"),"?","%3F"))</x:f>
      </x:c>
    </x:row>
    <x:row r="983" ht="22" customHeight="1">
      <x:c r="A983" s="3"/>
      <x:c r="B983" s="3"/>
      <x:c r="C983" s="3"/>
      <x:c r="D983" s="4"/>
      <x:c r="E983" s="4"/>
      <x:c r="F983" s="4"/>
      <x:c r="G983" s="5" t="str">
        <x:f>IF(COUNTA(A983:F983)=0,"",IF(K983&lt;&gt;"","Review",IF(I983&lt;0,"Overdue",IF(I983=0,"Due now",IF(I983&lt;=M983,"Due soon","Not due")))))</x:f>
      </x:c>
      <x:c r="H983" s="5" t="str">
        <x:f>IF(OR(COUNTA(A983:F983)=0,COUNTIFS('Rules'!$G$7:$G$26,"="&amp;(SUBSTITUTE(SUBSTITUTE(SUBSTITUTE(SUBSTITUTE("type:"&amp;B983,"%","%25"),"~","%7E"),"*","%2A"),"?","%3F")))&lt;&gt;1),"",IF(OR(INDEX('Rules'!$B$7:$B$26,MATCH(SUBSTITUTE(SUBSTITUTE(SUBSTITUTE(SUBSTITUTE("type:"&amp;B983,"%","%25"),"~","%7E"),"*","%2A"),"?","%3F"),'Rules'!$G$7:$G$26,0))="hours",INDEX('Rules'!$B$7:$B$26,MATCH(SUBSTITUTE(SUBSTITUTE(SUBSTITUTE(SUBSTITUTE("type:"&amp;B983,"%","%25"),"~","%7E"),"*","%2A"),"?","%3F"),'Rules'!$G$7:$G$26,0))="km"),INDEX('Rules'!$B$7:$B$26,MATCH(SUBSTITUTE(SUBSTITUTE(SUBSTITUTE(SUBSTITUTE("type:"&amp;B983,"%","%25"),"~","%7E"),"*","%2A"),"?","%3F"),'Rules'!$G$7:$G$26,0)),""))</x:f>
      </x:c>
      <x:c r="I983" s="6" t="str">
        <x:f>IF(AND(NOT(COUNTA(A983:F983)=0),K983=""),ROUND(J983-D983,3),"")</x:f>
      </x:c>
      <x:c r="J983" s="6" t="str">
        <x:f>IF(AND(NOT(COUNTA(A983:F983)=0),K983=""),ROUND(F983+L983,3),"")</x:f>
      </x:c>
      <x:c r="K983" s="5" t="str">
        <x:f>IF(COUNTA(A983:F983)=0,"",IF(A983="","Missing equipment ID",IF(COUNTIFS($N$8:$N$2007,"="&amp;N983)&gt;1,"Duplicate equipment ID",IF(B983="","Missing type",IF(COUNTIFS('Rules'!$G$7:$G$26,"="&amp;(SUBSTITUTE(SUBSTITUTE(SUBSTITUTE(SUBSTITUTE("type:"&amp;B983,"%","%25"),"~","%7E"),"*","%2A"),"?","%3F")))=0,"Unknown type",IF(COUNTIFS('Rules'!$G$7:$G$26,"="&amp;(SUBSTITUTE(SUBSTITUTE(SUBSTITUTE(SUBSTITUTE("type:"&amp;B983,"%","%25"),"~","%7E"),"*","%2A"),"?","%3F")))&gt;1,"Duplicate type",IF(INDEX('Rules'!$F$7:$F$26,MATCH(SUBSTITUTE(SUBSTITUTE(SUBSTITUTE(SUBSTITUTE("type:"&amp;B983,"%","%25"),"~","%7E"),"*","%2A"),"?","%3F"),'Rules'!$G$7:$G$26,0))&lt;&gt;"",INDEX('Rules'!$F$7:$F$26,MATCH(SUBSTITUTE(SUBSTITUTE(SUBSTITUTE(SUBSTITUTE("type:"&amp;B983,"%","%25"),"~","%7E"),"*","%2A"),"?","%3F"),'Rules'!$G$7:$G$26,0)),IF(AND(C983&lt;&gt;"",C983&lt;&gt;INDEX('Rules'!$B$7:$B$26,MATCH(SUBSTITUTE(SUBSTITUTE(SUBSTITUTE(SUBSTITUTE("type:"&amp;B983,"%","%25"),"~","%7E"),"*","%2A"),"?","%3F"),'Rules'!$G$7:$G$26,0))),"Unit mismatch",IF(IF(NOT(ISNUMBER(D983)),TRUE,OR(D983&lt;0,D983&gt;999999999,ROUND(D983,3)&lt;&gt;D983)),"Invalid current reading",IF(AND(E983&lt;&gt;"",IF(NOT(ISNUMBER(E983)),TRUE,OR(E983&lt;0,E983&gt;999999999,ROUND(E983,3)&lt;&gt;E983))),"Invalid previous reading",IF(IF(NOT(ISNUMBER(F983)),TRUE,OR(F983&lt;0,F983&gt;999999999,ROUND(F983,3)&lt;&gt;F983)),"Invalid last service",IF(AND(E983&lt;&gt;"",D983&lt;E983),"Decreased reading",IF(F983&gt;D983,"Last service above current","")))))))))))))</x:f>
      </x:c>
      <x:c r="L983" s="6" t="str">
        <x:f>IF(AND(NOT(COUNTA(A983:F983)=0),K983=""),INDEX('Rules'!$C$7:$C$26,MATCH(SUBSTITUTE(SUBSTITUTE(SUBSTITUTE(SUBSTITUTE("type:"&amp;B983,"%","%25"),"~","%7E"),"*","%2A"),"?","%3F"),'Rules'!$G$7:$G$26,0)),"")</x:f>
      </x:c>
      <x:c r="M983" s="6" t="str">
        <x:f>IF(AND(NOT(COUNTA(A983:F983)=0),K983=""),INDEX('Rules'!$D$7:$D$26,MATCH(SUBSTITUTE(SUBSTITUTE(SUBSTITUTE(SUBSTITUTE("type:"&amp;B983,"%","%25"),"~","%7E"),"*","%2A"),"?","%3F"),'Rules'!$G$7:$G$26,0)),"")</x:f>
      </x:c>
      <x:c r="N983" s="5" t="str">
        <x:f>IF(COUNTA(A983:F983)=0,"",SUBSTITUTE(SUBSTITUTE(SUBSTITUTE(SUBSTITUTE("id:"&amp;A983,"%","%25"),"~","%7E"),"*","%2A"),"?","%3F"))</x:f>
      </x:c>
    </x:row>
    <x:row r="984" ht="22" customHeight="1">
      <x:c r="A984" s="3"/>
      <x:c r="B984" s="3"/>
      <x:c r="C984" s="3"/>
      <x:c r="D984" s="4"/>
      <x:c r="E984" s="4"/>
      <x:c r="F984" s="4"/>
      <x:c r="G984" s="5" t="str">
        <x:f>IF(COUNTA(A984:F984)=0,"",IF(K984&lt;&gt;"","Review",IF(I984&lt;0,"Overdue",IF(I984=0,"Due now",IF(I984&lt;=M984,"Due soon","Not due")))))</x:f>
      </x:c>
      <x:c r="H984" s="5" t="str">
        <x:f>IF(OR(COUNTA(A984:F984)=0,COUNTIFS('Rules'!$G$7:$G$26,"="&amp;(SUBSTITUTE(SUBSTITUTE(SUBSTITUTE(SUBSTITUTE("type:"&amp;B984,"%","%25"),"~","%7E"),"*","%2A"),"?","%3F")))&lt;&gt;1),"",IF(OR(INDEX('Rules'!$B$7:$B$26,MATCH(SUBSTITUTE(SUBSTITUTE(SUBSTITUTE(SUBSTITUTE("type:"&amp;B984,"%","%25"),"~","%7E"),"*","%2A"),"?","%3F"),'Rules'!$G$7:$G$26,0))="hours",INDEX('Rules'!$B$7:$B$26,MATCH(SUBSTITUTE(SUBSTITUTE(SUBSTITUTE(SUBSTITUTE("type:"&amp;B984,"%","%25"),"~","%7E"),"*","%2A"),"?","%3F"),'Rules'!$G$7:$G$26,0))="km"),INDEX('Rules'!$B$7:$B$26,MATCH(SUBSTITUTE(SUBSTITUTE(SUBSTITUTE(SUBSTITUTE("type:"&amp;B984,"%","%25"),"~","%7E"),"*","%2A"),"?","%3F"),'Rules'!$G$7:$G$26,0)),""))</x:f>
      </x:c>
      <x:c r="I984" s="6" t="str">
        <x:f>IF(AND(NOT(COUNTA(A984:F984)=0),K984=""),ROUND(J984-D984,3),"")</x:f>
      </x:c>
      <x:c r="J984" s="6" t="str">
        <x:f>IF(AND(NOT(COUNTA(A984:F984)=0),K984=""),ROUND(F984+L984,3),"")</x:f>
      </x:c>
      <x:c r="K984" s="5" t="str">
        <x:f>IF(COUNTA(A984:F984)=0,"",IF(A984="","Missing equipment ID",IF(COUNTIFS($N$8:$N$2007,"="&amp;N984)&gt;1,"Duplicate equipment ID",IF(B984="","Missing type",IF(COUNTIFS('Rules'!$G$7:$G$26,"="&amp;(SUBSTITUTE(SUBSTITUTE(SUBSTITUTE(SUBSTITUTE("type:"&amp;B984,"%","%25"),"~","%7E"),"*","%2A"),"?","%3F")))=0,"Unknown type",IF(COUNTIFS('Rules'!$G$7:$G$26,"="&amp;(SUBSTITUTE(SUBSTITUTE(SUBSTITUTE(SUBSTITUTE("type:"&amp;B984,"%","%25"),"~","%7E"),"*","%2A"),"?","%3F")))&gt;1,"Duplicate type",IF(INDEX('Rules'!$F$7:$F$26,MATCH(SUBSTITUTE(SUBSTITUTE(SUBSTITUTE(SUBSTITUTE("type:"&amp;B984,"%","%25"),"~","%7E"),"*","%2A"),"?","%3F"),'Rules'!$G$7:$G$26,0))&lt;&gt;"",INDEX('Rules'!$F$7:$F$26,MATCH(SUBSTITUTE(SUBSTITUTE(SUBSTITUTE(SUBSTITUTE("type:"&amp;B984,"%","%25"),"~","%7E"),"*","%2A"),"?","%3F"),'Rules'!$G$7:$G$26,0)),IF(AND(C984&lt;&gt;"",C984&lt;&gt;INDEX('Rules'!$B$7:$B$26,MATCH(SUBSTITUTE(SUBSTITUTE(SUBSTITUTE(SUBSTITUTE("type:"&amp;B984,"%","%25"),"~","%7E"),"*","%2A"),"?","%3F"),'Rules'!$G$7:$G$26,0))),"Unit mismatch",IF(IF(NOT(ISNUMBER(D984)),TRUE,OR(D984&lt;0,D984&gt;999999999,ROUND(D984,3)&lt;&gt;D984)),"Invalid current reading",IF(AND(E984&lt;&gt;"",IF(NOT(ISNUMBER(E984)),TRUE,OR(E984&lt;0,E984&gt;999999999,ROUND(E984,3)&lt;&gt;E984))),"Invalid previous reading",IF(IF(NOT(ISNUMBER(F984)),TRUE,OR(F984&lt;0,F984&gt;999999999,ROUND(F984,3)&lt;&gt;F984)),"Invalid last service",IF(AND(E984&lt;&gt;"",D984&lt;E984),"Decreased reading",IF(F984&gt;D984,"Last service above current","")))))))))))))</x:f>
      </x:c>
      <x:c r="L984" s="6" t="str">
        <x:f>IF(AND(NOT(COUNTA(A984:F984)=0),K984=""),INDEX('Rules'!$C$7:$C$26,MATCH(SUBSTITUTE(SUBSTITUTE(SUBSTITUTE(SUBSTITUTE("type:"&amp;B984,"%","%25"),"~","%7E"),"*","%2A"),"?","%3F"),'Rules'!$G$7:$G$26,0)),"")</x:f>
      </x:c>
      <x:c r="M984" s="6" t="str">
        <x:f>IF(AND(NOT(COUNTA(A984:F984)=0),K984=""),INDEX('Rules'!$D$7:$D$26,MATCH(SUBSTITUTE(SUBSTITUTE(SUBSTITUTE(SUBSTITUTE("type:"&amp;B984,"%","%25"),"~","%7E"),"*","%2A"),"?","%3F"),'Rules'!$G$7:$G$26,0)),"")</x:f>
      </x:c>
      <x:c r="N984" s="5" t="str">
        <x:f>IF(COUNTA(A984:F984)=0,"",SUBSTITUTE(SUBSTITUTE(SUBSTITUTE(SUBSTITUTE("id:"&amp;A984,"%","%25"),"~","%7E"),"*","%2A"),"?","%3F"))</x:f>
      </x:c>
    </x:row>
    <x:row r="985" ht="22" customHeight="1">
      <x:c r="A985" s="3"/>
      <x:c r="B985" s="3"/>
      <x:c r="C985" s="3"/>
      <x:c r="D985" s="4"/>
      <x:c r="E985" s="4"/>
      <x:c r="F985" s="4"/>
      <x:c r="G985" s="5" t="str">
        <x:f>IF(COUNTA(A985:F985)=0,"",IF(K985&lt;&gt;"","Review",IF(I985&lt;0,"Overdue",IF(I985=0,"Due now",IF(I985&lt;=M985,"Due soon","Not due")))))</x:f>
      </x:c>
      <x:c r="H985" s="5" t="str">
        <x:f>IF(OR(COUNTA(A985:F985)=0,COUNTIFS('Rules'!$G$7:$G$26,"="&amp;(SUBSTITUTE(SUBSTITUTE(SUBSTITUTE(SUBSTITUTE("type:"&amp;B985,"%","%25"),"~","%7E"),"*","%2A"),"?","%3F")))&lt;&gt;1),"",IF(OR(INDEX('Rules'!$B$7:$B$26,MATCH(SUBSTITUTE(SUBSTITUTE(SUBSTITUTE(SUBSTITUTE("type:"&amp;B985,"%","%25"),"~","%7E"),"*","%2A"),"?","%3F"),'Rules'!$G$7:$G$26,0))="hours",INDEX('Rules'!$B$7:$B$26,MATCH(SUBSTITUTE(SUBSTITUTE(SUBSTITUTE(SUBSTITUTE("type:"&amp;B985,"%","%25"),"~","%7E"),"*","%2A"),"?","%3F"),'Rules'!$G$7:$G$26,0))="km"),INDEX('Rules'!$B$7:$B$26,MATCH(SUBSTITUTE(SUBSTITUTE(SUBSTITUTE(SUBSTITUTE("type:"&amp;B985,"%","%25"),"~","%7E"),"*","%2A"),"?","%3F"),'Rules'!$G$7:$G$26,0)),""))</x:f>
      </x:c>
      <x:c r="I985" s="6" t="str">
        <x:f>IF(AND(NOT(COUNTA(A985:F985)=0),K985=""),ROUND(J985-D985,3),"")</x:f>
      </x:c>
      <x:c r="J985" s="6" t="str">
        <x:f>IF(AND(NOT(COUNTA(A985:F985)=0),K985=""),ROUND(F985+L985,3),"")</x:f>
      </x:c>
      <x:c r="K985" s="5" t="str">
        <x:f>IF(COUNTA(A985:F985)=0,"",IF(A985="","Missing equipment ID",IF(COUNTIFS($N$8:$N$2007,"="&amp;N985)&gt;1,"Duplicate equipment ID",IF(B985="","Missing type",IF(COUNTIFS('Rules'!$G$7:$G$26,"="&amp;(SUBSTITUTE(SUBSTITUTE(SUBSTITUTE(SUBSTITUTE("type:"&amp;B985,"%","%25"),"~","%7E"),"*","%2A"),"?","%3F")))=0,"Unknown type",IF(COUNTIFS('Rules'!$G$7:$G$26,"="&amp;(SUBSTITUTE(SUBSTITUTE(SUBSTITUTE(SUBSTITUTE("type:"&amp;B985,"%","%25"),"~","%7E"),"*","%2A"),"?","%3F")))&gt;1,"Duplicate type",IF(INDEX('Rules'!$F$7:$F$26,MATCH(SUBSTITUTE(SUBSTITUTE(SUBSTITUTE(SUBSTITUTE("type:"&amp;B985,"%","%25"),"~","%7E"),"*","%2A"),"?","%3F"),'Rules'!$G$7:$G$26,0))&lt;&gt;"",INDEX('Rules'!$F$7:$F$26,MATCH(SUBSTITUTE(SUBSTITUTE(SUBSTITUTE(SUBSTITUTE("type:"&amp;B985,"%","%25"),"~","%7E"),"*","%2A"),"?","%3F"),'Rules'!$G$7:$G$26,0)),IF(AND(C985&lt;&gt;"",C985&lt;&gt;INDEX('Rules'!$B$7:$B$26,MATCH(SUBSTITUTE(SUBSTITUTE(SUBSTITUTE(SUBSTITUTE("type:"&amp;B985,"%","%25"),"~","%7E"),"*","%2A"),"?","%3F"),'Rules'!$G$7:$G$26,0))),"Unit mismatch",IF(IF(NOT(ISNUMBER(D985)),TRUE,OR(D985&lt;0,D985&gt;999999999,ROUND(D985,3)&lt;&gt;D985)),"Invalid current reading",IF(AND(E985&lt;&gt;"",IF(NOT(ISNUMBER(E985)),TRUE,OR(E985&lt;0,E985&gt;999999999,ROUND(E985,3)&lt;&gt;E985))),"Invalid previous reading",IF(IF(NOT(ISNUMBER(F985)),TRUE,OR(F985&lt;0,F985&gt;999999999,ROUND(F985,3)&lt;&gt;F985)),"Invalid last service",IF(AND(E985&lt;&gt;"",D985&lt;E985),"Decreased reading",IF(F985&gt;D985,"Last service above current","")))))))))))))</x:f>
      </x:c>
      <x:c r="L985" s="6" t="str">
        <x:f>IF(AND(NOT(COUNTA(A985:F985)=0),K985=""),INDEX('Rules'!$C$7:$C$26,MATCH(SUBSTITUTE(SUBSTITUTE(SUBSTITUTE(SUBSTITUTE("type:"&amp;B985,"%","%25"),"~","%7E"),"*","%2A"),"?","%3F"),'Rules'!$G$7:$G$26,0)),"")</x:f>
      </x:c>
      <x:c r="M985" s="6" t="str">
        <x:f>IF(AND(NOT(COUNTA(A985:F985)=0),K985=""),INDEX('Rules'!$D$7:$D$26,MATCH(SUBSTITUTE(SUBSTITUTE(SUBSTITUTE(SUBSTITUTE("type:"&amp;B985,"%","%25"),"~","%7E"),"*","%2A"),"?","%3F"),'Rules'!$G$7:$G$26,0)),"")</x:f>
      </x:c>
      <x:c r="N985" s="5" t="str">
        <x:f>IF(COUNTA(A985:F985)=0,"",SUBSTITUTE(SUBSTITUTE(SUBSTITUTE(SUBSTITUTE("id:"&amp;A985,"%","%25"),"~","%7E"),"*","%2A"),"?","%3F"))</x:f>
      </x:c>
    </x:row>
    <x:row r="986" ht="22" customHeight="1">
      <x:c r="A986" s="3"/>
      <x:c r="B986" s="3"/>
      <x:c r="C986" s="3"/>
      <x:c r="D986" s="4"/>
      <x:c r="E986" s="4"/>
      <x:c r="F986" s="4"/>
      <x:c r="G986" s="5" t="str">
        <x:f>IF(COUNTA(A986:F986)=0,"",IF(K986&lt;&gt;"","Review",IF(I986&lt;0,"Overdue",IF(I986=0,"Due now",IF(I986&lt;=M986,"Due soon","Not due")))))</x:f>
      </x:c>
      <x:c r="H986" s="5" t="str">
        <x:f>IF(OR(COUNTA(A986:F986)=0,COUNTIFS('Rules'!$G$7:$G$26,"="&amp;(SUBSTITUTE(SUBSTITUTE(SUBSTITUTE(SUBSTITUTE("type:"&amp;B986,"%","%25"),"~","%7E"),"*","%2A"),"?","%3F")))&lt;&gt;1),"",IF(OR(INDEX('Rules'!$B$7:$B$26,MATCH(SUBSTITUTE(SUBSTITUTE(SUBSTITUTE(SUBSTITUTE("type:"&amp;B986,"%","%25"),"~","%7E"),"*","%2A"),"?","%3F"),'Rules'!$G$7:$G$26,0))="hours",INDEX('Rules'!$B$7:$B$26,MATCH(SUBSTITUTE(SUBSTITUTE(SUBSTITUTE(SUBSTITUTE("type:"&amp;B986,"%","%25"),"~","%7E"),"*","%2A"),"?","%3F"),'Rules'!$G$7:$G$26,0))="km"),INDEX('Rules'!$B$7:$B$26,MATCH(SUBSTITUTE(SUBSTITUTE(SUBSTITUTE(SUBSTITUTE("type:"&amp;B986,"%","%25"),"~","%7E"),"*","%2A"),"?","%3F"),'Rules'!$G$7:$G$26,0)),""))</x:f>
      </x:c>
      <x:c r="I986" s="6" t="str">
        <x:f>IF(AND(NOT(COUNTA(A986:F986)=0),K986=""),ROUND(J986-D986,3),"")</x:f>
      </x:c>
      <x:c r="J986" s="6" t="str">
        <x:f>IF(AND(NOT(COUNTA(A986:F986)=0),K986=""),ROUND(F986+L986,3),"")</x:f>
      </x:c>
      <x:c r="K986" s="5" t="str">
        <x:f>IF(COUNTA(A986:F986)=0,"",IF(A986="","Missing equipment ID",IF(COUNTIFS($N$8:$N$2007,"="&amp;N986)&gt;1,"Duplicate equipment ID",IF(B986="","Missing type",IF(COUNTIFS('Rules'!$G$7:$G$26,"="&amp;(SUBSTITUTE(SUBSTITUTE(SUBSTITUTE(SUBSTITUTE("type:"&amp;B986,"%","%25"),"~","%7E"),"*","%2A"),"?","%3F")))=0,"Unknown type",IF(COUNTIFS('Rules'!$G$7:$G$26,"="&amp;(SUBSTITUTE(SUBSTITUTE(SUBSTITUTE(SUBSTITUTE("type:"&amp;B986,"%","%25"),"~","%7E"),"*","%2A"),"?","%3F")))&gt;1,"Duplicate type",IF(INDEX('Rules'!$F$7:$F$26,MATCH(SUBSTITUTE(SUBSTITUTE(SUBSTITUTE(SUBSTITUTE("type:"&amp;B986,"%","%25"),"~","%7E"),"*","%2A"),"?","%3F"),'Rules'!$G$7:$G$26,0))&lt;&gt;"",INDEX('Rules'!$F$7:$F$26,MATCH(SUBSTITUTE(SUBSTITUTE(SUBSTITUTE(SUBSTITUTE("type:"&amp;B986,"%","%25"),"~","%7E"),"*","%2A"),"?","%3F"),'Rules'!$G$7:$G$26,0)),IF(AND(C986&lt;&gt;"",C986&lt;&gt;INDEX('Rules'!$B$7:$B$26,MATCH(SUBSTITUTE(SUBSTITUTE(SUBSTITUTE(SUBSTITUTE("type:"&amp;B986,"%","%25"),"~","%7E"),"*","%2A"),"?","%3F"),'Rules'!$G$7:$G$26,0))),"Unit mismatch",IF(IF(NOT(ISNUMBER(D986)),TRUE,OR(D986&lt;0,D986&gt;999999999,ROUND(D986,3)&lt;&gt;D986)),"Invalid current reading",IF(AND(E986&lt;&gt;"",IF(NOT(ISNUMBER(E986)),TRUE,OR(E986&lt;0,E986&gt;999999999,ROUND(E986,3)&lt;&gt;E986))),"Invalid previous reading",IF(IF(NOT(ISNUMBER(F986)),TRUE,OR(F986&lt;0,F986&gt;999999999,ROUND(F986,3)&lt;&gt;F986)),"Invalid last service",IF(AND(E986&lt;&gt;"",D986&lt;E986),"Decreased reading",IF(F986&gt;D986,"Last service above current","")))))))))))))</x:f>
      </x:c>
      <x:c r="L986" s="6" t="str">
        <x:f>IF(AND(NOT(COUNTA(A986:F986)=0),K986=""),INDEX('Rules'!$C$7:$C$26,MATCH(SUBSTITUTE(SUBSTITUTE(SUBSTITUTE(SUBSTITUTE("type:"&amp;B986,"%","%25"),"~","%7E"),"*","%2A"),"?","%3F"),'Rules'!$G$7:$G$26,0)),"")</x:f>
      </x:c>
      <x:c r="M986" s="6" t="str">
        <x:f>IF(AND(NOT(COUNTA(A986:F986)=0),K986=""),INDEX('Rules'!$D$7:$D$26,MATCH(SUBSTITUTE(SUBSTITUTE(SUBSTITUTE(SUBSTITUTE("type:"&amp;B986,"%","%25"),"~","%7E"),"*","%2A"),"?","%3F"),'Rules'!$G$7:$G$26,0)),"")</x:f>
      </x:c>
      <x:c r="N986" s="5" t="str">
        <x:f>IF(COUNTA(A986:F986)=0,"",SUBSTITUTE(SUBSTITUTE(SUBSTITUTE(SUBSTITUTE("id:"&amp;A986,"%","%25"),"~","%7E"),"*","%2A"),"?","%3F"))</x:f>
      </x:c>
    </x:row>
    <x:row r="987" ht="22" customHeight="1">
      <x:c r="A987" s="3"/>
      <x:c r="B987" s="3"/>
      <x:c r="C987" s="3"/>
      <x:c r="D987" s="4"/>
      <x:c r="E987" s="4"/>
      <x:c r="F987" s="4"/>
      <x:c r="G987" s="5" t="str">
        <x:f>IF(COUNTA(A987:F987)=0,"",IF(K987&lt;&gt;"","Review",IF(I987&lt;0,"Overdue",IF(I987=0,"Due now",IF(I987&lt;=M987,"Due soon","Not due")))))</x:f>
      </x:c>
      <x:c r="H987" s="5" t="str">
        <x:f>IF(OR(COUNTA(A987:F987)=0,COUNTIFS('Rules'!$G$7:$G$26,"="&amp;(SUBSTITUTE(SUBSTITUTE(SUBSTITUTE(SUBSTITUTE("type:"&amp;B987,"%","%25"),"~","%7E"),"*","%2A"),"?","%3F")))&lt;&gt;1),"",IF(OR(INDEX('Rules'!$B$7:$B$26,MATCH(SUBSTITUTE(SUBSTITUTE(SUBSTITUTE(SUBSTITUTE("type:"&amp;B987,"%","%25"),"~","%7E"),"*","%2A"),"?","%3F"),'Rules'!$G$7:$G$26,0))="hours",INDEX('Rules'!$B$7:$B$26,MATCH(SUBSTITUTE(SUBSTITUTE(SUBSTITUTE(SUBSTITUTE("type:"&amp;B987,"%","%25"),"~","%7E"),"*","%2A"),"?","%3F"),'Rules'!$G$7:$G$26,0))="km"),INDEX('Rules'!$B$7:$B$26,MATCH(SUBSTITUTE(SUBSTITUTE(SUBSTITUTE(SUBSTITUTE("type:"&amp;B987,"%","%25"),"~","%7E"),"*","%2A"),"?","%3F"),'Rules'!$G$7:$G$26,0)),""))</x:f>
      </x:c>
      <x:c r="I987" s="6" t="str">
        <x:f>IF(AND(NOT(COUNTA(A987:F987)=0),K987=""),ROUND(J987-D987,3),"")</x:f>
      </x:c>
      <x:c r="J987" s="6" t="str">
        <x:f>IF(AND(NOT(COUNTA(A987:F987)=0),K987=""),ROUND(F987+L987,3),"")</x:f>
      </x:c>
      <x:c r="K987" s="5" t="str">
        <x:f>IF(COUNTA(A987:F987)=0,"",IF(A987="","Missing equipment ID",IF(COUNTIFS($N$8:$N$2007,"="&amp;N987)&gt;1,"Duplicate equipment ID",IF(B987="","Missing type",IF(COUNTIFS('Rules'!$G$7:$G$26,"="&amp;(SUBSTITUTE(SUBSTITUTE(SUBSTITUTE(SUBSTITUTE("type:"&amp;B987,"%","%25"),"~","%7E"),"*","%2A"),"?","%3F")))=0,"Unknown type",IF(COUNTIFS('Rules'!$G$7:$G$26,"="&amp;(SUBSTITUTE(SUBSTITUTE(SUBSTITUTE(SUBSTITUTE("type:"&amp;B987,"%","%25"),"~","%7E"),"*","%2A"),"?","%3F")))&gt;1,"Duplicate type",IF(INDEX('Rules'!$F$7:$F$26,MATCH(SUBSTITUTE(SUBSTITUTE(SUBSTITUTE(SUBSTITUTE("type:"&amp;B987,"%","%25"),"~","%7E"),"*","%2A"),"?","%3F"),'Rules'!$G$7:$G$26,0))&lt;&gt;"",INDEX('Rules'!$F$7:$F$26,MATCH(SUBSTITUTE(SUBSTITUTE(SUBSTITUTE(SUBSTITUTE("type:"&amp;B987,"%","%25"),"~","%7E"),"*","%2A"),"?","%3F"),'Rules'!$G$7:$G$26,0)),IF(AND(C987&lt;&gt;"",C987&lt;&gt;INDEX('Rules'!$B$7:$B$26,MATCH(SUBSTITUTE(SUBSTITUTE(SUBSTITUTE(SUBSTITUTE("type:"&amp;B987,"%","%25"),"~","%7E"),"*","%2A"),"?","%3F"),'Rules'!$G$7:$G$26,0))),"Unit mismatch",IF(IF(NOT(ISNUMBER(D987)),TRUE,OR(D987&lt;0,D987&gt;999999999,ROUND(D987,3)&lt;&gt;D987)),"Invalid current reading",IF(AND(E987&lt;&gt;"",IF(NOT(ISNUMBER(E987)),TRUE,OR(E987&lt;0,E987&gt;999999999,ROUND(E987,3)&lt;&gt;E987))),"Invalid previous reading",IF(IF(NOT(ISNUMBER(F987)),TRUE,OR(F987&lt;0,F987&gt;999999999,ROUND(F987,3)&lt;&gt;F987)),"Invalid last service",IF(AND(E987&lt;&gt;"",D987&lt;E987),"Decreased reading",IF(F987&gt;D987,"Last service above current","")))))))))))))</x:f>
      </x:c>
      <x:c r="L987" s="6" t="str">
        <x:f>IF(AND(NOT(COUNTA(A987:F987)=0),K987=""),INDEX('Rules'!$C$7:$C$26,MATCH(SUBSTITUTE(SUBSTITUTE(SUBSTITUTE(SUBSTITUTE("type:"&amp;B987,"%","%25"),"~","%7E"),"*","%2A"),"?","%3F"),'Rules'!$G$7:$G$26,0)),"")</x:f>
      </x:c>
      <x:c r="M987" s="6" t="str">
        <x:f>IF(AND(NOT(COUNTA(A987:F987)=0),K987=""),INDEX('Rules'!$D$7:$D$26,MATCH(SUBSTITUTE(SUBSTITUTE(SUBSTITUTE(SUBSTITUTE("type:"&amp;B987,"%","%25"),"~","%7E"),"*","%2A"),"?","%3F"),'Rules'!$G$7:$G$26,0)),"")</x:f>
      </x:c>
      <x:c r="N987" s="5" t="str">
        <x:f>IF(COUNTA(A987:F987)=0,"",SUBSTITUTE(SUBSTITUTE(SUBSTITUTE(SUBSTITUTE("id:"&amp;A987,"%","%25"),"~","%7E"),"*","%2A"),"?","%3F"))</x:f>
      </x:c>
    </x:row>
    <x:row r="988" ht="22" customHeight="1">
      <x:c r="A988" s="3"/>
      <x:c r="B988" s="3"/>
      <x:c r="C988" s="3"/>
      <x:c r="D988" s="4"/>
      <x:c r="E988" s="4"/>
      <x:c r="F988" s="4"/>
      <x:c r="G988" s="5" t="str">
        <x:f>IF(COUNTA(A988:F988)=0,"",IF(K988&lt;&gt;"","Review",IF(I988&lt;0,"Overdue",IF(I988=0,"Due now",IF(I988&lt;=M988,"Due soon","Not due")))))</x:f>
      </x:c>
      <x:c r="H988" s="5" t="str">
        <x:f>IF(OR(COUNTA(A988:F988)=0,COUNTIFS('Rules'!$G$7:$G$26,"="&amp;(SUBSTITUTE(SUBSTITUTE(SUBSTITUTE(SUBSTITUTE("type:"&amp;B988,"%","%25"),"~","%7E"),"*","%2A"),"?","%3F")))&lt;&gt;1),"",IF(OR(INDEX('Rules'!$B$7:$B$26,MATCH(SUBSTITUTE(SUBSTITUTE(SUBSTITUTE(SUBSTITUTE("type:"&amp;B988,"%","%25"),"~","%7E"),"*","%2A"),"?","%3F"),'Rules'!$G$7:$G$26,0))="hours",INDEX('Rules'!$B$7:$B$26,MATCH(SUBSTITUTE(SUBSTITUTE(SUBSTITUTE(SUBSTITUTE("type:"&amp;B988,"%","%25"),"~","%7E"),"*","%2A"),"?","%3F"),'Rules'!$G$7:$G$26,0))="km"),INDEX('Rules'!$B$7:$B$26,MATCH(SUBSTITUTE(SUBSTITUTE(SUBSTITUTE(SUBSTITUTE("type:"&amp;B988,"%","%25"),"~","%7E"),"*","%2A"),"?","%3F"),'Rules'!$G$7:$G$26,0)),""))</x:f>
      </x:c>
      <x:c r="I988" s="6" t="str">
        <x:f>IF(AND(NOT(COUNTA(A988:F988)=0),K988=""),ROUND(J988-D988,3),"")</x:f>
      </x:c>
      <x:c r="J988" s="6" t="str">
        <x:f>IF(AND(NOT(COUNTA(A988:F988)=0),K988=""),ROUND(F988+L988,3),"")</x:f>
      </x:c>
      <x:c r="K988" s="5" t="str">
        <x:f>IF(COUNTA(A988:F988)=0,"",IF(A988="","Missing equipment ID",IF(COUNTIFS($N$8:$N$2007,"="&amp;N988)&gt;1,"Duplicate equipment ID",IF(B988="","Missing type",IF(COUNTIFS('Rules'!$G$7:$G$26,"="&amp;(SUBSTITUTE(SUBSTITUTE(SUBSTITUTE(SUBSTITUTE("type:"&amp;B988,"%","%25"),"~","%7E"),"*","%2A"),"?","%3F")))=0,"Unknown type",IF(COUNTIFS('Rules'!$G$7:$G$26,"="&amp;(SUBSTITUTE(SUBSTITUTE(SUBSTITUTE(SUBSTITUTE("type:"&amp;B988,"%","%25"),"~","%7E"),"*","%2A"),"?","%3F")))&gt;1,"Duplicate type",IF(INDEX('Rules'!$F$7:$F$26,MATCH(SUBSTITUTE(SUBSTITUTE(SUBSTITUTE(SUBSTITUTE("type:"&amp;B988,"%","%25"),"~","%7E"),"*","%2A"),"?","%3F"),'Rules'!$G$7:$G$26,0))&lt;&gt;"",INDEX('Rules'!$F$7:$F$26,MATCH(SUBSTITUTE(SUBSTITUTE(SUBSTITUTE(SUBSTITUTE("type:"&amp;B988,"%","%25"),"~","%7E"),"*","%2A"),"?","%3F"),'Rules'!$G$7:$G$26,0)),IF(AND(C988&lt;&gt;"",C988&lt;&gt;INDEX('Rules'!$B$7:$B$26,MATCH(SUBSTITUTE(SUBSTITUTE(SUBSTITUTE(SUBSTITUTE("type:"&amp;B988,"%","%25"),"~","%7E"),"*","%2A"),"?","%3F"),'Rules'!$G$7:$G$26,0))),"Unit mismatch",IF(IF(NOT(ISNUMBER(D988)),TRUE,OR(D988&lt;0,D988&gt;999999999,ROUND(D988,3)&lt;&gt;D988)),"Invalid current reading",IF(AND(E988&lt;&gt;"",IF(NOT(ISNUMBER(E988)),TRUE,OR(E988&lt;0,E988&gt;999999999,ROUND(E988,3)&lt;&gt;E988))),"Invalid previous reading",IF(IF(NOT(ISNUMBER(F988)),TRUE,OR(F988&lt;0,F988&gt;999999999,ROUND(F988,3)&lt;&gt;F988)),"Invalid last service",IF(AND(E988&lt;&gt;"",D988&lt;E988),"Decreased reading",IF(F988&gt;D988,"Last service above current","")))))))))))))</x:f>
      </x:c>
      <x:c r="L988" s="6" t="str">
        <x:f>IF(AND(NOT(COUNTA(A988:F988)=0),K988=""),INDEX('Rules'!$C$7:$C$26,MATCH(SUBSTITUTE(SUBSTITUTE(SUBSTITUTE(SUBSTITUTE("type:"&amp;B988,"%","%25"),"~","%7E"),"*","%2A"),"?","%3F"),'Rules'!$G$7:$G$26,0)),"")</x:f>
      </x:c>
      <x:c r="M988" s="6" t="str">
        <x:f>IF(AND(NOT(COUNTA(A988:F988)=0),K988=""),INDEX('Rules'!$D$7:$D$26,MATCH(SUBSTITUTE(SUBSTITUTE(SUBSTITUTE(SUBSTITUTE("type:"&amp;B988,"%","%25"),"~","%7E"),"*","%2A"),"?","%3F"),'Rules'!$G$7:$G$26,0)),"")</x:f>
      </x:c>
      <x:c r="N988" s="5" t="str">
        <x:f>IF(COUNTA(A988:F988)=0,"",SUBSTITUTE(SUBSTITUTE(SUBSTITUTE(SUBSTITUTE("id:"&amp;A988,"%","%25"),"~","%7E"),"*","%2A"),"?","%3F"))</x:f>
      </x:c>
    </x:row>
    <x:row r="989" ht="22" customHeight="1">
      <x:c r="A989" s="3"/>
      <x:c r="B989" s="3"/>
      <x:c r="C989" s="3"/>
      <x:c r="D989" s="4"/>
      <x:c r="E989" s="4"/>
      <x:c r="F989" s="4"/>
      <x:c r="G989" s="5" t="str">
        <x:f>IF(COUNTA(A989:F989)=0,"",IF(K989&lt;&gt;"","Review",IF(I989&lt;0,"Overdue",IF(I989=0,"Due now",IF(I989&lt;=M989,"Due soon","Not due")))))</x:f>
      </x:c>
      <x:c r="H989" s="5" t="str">
        <x:f>IF(OR(COUNTA(A989:F989)=0,COUNTIFS('Rules'!$G$7:$G$26,"="&amp;(SUBSTITUTE(SUBSTITUTE(SUBSTITUTE(SUBSTITUTE("type:"&amp;B989,"%","%25"),"~","%7E"),"*","%2A"),"?","%3F")))&lt;&gt;1),"",IF(OR(INDEX('Rules'!$B$7:$B$26,MATCH(SUBSTITUTE(SUBSTITUTE(SUBSTITUTE(SUBSTITUTE("type:"&amp;B989,"%","%25"),"~","%7E"),"*","%2A"),"?","%3F"),'Rules'!$G$7:$G$26,0))="hours",INDEX('Rules'!$B$7:$B$26,MATCH(SUBSTITUTE(SUBSTITUTE(SUBSTITUTE(SUBSTITUTE("type:"&amp;B989,"%","%25"),"~","%7E"),"*","%2A"),"?","%3F"),'Rules'!$G$7:$G$26,0))="km"),INDEX('Rules'!$B$7:$B$26,MATCH(SUBSTITUTE(SUBSTITUTE(SUBSTITUTE(SUBSTITUTE("type:"&amp;B989,"%","%25"),"~","%7E"),"*","%2A"),"?","%3F"),'Rules'!$G$7:$G$26,0)),""))</x:f>
      </x:c>
      <x:c r="I989" s="6" t="str">
        <x:f>IF(AND(NOT(COUNTA(A989:F989)=0),K989=""),ROUND(J989-D989,3),"")</x:f>
      </x:c>
      <x:c r="J989" s="6" t="str">
        <x:f>IF(AND(NOT(COUNTA(A989:F989)=0),K989=""),ROUND(F989+L989,3),"")</x:f>
      </x:c>
      <x:c r="K989" s="5" t="str">
        <x:f>IF(COUNTA(A989:F989)=0,"",IF(A989="","Missing equipment ID",IF(COUNTIFS($N$8:$N$2007,"="&amp;N989)&gt;1,"Duplicate equipment ID",IF(B989="","Missing type",IF(COUNTIFS('Rules'!$G$7:$G$26,"="&amp;(SUBSTITUTE(SUBSTITUTE(SUBSTITUTE(SUBSTITUTE("type:"&amp;B989,"%","%25"),"~","%7E"),"*","%2A"),"?","%3F")))=0,"Unknown type",IF(COUNTIFS('Rules'!$G$7:$G$26,"="&amp;(SUBSTITUTE(SUBSTITUTE(SUBSTITUTE(SUBSTITUTE("type:"&amp;B989,"%","%25"),"~","%7E"),"*","%2A"),"?","%3F")))&gt;1,"Duplicate type",IF(INDEX('Rules'!$F$7:$F$26,MATCH(SUBSTITUTE(SUBSTITUTE(SUBSTITUTE(SUBSTITUTE("type:"&amp;B989,"%","%25"),"~","%7E"),"*","%2A"),"?","%3F"),'Rules'!$G$7:$G$26,0))&lt;&gt;"",INDEX('Rules'!$F$7:$F$26,MATCH(SUBSTITUTE(SUBSTITUTE(SUBSTITUTE(SUBSTITUTE("type:"&amp;B989,"%","%25"),"~","%7E"),"*","%2A"),"?","%3F"),'Rules'!$G$7:$G$26,0)),IF(AND(C989&lt;&gt;"",C989&lt;&gt;INDEX('Rules'!$B$7:$B$26,MATCH(SUBSTITUTE(SUBSTITUTE(SUBSTITUTE(SUBSTITUTE("type:"&amp;B989,"%","%25"),"~","%7E"),"*","%2A"),"?","%3F"),'Rules'!$G$7:$G$26,0))),"Unit mismatch",IF(IF(NOT(ISNUMBER(D989)),TRUE,OR(D989&lt;0,D989&gt;999999999,ROUND(D989,3)&lt;&gt;D989)),"Invalid current reading",IF(AND(E989&lt;&gt;"",IF(NOT(ISNUMBER(E989)),TRUE,OR(E989&lt;0,E989&gt;999999999,ROUND(E989,3)&lt;&gt;E989))),"Invalid previous reading",IF(IF(NOT(ISNUMBER(F989)),TRUE,OR(F989&lt;0,F989&gt;999999999,ROUND(F989,3)&lt;&gt;F989)),"Invalid last service",IF(AND(E989&lt;&gt;"",D989&lt;E989),"Decreased reading",IF(F989&gt;D989,"Last service above current","")))))))))))))</x:f>
      </x:c>
      <x:c r="L989" s="6" t="str">
        <x:f>IF(AND(NOT(COUNTA(A989:F989)=0),K989=""),INDEX('Rules'!$C$7:$C$26,MATCH(SUBSTITUTE(SUBSTITUTE(SUBSTITUTE(SUBSTITUTE("type:"&amp;B989,"%","%25"),"~","%7E"),"*","%2A"),"?","%3F"),'Rules'!$G$7:$G$26,0)),"")</x:f>
      </x:c>
      <x:c r="M989" s="6" t="str">
        <x:f>IF(AND(NOT(COUNTA(A989:F989)=0),K989=""),INDEX('Rules'!$D$7:$D$26,MATCH(SUBSTITUTE(SUBSTITUTE(SUBSTITUTE(SUBSTITUTE("type:"&amp;B989,"%","%25"),"~","%7E"),"*","%2A"),"?","%3F"),'Rules'!$G$7:$G$26,0)),"")</x:f>
      </x:c>
      <x:c r="N989" s="5" t="str">
        <x:f>IF(COUNTA(A989:F989)=0,"",SUBSTITUTE(SUBSTITUTE(SUBSTITUTE(SUBSTITUTE("id:"&amp;A989,"%","%25"),"~","%7E"),"*","%2A"),"?","%3F"))</x:f>
      </x:c>
    </x:row>
    <x:row r="990" ht="22" customHeight="1">
      <x:c r="A990" s="3"/>
      <x:c r="B990" s="3"/>
      <x:c r="C990" s="3"/>
      <x:c r="D990" s="4"/>
      <x:c r="E990" s="4"/>
      <x:c r="F990" s="4"/>
      <x:c r="G990" s="5" t="str">
        <x:f>IF(COUNTA(A990:F990)=0,"",IF(K990&lt;&gt;"","Review",IF(I990&lt;0,"Overdue",IF(I990=0,"Due now",IF(I990&lt;=M990,"Due soon","Not due")))))</x:f>
      </x:c>
      <x:c r="H990" s="5" t="str">
        <x:f>IF(OR(COUNTA(A990:F990)=0,COUNTIFS('Rules'!$G$7:$G$26,"="&amp;(SUBSTITUTE(SUBSTITUTE(SUBSTITUTE(SUBSTITUTE("type:"&amp;B990,"%","%25"),"~","%7E"),"*","%2A"),"?","%3F")))&lt;&gt;1),"",IF(OR(INDEX('Rules'!$B$7:$B$26,MATCH(SUBSTITUTE(SUBSTITUTE(SUBSTITUTE(SUBSTITUTE("type:"&amp;B990,"%","%25"),"~","%7E"),"*","%2A"),"?","%3F"),'Rules'!$G$7:$G$26,0))="hours",INDEX('Rules'!$B$7:$B$26,MATCH(SUBSTITUTE(SUBSTITUTE(SUBSTITUTE(SUBSTITUTE("type:"&amp;B990,"%","%25"),"~","%7E"),"*","%2A"),"?","%3F"),'Rules'!$G$7:$G$26,0))="km"),INDEX('Rules'!$B$7:$B$26,MATCH(SUBSTITUTE(SUBSTITUTE(SUBSTITUTE(SUBSTITUTE("type:"&amp;B990,"%","%25"),"~","%7E"),"*","%2A"),"?","%3F"),'Rules'!$G$7:$G$26,0)),""))</x:f>
      </x:c>
      <x:c r="I990" s="6" t="str">
        <x:f>IF(AND(NOT(COUNTA(A990:F990)=0),K990=""),ROUND(J990-D990,3),"")</x:f>
      </x:c>
      <x:c r="J990" s="6" t="str">
        <x:f>IF(AND(NOT(COUNTA(A990:F990)=0),K990=""),ROUND(F990+L990,3),"")</x:f>
      </x:c>
      <x:c r="K990" s="5" t="str">
        <x:f>IF(COUNTA(A990:F990)=0,"",IF(A990="","Missing equipment ID",IF(COUNTIFS($N$8:$N$2007,"="&amp;N990)&gt;1,"Duplicate equipment ID",IF(B990="","Missing type",IF(COUNTIFS('Rules'!$G$7:$G$26,"="&amp;(SUBSTITUTE(SUBSTITUTE(SUBSTITUTE(SUBSTITUTE("type:"&amp;B990,"%","%25"),"~","%7E"),"*","%2A"),"?","%3F")))=0,"Unknown type",IF(COUNTIFS('Rules'!$G$7:$G$26,"="&amp;(SUBSTITUTE(SUBSTITUTE(SUBSTITUTE(SUBSTITUTE("type:"&amp;B990,"%","%25"),"~","%7E"),"*","%2A"),"?","%3F")))&gt;1,"Duplicate type",IF(INDEX('Rules'!$F$7:$F$26,MATCH(SUBSTITUTE(SUBSTITUTE(SUBSTITUTE(SUBSTITUTE("type:"&amp;B990,"%","%25"),"~","%7E"),"*","%2A"),"?","%3F"),'Rules'!$G$7:$G$26,0))&lt;&gt;"",INDEX('Rules'!$F$7:$F$26,MATCH(SUBSTITUTE(SUBSTITUTE(SUBSTITUTE(SUBSTITUTE("type:"&amp;B990,"%","%25"),"~","%7E"),"*","%2A"),"?","%3F"),'Rules'!$G$7:$G$26,0)),IF(AND(C990&lt;&gt;"",C990&lt;&gt;INDEX('Rules'!$B$7:$B$26,MATCH(SUBSTITUTE(SUBSTITUTE(SUBSTITUTE(SUBSTITUTE("type:"&amp;B990,"%","%25"),"~","%7E"),"*","%2A"),"?","%3F"),'Rules'!$G$7:$G$26,0))),"Unit mismatch",IF(IF(NOT(ISNUMBER(D990)),TRUE,OR(D990&lt;0,D990&gt;999999999,ROUND(D990,3)&lt;&gt;D990)),"Invalid current reading",IF(AND(E990&lt;&gt;"",IF(NOT(ISNUMBER(E990)),TRUE,OR(E990&lt;0,E990&gt;999999999,ROUND(E990,3)&lt;&gt;E990))),"Invalid previous reading",IF(IF(NOT(ISNUMBER(F990)),TRUE,OR(F990&lt;0,F990&gt;999999999,ROUND(F990,3)&lt;&gt;F990)),"Invalid last service",IF(AND(E990&lt;&gt;"",D990&lt;E990),"Decreased reading",IF(F990&gt;D990,"Last service above current","")))))))))))))</x:f>
      </x:c>
      <x:c r="L990" s="6" t="str">
        <x:f>IF(AND(NOT(COUNTA(A990:F990)=0),K990=""),INDEX('Rules'!$C$7:$C$26,MATCH(SUBSTITUTE(SUBSTITUTE(SUBSTITUTE(SUBSTITUTE("type:"&amp;B990,"%","%25"),"~","%7E"),"*","%2A"),"?","%3F"),'Rules'!$G$7:$G$26,0)),"")</x:f>
      </x:c>
      <x:c r="M990" s="6" t="str">
        <x:f>IF(AND(NOT(COUNTA(A990:F990)=0),K990=""),INDEX('Rules'!$D$7:$D$26,MATCH(SUBSTITUTE(SUBSTITUTE(SUBSTITUTE(SUBSTITUTE("type:"&amp;B990,"%","%25"),"~","%7E"),"*","%2A"),"?","%3F"),'Rules'!$G$7:$G$26,0)),"")</x:f>
      </x:c>
      <x:c r="N990" s="5" t="str">
        <x:f>IF(COUNTA(A990:F990)=0,"",SUBSTITUTE(SUBSTITUTE(SUBSTITUTE(SUBSTITUTE("id:"&amp;A990,"%","%25"),"~","%7E"),"*","%2A"),"?","%3F"))</x:f>
      </x:c>
    </x:row>
    <x:row r="991" ht="22" customHeight="1">
      <x:c r="A991" s="3"/>
      <x:c r="B991" s="3"/>
      <x:c r="C991" s="3"/>
      <x:c r="D991" s="4"/>
      <x:c r="E991" s="4"/>
      <x:c r="F991" s="4"/>
      <x:c r="G991" s="5" t="str">
        <x:f>IF(COUNTA(A991:F991)=0,"",IF(K991&lt;&gt;"","Review",IF(I991&lt;0,"Overdue",IF(I991=0,"Due now",IF(I991&lt;=M991,"Due soon","Not due")))))</x:f>
      </x:c>
      <x:c r="H991" s="5" t="str">
        <x:f>IF(OR(COUNTA(A991:F991)=0,COUNTIFS('Rules'!$G$7:$G$26,"="&amp;(SUBSTITUTE(SUBSTITUTE(SUBSTITUTE(SUBSTITUTE("type:"&amp;B991,"%","%25"),"~","%7E"),"*","%2A"),"?","%3F")))&lt;&gt;1),"",IF(OR(INDEX('Rules'!$B$7:$B$26,MATCH(SUBSTITUTE(SUBSTITUTE(SUBSTITUTE(SUBSTITUTE("type:"&amp;B991,"%","%25"),"~","%7E"),"*","%2A"),"?","%3F"),'Rules'!$G$7:$G$26,0))="hours",INDEX('Rules'!$B$7:$B$26,MATCH(SUBSTITUTE(SUBSTITUTE(SUBSTITUTE(SUBSTITUTE("type:"&amp;B991,"%","%25"),"~","%7E"),"*","%2A"),"?","%3F"),'Rules'!$G$7:$G$26,0))="km"),INDEX('Rules'!$B$7:$B$26,MATCH(SUBSTITUTE(SUBSTITUTE(SUBSTITUTE(SUBSTITUTE("type:"&amp;B991,"%","%25"),"~","%7E"),"*","%2A"),"?","%3F"),'Rules'!$G$7:$G$26,0)),""))</x:f>
      </x:c>
      <x:c r="I991" s="6" t="str">
        <x:f>IF(AND(NOT(COUNTA(A991:F991)=0),K991=""),ROUND(J991-D991,3),"")</x:f>
      </x:c>
      <x:c r="J991" s="6" t="str">
        <x:f>IF(AND(NOT(COUNTA(A991:F991)=0),K991=""),ROUND(F991+L991,3),"")</x:f>
      </x:c>
      <x:c r="K991" s="5" t="str">
        <x:f>IF(COUNTA(A991:F991)=0,"",IF(A991="","Missing equipment ID",IF(COUNTIFS($N$8:$N$2007,"="&amp;N991)&gt;1,"Duplicate equipment ID",IF(B991="","Missing type",IF(COUNTIFS('Rules'!$G$7:$G$26,"="&amp;(SUBSTITUTE(SUBSTITUTE(SUBSTITUTE(SUBSTITUTE("type:"&amp;B991,"%","%25"),"~","%7E"),"*","%2A"),"?","%3F")))=0,"Unknown type",IF(COUNTIFS('Rules'!$G$7:$G$26,"="&amp;(SUBSTITUTE(SUBSTITUTE(SUBSTITUTE(SUBSTITUTE("type:"&amp;B991,"%","%25"),"~","%7E"),"*","%2A"),"?","%3F")))&gt;1,"Duplicate type",IF(INDEX('Rules'!$F$7:$F$26,MATCH(SUBSTITUTE(SUBSTITUTE(SUBSTITUTE(SUBSTITUTE("type:"&amp;B991,"%","%25"),"~","%7E"),"*","%2A"),"?","%3F"),'Rules'!$G$7:$G$26,0))&lt;&gt;"",INDEX('Rules'!$F$7:$F$26,MATCH(SUBSTITUTE(SUBSTITUTE(SUBSTITUTE(SUBSTITUTE("type:"&amp;B991,"%","%25"),"~","%7E"),"*","%2A"),"?","%3F"),'Rules'!$G$7:$G$26,0)),IF(AND(C991&lt;&gt;"",C991&lt;&gt;INDEX('Rules'!$B$7:$B$26,MATCH(SUBSTITUTE(SUBSTITUTE(SUBSTITUTE(SUBSTITUTE("type:"&amp;B991,"%","%25"),"~","%7E"),"*","%2A"),"?","%3F"),'Rules'!$G$7:$G$26,0))),"Unit mismatch",IF(IF(NOT(ISNUMBER(D991)),TRUE,OR(D991&lt;0,D991&gt;999999999,ROUND(D991,3)&lt;&gt;D991)),"Invalid current reading",IF(AND(E991&lt;&gt;"",IF(NOT(ISNUMBER(E991)),TRUE,OR(E991&lt;0,E991&gt;999999999,ROUND(E991,3)&lt;&gt;E991))),"Invalid previous reading",IF(IF(NOT(ISNUMBER(F991)),TRUE,OR(F991&lt;0,F991&gt;999999999,ROUND(F991,3)&lt;&gt;F991)),"Invalid last service",IF(AND(E991&lt;&gt;"",D991&lt;E991),"Decreased reading",IF(F991&gt;D991,"Last service above current","")))))))))))))</x:f>
      </x:c>
      <x:c r="L991" s="6" t="str">
        <x:f>IF(AND(NOT(COUNTA(A991:F991)=0),K991=""),INDEX('Rules'!$C$7:$C$26,MATCH(SUBSTITUTE(SUBSTITUTE(SUBSTITUTE(SUBSTITUTE("type:"&amp;B991,"%","%25"),"~","%7E"),"*","%2A"),"?","%3F"),'Rules'!$G$7:$G$26,0)),"")</x:f>
      </x:c>
      <x:c r="M991" s="6" t="str">
        <x:f>IF(AND(NOT(COUNTA(A991:F991)=0),K991=""),INDEX('Rules'!$D$7:$D$26,MATCH(SUBSTITUTE(SUBSTITUTE(SUBSTITUTE(SUBSTITUTE("type:"&amp;B991,"%","%25"),"~","%7E"),"*","%2A"),"?","%3F"),'Rules'!$G$7:$G$26,0)),"")</x:f>
      </x:c>
      <x:c r="N991" s="5" t="str">
        <x:f>IF(COUNTA(A991:F991)=0,"",SUBSTITUTE(SUBSTITUTE(SUBSTITUTE(SUBSTITUTE("id:"&amp;A991,"%","%25"),"~","%7E"),"*","%2A"),"?","%3F"))</x:f>
      </x:c>
    </x:row>
    <x:row r="992" ht="22" customHeight="1">
      <x:c r="A992" s="3"/>
      <x:c r="B992" s="3"/>
      <x:c r="C992" s="3"/>
      <x:c r="D992" s="4"/>
      <x:c r="E992" s="4"/>
      <x:c r="F992" s="4"/>
      <x:c r="G992" s="5" t="str">
        <x:f>IF(COUNTA(A992:F992)=0,"",IF(K992&lt;&gt;"","Review",IF(I992&lt;0,"Overdue",IF(I992=0,"Due now",IF(I992&lt;=M992,"Due soon","Not due")))))</x:f>
      </x:c>
      <x:c r="H992" s="5" t="str">
        <x:f>IF(OR(COUNTA(A992:F992)=0,COUNTIFS('Rules'!$G$7:$G$26,"="&amp;(SUBSTITUTE(SUBSTITUTE(SUBSTITUTE(SUBSTITUTE("type:"&amp;B992,"%","%25"),"~","%7E"),"*","%2A"),"?","%3F")))&lt;&gt;1),"",IF(OR(INDEX('Rules'!$B$7:$B$26,MATCH(SUBSTITUTE(SUBSTITUTE(SUBSTITUTE(SUBSTITUTE("type:"&amp;B992,"%","%25"),"~","%7E"),"*","%2A"),"?","%3F"),'Rules'!$G$7:$G$26,0))="hours",INDEX('Rules'!$B$7:$B$26,MATCH(SUBSTITUTE(SUBSTITUTE(SUBSTITUTE(SUBSTITUTE("type:"&amp;B992,"%","%25"),"~","%7E"),"*","%2A"),"?","%3F"),'Rules'!$G$7:$G$26,0))="km"),INDEX('Rules'!$B$7:$B$26,MATCH(SUBSTITUTE(SUBSTITUTE(SUBSTITUTE(SUBSTITUTE("type:"&amp;B992,"%","%25"),"~","%7E"),"*","%2A"),"?","%3F"),'Rules'!$G$7:$G$26,0)),""))</x:f>
      </x:c>
      <x:c r="I992" s="6" t="str">
        <x:f>IF(AND(NOT(COUNTA(A992:F992)=0),K992=""),ROUND(J992-D992,3),"")</x:f>
      </x:c>
      <x:c r="J992" s="6" t="str">
        <x:f>IF(AND(NOT(COUNTA(A992:F992)=0),K992=""),ROUND(F992+L992,3),"")</x:f>
      </x:c>
      <x:c r="K992" s="5" t="str">
        <x:f>IF(COUNTA(A992:F992)=0,"",IF(A992="","Missing equipment ID",IF(COUNTIFS($N$8:$N$2007,"="&amp;N992)&gt;1,"Duplicate equipment ID",IF(B992="","Missing type",IF(COUNTIFS('Rules'!$G$7:$G$26,"="&amp;(SUBSTITUTE(SUBSTITUTE(SUBSTITUTE(SUBSTITUTE("type:"&amp;B992,"%","%25"),"~","%7E"),"*","%2A"),"?","%3F")))=0,"Unknown type",IF(COUNTIFS('Rules'!$G$7:$G$26,"="&amp;(SUBSTITUTE(SUBSTITUTE(SUBSTITUTE(SUBSTITUTE("type:"&amp;B992,"%","%25"),"~","%7E"),"*","%2A"),"?","%3F")))&gt;1,"Duplicate type",IF(INDEX('Rules'!$F$7:$F$26,MATCH(SUBSTITUTE(SUBSTITUTE(SUBSTITUTE(SUBSTITUTE("type:"&amp;B992,"%","%25"),"~","%7E"),"*","%2A"),"?","%3F"),'Rules'!$G$7:$G$26,0))&lt;&gt;"",INDEX('Rules'!$F$7:$F$26,MATCH(SUBSTITUTE(SUBSTITUTE(SUBSTITUTE(SUBSTITUTE("type:"&amp;B992,"%","%25"),"~","%7E"),"*","%2A"),"?","%3F"),'Rules'!$G$7:$G$26,0)),IF(AND(C992&lt;&gt;"",C992&lt;&gt;INDEX('Rules'!$B$7:$B$26,MATCH(SUBSTITUTE(SUBSTITUTE(SUBSTITUTE(SUBSTITUTE("type:"&amp;B992,"%","%25"),"~","%7E"),"*","%2A"),"?","%3F"),'Rules'!$G$7:$G$26,0))),"Unit mismatch",IF(IF(NOT(ISNUMBER(D992)),TRUE,OR(D992&lt;0,D992&gt;999999999,ROUND(D992,3)&lt;&gt;D992)),"Invalid current reading",IF(AND(E992&lt;&gt;"",IF(NOT(ISNUMBER(E992)),TRUE,OR(E992&lt;0,E992&gt;999999999,ROUND(E992,3)&lt;&gt;E992))),"Invalid previous reading",IF(IF(NOT(ISNUMBER(F992)),TRUE,OR(F992&lt;0,F992&gt;999999999,ROUND(F992,3)&lt;&gt;F992)),"Invalid last service",IF(AND(E992&lt;&gt;"",D992&lt;E992),"Decreased reading",IF(F992&gt;D992,"Last service above current","")))))))))))))</x:f>
      </x:c>
      <x:c r="L992" s="6" t="str">
        <x:f>IF(AND(NOT(COUNTA(A992:F992)=0),K992=""),INDEX('Rules'!$C$7:$C$26,MATCH(SUBSTITUTE(SUBSTITUTE(SUBSTITUTE(SUBSTITUTE("type:"&amp;B992,"%","%25"),"~","%7E"),"*","%2A"),"?","%3F"),'Rules'!$G$7:$G$26,0)),"")</x:f>
      </x:c>
      <x:c r="M992" s="6" t="str">
        <x:f>IF(AND(NOT(COUNTA(A992:F992)=0),K992=""),INDEX('Rules'!$D$7:$D$26,MATCH(SUBSTITUTE(SUBSTITUTE(SUBSTITUTE(SUBSTITUTE("type:"&amp;B992,"%","%25"),"~","%7E"),"*","%2A"),"?","%3F"),'Rules'!$G$7:$G$26,0)),"")</x:f>
      </x:c>
      <x:c r="N992" s="5" t="str">
        <x:f>IF(COUNTA(A992:F992)=0,"",SUBSTITUTE(SUBSTITUTE(SUBSTITUTE(SUBSTITUTE("id:"&amp;A992,"%","%25"),"~","%7E"),"*","%2A"),"?","%3F"))</x:f>
      </x:c>
    </x:row>
    <x:row r="993" ht="22" customHeight="1">
      <x:c r="A993" s="3"/>
      <x:c r="B993" s="3"/>
      <x:c r="C993" s="3"/>
      <x:c r="D993" s="4"/>
      <x:c r="E993" s="4"/>
      <x:c r="F993" s="4"/>
      <x:c r="G993" s="5" t="str">
        <x:f>IF(COUNTA(A993:F993)=0,"",IF(K993&lt;&gt;"","Review",IF(I993&lt;0,"Overdue",IF(I993=0,"Due now",IF(I993&lt;=M993,"Due soon","Not due")))))</x:f>
      </x:c>
      <x:c r="H993" s="5" t="str">
        <x:f>IF(OR(COUNTA(A993:F993)=0,COUNTIFS('Rules'!$G$7:$G$26,"="&amp;(SUBSTITUTE(SUBSTITUTE(SUBSTITUTE(SUBSTITUTE("type:"&amp;B993,"%","%25"),"~","%7E"),"*","%2A"),"?","%3F")))&lt;&gt;1),"",IF(OR(INDEX('Rules'!$B$7:$B$26,MATCH(SUBSTITUTE(SUBSTITUTE(SUBSTITUTE(SUBSTITUTE("type:"&amp;B993,"%","%25"),"~","%7E"),"*","%2A"),"?","%3F"),'Rules'!$G$7:$G$26,0))="hours",INDEX('Rules'!$B$7:$B$26,MATCH(SUBSTITUTE(SUBSTITUTE(SUBSTITUTE(SUBSTITUTE("type:"&amp;B993,"%","%25"),"~","%7E"),"*","%2A"),"?","%3F"),'Rules'!$G$7:$G$26,0))="km"),INDEX('Rules'!$B$7:$B$26,MATCH(SUBSTITUTE(SUBSTITUTE(SUBSTITUTE(SUBSTITUTE("type:"&amp;B993,"%","%25"),"~","%7E"),"*","%2A"),"?","%3F"),'Rules'!$G$7:$G$26,0)),""))</x:f>
      </x:c>
      <x:c r="I993" s="6" t="str">
        <x:f>IF(AND(NOT(COUNTA(A993:F993)=0),K993=""),ROUND(J993-D993,3),"")</x:f>
      </x:c>
      <x:c r="J993" s="6" t="str">
        <x:f>IF(AND(NOT(COUNTA(A993:F993)=0),K993=""),ROUND(F993+L993,3),"")</x:f>
      </x:c>
      <x:c r="K993" s="5" t="str">
        <x:f>IF(COUNTA(A993:F993)=0,"",IF(A993="","Missing equipment ID",IF(COUNTIFS($N$8:$N$2007,"="&amp;N993)&gt;1,"Duplicate equipment ID",IF(B993="","Missing type",IF(COUNTIFS('Rules'!$G$7:$G$26,"="&amp;(SUBSTITUTE(SUBSTITUTE(SUBSTITUTE(SUBSTITUTE("type:"&amp;B993,"%","%25"),"~","%7E"),"*","%2A"),"?","%3F")))=0,"Unknown type",IF(COUNTIFS('Rules'!$G$7:$G$26,"="&amp;(SUBSTITUTE(SUBSTITUTE(SUBSTITUTE(SUBSTITUTE("type:"&amp;B993,"%","%25"),"~","%7E"),"*","%2A"),"?","%3F")))&gt;1,"Duplicate type",IF(INDEX('Rules'!$F$7:$F$26,MATCH(SUBSTITUTE(SUBSTITUTE(SUBSTITUTE(SUBSTITUTE("type:"&amp;B993,"%","%25"),"~","%7E"),"*","%2A"),"?","%3F"),'Rules'!$G$7:$G$26,0))&lt;&gt;"",INDEX('Rules'!$F$7:$F$26,MATCH(SUBSTITUTE(SUBSTITUTE(SUBSTITUTE(SUBSTITUTE("type:"&amp;B993,"%","%25"),"~","%7E"),"*","%2A"),"?","%3F"),'Rules'!$G$7:$G$26,0)),IF(AND(C993&lt;&gt;"",C993&lt;&gt;INDEX('Rules'!$B$7:$B$26,MATCH(SUBSTITUTE(SUBSTITUTE(SUBSTITUTE(SUBSTITUTE("type:"&amp;B993,"%","%25"),"~","%7E"),"*","%2A"),"?","%3F"),'Rules'!$G$7:$G$26,0))),"Unit mismatch",IF(IF(NOT(ISNUMBER(D993)),TRUE,OR(D993&lt;0,D993&gt;999999999,ROUND(D993,3)&lt;&gt;D993)),"Invalid current reading",IF(AND(E993&lt;&gt;"",IF(NOT(ISNUMBER(E993)),TRUE,OR(E993&lt;0,E993&gt;999999999,ROUND(E993,3)&lt;&gt;E993))),"Invalid previous reading",IF(IF(NOT(ISNUMBER(F993)),TRUE,OR(F993&lt;0,F993&gt;999999999,ROUND(F993,3)&lt;&gt;F993)),"Invalid last service",IF(AND(E993&lt;&gt;"",D993&lt;E993),"Decreased reading",IF(F993&gt;D993,"Last service above current","")))))))))))))</x:f>
      </x:c>
      <x:c r="L993" s="6" t="str">
        <x:f>IF(AND(NOT(COUNTA(A993:F993)=0),K993=""),INDEX('Rules'!$C$7:$C$26,MATCH(SUBSTITUTE(SUBSTITUTE(SUBSTITUTE(SUBSTITUTE("type:"&amp;B993,"%","%25"),"~","%7E"),"*","%2A"),"?","%3F"),'Rules'!$G$7:$G$26,0)),"")</x:f>
      </x:c>
      <x:c r="M993" s="6" t="str">
        <x:f>IF(AND(NOT(COUNTA(A993:F993)=0),K993=""),INDEX('Rules'!$D$7:$D$26,MATCH(SUBSTITUTE(SUBSTITUTE(SUBSTITUTE(SUBSTITUTE("type:"&amp;B993,"%","%25"),"~","%7E"),"*","%2A"),"?","%3F"),'Rules'!$G$7:$G$26,0)),"")</x:f>
      </x:c>
      <x:c r="N993" s="5" t="str">
        <x:f>IF(COUNTA(A993:F993)=0,"",SUBSTITUTE(SUBSTITUTE(SUBSTITUTE(SUBSTITUTE("id:"&amp;A993,"%","%25"),"~","%7E"),"*","%2A"),"?","%3F"))</x:f>
      </x:c>
    </x:row>
    <x:row r="994" ht="22" customHeight="1">
      <x:c r="A994" s="3"/>
      <x:c r="B994" s="3"/>
      <x:c r="C994" s="3"/>
      <x:c r="D994" s="4"/>
      <x:c r="E994" s="4"/>
      <x:c r="F994" s="4"/>
      <x:c r="G994" s="5" t="str">
        <x:f>IF(COUNTA(A994:F994)=0,"",IF(K994&lt;&gt;"","Review",IF(I994&lt;0,"Overdue",IF(I994=0,"Due now",IF(I994&lt;=M994,"Due soon","Not due")))))</x:f>
      </x:c>
      <x:c r="H994" s="5" t="str">
        <x:f>IF(OR(COUNTA(A994:F994)=0,COUNTIFS('Rules'!$G$7:$G$26,"="&amp;(SUBSTITUTE(SUBSTITUTE(SUBSTITUTE(SUBSTITUTE("type:"&amp;B994,"%","%25"),"~","%7E"),"*","%2A"),"?","%3F")))&lt;&gt;1),"",IF(OR(INDEX('Rules'!$B$7:$B$26,MATCH(SUBSTITUTE(SUBSTITUTE(SUBSTITUTE(SUBSTITUTE("type:"&amp;B994,"%","%25"),"~","%7E"),"*","%2A"),"?","%3F"),'Rules'!$G$7:$G$26,0))="hours",INDEX('Rules'!$B$7:$B$26,MATCH(SUBSTITUTE(SUBSTITUTE(SUBSTITUTE(SUBSTITUTE("type:"&amp;B994,"%","%25"),"~","%7E"),"*","%2A"),"?","%3F"),'Rules'!$G$7:$G$26,0))="km"),INDEX('Rules'!$B$7:$B$26,MATCH(SUBSTITUTE(SUBSTITUTE(SUBSTITUTE(SUBSTITUTE("type:"&amp;B994,"%","%25"),"~","%7E"),"*","%2A"),"?","%3F"),'Rules'!$G$7:$G$26,0)),""))</x:f>
      </x:c>
      <x:c r="I994" s="6" t="str">
        <x:f>IF(AND(NOT(COUNTA(A994:F994)=0),K994=""),ROUND(J994-D994,3),"")</x:f>
      </x:c>
      <x:c r="J994" s="6" t="str">
        <x:f>IF(AND(NOT(COUNTA(A994:F994)=0),K994=""),ROUND(F994+L994,3),"")</x:f>
      </x:c>
      <x:c r="K994" s="5" t="str">
        <x:f>IF(COUNTA(A994:F994)=0,"",IF(A994="","Missing equipment ID",IF(COUNTIFS($N$8:$N$2007,"="&amp;N994)&gt;1,"Duplicate equipment ID",IF(B994="","Missing type",IF(COUNTIFS('Rules'!$G$7:$G$26,"="&amp;(SUBSTITUTE(SUBSTITUTE(SUBSTITUTE(SUBSTITUTE("type:"&amp;B994,"%","%25"),"~","%7E"),"*","%2A"),"?","%3F")))=0,"Unknown type",IF(COUNTIFS('Rules'!$G$7:$G$26,"="&amp;(SUBSTITUTE(SUBSTITUTE(SUBSTITUTE(SUBSTITUTE("type:"&amp;B994,"%","%25"),"~","%7E"),"*","%2A"),"?","%3F")))&gt;1,"Duplicate type",IF(INDEX('Rules'!$F$7:$F$26,MATCH(SUBSTITUTE(SUBSTITUTE(SUBSTITUTE(SUBSTITUTE("type:"&amp;B994,"%","%25"),"~","%7E"),"*","%2A"),"?","%3F"),'Rules'!$G$7:$G$26,0))&lt;&gt;"",INDEX('Rules'!$F$7:$F$26,MATCH(SUBSTITUTE(SUBSTITUTE(SUBSTITUTE(SUBSTITUTE("type:"&amp;B994,"%","%25"),"~","%7E"),"*","%2A"),"?","%3F"),'Rules'!$G$7:$G$26,0)),IF(AND(C994&lt;&gt;"",C994&lt;&gt;INDEX('Rules'!$B$7:$B$26,MATCH(SUBSTITUTE(SUBSTITUTE(SUBSTITUTE(SUBSTITUTE("type:"&amp;B994,"%","%25"),"~","%7E"),"*","%2A"),"?","%3F"),'Rules'!$G$7:$G$26,0))),"Unit mismatch",IF(IF(NOT(ISNUMBER(D994)),TRUE,OR(D994&lt;0,D994&gt;999999999,ROUND(D994,3)&lt;&gt;D994)),"Invalid current reading",IF(AND(E994&lt;&gt;"",IF(NOT(ISNUMBER(E994)),TRUE,OR(E994&lt;0,E994&gt;999999999,ROUND(E994,3)&lt;&gt;E994))),"Invalid previous reading",IF(IF(NOT(ISNUMBER(F994)),TRUE,OR(F994&lt;0,F994&gt;999999999,ROUND(F994,3)&lt;&gt;F994)),"Invalid last service",IF(AND(E994&lt;&gt;"",D994&lt;E994),"Decreased reading",IF(F994&gt;D994,"Last service above current","")))))))))))))</x:f>
      </x:c>
      <x:c r="L994" s="6" t="str">
        <x:f>IF(AND(NOT(COUNTA(A994:F994)=0),K994=""),INDEX('Rules'!$C$7:$C$26,MATCH(SUBSTITUTE(SUBSTITUTE(SUBSTITUTE(SUBSTITUTE("type:"&amp;B994,"%","%25"),"~","%7E"),"*","%2A"),"?","%3F"),'Rules'!$G$7:$G$26,0)),"")</x:f>
      </x:c>
      <x:c r="M994" s="6" t="str">
        <x:f>IF(AND(NOT(COUNTA(A994:F994)=0),K994=""),INDEX('Rules'!$D$7:$D$26,MATCH(SUBSTITUTE(SUBSTITUTE(SUBSTITUTE(SUBSTITUTE("type:"&amp;B994,"%","%25"),"~","%7E"),"*","%2A"),"?","%3F"),'Rules'!$G$7:$G$26,0)),"")</x:f>
      </x:c>
      <x:c r="N994" s="5" t="str">
        <x:f>IF(COUNTA(A994:F994)=0,"",SUBSTITUTE(SUBSTITUTE(SUBSTITUTE(SUBSTITUTE("id:"&amp;A994,"%","%25"),"~","%7E"),"*","%2A"),"?","%3F"))</x:f>
      </x:c>
    </x:row>
    <x:row r="995" ht="22" customHeight="1">
      <x:c r="A995" s="3"/>
      <x:c r="B995" s="3"/>
      <x:c r="C995" s="3"/>
      <x:c r="D995" s="4"/>
      <x:c r="E995" s="4"/>
      <x:c r="F995" s="4"/>
      <x:c r="G995" s="5" t="str">
        <x:f>IF(COUNTA(A995:F995)=0,"",IF(K995&lt;&gt;"","Review",IF(I995&lt;0,"Overdue",IF(I995=0,"Due now",IF(I995&lt;=M995,"Due soon","Not due")))))</x:f>
      </x:c>
      <x:c r="H995" s="5" t="str">
        <x:f>IF(OR(COUNTA(A995:F995)=0,COUNTIFS('Rules'!$G$7:$G$26,"="&amp;(SUBSTITUTE(SUBSTITUTE(SUBSTITUTE(SUBSTITUTE("type:"&amp;B995,"%","%25"),"~","%7E"),"*","%2A"),"?","%3F")))&lt;&gt;1),"",IF(OR(INDEX('Rules'!$B$7:$B$26,MATCH(SUBSTITUTE(SUBSTITUTE(SUBSTITUTE(SUBSTITUTE("type:"&amp;B995,"%","%25"),"~","%7E"),"*","%2A"),"?","%3F"),'Rules'!$G$7:$G$26,0))="hours",INDEX('Rules'!$B$7:$B$26,MATCH(SUBSTITUTE(SUBSTITUTE(SUBSTITUTE(SUBSTITUTE("type:"&amp;B995,"%","%25"),"~","%7E"),"*","%2A"),"?","%3F"),'Rules'!$G$7:$G$26,0))="km"),INDEX('Rules'!$B$7:$B$26,MATCH(SUBSTITUTE(SUBSTITUTE(SUBSTITUTE(SUBSTITUTE("type:"&amp;B995,"%","%25"),"~","%7E"),"*","%2A"),"?","%3F"),'Rules'!$G$7:$G$26,0)),""))</x:f>
      </x:c>
      <x:c r="I995" s="6" t="str">
        <x:f>IF(AND(NOT(COUNTA(A995:F995)=0),K995=""),ROUND(J995-D995,3),"")</x:f>
      </x:c>
      <x:c r="J995" s="6" t="str">
        <x:f>IF(AND(NOT(COUNTA(A995:F995)=0),K995=""),ROUND(F995+L995,3),"")</x:f>
      </x:c>
      <x:c r="K995" s="5" t="str">
        <x:f>IF(COUNTA(A995:F995)=0,"",IF(A995="","Missing equipment ID",IF(COUNTIFS($N$8:$N$2007,"="&amp;N995)&gt;1,"Duplicate equipment ID",IF(B995="","Missing type",IF(COUNTIFS('Rules'!$G$7:$G$26,"="&amp;(SUBSTITUTE(SUBSTITUTE(SUBSTITUTE(SUBSTITUTE("type:"&amp;B995,"%","%25"),"~","%7E"),"*","%2A"),"?","%3F")))=0,"Unknown type",IF(COUNTIFS('Rules'!$G$7:$G$26,"="&amp;(SUBSTITUTE(SUBSTITUTE(SUBSTITUTE(SUBSTITUTE("type:"&amp;B995,"%","%25"),"~","%7E"),"*","%2A"),"?","%3F")))&gt;1,"Duplicate type",IF(INDEX('Rules'!$F$7:$F$26,MATCH(SUBSTITUTE(SUBSTITUTE(SUBSTITUTE(SUBSTITUTE("type:"&amp;B995,"%","%25"),"~","%7E"),"*","%2A"),"?","%3F"),'Rules'!$G$7:$G$26,0))&lt;&gt;"",INDEX('Rules'!$F$7:$F$26,MATCH(SUBSTITUTE(SUBSTITUTE(SUBSTITUTE(SUBSTITUTE("type:"&amp;B995,"%","%25"),"~","%7E"),"*","%2A"),"?","%3F"),'Rules'!$G$7:$G$26,0)),IF(AND(C995&lt;&gt;"",C995&lt;&gt;INDEX('Rules'!$B$7:$B$26,MATCH(SUBSTITUTE(SUBSTITUTE(SUBSTITUTE(SUBSTITUTE("type:"&amp;B995,"%","%25"),"~","%7E"),"*","%2A"),"?","%3F"),'Rules'!$G$7:$G$26,0))),"Unit mismatch",IF(IF(NOT(ISNUMBER(D995)),TRUE,OR(D995&lt;0,D995&gt;999999999,ROUND(D995,3)&lt;&gt;D995)),"Invalid current reading",IF(AND(E995&lt;&gt;"",IF(NOT(ISNUMBER(E995)),TRUE,OR(E995&lt;0,E995&gt;999999999,ROUND(E995,3)&lt;&gt;E995))),"Invalid previous reading",IF(IF(NOT(ISNUMBER(F995)),TRUE,OR(F995&lt;0,F995&gt;999999999,ROUND(F995,3)&lt;&gt;F995)),"Invalid last service",IF(AND(E995&lt;&gt;"",D995&lt;E995),"Decreased reading",IF(F995&gt;D995,"Last service above current","")))))))))))))</x:f>
      </x:c>
      <x:c r="L995" s="6" t="str">
        <x:f>IF(AND(NOT(COUNTA(A995:F995)=0),K995=""),INDEX('Rules'!$C$7:$C$26,MATCH(SUBSTITUTE(SUBSTITUTE(SUBSTITUTE(SUBSTITUTE("type:"&amp;B995,"%","%25"),"~","%7E"),"*","%2A"),"?","%3F"),'Rules'!$G$7:$G$26,0)),"")</x:f>
      </x:c>
      <x:c r="M995" s="6" t="str">
        <x:f>IF(AND(NOT(COUNTA(A995:F995)=0),K995=""),INDEX('Rules'!$D$7:$D$26,MATCH(SUBSTITUTE(SUBSTITUTE(SUBSTITUTE(SUBSTITUTE("type:"&amp;B995,"%","%25"),"~","%7E"),"*","%2A"),"?","%3F"),'Rules'!$G$7:$G$26,0)),"")</x:f>
      </x:c>
      <x:c r="N995" s="5" t="str">
        <x:f>IF(COUNTA(A995:F995)=0,"",SUBSTITUTE(SUBSTITUTE(SUBSTITUTE(SUBSTITUTE("id:"&amp;A995,"%","%25"),"~","%7E"),"*","%2A"),"?","%3F"))</x:f>
      </x:c>
    </x:row>
    <x:row r="996" ht="22" customHeight="1">
      <x:c r="A996" s="3"/>
      <x:c r="B996" s="3"/>
      <x:c r="C996" s="3"/>
      <x:c r="D996" s="4"/>
      <x:c r="E996" s="4"/>
      <x:c r="F996" s="4"/>
      <x:c r="G996" s="5" t="str">
        <x:f>IF(COUNTA(A996:F996)=0,"",IF(K996&lt;&gt;"","Review",IF(I996&lt;0,"Overdue",IF(I996=0,"Due now",IF(I996&lt;=M996,"Due soon","Not due")))))</x:f>
      </x:c>
      <x:c r="H996" s="5" t="str">
        <x:f>IF(OR(COUNTA(A996:F996)=0,COUNTIFS('Rules'!$G$7:$G$26,"="&amp;(SUBSTITUTE(SUBSTITUTE(SUBSTITUTE(SUBSTITUTE("type:"&amp;B996,"%","%25"),"~","%7E"),"*","%2A"),"?","%3F")))&lt;&gt;1),"",IF(OR(INDEX('Rules'!$B$7:$B$26,MATCH(SUBSTITUTE(SUBSTITUTE(SUBSTITUTE(SUBSTITUTE("type:"&amp;B996,"%","%25"),"~","%7E"),"*","%2A"),"?","%3F"),'Rules'!$G$7:$G$26,0))="hours",INDEX('Rules'!$B$7:$B$26,MATCH(SUBSTITUTE(SUBSTITUTE(SUBSTITUTE(SUBSTITUTE("type:"&amp;B996,"%","%25"),"~","%7E"),"*","%2A"),"?","%3F"),'Rules'!$G$7:$G$26,0))="km"),INDEX('Rules'!$B$7:$B$26,MATCH(SUBSTITUTE(SUBSTITUTE(SUBSTITUTE(SUBSTITUTE("type:"&amp;B996,"%","%25"),"~","%7E"),"*","%2A"),"?","%3F"),'Rules'!$G$7:$G$26,0)),""))</x:f>
      </x:c>
      <x:c r="I996" s="6" t="str">
        <x:f>IF(AND(NOT(COUNTA(A996:F996)=0),K996=""),ROUND(J996-D996,3),"")</x:f>
      </x:c>
      <x:c r="J996" s="6" t="str">
        <x:f>IF(AND(NOT(COUNTA(A996:F996)=0),K996=""),ROUND(F996+L996,3),"")</x:f>
      </x:c>
      <x:c r="K996" s="5" t="str">
        <x:f>IF(COUNTA(A996:F996)=0,"",IF(A996="","Missing equipment ID",IF(COUNTIFS($N$8:$N$2007,"="&amp;N996)&gt;1,"Duplicate equipment ID",IF(B996="","Missing type",IF(COUNTIFS('Rules'!$G$7:$G$26,"="&amp;(SUBSTITUTE(SUBSTITUTE(SUBSTITUTE(SUBSTITUTE("type:"&amp;B996,"%","%25"),"~","%7E"),"*","%2A"),"?","%3F")))=0,"Unknown type",IF(COUNTIFS('Rules'!$G$7:$G$26,"="&amp;(SUBSTITUTE(SUBSTITUTE(SUBSTITUTE(SUBSTITUTE("type:"&amp;B996,"%","%25"),"~","%7E"),"*","%2A"),"?","%3F")))&gt;1,"Duplicate type",IF(INDEX('Rules'!$F$7:$F$26,MATCH(SUBSTITUTE(SUBSTITUTE(SUBSTITUTE(SUBSTITUTE("type:"&amp;B996,"%","%25"),"~","%7E"),"*","%2A"),"?","%3F"),'Rules'!$G$7:$G$26,0))&lt;&gt;"",INDEX('Rules'!$F$7:$F$26,MATCH(SUBSTITUTE(SUBSTITUTE(SUBSTITUTE(SUBSTITUTE("type:"&amp;B996,"%","%25"),"~","%7E"),"*","%2A"),"?","%3F"),'Rules'!$G$7:$G$26,0)),IF(AND(C996&lt;&gt;"",C996&lt;&gt;INDEX('Rules'!$B$7:$B$26,MATCH(SUBSTITUTE(SUBSTITUTE(SUBSTITUTE(SUBSTITUTE("type:"&amp;B996,"%","%25"),"~","%7E"),"*","%2A"),"?","%3F"),'Rules'!$G$7:$G$26,0))),"Unit mismatch",IF(IF(NOT(ISNUMBER(D996)),TRUE,OR(D996&lt;0,D996&gt;999999999,ROUND(D996,3)&lt;&gt;D996)),"Invalid current reading",IF(AND(E996&lt;&gt;"",IF(NOT(ISNUMBER(E996)),TRUE,OR(E996&lt;0,E996&gt;999999999,ROUND(E996,3)&lt;&gt;E996))),"Invalid previous reading",IF(IF(NOT(ISNUMBER(F996)),TRUE,OR(F996&lt;0,F996&gt;999999999,ROUND(F996,3)&lt;&gt;F996)),"Invalid last service",IF(AND(E996&lt;&gt;"",D996&lt;E996),"Decreased reading",IF(F996&gt;D996,"Last service above current","")))))))))))))</x:f>
      </x:c>
      <x:c r="L996" s="6" t="str">
        <x:f>IF(AND(NOT(COUNTA(A996:F996)=0),K996=""),INDEX('Rules'!$C$7:$C$26,MATCH(SUBSTITUTE(SUBSTITUTE(SUBSTITUTE(SUBSTITUTE("type:"&amp;B996,"%","%25"),"~","%7E"),"*","%2A"),"?","%3F"),'Rules'!$G$7:$G$26,0)),"")</x:f>
      </x:c>
      <x:c r="M996" s="6" t="str">
        <x:f>IF(AND(NOT(COUNTA(A996:F996)=0),K996=""),INDEX('Rules'!$D$7:$D$26,MATCH(SUBSTITUTE(SUBSTITUTE(SUBSTITUTE(SUBSTITUTE("type:"&amp;B996,"%","%25"),"~","%7E"),"*","%2A"),"?","%3F"),'Rules'!$G$7:$G$26,0)),"")</x:f>
      </x:c>
      <x:c r="N996" s="5" t="str">
        <x:f>IF(COUNTA(A996:F996)=0,"",SUBSTITUTE(SUBSTITUTE(SUBSTITUTE(SUBSTITUTE("id:"&amp;A996,"%","%25"),"~","%7E"),"*","%2A"),"?","%3F"))</x:f>
      </x:c>
    </x:row>
    <x:row r="997" ht="22" customHeight="1">
      <x:c r="A997" s="3"/>
      <x:c r="B997" s="3"/>
      <x:c r="C997" s="3"/>
      <x:c r="D997" s="4"/>
      <x:c r="E997" s="4"/>
      <x:c r="F997" s="4"/>
      <x:c r="G997" s="5" t="str">
        <x:f>IF(COUNTA(A997:F997)=0,"",IF(K997&lt;&gt;"","Review",IF(I997&lt;0,"Overdue",IF(I997=0,"Due now",IF(I997&lt;=M997,"Due soon","Not due")))))</x:f>
      </x:c>
      <x:c r="H997" s="5" t="str">
        <x:f>IF(OR(COUNTA(A997:F997)=0,COUNTIFS('Rules'!$G$7:$G$26,"="&amp;(SUBSTITUTE(SUBSTITUTE(SUBSTITUTE(SUBSTITUTE("type:"&amp;B997,"%","%25"),"~","%7E"),"*","%2A"),"?","%3F")))&lt;&gt;1),"",IF(OR(INDEX('Rules'!$B$7:$B$26,MATCH(SUBSTITUTE(SUBSTITUTE(SUBSTITUTE(SUBSTITUTE("type:"&amp;B997,"%","%25"),"~","%7E"),"*","%2A"),"?","%3F"),'Rules'!$G$7:$G$26,0))="hours",INDEX('Rules'!$B$7:$B$26,MATCH(SUBSTITUTE(SUBSTITUTE(SUBSTITUTE(SUBSTITUTE("type:"&amp;B997,"%","%25"),"~","%7E"),"*","%2A"),"?","%3F"),'Rules'!$G$7:$G$26,0))="km"),INDEX('Rules'!$B$7:$B$26,MATCH(SUBSTITUTE(SUBSTITUTE(SUBSTITUTE(SUBSTITUTE("type:"&amp;B997,"%","%25"),"~","%7E"),"*","%2A"),"?","%3F"),'Rules'!$G$7:$G$26,0)),""))</x:f>
      </x:c>
      <x:c r="I997" s="6" t="str">
        <x:f>IF(AND(NOT(COUNTA(A997:F997)=0),K997=""),ROUND(J997-D997,3),"")</x:f>
      </x:c>
      <x:c r="J997" s="6" t="str">
        <x:f>IF(AND(NOT(COUNTA(A997:F997)=0),K997=""),ROUND(F997+L997,3),"")</x:f>
      </x:c>
      <x:c r="K997" s="5" t="str">
        <x:f>IF(COUNTA(A997:F997)=0,"",IF(A997="","Missing equipment ID",IF(COUNTIFS($N$8:$N$2007,"="&amp;N997)&gt;1,"Duplicate equipment ID",IF(B997="","Missing type",IF(COUNTIFS('Rules'!$G$7:$G$26,"="&amp;(SUBSTITUTE(SUBSTITUTE(SUBSTITUTE(SUBSTITUTE("type:"&amp;B997,"%","%25"),"~","%7E"),"*","%2A"),"?","%3F")))=0,"Unknown type",IF(COUNTIFS('Rules'!$G$7:$G$26,"="&amp;(SUBSTITUTE(SUBSTITUTE(SUBSTITUTE(SUBSTITUTE("type:"&amp;B997,"%","%25"),"~","%7E"),"*","%2A"),"?","%3F")))&gt;1,"Duplicate type",IF(INDEX('Rules'!$F$7:$F$26,MATCH(SUBSTITUTE(SUBSTITUTE(SUBSTITUTE(SUBSTITUTE("type:"&amp;B997,"%","%25"),"~","%7E"),"*","%2A"),"?","%3F"),'Rules'!$G$7:$G$26,0))&lt;&gt;"",INDEX('Rules'!$F$7:$F$26,MATCH(SUBSTITUTE(SUBSTITUTE(SUBSTITUTE(SUBSTITUTE("type:"&amp;B997,"%","%25"),"~","%7E"),"*","%2A"),"?","%3F"),'Rules'!$G$7:$G$26,0)),IF(AND(C997&lt;&gt;"",C997&lt;&gt;INDEX('Rules'!$B$7:$B$26,MATCH(SUBSTITUTE(SUBSTITUTE(SUBSTITUTE(SUBSTITUTE("type:"&amp;B997,"%","%25"),"~","%7E"),"*","%2A"),"?","%3F"),'Rules'!$G$7:$G$26,0))),"Unit mismatch",IF(IF(NOT(ISNUMBER(D997)),TRUE,OR(D997&lt;0,D997&gt;999999999,ROUND(D997,3)&lt;&gt;D997)),"Invalid current reading",IF(AND(E997&lt;&gt;"",IF(NOT(ISNUMBER(E997)),TRUE,OR(E997&lt;0,E997&gt;999999999,ROUND(E997,3)&lt;&gt;E997))),"Invalid previous reading",IF(IF(NOT(ISNUMBER(F997)),TRUE,OR(F997&lt;0,F997&gt;999999999,ROUND(F997,3)&lt;&gt;F997)),"Invalid last service",IF(AND(E997&lt;&gt;"",D997&lt;E997),"Decreased reading",IF(F997&gt;D997,"Last service above current","")))))))))))))</x:f>
      </x:c>
      <x:c r="L997" s="6" t="str">
        <x:f>IF(AND(NOT(COUNTA(A997:F997)=0),K997=""),INDEX('Rules'!$C$7:$C$26,MATCH(SUBSTITUTE(SUBSTITUTE(SUBSTITUTE(SUBSTITUTE("type:"&amp;B997,"%","%25"),"~","%7E"),"*","%2A"),"?","%3F"),'Rules'!$G$7:$G$26,0)),"")</x:f>
      </x:c>
      <x:c r="M997" s="6" t="str">
        <x:f>IF(AND(NOT(COUNTA(A997:F997)=0),K997=""),INDEX('Rules'!$D$7:$D$26,MATCH(SUBSTITUTE(SUBSTITUTE(SUBSTITUTE(SUBSTITUTE("type:"&amp;B997,"%","%25"),"~","%7E"),"*","%2A"),"?","%3F"),'Rules'!$G$7:$G$26,0)),"")</x:f>
      </x:c>
      <x:c r="N997" s="5" t="str">
        <x:f>IF(COUNTA(A997:F997)=0,"",SUBSTITUTE(SUBSTITUTE(SUBSTITUTE(SUBSTITUTE("id:"&amp;A997,"%","%25"),"~","%7E"),"*","%2A"),"?","%3F"))</x:f>
      </x:c>
    </x:row>
    <x:row r="998" ht="22" customHeight="1">
      <x:c r="A998" s="3"/>
      <x:c r="B998" s="3"/>
      <x:c r="C998" s="3"/>
      <x:c r="D998" s="4"/>
      <x:c r="E998" s="4"/>
      <x:c r="F998" s="4"/>
      <x:c r="G998" s="5" t="str">
        <x:f>IF(COUNTA(A998:F998)=0,"",IF(K998&lt;&gt;"","Review",IF(I998&lt;0,"Overdue",IF(I998=0,"Due now",IF(I998&lt;=M998,"Due soon","Not due")))))</x:f>
      </x:c>
      <x:c r="H998" s="5" t="str">
        <x:f>IF(OR(COUNTA(A998:F998)=0,COUNTIFS('Rules'!$G$7:$G$26,"="&amp;(SUBSTITUTE(SUBSTITUTE(SUBSTITUTE(SUBSTITUTE("type:"&amp;B998,"%","%25"),"~","%7E"),"*","%2A"),"?","%3F")))&lt;&gt;1),"",IF(OR(INDEX('Rules'!$B$7:$B$26,MATCH(SUBSTITUTE(SUBSTITUTE(SUBSTITUTE(SUBSTITUTE("type:"&amp;B998,"%","%25"),"~","%7E"),"*","%2A"),"?","%3F"),'Rules'!$G$7:$G$26,0))="hours",INDEX('Rules'!$B$7:$B$26,MATCH(SUBSTITUTE(SUBSTITUTE(SUBSTITUTE(SUBSTITUTE("type:"&amp;B998,"%","%25"),"~","%7E"),"*","%2A"),"?","%3F"),'Rules'!$G$7:$G$26,0))="km"),INDEX('Rules'!$B$7:$B$26,MATCH(SUBSTITUTE(SUBSTITUTE(SUBSTITUTE(SUBSTITUTE("type:"&amp;B998,"%","%25"),"~","%7E"),"*","%2A"),"?","%3F"),'Rules'!$G$7:$G$26,0)),""))</x:f>
      </x:c>
      <x:c r="I998" s="6" t="str">
        <x:f>IF(AND(NOT(COUNTA(A998:F998)=0),K998=""),ROUND(J998-D998,3),"")</x:f>
      </x:c>
      <x:c r="J998" s="6" t="str">
        <x:f>IF(AND(NOT(COUNTA(A998:F998)=0),K998=""),ROUND(F998+L998,3),"")</x:f>
      </x:c>
      <x:c r="K998" s="5" t="str">
        <x:f>IF(COUNTA(A998:F998)=0,"",IF(A998="","Missing equipment ID",IF(COUNTIFS($N$8:$N$2007,"="&amp;N998)&gt;1,"Duplicate equipment ID",IF(B998="","Missing type",IF(COUNTIFS('Rules'!$G$7:$G$26,"="&amp;(SUBSTITUTE(SUBSTITUTE(SUBSTITUTE(SUBSTITUTE("type:"&amp;B998,"%","%25"),"~","%7E"),"*","%2A"),"?","%3F")))=0,"Unknown type",IF(COUNTIFS('Rules'!$G$7:$G$26,"="&amp;(SUBSTITUTE(SUBSTITUTE(SUBSTITUTE(SUBSTITUTE("type:"&amp;B998,"%","%25"),"~","%7E"),"*","%2A"),"?","%3F")))&gt;1,"Duplicate type",IF(INDEX('Rules'!$F$7:$F$26,MATCH(SUBSTITUTE(SUBSTITUTE(SUBSTITUTE(SUBSTITUTE("type:"&amp;B998,"%","%25"),"~","%7E"),"*","%2A"),"?","%3F"),'Rules'!$G$7:$G$26,0))&lt;&gt;"",INDEX('Rules'!$F$7:$F$26,MATCH(SUBSTITUTE(SUBSTITUTE(SUBSTITUTE(SUBSTITUTE("type:"&amp;B998,"%","%25"),"~","%7E"),"*","%2A"),"?","%3F"),'Rules'!$G$7:$G$26,0)),IF(AND(C998&lt;&gt;"",C998&lt;&gt;INDEX('Rules'!$B$7:$B$26,MATCH(SUBSTITUTE(SUBSTITUTE(SUBSTITUTE(SUBSTITUTE("type:"&amp;B998,"%","%25"),"~","%7E"),"*","%2A"),"?","%3F"),'Rules'!$G$7:$G$26,0))),"Unit mismatch",IF(IF(NOT(ISNUMBER(D998)),TRUE,OR(D998&lt;0,D998&gt;999999999,ROUND(D998,3)&lt;&gt;D998)),"Invalid current reading",IF(AND(E998&lt;&gt;"",IF(NOT(ISNUMBER(E998)),TRUE,OR(E998&lt;0,E998&gt;999999999,ROUND(E998,3)&lt;&gt;E998))),"Invalid previous reading",IF(IF(NOT(ISNUMBER(F998)),TRUE,OR(F998&lt;0,F998&gt;999999999,ROUND(F998,3)&lt;&gt;F998)),"Invalid last service",IF(AND(E998&lt;&gt;"",D998&lt;E998),"Decreased reading",IF(F998&gt;D998,"Last service above current","")))))))))))))</x:f>
      </x:c>
      <x:c r="L998" s="6" t="str">
        <x:f>IF(AND(NOT(COUNTA(A998:F998)=0),K998=""),INDEX('Rules'!$C$7:$C$26,MATCH(SUBSTITUTE(SUBSTITUTE(SUBSTITUTE(SUBSTITUTE("type:"&amp;B998,"%","%25"),"~","%7E"),"*","%2A"),"?","%3F"),'Rules'!$G$7:$G$26,0)),"")</x:f>
      </x:c>
      <x:c r="M998" s="6" t="str">
        <x:f>IF(AND(NOT(COUNTA(A998:F998)=0),K998=""),INDEX('Rules'!$D$7:$D$26,MATCH(SUBSTITUTE(SUBSTITUTE(SUBSTITUTE(SUBSTITUTE("type:"&amp;B998,"%","%25"),"~","%7E"),"*","%2A"),"?","%3F"),'Rules'!$G$7:$G$26,0)),"")</x:f>
      </x:c>
      <x:c r="N998" s="5" t="str">
        <x:f>IF(COUNTA(A998:F998)=0,"",SUBSTITUTE(SUBSTITUTE(SUBSTITUTE(SUBSTITUTE("id:"&amp;A998,"%","%25"),"~","%7E"),"*","%2A"),"?","%3F"))</x:f>
      </x:c>
    </x:row>
    <x:row r="999" ht="22" customHeight="1">
      <x:c r="A999" s="3"/>
      <x:c r="B999" s="3"/>
      <x:c r="C999" s="3"/>
      <x:c r="D999" s="4"/>
      <x:c r="E999" s="4"/>
      <x:c r="F999" s="4"/>
      <x:c r="G999" s="5" t="str">
        <x:f>IF(COUNTA(A999:F999)=0,"",IF(K999&lt;&gt;"","Review",IF(I999&lt;0,"Overdue",IF(I999=0,"Due now",IF(I999&lt;=M999,"Due soon","Not due")))))</x:f>
      </x:c>
      <x:c r="H999" s="5" t="str">
        <x:f>IF(OR(COUNTA(A999:F999)=0,COUNTIFS('Rules'!$G$7:$G$26,"="&amp;(SUBSTITUTE(SUBSTITUTE(SUBSTITUTE(SUBSTITUTE("type:"&amp;B999,"%","%25"),"~","%7E"),"*","%2A"),"?","%3F")))&lt;&gt;1),"",IF(OR(INDEX('Rules'!$B$7:$B$26,MATCH(SUBSTITUTE(SUBSTITUTE(SUBSTITUTE(SUBSTITUTE("type:"&amp;B999,"%","%25"),"~","%7E"),"*","%2A"),"?","%3F"),'Rules'!$G$7:$G$26,0))="hours",INDEX('Rules'!$B$7:$B$26,MATCH(SUBSTITUTE(SUBSTITUTE(SUBSTITUTE(SUBSTITUTE("type:"&amp;B999,"%","%25"),"~","%7E"),"*","%2A"),"?","%3F"),'Rules'!$G$7:$G$26,0))="km"),INDEX('Rules'!$B$7:$B$26,MATCH(SUBSTITUTE(SUBSTITUTE(SUBSTITUTE(SUBSTITUTE("type:"&amp;B999,"%","%25"),"~","%7E"),"*","%2A"),"?","%3F"),'Rules'!$G$7:$G$26,0)),""))</x:f>
      </x:c>
      <x:c r="I999" s="6" t="str">
        <x:f>IF(AND(NOT(COUNTA(A999:F999)=0),K999=""),ROUND(J999-D999,3),"")</x:f>
      </x:c>
      <x:c r="J999" s="6" t="str">
        <x:f>IF(AND(NOT(COUNTA(A999:F999)=0),K999=""),ROUND(F999+L999,3),"")</x:f>
      </x:c>
      <x:c r="K999" s="5" t="str">
        <x:f>IF(COUNTA(A999:F999)=0,"",IF(A999="","Missing equipment ID",IF(COUNTIFS($N$8:$N$2007,"="&amp;N999)&gt;1,"Duplicate equipment ID",IF(B999="","Missing type",IF(COUNTIFS('Rules'!$G$7:$G$26,"="&amp;(SUBSTITUTE(SUBSTITUTE(SUBSTITUTE(SUBSTITUTE("type:"&amp;B999,"%","%25"),"~","%7E"),"*","%2A"),"?","%3F")))=0,"Unknown type",IF(COUNTIFS('Rules'!$G$7:$G$26,"="&amp;(SUBSTITUTE(SUBSTITUTE(SUBSTITUTE(SUBSTITUTE("type:"&amp;B999,"%","%25"),"~","%7E"),"*","%2A"),"?","%3F")))&gt;1,"Duplicate type",IF(INDEX('Rules'!$F$7:$F$26,MATCH(SUBSTITUTE(SUBSTITUTE(SUBSTITUTE(SUBSTITUTE("type:"&amp;B999,"%","%25"),"~","%7E"),"*","%2A"),"?","%3F"),'Rules'!$G$7:$G$26,0))&lt;&gt;"",INDEX('Rules'!$F$7:$F$26,MATCH(SUBSTITUTE(SUBSTITUTE(SUBSTITUTE(SUBSTITUTE("type:"&amp;B999,"%","%25"),"~","%7E"),"*","%2A"),"?","%3F"),'Rules'!$G$7:$G$26,0)),IF(AND(C999&lt;&gt;"",C999&lt;&gt;INDEX('Rules'!$B$7:$B$26,MATCH(SUBSTITUTE(SUBSTITUTE(SUBSTITUTE(SUBSTITUTE("type:"&amp;B999,"%","%25"),"~","%7E"),"*","%2A"),"?","%3F"),'Rules'!$G$7:$G$26,0))),"Unit mismatch",IF(IF(NOT(ISNUMBER(D999)),TRUE,OR(D999&lt;0,D999&gt;999999999,ROUND(D999,3)&lt;&gt;D999)),"Invalid current reading",IF(AND(E999&lt;&gt;"",IF(NOT(ISNUMBER(E999)),TRUE,OR(E999&lt;0,E999&gt;999999999,ROUND(E999,3)&lt;&gt;E999))),"Invalid previous reading",IF(IF(NOT(ISNUMBER(F999)),TRUE,OR(F999&lt;0,F999&gt;999999999,ROUND(F999,3)&lt;&gt;F999)),"Invalid last service",IF(AND(E999&lt;&gt;"",D999&lt;E999),"Decreased reading",IF(F999&gt;D999,"Last service above current","")))))))))))))</x:f>
      </x:c>
      <x:c r="L999" s="6" t="str">
        <x:f>IF(AND(NOT(COUNTA(A999:F999)=0),K999=""),INDEX('Rules'!$C$7:$C$26,MATCH(SUBSTITUTE(SUBSTITUTE(SUBSTITUTE(SUBSTITUTE("type:"&amp;B999,"%","%25"),"~","%7E"),"*","%2A"),"?","%3F"),'Rules'!$G$7:$G$26,0)),"")</x:f>
      </x:c>
      <x:c r="M999" s="6" t="str">
        <x:f>IF(AND(NOT(COUNTA(A999:F999)=0),K999=""),INDEX('Rules'!$D$7:$D$26,MATCH(SUBSTITUTE(SUBSTITUTE(SUBSTITUTE(SUBSTITUTE("type:"&amp;B999,"%","%25"),"~","%7E"),"*","%2A"),"?","%3F"),'Rules'!$G$7:$G$26,0)),"")</x:f>
      </x:c>
      <x:c r="N999" s="5" t="str">
        <x:f>IF(COUNTA(A999:F999)=0,"",SUBSTITUTE(SUBSTITUTE(SUBSTITUTE(SUBSTITUTE("id:"&amp;A999,"%","%25"),"~","%7E"),"*","%2A"),"?","%3F"))</x:f>
      </x:c>
    </x:row>
    <x:row r="1000" ht="22" customHeight="1">
      <x:c r="A1000" s="3"/>
      <x:c r="B1000" s="3"/>
      <x:c r="C1000" s="3"/>
      <x:c r="D1000" s="4"/>
      <x:c r="E1000" s="4"/>
      <x:c r="F1000" s="4"/>
      <x:c r="G1000" s="5" t="str">
        <x:f>IF(COUNTA(A1000:F1000)=0,"",IF(K1000&lt;&gt;"","Review",IF(I1000&lt;0,"Overdue",IF(I1000=0,"Due now",IF(I1000&lt;=M1000,"Due soon","Not due")))))</x:f>
      </x:c>
      <x:c r="H1000" s="5" t="str">
        <x:f>IF(OR(COUNTA(A1000:F1000)=0,COUNTIFS('Rules'!$G$7:$G$26,"="&amp;(SUBSTITUTE(SUBSTITUTE(SUBSTITUTE(SUBSTITUTE("type:"&amp;B1000,"%","%25"),"~","%7E"),"*","%2A"),"?","%3F")))&lt;&gt;1),"",IF(OR(INDEX('Rules'!$B$7:$B$26,MATCH(SUBSTITUTE(SUBSTITUTE(SUBSTITUTE(SUBSTITUTE("type:"&amp;B1000,"%","%25"),"~","%7E"),"*","%2A"),"?","%3F"),'Rules'!$G$7:$G$26,0))="hours",INDEX('Rules'!$B$7:$B$26,MATCH(SUBSTITUTE(SUBSTITUTE(SUBSTITUTE(SUBSTITUTE("type:"&amp;B1000,"%","%25"),"~","%7E"),"*","%2A"),"?","%3F"),'Rules'!$G$7:$G$26,0))="km"),INDEX('Rules'!$B$7:$B$26,MATCH(SUBSTITUTE(SUBSTITUTE(SUBSTITUTE(SUBSTITUTE("type:"&amp;B1000,"%","%25"),"~","%7E"),"*","%2A"),"?","%3F"),'Rules'!$G$7:$G$26,0)),""))</x:f>
      </x:c>
      <x:c r="I1000" s="6" t="str">
        <x:f>IF(AND(NOT(COUNTA(A1000:F1000)=0),K1000=""),ROUND(J1000-D1000,3),"")</x:f>
      </x:c>
      <x:c r="J1000" s="6" t="str">
        <x:f>IF(AND(NOT(COUNTA(A1000:F1000)=0),K1000=""),ROUND(F1000+L1000,3),"")</x:f>
      </x:c>
      <x:c r="K1000" s="5" t="str">
        <x:f>IF(COUNTA(A1000:F1000)=0,"",IF(A1000="","Missing equipment ID",IF(COUNTIFS($N$8:$N$2007,"="&amp;N1000)&gt;1,"Duplicate equipment ID",IF(B1000="","Missing type",IF(COUNTIFS('Rules'!$G$7:$G$26,"="&amp;(SUBSTITUTE(SUBSTITUTE(SUBSTITUTE(SUBSTITUTE("type:"&amp;B1000,"%","%25"),"~","%7E"),"*","%2A"),"?","%3F")))=0,"Unknown type",IF(COUNTIFS('Rules'!$G$7:$G$26,"="&amp;(SUBSTITUTE(SUBSTITUTE(SUBSTITUTE(SUBSTITUTE("type:"&amp;B1000,"%","%25"),"~","%7E"),"*","%2A"),"?","%3F")))&gt;1,"Duplicate type",IF(INDEX('Rules'!$F$7:$F$26,MATCH(SUBSTITUTE(SUBSTITUTE(SUBSTITUTE(SUBSTITUTE("type:"&amp;B1000,"%","%25"),"~","%7E"),"*","%2A"),"?","%3F"),'Rules'!$G$7:$G$26,0))&lt;&gt;"",INDEX('Rules'!$F$7:$F$26,MATCH(SUBSTITUTE(SUBSTITUTE(SUBSTITUTE(SUBSTITUTE("type:"&amp;B1000,"%","%25"),"~","%7E"),"*","%2A"),"?","%3F"),'Rules'!$G$7:$G$26,0)),IF(AND(C1000&lt;&gt;"",C1000&lt;&gt;INDEX('Rules'!$B$7:$B$26,MATCH(SUBSTITUTE(SUBSTITUTE(SUBSTITUTE(SUBSTITUTE("type:"&amp;B1000,"%","%25"),"~","%7E"),"*","%2A"),"?","%3F"),'Rules'!$G$7:$G$26,0))),"Unit mismatch",IF(IF(NOT(ISNUMBER(D1000)),TRUE,OR(D1000&lt;0,D1000&gt;999999999,ROUND(D1000,3)&lt;&gt;D1000)),"Invalid current reading",IF(AND(E1000&lt;&gt;"",IF(NOT(ISNUMBER(E1000)),TRUE,OR(E1000&lt;0,E1000&gt;999999999,ROUND(E1000,3)&lt;&gt;E1000))),"Invalid previous reading",IF(IF(NOT(ISNUMBER(F1000)),TRUE,OR(F1000&lt;0,F1000&gt;999999999,ROUND(F1000,3)&lt;&gt;F1000)),"Invalid last service",IF(AND(E1000&lt;&gt;"",D1000&lt;E1000),"Decreased reading",IF(F1000&gt;D1000,"Last service above current","")))))))))))))</x:f>
      </x:c>
      <x:c r="L1000" s="6" t="str">
        <x:f>IF(AND(NOT(COUNTA(A1000:F1000)=0),K1000=""),INDEX('Rules'!$C$7:$C$26,MATCH(SUBSTITUTE(SUBSTITUTE(SUBSTITUTE(SUBSTITUTE("type:"&amp;B1000,"%","%25"),"~","%7E"),"*","%2A"),"?","%3F"),'Rules'!$G$7:$G$26,0)),"")</x:f>
      </x:c>
      <x:c r="M1000" s="6" t="str">
        <x:f>IF(AND(NOT(COUNTA(A1000:F1000)=0),K1000=""),INDEX('Rules'!$D$7:$D$26,MATCH(SUBSTITUTE(SUBSTITUTE(SUBSTITUTE(SUBSTITUTE("type:"&amp;B1000,"%","%25"),"~","%7E"),"*","%2A"),"?","%3F"),'Rules'!$G$7:$G$26,0)),"")</x:f>
      </x:c>
      <x:c r="N1000" s="5" t="str">
        <x:f>IF(COUNTA(A1000:F1000)=0,"",SUBSTITUTE(SUBSTITUTE(SUBSTITUTE(SUBSTITUTE("id:"&amp;A1000,"%","%25"),"~","%7E"),"*","%2A"),"?","%3F"))</x:f>
      </x:c>
    </x:row>
    <x:row r="1001" ht="22" customHeight="1">
      <x:c r="A1001" s="3"/>
      <x:c r="B1001" s="3"/>
      <x:c r="C1001" s="3"/>
      <x:c r="D1001" s="4"/>
      <x:c r="E1001" s="4"/>
      <x:c r="F1001" s="4"/>
      <x:c r="G1001" s="5" t="str">
        <x:f>IF(COUNTA(A1001:F1001)=0,"",IF(K1001&lt;&gt;"","Review",IF(I1001&lt;0,"Overdue",IF(I1001=0,"Due now",IF(I1001&lt;=M1001,"Due soon","Not due")))))</x:f>
      </x:c>
      <x:c r="H1001" s="5" t="str">
        <x:f>IF(OR(COUNTA(A1001:F1001)=0,COUNTIFS('Rules'!$G$7:$G$26,"="&amp;(SUBSTITUTE(SUBSTITUTE(SUBSTITUTE(SUBSTITUTE("type:"&amp;B1001,"%","%25"),"~","%7E"),"*","%2A"),"?","%3F")))&lt;&gt;1),"",IF(OR(INDEX('Rules'!$B$7:$B$26,MATCH(SUBSTITUTE(SUBSTITUTE(SUBSTITUTE(SUBSTITUTE("type:"&amp;B1001,"%","%25"),"~","%7E"),"*","%2A"),"?","%3F"),'Rules'!$G$7:$G$26,0))="hours",INDEX('Rules'!$B$7:$B$26,MATCH(SUBSTITUTE(SUBSTITUTE(SUBSTITUTE(SUBSTITUTE("type:"&amp;B1001,"%","%25"),"~","%7E"),"*","%2A"),"?","%3F"),'Rules'!$G$7:$G$26,0))="km"),INDEX('Rules'!$B$7:$B$26,MATCH(SUBSTITUTE(SUBSTITUTE(SUBSTITUTE(SUBSTITUTE("type:"&amp;B1001,"%","%25"),"~","%7E"),"*","%2A"),"?","%3F"),'Rules'!$G$7:$G$26,0)),""))</x:f>
      </x:c>
      <x:c r="I1001" s="6" t="str">
        <x:f>IF(AND(NOT(COUNTA(A1001:F1001)=0),K1001=""),ROUND(J1001-D1001,3),"")</x:f>
      </x:c>
      <x:c r="J1001" s="6" t="str">
        <x:f>IF(AND(NOT(COUNTA(A1001:F1001)=0),K1001=""),ROUND(F1001+L1001,3),"")</x:f>
      </x:c>
      <x:c r="K1001" s="5" t="str">
        <x:f>IF(COUNTA(A1001:F1001)=0,"",IF(A1001="","Missing equipment ID",IF(COUNTIFS($N$8:$N$2007,"="&amp;N1001)&gt;1,"Duplicate equipment ID",IF(B1001="","Missing type",IF(COUNTIFS('Rules'!$G$7:$G$26,"="&amp;(SUBSTITUTE(SUBSTITUTE(SUBSTITUTE(SUBSTITUTE("type:"&amp;B1001,"%","%25"),"~","%7E"),"*","%2A"),"?","%3F")))=0,"Unknown type",IF(COUNTIFS('Rules'!$G$7:$G$26,"="&amp;(SUBSTITUTE(SUBSTITUTE(SUBSTITUTE(SUBSTITUTE("type:"&amp;B1001,"%","%25"),"~","%7E"),"*","%2A"),"?","%3F")))&gt;1,"Duplicate type",IF(INDEX('Rules'!$F$7:$F$26,MATCH(SUBSTITUTE(SUBSTITUTE(SUBSTITUTE(SUBSTITUTE("type:"&amp;B1001,"%","%25"),"~","%7E"),"*","%2A"),"?","%3F"),'Rules'!$G$7:$G$26,0))&lt;&gt;"",INDEX('Rules'!$F$7:$F$26,MATCH(SUBSTITUTE(SUBSTITUTE(SUBSTITUTE(SUBSTITUTE("type:"&amp;B1001,"%","%25"),"~","%7E"),"*","%2A"),"?","%3F"),'Rules'!$G$7:$G$26,0)),IF(AND(C1001&lt;&gt;"",C1001&lt;&gt;INDEX('Rules'!$B$7:$B$26,MATCH(SUBSTITUTE(SUBSTITUTE(SUBSTITUTE(SUBSTITUTE("type:"&amp;B1001,"%","%25"),"~","%7E"),"*","%2A"),"?","%3F"),'Rules'!$G$7:$G$26,0))),"Unit mismatch",IF(IF(NOT(ISNUMBER(D1001)),TRUE,OR(D1001&lt;0,D1001&gt;999999999,ROUND(D1001,3)&lt;&gt;D1001)),"Invalid current reading",IF(AND(E1001&lt;&gt;"",IF(NOT(ISNUMBER(E1001)),TRUE,OR(E1001&lt;0,E1001&gt;999999999,ROUND(E1001,3)&lt;&gt;E1001))),"Invalid previous reading",IF(IF(NOT(ISNUMBER(F1001)),TRUE,OR(F1001&lt;0,F1001&gt;999999999,ROUND(F1001,3)&lt;&gt;F1001)),"Invalid last service",IF(AND(E1001&lt;&gt;"",D1001&lt;E1001),"Decreased reading",IF(F1001&gt;D1001,"Last service above current","")))))))))))))</x:f>
      </x:c>
      <x:c r="L1001" s="6" t="str">
        <x:f>IF(AND(NOT(COUNTA(A1001:F1001)=0),K1001=""),INDEX('Rules'!$C$7:$C$26,MATCH(SUBSTITUTE(SUBSTITUTE(SUBSTITUTE(SUBSTITUTE("type:"&amp;B1001,"%","%25"),"~","%7E"),"*","%2A"),"?","%3F"),'Rules'!$G$7:$G$26,0)),"")</x:f>
      </x:c>
      <x:c r="M1001" s="6" t="str">
        <x:f>IF(AND(NOT(COUNTA(A1001:F1001)=0),K1001=""),INDEX('Rules'!$D$7:$D$26,MATCH(SUBSTITUTE(SUBSTITUTE(SUBSTITUTE(SUBSTITUTE("type:"&amp;B1001,"%","%25"),"~","%7E"),"*","%2A"),"?","%3F"),'Rules'!$G$7:$G$26,0)),"")</x:f>
      </x:c>
      <x:c r="N1001" s="5" t="str">
        <x:f>IF(COUNTA(A1001:F1001)=0,"",SUBSTITUTE(SUBSTITUTE(SUBSTITUTE(SUBSTITUTE("id:"&amp;A1001,"%","%25"),"~","%7E"),"*","%2A"),"?","%3F"))</x:f>
      </x:c>
    </x:row>
    <x:row r="1002" ht="22" customHeight="1">
      <x:c r="A1002" s="3"/>
      <x:c r="B1002" s="3"/>
      <x:c r="C1002" s="3"/>
      <x:c r="D1002" s="4"/>
      <x:c r="E1002" s="4"/>
      <x:c r="F1002" s="4"/>
      <x:c r="G1002" s="5" t="str">
        <x:f>IF(COUNTA(A1002:F1002)=0,"",IF(K1002&lt;&gt;"","Review",IF(I1002&lt;0,"Overdue",IF(I1002=0,"Due now",IF(I1002&lt;=M1002,"Due soon","Not due")))))</x:f>
      </x:c>
      <x:c r="H1002" s="5" t="str">
        <x:f>IF(OR(COUNTA(A1002:F1002)=0,COUNTIFS('Rules'!$G$7:$G$26,"="&amp;(SUBSTITUTE(SUBSTITUTE(SUBSTITUTE(SUBSTITUTE("type:"&amp;B1002,"%","%25"),"~","%7E"),"*","%2A"),"?","%3F")))&lt;&gt;1),"",IF(OR(INDEX('Rules'!$B$7:$B$26,MATCH(SUBSTITUTE(SUBSTITUTE(SUBSTITUTE(SUBSTITUTE("type:"&amp;B1002,"%","%25"),"~","%7E"),"*","%2A"),"?","%3F"),'Rules'!$G$7:$G$26,0))="hours",INDEX('Rules'!$B$7:$B$26,MATCH(SUBSTITUTE(SUBSTITUTE(SUBSTITUTE(SUBSTITUTE("type:"&amp;B1002,"%","%25"),"~","%7E"),"*","%2A"),"?","%3F"),'Rules'!$G$7:$G$26,0))="km"),INDEX('Rules'!$B$7:$B$26,MATCH(SUBSTITUTE(SUBSTITUTE(SUBSTITUTE(SUBSTITUTE("type:"&amp;B1002,"%","%25"),"~","%7E"),"*","%2A"),"?","%3F"),'Rules'!$G$7:$G$26,0)),""))</x:f>
      </x:c>
      <x:c r="I1002" s="6" t="str">
        <x:f>IF(AND(NOT(COUNTA(A1002:F1002)=0),K1002=""),ROUND(J1002-D1002,3),"")</x:f>
      </x:c>
      <x:c r="J1002" s="6" t="str">
        <x:f>IF(AND(NOT(COUNTA(A1002:F1002)=0),K1002=""),ROUND(F1002+L1002,3),"")</x:f>
      </x:c>
      <x:c r="K1002" s="5" t="str">
        <x:f>IF(COUNTA(A1002:F1002)=0,"",IF(A1002="","Missing equipment ID",IF(COUNTIFS($N$8:$N$2007,"="&amp;N1002)&gt;1,"Duplicate equipment ID",IF(B1002="","Missing type",IF(COUNTIFS('Rules'!$G$7:$G$26,"="&amp;(SUBSTITUTE(SUBSTITUTE(SUBSTITUTE(SUBSTITUTE("type:"&amp;B1002,"%","%25"),"~","%7E"),"*","%2A"),"?","%3F")))=0,"Unknown type",IF(COUNTIFS('Rules'!$G$7:$G$26,"="&amp;(SUBSTITUTE(SUBSTITUTE(SUBSTITUTE(SUBSTITUTE("type:"&amp;B1002,"%","%25"),"~","%7E"),"*","%2A"),"?","%3F")))&gt;1,"Duplicate type",IF(INDEX('Rules'!$F$7:$F$26,MATCH(SUBSTITUTE(SUBSTITUTE(SUBSTITUTE(SUBSTITUTE("type:"&amp;B1002,"%","%25"),"~","%7E"),"*","%2A"),"?","%3F"),'Rules'!$G$7:$G$26,0))&lt;&gt;"",INDEX('Rules'!$F$7:$F$26,MATCH(SUBSTITUTE(SUBSTITUTE(SUBSTITUTE(SUBSTITUTE("type:"&amp;B1002,"%","%25"),"~","%7E"),"*","%2A"),"?","%3F"),'Rules'!$G$7:$G$26,0)),IF(AND(C1002&lt;&gt;"",C1002&lt;&gt;INDEX('Rules'!$B$7:$B$26,MATCH(SUBSTITUTE(SUBSTITUTE(SUBSTITUTE(SUBSTITUTE("type:"&amp;B1002,"%","%25"),"~","%7E"),"*","%2A"),"?","%3F"),'Rules'!$G$7:$G$26,0))),"Unit mismatch",IF(IF(NOT(ISNUMBER(D1002)),TRUE,OR(D1002&lt;0,D1002&gt;999999999,ROUND(D1002,3)&lt;&gt;D1002)),"Invalid current reading",IF(AND(E1002&lt;&gt;"",IF(NOT(ISNUMBER(E1002)),TRUE,OR(E1002&lt;0,E1002&gt;999999999,ROUND(E1002,3)&lt;&gt;E1002))),"Invalid previous reading",IF(IF(NOT(ISNUMBER(F1002)),TRUE,OR(F1002&lt;0,F1002&gt;999999999,ROUND(F1002,3)&lt;&gt;F1002)),"Invalid last service",IF(AND(E1002&lt;&gt;"",D1002&lt;E1002),"Decreased reading",IF(F1002&gt;D1002,"Last service above current","")))))))))))))</x:f>
      </x:c>
      <x:c r="L1002" s="6" t="str">
        <x:f>IF(AND(NOT(COUNTA(A1002:F1002)=0),K1002=""),INDEX('Rules'!$C$7:$C$26,MATCH(SUBSTITUTE(SUBSTITUTE(SUBSTITUTE(SUBSTITUTE("type:"&amp;B1002,"%","%25"),"~","%7E"),"*","%2A"),"?","%3F"),'Rules'!$G$7:$G$26,0)),"")</x:f>
      </x:c>
      <x:c r="M1002" s="6" t="str">
        <x:f>IF(AND(NOT(COUNTA(A1002:F1002)=0),K1002=""),INDEX('Rules'!$D$7:$D$26,MATCH(SUBSTITUTE(SUBSTITUTE(SUBSTITUTE(SUBSTITUTE("type:"&amp;B1002,"%","%25"),"~","%7E"),"*","%2A"),"?","%3F"),'Rules'!$G$7:$G$26,0)),"")</x:f>
      </x:c>
      <x:c r="N1002" s="5" t="str">
        <x:f>IF(COUNTA(A1002:F1002)=0,"",SUBSTITUTE(SUBSTITUTE(SUBSTITUTE(SUBSTITUTE("id:"&amp;A1002,"%","%25"),"~","%7E"),"*","%2A"),"?","%3F"))</x:f>
      </x:c>
    </x:row>
    <x:row r="1003" ht="22" customHeight="1">
      <x:c r="A1003" s="3"/>
      <x:c r="B1003" s="3"/>
      <x:c r="C1003" s="3"/>
      <x:c r="D1003" s="4"/>
      <x:c r="E1003" s="4"/>
      <x:c r="F1003" s="4"/>
      <x:c r="G1003" s="5" t="str">
        <x:f>IF(COUNTA(A1003:F1003)=0,"",IF(K1003&lt;&gt;"","Review",IF(I1003&lt;0,"Overdue",IF(I1003=0,"Due now",IF(I1003&lt;=M1003,"Due soon","Not due")))))</x:f>
      </x:c>
      <x:c r="H1003" s="5" t="str">
        <x:f>IF(OR(COUNTA(A1003:F1003)=0,COUNTIFS('Rules'!$G$7:$G$26,"="&amp;(SUBSTITUTE(SUBSTITUTE(SUBSTITUTE(SUBSTITUTE("type:"&amp;B1003,"%","%25"),"~","%7E"),"*","%2A"),"?","%3F")))&lt;&gt;1),"",IF(OR(INDEX('Rules'!$B$7:$B$26,MATCH(SUBSTITUTE(SUBSTITUTE(SUBSTITUTE(SUBSTITUTE("type:"&amp;B1003,"%","%25"),"~","%7E"),"*","%2A"),"?","%3F"),'Rules'!$G$7:$G$26,0))="hours",INDEX('Rules'!$B$7:$B$26,MATCH(SUBSTITUTE(SUBSTITUTE(SUBSTITUTE(SUBSTITUTE("type:"&amp;B1003,"%","%25"),"~","%7E"),"*","%2A"),"?","%3F"),'Rules'!$G$7:$G$26,0))="km"),INDEX('Rules'!$B$7:$B$26,MATCH(SUBSTITUTE(SUBSTITUTE(SUBSTITUTE(SUBSTITUTE("type:"&amp;B1003,"%","%25"),"~","%7E"),"*","%2A"),"?","%3F"),'Rules'!$G$7:$G$26,0)),""))</x:f>
      </x:c>
      <x:c r="I1003" s="6" t="str">
        <x:f>IF(AND(NOT(COUNTA(A1003:F1003)=0),K1003=""),ROUND(J1003-D1003,3),"")</x:f>
      </x:c>
      <x:c r="J1003" s="6" t="str">
        <x:f>IF(AND(NOT(COUNTA(A1003:F1003)=0),K1003=""),ROUND(F1003+L1003,3),"")</x:f>
      </x:c>
      <x:c r="K1003" s="5" t="str">
        <x:f>IF(COUNTA(A1003:F1003)=0,"",IF(A1003="","Missing equipment ID",IF(COUNTIFS($N$8:$N$2007,"="&amp;N1003)&gt;1,"Duplicate equipment ID",IF(B1003="","Missing type",IF(COUNTIFS('Rules'!$G$7:$G$26,"="&amp;(SUBSTITUTE(SUBSTITUTE(SUBSTITUTE(SUBSTITUTE("type:"&amp;B1003,"%","%25"),"~","%7E"),"*","%2A"),"?","%3F")))=0,"Unknown type",IF(COUNTIFS('Rules'!$G$7:$G$26,"="&amp;(SUBSTITUTE(SUBSTITUTE(SUBSTITUTE(SUBSTITUTE("type:"&amp;B1003,"%","%25"),"~","%7E"),"*","%2A"),"?","%3F")))&gt;1,"Duplicate type",IF(INDEX('Rules'!$F$7:$F$26,MATCH(SUBSTITUTE(SUBSTITUTE(SUBSTITUTE(SUBSTITUTE("type:"&amp;B1003,"%","%25"),"~","%7E"),"*","%2A"),"?","%3F"),'Rules'!$G$7:$G$26,0))&lt;&gt;"",INDEX('Rules'!$F$7:$F$26,MATCH(SUBSTITUTE(SUBSTITUTE(SUBSTITUTE(SUBSTITUTE("type:"&amp;B1003,"%","%25"),"~","%7E"),"*","%2A"),"?","%3F"),'Rules'!$G$7:$G$26,0)),IF(AND(C1003&lt;&gt;"",C1003&lt;&gt;INDEX('Rules'!$B$7:$B$26,MATCH(SUBSTITUTE(SUBSTITUTE(SUBSTITUTE(SUBSTITUTE("type:"&amp;B1003,"%","%25"),"~","%7E"),"*","%2A"),"?","%3F"),'Rules'!$G$7:$G$26,0))),"Unit mismatch",IF(IF(NOT(ISNUMBER(D1003)),TRUE,OR(D1003&lt;0,D1003&gt;999999999,ROUND(D1003,3)&lt;&gt;D1003)),"Invalid current reading",IF(AND(E1003&lt;&gt;"",IF(NOT(ISNUMBER(E1003)),TRUE,OR(E1003&lt;0,E1003&gt;999999999,ROUND(E1003,3)&lt;&gt;E1003))),"Invalid previous reading",IF(IF(NOT(ISNUMBER(F1003)),TRUE,OR(F1003&lt;0,F1003&gt;999999999,ROUND(F1003,3)&lt;&gt;F1003)),"Invalid last service",IF(AND(E1003&lt;&gt;"",D1003&lt;E1003),"Decreased reading",IF(F1003&gt;D1003,"Last service above current","")))))))))))))</x:f>
      </x:c>
      <x:c r="L1003" s="6" t="str">
        <x:f>IF(AND(NOT(COUNTA(A1003:F1003)=0),K1003=""),INDEX('Rules'!$C$7:$C$26,MATCH(SUBSTITUTE(SUBSTITUTE(SUBSTITUTE(SUBSTITUTE("type:"&amp;B1003,"%","%25"),"~","%7E"),"*","%2A"),"?","%3F"),'Rules'!$G$7:$G$26,0)),"")</x:f>
      </x:c>
      <x:c r="M1003" s="6" t="str">
        <x:f>IF(AND(NOT(COUNTA(A1003:F1003)=0),K1003=""),INDEX('Rules'!$D$7:$D$26,MATCH(SUBSTITUTE(SUBSTITUTE(SUBSTITUTE(SUBSTITUTE("type:"&amp;B1003,"%","%25"),"~","%7E"),"*","%2A"),"?","%3F"),'Rules'!$G$7:$G$26,0)),"")</x:f>
      </x:c>
      <x:c r="N1003" s="5" t="str">
        <x:f>IF(COUNTA(A1003:F1003)=0,"",SUBSTITUTE(SUBSTITUTE(SUBSTITUTE(SUBSTITUTE("id:"&amp;A1003,"%","%25"),"~","%7E"),"*","%2A"),"?","%3F"))</x:f>
      </x:c>
    </x:row>
    <x:row r="1004" ht="22" customHeight="1">
      <x:c r="A1004" s="3"/>
      <x:c r="B1004" s="3"/>
      <x:c r="C1004" s="3"/>
      <x:c r="D1004" s="4"/>
      <x:c r="E1004" s="4"/>
      <x:c r="F1004" s="4"/>
      <x:c r="G1004" s="5" t="str">
        <x:f>IF(COUNTA(A1004:F1004)=0,"",IF(K1004&lt;&gt;"","Review",IF(I1004&lt;0,"Overdue",IF(I1004=0,"Due now",IF(I1004&lt;=M1004,"Due soon","Not due")))))</x:f>
      </x:c>
      <x:c r="H1004" s="5" t="str">
        <x:f>IF(OR(COUNTA(A1004:F1004)=0,COUNTIFS('Rules'!$G$7:$G$26,"="&amp;(SUBSTITUTE(SUBSTITUTE(SUBSTITUTE(SUBSTITUTE("type:"&amp;B1004,"%","%25"),"~","%7E"),"*","%2A"),"?","%3F")))&lt;&gt;1),"",IF(OR(INDEX('Rules'!$B$7:$B$26,MATCH(SUBSTITUTE(SUBSTITUTE(SUBSTITUTE(SUBSTITUTE("type:"&amp;B1004,"%","%25"),"~","%7E"),"*","%2A"),"?","%3F"),'Rules'!$G$7:$G$26,0))="hours",INDEX('Rules'!$B$7:$B$26,MATCH(SUBSTITUTE(SUBSTITUTE(SUBSTITUTE(SUBSTITUTE("type:"&amp;B1004,"%","%25"),"~","%7E"),"*","%2A"),"?","%3F"),'Rules'!$G$7:$G$26,0))="km"),INDEX('Rules'!$B$7:$B$26,MATCH(SUBSTITUTE(SUBSTITUTE(SUBSTITUTE(SUBSTITUTE("type:"&amp;B1004,"%","%25"),"~","%7E"),"*","%2A"),"?","%3F"),'Rules'!$G$7:$G$26,0)),""))</x:f>
      </x:c>
      <x:c r="I1004" s="6" t="str">
        <x:f>IF(AND(NOT(COUNTA(A1004:F1004)=0),K1004=""),ROUND(J1004-D1004,3),"")</x:f>
      </x:c>
      <x:c r="J1004" s="6" t="str">
        <x:f>IF(AND(NOT(COUNTA(A1004:F1004)=0),K1004=""),ROUND(F1004+L1004,3),"")</x:f>
      </x:c>
      <x:c r="K1004" s="5" t="str">
        <x:f>IF(COUNTA(A1004:F1004)=0,"",IF(A1004="","Missing equipment ID",IF(COUNTIFS($N$8:$N$2007,"="&amp;N1004)&gt;1,"Duplicate equipment ID",IF(B1004="","Missing type",IF(COUNTIFS('Rules'!$G$7:$G$26,"="&amp;(SUBSTITUTE(SUBSTITUTE(SUBSTITUTE(SUBSTITUTE("type:"&amp;B1004,"%","%25"),"~","%7E"),"*","%2A"),"?","%3F")))=0,"Unknown type",IF(COUNTIFS('Rules'!$G$7:$G$26,"="&amp;(SUBSTITUTE(SUBSTITUTE(SUBSTITUTE(SUBSTITUTE("type:"&amp;B1004,"%","%25"),"~","%7E"),"*","%2A"),"?","%3F")))&gt;1,"Duplicate type",IF(INDEX('Rules'!$F$7:$F$26,MATCH(SUBSTITUTE(SUBSTITUTE(SUBSTITUTE(SUBSTITUTE("type:"&amp;B1004,"%","%25"),"~","%7E"),"*","%2A"),"?","%3F"),'Rules'!$G$7:$G$26,0))&lt;&gt;"",INDEX('Rules'!$F$7:$F$26,MATCH(SUBSTITUTE(SUBSTITUTE(SUBSTITUTE(SUBSTITUTE("type:"&amp;B1004,"%","%25"),"~","%7E"),"*","%2A"),"?","%3F"),'Rules'!$G$7:$G$26,0)),IF(AND(C1004&lt;&gt;"",C1004&lt;&gt;INDEX('Rules'!$B$7:$B$26,MATCH(SUBSTITUTE(SUBSTITUTE(SUBSTITUTE(SUBSTITUTE("type:"&amp;B1004,"%","%25"),"~","%7E"),"*","%2A"),"?","%3F"),'Rules'!$G$7:$G$26,0))),"Unit mismatch",IF(IF(NOT(ISNUMBER(D1004)),TRUE,OR(D1004&lt;0,D1004&gt;999999999,ROUND(D1004,3)&lt;&gt;D1004)),"Invalid current reading",IF(AND(E1004&lt;&gt;"",IF(NOT(ISNUMBER(E1004)),TRUE,OR(E1004&lt;0,E1004&gt;999999999,ROUND(E1004,3)&lt;&gt;E1004))),"Invalid previous reading",IF(IF(NOT(ISNUMBER(F1004)),TRUE,OR(F1004&lt;0,F1004&gt;999999999,ROUND(F1004,3)&lt;&gt;F1004)),"Invalid last service",IF(AND(E1004&lt;&gt;"",D1004&lt;E1004),"Decreased reading",IF(F1004&gt;D1004,"Last service above current","")))))))))))))</x:f>
      </x:c>
      <x:c r="L1004" s="6" t="str">
        <x:f>IF(AND(NOT(COUNTA(A1004:F1004)=0),K1004=""),INDEX('Rules'!$C$7:$C$26,MATCH(SUBSTITUTE(SUBSTITUTE(SUBSTITUTE(SUBSTITUTE("type:"&amp;B1004,"%","%25"),"~","%7E"),"*","%2A"),"?","%3F"),'Rules'!$G$7:$G$26,0)),"")</x:f>
      </x:c>
      <x:c r="M1004" s="6" t="str">
        <x:f>IF(AND(NOT(COUNTA(A1004:F1004)=0),K1004=""),INDEX('Rules'!$D$7:$D$26,MATCH(SUBSTITUTE(SUBSTITUTE(SUBSTITUTE(SUBSTITUTE("type:"&amp;B1004,"%","%25"),"~","%7E"),"*","%2A"),"?","%3F"),'Rules'!$G$7:$G$26,0)),"")</x:f>
      </x:c>
      <x:c r="N1004" s="5" t="str">
        <x:f>IF(COUNTA(A1004:F1004)=0,"",SUBSTITUTE(SUBSTITUTE(SUBSTITUTE(SUBSTITUTE("id:"&amp;A1004,"%","%25"),"~","%7E"),"*","%2A"),"?","%3F"))</x:f>
      </x:c>
    </x:row>
    <x:row r="1005" ht="22" customHeight="1">
      <x:c r="A1005" s="3"/>
      <x:c r="B1005" s="3"/>
      <x:c r="C1005" s="3"/>
      <x:c r="D1005" s="4"/>
      <x:c r="E1005" s="4"/>
      <x:c r="F1005" s="4"/>
      <x:c r="G1005" s="5" t="str">
        <x:f>IF(COUNTA(A1005:F1005)=0,"",IF(K1005&lt;&gt;"","Review",IF(I1005&lt;0,"Overdue",IF(I1005=0,"Due now",IF(I1005&lt;=M1005,"Due soon","Not due")))))</x:f>
      </x:c>
      <x:c r="H1005" s="5" t="str">
        <x:f>IF(OR(COUNTA(A1005:F1005)=0,COUNTIFS('Rules'!$G$7:$G$26,"="&amp;(SUBSTITUTE(SUBSTITUTE(SUBSTITUTE(SUBSTITUTE("type:"&amp;B1005,"%","%25"),"~","%7E"),"*","%2A"),"?","%3F")))&lt;&gt;1),"",IF(OR(INDEX('Rules'!$B$7:$B$26,MATCH(SUBSTITUTE(SUBSTITUTE(SUBSTITUTE(SUBSTITUTE("type:"&amp;B1005,"%","%25"),"~","%7E"),"*","%2A"),"?","%3F"),'Rules'!$G$7:$G$26,0))="hours",INDEX('Rules'!$B$7:$B$26,MATCH(SUBSTITUTE(SUBSTITUTE(SUBSTITUTE(SUBSTITUTE("type:"&amp;B1005,"%","%25"),"~","%7E"),"*","%2A"),"?","%3F"),'Rules'!$G$7:$G$26,0))="km"),INDEX('Rules'!$B$7:$B$26,MATCH(SUBSTITUTE(SUBSTITUTE(SUBSTITUTE(SUBSTITUTE("type:"&amp;B1005,"%","%25"),"~","%7E"),"*","%2A"),"?","%3F"),'Rules'!$G$7:$G$26,0)),""))</x:f>
      </x:c>
      <x:c r="I1005" s="6" t="str">
        <x:f>IF(AND(NOT(COUNTA(A1005:F1005)=0),K1005=""),ROUND(J1005-D1005,3),"")</x:f>
      </x:c>
      <x:c r="J1005" s="6" t="str">
        <x:f>IF(AND(NOT(COUNTA(A1005:F1005)=0),K1005=""),ROUND(F1005+L1005,3),"")</x:f>
      </x:c>
      <x:c r="K1005" s="5" t="str">
        <x:f>IF(COUNTA(A1005:F1005)=0,"",IF(A1005="","Missing equipment ID",IF(COUNTIFS($N$8:$N$2007,"="&amp;N1005)&gt;1,"Duplicate equipment ID",IF(B1005="","Missing type",IF(COUNTIFS('Rules'!$G$7:$G$26,"="&amp;(SUBSTITUTE(SUBSTITUTE(SUBSTITUTE(SUBSTITUTE("type:"&amp;B1005,"%","%25"),"~","%7E"),"*","%2A"),"?","%3F")))=0,"Unknown type",IF(COUNTIFS('Rules'!$G$7:$G$26,"="&amp;(SUBSTITUTE(SUBSTITUTE(SUBSTITUTE(SUBSTITUTE("type:"&amp;B1005,"%","%25"),"~","%7E"),"*","%2A"),"?","%3F")))&gt;1,"Duplicate type",IF(INDEX('Rules'!$F$7:$F$26,MATCH(SUBSTITUTE(SUBSTITUTE(SUBSTITUTE(SUBSTITUTE("type:"&amp;B1005,"%","%25"),"~","%7E"),"*","%2A"),"?","%3F"),'Rules'!$G$7:$G$26,0))&lt;&gt;"",INDEX('Rules'!$F$7:$F$26,MATCH(SUBSTITUTE(SUBSTITUTE(SUBSTITUTE(SUBSTITUTE("type:"&amp;B1005,"%","%25"),"~","%7E"),"*","%2A"),"?","%3F"),'Rules'!$G$7:$G$26,0)),IF(AND(C1005&lt;&gt;"",C1005&lt;&gt;INDEX('Rules'!$B$7:$B$26,MATCH(SUBSTITUTE(SUBSTITUTE(SUBSTITUTE(SUBSTITUTE("type:"&amp;B1005,"%","%25"),"~","%7E"),"*","%2A"),"?","%3F"),'Rules'!$G$7:$G$26,0))),"Unit mismatch",IF(IF(NOT(ISNUMBER(D1005)),TRUE,OR(D1005&lt;0,D1005&gt;999999999,ROUND(D1005,3)&lt;&gt;D1005)),"Invalid current reading",IF(AND(E1005&lt;&gt;"",IF(NOT(ISNUMBER(E1005)),TRUE,OR(E1005&lt;0,E1005&gt;999999999,ROUND(E1005,3)&lt;&gt;E1005))),"Invalid previous reading",IF(IF(NOT(ISNUMBER(F1005)),TRUE,OR(F1005&lt;0,F1005&gt;999999999,ROUND(F1005,3)&lt;&gt;F1005)),"Invalid last service",IF(AND(E1005&lt;&gt;"",D1005&lt;E1005),"Decreased reading",IF(F1005&gt;D1005,"Last service above current","")))))))))))))</x:f>
      </x:c>
      <x:c r="L1005" s="6" t="str">
        <x:f>IF(AND(NOT(COUNTA(A1005:F1005)=0),K1005=""),INDEX('Rules'!$C$7:$C$26,MATCH(SUBSTITUTE(SUBSTITUTE(SUBSTITUTE(SUBSTITUTE("type:"&amp;B1005,"%","%25"),"~","%7E"),"*","%2A"),"?","%3F"),'Rules'!$G$7:$G$26,0)),"")</x:f>
      </x:c>
      <x:c r="M1005" s="6" t="str">
        <x:f>IF(AND(NOT(COUNTA(A1005:F1005)=0),K1005=""),INDEX('Rules'!$D$7:$D$26,MATCH(SUBSTITUTE(SUBSTITUTE(SUBSTITUTE(SUBSTITUTE("type:"&amp;B1005,"%","%25"),"~","%7E"),"*","%2A"),"?","%3F"),'Rules'!$G$7:$G$26,0)),"")</x:f>
      </x:c>
      <x:c r="N1005" s="5" t="str">
        <x:f>IF(COUNTA(A1005:F1005)=0,"",SUBSTITUTE(SUBSTITUTE(SUBSTITUTE(SUBSTITUTE("id:"&amp;A1005,"%","%25"),"~","%7E"),"*","%2A"),"?","%3F"))</x:f>
      </x:c>
    </x:row>
    <x:row r="1006" ht="22" customHeight="1">
      <x:c r="A1006" s="3"/>
      <x:c r="B1006" s="3"/>
      <x:c r="C1006" s="3"/>
      <x:c r="D1006" s="4"/>
      <x:c r="E1006" s="4"/>
      <x:c r="F1006" s="4"/>
      <x:c r="G1006" s="5" t="str">
        <x:f>IF(COUNTA(A1006:F1006)=0,"",IF(K1006&lt;&gt;"","Review",IF(I1006&lt;0,"Overdue",IF(I1006=0,"Due now",IF(I1006&lt;=M1006,"Due soon","Not due")))))</x:f>
      </x:c>
      <x:c r="H1006" s="5" t="str">
        <x:f>IF(OR(COUNTA(A1006:F1006)=0,COUNTIFS('Rules'!$G$7:$G$26,"="&amp;(SUBSTITUTE(SUBSTITUTE(SUBSTITUTE(SUBSTITUTE("type:"&amp;B1006,"%","%25"),"~","%7E"),"*","%2A"),"?","%3F")))&lt;&gt;1),"",IF(OR(INDEX('Rules'!$B$7:$B$26,MATCH(SUBSTITUTE(SUBSTITUTE(SUBSTITUTE(SUBSTITUTE("type:"&amp;B1006,"%","%25"),"~","%7E"),"*","%2A"),"?","%3F"),'Rules'!$G$7:$G$26,0))="hours",INDEX('Rules'!$B$7:$B$26,MATCH(SUBSTITUTE(SUBSTITUTE(SUBSTITUTE(SUBSTITUTE("type:"&amp;B1006,"%","%25"),"~","%7E"),"*","%2A"),"?","%3F"),'Rules'!$G$7:$G$26,0))="km"),INDEX('Rules'!$B$7:$B$26,MATCH(SUBSTITUTE(SUBSTITUTE(SUBSTITUTE(SUBSTITUTE("type:"&amp;B1006,"%","%25"),"~","%7E"),"*","%2A"),"?","%3F"),'Rules'!$G$7:$G$26,0)),""))</x:f>
      </x:c>
      <x:c r="I1006" s="6" t="str">
        <x:f>IF(AND(NOT(COUNTA(A1006:F1006)=0),K1006=""),ROUND(J1006-D1006,3),"")</x:f>
      </x:c>
      <x:c r="J1006" s="6" t="str">
        <x:f>IF(AND(NOT(COUNTA(A1006:F1006)=0),K1006=""),ROUND(F1006+L1006,3),"")</x:f>
      </x:c>
      <x:c r="K1006" s="5" t="str">
        <x:f>IF(COUNTA(A1006:F1006)=0,"",IF(A1006="","Missing equipment ID",IF(COUNTIFS($N$8:$N$2007,"="&amp;N1006)&gt;1,"Duplicate equipment ID",IF(B1006="","Missing type",IF(COUNTIFS('Rules'!$G$7:$G$26,"="&amp;(SUBSTITUTE(SUBSTITUTE(SUBSTITUTE(SUBSTITUTE("type:"&amp;B1006,"%","%25"),"~","%7E"),"*","%2A"),"?","%3F")))=0,"Unknown type",IF(COUNTIFS('Rules'!$G$7:$G$26,"="&amp;(SUBSTITUTE(SUBSTITUTE(SUBSTITUTE(SUBSTITUTE("type:"&amp;B1006,"%","%25"),"~","%7E"),"*","%2A"),"?","%3F")))&gt;1,"Duplicate type",IF(INDEX('Rules'!$F$7:$F$26,MATCH(SUBSTITUTE(SUBSTITUTE(SUBSTITUTE(SUBSTITUTE("type:"&amp;B1006,"%","%25"),"~","%7E"),"*","%2A"),"?","%3F"),'Rules'!$G$7:$G$26,0))&lt;&gt;"",INDEX('Rules'!$F$7:$F$26,MATCH(SUBSTITUTE(SUBSTITUTE(SUBSTITUTE(SUBSTITUTE("type:"&amp;B1006,"%","%25"),"~","%7E"),"*","%2A"),"?","%3F"),'Rules'!$G$7:$G$26,0)),IF(AND(C1006&lt;&gt;"",C1006&lt;&gt;INDEX('Rules'!$B$7:$B$26,MATCH(SUBSTITUTE(SUBSTITUTE(SUBSTITUTE(SUBSTITUTE("type:"&amp;B1006,"%","%25"),"~","%7E"),"*","%2A"),"?","%3F"),'Rules'!$G$7:$G$26,0))),"Unit mismatch",IF(IF(NOT(ISNUMBER(D1006)),TRUE,OR(D1006&lt;0,D1006&gt;999999999,ROUND(D1006,3)&lt;&gt;D1006)),"Invalid current reading",IF(AND(E1006&lt;&gt;"",IF(NOT(ISNUMBER(E1006)),TRUE,OR(E1006&lt;0,E1006&gt;999999999,ROUND(E1006,3)&lt;&gt;E1006))),"Invalid previous reading",IF(IF(NOT(ISNUMBER(F1006)),TRUE,OR(F1006&lt;0,F1006&gt;999999999,ROUND(F1006,3)&lt;&gt;F1006)),"Invalid last service",IF(AND(E1006&lt;&gt;"",D1006&lt;E1006),"Decreased reading",IF(F1006&gt;D1006,"Last service above current","")))))))))))))</x:f>
      </x:c>
      <x:c r="L1006" s="6" t="str">
        <x:f>IF(AND(NOT(COUNTA(A1006:F1006)=0),K1006=""),INDEX('Rules'!$C$7:$C$26,MATCH(SUBSTITUTE(SUBSTITUTE(SUBSTITUTE(SUBSTITUTE("type:"&amp;B1006,"%","%25"),"~","%7E"),"*","%2A"),"?","%3F"),'Rules'!$G$7:$G$26,0)),"")</x:f>
      </x:c>
      <x:c r="M1006" s="6" t="str">
        <x:f>IF(AND(NOT(COUNTA(A1006:F1006)=0),K1006=""),INDEX('Rules'!$D$7:$D$26,MATCH(SUBSTITUTE(SUBSTITUTE(SUBSTITUTE(SUBSTITUTE("type:"&amp;B1006,"%","%25"),"~","%7E"),"*","%2A"),"?","%3F"),'Rules'!$G$7:$G$26,0)),"")</x:f>
      </x:c>
      <x:c r="N1006" s="5" t="str">
        <x:f>IF(COUNTA(A1006:F1006)=0,"",SUBSTITUTE(SUBSTITUTE(SUBSTITUTE(SUBSTITUTE("id:"&amp;A1006,"%","%25"),"~","%7E"),"*","%2A"),"?","%3F"))</x:f>
      </x:c>
    </x:row>
    <x:row r="1007" ht="22" customHeight="1">
      <x:c r="A1007" s="3"/>
      <x:c r="B1007" s="3"/>
      <x:c r="C1007" s="3"/>
      <x:c r="D1007" s="4"/>
      <x:c r="E1007" s="4"/>
      <x:c r="F1007" s="4"/>
      <x:c r="G1007" s="5" t="str">
        <x:f>IF(COUNTA(A1007:F1007)=0,"",IF(K1007&lt;&gt;"","Review",IF(I1007&lt;0,"Overdue",IF(I1007=0,"Due now",IF(I1007&lt;=M1007,"Due soon","Not due")))))</x:f>
      </x:c>
      <x:c r="H1007" s="5" t="str">
        <x:f>IF(OR(COUNTA(A1007:F1007)=0,COUNTIFS('Rules'!$G$7:$G$26,"="&amp;(SUBSTITUTE(SUBSTITUTE(SUBSTITUTE(SUBSTITUTE("type:"&amp;B1007,"%","%25"),"~","%7E"),"*","%2A"),"?","%3F")))&lt;&gt;1),"",IF(OR(INDEX('Rules'!$B$7:$B$26,MATCH(SUBSTITUTE(SUBSTITUTE(SUBSTITUTE(SUBSTITUTE("type:"&amp;B1007,"%","%25"),"~","%7E"),"*","%2A"),"?","%3F"),'Rules'!$G$7:$G$26,0))="hours",INDEX('Rules'!$B$7:$B$26,MATCH(SUBSTITUTE(SUBSTITUTE(SUBSTITUTE(SUBSTITUTE("type:"&amp;B1007,"%","%25"),"~","%7E"),"*","%2A"),"?","%3F"),'Rules'!$G$7:$G$26,0))="km"),INDEX('Rules'!$B$7:$B$26,MATCH(SUBSTITUTE(SUBSTITUTE(SUBSTITUTE(SUBSTITUTE("type:"&amp;B1007,"%","%25"),"~","%7E"),"*","%2A"),"?","%3F"),'Rules'!$G$7:$G$26,0)),""))</x:f>
      </x:c>
      <x:c r="I1007" s="6" t="str">
        <x:f>IF(AND(NOT(COUNTA(A1007:F1007)=0),K1007=""),ROUND(J1007-D1007,3),"")</x:f>
      </x:c>
      <x:c r="J1007" s="6" t="str">
        <x:f>IF(AND(NOT(COUNTA(A1007:F1007)=0),K1007=""),ROUND(F1007+L1007,3),"")</x:f>
      </x:c>
      <x:c r="K1007" s="5" t="str">
        <x:f>IF(COUNTA(A1007:F1007)=0,"",IF(A1007="","Missing equipment ID",IF(COUNTIFS($N$8:$N$2007,"="&amp;N1007)&gt;1,"Duplicate equipment ID",IF(B1007="","Missing type",IF(COUNTIFS('Rules'!$G$7:$G$26,"="&amp;(SUBSTITUTE(SUBSTITUTE(SUBSTITUTE(SUBSTITUTE("type:"&amp;B1007,"%","%25"),"~","%7E"),"*","%2A"),"?","%3F")))=0,"Unknown type",IF(COUNTIFS('Rules'!$G$7:$G$26,"="&amp;(SUBSTITUTE(SUBSTITUTE(SUBSTITUTE(SUBSTITUTE("type:"&amp;B1007,"%","%25"),"~","%7E"),"*","%2A"),"?","%3F")))&gt;1,"Duplicate type",IF(INDEX('Rules'!$F$7:$F$26,MATCH(SUBSTITUTE(SUBSTITUTE(SUBSTITUTE(SUBSTITUTE("type:"&amp;B1007,"%","%25"),"~","%7E"),"*","%2A"),"?","%3F"),'Rules'!$G$7:$G$26,0))&lt;&gt;"",INDEX('Rules'!$F$7:$F$26,MATCH(SUBSTITUTE(SUBSTITUTE(SUBSTITUTE(SUBSTITUTE("type:"&amp;B1007,"%","%25"),"~","%7E"),"*","%2A"),"?","%3F"),'Rules'!$G$7:$G$26,0)),IF(AND(C1007&lt;&gt;"",C1007&lt;&gt;INDEX('Rules'!$B$7:$B$26,MATCH(SUBSTITUTE(SUBSTITUTE(SUBSTITUTE(SUBSTITUTE("type:"&amp;B1007,"%","%25"),"~","%7E"),"*","%2A"),"?","%3F"),'Rules'!$G$7:$G$26,0))),"Unit mismatch",IF(IF(NOT(ISNUMBER(D1007)),TRUE,OR(D1007&lt;0,D1007&gt;999999999,ROUND(D1007,3)&lt;&gt;D1007)),"Invalid current reading",IF(AND(E1007&lt;&gt;"",IF(NOT(ISNUMBER(E1007)),TRUE,OR(E1007&lt;0,E1007&gt;999999999,ROUND(E1007,3)&lt;&gt;E1007))),"Invalid previous reading",IF(IF(NOT(ISNUMBER(F1007)),TRUE,OR(F1007&lt;0,F1007&gt;999999999,ROUND(F1007,3)&lt;&gt;F1007)),"Invalid last service",IF(AND(E1007&lt;&gt;"",D1007&lt;E1007),"Decreased reading",IF(F1007&gt;D1007,"Last service above current","")))))))))))))</x:f>
      </x:c>
      <x:c r="L1007" s="6" t="str">
        <x:f>IF(AND(NOT(COUNTA(A1007:F1007)=0),K1007=""),INDEX('Rules'!$C$7:$C$26,MATCH(SUBSTITUTE(SUBSTITUTE(SUBSTITUTE(SUBSTITUTE("type:"&amp;B1007,"%","%25"),"~","%7E"),"*","%2A"),"?","%3F"),'Rules'!$G$7:$G$26,0)),"")</x:f>
      </x:c>
      <x:c r="M1007" s="6" t="str">
        <x:f>IF(AND(NOT(COUNTA(A1007:F1007)=0),K1007=""),INDEX('Rules'!$D$7:$D$26,MATCH(SUBSTITUTE(SUBSTITUTE(SUBSTITUTE(SUBSTITUTE("type:"&amp;B1007,"%","%25"),"~","%7E"),"*","%2A"),"?","%3F"),'Rules'!$G$7:$G$26,0)),"")</x:f>
      </x:c>
      <x:c r="N1007" s="5" t="str">
        <x:f>IF(COUNTA(A1007:F1007)=0,"",SUBSTITUTE(SUBSTITUTE(SUBSTITUTE(SUBSTITUTE("id:"&amp;A1007,"%","%25"),"~","%7E"),"*","%2A"),"?","%3F"))</x:f>
      </x:c>
    </x:row>
    <x:row r="1008" ht="22" customHeight="1">
      <x:c r="A1008" s="3"/>
      <x:c r="B1008" s="3"/>
      <x:c r="C1008" s="3"/>
      <x:c r="D1008" s="4"/>
      <x:c r="E1008" s="4"/>
      <x:c r="F1008" s="4"/>
      <x:c r="G1008" s="5" t="str">
        <x:f>IF(COUNTA(A1008:F1008)=0,"",IF(K1008&lt;&gt;"","Review",IF(I1008&lt;0,"Overdue",IF(I1008=0,"Due now",IF(I1008&lt;=M1008,"Due soon","Not due")))))</x:f>
      </x:c>
      <x:c r="H1008" s="5" t="str">
        <x:f>IF(OR(COUNTA(A1008:F1008)=0,COUNTIFS('Rules'!$G$7:$G$26,"="&amp;(SUBSTITUTE(SUBSTITUTE(SUBSTITUTE(SUBSTITUTE("type:"&amp;B1008,"%","%25"),"~","%7E"),"*","%2A"),"?","%3F")))&lt;&gt;1),"",IF(OR(INDEX('Rules'!$B$7:$B$26,MATCH(SUBSTITUTE(SUBSTITUTE(SUBSTITUTE(SUBSTITUTE("type:"&amp;B1008,"%","%25"),"~","%7E"),"*","%2A"),"?","%3F"),'Rules'!$G$7:$G$26,0))="hours",INDEX('Rules'!$B$7:$B$26,MATCH(SUBSTITUTE(SUBSTITUTE(SUBSTITUTE(SUBSTITUTE("type:"&amp;B1008,"%","%25"),"~","%7E"),"*","%2A"),"?","%3F"),'Rules'!$G$7:$G$26,0))="km"),INDEX('Rules'!$B$7:$B$26,MATCH(SUBSTITUTE(SUBSTITUTE(SUBSTITUTE(SUBSTITUTE("type:"&amp;B1008,"%","%25"),"~","%7E"),"*","%2A"),"?","%3F"),'Rules'!$G$7:$G$26,0)),""))</x:f>
      </x:c>
      <x:c r="I1008" s="6" t="str">
        <x:f>IF(AND(NOT(COUNTA(A1008:F1008)=0),K1008=""),ROUND(J1008-D1008,3),"")</x:f>
      </x:c>
      <x:c r="J1008" s="6" t="str">
        <x:f>IF(AND(NOT(COUNTA(A1008:F1008)=0),K1008=""),ROUND(F1008+L1008,3),"")</x:f>
      </x:c>
      <x:c r="K1008" s="5" t="str">
        <x:f>IF(COUNTA(A1008:F1008)=0,"",IF(A1008="","Missing equipment ID",IF(COUNTIFS($N$8:$N$2007,"="&amp;N1008)&gt;1,"Duplicate equipment ID",IF(B1008="","Missing type",IF(COUNTIFS('Rules'!$G$7:$G$26,"="&amp;(SUBSTITUTE(SUBSTITUTE(SUBSTITUTE(SUBSTITUTE("type:"&amp;B1008,"%","%25"),"~","%7E"),"*","%2A"),"?","%3F")))=0,"Unknown type",IF(COUNTIFS('Rules'!$G$7:$G$26,"="&amp;(SUBSTITUTE(SUBSTITUTE(SUBSTITUTE(SUBSTITUTE("type:"&amp;B1008,"%","%25"),"~","%7E"),"*","%2A"),"?","%3F")))&gt;1,"Duplicate type",IF(INDEX('Rules'!$F$7:$F$26,MATCH(SUBSTITUTE(SUBSTITUTE(SUBSTITUTE(SUBSTITUTE("type:"&amp;B1008,"%","%25"),"~","%7E"),"*","%2A"),"?","%3F"),'Rules'!$G$7:$G$26,0))&lt;&gt;"",INDEX('Rules'!$F$7:$F$26,MATCH(SUBSTITUTE(SUBSTITUTE(SUBSTITUTE(SUBSTITUTE("type:"&amp;B1008,"%","%25"),"~","%7E"),"*","%2A"),"?","%3F"),'Rules'!$G$7:$G$26,0)),IF(AND(C1008&lt;&gt;"",C1008&lt;&gt;INDEX('Rules'!$B$7:$B$26,MATCH(SUBSTITUTE(SUBSTITUTE(SUBSTITUTE(SUBSTITUTE("type:"&amp;B1008,"%","%25"),"~","%7E"),"*","%2A"),"?","%3F"),'Rules'!$G$7:$G$26,0))),"Unit mismatch",IF(IF(NOT(ISNUMBER(D1008)),TRUE,OR(D1008&lt;0,D1008&gt;999999999,ROUND(D1008,3)&lt;&gt;D1008)),"Invalid current reading",IF(AND(E1008&lt;&gt;"",IF(NOT(ISNUMBER(E1008)),TRUE,OR(E1008&lt;0,E1008&gt;999999999,ROUND(E1008,3)&lt;&gt;E1008))),"Invalid previous reading",IF(IF(NOT(ISNUMBER(F1008)),TRUE,OR(F1008&lt;0,F1008&gt;999999999,ROUND(F1008,3)&lt;&gt;F1008)),"Invalid last service",IF(AND(E1008&lt;&gt;"",D1008&lt;E1008),"Decreased reading",IF(F1008&gt;D1008,"Last service above current","")))))))))))))</x:f>
      </x:c>
      <x:c r="L1008" s="6" t="str">
        <x:f>IF(AND(NOT(COUNTA(A1008:F1008)=0),K1008=""),INDEX('Rules'!$C$7:$C$26,MATCH(SUBSTITUTE(SUBSTITUTE(SUBSTITUTE(SUBSTITUTE("type:"&amp;B1008,"%","%25"),"~","%7E"),"*","%2A"),"?","%3F"),'Rules'!$G$7:$G$26,0)),"")</x:f>
      </x:c>
      <x:c r="M1008" s="6" t="str">
        <x:f>IF(AND(NOT(COUNTA(A1008:F1008)=0),K1008=""),INDEX('Rules'!$D$7:$D$26,MATCH(SUBSTITUTE(SUBSTITUTE(SUBSTITUTE(SUBSTITUTE("type:"&amp;B1008,"%","%25"),"~","%7E"),"*","%2A"),"?","%3F"),'Rules'!$G$7:$G$26,0)),"")</x:f>
      </x:c>
      <x:c r="N1008" s="5" t="str">
        <x:f>IF(COUNTA(A1008:F1008)=0,"",SUBSTITUTE(SUBSTITUTE(SUBSTITUTE(SUBSTITUTE("id:"&amp;A1008,"%","%25"),"~","%7E"),"*","%2A"),"?","%3F"))</x:f>
      </x:c>
    </x:row>
    <x:row r="1009" ht="22" customHeight="1">
      <x:c r="A1009" s="3"/>
      <x:c r="B1009" s="3"/>
      <x:c r="C1009" s="3"/>
      <x:c r="D1009" s="4"/>
      <x:c r="E1009" s="4"/>
      <x:c r="F1009" s="4"/>
      <x:c r="G1009" s="5" t="str">
        <x:f>IF(COUNTA(A1009:F1009)=0,"",IF(K1009&lt;&gt;"","Review",IF(I1009&lt;0,"Overdue",IF(I1009=0,"Due now",IF(I1009&lt;=M1009,"Due soon","Not due")))))</x:f>
      </x:c>
      <x:c r="H1009" s="5" t="str">
        <x:f>IF(OR(COUNTA(A1009:F1009)=0,COUNTIFS('Rules'!$G$7:$G$26,"="&amp;(SUBSTITUTE(SUBSTITUTE(SUBSTITUTE(SUBSTITUTE("type:"&amp;B1009,"%","%25"),"~","%7E"),"*","%2A"),"?","%3F")))&lt;&gt;1),"",IF(OR(INDEX('Rules'!$B$7:$B$26,MATCH(SUBSTITUTE(SUBSTITUTE(SUBSTITUTE(SUBSTITUTE("type:"&amp;B1009,"%","%25"),"~","%7E"),"*","%2A"),"?","%3F"),'Rules'!$G$7:$G$26,0))="hours",INDEX('Rules'!$B$7:$B$26,MATCH(SUBSTITUTE(SUBSTITUTE(SUBSTITUTE(SUBSTITUTE("type:"&amp;B1009,"%","%25"),"~","%7E"),"*","%2A"),"?","%3F"),'Rules'!$G$7:$G$26,0))="km"),INDEX('Rules'!$B$7:$B$26,MATCH(SUBSTITUTE(SUBSTITUTE(SUBSTITUTE(SUBSTITUTE("type:"&amp;B1009,"%","%25"),"~","%7E"),"*","%2A"),"?","%3F"),'Rules'!$G$7:$G$26,0)),""))</x:f>
      </x:c>
      <x:c r="I1009" s="6" t="str">
        <x:f>IF(AND(NOT(COUNTA(A1009:F1009)=0),K1009=""),ROUND(J1009-D1009,3),"")</x:f>
      </x:c>
      <x:c r="J1009" s="6" t="str">
        <x:f>IF(AND(NOT(COUNTA(A1009:F1009)=0),K1009=""),ROUND(F1009+L1009,3),"")</x:f>
      </x:c>
      <x:c r="K1009" s="5" t="str">
        <x:f>IF(COUNTA(A1009:F1009)=0,"",IF(A1009="","Missing equipment ID",IF(COUNTIFS($N$8:$N$2007,"="&amp;N1009)&gt;1,"Duplicate equipment ID",IF(B1009="","Missing type",IF(COUNTIFS('Rules'!$G$7:$G$26,"="&amp;(SUBSTITUTE(SUBSTITUTE(SUBSTITUTE(SUBSTITUTE("type:"&amp;B1009,"%","%25"),"~","%7E"),"*","%2A"),"?","%3F")))=0,"Unknown type",IF(COUNTIFS('Rules'!$G$7:$G$26,"="&amp;(SUBSTITUTE(SUBSTITUTE(SUBSTITUTE(SUBSTITUTE("type:"&amp;B1009,"%","%25"),"~","%7E"),"*","%2A"),"?","%3F")))&gt;1,"Duplicate type",IF(INDEX('Rules'!$F$7:$F$26,MATCH(SUBSTITUTE(SUBSTITUTE(SUBSTITUTE(SUBSTITUTE("type:"&amp;B1009,"%","%25"),"~","%7E"),"*","%2A"),"?","%3F"),'Rules'!$G$7:$G$26,0))&lt;&gt;"",INDEX('Rules'!$F$7:$F$26,MATCH(SUBSTITUTE(SUBSTITUTE(SUBSTITUTE(SUBSTITUTE("type:"&amp;B1009,"%","%25"),"~","%7E"),"*","%2A"),"?","%3F"),'Rules'!$G$7:$G$26,0)),IF(AND(C1009&lt;&gt;"",C1009&lt;&gt;INDEX('Rules'!$B$7:$B$26,MATCH(SUBSTITUTE(SUBSTITUTE(SUBSTITUTE(SUBSTITUTE("type:"&amp;B1009,"%","%25"),"~","%7E"),"*","%2A"),"?","%3F"),'Rules'!$G$7:$G$26,0))),"Unit mismatch",IF(IF(NOT(ISNUMBER(D1009)),TRUE,OR(D1009&lt;0,D1009&gt;999999999,ROUND(D1009,3)&lt;&gt;D1009)),"Invalid current reading",IF(AND(E1009&lt;&gt;"",IF(NOT(ISNUMBER(E1009)),TRUE,OR(E1009&lt;0,E1009&gt;999999999,ROUND(E1009,3)&lt;&gt;E1009))),"Invalid previous reading",IF(IF(NOT(ISNUMBER(F1009)),TRUE,OR(F1009&lt;0,F1009&gt;999999999,ROUND(F1009,3)&lt;&gt;F1009)),"Invalid last service",IF(AND(E1009&lt;&gt;"",D1009&lt;E1009),"Decreased reading",IF(F1009&gt;D1009,"Last service above current","")))))))))))))</x:f>
      </x:c>
      <x:c r="L1009" s="6" t="str">
        <x:f>IF(AND(NOT(COUNTA(A1009:F1009)=0),K1009=""),INDEX('Rules'!$C$7:$C$26,MATCH(SUBSTITUTE(SUBSTITUTE(SUBSTITUTE(SUBSTITUTE("type:"&amp;B1009,"%","%25"),"~","%7E"),"*","%2A"),"?","%3F"),'Rules'!$G$7:$G$26,0)),"")</x:f>
      </x:c>
      <x:c r="M1009" s="6" t="str">
        <x:f>IF(AND(NOT(COUNTA(A1009:F1009)=0),K1009=""),INDEX('Rules'!$D$7:$D$26,MATCH(SUBSTITUTE(SUBSTITUTE(SUBSTITUTE(SUBSTITUTE("type:"&amp;B1009,"%","%25"),"~","%7E"),"*","%2A"),"?","%3F"),'Rules'!$G$7:$G$26,0)),"")</x:f>
      </x:c>
      <x:c r="N1009" s="5" t="str">
        <x:f>IF(COUNTA(A1009:F1009)=0,"",SUBSTITUTE(SUBSTITUTE(SUBSTITUTE(SUBSTITUTE("id:"&amp;A1009,"%","%25"),"~","%7E"),"*","%2A"),"?","%3F"))</x:f>
      </x:c>
    </x:row>
    <x:row r="1010" ht="22" customHeight="1">
      <x:c r="A1010" s="3"/>
      <x:c r="B1010" s="3"/>
      <x:c r="C1010" s="3"/>
      <x:c r="D1010" s="4"/>
      <x:c r="E1010" s="4"/>
      <x:c r="F1010" s="4"/>
      <x:c r="G1010" s="5" t="str">
        <x:f>IF(COUNTA(A1010:F1010)=0,"",IF(K1010&lt;&gt;"","Review",IF(I1010&lt;0,"Overdue",IF(I1010=0,"Due now",IF(I1010&lt;=M1010,"Due soon","Not due")))))</x:f>
      </x:c>
      <x:c r="H1010" s="5" t="str">
        <x:f>IF(OR(COUNTA(A1010:F1010)=0,COUNTIFS('Rules'!$G$7:$G$26,"="&amp;(SUBSTITUTE(SUBSTITUTE(SUBSTITUTE(SUBSTITUTE("type:"&amp;B1010,"%","%25"),"~","%7E"),"*","%2A"),"?","%3F")))&lt;&gt;1),"",IF(OR(INDEX('Rules'!$B$7:$B$26,MATCH(SUBSTITUTE(SUBSTITUTE(SUBSTITUTE(SUBSTITUTE("type:"&amp;B1010,"%","%25"),"~","%7E"),"*","%2A"),"?","%3F"),'Rules'!$G$7:$G$26,0))="hours",INDEX('Rules'!$B$7:$B$26,MATCH(SUBSTITUTE(SUBSTITUTE(SUBSTITUTE(SUBSTITUTE("type:"&amp;B1010,"%","%25"),"~","%7E"),"*","%2A"),"?","%3F"),'Rules'!$G$7:$G$26,0))="km"),INDEX('Rules'!$B$7:$B$26,MATCH(SUBSTITUTE(SUBSTITUTE(SUBSTITUTE(SUBSTITUTE("type:"&amp;B1010,"%","%25"),"~","%7E"),"*","%2A"),"?","%3F"),'Rules'!$G$7:$G$26,0)),""))</x:f>
      </x:c>
      <x:c r="I1010" s="6" t="str">
        <x:f>IF(AND(NOT(COUNTA(A1010:F1010)=0),K1010=""),ROUND(J1010-D1010,3),"")</x:f>
      </x:c>
      <x:c r="J1010" s="6" t="str">
        <x:f>IF(AND(NOT(COUNTA(A1010:F1010)=0),K1010=""),ROUND(F1010+L1010,3),"")</x:f>
      </x:c>
      <x:c r="K1010" s="5" t="str">
        <x:f>IF(COUNTA(A1010:F1010)=0,"",IF(A1010="","Missing equipment ID",IF(COUNTIFS($N$8:$N$2007,"="&amp;N1010)&gt;1,"Duplicate equipment ID",IF(B1010="","Missing type",IF(COUNTIFS('Rules'!$G$7:$G$26,"="&amp;(SUBSTITUTE(SUBSTITUTE(SUBSTITUTE(SUBSTITUTE("type:"&amp;B1010,"%","%25"),"~","%7E"),"*","%2A"),"?","%3F")))=0,"Unknown type",IF(COUNTIFS('Rules'!$G$7:$G$26,"="&amp;(SUBSTITUTE(SUBSTITUTE(SUBSTITUTE(SUBSTITUTE("type:"&amp;B1010,"%","%25"),"~","%7E"),"*","%2A"),"?","%3F")))&gt;1,"Duplicate type",IF(INDEX('Rules'!$F$7:$F$26,MATCH(SUBSTITUTE(SUBSTITUTE(SUBSTITUTE(SUBSTITUTE("type:"&amp;B1010,"%","%25"),"~","%7E"),"*","%2A"),"?","%3F"),'Rules'!$G$7:$G$26,0))&lt;&gt;"",INDEX('Rules'!$F$7:$F$26,MATCH(SUBSTITUTE(SUBSTITUTE(SUBSTITUTE(SUBSTITUTE("type:"&amp;B1010,"%","%25"),"~","%7E"),"*","%2A"),"?","%3F"),'Rules'!$G$7:$G$26,0)),IF(AND(C1010&lt;&gt;"",C1010&lt;&gt;INDEX('Rules'!$B$7:$B$26,MATCH(SUBSTITUTE(SUBSTITUTE(SUBSTITUTE(SUBSTITUTE("type:"&amp;B1010,"%","%25"),"~","%7E"),"*","%2A"),"?","%3F"),'Rules'!$G$7:$G$26,0))),"Unit mismatch",IF(IF(NOT(ISNUMBER(D1010)),TRUE,OR(D1010&lt;0,D1010&gt;999999999,ROUND(D1010,3)&lt;&gt;D1010)),"Invalid current reading",IF(AND(E1010&lt;&gt;"",IF(NOT(ISNUMBER(E1010)),TRUE,OR(E1010&lt;0,E1010&gt;999999999,ROUND(E1010,3)&lt;&gt;E1010))),"Invalid previous reading",IF(IF(NOT(ISNUMBER(F1010)),TRUE,OR(F1010&lt;0,F1010&gt;999999999,ROUND(F1010,3)&lt;&gt;F1010)),"Invalid last service",IF(AND(E1010&lt;&gt;"",D1010&lt;E1010),"Decreased reading",IF(F1010&gt;D1010,"Last service above current","")))))))))))))</x:f>
      </x:c>
      <x:c r="L1010" s="6" t="str">
        <x:f>IF(AND(NOT(COUNTA(A1010:F1010)=0),K1010=""),INDEX('Rules'!$C$7:$C$26,MATCH(SUBSTITUTE(SUBSTITUTE(SUBSTITUTE(SUBSTITUTE("type:"&amp;B1010,"%","%25"),"~","%7E"),"*","%2A"),"?","%3F"),'Rules'!$G$7:$G$26,0)),"")</x:f>
      </x:c>
      <x:c r="M1010" s="6" t="str">
        <x:f>IF(AND(NOT(COUNTA(A1010:F1010)=0),K1010=""),INDEX('Rules'!$D$7:$D$26,MATCH(SUBSTITUTE(SUBSTITUTE(SUBSTITUTE(SUBSTITUTE("type:"&amp;B1010,"%","%25"),"~","%7E"),"*","%2A"),"?","%3F"),'Rules'!$G$7:$G$26,0)),"")</x:f>
      </x:c>
      <x:c r="N1010" s="5" t="str">
        <x:f>IF(COUNTA(A1010:F1010)=0,"",SUBSTITUTE(SUBSTITUTE(SUBSTITUTE(SUBSTITUTE("id:"&amp;A1010,"%","%25"),"~","%7E"),"*","%2A"),"?","%3F"))</x:f>
      </x:c>
    </x:row>
    <x:row r="1011" ht="22" customHeight="1">
      <x:c r="A1011" s="3"/>
      <x:c r="B1011" s="3"/>
      <x:c r="C1011" s="3"/>
      <x:c r="D1011" s="4"/>
      <x:c r="E1011" s="4"/>
      <x:c r="F1011" s="4"/>
      <x:c r="G1011" s="5" t="str">
        <x:f>IF(COUNTA(A1011:F1011)=0,"",IF(K1011&lt;&gt;"","Review",IF(I1011&lt;0,"Overdue",IF(I1011=0,"Due now",IF(I1011&lt;=M1011,"Due soon","Not due")))))</x:f>
      </x:c>
      <x:c r="H1011" s="5" t="str">
        <x:f>IF(OR(COUNTA(A1011:F1011)=0,COUNTIFS('Rules'!$G$7:$G$26,"="&amp;(SUBSTITUTE(SUBSTITUTE(SUBSTITUTE(SUBSTITUTE("type:"&amp;B1011,"%","%25"),"~","%7E"),"*","%2A"),"?","%3F")))&lt;&gt;1),"",IF(OR(INDEX('Rules'!$B$7:$B$26,MATCH(SUBSTITUTE(SUBSTITUTE(SUBSTITUTE(SUBSTITUTE("type:"&amp;B1011,"%","%25"),"~","%7E"),"*","%2A"),"?","%3F"),'Rules'!$G$7:$G$26,0))="hours",INDEX('Rules'!$B$7:$B$26,MATCH(SUBSTITUTE(SUBSTITUTE(SUBSTITUTE(SUBSTITUTE("type:"&amp;B1011,"%","%25"),"~","%7E"),"*","%2A"),"?","%3F"),'Rules'!$G$7:$G$26,0))="km"),INDEX('Rules'!$B$7:$B$26,MATCH(SUBSTITUTE(SUBSTITUTE(SUBSTITUTE(SUBSTITUTE("type:"&amp;B1011,"%","%25"),"~","%7E"),"*","%2A"),"?","%3F"),'Rules'!$G$7:$G$26,0)),""))</x:f>
      </x:c>
      <x:c r="I1011" s="6" t="str">
        <x:f>IF(AND(NOT(COUNTA(A1011:F1011)=0),K1011=""),ROUND(J1011-D1011,3),"")</x:f>
      </x:c>
      <x:c r="J1011" s="6" t="str">
        <x:f>IF(AND(NOT(COUNTA(A1011:F1011)=0),K1011=""),ROUND(F1011+L1011,3),"")</x:f>
      </x:c>
      <x:c r="K1011" s="5" t="str">
        <x:f>IF(COUNTA(A1011:F1011)=0,"",IF(A1011="","Missing equipment ID",IF(COUNTIFS($N$8:$N$2007,"="&amp;N1011)&gt;1,"Duplicate equipment ID",IF(B1011="","Missing type",IF(COUNTIFS('Rules'!$G$7:$G$26,"="&amp;(SUBSTITUTE(SUBSTITUTE(SUBSTITUTE(SUBSTITUTE("type:"&amp;B1011,"%","%25"),"~","%7E"),"*","%2A"),"?","%3F")))=0,"Unknown type",IF(COUNTIFS('Rules'!$G$7:$G$26,"="&amp;(SUBSTITUTE(SUBSTITUTE(SUBSTITUTE(SUBSTITUTE("type:"&amp;B1011,"%","%25"),"~","%7E"),"*","%2A"),"?","%3F")))&gt;1,"Duplicate type",IF(INDEX('Rules'!$F$7:$F$26,MATCH(SUBSTITUTE(SUBSTITUTE(SUBSTITUTE(SUBSTITUTE("type:"&amp;B1011,"%","%25"),"~","%7E"),"*","%2A"),"?","%3F"),'Rules'!$G$7:$G$26,0))&lt;&gt;"",INDEX('Rules'!$F$7:$F$26,MATCH(SUBSTITUTE(SUBSTITUTE(SUBSTITUTE(SUBSTITUTE("type:"&amp;B1011,"%","%25"),"~","%7E"),"*","%2A"),"?","%3F"),'Rules'!$G$7:$G$26,0)),IF(AND(C1011&lt;&gt;"",C1011&lt;&gt;INDEX('Rules'!$B$7:$B$26,MATCH(SUBSTITUTE(SUBSTITUTE(SUBSTITUTE(SUBSTITUTE("type:"&amp;B1011,"%","%25"),"~","%7E"),"*","%2A"),"?","%3F"),'Rules'!$G$7:$G$26,0))),"Unit mismatch",IF(IF(NOT(ISNUMBER(D1011)),TRUE,OR(D1011&lt;0,D1011&gt;999999999,ROUND(D1011,3)&lt;&gt;D1011)),"Invalid current reading",IF(AND(E1011&lt;&gt;"",IF(NOT(ISNUMBER(E1011)),TRUE,OR(E1011&lt;0,E1011&gt;999999999,ROUND(E1011,3)&lt;&gt;E1011))),"Invalid previous reading",IF(IF(NOT(ISNUMBER(F1011)),TRUE,OR(F1011&lt;0,F1011&gt;999999999,ROUND(F1011,3)&lt;&gt;F1011)),"Invalid last service",IF(AND(E1011&lt;&gt;"",D1011&lt;E1011),"Decreased reading",IF(F1011&gt;D1011,"Last service above current","")))))))))))))</x:f>
      </x:c>
      <x:c r="L1011" s="6" t="str">
        <x:f>IF(AND(NOT(COUNTA(A1011:F1011)=0),K1011=""),INDEX('Rules'!$C$7:$C$26,MATCH(SUBSTITUTE(SUBSTITUTE(SUBSTITUTE(SUBSTITUTE("type:"&amp;B1011,"%","%25"),"~","%7E"),"*","%2A"),"?","%3F"),'Rules'!$G$7:$G$26,0)),"")</x:f>
      </x:c>
      <x:c r="M1011" s="6" t="str">
        <x:f>IF(AND(NOT(COUNTA(A1011:F1011)=0),K1011=""),INDEX('Rules'!$D$7:$D$26,MATCH(SUBSTITUTE(SUBSTITUTE(SUBSTITUTE(SUBSTITUTE("type:"&amp;B1011,"%","%25"),"~","%7E"),"*","%2A"),"?","%3F"),'Rules'!$G$7:$G$26,0)),"")</x:f>
      </x:c>
      <x:c r="N1011" s="5" t="str">
        <x:f>IF(COUNTA(A1011:F1011)=0,"",SUBSTITUTE(SUBSTITUTE(SUBSTITUTE(SUBSTITUTE("id:"&amp;A1011,"%","%25"),"~","%7E"),"*","%2A"),"?","%3F"))</x:f>
      </x:c>
    </x:row>
    <x:row r="1012" ht="22" customHeight="1">
      <x:c r="A1012" s="3"/>
      <x:c r="B1012" s="3"/>
      <x:c r="C1012" s="3"/>
      <x:c r="D1012" s="4"/>
      <x:c r="E1012" s="4"/>
      <x:c r="F1012" s="4"/>
      <x:c r="G1012" s="5" t="str">
        <x:f>IF(COUNTA(A1012:F1012)=0,"",IF(K1012&lt;&gt;"","Review",IF(I1012&lt;0,"Overdue",IF(I1012=0,"Due now",IF(I1012&lt;=M1012,"Due soon","Not due")))))</x:f>
      </x:c>
      <x:c r="H1012" s="5" t="str">
        <x:f>IF(OR(COUNTA(A1012:F1012)=0,COUNTIFS('Rules'!$G$7:$G$26,"="&amp;(SUBSTITUTE(SUBSTITUTE(SUBSTITUTE(SUBSTITUTE("type:"&amp;B1012,"%","%25"),"~","%7E"),"*","%2A"),"?","%3F")))&lt;&gt;1),"",IF(OR(INDEX('Rules'!$B$7:$B$26,MATCH(SUBSTITUTE(SUBSTITUTE(SUBSTITUTE(SUBSTITUTE("type:"&amp;B1012,"%","%25"),"~","%7E"),"*","%2A"),"?","%3F"),'Rules'!$G$7:$G$26,0))="hours",INDEX('Rules'!$B$7:$B$26,MATCH(SUBSTITUTE(SUBSTITUTE(SUBSTITUTE(SUBSTITUTE("type:"&amp;B1012,"%","%25"),"~","%7E"),"*","%2A"),"?","%3F"),'Rules'!$G$7:$G$26,0))="km"),INDEX('Rules'!$B$7:$B$26,MATCH(SUBSTITUTE(SUBSTITUTE(SUBSTITUTE(SUBSTITUTE("type:"&amp;B1012,"%","%25"),"~","%7E"),"*","%2A"),"?","%3F"),'Rules'!$G$7:$G$26,0)),""))</x:f>
      </x:c>
      <x:c r="I1012" s="6" t="str">
        <x:f>IF(AND(NOT(COUNTA(A1012:F1012)=0),K1012=""),ROUND(J1012-D1012,3),"")</x:f>
      </x:c>
      <x:c r="J1012" s="6" t="str">
        <x:f>IF(AND(NOT(COUNTA(A1012:F1012)=0),K1012=""),ROUND(F1012+L1012,3),"")</x:f>
      </x:c>
      <x:c r="K1012" s="5" t="str">
        <x:f>IF(COUNTA(A1012:F1012)=0,"",IF(A1012="","Missing equipment ID",IF(COUNTIFS($N$8:$N$2007,"="&amp;N1012)&gt;1,"Duplicate equipment ID",IF(B1012="","Missing type",IF(COUNTIFS('Rules'!$G$7:$G$26,"="&amp;(SUBSTITUTE(SUBSTITUTE(SUBSTITUTE(SUBSTITUTE("type:"&amp;B1012,"%","%25"),"~","%7E"),"*","%2A"),"?","%3F")))=0,"Unknown type",IF(COUNTIFS('Rules'!$G$7:$G$26,"="&amp;(SUBSTITUTE(SUBSTITUTE(SUBSTITUTE(SUBSTITUTE("type:"&amp;B1012,"%","%25"),"~","%7E"),"*","%2A"),"?","%3F")))&gt;1,"Duplicate type",IF(INDEX('Rules'!$F$7:$F$26,MATCH(SUBSTITUTE(SUBSTITUTE(SUBSTITUTE(SUBSTITUTE("type:"&amp;B1012,"%","%25"),"~","%7E"),"*","%2A"),"?","%3F"),'Rules'!$G$7:$G$26,0))&lt;&gt;"",INDEX('Rules'!$F$7:$F$26,MATCH(SUBSTITUTE(SUBSTITUTE(SUBSTITUTE(SUBSTITUTE("type:"&amp;B1012,"%","%25"),"~","%7E"),"*","%2A"),"?","%3F"),'Rules'!$G$7:$G$26,0)),IF(AND(C1012&lt;&gt;"",C1012&lt;&gt;INDEX('Rules'!$B$7:$B$26,MATCH(SUBSTITUTE(SUBSTITUTE(SUBSTITUTE(SUBSTITUTE("type:"&amp;B1012,"%","%25"),"~","%7E"),"*","%2A"),"?","%3F"),'Rules'!$G$7:$G$26,0))),"Unit mismatch",IF(IF(NOT(ISNUMBER(D1012)),TRUE,OR(D1012&lt;0,D1012&gt;999999999,ROUND(D1012,3)&lt;&gt;D1012)),"Invalid current reading",IF(AND(E1012&lt;&gt;"",IF(NOT(ISNUMBER(E1012)),TRUE,OR(E1012&lt;0,E1012&gt;999999999,ROUND(E1012,3)&lt;&gt;E1012))),"Invalid previous reading",IF(IF(NOT(ISNUMBER(F1012)),TRUE,OR(F1012&lt;0,F1012&gt;999999999,ROUND(F1012,3)&lt;&gt;F1012)),"Invalid last service",IF(AND(E1012&lt;&gt;"",D1012&lt;E1012),"Decreased reading",IF(F1012&gt;D1012,"Last service above current","")))))))))))))</x:f>
      </x:c>
      <x:c r="L1012" s="6" t="str">
        <x:f>IF(AND(NOT(COUNTA(A1012:F1012)=0),K1012=""),INDEX('Rules'!$C$7:$C$26,MATCH(SUBSTITUTE(SUBSTITUTE(SUBSTITUTE(SUBSTITUTE("type:"&amp;B1012,"%","%25"),"~","%7E"),"*","%2A"),"?","%3F"),'Rules'!$G$7:$G$26,0)),"")</x:f>
      </x:c>
      <x:c r="M1012" s="6" t="str">
        <x:f>IF(AND(NOT(COUNTA(A1012:F1012)=0),K1012=""),INDEX('Rules'!$D$7:$D$26,MATCH(SUBSTITUTE(SUBSTITUTE(SUBSTITUTE(SUBSTITUTE("type:"&amp;B1012,"%","%25"),"~","%7E"),"*","%2A"),"?","%3F"),'Rules'!$G$7:$G$26,0)),"")</x:f>
      </x:c>
      <x:c r="N1012" s="5" t="str">
        <x:f>IF(COUNTA(A1012:F1012)=0,"",SUBSTITUTE(SUBSTITUTE(SUBSTITUTE(SUBSTITUTE("id:"&amp;A1012,"%","%25"),"~","%7E"),"*","%2A"),"?","%3F"))</x:f>
      </x:c>
    </x:row>
    <x:row r="1013" ht="22" customHeight="1">
      <x:c r="A1013" s="3"/>
      <x:c r="B1013" s="3"/>
      <x:c r="C1013" s="3"/>
      <x:c r="D1013" s="4"/>
      <x:c r="E1013" s="4"/>
      <x:c r="F1013" s="4"/>
      <x:c r="G1013" s="5" t="str">
        <x:f>IF(COUNTA(A1013:F1013)=0,"",IF(K1013&lt;&gt;"","Review",IF(I1013&lt;0,"Overdue",IF(I1013=0,"Due now",IF(I1013&lt;=M1013,"Due soon","Not due")))))</x:f>
      </x:c>
      <x:c r="H1013" s="5" t="str">
        <x:f>IF(OR(COUNTA(A1013:F1013)=0,COUNTIFS('Rules'!$G$7:$G$26,"="&amp;(SUBSTITUTE(SUBSTITUTE(SUBSTITUTE(SUBSTITUTE("type:"&amp;B1013,"%","%25"),"~","%7E"),"*","%2A"),"?","%3F")))&lt;&gt;1),"",IF(OR(INDEX('Rules'!$B$7:$B$26,MATCH(SUBSTITUTE(SUBSTITUTE(SUBSTITUTE(SUBSTITUTE("type:"&amp;B1013,"%","%25"),"~","%7E"),"*","%2A"),"?","%3F"),'Rules'!$G$7:$G$26,0))="hours",INDEX('Rules'!$B$7:$B$26,MATCH(SUBSTITUTE(SUBSTITUTE(SUBSTITUTE(SUBSTITUTE("type:"&amp;B1013,"%","%25"),"~","%7E"),"*","%2A"),"?","%3F"),'Rules'!$G$7:$G$26,0))="km"),INDEX('Rules'!$B$7:$B$26,MATCH(SUBSTITUTE(SUBSTITUTE(SUBSTITUTE(SUBSTITUTE("type:"&amp;B1013,"%","%25"),"~","%7E"),"*","%2A"),"?","%3F"),'Rules'!$G$7:$G$26,0)),""))</x:f>
      </x:c>
      <x:c r="I1013" s="6" t="str">
        <x:f>IF(AND(NOT(COUNTA(A1013:F1013)=0),K1013=""),ROUND(J1013-D1013,3),"")</x:f>
      </x:c>
      <x:c r="J1013" s="6" t="str">
        <x:f>IF(AND(NOT(COUNTA(A1013:F1013)=0),K1013=""),ROUND(F1013+L1013,3),"")</x:f>
      </x:c>
      <x:c r="K1013" s="5" t="str">
        <x:f>IF(COUNTA(A1013:F1013)=0,"",IF(A1013="","Missing equipment ID",IF(COUNTIFS($N$8:$N$2007,"="&amp;N1013)&gt;1,"Duplicate equipment ID",IF(B1013="","Missing type",IF(COUNTIFS('Rules'!$G$7:$G$26,"="&amp;(SUBSTITUTE(SUBSTITUTE(SUBSTITUTE(SUBSTITUTE("type:"&amp;B1013,"%","%25"),"~","%7E"),"*","%2A"),"?","%3F")))=0,"Unknown type",IF(COUNTIFS('Rules'!$G$7:$G$26,"="&amp;(SUBSTITUTE(SUBSTITUTE(SUBSTITUTE(SUBSTITUTE("type:"&amp;B1013,"%","%25"),"~","%7E"),"*","%2A"),"?","%3F")))&gt;1,"Duplicate type",IF(INDEX('Rules'!$F$7:$F$26,MATCH(SUBSTITUTE(SUBSTITUTE(SUBSTITUTE(SUBSTITUTE("type:"&amp;B1013,"%","%25"),"~","%7E"),"*","%2A"),"?","%3F"),'Rules'!$G$7:$G$26,0))&lt;&gt;"",INDEX('Rules'!$F$7:$F$26,MATCH(SUBSTITUTE(SUBSTITUTE(SUBSTITUTE(SUBSTITUTE("type:"&amp;B1013,"%","%25"),"~","%7E"),"*","%2A"),"?","%3F"),'Rules'!$G$7:$G$26,0)),IF(AND(C1013&lt;&gt;"",C1013&lt;&gt;INDEX('Rules'!$B$7:$B$26,MATCH(SUBSTITUTE(SUBSTITUTE(SUBSTITUTE(SUBSTITUTE("type:"&amp;B1013,"%","%25"),"~","%7E"),"*","%2A"),"?","%3F"),'Rules'!$G$7:$G$26,0))),"Unit mismatch",IF(IF(NOT(ISNUMBER(D1013)),TRUE,OR(D1013&lt;0,D1013&gt;999999999,ROUND(D1013,3)&lt;&gt;D1013)),"Invalid current reading",IF(AND(E1013&lt;&gt;"",IF(NOT(ISNUMBER(E1013)),TRUE,OR(E1013&lt;0,E1013&gt;999999999,ROUND(E1013,3)&lt;&gt;E1013))),"Invalid previous reading",IF(IF(NOT(ISNUMBER(F1013)),TRUE,OR(F1013&lt;0,F1013&gt;999999999,ROUND(F1013,3)&lt;&gt;F1013)),"Invalid last service",IF(AND(E1013&lt;&gt;"",D1013&lt;E1013),"Decreased reading",IF(F1013&gt;D1013,"Last service above current","")))))))))))))</x:f>
      </x:c>
      <x:c r="L1013" s="6" t="str">
        <x:f>IF(AND(NOT(COUNTA(A1013:F1013)=0),K1013=""),INDEX('Rules'!$C$7:$C$26,MATCH(SUBSTITUTE(SUBSTITUTE(SUBSTITUTE(SUBSTITUTE("type:"&amp;B1013,"%","%25"),"~","%7E"),"*","%2A"),"?","%3F"),'Rules'!$G$7:$G$26,0)),"")</x:f>
      </x:c>
      <x:c r="M1013" s="6" t="str">
        <x:f>IF(AND(NOT(COUNTA(A1013:F1013)=0),K1013=""),INDEX('Rules'!$D$7:$D$26,MATCH(SUBSTITUTE(SUBSTITUTE(SUBSTITUTE(SUBSTITUTE("type:"&amp;B1013,"%","%25"),"~","%7E"),"*","%2A"),"?","%3F"),'Rules'!$G$7:$G$26,0)),"")</x:f>
      </x:c>
      <x:c r="N1013" s="5" t="str">
        <x:f>IF(COUNTA(A1013:F1013)=0,"",SUBSTITUTE(SUBSTITUTE(SUBSTITUTE(SUBSTITUTE("id:"&amp;A1013,"%","%25"),"~","%7E"),"*","%2A"),"?","%3F"))</x:f>
      </x:c>
    </x:row>
    <x:row r="1014" ht="22" customHeight="1">
      <x:c r="A1014" s="3"/>
      <x:c r="B1014" s="3"/>
      <x:c r="C1014" s="3"/>
      <x:c r="D1014" s="4"/>
      <x:c r="E1014" s="4"/>
      <x:c r="F1014" s="4"/>
      <x:c r="G1014" s="5" t="str">
        <x:f>IF(COUNTA(A1014:F1014)=0,"",IF(K1014&lt;&gt;"","Review",IF(I1014&lt;0,"Overdue",IF(I1014=0,"Due now",IF(I1014&lt;=M1014,"Due soon","Not due")))))</x:f>
      </x:c>
      <x:c r="H1014" s="5" t="str">
        <x:f>IF(OR(COUNTA(A1014:F1014)=0,COUNTIFS('Rules'!$G$7:$G$26,"="&amp;(SUBSTITUTE(SUBSTITUTE(SUBSTITUTE(SUBSTITUTE("type:"&amp;B1014,"%","%25"),"~","%7E"),"*","%2A"),"?","%3F")))&lt;&gt;1),"",IF(OR(INDEX('Rules'!$B$7:$B$26,MATCH(SUBSTITUTE(SUBSTITUTE(SUBSTITUTE(SUBSTITUTE("type:"&amp;B1014,"%","%25"),"~","%7E"),"*","%2A"),"?","%3F"),'Rules'!$G$7:$G$26,0))="hours",INDEX('Rules'!$B$7:$B$26,MATCH(SUBSTITUTE(SUBSTITUTE(SUBSTITUTE(SUBSTITUTE("type:"&amp;B1014,"%","%25"),"~","%7E"),"*","%2A"),"?","%3F"),'Rules'!$G$7:$G$26,0))="km"),INDEX('Rules'!$B$7:$B$26,MATCH(SUBSTITUTE(SUBSTITUTE(SUBSTITUTE(SUBSTITUTE("type:"&amp;B1014,"%","%25"),"~","%7E"),"*","%2A"),"?","%3F"),'Rules'!$G$7:$G$26,0)),""))</x:f>
      </x:c>
      <x:c r="I1014" s="6" t="str">
        <x:f>IF(AND(NOT(COUNTA(A1014:F1014)=0),K1014=""),ROUND(J1014-D1014,3),"")</x:f>
      </x:c>
      <x:c r="J1014" s="6" t="str">
        <x:f>IF(AND(NOT(COUNTA(A1014:F1014)=0),K1014=""),ROUND(F1014+L1014,3),"")</x:f>
      </x:c>
      <x:c r="K1014" s="5" t="str">
        <x:f>IF(COUNTA(A1014:F1014)=0,"",IF(A1014="","Missing equipment ID",IF(COUNTIFS($N$8:$N$2007,"="&amp;N1014)&gt;1,"Duplicate equipment ID",IF(B1014="","Missing type",IF(COUNTIFS('Rules'!$G$7:$G$26,"="&amp;(SUBSTITUTE(SUBSTITUTE(SUBSTITUTE(SUBSTITUTE("type:"&amp;B1014,"%","%25"),"~","%7E"),"*","%2A"),"?","%3F")))=0,"Unknown type",IF(COUNTIFS('Rules'!$G$7:$G$26,"="&amp;(SUBSTITUTE(SUBSTITUTE(SUBSTITUTE(SUBSTITUTE("type:"&amp;B1014,"%","%25"),"~","%7E"),"*","%2A"),"?","%3F")))&gt;1,"Duplicate type",IF(INDEX('Rules'!$F$7:$F$26,MATCH(SUBSTITUTE(SUBSTITUTE(SUBSTITUTE(SUBSTITUTE("type:"&amp;B1014,"%","%25"),"~","%7E"),"*","%2A"),"?","%3F"),'Rules'!$G$7:$G$26,0))&lt;&gt;"",INDEX('Rules'!$F$7:$F$26,MATCH(SUBSTITUTE(SUBSTITUTE(SUBSTITUTE(SUBSTITUTE("type:"&amp;B1014,"%","%25"),"~","%7E"),"*","%2A"),"?","%3F"),'Rules'!$G$7:$G$26,0)),IF(AND(C1014&lt;&gt;"",C1014&lt;&gt;INDEX('Rules'!$B$7:$B$26,MATCH(SUBSTITUTE(SUBSTITUTE(SUBSTITUTE(SUBSTITUTE("type:"&amp;B1014,"%","%25"),"~","%7E"),"*","%2A"),"?","%3F"),'Rules'!$G$7:$G$26,0))),"Unit mismatch",IF(IF(NOT(ISNUMBER(D1014)),TRUE,OR(D1014&lt;0,D1014&gt;999999999,ROUND(D1014,3)&lt;&gt;D1014)),"Invalid current reading",IF(AND(E1014&lt;&gt;"",IF(NOT(ISNUMBER(E1014)),TRUE,OR(E1014&lt;0,E1014&gt;999999999,ROUND(E1014,3)&lt;&gt;E1014))),"Invalid previous reading",IF(IF(NOT(ISNUMBER(F1014)),TRUE,OR(F1014&lt;0,F1014&gt;999999999,ROUND(F1014,3)&lt;&gt;F1014)),"Invalid last service",IF(AND(E1014&lt;&gt;"",D1014&lt;E1014),"Decreased reading",IF(F1014&gt;D1014,"Last service above current","")))))))))))))</x:f>
      </x:c>
      <x:c r="L1014" s="6" t="str">
        <x:f>IF(AND(NOT(COUNTA(A1014:F1014)=0),K1014=""),INDEX('Rules'!$C$7:$C$26,MATCH(SUBSTITUTE(SUBSTITUTE(SUBSTITUTE(SUBSTITUTE("type:"&amp;B1014,"%","%25"),"~","%7E"),"*","%2A"),"?","%3F"),'Rules'!$G$7:$G$26,0)),"")</x:f>
      </x:c>
      <x:c r="M1014" s="6" t="str">
        <x:f>IF(AND(NOT(COUNTA(A1014:F1014)=0),K1014=""),INDEX('Rules'!$D$7:$D$26,MATCH(SUBSTITUTE(SUBSTITUTE(SUBSTITUTE(SUBSTITUTE("type:"&amp;B1014,"%","%25"),"~","%7E"),"*","%2A"),"?","%3F"),'Rules'!$G$7:$G$26,0)),"")</x:f>
      </x:c>
      <x:c r="N1014" s="5" t="str">
        <x:f>IF(COUNTA(A1014:F1014)=0,"",SUBSTITUTE(SUBSTITUTE(SUBSTITUTE(SUBSTITUTE("id:"&amp;A1014,"%","%25"),"~","%7E"),"*","%2A"),"?","%3F"))</x:f>
      </x:c>
    </x:row>
    <x:row r="1015" ht="22" customHeight="1">
      <x:c r="A1015" s="3"/>
      <x:c r="B1015" s="3"/>
      <x:c r="C1015" s="3"/>
      <x:c r="D1015" s="4"/>
      <x:c r="E1015" s="4"/>
      <x:c r="F1015" s="4"/>
      <x:c r="G1015" s="5" t="str">
        <x:f>IF(COUNTA(A1015:F1015)=0,"",IF(K1015&lt;&gt;"","Review",IF(I1015&lt;0,"Overdue",IF(I1015=0,"Due now",IF(I1015&lt;=M1015,"Due soon","Not due")))))</x:f>
      </x:c>
      <x:c r="H1015" s="5" t="str">
        <x:f>IF(OR(COUNTA(A1015:F1015)=0,COUNTIFS('Rules'!$G$7:$G$26,"="&amp;(SUBSTITUTE(SUBSTITUTE(SUBSTITUTE(SUBSTITUTE("type:"&amp;B1015,"%","%25"),"~","%7E"),"*","%2A"),"?","%3F")))&lt;&gt;1),"",IF(OR(INDEX('Rules'!$B$7:$B$26,MATCH(SUBSTITUTE(SUBSTITUTE(SUBSTITUTE(SUBSTITUTE("type:"&amp;B1015,"%","%25"),"~","%7E"),"*","%2A"),"?","%3F"),'Rules'!$G$7:$G$26,0))="hours",INDEX('Rules'!$B$7:$B$26,MATCH(SUBSTITUTE(SUBSTITUTE(SUBSTITUTE(SUBSTITUTE("type:"&amp;B1015,"%","%25"),"~","%7E"),"*","%2A"),"?","%3F"),'Rules'!$G$7:$G$26,0))="km"),INDEX('Rules'!$B$7:$B$26,MATCH(SUBSTITUTE(SUBSTITUTE(SUBSTITUTE(SUBSTITUTE("type:"&amp;B1015,"%","%25"),"~","%7E"),"*","%2A"),"?","%3F"),'Rules'!$G$7:$G$26,0)),""))</x:f>
      </x:c>
      <x:c r="I1015" s="6" t="str">
        <x:f>IF(AND(NOT(COUNTA(A1015:F1015)=0),K1015=""),ROUND(J1015-D1015,3),"")</x:f>
      </x:c>
      <x:c r="J1015" s="6" t="str">
        <x:f>IF(AND(NOT(COUNTA(A1015:F1015)=0),K1015=""),ROUND(F1015+L1015,3),"")</x:f>
      </x:c>
      <x:c r="K1015" s="5" t="str">
        <x:f>IF(COUNTA(A1015:F1015)=0,"",IF(A1015="","Missing equipment ID",IF(COUNTIFS($N$8:$N$2007,"="&amp;N1015)&gt;1,"Duplicate equipment ID",IF(B1015="","Missing type",IF(COUNTIFS('Rules'!$G$7:$G$26,"="&amp;(SUBSTITUTE(SUBSTITUTE(SUBSTITUTE(SUBSTITUTE("type:"&amp;B1015,"%","%25"),"~","%7E"),"*","%2A"),"?","%3F")))=0,"Unknown type",IF(COUNTIFS('Rules'!$G$7:$G$26,"="&amp;(SUBSTITUTE(SUBSTITUTE(SUBSTITUTE(SUBSTITUTE("type:"&amp;B1015,"%","%25"),"~","%7E"),"*","%2A"),"?","%3F")))&gt;1,"Duplicate type",IF(INDEX('Rules'!$F$7:$F$26,MATCH(SUBSTITUTE(SUBSTITUTE(SUBSTITUTE(SUBSTITUTE("type:"&amp;B1015,"%","%25"),"~","%7E"),"*","%2A"),"?","%3F"),'Rules'!$G$7:$G$26,0))&lt;&gt;"",INDEX('Rules'!$F$7:$F$26,MATCH(SUBSTITUTE(SUBSTITUTE(SUBSTITUTE(SUBSTITUTE("type:"&amp;B1015,"%","%25"),"~","%7E"),"*","%2A"),"?","%3F"),'Rules'!$G$7:$G$26,0)),IF(AND(C1015&lt;&gt;"",C1015&lt;&gt;INDEX('Rules'!$B$7:$B$26,MATCH(SUBSTITUTE(SUBSTITUTE(SUBSTITUTE(SUBSTITUTE("type:"&amp;B1015,"%","%25"),"~","%7E"),"*","%2A"),"?","%3F"),'Rules'!$G$7:$G$26,0))),"Unit mismatch",IF(IF(NOT(ISNUMBER(D1015)),TRUE,OR(D1015&lt;0,D1015&gt;999999999,ROUND(D1015,3)&lt;&gt;D1015)),"Invalid current reading",IF(AND(E1015&lt;&gt;"",IF(NOT(ISNUMBER(E1015)),TRUE,OR(E1015&lt;0,E1015&gt;999999999,ROUND(E1015,3)&lt;&gt;E1015))),"Invalid previous reading",IF(IF(NOT(ISNUMBER(F1015)),TRUE,OR(F1015&lt;0,F1015&gt;999999999,ROUND(F1015,3)&lt;&gt;F1015)),"Invalid last service",IF(AND(E1015&lt;&gt;"",D1015&lt;E1015),"Decreased reading",IF(F1015&gt;D1015,"Last service above current","")))))))))))))</x:f>
      </x:c>
      <x:c r="L1015" s="6" t="str">
        <x:f>IF(AND(NOT(COUNTA(A1015:F1015)=0),K1015=""),INDEX('Rules'!$C$7:$C$26,MATCH(SUBSTITUTE(SUBSTITUTE(SUBSTITUTE(SUBSTITUTE("type:"&amp;B1015,"%","%25"),"~","%7E"),"*","%2A"),"?","%3F"),'Rules'!$G$7:$G$26,0)),"")</x:f>
      </x:c>
      <x:c r="M1015" s="6" t="str">
        <x:f>IF(AND(NOT(COUNTA(A1015:F1015)=0),K1015=""),INDEX('Rules'!$D$7:$D$26,MATCH(SUBSTITUTE(SUBSTITUTE(SUBSTITUTE(SUBSTITUTE("type:"&amp;B1015,"%","%25"),"~","%7E"),"*","%2A"),"?","%3F"),'Rules'!$G$7:$G$26,0)),"")</x:f>
      </x:c>
      <x:c r="N1015" s="5" t="str">
        <x:f>IF(COUNTA(A1015:F1015)=0,"",SUBSTITUTE(SUBSTITUTE(SUBSTITUTE(SUBSTITUTE("id:"&amp;A1015,"%","%25"),"~","%7E"),"*","%2A"),"?","%3F"))</x:f>
      </x:c>
    </x:row>
    <x:row r="1016" ht="22" customHeight="1">
      <x:c r="A1016" s="3"/>
      <x:c r="B1016" s="3"/>
      <x:c r="C1016" s="3"/>
      <x:c r="D1016" s="4"/>
      <x:c r="E1016" s="4"/>
      <x:c r="F1016" s="4"/>
      <x:c r="G1016" s="5" t="str">
        <x:f>IF(COUNTA(A1016:F1016)=0,"",IF(K1016&lt;&gt;"","Review",IF(I1016&lt;0,"Overdue",IF(I1016=0,"Due now",IF(I1016&lt;=M1016,"Due soon","Not due")))))</x:f>
      </x:c>
      <x:c r="H1016" s="5" t="str">
        <x:f>IF(OR(COUNTA(A1016:F1016)=0,COUNTIFS('Rules'!$G$7:$G$26,"="&amp;(SUBSTITUTE(SUBSTITUTE(SUBSTITUTE(SUBSTITUTE("type:"&amp;B1016,"%","%25"),"~","%7E"),"*","%2A"),"?","%3F")))&lt;&gt;1),"",IF(OR(INDEX('Rules'!$B$7:$B$26,MATCH(SUBSTITUTE(SUBSTITUTE(SUBSTITUTE(SUBSTITUTE("type:"&amp;B1016,"%","%25"),"~","%7E"),"*","%2A"),"?","%3F"),'Rules'!$G$7:$G$26,0))="hours",INDEX('Rules'!$B$7:$B$26,MATCH(SUBSTITUTE(SUBSTITUTE(SUBSTITUTE(SUBSTITUTE("type:"&amp;B1016,"%","%25"),"~","%7E"),"*","%2A"),"?","%3F"),'Rules'!$G$7:$G$26,0))="km"),INDEX('Rules'!$B$7:$B$26,MATCH(SUBSTITUTE(SUBSTITUTE(SUBSTITUTE(SUBSTITUTE("type:"&amp;B1016,"%","%25"),"~","%7E"),"*","%2A"),"?","%3F"),'Rules'!$G$7:$G$26,0)),""))</x:f>
      </x:c>
      <x:c r="I1016" s="6" t="str">
        <x:f>IF(AND(NOT(COUNTA(A1016:F1016)=0),K1016=""),ROUND(J1016-D1016,3),"")</x:f>
      </x:c>
      <x:c r="J1016" s="6" t="str">
        <x:f>IF(AND(NOT(COUNTA(A1016:F1016)=0),K1016=""),ROUND(F1016+L1016,3),"")</x:f>
      </x:c>
      <x:c r="K1016" s="5" t="str">
        <x:f>IF(COUNTA(A1016:F1016)=0,"",IF(A1016="","Missing equipment ID",IF(COUNTIFS($N$8:$N$2007,"="&amp;N1016)&gt;1,"Duplicate equipment ID",IF(B1016="","Missing type",IF(COUNTIFS('Rules'!$G$7:$G$26,"="&amp;(SUBSTITUTE(SUBSTITUTE(SUBSTITUTE(SUBSTITUTE("type:"&amp;B1016,"%","%25"),"~","%7E"),"*","%2A"),"?","%3F")))=0,"Unknown type",IF(COUNTIFS('Rules'!$G$7:$G$26,"="&amp;(SUBSTITUTE(SUBSTITUTE(SUBSTITUTE(SUBSTITUTE("type:"&amp;B1016,"%","%25"),"~","%7E"),"*","%2A"),"?","%3F")))&gt;1,"Duplicate type",IF(INDEX('Rules'!$F$7:$F$26,MATCH(SUBSTITUTE(SUBSTITUTE(SUBSTITUTE(SUBSTITUTE("type:"&amp;B1016,"%","%25"),"~","%7E"),"*","%2A"),"?","%3F"),'Rules'!$G$7:$G$26,0))&lt;&gt;"",INDEX('Rules'!$F$7:$F$26,MATCH(SUBSTITUTE(SUBSTITUTE(SUBSTITUTE(SUBSTITUTE("type:"&amp;B1016,"%","%25"),"~","%7E"),"*","%2A"),"?","%3F"),'Rules'!$G$7:$G$26,0)),IF(AND(C1016&lt;&gt;"",C1016&lt;&gt;INDEX('Rules'!$B$7:$B$26,MATCH(SUBSTITUTE(SUBSTITUTE(SUBSTITUTE(SUBSTITUTE("type:"&amp;B1016,"%","%25"),"~","%7E"),"*","%2A"),"?","%3F"),'Rules'!$G$7:$G$26,0))),"Unit mismatch",IF(IF(NOT(ISNUMBER(D1016)),TRUE,OR(D1016&lt;0,D1016&gt;999999999,ROUND(D1016,3)&lt;&gt;D1016)),"Invalid current reading",IF(AND(E1016&lt;&gt;"",IF(NOT(ISNUMBER(E1016)),TRUE,OR(E1016&lt;0,E1016&gt;999999999,ROUND(E1016,3)&lt;&gt;E1016))),"Invalid previous reading",IF(IF(NOT(ISNUMBER(F1016)),TRUE,OR(F1016&lt;0,F1016&gt;999999999,ROUND(F1016,3)&lt;&gt;F1016)),"Invalid last service",IF(AND(E1016&lt;&gt;"",D1016&lt;E1016),"Decreased reading",IF(F1016&gt;D1016,"Last service above current","")))))))))))))</x:f>
      </x:c>
      <x:c r="L1016" s="6" t="str">
        <x:f>IF(AND(NOT(COUNTA(A1016:F1016)=0),K1016=""),INDEX('Rules'!$C$7:$C$26,MATCH(SUBSTITUTE(SUBSTITUTE(SUBSTITUTE(SUBSTITUTE("type:"&amp;B1016,"%","%25"),"~","%7E"),"*","%2A"),"?","%3F"),'Rules'!$G$7:$G$26,0)),"")</x:f>
      </x:c>
      <x:c r="M1016" s="6" t="str">
        <x:f>IF(AND(NOT(COUNTA(A1016:F1016)=0),K1016=""),INDEX('Rules'!$D$7:$D$26,MATCH(SUBSTITUTE(SUBSTITUTE(SUBSTITUTE(SUBSTITUTE("type:"&amp;B1016,"%","%25"),"~","%7E"),"*","%2A"),"?","%3F"),'Rules'!$G$7:$G$26,0)),"")</x:f>
      </x:c>
      <x:c r="N1016" s="5" t="str">
        <x:f>IF(COUNTA(A1016:F1016)=0,"",SUBSTITUTE(SUBSTITUTE(SUBSTITUTE(SUBSTITUTE("id:"&amp;A1016,"%","%25"),"~","%7E"),"*","%2A"),"?","%3F"))</x:f>
      </x:c>
    </x:row>
    <x:row r="1017" ht="22" customHeight="1">
      <x:c r="A1017" s="3"/>
      <x:c r="B1017" s="3"/>
      <x:c r="C1017" s="3"/>
      <x:c r="D1017" s="4"/>
      <x:c r="E1017" s="4"/>
      <x:c r="F1017" s="4"/>
      <x:c r="G1017" s="5" t="str">
        <x:f>IF(COUNTA(A1017:F1017)=0,"",IF(K1017&lt;&gt;"","Review",IF(I1017&lt;0,"Overdue",IF(I1017=0,"Due now",IF(I1017&lt;=M1017,"Due soon","Not due")))))</x:f>
      </x:c>
      <x:c r="H1017" s="5" t="str">
        <x:f>IF(OR(COUNTA(A1017:F1017)=0,COUNTIFS('Rules'!$G$7:$G$26,"="&amp;(SUBSTITUTE(SUBSTITUTE(SUBSTITUTE(SUBSTITUTE("type:"&amp;B1017,"%","%25"),"~","%7E"),"*","%2A"),"?","%3F")))&lt;&gt;1),"",IF(OR(INDEX('Rules'!$B$7:$B$26,MATCH(SUBSTITUTE(SUBSTITUTE(SUBSTITUTE(SUBSTITUTE("type:"&amp;B1017,"%","%25"),"~","%7E"),"*","%2A"),"?","%3F"),'Rules'!$G$7:$G$26,0))="hours",INDEX('Rules'!$B$7:$B$26,MATCH(SUBSTITUTE(SUBSTITUTE(SUBSTITUTE(SUBSTITUTE("type:"&amp;B1017,"%","%25"),"~","%7E"),"*","%2A"),"?","%3F"),'Rules'!$G$7:$G$26,0))="km"),INDEX('Rules'!$B$7:$B$26,MATCH(SUBSTITUTE(SUBSTITUTE(SUBSTITUTE(SUBSTITUTE("type:"&amp;B1017,"%","%25"),"~","%7E"),"*","%2A"),"?","%3F"),'Rules'!$G$7:$G$26,0)),""))</x:f>
      </x:c>
      <x:c r="I1017" s="6" t="str">
        <x:f>IF(AND(NOT(COUNTA(A1017:F1017)=0),K1017=""),ROUND(J1017-D1017,3),"")</x:f>
      </x:c>
      <x:c r="J1017" s="6" t="str">
        <x:f>IF(AND(NOT(COUNTA(A1017:F1017)=0),K1017=""),ROUND(F1017+L1017,3),"")</x:f>
      </x:c>
      <x:c r="K1017" s="5" t="str">
        <x:f>IF(COUNTA(A1017:F1017)=0,"",IF(A1017="","Missing equipment ID",IF(COUNTIFS($N$8:$N$2007,"="&amp;N1017)&gt;1,"Duplicate equipment ID",IF(B1017="","Missing type",IF(COUNTIFS('Rules'!$G$7:$G$26,"="&amp;(SUBSTITUTE(SUBSTITUTE(SUBSTITUTE(SUBSTITUTE("type:"&amp;B1017,"%","%25"),"~","%7E"),"*","%2A"),"?","%3F")))=0,"Unknown type",IF(COUNTIFS('Rules'!$G$7:$G$26,"="&amp;(SUBSTITUTE(SUBSTITUTE(SUBSTITUTE(SUBSTITUTE("type:"&amp;B1017,"%","%25"),"~","%7E"),"*","%2A"),"?","%3F")))&gt;1,"Duplicate type",IF(INDEX('Rules'!$F$7:$F$26,MATCH(SUBSTITUTE(SUBSTITUTE(SUBSTITUTE(SUBSTITUTE("type:"&amp;B1017,"%","%25"),"~","%7E"),"*","%2A"),"?","%3F"),'Rules'!$G$7:$G$26,0))&lt;&gt;"",INDEX('Rules'!$F$7:$F$26,MATCH(SUBSTITUTE(SUBSTITUTE(SUBSTITUTE(SUBSTITUTE("type:"&amp;B1017,"%","%25"),"~","%7E"),"*","%2A"),"?","%3F"),'Rules'!$G$7:$G$26,0)),IF(AND(C1017&lt;&gt;"",C1017&lt;&gt;INDEX('Rules'!$B$7:$B$26,MATCH(SUBSTITUTE(SUBSTITUTE(SUBSTITUTE(SUBSTITUTE("type:"&amp;B1017,"%","%25"),"~","%7E"),"*","%2A"),"?","%3F"),'Rules'!$G$7:$G$26,0))),"Unit mismatch",IF(IF(NOT(ISNUMBER(D1017)),TRUE,OR(D1017&lt;0,D1017&gt;999999999,ROUND(D1017,3)&lt;&gt;D1017)),"Invalid current reading",IF(AND(E1017&lt;&gt;"",IF(NOT(ISNUMBER(E1017)),TRUE,OR(E1017&lt;0,E1017&gt;999999999,ROUND(E1017,3)&lt;&gt;E1017))),"Invalid previous reading",IF(IF(NOT(ISNUMBER(F1017)),TRUE,OR(F1017&lt;0,F1017&gt;999999999,ROUND(F1017,3)&lt;&gt;F1017)),"Invalid last service",IF(AND(E1017&lt;&gt;"",D1017&lt;E1017),"Decreased reading",IF(F1017&gt;D1017,"Last service above current","")))))))))))))</x:f>
      </x:c>
      <x:c r="L1017" s="6" t="str">
        <x:f>IF(AND(NOT(COUNTA(A1017:F1017)=0),K1017=""),INDEX('Rules'!$C$7:$C$26,MATCH(SUBSTITUTE(SUBSTITUTE(SUBSTITUTE(SUBSTITUTE("type:"&amp;B1017,"%","%25"),"~","%7E"),"*","%2A"),"?","%3F"),'Rules'!$G$7:$G$26,0)),"")</x:f>
      </x:c>
      <x:c r="M1017" s="6" t="str">
        <x:f>IF(AND(NOT(COUNTA(A1017:F1017)=0),K1017=""),INDEX('Rules'!$D$7:$D$26,MATCH(SUBSTITUTE(SUBSTITUTE(SUBSTITUTE(SUBSTITUTE("type:"&amp;B1017,"%","%25"),"~","%7E"),"*","%2A"),"?","%3F"),'Rules'!$G$7:$G$26,0)),"")</x:f>
      </x:c>
      <x:c r="N1017" s="5" t="str">
        <x:f>IF(COUNTA(A1017:F1017)=0,"",SUBSTITUTE(SUBSTITUTE(SUBSTITUTE(SUBSTITUTE("id:"&amp;A1017,"%","%25"),"~","%7E"),"*","%2A"),"?","%3F"))</x:f>
      </x:c>
    </x:row>
    <x:row r="1018" ht="22" customHeight="1">
      <x:c r="A1018" s="3"/>
      <x:c r="B1018" s="3"/>
      <x:c r="C1018" s="3"/>
      <x:c r="D1018" s="4"/>
      <x:c r="E1018" s="4"/>
      <x:c r="F1018" s="4"/>
      <x:c r="G1018" s="5" t="str">
        <x:f>IF(COUNTA(A1018:F1018)=0,"",IF(K1018&lt;&gt;"","Review",IF(I1018&lt;0,"Overdue",IF(I1018=0,"Due now",IF(I1018&lt;=M1018,"Due soon","Not due")))))</x:f>
      </x:c>
      <x:c r="H1018" s="5" t="str">
        <x:f>IF(OR(COUNTA(A1018:F1018)=0,COUNTIFS('Rules'!$G$7:$G$26,"="&amp;(SUBSTITUTE(SUBSTITUTE(SUBSTITUTE(SUBSTITUTE("type:"&amp;B1018,"%","%25"),"~","%7E"),"*","%2A"),"?","%3F")))&lt;&gt;1),"",IF(OR(INDEX('Rules'!$B$7:$B$26,MATCH(SUBSTITUTE(SUBSTITUTE(SUBSTITUTE(SUBSTITUTE("type:"&amp;B1018,"%","%25"),"~","%7E"),"*","%2A"),"?","%3F"),'Rules'!$G$7:$G$26,0))="hours",INDEX('Rules'!$B$7:$B$26,MATCH(SUBSTITUTE(SUBSTITUTE(SUBSTITUTE(SUBSTITUTE("type:"&amp;B1018,"%","%25"),"~","%7E"),"*","%2A"),"?","%3F"),'Rules'!$G$7:$G$26,0))="km"),INDEX('Rules'!$B$7:$B$26,MATCH(SUBSTITUTE(SUBSTITUTE(SUBSTITUTE(SUBSTITUTE("type:"&amp;B1018,"%","%25"),"~","%7E"),"*","%2A"),"?","%3F"),'Rules'!$G$7:$G$26,0)),""))</x:f>
      </x:c>
      <x:c r="I1018" s="6" t="str">
        <x:f>IF(AND(NOT(COUNTA(A1018:F1018)=0),K1018=""),ROUND(J1018-D1018,3),"")</x:f>
      </x:c>
      <x:c r="J1018" s="6" t="str">
        <x:f>IF(AND(NOT(COUNTA(A1018:F1018)=0),K1018=""),ROUND(F1018+L1018,3),"")</x:f>
      </x:c>
      <x:c r="K1018" s="5" t="str">
        <x:f>IF(COUNTA(A1018:F1018)=0,"",IF(A1018="","Missing equipment ID",IF(COUNTIFS($N$8:$N$2007,"="&amp;N1018)&gt;1,"Duplicate equipment ID",IF(B1018="","Missing type",IF(COUNTIFS('Rules'!$G$7:$G$26,"="&amp;(SUBSTITUTE(SUBSTITUTE(SUBSTITUTE(SUBSTITUTE("type:"&amp;B1018,"%","%25"),"~","%7E"),"*","%2A"),"?","%3F")))=0,"Unknown type",IF(COUNTIFS('Rules'!$G$7:$G$26,"="&amp;(SUBSTITUTE(SUBSTITUTE(SUBSTITUTE(SUBSTITUTE("type:"&amp;B1018,"%","%25"),"~","%7E"),"*","%2A"),"?","%3F")))&gt;1,"Duplicate type",IF(INDEX('Rules'!$F$7:$F$26,MATCH(SUBSTITUTE(SUBSTITUTE(SUBSTITUTE(SUBSTITUTE("type:"&amp;B1018,"%","%25"),"~","%7E"),"*","%2A"),"?","%3F"),'Rules'!$G$7:$G$26,0))&lt;&gt;"",INDEX('Rules'!$F$7:$F$26,MATCH(SUBSTITUTE(SUBSTITUTE(SUBSTITUTE(SUBSTITUTE("type:"&amp;B1018,"%","%25"),"~","%7E"),"*","%2A"),"?","%3F"),'Rules'!$G$7:$G$26,0)),IF(AND(C1018&lt;&gt;"",C1018&lt;&gt;INDEX('Rules'!$B$7:$B$26,MATCH(SUBSTITUTE(SUBSTITUTE(SUBSTITUTE(SUBSTITUTE("type:"&amp;B1018,"%","%25"),"~","%7E"),"*","%2A"),"?","%3F"),'Rules'!$G$7:$G$26,0))),"Unit mismatch",IF(IF(NOT(ISNUMBER(D1018)),TRUE,OR(D1018&lt;0,D1018&gt;999999999,ROUND(D1018,3)&lt;&gt;D1018)),"Invalid current reading",IF(AND(E1018&lt;&gt;"",IF(NOT(ISNUMBER(E1018)),TRUE,OR(E1018&lt;0,E1018&gt;999999999,ROUND(E1018,3)&lt;&gt;E1018))),"Invalid previous reading",IF(IF(NOT(ISNUMBER(F1018)),TRUE,OR(F1018&lt;0,F1018&gt;999999999,ROUND(F1018,3)&lt;&gt;F1018)),"Invalid last service",IF(AND(E1018&lt;&gt;"",D1018&lt;E1018),"Decreased reading",IF(F1018&gt;D1018,"Last service above current","")))))))))))))</x:f>
      </x:c>
      <x:c r="L1018" s="6" t="str">
        <x:f>IF(AND(NOT(COUNTA(A1018:F1018)=0),K1018=""),INDEX('Rules'!$C$7:$C$26,MATCH(SUBSTITUTE(SUBSTITUTE(SUBSTITUTE(SUBSTITUTE("type:"&amp;B1018,"%","%25"),"~","%7E"),"*","%2A"),"?","%3F"),'Rules'!$G$7:$G$26,0)),"")</x:f>
      </x:c>
      <x:c r="M1018" s="6" t="str">
        <x:f>IF(AND(NOT(COUNTA(A1018:F1018)=0),K1018=""),INDEX('Rules'!$D$7:$D$26,MATCH(SUBSTITUTE(SUBSTITUTE(SUBSTITUTE(SUBSTITUTE("type:"&amp;B1018,"%","%25"),"~","%7E"),"*","%2A"),"?","%3F"),'Rules'!$G$7:$G$26,0)),"")</x:f>
      </x:c>
      <x:c r="N1018" s="5" t="str">
        <x:f>IF(COUNTA(A1018:F1018)=0,"",SUBSTITUTE(SUBSTITUTE(SUBSTITUTE(SUBSTITUTE("id:"&amp;A1018,"%","%25"),"~","%7E"),"*","%2A"),"?","%3F"))</x:f>
      </x:c>
    </x:row>
    <x:row r="1019" ht="22" customHeight="1">
      <x:c r="A1019" s="3"/>
      <x:c r="B1019" s="3"/>
      <x:c r="C1019" s="3"/>
      <x:c r="D1019" s="4"/>
      <x:c r="E1019" s="4"/>
      <x:c r="F1019" s="4"/>
      <x:c r="G1019" s="5" t="str">
        <x:f>IF(COUNTA(A1019:F1019)=0,"",IF(K1019&lt;&gt;"","Review",IF(I1019&lt;0,"Overdue",IF(I1019=0,"Due now",IF(I1019&lt;=M1019,"Due soon","Not due")))))</x:f>
      </x:c>
      <x:c r="H1019" s="5" t="str">
        <x:f>IF(OR(COUNTA(A1019:F1019)=0,COUNTIFS('Rules'!$G$7:$G$26,"="&amp;(SUBSTITUTE(SUBSTITUTE(SUBSTITUTE(SUBSTITUTE("type:"&amp;B1019,"%","%25"),"~","%7E"),"*","%2A"),"?","%3F")))&lt;&gt;1),"",IF(OR(INDEX('Rules'!$B$7:$B$26,MATCH(SUBSTITUTE(SUBSTITUTE(SUBSTITUTE(SUBSTITUTE("type:"&amp;B1019,"%","%25"),"~","%7E"),"*","%2A"),"?","%3F"),'Rules'!$G$7:$G$26,0))="hours",INDEX('Rules'!$B$7:$B$26,MATCH(SUBSTITUTE(SUBSTITUTE(SUBSTITUTE(SUBSTITUTE("type:"&amp;B1019,"%","%25"),"~","%7E"),"*","%2A"),"?","%3F"),'Rules'!$G$7:$G$26,0))="km"),INDEX('Rules'!$B$7:$B$26,MATCH(SUBSTITUTE(SUBSTITUTE(SUBSTITUTE(SUBSTITUTE("type:"&amp;B1019,"%","%25"),"~","%7E"),"*","%2A"),"?","%3F"),'Rules'!$G$7:$G$26,0)),""))</x:f>
      </x:c>
      <x:c r="I1019" s="6" t="str">
        <x:f>IF(AND(NOT(COUNTA(A1019:F1019)=0),K1019=""),ROUND(J1019-D1019,3),"")</x:f>
      </x:c>
      <x:c r="J1019" s="6" t="str">
        <x:f>IF(AND(NOT(COUNTA(A1019:F1019)=0),K1019=""),ROUND(F1019+L1019,3),"")</x:f>
      </x:c>
      <x:c r="K1019" s="5" t="str">
        <x:f>IF(COUNTA(A1019:F1019)=0,"",IF(A1019="","Missing equipment ID",IF(COUNTIFS($N$8:$N$2007,"="&amp;N1019)&gt;1,"Duplicate equipment ID",IF(B1019="","Missing type",IF(COUNTIFS('Rules'!$G$7:$G$26,"="&amp;(SUBSTITUTE(SUBSTITUTE(SUBSTITUTE(SUBSTITUTE("type:"&amp;B1019,"%","%25"),"~","%7E"),"*","%2A"),"?","%3F")))=0,"Unknown type",IF(COUNTIFS('Rules'!$G$7:$G$26,"="&amp;(SUBSTITUTE(SUBSTITUTE(SUBSTITUTE(SUBSTITUTE("type:"&amp;B1019,"%","%25"),"~","%7E"),"*","%2A"),"?","%3F")))&gt;1,"Duplicate type",IF(INDEX('Rules'!$F$7:$F$26,MATCH(SUBSTITUTE(SUBSTITUTE(SUBSTITUTE(SUBSTITUTE("type:"&amp;B1019,"%","%25"),"~","%7E"),"*","%2A"),"?","%3F"),'Rules'!$G$7:$G$26,0))&lt;&gt;"",INDEX('Rules'!$F$7:$F$26,MATCH(SUBSTITUTE(SUBSTITUTE(SUBSTITUTE(SUBSTITUTE("type:"&amp;B1019,"%","%25"),"~","%7E"),"*","%2A"),"?","%3F"),'Rules'!$G$7:$G$26,0)),IF(AND(C1019&lt;&gt;"",C1019&lt;&gt;INDEX('Rules'!$B$7:$B$26,MATCH(SUBSTITUTE(SUBSTITUTE(SUBSTITUTE(SUBSTITUTE("type:"&amp;B1019,"%","%25"),"~","%7E"),"*","%2A"),"?","%3F"),'Rules'!$G$7:$G$26,0))),"Unit mismatch",IF(IF(NOT(ISNUMBER(D1019)),TRUE,OR(D1019&lt;0,D1019&gt;999999999,ROUND(D1019,3)&lt;&gt;D1019)),"Invalid current reading",IF(AND(E1019&lt;&gt;"",IF(NOT(ISNUMBER(E1019)),TRUE,OR(E1019&lt;0,E1019&gt;999999999,ROUND(E1019,3)&lt;&gt;E1019))),"Invalid previous reading",IF(IF(NOT(ISNUMBER(F1019)),TRUE,OR(F1019&lt;0,F1019&gt;999999999,ROUND(F1019,3)&lt;&gt;F1019)),"Invalid last service",IF(AND(E1019&lt;&gt;"",D1019&lt;E1019),"Decreased reading",IF(F1019&gt;D1019,"Last service above current","")))))))))))))</x:f>
      </x:c>
      <x:c r="L1019" s="6" t="str">
        <x:f>IF(AND(NOT(COUNTA(A1019:F1019)=0),K1019=""),INDEX('Rules'!$C$7:$C$26,MATCH(SUBSTITUTE(SUBSTITUTE(SUBSTITUTE(SUBSTITUTE("type:"&amp;B1019,"%","%25"),"~","%7E"),"*","%2A"),"?","%3F"),'Rules'!$G$7:$G$26,0)),"")</x:f>
      </x:c>
      <x:c r="M1019" s="6" t="str">
        <x:f>IF(AND(NOT(COUNTA(A1019:F1019)=0),K1019=""),INDEX('Rules'!$D$7:$D$26,MATCH(SUBSTITUTE(SUBSTITUTE(SUBSTITUTE(SUBSTITUTE("type:"&amp;B1019,"%","%25"),"~","%7E"),"*","%2A"),"?","%3F"),'Rules'!$G$7:$G$26,0)),"")</x:f>
      </x:c>
      <x:c r="N1019" s="5" t="str">
        <x:f>IF(COUNTA(A1019:F1019)=0,"",SUBSTITUTE(SUBSTITUTE(SUBSTITUTE(SUBSTITUTE("id:"&amp;A1019,"%","%25"),"~","%7E"),"*","%2A"),"?","%3F"))</x:f>
      </x:c>
    </x:row>
    <x:row r="1020" ht="22" customHeight="1">
      <x:c r="A1020" s="3"/>
      <x:c r="B1020" s="3"/>
      <x:c r="C1020" s="3"/>
      <x:c r="D1020" s="4"/>
      <x:c r="E1020" s="4"/>
      <x:c r="F1020" s="4"/>
      <x:c r="G1020" s="5" t="str">
        <x:f>IF(COUNTA(A1020:F1020)=0,"",IF(K1020&lt;&gt;"","Review",IF(I1020&lt;0,"Overdue",IF(I1020=0,"Due now",IF(I1020&lt;=M1020,"Due soon","Not due")))))</x:f>
      </x:c>
      <x:c r="H1020" s="5" t="str">
        <x:f>IF(OR(COUNTA(A1020:F1020)=0,COUNTIFS('Rules'!$G$7:$G$26,"="&amp;(SUBSTITUTE(SUBSTITUTE(SUBSTITUTE(SUBSTITUTE("type:"&amp;B1020,"%","%25"),"~","%7E"),"*","%2A"),"?","%3F")))&lt;&gt;1),"",IF(OR(INDEX('Rules'!$B$7:$B$26,MATCH(SUBSTITUTE(SUBSTITUTE(SUBSTITUTE(SUBSTITUTE("type:"&amp;B1020,"%","%25"),"~","%7E"),"*","%2A"),"?","%3F"),'Rules'!$G$7:$G$26,0))="hours",INDEX('Rules'!$B$7:$B$26,MATCH(SUBSTITUTE(SUBSTITUTE(SUBSTITUTE(SUBSTITUTE("type:"&amp;B1020,"%","%25"),"~","%7E"),"*","%2A"),"?","%3F"),'Rules'!$G$7:$G$26,0))="km"),INDEX('Rules'!$B$7:$B$26,MATCH(SUBSTITUTE(SUBSTITUTE(SUBSTITUTE(SUBSTITUTE("type:"&amp;B1020,"%","%25"),"~","%7E"),"*","%2A"),"?","%3F"),'Rules'!$G$7:$G$26,0)),""))</x:f>
      </x:c>
      <x:c r="I1020" s="6" t="str">
        <x:f>IF(AND(NOT(COUNTA(A1020:F1020)=0),K1020=""),ROUND(J1020-D1020,3),"")</x:f>
      </x:c>
      <x:c r="J1020" s="6" t="str">
        <x:f>IF(AND(NOT(COUNTA(A1020:F1020)=0),K1020=""),ROUND(F1020+L1020,3),"")</x:f>
      </x:c>
      <x:c r="K1020" s="5" t="str">
        <x:f>IF(COUNTA(A1020:F1020)=0,"",IF(A1020="","Missing equipment ID",IF(COUNTIFS($N$8:$N$2007,"="&amp;N1020)&gt;1,"Duplicate equipment ID",IF(B1020="","Missing type",IF(COUNTIFS('Rules'!$G$7:$G$26,"="&amp;(SUBSTITUTE(SUBSTITUTE(SUBSTITUTE(SUBSTITUTE("type:"&amp;B1020,"%","%25"),"~","%7E"),"*","%2A"),"?","%3F")))=0,"Unknown type",IF(COUNTIFS('Rules'!$G$7:$G$26,"="&amp;(SUBSTITUTE(SUBSTITUTE(SUBSTITUTE(SUBSTITUTE("type:"&amp;B1020,"%","%25"),"~","%7E"),"*","%2A"),"?","%3F")))&gt;1,"Duplicate type",IF(INDEX('Rules'!$F$7:$F$26,MATCH(SUBSTITUTE(SUBSTITUTE(SUBSTITUTE(SUBSTITUTE("type:"&amp;B1020,"%","%25"),"~","%7E"),"*","%2A"),"?","%3F"),'Rules'!$G$7:$G$26,0))&lt;&gt;"",INDEX('Rules'!$F$7:$F$26,MATCH(SUBSTITUTE(SUBSTITUTE(SUBSTITUTE(SUBSTITUTE("type:"&amp;B1020,"%","%25"),"~","%7E"),"*","%2A"),"?","%3F"),'Rules'!$G$7:$G$26,0)),IF(AND(C1020&lt;&gt;"",C1020&lt;&gt;INDEX('Rules'!$B$7:$B$26,MATCH(SUBSTITUTE(SUBSTITUTE(SUBSTITUTE(SUBSTITUTE("type:"&amp;B1020,"%","%25"),"~","%7E"),"*","%2A"),"?","%3F"),'Rules'!$G$7:$G$26,0))),"Unit mismatch",IF(IF(NOT(ISNUMBER(D1020)),TRUE,OR(D1020&lt;0,D1020&gt;999999999,ROUND(D1020,3)&lt;&gt;D1020)),"Invalid current reading",IF(AND(E1020&lt;&gt;"",IF(NOT(ISNUMBER(E1020)),TRUE,OR(E1020&lt;0,E1020&gt;999999999,ROUND(E1020,3)&lt;&gt;E1020))),"Invalid previous reading",IF(IF(NOT(ISNUMBER(F1020)),TRUE,OR(F1020&lt;0,F1020&gt;999999999,ROUND(F1020,3)&lt;&gt;F1020)),"Invalid last service",IF(AND(E1020&lt;&gt;"",D1020&lt;E1020),"Decreased reading",IF(F1020&gt;D1020,"Last service above current","")))))))))))))</x:f>
      </x:c>
      <x:c r="L1020" s="6" t="str">
        <x:f>IF(AND(NOT(COUNTA(A1020:F1020)=0),K1020=""),INDEX('Rules'!$C$7:$C$26,MATCH(SUBSTITUTE(SUBSTITUTE(SUBSTITUTE(SUBSTITUTE("type:"&amp;B1020,"%","%25"),"~","%7E"),"*","%2A"),"?","%3F"),'Rules'!$G$7:$G$26,0)),"")</x:f>
      </x:c>
      <x:c r="M1020" s="6" t="str">
        <x:f>IF(AND(NOT(COUNTA(A1020:F1020)=0),K1020=""),INDEX('Rules'!$D$7:$D$26,MATCH(SUBSTITUTE(SUBSTITUTE(SUBSTITUTE(SUBSTITUTE("type:"&amp;B1020,"%","%25"),"~","%7E"),"*","%2A"),"?","%3F"),'Rules'!$G$7:$G$26,0)),"")</x:f>
      </x:c>
      <x:c r="N1020" s="5" t="str">
        <x:f>IF(COUNTA(A1020:F1020)=0,"",SUBSTITUTE(SUBSTITUTE(SUBSTITUTE(SUBSTITUTE("id:"&amp;A1020,"%","%25"),"~","%7E"),"*","%2A"),"?","%3F"))</x:f>
      </x:c>
    </x:row>
    <x:row r="1021" ht="22" customHeight="1">
      <x:c r="A1021" s="3"/>
      <x:c r="B1021" s="3"/>
      <x:c r="C1021" s="3"/>
      <x:c r="D1021" s="4"/>
      <x:c r="E1021" s="4"/>
      <x:c r="F1021" s="4"/>
      <x:c r="G1021" s="5" t="str">
        <x:f>IF(COUNTA(A1021:F1021)=0,"",IF(K1021&lt;&gt;"","Review",IF(I1021&lt;0,"Overdue",IF(I1021=0,"Due now",IF(I1021&lt;=M1021,"Due soon","Not due")))))</x:f>
      </x:c>
      <x:c r="H1021" s="5" t="str">
        <x:f>IF(OR(COUNTA(A1021:F1021)=0,COUNTIFS('Rules'!$G$7:$G$26,"="&amp;(SUBSTITUTE(SUBSTITUTE(SUBSTITUTE(SUBSTITUTE("type:"&amp;B1021,"%","%25"),"~","%7E"),"*","%2A"),"?","%3F")))&lt;&gt;1),"",IF(OR(INDEX('Rules'!$B$7:$B$26,MATCH(SUBSTITUTE(SUBSTITUTE(SUBSTITUTE(SUBSTITUTE("type:"&amp;B1021,"%","%25"),"~","%7E"),"*","%2A"),"?","%3F"),'Rules'!$G$7:$G$26,0))="hours",INDEX('Rules'!$B$7:$B$26,MATCH(SUBSTITUTE(SUBSTITUTE(SUBSTITUTE(SUBSTITUTE("type:"&amp;B1021,"%","%25"),"~","%7E"),"*","%2A"),"?","%3F"),'Rules'!$G$7:$G$26,0))="km"),INDEX('Rules'!$B$7:$B$26,MATCH(SUBSTITUTE(SUBSTITUTE(SUBSTITUTE(SUBSTITUTE("type:"&amp;B1021,"%","%25"),"~","%7E"),"*","%2A"),"?","%3F"),'Rules'!$G$7:$G$26,0)),""))</x:f>
      </x:c>
      <x:c r="I1021" s="6" t="str">
        <x:f>IF(AND(NOT(COUNTA(A1021:F1021)=0),K1021=""),ROUND(J1021-D1021,3),"")</x:f>
      </x:c>
      <x:c r="J1021" s="6" t="str">
        <x:f>IF(AND(NOT(COUNTA(A1021:F1021)=0),K1021=""),ROUND(F1021+L1021,3),"")</x:f>
      </x:c>
      <x:c r="K1021" s="5" t="str">
        <x:f>IF(COUNTA(A1021:F1021)=0,"",IF(A1021="","Missing equipment ID",IF(COUNTIFS($N$8:$N$2007,"="&amp;N1021)&gt;1,"Duplicate equipment ID",IF(B1021="","Missing type",IF(COUNTIFS('Rules'!$G$7:$G$26,"="&amp;(SUBSTITUTE(SUBSTITUTE(SUBSTITUTE(SUBSTITUTE("type:"&amp;B1021,"%","%25"),"~","%7E"),"*","%2A"),"?","%3F")))=0,"Unknown type",IF(COUNTIFS('Rules'!$G$7:$G$26,"="&amp;(SUBSTITUTE(SUBSTITUTE(SUBSTITUTE(SUBSTITUTE("type:"&amp;B1021,"%","%25"),"~","%7E"),"*","%2A"),"?","%3F")))&gt;1,"Duplicate type",IF(INDEX('Rules'!$F$7:$F$26,MATCH(SUBSTITUTE(SUBSTITUTE(SUBSTITUTE(SUBSTITUTE("type:"&amp;B1021,"%","%25"),"~","%7E"),"*","%2A"),"?","%3F"),'Rules'!$G$7:$G$26,0))&lt;&gt;"",INDEX('Rules'!$F$7:$F$26,MATCH(SUBSTITUTE(SUBSTITUTE(SUBSTITUTE(SUBSTITUTE("type:"&amp;B1021,"%","%25"),"~","%7E"),"*","%2A"),"?","%3F"),'Rules'!$G$7:$G$26,0)),IF(AND(C1021&lt;&gt;"",C1021&lt;&gt;INDEX('Rules'!$B$7:$B$26,MATCH(SUBSTITUTE(SUBSTITUTE(SUBSTITUTE(SUBSTITUTE("type:"&amp;B1021,"%","%25"),"~","%7E"),"*","%2A"),"?","%3F"),'Rules'!$G$7:$G$26,0))),"Unit mismatch",IF(IF(NOT(ISNUMBER(D1021)),TRUE,OR(D1021&lt;0,D1021&gt;999999999,ROUND(D1021,3)&lt;&gt;D1021)),"Invalid current reading",IF(AND(E1021&lt;&gt;"",IF(NOT(ISNUMBER(E1021)),TRUE,OR(E1021&lt;0,E1021&gt;999999999,ROUND(E1021,3)&lt;&gt;E1021))),"Invalid previous reading",IF(IF(NOT(ISNUMBER(F1021)),TRUE,OR(F1021&lt;0,F1021&gt;999999999,ROUND(F1021,3)&lt;&gt;F1021)),"Invalid last service",IF(AND(E1021&lt;&gt;"",D1021&lt;E1021),"Decreased reading",IF(F1021&gt;D1021,"Last service above current","")))))))))))))</x:f>
      </x:c>
      <x:c r="L1021" s="6" t="str">
        <x:f>IF(AND(NOT(COUNTA(A1021:F1021)=0),K1021=""),INDEX('Rules'!$C$7:$C$26,MATCH(SUBSTITUTE(SUBSTITUTE(SUBSTITUTE(SUBSTITUTE("type:"&amp;B1021,"%","%25"),"~","%7E"),"*","%2A"),"?","%3F"),'Rules'!$G$7:$G$26,0)),"")</x:f>
      </x:c>
      <x:c r="M1021" s="6" t="str">
        <x:f>IF(AND(NOT(COUNTA(A1021:F1021)=0),K1021=""),INDEX('Rules'!$D$7:$D$26,MATCH(SUBSTITUTE(SUBSTITUTE(SUBSTITUTE(SUBSTITUTE("type:"&amp;B1021,"%","%25"),"~","%7E"),"*","%2A"),"?","%3F"),'Rules'!$G$7:$G$26,0)),"")</x:f>
      </x:c>
      <x:c r="N1021" s="5" t="str">
        <x:f>IF(COUNTA(A1021:F1021)=0,"",SUBSTITUTE(SUBSTITUTE(SUBSTITUTE(SUBSTITUTE("id:"&amp;A1021,"%","%25"),"~","%7E"),"*","%2A"),"?","%3F"))</x:f>
      </x:c>
    </x:row>
    <x:row r="1022" ht="22" customHeight="1">
      <x:c r="A1022" s="3"/>
      <x:c r="B1022" s="3"/>
      <x:c r="C1022" s="3"/>
      <x:c r="D1022" s="4"/>
      <x:c r="E1022" s="4"/>
      <x:c r="F1022" s="4"/>
      <x:c r="G1022" s="5" t="str">
        <x:f>IF(COUNTA(A1022:F1022)=0,"",IF(K1022&lt;&gt;"","Review",IF(I1022&lt;0,"Overdue",IF(I1022=0,"Due now",IF(I1022&lt;=M1022,"Due soon","Not due")))))</x:f>
      </x:c>
      <x:c r="H1022" s="5" t="str">
        <x:f>IF(OR(COUNTA(A1022:F1022)=0,COUNTIFS('Rules'!$G$7:$G$26,"="&amp;(SUBSTITUTE(SUBSTITUTE(SUBSTITUTE(SUBSTITUTE("type:"&amp;B1022,"%","%25"),"~","%7E"),"*","%2A"),"?","%3F")))&lt;&gt;1),"",IF(OR(INDEX('Rules'!$B$7:$B$26,MATCH(SUBSTITUTE(SUBSTITUTE(SUBSTITUTE(SUBSTITUTE("type:"&amp;B1022,"%","%25"),"~","%7E"),"*","%2A"),"?","%3F"),'Rules'!$G$7:$G$26,0))="hours",INDEX('Rules'!$B$7:$B$26,MATCH(SUBSTITUTE(SUBSTITUTE(SUBSTITUTE(SUBSTITUTE("type:"&amp;B1022,"%","%25"),"~","%7E"),"*","%2A"),"?","%3F"),'Rules'!$G$7:$G$26,0))="km"),INDEX('Rules'!$B$7:$B$26,MATCH(SUBSTITUTE(SUBSTITUTE(SUBSTITUTE(SUBSTITUTE("type:"&amp;B1022,"%","%25"),"~","%7E"),"*","%2A"),"?","%3F"),'Rules'!$G$7:$G$26,0)),""))</x:f>
      </x:c>
      <x:c r="I1022" s="6" t="str">
        <x:f>IF(AND(NOT(COUNTA(A1022:F1022)=0),K1022=""),ROUND(J1022-D1022,3),"")</x:f>
      </x:c>
      <x:c r="J1022" s="6" t="str">
        <x:f>IF(AND(NOT(COUNTA(A1022:F1022)=0),K1022=""),ROUND(F1022+L1022,3),"")</x:f>
      </x:c>
      <x:c r="K1022" s="5" t="str">
        <x:f>IF(COUNTA(A1022:F1022)=0,"",IF(A1022="","Missing equipment ID",IF(COUNTIFS($N$8:$N$2007,"="&amp;N1022)&gt;1,"Duplicate equipment ID",IF(B1022="","Missing type",IF(COUNTIFS('Rules'!$G$7:$G$26,"="&amp;(SUBSTITUTE(SUBSTITUTE(SUBSTITUTE(SUBSTITUTE("type:"&amp;B1022,"%","%25"),"~","%7E"),"*","%2A"),"?","%3F")))=0,"Unknown type",IF(COUNTIFS('Rules'!$G$7:$G$26,"="&amp;(SUBSTITUTE(SUBSTITUTE(SUBSTITUTE(SUBSTITUTE("type:"&amp;B1022,"%","%25"),"~","%7E"),"*","%2A"),"?","%3F")))&gt;1,"Duplicate type",IF(INDEX('Rules'!$F$7:$F$26,MATCH(SUBSTITUTE(SUBSTITUTE(SUBSTITUTE(SUBSTITUTE("type:"&amp;B1022,"%","%25"),"~","%7E"),"*","%2A"),"?","%3F"),'Rules'!$G$7:$G$26,0))&lt;&gt;"",INDEX('Rules'!$F$7:$F$26,MATCH(SUBSTITUTE(SUBSTITUTE(SUBSTITUTE(SUBSTITUTE("type:"&amp;B1022,"%","%25"),"~","%7E"),"*","%2A"),"?","%3F"),'Rules'!$G$7:$G$26,0)),IF(AND(C1022&lt;&gt;"",C1022&lt;&gt;INDEX('Rules'!$B$7:$B$26,MATCH(SUBSTITUTE(SUBSTITUTE(SUBSTITUTE(SUBSTITUTE("type:"&amp;B1022,"%","%25"),"~","%7E"),"*","%2A"),"?","%3F"),'Rules'!$G$7:$G$26,0))),"Unit mismatch",IF(IF(NOT(ISNUMBER(D1022)),TRUE,OR(D1022&lt;0,D1022&gt;999999999,ROUND(D1022,3)&lt;&gt;D1022)),"Invalid current reading",IF(AND(E1022&lt;&gt;"",IF(NOT(ISNUMBER(E1022)),TRUE,OR(E1022&lt;0,E1022&gt;999999999,ROUND(E1022,3)&lt;&gt;E1022))),"Invalid previous reading",IF(IF(NOT(ISNUMBER(F1022)),TRUE,OR(F1022&lt;0,F1022&gt;999999999,ROUND(F1022,3)&lt;&gt;F1022)),"Invalid last service",IF(AND(E1022&lt;&gt;"",D1022&lt;E1022),"Decreased reading",IF(F1022&gt;D1022,"Last service above current","")))))))))))))</x:f>
      </x:c>
      <x:c r="L1022" s="6" t="str">
        <x:f>IF(AND(NOT(COUNTA(A1022:F1022)=0),K1022=""),INDEX('Rules'!$C$7:$C$26,MATCH(SUBSTITUTE(SUBSTITUTE(SUBSTITUTE(SUBSTITUTE("type:"&amp;B1022,"%","%25"),"~","%7E"),"*","%2A"),"?","%3F"),'Rules'!$G$7:$G$26,0)),"")</x:f>
      </x:c>
      <x:c r="M1022" s="6" t="str">
        <x:f>IF(AND(NOT(COUNTA(A1022:F1022)=0),K1022=""),INDEX('Rules'!$D$7:$D$26,MATCH(SUBSTITUTE(SUBSTITUTE(SUBSTITUTE(SUBSTITUTE("type:"&amp;B1022,"%","%25"),"~","%7E"),"*","%2A"),"?","%3F"),'Rules'!$G$7:$G$26,0)),"")</x:f>
      </x:c>
      <x:c r="N1022" s="5" t="str">
        <x:f>IF(COUNTA(A1022:F1022)=0,"",SUBSTITUTE(SUBSTITUTE(SUBSTITUTE(SUBSTITUTE("id:"&amp;A1022,"%","%25"),"~","%7E"),"*","%2A"),"?","%3F"))</x:f>
      </x:c>
    </x:row>
    <x:row r="1023" ht="22" customHeight="1">
      <x:c r="A1023" s="3"/>
      <x:c r="B1023" s="3"/>
      <x:c r="C1023" s="3"/>
      <x:c r="D1023" s="4"/>
      <x:c r="E1023" s="4"/>
      <x:c r="F1023" s="4"/>
      <x:c r="G1023" s="5" t="str">
        <x:f>IF(COUNTA(A1023:F1023)=0,"",IF(K1023&lt;&gt;"","Review",IF(I1023&lt;0,"Overdue",IF(I1023=0,"Due now",IF(I1023&lt;=M1023,"Due soon","Not due")))))</x:f>
      </x:c>
      <x:c r="H1023" s="5" t="str">
        <x:f>IF(OR(COUNTA(A1023:F1023)=0,COUNTIFS('Rules'!$G$7:$G$26,"="&amp;(SUBSTITUTE(SUBSTITUTE(SUBSTITUTE(SUBSTITUTE("type:"&amp;B1023,"%","%25"),"~","%7E"),"*","%2A"),"?","%3F")))&lt;&gt;1),"",IF(OR(INDEX('Rules'!$B$7:$B$26,MATCH(SUBSTITUTE(SUBSTITUTE(SUBSTITUTE(SUBSTITUTE("type:"&amp;B1023,"%","%25"),"~","%7E"),"*","%2A"),"?","%3F"),'Rules'!$G$7:$G$26,0))="hours",INDEX('Rules'!$B$7:$B$26,MATCH(SUBSTITUTE(SUBSTITUTE(SUBSTITUTE(SUBSTITUTE("type:"&amp;B1023,"%","%25"),"~","%7E"),"*","%2A"),"?","%3F"),'Rules'!$G$7:$G$26,0))="km"),INDEX('Rules'!$B$7:$B$26,MATCH(SUBSTITUTE(SUBSTITUTE(SUBSTITUTE(SUBSTITUTE("type:"&amp;B1023,"%","%25"),"~","%7E"),"*","%2A"),"?","%3F"),'Rules'!$G$7:$G$26,0)),""))</x:f>
      </x:c>
      <x:c r="I1023" s="6" t="str">
        <x:f>IF(AND(NOT(COUNTA(A1023:F1023)=0),K1023=""),ROUND(J1023-D1023,3),"")</x:f>
      </x:c>
      <x:c r="J1023" s="6" t="str">
        <x:f>IF(AND(NOT(COUNTA(A1023:F1023)=0),K1023=""),ROUND(F1023+L1023,3),"")</x:f>
      </x:c>
      <x:c r="K1023" s="5" t="str">
        <x:f>IF(COUNTA(A1023:F1023)=0,"",IF(A1023="","Missing equipment ID",IF(COUNTIFS($N$8:$N$2007,"="&amp;N1023)&gt;1,"Duplicate equipment ID",IF(B1023="","Missing type",IF(COUNTIFS('Rules'!$G$7:$G$26,"="&amp;(SUBSTITUTE(SUBSTITUTE(SUBSTITUTE(SUBSTITUTE("type:"&amp;B1023,"%","%25"),"~","%7E"),"*","%2A"),"?","%3F")))=0,"Unknown type",IF(COUNTIFS('Rules'!$G$7:$G$26,"="&amp;(SUBSTITUTE(SUBSTITUTE(SUBSTITUTE(SUBSTITUTE("type:"&amp;B1023,"%","%25"),"~","%7E"),"*","%2A"),"?","%3F")))&gt;1,"Duplicate type",IF(INDEX('Rules'!$F$7:$F$26,MATCH(SUBSTITUTE(SUBSTITUTE(SUBSTITUTE(SUBSTITUTE("type:"&amp;B1023,"%","%25"),"~","%7E"),"*","%2A"),"?","%3F"),'Rules'!$G$7:$G$26,0))&lt;&gt;"",INDEX('Rules'!$F$7:$F$26,MATCH(SUBSTITUTE(SUBSTITUTE(SUBSTITUTE(SUBSTITUTE("type:"&amp;B1023,"%","%25"),"~","%7E"),"*","%2A"),"?","%3F"),'Rules'!$G$7:$G$26,0)),IF(AND(C1023&lt;&gt;"",C1023&lt;&gt;INDEX('Rules'!$B$7:$B$26,MATCH(SUBSTITUTE(SUBSTITUTE(SUBSTITUTE(SUBSTITUTE("type:"&amp;B1023,"%","%25"),"~","%7E"),"*","%2A"),"?","%3F"),'Rules'!$G$7:$G$26,0))),"Unit mismatch",IF(IF(NOT(ISNUMBER(D1023)),TRUE,OR(D1023&lt;0,D1023&gt;999999999,ROUND(D1023,3)&lt;&gt;D1023)),"Invalid current reading",IF(AND(E1023&lt;&gt;"",IF(NOT(ISNUMBER(E1023)),TRUE,OR(E1023&lt;0,E1023&gt;999999999,ROUND(E1023,3)&lt;&gt;E1023))),"Invalid previous reading",IF(IF(NOT(ISNUMBER(F1023)),TRUE,OR(F1023&lt;0,F1023&gt;999999999,ROUND(F1023,3)&lt;&gt;F1023)),"Invalid last service",IF(AND(E1023&lt;&gt;"",D1023&lt;E1023),"Decreased reading",IF(F1023&gt;D1023,"Last service above current","")))))))))))))</x:f>
      </x:c>
      <x:c r="L1023" s="6" t="str">
        <x:f>IF(AND(NOT(COUNTA(A1023:F1023)=0),K1023=""),INDEX('Rules'!$C$7:$C$26,MATCH(SUBSTITUTE(SUBSTITUTE(SUBSTITUTE(SUBSTITUTE("type:"&amp;B1023,"%","%25"),"~","%7E"),"*","%2A"),"?","%3F"),'Rules'!$G$7:$G$26,0)),"")</x:f>
      </x:c>
      <x:c r="M1023" s="6" t="str">
        <x:f>IF(AND(NOT(COUNTA(A1023:F1023)=0),K1023=""),INDEX('Rules'!$D$7:$D$26,MATCH(SUBSTITUTE(SUBSTITUTE(SUBSTITUTE(SUBSTITUTE("type:"&amp;B1023,"%","%25"),"~","%7E"),"*","%2A"),"?","%3F"),'Rules'!$G$7:$G$26,0)),"")</x:f>
      </x:c>
      <x:c r="N1023" s="5" t="str">
        <x:f>IF(COUNTA(A1023:F1023)=0,"",SUBSTITUTE(SUBSTITUTE(SUBSTITUTE(SUBSTITUTE("id:"&amp;A1023,"%","%25"),"~","%7E"),"*","%2A"),"?","%3F"))</x:f>
      </x:c>
    </x:row>
    <x:row r="1024" ht="22" customHeight="1">
      <x:c r="A1024" s="3"/>
      <x:c r="B1024" s="3"/>
      <x:c r="C1024" s="3"/>
      <x:c r="D1024" s="4"/>
      <x:c r="E1024" s="4"/>
      <x:c r="F1024" s="4"/>
      <x:c r="G1024" s="5" t="str">
        <x:f>IF(COUNTA(A1024:F1024)=0,"",IF(K1024&lt;&gt;"","Review",IF(I1024&lt;0,"Overdue",IF(I1024=0,"Due now",IF(I1024&lt;=M1024,"Due soon","Not due")))))</x:f>
      </x:c>
      <x:c r="H1024" s="5" t="str">
        <x:f>IF(OR(COUNTA(A1024:F1024)=0,COUNTIFS('Rules'!$G$7:$G$26,"="&amp;(SUBSTITUTE(SUBSTITUTE(SUBSTITUTE(SUBSTITUTE("type:"&amp;B1024,"%","%25"),"~","%7E"),"*","%2A"),"?","%3F")))&lt;&gt;1),"",IF(OR(INDEX('Rules'!$B$7:$B$26,MATCH(SUBSTITUTE(SUBSTITUTE(SUBSTITUTE(SUBSTITUTE("type:"&amp;B1024,"%","%25"),"~","%7E"),"*","%2A"),"?","%3F"),'Rules'!$G$7:$G$26,0))="hours",INDEX('Rules'!$B$7:$B$26,MATCH(SUBSTITUTE(SUBSTITUTE(SUBSTITUTE(SUBSTITUTE("type:"&amp;B1024,"%","%25"),"~","%7E"),"*","%2A"),"?","%3F"),'Rules'!$G$7:$G$26,0))="km"),INDEX('Rules'!$B$7:$B$26,MATCH(SUBSTITUTE(SUBSTITUTE(SUBSTITUTE(SUBSTITUTE("type:"&amp;B1024,"%","%25"),"~","%7E"),"*","%2A"),"?","%3F"),'Rules'!$G$7:$G$26,0)),""))</x:f>
      </x:c>
      <x:c r="I1024" s="6" t="str">
        <x:f>IF(AND(NOT(COUNTA(A1024:F1024)=0),K1024=""),ROUND(J1024-D1024,3),"")</x:f>
      </x:c>
      <x:c r="J1024" s="6" t="str">
        <x:f>IF(AND(NOT(COUNTA(A1024:F1024)=0),K1024=""),ROUND(F1024+L1024,3),"")</x:f>
      </x:c>
      <x:c r="K1024" s="5" t="str">
        <x:f>IF(COUNTA(A1024:F1024)=0,"",IF(A1024="","Missing equipment ID",IF(COUNTIFS($N$8:$N$2007,"="&amp;N1024)&gt;1,"Duplicate equipment ID",IF(B1024="","Missing type",IF(COUNTIFS('Rules'!$G$7:$G$26,"="&amp;(SUBSTITUTE(SUBSTITUTE(SUBSTITUTE(SUBSTITUTE("type:"&amp;B1024,"%","%25"),"~","%7E"),"*","%2A"),"?","%3F")))=0,"Unknown type",IF(COUNTIFS('Rules'!$G$7:$G$26,"="&amp;(SUBSTITUTE(SUBSTITUTE(SUBSTITUTE(SUBSTITUTE("type:"&amp;B1024,"%","%25"),"~","%7E"),"*","%2A"),"?","%3F")))&gt;1,"Duplicate type",IF(INDEX('Rules'!$F$7:$F$26,MATCH(SUBSTITUTE(SUBSTITUTE(SUBSTITUTE(SUBSTITUTE("type:"&amp;B1024,"%","%25"),"~","%7E"),"*","%2A"),"?","%3F"),'Rules'!$G$7:$G$26,0))&lt;&gt;"",INDEX('Rules'!$F$7:$F$26,MATCH(SUBSTITUTE(SUBSTITUTE(SUBSTITUTE(SUBSTITUTE("type:"&amp;B1024,"%","%25"),"~","%7E"),"*","%2A"),"?","%3F"),'Rules'!$G$7:$G$26,0)),IF(AND(C1024&lt;&gt;"",C1024&lt;&gt;INDEX('Rules'!$B$7:$B$26,MATCH(SUBSTITUTE(SUBSTITUTE(SUBSTITUTE(SUBSTITUTE("type:"&amp;B1024,"%","%25"),"~","%7E"),"*","%2A"),"?","%3F"),'Rules'!$G$7:$G$26,0))),"Unit mismatch",IF(IF(NOT(ISNUMBER(D1024)),TRUE,OR(D1024&lt;0,D1024&gt;999999999,ROUND(D1024,3)&lt;&gt;D1024)),"Invalid current reading",IF(AND(E1024&lt;&gt;"",IF(NOT(ISNUMBER(E1024)),TRUE,OR(E1024&lt;0,E1024&gt;999999999,ROUND(E1024,3)&lt;&gt;E1024))),"Invalid previous reading",IF(IF(NOT(ISNUMBER(F1024)),TRUE,OR(F1024&lt;0,F1024&gt;999999999,ROUND(F1024,3)&lt;&gt;F1024)),"Invalid last service",IF(AND(E1024&lt;&gt;"",D1024&lt;E1024),"Decreased reading",IF(F1024&gt;D1024,"Last service above current","")))))))))))))</x:f>
      </x:c>
      <x:c r="L1024" s="6" t="str">
        <x:f>IF(AND(NOT(COUNTA(A1024:F1024)=0),K1024=""),INDEX('Rules'!$C$7:$C$26,MATCH(SUBSTITUTE(SUBSTITUTE(SUBSTITUTE(SUBSTITUTE("type:"&amp;B1024,"%","%25"),"~","%7E"),"*","%2A"),"?","%3F"),'Rules'!$G$7:$G$26,0)),"")</x:f>
      </x:c>
      <x:c r="M1024" s="6" t="str">
        <x:f>IF(AND(NOT(COUNTA(A1024:F1024)=0),K1024=""),INDEX('Rules'!$D$7:$D$26,MATCH(SUBSTITUTE(SUBSTITUTE(SUBSTITUTE(SUBSTITUTE("type:"&amp;B1024,"%","%25"),"~","%7E"),"*","%2A"),"?","%3F"),'Rules'!$G$7:$G$26,0)),"")</x:f>
      </x:c>
      <x:c r="N1024" s="5" t="str">
        <x:f>IF(COUNTA(A1024:F1024)=0,"",SUBSTITUTE(SUBSTITUTE(SUBSTITUTE(SUBSTITUTE("id:"&amp;A1024,"%","%25"),"~","%7E"),"*","%2A"),"?","%3F"))</x:f>
      </x:c>
    </x:row>
    <x:row r="1025" ht="22" customHeight="1">
      <x:c r="A1025" s="3"/>
      <x:c r="B1025" s="3"/>
      <x:c r="C1025" s="3"/>
      <x:c r="D1025" s="4"/>
      <x:c r="E1025" s="4"/>
      <x:c r="F1025" s="4"/>
      <x:c r="G1025" s="5" t="str">
        <x:f>IF(COUNTA(A1025:F1025)=0,"",IF(K1025&lt;&gt;"","Review",IF(I1025&lt;0,"Overdue",IF(I1025=0,"Due now",IF(I1025&lt;=M1025,"Due soon","Not due")))))</x:f>
      </x:c>
      <x:c r="H1025" s="5" t="str">
        <x:f>IF(OR(COUNTA(A1025:F1025)=0,COUNTIFS('Rules'!$G$7:$G$26,"="&amp;(SUBSTITUTE(SUBSTITUTE(SUBSTITUTE(SUBSTITUTE("type:"&amp;B1025,"%","%25"),"~","%7E"),"*","%2A"),"?","%3F")))&lt;&gt;1),"",IF(OR(INDEX('Rules'!$B$7:$B$26,MATCH(SUBSTITUTE(SUBSTITUTE(SUBSTITUTE(SUBSTITUTE("type:"&amp;B1025,"%","%25"),"~","%7E"),"*","%2A"),"?","%3F"),'Rules'!$G$7:$G$26,0))="hours",INDEX('Rules'!$B$7:$B$26,MATCH(SUBSTITUTE(SUBSTITUTE(SUBSTITUTE(SUBSTITUTE("type:"&amp;B1025,"%","%25"),"~","%7E"),"*","%2A"),"?","%3F"),'Rules'!$G$7:$G$26,0))="km"),INDEX('Rules'!$B$7:$B$26,MATCH(SUBSTITUTE(SUBSTITUTE(SUBSTITUTE(SUBSTITUTE("type:"&amp;B1025,"%","%25"),"~","%7E"),"*","%2A"),"?","%3F"),'Rules'!$G$7:$G$26,0)),""))</x:f>
      </x:c>
      <x:c r="I1025" s="6" t="str">
        <x:f>IF(AND(NOT(COUNTA(A1025:F1025)=0),K1025=""),ROUND(J1025-D1025,3),"")</x:f>
      </x:c>
      <x:c r="J1025" s="6" t="str">
        <x:f>IF(AND(NOT(COUNTA(A1025:F1025)=0),K1025=""),ROUND(F1025+L1025,3),"")</x:f>
      </x:c>
      <x:c r="K1025" s="5" t="str">
        <x:f>IF(COUNTA(A1025:F1025)=0,"",IF(A1025="","Missing equipment ID",IF(COUNTIFS($N$8:$N$2007,"="&amp;N1025)&gt;1,"Duplicate equipment ID",IF(B1025="","Missing type",IF(COUNTIFS('Rules'!$G$7:$G$26,"="&amp;(SUBSTITUTE(SUBSTITUTE(SUBSTITUTE(SUBSTITUTE("type:"&amp;B1025,"%","%25"),"~","%7E"),"*","%2A"),"?","%3F")))=0,"Unknown type",IF(COUNTIFS('Rules'!$G$7:$G$26,"="&amp;(SUBSTITUTE(SUBSTITUTE(SUBSTITUTE(SUBSTITUTE("type:"&amp;B1025,"%","%25"),"~","%7E"),"*","%2A"),"?","%3F")))&gt;1,"Duplicate type",IF(INDEX('Rules'!$F$7:$F$26,MATCH(SUBSTITUTE(SUBSTITUTE(SUBSTITUTE(SUBSTITUTE("type:"&amp;B1025,"%","%25"),"~","%7E"),"*","%2A"),"?","%3F"),'Rules'!$G$7:$G$26,0))&lt;&gt;"",INDEX('Rules'!$F$7:$F$26,MATCH(SUBSTITUTE(SUBSTITUTE(SUBSTITUTE(SUBSTITUTE("type:"&amp;B1025,"%","%25"),"~","%7E"),"*","%2A"),"?","%3F"),'Rules'!$G$7:$G$26,0)),IF(AND(C1025&lt;&gt;"",C1025&lt;&gt;INDEX('Rules'!$B$7:$B$26,MATCH(SUBSTITUTE(SUBSTITUTE(SUBSTITUTE(SUBSTITUTE("type:"&amp;B1025,"%","%25"),"~","%7E"),"*","%2A"),"?","%3F"),'Rules'!$G$7:$G$26,0))),"Unit mismatch",IF(IF(NOT(ISNUMBER(D1025)),TRUE,OR(D1025&lt;0,D1025&gt;999999999,ROUND(D1025,3)&lt;&gt;D1025)),"Invalid current reading",IF(AND(E1025&lt;&gt;"",IF(NOT(ISNUMBER(E1025)),TRUE,OR(E1025&lt;0,E1025&gt;999999999,ROUND(E1025,3)&lt;&gt;E1025))),"Invalid previous reading",IF(IF(NOT(ISNUMBER(F1025)),TRUE,OR(F1025&lt;0,F1025&gt;999999999,ROUND(F1025,3)&lt;&gt;F1025)),"Invalid last service",IF(AND(E1025&lt;&gt;"",D1025&lt;E1025),"Decreased reading",IF(F1025&gt;D1025,"Last service above current","")))))))))))))</x:f>
      </x:c>
      <x:c r="L1025" s="6" t="str">
        <x:f>IF(AND(NOT(COUNTA(A1025:F1025)=0),K1025=""),INDEX('Rules'!$C$7:$C$26,MATCH(SUBSTITUTE(SUBSTITUTE(SUBSTITUTE(SUBSTITUTE("type:"&amp;B1025,"%","%25"),"~","%7E"),"*","%2A"),"?","%3F"),'Rules'!$G$7:$G$26,0)),"")</x:f>
      </x:c>
      <x:c r="M1025" s="6" t="str">
        <x:f>IF(AND(NOT(COUNTA(A1025:F1025)=0),K1025=""),INDEX('Rules'!$D$7:$D$26,MATCH(SUBSTITUTE(SUBSTITUTE(SUBSTITUTE(SUBSTITUTE("type:"&amp;B1025,"%","%25"),"~","%7E"),"*","%2A"),"?","%3F"),'Rules'!$G$7:$G$26,0)),"")</x:f>
      </x:c>
      <x:c r="N1025" s="5" t="str">
        <x:f>IF(COUNTA(A1025:F1025)=0,"",SUBSTITUTE(SUBSTITUTE(SUBSTITUTE(SUBSTITUTE("id:"&amp;A1025,"%","%25"),"~","%7E"),"*","%2A"),"?","%3F"))</x:f>
      </x:c>
    </x:row>
    <x:row r="1026" ht="22" customHeight="1">
      <x:c r="A1026" s="3"/>
      <x:c r="B1026" s="3"/>
      <x:c r="C1026" s="3"/>
      <x:c r="D1026" s="4"/>
      <x:c r="E1026" s="4"/>
      <x:c r="F1026" s="4"/>
      <x:c r="G1026" s="5" t="str">
        <x:f>IF(COUNTA(A1026:F1026)=0,"",IF(K1026&lt;&gt;"","Review",IF(I1026&lt;0,"Overdue",IF(I1026=0,"Due now",IF(I1026&lt;=M1026,"Due soon","Not due")))))</x:f>
      </x:c>
      <x:c r="H1026" s="5" t="str">
        <x:f>IF(OR(COUNTA(A1026:F1026)=0,COUNTIFS('Rules'!$G$7:$G$26,"="&amp;(SUBSTITUTE(SUBSTITUTE(SUBSTITUTE(SUBSTITUTE("type:"&amp;B1026,"%","%25"),"~","%7E"),"*","%2A"),"?","%3F")))&lt;&gt;1),"",IF(OR(INDEX('Rules'!$B$7:$B$26,MATCH(SUBSTITUTE(SUBSTITUTE(SUBSTITUTE(SUBSTITUTE("type:"&amp;B1026,"%","%25"),"~","%7E"),"*","%2A"),"?","%3F"),'Rules'!$G$7:$G$26,0))="hours",INDEX('Rules'!$B$7:$B$26,MATCH(SUBSTITUTE(SUBSTITUTE(SUBSTITUTE(SUBSTITUTE("type:"&amp;B1026,"%","%25"),"~","%7E"),"*","%2A"),"?","%3F"),'Rules'!$G$7:$G$26,0))="km"),INDEX('Rules'!$B$7:$B$26,MATCH(SUBSTITUTE(SUBSTITUTE(SUBSTITUTE(SUBSTITUTE("type:"&amp;B1026,"%","%25"),"~","%7E"),"*","%2A"),"?","%3F"),'Rules'!$G$7:$G$26,0)),""))</x:f>
      </x:c>
      <x:c r="I1026" s="6" t="str">
        <x:f>IF(AND(NOT(COUNTA(A1026:F1026)=0),K1026=""),ROUND(J1026-D1026,3),"")</x:f>
      </x:c>
      <x:c r="J1026" s="6" t="str">
        <x:f>IF(AND(NOT(COUNTA(A1026:F1026)=0),K1026=""),ROUND(F1026+L1026,3),"")</x:f>
      </x:c>
      <x:c r="K1026" s="5" t="str">
        <x:f>IF(COUNTA(A1026:F1026)=0,"",IF(A1026="","Missing equipment ID",IF(COUNTIFS($N$8:$N$2007,"="&amp;N1026)&gt;1,"Duplicate equipment ID",IF(B1026="","Missing type",IF(COUNTIFS('Rules'!$G$7:$G$26,"="&amp;(SUBSTITUTE(SUBSTITUTE(SUBSTITUTE(SUBSTITUTE("type:"&amp;B1026,"%","%25"),"~","%7E"),"*","%2A"),"?","%3F")))=0,"Unknown type",IF(COUNTIFS('Rules'!$G$7:$G$26,"="&amp;(SUBSTITUTE(SUBSTITUTE(SUBSTITUTE(SUBSTITUTE("type:"&amp;B1026,"%","%25"),"~","%7E"),"*","%2A"),"?","%3F")))&gt;1,"Duplicate type",IF(INDEX('Rules'!$F$7:$F$26,MATCH(SUBSTITUTE(SUBSTITUTE(SUBSTITUTE(SUBSTITUTE("type:"&amp;B1026,"%","%25"),"~","%7E"),"*","%2A"),"?","%3F"),'Rules'!$G$7:$G$26,0))&lt;&gt;"",INDEX('Rules'!$F$7:$F$26,MATCH(SUBSTITUTE(SUBSTITUTE(SUBSTITUTE(SUBSTITUTE("type:"&amp;B1026,"%","%25"),"~","%7E"),"*","%2A"),"?","%3F"),'Rules'!$G$7:$G$26,0)),IF(AND(C1026&lt;&gt;"",C1026&lt;&gt;INDEX('Rules'!$B$7:$B$26,MATCH(SUBSTITUTE(SUBSTITUTE(SUBSTITUTE(SUBSTITUTE("type:"&amp;B1026,"%","%25"),"~","%7E"),"*","%2A"),"?","%3F"),'Rules'!$G$7:$G$26,0))),"Unit mismatch",IF(IF(NOT(ISNUMBER(D1026)),TRUE,OR(D1026&lt;0,D1026&gt;999999999,ROUND(D1026,3)&lt;&gt;D1026)),"Invalid current reading",IF(AND(E1026&lt;&gt;"",IF(NOT(ISNUMBER(E1026)),TRUE,OR(E1026&lt;0,E1026&gt;999999999,ROUND(E1026,3)&lt;&gt;E1026))),"Invalid previous reading",IF(IF(NOT(ISNUMBER(F1026)),TRUE,OR(F1026&lt;0,F1026&gt;999999999,ROUND(F1026,3)&lt;&gt;F1026)),"Invalid last service",IF(AND(E1026&lt;&gt;"",D1026&lt;E1026),"Decreased reading",IF(F1026&gt;D1026,"Last service above current","")))))))))))))</x:f>
      </x:c>
      <x:c r="L1026" s="6" t="str">
        <x:f>IF(AND(NOT(COUNTA(A1026:F1026)=0),K1026=""),INDEX('Rules'!$C$7:$C$26,MATCH(SUBSTITUTE(SUBSTITUTE(SUBSTITUTE(SUBSTITUTE("type:"&amp;B1026,"%","%25"),"~","%7E"),"*","%2A"),"?","%3F"),'Rules'!$G$7:$G$26,0)),"")</x:f>
      </x:c>
      <x:c r="M1026" s="6" t="str">
        <x:f>IF(AND(NOT(COUNTA(A1026:F1026)=0),K1026=""),INDEX('Rules'!$D$7:$D$26,MATCH(SUBSTITUTE(SUBSTITUTE(SUBSTITUTE(SUBSTITUTE("type:"&amp;B1026,"%","%25"),"~","%7E"),"*","%2A"),"?","%3F"),'Rules'!$G$7:$G$26,0)),"")</x:f>
      </x:c>
      <x:c r="N1026" s="5" t="str">
        <x:f>IF(COUNTA(A1026:F1026)=0,"",SUBSTITUTE(SUBSTITUTE(SUBSTITUTE(SUBSTITUTE("id:"&amp;A1026,"%","%25"),"~","%7E"),"*","%2A"),"?","%3F"))</x:f>
      </x:c>
    </x:row>
    <x:row r="1027" ht="22" customHeight="1">
      <x:c r="A1027" s="3"/>
      <x:c r="B1027" s="3"/>
      <x:c r="C1027" s="3"/>
      <x:c r="D1027" s="4"/>
      <x:c r="E1027" s="4"/>
      <x:c r="F1027" s="4"/>
      <x:c r="G1027" s="5" t="str">
        <x:f>IF(COUNTA(A1027:F1027)=0,"",IF(K1027&lt;&gt;"","Review",IF(I1027&lt;0,"Overdue",IF(I1027=0,"Due now",IF(I1027&lt;=M1027,"Due soon","Not due")))))</x:f>
      </x:c>
      <x:c r="H1027" s="5" t="str">
        <x:f>IF(OR(COUNTA(A1027:F1027)=0,COUNTIFS('Rules'!$G$7:$G$26,"="&amp;(SUBSTITUTE(SUBSTITUTE(SUBSTITUTE(SUBSTITUTE("type:"&amp;B1027,"%","%25"),"~","%7E"),"*","%2A"),"?","%3F")))&lt;&gt;1),"",IF(OR(INDEX('Rules'!$B$7:$B$26,MATCH(SUBSTITUTE(SUBSTITUTE(SUBSTITUTE(SUBSTITUTE("type:"&amp;B1027,"%","%25"),"~","%7E"),"*","%2A"),"?","%3F"),'Rules'!$G$7:$G$26,0))="hours",INDEX('Rules'!$B$7:$B$26,MATCH(SUBSTITUTE(SUBSTITUTE(SUBSTITUTE(SUBSTITUTE("type:"&amp;B1027,"%","%25"),"~","%7E"),"*","%2A"),"?","%3F"),'Rules'!$G$7:$G$26,0))="km"),INDEX('Rules'!$B$7:$B$26,MATCH(SUBSTITUTE(SUBSTITUTE(SUBSTITUTE(SUBSTITUTE("type:"&amp;B1027,"%","%25"),"~","%7E"),"*","%2A"),"?","%3F"),'Rules'!$G$7:$G$26,0)),""))</x:f>
      </x:c>
      <x:c r="I1027" s="6" t="str">
        <x:f>IF(AND(NOT(COUNTA(A1027:F1027)=0),K1027=""),ROUND(J1027-D1027,3),"")</x:f>
      </x:c>
      <x:c r="J1027" s="6" t="str">
        <x:f>IF(AND(NOT(COUNTA(A1027:F1027)=0),K1027=""),ROUND(F1027+L1027,3),"")</x:f>
      </x:c>
      <x:c r="K1027" s="5" t="str">
        <x:f>IF(COUNTA(A1027:F1027)=0,"",IF(A1027="","Missing equipment ID",IF(COUNTIFS($N$8:$N$2007,"="&amp;N1027)&gt;1,"Duplicate equipment ID",IF(B1027="","Missing type",IF(COUNTIFS('Rules'!$G$7:$G$26,"="&amp;(SUBSTITUTE(SUBSTITUTE(SUBSTITUTE(SUBSTITUTE("type:"&amp;B1027,"%","%25"),"~","%7E"),"*","%2A"),"?","%3F")))=0,"Unknown type",IF(COUNTIFS('Rules'!$G$7:$G$26,"="&amp;(SUBSTITUTE(SUBSTITUTE(SUBSTITUTE(SUBSTITUTE("type:"&amp;B1027,"%","%25"),"~","%7E"),"*","%2A"),"?","%3F")))&gt;1,"Duplicate type",IF(INDEX('Rules'!$F$7:$F$26,MATCH(SUBSTITUTE(SUBSTITUTE(SUBSTITUTE(SUBSTITUTE("type:"&amp;B1027,"%","%25"),"~","%7E"),"*","%2A"),"?","%3F"),'Rules'!$G$7:$G$26,0))&lt;&gt;"",INDEX('Rules'!$F$7:$F$26,MATCH(SUBSTITUTE(SUBSTITUTE(SUBSTITUTE(SUBSTITUTE("type:"&amp;B1027,"%","%25"),"~","%7E"),"*","%2A"),"?","%3F"),'Rules'!$G$7:$G$26,0)),IF(AND(C1027&lt;&gt;"",C1027&lt;&gt;INDEX('Rules'!$B$7:$B$26,MATCH(SUBSTITUTE(SUBSTITUTE(SUBSTITUTE(SUBSTITUTE("type:"&amp;B1027,"%","%25"),"~","%7E"),"*","%2A"),"?","%3F"),'Rules'!$G$7:$G$26,0))),"Unit mismatch",IF(IF(NOT(ISNUMBER(D1027)),TRUE,OR(D1027&lt;0,D1027&gt;999999999,ROUND(D1027,3)&lt;&gt;D1027)),"Invalid current reading",IF(AND(E1027&lt;&gt;"",IF(NOT(ISNUMBER(E1027)),TRUE,OR(E1027&lt;0,E1027&gt;999999999,ROUND(E1027,3)&lt;&gt;E1027))),"Invalid previous reading",IF(IF(NOT(ISNUMBER(F1027)),TRUE,OR(F1027&lt;0,F1027&gt;999999999,ROUND(F1027,3)&lt;&gt;F1027)),"Invalid last service",IF(AND(E1027&lt;&gt;"",D1027&lt;E1027),"Decreased reading",IF(F1027&gt;D1027,"Last service above current","")))))))))))))</x:f>
      </x:c>
      <x:c r="L1027" s="6" t="str">
        <x:f>IF(AND(NOT(COUNTA(A1027:F1027)=0),K1027=""),INDEX('Rules'!$C$7:$C$26,MATCH(SUBSTITUTE(SUBSTITUTE(SUBSTITUTE(SUBSTITUTE("type:"&amp;B1027,"%","%25"),"~","%7E"),"*","%2A"),"?","%3F"),'Rules'!$G$7:$G$26,0)),"")</x:f>
      </x:c>
      <x:c r="M1027" s="6" t="str">
        <x:f>IF(AND(NOT(COUNTA(A1027:F1027)=0),K1027=""),INDEX('Rules'!$D$7:$D$26,MATCH(SUBSTITUTE(SUBSTITUTE(SUBSTITUTE(SUBSTITUTE("type:"&amp;B1027,"%","%25"),"~","%7E"),"*","%2A"),"?","%3F"),'Rules'!$G$7:$G$26,0)),"")</x:f>
      </x:c>
      <x:c r="N1027" s="5" t="str">
        <x:f>IF(COUNTA(A1027:F1027)=0,"",SUBSTITUTE(SUBSTITUTE(SUBSTITUTE(SUBSTITUTE("id:"&amp;A1027,"%","%25"),"~","%7E"),"*","%2A"),"?","%3F"))</x:f>
      </x:c>
    </x:row>
    <x:row r="1028" ht="22" customHeight="1">
      <x:c r="A1028" s="3"/>
      <x:c r="B1028" s="3"/>
      <x:c r="C1028" s="3"/>
      <x:c r="D1028" s="4"/>
      <x:c r="E1028" s="4"/>
      <x:c r="F1028" s="4"/>
      <x:c r="G1028" s="5" t="str">
        <x:f>IF(COUNTA(A1028:F1028)=0,"",IF(K1028&lt;&gt;"","Review",IF(I1028&lt;0,"Overdue",IF(I1028=0,"Due now",IF(I1028&lt;=M1028,"Due soon","Not due")))))</x:f>
      </x:c>
      <x:c r="H1028" s="5" t="str">
        <x:f>IF(OR(COUNTA(A1028:F1028)=0,COUNTIFS('Rules'!$G$7:$G$26,"="&amp;(SUBSTITUTE(SUBSTITUTE(SUBSTITUTE(SUBSTITUTE("type:"&amp;B1028,"%","%25"),"~","%7E"),"*","%2A"),"?","%3F")))&lt;&gt;1),"",IF(OR(INDEX('Rules'!$B$7:$B$26,MATCH(SUBSTITUTE(SUBSTITUTE(SUBSTITUTE(SUBSTITUTE("type:"&amp;B1028,"%","%25"),"~","%7E"),"*","%2A"),"?","%3F"),'Rules'!$G$7:$G$26,0))="hours",INDEX('Rules'!$B$7:$B$26,MATCH(SUBSTITUTE(SUBSTITUTE(SUBSTITUTE(SUBSTITUTE("type:"&amp;B1028,"%","%25"),"~","%7E"),"*","%2A"),"?","%3F"),'Rules'!$G$7:$G$26,0))="km"),INDEX('Rules'!$B$7:$B$26,MATCH(SUBSTITUTE(SUBSTITUTE(SUBSTITUTE(SUBSTITUTE("type:"&amp;B1028,"%","%25"),"~","%7E"),"*","%2A"),"?","%3F"),'Rules'!$G$7:$G$26,0)),""))</x:f>
      </x:c>
      <x:c r="I1028" s="6" t="str">
        <x:f>IF(AND(NOT(COUNTA(A1028:F1028)=0),K1028=""),ROUND(J1028-D1028,3),"")</x:f>
      </x:c>
      <x:c r="J1028" s="6" t="str">
        <x:f>IF(AND(NOT(COUNTA(A1028:F1028)=0),K1028=""),ROUND(F1028+L1028,3),"")</x:f>
      </x:c>
      <x:c r="K1028" s="5" t="str">
        <x:f>IF(COUNTA(A1028:F1028)=0,"",IF(A1028="","Missing equipment ID",IF(COUNTIFS($N$8:$N$2007,"="&amp;N1028)&gt;1,"Duplicate equipment ID",IF(B1028="","Missing type",IF(COUNTIFS('Rules'!$G$7:$G$26,"="&amp;(SUBSTITUTE(SUBSTITUTE(SUBSTITUTE(SUBSTITUTE("type:"&amp;B1028,"%","%25"),"~","%7E"),"*","%2A"),"?","%3F")))=0,"Unknown type",IF(COUNTIFS('Rules'!$G$7:$G$26,"="&amp;(SUBSTITUTE(SUBSTITUTE(SUBSTITUTE(SUBSTITUTE("type:"&amp;B1028,"%","%25"),"~","%7E"),"*","%2A"),"?","%3F")))&gt;1,"Duplicate type",IF(INDEX('Rules'!$F$7:$F$26,MATCH(SUBSTITUTE(SUBSTITUTE(SUBSTITUTE(SUBSTITUTE("type:"&amp;B1028,"%","%25"),"~","%7E"),"*","%2A"),"?","%3F"),'Rules'!$G$7:$G$26,0))&lt;&gt;"",INDEX('Rules'!$F$7:$F$26,MATCH(SUBSTITUTE(SUBSTITUTE(SUBSTITUTE(SUBSTITUTE("type:"&amp;B1028,"%","%25"),"~","%7E"),"*","%2A"),"?","%3F"),'Rules'!$G$7:$G$26,0)),IF(AND(C1028&lt;&gt;"",C1028&lt;&gt;INDEX('Rules'!$B$7:$B$26,MATCH(SUBSTITUTE(SUBSTITUTE(SUBSTITUTE(SUBSTITUTE("type:"&amp;B1028,"%","%25"),"~","%7E"),"*","%2A"),"?","%3F"),'Rules'!$G$7:$G$26,0))),"Unit mismatch",IF(IF(NOT(ISNUMBER(D1028)),TRUE,OR(D1028&lt;0,D1028&gt;999999999,ROUND(D1028,3)&lt;&gt;D1028)),"Invalid current reading",IF(AND(E1028&lt;&gt;"",IF(NOT(ISNUMBER(E1028)),TRUE,OR(E1028&lt;0,E1028&gt;999999999,ROUND(E1028,3)&lt;&gt;E1028))),"Invalid previous reading",IF(IF(NOT(ISNUMBER(F1028)),TRUE,OR(F1028&lt;0,F1028&gt;999999999,ROUND(F1028,3)&lt;&gt;F1028)),"Invalid last service",IF(AND(E1028&lt;&gt;"",D1028&lt;E1028),"Decreased reading",IF(F1028&gt;D1028,"Last service above current","")))))))))))))</x:f>
      </x:c>
      <x:c r="L1028" s="6" t="str">
        <x:f>IF(AND(NOT(COUNTA(A1028:F1028)=0),K1028=""),INDEX('Rules'!$C$7:$C$26,MATCH(SUBSTITUTE(SUBSTITUTE(SUBSTITUTE(SUBSTITUTE("type:"&amp;B1028,"%","%25"),"~","%7E"),"*","%2A"),"?","%3F"),'Rules'!$G$7:$G$26,0)),"")</x:f>
      </x:c>
      <x:c r="M1028" s="6" t="str">
        <x:f>IF(AND(NOT(COUNTA(A1028:F1028)=0),K1028=""),INDEX('Rules'!$D$7:$D$26,MATCH(SUBSTITUTE(SUBSTITUTE(SUBSTITUTE(SUBSTITUTE("type:"&amp;B1028,"%","%25"),"~","%7E"),"*","%2A"),"?","%3F"),'Rules'!$G$7:$G$26,0)),"")</x:f>
      </x:c>
      <x:c r="N1028" s="5" t="str">
        <x:f>IF(COUNTA(A1028:F1028)=0,"",SUBSTITUTE(SUBSTITUTE(SUBSTITUTE(SUBSTITUTE("id:"&amp;A1028,"%","%25"),"~","%7E"),"*","%2A"),"?","%3F"))</x:f>
      </x:c>
    </x:row>
    <x:row r="1029" ht="22" customHeight="1">
      <x:c r="A1029" s="3"/>
      <x:c r="B1029" s="3"/>
      <x:c r="C1029" s="3"/>
      <x:c r="D1029" s="4"/>
      <x:c r="E1029" s="4"/>
      <x:c r="F1029" s="4"/>
      <x:c r="G1029" s="5" t="str">
        <x:f>IF(COUNTA(A1029:F1029)=0,"",IF(K1029&lt;&gt;"","Review",IF(I1029&lt;0,"Overdue",IF(I1029=0,"Due now",IF(I1029&lt;=M1029,"Due soon","Not due")))))</x:f>
      </x:c>
      <x:c r="H1029" s="5" t="str">
        <x:f>IF(OR(COUNTA(A1029:F1029)=0,COUNTIFS('Rules'!$G$7:$G$26,"="&amp;(SUBSTITUTE(SUBSTITUTE(SUBSTITUTE(SUBSTITUTE("type:"&amp;B1029,"%","%25"),"~","%7E"),"*","%2A"),"?","%3F")))&lt;&gt;1),"",IF(OR(INDEX('Rules'!$B$7:$B$26,MATCH(SUBSTITUTE(SUBSTITUTE(SUBSTITUTE(SUBSTITUTE("type:"&amp;B1029,"%","%25"),"~","%7E"),"*","%2A"),"?","%3F"),'Rules'!$G$7:$G$26,0))="hours",INDEX('Rules'!$B$7:$B$26,MATCH(SUBSTITUTE(SUBSTITUTE(SUBSTITUTE(SUBSTITUTE("type:"&amp;B1029,"%","%25"),"~","%7E"),"*","%2A"),"?","%3F"),'Rules'!$G$7:$G$26,0))="km"),INDEX('Rules'!$B$7:$B$26,MATCH(SUBSTITUTE(SUBSTITUTE(SUBSTITUTE(SUBSTITUTE("type:"&amp;B1029,"%","%25"),"~","%7E"),"*","%2A"),"?","%3F"),'Rules'!$G$7:$G$26,0)),""))</x:f>
      </x:c>
      <x:c r="I1029" s="6" t="str">
        <x:f>IF(AND(NOT(COUNTA(A1029:F1029)=0),K1029=""),ROUND(J1029-D1029,3),"")</x:f>
      </x:c>
      <x:c r="J1029" s="6" t="str">
        <x:f>IF(AND(NOT(COUNTA(A1029:F1029)=0),K1029=""),ROUND(F1029+L1029,3),"")</x:f>
      </x:c>
      <x:c r="K1029" s="5" t="str">
        <x:f>IF(COUNTA(A1029:F1029)=0,"",IF(A1029="","Missing equipment ID",IF(COUNTIFS($N$8:$N$2007,"="&amp;N1029)&gt;1,"Duplicate equipment ID",IF(B1029="","Missing type",IF(COUNTIFS('Rules'!$G$7:$G$26,"="&amp;(SUBSTITUTE(SUBSTITUTE(SUBSTITUTE(SUBSTITUTE("type:"&amp;B1029,"%","%25"),"~","%7E"),"*","%2A"),"?","%3F")))=0,"Unknown type",IF(COUNTIFS('Rules'!$G$7:$G$26,"="&amp;(SUBSTITUTE(SUBSTITUTE(SUBSTITUTE(SUBSTITUTE("type:"&amp;B1029,"%","%25"),"~","%7E"),"*","%2A"),"?","%3F")))&gt;1,"Duplicate type",IF(INDEX('Rules'!$F$7:$F$26,MATCH(SUBSTITUTE(SUBSTITUTE(SUBSTITUTE(SUBSTITUTE("type:"&amp;B1029,"%","%25"),"~","%7E"),"*","%2A"),"?","%3F"),'Rules'!$G$7:$G$26,0))&lt;&gt;"",INDEX('Rules'!$F$7:$F$26,MATCH(SUBSTITUTE(SUBSTITUTE(SUBSTITUTE(SUBSTITUTE("type:"&amp;B1029,"%","%25"),"~","%7E"),"*","%2A"),"?","%3F"),'Rules'!$G$7:$G$26,0)),IF(AND(C1029&lt;&gt;"",C1029&lt;&gt;INDEX('Rules'!$B$7:$B$26,MATCH(SUBSTITUTE(SUBSTITUTE(SUBSTITUTE(SUBSTITUTE("type:"&amp;B1029,"%","%25"),"~","%7E"),"*","%2A"),"?","%3F"),'Rules'!$G$7:$G$26,0))),"Unit mismatch",IF(IF(NOT(ISNUMBER(D1029)),TRUE,OR(D1029&lt;0,D1029&gt;999999999,ROUND(D1029,3)&lt;&gt;D1029)),"Invalid current reading",IF(AND(E1029&lt;&gt;"",IF(NOT(ISNUMBER(E1029)),TRUE,OR(E1029&lt;0,E1029&gt;999999999,ROUND(E1029,3)&lt;&gt;E1029))),"Invalid previous reading",IF(IF(NOT(ISNUMBER(F1029)),TRUE,OR(F1029&lt;0,F1029&gt;999999999,ROUND(F1029,3)&lt;&gt;F1029)),"Invalid last service",IF(AND(E1029&lt;&gt;"",D1029&lt;E1029),"Decreased reading",IF(F1029&gt;D1029,"Last service above current","")))))))))))))</x:f>
      </x:c>
      <x:c r="L1029" s="6" t="str">
        <x:f>IF(AND(NOT(COUNTA(A1029:F1029)=0),K1029=""),INDEX('Rules'!$C$7:$C$26,MATCH(SUBSTITUTE(SUBSTITUTE(SUBSTITUTE(SUBSTITUTE("type:"&amp;B1029,"%","%25"),"~","%7E"),"*","%2A"),"?","%3F"),'Rules'!$G$7:$G$26,0)),"")</x:f>
      </x:c>
      <x:c r="M1029" s="6" t="str">
        <x:f>IF(AND(NOT(COUNTA(A1029:F1029)=0),K1029=""),INDEX('Rules'!$D$7:$D$26,MATCH(SUBSTITUTE(SUBSTITUTE(SUBSTITUTE(SUBSTITUTE("type:"&amp;B1029,"%","%25"),"~","%7E"),"*","%2A"),"?","%3F"),'Rules'!$G$7:$G$26,0)),"")</x:f>
      </x:c>
      <x:c r="N1029" s="5" t="str">
        <x:f>IF(COUNTA(A1029:F1029)=0,"",SUBSTITUTE(SUBSTITUTE(SUBSTITUTE(SUBSTITUTE("id:"&amp;A1029,"%","%25"),"~","%7E"),"*","%2A"),"?","%3F"))</x:f>
      </x:c>
    </x:row>
    <x:row r="1030" ht="22" customHeight="1">
      <x:c r="A1030" s="3"/>
      <x:c r="B1030" s="3"/>
      <x:c r="C1030" s="3"/>
      <x:c r="D1030" s="4"/>
      <x:c r="E1030" s="4"/>
      <x:c r="F1030" s="4"/>
      <x:c r="G1030" s="5" t="str">
        <x:f>IF(COUNTA(A1030:F1030)=0,"",IF(K1030&lt;&gt;"","Review",IF(I1030&lt;0,"Overdue",IF(I1030=0,"Due now",IF(I1030&lt;=M1030,"Due soon","Not due")))))</x:f>
      </x:c>
      <x:c r="H1030" s="5" t="str">
        <x:f>IF(OR(COUNTA(A1030:F1030)=0,COUNTIFS('Rules'!$G$7:$G$26,"="&amp;(SUBSTITUTE(SUBSTITUTE(SUBSTITUTE(SUBSTITUTE("type:"&amp;B1030,"%","%25"),"~","%7E"),"*","%2A"),"?","%3F")))&lt;&gt;1),"",IF(OR(INDEX('Rules'!$B$7:$B$26,MATCH(SUBSTITUTE(SUBSTITUTE(SUBSTITUTE(SUBSTITUTE("type:"&amp;B1030,"%","%25"),"~","%7E"),"*","%2A"),"?","%3F"),'Rules'!$G$7:$G$26,0))="hours",INDEX('Rules'!$B$7:$B$26,MATCH(SUBSTITUTE(SUBSTITUTE(SUBSTITUTE(SUBSTITUTE("type:"&amp;B1030,"%","%25"),"~","%7E"),"*","%2A"),"?","%3F"),'Rules'!$G$7:$G$26,0))="km"),INDEX('Rules'!$B$7:$B$26,MATCH(SUBSTITUTE(SUBSTITUTE(SUBSTITUTE(SUBSTITUTE("type:"&amp;B1030,"%","%25"),"~","%7E"),"*","%2A"),"?","%3F"),'Rules'!$G$7:$G$26,0)),""))</x:f>
      </x:c>
      <x:c r="I1030" s="6" t="str">
        <x:f>IF(AND(NOT(COUNTA(A1030:F1030)=0),K1030=""),ROUND(J1030-D1030,3),"")</x:f>
      </x:c>
      <x:c r="J1030" s="6" t="str">
        <x:f>IF(AND(NOT(COUNTA(A1030:F1030)=0),K1030=""),ROUND(F1030+L1030,3),"")</x:f>
      </x:c>
      <x:c r="K1030" s="5" t="str">
        <x:f>IF(COUNTA(A1030:F1030)=0,"",IF(A1030="","Missing equipment ID",IF(COUNTIFS($N$8:$N$2007,"="&amp;N1030)&gt;1,"Duplicate equipment ID",IF(B1030="","Missing type",IF(COUNTIFS('Rules'!$G$7:$G$26,"="&amp;(SUBSTITUTE(SUBSTITUTE(SUBSTITUTE(SUBSTITUTE("type:"&amp;B1030,"%","%25"),"~","%7E"),"*","%2A"),"?","%3F")))=0,"Unknown type",IF(COUNTIFS('Rules'!$G$7:$G$26,"="&amp;(SUBSTITUTE(SUBSTITUTE(SUBSTITUTE(SUBSTITUTE("type:"&amp;B1030,"%","%25"),"~","%7E"),"*","%2A"),"?","%3F")))&gt;1,"Duplicate type",IF(INDEX('Rules'!$F$7:$F$26,MATCH(SUBSTITUTE(SUBSTITUTE(SUBSTITUTE(SUBSTITUTE("type:"&amp;B1030,"%","%25"),"~","%7E"),"*","%2A"),"?","%3F"),'Rules'!$G$7:$G$26,0))&lt;&gt;"",INDEX('Rules'!$F$7:$F$26,MATCH(SUBSTITUTE(SUBSTITUTE(SUBSTITUTE(SUBSTITUTE("type:"&amp;B1030,"%","%25"),"~","%7E"),"*","%2A"),"?","%3F"),'Rules'!$G$7:$G$26,0)),IF(AND(C1030&lt;&gt;"",C1030&lt;&gt;INDEX('Rules'!$B$7:$B$26,MATCH(SUBSTITUTE(SUBSTITUTE(SUBSTITUTE(SUBSTITUTE("type:"&amp;B1030,"%","%25"),"~","%7E"),"*","%2A"),"?","%3F"),'Rules'!$G$7:$G$26,0))),"Unit mismatch",IF(IF(NOT(ISNUMBER(D1030)),TRUE,OR(D1030&lt;0,D1030&gt;999999999,ROUND(D1030,3)&lt;&gt;D1030)),"Invalid current reading",IF(AND(E1030&lt;&gt;"",IF(NOT(ISNUMBER(E1030)),TRUE,OR(E1030&lt;0,E1030&gt;999999999,ROUND(E1030,3)&lt;&gt;E1030))),"Invalid previous reading",IF(IF(NOT(ISNUMBER(F1030)),TRUE,OR(F1030&lt;0,F1030&gt;999999999,ROUND(F1030,3)&lt;&gt;F1030)),"Invalid last service",IF(AND(E1030&lt;&gt;"",D1030&lt;E1030),"Decreased reading",IF(F1030&gt;D1030,"Last service above current","")))))))))))))</x:f>
      </x:c>
      <x:c r="L1030" s="6" t="str">
        <x:f>IF(AND(NOT(COUNTA(A1030:F1030)=0),K1030=""),INDEX('Rules'!$C$7:$C$26,MATCH(SUBSTITUTE(SUBSTITUTE(SUBSTITUTE(SUBSTITUTE("type:"&amp;B1030,"%","%25"),"~","%7E"),"*","%2A"),"?","%3F"),'Rules'!$G$7:$G$26,0)),"")</x:f>
      </x:c>
      <x:c r="M1030" s="6" t="str">
        <x:f>IF(AND(NOT(COUNTA(A1030:F1030)=0),K1030=""),INDEX('Rules'!$D$7:$D$26,MATCH(SUBSTITUTE(SUBSTITUTE(SUBSTITUTE(SUBSTITUTE("type:"&amp;B1030,"%","%25"),"~","%7E"),"*","%2A"),"?","%3F"),'Rules'!$G$7:$G$26,0)),"")</x:f>
      </x:c>
      <x:c r="N1030" s="5" t="str">
        <x:f>IF(COUNTA(A1030:F1030)=0,"",SUBSTITUTE(SUBSTITUTE(SUBSTITUTE(SUBSTITUTE("id:"&amp;A1030,"%","%25"),"~","%7E"),"*","%2A"),"?","%3F"))</x:f>
      </x:c>
    </x:row>
    <x:row r="1031" ht="22" customHeight="1">
      <x:c r="A1031" s="3"/>
      <x:c r="B1031" s="3"/>
      <x:c r="C1031" s="3"/>
      <x:c r="D1031" s="4"/>
      <x:c r="E1031" s="4"/>
      <x:c r="F1031" s="4"/>
      <x:c r="G1031" s="5" t="str">
        <x:f>IF(COUNTA(A1031:F1031)=0,"",IF(K1031&lt;&gt;"","Review",IF(I1031&lt;0,"Overdue",IF(I1031=0,"Due now",IF(I1031&lt;=M1031,"Due soon","Not due")))))</x:f>
      </x:c>
      <x:c r="H1031" s="5" t="str">
        <x:f>IF(OR(COUNTA(A1031:F1031)=0,COUNTIFS('Rules'!$G$7:$G$26,"="&amp;(SUBSTITUTE(SUBSTITUTE(SUBSTITUTE(SUBSTITUTE("type:"&amp;B1031,"%","%25"),"~","%7E"),"*","%2A"),"?","%3F")))&lt;&gt;1),"",IF(OR(INDEX('Rules'!$B$7:$B$26,MATCH(SUBSTITUTE(SUBSTITUTE(SUBSTITUTE(SUBSTITUTE("type:"&amp;B1031,"%","%25"),"~","%7E"),"*","%2A"),"?","%3F"),'Rules'!$G$7:$G$26,0))="hours",INDEX('Rules'!$B$7:$B$26,MATCH(SUBSTITUTE(SUBSTITUTE(SUBSTITUTE(SUBSTITUTE("type:"&amp;B1031,"%","%25"),"~","%7E"),"*","%2A"),"?","%3F"),'Rules'!$G$7:$G$26,0))="km"),INDEX('Rules'!$B$7:$B$26,MATCH(SUBSTITUTE(SUBSTITUTE(SUBSTITUTE(SUBSTITUTE("type:"&amp;B1031,"%","%25"),"~","%7E"),"*","%2A"),"?","%3F"),'Rules'!$G$7:$G$26,0)),""))</x:f>
      </x:c>
      <x:c r="I1031" s="6" t="str">
        <x:f>IF(AND(NOT(COUNTA(A1031:F1031)=0),K1031=""),ROUND(J1031-D1031,3),"")</x:f>
      </x:c>
      <x:c r="J1031" s="6" t="str">
        <x:f>IF(AND(NOT(COUNTA(A1031:F1031)=0),K1031=""),ROUND(F1031+L1031,3),"")</x:f>
      </x:c>
      <x:c r="K1031" s="5" t="str">
        <x:f>IF(COUNTA(A1031:F1031)=0,"",IF(A1031="","Missing equipment ID",IF(COUNTIFS($N$8:$N$2007,"="&amp;N1031)&gt;1,"Duplicate equipment ID",IF(B1031="","Missing type",IF(COUNTIFS('Rules'!$G$7:$G$26,"="&amp;(SUBSTITUTE(SUBSTITUTE(SUBSTITUTE(SUBSTITUTE("type:"&amp;B1031,"%","%25"),"~","%7E"),"*","%2A"),"?","%3F")))=0,"Unknown type",IF(COUNTIFS('Rules'!$G$7:$G$26,"="&amp;(SUBSTITUTE(SUBSTITUTE(SUBSTITUTE(SUBSTITUTE("type:"&amp;B1031,"%","%25"),"~","%7E"),"*","%2A"),"?","%3F")))&gt;1,"Duplicate type",IF(INDEX('Rules'!$F$7:$F$26,MATCH(SUBSTITUTE(SUBSTITUTE(SUBSTITUTE(SUBSTITUTE("type:"&amp;B1031,"%","%25"),"~","%7E"),"*","%2A"),"?","%3F"),'Rules'!$G$7:$G$26,0))&lt;&gt;"",INDEX('Rules'!$F$7:$F$26,MATCH(SUBSTITUTE(SUBSTITUTE(SUBSTITUTE(SUBSTITUTE("type:"&amp;B1031,"%","%25"),"~","%7E"),"*","%2A"),"?","%3F"),'Rules'!$G$7:$G$26,0)),IF(AND(C1031&lt;&gt;"",C1031&lt;&gt;INDEX('Rules'!$B$7:$B$26,MATCH(SUBSTITUTE(SUBSTITUTE(SUBSTITUTE(SUBSTITUTE("type:"&amp;B1031,"%","%25"),"~","%7E"),"*","%2A"),"?","%3F"),'Rules'!$G$7:$G$26,0))),"Unit mismatch",IF(IF(NOT(ISNUMBER(D1031)),TRUE,OR(D1031&lt;0,D1031&gt;999999999,ROUND(D1031,3)&lt;&gt;D1031)),"Invalid current reading",IF(AND(E1031&lt;&gt;"",IF(NOT(ISNUMBER(E1031)),TRUE,OR(E1031&lt;0,E1031&gt;999999999,ROUND(E1031,3)&lt;&gt;E1031))),"Invalid previous reading",IF(IF(NOT(ISNUMBER(F1031)),TRUE,OR(F1031&lt;0,F1031&gt;999999999,ROUND(F1031,3)&lt;&gt;F1031)),"Invalid last service",IF(AND(E1031&lt;&gt;"",D1031&lt;E1031),"Decreased reading",IF(F1031&gt;D1031,"Last service above current","")))))))))))))</x:f>
      </x:c>
      <x:c r="L1031" s="6" t="str">
        <x:f>IF(AND(NOT(COUNTA(A1031:F1031)=0),K1031=""),INDEX('Rules'!$C$7:$C$26,MATCH(SUBSTITUTE(SUBSTITUTE(SUBSTITUTE(SUBSTITUTE("type:"&amp;B1031,"%","%25"),"~","%7E"),"*","%2A"),"?","%3F"),'Rules'!$G$7:$G$26,0)),"")</x:f>
      </x:c>
      <x:c r="M1031" s="6" t="str">
        <x:f>IF(AND(NOT(COUNTA(A1031:F1031)=0),K1031=""),INDEX('Rules'!$D$7:$D$26,MATCH(SUBSTITUTE(SUBSTITUTE(SUBSTITUTE(SUBSTITUTE("type:"&amp;B1031,"%","%25"),"~","%7E"),"*","%2A"),"?","%3F"),'Rules'!$G$7:$G$26,0)),"")</x:f>
      </x:c>
      <x:c r="N1031" s="5" t="str">
        <x:f>IF(COUNTA(A1031:F1031)=0,"",SUBSTITUTE(SUBSTITUTE(SUBSTITUTE(SUBSTITUTE("id:"&amp;A1031,"%","%25"),"~","%7E"),"*","%2A"),"?","%3F"))</x:f>
      </x:c>
    </x:row>
    <x:row r="1032" ht="22" customHeight="1">
      <x:c r="A1032" s="3"/>
      <x:c r="B1032" s="3"/>
      <x:c r="C1032" s="3"/>
      <x:c r="D1032" s="4"/>
      <x:c r="E1032" s="4"/>
      <x:c r="F1032" s="4"/>
      <x:c r="G1032" s="5" t="str">
        <x:f>IF(COUNTA(A1032:F1032)=0,"",IF(K1032&lt;&gt;"","Review",IF(I1032&lt;0,"Overdue",IF(I1032=0,"Due now",IF(I1032&lt;=M1032,"Due soon","Not due")))))</x:f>
      </x:c>
      <x:c r="H1032" s="5" t="str">
        <x:f>IF(OR(COUNTA(A1032:F1032)=0,COUNTIFS('Rules'!$G$7:$G$26,"="&amp;(SUBSTITUTE(SUBSTITUTE(SUBSTITUTE(SUBSTITUTE("type:"&amp;B1032,"%","%25"),"~","%7E"),"*","%2A"),"?","%3F")))&lt;&gt;1),"",IF(OR(INDEX('Rules'!$B$7:$B$26,MATCH(SUBSTITUTE(SUBSTITUTE(SUBSTITUTE(SUBSTITUTE("type:"&amp;B1032,"%","%25"),"~","%7E"),"*","%2A"),"?","%3F"),'Rules'!$G$7:$G$26,0))="hours",INDEX('Rules'!$B$7:$B$26,MATCH(SUBSTITUTE(SUBSTITUTE(SUBSTITUTE(SUBSTITUTE("type:"&amp;B1032,"%","%25"),"~","%7E"),"*","%2A"),"?","%3F"),'Rules'!$G$7:$G$26,0))="km"),INDEX('Rules'!$B$7:$B$26,MATCH(SUBSTITUTE(SUBSTITUTE(SUBSTITUTE(SUBSTITUTE("type:"&amp;B1032,"%","%25"),"~","%7E"),"*","%2A"),"?","%3F"),'Rules'!$G$7:$G$26,0)),""))</x:f>
      </x:c>
      <x:c r="I1032" s="6" t="str">
        <x:f>IF(AND(NOT(COUNTA(A1032:F1032)=0),K1032=""),ROUND(J1032-D1032,3),"")</x:f>
      </x:c>
      <x:c r="J1032" s="6" t="str">
        <x:f>IF(AND(NOT(COUNTA(A1032:F1032)=0),K1032=""),ROUND(F1032+L1032,3),"")</x:f>
      </x:c>
      <x:c r="K1032" s="5" t="str">
        <x:f>IF(COUNTA(A1032:F1032)=0,"",IF(A1032="","Missing equipment ID",IF(COUNTIFS($N$8:$N$2007,"="&amp;N1032)&gt;1,"Duplicate equipment ID",IF(B1032="","Missing type",IF(COUNTIFS('Rules'!$G$7:$G$26,"="&amp;(SUBSTITUTE(SUBSTITUTE(SUBSTITUTE(SUBSTITUTE("type:"&amp;B1032,"%","%25"),"~","%7E"),"*","%2A"),"?","%3F")))=0,"Unknown type",IF(COUNTIFS('Rules'!$G$7:$G$26,"="&amp;(SUBSTITUTE(SUBSTITUTE(SUBSTITUTE(SUBSTITUTE("type:"&amp;B1032,"%","%25"),"~","%7E"),"*","%2A"),"?","%3F")))&gt;1,"Duplicate type",IF(INDEX('Rules'!$F$7:$F$26,MATCH(SUBSTITUTE(SUBSTITUTE(SUBSTITUTE(SUBSTITUTE("type:"&amp;B1032,"%","%25"),"~","%7E"),"*","%2A"),"?","%3F"),'Rules'!$G$7:$G$26,0))&lt;&gt;"",INDEX('Rules'!$F$7:$F$26,MATCH(SUBSTITUTE(SUBSTITUTE(SUBSTITUTE(SUBSTITUTE("type:"&amp;B1032,"%","%25"),"~","%7E"),"*","%2A"),"?","%3F"),'Rules'!$G$7:$G$26,0)),IF(AND(C1032&lt;&gt;"",C1032&lt;&gt;INDEX('Rules'!$B$7:$B$26,MATCH(SUBSTITUTE(SUBSTITUTE(SUBSTITUTE(SUBSTITUTE("type:"&amp;B1032,"%","%25"),"~","%7E"),"*","%2A"),"?","%3F"),'Rules'!$G$7:$G$26,0))),"Unit mismatch",IF(IF(NOT(ISNUMBER(D1032)),TRUE,OR(D1032&lt;0,D1032&gt;999999999,ROUND(D1032,3)&lt;&gt;D1032)),"Invalid current reading",IF(AND(E1032&lt;&gt;"",IF(NOT(ISNUMBER(E1032)),TRUE,OR(E1032&lt;0,E1032&gt;999999999,ROUND(E1032,3)&lt;&gt;E1032))),"Invalid previous reading",IF(IF(NOT(ISNUMBER(F1032)),TRUE,OR(F1032&lt;0,F1032&gt;999999999,ROUND(F1032,3)&lt;&gt;F1032)),"Invalid last service",IF(AND(E1032&lt;&gt;"",D1032&lt;E1032),"Decreased reading",IF(F1032&gt;D1032,"Last service above current","")))))))))))))</x:f>
      </x:c>
      <x:c r="L1032" s="6" t="str">
        <x:f>IF(AND(NOT(COUNTA(A1032:F1032)=0),K1032=""),INDEX('Rules'!$C$7:$C$26,MATCH(SUBSTITUTE(SUBSTITUTE(SUBSTITUTE(SUBSTITUTE("type:"&amp;B1032,"%","%25"),"~","%7E"),"*","%2A"),"?","%3F"),'Rules'!$G$7:$G$26,0)),"")</x:f>
      </x:c>
      <x:c r="M1032" s="6" t="str">
        <x:f>IF(AND(NOT(COUNTA(A1032:F1032)=0),K1032=""),INDEX('Rules'!$D$7:$D$26,MATCH(SUBSTITUTE(SUBSTITUTE(SUBSTITUTE(SUBSTITUTE("type:"&amp;B1032,"%","%25"),"~","%7E"),"*","%2A"),"?","%3F"),'Rules'!$G$7:$G$26,0)),"")</x:f>
      </x:c>
      <x:c r="N1032" s="5" t="str">
        <x:f>IF(COUNTA(A1032:F1032)=0,"",SUBSTITUTE(SUBSTITUTE(SUBSTITUTE(SUBSTITUTE("id:"&amp;A1032,"%","%25"),"~","%7E"),"*","%2A"),"?","%3F"))</x:f>
      </x:c>
    </x:row>
    <x:row r="1033" ht="22" customHeight="1">
      <x:c r="A1033" s="3"/>
      <x:c r="B1033" s="3"/>
      <x:c r="C1033" s="3"/>
      <x:c r="D1033" s="4"/>
      <x:c r="E1033" s="4"/>
      <x:c r="F1033" s="4"/>
      <x:c r="G1033" s="5" t="str">
        <x:f>IF(COUNTA(A1033:F1033)=0,"",IF(K1033&lt;&gt;"","Review",IF(I1033&lt;0,"Overdue",IF(I1033=0,"Due now",IF(I1033&lt;=M1033,"Due soon","Not due")))))</x:f>
      </x:c>
      <x:c r="H1033" s="5" t="str">
        <x:f>IF(OR(COUNTA(A1033:F1033)=0,COUNTIFS('Rules'!$G$7:$G$26,"="&amp;(SUBSTITUTE(SUBSTITUTE(SUBSTITUTE(SUBSTITUTE("type:"&amp;B1033,"%","%25"),"~","%7E"),"*","%2A"),"?","%3F")))&lt;&gt;1),"",IF(OR(INDEX('Rules'!$B$7:$B$26,MATCH(SUBSTITUTE(SUBSTITUTE(SUBSTITUTE(SUBSTITUTE("type:"&amp;B1033,"%","%25"),"~","%7E"),"*","%2A"),"?","%3F"),'Rules'!$G$7:$G$26,0))="hours",INDEX('Rules'!$B$7:$B$26,MATCH(SUBSTITUTE(SUBSTITUTE(SUBSTITUTE(SUBSTITUTE("type:"&amp;B1033,"%","%25"),"~","%7E"),"*","%2A"),"?","%3F"),'Rules'!$G$7:$G$26,0))="km"),INDEX('Rules'!$B$7:$B$26,MATCH(SUBSTITUTE(SUBSTITUTE(SUBSTITUTE(SUBSTITUTE("type:"&amp;B1033,"%","%25"),"~","%7E"),"*","%2A"),"?","%3F"),'Rules'!$G$7:$G$26,0)),""))</x:f>
      </x:c>
      <x:c r="I1033" s="6" t="str">
        <x:f>IF(AND(NOT(COUNTA(A1033:F1033)=0),K1033=""),ROUND(J1033-D1033,3),"")</x:f>
      </x:c>
      <x:c r="J1033" s="6" t="str">
        <x:f>IF(AND(NOT(COUNTA(A1033:F1033)=0),K1033=""),ROUND(F1033+L1033,3),"")</x:f>
      </x:c>
      <x:c r="K1033" s="5" t="str">
        <x:f>IF(COUNTA(A1033:F1033)=0,"",IF(A1033="","Missing equipment ID",IF(COUNTIFS($N$8:$N$2007,"="&amp;N1033)&gt;1,"Duplicate equipment ID",IF(B1033="","Missing type",IF(COUNTIFS('Rules'!$G$7:$G$26,"="&amp;(SUBSTITUTE(SUBSTITUTE(SUBSTITUTE(SUBSTITUTE("type:"&amp;B1033,"%","%25"),"~","%7E"),"*","%2A"),"?","%3F")))=0,"Unknown type",IF(COUNTIFS('Rules'!$G$7:$G$26,"="&amp;(SUBSTITUTE(SUBSTITUTE(SUBSTITUTE(SUBSTITUTE("type:"&amp;B1033,"%","%25"),"~","%7E"),"*","%2A"),"?","%3F")))&gt;1,"Duplicate type",IF(INDEX('Rules'!$F$7:$F$26,MATCH(SUBSTITUTE(SUBSTITUTE(SUBSTITUTE(SUBSTITUTE("type:"&amp;B1033,"%","%25"),"~","%7E"),"*","%2A"),"?","%3F"),'Rules'!$G$7:$G$26,0))&lt;&gt;"",INDEX('Rules'!$F$7:$F$26,MATCH(SUBSTITUTE(SUBSTITUTE(SUBSTITUTE(SUBSTITUTE("type:"&amp;B1033,"%","%25"),"~","%7E"),"*","%2A"),"?","%3F"),'Rules'!$G$7:$G$26,0)),IF(AND(C1033&lt;&gt;"",C1033&lt;&gt;INDEX('Rules'!$B$7:$B$26,MATCH(SUBSTITUTE(SUBSTITUTE(SUBSTITUTE(SUBSTITUTE("type:"&amp;B1033,"%","%25"),"~","%7E"),"*","%2A"),"?","%3F"),'Rules'!$G$7:$G$26,0))),"Unit mismatch",IF(IF(NOT(ISNUMBER(D1033)),TRUE,OR(D1033&lt;0,D1033&gt;999999999,ROUND(D1033,3)&lt;&gt;D1033)),"Invalid current reading",IF(AND(E1033&lt;&gt;"",IF(NOT(ISNUMBER(E1033)),TRUE,OR(E1033&lt;0,E1033&gt;999999999,ROUND(E1033,3)&lt;&gt;E1033))),"Invalid previous reading",IF(IF(NOT(ISNUMBER(F1033)),TRUE,OR(F1033&lt;0,F1033&gt;999999999,ROUND(F1033,3)&lt;&gt;F1033)),"Invalid last service",IF(AND(E1033&lt;&gt;"",D1033&lt;E1033),"Decreased reading",IF(F1033&gt;D1033,"Last service above current","")))))))))))))</x:f>
      </x:c>
      <x:c r="L1033" s="6" t="str">
        <x:f>IF(AND(NOT(COUNTA(A1033:F1033)=0),K1033=""),INDEX('Rules'!$C$7:$C$26,MATCH(SUBSTITUTE(SUBSTITUTE(SUBSTITUTE(SUBSTITUTE("type:"&amp;B1033,"%","%25"),"~","%7E"),"*","%2A"),"?","%3F"),'Rules'!$G$7:$G$26,0)),"")</x:f>
      </x:c>
      <x:c r="M1033" s="6" t="str">
        <x:f>IF(AND(NOT(COUNTA(A1033:F1033)=0),K1033=""),INDEX('Rules'!$D$7:$D$26,MATCH(SUBSTITUTE(SUBSTITUTE(SUBSTITUTE(SUBSTITUTE("type:"&amp;B1033,"%","%25"),"~","%7E"),"*","%2A"),"?","%3F"),'Rules'!$G$7:$G$26,0)),"")</x:f>
      </x:c>
      <x:c r="N1033" s="5" t="str">
        <x:f>IF(COUNTA(A1033:F1033)=0,"",SUBSTITUTE(SUBSTITUTE(SUBSTITUTE(SUBSTITUTE("id:"&amp;A1033,"%","%25"),"~","%7E"),"*","%2A"),"?","%3F"))</x:f>
      </x:c>
    </x:row>
    <x:row r="1034" ht="22" customHeight="1">
      <x:c r="A1034" s="3"/>
      <x:c r="B1034" s="3"/>
      <x:c r="C1034" s="3"/>
      <x:c r="D1034" s="4"/>
      <x:c r="E1034" s="4"/>
      <x:c r="F1034" s="4"/>
      <x:c r="G1034" s="5" t="str">
        <x:f>IF(COUNTA(A1034:F1034)=0,"",IF(K1034&lt;&gt;"","Review",IF(I1034&lt;0,"Overdue",IF(I1034=0,"Due now",IF(I1034&lt;=M1034,"Due soon","Not due")))))</x:f>
      </x:c>
      <x:c r="H1034" s="5" t="str">
        <x:f>IF(OR(COUNTA(A1034:F1034)=0,COUNTIFS('Rules'!$G$7:$G$26,"="&amp;(SUBSTITUTE(SUBSTITUTE(SUBSTITUTE(SUBSTITUTE("type:"&amp;B1034,"%","%25"),"~","%7E"),"*","%2A"),"?","%3F")))&lt;&gt;1),"",IF(OR(INDEX('Rules'!$B$7:$B$26,MATCH(SUBSTITUTE(SUBSTITUTE(SUBSTITUTE(SUBSTITUTE("type:"&amp;B1034,"%","%25"),"~","%7E"),"*","%2A"),"?","%3F"),'Rules'!$G$7:$G$26,0))="hours",INDEX('Rules'!$B$7:$B$26,MATCH(SUBSTITUTE(SUBSTITUTE(SUBSTITUTE(SUBSTITUTE("type:"&amp;B1034,"%","%25"),"~","%7E"),"*","%2A"),"?","%3F"),'Rules'!$G$7:$G$26,0))="km"),INDEX('Rules'!$B$7:$B$26,MATCH(SUBSTITUTE(SUBSTITUTE(SUBSTITUTE(SUBSTITUTE("type:"&amp;B1034,"%","%25"),"~","%7E"),"*","%2A"),"?","%3F"),'Rules'!$G$7:$G$26,0)),""))</x:f>
      </x:c>
      <x:c r="I1034" s="6" t="str">
        <x:f>IF(AND(NOT(COUNTA(A1034:F1034)=0),K1034=""),ROUND(J1034-D1034,3),"")</x:f>
      </x:c>
      <x:c r="J1034" s="6" t="str">
        <x:f>IF(AND(NOT(COUNTA(A1034:F1034)=0),K1034=""),ROUND(F1034+L1034,3),"")</x:f>
      </x:c>
      <x:c r="K1034" s="5" t="str">
        <x:f>IF(COUNTA(A1034:F1034)=0,"",IF(A1034="","Missing equipment ID",IF(COUNTIFS($N$8:$N$2007,"="&amp;N1034)&gt;1,"Duplicate equipment ID",IF(B1034="","Missing type",IF(COUNTIFS('Rules'!$G$7:$G$26,"="&amp;(SUBSTITUTE(SUBSTITUTE(SUBSTITUTE(SUBSTITUTE("type:"&amp;B1034,"%","%25"),"~","%7E"),"*","%2A"),"?","%3F")))=0,"Unknown type",IF(COUNTIFS('Rules'!$G$7:$G$26,"="&amp;(SUBSTITUTE(SUBSTITUTE(SUBSTITUTE(SUBSTITUTE("type:"&amp;B1034,"%","%25"),"~","%7E"),"*","%2A"),"?","%3F")))&gt;1,"Duplicate type",IF(INDEX('Rules'!$F$7:$F$26,MATCH(SUBSTITUTE(SUBSTITUTE(SUBSTITUTE(SUBSTITUTE("type:"&amp;B1034,"%","%25"),"~","%7E"),"*","%2A"),"?","%3F"),'Rules'!$G$7:$G$26,0))&lt;&gt;"",INDEX('Rules'!$F$7:$F$26,MATCH(SUBSTITUTE(SUBSTITUTE(SUBSTITUTE(SUBSTITUTE("type:"&amp;B1034,"%","%25"),"~","%7E"),"*","%2A"),"?","%3F"),'Rules'!$G$7:$G$26,0)),IF(AND(C1034&lt;&gt;"",C1034&lt;&gt;INDEX('Rules'!$B$7:$B$26,MATCH(SUBSTITUTE(SUBSTITUTE(SUBSTITUTE(SUBSTITUTE("type:"&amp;B1034,"%","%25"),"~","%7E"),"*","%2A"),"?","%3F"),'Rules'!$G$7:$G$26,0))),"Unit mismatch",IF(IF(NOT(ISNUMBER(D1034)),TRUE,OR(D1034&lt;0,D1034&gt;999999999,ROUND(D1034,3)&lt;&gt;D1034)),"Invalid current reading",IF(AND(E1034&lt;&gt;"",IF(NOT(ISNUMBER(E1034)),TRUE,OR(E1034&lt;0,E1034&gt;999999999,ROUND(E1034,3)&lt;&gt;E1034))),"Invalid previous reading",IF(IF(NOT(ISNUMBER(F1034)),TRUE,OR(F1034&lt;0,F1034&gt;999999999,ROUND(F1034,3)&lt;&gt;F1034)),"Invalid last service",IF(AND(E1034&lt;&gt;"",D1034&lt;E1034),"Decreased reading",IF(F1034&gt;D1034,"Last service above current","")))))))))))))</x:f>
      </x:c>
      <x:c r="L1034" s="6" t="str">
        <x:f>IF(AND(NOT(COUNTA(A1034:F1034)=0),K1034=""),INDEX('Rules'!$C$7:$C$26,MATCH(SUBSTITUTE(SUBSTITUTE(SUBSTITUTE(SUBSTITUTE("type:"&amp;B1034,"%","%25"),"~","%7E"),"*","%2A"),"?","%3F"),'Rules'!$G$7:$G$26,0)),"")</x:f>
      </x:c>
      <x:c r="M1034" s="6" t="str">
        <x:f>IF(AND(NOT(COUNTA(A1034:F1034)=0),K1034=""),INDEX('Rules'!$D$7:$D$26,MATCH(SUBSTITUTE(SUBSTITUTE(SUBSTITUTE(SUBSTITUTE("type:"&amp;B1034,"%","%25"),"~","%7E"),"*","%2A"),"?","%3F"),'Rules'!$G$7:$G$26,0)),"")</x:f>
      </x:c>
      <x:c r="N1034" s="5" t="str">
        <x:f>IF(COUNTA(A1034:F1034)=0,"",SUBSTITUTE(SUBSTITUTE(SUBSTITUTE(SUBSTITUTE("id:"&amp;A1034,"%","%25"),"~","%7E"),"*","%2A"),"?","%3F"))</x:f>
      </x:c>
    </x:row>
    <x:row r="1035" ht="22" customHeight="1">
      <x:c r="A1035" s="3"/>
      <x:c r="B1035" s="3"/>
      <x:c r="C1035" s="3"/>
      <x:c r="D1035" s="4"/>
      <x:c r="E1035" s="4"/>
      <x:c r="F1035" s="4"/>
      <x:c r="G1035" s="5" t="str">
        <x:f>IF(COUNTA(A1035:F1035)=0,"",IF(K1035&lt;&gt;"","Review",IF(I1035&lt;0,"Overdue",IF(I1035=0,"Due now",IF(I1035&lt;=M1035,"Due soon","Not due")))))</x:f>
      </x:c>
      <x:c r="H1035" s="5" t="str">
        <x:f>IF(OR(COUNTA(A1035:F1035)=0,COUNTIFS('Rules'!$G$7:$G$26,"="&amp;(SUBSTITUTE(SUBSTITUTE(SUBSTITUTE(SUBSTITUTE("type:"&amp;B1035,"%","%25"),"~","%7E"),"*","%2A"),"?","%3F")))&lt;&gt;1),"",IF(OR(INDEX('Rules'!$B$7:$B$26,MATCH(SUBSTITUTE(SUBSTITUTE(SUBSTITUTE(SUBSTITUTE("type:"&amp;B1035,"%","%25"),"~","%7E"),"*","%2A"),"?","%3F"),'Rules'!$G$7:$G$26,0))="hours",INDEX('Rules'!$B$7:$B$26,MATCH(SUBSTITUTE(SUBSTITUTE(SUBSTITUTE(SUBSTITUTE("type:"&amp;B1035,"%","%25"),"~","%7E"),"*","%2A"),"?","%3F"),'Rules'!$G$7:$G$26,0))="km"),INDEX('Rules'!$B$7:$B$26,MATCH(SUBSTITUTE(SUBSTITUTE(SUBSTITUTE(SUBSTITUTE("type:"&amp;B1035,"%","%25"),"~","%7E"),"*","%2A"),"?","%3F"),'Rules'!$G$7:$G$26,0)),""))</x:f>
      </x:c>
      <x:c r="I1035" s="6" t="str">
        <x:f>IF(AND(NOT(COUNTA(A1035:F1035)=0),K1035=""),ROUND(J1035-D1035,3),"")</x:f>
      </x:c>
      <x:c r="J1035" s="6" t="str">
        <x:f>IF(AND(NOT(COUNTA(A1035:F1035)=0),K1035=""),ROUND(F1035+L1035,3),"")</x:f>
      </x:c>
      <x:c r="K1035" s="5" t="str">
        <x:f>IF(COUNTA(A1035:F1035)=0,"",IF(A1035="","Missing equipment ID",IF(COUNTIFS($N$8:$N$2007,"="&amp;N1035)&gt;1,"Duplicate equipment ID",IF(B1035="","Missing type",IF(COUNTIFS('Rules'!$G$7:$G$26,"="&amp;(SUBSTITUTE(SUBSTITUTE(SUBSTITUTE(SUBSTITUTE("type:"&amp;B1035,"%","%25"),"~","%7E"),"*","%2A"),"?","%3F")))=0,"Unknown type",IF(COUNTIFS('Rules'!$G$7:$G$26,"="&amp;(SUBSTITUTE(SUBSTITUTE(SUBSTITUTE(SUBSTITUTE("type:"&amp;B1035,"%","%25"),"~","%7E"),"*","%2A"),"?","%3F")))&gt;1,"Duplicate type",IF(INDEX('Rules'!$F$7:$F$26,MATCH(SUBSTITUTE(SUBSTITUTE(SUBSTITUTE(SUBSTITUTE("type:"&amp;B1035,"%","%25"),"~","%7E"),"*","%2A"),"?","%3F"),'Rules'!$G$7:$G$26,0))&lt;&gt;"",INDEX('Rules'!$F$7:$F$26,MATCH(SUBSTITUTE(SUBSTITUTE(SUBSTITUTE(SUBSTITUTE("type:"&amp;B1035,"%","%25"),"~","%7E"),"*","%2A"),"?","%3F"),'Rules'!$G$7:$G$26,0)),IF(AND(C1035&lt;&gt;"",C1035&lt;&gt;INDEX('Rules'!$B$7:$B$26,MATCH(SUBSTITUTE(SUBSTITUTE(SUBSTITUTE(SUBSTITUTE("type:"&amp;B1035,"%","%25"),"~","%7E"),"*","%2A"),"?","%3F"),'Rules'!$G$7:$G$26,0))),"Unit mismatch",IF(IF(NOT(ISNUMBER(D1035)),TRUE,OR(D1035&lt;0,D1035&gt;999999999,ROUND(D1035,3)&lt;&gt;D1035)),"Invalid current reading",IF(AND(E1035&lt;&gt;"",IF(NOT(ISNUMBER(E1035)),TRUE,OR(E1035&lt;0,E1035&gt;999999999,ROUND(E1035,3)&lt;&gt;E1035))),"Invalid previous reading",IF(IF(NOT(ISNUMBER(F1035)),TRUE,OR(F1035&lt;0,F1035&gt;999999999,ROUND(F1035,3)&lt;&gt;F1035)),"Invalid last service",IF(AND(E1035&lt;&gt;"",D1035&lt;E1035),"Decreased reading",IF(F1035&gt;D1035,"Last service above current","")))))))))))))</x:f>
      </x:c>
      <x:c r="L1035" s="6" t="str">
        <x:f>IF(AND(NOT(COUNTA(A1035:F1035)=0),K1035=""),INDEX('Rules'!$C$7:$C$26,MATCH(SUBSTITUTE(SUBSTITUTE(SUBSTITUTE(SUBSTITUTE("type:"&amp;B1035,"%","%25"),"~","%7E"),"*","%2A"),"?","%3F"),'Rules'!$G$7:$G$26,0)),"")</x:f>
      </x:c>
      <x:c r="M1035" s="6" t="str">
        <x:f>IF(AND(NOT(COUNTA(A1035:F1035)=0),K1035=""),INDEX('Rules'!$D$7:$D$26,MATCH(SUBSTITUTE(SUBSTITUTE(SUBSTITUTE(SUBSTITUTE("type:"&amp;B1035,"%","%25"),"~","%7E"),"*","%2A"),"?","%3F"),'Rules'!$G$7:$G$26,0)),"")</x:f>
      </x:c>
      <x:c r="N1035" s="5" t="str">
        <x:f>IF(COUNTA(A1035:F1035)=0,"",SUBSTITUTE(SUBSTITUTE(SUBSTITUTE(SUBSTITUTE("id:"&amp;A1035,"%","%25"),"~","%7E"),"*","%2A"),"?","%3F"))</x:f>
      </x:c>
    </x:row>
    <x:row r="1036" ht="22" customHeight="1">
      <x:c r="A1036" s="3"/>
      <x:c r="B1036" s="3"/>
      <x:c r="C1036" s="3"/>
      <x:c r="D1036" s="4"/>
      <x:c r="E1036" s="4"/>
      <x:c r="F1036" s="4"/>
      <x:c r="G1036" s="5" t="str">
        <x:f>IF(COUNTA(A1036:F1036)=0,"",IF(K1036&lt;&gt;"","Review",IF(I1036&lt;0,"Overdue",IF(I1036=0,"Due now",IF(I1036&lt;=M1036,"Due soon","Not due")))))</x:f>
      </x:c>
      <x:c r="H1036" s="5" t="str">
        <x:f>IF(OR(COUNTA(A1036:F1036)=0,COUNTIFS('Rules'!$G$7:$G$26,"="&amp;(SUBSTITUTE(SUBSTITUTE(SUBSTITUTE(SUBSTITUTE("type:"&amp;B1036,"%","%25"),"~","%7E"),"*","%2A"),"?","%3F")))&lt;&gt;1),"",IF(OR(INDEX('Rules'!$B$7:$B$26,MATCH(SUBSTITUTE(SUBSTITUTE(SUBSTITUTE(SUBSTITUTE("type:"&amp;B1036,"%","%25"),"~","%7E"),"*","%2A"),"?","%3F"),'Rules'!$G$7:$G$26,0))="hours",INDEX('Rules'!$B$7:$B$26,MATCH(SUBSTITUTE(SUBSTITUTE(SUBSTITUTE(SUBSTITUTE("type:"&amp;B1036,"%","%25"),"~","%7E"),"*","%2A"),"?","%3F"),'Rules'!$G$7:$G$26,0))="km"),INDEX('Rules'!$B$7:$B$26,MATCH(SUBSTITUTE(SUBSTITUTE(SUBSTITUTE(SUBSTITUTE("type:"&amp;B1036,"%","%25"),"~","%7E"),"*","%2A"),"?","%3F"),'Rules'!$G$7:$G$26,0)),""))</x:f>
      </x:c>
      <x:c r="I1036" s="6" t="str">
        <x:f>IF(AND(NOT(COUNTA(A1036:F1036)=0),K1036=""),ROUND(J1036-D1036,3),"")</x:f>
      </x:c>
      <x:c r="J1036" s="6" t="str">
        <x:f>IF(AND(NOT(COUNTA(A1036:F1036)=0),K1036=""),ROUND(F1036+L1036,3),"")</x:f>
      </x:c>
      <x:c r="K1036" s="5" t="str">
        <x:f>IF(COUNTA(A1036:F1036)=0,"",IF(A1036="","Missing equipment ID",IF(COUNTIFS($N$8:$N$2007,"="&amp;N1036)&gt;1,"Duplicate equipment ID",IF(B1036="","Missing type",IF(COUNTIFS('Rules'!$G$7:$G$26,"="&amp;(SUBSTITUTE(SUBSTITUTE(SUBSTITUTE(SUBSTITUTE("type:"&amp;B1036,"%","%25"),"~","%7E"),"*","%2A"),"?","%3F")))=0,"Unknown type",IF(COUNTIFS('Rules'!$G$7:$G$26,"="&amp;(SUBSTITUTE(SUBSTITUTE(SUBSTITUTE(SUBSTITUTE("type:"&amp;B1036,"%","%25"),"~","%7E"),"*","%2A"),"?","%3F")))&gt;1,"Duplicate type",IF(INDEX('Rules'!$F$7:$F$26,MATCH(SUBSTITUTE(SUBSTITUTE(SUBSTITUTE(SUBSTITUTE("type:"&amp;B1036,"%","%25"),"~","%7E"),"*","%2A"),"?","%3F"),'Rules'!$G$7:$G$26,0))&lt;&gt;"",INDEX('Rules'!$F$7:$F$26,MATCH(SUBSTITUTE(SUBSTITUTE(SUBSTITUTE(SUBSTITUTE("type:"&amp;B1036,"%","%25"),"~","%7E"),"*","%2A"),"?","%3F"),'Rules'!$G$7:$G$26,0)),IF(AND(C1036&lt;&gt;"",C1036&lt;&gt;INDEX('Rules'!$B$7:$B$26,MATCH(SUBSTITUTE(SUBSTITUTE(SUBSTITUTE(SUBSTITUTE("type:"&amp;B1036,"%","%25"),"~","%7E"),"*","%2A"),"?","%3F"),'Rules'!$G$7:$G$26,0))),"Unit mismatch",IF(IF(NOT(ISNUMBER(D1036)),TRUE,OR(D1036&lt;0,D1036&gt;999999999,ROUND(D1036,3)&lt;&gt;D1036)),"Invalid current reading",IF(AND(E1036&lt;&gt;"",IF(NOT(ISNUMBER(E1036)),TRUE,OR(E1036&lt;0,E1036&gt;999999999,ROUND(E1036,3)&lt;&gt;E1036))),"Invalid previous reading",IF(IF(NOT(ISNUMBER(F1036)),TRUE,OR(F1036&lt;0,F1036&gt;999999999,ROUND(F1036,3)&lt;&gt;F1036)),"Invalid last service",IF(AND(E1036&lt;&gt;"",D1036&lt;E1036),"Decreased reading",IF(F1036&gt;D1036,"Last service above current","")))))))))))))</x:f>
      </x:c>
      <x:c r="L1036" s="6" t="str">
        <x:f>IF(AND(NOT(COUNTA(A1036:F1036)=0),K1036=""),INDEX('Rules'!$C$7:$C$26,MATCH(SUBSTITUTE(SUBSTITUTE(SUBSTITUTE(SUBSTITUTE("type:"&amp;B1036,"%","%25"),"~","%7E"),"*","%2A"),"?","%3F"),'Rules'!$G$7:$G$26,0)),"")</x:f>
      </x:c>
      <x:c r="M1036" s="6" t="str">
        <x:f>IF(AND(NOT(COUNTA(A1036:F1036)=0),K1036=""),INDEX('Rules'!$D$7:$D$26,MATCH(SUBSTITUTE(SUBSTITUTE(SUBSTITUTE(SUBSTITUTE("type:"&amp;B1036,"%","%25"),"~","%7E"),"*","%2A"),"?","%3F"),'Rules'!$G$7:$G$26,0)),"")</x:f>
      </x:c>
      <x:c r="N1036" s="5" t="str">
        <x:f>IF(COUNTA(A1036:F1036)=0,"",SUBSTITUTE(SUBSTITUTE(SUBSTITUTE(SUBSTITUTE("id:"&amp;A1036,"%","%25"),"~","%7E"),"*","%2A"),"?","%3F"))</x:f>
      </x:c>
    </x:row>
    <x:row r="1037" ht="22" customHeight="1">
      <x:c r="A1037" s="3"/>
      <x:c r="B1037" s="3"/>
      <x:c r="C1037" s="3"/>
      <x:c r="D1037" s="4"/>
      <x:c r="E1037" s="4"/>
      <x:c r="F1037" s="4"/>
      <x:c r="G1037" s="5" t="str">
        <x:f>IF(COUNTA(A1037:F1037)=0,"",IF(K1037&lt;&gt;"","Review",IF(I1037&lt;0,"Overdue",IF(I1037=0,"Due now",IF(I1037&lt;=M1037,"Due soon","Not due")))))</x:f>
      </x:c>
      <x:c r="H1037" s="5" t="str">
        <x:f>IF(OR(COUNTA(A1037:F1037)=0,COUNTIFS('Rules'!$G$7:$G$26,"="&amp;(SUBSTITUTE(SUBSTITUTE(SUBSTITUTE(SUBSTITUTE("type:"&amp;B1037,"%","%25"),"~","%7E"),"*","%2A"),"?","%3F")))&lt;&gt;1),"",IF(OR(INDEX('Rules'!$B$7:$B$26,MATCH(SUBSTITUTE(SUBSTITUTE(SUBSTITUTE(SUBSTITUTE("type:"&amp;B1037,"%","%25"),"~","%7E"),"*","%2A"),"?","%3F"),'Rules'!$G$7:$G$26,0))="hours",INDEX('Rules'!$B$7:$B$26,MATCH(SUBSTITUTE(SUBSTITUTE(SUBSTITUTE(SUBSTITUTE("type:"&amp;B1037,"%","%25"),"~","%7E"),"*","%2A"),"?","%3F"),'Rules'!$G$7:$G$26,0))="km"),INDEX('Rules'!$B$7:$B$26,MATCH(SUBSTITUTE(SUBSTITUTE(SUBSTITUTE(SUBSTITUTE("type:"&amp;B1037,"%","%25"),"~","%7E"),"*","%2A"),"?","%3F"),'Rules'!$G$7:$G$26,0)),""))</x:f>
      </x:c>
      <x:c r="I1037" s="6" t="str">
        <x:f>IF(AND(NOT(COUNTA(A1037:F1037)=0),K1037=""),ROUND(J1037-D1037,3),"")</x:f>
      </x:c>
      <x:c r="J1037" s="6" t="str">
        <x:f>IF(AND(NOT(COUNTA(A1037:F1037)=0),K1037=""),ROUND(F1037+L1037,3),"")</x:f>
      </x:c>
      <x:c r="K1037" s="5" t="str">
        <x:f>IF(COUNTA(A1037:F1037)=0,"",IF(A1037="","Missing equipment ID",IF(COUNTIFS($N$8:$N$2007,"="&amp;N1037)&gt;1,"Duplicate equipment ID",IF(B1037="","Missing type",IF(COUNTIFS('Rules'!$G$7:$G$26,"="&amp;(SUBSTITUTE(SUBSTITUTE(SUBSTITUTE(SUBSTITUTE("type:"&amp;B1037,"%","%25"),"~","%7E"),"*","%2A"),"?","%3F")))=0,"Unknown type",IF(COUNTIFS('Rules'!$G$7:$G$26,"="&amp;(SUBSTITUTE(SUBSTITUTE(SUBSTITUTE(SUBSTITUTE("type:"&amp;B1037,"%","%25"),"~","%7E"),"*","%2A"),"?","%3F")))&gt;1,"Duplicate type",IF(INDEX('Rules'!$F$7:$F$26,MATCH(SUBSTITUTE(SUBSTITUTE(SUBSTITUTE(SUBSTITUTE("type:"&amp;B1037,"%","%25"),"~","%7E"),"*","%2A"),"?","%3F"),'Rules'!$G$7:$G$26,0))&lt;&gt;"",INDEX('Rules'!$F$7:$F$26,MATCH(SUBSTITUTE(SUBSTITUTE(SUBSTITUTE(SUBSTITUTE("type:"&amp;B1037,"%","%25"),"~","%7E"),"*","%2A"),"?","%3F"),'Rules'!$G$7:$G$26,0)),IF(AND(C1037&lt;&gt;"",C1037&lt;&gt;INDEX('Rules'!$B$7:$B$26,MATCH(SUBSTITUTE(SUBSTITUTE(SUBSTITUTE(SUBSTITUTE("type:"&amp;B1037,"%","%25"),"~","%7E"),"*","%2A"),"?","%3F"),'Rules'!$G$7:$G$26,0))),"Unit mismatch",IF(IF(NOT(ISNUMBER(D1037)),TRUE,OR(D1037&lt;0,D1037&gt;999999999,ROUND(D1037,3)&lt;&gt;D1037)),"Invalid current reading",IF(AND(E1037&lt;&gt;"",IF(NOT(ISNUMBER(E1037)),TRUE,OR(E1037&lt;0,E1037&gt;999999999,ROUND(E1037,3)&lt;&gt;E1037))),"Invalid previous reading",IF(IF(NOT(ISNUMBER(F1037)),TRUE,OR(F1037&lt;0,F1037&gt;999999999,ROUND(F1037,3)&lt;&gt;F1037)),"Invalid last service",IF(AND(E1037&lt;&gt;"",D1037&lt;E1037),"Decreased reading",IF(F1037&gt;D1037,"Last service above current","")))))))))))))</x:f>
      </x:c>
      <x:c r="L1037" s="6" t="str">
        <x:f>IF(AND(NOT(COUNTA(A1037:F1037)=0),K1037=""),INDEX('Rules'!$C$7:$C$26,MATCH(SUBSTITUTE(SUBSTITUTE(SUBSTITUTE(SUBSTITUTE("type:"&amp;B1037,"%","%25"),"~","%7E"),"*","%2A"),"?","%3F"),'Rules'!$G$7:$G$26,0)),"")</x:f>
      </x:c>
      <x:c r="M1037" s="6" t="str">
        <x:f>IF(AND(NOT(COUNTA(A1037:F1037)=0),K1037=""),INDEX('Rules'!$D$7:$D$26,MATCH(SUBSTITUTE(SUBSTITUTE(SUBSTITUTE(SUBSTITUTE("type:"&amp;B1037,"%","%25"),"~","%7E"),"*","%2A"),"?","%3F"),'Rules'!$G$7:$G$26,0)),"")</x:f>
      </x:c>
      <x:c r="N1037" s="5" t="str">
        <x:f>IF(COUNTA(A1037:F1037)=0,"",SUBSTITUTE(SUBSTITUTE(SUBSTITUTE(SUBSTITUTE("id:"&amp;A1037,"%","%25"),"~","%7E"),"*","%2A"),"?","%3F"))</x:f>
      </x:c>
    </x:row>
    <x:row r="1038" ht="22" customHeight="1">
      <x:c r="A1038" s="3"/>
      <x:c r="B1038" s="3"/>
      <x:c r="C1038" s="3"/>
      <x:c r="D1038" s="4"/>
      <x:c r="E1038" s="4"/>
      <x:c r="F1038" s="4"/>
      <x:c r="G1038" s="5" t="str">
        <x:f>IF(COUNTA(A1038:F1038)=0,"",IF(K1038&lt;&gt;"","Review",IF(I1038&lt;0,"Overdue",IF(I1038=0,"Due now",IF(I1038&lt;=M1038,"Due soon","Not due")))))</x:f>
      </x:c>
      <x:c r="H1038" s="5" t="str">
        <x:f>IF(OR(COUNTA(A1038:F1038)=0,COUNTIFS('Rules'!$G$7:$G$26,"="&amp;(SUBSTITUTE(SUBSTITUTE(SUBSTITUTE(SUBSTITUTE("type:"&amp;B1038,"%","%25"),"~","%7E"),"*","%2A"),"?","%3F")))&lt;&gt;1),"",IF(OR(INDEX('Rules'!$B$7:$B$26,MATCH(SUBSTITUTE(SUBSTITUTE(SUBSTITUTE(SUBSTITUTE("type:"&amp;B1038,"%","%25"),"~","%7E"),"*","%2A"),"?","%3F"),'Rules'!$G$7:$G$26,0))="hours",INDEX('Rules'!$B$7:$B$26,MATCH(SUBSTITUTE(SUBSTITUTE(SUBSTITUTE(SUBSTITUTE("type:"&amp;B1038,"%","%25"),"~","%7E"),"*","%2A"),"?","%3F"),'Rules'!$G$7:$G$26,0))="km"),INDEX('Rules'!$B$7:$B$26,MATCH(SUBSTITUTE(SUBSTITUTE(SUBSTITUTE(SUBSTITUTE("type:"&amp;B1038,"%","%25"),"~","%7E"),"*","%2A"),"?","%3F"),'Rules'!$G$7:$G$26,0)),""))</x:f>
      </x:c>
      <x:c r="I1038" s="6" t="str">
        <x:f>IF(AND(NOT(COUNTA(A1038:F1038)=0),K1038=""),ROUND(J1038-D1038,3),"")</x:f>
      </x:c>
      <x:c r="J1038" s="6" t="str">
        <x:f>IF(AND(NOT(COUNTA(A1038:F1038)=0),K1038=""),ROUND(F1038+L1038,3),"")</x:f>
      </x:c>
      <x:c r="K1038" s="5" t="str">
        <x:f>IF(COUNTA(A1038:F1038)=0,"",IF(A1038="","Missing equipment ID",IF(COUNTIFS($N$8:$N$2007,"="&amp;N1038)&gt;1,"Duplicate equipment ID",IF(B1038="","Missing type",IF(COUNTIFS('Rules'!$G$7:$G$26,"="&amp;(SUBSTITUTE(SUBSTITUTE(SUBSTITUTE(SUBSTITUTE("type:"&amp;B1038,"%","%25"),"~","%7E"),"*","%2A"),"?","%3F")))=0,"Unknown type",IF(COUNTIFS('Rules'!$G$7:$G$26,"="&amp;(SUBSTITUTE(SUBSTITUTE(SUBSTITUTE(SUBSTITUTE("type:"&amp;B1038,"%","%25"),"~","%7E"),"*","%2A"),"?","%3F")))&gt;1,"Duplicate type",IF(INDEX('Rules'!$F$7:$F$26,MATCH(SUBSTITUTE(SUBSTITUTE(SUBSTITUTE(SUBSTITUTE("type:"&amp;B1038,"%","%25"),"~","%7E"),"*","%2A"),"?","%3F"),'Rules'!$G$7:$G$26,0))&lt;&gt;"",INDEX('Rules'!$F$7:$F$26,MATCH(SUBSTITUTE(SUBSTITUTE(SUBSTITUTE(SUBSTITUTE("type:"&amp;B1038,"%","%25"),"~","%7E"),"*","%2A"),"?","%3F"),'Rules'!$G$7:$G$26,0)),IF(AND(C1038&lt;&gt;"",C1038&lt;&gt;INDEX('Rules'!$B$7:$B$26,MATCH(SUBSTITUTE(SUBSTITUTE(SUBSTITUTE(SUBSTITUTE("type:"&amp;B1038,"%","%25"),"~","%7E"),"*","%2A"),"?","%3F"),'Rules'!$G$7:$G$26,0))),"Unit mismatch",IF(IF(NOT(ISNUMBER(D1038)),TRUE,OR(D1038&lt;0,D1038&gt;999999999,ROUND(D1038,3)&lt;&gt;D1038)),"Invalid current reading",IF(AND(E1038&lt;&gt;"",IF(NOT(ISNUMBER(E1038)),TRUE,OR(E1038&lt;0,E1038&gt;999999999,ROUND(E1038,3)&lt;&gt;E1038))),"Invalid previous reading",IF(IF(NOT(ISNUMBER(F1038)),TRUE,OR(F1038&lt;0,F1038&gt;999999999,ROUND(F1038,3)&lt;&gt;F1038)),"Invalid last service",IF(AND(E1038&lt;&gt;"",D1038&lt;E1038),"Decreased reading",IF(F1038&gt;D1038,"Last service above current","")))))))))))))</x:f>
      </x:c>
      <x:c r="L1038" s="6" t="str">
        <x:f>IF(AND(NOT(COUNTA(A1038:F1038)=0),K1038=""),INDEX('Rules'!$C$7:$C$26,MATCH(SUBSTITUTE(SUBSTITUTE(SUBSTITUTE(SUBSTITUTE("type:"&amp;B1038,"%","%25"),"~","%7E"),"*","%2A"),"?","%3F"),'Rules'!$G$7:$G$26,0)),"")</x:f>
      </x:c>
      <x:c r="M1038" s="6" t="str">
        <x:f>IF(AND(NOT(COUNTA(A1038:F1038)=0),K1038=""),INDEX('Rules'!$D$7:$D$26,MATCH(SUBSTITUTE(SUBSTITUTE(SUBSTITUTE(SUBSTITUTE("type:"&amp;B1038,"%","%25"),"~","%7E"),"*","%2A"),"?","%3F"),'Rules'!$G$7:$G$26,0)),"")</x:f>
      </x:c>
      <x:c r="N1038" s="5" t="str">
        <x:f>IF(COUNTA(A1038:F1038)=0,"",SUBSTITUTE(SUBSTITUTE(SUBSTITUTE(SUBSTITUTE("id:"&amp;A1038,"%","%25"),"~","%7E"),"*","%2A"),"?","%3F"))</x:f>
      </x:c>
    </x:row>
    <x:row r="1039" ht="22" customHeight="1">
      <x:c r="A1039" s="3"/>
      <x:c r="B1039" s="3"/>
      <x:c r="C1039" s="3"/>
      <x:c r="D1039" s="4"/>
      <x:c r="E1039" s="4"/>
      <x:c r="F1039" s="4"/>
      <x:c r="G1039" s="5" t="str">
        <x:f>IF(COUNTA(A1039:F1039)=0,"",IF(K1039&lt;&gt;"","Review",IF(I1039&lt;0,"Overdue",IF(I1039=0,"Due now",IF(I1039&lt;=M1039,"Due soon","Not due")))))</x:f>
      </x:c>
      <x:c r="H1039" s="5" t="str">
        <x:f>IF(OR(COUNTA(A1039:F1039)=0,COUNTIFS('Rules'!$G$7:$G$26,"="&amp;(SUBSTITUTE(SUBSTITUTE(SUBSTITUTE(SUBSTITUTE("type:"&amp;B1039,"%","%25"),"~","%7E"),"*","%2A"),"?","%3F")))&lt;&gt;1),"",IF(OR(INDEX('Rules'!$B$7:$B$26,MATCH(SUBSTITUTE(SUBSTITUTE(SUBSTITUTE(SUBSTITUTE("type:"&amp;B1039,"%","%25"),"~","%7E"),"*","%2A"),"?","%3F"),'Rules'!$G$7:$G$26,0))="hours",INDEX('Rules'!$B$7:$B$26,MATCH(SUBSTITUTE(SUBSTITUTE(SUBSTITUTE(SUBSTITUTE("type:"&amp;B1039,"%","%25"),"~","%7E"),"*","%2A"),"?","%3F"),'Rules'!$G$7:$G$26,0))="km"),INDEX('Rules'!$B$7:$B$26,MATCH(SUBSTITUTE(SUBSTITUTE(SUBSTITUTE(SUBSTITUTE("type:"&amp;B1039,"%","%25"),"~","%7E"),"*","%2A"),"?","%3F"),'Rules'!$G$7:$G$26,0)),""))</x:f>
      </x:c>
      <x:c r="I1039" s="6" t="str">
        <x:f>IF(AND(NOT(COUNTA(A1039:F1039)=0),K1039=""),ROUND(J1039-D1039,3),"")</x:f>
      </x:c>
      <x:c r="J1039" s="6" t="str">
        <x:f>IF(AND(NOT(COUNTA(A1039:F1039)=0),K1039=""),ROUND(F1039+L1039,3),"")</x:f>
      </x:c>
      <x:c r="K1039" s="5" t="str">
        <x:f>IF(COUNTA(A1039:F1039)=0,"",IF(A1039="","Missing equipment ID",IF(COUNTIFS($N$8:$N$2007,"="&amp;N1039)&gt;1,"Duplicate equipment ID",IF(B1039="","Missing type",IF(COUNTIFS('Rules'!$G$7:$G$26,"="&amp;(SUBSTITUTE(SUBSTITUTE(SUBSTITUTE(SUBSTITUTE("type:"&amp;B1039,"%","%25"),"~","%7E"),"*","%2A"),"?","%3F")))=0,"Unknown type",IF(COUNTIFS('Rules'!$G$7:$G$26,"="&amp;(SUBSTITUTE(SUBSTITUTE(SUBSTITUTE(SUBSTITUTE("type:"&amp;B1039,"%","%25"),"~","%7E"),"*","%2A"),"?","%3F")))&gt;1,"Duplicate type",IF(INDEX('Rules'!$F$7:$F$26,MATCH(SUBSTITUTE(SUBSTITUTE(SUBSTITUTE(SUBSTITUTE("type:"&amp;B1039,"%","%25"),"~","%7E"),"*","%2A"),"?","%3F"),'Rules'!$G$7:$G$26,0))&lt;&gt;"",INDEX('Rules'!$F$7:$F$26,MATCH(SUBSTITUTE(SUBSTITUTE(SUBSTITUTE(SUBSTITUTE("type:"&amp;B1039,"%","%25"),"~","%7E"),"*","%2A"),"?","%3F"),'Rules'!$G$7:$G$26,0)),IF(AND(C1039&lt;&gt;"",C1039&lt;&gt;INDEX('Rules'!$B$7:$B$26,MATCH(SUBSTITUTE(SUBSTITUTE(SUBSTITUTE(SUBSTITUTE("type:"&amp;B1039,"%","%25"),"~","%7E"),"*","%2A"),"?","%3F"),'Rules'!$G$7:$G$26,0))),"Unit mismatch",IF(IF(NOT(ISNUMBER(D1039)),TRUE,OR(D1039&lt;0,D1039&gt;999999999,ROUND(D1039,3)&lt;&gt;D1039)),"Invalid current reading",IF(AND(E1039&lt;&gt;"",IF(NOT(ISNUMBER(E1039)),TRUE,OR(E1039&lt;0,E1039&gt;999999999,ROUND(E1039,3)&lt;&gt;E1039))),"Invalid previous reading",IF(IF(NOT(ISNUMBER(F1039)),TRUE,OR(F1039&lt;0,F1039&gt;999999999,ROUND(F1039,3)&lt;&gt;F1039)),"Invalid last service",IF(AND(E1039&lt;&gt;"",D1039&lt;E1039),"Decreased reading",IF(F1039&gt;D1039,"Last service above current","")))))))))))))</x:f>
      </x:c>
      <x:c r="L1039" s="6" t="str">
        <x:f>IF(AND(NOT(COUNTA(A1039:F1039)=0),K1039=""),INDEX('Rules'!$C$7:$C$26,MATCH(SUBSTITUTE(SUBSTITUTE(SUBSTITUTE(SUBSTITUTE("type:"&amp;B1039,"%","%25"),"~","%7E"),"*","%2A"),"?","%3F"),'Rules'!$G$7:$G$26,0)),"")</x:f>
      </x:c>
      <x:c r="M1039" s="6" t="str">
        <x:f>IF(AND(NOT(COUNTA(A1039:F1039)=0),K1039=""),INDEX('Rules'!$D$7:$D$26,MATCH(SUBSTITUTE(SUBSTITUTE(SUBSTITUTE(SUBSTITUTE("type:"&amp;B1039,"%","%25"),"~","%7E"),"*","%2A"),"?","%3F"),'Rules'!$G$7:$G$26,0)),"")</x:f>
      </x:c>
      <x:c r="N1039" s="5" t="str">
        <x:f>IF(COUNTA(A1039:F1039)=0,"",SUBSTITUTE(SUBSTITUTE(SUBSTITUTE(SUBSTITUTE("id:"&amp;A1039,"%","%25"),"~","%7E"),"*","%2A"),"?","%3F"))</x:f>
      </x:c>
    </x:row>
    <x:row r="1040" ht="22" customHeight="1">
      <x:c r="A1040" s="3"/>
      <x:c r="B1040" s="3"/>
      <x:c r="C1040" s="3"/>
      <x:c r="D1040" s="4"/>
      <x:c r="E1040" s="4"/>
      <x:c r="F1040" s="4"/>
      <x:c r="G1040" s="5" t="str">
        <x:f>IF(COUNTA(A1040:F1040)=0,"",IF(K1040&lt;&gt;"","Review",IF(I1040&lt;0,"Overdue",IF(I1040=0,"Due now",IF(I1040&lt;=M1040,"Due soon","Not due")))))</x:f>
      </x:c>
      <x:c r="H1040" s="5" t="str">
        <x:f>IF(OR(COUNTA(A1040:F1040)=0,COUNTIFS('Rules'!$G$7:$G$26,"="&amp;(SUBSTITUTE(SUBSTITUTE(SUBSTITUTE(SUBSTITUTE("type:"&amp;B1040,"%","%25"),"~","%7E"),"*","%2A"),"?","%3F")))&lt;&gt;1),"",IF(OR(INDEX('Rules'!$B$7:$B$26,MATCH(SUBSTITUTE(SUBSTITUTE(SUBSTITUTE(SUBSTITUTE("type:"&amp;B1040,"%","%25"),"~","%7E"),"*","%2A"),"?","%3F"),'Rules'!$G$7:$G$26,0))="hours",INDEX('Rules'!$B$7:$B$26,MATCH(SUBSTITUTE(SUBSTITUTE(SUBSTITUTE(SUBSTITUTE("type:"&amp;B1040,"%","%25"),"~","%7E"),"*","%2A"),"?","%3F"),'Rules'!$G$7:$G$26,0))="km"),INDEX('Rules'!$B$7:$B$26,MATCH(SUBSTITUTE(SUBSTITUTE(SUBSTITUTE(SUBSTITUTE("type:"&amp;B1040,"%","%25"),"~","%7E"),"*","%2A"),"?","%3F"),'Rules'!$G$7:$G$26,0)),""))</x:f>
      </x:c>
      <x:c r="I1040" s="6" t="str">
        <x:f>IF(AND(NOT(COUNTA(A1040:F1040)=0),K1040=""),ROUND(J1040-D1040,3),"")</x:f>
      </x:c>
      <x:c r="J1040" s="6" t="str">
        <x:f>IF(AND(NOT(COUNTA(A1040:F1040)=0),K1040=""),ROUND(F1040+L1040,3),"")</x:f>
      </x:c>
      <x:c r="K1040" s="5" t="str">
        <x:f>IF(COUNTA(A1040:F1040)=0,"",IF(A1040="","Missing equipment ID",IF(COUNTIFS($N$8:$N$2007,"="&amp;N1040)&gt;1,"Duplicate equipment ID",IF(B1040="","Missing type",IF(COUNTIFS('Rules'!$G$7:$G$26,"="&amp;(SUBSTITUTE(SUBSTITUTE(SUBSTITUTE(SUBSTITUTE("type:"&amp;B1040,"%","%25"),"~","%7E"),"*","%2A"),"?","%3F")))=0,"Unknown type",IF(COUNTIFS('Rules'!$G$7:$G$26,"="&amp;(SUBSTITUTE(SUBSTITUTE(SUBSTITUTE(SUBSTITUTE("type:"&amp;B1040,"%","%25"),"~","%7E"),"*","%2A"),"?","%3F")))&gt;1,"Duplicate type",IF(INDEX('Rules'!$F$7:$F$26,MATCH(SUBSTITUTE(SUBSTITUTE(SUBSTITUTE(SUBSTITUTE("type:"&amp;B1040,"%","%25"),"~","%7E"),"*","%2A"),"?","%3F"),'Rules'!$G$7:$G$26,0))&lt;&gt;"",INDEX('Rules'!$F$7:$F$26,MATCH(SUBSTITUTE(SUBSTITUTE(SUBSTITUTE(SUBSTITUTE("type:"&amp;B1040,"%","%25"),"~","%7E"),"*","%2A"),"?","%3F"),'Rules'!$G$7:$G$26,0)),IF(AND(C1040&lt;&gt;"",C1040&lt;&gt;INDEX('Rules'!$B$7:$B$26,MATCH(SUBSTITUTE(SUBSTITUTE(SUBSTITUTE(SUBSTITUTE("type:"&amp;B1040,"%","%25"),"~","%7E"),"*","%2A"),"?","%3F"),'Rules'!$G$7:$G$26,0))),"Unit mismatch",IF(IF(NOT(ISNUMBER(D1040)),TRUE,OR(D1040&lt;0,D1040&gt;999999999,ROUND(D1040,3)&lt;&gt;D1040)),"Invalid current reading",IF(AND(E1040&lt;&gt;"",IF(NOT(ISNUMBER(E1040)),TRUE,OR(E1040&lt;0,E1040&gt;999999999,ROUND(E1040,3)&lt;&gt;E1040))),"Invalid previous reading",IF(IF(NOT(ISNUMBER(F1040)),TRUE,OR(F1040&lt;0,F1040&gt;999999999,ROUND(F1040,3)&lt;&gt;F1040)),"Invalid last service",IF(AND(E1040&lt;&gt;"",D1040&lt;E1040),"Decreased reading",IF(F1040&gt;D1040,"Last service above current","")))))))))))))</x:f>
      </x:c>
      <x:c r="L1040" s="6" t="str">
        <x:f>IF(AND(NOT(COUNTA(A1040:F1040)=0),K1040=""),INDEX('Rules'!$C$7:$C$26,MATCH(SUBSTITUTE(SUBSTITUTE(SUBSTITUTE(SUBSTITUTE("type:"&amp;B1040,"%","%25"),"~","%7E"),"*","%2A"),"?","%3F"),'Rules'!$G$7:$G$26,0)),"")</x:f>
      </x:c>
      <x:c r="M1040" s="6" t="str">
        <x:f>IF(AND(NOT(COUNTA(A1040:F1040)=0),K1040=""),INDEX('Rules'!$D$7:$D$26,MATCH(SUBSTITUTE(SUBSTITUTE(SUBSTITUTE(SUBSTITUTE("type:"&amp;B1040,"%","%25"),"~","%7E"),"*","%2A"),"?","%3F"),'Rules'!$G$7:$G$26,0)),"")</x:f>
      </x:c>
      <x:c r="N1040" s="5" t="str">
        <x:f>IF(COUNTA(A1040:F1040)=0,"",SUBSTITUTE(SUBSTITUTE(SUBSTITUTE(SUBSTITUTE("id:"&amp;A1040,"%","%25"),"~","%7E"),"*","%2A"),"?","%3F"))</x:f>
      </x:c>
    </x:row>
    <x:row r="1041" ht="22" customHeight="1">
      <x:c r="A1041" s="3"/>
      <x:c r="B1041" s="3"/>
      <x:c r="C1041" s="3"/>
      <x:c r="D1041" s="4"/>
      <x:c r="E1041" s="4"/>
      <x:c r="F1041" s="4"/>
      <x:c r="G1041" s="5" t="str">
        <x:f>IF(COUNTA(A1041:F1041)=0,"",IF(K1041&lt;&gt;"","Review",IF(I1041&lt;0,"Overdue",IF(I1041=0,"Due now",IF(I1041&lt;=M1041,"Due soon","Not due")))))</x:f>
      </x:c>
      <x:c r="H1041" s="5" t="str">
        <x:f>IF(OR(COUNTA(A1041:F1041)=0,COUNTIFS('Rules'!$G$7:$G$26,"="&amp;(SUBSTITUTE(SUBSTITUTE(SUBSTITUTE(SUBSTITUTE("type:"&amp;B1041,"%","%25"),"~","%7E"),"*","%2A"),"?","%3F")))&lt;&gt;1),"",IF(OR(INDEX('Rules'!$B$7:$B$26,MATCH(SUBSTITUTE(SUBSTITUTE(SUBSTITUTE(SUBSTITUTE("type:"&amp;B1041,"%","%25"),"~","%7E"),"*","%2A"),"?","%3F"),'Rules'!$G$7:$G$26,0))="hours",INDEX('Rules'!$B$7:$B$26,MATCH(SUBSTITUTE(SUBSTITUTE(SUBSTITUTE(SUBSTITUTE("type:"&amp;B1041,"%","%25"),"~","%7E"),"*","%2A"),"?","%3F"),'Rules'!$G$7:$G$26,0))="km"),INDEX('Rules'!$B$7:$B$26,MATCH(SUBSTITUTE(SUBSTITUTE(SUBSTITUTE(SUBSTITUTE("type:"&amp;B1041,"%","%25"),"~","%7E"),"*","%2A"),"?","%3F"),'Rules'!$G$7:$G$26,0)),""))</x:f>
      </x:c>
      <x:c r="I1041" s="6" t="str">
        <x:f>IF(AND(NOT(COUNTA(A1041:F1041)=0),K1041=""),ROUND(J1041-D1041,3),"")</x:f>
      </x:c>
      <x:c r="J1041" s="6" t="str">
        <x:f>IF(AND(NOT(COUNTA(A1041:F1041)=0),K1041=""),ROUND(F1041+L1041,3),"")</x:f>
      </x:c>
      <x:c r="K1041" s="5" t="str">
        <x:f>IF(COUNTA(A1041:F1041)=0,"",IF(A1041="","Missing equipment ID",IF(COUNTIFS($N$8:$N$2007,"="&amp;N1041)&gt;1,"Duplicate equipment ID",IF(B1041="","Missing type",IF(COUNTIFS('Rules'!$G$7:$G$26,"="&amp;(SUBSTITUTE(SUBSTITUTE(SUBSTITUTE(SUBSTITUTE("type:"&amp;B1041,"%","%25"),"~","%7E"),"*","%2A"),"?","%3F")))=0,"Unknown type",IF(COUNTIFS('Rules'!$G$7:$G$26,"="&amp;(SUBSTITUTE(SUBSTITUTE(SUBSTITUTE(SUBSTITUTE("type:"&amp;B1041,"%","%25"),"~","%7E"),"*","%2A"),"?","%3F")))&gt;1,"Duplicate type",IF(INDEX('Rules'!$F$7:$F$26,MATCH(SUBSTITUTE(SUBSTITUTE(SUBSTITUTE(SUBSTITUTE("type:"&amp;B1041,"%","%25"),"~","%7E"),"*","%2A"),"?","%3F"),'Rules'!$G$7:$G$26,0))&lt;&gt;"",INDEX('Rules'!$F$7:$F$26,MATCH(SUBSTITUTE(SUBSTITUTE(SUBSTITUTE(SUBSTITUTE("type:"&amp;B1041,"%","%25"),"~","%7E"),"*","%2A"),"?","%3F"),'Rules'!$G$7:$G$26,0)),IF(AND(C1041&lt;&gt;"",C1041&lt;&gt;INDEX('Rules'!$B$7:$B$26,MATCH(SUBSTITUTE(SUBSTITUTE(SUBSTITUTE(SUBSTITUTE("type:"&amp;B1041,"%","%25"),"~","%7E"),"*","%2A"),"?","%3F"),'Rules'!$G$7:$G$26,0))),"Unit mismatch",IF(IF(NOT(ISNUMBER(D1041)),TRUE,OR(D1041&lt;0,D1041&gt;999999999,ROUND(D1041,3)&lt;&gt;D1041)),"Invalid current reading",IF(AND(E1041&lt;&gt;"",IF(NOT(ISNUMBER(E1041)),TRUE,OR(E1041&lt;0,E1041&gt;999999999,ROUND(E1041,3)&lt;&gt;E1041))),"Invalid previous reading",IF(IF(NOT(ISNUMBER(F1041)),TRUE,OR(F1041&lt;0,F1041&gt;999999999,ROUND(F1041,3)&lt;&gt;F1041)),"Invalid last service",IF(AND(E1041&lt;&gt;"",D1041&lt;E1041),"Decreased reading",IF(F1041&gt;D1041,"Last service above current","")))))))))))))</x:f>
      </x:c>
      <x:c r="L1041" s="6" t="str">
        <x:f>IF(AND(NOT(COUNTA(A1041:F1041)=0),K1041=""),INDEX('Rules'!$C$7:$C$26,MATCH(SUBSTITUTE(SUBSTITUTE(SUBSTITUTE(SUBSTITUTE("type:"&amp;B1041,"%","%25"),"~","%7E"),"*","%2A"),"?","%3F"),'Rules'!$G$7:$G$26,0)),"")</x:f>
      </x:c>
      <x:c r="M1041" s="6" t="str">
        <x:f>IF(AND(NOT(COUNTA(A1041:F1041)=0),K1041=""),INDEX('Rules'!$D$7:$D$26,MATCH(SUBSTITUTE(SUBSTITUTE(SUBSTITUTE(SUBSTITUTE("type:"&amp;B1041,"%","%25"),"~","%7E"),"*","%2A"),"?","%3F"),'Rules'!$G$7:$G$26,0)),"")</x:f>
      </x:c>
      <x:c r="N1041" s="5" t="str">
        <x:f>IF(COUNTA(A1041:F1041)=0,"",SUBSTITUTE(SUBSTITUTE(SUBSTITUTE(SUBSTITUTE("id:"&amp;A1041,"%","%25"),"~","%7E"),"*","%2A"),"?","%3F"))</x:f>
      </x:c>
    </x:row>
    <x:row r="1042" ht="22" customHeight="1">
      <x:c r="A1042" s="3"/>
      <x:c r="B1042" s="3"/>
      <x:c r="C1042" s="3"/>
      <x:c r="D1042" s="4"/>
      <x:c r="E1042" s="4"/>
      <x:c r="F1042" s="4"/>
      <x:c r="G1042" s="5" t="str">
        <x:f>IF(COUNTA(A1042:F1042)=0,"",IF(K1042&lt;&gt;"","Review",IF(I1042&lt;0,"Overdue",IF(I1042=0,"Due now",IF(I1042&lt;=M1042,"Due soon","Not due")))))</x:f>
      </x:c>
      <x:c r="H1042" s="5" t="str">
        <x:f>IF(OR(COUNTA(A1042:F1042)=0,COUNTIFS('Rules'!$G$7:$G$26,"="&amp;(SUBSTITUTE(SUBSTITUTE(SUBSTITUTE(SUBSTITUTE("type:"&amp;B1042,"%","%25"),"~","%7E"),"*","%2A"),"?","%3F")))&lt;&gt;1),"",IF(OR(INDEX('Rules'!$B$7:$B$26,MATCH(SUBSTITUTE(SUBSTITUTE(SUBSTITUTE(SUBSTITUTE("type:"&amp;B1042,"%","%25"),"~","%7E"),"*","%2A"),"?","%3F"),'Rules'!$G$7:$G$26,0))="hours",INDEX('Rules'!$B$7:$B$26,MATCH(SUBSTITUTE(SUBSTITUTE(SUBSTITUTE(SUBSTITUTE("type:"&amp;B1042,"%","%25"),"~","%7E"),"*","%2A"),"?","%3F"),'Rules'!$G$7:$G$26,0))="km"),INDEX('Rules'!$B$7:$B$26,MATCH(SUBSTITUTE(SUBSTITUTE(SUBSTITUTE(SUBSTITUTE("type:"&amp;B1042,"%","%25"),"~","%7E"),"*","%2A"),"?","%3F"),'Rules'!$G$7:$G$26,0)),""))</x:f>
      </x:c>
      <x:c r="I1042" s="6" t="str">
        <x:f>IF(AND(NOT(COUNTA(A1042:F1042)=0),K1042=""),ROUND(J1042-D1042,3),"")</x:f>
      </x:c>
      <x:c r="J1042" s="6" t="str">
        <x:f>IF(AND(NOT(COUNTA(A1042:F1042)=0),K1042=""),ROUND(F1042+L1042,3),"")</x:f>
      </x:c>
      <x:c r="K1042" s="5" t="str">
        <x:f>IF(COUNTA(A1042:F1042)=0,"",IF(A1042="","Missing equipment ID",IF(COUNTIFS($N$8:$N$2007,"="&amp;N1042)&gt;1,"Duplicate equipment ID",IF(B1042="","Missing type",IF(COUNTIFS('Rules'!$G$7:$G$26,"="&amp;(SUBSTITUTE(SUBSTITUTE(SUBSTITUTE(SUBSTITUTE("type:"&amp;B1042,"%","%25"),"~","%7E"),"*","%2A"),"?","%3F")))=0,"Unknown type",IF(COUNTIFS('Rules'!$G$7:$G$26,"="&amp;(SUBSTITUTE(SUBSTITUTE(SUBSTITUTE(SUBSTITUTE("type:"&amp;B1042,"%","%25"),"~","%7E"),"*","%2A"),"?","%3F")))&gt;1,"Duplicate type",IF(INDEX('Rules'!$F$7:$F$26,MATCH(SUBSTITUTE(SUBSTITUTE(SUBSTITUTE(SUBSTITUTE("type:"&amp;B1042,"%","%25"),"~","%7E"),"*","%2A"),"?","%3F"),'Rules'!$G$7:$G$26,0))&lt;&gt;"",INDEX('Rules'!$F$7:$F$26,MATCH(SUBSTITUTE(SUBSTITUTE(SUBSTITUTE(SUBSTITUTE("type:"&amp;B1042,"%","%25"),"~","%7E"),"*","%2A"),"?","%3F"),'Rules'!$G$7:$G$26,0)),IF(AND(C1042&lt;&gt;"",C1042&lt;&gt;INDEX('Rules'!$B$7:$B$26,MATCH(SUBSTITUTE(SUBSTITUTE(SUBSTITUTE(SUBSTITUTE("type:"&amp;B1042,"%","%25"),"~","%7E"),"*","%2A"),"?","%3F"),'Rules'!$G$7:$G$26,0))),"Unit mismatch",IF(IF(NOT(ISNUMBER(D1042)),TRUE,OR(D1042&lt;0,D1042&gt;999999999,ROUND(D1042,3)&lt;&gt;D1042)),"Invalid current reading",IF(AND(E1042&lt;&gt;"",IF(NOT(ISNUMBER(E1042)),TRUE,OR(E1042&lt;0,E1042&gt;999999999,ROUND(E1042,3)&lt;&gt;E1042))),"Invalid previous reading",IF(IF(NOT(ISNUMBER(F1042)),TRUE,OR(F1042&lt;0,F1042&gt;999999999,ROUND(F1042,3)&lt;&gt;F1042)),"Invalid last service",IF(AND(E1042&lt;&gt;"",D1042&lt;E1042),"Decreased reading",IF(F1042&gt;D1042,"Last service above current","")))))))))))))</x:f>
      </x:c>
      <x:c r="L1042" s="6" t="str">
        <x:f>IF(AND(NOT(COUNTA(A1042:F1042)=0),K1042=""),INDEX('Rules'!$C$7:$C$26,MATCH(SUBSTITUTE(SUBSTITUTE(SUBSTITUTE(SUBSTITUTE("type:"&amp;B1042,"%","%25"),"~","%7E"),"*","%2A"),"?","%3F"),'Rules'!$G$7:$G$26,0)),"")</x:f>
      </x:c>
      <x:c r="M1042" s="6" t="str">
        <x:f>IF(AND(NOT(COUNTA(A1042:F1042)=0),K1042=""),INDEX('Rules'!$D$7:$D$26,MATCH(SUBSTITUTE(SUBSTITUTE(SUBSTITUTE(SUBSTITUTE("type:"&amp;B1042,"%","%25"),"~","%7E"),"*","%2A"),"?","%3F"),'Rules'!$G$7:$G$26,0)),"")</x:f>
      </x:c>
      <x:c r="N1042" s="5" t="str">
        <x:f>IF(COUNTA(A1042:F1042)=0,"",SUBSTITUTE(SUBSTITUTE(SUBSTITUTE(SUBSTITUTE("id:"&amp;A1042,"%","%25"),"~","%7E"),"*","%2A"),"?","%3F"))</x:f>
      </x:c>
    </x:row>
    <x:row r="1043" ht="22" customHeight="1">
      <x:c r="A1043" s="3"/>
      <x:c r="B1043" s="3"/>
      <x:c r="C1043" s="3"/>
      <x:c r="D1043" s="4"/>
      <x:c r="E1043" s="4"/>
      <x:c r="F1043" s="4"/>
      <x:c r="G1043" s="5" t="str">
        <x:f>IF(COUNTA(A1043:F1043)=0,"",IF(K1043&lt;&gt;"","Review",IF(I1043&lt;0,"Overdue",IF(I1043=0,"Due now",IF(I1043&lt;=M1043,"Due soon","Not due")))))</x:f>
      </x:c>
      <x:c r="H1043" s="5" t="str">
        <x:f>IF(OR(COUNTA(A1043:F1043)=0,COUNTIFS('Rules'!$G$7:$G$26,"="&amp;(SUBSTITUTE(SUBSTITUTE(SUBSTITUTE(SUBSTITUTE("type:"&amp;B1043,"%","%25"),"~","%7E"),"*","%2A"),"?","%3F")))&lt;&gt;1),"",IF(OR(INDEX('Rules'!$B$7:$B$26,MATCH(SUBSTITUTE(SUBSTITUTE(SUBSTITUTE(SUBSTITUTE("type:"&amp;B1043,"%","%25"),"~","%7E"),"*","%2A"),"?","%3F"),'Rules'!$G$7:$G$26,0))="hours",INDEX('Rules'!$B$7:$B$26,MATCH(SUBSTITUTE(SUBSTITUTE(SUBSTITUTE(SUBSTITUTE("type:"&amp;B1043,"%","%25"),"~","%7E"),"*","%2A"),"?","%3F"),'Rules'!$G$7:$G$26,0))="km"),INDEX('Rules'!$B$7:$B$26,MATCH(SUBSTITUTE(SUBSTITUTE(SUBSTITUTE(SUBSTITUTE("type:"&amp;B1043,"%","%25"),"~","%7E"),"*","%2A"),"?","%3F"),'Rules'!$G$7:$G$26,0)),""))</x:f>
      </x:c>
      <x:c r="I1043" s="6" t="str">
        <x:f>IF(AND(NOT(COUNTA(A1043:F1043)=0),K1043=""),ROUND(J1043-D1043,3),"")</x:f>
      </x:c>
      <x:c r="J1043" s="6" t="str">
        <x:f>IF(AND(NOT(COUNTA(A1043:F1043)=0),K1043=""),ROUND(F1043+L1043,3),"")</x:f>
      </x:c>
      <x:c r="K1043" s="5" t="str">
        <x:f>IF(COUNTA(A1043:F1043)=0,"",IF(A1043="","Missing equipment ID",IF(COUNTIFS($N$8:$N$2007,"="&amp;N1043)&gt;1,"Duplicate equipment ID",IF(B1043="","Missing type",IF(COUNTIFS('Rules'!$G$7:$G$26,"="&amp;(SUBSTITUTE(SUBSTITUTE(SUBSTITUTE(SUBSTITUTE("type:"&amp;B1043,"%","%25"),"~","%7E"),"*","%2A"),"?","%3F")))=0,"Unknown type",IF(COUNTIFS('Rules'!$G$7:$G$26,"="&amp;(SUBSTITUTE(SUBSTITUTE(SUBSTITUTE(SUBSTITUTE("type:"&amp;B1043,"%","%25"),"~","%7E"),"*","%2A"),"?","%3F")))&gt;1,"Duplicate type",IF(INDEX('Rules'!$F$7:$F$26,MATCH(SUBSTITUTE(SUBSTITUTE(SUBSTITUTE(SUBSTITUTE("type:"&amp;B1043,"%","%25"),"~","%7E"),"*","%2A"),"?","%3F"),'Rules'!$G$7:$G$26,0))&lt;&gt;"",INDEX('Rules'!$F$7:$F$26,MATCH(SUBSTITUTE(SUBSTITUTE(SUBSTITUTE(SUBSTITUTE("type:"&amp;B1043,"%","%25"),"~","%7E"),"*","%2A"),"?","%3F"),'Rules'!$G$7:$G$26,0)),IF(AND(C1043&lt;&gt;"",C1043&lt;&gt;INDEX('Rules'!$B$7:$B$26,MATCH(SUBSTITUTE(SUBSTITUTE(SUBSTITUTE(SUBSTITUTE("type:"&amp;B1043,"%","%25"),"~","%7E"),"*","%2A"),"?","%3F"),'Rules'!$G$7:$G$26,0))),"Unit mismatch",IF(IF(NOT(ISNUMBER(D1043)),TRUE,OR(D1043&lt;0,D1043&gt;999999999,ROUND(D1043,3)&lt;&gt;D1043)),"Invalid current reading",IF(AND(E1043&lt;&gt;"",IF(NOT(ISNUMBER(E1043)),TRUE,OR(E1043&lt;0,E1043&gt;999999999,ROUND(E1043,3)&lt;&gt;E1043))),"Invalid previous reading",IF(IF(NOT(ISNUMBER(F1043)),TRUE,OR(F1043&lt;0,F1043&gt;999999999,ROUND(F1043,3)&lt;&gt;F1043)),"Invalid last service",IF(AND(E1043&lt;&gt;"",D1043&lt;E1043),"Decreased reading",IF(F1043&gt;D1043,"Last service above current","")))))))))))))</x:f>
      </x:c>
      <x:c r="L1043" s="6" t="str">
        <x:f>IF(AND(NOT(COUNTA(A1043:F1043)=0),K1043=""),INDEX('Rules'!$C$7:$C$26,MATCH(SUBSTITUTE(SUBSTITUTE(SUBSTITUTE(SUBSTITUTE("type:"&amp;B1043,"%","%25"),"~","%7E"),"*","%2A"),"?","%3F"),'Rules'!$G$7:$G$26,0)),"")</x:f>
      </x:c>
      <x:c r="M1043" s="6" t="str">
        <x:f>IF(AND(NOT(COUNTA(A1043:F1043)=0),K1043=""),INDEX('Rules'!$D$7:$D$26,MATCH(SUBSTITUTE(SUBSTITUTE(SUBSTITUTE(SUBSTITUTE("type:"&amp;B1043,"%","%25"),"~","%7E"),"*","%2A"),"?","%3F"),'Rules'!$G$7:$G$26,0)),"")</x:f>
      </x:c>
      <x:c r="N1043" s="5" t="str">
        <x:f>IF(COUNTA(A1043:F1043)=0,"",SUBSTITUTE(SUBSTITUTE(SUBSTITUTE(SUBSTITUTE("id:"&amp;A1043,"%","%25"),"~","%7E"),"*","%2A"),"?","%3F"))</x:f>
      </x:c>
    </x:row>
    <x:row r="1044" ht="22" customHeight="1">
      <x:c r="A1044" s="3"/>
      <x:c r="B1044" s="3"/>
      <x:c r="C1044" s="3"/>
      <x:c r="D1044" s="4"/>
      <x:c r="E1044" s="4"/>
      <x:c r="F1044" s="4"/>
      <x:c r="G1044" s="5" t="str">
        <x:f>IF(COUNTA(A1044:F1044)=0,"",IF(K1044&lt;&gt;"","Review",IF(I1044&lt;0,"Overdue",IF(I1044=0,"Due now",IF(I1044&lt;=M1044,"Due soon","Not due")))))</x:f>
      </x:c>
      <x:c r="H1044" s="5" t="str">
        <x:f>IF(OR(COUNTA(A1044:F1044)=0,COUNTIFS('Rules'!$G$7:$G$26,"="&amp;(SUBSTITUTE(SUBSTITUTE(SUBSTITUTE(SUBSTITUTE("type:"&amp;B1044,"%","%25"),"~","%7E"),"*","%2A"),"?","%3F")))&lt;&gt;1),"",IF(OR(INDEX('Rules'!$B$7:$B$26,MATCH(SUBSTITUTE(SUBSTITUTE(SUBSTITUTE(SUBSTITUTE("type:"&amp;B1044,"%","%25"),"~","%7E"),"*","%2A"),"?","%3F"),'Rules'!$G$7:$G$26,0))="hours",INDEX('Rules'!$B$7:$B$26,MATCH(SUBSTITUTE(SUBSTITUTE(SUBSTITUTE(SUBSTITUTE("type:"&amp;B1044,"%","%25"),"~","%7E"),"*","%2A"),"?","%3F"),'Rules'!$G$7:$G$26,0))="km"),INDEX('Rules'!$B$7:$B$26,MATCH(SUBSTITUTE(SUBSTITUTE(SUBSTITUTE(SUBSTITUTE("type:"&amp;B1044,"%","%25"),"~","%7E"),"*","%2A"),"?","%3F"),'Rules'!$G$7:$G$26,0)),""))</x:f>
      </x:c>
      <x:c r="I1044" s="6" t="str">
        <x:f>IF(AND(NOT(COUNTA(A1044:F1044)=0),K1044=""),ROUND(J1044-D1044,3),"")</x:f>
      </x:c>
      <x:c r="J1044" s="6" t="str">
        <x:f>IF(AND(NOT(COUNTA(A1044:F1044)=0),K1044=""),ROUND(F1044+L1044,3),"")</x:f>
      </x:c>
      <x:c r="K1044" s="5" t="str">
        <x:f>IF(COUNTA(A1044:F1044)=0,"",IF(A1044="","Missing equipment ID",IF(COUNTIFS($N$8:$N$2007,"="&amp;N1044)&gt;1,"Duplicate equipment ID",IF(B1044="","Missing type",IF(COUNTIFS('Rules'!$G$7:$G$26,"="&amp;(SUBSTITUTE(SUBSTITUTE(SUBSTITUTE(SUBSTITUTE("type:"&amp;B1044,"%","%25"),"~","%7E"),"*","%2A"),"?","%3F")))=0,"Unknown type",IF(COUNTIFS('Rules'!$G$7:$G$26,"="&amp;(SUBSTITUTE(SUBSTITUTE(SUBSTITUTE(SUBSTITUTE("type:"&amp;B1044,"%","%25"),"~","%7E"),"*","%2A"),"?","%3F")))&gt;1,"Duplicate type",IF(INDEX('Rules'!$F$7:$F$26,MATCH(SUBSTITUTE(SUBSTITUTE(SUBSTITUTE(SUBSTITUTE("type:"&amp;B1044,"%","%25"),"~","%7E"),"*","%2A"),"?","%3F"),'Rules'!$G$7:$G$26,0))&lt;&gt;"",INDEX('Rules'!$F$7:$F$26,MATCH(SUBSTITUTE(SUBSTITUTE(SUBSTITUTE(SUBSTITUTE("type:"&amp;B1044,"%","%25"),"~","%7E"),"*","%2A"),"?","%3F"),'Rules'!$G$7:$G$26,0)),IF(AND(C1044&lt;&gt;"",C1044&lt;&gt;INDEX('Rules'!$B$7:$B$26,MATCH(SUBSTITUTE(SUBSTITUTE(SUBSTITUTE(SUBSTITUTE("type:"&amp;B1044,"%","%25"),"~","%7E"),"*","%2A"),"?","%3F"),'Rules'!$G$7:$G$26,0))),"Unit mismatch",IF(IF(NOT(ISNUMBER(D1044)),TRUE,OR(D1044&lt;0,D1044&gt;999999999,ROUND(D1044,3)&lt;&gt;D1044)),"Invalid current reading",IF(AND(E1044&lt;&gt;"",IF(NOT(ISNUMBER(E1044)),TRUE,OR(E1044&lt;0,E1044&gt;999999999,ROUND(E1044,3)&lt;&gt;E1044))),"Invalid previous reading",IF(IF(NOT(ISNUMBER(F1044)),TRUE,OR(F1044&lt;0,F1044&gt;999999999,ROUND(F1044,3)&lt;&gt;F1044)),"Invalid last service",IF(AND(E1044&lt;&gt;"",D1044&lt;E1044),"Decreased reading",IF(F1044&gt;D1044,"Last service above current","")))))))))))))</x:f>
      </x:c>
      <x:c r="L1044" s="6" t="str">
        <x:f>IF(AND(NOT(COUNTA(A1044:F1044)=0),K1044=""),INDEX('Rules'!$C$7:$C$26,MATCH(SUBSTITUTE(SUBSTITUTE(SUBSTITUTE(SUBSTITUTE("type:"&amp;B1044,"%","%25"),"~","%7E"),"*","%2A"),"?","%3F"),'Rules'!$G$7:$G$26,0)),"")</x:f>
      </x:c>
      <x:c r="M1044" s="6" t="str">
        <x:f>IF(AND(NOT(COUNTA(A1044:F1044)=0),K1044=""),INDEX('Rules'!$D$7:$D$26,MATCH(SUBSTITUTE(SUBSTITUTE(SUBSTITUTE(SUBSTITUTE("type:"&amp;B1044,"%","%25"),"~","%7E"),"*","%2A"),"?","%3F"),'Rules'!$G$7:$G$26,0)),"")</x:f>
      </x:c>
      <x:c r="N1044" s="5" t="str">
        <x:f>IF(COUNTA(A1044:F1044)=0,"",SUBSTITUTE(SUBSTITUTE(SUBSTITUTE(SUBSTITUTE("id:"&amp;A1044,"%","%25"),"~","%7E"),"*","%2A"),"?","%3F"))</x:f>
      </x:c>
    </x:row>
    <x:row r="1045" ht="22" customHeight="1">
      <x:c r="A1045" s="3"/>
      <x:c r="B1045" s="3"/>
      <x:c r="C1045" s="3"/>
      <x:c r="D1045" s="4"/>
      <x:c r="E1045" s="4"/>
      <x:c r="F1045" s="4"/>
      <x:c r="G1045" s="5" t="str">
        <x:f>IF(COUNTA(A1045:F1045)=0,"",IF(K1045&lt;&gt;"","Review",IF(I1045&lt;0,"Overdue",IF(I1045=0,"Due now",IF(I1045&lt;=M1045,"Due soon","Not due")))))</x:f>
      </x:c>
      <x:c r="H1045" s="5" t="str">
        <x:f>IF(OR(COUNTA(A1045:F1045)=0,COUNTIFS('Rules'!$G$7:$G$26,"="&amp;(SUBSTITUTE(SUBSTITUTE(SUBSTITUTE(SUBSTITUTE("type:"&amp;B1045,"%","%25"),"~","%7E"),"*","%2A"),"?","%3F")))&lt;&gt;1),"",IF(OR(INDEX('Rules'!$B$7:$B$26,MATCH(SUBSTITUTE(SUBSTITUTE(SUBSTITUTE(SUBSTITUTE("type:"&amp;B1045,"%","%25"),"~","%7E"),"*","%2A"),"?","%3F"),'Rules'!$G$7:$G$26,0))="hours",INDEX('Rules'!$B$7:$B$26,MATCH(SUBSTITUTE(SUBSTITUTE(SUBSTITUTE(SUBSTITUTE("type:"&amp;B1045,"%","%25"),"~","%7E"),"*","%2A"),"?","%3F"),'Rules'!$G$7:$G$26,0))="km"),INDEX('Rules'!$B$7:$B$26,MATCH(SUBSTITUTE(SUBSTITUTE(SUBSTITUTE(SUBSTITUTE("type:"&amp;B1045,"%","%25"),"~","%7E"),"*","%2A"),"?","%3F"),'Rules'!$G$7:$G$26,0)),""))</x:f>
      </x:c>
      <x:c r="I1045" s="6" t="str">
        <x:f>IF(AND(NOT(COUNTA(A1045:F1045)=0),K1045=""),ROUND(J1045-D1045,3),"")</x:f>
      </x:c>
      <x:c r="J1045" s="6" t="str">
        <x:f>IF(AND(NOT(COUNTA(A1045:F1045)=0),K1045=""),ROUND(F1045+L1045,3),"")</x:f>
      </x:c>
      <x:c r="K1045" s="5" t="str">
        <x:f>IF(COUNTA(A1045:F1045)=0,"",IF(A1045="","Missing equipment ID",IF(COUNTIFS($N$8:$N$2007,"="&amp;N1045)&gt;1,"Duplicate equipment ID",IF(B1045="","Missing type",IF(COUNTIFS('Rules'!$G$7:$G$26,"="&amp;(SUBSTITUTE(SUBSTITUTE(SUBSTITUTE(SUBSTITUTE("type:"&amp;B1045,"%","%25"),"~","%7E"),"*","%2A"),"?","%3F")))=0,"Unknown type",IF(COUNTIFS('Rules'!$G$7:$G$26,"="&amp;(SUBSTITUTE(SUBSTITUTE(SUBSTITUTE(SUBSTITUTE("type:"&amp;B1045,"%","%25"),"~","%7E"),"*","%2A"),"?","%3F")))&gt;1,"Duplicate type",IF(INDEX('Rules'!$F$7:$F$26,MATCH(SUBSTITUTE(SUBSTITUTE(SUBSTITUTE(SUBSTITUTE("type:"&amp;B1045,"%","%25"),"~","%7E"),"*","%2A"),"?","%3F"),'Rules'!$G$7:$G$26,0))&lt;&gt;"",INDEX('Rules'!$F$7:$F$26,MATCH(SUBSTITUTE(SUBSTITUTE(SUBSTITUTE(SUBSTITUTE("type:"&amp;B1045,"%","%25"),"~","%7E"),"*","%2A"),"?","%3F"),'Rules'!$G$7:$G$26,0)),IF(AND(C1045&lt;&gt;"",C1045&lt;&gt;INDEX('Rules'!$B$7:$B$26,MATCH(SUBSTITUTE(SUBSTITUTE(SUBSTITUTE(SUBSTITUTE("type:"&amp;B1045,"%","%25"),"~","%7E"),"*","%2A"),"?","%3F"),'Rules'!$G$7:$G$26,0))),"Unit mismatch",IF(IF(NOT(ISNUMBER(D1045)),TRUE,OR(D1045&lt;0,D1045&gt;999999999,ROUND(D1045,3)&lt;&gt;D1045)),"Invalid current reading",IF(AND(E1045&lt;&gt;"",IF(NOT(ISNUMBER(E1045)),TRUE,OR(E1045&lt;0,E1045&gt;999999999,ROUND(E1045,3)&lt;&gt;E1045))),"Invalid previous reading",IF(IF(NOT(ISNUMBER(F1045)),TRUE,OR(F1045&lt;0,F1045&gt;999999999,ROUND(F1045,3)&lt;&gt;F1045)),"Invalid last service",IF(AND(E1045&lt;&gt;"",D1045&lt;E1045),"Decreased reading",IF(F1045&gt;D1045,"Last service above current","")))))))))))))</x:f>
      </x:c>
      <x:c r="L1045" s="6" t="str">
        <x:f>IF(AND(NOT(COUNTA(A1045:F1045)=0),K1045=""),INDEX('Rules'!$C$7:$C$26,MATCH(SUBSTITUTE(SUBSTITUTE(SUBSTITUTE(SUBSTITUTE("type:"&amp;B1045,"%","%25"),"~","%7E"),"*","%2A"),"?","%3F"),'Rules'!$G$7:$G$26,0)),"")</x:f>
      </x:c>
      <x:c r="M1045" s="6" t="str">
        <x:f>IF(AND(NOT(COUNTA(A1045:F1045)=0),K1045=""),INDEX('Rules'!$D$7:$D$26,MATCH(SUBSTITUTE(SUBSTITUTE(SUBSTITUTE(SUBSTITUTE("type:"&amp;B1045,"%","%25"),"~","%7E"),"*","%2A"),"?","%3F"),'Rules'!$G$7:$G$26,0)),"")</x:f>
      </x:c>
      <x:c r="N1045" s="5" t="str">
        <x:f>IF(COUNTA(A1045:F1045)=0,"",SUBSTITUTE(SUBSTITUTE(SUBSTITUTE(SUBSTITUTE("id:"&amp;A1045,"%","%25"),"~","%7E"),"*","%2A"),"?","%3F"))</x:f>
      </x:c>
    </x:row>
    <x:row r="1046" ht="22" customHeight="1">
      <x:c r="A1046" s="3"/>
      <x:c r="B1046" s="3"/>
      <x:c r="C1046" s="3"/>
      <x:c r="D1046" s="4"/>
      <x:c r="E1046" s="4"/>
      <x:c r="F1046" s="4"/>
      <x:c r="G1046" s="5" t="str">
        <x:f>IF(COUNTA(A1046:F1046)=0,"",IF(K1046&lt;&gt;"","Review",IF(I1046&lt;0,"Overdue",IF(I1046=0,"Due now",IF(I1046&lt;=M1046,"Due soon","Not due")))))</x:f>
      </x:c>
      <x:c r="H1046" s="5" t="str">
        <x:f>IF(OR(COUNTA(A1046:F1046)=0,COUNTIFS('Rules'!$G$7:$G$26,"="&amp;(SUBSTITUTE(SUBSTITUTE(SUBSTITUTE(SUBSTITUTE("type:"&amp;B1046,"%","%25"),"~","%7E"),"*","%2A"),"?","%3F")))&lt;&gt;1),"",IF(OR(INDEX('Rules'!$B$7:$B$26,MATCH(SUBSTITUTE(SUBSTITUTE(SUBSTITUTE(SUBSTITUTE("type:"&amp;B1046,"%","%25"),"~","%7E"),"*","%2A"),"?","%3F"),'Rules'!$G$7:$G$26,0))="hours",INDEX('Rules'!$B$7:$B$26,MATCH(SUBSTITUTE(SUBSTITUTE(SUBSTITUTE(SUBSTITUTE("type:"&amp;B1046,"%","%25"),"~","%7E"),"*","%2A"),"?","%3F"),'Rules'!$G$7:$G$26,0))="km"),INDEX('Rules'!$B$7:$B$26,MATCH(SUBSTITUTE(SUBSTITUTE(SUBSTITUTE(SUBSTITUTE("type:"&amp;B1046,"%","%25"),"~","%7E"),"*","%2A"),"?","%3F"),'Rules'!$G$7:$G$26,0)),""))</x:f>
      </x:c>
      <x:c r="I1046" s="6" t="str">
        <x:f>IF(AND(NOT(COUNTA(A1046:F1046)=0),K1046=""),ROUND(J1046-D1046,3),"")</x:f>
      </x:c>
      <x:c r="J1046" s="6" t="str">
        <x:f>IF(AND(NOT(COUNTA(A1046:F1046)=0),K1046=""),ROUND(F1046+L1046,3),"")</x:f>
      </x:c>
      <x:c r="K1046" s="5" t="str">
        <x:f>IF(COUNTA(A1046:F1046)=0,"",IF(A1046="","Missing equipment ID",IF(COUNTIFS($N$8:$N$2007,"="&amp;N1046)&gt;1,"Duplicate equipment ID",IF(B1046="","Missing type",IF(COUNTIFS('Rules'!$G$7:$G$26,"="&amp;(SUBSTITUTE(SUBSTITUTE(SUBSTITUTE(SUBSTITUTE("type:"&amp;B1046,"%","%25"),"~","%7E"),"*","%2A"),"?","%3F")))=0,"Unknown type",IF(COUNTIFS('Rules'!$G$7:$G$26,"="&amp;(SUBSTITUTE(SUBSTITUTE(SUBSTITUTE(SUBSTITUTE("type:"&amp;B1046,"%","%25"),"~","%7E"),"*","%2A"),"?","%3F")))&gt;1,"Duplicate type",IF(INDEX('Rules'!$F$7:$F$26,MATCH(SUBSTITUTE(SUBSTITUTE(SUBSTITUTE(SUBSTITUTE("type:"&amp;B1046,"%","%25"),"~","%7E"),"*","%2A"),"?","%3F"),'Rules'!$G$7:$G$26,0))&lt;&gt;"",INDEX('Rules'!$F$7:$F$26,MATCH(SUBSTITUTE(SUBSTITUTE(SUBSTITUTE(SUBSTITUTE("type:"&amp;B1046,"%","%25"),"~","%7E"),"*","%2A"),"?","%3F"),'Rules'!$G$7:$G$26,0)),IF(AND(C1046&lt;&gt;"",C1046&lt;&gt;INDEX('Rules'!$B$7:$B$26,MATCH(SUBSTITUTE(SUBSTITUTE(SUBSTITUTE(SUBSTITUTE("type:"&amp;B1046,"%","%25"),"~","%7E"),"*","%2A"),"?","%3F"),'Rules'!$G$7:$G$26,0))),"Unit mismatch",IF(IF(NOT(ISNUMBER(D1046)),TRUE,OR(D1046&lt;0,D1046&gt;999999999,ROUND(D1046,3)&lt;&gt;D1046)),"Invalid current reading",IF(AND(E1046&lt;&gt;"",IF(NOT(ISNUMBER(E1046)),TRUE,OR(E1046&lt;0,E1046&gt;999999999,ROUND(E1046,3)&lt;&gt;E1046))),"Invalid previous reading",IF(IF(NOT(ISNUMBER(F1046)),TRUE,OR(F1046&lt;0,F1046&gt;999999999,ROUND(F1046,3)&lt;&gt;F1046)),"Invalid last service",IF(AND(E1046&lt;&gt;"",D1046&lt;E1046),"Decreased reading",IF(F1046&gt;D1046,"Last service above current","")))))))))))))</x:f>
      </x:c>
      <x:c r="L1046" s="6" t="str">
        <x:f>IF(AND(NOT(COUNTA(A1046:F1046)=0),K1046=""),INDEX('Rules'!$C$7:$C$26,MATCH(SUBSTITUTE(SUBSTITUTE(SUBSTITUTE(SUBSTITUTE("type:"&amp;B1046,"%","%25"),"~","%7E"),"*","%2A"),"?","%3F"),'Rules'!$G$7:$G$26,0)),"")</x:f>
      </x:c>
      <x:c r="M1046" s="6" t="str">
        <x:f>IF(AND(NOT(COUNTA(A1046:F1046)=0),K1046=""),INDEX('Rules'!$D$7:$D$26,MATCH(SUBSTITUTE(SUBSTITUTE(SUBSTITUTE(SUBSTITUTE("type:"&amp;B1046,"%","%25"),"~","%7E"),"*","%2A"),"?","%3F"),'Rules'!$G$7:$G$26,0)),"")</x:f>
      </x:c>
      <x:c r="N1046" s="5" t="str">
        <x:f>IF(COUNTA(A1046:F1046)=0,"",SUBSTITUTE(SUBSTITUTE(SUBSTITUTE(SUBSTITUTE("id:"&amp;A1046,"%","%25"),"~","%7E"),"*","%2A"),"?","%3F"))</x:f>
      </x:c>
    </x:row>
    <x:row r="1047" ht="22" customHeight="1">
      <x:c r="A1047" s="3"/>
      <x:c r="B1047" s="3"/>
      <x:c r="C1047" s="3"/>
      <x:c r="D1047" s="4"/>
      <x:c r="E1047" s="4"/>
      <x:c r="F1047" s="4"/>
      <x:c r="G1047" s="5" t="str">
        <x:f>IF(COUNTA(A1047:F1047)=0,"",IF(K1047&lt;&gt;"","Review",IF(I1047&lt;0,"Overdue",IF(I1047=0,"Due now",IF(I1047&lt;=M1047,"Due soon","Not due")))))</x:f>
      </x:c>
      <x:c r="H1047" s="5" t="str">
        <x:f>IF(OR(COUNTA(A1047:F1047)=0,COUNTIFS('Rules'!$G$7:$G$26,"="&amp;(SUBSTITUTE(SUBSTITUTE(SUBSTITUTE(SUBSTITUTE("type:"&amp;B1047,"%","%25"),"~","%7E"),"*","%2A"),"?","%3F")))&lt;&gt;1),"",IF(OR(INDEX('Rules'!$B$7:$B$26,MATCH(SUBSTITUTE(SUBSTITUTE(SUBSTITUTE(SUBSTITUTE("type:"&amp;B1047,"%","%25"),"~","%7E"),"*","%2A"),"?","%3F"),'Rules'!$G$7:$G$26,0))="hours",INDEX('Rules'!$B$7:$B$26,MATCH(SUBSTITUTE(SUBSTITUTE(SUBSTITUTE(SUBSTITUTE("type:"&amp;B1047,"%","%25"),"~","%7E"),"*","%2A"),"?","%3F"),'Rules'!$G$7:$G$26,0))="km"),INDEX('Rules'!$B$7:$B$26,MATCH(SUBSTITUTE(SUBSTITUTE(SUBSTITUTE(SUBSTITUTE("type:"&amp;B1047,"%","%25"),"~","%7E"),"*","%2A"),"?","%3F"),'Rules'!$G$7:$G$26,0)),""))</x:f>
      </x:c>
      <x:c r="I1047" s="6" t="str">
        <x:f>IF(AND(NOT(COUNTA(A1047:F1047)=0),K1047=""),ROUND(J1047-D1047,3),"")</x:f>
      </x:c>
      <x:c r="J1047" s="6" t="str">
        <x:f>IF(AND(NOT(COUNTA(A1047:F1047)=0),K1047=""),ROUND(F1047+L1047,3),"")</x:f>
      </x:c>
      <x:c r="K1047" s="5" t="str">
        <x:f>IF(COUNTA(A1047:F1047)=0,"",IF(A1047="","Missing equipment ID",IF(COUNTIFS($N$8:$N$2007,"="&amp;N1047)&gt;1,"Duplicate equipment ID",IF(B1047="","Missing type",IF(COUNTIFS('Rules'!$G$7:$G$26,"="&amp;(SUBSTITUTE(SUBSTITUTE(SUBSTITUTE(SUBSTITUTE("type:"&amp;B1047,"%","%25"),"~","%7E"),"*","%2A"),"?","%3F")))=0,"Unknown type",IF(COUNTIFS('Rules'!$G$7:$G$26,"="&amp;(SUBSTITUTE(SUBSTITUTE(SUBSTITUTE(SUBSTITUTE("type:"&amp;B1047,"%","%25"),"~","%7E"),"*","%2A"),"?","%3F")))&gt;1,"Duplicate type",IF(INDEX('Rules'!$F$7:$F$26,MATCH(SUBSTITUTE(SUBSTITUTE(SUBSTITUTE(SUBSTITUTE("type:"&amp;B1047,"%","%25"),"~","%7E"),"*","%2A"),"?","%3F"),'Rules'!$G$7:$G$26,0))&lt;&gt;"",INDEX('Rules'!$F$7:$F$26,MATCH(SUBSTITUTE(SUBSTITUTE(SUBSTITUTE(SUBSTITUTE("type:"&amp;B1047,"%","%25"),"~","%7E"),"*","%2A"),"?","%3F"),'Rules'!$G$7:$G$26,0)),IF(AND(C1047&lt;&gt;"",C1047&lt;&gt;INDEX('Rules'!$B$7:$B$26,MATCH(SUBSTITUTE(SUBSTITUTE(SUBSTITUTE(SUBSTITUTE("type:"&amp;B1047,"%","%25"),"~","%7E"),"*","%2A"),"?","%3F"),'Rules'!$G$7:$G$26,0))),"Unit mismatch",IF(IF(NOT(ISNUMBER(D1047)),TRUE,OR(D1047&lt;0,D1047&gt;999999999,ROUND(D1047,3)&lt;&gt;D1047)),"Invalid current reading",IF(AND(E1047&lt;&gt;"",IF(NOT(ISNUMBER(E1047)),TRUE,OR(E1047&lt;0,E1047&gt;999999999,ROUND(E1047,3)&lt;&gt;E1047))),"Invalid previous reading",IF(IF(NOT(ISNUMBER(F1047)),TRUE,OR(F1047&lt;0,F1047&gt;999999999,ROUND(F1047,3)&lt;&gt;F1047)),"Invalid last service",IF(AND(E1047&lt;&gt;"",D1047&lt;E1047),"Decreased reading",IF(F1047&gt;D1047,"Last service above current","")))))))))))))</x:f>
      </x:c>
      <x:c r="L1047" s="6" t="str">
        <x:f>IF(AND(NOT(COUNTA(A1047:F1047)=0),K1047=""),INDEX('Rules'!$C$7:$C$26,MATCH(SUBSTITUTE(SUBSTITUTE(SUBSTITUTE(SUBSTITUTE("type:"&amp;B1047,"%","%25"),"~","%7E"),"*","%2A"),"?","%3F"),'Rules'!$G$7:$G$26,0)),"")</x:f>
      </x:c>
      <x:c r="M1047" s="6" t="str">
        <x:f>IF(AND(NOT(COUNTA(A1047:F1047)=0),K1047=""),INDEX('Rules'!$D$7:$D$26,MATCH(SUBSTITUTE(SUBSTITUTE(SUBSTITUTE(SUBSTITUTE("type:"&amp;B1047,"%","%25"),"~","%7E"),"*","%2A"),"?","%3F"),'Rules'!$G$7:$G$26,0)),"")</x:f>
      </x:c>
      <x:c r="N1047" s="5" t="str">
        <x:f>IF(COUNTA(A1047:F1047)=0,"",SUBSTITUTE(SUBSTITUTE(SUBSTITUTE(SUBSTITUTE("id:"&amp;A1047,"%","%25"),"~","%7E"),"*","%2A"),"?","%3F"))</x:f>
      </x:c>
    </x:row>
    <x:row r="1048" ht="22" customHeight="1">
      <x:c r="A1048" s="3"/>
      <x:c r="B1048" s="3"/>
      <x:c r="C1048" s="3"/>
      <x:c r="D1048" s="4"/>
      <x:c r="E1048" s="4"/>
      <x:c r="F1048" s="4"/>
      <x:c r="G1048" s="5" t="str">
        <x:f>IF(COUNTA(A1048:F1048)=0,"",IF(K1048&lt;&gt;"","Review",IF(I1048&lt;0,"Overdue",IF(I1048=0,"Due now",IF(I1048&lt;=M1048,"Due soon","Not due")))))</x:f>
      </x:c>
      <x:c r="H1048" s="5" t="str">
        <x:f>IF(OR(COUNTA(A1048:F1048)=0,COUNTIFS('Rules'!$G$7:$G$26,"="&amp;(SUBSTITUTE(SUBSTITUTE(SUBSTITUTE(SUBSTITUTE("type:"&amp;B1048,"%","%25"),"~","%7E"),"*","%2A"),"?","%3F")))&lt;&gt;1),"",IF(OR(INDEX('Rules'!$B$7:$B$26,MATCH(SUBSTITUTE(SUBSTITUTE(SUBSTITUTE(SUBSTITUTE("type:"&amp;B1048,"%","%25"),"~","%7E"),"*","%2A"),"?","%3F"),'Rules'!$G$7:$G$26,0))="hours",INDEX('Rules'!$B$7:$B$26,MATCH(SUBSTITUTE(SUBSTITUTE(SUBSTITUTE(SUBSTITUTE("type:"&amp;B1048,"%","%25"),"~","%7E"),"*","%2A"),"?","%3F"),'Rules'!$G$7:$G$26,0))="km"),INDEX('Rules'!$B$7:$B$26,MATCH(SUBSTITUTE(SUBSTITUTE(SUBSTITUTE(SUBSTITUTE("type:"&amp;B1048,"%","%25"),"~","%7E"),"*","%2A"),"?","%3F"),'Rules'!$G$7:$G$26,0)),""))</x:f>
      </x:c>
      <x:c r="I1048" s="6" t="str">
        <x:f>IF(AND(NOT(COUNTA(A1048:F1048)=0),K1048=""),ROUND(J1048-D1048,3),"")</x:f>
      </x:c>
      <x:c r="J1048" s="6" t="str">
        <x:f>IF(AND(NOT(COUNTA(A1048:F1048)=0),K1048=""),ROUND(F1048+L1048,3),"")</x:f>
      </x:c>
      <x:c r="K1048" s="5" t="str">
        <x:f>IF(COUNTA(A1048:F1048)=0,"",IF(A1048="","Missing equipment ID",IF(COUNTIFS($N$8:$N$2007,"="&amp;N1048)&gt;1,"Duplicate equipment ID",IF(B1048="","Missing type",IF(COUNTIFS('Rules'!$G$7:$G$26,"="&amp;(SUBSTITUTE(SUBSTITUTE(SUBSTITUTE(SUBSTITUTE("type:"&amp;B1048,"%","%25"),"~","%7E"),"*","%2A"),"?","%3F")))=0,"Unknown type",IF(COUNTIFS('Rules'!$G$7:$G$26,"="&amp;(SUBSTITUTE(SUBSTITUTE(SUBSTITUTE(SUBSTITUTE("type:"&amp;B1048,"%","%25"),"~","%7E"),"*","%2A"),"?","%3F")))&gt;1,"Duplicate type",IF(INDEX('Rules'!$F$7:$F$26,MATCH(SUBSTITUTE(SUBSTITUTE(SUBSTITUTE(SUBSTITUTE("type:"&amp;B1048,"%","%25"),"~","%7E"),"*","%2A"),"?","%3F"),'Rules'!$G$7:$G$26,0))&lt;&gt;"",INDEX('Rules'!$F$7:$F$26,MATCH(SUBSTITUTE(SUBSTITUTE(SUBSTITUTE(SUBSTITUTE("type:"&amp;B1048,"%","%25"),"~","%7E"),"*","%2A"),"?","%3F"),'Rules'!$G$7:$G$26,0)),IF(AND(C1048&lt;&gt;"",C1048&lt;&gt;INDEX('Rules'!$B$7:$B$26,MATCH(SUBSTITUTE(SUBSTITUTE(SUBSTITUTE(SUBSTITUTE("type:"&amp;B1048,"%","%25"),"~","%7E"),"*","%2A"),"?","%3F"),'Rules'!$G$7:$G$26,0))),"Unit mismatch",IF(IF(NOT(ISNUMBER(D1048)),TRUE,OR(D1048&lt;0,D1048&gt;999999999,ROUND(D1048,3)&lt;&gt;D1048)),"Invalid current reading",IF(AND(E1048&lt;&gt;"",IF(NOT(ISNUMBER(E1048)),TRUE,OR(E1048&lt;0,E1048&gt;999999999,ROUND(E1048,3)&lt;&gt;E1048))),"Invalid previous reading",IF(IF(NOT(ISNUMBER(F1048)),TRUE,OR(F1048&lt;0,F1048&gt;999999999,ROUND(F1048,3)&lt;&gt;F1048)),"Invalid last service",IF(AND(E1048&lt;&gt;"",D1048&lt;E1048),"Decreased reading",IF(F1048&gt;D1048,"Last service above current","")))))))))))))</x:f>
      </x:c>
      <x:c r="L1048" s="6" t="str">
        <x:f>IF(AND(NOT(COUNTA(A1048:F1048)=0),K1048=""),INDEX('Rules'!$C$7:$C$26,MATCH(SUBSTITUTE(SUBSTITUTE(SUBSTITUTE(SUBSTITUTE("type:"&amp;B1048,"%","%25"),"~","%7E"),"*","%2A"),"?","%3F"),'Rules'!$G$7:$G$26,0)),"")</x:f>
      </x:c>
      <x:c r="M1048" s="6" t="str">
        <x:f>IF(AND(NOT(COUNTA(A1048:F1048)=0),K1048=""),INDEX('Rules'!$D$7:$D$26,MATCH(SUBSTITUTE(SUBSTITUTE(SUBSTITUTE(SUBSTITUTE("type:"&amp;B1048,"%","%25"),"~","%7E"),"*","%2A"),"?","%3F"),'Rules'!$G$7:$G$26,0)),"")</x:f>
      </x:c>
      <x:c r="N1048" s="5" t="str">
        <x:f>IF(COUNTA(A1048:F1048)=0,"",SUBSTITUTE(SUBSTITUTE(SUBSTITUTE(SUBSTITUTE("id:"&amp;A1048,"%","%25"),"~","%7E"),"*","%2A"),"?","%3F"))</x:f>
      </x:c>
    </x:row>
    <x:row r="1049" ht="22" customHeight="1">
      <x:c r="A1049" s="3"/>
      <x:c r="B1049" s="3"/>
      <x:c r="C1049" s="3"/>
      <x:c r="D1049" s="4"/>
      <x:c r="E1049" s="4"/>
      <x:c r="F1049" s="4"/>
      <x:c r="G1049" s="5" t="str">
        <x:f>IF(COUNTA(A1049:F1049)=0,"",IF(K1049&lt;&gt;"","Review",IF(I1049&lt;0,"Overdue",IF(I1049=0,"Due now",IF(I1049&lt;=M1049,"Due soon","Not due")))))</x:f>
      </x:c>
      <x:c r="H1049" s="5" t="str">
        <x:f>IF(OR(COUNTA(A1049:F1049)=0,COUNTIFS('Rules'!$G$7:$G$26,"="&amp;(SUBSTITUTE(SUBSTITUTE(SUBSTITUTE(SUBSTITUTE("type:"&amp;B1049,"%","%25"),"~","%7E"),"*","%2A"),"?","%3F")))&lt;&gt;1),"",IF(OR(INDEX('Rules'!$B$7:$B$26,MATCH(SUBSTITUTE(SUBSTITUTE(SUBSTITUTE(SUBSTITUTE("type:"&amp;B1049,"%","%25"),"~","%7E"),"*","%2A"),"?","%3F"),'Rules'!$G$7:$G$26,0))="hours",INDEX('Rules'!$B$7:$B$26,MATCH(SUBSTITUTE(SUBSTITUTE(SUBSTITUTE(SUBSTITUTE("type:"&amp;B1049,"%","%25"),"~","%7E"),"*","%2A"),"?","%3F"),'Rules'!$G$7:$G$26,0))="km"),INDEX('Rules'!$B$7:$B$26,MATCH(SUBSTITUTE(SUBSTITUTE(SUBSTITUTE(SUBSTITUTE("type:"&amp;B1049,"%","%25"),"~","%7E"),"*","%2A"),"?","%3F"),'Rules'!$G$7:$G$26,0)),""))</x:f>
      </x:c>
      <x:c r="I1049" s="6" t="str">
        <x:f>IF(AND(NOT(COUNTA(A1049:F1049)=0),K1049=""),ROUND(J1049-D1049,3),"")</x:f>
      </x:c>
      <x:c r="J1049" s="6" t="str">
        <x:f>IF(AND(NOT(COUNTA(A1049:F1049)=0),K1049=""),ROUND(F1049+L1049,3),"")</x:f>
      </x:c>
      <x:c r="K1049" s="5" t="str">
        <x:f>IF(COUNTA(A1049:F1049)=0,"",IF(A1049="","Missing equipment ID",IF(COUNTIFS($N$8:$N$2007,"="&amp;N1049)&gt;1,"Duplicate equipment ID",IF(B1049="","Missing type",IF(COUNTIFS('Rules'!$G$7:$G$26,"="&amp;(SUBSTITUTE(SUBSTITUTE(SUBSTITUTE(SUBSTITUTE("type:"&amp;B1049,"%","%25"),"~","%7E"),"*","%2A"),"?","%3F")))=0,"Unknown type",IF(COUNTIFS('Rules'!$G$7:$G$26,"="&amp;(SUBSTITUTE(SUBSTITUTE(SUBSTITUTE(SUBSTITUTE("type:"&amp;B1049,"%","%25"),"~","%7E"),"*","%2A"),"?","%3F")))&gt;1,"Duplicate type",IF(INDEX('Rules'!$F$7:$F$26,MATCH(SUBSTITUTE(SUBSTITUTE(SUBSTITUTE(SUBSTITUTE("type:"&amp;B1049,"%","%25"),"~","%7E"),"*","%2A"),"?","%3F"),'Rules'!$G$7:$G$26,0))&lt;&gt;"",INDEX('Rules'!$F$7:$F$26,MATCH(SUBSTITUTE(SUBSTITUTE(SUBSTITUTE(SUBSTITUTE("type:"&amp;B1049,"%","%25"),"~","%7E"),"*","%2A"),"?","%3F"),'Rules'!$G$7:$G$26,0)),IF(AND(C1049&lt;&gt;"",C1049&lt;&gt;INDEX('Rules'!$B$7:$B$26,MATCH(SUBSTITUTE(SUBSTITUTE(SUBSTITUTE(SUBSTITUTE("type:"&amp;B1049,"%","%25"),"~","%7E"),"*","%2A"),"?","%3F"),'Rules'!$G$7:$G$26,0))),"Unit mismatch",IF(IF(NOT(ISNUMBER(D1049)),TRUE,OR(D1049&lt;0,D1049&gt;999999999,ROUND(D1049,3)&lt;&gt;D1049)),"Invalid current reading",IF(AND(E1049&lt;&gt;"",IF(NOT(ISNUMBER(E1049)),TRUE,OR(E1049&lt;0,E1049&gt;999999999,ROUND(E1049,3)&lt;&gt;E1049))),"Invalid previous reading",IF(IF(NOT(ISNUMBER(F1049)),TRUE,OR(F1049&lt;0,F1049&gt;999999999,ROUND(F1049,3)&lt;&gt;F1049)),"Invalid last service",IF(AND(E1049&lt;&gt;"",D1049&lt;E1049),"Decreased reading",IF(F1049&gt;D1049,"Last service above current","")))))))))))))</x:f>
      </x:c>
      <x:c r="L1049" s="6" t="str">
        <x:f>IF(AND(NOT(COUNTA(A1049:F1049)=0),K1049=""),INDEX('Rules'!$C$7:$C$26,MATCH(SUBSTITUTE(SUBSTITUTE(SUBSTITUTE(SUBSTITUTE("type:"&amp;B1049,"%","%25"),"~","%7E"),"*","%2A"),"?","%3F"),'Rules'!$G$7:$G$26,0)),"")</x:f>
      </x:c>
      <x:c r="M1049" s="6" t="str">
        <x:f>IF(AND(NOT(COUNTA(A1049:F1049)=0),K1049=""),INDEX('Rules'!$D$7:$D$26,MATCH(SUBSTITUTE(SUBSTITUTE(SUBSTITUTE(SUBSTITUTE("type:"&amp;B1049,"%","%25"),"~","%7E"),"*","%2A"),"?","%3F"),'Rules'!$G$7:$G$26,0)),"")</x:f>
      </x:c>
      <x:c r="N1049" s="5" t="str">
        <x:f>IF(COUNTA(A1049:F1049)=0,"",SUBSTITUTE(SUBSTITUTE(SUBSTITUTE(SUBSTITUTE("id:"&amp;A1049,"%","%25"),"~","%7E"),"*","%2A"),"?","%3F"))</x:f>
      </x:c>
    </x:row>
    <x:row r="1050" ht="22" customHeight="1">
      <x:c r="A1050" s="3"/>
      <x:c r="B1050" s="3"/>
      <x:c r="C1050" s="3"/>
      <x:c r="D1050" s="4"/>
      <x:c r="E1050" s="4"/>
      <x:c r="F1050" s="4"/>
      <x:c r="G1050" s="5" t="str">
        <x:f>IF(COUNTA(A1050:F1050)=0,"",IF(K1050&lt;&gt;"","Review",IF(I1050&lt;0,"Overdue",IF(I1050=0,"Due now",IF(I1050&lt;=M1050,"Due soon","Not due")))))</x:f>
      </x:c>
      <x:c r="H1050" s="5" t="str">
        <x:f>IF(OR(COUNTA(A1050:F1050)=0,COUNTIFS('Rules'!$G$7:$G$26,"="&amp;(SUBSTITUTE(SUBSTITUTE(SUBSTITUTE(SUBSTITUTE("type:"&amp;B1050,"%","%25"),"~","%7E"),"*","%2A"),"?","%3F")))&lt;&gt;1),"",IF(OR(INDEX('Rules'!$B$7:$B$26,MATCH(SUBSTITUTE(SUBSTITUTE(SUBSTITUTE(SUBSTITUTE("type:"&amp;B1050,"%","%25"),"~","%7E"),"*","%2A"),"?","%3F"),'Rules'!$G$7:$G$26,0))="hours",INDEX('Rules'!$B$7:$B$26,MATCH(SUBSTITUTE(SUBSTITUTE(SUBSTITUTE(SUBSTITUTE("type:"&amp;B1050,"%","%25"),"~","%7E"),"*","%2A"),"?","%3F"),'Rules'!$G$7:$G$26,0))="km"),INDEX('Rules'!$B$7:$B$26,MATCH(SUBSTITUTE(SUBSTITUTE(SUBSTITUTE(SUBSTITUTE("type:"&amp;B1050,"%","%25"),"~","%7E"),"*","%2A"),"?","%3F"),'Rules'!$G$7:$G$26,0)),""))</x:f>
      </x:c>
      <x:c r="I1050" s="6" t="str">
        <x:f>IF(AND(NOT(COUNTA(A1050:F1050)=0),K1050=""),ROUND(J1050-D1050,3),"")</x:f>
      </x:c>
      <x:c r="J1050" s="6" t="str">
        <x:f>IF(AND(NOT(COUNTA(A1050:F1050)=0),K1050=""),ROUND(F1050+L1050,3),"")</x:f>
      </x:c>
      <x:c r="K1050" s="5" t="str">
        <x:f>IF(COUNTA(A1050:F1050)=0,"",IF(A1050="","Missing equipment ID",IF(COUNTIFS($N$8:$N$2007,"="&amp;N1050)&gt;1,"Duplicate equipment ID",IF(B1050="","Missing type",IF(COUNTIFS('Rules'!$G$7:$G$26,"="&amp;(SUBSTITUTE(SUBSTITUTE(SUBSTITUTE(SUBSTITUTE("type:"&amp;B1050,"%","%25"),"~","%7E"),"*","%2A"),"?","%3F")))=0,"Unknown type",IF(COUNTIFS('Rules'!$G$7:$G$26,"="&amp;(SUBSTITUTE(SUBSTITUTE(SUBSTITUTE(SUBSTITUTE("type:"&amp;B1050,"%","%25"),"~","%7E"),"*","%2A"),"?","%3F")))&gt;1,"Duplicate type",IF(INDEX('Rules'!$F$7:$F$26,MATCH(SUBSTITUTE(SUBSTITUTE(SUBSTITUTE(SUBSTITUTE("type:"&amp;B1050,"%","%25"),"~","%7E"),"*","%2A"),"?","%3F"),'Rules'!$G$7:$G$26,0))&lt;&gt;"",INDEX('Rules'!$F$7:$F$26,MATCH(SUBSTITUTE(SUBSTITUTE(SUBSTITUTE(SUBSTITUTE("type:"&amp;B1050,"%","%25"),"~","%7E"),"*","%2A"),"?","%3F"),'Rules'!$G$7:$G$26,0)),IF(AND(C1050&lt;&gt;"",C1050&lt;&gt;INDEX('Rules'!$B$7:$B$26,MATCH(SUBSTITUTE(SUBSTITUTE(SUBSTITUTE(SUBSTITUTE("type:"&amp;B1050,"%","%25"),"~","%7E"),"*","%2A"),"?","%3F"),'Rules'!$G$7:$G$26,0))),"Unit mismatch",IF(IF(NOT(ISNUMBER(D1050)),TRUE,OR(D1050&lt;0,D1050&gt;999999999,ROUND(D1050,3)&lt;&gt;D1050)),"Invalid current reading",IF(AND(E1050&lt;&gt;"",IF(NOT(ISNUMBER(E1050)),TRUE,OR(E1050&lt;0,E1050&gt;999999999,ROUND(E1050,3)&lt;&gt;E1050))),"Invalid previous reading",IF(IF(NOT(ISNUMBER(F1050)),TRUE,OR(F1050&lt;0,F1050&gt;999999999,ROUND(F1050,3)&lt;&gt;F1050)),"Invalid last service",IF(AND(E1050&lt;&gt;"",D1050&lt;E1050),"Decreased reading",IF(F1050&gt;D1050,"Last service above current","")))))))))))))</x:f>
      </x:c>
      <x:c r="L1050" s="6" t="str">
        <x:f>IF(AND(NOT(COUNTA(A1050:F1050)=0),K1050=""),INDEX('Rules'!$C$7:$C$26,MATCH(SUBSTITUTE(SUBSTITUTE(SUBSTITUTE(SUBSTITUTE("type:"&amp;B1050,"%","%25"),"~","%7E"),"*","%2A"),"?","%3F"),'Rules'!$G$7:$G$26,0)),"")</x:f>
      </x:c>
      <x:c r="M1050" s="6" t="str">
        <x:f>IF(AND(NOT(COUNTA(A1050:F1050)=0),K1050=""),INDEX('Rules'!$D$7:$D$26,MATCH(SUBSTITUTE(SUBSTITUTE(SUBSTITUTE(SUBSTITUTE("type:"&amp;B1050,"%","%25"),"~","%7E"),"*","%2A"),"?","%3F"),'Rules'!$G$7:$G$26,0)),"")</x:f>
      </x:c>
      <x:c r="N1050" s="5" t="str">
        <x:f>IF(COUNTA(A1050:F1050)=0,"",SUBSTITUTE(SUBSTITUTE(SUBSTITUTE(SUBSTITUTE("id:"&amp;A1050,"%","%25"),"~","%7E"),"*","%2A"),"?","%3F"))</x:f>
      </x:c>
    </x:row>
    <x:row r="1051" ht="22" customHeight="1">
      <x:c r="A1051" s="3"/>
      <x:c r="B1051" s="3"/>
      <x:c r="C1051" s="3"/>
      <x:c r="D1051" s="4"/>
      <x:c r="E1051" s="4"/>
      <x:c r="F1051" s="4"/>
      <x:c r="G1051" s="5" t="str">
        <x:f>IF(COUNTA(A1051:F1051)=0,"",IF(K1051&lt;&gt;"","Review",IF(I1051&lt;0,"Overdue",IF(I1051=0,"Due now",IF(I1051&lt;=M1051,"Due soon","Not due")))))</x:f>
      </x:c>
      <x:c r="H1051" s="5" t="str">
        <x:f>IF(OR(COUNTA(A1051:F1051)=0,COUNTIFS('Rules'!$G$7:$G$26,"="&amp;(SUBSTITUTE(SUBSTITUTE(SUBSTITUTE(SUBSTITUTE("type:"&amp;B1051,"%","%25"),"~","%7E"),"*","%2A"),"?","%3F")))&lt;&gt;1),"",IF(OR(INDEX('Rules'!$B$7:$B$26,MATCH(SUBSTITUTE(SUBSTITUTE(SUBSTITUTE(SUBSTITUTE("type:"&amp;B1051,"%","%25"),"~","%7E"),"*","%2A"),"?","%3F"),'Rules'!$G$7:$G$26,0))="hours",INDEX('Rules'!$B$7:$B$26,MATCH(SUBSTITUTE(SUBSTITUTE(SUBSTITUTE(SUBSTITUTE("type:"&amp;B1051,"%","%25"),"~","%7E"),"*","%2A"),"?","%3F"),'Rules'!$G$7:$G$26,0))="km"),INDEX('Rules'!$B$7:$B$26,MATCH(SUBSTITUTE(SUBSTITUTE(SUBSTITUTE(SUBSTITUTE("type:"&amp;B1051,"%","%25"),"~","%7E"),"*","%2A"),"?","%3F"),'Rules'!$G$7:$G$26,0)),""))</x:f>
      </x:c>
      <x:c r="I1051" s="6" t="str">
        <x:f>IF(AND(NOT(COUNTA(A1051:F1051)=0),K1051=""),ROUND(J1051-D1051,3),"")</x:f>
      </x:c>
      <x:c r="J1051" s="6" t="str">
        <x:f>IF(AND(NOT(COUNTA(A1051:F1051)=0),K1051=""),ROUND(F1051+L1051,3),"")</x:f>
      </x:c>
      <x:c r="K1051" s="5" t="str">
        <x:f>IF(COUNTA(A1051:F1051)=0,"",IF(A1051="","Missing equipment ID",IF(COUNTIFS($N$8:$N$2007,"="&amp;N1051)&gt;1,"Duplicate equipment ID",IF(B1051="","Missing type",IF(COUNTIFS('Rules'!$G$7:$G$26,"="&amp;(SUBSTITUTE(SUBSTITUTE(SUBSTITUTE(SUBSTITUTE("type:"&amp;B1051,"%","%25"),"~","%7E"),"*","%2A"),"?","%3F")))=0,"Unknown type",IF(COUNTIFS('Rules'!$G$7:$G$26,"="&amp;(SUBSTITUTE(SUBSTITUTE(SUBSTITUTE(SUBSTITUTE("type:"&amp;B1051,"%","%25"),"~","%7E"),"*","%2A"),"?","%3F")))&gt;1,"Duplicate type",IF(INDEX('Rules'!$F$7:$F$26,MATCH(SUBSTITUTE(SUBSTITUTE(SUBSTITUTE(SUBSTITUTE("type:"&amp;B1051,"%","%25"),"~","%7E"),"*","%2A"),"?","%3F"),'Rules'!$G$7:$G$26,0))&lt;&gt;"",INDEX('Rules'!$F$7:$F$26,MATCH(SUBSTITUTE(SUBSTITUTE(SUBSTITUTE(SUBSTITUTE("type:"&amp;B1051,"%","%25"),"~","%7E"),"*","%2A"),"?","%3F"),'Rules'!$G$7:$G$26,0)),IF(AND(C1051&lt;&gt;"",C1051&lt;&gt;INDEX('Rules'!$B$7:$B$26,MATCH(SUBSTITUTE(SUBSTITUTE(SUBSTITUTE(SUBSTITUTE("type:"&amp;B1051,"%","%25"),"~","%7E"),"*","%2A"),"?","%3F"),'Rules'!$G$7:$G$26,0))),"Unit mismatch",IF(IF(NOT(ISNUMBER(D1051)),TRUE,OR(D1051&lt;0,D1051&gt;999999999,ROUND(D1051,3)&lt;&gt;D1051)),"Invalid current reading",IF(AND(E1051&lt;&gt;"",IF(NOT(ISNUMBER(E1051)),TRUE,OR(E1051&lt;0,E1051&gt;999999999,ROUND(E1051,3)&lt;&gt;E1051))),"Invalid previous reading",IF(IF(NOT(ISNUMBER(F1051)),TRUE,OR(F1051&lt;0,F1051&gt;999999999,ROUND(F1051,3)&lt;&gt;F1051)),"Invalid last service",IF(AND(E1051&lt;&gt;"",D1051&lt;E1051),"Decreased reading",IF(F1051&gt;D1051,"Last service above current","")))))))))))))</x:f>
      </x:c>
      <x:c r="L1051" s="6" t="str">
        <x:f>IF(AND(NOT(COUNTA(A1051:F1051)=0),K1051=""),INDEX('Rules'!$C$7:$C$26,MATCH(SUBSTITUTE(SUBSTITUTE(SUBSTITUTE(SUBSTITUTE("type:"&amp;B1051,"%","%25"),"~","%7E"),"*","%2A"),"?","%3F"),'Rules'!$G$7:$G$26,0)),"")</x:f>
      </x:c>
      <x:c r="M1051" s="6" t="str">
        <x:f>IF(AND(NOT(COUNTA(A1051:F1051)=0),K1051=""),INDEX('Rules'!$D$7:$D$26,MATCH(SUBSTITUTE(SUBSTITUTE(SUBSTITUTE(SUBSTITUTE("type:"&amp;B1051,"%","%25"),"~","%7E"),"*","%2A"),"?","%3F"),'Rules'!$G$7:$G$26,0)),"")</x:f>
      </x:c>
      <x:c r="N1051" s="5" t="str">
        <x:f>IF(COUNTA(A1051:F1051)=0,"",SUBSTITUTE(SUBSTITUTE(SUBSTITUTE(SUBSTITUTE("id:"&amp;A1051,"%","%25"),"~","%7E"),"*","%2A"),"?","%3F"))</x:f>
      </x:c>
    </x:row>
    <x:row r="1052" ht="22" customHeight="1">
      <x:c r="A1052" s="3"/>
      <x:c r="B1052" s="3"/>
      <x:c r="C1052" s="3"/>
      <x:c r="D1052" s="4"/>
      <x:c r="E1052" s="4"/>
      <x:c r="F1052" s="4"/>
      <x:c r="G1052" s="5" t="str">
        <x:f>IF(COUNTA(A1052:F1052)=0,"",IF(K1052&lt;&gt;"","Review",IF(I1052&lt;0,"Overdue",IF(I1052=0,"Due now",IF(I1052&lt;=M1052,"Due soon","Not due")))))</x:f>
      </x:c>
      <x:c r="H1052" s="5" t="str">
        <x:f>IF(OR(COUNTA(A1052:F1052)=0,COUNTIFS('Rules'!$G$7:$G$26,"="&amp;(SUBSTITUTE(SUBSTITUTE(SUBSTITUTE(SUBSTITUTE("type:"&amp;B1052,"%","%25"),"~","%7E"),"*","%2A"),"?","%3F")))&lt;&gt;1),"",IF(OR(INDEX('Rules'!$B$7:$B$26,MATCH(SUBSTITUTE(SUBSTITUTE(SUBSTITUTE(SUBSTITUTE("type:"&amp;B1052,"%","%25"),"~","%7E"),"*","%2A"),"?","%3F"),'Rules'!$G$7:$G$26,0))="hours",INDEX('Rules'!$B$7:$B$26,MATCH(SUBSTITUTE(SUBSTITUTE(SUBSTITUTE(SUBSTITUTE("type:"&amp;B1052,"%","%25"),"~","%7E"),"*","%2A"),"?","%3F"),'Rules'!$G$7:$G$26,0))="km"),INDEX('Rules'!$B$7:$B$26,MATCH(SUBSTITUTE(SUBSTITUTE(SUBSTITUTE(SUBSTITUTE("type:"&amp;B1052,"%","%25"),"~","%7E"),"*","%2A"),"?","%3F"),'Rules'!$G$7:$G$26,0)),""))</x:f>
      </x:c>
      <x:c r="I1052" s="6" t="str">
        <x:f>IF(AND(NOT(COUNTA(A1052:F1052)=0),K1052=""),ROUND(J1052-D1052,3),"")</x:f>
      </x:c>
      <x:c r="J1052" s="6" t="str">
        <x:f>IF(AND(NOT(COUNTA(A1052:F1052)=0),K1052=""),ROUND(F1052+L1052,3),"")</x:f>
      </x:c>
      <x:c r="K1052" s="5" t="str">
        <x:f>IF(COUNTA(A1052:F1052)=0,"",IF(A1052="","Missing equipment ID",IF(COUNTIFS($N$8:$N$2007,"="&amp;N1052)&gt;1,"Duplicate equipment ID",IF(B1052="","Missing type",IF(COUNTIFS('Rules'!$G$7:$G$26,"="&amp;(SUBSTITUTE(SUBSTITUTE(SUBSTITUTE(SUBSTITUTE("type:"&amp;B1052,"%","%25"),"~","%7E"),"*","%2A"),"?","%3F")))=0,"Unknown type",IF(COUNTIFS('Rules'!$G$7:$G$26,"="&amp;(SUBSTITUTE(SUBSTITUTE(SUBSTITUTE(SUBSTITUTE("type:"&amp;B1052,"%","%25"),"~","%7E"),"*","%2A"),"?","%3F")))&gt;1,"Duplicate type",IF(INDEX('Rules'!$F$7:$F$26,MATCH(SUBSTITUTE(SUBSTITUTE(SUBSTITUTE(SUBSTITUTE("type:"&amp;B1052,"%","%25"),"~","%7E"),"*","%2A"),"?","%3F"),'Rules'!$G$7:$G$26,0))&lt;&gt;"",INDEX('Rules'!$F$7:$F$26,MATCH(SUBSTITUTE(SUBSTITUTE(SUBSTITUTE(SUBSTITUTE("type:"&amp;B1052,"%","%25"),"~","%7E"),"*","%2A"),"?","%3F"),'Rules'!$G$7:$G$26,0)),IF(AND(C1052&lt;&gt;"",C1052&lt;&gt;INDEX('Rules'!$B$7:$B$26,MATCH(SUBSTITUTE(SUBSTITUTE(SUBSTITUTE(SUBSTITUTE("type:"&amp;B1052,"%","%25"),"~","%7E"),"*","%2A"),"?","%3F"),'Rules'!$G$7:$G$26,0))),"Unit mismatch",IF(IF(NOT(ISNUMBER(D1052)),TRUE,OR(D1052&lt;0,D1052&gt;999999999,ROUND(D1052,3)&lt;&gt;D1052)),"Invalid current reading",IF(AND(E1052&lt;&gt;"",IF(NOT(ISNUMBER(E1052)),TRUE,OR(E1052&lt;0,E1052&gt;999999999,ROUND(E1052,3)&lt;&gt;E1052))),"Invalid previous reading",IF(IF(NOT(ISNUMBER(F1052)),TRUE,OR(F1052&lt;0,F1052&gt;999999999,ROUND(F1052,3)&lt;&gt;F1052)),"Invalid last service",IF(AND(E1052&lt;&gt;"",D1052&lt;E1052),"Decreased reading",IF(F1052&gt;D1052,"Last service above current","")))))))))))))</x:f>
      </x:c>
      <x:c r="L1052" s="6" t="str">
        <x:f>IF(AND(NOT(COUNTA(A1052:F1052)=0),K1052=""),INDEX('Rules'!$C$7:$C$26,MATCH(SUBSTITUTE(SUBSTITUTE(SUBSTITUTE(SUBSTITUTE("type:"&amp;B1052,"%","%25"),"~","%7E"),"*","%2A"),"?","%3F"),'Rules'!$G$7:$G$26,0)),"")</x:f>
      </x:c>
      <x:c r="M1052" s="6" t="str">
        <x:f>IF(AND(NOT(COUNTA(A1052:F1052)=0),K1052=""),INDEX('Rules'!$D$7:$D$26,MATCH(SUBSTITUTE(SUBSTITUTE(SUBSTITUTE(SUBSTITUTE("type:"&amp;B1052,"%","%25"),"~","%7E"),"*","%2A"),"?","%3F"),'Rules'!$G$7:$G$26,0)),"")</x:f>
      </x:c>
      <x:c r="N1052" s="5" t="str">
        <x:f>IF(COUNTA(A1052:F1052)=0,"",SUBSTITUTE(SUBSTITUTE(SUBSTITUTE(SUBSTITUTE("id:"&amp;A1052,"%","%25"),"~","%7E"),"*","%2A"),"?","%3F"))</x:f>
      </x:c>
    </x:row>
    <x:row r="1053" ht="22" customHeight="1">
      <x:c r="A1053" s="3"/>
      <x:c r="B1053" s="3"/>
      <x:c r="C1053" s="3"/>
      <x:c r="D1053" s="4"/>
      <x:c r="E1053" s="4"/>
      <x:c r="F1053" s="4"/>
      <x:c r="G1053" s="5" t="str">
        <x:f>IF(COUNTA(A1053:F1053)=0,"",IF(K1053&lt;&gt;"","Review",IF(I1053&lt;0,"Overdue",IF(I1053=0,"Due now",IF(I1053&lt;=M1053,"Due soon","Not due")))))</x:f>
      </x:c>
      <x:c r="H1053" s="5" t="str">
        <x:f>IF(OR(COUNTA(A1053:F1053)=0,COUNTIFS('Rules'!$G$7:$G$26,"="&amp;(SUBSTITUTE(SUBSTITUTE(SUBSTITUTE(SUBSTITUTE("type:"&amp;B1053,"%","%25"),"~","%7E"),"*","%2A"),"?","%3F")))&lt;&gt;1),"",IF(OR(INDEX('Rules'!$B$7:$B$26,MATCH(SUBSTITUTE(SUBSTITUTE(SUBSTITUTE(SUBSTITUTE("type:"&amp;B1053,"%","%25"),"~","%7E"),"*","%2A"),"?","%3F"),'Rules'!$G$7:$G$26,0))="hours",INDEX('Rules'!$B$7:$B$26,MATCH(SUBSTITUTE(SUBSTITUTE(SUBSTITUTE(SUBSTITUTE("type:"&amp;B1053,"%","%25"),"~","%7E"),"*","%2A"),"?","%3F"),'Rules'!$G$7:$G$26,0))="km"),INDEX('Rules'!$B$7:$B$26,MATCH(SUBSTITUTE(SUBSTITUTE(SUBSTITUTE(SUBSTITUTE("type:"&amp;B1053,"%","%25"),"~","%7E"),"*","%2A"),"?","%3F"),'Rules'!$G$7:$G$26,0)),""))</x:f>
      </x:c>
      <x:c r="I1053" s="6" t="str">
        <x:f>IF(AND(NOT(COUNTA(A1053:F1053)=0),K1053=""),ROUND(J1053-D1053,3),"")</x:f>
      </x:c>
      <x:c r="J1053" s="6" t="str">
        <x:f>IF(AND(NOT(COUNTA(A1053:F1053)=0),K1053=""),ROUND(F1053+L1053,3),"")</x:f>
      </x:c>
      <x:c r="K1053" s="5" t="str">
        <x:f>IF(COUNTA(A1053:F1053)=0,"",IF(A1053="","Missing equipment ID",IF(COUNTIFS($N$8:$N$2007,"="&amp;N1053)&gt;1,"Duplicate equipment ID",IF(B1053="","Missing type",IF(COUNTIFS('Rules'!$G$7:$G$26,"="&amp;(SUBSTITUTE(SUBSTITUTE(SUBSTITUTE(SUBSTITUTE("type:"&amp;B1053,"%","%25"),"~","%7E"),"*","%2A"),"?","%3F")))=0,"Unknown type",IF(COUNTIFS('Rules'!$G$7:$G$26,"="&amp;(SUBSTITUTE(SUBSTITUTE(SUBSTITUTE(SUBSTITUTE("type:"&amp;B1053,"%","%25"),"~","%7E"),"*","%2A"),"?","%3F")))&gt;1,"Duplicate type",IF(INDEX('Rules'!$F$7:$F$26,MATCH(SUBSTITUTE(SUBSTITUTE(SUBSTITUTE(SUBSTITUTE("type:"&amp;B1053,"%","%25"),"~","%7E"),"*","%2A"),"?","%3F"),'Rules'!$G$7:$G$26,0))&lt;&gt;"",INDEX('Rules'!$F$7:$F$26,MATCH(SUBSTITUTE(SUBSTITUTE(SUBSTITUTE(SUBSTITUTE("type:"&amp;B1053,"%","%25"),"~","%7E"),"*","%2A"),"?","%3F"),'Rules'!$G$7:$G$26,0)),IF(AND(C1053&lt;&gt;"",C1053&lt;&gt;INDEX('Rules'!$B$7:$B$26,MATCH(SUBSTITUTE(SUBSTITUTE(SUBSTITUTE(SUBSTITUTE("type:"&amp;B1053,"%","%25"),"~","%7E"),"*","%2A"),"?","%3F"),'Rules'!$G$7:$G$26,0))),"Unit mismatch",IF(IF(NOT(ISNUMBER(D1053)),TRUE,OR(D1053&lt;0,D1053&gt;999999999,ROUND(D1053,3)&lt;&gt;D1053)),"Invalid current reading",IF(AND(E1053&lt;&gt;"",IF(NOT(ISNUMBER(E1053)),TRUE,OR(E1053&lt;0,E1053&gt;999999999,ROUND(E1053,3)&lt;&gt;E1053))),"Invalid previous reading",IF(IF(NOT(ISNUMBER(F1053)),TRUE,OR(F1053&lt;0,F1053&gt;999999999,ROUND(F1053,3)&lt;&gt;F1053)),"Invalid last service",IF(AND(E1053&lt;&gt;"",D1053&lt;E1053),"Decreased reading",IF(F1053&gt;D1053,"Last service above current","")))))))))))))</x:f>
      </x:c>
      <x:c r="L1053" s="6" t="str">
        <x:f>IF(AND(NOT(COUNTA(A1053:F1053)=0),K1053=""),INDEX('Rules'!$C$7:$C$26,MATCH(SUBSTITUTE(SUBSTITUTE(SUBSTITUTE(SUBSTITUTE("type:"&amp;B1053,"%","%25"),"~","%7E"),"*","%2A"),"?","%3F"),'Rules'!$G$7:$G$26,0)),"")</x:f>
      </x:c>
      <x:c r="M1053" s="6" t="str">
        <x:f>IF(AND(NOT(COUNTA(A1053:F1053)=0),K1053=""),INDEX('Rules'!$D$7:$D$26,MATCH(SUBSTITUTE(SUBSTITUTE(SUBSTITUTE(SUBSTITUTE("type:"&amp;B1053,"%","%25"),"~","%7E"),"*","%2A"),"?","%3F"),'Rules'!$G$7:$G$26,0)),"")</x:f>
      </x:c>
      <x:c r="N1053" s="5" t="str">
        <x:f>IF(COUNTA(A1053:F1053)=0,"",SUBSTITUTE(SUBSTITUTE(SUBSTITUTE(SUBSTITUTE("id:"&amp;A1053,"%","%25"),"~","%7E"),"*","%2A"),"?","%3F"))</x:f>
      </x:c>
    </x:row>
    <x:row r="1054" ht="22" customHeight="1">
      <x:c r="A1054" s="3"/>
      <x:c r="B1054" s="3"/>
      <x:c r="C1054" s="3"/>
      <x:c r="D1054" s="4"/>
      <x:c r="E1054" s="4"/>
      <x:c r="F1054" s="4"/>
      <x:c r="G1054" s="5" t="str">
        <x:f>IF(COUNTA(A1054:F1054)=0,"",IF(K1054&lt;&gt;"","Review",IF(I1054&lt;0,"Overdue",IF(I1054=0,"Due now",IF(I1054&lt;=M1054,"Due soon","Not due")))))</x:f>
      </x:c>
      <x:c r="H1054" s="5" t="str">
        <x:f>IF(OR(COUNTA(A1054:F1054)=0,COUNTIFS('Rules'!$G$7:$G$26,"="&amp;(SUBSTITUTE(SUBSTITUTE(SUBSTITUTE(SUBSTITUTE("type:"&amp;B1054,"%","%25"),"~","%7E"),"*","%2A"),"?","%3F")))&lt;&gt;1),"",IF(OR(INDEX('Rules'!$B$7:$B$26,MATCH(SUBSTITUTE(SUBSTITUTE(SUBSTITUTE(SUBSTITUTE("type:"&amp;B1054,"%","%25"),"~","%7E"),"*","%2A"),"?","%3F"),'Rules'!$G$7:$G$26,0))="hours",INDEX('Rules'!$B$7:$B$26,MATCH(SUBSTITUTE(SUBSTITUTE(SUBSTITUTE(SUBSTITUTE("type:"&amp;B1054,"%","%25"),"~","%7E"),"*","%2A"),"?","%3F"),'Rules'!$G$7:$G$26,0))="km"),INDEX('Rules'!$B$7:$B$26,MATCH(SUBSTITUTE(SUBSTITUTE(SUBSTITUTE(SUBSTITUTE("type:"&amp;B1054,"%","%25"),"~","%7E"),"*","%2A"),"?","%3F"),'Rules'!$G$7:$G$26,0)),""))</x:f>
      </x:c>
      <x:c r="I1054" s="6" t="str">
        <x:f>IF(AND(NOT(COUNTA(A1054:F1054)=0),K1054=""),ROUND(J1054-D1054,3),"")</x:f>
      </x:c>
      <x:c r="J1054" s="6" t="str">
        <x:f>IF(AND(NOT(COUNTA(A1054:F1054)=0),K1054=""),ROUND(F1054+L1054,3),"")</x:f>
      </x:c>
      <x:c r="K1054" s="5" t="str">
        <x:f>IF(COUNTA(A1054:F1054)=0,"",IF(A1054="","Missing equipment ID",IF(COUNTIFS($N$8:$N$2007,"="&amp;N1054)&gt;1,"Duplicate equipment ID",IF(B1054="","Missing type",IF(COUNTIFS('Rules'!$G$7:$G$26,"="&amp;(SUBSTITUTE(SUBSTITUTE(SUBSTITUTE(SUBSTITUTE("type:"&amp;B1054,"%","%25"),"~","%7E"),"*","%2A"),"?","%3F")))=0,"Unknown type",IF(COUNTIFS('Rules'!$G$7:$G$26,"="&amp;(SUBSTITUTE(SUBSTITUTE(SUBSTITUTE(SUBSTITUTE("type:"&amp;B1054,"%","%25"),"~","%7E"),"*","%2A"),"?","%3F")))&gt;1,"Duplicate type",IF(INDEX('Rules'!$F$7:$F$26,MATCH(SUBSTITUTE(SUBSTITUTE(SUBSTITUTE(SUBSTITUTE("type:"&amp;B1054,"%","%25"),"~","%7E"),"*","%2A"),"?","%3F"),'Rules'!$G$7:$G$26,0))&lt;&gt;"",INDEX('Rules'!$F$7:$F$26,MATCH(SUBSTITUTE(SUBSTITUTE(SUBSTITUTE(SUBSTITUTE("type:"&amp;B1054,"%","%25"),"~","%7E"),"*","%2A"),"?","%3F"),'Rules'!$G$7:$G$26,0)),IF(AND(C1054&lt;&gt;"",C1054&lt;&gt;INDEX('Rules'!$B$7:$B$26,MATCH(SUBSTITUTE(SUBSTITUTE(SUBSTITUTE(SUBSTITUTE("type:"&amp;B1054,"%","%25"),"~","%7E"),"*","%2A"),"?","%3F"),'Rules'!$G$7:$G$26,0))),"Unit mismatch",IF(IF(NOT(ISNUMBER(D1054)),TRUE,OR(D1054&lt;0,D1054&gt;999999999,ROUND(D1054,3)&lt;&gt;D1054)),"Invalid current reading",IF(AND(E1054&lt;&gt;"",IF(NOT(ISNUMBER(E1054)),TRUE,OR(E1054&lt;0,E1054&gt;999999999,ROUND(E1054,3)&lt;&gt;E1054))),"Invalid previous reading",IF(IF(NOT(ISNUMBER(F1054)),TRUE,OR(F1054&lt;0,F1054&gt;999999999,ROUND(F1054,3)&lt;&gt;F1054)),"Invalid last service",IF(AND(E1054&lt;&gt;"",D1054&lt;E1054),"Decreased reading",IF(F1054&gt;D1054,"Last service above current","")))))))))))))</x:f>
      </x:c>
      <x:c r="L1054" s="6" t="str">
        <x:f>IF(AND(NOT(COUNTA(A1054:F1054)=0),K1054=""),INDEX('Rules'!$C$7:$C$26,MATCH(SUBSTITUTE(SUBSTITUTE(SUBSTITUTE(SUBSTITUTE("type:"&amp;B1054,"%","%25"),"~","%7E"),"*","%2A"),"?","%3F"),'Rules'!$G$7:$G$26,0)),"")</x:f>
      </x:c>
      <x:c r="M1054" s="6" t="str">
        <x:f>IF(AND(NOT(COUNTA(A1054:F1054)=0),K1054=""),INDEX('Rules'!$D$7:$D$26,MATCH(SUBSTITUTE(SUBSTITUTE(SUBSTITUTE(SUBSTITUTE("type:"&amp;B1054,"%","%25"),"~","%7E"),"*","%2A"),"?","%3F"),'Rules'!$G$7:$G$26,0)),"")</x:f>
      </x:c>
      <x:c r="N1054" s="5" t="str">
        <x:f>IF(COUNTA(A1054:F1054)=0,"",SUBSTITUTE(SUBSTITUTE(SUBSTITUTE(SUBSTITUTE("id:"&amp;A1054,"%","%25"),"~","%7E"),"*","%2A"),"?","%3F"))</x:f>
      </x:c>
    </x:row>
    <x:row r="1055" ht="22" customHeight="1">
      <x:c r="A1055" s="3"/>
      <x:c r="B1055" s="3"/>
      <x:c r="C1055" s="3"/>
      <x:c r="D1055" s="4"/>
      <x:c r="E1055" s="4"/>
      <x:c r="F1055" s="4"/>
      <x:c r="G1055" s="5" t="str">
        <x:f>IF(COUNTA(A1055:F1055)=0,"",IF(K1055&lt;&gt;"","Review",IF(I1055&lt;0,"Overdue",IF(I1055=0,"Due now",IF(I1055&lt;=M1055,"Due soon","Not due")))))</x:f>
      </x:c>
      <x:c r="H1055" s="5" t="str">
        <x:f>IF(OR(COUNTA(A1055:F1055)=0,COUNTIFS('Rules'!$G$7:$G$26,"="&amp;(SUBSTITUTE(SUBSTITUTE(SUBSTITUTE(SUBSTITUTE("type:"&amp;B1055,"%","%25"),"~","%7E"),"*","%2A"),"?","%3F")))&lt;&gt;1),"",IF(OR(INDEX('Rules'!$B$7:$B$26,MATCH(SUBSTITUTE(SUBSTITUTE(SUBSTITUTE(SUBSTITUTE("type:"&amp;B1055,"%","%25"),"~","%7E"),"*","%2A"),"?","%3F"),'Rules'!$G$7:$G$26,0))="hours",INDEX('Rules'!$B$7:$B$26,MATCH(SUBSTITUTE(SUBSTITUTE(SUBSTITUTE(SUBSTITUTE("type:"&amp;B1055,"%","%25"),"~","%7E"),"*","%2A"),"?","%3F"),'Rules'!$G$7:$G$26,0))="km"),INDEX('Rules'!$B$7:$B$26,MATCH(SUBSTITUTE(SUBSTITUTE(SUBSTITUTE(SUBSTITUTE("type:"&amp;B1055,"%","%25"),"~","%7E"),"*","%2A"),"?","%3F"),'Rules'!$G$7:$G$26,0)),""))</x:f>
      </x:c>
      <x:c r="I1055" s="6" t="str">
        <x:f>IF(AND(NOT(COUNTA(A1055:F1055)=0),K1055=""),ROUND(J1055-D1055,3),"")</x:f>
      </x:c>
      <x:c r="J1055" s="6" t="str">
        <x:f>IF(AND(NOT(COUNTA(A1055:F1055)=0),K1055=""),ROUND(F1055+L1055,3),"")</x:f>
      </x:c>
      <x:c r="K1055" s="5" t="str">
        <x:f>IF(COUNTA(A1055:F1055)=0,"",IF(A1055="","Missing equipment ID",IF(COUNTIFS($N$8:$N$2007,"="&amp;N1055)&gt;1,"Duplicate equipment ID",IF(B1055="","Missing type",IF(COUNTIFS('Rules'!$G$7:$G$26,"="&amp;(SUBSTITUTE(SUBSTITUTE(SUBSTITUTE(SUBSTITUTE("type:"&amp;B1055,"%","%25"),"~","%7E"),"*","%2A"),"?","%3F")))=0,"Unknown type",IF(COUNTIFS('Rules'!$G$7:$G$26,"="&amp;(SUBSTITUTE(SUBSTITUTE(SUBSTITUTE(SUBSTITUTE("type:"&amp;B1055,"%","%25"),"~","%7E"),"*","%2A"),"?","%3F")))&gt;1,"Duplicate type",IF(INDEX('Rules'!$F$7:$F$26,MATCH(SUBSTITUTE(SUBSTITUTE(SUBSTITUTE(SUBSTITUTE("type:"&amp;B1055,"%","%25"),"~","%7E"),"*","%2A"),"?","%3F"),'Rules'!$G$7:$G$26,0))&lt;&gt;"",INDEX('Rules'!$F$7:$F$26,MATCH(SUBSTITUTE(SUBSTITUTE(SUBSTITUTE(SUBSTITUTE("type:"&amp;B1055,"%","%25"),"~","%7E"),"*","%2A"),"?","%3F"),'Rules'!$G$7:$G$26,0)),IF(AND(C1055&lt;&gt;"",C1055&lt;&gt;INDEX('Rules'!$B$7:$B$26,MATCH(SUBSTITUTE(SUBSTITUTE(SUBSTITUTE(SUBSTITUTE("type:"&amp;B1055,"%","%25"),"~","%7E"),"*","%2A"),"?","%3F"),'Rules'!$G$7:$G$26,0))),"Unit mismatch",IF(IF(NOT(ISNUMBER(D1055)),TRUE,OR(D1055&lt;0,D1055&gt;999999999,ROUND(D1055,3)&lt;&gt;D1055)),"Invalid current reading",IF(AND(E1055&lt;&gt;"",IF(NOT(ISNUMBER(E1055)),TRUE,OR(E1055&lt;0,E1055&gt;999999999,ROUND(E1055,3)&lt;&gt;E1055))),"Invalid previous reading",IF(IF(NOT(ISNUMBER(F1055)),TRUE,OR(F1055&lt;0,F1055&gt;999999999,ROUND(F1055,3)&lt;&gt;F1055)),"Invalid last service",IF(AND(E1055&lt;&gt;"",D1055&lt;E1055),"Decreased reading",IF(F1055&gt;D1055,"Last service above current","")))))))))))))</x:f>
      </x:c>
      <x:c r="L1055" s="6" t="str">
        <x:f>IF(AND(NOT(COUNTA(A1055:F1055)=0),K1055=""),INDEX('Rules'!$C$7:$C$26,MATCH(SUBSTITUTE(SUBSTITUTE(SUBSTITUTE(SUBSTITUTE("type:"&amp;B1055,"%","%25"),"~","%7E"),"*","%2A"),"?","%3F"),'Rules'!$G$7:$G$26,0)),"")</x:f>
      </x:c>
      <x:c r="M1055" s="6" t="str">
        <x:f>IF(AND(NOT(COUNTA(A1055:F1055)=0),K1055=""),INDEX('Rules'!$D$7:$D$26,MATCH(SUBSTITUTE(SUBSTITUTE(SUBSTITUTE(SUBSTITUTE("type:"&amp;B1055,"%","%25"),"~","%7E"),"*","%2A"),"?","%3F"),'Rules'!$G$7:$G$26,0)),"")</x:f>
      </x:c>
      <x:c r="N1055" s="5" t="str">
        <x:f>IF(COUNTA(A1055:F1055)=0,"",SUBSTITUTE(SUBSTITUTE(SUBSTITUTE(SUBSTITUTE("id:"&amp;A1055,"%","%25"),"~","%7E"),"*","%2A"),"?","%3F"))</x:f>
      </x:c>
    </x:row>
    <x:row r="1056" ht="22" customHeight="1">
      <x:c r="A1056" s="3"/>
      <x:c r="B1056" s="3"/>
      <x:c r="C1056" s="3"/>
      <x:c r="D1056" s="4"/>
      <x:c r="E1056" s="4"/>
      <x:c r="F1056" s="4"/>
      <x:c r="G1056" s="5" t="str">
        <x:f>IF(COUNTA(A1056:F1056)=0,"",IF(K1056&lt;&gt;"","Review",IF(I1056&lt;0,"Overdue",IF(I1056=0,"Due now",IF(I1056&lt;=M1056,"Due soon","Not due")))))</x:f>
      </x:c>
      <x:c r="H1056" s="5" t="str">
        <x:f>IF(OR(COUNTA(A1056:F1056)=0,COUNTIFS('Rules'!$G$7:$G$26,"="&amp;(SUBSTITUTE(SUBSTITUTE(SUBSTITUTE(SUBSTITUTE("type:"&amp;B1056,"%","%25"),"~","%7E"),"*","%2A"),"?","%3F")))&lt;&gt;1),"",IF(OR(INDEX('Rules'!$B$7:$B$26,MATCH(SUBSTITUTE(SUBSTITUTE(SUBSTITUTE(SUBSTITUTE("type:"&amp;B1056,"%","%25"),"~","%7E"),"*","%2A"),"?","%3F"),'Rules'!$G$7:$G$26,0))="hours",INDEX('Rules'!$B$7:$B$26,MATCH(SUBSTITUTE(SUBSTITUTE(SUBSTITUTE(SUBSTITUTE("type:"&amp;B1056,"%","%25"),"~","%7E"),"*","%2A"),"?","%3F"),'Rules'!$G$7:$G$26,0))="km"),INDEX('Rules'!$B$7:$B$26,MATCH(SUBSTITUTE(SUBSTITUTE(SUBSTITUTE(SUBSTITUTE("type:"&amp;B1056,"%","%25"),"~","%7E"),"*","%2A"),"?","%3F"),'Rules'!$G$7:$G$26,0)),""))</x:f>
      </x:c>
      <x:c r="I1056" s="6" t="str">
        <x:f>IF(AND(NOT(COUNTA(A1056:F1056)=0),K1056=""),ROUND(J1056-D1056,3),"")</x:f>
      </x:c>
      <x:c r="J1056" s="6" t="str">
        <x:f>IF(AND(NOT(COUNTA(A1056:F1056)=0),K1056=""),ROUND(F1056+L1056,3),"")</x:f>
      </x:c>
      <x:c r="K1056" s="5" t="str">
        <x:f>IF(COUNTA(A1056:F1056)=0,"",IF(A1056="","Missing equipment ID",IF(COUNTIFS($N$8:$N$2007,"="&amp;N1056)&gt;1,"Duplicate equipment ID",IF(B1056="","Missing type",IF(COUNTIFS('Rules'!$G$7:$G$26,"="&amp;(SUBSTITUTE(SUBSTITUTE(SUBSTITUTE(SUBSTITUTE("type:"&amp;B1056,"%","%25"),"~","%7E"),"*","%2A"),"?","%3F")))=0,"Unknown type",IF(COUNTIFS('Rules'!$G$7:$G$26,"="&amp;(SUBSTITUTE(SUBSTITUTE(SUBSTITUTE(SUBSTITUTE("type:"&amp;B1056,"%","%25"),"~","%7E"),"*","%2A"),"?","%3F")))&gt;1,"Duplicate type",IF(INDEX('Rules'!$F$7:$F$26,MATCH(SUBSTITUTE(SUBSTITUTE(SUBSTITUTE(SUBSTITUTE("type:"&amp;B1056,"%","%25"),"~","%7E"),"*","%2A"),"?","%3F"),'Rules'!$G$7:$G$26,0))&lt;&gt;"",INDEX('Rules'!$F$7:$F$26,MATCH(SUBSTITUTE(SUBSTITUTE(SUBSTITUTE(SUBSTITUTE("type:"&amp;B1056,"%","%25"),"~","%7E"),"*","%2A"),"?","%3F"),'Rules'!$G$7:$G$26,0)),IF(AND(C1056&lt;&gt;"",C1056&lt;&gt;INDEX('Rules'!$B$7:$B$26,MATCH(SUBSTITUTE(SUBSTITUTE(SUBSTITUTE(SUBSTITUTE("type:"&amp;B1056,"%","%25"),"~","%7E"),"*","%2A"),"?","%3F"),'Rules'!$G$7:$G$26,0))),"Unit mismatch",IF(IF(NOT(ISNUMBER(D1056)),TRUE,OR(D1056&lt;0,D1056&gt;999999999,ROUND(D1056,3)&lt;&gt;D1056)),"Invalid current reading",IF(AND(E1056&lt;&gt;"",IF(NOT(ISNUMBER(E1056)),TRUE,OR(E1056&lt;0,E1056&gt;999999999,ROUND(E1056,3)&lt;&gt;E1056))),"Invalid previous reading",IF(IF(NOT(ISNUMBER(F1056)),TRUE,OR(F1056&lt;0,F1056&gt;999999999,ROUND(F1056,3)&lt;&gt;F1056)),"Invalid last service",IF(AND(E1056&lt;&gt;"",D1056&lt;E1056),"Decreased reading",IF(F1056&gt;D1056,"Last service above current","")))))))))))))</x:f>
      </x:c>
      <x:c r="L1056" s="6" t="str">
        <x:f>IF(AND(NOT(COUNTA(A1056:F1056)=0),K1056=""),INDEX('Rules'!$C$7:$C$26,MATCH(SUBSTITUTE(SUBSTITUTE(SUBSTITUTE(SUBSTITUTE("type:"&amp;B1056,"%","%25"),"~","%7E"),"*","%2A"),"?","%3F"),'Rules'!$G$7:$G$26,0)),"")</x:f>
      </x:c>
      <x:c r="M1056" s="6" t="str">
        <x:f>IF(AND(NOT(COUNTA(A1056:F1056)=0),K1056=""),INDEX('Rules'!$D$7:$D$26,MATCH(SUBSTITUTE(SUBSTITUTE(SUBSTITUTE(SUBSTITUTE("type:"&amp;B1056,"%","%25"),"~","%7E"),"*","%2A"),"?","%3F"),'Rules'!$G$7:$G$26,0)),"")</x:f>
      </x:c>
      <x:c r="N1056" s="5" t="str">
        <x:f>IF(COUNTA(A1056:F1056)=0,"",SUBSTITUTE(SUBSTITUTE(SUBSTITUTE(SUBSTITUTE("id:"&amp;A1056,"%","%25"),"~","%7E"),"*","%2A"),"?","%3F"))</x:f>
      </x:c>
    </x:row>
    <x:row r="1057" ht="22" customHeight="1">
      <x:c r="A1057" s="3"/>
      <x:c r="B1057" s="3"/>
      <x:c r="C1057" s="3"/>
      <x:c r="D1057" s="4"/>
      <x:c r="E1057" s="4"/>
      <x:c r="F1057" s="4"/>
      <x:c r="G1057" s="5" t="str">
        <x:f>IF(COUNTA(A1057:F1057)=0,"",IF(K1057&lt;&gt;"","Review",IF(I1057&lt;0,"Overdue",IF(I1057=0,"Due now",IF(I1057&lt;=M1057,"Due soon","Not due")))))</x:f>
      </x:c>
      <x:c r="H1057" s="5" t="str">
        <x:f>IF(OR(COUNTA(A1057:F1057)=0,COUNTIFS('Rules'!$G$7:$G$26,"="&amp;(SUBSTITUTE(SUBSTITUTE(SUBSTITUTE(SUBSTITUTE("type:"&amp;B1057,"%","%25"),"~","%7E"),"*","%2A"),"?","%3F")))&lt;&gt;1),"",IF(OR(INDEX('Rules'!$B$7:$B$26,MATCH(SUBSTITUTE(SUBSTITUTE(SUBSTITUTE(SUBSTITUTE("type:"&amp;B1057,"%","%25"),"~","%7E"),"*","%2A"),"?","%3F"),'Rules'!$G$7:$G$26,0))="hours",INDEX('Rules'!$B$7:$B$26,MATCH(SUBSTITUTE(SUBSTITUTE(SUBSTITUTE(SUBSTITUTE("type:"&amp;B1057,"%","%25"),"~","%7E"),"*","%2A"),"?","%3F"),'Rules'!$G$7:$G$26,0))="km"),INDEX('Rules'!$B$7:$B$26,MATCH(SUBSTITUTE(SUBSTITUTE(SUBSTITUTE(SUBSTITUTE("type:"&amp;B1057,"%","%25"),"~","%7E"),"*","%2A"),"?","%3F"),'Rules'!$G$7:$G$26,0)),""))</x:f>
      </x:c>
      <x:c r="I1057" s="6" t="str">
        <x:f>IF(AND(NOT(COUNTA(A1057:F1057)=0),K1057=""),ROUND(J1057-D1057,3),"")</x:f>
      </x:c>
      <x:c r="J1057" s="6" t="str">
        <x:f>IF(AND(NOT(COUNTA(A1057:F1057)=0),K1057=""),ROUND(F1057+L1057,3),"")</x:f>
      </x:c>
      <x:c r="K1057" s="5" t="str">
        <x:f>IF(COUNTA(A1057:F1057)=0,"",IF(A1057="","Missing equipment ID",IF(COUNTIFS($N$8:$N$2007,"="&amp;N1057)&gt;1,"Duplicate equipment ID",IF(B1057="","Missing type",IF(COUNTIFS('Rules'!$G$7:$G$26,"="&amp;(SUBSTITUTE(SUBSTITUTE(SUBSTITUTE(SUBSTITUTE("type:"&amp;B1057,"%","%25"),"~","%7E"),"*","%2A"),"?","%3F")))=0,"Unknown type",IF(COUNTIFS('Rules'!$G$7:$G$26,"="&amp;(SUBSTITUTE(SUBSTITUTE(SUBSTITUTE(SUBSTITUTE("type:"&amp;B1057,"%","%25"),"~","%7E"),"*","%2A"),"?","%3F")))&gt;1,"Duplicate type",IF(INDEX('Rules'!$F$7:$F$26,MATCH(SUBSTITUTE(SUBSTITUTE(SUBSTITUTE(SUBSTITUTE("type:"&amp;B1057,"%","%25"),"~","%7E"),"*","%2A"),"?","%3F"),'Rules'!$G$7:$G$26,0))&lt;&gt;"",INDEX('Rules'!$F$7:$F$26,MATCH(SUBSTITUTE(SUBSTITUTE(SUBSTITUTE(SUBSTITUTE("type:"&amp;B1057,"%","%25"),"~","%7E"),"*","%2A"),"?","%3F"),'Rules'!$G$7:$G$26,0)),IF(AND(C1057&lt;&gt;"",C1057&lt;&gt;INDEX('Rules'!$B$7:$B$26,MATCH(SUBSTITUTE(SUBSTITUTE(SUBSTITUTE(SUBSTITUTE("type:"&amp;B1057,"%","%25"),"~","%7E"),"*","%2A"),"?","%3F"),'Rules'!$G$7:$G$26,0))),"Unit mismatch",IF(IF(NOT(ISNUMBER(D1057)),TRUE,OR(D1057&lt;0,D1057&gt;999999999,ROUND(D1057,3)&lt;&gt;D1057)),"Invalid current reading",IF(AND(E1057&lt;&gt;"",IF(NOT(ISNUMBER(E1057)),TRUE,OR(E1057&lt;0,E1057&gt;999999999,ROUND(E1057,3)&lt;&gt;E1057))),"Invalid previous reading",IF(IF(NOT(ISNUMBER(F1057)),TRUE,OR(F1057&lt;0,F1057&gt;999999999,ROUND(F1057,3)&lt;&gt;F1057)),"Invalid last service",IF(AND(E1057&lt;&gt;"",D1057&lt;E1057),"Decreased reading",IF(F1057&gt;D1057,"Last service above current","")))))))))))))</x:f>
      </x:c>
      <x:c r="L1057" s="6" t="str">
        <x:f>IF(AND(NOT(COUNTA(A1057:F1057)=0),K1057=""),INDEX('Rules'!$C$7:$C$26,MATCH(SUBSTITUTE(SUBSTITUTE(SUBSTITUTE(SUBSTITUTE("type:"&amp;B1057,"%","%25"),"~","%7E"),"*","%2A"),"?","%3F"),'Rules'!$G$7:$G$26,0)),"")</x:f>
      </x:c>
      <x:c r="M1057" s="6" t="str">
        <x:f>IF(AND(NOT(COUNTA(A1057:F1057)=0),K1057=""),INDEX('Rules'!$D$7:$D$26,MATCH(SUBSTITUTE(SUBSTITUTE(SUBSTITUTE(SUBSTITUTE("type:"&amp;B1057,"%","%25"),"~","%7E"),"*","%2A"),"?","%3F"),'Rules'!$G$7:$G$26,0)),"")</x:f>
      </x:c>
      <x:c r="N1057" s="5" t="str">
        <x:f>IF(COUNTA(A1057:F1057)=0,"",SUBSTITUTE(SUBSTITUTE(SUBSTITUTE(SUBSTITUTE("id:"&amp;A1057,"%","%25"),"~","%7E"),"*","%2A"),"?","%3F"))</x:f>
      </x:c>
    </x:row>
    <x:row r="1058" ht="22" customHeight="1">
      <x:c r="A1058" s="3"/>
      <x:c r="B1058" s="3"/>
      <x:c r="C1058" s="3"/>
      <x:c r="D1058" s="4"/>
      <x:c r="E1058" s="4"/>
      <x:c r="F1058" s="4"/>
      <x:c r="G1058" s="5" t="str">
        <x:f>IF(COUNTA(A1058:F1058)=0,"",IF(K1058&lt;&gt;"","Review",IF(I1058&lt;0,"Overdue",IF(I1058=0,"Due now",IF(I1058&lt;=M1058,"Due soon","Not due")))))</x:f>
      </x:c>
      <x:c r="H1058" s="5" t="str">
        <x:f>IF(OR(COUNTA(A1058:F1058)=0,COUNTIFS('Rules'!$G$7:$G$26,"="&amp;(SUBSTITUTE(SUBSTITUTE(SUBSTITUTE(SUBSTITUTE("type:"&amp;B1058,"%","%25"),"~","%7E"),"*","%2A"),"?","%3F")))&lt;&gt;1),"",IF(OR(INDEX('Rules'!$B$7:$B$26,MATCH(SUBSTITUTE(SUBSTITUTE(SUBSTITUTE(SUBSTITUTE("type:"&amp;B1058,"%","%25"),"~","%7E"),"*","%2A"),"?","%3F"),'Rules'!$G$7:$G$26,0))="hours",INDEX('Rules'!$B$7:$B$26,MATCH(SUBSTITUTE(SUBSTITUTE(SUBSTITUTE(SUBSTITUTE("type:"&amp;B1058,"%","%25"),"~","%7E"),"*","%2A"),"?","%3F"),'Rules'!$G$7:$G$26,0))="km"),INDEX('Rules'!$B$7:$B$26,MATCH(SUBSTITUTE(SUBSTITUTE(SUBSTITUTE(SUBSTITUTE("type:"&amp;B1058,"%","%25"),"~","%7E"),"*","%2A"),"?","%3F"),'Rules'!$G$7:$G$26,0)),""))</x:f>
      </x:c>
      <x:c r="I1058" s="6" t="str">
        <x:f>IF(AND(NOT(COUNTA(A1058:F1058)=0),K1058=""),ROUND(J1058-D1058,3),"")</x:f>
      </x:c>
      <x:c r="J1058" s="6" t="str">
        <x:f>IF(AND(NOT(COUNTA(A1058:F1058)=0),K1058=""),ROUND(F1058+L1058,3),"")</x:f>
      </x:c>
      <x:c r="K1058" s="5" t="str">
        <x:f>IF(COUNTA(A1058:F1058)=0,"",IF(A1058="","Missing equipment ID",IF(COUNTIFS($N$8:$N$2007,"="&amp;N1058)&gt;1,"Duplicate equipment ID",IF(B1058="","Missing type",IF(COUNTIFS('Rules'!$G$7:$G$26,"="&amp;(SUBSTITUTE(SUBSTITUTE(SUBSTITUTE(SUBSTITUTE("type:"&amp;B1058,"%","%25"),"~","%7E"),"*","%2A"),"?","%3F")))=0,"Unknown type",IF(COUNTIFS('Rules'!$G$7:$G$26,"="&amp;(SUBSTITUTE(SUBSTITUTE(SUBSTITUTE(SUBSTITUTE("type:"&amp;B1058,"%","%25"),"~","%7E"),"*","%2A"),"?","%3F")))&gt;1,"Duplicate type",IF(INDEX('Rules'!$F$7:$F$26,MATCH(SUBSTITUTE(SUBSTITUTE(SUBSTITUTE(SUBSTITUTE("type:"&amp;B1058,"%","%25"),"~","%7E"),"*","%2A"),"?","%3F"),'Rules'!$G$7:$G$26,0))&lt;&gt;"",INDEX('Rules'!$F$7:$F$26,MATCH(SUBSTITUTE(SUBSTITUTE(SUBSTITUTE(SUBSTITUTE("type:"&amp;B1058,"%","%25"),"~","%7E"),"*","%2A"),"?","%3F"),'Rules'!$G$7:$G$26,0)),IF(AND(C1058&lt;&gt;"",C1058&lt;&gt;INDEX('Rules'!$B$7:$B$26,MATCH(SUBSTITUTE(SUBSTITUTE(SUBSTITUTE(SUBSTITUTE("type:"&amp;B1058,"%","%25"),"~","%7E"),"*","%2A"),"?","%3F"),'Rules'!$G$7:$G$26,0))),"Unit mismatch",IF(IF(NOT(ISNUMBER(D1058)),TRUE,OR(D1058&lt;0,D1058&gt;999999999,ROUND(D1058,3)&lt;&gt;D1058)),"Invalid current reading",IF(AND(E1058&lt;&gt;"",IF(NOT(ISNUMBER(E1058)),TRUE,OR(E1058&lt;0,E1058&gt;999999999,ROUND(E1058,3)&lt;&gt;E1058))),"Invalid previous reading",IF(IF(NOT(ISNUMBER(F1058)),TRUE,OR(F1058&lt;0,F1058&gt;999999999,ROUND(F1058,3)&lt;&gt;F1058)),"Invalid last service",IF(AND(E1058&lt;&gt;"",D1058&lt;E1058),"Decreased reading",IF(F1058&gt;D1058,"Last service above current","")))))))))))))</x:f>
      </x:c>
      <x:c r="L1058" s="6" t="str">
        <x:f>IF(AND(NOT(COUNTA(A1058:F1058)=0),K1058=""),INDEX('Rules'!$C$7:$C$26,MATCH(SUBSTITUTE(SUBSTITUTE(SUBSTITUTE(SUBSTITUTE("type:"&amp;B1058,"%","%25"),"~","%7E"),"*","%2A"),"?","%3F"),'Rules'!$G$7:$G$26,0)),"")</x:f>
      </x:c>
      <x:c r="M1058" s="6" t="str">
        <x:f>IF(AND(NOT(COUNTA(A1058:F1058)=0),K1058=""),INDEX('Rules'!$D$7:$D$26,MATCH(SUBSTITUTE(SUBSTITUTE(SUBSTITUTE(SUBSTITUTE("type:"&amp;B1058,"%","%25"),"~","%7E"),"*","%2A"),"?","%3F"),'Rules'!$G$7:$G$26,0)),"")</x:f>
      </x:c>
      <x:c r="N1058" s="5" t="str">
        <x:f>IF(COUNTA(A1058:F1058)=0,"",SUBSTITUTE(SUBSTITUTE(SUBSTITUTE(SUBSTITUTE("id:"&amp;A1058,"%","%25"),"~","%7E"),"*","%2A"),"?","%3F"))</x:f>
      </x:c>
    </x:row>
    <x:row r="1059" ht="22" customHeight="1">
      <x:c r="A1059" s="3"/>
      <x:c r="B1059" s="3"/>
      <x:c r="C1059" s="3"/>
      <x:c r="D1059" s="4"/>
      <x:c r="E1059" s="4"/>
      <x:c r="F1059" s="4"/>
      <x:c r="G1059" s="5" t="str">
        <x:f>IF(COUNTA(A1059:F1059)=0,"",IF(K1059&lt;&gt;"","Review",IF(I1059&lt;0,"Overdue",IF(I1059=0,"Due now",IF(I1059&lt;=M1059,"Due soon","Not due")))))</x:f>
      </x:c>
      <x:c r="H1059" s="5" t="str">
        <x:f>IF(OR(COUNTA(A1059:F1059)=0,COUNTIFS('Rules'!$G$7:$G$26,"="&amp;(SUBSTITUTE(SUBSTITUTE(SUBSTITUTE(SUBSTITUTE("type:"&amp;B1059,"%","%25"),"~","%7E"),"*","%2A"),"?","%3F")))&lt;&gt;1),"",IF(OR(INDEX('Rules'!$B$7:$B$26,MATCH(SUBSTITUTE(SUBSTITUTE(SUBSTITUTE(SUBSTITUTE("type:"&amp;B1059,"%","%25"),"~","%7E"),"*","%2A"),"?","%3F"),'Rules'!$G$7:$G$26,0))="hours",INDEX('Rules'!$B$7:$B$26,MATCH(SUBSTITUTE(SUBSTITUTE(SUBSTITUTE(SUBSTITUTE("type:"&amp;B1059,"%","%25"),"~","%7E"),"*","%2A"),"?","%3F"),'Rules'!$G$7:$G$26,0))="km"),INDEX('Rules'!$B$7:$B$26,MATCH(SUBSTITUTE(SUBSTITUTE(SUBSTITUTE(SUBSTITUTE("type:"&amp;B1059,"%","%25"),"~","%7E"),"*","%2A"),"?","%3F"),'Rules'!$G$7:$G$26,0)),""))</x:f>
      </x:c>
      <x:c r="I1059" s="6" t="str">
        <x:f>IF(AND(NOT(COUNTA(A1059:F1059)=0),K1059=""),ROUND(J1059-D1059,3),"")</x:f>
      </x:c>
      <x:c r="J1059" s="6" t="str">
        <x:f>IF(AND(NOT(COUNTA(A1059:F1059)=0),K1059=""),ROUND(F1059+L1059,3),"")</x:f>
      </x:c>
      <x:c r="K1059" s="5" t="str">
        <x:f>IF(COUNTA(A1059:F1059)=0,"",IF(A1059="","Missing equipment ID",IF(COUNTIFS($N$8:$N$2007,"="&amp;N1059)&gt;1,"Duplicate equipment ID",IF(B1059="","Missing type",IF(COUNTIFS('Rules'!$G$7:$G$26,"="&amp;(SUBSTITUTE(SUBSTITUTE(SUBSTITUTE(SUBSTITUTE("type:"&amp;B1059,"%","%25"),"~","%7E"),"*","%2A"),"?","%3F")))=0,"Unknown type",IF(COUNTIFS('Rules'!$G$7:$G$26,"="&amp;(SUBSTITUTE(SUBSTITUTE(SUBSTITUTE(SUBSTITUTE("type:"&amp;B1059,"%","%25"),"~","%7E"),"*","%2A"),"?","%3F")))&gt;1,"Duplicate type",IF(INDEX('Rules'!$F$7:$F$26,MATCH(SUBSTITUTE(SUBSTITUTE(SUBSTITUTE(SUBSTITUTE("type:"&amp;B1059,"%","%25"),"~","%7E"),"*","%2A"),"?","%3F"),'Rules'!$G$7:$G$26,0))&lt;&gt;"",INDEX('Rules'!$F$7:$F$26,MATCH(SUBSTITUTE(SUBSTITUTE(SUBSTITUTE(SUBSTITUTE("type:"&amp;B1059,"%","%25"),"~","%7E"),"*","%2A"),"?","%3F"),'Rules'!$G$7:$G$26,0)),IF(AND(C1059&lt;&gt;"",C1059&lt;&gt;INDEX('Rules'!$B$7:$B$26,MATCH(SUBSTITUTE(SUBSTITUTE(SUBSTITUTE(SUBSTITUTE("type:"&amp;B1059,"%","%25"),"~","%7E"),"*","%2A"),"?","%3F"),'Rules'!$G$7:$G$26,0))),"Unit mismatch",IF(IF(NOT(ISNUMBER(D1059)),TRUE,OR(D1059&lt;0,D1059&gt;999999999,ROUND(D1059,3)&lt;&gt;D1059)),"Invalid current reading",IF(AND(E1059&lt;&gt;"",IF(NOT(ISNUMBER(E1059)),TRUE,OR(E1059&lt;0,E1059&gt;999999999,ROUND(E1059,3)&lt;&gt;E1059))),"Invalid previous reading",IF(IF(NOT(ISNUMBER(F1059)),TRUE,OR(F1059&lt;0,F1059&gt;999999999,ROUND(F1059,3)&lt;&gt;F1059)),"Invalid last service",IF(AND(E1059&lt;&gt;"",D1059&lt;E1059),"Decreased reading",IF(F1059&gt;D1059,"Last service above current","")))))))))))))</x:f>
      </x:c>
      <x:c r="L1059" s="6" t="str">
        <x:f>IF(AND(NOT(COUNTA(A1059:F1059)=0),K1059=""),INDEX('Rules'!$C$7:$C$26,MATCH(SUBSTITUTE(SUBSTITUTE(SUBSTITUTE(SUBSTITUTE("type:"&amp;B1059,"%","%25"),"~","%7E"),"*","%2A"),"?","%3F"),'Rules'!$G$7:$G$26,0)),"")</x:f>
      </x:c>
      <x:c r="M1059" s="6" t="str">
        <x:f>IF(AND(NOT(COUNTA(A1059:F1059)=0),K1059=""),INDEX('Rules'!$D$7:$D$26,MATCH(SUBSTITUTE(SUBSTITUTE(SUBSTITUTE(SUBSTITUTE("type:"&amp;B1059,"%","%25"),"~","%7E"),"*","%2A"),"?","%3F"),'Rules'!$G$7:$G$26,0)),"")</x:f>
      </x:c>
      <x:c r="N1059" s="5" t="str">
        <x:f>IF(COUNTA(A1059:F1059)=0,"",SUBSTITUTE(SUBSTITUTE(SUBSTITUTE(SUBSTITUTE("id:"&amp;A1059,"%","%25"),"~","%7E"),"*","%2A"),"?","%3F"))</x:f>
      </x:c>
    </x:row>
    <x:row r="1060" ht="22" customHeight="1">
      <x:c r="A1060" s="3"/>
      <x:c r="B1060" s="3"/>
      <x:c r="C1060" s="3"/>
      <x:c r="D1060" s="4"/>
      <x:c r="E1060" s="4"/>
      <x:c r="F1060" s="4"/>
      <x:c r="G1060" s="5" t="str">
        <x:f>IF(COUNTA(A1060:F1060)=0,"",IF(K1060&lt;&gt;"","Review",IF(I1060&lt;0,"Overdue",IF(I1060=0,"Due now",IF(I1060&lt;=M1060,"Due soon","Not due")))))</x:f>
      </x:c>
      <x:c r="H1060" s="5" t="str">
        <x:f>IF(OR(COUNTA(A1060:F1060)=0,COUNTIFS('Rules'!$G$7:$G$26,"="&amp;(SUBSTITUTE(SUBSTITUTE(SUBSTITUTE(SUBSTITUTE("type:"&amp;B1060,"%","%25"),"~","%7E"),"*","%2A"),"?","%3F")))&lt;&gt;1),"",IF(OR(INDEX('Rules'!$B$7:$B$26,MATCH(SUBSTITUTE(SUBSTITUTE(SUBSTITUTE(SUBSTITUTE("type:"&amp;B1060,"%","%25"),"~","%7E"),"*","%2A"),"?","%3F"),'Rules'!$G$7:$G$26,0))="hours",INDEX('Rules'!$B$7:$B$26,MATCH(SUBSTITUTE(SUBSTITUTE(SUBSTITUTE(SUBSTITUTE("type:"&amp;B1060,"%","%25"),"~","%7E"),"*","%2A"),"?","%3F"),'Rules'!$G$7:$G$26,0))="km"),INDEX('Rules'!$B$7:$B$26,MATCH(SUBSTITUTE(SUBSTITUTE(SUBSTITUTE(SUBSTITUTE("type:"&amp;B1060,"%","%25"),"~","%7E"),"*","%2A"),"?","%3F"),'Rules'!$G$7:$G$26,0)),""))</x:f>
      </x:c>
      <x:c r="I1060" s="6" t="str">
        <x:f>IF(AND(NOT(COUNTA(A1060:F1060)=0),K1060=""),ROUND(J1060-D1060,3),"")</x:f>
      </x:c>
      <x:c r="J1060" s="6" t="str">
        <x:f>IF(AND(NOT(COUNTA(A1060:F1060)=0),K1060=""),ROUND(F1060+L1060,3),"")</x:f>
      </x:c>
      <x:c r="K1060" s="5" t="str">
        <x:f>IF(COUNTA(A1060:F1060)=0,"",IF(A1060="","Missing equipment ID",IF(COUNTIFS($N$8:$N$2007,"="&amp;N1060)&gt;1,"Duplicate equipment ID",IF(B1060="","Missing type",IF(COUNTIFS('Rules'!$G$7:$G$26,"="&amp;(SUBSTITUTE(SUBSTITUTE(SUBSTITUTE(SUBSTITUTE("type:"&amp;B1060,"%","%25"),"~","%7E"),"*","%2A"),"?","%3F")))=0,"Unknown type",IF(COUNTIFS('Rules'!$G$7:$G$26,"="&amp;(SUBSTITUTE(SUBSTITUTE(SUBSTITUTE(SUBSTITUTE("type:"&amp;B1060,"%","%25"),"~","%7E"),"*","%2A"),"?","%3F")))&gt;1,"Duplicate type",IF(INDEX('Rules'!$F$7:$F$26,MATCH(SUBSTITUTE(SUBSTITUTE(SUBSTITUTE(SUBSTITUTE("type:"&amp;B1060,"%","%25"),"~","%7E"),"*","%2A"),"?","%3F"),'Rules'!$G$7:$G$26,0))&lt;&gt;"",INDEX('Rules'!$F$7:$F$26,MATCH(SUBSTITUTE(SUBSTITUTE(SUBSTITUTE(SUBSTITUTE("type:"&amp;B1060,"%","%25"),"~","%7E"),"*","%2A"),"?","%3F"),'Rules'!$G$7:$G$26,0)),IF(AND(C1060&lt;&gt;"",C1060&lt;&gt;INDEX('Rules'!$B$7:$B$26,MATCH(SUBSTITUTE(SUBSTITUTE(SUBSTITUTE(SUBSTITUTE("type:"&amp;B1060,"%","%25"),"~","%7E"),"*","%2A"),"?","%3F"),'Rules'!$G$7:$G$26,0))),"Unit mismatch",IF(IF(NOT(ISNUMBER(D1060)),TRUE,OR(D1060&lt;0,D1060&gt;999999999,ROUND(D1060,3)&lt;&gt;D1060)),"Invalid current reading",IF(AND(E1060&lt;&gt;"",IF(NOT(ISNUMBER(E1060)),TRUE,OR(E1060&lt;0,E1060&gt;999999999,ROUND(E1060,3)&lt;&gt;E1060))),"Invalid previous reading",IF(IF(NOT(ISNUMBER(F1060)),TRUE,OR(F1060&lt;0,F1060&gt;999999999,ROUND(F1060,3)&lt;&gt;F1060)),"Invalid last service",IF(AND(E1060&lt;&gt;"",D1060&lt;E1060),"Decreased reading",IF(F1060&gt;D1060,"Last service above current","")))))))))))))</x:f>
      </x:c>
      <x:c r="L1060" s="6" t="str">
        <x:f>IF(AND(NOT(COUNTA(A1060:F1060)=0),K1060=""),INDEX('Rules'!$C$7:$C$26,MATCH(SUBSTITUTE(SUBSTITUTE(SUBSTITUTE(SUBSTITUTE("type:"&amp;B1060,"%","%25"),"~","%7E"),"*","%2A"),"?","%3F"),'Rules'!$G$7:$G$26,0)),"")</x:f>
      </x:c>
      <x:c r="M1060" s="6" t="str">
        <x:f>IF(AND(NOT(COUNTA(A1060:F1060)=0),K1060=""),INDEX('Rules'!$D$7:$D$26,MATCH(SUBSTITUTE(SUBSTITUTE(SUBSTITUTE(SUBSTITUTE("type:"&amp;B1060,"%","%25"),"~","%7E"),"*","%2A"),"?","%3F"),'Rules'!$G$7:$G$26,0)),"")</x:f>
      </x:c>
      <x:c r="N1060" s="5" t="str">
        <x:f>IF(COUNTA(A1060:F1060)=0,"",SUBSTITUTE(SUBSTITUTE(SUBSTITUTE(SUBSTITUTE("id:"&amp;A1060,"%","%25"),"~","%7E"),"*","%2A"),"?","%3F"))</x:f>
      </x:c>
    </x:row>
    <x:row r="1061" ht="22" customHeight="1">
      <x:c r="A1061" s="3"/>
      <x:c r="B1061" s="3"/>
      <x:c r="C1061" s="3"/>
      <x:c r="D1061" s="4"/>
      <x:c r="E1061" s="4"/>
      <x:c r="F1061" s="4"/>
      <x:c r="G1061" s="5" t="str">
        <x:f>IF(COUNTA(A1061:F1061)=0,"",IF(K1061&lt;&gt;"","Review",IF(I1061&lt;0,"Overdue",IF(I1061=0,"Due now",IF(I1061&lt;=M1061,"Due soon","Not due")))))</x:f>
      </x:c>
      <x:c r="H1061" s="5" t="str">
        <x:f>IF(OR(COUNTA(A1061:F1061)=0,COUNTIFS('Rules'!$G$7:$G$26,"="&amp;(SUBSTITUTE(SUBSTITUTE(SUBSTITUTE(SUBSTITUTE("type:"&amp;B1061,"%","%25"),"~","%7E"),"*","%2A"),"?","%3F")))&lt;&gt;1),"",IF(OR(INDEX('Rules'!$B$7:$B$26,MATCH(SUBSTITUTE(SUBSTITUTE(SUBSTITUTE(SUBSTITUTE("type:"&amp;B1061,"%","%25"),"~","%7E"),"*","%2A"),"?","%3F"),'Rules'!$G$7:$G$26,0))="hours",INDEX('Rules'!$B$7:$B$26,MATCH(SUBSTITUTE(SUBSTITUTE(SUBSTITUTE(SUBSTITUTE("type:"&amp;B1061,"%","%25"),"~","%7E"),"*","%2A"),"?","%3F"),'Rules'!$G$7:$G$26,0))="km"),INDEX('Rules'!$B$7:$B$26,MATCH(SUBSTITUTE(SUBSTITUTE(SUBSTITUTE(SUBSTITUTE("type:"&amp;B1061,"%","%25"),"~","%7E"),"*","%2A"),"?","%3F"),'Rules'!$G$7:$G$26,0)),""))</x:f>
      </x:c>
      <x:c r="I1061" s="6" t="str">
        <x:f>IF(AND(NOT(COUNTA(A1061:F1061)=0),K1061=""),ROUND(J1061-D1061,3),"")</x:f>
      </x:c>
      <x:c r="J1061" s="6" t="str">
        <x:f>IF(AND(NOT(COUNTA(A1061:F1061)=0),K1061=""),ROUND(F1061+L1061,3),"")</x:f>
      </x:c>
      <x:c r="K1061" s="5" t="str">
        <x:f>IF(COUNTA(A1061:F1061)=0,"",IF(A1061="","Missing equipment ID",IF(COUNTIFS($N$8:$N$2007,"="&amp;N1061)&gt;1,"Duplicate equipment ID",IF(B1061="","Missing type",IF(COUNTIFS('Rules'!$G$7:$G$26,"="&amp;(SUBSTITUTE(SUBSTITUTE(SUBSTITUTE(SUBSTITUTE("type:"&amp;B1061,"%","%25"),"~","%7E"),"*","%2A"),"?","%3F")))=0,"Unknown type",IF(COUNTIFS('Rules'!$G$7:$G$26,"="&amp;(SUBSTITUTE(SUBSTITUTE(SUBSTITUTE(SUBSTITUTE("type:"&amp;B1061,"%","%25"),"~","%7E"),"*","%2A"),"?","%3F")))&gt;1,"Duplicate type",IF(INDEX('Rules'!$F$7:$F$26,MATCH(SUBSTITUTE(SUBSTITUTE(SUBSTITUTE(SUBSTITUTE("type:"&amp;B1061,"%","%25"),"~","%7E"),"*","%2A"),"?","%3F"),'Rules'!$G$7:$G$26,0))&lt;&gt;"",INDEX('Rules'!$F$7:$F$26,MATCH(SUBSTITUTE(SUBSTITUTE(SUBSTITUTE(SUBSTITUTE("type:"&amp;B1061,"%","%25"),"~","%7E"),"*","%2A"),"?","%3F"),'Rules'!$G$7:$G$26,0)),IF(AND(C1061&lt;&gt;"",C1061&lt;&gt;INDEX('Rules'!$B$7:$B$26,MATCH(SUBSTITUTE(SUBSTITUTE(SUBSTITUTE(SUBSTITUTE("type:"&amp;B1061,"%","%25"),"~","%7E"),"*","%2A"),"?","%3F"),'Rules'!$G$7:$G$26,0))),"Unit mismatch",IF(IF(NOT(ISNUMBER(D1061)),TRUE,OR(D1061&lt;0,D1061&gt;999999999,ROUND(D1061,3)&lt;&gt;D1061)),"Invalid current reading",IF(AND(E1061&lt;&gt;"",IF(NOT(ISNUMBER(E1061)),TRUE,OR(E1061&lt;0,E1061&gt;999999999,ROUND(E1061,3)&lt;&gt;E1061))),"Invalid previous reading",IF(IF(NOT(ISNUMBER(F1061)),TRUE,OR(F1061&lt;0,F1061&gt;999999999,ROUND(F1061,3)&lt;&gt;F1061)),"Invalid last service",IF(AND(E1061&lt;&gt;"",D1061&lt;E1061),"Decreased reading",IF(F1061&gt;D1061,"Last service above current","")))))))))))))</x:f>
      </x:c>
      <x:c r="L1061" s="6" t="str">
        <x:f>IF(AND(NOT(COUNTA(A1061:F1061)=0),K1061=""),INDEX('Rules'!$C$7:$C$26,MATCH(SUBSTITUTE(SUBSTITUTE(SUBSTITUTE(SUBSTITUTE("type:"&amp;B1061,"%","%25"),"~","%7E"),"*","%2A"),"?","%3F"),'Rules'!$G$7:$G$26,0)),"")</x:f>
      </x:c>
      <x:c r="M1061" s="6" t="str">
        <x:f>IF(AND(NOT(COUNTA(A1061:F1061)=0),K1061=""),INDEX('Rules'!$D$7:$D$26,MATCH(SUBSTITUTE(SUBSTITUTE(SUBSTITUTE(SUBSTITUTE("type:"&amp;B1061,"%","%25"),"~","%7E"),"*","%2A"),"?","%3F"),'Rules'!$G$7:$G$26,0)),"")</x:f>
      </x:c>
      <x:c r="N1061" s="5" t="str">
        <x:f>IF(COUNTA(A1061:F1061)=0,"",SUBSTITUTE(SUBSTITUTE(SUBSTITUTE(SUBSTITUTE("id:"&amp;A1061,"%","%25"),"~","%7E"),"*","%2A"),"?","%3F"))</x:f>
      </x:c>
    </x:row>
    <x:row r="1062" ht="22" customHeight="1">
      <x:c r="A1062" s="3"/>
      <x:c r="B1062" s="3"/>
      <x:c r="C1062" s="3"/>
      <x:c r="D1062" s="4"/>
      <x:c r="E1062" s="4"/>
      <x:c r="F1062" s="4"/>
      <x:c r="G1062" s="5" t="str">
        <x:f>IF(COUNTA(A1062:F1062)=0,"",IF(K1062&lt;&gt;"","Review",IF(I1062&lt;0,"Overdue",IF(I1062=0,"Due now",IF(I1062&lt;=M1062,"Due soon","Not due")))))</x:f>
      </x:c>
      <x:c r="H1062" s="5" t="str">
        <x:f>IF(OR(COUNTA(A1062:F1062)=0,COUNTIFS('Rules'!$G$7:$G$26,"="&amp;(SUBSTITUTE(SUBSTITUTE(SUBSTITUTE(SUBSTITUTE("type:"&amp;B1062,"%","%25"),"~","%7E"),"*","%2A"),"?","%3F")))&lt;&gt;1),"",IF(OR(INDEX('Rules'!$B$7:$B$26,MATCH(SUBSTITUTE(SUBSTITUTE(SUBSTITUTE(SUBSTITUTE("type:"&amp;B1062,"%","%25"),"~","%7E"),"*","%2A"),"?","%3F"),'Rules'!$G$7:$G$26,0))="hours",INDEX('Rules'!$B$7:$B$26,MATCH(SUBSTITUTE(SUBSTITUTE(SUBSTITUTE(SUBSTITUTE("type:"&amp;B1062,"%","%25"),"~","%7E"),"*","%2A"),"?","%3F"),'Rules'!$G$7:$G$26,0))="km"),INDEX('Rules'!$B$7:$B$26,MATCH(SUBSTITUTE(SUBSTITUTE(SUBSTITUTE(SUBSTITUTE("type:"&amp;B1062,"%","%25"),"~","%7E"),"*","%2A"),"?","%3F"),'Rules'!$G$7:$G$26,0)),""))</x:f>
      </x:c>
      <x:c r="I1062" s="6" t="str">
        <x:f>IF(AND(NOT(COUNTA(A1062:F1062)=0),K1062=""),ROUND(J1062-D1062,3),"")</x:f>
      </x:c>
      <x:c r="J1062" s="6" t="str">
        <x:f>IF(AND(NOT(COUNTA(A1062:F1062)=0),K1062=""),ROUND(F1062+L1062,3),"")</x:f>
      </x:c>
      <x:c r="K1062" s="5" t="str">
        <x:f>IF(COUNTA(A1062:F1062)=0,"",IF(A1062="","Missing equipment ID",IF(COUNTIFS($N$8:$N$2007,"="&amp;N1062)&gt;1,"Duplicate equipment ID",IF(B1062="","Missing type",IF(COUNTIFS('Rules'!$G$7:$G$26,"="&amp;(SUBSTITUTE(SUBSTITUTE(SUBSTITUTE(SUBSTITUTE("type:"&amp;B1062,"%","%25"),"~","%7E"),"*","%2A"),"?","%3F")))=0,"Unknown type",IF(COUNTIFS('Rules'!$G$7:$G$26,"="&amp;(SUBSTITUTE(SUBSTITUTE(SUBSTITUTE(SUBSTITUTE("type:"&amp;B1062,"%","%25"),"~","%7E"),"*","%2A"),"?","%3F")))&gt;1,"Duplicate type",IF(INDEX('Rules'!$F$7:$F$26,MATCH(SUBSTITUTE(SUBSTITUTE(SUBSTITUTE(SUBSTITUTE("type:"&amp;B1062,"%","%25"),"~","%7E"),"*","%2A"),"?","%3F"),'Rules'!$G$7:$G$26,0))&lt;&gt;"",INDEX('Rules'!$F$7:$F$26,MATCH(SUBSTITUTE(SUBSTITUTE(SUBSTITUTE(SUBSTITUTE("type:"&amp;B1062,"%","%25"),"~","%7E"),"*","%2A"),"?","%3F"),'Rules'!$G$7:$G$26,0)),IF(AND(C1062&lt;&gt;"",C1062&lt;&gt;INDEX('Rules'!$B$7:$B$26,MATCH(SUBSTITUTE(SUBSTITUTE(SUBSTITUTE(SUBSTITUTE("type:"&amp;B1062,"%","%25"),"~","%7E"),"*","%2A"),"?","%3F"),'Rules'!$G$7:$G$26,0))),"Unit mismatch",IF(IF(NOT(ISNUMBER(D1062)),TRUE,OR(D1062&lt;0,D1062&gt;999999999,ROUND(D1062,3)&lt;&gt;D1062)),"Invalid current reading",IF(AND(E1062&lt;&gt;"",IF(NOT(ISNUMBER(E1062)),TRUE,OR(E1062&lt;0,E1062&gt;999999999,ROUND(E1062,3)&lt;&gt;E1062))),"Invalid previous reading",IF(IF(NOT(ISNUMBER(F1062)),TRUE,OR(F1062&lt;0,F1062&gt;999999999,ROUND(F1062,3)&lt;&gt;F1062)),"Invalid last service",IF(AND(E1062&lt;&gt;"",D1062&lt;E1062),"Decreased reading",IF(F1062&gt;D1062,"Last service above current","")))))))))))))</x:f>
      </x:c>
      <x:c r="L1062" s="6" t="str">
        <x:f>IF(AND(NOT(COUNTA(A1062:F1062)=0),K1062=""),INDEX('Rules'!$C$7:$C$26,MATCH(SUBSTITUTE(SUBSTITUTE(SUBSTITUTE(SUBSTITUTE("type:"&amp;B1062,"%","%25"),"~","%7E"),"*","%2A"),"?","%3F"),'Rules'!$G$7:$G$26,0)),"")</x:f>
      </x:c>
      <x:c r="M1062" s="6" t="str">
        <x:f>IF(AND(NOT(COUNTA(A1062:F1062)=0),K1062=""),INDEX('Rules'!$D$7:$D$26,MATCH(SUBSTITUTE(SUBSTITUTE(SUBSTITUTE(SUBSTITUTE("type:"&amp;B1062,"%","%25"),"~","%7E"),"*","%2A"),"?","%3F"),'Rules'!$G$7:$G$26,0)),"")</x:f>
      </x:c>
      <x:c r="N1062" s="5" t="str">
        <x:f>IF(COUNTA(A1062:F1062)=0,"",SUBSTITUTE(SUBSTITUTE(SUBSTITUTE(SUBSTITUTE("id:"&amp;A1062,"%","%25"),"~","%7E"),"*","%2A"),"?","%3F"))</x:f>
      </x:c>
    </x:row>
    <x:row r="1063" ht="22" customHeight="1">
      <x:c r="A1063" s="3"/>
      <x:c r="B1063" s="3"/>
      <x:c r="C1063" s="3"/>
      <x:c r="D1063" s="4"/>
      <x:c r="E1063" s="4"/>
      <x:c r="F1063" s="4"/>
      <x:c r="G1063" s="5" t="str">
        <x:f>IF(COUNTA(A1063:F1063)=0,"",IF(K1063&lt;&gt;"","Review",IF(I1063&lt;0,"Overdue",IF(I1063=0,"Due now",IF(I1063&lt;=M1063,"Due soon","Not due")))))</x:f>
      </x:c>
      <x:c r="H1063" s="5" t="str">
        <x:f>IF(OR(COUNTA(A1063:F1063)=0,COUNTIFS('Rules'!$G$7:$G$26,"="&amp;(SUBSTITUTE(SUBSTITUTE(SUBSTITUTE(SUBSTITUTE("type:"&amp;B1063,"%","%25"),"~","%7E"),"*","%2A"),"?","%3F")))&lt;&gt;1),"",IF(OR(INDEX('Rules'!$B$7:$B$26,MATCH(SUBSTITUTE(SUBSTITUTE(SUBSTITUTE(SUBSTITUTE("type:"&amp;B1063,"%","%25"),"~","%7E"),"*","%2A"),"?","%3F"),'Rules'!$G$7:$G$26,0))="hours",INDEX('Rules'!$B$7:$B$26,MATCH(SUBSTITUTE(SUBSTITUTE(SUBSTITUTE(SUBSTITUTE("type:"&amp;B1063,"%","%25"),"~","%7E"),"*","%2A"),"?","%3F"),'Rules'!$G$7:$G$26,0))="km"),INDEX('Rules'!$B$7:$B$26,MATCH(SUBSTITUTE(SUBSTITUTE(SUBSTITUTE(SUBSTITUTE("type:"&amp;B1063,"%","%25"),"~","%7E"),"*","%2A"),"?","%3F"),'Rules'!$G$7:$G$26,0)),""))</x:f>
      </x:c>
      <x:c r="I1063" s="6" t="str">
        <x:f>IF(AND(NOT(COUNTA(A1063:F1063)=0),K1063=""),ROUND(J1063-D1063,3),"")</x:f>
      </x:c>
      <x:c r="J1063" s="6" t="str">
        <x:f>IF(AND(NOT(COUNTA(A1063:F1063)=0),K1063=""),ROUND(F1063+L1063,3),"")</x:f>
      </x:c>
      <x:c r="K1063" s="5" t="str">
        <x:f>IF(COUNTA(A1063:F1063)=0,"",IF(A1063="","Missing equipment ID",IF(COUNTIFS($N$8:$N$2007,"="&amp;N1063)&gt;1,"Duplicate equipment ID",IF(B1063="","Missing type",IF(COUNTIFS('Rules'!$G$7:$G$26,"="&amp;(SUBSTITUTE(SUBSTITUTE(SUBSTITUTE(SUBSTITUTE("type:"&amp;B1063,"%","%25"),"~","%7E"),"*","%2A"),"?","%3F")))=0,"Unknown type",IF(COUNTIFS('Rules'!$G$7:$G$26,"="&amp;(SUBSTITUTE(SUBSTITUTE(SUBSTITUTE(SUBSTITUTE("type:"&amp;B1063,"%","%25"),"~","%7E"),"*","%2A"),"?","%3F")))&gt;1,"Duplicate type",IF(INDEX('Rules'!$F$7:$F$26,MATCH(SUBSTITUTE(SUBSTITUTE(SUBSTITUTE(SUBSTITUTE("type:"&amp;B1063,"%","%25"),"~","%7E"),"*","%2A"),"?","%3F"),'Rules'!$G$7:$G$26,0))&lt;&gt;"",INDEX('Rules'!$F$7:$F$26,MATCH(SUBSTITUTE(SUBSTITUTE(SUBSTITUTE(SUBSTITUTE("type:"&amp;B1063,"%","%25"),"~","%7E"),"*","%2A"),"?","%3F"),'Rules'!$G$7:$G$26,0)),IF(AND(C1063&lt;&gt;"",C1063&lt;&gt;INDEX('Rules'!$B$7:$B$26,MATCH(SUBSTITUTE(SUBSTITUTE(SUBSTITUTE(SUBSTITUTE("type:"&amp;B1063,"%","%25"),"~","%7E"),"*","%2A"),"?","%3F"),'Rules'!$G$7:$G$26,0))),"Unit mismatch",IF(IF(NOT(ISNUMBER(D1063)),TRUE,OR(D1063&lt;0,D1063&gt;999999999,ROUND(D1063,3)&lt;&gt;D1063)),"Invalid current reading",IF(AND(E1063&lt;&gt;"",IF(NOT(ISNUMBER(E1063)),TRUE,OR(E1063&lt;0,E1063&gt;999999999,ROUND(E1063,3)&lt;&gt;E1063))),"Invalid previous reading",IF(IF(NOT(ISNUMBER(F1063)),TRUE,OR(F1063&lt;0,F1063&gt;999999999,ROUND(F1063,3)&lt;&gt;F1063)),"Invalid last service",IF(AND(E1063&lt;&gt;"",D1063&lt;E1063),"Decreased reading",IF(F1063&gt;D1063,"Last service above current","")))))))))))))</x:f>
      </x:c>
      <x:c r="L1063" s="6" t="str">
        <x:f>IF(AND(NOT(COUNTA(A1063:F1063)=0),K1063=""),INDEX('Rules'!$C$7:$C$26,MATCH(SUBSTITUTE(SUBSTITUTE(SUBSTITUTE(SUBSTITUTE("type:"&amp;B1063,"%","%25"),"~","%7E"),"*","%2A"),"?","%3F"),'Rules'!$G$7:$G$26,0)),"")</x:f>
      </x:c>
      <x:c r="M1063" s="6" t="str">
        <x:f>IF(AND(NOT(COUNTA(A1063:F1063)=0),K1063=""),INDEX('Rules'!$D$7:$D$26,MATCH(SUBSTITUTE(SUBSTITUTE(SUBSTITUTE(SUBSTITUTE("type:"&amp;B1063,"%","%25"),"~","%7E"),"*","%2A"),"?","%3F"),'Rules'!$G$7:$G$26,0)),"")</x:f>
      </x:c>
      <x:c r="N1063" s="5" t="str">
        <x:f>IF(COUNTA(A1063:F1063)=0,"",SUBSTITUTE(SUBSTITUTE(SUBSTITUTE(SUBSTITUTE("id:"&amp;A1063,"%","%25"),"~","%7E"),"*","%2A"),"?","%3F"))</x:f>
      </x:c>
    </x:row>
    <x:row r="1064" ht="22" customHeight="1">
      <x:c r="A1064" s="3"/>
      <x:c r="B1064" s="3"/>
      <x:c r="C1064" s="3"/>
      <x:c r="D1064" s="4"/>
      <x:c r="E1064" s="4"/>
      <x:c r="F1064" s="4"/>
      <x:c r="G1064" s="5" t="str">
        <x:f>IF(COUNTA(A1064:F1064)=0,"",IF(K1064&lt;&gt;"","Review",IF(I1064&lt;0,"Overdue",IF(I1064=0,"Due now",IF(I1064&lt;=M1064,"Due soon","Not due")))))</x:f>
      </x:c>
      <x:c r="H1064" s="5" t="str">
        <x:f>IF(OR(COUNTA(A1064:F1064)=0,COUNTIFS('Rules'!$G$7:$G$26,"="&amp;(SUBSTITUTE(SUBSTITUTE(SUBSTITUTE(SUBSTITUTE("type:"&amp;B1064,"%","%25"),"~","%7E"),"*","%2A"),"?","%3F")))&lt;&gt;1),"",IF(OR(INDEX('Rules'!$B$7:$B$26,MATCH(SUBSTITUTE(SUBSTITUTE(SUBSTITUTE(SUBSTITUTE("type:"&amp;B1064,"%","%25"),"~","%7E"),"*","%2A"),"?","%3F"),'Rules'!$G$7:$G$26,0))="hours",INDEX('Rules'!$B$7:$B$26,MATCH(SUBSTITUTE(SUBSTITUTE(SUBSTITUTE(SUBSTITUTE("type:"&amp;B1064,"%","%25"),"~","%7E"),"*","%2A"),"?","%3F"),'Rules'!$G$7:$G$26,0))="km"),INDEX('Rules'!$B$7:$B$26,MATCH(SUBSTITUTE(SUBSTITUTE(SUBSTITUTE(SUBSTITUTE("type:"&amp;B1064,"%","%25"),"~","%7E"),"*","%2A"),"?","%3F"),'Rules'!$G$7:$G$26,0)),""))</x:f>
      </x:c>
      <x:c r="I1064" s="6" t="str">
        <x:f>IF(AND(NOT(COUNTA(A1064:F1064)=0),K1064=""),ROUND(J1064-D1064,3),"")</x:f>
      </x:c>
      <x:c r="J1064" s="6" t="str">
        <x:f>IF(AND(NOT(COUNTA(A1064:F1064)=0),K1064=""),ROUND(F1064+L1064,3),"")</x:f>
      </x:c>
      <x:c r="K1064" s="5" t="str">
        <x:f>IF(COUNTA(A1064:F1064)=0,"",IF(A1064="","Missing equipment ID",IF(COUNTIFS($N$8:$N$2007,"="&amp;N1064)&gt;1,"Duplicate equipment ID",IF(B1064="","Missing type",IF(COUNTIFS('Rules'!$G$7:$G$26,"="&amp;(SUBSTITUTE(SUBSTITUTE(SUBSTITUTE(SUBSTITUTE("type:"&amp;B1064,"%","%25"),"~","%7E"),"*","%2A"),"?","%3F")))=0,"Unknown type",IF(COUNTIFS('Rules'!$G$7:$G$26,"="&amp;(SUBSTITUTE(SUBSTITUTE(SUBSTITUTE(SUBSTITUTE("type:"&amp;B1064,"%","%25"),"~","%7E"),"*","%2A"),"?","%3F")))&gt;1,"Duplicate type",IF(INDEX('Rules'!$F$7:$F$26,MATCH(SUBSTITUTE(SUBSTITUTE(SUBSTITUTE(SUBSTITUTE("type:"&amp;B1064,"%","%25"),"~","%7E"),"*","%2A"),"?","%3F"),'Rules'!$G$7:$G$26,0))&lt;&gt;"",INDEX('Rules'!$F$7:$F$26,MATCH(SUBSTITUTE(SUBSTITUTE(SUBSTITUTE(SUBSTITUTE("type:"&amp;B1064,"%","%25"),"~","%7E"),"*","%2A"),"?","%3F"),'Rules'!$G$7:$G$26,0)),IF(AND(C1064&lt;&gt;"",C1064&lt;&gt;INDEX('Rules'!$B$7:$B$26,MATCH(SUBSTITUTE(SUBSTITUTE(SUBSTITUTE(SUBSTITUTE("type:"&amp;B1064,"%","%25"),"~","%7E"),"*","%2A"),"?","%3F"),'Rules'!$G$7:$G$26,0))),"Unit mismatch",IF(IF(NOT(ISNUMBER(D1064)),TRUE,OR(D1064&lt;0,D1064&gt;999999999,ROUND(D1064,3)&lt;&gt;D1064)),"Invalid current reading",IF(AND(E1064&lt;&gt;"",IF(NOT(ISNUMBER(E1064)),TRUE,OR(E1064&lt;0,E1064&gt;999999999,ROUND(E1064,3)&lt;&gt;E1064))),"Invalid previous reading",IF(IF(NOT(ISNUMBER(F1064)),TRUE,OR(F1064&lt;0,F1064&gt;999999999,ROUND(F1064,3)&lt;&gt;F1064)),"Invalid last service",IF(AND(E1064&lt;&gt;"",D1064&lt;E1064),"Decreased reading",IF(F1064&gt;D1064,"Last service above current","")))))))))))))</x:f>
      </x:c>
      <x:c r="L1064" s="6" t="str">
        <x:f>IF(AND(NOT(COUNTA(A1064:F1064)=0),K1064=""),INDEX('Rules'!$C$7:$C$26,MATCH(SUBSTITUTE(SUBSTITUTE(SUBSTITUTE(SUBSTITUTE("type:"&amp;B1064,"%","%25"),"~","%7E"),"*","%2A"),"?","%3F"),'Rules'!$G$7:$G$26,0)),"")</x:f>
      </x:c>
      <x:c r="M1064" s="6" t="str">
        <x:f>IF(AND(NOT(COUNTA(A1064:F1064)=0),K1064=""),INDEX('Rules'!$D$7:$D$26,MATCH(SUBSTITUTE(SUBSTITUTE(SUBSTITUTE(SUBSTITUTE("type:"&amp;B1064,"%","%25"),"~","%7E"),"*","%2A"),"?","%3F"),'Rules'!$G$7:$G$26,0)),"")</x:f>
      </x:c>
      <x:c r="N1064" s="5" t="str">
        <x:f>IF(COUNTA(A1064:F1064)=0,"",SUBSTITUTE(SUBSTITUTE(SUBSTITUTE(SUBSTITUTE("id:"&amp;A1064,"%","%25"),"~","%7E"),"*","%2A"),"?","%3F"))</x:f>
      </x:c>
    </x:row>
    <x:row r="1065" ht="22" customHeight="1">
      <x:c r="A1065" s="3"/>
      <x:c r="B1065" s="3"/>
      <x:c r="C1065" s="3"/>
      <x:c r="D1065" s="4"/>
      <x:c r="E1065" s="4"/>
      <x:c r="F1065" s="4"/>
      <x:c r="G1065" s="5" t="str">
        <x:f>IF(COUNTA(A1065:F1065)=0,"",IF(K1065&lt;&gt;"","Review",IF(I1065&lt;0,"Overdue",IF(I1065=0,"Due now",IF(I1065&lt;=M1065,"Due soon","Not due")))))</x:f>
      </x:c>
      <x:c r="H1065" s="5" t="str">
        <x:f>IF(OR(COUNTA(A1065:F1065)=0,COUNTIFS('Rules'!$G$7:$G$26,"="&amp;(SUBSTITUTE(SUBSTITUTE(SUBSTITUTE(SUBSTITUTE("type:"&amp;B1065,"%","%25"),"~","%7E"),"*","%2A"),"?","%3F")))&lt;&gt;1),"",IF(OR(INDEX('Rules'!$B$7:$B$26,MATCH(SUBSTITUTE(SUBSTITUTE(SUBSTITUTE(SUBSTITUTE("type:"&amp;B1065,"%","%25"),"~","%7E"),"*","%2A"),"?","%3F"),'Rules'!$G$7:$G$26,0))="hours",INDEX('Rules'!$B$7:$B$26,MATCH(SUBSTITUTE(SUBSTITUTE(SUBSTITUTE(SUBSTITUTE("type:"&amp;B1065,"%","%25"),"~","%7E"),"*","%2A"),"?","%3F"),'Rules'!$G$7:$G$26,0))="km"),INDEX('Rules'!$B$7:$B$26,MATCH(SUBSTITUTE(SUBSTITUTE(SUBSTITUTE(SUBSTITUTE("type:"&amp;B1065,"%","%25"),"~","%7E"),"*","%2A"),"?","%3F"),'Rules'!$G$7:$G$26,0)),""))</x:f>
      </x:c>
      <x:c r="I1065" s="6" t="str">
        <x:f>IF(AND(NOT(COUNTA(A1065:F1065)=0),K1065=""),ROUND(J1065-D1065,3),"")</x:f>
      </x:c>
      <x:c r="J1065" s="6" t="str">
        <x:f>IF(AND(NOT(COUNTA(A1065:F1065)=0),K1065=""),ROUND(F1065+L1065,3),"")</x:f>
      </x:c>
      <x:c r="K1065" s="5" t="str">
        <x:f>IF(COUNTA(A1065:F1065)=0,"",IF(A1065="","Missing equipment ID",IF(COUNTIFS($N$8:$N$2007,"="&amp;N1065)&gt;1,"Duplicate equipment ID",IF(B1065="","Missing type",IF(COUNTIFS('Rules'!$G$7:$G$26,"="&amp;(SUBSTITUTE(SUBSTITUTE(SUBSTITUTE(SUBSTITUTE("type:"&amp;B1065,"%","%25"),"~","%7E"),"*","%2A"),"?","%3F")))=0,"Unknown type",IF(COUNTIFS('Rules'!$G$7:$G$26,"="&amp;(SUBSTITUTE(SUBSTITUTE(SUBSTITUTE(SUBSTITUTE("type:"&amp;B1065,"%","%25"),"~","%7E"),"*","%2A"),"?","%3F")))&gt;1,"Duplicate type",IF(INDEX('Rules'!$F$7:$F$26,MATCH(SUBSTITUTE(SUBSTITUTE(SUBSTITUTE(SUBSTITUTE("type:"&amp;B1065,"%","%25"),"~","%7E"),"*","%2A"),"?","%3F"),'Rules'!$G$7:$G$26,0))&lt;&gt;"",INDEX('Rules'!$F$7:$F$26,MATCH(SUBSTITUTE(SUBSTITUTE(SUBSTITUTE(SUBSTITUTE("type:"&amp;B1065,"%","%25"),"~","%7E"),"*","%2A"),"?","%3F"),'Rules'!$G$7:$G$26,0)),IF(AND(C1065&lt;&gt;"",C1065&lt;&gt;INDEX('Rules'!$B$7:$B$26,MATCH(SUBSTITUTE(SUBSTITUTE(SUBSTITUTE(SUBSTITUTE("type:"&amp;B1065,"%","%25"),"~","%7E"),"*","%2A"),"?","%3F"),'Rules'!$G$7:$G$26,0))),"Unit mismatch",IF(IF(NOT(ISNUMBER(D1065)),TRUE,OR(D1065&lt;0,D1065&gt;999999999,ROUND(D1065,3)&lt;&gt;D1065)),"Invalid current reading",IF(AND(E1065&lt;&gt;"",IF(NOT(ISNUMBER(E1065)),TRUE,OR(E1065&lt;0,E1065&gt;999999999,ROUND(E1065,3)&lt;&gt;E1065))),"Invalid previous reading",IF(IF(NOT(ISNUMBER(F1065)),TRUE,OR(F1065&lt;0,F1065&gt;999999999,ROUND(F1065,3)&lt;&gt;F1065)),"Invalid last service",IF(AND(E1065&lt;&gt;"",D1065&lt;E1065),"Decreased reading",IF(F1065&gt;D1065,"Last service above current","")))))))))))))</x:f>
      </x:c>
      <x:c r="L1065" s="6" t="str">
        <x:f>IF(AND(NOT(COUNTA(A1065:F1065)=0),K1065=""),INDEX('Rules'!$C$7:$C$26,MATCH(SUBSTITUTE(SUBSTITUTE(SUBSTITUTE(SUBSTITUTE("type:"&amp;B1065,"%","%25"),"~","%7E"),"*","%2A"),"?","%3F"),'Rules'!$G$7:$G$26,0)),"")</x:f>
      </x:c>
      <x:c r="M1065" s="6" t="str">
        <x:f>IF(AND(NOT(COUNTA(A1065:F1065)=0),K1065=""),INDEX('Rules'!$D$7:$D$26,MATCH(SUBSTITUTE(SUBSTITUTE(SUBSTITUTE(SUBSTITUTE("type:"&amp;B1065,"%","%25"),"~","%7E"),"*","%2A"),"?","%3F"),'Rules'!$G$7:$G$26,0)),"")</x:f>
      </x:c>
      <x:c r="N1065" s="5" t="str">
        <x:f>IF(COUNTA(A1065:F1065)=0,"",SUBSTITUTE(SUBSTITUTE(SUBSTITUTE(SUBSTITUTE("id:"&amp;A1065,"%","%25"),"~","%7E"),"*","%2A"),"?","%3F"))</x:f>
      </x:c>
    </x:row>
    <x:row r="1066" ht="22" customHeight="1">
      <x:c r="A1066" s="3"/>
      <x:c r="B1066" s="3"/>
      <x:c r="C1066" s="3"/>
      <x:c r="D1066" s="4"/>
      <x:c r="E1066" s="4"/>
      <x:c r="F1066" s="4"/>
      <x:c r="G1066" s="5" t="str">
        <x:f>IF(COUNTA(A1066:F1066)=0,"",IF(K1066&lt;&gt;"","Review",IF(I1066&lt;0,"Overdue",IF(I1066=0,"Due now",IF(I1066&lt;=M1066,"Due soon","Not due")))))</x:f>
      </x:c>
      <x:c r="H1066" s="5" t="str">
        <x:f>IF(OR(COUNTA(A1066:F1066)=0,COUNTIFS('Rules'!$G$7:$G$26,"="&amp;(SUBSTITUTE(SUBSTITUTE(SUBSTITUTE(SUBSTITUTE("type:"&amp;B1066,"%","%25"),"~","%7E"),"*","%2A"),"?","%3F")))&lt;&gt;1),"",IF(OR(INDEX('Rules'!$B$7:$B$26,MATCH(SUBSTITUTE(SUBSTITUTE(SUBSTITUTE(SUBSTITUTE("type:"&amp;B1066,"%","%25"),"~","%7E"),"*","%2A"),"?","%3F"),'Rules'!$G$7:$G$26,0))="hours",INDEX('Rules'!$B$7:$B$26,MATCH(SUBSTITUTE(SUBSTITUTE(SUBSTITUTE(SUBSTITUTE("type:"&amp;B1066,"%","%25"),"~","%7E"),"*","%2A"),"?","%3F"),'Rules'!$G$7:$G$26,0))="km"),INDEX('Rules'!$B$7:$B$26,MATCH(SUBSTITUTE(SUBSTITUTE(SUBSTITUTE(SUBSTITUTE("type:"&amp;B1066,"%","%25"),"~","%7E"),"*","%2A"),"?","%3F"),'Rules'!$G$7:$G$26,0)),""))</x:f>
      </x:c>
      <x:c r="I1066" s="6" t="str">
        <x:f>IF(AND(NOT(COUNTA(A1066:F1066)=0),K1066=""),ROUND(J1066-D1066,3),"")</x:f>
      </x:c>
      <x:c r="J1066" s="6" t="str">
        <x:f>IF(AND(NOT(COUNTA(A1066:F1066)=0),K1066=""),ROUND(F1066+L1066,3),"")</x:f>
      </x:c>
      <x:c r="K1066" s="5" t="str">
        <x:f>IF(COUNTA(A1066:F1066)=0,"",IF(A1066="","Missing equipment ID",IF(COUNTIFS($N$8:$N$2007,"="&amp;N1066)&gt;1,"Duplicate equipment ID",IF(B1066="","Missing type",IF(COUNTIFS('Rules'!$G$7:$G$26,"="&amp;(SUBSTITUTE(SUBSTITUTE(SUBSTITUTE(SUBSTITUTE("type:"&amp;B1066,"%","%25"),"~","%7E"),"*","%2A"),"?","%3F")))=0,"Unknown type",IF(COUNTIFS('Rules'!$G$7:$G$26,"="&amp;(SUBSTITUTE(SUBSTITUTE(SUBSTITUTE(SUBSTITUTE("type:"&amp;B1066,"%","%25"),"~","%7E"),"*","%2A"),"?","%3F")))&gt;1,"Duplicate type",IF(INDEX('Rules'!$F$7:$F$26,MATCH(SUBSTITUTE(SUBSTITUTE(SUBSTITUTE(SUBSTITUTE("type:"&amp;B1066,"%","%25"),"~","%7E"),"*","%2A"),"?","%3F"),'Rules'!$G$7:$G$26,0))&lt;&gt;"",INDEX('Rules'!$F$7:$F$26,MATCH(SUBSTITUTE(SUBSTITUTE(SUBSTITUTE(SUBSTITUTE("type:"&amp;B1066,"%","%25"),"~","%7E"),"*","%2A"),"?","%3F"),'Rules'!$G$7:$G$26,0)),IF(AND(C1066&lt;&gt;"",C1066&lt;&gt;INDEX('Rules'!$B$7:$B$26,MATCH(SUBSTITUTE(SUBSTITUTE(SUBSTITUTE(SUBSTITUTE("type:"&amp;B1066,"%","%25"),"~","%7E"),"*","%2A"),"?","%3F"),'Rules'!$G$7:$G$26,0))),"Unit mismatch",IF(IF(NOT(ISNUMBER(D1066)),TRUE,OR(D1066&lt;0,D1066&gt;999999999,ROUND(D1066,3)&lt;&gt;D1066)),"Invalid current reading",IF(AND(E1066&lt;&gt;"",IF(NOT(ISNUMBER(E1066)),TRUE,OR(E1066&lt;0,E1066&gt;999999999,ROUND(E1066,3)&lt;&gt;E1066))),"Invalid previous reading",IF(IF(NOT(ISNUMBER(F1066)),TRUE,OR(F1066&lt;0,F1066&gt;999999999,ROUND(F1066,3)&lt;&gt;F1066)),"Invalid last service",IF(AND(E1066&lt;&gt;"",D1066&lt;E1066),"Decreased reading",IF(F1066&gt;D1066,"Last service above current","")))))))))))))</x:f>
      </x:c>
      <x:c r="L1066" s="6" t="str">
        <x:f>IF(AND(NOT(COUNTA(A1066:F1066)=0),K1066=""),INDEX('Rules'!$C$7:$C$26,MATCH(SUBSTITUTE(SUBSTITUTE(SUBSTITUTE(SUBSTITUTE("type:"&amp;B1066,"%","%25"),"~","%7E"),"*","%2A"),"?","%3F"),'Rules'!$G$7:$G$26,0)),"")</x:f>
      </x:c>
      <x:c r="M1066" s="6" t="str">
        <x:f>IF(AND(NOT(COUNTA(A1066:F1066)=0),K1066=""),INDEX('Rules'!$D$7:$D$26,MATCH(SUBSTITUTE(SUBSTITUTE(SUBSTITUTE(SUBSTITUTE("type:"&amp;B1066,"%","%25"),"~","%7E"),"*","%2A"),"?","%3F"),'Rules'!$G$7:$G$26,0)),"")</x:f>
      </x:c>
      <x:c r="N1066" s="5" t="str">
        <x:f>IF(COUNTA(A1066:F1066)=0,"",SUBSTITUTE(SUBSTITUTE(SUBSTITUTE(SUBSTITUTE("id:"&amp;A1066,"%","%25"),"~","%7E"),"*","%2A"),"?","%3F"))</x:f>
      </x:c>
    </x:row>
    <x:row r="1067" ht="22" customHeight="1">
      <x:c r="A1067" s="3"/>
      <x:c r="B1067" s="3"/>
      <x:c r="C1067" s="3"/>
      <x:c r="D1067" s="4"/>
      <x:c r="E1067" s="4"/>
      <x:c r="F1067" s="4"/>
      <x:c r="G1067" s="5" t="str">
        <x:f>IF(COUNTA(A1067:F1067)=0,"",IF(K1067&lt;&gt;"","Review",IF(I1067&lt;0,"Overdue",IF(I1067=0,"Due now",IF(I1067&lt;=M1067,"Due soon","Not due")))))</x:f>
      </x:c>
      <x:c r="H1067" s="5" t="str">
        <x:f>IF(OR(COUNTA(A1067:F1067)=0,COUNTIFS('Rules'!$G$7:$G$26,"="&amp;(SUBSTITUTE(SUBSTITUTE(SUBSTITUTE(SUBSTITUTE("type:"&amp;B1067,"%","%25"),"~","%7E"),"*","%2A"),"?","%3F")))&lt;&gt;1),"",IF(OR(INDEX('Rules'!$B$7:$B$26,MATCH(SUBSTITUTE(SUBSTITUTE(SUBSTITUTE(SUBSTITUTE("type:"&amp;B1067,"%","%25"),"~","%7E"),"*","%2A"),"?","%3F"),'Rules'!$G$7:$G$26,0))="hours",INDEX('Rules'!$B$7:$B$26,MATCH(SUBSTITUTE(SUBSTITUTE(SUBSTITUTE(SUBSTITUTE("type:"&amp;B1067,"%","%25"),"~","%7E"),"*","%2A"),"?","%3F"),'Rules'!$G$7:$G$26,0))="km"),INDEX('Rules'!$B$7:$B$26,MATCH(SUBSTITUTE(SUBSTITUTE(SUBSTITUTE(SUBSTITUTE("type:"&amp;B1067,"%","%25"),"~","%7E"),"*","%2A"),"?","%3F"),'Rules'!$G$7:$G$26,0)),""))</x:f>
      </x:c>
      <x:c r="I1067" s="6" t="str">
        <x:f>IF(AND(NOT(COUNTA(A1067:F1067)=0),K1067=""),ROUND(J1067-D1067,3),"")</x:f>
      </x:c>
      <x:c r="J1067" s="6" t="str">
        <x:f>IF(AND(NOT(COUNTA(A1067:F1067)=0),K1067=""),ROUND(F1067+L1067,3),"")</x:f>
      </x:c>
      <x:c r="K1067" s="5" t="str">
        <x:f>IF(COUNTA(A1067:F1067)=0,"",IF(A1067="","Missing equipment ID",IF(COUNTIFS($N$8:$N$2007,"="&amp;N1067)&gt;1,"Duplicate equipment ID",IF(B1067="","Missing type",IF(COUNTIFS('Rules'!$G$7:$G$26,"="&amp;(SUBSTITUTE(SUBSTITUTE(SUBSTITUTE(SUBSTITUTE("type:"&amp;B1067,"%","%25"),"~","%7E"),"*","%2A"),"?","%3F")))=0,"Unknown type",IF(COUNTIFS('Rules'!$G$7:$G$26,"="&amp;(SUBSTITUTE(SUBSTITUTE(SUBSTITUTE(SUBSTITUTE("type:"&amp;B1067,"%","%25"),"~","%7E"),"*","%2A"),"?","%3F")))&gt;1,"Duplicate type",IF(INDEX('Rules'!$F$7:$F$26,MATCH(SUBSTITUTE(SUBSTITUTE(SUBSTITUTE(SUBSTITUTE("type:"&amp;B1067,"%","%25"),"~","%7E"),"*","%2A"),"?","%3F"),'Rules'!$G$7:$G$26,0))&lt;&gt;"",INDEX('Rules'!$F$7:$F$26,MATCH(SUBSTITUTE(SUBSTITUTE(SUBSTITUTE(SUBSTITUTE("type:"&amp;B1067,"%","%25"),"~","%7E"),"*","%2A"),"?","%3F"),'Rules'!$G$7:$G$26,0)),IF(AND(C1067&lt;&gt;"",C1067&lt;&gt;INDEX('Rules'!$B$7:$B$26,MATCH(SUBSTITUTE(SUBSTITUTE(SUBSTITUTE(SUBSTITUTE("type:"&amp;B1067,"%","%25"),"~","%7E"),"*","%2A"),"?","%3F"),'Rules'!$G$7:$G$26,0))),"Unit mismatch",IF(IF(NOT(ISNUMBER(D1067)),TRUE,OR(D1067&lt;0,D1067&gt;999999999,ROUND(D1067,3)&lt;&gt;D1067)),"Invalid current reading",IF(AND(E1067&lt;&gt;"",IF(NOT(ISNUMBER(E1067)),TRUE,OR(E1067&lt;0,E1067&gt;999999999,ROUND(E1067,3)&lt;&gt;E1067))),"Invalid previous reading",IF(IF(NOT(ISNUMBER(F1067)),TRUE,OR(F1067&lt;0,F1067&gt;999999999,ROUND(F1067,3)&lt;&gt;F1067)),"Invalid last service",IF(AND(E1067&lt;&gt;"",D1067&lt;E1067),"Decreased reading",IF(F1067&gt;D1067,"Last service above current","")))))))))))))</x:f>
      </x:c>
      <x:c r="L1067" s="6" t="str">
        <x:f>IF(AND(NOT(COUNTA(A1067:F1067)=0),K1067=""),INDEX('Rules'!$C$7:$C$26,MATCH(SUBSTITUTE(SUBSTITUTE(SUBSTITUTE(SUBSTITUTE("type:"&amp;B1067,"%","%25"),"~","%7E"),"*","%2A"),"?","%3F"),'Rules'!$G$7:$G$26,0)),"")</x:f>
      </x:c>
      <x:c r="M1067" s="6" t="str">
        <x:f>IF(AND(NOT(COUNTA(A1067:F1067)=0),K1067=""),INDEX('Rules'!$D$7:$D$26,MATCH(SUBSTITUTE(SUBSTITUTE(SUBSTITUTE(SUBSTITUTE("type:"&amp;B1067,"%","%25"),"~","%7E"),"*","%2A"),"?","%3F"),'Rules'!$G$7:$G$26,0)),"")</x:f>
      </x:c>
      <x:c r="N1067" s="5" t="str">
        <x:f>IF(COUNTA(A1067:F1067)=0,"",SUBSTITUTE(SUBSTITUTE(SUBSTITUTE(SUBSTITUTE("id:"&amp;A1067,"%","%25"),"~","%7E"),"*","%2A"),"?","%3F"))</x:f>
      </x:c>
    </x:row>
    <x:row r="1068" ht="22" customHeight="1">
      <x:c r="A1068" s="3"/>
      <x:c r="B1068" s="3"/>
      <x:c r="C1068" s="3"/>
      <x:c r="D1068" s="4"/>
      <x:c r="E1068" s="4"/>
      <x:c r="F1068" s="4"/>
      <x:c r="G1068" s="5" t="str">
        <x:f>IF(COUNTA(A1068:F1068)=0,"",IF(K1068&lt;&gt;"","Review",IF(I1068&lt;0,"Overdue",IF(I1068=0,"Due now",IF(I1068&lt;=M1068,"Due soon","Not due")))))</x:f>
      </x:c>
      <x:c r="H1068" s="5" t="str">
        <x:f>IF(OR(COUNTA(A1068:F1068)=0,COUNTIFS('Rules'!$G$7:$G$26,"="&amp;(SUBSTITUTE(SUBSTITUTE(SUBSTITUTE(SUBSTITUTE("type:"&amp;B1068,"%","%25"),"~","%7E"),"*","%2A"),"?","%3F")))&lt;&gt;1),"",IF(OR(INDEX('Rules'!$B$7:$B$26,MATCH(SUBSTITUTE(SUBSTITUTE(SUBSTITUTE(SUBSTITUTE("type:"&amp;B1068,"%","%25"),"~","%7E"),"*","%2A"),"?","%3F"),'Rules'!$G$7:$G$26,0))="hours",INDEX('Rules'!$B$7:$B$26,MATCH(SUBSTITUTE(SUBSTITUTE(SUBSTITUTE(SUBSTITUTE("type:"&amp;B1068,"%","%25"),"~","%7E"),"*","%2A"),"?","%3F"),'Rules'!$G$7:$G$26,0))="km"),INDEX('Rules'!$B$7:$B$26,MATCH(SUBSTITUTE(SUBSTITUTE(SUBSTITUTE(SUBSTITUTE("type:"&amp;B1068,"%","%25"),"~","%7E"),"*","%2A"),"?","%3F"),'Rules'!$G$7:$G$26,0)),""))</x:f>
      </x:c>
      <x:c r="I1068" s="6" t="str">
        <x:f>IF(AND(NOT(COUNTA(A1068:F1068)=0),K1068=""),ROUND(J1068-D1068,3),"")</x:f>
      </x:c>
      <x:c r="J1068" s="6" t="str">
        <x:f>IF(AND(NOT(COUNTA(A1068:F1068)=0),K1068=""),ROUND(F1068+L1068,3),"")</x:f>
      </x:c>
      <x:c r="K1068" s="5" t="str">
        <x:f>IF(COUNTA(A1068:F1068)=0,"",IF(A1068="","Missing equipment ID",IF(COUNTIFS($N$8:$N$2007,"="&amp;N1068)&gt;1,"Duplicate equipment ID",IF(B1068="","Missing type",IF(COUNTIFS('Rules'!$G$7:$G$26,"="&amp;(SUBSTITUTE(SUBSTITUTE(SUBSTITUTE(SUBSTITUTE("type:"&amp;B1068,"%","%25"),"~","%7E"),"*","%2A"),"?","%3F")))=0,"Unknown type",IF(COUNTIFS('Rules'!$G$7:$G$26,"="&amp;(SUBSTITUTE(SUBSTITUTE(SUBSTITUTE(SUBSTITUTE("type:"&amp;B1068,"%","%25"),"~","%7E"),"*","%2A"),"?","%3F")))&gt;1,"Duplicate type",IF(INDEX('Rules'!$F$7:$F$26,MATCH(SUBSTITUTE(SUBSTITUTE(SUBSTITUTE(SUBSTITUTE("type:"&amp;B1068,"%","%25"),"~","%7E"),"*","%2A"),"?","%3F"),'Rules'!$G$7:$G$26,0))&lt;&gt;"",INDEX('Rules'!$F$7:$F$26,MATCH(SUBSTITUTE(SUBSTITUTE(SUBSTITUTE(SUBSTITUTE("type:"&amp;B1068,"%","%25"),"~","%7E"),"*","%2A"),"?","%3F"),'Rules'!$G$7:$G$26,0)),IF(AND(C1068&lt;&gt;"",C1068&lt;&gt;INDEX('Rules'!$B$7:$B$26,MATCH(SUBSTITUTE(SUBSTITUTE(SUBSTITUTE(SUBSTITUTE("type:"&amp;B1068,"%","%25"),"~","%7E"),"*","%2A"),"?","%3F"),'Rules'!$G$7:$G$26,0))),"Unit mismatch",IF(IF(NOT(ISNUMBER(D1068)),TRUE,OR(D1068&lt;0,D1068&gt;999999999,ROUND(D1068,3)&lt;&gt;D1068)),"Invalid current reading",IF(AND(E1068&lt;&gt;"",IF(NOT(ISNUMBER(E1068)),TRUE,OR(E1068&lt;0,E1068&gt;999999999,ROUND(E1068,3)&lt;&gt;E1068))),"Invalid previous reading",IF(IF(NOT(ISNUMBER(F1068)),TRUE,OR(F1068&lt;0,F1068&gt;999999999,ROUND(F1068,3)&lt;&gt;F1068)),"Invalid last service",IF(AND(E1068&lt;&gt;"",D1068&lt;E1068),"Decreased reading",IF(F1068&gt;D1068,"Last service above current","")))))))))))))</x:f>
      </x:c>
      <x:c r="L1068" s="6" t="str">
        <x:f>IF(AND(NOT(COUNTA(A1068:F1068)=0),K1068=""),INDEX('Rules'!$C$7:$C$26,MATCH(SUBSTITUTE(SUBSTITUTE(SUBSTITUTE(SUBSTITUTE("type:"&amp;B1068,"%","%25"),"~","%7E"),"*","%2A"),"?","%3F"),'Rules'!$G$7:$G$26,0)),"")</x:f>
      </x:c>
      <x:c r="M1068" s="6" t="str">
        <x:f>IF(AND(NOT(COUNTA(A1068:F1068)=0),K1068=""),INDEX('Rules'!$D$7:$D$26,MATCH(SUBSTITUTE(SUBSTITUTE(SUBSTITUTE(SUBSTITUTE("type:"&amp;B1068,"%","%25"),"~","%7E"),"*","%2A"),"?","%3F"),'Rules'!$G$7:$G$26,0)),"")</x:f>
      </x:c>
      <x:c r="N1068" s="5" t="str">
        <x:f>IF(COUNTA(A1068:F1068)=0,"",SUBSTITUTE(SUBSTITUTE(SUBSTITUTE(SUBSTITUTE("id:"&amp;A1068,"%","%25"),"~","%7E"),"*","%2A"),"?","%3F"))</x:f>
      </x:c>
    </x:row>
    <x:row r="1069" ht="22" customHeight="1">
      <x:c r="A1069" s="3"/>
      <x:c r="B1069" s="3"/>
      <x:c r="C1069" s="3"/>
      <x:c r="D1069" s="4"/>
      <x:c r="E1069" s="4"/>
      <x:c r="F1069" s="4"/>
      <x:c r="G1069" s="5" t="str">
        <x:f>IF(COUNTA(A1069:F1069)=0,"",IF(K1069&lt;&gt;"","Review",IF(I1069&lt;0,"Overdue",IF(I1069=0,"Due now",IF(I1069&lt;=M1069,"Due soon","Not due")))))</x:f>
      </x:c>
      <x:c r="H1069" s="5" t="str">
        <x:f>IF(OR(COUNTA(A1069:F1069)=0,COUNTIFS('Rules'!$G$7:$G$26,"="&amp;(SUBSTITUTE(SUBSTITUTE(SUBSTITUTE(SUBSTITUTE("type:"&amp;B1069,"%","%25"),"~","%7E"),"*","%2A"),"?","%3F")))&lt;&gt;1),"",IF(OR(INDEX('Rules'!$B$7:$B$26,MATCH(SUBSTITUTE(SUBSTITUTE(SUBSTITUTE(SUBSTITUTE("type:"&amp;B1069,"%","%25"),"~","%7E"),"*","%2A"),"?","%3F"),'Rules'!$G$7:$G$26,0))="hours",INDEX('Rules'!$B$7:$B$26,MATCH(SUBSTITUTE(SUBSTITUTE(SUBSTITUTE(SUBSTITUTE("type:"&amp;B1069,"%","%25"),"~","%7E"),"*","%2A"),"?","%3F"),'Rules'!$G$7:$G$26,0))="km"),INDEX('Rules'!$B$7:$B$26,MATCH(SUBSTITUTE(SUBSTITUTE(SUBSTITUTE(SUBSTITUTE("type:"&amp;B1069,"%","%25"),"~","%7E"),"*","%2A"),"?","%3F"),'Rules'!$G$7:$G$26,0)),""))</x:f>
      </x:c>
      <x:c r="I1069" s="6" t="str">
        <x:f>IF(AND(NOT(COUNTA(A1069:F1069)=0),K1069=""),ROUND(J1069-D1069,3),"")</x:f>
      </x:c>
      <x:c r="J1069" s="6" t="str">
        <x:f>IF(AND(NOT(COUNTA(A1069:F1069)=0),K1069=""),ROUND(F1069+L1069,3),"")</x:f>
      </x:c>
      <x:c r="K1069" s="5" t="str">
        <x:f>IF(COUNTA(A1069:F1069)=0,"",IF(A1069="","Missing equipment ID",IF(COUNTIFS($N$8:$N$2007,"="&amp;N1069)&gt;1,"Duplicate equipment ID",IF(B1069="","Missing type",IF(COUNTIFS('Rules'!$G$7:$G$26,"="&amp;(SUBSTITUTE(SUBSTITUTE(SUBSTITUTE(SUBSTITUTE("type:"&amp;B1069,"%","%25"),"~","%7E"),"*","%2A"),"?","%3F")))=0,"Unknown type",IF(COUNTIFS('Rules'!$G$7:$G$26,"="&amp;(SUBSTITUTE(SUBSTITUTE(SUBSTITUTE(SUBSTITUTE("type:"&amp;B1069,"%","%25"),"~","%7E"),"*","%2A"),"?","%3F")))&gt;1,"Duplicate type",IF(INDEX('Rules'!$F$7:$F$26,MATCH(SUBSTITUTE(SUBSTITUTE(SUBSTITUTE(SUBSTITUTE("type:"&amp;B1069,"%","%25"),"~","%7E"),"*","%2A"),"?","%3F"),'Rules'!$G$7:$G$26,0))&lt;&gt;"",INDEX('Rules'!$F$7:$F$26,MATCH(SUBSTITUTE(SUBSTITUTE(SUBSTITUTE(SUBSTITUTE("type:"&amp;B1069,"%","%25"),"~","%7E"),"*","%2A"),"?","%3F"),'Rules'!$G$7:$G$26,0)),IF(AND(C1069&lt;&gt;"",C1069&lt;&gt;INDEX('Rules'!$B$7:$B$26,MATCH(SUBSTITUTE(SUBSTITUTE(SUBSTITUTE(SUBSTITUTE("type:"&amp;B1069,"%","%25"),"~","%7E"),"*","%2A"),"?","%3F"),'Rules'!$G$7:$G$26,0))),"Unit mismatch",IF(IF(NOT(ISNUMBER(D1069)),TRUE,OR(D1069&lt;0,D1069&gt;999999999,ROUND(D1069,3)&lt;&gt;D1069)),"Invalid current reading",IF(AND(E1069&lt;&gt;"",IF(NOT(ISNUMBER(E1069)),TRUE,OR(E1069&lt;0,E1069&gt;999999999,ROUND(E1069,3)&lt;&gt;E1069))),"Invalid previous reading",IF(IF(NOT(ISNUMBER(F1069)),TRUE,OR(F1069&lt;0,F1069&gt;999999999,ROUND(F1069,3)&lt;&gt;F1069)),"Invalid last service",IF(AND(E1069&lt;&gt;"",D1069&lt;E1069),"Decreased reading",IF(F1069&gt;D1069,"Last service above current","")))))))))))))</x:f>
      </x:c>
      <x:c r="L1069" s="6" t="str">
        <x:f>IF(AND(NOT(COUNTA(A1069:F1069)=0),K1069=""),INDEX('Rules'!$C$7:$C$26,MATCH(SUBSTITUTE(SUBSTITUTE(SUBSTITUTE(SUBSTITUTE("type:"&amp;B1069,"%","%25"),"~","%7E"),"*","%2A"),"?","%3F"),'Rules'!$G$7:$G$26,0)),"")</x:f>
      </x:c>
      <x:c r="M1069" s="6" t="str">
        <x:f>IF(AND(NOT(COUNTA(A1069:F1069)=0),K1069=""),INDEX('Rules'!$D$7:$D$26,MATCH(SUBSTITUTE(SUBSTITUTE(SUBSTITUTE(SUBSTITUTE("type:"&amp;B1069,"%","%25"),"~","%7E"),"*","%2A"),"?","%3F"),'Rules'!$G$7:$G$26,0)),"")</x:f>
      </x:c>
      <x:c r="N1069" s="5" t="str">
        <x:f>IF(COUNTA(A1069:F1069)=0,"",SUBSTITUTE(SUBSTITUTE(SUBSTITUTE(SUBSTITUTE("id:"&amp;A1069,"%","%25"),"~","%7E"),"*","%2A"),"?","%3F"))</x:f>
      </x:c>
    </x:row>
    <x:row r="1070" ht="22" customHeight="1">
      <x:c r="A1070" s="3"/>
      <x:c r="B1070" s="3"/>
      <x:c r="C1070" s="3"/>
      <x:c r="D1070" s="4"/>
      <x:c r="E1070" s="4"/>
      <x:c r="F1070" s="4"/>
      <x:c r="G1070" s="5" t="str">
        <x:f>IF(COUNTA(A1070:F1070)=0,"",IF(K1070&lt;&gt;"","Review",IF(I1070&lt;0,"Overdue",IF(I1070=0,"Due now",IF(I1070&lt;=M1070,"Due soon","Not due")))))</x:f>
      </x:c>
      <x:c r="H1070" s="5" t="str">
        <x:f>IF(OR(COUNTA(A1070:F1070)=0,COUNTIFS('Rules'!$G$7:$G$26,"="&amp;(SUBSTITUTE(SUBSTITUTE(SUBSTITUTE(SUBSTITUTE("type:"&amp;B1070,"%","%25"),"~","%7E"),"*","%2A"),"?","%3F")))&lt;&gt;1),"",IF(OR(INDEX('Rules'!$B$7:$B$26,MATCH(SUBSTITUTE(SUBSTITUTE(SUBSTITUTE(SUBSTITUTE("type:"&amp;B1070,"%","%25"),"~","%7E"),"*","%2A"),"?","%3F"),'Rules'!$G$7:$G$26,0))="hours",INDEX('Rules'!$B$7:$B$26,MATCH(SUBSTITUTE(SUBSTITUTE(SUBSTITUTE(SUBSTITUTE("type:"&amp;B1070,"%","%25"),"~","%7E"),"*","%2A"),"?","%3F"),'Rules'!$G$7:$G$26,0))="km"),INDEX('Rules'!$B$7:$B$26,MATCH(SUBSTITUTE(SUBSTITUTE(SUBSTITUTE(SUBSTITUTE("type:"&amp;B1070,"%","%25"),"~","%7E"),"*","%2A"),"?","%3F"),'Rules'!$G$7:$G$26,0)),""))</x:f>
      </x:c>
      <x:c r="I1070" s="6" t="str">
        <x:f>IF(AND(NOT(COUNTA(A1070:F1070)=0),K1070=""),ROUND(J1070-D1070,3),"")</x:f>
      </x:c>
      <x:c r="J1070" s="6" t="str">
        <x:f>IF(AND(NOT(COUNTA(A1070:F1070)=0),K1070=""),ROUND(F1070+L1070,3),"")</x:f>
      </x:c>
      <x:c r="K1070" s="5" t="str">
        <x:f>IF(COUNTA(A1070:F1070)=0,"",IF(A1070="","Missing equipment ID",IF(COUNTIFS($N$8:$N$2007,"="&amp;N1070)&gt;1,"Duplicate equipment ID",IF(B1070="","Missing type",IF(COUNTIFS('Rules'!$G$7:$G$26,"="&amp;(SUBSTITUTE(SUBSTITUTE(SUBSTITUTE(SUBSTITUTE("type:"&amp;B1070,"%","%25"),"~","%7E"),"*","%2A"),"?","%3F")))=0,"Unknown type",IF(COUNTIFS('Rules'!$G$7:$G$26,"="&amp;(SUBSTITUTE(SUBSTITUTE(SUBSTITUTE(SUBSTITUTE("type:"&amp;B1070,"%","%25"),"~","%7E"),"*","%2A"),"?","%3F")))&gt;1,"Duplicate type",IF(INDEX('Rules'!$F$7:$F$26,MATCH(SUBSTITUTE(SUBSTITUTE(SUBSTITUTE(SUBSTITUTE("type:"&amp;B1070,"%","%25"),"~","%7E"),"*","%2A"),"?","%3F"),'Rules'!$G$7:$G$26,0))&lt;&gt;"",INDEX('Rules'!$F$7:$F$26,MATCH(SUBSTITUTE(SUBSTITUTE(SUBSTITUTE(SUBSTITUTE("type:"&amp;B1070,"%","%25"),"~","%7E"),"*","%2A"),"?","%3F"),'Rules'!$G$7:$G$26,0)),IF(AND(C1070&lt;&gt;"",C1070&lt;&gt;INDEX('Rules'!$B$7:$B$26,MATCH(SUBSTITUTE(SUBSTITUTE(SUBSTITUTE(SUBSTITUTE("type:"&amp;B1070,"%","%25"),"~","%7E"),"*","%2A"),"?","%3F"),'Rules'!$G$7:$G$26,0))),"Unit mismatch",IF(IF(NOT(ISNUMBER(D1070)),TRUE,OR(D1070&lt;0,D1070&gt;999999999,ROUND(D1070,3)&lt;&gt;D1070)),"Invalid current reading",IF(AND(E1070&lt;&gt;"",IF(NOT(ISNUMBER(E1070)),TRUE,OR(E1070&lt;0,E1070&gt;999999999,ROUND(E1070,3)&lt;&gt;E1070))),"Invalid previous reading",IF(IF(NOT(ISNUMBER(F1070)),TRUE,OR(F1070&lt;0,F1070&gt;999999999,ROUND(F1070,3)&lt;&gt;F1070)),"Invalid last service",IF(AND(E1070&lt;&gt;"",D1070&lt;E1070),"Decreased reading",IF(F1070&gt;D1070,"Last service above current","")))))))))))))</x:f>
      </x:c>
      <x:c r="L1070" s="6" t="str">
        <x:f>IF(AND(NOT(COUNTA(A1070:F1070)=0),K1070=""),INDEX('Rules'!$C$7:$C$26,MATCH(SUBSTITUTE(SUBSTITUTE(SUBSTITUTE(SUBSTITUTE("type:"&amp;B1070,"%","%25"),"~","%7E"),"*","%2A"),"?","%3F"),'Rules'!$G$7:$G$26,0)),"")</x:f>
      </x:c>
      <x:c r="M1070" s="6" t="str">
        <x:f>IF(AND(NOT(COUNTA(A1070:F1070)=0),K1070=""),INDEX('Rules'!$D$7:$D$26,MATCH(SUBSTITUTE(SUBSTITUTE(SUBSTITUTE(SUBSTITUTE("type:"&amp;B1070,"%","%25"),"~","%7E"),"*","%2A"),"?","%3F"),'Rules'!$G$7:$G$26,0)),"")</x:f>
      </x:c>
      <x:c r="N1070" s="5" t="str">
        <x:f>IF(COUNTA(A1070:F1070)=0,"",SUBSTITUTE(SUBSTITUTE(SUBSTITUTE(SUBSTITUTE("id:"&amp;A1070,"%","%25"),"~","%7E"),"*","%2A"),"?","%3F"))</x:f>
      </x:c>
    </x:row>
    <x:row r="1071" ht="22" customHeight="1">
      <x:c r="A1071" s="3"/>
      <x:c r="B1071" s="3"/>
      <x:c r="C1071" s="3"/>
      <x:c r="D1071" s="4"/>
      <x:c r="E1071" s="4"/>
      <x:c r="F1071" s="4"/>
      <x:c r="G1071" s="5" t="str">
        <x:f>IF(COUNTA(A1071:F1071)=0,"",IF(K1071&lt;&gt;"","Review",IF(I1071&lt;0,"Overdue",IF(I1071=0,"Due now",IF(I1071&lt;=M1071,"Due soon","Not due")))))</x:f>
      </x:c>
      <x:c r="H1071" s="5" t="str">
        <x:f>IF(OR(COUNTA(A1071:F1071)=0,COUNTIFS('Rules'!$G$7:$G$26,"="&amp;(SUBSTITUTE(SUBSTITUTE(SUBSTITUTE(SUBSTITUTE("type:"&amp;B1071,"%","%25"),"~","%7E"),"*","%2A"),"?","%3F")))&lt;&gt;1),"",IF(OR(INDEX('Rules'!$B$7:$B$26,MATCH(SUBSTITUTE(SUBSTITUTE(SUBSTITUTE(SUBSTITUTE("type:"&amp;B1071,"%","%25"),"~","%7E"),"*","%2A"),"?","%3F"),'Rules'!$G$7:$G$26,0))="hours",INDEX('Rules'!$B$7:$B$26,MATCH(SUBSTITUTE(SUBSTITUTE(SUBSTITUTE(SUBSTITUTE("type:"&amp;B1071,"%","%25"),"~","%7E"),"*","%2A"),"?","%3F"),'Rules'!$G$7:$G$26,0))="km"),INDEX('Rules'!$B$7:$B$26,MATCH(SUBSTITUTE(SUBSTITUTE(SUBSTITUTE(SUBSTITUTE("type:"&amp;B1071,"%","%25"),"~","%7E"),"*","%2A"),"?","%3F"),'Rules'!$G$7:$G$26,0)),""))</x:f>
      </x:c>
      <x:c r="I1071" s="6" t="str">
        <x:f>IF(AND(NOT(COUNTA(A1071:F1071)=0),K1071=""),ROUND(J1071-D1071,3),"")</x:f>
      </x:c>
      <x:c r="J1071" s="6" t="str">
        <x:f>IF(AND(NOT(COUNTA(A1071:F1071)=0),K1071=""),ROUND(F1071+L1071,3),"")</x:f>
      </x:c>
      <x:c r="K1071" s="5" t="str">
        <x:f>IF(COUNTA(A1071:F1071)=0,"",IF(A1071="","Missing equipment ID",IF(COUNTIFS($N$8:$N$2007,"="&amp;N1071)&gt;1,"Duplicate equipment ID",IF(B1071="","Missing type",IF(COUNTIFS('Rules'!$G$7:$G$26,"="&amp;(SUBSTITUTE(SUBSTITUTE(SUBSTITUTE(SUBSTITUTE("type:"&amp;B1071,"%","%25"),"~","%7E"),"*","%2A"),"?","%3F")))=0,"Unknown type",IF(COUNTIFS('Rules'!$G$7:$G$26,"="&amp;(SUBSTITUTE(SUBSTITUTE(SUBSTITUTE(SUBSTITUTE("type:"&amp;B1071,"%","%25"),"~","%7E"),"*","%2A"),"?","%3F")))&gt;1,"Duplicate type",IF(INDEX('Rules'!$F$7:$F$26,MATCH(SUBSTITUTE(SUBSTITUTE(SUBSTITUTE(SUBSTITUTE("type:"&amp;B1071,"%","%25"),"~","%7E"),"*","%2A"),"?","%3F"),'Rules'!$G$7:$G$26,0))&lt;&gt;"",INDEX('Rules'!$F$7:$F$26,MATCH(SUBSTITUTE(SUBSTITUTE(SUBSTITUTE(SUBSTITUTE("type:"&amp;B1071,"%","%25"),"~","%7E"),"*","%2A"),"?","%3F"),'Rules'!$G$7:$G$26,0)),IF(AND(C1071&lt;&gt;"",C1071&lt;&gt;INDEX('Rules'!$B$7:$B$26,MATCH(SUBSTITUTE(SUBSTITUTE(SUBSTITUTE(SUBSTITUTE("type:"&amp;B1071,"%","%25"),"~","%7E"),"*","%2A"),"?","%3F"),'Rules'!$G$7:$G$26,0))),"Unit mismatch",IF(IF(NOT(ISNUMBER(D1071)),TRUE,OR(D1071&lt;0,D1071&gt;999999999,ROUND(D1071,3)&lt;&gt;D1071)),"Invalid current reading",IF(AND(E1071&lt;&gt;"",IF(NOT(ISNUMBER(E1071)),TRUE,OR(E1071&lt;0,E1071&gt;999999999,ROUND(E1071,3)&lt;&gt;E1071))),"Invalid previous reading",IF(IF(NOT(ISNUMBER(F1071)),TRUE,OR(F1071&lt;0,F1071&gt;999999999,ROUND(F1071,3)&lt;&gt;F1071)),"Invalid last service",IF(AND(E1071&lt;&gt;"",D1071&lt;E1071),"Decreased reading",IF(F1071&gt;D1071,"Last service above current","")))))))))))))</x:f>
      </x:c>
      <x:c r="L1071" s="6" t="str">
        <x:f>IF(AND(NOT(COUNTA(A1071:F1071)=0),K1071=""),INDEX('Rules'!$C$7:$C$26,MATCH(SUBSTITUTE(SUBSTITUTE(SUBSTITUTE(SUBSTITUTE("type:"&amp;B1071,"%","%25"),"~","%7E"),"*","%2A"),"?","%3F"),'Rules'!$G$7:$G$26,0)),"")</x:f>
      </x:c>
      <x:c r="M1071" s="6" t="str">
        <x:f>IF(AND(NOT(COUNTA(A1071:F1071)=0),K1071=""),INDEX('Rules'!$D$7:$D$26,MATCH(SUBSTITUTE(SUBSTITUTE(SUBSTITUTE(SUBSTITUTE("type:"&amp;B1071,"%","%25"),"~","%7E"),"*","%2A"),"?","%3F"),'Rules'!$G$7:$G$26,0)),"")</x:f>
      </x:c>
      <x:c r="N1071" s="5" t="str">
        <x:f>IF(COUNTA(A1071:F1071)=0,"",SUBSTITUTE(SUBSTITUTE(SUBSTITUTE(SUBSTITUTE("id:"&amp;A1071,"%","%25"),"~","%7E"),"*","%2A"),"?","%3F"))</x:f>
      </x:c>
    </x:row>
    <x:row r="1072" ht="22" customHeight="1">
      <x:c r="A1072" s="3"/>
      <x:c r="B1072" s="3"/>
      <x:c r="C1072" s="3"/>
      <x:c r="D1072" s="4"/>
      <x:c r="E1072" s="4"/>
      <x:c r="F1072" s="4"/>
      <x:c r="G1072" s="5" t="str">
        <x:f>IF(COUNTA(A1072:F1072)=0,"",IF(K1072&lt;&gt;"","Review",IF(I1072&lt;0,"Overdue",IF(I1072=0,"Due now",IF(I1072&lt;=M1072,"Due soon","Not due")))))</x:f>
      </x:c>
      <x:c r="H1072" s="5" t="str">
        <x:f>IF(OR(COUNTA(A1072:F1072)=0,COUNTIFS('Rules'!$G$7:$G$26,"="&amp;(SUBSTITUTE(SUBSTITUTE(SUBSTITUTE(SUBSTITUTE("type:"&amp;B1072,"%","%25"),"~","%7E"),"*","%2A"),"?","%3F")))&lt;&gt;1),"",IF(OR(INDEX('Rules'!$B$7:$B$26,MATCH(SUBSTITUTE(SUBSTITUTE(SUBSTITUTE(SUBSTITUTE("type:"&amp;B1072,"%","%25"),"~","%7E"),"*","%2A"),"?","%3F"),'Rules'!$G$7:$G$26,0))="hours",INDEX('Rules'!$B$7:$B$26,MATCH(SUBSTITUTE(SUBSTITUTE(SUBSTITUTE(SUBSTITUTE("type:"&amp;B1072,"%","%25"),"~","%7E"),"*","%2A"),"?","%3F"),'Rules'!$G$7:$G$26,0))="km"),INDEX('Rules'!$B$7:$B$26,MATCH(SUBSTITUTE(SUBSTITUTE(SUBSTITUTE(SUBSTITUTE("type:"&amp;B1072,"%","%25"),"~","%7E"),"*","%2A"),"?","%3F"),'Rules'!$G$7:$G$26,0)),""))</x:f>
      </x:c>
      <x:c r="I1072" s="6" t="str">
        <x:f>IF(AND(NOT(COUNTA(A1072:F1072)=0),K1072=""),ROUND(J1072-D1072,3),"")</x:f>
      </x:c>
      <x:c r="J1072" s="6" t="str">
        <x:f>IF(AND(NOT(COUNTA(A1072:F1072)=0),K1072=""),ROUND(F1072+L1072,3),"")</x:f>
      </x:c>
      <x:c r="K1072" s="5" t="str">
        <x:f>IF(COUNTA(A1072:F1072)=0,"",IF(A1072="","Missing equipment ID",IF(COUNTIFS($N$8:$N$2007,"="&amp;N1072)&gt;1,"Duplicate equipment ID",IF(B1072="","Missing type",IF(COUNTIFS('Rules'!$G$7:$G$26,"="&amp;(SUBSTITUTE(SUBSTITUTE(SUBSTITUTE(SUBSTITUTE("type:"&amp;B1072,"%","%25"),"~","%7E"),"*","%2A"),"?","%3F")))=0,"Unknown type",IF(COUNTIFS('Rules'!$G$7:$G$26,"="&amp;(SUBSTITUTE(SUBSTITUTE(SUBSTITUTE(SUBSTITUTE("type:"&amp;B1072,"%","%25"),"~","%7E"),"*","%2A"),"?","%3F")))&gt;1,"Duplicate type",IF(INDEX('Rules'!$F$7:$F$26,MATCH(SUBSTITUTE(SUBSTITUTE(SUBSTITUTE(SUBSTITUTE("type:"&amp;B1072,"%","%25"),"~","%7E"),"*","%2A"),"?","%3F"),'Rules'!$G$7:$G$26,0))&lt;&gt;"",INDEX('Rules'!$F$7:$F$26,MATCH(SUBSTITUTE(SUBSTITUTE(SUBSTITUTE(SUBSTITUTE("type:"&amp;B1072,"%","%25"),"~","%7E"),"*","%2A"),"?","%3F"),'Rules'!$G$7:$G$26,0)),IF(AND(C1072&lt;&gt;"",C1072&lt;&gt;INDEX('Rules'!$B$7:$B$26,MATCH(SUBSTITUTE(SUBSTITUTE(SUBSTITUTE(SUBSTITUTE("type:"&amp;B1072,"%","%25"),"~","%7E"),"*","%2A"),"?","%3F"),'Rules'!$G$7:$G$26,0))),"Unit mismatch",IF(IF(NOT(ISNUMBER(D1072)),TRUE,OR(D1072&lt;0,D1072&gt;999999999,ROUND(D1072,3)&lt;&gt;D1072)),"Invalid current reading",IF(AND(E1072&lt;&gt;"",IF(NOT(ISNUMBER(E1072)),TRUE,OR(E1072&lt;0,E1072&gt;999999999,ROUND(E1072,3)&lt;&gt;E1072))),"Invalid previous reading",IF(IF(NOT(ISNUMBER(F1072)),TRUE,OR(F1072&lt;0,F1072&gt;999999999,ROUND(F1072,3)&lt;&gt;F1072)),"Invalid last service",IF(AND(E1072&lt;&gt;"",D1072&lt;E1072),"Decreased reading",IF(F1072&gt;D1072,"Last service above current","")))))))))))))</x:f>
      </x:c>
      <x:c r="L1072" s="6" t="str">
        <x:f>IF(AND(NOT(COUNTA(A1072:F1072)=0),K1072=""),INDEX('Rules'!$C$7:$C$26,MATCH(SUBSTITUTE(SUBSTITUTE(SUBSTITUTE(SUBSTITUTE("type:"&amp;B1072,"%","%25"),"~","%7E"),"*","%2A"),"?","%3F"),'Rules'!$G$7:$G$26,0)),"")</x:f>
      </x:c>
      <x:c r="M1072" s="6" t="str">
        <x:f>IF(AND(NOT(COUNTA(A1072:F1072)=0),K1072=""),INDEX('Rules'!$D$7:$D$26,MATCH(SUBSTITUTE(SUBSTITUTE(SUBSTITUTE(SUBSTITUTE("type:"&amp;B1072,"%","%25"),"~","%7E"),"*","%2A"),"?","%3F"),'Rules'!$G$7:$G$26,0)),"")</x:f>
      </x:c>
      <x:c r="N1072" s="5" t="str">
        <x:f>IF(COUNTA(A1072:F1072)=0,"",SUBSTITUTE(SUBSTITUTE(SUBSTITUTE(SUBSTITUTE("id:"&amp;A1072,"%","%25"),"~","%7E"),"*","%2A"),"?","%3F"))</x:f>
      </x:c>
    </x:row>
    <x:row r="1073" ht="22" customHeight="1">
      <x:c r="A1073" s="3"/>
      <x:c r="B1073" s="3"/>
      <x:c r="C1073" s="3"/>
      <x:c r="D1073" s="4"/>
      <x:c r="E1073" s="4"/>
      <x:c r="F1073" s="4"/>
      <x:c r="G1073" s="5" t="str">
        <x:f>IF(COUNTA(A1073:F1073)=0,"",IF(K1073&lt;&gt;"","Review",IF(I1073&lt;0,"Overdue",IF(I1073=0,"Due now",IF(I1073&lt;=M1073,"Due soon","Not due")))))</x:f>
      </x:c>
      <x:c r="H1073" s="5" t="str">
        <x:f>IF(OR(COUNTA(A1073:F1073)=0,COUNTIFS('Rules'!$G$7:$G$26,"="&amp;(SUBSTITUTE(SUBSTITUTE(SUBSTITUTE(SUBSTITUTE("type:"&amp;B1073,"%","%25"),"~","%7E"),"*","%2A"),"?","%3F")))&lt;&gt;1),"",IF(OR(INDEX('Rules'!$B$7:$B$26,MATCH(SUBSTITUTE(SUBSTITUTE(SUBSTITUTE(SUBSTITUTE("type:"&amp;B1073,"%","%25"),"~","%7E"),"*","%2A"),"?","%3F"),'Rules'!$G$7:$G$26,0))="hours",INDEX('Rules'!$B$7:$B$26,MATCH(SUBSTITUTE(SUBSTITUTE(SUBSTITUTE(SUBSTITUTE("type:"&amp;B1073,"%","%25"),"~","%7E"),"*","%2A"),"?","%3F"),'Rules'!$G$7:$G$26,0))="km"),INDEX('Rules'!$B$7:$B$26,MATCH(SUBSTITUTE(SUBSTITUTE(SUBSTITUTE(SUBSTITUTE("type:"&amp;B1073,"%","%25"),"~","%7E"),"*","%2A"),"?","%3F"),'Rules'!$G$7:$G$26,0)),""))</x:f>
      </x:c>
      <x:c r="I1073" s="6" t="str">
        <x:f>IF(AND(NOT(COUNTA(A1073:F1073)=0),K1073=""),ROUND(J1073-D1073,3),"")</x:f>
      </x:c>
      <x:c r="J1073" s="6" t="str">
        <x:f>IF(AND(NOT(COUNTA(A1073:F1073)=0),K1073=""),ROUND(F1073+L1073,3),"")</x:f>
      </x:c>
      <x:c r="K1073" s="5" t="str">
        <x:f>IF(COUNTA(A1073:F1073)=0,"",IF(A1073="","Missing equipment ID",IF(COUNTIFS($N$8:$N$2007,"="&amp;N1073)&gt;1,"Duplicate equipment ID",IF(B1073="","Missing type",IF(COUNTIFS('Rules'!$G$7:$G$26,"="&amp;(SUBSTITUTE(SUBSTITUTE(SUBSTITUTE(SUBSTITUTE("type:"&amp;B1073,"%","%25"),"~","%7E"),"*","%2A"),"?","%3F")))=0,"Unknown type",IF(COUNTIFS('Rules'!$G$7:$G$26,"="&amp;(SUBSTITUTE(SUBSTITUTE(SUBSTITUTE(SUBSTITUTE("type:"&amp;B1073,"%","%25"),"~","%7E"),"*","%2A"),"?","%3F")))&gt;1,"Duplicate type",IF(INDEX('Rules'!$F$7:$F$26,MATCH(SUBSTITUTE(SUBSTITUTE(SUBSTITUTE(SUBSTITUTE("type:"&amp;B1073,"%","%25"),"~","%7E"),"*","%2A"),"?","%3F"),'Rules'!$G$7:$G$26,0))&lt;&gt;"",INDEX('Rules'!$F$7:$F$26,MATCH(SUBSTITUTE(SUBSTITUTE(SUBSTITUTE(SUBSTITUTE("type:"&amp;B1073,"%","%25"),"~","%7E"),"*","%2A"),"?","%3F"),'Rules'!$G$7:$G$26,0)),IF(AND(C1073&lt;&gt;"",C1073&lt;&gt;INDEX('Rules'!$B$7:$B$26,MATCH(SUBSTITUTE(SUBSTITUTE(SUBSTITUTE(SUBSTITUTE("type:"&amp;B1073,"%","%25"),"~","%7E"),"*","%2A"),"?","%3F"),'Rules'!$G$7:$G$26,0))),"Unit mismatch",IF(IF(NOT(ISNUMBER(D1073)),TRUE,OR(D1073&lt;0,D1073&gt;999999999,ROUND(D1073,3)&lt;&gt;D1073)),"Invalid current reading",IF(AND(E1073&lt;&gt;"",IF(NOT(ISNUMBER(E1073)),TRUE,OR(E1073&lt;0,E1073&gt;999999999,ROUND(E1073,3)&lt;&gt;E1073))),"Invalid previous reading",IF(IF(NOT(ISNUMBER(F1073)),TRUE,OR(F1073&lt;0,F1073&gt;999999999,ROUND(F1073,3)&lt;&gt;F1073)),"Invalid last service",IF(AND(E1073&lt;&gt;"",D1073&lt;E1073),"Decreased reading",IF(F1073&gt;D1073,"Last service above current","")))))))))))))</x:f>
      </x:c>
      <x:c r="L1073" s="6" t="str">
        <x:f>IF(AND(NOT(COUNTA(A1073:F1073)=0),K1073=""),INDEX('Rules'!$C$7:$C$26,MATCH(SUBSTITUTE(SUBSTITUTE(SUBSTITUTE(SUBSTITUTE("type:"&amp;B1073,"%","%25"),"~","%7E"),"*","%2A"),"?","%3F"),'Rules'!$G$7:$G$26,0)),"")</x:f>
      </x:c>
      <x:c r="M1073" s="6" t="str">
        <x:f>IF(AND(NOT(COUNTA(A1073:F1073)=0),K1073=""),INDEX('Rules'!$D$7:$D$26,MATCH(SUBSTITUTE(SUBSTITUTE(SUBSTITUTE(SUBSTITUTE("type:"&amp;B1073,"%","%25"),"~","%7E"),"*","%2A"),"?","%3F"),'Rules'!$G$7:$G$26,0)),"")</x:f>
      </x:c>
      <x:c r="N1073" s="5" t="str">
        <x:f>IF(COUNTA(A1073:F1073)=0,"",SUBSTITUTE(SUBSTITUTE(SUBSTITUTE(SUBSTITUTE("id:"&amp;A1073,"%","%25"),"~","%7E"),"*","%2A"),"?","%3F"))</x:f>
      </x:c>
    </x:row>
    <x:row r="1074" ht="22" customHeight="1">
      <x:c r="A1074" s="3"/>
      <x:c r="B1074" s="3"/>
      <x:c r="C1074" s="3"/>
      <x:c r="D1074" s="4"/>
      <x:c r="E1074" s="4"/>
      <x:c r="F1074" s="4"/>
      <x:c r="G1074" s="5" t="str">
        <x:f>IF(COUNTA(A1074:F1074)=0,"",IF(K1074&lt;&gt;"","Review",IF(I1074&lt;0,"Overdue",IF(I1074=0,"Due now",IF(I1074&lt;=M1074,"Due soon","Not due")))))</x:f>
      </x:c>
      <x:c r="H1074" s="5" t="str">
        <x:f>IF(OR(COUNTA(A1074:F1074)=0,COUNTIFS('Rules'!$G$7:$G$26,"="&amp;(SUBSTITUTE(SUBSTITUTE(SUBSTITUTE(SUBSTITUTE("type:"&amp;B1074,"%","%25"),"~","%7E"),"*","%2A"),"?","%3F")))&lt;&gt;1),"",IF(OR(INDEX('Rules'!$B$7:$B$26,MATCH(SUBSTITUTE(SUBSTITUTE(SUBSTITUTE(SUBSTITUTE("type:"&amp;B1074,"%","%25"),"~","%7E"),"*","%2A"),"?","%3F"),'Rules'!$G$7:$G$26,0))="hours",INDEX('Rules'!$B$7:$B$26,MATCH(SUBSTITUTE(SUBSTITUTE(SUBSTITUTE(SUBSTITUTE("type:"&amp;B1074,"%","%25"),"~","%7E"),"*","%2A"),"?","%3F"),'Rules'!$G$7:$G$26,0))="km"),INDEX('Rules'!$B$7:$B$26,MATCH(SUBSTITUTE(SUBSTITUTE(SUBSTITUTE(SUBSTITUTE("type:"&amp;B1074,"%","%25"),"~","%7E"),"*","%2A"),"?","%3F"),'Rules'!$G$7:$G$26,0)),""))</x:f>
      </x:c>
      <x:c r="I1074" s="6" t="str">
        <x:f>IF(AND(NOT(COUNTA(A1074:F1074)=0),K1074=""),ROUND(J1074-D1074,3),"")</x:f>
      </x:c>
      <x:c r="J1074" s="6" t="str">
        <x:f>IF(AND(NOT(COUNTA(A1074:F1074)=0),K1074=""),ROUND(F1074+L1074,3),"")</x:f>
      </x:c>
      <x:c r="K1074" s="5" t="str">
        <x:f>IF(COUNTA(A1074:F1074)=0,"",IF(A1074="","Missing equipment ID",IF(COUNTIFS($N$8:$N$2007,"="&amp;N1074)&gt;1,"Duplicate equipment ID",IF(B1074="","Missing type",IF(COUNTIFS('Rules'!$G$7:$G$26,"="&amp;(SUBSTITUTE(SUBSTITUTE(SUBSTITUTE(SUBSTITUTE("type:"&amp;B1074,"%","%25"),"~","%7E"),"*","%2A"),"?","%3F")))=0,"Unknown type",IF(COUNTIFS('Rules'!$G$7:$G$26,"="&amp;(SUBSTITUTE(SUBSTITUTE(SUBSTITUTE(SUBSTITUTE("type:"&amp;B1074,"%","%25"),"~","%7E"),"*","%2A"),"?","%3F")))&gt;1,"Duplicate type",IF(INDEX('Rules'!$F$7:$F$26,MATCH(SUBSTITUTE(SUBSTITUTE(SUBSTITUTE(SUBSTITUTE("type:"&amp;B1074,"%","%25"),"~","%7E"),"*","%2A"),"?","%3F"),'Rules'!$G$7:$G$26,0))&lt;&gt;"",INDEX('Rules'!$F$7:$F$26,MATCH(SUBSTITUTE(SUBSTITUTE(SUBSTITUTE(SUBSTITUTE("type:"&amp;B1074,"%","%25"),"~","%7E"),"*","%2A"),"?","%3F"),'Rules'!$G$7:$G$26,0)),IF(AND(C1074&lt;&gt;"",C1074&lt;&gt;INDEX('Rules'!$B$7:$B$26,MATCH(SUBSTITUTE(SUBSTITUTE(SUBSTITUTE(SUBSTITUTE("type:"&amp;B1074,"%","%25"),"~","%7E"),"*","%2A"),"?","%3F"),'Rules'!$G$7:$G$26,0))),"Unit mismatch",IF(IF(NOT(ISNUMBER(D1074)),TRUE,OR(D1074&lt;0,D1074&gt;999999999,ROUND(D1074,3)&lt;&gt;D1074)),"Invalid current reading",IF(AND(E1074&lt;&gt;"",IF(NOT(ISNUMBER(E1074)),TRUE,OR(E1074&lt;0,E1074&gt;999999999,ROUND(E1074,3)&lt;&gt;E1074))),"Invalid previous reading",IF(IF(NOT(ISNUMBER(F1074)),TRUE,OR(F1074&lt;0,F1074&gt;999999999,ROUND(F1074,3)&lt;&gt;F1074)),"Invalid last service",IF(AND(E1074&lt;&gt;"",D1074&lt;E1074),"Decreased reading",IF(F1074&gt;D1074,"Last service above current","")))))))))))))</x:f>
      </x:c>
      <x:c r="L1074" s="6" t="str">
        <x:f>IF(AND(NOT(COUNTA(A1074:F1074)=0),K1074=""),INDEX('Rules'!$C$7:$C$26,MATCH(SUBSTITUTE(SUBSTITUTE(SUBSTITUTE(SUBSTITUTE("type:"&amp;B1074,"%","%25"),"~","%7E"),"*","%2A"),"?","%3F"),'Rules'!$G$7:$G$26,0)),"")</x:f>
      </x:c>
      <x:c r="M1074" s="6" t="str">
        <x:f>IF(AND(NOT(COUNTA(A1074:F1074)=0),K1074=""),INDEX('Rules'!$D$7:$D$26,MATCH(SUBSTITUTE(SUBSTITUTE(SUBSTITUTE(SUBSTITUTE("type:"&amp;B1074,"%","%25"),"~","%7E"),"*","%2A"),"?","%3F"),'Rules'!$G$7:$G$26,0)),"")</x:f>
      </x:c>
      <x:c r="N1074" s="5" t="str">
        <x:f>IF(COUNTA(A1074:F1074)=0,"",SUBSTITUTE(SUBSTITUTE(SUBSTITUTE(SUBSTITUTE("id:"&amp;A1074,"%","%25"),"~","%7E"),"*","%2A"),"?","%3F"))</x:f>
      </x:c>
    </x:row>
    <x:row r="1075" ht="22" customHeight="1">
      <x:c r="A1075" s="3"/>
      <x:c r="B1075" s="3"/>
      <x:c r="C1075" s="3"/>
      <x:c r="D1075" s="4"/>
      <x:c r="E1075" s="4"/>
      <x:c r="F1075" s="4"/>
      <x:c r="G1075" s="5" t="str">
        <x:f>IF(COUNTA(A1075:F1075)=0,"",IF(K1075&lt;&gt;"","Review",IF(I1075&lt;0,"Overdue",IF(I1075=0,"Due now",IF(I1075&lt;=M1075,"Due soon","Not due")))))</x:f>
      </x:c>
      <x:c r="H1075" s="5" t="str">
        <x:f>IF(OR(COUNTA(A1075:F1075)=0,COUNTIFS('Rules'!$G$7:$G$26,"="&amp;(SUBSTITUTE(SUBSTITUTE(SUBSTITUTE(SUBSTITUTE("type:"&amp;B1075,"%","%25"),"~","%7E"),"*","%2A"),"?","%3F")))&lt;&gt;1),"",IF(OR(INDEX('Rules'!$B$7:$B$26,MATCH(SUBSTITUTE(SUBSTITUTE(SUBSTITUTE(SUBSTITUTE("type:"&amp;B1075,"%","%25"),"~","%7E"),"*","%2A"),"?","%3F"),'Rules'!$G$7:$G$26,0))="hours",INDEX('Rules'!$B$7:$B$26,MATCH(SUBSTITUTE(SUBSTITUTE(SUBSTITUTE(SUBSTITUTE("type:"&amp;B1075,"%","%25"),"~","%7E"),"*","%2A"),"?","%3F"),'Rules'!$G$7:$G$26,0))="km"),INDEX('Rules'!$B$7:$B$26,MATCH(SUBSTITUTE(SUBSTITUTE(SUBSTITUTE(SUBSTITUTE("type:"&amp;B1075,"%","%25"),"~","%7E"),"*","%2A"),"?","%3F"),'Rules'!$G$7:$G$26,0)),""))</x:f>
      </x:c>
      <x:c r="I1075" s="6" t="str">
        <x:f>IF(AND(NOT(COUNTA(A1075:F1075)=0),K1075=""),ROUND(J1075-D1075,3),"")</x:f>
      </x:c>
      <x:c r="J1075" s="6" t="str">
        <x:f>IF(AND(NOT(COUNTA(A1075:F1075)=0),K1075=""),ROUND(F1075+L1075,3),"")</x:f>
      </x:c>
      <x:c r="K1075" s="5" t="str">
        <x:f>IF(COUNTA(A1075:F1075)=0,"",IF(A1075="","Missing equipment ID",IF(COUNTIFS($N$8:$N$2007,"="&amp;N1075)&gt;1,"Duplicate equipment ID",IF(B1075="","Missing type",IF(COUNTIFS('Rules'!$G$7:$G$26,"="&amp;(SUBSTITUTE(SUBSTITUTE(SUBSTITUTE(SUBSTITUTE("type:"&amp;B1075,"%","%25"),"~","%7E"),"*","%2A"),"?","%3F")))=0,"Unknown type",IF(COUNTIFS('Rules'!$G$7:$G$26,"="&amp;(SUBSTITUTE(SUBSTITUTE(SUBSTITUTE(SUBSTITUTE("type:"&amp;B1075,"%","%25"),"~","%7E"),"*","%2A"),"?","%3F")))&gt;1,"Duplicate type",IF(INDEX('Rules'!$F$7:$F$26,MATCH(SUBSTITUTE(SUBSTITUTE(SUBSTITUTE(SUBSTITUTE("type:"&amp;B1075,"%","%25"),"~","%7E"),"*","%2A"),"?","%3F"),'Rules'!$G$7:$G$26,0))&lt;&gt;"",INDEX('Rules'!$F$7:$F$26,MATCH(SUBSTITUTE(SUBSTITUTE(SUBSTITUTE(SUBSTITUTE("type:"&amp;B1075,"%","%25"),"~","%7E"),"*","%2A"),"?","%3F"),'Rules'!$G$7:$G$26,0)),IF(AND(C1075&lt;&gt;"",C1075&lt;&gt;INDEX('Rules'!$B$7:$B$26,MATCH(SUBSTITUTE(SUBSTITUTE(SUBSTITUTE(SUBSTITUTE("type:"&amp;B1075,"%","%25"),"~","%7E"),"*","%2A"),"?","%3F"),'Rules'!$G$7:$G$26,0))),"Unit mismatch",IF(IF(NOT(ISNUMBER(D1075)),TRUE,OR(D1075&lt;0,D1075&gt;999999999,ROUND(D1075,3)&lt;&gt;D1075)),"Invalid current reading",IF(AND(E1075&lt;&gt;"",IF(NOT(ISNUMBER(E1075)),TRUE,OR(E1075&lt;0,E1075&gt;999999999,ROUND(E1075,3)&lt;&gt;E1075))),"Invalid previous reading",IF(IF(NOT(ISNUMBER(F1075)),TRUE,OR(F1075&lt;0,F1075&gt;999999999,ROUND(F1075,3)&lt;&gt;F1075)),"Invalid last service",IF(AND(E1075&lt;&gt;"",D1075&lt;E1075),"Decreased reading",IF(F1075&gt;D1075,"Last service above current","")))))))))))))</x:f>
      </x:c>
      <x:c r="L1075" s="6" t="str">
        <x:f>IF(AND(NOT(COUNTA(A1075:F1075)=0),K1075=""),INDEX('Rules'!$C$7:$C$26,MATCH(SUBSTITUTE(SUBSTITUTE(SUBSTITUTE(SUBSTITUTE("type:"&amp;B1075,"%","%25"),"~","%7E"),"*","%2A"),"?","%3F"),'Rules'!$G$7:$G$26,0)),"")</x:f>
      </x:c>
      <x:c r="M1075" s="6" t="str">
        <x:f>IF(AND(NOT(COUNTA(A1075:F1075)=0),K1075=""),INDEX('Rules'!$D$7:$D$26,MATCH(SUBSTITUTE(SUBSTITUTE(SUBSTITUTE(SUBSTITUTE("type:"&amp;B1075,"%","%25"),"~","%7E"),"*","%2A"),"?","%3F"),'Rules'!$G$7:$G$26,0)),"")</x:f>
      </x:c>
      <x:c r="N1075" s="5" t="str">
        <x:f>IF(COUNTA(A1075:F1075)=0,"",SUBSTITUTE(SUBSTITUTE(SUBSTITUTE(SUBSTITUTE("id:"&amp;A1075,"%","%25"),"~","%7E"),"*","%2A"),"?","%3F"))</x:f>
      </x:c>
    </x:row>
    <x:row r="1076" ht="22" customHeight="1">
      <x:c r="A1076" s="3"/>
      <x:c r="B1076" s="3"/>
      <x:c r="C1076" s="3"/>
      <x:c r="D1076" s="4"/>
      <x:c r="E1076" s="4"/>
      <x:c r="F1076" s="4"/>
      <x:c r="G1076" s="5" t="str">
        <x:f>IF(COUNTA(A1076:F1076)=0,"",IF(K1076&lt;&gt;"","Review",IF(I1076&lt;0,"Overdue",IF(I1076=0,"Due now",IF(I1076&lt;=M1076,"Due soon","Not due")))))</x:f>
      </x:c>
      <x:c r="H1076" s="5" t="str">
        <x:f>IF(OR(COUNTA(A1076:F1076)=0,COUNTIFS('Rules'!$G$7:$G$26,"="&amp;(SUBSTITUTE(SUBSTITUTE(SUBSTITUTE(SUBSTITUTE("type:"&amp;B1076,"%","%25"),"~","%7E"),"*","%2A"),"?","%3F")))&lt;&gt;1),"",IF(OR(INDEX('Rules'!$B$7:$B$26,MATCH(SUBSTITUTE(SUBSTITUTE(SUBSTITUTE(SUBSTITUTE("type:"&amp;B1076,"%","%25"),"~","%7E"),"*","%2A"),"?","%3F"),'Rules'!$G$7:$G$26,0))="hours",INDEX('Rules'!$B$7:$B$26,MATCH(SUBSTITUTE(SUBSTITUTE(SUBSTITUTE(SUBSTITUTE("type:"&amp;B1076,"%","%25"),"~","%7E"),"*","%2A"),"?","%3F"),'Rules'!$G$7:$G$26,0))="km"),INDEX('Rules'!$B$7:$B$26,MATCH(SUBSTITUTE(SUBSTITUTE(SUBSTITUTE(SUBSTITUTE("type:"&amp;B1076,"%","%25"),"~","%7E"),"*","%2A"),"?","%3F"),'Rules'!$G$7:$G$26,0)),""))</x:f>
      </x:c>
      <x:c r="I1076" s="6" t="str">
        <x:f>IF(AND(NOT(COUNTA(A1076:F1076)=0),K1076=""),ROUND(J1076-D1076,3),"")</x:f>
      </x:c>
      <x:c r="J1076" s="6" t="str">
        <x:f>IF(AND(NOT(COUNTA(A1076:F1076)=0),K1076=""),ROUND(F1076+L1076,3),"")</x:f>
      </x:c>
      <x:c r="K1076" s="5" t="str">
        <x:f>IF(COUNTA(A1076:F1076)=0,"",IF(A1076="","Missing equipment ID",IF(COUNTIFS($N$8:$N$2007,"="&amp;N1076)&gt;1,"Duplicate equipment ID",IF(B1076="","Missing type",IF(COUNTIFS('Rules'!$G$7:$G$26,"="&amp;(SUBSTITUTE(SUBSTITUTE(SUBSTITUTE(SUBSTITUTE("type:"&amp;B1076,"%","%25"),"~","%7E"),"*","%2A"),"?","%3F")))=0,"Unknown type",IF(COUNTIFS('Rules'!$G$7:$G$26,"="&amp;(SUBSTITUTE(SUBSTITUTE(SUBSTITUTE(SUBSTITUTE("type:"&amp;B1076,"%","%25"),"~","%7E"),"*","%2A"),"?","%3F")))&gt;1,"Duplicate type",IF(INDEX('Rules'!$F$7:$F$26,MATCH(SUBSTITUTE(SUBSTITUTE(SUBSTITUTE(SUBSTITUTE("type:"&amp;B1076,"%","%25"),"~","%7E"),"*","%2A"),"?","%3F"),'Rules'!$G$7:$G$26,0))&lt;&gt;"",INDEX('Rules'!$F$7:$F$26,MATCH(SUBSTITUTE(SUBSTITUTE(SUBSTITUTE(SUBSTITUTE("type:"&amp;B1076,"%","%25"),"~","%7E"),"*","%2A"),"?","%3F"),'Rules'!$G$7:$G$26,0)),IF(AND(C1076&lt;&gt;"",C1076&lt;&gt;INDEX('Rules'!$B$7:$B$26,MATCH(SUBSTITUTE(SUBSTITUTE(SUBSTITUTE(SUBSTITUTE("type:"&amp;B1076,"%","%25"),"~","%7E"),"*","%2A"),"?","%3F"),'Rules'!$G$7:$G$26,0))),"Unit mismatch",IF(IF(NOT(ISNUMBER(D1076)),TRUE,OR(D1076&lt;0,D1076&gt;999999999,ROUND(D1076,3)&lt;&gt;D1076)),"Invalid current reading",IF(AND(E1076&lt;&gt;"",IF(NOT(ISNUMBER(E1076)),TRUE,OR(E1076&lt;0,E1076&gt;999999999,ROUND(E1076,3)&lt;&gt;E1076))),"Invalid previous reading",IF(IF(NOT(ISNUMBER(F1076)),TRUE,OR(F1076&lt;0,F1076&gt;999999999,ROUND(F1076,3)&lt;&gt;F1076)),"Invalid last service",IF(AND(E1076&lt;&gt;"",D1076&lt;E1076),"Decreased reading",IF(F1076&gt;D1076,"Last service above current","")))))))))))))</x:f>
      </x:c>
      <x:c r="L1076" s="6" t="str">
        <x:f>IF(AND(NOT(COUNTA(A1076:F1076)=0),K1076=""),INDEX('Rules'!$C$7:$C$26,MATCH(SUBSTITUTE(SUBSTITUTE(SUBSTITUTE(SUBSTITUTE("type:"&amp;B1076,"%","%25"),"~","%7E"),"*","%2A"),"?","%3F"),'Rules'!$G$7:$G$26,0)),"")</x:f>
      </x:c>
      <x:c r="M1076" s="6" t="str">
        <x:f>IF(AND(NOT(COUNTA(A1076:F1076)=0),K1076=""),INDEX('Rules'!$D$7:$D$26,MATCH(SUBSTITUTE(SUBSTITUTE(SUBSTITUTE(SUBSTITUTE("type:"&amp;B1076,"%","%25"),"~","%7E"),"*","%2A"),"?","%3F"),'Rules'!$G$7:$G$26,0)),"")</x:f>
      </x:c>
      <x:c r="N1076" s="5" t="str">
        <x:f>IF(COUNTA(A1076:F1076)=0,"",SUBSTITUTE(SUBSTITUTE(SUBSTITUTE(SUBSTITUTE("id:"&amp;A1076,"%","%25"),"~","%7E"),"*","%2A"),"?","%3F"))</x:f>
      </x:c>
    </x:row>
    <x:row r="1077" ht="22" customHeight="1">
      <x:c r="A1077" s="3"/>
      <x:c r="B1077" s="3"/>
      <x:c r="C1077" s="3"/>
      <x:c r="D1077" s="4"/>
      <x:c r="E1077" s="4"/>
      <x:c r="F1077" s="4"/>
      <x:c r="G1077" s="5" t="str">
        <x:f>IF(COUNTA(A1077:F1077)=0,"",IF(K1077&lt;&gt;"","Review",IF(I1077&lt;0,"Overdue",IF(I1077=0,"Due now",IF(I1077&lt;=M1077,"Due soon","Not due")))))</x:f>
      </x:c>
      <x:c r="H1077" s="5" t="str">
        <x:f>IF(OR(COUNTA(A1077:F1077)=0,COUNTIFS('Rules'!$G$7:$G$26,"="&amp;(SUBSTITUTE(SUBSTITUTE(SUBSTITUTE(SUBSTITUTE("type:"&amp;B1077,"%","%25"),"~","%7E"),"*","%2A"),"?","%3F")))&lt;&gt;1),"",IF(OR(INDEX('Rules'!$B$7:$B$26,MATCH(SUBSTITUTE(SUBSTITUTE(SUBSTITUTE(SUBSTITUTE("type:"&amp;B1077,"%","%25"),"~","%7E"),"*","%2A"),"?","%3F"),'Rules'!$G$7:$G$26,0))="hours",INDEX('Rules'!$B$7:$B$26,MATCH(SUBSTITUTE(SUBSTITUTE(SUBSTITUTE(SUBSTITUTE("type:"&amp;B1077,"%","%25"),"~","%7E"),"*","%2A"),"?","%3F"),'Rules'!$G$7:$G$26,0))="km"),INDEX('Rules'!$B$7:$B$26,MATCH(SUBSTITUTE(SUBSTITUTE(SUBSTITUTE(SUBSTITUTE("type:"&amp;B1077,"%","%25"),"~","%7E"),"*","%2A"),"?","%3F"),'Rules'!$G$7:$G$26,0)),""))</x:f>
      </x:c>
      <x:c r="I1077" s="6" t="str">
        <x:f>IF(AND(NOT(COUNTA(A1077:F1077)=0),K1077=""),ROUND(J1077-D1077,3),"")</x:f>
      </x:c>
      <x:c r="J1077" s="6" t="str">
        <x:f>IF(AND(NOT(COUNTA(A1077:F1077)=0),K1077=""),ROUND(F1077+L1077,3),"")</x:f>
      </x:c>
      <x:c r="K1077" s="5" t="str">
        <x:f>IF(COUNTA(A1077:F1077)=0,"",IF(A1077="","Missing equipment ID",IF(COUNTIFS($N$8:$N$2007,"="&amp;N1077)&gt;1,"Duplicate equipment ID",IF(B1077="","Missing type",IF(COUNTIFS('Rules'!$G$7:$G$26,"="&amp;(SUBSTITUTE(SUBSTITUTE(SUBSTITUTE(SUBSTITUTE("type:"&amp;B1077,"%","%25"),"~","%7E"),"*","%2A"),"?","%3F")))=0,"Unknown type",IF(COUNTIFS('Rules'!$G$7:$G$26,"="&amp;(SUBSTITUTE(SUBSTITUTE(SUBSTITUTE(SUBSTITUTE("type:"&amp;B1077,"%","%25"),"~","%7E"),"*","%2A"),"?","%3F")))&gt;1,"Duplicate type",IF(INDEX('Rules'!$F$7:$F$26,MATCH(SUBSTITUTE(SUBSTITUTE(SUBSTITUTE(SUBSTITUTE("type:"&amp;B1077,"%","%25"),"~","%7E"),"*","%2A"),"?","%3F"),'Rules'!$G$7:$G$26,0))&lt;&gt;"",INDEX('Rules'!$F$7:$F$26,MATCH(SUBSTITUTE(SUBSTITUTE(SUBSTITUTE(SUBSTITUTE("type:"&amp;B1077,"%","%25"),"~","%7E"),"*","%2A"),"?","%3F"),'Rules'!$G$7:$G$26,0)),IF(AND(C1077&lt;&gt;"",C1077&lt;&gt;INDEX('Rules'!$B$7:$B$26,MATCH(SUBSTITUTE(SUBSTITUTE(SUBSTITUTE(SUBSTITUTE("type:"&amp;B1077,"%","%25"),"~","%7E"),"*","%2A"),"?","%3F"),'Rules'!$G$7:$G$26,0))),"Unit mismatch",IF(IF(NOT(ISNUMBER(D1077)),TRUE,OR(D1077&lt;0,D1077&gt;999999999,ROUND(D1077,3)&lt;&gt;D1077)),"Invalid current reading",IF(AND(E1077&lt;&gt;"",IF(NOT(ISNUMBER(E1077)),TRUE,OR(E1077&lt;0,E1077&gt;999999999,ROUND(E1077,3)&lt;&gt;E1077))),"Invalid previous reading",IF(IF(NOT(ISNUMBER(F1077)),TRUE,OR(F1077&lt;0,F1077&gt;999999999,ROUND(F1077,3)&lt;&gt;F1077)),"Invalid last service",IF(AND(E1077&lt;&gt;"",D1077&lt;E1077),"Decreased reading",IF(F1077&gt;D1077,"Last service above current","")))))))))))))</x:f>
      </x:c>
      <x:c r="L1077" s="6" t="str">
        <x:f>IF(AND(NOT(COUNTA(A1077:F1077)=0),K1077=""),INDEX('Rules'!$C$7:$C$26,MATCH(SUBSTITUTE(SUBSTITUTE(SUBSTITUTE(SUBSTITUTE("type:"&amp;B1077,"%","%25"),"~","%7E"),"*","%2A"),"?","%3F"),'Rules'!$G$7:$G$26,0)),"")</x:f>
      </x:c>
      <x:c r="M1077" s="6" t="str">
        <x:f>IF(AND(NOT(COUNTA(A1077:F1077)=0),K1077=""),INDEX('Rules'!$D$7:$D$26,MATCH(SUBSTITUTE(SUBSTITUTE(SUBSTITUTE(SUBSTITUTE("type:"&amp;B1077,"%","%25"),"~","%7E"),"*","%2A"),"?","%3F"),'Rules'!$G$7:$G$26,0)),"")</x:f>
      </x:c>
      <x:c r="N1077" s="5" t="str">
        <x:f>IF(COUNTA(A1077:F1077)=0,"",SUBSTITUTE(SUBSTITUTE(SUBSTITUTE(SUBSTITUTE("id:"&amp;A1077,"%","%25"),"~","%7E"),"*","%2A"),"?","%3F"))</x:f>
      </x:c>
    </x:row>
    <x:row r="1078" ht="22" customHeight="1">
      <x:c r="A1078" s="3"/>
      <x:c r="B1078" s="3"/>
      <x:c r="C1078" s="3"/>
      <x:c r="D1078" s="4"/>
      <x:c r="E1078" s="4"/>
      <x:c r="F1078" s="4"/>
      <x:c r="G1078" s="5" t="str">
        <x:f>IF(COUNTA(A1078:F1078)=0,"",IF(K1078&lt;&gt;"","Review",IF(I1078&lt;0,"Overdue",IF(I1078=0,"Due now",IF(I1078&lt;=M1078,"Due soon","Not due")))))</x:f>
      </x:c>
      <x:c r="H1078" s="5" t="str">
        <x:f>IF(OR(COUNTA(A1078:F1078)=0,COUNTIFS('Rules'!$G$7:$G$26,"="&amp;(SUBSTITUTE(SUBSTITUTE(SUBSTITUTE(SUBSTITUTE("type:"&amp;B1078,"%","%25"),"~","%7E"),"*","%2A"),"?","%3F")))&lt;&gt;1),"",IF(OR(INDEX('Rules'!$B$7:$B$26,MATCH(SUBSTITUTE(SUBSTITUTE(SUBSTITUTE(SUBSTITUTE("type:"&amp;B1078,"%","%25"),"~","%7E"),"*","%2A"),"?","%3F"),'Rules'!$G$7:$G$26,0))="hours",INDEX('Rules'!$B$7:$B$26,MATCH(SUBSTITUTE(SUBSTITUTE(SUBSTITUTE(SUBSTITUTE("type:"&amp;B1078,"%","%25"),"~","%7E"),"*","%2A"),"?","%3F"),'Rules'!$G$7:$G$26,0))="km"),INDEX('Rules'!$B$7:$B$26,MATCH(SUBSTITUTE(SUBSTITUTE(SUBSTITUTE(SUBSTITUTE("type:"&amp;B1078,"%","%25"),"~","%7E"),"*","%2A"),"?","%3F"),'Rules'!$G$7:$G$26,0)),""))</x:f>
      </x:c>
      <x:c r="I1078" s="6" t="str">
        <x:f>IF(AND(NOT(COUNTA(A1078:F1078)=0),K1078=""),ROUND(J1078-D1078,3),"")</x:f>
      </x:c>
      <x:c r="J1078" s="6" t="str">
        <x:f>IF(AND(NOT(COUNTA(A1078:F1078)=0),K1078=""),ROUND(F1078+L1078,3),"")</x:f>
      </x:c>
      <x:c r="K1078" s="5" t="str">
        <x:f>IF(COUNTA(A1078:F1078)=0,"",IF(A1078="","Missing equipment ID",IF(COUNTIFS($N$8:$N$2007,"="&amp;N1078)&gt;1,"Duplicate equipment ID",IF(B1078="","Missing type",IF(COUNTIFS('Rules'!$G$7:$G$26,"="&amp;(SUBSTITUTE(SUBSTITUTE(SUBSTITUTE(SUBSTITUTE("type:"&amp;B1078,"%","%25"),"~","%7E"),"*","%2A"),"?","%3F")))=0,"Unknown type",IF(COUNTIFS('Rules'!$G$7:$G$26,"="&amp;(SUBSTITUTE(SUBSTITUTE(SUBSTITUTE(SUBSTITUTE("type:"&amp;B1078,"%","%25"),"~","%7E"),"*","%2A"),"?","%3F")))&gt;1,"Duplicate type",IF(INDEX('Rules'!$F$7:$F$26,MATCH(SUBSTITUTE(SUBSTITUTE(SUBSTITUTE(SUBSTITUTE("type:"&amp;B1078,"%","%25"),"~","%7E"),"*","%2A"),"?","%3F"),'Rules'!$G$7:$G$26,0))&lt;&gt;"",INDEX('Rules'!$F$7:$F$26,MATCH(SUBSTITUTE(SUBSTITUTE(SUBSTITUTE(SUBSTITUTE("type:"&amp;B1078,"%","%25"),"~","%7E"),"*","%2A"),"?","%3F"),'Rules'!$G$7:$G$26,0)),IF(AND(C1078&lt;&gt;"",C1078&lt;&gt;INDEX('Rules'!$B$7:$B$26,MATCH(SUBSTITUTE(SUBSTITUTE(SUBSTITUTE(SUBSTITUTE("type:"&amp;B1078,"%","%25"),"~","%7E"),"*","%2A"),"?","%3F"),'Rules'!$G$7:$G$26,0))),"Unit mismatch",IF(IF(NOT(ISNUMBER(D1078)),TRUE,OR(D1078&lt;0,D1078&gt;999999999,ROUND(D1078,3)&lt;&gt;D1078)),"Invalid current reading",IF(AND(E1078&lt;&gt;"",IF(NOT(ISNUMBER(E1078)),TRUE,OR(E1078&lt;0,E1078&gt;999999999,ROUND(E1078,3)&lt;&gt;E1078))),"Invalid previous reading",IF(IF(NOT(ISNUMBER(F1078)),TRUE,OR(F1078&lt;0,F1078&gt;999999999,ROUND(F1078,3)&lt;&gt;F1078)),"Invalid last service",IF(AND(E1078&lt;&gt;"",D1078&lt;E1078),"Decreased reading",IF(F1078&gt;D1078,"Last service above current","")))))))))))))</x:f>
      </x:c>
      <x:c r="L1078" s="6" t="str">
        <x:f>IF(AND(NOT(COUNTA(A1078:F1078)=0),K1078=""),INDEX('Rules'!$C$7:$C$26,MATCH(SUBSTITUTE(SUBSTITUTE(SUBSTITUTE(SUBSTITUTE("type:"&amp;B1078,"%","%25"),"~","%7E"),"*","%2A"),"?","%3F"),'Rules'!$G$7:$G$26,0)),"")</x:f>
      </x:c>
      <x:c r="M1078" s="6" t="str">
        <x:f>IF(AND(NOT(COUNTA(A1078:F1078)=0),K1078=""),INDEX('Rules'!$D$7:$D$26,MATCH(SUBSTITUTE(SUBSTITUTE(SUBSTITUTE(SUBSTITUTE("type:"&amp;B1078,"%","%25"),"~","%7E"),"*","%2A"),"?","%3F"),'Rules'!$G$7:$G$26,0)),"")</x:f>
      </x:c>
      <x:c r="N1078" s="5" t="str">
        <x:f>IF(COUNTA(A1078:F1078)=0,"",SUBSTITUTE(SUBSTITUTE(SUBSTITUTE(SUBSTITUTE("id:"&amp;A1078,"%","%25"),"~","%7E"),"*","%2A"),"?","%3F"))</x:f>
      </x:c>
    </x:row>
    <x:row r="1079" ht="22" customHeight="1">
      <x:c r="A1079" s="3"/>
      <x:c r="B1079" s="3"/>
      <x:c r="C1079" s="3"/>
      <x:c r="D1079" s="4"/>
      <x:c r="E1079" s="4"/>
      <x:c r="F1079" s="4"/>
      <x:c r="G1079" s="5" t="str">
        <x:f>IF(COUNTA(A1079:F1079)=0,"",IF(K1079&lt;&gt;"","Review",IF(I1079&lt;0,"Overdue",IF(I1079=0,"Due now",IF(I1079&lt;=M1079,"Due soon","Not due")))))</x:f>
      </x:c>
      <x:c r="H1079" s="5" t="str">
        <x:f>IF(OR(COUNTA(A1079:F1079)=0,COUNTIFS('Rules'!$G$7:$G$26,"="&amp;(SUBSTITUTE(SUBSTITUTE(SUBSTITUTE(SUBSTITUTE("type:"&amp;B1079,"%","%25"),"~","%7E"),"*","%2A"),"?","%3F")))&lt;&gt;1),"",IF(OR(INDEX('Rules'!$B$7:$B$26,MATCH(SUBSTITUTE(SUBSTITUTE(SUBSTITUTE(SUBSTITUTE("type:"&amp;B1079,"%","%25"),"~","%7E"),"*","%2A"),"?","%3F"),'Rules'!$G$7:$G$26,0))="hours",INDEX('Rules'!$B$7:$B$26,MATCH(SUBSTITUTE(SUBSTITUTE(SUBSTITUTE(SUBSTITUTE("type:"&amp;B1079,"%","%25"),"~","%7E"),"*","%2A"),"?","%3F"),'Rules'!$G$7:$G$26,0))="km"),INDEX('Rules'!$B$7:$B$26,MATCH(SUBSTITUTE(SUBSTITUTE(SUBSTITUTE(SUBSTITUTE("type:"&amp;B1079,"%","%25"),"~","%7E"),"*","%2A"),"?","%3F"),'Rules'!$G$7:$G$26,0)),""))</x:f>
      </x:c>
      <x:c r="I1079" s="6" t="str">
        <x:f>IF(AND(NOT(COUNTA(A1079:F1079)=0),K1079=""),ROUND(J1079-D1079,3),"")</x:f>
      </x:c>
      <x:c r="J1079" s="6" t="str">
        <x:f>IF(AND(NOT(COUNTA(A1079:F1079)=0),K1079=""),ROUND(F1079+L1079,3),"")</x:f>
      </x:c>
      <x:c r="K1079" s="5" t="str">
        <x:f>IF(COUNTA(A1079:F1079)=0,"",IF(A1079="","Missing equipment ID",IF(COUNTIFS($N$8:$N$2007,"="&amp;N1079)&gt;1,"Duplicate equipment ID",IF(B1079="","Missing type",IF(COUNTIFS('Rules'!$G$7:$G$26,"="&amp;(SUBSTITUTE(SUBSTITUTE(SUBSTITUTE(SUBSTITUTE("type:"&amp;B1079,"%","%25"),"~","%7E"),"*","%2A"),"?","%3F")))=0,"Unknown type",IF(COUNTIFS('Rules'!$G$7:$G$26,"="&amp;(SUBSTITUTE(SUBSTITUTE(SUBSTITUTE(SUBSTITUTE("type:"&amp;B1079,"%","%25"),"~","%7E"),"*","%2A"),"?","%3F")))&gt;1,"Duplicate type",IF(INDEX('Rules'!$F$7:$F$26,MATCH(SUBSTITUTE(SUBSTITUTE(SUBSTITUTE(SUBSTITUTE("type:"&amp;B1079,"%","%25"),"~","%7E"),"*","%2A"),"?","%3F"),'Rules'!$G$7:$G$26,0))&lt;&gt;"",INDEX('Rules'!$F$7:$F$26,MATCH(SUBSTITUTE(SUBSTITUTE(SUBSTITUTE(SUBSTITUTE("type:"&amp;B1079,"%","%25"),"~","%7E"),"*","%2A"),"?","%3F"),'Rules'!$G$7:$G$26,0)),IF(AND(C1079&lt;&gt;"",C1079&lt;&gt;INDEX('Rules'!$B$7:$B$26,MATCH(SUBSTITUTE(SUBSTITUTE(SUBSTITUTE(SUBSTITUTE("type:"&amp;B1079,"%","%25"),"~","%7E"),"*","%2A"),"?","%3F"),'Rules'!$G$7:$G$26,0))),"Unit mismatch",IF(IF(NOT(ISNUMBER(D1079)),TRUE,OR(D1079&lt;0,D1079&gt;999999999,ROUND(D1079,3)&lt;&gt;D1079)),"Invalid current reading",IF(AND(E1079&lt;&gt;"",IF(NOT(ISNUMBER(E1079)),TRUE,OR(E1079&lt;0,E1079&gt;999999999,ROUND(E1079,3)&lt;&gt;E1079))),"Invalid previous reading",IF(IF(NOT(ISNUMBER(F1079)),TRUE,OR(F1079&lt;0,F1079&gt;999999999,ROUND(F1079,3)&lt;&gt;F1079)),"Invalid last service",IF(AND(E1079&lt;&gt;"",D1079&lt;E1079),"Decreased reading",IF(F1079&gt;D1079,"Last service above current","")))))))))))))</x:f>
      </x:c>
      <x:c r="L1079" s="6" t="str">
        <x:f>IF(AND(NOT(COUNTA(A1079:F1079)=0),K1079=""),INDEX('Rules'!$C$7:$C$26,MATCH(SUBSTITUTE(SUBSTITUTE(SUBSTITUTE(SUBSTITUTE("type:"&amp;B1079,"%","%25"),"~","%7E"),"*","%2A"),"?","%3F"),'Rules'!$G$7:$G$26,0)),"")</x:f>
      </x:c>
      <x:c r="M1079" s="6" t="str">
        <x:f>IF(AND(NOT(COUNTA(A1079:F1079)=0),K1079=""),INDEX('Rules'!$D$7:$D$26,MATCH(SUBSTITUTE(SUBSTITUTE(SUBSTITUTE(SUBSTITUTE("type:"&amp;B1079,"%","%25"),"~","%7E"),"*","%2A"),"?","%3F"),'Rules'!$G$7:$G$26,0)),"")</x:f>
      </x:c>
      <x:c r="N1079" s="5" t="str">
        <x:f>IF(COUNTA(A1079:F1079)=0,"",SUBSTITUTE(SUBSTITUTE(SUBSTITUTE(SUBSTITUTE("id:"&amp;A1079,"%","%25"),"~","%7E"),"*","%2A"),"?","%3F"))</x:f>
      </x:c>
    </x:row>
    <x:row r="1080" ht="22" customHeight="1">
      <x:c r="A1080" s="3"/>
      <x:c r="B1080" s="3"/>
      <x:c r="C1080" s="3"/>
      <x:c r="D1080" s="4"/>
      <x:c r="E1080" s="4"/>
      <x:c r="F1080" s="4"/>
      <x:c r="G1080" s="5" t="str">
        <x:f>IF(COUNTA(A1080:F1080)=0,"",IF(K1080&lt;&gt;"","Review",IF(I1080&lt;0,"Overdue",IF(I1080=0,"Due now",IF(I1080&lt;=M1080,"Due soon","Not due")))))</x:f>
      </x:c>
      <x:c r="H1080" s="5" t="str">
        <x:f>IF(OR(COUNTA(A1080:F1080)=0,COUNTIFS('Rules'!$G$7:$G$26,"="&amp;(SUBSTITUTE(SUBSTITUTE(SUBSTITUTE(SUBSTITUTE("type:"&amp;B1080,"%","%25"),"~","%7E"),"*","%2A"),"?","%3F")))&lt;&gt;1),"",IF(OR(INDEX('Rules'!$B$7:$B$26,MATCH(SUBSTITUTE(SUBSTITUTE(SUBSTITUTE(SUBSTITUTE("type:"&amp;B1080,"%","%25"),"~","%7E"),"*","%2A"),"?","%3F"),'Rules'!$G$7:$G$26,0))="hours",INDEX('Rules'!$B$7:$B$26,MATCH(SUBSTITUTE(SUBSTITUTE(SUBSTITUTE(SUBSTITUTE("type:"&amp;B1080,"%","%25"),"~","%7E"),"*","%2A"),"?","%3F"),'Rules'!$G$7:$G$26,0))="km"),INDEX('Rules'!$B$7:$B$26,MATCH(SUBSTITUTE(SUBSTITUTE(SUBSTITUTE(SUBSTITUTE("type:"&amp;B1080,"%","%25"),"~","%7E"),"*","%2A"),"?","%3F"),'Rules'!$G$7:$G$26,0)),""))</x:f>
      </x:c>
      <x:c r="I1080" s="6" t="str">
        <x:f>IF(AND(NOT(COUNTA(A1080:F1080)=0),K1080=""),ROUND(J1080-D1080,3),"")</x:f>
      </x:c>
      <x:c r="J1080" s="6" t="str">
        <x:f>IF(AND(NOT(COUNTA(A1080:F1080)=0),K1080=""),ROUND(F1080+L1080,3),"")</x:f>
      </x:c>
      <x:c r="K1080" s="5" t="str">
        <x:f>IF(COUNTA(A1080:F1080)=0,"",IF(A1080="","Missing equipment ID",IF(COUNTIFS($N$8:$N$2007,"="&amp;N1080)&gt;1,"Duplicate equipment ID",IF(B1080="","Missing type",IF(COUNTIFS('Rules'!$G$7:$G$26,"="&amp;(SUBSTITUTE(SUBSTITUTE(SUBSTITUTE(SUBSTITUTE("type:"&amp;B1080,"%","%25"),"~","%7E"),"*","%2A"),"?","%3F")))=0,"Unknown type",IF(COUNTIFS('Rules'!$G$7:$G$26,"="&amp;(SUBSTITUTE(SUBSTITUTE(SUBSTITUTE(SUBSTITUTE("type:"&amp;B1080,"%","%25"),"~","%7E"),"*","%2A"),"?","%3F")))&gt;1,"Duplicate type",IF(INDEX('Rules'!$F$7:$F$26,MATCH(SUBSTITUTE(SUBSTITUTE(SUBSTITUTE(SUBSTITUTE("type:"&amp;B1080,"%","%25"),"~","%7E"),"*","%2A"),"?","%3F"),'Rules'!$G$7:$G$26,0))&lt;&gt;"",INDEX('Rules'!$F$7:$F$26,MATCH(SUBSTITUTE(SUBSTITUTE(SUBSTITUTE(SUBSTITUTE("type:"&amp;B1080,"%","%25"),"~","%7E"),"*","%2A"),"?","%3F"),'Rules'!$G$7:$G$26,0)),IF(AND(C1080&lt;&gt;"",C1080&lt;&gt;INDEX('Rules'!$B$7:$B$26,MATCH(SUBSTITUTE(SUBSTITUTE(SUBSTITUTE(SUBSTITUTE("type:"&amp;B1080,"%","%25"),"~","%7E"),"*","%2A"),"?","%3F"),'Rules'!$G$7:$G$26,0))),"Unit mismatch",IF(IF(NOT(ISNUMBER(D1080)),TRUE,OR(D1080&lt;0,D1080&gt;999999999,ROUND(D1080,3)&lt;&gt;D1080)),"Invalid current reading",IF(AND(E1080&lt;&gt;"",IF(NOT(ISNUMBER(E1080)),TRUE,OR(E1080&lt;0,E1080&gt;999999999,ROUND(E1080,3)&lt;&gt;E1080))),"Invalid previous reading",IF(IF(NOT(ISNUMBER(F1080)),TRUE,OR(F1080&lt;0,F1080&gt;999999999,ROUND(F1080,3)&lt;&gt;F1080)),"Invalid last service",IF(AND(E1080&lt;&gt;"",D1080&lt;E1080),"Decreased reading",IF(F1080&gt;D1080,"Last service above current","")))))))))))))</x:f>
      </x:c>
      <x:c r="L1080" s="6" t="str">
        <x:f>IF(AND(NOT(COUNTA(A1080:F1080)=0),K1080=""),INDEX('Rules'!$C$7:$C$26,MATCH(SUBSTITUTE(SUBSTITUTE(SUBSTITUTE(SUBSTITUTE("type:"&amp;B1080,"%","%25"),"~","%7E"),"*","%2A"),"?","%3F"),'Rules'!$G$7:$G$26,0)),"")</x:f>
      </x:c>
      <x:c r="M1080" s="6" t="str">
        <x:f>IF(AND(NOT(COUNTA(A1080:F1080)=0),K1080=""),INDEX('Rules'!$D$7:$D$26,MATCH(SUBSTITUTE(SUBSTITUTE(SUBSTITUTE(SUBSTITUTE("type:"&amp;B1080,"%","%25"),"~","%7E"),"*","%2A"),"?","%3F"),'Rules'!$G$7:$G$26,0)),"")</x:f>
      </x:c>
      <x:c r="N1080" s="5" t="str">
        <x:f>IF(COUNTA(A1080:F1080)=0,"",SUBSTITUTE(SUBSTITUTE(SUBSTITUTE(SUBSTITUTE("id:"&amp;A1080,"%","%25"),"~","%7E"),"*","%2A"),"?","%3F"))</x:f>
      </x:c>
    </x:row>
    <x:row r="1081" ht="22" customHeight="1">
      <x:c r="A1081" s="3"/>
      <x:c r="B1081" s="3"/>
      <x:c r="C1081" s="3"/>
      <x:c r="D1081" s="4"/>
      <x:c r="E1081" s="4"/>
      <x:c r="F1081" s="4"/>
      <x:c r="G1081" s="5" t="str">
        <x:f>IF(COUNTA(A1081:F1081)=0,"",IF(K1081&lt;&gt;"","Review",IF(I1081&lt;0,"Overdue",IF(I1081=0,"Due now",IF(I1081&lt;=M1081,"Due soon","Not due")))))</x:f>
      </x:c>
      <x:c r="H1081" s="5" t="str">
        <x:f>IF(OR(COUNTA(A1081:F1081)=0,COUNTIFS('Rules'!$G$7:$G$26,"="&amp;(SUBSTITUTE(SUBSTITUTE(SUBSTITUTE(SUBSTITUTE("type:"&amp;B1081,"%","%25"),"~","%7E"),"*","%2A"),"?","%3F")))&lt;&gt;1),"",IF(OR(INDEX('Rules'!$B$7:$B$26,MATCH(SUBSTITUTE(SUBSTITUTE(SUBSTITUTE(SUBSTITUTE("type:"&amp;B1081,"%","%25"),"~","%7E"),"*","%2A"),"?","%3F"),'Rules'!$G$7:$G$26,0))="hours",INDEX('Rules'!$B$7:$B$26,MATCH(SUBSTITUTE(SUBSTITUTE(SUBSTITUTE(SUBSTITUTE("type:"&amp;B1081,"%","%25"),"~","%7E"),"*","%2A"),"?","%3F"),'Rules'!$G$7:$G$26,0))="km"),INDEX('Rules'!$B$7:$B$26,MATCH(SUBSTITUTE(SUBSTITUTE(SUBSTITUTE(SUBSTITUTE("type:"&amp;B1081,"%","%25"),"~","%7E"),"*","%2A"),"?","%3F"),'Rules'!$G$7:$G$26,0)),""))</x:f>
      </x:c>
      <x:c r="I1081" s="6" t="str">
        <x:f>IF(AND(NOT(COUNTA(A1081:F1081)=0),K1081=""),ROUND(J1081-D1081,3),"")</x:f>
      </x:c>
      <x:c r="J1081" s="6" t="str">
        <x:f>IF(AND(NOT(COUNTA(A1081:F1081)=0),K1081=""),ROUND(F1081+L1081,3),"")</x:f>
      </x:c>
      <x:c r="K1081" s="5" t="str">
        <x:f>IF(COUNTA(A1081:F1081)=0,"",IF(A1081="","Missing equipment ID",IF(COUNTIFS($N$8:$N$2007,"="&amp;N1081)&gt;1,"Duplicate equipment ID",IF(B1081="","Missing type",IF(COUNTIFS('Rules'!$G$7:$G$26,"="&amp;(SUBSTITUTE(SUBSTITUTE(SUBSTITUTE(SUBSTITUTE("type:"&amp;B1081,"%","%25"),"~","%7E"),"*","%2A"),"?","%3F")))=0,"Unknown type",IF(COUNTIFS('Rules'!$G$7:$G$26,"="&amp;(SUBSTITUTE(SUBSTITUTE(SUBSTITUTE(SUBSTITUTE("type:"&amp;B1081,"%","%25"),"~","%7E"),"*","%2A"),"?","%3F")))&gt;1,"Duplicate type",IF(INDEX('Rules'!$F$7:$F$26,MATCH(SUBSTITUTE(SUBSTITUTE(SUBSTITUTE(SUBSTITUTE("type:"&amp;B1081,"%","%25"),"~","%7E"),"*","%2A"),"?","%3F"),'Rules'!$G$7:$G$26,0))&lt;&gt;"",INDEX('Rules'!$F$7:$F$26,MATCH(SUBSTITUTE(SUBSTITUTE(SUBSTITUTE(SUBSTITUTE("type:"&amp;B1081,"%","%25"),"~","%7E"),"*","%2A"),"?","%3F"),'Rules'!$G$7:$G$26,0)),IF(AND(C1081&lt;&gt;"",C1081&lt;&gt;INDEX('Rules'!$B$7:$B$26,MATCH(SUBSTITUTE(SUBSTITUTE(SUBSTITUTE(SUBSTITUTE("type:"&amp;B1081,"%","%25"),"~","%7E"),"*","%2A"),"?","%3F"),'Rules'!$G$7:$G$26,0))),"Unit mismatch",IF(IF(NOT(ISNUMBER(D1081)),TRUE,OR(D1081&lt;0,D1081&gt;999999999,ROUND(D1081,3)&lt;&gt;D1081)),"Invalid current reading",IF(AND(E1081&lt;&gt;"",IF(NOT(ISNUMBER(E1081)),TRUE,OR(E1081&lt;0,E1081&gt;999999999,ROUND(E1081,3)&lt;&gt;E1081))),"Invalid previous reading",IF(IF(NOT(ISNUMBER(F1081)),TRUE,OR(F1081&lt;0,F1081&gt;999999999,ROUND(F1081,3)&lt;&gt;F1081)),"Invalid last service",IF(AND(E1081&lt;&gt;"",D1081&lt;E1081),"Decreased reading",IF(F1081&gt;D1081,"Last service above current","")))))))))))))</x:f>
      </x:c>
      <x:c r="L1081" s="6" t="str">
        <x:f>IF(AND(NOT(COUNTA(A1081:F1081)=0),K1081=""),INDEX('Rules'!$C$7:$C$26,MATCH(SUBSTITUTE(SUBSTITUTE(SUBSTITUTE(SUBSTITUTE("type:"&amp;B1081,"%","%25"),"~","%7E"),"*","%2A"),"?","%3F"),'Rules'!$G$7:$G$26,0)),"")</x:f>
      </x:c>
      <x:c r="M1081" s="6" t="str">
        <x:f>IF(AND(NOT(COUNTA(A1081:F1081)=0),K1081=""),INDEX('Rules'!$D$7:$D$26,MATCH(SUBSTITUTE(SUBSTITUTE(SUBSTITUTE(SUBSTITUTE("type:"&amp;B1081,"%","%25"),"~","%7E"),"*","%2A"),"?","%3F"),'Rules'!$G$7:$G$26,0)),"")</x:f>
      </x:c>
      <x:c r="N1081" s="5" t="str">
        <x:f>IF(COUNTA(A1081:F1081)=0,"",SUBSTITUTE(SUBSTITUTE(SUBSTITUTE(SUBSTITUTE("id:"&amp;A1081,"%","%25"),"~","%7E"),"*","%2A"),"?","%3F"))</x:f>
      </x:c>
    </x:row>
    <x:row r="1082" ht="22" customHeight="1">
      <x:c r="A1082" s="3"/>
      <x:c r="B1082" s="3"/>
      <x:c r="C1082" s="3"/>
      <x:c r="D1082" s="4"/>
      <x:c r="E1082" s="4"/>
      <x:c r="F1082" s="4"/>
      <x:c r="G1082" s="5" t="str">
        <x:f>IF(COUNTA(A1082:F1082)=0,"",IF(K1082&lt;&gt;"","Review",IF(I1082&lt;0,"Overdue",IF(I1082=0,"Due now",IF(I1082&lt;=M1082,"Due soon","Not due")))))</x:f>
      </x:c>
      <x:c r="H1082" s="5" t="str">
        <x:f>IF(OR(COUNTA(A1082:F1082)=0,COUNTIFS('Rules'!$G$7:$G$26,"="&amp;(SUBSTITUTE(SUBSTITUTE(SUBSTITUTE(SUBSTITUTE("type:"&amp;B1082,"%","%25"),"~","%7E"),"*","%2A"),"?","%3F")))&lt;&gt;1),"",IF(OR(INDEX('Rules'!$B$7:$B$26,MATCH(SUBSTITUTE(SUBSTITUTE(SUBSTITUTE(SUBSTITUTE("type:"&amp;B1082,"%","%25"),"~","%7E"),"*","%2A"),"?","%3F"),'Rules'!$G$7:$G$26,0))="hours",INDEX('Rules'!$B$7:$B$26,MATCH(SUBSTITUTE(SUBSTITUTE(SUBSTITUTE(SUBSTITUTE("type:"&amp;B1082,"%","%25"),"~","%7E"),"*","%2A"),"?","%3F"),'Rules'!$G$7:$G$26,0))="km"),INDEX('Rules'!$B$7:$B$26,MATCH(SUBSTITUTE(SUBSTITUTE(SUBSTITUTE(SUBSTITUTE("type:"&amp;B1082,"%","%25"),"~","%7E"),"*","%2A"),"?","%3F"),'Rules'!$G$7:$G$26,0)),""))</x:f>
      </x:c>
      <x:c r="I1082" s="6" t="str">
        <x:f>IF(AND(NOT(COUNTA(A1082:F1082)=0),K1082=""),ROUND(J1082-D1082,3),"")</x:f>
      </x:c>
      <x:c r="J1082" s="6" t="str">
        <x:f>IF(AND(NOT(COUNTA(A1082:F1082)=0),K1082=""),ROUND(F1082+L1082,3),"")</x:f>
      </x:c>
      <x:c r="K1082" s="5" t="str">
        <x:f>IF(COUNTA(A1082:F1082)=0,"",IF(A1082="","Missing equipment ID",IF(COUNTIFS($N$8:$N$2007,"="&amp;N1082)&gt;1,"Duplicate equipment ID",IF(B1082="","Missing type",IF(COUNTIFS('Rules'!$G$7:$G$26,"="&amp;(SUBSTITUTE(SUBSTITUTE(SUBSTITUTE(SUBSTITUTE("type:"&amp;B1082,"%","%25"),"~","%7E"),"*","%2A"),"?","%3F")))=0,"Unknown type",IF(COUNTIFS('Rules'!$G$7:$G$26,"="&amp;(SUBSTITUTE(SUBSTITUTE(SUBSTITUTE(SUBSTITUTE("type:"&amp;B1082,"%","%25"),"~","%7E"),"*","%2A"),"?","%3F")))&gt;1,"Duplicate type",IF(INDEX('Rules'!$F$7:$F$26,MATCH(SUBSTITUTE(SUBSTITUTE(SUBSTITUTE(SUBSTITUTE("type:"&amp;B1082,"%","%25"),"~","%7E"),"*","%2A"),"?","%3F"),'Rules'!$G$7:$G$26,0))&lt;&gt;"",INDEX('Rules'!$F$7:$F$26,MATCH(SUBSTITUTE(SUBSTITUTE(SUBSTITUTE(SUBSTITUTE("type:"&amp;B1082,"%","%25"),"~","%7E"),"*","%2A"),"?","%3F"),'Rules'!$G$7:$G$26,0)),IF(AND(C1082&lt;&gt;"",C1082&lt;&gt;INDEX('Rules'!$B$7:$B$26,MATCH(SUBSTITUTE(SUBSTITUTE(SUBSTITUTE(SUBSTITUTE("type:"&amp;B1082,"%","%25"),"~","%7E"),"*","%2A"),"?","%3F"),'Rules'!$G$7:$G$26,0))),"Unit mismatch",IF(IF(NOT(ISNUMBER(D1082)),TRUE,OR(D1082&lt;0,D1082&gt;999999999,ROUND(D1082,3)&lt;&gt;D1082)),"Invalid current reading",IF(AND(E1082&lt;&gt;"",IF(NOT(ISNUMBER(E1082)),TRUE,OR(E1082&lt;0,E1082&gt;999999999,ROUND(E1082,3)&lt;&gt;E1082))),"Invalid previous reading",IF(IF(NOT(ISNUMBER(F1082)),TRUE,OR(F1082&lt;0,F1082&gt;999999999,ROUND(F1082,3)&lt;&gt;F1082)),"Invalid last service",IF(AND(E1082&lt;&gt;"",D1082&lt;E1082),"Decreased reading",IF(F1082&gt;D1082,"Last service above current","")))))))))))))</x:f>
      </x:c>
      <x:c r="L1082" s="6" t="str">
        <x:f>IF(AND(NOT(COUNTA(A1082:F1082)=0),K1082=""),INDEX('Rules'!$C$7:$C$26,MATCH(SUBSTITUTE(SUBSTITUTE(SUBSTITUTE(SUBSTITUTE("type:"&amp;B1082,"%","%25"),"~","%7E"),"*","%2A"),"?","%3F"),'Rules'!$G$7:$G$26,0)),"")</x:f>
      </x:c>
      <x:c r="M1082" s="6" t="str">
        <x:f>IF(AND(NOT(COUNTA(A1082:F1082)=0),K1082=""),INDEX('Rules'!$D$7:$D$26,MATCH(SUBSTITUTE(SUBSTITUTE(SUBSTITUTE(SUBSTITUTE("type:"&amp;B1082,"%","%25"),"~","%7E"),"*","%2A"),"?","%3F"),'Rules'!$G$7:$G$26,0)),"")</x:f>
      </x:c>
      <x:c r="N1082" s="5" t="str">
        <x:f>IF(COUNTA(A1082:F1082)=0,"",SUBSTITUTE(SUBSTITUTE(SUBSTITUTE(SUBSTITUTE("id:"&amp;A1082,"%","%25"),"~","%7E"),"*","%2A"),"?","%3F"))</x:f>
      </x:c>
    </x:row>
    <x:row r="1083" ht="22" customHeight="1">
      <x:c r="A1083" s="3"/>
      <x:c r="B1083" s="3"/>
      <x:c r="C1083" s="3"/>
      <x:c r="D1083" s="4"/>
      <x:c r="E1083" s="4"/>
      <x:c r="F1083" s="4"/>
      <x:c r="G1083" s="5" t="str">
        <x:f>IF(COUNTA(A1083:F1083)=0,"",IF(K1083&lt;&gt;"","Review",IF(I1083&lt;0,"Overdue",IF(I1083=0,"Due now",IF(I1083&lt;=M1083,"Due soon","Not due")))))</x:f>
      </x:c>
      <x:c r="H1083" s="5" t="str">
        <x:f>IF(OR(COUNTA(A1083:F1083)=0,COUNTIFS('Rules'!$G$7:$G$26,"="&amp;(SUBSTITUTE(SUBSTITUTE(SUBSTITUTE(SUBSTITUTE("type:"&amp;B1083,"%","%25"),"~","%7E"),"*","%2A"),"?","%3F")))&lt;&gt;1),"",IF(OR(INDEX('Rules'!$B$7:$B$26,MATCH(SUBSTITUTE(SUBSTITUTE(SUBSTITUTE(SUBSTITUTE("type:"&amp;B1083,"%","%25"),"~","%7E"),"*","%2A"),"?","%3F"),'Rules'!$G$7:$G$26,0))="hours",INDEX('Rules'!$B$7:$B$26,MATCH(SUBSTITUTE(SUBSTITUTE(SUBSTITUTE(SUBSTITUTE("type:"&amp;B1083,"%","%25"),"~","%7E"),"*","%2A"),"?","%3F"),'Rules'!$G$7:$G$26,0))="km"),INDEX('Rules'!$B$7:$B$26,MATCH(SUBSTITUTE(SUBSTITUTE(SUBSTITUTE(SUBSTITUTE("type:"&amp;B1083,"%","%25"),"~","%7E"),"*","%2A"),"?","%3F"),'Rules'!$G$7:$G$26,0)),""))</x:f>
      </x:c>
      <x:c r="I1083" s="6" t="str">
        <x:f>IF(AND(NOT(COUNTA(A1083:F1083)=0),K1083=""),ROUND(J1083-D1083,3),"")</x:f>
      </x:c>
      <x:c r="J1083" s="6" t="str">
        <x:f>IF(AND(NOT(COUNTA(A1083:F1083)=0),K1083=""),ROUND(F1083+L1083,3),"")</x:f>
      </x:c>
      <x:c r="K1083" s="5" t="str">
        <x:f>IF(COUNTA(A1083:F1083)=0,"",IF(A1083="","Missing equipment ID",IF(COUNTIFS($N$8:$N$2007,"="&amp;N1083)&gt;1,"Duplicate equipment ID",IF(B1083="","Missing type",IF(COUNTIFS('Rules'!$G$7:$G$26,"="&amp;(SUBSTITUTE(SUBSTITUTE(SUBSTITUTE(SUBSTITUTE("type:"&amp;B1083,"%","%25"),"~","%7E"),"*","%2A"),"?","%3F")))=0,"Unknown type",IF(COUNTIFS('Rules'!$G$7:$G$26,"="&amp;(SUBSTITUTE(SUBSTITUTE(SUBSTITUTE(SUBSTITUTE("type:"&amp;B1083,"%","%25"),"~","%7E"),"*","%2A"),"?","%3F")))&gt;1,"Duplicate type",IF(INDEX('Rules'!$F$7:$F$26,MATCH(SUBSTITUTE(SUBSTITUTE(SUBSTITUTE(SUBSTITUTE("type:"&amp;B1083,"%","%25"),"~","%7E"),"*","%2A"),"?","%3F"),'Rules'!$G$7:$G$26,0))&lt;&gt;"",INDEX('Rules'!$F$7:$F$26,MATCH(SUBSTITUTE(SUBSTITUTE(SUBSTITUTE(SUBSTITUTE("type:"&amp;B1083,"%","%25"),"~","%7E"),"*","%2A"),"?","%3F"),'Rules'!$G$7:$G$26,0)),IF(AND(C1083&lt;&gt;"",C1083&lt;&gt;INDEX('Rules'!$B$7:$B$26,MATCH(SUBSTITUTE(SUBSTITUTE(SUBSTITUTE(SUBSTITUTE("type:"&amp;B1083,"%","%25"),"~","%7E"),"*","%2A"),"?","%3F"),'Rules'!$G$7:$G$26,0))),"Unit mismatch",IF(IF(NOT(ISNUMBER(D1083)),TRUE,OR(D1083&lt;0,D1083&gt;999999999,ROUND(D1083,3)&lt;&gt;D1083)),"Invalid current reading",IF(AND(E1083&lt;&gt;"",IF(NOT(ISNUMBER(E1083)),TRUE,OR(E1083&lt;0,E1083&gt;999999999,ROUND(E1083,3)&lt;&gt;E1083))),"Invalid previous reading",IF(IF(NOT(ISNUMBER(F1083)),TRUE,OR(F1083&lt;0,F1083&gt;999999999,ROUND(F1083,3)&lt;&gt;F1083)),"Invalid last service",IF(AND(E1083&lt;&gt;"",D1083&lt;E1083),"Decreased reading",IF(F1083&gt;D1083,"Last service above current","")))))))))))))</x:f>
      </x:c>
      <x:c r="L1083" s="6" t="str">
        <x:f>IF(AND(NOT(COUNTA(A1083:F1083)=0),K1083=""),INDEX('Rules'!$C$7:$C$26,MATCH(SUBSTITUTE(SUBSTITUTE(SUBSTITUTE(SUBSTITUTE("type:"&amp;B1083,"%","%25"),"~","%7E"),"*","%2A"),"?","%3F"),'Rules'!$G$7:$G$26,0)),"")</x:f>
      </x:c>
      <x:c r="M1083" s="6" t="str">
        <x:f>IF(AND(NOT(COUNTA(A1083:F1083)=0),K1083=""),INDEX('Rules'!$D$7:$D$26,MATCH(SUBSTITUTE(SUBSTITUTE(SUBSTITUTE(SUBSTITUTE("type:"&amp;B1083,"%","%25"),"~","%7E"),"*","%2A"),"?","%3F"),'Rules'!$G$7:$G$26,0)),"")</x:f>
      </x:c>
      <x:c r="N1083" s="5" t="str">
        <x:f>IF(COUNTA(A1083:F1083)=0,"",SUBSTITUTE(SUBSTITUTE(SUBSTITUTE(SUBSTITUTE("id:"&amp;A1083,"%","%25"),"~","%7E"),"*","%2A"),"?","%3F"))</x:f>
      </x:c>
    </x:row>
    <x:row r="1084" ht="22" customHeight="1">
      <x:c r="A1084" s="3"/>
      <x:c r="B1084" s="3"/>
      <x:c r="C1084" s="3"/>
      <x:c r="D1084" s="4"/>
      <x:c r="E1084" s="4"/>
      <x:c r="F1084" s="4"/>
      <x:c r="G1084" s="5" t="str">
        <x:f>IF(COUNTA(A1084:F1084)=0,"",IF(K1084&lt;&gt;"","Review",IF(I1084&lt;0,"Overdue",IF(I1084=0,"Due now",IF(I1084&lt;=M1084,"Due soon","Not due")))))</x:f>
      </x:c>
      <x:c r="H1084" s="5" t="str">
        <x:f>IF(OR(COUNTA(A1084:F1084)=0,COUNTIFS('Rules'!$G$7:$G$26,"="&amp;(SUBSTITUTE(SUBSTITUTE(SUBSTITUTE(SUBSTITUTE("type:"&amp;B1084,"%","%25"),"~","%7E"),"*","%2A"),"?","%3F")))&lt;&gt;1),"",IF(OR(INDEX('Rules'!$B$7:$B$26,MATCH(SUBSTITUTE(SUBSTITUTE(SUBSTITUTE(SUBSTITUTE("type:"&amp;B1084,"%","%25"),"~","%7E"),"*","%2A"),"?","%3F"),'Rules'!$G$7:$G$26,0))="hours",INDEX('Rules'!$B$7:$B$26,MATCH(SUBSTITUTE(SUBSTITUTE(SUBSTITUTE(SUBSTITUTE("type:"&amp;B1084,"%","%25"),"~","%7E"),"*","%2A"),"?","%3F"),'Rules'!$G$7:$G$26,0))="km"),INDEX('Rules'!$B$7:$B$26,MATCH(SUBSTITUTE(SUBSTITUTE(SUBSTITUTE(SUBSTITUTE("type:"&amp;B1084,"%","%25"),"~","%7E"),"*","%2A"),"?","%3F"),'Rules'!$G$7:$G$26,0)),""))</x:f>
      </x:c>
      <x:c r="I1084" s="6" t="str">
        <x:f>IF(AND(NOT(COUNTA(A1084:F1084)=0),K1084=""),ROUND(J1084-D1084,3),"")</x:f>
      </x:c>
      <x:c r="J1084" s="6" t="str">
        <x:f>IF(AND(NOT(COUNTA(A1084:F1084)=0),K1084=""),ROUND(F1084+L1084,3),"")</x:f>
      </x:c>
      <x:c r="K1084" s="5" t="str">
        <x:f>IF(COUNTA(A1084:F1084)=0,"",IF(A1084="","Missing equipment ID",IF(COUNTIFS($N$8:$N$2007,"="&amp;N1084)&gt;1,"Duplicate equipment ID",IF(B1084="","Missing type",IF(COUNTIFS('Rules'!$G$7:$G$26,"="&amp;(SUBSTITUTE(SUBSTITUTE(SUBSTITUTE(SUBSTITUTE("type:"&amp;B1084,"%","%25"),"~","%7E"),"*","%2A"),"?","%3F")))=0,"Unknown type",IF(COUNTIFS('Rules'!$G$7:$G$26,"="&amp;(SUBSTITUTE(SUBSTITUTE(SUBSTITUTE(SUBSTITUTE("type:"&amp;B1084,"%","%25"),"~","%7E"),"*","%2A"),"?","%3F")))&gt;1,"Duplicate type",IF(INDEX('Rules'!$F$7:$F$26,MATCH(SUBSTITUTE(SUBSTITUTE(SUBSTITUTE(SUBSTITUTE("type:"&amp;B1084,"%","%25"),"~","%7E"),"*","%2A"),"?","%3F"),'Rules'!$G$7:$G$26,0))&lt;&gt;"",INDEX('Rules'!$F$7:$F$26,MATCH(SUBSTITUTE(SUBSTITUTE(SUBSTITUTE(SUBSTITUTE("type:"&amp;B1084,"%","%25"),"~","%7E"),"*","%2A"),"?","%3F"),'Rules'!$G$7:$G$26,0)),IF(AND(C1084&lt;&gt;"",C1084&lt;&gt;INDEX('Rules'!$B$7:$B$26,MATCH(SUBSTITUTE(SUBSTITUTE(SUBSTITUTE(SUBSTITUTE("type:"&amp;B1084,"%","%25"),"~","%7E"),"*","%2A"),"?","%3F"),'Rules'!$G$7:$G$26,0))),"Unit mismatch",IF(IF(NOT(ISNUMBER(D1084)),TRUE,OR(D1084&lt;0,D1084&gt;999999999,ROUND(D1084,3)&lt;&gt;D1084)),"Invalid current reading",IF(AND(E1084&lt;&gt;"",IF(NOT(ISNUMBER(E1084)),TRUE,OR(E1084&lt;0,E1084&gt;999999999,ROUND(E1084,3)&lt;&gt;E1084))),"Invalid previous reading",IF(IF(NOT(ISNUMBER(F1084)),TRUE,OR(F1084&lt;0,F1084&gt;999999999,ROUND(F1084,3)&lt;&gt;F1084)),"Invalid last service",IF(AND(E1084&lt;&gt;"",D1084&lt;E1084),"Decreased reading",IF(F1084&gt;D1084,"Last service above current","")))))))))))))</x:f>
      </x:c>
      <x:c r="L1084" s="6" t="str">
        <x:f>IF(AND(NOT(COUNTA(A1084:F1084)=0),K1084=""),INDEX('Rules'!$C$7:$C$26,MATCH(SUBSTITUTE(SUBSTITUTE(SUBSTITUTE(SUBSTITUTE("type:"&amp;B1084,"%","%25"),"~","%7E"),"*","%2A"),"?","%3F"),'Rules'!$G$7:$G$26,0)),"")</x:f>
      </x:c>
      <x:c r="M1084" s="6" t="str">
        <x:f>IF(AND(NOT(COUNTA(A1084:F1084)=0),K1084=""),INDEX('Rules'!$D$7:$D$26,MATCH(SUBSTITUTE(SUBSTITUTE(SUBSTITUTE(SUBSTITUTE("type:"&amp;B1084,"%","%25"),"~","%7E"),"*","%2A"),"?","%3F"),'Rules'!$G$7:$G$26,0)),"")</x:f>
      </x:c>
      <x:c r="N1084" s="5" t="str">
        <x:f>IF(COUNTA(A1084:F1084)=0,"",SUBSTITUTE(SUBSTITUTE(SUBSTITUTE(SUBSTITUTE("id:"&amp;A1084,"%","%25"),"~","%7E"),"*","%2A"),"?","%3F"))</x:f>
      </x:c>
    </x:row>
    <x:row r="1085" ht="22" customHeight="1">
      <x:c r="A1085" s="3"/>
      <x:c r="B1085" s="3"/>
      <x:c r="C1085" s="3"/>
      <x:c r="D1085" s="4"/>
      <x:c r="E1085" s="4"/>
      <x:c r="F1085" s="4"/>
      <x:c r="G1085" s="5" t="str">
        <x:f>IF(COUNTA(A1085:F1085)=0,"",IF(K1085&lt;&gt;"","Review",IF(I1085&lt;0,"Overdue",IF(I1085=0,"Due now",IF(I1085&lt;=M1085,"Due soon","Not due")))))</x:f>
      </x:c>
      <x:c r="H1085" s="5" t="str">
        <x:f>IF(OR(COUNTA(A1085:F1085)=0,COUNTIFS('Rules'!$G$7:$G$26,"="&amp;(SUBSTITUTE(SUBSTITUTE(SUBSTITUTE(SUBSTITUTE("type:"&amp;B1085,"%","%25"),"~","%7E"),"*","%2A"),"?","%3F")))&lt;&gt;1),"",IF(OR(INDEX('Rules'!$B$7:$B$26,MATCH(SUBSTITUTE(SUBSTITUTE(SUBSTITUTE(SUBSTITUTE("type:"&amp;B1085,"%","%25"),"~","%7E"),"*","%2A"),"?","%3F"),'Rules'!$G$7:$G$26,0))="hours",INDEX('Rules'!$B$7:$B$26,MATCH(SUBSTITUTE(SUBSTITUTE(SUBSTITUTE(SUBSTITUTE("type:"&amp;B1085,"%","%25"),"~","%7E"),"*","%2A"),"?","%3F"),'Rules'!$G$7:$G$26,0))="km"),INDEX('Rules'!$B$7:$B$26,MATCH(SUBSTITUTE(SUBSTITUTE(SUBSTITUTE(SUBSTITUTE("type:"&amp;B1085,"%","%25"),"~","%7E"),"*","%2A"),"?","%3F"),'Rules'!$G$7:$G$26,0)),""))</x:f>
      </x:c>
      <x:c r="I1085" s="6" t="str">
        <x:f>IF(AND(NOT(COUNTA(A1085:F1085)=0),K1085=""),ROUND(J1085-D1085,3),"")</x:f>
      </x:c>
      <x:c r="J1085" s="6" t="str">
        <x:f>IF(AND(NOT(COUNTA(A1085:F1085)=0),K1085=""),ROUND(F1085+L1085,3),"")</x:f>
      </x:c>
      <x:c r="K1085" s="5" t="str">
        <x:f>IF(COUNTA(A1085:F1085)=0,"",IF(A1085="","Missing equipment ID",IF(COUNTIFS($N$8:$N$2007,"="&amp;N1085)&gt;1,"Duplicate equipment ID",IF(B1085="","Missing type",IF(COUNTIFS('Rules'!$G$7:$G$26,"="&amp;(SUBSTITUTE(SUBSTITUTE(SUBSTITUTE(SUBSTITUTE("type:"&amp;B1085,"%","%25"),"~","%7E"),"*","%2A"),"?","%3F")))=0,"Unknown type",IF(COUNTIFS('Rules'!$G$7:$G$26,"="&amp;(SUBSTITUTE(SUBSTITUTE(SUBSTITUTE(SUBSTITUTE("type:"&amp;B1085,"%","%25"),"~","%7E"),"*","%2A"),"?","%3F")))&gt;1,"Duplicate type",IF(INDEX('Rules'!$F$7:$F$26,MATCH(SUBSTITUTE(SUBSTITUTE(SUBSTITUTE(SUBSTITUTE("type:"&amp;B1085,"%","%25"),"~","%7E"),"*","%2A"),"?","%3F"),'Rules'!$G$7:$G$26,0))&lt;&gt;"",INDEX('Rules'!$F$7:$F$26,MATCH(SUBSTITUTE(SUBSTITUTE(SUBSTITUTE(SUBSTITUTE("type:"&amp;B1085,"%","%25"),"~","%7E"),"*","%2A"),"?","%3F"),'Rules'!$G$7:$G$26,0)),IF(AND(C1085&lt;&gt;"",C1085&lt;&gt;INDEX('Rules'!$B$7:$B$26,MATCH(SUBSTITUTE(SUBSTITUTE(SUBSTITUTE(SUBSTITUTE("type:"&amp;B1085,"%","%25"),"~","%7E"),"*","%2A"),"?","%3F"),'Rules'!$G$7:$G$26,0))),"Unit mismatch",IF(IF(NOT(ISNUMBER(D1085)),TRUE,OR(D1085&lt;0,D1085&gt;999999999,ROUND(D1085,3)&lt;&gt;D1085)),"Invalid current reading",IF(AND(E1085&lt;&gt;"",IF(NOT(ISNUMBER(E1085)),TRUE,OR(E1085&lt;0,E1085&gt;999999999,ROUND(E1085,3)&lt;&gt;E1085))),"Invalid previous reading",IF(IF(NOT(ISNUMBER(F1085)),TRUE,OR(F1085&lt;0,F1085&gt;999999999,ROUND(F1085,3)&lt;&gt;F1085)),"Invalid last service",IF(AND(E1085&lt;&gt;"",D1085&lt;E1085),"Decreased reading",IF(F1085&gt;D1085,"Last service above current","")))))))))))))</x:f>
      </x:c>
      <x:c r="L1085" s="6" t="str">
        <x:f>IF(AND(NOT(COUNTA(A1085:F1085)=0),K1085=""),INDEX('Rules'!$C$7:$C$26,MATCH(SUBSTITUTE(SUBSTITUTE(SUBSTITUTE(SUBSTITUTE("type:"&amp;B1085,"%","%25"),"~","%7E"),"*","%2A"),"?","%3F"),'Rules'!$G$7:$G$26,0)),"")</x:f>
      </x:c>
      <x:c r="M1085" s="6" t="str">
        <x:f>IF(AND(NOT(COUNTA(A1085:F1085)=0),K1085=""),INDEX('Rules'!$D$7:$D$26,MATCH(SUBSTITUTE(SUBSTITUTE(SUBSTITUTE(SUBSTITUTE("type:"&amp;B1085,"%","%25"),"~","%7E"),"*","%2A"),"?","%3F"),'Rules'!$G$7:$G$26,0)),"")</x:f>
      </x:c>
      <x:c r="N1085" s="5" t="str">
        <x:f>IF(COUNTA(A1085:F1085)=0,"",SUBSTITUTE(SUBSTITUTE(SUBSTITUTE(SUBSTITUTE("id:"&amp;A1085,"%","%25"),"~","%7E"),"*","%2A"),"?","%3F"))</x:f>
      </x:c>
    </x:row>
    <x:row r="1086" ht="22" customHeight="1">
      <x:c r="A1086" s="3"/>
      <x:c r="B1086" s="3"/>
      <x:c r="C1086" s="3"/>
      <x:c r="D1086" s="4"/>
      <x:c r="E1086" s="4"/>
      <x:c r="F1086" s="4"/>
      <x:c r="G1086" s="5" t="str">
        <x:f>IF(COUNTA(A1086:F1086)=0,"",IF(K1086&lt;&gt;"","Review",IF(I1086&lt;0,"Overdue",IF(I1086=0,"Due now",IF(I1086&lt;=M1086,"Due soon","Not due")))))</x:f>
      </x:c>
      <x:c r="H1086" s="5" t="str">
        <x:f>IF(OR(COUNTA(A1086:F1086)=0,COUNTIFS('Rules'!$G$7:$G$26,"="&amp;(SUBSTITUTE(SUBSTITUTE(SUBSTITUTE(SUBSTITUTE("type:"&amp;B1086,"%","%25"),"~","%7E"),"*","%2A"),"?","%3F")))&lt;&gt;1),"",IF(OR(INDEX('Rules'!$B$7:$B$26,MATCH(SUBSTITUTE(SUBSTITUTE(SUBSTITUTE(SUBSTITUTE("type:"&amp;B1086,"%","%25"),"~","%7E"),"*","%2A"),"?","%3F"),'Rules'!$G$7:$G$26,0))="hours",INDEX('Rules'!$B$7:$B$26,MATCH(SUBSTITUTE(SUBSTITUTE(SUBSTITUTE(SUBSTITUTE("type:"&amp;B1086,"%","%25"),"~","%7E"),"*","%2A"),"?","%3F"),'Rules'!$G$7:$G$26,0))="km"),INDEX('Rules'!$B$7:$B$26,MATCH(SUBSTITUTE(SUBSTITUTE(SUBSTITUTE(SUBSTITUTE("type:"&amp;B1086,"%","%25"),"~","%7E"),"*","%2A"),"?","%3F"),'Rules'!$G$7:$G$26,0)),""))</x:f>
      </x:c>
      <x:c r="I1086" s="6" t="str">
        <x:f>IF(AND(NOT(COUNTA(A1086:F1086)=0),K1086=""),ROUND(J1086-D1086,3),"")</x:f>
      </x:c>
      <x:c r="J1086" s="6" t="str">
        <x:f>IF(AND(NOT(COUNTA(A1086:F1086)=0),K1086=""),ROUND(F1086+L1086,3),"")</x:f>
      </x:c>
      <x:c r="K1086" s="5" t="str">
        <x:f>IF(COUNTA(A1086:F1086)=0,"",IF(A1086="","Missing equipment ID",IF(COUNTIFS($N$8:$N$2007,"="&amp;N1086)&gt;1,"Duplicate equipment ID",IF(B1086="","Missing type",IF(COUNTIFS('Rules'!$G$7:$G$26,"="&amp;(SUBSTITUTE(SUBSTITUTE(SUBSTITUTE(SUBSTITUTE("type:"&amp;B1086,"%","%25"),"~","%7E"),"*","%2A"),"?","%3F")))=0,"Unknown type",IF(COUNTIFS('Rules'!$G$7:$G$26,"="&amp;(SUBSTITUTE(SUBSTITUTE(SUBSTITUTE(SUBSTITUTE("type:"&amp;B1086,"%","%25"),"~","%7E"),"*","%2A"),"?","%3F")))&gt;1,"Duplicate type",IF(INDEX('Rules'!$F$7:$F$26,MATCH(SUBSTITUTE(SUBSTITUTE(SUBSTITUTE(SUBSTITUTE("type:"&amp;B1086,"%","%25"),"~","%7E"),"*","%2A"),"?","%3F"),'Rules'!$G$7:$G$26,0))&lt;&gt;"",INDEX('Rules'!$F$7:$F$26,MATCH(SUBSTITUTE(SUBSTITUTE(SUBSTITUTE(SUBSTITUTE("type:"&amp;B1086,"%","%25"),"~","%7E"),"*","%2A"),"?","%3F"),'Rules'!$G$7:$G$26,0)),IF(AND(C1086&lt;&gt;"",C1086&lt;&gt;INDEX('Rules'!$B$7:$B$26,MATCH(SUBSTITUTE(SUBSTITUTE(SUBSTITUTE(SUBSTITUTE("type:"&amp;B1086,"%","%25"),"~","%7E"),"*","%2A"),"?","%3F"),'Rules'!$G$7:$G$26,0))),"Unit mismatch",IF(IF(NOT(ISNUMBER(D1086)),TRUE,OR(D1086&lt;0,D1086&gt;999999999,ROUND(D1086,3)&lt;&gt;D1086)),"Invalid current reading",IF(AND(E1086&lt;&gt;"",IF(NOT(ISNUMBER(E1086)),TRUE,OR(E1086&lt;0,E1086&gt;999999999,ROUND(E1086,3)&lt;&gt;E1086))),"Invalid previous reading",IF(IF(NOT(ISNUMBER(F1086)),TRUE,OR(F1086&lt;0,F1086&gt;999999999,ROUND(F1086,3)&lt;&gt;F1086)),"Invalid last service",IF(AND(E1086&lt;&gt;"",D1086&lt;E1086),"Decreased reading",IF(F1086&gt;D1086,"Last service above current","")))))))))))))</x:f>
      </x:c>
      <x:c r="L1086" s="6" t="str">
        <x:f>IF(AND(NOT(COUNTA(A1086:F1086)=0),K1086=""),INDEX('Rules'!$C$7:$C$26,MATCH(SUBSTITUTE(SUBSTITUTE(SUBSTITUTE(SUBSTITUTE("type:"&amp;B1086,"%","%25"),"~","%7E"),"*","%2A"),"?","%3F"),'Rules'!$G$7:$G$26,0)),"")</x:f>
      </x:c>
      <x:c r="M1086" s="6" t="str">
        <x:f>IF(AND(NOT(COUNTA(A1086:F1086)=0),K1086=""),INDEX('Rules'!$D$7:$D$26,MATCH(SUBSTITUTE(SUBSTITUTE(SUBSTITUTE(SUBSTITUTE("type:"&amp;B1086,"%","%25"),"~","%7E"),"*","%2A"),"?","%3F"),'Rules'!$G$7:$G$26,0)),"")</x:f>
      </x:c>
      <x:c r="N1086" s="5" t="str">
        <x:f>IF(COUNTA(A1086:F1086)=0,"",SUBSTITUTE(SUBSTITUTE(SUBSTITUTE(SUBSTITUTE("id:"&amp;A1086,"%","%25"),"~","%7E"),"*","%2A"),"?","%3F"))</x:f>
      </x:c>
    </x:row>
    <x:row r="1087" ht="22" customHeight="1">
      <x:c r="A1087" s="3"/>
      <x:c r="B1087" s="3"/>
      <x:c r="C1087" s="3"/>
      <x:c r="D1087" s="4"/>
      <x:c r="E1087" s="4"/>
      <x:c r="F1087" s="4"/>
      <x:c r="G1087" s="5" t="str">
        <x:f>IF(COUNTA(A1087:F1087)=0,"",IF(K1087&lt;&gt;"","Review",IF(I1087&lt;0,"Overdue",IF(I1087=0,"Due now",IF(I1087&lt;=M1087,"Due soon","Not due")))))</x:f>
      </x:c>
      <x:c r="H1087" s="5" t="str">
        <x:f>IF(OR(COUNTA(A1087:F1087)=0,COUNTIFS('Rules'!$G$7:$G$26,"="&amp;(SUBSTITUTE(SUBSTITUTE(SUBSTITUTE(SUBSTITUTE("type:"&amp;B1087,"%","%25"),"~","%7E"),"*","%2A"),"?","%3F")))&lt;&gt;1),"",IF(OR(INDEX('Rules'!$B$7:$B$26,MATCH(SUBSTITUTE(SUBSTITUTE(SUBSTITUTE(SUBSTITUTE("type:"&amp;B1087,"%","%25"),"~","%7E"),"*","%2A"),"?","%3F"),'Rules'!$G$7:$G$26,0))="hours",INDEX('Rules'!$B$7:$B$26,MATCH(SUBSTITUTE(SUBSTITUTE(SUBSTITUTE(SUBSTITUTE("type:"&amp;B1087,"%","%25"),"~","%7E"),"*","%2A"),"?","%3F"),'Rules'!$G$7:$G$26,0))="km"),INDEX('Rules'!$B$7:$B$26,MATCH(SUBSTITUTE(SUBSTITUTE(SUBSTITUTE(SUBSTITUTE("type:"&amp;B1087,"%","%25"),"~","%7E"),"*","%2A"),"?","%3F"),'Rules'!$G$7:$G$26,0)),""))</x:f>
      </x:c>
      <x:c r="I1087" s="6" t="str">
        <x:f>IF(AND(NOT(COUNTA(A1087:F1087)=0),K1087=""),ROUND(J1087-D1087,3),"")</x:f>
      </x:c>
      <x:c r="J1087" s="6" t="str">
        <x:f>IF(AND(NOT(COUNTA(A1087:F1087)=0),K1087=""),ROUND(F1087+L1087,3),"")</x:f>
      </x:c>
      <x:c r="K1087" s="5" t="str">
        <x:f>IF(COUNTA(A1087:F1087)=0,"",IF(A1087="","Missing equipment ID",IF(COUNTIFS($N$8:$N$2007,"="&amp;N1087)&gt;1,"Duplicate equipment ID",IF(B1087="","Missing type",IF(COUNTIFS('Rules'!$G$7:$G$26,"="&amp;(SUBSTITUTE(SUBSTITUTE(SUBSTITUTE(SUBSTITUTE("type:"&amp;B1087,"%","%25"),"~","%7E"),"*","%2A"),"?","%3F")))=0,"Unknown type",IF(COUNTIFS('Rules'!$G$7:$G$26,"="&amp;(SUBSTITUTE(SUBSTITUTE(SUBSTITUTE(SUBSTITUTE("type:"&amp;B1087,"%","%25"),"~","%7E"),"*","%2A"),"?","%3F")))&gt;1,"Duplicate type",IF(INDEX('Rules'!$F$7:$F$26,MATCH(SUBSTITUTE(SUBSTITUTE(SUBSTITUTE(SUBSTITUTE("type:"&amp;B1087,"%","%25"),"~","%7E"),"*","%2A"),"?","%3F"),'Rules'!$G$7:$G$26,0))&lt;&gt;"",INDEX('Rules'!$F$7:$F$26,MATCH(SUBSTITUTE(SUBSTITUTE(SUBSTITUTE(SUBSTITUTE("type:"&amp;B1087,"%","%25"),"~","%7E"),"*","%2A"),"?","%3F"),'Rules'!$G$7:$G$26,0)),IF(AND(C1087&lt;&gt;"",C1087&lt;&gt;INDEX('Rules'!$B$7:$B$26,MATCH(SUBSTITUTE(SUBSTITUTE(SUBSTITUTE(SUBSTITUTE("type:"&amp;B1087,"%","%25"),"~","%7E"),"*","%2A"),"?","%3F"),'Rules'!$G$7:$G$26,0))),"Unit mismatch",IF(IF(NOT(ISNUMBER(D1087)),TRUE,OR(D1087&lt;0,D1087&gt;999999999,ROUND(D1087,3)&lt;&gt;D1087)),"Invalid current reading",IF(AND(E1087&lt;&gt;"",IF(NOT(ISNUMBER(E1087)),TRUE,OR(E1087&lt;0,E1087&gt;999999999,ROUND(E1087,3)&lt;&gt;E1087))),"Invalid previous reading",IF(IF(NOT(ISNUMBER(F1087)),TRUE,OR(F1087&lt;0,F1087&gt;999999999,ROUND(F1087,3)&lt;&gt;F1087)),"Invalid last service",IF(AND(E1087&lt;&gt;"",D1087&lt;E1087),"Decreased reading",IF(F1087&gt;D1087,"Last service above current","")))))))))))))</x:f>
      </x:c>
      <x:c r="L1087" s="6" t="str">
        <x:f>IF(AND(NOT(COUNTA(A1087:F1087)=0),K1087=""),INDEX('Rules'!$C$7:$C$26,MATCH(SUBSTITUTE(SUBSTITUTE(SUBSTITUTE(SUBSTITUTE("type:"&amp;B1087,"%","%25"),"~","%7E"),"*","%2A"),"?","%3F"),'Rules'!$G$7:$G$26,0)),"")</x:f>
      </x:c>
      <x:c r="M1087" s="6" t="str">
        <x:f>IF(AND(NOT(COUNTA(A1087:F1087)=0),K1087=""),INDEX('Rules'!$D$7:$D$26,MATCH(SUBSTITUTE(SUBSTITUTE(SUBSTITUTE(SUBSTITUTE("type:"&amp;B1087,"%","%25"),"~","%7E"),"*","%2A"),"?","%3F"),'Rules'!$G$7:$G$26,0)),"")</x:f>
      </x:c>
      <x:c r="N1087" s="5" t="str">
        <x:f>IF(COUNTA(A1087:F1087)=0,"",SUBSTITUTE(SUBSTITUTE(SUBSTITUTE(SUBSTITUTE("id:"&amp;A1087,"%","%25"),"~","%7E"),"*","%2A"),"?","%3F"))</x:f>
      </x:c>
    </x:row>
    <x:row r="1088" ht="22" customHeight="1">
      <x:c r="A1088" s="3"/>
      <x:c r="B1088" s="3"/>
      <x:c r="C1088" s="3"/>
      <x:c r="D1088" s="4"/>
      <x:c r="E1088" s="4"/>
      <x:c r="F1088" s="4"/>
      <x:c r="G1088" s="5" t="str">
        <x:f>IF(COUNTA(A1088:F1088)=0,"",IF(K1088&lt;&gt;"","Review",IF(I1088&lt;0,"Overdue",IF(I1088=0,"Due now",IF(I1088&lt;=M1088,"Due soon","Not due")))))</x:f>
      </x:c>
      <x:c r="H1088" s="5" t="str">
        <x:f>IF(OR(COUNTA(A1088:F1088)=0,COUNTIFS('Rules'!$G$7:$G$26,"="&amp;(SUBSTITUTE(SUBSTITUTE(SUBSTITUTE(SUBSTITUTE("type:"&amp;B1088,"%","%25"),"~","%7E"),"*","%2A"),"?","%3F")))&lt;&gt;1),"",IF(OR(INDEX('Rules'!$B$7:$B$26,MATCH(SUBSTITUTE(SUBSTITUTE(SUBSTITUTE(SUBSTITUTE("type:"&amp;B1088,"%","%25"),"~","%7E"),"*","%2A"),"?","%3F"),'Rules'!$G$7:$G$26,0))="hours",INDEX('Rules'!$B$7:$B$26,MATCH(SUBSTITUTE(SUBSTITUTE(SUBSTITUTE(SUBSTITUTE("type:"&amp;B1088,"%","%25"),"~","%7E"),"*","%2A"),"?","%3F"),'Rules'!$G$7:$G$26,0))="km"),INDEX('Rules'!$B$7:$B$26,MATCH(SUBSTITUTE(SUBSTITUTE(SUBSTITUTE(SUBSTITUTE("type:"&amp;B1088,"%","%25"),"~","%7E"),"*","%2A"),"?","%3F"),'Rules'!$G$7:$G$26,0)),""))</x:f>
      </x:c>
      <x:c r="I1088" s="6" t="str">
        <x:f>IF(AND(NOT(COUNTA(A1088:F1088)=0),K1088=""),ROUND(J1088-D1088,3),"")</x:f>
      </x:c>
      <x:c r="J1088" s="6" t="str">
        <x:f>IF(AND(NOT(COUNTA(A1088:F1088)=0),K1088=""),ROUND(F1088+L1088,3),"")</x:f>
      </x:c>
      <x:c r="K1088" s="5" t="str">
        <x:f>IF(COUNTA(A1088:F1088)=0,"",IF(A1088="","Missing equipment ID",IF(COUNTIFS($N$8:$N$2007,"="&amp;N1088)&gt;1,"Duplicate equipment ID",IF(B1088="","Missing type",IF(COUNTIFS('Rules'!$G$7:$G$26,"="&amp;(SUBSTITUTE(SUBSTITUTE(SUBSTITUTE(SUBSTITUTE("type:"&amp;B1088,"%","%25"),"~","%7E"),"*","%2A"),"?","%3F")))=0,"Unknown type",IF(COUNTIFS('Rules'!$G$7:$G$26,"="&amp;(SUBSTITUTE(SUBSTITUTE(SUBSTITUTE(SUBSTITUTE("type:"&amp;B1088,"%","%25"),"~","%7E"),"*","%2A"),"?","%3F")))&gt;1,"Duplicate type",IF(INDEX('Rules'!$F$7:$F$26,MATCH(SUBSTITUTE(SUBSTITUTE(SUBSTITUTE(SUBSTITUTE("type:"&amp;B1088,"%","%25"),"~","%7E"),"*","%2A"),"?","%3F"),'Rules'!$G$7:$G$26,0))&lt;&gt;"",INDEX('Rules'!$F$7:$F$26,MATCH(SUBSTITUTE(SUBSTITUTE(SUBSTITUTE(SUBSTITUTE("type:"&amp;B1088,"%","%25"),"~","%7E"),"*","%2A"),"?","%3F"),'Rules'!$G$7:$G$26,0)),IF(AND(C1088&lt;&gt;"",C1088&lt;&gt;INDEX('Rules'!$B$7:$B$26,MATCH(SUBSTITUTE(SUBSTITUTE(SUBSTITUTE(SUBSTITUTE("type:"&amp;B1088,"%","%25"),"~","%7E"),"*","%2A"),"?","%3F"),'Rules'!$G$7:$G$26,0))),"Unit mismatch",IF(IF(NOT(ISNUMBER(D1088)),TRUE,OR(D1088&lt;0,D1088&gt;999999999,ROUND(D1088,3)&lt;&gt;D1088)),"Invalid current reading",IF(AND(E1088&lt;&gt;"",IF(NOT(ISNUMBER(E1088)),TRUE,OR(E1088&lt;0,E1088&gt;999999999,ROUND(E1088,3)&lt;&gt;E1088))),"Invalid previous reading",IF(IF(NOT(ISNUMBER(F1088)),TRUE,OR(F1088&lt;0,F1088&gt;999999999,ROUND(F1088,3)&lt;&gt;F1088)),"Invalid last service",IF(AND(E1088&lt;&gt;"",D1088&lt;E1088),"Decreased reading",IF(F1088&gt;D1088,"Last service above current","")))))))))))))</x:f>
      </x:c>
      <x:c r="L1088" s="6" t="str">
        <x:f>IF(AND(NOT(COUNTA(A1088:F1088)=0),K1088=""),INDEX('Rules'!$C$7:$C$26,MATCH(SUBSTITUTE(SUBSTITUTE(SUBSTITUTE(SUBSTITUTE("type:"&amp;B1088,"%","%25"),"~","%7E"),"*","%2A"),"?","%3F"),'Rules'!$G$7:$G$26,0)),"")</x:f>
      </x:c>
      <x:c r="M1088" s="6" t="str">
        <x:f>IF(AND(NOT(COUNTA(A1088:F1088)=0),K1088=""),INDEX('Rules'!$D$7:$D$26,MATCH(SUBSTITUTE(SUBSTITUTE(SUBSTITUTE(SUBSTITUTE("type:"&amp;B1088,"%","%25"),"~","%7E"),"*","%2A"),"?","%3F"),'Rules'!$G$7:$G$26,0)),"")</x:f>
      </x:c>
      <x:c r="N1088" s="5" t="str">
        <x:f>IF(COUNTA(A1088:F1088)=0,"",SUBSTITUTE(SUBSTITUTE(SUBSTITUTE(SUBSTITUTE("id:"&amp;A1088,"%","%25"),"~","%7E"),"*","%2A"),"?","%3F"))</x:f>
      </x:c>
    </x:row>
    <x:row r="1089" ht="22" customHeight="1">
      <x:c r="A1089" s="3"/>
      <x:c r="B1089" s="3"/>
      <x:c r="C1089" s="3"/>
      <x:c r="D1089" s="4"/>
      <x:c r="E1089" s="4"/>
      <x:c r="F1089" s="4"/>
      <x:c r="G1089" s="5" t="str">
        <x:f>IF(COUNTA(A1089:F1089)=0,"",IF(K1089&lt;&gt;"","Review",IF(I1089&lt;0,"Overdue",IF(I1089=0,"Due now",IF(I1089&lt;=M1089,"Due soon","Not due")))))</x:f>
      </x:c>
      <x:c r="H1089" s="5" t="str">
        <x:f>IF(OR(COUNTA(A1089:F1089)=0,COUNTIFS('Rules'!$G$7:$G$26,"="&amp;(SUBSTITUTE(SUBSTITUTE(SUBSTITUTE(SUBSTITUTE("type:"&amp;B1089,"%","%25"),"~","%7E"),"*","%2A"),"?","%3F")))&lt;&gt;1),"",IF(OR(INDEX('Rules'!$B$7:$B$26,MATCH(SUBSTITUTE(SUBSTITUTE(SUBSTITUTE(SUBSTITUTE("type:"&amp;B1089,"%","%25"),"~","%7E"),"*","%2A"),"?","%3F"),'Rules'!$G$7:$G$26,0))="hours",INDEX('Rules'!$B$7:$B$26,MATCH(SUBSTITUTE(SUBSTITUTE(SUBSTITUTE(SUBSTITUTE("type:"&amp;B1089,"%","%25"),"~","%7E"),"*","%2A"),"?","%3F"),'Rules'!$G$7:$G$26,0))="km"),INDEX('Rules'!$B$7:$B$26,MATCH(SUBSTITUTE(SUBSTITUTE(SUBSTITUTE(SUBSTITUTE("type:"&amp;B1089,"%","%25"),"~","%7E"),"*","%2A"),"?","%3F"),'Rules'!$G$7:$G$26,0)),""))</x:f>
      </x:c>
      <x:c r="I1089" s="6" t="str">
        <x:f>IF(AND(NOT(COUNTA(A1089:F1089)=0),K1089=""),ROUND(J1089-D1089,3),"")</x:f>
      </x:c>
      <x:c r="J1089" s="6" t="str">
        <x:f>IF(AND(NOT(COUNTA(A1089:F1089)=0),K1089=""),ROUND(F1089+L1089,3),"")</x:f>
      </x:c>
      <x:c r="K1089" s="5" t="str">
        <x:f>IF(COUNTA(A1089:F1089)=0,"",IF(A1089="","Missing equipment ID",IF(COUNTIFS($N$8:$N$2007,"="&amp;N1089)&gt;1,"Duplicate equipment ID",IF(B1089="","Missing type",IF(COUNTIFS('Rules'!$G$7:$G$26,"="&amp;(SUBSTITUTE(SUBSTITUTE(SUBSTITUTE(SUBSTITUTE("type:"&amp;B1089,"%","%25"),"~","%7E"),"*","%2A"),"?","%3F")))=0,"Unknown type",IF(COUNTIFS('Rules'!$G$7:$G$26,"="&amp;(SUBSTITUTE(SUBSTITUTE(SUBSTITUTE(SUBSTITUTE("type:"&amp;B1089,"%","%25"),"~","%7E"),"*","%2A"),"?","%3F")))&gt;1,"Duplicate type",IF(INDEX('Rules'!$F$7:$F$26,MATCH(SUBSTITUTE(SUBSTITUTE(SUBSTITUTE(SUBSTITUTE("type:"&amp;B1089,"%","%25"),"~","%7E"),"*","%2A"),"?","%3F"),'Rules'!$G$7:$G$26,0))&lt;&gt;"",INDEX('Rules'!$F$7:$F$26,MATCH(SUBSTITUTE(SUBSTITUTE(SUBSTITUTE(SUBSTITUTE("type:"&amp;B1089,"%","%25"),"~","%7E"),"*","%2A"),"?","%3F"),'Rules'!$G$7:$G$26,0)),IF(AND(C1089&lt;&gt;"",C1089&lt;&gt;INDEX('Rules'!$B$7:$B$26,MATCH(SUBSTITUTE(SUBSTITUTE(SUBSTITUTE(SUBSTITUTE("type:"&amp;B1089,"%","%25"),"~","%7E"),"*","%2A"),"?","%3F"),'Rules'!$G$7:$G$26,0))),"Unit mismatch",IF(IF(NOT(ISNUMBER(D1089)),TRUE,OR(D1089&lt;0,D1089&gt;999999999,ROUND(D1089,3)&lt;&gt;D1089)),"Invalid current reading",IF(AND(E1089&lt;&gt;"",IF(NOT(ISNUMBER(E1089)),TRUE,OR(E1089&lt;0,E1089&gt;999999999,ROUND(E1089,3)&lt;&gt;E1089))),"Invalid previous reading",IF(IF(NOT(ISNUMBER(F1089)),TRUE,OR(F1089&lt;0,F1089&gt;999999999,ROUND(F1089,3)&lt;&gt;F1089)),"Invalid last service",IF(AND(E1089&lt;&gt;"",D1089&lt;E1089),"Decreased reading",IF(F1089&gt;D1089,"Last service above current","")))))))))))))</x:f>
      </x:c>
      <x:c r="L1089" s="6" t="str">
        <x:f>IF(AND(NOT(COUNTA(A1089:F1089)=0),K1089=""),INDEX('Rules'!$C$7:$C$26,MATCH(SUBSTITUTE(SUBSTITUTE(SUBSTITUTE(SUBSTITUTE("type:"&amp;B1089,"%","%25"),"~","%7E"),"*","%2A"),"?","%3F"),'Rules'!$G$7:$G$26,0)),"")</x:f>
      </x:c>
      <x:c r="M1089" s="6" t="str">
        <x:f>IF(AND(NOT(COUNTA(A1089:F1089)=0),K1089=""),INDEX('Rules'!$D$7:$D$26,MATCH(SUBSTITUTE(SUBSTITUTE(SUBSTITUTE(SUBSTITUTE("type:"&amp;B1089,"%","%25"),"~","%7E"),"*","%2A"),"?","%3F"),'Rules'!$G$7:$G$26,0)),"")</x:f>
      </x:c>
      <x:c r="N1089" s="5" t="str">
        <x:f>IF(COUNTA(A1089:F1089)=0,"",SUBSTITUTE(SUBSTITUTE(SUBSTITUTE(SUBSTITUTE("id:"&amp;A1089,"%","%25"),"~","%7E"),"*","%2A"),"?","%3F"))</x:f>
      </x:c>
    </x:row>
    <x:row r="1090" ht="22" customHeight="1">
      <x:c r="A1090" s="3"/>
      <x:c r="B1090" s="3"/>
      <x:c r="C1090" s="3"/>
      <x:c r="D1090" s="4"/>
      <x:c r="E1090" s="4"/>
      <x:c r="F1090" s="4"/>
      <x:c r="G1090" s="5" t="str">
        <x:f>IF(COUNTA(A1090:F1090)=0,"",IF(K1090&lt;&gt;"","Review",IF(I1090&lt;0,"Overdue",IF(I1090=0,"Due now",IF(I1090&lt;=M1090,"Due soon","Not due")))))</x:f>
      </x:c>
      <x:c r="H1090" s="5" t="str">
        <x:f>IF(OR(COUNTA(A1090:F1090)=0,COUNTIFS('Rules'!$G$7:$G$26,"="&amp;(SUBSTITUTE(SUBSTITUTE(SUBSTITUTE(SUBSTITUTE("type:"&amp;B1090,"%","%25"),"~","%7E"),"*","%2A"),"?","%3F")))&lt;&gt;1),"",IF(OR(INDEX('Rules'!$B$7:$B$26,MATCH(SUBSTITUTE(SUBSTITUTE(SUBSTITUTE(SUBSTITUTE("type:"&amp;B1090,"%","%25"),"~","%7E"),"*","%2A"),"?","%3F"),'Rules'!$G$7:$G$26,0))="hours",INDEX('Rules'!$B$7:$B$26,MATCH(SUBSTITUTE(SUBSTITUTE(SUBSTITUTE(SUBSTITUTE("type:"&amp;B1090,"%","%25"),"~","%7E"),"*","%2A"),"?","%3F"),'Rules'!$G$7:$G$26,0))="km"),INDEX('Rules'!$B$7:$B$26,MATCH(SUBSTITUTE(SUBSTITUTE(SUBSTITUTE(SUBSTITUTE("type:"&amp;B1090,"%","%25"),"~","%7E"),"*","%2A"),"?","%3F"),'Rules'!$G$7:$G$26,0)),""))</x:f>
      </x:c>
      <x:c r="I1090" s="6" t="str">
        <x:f>IF(AND(NOT(COUNTA(A1090:F1090)=0),K1090=""),ROUND(J1090-D1090,3),"")</x:f>
      </x:c>
      <x:c r="J1090" s="6" t="str">
        <x:f>IF(AND(NOT(COUNTA(A1090:F1090)=0),K1090=""),ROUND(F1090+L1090,3),"")</x:f>
      </x:c>
      <x:c r="K1090" s="5" t="str">
        <x:f>IF(COUNTA(A1090:F1090)=0,"",IF(A1090="","Missing equipment ID",IF(COUNTIFS($N$8:$N$2007,"="&amp;N1090)&gt;1,"Duplicate equipment ID",IF(B1090="","Missing type",IF(COUNTIFS('Rules'!$G$7:$G$26,"="&amp;(SUBSTITUTE(SUBSTITUTE(SUBSTITUTE(SUBSTITUTE("type:"&amp;B1090,"%","%25"),"~","%7E"),"*","%2A"),"?","%3F")))=0,"Unknown type",IF(COUNTIFS('Rules'!$G$7:$G$26,"="&amp;(SUBSTITUTE(SUBSTITUTE(SUBSTITUTE(SUBSTITUTE("type:"&amp;B1090,"%","%25"),"~","%7E"),"*","%2A"),"?","%3F")))&gt;1,"Duplicate type",IF(INDEX('Rules'!$F$7:$F$26,MATCH(SUBSTITUTE(SUBSTITUTE(SUBSTITUTE(SUBSTITUTE("type:"&amp;B1090,"%","%25"),"~","%7E"),"*","%2A"),"?","%3F"),'Rules'!$G$7:$G$26,0))&lt;&gt;"",INDEX('Rules'!$F$7:$F$26,MATCH(SUBSTITUTE(SUBSTITUTE(SUBSTITUTE(SUBSTITUTE("type:"&amp;B1090,"%","%25"),"~","%7E"),"*","%2A"),"?","%3F"),'Rules'!$G$7:$G$26,0)),IF(AND(C1090&lt;&gt;"",C1090&lt;&gt;INDEX('Rules'!$B$7:$B$26,MATCH(SUBSTITUTE(SUBSTITUTE(SUBSTITUTE(SUBSTITUTE("type:"&amp;B1090,"%","%25"),"~","%7E"),"*","%2A"),"?","%3F"),'Rules'!$G$7:$G$26,0))),"Unit mismatch",IF(IF(NOT(ISNUMBER(D1090)),TRUE,OR(D1090&lt;0,D1090&gt;999999999,ROUND(D1090,3)&lt;&gt;D1090)),"Invalid current reading",IF(AND(E1090&lt;&gt;"",IF(NOT(ISNUMBER(E1090)),TRUE,OR(E1090&lt;0,E1090&gt;999999999,ROUND(E1090,3)&lt;&gt;E1090))),"Invalid previous reading",IF(IF(NOT(ISNUMBER(F1090)),TRUE,OR(F1090&lt;0,F1090&gt;999999999,ROUND(F1090,3)&lt;&gt;F1090)),"Invalid last service",IF(AND(E1090&lt;&gt;"",D1090&lt;E1090),"Decreased reading",IF(F1090&gt;D1090,"Last service above current","")))))))))))))</x:f>
      </x:c>
      <x:c r="L1090" s="6" t="str">
        <x:f>IF(AND(NOT(COUNTA(A1090:F1090)=0),K1090=""),INDEX('Rules'!$C$7:$C$26,MATCH(SUBSTITUTE(SUBSTITUTE(SUBSTITUTE(SUBSTITUTE("type:"&amp;B1090,"%","%25"),"~","%7E"),"*","%2A"),"?","%3F"),'Rules'!$G$7:$G$26,0)),"")</x:f>
      </x:c>
      <x:c r="M1090" s="6" t="str">
        <x:f>IF(AND(NOT(COUNTA(A1090:F1090)=0),K1090=""),INDEX('Rules'!$D$7:$D$26,MATCH(SUBSTITUTE(SUBSTITUTE(SUBSTITUTE(SUBSTITUTE("type:"&amp;B1090,"%","%25"),"~","%7E"),"*","%2A"),"?","%3F"),'Rules'!$G$7:$G$26,0)),"")</x:f>
      </x:c>
      <x:c r="N1090" s="5" t="str">
        <x:f>IF(COUNTA(A1090:F1090)=0,"",SUBSTITUTE(SUBSTITUTE(SUBSTITUTE(SUBSTITUTE("id:"&amp;A1090,"%","%25"),"~","%7E"),"*","%2A"),"?","%3F"))</x:f>
      </x:c>
    </x:row>
    <x:row r="1091" ht="22" customHeight="1">
      <x:c r="A1091" s="3"/>
      <x:c r="B1091" s="3"/>
      <x:c r="C1091" s="3"/>
      <x:c r="D1091" s="4"/>
      <x:c r="E1091" s="4"/>
      <x:c r="F1091" s="4"/>
      <x:c r="G1091" s="5" t="str">
        <x:f>IF(COUNTA(A1091:F1091)=0,"",IF(K1091&lt;&gt;"","Review",IF(I1091&lt;0,"Overdue",IF(I1091=0,"Due now",IF(I1091&lt;=M1091,"Due soon","Not due")))))</x:f>
      </x:c>
      <x:c r="H1091" s="5" t="str">
        <x:f>IF(OR(COUNTA(A1091:F1091)=0,COUNTIFS('Rules'!$G$7:$G$26,"="&amp;(SUBSTITUTE(SUBSTITUTE(SUBSTITUTE(SUBSTITUTE("type:"&amp;B1091,"%","%25"),"~","%7E"),"*","%2A"),"?","%3F")))&lt;&gt;1),"",IF(OR(INDEX('Rules'!$B$7:$B$26,MATCH(SUBSTITUTE(SUBSTITUTE(SUBSTITUTE(SUBSTITUTE("type:"&amp;B1091,"%","%25"),"~","%7E"),"*","%2A"),"?","%3F"),'Rules'!$G$7:$G$26,0))="hours",INDEX('Rules'!$B$7:$B$26,MATCH(SUBSTITUTE(SUBSTITUTE(SUBSTITUTE(SUBSTITUTE("type:"&amp;B1091,"%","%25"),"~","%7E"),"*","%2A"),"?","%3F"),'Rules'!$G$7:$G$26,0))="km"),INDEX('Rules'!$B$7:$B$26,MATCH(SUBSTITUTE(SUBSTITUTE(SUBSTITUTE(SUBSTITUTE("type:"&amp;B1091,"%","%25"),"~","%7E"),"*","%2A"),"?","%3F"),'Rules'!$G$7:$G$26,0)),""))</x:f>
      </x:c>
      <x:c r="I1091" s="6" t="str">
        <x:f>IF(AND(NOT(COUNTA(A1091:F1091)=0),K1091=""),ROUND(J1091-D1091,3),"")</x:f>
      </x:c>
      <x:c r="J1091" s="6" t="str">
        <x:f>IF(AND(NOT(COUNTA(A1091:F1091)=0),K1091=""),ROUND(F1091+L1091,3),"")</x:f>
      </x:c>
      <x:c r="K1091" s="5" t="str">
        <x:f>IF(COUNTA(A1091:F1091)=0,"",IF(A1091="","Missing equipment ID",IF(COUNTIFS($N$8:$N$2007,"="&amp;N1091)&gt;1,"Duplicate equipment ID",IF(B1091="","Missing type",IF(COUNTIFS('Rules'!$G$7:$G$26,"="&amp;(SUBSTITUTE(SUBSTITUTE(SUBSTITUTE(SUBSTITUTE("type:"&amp;B1091,"%","%25"),"~","%7E"),"*","%2A"),"?","%3F")))=0,"Unknown type",IF(COUNTIFS('Rules'!$G$7:$G$26,"="&amp;(SUBSTITUTE(SUBSTITUTE(SUBSTITUTE(SUBSTITUTE("type:"&amp;B1091,"%","%25"),"~","%7E"),"*","%2A"),"?","%3F")))&gt;1,"Duplicate type",IF(INDEX('Rules'!$F$7:$F$26,MATCH(SUBSTITUTE(SUBSTITUTE(SUBSTITUTE(SUBSTITUTE("type:"&amp;B1091,"%","%25"),"~","%7E"),"*","%2A"),"?","%3F"),'Rules'!$G$7:$G$26,0))&lt;&gt;"",INDEX('Rules'!$F$7:$F$26,MATCH(SUBSTITUTE(SUBSTITUTE(SUBSTITUTE(SUBSTITUTE("type:"&amp;B1091,"%","%25"),"~","%7E"),"*","%2A"),"?","%3F"),'Rules'!$G$7:$G$26,0)),IF(AND(C1091&lt;&gt;"",C1091&lt;&gt;INDEX('Rules'!$B$7:$B$26,MATCH(SUBSTITUTE(SUBSTITUTE(SUBSTITUTE(SUBSTITUTE("type:"&amp;B1091,"%","%25"),"~","%7E"),"*","%2A"),"?","%3F"),'Rules'!$G$7:$G$26,0))),"Unit mismatch",IF(IF(NOT(ISNUMBER(D1091)),TRUE,OR(D1091&lt;0,D1091&gt;999999999,ROUND(D1091,3)&lt;&gt;D1091)),"Invalid current reading",IF(AND(E1091&lt;&gt;"",IF(NOT(ISNUMBER(E1091)),TRUE,OR(E1091&lt;0,E1091&gt;999999999,ROUND(E1091,3)&lt;&gt;E1091))),"Invalid previous reading",IF(IF(NOT(ISNUMBER(F1091)),TRUE,OR(F1091&lt;0,F1091&gt;999999999,ROUND(F1091,3)&lt;&gt;F1091)),"Invalid last service",IF(AND(E1091&lt;&gt;"",D1091&lt;E1091),"Decreased reading",IF(F1091&gt;D1091,"Last service above current","")))))))))))))</x:f>
      </x:c>
      <x:c r="L1091" s="6" t="str">
        <x:f>IF(AND(NOT(COUNTA(A1091:F1091)=0),K1091=""),INDEX('Rules'!$C$7:$C$26,MATCH(SUBSTITUTE(SUBSTITUTE(SUBSTITUTE(SUBSTITUTE("type:"&amp;B1091,"%","%25"),"~","%7E"),"*","%2A"),"?","%3F"),'Rules'!$G$7:$G$26,0)),"")</x:f>
      </x:c>
      <x:c r="M1091" s="6" t="str">
        <x:f>IF(AND(NOT(COUNTA(A1091:F1091)=0),K1091=""),INDEX('Rules'!$D$7:$D$26,MATCH(SUBSTITUTE(SUBSTITUTE(SUBSTITUTE(SUBSTITUTE("type:"&amp;B1091,"%","%25"),"~","%7E"),"*","%2A"),"?","%3F"),'Rules'!$G$7:$G$26,0)),"")</x:f>
      </x:c>
      <x:c r="N1091" s="5" t="str">
        <x:f>IF(COUNTA(A1091:F1091)=0,"",SUBSTITUTE(SUBSTITUTE(SUBSTITUTE(SUBSTITUTE("id:"&amp;A1091,"%","%25"),"~","%7E"),"*","%2A"),"?","%3F"))</x:f>
      </x:c>
    </x:row>
    <x:row r="1092" ht="22" customHeight="1">
      <x:c r="A1092" s="3"/>
      <x:c r="B1092" s="3"/>
      <x:c r="C1092" s="3"/>
      <x:c r="D1092" s="4"/>
      <x:c r="E1092" s="4"/>
      <x:c r="F1092" s="4"/>
      <x:c r="G1092" s="5" t="str">
        <x:f>IF(COUNTA(A1092:F1092)=0,"",IF(K1092&lt;&gt;"","Review",IF(I1092&lt;0,"Overdue",IF(I1092=0,"Due now",IF(I1092&lt;=M1092,"Due soon","Not due")))))</x:f>
      </x:c>
      <x:c r="H1092" s="5" t="str">
        <x:f>IF(OR(COUNTA(A1092:F1092)=0,COUNTIFS('Rules'!$G$7:$G$26,"="&amp;(SUBSTITUTE(SUBSTITUTE(SUBSTITUTE(SUBSTITUTE("type:"&amp;B1092,"%","%25"),"~","%7E"),"*","%2A"),"?","%3F")))&lt;&gt;1),"",IF(OR(INDEX('Rules'!$B$7:$B$26,MATCH(SUBSTITUTE(SUBSTITUTE(SUBSTITUTE(SUBSTITUTE("type:"&amp;B1092,"%","%25"),"~","%7E"),"*","%2A"),"?","%3F"),'Rules'!$G$7:$G$26,0))="hours",INDEX('Rules'!$B$7:$B$26,MATCH(SUBSTITUTE(SUBSTITUTE(SUBSTITUTE(SUBSTITUTE("type:"&amp;B1092,"%","%25"),"~","%7E"),"*","%2A"),"?","%3F"),'Rules'!$G$7:$G$26,0))="km"),INDEX('Rules'!$B$7:$B$26,MATCH(SUBSTITUTE(SUBSTITUTE(SUBSTITUTE(SUBSTITUTE("type:"&amp;B1092,"%","%25"),"~","%7E"),"*","%2A"),"?","%3F"),'Rules'!$G$7:$G$26,0)),""))</x:f>
      </x:c>
      <x:c r="I1092" s="6" t="str">
        <x:f>IF(AND(NOT(COUNTA(A1092:F1092)=0),K1092=""),ROUND(J1092-D1092,3),"")</x:f>
      </x:c>
      <x:c r="J1092" s="6" t="str">
        <x:f>IF(AND(NOT(COUNTA(A1092:F1092)=0),K1092=""),ROUND(F1092+L1092,3),"")</x:f>
      </x:c>
      <x:c r="K1092" s="5" t="str">
        <x:f>IF(COUNTA(A1092:F1092)=0,"",IF(A1092="","Missing equipment ID",IF(COUNTIFS($N$8:$N$2007,"="&amp;N1092)&gt;1,"Duplicate equipment ID",IF(B1092="","Missing type",IF(COUNTIFS('Rules'!$G$7:$G$26,"="&amp;(SUBSTITUTE(SUBSTITUTE(SUBSTITUTE(SUBSTITUTE("type:"&amp;B1092,"%","%25"),"~","%7E"),"*","%2A"),"?","%3F")))=0,"Unknown type",IF(COUNTIFS('Rules'!$G$7:$G$26,"="&amp;(SUBSTITUTE(SUBSTITUTE(SUBSTITUTE(SUBSTITUTE("type:"&amp;B1092,"%","%25"),"~","%7E"),"*","%2A"),"?","%3F")))&gt;1,"Duplicate type",IF(INDEX('Rules'!$F$7:$F$26,MATCH(SUBSTITUTE(SUBSTITUTE(SUBSTITUTE(SUBSTITUTE("type:"&amp;B1092,"%","%25"),"~","%7E"),"*","%2A"),"?","%3F"),'Rules'!$G$7:$G$26,0))&lt;&gt;"",INDEX('Rules'!$F$7:$F$26,MATCH(SUBSTITUTE(SUBSTITUTE(SUBSTITUTE(SUBSTITUTE("type:"&amp;B1092,"%","%25"),"~","%7E"),"*","%2A"),"?","%3F"),'Rules'!$G$7:$G$26,0)),IF(AND(C1092&lt;&gt;"",C1092&lt;&gt;INDEX('Rules'!$B$7:$B$26,MATCH(SUBSTITUTE(SUBSTITUTE(SUBSTITUTE(SUBSTITUTE("type:"&amp;B1092,"%","%25"),"~","%7E"),"*","%2A"),"?","%3F"),'Rules'!$G$7:$G$26,0))),"Unit mismatch",IF(IF(NOT(ISNUMBER(D1092)),TRUE,OR(D1092&lt;0,D1092&gt;999999999,ROUND(D1092,3)&lt;&gt;D1092)),"Invalid current reading",IF(AND(E1092&lt;&gt;"",IF(NOT(ISNUMBER(E1092)),TRUE,OR(E1092&lt;0,E1092&gt;999999999,ROUND(E1092,3)&lt;&gt;E1092))),"Invalid previous reading",IF(IF(NOT(ISNUMBER(F1092)),TRUE,OR(F1092&lt;0,F1092&gt;999999999,ROUND(F1092,3)&lt;&gt;F1092)),"Invalid last service",IF(AND(E1092&lt;&gt;"",D1092&lt;E1092),"Decreased reading",IF(F1092&gt;D1092,"Last service above current","")))))))))))))</x:f>
      </x:c>
      <x:c r="L1092" s="6" t="str">
        <x:f>IF(AND(NOT(COUNTA(A1092:F1092)=0),K1092=""),INDEX('Rules'!$C$7:$C$26,MATCH(SUBSTITUTE(SUBSTITUTE(SUBSTITUTE(SUBSTITUTE("type:"&amp;B1092,"%","%25"),"~","%7E"),"*","%2A"),"?","%3F"),'Rules'!$G$7:$G$26,0)),"")</x:f>
      </x:c>
      <x:c r="M1092" s="6" t="str">
        <x:f>IF(AND(NOT(COUNTA(A1092:F1092)=0),K1092=""),INDEX('Rules'!$D$7:$D$26,MATCH(SUBSTITUTE(SUBSTITUTE(SUBSTITUTE(SUBSTITUTE("type:"&amp;B1092,"%","%25"),"~","%7E"),"*","%2A"),"?","%3F"),'Rules'!$G$7:$G$26,0)),"")</x:f>
      </x:c>
      <x:c r="N1092" s="5" t="str">
        <x:f>IF(COUNTA(A1092:F1092)=0,"",SUBSTITUTE(SUBSTITUTE(SUBSTITUTE(SUBSTITUTE("id:"&amp;A1092,"%","%25"),"~","%7E"),"*","%2A"),"?","%3F"))</x:f>
      </x:c>
    </x:row>
    <x:row r="1093" ht="22" customHeight="1">
      <x:c r="A1093" s="3"/>
      <x:c r="B1093" s="3"/>
      <x:c r="C1093" s="3"/>
      <x:c r="D1093" s="4"/>
      <x:c r="E1093" s="4"/>
      <x:c r="F1093" s="4"/>
      <x:c r="G1093" s="5" t="str">
        <x:f>IF(COUNTA(A1093:F1093)=0,"",IF(K1093&lt;&gt;"","Review",IF(I1093&lt;0,"Overdue",IF(I1093=0,"Due now",IF(I1093&lt;=M1093,"Due soon","Not due")))))</x:f>
      </x:c>
      <x:c r="H1093" s="5" t="str">
        <x:f>IF(OR(COUNTA(A1093:F1093)=0,COUNTIFS('Rules'!$G$7:$G$26,"="&amp;(SUBSTITUTE(SUBSTITUTE(SUBSTITUTE(SUBSTITUTE("type:"&amp;B1093,"%","%25"),"~","%7E"),"*","%2A"),"?","%3F")))&lt;&gt;1),"",IF(OR(INDEX('Rules'!$B$7:$B$26,MATCH(SUBSTITUTE(SUBSTITUTE(SUBSTITUTE(SUBSTITUTE("type:"&amp;B1093,"%","%25"),"~","%7E"),"*","%2A"),"?","%3F"),'Rules'!$G$7:$G$26,0))="hours",INDEX('Rules'!$B$7:$B$26,MATCH(SUBSTITUTE(SUBSTITUTE(SUBSTITUTE(SUBSTITUTE("type:"&amp;B1093,"%","%25"),"~","%7E"),"*","%2A"),"?","%3F"),'Rules'!$G$7:$G$26,0))="km"),INDEX('Rules'!$B$7:$B$26,MATCH(SUBSTITUTE(SUBSTITUTE(SUBSTITUTE(SUBSTITUTE("type:"&amp;B1093,"%","%25"),"~","%7E"),"*","%2A"),"?","%3F"),'Rules'!$G$7:$G$26,0)),""))</x:f>
      </x:c>
      <x:c r="I1093" s="6" t="str">
        <x:f>IF(AND(NOT(COUNTA(A1093:F1093)=0),K1093=""),ROUND(J1093-D1093,3),"")</x:f>
      </x:c>
      <x:c r="J1093" s="6" t="str">
        <x:f>IF(AND(NOT(COUNTA(A1093:F1093)=0),K1093=""),ROUND(F1093+L1093,3),"")</x:f>
      </x:c>
      <x:c r="K1093" s="5" t="str">
        <x:f>IF(COUNTA(A1093:F1093)=0,"",IF(A1093="","Missing equipment ID",IF(COUNTIFS($N$8:$N$2007,"="&amp;N1093)&gt;1,"Duplicate equipment ID",IF(B1093="","Missing type",IF(COUNTIFS('Rules'!$G$7:$G$26,"="&amp;(SUBSTITUTE(SUBSTITUTE(SUBSTITUTE(SUBSTITUTE("type:"&amp;B1093,"%","%25"),"~","%7E"),"*","%2A"),"?","%3F")))=0,"Unknown type",IF(COUNTIFS('Rules'!$G$7:$G$26,"="&amp;(SUBSTITUTE(SUBSTITUTE(SUBSTITUTE(SUBSTITUTE("type:"&amp;B1093,"%","%25"),"~","%7E"),"*","%2A"),"?","%3F")))&gt;1,"Duplicate type",IF(INDEX('Rules'!$F$7:$F$26,MATCH(SUBSTITUTE(SUBSTITUTE(SUBSTITUTE(SUBSTITUTE("type:"&amp;B1093,"%","%25"),"~","%7E"),"*","%2A"),"?","%3F"),'Rules'!$G$7:$G$26,0))&lt;&gt;"",INDEX('Rules'!$F$7:$F$26,MATCH(SUBSTITUTE(SUBSTITUTE(SUBSTITUTE(SUBSTITUTE("type:"&amp;B1093,"%","%25"),"~","%7E"),"*","%2A"),"?","%3F"),'Rules'!$G$7:$G$26,0)),IF(AND(C1093&lt;&gt;"",C1093&lt;&gt;INDEX('Rules'!$B$7:$B$26,MATCH(SUBSTITUTE(SUBSTITUTE(SUBSTITUTE(SUBSTITUTE("type:"&amp;B1093,"%","%25"),"~","%7E"),"*","%2A"),"?","%3F"),'Rules'!$G$7:$G$26,0))),"Unit mismatch",IF(IF(NOT(ISNUMBER(D1093)),TRUE,OR(D1093&lt;0,D1093&gt;999999999,ROUND(D1093,3)&lt;&gt;D1093)),"Invalid current reading",IF(AND(E1093&lt;&gt;"",IF(NOT(ISNUMBER(E1093)),TRUE,OR(E1093&lt;0,E1093&gt;999999999,ROUND(E1093,3)&lt;&gt;E1093))),"Invalid previous reading",IF(IF(NOT(ISNUMBER(F1093)),TRUE,OR(F1093&lt;0,F1093&gt;999999999,ROUND(F1093,3)&lt;&gt;F1093)),"Invalid last service",IF(AND(E1093&lt;&gt;"",D1093&lt;E1093),"Decreased reading",IF(F1093&gt;D1093,"Last service above current","")))))))))))))</x:f>
      </x:c>
      <x:c r="L1093" s="6" t="str">
        <x:f>IF(AND(NOT(COUNTA(A1093:F1093)=0),K1093=""),INDEX('Rules'!$C$7:$C$26,MATCH(SUBSTITUTE(SUBSTITUTE(SUBSTITUTE(SUBSTITUTE("type:"&amp;B1093,"%","%25"),"~","%7E"),"*","%2A"),"?","%3F"),'Rules'!$G$7:$G$26,0)),"")</x:f>
      </x:c>
      <x:c r="M1093" s="6" t="str">
        <x:f>IF(AND(NOT(COUNTA(A1093:F1093)=0),K1093=""),INDEX('Rules'!$D$7:$D$26,MATCH(SUBSTITUTE(SUBSTITUTE(SUBSTITUTE(SUBSTITUTE("type:"&amp;B1093,"%","%25"),"~","%7E"),"*","%2A"),"?","%3F"),'Rules'!$G$7:$G$26,0)),"")</x:f>
      </x:c>
      <x:c r="N1093" s="5" t="str">
        <x:f>IF(COUNTA(A1093:F1093)=0,"",SUBSTITUTE(SUBSTITUTE(SUBSTITUTE(SUBSTITUTE("id:"&amp;A1093,"%","%25"),"~","%7E"),"*","%2A"),"?","%3F"))</x:f>
      </x:c>
    </x:row>
    <x:row r="1094" ht="22" customHeight="1">
      <x:c r="A1094" s="3"/>
      <x:c r="B1094" s="3"/>
      <x:c r="C1094" s="3"/>
      <x:c r="D1094" s="4"/>
      <x:c r="E1094" s="4"/>
      <x:c r="F1094" s="4"/>
      <x:c r="G1094" s="5" t="str">
        <x:f>IF(COUNTA(A1094:F1094)=0,"",IF(K1094&lt;&gt;"","Review",IF(I1094&lt;0,"Overdue",IF(I1094=0,"Due now",IF(I1094&lt;=M1094,"Due soon","Not due")))))</x:f>
      </x:c>
      <x:c r="H1094" s="5" t="str">
        <x:f>IF(OR(COUNTA(A1094:F1094)=0,COUNTIFS('Rules'!$G$7:$G$26,"="&amp;(SUBSTITUTE(SUBSTITUTE(SUBSTITUTE(SUBSTITUTE("type:"&amp;B1094,"%","%25"),"~","%7E"),"*","%2A"),"?","%3F")))&lt;&gt;1),"",IF(OR(INDEX('Rules'!$B$7:$B$26,MATCH(SUBSTITUTE(SUBSTITUTE(SUBSTITUTE(SUBSTITUTE("type:"&amp;B1094,"%","%25"),"~","%7E"),"*","%2A"),"?","%3F"),'Rules'!$G$7:$G$26,0))="hours",INDEX('Rules'!$B$7:$B$26,MATCH(SUBSTITUTE(SUBSTITUTE(SUBSTITUTE(SUBSTITUTE("type:"&amp;B1094,"%","%25"),"~","%7E"),"*","%2A"),"?","%3F"),'Rules'!$G$7:$G$26,0))="km"),INDEX('Rules'!$B$7:$B$26,MATCH(SUBSTITUTE(SUBSTITUTE(SUBSTITUTE(SUBSTITUTE("type:"&amp;B1094,"%","%25"),"~","%7E"),"*","%2A"),"?","%3F"),'Rules'!$G$7:$G$26,0)),""))</x:f>
      </x:c>
      <x:c r="I1094" s="6" t="str">
        <x:f>IF(AND(NOT(COUNTA(A1094:F1094)=0),K1094=""),ROUND(J1094-D1094,3),"")</x:f>
      </x:c>
      <x:c r="J1094" s="6" t="str">
        <x:f>IF(AND(NOT(COUNTA(A1094:F1094)=0),K1094=""),ROUND(F1094+L1094,3),"")</x:f>
      </x:c>
      <x:c r="K1094" s="5" t="str">
        <x:f>IF(COUNTA(A1094:F1094)=0,"",IF(A1094="","Missing equipment ID",IF(COUNTIFS($N$8:$N$2007,"="&amp;N1094)&gt;1,"Duplicate equipment ID",IF(B1094="","Missing type",IF(COUNTIFS('Rules'!$G$7:$G$26,"="&amp;(SUBSTITUTE(SUBSTITUTE(SUBSTITUTE(SUBSTITUTE("type:"&amp;B1094,"%","%25"),"~","%7E"),"*","%2A"),"?","%3F")))=0,"Unknown type",IF(COUNTIFS('Rules'!$G$7:$G$26,"="&amp;(SUBSTITUTE(SUBSTITUTE(SUBSTITUTE(SUBSTITUTE("type:"&amp;B1094,"%","%25"),"~","%7E"),"*","%2A"),"?","%3F")))&gt;1,"Duplicate type",IF(INDEX('Rules'!$F$7:$F$26,MATCH(SUBSTITUTE(SUBSTITUTE(SUBSTITUTE(SUBSTITUTE("type:"&amp;B1094,"%","%25"),"~","%7E"),"*","%2A"),"?","%3F"),'Rules'!$G$7:$G$26,0))&lt;&gt;"",INDEX('Rules'!$F$7:$F$26,MATCH(SUBSTITUTE(SUBSTITUTE(SUBSTITUTE(SUBSTITUTE("type:"&amp;B1094,"%","%25"),"~","%7E"),"*","%2A"),"?","%3F"),'Rules'!$G$7:$G$26,0)),IF(AND(C1094&lt;&gt;"",C1094&lt;&gt;INDEX('Rules'!$B$7:$B$26,MATCH(SUBSTITUTE(SUBSTITUTE(SUBSTITUTE(SUBSTITUTE("type:"&amp;B1094,"%","%25"),"~","%7E"),"*","%2A"),"?","%3F"),'Rules'!$G$7:$G$26,0))),"Unit mismatch",IF(IF(NOT(ISNUMBER(D1094)),TRUE,OR(D1094&lt;0,D1094&gt;999999999,ROUND(D1094,3)&lt;&gt;D1094)),"Invalid current reading",IF(AND(E1094&lt;&gt;"",IF(NOT(ISNUMBER(E1094)),TRUE,OR(E1094&lt;0,E1094&gt;999999999,ROUND(E1094,3)&lt;&gt;E1094))),"Invalid previous reading",IF(IF(NOT(ISNUMBER(F1094)),TRUE,OR(F1094&lt;0,F1094&gt;999999999,ROUND(F1094,3)&lt;&gt;F1094)),"Invalid last service",IF(AND(E1094&lt;&gt;"",D1094&lt;E1094),"Decreased reading",IF(F1094&gt;D1094,"Last service above current","")))))))))))))</x:f>
      </x:c>
      <x:c r="L1094" s="6" t="str">
        <x:f>IF(AND(NOT(COUNTA(A1094:F1094)=0),K1094=""),INDEX('Rules'!$C$7:$C$26,MATCH(SUBSTITUTE(SUBSTITUTE(SUBSTITUTE(SUBSTITUTE("type:"&amp;B1094,"%","%25"),"~","%7E"),"*","%2A"),"?","%3F"),'Rules'!$G$7:$G$26,0)),"")</x:f>
      </x:c>
      <x:c r="M1094" s="6" t="str">
        <x:f>IF(AND(NOT(COUNTA(A1094:F1094)=0),K1094=""),INDEX('Rules'!$D$7:$D$26,MATCH(SUBSTITUTE(SUBSTITUTE(SUBSTITUTE(SUBSTITUTE("type:"&amp;B1094,"%","%25"),"~","%7E"),"*","%2A"),"?","%3F"),'Rules'!$G$7:$G$26,0)),"")</x:f>
      </x:c>
      <x:c r="N1094" s="5" t="str">
        <x:f>IF(COUNTA(A1094:F1094)=0,"",SUBSTITUTE(SUBSTITUTE(SUBSTITUTE(SUBSTITUTE("id:"&amp;A1094,"%","%25"),"~","%7E"),"*","%2A"),"?","%3F"))</x:f>
      </x:c>
    </x:row>
    <x:row r="1095" ht="22" customHeight="1">
      <x:c r="A1095" s="3"/>
      <x:c r="B1095" s="3"/>
      <x:c r="C1095" s="3"/>
      <x:c r="D1095" s="4"/>
      <x:c r="E1095" s="4"/>
      <x:c r="F1095" s="4"/>
      <x:c r="G1095" s="5" t="str">
        <x:f>IF(COUNTA(A1095:F1095)=0,"",IF(K1095&lt;&gt;"","Review",IF(I1095&lt;0,"Overdue",IF(I1095=0,"Due now",IF(I1095&lt;=M1095,"Due soon","Not due")))))</x:f>
      </x:c>
      <x:c r="H1095" s="5" t="str">
        <x:f>IF(OR(COUNTA(A1095:F1095)=0,COUNTIFS('Rules'!$G$7:$G$26,"="&amp;(SUBSTITUTE(SUBSTITUTE(SUBSTITUTE(SUBSTITUTE("type:"&amp;B1095,"%","%25"),"~","%7E"),"*","%2A"),"?","%3F")))&lt;&gt;1),"",IF(OR(INDEX('Rules'!$B$7:$B$26,MATCH(SUBSTITUTE(SUBSTITUTE(SUBSTITUTE(SUBSTITUTE("type:"&amp;B1095,"%","%25"),"~","%7E"),"*","%2A"),"?","%3F"),'Rules'!$G$7:$G$26,0))="hours",INDEX('Rules'!$B$7:$B$26,MATCH(SUBSTITUTE(SUBSTITUTE(SUBSTITUTE(SUBSTITUTE("type:"&amp;B1095,"%","%25"),"~","%7E"),"*","%2A"),"?","%3F"),'Rules'!$G$7:$G$26,0))="km"),INDEX('Rules'!$B$7:$B$26,MATCH(SUBSTITUTE(SUBSTITUTE(SUBSTITUTE(SUBSTITUTE("type:"&amp;B1095,"%","%25"),"~","%7E"),"*","%2A"),"?","%3F"),'Rules'!$G$7:$G$26,0)),""))</x:f>
      </x:c>
      <x:c r="I1095" s="6" t="str">
        <x:f>IF(AND(NOT(COUNTA(A1095:F1095)=0),K1095=""),ROUND(J1095-D1095,3),"")</x:f>
      </x:c>
      <x:c r="J1095" s="6" t="str">
        <x:f>IF(AND(NOT(COUNTA(A1095:F1095)=0),K1095=""),ROUND(F1095+L1095,3),"")</x:f>
      </x:c>
      <x:c r="K1095" s="5" t="str">
        <x:f>IF(COUNTA(A1095:F1095)=0,"",IF(A1095="","Missing equipment ID",IF(COUNTIFS($N$8:$N$2007,"="&amp;N1095)&gt;1,"Duplicate equipment ID",IF(B1095="","Missing type",IF(COUNTIFS('Rules'!$G$7:$G$26,"="&amp;(SUBSTITUTE(SUBSTITUTE(SUBSTITUTE(SUBSTITUTE("type:"&amp;B1095,"%","%25"),"~","%7E"),"*","%2A"),"?","%3F")))=0,"Unknown type",IF(COUNTIFS('Rules'!$G$7:$G$26,"="&amp;(SUBSTITUTE(SUBSTITUTE(SUBSTITUTE(SUBSTITUTE("type:"&amp;B1095,"%","%25"),"~","%7E"),"*","%2A"),"?","%3F")))&gt;1,"Duplicate type",IF(INDEX('Rules'!$F$7:$F$26,MATCH(SUBSTITUTE(SUBSTITUTE(SUBSTITUTE(SUBSTITUTE("type:"&amp;B1095,"%","%25"),"~","%7E"),"*","%2A"),"?","%3F"),'Rules'!$G$7:$G$26,0))&lt;&gt;"",INDEX('Rules'!$F$7:$F$26,MATCH(SUBSTITUTE(SUBSTITUTE(SUBSTITUTE(SUBSTITUTE("type:"&amp;B1095,"%","%25"),"~","%7E"),"*","%2A"),"?","%3F"),'Rules'!$G$7:$G$26,0)),IF(AND(C1095&lt;&gt;"",C1095&lt;&gt;INDEX('Rules'!$B$7:$B$26,MATCH(SUBSTITUTE(SUBSTITUTE(SUBSTITUTE(SUBSTITUTE("type:"&amp;B1095,"%","%25"),"~","%7E"),"*","%2A"),"?","%3F"),'Rules'!$G$7:$G$26,0))),"Unit mismatch",IF(IF(NOT(ISNUMBER(D1095)),TRUE,OR(D1095&lt;0,D1095&gt;999999999,ROUND(D1095,3)&lt;&gt;D1095)),"Invalid current reading",IF(AND(E1095&lt;&gt;"",IF(NOT(ISNUMBER(E1095)),TRUE,OR(E1095&lt;0,E1095&gt;999999999,ROUND(E1095,3)&lt;&gt;E1095))),"Invalid previous reading",IF(IF(NOT(ISNUMBER(F1095)),TRUE,OR(F1095&lt;0,F1095&gt;999999999,ROUND(F1095,3)&lt;&gt;F1095)),"Invalid last service",IF(AND(E1095&lt;&gt;"",D1095&lt;E1095),"Decreased reading",IF(F1095&gt;D1095,"Last service above current","")))))))))))))</x:f>
      </x:c>
      <x:c r="L1095" s="6" t="str">
        <x:f>IF(AND(NOT(COUNTA(A1095:F1095)=0),K1095=""),INDEX('Rules'!$C$7:$C$26,MATCH(SUBSTITUTE(SUBSTITUTE(SUBSTITUTE(SUBSTITUTE("type:"&amp;B1095,"%","%25"),"~","%7E"),"*","%2A"),"?","%3F"),'Rules'!$G$7:$G$26,0)),"")</x:f>
      </x:c>
      <x:c r="M1095" s="6" t="str">
        <x:f>IF(AND(NOT(COUNTA(A1095:F1095)=0),K1095=""),INDEX('Rules'!$D$7:$D$26,MATCH(SUBSTITUTE(SUBSTITUTE(SUBSTITUTE(SUBSTITUTE("type:"&amp;B1095,"%","%25"),"~","%7E"),"*","%2A"),"?","%3F"),'Rules'!$G$7:$G$26,0)),"")</x:f>
      </x:c>
      <x:c r="N1095" s="5" t="str">
        <x:f>IF(COUNTA(A1095:F1095)=0,"",SUBSTITUTE(SUBSTITUTE(SUBSTITUTE(SUBSTITUTE("id:"&amp;A1095,"%","%25"),"~","%7E"),"*","%2A"),"?","%3F"))</x:f>
      </x:c>
    </x:row>
    <x:row r="1096" ht="22" customHeight="1">
      <x:c r="A1096" s="3"/>
      <x:c r="B1096" s="3"/>
      <x:c r="C1096" s="3"/>
      <x:c r="D1096" s="4"/>
      <x:c r="E1096" s="4"/>
      <x:c r="F1096" s="4"/>
      <x:c r="G1096" s="5" t="str">
        <x:f>IF(COUNTA(A1096:F1096)=0,"",IF(K1096&lt;&gt;"","Review",IF(I1096&lt;0,"Overdue",IF(I1096=0,"Due now",IF(I1096&lt;=M1096,"Due soon","Not due")))))</x:f>
      </x:c>
      <x:c r="H1096" s="5" t="str">
        <x:f>IF(OR(COUNTA(A1096:F1096)=0,COUNTIFS('Rules'!$G$7:$G$26,"="&amp;(SUBSTITUTE(SUBSTITUTE(SUBSTITUTE(SUBSTITUTE("type:"&amp;B1096,"%","%25"),"~","%7E"),"*","%2A"),"?","%3F")))&lt;&gt;1),"",IF(OR(INDEX('Rules'!$B$7:$B$26,MATCH(SUBSTITUTE(SUBSTITUTE(SUBSTITUTE(SUBSTITUTE("type:"&amp;B1096,"%","%25"),"~","%7E"),"*","%2A"),"?","%3F"),'Rules'!$G$7:$G$26,0))="hours",INDEX('Rules'!$B$7:$B$26,MATCH(SUBSTITUTE(SUBSTITUTE(SUBSTITUTE(SUBSTITUTE("type:"&amp;B1096,"%","%25"),"~","%7E"),"*","%2A"),"?","%3F"),'Rules'!$G$7:$G$26,0))="km"),INDEX('Rules'!$B$7:$B$26,MATCH(SUBSTITUTE(SUBSTITUTE(SUBSTITUTE(SUBSTITUTE("type:"&amp;B1096,"%","%25"),"~","%7E"),"*","%2A"),"?","%3F"),'Rules'!$G$7:$G$26,0)),""))</x:f>
      </x:c>
      <x:c r="I1096" s="6" t="str">
        <x:f>IF(AND(NOT(COUNTA(A1096:F1096)=0),K1096=""),ROUND(J1096-D1096,3),"")</x:f>
      </x:c>
      <x:c r="J1096" s="6" t="str">
        <x:f>IF(AND(NOT(COUNTA(A1096:F1096)=0),K1096=""),ROUND(F1096+L1096,3),"")</x:f>
      </x:c>
      <x:c r="K1096" s="5" t="str">
        <x:f>IF(COUNTA(A1096:F1096)=0,"",IF(A1096="","Missing equipment ID",IF(COUNTIFS($N$8:$N$2007,"="&amp;N1096)&gt;1,"Duplicate equipment ID",IF(B1096="","Missing type",IF(COUNTIFS('Rules'!$G$7:$G$26,"="&amp;(SUBSTITUTE(SUBSTITUTE(SUBSTITUTE(SUBSTITUTE("type:"&amp;B1096,"%","%25"),"~","%7E"),"*","%2A"),"?","%3F")))=0,"Unknown type",IF(COUNTIFS('Rules'!$G$7:$G$26,"="&amp;(SUBSTITUTE(SUBSTITUTE(SUBSTITUTE(SUBSTITUTE("type:"&amp;B1096,"%","%25"),"~","%7E"),"*","%2A"),"?","%3F")))&gt;1,"Duplicate type",IF(INDEX('Rules'!$F$7:$F$26,MATCH(SUBSTITUTE(SUBSTITUTE(SUBSTITUTE(SUBSTITUTE("type:"&amp;B1096,"%","%25"),"~","%7E"),"*","%2A"),"?","%3F"),'Rules'!$G$7:$G$26,0))&lt;&gt;"",INDEX('Rules'!$F$7:$F$26,MATCH(SUBSTITUTE(SUBSTITUTE(SUBSTITUTE(SUBSTITUTE("type:"&amp;B1096,"%","%25"),"~","%7E"),"*","%2A"),"?","%3F"),'Rules'!$G$7:$G$26,0)),IF(AND(C1096&lt;&gt;"",C1096&lt;&gt;INDEX('Rules'!$B$7:$B$26,MATCH(SUBSTITUTE(SUBSTITUTE(SUBSTITUTE(SUBSTITUTE("type:"&amp;B1096,"%","%25"),"~","%7E"),"*","%2A"),"?","%3F"),'Rules'!$G$7:$G$26,0))),"Unit mismatch",IF(IF(NOT(ISNUMBER(D1096)),TRUE,OR(D1096&lt;0,D1096&gt;999999999,ROUND(D1096,3)&lt;&gt;D1096)),"Invalid current reading",IF(AND(E1096&lt;&gt;"",IF(NOT(ISNUMBER(E1096)),TRUE,OR(E1096&lt;0,E1096&gt;999999999,ROUND(E1096,3)&lt;&gt;E1096))),"Invalid previous reading",IF(IF(NOT(ISNUMBER(F1096)),TRUE,OR(F1096&lt;0,F1096&gt;999999999,ROUND(F1096,3)&lt;&gt;F1096)),"Invalid last service",IF(AND(E1096&lt;&gt;"",D1096&lt;E1096),"Decreased reading",IF(F1096&gt;D1096,"Last service above current","")))))))))))))</x:f>
      </x:c>
      <x:c r="L1096" s="6" t="str">
        <x:f>IF(AND(NOT(COUNTA(A1096:F1096)=0),K1096=""),INDEX('Rules'!$C$7:$C$26,MATCH(SUBSTITUTE(SUBSTITUTE(SUBSTITUTE(SUBSTITUTE("type:"&amp;B1096,"%","%25"),"~","%7E"),"*","%2A"),"?","%3F"),'Rules'!$G$7:$G$26,0)),"")</x:f>
      </x:c>
      <x:c r="M1096" s="6" t="str">
        <x:f>IF(AND(NOT(COUNTA(A1096:F1096)=0),K1096=""),INDEX('Rules'!$D$7:$D$26,MATCH(SUBSTITUTE(SUBSTITUTE(SUBSTITUTE(SUBSTITUTE("type:"&amp;B1096,"%","%25"),"~","%7E"),"*","%2A"),"?","%3F"),'Rules'!$G$7:$G$26,0)),"")</x:f>
      </x:c>
      <x:c r="N1096" s="5" t="str">
        <x:f>IF(COUNTA(A1096:F1096)=0,"",SUBSTITUTE(SUBSTITUTE(SUBSTITUTE(SUBSTITUTE("id:"&amp;A1096,"%","%25"),"~","%7E"),"*","%2A"),"?","%3F"))</x:f>
      </x:c>
    </x:row>
    <x:row r="1097" ht="22" customHeight="1">
      <x:c r="A1097" s="3"/>
      <x:c r="B1097" s="3"/>
      <x:c r="C1097" s="3"/>
      <x:c r="D1097" s="4"/>
      <x:c r="E1097" s="4"/>
      <x:c r="F1097" s="4"/>
      <x:c r="G1097" s="5" t="str">
        <x:f>IF(COUNTA(A1097:F1097)=0,"",IF(K1097&lt;&gt;"","Review",IF(I1097&lt;0,"Overdue",IF(I1097=0,"Due now",IF(I1097&lt;=M1097,"Due soon","Not due")))))</x:f>
      </x:c>
      <x:c r="H1097" s="5" t="str">
        <x:f>IF(OR(COUNTA(A1097:F1097)=0,COUNTIFS('Rules'!$G$7:$G$26,"="&amp;(SUBSTITUTE(SUBSTITUTE(SUBSTITUTE(SUBSTITUTE("type:"&amp;B1097,"%","%25"),"~","%7E"),"*","%2A"),"?","%3F")))&lt;&gt;1),"",IF(OR(INDEX('Rules'!$B$7:$B$26,MATCH(SUBSTITUTE(SUBSTITUTE(SUBSTITUTE(SUBSTITUTE("type:"&amp;B1097,"%","%25"),"~","%7E"),"*","%2A"),"?","%3F"),'Rules'!$G$7:$G$26,0))="hours",INDEX('Rules'!$B$7:$B$26,MATCH(SUBSTITUTE(SUBSTITUTE(SUBSTITUTE(SUBSTITUTE("type:"&amp;B1097,"%","%25"),"~","%7E"),"*","%2A"),"?","%3F"),'Rules'!$G$7:$G$26,0))="km"),INDEX('Rules'!$B$7:$B$26,MATCH(SUBSTITUTE(SUBSTITUTE(SUBSTITUTE(SUBSTITUTE("type:"&amp;B1097,"%","%25"),"~","%7E"),"*","%2A"),"?","%3F"),'Rules'!$G$7:$G$26,0)),""))</x:f>
      </x:c>
      <x:c r="I1097" s="6" t="str">
        <x:f>IF(AND(NOT(COUNTA(A1097:F1097)=0),K1097=""),ROUND(J1097-D1097,3),"")</x:f>
      </x:c>
      <x:c r="J1097" s="6" t="str">
        <x:f>IF(AND(NOT(COUNTA(A1097:F1097)=0),K1097=""),ROUND(F1097+L1097,3),"")</x:f>
      </x:c>
      <x:c r="K1097" s="5" t="str">
        <x:f>IF(COUNTA(A1097:F1097)=0,"",IF(A1097="","Missing equipment ID",IF(COUNTIFS($N$8:$N$2007,"="&amp;N1097)&gt;1,"Duplicate equipment ID",IF(B1097="","Missing type",IF(COUNTIFS('Rules'!$G$7:$G$26,"="&amp;(SUBSTITUTE(SUBSTITUTE(SUBSTITUTE(SUBSTITUTE("type:"&amp;B1097,"%","%25"),"~","%7E"),"*","%2A"),"?","%3F")))=0,"Unknown type",IF(COUNTIFS('Rules'!$G$7:$G$26,"="&amp;(SUBSTITUTE(SUBSTITUTE(SUBSTITUTE(SUBSTITUTE("type:"&amp;B1097,"%","%25"),"~","%7E"),"*","%2A"),"?","%3F")))&gt;1,"Duplicate type",IF(INDEX('Rules'!$F$7:$F$26,MATCH(SUBSTITUTE(SUBSTITUTE(SUBSTITUTE(SUBSTITUTE("type:"&amp;B1097,"%","%25"),"~","%7E"),"*","%2A"),"?","%3F"),'Rules'!$G$7:$G$26,0))&lt;&gt;"",INDEX('Rules'!$F$7:$F$26,MATCH(SUBSTITUTE(SUBSTITUTE(SUBSTITUTE(SUBSTITUTE("type:"&amp;B1097,"%","%25"),"~","%7E"),"*","%2A"),"?","%3F"),'Rules'!$G$7:$G$26,0)),IF(AND(C1097&lt;&gt;"",C1097&lt;&gt;INDEX('Rules'!$B$7:$B$26,MATCH(SUBSTITUTE(SUBSTITUTE(SUBSTITUTE(SUBSTITUTE("type:"&amp;B1097,"%","%25"),"~","%7E"),"*","%2A"),"?","%3F"),'Rules'!$G$7:$G$26,0))),"Unit mismatch",IF(IF(NOT(ISNUMBER(D1097)),TRUE,OR(D1097&lt;0,D1097&gt;999999999,ROUND(D1097,3)&lt;&gt;D1097)),"Invalid current reading",IF(AND(E1097&lt;&gt;"",IF(NOT(ISNUMBER(E1097)),TRUE,OR(E1097&lt;0,E1097&gt;999999999,ROUND(E1097,3)&lt;&gt;E1097))),"Invalid previous reading",IF(IF(NOT(ISNUMBER(F1097)),TRUE,OR(F1097&lt;0,F1097&gt;999999999,ROUND(F1097,3)&lt;&gt;F1097)),"Invalid last service",IF(AND(E1097&lt;&gt;"",D1097&lt;E1097),"Decreased reading",IF(F1097&gt;D1097,"Last service above current","")))))))))))))</x:f>
      </x:c>
      <x:c r="L1097" s="6" t="str">
        <x:f>IF(AND(NOT(COUNTA(A1097:F1097)=0),K1097=""),INDEX('Rules'!$C$7:$C$26,MATCH(SUBSTITUTE(SUBSTITUTE(SUBSTITUTE(SUBSTITUTE("type:"&amp;B1097,"%","%25"),"~","%7E"),"*","%2A"),"?","%3F"),'Rules'!$G$7:$G$26,0)),"")</x:f>
      </x:c>
      <x:c r="M1097" s="6" t="str">
        <x:f>IF(AND(NOT(COUNTA(A1097:F1097)=0),K1097=""),INDEX('Rules'!$D$7:$D$26,MATCH(SUBSTITUTE(SUBSTITUTE(SUBSTITUTE(SUBSTITUTE("type:"&amp;B1097,"%","%25"),"~","%7E"),"*","%2A"),"?","%3F"),'Rules'!$G$7:$G$26,0)),"")</x:f>
      </x:c>
      <x:c r="N1097" s="5" t="str">
        <x:f>IF(COUNTA(A1097:F1097)=0,"",SUBSTITUTE(SUBSTITUTE(SUBSTITUTE(SUBSTITUTE("id:"&amp;A1097,"%","%25"),"~","%7E"),"*","%2A"),"?","%3F"))</x:f>
      </x:c>
    </x:row>
    <x:row r="1098" ht="22" customHeight="1">
      <x:c r="A1098" s="3"/>
      <x:c r="B1098" s="3"/>
      <x:c r="C1098" s="3"/>
      <x:c r="D1098" s="4"/>
      <x:c r="E1098" s="4"/>
      <x:c r="F1098" s="4"/>
      <x:c r="G1098" s="5" t="str">
        <x:f>IF(COUNTA(A1098:F1098)=0,"",IF(K1098&lt;&gt;"","Review",IF(I1098&lt;0,"Overdue",IF(I1098=0,"Due now",IF(I1098&lt;=M1098,"Due soon","Not due")))))</x:f>
      </x:c>
      <x:c r="H1098" s="5" t="str">
        <x:f>IF(OR(COUNTA(A1098:F1098)=0,COUNTIFS('Rules'!$G$7:$G$26,"="&amp;(SUBSTITUTE(SUBSTITUTE(SUBSTITUTE(SUBSTITUTE("type:"&amp;B1098,"%","%25"),"~","%7E"),"*","%2A"),"?","%3F")))&lt;&gt;1),"",IF(OR(INDEX('Rules'!$B$7:$B$26,MATCH(SUBSTITUTE(SUBSTITUTE(SUBSTITUTE(SUBSTITUTE("type:"&amp;B1098,"%","%25"),"~","%7E"),"*","%2A"),"?","%3F"),'Rules'!$G$7:$G$26,0))="hours",INDEX('Rules'!$B$7:$B$26,MATCH(SUBSTITUTE(SUBSTITUTE(SUBSTITUTE(SUBSTITUTE("type:"&amp;B1098,"%","%25"),"~","%7E"),"*","%2A"),"?","%3F"),'Rules'!$G$7:$G$26,0))="km"),INDEX('Rules'!$B$7:$B$26,MATCH(SUBSTITUTE(SUBSTITUTE(SUBSTITUTE(SUBSTITUTE("type:"&amp;B1098,"%","%25"),"~","%7E"),"*","%2A"),"?","%3F"),'Rules'!$G$7:$G$26,0)),""))</x:f>
      </x:c>
      <x:c r="I1098" s="6" t="str">
        <x:f>IF(AND(NOT(COUNTA(A1098:F1098)=0),K1098=""),ROUND(J1098-D1098,3),"")</x:f>
      </x:c>
      <x:c r="J1098" s="6" t="str">
        <x:f>IF(AND(NOT(COUNTA(A1098:F1098)=0),K1098=""),ROUND(F1098+L1098,3),"")</x:f>
      </x:c>
      <x:c r="K1098" s="5" t="str">
        <x:f>IF(COUNTA(A1098:F1098)=0,"",IF(A1098="","Missing equipment ID",IF(COUNTIFS($N$8:$N$2007,"="&amp;N1098)&gt;1,"Duplicate equipment ID",IF(B1098="","Missing type",IF(COUNTIFS('Rules'!$G$7:$G$26,"="&amp;(SUBSTITUTE(SUBSTITUTE(SUBSTITUTE(SUBSTITUTE("type:"&amp;B1098,"%","%25"),"~","%7E"),"*","%2A"),"?","%3F")))=0,"Unknown type",IF(COUNTIFS('Rules'!$G$7:$G$26,"="&amp;(SUBSTITUTE(SUBSTITUTE(SUBSTITUTE(SUBSTITUTE("type:"&amp;B1098,"%","%25"),"~","%7E"),"*","%2A"),"?","%3F")))&gt;1,"Duplicate type",IF(INDEX('Rules'!$F$7:$F$26,MATCH(SUBSTITUTE(SUBSTITUTE(SUBSTITUTE(SUBSTITUTE("type:"&amp;B1098,"%","%25"),"~","%7E"),"*","%2A"),"?","%3F"),'Rules'!$G$7:$G$26,0))&lt;&gt;"",INDEX('Rules'!$F$7:$F$26,MATCH(SUBSTITUTE(SUBSTITUTE(SUBSTITUTE(SUBSTITUTE("type:"&amp;B1098,"%","%25"),"~","%7E"),"*","%2A"),"?","%3F"),'Rules'!$G$7:$G$26,0)),IF(AND(C1098&lt;&gt;"",C1098&lt;&gt;INDEX('Rules'!$B$7:$B$26,MATCH(SUBSTITUTE(SUBSTITUTE(SUBSTITUTE(SUBSTITUTE("type:"&amp;B1098,"%","%25"),"~","%7E"),"*","%2A"),"?","%3F"),'Rules'!$G$7:$G$26,0))),"Unit mismatch",IF(IF(NOT(ISNUMBER(D1098)),TRUE,OR(D1098&lt;0,D1098&gt;999999999,ROUND(D1098,3)&lt;&gt;D1098)),"Invalid current reading",IF(AND(E1098&lt;&gt;"",IF(NOT(ISNUMBER(E1098)),TRUE,OR(E1098&lt;0,E1098&gt;999999999,ROUND(E1098,3)&lt;&gt;E1098))),"Invalid previous reading",IF(IF(NOT(ISNUMBER(F1098)),TRUE,OR(F1098&lt;0,F1098&gt;999999999,ROUND(F1098,3)&lt;&gt;F1098)),"Invalid last service",IF(AND(E1098&lt;&gt;"",D1098&lt;E1098),"Decreased reading",IF(F1098&gt;D1098,"Last service above current","")))))))))))))</x:f>
      </x:c>
      <x:c r="L1098" s="6" t="str">
        <x:f>IF(AND(NOT(COUNTA(A1098:F1098)=0),K1098=""),INDEX('Rules'!$C$7:$C$26,MATCH(SUBSTITUTE(SUBSTITUTE(SUBSTITUTE(SUBSTITUTE("type:"&amp;B1098,"%","%25"),"~","%7E"),"*","%2A"),"?","%3F"),'Rules'!$G$7:$G$26,0)),"")</x:f>
      </x:c>
      <x:c r="M1098" s="6" t="str">
        <x:f>IF(AND(NOT(COUNTA(A1098:F1098)=0),K1098=""),INDEX('Rules'!$D$7:$D$26,MATCH(SUBSTITUTE(SUBSTITUTE(SUBSTITUTE(SUBSTITUTE("type:"&amp;B1098,"%","%25"),"~","%7E"),"*","%2A"),"?","%3F"),'Rules'!$G$7:$G$26,0)),"")</x:f>
      </x:c>
      <x:c r="N1098" s="5" t="str">
        <x:f>IF(COUNTA(A1098:F1098)=0,"",SUBSTITUTE(SUBSTITUTE(SUBSTITUTE(SUBSTITUTE("id:"&amp;A1098,"%","%25"),"~","%7E"),"*","%2A"),"?","%3F"))</x:f>
      </x:c>
    </x:row>
    <x:row r="1099" ht="22" customHeight="1">
      <x:c r="A1099" s="3"/>
      <x:c r="B1099" s="3"/>
      <x:c r="C1099" s="3"/>
      <x:c r="D1099" s="4"/>
      <x:c r="E1099" s="4"/>
      <x:c r="F1099" s="4"/>
      <x:c r="G1099" s="5" t="str">
        <x:f>IF(COUNTA(A1099:F1099)=0,"",IF(K1099&lt;&gt;"","Review",IF(I1099&lt;0,"Overdue",IF(I1099=0,"Due now",IF(I1099&lt;=M1099,"Due soon","Not due")))))</x:f>
      </x:c>
      <x:c r="H1099" s="5" t="str">
        <x:f>IF(OR(COUNTA(A1099:F1099)=0,COUNTIFS('Rules'!$G$7:$G$26,"="&amp;(SUBSTITUTE(SUBSTITUTE(SUBSTITUTE(SUBSTITUTE("type:"&amp;B1099,"%","%25"),"~","%7E"),"*","%2A"),"?","%3F")))&lt;&gt;1),"",IF(OR(INDEX('Rules'!$B$7:$B$26,MATCH(SUBSTITUTE(SUBSTITUTE(SUBSTITUTE(SUBSTITUTE("type:"&amp;B1099,"%","%25"),"~","%7E"),"*","%2A"),"?","%3F"),'Rules'!$G$7:$G$26,0))="hours",INDEX('Rules'!$B$7:$B$26,MATCH(SUBSTITUTE(SUBSTITUTE(SUBSTITUTE(SUBSTITUTE("type:"&amp;B1099,"%","%25"),"~","%7E"),"*","%2A"),"?","%3F"),'Rules'!$G$7:$G$26,0))="km"),INDEX('Rules'!$B$7:$B$26,MATCH(SUBSTITUTE(SUBSTITUTE(SUBSTITUTE(SUBSTITUTE("type:"&amp;B1099,"%","%25"),"~","%7E"),"*","%2A"),"?","%3F"),'Rules'!$G$7:$G$26,0)),""))</x:f>
      </x:c>
      <x:c r="I1099" s="6" t="str">
        <x:f>IF(AND(NOT(COUNTA(A1099:F1099)=0),K1099=""),ROUND(J1099-D1099,3),"")</x:f>
      </x:c>
      <x:c r="J1099" s="6" t="str">
        <x:f>IF(AND(NOT(COUNTA(A1099:F1099)=0),K1099=""),ROUND(F1099+L1099,3),"")</x:f>
      </x:c>
      <x:c r="K1099" s="5" t="str">
        <x:f>IF(COUNTA(A1099:F1099)=0,"",IF(A1099="","Missing equipment ID",IF(COUNTIFS($N$8:$N$2007,"="&amp;N1099)&gt;1,"Duplicate equipment ID",IF(B1099="","Missing type",IF(COUNTIFS('Rules'!$G$7:$G$26,"="&amp;(SUBSTITUTE(SUBSTITUTE(SUBSTITUTE(SUBSTITUTE("type:"&amp;B1099,"%","%25"),"~","%7E"),"*","%2A"),"?","%3F")))=0,"Unknown type",IF(COUNTIFS('Rules'!$G$7:$G$26,"="&amp;(SUBSTITUTE(SUBSTITUTE(SUBSTITUTE(SUBSTITUTE("type:"&amp;B1099,"%","%25"),"~","%7E"),"*","%2A"),"?","%3F")))&gt;1,"Duplicate type",IF(INDEX('Rules'!$F$7:$F$26,MATCH(SUBSTITUTE(SUBSTITUTE(SUBSTITUTE(SUBSTITUTE("type:"&amp;B1099,"%","%25"),"~","%7E"),"*","%2A"),"?","%3F"),'Rules'!$G$7:$G$26,0))&lt;&gt;"",INDEX('Rules'!$F$7:$F$26,MATCH(SUBSTITUTE(SUBSTITUTE(SUBSTITUTE(SUBSTITUTE("type:"&amp;B1099,"%","%25"),"~","%7E"),"*","%2A"),"?","%3F"),'Rules'!$G$7:$G$26,0)),IF(AND(C1099&lt;&gt;"",C1099&lt;&gt;INDEX('Rules'!$B$7:$B$26,MATCH(SUBSTITUTE(SUBSTITUTE(SUBSTITUTE(SUBSTITUTE("type:"&amp;B1099,"%","%25"),"~","%7E"),"*","%2A"),"?","%3F"),'Rules'!$G$7:$G$26,0))),"Unit mismatch",IF(IF(NOT(ISNUMBER(D1099)),TRUE,OR(D1099&lt;0,D1099&gt;999999999,ROUND(D1099,3)&lt;&gt;D1099)),"Invalid current reading",IF(AND(E1099&lt;&gt;"",IF(NOT(ISNUMBER(E1099)),TRUE,OR(E1099&lt;0,E1099&gt;999999999,ROUND(E1099,3)&lt;&gt;E1099))),"Invalid previous reading",IF(IF(NOT(ISNUMBER(F1099)),TRUE,OR(F1099&lt;0,F1099&gt;999999999,ROUND(F1099,3)&lt;&gt;F1099)),"Invalid last service",IF(AND(E1099&lt;&gt;"",D1099&lt;E1099),"Decreased reading",IF(F1099&gt;D1099,"Last service above current","")))))))))))))</x:f>
      </x:c>
      <x:c r="L1099" s="6" t="str">
        <x:f>IF(AND(NOT(COUNTA(A1099:F1099)=0),K1099=""),INDEX('Rules'!$C$7:$C$26,MATCH(SUBSTITUTE(SUBSTITUTE(SUBSTITUTE(SUBSTITUTE("type:"&amp;B1099,"%","%25"),"~","%7E"),"*","%2A"),"?","%3F"),'Rules'!$G$7:$G$26,0)),"")</x:f>
      </x:c>
      <x:c r="M1099" s="6" t="str">
        <x:f>IF(AND(NOT(COUNTA(A1099:F1099)=0),K1099=""),INDEX('Rules'!$D$7:$D$26,MATCH(SUBSTITUTE(SUBSTITUTE(SUBSTITUTE(SUBSTITUTE("type:"&amp;B1099,"%","%25"),"~","%7E"),"*","%2A"),"?","%3F"),'Rules'!$G$7:$G$26,0)),"")</x:f>
      </x:c>
      <x:c r="N1099" s="5" t="str">
        <x:f>IF(COUNTA(A1099:F1099)=0,"",SUBSTITUTE(SUBSTITUTE(SUBSTITUTE(SUBSTITUTE("id:"&amp;A1099,"%","%25"),"~","%7E"),"*","%2A"),"?","%3F"))</x:f>
      </x:c>
    </x:row>
    <x:row r="1100" ht="22" customHeight="1">
      <x:c r="A1100" s="3"/>
      <x:c r="B1100" s="3"/>
      <x:c r="C1100" s="3"/>
      <x:c r="D1100" s="4"/>
      <x:c r="E1100" s="4"/>
      <x:c r="F1100" s="4"/>
      <x:c r="G1100" s="5" t="str">
        <x:f>IF(COUNTA(A1100:F1100)=0,"",IF(K1100&lt;&gt;"","Review",IF(I1100&lt;0,"Overdue",IF(I1100=0,"Due now",IF(I1100&lt;=M1100,"Due soon","Not due")))))</x:f>
      </x:c>
      <x:c r="H1100" s="5" t="str">
        <x:f>IF(OR(COUNTA(A1100:F1100)=0,COUNTIFS('Rules'!$G$7:$G$26,"="&amp;(SUBSTITUTE(SUBSTITUTE(SUBSTITUTE(SUBSTITUTE("type:"&amp;B1100,"%","%25"),"~","%7E"),"*","%2A"),"?","%3F")))&lt;&gt;1),"",IF(OR(INDEX('Rules'!$B$7:$B$26,MATCH(SUBSTITUTE(SUBSTITUTE(SUBSTITUTE(SUBSTITUTE("type:"&amp;B1100,"%","%25"),"~","%7E"),"*","%2A"),"?","%3F"),'Rules'!$G$7:$G$26,0))="hours",INDEX('Rules'!$B$7:$B$26,MATCH(SUBSTITUTE(SUBSTITUTE(SUBSTITUTE(SUBSTITUTE("type:"&amp;B1100,"%","%25"),"~","%7E"),"*","%2A"),"?","%3F"),'Rules'!$G$7:$G$26,0))="km"),INDEX('Rules'!$B$7:$B$26,MATCH(SUBSTITUTE(SUBSTITUTE(SUBSTITUTE(SUBSTITUTE("type:"&amp;B1100,"%","%25"),"~","%7E"),"*","%2A"),"?","%3F"),'Rules'!$G$7:$G$26,0)),""))</x:f>
      </x:c>
      <x:c r="I1100" s="6" t="str">
        <x:f>IF(AND(NOT(COUNTA(A1100:F1100)=0),K1100=""),ROUND(J1100-D1100,3),"")</x:f>
      </x:c>
      <x:c r="J1100" s="6" t="str">
        <x:f>IF(AND(NOT(COUNTA(A1100:F1100)=0),K1100=""),ROUND(F1100+L1100,3),"")</x:f>
      </x:c>
      <x:c r="K1100" s="5" t="str">
        <x:f>IF(COUNTA(A1100:F1100)=0,"",IF(A1100="","Missing equipment ID",IF(COUNTIFS($N$8:$N$2007,"="&amp;N1100)&gt;1,"Duplicate equipment ID",IF(B1100="","Missing type",IF(COUNTIFS('Rules'!$G$7:$G$26,"="&amp;(SUBSTITUTE(SUBSTITUTE(SUBSTITUTE(SUBSTITUTE("type:"&amp;B1100,"%","%25"),"~","%7E"),"*","%2A"),"?","%3F")))=0,"Unknown type",IF(COUNTIFS('Rules'!$G$7:$G$26,"="&amp;(SUBSTITUTE(SUBSTITUTE(SUBSTITUTE(SUBSTITUTE("type:"&amp;B1100,"%","%25"),"~","%7E"),"*","%2A"),"?","%3F")))&gt;1,"Duplicate type",IF(INDEX('Rules'!$F$7:$F$26,MATCH(SUBSTITUTE(SUBSTITUTE(SUBSTITUTE(SUBSTITUTE("type:"&amp;B1100,"%","%25"),"~","%7E"),"*","%2A"),"?","%3F"),'Rules'!$G$7:$G$26,0))&lt;&gt;"",INDEX('Rules'!$F$7:$F$26,MATCH(SUBSTITUTE(SUBSTITUTE(SUBSTITUTE(SUBSTITUTE("type:"&amp;B1100,"%","%25"),"~","%7E"),"*","%2A"),"?","%3F"),'Rules'!$G$7:$G$26,0)),IF(AND(C1100&lt;&gt;"",C1100&lt;&gt;INDEX('Rules'!$B$7:$B$26,MATCH(SUBSTITUTE(SUBSTITUTE(SUBSTITUTE(SUBSTITUTE("type:"&amp;B1100,"%","%25"),"~","%7E"),"*","%2A"),"?","%3F"),'Rules'!$G$7:$G$26,0))),"Unit mismatch",IF(IF(NOT(ISNUMBER(D1100)),TRUE,OR(D1100&lt;0,D1100&gt;999999999,ROUND(D1100,3)&lt;&gt;D1100)),"Invalid current reading",IF(AND(E1100&lt;&gt;"",IF(NOT(ISNUMBER(E1100)),TRUE,OR(E1100&lt;0,E1100&gt;999999999,ROUND(E1100,3)&lt;&gt;E1100))),"Invalid previous reading",IF(IF(NOT(ISNUMBER(F1100)),TRUE,OR(F1100&lt;0,F1100&gt;999999999,ROUND(F1100,3)&lt;&gt;F1100)),"Invalid last service",IF(AND(E1100&lt;&gt;"",D1100&lt;E1100),"Decreased reading",IF(F1100&gt;D1100,"Last service above current","")))))))))))))</x:f>
      </x:c>
      <x:c r="L1100" s="6" t="str">
        <x:f>IF(AND(NOT(COUNTA(A1100:F1100)=0),K1100=""),INDEX('Rules'!$C$7:$C$26,MATCH(SUBSTITUTE(SUBSTITUTE(SUBSTITUTE(SUBSTITUTE("type:"&amp;B1100,"%","%25"),"~","%7E"),"*","%2A"),"?","%3F"),'Rules'!$G$7:$G$26,0)),"")</x:f>
      </x:c>
      <x:c r="M1100" s="6" t="str">
        <x:f>IF(AND(NOT(COUNTA(A1100:F1100)=0),K1100=""),INDEX('Rules'!$D$7:$D$26,MATCH(SUBSTITUTE(SUBSTITUTE(SUBSTITUTE(SUBSTITUTE("type:"&amp;B1100,"%","%25"),"~","%7E"),"*","%2A"),"?","%3F"),'Rules'!$G$7:$G$26,0)),"")</x:f>
      </x:c>
      <x:c r="N1100" s="5" t="str">
        <x:f>IF(COUNTA(A1100:F1100)=0,"",SUBSTITUTE(SUBSTITUTE(SUBSTITUTE(SUBSTITUTE("id:"&amp;A1100,"%","%25"),"~","%7E"),"*","%2A"),"?","%3F"))</x:f>
      </x:c>
    </x:row>
    <x:row r="1101" ht="22" customHeight="1">
      <x:c r="A1101" s="3"/>
      <x:c r="B1101" s="3"/>
      <x:c r="C1101" s="3"/>
      <x:c r="D1101" s="4"/>
      <x:c r="E1101" s="4"/>
      <x:c r="F1101" s="4"/>
      <x:c r="G1101" s="5" t="str">
        <x:f>IF(COUNTA(A1101:F1101)=0,"",IF(K1101&lt;&gt;"","Review",IF(I1101&lt;0,"Overdue",IF(I1101=0,"Due now",IF(I1101&lt;=M1101,"Due soon","Not due")))))</x:f>
      </x:c>
      <x:c r="H1101" s="5" t="str">
        <x:f>IF(OR(COUNTA(A1101:F1101)=0,COUNTIFS('Rules'!$G$7:$G$26,"="&amp;(SUBSTITUTE(SUBSTITUTE(SUBSTITUTE(SUBSTITUTE("type:"&amp;B1101,"%","%25"),"~","%7E"),"*","%2A"),"?","%3F")))&lt;&gt;1),"",IF(OR(INDEX('Rules'!$B$7:$B$26,MATCH(SUBSTITUTE(SUBSTITUTE(SUBSTITUTE(SUBSTITUTE("type:"&amp;B1101,"%","%25"),"~","%7E"),"*","%2A"),"?","%3F"),'Rules'!$G$7:$G$26,0))="hours",INDEX('Rules'!$B$7:$B$26,MATCH(SUBSTITUTE(SUBSTITUTE(SUBSTITUTE(SUBSTITUTE("type:"&amp;B1101,"%","%25"),"~","%7E"),"*","%2A"),"?","%3F"),'Rules'!$G$7:$G$26,0))="km"),INDEX('Rules'!$B$7:$B$26,MATCH(SUBSTITUTE(SUBSTITUTE(SUBSTITUTE(SUBSTITUTE("type:"&amp;B1101,"%","%25"),"~","%7E"),"*","%2A"),"?","%3F"),'Rules'!$G$7:$G$26,0)),""))</x:f>
      </x:c>
      <x:c r="I1101" s="6" t="str">
        <x:f>IF(AND(NOT(COUNTA(A1101:F1101)=0),K1101=""),ROUND(J1101-D1101,3),"")</x:f>
      </x:c>
      <x:c r="J1101" s="6" t="str">
        <x:f>IF(AND(NOT(COUNTA(A1101:F1101)=0),K1101=""),ROUND(F1101+L1101,3),"")</x:f>
      </x:c>
      <x:c r="K1101" s="5" t="str">
        <x:f>IF(COUNTA(A1101:F1101)=0,"",IF(A1101="","Missing equipment ID",IF(COUNTIFS($N$8:$N$2007,"="&amp;N1101)&gt;1,"Duplicate equipment ID",IF(B1101="","Missing type",IF(COUNTIFS('Rules'!$G$7:$G$26,"="&amp;(SUBSTITUTE(SUBSTITUTE(SUBSTITUTE(SUBSTITUTE("type:"&amp;B1101,"%","%25"),"~","%7E"),"*","%2A"),"?","%3F")))=0,"Unknown type",IF(COUNTIFS('Rules'!$G$7:$G$26,"="&amp;(SUBSTITUTE(SUBSTITUTE(SUBSTITUTE(SUBSTITUTE("type:"&amp;B1101,"%","%25"),"~","%7E"),"*","%2A"),"?","%3F")))&gt;1,"Duplicate type",IF(INDEX('Rules'!$F$7:$F$26,MATCH(SUBSTITUTE(SUBSTITUTE(SUBSTITUTE(SUBSTITUTE("type:"&amp;B1101,"%","%25"),"~","%7E"),"*","%2A"),"?","%3F"),'Rules'!$G$7:$G$26,0))&lt;&gt;"",INDEX('Rules'!$F$7:$F$26,MATCH(SUBSTITUTE(SUBSTITUTE(SUBSTITUTE(SUBSTITUTE("type:"&amp;B1101,"%","%25"),"~","%7E"),"*","%2A"),"?","%3F"),'Rules'!$G$7:$G$26,0)),IF(AND(C1101&lt;&gt;"",C1101&lt;&gt;INDEX('Rules'!$B$7:$B$26,MATCH(SUBSTITUTE(SUBSTITUTE(SUBSTITUTE(SUBSTITUTE("type:"&amp;B1101,"%","%25"),"~","%7E"),"*","%2A"),"?","%3F"),'Rules'!$G$7:$G$26,0))),"Unit mismatch",IF(IF(NOT(ISNUMBER(D1101)),TRUE,OR(D1101&lt;0,D1101&gt;999999999,ROUND(D1101,3)&lt;&gt;D1101)),"Invalid current reading",IF(AND(E1101&lt;&gt;"",IF(NOT(ISNUMBER(E1101)),TRUE,OR(E1101&lt;0,E1101&gt;999999999,ROUND(E1101,3)&lt;&gt;E1101))),"Invalid previous reading",IF(IF(NOT(ISNUMBER(F1101)),TRUE,OR(F1101&lt;0,F1101&gt;999999999,ROUND(F1101,3)&lt;&gt;F1101)),"Invalid last service",IF(AND(E1101&lt;&gt;"",D1101&lt;E1101),"Decreased reading",IF(F1101&gt;D1101,"Last service above current","")))))))))))))</x:f>
      </x:c>
      <x:c r="L1101" s="6" t="str">
        <x:f>IF(AND(NOT(COUNTA(A1101:F1101)=0),K1101=""),INDEX('Rules'!$C$7:$C$26,MATCH(SUBSTITUTE(SUBSTITUTE(SUBSTITUTE(SUBSTITUTE("type:"&amp;B1101,"%","%25"),"~","%7E"),"*","%2A"),"?","%3F"),'Rules'!$G$7:$G$26,0)),"")</x:f>
      </x:c>
      <x:c r="M1101" s="6" t="str">
        <x:f>IF(AND(NOT(COUNTA(A1101:F1101)=0),K1101=""),INDEX('Rules'!$D$7:$D$26,MATCH(SUBSTITUTE(SUBSTITUTE(SUBSTITUTE(SUBSTITUTE("type:"&amp;B1101,"%","%25"),"~","%7E"),"*","%2A"),"?","%3F"),'Rules'!$G$7:$G$26,0)),"")</x:f>
      </x:c>
      <x:c r="N1101" s="5" t="str">
        <x:f>IF(COUNTA(A1101:F1101)=0,"",SUBSTITUTE(SUBSTITUTE(SUBSTITUTE(SUBSTITUTE("id:"&amp;A1101,"%","%25"),"~","%7E"),"*","%2A"),"?","%3F"))</x:f>
      </x:c>
    </x:row>
    <x:row r="1102" ht="22" customHeight="1">
      <x:c r="A1102" s="3"/>
      <x:c r="B1102" s="3"/>
      <x:c r="C1102" s="3"/>
      <x:c r="D1102" s="4"/>
      <x:c r="E1102" s="4"/>
      <x:c r="F1102" s="4"/>
      <x:c r="G1102" s="5" t="str">
        <x:f>IF(COUNTA(A1102:F1102)=0,"",IF(K1102&lt;&gt;"","Review",IF(I1102&lt;0,"Overdue",IF(I1102=0,"Due now",IF(I1102&lt;=M1102,"Due soon","Not due")))))</x:f>
      </x:c>
      <x:c r="H1102" s="5" t="str">
        <x:f>IF(OR(COUNTA(A1102:F1102)=0,COUNTIFS('Rules'!$G$7:$G$26,"="&amp;(SUBSTITUTE(SUBSTITUTE(SUBSTITUTE(SUBSTITUTE("type:"&amp;B1102,"%","%25"),"~","%7E"),"*","%2A"),"?","%3F")))&lt;&gt;1),"",IF(OR(INDEX('Rules'!$B$7:$B$26,MATCH(SUBSTITUTE(SUBSTITUTE(SUBSTITUTE(SUBSTITUTE("type:"&amp;B1102,"%","%25"),"~","%7E"),"*","%2A"),"?","%3F"),'Rules'!$G$7:$G$26,0))="hours",INDEX('Rules'!$B$7:$B$26,MATCH(SUBSTITUTE(SUBSTITUTE(SUBSTITUTE(SUBSTITUTE("type:"&amp;B1102,"%","%25"),"~","%7E"),"*","%2A"),"?","%3F"),'Rules'!$G$7:$G$26,0))="km"),INDEX('Rules'!$B$7:$B$26,MATCH(SUBSTITUTE(SUBSTITUTE(SUBSTITUTE(SUBSTITUTE("type:"&amp;B1102,"%","%25"),"~","%7E"),"*","%2A"),"?","%3F"),'Rules'!$G$7:$G$26,0)),""))</x:f>
      </x:c>
      <x:c r="I1102" s="6" t="str">
        <x:f>IF(AND(NOT(COUNTA(A1102:F1102)=0),K1102=""),ROUND(J1102-D1102,3),"")</x:f>
      </x:c>
      <x:c r="J1102" s="6" t="str">
        <x:f>IF(AND(NOT(COUNTA(A1102:F1102)=0),K1102=""),ROUND(F1102+L1102,3),"")</x:f>
      </x:c>
      <x:c r="K1102" s="5" t="str">
        <x:f>IF(COUNTA(A1102:F1102)=0,"",IF(A1102="","Missing equipment ID",IF(COUNTIFS($N$8:$N$2007,"="&amp;N1102)&gt;1,"Duplicate equipment ID",IF(B1102="","Missing type",IF(COUNTIFS('Rules'!$G$7:$G$26,"="&amp;(SUBSTITUTE(SUBSTITUTE(SUBSTITUTE(SUBSTITUTE("type:"&amp;B1102,"%","%25"),"~","%7E"),"*","%2A"),"?","%3F")))=0,"Unknown type",IF(COUNTIFS('Rules'!$G$7:$G$26,"="&amp;(SUBSTITUTE(SUBSTITUTE(SUBSTITUTE(SUBSTITUTE("type:"&amp;B1102,"%","%25"),"~","%7E"),"*","%2A"),"?","%3F")))&gt;1,"Duplicate type",IF(INDEX('Rules'!$F$7:$F$26,MATCH(SUBSTITUTE(SUBSTITUTE(SUBSTITUTE(SUBSTITUTE("type:"&amp;B1102,"%","%25"),"~","%7E"),"*","%2A"),"?","%3F"),'Rules'!$G$7:$G$26,0))&lt;&gt;"",INDEX('Rules'!$F$7:$F$26,MATCH(SUBSTITUTE(SUBSTITUTE(SUBSTITUTE(SUBSTITUTE("type:"&amp;B1102,"%","%25"),"~","%7E"),"*","%2A"),"?","%3F"),'Rules'!$G$7:$G$26,0)),IF(AND(C1102&lt;&gt;"",C1102&lt;&gt;INDEX('Rules'!$B$7:$B$26,MATCH(SUBSTITUTE(SUBSTITUTE(SUBSTITUTE(SUBSTITUTE("type:"&amp;B1102,"%","%25"),"~","%7E"),"*","%2A"),"?","%3F"),'Rules'!$G$7:$G$26,0))),"Unit mismatch",IF(IF(NOT(ISNUMBER(D1102)),TRUE,OR(D1102&lt;0,D1102&gt;999999999,ROUND(D1102,3)&lt;&gt;D1102)),"Invalid current reading",IF(AND(E1102&lt;&gt;"",IF(NOT(ISNUMBER(E1102)),TRUE,OR(E1102&lt;0,E1102&gt;999999999,ROUND(E1102,3)&lt;&gt;E1102))),"Invalid previous reading",IF(IF(NOT(ISNUMBER(F1102)),TRUE,OR(F1102&lt;0,F1102&gt;999999999,ROUND(F1102,3)&lt;&gt;F1102)),"Invalid last service",IF(AND(E1102&lt;&gt;"",D1102&lt;E1102),"Decreased reading",IF(F1102&gt;D1102,"Last service above current","")))))))))))))</x:f>
      </x:c>
      <x:c r="L1102" s="6" t="str">
        <x:f>IF(AND(NOT(COUNTA(A1102:F1102)=0),K1102=""),INDEX('Rules'!$C$7:$C$26,MATCH(SUBSTITUTE(SUBSTITUTE(SUBSTITUTE(SUBSTITUTE("type:"&amp;B1102,"%","%25"),"~","%7E"),"*","%2A"),"?","%3F"),'Rules'!$G$7:$G$26,0)),"")</x:f>
      </x:c>
      <x:c r="M1102" s="6" t="str">
        <x:f>IF(AND(NOT(COUNTA(A1102:F1102)=0),K1102=""),INDEX('Rules'!$D$7:$D$26,MATCH(SUBSTITUTE(SUBSTITUTE(SUBSTITUTE(SUBSTITUTE("type:"&amp;B1102,"%","%25"),"~","%7E"),"*","%2A"),"?","%3F"),'Rules'!$G$7:$G$26,0)),"")</x:f>
      </x:c>
      <x:c r="N1102" s="5" t="str">
        <x:f>IF(COUNTA(A1102:F1102)=0,"",SUBSTITUTE(SUBSTITUTE(SUBSTITUTE(SUBSTITUTE("id:"&amp;A1102,"%","%25"),"~","%7E"),"*","%2A"),"?","%3F"))</x:f>
      </x:c>
    </x:row>
    <x:row r="1103" ht="22" customHeight="1">
      <x:c r="A1103" s="3"/>
      <x:c r="B1103" s="3"/>
      <x:c r="C1103" s="3"/>
      <x:c r="D1103" s="4"/>
      <x:c r="E1103" s="4"/>
      <x:c r="F1103" s="4"/>
      <x:c r="G1103" s="5" t="str">
        <x:f>IF(COUNTA(A1103:F1103)=0,"",IF(K1103&lt;&gt;"","Review",IF(I1103&lt;0,"Overdue",IF(I1103=0,"Due now",IF(I1103&lt;=M1103,"Due soon","Not due")))))</x:f>
      </x:c>
      <x:c r="H1103" s="5" t="str">
        <x:f>IF(OR(COUNTA(A1103:F1103)=0,COUNTIFS('Rules'!$G$7:$G$26,"="&amp;(SUBSTITUTE(SUBSTITUTE(SUBSTITUTE(SUBSTITUTE("type:"&amp;B1103,"%","%25"),"~","%7E"),"*","%2A"),"?","%3F")))&lt;&gt;1),"",IF(OR(INDEX('Rules'!$B$7:$B$26,MATCH(SUBSTITUTE(SUBSTITUTE(SUBSTITUTE(SUBSTITUTE("type:"&amp;B1103,"%","%25"),"~","%7E"),"*","%2A"),"?","%3F"),'Rules'!$G$7:$G$26,0))="hours",INDEX('Rules'!$B$7:$B$26,MATCH(SUBSTITUTE(SUBSTITUTE(SUBSTITUTE(SUBSTITUTE("type:"&amp;B1103,"%","%25"),"~","%7E"),"*","%2A"),"?","%3F"),'Rules'!$G$7:$G$26,0))="km"),INDEX('Rules'!$B$7:$B$26,MATCH(SUBSTITUTE(SUBSTITUTE(SUBSTITUTE(SUBSTITUTE("type:"&amp;B1103,"%","%25"),"~","%7E"),"*","%2A"),"?","%3F"),'Rules'!$G$7:$G$26,0)),""))</x:f>
      </x:c>
      <x:c r="I1103" s="6" t="str">
        <x:f>IF(AND(NOT(COUNTA(A1103:F1103)=0),K1103=""),ROUND(J1103-D1103,3),"")</x:f>
      </x:c>
      <x:c r="J1103" s="6" t="str">
        <x:f>IF(AND(NOT(COUNTA(A1103:F1103)=0),K1103=""),ROUND(F1103+L1103,3),"")</x:f>
      </x:c>
      <x:c r="K1103" s="5" t="str">
        <x:f>IF(COUNTA(A1103:F1103)=0,"",IF(A1103="","Missing equipment ID",IF(COUNTIFS($N$8:$N$2007,"="&amp;N1103)&gt;1,"Duplicate equipment ID",IF(B1103="","Missing type",IF(COUNTIFS('Rules'!$G$7:$G$26,"="&amp;(SUBSTITUTE(SUBSTITUTE(SUBSTITUTE(SUBSTITUTE("type:"&amp;B1103,"%","%25"),"~","%7E"),"*","%2A"),"?","%3F")))=0,"Unknown type",IF(COUNTIFS('Rules'!$G$7:$G$26,"="&amp;(SUBSTITUTE(SUBSTITUTE(SUBSTITUTE(SUBSTITUTE("type:"&amp;B1103,"%","%25"),"~","%7E"),"*","%2A"),"?","%3F")))&gt;1,"Duplicate type",IF(INDEX('Rules'!$F$7:$F$26,MATCH(SUBSTITUTE(SUBSTITUTE(SUBSTITUTE(SUBSTITUTE("type:"&amp;B1103,"%","%25"),"~","%7E"),"*","%2A"),"?","%3F"),'Rules'!$G$7:$G$26,0))&lt;&gt;"",INDEX('Rules'!$F$7:$F$26,MATCH(SUBSTITUTE(SUBSTITUTE(SUBSTITUTE(SUBSTITUTE("type:"&amp;B1103,"%","%25"),"~","%7E"),"*","%2A"),"?","%3F"),'Rules'!$G$7:$G$26,0)),IF(AND(C1103&lt;&gt;"",C1103&lt;&gt;INDEX('Rules'!$B$7:$B$26,MATCH(SUBSTITUTE(SUBSTITUTE(SUBSTITUTE(SUBSTITUTE("type:"&amp;B1103,"%","%25"),"~","%7E"),"*","%2A"),"?","%3F"),'Rules'!$G$7:$G$26,0))),"Unit mismatch",IF(IF(NOT(ISNUMBER(D1103)),TRUE,OR(D1103&lt;0,D1103&gt;999999999,ROUND(D1103,3)&lt;&gt;D1103)),"Invalid current reading",IF(AND(E1103&lt;&gt;"",IF(NOT(ISNUMBER(E1103)),TRUE,OR(E1103&lt;0,E1103&gt;999999999,ROUND(E1103,3)&lt;&gt;E1103))),"Invalid previous reading",IF(IF(NOT(ISNUMBER(F1103)),TRUE,OR(F1103&lt;0,F1103&gt;999999999,ROUND(F1103,3)&lt;&gt;F1103)),"Invalid last service",IF(AND(E1103&lt;&gt;"",D1103&lt;E1103),"Decreased reading",IF(F1103&gt;D1103,"Last service above current","")))))))))))))</x:f>
      </x:c>
      <x:c r="L1103" s="6" t="str">
        <x:f>IF(AND(NOT(COUNTA(A1103:F1103)=0),K1103=""),INDEX('Rules'!$C$7:$C$26,MATCH(SUBSTITUTE(SUBSTITUTE(SUBSTITUTE(SUBSTITUTE("type:"&amp;B1103,"%","%25"),"~","%7E"),"*","%2A"),"?","%3F"),'Rules'!$G$7:$G$26,0)),"")</x:f>
      </x:c>
      <x:c r="M1103" s="6" t="str">
        <x:f>IF(AND(NOT(COUNTA(A1103:F1103)=0),K1103=""),INDEX('Rules'!$D$7:$D$26,MATCH(SUBSTITUTE(SUBSTITUTE(SUBSTITUTE(SUBSTITUTE("type:"&amp;B1103,"%","%25"),"~","%7E"),"*","%2A"),"?","%3F"),'Rules'!$G$7:$G$26,0)),"")</x:f>
      </x:c>
      <x:c r="N1103" s="5" t="str">
        <x:f>IF(COUNTA(A1103:F1103)=0,"",SUBSTITUTE(SUBSTITUTE(SUBSTITUTE(SUBSTITUTE("id:"&amp;A1103,"%","%25"),"~","%7E"),"*","%2A"),"?","%3F"))</x:f>
      </x:c>
    </x:row>
    <x:row r="1104" ht="22" customHeight="1">
      <x:c r="A1104" s="3"/>
      <x:c r="B1104" s="3"/>
      <x:c r="C1104" s="3"/>
      <x:c r="D1104" s="4"/>
      <x:c r="E1104" s="4"/>
      <x:c r="F1104" s="4"/>
      <x:c r="G1104" s="5" t="str">
        <x:f>IF(COUNTA(A1104:F1104)=0,"",IF(K1104&lt;&gt;"","Review",IF(I1104&lt;0,"Overdue",IF(I1104=0,"Due now",IF(I1104&lt;=M1104,"Due soon","Not due")))))</x:f>
      </x:c>
      <x:c r="H1104" s="5" t="str">
        <x:f>IF(OR(COUNTA(A1104:F1104)=0,COUNTIFS('Rules'!$G$7:$G$26,"="&amp;(SUBSTITUTE(SUBSTITUTE(SUBSTITUTE(SUBSTITUTE("type:"&amp;B1104,"%","%25"),"~","%7E"),"*","%2A"),"?","%3F")))&lt;&gt;1),"",IF(OR(INDEX('Rules'!$B$7:$B$26,MATCH(SUBSTITUTE(SUBSTITUTE(SUBSTITUTE(SUBSTITUTE("type:"&amp;B1104,"%","%25"),"~","%7E"),"*","%2A"),"?","%3F"),'Rules'!$G$7:$G$26,0))="hours",INDEX('Rules'!$B$7:$B$26,MATCH(SUBSTITUTE(SUBSTITUTE(SUBSTITUTE(SUBSTITUTE("type:"&amp;B1104,"%","%25"),"~","%7E"),"*","%2A"),"?","%3F"),'Rules'!$G$7:$G$26,0))="km"),INDEX('Rules'!$B$7:$B$26,MATCH(SUBSTITUTE(SUBSTITUTE(SUBSTITUTE(SUBSTITUTE("type:"&amp;B1104,"%","%25"),"~","%7E"),"*","%2A"),"?","%3F"),'Rules'!$G$7:$G$26,0)),""))</x:f>
      </x:c>
      <x:c r="I1104" s="6" t="str">
        <x:f>IF(AND(NOT(COUNTA(A1104:F1104)=0),K1104=""),ROUND(J1104-D1104,3),"")</x:f>
      </x:c>
      <x:c r="J1104" s="6" t="str">
        <x:f>IF(AND(NOT(COUNTA(A1104:F1104)=0),K1104=""),ROUND(F1104+L1104,3),"")</x:f>
      </x:c>
      <x:c r="K1104" s="5" t="str">
        <x:f>IF(COUNTA(A1104:F1104)=0,"",IF(A1104="","Missing equipment ID",IF(COUNTIFS($N$8:$N$2007,"="&amp;N1104)&gt;1,"Duplicate equipment ID",IF(B1104="","Missing type",IF(COUNTIFS('Rules'!$G$7:$G$26,"="&amp;(SUBSTITUTE(SUBSTITUTE(SUBSTITUTE(SUBSTITUTE("type:"&amp;B1104,"%","%25"),"~","%7E"),"*","%2A"),"?","%3F")))=0,"Unknown type",IF(COUNTIFS('Rules'!$G$7:$G$26,"="&amp;(SUBSTITUTE(SUBSTITUTE(SUBSTITUTE(SUBSTITUTE("type:"&amp;B1104,"%","%25"),"~","%7E"),"*","%2A"),"?","%3F")))&gt;1,"Duplicate type",IF(INDEX('Rules'!$F$7:$F$26,MATCH(SUBSTITUTE(SUBSTITUTE(SUBSTITUTE(SUBSTITUTE("type:"&amp;B1104,"%","%25"),"~","%7E"),"*","%2A"),"?","%3F"),'Rules'!$G$7:$G$26,0))&lt;&gt;"",INDEX('Rules'!$F$7:$F$26,MATCH(SUBSTITUTE(SUBSTITUTE(SUBSTITUTE(SUBSTITUTE("type:"&amp;B1104,"%","%25"),"~","%7E"),"*","%2A"),"?","%3F"),'Rules'!$G$7:$G$26,0)),IF(AND(C1104&lt;&gt;"",C1104&lt;&gt;INDEX('Rules'!$B$7:$B$26,MATCH(SUBSTITUTE(SUBSTITUTE(SUBSTITUTE(SUBSTITUTE("type:"&amp;B1104,"%","%25"),"~","%7E"),"*","%2A"),"?","%3F"),'Rules'!$G$7:$G$26,0))),"Unit mismatch",IF(IF(NOT(ISNUMBER(D1104)),TRUE,OR(D1104&lt;0,D1104&gt;999999999,ROUND(D1104,3)&lt;&gt;D1104)),"Invalid current reading",IF(AND(E1104&lt;&gt;"",IF(NOT(ISNUMBER(E1104)),TRUE,OR(E1104&lt;0,E1104&gt;999999999,ROUND(E1104,3)&lt;&gt;E1104))),"Invalid previous reading",IF(IF(NOT(ISNUMBER(F1104)),TRUE,OR(F1104&lt;0,F1104&gt;999999999,ROUND(F1104,3)&lt;&gt;F1104)),"Invalid last service",IF(AND(E1104&lt;&gt;"",D1104&lt;E1104),"Decreased reading",IF(F1104&gt;D1104,"Last service above current","")))))))))))))</x:f>
      </x:c>
      <x:c r="L1104" s="6" t="str">
        <x:f>IF(AND(NOT(COUNTA(A1104:F1104)=0),K1104=""),INDEX('Rules'!$C$7:$C$26,MATCH(SUBSTITUTE(SUBSTITUTE(SUBSTITUTE(SUBSTITUTE("type:"&amp;B1104,"%","%25"),"~","%7E"),"*","%2A"),"?","%3F"),'Rules'!$G$7:$G$26,0)),"")</x:f>
      </x:c>
      <x:c r="M1104" s="6" t="str">
        <x:f>IF(AND(NOT(COUNTA(A1104:F1104)=0),K1104=""),INDEX('Rules'!$D$7:$D$26,MATCH(SUBSTITUTE(SUBSTITUTE(SUBSTITUTE(SUBSTITUTE("type:"&amp;B1104,"%","%25"),"~","%7E"),"*","%2A"),"?","%3F"),'Rules'!$G$7:$G$26,0)),"")</x:f>
      </x:c>
      <x:c r="N1104" s="5" t="str">
        <x:f>IF(COUNTA(A1104:F1104)=0,"",SUBSTITUTE(SUBSTITUTE(SUBSTITUTE(SUBSTITUTE("id:"&amp;A1104,"%","%25"),"~","%7E"),"*","%2A"),"?","%3F"))</x:f>
      </x:c>
    </x:row>
    <x:row r="1105" ht="22" customHeight="1">
      <x:c r="A1105" s="3"/>
      <x:c r="B1105" s="3"/>
      <x:c r="C1105" s="3"/>
      <x:c r="D1105" s="4"/>
      <x:c r="E1105" s="4"/>
      <x:c r="F1105" s="4"/>
      <x:c r="G1105" s="5" t="str">
        <x:f>IF(COUNTA(A1105:F1105)=0,"",IF(K1105&lt;&gt;"","Review",IF(I1105&lt;0,"Overdue",IF(I1105=0,"Due now",IF(I1105&lt;=M1105,"Due soon","Not due")))))</x:f>
      </x:c>
      <x:c r="H1105" s="5" t="str">
        <x:f>IF(OR(COUNTA(A1105:F1105)=0,COUNTIFS('Rules'!$G$7:$G$26,"="&amp;(SUBSTITUTE(SUBSTITUTE(SUBSTITUTE(SUBSTITUTE("type:"&amp;B1105,"%","%25"),"~","%7E"),"*","%2A"),"?","%3F")))&lt;&gt;1),"",IF(OR(INDEX('Rules'!$B$7:$B$26,MATCH(SUBSTITUTE(SUBSTITUTE(SUBSTITUTE(SUBSTITUTE("type:"&amp;B1105,"%","%25"),"~","%7E"),"*","%2A"),"?","%3F"),'Rules'!$G$7:$G$26,0))="hours",INDEX('Rules'!$B$7:$B$26,MATCH(SUBSTITUTE(SUBSTITUTE(SUBSTITUTE(SUBSTITUTE("type:"&amp;B1105,"%","%25"),"~","%7E"),"*","%2A"),"?","%3F"),'Rules'!$G$7:$G$26,0))="km"),INDEX('Rules'!$B$7:$B$26,MATCH(SUBSTITUTE(SUBSTITUTE(SUBSTITUTE(SUBSTITUTE("type:"&amp;B1105,"%","%25"),"~","%7E"),"*","%2A"),"?","%3F"),'Rules'!$G$7:$G$26,0)),""))</x:f>
      </x:c>
      <x:c r="I1105" s="6" t="str">
        <x:f>IF(AND(NOT(COUNTA(A1105:F1105)=0),K1105=""),ROUND(J1105-D1105,3),"")</x:f>
      </x:c>
      <x:c r="J1105" s="6" t="str">
        <x:f>IF(AND(NOT(COUNTA(A1105:F1105)=0),K1105=""),ROUND(F1105+L1105,3),"")</x:f>
      </x:c>
      <x:c r="K1105" s="5" t="str">
        <x:f>IF(COUNTA(A1105:F1105)=0,"",IF(A1105="","Missing equipment ID",IF(COUNTIFS($N$8:$N$2007,"="&amp;N1105)&gt;1,"Duplicate equipment ID",IF(B1105="","Missing type",IF(COUNTIFS('Rules'!$G$7:$G$26,"="&amp;(SUBSTITUTE(SUBSTITUTE(SUBSTITUTE(SUBSTITUTE("type:"&amp;B1105,"%","%25"),"~","%7E"),"*","%2A"),"?","%3F")))=0,"Unknown type",IF(COUNTIFS('Rules'!$G$7:$G$26,"="&amp;(SUBSTITUTE(SUBSTITUTE(SUBSTITUTE(SUBSTITUTE("type:"&amp;B1105,"%","%25"),"~","%7E"),"*","%2A"),"?","%3F")))&gt;1,"Duplicate type",IF(INDEX('Rules'!$F$7:$F$26,MATCH(SUBSTITUTE(SUBSTITUTE(SUBSTITUTE(SUBSTITUTE("type:"&amp;B1105,"%","%25"),"~","%7E"),"*","%2A"),"?","%3F"),'Rules'!$G$7:$G$26,0))&lt;&gt;"",INDEX('Rules'!$F$7:$F$26,MATCH(SUBSTITUTE(SUBSTITUTE(SUBSTITUTE(SUBSTITUTE("type:"&amp;B1105,"%","%25"),"~","%7E"),"*","%2A"),"?","%3F"),'Rules'!$G$7:$G$26,0)),IF(AND(C1105&lt;&gt;"",C1105&lt;&gt;INDEX('Rules'!$B$7:$B$26,MATCH(SUBSTITUTE(SUBSTITUTE(SUBSTITUTE(SUBSTITUTE("type:"&amp;B1105,"%","%25"),"~","%7E"),"*","%2A"),"?","%3F"),'Rules'!$G$7:$G$26,0))),"Unit mismatch",IF(IF(NOT(ISNUMBER(D1105)),TRUE,OR(D1105&lt;0,D1105&gt;999999999,ROUND(D1105,3)&lt;&gt;D1105)),"Invalid current reading",IF(AND(E1105&lt;&gt;"",IF(NOT(ISNUMBER(E1105)),TRUE,OR(E1105&lt;0,E1105&gt;999999999,ROUND(E1105,3)&lt;&gt;E1105))),"Invalid previous reading",IF(IF(NOT(ISNUMBER(F1105)),TRUE,OR(F1105&lt;0,F1105&gt;999999999,ROUND(F1105,3)&lt;&gt;F1105)),"Invalid last service",IF(AND(E1105&lt;&gt;"",D1105&lt;E1105),"Decreased reading",IF(F1105&gt;D1105,"Last service above current","")))))))))))))</x:f>
      </x:c>
      <x:c r="L1105" s="6" t="str">
        <x:f>IF(AND(NOT(COUNTA(A1105:F1105)=0),K1105=""),INDEX('Rules'!$C$7:$C$26,MATCH(SUBSTITUTE(SUBSTITUTE(SUBSTITUTE(SUBSTITUTE("type:"&amp;B1105,"%","%25"),"~","%7E"),"*","%2A"),"?","%3F"),'Rules'!$G$7:$G$26,0)),"")</x:f>
      </x:c>
      <x:c r="M1105" s="6" t="str">
        <x:f>IF(AND(NOT(COUNTA(A1105:F1105)=0),K1105=""),INDEX('Rules'!$D$7:$D$26,MATCH(SUBSTITUTE(SUBSTITUTE(SUBSTITUTE(SUBSTITUTE("type:"&amp;B1105,"%","%25"),"~","%7E"),"*","%2A"),"?","%3F"),'Rules'!$G$7:$G$26,0)),"")</x:f>
      </x:c>
      <x:c r="N1105" s="5" t="str">
        <x:f>IF(COUNTA(A1105:F1105)=0,"",SUBSTITUTE(SUBSTITUTE(SUBSTITUTE(SUBSTITUTE("id:"&amp;A1105,"%","%25"),"~","%7E"),"*","%2A"),"?","%3F"))</x:f>
      </x:c>
    </x:row>
    <x:row r="1106" ht="22" customHeight="1">
      <x:c r="A1106" s="3"/>
      <x:c r="B1106" s="3"/>
      <x:c r="C1106" s="3"/>
      <x:c r="D1106" s="4"/>
      <x:c r="E1106" s="4"/>
      <x:c r="F1106" s="4"/>
      <x:c r="G1106" s="5" t="str">
        <x:f>IF(COUNTA(A1106:F1106)=0,"",IF(K1106&lt;&gt;"","Review",IF(I1106&lt;0,"Overdue",IF(I1106=0,"Due now",IF(I1106&lt;=M1106,"Due soon","Not due")))))</x:f>
      </x:c>
      <x:c r="H1106" s="5" t="str">
        <x:f>IF(OR(COUNTA(A1106:F1106)=0,COUNTIFS('Rules'!$G$7:$G$26,"="&amp;(SUBSTITUTE(SUBSTITUTE(SUBSTITUTE(SUBSTITUTE("type:"&amp;B1106,"%","%25"),"~","%7E"),"*","%2A"),"?","%3F")))&lt;&gt;1),"",IF(OR(INDEX('Rules'!$B$7:$B$26,MATCH(SUBSTITUTE(SUBSTITUTE(SUBSTITUTE(SUBSTITUTE("type:"&amp;B1106,"%","%25"),"~","%7E"),"*","%2A"),"?","%3F"),'Rules'!$G$7:$G$26,0))="hours",INDEX('Rules'!$B$7:$B$26,MATCH(SUBSTITUTE(SUBSTITUTE(SUBSTITUTE(SUBSTITUTE("type:"&amp;B1106,"%","%25"),"~","%7E"),"*","%2A"),"?","%3F"),'Rules'!$G$7:$G$26,0))="km"),INDEX('Rules'!$B$7:$B$26,MATCH(SUBSTITUTE(SUBSTITUTE(SUBSTITUTE(SUBSTITUTE("type:"&amp;B1106,"%","%25"),"~","%7E"),"*","%2A"),"?","%3F"),'Rules'!$G$7:$G$26,0)),""))</x:f>
      </x:c>
      <x:c r="I1106" s="6" t="str">
        <x:f>IF(AND(NOT(COUNTA(A1106:F1106)=0),K1106=""),ROUND(J1106-D1106,3),"")</x:f>
      </x:c>
      <x:c r="J1106" s="6" t="str">
        <x:f>IF(AND(NOT(COUNTA(A1106:F1106)=0),K1106=""),ROUND(F1106+L1106,3),"")</x:f>
      </x:c>
      <x:c r="K1106" s="5" t="str">
        <x:f>IF(COUNTA(A1106:F1106)=0,"",IF(A1106="","Missing equipment ID",IF(COUNTIFS($N$8:$N$2007,"="&amp;N1106)&gt;1,"Duplicate equipment ID",IF(B1106="","Missing type",IF(COUNTIFS('Rules'!$G$7:$G$26,"="&amp;(SUBSTITUTE(SUBSTITUTE(SUBSTITUTE(SUBSTITUTE("type:"&amp;B1106,"%","%25"),"~","%7E"),"*","%2A"),"?","%3F")))=0,"Unknown type",IF(COUNTIFS('Rules'!$G$7:$G$26,"="&amp;(SUBSTITUTE(SUBSTITUTE(SUBSTITUTE(SUBSTITUTE("type:"&amp;B1106,"%","%25"),"~","%7E"),"*","%2A"),"?","%3F")))&gt;1,"Duplicate type",IF(INDEX('Rules'!$F$7:$F$26,MATCH(SUBSTITUTE(SUBSTITUTE(SUBSTITUTE(SUBSTITUTE("type:"&amp;B1106,"%","%25"),"~","%7E"),"*","%2A"),"?","%3F"),'Rules'!$G$7:$G$26,0))&lt;&gt;"",INDEX('Rules'!$F$7:$F$26,MATCH(SUBSTITUTE(SUBSTITUTE(SUBSTITUTE(SUBSTITUTE("type:"&amp;B1106,"%","%25"),"~","%7E"),"*","%2A"),"?","%3F"),'Rules'!$G$7:$G$26,0)),IF(AND(C1106&lt;&gt;"",C1106&lt;&gt;INDEX('Rules'!$B$7:$B$26,MATCH(SUBSTITUTE(SUBSTITUTE(SUBSTITUTE(SUBSTITUTE("type:"&amp;B1106,"%","%25"),"~","%7E"),"*","%2A"),"?","%3F"),'Rules'!$G$7:$G$26,0))),"Unit mismatch",IF(IF(NOT(ISNUMBER(D1106)),TRUE,OR(D1106&lt;0,D1106&gt;999999999,ROUND(D1106,3)&lt;&gt;D1106)),"Invalid current reading",IF(AND(E1106&lt;&gt;"",IF(NOT(ISNUMBER(E1106)),TRUE,OR(E1106&lt;0,E1106&gt;999999999,ROUND(E1106,3)&lt;&gt;E1106))),"Invalid previous reading",IF(IF(NOT(ISNUMBER(F1106)),TRUE,OR(F1106&lt;0,F1106&gt;999999999,ROUND(F1106,3)&lt;&gt;F1106)),"Invalid last service",IF(AND(E1106&lt;&gt;"",D1106&lt;E1106),"Decreased reading",IF(F1106&gt;D1106,"Last service above current","")))))))))))))</x:f>
      </x:c>
      <x:c r="L1106" s="6" t="str">
        <x:f>IF(AND(NOT(COUNTA(A1106:F1106)=0),K1106=""),INDEX('Rules'!$C$7:$C$26,MATCH(SUBSTITUTE(SUBSTITUTE(SUBSTITUTE(SUBSTITUTE("type:"&amp;B1106,"%","%25"),"~","%7E"),"*","%2A"),"?","%3F"),'Rules'!$G$7:$G$26,0)),"")</x:f>
      </x:c>
      <x:c r="M1106" s="6" t="str">
        <x:f>IF(AND(NOT(COUNTA(A1106:F1106)=0),K1106=""),INDEX('Rules'!$D$7:$D$26,MATCH(SUBSTITUTE(SUBSTITUTE(SUBSTITUTE(SUBSTITUTE("type:"&amp;B1106,"%","%25"),"~","%7E"),"*","%2A"),"?","%3F"),'Rules'!$G$7:$G$26,0)),"")</x:f>
      </x:c>
      <x:c r="N1106" s="5" t="str">
        <x:f>IF(COUNTA(A1106:F1106)=0,"",SUBSTITUTE(SUBSTITUTE(SUBSTITUTE(SUBSTITUTE("id:"&amp;A1106,"%","%25"),"~","%7E"),"*","%2A"),"?","%3F"))</x:f>
      </x:c>
    </x:row>
    <x:row r="1107" ht="22" customHeight="1">
      <x:c r="A1107" s="3"/>
      <x:c r="B1107" s="3"/>
      <x:c r="C1107" s="3"/>
      <x:c r="D1107" s="4"/>
      <x:c r="E1107" s="4"/>
      <x:c r="F1107" s="4"/>
      <x:c r="G1107" s="5" t="str">
        <x:f>IF(COUNTA(A1107:F1107)=0,"",IF(K1107&lt;&gt;"","Review",IF(I1107&lt;0,"Overdue",IF(I1107=0,"Due now",IF(I1107&lt;=M1107,"Due soon","Not due")))))</x:f>
      </x:c>
      <x:c r="H1107" s="5" t="str">
        <x:f>IF(OR(COUNTA(A1107:F1107)=0,COUNTIFS('Rules'!$G$7:$G$26,"="&amp;(SUBSTITUTE(SUBSTITUTE(SUBSTITUTE(SUBSTITUTE("type:"&amp;B1107,"%","%25"),"~","%7E"),"*","%2A"),"?","%3F")))&lt;&gt;1),"",IF(OR(INDEX('Rules'!$B$7:$B$26,MATCH(SUBSTITUTE(SUBSTITUTE(SUBSTITUTE(SUBSTITUTE("type:"&amp;B1107,"%","%25"),"~","%7E"),"*","%2A"),"?","%3F"),'Rules'!$G$7:$G$26,0))="hours",INDEX('Rules'!$B$7:$B$26,MATCH(SUBSTITUTE(SUBSTITUTE(SUBSTITUTE(SUBSTITUTE("type:"&amp;B1107,"%","%25"),"~","%7E"),"*","%2A"),"?","%3F"),'Rules'!$G$7:$G$26,0))="km"),INDEX('Rules'!$B$7:$B$26,MATCH(SUBSTITUTE(SUBSTITUTE(SUBSTITUTE(SUBSTITUTE("type:"&amp;B1107,"%","%25"),"~","%7E"),"*","%2A"),"?","%3F"),'Rules'!$G$7:$G$26,0)),""))</x:f>
      </x:c>
      <x:c r="I1107" s="6" t="str">
        <x:f>IF(AND(NOT(COUNTA(A1107:F1107)=0),K1107=""),ROUND(J1107-D1107,3),"")</x:f>
      </x:c>
      <x:c r="J1107" s="6" t="str">
        <x:f>IF(AND(NOT(COUNTA(A1107:F1107)=0),K1107=""),ROUND(F1107+L1107,3),"")</x:f>
      </x:c>
      <x:c r="K1107" s="5" t="str">
        <x:f>IF(COUNTA(A1107:F1107)=0,"",IF(A1107="","Missing equipment ID",IF(COUNTIFS($N$8:$N$2007,"="&amp;N1107)&gt;1,"Duplicate equipment ID",IF(B1107="","Missing type",IF(COUNTIFS('Rules'!$G$7:$G$26,"="&amp;(SUBSTITUTE(SUBSTITUTE(SUBSTITUTE(SUBSTITUTE("type:"&amp;B1107,"%","%25"),"~","%7E"),"*","%2A"),"?","%3F")))=0,"Unknown type",IF(COUNTIFS('Rules'!$G$7:$G$26,"="&amp;(SUBSTITUTE(SUBSTITUTE(SUBSTITUTE(SUBSTITUTE("type:"&amp;B1107,"%","%25"),"~","%7E"),"*","%2A"),"?","%3F")))&gt;1,"Duplicate type",IF(INDEX('Rules'!$F$7:$F$26,MATCH(SUBSTITUTE(SUBSTITUTE(SUBSTITUTE(SUBSTITUTE("type:"&amp;B1107,"%","%25"),"~","%7E"),"*","%2A"),"?","%3F"),'Rules'!$G$7:$G$26,0))&lt;&gt;"",INDEX('Rules'!$F$7:$F$26,MATCH(SUBSTITUTE(SUBSTITUTE(SUBSTITUTE(SUBSTITUTE("type:"&amp;B1107,"%","%25"),"~","%7E"),"*","%2A"),"?","%3F"),'Rules'!$G$7:$G$26,0)),IF(AND(C1107&lt;&gt;"",C1107&lt;&gt;INDEX('Rules'!$B$7:$B$26,MATCH(SUBSTITUTE(SUBSTITUTE(SUBSTITUTE(SUBSTITUTE("type:"&amp;B1107,"%","%25"),"~","%7E"),"*","%2A"),"?","%3F"),'Rules'!$G$7:$G$26,0))),"Unit mismatch",IF(IF(NOT(ISNUMBER(D1107)),TRUE,OR(D1107&lt;0,D1107&gt;999999999,ROUND(D1107,3)&lt;&gt;D1107)),"Invalid current reading",IF(AND(E1107&lt;&gt;"",IF(NOT(ISNUMBER(E1107)),TRUE,OR(E1107&lt;0,E1107&gt;999999999,ROUND(E1107,3)&lt;&gt;E1107))),"Invalid previous reading",IF(IF(NOT(ISNUMBER(F1107)),TRUE,OR(F1107&lt;0,F1107&gt;999999999,ROUND(F1107,3)&lt;&gt;F1107)),"Invalid last service",IF(AND(E1107&lt;&gt;"",D1107&lt;E1107),"Decreased reading",IF(F1107&gt;D1107,"Last service above current","")))))))))))))</x:f>
      </x:c>
      <x:c r="L1107" s="6" t="str">
        <x:f>IF(AND(NOT(COUNTA(A1107:F1107)=0),K1107=""),INDEX('Rules'!$C$7:$C$26,MATCH(SUBSTITUTE(SUBSTITUTE(SUBSTITUTE(SUBSTITUTE("type:"&amp;B1107,"%","%25"),"~","%7E"),"*","%2A"),"?","%3F"),'Rules'!$G$7:$G$26,0)),"")</x:f>
      </x:c>
      <x:c r="M1107" s="6" t="str">
        <x:f>IF(AND(NOT(COUNTA(A1107:F1107)=0),K1107=""),INDEX('Rules'!$D$7:$D$26,MATCH(SUBSTITUTE(SUBSTITUTE(SUBSTITUTE(SUBSTITUTE("type:"&amp;B1107,"%","%25"),"~","%7E"),"*","%2A"),"?","%3F"),'Rules'!$G$7:$G$26,0)),"")</x:f>
      </x:c>
      <x:c r="N1107" s="5" t="str">
        <x:f>IF(COUNTA(A1107:F1107)=0,"",SUBSTITUTE(SUBSTITUTE(SUBSTITUTE(SUBSTITUTE("id:"&amp;A1107,"%","%25"),"~","%7E"),"*","%2A"),"?","%3F"))</x:f>
      </x:c>
    </x:row>
    <x:row r="1108" ht="22" customHeight="1">
      <x:c r="A1108" s="3"/>
      <x:c r="B1108" s="3"/>
      <x:c r="C1108" s="3"/>
      <x:c r="D1108" s="4"/>
      <x:c r="E1108" s="4"/>
      <x:c r="F1108" s="4"/>
      <x:c r="G1108" s="5" t="str">
        <x:f>IF(COUNTA(A1108:F1108)=0,"",IF(K1108&lt;&gt;"","Review",IF(I1108&lt;0,"Overdue",IF(I1108=0,"Due now",IF(I1108&lt;=M1108,"Due soon","Not due")))))</x:f>
      </x:c>
      <x:c r="H1108" s="5" t="str">
        <x:f>IF(OR(COUNTA(A1108:F1108)=0,COUNTIFS('Rules'!$G$7:$G$26,"="&amp;(SUBSTITUTE(SUBSTITUTE(SUBSTITUTE(SUBSTITUTE("type:"&amp;B1108,"%","%25"),"~","%7E"),"*","%2A"),"?","%3F")))&lt;&gt;1),"",IF(OR(INDEX('Rules'!$B$7:$B$26,MATCH(SUBSTITUTE(SUBSTITUTE(SUBSTITUTE(SUBSTITUTE("type:"&amp;B1108,"%","%25"),"~","%7E"),"*","%2A"),"?","%3F"),'Rules'!$G$7:$G$26,0))="hours",INDEX('Rules'!$B$7:$B$26,MATCH(SUBSTITUTE(SUBSTITUTE(SUBSTITUTE(SUBSTITUTE("type:"&amp;B1108,"%","%25"),"~","%7E"),"*","%2A"),"?","%3F"),'Rules'!$G$7:$G$26,0))="km"),INDEX('Rules'!$B$7:$B$26,MATCH(SUBSTITUTE(SUBSTITUTE(SUBSTITUTE(SUBSTITUTE("type:"&amp;B1108,"%","%25"),"~","%7E"),"*","%2A"),"?","%3F"),'Rules'!$G$7:$G$26,0)),""))</x:f>
      </x:c>
      <x:c r="I1108" s="6" t="str">
        <x:f>IF(AND(NOT(COUNTA(A1108:F1108)=0),K1108=""),ROUND(J1108-D1108,3),"")</x:f>
      </x:c>
      <x:c r="J1108" s="6" t="str">
        <x:f>IF(AND(NOT(COUNTA(A1108:F1108)=0),K1108=""),ROUND(F1108+L1108,3),"")</x:f>
      </x:c>
      <x:c r="K1108" s="5" t="str">
        <x:f>IF(COUNTA(A1108:F1108)=0,"",IF(A1108="","Missing equipment ID",IF(COUNTIFS($N$8:$N$2007,"="&amp;N1108)&gt;1,"Duplicate equipment ID",IF(B1108="","Missing type",IF(COUNTIFS('Rules'!$G$7:$G$26,"="&amp;(SUBSTITUTE(SUBSTITUTE(SUBSTITUTE(SUBSTITUTE("type:"&amp;B1108,"%","%25"),"~","%7E"),"*","%2A"),"?","%3F")))=0,"Unknown type",IF(COUNTIFS('Rules'!$G$7:$G$26,"="&amp;(SUBSTITUTE(SUBSTITUTE(SUBSTITUTE(SUBSTITUTE("type:"&amp;B1108,"%","%25"),"~","%7E"),"*","%2A"),"?","%3F")))&gt;1,"Duplicate type",IF(INDEX('Rules'!$F$7:$F$26,MATCH(SUBSTITUTE(SUBSTITUTE(SUBSTITUTE(SUBSTITUTE("type:"&amp;B1108,"%","%25"),"~","%7E"),"*","%2A"),"?","%3F"),'Rules'!$G$7:$G$26,0))&lt;&gt;"",INDEX('Rules'!$F$7:$F$26,MATCH(SUBSTITUTE(SUBSTITUTE(SUBSTITUTE(SUBSTITUTE("type:"&amp;B1108,"%","%25"),"~","%7E"),"*","%2A"),"?","%3F"),'Rules'!$G$7:$G$26,0)),IF(AND(C1108&lt;&gt;"",C1108&lt;&gt;INDEX('Rules'!$B$7:$B$26,MATCH(SUBSTITUTE(SUBSTITUTE(SUBSTITUTE(SUBSTITUTE("type:"&amp;B1108,"%","%25"),"~","%7E"),"*","%2A"),"?","%3F"),'Rules'!$G$7:$G$26,0))),"Unit mismatch",IF(IF(NOT(ISNUMBER(D1108)),TRUE,OR(D1108&lt;0,D1108&gt;999999999,ROUND(D1108,3)&lt;&gt;D1108)),"Invalid current reading",IF(AND(E1108&lt;&gt;"",IF(NOT(ISNUMBER(E1108)),TRUE,OR(E1108&lt;0,E1108&gt;999999999,ROUND(E1108,3)&lt;&gt;E1108))),"Invalid previous reading",IF(IF(NOT(ISNUMBER(F1108)),TRUE,OR(F1108&lt;0,F1108&gt;999999999,ROUND(F1108,3)&lt;&gt;F1108)),"Invalid last service",IF(AND(E1108&lt;&gt;"",D1108&lt;E1108),"Decreased reading",IF(F1108&gt;D1108,"Last service above current","")))))))))))))</x:f>
      </x:c>
      <x:c r="L1108" s="6" t="str">
        <x:f>IF(AND(NOT(COUNTA(A1108:F1108)=0),K1108=""),INDEX('Rules'!$C$7:$C$26,MATCH(SUBSTITUTE(SUBSTITUTE(SUBSTITUTE(SUBSTITUTE("type:"&amp;B1108,"%","%25"),"~","%7E"),"*","%2A"),"?","%3F"),'Rules'!$G$7:$G$26,0)),"")</x:f>
      </x:c>
      <x:c r="M1108" s="6" t="str">
        <x:f>IF(AND(NOT(COUNTA(A1108:F1108)=0),K1108=""),INDEX('Rules'!$D$7:$D$26,MATCH(SUBSTITUTE(SUBSTITUTE(SUBSTITUTE(SUBSTITUTE("type:"&amp;B1108,"%","%25"),"~","%7E"),"*","%2A"),"?","%3F"),'Rules'!$G$7:$G$26,0)),"")</x:f>
      </x:c>
      <x:c r="N1108" s="5" t="str">
        <x:f>IF(COUNTA(A1108:F1108)=0,"",SUBSTITUTE(SUBSTITUTE(SUBSTITUTE(SUBSTITUTE("id:"&amp;A1108,"%","%25"),"~","%7E"),"*","%2A"),"?","%3F"))</x:f>
      </x:c>
    </x:row>
    <x:row r="1109" ht="22" customHeight="1">
      <x:c r="A1109" s="3"/>
      <x:c r="B1109" s="3"/>
      <x:c r="C1109" s="3"/>
      <x:c r="D1109" s="4"/>
      <x:c r="E1109" s="4"/>
      <x:c r="F1109" s="4"/>
      <x:c r="G1109" s="5" t="str">
        <x:f>IF(COUNTA(A1109:F1109)=0,"",IF(K1109&lt;&gt;"","Review",IF(I1109&lt;0,"Overdue",IF(I1109=0,"Due now",IF(I1109&lt;=M1109,"Due soon","Not due")))))</x:f>
      </x:c>
      <x:c r="H1109" s="5" t="str">
        <x:f>IF(OR(COUNTA(A1109:F1109)=0,COUNTIFS('Rules'!$G$7:$G$26,"="&amp;(SUBSTITUTE(SUBSTITUTE(SUBSTITUTE(SUBSTITUTE("type:"&amp;B1109,"%","%25"),"~","%7E"),"*","%2A"),"?","%3F")))&lt;&gt;1),"",IF(OR(INDEX('Rules'!$B$7:$B$26,MATCH(SUBSTITUTE(SUBSTITUTE(SUBSTITUTE(SUBSTITUTE("type:"&amp;B1109,"%","%25"),"~","%7E"),"*","%2A"),"?","%3F"),'Rules'!$G$7:$G$26,0))="hours",INDEX('Rules'!$B$7:$B$26,MATCH(SUBSTITUTE(SUBSTITUTE(SUBSTITUTE(SUBSTITUTE("type:"&amp;B1109,"%","%25"),"~","%7E"),"*","%2A"),"?","%3F"),'Rules'!$G$7:$G$26,0))="km"),INDEX('Rules'!$B$7:$B$26,MATCH(SUBSTITUTE(SUBSTITUTE(SUBSTITUTE(SUBSTITUTE("type:"&amp;B1109,"%","%25"),"~","%7E"),"*","%2A"),"?","%3F"),'Rules'!$G$7:$G$26,0)),""))</x:f>
      </x:c>
      <x:c r="I1109" s="6" t="str">
        <x:f>IF(AND(NOT(COUNTA(A1109:F1109)=0),K1109=""),ROUND(J1109-D1109,3),"")</x:f>
      </x:c>
      <x:c r="J1109" s="6" t="str">
        <x:f>IF(AND(NOT(COUNTA(A1109:F1109)=0),K1109=""),ROUND(F1109+L1109,3),"")</x:f>
      </x:c>
      <x:c r="K1109" s="5" t="str">
        <x:f>IF(COUNTA(A1109:F1109)=0,"",IF(A1109="","Missing equipment ID",IF(COUNTIFS($N$8:$N$2007,"="&amp;N1109)&gt;1,"Duplicate equipment ID",IF(B1109="","Missing type",IF(COUNTIFS('Rules'!$G$7:$G$26,"="&amp;(SUBSTITUTE(SUBSTITUTE(SUBSTITUTE(SUBSTITUTE("type:"&amp;B1109,"%","%25"),"~","%7E"),"*","%2A"),"?","%3F")))=0,"Unknown type",IF(COUNTIFS('Rules'!$G$7:$G$26,"="&amp;(SUBSTITUTE(SUBSTITUTE(SUBSTITUTE(SUBSTITUTE("type:"&amp;B1109,"%","%25"),"~","%7E"),"*","%2A"),"?","%3F")))&gt;1,"Duplicate type",IF(INDEX('Rules'!$F$7:$F$26,MATCH(SUBSTITUTE(SUBSTITUTE(SUBSTITUTE(SUBSTITUTE("type:"&amp;B1109,"%","%25"),"~","%7E"),"*","%2A"),"?","%3F"),'Rules'!$G$7:$G$26,0))&lt;&gt;"",INDEX('Rules'!$F$7:$F$26,MATCH(SUBSTITUTE(SUBSTITUTE(SUBSTITUTE(SUBSTITUTE("type:"&amp;B1109,"%","%25"),"~","%7E"),"*","%2A"),"?","%3F"),'Rules'!$G$7:$G$26,0)),IF(AND(C1109&lt;&gt;"",C1109&lt;&gt;INDEX('Rules'!$B$7:$B$26,MATCH(SUBSTITUTE(SUBSTITUTE(SUBSTITUTE(SUBSTITUTE("type:"&amp;B1109,"%","%25"),"~","%7E"),"*","%2A"),"?","%3F"),'Rules'!$G$7:$G$26,0))),"Unit mismatch",IF(IF(NOT(ISNUMBER(D1109)),TRUE,OR(D1109&lt;0,D1109&gt;999999999,ROUND(D1109,3)&lt;&gt;D1109)),"Invalid current reading",IF(AND(E1109&lt;&gt;"",IF(NOT(ISNUMBER(E1109)),TRUE,OR(E1109&lt;0,E1109&gt;999999999,ROUND(E1109,3)&lt;&gt;E1109))),"Invalid previous reading",IF(IF(NOT(ISNUMBER(F1109)),TRUE,OR(F1109&lt;0,F1109&gt;999999999,ROUND(F1109,3)&lt;&gt;F1109)),"Invalid last service",IF(AND(E1109&lt;&gt;"",D1109&lt;E1109),"Decreased reading",IF(F1109&gt;D1109,"Last service above current","")))))))))))))</x:f>
      </x:c>
      <x:c r="L1109" s="6" t="str">
        <x:f>IF(AND(NOT(COUNTA(A1109:F1109)=0),K1109=""),INDEX('Rules'!$C$7:$C$26,MATCH(SUBSTITUTE(SUBSTITUTE(SUBSTITUTE(SUBSTITUTE("type:"&amp;B1109,"%","%25"),"~","%7E"),"*","%2A"),"?","%3F"),'Rules'!$G$7:$G$26,0)),"")</x:f>
      </x:c>
      <x:c r="M1109" s="6" t="str">
        <x:f>IF(AND(NOT(COUNTA(A1109:F1109)=0),K1109=""),INDEX('Rules'!$D$7:$D$26,MATCH(SUBSTITUTE(SUBSTITUTE(SUBSTITUTE(SUBSTITUTE("type:"&amp;B1109,"%","%25"),"~","%7E"),"*","%2A"),"?","%3F"),'Rules'!$G$7:$G$26,0)),"")</x:f>
      </x:c>
      <x:c r="N1109" s="5" t="str">
        <x:f>IF(COUNTA(A1109:F1109)=0,"",SUBSTITUTE(SUBSTITUTE(SUBSTITUTE(SUBSTITUTE("id:"&amp;A1109,"%","%25"),"~","%7E"),"*","%2A"),"?","%3F"))</x:f>
      </x:c>
    </x:row>
    <x:row r="1110" ht="22" customHeight="1">
      <x:c r="A1110" s="3"/>
      <x:c r="B1110" s="3"/>
      <x:c r="C1110" s="3"/>
      <x:c r="D1110" s="4"/>
      <x:c r="E1110" s="4"/>
      <x:c r="F1110" s="4"/>
      <x:c r="G1110" s="5" t="str">
        <x:f>IF(COUNTA(A1110:F1110)=0,"",IF(K1110&lt;&gt;"","Review",IF(I1110&lt;0,"Overdue",IF(I1110=0,"Due now",IF(I1110&lt;=M1110,"Due soon","Not due")))))</x:f>
      </x:c>
      <x:c r="H1110" s="5" t="str">
        <x:f>IF(OR(COUNTA(A1110:F1110)=0,COUNTIFS('Rules'!$G$7:$G$26,"="&amp;(SUBSTITUTE(SUBSTITUTE(SUBSTITUTE(SUBSTITUTE("type:"&amp;B1110,"%","%25"),"~","%7E"),"*","%2A"),"?","%3F")))&lt;&gt;1),"",IF(OR(INDEX('Rules'!$B$7:$B$26,MATCH(SUBSTITUTE(SUBSTITUTE(SUBSTITUTE(SUBSTITUTE("type:"&amp;B1110,"%","%25"),"~","%7E"),"*","%2A"),"?","%3F"),'Rules'!$G$7:$G$26,0))="hours",INDEX('Rules'!$B$7:$B$26,MATCH(SUBSTITUTE(SUBSTITUTE(SUBSTITUTE(SUBSTITUTE("type:"&amp;B1110,"%","%25"),"~","%7E"),"*","%2A"),"?","%3F"),'Rules'!$G$7:$G$26,0))="km"),INDEX('Rules'!$B$7:$B$26,MATCH(SUBSTITUTE(SUBSTITUTE(SUBSTITUTE(SUBSTITUTE("type:"&amp;B1110,"%","%25"),"~","%7E"),"*","%2A"),"?","%3F"),'Rules'!$G$7:$G$26,0)),""))</x:f>
      </x:c>
      <x:c r="I1110" s="6" t="str">
        <x:f>IF(AND(NOT(COUNTA(A1110:F1110)=0),K1110=""),ROUND(J1110-D1110,3),"")</x:f>
      </x:c>
      <x:c r="J1110" s="6" t="str">
        <x:f>IF(AND(NOT(COUNTA(A1110:F1110)=0),K1110=""),ROUND(F1110+L1110,3),"")</x:f>
      </x:c>
      <x:c r="K1110" s="5" t="str">
        <x:f>IF(COUNTA(A1110:F1110)=0,"",IF(A1110="","Missing equipment ID",IF(COUNTIFS($N$8:$N$2007,"="&amp;N1110)&gt;1,"Duplicate equipment ID",IF(B1110="","Missing type",IF(COUNTIFS('Rules'!$G$7:$G$26,"="&amp;(SUBSTITUTE(SUBSTITUTE(SUBSTITUTE(SUBSTITUTE("type:"&amp;B1110,"%","%25"),"~","%7E"),"*","%2A"),"?","%3F")))=0,"Unknown type",IF(COUNTIFS('Rules'!$G$7:$G$26,"="&amp;(SUBSTITUTE(SUBSTITUTE(SUBSTITUTE(SUBSTITUTE("type:"&amp;B1110,"%","%25"),"~","%7E"),"*","%2A"),"?","%3F")))&gt;1,"Duplicate type",IF(INDEX('Rules'!$F$7:$F$26,MATCH(SUBSTITUTE(SUBSTITUTE(SUBSTITUTE(SUBSTITUTE("type:"&amp;B1110,"%","%25"),"~","%7E"),"*","%2A"),"?","%3F"),'Rules'!$G$7:$G$26,0))&lt;&gt;"",INDEX('Rules'!$F$7:$F$26,MATCH(SUBSTITUTE(SUBSTITUTE(SUBSTITUTE(SUBSTITUTE("type:"&amp;B1110,"%","%25"),"~","%7E"),"*","%2A"),"?","%3F"),'Rules'!$G$7:$G$26,0)),IF(AND(C1110&lt;&gt;"",C1110&lt;&gt;INDEX('Rules'!$B$7:$B$26,MATCH(SUBSTITUTE(SUBSTITUTE(SUBSTITUTE(SUBSTITUTE("type:"&amp;B1110,"%","%25"),"~","%7E"),"*","%2A"),"?","%3F"),'Rules'!$G$7:$G$26,0))),"Unit mismatch",IF(IF(NOT(ISNUMBER(D1110)),TRUE,OR(D1110&lt;0,D1110&gt;999999999,ROUND(D1110,3)&lt;&gt;D1110)),"Invalid current reading",IF(AND(E1110&lt;&gt;"",IF(NOT(ISNUMBER(E1110)),TRUE,OR(E1110&lt;0,E1110&gt;999999999,ROUND(E1110,3)&lt;&gt;E1110))),"Invalid previous reading",IF(IF(NOT(ISNUMBER(F1110)),TRUE,OR(F1110&lt;0,F1110&gt;999999999,ROUND(F1110,3)&lt;&gt;F1110)),"Invalid last service",IF(AND(E1110&lt;&gt;"",D1110&lt;E1110),"Decreased reading",IF(F1110&gt;D1110,"Last service above current","")))))))))))))</x:f>
      </x:c>
      <x:c r="L1110" s="6" t="str">
        <x:f>IF(AND(NOT(COUNTA(A1110:F1110)=0),K1110=""),INDEX('Rules'!$C$7:$C$26,MATCH(SUBSTITUTE(SUBSTITUTE(SUBSTITUTE(SUBSTITUTE("type:"&amp;B1110,"%","%25"),"~","%7E"),"*","%2A"),"?","%3F"),'Rules'!$G$7:$G$26,0)),"")</x:f>
      </x:c>
      <x:c r="M1110" s="6" t="str">
        <x:f>IF(AND(NOT(COUNTA(A1110:F1110)=0),K1110=""),INDEX('Rules'!$D$7:$D$26,MATCH(SUBSTITUTE(SUBSTITUTE(SUBSTITUTE(SUBSTITUTE("type:"&amp;B1110,"%","%25"),"~","%7E"),"*","%2A"),"?","%3F"),'Rules'!$G$7:$G$26,0)),"")</x:f>
      </x:c>
      <x:c r="N1110" s="5" t="str">
        <x:f>IF(COUNTA(A1110:F1110)=0,"",SUBSTITUTE(SUBSTITUTE(SUBSTITUTE(SUBSTITUTE("id:"&amp;A1110,"%","%25"),"~","%7E"),"*","%2A"),"?","%3F"))</x:f>
      </x:c>
    </x:row>
    <x:row r="1111" ht="22" customHeight="1">
      <x:c r="A1111" s="3"/>
      <x:c r="B1111" s="3"/>
      <x:c r="C1111" s="3"/>
      <x:c r="D1111" s="4"/>
      <x:c r="E1111" s="4"/>
      <x:c r="F1111" s="4"/>
      <x:c r="G1111" s="5" t="str">
        <x:f>IF(COUNTA(A1111:F1111)=0,"",IF(K1111&lt;&gt;"","Review",IF(I1111&lt;0,"Overdue",IF(I1111=0,"Due now",IF(I1111&lt;=M1111,"Due soon","Not due")))))</x:f>
      </x:c>
      <x:c r="H1111" s="5" t="str">
        <x:f>IF(OR(COUNTA(A1111:F1111)=0,COUNTIFS('Rules'!$G$7:$G$26,"="&amp;(SUBSTITUTE(SUBSTITUTE(SUBSTITUTE(SUBSTITUTE("type:"&amp;B1111,"%","%25"),"~","%7E"),"*","%2A"),"?","%3F")))&lt;&gt;1),"",IF(OR(INDEX('Rules'!$B$7:$B$26,MATCH(SUBSTITUTE(SUBSTITUTE(SUBSTITUTE(SUBSTITUTE("type:"&amp;B1111,"%","%25"),"~","%7E"),"*","%2A"),"?","%3F"),'Rules'!$G$7:$G$26,0))="hours",INDEX('Rules'!$B$7:$B$26,MATCH(SUBSTITUTE(SUBSTITUTE(SUBSTITUTE(SUBSTITUTE("type:"&amp;B1111,"%","%25"),"~","%7E"),"*","%2A"),"?","%3F"),'Rules'!$G$7:$G$26,0))="km"),INDEX('Rules'!$B$7:$B$26,MATCH(SUBSTITUTE(SUBSTITUTE(SUBSTITUTE(SUBSTITUTE("type:"&amp;B1111,"%","%25"),"~","%7E"),"*","%2A"),"?","%3F"),'Rules'!$G$7:$G$26,0)),""))</x:f>
      </x:c>
      <x:c r="I1111" s="6" t="str">
        <x:f>IF(AND(NOT(COUNTA(A1111:F1111)=0),K1111=""),ROUND(J1111-D1111,3),"")</x:f>
      </x:c>
      <x:c r="J1111" s="6" t="str">
        <x:f>IF(AND(NOT(COUNTA(A1111:F1111)=0),K1111=""),ROUND(F1111+L1111,3),"")</x:f>
      </x:c>
      <x:c r="K1111" s="5" t="str">
        <x:f>IF(COUNTA(A1111:F1111)=0,"",IF(A1111="","Missing equipment ID",IF(COUNTIFS($N$8:$N$2007,"="&amp;N1111)&gt;1,"Duplicate equipment ID",IF(B1111="","Missing type",IF(COUNTIFS('Rules'!$G$7:$G$26,"="&amp;(SUBSTITUTE(SUBSTITUTE(SUBSTITUTE(SUBSTITUTE("type:"&amp;B1111,"%","%25"),"~","%7E"),"*","%2A"),"?","%3F")))=0,"Unknown type",IF(COUNTIFS('Rules'!$G$7:$G$26,"="&amp;(SUBSTITUTE(SUBSTITUTE(SUBSTITUTE(SUBSTITUTE("type:"&amp;B1111,"%","%25"),"~","%7E"),"*","%2A"),"?","%3F")))&gt;1,"Duplicate type",IF(INDEX('Rules'!$F$7:$F$26,MATCH(SUBSTITUTE(SUBSTITUTE(SUBSTITUTE(SUBSTITUTE("type:"&amp;B1111,"%","%25"),"~","%7E"),"*","%2A"),"?","%3F"),'Rules'!$G$7:$G$26,0))&lt;&gt;"",INDEX('Rules'!$F$7:$F$26,MATCH(SUBSTITUTE(SUBSTITUTE(SUBSTITUTE(SUBSTITUTE("type:"&amp;B1111,"%","%25"),"~","%7E"),"*","%2A"),"?","%3F"),'Rules'!$G$7:$G$26,0)),IF(AND(C1111&lt;&gt;"",C1111&lt;&gt;INDEX('Rules'!$B$7:$B$26,MATCH(SUBSTITUTE(SUBSTITUTE(SUBSTITUTE(SUBSTITUTE("type:"&amp;B1111,"%","%25"),"~","%7E"),"*","%2A"),"?","%3F"),'Rules'!$G$7:$G$26,0))),"Unit mismatch",IF(IF(NOT(ISNUMBER(D1111)),TRUE,OR(D1111&lt;0,D1111&gt;999999999,ROUND(D1111,3)&lt;&gt;D1111)),"Invalid current reading",IF(AND(E1111&lt;&gt;"",IF(NOT(ISNUMBER(E1111)),TRUE,OR(E1111&lt;0,E1111&gt;999999999,ROUND(E1111,3)&lt;&gt;E1111))),"Invalid previous reading",IF(IF(NOT(ISNUMBER(F1111)),TRUE,OR(F1111&lt;0,F1111&gt;999999999,ROUND(F1111,3)&lt;&gt;F1111)),"Invalid last service",IF(AND(E1111&lt;&gt;"",D1111&lt;E1111),"Decreased reading",IF(F1111&gt;D1111,"Last service above current","")))))))))))))</x:f>
      </x:c>
      <x:c r="L1111" s="6" t="str">
        <x:f>IF(AND(NOT(COUNTA(A1111:F1111)=0),K1111=""),INDEX('Rules'!$C$7:$C$26,MATCH(SUBSTITUTE(SUBSTITUTE(SUBSTITUTE(SUBSTITUTE("type:"&amp;B1111,"%","%25"),"~","%7E"),"*","%2A"),"?","%3F"),'Rules'!$G$7:$G$26,0)),"")</x:f>
      </x:c>
      <x:c r="M1111" s="6" t="str">
        <x:f>IF(AND(NOT(COUNTA(A1111:F1111)=0),K1111=""),INDEX('Rules'!$D$7:$D$26,MATCH(SUBSTITUTE(SUBSTITUTE(SUBSTITUTE(SUBSTITUTE("type:"&amp;B1111,"%","%25"),"~","%7E"),"*","%2A"),"?","%3F"),'Rules'!$G$7:$G$26,0)),"")</x:f>
      </x:c>
      <x:c r="N1111" s="5" t="str">
        <x:f>IF(COUNTA(A1111:F1111)=0,"",SUBSTITUTE(SUBSTITUTE(SUBSTITUTE(SUBSTITUTE("id:"&amp;A1111,"%","%25"),"~","%7E"),"*","%2A"),"?","%3F"))</x:f>
      </x:c>
    </x:row>
    <x:row r="1112" ht="22" customHeight="1">
      <x:c r="A1112" s="3"/>
      <x:c r="B1112" s="3"/>
      <x:c r="C1112" s="3"/>
      <x:c r="D1112" s="4"/>
      <x:c r="E1112" s="4"/>
      <x:c r="F1112" s="4"/>
      <x:c r="G1112" s="5" t="str">
        <x:f>IF(COUNTA(A1112:F1112)=0,"",IF(K1112&lt;&gt;"","Review",IF(I1112&lt;0,"Overdue",IF(I1112=0,"Due now",IF(I1112&lt;=M1112,"Due soon","Not due")))))</x:f>
      </x:c>
      <x:c r="H1112" s="5" t="str">
        <x:f>IF(OR(COUNTA(A1112:F1112)=0,COUNTIFS('Rules'!$G$7:$G$26,"="&amp;(SUBSTITUTE(SUBSTITUTE(SUBSTITUTE(SUBSTITUTE("type:"&amp;B1112,"%","%25"),"~","%7E"),"*","%2A"),"?","%3F")))&lt;&gt;1),"",IF(OR(INDEX('Rules'!$B$7:$B$26,MATCH(SUBSTITUTE(SUBSTITUTE(SUBSTITUTE(SUBSTITUTE("type:"&amp;B1112,"%","%25"),"~","%7E"),"*","%2A"),"?","%3F"),'Rules'!$G$7:$G$26,0))="hours",INDEX('Rules'!$B$7:$B$26,MATCH(SUBSTITUTE(SUBSTITUTE(SUBSTITUTE(SUBSTITUTE("type:"&amp;B1112,"%","%25"),"~","%7E"),"*","%2A"),"?","%3F"),'Rules'!$G$7:$G$26,0))="km"),INDEX('Rules'!$B$7:$B$26,MATCH(SUBSTITUTE(SUBSTITUTE(SUBSTITUTE(SUBSTITUTE("type:"&amp;B1112,"%","%25"),"~","%7E"),"*","%2A"),"?","%3F"),'Rules'!$G$7:$G$26,0)),""))</x:f>
      </x:c>
      <x:c r="I1112" s="6" t="str">
        <x:f>IF(AND(NOT(COUNTA(A1112:F1112)=0),K1112=""),ROUND(J1112-D1112,3),"")</x:f>
      </x:c>
      <x:c r="J1112" s="6" t="str">
        <x:f>IF(AND(NOT(COUNTA(A1112:F1112)=0),K1112=""),ROUND(F1112+L1112,3),"")</x:f>
      </x:c>
      <x:c r="K1112" s="5" t="str">
        <x:f>IF(COUNTA(A1112:F1112)=0,"",IF(A1112="","Missing equipment ID",IF(COUNTIFS($N$8:$N$2007,"="&amp;N1112)&gt;1,"Duplicate equipment ID",IF(B1112="","Missing type",IF(COUNTIFS('Rules'!$G$7:$G$26,"="&amp;(SUBSTITUTE(SUBSTITUTE(SUBSTITUTE(SUBSTITUTE("type:"&amp;B1112,"%","%25"),"~","%7E"),"*","%2A"),"?","%3F")))=0,"Unknown type",IF(COUNTIFS('Rules'!$G$7:$G$26,"="&amp;(SUBSTITUTE(SUBSTITUTE(SUBSTITUTE(SUBSTITUTE("type:"&amp;B1112,"%","%25"),"~","%7E"),"*","%2A"),"?","%3F")))&gt;1,"Duplicate type",IF(INDEX('Rules'!$F$7:$F$26,MATCH(SUBSTITUTE(SUBSTITUTE(SUBSTITUTE(SUBSTITUTE("type:"&amp;B1112,"%","%25"),"~","%7E"),"*","%2A"),"?","%3F"),'Rules'!$G$7:$G$26,0))&lt;&gt;"",INDEX('Rules'!$F$7:$F$26,MATCH(SUBSTITUTE(SUBSTITUTE(SUBSTITUTE(SUBSTITUTE("type:"&amp;B1112,"%","%25"),"~","%7E"),"*","%2A"),"?","%3F"),'Rules'!$G$7:$G$26,0)),IF(AND(C1112&lt;&gt;"",C1112&lt;&gt;INDEX('Rules'!$B$7:$B$26,MATCH(SUBSTITUTE(SUBSTITUTE(SUBSTITUTE(SUBSTITUTE("type:"&amp;B1112,"%","%25"),"~","%7E"),"*","%2A"),"?","%3F"),'Rules'!$G$7:$G$26,0))),"Unit mismatch",IF(IF(NOT(ISNUMBER(D1112)),TRUE,OR(D1112&lt;0,D1112&gt;999999999,ROUND(D1112,3)&lt;&gt;D1112)),"Invalid current reading",IF(AND(E1112&lt;&gt;"",IF(NOT(ISNUMBER(E1112)),TRUE,OR(E1112&lt;0,E1112&gt;999999999,ROUND(E1112,3)&lt;&gt;E1112))),"Invalid previous reading",IF(IF(NOT(ISNUMBER(F1112)),TRUE,OR(F1112&lt;0,F1112&gt;999999999,ROUND(F1112,3)&lt;&gt;F1112)),"Invalid last service",IF(AND(E1112&lt;&gt;"",D1112&lt;E1112),"Decreased reading",IF(F1112&gt;D1112,"Last service above current","")))))))))))))</x:f>
      </x:c>
      <x:c r="L1112" s="6" t="str">
        <x:f>IF(AND(NOT(COUNTA(A1112:F1112)=0),K1112=""),INDEX('Rules'!$C$7:$C$26,MATCH(SUBSTITUTE(SUBSTITUTE(SUBSTITUTE(SUBSTITUTE("type:"&amp;B1112,"%","%25"),"~","%7E"),"*","%2A"),"?","%3F"),'Rules'!$G$7:$G$26,0)),"")</x:f>
      </x:c>
      <x:c r="M1112" s="6" t="str">
        <x:f>IF(AND(NOT(COUNTA(A1112:F1112)=0),K1112=""),INDEX('Rules'!$D$7:$D$26,MATCH(SUBSTITUTE(SUBSTITUTE(SUBSTITUTE(SUBSTITUTE("type:"&amp;B1112,"%","%25"),"~","%7E"),"*","%2A"),"?","%3F"),'Rules'!$G$7:$G$26,0)),"")</x:f>
      </x:c>
      <x:c r="N1112" s="5" t="str">
        <x:f>IF(COUNTA(A1112:F1112)=0,"",SUBSTITUTE(SUBSTITUTE(SUBSTITUTE(SUBSTITUTE("id:"&amp;A1112,"%","%25"),"~","%7E"),"*","%2A"),"?","%3F"))</x:f>
      </x:c>
    </x:row>
    <x:row r="1113" ht="22" customHeight="1">
      <x:c r="A1113" s="3"/>
      <x:c r="B1113" s="3"/>
      <x:c r="C1113" s="3"/>
      <x:c r="D1113" s="4"/>
      <x:c r="E1113" s="4"/>
      <x:c r="F1113" s="4"/>
      <x:c r="G1113" s="5" t="str">
        <x:f>IF(COUNTA(A1113:F1113)=0,"",IF(K1113&lt;&gt;"","Review",IF(I1113&lt;0,"Overdue",IF(I1113=0,"Due now",IF(I1113&lt;=M1113,"Due soon","Not due")))))</x:f>
      </x:c>
      <x:c r="H1113" s="5" t="str">
        <x:f>IF(OR(COUNTA(A1113:F1113)=0,COUNTIFS('Rules'!$G$7:$G$26,"="&amp;(SUBSTITUTE(SUBSTITUTE(SUBSTITUTE(SUBSTITUTE("type:"&amp;B1113,"%","%25"),"~","%7E"),"*","%2A"),"?","%3F")))&lt;&gt;1),"",IF(OR(INDEX('Rules'!$B$7:$B$26,MATCH(SUBSTITUTE(SUBSTITUTE(SUBSTITUTE(SUBSTITUTE("type:"&amp;B1113,"%","%25"),"~","%7E"),"*","%2A"),"?","%3F"),'Rules'!$G$7:$G$26,0))="hours",INDEX('Rules'!$B$7:$B$26,MATCH(SUBSTITUTE(SUBSTITUTE(SUBSTITUTE(SUBSTITUTE("type:"&amp;B1113,"%","%25"),"~","%7E"),"*","%2A"),"?","%3F"),'Rules'!$G$7:$G$26,0))="km"),INDEX('Rules'!$B$7:$B$26,MATCH(SUBSTITUTE(SUBSTITUTE(SUBSTITUTE(SUBSTITUTE("type:"&amp;B1113,"%","%25"),"~","%7E"),"*","%2A"),"?","%3F"),'Rules'!$G$7:$G$26,0)),""))</x:f>
      </x:c>
      <x:c r="I1113" s="6" t="str">
        <x:f>IF(AND(NOT(COUNTA(A1113:F1113)=0),K1113=""),ROUND(J1113-D1113,3),"")</x:f>
      </x:c>
      <x:c r="J1113" s="6" t="str">
        <x:f>IF(AND(NOT(COUNTA(A1113:F1113)=0),K1113=""),ROUND(F1113+L1113,3),"")</x:f>
      </x:c>
      <x:c r="K1113" s="5" t="str">
        <x:f>IF(COUNTA(A1113:F1113)=0,"",IF(A1113="","Missing equipment ID",IF(COUNTIFS($N$8:$N$2007,"="&amp;N1113)&gt;1,"Duplicate equipment ID",IF(B1113="","Missing type",IF(COUNTIFS('Rules'!$G$7:$G$26,"="&amp;(SUBSTITUTE(SUBSTITUTE(SUBSTITUTE(SUBSTITUTE("type:"&amp;B1113,"%","%25"),"~","%7E"),"*","%2A"),"?","%3F")))=0,"Unknown type",IF(COUNTIFS('Rules'!$G$7:$G$26,"="&amp;(SUBSTITUTE(SUBSTITUTE(SUBSTITUTE(SUBSTITUTE("type:"&amp;B1113,"%","%25"),"~","%7E"),"*","%2A"),"?","%3F")))&gt;1,"Duplicate type",IF(INDEX('Rules'!$F$7:$F$26,MATCH(SUBSTITUTE(SUBSTITUTE(SUBSTITUTE(SUBSTITUTE("type:"&amp;B1113,"%","%25"),"~","%7E"),"*","%2A"),"?","%3F"),'Rules'!$G$7:$G$26,0))&lt;&gt;"",INDEX('Rules'!$F$7:$F$26,MATCH(SUBSTITUTE(SUBSTITUTE(SUBSTITUTE(SUBSTITUTE("type:"&amp;B1113,"%","%25"),"~","%7E"),"*","%2A"),"?","%3F"),'Rules'!$G$7:$G$26,0)),IF(AND(C1113&lt;&gt;"",C1113&lt;&gt;INDEX('Rules'!$B$7:$B$26,MATCH(SUBSTITUTE(SUBSTITUTE(SUBSTITUTE(SUBSTITUTE("type:"&amp;B1113,"%","%25"),"~","%7E"),"*","%2A"),"?","%3F"),'Rules'!$G$7:$G$26,0))),"Unit mismatch",IF(IF(NOT(ISNUMBER(D1113)),TRUE,OR(D1113&lt;0,D1113&gt;999999999,ROUND(D1113,3)&lt;&gt;D1113)),"Invalid current reading",IF(AND(E1113&lt;&gt;"",IF(NOT(ISNUMBER(E1113)),TRUE,OR(E1113&lt;0,E1113&gt;999999999,ROUND(E1113,3)&lt;&gt;E1113))),"Invalid previous reading",IF(IF(NOT(ISNUMBER(F1113)),TRUE,OR(F1113&lt;0,F1113&gt;999999999,ROUND(F1113,3)&lt;&gt;F1113)),"Invalid last service",IF(AND(E1113&lt;&gt;"",D1113&lt;E1113),"Decreased reading",IF(F1113&gt;D1113,"Last service above current","")))))))))))))</x:f>
      </x:c>
      <x:c r="L1113" s="6" t="str">
        <x:f>IF(AND(NOT(COUNTA(A1113:F1113)=0),K1113=""),INDEX('Rules'!$C$7:$C$26,MATCH(SUBSTITUTE(SUBSTITUTE(SUBSTITUTE(SUBSTITUTE("type:"&amp;B1113,"%","%25"),"~","%7E"),"*","%2A"),"?","%3F"),'Rules'!$G$7:$G$26,0)),"")</x:f>
      </x:c>
      <x:c r="M1113" s="6" t="str">
        <x:f>IF(AND(NOT(COUNTA(A1113:F1113)=0),K1113=""),INDEX('Rules'!$D$7:$D$26,MATCH(SUBSTITUTE(SUBSTITUTE(SUBSTITUTE(SUBSTITUTE("type:"&amp;B1113,"%","%25"),"~","%7E"),"*","%2A"),"?","%3F"),'Rules'!$G$7:$G$26,0)),"")</x:f>
      </x:c>
      <x:c r="N1113" s="5" t="str">
        <x:f>IF(COUNTA(A1113:F1113)=0,"",SUBSTITUTE(SUBSTITUTE(SUBSTITUTE(SUBSTITUTE("id:"&amp;A1113,"%","%25"),"~","%7E"),"*","%2A"),"?","%3F"))</x:f>
      </x:c>
    </x:row>
    <x:row r="1114" ht="22" customHeight="1">
      <x:c r="A1114" s="3"/>
      <x:c r="B1114" s="3"/>
      <x:c r="C1114" s="3"/>
      <x:c r="D1114" s="4"/>
      <x:c r="E1114" s="4"/>
      <x:c r="F1114" s="4"/>
      <x:c r="G1114" s="5" t="str">
        <x:f>IF(COUNTA(A1114:F1114)=0,"",IF(K1114&lt;&gt;"","Review",IF(I1114&lt;0,"Overdue",IF(I1114=0,"Due now",IF(I1114&lt;=M1114,"Due soon","Not due")))))</x:f>
      </x:c>
      <x:c r="H1114" s="5" t="str">
        <x:f>IF(OR(COUNTA(A1114:F1114)=0,COUNTIFS('Rules'!$G$7:$G$26,"="&amp;(SUBSTITUTE(SUBSTITUTE(SUBSTITUTE(SUBSTITUTE("type:"&amp;B1114,"%","%25"),"~","%7E"),"*","%2A"),"?","%3F")))&lt;&gt;1),"",IF(OR(INDEX('Rules'!$B$7:$B$26,MATCH(SUBSTITUTE(SUBSTITUTE(SUBSTITUTE(SUBSTITUTE("type:"&amp;B1114,"%","%25"),"~","%7E"),"*","%2A"),"?","%3F"),'Rules'!$G$7:$G$26,0))="hours",INDEX('Rules'!$B$7:$B$26,MATCH(SUBSTITUTE(SUBSTITUTE(SUBSTITUTE(SUBSTITUTE("type:"&amp;B1114,"%","%25"),"~","%7E"),"*","%2A"),"?","%3F"),'Rules'!$G$7:$G$26,0))="km"),INDEX('Rules'!$B$7:$B$26,MATCH(SUBSTITUTE(SUBSTITUTE(SUBSTITUTE(SUBSTITUTE("type:"&amp;B1114,"%","%25"),"~","%7E"),"*","%2A"),"?","%3F"),'Rules'!$G$7:$G$26,0)),""))</x:f>
      </x:c>
      <x:c r="I1114" s="6" t="str">
        <x:f>IF(AND(NOT(COUNTA(A1114:F1114)=0),K1114=""),ROUND(J1114-D1114,3),"")</x:f>
      </x:c>
      <x:c r="J1114" s="6" t="str">
        <x:f>IF(AND(NOT(COUNTA(A1114:F1114)=0),K1114=""),ROUND(F1114+L1114,3),"")</x:f>
      </x:c>
      <x:c r="K1114" s="5" t="str">
        <x:f>IF(COUNTA(A1114:F1114)=0,"",IF(A1114="","Missing equipment ID",IF(COUNTIFS($N$8:$N$2007,"="&amp;N1114)&gt;1,"Duplicate equipment ID",IF(B1114="","Missing type",IF(COUNTIFS('Rules'!$G$7:$G$26,"="&amp;(SUBSTITUTE(SUBSTITUTE(SUBSTITUTE(SUBSTITUTE("type:"&amp;B1114,"%","%25"),"~","%7E"),"*","%2A"),"?","%3F")))=0,"Unknown type",IF(COUNTIFS('Rules'!$G$7:$G$26,"="&amp;(SUBSTITUTE(SUBSTITUTE(SUBSTITUTE(SUBSTITUTE("type:"&amp;B1114,"%","%25"),"~","%7E"),"*","%2A"),"?","%3F")))&gt;1,"Duplicate type",IF(INDEX('Rules'!$F$7:$F$26,MATCH(SUBSTITUTE(SUBSTITUTE(SUBSTITUTE(SUBSTITUTE("type:"&amp;B1114,"%","%25"),"~","%7E"),"*","%2A"),"?","%3F"),'Rules'!$G$7:$G$26,0))&lt;&gt;"",INDEX('Rules'!$F$7:$F$26,MATCH(SUBSTITUTE(SUBSTITUTE(SUBSTITUTE(SUBSTITUTE("type:"&amp;B1114,"%","%25"),"~","%7E"),"*","%2A"),"?","%3F"),'Rules'!$G$7:$G$26,0)),IF(AND(C1114&lt;&gt;"",C1114&lt;&gt;INDEX('Rules'!$B$7:$B$26,MATCH(SUBSTITUTE(SUBSTITUTE(SUBSTITUTE(SUBSTITUTE("type:"&amp;B1114,"%","%25"),"~","%7E"),"*","%2A"),"?","%3F"),'Rules'!$G$7:$G$26,0))),"Unit mismatch",IF(IF(NOT(ISNUMBER(D1114)),TRUE,OR(D1114&lt;0,D1114&gt;999999999,ROUND(D1114,3)&lt;&gt;D1114)),"Invalid current reading",IF(AND(E1114&lt;&gt;"",IF(NOT(ISNUMBER(E1114)),TRUE,OR(E1114&lt;0,E1114&gt;999999999,ROUND(E1114,3)&lt;&gt;E1114))),"Invalid previous reading",IF(IF(NOT(ISNUMBER(F1114)),TRUE,OR(F1114&lt;0,F1114&gt;999999999,ROUND(F1114,3)&lt;&gt;F1114)),"Invalid last service",IF(AND(E1114&lt;&gt;"",D1114&lt;E1114),"Decreased reading",IF(F1114&gt;D1114,"Last service above current","")))))))))))))</x:f>
      </x:c>
      <x:c r="L1114" s="6" t="str">
        <x:f>IF(AND(NOT(COUNTA(A1114:F1114)=0),K1114=""),INDEX('Rules'!$C$7:$C$26,MATCH(SUBSTITUTE(SUBSTITUTE(SUBSTITUTE(SUBSTITUTE("type:"&amp;B1114,"%","%25"),"~","%7E"),"*","%2A"),"?","%3F"),'Rules'!$G$7:$G$26,0)),"")</x:f>
      </x:c>
      <x:c r="M1114" s="6" t="str">
        <x:f>IF(AND(NOT(COUNTA(A1114:F1114)=0),K1114=""),INDEX('Rules'!$D$7:$D$26,MATCH(SUBSTITUTE(SUBSTITUTE(SUBSTITUTE(SUBSTITUTE("type:"&amp;B1114,"%","%25"),"~","%7E"),"*","%2A"),"?","%3F"),'Rules'!$G$7:$G$26,0)),"")</x:f>
      </x:c>
      <x:c r="N1114" s="5" t="str">
        <x:f>IF(COUNTA(A1114:F1114)=0,"",SUBSTITUTE(SUBSTITUTE(SUBSTITUTE(SUBSTITUTE("id:"&amp;A1114,"%","%25"),"~","%7E"),"*","%2A"),"?","%3F"))</x:f>
      </x:c>
    </x:row>
    <x:row r="1115" ht="22" customHeight="1">
      <x:c r="A1115" s="3"/>
      <x:c r="B1115" s="3"/>
      <x:c r="C1115" s="3"/>
      <x:c r="D1115" s="4"/>
      <x:c r="E1115" s="4"/>
      <x:c r="F1115" s="4"/>
      <x:c r="G1115" s="5" t="str">
        <x:f>IF(COUNTA(A1115:F1115)=0,"",IF(K1115&lt;&gt;"","Review",IF(I1115&lt;0,"Overdue",IF(I1115=0,"Due now",IF(I1115&lt;=M1115,"Due soon","Not due")))))</x:f>
      </x:c>
      <x:c r="H1115" s="5" t="str">
        <x:f>IF(OR(COUNTA(A1115:F1115)=0,COUNTIFS('Rules'!$G$7:$G$26,"="&amp;(SUBSTITUTE(SUBSTITUTE(SUBSTITUTE(SUBSTITUTE("type:"&amp;B1115,"%","%25"),"~","%7E"),"*","%2A"),"?","%3F")))&lt;&gt;1),"",IF(OR(INDEX('Rules'!$B$7:$B$26,MATCH(SUBSTITUTE(SUBSTITUTE(SUBSTITUTE(SUBSTITUTE("type:"&amp;B1115,"%","%25"),"~","%7E"),"*","%2A"),"?","%3F"),'Rules'!$G$7:$G$26,0))="hours",INDEX('Rules'!$B$7:$B$26,MATCH(SUBSTITUTE(SUBSTITUTE(SUBSTITUTE(SUBSTITUTE("type:"&amp;B1115,"%","%25"),"~","%7E"),"*","%2A"),"?","%3F"),'Rules'!$G$7:$G$26,0))="km"),INDEX('Rules'!$B$7:$B$26,MATCH(SUBSTITUTE(SUBSTITUTE(SUBSTITUTE(SUBSTITUTE("type:"&amp;B1115,"%","%25"),"~","%7E"),"*","%2A"),"?","%3F"),'Rules'!$G$7:$G$26,0)),""))</x:f>
      </x:c>
      <x:c r="I1115" s="6" t="str">
        <x:f>IF(AND(NOT(COUNTA(A1115:F1115)=0),K1115=""),ROUND(J1115-D1115,3),"")</x:f>
      </x:c>
      <x:c r="J1115" s="6" t="str">
        <x:f>IF(AND(NOT(COUNTA(A1115:F1115)=0),K1115=""),ROUND(F1115+L1115,3),"")</x:f>
      </x:c>
      <x:c r="K1115" s="5" t="str">
        <x:f>IF(COUNTA(A1115:F1115)=0,"",IF(A1115="","Missing equipment ID",IF(COUNTIFS($N$8:$N$2007,"="&amp;N1115)&gt;1,"Duplicate equipment ID",IF(B1115="","Missing type",IF(COUNTIFS('Rules'!$G$7:$G$26,"="&amp;(SUBSTITUTE(SUBSTITUTE(SUBSTITUTE(SUBSTITUTE("type:"&amp;B1115,"%","%25"),"~","%7E"),"*","%2A"),"?","%3F")))=0,"Unknown type",IF(COUNTIFS('Rules'!$G$7:$G$26,"="&amp;(SUBSTITUTE(SUBSTITUTE(SUBSTITUTE(SUBSTITUTE("type:"&amp;B1115,"%","%25"),"~","%7E"),"*","%2A"),"?","%3F")))&gt;1,"Duplicate type",IF(INDEX('Rules'!$F$7:$F$26,MATCH(SUBSTITUTE(SUBSTITUTE(SUBSTITUTE(SUBSTITUTE("type:"&amp;B1115,"%","%25"),"~","%7E"),"*","%2A"),"?","%3F"),'Rules'!$G$7:$G$26,0))&lt;&gt;"",INDEX('Rules'!$F$7:$F$26,MATCH(SUBSTITUTE(SUBSTITUTE(SUBSTITUTE(SUBSTITUTE("type:"&amp;B1115,"%","%25"),"~","%7E"),"*","%2A"),"?","%3F"),'Rules'!$G$7:$G$26,0)),IF(AND(C1115&lt;&gt;"",C1115&lt;&gt;INDEX('Rules'!$B$7:$B$26,MATCH(SUBSTITUTE(SUBSTITUTE(SUBSTITUTE(SUBSTITUTE("type:"&amp;B1115,"%","%25"),"~","%7E"),"*","%2A"),"?","%3F"),'Rules'!$G$7:$G$26,0))),"Unit mismatch",IF(IF(NOT(ISNUMBER(D1115)),TRUE,OR(D1115&lt;0,D1115&gt;999999999,ROUND(D1115,3)&lt;&gt;D1115)),"Invalid current reading",IF(AND(E1115&lt;&gt;"",IF(NOT(ISNUMBER(E1115)),TRUE,OR(E1115&lt;0,E1115&gt;999999999,ROUND(E1115,3)&lt;&gt;E1115))),"Invalid previous reading",IF(IF(NOT(ISNUMBER(F1115)),TRUE,OR(F1115&lt;0,F1115&gt;999999999,ROUND(F1115,3)&lt;&gt;F1115)),"Invalid last service",IF(AND(E1115&lt;&gt;"",D1115&lt;E1115),"Decreased reading",IF(F1115&gt;D1115,"Last service above current","")))))))))))))</x:f>
      </x:c>
      <x:c r="L1115" s="6" t="str">
        <x:f>IF(AND(NOT(COUNTA(A1115:F1115)=0),K1115=""),INDEX('Rules'!$C$7:$C$26,MATCH(SUBSTITUTE(SUBSTITUTE(SUBSTITUTE(SUBSTITUTE("type:"&amp;B1115,"%","%25"),"~","%7E"),"*","%2A"),"?","%3F"),'Rules'!$G$7:$G$26,0)),"")</x:f>
      </x:c>
      <x:c r="M1115" s="6" t="str">
        <x:f>IF(AND(NOT(COUNTA(A1115:F1115)=0),K1115=""),INDEX('Rules'!$D$7:$D$26,MATCH(SUBSTITUTE(SUBSTITUTE(SUBSTITUTE(SUBSTITUTE("type:"&amp;B1115,"%","%25"),"~","%7E"),"*","%2A"),"?","%3F"),'Rules'!$G$7:$G$26,0)),"")</x:f>
      </x:c>
      <x:c r="N1115" s="5" t="str">
        <x:f>IF(COUNTA(A1115:F1115)=0,"",SUBSTITUTE(SUBSTITUTE(SUBSTITUTE(SUBSTITUTE("id:"&amp;A1115,"%","%25"),"~","%7E"),"*","%2A"),"?","%3F"))</x:f>
      </x:c>
    </x:row>
    <x:row r="1116" ht="22" customHeight="1">
      <x:c r="A1116" s="3"/>
      <x:c r="B1116" s="3"/>
      <x:c r="C1116" s="3"/>
      <x:c r="D1116" s="4"/>
      <x:c r="E1116" s="4"/>
      <x:c r="F1116" s="4"/>
      <x:c r="G1116" s="5" t="str">
        <x:f>IF(COUNTA(A1116:F1116)=0,"",IF(K1116&lt;&gt;"","Review",IF(I1116&lt;0,"Overdue",IF(I1116=0,"Due now",IF(I1116&lt;=M1116,"Due soon","Not due")))))</x:f>
      </x:c>
      <x:c r="H1116" s="5" t="str">
        <x:f>IF(OR(COUNTA(A1116:F1116)=0,COUNTIFS('Rules'!$G$7:$G$26,"="&amp;(SUBSTITUTE(SUBSTITUTE(SUBSTITUTE(SUBSTITUTE("type:"&amp;B1116,"%","%25"),"~","%7E"),"*","%2A"),"?","%3F")))&lt;&gt;1),"",IF(OR(INDEX('Rules'!$B$7:$B$26,MATCH(SUBSTITUTE(SUBSTITUTE(SUBSTITUTE(SUBSTITUTE("type:"&amp;B1116,"%","%25"),"~","%7E"),"*","%2A"),"?","%3F"),'Rules'!$G$7:$G$26,0))="hours",INDEX('Rules'!$B$7:$B$26,MATCH(SUBSTITUTE(SUBSTITUTE(SUBSTITUTE(SUBSTITUTE("type:"&amp;B1116,"%","%25"),"~","%7E"),"*","%2A"),"?","%3F"),'Rules'!$G$7:$G$26,0))="km"),INDEX('Rules'!$B$7:$B$26,MATCH(SUBSTITUTE(SUBSTITUTE(SUBSTITUTE(SUBSTITUTE("type:"&amp;B1116,"%","%25"),"~","%7E"),"*","%2A"),"?","%3F"),'Rules'!$G$7:$G$26,0)),""))</x:f>
      </x:c>
      <x:c r="I1116" s="6" t="str">
        <x:f>IF(AND(NOT(COUNTA(A1116:F1116)=0),K1116=""),ROUND(J1116-D1116,3),"")</x:f>
      </x:c>
      <x:c r="J1116" s="6" t="str">
        <x:f>IF(AND(NOT(COUNTA(A1116:F1116)=0),K1116=""),ROUND(F1116+L1116,3),"")</x:f>
      </x:c>
      <x:c r="K1116" s="5" t="str">
        <x:f>IF(COUNTA(A1116:F1116)=0,"",IF(A1116="","Missing equipment ID",IF(COUNTIFS($N$8:$N$2007,"="&amp;N1116)&gt;1,"Duplicate equipment ID",IF(B1116="","Missing type",IF(COUNTIFS('Rules'!$G$7:$G$26,"="&amp;(SUBSTITUTE(SUBSTITUTE(SUBSTITUTE(SUBSTITUTE("type:"&amp;B1116,"%","%25"),"~","%7E"),"*","%2A"),"?","%3F")))=0,"Unknown type",IF(COUNTIFS('Rules'!$G$7:$G$26,"="&amp;(SUBSTITUTE(SUBSTITUTE(SUBSTITUTE(SUBSTITUTE("type:"&amp;B1116,"%","%25"),"~","%7E"),"*","%2A"),"?","%3F")))&gt;1,"Duplicate type",IF(INDEX('Rules'!$F$7:$F$26,MATCH(SUBSTITUTE(SUBSTITUTE(SUBSTITUTE(SUBSTITUTE("type:"&amp;B1116,"%","%25"),"~","%7E"),"*","%2A"),"?","%3F"),'Rules'!$G$7:$G$26,0))&lt;&gt;"",INDEX('Rules'!$F$7:$F$26,MATCH(SUBSTITUTE(SUBSTITUTE(SUBSTITUTE(SUBSTITUTE("type:"&amp;B1116,"%","%25"),"~","%7E"),"*","%2A"),"?","%3F"),'Rules'!$G$7:$G$26,0)),IF(AND(C1116&lt;&gt;"",C1116&lt;&gt;INDEX('Rules'!$B$7:$B$26,MATCH(SUBSTITUTE(SUBSTITUTE(SUBSTITUTE(SUBSTITUTE("type:"&amp;B1116,"%","%25"),"~","%7E"),"*","%2A"),"?","%3F"),'Rules'!$G$7:$G$26,0))),"Unit mismatch",IF(IF(NOT(ISNUMBER(D1116)),TRUE,OR(D1116&lt;0,D1116&gt;999999999,ROUND(D1116,3)&lt;&gt;D1116)),"Invalid current reading",IF(AND(E1116&lt;&gt;"",IF(NOT(ISNUMBER(E1116)),TRUE,OR(E1116&lt;0,E1116&gt;999999999,ROUND(E1116,3)&lt;&gt;E1116))),"Invalid previous reading",IF(IF(NOT(ISNUMBER(F1116)),TRUE,OR(F1116&lt;0,F1116&gt;999999999,ROUND(F1116,3)&lt;&gt;F1116)),"Invalid last service",IF(AND(E1116&lt;&gt;"",D1116&lt;E1116),"Decreased reading",IF(F1116&gt;D1116,"Last service above current","")))))))))))))</x:f>
      </x:c>
      <x:c r="L1116" s="6" t="str">
        <x:f>IF(AND(NOT(COUNTA(A1116:F1116)=0),K1116=""),INDEX('Rules'!$C$7:$C$26,MATCH(SUBSTITUTE(SUBSTITUTE(SUBSTITUTE(SUBSTITUTE("type:"&amp;B1116,"%","%25"),"~","%7E"),"*","%2A"),"?","%3F"),'Rules'!$G$7:$G$26,0)),"")</x:f>
      </x:c>
      <x:c r="M1116" s="6" t="str">
        <x:f>IF(AND(NOT(COUNTA(A1116:F1116)=0),K1116=""),INDEX('Rules'!$D$7:$D$26,MATCH(SUBSTITUTE(SUBSTITUTE(SUBSTITUTE(SUBSTITUTE("type:"&amp;B1116,"%","%25"),"~","%7E"),"*","%2A"),"?","%3F"),'Rules'!$G$7:$G$26,0)),"")</x:f>
      </x:c>
      <x:c r="N1116" s="5" t="str">
        <x:f>IF(COUNTA(A1116:F1116)=0,"",SUBSTITUTE(SUBSTITUTE(SUBSTITUTE(SUBSTITUTE("id:"&amp;A1116,"%","%25"),"~","%7E"),"*","%2A"),"?","%3F"))</x:f>
      </x:c>
    </x:row>
    <x:row r="1117" ht="22" customHeight="1">
      <x:c r="A1117" s="3"/>
      <x:c r="B1117" s="3"/>
      <x:c r="C1117" s="3"/>
      <x:c r="D1117" s="4"/>
      <x:c r="E1117" s="4"/>
      <x:c r="F1117" s="4"/>
      <x:c r="G1117" s="5" t="str">
        <x:f>IF(COUNTA(A1117:F1117)=0,"",IF(K1117&lt;&gt;"","Review",IF(I1117&lt;0,"Overdue",IF(I1117=0,"Due now",IF(I1117&lt;=M1117,"Due soon","Not due")))))</x:f>
      </x:c>
      <x:c r="H1117" s="5" t="str">
        <x:f>IF(OR(COUNTA(A1117:F1117)=0,COUNTIFS('Rules'!$G$7:$G$26,"="&amp;(SUBSTITUTE(SUBSTITUTE(SUBSTITUTE(SUBSTITUTE("type:"&amp;B1117,"%","%25"),"~","%7E"),"*","%2A"),"?","%3F")))&lt;&gt;1),"",IF(OR(INDEX('Rules'!$B$7:$B$26,MATCH(SUBSTITUTE(SUBSTITUTE(SUBSTITUTE(SUBSTITUTE("type:"&amp;B1117,"%","%25"),"~","%7E"),"*","%2A"),"?","%3F"),'Rules'!$G$7:$G$26,0))="hours",INDEX('Rules'!$B$7:$B$26,MATCH(SUBSTITUTE(SUBSTITUTE(SUBSTITUTE(SUBSTITUTE("type:"&amp;B1117,"%","%25"),"~","%7E"),"*","%2A"),"?","%3F"),'Rules'!$G$7:$G$26,0))="km"),INDEX('Rules'!$B$7:$B$26,MATCH(SUBSTITUTE(SUBSTITUTE(SUBSTITUTE(SUBSTITUTE("type:"&amp;B1117,"%","%25"),"~","%7E"),"*","%2A"),"?","%3F"),'Rules'!$G$7:$G$26,0)),""))</x:f>
      </x:c>
      <x:c r="I1117" s="6" t="str">
        <x:f>IF(AND(NOT(COUNTA(A1117:F1117)=0),K1117=""),ROUND(J1117-D1117,3),"")</x:f>
      </x:c>
      <x:c r="J1117" s="6" t="str">
        <x:f>IF(AND(NOT(COUNTA(A1117:F1117)=0),K1117=""),ROUND(F1117+L1117,3),"")</x:f>
      </x:c>
      <x:c r="K1117" s="5" t="str">
        <x:f>IF(COUNTA(A1117:F1117)=0,"",IF(A1117="","Missing equipment ID",IF(COUNTIFS($N$8:$N$2007,"="&amp;N1117)&gt;1,"Duplicate equipment ID",IF(B1117="","Missing type",IF(COUNTIFS('Rules'!$G$7:$G$26,"="&amp;(SUBSTITUTE(SUBSTITUTE(SUBSTITUTE(SUBSTITUTE("type:"&amp;B1117,"%","%25"),"~","%7E"),"*","%2A"),"?","%3F")))=0,"Unknown type",IF(COUNTIFS('Rules'!$G$7:$G$26,"="&amp;(SUBSTITUTE(SUBSTITUTE(SUBSTITUTE(SUBSTITUTE("type:"&amp;B1117,"%","%25"),"~","%7E"),"*","%2A"),"?","%3F")))&gt;1,"Duplicate type",IF(INDEX('Rules'!$F$7:$F$26,MATCH(SUBSTITUTE(SUBSTITUTE(SUBSTITUTE(SUBSTITUTE("type:"&amp;B1117,"%","%25"),"~","%7E"),"*","%2A"),"?","%3F"),'Rules'!$G$7:$G$26,0))&lt;&gt;"",INDEX('Rules'!$F$7:$F$26,MATCH(SUBSTITUTE(SUBSTITUTE(SUBSTITUTE(SUBSTITUTE("type:"&amp;B1117,"%","%25"),"~","%7E"),"*","%2A"),"?","%3F"),'Rules'!$G$7:$G$26,0)),IF(AND(C1117&lt;&gt;"",C1117&lt;&gt;INDEX('Rules'!$B$7:$B$26,MATCH(SUBSTITUTE(SUBSTITUTE(SUBSTITUTE(SUBSTITUTE("type:"&amp;B1117,"%","%25"),"~","%7E"),"*","%2A"),"?","%3F"),'Rules'!$G$7:$G$26,0))),"Unit mismatch",IF(IF(NOT(ISNUMBER(D1117)),TRUE,OR(D1117&lt;0,D1117&gt;999999999,ROUND(D1117,3)&lt;&gt;D1117)),"Invalid current reading",IF(AND(E1117&lt;&gt;"",IF(NOT(ISNUMBER(E1117)),TRUE,OR(E1117&lt;0,E1117&gt;999999999,ROUND(E1117,3)&lt;&gt;E1117))),"Invalid previous reading",IF(IF(NOT(ISNUMBER(F1117)),TRUE,OR(F1117&lt;0,F1117&gt;999999999,ROUND(F1117,3)&lt;&gt;F1117)),"Invalid last service",IF(AND(E1117&lt;&gt;"",D1117&lt;E1117),"Decreased reading",IF(F1117&gt;D1117,"Last service above current","")))))))))))))</x:f>
      </x:c>
      <x:c r="L1117" s="6" t="str">
        <x:f>IF(AND(NOT(COUNTA(A1117:F1117)=0),K1117=""),INDEX('Rules'!$C$7:$C$26,MATCH(SUBSTITUTE(SUBSTITUTE(SUBSTITUTE(SUBSTITUTE("type:"&amp;B1117,"%","%25"),"~","%7E"),"*","%2A"),"?","%3F"),'Rules'!$G$7:$G$26,0)),"")</x:f>
      </x:c>
      <x:c r="M1117" s="6" t="str">
        <x:f>IF(AND(NOT(COUNTA(A1117:F1117)=0),K1117=""),INDEX('Rules'!$D$7:$D$26,MATCH(SUBSTITUTE(SUBSTITUTE(SUBSTITUTE(SUBSTITUTE("type:"&amp;B1117,"%","%25"),"~","%7E"),"*","%2A"),"?","%3F"),'Rules'!$G$7:$G$26,0)),"")</x:f>
      </x:c>
      <x:c r="N1117" s="5" t="str">
        <x:f>IF(COUNTA(A1117:F1117)=0,"",SUBSTITUTE(SUBSTITUTE(SUBSTITUTE(SUBSTITUTE("id:"&amp;A1117,"%","%25"),"~","%7E"),"*","%2A"),"?","%3F"))</x:f>
      </x:c>
    </x:row>
    <x:row r="1118" ht="22" customHeight="1">
      <x:c r="A1118" s="3"/>
      <x:c r="B1118" s="3"/>
      <x:c r="C1118" s="3"/>
      <x:c r="D1118" s="4"/>
      <x:c r="E1118" s="4"/>
      <x:c r="F1118" s="4"/>
      <x:c r="G1118" s="5" t="str">
        <x:f>IF(COUNTA(A1118:F1118)=0,"",IF(K1118&lt;&gt;"","Review",IF(I1118&lt;0,"Overdue",IF(I1118=0,"Due now",IF(I1118&lt;=M1118,"Due soon","Not due")))))</x:f>
      </x:c>
      <x:c r="H1118" s="5" t="str">
        <x:f>IF(OR(COUNTA(A1118:F1118)=0,COUNTIFS('Rules'!$G$7:$G$26,"="&amp;(SUBSTITUTE(SUBSTITUTE(SUBSTITUTE(SUBSTITUTE("type:"&amp;B1118,"%","%25"),"~","%7E"),"*","%2A"),"?","%3F")))&lt;&gt;1),"",IF(OR(INDEX('Rules'!$B$7:$B$26,MATCH(SUBSTITUTE(SUBSTITUTE(SUBSTITUTE(SUBSTITUTE("type:"&amp;B1118,"%","%25"),"~","%7E"),"*","%2A"),"?","%3F"),'Rules'!$G$7:$G$26,0))="hours",INDEX('Rules'!$B$7:$B$26,MATCH(SUBSTITUTE(SUBSTITUTE(SUBSTITUTE(SUBSTITUTE("type:"&amp;B1118,"%","%25"),"~","%7E"),"*","%2A"),"?","%3F"),'Rules'!$G$7:$G$26,0))="km"),INDEX('Rules'!$B$7:$B$26,MATCH(SUBSTITUTE(SUBSTITUTE(SUBSTITUTE(SUBSTITUTE("type:"&amp;B1118,"%","%25"),"~","%7E"),"*","%2A"),"?","%3F"),'Rules'!$G$7:$G$26,0)),""))</x:f>
      </x:c>
      <x:c r="I1118" s="6" t="str">
        <x:f>IF(AND(NOT(COUNTA(A1118:F1118)=0),K1118=""),ROUND(J1118-D1118,3),"")</x:f>
      </x:c>
      <x:c r="J1118" s="6" t="str">
        <x:f>IF(AND(NOT(COUNTA(A1118:F1118)=0),K1118=""),ROUND(F1118+L1118,3),"")</x:f>
      </x:c>
      <x:c r="K1118" s="5" t="str">
        <x:f>IF(COUNTA(A1118:F1118)=0,"",IF(A1118="","Missing equipment ID",IF(COUNTIFS($N$8:$N$2007,"="&amp;N1118)&gt;1,"Duplicate equipment ID",IF(B1118="","Missing type",IF(COUNTIFS('Rules'!$G$7:$G$26,"="&amp;(SUBSTITUTE(SUBSTITUTE(SUBSTITUTE(SUBSTITUTE("type:"&amp;B1118,"%","%25"),"~","%7E"),"*","%2A"),"?","%3F")))=0,"Unknown type",IF(COUNTIFS('Rules'!$G$7:$G$26,"="&amp;(SUBSTITUTE(SUBSTITUTE(SUBSTITUTE(SUBSTITUTE("type:"&amp;B1118,"%","%25"),"~","%7E"),"*","%2A"),"?","%3F")))&gt;1,"Duplicate type",IF(INDEX('Rules'!$F$7:$F$26,MATCH(SUBSTITUTE(SUBSTITUTE(SUBSTITUTE(SUBSTITUTE("type:"&amp;B1118,"%","%25"),"~","%7E"),"*","%2A"),"?","%3F"),'Rules'!$G$7:$G$26,0))&lt;&gt;"",INDEX('Rules'!$F$7:$F$26,MATCH(SUBSTITUTE(SUBSTITUTE(SUBSTITUTE(SUBSTITUTE("type:"&amp;B1118,"%","%25"),"~","%7E"),"*","%2A"),"?","%3F"),'Rules'!$G$7:$G$26,0)),IF(AND(C1118&lt;&gt;"",C1118&lt;&gt;INDEX('Rules'!$B$7:$B$26,MATCH(SUBSTITUTE(SUBSTITUTE(SUBSTITUTE(SUBSTITUTE("type:"&amp;B1118,"%","%25"),"~","%7E"),"*","%2A"),"?","%3F"),'Rules'!$G$7:$G$26,0))),"Unit mismatch",IF(IF(NOT(ISNUMBER(D1118)),TRUE,OR(D1118&lt;0,D1118&gt;999999999,ROUND(D1118,3)&lt;&gt;D1118)),"Invalid current reading",IF(AND(E1118&lt;&gt;"",IF(NOT(ISNUMBER(E1118)),TRUE,OR(E1118&lt;0,E1118&gt;999999999,ROUND(E1118,3)&lt;&gt;E1118))),"Invalid previous reading",IF(IF(NOT(ISNUMBER(F1118)),TRUE,OR(F1118&lt;0,F1118&gt;999999999,ROUND(F1118,3)&lt;&gt;F1118)),"Invalid last service",IF(AND(E1118&lt;&gt;"",D1118&lt;E1118),"Decreased reading",IF(F1118&gt;D1118,"Last service above current","")))))))))))))</x:f>
      </x:c>
      <x:c r="L1118" s="6" t="str">
        <x:f>IF(AND(NOT(COUNTA(A1118:F1118)=0),K1118=""),INDEX('Rules'!$C$7:$C$26,MATCH(SUBSTITUTE(SUBSTITUTE(SUBSTITUTE(SUBSTITUTE("type:"&amp;B1118,"%","%25"),"~","%7E"),"*","%2A"),"?","%3F"),'Rules'!$G$7:$G$26,0)),"")</x:f>
      </x:c>
      <x:c r="M1118" s="6" t="str">
        <x:f>IF(AND(NOT(COUNTA(A1118:F1118)=0),K1118=""),INDEX('Rules'!$D$7:$D$26,MATCH(SUBSTITUTE(SUBSTITUTE(SUBSTITUTE(SUBSTITUTE("type:"&amp;B1118,"%","%25"),"~","%7E"),"*","%2A"),"?","%3F"),'Rules'!$G$7:$G$26,0)),"")</x:f>
      </x:c>
      <x:c r="N1118" s="5" t="str">
        <x:f>IF(COUNTA(A1118:F1118)=0,"",SUBSTITUTE(SUBSTITUTE(SUBSTITUTE(SUBSTITUTE("id:"&amp;A1118,"%","%25"),"~","%7E"),"*","%2A"),"?","%3F"))</x:f>
      </x:c>
    </x:row>
    <x:row r="1119" ht="22" customHeight="1">
      <x:c r="A1119" s="3"/>
      <x:c r="B1119" s="3"/>
      <x:c r="C1119" s="3"/>
      <x:c r="D1119" s="4"/>
      <x:c r="E1119" s="4"/>
      <x:c r="F1119" s="4"/>
      <x:c r="G1119" s="5" t="str">
        <x:f>IF(COUNTA(A1119:F1119)=0,"",IF(K1119&lt;&gt;"","Review",IF(I1119&lt;0,"Overdue",IF(I1119=0,"Due now",IF(I1119&lt;=M1119,"Due soon","Not due")))))</x:f>
      </x:c>
      <x:c r="H1119" s="5" t="str">
        <x:f>IF(OR(COUNTA(A1119:F1119)=0,COUNTIFS('Rules'!$G$7:$G$26,"="&amp;(SUBSTITUTE(SUBSTITUTE(SUBSTITUTE(SUBSTITUTE("type:"&amp;B1119,"%","%25"),"~","%7E"),"*","%2A"),"?","%3F")))&lt;&gt;1),"",IF(OR(INDEX('Rules'!$B$7:$B$26,MATCH(SUBSTITUTE(SUBSTITUTE(SUBSTITUTE(SUBSTITUTE("type:"&amp;B1119,"%","%25"),"~","%7E"),"*","%2A"),"?","%3F"),'Rules'!$G$7:$G$26,0))="hours",INDEX('Rules'!$B$7:$B$26,MATCH(SUBSTITUTE(SUBSTITUTE(SUBSTITUTE(SUBSTITUTE("type:"&amp;B1119,"%","%25"),"~","%7E"),"*","%2A"),"?","%3F"),'Rules'!$G$7:$G$26,0))="km"),INDEX('Rules'!$B$7:$B$26,MATCH(SUBSTITUTE(SUBSTITUTE(SUBSTITUTE(SUBSTITUTE("type:"&amp;B1119,"%","%25"),"~","%7E"),"*","%2A"),"?","%3F"),'Rules'!$G$7:$G$26,0)),""))</x:f>
      </x:c>
      <x:c r="I1119" s="6" t="str">
        <x:f>IF(AND(NOT(COUNTA(A1119:F1119)=0),K1119=""),ROUND(J1119-D1119,3),"")</x:f>
      </x:c>
      <x:c r="J1119" s="6" t="str">
        <x:f>IF(AND(NOT(COUNTA(A1119:F1119)=0),K1119=""),ROUND(F1119+L1119,3),"")</x:f>
      </x:c>
      <x:c r="K1119" s="5" t="str">
        <x:f>IF(COUNTA(A1119:F1119)=0,"",IF(A1119="","Missing equipment ID",IF(COUNTIFS($N$8:$N$2007,"="&amp;N1119)&gt;1,"Duplicate equipment ID",IF(B1119="","Missing type",IF(COUNTIFS('Rules'!$G$7:$G$26,"="&amp;(SUBSTITUTE(SUBSTITUTE(SUBSTITUTE(SUBSTITUTE("type:"&amp;B1119,"%","%25"),"~","%7E"),"*","%2A"),"?","%3F")))=0,"Unknown type",IF(COUNTIFS('Rules'!$G$7:$G$26,"="&amp;(SUBSTITUTE(SUBSTITUTE(SUBSTITUTE(SUBSTITUTE("type:"&amp;B1119,"%","%25"),"~","%7E"),"*","%2A"),"?","%3F")))&gt;1,"Duplicate type",IF(INDEX('Rules'!$F$7:$F$26,MATCH(SUBSTITUTE(SUBSTITUTE(SUBSTITUTE(SUBSTITUTE("type:"&amp;B1119,"%","%25"),"~","%7E"),"*","%2A"),"?","%3F"),'Rules'!$G$7:$G$26,0))&lt;&gt;"",INDEX('Rules'!$F$7:$F$26,MATCH(SUBSTITUTE(SUBSTITUTE(SUBSTITUTE(SUBSTITUTE("type:"&amp;B1119,"%","%25"),"~","%7E"),"*","%2A"),"?","%3F"),'Rules'!$G$7:$G$26,0)),IF(AND(C1119&lt;&gt;"",C1119&lt;&gt;INDEX('Rules'!$B$7:$B$26,MATCH(SUBSTITUTE(SUBSTITUTE(SUBSTITUTE(SUBSTITUTE("type:"&amp;B1119,"%","%25"),"~","%7E"),"*","%2A"),"?","%3F"),'Rules'!$G$7:$G$26,0))),"Unit mismatch",IF(IF(NOT(ISNUMBER(D1119)),TRUE,OR(D1119&lt;0,D1119&gt;999999999,ROUND(D1119,3)&lt;&gt;D1119)),"Invalid current reading",IF(AND(E1119&lt;&gt;"",IF(NOT(ISNUMBER(E1119)),TRUE,OR(E1119&lt;0,E1119&gt;999999999,ROUND(E1119,3)&lt;&gt;E1119))),"Invalid previous reading",IF(IF(NOT(ISNUMBER(F1119)),TRUE,OR(F1119&lt;0,F1119&gt;999999999,ROUND(F1119,3)&lt;&gt;F1119)),"Invalid last service",IF(AND(E1119&lt;&gt;"",D1119&lt;E1119),"Decreased reading",IF(F1119&gt;D1119,"Last service above current","")))))))))))))</x:f>
      </x:c>
      <x:c r="L1119" s="6" t="str">
        <x:f>IF(AND(NOT(COUNTA(A1119:F1119)=0),K1119=""),INDEX('Rules'!$C$7:$C$26,MATCH(SUBSTITUTE(SUBSTITUTE(SUBSTITUTE(SUBSTITUTE("type:"&amp;B1119,"%","%25"),"~","%7E"),"*","%2A"),"?","%3F"),'Rules'!$G$7:$G$26,0)),"")</x:f>
      </x:c>
      <x:c r="M1119" s="6" t="str">
        <x:f>IF(AND(NOT(COUNTA(A1119:F1119)=0),K1119=""),INDEX('Rules'!$D$7:$D$26,MATCH(SUBSTITUTE(SUBSTITUTE(SUBSTITUTE(SUBSTITUTE("type:"&amp;B1119,"%","%25"),"~","%7E"),"*","%2A"),"?","%3F"),'Rules'!$G$7:$G$26,0)),"")</x:f>
      </x:c>
      <x:c r="N1119" s="5" t="str">
        <x:f>IF(COUNTA(A1119:F1119)=0,"",SUBSTITUTE(SUBSTITUTE(SUBSTITUTE(SUBSTITUTE("id:"&amp;A1119,"%","%25"),"~","%7E"),"*","%2A"),"?","%3F"))</x:f>
      </x:c>
    </x:row>
    <x:row r="1120" ht="22" customHeight="1">
      <x:c r="A1120" s="3"/>
      <x:c r="B1120" s="3"/>
      <x:c r="C1120" s="3"/>
      <x:c r="D1120" s="4"/>
      <x:c r="E1120" s="4"/>
      <x:c r="F1120" s="4"/>
      <x:c r="G1120" s="5" t="str">
        <x:f>IF(COUNTA(A1120:F1120)=0,"",IF(K1120&lt;&gt;"","Review",IF(I1120&lt;0,"Overdue",IF(I1120=0,"Due now",IF(I1120&lt;=M1120,"Due soon","Not due")))))</x:f>
      </x:c>
      <x:c r="H1120" s="5" t="str">
        <x:f>IF(OR(COUNTA(A1120:F1120)=0,COUNTIFS('Rules'!$G$7:$G$26,"="&amp;(SUBSTITUTE(SUBSTITUTE(SUBSTITUTE(SUBSTITUTE("type:"&amp;B1120,"%","%25"),"~","%7E"),"*","%2A"),"?","%3F")))&lt;&gt;1),"",IF(OR(INDEX('Rules'!$B$7:$B$26,MATCH(SUBSTITUTE(SUBSTITUTE(SUBSTITUTE(SUBSTITUTE("type:"&amp;B1120,"%","%25"),"~","%7E"),"*","%2A"),"?","%3F"),'Rules'!$G$7:$G$26,0))="hours",INDEX('Rules'!$B$7:$B$26,MATCH(SUBSTITUTE(SUBSTITUTE(SUBSTITUTE(SUBSTITUTE("type:"&amp;B1120,"%","%25"),"~","%7E"),"*","%2A"),"?","%3F"),'Rules'!$G$7:$G$26,0))="km"),INDEX('Rules'!$B$7:$B$26,MATCH(SUBSTITUTE(SUBSTITUTE(SUBSTITUTE(SUBSTITUTE("type:"&amp;B1120,"%","%25"),"~","%7E"),"*","%2A"),"?","%3F"),'Rules'!$G$7:$G$26,0)),""))</x:f>
      </x:c>
      <x:c r="I1120" s="6" t="str">
        <x:f>IF(AND(NOT(COUNTA(A1120:F1120)=0),K1120=""),ROUND(J1120-D1120,3),"")</x:f>
      </x:c>
      <x:c r="J1120" s="6" t="str">
        <x:f>IF(AND(NOT(COUNTA(A1120:F1120)=0),K1120=""),ROUND(F1120+L1120,3),"")</x:f>
      </x:c>
      <x:c r="K1120" s="5" t="str">
        <x:f>IF(COUNTA(A1120:F1120)=0,"",IF(A1120="","Missing equipment ID",IF(COUNTIFS($N$8:$N$2007,"="&amp;N1120)&gt;1,"Duplicate equipment ID",IF(B1120="","Missing type",IF(COUNTIFS('Rules'!$G$7:$G$26,"="&amp;(SUBSTITUTE(SUBSTITUTE(SUBSTITUTE(SUBSTITUTE("type:"&amp;B1120,"%","%25"),"~","%7E"),"*","%2A"),"?","%3F")))=0,"Unknown type",IF(COUNTIFS('Rules'!$G$7:$G$26,"="&amp;(SUBSTITUTE(SUBSTITUTE(SUBSTITUTE(SUBSTITUTE("type:"&amp;B1120,"%","%25"),"~","%7E"),"*","%2A"),"?","%3F")))&gt;1,"Duplicate type",IF(INDEX('Rules'!$F$7:$F$26,MATCH(SUBSTITUTE(SUBSTITUTE(SUBSTITUTE(SUBSTITUTE("type:"&amp;B1120,"%","%25"),"~","%7E"),"*","%2A"),"?","%3F"),'Rules'!$G$7:$G$26,0))&lt;&gt;"",INDEX('Rules'!$F$7:$F$26,MATCH(SUBSTITUTE(SUBSTITUTE(SUBSTITUTE(SUBSTITUTE("type:"&amp;B1120,"%","%25"),"~","%7E"),"*","%2A"),"?","%3F"),'Rules'!$G$7:$G$26,0)),IF(AND(C1120&lt;&gt;"",C1120&lt;&gt;INDEX('Rules'!$B$7:$B$26,MATCH(SUBSTITUTE(SUBSTITUTE(SUBSTITUTE(SUBSTITUTE("type:"&amp;B1120,"%","%25"),"~","%7E"),"*","%2A"),"?","%3F"),'Rules'!$G$7:$G$26,0))),"Unit mismatch",IF(IF(NOT(ISNUMBER(D1120)),TRUE,OR(D1120&lt;0,D1120&gt;999999999,ROUND(D1120,3)&lt;&gt;D1120)),"Invalid current reading",IF(AND(E1120&lt;&gt;"",IF(NOT(ISNUMBER(E1120)),TRUE,OR(E1120&lt;0,E1120&gt;999999999,ROUND(E1120,3)&lt;&gt;E1120))),"Invalid previous reading",IF(IF(NOT(ISNUMBER(F1120)),TRUE,OR(F1120&lt;0,F1120&gt;999999999,ROUND(F1120,3)&lt;&gt;F1120)),"Invalid last service",IF(AND(E1120&lt;&gt;"",D1120&lt;E1120),"Decreased reading",IF(F1120&gt;D1120,"Last service above current","")))))))))))))</x:f>
      </x:c>
      <x:c r="L1120" s="6" t="str">
        <x:f>IF(AND(NOT(COUNTA(A1120:F1120)=0),K1120=""),INDEX('Rules'!$C$7:$C$26,MATCH(SUBSTITUTE(SUBSTITUTE(SUBSTITUTE(SUBSTITUTE("type:"&amp;B1120,"%","%25"),"~","%7E"),"*","%2A"),"?","%3F"),'Rules'!$G$7:$G$26,0)),"")</x:f>
      </x:c>
      <x:c r="M1120" s="6" t="str">
        <x:f>IF(AND(NOT(COUNTA(A1120:F1120)=0),K1120=""),INDEX('Rules'!$D$7:$D$26,MATCH(SUBSTITUTE(SUBSTITUTE(SUBSTITUTE(SUBSTITUTE("type:"&amp;B1120,"%","%25"),"~","%7E"),"*","%2A"),"?","%3F"),'Rules'!$G$7:$G$26,0)),"")</x:f>
      </x:c>
      <x:c r="N1120" s="5" t="str">
        <x:f>IF(COUNTA(A1120:F1120)=0,"",SUBSTITUTE(SUBSTITUTE(SUBSTITUTE(SUBSTITUTE("id:"&amp;A1120,"%","%25"),"~","%7E"),"*","%2A"),"?","%3F"))</x:f>
      </x:c>
    </x:row>
    <x:row r="1121" ht="22" customHeight="1">
      <x:c r="A1121" s="3"/>
      <x:c r="B1121" s="3"/>
      <x:c r="C1121" s="3"/>
      <x:c r="D1121" s="4"/>
      <x:c r="E1121" s="4"/>
      <x:c r="F1121" s="4"/>
      <x:c r="G1121" s="5" t="str">
        <x:f>IF(COUNTA(A1121:F1121)=0,"",IF(K1121&lt;&gt;"","Review",IF(I1121&lt;0,"Overdue",IF(I1121=0,"Due now",IF(I1121&lt;=M1121,"Due soon","Not due")))))</x:f>
      </x:c>
      <x:c r="H1121" s="5" t="str">
        <x:f>IF(OR(COUNTA(A1121:F1121)=0,COUNTIFS('Rules'!$G$7:$G$26,"="&amp;(SUBSTITUTE(SUBSTITUTE(SUBSTITUTE(SUBSTITUTE("type:"&amp;B1121,"%","%25"),"~","%7E"),"*","%2A"),"?","%3F")))&lt;&gt;1),"",IF(OR(INDEX('Rules'!$B$7:$B$26,MATCH(SUBSTITUTE(SUBSTITUTE(SUBSTITUTE(SUBSTITUTE("type:"&amp;B1121,"%","%25"),"~","%7E"),"*","%2A"),"?","%3F"),'Rules'!$G$7:$G$26,0))="hours",INDEX('Rules'!$B$7:$B$26,MATCH(SUBSTITUTE(SUBSTITUTE(SUBSTITUTE(SUBSTITUTE("type:"&amp;B1121,"%","%25"),"~","%7E"),"*","%2A"),"?","%3F"),'Rules'!$G$7:$G$26,0))="km"),INDEX('Rules'!$B$7:$B$26,MATCH(SUBSTITUTE(SUBSTITUTE(SUBSTITUTE(SUBSTITUTE("type:"&amp;B1121,"%","%25"),"~","%7E"),"*","%2A"),"?","%3F"),'Rules'!$G$7:$G$26,0)),""))</x:f>
      </x:c>
      <x:c r="I1121" s="6" t="str">
        <x:f>IF(AND(NOT(COUNTA(A1121:F1121)=0),K1121=""),ROUND(J1121-D1121,3),"")</x:f>
      </x:c>
      <x:c r="J1121" s="6" t="str">
        <x:f>IF(AND(NOT(COUNTA(A1121:F1121)=0),K1121=""),ROUND(F1121+L1121,3),"")</x:f>
      </x:c>
      <x:c r="K1121" s="5" t="str">
        <x:f>IF(COUNTA(A1121:F1121)=0,"",IF(A1121="","Missing equipment ID",IF(COUNTIFS($N$8:$N$2007,"="&amp;N1121)&gt;1,"Duplicate equipment ID",IF(B1121="","Missing type",IF(COUNTIFS('Rules'!$G$7:$G$26,"="&amp;(SUBSTITUTE(SUBSTITUTE(SUBSTITUTE(SUBSTITUTE("type:"&amp;B1121,"%","%25"),"~","%7E"),"*","%2A"),"?","%3F")))=0,"Unknown type",IF(COUNTIFS('Rules'!$G$7:$G$26,"="&amp;(SUBSTITUTE(SUBSTITUTE(SUBSTITUTE(SUBSTITUTE("type:"&amp;B1121,"%","%25"),"~","%7E"),"*","%2A"),"?","%3F")))&gt;1,"Duplicate type",IF(INDEX('Rules'!$F$7:$F$26,MATCH(SUBSTITUTE(SUBSTITUTE(SUBSTITUTE(SUBSTITUTE("type:"&amp;B1121,"%","%25"),"~","%7E"),"*","%2A"),"?","%3F"),'Rules'!$G$7:$G$26,0))&lt;&gt;"",INDEX('Rules'!$F$7:$F$26,MATCH(SUBSTITUTE(SUBSTITUTE(SUBSTITUTE(SUBSTITUTE("type:"&amp;B1121,"%","%25"),"~","%7E"),"*","%2A"),"?","%3F"),'Rules'!$G$7:$G$26,0)),IF(AND(C1121&lt;&gt;"",C1121&lt;&gt;INDEX('Rules'!$B$7:$B$26,MATCH(SUBSTITUTE(SUBSTITUTE(SUBSTITUTE(SUBSTITUTE("type:"&amp;B1121,"%","%25"),"~","%7E"),"*","%2A"),"?","%3F"),'Rules'!$G$7:$G$26,0))),"Unit mismatch",IF(IF(NOT(ISNUMBER(D1121)),TRUE,OR(D1121&lt;0,D1121&gt;999999999,ROUND(D1121,3)&lt;&gt;D1121)),"Invalid current reading",IF(AND(E1121&lt;&gt;"",IF(NOT(ISNUMBER(E1121)),TRUE,OR(E1121&lt;0,E1121&gt;999999999,ROUND(E1121,3)&lt;&gt;E1121))),"Invalid previous reading",IF(IF(NOT(ISNUMBER(F1121)),TRUE,OR(F1121&lt;0,F1121&gt;999999999,ROUND(F1121,3)&lt;&gt;F1121)),"Invalid last service",IF(AND(E1121&lt;&gt;"",D1121&lt;E1121),"Decreased reading",IF(F1121&gt;D1121,"Last service above current","")))))))))))))</x:f>
      </x:c>
      <x:c r="L1121" s="6" t="str">
        <x:f>IF(AND(NOT(COUNTA(A1121:F1121)=0),K1121=""),INDEX('Rules'!$C$7:$C$26,MATCH(SUBSTITUTE(SUBSTITUTE(SUBSTITUTE(SUBSTITUTE("type:"&amp;B1121,"%","%25"),"~","%7E"),"*","%2A"),"?","%3F"),'Rules'!$G$7:$G$26,0)),"")</x:f>
      </x:c>
      <x:c r="M1121" s="6" t="str">
        <x:f>IF(AND(NOT(COUNTA(A1121:F1121)=0),K1121=""),INDEX('Rules'!$D$7:$D$26,MATCH(SUBSTITUTE(SUBSTITUTE(SUBSTITUTE(SUBSTITUTE("type:"&amp;B1121,"%","%25"),"~","%7E"),"*","%2A"),"?","%3F"),'Rules'!$G$7:$G$26,0)),"")</x:f>
      </x:c>
      <x:c r="N1121" s="5" t="str">
        <x:f>IF(COUNTA(A1121:F1121)=0,"",SUBSTITUTE(SUBSTITUTE(SUBSTITUTE(SUBSTITUTE("id:"&amp;A1121,"%","%25"),"~","%7E"),"*","%2A"),"?","%3F"))</x:f>
      </x:c>
    </x:row>
    <x:row r="1122" ht="22" customHeight="1">
      <x:c r="A1122" s="3"/>
      <x:c r="B1122" s="3"/>
      <x:c r="C1122" s="3"/>
      <x:c r="D1122" s="4"/>
      <x:c r="E1122" s="4"/>
      <x:c r="F1122" s="4"/>
      <x:c r="G1122" s="5" t="str">
        <x:f>IF(COUNTA(A1122:F1122)=0,"",IF(K1122&lt;&gt;"","Review",IF(I1122&lt;0,"Overdue",IF(I1122=0,"Due now",IF(I1122&lt;=M1122,"Due soon","Not due")))))</x:f>
      </x:c>
      <x:c r="H1122" s="5" t="str">
        <x:f>IF(OR(COUNTA(A1122:F1122)=0,COUNTIFS('Rules'!$G$7:$G$26,"="&amp;(SUBSTITUTE(SUBSTITUTE(SUBSTITUTE(SUBSTITUTE("type:"&amp;B1122,"%","%25"),"~","%7E"),"*","%2A"),"?","%3F")))&lt;&gt;1),"",IF(OR(INDEX('Rules'!$B$7:$B$26,MATCH(SUBSTITUTE(SUBSTITUTE(SUBSTITUTE(SUBSTITUTE("type:"&amp;B1122,"%","%25"),"~","%7E"),"*","%2A"),"?","%3F"),'Rules'!$G$7:$G$26,0))="hours",INDEX('Rules'!$B$7:$B$26,MATCH(SUBSTITUTE(SUBSTITUTE(SUBSTITUTE(SUBSTITUTE("type:"&amp;B1122,"%","%25"),"~","%7E"),"*","%2A"),"?","%3F"),'Rules'!$G$7:$G$26,0))="km"),INDEX('Rules'!$B$7:$B$26,MATCH(SUBSTITUTE(SUBSTITUTE(SUBSTITUTE(SUBSTITUTE("type:"&amp;B1122,"%","%25"),"~","%7E"),"*","%2A"),"?","%3F"),'Rules'!$G$7:$G$26,0)),""))</x:f>
      </x:c>
      <x:c r="I1122" s="6" t="str">
        <x:f>IF(AND(NOT(COUNTA(A1122:F1122)=0),K1122=""),ROUND(J1122-D1122,3),"")</x:f>
      </x:c>
      <x:c r="J1122" s="6" t="str">
        <x:f>IF(AND(NOT(COUNTA(A1122:F1122)=0),K1122=""),ROUND(F1122+L1122,3),"")</x:f>
      </x:c>
      <x:c r="K1122" s="5" t="str">
        <x:f>IF(COUNTA(A1122:F1122)=0,"",IF(A1122="","Missing equipment ID",IF(COUNTIFS($N$8:$N$2007,"="&amp;N1122)&gt;1,"Duplicate equipment ID",IF(B1122="","Missing type",IF(COUNTIFS('Rules'!$G$7:$G$26,"="&amp;(SUBSTITUTE(SUBSTITUTE(SUBSTITUTE(SUBSTITUTE("type:"&amp;B1122,"%","%25"),"~","%7E"),"*","%2A"),"?","%3F")))=0,"Unknown type",IF(COUNTIFS('Rules'!$G$7:$G$26,"="&amp;(SUBSTITUTE(SUBSTITUTE(SUBSTITUTE(SUBSTITUTE("type:"&amp;B1122,"%","%25"),"~","%7E"),"*","%2A"),"?","%3F")))&gt;1,"Duplicate type",IF(INDEX('Rules'!$F$7:$F$26,MATCH(SUBSTITUTE(SUBSTITUTE(SUBSTITUTE(SUBSTITUTE("type:"&amp;B1122,"%","%25"),"~","%7E"),"*","%2A"),"?","%3F"),'Rules'!$G$7:$G$26,0))&lt;&gt;"",INDEX('Rules'!$F$7:$F$26,MATCH(SUBSTITUTE(SUBSTITUTE(SUBSTITUTE(SUBSTITUTE("type:"&amp;B1122,"%","%25"),"~","%7E"),"*","%2A"),"?","%3F"),'Rules'!$G$7:$G$26,0)),IF(AND(C1122&lt;&gt;"",C1122&lt;&gt;INDEX('Rules'!$B$7:$B$26,MATCH(SUBSTITUTE(SUBSTITUTE(SUBSTITUTE(SUBSTITUTE("type:"&amp;B1122,"%","%25"),"~","%7E"),"*","%2A"),"?","%3F"),'Rules'!$G$7:$G$26,0))),"Unit mismatch",IF(IF(NOT(ISNUMBER(D1122)),TRUE,OR(D1122&lt;0,D1122&gt;999999999,ROUND(D1122,3)&lt;&gt;D1122)),"Invalid current reading",IF(AND(E1122&lt;&gt;"",IF(NOT(ISNUMBER(E1122)),TRUE,OR(E1122&lt;0,E1122&gt;999999999,ROUND(E1122,3)&lt;&gt;E1122))),"Invalid previous reading",IF(IF(NOT(ISNUMBER(F1122)),TRUE,OR(F1122&lt;0,F1122&gt;999999999,ROUND(F1122,3)&lt;&gt;F1122)),"Invalid last service",IF(AND(E1122&lt;&gt;"",D1122&lt;E1122),"Decreased reading",IF(F1122&gt;D1122,"Last service above current","")))))))))))))</x:f>
      </x:c>
      <x:c r="L1122" s="6" t="str">
        <x:f>IF(AND(NOT(COUNTA(A1122:F1122)=0),K1122=""),INDEX('Rules'!$C$7:$C$26,MATCH(SUBSTITUTE(SUBSTITUTE(SUBSTITUTE(SUBSTITUTE("type:"&amp;B1122,"%","%25"),"~","%7E"),"*","%2A"),"?","%3F"),'Rules'!$G$7:$G$26,0)),"")</x:f>
      </x:c>
      <x:c r="M1122" s="6" t="str">
        <x:f>IF(AND(NOT(COUNTA(A1122:F1122)=0),K1122=""),INDEX('Rules'!$D$7:$D$26,MATCH(SUBSTITUTE(SUBSTITUTE(SUBSTITUTE(SUBSTITUTE("type:"&amp;B1122,"%","%25"),"~","%7E"),"*","%2A"),"?","%3F"),'Rules'!$G$7:$G$26,0)),"")</x:f>
      </x:c>
      <x:c r="N1122" s="5" t="str">
        <x:f>IF(COUNTA(A1122:F1122)=0,"",SUBSTITUTE(SUBSTITUTE(SUBSTITUTE(SUBSTITUTE("id:"&amp;A1122,"%","%25"),"~","%7E"),"*","%2A"),"?","%3F"))</x:f>
      </x:c>
    </x:row>
    <x:row r="1123" ht="22" customHeight="1">
      <x:c r="A1123" s="3"/>
      <x:c r="B1123" s="3"/>
      <x:c r="C1123" s="3"/>
      <x:c r="D1123" s="4"/>
      <x:c r="E1123" s="4"/>
      <x:c r="F1123" s="4"/>
      <x:c r="G1123" s="5" t="str">
        <x:f>IF(COUNTA(A1123:F1123)=0,"",IF(K1123&lt;&gt;"","Review",IF(I1123&lt;0,"Overdue",IF(I1123=0,"Due now",IF(I1123&lt;=M1123,"Due soon","Not due")))))</x:f>
      </x:c>
      <x:c r="H1123" s="5" t="str">
        <x:f>IF(OR(COUNTA(A1123:F1123)=0,COUNTIFS('Rules'!$G$7:$G$26,"="&amp;(SUBSTITUTE(SUBSTITUTE(SUBSTITUTE(SUBSTITUTE("type:"&amp;B1123,"%","%25"),"~","%7E"),"*","%2A"),"?","%3F")))&lt;&gt;1),"",IF(OR(INDEX('Rules'!$B$7:$B$26,MATCH(SUBSTITUTE(SUBSTITUTE(SUBSTITUTE(SUBSTITUTE("type:"&amp;B1123,"%","%25"),"~","%7E"),"*","%2A"),"?","%3F"),'Rules'!$G$7:$G$26,0))="hours",INDEX('Rules'!$B$7:$B$26,MATCH(SUBSTITUTE(SUBSTITUTE(SUBSTITUTE(SUBSTITUTE("type:"&amp;B1123,"%","%25"),"~","%7E"),"*","%2A"),"?","%3F"),'Rules'!$G$7:$G$26,0))="km"),INDEX('Rules'!$B$7:$B$26,MATCH(SUBSTITUTE(SUBSTITUTE(SUBSTITUTE(SUBSTITUTE("type:"&amp;B1123,"%","%25"),"~","%7E"),"*","%2A"),"?","%3F"),'Rules'!$G$7:$G$26,0)),""))</x:f>
      </x:c>
      <x:c r="I1123" s="6" t="str">
        <x:f>IF(AND(NOT(COUNTA(A1123:F1123)=0),K1123=""),ROUND(J1123-D1123,3),"")</x:f>
      </x:c>
      <x:c r="J1123" s="6" t="str">
        <x:f>IF(AND(NOT(COUNTA(A1123:F1123)=0),K1123=""),ROUND(F1123+L1123,3),"")</x:f>
      </x:c>
      <x:c r="K1123" s="5" t="str">
        <x:f>IF(COUNTA(A1123:F1123)=0,"",IF(A1123="","Missing equipment ID",IF(COUNTIFS($N$8:$N$2007,"="&amp;N1123)&gt;1,"Duplicate equipment ID",IF(B1123="","Missing type",IF(COUNTIFS('Rules'!$G$7:$G$26,"="&amp;(SUBSTITUTE(SUBSTITUTE(SUBSTITUTE(SUBSTITUTE("type:"&amp;B1123,"%","%25"),"~","%7E"),"*","%2A"),"?","%3F")))=0,"Unknown type",IF(COUNTIFS('Rules'!$G$7:$G$26,"="&amp;(SUBSTITUTE(SUBSTITUTE(SUBSTITUTE(SUBSTITUTE("type:"&amp;B1123,"%","%25"),"~","%7E"),"*","%2A"),"?","%3F")))&gt;1,"Duplicate type",IF(INDEX('Rules'!$F$7:$F$26,MATCH(SUBSTITUTE(SUBSTITUTE(SUBSTITUTE(SUBSTITUTE("type:"&amp;B1123,"%","%25"),"~","%7E"),"*","%2A"),"?","%3F"),'Rules'!$G$7:$G$26,0))&lt;&gt;"",INDEX('Rules'!$F$7:$F$26,MATCH(SUBSTITUTE(SUBSTITUTE(SUBSTITUTE(SUBSTITUTE("type:"&amp;B1123,"%","%25"),"~","%7E"),"*","%2A"),"?","%3F"),'Rules'!$G$7:$G$26,0)),IF(AND(C1123&lt;&gt;"",C1123&lt;&gt;INDEX('Rules'!$B$7:$B$26,MATCH(SUBSTITUTE(SUBSTITUTE(SUBSTITUTE(SUBSTITUTE("type:"&amp;B1123,"%","%25"),"~","%7E"),"*","%2A"),"?","%3F"),'Rules'!$G$7:$G$26,0))),"Unit mismatch",IF(IF(NOT(ISNUMBER(D1123)),TRUE,OR(D1123&lt;0,D1123&gt;999999999,ROUND(D1123,3)&lt;&gt;D1123)),"Invalid current reading",IF(AND(E1123&lt;&gt;"",IF(NOT(ISNUMBER(E1123)),TRUE,OR(E1123&lt;0,E1123&gt;999999999,ROUND(E1123,3)&lt;&gt;E1123))),"Invalid previous reading",IF(IF(NOT(ISNUMBER(F1123)),TRUE,OR(F1123&lt;0,F1123&gt;999999999,ROUND(F1123,3)&lt;&gt;F1123)),"Invalid last service",IF(AND(E1123&lt;&gt;"",D1123&lt;E1123),"Decreased reading",IF(F1123&gt;D1123,"Last service above current","")))))))))))))</x:f>
      </x:c>
      <x:c r="L1123" s="6" t="str">
        <x:f>IF(AND(NOT(COUNTA(A1123:F1123)=0),K1123=""),INDEX('Rules'!$C$7:$C$26,MATCH(SUBSTITUTE(SUBSTITUTE(SUBSTITUTE(SUBSTITUTE("type:"&amp;B1123,"%","%25"),"~","%7E"),"*","%2A"),"?","%3F"),'Rules'!$G$7:$G$26,0)),"")</x:f>
      </x:c>
      <x:c r="M1123" s="6" t="str">
        <x:f>IF(AND(NOT(COUNTA(A1123:F1123)=0),K1123=""),INDEX('Rules'!$D$7:$D$26,MATCH(SUBSTITUTE(SUBSTITUTE(SUBSTITUTE(SUBSTITUTE("type:"&amp;B1123,"%","%25"),"~","%7E"),"*","%2A"),"?","%3F"),'Rules'!$G$7:$G$26,0)),"")</x:f>
      </x:c>
      <x:c r="N1123" s="5" t="str">
        <x:f>IF(COUNTA(A1123:F1123)=0,"",SUBSTITUTE(SUBSTITUTE(SUBSTITUTE(SUBSTITUTE("id:"&amp;A1123,"%","%25"),"~","%7E"),"*","%2A"),"?","%3F"))</x:f>
      </x:c>
    </x:row>
    <x:row r="1124" ht="22" customHeight="1">
      <x:c r="A1124" s="3"/>
      <x:c r="B1124" s="3"/>
      <x:c r="C1124" s="3"/>
      <x:c r="D1124" s="4"/>
      <x:c r="E1124" s="4"/>
      <x:c r="F1124" s="4"/>
      <x:c r="G1124" s="5" t="str">
        <x:f>IF(COUNTA(A1124:F1124)=0,"",IF(K1124&lt;&gt;"","Review",IF(I1124&lt;0,"Overdue",IF(I1124=0,"Due now",IF(I1124&lt;=M1124,"Due soon","Not due")))))</x:f>
      </x:c>
      <x:c r="H1124" s="5" t="str">
        <x:f>IF(OR(COUNTA(A1124:F1124)=0,COUNTIFS('Rules'!$G$7:$G$26,"="&amp;(SUBSTITUTE(SUBSTITUTE(SUBSTITUTE(SUBSTITUTE("type:"&amp;B1124,"%","%25"),"~","%7E"),"*","%2A"),"?","%3F")))&lt;&gt;1),"",IF(OR(INDEX('Rules'!$B$7:$B$26,MATCH(SUBSTITUTE(SUBSTITUTE(SUBSTITUTE(SUBSTITUTE("type:"&amp;B1124,"%","%25"),"~","%7E"),"*","%2A"),"?","%3F"),'Rules'!$G$7:$G$26,0))="hours",INDEX('Rules'!$B$7:$B$26,MATCH(SUBSTITUTE(SUBSTITUTE(SUBSTITUTE(SUBSTITUTE("type:"&amp;B1124,"%","%25"),"~","%7E"),"*","%2A"),"?","%3F"),'Rules'!$G$7:$G$26,0))="km"),INDEX('Rules'!$B$7:$B$26,MATCH(SUBSTITUTE(SUBSTITUTE(SUBSTITUTE(SUBSTITUTE("type:"&amp;B1124,"%","%25"),"~","%7E"),"*","%2A"),"?","%3F"),'Rules'!$G$7:$G$26,0)),""))</x:f>
      </x:c>
      <x:c r="I1124" s="6" t="str">
        <x:f>IF(AND(NOT(COUNTA(A1124:F1124)=0),K1124=""),ROUND(J1124-D1124,3),"")</x:f>
      </x:c>
      <x:c r="J1124" s="6" t="str">
        <x:f>IF(AND(NOT(COUNTA(A1124:F1124)=0),K1124=""),ROUND(F1124+L1124,3),"")</x:f>
      </x:c>
      <x:c r="K1124" s="5" t="str">
        <x:f>IF(COUNTA(A1124:F1124)=0,"",IF(A1124="","Missing equipment ID",IF(COUNTIFS($N$8:$N$2007,"="&amp;N1124)&gt;1,"Duplicate equipment ID",IF(B1124="","Missing type",IF(COUNTIFS('Rules'!$G$7:$G$26,"="&amp;(SUBSTITUTE(SUBSTITUTE(SUBSTITUTE(SUBSTITUTE("type:"&amp;B1124,"%","%25"),"~","%7E"),"*","%2A"),"?","%3F")))=0,"Unknown type",IF(COUNTIFS('Rules'!$G$7:$G$26,"="&amp;(SUBSTITUTE(SUBSTITUTE(SUBSTITUTE(SUBSTITUTE("type:"&amp;B1124,"%","%25"),"~","%7E"),"*","%2A"),"?","%3F")))&gt;1,"Duplicate type",IF(INDEX('Rules'!$F$7:$F$26,MATCH(SUBSTITUTE(SUBSTITUTE(SUBSTITUTE(SUBSTITUTE("type:"&amp;B1124,"%","%25"),"~","%7E"),"*","%2A"),"?","%3F"),'Rules'!$G$7:$G$26,0))&lt;&gt;"",INDEX('Rules'!$F$7:$F$26,MATCH(SUBSTITUTE(SUBSTITUTE(SUBSTITUTE(SUBSTITUTE("type:"&amp;B1124,"%","%25"),"~","%7E"),"*","%2A"),"?","%3F"),'Rules'!$G$7:$G$26,0)),IF(AND(C1124&lt;&gt;"",C1124&lt;&gt;INDEX('Rules'!$B$7:$B$26,MATCH(SUBSTITUTE(SUBSTITUTE(SUBSTITUTE(SUBSTITUTE("type:"&amp;B1124,"%","%25"),"~","%7E"),"*","%2A"),"?","%3F"),'Rules'!$G$7:$G$26,0))),"Unit mismatch",IF(IF(NOT(ISNUMBER(D1124)),TRUE,OR(D1124&lt;0,D1124&gt;999999999,ROUND(D1124,3)&lt;&gt;D1124)),"Invalid current reading",IF(AND(E1124&lt;&gt;"",IF(NOT(ISNUMBER(E1124)),TRUE,OR(E1124&lt;0,E1124&gt;999999999,ROUND(E1124,3)&lt;&gt;E1124))),"Invalid previous reading",IF(IF(NOT(ISNUMBER(F1124)),TRUE,OR(F1124&lt;0,F1124&gt;999999999,ROUND(F1124,3)&lt;&gt;F1124)),"Invalid last service",IF(AND(E1124&lt;&gt;"",D1124&lt;E1124),"Decreased reading",IF(F1124&gt;D1124,"Last service above current","")))))))))))))</x:f>
      </x:c>
      <x:c r="L1124" s="6" t="str">
        <x:f>IF(AND(NOT(COUNTA(A1124:F1124)=0),K1124=""),INDEX('Rules'!$C$7:$C$26,MATCH(SUBSTITUTE(SUBSTITUTE(SUBSTITUTE(SUBSTITUTE("type:"&amp;B1124,"%","%25"),"~","%7E"),"*","%2A"),"?","%3F"),'Rules'!$G$7:$G$26,0)),"")</x:f>
      </x:c>
      <x:c r="M1124" s="6" t="str">
        <x:f>IF(AND(NOT(COUNTA(A1124:F1124)=0),K1124=""),INDEX('Rules'!$D$7:$D$26,MATCH(SUBSTITUTE(SUBSTITUTE(SUBSTITUTE(SUBSTITUTE("type:"&amp;B1124,"%","%25"),"~","%7E"),"*","%2A"),"?","%3F"),'Rules'!$G$7:$G$26,0)),"")</x:f>
      </x:c>
      <x:c r="N1124" s="5" t="str">
        <x:f>IF(COUNTA(A1124:F1124)=0,"",SUBSTITUTE(SUBSTITUTE(SUBSTITUTE(SUBSTITUTE("id:"&amp;A1124,"%","%25"),"~","%7E"),"*","%2A"),"?","%3F"))</x:f>
      </x:c>
    </x:row>
    <x:row r="1125" ht="22" customHeight="1">
      <x:c r="A1125" s="3"/>
      <x:c r="B1125" s="3"/>
      <x:c r="C1125" s="3"/>
      <x:c r="D1125" s="4"/>
      <x:c r="E1125" s="4"/>
      <x:c r="F1125" s="4"/>
      <x:c r="G1125" s="5" t="str">
        <x:f>IF(COUNTA(A1125:F1125)=0,"",IF(K1125&lt;&gt;"","Review",IF(I1125&lt;0,"Overdue",IF(I1125=0,"Due now",IF(I1125&lt;=M1125,"Due soon","Not due")))))</x:f>
      </x:c>
      <x:c r="H1125" s="5" t="str">
        <x:f>IF(OR(COUNTA(A1125:F1125)=0,COUNTIFS('Rules'!$G$7:$G$26,"="&amp;(SUBSTITUTE(SUBSTITUTE(SUBSTITUTE(SUBSTITUTE("type:"&amp;B1125,"%","%25"),"~","%7E"),"*","%2A"),"?","%3F")))&lt;&gt;1),"",IF(OR(INDEX('Rules'!$B$7:$B$26,MATCH(SUBSTITUTE(SUBSTITUTE(SUBSTITUTE(SUBSTITUTE("type:"&amp;B1125,"%","%25"),"~","%7E"),"*","%2A"),"?","%3F"),'Rules'!$G$7:$G$26,0))="hours",INDEX('Rules'!$B$7:$B$26,MATCH(SUBSTITUTE(SUBSTITUTE(SUBSTITUTE(SUBSTITUTE("type:"&amp;B1125,"%","%25"),"~","%7E"),"*","%2A"),"?","%3F"),'Rules'!$G$7:$G$26,0))="km"),INDEX('Rules'!$B$7:$B$26,MATCH(SUBSTITUTE(SUBSTITUTE(SUBSTITUTE(SUBSTITUTE("type:"&amp;B1125,"%","%25"),"~","%7E"),"*","%2A"),"?","%3F"),'Rules'!$G$7:$G$26,0)),""))</x:f>
      </x:c>
      <x:c r="I1125" s="6" t="str">
        <x:f>IF(AND(NOT(COUNTA(A1125:F1125)=0),K1125=""),ROUND(J1125-D1125,3),"")</x:f>
      </x:c>
      <x:c r="J1125" s="6" t="str">
        <x:f>IF(AND(NOT(COUNTA(A1125:F1125)=0),K1125=""),ROUND(F1125+L1125,3),"")</x:f>
      </x:c>
      <x:c r="K1125" s="5" t="str">
        <x:f>IF(COUNTA(A1125:F1125)=0,"",IF(A1125="","Missing equipment ID",IF(COUNTIFS($N$8:$N$2007,"="&amp;N1125)&gt;1,"Duplicate equipment ID",IF(B1125="","Missing type",IF(COUNTIFS('Rules'!$G$7:$G$26,"="&amp;(SUBSTITUTE(SUBSTITUTE(SUBSTITUTE(SUBSTITUTE("type:"&amp;B1125,"%","%25"),"~","%7E"),"*","%2A"),"?","%3F")))=0,"Unknown type",IF(COUNTIFS('Rules'!$G$7:$G$26,"="&amp;(SUBSTITUTE(SUBSTITUTE(SUBSTITUTE(SUBSTITUTE("type:"&amp;B1125,"%","%25"),"~","%7E"),"*","%2A"),"?","%3F")))&gt;1,"Duplicate type",IF(INDEX('Rules'!$F$7:$F$26,MATCH(SUBSTITUTE(SUBSTITUTE(SUBSTITUTE(SUBSTITUTE("type:"&amp;B1125,"%","%25"),"~","%7E"),"*","%2A"),"?","%3F"),'Rules'!$G$7:$G$26,0))&lt;&gt;"",INDEX('Rules'!$F$7:$F$26,MATCH(SUBSTITUTE(SUBSTITUTE(SUBSTITUTE(SUBSTITUTE("type:"&amp;B1125,"%","%25"),"~","%7E"),"*","%2A"),"?","%3F"),'Rules'!$G$7:$G$26,0)),IF(AND(C1125&lt;&gt;"",C1125&lt;&gt;INDEX('Rules'!$B$7:$B$26,MATCH(SUBSTITUTE(SUBSTITUTE(SUBSTITUTE(SUBSTITUTE("type:"&amp;B1125,"%","%25"),"~","%7E"),"*","%2A"),"?","%3F"),'Rules'!$G$7:$G$26,0))),"Unit mismatch",IF(IF(NOT(ISNUMBER(D1125)),TRUE,OR(D1125&lt;0,D1125&gt;999999999,ROUND(D1125,3)&lt;&gt;D1125)),"Invalid current reading",IF(AND(E1125&lt;&gt;"",IF(NOT(ISNUMBER(E1125)),TRUE,OR(E1125&lt;0,E1125&gt;999999999,ROUND(E1125,3)&lt;&gt;E1125))),"Invalid previous reading",IF(IF(NOT(ISNUMBER(F1125)),TRUE,OR(F1125&lt;0,F1125&gt;999999999,ROUND(F1125,3)&lt;&gt;F1125)),"Invalid last service",IF(AND(E1125&lt;&gt;"",D1125&lt;E1125),"Decreased reading",IF(F1125&gt;D1125,"Last service above current","")))))))))))))</x:f>
      </x:c>
      <x:c r="L1125" s="6" t="str">
        <x:f>IF(AND(NOT(COUNTA(A1125:F1125)=0),K1125=""),INDEX('Rules'!$C$7:$C$26,MATCH(SUBSTITUTE(SUBSTITUTE(SUBSTITUTE(SUBSTITUTE("type:"&amp;B1125,"%","%25"),"~","%7E"),"*","%2A"),"?","%3F"),'Rules'!$G$7:$G$26,0)),"")</x:f>
      </x:c>
      <x:c r="M1125" s="6" t="str">
        <x:f>IF(AND(NOT(COUNTA(A1125:F1125)=0),K1125=""),INDEX('Rules'!$D$7:$D$26,MATCH(SUBSTITUTE(SUBSTITUTE(SUBSTITUTE(SUBSTITUTE("type:"&amp;B1125,"%","%25"),"~","%7E"),"*","%2A"),"?","%3F"),'Rules'!$G$7:$G$26,0)),"")</x:f>
      </x:c>
      <x:c r="N1125" s="5" t="str">
        <x:f>IF(COUNTA(A1125:F1125)=0,"",SUBSTITUTE(SUBSTITUTE(SUBSTITUTE(SUBSTITUTE("id:"&amp;A1125,"%","%25"),"~","%7E"),"*","%2A"),"?","%3F"))</x:f>
      </x:c>
    </x:row>
    <x:row r="1126" ht="22" customHeight="1">
      <x:c r="A1126" s="3"/>
      <x:c r="B1126" s="3"/>
      <x:c r="C1126" s="3"/>
      <x:c r="D1126" s="4"/>
      <x:c r="E1126" s="4"/>
      <x:c r="F1126" s="4"/>
      <x:c r="G1126" s="5" t="str">
        <x:f>IF(COUNTA(A1126:F1126)=0,"",IF(K1126&lt;&gt;"","Review",IF(I1126&lt;0,"Overdue",IF(I1126=0,"Due now",IF(I1126&lt;=M1126,"Due soon","Not due")))))</x:f>
      </x:c>
      <x:c r="H1126" s="5" t="str">
        <x:f>IF(OR(COUNTA(A1126:F1126)=0,COUNTIFS('Rules'!$G$7:$G$26,"="&amp;(SUBSTITUTE(SUBSTITUTE(SUBSTITUTE(SUBSTITUTE("type:"&amp;B1126,"%","%25"),"~","%7E"),"*","%2A"),"?","%3F")))&lt;&gt;1),"",IF(OR(INDEX('Rules'!$B$7:$B$26,MATCH(SUBSTITUTE(SUBSTITUTE(SUBSTITUTE(SUBSTITUTE("type:"&amp;B1126,"%","%25"),"~","%7E"),"*","%2A"),"?","%3F"),'Rules'!$G$7:$G$26,0))="hours",INDEX('Rules'!$B$7:$B$26,MATCH(SUBSTITUTE(SUBSTITUTE(SUBSTITUTE(SUBSTITUTE("type:"&amp;B1126,"%","%25"),"~","%7E"),"*","%2A"),"?","%3F"),'Rules'!$G$7:$G$26,0))="km"),INDEX('Rules'!$B$7:$B$26,MATCH(SUBSTITUTE(SUBSTITUTE(SUBSTITUTE(SUBSTITUTE("type:"&amp;B1126,"%","%25"),"~","%7E"),"*","%2A"),"?","%3F"),'Rules'!$G$7:$G$26,0)),""))</x:f>
      </x:c>
      <x:c r="I1126" s="6" t="str">
        <x:f>IF(AND(NOT(COUNTA(A1126:F1126)=0),K1126=""),ROUND(J1126-D1126,3),"")</x:f>
      </x:c>
      <x:c r="J1126" s="6" t="str">
        <x:f>IF(AND(NOT(COUNTA(A1126:F1126)=0),K1126=""),ROUND(F1126+L1126,3),"")</x:f>
      </x:c>
      <x:c r="K1126" s="5" t="str">
        <x:f>IF(COUNTA(A1126:F1126)=0,"",IF(A1126="","Missing equipment ID",IF(COUNTIFS($N$8:$N$2007,"="&amp;N1126)&gt;1,"Duplicate equipment ID",IF(B1126="","Missing type",IF(COUNTIFS('Rules'!$G$7:$G$26,"="&amp;(SUBSTITUTE(SUBSTITUTE(SUBSTITUTE(SUBSTITUTE("type:"&amp;B1126,"%","%25"),"~","%7E"),"*","%2A"),"?","%3F")))=0,"Unknown type",IF(COUNTIFS('Rules'!$G$7:$G$26,"="&amp;(SUBSTITUTE(SUBSTITUTE(SUBSTITUTE(SUBSTITUTE("type:"&amp;B1126,"%","%25"),"~","%7E"),"*","%2A"),"?","%3F")))&gt;1,"Duplicate type",IF(INDEX('Rules'!$F$7:$F$26,MATCH(SUBSTITUTE(SUBSTITUTE(SUBSTITUTE(SUBSTITUTE("type:"&amp;B1126,"%","%25"),"~","%7E"),"*","%2A"),"?","%3F"),'Rules'!$G$7:$G$26,0))&lt;&gt;"",INDEX('Rules'!$F$7:$F$26,MATCH(SUBSTITUTE(SUBSTITUTE(SUBSTITUTE(SUBSTITUTE("type:"&amp;B1126,"%","%25"),"~","%7E"),"*","%2A"),"?","%3F"),'Rules'!$G$7:$G$26,0)),IF(AND(C1126&lt;&gt;"",C1126&lt;&gt;INDEX('Rules'!$B$7:$B$26,MATCH(SUBSTITUTE(SUBSTITUTE(SUBSTITUTE(SUBSTITUTE("type:"&amp;B1126,"%","%25"),"~","%7E"),"*","%2A"),"?","%3F"),'Rules'!$G$7:$G$26,0))),"Unit mismatch",IF(IF(NOT(ISNUMBER(D1126)),TRUE,OR(D1126&lt;0,D1126&gt;999999999,ROUND(D1126,3)&lt;&gt;D1126)),"Invalid current reading",IF(AND(E1126&lt;&gt;"",IF(NOT(ISNUMBER(E1126)),TRUE,OR(E1126&lt;0,E1126&gt;999999999,ROUND(E1126,3)&lt;&gt;E1126))),"Invalid previous reading",IF(IF(NOT(ISNUMBER(F1126)),TRUE,OR(F1126&lt;0,F1126&gt;999999999,ROUND(F1126,3)&lt;&gt;F1126)),"Invalid last service",IF(AND(E1126&lt;&gt;"",D1126&lt;E1126),"Decreased reading",IF(F1126&gt;D1126,"Last service above current","")))))))))))))</x:f>
      </x:c>
      <x:c r="L1126" s="6" t="str">
        <x:f>IF(AND(NOT(COUNTA(A1126:F1126)=0),K1126=""),INDEX('Rules'!$C$7:$C$26,MATCH(SUBSTITUTE(SUBSTITUTE(SUBSTITUTE(SUBSTITUTE("type:"&amp;B1126,"%","%25"),"~","%7E"),"*","%2A"),"?","%3F"),'Rules'!$G$7:$G$26,0)),"")</x:f>
      </x:c>
      <x:c r="M1126" s="6" t="str">
        <x:f>IF(AND(NOT(COUNTA(A1126:F1126)=0),K1126=""),INDEX('Rules'!$D$7:$D$26,MATCH(SUBSTITUTE(SUBSTITUTE(SUBSTITUTE(SUBSTITUTE("type:"&amp;B1126,"%","%25"),"~","%7E"),"*","%2A"),"?","%3F"),'Rules'!$G$7:$G$26,0)),"")</x:f>
      </x:c>
      <x:c r="N1126" s="5" t="str">
        <x:f>IF(COUNTA(A1126:F1126)=0,"",SUBSTITUTE(SUBSTITUTE(SUBSTITUTE(SUBSTITUTE("id:"&amp;A1126,"%","%25"),"~","%7E"),"*","%2A"),"?","%3F"))</x:f>
      </x:c>
    </x:row>
    <x:row r="1127" ht="22" customHeight="1">
      <x:c r="A1127" s="3"/>
      <x:c r="B1127" s="3"/>
      <x:c r="C1127" s="3"/>
      <x:c r="D1127" s="4"/>
      <x:c r="E1127" s="4"/>
      <x:c r="F1127" s="4"/>
      <x:c r="G1127" s="5" t="str">
        <x:f>IF(COUNTA(A1127:F1127)=0,"",IF(K1127&lt;&gt;"","Review",IF(I1127&lt;0,"Overdue",IF(I1127=0,"Due now",IF(I1127&lt;=M1127,"Due soon","Not due")))))</x:f>
      </x:c>
      <x:c r="H1127" s="5" t="str">
        <x:f>IF(OR(COUNTA(A1127:F1127)=0,COUNTIFS('Rules'!$G$7:$G$26,"="&amp;(SUBSTITUTE(SUBSTITUTE(SUBSTITUTE(SUBSTITUTE("type:"&amp;B1127,"%","%25"),"~","%7E"),"*","%2A"),"?","%3F")))&lt;&gt;1),"",IF(OR(INDEX('Rules'!$B$7:$B$26,MATCH(SUBSTITUTE(SUBSTITUTE(SUBSTITUTE(SUBSTITUTE("type:"&amp;B1127,"%","%25"),"~","%7E"),"*","%2A"),"?","%3F"),'Rules'!$G$7:$G$26,0))="hours",INDEX('Rules'!$B$7:$B$26,MATCH(SUBSTITUTE(SUBSTITUTE(SUBSTITUTE(SUBSTITUTE("type:"&amp;B1127,"%","%25"),"~","%7E"),"*","%2A"),"?","%3F"),'Rules'!$G$7:$G$26,0))="km"),INDEX('Rules'!$B$7:$B$26,MATCH(SUBSTITUTE(SUBSTITUTE(SUBSTITUTE(SUBSTITUTE("type:"&amp;B1127,"%","%25"),"~","%7E"),"*","%2A"),"?","%3F"),'Rules'!$G$7:$G$26,0)),""))</x:f>
      </x:c>
      <x:c r="I1127" s="6" t="str">
        <x:f>IF(AND(NOT(COUNTA(A1127:F1127)=0),K1127=""),ROUND(J1127-D1127,3),"")</x:f>
      </x:c>
      <x:c r="J1127" s="6" t="str">
        <x:f>IF(AND(NOT(COUNTA(A1127:F1127)=0),K1127=""),ROUND(F1127+L1127,3),"")</x:f>
      </x:c>
      <x:c r="K1127" s="5" t="str">
        <x:f>IF(COUNTA(A1127:F1127)=0,"",IF(A1127="","Missing equipment ID",IF(COUNTIFS($N$8:$N$2007,"="&amp;N1127)&gt;1,"Duplicate equipment ID",IF(B1127="","Missing type",IF(COUNTIFS('Rules'!$G$7:$G$26,"="&amp;(SUBSTITUTE(SUBSTITUTE(SUBSTITUTE(SUBSTITUTE("type:"&amp;B1127,"%","%25"),"~","%7E"),"*","%2A"),"?","%3F")))=0,"Unknown type",IF(COUNTIFS('Rules'!$G$7:$G$26,"="&amp;(SUBSTITUTE(SUBSTITUTE(SUBSTITUTE(SUBSTITUTE("type:"&amp;B1127,"%","%25"),"~","%7E"),"*","%2A"),"?","%3F")))&gt;1,"Duplicate type",IF(INDEX('Rules'!$F$7:$F$26,MATCH(SUBSTITUTE(SUBSTITUTE(SUBSTITUTE(SUBSTITUTE("type:"&amp;B1127,"%","%25"),"~","%7E"),"*","%2A"),"?","%3F"),'Rules'!$G$7:$G$26,0))&lt;&gt;"",INDEX('Rules'!$F$7:$F$26,MATCH(SUBSTITUTE(SUBSTITUTE(SUBSTITUTE(SUBSTITUTE("type:"&amp;B1127,"%","%25"),"~","%7E"),"*","%2A"),"?","%3F"),'Rules'!$G$7:$G$26,0)),IF(AND(C1127&lt;&gt;"",C1127&lt;&gt;INDEX('Rules'!$B$7:$B$26,MATCH(SUBSTITUTE(SUBSTITUTE(SUBSTITUTE(SUBSTITUTE("type:"&amp;B1127,"%","%25"),"~","%7E"),"*","%2A"),"?","%3F"),'Rules'!$G$7:$G$26,0))),"Unit mismatch",IF(IF(NOT(ISNUMBER(D1127)),TRUE,OR(D1127&lt;0,D1127&gt;999999999,ROUND(D1127,3)&lt;&gt;D1127)),"Invalid current reading",IF(AND(E1127&lt;&gt;"",IF(NOT(ISNUMBER(E1127)),TRUE,OR(E1127&lt;0,E1127&gt;999999999,ROUND(E1127,3)&lt;&gt;E1127))),"Invalid previous reading",IF(IF(NOT(ISNUMBER(F1127)),TRUE,OR(F1127&lt;0,F1127&gt;999999999,ROUND(F1127,3)&lt;&gt;F1127)),"Invalid last service",IF(AND(E1127&lt;&gt;"",D1127&lt;E1127),"Decreased reading",IF(F1127&gt;D1127,"Last service above current","")))))))))))))</x:f>
      </x:c>
      <x:c r="L1127" s="6" t="str">
        <x:f>IF(AND(NOT(COUNTA(A1127:F1127)=0),K1127=""),INDEX('Rules'!$C$7:$C$26,MATCH(SUBSTITUTE(SUBSTITUTE(SUBSTITUTE(SUBSTITUTE("type:"&amp;B1127,"%","%25"),"~","%7E"),"*","%2A"),"?","%3F"),'Rules'!$G$7:$G$26,0)),"")</x:f>
      </x:c>
      <x:c r="M1127" s="6" t="str">
        <x:f>IF(AND(NOT(COUNTA(A1127:F1127)=0),K1127=""),INDEX('Rules'!$D$7:$D$26,MATCH(SUBSTITUTE(SUBSTITUTE(SUBSTITUTE(SUBSTITUTE("type:"&amp;B1127,"%","%25"),"~","%7E"),"*","%2A"),"?","%3F"),'Rules'!$G$7:$G$26,0)),"")</x:f>
      </x:c>
      <x:c r="N1127" s="5" t="str">
        <x:f>IF(COUNTA(A1127:F1127)=0,"",SUBSTITUTE(SUBSTITUTE(SUBSTITUTE(SUBSTITUTE("id:"&amp;A1127,"%","%25"),"~","%7E"),"*","%2A"),"?","%3F"))</x:f>
      </x:c>
    </x:row>
    <x:row r="1128" ht="22" customHeight="1">
      <x:c r="A1128" s="3"/>
      <x:c r="B1128" s="3"/>
      <x:c r="C1128" s="3"/>
      <x:c r="D1128" s="4"/>
      <x:c r="E1128" s="4"/>
      <x:c r="F1128" s="4"/>
      <x:c r="G1128" s="5" t="str">
        <x:f>IF(COUNTA(A1128:F1128)=0,"",IF(K1128&lt;&gt;"","Review",IF(I1128&lt;0,"Overdue",IF(I1128=0,"Due now",IF(I1128&lt;=M1128,"Due soon","Not due")))))</x:f>
      </x:c>
      <x:c r="H1128" s="5" t="str">
        <x:f>IF(OR(COUNTA(A1128:F1128)=0,COUNTIFS('Rules'!$G$7:$G$26,"="&amp;(SUBSTITUTE(SUBSTITUTE(SUBSTITUTE(SUBSTITUTE("type:"&amp;B1128,"%","%25"),"~","%7E"),"*","%2A"),"?","%3F")))&lt;&gt;1),"",IF(OR(INDEX('Rules'!$B$7:$B$26,MATCH(SUBSTITUTE(SUBSTITUTE(SUBSTITUTE(SUBSTITUTE("type:"&amp;B1128,"%","%25"),"~","%7E"),"*","%2A"),"?","%3F"),'Rules'!$G$7:$G$26,0))="hours",INDEX('Rules'!$B$7:$B$26,MATCH(SUBSTITUTE(SUBSTITUTE(SUBSTITUTE(SUBSTITUTE("type:"&amp;B1128,"%","%25"),"~","%7E"),"*","%2A"),"?","%3F"),'Rules'!$G$7:$G$26,0))="km"),INDEX('Rules'!$B$7:$B$26,MATCH(SUBSTITUTE(SUBSTITUTE(SUBSTITUTE(SUBSTITUTE("type:"&amp;B1128,"%","%25"),"~","%7E"),"*","%2A"),"?","%3F"),'Rules'!$G$7:$G$26,0)),""))</x:f>
      </x:c>
      <x:c r="I1128" s="6" t="str">
        <x:f>IF(AND(NOT(COUNTA(A1128:F1128)=0),K1128=""),ROUND(J1128-D1128,3),"")</x:f>
      </x:c>
      <x:c r="J1128" s="6" t="str">
        <x:f>IF(AND(NOT(COUNTA(A1128:F1128)=0),K1128=""),ROUND(F1128+L1128,3),"")</x:f>
      </x:c>
      <x:c r="K1128" s="5" t="str">
        <x:f>IF(COUNTA(A1128:F1128)=0,"",IF(A1128="","Missing equipment ID",IF(COUNTIFS($N$8:$N$2007,"="&amp;N1128)&gt;1,"Duplicate equipment ID",IF(B1128="","Missing type",IF(COUNTIFS('Rules'!$G$7:$G$26,"="&amp;(SUBSTITUTE(SUBSTITUTE(SUBSTITUTE(SUBSTITUTE("type:"&amp;B1128,"%","%25"),"~","%7E"),"*","%2A"),"?","%3F")))=0,"Unknown type",IF(COUNTIFS('Rules'!$G$7:$G$26,"="&amp;(SUBSTITUTE(SUBSTITUTE(SUBSTITUTE(SUBSTITUTE("type:"&amp;B1128,"%","%25"),"~","%7E"),"*","%2A"),"?","%3F")))&gt;1,"Duplicate type",IF(INDEX('Rules'!$F$7:$F$26,MATCH(SUBSTITUTE(SUBSTITUTE(SUBSTITUTE(SUBSTITUTE("type:"&amp;B1128,"%","%25"),"~","%7E"),"*","%2A"),"?","%3F"),'Rules'!$G$7:$G$26,0))&lt;&gt;"",INDEX('Rules'!$F$7:$F$26,MATCH(SUBSTITUTE(SUBSTITUTE(SUBSTITUTE(SUBSTITUTE("type:"&amp;B1128,"%","%25"),"~","%7E"),"*","%2A"),"?","%3F"),'Rules'!$G$7:$G$26,0)),IF(AND(C1128&lt;&gt;"",C1128&lt;&gt;INDEX('Rules'!$B$7:$B$26,MATCH(SUBSTITUTE(SUBSTITUTE(SUBSTITUTE(SUBSTITUTE("type:"&amp;B1128,"%","%25"),"~","%7E"),"*","%2A"),"?","%3F"),'Rules'!$G$7:$G$26,0))),"Unit mismatch",IF(IF(NOT(ISNUMBER(D1128)),TRUE,OR(D1128&lt;0,D1128&gt;999999999,ROUND(D1128,3)&lt;&gt;D1128)),"Invalid current reading",IF(AND(E1128&lt;&gt;"",IF(NOT(ISNUMBER(E1128)),TRUE,OR(E1128&lt;0,E1128&gt;999999999,ROUND(E1128,3)&lt;&gt;E1128))),"Invalid previous reading",IF(IF(NOT(ISNUMBER(F1128)),TRUE,OR(F1128&lt;0,F1128&gt;999999999,ROUND(F1128,3)&lt;&gt;F1128)),"Invalid last service",IF(AND(E1128&lt;&gt;"",D1128&lt;E1128),"Decreased reading",IF(F1128&gt;D1128,"Last service above current","")))))))))))))</x:f>
      </x:c>
      <x:c r="L1128" s="6" t="str">
        <x:f>IF(AND(NOT(COUNTA(A1128:F1128)=0),K1128=""),INDEX('Rules'!$C$7:$C$26,MATCH(SUBSTITUTE(SUBSTITUTE(SUBSTITUTE(SUBSTITUTE("type:"&amp;B1128,"%","%25"),"~","%7E"),"*","%2A"),"?","%3F"),'Rules'!$G$7:$G$26,0)),"")</x:f>
      </x:c>
      <x:c r="M1128" s="6" t="str">
        <x:f>IF(AND(NOT(COUNTA(A1128:F1128)=0),K1128=""),INDEX('Rules'!$D$7:$D$26,MATCH(SUBSTITUTE(SUBSTITUTE(SUBSTITUTE(SUBSTITUTE("type:"&amp;B1128,"%","%25"),"~","%7E"),"*","%2A"),"?","%3F"),'Rules'!$G$7:$G$26,0)),"")</x:f>
      </x:c>
      <x:c r="N1128" s="5" t="str">
        <x:f>IF(COUNTA(A1128:F1128)=0,"",SUBSTITUTE(SUBSTITUTE(SUBSTITUTE(SUBSTITUTE("id:"&amp;A1128,"%","%25"),"~","%7E"),"*","%2A"),"?","%3F"))</x:f>
      </x:c>
    </x:row>
    <x:row r="1129" ht="22" customHeight="1">
      <x:c r="A1129" s="3"/>
      <x:c r="B1129" s="3"/>
      <x:c r="C1129" s="3"/>
      <x:c r="D1129" s="4"/>
      <x:c r="E1129" s="4"/>
      <x:c r="F1129" s="4"/>
      <x:c r="G1129" s="5" t="str">
        <x:f>IF(COUNTA(A1129:F1129)=0,"",IF(K1129&lt;&gt;"","Review",IF(I1129&lt;0,"Overdue",IF(I1129=0,"Due now",IF(I1129&lt;=M1129,"Due soon","Not due")))))</x:f>
      </x:c>
      <x:c r="H1129" s="5" t="str">
        <x:f>IF(OR(COUNTA(A1129:F1129)=0,COUNTIFS('Rules'!$G$7:$G$26,"="&amp;(SUBSTITUTE(SUBSTITUTE(SUBSTITUTE(SUBSTITUTE("type:"&amp;B1129,"%","%25"),"~","%7E"),"*","%2A"),"?","%3F")))&lt;&gt;1),"",IF(OR(INDEX('Rules'!$B$7:$B$26,MATCH(SUBSTITUTE(SUBSTITUTE(SUBSTITUTE(SUBSTITUTE("type:"&amp;B1129,"%","%25"),"~","%7E"),"*","%2A"),"?","%3F"),'Rules'!$G$7:$G$26,0))="hours",INDEX('Rules'!$B$7:$B$26,MATCH(SUBSTITUTE(SUBSTITUTE(SUBSTITUTE(SUBSTITUTE("type:"&amp;B1129,"%","%25"),"~","%7E"),"*","%2A"),"?","%3F"),'Rules'!$G$7:$G$26,0))="km"),INDEX('Rules'!$B$7:$B$26,MATCH(SUBSTITUTE(SUBSTITUTE(SUBSTITUTE(SUBSTITUTE("type:"&amp;B1129,"%","%25"),"~","%7E"),"*","%2A"),"?","%3F"),'Rules'!$G$7:$G$26,0)),""))</x:f>
      </x:c>
      <x:c r="I1129" s="6" t="str">
        <x:f>IF(AND(NOT(COUNTA(A1129:F1129)=0),K1129=""),ROUND(J1129-D1129,3),"")</x:f>
      </x:c>
      <x:c r="J1129" s="6" t="str">
        <x:f>IF(AND(NOT(COUNTA(A1129:F1129)=0),K1129=""),ROUND(F1129+L1129,3),"")</x:f>
      </x:c>
      <x:c r="K1129" s="5" t="str">
        <x:f>IF(COUNTA(A1129:F1129)=0,"",IF(A1129="","Missing equipment ID",IF(COUNTIFS($N$8:$N$2007,"="&amp;N1129)&gt;1,"Duplicate equipment ID",IF(B1129="","Missing type",IF(COUNTIFS('Rules'!$G$7:$G$26,"="&amp;(SUBSTITUTE(SUBSTITUTE(SUBSTITUTE(SUBSTITUTE("type:"&amp;B1129,"%","%25"),"~","%7E"),"*","%2A"),"?","%3F")))=0,"Unknown type",IF(COUNTIFS('Rules'!$G$7:$G$26,"="&amp;(SUBSTITUTE(SUBSTITUTE(SUBSTITUTE(SUBSTITUTE("type:"&amp;B1129,"%","%25"),"~","%7E"),"*","%2A"),"?","%3F")))&gt;1,"Duplicate type",IF(INDEX('Rules'!$F$7:$F$26,MATCH(SUBSTITUTE(SUBSTITUTE(SUBSTITUTE(SUBSTITUTE("type:"&amp;B1129,"%","%25"),"~","%7E"),"*","%2A"),"?","%3F"),'Rules'!$G$7:$G$26,0))&lt;&gt;"",INDEX('Rules'!$F$7:$F$26,MATCH(SUBSTITUTE(SUBSTITUTE(SUBSTITUTE(SUBSTITUTE("type:"&amp;B1129,"%","%25"),"~","%7E"),"*","%2A"),"?","%3F"),'Rules'!$G$7:$G$26,0)),IF(AND(C1129&lt;&gt;"",C1129&lt;&gt;INDEX('Rules'!$B$7:$B$26,MATCH(SUBSTITUTE(SUBSTITUTE(SUBSTITUTE(SUBSTITUTE("type:"&amp;B1129,"%","%25"),"~","%7E"),"*","%2A"),"?","%3F"),'Rules'!$G$7:$G$26,0))),"Unit mismatch",IF(IF(NOT(ISNUMBER(D1129)),TRUE,OR(D1129&lt;0,D1129&gt;999999999,ROUND(D1129,3)&lt;&gt;D1129)),"Invalid current reading",IF(AND(E1129&lt;&gt;"",IF(NOT(ISNUMBER(E1129)),TRUE,OR(E1129&lt;0,E1129&gt;999999999,ROUND(E1129,3)&lt;&gt;E1129))),"Invalid previous reading",IF(IF(NOT(ISNUMBER(F1129)),TRUE,OR(F1129&lt;0,F1129&gt;999999999,ROUND(F1129,3)&lt;&gt;F1129)),"Invalid last service",IF(AND(E1129&lt;&gt;"",D1129&lt;E1129),"Decreased reading",IF(F1129&gt;D1129,"Last service above current","")))))))))))))</x:f>
      </x:c>
      <x:c r="L1129" s="6" t="str">
        <x:f>IF(AND(NOT(COUNTA(A1129:F1129)=0),K1129=""),INDEX('Rules'!$C$7:$C$26,MATCH(SUBSTITUTE(SUBSTITUTE(SUBSTITUTE(SUBSTITUTE("type:"&amp;B1129,"%","%25"),"~","%7E"),"*","%2A"),"?","%3F"),'Rules'!$G$7:$G$26,0)),"")</x:f>
      </x:c>
      <x:c r="M1129" s="6" t="str">
        <x:f>IF(AND(NOT(COUNTA(A1129:F1129)=0),K1129=""),INDEX('Rules'!$D$7:$D$26,MATCH(SUBSTITUTE(SUBSTITUTE(SUBSTITUTE(SUBSTITUTE("type:"&amp;B1129,"%","%25"),"~","%7E"),"*","%2A"),"?","%3F"),'Rules'!$G$7:$G$26,0)),"")</x:f>
      </x:c>
      <x:c r="N1129" s="5" t="str">
        <x:f>IF(COUNTA(A1129:F1129)=0,"",SUBSTITUTE(SUBSTITUTE(SUBSTITUTE(SUBSTITUTE("id:"&amp;A1129,"%","%25"),"~","%7E"),"*","%2A"),"?","%3F"))</x:f>
      </x:c>
    </x:row>
    <x:row r="1130" ht="22" customHeight="1">
      <x:c r="A1130" s="3"/>
      <x:c r="B1130" s="3"/>
      <x:c r="C1130" s="3"/>
      <x:c r="D1130" s="4"/>
      <x:c r="E1130" s="4"/>
      <x:c r="F1130" s="4"/>
      <x:c r="G1130" s="5" t="str">
        <x:f>IF(COUNTA(A1130:F1130)=0,"",IF(K1130&lt;&gt;"","Review",IF(I1130&lt;0,"Overdue",IF(I1130=0,"Due now",IF(I1130&lt;=M1130,"Due soon","Not due")))))</x:f>
      </x:c>
      <x:c r="H1130" s="5" t="str">
        <x:f>IF(OR(COUNTA(A1130:F1130)=0,COUNTIFS('Rules'!$G$7:$G$26,"="&amp;(SUBSTITUTE(SUBSTITUTE(SUBSTITUTE(SUBSTITUTE("type:"&amp;B1130,"%","%25"),"~","%7E"),"*","%2A"),"?","%3F")))&lt;&gt;1),"",IF(OR(INDEX('Rules'!$B$7:$B$26,MATCH(SUBSTITUTE(SUBSTITUTE(SUBSTITUTE(SUBSTITUTE("type:"&amp;B1130,"%","%25"),"~","%7E"),"*","%2A"),"?","%3F"),'Rules'!$G$7:$G$26,0))="hours",INDEX('Rules'!$B$7:$B$26,MATCH(SUBSTITUTE(SUBSTITUTE(SUBSTITUTE(SUBSTITUTE("type:"&amp;B1130,"%","%25"),"~","%7E"),"*","%2A"),"?","%3F"),'Rules'!$G$7:$G$26,0))="km"),INDEX('Rules'!$B$7:$B$26,MATCH(SUBSTITUTE(SUBSTITUTE(SUBSTITUTE(SUBSTITUTE("type:"&amp;B1130,"%","%25"),"~","%7E"),"*","%2A"),"?","%3F"),'Rules'!$G$7:$G$26,0)),""))</x:f>
      </x:c>
      <x:c r="I1130" s="6" t="str">
        <x:f>IF(AND(NOT(COUNTA(A1130:F1130)=0),K1130=""),ROUND(J1130-D1130,3),"")</x:f>
      </x:c>
      <x:c r="J1130" s="6" t="str">
        <x:f>IF(AND(NOT(COUNTA(A1130:F1130)=0),K1130=""),ROUND(F1130+L1130,3),"")</x:f>
      </x:c>
      <x:c r="K1130" s="5" t="str">
        <x:f>IF(COUNTA(A1130:F1130)=0,"",IF(A1130="","Missing equipment ID",IF(COUNTIFS($N$8:$N$2007,"="&amp;N1130)&gt;1,"Duplicate equipment ID",IF(B1130="","Missing type",IF(COUNTIFS('Rules'!$G$7:$G$26,"="&amp;(SUBSTITUTE(SUBSTITUTE(SUBSTITUTE(SUBSTITUTE("type:"&amp;B1130,"%","%25"),"~","%7E"),"*","%2A"),"?","%3F")))=0,"Unknown type",IF(COUNTIFS('Rules'!$G$7:$G$26,"="&amp;(SUBSTITUTE(SUBSTITUTE(SUBSTITUTE(SUBSTITUTE("type:"&amp;B1130,"%","%25"),"~","%7E"),"*","%2A"),"?","%3F")))&gt;1,"Duplicate type",IF(INDEX('Rules'!$F$7:$F$26,MATCH(SUBSTITUTE(SUBSTITUTE(SUBSTITUTE(SUBSTITUTE("type:"&amp;B1130,"%","%25"),"~","%7E"),"*","%2A"),"?","%3F"),'Rules'!$G$7:$G$26,0))&lt;&gt;"",INDEX('Rules'!$F$7:$F$26,MATCH(SUBSTITUTE(SUBSTITUTE(SUBSTITUTE(SUBSTITUTE("type:"&amp;B1130,"%","%25"),"~","%7E"),"*","%2A"),"?","%3F"),'Rules'!$G$7:$G$26,0)),IF(AND(C1130&lt;&gt;"",C1130&lt;&gt;INDEX('Rules'!$B$7:$B$26,MATCH(SUBSTITUTE(SUBSTITUTE(SUBSTITUTE(SUBSTITUTE("type:"&amp;B1130,"%","%25"),"~","%7E"),"*","%2A"),"?","%3F"),'Rules'!$G$7:$G$26,0))),"Unit mismatch",IF(IF(NOT(ISNUMBER(D1130)),TRUE,OR(D1130&lt;0,D1130&gt;999999999,ROUND(D1130,3)&lt;&gt;D1130)),"Invalid current reading",IF(AND(E1130&lt;&gt;"",IF(NOT(ISNUMBER(E1130)),TRUE,OR(E1130&lt;0,E1130&gt;999999999,ROUND(E1130,3)&lt;&gt;E1130))),"Invalid previous reading",IF(IF(NOT(ISNUMBER(F1130)),TRUE,OR(F1130&lt;0,F1130&gt;999999999,ROUND(F1130,3)&lt;&gt;F1130)),"Invalid last service",IF(AND(E1130&lt;&gt;"",D1130&lt;E1130),"Decreased reading",IF(F1130&gt;D1130,"Last service above current","")))))))))))))</x:f>
      </x:c>
      <x:c r="L1130" s="6" t="str">
        <x:f>IF(AND(NOT(COUNTA(A1130:F1130)=0),K1130=""),INDEX('Rules'!$C$7:$C$26,MATCH(SUBSTITUTE(SUBSTITUTE(SUBSTITUTE(SUBSTITUTE("type:"&amp;B1130,"%","%25"),"~","%7E"),"*","%2A"),"?","%3F"),'Rules'!$G$7:$G$26,0)),"")</x:f>
      </x:c>
      <x:c r="M1130" s="6" t="str">
        <x:f>IF(AND(NOT(COUNTA(A1130:F1130)=0),K1130=""),INDEX('Rules'!$D$7:$D$26,MATCH(SUBSTITUTE(SUBSTITUTE(SUBSTITUTE(SUBSTITUTE("type:"&amp;B1130,"%","%25"),"~","%7E"),"*","%2A"),"?","%3F"),'Rules'!$G$7:$G$26,0)),"")</x:f>
      </x:c>
      <x:c r="N1130" s="5" t="str">
        <x:f>IF(COUNTA(A1130:F1130)=0,"",SUBSTITUTE(SUBSTITUTE(SUBSTITUTE(SUBSTITUTE("id:"&amp;A1130,"%","%25"),"~","%7E"),"*","%2A"),"?","%3F"))</x:f>
      </x:c>
    </x:row>
    <x:row r="1131" ht="22" customHeight="1">
      <x:c r="A1131" s="3"/>
      <x:c r="B1131" s="3"/>
      <x:c r="C1131" s="3"/>
      <x:c r="D1131" s="4"/>
      <x:c r="E1131" s="4"/>
      <x:c r="F1131" s="4"/>
      <x:c r="G1131" s="5" t="str">
        <x:f>IF(COUNTA(A1131:F1131)=0,"",IF(K1131&lt;&gt;"","Review",IF(I1131&lt;0,"Overdue",IF(I1131=0,"Due now",IF(I1131&lt;=M1131,"Due soon","Not due")))))</x:f>
      </x:c>
      <x:c r="H1131" s="5" t="str">
        <x:f>IF(OR(COUNTA(A1131:F1131)=0,COUNTIFS('Rules'!$G$7:$G$26,"="&amp;(SUBSTITUTE(SUBSTITUTE(SUBSTITUTE(SUBSTITUTE("type:"&amp;B1131,"%","%25"),"~","%7E"),"*","%2A"),"?","%3F")))&lt;&gt;1),"",IF(OR(INDEX('Rules'!$B$7:$B$26,MATCH(SUBSTITUTE(SUBSTITUTE(SUBSTITUTE(SUBSTITUTE("type:"&amp;B1131,"%","%25"),"~","%7E"),"*","%2A"),"?","%3F"),'Rules'!$G$7:$G$26,0))="hours",INDEX('Rules'!$B$7:$B$26,MATCH(SUBSTITUTE(SUBSTITUTE(SUBSTITUTE(SUBSTITUTE("type:"&amp;B1131,"%","%25"),"~","%7E"),"*","%2A"),"?","%3F"),'Rules'!$G$7:$G$26,0))="km"),INDEX('Rules'!$B$7:$B$26,MATCH(SUBSTITUTE(SUBSTITUTE(SUBSTITUTE(SUBSTITUTE("type:"&amp;B1131,"%","%25"),"~","%7E"),"*","%2A"),"?","%3F"),'Rules'!$G$7:$G$26,0)),""))</x:f>
      </x:c>
      <x:c r="I1131" s="6" t="str">
        <x:f>IF(AND(NOT(COUNTA(A1131:F1131)=0),K1131=""),ROUND(J1131-D1131,3),"")</x:f>
      </x:c>
      <x:c r="J1131" s="6" t="str">
        <x:f>IF(AND(NOT(COUNTA(A1131:F1131)=0),K1131=""),ROUND(F1131+L1131,3),"")</x:f>
      </x:c>
      <x:c r="K1131" s="5" t="str">
        <x:f>IF(COUNTA(A1131:F1131)=0,"",IF(A1131="","Missing equipment ID",IF(COUNTIFS($N$8:$N$2007,"="&amp;N1131)&gt;1,"Duplicate equipment ID",IF(B1131="","Missing type",IF(COUNTIFS('Rules'!$G$7:$G$26,"="&amp;(SUBSTITUTE(SUBSTITUTE(SUBSTITUTE(SUBSTITUTE("type:"&amp;B1131,"%","%25"),"~","%7E"),"*","%2A"),"?","%3F")))=0,"Unknown type",IF(COUNTIFS('Rules'!$G$7:$G$26,"="&amp;(SUBSTITUTE(SUBSTITUTE(SUBSTITUTE(SUBSTITUTE("type:"&amp;B1131,"%","%25"),"~","%7E"),"*","%2A"),"?","%3F")))&gt;1,"Duplicate type",IF(INDEX('Rules'!$F$7:$F$26,MATCH(SUBSTITUTE(SUBSTITUTE(SUBSTITUTE(SUBSTITUTE("type:"&amp;B1131,"%","%25"),"~","%7E"),"*","%2A"),"?","%3F"),'Rules'!$G$7:$G$26,0))&lt;&gt;"",INDEX('Rules'!$F$7:$F$26,MATCH(SUBSTITUTE(SUBSTITUTE(SUBSTITUTE(SUBSTITUTE("type:"&amp;B1131,"%","%25"),"~","%7E"),"*","%2A"),"?","%3F"),'Rules'!$G$7:$G$26,0)),IF(AND(C1131&lt;&gt;"",C1131&lt;&gt;INDEX('Rules'!$B$7:$B$26,MATCH(SUBSTITUTE(SUBSTITUTE(SUBSTITUTE(SUBSTITUTE("type:"&amp;B1131,"%","%25"),"~","%7E"),"*","%2A"),"?","%3F"),'Rules'!$G$7:$G$26,0))),"Unit mismatch",IF(IF(NOT(ISNUMBER(D1131)),TRUE,OR(D1131&lt;0,D1131&gt;999999999,ROUND(D1131,3)&lt;&gt;D1131)),"Invalid current reading",IF(AND(E1131&lt;&gt;"",IF(NOT(ISNUMBER(E1131)),TRUE,OR(E1131&lt;0,E1131&gt;999999999,ROUND(E1131,3)&lt;&gt;E1131))),"Invalid previous reading",IF(IF(NOT(ISNUMBER(F1131)),TRUE,OR(F1131&lt;0,F1131&gt;999999999,ROUND(F1131,3)&lt;&gt;F1131)),"Invalid last service",IF(AND(E1131&lt;&gt;"",D1131&lt;E1131),"Decreased reading",IF(F1131&gt;D1131,"Last service above current","")))))))))))))</x:f>
      </x:c>
      <x:c r="L1131" s="6" t="str">
        <x:f>IF(AND(NOT(COUNTA(A1131:F1131)=0),K1131=""),INDEX('Rules'!$C$7:$C$26,MATCH(SUBSTITUTE(SUBSTITUTE(SUBSTITUTE(SUBSTITUTE("type:"&amp;B1131,"%","%25"),"~","%7E"),"*","%2A"),"?","%3F"),'Rules'!$G$7:$G$26,0)),"")</x:f>
      </x:c>
      <x:c r="M1131" s="6" t="str">
        <x:f>IF(AND(NOT(COUNTA(A1131:F1131)=0),K1131=""),INDEX('Rules'!$D$7:$D$26,MATCH(SUBSTITUTE(SUBSTITUTE(SUBSTITUTE(SUBSTITUTE("type:"&amp;B1131,"%","%25"),"~","%7E"),"*","%2A"),"?","%3F"),'Rules'!$G$7:$G$26,0)),"")</x:f>
      </x:c>
      <x:c r="N1131" s="5" t="str">
        <x:f>IF(COUNTA(A1131:F1131)=0,"",SUBSTITUTE(SUBSTITUTE(SUBSTITUTE(SUBSTITUTE("id:"&amp;A1131,"%","%25"),"~","%7E"),"*","%2A"),"?","%3F"))</x:f>
      </x:c>
    </x:row>
    <x:row r="1132" ht="22" customHeight="1">
      <x:c r="A1132" s="3"/>
      <x:c r="B1132" s="3"/>
      <x:c r="C1132" s="3"/>
      <x:c r="D1132" s="4"/>
      <x:c r="E1132" s="4"/>
      <x:c r="F1132" s="4"/>
      <x:c r="G1132" s="5" t="str">
        <x:f>IF(COUNTA(A1132:F1132)=0,"",IF(K1132&lt;&gt;"","Review",IF(I1132&lt;0,"Overdue",IF(I1132=0,"Due now",IF(I1132&lt;=M1132,"Due soon","Not due")))))</x:f>
      </x:c>
      <x:c r="H1132" s="5" t="str">
        <x:f>IF(OR(COUNTA(A1132:F1132)=0,COUNTIFS('Rules'!$G$7:$G$26,"="&amp;(SUBSTITUTE(SUBSTITUTE(SUBSTITUTE(SUBSTITUTE("type:"&amp;B1132,"%","%25"),"~","%7E"),"*","%2A"),"?","%3F")))&lt;&gt;1),"",IF(OR(INDEX('Rules'!$B$7:$B$26,MATCH(SUBSTITUTE(SUBSTITUTE(SUBSTITUTE(SUBSTITUTE("type:"&amp;B1132,"%","%25"),"~","%7E"),"*","%2A"),"?","%3F"),'Rules'!$G$7:$G$26,0))="hours",INDEX('Rules'!$B$7:$B$26,MATCH(SUBSTITUTE(SUBSTITUTE(SUBSTITUTE(SUBSTITUTE("type:"&amp;B1132,"%","%25"),"~","%7E"),"*","%2A"),"?","%3F"),'Rules'!$G$7:$G$26,0))="km"),INDEX('Rules'!$B$7:$B$26,MATCH(SUBSTITUTE(SUBSTITUTE(SUBSTITUTE(SUBSTITUTE("type:"&amp;B1132,"%","%25"),"~","%7E"),"*","%2A"),"?","%3F"),'Rules'!$G$7:$G$26,0)),""))</x:f>
      </x:c>
      <x:c r="I1132" s="6" t="str">
        <x:f>IF(AND(NOT(COUNTA(A1132:F1132)=0),K1132=""),ROUND(J1132-D1132,3),"")</x:f>
      </x:c>
      <x:c r="J1132" s="6" t="str">
        <x:f>IF(AND(NOT(COUNTA(A1132:F1132)=0),K1132=""),ROUND(F1132+L1132,3),"")</x:f>
      </x:c>
      <x:c r="K1132" s="5" t="str">
        <x:f>IF(COUNTA(A1132:F1132)=0,"",IF(A1132="","Missing equipment ID",IF(COUNTIFS($N$8:$N$2007,"="&amp;N1132)&gt;1,"Duplicate equipment ID",IF(B1132="","Missing type",IF(COUNTIFS('Rules'!$G$7:$G$26,"="&amp;(SUBSTITUTE(SUBSTITUTE(SUBSTITUTE(SUBSTITUTE("type:"&amp;B1132,"%","%25"),"~","%7E"),"*","%2A"),"?","%3F")))=0,"Unknown type",IF(COUNTIFS('Rules'!$G$7:$G$26,"="&amp;(SUBSTITUTE(SUBSTITUTE(SUBSTITUTE(SUBSTITUTE("type:"&amp;B1132,"%","%25"),"~","%7E"),"*","%2A"),"?","%3F")))&gt;1,"Duplicate type",IF(INDEX('Rules'!$F$7:$F$26,MATCH(SUBSTITUTE(SUBSTITUTE(SUBSTITUTE(SUBSTITUTE("type:"&amp;B1132,"%","%25"),"~","%7E"),"*","%2A"),"?","%3F"),'Rules'!$G$7:$G$26,0))&lt;&gt;"",INDEX('Rules'!$F$7:$F$26,MATCH(SUBSTITUTE(SUBSTITUTE(SUBSTITUTE(SUBSTITUTE("type:"&amp;B1132,"%","%25"),"~","%7E"),"*","%2A"),"?","%3F"),'Rules'!$G$7:$G$26,0)),IF(AND(C1132&lt;&gt;"",C1132&lt;&gt;INDEX('Rules'!$B$7:$B$26,MATCH(SUBSTITUTE(SUBSTITUTE(SUBSTITUTE(SUBSTITUTE("type:"&amp;B1132,"%","%25"),"~","%7E"),"*","%2A"),"?","%3F"),'Rules'!$G$7:$G$26,0))),"Unit mismatch",IF(IF(NOT(ISNUMBER(D1132)),TRUE,OR(D1132&lt;0,D1132&gt;999999999,ROUND(D1132,3)&lt;&gt;D1132)),"Invalid current reading",IF(AND(E1132&lt;&gt;"",IF(NOT(ISNUMBER(E1132)),TRUE,OR(E1132&lt;0,E1132&gt;999999999,ROUND(E1132,3)&lt;&gt;E1132))),"Invalid previous reading",IF(IF(NOT(ISNUMBER(F1132)),TRUE,OR(F1132&lt;0,F1132&gt;999999999,ROUND(F1132,3)&lt;&gt;F1132)),"Invalid last service",IF(AND(E1132&lt;&gt;"",D1132&lt;E1132),"Decreased reading",IF(F1132&gt;D1132,"Last service above current","")))))))))))))</x:f>
      </x:c>
      <x:c r="L1132" s="6" t="str">
        <x:f>IF(AND(NOT(COUNTA(A1132:F1132)=0),K1132=""),INDEX('Rules'!$C$7:$C$26,MATCH(SUBSTITUTE(SUBSTITUTE(SUBSTITUTE(SUBSTITUTE("type:"&amp;B1132,"%","%25"),"~","%7E"),"*","%2A"),"?","%3F"),'Rules'!$G$7:$G$26,0)),"")</x:f>
      </x:c>
      <x:c r="M1132" s="6" t="str">
        <x:f>IF(AND(NOT(COUNTA(A1132:F1132)=0),K1132=""),INDEX('Rules'!$D$7:$D$26,MATCH(SUBSTITUTE(SUBSTITUTE(SUBSTITUTE(SUBSTITUTE("type:"&amp;B1132,"%","%25"),"~","%7E"),"*","%2A"),"?","%3F"),'Rules'!$G$7:$G$26,0)),"")</x:f>
      </x:c>
      <x:c r="N1132" s="5" t="str">
        <x:f>IF(COUNTA(A1132:F1132)=0,"",SUBSTITUTE(SUBSTITUTE(SUBSTITUTE(SUBSTITUTE("id:"&amp;A1132,"%","%25"),"~","%7E"),"*","%2A"),"?","%3F"))</x:f>
      </x:c>
    </x:row>
    <x:row r="1133" ht="22" customHeight="1">
      <x:c r="A1133" s="3"/>
      <x:c r="B1133" s="3"/>
      <x:c r="C1133" s="3"/>
      <x:c r="D1133" s="4"/>
      <x:c r="E1133" s="4"/>
      <x:c r="F1133" s="4"/>
      <x:c r="G1133" s="5" t="str">
        <x:f>IF(COUNTA(A1133:F1133)=0,"",IF(K1133&lt;&gt;"","Review",IF(I1133&lt;0,"Overdue",IF(I1133=0,"Due now",IF(I1133&lt;=M1133,"Due soon","Not due")))))</x:f>
      </x:c>
      <x:c r="H1133" s="5" t="str">
        <x:f>IF(OR(COUNTA(A1133:F1133)=0,COUNTIFS('Rules'!$G$7:$G$26,"="&amp;(SUBSTITUTE(SUBSTITUTE(SUBSTITUTE(SUBSTITUTE("type:"&amp;B1133,"%","%25"),"~","%7E"),"*","%2A"),"?","%3F")))&lt;&gt;1),"",IF(OR(INDEX('Rules'!$B$7:$B$26,MATCH(SUBSTITUTE(SUBSTITUTE(SUBSTITUTE(SUBSTITUTE("type:"&amp;B1133,"%","%25"),"~","%7E"),"*","%2A"),"?","%3F"),'Rules'!$G$7:$G$26,0))="hours",INDEX('Rules'!$B$7:$B$26,MATCH(SUBSTITUTE(SUBSTITUTE(SUBSTITUTE(SUBSTITUTE("type:"&amp;B1133,"%","%25"),"~","%7E"),"*","%2A"),"?","%3F"),'Rules'!$G$7:$G$26,0))="km"),INDEX('Rules'!$B$7:$B$26,MATCH(SUBSTITUTE(SUBSTITUTE(SUBSTITUTE(SUBSTITUTE("type:"&amp;B1133,"%","%25"),"~","%7E"),"*","%2A"),"?","%3F"),'Rules'!$G$7:$G$26,0)),""))</x:f>
      </x:c>
      <x:c r="I1133" s="6" t="str">
        <x:f>IF(AND(NOT(COUNTA(A1133:F1133)=0),K1133=""),ROUND(J1133-D1133,3),"")</x:f>
      </x:c>
      <x:c r="J1133" s="6" t="str">
        <x:f>IF(AND(NOT(COUNTA(A1133:F1133)=0),K1133=""),ROUND(F1133+L1133,3),"")</x:f>
      </x:c>
      <x:c r="K1133" s="5" t="str">
        <x:f>IF(COUNTA(A1133:F1133)=0,"",IF(A1133="","Missing equipment ID",IF(COUNTIFS($N$8:$N$2007,"="&amp;N1133)&gt;1,"Duplicate equipment ID",IF(B1133="","Missing type",IF(COUNTIFS('Rules'!$G$7:$G$26,"="&amp;(SUBSTITUTE(SUBSTITUTE(SUBSTITUTE(SUBSTITUTE("type:"&amp;B1133,"%","%25"),"~","%7E"),"*","%2A"),"?","%3F")))=0,"Unknown type",IF(COUNTIFS('Rules'!$G$7:$G$26,"="&amp;(SUBSTITUTE(SUBSTITUTE(SUBSTITUTE(SUBSTITUTE("type:"&amp;B1133,"%","%25"),"~","%7E"),"*","%2A"),"?","%3F")))&gt;1,"Duplicate type",IF(INDEX('Rules'!$F$7:$F$26,MATCH(SUBSTITUTE(SUBSTITUTE(SUBSTITUTE(SUBSTITUTE("type:"&amp;B1133,"%","%25"),"~","%7E"),"*","%2A"),"?","%3F"),'Rules'!$G$7:$G$26,0))&lt;&gt;"",INDEX('Rules'!$F$7:$F$26,MATCH(SUBSTITUTE(SUBSTITUTE(SUBSTITUTE(SUBSTITUTE("type:"&amp;B1133,"%","%25"),"~","%7E"),"*","%2A"),"?","%3F"),'Rules'!$G$7:$G$26,0)),IF(AND(C1133&lt;&gt;"",C1133&lt;&gt;INDEX('Rules'!$B$7:$B$26,MATCH(SUBSTITUTE(SUBSTITUTE(SUBSTITUTE(SUBSTITUTE("type:"&amp;B1133,"%","%25"),"~","%7E"),"*","%2A"),"?","%3F"),'Rules'!$G$7:$G$26,0))),"Unit mismatch",IF(IF(NOT(ISNUMBER(D1133)),TRUE,OR(D1133&lt;0,D1133&gt;999999999,ROUND(D1133,3)&lt;&gt;D1133)),"Invalid current reading",IF(AND(E1133&lt;&gt;"",IF(NOT(ISNUMBER(E1133)),TRUE,OR(E1133&lt;0,E1133&gt;999999999,ROUND(E1133,3)&lt;&gt;E1133))),"Invalid previous reading",IF(IF(NOT(ISNUMBER(F1133)),TRUE,OR(F1133&lt;0,F1133&gt;999999999,ROUND(F1133,3)&lt;&gt;F1133)),"Invalid last service",IF(AND(E1133&lt;&gt;"",D1133&lt;E1133),"Decreased reading",IF(F1133&gt;D1133,"Last service above current","")))))))))))))</x:f>
      </x:c>
      <x:c r="L1133" s="6" t="str">
        <x:f>IF(AND(NOT(COUNTA(A1133:F1133)=0),K1133=""),INDEX('Rules'!$C$7:$C$26,MATCH(SUBSTITUTE(SUBSTITUTE(SUBSTITUTE(SUBSTITUTE("type:"&amp;B1133,"%","%25"),"~","%7E"),"*","%2A"),"?","%3F"),'Rules'!$G$7:$G$26,0)),"")</x:f>
      </x:c>
      <x:c r="M1133" s="6" t="str">
        <x:f>IF(AND(NOT(COUNTA(A1133:F1133)=0),K1133=""),INDEX('Rules'!$D$7:$D$26,MATCH(SUBSTITUTE(SUBSTITUTE(SUBSTITUTE(SUBSTITUTE("type:"&amp;B1133,"%","%25"),"~","%7E"),"*","%2A"),"?","%3F"),'Rules'!$G$7:$G$26,0)),"")</x:f>
      </x:c>
      <x:c r="N1133" s="5" t="str">
        <x:f>IF(COUNTA(A1133:F1133)=0,"",SUBSTITUTE(SUBSTITUTE(SUBSTITUTE(SUBSTITUTE("id:"&amp;A1133,"%","%25"),"~","%7E"),"*","%2A"),"?","%3F"))</x:f>
      </x:c>
    </x:row>
    <x:row r="1134" ht="22" customHeight="1">
      <x:c r="A1134" s="3"/>
      <x:c r="B1134" s="3"/>
      <x:c r="C1134" s="3"/>
      <x:c r="D1134" s="4"/>
      <x:c r="E1134" s="4"/>
      <x:c r="F1134" s="4"/>
      <x:c r="G1134" s="5" t="str">
        <x:f>IF(COUNTA(A1134:F1134)=0,"",IF(K1134&lt;&gt;"","Review",IF(I1134&lt;0,"Overdue",IF(I1134=0,"Due now",IF(I1134&lt;=M1134,"Due soon","Not due")))))</x:f>
      </x:c>
      <x:c r="H1134" s="5" t="str">
        <x:f>IF(OR(COUNTA(A1134:F1134)=0,COUNTIFS('Rules'!$G$7:$G$26,"="&amp;(SUBSTITUTE(SUBSTITUTE(SUBSTITUTE(SUBSTITUTE("type:"&amp;B1134,"%","%25"),"~","%7E"),"*","%2A"),"?","%3F")))&lt;&gt;1),"",IF(OR(INDEX('Rules'!$B$7:$B$26,MATCH(SUBSTITUTE(SUBSTITUTE(SUBSTITUTE(SUBSTITUTE("type:"&amp;B1134,"%","%25"),"~","%7E"),"*","%2A"),"?","%3F"),'Rules'!$G$7:$G$26,0))="hours",INDEX('Rules'!$B$7:$B$26,MATCH(SUBSTITUTE(SUBSTITUTE(SUBSTITUTE(SUBSTITUTE("type:"&amp;B1134,"%","%25"),"~","%7E"),"*","%2A"),"?","%3F"),'Rules'!$G$7:$G$26,0))="km"),INDEX('Rules'!$B$7:$B$26,MATCH(SUBSTITUTE(SUBSTITUTE(SUBSTITUTE(SUBSTITUTE("type:"&amp;B1134,"%","%25"),"~","%7E"),"*","%2A"),"?","%3F"),'Rules'!$G$7:$G$26,0)),""))</x:f>
      </x:c>
      <x:c r="I1134" s="6" t="str">
        <x:f>IF(AND(NOT(COUNTA(A1134:F1134)=0),K1134=""),ROUND(J1134-D1134,3),"")</x:f>
      </x:c>
      <x:c r="J1134" s="6" t="str">
        <x:f>IF(AND(NOT(COUNTA(A1134:F1134)=0),K1134=""),ROUND(F1134+L1134,3),"")</x:f>
      </x:c>
      <x:c r="K1134" s="5" t="str">
        <x:f>IF(COUNTA(A1134:F1134)=0,"",IF(A1134="","Missing equipment ID",IF(COUNTIFS($N$8:$N$2007,"="&amp;N1134)&gt;1,"Duplicate equipment ID",IF(B1134="","Missing type",IF(COUNTIFS('Rules'!$G$7:$G$26,"="&amp;(SUBSTITUTE(SUBSTITUTE(SUBSTITUTE(SUBSTITUTE("type:"&amp;B1134,"%","%25"),"~","%7E"),"*","%2A"),"?","%3F")))=0,"Unknown type",IF(COUNTIFS('Rules'!$G$7:$G$26,"="&amp;(SUBSTITUTE(SUBSTITUTE(SUBSTITUTE(SUBSTITUTE("type:"&amp;B1134,"%","%25"),"~","%7E"),"*","%2A"),"?","%3F")))&gt;1,"Duplicate type",IF(INDEX('Rules'!$F$7:$F$26,MATCH(SUBSTITUTE(SUBSTITUTE(SUBSTITUTE(SUBSTITUTE("type:"&amp;B1134,"%","%25"),"~","%7E"),"*","%2A"),"?","%3F"),'Rules'!$G$7:$G$26,0))&lt;&gt;"",INDEX('Rules'!$F$7:$F$26,MATCH(SUBSTITUTE(SUBSTITUTE(SUBSTITUTE(SUBSTITUTE("type:"&amp;B1134,"%","%25"),"~","%7E"),"*","%2A"),"?","%3F"),'Rules'!$G$7:$G$26,0)),IF(AND(C1134&lt;&gt;"",C1134&lt;&gt;INDEX('Rules'!$B$7:$B$26,MATCH(SUBSTITUTE(SUBSTITUTE(SUBSTITUTE(SUBSTITUTE("type:"&amp;B1134,"%","%25"),"~","%7E"),"*","%2A"),"?","%3F"),'Rules'!$G$7:$G$26,0))),"Unit mismatch",IF(IF(NOT(ISNUMBER(D1134)),TRUE,OR(D1134&lt;0,D1134&gt;999999999,ROUND(D1134,3)&lt;&gt;D1134)),"Invalid current reading",IF(AND(E1134&lt;&gt;"",IF(NOT(ISNUMBER(E1134)),TRUE,OR(E1134&lt;0,E1134&gt;999999999,ROUND(E1134,3)&lt;&gt;E1134))),"Invalid previous reading",IF(IF(NOT(ISNUMBER(F1134)),TRUE,OR(F1134&lt;0,F1134&gt;999999999,ROUND(F1134,3)&lt;&gt;F1134)),"Invalid last service",IF(AND(E1134&lt;&gt;"",D1134&lt;E1134),"Decreased reading",IF(F1134&gt;D1134,"Last service above current","")))))))))))))</x:f>
      </x:c>
      <x:c r="L1134" s="6" t="str">
        <x:f>IF(AND(NOT(COUNTA(A1134:F1134)=0),K1134=""),INDEX('Rules'!$C$7:$C$26,MATCH(SUBSTITUTE(SUBSTITUTE(SUBSTITUTE(SUBSTITUTE("type:"&amp;B1134,"%","%25"),"~","%7E"),"*","%2A"),"?","%3F"),'Rules'!$G$7:$G$26,0)),"")</x:f>
      </x:c>
      <x:c r="M1134" s="6" t="str">
        <x:f>IF(AND(NOT(COUNTA(A1134:F1134)=0),K1134=""),INDEX('Rules'!$D$7:$D$26,MATCH(SUBSTITUTE(SUBSTITUTE(SUBSTITUTE(SUBSTITUTE("type:"&amp;B1134,"%","%25"),"~","%7E"),"*","%2A"),"?","%3F"),'Rules'!$G$7:$G$26,0)),"")</x:f>
      </x:c>
      <x:c r="N1134" s="5" t="str">
        <x:f>IF(COUNTA(A1134:F1134)=0,"",SUBSTITUTE(SUBSTITUTE(SUBSTITUTE(SUBSTITUTE("id:"&amp;A1134,"%","%25"),"~","%7E"),"*","%2A"),"?","%3F"))</x:f>
      </x:c>
    </x:row>
    <x:row r="1135" ht="22" customHeight="1">
      <x:c r="A1135" s="3"/>
      <x:c r="B1135" s="3"/>
      <x:c r="C1135" s="3"/>
      <x:c r="D1135" s="4"/>
      <x:c r="E1135" s="4"/>
      <x:c r="F1135" s="4"/>
      <x:c r="G1135" s="5" t="str">
        <x:f>IF(COUNTA(A1135:F1135)=0,"",IF(K1135&lt;&gt;"","Review",IF(I1135&lt;0,"Overdue",IF(I1135=0,"Due now",IF(I1135&lt;=M1135,"Due soon","Not due")))))</x:f>
      </x:c>
      <x:c r="H1135" s="5" t="str">
        <x:f>IF(OR(COUNTA(A1135:F1135)=0,COUNTIFS('Rules'!$G$7:$G$26,"="&amp;(SUBSTITUTE(SUBSTITUTE(SUBSTITUTE(SUBSTITUTE("type:"&amp;B1135,"%","%25"),"~","%7E"),"*","%2A"),"?","%3F")))&lt;&gt;1),"",IF(OR(INDEX('Rules'!$B$7:$B$26,MATCH(SUBSTITUTE(SUBSTITUTE(SUBSTITUTE(SUBSTITUTE("type:"&amp;B1135,"%","%25"),"~","%7E"),"*","%2A"),"?","%3F"),'Rules'!$G$7:$G$26,0))="hours",INDEX('Rules'!$B$7:$B$26,MATCH(SUBSTITUTE(SUBSTITUTE(SUBSTITUTE(SUBSTITUTE("type:"&amp;B1135,"%","%25"),"~","%7E"),"*","%2A"),"?","%3F"),'Rules'!$G$7:$G$26,0))="km"),INDEX('Rules'!$B$7:$B$26,MATCH(SUBSTITUTE(SUBSTITUTE(SUBSTITUTE(SUBSTITUTE("type:"&amp;B1135,"%","%25"),"~","%7E"),"*","%2A"),"?","%3F"),'Rules'!$G$7:$G$26,0)),""))</x:f>
      </x:c>
      <x:c r="I1135" s="6" t="str">
        <x:f>IF(AND(NOT(COUNTA(A1135:F1135)=0),K1135=""),ROUND(J1135-D1135,3),"")</x:f>
      </x:c>
      <x:c r="J1135" s="6" t="str">
        <x:f>IF(AND(NOT(COUNTA(A1135:F1135)=0),K1135=""),ROUND(F1135+L1135,3),"")</x:f>
      </x:c>
      <x:c r="K1135" s="5" t="str">
        <x:f>IF(COUNTA(A1135:F1135)=0,"",IF(A1135="","Missing equipment ID",IF(COUNTIFS($N$8:$N$2007,"="&amp;N1135)&gt;1,"Duplicate equipment ID",IF(B1135="","Missing type",IF(COUNTIFS('Rules'!$G$7:$G$26,"="&amp;(SUBSTITUTE(SUBSTITUTE(SUBSTITUTE(SUBSTITUTE("type:"&amp;B1135,"%","%25"),"~","%7E"),"*","%2A"),"?","%3F")))=0,"Unknown type",IF(COUNTIFS('Rules'!$G$7:$G$26,"="&amp;(SUBSTITUTE(SUBSTITUTE(SUBSTITUTE(SUBSTITUTE("type:"&amp;B1135,"%","%25"),"~","%7E"),"*","%2A"),"?","%3F")))&gt;1,"Duplicate type",IF(INDEX('Rules'!$F$7:$F$26,MATCH(SUBSTITUTE(SUBSTITUTE(SUBSTITUTE(SUBSTITUTE("type:"&amp;B1135,"%","%25"),"~","%7E"),"*","%2A"),"?","%3F"),'Rules'!$G$7:$G$26,0))&lt;&gt;"",INDEX('Rules'!$F$7:$F$26,MATCH(SUBSTITUTE(SUBSTITUTE(SUBSTITUTE(SUBSTITUTE("type:"&amp;B1135,"%","%25"),"~","%7E"),"*","%2A"),"?","%3F"),'Rules'!$G$7:$G$26,0)),IF(AND(C1135&lt;&gt;"",C1135&lt;&gt;INDEX('Rules'!$B$7:$B$26,MATCH(SUBSTITUTE(SUBSTITUTE(SUBSTITUTE(SUBSTITUTE("type:"&amp;B1135,"%","%25"),"~","%7E"),"*","%2A"),"?","%3F"),'Rules'!$G$7:$G$26,0))),"Unit mismatch",IF(IF(NOT(ISNUMBER(D1135)),TRUE,OR(D1135&lt;0,D1135&gt;999999999,ROUND(D1135,3)&lt;&gt;D1135)),"Invalid current reading",IF(AND(E1135&lt;&gt;"",IF(NOT(ISNUMBER(E1135)),TRUE,OR(E1135&lt;0,E1135&gt;999999999,ROUND(E1135,3)&lt;&gt;E1135))),"Invalid previous reading",IF(IF(NOT(ISNUMBER(F1135)),TRUE,OR(F1135&lt;0,F1135&gt;999999999,ROUND(F1135,3)&lt;&gt;F1135)),"Invalid last service",IF(AND(E1135&lt;&gt;"",D1135&lt;E1135),"Decreased reading",IF(F1135&gt;D1135,"Last service above current","")))))))))))))</x:f>
      </x:c>
      <x:c r="L1135" s="6" t="str">
        <x:f>IF(AND(NOT(COUNTA(A1135:F1135)=0),K1135=""),INDEX('Rules'!$C$7:$C$26,MATCH(SUBSTITUTE(SUBSTITUTE(SUBSTITUTE(SUBSTITUTE("type:"&amp;B1135,"%","%25"),"~","%7E"),"*","%2A"),"?","%3F"),'Rules'!$G$7:$G$26,0)),"")</x:f>
      </x:c>
      <x:c r="M1135" s="6" t="str">
        <x:f>IF(AND(NOT(COUNTA(A1135:F1135)=0),K1135=""),INDEX('Rules'!$D$7:$D$26,MATCH(SUBSTITUTE(SUBSTITUTE(SUBSTITUTE(SUBSTITUTE("type:"&amp;B1135,"%","%25"),"~","%7E"),"*","%2A"),"?","%3F"),'Rules'!$G$7:$G$26,0)),"")</x:f>
      </x:c>
      <x:c r="N1135" s="5" t="str">
        <x:f>IF(COUNTA(A1135:F1135)=0,"",SUBSTITUTE(SUBSTITUTE(SUBSTITUTE(SUBSTITUTE("id:"&amp;A1135,"%","%25"),"~","%7E"),"*","%2A"),"?","%3F"))</x:f>
      </x:c>
    </x:row>
    <x:row r="1136" ht="22" customHeight="1">
      <x:c r="A1136" s="3"/>
      <x:c r="B1136" s="3"/>
      <x:c r="C1136" s="3"/>
      <x:c r="D1136" s="4"/>
      <x:c r="E1136" s="4"/>
      <x:c r="F1136" s="4"/>
      <x:c r="G1136" s="5" t="str">
        <x:f>IF(COUNTA(A1136:F1136)=0,"",IF(K1136&lt;&gt;"","Review",IF(I1136&lt;0,"Overdue",IF(I1136=0,"Due now",IF(I1136&lt;=M1136,"Due soon","Not due")))))</x:f>
      </x:c>
      <x:c r="H1136" s="5" t="str">
        <x:f>IF(OR(COUNTA(A1136:F1136)=0,COUNTIFS('Rules'!$G$7:$G$26,"="&amp;(SUBSTITUTE(SUBSTITUTE(SUBSTITUTE(SUBSTITUTE("type:"&amp;B1136,"%","%25"),"~","%7E"),"*","%2A"),"?","%3F")))&lt;&gt;1),"",IF(OR(INDEX('Rules'!$B$7:$B$26,MATCH(SUBSTITUTE(SUBSTITUTE(SUBSTITUTE(SUBSTITUTE("type:"&amp;B1136,"%","%25"),"~","%7E"),"*","%2A"),"?","%3F"),'Rules'!$G$7:$G$26,0))="hours",INDEX('Rules'!$B$7:$B$26,MATCH(SUBSTITUTE(SUBSTITUTE(SUBSTITUTE(SUBSTITUTE("type:"&amp;B1136,"%","%25"),"~","%7E"),"*","%2A"),"?","%3F"),'Rules'!$G$7:$G$26,0))="km"),INDEX('Rules'!$B$7:$B$26,MATCH(SUBSTITUTE(SUBSTITUTE(SUBSTITUTE(SUBSTITUTE("type:"&amp;B1136,"%","%25"),"~","%7E"),"*","%2A"),"?","%3F"),'Rules'!$G$7:$G$26,0)),""))</x:f>
      </x:c>
      <x:c r="I1136" s="6" t="str">
        <x:f>IF(AND(NOT(COUNTA(A1136:F1136)=0),K1136=""),ROUND(J1136-D1136,3),"")</x:f>
      </x:c>
      <x:c r="J1136" s="6" t="str">
        <x:f>IF(AND(NOT(COUNTA(A1136:F1136)=0),K1136=""),ROUND(F1136+L1136,3),"")</x:f>
      </x:c>
      <x:c r="K1136" s="5" t="str">
        <x:f>IF(COUNTA(A1136:F1136)=0,"",IF(A1136="","Missing equipment ID",IF(COUNTIFS($N$8:$N$2007,"="&amp;N1136)&gt;1,"Duplicate equipment ID",IF(B1136="","Missing type",IF(COUNTIFS('Rules'!$G$7:$G$26,"="&amp;(SUBSTITUTE(SUBSTITUTE(SUBSTITUTE(SUBSTITUTE("type:"&amp;B1136,"%","%25"),"~","%7E"),"*","%2A"),"?","%3F")))=0,"Unknown type",IF(COUNTIFS('Rules'!$G$7:$G$26,"="&amp;(SUBSTITUTE(SUBSTITUTE(SUBSTITUTE(SUBSTITUTE("type:"&amp;B1136,"%","%25"),"~","%7E"),"*","%2A"),"?","%3F")))&gt;1,"Duplicate type",IF(INDEX('Rules'!$F$7:$F$26,MATCH(SUBSTITUTE(SUBSTITUTE(SUBSTITUTE(SUBSTITUTE("type:"&amp;B1136,"%","%25"),"~","%7E"),"*","%2A"),"?","%3F"),'Rules'!$G$7:$G$26,0))&lt;&gt;"",INDEX('Rules'!$F$7:$F$26,MATCH(SUBSTITUTE(SUBSTITUTE(SUBSTITUTE(SUBSTITUTE("type:"&amp;B1136,"%","%25"),"~","%7E"),"*","%2A"),"?","%3F"),'Rules'!$G$7:$G$26,0)),IF(AND(C1136&lt;&gt;"",C1136&lt;&gt;INDEX('Rules'!$B$7:$B$26,MATCH(SUBSTITUTE(SUBSTITUTE(SUBSTITUTE(SUBSTITUTE("type:"&amp;B1136,"%","%25"),"~","%7E"),"*","%2A"),"?","%3F"),'Rules'!$G$7:$G$26,0))),"Unit mismatch",IF(IF(NOT(ISNUMBER(D1136)),TRUE,OR(D1136&lt;0,D1136&gt;999999999,ROUND(D1136,3)&lt;&gt;D1136)),"Invalid current reading",IF(AND(E1136&lt;&gt;"",IF(NOT(ISNUMBER(E1136)),TRUE,OR(E1136&lt;0,E1136&gt;999999999,ROUND(E1136,3)&lt;&gt;E1136))),"Invalid previous reading",IF(IF(NOT(ISNUMBER(F1136)),TRUE,OR(F1136&lt;0,F1136&gt;999999999,ROUND(F1136,3)&lt;&gt;F1136)),"Invalid last service",IF(AND(E1136&lt;&gt;"",D1136&lt;E1136),"Decreased reading",IF(F1136&gt;D1136,"Last service above current","")))))))))))))</x:f>
      </x:c>
      <x:c r="L1136" s="6" t="str">
        <x:f>IF(AND(NOT(COUNTA(A1136:F1136)=0),K1136=""),INDEX('Rules'!$C$7:$C$26,MATCH(SUBSTITUTE(SUBSTITUTE(SUBSTITUTE(SUBSTITUTE("type:"&amp;B1136,"%","%25"),"~","%7E"),"*","%2A"),"?","%3F"),'Rules'!$G$7:$G$26,0)),"")</x:f>
      </x:c>
      <x:c r="M1136" s="6" t="str">
        <x:f>IF(AND(NOT(COUNTA(A1136:F1136)=0),K1136=""),INDEX('Rules'!$D$7:$D$26,MATCH(SUBSTITUTE(SUBSTITUTE(SUBSTITUTE(SUBSTITUTE("type:"&amp;B1136,"%","%25"),"~","%7E"),"*","%2A"),"?","%3F"),'Rules'!$G$7:$G$26,0)),"")</x:f>
      </x:c>
      <x:c r="N1136" s="5" t="str">
        <x:f>IF(COUNTA(A1136:F1136)=0,"",SUBSTITUTE(SUBSTITUTE(SUBSTITUTE(SUBSTITUTE("id:"&amp;A1136,"%","%25"),"~","%7E"),"*","%2A"),"?","%3F"))</x:f>
      </x:c>
    </x:row>
    <x:row r="1137" ht="22" customHeight="1">
      <x:c r="A1137" s="3"/>
      <x:c r="B1137" s="3"/>
      <x:c r="C1137" s="3"/>
      <x:c r="D1137" s="4"/>
      <x:c r="E1137" s="4"/>
      <x:c r="F1137" s="4"/>
      <x:c r="G1137" s="5" t="str">
        <x:f>IF(COUNTA(A1137:F1137)=0,"",IF(K1137&lt;&gt;"","Review",IF(I1137&lt;0,"Overdue",IF(I1137=0,"Due now",IF(I1137&lt;=M1137,"Due soon","Not due")))))</x:f>
      </x:c>
      <x:c r="H1137" s="5" t="str">
        <x:f>IF(OR(COUNTA(A1137:F1137)=0,COUNTIFS('Rules'!$G$7:$G$26,"="&amp;(SUBSTITUTE(SUBSTITUTE(SUBSTITUTE(SUBSTITUTE("type:"&amp;B1137,"%","%25"),"~","%7E"),"*","%2A"),"?","%3F")))&lt;&gt;1),"",IF(OR(INDEX('Rules'!$B$7:$B$26,MATCH(SUBSTITUTE(SUBSTITUTE(SUBSTITUTE(SUBSTITUTE("type:"&amp;B1137,"%","%25"),"~","%7E"),"*","%2A"),"?","%3F"),'Rules'!$G$7:$G$26,0))="hours",INDEX('Rules'!$B$7:$B$26,MATCH(SUBSTITUTE(SUBSTITUTE(SUBSTITUTE(SUBSTITUTE("type:"&amp;B1137,"%","%25"),"~","%7E"),"*","%2A"),"?","%3F"),'Rules'!$G$7:$G$26,0))="km"),INDEX('Rules'!$B$7:$B$26,MATCH(SUBSTITUTE(SUBSTITUTE(SUBSTITUTE(SUBSTITUTE("type:"&amp;B1137,"%","%25"),"~","%7E"),"*","%2A"),"?","%3F"),'Rules'!$G$7:$G$26,0)),""))</x:f>
      </x:c>
      <x:c r="I1137" s="6" t="str">
        <x:f>IF(AND(NOT(COUNTA(A1137:F1137)=0),K1137=""),ROUND(J1137-D1137,3),"")</x:f>
      </x:c>
      <x:c r="J1137" s="6" t="str">
        <x:f>IF(AND(NOT(COUNTA(A1137:F1137)=0),K1137=""),ROUND(F1137+L1137,3),"")</x:f>
      </x:c>
      <x:c r="K1137" s="5" t="str">
        <x:f>IF(COUNTA(A1137:F1137)=0,"",IF(A1137="","Missing equipment ID",IF(COUNTIFS($N$8:$N$2007,"="&amp;N1137)&gt;1,"Duplicate equipment ID",IF(B1137="","Missing type",IF(COUNTIFS('Rules'!$G$7:$G$26,"="&amp;(SUBSTITUTE(SUBSTITUTE(SUBSTITUTE(SUBSTITUTE("type:"&amp;B1137,"%","%25"),"~","%7E"),"*","%2A"),"?","%3F")))=0,"Unknown type",IF(COUNTIFS('Rules'!$G$7:$G$26,"="&amp;(SUBSTITUTE(SUBSTITUTE(SUBSTITUTE(SUBSTITUTE("type:"&amp;B1137,"%","%25"),"~","%7E"),"*","%2A"),"?","%3F")))&gt;1,"Duplicate type",IF(INDEX('Rules'!$F$7:$F$26,MATCH(SUBSTITUTE(SUBSTITUTE(SUBSTITUTE(SUBSTITUTE("type:"&amp;B1137,"%","%25"),"~","%7E"),"*","%2A"),"?","%3F"),'Rules'!$G$7:$G$26,0))&lt;&gt;"",INDEX('Rules'!$F$7:$F$26,MATCH(SUBSTITUTE(SUBSTITUTE(SUBSTITUTE(SUBSTITUTE("type:"&amp;B1137,"%","%25"),"~","%7E"),"*","%2A"),"?","%3F"),'Rules'!$G$7:$G$26,0)),IF(AND(C1137&lt;&gt;"",C1137&lt;&gt;INDEX('Rules'!$B$7:$B$26,MATCH(SUBSTITUTE(SUBSTITUTE(SUBSTITUTE(SUBSTITUTE("type:"&amp;B1137,"%","%25"),"~","%7E"),"*","%2A"),"?","%3F"),'Rules'!$G$7:$G$26,0))),"Unit mismatch",IF(IF(NOT(ISNUMBER(D1137)),TRUE,OR(D1137&lt;0,D1137&gt;999999999,ROUND(D1137,3)&lt;&gt;D1137)),"Invalid current reading",IF(AND(E1137&lt;&gt;"",IF(NOT(ISNUMBER(E1137)),TRUE,OR(E1137&lt;0,E1137&gt;999999999,ROUND(E1137,3)&lt;&gt;E1137))),"Invalid previous reading",IF(IF(NOT(ISNUMBER(F1137)),TRUE,OR(F1137&lt;0,F1137&gt;999999999,ROUND(F1137,3)&lt;&gt;F1137)),"Invalid last service",IF(AND(E1137&lt;&gt;"",D1137&lt;E1137),"Decreased reading",IF(F1137&gt;D1137,"Last service above current","")))))))))))))</x:f>
      </x:c>
      <x:c r="L1137" s="6" t="str">
        <x:f>IF(AND(NOT(COUNTA(A1137:F1137)=0),K1137=""),INDEX('Rules'!$C$7:$C$26,MATCH(SUBSTITUTE(SUBSTITUTE(SUBSTITUTE(SUBSTITUTE("type:"&amp;B1137,"%","%25"),"~","%7E"),"*","%2A"),"?","%3F"),'Rules'!$G$7:$G$26,0)),"")</x:f>
      </x:c>
      <x:c r="M1137" s="6" t="str">
        <x:f>IF(AND(NOT(COUNTA(A1137:F1137)=0),K1137=""),INDEX('Rules'!$D$7:$D$26,MATCH(SUBSTITUTE(SUBSTITUTE(SUBSTITUTE(SUBSTITUTE("type:"&amp;B1137,"%","%25"),"~","%7E"),"*","%2A"),"?","%3F"),'Rules'!$G$7:$G$26,0)),"")</x:f>
      </x:c>
      <x:c r="N1137" s="5" t="str">
        <x:f>IF(COUNTA(A1137:F1137)=0,"",SUBSTITUTE(SUBSTITUTE(SUBSTITUTE(SUBSTITUTE("id:"&amp;A1137,"%","%25"),"~","%7E"),"*","%2A"),"?","%3F"))</x:f>
      </x:c>
    </x:row>
    <x:row r="1138" ht="22" customHeight="1">
      <x:c r="A1138" s="3"/>
      <x:c r="B1138" s="3"/>
      <x:c r="C1138" s="3"/>
      <x:c r="D1138" s="4"/>
      <x:c r="E1138" s="4"/>
      <x:c r="F1138" s="4"/>
      <x:c r="G1138" s="5" t="str">
        <x:f>IF(COUNTA(A1138:F1138)=0,"",IF(K1138&lt;&gt;"","Review",IF(I1138&lt;0,"Overdue",IF(I1138=0,"Due now",IF(I1138&lt;=M1138,"Due soon","Not due")))))</x:f>
      </x:c>
      <x:c r="H1138" s="5" t="str">
        <x:f>IF(OR(COUNTA(A1138:F1138)=0,COUNTIFS('Rules'!$G$7:$G$26,"="&amp;(SUBSTITUTE(SUBSTITUTE(SUBSTITUTE(SUBSTITUTE("type:"&amp;B1138,"%","%25"),"~","%7E"),"*","%2A"),"?","%3F")))&lt;&gt;1),"",IF(OR(INDEX('Rules'!$B$7:$B$26,MATCH(SUBSTITUTE(SUBSTITUTE(SUBSTITUTE(SUBSTITUTE("type:"&amp;B1138,"%","%25"),"~","%7E"),"*","%2A"),"?","%3F"),'Rules'!$G$7:$G$26,0))="hours",INDEX('Rules'!$B$7:$B$26,MATCH(SUBSTITUTE(SUBSTITUTE(SUBSTITUTE(SUBSTITUTE("type:"&amp;B1138,"%","%25"),"~","%7E"),"*","%2A"),"?","%3F"),'Rules'!$G$7:$G$26,0))="km"),INDEX('Rules'!$B$7:$B$26,MATCH(SUBSTITUTE(SUBSTITUTE(SUBSTITUTE(SUBSTITUTE("type:"&amp;B1138,"%","%25"),"~","%7E"),"*","%2A"),"?","%3F"),'Rules'!$G$7:$G$26,0)),""))</x:f>
      </x:c>
      <x:c r="I1138" s="6" t="str">
        <x:f>IF(AND(NOT(COUNTA(A1138:F1138)=0),K1138=""),ROUND(J1138-D1138,3),"")</x:f>
      </x:c>
      <x:c r="J1138" s="6" t="str">
        <x:f>IF(AND(NOT(COUNTA(A1138:F1138)=0),K1138=""),ROUND(F1138+L1138,3),"")</x:f>
      </x:c>
      <x:c r="K1138" s="5" t="str">
        <x:f>IF(COUNTA(A1138:F1138)=0,"",IF(A1138="","Missing equipment ID",IF(COUNTIFS($N$8:$N$2007,"="&amp;N1138)&gt;1,"Duplicate equipment ID",IF(B1138="","Missing type",IF(COUNTIFS('Rules'!$G$7:$G$26,"="&amp;(SUBSTITUTE(SUBSTITUTE(SUBSTITUTE(SUBSTITUTE("type:"&amp;B1138,"%","%25"),"~","%7E"),"*","%2A"),"?","%3F")))=0,"Unknown type",IF(COUNTIFS('Rules'!$G$7:$G$26,"="&amp;(SUBSTITUTE(SUBSTITUTE(SUBSTITUTE(SUBSTITUTE("type:"&amp;B1138,"%","%25"),"~","%7E"),"*","%2A"),"?","%3F")))&gt;1,"Duplicate type",IF(INDEX('Rules'!$F$7:$F$26,MATCH(SUBSTITUTE(SUBSTITUTE(SUBSTITUTE(SUBSTITUTE("type:"&amp;B1138,"%","%25"),"~","%7E"),"*","%2A"),"?","%3F"),'Rules'!$G$7:$G$26,0))&lt;&gt;"",INDEX('Rules'!$F$7:$F$26,MATCH(SUBSTITUTE(SUBSTITUTE(SUBSTITUTE(SUBSTITUTE("type:"&amp;B1138,"%","%25"),"~","%7E"),"*","%2A"),"?","%3F"),'Rules'!$G$7:$G$26,0)),IF(AND(C1138&lt;&gt;"",C1138&lt;&gt;INDEX('Rules'!$B$7:$B$26,MATCH(SUBSTITUTE(SUBSTITUTE(SUBSTITUTE(SUBSTITUTE("type:"&amp;B1138,"%","%25"),"~","%7E"),"*","%2A"),"?","%3F"),'Rules'!$G$7:$G$26,0))),"Unit mismatch",IF(IF(NOT(ISNUMBER(D1138)),TRUE,OR(D1138&lt;0,D1138&gt;999999999,ROUND(D1138,3)&lt;&gt;D1138)),"Invalid current reading",IF(AND(E1138&lt;&gt;"",IF(NOT(ISNUMBER(E1138)),TRUE,OR(E1138&lt;0,E1138&gt;999999999,ROUND(E1138,3)&lt;&gt;E1138))),"Invalid previous reading",IF(IF(NOT(ISNUMBER(F1138)),TRUE,OR(F1138&lt;0,F1138&gt;999999999,ROUND(F1138,3)&lt;&gt;F1138)),"Invalid last service",IF(AND(E1138&lt;&gt;"",D1138&lt;E1138),"Decreased reading",IF(F1138&gt;D1138,"Last service above current","")))))))))))))</x:f>
      </x:c>
      <x:c r="L1138" s="6" t="str">
        <x:f>IF(AND(NOT(COUNTA(A1138:F1138)=0),K1138=""),INDEX('Rules'!$C$7:$C$26,MATCH(SUBSTITUTE(SUBSTITUTE(SUBSTITUTE(SUBSTITUTE("type:"&amp;B1138,"%","%25"),"~","%7E"),"*","%2A"),"?","%3F"),'Rules'!$G$7:$G$26,0)),"")</x:f>
      </x:c>
      <x:c r="M1138" s="6" t="str">
        <x:f>IF(AND(NOT(COUNTA(A1138:F1138)=0),K1138=""),INDEX('Rules'!$D$7:$D$26,MATCH(SUBSTITUTE(SUBSTITUTE(SUBSTITUTE(SUBSTITUTE("type:"&amp;B1138,"%","%25"),"~","%7E"),"*","%2A"),"?","%3F"),'Rules'!$G$7:$G$26,0)),"")</x:f>
      </x:c>
      <x:c r="N1138" s="5" t="str">
        <x:f>IF(COUNTA(A1138:F1138)=0,"",SUBSTITUTE(SUBSTITUTE(SUBSTITUTE(SUBSTITUTE("id:"&amp;A1138,"%","%25"),"~","%7E"),"*","%2A"),"?","%3F"))</x:f>
      </x:c>
    </x:row>
    <x:row r="1139" ht="22" customHeight="1">
      <x:c r="A1139" s="3"/>
      <x:c r="B1139" s="3"/>
      <x:c r="C1139" s="3"/>
      <x:c r="D1139" s="4"/>
      <x:c r="E1139" s="4"/>
      <x:c r="F1139" s="4"/>
      <x:c r="G1139" s="5" t="str">
        <x:f>IF(COUNTA(A1139:F1139)=0,"",IF(K1139&lt;&gt;"","Review",IF(I1139&lt;0,"Overdue",IF(I1139=0,"Due now",IF(I1139&lt;=M1139,"Due soon","Not due")))))</x:f>
      </x:c>
      <x:c r="H1139" s="5" t="str">
        <x:f>IF(OR(COUNTA(A1139:F1139)=0,COUNTIFS('Rules'!$G$7:$G$26,"="&amp;(SUBSTITUTE(SUBSTITUTE(SUBSTITUTE(SUBSTITUTE("type:"&amp;B1139,"%","%25"),"~","%7E"),"*","%2A"),"?","%3F")))&lt;&gt;1),"",IF(OR(INDEX('Rules'!$B$7:$B$26,MATCH(SUBSTITUTE(SUBSTITUTE(SUBSTITUTE(SUBSTITUTE("type:"&amp;B1139,"%","%25"),"~","%7E"),"*","%2A"),"?","%3F"),'Rules'!$G$7:$G$26,0))="hours",INDEX('Rules'!$B$7:$B$26,MATCH(SUBSTITUTE(SUBSTITUTE(SUBSTITUTE(SUBSTITUTE("type:"&amp;B1139,"%","%25"),"~","%7E"),"*","%2A"),"?","%3F"),'Rules'!$G$7:$G$26,0))="km"),INDEX('Rules'!$B$7:$B$26,MATCH(SUBSTITUTE(SUBSTITUTE(SUBSTITUTE(SUBSTITUTE("type:"&amp;B1139,"%","%25"),"~","%7E"),"*","%2A"),"?","%3F"),'Rules'!$G$7:$G$26,0)),""))</x:f>
      </x:c>
      <x:c r="I1139" s="6" t="str">
        <x:f>IF(AND(NOT(COUNTA(A1139:F1139)=0),K1139=""),ROUND(J1139-D1139,3),"")</x:f>
      </x:c>
      <x:c r="J1139" s="6" t="str">
        <x:f>IF(AND(NOT(COUNTA(A1139:F1139)=0),K1139=""),ROUND(F1139+L1139,3),"")</x:f>
      </x:c>
      <x:c r="K1139" s="5" t="str">
        <x:f>IF(COUNTA(A1139:F1139)=0,"",IF(A1139="","Missing equipment ID",IF(COUNTIFS($N$8:$N$2007,"="&amp;N1139)&gt;1,"Duplicate equipment ID",IF(B1139="","Missing type",IF(COUNTIFS('Rules'!$G$7:$G$26,"="&amp;(SUBSTITUTE(SUBSTITUTE(SUBSTITUTE(SUBSTITUTE("type:"&amp;B1139,"%","%25"),"~","%7E"),"*","%2A"),"?","%3F")))=0,"Unknown type",IF(COUNTIFS('Rules'!$G$7:$G$26,"="&amp;(SUBSTITUTE(SUBSTITUTE(SUBSTITUTE(SUBSTITUTE("type:"&amp;B1139,"%","%25"),"~","%7E"),"*","%2A"),"?","%3F")))&gt;1,"Duplicate type",IF(INDEX('Rules'!$F$7:$F$26,MATCH(SUBSTITUTE(SUBSTITUTE(SUBSTITUTE(SUBSTITUTE("type:"&amp;B1139,"%","%25"),"~","%7E"),"*","%2A"),"?","%3F"),'Rules'!$G$7:$G$26,0))&lt;&gt;"",INDEX('Rules'!$F$7:$F$26,MATCH(SUBSTITUTE(SUBSTITUTE(SUBSTITUTE(SUBSTITUTE("type:"&amp;B1139,"%","%25"),"~","%7E"),"*","%2A"),"?","%3F"),'Rules'!$G$7:$G$26,0)),IF(AND(C1139&lt;&gt;"",C1139&lt;&gt;INDEX('Rules'!$B$7:$B$26,MATCH(SUBSTITUTE(SUBSTITUTE(SUBSTITUTE(SUBSTITUTE("type:"&amp;B1139,"%","%25"),"~","%7E"),"*","%2A"),"?","%3F"),'Rules'!$G$7:$G$26,0))),"Unit mismatch",IF(IF(NOT(ISNUMBER(D1139)),TRUE,OR(D1139&lt;0,D1139&gt;999999999,ROUND(D1139,3)&lt;&gt;D1139)),"Invalid current reading",IF(AND(E1139&lt;&gt;"",IF(NOT(ISNUMBER(E1139)),TRUE,OR(E1139&lt;0,E1139&gt;999999999,ROUND(E1139,3)&lt;&gt;E1139))),"Invalid previous reading",IF(IF(NOT(ISNUMBER(F1139)),TRUE,OR(F1139&lt;0,F1139&gt;999999999,ROUND(F1139,3)&lt;&gt;F1139)),"Invalid last service",IF(AND(E1139&lt;&gt;"",D1139&lt;E1139),"Decreased reading",IF(F1139&gt;D1139,"Last service above current","")))))))))))))</x:f>
      </x:c>
      <x:c r="L1139" s="6" t="str">
        <x:f>IF(AND(NOT(COUNTA(A1139:F1139)=0),K1139=""),INDEX('Rules'!$C$7:$C$26,MATCH(SUBSTITUTE(SUBSTITUTE(SUBSTITUTE(SUBSTITUTE("type:"&amp;B1139,"%","%25"),"~","%7E"),"*","%2A"),"?","%3F"),'Rules'!$G$7:$G$26,0)),"")</x:f>
      </x:c>
      <x:c r="M1139" s="6" t="str">
        <x:f>IF(AND(NOT(COUNTA(A1139:F1139)=0),K1139=""),INDEX('Rules'!$D$7:$D$26,MATCH(SUBSTITUTE(SUBSTITUTE(SUBSTITUTE(SUBSTITUTE("type:"&amp;B1139,"%","%25"),"~","%7E"),"*","%2A"),"?","%3F"),'Rules'!$G$7:$G$26,0)),"")</x:f>
      </x:c>
      <x:c r="N1139" s="5" t="str">
        <x:f>IF(COUNTA(A1139:F1139)=0,"",SUBSTITUTE(SUBSTITUTE(SUBSTITUTE(SUBSTITUTE("id:"&amp;A1139,"%","%25"),"~","%7E"),"*","%2A"),"?","%3F"))</x:f>
      </x:c>
    </x:row>
    <x:row r="1140" ht="22" customHeight="1">
      <x:c r="A1140" s="3"/>
      <x:c r="B1140" s="3"/>
      <x:c r="C1140" s="3"/>
      <x:c r="D1140" s="4"/>
      <x:c r="E1140" s="4"/>
      <x:c r="F1140" s="4"/>
      <x:c r="G1140" s="5" t="str">
        <x:f>IF(COUNTA(A1140:F1140)=0,"",IF(K1140&lt;&gt;"","Review",IF(I1140&lt;0,"Overdue",IF(I1140=0,"Due now",IF(I1140&lt;=M1140,"Due soon","Not due")))))</x:f>
      </x:c>
      <x:c r="H1140" s="5" t="str">
        <x:f>IF(OR(COUNTA(A1140:F1140)=0,COUNTIFS('Rules'!$G$7:$G$26,"="&amp;(SUBSTITUTE(SUBSTITUTE(SUBSTITUTE(SUBSTITUTE("type:"&amp;B1140,"%","%25"),"~","%7E"),"*","%2A"),"?","%3F")))&lt;&gt;1),"",IF(OR(INDEX('Rules'!$B$7:$B$26,MATCH(SUBSTITUTE(SUBSTITUTE(SUBSTITUTE(SUBSTITUTE("type:"&amp;B1140,"%","%25"),"~","%7E"),"*","%2A"),"?","%3F"),'Rules'!$G$7:$G$26,0))="hours",INDEX('Rules'!$B$7:$B$26,MATCH(SUBSTITUTE(SUBSTITUTE(SUBSTITUTE(SUBSTITUTE("type:"&amp;B1140,"%","%25"),"~","%7E"),"*","%2A"),"?","%3F"),'Rules'!$G$7:$G$26,0))="km"),INDEX('Rules'!$B$7:$B$26,MATCH(SUBSTITUTE(SUBSTITUTE(SUBSTITUTE(SUBSTITUTE("type:"&amp;B1140,"%","%25"),"~","%7E"),"*","%2A"),"?","%3F"),'Rules'!$G$7:$G$26,0)),""))</x:f>
      </x:c>
      <x:c r="I1140" s="6" t="str">
        <x:f>IF(AND(NOT(COUNTA(A1140:F1140)=0),K1140=""),ROUND(J1140-D1140,3),"")</x:f>
      </x:c>
      <x:c r="J1140" s="6" t="str">
        <x:f>IF(AND(NOT(COUNTA(A1140:F1140)=0),K1140=""),ROUND(F1140+L1140,3),"")</x:f>
      </x:c>
      <x:c r="K1140" s="5" t="str">
        <x:f>IF(COUNTA(A1140:F1140)=0,"",IF(A1140="","Missing equipment ID",IF(COUNTIFS($N$8:$N$2007,"="&amp;N1140)&gt;1,"Duplicate equipment ID",IF(B1140="","Missing type",IF(COUNTIFS('Rules'!$G$7:$G$26,"="&amp;(SUBSTITUTE(SUBSTITUTE(SUBSTITUTE(SUBSTITUTE("type:"&amp;B1140,"%","%25"),"~","%7E"),"*","%2A"),"?","%3F")))=0,"Unknown type",IF(COUNTIFS('Rules'!$G$7:$G$26,"="&amp;(SUBSTITUTE(SUBSTITUTE(SUBSTITUTE(SUBSTITUTE("type:"&amp;B1140,"%","%25"),"~","%7E"),"*","%2A"),"?","%3F")))&gt;1,"Duplicate type",IF(INDEX('Rules'!$F$7:$F$26,MATCH(SUBSTITUTE(SUBSTITUTE(SUBSTITUTE(SUBSTITUTE("type:"&amp;B1140,"%","%25"),"~","%7E"),"*","%2A"),"?","%3F"),'Rules'!$G$7:$G$26,0))&lt;&gt;"",INDEX('Rules'!$F$7:$F$26,MATCH(SUBSTITUTE(SUBSTITUTE(SUBSTITUTE(SUBSTITUTE("type:"&amp;B1140,"%","%25"),"~","%7E"),"*","%2A"),"?","%3F"),'Rules'!$G$7:$G$26,0)),IF(AND(C1140&lt;&gt;"",C1140&lt;&gt;INDEX('Rules'!$B$7:$B$26,MATCH(SUBSTITUTE(SUBSTITUTE(SUBSTITUTE(SUBSTITUTE("type:"&amp;B1140,"%","%25"),"~","%7E"),"*","%2A"),"?","%3F"),'Rules'!$G$7:$G$26,0))),"Unit mismatch",IF(IF(NOT(ISNUMBER(D1140)),TRUE,OR(D1140&lt;0,D1140&gt;999999999,ROUND(D1140,3)&lt;&gt;D1140)),"Invalid current reading",IF(AND(E1140&lt;&gt;"",IF(NOT(ISNUMBER(E1140)),TRUE,OR(E1140&lt;0,E1140&gt;999999999,ROUND(E1140,3)&lt;&gt;E1140))),"Invalid previous reading",IF(IF(NOT(ISNUMBER(F1140)),TRUE,OR(F1140&lt;0,F1140&gt;999999999,ROUND(F1140,3)&lt;&gt;F1140)),"Invalid last service",IF(AND(E1140&lt;&gt;"",D1140&lt;E1140),"Decreased reading",IF(F1140&gt;D1140,"Last service above current","")))))))))))))</x:f>
      </x:c>
      <x:c r="L1140" s="6" t="str">
        <x:f>IF(AND(NOT(COUNTA(A1140:F1140)=0),K1140=""),INDEX('Rules'!$C$7:$C$26,MATCH(SUBSTITUTE(SUBSTITUTE(SUBSTITUTE(SUBSTITUTE("type:"&amp;B1140,"%","%25"),"~","%7E"),"*","%2A"),"?","%3F"),'Rules'!$G$7:$G$26,0)),"")</x:f>
      </x:c>
      <x:c r="M1140" s="6" t="str">
        <x:f>IF(AND(NOT(COUNTA(A1140:F1140)=0),K1140=""),INDEX('Rules'!$D$7:$D$26,MATCH(SUBSTITUTE(SUBSTITUTE(SUBSTITUTE(SUBSTITUTE("type:"&amp;B1140,"%","%25"),"~","%7E"),"*","%2A"),"?","%3F"),'Rules'!$G$7:$G$26,0)),"")</x:f>
      </x:c>
      <x:c r="N1140" s="5" t="str">
        <x:f>IF(COUNTA(A1140:F1140)=0,"",SUBSTITUTE(SUBSTITUTE(SUBSTITUTE(SUBSTITUTE("id:"&amp;A1140,"%","%25"),"~","%7E"),"*","%2A"),"?","%3F"))</x:f>
      </x:c>
    </x:row>
    <x:row r="1141" ht="22" customHeight="1">
      <x:c r="A1141" s="3"/>
      <x:c r="B1141" s="3"/>
      <x:c r="C1141" s="3"/>
      <x:c r="D1141" s="4"/>
      <x:c r="E1141" s="4"/>
      <x:c r="F1141" s="4"/>
      <x:c r="G1141" s="5" t="str">
        <x:f>IF(COUNTA(A1141:F1141)=0,"",IF(K1141&lt;&gt;"","Review",IF(I1141&lt;0,"Overdue",IF(I1141=0,"Due now",IF(I1141&lt;=M1141,"Due soon","Not due")))))</x:f>
      </x:c>
      <x:c r="H1141" s="5" t="str">
        <x:f>IF(OR(COUNTA(A1141:F1141)=0,COUNTIFS('Rules'!$G$7:$G$26,"="&amp;(SUBSTITUTE(SUBSTITUTE(SUBSTITUTE(SUBSTITUTE("type:"&amp;B1141,"%","%25"),"~","%7E"),"*","%2A"),"?","%3F")))&lt;&gt;1),"",IF(OR(INDEX('Rules'!$B$7:$B$26,MATCH(SUBSTITUTE(SUBSTITUTE(SUBSTITUTE(SUBSTITUTE("type:"&amp;B1141,"%","%25"),"~","%7E"),"*","%2A"),"?","%3F"),'Rules'!$G$7:$G$26,0))="hours",INDEX('Rules'!$B$7:$B$26,MATCH(SUBSTITUTE(SUBSTITUTE(SUBSTITUTE(SUBSTITUTE("type:"&amp;B1141,"%","%25"),"~","%7E"),"*","%2A"),"?","%3F"),'Rules'!$G$7:$G$26,0))="km"),INDEX('Rules'!$B$7:$B$26,MATCH(SUBSTITUTE(SUBSTITUTE(SUBSTITUTE(SUBSTITUTE("type:"&amp;B1141,"%","%25"),"~","%7E"),"*","%2A"),"?","%3F"),'Rules'!$G$7:$G$26,0)),""))</x:f>
      </x:c>
      <x:c r="I1141" s="6" t="str">
        <x:f>IF(AND(NOT(COUNTA(A1141:F1141)=0),K1141=""),ROUND(J1141-D1141,3),"")</x:f>
      </x:c>
      <x:c r="J1141" s="6" t="str">
        <x:f>IF(AND(NOT(COUNTA(A1141:F1141)=0),K1141=""),ROUND(F1141+L1141,3),"")</x:f>
      </x:c>
      <x:c r="K1141" s="5" t="str">
        <x:f>IF(COUNTA(A1141:F1141)=0,"",IF(A1141="","Missing equipment ID",IF(COUNTIFS($N$8:$N$2007,"="&amp;N1141)&gt;1,"Duplicate equipment ID",IF(B1141="","Missing type",IF(COUNTIFS('Rules'!$G$7:$G$26,"="&amp;(SUBSTITUTE(SUBSTITUTE(SUBSTITUTE(SUBSTITUTE("type:"&amp;B1141,"%","%25"),"~","%7E"),"*","%2A"),"?","%3F")))=0,"Unknown type",IF(COUNTIFS('Rules'!$G$7:$G$26,"="&amp;(SUBSTITUTE(SUBSTITUTE(SUBSTITUTE(SUBSTITUTE("type:"&amp;B1141,"%","%25"),"~","%7E"),"*","%2A"),"?","%3F")))&gt;1,"Duplicate type",IF(INDEX('Rules'!$F$7:$F$26,MATCH(SUBSTITUTE(SUBSTITUTE(SUBSTITUTE(SUBSTITUTE("type:"&amp;B1141,"%","%25"),"~","%7E"),"*","%2A"),"?","%3F"),'Rules'!$G$7:$G$26,0))&lt;&gt;"",INDEX('Rules'!$F$7:$F$26,MATCH(SUBSTITUTE(SUBSTITUTE(SUBSTITUTE(SUBSTITUTE("type:"&amp;B1141,"%","%25"),"~","%7E"),"*","%2A"),"?","%3F"),'Rules'!$G$7:$G$26,0)),IF(AND(C1141&lt;&gt;"",C1141&lt;&gt;INDEX('Rules'!$B$7:$B$26,MATCH(SUBSTITUTE(SUBSTITUTE(SUBSTITUTE(SUBSTITUTE("type:"&amp;B1141,"%","%25"),"~","%7E"),"*","%2A"),"?","%3F"),'Rules'!$G$7:$G$26,0))),"Unit mismatch",IF(IF(NOT(ISNUMBER(D1141)),TRUE,OR(D1141&lt;0,D1141&gt;999999999,ROUND(D1141,3)&lt;&gt;D1141)),"Invalid current reading",IF(AND(E1141&lt;&gt;"",IF(NOT(ISNUMBER(E1141)),TRUE,OR(E1141&lt;0,E1141&gt;999999999,ROUND(E1141,3)&lt;&gt;E1141))),"Invalid previous reading",IF(IF(NOT(ISNUMBER(F1141)),TRUE,OR(F1141&lt;0,F1141&gt;999999999,ROUND(F1141,3)&lt;&gt;F1141)),"Invalid last service",IF(AND(E1141&lt;&gt;"",D1141&lt;E1141),"Decreased reading",IF(F1141&gt;D1141,"Last service above current","")))))))))))))</x:f>
      </x:c>
      <x:c r="L1141" s="6" t="str">
        <x:f>IF(AND(NOT(COUNTA(A1141:F1141)=0),K1141=""),INDEX('Rules'!$C$7:$C$26,MATCH(SUBSTITUTE(SUBSTITUTE(SUBSTITUTE(SUBSTITUTE("type:"&amp;B1141,"%","%25"),"~","%7E"),"*","%2A"),"?","%3F"),'Rules'!$G$7:$G$26,0)),"")</x:f>
      </x:c>
      <x:c r="M1141" s="6" t="str">
        <x:f>IF(AND(NOT(COUNTA(A1141:F1141)=0),K1141=""),INDEX('Rules'!$D$7:$D$26,MATCH(SUBSTITUTE(SUBSTITUTE(SUBSTITUTE(SUBSTITUTE("type:"&amp;B1141,"%","%25"),"~","%7E"),"*","%2A"),"?","%3F"),'Rules'!$G$7:$G$26,0)),"")</x:f>
      </x:c>
      <x:c r="N1141" s="5" t="str">
        <x:f>IF(COUNTA(A1141:F1141)=0,"",SUBSTITUTE(SUBSTITUTE(SUBSTITUTE(SUBSTITUTE("id:"&amp;A1141,"%","%25"),"~","%7E"),"*","%2A"),"?","%3F"))</x:f>
      </x:c>
    </x:row>
    <x:row r="1142" ht="22" customHeight="1">
      <x:c r="A1142" s="3"/>
      <x:c r="B1142" s="3"/>
      <x:c r="C1142" s="3"/>
      <x:c r="D1142" s="4"/>
      <x:c r="E1142" s="4"/>
      <x:c r="F1142" s="4"/>
      <x:c r="G1142" s="5" t="str">
        <x:f>IF(COUNTA(A1142:F1142)=0,"",IF(K1142&lt;&gt;"","Review",IF(I1142&lt;0,"Overdue",IF(I1142=0,"Due now",IF(I1142&lt;=M1142,"Due soon","Not due")))))</x:f>
      </x:c>
      <x:c r="H1142" s="5" t="str">
        <x:f>IF(OR(COUNTA(A1142:F1142)=0,COUNTIFS('Rules'!$G$7:$G$26,"="&amp;(SUBSTITUTE(SUBSTITUTE(SUBSTITUTE(SUBSTITUTE("type:"&amp;B1142,"%","%25"),"~","%7E"),"*","%2A"),"?","%3F")))&lt;&gt;1),"",IF(OR(INDEX('Rules'!$B$7:$B$26,MATCH(SUBSTITUTE(SUBSTITUTE(SUBSTITUTE(SUBSTITUTE("type:"&amp;B1142,"%","%25"),"~","%7E"),"*","%2A"),"?","%3F"),'Rules'!$G$7:$G$26,0))="hours",INDEX('Rules'!$B$7:$B$26,MATCH(SUBSTITUTE(SUBSTITUTE(SUBSTITUTE(SUBSTITUTE("type:"&amp;B1142,"%","%25"),"~","%7E"),"*","%2A"),"?","%3F"),'Rules'!$G$7:$G$26,0))="km"),INDEX('Rules'!$B$7:$B$26,MATCH(SUBSTITUTE(SUBSTITUTE(SUBSTITUTE(SUBSTITUTE("type:"&amp;B1142,"%","%25"),"~","%7E"),"*","%2A"),"?","%3F"),'Rules'!$G$7:$G$26,0)),""))</x:f>
      </x:c>
      <x:c r="I1142" s="6" t="str">
        <x:f>IF(AND(NOT(COUNTA(A1142:F1142)=0),K1142=""),ROUND(J1142-D1142,3),"")</x:f>
      </x:c>
      <x:c r="J1142" s="6" t="str">
        <x:f>IF(AND(NOT(COUNTA(A1142:F1142)=0),K1142=""),ROUND(F1142+L1142,3),"")</x:f>
      </x:c>
      <x:c r="K1142" s="5" t="str">
        <x:f>IF(COUNTA(A1142:F1142)=0,"",IF(A1142="","Missing equipment ID",IF(COUNTIFS($N$8:$N$2007,"="&amp;N1142)&gt;1,"Duplicate equipment ID",IF(B1142="","Missing type",IF(COUNTIFS('Rules'!$G$7:$G$26,"="&amp;(SUBSTITUTE(SUBSTITUTE(SUBSTITUTE(SUBSTITUTE("type:"&amp;B1142,"%","%25"),"~","%7E"),"*","%2A"),"?","%3F")))=0,"Unknown type",IF(COUNTIFS('Rules'!$G$7:$G$26,"="&amp;(SUBSTITUTE(SUBSTITUTE(SUBSTITUTE(SUBSTITUTE("type:"&amp;B1142,"%","%25"),"~","%7E"),"*","%2A"),"?","%3F")))&gt;1,"Duplicate type",IF(INDEX('Rules'!$F$7:$F$26,MATCH(SUBSTITUTE(SUBSTITUTE(SUBSTITUTE(SUBSTITUTE("type:"&amp;B1142,"%","%25"),"~","%7E"),"*","%2A"),"?","%3F"),'Rules'!$G$7:$G$26,0))&lt;&gt;"",INDEX('Rules'!$F$7:$F$26,MATCH(SUBSTITUTE(SUBSTITUTE(SUBSTITUTE(SUBSTITUTE("type:"&amp;B1142,"%","%25"),"~","%7E"),"*","%2A"),"?","%3F"),'Rules'!$G$7:$G$26,0)),IF(AND(C1142&lt;&gt;"",C1142&lt;&gt;INDEX('Rules'!$B$7:$B$26,MATCH(SUBSTITUTE(SUBSTITUTE(SUBSTITUTE(SUBSTITUTE("type:"&amp;B1142,"%","%25"),"~","%7E"),"*","%2A"),"?","%3F"),'Rules'!$G$7:$G$26,0))),"Unit mismatch",IF(IF(NOT(ISNUMBER(D1142)),TRUE,OR(D1142&lt;0,D1142&gt;999999999,ROUND(D1142,3)&lt;&gt;D1142)),"Invalid current reading",IF(AND(E1142&lt;&gt;"",IF(NOT(ISNUMBER(E1142)),TRUE,OR(E1142&lt;0,E1142&gt;999999999,ROUND(E1142,3)&lt;&gt;E1142))),"Invalid previous reading",IF(IF(NOT(ISNUMBER(F1142)),TRUE,OR(F1142&lt;0,F1142&gt;999999999,ROUND(F1142,3)&lt;&gt;F1142)),"Invalid last service",IF(AND(E1142&lt;&gt;"",D1142&lt;E1142),"Decreased reading",IF(F1142&gt;D1142,"Last service above current","")))))))))))))</x:f>
      </x:c>
      <x:c r="L1142" s="6" t="str">
        <x:f>IF(AND(NOT(COUNTA(A1142:F1142)=0),K1142=""),INDEX('Rules'!$C$7:$C$26,MATCH(SUBSTITUTE(SUBSTITUTE(SUBSTITUTE(SUBSTITUTE("type:"&amp;B1142,"%","%25"),"~","%7E"),"*","%2A"),"?","%3F"),'Rules'!$G$7:$G$26,0)),"")</x:f>
      </x:c>
      <x:c r="M1142" s="6" t="str">
        <x:f>IF(AND(NOT(COUNTA(A1142:F1142)=0),K1142=""),INDEX('Rules'!$D$7:$D$26,MATCH(SUBSTITUTE(SUBSTITUTE(SUBSTITUTE(SUBSTITUTE("type:"&amp;B1142,"%","%25"),"~","%7E"),"*","%2A"),"?","%3F"),'Rules'!$G$7:$G$26,0)),"")</x:f>
      </x:c>
      <x:c r="N1142" s="5" t="str">
        <x:f>IF(COUNTA(A1142:F1142)=0,"",SUBSTITUTE(SUBSTITUTE(SUBSTITUTE(SUBSTITUTE("id:"&amp;A1142,"%","%25"),"~","%7E"),"*","%2A"),"?","%3F"))</x:f>
      </x:c>
    </x:row>
    <x:row r="1143" ht="22" customHeight="1">
      <x:c r="A1143" s="3"/>
      <x:c r="B1143" s="3"/>
      <x:c r="C1143" s="3"/>
      <x:c r="D1143" s="4"/>
      <x:c r="E1143" s="4"/>
      <x:c r="F1143" s="4"/>
      <x:c r="G1143" s="5" t="str">
        <x:f>IF(COUNTA(A1143:F1143)=0,"",IF(K1143&lt;&gt;"","Review",IF(I1143&lt;0,"Overdue",IF(I1143=0,"Due now",IF(I1143&lt;=M1143,"Due soon","Not due")))))</x:f>
      </x:c>
      <x:c r="H1143" s="5" t="str">
        <x:f>IF(OR(COUNTA(A1143:F1143)=0,COUNTIFS('Rules'!$G$7:$G$26,"="&amp;(SUBSTITUTE(SUBSTITUTE(SUBSTITUTE(SUBSTITUTE("type:"&amp;B1143,"%","%25"),"~","%7E"),"*","%2A"),"?","%3F")))&lt;&gt;1),"",IF(OR(INDEX('Rules'!$B$7:$B$26,MATCH(SUBSTITUTE(SUBSTITUTE(SUBSTITUTE(SUBSTITUTE("type:"&amp;B1143,"%","%25"),"~","%7E"),"*","%2A"),"?","%3F"),'Rules'!$G$7:$G$26,0))="hours",INDEX('Rules'!$B$7:$B$26,MATCH(SUBSTITUTE(SUBSTITUTE(SUBSTITUTE(SUBSTITUTE("type:"&amp;B1143,"%","%25"),"~","%7E"),"*","%2A"),"?","%3F"),'Rules'!$G$7:$G$26,0))="km"),INDEX('Rules'!$B$7:$B$26,MATCH(SUBSTITUTE(SUBSTITUTE(SUBSTITUTE(SUBSTITUTE("type:"&amp;B1143,"%","%25"),"~","%7E"),"*","%2A"),"?","%3F"),'Rules'!$G$7:$G$26,0)),""))</x:f>
      </x:c>
      <x:c r="I1143" s="6" t="str">
        <x:f>IF(AND(NOT(COUNTA(A1143:F1143)=0),K1143=""),ROUND(J1143-D1143,3),"")</x:f>
      </x:c>
      <x:c r="J1143" s="6" t="str">
        <x:f>IF(AND(NOT(COUNTA(A1143:F1143)=0),K1143=""),ROUND(F1143+L1143,3),"")</x:f>
      </x:c>
      <x:c r="K1143" s="5" t="str">
        <x:f>IF(COUNTA(A1143:F1143)=0,"",IF(A1143="","Missing equipment ID",IF(COUNTIFS($N$8:$N$2007,"="&amp;N1143)&gt;1,"Duplicate equipment ID",IF(B1143="","Missing type",IF(COUNTIFS('Rules'!$G$7:$G$26,"="&amp;(SUBSTITUTE(SUBSTITUTE(SUBSTITUTE(SUBSTITUTE("type:"&amp;B1143,"%","%25"),"~","%7E"),"*","%2A"),"?","%3F")))=0,"Unknown type",IF(COUNTIFS('Rules'!$G$7:$G$26,"="&amp;(SUBSTITUTE(SUBSTITUTE(SUBSTITUTE(SUBSTITUTE("type:"&amp;B1143,"%","%25"),"~","%7E"),"*","%2A"),"?","%3F")))&gt;1,"Duplicate type",IF(INDEX('Rules'!$F$7:$F$26,MATCH(SUBSTITUTE(SUBSTITUTE(SUBSTITUTE(SUBSTITUTE("type:"&amp;B1143,"%","%25"),"~","%7E"),"*","%2A"),"?","%3F"),'Rules'!$G$7:$G$26,0))&lt;&gt;"",INDEX('Rules'!$F$7:$F$26,MATCH(SUBSTITUTE(SUBSTITUTE(SUBSTITUTE(SUBSTITUTE("type:"&amp;B1143,"%","%25"),"~","%7E"),"*","%2A"),"?","%3F"),'Rules'!$G$7:$G$26,0)),IF(AND(C1143&lt;&gt;"",C1143&lt;&gt;INDEX('Rules'!$B$7:$B$26,MATCH(SUBSTITUTE(SUBSTITUTE(SUBSTITUTE(SUBSTITUTE("type:"&amp;B1143,"%","%25"),"~","%7E"),"*","%2A"),"?","%3F"),'Rules'!$G$7:$G$26,0))),"Unit mismatch",IF(IF(NOT(ISNUMBER(D1143)),TRUE,OR(D1143&lt;0,D1143&gt;999999999,ROUND(D1143,3)&lt;&gt;D1143)),"Invalid current reading",IF(AND(E1143&lt;&gt;"",IF(NOT(ISNUMBER(E1143)),TRUE,OR(E1143&lt;0,E1143&gt;999999999,ROUND(E1143,3)&lt;&gt;E1143))),"Invalid previous reading",IF(IF(NOT(ISNUMBER(F1143)),TRUE,OR(F1143&lt;0,F1143&gt;999999999,ROUND(F1143,3)&lt;&gt;F1143)),"Invalid last service",IF(AND(E1143&lt;&gt;"",D1143&lt;E1143),"Decreased reading",IF(F1143&gt;D1143,"Last service above current","")))))))))))))</x:f>
      </x:c>
      <x:c r="L1143" s="6" t="str">
        <x:f>IF(AND(NOT(COUNTA(A1143:F1143)=0),K1143=""),INDEX('Rules'!$C$7:$C$26,MATCH(SUBSTITUTE(SUBSTITUTE(SUBSTITUTE(SUBSTITUTE("type:"&amp;B1143,"%","%25"),"~","%7E"),"*","%2A"),"?","%3F"),'Rules'!$G$7:$G$26,0)),"")</x:f>
      </x:c>
      <x:c r="M1143" s="6" t="str">
        <x:f>IF(AND(NOT(COUNTA(A1143:F1143)=0),K1143=""),INDEX('Rules'!$D$7:$D$26,MATCH(SUBSTITUTE(SUBSTITUTE(SUBSTITUTE(SUBSTITUTE("type:"&amp;B1143,"%","%25"),"~","%7E"),"*","%2A"),"?","%3F"),'Rules'!$G$7:$G$26,0)),"")</x:f>
      </x:c>
      <x:c r="N1143" s="5" t="str">
        <x:f>IF(COUNTA(A1143:F1143)=0,"",SUBSTITUTE(SUBSTITUTE(SUBSTITUTE(SUBSTITUTE("id:"&amp;A1143,"%","%25"),"~","%7E"),"*","%2A"),"?","%3F"))</x:f>
      </x:c>
    </x:row>
    <x:row r="1144" ht="22" customHeight="1">
      <x:c r="A1144" s="3"/>
      <x:c r="B1144" s="3"/>
      <x:c r="C1144" s="3"/>
      <x:c r="D1144" s="4"/>
      <x:c r="E1144" s="4"/>
      <x:c r="F1144" s="4"/>
      <x:c r="G1144" s="5" t="str">
        <x:f>IF(COUNTA(A1144:F1144)=0,"",IF(K1144&lt;&gt;"","Review",IF(I1144&lt;0,"Overdue",IF(I1144=0,"Due now",IF(I1144&lt;=M1144,"Due soon","Not due")))))</x:f>
      </x:c>
      <x:c r="H1144" s="5" t="str">
        <x:f>IF(OR(COUNTA(A1144:F1144)=0,COUNTIFS('Rules'!$G$7:$G$26,"="&amp;(SUBSTITUTE(SUBSTITUTE(SUBSTITUTE(SUBSTITUTE("type:"&amp;B1144,"%","%25"),"~","%7E"),"*","%2A"),"?","%3F")))&lt;&gt;1),"",IF(OR(INDEX('Rules'!$B$7:$B$26,MATCH(SUBSTITUTE(SUBSTITUTE(SUBSTITUTE(SUBSTITUTE("type:"&amp;B1144,"%","%25"),"~","%7E"),"*","%2A"),"?","%3F"),'Rules'!$G$7:$G$26,0))="hours",INDEX('Rules'!$B$7:$B$26,MATCH(SUBSTITUTE(SUBSTITUTE(SUBSTITUTE(SUBSTITUTE("type:"&amp;B1144,"%","%25"),"~","%7E"),"*","%2A"),"?","%3F"),'Rules'!$G$7:$G$26,0))="km"),INDEX('Rules'!$B$7:$B$26,MATCH(SUBSTITUTE(SUBSTITUTE(SUBSTITUTE(SUBSTITUTE("type:"&amp;B1144,"%","%25"),"~","%7E"),"*","%2A"),"?","%3F"),'Rules'!$G$7:$G$26,0)),""))</x:f>
      </x:c>
      <x:c r="I1144" s="6" t="str">
        <x:f>IF(AND(NOT(COUNTA(A1144:F1144)=0),K1144=""),ROUND(J1144-D1144,3),"")</x:f>
      </x:c>
      <x:c r="J1144" s="6" t="str">
        <x:f>IF(AND(NOT(COUNTA(A1144:F1144)=0),K1144=""),ROUND(F1144+L1144,3),"")</x:f>
      </x:c>
      <x:c r="K1144" s="5" t="str">
        <x:f>IF(COUNTA(A1144:F1144)=0,"",IF(A1144="","Missing equipment ID",IF(COUNTIFS($N$8:$N$2007,"="&amp;N1144)&gt;1,"Duplicate equipment ID",IF(B1144="","Missing type",IF(COUNTIFS('Rules'!$G$7:$G$26,"="&amp;(SUBSTITUTE(SUBSTITUTE(SUBSTITUTE(SUBSTITUTE("type:"&amp;B1144,"%","%25"),"~","%7E"),"*","%2A"),"?","%3F")))=0,"Unknown type",IF(COUNTIFS('Rules'!$G$7:$G$26,"="&amp;(SUBSTITUTE(SUBSTITUTE(SUBSTITUTE(SUBSTITUTE("type:"&amp;B1144,"%","%25"),"~","%7E"),"*","%2A"),"?","%3F")))&gt;1,"Duplicate type",IF(INDEX('Rules'!$F$7:$F$26,MATCH(SUBSTITUTE(SUBSTITUTE(SUBSTITUTE(SUBSTITUTE("type:"&amp;B1144,"%","%25"),"~","%7E"),"*","%2A"),"?","%3F"),'Rules'!$G$7:$G$26,0))&lt;&gt;"",INDEX('Rules'!$F$7:$F$26,MATCH(SUBSTITUTE(SUBSTITUTE(SUBSTITUTE(SUBSTITUTE("type:"&amp;B1144,"%","%25"),"~","%7E"),"*","%2A"),"?","%3F"),'Rules'!$G$7:$G$26,0)),IF(AND(C1144&lt;&gt;"",C1144&lt;&gt;INDEX('Rules'!$B$7:$B$26,MATCH(SUBSTITUTE(SUBSTITUTE(SUBSTITUTE(SUBSTITUTE("type:"&amp;B1144,"%","%25"),"~","%7E"),"*","%2A"),"?","%3F"),'Rules'!$G$7:$G$26,0))),"Unit mismatch",IF(IF(NOT(ISNUMBER(D1144)),TRUE,OR(D1144&lt;0,D1144&gt;999999999,ROUND(D1144,3)&lt;&gt;D1144)),"Invalid current reading",IF(AND(E1144&lt;&gt;"",IF(NOT(ISNUMBER(E1144)),TRUE,OR(E1144&lt;0,E1144&gt;999999999,ROUND(E1144,3)&lt;&gt;E1144))),"Invalid previous reading",IF(IF(NOT(ISNUMBER(F1144)),TRUE,OR(F1144&lt;0,F1144&gt;999999999,ROUND(F1144,3)&lt;&gt;F1144)),"Invalid last service",IF(AND(E1144&lt;&gt;"",D1144&lt;E1144),"Decreased reading",IF(F1144&gt;D1144,"Last service above current","")))))))))))))</x:f>
      </x:c>
      <x:c r="L1144" s="6" t="str">
        <x:f>IF(AND(NOT(COUNTA(A1144:F1144)=0),K1144=""),INDEX('Rules'!$C$7:$C$26,MATCH(SUBSTITUTE(SUBSTITUTE(SUBSTITUTE(SUBSTITUTE("type:"&amp;B1144,"%","%25"),"~","%7E"),"*","%2A"),"?","%3F"),'Rules'!$G$7:$G$26,0)),"")</x:f>
      </x:c>
      <x:c r="M1144" s="6" t="str">
        <x:f>IF(AND(NOT(COUNTA(A1144:F1144)=0),K1144=""),INDEX('Rules'!$D$7:$D$26,MATCH(SUBSTITUTE(SUBSTITUTE(SUBSTITUTE(SUBSTITUTE("type:"&amp;B1144,"%","%25"),"~","%7E"),"*","%2A"),"?","%3F"),'Rules'!$G$7:$G$26,0)),"")</x:f>
      </x:c>
      <x:c r="N1144" s="5" t="str">
        <x:f>IF(COUNTA(A1144:F1144)=0,"",SUBSTITUTE(SUBSTITUTE(SUBSTITUTE(SUBSTITUTE("id:"&amp;A1144,"%","%25"),"~","%7E"),"*","%2A"),"?","%3F"))</x:f>
      </x:c>
    </x:row>
    <x:row r="1145" ht="22" customHeight="1">
      <x:c r="A1145" s="3"/>
      <x:c r="B1145" s="3"/>
      <x:c r="C1145" s="3"/>
      <x:c r="D1145" s="4"/>
      <x:c r="E1145" s="4"/>
      <x:c r="F1145" s="4"/>
      <x:c r="G1145" s="5" t="str">
        <x:f>IF(COUNTA(A1145:F1145)=0,"",IF(K1145&lt;&gt;"","Review",IF(I1145&lt;0,"Overdue",IF(I1145=0,"Due now",IF(I1145&lt;=M1145,"Due soon","Not due")))))</x:f>
      </x:c>
      <x:c r="H1145" s="5" t="str">
        <x:f>IF(OR(COUNTA(A1145:F1145)=0,COUNTIFS('Rules'!$G$7:$G$26,"="&amp;(SUBSTITUTE(SUBSTITUTE(SUBSTITUTE(SUBSTITUTE("type:"&amp;B1145,"%","%25"),"~","%7E"),"*","%2A"),"?","%3F")))&lt;&gt;1),"",IF(OR(INDEX('Rules'!$B$7:$B$26,MATCH(SUBSTITUTE(SUBSTITUTE(SUBSTITUTE(SUBSTITUTE("type:"&amp;B1145,"%","%25"),"~","%7E"),"*","%2A"),"?","%3F"),'Rules'!$G$7:$G$26,0))="hours",INDEX('Rules'!$B$7:$B$26,MATCH(SUBSTITUTE(SUBSTITUTE(SUBSTITUTE(SUBSTITUTE("type:"&amp;B1145,"%","%25"),"~","%7E"),"*","%2A"),"?","%3F"),'Rules'!$G$7:$G$26,0))="km"),INDEX('Rules'!$B$7:$B$26,MATCH(SUBSTITUTE(SUBSTITUTE(SUBSTITUTE(SUBSTITUTE("type:"&amp;B1145,"%","%25"),"~","%7E"),"*","%2A"),"?","%3F"),'Rules'!$G$7:$G$26,0)),""))</x:f>
      </x:c>
      <x:c r="I1145" s="6" t="str">
        <x:f>IF(AND(NOT(COUNTA(A1145:F1145)=0),K1145=""),ROUND(J1145-D1145,3),"")</x:f>
      </x:c>
      <x:c r="J1145" s="6" t="str">
        <x:f>IF(AND(NOT(COUNTA(A1145:F1145)=0),K1145=""),ROUND(F1145+L1145,3),"")</x:f>
      </x:c>
      <x:c r="K1145" s="5" t="str">
        <x:f>IF(COUNTA(A1145:F1145)=0,"",IF(A1145="","Missing equipment ID",IF(COUNTIFS($N$8:$N$2007,"="&amp;N1145)&gt;1,"Duplicate equipment ID",IF(B1145="","Missing type",IF(COUNTIFS('Rules'!$G$7:$G$26,"="&amp;(SUBSTITUTE(SUBSTITUTE(SUBSTITUTE(SUBSTITUTE("type:"&amp;B1145,"%","%25"),"~","%7E"),"*","%2A"),"?","%3F")))=0,"Unknown type",IF(COUNTIFS('Rules'!$G$7:$G$26,"="&amp;(SUBSTITUTE(SUBSTITUTE(SUBSTITUTE(SUBSTITUTE("type:"&amp;B1145,"%","%25"),"~","%7E"),"*","%2A"),"?","%3F")))&gt;1,"Duplicate type",IF(INDEX('Rules'!$F$7:$F$26,MATCH(SUBSTITUTE(SUBSTITUTE(SUBSTITUTE(SUBSTITUTE("type:"&amp;B1145,"%","%25"),"~","%7E"),"*","%2A"),"?","%3F"),'Rules'!$G$7:$G$26,0))&lt;&gt;"",INDEX('Rules'!$F$7:$F$26,MATCH(SUBSTITUTE(SUBSTITUTE(SUBSTITUTE(SUBSTITUTE("type:"&amp;B1145,"%","%25"),"~","%7E"),"*","%2A"),"?","%3F"),'Rules'!$G$7:$G$26,0)),IF(AND(C1145&lt;&gt;"",C1145&lt;&gt;INDEX('Rules'!$B$7:$B$26,MATCH(SUBSTITUTE(SUBSTITUTE(SUBSTITUTE(SUBSTITUTE("type:"&amp;B1145,"%","%25"),"~","%7E"),"*","%2A"),"?","%3F"),'Rules'!$G$7:$G$26,0))),"Unit mismatch",IF(IF(NOT(ISNUMBER(D1145)),TRUE,OR(D1145&lt;0,D1145&gt;999999999,ROUND(D1145,3)&lt;&gt;D1145)),"Invalid current reading",IF(AND(E1145&lt;&gt;"",IF(NOT(ISNUMBER(E1145)),TRUE,OR(E1145&lt;0,E1145&gt;999999999,ROUND(E1145,3)&lt;&gt;E1145))),"Invalid previous reading",IF(IF(NOT(ISNUMBER(F1145)),TRUE,OR(F1145&lt;0,F1145&gt;999999999,ROUND(F1145,3)&lt;&gt;F1145)),"Invalid last service",IF(AND(E1145&lt;&gt;"",D1145&lt;E1145),"Decreased reading",IF(F1145&gt;D1145,"Last service above current","")))))))))))))</x:f>
      </x:c>
      <x:c r="L1145" s="6" t="str">
        <x:f>IF(AND(NOT(COUNTA(A1145:F1145)=0),K1145=""),INDEX('Rules'!$C$7:$C$26,MATCH(SUBSTITUTE(SUBSTITUTE(SUBSTITUTE(SUBSTITUTE("type:"&amp;B1145,"%","%25"),"~","%7E"),"*","%2A"),"?","%3F"),'Rules'!$G$7:$G$26,0)),"")</x:f>
      </x:c>
      <x:c r="M1145" s="6" t="str">
        <x:f>IF(AND(NOT(COUNTA(A1145:F1145)=0),K1145=""),INDEX('Rules'!$D$7:$D$26,MATCH(SUBSTITUTE(SUBSTITUTE(SUBSTITUTE(SUBSTITUTE("type:"&amp;B1145,"%","%25"),"~","%7E"),"*","%2A"),"?","%3F"),'Rules'!$G$7:$G$26,0)),"")</x:f>
      </x:c>
      <x:c r="N1145" s="5" t="str">
        <x:f>IF(COUNTA(A1145:F1145)=0,"",SUBSTITUTE(SUBSTITUTE(SUBSTITUTE(SUBSTITUTE("id:"&amp;A1145,"%","%25"),"~","%7E"),"*","%2A"),"?","%3F"))</x:f>
      </x:c>
    </x:row>
    <x:row r="1146" ht="22" customHeight="1">
      <x:c r="A1146" s="3"/>
      <x:c r="B1146" s="3"/>
      <x:c r="C1146" s="3"/>
      <x:c r="D1146" s="4"/>
      <x:c r="E1146" s="4"/>
      <x:c r="F1146" s="4"/>
      <x:c r="G1146" s="5" t="str">
        <x:f>IF(COUNTA(A1146:F1146)=0,"",IF(K1146&lt;&gt;"","Review",IF(I1146&lt;0,"Overdue",IF(I1146=0,"Due now",IF(I1146&lt;=M1146,"Due soon","Not due")))))</x:f>
      </x:c>
      <x:c r="H1146" s="5" t="str">
        <x:f>IF(OR(COUNTA(A1146:F1146)=0,COUNTIFS('Rules'!$G$7:$G$26,"="&amp;(SUBSTITUTE(SUBSTITUTE(SUBSTITUTE(SUBSTITUTE("type:"&amp;B1146,"%","%25"),"~","%7E"),"*","%2A"),"?","%3F")))&lt;&gt;1),"",IF(OR(INDEX('Rules'!$B$7:$B$26,MATCH(SUBSTITUTE(SUBSTITUTE(SUBSTITUTE(SUBSTITUTE("type:"&amp;B1146,"%","%25"),"~","%7E"),"*","%2A"),"?","%3F"),'Rules'!$G$7:$G$26,0))="hours",INDEX('Rules'!$B$7:$B$26,MATCH(SUBSTITUTE(SUBSTITUTE(SUBSTITUTE(SUBSTITUTE("type:"&amp;B1146,"%","%25"),"~","%7E"),"*","%2A"),"?","%3F"),'Rules'!$G$7:$G$26,0))="km"),INDEX('Rules'!$B$7:$B$26,MATCH(SUBSTITUTE(SUBSTITUTE(SUBSTITUTE(SUBSTITUTE("type:"&amp;B1146,"%","%25"),"~","%7E"),"*","%2A"),"?","%3F"),'Rules'!$G$7:$G$26,0)),""))</x:f>
      </x:c>
      <x:c r="I1146" s="6" t="str">
        <x:f>IF(AND(NOT(COUNTA(A1146:F1146)=0),K1146=""),ROUND(J1146-D1146,3),"")</x:f>
      </x:c>
      <x:c r="J1146" s="6" t="str">
        <x:f>IF(AND(NOT(COUNTA(A1146:F1146)=0),K1146=""),ROUND(F1146+L1146,3),"")</x:f>
      </x:c>
      <x:c r="K1146" s="5" t="str">
        <x:f>IF(COUNTA(A1146:F1146)=0,"",IF(A1146="","Missing equipment ID",IF(COUNTIFS($N$8:$N$2007,"="&amp;N1146)&gt;1,"Duplicate equipment ID",IF(B1146="","Missing type",IF(COUNTIFS('Rules'!$G$7:$G$26,"="&amp;(SUBSTITUTE(SUBSTITUTE(SUBSTITUTE(SUBSTITUTE("type:"&amp;B1146,"%","%25"),"~","%7E"),"*","%2A"),"?","%3F")))=0,"Unknown type",IF(COUNTIFS('Rules'!$G$7:$G$26,"="&amp;(SUBSTITUTE(SUBSTITUTE(SUBSTITUTE(SUBSTITUTE("type:"&amp;B1146,"%","%25"),"~","%7E"),"*","%2A"),"?","%3F")))&gt;1,"Duplicate type",IF(INDEX('Rules'!$F$7:$F$26,MATCH(SUBSTITUTE(SUBSTITUTE(SUBSTITUTE(SUBSTITUTE("type:"&amp;B1146,"%","%25"),"~","%7E"),"*","%2A"),"?","%3F"),'Rules'!$G$7:$G$26,0))&lt;&gt;"",INDEX('Rules'!$F$7:$F$26,MATCH(SUBSTITUTE(SUBSTITUTE(SUBSTITUTE(SUBSTITUTE("type:"&amp;B1146,"%","%25"),"~","%7E"),"*","%2A"),"?","%3F"),'Rules'!$G$7:$G$26,0)),IF(AND(C1146&lt;&gt;"",C1146&lt;&gt;INDEX('Rules'!$B$7:$B$26,MATCH(SUBSTITUTE(SUBSTITUTE(SUBSTITUTE(SUBSTITUTE("type:"&amp;B1146,"%","%25"),"~","%7E"),"*","%2A"),"?","%3F"),'Rules'!$G$7:$G$26,0))),"Unit mismatch",IF(IF(NOT(ISNUMBER(D1146)),TRUE,OR(D1146&lt;0,D1146&gt;999999999,ROUND(D1146,3)&lt;&gt;D1146)),"Invalid current reading",IF(AND(E1146&lt;&gt;"",IF(NOT(ISNUMBER(E1146)),TRUE,OR(E1146&lt;0,E1146&gt;999999999,ROUND(E1146,3)&lt;&gt;E1146))),"Invalid previous reading",IF(IF(NOT(ISNUMBER(F1146)),TRUE,OR(F1146&lt;0,F1146&gt;999999999,ROUND(F1146,3)&lt;&gt;F1146)),"Invalid last service",IF(AND(E1146&lt;&gt;"",D1146&lt;E1146),"Decreased reading",IF(F1146&gt;D1146,"Last service above current","")))))))))))))</x:f>
      </x:c>
      <x:c r="L1146" s="6" t="str">
        <x:f>IF(AND(NOT(COUNTA(A1146:F1146)=0),K1146=""),INDEX('Rules'!$C$7:$C$26,MATCH(SUBSTITUTE(SUBSTITUTE(SUBSTITUTE(SUBSTITUTE("type:"&amp;B1146,"%","%25"),"~","%7E"),"*","%2A"),"?","%3F"),'Rules'!$G$7:$G$26,0)),"")</x:f>
      </x:c>
      <x:c r="M1146" s="6" t="str">
        <x:f>IF(AND(NOT(COUNTA(A1146:F1146)=0),K1146=""),INDEX('Rules'!$D$7:$D$26,MATCH(SUBSTITUTE(SUBSTITUTE(SUBSTITUTE(SUBSTITUTE("type:"&amp;B1146,"%","%25"),"~","%7E"),"*","%2A"),"?","%3F"),'Rules'!$G$7:$G$26,0)),"")</x:f>
      </x:c>
      <x:c r="N1146" s="5" t="str">
        <x:f>IF(COUNTA(A1146:F1146)=0,"",SUBSTITUTE(SUBSTITUTE(SUBSTITUTE(SUBSTITUTE("id:"&amp;A1146,"%","%25"),"~","%7E"),"*","%2A"),"?","%3F"))</x:f>
      </x:c>
    </x:row>
    <x:row r="1147" ht="22" customHeight="1">
      <x:c r="A1147" s="3"/>
      <x:c r="B1147" s="3"/>
      <x:c r="C1147" s="3"/>
      <x:c r="D1147" s="4"/>
      <x:c r="E1147" s="4"/>
      <x:c r="F1147" s="4"/>
      <x:c r="G1147" s="5" t="str">
        <x:f>IF(COUNTA(A1147:F1147)=0,"",IF(K1147&lt;&gt;"","Review",IF(I1147&lt;0,"Overdue",IF(I1147=0,"Due now",IF(I1147&lt;=M1147,"Due soon","Not due")))))</x:f>
      </x:c>
      <x:c r="H1147" s="5" t="str">
        <x:f>IF(OR(COUNTA(A1147:F1147)=0,COUNTIFS('Rules'!$G$7:$G$26,"="&amp;(SUBSTITUTE(SUBSTITUTE(SUBSTITUTE(SUBSTITUTE("type:"&amp;B1147,"%","%25"),"~","%7E"),"*","%2A"),"?","%3F")))&lt;&gt;1),"",IF(OR(INDEX('Rules'!$B$7:$B$26,MATCH(SUBSTITUTE(SUBSTITUTE(SUBSTITUTE(SUBSTITUTE("type:"&amp;B1147,"%","%25"),"~","%7E"),"*","%2A"),"?","%3F"),'Rules'!$G$7:$G$26,0))="hours",INDEX('Rules'!$B$7:$B$26,MATCH(SUBSTITUTE(SUBSTITUTE(SUBSTITUTE(SUBSTITUTE("type:"&amp;B1147,"%","%25"),"~","%7E"),"*","%2A"),"?","%3F"),'Rules'!$G$7:$G$26,0))="km"),INDEX('Rules'!$B$7:$B$26,MATCH(SUBSTITUTE(SUBSTITUTE(SUBSTITUTE(SUBSTITUTE("type:"&amp;B1147,"%","%25"),"~","%7E"),"*","%2A"),"?","%3F"),'Rules'!$G$7:$G$26,0)),""))</x:f>
      </x:c>
      <x:c r="I1147" s="6" t="str">
        <x:f>IF(AND(NOT(COUNTA(A1147:F1147)=0),K1147=""),ROUND(J1147-D1147,3),"")</x:f>
      </x:c>
      <x:c r="J1147" s="6" t="str">
        <x:f>IF(AND(NOT(COUNTA(A1147:F1147)=0),K1147=""),ROUND(F1147+L1147,3),"")</x:f>
      </x:c>
      <x:c r="K1147" s="5" t="str">
        <x:f>IF(COUNTA(A1147:F1147)=0,"",IF(A1147="","Missing equipment ID",IF(COUNTIFS($N$8:$N$2007,"="&amp;N1147)&gt;1,"Duplicate equipment ID",IF(B1147="","Missing type",IF(COUNTIFS('Rules'!$G$7:$G$26,"="&amp;(SUBSTITUTE(SUBSTITUTE(SUBSTITUTE(SUBSTITUTE("type:"&amp;B1147,"%","%25"),"~","%7E"),"*","%2A"),"?","%3F")))=0,"Unknown type",IF(COUNTIFS('Rules'!$G$7:$G$26,"="&amp;(SUBSTITUTE(SUBSTITUTE(SUBSTITUTE(SUBSTITUTE("type:"&amp;B1147,"%","%25"),"~","%7E"),"*","%2A"),"?","%3F")))&gt;1,"Duplicate type",IF(INDEX('Rules'!$F$7:$F$26,MATCH(SUBSTITUTE(SUBSTITUTE(SUBSTITUTE(SUBSTITUTE("type:"&amp;B1147,"%","%25"),"~","%7E"),"*","%2A"),"?","%3F"),'Rules'!$G$7:$G$26,0))&lt;&gt;"",INDEX('Rules'!$F$7:$F$26,MATCH(SUBSTITUTE(SUBSTITUTE(SUBSTITUTE(SUBSTITUTE("type:"&amp;B1147,"%","%25"),"~","%7E"),"*","%2A"),"?","%3F"),'Rules'!$G$7:$G$26,0)),IF(AND(C1147&lt;&gt;"",C1147&lt;&gt;INDEX('Rules'!$B$7:$B$26,MATCH(SUBSTITUTE(SUBSTITUTE(SUBSTITUTE(SUBSTITUTE("type:"&amp;B1147,"%","%25"),"~","%7E"),"*","%2A"),"?","%3F"),'Rules'!$G$7:$G$26,0))),"Unit mismatch",IF(IF(NOT(ISNUMBER(D1147)),TRUE,OR(D1147&lt;0,D1147&gt;999999999,ROUND(D1147,3)&lt;&gt;D1147)),"Invalid current reading",IF(AND(E1147&lt;&gt;"",IF(NOT(ISNUMBER(E1147)),TRUE,OR(E1147&lt;0,E1147&gt;999999999,ROUND(E1147,3)&lt;&gt;E1147))),"Invalid previous reading",IF(IF(NOT(ISNUMBER(F1147)),TRUE,OR(F1147&lt;0,F1147&gt;999999999,ROUND(F1147,3)&lt;&gt;F1147)),"Invalid last service",IF(AND(E1147&lt;&gt;"",D1147&lt;E1147),"Decreased reading",IF(F1147&gt;D1147,"Last service above current","")))))))))))))</x:f>
      </x:c>
      <x:c r="L1147" s="6" t="str">
        <x:f>IF(AND(NOT(COUNTA(A1147:F1147)=0),K1147=""),INDEX('Rules'!$C$7:$C$26,MATCH(SUBSTITUTE(SUBSTITUTE(SUBSTITUTE(SUBSTITUTE("type:"&amp;B1147,"%","%25"),"~","%7E"),"*","%2A"),"?","%3F"),'Rules'!$G$7:$G$26,0)),"")</x:f>
      </x:c>
      <x:c r="M1147" s="6" t="str">
        <x:f>IF(AND(NOT(COUNTA(A1147:F1147)=0),K1147=""),INDEX('Rules'!$D$7:$D$26,MATCH(SUBSTITUTE(SUBSTITUTE(SUBSTITUTE(SUBSTITUTE("type:"&amp;B1147,"%","%25"),"~","%7E"),"*","%2A"),"?","%3F"),'Rules'!$G$7:$G$26,0)),"")</x:f>
      </x:c>
      <x:c r="N1147" s="5" t="str">
        <x:f>IF(COUNTA(A1147:F1147)=0,"",SUBSTITUTE(SUBSTITUTE(SUBSTITUTE(SUBSTITUTE("id:"&amp;A1147,"%","%25"),"~","%7E"),"*","%2A"),"?","%3F"))</x:f>
      </x:c>
    </x:row>
    <x:row r="1148" ht="22" customHeight="1">
      <x:c r="A1148" s="3"/>
      <x:c r="B1148" s="3"/>
      <x:c r="C1148" s="3"/>
      <x:c r="D1148" s="4"/>
      <x:c r="E1148" s="4"/>
      <x:c r="F1148" s="4"/>
      <x:c r="G1148" s="5" t="str">
        <x:f>IF(COUNTA(A1148:F1148)=0,"",IF(K1148&lt;&gt;"","Review",IF(I1148&lt;0,"Overdue",IF(I1148=0,"Due now",IF(I1148&lt;=M1148,"Due soon","Not due")))))</x:f>
      </x:c>
      <x:c r="H1148" s="5" t="str">
        <x:f>IF(OR(COUNTA(A1148:F1148)=0,COUNTIFS('Rules'!$G$7:$G$26,"="&amp;(SUBSTITUTE(SUBSTITUTE(SUBSTITUTE(SUBSTITUTE("type:"&amp;B1148,"%","%25"),"~","%7E"),"*","%2A"),"?","%3F")))&lt;&gt;1),"",IF(OR(INDEX('Rules'!$B$7:$B$26,MATCH(SUBSTITUTE(SUBSTITUTE(SUBSTITUTE(SUBSTITUTE("type:"&amp;B1148,"%","%25"),"~","%7E"),"*","%2A"),"?","%3F"),'Rules'!$G$7:$G$26,0))="hours",INDEX('Rules'!$B$7:$B$26,MATCH(SUBSTITUTE(SUBSTITUTE(SUBSTITUTE(SUBSTITUTE("type:"&amp;B1148,"%","%25"),"~","%7E"),"*","%2A"),"?","%3F"),'Rules'!$G$7:$G$26,0))="km"),INDEX('Rules'!$B$7:$B$26,MATCH(SUBSTITUTE(SUBSTITUTE(SUBSTITUTE(SUBSTITUTE("type:"&amp;B1148,"%","%25"),"~","%7E"),"*","%2A"),"?","%3F"),'Rules'!$G$7:$G$26,0)),""))</x:f>
      </x:c>
      <x:c r="I1148" s="6" t="str">
        <x:f>IF(AND(NOT(COUNTA(A1148:F1148)=0),K1148=""),ROUND(J1148-D1148,3),"")</x:f>
      </x:c>
      <x:c r="J1148" s="6" t="str">
        <x:f>IF(AND(NOT(COUNTA(A1148:F1148)=0),K1148=""),ROUND(F1148+L1148,3),"")</x:f>
      </x:c>
      <x:c r="K1148" s="5" t="str">
        <x:f>IF(COUNTA(A1148:F1148)=0,"",IF(A1148="","Missing equipment ID",IF(COUNTIFS($N$8:$N$2007,"="&amp;N1148)&gt;1,"Duplicate equipment ID",IF(B1148="","Missing type",IF(COUNTIFS('Rules'!$G$7:$G$26,"="&amp;(SUBSTITUTE(SUBSTITUTE(SUBSTITUTE(SUBSTITUTE("type:"&amp;B1148,"%","%25"),"~","%7E"),"*","%2A"),"?","%3F")))=0,"Unknown type",IF(COUNTIFS('Rules'!$G$7:$G$26,"="&amp;(SUBSTITUTE(SUBSTITUTE(SUBSTITUTE(SUBSTITUTE("type:"&amp;B1148,"%","%25"),"~","%7E"),"*","%2A"),"?","%3F")))&gt;1,"Duplicate type",IF(INDEX('Rules'!$F$7:$F$26,MATCH(SUBSTITUTE(SUBSTITUTE(SUBSTITUTE(SUBSTITUTE("type:"&amp;B1148,"%","%25"),"~","%7E"),"*","%2A"),"?","%3F"),'Rules'!$G$7:$G$26,0))&lt;&gt;"",INDEX('Rules'!$F$7:$F$26,MATCH(SUBSTITUTE(SUBSTITUTE(SUBSTITUTE(SUBSTITUTE("type:"&amp;B1148,"%","%25"),"~","%7E"),"*","%2A"),"?","%3F"),'Rules'!$G$7:$G$26,0)),IF(AND(C1148&lt;&gt;"",C1148&lt;&gt;INDEX('Rules'!$B$7:$B$26,MATCH(SUBSTITUTE(SUBSTITUTE(SUBSTITUTE(SUBSTITUTE("type:"&amp;B1148,"%","%25"),"~","%7E"),"*","%2A"),"?","%3F"),'Rules'!$G$7:$G$26,0))),"Unit mismatch",IF(IF(NOT(ISNUMBER(D1148)),TRUE,OR(D1148&lt;0,D1148&gt;999999999,ROUND(D1148,3)&lt;&gt;D1148)),"Invalid current reading",IF(AND(E1148&lt;&gt;"",IF(NOT(ISNUMBER(E1148)),TRUE,OR(E1148&lt;0,E1148&gt;999999999,ROUND(E1148,3)&lt;&gt;E1148))),"Invalid previous reading",IF(IF(NOT(ISNUMBER(F1148)),TRUE,OR(F1148&lt;0,F1148&gt;999999999,ROUND(F1148,3)&lt;&gt;F1148)),"Invalid last service",IF(AND(E1148&lt;&gt;"",D1148&lt;E1148),"Decreased reading",IF(F1148&gt;D1148,"Last service above current","")))))))))))))</x:f>
      </x:c>
      <x:c r="L1148" s="6" t="str">
        <x:f>IF(AND(NOT(COUNTA(A1148:F1148)=0),K1148=""),INDEX('Rules'!$C$7:$C$26,MATCH(SUBSTITUTE(SUBSTITUTE(SUBSTITUTE(SUBSTITUTE("type:"&amp;B1148,"%","%25"),"~","%7E"),"*","%2A"),"?","%3F"),'Rules'!$G$7:$G$26,0)),"")</x:f>
      </x:c>
      <x:c r="M1148" s="6" t="str">
        <x:f>IF(AND(NOT(COUNTA(A1148:F1148)=0),K1148=""),INDEX('Rules'!$D$7:$D$26,MATCH(SUBSTITUTE(SUBSTITUTE(SUBSTITUTE(SUBSTITUTE("type:"&amp;B1148,"%","%25"),"~","%7E"),"*","%2A"),"?","%3F"),'Rules'!$G$7:$G$26,0)),"")</x:f>
      </x:c>
      <x:c r="N1148" s="5" t="str">
        <x:f>IF(COUNTA(A1148:F1148)=0,"",SUBSTITUTE(SUBSTITUTE(SUBSTITUTE(SUBSTITUTE("id:"&amp;A1148,"%","%25"),"~","%7E"),"*","%2A"),"?","%3F"))</x:f>
      </x:c>
    </x:row>
    <x:row r="1149" ht="22" customHeight="1">
      <x:c r="A1149" s="3"/>
      <x:c r="B1149" s="3"/>
      <x:c r="C1149" s="3"/>
      <x:c r="D1149" s="4"/>
      <x:c r="E1149" s="4"/>
      <x:c r="F1149" s="4"/>
      <x:c r="G1149" s="5" t="str">
        <x:f>IF(COUNTA(A1149:F1149)=0,"",IF(K1149&lt;&gt;"","Review",IF(I1149&lt;0,"Overdue",IF(I1149=0,"Due now",IF(I1149&lt;=M1149,"Due soon","Not due")))))</x:f>
      </x:c>
      <x:c r="H1149" s="5" t="str">
        <x:f>IF(OR(COUNTA(A1149:F1149)=0,COUNTIFS('Rules'!$G$7:$G$26,"="&amp;(SUBSTITUTE(SUBSTITUTE(SUBSTITUTE(SUBSTITUTE("type:"&amp;B1149,"%","%25"),"~","%7E"),"*","%2A"),"?","%3F")))&lt;&gt;1),"",IF(OR(INDEX('Rules'!$B$7:$B$26,MATCH(SUBSTITUTE(SUBSTITUTE(SUBSTITUTE(SUBSTITUTE("type:"&amp;B1149,"%","%25"),"~","%7E"),"*","%2A"),"?","%3F"),'Rules'!$G$7:$G$26,0))="hours",INDEX('Rules'!$B$7:$B$26,MATCH(SUBSTITUTE(SUBSTITUTE(SUBSTITUTE(SUBSTITUTE("type:"&amp;B1149,"%","%25"),"~","%7E"),"*","%2A"),"?","%3F"),'Rules'!$G$7:$G$26,0))="km"),INDEX('Rules'!$B$7:$B$26,MATCH(SUBSTITUTE(SUBSTITUTE(SUBSTITUTE(SUBSTITUTE("type:"&amp;B1149,"%","%25"),"~","%7E"),"*","%2A"),"?","%3F"),'Rules'!$G$7:$G$26,0)),""))</x:f>
      </x:c>
      <x:c r="I1149" s="6" t="str">
        <x:f>IF(AND(NOT(COUNTA(A1149:F1149)=0),K1149=""),ROUND(J1149-D1149,3),"")</x:f>
      </x:c>
      <x:c r="J1149" s="6" t="str">
        <x:f>IF(AND(NOT(COUNTA(A1149:F1149)=0),K1149=""),ROUND(F1149+L1149,3),"")</x:f>
      </x:c>
      <x:c r="K1149" s="5" t="str">
        <x:f>IF(COUNTA(A1149:F1149)=0,"",IF(A1149="","Missing equipment ID",IF(COUNTIFS($N$8:$N$2007,"="&amp;N1149)&gt;1,"Duplicate equipment ID",IF(B1149="","Missing type",IF(COUNTIFS('Rules'!$G$7:$G$26,"="&amp;(SUBSTITUTE(SUBSTITUTE(SUBSTITUTE(SUBSTITUTE("type:"&amp;B1149,"%","%25"),"~","%7E"),"*","%2A"),"?","%3F")))=0,"Unknown type",IF(COUNTIFS('Rules'!$G$7:$G$26,"="&amp;(SUBSTITUTE(SUBSTITUTE(SUBSTITUTE(SUBSTITUTE("type:"&amp;B1149,"%","%25"),"~","%7E"),"*","%2A"),"?","%3F")))&gt;1,"Duplicate type",IF(INDEX('Rules'!$F$7:$F$26,MATCH(SUBSTITUTE(SUBSTITUTE(SUBSTITUTE(SUBSTITUTE("type:"&amp;B1149,"%","%25"),"~","%7E"),"*","%2A"),"?","%3F"),'Rules'!$G$7:$G$26,0))&lt;&gt;"",INDEX('Rules'!$F$7:$F$26,MATCH(SUBSTITUTE(SUBSTITUTE(SUBSTITUTE(SUBSTITUTE("type:"&amp;B1149,"%","%25"),"~","%7E"),"*","%2A"),"?","%3F"),'Rules'!$G$7:$G$26,0)),IF(AND(C1149&lt;&gt;"",C1149&lt;&gt;INDEX('Rules'!$B$7:$B$26,MATCH(SUBSTITUTE(SUBSTITUTE(SUBSTITUTE(SUBSTITUTE("type:"&amp;B1149,"%","%25"),"~","%7E"),"*","%2A"),"?","%3F"),'Rules'!$G$7:$G$26,0))),"Unit mismatch",IF(IF(NOT(ISNUMBER(D1149)),TRUE,OR(D1149&lt;0,D1149&gt;999999999,ROUND(D1149,3)&lt;&gt;D1149)),"Invalid current reading",IF(AND(E1149&lt;&gt;"",IF(NOT(ISNUMBER(E1149)),TRUE,OR(E1149&lt;0,E1149&gt;999999999,ROUND(E1149,3)&lt;&gt;E1149))),"Invalid previous reading",IF(IF(NOT(ISNUMBER(F1149)),TRUE,OR(F1149&lt;0,F1149&gt;999999999,ROUND(F1149,3)&lt;&gt;F1149)),"Invalid last service",IF(AND(E1149&lt;&gt;"",D1149&lt;E1149),"Decreased reading",IF(F1149&gt;D1149,"Last service above current","")))))))))))))</x:f>
      </x:c>
      <x:c r="L1149" s="6" t="str">
        <x:f>IF(AND(NOT(COUNTA(A1149:F1149)=0),K1149=""),INDEX('Rules'!$C$7:$C$26,MATCH(SUBSTITUTE(SUBSTITUTE(SUBSTITUTE(SUBSTITUTE("type:"&amp;B1149,"%","%25"),"~","%7E"),"*","%2A"),"?","%3F"),'Rules'!$G$7:$G$26,0)),"")</x:f>
      </x:c>
      <x:c r="M1149" s="6" t="str">
        <x:f>IF(AND(NOT(COUNTA(A1149:F1149)=0),K1149=""),INDEX('Rules'!$D$7:$D$26,MATCH(SUBSTITUTE(SUBSTITUTE(SUBSTITUTE(SUBSTITUTE("type:"&amp;B1149,"%","%25"),"~","%7E"),"*","%2A"),"?","%3F"),'Rules'!$G$7:$G$26,0)),"")</x:f>
      </x:c>
      <x:c r="N1149" s="5" t="str">
        <x:f>IF(COUNTA(A1149:F1149)=0,"",SUBSTITUTE(SUBSTITUTE(SUBSTITUTE(SUBSTITUTE("id:"&amp;A1149,"%","%25"),"~","%7E"),"*","%2A"),"?","%3F"))</x:f>
      </x:c>
    </x:row>
    <x:row r="1150" ht="22" customHeight="1">
      <x:c r="A1150" s="3"/>
      <x:c r="B1150" s="3"/>
      <x:c r="C1150" s="3"/>
      <x:c r="D1150" s="4"/>
      <x:c r="E1150" s="4"/>
      <x:c r="F1150" s="4"/>
      <x:c r="G1150" s="5" t="str">
        <x:f>IF(COUNTA(A1150:F1150)=0,"",IF(K1150&lt;&gt;"","Review",IF(I1150&lt;0,"Overdue",IF(I1150=0,"Due now",IF(I1150&lt;=M1150,"Due soon","Not due")))))</x:f>
      </x:c>
      <x:c r="H1150" s="5" t="str">
        <x:f>IF(OR(COUNTA(A1150:F1150)=0,COUNTIFS('Rules'!$G$7:$G$26,"="&amp;(SUBSTITUTE(SUBSTITUTE(SUBSTITUTE(SUBSTITUTE("type:"&amp;B1150,"%","%25"),"~","%7E"),"*","%2A"),"?","%3F")))&lt;&gt;1),"",IF(OR(INDEX('Rules'!$B$7:$B$26,MATCH(SUBSTITUTE(SUBSTITUTE(SUBSTITUTE(SUBSTITUTE("type:"&amp;B1150,"%","%25"),"~","%7E"),"*","%2A"),"?","%3F"),'Rules'!$G$7:$G$26,0))="hours",INDEX('Rules'!$B$7:$B$26,MATCH(SUBSTITUTE(SUBSTITUTE(SUBSTITUTE(SUBSTITUTE("type:"&amp;B1150,"%","%25"),"~","%7E"),"*","%2A"),"?","%3F"),'Rules'!$G$7:$G$26,0))="km"),INDEX('Rules'!$B$7:$B$26,MATCH(SUBSTITUTE(SUBSTITUTE(SUBSTITUTE(SUBSTITUTE("type:"&amp;B1150,"%","%25"),"~","%7E"),"*","%2A"),"?","%3F"),'Rules'!$G$7:$G$26,0)),""))</x:f>
      </x:c>
      <x:c r="I1150" s="6" t="str">
        <x:f>IF(AND(NOT(COUNTA(A1150:F1150)=0),K1150=""),ROUND(J1150-D1150,3),"")</x:f>
      </x:c>
      <x:c r="J1150" s="6" t="str">
        <x:f>IF(AND(NOT(COUNTA(A1150:F1150)=0),K1150=""),ROUND(F1150+L1150,3),"")</x:f>
      </x:c>
      <x:c r="K1150" s="5" t="str">
        <x:f>IF(COUNTA(A1150:F1150)=0,"",IF(A1150="","Missing equipment ID",IF(COUNTIFS($N$8:$N$2007,"="&amp;N1150)&gt;1,"Duplicate equipment ID",IF(B1150="","Missing type",IF(COUNTIFS('Rules'!$G$7:$G$26,"="&amp;(SUBSTITUTE(SUBSTITUTE(SUBSTITUTE(SUBSTITUTE("type:"&amp;B1150,"%","%25"),"~","%7E"),"*","%2A"),"?","%3F")))=0,"Unknown type",IF(COUNTIFS('Rules'!$G$7:$G$26,"="&amp;(SUBSTITUTE(SUBSTITUTE(SUBSTITUTE(SUBSTITUTE("type:"&amp;B1150,"%","%25"),"~","%7E"),"*","%2A"),"?","%3F")))&gt;1,"Duplicate type",IF(INDEX('Rules'!$F$7:$F$26,MATCH(SUBSTITUTE(SUBSTITUTE(SUBSTITUTE(SUBSTITUTE("type:"&amp;B1150,"%","%25"),"~","%7E"),"*","%2A"),"?","%3F"),'Rules'!$G$7:$G$26,0))&lt;&gt;"",INDEX('Rules'!$F$7:$F$26,MATCH(SUBSTITUTE(SUBSTITUTE(SUBSTITUTE(SUBSTITUTE("type:"&amp;B1150,"%","%25"),"~","%7E"),"*","%2A"),"?","%3F"),'Rules'!$G$7:$G$26,0)),IF(AND(C1150&lt;&gt;"",C1150&lt;&gt;INDEX('Rules'!$B$7:$B$26,MATCH(SUBSTITUTE(SUBSTITUTE(SUBSTITUTE(SUBSTITUTE("type:"&amp;B1150,"%","%25"),"~","%7E"),"*","%2A"),"?","%3F"),'Rules'!$G$7:$G$26,0))),"Unit mismatch",IF(IF(NOT(ISNUMBER(D1150)),TRUE,OR(D1150&lt;0,D1150&gt;999999999,ROUND(D1150,3)&lt;&gt;D1150)),"Invalid current reading",IF(AND(E1150&lt;&gt;"",IF(NOT(ISNUMBER(E1150)),TRUE,OR(E1150&lt;0,E1150&gt;999999999,ROUND(E1150,3)&lt;&gt;E1150))),"Invalid previous reading",IF(IF(NOT(ISNUMBER(F1150)),TRUE,OR(F1150&lt;0,F1150&gt;999999999,ROUND(F1150,3)&lt;&gt;F1150)),"Invalid last service",IF(AND(E1150&lt;&gt;"",D1150&lt;E1150),"Decreased reading",IF(F1150&gt;D1150,"Last service above current","")))))))))))))</x:f>
      </x:c>
      <x:c r="L1150" s="6" t="str">
        <x:f>IF(AND(NOT(COUNTA(A1150:F1150)=0),K1150=""),INDEX('Rules'!$C$7:$C$26,MATCH(SUBSTITUTE(SUBSTITUTE(SUBSTITUTE(SUBSTITUTE("type:"&amp;B1150,"%","%25"),"~","%7E"),"*","%2A"),"?","%3F"),'Rules'!$G$7:$G$26,0)),"")</x:f>
      </x:c>
      <x:c r="M1150" s="6" t="str">
        <x:f>IF(AND(NOT(COUNTA(A1150:F1150)=0),K1150=""),INDEX('Rules'!$D$7:$D$26,MATCH(SUBSTITUTE(SUBSTITUTE(SUBSTITUTE(SUBSTITUTE("type:"&amp;B1150,"%","%25"),"~","%7E"),"*","%2A"),"?","%3F"),'Rules'!$G$7:$G$26,0)),"")</x:f>
      </x:c>
      <x:c r="N1150" s="5" t="str">
        <x:f>IF(COUNTA(A1150:F1150)=0,"",SUBSTITUTE(SUBSTITUTE(SUBSTITUTE(SUBSTITUTE("id:"&amp;A1150,"%","%25"),"~","%7E"),"*","%2A"),"?","%3F"))</x:f>
      </x:c>
    </x:row>
    <x:row r="1151" ht="22" customHeight="1">
      <x:c r="A1151" s="3"/>
      <x:c r="B1151" s="3"/>
      <x:c r="C1151" s="3"/>
      <x:c r="D1151" s="4"/>
      <x:c r="E1151" s="4"/>
      <x:c r="F1151" s="4"/>
      <x:c r="G1151" s="5" t="str">
        <x:f>IF(COUNTA(A1151:F1151)=0,"",IF(K1151&lt;&gt;"","Review",IF(I1151&lt;0,"Overdue",IF(I1151=0,"Due now",IF(I1151&lt;=M1151,"Due soon","Not due")))))</x:f>
      </x:c>
      <x:c r="H1151" s="5" t="str">
        <x:f>IF(OR(COUNTA(A1151:F1151)=0,COUNTIFS('Rules'!$G$7:$G$26,"="&amp;(SUBSTITUTE(SUBSTITUTE(SUBSTITUTE(SUBSTITUTE("type:"&amp;B1151,"%","%25"),"~","%7E"),"*","%2A"),"?","%3F")))&lt;&gt;1),"",IF(OR(INDEX('Rules'!$B$7:$B$26,MATCH(SUBSTITUTE(SUBSTITUTE(SUBSTITUTE(SUBSTITUTE("type:"&amp;B1151,"%","%25"),"~","%7E"),"*","%2A"),"?","%3F"),'Rules'!$G$7:$G$26,0))="hours",INDEX('Rules'!$B$7:$B$26,MATCH(SUBSTITUTE(SUBSTITUTE(SUBSTITUTE(SUBSTITUTE("type:"&amp;B1151,"%","%25"),"~","%7E"),"*","%2A"),"?","%3F"),'Rules'!$G$7:$G$26,0))="km"),INDEX('Rules'!$B$7:$B$26,MATCH(SUBSTITUTE(SUBSTITUTE(SUBSTITUTE(SUBSTITUTE("type:"&amp;B1151,"%","%25"),"~","%7E"),"*","%2A"),"?","%3F"),'Rules'!$G$7:$G$26,0)),""))</x:f>
      </x:c>
      <x:c r="I1151" s="6" t="str">
        <x:f>IF(AND(NOT(COUNTA(A1151:F1151)=0),K1151=""),ROUND(J1151-D1151,3),"")</x:f>
      </x:c>
      <x:c r="J1151" s="6" t="str">
        <x:f>IF(AND(NOT(COUNTA(A1151:F1151)=0),K1151=""),ROUND(F1151+L1151,3),"")</x:f>
      </x:c>
      <x:c r="K1151" s="5" t="str">
        <x:f>IF(COUNTA(A1151:F1151)=0,"",IF(A1151="","Missing equipment ID",IF(COUNTIFS($N$8:$N$2007,"="&amp;N1151)&gt;1,"Duplicate equipment ID",IF(B1151="","Missing type",IF(COUNTIFS('Rules'!$G$7:$G$26,"="&amp;(SUBSTITUTE(SUBSTITUTE(SUBSTITUTE(SUBSTITUTE("type:"&amp;B1151,"%","%25"),"~","%7E"),"*","%2A"),"?","%3F")))=0,"Unknown type",IF(COUNTIFS('Rules'!$G$7:$G$26,"="&amp;(SUBSTITUTE(SUBSTITUTE(SUBSTITUTE(SUBSTITUTE("type:"&amp;B1151,"%","%25"),"~","%7E"),"*","%2A"),"?","%3F")))&gt;1,"Duplicate type",IF(INDEX('Rules'!$F$7:$F$26,MATCH(SUBSTITUTE(SUBSTITUTE(SUBSTITUTE(SUBSTITUTE("type:"&amp;B1151,"%","%25"),"~","%7E"),"*","%2A"),"?","%3F"),'Rules'!$G$7:$G$26,0))&lt;&gt;"",INDEX('Rules'!$F$7:$F$26,MATCH(SUBSTITUTE(SUBSTITUTE(SUBSTITUTE(SUBSTITUTE("type:"&amp;B1151,"%","%25"),"~","%7E"),"*","%2A"),"?","%3F"),'Rules'!$G$7:$G$26,0)),IF(AND(C1151&lt;&gt;"",C1151&lt;&gt;INDEX('Rules'!$B$7:$B$26,MATCH(SUBSTITUTE(SUBSTITUTE(SUBSTITUTE(SUBSTITUTE("type:"&amp;B1151,"%","%25"),"~","%7E"),"*","%2A"),"?","%3F"),'Rules'!$G$7:$G$26,0))),"Unit mismatch",IF(IF(NOT(ISNUMBER(D1151)),TRUE,OR(D1151&lt;0,D1151&gt;999999999,ROUND(D1151,3)&lt;&gt;D1151)),"Invalid current reading",IF(AND(E1151&lt;&gt;"",IF(NOT(ISNUMBER(E1151)),TRUE,OR(E1151&lt;0,E1151&gt;999999999,ROUND(E1151,3)&lt;&gt;E1151))),"Invalid previous reading",IF(IF(NOT(ISNUMBER(F1151)),TRUE,OR(F1151&lt;0,F1151&gt;999999999,ROUND(F1151,3)&lt;&gt;F1151)),"Invalid last service",IF(AND(E1151&lt;&gt;"",D1151&lt;E1151),"Decreased reading",IF(F1151&gt;D1151,"Last service above current","")))))))))))))</x:f>
      </x:c>
      <x:c r="L1151" s="6" t="str">
        <x:f>IF(AND(NOT(COUNTA(A1151:F1151)=0),K1151=""),INDEX('Rules'!$C$7:$C$26,MATCH(SUBSTITUTE(SUBSTITUTE(SUBSTITUTE(SUBSTITUTE("type:"&amp;B1151,"%","%25"),"~","%7E"),"*","%2A"),"?","%3F"),'Rules'!$G$7:$G$26,0)),"")</x:f>
      </x:c>
      <x:c r="M1151" s="6" t="str">
        <x:f>IF(AND(NOT(COUNTA(A1151:F1151)=0),K1151=""),INDEX('Rules'!$D$7:$D$26,MATCH(SUBSTITUTE(SUBSTITUTE(SUBSTITUTE(SUBSTITUTE("type:"&amp;B1151,"%","%25"),"~","%7E"),"*","%2A"),"?","%3F"),'Rules'!$G$7:$G$26,0)),"")</x:f>
      </x:c>
      <x:c r="N1151" s="5" t="str">
        <x:f>IF(COUNTA(A1151:F1151)=0,"",SUBSTITUTE(SUBSTITUTE(SUBSTITUTE(SUBSTITUTE("id:"&amp;A1151,"%","%25"),"~","%7E"),"*","%2A"),"?","%3F"))</x:f>
      </x:c>
    </x:row>
    <x:row r="1152" ht="22" customHeight="1">
      <x:c r="A1152" s="3"/>
      <x:c r="B1152" s="3"/>
      <x:c r="C1152" s="3"/>
      <x:c r="D1152" s="4"/>
      <x:c r="E1152" s="4"/>
      <x:c r="F1152" s="4"/>
      <x:c r="G1152" s="5" t="str">
        <x:f>IF(COUNTA(A1152:F1152)=0,"",IF(K1152&lt;&gt;"","Review",IF(I1152&lt;0,"Overdue",IF(I1152=0,"Due now",IF(I1152&lt;=M1152,"Due soon","Not due")))))</x:f>
      </x:c>
      <x:c r="H1152" s="5" t="str">
        <x:f>IF(OR(COUNTA(A1152:F1152)=0,COUNTIFS('Rules'!$G$7:$G$26,"="&amp;(SUBSTITUTE(SUBSTITUTE(SUBSTITUTE(SUBSTITUTE("type:"&amp;B1152,"%","%25"),"~","%7E"),"*","%2A"),"?","%3F")))&lt;&gt;1),"",IF(OR(INDEX('Rules'!$B$7:$B$26,MATCH(SUBSTITUTE(SUBSTITUTE(SUBSTITUTE(SUBSTITUTE("type:"&amp;B1152,"%","%25"),"~","%7E"),"*","%2A"),"?","%3F"),'Rules'!$G$7:$G$26,0))="hours",INDEX('Rules'!$B$7:$B$26,MATCH(SUBSTITUTE(SUBSTITUTE(SUBSTITUTE(SUBSTITUTE("type:"&amp;B1152,"%","%25"),"~","%7E"),"*","%2A"),"?","%3F"),'Rules'!$G$7:$G$26,0))="km"),INDEX('Rules'!$B$7:$B$26,MATCH(SUBSTITUTE(SUBSTITUTE(SUBSTITUTE(SUBSTITUTE("type:"&amp;B1152,"%","%25"),"~","%7E"),"*","%2A"),"?","%3F"),'Rules'!$G$7:$G$26,0)),""))</x:f>
      </x:c>
      <x:c r="I1152" s="6" t="str">
        <x:f>IF(AND(NOT(COUNTA(A1152:F1152)=0),K1152=""),ROUND(J1152-D1152,3),"")</x:f>
      </x:c>
      <x:c r="J1152" s="6" t="str">
        <x:f>IF(AND(NOT(COUNTA(A1152:F1152)=0),K1152=""),ROUND(F1152+L1152,3),"")</x:f>
      </x:c>
      <x:c r="K1152" s="5" t="str">
        <x:f>IF(COUNTA(A1152:F1152)=0,"",IF(A1152="","Missing equipment ID",IF(COUNTIFS($N$8:$N$2007,"="&amp;N1152)&gt;1,"Duplicate equipment ID",IF(B1152="","Missing type",IF(COUNTIFS('Rules'!$G$7:$G$26,"="&amp;(SUBSTITUTE(SUBSTITUTE(SUBSTITUTE(SUBSTITUTE("type:"&amp;B1152,"%","%25"),"~","%7E"),"*","%2A"),"?","%3F")))=0,"Unknown type",IF(COUNTIFS('Rules'!$G$7:$G$26,"="&amp;(SUBSTITUTE(SUBSTITUTE(SUBSTITUTE(SUBSTITUTE("type:"&amp;B1152,"%","%25"),"~","%7E"),"*","%2A"),"?","%3F")))&gt;1,"Duplicate type",IF(INDEX('Rules'!$F$7:$F$26,MATCH(SUBSTITUTE(SUBSTITUTE(SUBSTITUTE(SUBSTITUTE("type:"&amp;B1152,"%","%25"),"~","%7E"),"*","%2A"),"?","%3F"),'Rules'!$G$7:$G$26,0))&lt;&gt;"",INDEX('Rules'!$F$7:$F$26,MATCH(SUBSTITUTE(SUBSTITUTE(SUBSTITUTE(SUBSTITUTE("type:"&amp;B1152,"%","%25"),"~","%7E"),"*","%2A"),"?","%3F"),'Rules'!$G$7:$G$26,0)),IF(AND(C1152&lt;&gt;"",C1152&lt;&gt;INDEX('Rules'!$B$7:$B$26,MATCH(SUBSTITUTE(SUBSTITUTE(SUBSTITUTE(SUBSTITUTE("type:"&amp;B1152,"%","%25"),"~","%7E"),"*","%2A"),"?","%3F"),'Rules'!$G$7:$G$26,0))),"Unit mismatch",IF(IF(NOT(ISNUMBER(D1152)),TRUE,OR(D1152&lt;0,D1152&gt;999999999,ROUND(D1152,3)&lt;&gt;D1152)),"Invalid current reading",IF(AND(E1152&lt;&gt;"",IF(NOT(ISNUMBER(E1152)),TRUE,OR(E1152&lt;0,E1152&gt;999999999,ROUND(E1152,3)&lt;&gt;E1152))),"Invalid previous reading",IF(IF(NOT(ISNUMBER(F1152)),TRUE,OR(F1152&lt;0,F1152&gt;999999999,ROUND(F1152,3)&lt;&gt;F1152)),"Invalid last service",IF(AND(E1152&lt;&gt;"",D1152&lt;E1152),"Decreased reading",IF(F1152&gt;D1152,"Last service above current","")))))))))))))</x:f>
      </x:c>
      <x:c r="L1152" s="6" t="str">
        <x:f>IF(AND(NOT(COUNTA(A1152:F1152)=0),K1152=""),INDEX('Rules'!$C$7:$C$26,MATCH(SUBSTITUTE(SUBSTITUTE(SUBSTITUTE(SUBSTITUTE("type:"&amp;B1152,"%","%25"),"~","%7E"),"*","%2A"),"?","%3F"),'Rules'!$G$7:$G$26,0)),"")</x:f>
      </x:c>
      <x:c r="M1152" s="6" t="str">
        <x:f>IF(AND(NOT(COUNTA(A1152:F1152)=0),K1152=""),INDEX('Rules'!$D$7:$D$26,MATCH(SUBSTITUTE(SUBSTITUTE(SUBSTITUTE(SUBSTITUTE("type:"&amp;B1152,"%","%25"),"~","%7E"),"*","%2A"),"?","%3F"),'Rules'!$G$7:$G$26,0)),"")</x:f>
      </x:c>
      <x:c r="N1152" s="5" t="str">
        <x:f>IF(COUNTA(A1152:F1152)=0,"",SUBSTITUTE(SUBSTITUTE(SUBSTITUTE(SUBSTITUTE("id:"&amp;A1152,"%","%25"),"~","%7E"),"*","%2A"),"?","%3F"))</x:f>
      </x:c>
    </x:row>
    <x:row r="1153" ht="22" customHeight="1">
      <x:c r="A1153" s="3"/>
      <x:c r="B1153" s="3"/>
      <x:c r="C1153" s="3"/>
      <x:c r="D1153" s="4"/>
      <x:c r="E1153" s="4"/>
      <x:c r="F1153" s="4"/>
      <x:c r="G1153" s="5" t="str">
        <x:f>IF(COUNTA(A1153:F1153)=0,"",IF(K1153&lt;&gt;"","Review",IF(I1153&lt;0,"Overdue",IF(I1153=0,"Due now",IF(I1153&lt;=M1153,"Due soon","Not due")))))</x:f>
      </x:c>
      <x:c r="H1153" s="5" t="str">
        <x:f>IF(OR(COUNTA(A1153:F1153)=0,COUNTIFS('Rules'!$G$7:$G$26,"="&amp;(SUBSTITUTE(SUBSTITUTE(SUBSTITUTE(SUBSTITUTE("type:"&amp;B1153,"%","%25"),"~","%7E"),"*","%2A"),"?","%3F")))&lt;&gt;1),"",IF(OR(INDEX('Rules'!$B$7:$B$26,MATCH(SUBSTITUTE(SUBSTITUTE(SUBSTITUTE(SUBSTITUTE("type:"&amp;B1153,"%","%25"),"~","%7E"),"*","%2A"),"?","%3F"),'Rules'!$G$7:$G$26,0))="hours",INDEX('Rules'!$B$7:$B$26,MATCH(SUBSTITUTE(SUBSTITUTE(SUBSTITUTE(SUBSTITUTE("type:"&amp;B1153,"%","%25"),"~","%7E"),"*","%2A"),"?","%3F"),'Rules'!$G$7:$G$26,0))="km"),INDEX('Rules'!$B$7:$B$26,MATCH(SUBSTITUTE(SUBSTITUTE(SUBSTITUTE(SUBSTITUTE("type:"&amp;B1153,"%","%25"),"~","%7E"),"*","%2A"),"?","%3F"),'Rules'!$G$7:$G$26,0)),""))</x:f>
      </x:c>
      <x:c r="I1153" s="6" t="str">
        <x:f>IF(AND(NOT(COUNTA(A1153:F1153)=0),K1153=""),ROUND(J1153-D1153,3),"")</x:f>
      </x:c>
      <x:c r="J1153" s="6" t="str">
        <x:f>IF(AND(NOT(COUNTA(A1153:F1153)=0),K1153=""),ROUND(F1153+L1153,3),"")</x:f>
      </x:c>
      <x:c r="K1153" s="5" t="str">
        <x:f>IF(COUNTA(A1153:F1153)=0,"",IF(A1153="","Missing equipment ID",IF(COUNTIFS($N$8:$N$2007,"="&amp;N1153)&gt;1,"Duplicate equipment ID",IF(B1153="","Missing type",IF(COUNTIFS('Rules'!$G$7:$G$26,"="&amp;(SUBSTITUTE(SUBSTITUTE(SUBSTITUTE(SUBSTITUTE("type:"&amp;B1153,"%","%25"),"~","%7E"),"*","%2A"),"?","%3F")))=0,"Unknown type",IF(COUNTIFS('Rules'!$G$7:$G$26,"="&amp;(SUBSTITUTE(SUBSTITUTE(SUBSTITUTE(SUBSTITUTE("type:"&amp;B1153,"%","%25"),"~","%7E"),"*","%2A"),"?","%3F")))&gt;1,"Duplicate type",IF(INDEX('Rules'!$F$7:$F$26,MATCH(SUBSTITUTE(SUBSTITUTE(SUBSTITUTE(SUBSTITUTE("type:"&amp;B1153,"%","%25"),"~","%7E"),"*","%2A"),"?","%3F"),'Rules'!$G$7:$G$26,0))&lt;&gt;"",INDEX('Rules'!$F$7:$F$26,MATCH(SUBSTITUTE(SUBSTITUTE(SUBSTITUTE(SUBSTITUTE("type:"&amp;B1153,"%","%25"),"~","%7E"),"*","%2A"),"?","%3F"),'Rules'!$G$7:$G$26,0)),IF(AND(C1153&lt;&gt;"",C1153&lt;&gt;INDEX('Rules'!$B$7:$B$26,MATCH(SUBSTITUTE(SUBSTITUTE(SUBSTITUTE(SUBSTITUTE("type:"&amp;B1153,"%","%25"),"~","%7E"),"*","%2A"),"?","%3F"),'Rules'!$G$7:$G$26,0))),"Unit mismatch",IF(IF(NOT(ISNUMBER(D1153)),TRUE,OR(D1153&lt;0,D1153&gt;999999999,ROUND(D1153,3)&lt;&gt;D1153)),"Invalid current reading",IF(AND(E1153&lt;&gt;"",IF(NOT(ISNUMBER(E1153)),TRUE,OR(E1153&lt;0,E1153&gt;999999999,ROUND(E1153,3)&lt;&gt;E1153))),"Invalid previous reading",IF(IF(NOT(ISNUMBER(F1153)),TRUE,OR(F1153&lt;0,F1153&gt;999999999,ROUND(F1153,3)&lt;&gt;F1153)),"Invalid last service",IF(AND(E1153&lt;&gt;"",D1153&lt;E1153),"Decreased reading",IF(F1153&gt;D1153,"Last service above current","")))))))))))))</x:f>
      </x:c>
      <x:c r="L1153" s="6" t="str">
        <x:f>IF(AND(NOT(COUNTA(A1153:F1153)=0),K1153=""),INDEX('Rules'!$C$7:$C$26,MATCH(SUBSTITUTE(SUBSTITUTE(SUBSTITUTE(SUBSTITUTE("type:"&amp;B1153,"%","%25"),"~","%7E"),"*","%2A"),"?","%3F"),'Rules'!$G$7:$G$26,0)),"")</x:f>
      </x:c>
      <x:c r="M1153" s="6" t="str">
        <x:f>IF(AND(NOT(COUNTA(A1153:F1153)=0),K1153=""),INDEX('Rules'!$D$7:$D$26,MATCH(SUBSTITUTE(SUBSTITUTE(SUBSTITUTE(SUBSTITUTE("type:"&amp;B1153,"%","%25"),"~","%7E"),"*","%2A"),"?","%3F"),'Rules'!$G$7:$G$26,0)),"")</x:f>
      </x:c>
      <x:c r="N1153" s="5" t="str">
        <x:f>IF(COUNTA(A1153:F1153)=0,"",SUBSTITUTE(SUBSTITUTE(SUBSTITUTE(SUBSTITUTE("id:"&amp;A1153,"%","%25"),"~","%7E"),"*","%2A"),"?","%3F"))</x:f>
      </x:c>
    </x:row>
    <x:row r="1154" ht="22" customHeight="1">
      <x:c r="A1154" s="3"/>
      <x:c r="B1154" s="3"/>
      <x:c r="C1154" s="3"/>
      <x:c r="D1154" s="4"/>
      <x:c r="E1154" s="4"/>
      <x:c r="F1154" s="4"/>
      <x:c r="G1154" s="5" t="str">
        <x:f>IF(COUNTA(A1154:F1154)=0,"",IF(K1154&lt;&gt;"","Review",IF(I1154&lt;0,"Overdue",IF(I1154=0,"Due now",IF(I1154&lt;=M1154,"Due soon","Not due")))))</x:f>
      </x:c>
      <x:c r="H1154" s="5" t="str">
        <x:f>IF(OR(COUNTA(A1154:F1154)=0,COUNTIFS('Rules'!$G$7:$G$26,"="&amp;(SUBSTITUTE(SUBSTITUTE(SUBSTITUTE(SUBSTITUTE("type:"&amp;B1154,"%","%25"),"~","%7E"),"*","%2A"),"?","%3F")))&lt;&gt;1),"",IF(OR(INDEX('Rules'!$B$7:$B$26,MATCH(SUBSTITUTE(SUBSTITUTE(SUBSTITUTE(SUBSTITUTE("type:"&amp;B1154,"%","%25"),"~","%7E"),"*","%2A"),"?","%3F"),'Rules'!$G$7:$G$26,0))="hours",INDEX('Rules'!$B$7:$B$26,MATCH(SUBSTITUTE(SUBSTITUTE(SUBSTITUTE(SUBSTITUTE("type:"&amp;B1154,"%","%25"),"~","%7E"),"*","%2A"),"?","%3F"),'Rules'!$G$7:$G$26,0))="km"),INDEX('Rules'!$B$7:$B$26,MATCH(SUBSTITUTE(SUBSTITUTE(SUBSTITUTE(SUBSTITUTE("type:"&amp;B1154,"%","%25"),"~","%7E"),"*","%2A"),"?","%3F"),'Rules'!$G$7:$G$26,0)),""))</x:f>
      </x:c>
      <x:c r="I1154" s="6" t="str">
        <x:f>IF(AND(NOT(COUNTA(A1154:F1154)=0),K1154=""),ROUND(J1154-D1154,3),"")</x:f>
      </x:c>
      <x:c r="J1154" s="6" t="str">
        <x:f>IF(AND(NOT(COUNTA(A1154:F1154)=0),K1154=""),ROUND(F1154+L1154,3),"")</x:f>
      </x:c>
      <x:c r="K1154" s="5" t="str">
        <x:f>IF(COUNTA(A1154:F1154)=0,"",IF(A1154="","Missing equipment ID",IF(COUNTIFS($N$8:$N$2007,"="&amp;N1154)&gt;1,"Duplicate equipment ID",IF(B1154="","Missing type",IF(COUNTIFS('Rules'!$G$7:$G$26,"="&amp;(SUBSTITUTE(SUBSTITUTE(SUBSTITUTE(SUBSTITUTE("type:"&amp;B1154,"%","%25"),"~","%7E"),"*","%2A"),"?","%3F")))=0,"Unknown type",IF(COUNTIFS('Rules'!$G$7:$G$26,"="&amp;(SUBSTITUTE(SUBSTITUTE(SUBSTITUTE(SUBSTITUTE("type:"&amp;B1154,"%","%25"),"~","%7E"),"*","%2A"),"?","%3F")))&gt;1,"Duplicate type",IF(INDEX('Rules'!$F$7:$F$26,MATCH(SUBSTITUTE(SUBSTITUTE(SUBSTITUTE(SUBSTITUTE("type:"&amp;B1154,"%","%25"),"~","%7E"),"*","%2A"),"?","%3F"),'Rules'!$G$7:$G$26,0))&lt;&gt;"",INDEX('Rules'!$F$7:$F$26,MATCH(SUBSTITUTE(SUBSTITUTE(SUBSTITUTE(SUBSTITUTE("type:"&amp;B1154,"%","%25"),"~","%7E"),"*","%2A"),"?","%3F"),'Rules'!$G$7:$G$26,0)),IF(AND(C1154&lt;&gt;"",C1154&lt;&gt;INDEX('Rules'!$B$7:$B$26,MATCH(SUBSTITUTE(SUBSTITUTE(SUBSTITUTE(SUBSTITUTE("type:"&amp;B1154,"%","%25"),"~","%7E"),"*","%2A"),"?","%3F"),'Rules'!$G$7:$G$26,0))),"Unit mismatch",IF(IF(NOT(ISNUMBER(D1154)),TRUE,OR(D1154&lt;0,D1154&gt;999999999,ROUND(D1154,3)&lt;&gt;D1154)),"Invalid current reading",IF(AND(E1154&lt;&gt;"",IF(NOT(ISNUMBER(E1154)),TRUE,OR(E1154&lt;0,E1154&gt;999999999,ROUND(E1154,3)&lt;&gt;E1154))),"Invalid previous reading",IF(IF(NOT(ISNUMBER(F1154)),TRUE,OR(F1154&lt;0,F1154&gt;999999999,ROUND(F1154,3)&lt;&gt;F1154)),"Invalid last service",IF(AND(E1154&lt;&gt;"",D1154&lt;E1154),"Decreased reading",IF(F1154&gt;D1154,"Last service above current","")))))))))))))</x:f>
      </x:c>
      <x:c r="L1154" s="6" t="str">
        <x:f>IF(AND(NOT(COUNTA(A1154:F1154)=0),K1154=""),INDEX('Rules'!$C$7:$C$26,MATCH(SUBSTITUTE(SUBSTITUTE(SUBSTITUTE(SUBSTITUTE("type:"&amp;B1154,"%","%25"),"~","%7E"),"*","%2A"),"?","%3F"),'Rules'!$G$7:$G$26,0)),"")</x:f>
      </x:c>
      <x:c r="M1154" s="6" t="str">
        <x:f>IF(AND(NOT(COUNTA(A1154:F1154)=0),K1154=""),INDEX('Rules'!$D$7:$D$26,MATCH(SUBSTITUTE(SUBSTITUTE(SUBSTITUTE(SUBSTITUTE("type:"&amp;B1154,"%","%25"),"~","%7E"),"*","%2A"),"?","%3F"),'Rules'!$G$7:$G$26,0)),"")</x:f>
      </x:c>
      <x:c r="N1154" s="5" t="str">
        <x:f>IF(COUNTA(A1154:F1154)=0,"",SUBSTITUTE(SUBSTITUTE(SUBSTITUTE(SUBSTITUTE("id:"&amp;A1154,"%","%25"),"~","%7E"),"*","%2A"),"?","%3F"))</x:f>
      </x:c>
    </x:row>
    <x:row r="1155" ht="22" customHeight="1">
      <x:c r="A1155" s="3"/>
      <x:c r="B1155" s="3"/>
      <x:c r="C1155" s="3"/>
      <x:c r="D1155" s="4"/>
      <x:c r="E1155" s="4"/>
      <x:c r="F1155" s="4"/>
      <x:c r="G1155" s="5" t="str">
        <x:f>IF(COUNTA(A1155:F1155)=0,"",IF(K1155&lt;&gt;"","Review",IF(I1155&lt;0,"Overdue",IF(I1155=0,"Due now",IF(I1155&lt;=M1155,"Due soon","Not due")))))</x:f>
      </x:c>
      <x:c r="H1155" s="5" t="str">
        <x:f>IF(OR(COUNTA(A1155:F1155)=0,COUNTIFS('Rules'!$G$7:$G$26,"="&amp;(SUBSTITUTE(SUBSTITUTE(SUBSTITUTE(SUBSTITUTE("type:"&amp;B1155,"%","%25"),"~","%7E"),"*","%2A"),"?","%3F")))&lt;&gt;1),"",IF(OR(INDEX('Rules'!$B$7:$B$26,MATCH(SUBSTITUTE(SUBSTITUTE(SUBSTITUTE(SUBSTITUTE("type:"&amp;B1155,"%","%25"),"~","%7E"),"*","%2A"),"?","%3F"),'Rules'!$G$7:$G$26,0))="hours",INDEX('Rules'!$B$7:$B$26,MATCH(SUBSTITUTE(SUBSTITUTE(SUBSTITUTE(SUBSTITUTE("type:"&amp;B1155,"%","%25"),"~","%7E"),"*","%2A"),"?","%3F"),'Rules'!$G$7:$G$26,0))="km"),INDEX('Rules'!$B$7:$B$26,MATCH(SUBSTITUTE(SUBSTITUTE(SUBSTITUTE(SUBSTITUTE("type:"&amp;B1155,"%","%25"),"~","%7E"),"*","%2A"),"?","%3F"),'Rules'!$G$7:$G$26,0)),""))</x:f>
      </x:c>
      <x:c r="I1155" s="6" t="str">
        <x:f>IF(AND(NOT(COUNTA(A1155:F1155)=0),K1155=""),ROUND(J1155-D1155,3),"")</x:f>
      </x:c>
      <x:c r="J1155" s="6" t="str">
        <x:f>IF(AND(NOT(COUNTA(A1155:F1155)=0),K1155=""),ROUND(F1155+L1155,3),"")</x:f>
      </x:c>
      <x:c r="K1155" s="5" t="str">
        <x:f>IF(COUNTA(A1155:F1155)=0,"",IF(A1155="","Missing equipment ID",IF(COUNTIFS($N$8:$N$2007,"="&amp;N1155)&gt;1,"Duplicate equipment ID",IF(B1155="","Missing type",IF(COUNTIFS('Rules'!$G$7:$G$26,"="&amp;(SUBSTITUTE(SUBSTITUTE(SUBSTITUTE(SUBSTITUTE("type:"&amp;B1155,"%","%25"),"~","%7E"),"*","%2A"),"?","%3F")))=0,"Unknown type",IF(COUNTIFS('Rules'!$G$7:$G$26,"="&amp;(SUBSTITUTE(SUBSTITUTE(SUBSTITUTE(SUBSTITUTE("type:"&amp;B1155,"%","%25"),"~","%7E"),"*","%2A"),"?","%3F")))&gt;1,"Duplicate type",IF(INDEX('Rules'!$F$7:$F$26,MATCH(SUBSTITUTE(SUBSTITUTE(SUBSTITUTE(SUBSTITUTE("type:"&amp;B1155,"%","%25"),"~","%7E"),"*","%2A"),"?","%3F"),'Rules'!$G$7:$G$26,0))&lt;&gt;"",INDEX('Rules'!$F$7:$F$26,MATCH(SUBSTITUTE(SUBSTITUTE(SUBSTITUTE(SUBSTITUTE("type:"&amp;B1155,"%","%25"),"~","%7E"),"*","%2A"),"?","%3F"),'Rules'!$G$7:$G$26,0)),IF(AND(C1155&lt;&gt;"",C1155&lt;&gt;INDEX('Rules'!$B$7:$B$26,MATCH(SUBSTITUTE(SUBSTITUTE(SUBSTITUTE(SUBSTITUTE("type:"&amp;B1155,"%","%25"),"~","%7E"),"*","%2A"),"?","%3F"),'Rules'!$G$7:$G$26,0))),"Unit mismatch",IF(IF(NOT(ISNUMBER(D1155)),TRUE,OR(D1155&lt;0,D1155&gt;999999999,ROUND(D1155,3)&lt;&gt;D1155)),"Invalid current reading",IF(AND(E1155&lt;&gt;"",IF(NOT(ISNUMBER(E1155)),TRUE,OR(E1155&lt;0,E1155&gt;999999999,ROUND(E1155,3)&lt;&gt;E1155))),"Invalid previous reading",IF(IF(NOT(ISNUMBER(F1155)),TRUE,OR(F1155&lt;0,F1155&gt;999999999,ROUND(F1155,3)&lt;&gt;F1155)),"Invalid last service",IF(AND(E1155&lt;&gt;"",D1155&lt;E1155),"Decreased reading",IF(F1155&gt;D1155,"Last service above current","")))))))))))))</x:f>
      </x:c>
      <x:c r="L1155" s="6" t="str">
        <x:f>IF(AND(NOT(COUNTA(A1155:F1155)=0),K1155=""),INDEX('Rules'!$C$7:$C$26,MATCH(SUBSTITUTE(SUBSTITUTE(SUBSTITUTE(SUBSTITUTE("type:"&amp;B1155,"%","%25"),"~","%7E"),"*","%2A"),"?","%3F"),'Rules'!$G$7:$G$26,0)),"")</x:f>
      </x:c>
      <x:c r="M1155" s="6" t="str">
        <x:f>IF(AND(NOT(COUNTA(A1155:F1155)=0),K1155=""),INDEX('Rules'!$D$7:$D$26,MATCH(SUBSTITUTE(SUBSTITUTE(SUBSTITUTE(SUBSTITUTE("type:"&amp;B1155,"%","%25"),"~","%7E"),"*","%2A"),"?","%3F"),'Rules'!$G$7:$G$26,0)),"")</x:f>
      </x:c>
      <x:c r="N1155" s="5" t="str">
        <x:f>IF(COUNTA(A1155:F1155)=0,"",SUBSTITUTE(SUBSTITUTE(SUBSTITUTE(SUBSTITUTE("id:"&amp;A1155,"%","%25"),"~","%7E"),"*","%2A"),"?","%3F"))</x:f>
      </x:c>
    </x:row>
    <x:row r="1156" ht="22" customHeight="1">
      <x:c r="A1156" s="3"/>
      <x:c r="B1156" s="3"/>
      <x:c r="C1156" s="3"/>
      <x:c r="D1156" s="4"/>
      <x:c r="E1156" s="4"/>
      <x:c r="F1156" s="4"/>
      <x:c r="G1156" s="5" t="str">
        <x:f>IF(COUNTA(A1156:F1156)=0,"",IF(K1156&lt;&gt;"","Review",IF(I1156&lt;0,"Overdue",IF(I1156=0,"Due now",IF(I1156&lt;=M1156,"Due soon","Not due")))))</x:f>
      </x:c>
      <x:c r="H1156" s="5" t="str">
        <x:f>IF(OR(COUNTA(A1156:F1156)=0,COUNTIFS('Rules'!$G$7:$G$26,"="&amp;(SUBSTITUTE(SUBSTITUTE(SUBSTITUTE(SUBSTITUTE("type:"&amp;B1156,"%","%25"),"~","%7E"),"*","%2A"),"?","%3F")))&lt;&gt;1),"",IF(OR(INDEX('Rules'!$B$7:$B$26,MATCH(SUBSTITUTE(SUBSTITUTE(SUBSTITUTE(SUBSTITUTE("type:"&amp;B1156,"%","%25"),"~","%7E"),"*","%2A"),"?","%3F"),'Rules'!$G$7:$G$26,0))="hours",INDEX('Rules'!$B$7:$B$26,MATCH(SUBSTITUTE(SUBSTITUTE(SUBSTITUTE(SUBSTITUTE("type:"&amp;B1156,"%","%25"),"~","%7E"),"*","%2A"),"?","%3F"),'Rules'!$G$7:$G$26,0))="km"),INDEX('Rules'!$B$7:$B$26,MATCH(SUBSTITUTE(SUBSTITUTE(SUBSTITUTE(SUBSTITUTE("type:"&amp;B1156,"%","%25"),"~","%7E"),"*","%2A"),"?","%3F"),'Rules'!$G$7:$G$26,0)),""))</x:f>
      </x:c>
      <x:c r="I1156" s="6" t="str">
        <x:f>IF(AND(NOT(COUNTA(A1156:F1156)=0),K1156=""),ROUND(J1156-D1156,3),"")</x:f>
      </x:c>
      <x:c r="J1156" s="6" t="str">
        <x:f>IF(AND(NOT(COUNTA(A1156:F1156)=0),K1156=""),ROUND(F1156+L1156,3),"")</x:f>
      </x:c>
      <x:c r="K1156" s="5" t="str">
        <x:f>IF(COUNTA(A1156:F1156)=0,"",IF(A1156="","Missing equipment ID",IF(COUNTIFS($N$8:$N$2007,"="&amp;N1156)&gt;1,"Duplicate equipment ID",IF(B1156="","Missing type",IF(COUNTIFS('Rules'!$G$7:$G$26,"="&amp;(SUBSTITUTE(SUBSTITUTE(SUBSTITUTE(SUBSTITUTE("type:"&amp;B1156,"%","%25"),"~","%7E"),"*","%2A"),"?","%3F")))=0,"Unknown type",IF(COUNTIFS('Rules'!$G$7:$G$26,"="&amp;(SUBSTITUTE(SUBSTITUTE(SUBSTITUTE(SUBSTITUTE("type:"&amp;B1156,"%","%25"),"~","%7E"),"*","%2A"),"?","%3F")))&gt;1,"Duplicate type",IF(INDEX('Rules'!$F$7:$F$26,MATCH(SUBSTITUTE(SUBSTITUTE(SUBSTITUTE(SUBSTITUTE("type:"&amp;B1156,"%","%25"),"~","%7E"),"*","%2A"),"?","%3F"),'Rules'!$G$7:$G$26,0))&lt;&gt;"",INDEX('Rules'!$F$7:$F$26,MATCH(SUBSTITUTE(SUBSTITUTE(SUBSTITUTE(SUBSTITUTE("type:"&amp;B1156,"%","%25"),"~","%7E"),"*","%2A"),"?","%3F"),'Rules'!$G$7:$G$26,0)),IF(AND(C1156&lt;&gt;"",C1156&lt;&gt;INDEX('Rules'!$B$7:$B$26,MATCH(SUBSTITUTE(SUBSTITUTE(SUBSTITUTE(SUBSTITUTE("type:"&amp;B1156,"%","%25"),"~","%7E"),"*","%2A"),"?","%3F"),'Rules'!$G$7:$G$26,0))),"Unit mismatch",IF(IF(NOT(ISNUMBER(D1156)),TRUE,OR(D1156&lt;0,D1156&gt;999999999,ROUND(D1156,3)&lt;&gt;D1156)),"Invalid current reading",IF(AND(E1156&lt;&gt;"",IF(NOT(ISNUMBER(E1156)),TRUE,OR(E1156&lt;0,E1156&gt;999999999,ROUND(E1156,3)&lt;&gt;E1156))),"Invalid previous reading",IF(IF(NOT(ISNUMBER(F1156)),TRUE,OR(F1156&lt;0,F1156&gt;999999999,ROUND(F1156,3)&lt;&gt;F1156)),"Invalid last service",IF(AND(E1156&lt;&gt;"",D1156&lt;E1156),"Decreased reading",IF(F1156&gt;D1156,"Last service above current","")))))))))))))</x:f>
      </x:c>
      <x:c r="L1156" s="6" t="str">
        <x:f>IF(AND(NOT(COUNTA(A1156:F1156)=0),K1156=""),INDEX('Rules'!$C$7:$C$26,MATCH(SUBSTITUTE(SUBSTITUTE(SUBSTITUTE(SUBSTITUTE("type:"&amp;B1156,"%","%25"),"~","%7E"),"*","%2A"),"?","%3F"),'Rules'!$G$7:$G$26,0)),"")</x:f>
      </x:c>
      <x:c r="M1156" s="6" t="str">
        <x:f>IF(AND(NOT(COUNTA(A1156:F1156)=0),K1156=""),INDEX('Rules'!$D$7:$D$26,MATCH(SUBSTITUTE(SUBSTITUTE(SUBSTITUTE(SUBSTITUTE("type:"&amp;B1156,"%","%25"),"~","%7E"),"*","%2A"),"?","%3F"),'Rules'!$G$7:$G$26,0)),"")</x:f>
      </x:c>
      <x:c r="N1156" s="5" t="str">
        <x:f>IF(COUNTA(A1156:F1156)=0,"",SUBSTITUTE(SUBSTITUTE(SUBSTITUTE(SUBSTITUTE("id:"&amp;A1156,"%","%25"),"~","%7E"),"*","%2A"),"?","%3F"))</x:f>
      </x:c>
    </x:row>
    <x:row r="1157" ht="22" customHeight="1">
      <x:c r="A1157" s="3"/>
      <x:c r="B1157" s="3"/>
      <x:c r="C1157" s="3"/>
      <x:c r="D1157" s="4"/>
      <x:c r="E1157" s="4"/>
      <x:c r="F1157" s="4"/>
      <x:c r="G1157" s="5" t="str">
        <x:f>IF(COUNTA(A1157:F1157)=0,"",IF(K1157&lt;&gt;"","Review",IF(I1157&lt;0,"Overdue",IF(I1157=0,"Due now",IF(I1157&lt;=M1157,"Due soon","Not due")))))</x:f>
      </x:c>
      <x:c r="H1157" s="5" t="str">
        <x:f>IF(OR(COUNTA(A1157:F1157)=0,COUNTIFS('Rules'!$G$7:$G$26,"="&amp;(SUBSTITUTE(SUBSTITUTE(SUBSTITUTE(SUBSTITUTE("type:"&amp;B1157,"%","%25"),"~","%7E"),"*","%2A"),"?","%3F")))&lt;&gt;1),"",IF(OR(INDEX('Rules'!$B$7:$B$26,MATCH(SUBSTITUTE(SUBSTITUTE(SUBSTITUTE(SUBSTITUTE("type:"&amp;B1157,"%","%25"),"~","%7E"),"*","%2A"),"?","%3F"),'Rules'!$G$7:$G$26,0))="hours",INDEX('Rules'!$B$7:$B$26,MATCH(SUBSTITUTE(SUBSTITUTE(SUBSTITUTE(SUBSTITUTE("type:"&amp;B1157,"%","%25"),"~","%7E"),"*","%2A"),"?","%3F"),'Rules'!$G$7:$G$26,0))="km"),INDEX('Rules'!$B$7:$B$26,MATCH(SUBSTITUTE(SUBSTITUTE(SUBSTITUTE(SUBSTITUTE("type:"&amp;B1157,"%","%25"),"~","%7E"),"*","%2A"),"?","%3F"),'Rules'!$G$7:$G$26,0)),""))</x:f>
      </x:c>
      <x:c r="I1157" s="6" t="str">
        <x:f>IF(AND(NOT(COUNTA(A1157:F1157)=0),K1157=""),ROUND(J1157-D1157,3),"")</x:f>
      </x:c>
      <x:c r="J1157" s="6" t="str">
        <x:f>IF(AND(NOT(COUNTA(A1157:F1157)=0),K1157=""),ROUND(F1157+L1157,3),"")</x:f>
      </x:c>
      <x:c r="K1157" s="5" t="str">
        <x:f>IF(COUNTA(A1157:F1157)=0,"",IF(A1157="","Missing equipment ID",IF(COUNTIFS($N$8:$N$2007,"="&amp;N1157)&gt;1,"Duplicate equipment ID",IF(B1157="","Missing type",IF(COUNTIFS('Rules'!$G$7:$G$26,"="&amp;(SUBSTITUTE(SUBSTITUTE(SUBSTITUTE(SUBSTITUTE("type:"&amp;B1157,"%","%25"),"~","%7E"),"*","%2A"),"?","%3F")))=0,"Unknown type",IF(COUNTIFS('Rules'!$G$7:$G$26,"="&amp;(SUBSTITUTE(SUBSTITUTE(SUBSTITUTE(SUBSTITUTE("type:"&amp;B1157,"%","%25"),"~","%7E"),"*","%2A"),"?","%3F")))&gt;1,"Duplicate type",IF(INDEX('Rules'!$F$7:$F$26,MATCH(SUBSTITUTE(SUBSTITUTE(SUBSTITUTE(SUBSTITUTE("type:"&amp;B1157,"%","%25"),"~","%7E"),"*","%2A"),"?","%3F"),'Rules'!$G$7:$G$26,0))&lt;&gt;"",INDEX('Rules'!$F$7:$F$26,MATCH(SUBSTITUTE(SUBSTITUTE(SUBSTITUTE(SUBSTITUTE("type:"&amp;B1157,"%","%25"),"~","%7E"),"*","%2A"),"?","%3F"),'Rules'!$G$7:$G$26,0)),IF(AND(C1157&lt;&gt;"",C1157&lt;&gt;INDEX('Rules'!$B$7:$B$26,MATCH(SUBSTITUTE(SUBSTITUTE(SUBSTITUTE(SUBSTITUTE("type:"&amp;B1157,"%","%25"),"~","%7E"),"*","%2A"),"?","%3F"),'Rules'!$G$7:$G$26,0))),"Unit mismatch",IF(IF(NOT(ISNUMBER(D1157)),TRUE,OR(D1157&lt;0,D1157&gt;999999999,ROUND(D1157,3)&lt;&gt;D1157)),"Invalid current reading",IF(AND(E1157&lt;&gt;"",IF(NOT(ISNUMBER(E1157)),TRUE,OR(E1157&lt;0,E1157&gt;999999999,ROUND(E1157,3)&lt;&gt;E1157))),"Invalid previous reading",IF(IF(NOT(ISNUMBER(F1157)),TRUE,OR(F1157&lt;0,F1157&gt;999999999,ROUND(F1157,3)&lt;&gt;F1157)),"Invalid last service",IF(AND(E1157&lt;&gt;"",D1157&lt;E1157),"Decreased reading",IF(F1157&gt;D1157,"Last service above current","")))))))))))))</x:f>
      </x:c>
      <x:c r="L1157" s="6" t="str">
        <x:f>IF(AND(NOT(COUNTA(A1157:F1157)=0),K1157=""),INDEX('Rules'!$C$7:$C$26,MATCH(SUBSTITUTE(SUBSTITUTE(SUBSTITUTE(SUBSTITUTE("type:"&amp;B1157,"%","%25"),"~","%7E"),"*","%2A"),"?","%3F"),'Rules'!$G$7:$G$26,0)),"")</x:f>
      </x:c>
      <x:c r="M1157" s="6" t="str">
        <x:f>IF(AND(NOT(COUNTA(A1157:F1157)=0),K1157=""),INDEX('Rules'!$D$7:$D$26,MATCH(SUBSTITUTE(SUBSTITUTE(SUBSTITUTE(SUBSTITUTE("type:"&amp;B1157,"%","%25"),"~","%7E"),"*","%2A"),"?","%3F"),'Rules'!$G$7:$G$26,0)),"")</x:f>
      </x:c>
      <x:c r="N1157" s="5" t="str">
        <x:f>IF(COUNTA(A1157:F1157)=0,"",SUBSTITUTE(SUBSTITUTE(SUBSTITUTE(SUBSTITUTE("id:"&amp;A1157,"%","%25"),"~","%7E"),"*","%2A"),"?","%3F"))</x:f>
      </x:c>
    </x:row>
    <x:row r="1158" ht="22" customHeight="1">
      <x:c r="A1158" s="3"/>
      <x:c r="B1158" s="3"/>
      <x:c r="C1158" s="3"/>
      <x:c r="D1158" s="4"/>
      <x:c r="E1158" s="4"/>
      <x:c r="F1158" s="4"/>
      <x:c r="G1158" s="5" t="str">
        <x:f>IF(COUNTA(A1158:F1158)=0,"",IF(K1158&lt;&gt;"","Review",IF(I1158&lt;0,"Overdue",IF(I1158=0,"Due now",IF(I1158&lt;=M1158,"Due soon","Not due")))))</x:f>
      </x:c>
      <x:c r="H1158" s="5" t="str">
        <x:f>IF(OR(COUNTA(A1158:F1158)=0,COUNTIFS('Rules'!$G$7:$G$26,"="&amp;(SUBSTITUTE(SUBSTITUTE(SUBSTITUTE(SUBSTITUTE("type:"&amp;B1158,"%","%25"),"~","%7E"),"*","%2A"),"?","%3F")))&lt;&gt;1),"",IF(OR(INDEX('Rules'!$B$7:$B$26,MATCH(SUBSTITUTE(SUBSTITUTE(SUBSTITUTE(SUBSTITUTE("type:"&amp;B1158,"%","%25"),"~","%7E"),"*","%2A"),"?","%3F"),'Rules'!$G$7:$G$26,0))="hours",INDEX('Rules'!$B$7:$B$26,MATCH(SUBSTITUTE(SUBSTITUTE(SUBSTITUTE(SUBSTITUTE("type:"&amp;B1158,"%","%25"),"~","%7E"),"*","%2A"),"?","%3F"),'Rules'!$G$7:$G$26,0))="km"),INDEX('Rules'!$B$7:$B$26,MATCH(SUBSTITUTE(SUBSTITUTE(SUBSTITUTE(SUBSTITUTE("type:"&amp;B1158,"%","%25"),"~","%7E"),"*","%2A"),"?","%3F"),'Rules'!$G$7:$G$26,0)),""))</x:f>
      </x:c>
      <x:c r="I1158" s="6" t="str">
        <x:f>IF(AND(NOT(COUNTA(A1158:F1158)=0),K1158=""),ROUND(J1158-D1158,3),"")</x:f>
      </x:c>
      <x:c r="J1158" s="6" t="str">
        <x:f>IF(AND(NOT(COUNTA(A1158:F1158)=0),K1158=""),ROUND(F1158+L1158,3),"")</x:f>
      </x:c>
      <x:c r="K1158" s="5" t="str">
        <x:f>IF(COUNTA(A1158:F1158)=0,"",IF(A1158="","Missing equipment ID",IF(COUNTIFS($N$8:$N$2007,"="&amp;N1158)&gt;1,"Duplicate equipment ID",IF(B1158="","Missing type",IF(COUNTIFS('Rules'!$G$7:$G$26,"="&amp;(SUBSTITUTE(SUBSTITUTE(SUBSTITUTE(SUBSTITUTE("type:"&amp;B1158,"%","%25"),"~","%7E"),"*","%2A"),"?","%3F")))=0,"Unknown type",IF(COUNTIFS('Rules'!$G$7:$G$26,"="&amp;(SUBSTITUTE(SUBSTITUTE(SUBSTITUTE(SUBSTITUTE("type:"&amp;B1158,"%","%25"),"~","%7E"),"*","%2A"),"?","%3F")))&gt;1,"Duplicate type",IF(INDEX('Rules'!$F$7:$F$26,MATCH(SUBSTITUTE(SUBSTITUTE(SUBSTITUTE(SUBSTITUTE("type:"&amp;B1158,"%","%25"),"~","%7E"),"*","%2A"),"?","%3F"),'Rules'!$G$7:$G$26,0))&lt;&gt;"",INDEX('Rules'!$F$7:$F$26,MATCH(SUBSTITUTE(SUBSTITUTE(SUBSTITUTE(SUBSTITUTE("type:"&amp;B1158,"%","%25"),"~","%7E"),"*","%2A"),"?","%3F"),'Rules'!$G$7:$G$26,0)),IF(AND(C1158&lt;&gt;"",C1158&lt;&gt;INDEX('Rules'!$B$7:$B$26,MATCH(SUBSTITUTE(SUBSTITUTE(SUBSTITUTE(SUBSTITUTE("type:"&amp;B1158,"%","%25"),"~","%7E"),"*","%2A"),"?","%3F"),'Rules'!$G$7:$G$26,0))),"Unit mismatch",IF(IF(NOT(ISNUMBER(D1158)),TRUE,OR(D1158&lt;0,D1158&gt;999999999,ROUND(D1158,3)&lt;&gt;D1158)),"Invalid current reading",IF(AND(E1158&lt;&gt;"",IF(NOT(ISNUMBER(E1158)),TRUE,OR(E1158&lt;0,E1158&gt;999999999,ROUND(E1158,3)&lt;&gt;E1158))),"Invalid previous reading",IF(IF(NOT(ISNUMBER(F1158)),TRUE,OR(F1158&lt;0,F1158&gt;999999999,ROUND(F1158,3)&lt;&gt;F1158)),"Invalid last service",IF(AND(E1158&lt;&gt;"",D1158&lt;E1158),"Decreased reading",IF(F1158&gt;D1158,"Last service above current","")))))))))))))</x:f>
      </x:c>
      <x:c r="L1158" s="6" t="str">
        <x:f>IF(AND(NOT(COUNTA(A1158:F1158)=0),K1158=""),INDEX('Rules'!$C$7:$C$26,MATCH(SUBSTITUTE(SUBSTITUTE(SUBSTITUTE(SUBSTITUTE("type:"&amp;B1158,"%","%25"),"~","%7E"),"*","%2A"),"?","%3F"),'Rules'!$G$7:$G$26,0)),"")</x:f>
      </x:c>
      <x:c r="M1158" s="6" t="str">
        <x:f>IF(AND(NOT(COUNTA(A1158:F1158)=0),K1158=""),INDEX('Rules'!$D$7:$D$26,MATCH(SUBSTITUTE(SUBSTITUTE(SUBSTITUTE(SUBSTITUTE("type:"&amp;B1158,"%","%25"),"~","%7E"),"*","%2A"),"?","%3F"),'Rules'!$G$7:$G$26,0)),"")</x:f>
      </x:c>
      <x:c r="N1158" s="5" t="str">
        <x:f>IF(COUNTA(A1158:F1158)=0,"",SUBSTITUTE(SUBSTITUTE(SUBSTITUTE(SUBSTITUTE("id:"&amp;A1158,"%","%25"),"~","%7E"),"*","%2A"),"?","%3F"))</x:f>
      </x:c>
    </x:row>
    <x:row r="1159" ht="22" customHeight="1">
      <x:c r="A1159" s="3"/>
      <x:c r="B1159" s="3"/>
      <x:c r="C1159" s="3"/>
      <x:c r="D1159" s="4"/>
      <x:c r="E1159" s="4"/>
      <x:c r="F1159" s="4"/>
      <x:c r="G1159" s="5" t="str">
        <x:f>IF(COUNTA(A1159:F1159)=0,"",IF(K1159&lt;&gt;"","Review",IF(I1159&lt;0,"Overdue",IF(I1159=0,"Due now",IF(I1159&lt;=M1159,"Due soon","Not due")))))</x:f>
      </x:c>
      <x:c r="H1159" s="5" t="str">
        <x:f>IF(OR(COUNTA(A1159:F1159)=0,COUNTIFS('Rules'!$G$7:$G$26,"="&amp;(SUBSTITUTE(SUBSTITUTE(SUBSTITUTE(SUBSTITUTE("type:"&amp;B1159,"%","%25"),"~","%7E"),"*","%2A"),"?","%3F")))&lt;&gt;1),"",IF(OR(INDEX('Rules'!$B$7:$B$26,MATCH(SUBSTITUTE(SUBSTITUTE(SUBSTITUTE(SUBSTITUTE("type:"&amp;B1159,"%","%25"),"~","%7E"),"*","%2A"),"?","%3F"),'Rules'!$G$7:$G$26,0))="hours",INDEX('Rules'!$B$7:$B$26,MATCH(SUBSTITUTE(SUBSTITUTE(SUBSTITUTE(SUBSTITUTE("type:"&amp;B1159,"%","%25"),"~","%7E"),"*","%2A"),"?","%3F"),'Rules'!$G$7:$G$26,0))="km"),INDEX('Rules'!$B$7:$B$26,MATCH(SUBSTITUTE(SUBSTITUTE(SUBSTITUTE(SUBSTITUTE("type:"&amp;B1159,"%","%25"),"~","%7E"),"*","%2A"),"?","%3F"),'Rules'!$G$7:$G$26,0)),""))</x:f>
      </x:c>
      <x:c r="I1159" s="6" t="str">
        <x:f>IF(AND(NOT(COUNTA(A1159:F1159)=0),K1159=""),ROUND(J1159-D1159,3),"")</x:f>
      </x:c>
      <x:c r="J1159" s="6" t="str">
        <x:f>IF(AND(NOT(COUNTA(A1159:F1159)=0),K1159=""),ROUND(F1159+L1159,3),"")</x:f>
      </x:c>
      <x:c r="K1159" s="5" t="str">
        <x:f>IF(COUNTA(A1159:F1159)=0,"",IF(A1159="","Missing equipment ID",IF(COUNTIFS($N$8:$N$2007,"="&amp;N1159)&gt;1,"Duplicate equipment ID",IF(B1159="","Missing type",IF(COUNTIFS('Rules'!$G$7:$G$26,"="&amp;(SUBSTITUTE(SUBSTITUTE(SUBSTITUTE(SUBSTITUTE("type:"&amp;B1159,"%","%25"),"~","%7E"),"*","%2A"),"?","%3F")))=0,"Unknown type",IF(COUNTIFS('Rules'!$G$7:$G$26,"="&amp;(SUBSTITUTE(SUBSTITUTE(SUBSTITUTE(SUBSTITUTE("type:"&amp;B1159,"%","%25"),"~","%7E"),"*","%2A"),"?","%3F")))&gt;1,"Duplicate type",IF(INDEX('Rules'!$F$7:$F$26,MATCH(SUBSTITUTE(SUBSTITUTE(SUBSTITUTE(SUBSTITUTE("type:"&amp;B1159,"%","%25"),"~","%7E"),"*","%2A"),"?","%3F"),'Rules'!$G$7:$G$26,0))&lt;&gt;"",INDEX('Rules'!$F$7:$F$26,MATCH(SUBSTITUTE(SUBSTITUTE(SUBSTITUTE(SUBSTITUTE("type:"&amp;B1159,"%","%25"),"~","%7E"),"*","%2A"),"?","%3F"),'Rules'!$G$7:$G$26,0)),IF(AND(C1159&lt;&gt;"",C1159&lt;&gt;INDEX('Rules'!$B$7:$B$26,MATCH(SUBSTITUTE(SUBSTITUTE(SUBSTITUTE(SUBSTITUTE("type:"&amp;B1159,"%","%25"),"~","%7E"),"*","%2A"),"?","%3F"),'Rules'!$G$7:$G$26,0))),"Unit mismatch",IF(IF(NOT(ISNUMBER(D1159)),TRUE,OR(D1159&lt;0,D1159&gt;999999999,ROUND(D1159,3)&lt;&gt;D1159)),"Invalid current reading",IF(AND(E1159&lt;&gt;"",IF(NOT(ISNUMBER(E1159)),TRUE,OR(E1159&lt;0,E1159&gt;999999999,ROUND(E1159,3)&lt;&gt;E1159))),"Invalid previous reading",IF(IF(NOT(ISNUMBER(F1159)),TRUE,OR(F1159&lt;0,F1159&gt;999999999,ROUND(F1159,3)&lt;&gt;F1159)),"Invalid last service",IF(AND(E1159&lt;&gt;"",D1159&lt;E1159),"Decreased reading",IF(F1159&gt;D1159,"Last service above current","")))))))))))))</x:f>
      </x:c>
      <x:c r="L1159" s="6" t="str">
        <x:f>IF(AND(NOT(COUNTA(A1159:F1159)=0),K1159=""),INDEX('Rules'!$C$7:$C$26,MATCH(SUBSTITUTE(SUBSTITUTE(SUBSTITUTE(SUBSTITUTE("type:"&amp;B1159,"%","%25"),"~","%7E"),"*","%2A"),"?","%3F"),'Rules'!$G$7:$G$26,0)),"")</x:f>
      </x:c>
      <x:c r="M1159" s="6" t="str">
        <x:f>IF(AND(NOT(COUNTA(A1159:F1159)=0),K1159=""),INDEX('Rules'!$D$7:$D$26,MATCH(SUBSTITUTE(SUBSTITUTE(SUBSTITUTE(SUBSTITUTE("type:"&amp;B1159,"%","%25"),"~","%7E"),"*","%2A"),"?","%3F"),'Rules'!$G$7:$G$26,0)),"")</x:f>
      </x:c>
      <x:c r="N1159" s="5" t="str">
        <x:f>IF(COUNTA(A1159:F1159)=0,"",SUBSTITUTE(SUBSTITUTE(SUBSTITUTE(SUBSTITUTE("id:"&amp;A1159,"%","%25"),"~","%7E"),"*","%2A"),"?","%3F"))</x:f>
      </x:c>
    </x:row>
    <x:row r="1160" ht="22" customHeight="1">
      <x:c r="A1160" s="3"/>
      <x:c r="B1160" s="3"/>
      <x:c r="C1160" s="3"/>
      <x:c r="D1160" s="4"/>
      <x:c r="E1160" s="4"/>
      <x:c r="F1160" s="4"/>
      <x:c r="G1160" s="5" t="str">
        <x:f>IF(COUNTA(A1160:F1160)=0,"",IF(K1160&lt;&gt;"","Review",IF(I1160&lt;0,"Overdue",IF(I1160=0,"Due now",IF(I1160&lt;=M1160,"Due soon","Not due")))))</x:f>
      </x:c>
      <x:c r="H1160" s="5" t="str">
        <x:f>IF(OR(COUNTA(A1160:F1160)=0,COUNTIFS('Rules'!$G$7:$G$26,"="&amp;(SUBSTITUTE(SUBSTITUTE(SUBSTITUTE(SUBSTITUTE("type:"&amp;B1160,"%","%25"),"~","%7E"),"*","%2A"),"?","%3F")))&lt;&gt;1),"",IF(OR(INDEX('Rules'!$B$7:$B$26,MATCH(SUBSTITUTE(SUBSTITUTE(SUBSTITUTE(SUBSTITUTE("type:"&amp;B1160,"%","%25"),"~","%7E"),"*","%2A"),"?","%3F"),'Rules'!$G$7:$G$26,0))="hours",INDEX('Rules'!$B$7:$B$26,MATCH(SUBSTITUTE(SUBSTITUTE(SUBSTITUTE(SUBSTITUTE("type:"&amp;B1160,"%","%25"),"~","%7E"),"*","%2A"),"?","%3F"),'Rules'!$G$7:$G$26,0))="km"),INDEX('Rules'!$B$7:$B$26,MATCH(SUBSTITUTE(SUBSTITUTE(SUBSTITUTE(SUBSTITUTE("type:"&amp;B1160,"%","%25"),"~","%7E"),"*","%2A"),"?","%3F"),'Rules'!$G$7:$G$26,0)),""))</x:f>
      </x:c>
      <x:c r="I1160" s="6" t="str">
        <x:f>IF(AND(NOT(COUNTA(A1160:F1160)=0),K1160=""),ROUND(J1160-D1160,3),"")</x:f>
      </x:c>
      <x:c r="J1160" s="6" t="str">
        <x:f>IF(AND(NOT(COUNTA(A1160:F1160)=0),K1160=""),ROUND(F1160+L1160,3),"")</x:f>
      </x:c>
      <x:c r="K1160" s="5" t="str">
        <x:f>IF(COUNTA(A1160:F1160)=0,"",IF(A1160="","Missing equipment ID",IF(COUNTIFS($N$8:$N$2007,"="&amp;N1160)&gt;1,"Duplicate equipment ID",IF(B1160="","Missing type",IF(COUNTIFS('Rules'!$G$7:$G$26,"="&amp;(SUBSTITUTE(SUBSTITUTE(SUBSTITUTE(SUBSTITUTE("type:"&amp;B1160,"%","%25"),"~","%7E"),"*","%2A"),"?","%3F")))=0,"Unknown type",IF(COUNTIFS('Rules'!$G$7:$G$26,"="&amp;(SUBSTITUTE(SUBSTITUTE(SUBSTITUTE(SUBSTITUTE("type:"&amp;B1160,"%","%25"),"~","%7E"),"*","%2A"),"?","%3F")))&gt;1,"Duplicate type",IF(INDEX('Rules'!$F$7:$F$26,MATCH(SUBSTITUTE(SUBSTITUTE(SUBSTITUTE(SUBSTITUTE("type:"&amp;B1160,"%","%25"),"~","%7E"),"*","%2A"),"?","%3F"),'Rules'!$G$7:$G$26,0))&lt;&gt;"",INDEX('Rules'!$F$7:$F$26,MATCH(SUBSTITUTE(SUBSTITUTE(SUBSTITUTE(SUBSTITUTE("type:"&amp;B1160,"%","%25"),"~","%7E"),"*","%2A"),"?","%3F"),'Rules'!$G$7:$G$26,0)),IF(AND(C1160&lt;&gt;"",C1160&lt;&gt;INDEX('Rules'!$B$7:$B$26,MATCH(SUBSTITUTE(SUBSTITUTE(SUBSTITUTE(SUBSTITUTE("type:"&amp;B1160,"%","%25"),"~","%7E"),"*","%2A"),"?","%3F"),'Rules'!$G$7:$G$26,0))),"Unit mismatch",IF(IF(NOT(ISNUMBER(D1160)),TRUE,OR(D1160&lt;0,D1160&gt;999999999,ROUND(D1160,3)&lt;&gt;D1160)),"Invalid current reading",IF(AND(E1160&lt;&gt;"",IF(NOT(ISNUMBER(E1160)),TRUE,OR(E1160&lt;0,E1160&gt;999999999,ROUND(E1160,3)&lt;&gt;E1160))),"Invalid previous reading",IF(IF(NOT(ISNUMBER(F1160)),TRUE,OR(F1160&lt;0,F1160&gt;999999999,ROUND(F1160,3)&lt;&gt;F1160)),"Invalid last service",IF(AND(E1160&lt;&gt;"",D1160&lt;E1160),"Decreased reading",IF(F1160&gt;D1160,"Last service above current","")))))))))))))</x:f>
      </x:c>
      <x:c r="L1160" s="6" t="str">
        <x:f>IF(AND(NOT(COUNTA(A1160:F1160)=0),K1160=""),INDEX('Rules'!$C$7:$C$26,MATCH(SUBSTITUTE(SUBSTITUTE(SUBSTITUTE(SUBSTITUTE("type:"&amp;B1160,"%","%25"),"~","%7E"),"*","%2A"),"?","%3F"),'Rules'!$G$7:$G$26,0)),"")</x:f>
      </x:c>
      <x:c r="M1160" s="6" t="str">
        <x:f>IF(AND(NOT(COUNTA(A1160:F1160)=0),K1160=""),INDEX('Rules'!$D$7:$D$26,MATCH(SUBSTITUTE(SUBSTITUTE(SUBSTITUTE(SUBSTITUTE("type:"&amp;B1160,"%","%25"),"~","%7E"),"*","%2A"),"?","%3F"),'Rules'!$G$7:$G$26,0)),"")</x:f>
      </x:c>
      <x:c r="N1160" s="5" t="str">
        <x:f>IF(COUNTA(A1160:F1160)=0,"",SUBSTITUTE(SUBSTITUTE(SUBSTITUTE(SUBSTITUTE("id:"&amp;A1160,"%","%25"),"~","%7E"),"*","%2A"),"?","%3F"))</x:f>
      </x:c>
    </x:row>
    <x:row r="1161" ht="22" customHeight="1">
      <x:c r="A1161" s="3"/>
      <x:c r="B1161" s="3"/>
      <x:c r="C1161" s="3"/>
      <x:c r="D1161" s="4"/>
      <x:c r="E1161" s="4"/>
      <x:c r="F1161" s="4"/>
      <x:c r="G1161" s="5" t="str">
        <x:f>IF(COUNTA(A1161:F1161)=0,"",IF(K1161&lt;&gt;"","Review",IF(I1161&lt;0,"Overdue",IF(I1161=0,"Due now",IF(I1161&lt;=M1161,"Due soon","Not due")))))</x:f>
      </x:c>
      <x:c r="H1161" s="5" t="str">
        <x:f>IF(OR(COUNTA(A1161:F1161)=0,COUNTIFS('Rules'!$G$7:$G$26,"="&amp;(SUBSTITUTE(SUBSTITUTE(SUBSTITUTE(SUBSTITUTE("type:"&amp;B1161,"%","%25"),"~","%7E"),"*","%2A"),"?","%3F")))&lt;&gt;1),"",IF(OR(INDEX('Rules'!$B$7:$B$26,MATCH(SUBSTITUTE(SUBSTITUTE(SUBSTITUTE(SUBSTITUTE("type:"&amp;B1161,"%","%25"),"~","%7E"),"*","%2A"),"?","%3F"),'Rules'!$G$7:$G$26,0))="hours",INDEX('Rules'!$B$7:$B$26,MATCH(SUBSTITUTE(SUBSTITUTE(SUBSTITUTE(SUBSTITUTE("type:"&amp;B1161,"%","%25"),"~","%7E"),"*","%2A"),"?","%3F"),'Rules'!$G$7:$G$26,0))="km"),INDEX('Rules'!$B$7:$B$26,MATCH(SUBSTITUTE(SUBSTITUTE(SUBSTITUTE(SUBSTITUTE("type:"&amp;B1161,"%","%25"),"~","%7E"),"*","%2A"),"?","%3F"),'Rules'!$G$7:$G$26,0)),""))</x:f>
      </x:c>
      <x:c r="I1161" s="6" t="str">
        <x:f>IF(AND(NOT(COUNTA(A1161:F1161)=0),K1161=""),ROUND(J1161-D1161,3),"")</x:f>
      </x:c>
      <x:c r="J1161" s="6" t="str">
        <x:f>IF(AND(NOT(COUNTA(A1161:F1161)=0),K1161=""),ROUND(F1161+L1161,3),"")</x:f>
      </x:c>
      <x:c r="K1161" s="5" t="str">
        <x:f>IF(COUNTA(A1161:F1161)=0,"",IF(A1161="","Missing equipment ID",IF(COUNTIFS($N$8:$N$2007,"="&amp;N1161)&gt;1,"Duplicate equipment ID",IF(B1161="","Missing type",IF(COUNTIFS('Rules'!$G$7:$G$26,"="&amp;(SUBSTITUTE(SUBSTITUTE(SUBSTITUTE(SUBSTITUTE("type:"&amp;B1161,"%","%25"),"~","%7E"),"*","%2A"),"?","%3F")))=0,"Unknown type",IF(COUNTIFS('Rules'!$G$7:$G$26,"="&amp;(SUBSTITUTE(SUBSTITUTE(SUBSTITUTE(SUBSTITUTE("type:"&amp;B1161,"%","%25"),"~","%7E"),"*","%2A"),"?","%3F")))&gt;1,"Duplicate type",IF(INDEX('Rules'!$F$7:$F$26,MATCH(SUBSTITUTE(SUBSTITUTE(SUBSTITUTE(SUBSTITUTE("type:"&amp;B1161,"%","%25"),"~","%7E"),"*","%2A"),"?","%3F"),'Rules'!$G$7:$G$26,0))&lt;&gt;"",INDEX('Rules'!$F$7:$F$26,MATCH(SUBSTITUTE(SUBSTITUTE(SUBSTITUTE(SUBSTITUTE("type:"&amp;B1161,"%","%25"),"~","%7E"),"*","%2A"),"?","%3F"),'Rules'!$G$7:$G$26,0)),IF(AND(C1161&lt;&gt;"",C1161&lt;&gt;INDEX('Rules'!$B$7:$B$26,MATCH(SUBSTITUTE(SUBSTITUTE(SUBSTITUTE(SUBSTITUTE("type:"&amp;B1161,"%","%25"),"~","%7E"),"*","%2A"),"?","%3F"),'Rules'!$G$7:$G$26,0))),"Unit mismatch",IF(IF(NOT(ISNUMBER(D1161)),TRUE,OR(D1161&lt;0,D1161&gt;999999999,ROUND(D1161,3)&lt;&gt;D1161)),"Invalid current reading",IF(AND(E1161&lt;&gt;"",IF(NOT(ISNUMBER(E1161)),TRUE,OR(E1161&lt;0,E1161&gt;999999999,ROUND(E1161,3)&lt;&gt;E1161))),"Invalid previous reading",IF(IF(NOT(ISNUMBER(F1161)),TRUE,OR(F1161&lt;0,F1161&gt;999999999,ROUND(F1161,3)&lt;&gt;F1161)),"Invalid last service",IF(AND(E1161&lt;&gt;"",D1161&lt;E1161),"Decreased reading",IF(F1161&gt;D1161,"Last service above current","")))))))))))))</x:f>
      </x:c>
      <x:c r="L1161" s="6" t="str">
        <x:f>IF(AND(NOT(COUNTA(A1161:F1161)=0),K1161=""),INDEX('Rules'!$C$7:$C$26,MATCH(SUBSTITUTE(SUBSTITUTE(SUBSTITUTE(SUBSTITUTE("type:"&amp;B1161,"%","%25"),"~","%7E"),"*","%2A"),"?","%3F"),'Rules'!$G$7:$G$26,0)),"")</x:f>
      </x:c>
      <x:c r="M1161" s="6" t="str">
        <x:f>IF(AND(NOT(COUNTA(A1161:F1161)=0),K1161=""),INDEX('Rules'!$D$7:$D$26,MATCH(SUBSTITUTE(SUBSTITUTE(SUBSTITUTE(SUBSTITUTE("type:"&amp;B1161,"%","%25"),"~","%7E"),"*","%2A"),"?","%3F"),'Rules'!$G$7:$G$26,0)),"")</x:f>
      </x:c>
      <x:c r="N1161" s="5" t="str">
        <x:f>IF(COUNTA(A1161:F1161)=0,"",SUBSTITUTE(SUBSTITUTE(SUBSTITUTE(SUBSTITUTE("id:"&amp;A1161,"%","%25"),"~","%7E"),"*","%2A"),"?","%3F"))</x:f>
      </x:c>
    </x:row>
    <x:row r="1162" ht="22" customHeight="1">
      <x:c r="A1162" s="3"/>
      <x:c r="B1162" s="3"/>
      <x:c r="C1162" s="3"/>
      <x:c r="D1162" s="4"/>
      <x:c r="E1162" s="4"/>
      <x:c r="F1162" s="4"/>
      <x:c r="G1162" s="5" t="str">
        <x:f>IF(COUNTA(A1162:F1162)=0,"",IF(K1162&lt;&gt;"","Review",IF(I1162&lt;0,"Overdue",IF(I1162=0,"Due now",IF(I1162&lt;=M1162,"Due soon","Not due")))))</x:f>
      </x:c>
      <x:c r="H1162" s="5" t="str">
        <x:f>IF(OR(COUNTA(A1162:F1162)=0,COUNTIFS('Rules'!$G$7:$G$26,"="&amp;(SUBSTITUTE(SUBSTITUTE(SUBSTITUTE(SUBSTITUTE("type:"&amp;B1162,"%","%25"),"~","%7E"),"*","%2A"),"?","%3F")))&lt;&gt;1),"",IF(OR(INDEX('Rules'!$B$7:$B$26,MATCH(SUBSTITUTE(SUBSTITUTE(SUBSTITUTE(SUBSTITUTE("type:"&amp;B1162,"%","%25"),"~","%7E"),"*","%2A"),"?","%3F"),'Rules'!$G$7:$G$26,0))="hours",INDEX('Rules'!$B$7:$B$26,MATCH(SUBSTITUTE(SUBSTITUTE(SUBSTITUTE(SUBSTITUTE("type:"&amp;B1162,"%","%25"),"~","%7E"),"*","%2A"),"?","%3F"),'Rules'!$G$7:$G$26,0))="km"),INDEX('Rules'!$B$7:$B$26,MATCH(SUBSTITUTE(SUBSTITUTE(SUBSTITUTE(SUBSTITUTE("type:"&amp;B1162,"%","%25"),"~","%7E"),"*","%2A"),"?","%3F"),'Rules'!$G$7:$G$26,0)),""))</x:f>
      </x:c>
      <x:c r="I1162" s="6" t="str">
        <x:f>IF(AND(NOT(COUNTA(A1162:F1162)=0),K1162=""),ROUND(J1162-D1162,3),"")</x:f>
      </x:c>
      <x:c r="J1162" s="6" t="str">
        <x:f>IF(AND(NOT(COUNTA(A1162:F1162)=0),K1162=""),ROUND(F1162+L1162,3),"")</x:f>
      </x:c>
      <x:c r="K1162" s="5" t="str">
        <x:f>IF(COUNTA(A1162:F1162)=0,"",IF(A1162="","Missing equipment ID",IF(COUNTIFS($N$8:$N$2007,"="&amp;N1162)&gt;1,"Duplicate equipment ID",IF(B1162="","Missing type",IF(COUNTIFS('Rules'!$G$7:$G$26,"="&amp;(SUBSTITUTE(SUBSTITUTE(SUBSTITUTE(SUBSTITUTE("type:"&amp;B1162,"%","%25"),"~","%7E"),"*","%2A"),"?","%3F")))=0,"Unknown type",IF(COUNTIFS('Rules'!$G$7:$G$26,"="&amp;(SUBSTITUTE(SUBSTITUTE(SUBSTITUTE(SUBSTITUTE("type:"&amp;B1162,"%","%25"),"~","%7E"),"*","%2A"),"?","%3F")))&gt;1,"Duplicate type",IF(INDEX('Rules'!$F$7:$F$26,MATCH(SUBSTITUTE(SUBSTITUTE(SUBSTITUTE(SUBSTITUTE("type:"&amp;B1162,"%","%25"),"~","%7E"),"*","%2A"),"?","%3F"),'Rules'!$G$7:$G$26,0))&lt;&gt;"",INDEX('Rules'!$F$7:$F$26,MATCH(SUBSTITUTE(SUBSTITUTE(SUBSTITUTE(SUBSTITUTE("type:"&amp;B1162,"%","%25"),"~","%7E"),"*","%2A"),"?","%3F"),'Rules'!$G$7:$G$26,0)),IF(AND(C1162&lt;&gt;"",C1162&lt;&gt;INDEX('Rules'!$B$7:$B$26,MATCH(SUBSTITUTE(SUBSTITUTE(SUBSTITUTE(SUBSTITUTE("type:"&amp;B1162,"%","%25"),"~","%7E"),"*","%2A"),"?","%3F"),'Rules'!$G$7:$G$26,0))),"Unit mismatch",IF(IF(NOT(ISNUMBER(D1162)),TRUE,OR(D1162&lt;0,D1162&gt;999999999,ROUND(D1162,3)&lt;&gt;D1162)),"Invalid current reading",IF(AND(E1162&lt;&gt;"",IF(NOT(ISNUMBER(E1162)),TRUE,OR(E1162&lt;0,E1162&gt;999999999,ROUND(E1162,3)&lt;&gt;E1162))),"Invalid previous reading",IF(IF(NOT(ISNUMBER(F1162)),TRUE,OR(F1162&lt;0,F1162&gt;999999999,ROUND(F1162,3)&lt;&gt;F1162)),"Invalid last service",IF(AND(E1162&lt;&gt;"",D1162&lt;E1162),"Decreased reading",IF(F1162&gt;D1162,"Last service above current","")))))))))))))</x:f>
      </x:c>
      <x:c r="L1162" s="6" t="str">
        <x:f>IF(AND(NOT(COUNTA(A1162:F1162)=0),K1162=""),INDEX('Rules'!$C$7:$C$26,MATCH(SUBSTITUTE(SUBSTITUTE(SUBSTITUTE(SUBSTITUTE("type:"&amp;B1162,"%","%25"),"~","%7E"),"*","%2A"),"?","%3F"),'Rules'!$G$7:$G$26,0)),"")</x:f>
      </x:c>
      <x:c r="M1162" s="6" t="str">
        <x:f>IF(AND(NOT(COUNTA(A1162:F1162)=0),K1162=""),INDEX('Rules'!$D$7:$D$26,MATCH(SUBSTITUTE(SUBSTITUTE(SUBSTITUTE(SUBSTITUTE("type:"&amp;B1162,"%","%25"),"~","%7E"),"*","%2A"),"?","%3F"),'Rules'!$G$7:$G$26,0)),"")</x:f>
      </x:c>
      <x:c r="N1162" s="5" t="str">
        <x:f>IF(COUNTA(A1162:F1162)=0,"",SUBSTITUTE(SUBSTITUTE(SUBSTITUTE(SUBSTITUTE("id:"&amp;A1162,"%","%25"),"~","%7E"),"*","%2A"),"?","%3F"))</x:f>
      </x:c>
    </x:row>
    <x:row r="1163" ht="22" customHeight="1">
      <x:c r="A1163" s="3"/>
      <x:c r="B1163" s="3"/>
      <x:c r="C1163" s="3"/>
      <x:c r="D1163" s="4"/>
      <x:c r="E1163" s="4"/>
      <x:c r="F1163" s="4"/>
      <x:c r="G1163" s="5" t="str">
        <x:f>IF(COUNTA(A1163:F1163)=0,"",IF(K1163&lt;&gt;"","Review",IF(I1163&lt;0,"Overdue",IF(I1163=0,"Due now",IF(I1163&lt;=M1163,"Due soon","Not due")))))</x:f>
      </x:c>
      <x:c r="H1163" s="5" t="str">
        <x:f>IF(OR(COUNTA(A1163:F1163)=0,COUNTIFS('Rules'!$G$7:$G$26,"="&amp;(SUBSTITUTE(SUBSTITUTE(SUBSTITUTE(SUBSTITUTE("type:"&amp;B1163,"%","%25"),"~","%7E"),"*","%2A"),"?","%3F")))&lt;&gt;1),"",IF(OR(INDEX('Rules'!$B$7:$B$26,MATCH(SUBSTITUTE(SUBSTITUTE(SUBSTITUTE(SUBSTITUTE("type:"&amp;B1163,"%","%25"),"~","%7E"),"*","%2A"),"?","%3F"),'Rules'!$G$7:$G$26,0))="hours",INDEX('Rules'!$B$7:$B$26,MATCH(SUBSTITUTE(SUBSTITUTE(SUBSTITUTE(SUBSTITUTE("type:"&amp;B1163,"%","%25"),"~","%7E"),"*","%2A"),"?","%3F"),'Rules'!$G$7:$G$26,0))="km"),INDEX('Rules'!$B$7:$B$26,MATCH(SUBSTITUTE(SUBSTITUTE(SUBSTITUTE(SUBSTITUTE("type:"&amp;B1163,"%","%25"),"~","%7E"),"*","%2A"),"?","%3F"),'Rules'!$G$7:$G$26,0)),""))</x:f>
      </x:c>
      <x:c r="I1163" s="6" t="str">
        <x:f>IF(AND(NOT(COUNTA(A1163:F1163)=0),K1163=""),ROUND(J1163-D1163,3),"")</x:f>
      </x:c>
      <x:c r="J1163" s="6" t="str">
        <x:f>IF(AND(NOT(COUNTA(A1163:F1163)=0),K1163=""),ROUND(F1163+L1163,3),"")</x:f>
      </x:c>
      <x:c r="K1163" s="5" t="str">
        <x:f>IF(COUNTA(A1163:F1163)=0,"",IF(A1163="","Missing equipment ID",IF(COUNTIFS($N$8:$N$2007,"="&amp;N1163)&gt;1,"Duplicate equipment ID",IF(B1163="","Missing type",IF(COUNTIFS('Rules'!$G$7:$G$26,"="&amp;(SUBSTITUTE(SUBSTITUTE(SUBSTITUTE(SUBSTITUTE("type:"&amp;B1163,"%","%25"),"~","%7E"),"*","%2A"),"?","%3F")))=0,"Unknown type",IF(COUNTIFS('Rules'!$G$7:$G$26,"="&amp;(SUBSTITUTE(SUBSTITUTE(SUBSTITUTE(SUBSTITUTE("type:"&amp;B1163,"%","%25"),"~","%7E"),"*","%2A"),"?","%3F")))&gt;1,"Duplicate type",IF(INDEX('Rules'!$F$7:$F$26,MATCH(SUBSTITUTE(SUBSTITUTE(SUBSTITUTE(SUBSTITUTE("type:"&amp;B1163,"%","%25"),"~","%7E"),"*","%2A"),"?","%3F"),'Rules'!$G$7:$G$26,0))&lt;&gt;"",INDEX('Rules'!$F$7:$F$26,MATCH(SUBSTITUTE(SUBSTITUTE(SUBSTITUTE(SUBSTITUTE("type:"&amp;B1163,"%","%25"),"~","%7E"),"*","%2A"),"?","%3F"),'Rules'!$G$7:$G$26,0)),IF(AND(C1163&lt;&gt;"",C1163&lt;&gt;INDEX('Rules'!$B$7:$B$26,MATCH(SUBSTITUTE(SUBSTITUTE(SUBSTITUTE(SUBSTITUTE("type:"&amp;B1163,"%","%25"),"~","%7E"),"*","%2A"),"?","%3F"),'Rules'!$G$7:$G$26,0))),"Unit mismatch",IF(IF(NOT(ISNUMBER(D1163)),TRUE,OR(D1163&lt;0,D1163&gt;999999999,ROUND(D1163,3)&lt;&gt;D1163)),"Invalid current reading",IF(AND(E1163&lt;&gt;"",IF(NOT(ISNUMBER(E1163)),TRUE,OR(E1163&lt;0,E1163&gt;999999999,ROUND(E1163,3)&lt;&gt;E1163))),"Invalid previous reading",IF(IF(NOT(ISNUMBER(F1163)),TRUE,OR(F1163&lt;0,F1163&gt;999999999,ROUND(F1163,3)&lt;&gt;F1163)),"Invalid last service",IF(AND(E1163&lt;&gt;"",D1163&lt;E1163),"Decreased reading",IF(F1163&gt;D1163,"Last service above current","")))))))))))))</x:f>
      </x:c>
      <x:c r="L1163" s="6" t="str">
        <x:f>IF(AND(NOT(COUNTA(A1163:F1163)=0),K1163=""),INDEX('Rules'!$C$7:$C$26,MATCH(SUBSTITUTE(SUBSTITUTE(SUBSTITUTE(SUBSTITUTE("type:"&amp;B1163,"%","%25"),"~","%7E"),"*","%2A"),"?","%3F"),'Rules'!$G$7:$G$26,0)),"")</x:f>
      </x:c>
      <x:c r="M1163" s="6" t="str">
        <x:f>IF(AND(NOT(COUNTA(A1163:F1163)=0),K1163=""),INDEX('Rules'!$D$7:$D$26,MATCH(SUBSTITUTE(SUBSTITUTE(SUBSTITUTE(SUBSTITUTE("type:"&amp;B1163,"%","%25"),"~","%7E"),"*","%2A"),"?","%3F"),'Rules'!$G$7:$G$26,0)),"")</x:f>
      </x:c>
      <x:c r="N1163" s="5" t="str">
        <x:f>IF(COUNTA(A1163:F1163)=0,"",SUBSTITUTE(SUBSTITUTE(SUBSTITUTE(SUBSTITUTE("id:"&amp;A1163,"%","%25"),"~","%7E"),"*","%2A"),"?","%3F"))</x:f>
      </x:c>
    </x:row>
    <x:row r="1164" ht="22" customHeight="1">
      <x:c r="A1164" s="3"/>
      <x:c r="B1164" s="3"/>
      <x:c r="C1164" s="3"/>
      <x:c r="D1164" s="4"/>
      <x:c r="E1164" s="4"/>
      <x:c r="F1164" s="4"/>
      <x:c r="G1164" s="5" t="str">
        <x:f>IF(COUNTA(A1164:F1164)=0,"",IF(K1164&lt;&gt;"","Review",IF(I1164&lt;0,"Overdue",IF(I1164=0,"Due now",IF(I1164&lt;=M1164,"Due soon","Not due")))))</x:f>
      </x:c>
      <x:c r="H1164" s="5" t="str">
        <x:f>IF(OR(COUNTA(A1164:F1164)=0,COUNTIFS('Rules'!$G$7:$G$26,"="&amp;(SUBSTITUTE(SUBSTITUTE(SUBSTITUTE(SUBSTITUTE("type:"&amp;B1164,"%","%25"),"~","%7E"),"*","%2A"),"?","%3F")))&lt;&gt;1),"",IF(OR(INDEX('Rules'!$B$7:$B$26,MATCH(SUBSTITUTE(SUBSTITUTE(SUBSTITUTE(SUBSTITUTE("type:"&amp;B1164,"%","%25"),"~","%7E"),"*","%2A"),"?","%3F"),'Rules'!$G$7:$G$26,0))="hours",INDEX('Rules'!$B$7:$B$26,MATCH(SUBSTITUTE(SUBSTITUTE(SUBSTITUTE(SUBSTITUTE("type:"&amp;B1164,"%","%25"),"~","%7E"),"*","%2A"),"?","%3F"),'Rules'!$G$7:$G$26,0))="km"),INDEX('Rules'!$B$7:$B$26,MATCH(SUBSTITUTE(SUBSTITUTE(SUBSTITUTE(SUBSTITUTE("type:"&amp;B1164,"%","%25"),"~","%7E"),"*","%2A"),"?","%3F"),'Rules'!$G$7:$G$26,0)),""))</x:f>
      </x:c>
      <x:c r="I1164" s="6" t="str">
        <x:f>IF(AND(NOT(COUNTA(A1164:F1164)=0),K1164=""),ROUND(J1164-D1164,3),"")</x:f>
      </x:c>
      <x:c r="J1164" s="6" t="str">
        <x:f>IF(AND(NOT(COUNTA(A1164:F1164)=0),K1164=""),ROUND(F1164+L1164,3),"")</x:f>
      </x:c>
      <x:c r="K1164" s="5" t="str">
        <x:f>IF(COUNTA(A1164:F1164)=0,"",IF(A1164="","Missing equipment ID",IF(COUNTIFS($N$8:$N$2007,"="&amp;N1164)&gt;1,"Duplicate equipment ID",IF(B1164="","Missing type",IF(COUNTIFS('Rules'!$G$7:$G$26,"="&amp;(SUBSTITUTE(SUBSTITUTE(SUBSTITUTE(SUBSTITUTE("type:"&amp;B1164,"%","%25"),"~","%7E"),"*","%2A"),"?","%3F")))=0,"Unknown type",IF(COUNTIFS('Rules'!$G$7:$G$26,"="&amp;(SUBSTITUTE(SUBSTITUTE(SUBSTITUTE(SUBSTITUTE("type:"&amp;B1164,"%","%25"),"~","%7E"),"*","%2A"),"?","%3F")))&gt;1,"Duplicate type",IF(INDEX('Rules'!$F$7:$F$26,MATCH(SUBSTITUTE(SUBSTITUTE(SUBSTITUTE(SUBSTITUTE("type:"&amp;B1164,"%","%25"),"~","%7E"),"*","%2A"),"?","%3F"),'Rules'!$G$7:$G$26,0))&lt;&gt;"",INDEX('Rules'!$F$7:$F$26,MATCH(SUBSTITUTE(SUBSTITUTE(SUBSTITUTE(SUBSTITUTE("type:"&amp;B1164,"%","%25"),"~","%7E"),"*","%2A"),"?","%3F"),'Rules'!$G$7:$G$26,0)),IF(AND(C1164&lt;&gt;"",C1164&lt;&gt;INDEX('Rules'!$B$7:$B$26,MATCH(SUBSTITUTE(SUBSTITUTE(SUBSTITUTE(SUBSTITUTE("type:"&amp;B1164,"%","%25"),"~","%7E"),"*","%2A"),"?","%3F"),'Rules'!$G$7:$G$26,0))),"Unit mismatch",IF(IF(NOT(ISNUMBER(D1164)),TRUE,OR(D1164&lt;0,D1164&gt;999999999,ROUND(D1164,3)&lt;&gt;D1164)),"Invalid current reading",IF(AND(E1164&lt;&gt;"",IF(NOT(ISNUMBER(E1164)),TRUE,OR(E1164&lt;0,E1164&gt;999999999,ROUND(E1164,3)&lt;&gt;E1164))),"Invalid previous reading",IF(IF(NOT(ISNUMBER(F1164)),TRUE,OR(F1164&lt;0,F1164&gt;999999999,ROUND(F1164,3)&lt;&gt;F1164)),"Invalid last service",IF(AND(E1164&lt;&gt;"",D1164&lt;E1164),"Decreased reading",IF(F1164&gt;D1164,"Last service above current","")))))))))))))</x:f>
      </x:c>
      <x:c r="L1164" s="6" t="str">
        <x:f>IF(AND(NOT(COUNTA(A1164:F1164)=0),K1164=""),INDEX('Rules'!$C$7:$C$26,MATCH(SUBSTITUTE(SUBSTITUTE(SUBSTITUTE(SUBSTITUTE("type:"&amp;B1164,"%","%25"),"~","%7E"),"*","%2A"),"?","%3F"),'Rules'!$G$7:$G$26,0)),"")</x:f>
      </x:c>
      <x:c r="M1164" s="6" t="str">
        <x:f>IF(AND(NOT(COUNTA(A1164:F1164)=0),K1164=""),INDEX('Rules'!$D$7:$D$26,MATCH(SUBSTITUTE(SUBSTITUTE(SUBSTITUTE(SUBSTITUTE("type:"&amp;B1164,"%","%25"),"~","%7E"),"*","%2A"),"?","%3F"),'Rules'!$G$7:$G$26,0)),"")</x:f>
      </x:c>
      <x:c r="N1164" s="5" t="str">
        <x:f>IF(COUNTA(A1164:F1164)=0,"",SUBSTITUTE(SUBSTITUTE(SUBSTITUTE(SUBSTITUTE("id:"&amp;A1164,"%","%25"),"~","%7E"),"*","%2A"),"?","%3F"))</x:f>
      </x:c>
    </x:row>
    <x:row r="1165" ht="22" customHeight="1">
      <x:c r="A1165" s="3"/>
      <x:c r="B1165" s="3"/>
      <x:c r="C1165" s="3"/>
      <x:c r="D1165" s="4"/>
      <x:c r="E1165" s="4"/>
      <x:c r="F1165" s="4"/>
      <x:c r="G1165" s="5" t="str">
        <x:f>IF(COUNTA(A1165:F1165)=0,"",IF(K1165&lt;&gt;"","Review",IF(I1165&lt;0,"Overdue",IF(I1165=0,"Due now",IF(I1165&lt;=M1165,"Due soon","Not due")))))</x:f>
      </x:c>
      <x:c r="H1165" s="5" t="str">
        <x:f>IF(OR(COUNTA(A1165:F1165)=0,COUNTIFS('Rules'!$G$7:$G$26,"="&amp;(SUBSTITUTE(SUBSTITUTE(SUBSTITUTE(SUBSTITUTE("type:"&amp;B1165,"%","%25"),"~","%7E"),"*","%2A"),"?","%3F")))&lt;&gt;1),"",IF(OR(INDEX('Rules'!$B$7:$B$26,MATCH(SUBSTITUTE(SUBSTITUTE(SUBSTITUTE(SUBSTITUTE("type:"&amp;B1165,"%","%25"),"~","%7E"),"*","%2A"),"?","%3F"),'Rules'!$G$7:$G$26,0))="hours",INDEX('Rules'!$B$7:$B$26,MATCH(SUBSTITUTE(SUBSTITUTE(SUBSTITUTE(SUBSTITUTE("type:"&amp;B1165,"%","%25"),"~","%7E"),"*","%2A"),"?","%3F"),'Rules'!$G$7:$G$26,0))="km"),INDEX('Rules'!$B$7:$B$26,MATCH(SUBSTITUTE(SUBSTITUTE(SUBSTITUTE(SUBSTITUTE("type:"&amp;B1165,"%","%25"),"~","%7E"),"*","%2A"),"?","%3F"),'Rules'!$G$7:$G$26,0)),""))</x:f>
      </x:c>
      <x:c r="I1165" s="6" t="str">
        <x:f>IF(AND(NOT(COUNTA(A1165:F1165)=0),K1165=""),ROUND(J1165-D1165,3),"")</x:f>
      </x:c>
      <x:c r="J1165" s="6" t="str">
        <x:f>IF(AND(NOT(COUNTA(A1165:F1165)=0),K1165=""),ROUND(F1165+L1165,3),"")</x:f>
      </x:c>
      <x:c r="K1165" s="5" t="str">
        <x:f>IF(COUNTA(A1165:F1165)=0,"",IF(A1165="","Missing equipment ID",IF(COUNTIFS($N$8:$N$2007,"="&amp;N1165)&gt;1,"Duplicate equipment ID",IF(B1165="","Missing type",IF(COUNTIFS('Rules'!$G$7:$G$26,"="&amp;(SUBSTITUTE(SUBSTITUTE(SUBSTITUTE(SUBSTITUTE("type:"&amp;B1165,"%","%25"),"~","%7E"),"*","%2A"),"?","%3F")))=0,"Unknown type",IF(COUNTIFS('Rules'!$G$7:$G$26,"="&amp;(SUBSTITUTE(SUBSTITUTE(SUBSTITUTE(SUBSTITUTE("type:"&amp;B1165,"%","%25"),"~","%7E"),"*","%2A"),"?","%3F")))&gt;1,"Duplicate type",IF(INDEX('Rules'!$F$7:$F$26,MATCH(SUBSTITUTE(SUBSTITUTE(SUBSTITUTE(SUBSTITUTE("type:"&amp;B1165,"%","%25"),"~","%7E"),"*","%2A"),"?","%3F"),'Rules'!$G$7:$G$26,0))&lt;&gt;"",INDEX('Rules'!$F$7:$F$26,MATCH(SUBSTITUTE(SUBSTITUTE(SUBSTITUTE(SUBSTITUTE("type:"&amp;B1165,"%","%25"),"~","%7E"),"*","%2A"),"?","%3F"),'Rules'!$G$7:$G$26,0)),IF(AND(C1165&lt;&gt;"",C1165&lt;&gt;INDEX('Rules'!$B$7:$B$26,MATCH(SUBSTITUTE(SUBSTITUTE(SUBSTITUTE(SUBSTITUTE("type:"&amp;B1165,"%","%25"),"~","%7E"),"*","%2A"),"?","%3F"),'Rules'!$G$7:$G$26,0))),"Unit mismatch",IF(IF(NOT(ISNUMBER(D1165)),TRUE,OR(D1165&lt;0,D1165&gt;999999999,ROUND(D1165,3)&lt;&gt;D1165)),"Invalid current reading",IF(AND(E1165&lt;&gt;"",IF(NOT(ISNUMBER(E1165)),TRUE,OR(E1165&lt;0,E1165&gt;999999999,ROUND(E1165,3)&lt;&gt;E1165))),"Invalid previous reading",IF(IF(NOT(ISNUMBER(F1165)),TRUE,OR(F1165&lt;0,F1165&gt;999999999,ROUND(F1165,3)&lt;&gt;F1165)),"Invalid last service",IF(AND(E1165&lt;&gt;"",D1165&lt;E1165),"Decreased reading",IF(F1165&gt;D1165,"Last service above current","")))))))))))))</x:f>
      </x:c>
      <x:c r="L1165" s="6" t="str">
        <x:f>IF(AND(NOT(COUNTA(A1165:F1165)=0),K1165=""),INDEX('Rules'!$C$7:$C$26,MATCH(SUBSTITUTE(SUBSTITUTE(SUBSTITUTE(SUBSTITUTE("type:"&amp;B1165,"%","%25"),"~","%7E"),"*","%2A"),"?","%3F"),'Rules'!$G$7:$G$26,0)),"")</x:f>
      </x:c>
      <x:c r="M1165" s="6" t="str">
        <x:f>IF(AND(NOT(COUNTA(A1165:F1165)=0),K1165=""),INDEX('Rules'!$D$7:$D$26,MATCH(SUBSTITUTE(SUBSTITUTE(SUBSTITUTE(SUBSTITUTE("type:"&amp;B1165,"%","%25"),"~","%7E"),"*","%2A"),"?","%3F"),'Rules'!$G$7:$G$26,0)),"")</x:f>
      </x:c>
      <x:c r="N1165" s="5" t="str">
        <x:f>IF(COUNTA(A1165:F1165)=0,"",SUBSTITUTE(SUBSTITUTE(SUBSTITUTE(SUBSTITUTE("id:"&amp;A1165,"%","%25"),"~","%7E"),"*","%2A"),"?","%3F"))</x:f>
      </x:c>
    </x:row>
    <x:row r="1166" ht="22" customHeight="1">
      <x:c r="A1166" s="3"/>
      <x:c r="B1166" s="3"/>
      <x:c r="C1166" s="3"/>
      <x:c r="D1166" s="4"/>
      <x:c r="E1166" s="4"/>
      <x:c r="F1166" s="4"/>
      <x:c r="G1166" s="5" t="str">
        <x:f>IF(COUNTA(A1166:F1166)=0,"",IF(K1166&lt;&gt;"","Review",IF(I1166&lt;0,"Overdue",IF(I1166=0,"Due now",IF(I1166&lt;=M1166,"Due soon","Not due")))))</x:f>
      </x:c>
      <x:c r="H1166" s="5" t="str">
        <x:f>IF(OR(COUNTA(A1166:F1166)=0,COUNTIFS('Rules'!$G$7:$G$26,"="&amp;(SUBSTITUTE(SUBSTITUTE(SUBSTITUTE(SUBSTITUTE("type:"&amp;B1166,"%","%25"),"~","%7E"),"*","%2A"),"?","%3F")))&lt;&gt;1),"",IF(OR(INDEX('Rules'!$B$7:$B$26,MATCH(SUBSTITUTE(SUBSTITUTE(SUBSTITUTE(SUBSTITUTE("type:"&amp;B1166,"%","%25"),"~","%7E"),"*","%2A"),"?","%3F"),'Rules'!$G$7:$G$26,0))="hours",INDEX('Rules'!$B$7:$B$26,MATCH(SUBSTITUTE(SUBSTITUTE(SUBSTITUTE(SUBSTITUTE("type:"&amp;B1166,"%","%25"),"~","%7E"),"*","%2A"),"?","%3F"),'Rules'!$G$7:$G$26,0))="km"),INDEX('Rules'!$B$7:$B$26,MATCH(SUBSTITUTE(SUBSTITUTE(SUBSTITUTE(SUBSTITUTE("type:"&amp;B1166,"%","%25"),"~","%7E"),"*","%2A"),"?","%3F"),'Rules'!$G$7:$G$26,0)),""))</x:f>
      </x:c>
      <x:c r="I1166" s="6" t="str">
        <x:f>IF(AND(NOT(COUNTA(A1166:F1166)=0),K1166=""),ROUND(J1166-D1166,3),"")</x:f>
      </x:c>
      <x:c r="J1166" s="6" t="str">
        <x:f>IF(AND(NOT(COUNTA(A1166:F1166)=0),K1166=""),ROUND(F1166+L1166,3),"")</x:f>
      </x:c>
      <x:c r="K1166" s="5" t="str">
        <x:f>IF(COUNTA(A1166:F1166)=0,"",IF(A1166="","Missing equipment ID",IF(COUNTIFS($N$8:$N$2007,"="&amp;N1166)&gt;1,"Duplicate equipment ID",IF(B1166="","Missing type",IF(COUNTIFS('Rules'!$G$7:$G$26,"="&amp;(SUBSTITUTE(SUBSTITUTE(SUBSTITUTE(SUBSTITUTE("type:"&amp;B1166,"%","%25"),"~","%7E"),"*","%2A"),"?","%3F")))=0,"Unknown type",IF(COUNTIFS('Rules'!$G$7:$G$26,"="&amp;(SUBSTITUTE(SUBSTITUTE(SUBSTITUTE(SUBSTITUTE("type:"&amp;B1166,"%","%25"),"~","%7E"),"*","%2A"),"?","%3F")))&gt;1,"Duplicate type",IF(INDEX('Rules'!$F$7:$F$26,MATCH(SUBSTITUTE(SUBSTITUTE(SUBSTITUTE(SUBSTITUTE("type:"&amp;B1166,"%","%25"),"~","%7E"),"*","%2A"),"?","%3F"),'Rules'!$G$7:$G$26,0))&lt;&gt;"",INDEX('Rules'!$F$7:$F$26,MATCH(SUBSTITUTE(SUBSTITUTE(SUBSTITUTE(SUBSTITUTE("type:"&amp;B1166,"%","%25"),"~","%7E"),"*","%2A"),"?","%3F"),'Rules'!$G$7:$G$26,0)),IF(AND(C1166&lt;&gt;"",C1166&lt;&gt;INDEX('Rules'!$B$7:$B$26,MATCH(SUBSTITUTE(SUBSTITUTE(SUBSTITUTE(SUBSTITUTE("type:"&amp;B1166,"%","%25"),"~","%7E"),"*","%2A"),"?","%3F"),'Rules'!$G$7:$G$26,0))),"Unit mismatch",IF(IF(NOT(ISNUMBER(D1166)),TRUE,OR(D1166&lt;0,D1166&gt;999999999,ROUND(D1166,3)&lt;&gt;D1166)),"Invalid current reading",IF(AND(E1166&lt;&gt;"",IF(NOT(ISNUMBER(E1166)),TRUE,OR(E1166&lt;0,E1166&gt;999999999,ROUND(E1166,3)&lt;&gt;E1166))),"Invalid previous reading",IF(IF(NOT(ISNUMBER(F1166)),TRUE,OR(F1166&lt;0,F1166&gt;999999999,ROUND(F1166,3)&lt;&gt;F1166)),"Invalid last service",IF(AND(E1166&lt;&gt;"",D1166&lt;E1166),"Decreased reading",IF(F1166&gt;D1166,"Last service above current","")))))))))))))</x:f>
      </x:c>
      <x:c r="L1166" s="6" t="str">
        <x:f>IF(AND(NOT(COUNTA(A1166:F1166)=0),K1166=""),INDEX('Rules'!$C$7:$C$26,MATCH(SUBSTITUTE(SUBSTITUTE(SUBSTITUTE(SUBSTITUTE("type:"&amp;B1166,"%","%25"),"~","%7E"),"*","%2A"),"?","%3F"),'Rules'!$G$7:$G$26,0)),"")</x:f>
      </x:c>
      <x:c r="M1166" s="6" t="str">
        <x:f>IF(AND(NOT(COUNTA(A1166:F1166)=0),K1166=""),INDEX('Rules'!$D$7:$D$26,MATCH(SUBSTITUTE(SUBSTITUTE(SUBSTITUTE(SUBSTITUTE("type:"&amp;B1166,"%","%25"),"~","%7E"),"*","%2A"),"?","%3F"),'Rules'!$G$7:$G$26,0)),"")</x:f>
      </x:c>
      <x:c r="N1166" s="5" t="str">
        <x:f>IF(COUNTA(A1166:F1166)=0,"",SUBSTITUTE(SUBSTITUTE(SUBSTITUTE(SUBSTITUTE("id:"&amp;A1166,"%","%25"),"~","%7E"),"*","%2A"),"?","%3F"))</x:f>
      </x:c>
    </x:row>
    <x:row r="1167" ht="22" customHeight="1">
      <x:c r="A1167" s="3"/>
      <x:c r="B1167" s="3"/>
      <x:c r="C1167" s="3"/>
      <x:c r="D1167" s="4"/>
      <x:c r="E1167" s="4"/>
      <x:c r="F1167" s="4"/>
      <x:c r="G1167" s="5" t="str">
        <x:f>IF(COUNTA(A1167:F1167)=0,"",IF(K1167&lt;&gt;"","Review",IF(I1167&lt;0,"Overdue",IF(I1167=0,"Due now",IF(I1167&lt;=M1167,"Due soon","Not due")))))</x:f>
      </x:c>
      <x:c r="H1167" s="5" t="str">
        <x:f>IF(OR(COUNTA(A1167:F1167)=0,COUNTIFS('Rules'!$G$7:$G$26,"="&amp;(SUBSTITUTE(SUBSTITUTE(SUBSTITUTE(SUBSTITUTE("type:"&amp;B1167,"%","%25"),"~","%7E"),"*","%2A"),"?","%3F")))&lt;&gt;1),"",IF(OR(INDEX('Rules'!$B$7:$B$26,MATCH(SUBSTITUTE(SUBSTITUTE(SUBSTITUTE(SUBSTITUTE("type:"&amp;B1167,"%","%25"),"~","%7E"),"*","%2A"),"?","%3F"),'Rules'!$G$7:$G$26,0))="hours",INDEX('Rules'!$B$7:$B$26,MATCH(SUBSTITUTE(SUBSTITUTE(SUBSTITUTE(SUBSTITUTE("type:"&amp;B1167,"%","%25"),"~","%7E"),"*","%2A"),"?","%3F"),'Rules'!$G$7:$G$26,0))="km"),INDEX('Rules'!$B$7:$B$26,MATCH(SUBSTITUTE(SUBSTITUTE(SUBSTITUTE(SUBSTITUTE("type:"&amp;B1167,"%","%25"),"~","%7E"),"*","%2A"),"?","%3F"),'Rules'!$G$7:$G$26,0)),""))</x:f>
      </x:c>
      <x:c r="I1167" s="6" t="str">
        <x:f>IF(AND(NOT(COUNTA(A1167:F1167)=0),K1167=""),ROUND(J1167-D1167,3),"")</x:f>
      </x:c>
      <x:c r="J1167" s="6" t="str">
        <x:f>IF(AND(NOT(COUNTA(A1167:F1167)=0),K1167=""),ROUND(F1167+L1167,3),"")</x:f>
      </x:c>
      <x:c r="K1167" s="5" t="str">
        <x:f>IF(COUNTA(A1167:F1167)=0,"",IF(A1167="","Missing equipment ID",IF(COUNTIFS($N$8:$N$2007,"="&amp;N1167)&gt;1,"Duplicate equipment ID",IF(B1167="","Missing type",IF(COUNTIFS('Rules'!$G$7:$G$26,"="&amp;(SUBSTITUTE(SUBSTITUTE(SUBSTITUTE(SUBSTITUTE("type:"&amp;B1167,"%","%25"),"~","%7E"),"*","%2A"),"?","%3F")))=0,"Unknown type",IF(COUNTIFS('Rules'!$G$7:$G$26,"="&amp;(SUBSTITUTE(SUBSTITUTE(SUBSTITUTE(SUBSTITUTE("type:"&amp;B1167,"%","%25"),"~","%7E"),"*","%2A"),"?","%3F")))&gt;1,"Duplicate type",IF(INDEX('Rules'!$F$7:$F$26,MATCH(SUBSTITUTE(SUBSTITUTE(SUBSTITUTE(SUBSTITUTE("type:"&amp;B1167,"%","%25"),"~","%7E"),"*","%2A"),"?","%3F"),'Rules'!$G$7:$G$26,0))&lt;&gt;"",INDEX('Rules'!$F$7:$F$26,MATCH(SUBSTITUTE(SUBSTITUTE(SUBSTITUTE(SUBSTITUTE("type:"&amp;B1167,"%","%25"),"~","%7E"),"*","%2A"),"?","%3F"),'Rules'!$G$7:$G$26,0)),IF(AND(C1167&lt;&gt;"",C1167&lt;&gt;INDEX('Rules'!$B$7:$B$26,MATCH(SUBSTITUTE(SUBSTITUTE(SUBSTITUTE(SUBSTITUTE("type:"&amp;B1167,"%","%25"),"~","%7E"),"*","%2A"),"?","%3F"),'Rules'!$G$7:$G$26,0))),"Unit mismatch",IF(IF(NOT(ISNUMBER(D1167)),TRUE,OR(D1167&lt;0,D1167&gt;999999999,ROUND(D1167,3)&lt;&gt;D1167)),"Invalid current reading",IF(AND(E1167&lt;&gt;"",IF(NOT(ISNUMBER(E1167)),TRUE,OR(E1167&lt;0,E1167&gt;999999999,ROUND(E1167,3)&lt;&gt;E1167))),"Invalid previous reading",IF(IF(NOT(ISNUMBER(F1167)),TRUE,OR(F1167&lt;0,F1167&gt;999999999,ROUND(F1167,3)&lt;&gt;F1167)),"Invalid last service",IF(AND(E1167&lt;&gt;"",D1167&lt;E1167),"Decreased reading",IF(F1167&gt;D1167,"Last service above current","")))))))))))))</x:f>
      </x:c>
      <x:c r="L1167" s="6" t="str">
        <x:f>IF(AND(NOT(COUNTA(A1167:F1167)=0),K1167=""),INDEX('Rules'!$C$7:$C$26,MATCH(SUBSTITUTE(SUBSTITUTE(SUBSTITUTE(SUBSTITUTE("type:"&amp;B1167,"%","%25"),"~","%7E"),"*","%2A"),"?","%3F"),'Rules'!$G$7:$G$26,0)),"")</x:f>
      </x:c>
      <x:c r="M1167" s="6" t="str">
        <x:f>IF(AND(NOT(COUNTA(A1167:F1167)=0),K1167=""),INDEX('Rules'!$D$7:$D$26,MATCH(SUBSTITUTE(SUBSTITUTE(SUBSTITUTE(SUBSTITUTE("type:"&amp;B1167,"%","%25"),"~","%7E"),"*","%2A"),"?","%3F"),'Rules'!$G$7:$G$26,0)),"")</x:f>
      </x:c>
      <x:c r="N1167" s="5" t="str">
        <x:f>IF(COUNTA(A1167:F1167)=0,"",SUBSTITUTE(SUBSTITUTE(SUBSTITUTE(SUBSTITUTE("id:"&amp;A1167,"%","%25"),"~","%7E"),"*","%2A"),"?","%3F"))</x:f>
      </x:c>
    </x:row>
    <x:row r="1168" ht="22" customHeight="1">
      <x:c r="A1168" s="3"/>
      <x:c r="B1168" s="3"/>
      <x:c r="C1168" s="3"/>
      <x:c r="D1168" s="4"/>
      <x:c r="E1168" s="4"/>
      <x:c r="F1168" s="4"/>
      <x:c r="G1168" s="5" t="str">
        <x:f>IF(COUNTA(A1168:F1168)=0,"",IF(K1168&lt;&gt;"","Review",IF(I1168&lt;0,"Overdue",IF(I1168=0,"Due now",IF(I1168&lt;=M1168,"Due soon","Not due")))))</x:f>
      </x:c>
      <x:c r="H1168" s="5" t="str">
        <x:f>IF(OR(COUNTA(A1168:F1168)=0,COUNTIFS('Rules'!$G$7:$G$26,"="&amp;(SUBSTITUTE(SUBSTITUTE(SUBSTITUTE(SUBSTITUTE("type:"&amp;B1168,"%","%25"),"~","%7E"),"*","%2A"),"?","%3F")))&lt;&gt;1),"",IF(OR(INDEX('Rules'!$B$7:$B$26,MATCH(SUBSTITUTE(SUBSTITUTE(SUBSTITUTE(SUBSTITUTE("type:"&amp;B1168,"%","%25"),"~","%7E"),"*","%2A"),"?","%3F"),'Rules'!$G$7:$G$26,0))="hours",INDEX('Rules'!$B$7:$B$26,MATCH(SUBSTITUTE(SUBSTITUTE(SUBSTITUTE(SUBSTITUTE("type:"&amp;B1168,"%","%25"),"~","%7E"),"*","%2A"),"?","%3F"),'Rules'!$G$7:$G$26,0))="km"),INDEX('Rules'!$B$7:$B$26,MATCH(SUBSTITUTE(SUBSTITUTE(SUBSTITUTE(SUBSTITUTE("type:"&amp;B1168,"%","%25"),"~","%7E"),"*","%2A"),"?","%3F"),'Rules'!$G$7:$G$26,0)),""))</x:f>
      </x:c>
      <x:c r="I1168" s="6" t="str">
        <x:f>IF(AND(NOT(COUNTA(A1168:F1168)=0),K1168=""),ROUND(J1168-D1168,3),"")</x:f>
      </x:c>
      <x:c r="J1168" s="6" t="str">
        <x:f>IF(AND(NOT(COUNTA(A1168:F1168)=0),K1168=""),ROUND(F1168+L1168,3),"")</x:f>
      </x:c>
      <x:c r="K1168" s="5" t="str">
        <x:f>IF(COUNTA(A1168:F1168)=0,"",IF(A1168="","Missing equipment ID",IF(COUNTIFS($N$8:$N$2007,"="&amp;N1168)&gt;1,"Duplicate equipment ID",IF(B1168="","Missing type",IF(COUNTIFS('Rules'!$G$7:$G$26,"="&amp;(SUBSTITUTE(SUBSTITUTE(SUBSTITUTE(SUBSTITUTE("type:"&amp;B1168,"%","%25"),"~","%7E"),"*","%2A"),"?","%3F")))=0,"Unknown type",IF(COUNTIFS('Rules'!$G$7:$G$26,"="&amp;(SUBSTITUTE(SUBSTITUTE(SUBSTITUTE(SUBSTITUTE("type:"&amp;B1168,"%","%25"),"~","%7E"),"*","%2A"),"?","%3F")))&gt;1,"Duplicate type",IF(INDEX('Rules'!$F$7:$F$26,MATCH(SUBSTITUTE(SUBSTITUTE(SUBSTITUTE(SUBSTITUTE("type:"&amp;B1168,"%","%25"),"~","%7E"),"*","%2A"),"?","%3F"),'Rules'!$G$7:$G$26,0))&lt;&gt;"",INDEX('Rules'!$F$7:$F$26,MATCH(SUBSTITUTE(SUBSTITUTE(SUBSTITUTE(SUBSTITUTE("type:"&amp;B1168,"%","%25"),"~","%7E"),"*","%2A"),"?","%3F"),'Rules'!$G$7:$G$26,0)),IF(AND(C1168&lt;&gt;"",C1168&lt;&gt;INDEX('Rules'!$B$7:$B$26,MATCH(SUBSTITUTE(SUBSTITUTE(SUBSTITUTE(SUBSTITUTE("type:"&amp;B1168,"%","%25"),"~","%7E"),"*","%2A"),"?","%3F"),'Rules'!$G$7:$G$26,0))),"Unit mismatch",IF(IF(NOT(ISNUMBER(D1168)),TRUE,OR(D1168&lt;0,D1168&gt;999999999,ROUND(D1168,3)&lt;&gt;D1168)),"Invalid current reading",IF(AND(E1168&lt;&gt;"",IF(NOT(ISNUMBER(E1168)),TRUE,OR(E1168&lt;0,E1168&gt;999999999,ROUND(E1168,3)&lt;&gt;E1168))),"Invalid previous reading",IF(IF(NOT(ISNUMBER(F1168)),TRUE,OR(F1168&lt;0,F1168&gt;999999999,ROUND(F1168,3)&lt;&gt;F1168)),"Invalid last service",IF(AND(E1168&lt;&gt;"",D1168&lt;E1168),"Decreased reading",IF(F1168&gt;D1168,"Last service above current","")))))))))))))</x:f>
      </x:c>
      <x:c r="L1168" s="6" t="str">
        <x:f>IF(AND(NOT(COUNTA(A1168:F1168)=0),K1168=""),INDEX('Rules'!$C$7:$C$26,MATCH(SUBSTITUTE(SUBSTITUTE(SUBSTITUTE(SUBSTITUTE("type:"&amp;B1168,"%","%25"),"~","%7E"),"*","%2A"),"?","%3F"),'Rules'!$G$7:$G$26,0)),"")</x:f>
      </x:c>
      <x:c r="M1168" s="6" t="str">
        <x:f>IF(AND(NOT(COUNTA(A1168:F1168)=0),K1168=""),INDEX('Rules'!$D$7:$D$26,MATCH(SUBSTITUTE(SUBSTITUTE(SUBSTITUTE(SUBSTITUTE("type:"&amp;B1168,"%","%25"),"~","%7E"),"*","%2A"),"?","%3F"),'Rules'!$G$7:$G$26,0)),"")</x:f>
      </x:c>
      <x:c r="N1168" s="5" t="str">
        <x:f>IF(COUNTA(A1168:F1168)=0,"",SUBSTITUTE(SUBSTITUTE(SUBSTITUTE(SUBSTITUTE("id:"&amp;A1168,"%","%25"),"~","%7E"),"*","%2A"),"?","%3F"))</x:f>
      </x:c>
    </x:row>
    <x:row r="1169" ht="22" customHeight="1">
      <x:c r="A1169" s="3"/>
      <x:c r="B1169" s="3"/>
      <x:c r="C1169" s="3"/>
      <x:c r="D1169" s="4"/>
      <x:c r="E1169" s="4"/>
      <x:c r="F1169" s="4"/>
      <x:c r="G1169" s="5" t="str">
        <x:f>IF(COUNTA(A1169:F1169)=0,"",IF(K1169&lt;&gt;"","Review",IF(I1169&lt;0,"Overdue",IF(I1169=0,"Due now",IF(I1169&lt;=M1169,"Due soon","Not due")))))</x:f>
      </x:c>
      <x:c r="H1169" s="5" t="str">
        <x:f>IF(OR(COUNTA(A1169:F1169)=0,COUNTIFS('Rules'!$G$7:$G$26,"="&amp;(SUBSTITUTE(SUBSTITUTE(SUBSTITUTE(SUBSTITUTE("type:"&amp;B1169,"%","%25"),"~","%7E"),"*","%2A"),"?","%3F")))&lt;&gt;1),"",IF(OR(INDEX('Rules'!$B$7:$B$26,MATCH(SUBSTITUTE(SUBSTITUTE(SUBSTITUTE(SUBSTITUTE("type:"&amp;B1169,"%","%25"),"~","%7E"),"*","%2A"),"?","%3F"),'Rules'!$G$7:$G$26,0))="hours",INDEX('Rules'!$B$7:$B$26,MATCH(SUBSTITUTE(SUBSTITUTE(SUBSTITUTE(SUBSTITUTE("type:"&amp;B1169,"%","%25"),"~","%7E"),"*","%2A"),"?","%3F"),'Rules'!$G$7:$G$26,0))="km"),INDEX('Rules'!$B$7:$B$26,MATCH(SUBSTITUTE(SUBSTITUTE(SUBSTITUTE(SUBSTITUTE("type:"&amp;B1169,"%","%25"),"~","%7E"),"*","%2A"),"?","%3F"),'Rules'!$G$7:$G$26,0)),""))</x:f>
      </x:c>
      <x:c r="I1169" s="6" t="str">
        <x:f>IF(AND(NOT(COUNTA(A1169:F1169)=0),K1169=""),ROUND(J1169-D1169,3),"")</x:f>
      </x:c>
      <x:c r="J1169" s="6" t="str">
        <x:f>IF(AND(NOT(COUNTA(A1169:F1169)=0),K1169=""),ROUND(F1169+L1169,3),"")</x:f>
      </x:c>
      <x:c r="K1169" s="5" t="str">
        <x:f>IF(COUNTA(A1169:F1169)=0,"",IF(A1169="","Missing equipment ID",IF(COUNTIFS($N$8:$N$2007,"="&amp;N1169)&gt;1,"Duplicate equipment ID",IF(B1169="","Missing type",IF(COUNTIFS('Rules'!$G$7:$G$26,"="&amp;(SUBSTITUTE(SUBSTITUTE(SUBSTITUTE(SUBSTITUTE("type:"&amp;B1169,"%","%25"),"~","%7E"),"*","%2A"),"?","%3F")))=0,"Unknown type",IF(COUNTIFS('Rules'!$G$7:$G$26,"="&amp;(SUBSTITUTE(SUBSTITUTE(SUBSTITUTE(SUBSTITUTE("type:"&amp;B1169,"%","%25"),"~","%7E"),"*","%2A"),"?","%3F")))&gt;1,"Duplicate type",IF(INDEX('Rules'!$F$7:$F$26,MATCH(SUBSTITUTE(SUBSTITUTE(SUBSTITUTE(SUBSTITUTE("type:"&amp;B1169,"%","%25"),"~","%7E"),"*","%2A"),"?","%3F"),'Rules'!$G$7:$G$26,0))&lt;&gt;"",INDEX('Rules'!$F$7:$F$26,MATCH(SUBSTITUTE(SUBSTITUTE(SUBSTITUTE(SUBSTITUTE("type:"&amp;B1169,"%","%25"),"~","%7E"),"*","%2A"),"?","%3F"),'Rules'!$G$7:$G$26,0)),IF(AND(C1169&lt;&gt;"",C1169&lt;&gt;INDEX('Rules'!$B$7:$B$26,MATCH(SUBSTITUTE(SUBSTITUTE(SUBSTITUTE(SUBSTITUTE("type:"&amp;B1169,"%","%25"),"~","%7E"),"*","%2A"),"?","%3F"),'Rules'!$G$7:$G$26,0))),"Unit mismatch",IF(IF(NOT(ISNUMBER(D1169)),TRUE,OR(D1169&lt;0,D1169&gt;999999999,ROUND(D1169,3)&lt;&gt;D1169)),"Invalid current reading",IF(AND(E1169&lt;&gt;"",IF(NOT(ISNUMBER(E1169)),TRUE,OR(E1169&lt;0,E1169&gt;999999999,ROUND(E1169,3)&lt;&gt;E1169))),"Invalid previous reading",IF(IF(NOT(ISNUMBER(F1169)),TRUE,OR(F1169&lt;0,F1169&gt;999999999,ROUND(F1169,3)&lt;&gt;F1169)),"Invalid last service",IF(AND(E1169&lt;&gt;"",D1169&lt;E1169),"Decreased reading",IF(F1169&gt;D1169,"Last service above current","")))))))))))))</x:f>
      </x:c>
      <x:c r="L1169" s="6" t="str">
        <x:f>IF(AND(NOT(COUNTA(A1169:F1169)=0),K1169=""),INDEX('Rules'!$C$7:$C$26,MATCH(SUBSTITUTE(SUBSTITUTE(SUBSTITUTE(SUBSTITUTE("type:"&amp;B1169,"%","%25"),"~","%7E"),"*","%2A"),"?","%3F"),'Rules'!$G$7:$G$26,0)),"")</x:f>
      </x:c>
      <x:c r="M1169" s="6" t="str">
        <x:f>IF(AND(NOT(COUNTA(A1169:F1169)=0),K1169=""),INDEX('Rules'!$D$7:$D$26,MATCH(SUBSTITUTE(SUBSTITUTE(SUBSTITUTE(SUBSTITUTE("type:"&amp;B1169,"%","%25"),"~","%7E"),"*","%2A"),"?","%3F"),'Rules'!$G$7:$G$26,0)),"")</x:f>
      </x:c>
      <x:c r="N1169" s="5" t="str">
        <x:f>IF(COUNTA(A1169:F1169)=0,"",SUBSTITUTE(SUBSTITUTE(SUBSTITUTE(SUBSTITUTE("id:"&amp;A1169,"%","%25"),"~","%7E"),"*","%2A"),"?","%3F"))</x:f>
      </x:c>
    </x:row>
    <x:row r="1170" ht="22" customHeight="1">
      <x:c r="A1170" s="3"/>
      <x:c r="B1170" s="3"/>
      <x:c r="C1170" s="3"/>
      <x:c r="D1170" s="4"/>
      <x:c r="E1170" s="4"/>
      <x:c r="F1170" s="4"/>
      <x:c r="G1170" s="5" t="str">
        <x:f>IF(COUNTA(A1170:F1170)=0,"",IF(K1170&lt;&gt;"","Review",IF(I1170&lt;0,"Overdue",IF(I1170=0,"Due now",IF(I1170&lt;=M1170,"Due soon","Not due")))))</x:f>
      </x:c>
      <x:c r="H1170" s="5" t="str">
        <x:f>IF(OR(COUNTA(A1170:F1170)=0,COUNTIFS('Rules'!$G$7:$G$26,"="&amp;(SUBSTITUTE(SUBSTITUTE(SUBSTITUTE(SUBSTITUTE("type:"&amp;B1170,"%","%25"),"~","%7E"),"*","%2A"),"?","%3F")))&lt;&gt;1),"",IF(OR(INDEX('Rules'!$B$7:$B$26,MATCH(SUBSTITUTE(SUBSTITUTE(SUBSTITUTE(SUBSTITUTE("type:"&amp;B1170,"%","%25"),"~","%7E"),"*","%2A"),"?","%3F"),'Rules'!$G$7:$G$26,0))="hours",INDEX('Rules'!$B$7:$B$26,MATCH(SUBSTITUTE(SUBSTITUTE(SUBSTITUTE(SUBSTITUTE("type:"&amp;B1170,"%","%25"),"~","%7E"),"*","%2A"),"?","%3F"),'Rules'!$G$7:$G$26,0))="km"),INDEX('Rules'!$B$7:$B$26,MATCH(SUBSTITUTE(SUBSTITUTE(SUBSTITUTE(SUBSTITUTE("type:"&amp;B1170,"%","%25"),"~","%7E"),"*","%2A"),"?","%3F"),'Rules'!$G$7:$G$26,0)),""))</x:f>
      </x:c>
      <x:c r="I1170" s="6" t="str">
        <x:f>IF(AND(NOT(COUNTA(A1170:F1170)=0),K1170=""),ROUND(J1170-D1170,3),"")</x:f>
      </x:c>
      <x:c r="J1170" s="6" t="str">
        <x:f>IF(AND(NOT(COUNTA(A1170:F1170)=0),K1170=""),ROUND(F1170+L1170,3),"")</x:f>
      </x:c>
      <x:c r="K1170" s="5" t="str">
        <x:f>IF(COUNTA(A1170:F1170)=0,"",IF(A1170="","Missing equipment ID",IF(COUNTIFS($N$8:$N$2007,"="&amp;N1170)&gt;1,"Duplicate equipment ID",IF(B1170="","Missing type",IF(COUNTIFS('Rules'!$G$7:$G$26,"="&amp;(SUBSTITUTE(SUBSTITUTE(SUBSTITUTE(SUBSTITUTE("type:"&amp;B1170,"%","%25"),"~","%7E"),"*","%2A"),"?","%3F")))=0,"Unknown type",IF(COUNTIFS('Rules'!$G$7:$G$26,"="&amp;(SUBSTITUTE(SUBSTITUTE(SUBSTITUTE(SUBSTITUTE("type:"&amp;B1170,"%","%25"),"~","%7E"),"*","%2A"),"?","%3F")))&gt;1,"Duplicate type",IF(INDEX('Rules'!$F$7:$F$26,MATCH(SUBSTITUTE(SUBSTITUTE(SUBSTITUTE(SUBSTITUTE("type:"&amp;B1170,"%","%25"),"~","%7E"),"*","%2A"),"?","%3F"),'Rules'!$G$7:$G$26,0))&lt;&gt;"",INDEX('Rules'!$F$7:$F$26,MATCH(SUBSTITUTE(SUBSTITUTE(SUBSTITUTE(SUBSTITUTE("type:"&amp;B1170,"%","%25"),"~","%7E"),"*","%2A"),"?","%3F"),'Rules'!$G$7:$G$26,0)),IF(AND(C1170&lt;&gt;"",C1170&lt;&gt;INDEX('Rules'!$B$7:$B$26,MATCH(SUBSTITUTE(SUBSTITUTE(SUBSTITUTE(SUBSTITUTE("type:"&amp;B1170,"%","%25"),"~","%7E"),"*","%2A"),"?","%3F"),'Rules'!$G$7:$G$26,0))),"Unit mismatch",IF(IF(NOT(ISNUMBER(D1170)),TRUE,OR(D1170&lt;0,D1170&gt;999999999,ROUND(D1170,3)&lt;&gt;D1170)),"Invalid current reading",IF(AND(E1170&lt;&gt;"",IF(NOT(ISNUMBER(E1170)),TRUE,OR(E1170&lt;0,E1170&gt;999999999,ROUND(E1170,3)&lt;&gt;E1170))),"Invalid previous reading",IF(IF(NOT(ISNUMBER(F1170)),TRUE,OR(F1170&lt;0,F1170&gt;999999999,ROUND(F1170,3)&lt;&gt;F1170)),"Invalid last service",IF(AND(E1170&lt;&gt;"",D1170&lt;E1170),"Decreased reading",IF(F1170&gt;D1170,"Last service above current","")))))))))))))</x:f>
      </x:c>
      <x:c r="L1170" s="6" t="str">
        <x:f>IF(AND(NOT(COUNTA(A1170:F1170)=0),K1170=""),INDEX('Rules'!$C$7:$C$26,MATCH(SUBSTITUTE(SUBSTITUTE(SUBSTITUTE(SUBSTITUTE("type:"&amp;B1170,"%","%25"),"~","%7E"),"*","%2A"),"?","%3F"),'Rules'!$G$7:$G$26,0)),"")</x:f>
      </x:c>
      <x:c r="M1170" s="6" t="str">
        <x:f>IF(AND(NOT(COUNTA(A1170:F1170)=0),K1170=""),INDEX('Rules'!$D$7:$D$26,MATCH(SUBSTITUTE(SUBSTITUTE(SUBSTITUTE(SUBSTITUTE("type:"&amp;B1170,"%","%25"),"~","%7E"),"*","%2A"),"?","%3F"),'Rules'!$G$7:$G$26,0)),"")</x:f>
      </x:c>
      <x:c r="N1170" s="5" t="str">
        <x:f>IF(COUNTA(A1170:F1170)=0,"",SUBSTITUTE(SUBSTITUTE(SUBSTITUTE(SUBSTITUTE("id:"&amp;A1170,"%","%25"),"~","%7E"),"*","%2A"),"?","%3F"))</x:f>
      </x:c>
    </x:row>
    <x:row r="1171" ht="22" customHeight="1">
      <x:c r="A1171" s="3"/>
      <x:c r="B1171" s="3"/>
      <x:c r="C1171" s="3"/>
      <x:c r="D1171" s="4"/>
      <x:c r="E1171" s="4"/>
      <x:c r="F1171" s="4"/>
      <x:c r="G1171" s="5" t="str">
        <x:f>IF(COUNTA(A1171:F1171)=0,"",IF(K1171&lt;&gt;"","Review",IF(I1171&lt;0,"Overdue",IF(I1171=0,"Due now",IF(I1171&lt;=M1171,"Due soon","Not due")))))</x:f>
      </x:c>
      <x:c r="H1171" s="5" t="str">
        <x:f>IF(OR(COUNTA(A1171:F1171)=0,COUNTIFS('Rules'!$G$7:$G$26,"="&amp;(SUBSTITUTE(SUBSTITUTE(SUBSTITUTE(SUBSTITUTE("type:"&amp;B1171,"%","%25"),"~","%7E"),"*","%2A"),"?","%3F")))&lt;&gt;1),"",IF(OR(INDEX('Rules'!$B$7:$B$26,MATCH(SUBSTITUTE(SUBSTITUTE(SUBSTITUTE(SUBSTITUTE("type:"&amp;B1171,"%","%25"),"~","%7E"),"*","%2A"),"?","%3F"),'Rules'!$G$7:$G$26,0))="hours",INDEX('Rules'!$B$7:$B$26,MATCH(SUBSTITUTE(SUBSTITUTE(SUBSTITUTE(SUBSTITUTE("type:"&amp;B1171,"%","%25"),"~","%7E"),"*","%2A"),"?","%3F"),'Rules'!$G$7:$G$26,0))="km"),INDEX('Rules'!$B$7:$B$26,MATCH(SUBSTITUTE(SUBSTITUTE(SUBSTITUTE(SUBSTITUTE("type:"&amp;B1171,"%","%25"),"~","%7E"),"*","%2A"),"?","%3F"),'Rules'!$G$7:$G$26,0)),""))</x:f>
      </x:c>
      <x:c r="I1171" s="6" t="str">
        <x:f>IF(AND(NOT(COUNTA(A1171:F1171)=0),K1171=""),ROUND(J1171-D1171,3),"")</x:f>
      </x:c>
      <x:c r="J1171" s="6" t="str">
        <x:f>IF(AND(NOT(COUNTA(A1171:F1171)=0),K1171=""),ROUND(F1171+L1171,3),"")</x:f>
      </x:c>
      <x:c r="K1171" s="5" t="str">
        <x:f>IF(COUNTA(A1171:F1171)=0,"",IF(A1171="","Missing equipment ID",IF(COUNTIFS($N$8:$N$2007,"="&amp;N1171)&gt;1,"Duplicate equipment ID",IF(B1171="","Missing type",IF(COUNTIFS('Rules'!$G$7:$G$26,"="&amp;(SUBSTITUTE(SUBSTITUTE(SUBSTITUTE(SUBSTITUTE("type:"&amp;B1171,"%","%25"),"~","%7E"),"*","%2A"),"?","%3F")))=0,"Unknown type",IF(COUNTIFS('Rules'!$G$7:$G$26,"="&amp;(SUBSTITUTE(SUBSTITUTE(SUBSTITUTE(SUBSTITUTE("type:"&amp;B1171,"%","%25"),"~","%7E"),"*","%2A"),"?","%3F")))&gt;1,"Duplicate type",IF(INDEX('Rules'!$F$7:$F$26,MATCH(SUBSTITUTE(SUBSTITUTE(SUBSTITUTE(SUBSTITUTE("type:"&amp;B1171,"%","%25"),"~","%7E"),"*","%2A"),"?","%3F"),'Rules'!$G$7:$G$26,0))&lt;&gt;"",INDEX('Rules'!$F$7:$F$26,MATCH(SUBSTITUTE(SUBSTITUTE(SUBSTITUTE(SUBSTITUTE("type:"&amp;B1171,"%","%25"),"~","%7E"),"*","%2A"),"?","%3F"),'Rules'!$G$7:$G$26,0)),IF(AND(C1171&lt;&gt;"",C1171&lt;&gt;INDEX('Rules'!$B$7:$B$26,MATCH(SUBSTITUTE(SUBSTITUTE(SUBSTITUTE(SUBSTITUTE("type:"&amp;B1171,"%","%25"),"~","%7E"),"*","%2A"),"?","%3F"),'Rules'!$G$7:$G$26,0))),"Unit mismatch",IF(IF(NOT(ISNUMBER(D1171)),TRUE,OR(D1171&lt;0,D1171&gt;999999999,ROUND(D1171,3)&lt;&gt;D1171)),"Invalid current reading",IF(AND(E1171&lt;&gt;"",IF(NOT(ISNUMBER(E1171)),TRUE,OR(E1171&lt;0,E1171&gt;999999999,ROUND(E1171,3)&lt;&gt;E1171))),"Invalid previous reading",IF(IF(NOT(ISNUMBER(F1171)),TRUE,OR(F1171&lt;0,F1171&gt;999999999,ROUND(F1171,3)&lt;&gt;F1171)),"Invalid last service",IF(AND(E1171&lt;&gt;"",D1171&lt;E1171),"Decreased reading",IF(F1171&gt;D1171,"Last service above current","")))))))))))))</x:f>
      </x:c>
      <x:c r="L1171" s="6" t="str">
        <x:f>IF(AND(NOT(COUNTA(A1171:F1171)=0),K1171=""),INDEX('Rules'!$C$7:$C$26,MATCH(SUBSTITUTE(SUBSTITUTE(SUBSTITUTE(SUBSTITUTE("type:"&amp;B1171,"%","%25"),"~","%7E"),"*","%2A"),"?","%3F"),'Rules'!$G$7:$G$26,0)),"")</x:f>
      </x:c>
      <x:c r="M1171" s="6" t="str">
        <x:f>IF(AND(NOT(COUNTA(A1171:F1171)=0),K1171=""),INDEX('Rules'!$D$7:$D$26,MATCH(SUBSTITUTE(SUBSTITUTE(SUBSTITUTE(SUBSTITUTE("type:"&amp;B1171,"%","%25"),"~","%7E"),"*","%2A"),"?","%3F"),'Rules'!$G$7:$G$26,0)),"")</x:f>
      </x:c>
      <x:c r="N1171" s="5" t="str">
        <x:f>IF(COUNTA(A1171:F1171)=0,"",SUBSTITUTE(SUBSTITUTE(SUBSTITUTE(SUBSTITUTE("id:"&amp;A1171,"%","%25"),"~","%7E"),"*","%2A"),"?","%3F"))</x:f>
      </x:c>
    </x:row>
    <x:row r="1172" ht="22" customHeight="1">
      <x:c r="A1172" s="3"/>
      <x:c r="B1172" s="3"/>
      <x:c r="C1172" s="3"/>
      <x:c r="D1172" s="4"/>
      <x:c r="E1172" s="4"/>
      <x:c r="F1172" s="4"/>
      <x:c r="G1172" s="5" t="str">
        <x:f>IF(COUNTA(A1172:F1172)=0,"",IF(K1172&lt;&gt;"","Review",IF(I1172&lt;0,"Overdue",IF(I1172=0,"Due now",IF(I1172&lt;=M1172,"Due soon","Not due")))))</x:f>
      </x:c>
      <x:c r="H1172" s="5" t="str">
        <x:f>IF(OR(COUNTA(A1172:F1172)=0,COUNTIFS('Rules'!$G$7:$G$26,"="&amp;(SUBSTITUTE(SUBSTITUTE(SUBSTITUTE(SUBSTITUTE("type:"&amp;B1172,"%","%25"),"~","%7E"),"*","%2A"),"?","%3F")))&lt;&gt;1),"",IF(OR(INDEX('Rules'!$B$7:$B$26,MATCH(SUBSTITUTE(SUBSTITUTE(SUBSTITUTE(SUBSTITUTE("type:"&amp;B1172,"%","%25"),"~","%7E"),"*","%2A"),"?","%3F"),'Rules'!$G$7:$G$26,0))="hours",INDEX('Rules'!$B$7:$B$26,MATCH(SUBSTITUTE(SUBSTITUTE(SUBSTITUTE(SUBSTITUTE("type:"&amp;B1172,"%","%25"),"~","%7E"),"*","%2A"),"?","%3F"),'Rules'!$G$7:$G$26,0))="km"),INDEX('Rules'!$B$7:$B$26,MATCH(SUBSTITUTE(SUBSTITUTE(SUBSTITUTE(SUBSTITUTE("type:"&amp;B1172,"%","%25"),"~","%7E"),"*","%2A"),"?","%3F"),'Rules'!$G$7:$G$26,0)),""))</x:f>
      </x:c>
      <x:c r="I1172" s="6" t="str">
        <x:f>IF(AND(NOT(COUNTA(A1172:F1172)=0),K1172=""),ROUND(J1172-D1172,3),"")</x:f>
      </x:c>
      <x:c r="J1172" s="6" t="str">
        <x:f>IF(AND(NOT(COUNTA(A1172:F1172)=0),K1172=""),ROUND(F1172+L1172,3),"")</x:f>
      </x:c>
      <x:c r="K1172" s="5" t="str">
        <x:f>IF(COUNTA(A1172:F1172)=0,"",IF(A1172="","Missing equipment ID",IF(COUNTIFS($N$8:$N$2007,"="&amp;N1172)&gt;1,"Duplicate equipment ID",IF(B1172="","Missing type",IF(COUNTIFS('Rules'!$G$7:$G$26,"="&amp;(SUBSTITUTE(SUBSTITUTE(SUBSTITUTE(SUBSTITUTE("type:"&amp;B1172,"%","%25"),"~","%7E"),"*","%2A"),"?","%3F")))=0,"Unknown type",IF(COUNTIFS('Rules'!$G$7:$G$26,"="&amp;(SUBSTITUTE(SUBSTITUTE(SUBSTITUTE(SUBSTITUTE("type:"&amp;B1172,"%","%25"),"~","%7E"),"*","%2A"),"?","%3F")))&gt;1,"Duplicate type",IF(INDEX('Rules'!$F$7:$F$26,MATCH(SUBSTITUTE(SUBSTITUTE(SUBSTITUTE(SUBSTITUTE("type:"&amp;B1172,"%","%25"),"~","%7E"),"*","%2A"),"?","%3F"),'Rules'!$G$7:$G$26,0))&lt;&gt;"",INDEX('Rules'!$F$7:$F$26,MATCH(SUBSTITUTE(SUBSTITUTE(SUBSTITUTE(SUBSTITUTE("type:"&amp;B1172,"%","%25"),"~","%7E"),"*","%2A"),"?","%3F"),'Rules'!$G$7:$G$26,0)),IF(AND(C1172&lt;&gt;"",C1172&lt;&gt;INDEX('Rules'!$B$7:$B$26,MATCH(SUBSTITUTE(SUBSTITUTE(SUBSTITUTE(SUBSTITUTE("type:"&amp;B1172,"%","%25"),"~","%7E"),"*","%2A"),"?","%3F"),'Rules'!$G$7:$G$26,0))),"Unit mismatch",IF(IF(NOT(ISNUMBER(D1172)),TRUE,OR(D1172&lt;0,D1172&gt;999999999,ROUND(D1172,3)&lt;&gt;D1172)),"Invalid current reading",IF(AND(E1172&lt;&gt;"",IF(NOT(ISNUMBER(E1172)),TRUE,OR(E1172&lt;0,E1172&gt;999999999,ROUND(E1172,3)&lt;&gt;E1172))),"Invalid previous reading",IF(IF(NOT(ISNUMBER(F1172)),TRUE,OR(F1172&lt;0,F1172&gt;999999999,ROUND(F1172,3)&lt;&gt;F1172)),"Invalid last service",IF(AND(E1172&lt;&gt;"",D1172&lt;E1172),"Decreased reading",IF(F1172&gt;D1172,"Last service above current","")))))))))))))</x:f>
      </x:c>
      <x:c r="L1172" s="6" t="str">
        <x:f>IF(AND(NOT(COUNTA(A1172:F1172)=0),K1172=""),INDEX('Rules'!$C$7:$C$26,MATCH(SUBSTITUTE(SUBSTITUTE(SUBSTITUTE(SUBSTITUTE("type:"&amp;B1172,"%","%25"),"~","%7E"),"*","%2A"),"?","%3F"),'Rules'!$G$7:$G$26,0)),"")</x:f>
      </x:c>
      <x:c r="M1172" s="6" t="str">
        <x:f>IF(AND(NOT(COUNTA(A1172:F1172)=0),K1172=""),INDEX('Rules'!$D$7:$D$26,MATCH(SUBSTITUTE(SUBSTITUTE(SUBSTITUTE(SUBSTITUTE("type:"&amp;B1172,"%","%25"),"~","%7E"),"*","%2A"),"?","%3F"),'Rules'!$G$7:$G$26,0)),"")</x:f>
      </x:c>
      <x:c r="N1172" s="5" t="str">
        <x:f>IF(COUNTA(A1172:F1172)=0,"",SUBSTITUTE(SUBSTITUTE(SUBSTITUTE(SUBSTITUTE("id:"&amp;A1172,"%","%25"),"~","%7E"),"*","%2A"),"?","%3F"))</x:f>
      </x:c>
    </x:row>
    <x:row r="1173" ht="22" customHeight="1">
      <x:c r="A1173" s="3"/>
      <x:c r="B1173" s="3"/>
      <x:c r="C1173" s="3"/>
      <x:c r="D1173" s="4"/>
      <x:c r="E1173" s="4"/>
      <x:c r="F1173" s="4"/>
      <x:c r="G1173" s="5" t="str">
        <x:f>IF(COUNTA(A1173:F1173)=0,"",IF(K1173&lt;&gt;"","Review",IF(I1173&lt;0,"Overdue",IF(I1173=0,"Due now",IF(I1173&lt;=M1173,"Due soon","Not due")))))</x:f>
      </x:c>
      <x:c r="H1173" s="5" t="str">
        <x:f>IF(OR(COUNTA(A1173:F1173)=0,COUNTIFS('Rules'!$G$7:$G$26,"="&amp;(SUBSTITUTE(SUBSTITUTE(SUBSTITUTE(SUBSTITUTE("type:"&amp;B1173,"%","%25"),"~","%7E"),"*","%2A"),"?","%3F")))&lt;&gt;1),"",IF(OR(INDEX('Rules'!$B$7:$B$26,MATCH(SUBSTITUTE(SUBSTITUTE(SUBSTITUTE(SUBSTITUTE("type:"&amp;B1173,"%","%25"),"~","%7E"),"*","%2A"),"?","%3F"),'Rules'!$G$7:$G$26,0))="hours",INDEX('Rules'!$B$7:$B$26,MATCH(SUBSTITUTE(SUBSTITUTE(SUBSTITUTE(SUBSTITUTE("type:"&amp;B1173,"%","%25"),"~","%7E"),"*","%2A"),"?","%3F"),'Rules'!$G$7:$G$26,0))="km"),INDEX('Rules'!$B$7:$B$26,MATCH(SUBSTITUTE(SUBSTITUTE(SUBSTITUTE(SUBSTITUTE("type:"&amp;B1173,"%","%25"),"~","%7E"),"*","%2A"),"?","%3F"),'Rules'!$G$7:$G$26,0)),""))</x:f>
      </x:c>
      <x:c r="I1173" s="6" t="str">
        <x:f>IF(AND(NOT(COUNTA(A1173:F1173)=0),K1173=""),ROUND(J1173-D1173,3),"")</x:f>
      </x:c>
      <x:c r="J1173" s="6" t="str">
        <x:f>IF(AND(NOT(COUNTA(A1173:F1173)=0),K1173=""),ROUND(F1173+L1173,3),"")</x:f>
      </x:c>
      <x:c r="K1173" s="5" t="str">
        <x:f>IF(COUNTA(A1173:F1173)=0,"",IF(A1173="","Missing equipment ID",IF(COUNTIFS($N$8:$N$2007,"="&amp;N1173)&gt;1,"Duplicate equipment ID",IF(B1173="","Missing type",IF(COUNTIFS('Rules'!$G$7:$G$26,"="&amp;(SUBSTITUTE(SUBSTITUTE(SUBSTITUTE(SUBSTITUTE("type:"&amp;B1173,"%","%25"),"~","%7E"),"*","%2A"),"?","%3F")))=0,"Unknown type",IF(COUNTIFS('Rules'!$G$7:$G$26,"="&amp;(SUBSTITUTE(SUBSTITUTE(SUBSTITUTE(SUBSTITUTE("type:"&amp;B1173,"%","%25"),"~","%7E"),"*","%2A"),"?","%3F")))&gt;1,"Duplicate type",IF(INDEX('Rules'!$F$7:$F$26,MATCH(SUBSTITUTE(SUBSTITUTE(SUBSTITUTE(SUBSTITUTE("type:"&amp;B1173,"%","%25"),"~","%7E"),"*","%2A"),"?","%3F"),'Rules'!$G$7:$G$26,0))&lt;&gt;"",INDEX('Rules'!$F$7:$F$26,MATCH(SUBSTITUTE(SUBSTITUTE(SUBSTITUTE(SUBSTITUTE("type:"&amp;B1173,"%","%25"),"~","%7E"),"*","%2A"),"?","%3F"),'Rules'!$G$7:$G$26,0)),IF(AND(C1173&lt;&gt;"",C1173&lt;&gt;INDEX('Rules'!$B$7:$B$26,MATCH(SUBSTITUTE(SUBSTITUTE(SUBSTITUTE(SUBSTITUTE("type:"&amp;B1173,"%","%25"),"~","%7E"),"*","%2A"),"?","%3F"),'Rules'!$G$7:$G$26,0))),"Unit mismatch",IF(IF(NOT(ISNUMBER(D1173)),TRUE,OR(D1173&lt;0,D1173&gt;999999999,ROUND(D1173,3)&lt;&gt;D1173)),"Invalid current reading",IF(AND(E1173&lt;&gt;"",IF(NOT(ISNUMBER(E1173)),TRUE,OR(E1173&lt;0,E1173&gt;999999999,ROUND(E1173,3)&lt;&gt;E1173))),"Invalid previous reading",IF(IF(NOT(ISNUMBER(F1173)),TRUE,OR(F1173&lt;0,F1173&gt;999999999,ROUND(F1173,3)&lt;&gt;F1173)),"Invalid last service",IF(AND(E1173&lt;&gt;"",D1173&lt;E1173),"Decreased reading",IF(F1173&gt;D1173,"Last service above current","")))))))))))))</x:f>
      </x:c>
      <x:c r="L1173" s="6" t="str">
        <x:f>IF(AND(NOT(COUNTA(A1173:F1173)=0),K1173=""),INDEX('Rules'!$C$7:$C$26,MATCH(SUBSTITUTE(SUBSTITUTE(SUBSTITUTE(SUBSTITUTE("type:"&amp;B1173,"%","%25"),"~","%7E"),"*","%2A"),"?","%3F"),'Rules'!$G$7:$G$26,0)),"")</x:f>
      </x:c>
      <x:c r="M1173" s="6" t="str">
        <x:f>IF(AND(NOT(COUNTA(A1173:F1173)=0),K1173=""),INDEX('Rules'!$D$7:$D$26,MATCH(SUBSTITUTE(SUBSTITUTE(SUBSTITUTE(SUBSTITUTE("type:"&amp;B1173,"%","%25"),"~","%7E"),"*","%2A"),"?","%3F"),'Rules'!$G$7:$G$26,0)),"")</x:f>
      </x:c>
      <x:c r="N1173" s="5" t="str">
        <x:f>IF(COUNTA(A1173:F1173)=0,"",SUBSTITUTE(SUBSTITUTE(SUBSTITUTE(SUBSTITUTE("id:"&amp;A1173,"%","%25"),"~","%7E"),"*","%2A"),"?","%3F"))</x:f>
      </x:c>
    </x:row>
    <x:row r="1174" ht="22" customHeight="1">
      <x:c r="A1174" s="3"/>
      <x:c r="B1174" s="3"/>
      <x:c r="C1174" s="3"/>
      <x:c r="D1174" s="4"/>
      <x:c r="E1174" s="4"/>
      <x:c r="F1174" s="4"/>
      <x:c r="G1174" s="5" t="str">
        <x:f>IF(COUNTA(A1174:F1174)=0,"",IF(K1174&lt;&gt;"","Review",IF(I1174&lt;0,"Overdue",IF(I1174=0,"Due now",IF(I1174&lt;=M1174,"Due soon","Not due")))))</x:f>
      </x:c>
      <x:c r="H1174" s="5" t="str">
        <x:f>IF(OR(COUNTA(A1174:F1174)=0,COUNTIFS('Rules'!$G$7:$G$26,"="&amp;(SUBSTITUTE(SUBSTITUTE(SUBSTITUTE(SUBSTITUTE("type:"&amp;B1174,"%","%25"),"~","%7E"),"*","%2A"),"?","%3F")))&lt;&gt;1),"",IF(OR(INDEX('Rules'!$B$7:$B$26,MATCH(SUBSTITUTE(SUBSTITUTE(SUBSTITUTE(SUBSTITUTE("type:"&amp;B1174,"%","%25"),"~","%7E"),"*","%2A"),"?","%3F"),'Rules'!$G$7:$G$26,0))="hours",INDEX('Rules'!$B$7:$B$26,MATCH(SUBSTITUTE(SUBSTITUTE(SUBSTITUTE(SUBSTITUTE("type:"&amp;B1174,"%","%25"),"~","%7E"),"*","%2A"),"?","%3F"),'Rules'!$G$7:$G$26,0))="km"),INDEX('Rules'!$B$7:$B$26,MATCH(SUBSTITUTE(SUBSTITUTE(SUBSTITUTE(SUBSTITUTE("type:"&amp;B1174,"%","%25"),"~","%7E"),"*","%2A"),"?","%3F"),'Rules'!$G$7:$G$26,0)),""))</x:f>
      </x:c>
      <x:c r="I1174" s="6" t="str">
        <x:f>IF(AND(NOT(COUNTA(A1174:F1174)=0),K1174=""),ROUND(J1174-D1174,3),"")</x:f>
      </x:c>
      <x:c r="J1174" s="6" t="str">
        <x:f>IF(AND(NOT(COUNTA(A1174:F1174)=0),K1174=""),ROUND(F1174+L1174,3),"")</x:f>
      </x:c>
      <x:c r="K1174" s="5" t="str">
        <x:f>IF(COUNTA(A1174:F1174)=0,"",IF(A1174="","Missing equipment ID",IF(COUNTIFS($N$8:$N$2007,"="&amp;N1174)&gt;1,"Duplicate equipment ID",IF(B1174="","Missing type",IF(COUNTIFS('Rules'!$G$7:$G$26,"="&amp;(SUBSTITUTE(SUBSTITUTE(SUBSTITUTE(SUBSTITUTE("type:"&amp;B1174,"%","%25"),"~","%7E"),"*","%2A"),"?","%3F")))=0,"Unknown type",IF(COUNTIFS('Rules'!$G$7:$G$26,"="&amp;(SUBSTITUTE(SUBSTITUTE(SUBSTITUTE(SUBSTITUTE("type:"&amp;B1174,"%","%25"),"~","%7E"),"*","%2A"),"?","%3F")))&gt;1,"Duplicate type",IF(INDEX('Rules'!$F$7:$F$26,MATCH(SUBSTITUTE(SUBSTITUTE(SUBSTITUTE(SUBSTITUTE("type:"&amp;B1174,"%","%25"),"~","%7E"),"*","%2A"),"?","%3F"),'Rules'!$G$7:$G$26,0))&lt;&gt;"",INDEX('Rules'!$F$7:$F$26,MATCH(SUBSTITUTE(SUBSTITUTE(SUBSTITUTE(SUBSTITUTE("type:"&amp;B1174,"%","%25"),"~","%7E"),"*","%2A"),"?","%3F"),'Rules'!$G$7:$G$26,0)),IF(AND(C1174&lt;&gt;"",C1174&lt;&gt;INDEX('Rules'!$B$7:$B$26,MATCH(SUBSTITUTE(SUBSTITUTE(SUBSTITUTE(SUBSTITUTE("type:"&amp;B1174,"%","%25"),"~","%7E"),"*","%2A"),"?","%3F"),'Rules'!$G$7:$G$26,0))),"Unit mismatch",IF(IF(NOT(ISNUMBER(D1174)),TRUE,OR(D1174&lt;0,D1174&gt;999999999,ROUND(D1174,3)&lt;&gt;D1174)),"Invalid current reading",IF(AND(E1174&lt;&gt;"",IF(NOT(ISNUMBER(E1174)),TRUE,OR(E1174&lt;0,E1174&gt;999999999,ROUND(E1174,3)&lt;&gt;E1174))),"Invalid previous reading",IF(IF(NOT(ISNUMBER(F1174)),TRUE,OR(F1174&lt;0,F1174&gt;999999999,ROUND(F1174,3)&lt;&gt;F1174)),"Invalid last service",IF(AND(E1174&lt;&gt;"",D1174&lt;E1174),"Decreased reading",IF(F1174&gt;D1174,"Last service above current","")))))))))))))</x:f>
      </x:c>
      <x:c r="L1174" s="6" t="str">
        <x:f>IF(AND(NOT(COUNTA(A1174:F1174)=0),K1174=""),INDEX('Rules'!$C$7:$C$26,MATCH(SUBSTITUTE(SUBSTITUTE(SUBSTITUTE(SUBSTITUTE("type:"&amp;B1174,"%","%25"),"~","%7E"),"*","%2A"),"?","%3F"),'Rules'!$G$7:$G$26,0)),"")</x:f>
      </x:c>
      <x:c r="M1174" s="6" t="str">
        <x:f>IF(AND(NOT(COUNTA(A1174:F1174)=0),K1174=""),INDEX('Rules'!$D$7:$D$26,MATCH(SUBSTITUTE(SUBSTITUTE(SUBSTITUTE(SUBSTITUTE("type:"&amp;B1174,"%","%25"),"~","%7E"),"*","%2A"),"?","%3F"),'Rules'!$G$7:$G$26,0)),"")</x:f>
      </x:c>
      <x:c r="N1174" s="5" t="str">
        <x:f>IF(COUNTA(A1174:F1174)=0,"",SUBSTITUTE(SUBSTITUTE(SUBSTITUTE(SUBSTITUTE("id:"&amp;A1174,"%","%25"),"~","%7E"),"*","%2A"),"?","%3F"))</x:f>
      </x:c>
    </x:row>
    <x:row r="1175" ht="22" customHeight="1">
      <x:c r="A1175" s="3"/>
      <x:c r="B1175" s="3"/>
      <x:c r="C1175" s="3"/>
      <x:c r="D1175" s="4"/>
      <x:c r="E1175" s="4"/>
      <x:c r="F1175" s="4"/>
      <x:c r="G1175" s="5" t="str">
        <x:f>IF(COUNTA(A1175:F1175)=0,"",IF(K1175&lt;&gt;"","Review",IF(I1175&lt;0,"Overdue",IF(I1175=0,"Due now",IF(I1175&lt;=M1175,"Due soon","Not due")))))</x:f>
      </x:c>
      <x:c r="H1175" s="5" t="str">
        <x:f>IF(OR(COUNTA(A1175:F1175)=0,COUNTIFS('Rules'!$G$7:$G$26,"="&amp;(SUBSTITUTE(SUBSTITUTE(SUBSTITUTE(SUBSTITUTE("type:"&amp;B1175,"%","%25"),"~","%7E"),"*","%2A"),"?","%3F")))&lt;&gt;1),"",IF(OR(INDEX('Rules'!$B$7:$B$26,MATCH(SUBSTITUTE(SUBSTITUTE(SUBSTITUTE(SUBSTITUTE("type:"&amp;B1175,"%","%25"),"~","%7E"),"*","%2A"),"?","%3F"),'Rules'!$G$7:$G$26,0))="hours",INDEX('Rules'!$B$7:$B$26,MATCH(SUBSTITUTE(SUBSTITUTE(SUBSTITUTE(SUBSTITUTE("type:"&amp;B1175,"%","%25"),"~","%7E"),"*","%2A"),"?","%3F"),'Rules'!$G$7:$G$26,0))="km"),INDEX('Rules'!$B$7:$B$26,MATCH(SUBSTITUTE(SUBSTITUTE(SUBSTITUTE(SUBSTITUTE("type:"&amp;B1175,"%","%25"),"~","%7E"),"*","%2A"),"?","%3F"),'Rules'!$G$7:$G$26,0)),""))</x:f>
      </x:c>
      <x:c r="I1175" s="6" t="str">
        <x:f>IF(AND(NOT(COUNTA(A1175:F1175)=0),K1175=""),ROUND(J1175-D1175,3),"")</x:f>
      </x:c>
      <x:c r="J1175" s="6" t="str">
        <x:f>IF(AND(NOT(COUNTA(A1175:F1175)=0),K1175=""),ROUND(F1175+L1175,3),"")</x:f>
      </x:c>
      <x:c r="K1175" s="5" t="str">
        <x:f>IF(COUNTA(A1175:F1175)=0,"",IF(A1175="","Missing equipment ID",IF(COUNTIFS($N$8:$N$2007,"="&amp;N1175)&gt;1,"Duplicate equipment ID",IF(B1175="","Missing type",IF(COUNTIFS('Rules'!$G$7:$G$26,"="&amp;(SUBSTITUTE(SUBSTITUTE(SUBSTITUTE(SUBSTITUTE("type:"&amp;B1175,"%","%25"),"~","%7E"),"*","%2A"),"?","%3F")))=0,"Unknown type",IF(COUNTIFS('Rules'!$G$7:$G$26,"="&amp;(SUBSTITUTE(SUBSTITUTE(SUBSTITUTE(SUBSTITUTE("type:"&amp;B1175,"%","%25"),"~","%7E"),"*","%2A"),"?","%3F")))&gt;1,"Duplicate type",IF(INDEX('Rules'!$F$7:$F$26,MATCH(SUBSTITUTE(SUBSTITUTE(SUBSTITUTE(SUBSTITUTE("type:"&amp;B1175,"%","%25"),"~","%7E"),"*","%2A"),"?","%3F"),'Rules'!$G$7:$G$26,0))&lt;&gt;"",INDEX('Rules'!$F$7:$F$26,MATCH(SUBSTITUTE(SUBSTITUTE(SUBSTITUTE(SUBSTITUTE("type:"&amp;B1175,"%","%25"),"~","%7E"),"*","%2A"),"?","%3F"),'Rules'!$G$7:$G$26,0)),IF(AND(C1175&lt;&gt;"",C1175&lt;&gt;INDEX('Rules'!$B$7:$B$26,MATCH(SUBSTITUTE(SUBSTITUTE(SUBSTITUTE(SUBSTITUTE("type:"&amp;B1175,"%","%25"),"~","%7E"),"*","%2A"),"?","%3F"),'Rules'!$G$7:$G$26,0))),"Unit mismatch",IF(IF(NOT(ISNUMBER(D1175)),TRUE,OR(D1175&lt;0,D1175&gt;999999999,ROUND(D1175,3)&lt;&gt;D1175)),"Invalid current reading",IF(AND(E1175&lt;&gt;"",IF(NOT(ISNUMBER(E1175)),TRUE,OR(E1175&lt;0,E1175&gt;999999999,ROUND(E1175,3)&lt;&gt;E1175))),"Invalid previous reading",IF(IF(NOT(ISNUMBER(F1175)),TRUE,OR(F1175&lt;0,F1175&gt;999999999,ROUND(F1175,3)&lt;&gt;F1175)),"Invalid last service",IF(AND(E1175&lt;&gt;"",D1175&lt;E1175),"Decreased reading",IF(F1175&gt;D1175,"Last service above current","")))))))))))))</x:f>
      </x:c>
      <x:c r="L1175" s="6" t="str">
        <x:f>IF(AND(NOT(COUNTA(A1175:F1175)=0),K1175=""),INDEX('Rules'!$C$7:$C$26,MATCH(SUBSTITUTE(SUBSTITUTE(SUBSTITUTE(SUBSTITUTE("type:"&amp;B1175,"%","%25"),"~","%7E"),"*","%2A"),"?","%3F"),'Rules'!$G$7:$G$26,0)),"")</x:f>
      </x:c>
      <x:c r="M1175" s="6" t="str">
        <x:f>IF(AND(NOT(COUNTA(A1175:F1175)=0),K1175=""),INDEX('Rules'!$D$7:$D$26,MATCH(SUBSTITUTE(SUBSTITUTE(SUBSTITUTE(SUBSTITUTE("type:"&amp;B1175,"%","%25"),"~","%7E"),"*","%2A"),"?","%3F"),'Rules'!$G$7:$G$26,0)),"")</x:f>
      </x:c>
      <x:c r="N1175" s="5" t="str">
        <x:f>IF(COUNTA(A1175:F1175)=0,"",SUBSTITUTE(SUBSTITUTE(SUBSTITUTE(SUBSTITUTE("id:"&amp;A1175,"%","%25"),"~","%7E"),"*","%2A"),"?","%3F"))</x:f>
      </x:c>
    </x:row>
    <x:row r="1176" ht="22" customHeight="1">
      <x:c r="A1176" s="3"/>
      <x:c r="B1176" s="3"/>
      <x:c r="C1176" s="3"/>
      <x:c r="D1176" s="4"/>
      <x:c r="E1176" s="4"/>
      <x:c r="F1176" s="4"/>
      <x:c r="G1176" s="5" t="str">
        <x:f>IF(COUNTA(A1176:F1176)=0,"",IF(K1176&lt;&gt;"","Review",IF(I1176&lt;0,"Overdue",IF(I1176=0,"Due now",IF(I1176&lt;=M1176,"Due soon","Not due")))))</x:f>
      </x:c>
      <x:c r="H1176" s="5" t="str">
        <x:f>IF(OR(COUNTA(A1176:F1176)=0,COUNTIFS('Rules'!$G$7:$G$26,"="&amp;(SUBSTITUTE(SUBSTITUTE(SUBSTITUTE(SUBSTITUTE("type:"&amp;B1176,"%","%25"),"~","%7E"),"*","%2A"),"?","%3F")))&lt;&gt;1),"",IF(OR(INDEX('Rules'!$B$7:$B$26,MATCH(SUBSTITUTE(SUBSTITUTE(SUBSTITUTE(SUBSTITUTE("type:"&amp;B1176,"%","%25"),"~","%7E"),"*","%2A"),"?","%3F"),'Rules'!$G$7:$G$26,0))="hours",INDEX('Rules'!$B$7:$B$26,MATCH(SUBSTITUTE(SUBSTITUTE(SUBSTITUTE(SUBSTITUTE("type:"&amp;B1176,"%","%25"),"~","%7E"),"*","%2A"),"?","%3F"),'Rules'!$G$7:$G$26,0))="km"),INDEX('Rules'!$B$7:$B$26,MATCH(SUBSTITUTE(SUBSTITUTE(SUBSTITUTE(SUBSTITUTE("type:"&amp;B1176,"%","%25"),"~","%7E"),"*","%2A"),"?","%3F"),'Rules'!$G$7:$G$26,0)),""))</x:f>
      </x:c>
      <x:c r="I1176" s="6" t="str">
        <x:f>IF(AND(NOT(COUNTA(A1176:F1176)=0),K1176=""),ROUND(J1176-D1176,3),"")</x:f>
      </x:c>
      <x:c r="J1176" s="6" t="str">
        <x:f>IF(AND(NOT(COUNTA(A1176:F1176)=0),K1176=""),ROUND(F1176+L1176,3),"")</x:f>
      </x:c>
      <x:c r="K1176" s="5" t="str">
        <x:f>IF(COUNTA(A1176:F1176)=0,"",IF(A1176="","Missing equipment ID",IF(COUNTIFS($N$8:$N$2007,"="&amp;N1176)&gt;1,"Duplicate equipment ID",IF(B1176="","Missing type",IF(COUNTIFS('Rules'!$G$7:$G$26,"="&amp;(SUBSTITUTE(SUBSTITUTE(SUBSTITUTE(SUBSTITUTE("type:"&amp;B1176,"%","%25"),"~","%7E"),"*","%2A"),"?","%3F")))=0,"Unknown type",IF(COUNTIFS('Rules'!$G$7:$G$26,"="&amp;(SUBSTITUTE(SUBSTITUTE(SUBSTITUTE(SUBSTITUTE("type:"&amp;B1176,"%","%25"),"~","%7E"),"*","%2A"),"?","%3F")))&gt;1,"Duplicate type",IF(INDEX('Rules'!$F$7:$F$26,MATCH(SUBSTITUTE(SUBSTITUTE(SUBSTITUTE(SUBSTITUTE("type:"&amp;B1176,"%","%25"),"~","%7E"),"*","%2A"),"?","%3F"),'Rules'!$G$7:$G$26,0))&lt;&gt;"",INDEX('Rules'!$F$7:$F$26,MATCH(SUBSTITUTE(SUBSTITUTE(SUBSTITUTE(SUBSTITUTE("type:"&amp;B1176,"%","%25"),"~","%7E"),"*","%2A"),"?","%3F"),'Rules'!$G$7:$G$26,0)),IF(AND(C1176&lt;&gt;"",C1176&lt;&gt;INDEX('Rules'!$B$7:$B$26,MATCH(SUBSTITUTE(SUBSTITUTE(SUBSTITUTE(SUBSTITUTE("type:"&amp;B1176,"%","%25"),"~","%7E"),"*","%2A"),"?","%3F"),'Rules'!$G$7:$G$26,0))),"Unit mismatch",IF(IF(NOT(ISNUMBER(D1176)),TRUE,OR(D1176&lt;0,D1176&gt;999999999,ROUND(D1176,3)&lt;&gt;D1176)),"Invalid current reading",IF(AND(E1176&lt;&gt;"",IF(NOT(ISNUMBER(E1176)),TRUE,OR(E1176&lt;0,E1176&gt;999999999,ROUND(E1176,3)&lt;&gt;E1176))),"Invalid previous reading",IF(IF(NOT(ISNUMBER(F1176)),TRUE,OR(F1176&lt;0,F1176&gt;999999999,ROUND(F1176,3)&lt;&gt;F1176)),"Invalid last service",IF(AND(E1176&lt;&gt;"",D1176&lt;E1176),"Decreased reading",IF(F1176&gt;D1176,"Last service above current","")))))))))))))</x:f>
      </x:c>
      <x:c r="L1176" s="6" t="str">
        <x:f>IF(AND(NOT(COUNTA(A1176:F1176)=0),K1176=""),INDEX('Rules'!$C$7:$C$26,MATCH(SUBSTITUTE(SUBSTITUTE(SUBSTITUTE(SUBSTITUTE("type:"&amp;B1176,"%","%25"),"~","%7E"),"*","%2A"),"?","%3F"),'Rules'!$G$7:$G$26,0)),"")</x:f>
      </x:c>
      <x:c r="M1176" s="6" t="str">
        <x:f>IF(AND(NOT(COUNTA(A1176:F1176)=0),K1176=""),INDEX('Rules'!$D$7:$D$26,MATCH(SUBSTITUTE(SUBSTITUTE(SUBSTITUTE(SUBSTITUTE("type:"&amp;B1176,"%","%25"),"~","%7E"),"*","%2A"),"?","%3F"),'Rules'!$G$7:$G$26,0)),"")</x:f>
      </x:c>
      <x:c r="N1176" s="5" t="str">
        <x:f>IF(COUNTA(A1176:F1176)=0,"",SUBSTITUTE(SUBSTITUTE(SUBSTITUTE(SUBSTITUTE("id:"&amp;A1176,"%","%25"),"~","%7E"),"*","%2A"),"?","%3F"))</x:f>
      </x:c>
    </x:row>
    <x:row r="1177" ht="22" customHeight="1">
      <x:c r="A1177" s="3"/>
      <x:c r="B1177" s="3"/>
      <x:c r="C1177" s="3"/>
      <x:c r="D1177" s="4"/>
      <x:c r="E1177" s="4"/>
      <x:c r="F1177" s="4"/>
      <x:c r="G1177" s="5" t="str">
        <x:f>IF(COUNTA(A1177:F1177)=0,"",IF(K1177&lt;&gt;"","Review",IF(I1177&lt;0,"Overdue",IF(I1177=0,"Due now",IF(I1177&lt;=M1177,"Due soon","Not due")))))</x:f>
      </x:c>
      <x:c r="H1177" s="5" t="str">
        <x:f>IF(OR(COUNTA(A1177:F1177)=0,COUNTIFS('Rules'!$G$7:$G$26,"="&amp;(SUBSTITUTE(SUBSTITUTE(SUBSTITUTE(SUBSTITUTE("type:"&amp;B1177,"%","%25"),"~","%7E"),"*","%2A"),"?","%3F")))&lt;&gt;1),"",IF(OR(INDEX('Rules'!$B$7:$B$26,MATCH(SUBSTITUTE(SUBSTITUTE(SUBSTITUTE(SUBSTITUTE("type:"&amp;B1177,"%","%25"),"~","%7E"),"*","%2A"),"?","%3F"),'Rules'!$G$7:$G$26,0))="hours",INDEX('Rules'!$B$7:$B$26,MATCH(SUBSTITUTE(SUBSTITUTE(SUBSTITUTE(SUBSTITUTE("type:"&amp;B1177,"%","%25"),"~","%7E"),"*","%2A"),"?","%3F"),'Rules'!$G$7:$G$26,0))="km"),INDEX('Rules'!$B$7:$B$26,MATCH(SUBSTITUTE(SUBSTITUTE(SUBSTITUTE(SUBSTITUTE("type:"&amp;B1177,"%","%25"),"~","%7E"),"*","%2A"),"?","%3F"),'Rules'!$G$7:$G$26,0)),""))</x:f>
      </x:c>
      <x:c r="I1177" s="6" t="str">
        <x:f>IF(AND(NOT(COUNTA(A1177:F1177)=0),K1177=""),ROUND(J1177-D1177,3),"")</x:f>
      </x:c>
      <x:c r="J1177" s="6" t="str">
        <x:f>IF(AND(NOT(COUNTA(A1177:F1177)=0),K1177=""),ROUND(F1177+L1177,3),"")</x:f>
      </x:c>
      <x:c r="K1177" s="5" t="str">
        <x:f>IF(COUNTA(A1177:F1177)=0,"",IF(A1177="","Missing equipment ID",IF(COUNTIFS($N$8:$N$2007,"="&amp;N1177)&gt;1,"Duplicate equipment ID",IF(B1177="","Missing type",IF(COUNTIFS('Rules'!$G$7:$G$26,"="&amp;(SUBSTITUTE(SUBSTITUTE(SUBSTITUTE(SUBSTITUTE("type:"&amp;B1177,"%","%25"),"~","%7E"),"*","%2A"),"?","%3F")))=0,"Unknown type",IF(COUNTIFS('Rules'!$G$7:$G$26,"="&amp;(SUBSTITUTE(SUBSTITUTE(SUBSTITUTE(SUBSTITUTE("type:"&amp;B1177,"%","%25"),"~","%7E"),"*","%2A"),"?","%3F")))&gt;1,"Duplicate type",IF(INDEX('Rules'!$F$7:$F$26,MATCH(SUBSTITUTE(SUBSTITUTE(SUBSTITUTE(SUBSTITUTE("type:"&amp;B1177,"%","%25"),"~","%7E"),"*","%2A"),"?","%3F"),'Rules'!$G$7:$G$26,0))&lt;&gt;"",INDEX('Rules'!$F$7:$F$26,MATCH(SUBSTITUTE(SUBSTITUTE(SUBSTITUTE(SUBSTITUTE("type:"&amp;B1177,"%","%25"),"~","%7E"),"*","%2A"),"?","%3F"),'Rules'!$G$7:$G$26,0)),IF(AND(C1177&lt;&gt;"",C1177&lt;&gt;INDEX('Rules'!$B$7:$B$26,MATCH(SUBSTITUTE(SUBSTITUTE(SUBSTITUTE(SUBSTITUTE("type:"&amp;B1177,"%","%25"),"~","%7E"),"*","%2A"),"?","%3F"),'Rules'!$G$7:$G$26,0))),"Unit mismatch",IF(IF(NOT(ISNUMBER(D1177)),TRUE,OR(D1177&lt;0,D1177&gt;999999999,ROUND(D1177,3)&lt;&gt;D1177)),"Invalid current reading",IF(AND(E1177&lt;&gt;"",IF(NOT(ISNUMBER(E1177)),TRUE,OR(E1177&lt;0,E1177&gt;999999999,ROUND(E1177,3)&lt;&gt;E1177))),"Invalid previous reading",IF(IF(NOT(ISNUMBER(F1177)),TRUE,OR(F1177&lt;0,F1177&gt;999999999,ROUND(F1177,3)&lt;&gt;F1177)),"Invalid last service",IF(AND(E1177&lt;&gt;"",D1177&lt;E1177),"Decreased reading",IF(F1177&gt;D1177,"Last service above current","")))))))))))))</x:f>
      </x:c>
      <x:c r="L1177" s="6" t="str">
        <x:f>IF(AND(NOT(COUNTA(A1177:F1177)=0),K1177=""),INDEX('Rules'!$C$7:$C$26,MATCH(SUBSTITUTE(SUBSTITUTE(SUBSTITUTE(SUBSTITUTE("type:"&amp;B1177,"%","%25"),"~","%7E"),"*","%2A"),"?","%3F"),'Rules'!$G$7:$G$26,0)),"")</x:f>
      </x:c>
      <x:c r="M1177" s="6" t="str">
        <x:f>IF(AND(NOT(COUNTA(A1177:F1177)=0),K1177=""),INDEX('Rules'!$D$7:$D$26,MATCH(SUBSTITUTE(SUBSTITUTE(SUBSTITUTE(SUBSTITUTE("type:"&amp;B1177,"%","%25"),"~","%7E"),"*","%2A"),"?","%3F"),'Rules'!$G$7:$G$26,0)),"")</x:f>
      </x:c>
      <x:c r="N1177" s="5" t="str">
        <x:f>IF(COUNTA(A1177:F1177)=0,"",SUBSTITUTE(SUBSTITUTE(SUBSTITUTE(SUBSTITUTE("id:"&amp;A1177,"%","%25"),"~","%7E"),"*","%2A"),"?","%3F"))</x:f>
      </x:c>
    </x:row>
    <x:row r="1178" ht="22" customHeight="1">
      <x:c r="A1178" s="3"/>
      <x:c r="B1178" s="3"/>
      <x:c r="C1178" s="3"/>
      <x:c r="D1178" s="4"/>
      <x:c r="E1178" s="4"/>
      <x:c r="F1178" s="4"/>
      <x:c r="G1178" s="5" t="str">
        <x:f>IF(COUNTA(A1178:F1178)=0,"",IF(K1178&lt;&gt;"","Review",IF(I1178&lt;0,"Overdue",IF(I1178=0,"Due now",IF(I1178&lt;=M1178,"Due soon","Not due")))))</x:f>
      </x:c>
      <x:c r="H1178" s="5" t="str">
        <x:f>IF(OR(COUNTA(A1178:F1178)=0,COUNTIFS('Rules'!$G$7:$G$26,"="&amp;(SUBSTITUTE(SUBSTITUTE(SUBSTITUTE(SUBSTITUTE("type:"&amp;B1178,"%","%25"),"~","%7E"),"*","%2A"),"?","%3F")))&lt;&gt;1),"",IF(OR(INDEX('Rules'!$B$7:$B$26,MATCH(SUBSTITUTE(SUBSTITUTE(SUBSTITUTE(SUBSTITUTE("type:"&amp;B1178,"%","%25"),"~","%7E"),"*","%2A"),"?","%3F"),'Rules'!$G$7:$G$26,0))="hours",INDEX('Rules'!$B$7:$B$26,MATCH(SUBSTITUTE(SUBSTITUTE(SUBSTITUTE(SUBSTITUTE("type:"&amp;B1178,"%","%25"),"~","%7E"),"*","%2A"),"?","%3F"),'Rules'!$G$7:$G$26,0))="km"),INDEX('Rules'!$B$7:$B$26,MATCH(SUBSTITUTE(SUBSTITUTE(SUBSTITUTE(SUBSTITUTE("type:"&amp;B1178,"%","%25"),"~","%7E"),"*","%2A"),"?","%3F"),'Rules'!$G$7:$G$26,0)),""))</x:f>
      </x:c>
      <x:c r="I1178" s="6" t="str">
        <x:f>IF(AND(NOT(COUNTA(A1178:F1178)=0),K1178=""),ROUND(J1178-D1178,3),"")</x:f>
      </x:c>
      <x:c r="J1178" s="6" t="str">
        <x:f>IF(AND(NOT(COUNTA(A1178:F1178)=0),K1178=""),ROUND(F1178+L1178,3),"")</x:f>
      </x:c>
      <x:c r="K1178" s="5" t="str">
        <x:f>IF(COUNTA(A1178:F1178)=0,"",IF(A1178="","Missing equipment ID",IF(COUNTIFS($N$8:$N$2007,"="&amp;N1178)&gt;1,"Duplicate equipment ID",IF(B1178="","Missing type",IF(COUNTIFS('Rules'!$G$7:$G$26,"="&amp;(SUBSTITUTE(SUBSTITUTE(SUBSTITUTE(SUBSTITUTE("type:"&amp;B1178,"%","%25"),"~","%7E"),"*","%2A"),"?","%3F")))=0,"Unknown type",IF(COUNTIFS('Rules'!$G$7:$G$26,"="&amp;(SUBSTITUTE(SUBSTITUTE(SUBSTITUTE(SUBSTITUTE("type:"&amp;B1178,"%","%25"),"~","%7E"),"*","%2A"),"?","%3F")))&gt;1,"Duplicate type",IF(INDEX('Rules'!$F$7:$F$26,MATCH(SUBSTITUTE(SUBSTITUTE(SUBSTITUTE(SUBSTITUTE("type:"&amp;B1178,"%","%25"),"~","%7E"),"*","%2A"),"?","%3F"),'Rules'!$G$7:$G$26,0))&lt;&gt;"",INDEX('Rules'!$F$7:$F$26,MATCH(SUBSTITUTE(SUBSTITUTE(SUBSTITUTE(SUBSTITUTE("type:"&amp;B1178,"%","%25"),"~","%7E"),"*","%2A"),"?","%3F"),'Rules'!$G$7:$G$26,0)),IF(AND(C1178&lt;&gt;"",C1178&lt;&gt;INDEX('Rules'!$B$7:$B$26,MATCH(SUBSTITUTE(SUBSTITUTE(SUBSTITUTE(SUBSTITUTE("type:"&amp;B1178,"%","%25"),"~","%7E"),"*","%2A"),"?","%3F"),'Rules'!$G$7:$G$26,0))),"Unit mismatch",IF(IF(NOT(ISNUMBER(D1178)),TRUE,OR(D1178&lt;0,D1178&gt;999999999,ROUND(D1178,3)&lt;&gt;D1178)),"Invalid current reading",IF(AND(E1178&lt;&gt;"",IF(NOT(ISNUMBER(E1178)),TRUE,OR(E1178&lt;0,E1178&gt;999999999,ROUND(E1178,3)&lt;&gt;E1178))),"Invalid previous reading",IF(IF(NOT(ISNUMBER(F1178)),TRUE,OR(F1178&lt;0,F1178&gt;999999999,ROUND(F1178,3)&lt;&gt;F1178)),"Invalid last service",IF(AND(E1178&lt;&gt;"",D1178&lt;E1178),"Decreased reading",IF(F1178&gt;D1178,"Last service above current","")))))))))))))</x:f>
      </x:c>
      <x:c r="L1178" s="6" t="str">
        <x:f>IF(AND(NOT(COUNTA(A1178:F1178)=0),K1178=""),INDEX('Rules'!$C$7:$C$26,MATCH(SUBSTITUTE(SUBSTITUTE(SUBSTITUTE(SUBSTITUTE("type:"&amp;B1178,"%","%25"),"~","%7E"),"*","%2A"),"?","%3F"),'Rules'!$G$7:$G$26,0)),"")</x:f>
      </x:c>
      <x:c r="M1178" s="6" t="str">
        <x:f>IF(AND(NOT(COUNTA(A1178:F1178)=0),K1178=""),INDEX('Rules'!$D$7:$D$26,MATCH(SUBSTITUTE(SUBSTITUTE(SUBSTITUTE(SUBSTITUTE("type:"&amp;B1178,"%","%25"),"~","%7E"),"*","%2A"),"?","%3F"),'Rules'!$G$7:$G$26,0)),"")</x:f>
      </x:c>
      <x:c r="N1178" s="5" t="str">
        <x:f>IF(COUNTA(A1178:F1178)=0,"",SUBSTITUTE(SUBSTITUTE(SUBSTITUTE(SUBSTITUTE("id:"&amp;A1178,"%","%25"),"~","%7E"),"*","%2A"),"?","%3F"))</x:f>
      </x:c>
    </x:row>
    <x:row r="1179" ht="22" customHeight="1">
      <x:c r="A1179" s="3"/>
      <x:c r="B1179" s="3"/>
      <x:c r="C1179" s="3"/>
      <x:c r="D1179" s="4"/>
      <x:c r="E1179" s="4"/>
      <x:c r="F1179" s="4"/>
      <x:c r="G1179" s="5" t="str">
        <x:f>IF(COUNTA(A1179:F1179)=0,"",IF(K1179&lt;&gt;"","Review",IF(I1179&lt;0,"Overdue",IF(I1179=0,"Due now",IF(I1179&lt;=M1179,"Due soon","Not due")))))</x:f>
      </x:c>
      <x:c r="H1179" s="5" t="str">
        <x:f>IF(OR(COUNTA(A1179:F1179)=0,COUNTIFS('Rules'!$G$7:$G$26,"="&amp;(SUBSTITUTE(SUBSTITUTE(SUBSTITUTE(SUBSTITUTE("type:"&amp;B1179,"%","%25"),"~","%7E"),"*","%2A"),"?","%3F")))&lt;&gt;1),"",IF(OR(INDEX('Rules'!$B$7:$B$26,MATCH(SUBSTITUTE(SUBSTITUTE(SUBSTITUTE(SUBSTITUTE("type:"&amp;B1179,"%","%25"),"~","%7E"),"*","%2A"),"?","%3F"),'Rules'!$G$7:$G$26,0))="hours",INDEX('Rules'!$B$7:$B$26,MATCH(SUBSTITUTE(SUBSTITUTE(SUBSTITUTE(SUBSTITUTE("type:"&amp;B1179,"%","%25"),"~","%7E"),"*","%2A"),"?","%3F"),'Rules'!$G$7:$G$26,0))="km"),INDEX('Rules'!$B$7:$B$26,MATCH(SUBSTITUTE(SUBSTITUTE(SUBSTITUTE(SUBSTITUTE("type:"&amp;B1179,"%","%25"),"~","%7E"),"*","%2A"),"?","%3F"),'Rules'!$G$7:$G$26,0)),""))</x:f>
      </x:c>
      <x:c r="I1179" s="6" t="str">
        <x:f>IF(AND(NOT(COUNTA(A1179:F1179)=0),K1179=""),ROUND(J1179-D1179,3),"")</x:f>
      </x:c>
      <x:c r="J1179" s="6" t="str">
        <x:f>IF(AND(NOT(COUNTA(A1179:F1179)=0),K1179=""),ROUND(F1179+L1179,3),"")</x:f>
      </x:c>
      <x:c r="K1179" s="5" t="str">
        <x:f>IF(COUNTA(A1179:F1179)=0,"",IF(A1179="","Missing equipment ID",IF(COUNTIFS($N$8:$N$2007,"="&amp;N1179)&gt;1,"Duplicate equipment ID",IF(B1179="","Missing type",IF(COUNTIFS('Rules'!$G$7:$G$26,"="&amp;(SUBSTITUTE(SUBSTITUTE(SUBSTITUTE(SUBSTITUTE("type:"&amp;B1179,"%","%25"),"~","%7E"),"*","%2A"),"?","%3F")))=0,"Unknown type",IF(COUNTIFS('Rules'!$G$7:$G$26,"="&amp;(SUBSTITUTE(SUBSTITUTE(SUBSTITUTE(SUBSTITUTE("type:"&amp;B1179,"%","%25"),"~","%7E"),"*","%2A"),"?","%3F")))&gt;1,"Duplicate type",IF(INDEX('Rules'!$F$7:$F$26,MATCH(SUBSTITUTE(SUBSTITUTE(SUBSTITUTE(SUBSTITUTE("type:"&amp;B1179,"%","%25"),"~","%7E"),"*","%2A"),"?","%3F"),'Rules'!$G$7:$G$26,0))&lt;&gt;"",INDEX('Rules'!$F$7:$F$26,MATCH(SUBSTITUTE(SUBSTITUTE(SUBSTITUTE(SUBSTITUTE("type:"&amp;B1179,"%","%25"),"~","%7E"),"*","%2A"),"?","%3F"),'Rules'!$G$7:$G$26,0)),IF(AND(C1179&lt;&gt;"",C1179&lt;&gt;INDEX('Rules'!$B$7:$B$26,MATCH(SUBSTITUTE(SUBSTITUTE(SUBSTITUTE(SUBSTITUTE("type:"&amp;B1179,"%","%25"),"~","%7E"),"*","%2A"),"?","%3F"),'Rules'!$G$7:$G$26,0))),"Unit mismatch",IF(IF(NOT(ISNUMBER(D1179)),TRUE,OR(D1179&lt;0,D1179&gt;999999999,ROUND(D1179,3)&lt;&gt;D1179)),"Invalid current reading",IF(AND(E1179&lt;&gt;"",IF(NOT(ISNUMBER(E1179)),TRUE,OR(E1179&lt;0,E1179&gt;999999999,ROUND(E1179,3)&lt;&gt;E1179))),"Invalid previous reading",IF(IF(NOT(ISNUMBER(F1179)),TRUE,OR(F1179&lt;0,F1179&gt;999999999,ROUND(F1179,3)&lt;&gt;F1179)),"Invalid last service",IF(AND(E1179&lt;&gt;"",D1179&lt;E1179),"Decreased reading",IF(F1179&gt;D1179,"Last service above current","")))))))))))))</x:f>
      </x:c>
      <x:c r="L1179" s="6" t="str">
        <x:f>IF(AND(NOT(COUNTA(A1179:F1179)=0),K1179=""),INDEX('Rules'!$C$7:$C$26,MATCH(SUBSTITUTE(SUBSTITUTE(SUBSTITUTE(SUBSTITUTE("type:"&amp;B1179,"%","%25"),"~","%7E"),"*","%2A"),"?","%3F"),'Rules'!$G$7:$G$26,0)),"")</x:f>
      </x:c>
      <x:c r="M1179" s="6" t="str">
        <x:f>IF(AND(NOT(COUNTA(A1179:F1179)=0),K1179=""),INDEX('Rules'!$D$7:$D$26,MATCH(SUBSTITUTE(SUBSTITUTE(SUBSTITUTE(SUBSTITUTE("type:"&amp;B1179,"%","%25"),"~","%7E"),"*","%2A"),"?","%3F"),'Rules'!$G$7:$G$26,0)),"")</x:f>
      </x:c>
      <x:c r="N1179" s="5" t="str">
        <x:f>IF(COUNTA(A1179:F1179)=0,"",SUBSTITUTE(SUBSTITUTE(SUBSTITUTE(SUBSTITUTE("id:"&amp;A1179,"%","%25"),"~","%7E"),"*","%2A"),"?","%3F"))</x:f>
      </x:c>
    </x:row>
    <x:row r="1180" ht="22" customHeight="1">
      <x:c r="A1180" s="3"/>
      <x:c r="B1180" s="3"/>
      <x:c r="C1180" s="3"/>
      <x:c r="D1180" s="4"/>
      <x:c r="E1180" s="4"/>
      <x:c r="F1180" s="4"/>
      <x:c r="G1180" s="5" t="str">
        <x:f>IF(COUNTA(A1180:F1180)=0,"",IF(K1180&lt;&gt;"","Review",IF(I1180&lt;0,"Overdue",IF(I1180=0,"Due now",IF(I1180&lt;=M1180,"Due soon","Not due")))))</x:f>
      </x:c>
      <x:c r="H1180" s="5" t="str">
        <x:f>IF(OR(COUNTA(A1180:F1180)=0,COUNTIFS('Rules'!$G$7:$G$26,"="&amp;(SUBSTITUTE(SUBSTITUTE(SUBSTITUTE(SUBSTITUTE("type:"&amp;B1180,"%","%25"),"~","%7E"),"*","%2A"),"?","%3F")))&lt;&gt;1),"",IF(OR(INDEX('Rules'!$B$7:$B$26,MATCH(SUBSTITUTE(SUBSTITUTE(SUBSTITUTE(SUBSTITUTE("type:"&amp;B1180,"%","%25"),"~","%7E"),"*","%2A"),"?","%3F"),'Rules'!$G$7:$G$26,0))="hours",INDEX('Rules'!$B$7:$B$26,MATCH(SUBSTITUTE(SUBSTITUTE(SUBSTITUTE(SUBSTITUTE("type:"&amp;B1180,"%","%25"),"~","%7E"),"*","%2A"),"?","%3F"),'Rules'!$G$7:$G$26,0))="km"),INDEX('Rules'!$B$7:$B$26,MATCH(SUBSTITUTE(SUBSTITUTE(SUBSTITUTE(SUBSTITUTE("type:"&amp;B1180,"%","%25"),"~","%7E"),"*","%2A"),"?","%3F"),'Rules'!$G$7:$G$26,0)),""))</x:f>
      </x:c>
      <x:c r="I1180" s="6" t="str">
        <x:f>IF(AND(NOT(COUNTA(A1180:F1180)=0),K1180=""),ROUND(J1180-D1180,3),"")</x:f>
      </x:c>
      <x:c r="J1180" s="6" t="str">
        <x:f>IF(AND(NOT(COUNTA(A1180:F1180)=0),K1180=""),ROUND(F1180+L1180,3),"")</x:f>
      </x:c>
      <x:c r="K1180" s="5" t="str">
        <x:f>IF(COUNTA(A1180:F1180)=0,"",IF(A1180="","Missing equipment ID",IF(COUNTIFS($N$8:$N$2007,"="&amp;N1180)&gt;1,"Duplicate equipment ID",IF(B1180="","Missing type",IF(COUNTIFS('Rules'!$G$7:$G$26,"="&amp;(SUBSTITUTE(SUBSTITUTE(SUBSTITUTE(SUBSTITUTE("type:"&amp;B1180,"%","%25"),"~","%7E"),"*","%2A"),"?","%3F")))=0,"Unknown type",IF(COUNTIFS('Rules'!$G$7:$G$26,"="&amp;(SUBSTITUTE(SUBSTITUTE(SUBSTITUTE(SUBSTITUTE("type:"&amp;B1180,"%","%25"),"~","%7E"),"*","%2A"),"?","%3F")))&gt;1,"Duplicate type",IF(INDEX('Rules'!$F$7:$F$26,MATCH(SUBSTITUTE(SUBSTITUTE(SUBSTITUTE(SUBSTITUTE("type:"&amp;B1180,"%","%25"),"~","%7E"),"*","%2A"),"?","%3F"),'Rules'!$G$7:$G$26,0))&lt;&gt;"",INDEX('Rules'!$F$7:$F$26,MATCH(SUBSTITUTE(SUBSTITUTE(SUBSTITUTE(SUBSTITUTE("type:"&amp;B1180,"%","%25"),"~","%7E"),"*","%2A"),"?","%3F"),'Rules'!$G$7:$G$26,0)),IF(AND(C1180&lt;&gt;"",C1180&lt;&gt;INDEX('Rules'!$B$7:$B$26,MATCH(SUBSTITUTE(SUBSTITUTE(SUBSTITUTE(SUBSTITUTE("type:"&amp;B1180,"%","%25"),"~","%7E"),"*","%2A"),"?","%3F"),'Rules'!$G$7:$G$26,0))),"Unit mismatch",IF(IF(NOT(ISNUMBER(D1180)),TRUE,OR(D1180&lt;0,D1180&gt;999999999,ROUND(D1180,3)&lt;&gt;D1180)),"Invalid current reading",IF(AND(E1180&lt;&gt;"",IF(NOT(ISNUMBER(E1180)),TRUE,OR(E1180&lt;0,E1180&gt;999999999,ROUND(E1180,3)&lt;&gt;E1180))),"Invalid previous reading",IF(IF(NOT(ISNUMBER(F1180)),TRUE,OR(F1180&lt;0,F1180&gt;999999999,ROUND(F1180,3)&lt;&gt;F1180)),"Invalid last service",IF(AND(E1180&lt;&gt;"",D1180&lt;E1180),"Decreased reading",IF(F1180&gt;D1180,"Last service above current","")))))))))))))</x:f>
      </x:c>
      <x:c r="L1180" s="6" t="str">
        <x:f>IF(AND(NOT(COUNTA(A1180:F1180)=0),K1180=""),INDEX('Rules'!$C$7:$C$26,MATCH(SUBSTITUTE(SUBSTITUTE(SUBSTITUTE(SUBSTITUTE("type:"&amp;B1180,"%","%25"),"~","%7E"),"*","%2A"),"?","%3F"),'Rules'!$G$7:$G$26,0)),"")</x:f>
      </x:c>
      <x:c r="M1180" s="6" t="str">
        <x:f>IF(AND(NOT(COUNTA(A1180:F1180)=0),K1180=""),INDEX('Rules'!$D$7:$D$26,MATCH(SUBSTITUTE(SUBSTITUTE(SUBSTITUTE(SUBSTITUTE("type:"&amp;B1180,"%","%25"),"~","%7E"),"*","%2A"),"?","%3F"),'Rules'!$G$7:$G$26,0)),"")</x:f>
      </x:c>
      <x:c r="N1180" s="5" t="str">
        <x:f>IF(COUNTA(A1180:F1180)=0,"",SUBSTITUTE(SUBSTITUTE(SUBSTITUTE(SUBSTITUTE("id:"&amp;A1180,"%","%25"),"~","%7E"),"*","%2A"),"?","%3F"))</x:f>
      </x:c>
    </x:row>
    <x:row r="1181" ht="22" customHeight="1">
      <x:c r="A1181" s="3"/>
      <x:c r="B1181" s="3"/>
      <x:c r="C1181" s="3"/>
      <x:c r="D1181" s="4"/>
      <x:c r="E1181" s="4"/>
      <x:c r="F1181" s="4"/>
      <x:c r="G1181" s="5" t="str">
        <x:f>IF(COUNTA(A1181:F1181)=0,"",IF(K1181&lt;&gt;"","Review",IF(I1181&lt;0,"Overdue",IF(I1181=0,"Due now",IF(I1181&lt;=M1181,"Due soon","Not due")))))</x:f>
      </x:c>
      <x:c r="H1181" s="5" t="str">
        <x:f>IF(OR(COUNTA(A1181:F1181)=0,COUNTIFS('Rules'!$G$7:$G$26,"="&amp;(SUBSTITUTE(SUBSTITUTE(SUBSTITUTE(SUBSTITUTE("type:"&amp;B1181,"%","%25"),"~","%7E"),"*","%2A"),"?","%3F")))&lt;&gt;1),"",IF(OR(INDEX('Rules'!$B$7:$B$26,MATCH(SUBSTITUTE(SUBSTITUTE(SUBSTITUTE(SUBSTITUTE("type:"&amp;B1181,"%","%25"),"~","%7E"),"*","%2A"),"?","%3F"),'Rules'!$G$7:$G$26,0))="hours",INDEX('Rules'!$B$7:$B$26,MATCH(SUBSTITUTE(SUBSTITUTE(SUBSTITUTE(SUBSTITUTE("type:"&amp;B1181,"%","%25"),"~","%7E"),"*","%2A"),"?","%3F"),'Rules'!$G$7:$G$26,0))="km"),INDEX('Rules'!$B$7:$B$26,MATCH(SUBSTITUTE(SUBSTITUTE(SUBSTITUTE(SUBSTITUTE("type:"&amp;B1181,"%","%25"),"~","%7E"),"*","%2A"),"?","%3F"),'Rules'!$G$7:$G$26,0)),""))</x:f>
      </x:c>
      <x:c r="I1181" s="6" t="str">
        <x:f>IF(AND(NOT(COUNTA(A1181:F1181)=0),K1181=""),ROUND(J1181-D1181,3),"")</x:f>
      </x:c>
      <x:c r="J1181" s="6" t="str">
        <x:f>IF(AND(NOT(COUNTA(A1181:F1181)=0),K1181=""),ROUND(F1181+L1181,3),"")</x:f>
      </x:c>
      <x:c r="K1181" s="5" t="str">
        <x:f>IF(COUNTA(A1181:F1181)=0,"",IF(A1181="","Missing equipment ID",IF(COUNTIFS($N$8:$N$2007,"="&amp;N1181)&gt;1,"Duplicate equipment ID",IF(B1181="","Missing type",IF(COUNTIFS('Rules'!$G$7:$G$26,"="&amp;(SUBSTITUTE(SUBSTITUTE(SUBSTITUTE(SUBSTITUTE("type:"&amp;B1181,"%","%25"),"~","%7E"),"*","%2A"),"?","%3F")))=0,"Unknown type",IF(COUNTIFS('Rules'!$G$7:$G$26,"="&amp;(SUBSTITUTE(SUBSTITUTE(SUBSTITUTE(SUBSTITUTE("type:"&amp;B1181,"%","%25"),"~","%7E"),"*","%2A"),"?","%3F")))&gt;1,"Duplicate type",IF(INDEX('Rules'!$F$7:$F$26,MATCH(SUBSTITUTE(SUBSTITUTE(SUBSTITUTE(SUBSTITUTE("type:"&amp;B1181,"%","%25"),"~","%7E"),"*","%2A"),"?","%3F"),'Rules'!$G$7:$G$26,0))&lt;&gt;"",INDEX('Rules'!$F$7:$F$26,MATCH(SUBSTITUTE(SUBSTITUTE(SUBSTITUTE(SUBSTITUTE("type:"&amp;B1181,"%","%25"),"~","%7E"),"*","%2A"),"?","%3F"),'Rules'!$G$7:$G$26,0)),IF(AND(C1181&lt;&gt;"",C1181&lt;&gt;INDEX('Rules'!$B$7:$B$26,MATCH(SUBSTITUTE(SUBSTITUTE(SUBSTITUTE(SUBSTITUTE("type:"&amp;B1181,"%","%25"),"~","%7E"),"*","%2A"),"?","%3F"),'Rules'!$G$7:$G$26,0))),"Unit mismatch",IF(IF(NOT(ISNUMBER(D1181)),TRUE,OR(D1181&lt;0,D1181&gt;999999999,ROUND(D1181,3)&lt;&gt;D1181)),"Invalid current reading",IF(AND(E1181&lt;&gt;"",IF(NOT(ISNUMBER(E1181)),TRUE,OR(E1181&lt;0,E1181&gt;999999999,ROUND(E1181,3)&lt;&gt;E1181))),"Invalid previous reading",IF(IF(NOT(ISNUMBER(F1181)),TRUE,OR(F1181&lt;0,F1181&gt;999999999,ROUND(F1181,3)&lt;&gt;F1181)),"Invalid last service",IF(AND(E1181&lt;&gt;"",D1181&lt;E1181),"Decreased reading",IF(F1181&gt;D1181,"Last service above current","")))))))))))))</x:f>
      </x:c>
      <x:c r="L1181" s="6" t="str">
        <x:f>IF(AND(NOT(COUNTA(A1181:F1181)=0),K1181=""),INDEX('Rules'!$C$7:$C$26,MATCH(SUBSTITUTE(SUBSTITUTE(SUBSTITUTE(SUBSTITUTE("type:"&amp;B1181,"%","%25"),"~","%7E"),"*","%2A"),"?","%3F"),'Rules'!$G$7:$G$26,0)),"")</x:f>
      </x:c>
      <x:c r="M1181" s="6" t="str">
        <x:f>IF(AND(NOT(COUNTA(A1181:F1181)=0),K1181=""),INDEX('Rules'!$D$7:$D$26,MATCH(SUBSTITUTE(SUBSTITUTE(SUBSTITUTE(SUBSTITUTE("type:"&amp;B1181,"%","%25"),"~","%7E"),"*","%2A"),"?","%3F"),'Rules'!$G$7:$G$26,0)),"")</x:f>
      </x:c>
      <x:c r="N1181" s="5" t="str">
        <x:f>IF(COUNTA(A1181:F1181)=0,"",SUBSTITUTE(SUBSTITUTE(SUBSTITUTE(SUBSTITUTE("id:"&amp;A1181,"%","%25"),"~","%7E"),"*","%2A"),"?","%3F"))</x:f>
      </x:c>
    </x:row>
    <x:row r="1182" ht="22" customHeight="1">
      <x:c r="A1182" s="3"/>
      <x:c r="B1182" s="3"/>
      <x:c r="C1182" s="3"/>
      <x:c r="D1182" s="4"/>
      <x:c r="E1182" s="4"/>
      <x:c r="F1182" s="4"/>
      <x:c r="G1182" s="5" t="str">
        <x:f>IF(COUNTA(A1182:F1182)=0,"",IF(K1182&lt;&gt;"","Review",IF(I1182&lt;0,"Overdue",IF(I1182=0,"Due now",IF(I1182&lt;=M1182,"Due soon","Not due")))))</x:f>
      </x:c>
      <x:c r="H1182" s="5" t="str">
        <x:f>IF(OR(COUNTA(A1182:F1182)=0,COUNTIFS('Rules'!$G$7:$G$26,"="&amp;(SUBSTITUTE(SUBSTITUTE(SUBSTITUTE(SUBSTITUTE("type:"&amp;B1182,"%","%25"),"~","%7E"),"*","%2A"),"?","%3F")))&lt;&gt;1),"",IF(OR(INDEX('Rules'!$B$7:$B$26,MATCH(SUBSTITUTE(SUBSTITUTE(SUBSTITUTE(SUBSTITUTE("type:"&amp;B1182,"%","%25"),"~","%7E"),"*","%2A"),"?","%3F"),'Rules'!$G$7:$G$26,0))="hours",INDEX('Rules'!$B$7:$B$26,MATCH(SUBSTITUTE(SUBSTITUTE(SUBSTITUTE(SUBSTITUTE("type:"&amp;B1182,"%","%25"),"~","%7E"),"*","%2A"),"?","%3F"),'Rules'!$G$7:$G$26,0))="km"),INDEX('Rules'!$B$7:$B$26,MATCH(SUBSTITUTE(SUBSTITUTE(SUBSTITUTE(SUBSTITUTE("type:"&amp;B1182,"%","%25"),"~","%7E"),"*","%2A"),"?","%3F"),'Rules'!$G$7:$G$26,0)),""))</x:f>
      </x:c>
      <x:c r="I1182" s="6" t="str">
        <x:f>IF(AND(NOT(COUNTA(A1182:F1182)=0),K1182=""),ROUND(J1182-D1182,3),"")</x:f>
      </x:c>
      <x:c r="J1182" s="6" t="str">
        <x:f>IF(AND(NOT(COUNTA(A1182:F1182)=0),K1182=""),ROUND(F1182+L1182,3),"")</x:f>
      </x:c>
      <x:c r="K1182" s="5" t="str">
        <x:f>IF(COUNTA(A1182:F1182)=0,"",IF(A1182="","Missing equipment ID",IF(COUNTIFS($N$8:$N$2007,"="&amp;N1182)&gt;1,"Duplicate equipment ID",IF(B1182="","Missing type",IF(COUNTIFS('Rules'!$G$7:$G$26,"="&amp;(SUBSTITUTE(SUBSTITUTE(SUBSTITUTE(SUBSTITUTE("type:"&amp;B1182,"%","%25"),"~","%7E"),"*","%2A"),"?","%3F")))=0,"Unknown type",IF(COUNTIFS('Rules'!$G$7:$G$26,"="&amp;(SUBSTITUTE(SUBSTITUTE(SUBSTITUTE(SUBSTITUTE("type:"&amp;B1182,"%","%25"),"~","%7E"),"*","%2A"),"?","%3F")))&gt;1,"Duplicate type",IF(INDEX('Rules'!$F$7:$F$26,MATCH(SUBSTITUTE(SUBSTITUTE(SUBSTITUTE(SUBSTITUTE("type:"&amp;B1182,"%","%25"),"~","%7E"),"*","%2A"),"?","%3F"),'Rules'!$G$7:$G$26,0))&lt;&gt;"",INDEX('Rules'!$F$7:$F$26,MATCH(SUBSTITUTE(SUBSTITUTE(SUBSTITUTE(SUBSTITUTE("type:"&amp;B1182,"%","%25"),"~","%7E"),"*","%2A"),"?","%3F"),'Rules'!$G$7:$G$26,0)),IF(AND(C1182&lt;&gt;"",C1182&lt;&gt;INDEX('Rules'!$B$7:$B$26,MATCH(SUBSTITUTE(SUBSTITUTE(SUBSTITUTE(SUBSTITUTE("type:"&amp;B1182,"%","%25"),"~","%7E"),"*","%2A"),"?","%3F"),'Rules'!$G$7:$G$26,0))),"Unit mismatch",IF(IF(NOT(ISNUMBER(D1182)),TRUE,OR(D1182&lt;0,D1182&gt;999999999,ROUND(D1182,3)&lt;&gt;D1182)),"Invalid current reading",IF(AND(E1182&lt;&gt;"",IF(NOT(ISNUMBER(E1182)),TRUE,OR(E1182&lt;0,E1182&gt;999999999,ROUND(E1182,3)&lt;&gt;E1182))),"Invalid previous reading",IF(IF(NOT(ISNUMBER(F1182)),TRUE,OR(F1182&lt;0,F1182&gt;999999999,ROUND(F1182,3)&lt;&gt;F1182)),"Invalid last service",IF(AND(E1182&lt;&gt;"",D1182&lt;E1182),"Decreased reading",IF(F1182&gt;D1182,"Last service above current","")))))))))))))</x:f>
      </x:c>
      <x:c r="L1182" s="6" t="str">
        <x:f>IF(AND(NOT(COUNTA(A1182:F1182)=0),K1182=""),INDEX('Rules'!$C$7:$C$26,MATCH(SUBSTITUTE(SUBSTITUTE(SUBSTITUTE(SUBSTITUTE("type:"&amp;B1182,"%","%25"),"~","%7E"),"*","%2A"),"?","%3F"),'Rules'!$G$7:$G$26,0)),"")</x:f>
      </x:c>
      <x:c r="M1182" s="6" t="str">
        <x:f>IF(AND(NOT(COUNTA(A1182:F1182)=0),K1182=""),INDEX('Rules'!$D$7:$D$26,MATCH(SUBSTITUTE(SUBSTITUTE(SUBSTITUTE(SUBSTITUTE("type:"&amp;B1182,"%","%25"),"~","%7E"),"*","%2A"),"?","%3F"),'Rules'!$G$7:$G$26,0)),"")</x:f>
      </x:c>
      <x:c r="N1182" s="5" t="str">
        <x:f>IF(COUNTA(A1182:F1182)=0,"",SUBSTITUTE(SUBSTITUTE(SUBSTITUTE(SUBSTITUTE("id:"&amp;A1182,"%","%25"),"~","%7E"),"*","%2A"),"?","%3F"))</x:f>
      </x:c>
    </x:row>
    <x:row r="1183" ht="22" customHeight="1">
      <x:c r="A1183" s="3"/>
      <x:c r="B1183" s="3"/>
      <x:c r="C1183" s="3"/>
      <x:c r="D1183" s="4"/>
      <x:c r="E1183" s="4"/>
      <x:c r="F1183" s="4"/>
      <x:c r="G1183" s="5" t="str">
        <x:f>IF(COUNTA(A1183:F1183)=0,"",IF(K1183&lt;&gt;"","Review",IF(I1183&lt;0,"Overdue",IF(I1183=0,"Due now",IF(I1183&lt;=M1183,"Due soon","Not due")))))</x:f>
      </x:c>
      <x:c r="H1183" s="5" t="str">
        <x:f>IF(OR(COUNTA(A1183:F1183)=0,COUNTIFS('Rules'!$G$7:$G$26,"="&amp;(SUBSTITUTE(SUBSTITUTE(SUBSTITUTE(SUBSTITUTE("type:"&amp;B1183,"%","%25"),"~","%7E"),"*","%2A"),"?","%3F")))&lt;&gt;1),"",IF(OR(INDEX('Rules'!$B$7:$B$26,MATCH(SUBSTITUTE(SUBSTITUTE(SUBSTITUTE(SUBSTITUTE("type:"&amp;B1183,"%","%25"),"~","%7E"),"*","%2A"),"?","%3F"),'Rules'!$G$7:$G$26,0))="hours",INDEX('Rules'!$B$7:$B$26,MATCH(SUBSTITUTE(SUBSTITUTE(SUBSTITUTE(SUBSTITUTE("type:"&amp;B1183,"%","%25"),"~","%7E"),"*","%2A"),"?","%3F"),'Rules'!$G$7:$G$26,0))="km"),INDEX('Rules'!$B$7:$B$26,MATCH(SUBSTITUTE(SUBSTITUTE(SUBSTITUTE(SUBSTITUTE("type:"&amp;B1183,"%","%25"),"~","%7E"),"*","%2A"),"?","%3F"),'Rules'!$G$7:$G$26,0)),""))</x:f>
      </x:c>
      <x:c r="I1183" s="6" t="str">
        <x:f>IF(AND(NOT(COUNTA(A1183:F1183)=0),K1183=""),ROUND(J1183-D1183,3),"")</x:f>
      </x:c>
      <x:c r="J1183" s="6" t="str">
        <x:f>IF(AND(NOT(COUNTA(A1183:F1183)=0),K1183=""),ROUND(F1183+L1183,3),"")</x:f>
      </x:c>
      <x:c r="K1183" s="5" t="str">
        <x:f>IF(COUNTA(A1183:F1183)=0,"",IF(A1183="","Missing equipment ID",IF(COUNTIFS($N$8:$N$2007,"="&amp;N1183)&gt;1,"Duplicate equipment ID",IF(B1183="","Missing type",IF(COUNTIFS('Rules'!$G$7:$G$26,"="&amp;(SUBSTITUTE(SUBSTITUTE(SUBSTITUTE(SUBSTITUTE("type:"&amp;B1183,"%","%25"),"~","%7E"),"*","%2A"),"?","%3F")))=0,"Unknown type",IF(COUNTIFS('Rules'!$G$7:$G$26,"="&amp;(SUBSTITUTE(SUBSTITUTE(SUBSTITUTE(SUBSTITUTE("type:"&amp;B1183,"%","%25"),"~","%7E"),"*","%2A"),"?","%3F")))&gt;1,"Duplicate type",IF(INDEX('Rules'!$F$7:$F$26,MATCH(SUBSTITUTE(SUBSTITUTE(SUBSTITUTE(SUBSTITUTE("type:"&amp;B1183,"%","%25"),"~","%7E"),"*","%2A"),"?","%3F"),'Rules'!$G$7:$G$26,0))&lt;&gt;"",INDEX('Rules'!$F$7:$F$26,MATCH(SUBSTITUTE(SUBSTITUTE(SUBSTITUTE(SUBSTITUTE("type:"&amp;B1183,"%","%25"),"~","%7E"),"*","%2A"),"?","%3F"),'Rules'!$G$7:$G$26,0)),IF(AND(C1183&lt;&gt;"",C1183&lt;&gt;INDEX('Rules'!$B$7:$B$26,MATCH(SUBSTITUTE(SUBSTITUTE(SUBSTITUTE(SUBSTITUTE("type:"&amp;B1183,"%","%25"),"~","%7E"),"*","%2A"),"?","%3F"),'Rules'!$G$7:$G$26,0))),"Unit mismatch",IF(IF(NOT(ISNUMBER(D1183)),TRUE,OR(D1183&lt;0,D1183&gt;999999999,ROUND(D1183,3)&lt;&gt;D1183)),"Invalid current reading",IF(AND(E1183&lt;&gt;"",IF(NOT(ISNUMBER(E1183)),TRUE,OR(E1183&lt;0,E1183&gt;999999999,ROUND(E1183,3)&lt;&gt;E1183))),"Invalid previous reading",IF(IF(NOT(ISNUMBER(F1183)),TRUE,OR(F1183&lt;0,F1183&gt;999999999,ROUND(F1183,3)&lt;&gt;F1183)),"Invalid last service",IF(AND(E1183&lt;&gt;"",D1183&lt;E1183),"Decreased reading",IF(F1183&gt;D1183,"Last service above current","")))))))))))))</x:f>
      </x:c>
      <x:c r="L1183" s="6" t="str">
        <x:f>IF(AND(NOT(COUNTA(A1183:F1183)=0),K1183=""),INDEX('Rules'!$C$7:$C$26,MATCH(SUBSTITUTE(SUBSTITUTE(SUBSTITUTE(SUBSTITUTE("type:"&amp;B1183,"%","%25"),"~","%7E"),"*","%2A"),"?","%3F"),'Rules'!$G$7:$G$26,0)),"")</x:f>
      </x:c>
      <x:c r="M1183" s="6" t="str">
        <x:f>IF(AND(NOT(COUNTA(A1183:F1183)=0),K1183=""),INDEX('Rules'!$D$7:$D$26,MATCH(SUBSTITUTE(SUBSTITUTE(SUBSTITUTE(SUBSTITUTE("type:"&amp;B1183,"%","%25"),"~","%7E"),"*","%2A"),"?","%3F"),'Rules'!$G$7:$G$26,0)),"")</x:f>
      </x:c>
      <x:c r="N1183" s="5" t="str">
        <x:f>IF(COUNTA(A1183:F1183)=0,"",SUBSTITUTE(SUBSTITUTE(SUBSTITUTE(SUBSTITUTE("id:"&amp;A1183,"%","%25"),"~","%7E"),"*","%2A"),"?","%3F"))</x:f>
      </x:c>
    </x:row>
    <x:row r="1184" ht="22" customHeight="1">
      <x:c r="A1184" s="3"/>
      <x:c r="B1184" s="3"/>
      <x:c r="C1184" s="3"/>
      <x:c r="D1184" s="4"/>
      <x:c r="E1184" s="4"/>
      <x:c r="F1184" s="4"/>
      <x:c r="G1184" s="5" t="str">
        <x:f>IF(COUNTA(A1184:F1184)=0,"",IF(K1184&lt;&gt;"","Review",IF(I1184&lt;0,"Overdue",IF(I1184=0,"Due now",IF(I1184&lt;=M1184,"Due soon","Not due")))))</x:f>
      </x:c>
      <x:c r="H1184" s="5" t="str">
        <x:f>IF(OR(COUNTA(A1184:F1184)=0,COUNTIFS('Rules'!$G$7:$G$26,"="&amp;(SUBSTITUTE(SUBSTITUTE(SUBSTITUTE(SUBSTITUTE("type:"&amp;B1184,"%","%25"),"~","%7E"),"*","%2A"),"?","%3F")))&lt;&gt;1),"",IF(OR(INDEX('Rules'!$B$7:$B$26,MATCH(SUBSTITUTE(SUBSTITUTE(SUBSTITUTE(SUBSTITUTE("type:"&amp;B1184,"%","%25"),"~","%7E"),"*","%2A"),"?","%3F"),'Rules'!$G$7:$G$26,0))="hours",INDEX('Rules'!$B$7:$B$26,MATCH(SUBSTITUTE(SUBSTITUTE(SUBSTITUTE(SUBSTITUTE("type:"&amp;B1184,"%","%25"),"~","%7E"),"*","%2A"),"?","%3F"),'Rules'!$G$7:$G$26,0))="km"),INDEX('Rules'!$B$7:$B$26,MATCH(SUBSTITUTE(SUBSTITUTE(SUBSTITUTE(SUBSTITUTE("type:"&amp;B1184,"%","%25"),"~","%7E"),"*","%2A"),"?","%3F"),'Rules'!$G$7:$G$26,0)),""))</x:f>
      </x:c>
      <x:c r="I1184" s="6" t="str">
        <x:f>IF(AND(NOT(COUNTA(A1184:F1184)=0),K1184=""),ROUND(J1184-D1184,3),"")</x:f>
      </x:c>
      <x:c r="J1184" s="6" t="str">
        <x:f>IF(AND(NOT(COUNTA(A1184:F1184)=0),K1184=""),ROUND(F1184+L1184,3),"")</x:f>
      </x:c>
      <x:c r="K1184" s="5" t="str">
        <x:f>IF(COUNTA(A1184:F1184)=0,"",IF(A1184="","Missing equipment ID",IF(COUNTIFS($N$8:$N$2007,"="&amp;N1184)&gt;1,"Duplicate equipment ID",IF(B1184="","Missing type",IF(COUNTIFS('Rules'!$G$7:$G$26,"="&amp;(SUBSTITUTE(SUBSTITUTE(SUBSTITUTE(SUBSTITUTE("type:"&amp;B1184,"%","%25"),"~","%7E"),"*","%2A"),"?","%3F")))=0,"Unknown type",IF(COUNTIFS('Rules'!$G$7:$G$26,"="&amp;(SUBSTITUTE(SUBSTITUTE(SUBSTITUTE(SUBSTITUTE("type:"&amp;B1184,"%","%25"),"~","%7E"),"*","%2A"),"?","%3F")))&gt;1,"Duplicate type",IF(INDEX('Rules'!$F$7:$F$26,MATCH(SUBSTITUTE(SUBSTITUTE(SUBSTITUTE(SUBSTITUTE("type:"&amp;B1184,"%","%25"),"~","%7E"),"*","%2A"),"?","%3F"),'Rules'!$G$7:$G$26,0))&lt;&gt;"",INDEX('Rules'!$F$7:$F$26,MATCH(SUBSTITUTE(SUBSTITUTE(SUBSTITUTE(SUBSTITUTE("type:"&amp;B1184,"%","%25"),"~","%7E"),"*","%2A"),"?","%3F"),'Rules'!$G$7:$G$26,0)),IF(AND(C1184&lt;&gt;"",C1184&lt;&gt;INDEX('Rules'!$B$7:$B$26,MATCH(SUBSTITUTE(SUBSTITUTE(SUBSTITUTE(SUBSTITUTE("type:"&amp;B1184,"%","%25"),"~","%7E"),"*","%2A"),"?","%3F"),'Rules'!$G$7:$G$26,0))),"Unit mismatch",IF(IF(NOT(ISNUMBER(D1184)),TRUE,OR(D1184&lt;0,D1184&gt;999999999,ROUND(D1184,3)&lt;&gt;D1184)),"Invalid current reading",IF(AND(E1184&lt;&gt;"",IF(NOT(ISNUMBER(E1184)),TRUE,OR(E1184&lt;0,E1184&gt;999999999,ROUND(E1184,3)&lt;&gt;E1184))),"Invalid previous reading",IF(IF(NOT(ISNUMBER(F1184)),TRUE,OR(F1184&lt;0,F1184&gt;999999999,ROUND(F1184,3)&lt;&gt;F1184)),"Invalid last service",IF(AND(E1184&lt;&gt;"",D1184&lt;E1184),"Decreased reading",IF(F1184&gt;D1184,"Last service above current","")))))))))))))</x:f>
      </x:c>
      <x:c r="L1184" s="6" t="str">
        <x:f>IF(AND(NOT(COUNTA(A1184:F1184)=0),K1184=""),INDEX('Rules'!$C$7:$C$26,MATCH(SUBSTITUTE(SUBSTITUTE(SUBSTITUTE(SUBSTITUTE("type:"&amp;B1184,"%","%25"),"~","%7E"),"*","%2A"),"?","%3F"),'Rules'!$G$7:$G$26,0)),"")</x:f>
      </x:c>
      <x:c r="M1184" s="6" t="str">
        <x:f>IF(AND(NOT(COUNTA(A1184:F1184)=0),K1184=""),INDEX('Rules'!$D$7:$D$26,MATCH(SUBSTITUTE(SUBSTITUTE(SUBSTITUTE(SUBSTITUTE("type:"&amp;B1184,"%","%25"),"~","%7E"),"*","%2A"),"?","%3F"),'Rules'!$G$7:$G$26,0)),"")</x:f>
      </x:c>
      <x:c r="N1184" s="5" t="str">
        <x:f>IF(COUNTA(A1184:F1184)=0,"",SUBSTITUTE(SUBSTITUTE(SUBSTITUTE(SUBSTITUTE("id:"&amp;A1184,"%","%25"),"~","%7E"),"*","%2A"),"?","%3F"))</x:f>
      </x:c>
    </x:row>
    <x:row r="1185" ht="22" customHeight="1">
      <x:c r="A1185" s="3"/>
      <x:c r="B1185" s="3"/>
      <x:c r="C1185" s="3"/>
      <x:c r="D1185" s="4"/>
      <x:c r="E1185" s="4"/>
      <x:c r="F1185" s="4"/>
      <x:c r="G1185" s="5" t="str">
        <x:f>IF(COUNTA(A1185:F1185)=0,"",IF(K1185&lt;&gt;"","Review",IF(I1185&lt;0,"Overdue",IF(I1185=0,"Due now",IF(I1185&lt;=M1185,"Due soon","Not due")))))</x:f>
      </x:c>
      <x:c r="H1185" s="5" t="str">
        <x:f>IF(OR(COUNTA(A1185:F1185)=0,COUNTIFS('Rules'!$G$7:$G$26,"="&amp;(SUBSTITUTE(SUBSTITUTE(SUBSTITUTE(SUBSTITUTE("type:"&amp;B1185,"%","%25"),"~","%7E"),"*","%2A"),"?","%3F")))&lt;&gt;1),"",IF(OR(INDEX('Rules'!$B$7:$B$26,MATCH(SUBSTITUTE(SUBSTITUTE(SUBSTITUTE(SUBSTITUTE("type:"&amp;B1185,"%","%25"),"~","%7E"),"*","%2A"),"?","%3F"),'Rules'!$G$7:$G$26,0))="hours",INDEX('Rules'!$B$7:$B$26,MATCH(SUBSTITUTE(SUBSTITUTE(SUBSTITUTE(SUBSTITUTE("type:"&amp;B1185,"%","%25"),"~","%7E"),"*","%2A"),"?","%3F"),'Rules'!$G$7:$G$26,0))="km"),INDEX('Rules'!$B$7:$B$26,MATCH(SUBSTITUTE(SUBSTITUTE(SUBSTITUTE(SUBSTITUTE("type:"&amp;B1185,"%","%25"),"~","%7E"),"*","%2A"),"?","%3F"),'Rules'!$G$7:$G$26,0)),""))</x:f>
      </x:c>
      <x:c r="I1185" s="6" t="str">
        <x:f>IF(AND(NOT(COUNTA(A1185:F1185)=0),K1185=""),ROUND(J1185-D1185,3),"")</x:f>
      </x:c>
      <x:c r="J1185" s="6" t="str">
        <x:f>IF(AND(NOT(COUNTA(A1185:F1185)=0),K1185=""),ROUND(F1185+L1185,3),"")</x:f>
      </x:c>
      <x:c r="K1185" s="5" t="str">
        <x:f>IF(COUNTA(A1185:F1185)=0,"",IF(A1185="","Missing equipment ID",IF(COUNTIFS($N$8:$N$2007,"="&amp;N1185)&gt;1,"Duplicate equipment ID",IF(B1185="","Missing type",IF(COUNTIFS('Rules'!$G$7:$G$26,"="&amp;(SUBSTITUTE(SUBSTITUTE(SUBSTITUTE(SUBSTITUTE("type:"&amp;B1185,"%","%25"),"~","%7E"),"*","%2A"),"?","%3F")))=0,"Unknown type",IF(COUNTIFS('Rules'!$G$7:$G$26,"="&amp;(SUBSTITUTE(SUBSTITUTE(SUBSTITUTE(SUBSTITUTE("type:"&amp;B1185,"%","%25"),"~","%7E"),"*","%2A"),"?","%3F")))&gt;1,"Duplicate type",IF(INDEX('Rules'!$F$7:$F$26,MATCH(SUBSTITUTE(SUBSTITUTE(SUBSTITUTE(SUBSTITUTE("type:"&amp;B1185,"%","%25"),"~","%7E"),"*","%2A"),"?","%3F"),'Rules'!$G$7:$G$26,0))&lt;&gt;"",INDEX('Rules'!$F$7:$F$26,MATCH(SUBSTITUTE(SUBSTITUTE(SUBSTITUTE(SUBSTITUTE("type:"&amp;B1185,"%","%25"),"~","%7E"),"*","%2A"),"?","%3F"),'Rules'!$G$7:$G$26,0)),IF(AND(C1185&lt;&gt;"",C1185&lt;&gt;INDEX('Rules'!$B$7:$B$26,MATCH(SUBSTITUTE(SUBSTITUTE(SUBSTITUTE(SUBSTITUTE("type:"&amp;B1185,"%","%25"),"~","%7E"),"*","%2A"),"?","%3F"),'Rules'!$G$7:$G$26,0))),"Unit mismatch",IF(IF(NOT(ISNUMBER(D1185)),TRUE,OR(D1185&lt;0,D1185&gt;999999999,ROUND(D1185,3)&lt;&gt;D1185)),"Invalid current reading",IF(AND(E1185&lt;&gt;"",IF(NOT(ISNUMBER(E1185)),TRUE,OR(E1185&lt;0,E1185&gt;999999999,ROUND(E1185,3)&lt;&gt;E1185))),"Invalid previous reading",IF(IF(NOT(ISNUMBER(F1185)),TRUE,OR(F1185&lt;0,F1185&gt;999999999,ROUND(F1185,3)&lt;&gt;F1185)),"Invalid last service",IF(AND(E1185&lt;&gt;"",D1185&lt;E1185),"Decreased reading",IF(F1185&gt;D1185,"Last service above current","")))))))))))))</x:f>
      </x:c>
      <x:c r="L1185" s="6" t="str">
        <x:f>IF(AND(NOT(COUNTA(A1185:F1185)=0),K1185=""),INDEX('Rules'!$C$7:$C$26,MATCH(SUBSTITUTE(SUBSTITUTE(SUBSTITUTE(SUBSTITUTE("type:"&amp;B1185,"%","%25"),"~","%7E"),"*","%2A"),"?","%3F"),'Rules'!$G$7:$G$26,0)),"")</x:f>
      </x:c>
      <x:c r="M1185" s="6" t="str">
        <x:f>IF(AND(NOT(COUNTA(A1185:F1185)=0),K1185=""),INDEX('Rules'!$D$7:$D$26,MATCH(SUBSTITUTE(SUBSTITUTE(SUBSTITUTE(SUBSTITUTE("type:"&amp;B1185,"%","%25"),"~","%7E"),"*","%2A"),"?","%3F"),'Rules'!$G$7:$G$26,0)),"")</x:f>
      </x:c>
      <x:c r="N1185" s="5" t="str">
        <x:f>IF(COUNTA(A1185:F1185)=0,"",SUBSTITUTE(SUBSTITUTE(SUBSTITUTE(SUBSTITUTE("id:"&amp;A1185,"%","%25"),"~","%7E"),"*","%2A"),"?","%3F"))</x:f>
      </x:c>
    </x:row>
    <x:row r="1186" ht="22" customHeight="1">
      <x:c r="A1186" s="3"/>
      <x:c r="B1186" s="3"/>
      <x:c r="C1186" s="3"/>
      <x:c r="D1186" s="4"/>
      <x:c r="E1186" s="4"/>
      <x:c r="F1186" s="4"/>
      <x:c r="G1186" s="5" t="str">
        <x:f>IF(COUNTA(A1186:F1186)=0,"",IF(K1186&lt;&gt;"","Review",IF(I1186&lt;0,"Overdue",IF(I1186=0,"Due now",IF(I1186&lt;=M1186,"Due soon","Not due")))))</x:f>
      </x:c>
      <x:c r="H1186" s="5" t="str">
        <x:f>IF(OR(COUNTA(A1186:F1186)=0,COUNTIFS('Rules'!$G$7:$G$26,"="&amp;(SUBSTITUTE(SUBSTITUTE(SUBSTITUTE(SUBSTITUTE("type:"&amp;B1186,"%","%25"),"~","%7E"),"*","%2A"),"?","%3F")))&lt;&gt;1),"",IF(OR(INDEX('Rules'!$B$7:$B$26,MATCH(SUBSTITUTE(SUBSTITUTE(SUBSTITUTE(SUBSTITUTE("type:"&amp;B1186,"%","%25"),"~","%7E"),"*","%2A"),"?","%3F"),'Rules'!$G$7:$G$26,0))="hours",INDEX('Rules'!$B$7:$B$26,MATCH(SUBSTITUTE(SUBSTITUTE(SUBSTITUTE(SUBSTITUTE("type:"&amp;B1186,"%","%25"),"~","%7E"),"*","%2A"),"?","%3F"),'Rules'!$G$7:$G$26,0))="km"),INDEX('Rules'!$B$7:$B$26,MATCH(SUBSTITUTE(SUBSTITUTE(SUBSTITUTE(SUBSTITUTE("type:"&amp;B1186,"%","%25"),"~","%7E"),"*","%2A"),"?","%3F"),'Rules'!$G$7:$G$26,0)),""))</x:f>
      </x:c>
      <x:c r="I1186" s="6" t="str">
        <x:f>IF(AND(NOT(COUNTA(A1186:F1186)=0),K1186=""),ROUND(J1186-D1186,3),"")</x:f>
      </x:c>
      <x:c r="J1186" s="6" t="str">
        <x:f>IF(AND(NOT(COUNTA(A1186:F1186)=0),K1186=""),ROUND(F1186+L1186,3),"")</x:f>
      </x:c>
      <x:c r="K1186" s="5" t="str">
        <x:f>IF(COUNTA(A1186:F1186)=0,"",IF(A1186="","Missing equipment ID",IF(COUNTIFS($N$8:$N$2007,"="&amp;N1186)&gt;1,"Duplicate equipment ID",IF(B1186="","Missing type",IF(COUNTIFS('Rules'!$G$7:$G$26,"="&amp;(SUBSTITUTE(SUBSTITUTE(SUBSTITUTE(SUBSTITUTE("type:"&amp;B1186,"%","%25"),"~","%7E"),"*","%2A"),"?","%3F")))=0,"Unknown type",IF(COUNTIFS('Rules'!$G$7:$G$26,"="&amp;(SUBSTITUTE(SUBSTITUTE(SUBSTITUTE(SUBSTITUTE("type:"&amp;B1186,"%","%25"),"~","%7E"),"*","%2A"),"?","%3F")))&gt;1,"Duplicate type",IF(INDEX('Rules'!$F$7:$F$26,MATCH(SUBSTITUTE(SUBSTITUTE(SUBSTITUTE(SUBSTITUTE("type:"&amp;B1186,"%","%25"),"~","%7E"),"*","%2A"),"?","%3F"),'Rules'!$G$7:$G$26,0))&lt;&gt;"",INDEX('Rules'!$F$7:$F$26,MATCH(SUBSTITUTE(SUBSTITUTE(SUBSTITUTE(SUBSTITUTE("type:"&amp;B1186,"%","%25"),"~","%7E"),"*","%2A"),"?","%3F"),'Rules'!$G$7:$G$26,0)),IF(AND(C1186&lt;&gt;"",C1186&lt;&gt;INDEX('Rules'!$B$7:$B$26,MATCH(SUBSTITUTE(SUBSTITUTE(SUBSTITUTE(SUBSTITUTE("type:"&amp;B1186,"%","%25"),"~","%7E"),"*","%2A"),"?","%3F"),'Rules'!$G$7:$G$26,0))),"Unit mismatch",IF(IF(NOT(ISNUMBER(D1186)),TRUE,OR(D1186&lt;0,D1186&gt;999999999,ROUND(D1186,3)&lt;&gt;D1186)),"Invalid current reading",IF(AND(E1186&lt;&gt;"",IF(NOT(ISNUMBER(E1186)),TRUE,OR(E1186&lt;0,E1186&gt;999999999,ROUND(E1186,3)&lt;&gt;E1186))),"Invalid previous reading",IF(IF(NOT(ISNUMBER(F1186)),TRUE,OR(F1186&lt;0,F1186&gt;999999999,ROUND(F1186,3)&lt;&gt;F1186)),"Invalid last service",IF(AND(E1186&lt;&gt;"",D1186&lt;E1186),"Decreased reading",IF(F1186&gt;D1186,"Last service above current","")))))))))))))</x:f>
      </x:c>
      <x:c r="L1186" s="6" t="str">
        <x:f>IF(AND(NOT(COUNTA(A1186:F1186)=0),K1186=""),INDEX('Rules'!$C$7:$C$26,MATCH(SUBSTITUTE(SUBSTITUTE(SUBSTITUTE(SUBSTITUTE("type:"&amp;B1186,"%","%25"),"~","%7E"),"*","%2A"),"?","%3F"),'Rules'!$G$7:$G$26,0)),"")</x:f>
      </x:c>
      <x:c r="M1186" s="6" t="str">
        <x:f>IF(AND(NOT(COUNTA(A1186:F1186)=0),K1186=""),INDEX('Rules'!$D$7:$D$26,MATCH(SUBSTITUTE(SUBSTITUTE(SUBSTITUTE(SUBSTITUTE("type:"&amp;B1186,"%","%25"),"~","%7E"),"*","%2A"),"?","%3F"),'Rules'!$G$7:$G$26,0)),"")</x:f>
      </x:c>
      <x:c r="N1186" s="5" t="str">
        <x:f>IF(COUNTA(A1186:F1186)=0,"",SUBSTITUTE(SUBSTITUTE(SUBSTITUTE(SUBSTITUTE("id:"&amp;A1186,"%","%25"),"~","%7E"),"*","%2A"),"?","%3F"))</x:f>
      </x:c>
    </x:row>
    <x:row r="1187" ht="22" customHeight="1">
      <x:c r="A1187" s="3"/>
      <x:c r="B1187" s="3"/>
      <x:c r="C1187" s="3"/>
      <x:c r="D1187" s="4"/>
      <x:c r="E1187" s="4"/>
      <x:c r="F1187" s="4"/>
      <x:c r="G1187" s="5" t="str">
        <x:f>IF(COUNTA(A1187:F1187)=0,"",IF(K1187&lt;&gt;"","Review",IF(I1187&lt;0,"Overdue",IF(I1187=0,"Due now",IF(I1187&lt;=M1187,"Due soon","Not due")))))</x:f>
      </x:c>
      <x:c r="H1187" s="5" t="str">
        <x:f>IF(OR(COUNTA(A1187:F1187)=0,COUNTIFS('Rules'!$G$7:$G$26,"="&amp;(SUBSTITUTE(SUBSTITUTE(SUBSTITUTE(SUBSTITUTE("type:"&amp;B1187,"%","%25"),"~","%7E"),"*","%2A"),"?","%3F")))&lt;&gt;1),"",IF(OR(INDEX('Rules'!$B$7:$B$26,MATCH(SUBSTITUTE(SUBSTITUTE(SUBSTITUTE(SUBSTITUTE("type:"&amp;B1187,"%","%25"),"~","%7E"),"*","%2A"),"?","%3F"),'Rules'!$G$7:$G$26,0))="hours",INDEX('Rules'!$B$7:$B$26,MATCH(SUBSTITUTE(SUBSTITUTE(SUBSTITUTE(SUBSTITUTE("type:"&amp;B1187,"%","%25"),"~","%7E"),"*","%2A"),"?","%3F"),'Rules'!$G$7:$G$26,0))="km"),INDEX('Rules'!$B$7:$B$26,MATCH(SUBSTITUTE(SUBSTITUTE(SUBSTITUTE(SUBSTITUTE("type:"&amp;B1187,"%","%25"),"~","%7E"),"*","%2A"),"?","%3F"),'Rules'!$G$7:$G$26,0)),""))</x:f>
      </x:c>
      <x:c r="I1187" s="6" t="str">
        <x:f>IF(AND(NOT(COUNTA(A1187:F1187)=0),K1187=""),ROUND(J1187-D1187,3),"")</x:f>
      </x:c>
      <x:c r="J1187" s="6" t="str">
        <x:f>IF(AND(NOT(COUNTA(A1187:F1187)=0),K1187=""),ROUND(F1187+L1187,3),"")</x:f>
      </x:c>
      <x:c r="K1187" s="5" t="str">
        <x:f>IF(COUNTA(A1187:F1187)=0,"",IF(A1187="","Missing equipment ID",IF(COUNTIFS($N$8:$N$2007,"="&amp;N1187)&gt;1,"Duplicate equipment ID",IF(B1187="","Missing type",IF(COUNTIFS('Rules'!$G$7:$G$26,"="&amp;(SUBSTITUTE(SUBSTITUTE(SUBSTITUTE(SUBSTITUTE("type:"&amp;B1187,"%","%25"),"~","%7E"),"*","%2A"),"?","%3F")))=0,"Unknown type",IF(COUNTIFS('Rules'!$G$7:$G$26,"="&amp;(SUBSTITUTE(SUBSTITUTE(SUBSTITUTE(SUBSTITUTE("type:"&amp;B1187,"%","%25"),"~","%7E"),"*","%2A"),"?","%3F")))&gt;1,"Duplicate type",IF(INDEX('Rules'!$F$7:$F$26,MATCH(SUBSTITUTE(SUBSTITUTE(SUBSTITUTE(SUBSTITUTE("type:"&amp;B1187,"%","%25"),"~","%7E"),"*","%2A"),"?","%3F"),'Rules'!$G$7:$G$26,0))&lt;&gt;"",INDEX('Rules'!$F$7:$F$26,MATCH(SUBSTITUTE(SUBSTITUTE(SUBSTITUTE(SUBSTITUTE("type:"&amp;B1187,"%","%25"),"~","%7E"),"*","%2A"),"?","%3F"),'Rules'!$G$7:$G$26,0)),IF(AND(C1187&lt;&gt;"",C1187&lt;&gt;INDEX('Rules'!$B$7:$B$26,MATCH(SUBSTITUTE(SUBSTITUTE(SUBSTITUTE(SUBSTITUTE("type:"&amp;B1187,"%","%25"),"~","%7E"),"*","%2A"),"?","%3F"),'Rules'!$G$7:$G$26,0))),"Unit mismatch",IF(IF(NOT(ISNUMBER(D1187)),TRUE,OR(D1187&lt;0,D1187&gt;999999999,ROUND(D1187,3)&lt;&gt;D1187)),"Invalid current reading",IF(AND(E1187&lt;&gt;"",IF(NOT(ISNUMBER(E1187)),TRUE,OR(E1187&lt;0,E1187&gt;999999999,ROUND(E1187,3)&lt;&gt;E1187))),"Invalid previous reading",IF(IF(NOT(ISNUMBER(F1187)),TRUE,OR(F1187&lt;0,F1187&gt;999999999,ROUND(F1187,3)&lt;&gt;F1187)),"Invalid last service",IF(AND(E1187&lt;&gt;"",D1187&lt;E1187),"Decreased reading",IF(F1187&gt;D1187,"Last service above current","")))))))))))))</x:f>
      </x:c>
      <x:c r="L1187" s="6" t="str">
        <x:f>IF(AND(NOT(COUNTA(A1187:F1187)=0),K1187=""),INDEX('Rules'!$C$7:$C$26,MATCH(SUBSTITUTE(SUBSTITUTE(SUBSTITUTE(SUBSTITUTE("type:"&amp;B1187,"%","%25"),"~","%7E"),"*","%2A"),"?","%3F"),'Rules'!$G$7:$G$26,0)),"")</x:f>
      </x:c>
      <x:c r="M1187" s="6" t="str">
        <x:f>IF(AND(NOT(COUNTA(A1187:F1187)=0),K1187=""),INDEX('Rules'!$D$7:$D$26,MATCH(SUBSTITUTE(SUBSTITUTE(SUBSTITUTE(SUBSTITUTE("type:"&amp;B1187,"%","%25"),"~","%7E"),"*","%2A"),"?","%3F"),'Rules'!$G$7:$G$26,0)),"")</x:f>
      </x:c>
      <x:c r="N1187" s="5" t="str">
        <x:f>IF(COUNTA(A1187:F1187)=0,"",SUBSTITUTE(SUBSTITUTE(SUBSTITUTE(SUBSTITUTE("id:"&amp;A1187,"%","%25"),"~","%7E"),"*","%2A"),"?","%3F"))</x:f>
      </x:c>
    </x:row>
    <x:row r="1188" ht="22" customHeight="1">
      <x:c r="A1188" s="3"/>
      <x:c r="B1188" s="3"/>
      <x:c r="C1188" s="3"/>
      <x:c r="D1188" s="4"/>
      <x:c r="E1188" s="4"/>
      <x:c r="F1188" s="4"/>
      <x:c r="G1188" s="5" t="str">
        <x:f>IF(COUNTA(A1188:F1188)=0,"",IF(K1188&lt;&gt;"","Review",IF(I1188&lt;0,"Overdue",IF(I1188=0,"Due now",IF(I1188&lt;=M1188,"Due soon","Not due")))))</x:f>
      </x:c>
      <x:c r="H1188" s="5" t="str">
        <x:f>IF(OR(COUNTA(A1188:F1188)=0,COUNTIFS('Rules'!$G$7:$G$26,"="&amp;(SUBSTITUTE(SUBSTITUTE(SUBSTITUTE(SUBSTITUTE("type:"&amp;B1188,"%","%25"),"~","%7E"),"*","%2A"),"?","%3F")))&lt;&gt;1),"",IF(OR(INDEX('Rules'!$B$7:$B$26,MATCH(SUBSTITUTE(SUBSTITUTE(SUBSTITUTE(SUBSTITUTE("type:"&amp;B1188,"%","%25"),"~","%7E"),"*","%2A"),"?","%3F"),'Rules'!$G$7:$G$26,0))="hours",INDEX('Rules'!$B$7:$B$26,MATCH(SUBSTITUTE(SUBSTITUTE(SUBSTITUTE(SUBSTITUTE("type:"&amp;B1188,"%","%25"),"~","%7E"),"*","%2A"),"?","%3F"),'Rules'!$G$7:$G$26,0))="km"),INDEX('Rules'!$B$7:$B$26,MATCH(SUBSTITUTE(SUBSTITUTE(SUBSTITUTE(SUBSTITUTE("type:"&amp;B1188,"%","%25"),"~","%7E"),"*","%2A"),"?","%3F"),'Rules'!$G$7:$G$26,0)),""))</x:f>
      </x:c>
      <x:c r="I1188" s="6" t="str">
        <x:f>IF(AND(NOT(COUNTA(A1188:F1188)=0),K1188=""),ROUND(J1188-D1188,3),"")</x:f>
      </x:c>
      <x:c r="J1188" s="6" t="str">
        <x:f>IF(AND(NOT(COUNTA(A1188:F1188)=0),K1188=""),ROUND(F1188+L1188,3),"")</x:f>
      </x:c>
      <x:c r="K1188" s="5" t="str">
        <x:f>IF(COUNTA(A1188:F1188)=0,"",IF(A1188="","Missing equipment ID",IF(COUNTIFS($N$8:$N$2007,"="&amp;N1188)&gt;1,"Duplicate equipment ID",IF(B1188="","Missing type",IF(COUNTIFS('Rules'!$G$7:$G$26,"="&amp;(SUBSTITUTE(SUBSTITUTE(SUBSTITUTE(SUBSTITUTE("type:"&amp;B1188,"%","%25"),"~","%7E"),"*","%2A"),"?","%3F")))=0,"Unknown type",IF(COUNTIFS('Rules'!$G$7:$G$26,"="&amp;(SUBSTITUTE(SUBSTITUTE(SUBSTITUTE(SUBSTITUTE("type:"&amp;B1188,"%","%25"),"~","%7E"),"*","%2A"),"?","%3F")))&gt;1,"Duplicate type",IF(INDEX('Rules'!$F$7:$F$26,MATCH(SUBSTITUTE(SUBSTITUTE(SUBSTITUTE(SUBSTITUTE("type:"&amp;B1188,"%","%25"),"~","%7E"),"*","%2A"),"?","%3F"),'Rules'!$G$7:$G$26,0))&lt;&gt;"",INDEX('Rules'!$F$7:$F$26,MATCH(SUBSTITUTE(SUBSTITUTE(SUBSTITUTE(SUBSTITUTE("type:"&amp;B1188,"%","%25"),"~","%7E"),"*","%2A"),"?","%3F"),'Rules'!$G$7:$G$26,0)),IF(AND(C1188&lt;&gt;"",C1188&lt;&gt;INDEX('Rules'!$B$7:$B$26,MATCH(SUBSTITUTE(SUBSTITUTE(SUBSTITUTE(SUBSTITUTE("type:"&amp;B1188,"%","%25"),"~","%7E"),"*","%2A"),"?","%3F"),'Rules'!$G$7:$G$26,0))),"Unit mismatch",IF(IF(NOT(ISNUMBER(D1188)),TRUE,OR(D1188&lt;0,D1188&gt;999999999,ROUND(D1188,3)&lt;&gt;D1188)),"Invalid current reading",IF(AND(E1188&lt;&gt;"",IF(NOT(ISNUMBER(E1188)),TRUE,OR(E1188&lt;0,E1188&gt;999999999,ROUND(E1188,3)&lt;&gt;E1188))),"Invalid previous reading",IF(IF(NOT(ISNUMBER(F1188)),TRUE,OR(F1188&lt;0,F1188&gt;999999999,ROUND(F1188,3)&lt;&gt;F1188)),"Invalid last service",IF(AND(E1188&lt;&gt;"",D1188&lt;E1188),"Decreased reading",IF(F1188&gt;D1188,"Last service above current","")))))))))))))</x:f>
      </x:c>
      <x:c r="L1188" s="6" t="str">
        <x:f>IF(AND(NOT(COUNTA(A1188:F1188)=0),K1188=""),INDEX('Rules'!$C$7:$C$26,MATCH(SUBSTITUTE(SUBSTITUTE(SUBSTITUTE(SUBSTITUTE("type:"&amp;B1188,"%","%25"),"~","%7E"),"*","%2A"),"?","%3F"),'Rules'!$G$7:$G$26,0)),"")</x:f>
      </x:c>
      <x:c r="M1188" s="6" t="str">
        <x:f>IF(AND(NOT(COUNTA(A1188:F1188)=0),K1188=""),INDEX('Rules'!$D$7:$D$26,MATCH(SUBSTITUTE(SUBSTITUTE(SUBSTITUTE(SUBSTITUTE("type:"&amp;B1188,"%","%25"),"~","%7E"),"*","%2A"),"?","%3F"),'Rules'!$G$7:$G$26,0)),"")</x:f>
      </x:c>
      <x:c r="N1188" s="5" t="str">
        <x:f>IF(COUNTA(A1188:F1188)=0,"",SUBSTITUTE(SUBSTITUTE(SUBSTITUTE(SUBSTITUTE("id:"&amp;A1188,"%","%25"),"~","%7E"),"*","%2A"),"?","%3F"))</x:f>
      </x:c>
    </x:row>
    <x:row r="1189" ht="22" customHeight="1">
      <x:c r="A1189" s="3"/>
      <x:c r="B1189" s="3"/>
      <x:c r="C1189" s="3"/>
      <x:c r="D1189" s="4"/>
      <x:c r="E1189" s="4"/>
      <x:c r="F1189" s="4"/>
      <x:c r="G1189" s="5" t="str">
        <x:f>IF(COUNTA(A1189:F1189)=0,"",IF(K1189&lt;&gt;"","Review",IF(I1189&lt;0,"Overdue",IF(I1189=0,"Due now",IF(I1189&lt;=M1189,"Due soon","Not due")))))</x:f>
      </x:c>
      <x:c r="H1189" s="5" t="str">
        <x:f>IF(OR(COUNTA(A1189:F1189)=0,COUNTIFS('Rules'!$G$7:$G$26,"="&amp;(SUBSTITUTE(SUBSTITUTE(SUBSTITUTE(SUBSTITUTE("type:"&amp;B1189,"%","%25"),"~","%7E"),"*","%2A"),"?","%3F")))&lt;&gt;1),"",IF(OR(INDEX('Rules'!$B$7:$B$26,MATCH(SUBSTITUTE(SUBSTITUTE(SUBSTITUTE(SUBSTITUTE("type:"&amp;B1189,"%","%25"),"~","%7E"),"*","%2A"),"?","%3F"),'Rules'!$G$7:$G$26,0))="hours",INDEX('Rules'!$B$7:$B$26,MATCH(SUBSTITUTE(SUBSTITUTE(SUBSTITUTE(SUBSTITUTE("type:"&amp;B1189,"%","%25"),"~","%7E"),"*","%2A"),"?","%3F"),'Rules'!$G$7:$G$26,0))="km"),INDEX('Rules'!$B$7:$B$26,MATCH(SUBSTITUTE(SUBSTITUTE(SUBSTITUTE(SUBSTITUTE("type:"&amp;B1189,"%","%25"),"~","%7E"),"*","%2A"),"?","%3F"),'Rules'!$G$7:$G$26,0)),""))</x:f>
      </x:c>
      <x:c r="I1189" s="6" t="str">
        <x:f>IF(AND(NOT(COUNTA(A1189:F1189)=0),K1189=""),ROUND(J1189-D1189,3),"")</x:f>
      </x:c>
      <x:c r="J1189" s="6" t="str">
        <x:f>IF(AND(NOT(COUNTA(A1189:F1189)=0),K1189=""),ROUND(F1189+L1189,3),"")</x:f>
      </x:c>
      <x:c r="K1189" s="5" t="str">
        <x:f>IF(COUNTA(A1189:F1189)=0,"",IF(A1189="","Missing equipment ID",IF(COUNTIFS($N$8:$N$2007,"="&amp;N1189)&gt;1,"Duplicate equipment ID",IF(B1189="","Missing type",IF(COUNTIFS('Rules'!$G$7:$G$26,"="&amp;(SUBSTITUTE(SUBSTITUTE(SUBSTITUTE(SUBSTITUTE("type:"&amp;B1189,"%","%25"),"~","%7E"),"*","%2A"),"?","%3F")))=0,"Unknown type",IF(COUNTIFS('Rules'!$G$7:$G$26,"="&amp;(SUBSTITUTE(SUBSTITUTE(SUBSTITUTE(SUBSTITUTE("type:"&amp;B1189,"%","%25"),"~","%7E"),"*","%2A"),"?","%3F")))&gt;1,"Duplicate type",IF(INDEX('Rules'!$F$7:$F$26,MATCH(SUBSTITUTE(SUBSTITUTE(SUBSTITUTE(SUBSTITUTE("type:"&amp;B1189,"%","%25"),"~","%7E"),"*","%2A"),"?","%3F"),'Rules'!$G$7:$G$26,0))&lt;&gt;"",INDEX('Rules'!$F$7:$F$26,MATCH(SUBSTITUTE(SUBSTITUTE(SUBSTITUTE(SUBSTITUTE("type:"&amp;B1189,"%","%25"),"~","%7E"),"*","%2A"),"?","%3F"),'Rules'!$G$7:$G$26,0)),IF(AND(C1189&lt;&gt;"",C1189&lt;&gt;INDEX('Rules'!$B$7:$B$26,MATCH(SUBSTITUTE(SUBSTITUTE(SUBSTITUTE(SUBSTITUTE("type:"&amp;B1189,"%","%25"),"~","%7E"),"*","%2A"),"?","%3F"),'Rules'!$G$7:$G$26,0))),"Unit mismatch",IF(IF(NOT(ISNUMBER(D1189)),TRUE,OR(D1189&lt;0,D1189&gt;999999999,ROUND(D1189,3)&lt;&gt;D1189)),"Invalid current reading",IF(AND(E1189&lt;&gt;"",IF(NOT(ISNUMBER(E1189)),TRUE,OR(E1189&lt;0,E1189&gt;999999999,ROUND(E1189,3)&lt;&gt;E1189))),"Invalid previous reading",IF(IF(NOT(ISNUMBER(F1189)),TRUE,OR(F1189&lt;0,F1189&gt;999999999,ROUND(F1189,3)&lt;&gt;F1189)),"Invalid last service",IF(AND(E1189&lt;&gt;"",D1189&lt;E1189),"Decreased reading",IF(F1189&gt;D1189,"Last service above current","")))))))))))))</x:f>
      </x:c>
      <x:c r="L1189" s="6" t="str">
        <x:f>IF(AND(NOT(COUNTA(A1189:F1189)=0),K1189=""),INDEX('Rules'!$C$7:$C$26,MATCH(SUBSTITUTE(SUBSTITUTE(SUBSTITUTE(SUBSTITUTE("type:"&amp;B1189,"%","%25"),"~","%7E"),"*","%2A"),"?","%3F"),'Rules'!$G$7:$G$26,0)),"")</x:f>
      </x:c>
      <x:c r="M1189" s="6" t="str">
        <x:f>IF(AND(NOT(COUNTA(A1189:F1189)=0),K1189=""),INDEX('Rules'!$D$7:$D$26,MATCH(SUBSTITUTE(SUBSTITUTE(SUBSTITUTE(SUBSTITUTE("type:"&amp;B1189,"%","%25"),"~","%7E"),"*","%2A"),"?","%3F"),'Rules'!$G$7:$G$26,0)),"")</x:f>
      </x:c>
      <x:c r="N1189" s="5" t="str">
        <x:f>IF(COUNTA(A1189:F1189)=0,"",SUBSTITUTE(SUBSTITUTE(SUBSTITUTE(SUBSTITUTE("id:"&amp;A1189,"%","%25"),"~","%7E"),"*","%2A"),"?","%3F"))</x:f>
      </x:c>
    </x:row>
    <x:row r="1190" ht="22" customHeight="1">
      <x:c r="A1190" s="3"/>
      <x:c r="B1190" s="3"/>
      <x:c r="C1190" s="3"/>
      <x:c r="D1190" s="4"/>
      <x:c r="E1190" s="4"/>
      <x:c r="F1190" s="4"/>
      <x:c r="G1190" s="5" t="str">
        <x:f>IF(COUNTA(A1190:F1190)=0,"",IF(K1190&lt;&gt;"","Review",IF(I1190&lt;0,"Overdue",IF(I1190=0,"Due now",IF(I1190&lt;=M1190,"Due soon","Not due")))))</x:f>
      </x:c>
      <x:c r="H1190" s="5" t="str">
        <x:f>IF(OR(COUNTA(A1190:F1190)=0,COUNTIFS('Rules'!$G$7:$G$26,"="&amp;(SUBSTITUTE(SUBSTITUTE(SUBSTITUTE(SUBSTITUTE("type:"&amp;B1190,"%","%25"),"~","%7E"),"*","%2A"),"?","%3F")))&lt;&gt;1),"",IF(OR(INDEX('Rules'!$B$7:$B$26,MATCH(SUBSTITUTE(SUBSTITUTE(SUBSTITUTE(SUBSTITUTE("type:"&amp;B1190,"%","%25"),"~","%7E"),"*","%2A"),"?","%3F"),'Rules'!$G$7:$G$26,0))="hours",INDEX('Rules'!$B$7:$B$26,MATCH(SUBSTITUTE(SUBSTITUTE(SUBSTITUTE(SUBSTITUTE("type:"&amp;B1190,"%","%25"),"~","%7E"),"*","%2A"),"?","%3F"),'Rules'!$G$7:$G$26,0))="km"),INDEX('Rules'!$B$7:$B$26,MATCH(SUBSTITUTE(SUBSTITUTE(SUBSTITUTE(SUBSTITUTE("type:"&amp;B1190,"%","%25"),"~","%7E"),"*","%2A"),"?","%3F"),'Rules'!$G$7:$G$26,0)),""))</x:f>
      </x:c>
      <x:c r="I1190" s="6" t="str">
        <x:f>IF(AND(NOT(COUNTA(A1190:F1190)=0),K1190=""),ROUND(J1190-D1190,3),"")</x:f>
      </x:c>
      <x:c r="J1190" s="6" t="str">
        <x:f>IF(AND(NOT(COUNTA(A1190:F1190)=0),K1190=""),ROUND(F1190+L1190,3),"")</x:f>
      </x:c>
      <x:c r="K1190" s="5" t="str">
        <x:f>IF(COUNTA(A1190:F1190)=0,"",IF(A1190="","Missing equipment ID",IF(COUNTIFS($N$8:$N$2007,"="&amp;N1190)&gt;1,"Duplicate equipment ID",IF(B1190="","Missing type",IF(COUNTIFS('Rules'!$G$7:$G$26,"="&amp;(SUBSTITUTE(SUBSTITUTE(SUBSTITUTE(SUBSTITUTE("type:"&amp;B1190,"%","%25"),"~","%7E"),"*","%2A"),"?","%3F")))=0,"Unknown type",IF(COUNTIFS('Rules'!$G$7:$G$26,"="&amp;(SUBSTITUTE(SUBSTITUTE(SUBSTITUTE(SUBSTITUTE("type:"&amp;B1190,"%","%25"),"~","%7E"),"*","%2A"),"?","%3F")))&gt;1,"Duplicate type",IF(INDEX('Rules'!$F$7:$F$26,MATCH(SUBSTITUTE(SUBSTITUTE(SUBSTITUTE(SUBSTITUTE("type:"&amp;B1190,"%","%25"),"~","%7E"),"*","%2A"),"?","%3F"),'Rules'!$G$7:$G$26,0))&lt;&gt;"",INDEX('Rules'!$F$7:$F$26,MATCH(SUBSTITUTE(SUBSTITUTE(SUBSTITUTE(SUBSTITUTE("type:"&amp;B1190,"%","%25"),"~","%7E"),"*","%2A"),"?","%3F"),'Rules'!$G$7:$G$26,0)),IF(AND(C1190&lt;&gt;"",C1190&lt;&gt;INDEX('Rules'!$B$7:$B$26,MATCH(SUBSTITUTE(SUBSTITUTE(SUBSTITUTE(SUBSTITUTE("type:"&amp;B1190,"%","%25"),"~","%7E"),"*","%2A"),"?","%3F"),'Rules'!$G$7:$G$26,0))),"Unit mismatch",IF(IF(NOT(ISNUMBER(D1190)),TRUE,OR(D1190&lt;0,D1190&gt;999999999,ROUND(D1190,3)&lt;&gt;D1190)),"Invalid current reading",IF(AND(E1190&lt;&gt;"",IF(NOT(ISNUMBER(E1190)),TRUE,OR(E1190&lt;0,E1190&gt;999999999,ROUND(E1190,3)&lt;&gt;E1190))),"Invalid previous reading",IF(IF(NOT(ISNUMBER(F1190)),TRUE,OR(F1190&lt;0,F1190&gt;999999999,ROUND(F1190,3)&lt;&gt;F1190)),"Invalid last service",IF(AND(E1190&lt;&gt;"",D1190&lt;E1190),"Decreased reading",IF(F1190&gt;D1190,"Last service above current","")))))))))))))</x:f>
      </x:c>
      <x:c r="L1190" s="6" t="str">
        <x:f>IF(AND(NOT(COUNTA(A1190:F1190)=0),K1190=""),INDEX('Rules'!$C$7:$C$26,MATCH(SUBSTITUTE(SUBSTITUTE(SUBSTITUTE(SUBSTITUTE("type:"&amp;B1190,"%","%25"),"~","%7E"),"*","%2A"),"?","%3F"),'Rules'!$G$7:$G$26,0)),"")</x:f>
      </x:c>
      <x:c r="M1190" s="6" t="str">
        <x:f>IF(AND(NOT(COUNTA(A1190:F1190)=0),K1190=""),INDEX('Rules'!$D$7:$D$26,MATCH(SUBSTITUTE(SUBSTITUTE(SUBSTITUTE(SUBSTITUTE("type:"&amp;B1190,"%","%25"),"~","%7E"),"*","%2A"),"?","%3F"),'Rules'!$G$7:$G$26,0)),"")</x:f>
      </x:c>
      <x:c r="N1190" s="5" t="str">
        <x:f>IF(COUNTA(A1190:F1190)=0,"",SUBSTITUTE(SUBSTITUTE(SUBSTITUTE(SUBSTITUTE("id:"&amp;A1190,"%","%25"),"~","%7E"),"*","%2A"),"?","%3F"))</x:f>
      </x:c>
    </x:row>
    <x:row r="1191" ht="22" customHeight="1">
      <x:c r="A1191" s="3"/>
      <x:c r="B1191" s="3"/>
      <x:c r="C1191" s="3"/>
      <x:c r="D1191" s="4"/>
      <x:c r="E1191" s="4"/>
      <x:c r="F1191" s="4"/>
      <x:c r="G1191" s="5" t="str">
        <x:f>IF(COUNTA(A1191:F1191)=0,"",IF(K1191&lt;&gt;"","Review",IF(I1191&lt;0,"Overdue",IF(I1191=0,"Due now",IF(I1191&lt;=M1191,"Due soon","Not due")))))</x:f>
      </x:c>
      <x:c r="H1191" s="5" t="str">
        <x:f>IF(OR(COUNTA(A1191:F1191)=0,COUNTIFS('Rules'!$G$7:$G$26,"="&amp;(SUBSTITUTE(SUBSTITUTE(SUBSTITUTE(SUBSTITUTE("type:"&amp;B1191,"%","%25"),"~","%7E"),"*","%2A"),"?","%3F")))&lt;&gt;1),"",IF(OR(INDEX('Rules'!$B$7:$B$26,MATCH(SUBSTITUTE(SUBSTITUTE(SUBSTITUTE(SUBSTITUTE("type:"&amp;B1191,"%","%25"),"~","%7E"),"*","%2A"),"?","%3F"),'Rules'!$G$7:$G$26,0))="hours",INDEX('Rules'!$B$7:$B$26,MATCH(SUBSTITUTE(SUBSTITUTE(SUBSTITUTE(SUBSTITUTE("type:"&amp;B1191,"%","%25"),"~","%7E"),"*","%2A"),"?","%3F"),'Rules'!$G$7:$G$26,0))="km"),INDEX('Rules'!$B$7:$B$26,MATCH(SUBSTITUTE(SUBSTITUTE(SUBSTITUTE(SUBSTITUTE("type:"&amp;B1191,"%","%25"),"~","%7E"),"*","%2A"),"?","%3F"),'Rules'!$G$7:$G$26,0)),""))</x:f>
      </x:c>
      <x:c r="I1191" s="6" t="str">
        <x:f>IF(AND(NOT(COUNTA(A1191:F1191)=0),K1191=""),ROUND(J1191-D1191,3),"")</x:f>
      </x:c>
      <x:c r="J1191" s="6" t="str">
        <x:f>IF(AND(NOT(COUNTA(A1191:F1191)=0),K1191=""),ROUND(F1191+L1191,3),"")</x:f>
      </x:c>
      <x:c r="K1191" s="5" t="str">
        <x:f>IF(COUNTA(A1191:F1191)=0,"",IF(A1191="","Missing equipment ID",IF(COUNTIFS($N$8:$N$2007,"="&amp;N1191)&gt;1,"Duplicate equipment ID",IF(B1191="","Missing type",IF(COUNTIFS('Rules'!$G$7:$G$26,"="&amp;(SUBSTITUTE(SUBSTITUTE(SUBSTITUTE(SUBSTITUTE("type:"&amp;B1191,"%","%25"),"~","%7E"),"*","%2A"),"?","%3F")))=0,"Unknown type",IF(COUNTIFS('Rules'!$G$7:$G$26,"="&amp;(SUBSTITUTE(SUBSTITUTE(SUBSTITUTE(SUBSTITUTE("type:"&amp;B1191,"%","%25"),"~","%7E"),"*","%2A"),"?","%3F")))&gt;1,"Duplicate type",IF(INDEX('Rules'!$F$7:$F$26,MATCH(SUBSTITUTE(SUBSTITUTE(SUBSTITUTE(SUBSTITUTE("type:"&amp;B1191,"%","%25"),"~","%7E"),"*","%2A"),"?","%3F"),'Rules'!$G$7:$G$26,0))&lt;&gt;"",INDEX('Rules'!$F$7:$F$26,MATCH(SUBSTITUTE(SUBSTITUTE(SUBSTITUTE(SUBSTITUTE("type:"&amp;B1191,"%","%25"),"~","%7E"),"*","%2A"),"?","%3F"),'Rules'!$G$7:$G$26,0)),IF(AND(C1191&lt;&gt;"",C1191&lt;&gt;INDEX('Rules'!$B$7:$B$26,MATCH(SUBSTITUTE(SUBSTITUTE(SUBSTITUTE(SUBSTITUTE("type:"&amp;B1191,"%","%25"),"~","%7E"),"*","%2A"),"?","%3F"),'Rules'!$G$7:$G$26,0))),"Unit mismatch",IF(IF(NOT(ISNUMBER(D1191)),TRUE,OR(D1191&lt;0,D1191&gt;999999999,ROUND(D1191,3)&lt;&gt;D1191)),"Invalid current reading",IF(AND(E1191&lt;&gt;"",IF(NOT(ISNUMBER(E1191)),TRUE,OR(E1191&lt;0,E1191&gt;999999999,ROUND(E1191,3)&lt;&gt;E1191))),"Invalid previous reading",IF(IF(NOT(ISNUMBER(F1191)),TRUE,OR(F1191&lt;0,F1191&gt;999999999,ROUND(F1191,3)&lt;&gt;F1191)),"Invalid last service",IF(AND(E1191&lt;&gt;"",D1191&lt;E1191),"Decreased reading",IF(F1191&gt;D1191,"Last service above current","")))))))))))))</x:f>
      </x:c>
      <x:c r="L1191" s="6" t="str">
        <x:f>IF(AND(NOT(COUNTA(A1191:F1191)=0),K1191=""),INDEX('Rules'!$C$7:$C$26,MATCH(SUBSTITUTE(SUBSTITUTE(SUBSTITUTE(SUBSTITUTE("type:"&amp;B1191,"%","%25"),"~","%7E"),"*","%2A"),"?","%3F"),'Rules'!$G$7:$G$26,0)),"")</x:f>
      </x:c>
      <x:c r="M1191" s="6" t="str">
        <x:f>IF(AND(NOT(COUNTA(A1191:F1191)=0),K1191=""),INDEX('Rules'!$D$7:$D$26,MATCH(SUBSTITUTE(SUBSTITUTE(SUBSTITUTE(SUBSTITUTE("type:"&amp;B1191,"%","%25"),"~","%7E"),"*","%2A"),"?","%3F"),'Rules'!$G$7:$G$26,0)),"")</x:f>
      </x:c>
      <x:c r="N1191" s="5" t="str">
        <x:f>IF(COUNTA(A1191:F1191)=0,"",SUBSTITUTE(SUBSTITUTE(SUBSTITUTE(SUBSTITUTE("id:"&amp;A1191,"%","%25"),"~","%7E"),"*","%2A"),"?","%3F"))</x:f>
      </x:c>
    </x:row>
    <x:row r="1192" ht="22" customHeight="1">
      <x:c r="A1192" s="3"/>
      <x:c r="B1192" s="3"/>
      <x:c r="C1192" s="3"/>
      <x:c r="D1192" s="4"/>
      <x:c r="E1192" s="4"/>
      <x:c r="F1192" s="4"/>
      <x:c r="G1192" s="5" t="str">
        <x:f>IF(COUNTA(A1192:F1192)=0,"",IF(K1192&lt;&gt;"","Review",IF(I1192&lt;0,"Overdue",IF(I1192=0,"Due now",IF(I1192&lt;=M1192,"Due soon","Not due")))))</x:f>
      </x:c>
      <x:c r="H1192" s="5" t="str">
        <x:f>IF(OR(COUNTA(A1192:F1192)=0,COUNTIFS('Rules'!$G$7:$G$26,"="&amp;(SUBSTITUTE(SUBSTITUTE(SUBSTITUTE(SUBSTITUTE("type:"&amp;B1192,"%","%25"),"~","%7E"),"*","%2A"),"?","%3F")))&lt;&gt;1),"",IF(OR(INDEX('Rules'!$B$7:$B$26,MATCH(SUBSTITUTE(SUBSTITUTE(SUBSTITUTE(SUBSTITUTE("type:"&amp;B1192,"%","%25"),"~","%7E"),"*","%2A"),"?","%3F"),'Rules'!$G$7:$G$26,0))="hours",INDEX('Rules'!$B$7:$B$26,MATCH(SUBSTITUTE(SUBSTITUTE(SUBSTITUTE(SUBSTITUTE("type:"&amp;B1192,"%","%25"),"~","%7E"),"*","%2A"),"?","%3F"),'Rules'!$G$7:$G$26,0))="km"),INDEX('Rules'!$B$7:$B$26,MATCH(SUBSTITUTE(SUBSTITUTE(SUBSTITUTE(SUBSTITUTE("type:"&amp;B1192,"%","%25"),"~","%7E"),"*","%2A"),"?","%3F"),'Rules'!$G$7:$G$26,0)),""))</x:f>
      </x:c>
      <x:c r="I1192" s="6" t="str">
        <x:f>IF(AND(NOT(COUNTA(A1192:F1192)=0),K1192=""),ROUND(J1192-D1192,3),"")</x:f>
      </x:c>
      <x:c r="J1192" s="6" t="str">
        <x:f>IF(AND(NOT(COUNTA(A1192:F1192)=0),K1192=""),ROUND(F1192+L1192,3),"")</x:f>
      </x:c>
      <x:c r="K1192" s="5" t="str">
        <x:f>IF(COUNTA(A1192:F1192)=0,"",IF(A1192="","Missing equipment ID",IF(COUNTIFS($N$8:$N$2007,"="&amp;N1192)&gt;1,"Duplicate equipment ID",IF(B1192="","Missing type",IF(COUNTIFS('Rules'!$G$7:$G$26,"="&amp;(SUBSTITUTE(SUBSTITUTE(SUBSTITUTE(SUBSTITUTE("type:"&amp;B1192,"%","%25"),"~","%7E"),"*","%2A"),"?","%3F")))=0,"Unknown type",IF(COUNTIFS('Rules'!$G$7:$G$26,"="&amp;(SUBSTITUTE(SUBSTITUTE(SUBSTITUTE(SUBSTITUTE("type:"&amp;B1192,"%","%25"),"~","%7E"),"*","%2A"),"?","%3F")))&gt;1,"Duplicate type",IF(INDEX('Rules'!$F$7:$F$26,MATCH(SUBSTITUTE(SUBSTITUTE(SUBSTITUTE(SUBSTITUTE("type:"&amp;B1192,"%","%25"),"~","%7E"),"*","%2A"),"?","%3F"),'Rules'!$G$7:$G$26,0))&lt;&gt;"",INDEX('Rules'!$F$7:$F$26,MATCH(SUBSTITUTE(SUBSTITUTE(SUBSTITUTE(SUBSTITUTE("type:"&amp;B1192,"%","%25"),"~","%7E"),"*","%2A"),"?","%3F"),'Rules'!$G$7:$G$26,0)),IF(AND(C1192&lt;&gt;"",C1192&lt;&gt;INDEX('Rules'!$B$7:$B$26,MATCH(SUBSTITUTE(SUBSTITUTE(SUBSTITUTE(SUBSTITUTE("type:"&amp;B1192,"%","%25"),"~","%7E"),"*","%2A"),"?","%3F"),'Rules'!$G$7:$G$26,0))),"Unit mismatch",IF(IF(NOT(ISNUMBER(D1192)),TRUE,OR(D1192&lt;0,D1192&gt;999999999,ROUND(D1192,3)&lt;&gt;D1192)),"Invalid current reading",IF(AND(E1192&lt;&gt;"",IF(NOT(ISNUMBER(E1192)),TRUE,OR(E1192&lt;0,E1192&gt;999999999,ROUND(E1192,3)&lt;&gt;E1192))),"Invalid previous reading",IF(IF(NOT(ISNUMBER(F1192)),TRUE,OR(F1192&lt;0,F1192&gt;999999999,ROUND(F1192,3)&lt;&gt;F1192)),"Invalid last service",IF(AND(E1192&lt;&gt;"",D1192&lt;E1192),"Decreased reading",IF(F1192&gt;D1192,"Last service above current","")))))))))))))</x:f>
      </x:c>
      <x:c r="L1192" s="6" t="str">
        <x:f>IF(AND(NOT(COUNTA(A1192:F1192)=0),K1192=""),INDEX('Rules'!$C$7:$C$26,MATCH(SUBSTITUTE(SUBSTITUTE(SUBSTITUTE(SUBSTITUTE("type:"&amp;B1192,"%","%25"),"~","%7E"),"*","%2A"),"?","%3F"),'Rules'!$G$7:$G$26,0)),"")</x:f>
      </x:c>
      <x:c r="M1192" s="6" t="str">
        <x:f>IF(AND(NOT(COUNTA(A1192:F1192)=0),K1192=""),INDEX('Rules'!$D$7:$D$26,MATCH(SUBSTITUTE(SUBSTITUTE(SUBSTITUTE(SUBSTITUTE("type:"&amp;B1192,"%","%25"),"~","%7E"),"*","%2A"),"?","%3F"),'Rules'!$G$7:$G$26,0)),"")</x:f>
      </x:c>
      <x:c r="N1192" s="5" t="str">
        <x:f>IF(COUNTA(A1192:F1192)=0,"",SUBSTITUTE(SUBSTITUTE(SUBSTITUTE(SUBSTITUTE("id:"&amp;A1192,"%","%25"),"~","%7E"),"*","%2A"),"?","%3F"))</x:f>
      </x:c>
    </x:row>
    <x:row r="1193" ht="22" customHeight="1">
      <x:c r="A1193" s="3"/>
      <x:c r="B1193" s="3"/>
      <x:c r="C1193" s="3"/>
      <x:c r="D1193" s="4"/>
      <x:c r="E1193" s="4"/>
      <x:c r="F1193" s="4"/>
      <x:c r="G1193" s="5" t="str">
        <x:f>IF(COUNTA(A1193:F1193)=0,"",IF(K1193&lt;&gt;"","Review",IF(I1193&lt;0,"Overdue",IF(I1193=0,"Due now",IF(I1193&lt;=M1193,"Due soon","Not due")))))</x:f>
      </x:c>
      <x:c r="H1193" s="5" t="str">
        <x:f>IF(OR(COUNTA(A1193:F1193)=0,COUNTIFS('Rules'!$G$7:$G$26,"="&amp;(SUBSTITUTE(SUBSTITUTE(SUBSTITUTE(SUBSTITUTE("type:"&amp;B1193,"%","%25"),"~","%7E"),"*","%2A"),"?","%3F")))&lt;&gt;1),"",IF(OR(INDEX('Rules'!$B$7:$B$26,MATCH(SUBSTITUTE(SUBSTITUTE(SUBSTITUTE(SUBSTITUTE("type:"&amp;B1193,"%","%25"),"~","%7E"),"*","%2A"),"?","%3F"),'Rules'!$G$7:$G$26,0))="hours",INDEX('Rules'!$B$7:$B$26,MATCH(SUBSTITUTE(SUBSTITUTE(SUBSTITUTE(SUBSTITUTE("type:"&amp;B1193,"%","%25"),"~","%7E"),"*","%2A"),"?","%3F"),'Rules'!$G$7:$G$26,0))="km"),INDEX('Rules'!$B$7:$B$26,MATCH(SUBSTITUTE(SUBSTITUTE(SUBSTITUTE(SUBSTITUTE("type:"&amp;B1193,"%","%25"),"~","%7E"),"*","%2A"),"?","%3F"),'Rules'!$G$7:$G$26,0)),""))</x:f>
      </x:c>
      <x:c r="I1193" s="6" t="str">
        <x:f>IF(AND(NOT(COUNTA(A1193:F1193)=0),K1193=""),ROUND(J1193-D1193,3),"")</x:f>
      </x:c>
      <x:c r="J1193" s="6" t="str">
        <x:f>IF(AND(NOT(COUNTA(A1193:F1193)=0),K1193=""),ROUND(F1193+L1193,3),"")</x:f>
      </x:c>
      <x:c r="K1193" s="5" t="str">
        <x:f>IF(COUNTA(A1193:F1193)=0,"",IF(A1193="","Missing equipment ID",IF(COUNTIFS($N$8:$N$2007,"="&amp;N1193)&gt;1,"Duplicate equipment ID",IF(B1193="","Missing type",IF(COUNTIFS('Rules'!$G$7:$G$26,"="&amp;(SUBSTITUTE(SUBSTITUTE(SUBSTITUTE(SUBSTITUTE("type:"&amp;B1193,"%","%25"),"~","%7E"),"*","%2A"),"?","%3F")))=0,"Unknown type",IF(COUNTIFS('Rules'!$G$7:$G$26,"="&amp;(SUBSTITUTE(SUBSTITUTE(SUBSTITUTE(SUBSTITUTE("type:"&amp;B1193,"%","%25"),"~","%7E"),"*","%2A"),"?","%3F")))&gt;1,"Duplicate type",IF(INDEX('Rules'!$F$7:$F$26,MATCH(SUBSTITUTE(SUBSTITUTE(SUBSTITUTE(SUBSTITUTE("type:"&amp;B1193,"%","%25"),"~","%7E"),"*","%2A"),"?","%3F"),'Rules'!$G$7:$G$26,0))&lt;&gt;"",INDEX('Rules'!$F$7:$F$26,MATCH(SUBSTITUTE(SUBSTITUTE(SUBSTITUTE(SUBSTITUTE("type:"&amp;B1193,"%","%25"),"~","%7E"),"*","%2A"),"?","%3F"),'Rules'!$G$7:$G$26,0)),IF(AND(C1193&lt;&gt;"",C1193&lt;&gt;INDEX('Rules'!$B$7:$B$26,MATCH(SUBSTITUTE(SUBSTITUTE(SUBSTITUTE(SUBSTITUTE("type:"&amp;B1193,"%","%25"),"~","%7E"),"*","%2A"),"?","%3F"),'Rules'!$G$7:$G$26,0))),"Unit mismatch",IF(IF(NOT(ISNUMBER(D1193)),TRUE,OR(D1193&lt;0,D1193&gt;999999999,ROUND(D1193,3)&lt;&gt;D1193)),"Invalid current reading",IF(AND(E1193&lt;&gt;"",IF(NOT(ISNUMBER(E1193)),TRUE,OR(E1193&lt;0,E1193&gt;999999999,ROUND(E1193,3)&lt;&gt;E1193))),"Invalid previous reading",IF(IF(NOT(ISNUMBER(F1193)),TRUE,OR(F1193&lt;0,F1193&gt;999999999,ROUND(F1193,3)&lt;&gt;F1193)),"Invalid last service",IF(AND(E1193&lt;&gt;"",D1193&lt;E1193),"Decreased reading",IF(F1193&gt;D1193,"Last service above current","")))))))))))))</x:f>
      </x:c>
      <x:c r="L1193" s="6" t="str">
        <x:f>IF(AND(NOT(COUNTA(A1193:F1193)=0),K1193=""),INDEX('Rules'!$C$7:$C$26,MATCH(SUBSTITUTE(SUBSTITUTE(SUBSTITUTE(SUBSTITUTE("type:"&amp;B1193,"%","%25"),"~","%7E"),"*","%2A"),"?","%3F"),'Rules'!$G$7:$G$26,0)),"")</x:f>
      </x:c>
      <x:c r="M1193" s="6" t="str">
        <x:f>IF(AND(NOT(COUNTA(A1193:F1193)=0),K1193=""),INDEX('Rules'!$D$7:$D$26,MATCH(SUBSTITUTE(SUBSTITUTE(SUBSTITUTE(SUBSTITUTE("type:"&amp;B1193,"%","%25"),"~","%7E"),"*","%2A"),"?","%3F"),'Rules'!$G$7:$G$26,0)),"")</x:f>
      </x:c>
      <x:c r="N1193" s="5" t="str">
        <x:f>IF(COUNTA(A1193:F1193)=0,"",SUBSTITUTE(SUBSTITUTE(SUBSTITUTE(SUBSTITUTE("id:"&amp;A1193,"%","%25"),"~","%7E"),"*","%2A"),"?","%3F"))</x:f>
      </x:c>
    </x:row>
    <x:row r="1194" ht="22" customHeight="1">
      <x:c r="A1194" s="3"/>
      <x:c r="B1194" s="3"/>
      <x:c r="C1194" s="3"/>
      <x:c r="D1194" s="4"/>
      <x:c r="E1194" s="4"/>
      <x:c r="F1194" s="4"/>
      <x:c r="G1194" s="5" t="str">
        <x:f>IF(COUNTA(A1194:F1194)=0,"",IF(K1194&lt;&gt;"","Review",IF(I1194&lt;0,"Overdue",IF(I1194=0,"Due now",IF(I1194&lt;=M1194,"Due soon","Not due")))))</x:f>
      </x:c>
      <x:c r="H1194" s="5" t="str">
        <x:f>IF(OR(COUNTA(A1194:F1194)=0,COUNTIFS('Rules'!$G$7:$G$26,"="&amp;(SUBSTITUTE(SUBSTITUTE(SUBSTITUTE(SUBSTITUTE("type:"&amp;B1194,"%","%25"),"~","%7E"),"*","%2A"),"?","%3F")))&lt;&gt;1),"",IF(OR(INDEX('Rules'!$B$7:$B$26,MATCH(SUBSTITUTE(SUBSTITUTE(SUBSTITUTE(SUBSTITUTE("type:"&amp;B1194,"%","%25"),"~","%7E"),"*","%2A"),"?","%3F"),'Rules'!$G$7:$G$26,0))="hours",INDEX('Rules'!$B$7:$B$26,MATCH(SUBSTITUTE(SUBSTITUTE(SUBSTITUTE(SUBSTITUTE("type:"&amp;B1194,"%","%25"),"~","%7E"),"*","%2A"),"?","%3F"),'Rules'!$G$7:$G$26,0))="km"),INDEX('Rules'!$B$7:$B$26,MATCH(SUBSTITUTE(SUBSTITUTE(SUBSTITUTE(SUBSTITUTE("type:"&amp;B1194,"%","%25"),"~","%7E"),"*","%2A"),"?","%3F"),'Rules'!$G$7:$G$26,0)),""))</x:f>
      </x:c>
      <x:c r="I1194" s="6" t="str">
        <x:f>IF(AND(NOT(COUNTA(A1194:F1194)=0),K1194=""),ROUND(J1194-D1194,3),"")</x:f>
      </x:c>
      <x:c r="J1194" s="6" t="str">
        <x:f>IF(AND(NOT(COUNTA(A1194:F1194)=0),K1194=""),ROUND(F1194+L1194,3),"")</x:f>
      </x:c>
      <x:c r="K1194" s="5" t="str">
        <x:f>IF(COUNTA(A1194:F1194)=0,"",IF(A1194="","Missing equipment ID",IF(COUNTIFS($N$8:$N$2007,"="&amp;N1194)&gt;1,"Duplicate equipment ID",IF(B1194="","Missing type",IF(COUNTIFS('Rules'!$G$7:$G$26,"="&amp;(SUBSTITUTE(SUBSTITUTE(SUBSTITUTE(SUBSTITUTE("type:"&amp;B1194,"%","%25"),"~","%7E"),"*","%2A"),"?","%3F")))=0,"Unknown type",IF(COUNTIFS('Rules'!$G$7:$G$26,"="&amp;(SUBSTITUTE(SUBSTITUTE(SUBSTITUTE(SUBSTITUTE("type:"&amp;B1194,"%","%25"),"~","%7E"),"*","%2A"),"?","%3F")))&gt;1,"Duplicate type",IF(INDEX('Rules'!$F$7:$F$26,MATCH(SUBSTITUTE(SUBSTITUTE(SUBSTITUTE(SUBSTITUTE("type:"&amp;B1194,"%","%25"),"~","%7E"),"*","%2A"),"?","%3F"),'Rules'!$G$7:$G$26,0))&lt;&gt;"",INDEX('Rules'!$F$7:$F$26,MATCH(SUBSTITUTE(SUBSTITUTE(SUBSTITUTE(SUBSTITUTE("type:"&amp;B1194,"%","%25"),"~","%7E"),"*","%2A"),"?","%3F"),'Rules'!$G$7:$G$26,0)),IF(AND(C1194&lt;&gt;"",C1194&lt;&gt;INDEX('Rules'!$B$7:$B$26,MATCH(SUBSTITUTE(SUBSTITUTE(SUBSTITUTE(SUBSTITUTE("type:"&amp;B1194,"%","%25"),"~","%7E"),"*","%2A"),"?","%3F"),'Rules'!$G$7:$G$26,0))),"Unit mismatch",IF(IF(NOT(ISNUMBER(D1194)),TRUE,OR(D1194&lt;0,D1194&gt;999999999,ROUND(D1194,3)&lt;&gt;D1194)),"Invalid current reading",IF(AND(E1194&lt;&gt;"",IF(NOT(ISNUMBER(E1194)),TRUE,OR(E1194&lt;0,E1194&gt;999999999,ROUND(E1194,3)&lt;&gt;E1194))),"Invalid previous reading",IF(IF(NOT(ISNUMBER(F1194)),TRUE,OR(F1194&lt;0,F1194&gt;999999999,ROUND(F1194,3)&lt;&gt;F1194)),"Invalid last service",IF(AND(E1194&lt;&gt;"",D1194&lt;E1194),"Decreased reading",IF(F1194&gt;D1194,"Last service above current","")))))))))))))</x:f>
      </x:c>
      <x:c r="L1194" s="6" t="str">
        <x:f>IF(AND(NOT(COUNTA(A1194:F1194)=0),K1194=""),INDEX('Rules'!$C$7:$C$26,MATCH(SUBSTITUTE(SUBSTITUTE(SUBSTITUTE(SUBSTITUTE("type:"&amp;B1194,"%","%25"),"~","%7E"),"*","%2A"),"?","%3F"),'Rules'!$G$7:$G$26,0)),"")</x:f>
      </x:c>
      <x:c r="M1194" s="6" t="str">
        <x:f>IF(AND(NOT(COUNTA(A1194:F1194)=0),K1194=""),INDEX('Rules'!$D$7:$D$26,MATCH(SUBSTITUTE(SUBSTITUTE(SUBSTITUTE(SUBSTITUTE("type:"&amp;B1194,"%","%25"),"~","%7E"),"*","%2A"),"?","%3F"),'Rules'!$G$7:$G$26,0)),"")</x:f>
      </x:c>
      <x:c r="N1194" s="5" t="str">
        <x:f>IF(COUNTA(A1194:F1194)=0,"",SUBSTITUTE(SUBSTITUTE(SUBSTITUTE(SUBSTITUTE("id:"&amp;A1194,"%","%25"),"~","%7E"),"*","%2A"),"?","%3F"))</x:f>
      </x:c>
    </x:row>
    <x:row r="1195" ht="22" customHeight="1">
      <x:c r="A1195" s="3"/>
      <x:c r="B1195" s="3"/>
      <x:c r="C1195" s="3"/>
      <x:c r="D1195" s="4"/>
      <x:c r="E1195" s="4"/>
      <x:c r="F1195" s="4"/>
      <x:c r="G1195" s="5" t="str">
        <x:f>IF(COUNTA(A1195:F1195)=0,"",IF(K1195&lt;&gt;"","Review",IF(I1195&lt;0,"Overdue",IF(I1195=0,"Due now",IF(I1195&lt;=M1195,"Due soon","Not due")))))</x:f>
      </x:c>
      <x:c r="H1195" s="5" t="str">
        <x:f>IF(OR(COUNTA(A1195:F1195)=0,COUNTIFS('Rules'!$G$7:$G$26,"="&amp;(SUBSTITUTE(SUBSTITUTE(SUBSTITUTE(SUBSTITUTE("type:"&amp;B1195,"%","%25"),"~","%7E"),"*","%2A"),"?","%3F")))&lt;&gt;1),"",IF(OR(INDEX('Rules'!$B$7:$B$26,MATCH(SUBSTITUTE(SUBSTITUTE(SUBSTITUTE(SUBSTITUTE("type:"&amp;B1195,"%","%25"),"~","%7E"),"*","%2A"),"?","%3F"),'Rules'!$G$7:$G$26,0))="hours",INDEX('Rules'!$B$7:$B$26,MATCH(SUBSTITUTE(SUBSTITUTE(SUBSTITUTE(SUBSTITUTE("type:"&amp;B1195,"%","%25"),"~","%7E"),"*","%2A"),"?","%3F"),'Rules'!$G$7:$G$26,0))="km"),INDEX('Rules'!$B$7:$B$26,MATCH(SUBSTITUTE(SUBSTITUTE(SUBSTITUTE(SUBSTITUTE("type:"&amp;B1195,"%","%25"),"~","%7E"),"*","%2A"),"?","%3F"),'Rules'!$G$7:$G$26,0)),""))</x:f>
      </x:c>
      <x:c r="I1195" s="6" t="str">
        <x:f>IF(AND(NOT(COUNTA(A1195:F1195)=0),K1195=""),ROUND(J1195-D1195,3),"")</x:f>
      </x:c>
      <x:c r="J1195" s="6" t="str">
        <x:f>IF(AND(NOT(COUNTA(A1195:F1195)=0),K1195=""),ROUND(F1195+L1195,3),"")</x:f>
      </x:c>
      <x:c r="K1195" s="5" t="str">
        <x:f>IF(COUNTA(A1195:F1195)=0,"",IF(A1195="","Missing equipment ID",IF(COUNTIFS($N$8:$N$2007,"="&amp;N1195)&gt;1,"Duplicate equipment ID",IF(B1195="","Missing type",IF(COUNTIFS('Rules'!$G$7:$G$26,"="&amp;(SUBSTITUTE(SUBSTITUTE(SUBSTITUTE(SUBSTITUTE("type:"&amp;B1195,"%","%25"),"~","%7E"),"*","%2A"),"?","%3F")))=0,"Unknown type",IF(COUNTIFS('Rules'!$G$7:$G$26,"="&amp;(SUBSTITUTE(SUBSTITUTE(SUBSTITUTE(SUBSTITUTE("type:"&amp;B1195,"%","%25"),"~","%7E"),"*","%2A"),"?","%3F")))&gt;1,"Duplicate type",IF(INDEX('Rules'!$F$7:$F$26,MATCH(SUBSTITUTE(SUBSTITUTE(SUBSTITUTE(SUBSTITUTE("type:"&amp;B1195,"%","%25"),"~","%7E"),"*","%2A"),"?","%3F"),'Rules'!$G$7:$G$26,0))&lt;&gt;"",INDEX('Rules'!$F$7:$F$26,MATCH(SUBSTITUTE(SUBSTITUTE(SUBSTITUTE(SUBSTITUTE("type:"&amp;B1195,"%","%25"),"~","%7E"),"*","%2A"),"?","%3F"),'Rules'!$G$7:$G$26,0)),IF(AND(C1195&lt;&gt;"",C1195&lt;&gt;INDEX('Rules'!$B$7:$B$26,MATCH(SUBSTITUTE(SUBSTITUTE(SUBSTITUTE(SUBSTITUTE("type:"&amp;B1195,"%","%25"),"~","%7E"),"*","%2A"),"?","%3F"),'Rules'!$G$7:$G$26,0))),"Unit mismatch",IF(IF(NOT(ISNUMBER(D1195)),TRUE,OR(D1195&lt;0,D1195&gt;999999999,ROUND(D1195,3)&lt;&gt;D1195)),"Invalid current reading",IF(AND(E1195&lt;&gt;"",IF(NOT(ISNUMBER(E1195)),TRUE,OR(E1195&lt;0,E1195&gt;999999999,ROUND(E1195,3)&lt;&gt;E1195))),"Invalid previous reading",IF(IF(NOT(ISNUMBER(F1195)),TRUE,OR(F1195&lt;0,F1195&gt;999999999,ROUND(F1195,3)&lt;&gt;F1195)),"Invalid last service",IF(AND(E1195&lt;&gt;"",D1195&lt;E1195),"Decreased reading",IF(F1195&gt;D1195,"Last service above current","")))))))))))))</x:f>
      </x:c>
      <x:c r="L1195" s="6" t="str">
        <x:f>IF(AND(NOT(COUNTA(A1195:F1195)=0),K1195=""),INDEX('Rules'!$C$7:$C$26,MATCH(SUBSTITUTE(SUBSTITUTE(SUBSTITUTE(SUBSTITUTE("type:"&amp;B1195,"%","%25"),"~","%7E"),"*","%2A"),"?","%3F"),'Rules'!$G$7:$G$26,0)),"")</x:f>
      </x:c>
      <x:c r="M1195" s="6" t="str">
        <x:f>IF(AND(NOT(COUNTA(A1195:F1195)=0),K1195=""),INDEX('Rules'!$D$7:$D$26,MATCH(SUBSTITUTE(SUBSTITUTE(SUBSTITUTE(SUBSTITUTE("type:"&amp;B1195,"%","%25"),"~","%7E"),"*","%2A"),"?","%3F"),'Rules'!$G$7:$G$26,0)),"")</x:f>
      </x:c>
      <x:c r="N1195" s="5" t="str">
        <x:f>IF(COUNTA(A1195:F1195)=0,"",SUBSTITUTE(SUBSTITUTE(SUBSTITUTE(SUBSTITUTE("id:"&amp;A1195,"%","%25"),"~","%7E"),"*","%2A"),"?","%3F"))</x:f>
      </x:c>
    </x:row>
    <x:row r="1196" ht="22" customHeight="1">
      <x:c r="A1196" s="3"/>
      <x:c r="B1196" s="3"/>
      <x:c r="C1196" s="3"/>
      <x:c r="D1196" s="4"/>
      <x:c r="E1196" s="4"/>
      <x:c r="F1196" s="4"/>
      <x:c r="G1196" s="5" t="str">
        <x:f>IF(COUNTA(A1196:F1196)=0,"",IF(K1196&lt;&gt;"","Review",IF(I1196&lt;0,"Overdue",IF(I1196=0,"Due now",IF(I1196&lt;=M1196,"Due soon","Not due")))))</x:f>
      </x:c>
      <x:c r="H1196" s="5" t="str">
        <x:f>IF(OR(COUNTA(A1196:F1196)=0,COUNTIFS('Rules'!$G$7:$G$26,"="&amp;(SUBSTITUTE(SUBSTITUTE(SUBSTITUTE(SUBSTITUTE("type:"&amp;B1196,"%","%25"),"~","%7E"),"*","%2A"),"?","%3F")))&lt;&gt;1),"",IF(OR(INDEX('Rules'!$B$7:$B$26,MATCH(SUBSTITUTE(SUBSTITUTE(SUBSTITUTE(SUBSTITUTE("type:"&amp;B1196,"%","%25"),"~","%7E"),"*","%2A"),"?","%3F"),'Rules'!$G$7:$G$26,0))="hours",INDEX('Rules'!$B$7:$B$26,MATCH(SUBSTITUTE(SUBSTITUTE(SUBSTITUTE(SUBSTITUTE("type:"&amp;B1196,"%","%25"),"~","%7E"),"*","%2A"),"?","%3F"),'Rules'!$G$7:$G$26,0))="km"),INDEX('Rules'!$B$7:$B$26,MATCH(SUBSTITUTE(SUBSTITUTE(SUBSTITUTE(SUBSTITUTE("type:"&amp;B1196,"%","%25"),"~","%7E"),"*","%2A"),"?","%3F"),'Rules'!$G$7:$G$26,0)),""))</x:f>
      </x:c>
      <x:c r="I1196" s="6" t="str">
        <x:f>IF(AND(NOT(COUNTA(A1196:F1196)=0),K1196=""),ROUND(J1196-D1196,3),"")</x:f>
      </x:c>
      <x:c r="J1196" s="6" t="str">
        <x:f>IF(AND(NOT(COUNTA(A1196:F1196)=0),K1196=""),ROUND(F1196+L1196,3),"")</x:f>
      </x:c>
      <x:c r="K1196" s="5" t="str">
        <x:f>IF(COUNTA(A1196:F1196)=0,"",IF(A1196="","Missing equipment ID",IF(COUNTIFS($N$8:$N$2007,"="&amp;N1196)&gt;1,"Duplicate equipment ID",IF(B1196="","Missing type",IF(COUNTIFS('Rules'!$G$7:$G$26,"="&amp;(SUBSTITUTE(SUBSTITUTE(SUBSTITUTE(SUBSTITUTE("type:"&amp;B1196,"%","%25"),"~","%7E"),"*","%2A"),"?","%3F")))=0,"Unknown type",IF(COUNTIFS('Rules'!$G$7:$G$26,"="&amp;(SUBSTITUTE(SUBSTITUTE(SUBSTITUTE(SUBSTITUTE("type:"&amp;B1196,"%","%25"),"~","%7E"),"*","%2A"),"?","%3F")))&gt;1,"Duplicate type",IF(INDEX('Rules'!$F$7:$F$26,MATCH(SUBSTITUTE(SUBSTITUTE(SUBSTITUTE(SUBSTITUTE("type:"&amp;B1196,"%","%25"),"~","%7E"),"*","%2A"),"?","%3F"),'Rules'!$G$7:$G$26,0))&lt;&gt;"",INDEX('Rules'!$F$7:$F$26,MATCH(SUBSTITUTE(SUBSTITUTE(SUBSTITUTE(SUBSTITUTE("type:"&amp;B1196,"%","%25"),"~","%7E"),"*","%2A"),"?","%3F"),'Rules'!$G$7:$G$26,0)),IF(AND(C1196&lt;&gt;"",C1196&lt;&gt;INDEX('Rules'!$B$7:$B$26,MATCH(SUBSTITUTE(SUBSTITUTE(SUBSTITUTE(SUBSTITUTE("type:"&amp;B1196,"%","%25"),"~","%7E"),"*","%2A"),"?","%3F"),'Rules'!$G$7:$G$26,0))),"Unit mismatch",IF(IF(NOT(ISNUMBER(D1196)),TRUE,OR(D1196&lt;0,D1196&gt;999999999,ROUND(D1196,3)&lt;&gt;D1196)),"Invalid current reading",IF(AND(E1196&lt;&gt;"",IF(NOT(ISNUMBER(E1196)),TRUE,OR(E1196&lt;0,E1196&gt;999999999,ROUND(E1196,3)&lt;&gt;E1196))),"Invalid previous reading",IF(IF(NOT(ISNUMBER(F1196)),TRUE,OR(F1196&lt;0,F1196&gt;999999999,ROUND(F1196,3)&lt;&gt;F1196)),"Invalid last service",IF(AND(E1196&lt;&gt;"",D1196&lt;E1196),"Decreased reading",IF(F1196&gt;D1196,"Last service above current","")))))))))))))</x:f>
      </x:c>
      <x:c r="L1196" s="6" t="str">
        <x:f>IF(AND(NOT(COUNTA(A1196:F1196)=0),K1196=""),INDEX('Rules'!$C$7:$C$26,MATCH(SUBSTITUTE(SUBSTITUTE(SUBSTITUTE(SUBSTITUTE("type:"&amp;B1196,"%","%25"),"~","%7E"),"*","%2A"),"?","%3F"),'Rules'!$G$7:$G$26,0)),"")</x:f>
      </x:c>
      <x:c r="M1196" s="6" t="str">
        <x:f>IF(AND(NOT(COUNTA(A1196:F1196)=0),K1196=""),INDEX('Rules'!$D$7:$D$26,MATCH(SUBSTITUTE(SUBSTITUTE(SUBSTITUTE(SUBSTITUTE("type:"&amp;B1196,"%","%25"),"~","%7E"),"*","%2A"),"?","%3F"),'Rules'!$G$7:$G$26,0)),"")</x:f>
      </x:c>
      <x:c r="N1196" s="5" t="str">
        <x:f>IF(COUNTA(A1196:F1196)=0,"",SUBSTITUTE(SUBSTITUTE(SUBSTITUTE(SUBSTITUTE("id:"&amp;A1196,"%","%25"),"~","%7E"),"*","%2A"),"?","%3F"))</x:f>
      </x:c>
    </x:row>
    <x:row r="1197" ht="22" customHeight="1">
      <x:c r="A1197" s="3"/>
      <x:c r="B1197" s="3"/>
      <x:c r="C1197" s="3"/>
      <x:c r="D1197" s="4"/>
      <x:c r="E1197" s="4"/>
      <x:c r="F1197" s="4"/>
      <x:c r="G1197" s="5" t="str">
        <x:f>IF(COUNTA(A1197:F1197)=0,"",IF(K1197&lt;&gt;"","Review",IF(I1197&lt;0,"Overdue",IF(I1197=0,"Due now",IF(I1197&lt;=M1197,"Due soon","Not due")))))</x:f>
      </x:c>
      <x:c r="H1197" s="5" t="str">
        <x:f>IF(OR(COUNTA(A1197:F1197)=0,COUNTIFS('Rules'!$G$7:$G$26,"="&amp;(SUBSTITUTE(SUBSTITUTE(SUBSTITUTE(SUBSTITUTE("type:"&amp;B1197,"%","%25"),"~","%7E"),"*","%2A"),"?","%3F")))&lt;&gt;1),"",IF(OR(INDEX('Rules'!$B$7:$B$26,MATCH(SUBSTITUTE(SUBSTITUTE(SUBSTITUTE(SUBSTITUTE("type:"&amp;B1197,"%","%25"),"~","%7E"),"*","%2A"),"?","%3F"),'Rules'!$G$7:$G$26,0))="hours",INDEX('Rules'!$B$7:$B$26,MATCH(SUBSTITUTE(SUBSTITUTE(SUBSTITUTE(SUBSTITUTE("type:"&amp;B1197,"%","%25"),"~","%7E"),"*","%2A"),"?","%3F"),'Rules'!$G$7:$G$26,0))="km"),INDEX('Rules'!$B$7:$B$26,MATCH(SUBSTITUTE(SUBSTITUTE(SUBSTITUTE(SUBSTITUTE("type:"&amp;B1197,"%","%25"),"~","%7E"),"*","%2A"),"?","%3F"),'Rules'!$G$7:$G$26,0)),""))</x:f>
      </x:c>
      <x:c r="I1197" s="6" t="str">
        <x:f>IF(AND(NOT(COUNTA(A1197:F1197)=0),K1197=""),ROUND(J1197-D1197,3),"")</x:f>
      </x:c>
      <x:c r="J1197" s="6" t="str">
        <x:f>IF(AND(NOT(COUNTA(A1197:F1197)=0),K1197=""),ROUND(F1197+L1197,3),"")</x:f>
      </x:c>
      <x:c r="K1197" s="5" t="str">
        <x:f>IF(COUNTA(A1197:F1197)=0,"",IF(A1197="","Missing equipment ID",IF(COUNTIFS($N$8:$N$2007,"="&amp;N1197)&gt;1,"Duplicate equipment ID",IF(B1197="","Missing type",IF(COUNTIFS('Rules'!$G$7:$G$26,"="&amp;(SUBSTITUTE(SUBSTITUTE(SUBSTITUTE(SUBSTITUTE("type:"&amp;B1197,"%","%25"),"~","%7E"),"*","%2A"),"?","%3F")))=0,"Unknown type",IF(COUNTIFS('Rules'!$G$7:$G$26,"="&amp;(SUBSTITUTE(SUBSTITUTE(SUBSTITUTE(SUBSTITUTE("type:"&amp;B1197,"%","%25"),"~","%7E"),"*","%2A"),"?","%3F")))&gt;1,"Duplicate type",IF(INDEX('Rules'!$F$7:$F$26,MATCH(SUBSTITUTE(SUBSTITUTE(SUBSTITUTE(SUBSTITUTE("type:"&amp;B1197,"%","%25"),"~","%7E"),"*","%2A"),"?","%3F"),'Rules'!$G$7:$G$26,0))&lt;&gt;"",INDEX('Rules'!$F$7:$F$26,MATCH(SUBSTITUTE(SUBSTITUTE(SUBSTITUTE(SUBSTITUTE("type:"&amp;B1197,"%","%25"),"~","%7E"),"*","%2A"),"?","%3F"),'Rules'!$G$7:$G$26,0)),IF(AND(C1197&lt;&gt;"",C1197&lt;&gt;INDEX('Rules'!$B$7:$B$26,MATCH(SUBSTITUTE(SUBSTITUTE(SUBSTITUTE(SUBSTITUTE("type:"&amp;B1197,"%","%25"),"~","%7E"),"*","%2A"),"?","%3F"),'Rules'!$G$7:$G$26,0))),"Unit mismatch",IF(IF(NOT(ISNUMBER(D1197)),TRUE,OR(D1197&lt;0,D1197&gt;999999999,ROUND(D1197,3)&lt;&gt;D1197)),"Invalid current reading",IF(AND(E1197&lt;&gt;"",IF(NOT(ISNUMBER(E1197)),TRUE,OR(E1197&lt;0,E1197&gt;999999999,ROUND(E1197,3)&lt;&gt;E1197))),"Invalid previous reading",IF(IF(NOT(ISNUMBER(F1197)),TRUE,OR(F1197&lt;0,F1197&gt;999999999,ROUND(F1197,3)&lt;&gt;F1197)),"Invalid last service",IF(AND(E1197&lt;&gt;"",D1197&lt;E1197),"Decreased reading",IF(F1197&gt;D1197,"Last service above current","")))))))))))))</x:f>
      </x:c>
      <x:c r="L1197" s="6" t="str">
        <x:f>IF(AND(NOT(COUNTA(A1197:F1197)=0),K1197=""),INDEX('Rules'!$C$7:$C$26,MATCH(SUBSTITUTE(SUBSTITUTE(SUBSTITUTE(SUBSTITUTE("type:"&amp;B1197,"%","%25"),"~","%7E"),"*","%2A"),"?","%3F"),'Rules'!$G$7:$G$26,0)),"")</x:f>
      </x:c>
      <x:c r="M1197" s="6" t="str">
        <x:f>IF(AND(NOT(COUNTA(A1197:F1197)=0),K1197=""),INDEX('Rules'!$D$7:$D$26,MATCH(SUBSTITUTE(SUBSTITUTE(SUBSTITUTE(SUBSTITUTE("type:"&amp;B1197,"%","%25"),"~","%7E"),"*","%2A"),"?","%3F"),'Rules'!$G$7:$G$26,0)),"")</x:f>
      </x:c>
      <x:c r="N1197" s="5" t="str">
        <x:f>IF(COUNTA(A1197:F1197)=0,"",SUBSTITUTE(SUBSTITUTE(SUBSTITUTE(SUBSTITUTE("id:"&amp;A1197,"%","%25"),"~","%7E"),"*","%2A"),"?","%3F"))</x:f>
      </x:c>
    </x:row>
    <x:row r="1198" ht="22" customHeight="1">
      <x:c r="A1198" s="3"/>
      <x:c r="B1198" s="3"/>
      <x:c r="C1198" s="3"/>
      <x:c r="D1198" s="4"/>
      <x:c r="E1198" s="4"/>
      <x:c r="F1198" s="4"/>
      <x:c r="G1198" s="5" t="str">
        <x:f>IF(COUNTA(A1198:F1198)=0,"",IF(K1198&lt;&gt;"","Review",IF(I1198&lt;0,"Overdue",IF(I1198=0,"Due now",IF(I1198&lt;=M1198,"Due soon","Not due")))))</x:f>
      </x:c>
      <x:c r="H1198" s="5" t="str">
        <x:f>IF(OR(COUNTA(A1198:F1198)=0,COUNTIFS('Rules'!$G$7:$G$26,"="&amp;(SUBSTITUTE(SUBSTITUTE(SUBSTITUTE(SUBSTITUTE("type:"&amp;B1198,"%","%25"),"~","%7E"),"*","%2A"),"?","%3F")))&lt;&gt;1),"",IF(OR(INDEX('Rules'!$B$7:$B$26,MATCH(SUBSTITUTE(SUBSTITUTE(SUBSTITUTE(SUBSTITUTE("type:"&amp;B1198,"%","%25"),"~","%7E"),"*","%2A"),"?","%3F"),'Rules'!$G$7:$G$26,0))="hours",INDEX('Rules'!$B$7:$B$26,MATCH(SUBSTITUTE(SUBSTITUTE(SUBSTITUTE(SUBSTITUTE("type:"&amp;B1198,"%","%25"),"~","%7E"),"*","%2A"),"?","%3F"),'Rules'!$G$7:$G$26,0))="km"),INDEX('Rules'!$B$7:$B$26,MATCH(SUBSTITUTE(SUBSTITUTE(SUBSTITUTE(SUBSTITUTE("type:"&amp;B1198,"%","%25"),"~","%7E"),"*","%2A"),"?","%3F"),'Rules'!$G$7:$G$26,0)),""))</x:f>
      </x:c>
      <x:c r="I1198" s="6" t="str">
        <x:f>IF(AND(NOT(COUNTA(A1198:F1198)=0),K1198=""),ROUND(J1198-D1198,3),"")</x:f>
      </x:c>
      <x:c r="J1198" s="6" t="str">
        <x:f>IF(AND(NOT(COUNTA(A1198:F1198)=0),K1198=""),ROUND(F1198+L1198,3),"")</x:f>
      </x:c>
      <x:c r="K1198" s="5" t="str">
        <x:f>IF(COUNTA(A1198:F1198)=0,"",IF(A1198="","Missing equipment ID",IF(COUNTIFS($N$8:$N$2007,"="&amp;N1198)&gt;1,"Duplicate equipment ID",IF(B1198="","Missing type",IF(COUNTIFS('Rules'!$G$7:$G$26,"="&amp;(SUBSTITUTE(SUBSTITUTE(SUBSTITUTE(SUBSTITUTE("type:"&amp;B1198,"%","%25"),"~","%7E"),"*","%2A"),"?","%3F")))=0,"Unknown type",IF(COUNTIFS('Rules'!$G$7:$G$26,"="&amp;(SUBSTITUTE(SUBSTITUTE(SUBSTITUTE(SUBSTITUTE("type:"&amp;B1198,"%","%25"),"~","%7E"),"*","%2A"),"?","%3F")))&gt;1,"Duplicate type",IF(INDEX('Rules'!$F$7:$F$26,MATCH(SUBSTITUTE(SUBSTITUTE(SUBSTITUTE(SUBSTITUTE("type:"&amp;B1198,"%","%25"),"~","%7E"),"*","%2A"),"?","%3F"),'Rules'!$G$7:$G$26,0))&lt;&gt;"",INDEX('Rules'!$F$7:$F$26,MATCH(SUBSTITUTE(SUBSTITUTE(SUBSTITUTE(SUBSTITUTE("type:"&amp;B1198,"%","%25"),"~","%7E"),"*","%2A"),"?","%3F"),'Rules'!$G$7:$G$26,0)),IF(AND(C1198&lt;&gt;"",C1198&lt;&gt;INDEX('Rules'!$B$7:$B$26,MATCH(SUBSTITUTE(SUBSTITUTE(SUBSTITUTE(SUBSTITUTE("type:"&amp;B1198,"%","%25"),"~","%7E"),"*","%2A"),"?","%3F"),'Rules'!$G$7:$G$26,0))),"Unit mismatch",IF(IF(NOT(ISNUMBER(D1198)),TRUE,OR(D1198&lt;0,D1198&gt;999999999,ROUND(D1198,3)&lt;&gt;D1198)),"Invalid current reading",IF(AND(E1198&lt;&gt;"",IF(NOT(ISNUMBER(E1198)),TRUE,OR(E1198&lt;0,E1198&gt;999999999,ROUND(E1198,3)&lt;&gt;E1198))),"Invalid previous reading",IF(IF(NOT(ISNUMBER(F1198)),TRUE,OR(F1198&lt;0,F1198&gt;999999999,ROUND(F1198,3)&lt;&gt;F1198)),"Invalid last service",IF(AND(E1198&lt;&gt;"",D1198&lt;E1198),"Decreased reading",IF(F1198&gt;D1198,"Last service above current","")))))))))))))</x:f>
      </x:c>
      <x:c r="L1198" s="6" t="str">
        <x:f>IF(AND(NOT(COUNTA(A1198:F1198)=0),K1198=""),INDEX('Rules'!$C$7:$C$26,MATCH(SUBSTITUTE(SUBSTITUTE(SUBSTITUTE(SUBSTITUTE("type:"&amp;B1198,"%","%25"),"~","%7E"),"*","%2A"),"?","%3F"),'Rules'!$G$7:$G$26,0)),"")</x:f>
      </x:c>
      <x:c r="M1198" s="6" t="str">
        <x:f>IF(AND(NOT(COUNTA(A1198:F1198)=0),K1198=""),INDEX('Rules'!$D$7:$D$26,MATCH(SUBSTITUTE(SUBSTITUTE(SUBSTITUTE(SUBSTITUTE("type:"&amp;B1198,"%","%25"),"~","%7E"),"*","%2A"),"?","%3F"),'Rules'!$G$7:$G$26,0)),"")</x:f>
      </x:c>
      <x:c r="N1198" s="5" t="str">
        <x:f>IF(COUNTA(A1198:F1198)=0,"",SUBSTITUTE(SUBSTITUTE(SUBSTITUTE(SUBSTITUTE("id:"&amp;A1198,"%","%25"),"~","%7E"),"*","%2A"),"?","%3F"))</x:f>
      </x:c>
    </x:row>
    <x:row r="1199" ht="22" customHeight="1">
      <x:c r="A1199" s="3"/>
      <x:c r="B1199" s="3"/>
      <x:c r="C1199" s="3"/>
      <x:c r="D1199" s="4"/>
      <x:c r="E1199" s="4"/>
      <x:c r="F1199" s="4"/>
      <x:c r="G1199" s="5" t="str">
        <x:f>IF(COUNTA(A1199:F1199)=0,"",IF(K1199&lt;&gt;"","Review",IF(I1199&lt;0,"Overdue",IF(I1199=0,"Due now",IF(I1199&lt;=M1199,"Due soon","Not due")))))</x:f>
      </x:c>
      <x:c r="H1199" s="5" t="str">
        <x:f>IF(OR(COUNTA(A1199:F1199)=0,COUNTIFS('Rules'!$G$7:$G$26,"="&amp;(SUBSTITUTE(SUBSTITUTE(SUBSTITUTE(SUBSTITUTE("type:"&amp;B1199,"%","%25"),"~","%7E"),"*","%2A"),"?","%3F")))&lt;&gt;1),"",IF(OR(INDEX('Rules'!$B$7:$B$26,MATCH(SUBSTITUTE(SUBSTITUTE(SUBSTITUTE(SUBSTITUTE("type:"&amp;B1199,"%","%25"),"~","%7E"),"*","%2A"),"?","%3F"),'Rules'!$G$7:$G$26,0))="hours",INDEX('Rules'!$B$7:$B$26,MATCH(SUBSTITUTE(SUBSTITUTE(SUBSTITUTE(SUBSTITUTE("type:"&amp;B1199,"%","%25"),"~","%7E"),"*","%2A"),"?","%3F"),'Rules'!$G$7:$G$26,0))="km"),INDEX('Rules'!$B$7:$B$26,MATCH(SUBSTITUTE(SUBSTITUTE(SUBSTITUTE(SUBSTITUTE("type:"&amp;B1199,"%","%25"),"~","%7E"),"*","%2A"),"?","%3F"),'Rules'!$G$7:$G$26,0)),""))</x:f>
      </x:c>
      <x:c r="I1199" s="6" t="str">
        <x:f>IF(AND(NOT(COUNTA(A1199:F1199)=0),K1199=""),ROUND(J1199-D1199,3),"")</x:f>
      </x:c>
      <x:c r="J1199" s="6" t="str">
        <x:f>IF(AND(NOT(COUNTA(A1199:F1199)=0),K1199=""),ROUND(F1199+L1199,3),"")</x:f>
      </x:c>
      <x:c r="K1199" s="5" t="str">
        <x:f>IF(COUNTA(A1199:F1199)=0,"",IF(A1199="","Missing equipment ID",IF(COUNTIFS($N$8:$N$2007,"="&amp;N1199)&gt;1,"Duplicate equipment ID",IF(B1199="","Missing type",IF(COUNTIFS('Rules'!$G$7:$G$26,"="&amp;(SUBSTITUTE(SUBSTITUTE(SUBSTITUTE(SUBSTITUTE("type:"&amp;B1199,"%","%25"),"~","%7E"),"*","%2A"),"?","%3F")))=0,"Unknown type",IF(COUNTIFS('Rules'!$G$7:$G$26,"="&amp;(SUBSTITUTE(SUBSTITUTE(SUBSTITUTE(SUBSTITUTE("type:"&amp;B1199,"%","%25"),"~","%7E"),"*","%2A"),"?","%3F")))&gt;1,"Duplicate type",IF(INDEX('Rules'!$F$7:$F$26,MATCH(SUBSTITUTE(SUBSTITUTE(SUBSTITUTE(SUBSTITUTE("type:"&amp;B1199,"%","%25"),"~","%7E"),"*","%2A"),"?","%3F"),'Rules'!$G$7:$G$26,0))&lt;&gt;"",INDEX('Rules'!$F$7:$F$26,MATCH(SUBSTITUTE(SUBSTITUTE(SUBSTITUTE(SUBSTITUTE("type:"&amp;B1199,"%","%25"),"~","%7E"),"*","%2A"),"?","%3F"),'Rules'!$G$7:$G$26,0)),IF(AND(C1199&lt;&gt;"",C1199&lt;&gt;INDEX('Rules'!$B$7:$B$26,MATCH(SUBSTITUTE(SUBSTITUTE(SUBSTITUTE(SUBSTITUTE("type:"&amp;B1199,"%","%25"),"~","%7E"),"*","%2A"),"?","%3F"),'Rules'!$G$7:$G$26,0))),"Unit mismatch",IF(IF(NOT(ISNUMBER(D1199)),TRUE,OR(D1199&lt;0,D1199&gt;999999999,ROUND(D1199,3)&lt;&gt;D1199)),"Invalid current reading",IF(AND(E1199&lt;&gt;"",IF(NOT(ISNUMBER(E1199)),TRUE,OR(E1199&lt;0,E1199&gt;999999999,ROUND(E1199,3)&lt;&gt;E1199))),"Invalid previous reading",IF(IF(NOT(ISNUMBER(F1199)),TRUE,OR(F1199&lt;0,F1199&gt;999999999,ROUND(F1199,3)&lt;&gt;F1199)),"Invalid last service",IF(AND(E1199&lt;&gt;"",D1199&lt;E1199),"Decreased reading",IF(F1199&gt;D1199,"Last service above current","")))))))))))))</x:f>
      </x:c>
      <x:c r="L1199" s="6" t="str">
        <x:f>IF(AND(NOT(COUNTA(A1199:F1199)=0),K1199=""),INDEX('Rules'!$C$7:$C$26,MATCH(SUBSTITUTE(SUBSTITUTE(SUBSTITUTE(SUBSTITUTE("type:"&amp;B1199,"%","%25"),"~","%7E"),"*","%2A"),"?","%3F"),'Rules'!$G$7:$G$26,0)),"")</x:f>
      </x:c>
      <x:c r="M1199" s="6" t="str">
        <x:f>IF(AND(NOT(COUNTA(A1199:F1199)=0),K1199=""),INDEX('Rules'!$D$7:$D$26,MATCH(SUBSTITUTE(SUBSTITUTE(SUBSTITUTE(SUBSTITUTE("type:"&amp;B1199,"%","%25"),"~","%7E"),"*","%2A"),"?","%3F"),'Rules'!$G$7:$G$26,0)),"")</x:f>
      </x:c>
      <x:c r="N1199" s="5" t="str">
        <x:f>IF(COUNTA(A1199:F1199)=0,"",SUBSTITUTE(SUBSTITUTE(SUBSTITUTE(SUBSTITUTE("id:"&amp;A1199,"%","%25"),"~","%7E"),"*","%2A"),"?","%3F"))</x:f>
      </x:c>
    </x:row>
    <x:row r="1200" ht="22" customHeight="1">
      <x:c r="A1200" s="3"/>
      <x:c r="B1200" s="3"/>
      <x:c r="C1200" s="3"/>
      <x:c r="D1200" s="4"/>
      <x:c r="E1200" s="4"/>
      <x:c r="F1200" s="4"/>
      <x:c r="G1200" s="5" t="str">
        <x:f>IF(COUNTA(A1200:F1200)=0,"",IF(K1200&lt;&gt;"","Review",IF(I1200&lt;0,"Overdue",IF(I1200=0,"Due now",IF(I1200&lt;=M1200,"Due soon","Not due")))))</x:f>
      </x:c>
      <x:c r="H1200" s="5" t="str">
        <x:f>IF(OR(COUNTA(A1200:F1200)=0,COUNTIFS('Rules'!$G$7:$G$26,"="&amp;(SUBSTITUTE(SUBSTITUTE(SUBSTITUTE(SUBSTITUTE("type:"&amp;B1200,"%","%25"),"~","%7E"),"*","%2A"),"?","%3F")))&lt;&gt;1),"",IF(OR(INDEX('Rules'!$B$7:$B$26,MATCH(SUBSTITUTE(SUBSTITUTE(SUBSTITUTE(SUBSTITUTE("type:"&amp;B1200,"%","%25"),"~","%7E"),"*","%2A"),"?","%3F"),'Rules'!$G$7:$G$26,0))="hours",INDEX('Rules'!$B$7:$B$26,MATCH(SUBSTITUTE(SUBSTITUTE(SUBSTITUTE(SUBSTITUTE("type:"&amp;B1200,"%","%25"),"~","%7E"),"*","%2A"),"?","%3F"),'Rules'!$G$7:$G$26,0))="km"),INDEX('Rules'!$B$7:$B$26,MATCH(SUBSTITUTE(SUBSTITUTE(SUBSTITUTE(SUBSTITUTE("type:"&amp;B1200,"%","%25"),"~","%7E"),"*","%2A"),"?","%3F"),'Rules'!$G$7:$G$26,0)),""))</x:f>
      </x:c>
      <x:c r="I1200" s="6" t="str">
        <x:f>IF(AND(NOT(COUNTA(A1200:F1200)=0),K1200=""),ROUND(J1200-D1200,3),"")</x:f>
      </x:c>
      <x:c r="J1200" s="6" t="str">
        <x:f>IF(AND(NOT(COUNTA(A1200:F1200)=0),K1200=""),ROUND(F1200+L1200,3),"")</x:f>
      </x:c>
      <x:c r="K1200" s="5" t="str">
        <x:f>IF(COUNTA(A1200:F1200)=0,"",IF(A1200="","Missing equipment ID",IF(COUNTIFS($N$8:$N$2007,"="&amp;N1200)&gt;1,"Duplicate equipment ID",IF(B1200="","Missing type",IF(COUNTIFS('Rules'!$G$7:$G$26,"="&amp;(SUBSTITUTE(SUBSTITUTE(SUBSTITUTE(SUBSTITUTE("type:"&amp;B1200,"%","%25"),"~","%7E"),"*","%2A"),"?","%3F")))=0,"Unknown type",IF(COUNTIFS('Rules'!$G$7:$G$26,"="&amp;(SUBSTITUTE(SUBSTITUTE(SUBSTITUTE(SUBSTITUTE("type:"&amp;B1200,"%","%25"),"~","%7E"),"*","%2A"),"?","%3F")))&gt;1,"Duplicate type",IF(INDEX('Rules'!$F$7:$F$26,MATCH(SUBSTITUTE(SUBSTITUTE(SUBSTITUTE(SUBSTITUTE("type:"&amp;B1200,"%","%25"),"~","%7E"),"*","%2A"),"?","%3F"),'Rules'!$G$7:$G$26,0))&lt;&gt;"",INDEX('Rules'!$F$7:$F$26,MATCH(SUBSTITUTE(SUBSTITUTE(SUBSTITUTE(SUBSTITUTE("type:"&amp;B1200,"%","%25"),"~","%7E"),"*","%2A"),"?","%3F"),'Rules'!$G$7:$G$26,0)),IF(AND(C1200&lt;&gt;"",C1200&lt;&gt;INDEX('Rules'!$B$7:$B$26,MATCH(SUBSTITUTE(SUBSTITUTE(SUBSTITUTE(SUBSTITUTE("type:"&amp;B1200,"%","%25"),"~","%7E"),"*","%2A"),"?","%3F"),'Rules'!$G$7:$G$26,0))),"Unit mismatch",IF(IF(NOT(ISNUMBER(D1200)),TRUE,OR(D1200&lt;0,D1200&gt;999999999,ROUND(D1200,3)&lt;&gt;D1200)),"Invalid current reading",IF(AND(E1200&lt;&gt;"",IF(NOT(ISNUMBER(E1200)),TRUE,OR(E1200&lt;0,E1200&gt;999999999,ROUND(E1200,3)&lt;&gt;E1200))),"Invalid previous reading",IF(IF(NOT(ISNUMBER(F1200)),TRUE,OR(F1200&lt;0,F1200&gt;999999999,ROUND(F1200,3)&lt;&gt;F1200)),"Invalid last service",IF(AND(E1200&lt;&gt;"",D1200&lt;E1200),"Decreased reading",IF(F1200&gt;D1200,"Last service above current","")))))))))))))</x:f>
      </x:c>
      <x:c r="L1200" s="6" t="str">
        <x:f>IF(AND(NOT(COUNTA(A1200:F1200)=0),K1200=""),INDEX('Rules'!$C$7:$C$26,MATCH(SUBSTITUTE(SUBSTITUTE(SUBSTITUTE(SUBSTITUTE("type:"&amp;B1200,"%","%25"),"~","%7E"),"*","%2A"),"?","%3F"),'Rules'!$G$7:$G$26,0)),"")</x:f>
      </x:c>
      <x:c r="M1200" s="6" t="str">
        <x:f>IF(AND(NOT(COUNTA(A1200:F1200)=0),K1200=""),INDEX('Rules'!$D$7:$D$26,MATCH(SUBSTITUTE(SUBSTITUTE(SUBSTITUTE(SUBSTITUTE("type:"&amp;B1200,"%","%25"),"~","%7E"),"*","%2A"),"?","%3F"),'Rules'!$G$7:$G$26,0)),"")</x:f>
      </x:c>
      <x:c r="N1200" s="5" t="str">
        <x:f>IF(COUNTA(A1200:F1200)=0,"",SUBSTITUTE(SUBSTITUTE(SUBSTITUTE(SUBSTITUTE("id:"&amp;A1200,"%","%25"),"~","%7E"),"*","%2A"),"?","%3F"))</x:f>
      </x:c>
    </x:row>
    <x:row r="1201" ht="22" customHeight="1">
      <x:c r="A1201" s="3"/>
      <x:c r="B1201" s="3"/>
      <x:c r="C1201" s="3"/>
      <x:c r="D1201" s="4"/>
      <x:c r="E1201" s="4"/>
      <x:c r="F1201" s="4"/>
      <x:c r="G1201" s="5" t="str">
        <x:f>IF(COUNTA(A1201:F1201)=0,"",IF(K1201&lt;&gt;"","Review",IF(I1201&lt;0,"Overdue",IF(I1201=0,"Due now",IF(I1201&lt;=M1201,"Due soon","Not due")))))</x:f>
      </x:c>
      <x:c r="H1201" s="5" t="str">
        <x:f>IF(OR(COUNTA(A1201:F1201)=0,COUNTIFS('Rules'!$G$7:$G$26,"="&amp;(SUBSTITUTE(SUBSTITUTE(SUBSTITUTE(SUBSTITUTE("type:"&amp;B1201,"%","%25"),"~","%7E"),"*","%2A"),"?","%3F")))&lt;&gt;1),"",IF(OR(INDEX('Rules'!$B$7:$B$26,MATCH(SUBSTITUTE(SUBSTITUTE(SUBSTITUTE(SUBSTITUTE("type:"&amp;B1201,"%","%25"),"~","%7E"),"*","%2A"),"?","%3F"),'Rules'!$G$7:$G$26,0))="hours",INDEX('Rules'!$B$7:$B$26,MATCH(SUBSTITUTE(SUBSTITUTE(SUBSTITUTE(SUBSTITUTE("type:"&amp;B1201,"%","%25"),"~","%7E"),"*","%2A"),"?","%3F"),'Rules'!$G$7:$G$26,0))="km"),INDEX('Rules'!$B$7:$B$26,MATCH(SUBSTITUTE(SUBSTITUTE(SUBSTITUTE(SUBSTITUTE("type:"&amp;B1201,"%","%25"),"~","%7E"),"*","%2A"),"?","%3F"),'Rules'!$G$7:$G$26,0)),""))</x:f>
      </x:c>
      <x:c r="I1201" s="6" t="str">
        <x:f>IF(AND(NOT(COUNTA(A1201:F1201)=0),K1201=""),ROUND(J1201-D1201,3),"")</x:f>
      </x:c>
      <x:c r="J1201" s="6" t="str">
        <x:f>IF(AND(NOT(COUNTA(A1201:F1201)=0),K1201=""),ROUND(F1201+L1201,3),"")</x:f>
      </x:c>
      <x:c r="K1201" s="5" t="str">
        <x:f>IF(COUNTA(A1201:F1201)=0,"",IF(A1201="","Missing equipment ID",IF(COUNTIFS($N$8:$N$2007,"="&amp;N1201)&gt;1,"Duplicate equipment ID",IF(B1201="","Missing type",IF(COUNTIFS('Rules'!$G$7:$G$26,"="&amp;(SUBSTITUTE(SUBSTITUTE(SUBSTITUTE(SUBSTITUTE("type:"&amp;B1201,"%","%25"),"~","%7E"),"*","%2A"),"?","%3F")))=0,"Unknown type",IF(COUNTIFS('Rules'!$G$7:$G$26,"="&amp;(SUBSTITUTE(SUBSTITUTE(SUBSTITUTE(SUBSTITUTE("type:"&amp;B1201,"%","%25"),"~","%7E"),"*","%2A"),"?","%3F")))&gt;1,"Duplicate type",IF(INDEX('Rules'!$F$7:$F$26,MATCH(SUBSTITUTE(SUBSTITUTE(SUBSTITUTE(SUBSTITUTE("type:"&amp;B1201,"%","%25"),"~","%7E"),"*","%2A"),"?","%3F"),'Rules'!$G$7:$G$26,0))&lt;&gt;"",INDEX('Rules'!$F$7:$F$26,MATCH(SUBSTITUTE(SUBSTITUTE(SUBSTITUTE(SUBSTITUTE("type:"&amp;B1201,"%","%25"),"~","%7E"),"*","%2A"),"?","%3F"),'Rules'!$G$7:$G$26,0)),IF(AND(C1201&lt;&gt;"",C1201&lt;&gt;INDEX('Rules'!$B$7:$B$26,MATCH(SUBSTITUTE(SUBSTITUTE(SUBSTITUTE(SUBSTITUTE("type:"&amp;B1201,"%","%25"),"~","%7E"),"*","%2A"),"?","%3F"),'Rules'!$G$7:$G$26,0))),"Unit mismatch",IF(IF(NOT(ISNUMBER(D1201)),TRUE,OR(D1201&lt;0,D1201&gt;999999999,ROUND(D1201,3)&lt;&gt;D1201)),"Invalid current reading",IF(AND(E1201&lt;&gt;"",IF(NOT(ISNUMBER(E1201)),TRUE,OR(E1201&lt;0,E1201&gt;999999999,ROUND(E1201,3)&lt;&gt;E1201))),"Invalid previous reading",IF(IF(NOT(ISNUMBER(F1201)),TRUE,OR(F1201&lt;0,F1201&gt;999999999,ROUND(F1201,3)&lt;&gt;F1201)),"Invalid last service",IF(AND(E1201&lt;&gt;"",D1201&lt;E1201),"Decreased reading",IF(F1201&gt;D1201,"Last service above current","")))))))))))))</x:f>
      </x:c>
      <x:c r="L1201" s="6" t="str">
        <x:f>IF(AND(NOT(COUNTA(A1201:F1201)=0),K1201=""),INDEX('Rules'!$C$7:$C$26,MATCH(SUBSTITUTE(SUBSTITUTE(SUBSTITUTE(SUBSTITUTE("type:"&amp;B1201,"%","%25"),"~","%7E"),"*","%2A"),"?","%3F"),'Rules'!$G$7:$G$26,0)),"")</x:f>
      </x:c>
      <x:c r="M1201" s="6" t="str">
        <x:f>IF(AND(NOT(COUNTA(A1201:F1201)=0),K1201=""),INDEX('Rules'!$D$7:$D$26,MATCH(SUBSTITUTE(SUBSTITUTE(SUBSTITUTE(SUBSTITUTE("type:"&amp;B1201,"%","%25"),"~","%7E"),"*","%2A"),"?","%3F"),'Rules'!$G$7:$G$26,0)),"")</x:f>
      </x:c>
      <x:c r="N1201" s="5" t="str">
        <x:f>IF(COUNTA(A1201:F1201)=0,"",SUBSTITUTE(SUBSTITUTE(SUBSTITUTE(SUBSTITUTE("id:"&amp;A1201,"%","%25"),"~","%7E"),"*","%2A"),"?","%3F"))</x:f>
      </x:c>
    </x:row>
    <x:row r="1202" ht="22" customHeight="1">
      <x:c r="A1202" s="3"/>
      <x:c r="B1202" s="3"/>
      <x:c r="C1202" s="3"/>
      <x:c r="D1202" s="4"/>
      <x:c r="E1202" s="4"/>
      <x:c r="F1202" s="4"/>
      <x:c r="G1202" s="5" t="str">
        <x:f>IF(COUNTA(A1202:F1202)=0,"",IF(K1202&lt;&gt;"","Review",IF(I1202&lt;0,"Overdue",IF(I1202=0,"Due now",IF(I1202&lt;=M1202,"Due soon","Not due")))))</x:f>
      </x:c>
      <x:c r="H1202" s="5" t="str">
        <x:f>IF(OR(COUNTA(A1202:F1202)=0,COUNTIFS('Rules'!$G$7:$G$26,"="&amp;(SUBSTITUTE(SUBSTITUTE(SUBSTITUTE(SUBSTITUTE("type:"&amp;B1202,"%","%25"),"~","%7E"),"*","%2A"),"?","%3F")))&lt;&gt;1),"",IF(OR(INDEX('Rules'!$B$7:$B$26,MATCH(SUBSTITUTE(SUBSTITUTE(SUBSTITUTE(SUBSTITUTE("type:"&amp;B1202,"%","%25"),"~","%7E"),"*","%2A"),"?","%3F"),'Rules'!$G$7:$G$26,0))="hours",INDEX('Rules'!$B$7:$B$26,MATCH(SUBSTITUTE(SUBSTITUTE(SUBSTITUTE(SUBSTITUTE("type:"&amp;B1202,"%","%25"),"~","%7E"),"*","%2A"),"?","%3F"),'Rules'!$G$7:$G$26,0))="km"),INDEX('Rules'!$B$7:$B$26,MATCH(SUBSTITUTE(SUBSTITUTE(SUBSTITUTE(SUBSTITUTE("type:"&amp;B1202,"%","%25"),"~","%7E"),"*","%2A"),"?","%3F"),'Rules'!$G$7:$G$26,0)),""))</x:f>
      </x:c>
      <x:c r="I1202" s="6" t="str">
        <x:f>IF(AND(NOT(COUNTA(A1202:F1202)=0),K1202=""),ROUND(J1202-D1202,3),"")</x:f>
      </x:c>
      <x:c r="J1202" s="6" t="str">
        <x:f>IF(AND(NOT(COUNTA(A1202:F1202)=0),K1202=""),ROUND(F1202+L1202,3),"")</x:f>
      </x:c>
      <x:c r="K1202" s="5" t="str">
        <x:f>IF(COUNTA(A1202:F1202)=0,"",IF(A1202="","Missing equipment ID",IF(COUNTIFS($N$8:$N$2007,"="&amp;N1202)&gt;1,"Duplicate equipment ID",IF(B1202="","Missing type",IF(COUNTIFS('Rules'!$G$7:$G$26,"="&amp;(SUBSTITUTE(SUBSTITUTE(SUBSTITUTE(SUBSTITUTE("type:"&amp;B1202,"%","%25"),"~","%7E"),"*","%2A"),"?","%3F")))=0,"Unknown type",IF(COUNTIFS('Rules'!$G$7:$G$26,"="&amp;(SUBSTITUTE(SUBSTITUTE(SUBSTITUTE(SUBSTITUTE("type:"&amp;B1202,"%","%25"),"~","%7E"),"*","%2A"),"?","%3F")))&gt;1,"Duplicate type",IF(INDEX('Rules'!$F$7:$F$26,MATCH(SUBSTITUTE(SUBSTITUTE(SUBSTITUTE(SUBSTITUTE("type:"&amp;B1202,"%","%25"),"~","%7E"),"*","%2A"),"?","%3F"),'Rules'!$G$7:$G$26,0))&lt;&gt;"",INDEX('Rules'!$F$7:$F$26,MATCH(SUBSTITUTE(SUBSTITUTE(SUBSTITUTE(SUBSTITUTE("type:"&amp;B1202,"%","%25"),"~","%7E"),"*","%2A"),"?","%3F"),'Rules'!$G$7:$G$26,0)),IF(AND(C1202&lt;&gt;"",C1202&lt;&gt;INDEX('Rules'!$B$7:$B$26,MATCH(SUBSTITUTE(SUBSTITUTE(SUBSTITUTE(SUBSTITUTE("type:"&amp;B1202,"%","%25"),"~","%7E"),"*","%2A"),"?","%3F"),'Rules'!$G$7:$G$26,0))),"Unit mismatch",IF(IF(NOT(ISNUMBER(D1202)),TRUE,OR(D1202&lt;0,D1202&gt;999999999,ROUND(D1202,3)&lt;&gt;D1202)),"Invalid current reading",IF(AND(E1202&lt;&gt;"",IF(NOT(ISNUMBER(E1202)),TRUE,OR(E1202&lt;0,E1202&gt;999999999,ROUND(E1202,3)&lt;&gt;E1202))),"Invalid previous reading",IF(IF(NOT(ISNUMBER(F1202)),TRUE,OR(F1202&lt;0,F1202&gt;999999999,ROUND(F1202,3)&lt;&gt;F1202)),"Invalid last service",IF(AND(E1202&lt;&gt;"",D1202&lt;E1202),"Decreased reading",IF(F1202&gt;D1202,"Last service above current","")))))))))))))</x:f>
      </x:c>
      <x:c r="L1202" s="6" t="str">
        <x:f>IF(AND(NOT(COUNTA(A1202:F1202)=0),K1202=""),INDEX('Rules'!$C$7:$C$26,MATCH(SUBSTITUTE(SUBSTITUTE(SUBSTITUTE(SUBSTITUTE("type:"&amp;B1202,"%","%25"),"~","%7E"),"*","%2A"),"?","%3F"),'Rules'!$G$7:$G$26,0)),"")</x:f>
      </x:c>
      <x:c r="M1202" s="6" t="str">
        <x:f>IF(AND(NOT(COUNTA(A1202:F1202)=0),K1202=""),INDEX('Rules'!$D$7:$D$26,MATCH(SUBSTITUTE(SUBSTITUTE(SUBSTITUTE(SUBSTITUTE("type:"&amp;B1202,"%","%25"),"~","%7E"),"*","%2A"),"?","%3F"),'Rules'!$G$7:$G$26,0)),"")</x:f>
      </x:c>
      <x:c r="N1202" s="5" t="str">
        <x:f>IF(COUNTA(A1202:F1202)=0,"",SUBSTITUTE(SUBSTITUTE(SUBSTITUTE(SUBSTITUTE("id:"&amp;A1202,"%","%25"),"~","%7E"),"*","%2A"),"?","%3F"))</x:f>
      </x:c>
    </x:row>
    <x:row r="1203" ht="22" customHeight="1">
      <x:c r="A1203" s="3"/>
      <x:c r="B1203" s="3"/>
      <x:c r="C1203" s="3"/>
      <x:c r="D1203" s="4"/>
      <x:c r="E1203" s="4"/>
      <x:c r="F1203" s="4"/>
      <x:c r="G1203" s="5" t="str">
        <x:f>IF(COUNTA(A1203:F1203)=0,"",IF(K1203&lt;&gt;"","Review",IF(I1203&lt;0,"Overdue",IF(I1203=0,"Due now",IF(I1203&lt;=M1203,"Due soon","Not due")))))</x:f>
      </x:c>
      <x:c r="H1203" s="5" t="str">
        <x:f>IF(OR(COUNTA(A1203:F1203)=0,COUNTIFS('Rules'!$G$7:$G$26,"="&amp;(SUBSTITUTE(SUBSTITUTE(SUBSTITUTE(SUBSTITUTE("type:"&amp;B1203,"%","%25"),"~","%7E"),"*","%2A"),"?","%3F")))&lt;&gt;1),"",IF(OR(INDEX('Rules'!$B$7:$B$26,MATCH(SUBSTITUTE(SUBSTITUTE(SUBSTITUTE(SUBSTITUTE("type:"&amp;B1203,"%","%25"),"~","%7E"),"*","%2A"),"?","%3F"),'Rules'!$G$7:$G$26,0))="hours",INDEX('Rules'!$B$7:$B$26,MATCH(SUBSTITUTE(SUBSTITUTE(SUBSTITUTE(SUBSTITUTE("type:"&amp;B1203,"%","%25"),"~","%7E"),"*","%2A"),"?","%3F"),'Rules'!$G$7:$G$26,0))="km"),INDEX('Rules'!$B$7:$B$26,MATCH(SUBSTITUTE(SUBSTITUTE(SUBSTITUTE(SUBSTITUTE("type:"&amp;B1203,"%","%25"),"~","%7E"),"*","%2A"),"?","%3F"),'Rules'!$G$7:$G$26,0)),""))</x:f>
      </x:c>
      <x:c r="I1203" s="6" t="str">
        <x:f>IF(AND(NOT(COUNTA(A1203:F1203)=0),K1203=""),ROUND(J1203-D1203,3),"")</x:f>
      </x:c>
      <x:c r="J1203" s="6" t="str">
        <x:f>IF(AND(NOT(COUNTA(A1203:F1203)=0),K1203=""),ROUND(F1203+L1203,3),"")</x:f>
      </x:c>
      <x:c r="K1203" s="5" t="str">
        <x:f>IF(COUNTA(A1203:F1203)=0,"",IF(A1203="","Missing equipment ID",IF(COUNTIFS($N$8:$N$2007,"="&amp;N1203)&gt;1,"Duplicate equipment ID",IF(B1203="","Missing type",IF(COUNTIFS('Rules'!$G$7:$G$26,"="&amp;(SUBSTITUTE(SUBSTITUTE(SUBSTITUTE(SUBSTITUTE("type:"&amp;B1203,"%","%25"),"~","%7E"),"*","%2A"),"?","%3F")))=0,"Unknown type",IF(COUNTIFS('Rules'!$G$7:$G$26,"="&amp;(SUBSTITUTE(SUBSTITUTE(SUBSTITUTE(SUBSTITUTE("type:"&amp;B1203,"%","%25"),"~","%7E"),"*","%2A"),"?","%3F")))&gt;1,"Duplicate type",IF(INDEX('Rules'!$F$7:$F$26,MATCH(SUBSTITUTE(SUBSTITUTE(SUBSTITUTE(SUBSTITUTE("type:"&amp;B1203,"%","%25"),"~","%7E"),"*","%2A"),"?","%3F"),'Rules'!$G$7:$G$26,0))&lt;&gt;"",INDEX('Rules'!$F$7:$F$26,MATCH(SUBSTITUTE(SUBSTITUTE(SUBSTITUTE(SUBSTITUTE("type:"&amp;B1203,"%","%25"),"~","%7E"),"*","%2A"),"?","%3F"),'Rules'!$G$7:$G$26,0)),IF(AND(C1203&lt;&gt;"",C1203&lt;&gt;INDEX('Rules'!$B$7:$B$26,MATCH(SUBSTITUTE(SUBSTITUTE(SUBSTITUTE(SUBSTITUTE("type:"&amp;B1203,"%","%25"),"~","%7E"),"*","%2A"),"?","%3F"),'Rules'!$G$7:$G$26,0))),"Unit mismatch",IF(IF(NOT(ISNUMBER(D1203)),TRUE,OR(D1203&lt;0,D1203&gt;999999999,ROUND(D1203,3)&lt;&gt;D1203)),"Invalid current reading",IF(AND(E1203&lt;&gt;"",IF(NOT(ISNUMBER(E1203)),TRUE,OR(E1203&lt;0,E1203&gt;999999999,ROUND(E1203,3)&lt;&gt;E1203))),"Invalid previous reading",IF(IF(NOT(ISNUMBER(F1203)),TRUE,OR(F1203&lt;0,F1203&gt;999999999,ROUND(F1203,3)&lt;&gt;F1203)),"Invalid last service",IF(AND(E1203&lt;&gt;"",D1203&lt;E1203),"Decreased reading",IF(F1203&gt;D1203,"Last service above current","")))))))))))))</x:f>
      </x:c>
      <x:c r="L1203" s="6" t="str">
        <x:f>IF(AND(NOT(COUNTA(A1203:F1203)=0),K1203=""),INDEX('Rules'!$C$7:$C$26,MATCH(SUBSTITUTE(SUBSTITUTE(SUBSTITUTE(SUBSTITUTE("type:"&amp;B1203,"%","%25"),"~","%7E"),"*","%2A"),"?","%3F"),'Rules'!$G$7:$G$26,0)),"")</x:f>
      </x:c>
      <x:c r="M1203" s="6" t="str">
        <x:f>IF(AND(NOT(COUNTA(A1203:F1203)=0),K1203=""),INDEX('Rules'!$D$7:$D$26,MATCH(SUBSTITUTE(SUBSTITUTE(SUBSTITUTE(SUBSTITUTE("type:"&amp;B1203,"%","%25"),"~","%7E"),"*","%2A"),"?","%3F"),'Rules'!$G$7:$G$26,0)),"")</x:f>
      </x:c>
      <x:c r="N1203" s="5" t="str">
        <x:f>IF(COUNTA(A1203:F1203)=0,"",SUBSTITUTE(SUBSTITUTE(SUBSTITUTE(SUBSTITUTE("id:"&amp;A1203,"%","%25"),"~","%7E"),"*","%2A"),"?","%3F"))</x:f>
      </x:c>
    </x:row>
    <x:row r="1204" ht="22" customHeight="1">
      <x:c r="A1204" s="3"/>
      <x:c r="B1204" s="3"/>
      <x:c r="C1204" s="3"/>
      <x:c r="D1204" s="4"/>
      <x:c r="E1204" s="4"/>
      <x:c r="F1204" s="4"/>
      <x:c r="G1204" s="5" t="str">
        <x:f>IF(COUNTA(A1204:F1204)=0,"",IF(K1204&lt;&gt;"","Review",IF(I1204&lt;0,"Overdue",IF(I1204=0,"Due now",IF(I1204&lt;=M1204,"Due soon","Not due")))))</x:f>
      </x:c>
      <x:c r="H1204" s="5" t="str">
        <x:f>IF(OR(COUNTA(A1204:F1204)=0,COUNTIFS('Rules'!$G$7:$G$26,"="&amp;(SUBSTITUTE(SUBSTITUTE(SUBSTITUTE(SUBSTITUTE("type:"&amp;B1204,"%","%25"),"~","%7E"),"*","%2A"),"?","%3F")))&lt;&gt;1),"",IF(OR(INDEX('Rules'!$B$7:$B$26,MATCH(SUBSTITUTE(SUBSTITUTE(SUBSTITUTE(SUBSTITUTE("type:"&amp;B1204,"%","%25"),"~","%7E"),"*","%2A"),"?","%3F"),'Rules'!$G$7:$G$26,0))="hours",INDEX('Rules'!$B$7:$B$26,MATCH(SUBSTITUTE(SUBSTITUTE(SUBSTITUTE(SUBSTITUTE("type:"&amp;B1204,"%","%25"),"~","%7E"),"*","%2A"),"?","%3F"),'Rules'!$G$7:$G$26,0))="km"),INDEX('Rules'!$B$7:$B$26,MATCH(SUBSTITUTE(SUBSTITUTE(SUBSTITUTE(SUBSTITUTE("type:"&amp;B1204,"%","%25"),"~","%7E"),"*","%2A"),"?","%3F"),'Rules'!$G$7:$G$26,0)),""))</x:f>
      </x:c>
      <x:c r="I1204" s="6" t="str">
        <x:f>IF(AND(NOT(COUNTA(A1204:F1204)=0),K1204=""),ROUND(J1204-D1204,3),"")</x:f>
      </x:c>
      <x:c r="J1204" s="6" t="str">
        <x:f>IF(AND(NOT(COUNTA(A1204:F1204)=0),K1204=""),ROUND(F1204+L1204,3),"")</x:f>
      </x:c>
      <x:c r="K1204" s="5" t="str">
        <x:f>IF(COUNTA(A1204:F1204)=0,"",IF(A1204="","Missing equipment ID",IF(COUNTIFS($N$8:$N$2007,"="&amp;N1204)&gt;1,"Duplicate equipment ID",IF(B1204="","Missing type",IF(COUNTIFS('Rules'!$G$7:$G$26,"="&amp;(SUBSTITUTE(SUBSTITUTE(SUBSTITUTE(SUBSTITUTE("type:"&amp;B1204,"%","%25"),"~","%7E"),"*","%2A"),"?","%3F")))=0,"Unknown type",IF(COUNTIFS('Rules'!$G$7:$G$26,"="&amp;(SUBSTITUTE(SUBSTITUTE(SUBSTITUTE(SUBSTITUTE("type:"&amp;B1204,"%","%25"),"~","%7E"),"*","%2A"),"?","%3F")))&gt;1,"Duplicate type",IF(INDEX('Rules'!$F$7:$F$26,MATCH(SUBSTITUTE(SUBSTITUTE(SUBSTITUTE(SUBSTITUTE("type:"&amp;B1204,"%","%25"),"~","%7E"),"*","%2A"),"?","%3F"),'Rules'!$G$7:$G$26,0))&lt;&gt;"",INDEX('Rules'!$F$7:$F$26,MATCH(SUBSTITUTE(SUBSTITUTE(SUBSTITUTE(SUBSTITUTE("type:"&amp;B1204,"%","%25"),"~","%7E"),"*","%2A"),"?","%3F"),'Rules'!$G$7:$G$26,0)),IF(AND(C1204&lt;&gt;"",C1204&lt;&gt;INDEX('Rules'!$B$7:$B$26,MATCH(SUBSTITUTE(SUBSTITUTE(SUBSTITUTE(SUBSTITUTE("type:"&amp;B1204,"%","%25"),"~","%7E"),"*","%2A"),"?","%3F"),'Rules'!$G$7:$G$26,0))),"Unit mismatch",IF(IF(NOT(ISNUMBER(D1204)),TRUE,OR(D1204&lt;0,D1204&gt;999999999,ROUND(D1204,3)&lt;&gt;D1204)),"Invalid current reading",IF(AND(E1204&lt;&gt;"",IF(NOT(ISNUMBER(E1204)),TRUE,OR(E1204&lt;0,E1204&gt;999999999,ROUND(E1204,3)&lt;&gt;E1204))),"Invalid previous reading",IF(IF(NOT(ISNUMBER(F1204)),TRUE,OR(F1204&lt;0,F1204&gt;999999999,ROUND(F1204,3)&lt;&gt;F1204)),"Invalid last service",IF(AND(E1204&lt;&gt;"",D1204&lt;E1204),"Decreased reading",IF(F1204&gt;D1204,"Last service above current","")))))))))))))</x:f>
      </x:c>
      <x:c r="L1204" s="6" t="str">
        <x:f>IF(AND(NOT(COUNTA(A1204:F1204)=0),K1204=""),INDEX('Rules'!$C$7:$C$26,MATCH(SUBSTITUTE(SUBSTITUTE(SUBSTITUTE(SUBSTITUTE("type:"&amp;B1204,"%","%25"),"~","%7E"),"*","%2A"),"?","%3F"),'Rules'!$G$7:$G$26,0)),"")</x:f>
      </x:c>
      <x:c r="M1204" s="6" t="str">
        <x:f>IF(AND(NOT(COUNTA(A1204:F1204)=0),K1204=""),INDEX('Rules'!$D$7:$D$26,MATCH(SUBSTITUTE(SUBSTITUTE(SUBSTITUTE(SUBSTITUTE("type:"&amp;B1204,"%","%25"),"~","%7E"),"*","%2A"),"?","%3F"),'Rules'!$G$7:$G$26,0)),"")</x:f>
      </x:c>
      <x:c r="N1204" s="5" t="str">
        <x:f>IF(COUNTA(A1204:F1204)=0,"",SUBSTITUTE(SUBSTITUTE(SUBSTITUTE(SUBSTITUTE("id:"&amp;A1204,"%","%25"),"~","%7E"),"*","%2A"),"?","%3F"))</x:f>
      </x:c>
    </x:row>
    <x:row r="1205" ht="22" customHeight="1">
      <x:c r="A1205" s="3"/>
      <x:c r="B1205" s="3"/>
      <x:c r="C1205" s="3"/>
      <x:c r="D1205" s="4"/>
      <x:c r="E1205" s="4"/>
      <x:c r="F1205" s="4"/>
      <x:c r="G1205" s="5" t="str">
        <x:f>IF(COUNTA(A1205:F1205)=0,"",IF(K1205&lt;&gt;"","Review",IF(I1205&lt;0,"Overdue",IF(I1205=0,"Due now",IF(I1205&lt;=M1205,"Due soon","Not due")))))</x:f>
      </x:c>
      <x:c r="H1205" s="5" t="str">
        <x:f>IF(OR(COUNTA(A1205:F1205)=0,COUNTIFS('Rules'!$G$7:$G$26,"="&amp;(SUBSTITUTE(SUBSTITUTE(SUBSTITUTE(SUBSTITUTE("type:"&amp;B1205,"%","%25"),"~","%7E"),"*","%2A"),"?","%3F")))&lt;&gt;1),"",IF(OR(INDEX('Rules'!$B$7:$B$26,MATCH(SUBSTITUTE(SUBSTITUTE(SUBSTITUTE(SUBSTITUTE("type:"&amp;B1205,"%","%25"),"~","%7E"),"*","%2A"),"?","%3F"),'Rules'!$G$7:$G$26,0))="hours",INDEX('Rules'!$B$7:$B$26,MATCH(SUBSTITUTE(SUBSTITUTE(SUBSTITUTE(SUBSTITUTE("type:"&amp;B1205,"%","%25"),"~","%7E"),"*","%2A"),"?","%3F"),'Rules'!$G$7:$G$26,0))="km"),INDEX('Rules'!$B$7:$B$26,MATCH(SUBSTITUTE(SUBSTITUTE(SUBSTITUTE(SUBSTITUTE("type:"&amp;B1205,"%","%25"),"~","%7E"),"*","%2A"),"?","%3F"),'Rules'!$G$7:$G$26,0)),""))</x:f>
      </x:c>
      <x:c r="I1205" s="6" t="str">
        <x:f>IF(AND(NOT(COUNTA(A1205:F1205)=0),K1205=""),ROUND(J1205-D1205,3),"")</x:f>
      </x:c>
      <x:c r="J1205" s="6" t="str">
        <x:f>IF(AND(NOT(COUNTA(A1205:F1205)=0),K1205=""),ROUND(F1205+L1205,3),"")</x:f>
      </x:c>
      <x:c r="K1205" s="5" t="str">
        <x:f>IF(COUNTA(A1205:F1205)=0,"",IF(A1205="","Missing equipment ID",IF(COUNTIFS($N$8:$N$2007,"="&amp;N1205)&gt;1,"Duplicate equipment ID",IF(B1205="","Missing type",IF(COUNTIFS('Rules'!$G$7:$G$26,"="&amp;(SUBSTITUTE(SUBSTITUTE(SUBSTITUTE(SUBSTITUTE("type:"&amp;B1205,"%","%25"),"~","%7E"),"*","%2A"),"?","%3F")))=0,"Unknown type",IF(COUNTIFS('Rules'!$G$7:$G$26,"="&amp;(SUBSTITUTE(SUBSTITUTE(SUBSTITUTE(SUBSTITUTE("type:"&amp;B1205,"%","%25"),"~","%7E"),"*","%2A"),"?","%3F")))&gt;1,"Duplicate type",IF(INDEX('Rules'!$F$7:$F$26,MATCH(SUBSTITUTE(SUBSTITUTE(SUBSTITUTE(SUBSTITUTE("type:"&amp;B1205,"%","%25"),"~","%7E"),"*","%2A"),"?","%3F"),'Rules'!$G$7:$G$26,0))&lt;&gt;"",INDEX('Rules'!$F$7:$F$26,MATCH(SUBSTITUTE(SUBSTITUTE(SUBSTITUTE(SUBSTITUTE("type:"&amp;B1205,"%","%25"),"~","%7E"),"*","%2A"),"?","%3F"),'Rules'!$G$7:$G$26,0)),IF(AND(C1205&lt;&gt;"",C1205&lt;&gt;INDEX('Rules'!$B$7:$B$26,MATCH(SUBSTITUTE(SUBSTITUTE(SUBSTITUTE(SUBSTITUTE("type:"&amp;B1205,"%","%25"),"~","%7E"),"*","%2A"),"?","%3F"),'Rules'!$G$7:$G$26,0))),"Unit mismatch",IF(IF(NOT(ISNUMBER(D1205)),TRUE,OR(D1205&lt;0,D1205&gt;999999999,ROUND(D1205,3)&lt;&gt;D1205)),"Invalid current reading",IF(AND(E1205&lt;&gt;"",IF(NOT(ISNUMBER(E1205)),TRUE,OR(E1205&lt;0,E1205&gt;999999999,ROUND(E1205,3)&lt;&gt;E1205))),"Invalid previous reading",IF(IF(NOT(ISNUMBER(F1205)),TRUE,OR(F1205&lt;0,F1205&gt;999999999,ROUND(F1205,3)&lt;&gt;F1205)),"Invalid last service",IF(AND(E1205&lt;&gt;"",D1205&lt;E1205),"Decreased reading",IF(F1205&gt;D1205,"Last service above current","")))))))))))))</x:f>
      </x:c>
      <x:c r="L1205" s="6" t="str">
        <x:f>IF(AND(NOT(COUNTA(A1205:F1205)=0),K1205=""),INDEX('Rules'!$C$7:$C$26,MATCH(SUBSTITUTE(SUBSTITUTE(SUBSTITUTE(SUBSTITUTE("type:"&amp;B1205,"%","%25"),"~","%7E"),"*","%2A"),"?","%3F"),'Rules'!$G$7:$G$26,0)),"")</x:f>
      </x:c>
      <x:c r="M1205" s="6" t="str">
        <x:f>IF(AND(NOT(COUNTA(A1205:F1205)=0),K1205=""),INDEX('Rules'!$D$7:$D$26,MATCH(SUBSTITUTE(SUBSTITUTE(SUBSTITUTE(SUBSTITUTE("type:"&amp;B1205,"%","%25"),"~","%7E"),"*","%2A"),"?","%3F"),'Rules'!$G$7:$G$26,0)),"")</x:f>
      </x:c>
      <x:c r="N1205" s="5" t="str">
        <x:f>IF(COUNTA(A1205:F1205)=0,"",SUBSTITUTE(SUBSTITUTE(SUBSTITUTE(SUBSTITUTE("id:"&amp;A1205,"%","%25"),"~","%7E"),"*","%2A"),"?","%3F"))</x:f>
      </x:c>
    </x:row>
    <x:row r="1206" ht="22" customHeight="1">
      <x:c r="A1206" s="3"/>
      <x:c r="B1206" s="3"/>
      <x:c r="C1206" s="3"/>
      <x:c r="D1206" s="4"/>
      <x:c r="E1206" s="4"/>
      <x:c r="F1206" s="4"/>
      <x:c r="G1206" s="5" t="str">
        <x:f>IF(COUNTA(A1206:F1206)=0,"",IF(K1206&lt;&gt;"","Review",IF(I1206&lt;0,"Overdue",IF(I1206=0,"Due now",IF(I1206&lt;=M1206,"Due soon","Not due")))))</x:f>
      </x:c>
      <x:c r="H1206" s="5" t="str">
        <x:f>IF(OR(COUNTA(A1206:F1206)=0,COUNTIFS('Rules'!$G$7:$G$26,"="&amp;(SUBSTITUTE(SUBSTITUTE(SUBSTITUTE(SUBSTITUTE("type:"&amp;B1206,"%","%25"),"~","%7E"),"*","%2A"),"?","%3F")))&lt;&gt;1),"",IF(OR(INDEX('Rules'!$B$7:$B$26,MATCH(SUBSTITUTE(SUBSTITUTE(SUBSTITUTE(SUBSTITUTE("type:"&amp;B1206,"%","%25"),"~","%7E"),"*","%2A"),"?","%3F"),'Rules'!$G$7:$G$26,0))="hours",INDEX('Rules'!$B$7:$B$26,MATCH(SUBSTITUTE(SUBSTITUTE(SUBSTITUTE(SUBSTITUTE("type:"&amp;B1206,"%","%25"),"~","%7E"),"*","%2A"),"?","%3F"),'Rules'!$G$7:$G$26,0))="km"),INDEX('Rules'!$B$7:$B$26,MATCH(SUBSTITUTE(SUBSTITUTE(SUBSTITUTE(SUBSTITUTE("type:"&amp;B1206,"%","%25"),"~","%7E"),"*","%2A"),"?","%3F"),'Rules'!$G$7:$G$26,0)),""))</x:f>
      </x:c>
      <x:c r="I1206" s="6" t="str">
        <x:f>IF(AND(NOT(COUNTA(A1206:F1206)=0),K1206=""),ROUND(J1206-D1206,3),"")</x:f>
      </x:c>
      <x:c r="J1206" s="6" t="str">
        <x:f>IF(AND(NOT(COUNTA(A1206:F1206)=0),K1206=""),ROUND(F1206+L1206,3),"")</x:f>
      </x:c>
      <x:c r="K1206" s="5" t="str">
        <x:f>IF(COUNTA(A1206:F1206)=0,"",IF(A1206="","Missing equipment ID",IF(COUNTIFS($N$8:$N$2007,"="&amp;N1206)&gt;1,"Duplicate equipment ID",IF(B1206="","Missing type",IF(COUNTIFS('Rules'!$G$7:$G$26,"="&amp;(SUBSTITUTE(SUBSTITUTE(SUBSTITUTE(SUBSTITUTE("type:"&amp;B1206,"%","%25"),"~","%7E"),"*","%2A"),"?","%3F")))=0,"Unknown type",IF(COUNTIFS('Rules'!$G$7:$G$26,"="&amp;(SUBSTITUTE(SUBSTITUTE(SUBSTITUTE(SUBSTITUTE("type:"&amp;B1206,"%","%25"),"~","%7E"),"*","%2A"),"?","%3F")))&gt;1,"Duplicate type",IF(INDEX('Rules'!$F$7:$F$26,MATCH(SUBSTITUTE(SUBSTITUTE(SUBSTITUTE(SUBSTITUTE("type:"&amp;B1206,"%","%25"),"~","%7E"),"*","%2A"),"?","%3F"),'Rules'!$G$7:$G$26,0))&lt;&gt;"",INDEX('Rules'!$F$7:$F$26,MATCH(SUBSTITUTE(SUBSTITUTE(SUBSTITUTE(SUBSTITUTE("type:"&amp;B1206,"%","%25"),"~","%7E"),"*","%2A"),"?","%3F"),'Rules'!$G$7:$G$26,0)),IF(AND(C1206&lt;&gt;"",C1206&lt;&gt;INDEX('Rules'!$B$7:$B$26,MATCH(SUBSTITUTE(SUBSTITUTE(SUBSTITUTE(SUBSTITUTE("type:"&amp;B1206,"%","%25"),"~","%7E"),"*","%2A"),"?","%3F"),'Rules'!$G$7:$G$26,0))),"Unit mismatch",IF(IF(NOT(ISNUMBER(D1206)),TRUE,OR(D1206&lt;0,D1206&gt;999999999,ROUND(D1206,3)&lt;&gt;D1206)),"Invalid current reading",IF(AND(E1206&lt;&gt;"",IF(NOT(ISNUMBER(E1206)),TRUE,OR(E1206&lt;0,E1206&gt;999999999,ROUND(E1206,3)&lt;&gt;E1206))),"Invalid previous reading",IF(IF(NOT(ISNUMBER(F1206)),TRUE,OR(F1206&lt;0,F1206&gt;999999999,ROUND(F1206,3)&lt;&gt;F1206)),"Invalid last service",IF(AND(E1206&lt;&gt;"",D1206&lt;E1206),"Decreased reading",IF(F1206&gt;D1206,"Last service above current","")))))))))))))</x:f>
      </x:c>
      <x:c r="L1206" s="6" t="str">
        <x:f>IF(AND(NOT(COUNTA(A1206:F1206)=0),K1206=""),INDEX('Rules'!$C$7:$C$26,MATCH(SUBSTITUTE(SUBSTITUTE(SUBSTITUTE(SUBSTITUTE("type:"&amp;B1206,"%","%25"),"~","%7E"),"*","%2A"),"?","%3F"),'Rules'!$G$7:$G$26,0)),"")</x:f>
      </x:c>
      <x:c r="M1206" s="6" t="str">
        <x:f>IF(AND(NOT(COUNTA(A1206:F1206)=0),K1206=""),INDEX('Rules'!$D$7:$D$26,MATCH(SUBSTITUTE(SUBSTITUTE(SUBSTITUTE(SUBSTITUTE("type:"&amp;B1206,"%","%25"),"~","%7E"),"*","%2A"),"?","%3F"),'Rules'!$G$7:$G$26,0)),"")</x:f>
      </x:c>
      <x:c r="N1206" s="5" t="str">
        <x:f>IF(COUNTA(A1206:F1206)=0,"",SUBSTITUTE(SUBSTITUTE(SUBSTITUTE(SUBSTITUTE("id:"&amp;A1206,"%","%25"),"~","%7E"),"*","%2A"),"?","%3F"))</x:f>
      </x:c>
    </x:row>
    <x:row r="1207" ht="22" customHeight="1">
      <x:c r="A1207" s="3"/>
      <x:c r="B1207" s="3"/>
      <x:c r="C1207" s="3"/>
      <x:c r="D1207" s="4"/>
      <x:c r="E1207" s="4"/>
      <x:c r="F1207" s="4"/>
      <x:c r="G1207" s="5" t="str">
        <x:f>IF(COUNTA(A1207:F1207)=0,"",IF(K1207&lt;&gt;"","Review",IF(I1207&lt;0,"Overdue",IF(I1207=0,"Due now",IF(I1207&lt;=M1207,"Due soon","Not due")))))</x:f>
      </x:c>
      <x:c r="H1207" s="5" t="str">
        <x:f>IF(OR(COUNTA(A1207:F1207)=0,COUNTIFS('Rules'!$G$7:$G$26,"="&amp;(SUBSTITUTE(SUBSTITUTE(SUBSTITUTE(SUBSTITUTE("type:"&amp;B1207,"%","%25"),"~","%7E"),"*","%2A"),"?","%3F")))&lt;&gt;1),"",IF(OR(INDEX('Rules'!$B$7:$B$26,MATCH(SUBSTITUTE(SUBSTITUTE(SUBSTITUTE(SUBSTITUTE("type:"&amp;B1207,"%","%25"),"~","%7E"),"*","%2A"),"?","%3F"),'Rules'!$G$7:$G$26,0))="hours",INDEX('Rules'!$B$7:$B$26,MATCH(SUBSTITUTE(SUBSTITUTE(SUBSTITUTE(SUBSTITUTE("type:"&amp;B1207,"%","%25"),"~","%7E"),"*","%2A"),"?","%3F"),'Rules'!$G$7:$G$26,0))="km"),INDEX('Rules'!$B$7:$B$26,MATCH(SUBSTITUTE(SUBSTITUTE(SUBSTITUTE(SUBSTITUTE("type:"&amp;B1207,"%","%25"),"~","%7E"),"*","%2A"),"?","%3F"),'Rules'!$G$7:$G$26,0)),""))</x:f>
      </x:c>
      <x:c r="I1207" s="6" t="str">
        <x:f>IF(AND(NOT(COUNTA(A1207:F1207)=0),K1207=""),ROUND(J1207-D1207,3),"")</x:f>
      </x:c>
      <x:c r="J1207" s="6" t="str">
        <x:f>IF(AND(NOT(COUNTA(A1207:F1207)=0),K1207=""),ROUND(F1207+L1207,3),"")</x:f>
      </x:c>
      <x:c r="K1207" s="5" t="str">
        <x:f>IF(COUNTA(A1207:F1207)=0,"",IF(A1207="","Missing equipment ID",IF(COUNTIFS($N$8:$N$2007,"="&amp;N1207)&gt;1,"Duplicate equipment ID",IF(B1207="","Missing type",IF(COUNTIFS('Rules'!$G$7:$G$26,"="&amp;(SUBSTITUTE(SUBSTITUTE(SUBSTITUTE(SUBSTITUTE("type:"&amp;B1207,"%","%25"),"~","%7E"),"*","%2A"),"?","%3F")))=0,"Unknown type",IF(COUNTIFS('Rules'!$G$7:$G$26,"="&amp;(SUBSTITUTE(SUBSTITUTE(SUBSTITUTE(SUBSTITUTE("type:"&amp;B1207,"%","%25"),"~","%7E"),"*","%2A"),"?","%3F")))&gt;1,"Duplicate type",IF(INDEX('Rules'!$F$7:$F$26,MATCH(SUBSTITUTE(SUBSTITUTE(SUBSTITUTE(SUBSTITUTE("type:"&amp;B1207,"%","%25"),"~","%7E"),"*","%2A"),"?","%3F"),'Rules'!$G$7:$G$26,0))&lt;&gt;"",INDEX('Rules'!$F$7:$F$26,MATCH(SUBSTITUTE(SUBSTITUTE(SUBSTITUTE(SUBSTITUTE("type:"&amp;B1207,"%","%25"),"~","%7E"),"*","%2A"),"?","%3F"),'Rules'!$G$7:$G$26,0)),IF(AND(C1207&lt;&gt;"",C1207&lt;&gt;INDEX('Rules'!$B$7:$B$26,MATCH(SUBSTITUTE(SUBSTITUTE(SUBSTITUTE(SUBSTITUTE("type:"&amp;B1207,"%","%25"),"~","%7E"),"*","%2A"),"?","%3F"),'Rules'!$G$7:$G$26,0))),"Unit mismatch",IF(IF(NOT(ISNUMBER(D1207)),TRUE,OR(D1207&lt;0,D1207&gt;999999999,ROUND(D1207,3)&lt;&gt;D1207)),"Invalid current reading",IF(AND(E1207&lt;&gt;"",IF(NOT(ISNUMBER(E1207)),TRUE,OR(E1207&lt;0,E1207&gt;999999999,ROUND(E1207,3)&lt;&gt;E1207))),"Invalid previous reading",IF(IF(NOT(ISNUMBER(F1207)),TRUE,OR(F1207&lt;0,F1207&gt;999999999,ROUND(F1207,3)&lt;&gt;F1207)),"Invalid last service",IF(AND(E1207&lt;&gt;"",D1207&lt;E1207),"Decreased reading",IF(F1207&gt;D1207,"Last service above current","")))))))))))))</x:f>
      </x:c>
      <x:c r="L1207" s="6" t="str">
        <x:f>IF(AND(NOT(COUNTA(A1207:F1207)=0),K1207=""),INDEX('Rules'!$C$7:$C$26,MATCH(SUBSTITUTE(SUBSTITUTE(SUBSTITUTE(SUBSTITUTE("type:"&amp;B1207,"%","%25"),"~","%7E"),"*","%2A"),"?","%3F"),'Rules'!$G$7:$G$26,0)),"")</x:f>
      </x:c>
      <x:c r="M1207" s="6" t="str">
        <x:f>IF(AND(NOT(COUNTA(A1207:F1207)=0),K1207=""),INDEX('Rules'!$D$7:$D$26,MATCH(SUBSTITUTE(SUBSTITUTE(SUBSTITUTE(SUBSTITUTE("type:"&amp;B1207,"%","%25"),"~","%7E"),"*","%2A"),"?","%3F"),'Rules'!$G$7:$G$26,0)),"")</x:f>
      </x:c>
      <x:c r="N1207" s="5" t="str">
        <x:f>IF(COUNTA(A1207:F1207)=0,"",SUBSTITUTE(SUBSTITUTE(SUBSTITUTE(SUBSTITUTE("id:"&amp;A1207,"%","%25"),"~","%7E"),"*","%2A"),"?","%3F"))</x:f>
      </x:c>
    </x:row>
    <x:row r="1208" ht="22" customHeight="1">
      <x:c r="A1208" s="3"/>
      <x:c r="B1208" s="3"/>
      <x:c r="C1208" s="3"/>
      <x:c r="D1208" s="4"/>
      <x:c r="E1208" s="4"/>
      <x:c r="F1208" s="4"/>
      <x:c r="G1208" s="5" t="str">
        <x:f>IF(COUNTA(A1208:F1208)=0,"",IF(K1208&lt;&gt;"","Review",IF(I1208&lt;0,"Overdue",IF(I1208=0,"Due now",IF(I1208&lt;=M1208,"Due soon","Not due")))))</x:f>
      </x:c>
      <x:c r="H1208" s="5" t="str">
        <x:f>IF(OR(COUNTA(A1208:F1208)=0,COUNTIFS('Rules'!$G$7:$G$26,"="&amp;(SUBSTITUTE(SUBSTITUTE(SUBSTITUTE(SUBSTITUTE("type:"&amp;B1208,"%","%25"),"~","%7E"),"*","%2A"),"?","%3F")))&lt;&gt;1),"",IF(OR(INDEX('Rules'!$B$7:$B$26,MATCH(SUBSTITUTE(SUBSTITUTE(SUBSTITUTE(SUBSTITUTE("type:"&amp;B1208,"%","%25"),"~","%7E"),"*","%2A"),"?","%3F"),'Rules'!$G$7:$G$26,0))="hours",INDEX('Rules'!$B$7:$B$26,MATCH(SUBSTITUTE(SUBSTITUTE(SUBSTITUTE(SUBSTITUTE("type:"&amp;B1208,"%","%25"),"~","%7E"),"*","%2A"),"?","%3F"),'Rules'!$G$7:$G$26,0))="km"),INDEX('Rules'!$B$7:$B$26,MATCH(SUBSTITUTE(SUBSTITUTE(SUBSTITUTE(SUBSTITUTE("type:"&amp;B1208,"%","%25"),"~","%7E"),"*","%2A"),"?","%3F"),'Rules'!$G$7:$G$26,0)),""))</x:f>
      </x:c>
      <x:c r="I1208" s="6" t="str">
        <x:f>IF(AND(NOT(COUNTA(A1208:F1208)=0),K1208=""),ROUND(J1208-D1208,3),"")</x:f>
      </x:c>
      <x:c r="J1208" s="6" t="str">
        <x:f>IF(AND(NOT(COUNTA(A1208:F1208)=0),K1208=""),ROUND(F1208+L1208,3),"")</x:f>
      </x:c>
      <x:c r="K1208" s="5" t="str">
        <x:f>IF(COUNTA(A1208:F1208)=0,"",IF(A1208="","Missing equipment ID",IF(COUNTIFS($N$8:$N$2007,"="&amp;N1208)&gt;1,"Duplicate equipment ID",IF(B1208="","Missing type",IF(COUNTIFS('Rules'!$G$7:$G$26,"="&amp;(SUBSTITUTE(SUBSTITUTE(SUBSTITUTE(SUBSTITUTE("type:"&amp;B1208,"%","%25"),"~","%7E"),"*","%2A"),"?","%3F")))=0,"Unknown type",IF(COUNTIFS('Rules'!$G$7:$G$26,"="&amp;(SUBSTITUTE(SUBSTITUTE(SUBSTITUTE(SUBSTITUTE("type:"&amp;B1208,"%","%25"),"~","%7E"),"*","%2A"),"?","%3F")))&gt;1,"Duplicate type",IF(INDEX('Rules'!$F$7:$F$26,MATCH(SUBSTITUTE(SUBSTITUTE(SUBSTITUTE(SUBSTITUTE("type:"&amp;B1208,"%","%25"),"~","%7E"),"*","%2A"),"?","%3F"),'Rules'!$G$7:$G$26,0))&lt;&gt;"",INDEX('Rules'!$F$7:$F$26,MATCH(SUBSTITUTE(SUBSTITUTE(SUBSTITUTE(SUBSTITUTE("type:"&amp;B1208,"%","%25"),"~","%7E"),"*","%2A"),"?","%3F"),'Rules'!$G$7:$G$26,0)),IF(AND(C1208&lt;&gt;"",C1208&lt;&gt;INDEX('Rules'!$B$7:$B$26,MATCH(SUBSTITUTE(SUBSTITUTE(SUBSTITUTE(SUBSTITUTE("type:"&amp;B1208,"%","%25"),"~","%7E"),"*","%2A"),"?","%3F"),'Rules'!$G$7:$G$26,0))),"Unit mismatch",IF(IF(NOT(ISNUMBER(D1208)),TRUE,OR(D1208&lt;0,D1208&gt;999999999,ROUND(D1208,3)&lt;&gt;D1208)),"Invalid current reading",IF(AND(E1208&lt;&gt;"",IF(NOT(ISNUMBER(E1208)),TRUE,OR(E1208&lt;0,E1208&gt;999999999,ROUND(E1208,3)&lt;&gt;E1208))),"Invalid previous reading",IF(IF(NOT(ISNUMBER(F1208)),TRUE,OR(F1208&lt;0,F1208&gt;999999999,ROUND(F1208,3)&lt;&gt;F1208)),"Invalid last service",IF(AND(E1208&lt;&gt;"",D1208&lt;E1208),"Decreased reading",IF(F1208&gt;D1208,"Last service above current","")))))))))))))</x:f>
      </x:c>
      <x:c r="L1208" s="6" t="str">
        <x:f>IF(AND(NOT(COUNTA(A1208:F1208)=0),K1208=""),INDEX('Rules'!$C$7:$C$26,MATCH(SUBSTITUTE(SUBSTITUTE(SUBSTITUTE(SUBSTITUTE("type:"&amp;B1208,"%","%25"),"~","%7E"),"*","%2A"),"?","%3F"),'Rules'!$G$7:$G$26,0)),"")</x:f>
      </x:c>
      <x:c r="M1208" s="6" t="str">
        <x:f>IF(AND(NOT(COUNTA(A1208:F1208)=0),K1208=""),INDEX('Rules'!$D$7:$D$26,MATCH(SUBSTITUTE(SUBSTITUTE(SUBSTITUTE(SUBSTITUTE("type:"&amp;B1208,"%","%25"),"~","%7E"),"*","%2A"),"?","%3F"),'Rules'!$G$7:$G$26,0)),"")</x:f>
      </x:c>
      <x:c r="N1208" s="5" t="str">
        <x:f>IF(COUNTA(A1208:F1208)=0,"",SUBSTITUTE(SUBSTITUTE(SUBSTITUTE(SUBSTITUTE("id:"&amp;A1208,"%","%25"),"~","%7E"),"*","%2A"),"?","%3F"))</x:f>
      </x:c>
    </x:row>
    <x:row r="1209" ht="22" customHeight="1">
      <x:c r="A1209" s="3"/>
      <x:c r="B1209" s="3"/>
      <x:c r="C1209" s="3"/>
      <x:c r="D1209" s="4"/>
      <x:c r="E1209" s="4"/>
      <x:c r="F1209" s="4"/>
      <x:c r="G1209" s="5" t="str">
        <x:f>IF(COUNTA(A1209:F1209)=0,"",IF(K1209&lt;&gt;"","Review",IF(I1209&lt;0,"Overdue",IF(I1209=0,"Due now",IF(I1209&lt;=M1209,"Due soon","Not due")))))</x:f>
      </x:c>
      <x:c r="H1209" s="5" t="str">
        <x:f>IF(OR(COUNTA(A1209:F1209)=0,COUNTIFS('Rules'!$G$7:$G$26,"="&amp;(SUBSTITUTE(SUBSTITUTE(SUBSTITUTE(SUBSTITUTE("type:"&amp;B1209,"%","%25"),"~","%7E"),"*","%2A"),"?","%3F")))&lt;&gt;1),"",IF(OR(INDEX('Rules'!$B$7:$B$26,MATCH(SUBSTITUTE(SUBSTITUTE(SUBSTITUTE(SUBSTITUTE("type:"&amp;B1209,"%","%25"),"~","%7E"),"*","%2A"),"?","%3F"),'Rules'!$G$7:$G$26,0))="hours",INDEX('Rules'!$B$7:$B$26,MATCH(SUBSTITUTE(SUBSTITUTE(SUBSTITUTE(SUBSTITUTE("type:"&amp;B1209,"%","%25"),"~","%7E"),"*","%2A"),"?","%3F"),'Rules'!$G$7:$G$26,0))="km"),INDEX('Rules'!$B$7:$B$26,MATCH(SUBSTITUTE(SUBSTITUTE(SUBSTITUTE(SUBSTITUTE("type:"&amp;B1209,"%","%25"),"~","%7E"),"*","%2A"),"?","%3F"),'Rules'!$G$7:$G$26,0)),""))</x:f>
      </x:c>
      <x:c r="I1209" s="6" t="str">
        <x:f>IF(AND(NOT(COUNTA(A1209:F1209)=0),K1209=""),ROUND(J1209-D1209,3),"")</x:f>
      </x:c>
      <x:c r="J1209" s="6" t="str">
        <x:f>IF(AND(NOT(COUNTA(A1209:F1209)=0),K1209=""),ROUND(F1209+L1209,3),"")</x:f>
      </x:c>
      <x:c r="K1209" s="5" t="str">
        <x:f>IF(COUNTA(A1209:F1209)=0,"",IF(A1209="","Missing equipment ID",IF(COUNTIFS($N$8:$N$2007,"="&amp;N1209)&gt;1,"Duplicate equipment ID",IF(B1209="","Missing type",IF(COUNTIFS('Rules'!$G$7:$G$26,"="&amp;(SUBSTITUTE(SUBSTITUTE(SUBSTITUTE(SUBSTITUTE("type:"&amp;B1209,"%","%25"),"~","%7E"),"*","%2A"),"?","%3F")))=0,"Unknown type",IF(COUNTIFS('Rules'!$G$7:$G$26,"="&amp;(SUBSTITUTE(SUBSTITUTE(SUBSTITUTE(SUBSTITUTE("type:"&amp;B1209,"%","%25"),"~","%7E"),"*","%2A"),"?","%3F")))&gt;1,"Duplicate type",IF(INDEX('Rules'!$F$7:$F$26,MATCH(SUBSTITUTE(SUBSTITUTE(SUBSTITUTE(SUBSTITUTE("type:"&amp;B1209,"%","%25"),"~","%7E"),"*","%2A"),"?","%3F"),'Rules'!$G$7:$G$26,0))&lt;&gt;"",INDEX('Rules'!$F$7:$F$26,MATCH(SUBSTITUTE(SUBSTITUTE(SUBSTITUTE(SUBSTITUTE("type:"&amp;B1209,"%","%25"),"~","%7E"),"*","%2A"),"?","%3F"),'Rules'!$G$7:$G$26,0)),IF(AND(C1209&lt;&gt;"",C1209&lt;&gt;INDEX('Rules'!$B$7:$B$26,MATCH(SUBSTITUTE(SUBSTITUTE(SUBSTITUTE(SUBSTITUTE("type:"&amp;B1209,"%","%25"),"~","%7E"),"*","%2A"),"?","%3F"),'Rules'!$G$7:$G$26,0))),"Unit mismatch",IF(IF(NOT(ISNUMBER(D1209)),TRUE,OR(D1209&lt;0,D1209&gt;999999999,ROUND(D1209,3)&lt;&gt;D1209)),"Invalid current reading",IF(AND(E1209&lt;&gt;"",IF(NOT(ISNUMBER(E1209)),TRUE,OR(E1209&lt;0,E1209&gt;999999999,ROUND(E1209,3)&lt;&gt;E1209))),"Invalid previous reading",IF(IF(NOT(ISNUMBER(F1209)),TRUE,OR(F1209&lt;0,F1209&gt;999999999,ROUND(F1209,3)&lt;&gt;F1209)),"Invalid last service",IF(AND(E1209&lt;&gt;"",D1209&lt;E1209),"Decreased reading",IF(F1209&gt;D1209,"Last service above current","")))))))))))))</x:f>
      </x:c>
      <x:c r="L1209" s="6" t="str">
        <x:f>IF(AND(NOT(COUNTA(A1209:F1209)=0),K1209=""),INDEX('Rules'!$C$7:$C$26,MATCH(SUBSTITUTE(SUBSTITUTE(SUBSTITUTE(SUBSTITUTE("type:"&amp;B1209,"%","%25"),"~","%7E"),"*","%2A"),"?","%3F"),'Rules'!$G$7:$G$26,0)),"")</x:f>
      </x:c>
      <x:c r="M1209" s="6" t="str">
        <x:f>IF(AND(NOT(COUNTA(A1209:F1209)=0),K1209=""),INDEX('Rules'!$D$7:$D$26,MATCH(SUBSTITUTE(SUBSTITUTE(SUBSTITUTE(SUBSTITUTE("type:"&amp;B1209,"%","%25"),"~","%7E"),"*","%2A"),"?","%3F"),'Rules'!$G$7:$G$26,0)),"")</x:f>
      </x:c>
      <x:c r="N1209" s="5" t="str">
        <x:f>IF(COUNTA(A1209:F1209)=0,"",SUBSTITUTE(SUBSTITUTE(SUBSTITUTE(SUBSTITUTE("id:"&amp;A1209,"%","%25"),"~","%7E"),"*","%2A"),"?","%3F"))</x:f>
      </x:c>
    </x:row>
    <x:row r="1210" ht="22" customHeight="1">
      <x:c r="A1210" s="3"/>
      <x:c r="B1210" s="3"/>
      <x:c r="C1210" s="3"/>
      <x:c r="D1210" s="4"/>
      <x:c r="E1210" s="4"/>
      <x:c r="F1210" s="4"/>
      <x:c r="G1210" s="5" t="str">
        <x:f>IF(COUNTA(A1210:F1210)=0,"",IF(K1210&lt;&gt;"","Review",IF(I1210&lt;0,"Overdue",IF(I1210=0,"Due now",IF(I1210&lt;=M1210,"Due soon","Not due")))))</x:f>
      </x:c>
      <x:c r="H1210" s="5" t="str">
        <x:f>IF(OR(COUNTA(A1210:F1210)=0,COUNTIFS('Rules'!$G$7:$G$26,"="&amp;(SUBSTITUTE(SUBSTITUTE(SUBSTITUTE(SUBSTITUTE("type:"&amp;B1210,"%","%25"),"~","%7E"),"*","%2A"),"?","%3F")))&lt;&gt;1),"",IF(OR(INDEX('Rules'!$B$7:$B$26,MATCH(SUBSTITUTE(SUBSTITUTE(SUBSTITUTE(SUBSTITUTE("type:"&amp;B1210,"%","%25"),"~","%7E"),"*","%2A"),"?","%3F"),'Rules'!$G$7:$G$26,0))="hours",INDEX('Rules'!$B$7:$B$26,MATCH(SUBSTITUTE(SUBSTITUTE(SUBSTITUTE(SUBSTITUTE("type:"&amp;B1210,"%","%25"),"~","%7E"),"*","%2A"),"?","%3F"),'Rules'!$G$7:$G$26,0))="km"),INDEX('Rules'!$B$7:$B$26,MATCH(SUBSTITUTE(SUBSTITUTE(SUBSTITUTE(SUBSTITUTE("type:"&amp;B1210,"%","%25"),"~","%7E"),"*","%2A"),"?","%3F"),'Rules'!$G$7:$G$26,0)),""))</x:f>
      </x:c>
      <x:c r="I1210" s="6" t="str">
        <x:f>IF(AND(NOT(COUNTA(A1210:F1210)=0),K1210=""),ROUND(J1210-D1210,3),"")</x:f>
      </x:c>
      <x:c r="J1210" s="6" t="str">
        <x:f>IF(AND(NOT(COUNTA(A1210:F1210)=0),K1210=""),ROUND(F1210+L1210,3),"")</x:f>
      </x:c>
      <x:c r="K1210" s="5" t="str">
        <x:f>IF(COUNTA(A1210:F1210)=0,"",IF(A1210="","Missing equipment ID",IF(COUNTIFS($N$8:$N$2007,"="&amp;N1210)&gt;1,"Duplicate equipment ID",IF(B1210="","Missing type",IF(COUNTIFS('Rules'!$G$7:$G$26,"="&amp;(SUBSTITUTE(SUBSTITUTE(SUBSTITUTE(SUBSTITUTE("type:"&amp;B1210,"%","%25"),"~","%7E"),"*","%2A"),"?","%3F")))=0,"Unknown type",IF(COUNTIFS('Rules'!$G$7:$G$26,"="&amp;(SUBSTITUTE(SUBSTITUTE(SUBSTITUTE(SUBSTITUTE("type:"&amp;B1210,"%","%25"),"~","%7E"),"*","%2A"),"?","%3F")))&gt;1,"Duplicate type",IF(INDEX('Rules'!$F$7:$F$26,MATCH(SUBSTITUTE(SUBSTITUTE(SUBSTITUTE(SUBSTITUTE("type:"&amp;B1210,"%","%25"),"~","%7E"),"*","%2A"),"?","%3F"),'Rules'!$G$7:$G$26,0))&lt;&gt;"",INDEX('Rules'!$F$7:$F$26,MATCH(SUBSTITUTE(SUBSTITUTE(SUBSTITUTE(SUBSTITUTE("type:"&amp;B1210,"%","%25"),"~","%7E"),"*","%2A"),"?","%3F"),'Rules'!$G$7:$G$26,0)),IF(AND(C1210&lt;&gt;"",C1210&lt;&gt;INDEX('Rules'!$B$7:$B$26,MATCH(SUBSTITUTE(SUBSTITUTE(SUBSTITUTE(SUBSTITUTE("type:"&amp;B1210,"%","%25"),"~","%7E"),"*","%2A"),"?","%3F"),'Rules'!$G$7:$G$26,0))),"Unit mismatch",IF(IF(NOT(ISNUMBER(D1210)),TRUE,OR(D1210&lt;0,D1210&gt;999999999,ROUND(D1210,3)&lt;&gt;D1210)),"Invalid current reading",IF(AND(E1210&lt;&gt;"",IF(NOT(ISNUMBER(E1210)),TRUE,OR(E1210&lt;0,E1210&gt;999999999,ROUND(E1210,3)&lt;&gt;E1210))),"Invalid previous reading",IF(IF(NOT(ISNUMBER(F1210)),TRUE,OR(F1210&lt;0,F1210&gt;999999999,ROUND(F1210,3)&lt;&gt;F1210)),"Invalid last service",IF(AND(E1210&lt;&gt;"",D1210&lt;E1210),"Decreased reading",IF(F1210&gt;D1210,"Last service above current","")))))))))))))</x:f>
      </x:c>
      <x:c r="L1210" s="6" t="str">
        <x:f>IF(AND(NOT(COUNTA(A1210:F1210)=0),K1210=""),INDEX('Rules'!$C$7:$C$26,MATCH(SUBSTITUTE(SUBSTITUTE(SUBSTITUTE(SUBSTITUTE("type:"&amp;B1210,"%","%25"),"~","%7E"),"*","%2A"),"?","%3F"),'Rules'!$G$7:$G$26,0)),"")</x:f>
      </x:c>
      <x:c r="M1210" s="6" t="str">
        <x:f>IF(AND(NOT(COUNTA(A1210:F1210)=0),K1210=""),INDEX('Rules'!$D$7:$D$26,MATCH(SUBSTITUTE(SUBSTITUTE(SUBSTITUTE(SUBSTITUTE("type:"&amp;B1210,"%","%25"),"~","%7E"),"*","%2A"),"?","%3F"),'Rules'!$G$7:$G$26,0)),"")</x:f>
      </x:c>
      <x:c r="N1210" s="5" t="str">
        <x:f>IF(COUNTA(A1210:F1210)=0,"",SUBSTITUTE(SUBSTITUTE(SUBSTITUTE(SUBSTITUTE("id:"&amp;A1210,"%","%25"),"~","%7E"),"*","%2A"),"?","%3F"))</x:f>
      </x:c>
    </x:row>
    <x:row r="1211" ht="22" customHeight="1">
      <x:c r="A1211" s="3"/>
      <x:c r="B1211" s="3"/>
      <x:c r="C1211" s="3"/>
      <x:c r="D1211" s="4"/>
      <x:c r="E1211" s="4"/>
      <x:c r="F1211" s="4"/>
      <x:c r="G1211" s="5" t="str">
        <x:f>IF(COUNTA(A1211:F1211)=0,"",IF(K1211&lt;&gt;"","Review",IF(I1211&lt;0,"Overdue",IF(I1211=0,"Due now",IF(I1211&lt;=M1211,"Due soon","Not due")))))</x:f>
      </x:c>
      <x:c r="H1211" s="5" t="str">
        <x:f>IF(OR(COUNTA(A1211:F1211)=0,COUNTIFS('Rules'!$G$7:$G$26,"="&amp;(SUBSTITUTE(SUBSTITUTE(SUBSTITUTE(SUBSTITUTE("type:"&amp;B1211,"%","%25"),"~","%7E"),"*","%2A"),"?","%3F")))&lt;&gt;1),"",IF(OR(INDEX('Rules'!$B$7:$B$26,MATCH(SUBSTITUTE(SUBSTITUTE(SUBSTITUTE(SUBSTITUTE("type:"&amp;B1211,"%","%25"),"~","%7E"),"*","%2A"),"?","%3F"),'Rules'!$G$7:$G$26,0))="hours",INDEX('Rules'!$B$7:$B$26,MATCH(SUBSTITUTE(SUBSTITUTE(SUBSTITUTE(SUBSTITUTE("type:"&amp;B1211,"%","%25"),"~","%7E"),"*","%2A"),"?","%3F"),'Rules'!$G$7:$G$26,0))="km"),INDEX('Rules'!$B$7:$B$26,MATCH(SUBSTITUTE(SUBSTITUTE(SUBSTITUTE(SUBSTITUTE("type:"&amp;B1211,"%","%25"),"~","%7E"),"*","%2A"),"?","%3F"),'Rules'!$G$7:$G$26,0)),""))</x:f>
      </x:c>
      <x:c r="I1211" s="6" t="str">
        <x:f>IF(AND(NOT(COUNTA(A1211:F1211)=0),K1211=""),ROUND(J1211-D1211,3),"")</x:f>
      </x:c>
      <x:c r="J1211" s="6" t="str">
        <x:f>IF(AND(NOT(COUNTA(A1211:F1211)=0),K1211=""),ROUND(F1211+L1211,3),"")</x:f>
      </x:c>
      <x:c r="K1211" s="5" t="str">
        <x:f>IF(COUNTA(A1211:F1211)=0,"",IF(A1211="","Missing equipment ID",IF(COUNTIFS($N$8:$N$2007,"="&amp;N1211)&gt;1,"Duplicate equipment ID",IF(B1211="","Missing type",IF(COUNTIFS('Rules'!$G$7:$G$26,"="&amp;(SUBSTITUTE(SUBSTITUTE(SUBSTITUTE(SUBSTITUTE("type:"&amp;B1211,"%","%25"),"~","%7E"),"*","%2A"),"?","%3F")))=0,"Unknown type",IF(COUNTIFS('Rules'!$G$7:$G$26,"="&amp;(SUBSTITUTE(SUBSTITUTE(SUBSTITUTE(SUBSTITUTE("type:"&amp;B1211,"%","%25"),"~","%7E"),"*","%2A"),"?","%3F")))&gt;1,"Duplicate type",IF(INDEX('Rules'!$F$7:$F$26,MATCH(SUBSTITUTE(SUBSTITUTE(SUBSTITUTE(SUBSTITUTE("type:"&amp;B1211,"%","%25"),"~","%7E"),"*","%2A"),"?","%3F"),'Rules'!$G$7:$G$26,0))&lt;&gt;"",INDEX('Rules'!$F$7:$F$26,MATCH(SUBSTITUTE(SUBSTITUTE(SUBSTITUTE(SUBSTITUTE("type:"&amp;B1211,"%","%25"),"~","%7E"),"*","%2A"),"?","%3F"),'Rules'!$G$7:$G$26,0)),IF(AND(C1211&lt;&gt;"",C1211&lt;&gt;INDEX('Rules'!$B$7:$B$26,MATCH(SUBSTITUTE(SUBSTITUTE(SUBSTITUTE(SUBSTITUTE("type:"&amp;B1211,"%","%25"),"~","%7E"),"*","%2A"),"?","%3F"),'Rules'!$G$7:$G$26,0))),"Unit mismatch",IF(IF(NOT(ISNUMBER(D1211)),TRUE,OR(D1211&lt;0,D1211&gt;999999999,ROUND(D1211,3)&lt;&gt;D1211)),"Invalid current reading",IF(AND(E1211&lt;&gt;"",IF(NOT(ISNUMBER(E1211)),TRUE,OR(E1211&lt;0,E1211&gt;999999999,ROUND(E1211,3)&lt;&gt;E1211))),"Invalid previous reading",IF(IF(NOT(ISNUMBER(F1211)),TRUE,OR(F1211&lt;0,F1211&gt;999999999,ROUND(F1211,3)&lt;&gt;F1211)),"Invalid last service",IF(AND(E1211&lt;&gt;"",D1211&lt;E1211),"Decreased reading",IF(F1211&gt;D1211,"Last service above current","")))))))))))))</x:f>
      </x:c>
      <x:c r="L1211" s="6" t="str">
        <x:f>IF(AND(NOT(COUNTA(A1211:F1211)=0),K1211=""),INDEX('Rules'!$C$7:$C$26,MATCH(SUBSTITUTE(SUBSTITUTE(SUBSTITUTE(SUBSTITUTE("type:"&amp;B1211,"%","%25"),"~","%7E"),"*","%2A"),"?","%3F"),'Rules'!$G$7:$G$26,0)),"")</x:f>
      </x:c>
      <x:c r="M1211" s="6" t="str">
        <x:f>IF(AND(NOT(COUNTA(A1211:F1211)=0),K1211=""),INDEX('Rules'!$D$7:$D$26,MATCH(SUBSTITUTE(SUBSTITUTE(SUBSTITUTE(SUBSTITUTE("type:"&amp;B1211,"%","%25"),"~","%7E"),"*","%2A"),"?","%3F"),'Rules'!$G$7:$G$26,0)),"")</x:f>
      </x:c>
      <x:c r="N1211" s="5" t="str">
        <x:f>IF(COUNTA(A1211:F1211)=0,"",SUBSTITUTE(SUBSTITUTE(SUBSTITUTE(SUBSTITUTE("id:"&amp;A1211,"%","%25"),"~","%7E"),"*","%2A"),"?","%3F"))</x:f>
      </x:c>
    </x:row>
    <x:row r="1212" ht="22" customHeight="1">
      <x:c r="A1212" s="3"/>
      <x:c r="B1212" s="3"/>
      <x:c r="C1212" s="3"/>
      <x:c r="D1212" s="4"/>
      <x:c r="E1212" s="4"/>
      <x:c r="F1212" s="4"/>
      <x:c r="G1212" s="5" t="str">
        <x:f>IF(COUNTA(A1212:F1212)=0,"",IF(K1212&lt;&gt;"","Review",IF(I1212&lt;0,"Overdue",IF(I1212=0,"Due now",IF(I1212&lt;=M1212,"Due soon","Not due")))))</x:f>
      </x:c>
      <x:c r="H1212" s="5" t="str">
        <x:f>IF(OR(COUNTA(A1212:F1212)=0,COUNTIFS('Rules'!$G$7:$G$26,"="&amp;(SUBSTITUTE(SUBSTITUTE(SUBSTITUTE(SUBSTITUTE("type:"&amp;B1212,"%","%25"),"~","%7E"),"*","%2A"),"?","%3F")))&lt;&gt;1),"",IF(OR(INDEX('Rules'!$B$7:$B$26,MATCH(SUBSTITUTE(SUBSTITUTE(SUBSTITUTE(SUBSTITUTE("type:"&amp;B1212,"%","%25"),"~","%7E"),"*","%2A"),"?","%3F"),'Rules'!$G$7:$G$26,0))="hours",INDEX('Rules'!$B$7:$B$26,MATCH(SUBSTITUTE(SUBSTITUTE(SUBSTITUTE(SUBSTITUTE("type:"&amp;B1212,"%","%25"),"~","%7E"),"*","%2A"),"?","%3F"),'Rules'!$G$7:$G$26,0))="km"),INDEX('Rules'!$B$7:$B$26,MATCH(SUBSTITUTE(SUBSTITUTE(SUBSTITUTE(SUBSTITUTE("type:"&amp;B1212,"%","%25"),"~","%7E"),"*","%2A"),"?","%3F"),'Rules'!$G$7:$G$26,0)),""))</x:f>
      </x:c>
      <x:c r="I1212" s="6" t="str">
        <x:f>IF(AND(NOT(COUNTA(A1212:F1212)=0),K1212=""),ROUND(J1212-D1212,3),"")</x:f>
      </x:c>
      <x:c r="J1212" s="6" t="str">
        <x:f>IF(AND(NOT(COUNTA(A1212:F1212)=0),K1212=""),ROUND(F1212+L1212,3),"")</x:f>
      </x:c>
      <x:c r="K1212" s="5" t="str">
        <x:f>IF(COUNTA(A1212:F1212)=0,"",IF(A1212="","Missing equipment ID",IF(COUNTIFS($N$8:$N$2007,"="&amp;N1212)&gt;1,"Duplicate equipment ID",IF(B1212="","Missing type",IF(COUNTIFS('Rules'!$G$7:$G$26,"="&amp;(SUBSTITUTE(SUBSTITUTE(SUBSTITUTE(SUBSTITUTE("type:"&amp;B1212,"%","%25"),"~","%7E"),"*","%2A"),"?","%3F")))=0,"Unknown type",IF(COUNTIFS('Rules'!$G$7:$G$26,"="&amp;(SUBSTITUTE(SUBSTITUTE(SUBSTITUTE(SUBSTITUTE("type:"&amp;B1212,"%","%25"),"~","%7E"),"*","%2A"),"?","%3F")))&gt;1,"Duplicate type",IF(INDEX('Rules'!$F$7:$F$26,MATCH(SUBSTITUTE(SUBSTITUTE(SUBSTITUTE(SUBSTITUTE("type:"&amp;B1212,"%","%25"),"~","%7E"),"*","%2A"),"?","%3F"),'Rules'!$G$7:$G$26,0))&lt;&gt;"",INDEX('Rules'!$F$7:$F$26,MATCH(SUBSTITUTE(SUBSTITUTE(SUBSTITUTE(SUBSTITUTE("type:"&amp;B1212,"%","%25"),"~","%7E"),"*","%2A"),"?","%3F"),'Rules'!$G$7:$G$26,0)),IF(AND(C1212&lt;&gt;"",C1212&lt;&gt;INDEX('Rules'!$B$7:$B$26,MATCH(SUBSTITUTE(SUBSTITUTE(SUBSTITUTE(SUBSTITUTE("type:"&amp;B1212,"%","%25"),"~","%7E"),"*","%2A"),"?","%3F"),'Rules'!$G$7:$G$26,0))),"Unit mismatch",IF(IF(NOT(ISNUMBER(D1212)),TRUE,OR(D1212&lt;0,D1212&gt;999999999,ROUND(D1212,3)&lt;&gt;D1212)),"Invalid current reading",IF(AND(E1212&lt;&gt;"",IF(NOT(ISNUMBER(E1212)),TRUE,OR(E1212&lt;0,E1212&gt;999999999,ROUND(E1212,3)&lt;&gt;E1212))),"Invalid previous reading",IF(IF(NOT(ISNUMBER(F1212)),TRUE,OR(F1212&lt;0,F1212&gt;999999999,ROUND(F1212,3)&lt;&gt;F1212)),"Invalid last service",IF(AND(E1212&lt;&gt;"",D1212&lt;E1212),"Decreased reading",IF(F1212&gt;D1212,"Last service above current","")))))))))))))</x:f>
      </x:c>
      <x:c r="L1212" s="6" t="str">
        <x:f>IF(AND(NOT(COUNTA(A1212:F1212)=0),K1212=""),INDEX('Rules'!$C$7:$C$26,MATCH(SUBSTITUTE(SUBSTITUTE(SUBSTITUTE(SUBSTITUTE("type:"&amp;B1212,"%","%25"),"~","%7E"),"*","%2A"),"?","%3F"),'Rules'!$G$7:$G$26,0)),"")</x:f>
      </x:c>
      <x:c r="M1212" s="6" t="str">
        <x:f>IF(AND(NOT(COUNTA(A1212:F1212)=0),K1212=""),INDEX('Rules'!$D$7:$D$26,MATCH(SUBSTITUTE(SUBSTITUTE(SUBSTITUTE(SUBSTITUTE("type:"&amp;B1212,"%","%25"),"~","%7E"),"*","%2A"),"?","%3F"),'Rules'!$G$7:$G$26,0)),"")</x:f>
      </x:c>
      <x:c r="N1212" s="5" t="str">
        <x:f>IF(COUNTA(A1212:F1212)=0,"",SUBSTITUTE(SUBSTITUTE(SUBSTITUTE(SUBSTITUTE("id:"&amp;A1212,"%","%25"),"~","%7E"),"*","%2A"),"?","%3F"))</x:f>
      </x:c>
    </x:row>
    <x:row r="1213" ht="22" customHeight="1">
      <x:c r="A1213" s="3"/>
      <x:c r="B1213" s="3"/>
      <x:c r="C1213" s="3"/>
      <x:c r="D1213" s="4"/>
      <x:c r="E1213" s="4"/>
      <x:c r="F1213" s="4"/>
      <x:c r="G1213" s="5" t="str">
        <x:f>IF(COUNTA(A1213:F1213)=0,"",IF(K1213&lt;&gt;"","Review",IF(I1213&lt;0,"Overdue",IF(I1213=0,"Due now",IF(I1213&lt;=M1213,"Due soon","Not due")))))</x:f>
      </x:c>
      <x:c r="H1213" s="5" t="str">
        <x:f>IF(OR(COUNTA(A1213:F1213)=0,COUNTIFS('Rules'!$G$7:$G$26,"="&amp;(SUBSTITUTE(SUBSTITUTE(SUBSTITUTE(SUBSTITUTE("type:"&amp;B1213,"%","%25"),"~","%7E"),"*","%2A"),"?","%3F")))&lt;&gt;1),"",IF(OR(INDEX('Rules'!$B$7:$B$26,MATCH(SUBSTITUTE(SUBSTITUTE(SUBSTITUTE(SUBSTITUTE("type:"&amp;B1213,"%","%25"),"~","%7E"),"*","%2A"),"?","%3F"),'Rules'!$G$7:$G$26,0))="hours",INDEX('Rules'!$B$7:$B$26,MATCH(SUBSTITUTE(SUBSTITUTE(SUBSTITUTE(SUBSTITUTE("type:"&amp;B1213,"%","%25"),"~","%7E"),"*","%2A"),"?","%3F"),'Rules'!$G$7:$G$26,0))="km"),INDEX('Rules'!$B$7:$B$26,MATCH(SUBSTITUTE(SUBSTITUTE(SUBSTITUTE(SUBSTITUTE("type:"&amp;B1213,"%","%25"),"~","%7E"),"*","%2A"),"?","%3F"),'Rules'!$G$7:$G$26,0)),""))</x:f>
      </x:c>
      <x:c r="I1213" s="6" t="str">
        <x:f>IF(AND(NOT(COUNTA(A1213:F1213)=0),K1213=""),ROUND(J1213-D1213,3),"")</x:f>
      </x:c>
      <x:c r="J1213" s="6" t="str">
        <x:f>IF(AND(NOT(COUNTA(A1213:F1213)=0),K1213=""),ROUND(F1213+L1213,3),"")</x:f>
      </x:c>
      <x:c r="K1213" s="5" t="str">
        <x:f>IF(COUNTA(A1213:F1213)=0,"",IF(A1213="","Missing equipment ID",IF(COUNTIFS($N$8:$N$2007,"="&amp;N1213)&gt;1,"Duplicate equipment ID",IF(B1213="","Missing type",IF(COUNTIFS('Rules'!$G$7:$G$26,"="&amp;(SUBSTITUTE(SUBSTITUTE(SUBSTITUTE(SUBSTITUTE("type:"&amp;B1213,"%","%25"),"~","%7E"),"*","%2A"),"?","%3F")))=0,"Unknown type",IF(COUNTIFS('Rules'!$G$7:$G$26,"="&amp;(SUBSTITUTE(SUBSTITUTE(SUBSTITUTE(SUBSTITUTE("type:"&amp;B1213,"%","%25"),"~","%7E"),"*","%2A"),"?","%3F")))&gt;1,"Duplicate type",IF(INDEX('Rules'!$F$7:$F$26,MATCH(SUBSTITUTE(SUBSTITUTE(SUBSTITUTE(SUBSTITUTE("type:"&amp;B1213,"%","%25"),"~","%7E"),"*","%2A"),"?","%3F"),'Rules'!$G$7:$G$26,0))&lt;&gt;"",INDEX('Rules'!$F$7:$F$26,MATCH(SUBSTITUTE(SUBSTITUTE(SUBSTITUTE(SUBSTITUTE("type:"&amp;B1213,"%","%25"),"~","%7E"),"*","%2A"),"?","%3F"),'Rules'!$G$7:$G$26,0)),IF(AND(C1213&lt;&gt;"",C1213&lt;&gt;INDEX('Rules'!$B$7:$B$26,MATCH(SUBSTITUTE(SUBSTITUTE(SUBSTITUTE(SUBSTITUTE("type:"&amp;B1213,"%","%25"),"~","%7E"),"*","%2A"),"?","%3F"),'Rules'!$G$7:$G$26,0))),"Unit mismatch",IF(IF(NOT(ISNUMBER(D1213)),TRUE,OR(D1213&lt;0,D1213&gt;999999999,ROUND(D1213,3)&lt;&gt;D1213)),"Invalid current reading",IF(AND(E1213&lt;&gt;"",IF(NOT(ISNUMBER(E1213)),TRUE,OR(E1213&lt;0,E1213&gt;999999999,ROUND(E1213,3)&lt;&gt;E1213))),"Invalid previous reading",IF(IF(NOT(ISNUMBER(F1213)),TRUE,OR(F1213&lt;0,F1213&gt;999999999,ROUND(F1213,3)&lt;&gt;F1213)),"Invalid last service",IF(AND(E1213&lt;&gt;"",D1213&lt;E1213),"Decreased reading",IF(F1213&gt;D1213,"Last service above current","")))))))))))))</x:f>
      </x:c>
      <x:c r="L1213" s="6" t="str">
        <x:f>IF(AND(NOT(COUNTA(A1213:F1213)=0),K1213=""),INDEX('Rules'!$C$7:$C$26,MATCH(SUBSTITUTE(SUBSTITUTE(SUBSTITUTE(SUBSTITUTE("type:"&amp;B1213,"%","%25"),"~","%7E"),"*","%2A"),"?","%3F"),'Rules'!$G$7:$G$26,0)),"")</x:f>
      </x:c>
      <x:c r="M1213" s="6" t="str">
        <x:f>IF(AND(NOT(COUNTA(A1213:F1213)=0),K1213=""),INDEX('Rules'!$D$7:$D$26,MATCH(SUBSTITUTE(SUBSTITUTE(SUBSTITUTE(SUBSTITUTE("type:"&amp;B1213,"%","%25"),"~","%7E"),"*","%2A"),"?","%3F"),'Rules'!$G$7:$G$26,0)),"")</x:f>
      </x:c>
      <x:c r="N1213" s="5" t="str">
        <x:f>IF(COUNTA(A1213:F1213)=0,"",SUBSTITUTE(SUBSTITUTE(SUBSTITUTE(SUBSTITUTE("id:"&amp;A1213,"%","%25"),"~","%7E"),"*","%2A"),"?","%3F"))</x:f>
      </x:c>
    </x:row>
    <x:row r="1214" ht="22" customHeight="1">
      <x:c r="A1214" s="3"/>
      <x:c r="B1214" s="3"/>
      <x:c r="C1214" s="3"/>
      <x:c r="D1214" s="4"/>
      <x:c r="E1214" s="4"/>
      <x:c r="F1214" s="4"/>
      <x:c r="G1214" s="5" t="str">
        <x:f>IF(COUNTA(A1214:F1214)=0,"",IF(K1214&lt;&gt;"","Review",IF(I1214&lt;0,"Overdue",IF(I1214=0,"Due now",IF(I1214&lt;=M1214,"Due soon","Not due")))))</x:f>
      </x:c>
      <x:c r="H1214" s="5" t="str">
        <x:f>IF(OR(COUNTA(A1214:F1214)=0,COUNTIFS('Rules'!$G$7:$G$26,"="&amp;(SUBSTITUTE(SUBSTITUTE(SUBSTITUTE(SUBSTITUTE("type:"&amp;B1214,"%","%25"),"~","%7E"),"*","%2A"),"?","%3F")))&lt;&gt;1),"",IF(OR(INDEX('Rules'!$B$7:$B$26,MATCH(SUBSTITUTE(SUBSTITUTE(SUBSTITUTE(SUBSTITUTE("type:"&amp;B1214,"%","%25"),"~","%7E"),"*","%2A"),"?","%3F"),'Rules'!$G$7:$G$26,0))="hours",INDEX('Rules'!$B$7:$B$26,MATCH(SUBSTITUTE(SUBSTITUTE(SUBSTITUTE(SUBSTITUTE("type:"&amp;B1214,"%","%25"),"~","%7E"),"*","%2A"),"?","%3F"),'Rules'!$G$7:$G$26,0))="km"),INDEX('Rules'!$B$7:$B$26,MATCH(SUBSTITUTE(SUBSTITUTE(SUBSTITUTE(SUBSTITUTE("type:"&amp;B1214,"%","%25"),"~","%7E"),"*","%2A"),"?","%3F"),'Rules'!$G$7:$G$26,0)),""))</x:f>
      </x:c>
      <x:c r="I1214" s="6" t="str">
        <x:f>IF(AND(NOT(COUNTA(A1214:F1214)=0),K1214=""),ROUND(J1214-D1214,3),"")</x:f>
      </x:c>
      <x:c r="J1214" s="6" t="str">
        <x:f>IF(AND(NOT(COUNTA(A1214:F1214)=0),K1214=""),ROUND(F1214+L1214,3),"")</x:f>
      </x:c>
      <x:c r="K1214" s="5" t="str">
        <x:f>IF(COUNTA(A1214:F1214)=0,"",IF(A1214="","Missing equipment ID",IF(COUNTIFS($N$8:$N$2007,"="&amp;N1214)&gt;1,"Duplicate equipment ID",IF(B1214="","Missing type",IF(COUNTIFS('Rules'!$G$7:$G$26,"="&amp;(SUBSTITUTE(SUBSTITUTE(SUBSTITUTE(SUBSTITUTE("type:"&amp;B1214,"%","%25"),"~","%7E"),"*","%2A"),"?","%3F")))=0,"Unknown type",IF(COUNTIFS('Rules'!$G$7:$G$26,"="&amp;(SUBSTITUTE(SUBSTITUTE(SUBSTITUTE(SUBSTITUTE("type:"&amp;B1214,"%","%25"),"~","%7E"),"*","%2A"),"?","%3F")))&gt;1,"Duplicate type",IF(INDEX('Rules'!$F$7:$F$26,MATCH(SUBSTITUTE(SUBSTITUTE(SUBSTITUTE(SUBSTITUTE("type:"&amp;B1214,"%","%25"),"~","%7E"),"*","%2A"),"?","%3F"),'Rules'!$G$7:$G$26,0))&lt;&gt;"",INDEX('Rules'!$F$7:$F$26,MATCH(SUBSTITUTE(SUBSTITUTE(SUBSTITUTE(SUBSTITUTE("type:"&amp;B1214,"%","%25"),"~","%7E"),"*","%2A"),"?","%3F"),'Rules'!$G$7:$G$26,0)),IF(AND(C1214&lt;&gt;"",C1214&lt;&gt;INDEX('Rules'!$B$7:$B$26,MATCH(SUBSTITUTE(SUBSTITUTE(SUBSTITUTE(SUBSTITUTE("type:"&amp;B1214,"%","%25"),"~","%7E"),"*","%2A"),"?","%3F"),'Rules'!$G$7:$G$26,0))),"Unit mismatch",IF(IF(NOT(ISNUMBER(D1214)),TRUE,OR(D1214&lt;0,D1214&gt;999999999,ROUND(D1214,3)&lt;&gt;D1214)),"Invalid current reading",IF(AND(E1214&lt;&gt;"",IF(NOT(ISNUMBER(E1214)),TRUE,OR(E1214&lt;0,E1214&gt;999999999,ROUND(E1214,3)&lt;&gt;E1214))),"Invalid previous reading",IF(IF(NOT(ISNUMBER(F1214)),TRUE,OR(F1214&lt;0,F1214&gt;999999999,ROUND(F1214,3)&lt;&gt;F1214)),"Invalid last service",IF(AND(E1214&lt;&gt;"",D1214&lt;E1214),"Decreased reading",IF(F1214&gt;D1214,"Last service above current","")))))))))))))</x:f>
      </x:c>
      <x:c r="L1214" s="6" t="str">
        <x:f>IF(AND(NOT(COUNTA(A1214:F1214)=0),K1214=""),INDEX('Rules'!$C$7:$C$26,MATCH(SUBSTITUTE(SUBSTITUTE(SUBSTITUTE(SUBSTITUTE("type:"&amp;B1214,"%","%25"),"~","%7E"),"*","%2A"),"?","%3F"),'Rules'!$G$7:$G$26,0)),"")</x:f>
      </x:c>
      <x:c r="M1214" s="6" t="str">
        <x:f>IF(AND(NOT(COUNTA(A1214:F1214)=0),K1214=""),INDEX('Rules'!$D$7:$D$26,MATCH(SUBSTITUTE(SUBSTITUTE(SUBSTITUTE(SUBSTITUTE("type:"&amp;B1214,"%","%25"),"~","%7E"),"*","%2A"),"?","%3F"),'Rules'!$G$7:$G$26,0)),"")</x:f>
      </x:c>
      <x:c r="N1214" s="5" t="str">
        <x:f>IF(COUNTA(A1214:F1214)=0,"",SUBSTITUTE(SUBSTITUTE(SUBSTITUTE(SUBSTITUTE("id:"&amp;A1214,"%","%25"),"~","%7E"),"*","%2A"),"?","%3F"))</x:f>
      </x:c>
    </x:row>
    <x:row r="1215" ht="22" customHeight="1">
      <x:c r="A1215" s="3"/>
      <x:c r="B1215" s="3"/>
      <x:c r="C1215" s="3"/>
      <x:c r="D1215" s="4"/>
      <x:c r="E1215" s="4"/>
      <x:c r="F1215" s="4"/>
      <x:c r="G1215" s="5" t="str">
        <x:f>IF(COUNTA(A1215:F1215)=0,"",IF(K1215&lt;&gt;"","Review",IF(I1215&lt;0,"Overdue",IF(I1215=0,"Due now",IF(I1215&lt;=M1215,"Due soon","Not due")))))</x:f>
      </x:c>
      <x:c r="H1215" s="5" t="str">
        <x:f>IF(OR(COUNTA(A1215:F1215)=0,COUNTIFS('Rules'!$G$7:$G$26,"="&amp;(SUBSTITUTE(SUBSTITUTE(SUBSTITUTE(SUBSTITUTE("type:"&amp;B1215,"%","%25"),"~","%7E"),"*","%2A"),"?","%3F")))&lt;&gt;1),"",IF(OR(INDEX('Rules'!$B$7:$B$26,MATCH(SUBSTITUTE(SUBSTITUTE(SUBSTITUTE(SUBSTITUTE("type:"&amp;B1215,"%","%25"),"~","%7E"),"*","%2A"),"?","%3F"),'Rules'!$G$7:$G$26,0))="hours",INDEX('Rules'!$B$7:$B$26,MATCH(SUBSTITUTE(SUBSTITUTE(SUBSTITUTE(SUBSTITUTE("type:"&amp;B1215,"%","%25"),"~","%7E"),"*","%2A"),"?","%3F"),'Rules'!$G$7:$G$26,0))="km"),INDEX('Rules'!$B$7:$B$26,MATCH(SUBSTITUTE(SUBSTITUTE(SUBSTITUTE(SUBSTITUTE("type:"&amp;B1215,"%","%25"),"~","%7E"),"*","%2A"),"?","%3F"),'Rules'!$G$7:$G$26,0)),""))</x:f>
      </x:c>
      <x:c r="I1215" s="6" t="str">
        <x:f>IF(AND(NOT(COUNTA(A1215:F1215)=0),K1215=""),ROUND(J1215-D1215,3),"")</x:f>
      </x:c>
      <x:c r="J1215" s="6" t="str">
        <x:f>IF(AND(NOT(COUNTA(A1215:F1215)=0),K1215=""),ROUND(F1215+L1215,3),"")</x:f>
      </x:c>
      <x:c r="K1215" s="5" t="str">
        <x:f>IF(COUNTA(A1215:F1215)=0,"",IF(A1215="","Missing equipment ID",IF(COUNTIFS($N$8:$N$2007,"="&amp;N1215)&gt;1,"Duplicate equipment ID",IF(B1215="","Missing type",IF(COUNTIFS('Rules'!$G$7:$G$26,"="&amp;(SUBSTITUTE(SUBSTITUTE(SUBSTITUTE(SUBSTITUTE("type:"&amp;B1215,"%","%25"),"~","%7E"),"*","%2A"),"?","%3F")))=0,"Unknown type",IF(COUNTIFS('Rules'!$G$7:$G$26,"="&amp;(SUBSTITUTE(SUBSTITUTE(SUBSTITUTE(SUBSTITUTE("type:"&amp;B1215,"%","%25"),"~","%7E"),"*","%2A"),"?","%3F")))&gt;1,"Duplicate type",IF(INDEX('Rules'!$F$7:$F$26,MATCH(SUBSTITUTE(SUBSTITUTE(SUBSTITUTE(SUBSTITUTE("type:"&amp;B1215,"%","%25"),"~","%7E"),"*","%2A"),"?","%3F"),'Rules'!$G$7:$G$26,0))&lt;&gt;"",INDEX('Rules'!$F$7:$F$26,MATCH(SUBSTITUTE(SUBSTITUTE(SUBSTITUTE(SUBSTITUTE("type:"&amp;B1215,"%","%25"),"~","%7E"),"*","%2A"),"?","%3F"),'Rules'!$G$7:$G$26,0)),IF(AND(C1215&lt;&gt;"",C1215&lt;&gt;INDEX('Rules'!$B$7:$B$26,MATCH(SUBSTITUTE(SUBSTITUTE(SUBSTITUTE(SUBSTITUTE("type:"&amp;B1215,"%","%25"),"~","%7E"),"*","%2A"),"?","%3F"),'Rules'!$G$7:$G$26,0))),"Unit mismatch",IF(IF(NOT(ISNUMBER(D1215)),TRUE,OR(D1215&lt;0,D1215&gt;999999999,ROUND(D1215,3)&lt;&gt;D1215)),"Invalid current reading",IF(AND(E1215&lt;&gt;"",IF(NOT(ISNUMBER(E1215)),TRUE,OR(E1215&lt;0,E1215&gt;999999999,ROUND(E1215,3)&lt;&gt;E1215))),"Invalid previous reading",IF(IF(NOT(ISNUMBER(F1215)),TRUE,OR(F1215&lt;0,F1215&gt;999999999,ROUND(F1215,3)&lt;&gt;F1215)),"Invalid last service",IF(AND(E1215&lt;&gt;"",D1215&lt;E1215),"Decreased reading",IF(F1215&gt;D1215,"Last service above current","")))))))))))))</x:f>
      </x:c>
      <x:c r="L1215" s="6" t="str">
        <x:f>IF(AND(NOT(COUNTA(A1215:F1215)=0),K1215=""),INDEX('Rules'!$C$7:$C$26,MATCH(SUBSTITUTE(SUBSTITUTE(SUBSTITUTE(SUBSTITUTE("type:"&amp;B1215,"%","%25"),"~","%7E"),"*","%2A"),"?","%3F"),'Rules'!$G$7:$G$26,0)),"")</x:f>
      </x:c>
      <x:c r="M1215" s="6" t="str">
        <x:f>IF(AND(NOT(COUNTA(A1215:F1215)=0),K1215=""),INDEX('Rules'!$D$7:$D$26,MATCH(SUBSTITUTE(SUBSTITUTE(SUBSTITUTE(SUBSTITUTE("type:"&amp;B1215,"%","%25"),"~","%7E"),"*","%2A"),"?","%3F"),'Rules'!$G$7:$G$26,0)),"")</x:f>
      </x:c>
      <x:c r="N1215" s="5" t="str">
        <x:f>IF(COUNTA(A1215:F1215)=0,"",SUBSTITUTE(SUBSTITUTE(SUBSTITUTE(SUBSTITUTE("id:"&amp;A1215,"%","%25"),"~","%7E"),"*","%2A"),"?","%3F"))</x:f>
      </x:c>
    </x:row>
    <x:row r="1216" ht="22" customHeight="1">
      <x:c r="A1216" s="3"/>
      <x:c r="B1216" s="3"/>
      <x:c r="C1216" s="3"/>
      <x:c r="D1216" s="4"/>
      <x:c r="E1216" s="4"/>
      <x:c r="F1216" s="4"/>
      <x:c r="G1216" s="5" t="str">
        <x:f>IF(COUNTA(A1216:F1216)=0,"",IF(K1216&lt;&gt;"","Review",IF(I1216&lt;0,"Overdue",IF(I1216=0,"Due now",IF(I1216&lt;=M1216,"Due soon","Not due")))))</x:f>
      </x:c>
      <x:c r="H1216" s="5" t="str">
        <x:f>IF(OR(COUNTA(A1216:F1216)=0,COUNTIFS('Rules'!$G$7:$G$26,"="&amp;(SUBSTITUTE(SUBSTITUTE(SUBSTITUTE(SUBSTITUTE("type:"&amp;B1216,"%","%25"),"~","%7E"),"*","%2A"),"?","%3F")))&lt;&gt;1),"",IF(OR(INDEX('Rules'!$B$7:$B$26,MATCH(SUBSTITUTE(SUBSTITUTE(SUBSTITUTE(SUBSTITUTE("type:"&amp;B1216,"%","%25"),"~","%7E"),"*","%2A"),"?","%3F"),'Rules'!$G$7:$G$26,0))="hours",INDEX('Rules'!$B$7:$B$26,MATCH(SUBSTITUTE(SUBSTITUTE(SUBSTITUTE(SUBSTITUTE("type:"&amp;B1216,"%","%25"),"~","%7E"),"*","%2A"),"?","%3F"),'Rules'!$G$7:$G$26,0))="km"),INDEX('Rules'!$B$7:$B$26,MATCH(SUBSTITUTE(SUBSTITUTE(SUBSTITUTE(SUBSTITUTE("type:"&amp;B1216,"%","%25"),"~","%7E"),"*","%2A"),"?","%3F"),'Rules'!$G$7:$G$26,0)),""))</x:f>
      </x:c>
      <x:c r="I1216" s="6" t="str">
        <x:f>IF(AND(NOT(COUNTA(A1216:F1216)=0),K1216=""),ROUND(J1216-D1216,3),"")</x:f>
      </x:c>
      <x:c r="J1216" s="6" t="str">
        <x:f>IF(AND(NOT(COUNTA(A1216:F1216)=0),K1216=""),ROUND(F1216+L1216,3),"")</x:f>
      </x:c>
      <x:c r="K1216" s="5" t="str">
        <x:f>IF(COUNTA(A1216:F1216)=0,"",IF(A1216="","Missing equipment ID",IF(COUNTIFS($N$8:$N$2007,"="&amp;N1216)&gt;1,"Duplicate equipment ID",IF(B1216="","Missing type",IF(COUNTIFS('Rules'!$G$7:$G$26,"="&amp;(SUBSTITUTE(SUBSTITUTE(SUBSTITUTE(SUBSTITUTE("type:"&amp;B1216,"%","%25"),"~","%7E"),"*","%2A"),"?","%3F")))=0,"Unknown type",IF(COUNTIFS('Rules'!$G$7:$G$26,"="&amp;(SUBSTITUTE(SUBSTITUTE(SUBSTITUTE(SUBSTITUTE("type:"&amp;B1216,"%","%25"),"~","%7E"),"*","%2A"),"?","%3F")))&gt;1,"Duplicate type",IF(INDEX('Rules'!$F$7:$F$26,MATCH(SUBSTITUTE(SUBSTITUTE(SUBSTITUTE(SUBSTITUTE("type:"&amp;B1216,"%","%25"),"~","%7E"),"*","%2A"),"?","%3F"),'Rules'!$G$7:$G$26,0))&lt;&gt;"",INDEX('Rules'!$F$7:$F$26,MATCH(SUBSTITUTE(SUBSTITUTE(SUBSTITUTE(SUBSTITUTE("type:"&amp;B1216,"%","%25"),"~","%7E"),"*","%2A"),"?","%3F"),'Rules'!$G$7:$G$26,0)),IF(AND(C1216&lt;&gt;"",C1216&lt;&gt;INDEX('Rules'!$B$7:$B$26,MATCH(SUBSTITUTE(SUBSTITUTE(SUBSTITUTE(SUBSTITUTE("type:"&amp;B1216,"%","%25"),"~","%7E"),"*","%2A"),"?","%3F"),'Rules'!$G$7:$G$26,0))),"Unit mismatch",IF(IF(NOT(ISNUMBER(D1216)),TRUE,OR(D1216&lt;0,D1216&gt;999999999,ROUND(D1216,3)&lt;&gt;D1216)),"Invalid current reading",IF(AND(E1216&lt;&gt;"",IF(NOT(ISNUMBER(E1216)),TRUE,OR(E1216&lt;0,E1216&gt;999999999,ROUND(E1216,3)&lt;&gt;E1216))),"Invalid previous reading",IF(IF(NOT(ISNUMBER(F1216)),TRUE,OR(F1216&lt;0,F1216&gt;999999999,ROUND(F1216,3)&lt;&gt;F1216)),"Invalid last service",IF(AND(E1216&lt;&gt;"",D1216&lt;E1216),"Decreased reading",IF(F1216&gt;D1216,"Last service above current","")))))))))))))</x:f>
      </x:c>
      <x:c r="L1216" s="6" t="str">
        <x:f>IF(AND(NOT(COUNTA(A1216:F1216)=0),K1216=""),INDEX('Rules'!$C$7:$C$26,MATCH(SUBSTITUTE(SUBSTITUTE(SUBSTITUTE(SUBSTITUTE("type:"&amp;B1216,"%","%25"),"~","%7E"),"*","%2A"),"?","%3F"),'Rules'!$G$7:$G$26,0)),"")</x:f>
      </x:c>
      <x:c r="M1216" s="6" t="str">
        <x:f>IF(AND(NOT(COUNTA(A1216:F1216)=0),K1216=""),INDEX('Rules'!$D$7:$D$26,MATCH(SUBSTITUTE(SUBSTITUTE(SUBSTITUTE(SUBSTITUTE("type:"&amp;B1216,"%","%25"),"~","%7E"),"*","%2A"),"?","%3F"),'Rules'!$G$7:$G$26,0)),"")</x:f>
      </x:c>
      <x:c r="N1216" s="5" t="str">
        <x:f>IF(COUNTA(A1216:F1216)=0,"",SUBSTITUTE(SUBSTITUTE(SUBSTITUTE(SUBSTITUTE("id:"&amp;A1216,"%","%25"),"~","%7E"),"*","%2A"),"?","%3F"))</x:f>
      </x:c>
    </x:row>
    <x:row r="1217" ht="22" customHeight="1">
      <x:c r="A1217" s="3"/>
      <x:c r="B1217" s="3"/>
      <x:c r="C1217" s="3"/>
      <x:c r="D1217" s="4"/>
      <x:c r="E1217" s="4"/>
      <x:c r="F1217" s="4"/>
      <x:c r="G1217" s="5" t="str">
        <x:f>IF(COUNTA(A1217:F1217)=0,"",IF(K1217&lt;&gt;"","Review",IF(I1217&lt;0,"Overdue",IF(I1217=0,"Due now",IF(I1217&lt;=M1217,"Due soon","Not due")))))</x:f>
      </x:c>
      <x:c r="H1217" s="5" t="str">
        <x:f>IF(OR(COUNTA(A1217:F1217)=0,COUNTIFS('Rules'!$G$7:$G$26,"="&amp;(SUBSTITUTE(SUBSTITUTE(SUBSTITUTE(SUBSTITUTE("type:"&amp;B1217,"%","%25"),"~","%7E"),"*","%2A"),"?","%3F")))&lt;&gt;1),"",IF(OR(INDEX('Rules'!$B$7:$B$26,MATCH(SUBSTITUTE(SUBSTITUTE(SUBSTITUTE(SUBSTITUTE("type:"&amp;B1217,"%","%25"),"~","%7E"),"*","%2A"),"?","%3F"),'Rules'!$G$7:$G$26,0))="hours",INDEX('Rules'!$B$7:$B$26,MATCH(SUBSTITUTE(SUBSTITUTE(SUBSTITUTE(SUBSTITUTE("type:"&amp;B1217,"%","%25"),"~","%7E"),"*","%2A"),"?","%3F"),'Rules'!$G$7:$G$26,0))="km"),INDEX('Rules'!$B$7:$B$26,MATCH(SUBSTITUTE(SUBSTITUTE(SUBSTITUTE(SUBSTITUTE("type:"&amp;B1217,"%","%25"),"~","%7E"),"*","%2A"),"?","%3F"),'Rules'!$G$7:$G$26,0)),""))</x:f>
      </x:c>
      <x:c r="I1217" s="6" t="str">
        <x:f>IF(AND(NOT(COUNTA(A1217:F1217)=0),K1217=""),ROUND(J1217-D1217,3),"")</x:f>
      </x:c>
      <x:c r="J1217" s="6" t="str">
        <x:f>IF(AND(NOT(COUNTA(A1217:F1217)=0),K1217=""),ROUND(F1217+L1217,3),"")</x:f>
      </x:c>
      <x:c r="K1217" s="5" t="str">
        <x:f>IF(COUNTA(A1217:F1217)=0,"",IF(A1217="","Missing equipment ID",IF(COUNTIFS($N$8:$N$2007,"="&amp;N1217)&gt;1,"Duplicate equipment ID",IF(B1217="","Missing type",IF(COUNTIFS('Rules'!$G$7:$G$26,"="&amp;(SUBSTITUTE(SUBSTITUTE(SUBSTITUTE(SUBSTITUTE("type:"&amp;B1217,"%","%25"),"~","%7E"),"*","%2A"),"?","%3F")))=0,"Unknown type",IF(COUNTIFS('Rules'!$G$7:$G$26,"="&amp;(SUBSTITUTE(SUBSTITUTE(SUBSTITUTE(SUBSTITUTE("type:"&amp;B1217,"%","%25"),"~","%7E"),"*","%2A"),"?","%3F")))&gt;1,"Duplicate type",IF(INDEX('Rules'!$F$7:$F$26,MATCH(SUBSTITUTE(SUBSTITUTE(SUBSTITUTE(SUBSTITUTE("type:"&amp;B1217,"%","%25"),"~","%7E"),"*","%2A"),"?","%3F"),'Rules'!$G$7:$G$26,0))&lt;&gt;"",INDEX('Rules'!$F$7:$F$26,MATCH(SUBSTITUTE(SUBSTITUTE(SUBSTITUTE(SUBSTITUTE("type:"&amp;B1217,"%","%25"),"~","%7E"),"*","%2A"),"?","%3F"),'Rules'!$G$7:$G$26,0)),IF(AND(C1217&lt;&gt;"",C1217&lt;&gt;INDEX('Rules'!$B$7:$B$26,MATCH(SUBSTITUTE(SUBSTITUTE(SUBSTITUTE(SUBSTITUTE("type:"&amp;B1217,"%","%25"),"~","%7E"),"*","%2A"),"?","%3F"),'Rules'!$G$7:$G$26,0))),"Unit mismatch",IF(IF(NOT(ISNUMBER(D1217)),TRUE,OR(D1217&lt;0,D1217&gt;999999999,ROUND(D1217,3)&lt;&gt;D1217)),"Invalid current reading",IF(AND(E1217&lt;&gt;"",IF(NOT(ISNUMBER(E1217)),TRUE,OR(E1217&lt;0,E1217&gt;999999999,ROUND(E1217,3)&lt;&gt;E1217))),"Invalid previous reading",IF(IF(NOT(ISNUMBER(F1217)),TRUE,OR(F1217&lt;0,F1217&gt;999999999,ROUND(F1217,3)&lt;&gt;F1217)),"Invalid last service",IF(AND(E1217&lt;&gt;"",D1217&lt;E1217),"Decreased reading",IF(F1217&gt;D1217,"Last service above current","")))))))))))))</x:f>
      </x:c>
      <x:c r="L1217" s="6" t="str">
        <x:f>IF(AND(NOT(COUNTA(A1217:F1217)=0),K1217=""),INDEX('Rules'!$C$7:$C$26,MATCH(SUBSTITUTE(SUBSTITUTE(SUBSTITUTE(SUBSTITUTE("type:"&amp;B1217,"%","%25"),"~","%7E"),"*","%2A"),"?","%3F"),'Rules'!$G$7:$G$26,0)),"")</x:f>
      </x:c>
      <x:c r="M1217" s="6" t="str">
        <x:f>IF(AND(NOT(COUNTA(A1217:F1217)=0),K1217=""),INDEX('Rules'!$D$7:$D$26,MATCH(SUBSTITUTE(SUBSTITUTE(SUBSTITUTE(SUBSTITUTE("type:"&amp;B1217,"%","%25"),"~","%7E"),"*","%2A"),"?","%3F"),'Rules'!$G$7:$G$26,0)),"")</x:f>
      </x:c>
      <x:c r="N1217" s="5" t="str">
        <x:f>IF(COUNTA(A1217:F1217)=0,"",SUBSTITUTE(SUBSTITUTE(SUBSTITUTE(SUBSTITUTE("id:"&amp;A1217,"%","%25"),"~","%7E"),"*","%2A"),"?","%3F"))</x:f>
      </x:c>
    </x:row>
    <x:row r="1218" ht="22" customHeight="1">
      <x:c r="A1218" s="3"/>
      <x:c r="B1218" s="3"/>
      <x:c r="C1218" s="3"/>
      <x:c r="D1218" s="4"/>
      <x:c r="E1218" s="4"/>
      <x:c r="F1218" s="4"/>
      <x:c r="G1218" s="5" t="str">
        <x:f>IF(COUNTA(A1218:F1218)=0,"",IF(K1218&lt;&gt;"","Review",IF(I1218&lt;0,"Overdue",IF(I1218=0,"Due now",IF(I1218&lt;=M1218,"Due soon","Not due")))))</x:f>
      </x:c>
      <x:c r="H1218" s="5" t="str">
        <x:f>IF(OR(COUNTA(A1218:F1218)=0,COUNTIFS('Rules'!$G$7:$G$26,"="&amp;(SUBSTITUTE(SUBSTITUTE(SUBSTITUTE(SUBSTITUTE("type:"&amp;B1218,"%","%25"),"~","%7E"),"*","%2A"),"?","%3F")))&lt;&gt;1),"",IF(OR(INDEX('Rules'!$B$7:$B$26,MATCH(SUBSTITUTE(SUBSTITUTE(SUBSTITUTE(SUBSTITUTE("type:"&amp;B1218,"%","%25"),"~","%7E"),"*","%2A"),"?","%3F"),'Rules'!$G$7:$G$26,0))="hours",INDEX('Rules'!$B$7:$B$26,MATCH(SUBSTITUTE(SUBSTITUTE(SUBSTITUTE(SUBSTITUTE("type:"&amp;B1218,"%","%25"),"~","%7E"),"*","%2A"),"?","%3F"),'Rules'!$G$7:$G$26,0))="km"),INDEX('Rules'!$B$7:$B$26,MATCH(SUBSTITUTE(SUBSTITUTE(SUBSTITUTE(SUBSTITUTE("type:"&amp;B1218,"%","%25"),"~","%7E"),"*","%2A"),"?","%3F"),'Rules'!$G$7:$G$26,0)),""))</x:f>
      </x:c>
      <x:c r="I1218" s="6" t="str">
        <x:f>IF(AND(NOT(COUNTA(A1218:F1218)=0),K1218=""),ROUND(J1218-D1218,3),"")</x:f>
      </x:c>
      <x:c r="J1218" s="6" t="str">
        <x:f>IF(AND(NOT(COUNTA(A1218:F1218)=0),K1218=""),ROUND(F1218+L1218,3),"")</x:f>
      </x:c>
      <x:c r="K1218" s="5" t="str">
        <x:f>IF(COUNTA(A1218:F1218)=0,"",IF(A1218="","Missing equipment ID",IF(COUNTIFS($N$8:$N$2007,"="&amp;N1218)&gt;1,"Duplicate equipment ID",IF(B1218="","Missing type",IF(COUNTIFS('Rules'!$G$7:$G$26,"="&amp;(SUBSTITUTE(SUBSTITUTE(SUBSTITUTE(SUBSTITUTE("type:"&amp;B1218,"%","%25"),"~","%7E"),"*","%2A"),"?","%3F")))=0,"Unknown type",IF(COUNTIFS('Rules'!$G$7:$G$26,"="&amp;(SUBSTITUTE(SUBSTITUTE(SUBSTITUTE(SUBSTITUTE("type:"&amp;B1218,"%","%25"),"~","%7E"),"*","%2A"),"?","%3F")))&gt;1,"Duplicate type",IF(INDEX('Rules'!$F$7:$F$26,MATCH(SUBSTITUTE(SUBSTITUTE(SUBSTITUTE(SUBSTITUTE("type:"&amp;B1218,"%","%25"),"~","%7E"),"*","%2A"),"?","%3F"),'Rules'!$G$7:$G$26,0))&lt;&gt;"",INDEX('Rules'!$F$7:$F$26,MATCH(SUBSTITUTE(SUBSTITUTE(SUBSTITUTE(SUBSTITUTE("type:"&amp;B1218,"%","%25"),"~","%7E"),"*","%2A"),"?","%3F"),'Rules'!$G$7:$G$26,0)),IF(AND(C1218&lt;&gt;"",C1218&lt;&gt;INDEX('Rules'!$B$7:$B$26,MATCH(SUBSTITUTE(SUBSTITUTE(SUBSTITUTE(SUBSTITUTE("type:"&amp;B1218,"%","%25"),"~","%7E"),"*","%2A"),"?","%3F"),'Rules'!$G$7:$G$26,0))),"Unit mismatch",IF(IF(NOT(ISNUMBER(D1218)),TRUE,OR(D1218&lt;0,D1218&gt;999999999,ROUND(D1218,3)&lt;&gt;D1218)),"Invalid current reading",IF(AND(E1218&lt;&gt;"",IF(NOT(ISNUMBER(E1218)),TRUE,OR(E1218&lt;0,E1218&gt;999999999,ROUND(E1218,3)&lt;&gt;E1218))),"Invalid previous reading",IF(IF(NOT(ISNUMBER(F1218)),TRUE,OR(F1218&lt;0,F1218&gt;999999999,ROUND(F1218,3)&lt;&gt;F1218)),"Invalid last service",IF(AND(E1218&lt;&gt;"",D1218&lt;E1218),"Decreased reading",IF(F1218&gt;D1218,"Last service above current","")))))))))))))</x:f>
      </x:c>
      <x:c r="L1218" s="6" t="str">
        <x:f>IF(AND(NOT(COUNTA(A1218:F1218)=0),K1218=""),INDEX('Rules'!$C$7:$C$26,MATCH(SUBSTITUTE(SUBSTITUTE(SUBSTITUTE(SUBSTITUTE("type:"&amp;B1218,"%","%25"),"~","%7E"),"*","%2A"),"?","%3F"),'Rules'!$G$7:$G$26,0)),"")</x:f>
      </x:c>
      <x:c r="M1218" s="6" t="str">
        <x:f>IF(AND(NOT(COUNTA(A1218:F1218)=0),K1218=""),INDEX('Rules'!$D$7:$D$26,MATCH(SUBSTITUTE(SUBSTITUTE(SUBSTITUTE(SUBSTITUTE("type:"&amp;B1218,"%","%25"),"~","%7E"),"*","%2A"),"?","%3F"),'Rules'!$G$7:$G$26,0)),"")</x:f>
      </x:c>
      <x:c r="N1218" s="5" t="str">
        <x:f>IF(COUNTA(A1218:F1218)=0,"",SUBSTITUTE(SUBSTITUTE(SUBSTITUTE(SUBSTITUTE("id:"&amp;A1218,"%","%25"),"~","%7E"),"*","%2A"),"?","%3F"))</x:f>
      </x:c>
    </x:row>
    <x:row r="1219" ht="22" customHeight="1">
      <x:c r="A1219" s="3"/>
      <x:c r="B1219" s="3"/>
      <x:c r="C1219" s="3"/>
      <x:c r="D1219" s="4"/>
      <x:c r="E1219" s="4"/>
      <x:c r="F1219" s="4"/>
      <x:c r="G1219" s="5" t="str">
        <x:f>IF(COUNTA(A1219:F1219)=0,"",IF(K1219&lt;&gt;"","Review",IF(I1219&lt;0,"Overdue",IF(I1219=0,"Due now",IF(I1219&lt;=M1219,"Due soon","Not due")))))</x:f>
      </x:c>
      <x:c r="H1219" s="5" t="str">
        <x:f>IF(OR(COUNTA(A1219:F1219)=0,COUNTIFS('Rules'!$G$7:$G$26,"="&amp;(SUBSTITUTE(SUBSTITUTE(SUBSTITUTE(SUBSTITUTE("type:"&amp;B1219,"%","%25"),"~","%7E"),"*","%2A"),"?","%3F")))&lt;&gt;1),"",IF(OR(INDEX('Rules'!$B$7:$B$26,MATCH(SUBSTITUTE(SUBSTITUTE(SUBSTITUTE(SUBSTITUTE("type:"&amp;B1219,"%","%25"),"~","%7E"),"*","%2A"),"?","%3F"),'Rules'!$G$7:$G$26,0))="hours",INDEX('Rules'!$B$7:$B$26,MATCH(SUBSTITUTE(SUBSTITUTE(SUBSTITUTE(SUBSTITUTE("type:"&amp;B1219,"%","%25"),"~","%7E"),"*","%2A"),"?","%3F"),'Rules'!$G$7:$G$26,0))="km"),INDEX('Rules'!$B$7:$B$26,MATCH(SUBSTITUTE(SUBSTITUTE(SUBSTITUTE(SUBSTITUTE("type:"&amp;B1219,"%","%25"),"~","%7E"),"*","%2A"),"?","%3F"),'Rules'!$G$7:$G$26,0)),""))</x:f>
      </x:c>
      <x:c r="I1219" s="6" t="str">
        <x:f>IF(AND(NOT(COUNTA(A1219:F1219)=0),K1219=""),ROUND(J1219-D1219,3),"")</x:f>
      </x:c>
      <x:c r="J1219" s="6" t="str">
        <x:f>IF(AND(NOT(COUNTA(A1219:F1219)=0),K1219=""),ROUND(F1219+L1219,3),"")</x:f>
      </x:c>
      <x:c r="K1219" s="5" t="str">
        <x:f>IF(COUNTA(A1219:F1219)=0,"",IF(A1219="","Missing equipment ID",IF(COUNTIFS($N$8:$N$2007,"="&amp;N1219)&gt;1,"Duplicate equipment ID",IF(B1219="","Missing type",IF(COUNTIFS('Rules'!$G$7:$G$26,"="&amp;(SUBSTITUTE(SUBSTITUTE(SUBSTITUTE(SUBSTITUTE("type:"&amp;B1219,"%","%25"),"~","%7E"),"*","%2A"),"?","%3F")))=0,"Unknown type",IF(COUNTIFS('Rules'!$G$7:$G$26,"="&amp;(SUBSTITUTE(SUBSTITUTE(SUBSTITUTE(SUBSTITUTE("type:"&amp;B1219,"%","%25"),"~","%7E"),"*","%2A"),"?","%3F")))&gt;1,"Duplicate type",IF(INDEX('Rules'!$F$7:$F$26,MATCH(SUBSTITUTE(SUBSTITUTE(SUBSTITUTE(SUBSTITUTE("type:"&amp;B1219,"%","%25"),"~","%7E"),"*","%2A"),"?","%3F"),'Rules'!$G$7:$G$26,0))&lt;&gt;"",INDEX('Rules'!$F$7:$F$26,MATCH(SUBSTITUTE(SUBSTITUTE(SUBSTITUTE(SUBSTITUTE("type:"&amp;B1219,"%","%25"),"~","%7E"),"*","%2A"),"?","%3F"),'Rules'!$G$7:$G$26,0)),IF(AND(C1219&lt;&gt;"",C1219&lt;&gt;INDEX('Rules'!$B$7:$B$26,MATCH(SUBSTITUTE(SUBSTITUTE(SUBSTITUTE(SUBSTITUTE("type:"&amp;B1219,"%","%25"),"~","%7E"),"*","%2A"),"?","%3F"),'Rules'!$G$7:$G$26,0))),"Unit mismatch",IF(IF(NOT(ISNUMBER(D1219)),TRUE,OR(D1219&lt;0,D1219&gt;999999999,ROUND(D1219,3)&lt;&gt;D1219)),"Invalid current reading",IF(AND(E1219&lt;&gt;"",IF(NOT(ISNUMBER(E1219)),TRUE,OR(E1219&lt;0,E1219&gt;999999999,ROUND(E1219,3)&lt;&gt;E1219))),"Invalid previous reading",IF(IF(NOT(ISNUMBER(F1219)),TRUE,OR(F1219&lt;0,F1219&gt;999999999,ROUND(F1219,3)&lt;&gt;F1219)),"Invalid last service",IF(AND(E1219&lt;&gt;"",D1219&lt;E1219),"Decreased reading",IF(F1219&gt;D1219,"Last service above current","")))))))))))))</x:f>
      </x:c>
      <x:c r="L1219" s="6" t="str">
        <x:f>IF(AND(NOT(COUNTA(A1219:F1219)=0),K1219=""),INDEX('Rules'!$C$7:$C$26,MATCH(SUBSTITUTE(SUBSTITUTE(SUBSTITUTE(SUBSTITUTE("type:"&amp;B1219,"%","%25"),"~","%7E"),"*","%2A"),"?","%3F"),'Rules'!$G$7:$G$26,0)),"")</x:f>
      </x:c>
      <x:c r="M1219" s="6" t="str">
        <x:f>IF(AND(NOT(COUNTA(A1219:F1219)=0),K1219=""),INDEX('Rules'!$D$7:$D$26,MATCH(SUBSTITUTE(SUBSTITUTE(SUBSTITUTE(SUBSTITUTE("type:"&amp;B1219,"%","%25"),"~","%7E"),"*","%2A"),"?","%3F"),'Rules'!$G$7:$G$26,0)),"")</x:f>
      </x:c>
      <x:c r="N1219" s="5" t="str">
        <x:f>IF(COUNTA(A1219:F1219)=0,"",SUBSTITUTE(SUBSTITUTE(SUBSTITUTE(SUBSTITUTE("id:"&amp;A1219,"%","%25"),"~","%7E"),"*","%2A"),"?","%3F"))</x:f>
      </x:c>
    </x:row>
    <x:row r="1220" ht="22" customHeight="1">
      <x:c r="A1220" s="3"/>
      <x:c r="B1220" s="3"/>
      <x:c r="C1220" s="3"/>
      <x:c r="D1220" s="4"/>
      <x:c r="E1220" s="4"/>
      <x:c r="F1220" s="4"/>
      <x:c r="G1220" s="5" t="str">
        <x:f>IF(COUNTA(A1220:F1220)=0,"",IF(K1220&lt;&gt;"","Review",IF(I1220&lt;0,"Overdue",IF(I1220=0,"Due now",IF(I1220&lt;=M1220,"Due soon","Not due")))))</x:f>
      </x:c>
      <x:c r="H1220" s="5" t="str">
        <x:f>IF(OR(COUNTA(A1220:F1220)=0,COUNTIFS('Rules'!$G$7:$G$26,"="&amp;(SUBSTITUTE(SUBSTITUTE(SUBSTITUTE(SUBSTITUTE("type:"&amp;B1220,"%","%25"),"~","%7E"),"*","%2A"),"?","%3F")))&lt;&gt;1),"",IF(OR(INDEX('Rules'!$B$7:$B$26,MATCH(SUBSTITUTE(SUBSTITUTE(SUBSTITUTE(SUBSTITUTE("type:"&amp;B1220,"%","%25"),"~","%7E"),"*","%2A"),"?","%3F"),'Rules'!$G$7:$G$26,0))="hours",INDEX('Rules'!$B$7:$B$26,MATCH(SUBSTITUTE(SUBSTITUTE(SUBSTITUTE(SUBSTITUTE("type:"&amp;B1220,"%","%25"),"~","%7E"),"*","%2A"),"?","%3F"),'Rules'!$G$7:$G$26,0))="km"),INDEX('Rules'!$B$7:$B$26,MATCH(SUBSTITUTE(SUBSTITUTE(SUBSTITUTE(SUBSTITUTE("type:"&amp;B1220,"%","%25"),"~","%7E"),"*","%2A"),"?","%3F"),'Rules'!$G$7:$G$26,0)),""))</x:f>
      </x:c>
      <x:c r="I1220" s="6" t="str">
        <x:f>IF(AND(NOT(COUNTA(A1220:F1220)=0),K1220=""),ROUND(J1220-D1220,3),"")</x:f>
      </x:c>
      <x:c r="J1220" s="6" t="str">
        <x:f>IF(AND(NOT(COUNTA(A1220:F1220)=0),K1220=""),ROUND(F1220+L1220,3),"")</x:f>
      </x:c>
      <x:c r="K1220" s="5" t="str">
        <x:f>IF(COUNTA(A1220:F1220)=0,"",IF(A1220="","Missing equipment ID",IF(COUNTIFS($N$8:$N$2007,"="&amp;N1220)&gt;1,"Duplicate equipment ID",IF(B1220="","Missing type",IF(COUNTIFS('Rules'!$G$7:$G$26,"="&amp;(SUBSTITUTE(SUBSTITUTE(SUBSTITUTE(SUBSTITUTE("type:"&amp;B1220,"%","%25"),"~","%7E"),"*","%2A"),"?","%3F")))=0,"Unknown type",IF(COUNTIFS('Rules'!$G$7:$G$26,"="&amp;(SUBSTITUTE(SUBSTITUTE(SUBSTITUTE(SUBSTITUTE("type:"&amp;B1220,"%","%25"),"~","%7E"),"*","%2A"),"?","%3F")))&gt;1,"Duplicate type",IF(INDEX('Rules'!$F$7:$F$26,MATCH(SUBSTITUTE(SUBSTITUTE(SUBSTITUTE(SUBSTITUTE("type:"&amp;B1220,"%","%25"),"~","%7E"),"*","%2A"),"?","%3F"),'Rules'!$G$7:$G$26,0))&lt;&gt;"",INDEX('Rules'!$F$7:$F$26,MATCH(SUBSTITUTE(SUBSTITUTE(SUBSTITUTE(SUBSTITUTE("type:"&amp;B1220,"%","%25"),"~","%7E"),"*","%2A"),"?","%3F"),'Rules'!$G$7:$G$26,0)),IF(AND(C1220&lt;&gt;"",C1220&lt;&gt;INDEX('Rules'!$B$7:$B$26,MATCH(SUBSTITUTE(SUBSTITUTE(SUBSTITUTE(SUBSTITUTE("type:"&amp;B1220,"%","%25"),"~","%7E"),"*","%2A"),"?","%3F"),'Rules'!$G$7:$G$26,0))),"Unit mismatch",IF(IF(NOT(ISNUMBER(D1220)),TRUE,OR(D1220&lt;0,D1220&gt;999999999,ROUND(D1220,3)&lt;&gt;D1220)),"Invalid current reading",IF(AND(E1220&lt;&gt;"",IF(NOT(ISNUMBER(E1220)),TRUE,OR(E1220&lt;0,E1220&gt;999999999,ROUND(E1220,3)&lt;&gt;E1220))),"Invalid previous reading",IF(IF(NOT(ISNUMBER(F1220)),TRUE,OR(F1220&lt;0,F1220&gt;999999999,ROUND(F1220,3)&lt;&gt;F1220)),"Invalid last service",IF(AND(E1220&lt;&gt;"",D1220&lt;E1220),"Decreased reading",IF(F1220&gt;D1220,"Last service above current","")))))))))))))</x:f>
      </x:c>
      <x:c r="L1220" s="6" t="str">
        <x:f>IF(AND(NOT(COUNTA(A1220:F1220)=0),K1220=""),INDEX('Rules'!$C$7:$C$26,MATCH(SUBSTITUTE(SUBSTITUTE(SUBSTITUTE(SUBSTITUTE("type:"&amp;B1220,"%","%25"),"~","%7E"),"*","%2A"),"?","%3F"),'Rules'!$G$7:$G$26,0)),"")</x:f>
      </x:c>
      <x:c r="M1220" s="6" t="str">
        <x:f>IF(AND(NOT(COUNTA(A1220:F1220)=0),K1220=""),INDEX('Rules'!$D$7:$D$26,MATCH(SUBSTITUTE(SUBSTITUTE(SUBSTITUTE(SUBSTITUTE("type:"&amp;B1220,"%","%25"),"~","%7E"),"*","%2A"),"?","%3F"),'Rules'!$G$7:$G$26,0)),"")</x:f>
      </x:c>
      <x:c r="N1220" s="5" t="str">
        <x:f>IF(COUNTA(A1220:F1220)=0,"",SUBSTITUTE(SUBSTITUTE(SUBSTITUTE(SUBSTITUTE("id:"&amp;A1220,"%","%25"),"~","%7E"),"*","%2A"),"?","%3F"))</x:f>
      </x:c>
    </x:row>
    <x:row r="1221" ht="22" customHeight="1">
      <x:c r="A1221" s="3"/>
      <x:c r="B1221" s="3"/>
      <x:c r="C1221" s="3"/>
      <x:c r="D1221" s="4"/>
      <x:c r="E1221" s="4"/>
      <x:c r="F1221" s="4"/>
      <x:c r="G1221" s="5" t="str">
        <x:f>IF(COUNTA(A1221:F1221)=0,"",IF(K1221&lt;&gt;"","Review",IF(I1221&lt;0,"Overdue",IF(I1221=0,"Due now",IF(I1221&lt;=M1221,"Due soon","Not due")))))</x:f>
      </x:c>
      <x:c r="H1221" s="5" t="str">
        <x:f>IF(OR(COUNTA(A1221:F1221)=0,COUNTIFS('Rules'!$G$7:$G$26,"="&amp;(SUBSTITUTE(SUBSTITUTE(SUBSTITUTE(SUBSTITUTE("type:"&amp;B1221,"%","%25"),"~","%7E"),"*","%2A"),"?","%3F")))&lt;&gt;1),"",IF(OR(INDEX('Rules'!$B$7:$B$26,MATCH(SUBSTITUTE(SUBSTITUTE(SUBSTITUTE(SUBSTITUTE("type:"&amp;B1221,"%","%25"),"~","%7E"),"*","%2A"),"?","%3F"),'Rules'!$G$7:$G$26,0))="hours",INDEX('Rules'!$B$7:$B$26,MATCH(SUBSTITUTE(SUBSTITUTE(SUBSTITUTE(SUBSTITUTE("type:"&amp;B1221,"%","%25"),"~","%7E"),"*","%2A"),"?","%3F"),'Rules'!$G$7:$G$26,0))="km"),INDEX('Rules'!$B$7:$B$26,MATCH(SUBSTITUTE(SUBSTITUTE(SUBSTITUTE(SUBSTITUTE("type:"&amp;B1221,"%","%25"),"~","%7E"),"*","%2A"),"?","%3F"),'Rules'!$G$7:$G$26,0)),""))</x:f>
      </x:c>
      <x:c r="I1221" s="6" t="str">
        <x:f>IF(AND(NOT(COUNTA(A1221:F1221)=0),K1221=""),ROUND(J1221-D1221,3),"")</x:f>
      </x:c>
      <x:c r="J1221" s="6" t="str">
        <x:f>IF(AND(NOT(COUNTA(A1221:F1221)=0),K1221=""),ROUND(F1221+L1221,3),"")</x:f>
      </x:c>
      <x:c r="K1221" s="5" t="str">
        <x:f>IF(COUNTA(A1221:F1221)=0,"",IF(A1221="","Missing equipment ID",IF(COUNTIFS($N$8:$N$2007,"="&amp;N1221)&gt;1,"Duplicate equipment ID",IF(B1221="","Missing type",IF(COUNTIFS('Rules'!$G$7:$G$26,"="&amp;(SUBSTITUTE(SUBSTITUTE(SUBSTITUTE(SUBSTITUTE("type:"&amp;B1221,"%","%25"),"~","%7E"),"*","%2A"),"?","%3F")))=0,"Unknown type",IF(COUNTIFS('Rules'!$G$7:$G$26,"="&amp;(SUBSTITUTE(SUBSTITUTE(SUBSTITUTE(SUBSTITUTE("type:"&amp;B1221,"%","%25"),"~","%7E"),"*","%2A"),"?","%3F")))&gt;1,"Duplicate type",IF(INDEX('Rules'!$F$7:$F$26,MATCH(SUBSTITUTE(SUBSTITUTE(SUBSTITUTE(SUBSTITUTE("type:"&amp;B1221,"%","%25"),"~","%7E"),"*","%2A"),"?","%3F"),'Rules'!$G$7:$G$26,0))&lt;&gt;"",INDEX('Rules'!$F$7:$F$26,MATCH(SUBSTITUTE(SUBSTITUTE(SUBSTITUTE(SUBSTITUTE("type:"&amp;B1221,"%","%25"),"~","%7E"),"*","%2A"),"?","%3F"),'Rules'!$G$7:$G$26,0)),IF(AND(C1221&lt;&gt;"",C1221&lt;&gt;INDEX('Rules'!$B$7:$B$26,MATCH(SUBSTITUTE(SUBSTITUTE(SUBSTITUTE(SUBSTITUTE("type:"&amp;B1221,"%","%25"),"~","%7E"),"*","%2A"),"?","%3F"),'Rules'!$G$7:$G$26,0))),"Unit mismatch",IF(IF(NOT(ISNUMBER(D1221)),TRUE,OR(D1221&lt;0,D1221&gt;999999999,ROUND(D1221,3)&lt;&gt;D1221)),"Invalid current reading",IF(AND(E1221&lt;&gt;"",IF(NOT(ISNUMBER(E1221)),TRUE,OR(E1221&lt;0,E1221&gt;999999999,ROUND(E1221,3)&lt;&gt;E1221))),"Invalid previous reading",IF(IF(NOT(ISNUMBER(F1221)),TRUE,OR(F1221&lt;0,F1221&gt;999999999,ROUND(F1221,3)&lt;&gt;F1221)),"Invalid last service",IF(AND(E1221&lt;&gt;"",D1221&lt;E1221),"Decreased reading",IF(F1221&gt;D1221,"Last service above current","")))))))))))))</x:f>
      </x:c>
      <x:c r="L1221" s="6" t="str">
        <x:f>IF(AND(NOT(COUNTA(A1221:F1221)=0),K1221=""),INDEX('Rules'!$C$7:$C$26,MATCH(SUBSTITUTE(SUBSTITUTE(SUBSTITUTE(SUBSTITUTE("type:"&amp;B1221,"%","%25"),"~","%7E"),"*","%2A"),"?","%3F"),'Rules'!$G$7:$G$26,0)),"")</x:f>
      </x:c>
      <x:c r="M1221" s="6" t="str">
        <x:f>IF(AND(NOT(COUNTA(A1221:F1221)=0),K1221=""),INDEX('Rules'!$D$7:$D$26,MATCH(SUBSTITUTE(SUBSTITUTE(SUBSTITUTE(SUBSTITUTE("type:"&amp;B1221,"%","%25"),"~","%7E"),"*","%2A"),"?","%3F"),'Rules'!$G$7:$G$26,0)),"")</x:f>
      </x:c>
      <x:c r="N1221" s="5" t="str">
        <x:f>IF(COUNTA(A1221:F1221)=0,"",SUBSTITUTE(SUBSTITUTE(SUBSTITUTE(SUBSTITUTE("id:"&amp;A1221,"%","%25"),"~","%7E"),"*","%2A"),"?","%3F"))</x:f>
      </x:c>
    </x:row>
    <x:row r="1222" ht="22" customHeight="1">
      <x:c r="A1222" s="3"/>
      <x:c r="B1222" s="3"/>
      <x:c r="C1222" s="3"/>
      <x:c r="D1222" s="4"/>
      <x:c r="E1222" s="4"/>
      <x:c r="F1222" s="4"/>
      <x:c r="G1222" s="5" t="str">
        <x:f>IF(COUNTA(A1222:F1222)=0,"",IF(K1222&lt;&gt;"","Review",IF(I1222&lt;0,"Overdue",IF(I1222=0,"Due now",IF(I1222&lt;=M1222,"Due soon","Not due")))))</x:f>
      </x:c>
      <x:c r="H1222" s="5" t="str">
        <x:f>IF(OR(COUNTA(A1222:F1222)=0,COUNTIFS('Rules'!$G$7:$G$26,"="&amp;(SUBSTITUTE(SUBSTITUTE(SUBSTITUTE(SUBSTITUTE("type:"&amp;B1222,"%","%25"),"~","%7E"),"*","%2A"),"?","%3F")))&lt;&gt;1),"",IF(OR(INDEX('Rules'!$B$7:$B$26,MATCH(SUBSTITUTE(SUBSTITUTE(SUBSTITUTE(SUBSTITUTE("type:"&amp;B1222,"%","%25"),"~","%7E"),"*","%2A"),"?","%3F"),'Rules'!$G$7:$G$26,0))="hours",INDEX('Rules'!$B$7:$B$26,MATCH(SUBSTITUTE(SUBSTITUTE(SUBSTITUTE(SUBSTITUTE("type:"&amp;B1222,"%","%25"),"~","%7E"),"*","%2A"),"?","%3F"),'Rules'!$G$7:$G$26,0))="km"),INDEX('Rules'!$B$7:$B$26,MATCH(SUBSTITUTE(SUBSTITUTE(SUBSTITUTE(SUBSTITUTE("type:"&amp;B1222,"%","%25"),"~","%7E"),"*","%2A"),"?","%3F"),'Rules'!$G$7:$G$26,0)),""))</x:f>
      </x:c>
      <x:c r="I1222" s="6" t="str">
        <x:f>IF(AND(NOT(COUNTA(A1222:F1222)=0),K1222=""),ROUND(J1222-D1222,3),"")</x:f>
      </x:c>
      <x:c r="J1222" s="6" t="str">
        <x:f>IF(AND(NOT(COUNTA(A1222:F1222)=0),K1222=""),ROUND(F1222+L1222,3),"")</x:f>
      </x:c>
      <x:c r="K1222" s="5" t="str">
        <x:f>IF(COUNTA(A1222:F1222)=0,"",IF(A1222="","Missing equipment ID",IF(COUNTIFS($N$8:$N$2007,"="&amp;N1222)&gt;1,"Duplicate equipment ID",IF(B1222="","Missing type",IF(COUNTIFS('Rules'!$G$7:$G$26,"="&amp;(SUBSTITUTE(SUBSTITUTE(SUBSTITUTE(SUBSTITUTE("type:"&amp;B1222,"%","%25"),"~","%7E"),"*","%2A"),"?","%3F")))=0,"Unknown type",IF(COUNTIFS('Rules'!$G$7:$G$26,"="&amp;(SUBSTITUTE(SUBSTITUTE(SUBSTITUTE(SUBSTITUTE("type:"&amp;B1222,"%","%25"),"~","%7E"),"*","%2A"),"?","%3F")))&gt;1,"Duplicate type",IF(INDEX('Rules'!$F$7:$F$26,MATCH(SUBSTITUTE(SUBSTITUTE(SUBSTITUTE(SUBSTITUTE("type:"&amp;B1222,"%","%25"),"~","%7E"),"*","%2A"),"?","%3F"),'Rules'!$G$7:$G$26,0))&lt;&gt;"",INDEX('Rules'!$F$7:$F$26,MATCH(SUBSTITUTE(SUBSTITUTE(SUBSTITUTE(SUBSTITUTE("type:"&amp;B1222,"%","%25"),"~","%7E"),"*","%2A"),"?","%3F"),'Rules'!$G$7:$G$26,0)),IF(AND(C1222&lt;&gt;"",C1222&lt;&gt;INDEX('Rules'!$B$7:$B$26,MATCH(SUBSTITUTE(SUBSTITUTE(SUBSTITUTE(SUBSTITUTE("type:"&amp;B1222,"%","%25"),"~","%7E"),"*","%2A"),"?","%3F"),'Rules'!$G$7:$G$26,0))),"Unit mismatch",IF(IF(NOT(ISNUMBER(D1222)),TRUE,OR(D1222&lt;0,D1222&gt;999999999,ROUND(D1222,3)&lt;&gt;D1222)),"Invalid current reading",IF(AND(E1222&lt;&gt;"",IF(NOT(ISNUMBER(E1222)),TRUE,OR(E1222&lt;0,E1222&gt;999999999,ROUND(E1222,3)&lt;&gt;E1222))),"Invalid previous reading",IF(IF(NOT(ISNUMBER(F1222)),TRUE,OR(F1222&lt;0,F1222&gt;999999999,ROUND(F1222,3)&lt;&gt;F1222)),"Invalid last service",IF(AND(E1222&lt;&gt;"",D1222&lt;E1222),"Decreased reading",IF(F1222&gt;D1222,"Last service above current","")))))))))))))</x:f>
      </x:c>
      <x:c r="L1222" s="6" t="str">
        <x:f>IF(AND(NOT(COUNTA(A1222:F1222)=0),K1222=""),INDEX('Rules'!$C$7:$C$26,MATCH(SUBSTITUTE(SUBSTITUTE(SUBSTITUTE(SUBSTITUTE("type:"&amp;B1222,"%","%25"),"~","%7E"),"*","%2A"),"?","%3F"),'Rules'!$G$7:$G$26,0)),"")</x:f>
      </x:c>
      <x:c r="M1222" s="6" t="str">
        <x:f>IF(AND(NOT(COUNTA(A1222:F1222)=0),K1222=""),INDEX('Rules'!$D$7:$D$26,MATCH(SUBSTITUTE(SUBSTITUTE(SUBSTITUTE(SUBSTITUTE("type:"&amp;B1222,"%","%25"),"~","%7E"),"*","%2A"),"?","%3F"),'Rules'!$G$7:$G$26,0)),"")</x:f>
      </x:c>
      <x:c r="N1222" s="5" t="str">
        <x:f>IF(COUNTA(A1222:F1222)=0,"",SUBSTITUTE(SUBSTITUTE(SUBSTITUTE(SUBSTITUTE("id:"&amp;A1222,"%","%25"),"~","%7E"),"*","%2A"),"?","%3F"))</x:f>
      </x:c>
    </x:row>
    <x:row r="1223" ht="22" customHeight="1">
      <x:c r="A1223" s="3"/>
      <x:c r="B1223" s="3"/>
      <x:c r="C1223" s="3"/>
      <x:c r="D1223" s="4"/>
      <x:c r="E1223" s="4"/>
      <x:c r="F1223" s="4"/>
      <x:c r="G1223" s="5" t="str">
        <x:f>IF(COUNTA(A1223:F1223)=0,"",IF(K1223&lt;&gt;"","Review",IF(I1223&lt;0,"Overdue",IF(I1223=0,"Due now",IF(I1223&lt;=M1223,"Due soon","Not due")))))</x:f>
      </x:c>
      <x:c r="H1223" s="5" t="str">
        <x:f>IF(OR(COUNTA(A1223:F1223)=0,COUNTIFS('Rules'!$G$7:$G$26,"="&amp;(SUBSTITUTE(SUBSTITUTE(SUBSTITUTE(SUBSTITUTE("type:"&amp;B1223,"%","%25"),"~","%7E"),"*","%2A"),"?","%3F")))&lt;&gt;1),"",IF(OR(INDEX('Rules'!$B$7:$B$26,MATCH(SUBSTITUTE(SUBSTITUTE(SUBSTITUTE(SUBSTITUTE("type:"&amp;B1223,"%","%25"),"~","%7E"),"*","%2A"),"?","%3F"),'Rules'!$G$7:$G$26,0))="hours",INDEX('Rules'!$B$7:$B$26,MATCH(SUBSTITUTE(SUBSTITUTE(SUBSTITUTE(SUBSTITUTE("type:"&amp;B1223,"%","%25"),"~","%7E"),"*","%2A"),"?","%3F"),'Rules'!$G$7:$G$26,0))="km"),INDEX('Rules'!$B$7:$B$26,MATCH(SUBSTITUTE(SUBSTITUTE(SUBSTITUTE(SUBSTITUTE("type:"&amp;B1223,"%","%25"),"~","%7E"),"*","%2A"),"?","%3F"),'Rules'!$G$7:$G$26,0)),""))</x:f>
      </x:c>
      <x:c r="I1223" s="6" t="str">
        <x:f>IF(AND(NOT(COUNTA(A1223:F1223)=0),K1223=""),ROUND(J1223-D1223,3),"")</x:f>
      </x:c>
      <x:c r="J1223" s="6" t="str">
        <x:f>IF(AND(NOT(COUNTA(A1223:F1223)=0),K1223=""),ROUND(F1223+L1223,3),"")</x:f>
      </x:c>
      <x:c r="K1223" s="5" t="str">
        <x:f>IF(COUNTA(A1223:F1223)=0,"",IF(A1223="","Missing equipment ID",IF(COUNTIFS($N$8:$N$2007,"="&amp;N1223)&gt;1,"Duplicate equipment ID",IF(B1223="","Missing type",IF(COUNTIFS('Rules'!$G$7:$G$26,"="&amp;(SUBSTITUTE(SUBSTITUTE(SUBSTITUTE(SUBSTITUTE("type:"&amp;B1223,"%","%25"),"~","%7E"),"*","%2A"),"?","%3F")))=0,"Unknown type",IF(COUNTIFS('Rules'!$G$7:$G$26,"="&amp;(SUBSTITUTE(SUBSTITUTE(SUBSTITUTE(SUBSTITUTE("type:"&amp;B1223,"%","%25"),"~","%7E"),"*","%2A"),"?","%3F")))&gt;1,"Duplicate type",IF(INDEX('Rules'!$F$7:$F$26,MATCH(SUBSTITUTE(SUBSTITUTE(SUBSTITUTE(SUBSTITUTE("type:"&amp;B1223,"%","%25"),"~","%7E"),"*","%2A"),"?","%3F"),'Rules'!$G$7:$G$26,0))&lt;&gt;"",INDEX('Rules'!$F$7:$F$26,MATCH(SUBSTITUTE(SUBSTITUTE(SUBSTITUTE(SUBSTITUTE("type:"&amp;B1223,"%","%25"),"~","%7E"),"*","%2A"),"?","%3F"),'Rules'!$G$7:$G$26,0)),IF(AND(C1223&lt;&gt;"",C1223&lt;&gt;INDEX('Rules'!$B$7:$B$26,MATCH(SUBSTITUTE(SUBSTITUTE(SUBSTITUTE(SUBSTITUTE("type:"&amp;B1223,"%","%25"),"~","%7E"),"*","%2A"),"?","%3F"),'Rules'!$G$7:$G$26,0))),"Unit mismatch",IF(IF(NOT(ISNUMBER(D1223)),TRUE,OR(D1223&lt;0,D1223&gt;999999999,ROUND(D1223,3)&lt;&gt;D1223)),"Invalid current reading",IF(AND(E1223&lt;&gt;"",IF(NOT(ISNUMBER(E1223)),TRUE,OR(E1223&lt;0,E1223&gt;999999999,ROUND(E1223,3)&lt;&gt;E1223))),"Invalid previous reading",IF(IF(NOT(ISNUMBER(F1223)),TRUE,OR(F1223&lt;0,F1223&gt;999999999,ROUND(F1223,3)&lt;&gt;F1223)),"Invalid last service",IF(AND(E1223&lt;&gt;"",D1223&lt;E1223),"Decreased reading",IF(F1223&gt;D1223,"Last service above current","")))))))))))))</x:f>
      </x:c>
      <x:c r="L1223" s="6" t="str">
        <x:f>IF(AND(NOT(COUNTA(A1223:F1223)=0),K1223=""),INDEX('Rules'!$C$7:$C$26,MATCH(SUBSTITUTE(SUBSTITUTE(SUBSTITUTE(SUBSTITUTE("type:"&amp;B1223,"%","%25"),"~","%7E"),"*","%2A"),"?","%3F"),'Rules'!$G$7:$G$26,0)),"")</x:f>
      </x:c>
      <x:c r="M1223" s="6" t="str">
        <x:f>IF(AND(NOT(COUNTA(A1223:F1223)=0),K1223=""),INDEX('Rules'!$D$7:$D$26,MATCH(SUBSTITUTE(SUBSTITUTE(SUBSTITUTE(SUBSTITUTE("type:"&amp;B1223,"%","%25"),"~","%7E"),"*","%2A"),"?","%3F"),'Rules'!$G$7:$G$26,0)),"")</x:f>
      </x:c>
      <x:c r="N1223" s="5" t="str">
        <x:f>IF(COUNTA(A1223:F1223)=0,"",SUBSTITUTE(SUBSTITUTE(SUBSTITUTE(SUBSTITUTE("id:"&amp;A1223,"%","%25"),"~","%7E"),"*","%2A"),"?","%3F"))</x:f>
      </x:c>
    </x:row>
    <x:row r="1224" ht="22" customHeight="1">
      <x:c r="A1224" s="3"/>
      <x:c r="B1224" s="3"/>
      <x:c r="C1224" s="3"/>
      <x:c r="D1224" s="4"/>
      <x:c r="E1224" s="4"/>
      <x:c r="F1224" s="4"/>
      <x:c r="G1224" s="5" t="str">
        <x:f>IF(COUNTA(A1224:F1224)=0,"",IF(K1224&lt;&gt;"","Review",IF(I1224&lt;0,"Overdue",IF(I1224=0,"Due now",IF(I1224&lt;=M1224,"Due soon","Not due")))))</x:f>
      </x:c>
      <x:c r="H1224" s="5" t="str">
        <x:f>IF(OR(COUNTA(A1224:F1224)=0,COUNTIFS('Rules'!$G$7:$G$26,"="&amp;(SUBSTITUTE(SUBSTITUTE(SUBSTITUTE(SUBSTITUTE("type:"&amp;B1224,"%","%25"),"~","%7E"),"*","%2A"),"?","%3F")))&lt;&gt;1),"",IF(OR(INDEX('Rules'!$B$7:$B$26,MATCH(SUBSTITUTE(SUBSTITUTE(SUBSTITUTE(SUBSTITUTE("type:"&amp;B1224,"%","%25"),"~","%7E"),"*","%2A"),"?","%3F"),'Rules'!$G$7:$G$26,0))="hours",INDEX('Rules'!$B$7:$B$26,MATCH(SUBSTITUTE(SUBSTITUTE(SUBSTITUTE(SUBSTITUTE("type:"&amp;B1224,"%","%25"),"~","%7E"),"*","%2A"),"?","%3F"),'Rules'!$G$7:$G$26,0))="km"),INDEX('Rules'!$B$7:$B$26,MATCH(SUBSTITUTE(SUBSTITUTE(SUBSTITUTE(SUBSTITUTE("type:"&amp;B1224,"%","%25"),"~","%7E"),"*","%2A"),"?","%3F"),'Rules'!$G$7:$G$26,0)),""))</x:f>
      </x:c>
      <x:c r="I1224" s="6" t="str">
        <x:f>IF(AND(NOT(COUNTA(A1224:F1224)=0),K1224=""),ROUND(J1224-D1224,3),"")</x:f>
      </x:c>
      <x:c r="J1224" s="6" t="str">
        <x:f>IF(AND(NOT(COUNTA(A1224:F1224)=0),K1224=""),ROUND(F1224+L1224,3),"")</x:f>
      </x:c>
      <x:c r="K1224" s="5" t="str">
        <x:f>IF(COUNTA(A1224:F1224)=0,"",IF(A1224="","Missing equipment ID",IF(COUNTIFS($N$8:$N$2007,"="&amp;N1224)&gt;1,"Duplicate equipment ID",IF(B1224="","Missing type",IF(COUNTIFS('Rules'!$G$7:$G$26,"="&amp;(SUBSTITUTE(SUBSTITUTE(SUBSTITUTE(SUBSTITUTE("type:"&amp;B1224,"%","%25"),"~","%7E"),"*","%2A"),"?","%3F")))=0,"Unknown type",IF(COUNTIFS('Rules'!$G$7:$G$26,"="&amp;(SUBSTITUTE(SUBSTITUTE(SUBSTITUTE(SUBSTITUTE("type:"&amp;B1224,"%","%25"),"~","%7E"),"*","%2A"),"?","%3F")))&gt;1,"Duplicate type",IF(INDEX('Rules'!$F$7:$F$26,MATCH(SUBSTITUTE(SUBSTITUTE(SUBSTITUTE(SUBSTITUTE("type:"&amp;B1224,"%","%25"),"~","%7E"),"*","%2A"),"?","%3F"),'Rules'!$G$7:$G$26,0))&lt;&gt;"",INDEX('Rules'!$F$7:$F$26,MATCH(SUBSTITUTE(SUBSTITUTE(SUBSTITUTE(SUBSTITUTE("type:"&amp;B1224,"%","%25"),"~","%7E"),"*","%2A"),"?","%3F"),'Rules'!$G$7:$G$26,0)),IF(AND(C1224&lt;&gt;"",C1224&lt;&gt;INDEX('Rules'!$B$7:$B$26,MATCH(SUBSTITUTE(SUBSTITUTE(SUBSTITUTE(SUBSTITUTE("type:"&amp;B1224,"%","%25"),"~","%7E"),"*","%2A"),"?","%3F"),'Rules'!$G$7:$G$26,0))),"Unit mismatch",IF(IF(NOT(ISNUMBER(D1224)),TRUE,OR(D1224&lt;0,D1224&gt;999999999,ROUND(D1224,3)&lt;&gt;D1224)),"Invalid current reading",IF(AND(E1224&lt;&gt;"",IF(NOT(ISNUMBER(E1224)),TRUE,OR(E1224&lt;0,E1224&gt;999999999,ROUND(E1224,3)&lt;&gt;E1224))),"Invalid previous reading",IF(IF(NOT(ISNUMBER(F1224)),TRUE,OR(F1224&lt;0,F1224&gt;999999999,ROUND(F1224,3)&lt;&gt;F1224)),"Invalid last service",IF(AND(E1224&lt;&gt;"",D1224&lt;E1224),"Decreased reading",IF(F1224&gt;D1224,"Last service above current","")))))))))))))</x:f>
      </x:c>
      <x:c r="L1224" s="6" t="str">
        <x:f>IF(AND(NOT(COUNTA(A1224:F1224)=0),K1224=""),INDEX('Rules'!$C$7:$C$26,MATCH(SUBSTITUTE(SUBSTITUTE(SUBSTITUTE(SUBSTITUTE("type:"&amp;B1224,"%","%25"),"~","%7E"),"*","%2A"),"?","%3F"),'Rules'!$G$7:$G$26,0)),"")</x:f>
      </x:c>
      <x:c r="M1224" s="6" t="str">
        <x:f>IF(AND(NOT(COUNTA(A1224:F1224)=0),K1224=""),INDEX('Rules'!$D$7:$D$26,MATCH(SUBSTITUTE(SUBSTITUTE(SUBSTITUTE(SUBSTITUTE("type:"&amp;B1224,"%","%25"),"~","%7E"),"*","%2A"),"?","%3F"),'Rules'!$G$7:$G$26,0)),"")</x:f>
      </x:c>
      <x:c r="N1224" s="5" t="str">
        <x:f>IF(COUNTA(A1224:F1224)=0,"",SUBSTITUTE(SUBSTITUTE(SUBSTITUTE(SUBSTITUTE("id:"&amp;A1224,"%","%25"),"~","%7E"),"*","%2A"),"?","%3F"))</x:f>
      </x:c>
    </x:row>
    <x:row r="1225" ht="22" customHeight="1">
      <x:c r="A1225" s="3"/>
      <x:c r="B1225" s="3"/>
      <x:c r="C1225" s="3"/>
      <x:c r="D1225" s="4"/>
      <x:c r="E1225" s="4"/>
      <x:c r="F1225" s="4"/>
      <x:c r="G1225" s="5" t="str">
        <x:f>IF(COUNTA(A1225:F1225)=0,"",IF(K1225&lt;&gt;"","Review",IF(I1225&lt;0,"Overdue",IF(I1225=0,"Due now",IF(I1225&lt;=M1225,"Due soon","Not due")))))</x:f>
      </x:c>
      <x:c r="H1225" s="5" t="str">
        <x:f>IF(OR(COUNTA(A1225:F1225)=0,COUNTIFS('Rules'!$G$7:$G$26,"="&amp;(SUBSTITUTE(SUBSTITUTE(SUBSTITUTE(SUBSTITUTE("type:"&amp;B1225,"%","%25"),"~","%7E"),"*","%2A"),"?","%3F")))&lt;&gt;1),"",IF(OR(INDEX('Rules'!$B$7:$B$26,MATCH(SUBSTITUTE(SUBSTITUTE(SUBSTITUTE(SUBSTITUTE("type:"&amp;B1225,"%","%25"),"~","%7E"),"*","%2A"),"?","%3F"),'Rules'!$G$7:$G$26,0))="hours",INDEX('Rules'!$B$7:$B$26,MATCH(SUBSTITUTE(SUBSTITUTE(SUBSTITUTE(SUBSTITUTE("type:"&amp;B1225,"%","%25"),"~","%7E"),"*","%2A"),"?","%3F"),'Rules'!$G$7:$G$26,0))="km"),INDEX('Rules'!$B$7:$B$26,MATCH(SUBSTITUTE(SUBSTITUTE(SUBSTITUTE(SUBSTITUTE("type:"&amp;B1225,"%","%25"),"~","%7E"),"*","%2A"),"?","%3F"),'Rules'!$G$7:$G$26,0)),""))</x:f>
      </x:c>
      <x:c r="I1225" s="6" t="str">
        <x:f>IF(AND(NOT(COUNTA(A1225:F1225)=0),K1225=""),ROUND(J1225-D1225,3),"")</x:f>
      </x:c>
      <x:c r="J1225" s="6" t="str">
        <x:f>IF(AND(NOT(COUNTA(A1225:F1225)=0),K1225=""),ROUND(F1225+L1225,3),"")</x:f>
      </x:c>
      <x:c r="K1225" s="5" t="str">
        <x:f>IF(COUNTA(A1225:F1225)=0,"",IF(A1225="","Missing equipment ID",IF(COUNTIFS($N$8:$N$2007,"="&amp;N1225)&gt;1,"Duplicate equipment ID",IF(B1225="","Missing type",IF(COUNTIFS('Rules'!$G$7:$G$26,"="&amp;(SUBSTITUTE(SUBSTITUTE(SUBSTITUTE(SUBSTITUTE("type:"&amp;B1225,"%","%25"),"~","%7E"),"*","%2A"),"?","%3F")))=0,"Unknown type",IF(COUNTIFS('Rules'!$G$7:$G$26,"="&amp;(SUBSTITUTE(SUBSTITUTE(SUBSTITUTE(SUBSTITUTE("type:"&amp;B1225,"%","%25"),"~","%7E"),"*","%2A"),"?","%3F")))&gt;1,"Duplicate type",IF(INDEX('Rules'!$F$7:$F$26,MATCH(SUBSTITUTE(SUBSTITUTE(SUBSTITUTE(SUBSTITUTE("type:"&amp;B1225,"%","%25"),"~","%7E"),"*","%2A"),"?","%3F"),'Rules'!$G$7:$G$26,0))&lt;&gt;"",INDEX('Rules'!$F$7:$F$26,MATCH(SUBSTITUTE(SUBSTITUTE(SUBSTITUTE(SUBSTITUTE("type:"&amp;B1225,"%","%25"),"~","%7E"),"*","%2A"),"?","%3F"),'Rules'!$G$7:$G$26,0)),IF(AND(C1225&lt;&gt;"",C1225&lt;&gt;INDEX('Rules'!$B$7:$B$26,MATCH(SUBSTITUTE(SUBSTITUTE(SUBSTITUTE(SUBSTITUTE("type:"&amp;B1225,"%","%25"),"~","%7E"),"*","%2A"),"?","%3F"),'Rules'!$G$7:$G$26,0))),"Unit mismatch",IF(IF(NOT(ISNUMBER(D1225)),TRUE,OR(D1225&lt;0,D1225&gt;999999999,ROUND(D1225,3)&lt;&gt;D1225)),"Invalid current reading",IF(AND(E1225&lt;&gt;"",IF(NOT(ISNUMBER(E1225)),TRUE,OR(E1225&lt;0,E1225&gt;999999999,ROUND(E1225,3)&lt;&gt;E1225))),"Invalid previous reading",IF(IF(NOT(ISNUMBER(F1225)),TRUE,OR(F1225&lt;0,F1225&gt;999999999,ROUND(F1225,3)&lt;&gt;F1225)),"Invalid last service",IF(AND(E1225&lt;&gt;"",D1225&lt;E1225),"Decreased reading",IF(F1225&gt;D1225,"Last service above current","")))))))))))))</x:f>
      </x:c>
      <x:c r="L1225" s="6" t="str">
        <x:f>IF(AND(NOT(COUNTA(A1225:F1225)=0),K1225=""),INDEX('Rules'!$C$7:$C$26,MATCH(SUBSTITUTE(SUBSTITUTE(SUBSTITUTE(SUBSTITUTE("type:"&amp;B1225,"%","%25"),"~","%7E"),"*","%2A"),"?","%3F"),'Rules'!$G$7:$G$26,0)),"")</x:f>
      </x:c>
      <x:c r="M1225" s="6" t="str">
        <x:f>IF(AND(NOT(COUNTA(A1225:F1225)=0),K1225=""),INDEX('Rules'!$D$7:$D$26,MATCH(SUBSTITUTE(SUBSTITUTE(SUBSTITUTE(SUBSTITUTE("type:"&amp;B1225,"%","%25"),"~","%7E"),"*","%2A"),"?","%3F"),'Rules'!$G$7:$G$26,0)),"")</x:f>
      </x:c>
      <x:c r="N1225" s="5" t="str">
        <x:f>IF(COUNTA(A1225:F1225)=0,"",SUBSTITUTE(SUBSTITUTE(SUBSTITUTE(SUBSTITUTE("id:"&amp;A1225,"%","%25"),"~","%7E"),"*","%2A"),"?","%3F"))</x:f>
      </x:c>
    </x:row>
    <x:row r="1226" ht="22" customHeight="1">
      <x:c r="A1226" s="3"/>
      <x:c r="B1226" s="3"/>
      <x:c r="C1226" s="3"/>
      <x:c r="D1226" s="4"/>
      <x:c r="E1226" s="4"/>
      <x:c r="F1226" s="4"/>
      <x:c r="G1226" s="5" t="str">
        <x:f>IF(COUNTA(A1226:F1226)=0,"",IF(K1226&lt;&gt;"","Review",IF(I1226&lt;0,"Overdue",IF(I1226=0,"Due now",IF(I1226&lt;=M1226,"Due soon","Not due")))))</x:f>
      </x:c>
      <x:c r="H1226" s="5" t="str">
        <x:f>IF(OR(COUNTA(A1226:F1226)=0,COUNTIFS('Rules'!$G$7:$G$26,"="&amp;(SUBSTITUTE(SUBSTITUTE(SUBSTITUTE(SUBSTITUTE("type:"&amp;B1226,"%","%25"),"~","%7E"),"*","%2A"),"?","%3F")))&lt;&gt;1),"",IF(OR(INDEX('Rules'!$B$7:$B$26,MATCH(SUBSTITUTE(SUBSTITUTE(SUBSTITUTE(SUBSTITUTE("type:"&amp;B1226,"%","%25"),"~","%7E"),"*","%2A"),"?","%3F"),'Rules'!$G$7:$G$26,0))="hours",INDEX('Rules'!$B$7:$B$26,MATCH(SUBSTITUTE(SUBSTITUTE(SUBSTITUTE(SUBSTITUTE("type:"&amp;B1226,"%","%25"),"~","%7E"),"*","%2A"),"?","%3F"),'Rules'!$G$7:$G$26,0))="km"),INDEX('Rules'!$B$7:$B$26,MATCH(SUBSTITUTE(SUBSTITUTE(SUBSTITUTE(SUBSTITUTE("type:"&amp;B1226,"%","%25"),"~","%7E"),"*","%2A"),"?","%3F"),'Rules'!$G$7:$G$26,0)),""))</x:f>
      </x:c>
      <x:c r="I1226" s="6" t="str">
        <x:f>IF(AND(NOT(COUNTA(A1226:F1226)=0),K1226=""),ROUND(J1226-D1226,3),"")</x:f>
      </x:c>
      <x:c r="J1226" s="6" t="str">
        <x:f>IF(AND(NOT(COUNTA(A1226:F1226)=0),K1226=""),ROUND(F1226+L1226,3),"")</x:f>
      </x:c>
      <x:c r="K1226" s="5" t="str">
        <x:f>IF(COUNTA(A1226:F1226)=0,"",IF(A1226="","Missing equipment ID",IF(COUNTIFS($N$8:$N$2007,"="&amp;N1226)&gt;1,"Duplicate equipment ID",IF(B1226="","Missing type",IF(COUNTIFS('Rules'!$G$7:$G$26,"="&amp;(SUBSTITUTE(SUBSTITUTE(SUBSTITUTE(SUBSTITUTE("type:"&amp;B1226,"%","%25"),"~","%7E"),"*","%2A"),"?","%3F")))=0,"Unknown type",IF(COUNTIFS('Rules'!$G$7:$G$26,"="&amp;(SUBSTITUTE(SUBSTITUTE(SUBSTITUTE(SUBSTITUTE("type:"&amp;B1226,"%","%25"),"~","%7E"),"*","%2A"),"?","%3F")))&gt;1,"Duplicate type",IF(INDEX('Rules'!$F$7:$F$26,MATCH(SUBSTITUTE(SUBSTITUTE(SUBSTITUTE(SUBSTITUTE("type:"&amp;B1226,"%","%25"),"~","%7E"),"*","%2A"),"?","%3F"),'Rules'!$G$7:$G$26,0))&lt;&gt;"",INDEX('Rules'!$F$7:$F$26,MATCH(SUBSTITUTE(SUBSTITUTE(SUBSTITUTE(SUBSTITUTE("type:"&amp;B1226,"%","%25"),"~","%7E"),"*","%2A"),"?","%3F"),'Rules'!$G$7:$G$26,0)),IF(AND(C1226&lt;&gt;"",C1226&lt;&gt;INDEX('Rules'!$B$7:$B$26,MATCH(SUBSTITUTE(SUBSTITUTE(SUBSTITUTE(SUBSTITUTE("type:"&amp;B1226,"%","%25"),"~","%7E"),"*","%2A"),"?","%3F"),'Rules'!$G$7:$G$26,0))),"Unit mismatch",IF(IF(NOT(ISNUMBER(D1226)),TRUE,OR(D1226&lt;0,D1226&gt;999999999,ROUND(D1226,3)&lt;&gt;D1226)),"Invalid current reading",IF(AND(E1226&lt;&gt;"",IF(NOT(ISNUMBER(E1226)),TRUE,OR(E1226&lt;0,E1226&gt;999999999,ROUND(E1226,3)&lt;&gt;E1226))),"Invalid previous reading",IF(IF(NOT(ISNUMBER(F1226)),TRUE,OR(F1226&lt;0,F1226&gt;999999999,ROUND(F1226,3)&lt;&gt;F1226)),"Invalid last service",IF(AND(E1226&lt;&gt;"",D1226&lt;E1226),"Decreased reading",IF(F1226&gt;D1226,"Last service above current","")))))))))))))</x:f>
      </x:c>
      <x:c r="L1226" s="6" t="str">
        <x:f>IF(AND(NOT(COUNTA(A1226:F1226)=0),K1226=""),INDEX('Rules'!$C$7:$C$26,MATCH(SUBSTITUTE(SUBSTITUTE(SUBSTITUTE(SUBSTITUTE("type:"&amp;B1226,"%","%25"),"~","%7E"),"*","%2A"),"?","%3F"),'Rules'!$G$7:$G$26,0)),"")</x:f>
      </x:c>
      <x:c r="M1226" s="6" t="str">
        <x:f>IF(AND(NOT(COUNTA(A1226:F1226)=0),K1226=""),INDEX('Rules'!$D$7:$D$26,MATCH(SUBSTITUTE(SUBSTITUTE(SUBSTITUTE(SUBSTITUTE("type:"&amp;B1226,"%","%25"),"~","%7E"),"*","%2A"),"?","%3F"),'Rules'!$G$7:$G$26,0)),"")</x:f>
      </x:c>
      <x:c r="N1226" s="5" t="str">
        <x:f>IF(COUNTA(A1226:F1226)=0,"",SUBSTITUTE(SUBSTITUTE(SUBSTITUTE(SUBSTITUTE("id:"&amp;A1226,"%","%25"),"~","%7E"),"*","%2A"),"?","%3F"))</x:f>
      </x:c>
    </x:row>
    <x:row r="1227" ht="22" customHeight="1">
      <x:c r="A1227" s="3"/>
      <x:c r="B1227" s="3"/>
      <x:c r="C1227" s="3"/>
      <x:c r="D1227" s="4"/>
      <x:c r="E1227" s="4"/>
      <x:c r="F1227" s="4"/>
      <x:c r="G1227" s="5" t="str">
        <x:f>IF(COUNTA(A1227:F1227)=0,"",IF(K1227&lt;&gt;"","Review",IF(I1227&lt;0,"Overdue",IF(I1227=0,"Due now",IF(I1227&lt;=M1227,"Due soon","Not due")))))</x:f>
      </x:c>
      <x:c r="H1227" s="5" t="str">
        <x:f>IF(OR(COUNTA(A1227:F1227)=0,COUNTIFS('Rules'!$G$7:$G$26,"="&amp;(SUBSTITUTE(SUBSTITUTE(SUBSTITUTE(SUBSTITUTE("type:"&amp;B1227,"%","%25"),"~","%7E"),"*","%2A"),"?","%3F")))&lt;&gt;1),"",IF(OR(INDEX('Rules'!$B$7:$B$26,MATCH(SUBSTITUTE(SUBSTITUTE(SUBSTITUTE(SUBSTITUTE("type:"&amp;B1227,"%","%25"),"~","%7E"),"*","%2A"),"?","%3F"),'Rules'!$G$7:$G$26,0))="hours",INDEX('Rules'!$B$7:$B$26,MATCH(SUBSTITUTE(SUBSTITUTE(SUBSTITUTE(SUBSTITUTE("type:"&amp;B1227,"%","%25"),"~","%7E"),"*","%2A"),"?","%3F"),'Rules'!$G$7:$G$26,0))="km"),INDEX('Rules'!$B$7:$B$26,MATCH(SUBSTITUTE(SUBSTITUTE(SUBSTITUTE(SUBSTITUTE("type:"&amp;B1227,"%","%25"),"~","%7E"),"*","%2A"),"?","%3F"),'Rules'!$G$7:$G$26,0)),""))</x:f>
      </x:c>
      <x:c r="I1227" s="6" t="str">
        <x:f>IF(AND(NOT(COUNTA(A1227:F1227)=0),K1227=""),ROUND(J1227-D1227,3),"")</x:f>
      </x:c>
      <x:c r="J1227" s="6" t="str">
        <x:f>IF(AND(NOT(COUNTA(A1227:F1227)=0),K1227=""),ROUND(F1227+L1227,3),"")</x:f>
      </x:c>
      <x:c r="K1227" s="5" t="str">
        <x:f>IF(COUNTA(A1227:F1227)=0,"",IF(A1227="","Missing equipment ID",IF(COUNTIFS($N$8:$N$2007,"="&amp;N1227)&gt;1,"Duplicate equipment ID",IF(B1227="","Missing type",IF(COUNTIFS('Rules'!$G$7:$G$26,"="&amp;(SUBSTITUTE(SUBSTITUTE(SUBSTITUTE(SUBSTITUTE("type:"&amp;B1227,"%","%25"),"~","%7E"),"*","%2A"),"?","%3F")))=0,"Unknown type",IF(COUNTIFS('Rules'!$G$7:$G$26,"="&amp;(SUBSTITUTE(SUBSTITUTE(SUBSTITUTE(SUBSTITUTE("type:"&amp;B1227,"%","%25"),"~","%7E"),"*","%2A"),"?","%3F")))&gt;1,"Duplicate type",IF(INDEX('Rules'!$F$7:$F$26,MATCH(SUBSTITUTE(SUBSTITUTE(SUBSTITUTE(SUBSTITUTE("type:"&amp;B1227,"%","%25"),"~","%7E"),"*","%2A"),"?","%3F"),'Rules'!$G$7:$G$26,0))&lt;&gt;"",INDEX('Rules'!$F$7:$F$26,MATCH(SUBSTITUTE(SUBSTITUTE(SUBSTITUTE(SUBSTITUTE("type:"&amp;B1227,"%","%25"),"~","%7E"),"*","%2A"),"?","%3F"),'Rules'!$G$7:$G$26,0)),IF(AND(C1227&lt;&gt;"",C1227&lt;&gt;INDEX('Rules'!$B$7:$B$26,MATCH(SUBSTITUTE(SUBSTITUTE(SUBSTITUTE(SUBSTITUTE("type:"&amp;B1227,"%","%25"),"~","%7E"),"*","%2A"),"?","%3F"),'Rules'!$G$7:$G$26,0))),"Unit mismatch",IF(IF(NOT(ISNUMBER(D1227)),TRUE,OR(D1227&lt;0,D1227&gt;999999999,ROUND(D1227,3)&lt;&gt;D1227)),"Invalid current reading",IF(AND(E1227&lt;&gt;"",IF(NOT(ISNUMBER(E1227)),TRUE,OR(E1227&lt;0,E1227&gt;999999999,ROUND(E1227,3)&lt;&gt;E1227))),"Invalid previous reading",IF(IF(NOT(ISNUMBER(F1227)),TRUE,OR(F1227&lt;0,F1227&gt;999999999,ROUND(F1227,3)&lt;&gt;F1227)),"Invalid last service",IF(AND(E1227&lt;&gt;"",D1227&lt;E1227),"Decreased reading",IF(F1227&gt;D1227,"Last service above current","")))))))))))))</x:f>
      </x:c>
      <x:c r="L1227" s="6" t="str">
        <x:f>IF(AND(NOT(COUNTA(A1227:F1227)=0),K1227=""),INDEX('Rules'!$C$7:$C$26,MATCH(SUBSTITUTE(SUBSTITUTE(SUBSTITUTE(SUBSTITUTE("type:"&amp;B1227,"%","%25"),"~","%7E"),"*","%2A"),"?","%3F"),'Rules'!$G$7:$G$26,0)),"")</x:f>
      </x:c>
      <x:c r="M1227" s="6" t="str">
        <x:f>IF(AND(NOT(COUNTA(A1227:F1227)=0),K1227=""),INDEX('Rules'!$D$7:$D$26,MATCH(SUBSTITUTE(SUBSTITUTE(SUBSTITUTE(SUBSTITUTE("type:"&amp;B1227,"%","%25"),"~","%7E"),"*","%2A"),"?","%3F"),'Rules'!$G$7:$G$26,0)),"")</x:f>
      </x:c>
      <x:c r="N1227" s="5" t="str">
        <x:f>IF(COUNTA(A1227:F1227)=0,"",SUBSTITUTE(SUBSTITUTE(SUBSTITUTE(SUBSTITUTE("id:"&amp;A1227,"%","%25"),"~","%7E"),"*","%2A"),"?","%3F"))</x:f>
      </x:c>
    </x:row>
    <x:row r="1228" ht="22" customHeight="1">
      <x:c r="A1228" s="3"/>
      <x:c r="B1228" s="3"/>
      <x:c r="C1228" s="3"/>
      <x:c r="D1228" s="4"/>
      <x:c r="E1228" s="4"/>
      <x:c r="F1228" s="4"/>
      <x:c r="G1228" s="5" t="str">
        <x:f>IF(COUNTA(A1228:F1228)=0,"",IF(K1228&lt;&gt;"","Review",IF(I1228&lt;0,"Overdue",IF(I1228=0,"Due now",IF(I1228&lt;=M1228,"Due soon","Not due")))))</x:f>
      </x:c>
      <x:c r="H1228" s="5" t="str">
        <x:f>IF(OR(COUNTA(A1228:F1228)=0,COUNTIFS('Rules'!$G$7:$G$26,"="&amp;(SUBSTITUTE(SUBSTITUTE(SUBSTITUTE(SUBSTITUTE("type:"&amp;B1228,"%","%25"),"~","%7E"),"*","%2A"),"?","%3F")))&lt;&gt;1),"",IF(OR(INDEX('Rules'!$B$7:$B$26,MATCH(SUBSTITUTE(SUBSTITUTE(SUBSTITUTE(SUBSTITUTE("type:"&amp;B1228,"%","%25"),"~","%7E"),"*","%2A"),"?","%3F"),'Rules'!$G$7:$G$26,0))="hours",INDEX('Rules'!$B$7:$B$26,MATCH(SUBSTITUTE(SUBSTITUTE(SUBSTITUTE(SUBSTITUTE("type:"&amp;B1228,"%","%25"),"~","%7E"),"*","%2A"),"?","%3F"),'Rules'!$G$7:$G$26,0))="km"),INDEX('Rules'!$B$7:$B$26,MATCH(SUBSTITUTE(SUBSTITUTE(SUBSTITUTE(SUBSTITUTE("type:"&amp;B1228,"%","%25"),"~","%7E"),"*","%2A"),"?","%3F"),'Rules'!$G$7:$G$26,0)),""))</x:f>
      </x:c>
      <x:c r="I1228" s="6" t="str">
        <x:f>IF(AND(NOT(COUNTA(A1228:F1228)=0),K1228=""),ROUND(J1228-D1228,3),"")</x:f>
      </x:c>
      <x:c r="J1228" s="6" t="str">
        <x:f>IF(AND(NOT(COUNTA(A1228:F1228)=0),K1228=""),ROUND(F1228+L1228,3),"")</x:f>
      </x:c>
      <x:c r="K1228" s="5" t="str">
        <x:f>IF(COUNTA(A1228:F1228)=0,"",IF(A1228="","Missing equipment ID",IF(COUNTIFS($N$8:$N$2007,"="&amp;N1228)&gt;1,"Duplicate equipment ID",IF(B1228="","Missing type",IF(COUNTIFS('Rules'!$G$7:$G$26,"="&amp;(SUBSTITUTE(SUBSTITUTE(SUBSTITUTE(SUBSTITUTE("type:"&amp;B1228,"%","%25"),"~","%7E"),"*","%2A"),"?","%3F")))=0,"Unknown type",IF(COUNTIFS('Rules'!$G$7:$G$26,"="&amp;(SUBSTITUTE(SUBSTITUTE(SUBSTITUTE(SUBSTITUTE("type:"&amp;B1228,"%","%25"),"~","%7E"),"*","%2A"),"?","%3F")))&gt;1,"Duplicate type",IF(INDEX('Rules'!$F$7:$F$26,MATCH(SUBSTITUTE(SUBSTITUTE(SUBSTITUTE(SUBSTITUTE("type:"&amp;B1228,"%","%25"),"~","%7E"),"*","%2A"),"?","%3F"),'Rules'!$G$7:$G$26,0))&lt;&gt;"",INDEX('Rules'!$F$7:$F$26,MATCH(SUBSTITUTE(SUBSTITUTE(SUBSTITUTE(SUBSTITUTE("type:"&amp;B1228,"%","%25"),"~","%7E"),"*","%2A"),"?","%3F"),'Rules'!$G$7:$G$26,0)),IF(AND(C1228&lt;&gt;"",C1228&lt;&gt;INDEX('Rules'!$B$7:$B$26,MATCH(SUBSTITUTE(SUBSTITUTE(SUBSTITUTE(SUBSTITUTE("type:"&amp;B1228,"%","%25"),"~","%7E"),"*","%2A"),"?","%3F"),'Rules'!$G$7:$G$26,0))),"Unit mismatch",IF(IF(NOT(ISNUMBER(D1228)),TRUE,OR(D1228&lt;0,D1228&gt;999999999,ROUND(D1228,3)&lt;&gt;D1228)),"Invalid current reading",IF(AND(E1228&lt;&gt;"",IF(NOT(ISNUMBER(E1228)),TRUE,OR(E1228&lt;0,E1228&gt;999999999,ROUND(E1228,3)&lt;&gt;E1228))),"Invalid previous reading",IF(IF(NOT(ISNUMBER(F1228)),TRUE,OR(F1228&lt;0,F1228&gt;999999999,ROUND(F1228,3)&lt;&gt;F1228)),"Invalid last service",IF(AND(E1228&lt;&gt;"",D1228&lt;E1228),"Decreased reading",IF(F1228&gt;D1228,"Last service above current","")))))))))))))</x:f>
      </x:c>
      <x:c r="L1228" s="6" t="str">
        <x:f>IF(AND(NOT(COUNTA(A1228:F1228)=0),K1228=""),INDEX('Rules'!$C$7:$C$26,MATCH(SUBSTITUTE(SUBSTITUTE(SUBSTITUTE(SUBSTITUTE("type:"&amp;B1228,"%","%25"),"~","%7E"),"*","%2A"),"?","%3F"),'Rules'!$G$7:$G$26,0)),"")</x:f>
      </x:c>
      <x:c r="M1228" s="6" t="str">
        <x:f>IF(AND(NOT(COUNTA(A1228:F1228)=0),K1228=""),INDEX('Rules'!$D$7:$D$26,MATCH(SUBSTITUTE(SUBSTITUTE(SUBSTITUTE(SUBSTITUTE("type:"&amp;B1228,"%","%25"),"~","%7E"),"*","%2A"),"?","%3F"),'Rules'!$G$7:$G$26,0)),"")</x:f>
      </x:c>
      <x:c r="N1228" s="5" t="str">
        <x:f>IF(COUNTA(A1228:F1228)=0,"",SUBSTITUTE(SUBSTITUTE(SUBSTITUTE(SUBSTITUTE("id:"&amp;A1228,"%","%25"),"~","%7E"),"*","%2A"),"?","%3F"))</x:f>
      </x:c>
    </x:row>
    <x:row r="1229" ht="22" customHeight="1">
      <x:c r="A1229" s="3"/>
      <x:c r="B1229" s="3"/>
      <x:c r="C1229" s="3"/>
      <x:c r="D1229" s="4"/>
      <x:c r="E1229" s="4"/>
      <x:c r="F1229" s="4"/>
      <x:c r="G1229" s="5" t="str">
        <x:f>IF(COUNTA(A1229:F1229)=0,"",IF(K1229&lt;&gt;"","Review",IF(I1229&lt;0,"Overdue",IF(I1229=0,"Due now",IF(I1229&lt;=M1229,"Due soon","Not due")))))</x:f>
      </x:c>
      <x:c r="H1229" s="5" t="str">
        <x:f>IF(OR(COUNTA(A1229:F1229)=0,COUNTIFS('Rules'!$G$7:$G$26,"="&amp;(SUBSTITUTE(SUBSTITUTE(SUBSTITUTE(SUBSTITUTE("type:"&amp;B1229,"%","%25"),"~","%7E"),"*","%2A"),"?","%3F")))&lt;&gt;1),"",IF(OR(INDEX('Rules'!$B$7:$B$26,MATCH(SUBSTITUTE(SUBSTITUTE(SUBSTITUTE(SUBSTITUTE("type:"&amp;B1229,"%","%25"),"~","%7E"),"*","%2A"),"?","%3F"),'Rules'!$G$7:$G$26,0))="hours",INDEX('Rules'!$B$7:$B$26,MATCH(SUBSTITUTE(SUBSTITUTE(SUBSTITUTE(SUBSTITUTE("type:"&amp;B1229,"%","%25"),"~","%7E"),"*","%2A"),"?","%3F"),'Rules'!$G$7:$G$26,0))="km"),INDEX('Rules'!$B$7:$B$26,MATCH(SUBSTITUTE(SUBSTITUTE(SUBSTITUTE(SUBSTITUTE("type:"&amp;B1229,"%","%25"),"~","%7E"),"*","%2A"),"?","%3F"),'Rules'!$G$7:$G$26,0)),""))</x:f>
      </x:c>
      <x:c r="I1229" s="6" t="str">
        <x:f>IF(AND(NOT(COUNTA(A1229:F1229)=0),K1229=""),ROUND(J1229-D1229,3),"")</x:f>
      </x:c>
      <x:c r="J1229" s="6" t="str">
        <x:f>IF(AND(NOT(COUNTA(A1229:F1229)=0),K1229=""),ROUND(F1229+L1229,3),"")</x:f>
      </x:c>
      <x:c r="K1229" s="5" t="str">
        <x:f>IF(COUNTA(A1229:F1229)=0,"",IF(A1229="","Missing equipment ID",IF(COUNTIFS($N$8:$N$2007,"="&amp;N1229)&gt;1,"Duplicate equipment ID",IF(B1229="","Missing type",IF(COUNTIFS('Rules'!$G$7:$G$26,"="&amp;(SUBSTITUTE(SUBSTITUTE(SUBSTITUTE(SUBSTITUTE("type:"&amp;B1229,"%","%25"),"~","%7E"),"*","%2A"),"?","%3F")))=0,"Unknown type",IF(COUNTIFS('Rules'!$G$7:$G$26,"="&amp;(SUBSTITUTE(SUBSTITUTE(SUBSTITUTE(SUBSTITUTE("type:"&amp;B1229,"%","%25"),"~","%7E"),"*","%2A"),"?","%3F")))&gt;1,"Duplicate type",IF(INDEX('Rules'!$F$7:$F$26,MATCH(SUBSTITUTE(SUBSTITUTE(SUBSTITUTE(SUBSTITUTE("type:"&amp;B1229,"%","%25"),"~","%7E"),"*","%2A"),"?","%3F"),'Rules'!$G$7:$G$26,0))&lt;&gt;"",INDEX('Rules'!$F$7:$F$26,MATCH(SUBSTITUTE(SUBSTITUTE(SUBSTITUTE(SUBSTITUTE("type:"&amp;B1229,"%","%25"),"~","%7E"),"*","%2A"),"?","%3F"),'Rules'!$G$7:$G$26,0)),IF(AND(C1229&lt;&gt;"",C1229&lt;&gt;INDEX('Rules'!$B$7:$B$26,MATCH(SUBSTITUTE(SUBSTITUTE(SUBSTITUTE(SUBSTITUTE("type:"&amp;B1229,"%","%25"),"~","%7E"),"*","%2A"),"?","%3F"),'Rules'!$G$7:$G$26,0))),"Unit mismatch",IF(IF(NOT(ISNUMBER(D1229)),TRUE,OR(D1229&lt;0,D1229&gt;999999999,ROUND(D1229,3)&lt;&gt;D1229)),"Invalid current reading",IF(AND(E1229&lt;&gt;"",IF(NOT(ISNUMBER(E1229)),TRUE,OR(E1229&lt;0,E1229&gt;999999999,ROUND(E1229,3)&lt;&gt;E1229))),"Invalid previous reading",IF(IF(NOT(ISNUMBER(F1229)),TRUE,OR(F1229&lt;0,F1229&gt;999999999,ROUND(F1229,3)&lt;&gt;F1229)),"Invalid last service",IF(AND(E1229&lt;&gt;"",D1229&lt;E1229),"Decreased reading",IF(F1229&gt;D1229,"Last service above current","")))))))))))))</x:f>
      </x:c>
      <x:c r="L1229" s="6" t="str">
        <x:f>IF(AND(NOT(COUNTA(A1229:F1229)=0),K1229=""),INDEX('Rules'!$C$7:$C$26,MATCH(SUBSTITUTE(SUBSTITUTE(SUBSTITUTE(SUBSTITUTE("type:"&amp;B1229,"%","%25"),"~","%7E"),"*","%2A"),"?","%3F"),'Rules'!$G$7:$G$26,0)),"")</x:f>
      </x:c>
      <x:c r="M1229" s="6" t="str">
        <x:f>IF(AND(NOT(COUNTA(A1229:F1229)=0),K1229=""),INDEX('Rules'!$D$7:$D$26,MATCH(SUBSTITUTE(SUBSTITUTE(SUBSTITUTE(SUBSTITUTE("type:"&amp;B1229,"%","%25"),"~","%7E"),"*","%2A"),"?","%3F"),'Rules'!$G$7:$G$26,0)),"")</x:f>
      </x:c>
      <x:c r="N1229" s="5" t="str">
        <x:f>IF(COUNTA(A1229:F1229)=0,"",SUBSTITUTE(SUBSTITUTE(SUBSTITUTE(SUBSTITUTE("id:"&amp;A1229,"%","%25"),"~","%7E"),"*","%2A"),"?","%3F"))</x:f>
      </x:c>
    </x:row>
    <x:row r="1230" ht="22" customHeight="1">
      <x:c r="A1230" s="3"/>
      <x:c r="B1230" s="3"/>
      <x:c r="C1230" s="3"/>
      <x:c r="D1230" s="4"/>
      <x:c r="E1230" s="4"/>
      <x:c r="F1230" s="4"/>
      <x:c r="G1230" s="5" t="str">
        <x:f>IF(COUNTA(A1230:F1230)=0,"",IF(K1230&lt;&gt;"","Review",IF(I1230&lt;0,"Overdue",IF(I1230=0,"Due now",IF(I1230&lt;=M1230,"Due soon","Not due")))))</x:f>
      </x:c>
      <x:c r="H1230" s="5" t="str">
        <x:f>IF(OR(COUNTA(A1230:F1230)=0,COUNTIFS('Rules'!$G$7:$G$26,"="&amp;(SUBSTITUTE(SUBSTITUTE(SUBSTITUTE(SUBSTITUTE("type:"&amp;B1230,"%","%25"),"~","%7E"),"*","%2A"),"?","%3F")))&lt;&gt;1),"",IF(OR(INDEX('Rules'!$B$7:$B$26,MATCH(SUBSTITUTE(SUBSTITUTE(SUBSTITUTE(SUBSTITUTE("type:"&amp;B1230,"%","%25"),"~","%7E"),"*","%2A"),"?","%3F"),'Rules'!$G$7:$G$26,0))="hours",INDEX('Rules'!$B$7:$B$26,MATCH(SUBSTITUTE(SUBSTITUTE(SUBSTITUTE(SUBSTITUTE("type:"&amp;B1230,"%","%25"),"~","%7E"),"*","%2A"),"?","%3F"),'Rules'!$G$7:$G$26,0))="km"),INDEX('Rules'!$B$7:$B$26,MATCH(SUBSTITUTE(SUBSTITUTE(SUBSTITUTE(SUBSTITUTE("type:"&amp;B1230,"%","%25"),"~","%7E"),"*","%2A"),"?","%3F"),'Rules'!$G$7:$G$26,0)),""))</x:f>
      </x:c>
      <x:c r="I1230" s="6" t="str">
        <x:f>IF(AND(NOT(COUNTA(A1230:F1230)=0),K1230=""),ROUND(J1230-D1230,3),"")</x:f>
      </x:c>
      <x:c r="J1230" s="6" t="str">
        <x:f>IF(AND(NOT(COUNTA(A1230:F1230)=0),K1230=""),ROUND(F1230+L1230,3),"")</x:f>
      </x:c>
      <x:c r="K1230" s="5" t="str">
        <x:f>IF(COUNTA(A1230:F1230)=0,"",IF(A1230="","Missing equipment ID",IF(COUNTIFS($N$8:$N$2007,"="&amp;N1230)&gt;1,"Duplicate equipment ID",IF(B1230="","Missing type",IF(COUNTIFS('Rules'!$G$7:$G$26,"="&amp;(SUBSTITUTE(SUBSTITUTE(SUBSTITUTE(SUBSTITUTE("type:"&amp;B1230,"%","%25"),"~","%7E"),"*","%2A"),"?","%3F")))=0,"Unknown type",IF(COUNTIFS('Rules'!$G$7:$G$26,"="&amp;(SUBSTITUTE(SUBSTITUTE(SUBSTITUTE(SUBSTITUTE("type:"&amp;B1230,"%","%25"),"~","%7E"),"*","%2A"),"?","%3F")))&gt;1,"Duplicate type",IF(INDEX('Rules'!$F$7:$F$26,MATCH(SUBSTITUTE(SUBSTITUTE(SUBSTITUTE(SUBSTITUTE("type:"&amp;B1230,"%","%25"),"~","%7E"),"*","%2A"),"?","%3F"),'Rules'!$G$7:$G$26,0))&lt;&gt;"",INDEX('Rules'!$F$7:$F$26,MATCH(SUBSTITUTE(SUBSTITUTE(SUBSTITUTE(SUBSTITUTE("type:"&amp;B1230,"%","%25"),"~","%7E"),"*","%2A"),"?","%3F"),'Rules'!$G$7:$G$26,0)),IF(AND(C1230&lt;&gt;"",C1230&lt;&gt;INDEX('Rules'!$B$7:$B$26,MATCH(SUBSTITUTE(SUBSTITUTE(SUBSTITUTE(SUBSTITUTE("type:"&amp;B1230,"%","%25"),"~","%7E"),"*","%2A"),"?","%3F"),'Rules'!$G$7:$G$26,0))),"Unit mismatch",IF(IF(NOT(ISNUMBER(D1230)),TRUE,OR(D1230&lt;0,D1230&gt;999999999,ROUND(D1230,3)&lt;&gt;D1230)),"Invalid current reading",IF(AND(E1230&lt;&gt;"",IF(NOT(ISNUMBER(E1230)),TRUE,OR(E1230&lt;0,E1230&gt;999999999,ROUND(E1230,3)&lt;&gt;E1230))),"Invalid previous reading",IF(IF(NOT(ISNUMBER(F1230)),TRUE,OR(F1230&lt;0,F1230&gt;999999999,ROUND(F1230,3)&lt;&gt;F1230)),"Invalid last service",IF(AND(E1230&lt;&gt;"",D1230&lt;E1230),"Decreased reading",IF(F1230&gt;D1230,"Last service above current","")))))))))))))</x:f>
      </x:c>
      <x:c r="L1230" s="6" t="str">
        <x:f>IF(AND(NOT(COUNTA(A1230:F1230)=0),K1230=""),INDEX('Rules'!$C$7:$C$26,MATCH(SUBSTITUTE(SUBSTITUTE(SUBSTITUTE(SUBSTITUTE("type:"&amp;B1230,"%","%25"),"~","%7E"),"*","%2A"),"?","%3F"),'Rules'!$G$7:$G$26,0)),"")</x:f>
      </x:c>
      <x:c r="M1230" s="6" t="str">
        <x:f>IF(AND(NOT(COUNTA(A1230:F1230)=0),K1230=""),INDEX('Rules'!$D$7:$D$26,MATCH(SUBSTITUTE(SUBSTITUTE(SUBSTITUTE(SUBSTITUTE("type:"&amp;B1230,"%","%25"),"~","%7E"),"*","%2A"),"?","%3F"),'Rules'!$G$7:$G$26,0)),"")</x:f>
      </x:c>
      <x:c r="N1230" s="5" t="str">
        <x:f>IF(COUNTA(A1230:F1230)=0,"",SUBSTITUTE(SUBSTITUTE(SUBSTITUTE(SUBSTITUTE("id:"&amp;A1230,"%","%25"),"~","%7E"),"*","%2A"),"?","%3F"))</x:f>
      </x:c>
    </x:row>
    <x:row r="1231" ht="22" customHeight="1">
      <x:c r="A1231" s="3"/>
      <x:c r="B1231" s="3"/>
      <x:c r="C1231" s="3"/>
      <x:c r="D1231" s="4"/>
      <x:c r="E1231" s="4"/>
      <x:c r="F1231" s="4"/>
      <x:c r="G1231" s="5" t="str">
        <x:f>IF(COUNTA(A1231:F1231)=0,"",IF(K1231&lt;&gt;"","Review",IF(I1231&lt;0,"Overdue",IF(I1231=0,"Due now",IF(I1231&lt;=M1231,"Due soon","Not due")))))</x:f>
      </x:c>
      <x:c r="H1231" s="5" t="str">
        <x:f>IF(OR(COUNTA(A1231:F1231)=0,COUNTIFS('Rules'!$G$7:$G$26,"="&amp;(SUBSTITUTE(SUBSTITUTE(SUBSTITUTE(SUBSTITUTE("type:"&amp;B1231,"%","%25"),"~","%7E"),"*","%2A"),"?","%3F")))&lt;&gt;1),"",IF(OR(INDEX('Rules'!$B$7:$B$26,MATCH(SUBSTITUTE(SUBSTITUTE(SUBSTITUTE(SUBSTITUTE("type:"&amp;B1231,"%","%25"),"~","%7E"),"*","%2A"),"?","%3F"),'Rules'!$G$7:$G$26,0))="hours",INDEX('Rules'!$B$7:$B$26,MATCH(SUBSTITUTE(SUBSTITUTE(SUBSTITUTE(SUBSTITUTE("type:"&amp;B1231,"%","%25"),"~","%7E"),"*","%2A"),"?","%3F"),'Rules'!$G$7:$G$26,0))="km"),INDEX('Rules'!$B$7:$B$26,MATCH(SUBSTITUTE(SUBSTITUTE(SUBSTITUTE(SUBSTITUTE("type:"&amp;B1231,"%","%25"),"~","%7E"),"*","%2A"),"?","%3F"),'Rules'!$G$7:$G$26,0)),""))</x:f>
      </x:c>
      <x:c r="I1231" s="6" t="str">
        <x:f>IF(AND(NOT(COUNTA(A1231:F1231)=0),K1231=""),ROUND(J1231-D1231,3),"")</x:f>
      </x:c>
      <x:c r="J1231" s="6" t="str">
        <x:f>IF(AND(NOT(COUNTA(A1231:F1231)=0),K1231=""),ROUND(F1231+L1231,3),"")</x:f>
      </x:c>
      <x:c r="K1231" s="5" t="str">
        <x:f>IF(COUNTA(A1231:F1231)=0,"",IF(A1231="","Missing equipment ID",IF(COUNTIFS($N$8:$N$2007,"="&amp;N1231)&gt;1,"Duplicate equipment ID",IF(B1231="","Missing type",IF(COUNTIFS('Rules'!$G$7:$G$26,"="&amp;(SUBSTITUTE(SUBSTITUTE(SUBSTITUTE(SUBSTITUTE("type:"&amp;B1231,"%","%25"),"~","%7E"),"*","%2A"),"?","%3F")))=0,"Unknown type",IF(COUNTIFS('Rules'!$G$7:$G$26,"="&amp;(SUBSTITUTE(SUBSTITUTE(SUBSTITUTE(SUBSTITUTE("type:"&amp;B1231,"%","%25"),"~","%7E"),"*","%2A"),"?","%3F")))&gt;1,"Duplicate type",IF(INDEX('Rules'!$F$7:$F$26,MATCH(SUBSTITUTE(SUBSTITUTE(SUBSTITUTE(SUBSTITUTE("type:"&amp;B1231,"%","%25"),"~","%7E"),"*","%2A"),"?","%3F"),'Rules'!$G$7:$G$26,0))&lt;&gt;"",INDEX('Rules'!$F$7:$F$26,MATCH(SUBSTITUTE(SUBSTITUTE(SUBSTITUTE(SUBSTITUTE("type:"&amp;B1231,"%","%25"),"~","%7E"),"*","%2A"),"?","%3F"),'Rules'!$G$7:$G$26,0)),IF(AND(C1231&lt;&gt;"",C1231&lt;&gt;INDEX('Rules'!$B$7:$B$26,MATCH(SUBSTITUTE(SUBSTITUTE(SUBSTITUTE(SUBSTITUTE("type:"&amp;B1231,"%","%25"),"~","%7E"),"*","%2A"),"?","%3F"),'Rules'!$G$7:$G$26,0))),"Unit mismatch",IF(IF(NOT(ISNUMBER(D1231)),TRUE,OR(D1231&lt;0,D1231&gt;999999999,ROUND(D1231,3)&lt;&gt;D1231)),"Invalid current reading",IF(AND(E1231&lt;&gt;"",IF(NOT(ISNUMBER(E1231)),TRUE,OR(E1231&lt;0,E1231&gt;999999999,ROUND(E1231,3)&lt;&gt;E1231))),"Invalid previous reading",IF(IF(NOT(ISNUMBER(F1231)),TRUE,OR(F1231&lt;0,F1231&gt;999999999,ROUND(F1231,3)&lt;&gt;F1231)),"Invalid last service",IF(AND(E1231&lt;&gt;"",D1231&lt;E1231),"Decreased reading",IF(F1231&gt;D1231,"Last service above current","")))))))))))))</x:f>
      </x:c>
      <x:c r="L1231" s="6" t="str">
        <x:f>IF(AND(NOT(COUNTA(A1231:F1231)=0),K1231=""),INDEX('Rules'!$C$7:$C$26,MATCH(SUBSTITUTE(SUBSTITUTE(SUBSTITUTE(SUBSTITUTE("type:"&amp;B1231,"%","%25"),"~","%7E"),"*","%2A"),"?","%3F"),'Rules'!$G$7:$G$26,0)),"")</x:f>
      </x:c>
      <x:c r="M1231" s="6" t="str">
        <x:f>IF(AND(NOT(COUNTA(A1231:F1231)=0),K1231=""),INDEX('Rules'!$D$7:$D$26,MATCH(SUBSTITUTE(SUBSTITUTE(SUBSTITUTE(SUBSTITUTE("type:"&amp;B1231,"%","%25"),"~","%7E"),"*","%2A"),"?","%3F"),'Rules'!$G$7:$G$26,0)),"")</x:f>
      </x:c>
      <x:c r="N1231" s="5" t="str">
        <x:f>IF(COUNTA(A1231:F1231)=0,"",SUBSTITUTE(SUBSTITUTE(SUBSTITUTE(SUBSTITUTE("id:"&amp;A1231,"%","%25"),"~","%7E"),"*","%2A"),"?","%3F"))</x:f>
      </x:c>
    </x:row>
    <x:row r="1232" ht="22" customHeight="1">
      <x:c r="A1232" s="3"/>
      <x:c r="B1232" s="3"/>
      <x:c r="C1232" s="3"/>
      <x:c r="D1232" s="4"/>
      <x:c r="E1232" s="4"/>
      <x:c r="F1232" s="4"/>
      <x:c r="G1232" s="5" t="str">
        <x:f>IF(COUNTA(A1232:F1232)=0,"",IF(K1232&lt;&gt;"","Review",IF(I1232&lt;0,"Overdue",IF(I1232=0,"Due now",IF(I1232&lt;=M1232,"Due soon","Not due")))))</x:f>
      </x:c>
      <x:c r="H1232" s="5" t="str">
        <x:f>IF(OR(COUNTA(A1232:F1232)=0,COUNTIFS('Rules'!$G$7:$G$26,"="&amp;(SUBSTITUTE(SUBSTITUTE(SUBSTITUTE(SUBSTITUTE("type:"&amp;B1232,"%","%25"),"~","%7E"),"*","%2A"),"?","%3F")))&lt;&gt;1),"",IF(OR(INDEX('Rules'!$B$7:$B$26,MATCH(SUBSTITUTE(SUBSTITUTE(SUBSTITUTE(SUBSTITUTE("type:"&amp;B1232,"%","%25"),"~","%7E"),"*","%2A"),"?","%3F"),'Rules'!$G$7:$G$26,0))="hours",INDEX('Rules'!$B$7:$B$26,MATCH(SUBSTITUTE(SUBSTITUTE(SUBSTITUTE(SUBSTITUTE("type:"&amp;B1232,"%","%25"),"~","%7E"),"*","%2A"),"?","%3F"),'Rules'!$G$7:$G$26,0))="km"),INDEX('Rules'!$B$7:$B$26,MATCH(SUBSTITUTE(SUBSTITUTE(SUBSTITUTE(SUBSTITUTE("type:"&amp;B1232,"%","%25"),"~","%7E"),"*","%2A"),"?","%3F"),'Rules'!$G$7:$G$26,0)),""))</x:f>
      </x:c>
      <x:c r="I1232" s="6" t="str">
        <x:f>IF(AND(NOT(COUNTA(A1232:F1232)=0),K1232=""),ROUND(J1232-D1232,3),"")</x:f>
      </x:c>
      <x:c r="J1232" s="6" t="str">
        <x:f>IF(AND(NOT(COUNTA(A1232:F1232)=0),K1232=""),ROUND(F1232+L1232,3),"")</x:f>
      </x:c>
      <x:c r="K1232" s="5" t="str">
        <x:f>IF(COUNTA(A1232:F1232)=0,"",IF(A1232="","Missing equipment ID",IF(COUNTIFS($N$8:$N$2007,"="&amp;N1232)&gt;1,"Duplicate equipment ID",IF(B1232="","Missing type",IF(COUNTIFS('Rules'!$G$7:$G$26,"="&amp;(SUBSTITUTE(SUBSTITUTE(SUBSTITUTE(SUBSTITUTE("type:"&amp;B1232,"%","%25"),"~","%7E"),"*","%2A"),"?","%3F")))=0,"Unknown type",IF(COUNTIFS('Rules'!$G$7:$G$26,"="&amp;(SUBSTITUTE(SUBSTITUTE(SUBSTITUTE(SUBSTITUTE("type:"&amp;B1232,"%","%25"),"~","%7E"),"*","%2A"),"?","%3F")))&gt;1,"Duplicate type",IF(INDEX('Rules'!$F$7:$F$26,MATCH(SUBSTITUTE(SUBSTITUTE(SUBSTITUTE(SUBSTITUTE("type:"&amp;B1232,"%","%25"),"~","%7E"),"*","%2A"),"?","%3F"),'Rules'!$G$7:$G$26,0))&lt;&gt;"",INDEX('Rules'!$F$7:$F$26,MATCH(SUBSTITUTE(SUBSTITUTE(SUBSTITUTE(SUBSTITUTE("type:"&amp;B1232,"%","%25"),"~","%7E"),"*","%2A"),"?","%3F"),'Rules'!$G$7:$G$26,0)),IF(AND(C1232&lt;&gt;"",C1232&lt;&gt;INDEX('Rules'!$B$7:$B$26,MATCH(SUBSTITUTE(SUBSTITUTE(SUBSTITUTE(SUBSTITUTE("type:"&amp;B1232,"%","%25"),"~","%7E"),"*","%2A"),"?","%3F"),'Rules'!$G$7:$G$26,0))),"Unit mismatch",IF(IF(NOT(ISNUMBER(D1232)),TRUE,OR(D1232&lt;0,D1232&gt;999999999,ROUND(D1232,3)&lt;&gt;D1232)),"Invalid current reading",IF(AND(E1232&lt;&gt;"",IF(NOT(ISNUMBER(E1232)),TRUE,OR(E1232&lt;0,E1232&gt;999999999,ROUND(E1232,3)&lt;&gt;E1232))),"Invalid previous reading",IF(IF(NOT(ISNUMBER(F1232)),TRUE,OR(F1232&lt;0,F1232&gt;999999999,ROUND(F1232,3)&lt;&gt;F1232)),"Invalid last service",IF(AND(E1232&lt;&gt;"",D1232&lt;E1232),"Decreased reading",IF(F1232&gt;D1232,"Last service above current","")))))))))))))</x:f>
      </x:c>
      <x:c r="L1232" s="6" t="str">
        <x:f>IF(AND(NOT(COUNTA(A1232:F1232)=0),K1232=""),INDEX('Rules'!$C$7:$C$26,MATCH(SUBSTITUTE(SUBSTITUTE(SUBSTITUTE(SUBSTITUTE("type:"&amp;B1232,"%","%25"),"~","%7E"),"*","%2A"),"?","%3F"),'Rules'!$G$7:$G$26,0)),"")</x:f>
      </x:c>
      <x:c r="M1232" s="6" t="str">
        <x:f>IF(AND(NOT(COUNTA(A1232:F1232)=0),K1232=""),INDEX('Rules'!$D$7:$D$26,MATCH(SUBSTITUTE(SUBSTITUTE(SUBSTITUTE(SUBSTITUTE("type:"&amp;B1232,"%","%25"),"~","%7E"),"*","%2A"),"?","%3F"),'Rules'!$G$7:$G$26,0)),"")</x:f>
      </x:c>
      <x:c r="N1232" s="5" t="str">
        <x:f>IF(COUNTA(A1232:F1232)=0,"",SUBSTITUTE(SUBSTITUTE(SUBSTITUTE(SUBSTITUTE("id:"&amp;A1232,"%","%25"),"~","%7E"),"*","%2A"),"?","%3F"))</x:f>
      </x:c>
    </x:row>
    <x:row r="1233" ht="22" customHeight="1">
      <x:c r="A1233" s="3"/>
      <x:c r="B1233" s="3"/>
      <x:c r="C1233" s="3"/>
      <x:c r="D1233" s="4"/>
      <x:c r="E1233" s="4"/>
      <x:c r="F1233" s="4"/>
      <x:c r="G1233" s="5" t="str">
        <x:f>IF(COUNTA(A1233:F1233)=0,"",IF(K1233&lt;&gt;"","Review",IF(I1233&lt;0,"Overdue",IF(I1233=0,"Due now",IF(I1233&lt;=M1233,"Due soon","Not due")))))</x:f>
      </x:c>
      <x:c r="H1233" s="5" t="str">
        <x:f>IF(OR(COUNTA(A1233:F1233)=0,COUNTIFS('Rules'!$G$7:$G$26,"="&amp;(SUBSTITUTE(SUBSTITUTE(SUBSTITUTE(SUBSTITUTE("type:"&amp;B1233,"%","%25"),"~","%7E"),"*","%2A"),"?","%3F")))&lt;&gt;1),"",IF(OR(INDEX('Rules'!$B$7:$B$26,MATCH(SUBSTITUTE(SUBSTITUTE(SUBSTITUTE(SUBSTITUTE("type:"&amp;B1233,"%","%25"),"~","%7E"),"*","%2A"),"?","%3F"),'Rules'!$G$7:$G$26,0))="hours",INDEX('Rules'!$B$7:$B$26,MATCH(SUBSTITUTE(SUBSTITUTE(SUBSTITUTE(SUBSTITUTE("type:"&amp;B1233,"%","%25"),"~","%7E"),"*","%2A"),"?","%3F"),'Rules'!$G$7:$G$26,0))="km"),INDEX('Rules'!$B$7:$B$26,MATCH(SUBSTITUTE(SUBSTITUTE(SUBSTITUTE(SUBSTITUTE("type:"&amp;B1233,"%","%25"),"~","%7E"),"*","%2A"),"?","%3F"),'Rules'!$G$7:$G$26,0)),""))</x:f>
      </x:c>
      <x:c r="I1233" s="6" t="str">
        <x:f>IF(AND(NOT(COUNTA(A1233:F1233)=0),K1233=""),ROUND(J1233-D1233,3),"")</x:f>
      </x:c>
      <x:c r="J1233" s="6" t="str">
        <x:f>IF(AND(NOT(COUNTA(A1233:F1233)=0),K1233=""),ROUND(F1233+L1233,3),"")</x:f>
      </x:c>
      <x:c r="K1233" s="5" t="str">
        <x:f>IF(COUNTA(A1233:F1233)=0,"",IF(A1233="","Missing equipment ID",IF(COUNTIFS($N$8:$N$2007,"="&amp;N1233)&gt;1,"Duplicate equipment ID",IF(B1233="","Missing type",IF(COUNTIFS('Rules'!$G$7:$G$26,"="&amp;(SUBSTITUTE(SUBSTITUTE(SUBSTITUTE(SUBSTITUTE("type:"&amp;B1233,"%","%25"),"~","%7E"),"*","%2A"),"?","%3F")))=0,"Unknown type",IF(COUNTIFS('Rules'!$G$7:$G$26,"="&amp;(SUBSTITUTE(SUBSTITUTE(SUBSTITUTE(SUBSTITUTE("type:"&amp;B1233,"%","%25"),"~","%7E"),"*","%2A"),"?","%3F")))&gt;1,"Duplicate type",IF(INDEX('Rules'!$F$7:$F$26,MATCH(SUBSTITUTE(SUBSTITUTE(SUBSTITUTE(SUBSTITUTE("type:"&amp;B1233,"%","%25"),"~","%7E"),"*","%2A"),"?","%3F"),'Rules'!$G$7:$G$26,0))&lt;&gt;"",INDEX('Rules'!$F$7:$F$26,MATCH(SUBSTITUTE(SUBSTITUTE(SUBSTITUTE(SUBSTITUTE("type:"&amp;B1233,"%","%25"),"~","%7E"),"*","%2A"),"?","%3F"),'Rules'!$G$7:$G$26,0)),IF(AND(C1233&lt;&gt;"",C1233&lt;&gt;INDEX('Rules'!$B$7:$B$26,MATCH(SUBSTITUTE(SUBSTITUTE(SUBSTITUTE(SUBSTITUTE("type:"&amp;B1233,"%","%25"),"~","%7E"),"*","%2A"),"?","%3F"),'Rules'!$G$7:$G$26,0))),"Unit mismatch",IF(IF(NOT(ISNUMBER(D1233)),TRUE,OR(D1233&lt;0,D1233&gt;999999999,ROUND(D1233,3)&lt;&gt;D1233)),"Invalid current reading",IF(AND(E1233&lt;&gt;"",IF(NOT(ISNUMBER(E1233)),TRUE,OR(E1233&lt;0,E1233&gt;999999999,ROUND(E1233,3)&lt;&gt;E1233))),"Invalid previous reading",IF(IF(NOT(ISNUMBER(F1233)),TRUE,OR(F1233&lt;0,F1233&gt;999999999,ROUND(F1233,3)&lt;&gt;F1233)),"Invalid last service",IF(AND(E1233&lt;&gt;"",D1233&lt;E1233),"Decreased reading",IF(F1233&gt;D1233,"Last service above current","")))))))))))))</x:f>
      </x:c>
      <x:c r="L1233" s="6" t="str">
        <x:f>IF(AND(NOT(COUNTA(A1233:F1233)=0),K1233=""),INDEX('Rules'!$C$7:$C$26,MATCH(SUBSTITUTE(SUBSTITUTE(SUBSTITUTE(SUBSTITUTE("type:"&amp;B1233,"%","%25"),"~","%7E"),"*","%2A"),"?","%3F"),'Rules'!$G$7:$G$26,0)),"")</x:f>
      </x:c>
      <x:c r="M1233" s="6" t="str">
        <x:f>IF(AND(NOT(COUNTA(A1233:F1233)=0),K1233=""),INDEX('Rules'!$D$7:$D$26,MATCH(SUBSTITUTE(SUBSTITUTE(SUBSTITUTE(SUBSTITUTE("type:"&amp;B1233,"%","%25"),"~","%7E"),"*","%2A"),"?","%3F"),'Rules'!$G$7:$G$26,0)),"")</x:f>
      </x:c>
      <x:c r="N1233" s="5" t="str">
        <x:f>IF(COUNTA(A1233:F1233)=0,"",SUBSTITUTE(SUBSTITUTE(SUBSTITUTE(SUBSTITUTE("id:"&amp;A1233,"%","%25"),"~","%7E"),"*","%2A"),"?","%3F"))</x:f>
      </x:c>
    </x:row>
    <x:row r="1234" ht="22" customHeight="1">
      <x:c r="A1234" s="3"/>
      <x:c r="B1234" s="3"/>
      <x:c r="C1234" s="3"/>
      <x:c r="D1234" s="4"/>
      <x:c r="E1234" s="4"/>
      <x:c r="F1234" s="4"/>
      <x:c r="G1234" s="5" t="str">
        <x:f>IF(COUNTA(A1234:F1234)=0,"",IF(K1234&lt;&gt;"","Review",IF(I1234&lt;0,"Overdue",IF(I1234=0,"Due now",IF(I1234&lt;=M1234,"Due soon","Not due")))))</x:f>
      </x:c>
      <x:c r="H1234" s="5" t="str">
        <x:f>IF(OR(COUNTA(A1234:F1234)=0,COUNTIFS('Rules'!$G$7:$G$26,"="&amp;(SUBSTITUTE(SUBSTITUTE(SUBSTITUTE(SUBSTITUTE("type:"&amp;B1234,"%","%25"),"~","%7E"),"*","%2A"),"?","%3F")))&lt;&gt;1),"",IF(OR(INDEX('Rules'!$B$7:$B$26,MATCH(SUBSTITUTE(SUBSTITUTE(SUBSTITUTE(SUBSTITUTE("type:"&amp;B1234,"%","%25"),"~","%7E"),"*","%2A"),"?","%3F"),'Rules'!$G$7:$G$26,0))="hours",INDEX('Rules'!$B$7:$B$26,MATCH(SUBSTITUTE(SUBSTITUTE(SUBSTITUTE(SUBSTITUTE("type:"&amp;B1234,"%","%25"),"~","%7E"),"*","%2A"),"?","%3F"),'Rules'!$G$7:$G$26,0))="km"),INDEX('Rules'!$B$7:$B$26,MATCH(SUBSTITUTE(SUBSTITUTE(SUBSTITUTE(SUBSTITUTE("type:"&amp;B1234,"%","%25"),"~","%7E"),"*","%2A"),"?","%3F"),'Rules'!$G$7:$G$26,0)),""))</x:f>
      </x:c>
      <x:c r="I1234" s="6" t="str">
        <x:f>IF(AND(NOT(COUNTA(A1234:F1234)=0),K1234=""),ROUND(J1234-D1234,3),"")</x:f>
      </x:c>
      <x:c r="J1234" s="6" t="str">
        <x:f>IF(AND(NOT(COUNTA(A1234:F1234)=0),K1234=""),ROUND(F1234+L1234,3),"")</x:f>
      </x:c>
      <x:c r="K1234" s="5" t="str">
        <x:f>IF(COUNTA(A1234:F1234)=0,"",IF(A1234="","Missing equipment ID",IF(COUNTIFS($N$8:$N$2007,"="&amp;N1234)&gt;1,"Duplicate equipment ID",IF(B1234="","Missing type",IF(COUNTIFS('Rules'!$G$7:$G$26,"="&amp;(SUBSTITUTE(SUBSTITUTE(SUBSTITUTE(SUBSTITUTE("type:"&amp;B1234,"%","%25"),"~","%7E"),"*","%2A"),"?","%3F")))=0,"Unknown type",IF(COUNTIFS('Rules'!$G$7:$G$26,"="&amp;(SUBSTITUTE(SUBSTITUTE(SUBSTITUTE(SUBSTITUTE("type:"&amp;B1234,"%","%25"),"~","%7E"),"*","%2A"),"?","%3F")))&gt;1,"Duplicate type",IF(INDEX('Rules'!$F$7:$F$26,MATCH(SUBSTITUTE(SUBSTITUTE(SUBSTITUTE(SUBSTITUTE("type:"&amp;B1234,"%","%25"),"~","%7E"),"*","%2A"),"?","%3F"),'Rules'!$G$7:$G$26,0))&lt;&gt;"",INDEX('Rules'!$F$7:$F$26,MATCH(SUBSTITUTE(SUBSTITUTE(SUBSTITUTE(SUBSTITUTE("type:"&amp;B1234,"%","%25"),"~","%7E"),"*","%2A"),"?","%3F"),'Rules'!$G$7:$G$26,0)),IF(AND(C1234&lt;&gt;"",C1234&lt;&gt;INDEX('Rules'!$B$7:$B$26,MATCH(SUBSTITUTE(SUBSTITUTE(SUBSTITUTE(SUBSTITUTE("type:"&amp;B1234,"%","%25"),"~","%7E"),"*","%2A"),"?","%3F"),'Rules'!$G$7:$G$26,0))),"Unit mismatch",IF(IF(NOT(ISNUMBER(D1234)),TRUE,OR(D1234&lt;0,D1234&gt;999999999,ROUND(D1234,3)&lt;&gt;D1234)),"Invalid current reading",IF(AND(E1234&lt;&gt;"",IF(NOT(ISNUMBER(E1234)),TRUE,OR(E1234&lt;0,E1234&gt;999999999,ROUND(E1234,3)&lt;&gt;E1234))),"Invalid previous reading",IF(IF(NOT(ISNUMBER(F1234)),TRUE,OR(F1234&lt;0,F1234&gt;999999999,ROUND(F1234,3)&lt;&gt;F1234)),"Invalid last service",IF(AND(E1234&lt;&gt;"",D1234&lt;E1234),"Decreased reading",IF(F1234&gt;D1234,"Last service above current","")))))))))))))</x:f>
      </x:c>
      <x:c r="L1234" s="6" t="str">
        <x:f>IF(AND(NOT(COUNTA(A1234:F1234)=0),K1234=""),INDEX('Rules'!$C$7:$C$26,MATCH(SUBSTITUTE(SUBSTITUTE(SUBSTITUTE(SUBSTITUTE("type:"&amp;B1234,"%","%25"),"~","%7E"),"*","%2A"),"?","%3F"),'Rules'!$G$7:$G$26,0)),"")</x:f>
      </x:c>
      <x:c r="M1234" s="6" t="str">
        <x:f>IF(AND(NOT(COUNTA(A1234:F1234)=0),K1234=""),INDEX('Rules'!$D$7:$D$26,MATCH(SUBSTITUTE(SUBSTITUTE(SUBSTITUTE(SUBSTITUTE("type:"&amp;B1234,"%","%25"),"~","%7E"),"*","%2A"),"?","%3F"),'Rules'!$G$7:$G$26,0)),"")</x:f>
      </x:c>
      <x:c r="N1234" s="5" t="str">
        <x:f>IF(COUNTA(A1234:F1234)=0,"",SUBSTITUTE(SUBSTITUTE(SUBSTITUTE(SUBSTITUTE("id:"&amp;A1234,"%","%25"),"~","%7E"),"*","%2A"),"?","%3F"))</x:f>
      </x:c>
    </x:row>
    <x:row r="1235" ht="22" customHeight="1">
      <x:c r="A1235" s="3"/>
      <x:c r="B1235" s="3"/>
      <x:c r="C1235" s="3"/>
      <x:c r="D1235" s="4"/>
      <x:c r="E1235" s="4"/>
      <x:c r="F1235" s="4"/>
      <x:c r="G1235" s="5" t="str">
        <x:f>IF(COUNTA(A1235:F1235)=0,"",IF(K1235&lt;&gt;"","Review",IF(I1235&lt;0,"Overdue",IF(I1235=0,"Due now",IF(I1235&lt;=M1235,"Due soon","Not due")))))</x:f>
      </x:c>
      <x:c r="H1235" s="5" t="str">
        <x:f>IF(OR(COUNTA(A1235:F1235)=0,COUNTIFS('Rules'!$G$7:$G$26,"="&amp;(SUBSTITUTE(SUBSTITUTE(SUBSTITUTE(SUBSTITUTE("type:"&amp;B1235,"%","%25"),"~","%7E"),"*","%2A"),"?","%3F")))&lt;&gt;1),"",IF(OR(INDEX('Rules'!$B$7:$B$26,MATCH(SUBSTITUTE(SUBSTITUTE(SUBSTITUTE(SUBSTITUTE("type:"&amp;B1235,"%","%25"),"~","%7E"),"*","%2A"),"?","%3F"),'Rules'!$G$7:$G$26,0))="hours",INDEX('Rules'!$B$7:$B$26,MATCH(SUBSTITUTE(SUBSTITUTE(SUBSTITUTE(SUBSTITUTE("type:"&amp;B1235,"%","%25"),"~","%7E"),"*","%2A"),"?","%3F"),'Rules'!$G$7:$G$26,0))="km"),INDEX('Rules'!$B$7:$B$26,MATCH(SUBSTITUTE(SUBSTITUTE(SUBSTITUTE(SUBSTITUTE("type:"&amp;B1235,"%","%25"),"~","%7E"),"*","%2A"),"?","%3F"),'Rules'!$G$7:$G$26,0)),""))</x:f>
      </x:c>
      <x:c r="I1235" s="6" t="str">
        <x:f>IF(AND(NOT(COUNTA(A1235:F1235)=0),K1235=""),ROUND(J1235-D1235,3),"")</x:f>
      </x:c>
      <x:c r="J1235" s="6" t="str">
        <x:f>IF(AND(NOT(COUNTA(A1235:F1235)=0),K1235=""),ROUND(F1235+L1235,3),"")</x:f>
      </x:c>
      <x:c r="K1235" s="5" t="str">
        <x:f>IF(COUNTA(A1235:F1235)=0,"",IF(A1235="","Missing equipment ID",IF(COUNTIFS($N$8:$N$2007,"="&amp;N1235)&gt;1,"Duplicate equipment ID",IF(B1235="","Missing type",IF(COUNTIFS('Rules'!$G$7:$G$26,"="&amp;(SUBSTITUTE(SUBSTITUTE(SUBSTITUTE(SUBSTITUTE("type:"&amp;B1235,"%","%25"),"~","%7E"),"*","%2A"),"?","%3F")))=0,"Unknown type",IF(COUNTIFS('Rules'!$G$7:$G$26,"="&amp;(SUBSTITUTE(SUBSTITUTE(SUBSTITUTE(SUBSTITUTE("type:"&amp;B1235,"%","%25"),"~","%7E"),"*","%2A"),"?","%3F")))&gt;1,"Duplicate type",IF(INDEX('Rules'!$F$7:$F$26,MATCH(SUBSTITUTE(SUBSTITUTE(SUBSTITUTE(SUBSTITUTE("type:"&amp;B1235,"%","%25"),"~","%7E"),"*","%2A"),"?","%3F"),'Rules'!$G$7:$G$26,0))&lt;&gt;"",INDEX('Rules'!$F$7:$F$26,MATCH(SUBSTITUTE(SUBSTITUTE(SUBSTITUTE(SUBSTITUTE("type:"&amp;B1235,"%","%25"),"~","%7E"),"*","%2A"),"?","%3F"),'Rules'!$G$7:$G$26,0)),IF(AND(C1235&lt;&gt;"",C1235&lt;&gt;INDEX('Rules'!$B$7:$B$26,MATCH(SUBSTITUTE(SUBSTITUTE(SUBSTITUTE(SUBSTITUTE("type:"&amp;B1235,"%","%25"),"~","%7E"),"*","%2A"),"?","%3F"),'Rules'!$G$7:$G$26,0))),"Unit mismatch",IF(IF(NOT(ISNUMBER(D1235)),TRUE,OR(D1235&lt;0,D1235&gt;999999999,ROUND(D1235,3)&lt;&gt;D1235)),"Invalid current reading",IF(AND(E1235&lt;&gt;"",IF(NOT(ISNUMBER(E1235)),TRUE,OR(E1235&lt;0,E1235&gt;999999999,ROUND(E1235,3)&lt;&gt;E1235))),"Invalid previous reading",IF(IF(NOT(ISNUMBER(F1235)),TRUE,OR(F1235&lt;0,F1235&gt;999999999,ROUND(F1235,3)&lt;&gt;F1235)),"Invalid last service",IF(AND(E1235&lt;&gt;"",D1235&lt;E1235),"Decreased reading",IF(F1235&gt;D1235,"Last service above current","")))))))))))))</x:f>
      </x:c>
      <x:c r="L1235" s="6" t="str">
        <x:f>IF(AND(NOT(COUNTA(A1235:F1235)=0),K1235=""),INDEX('Rules'!$C$7:$C$26,MATCH(SUBSTITUTE(SUBSTITUTE(SUBSTITUTE(SUBSTITUTE("type:"&amp;B1235,"%","%25"),"~","%7E"),"*","%2A"),"?","%3F"),'Rules'!$G$7:$G$26,0)),"")</x:f>
      </x:c>
      <x:c r="M1235" s="6" t="str">
        <x:f>IF(AND(NOT(COUNTA(A1235:F1235)=0),K1235=""),INDEX('Rules'!$D$7:$D$26,MATCH(SUBSTITUTE(SUBSTITUTE(SUBSTITUTE(SUBSTITUTE("type:"&amp;B1235,"%","%25"),"~","%7E"),"*","%2A"),"?","%3F"),'Rules'!$G$7:$G$26,0)),"")</x:f>
      </x:c>
      <x:c r="N1235" s="5" t="str">
        <x:f>IF(COUNTA(A1235:F1235)=0,"",SUBSTITUTE(SUBSTITUTE(SUBSTITUTE(SUBSTITUTE("id:"&amp;A1235,"%","%25"),"~","%7E"),"*","%2A"),"?","%3F"))</x:f>
      </x:c>
    </x:row>
    <x:row r="1236" ht="22" customHeight="1">
      <x:c r="A1236" s="3"/>
      <x:c r="B1236" s="3"/>
      <x:c r="C1236" s="3"/>
      <x:c r="D1236" s="4"/>
      <x:c r="E1236" s="4"/>
      <x:c r="F1236" s="4"/>
      <x:c r="G1236" s="5" t="str">
        <x:f>IF(COUNTA(A1236:F1236)=0,"",IF(K1236&lt;&gt;"","Review",IF(I1236&lt;0,"Overdue",IF(I1236=0,"Due now",IF(I1236&lt;=M1236,"Due soon","Not due")))))</x:f>
      </x:c>
      <x:c r="H1236" s="5" t="str">
        <x:f>IF(OR(COUNTA(A1236:F1236)=0,COUNTIFS('Rules'!$G$7:$G$26,"="&amp;(SUBSTITUTE(SUBSTITUTE(SUBSTITUTE(SUBSTITUTE("type:"&amp;B1236,"%","%25"),"~","%7E"),"*","%2A"),"?","%3F")))&lt;&gt;1),"",IF(OR(INDEX('Rules'!$B$7:$B$26,MATCH(SUBSTITUTE(SUBSTITUTE(SUBSTITUTE(SUBSTITUTE("type:"&amp;B1236,"%","%25"),"~","%7E"),"*","%2A"),"?","%3F"),'Rules'!$G$7:$G$26,0))="hours",INDEX('Rules'!$B$7:$B$26,MATCH(SUBSTITUTE(SUBSTITUTE(SUBSTITUTE(SUBSTITUTE("type:"&amp;B1236,"%","%25"),"~","%7E"),"*","%2A"),"?","%3F"),'Rules'!$G$7:$G$26,0))="km"),INDEX('Rules'!$B$7:$B$26,MATCH(SUBSTITUTE(SUBSTITUTE(SUBSTITUTE(SUBSTITUTE("type:"&amp;B1236,"%","%25"),"~","%7E"),"*","%2A"),"?","%3F"),'Rules'!$G$7:$G$26,0)),""))</x:f>
      </x:c>
      <x:c r="I1236" s="6" t="str">
        <x:f>IF(AND(NOT(COUNTA(A1236:F1236)=0),K1236=""),ROUND(J1236-D1236,3),"")</x:f>
      </x:c>
      <x:c r="J1236" s="6" t="str">
        <x:f>IF(AND(NOT(COUNTA(A1236:F1236)=0),K1236=""),ROUND(F1236+L1236,3),"")</x:f>
      </x:c>
      <x:c r="K1236" s="5" t="str">
        <x:f>IF(COUNTA(A1236:F1236)=0,"",IF(A1236="","Missing equipment ID",IF(COUNTIFS($N$8:$N$2007,"="&amp;N1236)&gt;1,"Duplicate equipment ID",IF(B1236="","Missing type",IF(COUNTIFS('Rules'!$G$7:$G$26,"="&amp;(SUBSTITUTE(SUBSTITUTE(SUBSTITUTE(SUBSTITUTE("type:"&amp;B1236,"%","%25"),"~","%7E"),"*","%2A"),"?","%3F")))=0,"Unknown type",IF(COUNTIFS('Rules'!$G$7:$G$26,"="&amp;(SUBSTITUTE(SUBSTITUTE(SUBSTITUTE(SUBSTITUTE("type:"&amp;B1236,"%","%25"),"~","%7E"),"*","%2A"),"?","%3F")))&gt;1,"Duplicate type",IF(INDEX('Rules'!$F$7:$F$26,MATCH(SUBSTITUTE(SUBSTITUTE(SUBSTITUTE(SUBSTITUTE("type:"&amp;B1236,"%","%25"),"~","%7E"),"*","%2A"),"?","%3F"),'Rules'!$G$7:$G$26,0))&lt;&gt;"",INDEX('Rules'!$F$7:$F$26,MATCH(SUBSTITUTE(SUBSTITUTE(SUBSTITUTE(SUBSTITUTE("type:"&amp;B1236,"%","%25"),"~","%7E"),"*","%2A"),"?","%3F"),'Rules'!$G$7:$G$26,0)),IF(AND(C1236&lt;&gt;"",C1236&lt;&gt;INDEX('Rules'!$B$7:$B$26,MATCH(SUBSTITUTE(SUBSTITUTE(SUBSTITUTE(SUBSTITUTE("type:"&amp;B1236,"%","%25"),"~","%7E"),"*","%2A"),"?","%3F"),'Rules'!$G$7:$G$26,0))),"Unit mismatch",IF(IF(NOT(ISNUMBER(D1236)),TRUE,OR(D1236&lt;0,D1236&gt;999999999,ROUND(D1236,3)&lt;&gt;D1236)),"Invalid current reading",IF(AND(E1236&lt;&gt;"",IF(NOT(ISNUMBER(E1236)),TRUE,OR(E1236&lt;0,E1236&gt;999999999,ROUND(E1236,3)&lt;&gt;E1236))),"Invalid previous reading",IF(IF(NOT(ISNUMBER(F1236)),TRUE,OR(F1236&lt;0,F1236&gt;999999999,ROUND(F1236,3)&lt;&gt;F1236)),"Invalid last service",IF(AND(E1236&lt;&gt;"",D1236&lt;E1236),"Decreased reading",IF(F1236&gt;D1236,"Last service above current","")))))))))))))</x:f>
      </x:c>
      <x:c r="L1236" s="6" t="str">
        <x:f>IF(AND(NOT(COUNTA(A1236:F1236)=0),K1236=""),INDEX('Rules'!$C$7:$C$26,MATCH(SUBSTITUTE(SUBSTITUTE(SUBSTITUTE(SUBSTITUTE("type:"&amp;B1236,"%","%25"),"~","%7E"),"*","%2A"),"?","%3F"),'Rules'!$G$7:$G$26,0)),"")</x:f>
      </x:c>
      <x:c r="M1236" s="6" t="str">
        <x:f>IF(AND(NOT(COUNTA(A1236:F1236)=0),K1236=""),INDEX('Rules'!$D$7:$D$26,MATCH(SUBSTITUTE(SUBSTITUTE(SUBSTITUTE(SUBSTITUTE("type:"&amp;B1236,"%","%25"),"~","%7E"),"*","%2A"),"?","%3F"),'Rules'!$G$7:$G$26,0)),"")</x:f>
      </x:c>
      <x:c r="N1236" s="5" t="str">
        <x:f>IF(COUNTA(A1236:F1236)=0,"",SUBSTITUTE(SUBSTITUTE(SUBSTITUTE(SUBSTITUTE("id:"&amp;A1236,"%","%25"),"~","%7E"),"*","%2A"),"?","%3F"))</x:f>
      </x:c>
    </x:row>
    <x:row r="1237" ht="22" customHeight="1">
      <x:c r="A1237" s="3"/>
      <x:c r="B1237" s="3"/>
      <x:c r="C1237" s="3"/>
      <x:c r="D1237" s="4"/>
      <x:c r="E1237" s="4"/>
      <x:c r="F1237" s="4"/>
      <x:c r="G1237" s="5" t="str">
        <x:f>IF(COUNTA(A1237:F1237)=0,"",IF(K1237&lt;&gt;"","Review",IF(I1237&lt;0,"Overdue",IF(I1237=0,"Due now",IF(I1237&lt;=M1237,"Due soon","Not due")))))</x:f>
      </x:c>
      <x:c r="H1237" s="5" t="str">
        <x:f>IF(OR(COUNTA(A1237:F1237)=0,COUNTIFS('Rules'!$G$7:$G$26,"="&amp;(SUBSTITUTE(SUBSTITUTE(SUBSTITUTE(SUBSTITUTE("type:"&amp;B1237,"%","%25"),"~","%7E"),"*","%2A"),"?","%3F")))&lt;&gt;1),"",IF(OR(INDEX('Rules'!$B$7:$B$26,MATCH(SUBSTITUTE(SUBSTITUTE(SUBSTITUTE(SUBSTITUTE("type:"&amp;B1237,"%","%25"),"~","%7E"),"*","%2A"),"?","%3F"),'Rules'!$G$7:$G$26,0))="hours",INDEX('Rules'!$B$7:$B$26,MATCH(SUBSTITUTE(SUBSTITUTE(SUBSTITUTE(SUBSTITUTE("type:"&amp;B1237,"%","%25"),"~","%7E"),"*","%2A"),"?","%3F"),'Rules'!$G$7:$G$26,0))="km"),INDEX('Rules'!$B$7:$B$26,MATCH(SUBSTITUTE(SUBSTITUTE(SUBSTITUTE(SUBSTITUTE("type:"&amp;B1237,"%","%25"),"~","%7E"),"*","%2A"),"?","%3F"),'Rules'!$G$7:$G$26,0)),""))</x:f>
      </x:c>
      <x:c r="I1237" s="6" t="str">
        <x:f>IF(AND(NOT(COUNTA(A1237:F1237)=0),K1237=""),ROUND(J1237-D1237,3),"")</x:f>
      </x:c>
      <x:c r="J1237" s="6" t="str">
        <x:f>IF(AND(NOT(COUNTA(A1237:F1237)=0),K1237=""),ROUND(F1237+L1237,3),"")</x:f>
      </x:c>
      <x:c r="K1237" s="5" t="str">
        <x:f>IF(COUNTA(A1237:F1237)=0,"",IF(A1237="","Missing equipment ID",IF(COUNTIFS($N$8:$N$2007,"="&amp;N1237)&gt;1,"Duplicate equipment ID",IF(B1237="","Missing type",IF(COUNTIFS('Rules'!$G$7:$G$26,"="&amp;(SUBSTITUTE(SUBSTITUTE(SUBSTITUTE(SUBSTITUTE("type:"&amp;B1237,"%","%25"),"~","%7E"),"*","%2A"),"?","%3F")))=0,"Unknown type",IF(COUNTIFS('Rules'!$G$7:$G$26,"="&amp;(SUBSTITUTE(SUBSTITUTE(SUBSTITUTE(SUBSTITUTE("type:"&amp;B1237,"%","%25"),"~","%7E"),"*","%2A"),"?","%3F")))&gt;1,"Duplicate type",IF(INDEX('Rules'!$F$7:$F$26,MATCH(SUBSTITUTE(SUBSTITUTE(SUBSTITUTE(SUBSTITUTE("type:"&amp;B1237,"%","%25"),"~","%7E"),"*","%2A"),"?","%3F"),'Rules'!$G$7:$G$26,0))&lt;&gt;"",INDEX('Rules'!$F$7:$F$26,MATCH(SUBSTITUTE(SUBSTITUTE(SUBSTITUTE(SUBSTITUTE("type:"&amp;B1237,"%","%25"),"~","%7E"),"*","%2A"),"?","%3F"),'Rules'!$G$7:$G$26,0)),IF(AND(C1237&lt;&gt;"",C1237&lt;&gt;INDEX('Rules'!$B$7:$B$26,MATCH(SUBSTITUTE(SUBSTITUTE(SUBSTITUTE(SUBSTITUTE("type:"&amp;B1237,"%","%25"),"~","%7E"),"*","%2A"),"?","%3F"),'Rules'!$G$7:$G$26,0))),"Unit mismatch",IF(IF(NOT(ISNUMBER(D1237)),TRUE,OR(D1237&lt;0,D1237&gt;999999999,ROUND(D1237,3)&lt;&gt;D1237)),"Invalid current reading",IF(AND(E1237&lt;&gt;"",IF(NOT(ISNUMBER(E1237)),TRUE,OR(E1237&lt;0,E1237&gt;999999999,ROUND(E1237,3)&lt;&gt;E1237))),"Invalid previous reading",IF(IF(NOT(ISNUMBER(F1237)),TRUE,OR(F1237&lt;0,F1237&gt;999999999,ROUND(F1237,3)&lt;&gt;F1237)),"Invalid last service",IF(AND(E1237&lt;&gt;"",D1237&lt;E1237),"Decreased reading",IF(F1237&gt;D1237,"Last service above current","")))))))))))))</x:f>
      </x:c>
      <x:c r="L1237" s="6" t="str">
        <x:f>IF(AND(NOT(COUNTA(A1237:F1237)=0),K1237=""),INDEX('Rules'!$C$7:$C$26,MATCH(SUBSTITUTE(SUBSTITUTE(SUBSTITUTE(SUBSTITUTE("type:"&amp;B1237,"%","%25"),"~","%7E"),"*","%2A"),"?","%3F"),'Rules'!$G$7:$G$26,0)),"")</x:f>
      </x:c>
      <x:c r="M1237" s="6" t="str">
        <x:f>IF(AND(NOT(COUNTA(A1237:F1237)=0),K1237=""),INDEX('Rules'!$D$7:$D$26,MATCH(SUBSTITUTE(SUBSTITUTE(SUBSTITUTE(SUBSTITUTE("type:"&amp;B1237,"%","%25"),"~","%7E"),"*","%2A"),"?","%3F"),'Rules'!$G$7:$G$26,0)),"")</x:f>
      </x:c>
      <x:c r="N1237" s="5" t="str">
        <x:f>IF(COUNTA(A1237:F1237)=0,"",SUBSTITUTE(SUBSTITUTE(SUBSTITUTE(SUBSTITUTE("id:"&amp;A1237,"%","%25"),"~","%7E"),"*","%2A"),"?","%3F"))</x:f>
      </x:c>
    </x:row>
    <x:row r="1238" ht="22" customHeight="1">
      <x:c r="A1238" s="3"/>
      <x:c r="B1238" s="3"/>
      <x:c r="C1238" s="3"/>
      <x:c r="D1238" s="4"/>
      <x:c r="E1238" s="4"/>
      <x:c r="F1238" s="4"/>
      <x:c r="G1238" s="5" t="str">
        <x:f>IF(COUNTA(A1238:F1238)=0,"",IF(K1238&lt;&gt;"","Review",IF(I1238&lt;0,"Overdue",IF(I1238=0,"Due now",IF(I1238&lt;=M1238,"Due soon","Not due")))))</x:f>
      </x:c>
      <x:c r="H1238" s="5" t="str">
        <x:f>IF(OR(COUNTA(A1238:F1238)=0,COUNTIFS('Rules'!$G$7:$G$26,"="&amp;(SUBSTITUTE(SUBSTITUTE(SUBSTITUTE(SUBSTITUTE("type:"&amp;B1238,"%","%25"),"~","%7E"),"*","%2A"),"?","%3F")))&lt;&gt;1),"",IF(OR(INDEX('Rules'!$B$7:$B$26,MATCH(SUBSTITUTE(SUBSTITUTE(SUBSTITUTE(SUBSTITUTE("type:"&amp;B1238,"%","%25"),"~","%7E"),"*","%2A"),"?","%3F"),'Rules'!$G$7:$G$26,0))="hours",INDEX('Rules'!$B$7:$B$26,MATCH(SUBSTITUTE(SUBSTITUTE(SUBSTITUTE(SUBSTITUTE("type:"&amp;B1238,"%","%25"),"~","%7E"),"*","%2A"),"?","%3F"),'Rules'!$G$7:$G$26,0))="km"),INDEX('Rules'!$B$7:$B$26,MATCH(SUBSTITUTE(SUBSTITUTE(SUBSTITUTE(SUBSTITUTE("type:"&amp;B1238,"%","%25"),"~","%7E"),"*","%2A"),"?","%3F"),'Rules'!$G$7:$G$26,0)),""))</x:f>
      </x:c>
      <x:c r="I1238" s="6" t="str">
        <x:f>IF(AND(NOT(COUNTA(A1238:F1238)=0),K1238=""),ROUND(J1238-D1238,3),"")</x:f>
      </x:c>
      <x:c r="J1238" s="6" t="str">
        <x:f>IF(AND(NOT(COUNTA(A1238:F1238)=0),K1238=""),ROUND(F1238+L1238,3),"")</x:f>
      </x:c>
      <x:c r="K1238" s="5" t="str">
        <x:f>IF(COUNTA(A1238:F1238)=0,"",IF(A1238="","Missing equipment ID",IF(COUNTIFS($N$8:$N$2007,"="&amp;N1238)&gt;1,"Duplicate equipment ID",IF(B1238="","Missing type",IF(COUNTIFS('Rules'!$G$7:$G$26,"="&amp;(SUBSTITUTE(SUBSTITUTE(SUBSTITUTE(SUBSTITUTE("type:"&amp;B1238,"%","%25"),"~","%7E"),"*","%2A"),"?","%3F")))=0,"Unknown type",IF(COUNTIFS('Rules'!$G$7:$G$26,"="&amp;(SUBSTITUTE(SUBSTITUTE(SUBSTITUTE(SUBSTITUTE("type:"&amp;B1238,"%","%25"),"~","%7E"),"*","%2A"),"?","%3F")))&gt;1,"Duplicate type",IF(INDEX('Rules'!$F$7:$F$26,MATCH(SUBSTITUTE(SUBSTITUTE(SUBSTITUTE(SUBSTITUTE("type:"&amp;B1238,"%","%25"),"~","%7E"),"*","%2A"),"?","%3F"),'Rules'!$G$7:$G$26,0))&lt;&gt;"",INDEX('Rules'!$F$7:$F$26,MATCH(SUBSTITUTE(SUBSTITUTE(SUBSTITUTE(SUBSTITUTE("type:"&amp;B1238,"%","%25"),"~","%7E"),"*","%2A"),"?","%3F"),'Rules'!$G$7:$G$26,0)),IF(AND(C1238&lt;&gt;"",C1238&lt;&gt;INDEX('Rules'!$B$7:$B$26,MATCH(SUBSTITUTE(SUBSTITUTE(SUBSTITUTE(SUBSTITUTE("type:"&amp;B1238,"%","%25"),"~","%7E"),"*","%2A"),"?","%3F"),'Rules'!$G$7:$G$26,0))),"Unit mismatch",IF(IF(NOT(ISNUMBER(D1238)),TRUE,OR(D1238&lt;0,D1238&gt;999999999,ROUND(D1238,3)&lt;&gt;D1238)),"Invalid current reading",IF(AND(E1238&lt;&gt;"",IF(NOT(ISNUMBER(E1238)),TRUE,OR(E1238&lt;0,E1238&gt;999999999,ROUND(E1238,3)&lt;&gt;E1238))),"Invalid previous reading",IF(IF(NOT(ISNUMBER(F1238)),TRUE,OR(F1238&lt;0,F1238&gt;999999999,ROUND(F1238,3)&lt;&gt;F1238)),"Invalid last service",IF(AND(E1238&lt;&gt;"",D1238&lt;E1238),"Decreased reading",IF(F1238&gt;D1238,"Last service above current","")))))))))))))</x:f>
      </x:c>
      <x:c r="L1238" s="6" t="str">
        <x:f>IF(AND(NOT(COUNTA(A1238:F1238)=0),K1238=""),INDEX('Rules'!$C$7:$C$26,MATCH(SUBSTITUTE(SUBSTITUTE(SUBSTITUTE(SUBSTITUTE("type:"&amp;B1238,"%","%25"),"~","%7E"),"*","%2A"),"?","%3F"),'Rules'!$G$7:$G$26,0)),"")</x:f>
      </x:c>
      <x:c r="M1238" s="6" t="str">
        <x:f>IF(AND(NOT(COUNTA(A1238:F1238)=0),K1238=""),INDEX('Rules'!$D$7:$D$26,MATCH(SUBSTITUTE(SUBSTITUTE(SUBSTITUTE(SUBSTITUTE("type:"&amp;B1238,"%","%25"),"~","%7E"),"*","%2A"),"?","%3F"),'Rules'!$G$7:$G$26,0)),"")</x:f>
      </x:c>
      <x:c r="N1238" s="5" t="str">
        <x:f>IF(COUNTA(A1238:F1238)=0,"",SUBSTITUTE(SUBSTITUTE(SUBSTITUTE(SUBSTITUTE("id:"&amp;A1238,"%","%25"),"~","%7E"),"*","%2A"),"?","%3F"))</x:f>
      </x:c>
    </x:row>
    <x:row r="1239" ht="22" customHeight="1">
      <x:c r="A1239" s="3"/>
      <x:c r="B1239" s="3"/>
      <x:c r="C1239" s="3"/>
      <x:c r="D1239" s="4"/>
      <x:c r="E1239" s="4"/>
      <x:c r="F1239" s="4"/>
      <x:c r="G1239" s="5" t="str">
        <x:f>IF(COUNTA(A1239:F1239)=0,"",IF(K1239&lt;&gt;"","Review",IF(I1239&lt;0,"Overdue",IF(I1239=0,"Due now",IF(I1239&lt;=M1239,"Due soon","Not due")))))</x:f>
      </x:c>
      <x:c r="H1239" s="5" t="str">
        <x:f>IF(OR(COUNTA(A1239:F1239)=0,COUNTIFS('Rules'!$G$7:$G$26,"="&amp;(SUBSTITUTE(SUBSTITUTE(SUBSTITUTE(SUBSTITUTE("type:"&amp;B1239,"%","%25"),"~","%7E"),"*","%2A"),"?","%3F")))&lt;&gt;1),"",IF(OR(INDEX('Rules'!$B$7:$B$26,MATCH(SUBSTITUTE(SUBSTITUTE(SUBSTITUTE(SUBSTITUTE("type:"&amp;B1239,"%","%25"),"~","%7E"),"*","%2A"),"?","%3F"),'Rules'!$G$7:$G$26,0))="hours",INDEX('Rules'!$B$7:$B$26,MATCH(SUBSTITUTE(SUBSTITUTE(SUBSTITUTE(SUBSTITUTE("type:"&amp;B1239,"%","%25"),"~","%7E"),"*","%2A"),"?","%3F"),'Rules'!$G$7:$G$26,0))="km"),INDEX('Rules'!$B$7:$B$26,MATCH(SUBSTITUTE(SUBSTITUTE(SUBSTITUTE(SUBSTITUTE("type:"&amp;B1239,"%","%25"),"~","%7E"),"*","%2A"),"?","%3F"),'Rules'!$G$7:$G$26,0)),""))</x:f>
      </x:c>
      <x:c r="I1239" s="6" t="str">
        <x:f>IF(AND(NOT(COUNTA(A1239:F1239)=0),K1239=""),ROUND(J1239-D1239,3),"")</x:f>
      </x:c>
      <x:c r="J1239" s="6" t="str">
        <x:f>IF(AND(NOT(COUNTA(A1239:F1239)=0),K1239=""),ROUND(F1239+L1239,3),"")</x:f>
      </x:c>
      <x:c r="K1239" s="5" t="str">
        <x:f>IF(COUNTA(A1239:F1239)=0,"",IF(A1239="","Missing equipment ID",IF(COUNTIFS($N$8:$N$2007,"="&amp;N1239)&gt;1,"Duplicate equipment ID",IF(B1239="","Missing type",IF(COUNTIFS('Rules'!$G$7:$G$26,"="&amp;(SUBSTITUTE(SUBSTITUTE(SUBSTITUTE(SUBSTITUTE("type:"&amp;B1239,"%","%25"),"~","%7E"),"*","%2A"),"?","%3F")))=0,"Unknown type",IF(COUNTIFS('Rules'!$G$7:$G$26,"="&amp;(SUBSTITUTE(SUBSTITUTE(SUBSTITUTE(SUBSTITUTE("type:"&amp;B1239,"%","%25"),"~","%7E"),"*","%2A"),"?","%3F")))&gt;1,"Duplicate type",IF(INDEX('Rules'!$F$7:$F$26,MATCH(SUBSTITUTE(SUBSTITUTE(SUBSTITUTE(SUBSTITUTE("type:"&amp;B1239,"%","%25"),"~","%7E"),"*","%2A"),"?","%3F"),'Rules'!$G$7:$G$26,0))&lt;&gt;"",INDEX('Rules'!$F$7:$F$26,MATCH(SUBSTITUTE(SUBSTITUTE(SUBSTITUTE(SUBSTITUTE("type:"&amp;B1239,"%","%25"),"~","%7E"),"*","%2A"),"?","%3F"),'Rules'!$G$7:$G$26,0)),IF(AND(C1239&lt;&gt;"",C1239&lt;&gt;INDEX('Rules'!$B$7:$B$26,MATCH(SUBSTITUTE(SUBSTITUTE(SUBSTITUTE(SUBSTITUTE("type:"&amp;B1239,"%","%25"),"~","%7E"),"*","%2A"),"?","%3F"),'Rules'!$G$7:$G$26,0))),"Unit mismatch",IF(IF(NOT(ISNUMBER(D1239)),TRUE,OR(D1239&lt;0,D1239&gt;999999999,ROUND(D1239,3)&lt;&gt;D1239)),"Invalid current reading",IF(AND(E1239&lt;&gt;"",IF(NOT(ISNUMBER(E1239)),TRUE,OR(E1239&lt;0,E1239&gt;999999999,ROUND(E1239,3)&lt;&gt;E1239))),"Invalid previous reading",IF(IF(NOT(ISNUMBER(F1239)),TRUE,OR(F1239&lt;0,F1239&gt;999999999,ROUND(F1239,3)&lt;&gt;F1239)),"Invalid last service",IF(AND(E1239&lt;&gt;"",D1239&lt;E1239),"Decreased reading",IF(F1239&gt;D1239,"Last service above current","")))))))))))))</x:f>
      </x:c>
      <x:c r="L1239" s="6" t="str">
        <x:f>IF(AND(NOT(COUNTA(A1239:F1239)=0),K1239=""),INDEX('Rules'!$C$7:$C$26,MATCH(SUBSTITUTE(SUBSTITUTE(SUBSTITUTE(SUBSTITUTE("type:"&amp;B1239,"%","%25"),"~","%7E"),"*","%2A"),"?","%3F"),'Rules'!$G$7:$G$26,0)),"")</x:f>
      </x:c>
      <x:c r="M1239" s="6" t="str">
        <x:f>IF(AND(NOT(COUNTA(A1239:F1239)=0),K1239=""),INDEX('Rules'!$D$7:$D$26,MATCH(SUBSTITUTE(SUBSTITUTE(SUBSTITUTE(SUBSTITUTE("type:"&amp;B1239,"%","%25"),"~","%7E"),"*","%2A"),"?","%3F"),'Rules'!$G$7:$G$26,0)),"")</x:f>
      </x:c>
      <x:c r="N1239" s="5" t="str">
        <x:f>IF(COUNTA(A1239:F1239)=0,"",SUBSTITUTE(SUBSTITUTE(SUBSTITUTE(SUBSTITUTE("id:"&amp;A1239,"%","%25"),"~","%7E"),"*","%2A"),"?","%3F"))</x:f>
      </x:c>
    </x:row>
    <x:row r="1240" ht="22" customHeight="1">
      <x:c r="A1240" s="3"/>
      <x:c r="B1240" s="3"/>
      <x:c r="C1240" s="3"/>
      <x:c r="D1240" s="4"/>
      <x:c r="E1240" s="4"/>
      <x:c r="F1240" s="4"/>
      <x:c r="G1240" s="5" t="str">
        <x:f>IF(COUNTA(A1240:F1240)=0,"",IF(K1240&lt;&gt;"","Review",IF(I1240&lt;0,"Overdue",IF(I1240=0,"Due now",IF(I1240&lt;=M1240,"Due soon","Not due")))))</x:f>
      </x:c>
      <x:c r="H1240" s="5" t="str">
        <x:f>IF(OR(COUNTA(A1240:F1240)=0,COUNTIFS('Rules'!$G$7:$G$26,"="&amp;(SUBSTITUTE(SUBSTITUTE(SUBSTITUTE(SUBSTITUTE("type:"&amp;B1240,"%","%25"),"~","%7E"),"*","%2A"),"?","%3F")))&lt;&gt;1),"",IF(OR(INDEX('Rules'!$B$7:$B$26,MATCH(SUBSTITUTE(SUBSTITUTE(SUBSTITUTE(SUBSTITUTE("type:"&amp;B1240,"%","%25"),"~","%7E"),"*","%2A"),"?","%3F"),'Rules'!$G$7:$G$26,0))="hours",INDEX('Rules'!$B$7:$B$26,MATCH(SUBSTITUTE(SUBSTITUTE(SUBSTITUTE(SUBSTITUTE("type:"&amp;B1240,"%","%25"),"~","%7E"),"*","%2A"),"?","%3F"),'Rules'!$G$7:$G$26,0))="km"),INDEX('Rules'!$B$7:$B$26,MATCH(SUBSTITUTE(SUBSTITUTE(SUBSTITUTE(SUBSTITUTE("type:"&amp;B1240,"%","%25"),"~","%7E"),"*","%2A"),"?","%3F"),'Rules'!$G$7:$G$26,0)),""))</x:f>
      </x:c>
      <x:c r="I1240" s="6" t="str">
        <x:f>IF(AND(NOT(COUNTA(A1240:F1240)=0),K1240=""),ROUND(J1240-D1240,3),"")</x:f>
      </x:c>
      <x:c r="J1240" s="6" t="str">
        <x:f>IF(AND(NOT(COUNTA(A1240:F1240)=0),K1240=""),ROUND(F1240+L1240,3),"")</x:f>
      </x:c>
      <x:c r="K1240" s="5" t="str">
        <x:f>IF(COUNTA(A1240:F1240)=0,"",IF(A1240="","Missing equipment ID",IF(COUNTIFS($N$8:$N$2007,"="&amp;N1240)&gt;1,"Duplicate equipment ID",IF(B1240="","Missing type",IF(COUNTIFS('Rules'!$G$7:$G$26,"="&amp;(SUBSTITUTE(SUBSTITUTE(SUBSTITUTE(SUBSTITUTE("type:"&amp;B1240,"%","%25"),"~","%7E"),"*","%2A"),"?","%3F")))=0,"Unknown type",IF(COUNTIFS('Rules'!$G$7:$G$26,"="&amp;(SUBSTITUTE(SUBSTITUTE(SUBSTITUTE(SUBSTITUTE("type:"&amp;B1240,"%","%25"),"~","%7E"),"*","%2A"),"?","%3F")))&gt;1,"Duplicate type",IF(INDEX('Rules'!$F$7:$F$26,MATCH(SUBSTITUTE(SUBSTITUTE(SUBSTITUTE(SUBSTITUTE("type:"&amp;B1240,"%","%25"),"~","%7E"),"*","%2A"),"?","%3F"),'Rules'!$G$7:$G$26,0))&lt;&gt;"",INDEX('Rules'!$F$7:$F$26,MATCH(SUBSTITUTE(SUBSTITUTE(SUBSTITUTE(SUBSTITUTE("type:"&amp;B1240,"%","%25"),"~","%7E"),"*","%2A"),"?","%3F"),'Rules'!$G$7:$G$26,0)),IF(AND(C1240&lt;&gt;"",C1240&lt;&gt;INDEX('Rules'!$B$7:$B$26,MATCH(SUBSTITUTE(SUBSTITUTE(SUBSTITUTE(SUBSTITUTE("type:"&amp;B1240,"%","%25"),"~","%7E"),"*","%2A"),"?","%3F"),'Rules'!$G$7:$G$26,0))),"Unit mismatch",IF(IF(NOT(ISNUMBER(D1240)),TRUE,OR(D1240&lt;0,D1240&gt;999999999,ROUND(D1240,3)&lt;&gt;D1240)),"Invalid current reading",IF(AND(E1240&lt;&gt;"",IF(NOT(ISNUMBER(E1240)),TRUE,OR(E1240&lt;0,E1240&gt;999999999,ROUND(E1240,3)&lt;&gt;E1240))),"Invalid previous reading",IF(IF(NOT(ISNUMBER(F1240)),TRUE,OR(F1240&lt;0,F1240&gt;999999999,ROUND(F1240,3)&lt;&gt;F1240)),"Invalid last service",IF(AND(E1240&lt;&gt;"",D1240&lt;E1240),"Decreased reading",IF(F1240&gt;D1240,"Last service above current","")))))))))))))</x:f>
      </x:c>
      <x:c r="L1240" s="6" t="str">
        <x:f>IF(AND(NOT(COUNTA(A1240:F1240)=0),K1240=""),INDEX('Rules'!$C$7:$C$26,MATCH(SUBSTITUTE(SUBSTITUTE(SUBSTITUTE(SUBSTITUTE("type:"&amp;B1240,"%","%25"),"~","%7E"),"*","%2A"),"?","%3F"),'Rules'!$G$7:$G$26,0)),"")</x:f>
      </x:c>
      <x:c r="M1240" s="6" t="str">
        <x:f>IF(AND(NOT(COUNTA(A1240:F1240)=0),K1240=""),INDEX('Rules'!$D$7:$D$26,MATCH(SUBSTITUTE(SUBSTITUTE(SUBSTITUTE(SUBSTITUTE("type:"&amp;B1240,"%","%25"),"~","%7E"),"*","%2A"),"?","%3F"),'Rules'!$G$7:$G$26,0)),"")</x:f>
      </x:c>
      <x:c r="N1240" s="5" t="str">
        <x:f>IF(COUNTA(A1240:F1240)=0,"",SUBSTITUTE(SUBSTITUTE(SUBSTITUTE(SUBSTITUTE("id:"&amp;A1240,"%","%25"),"~","%7E"),"*","%2A"),"?","%3F"))</x:f>
      </x:c>
    </x:row>
    <x:row r="1241" ht="22" customHeight="1">
      <x:c r="A1241" s="3"/>
      <x:c r="B1241" s="3"/>
      <x:c r="C1241" s="3"/>
      <x:c r="D1241" s="4"/>
      <x:c r="E1241" s="4"/>
      <x:c r="F1241" s="4"/>
      <x:c r="G1241" s="5" t="str">
        <x:f>IF(COUNTA(A1241:F1241)=0,"",IF(K1241&lt;&gt;"","Review",IF(I1241&lt;0,"Overdue",IF(I1241=0,"Due now",IF(I1241&lt;=M1241,"Due soon","Not due")))))</x:f>
      </x:c>
      <x:c r="H1241" s="5" t="str">
        <x:f>IF(OR(COUNTA(A1241:F1241)=0,COUNTIFS('Rules'!$G$7:$G$26,"="&amp;(SUBSTITUTE(SUBSTITUTE(SUBSTITUTE(SUBSTITUTE("type:"&amp;B1241,"%","%25"),"~","%7E"),"*","%2A"),"?","%3F")))&lt;&gt;1),"",IF(OR(INDEX('Rules'!$B$7:$B$26,MATCH(SUBSTITUTE(SUBSTITUTE(SUBSTITUTE(SUBSTITUTE("type:"&amp;B1241,"%","%25"),"~","%7E"),"*","%2A"),"?","%3F"),'Rules'!$G$7:$G$26,0))="hours",INDEX('Rules'!$B$7:$B$26,MATCH(SUBSTITUTE(SUBSTITUTE(SUBSTITUTE(SUBSTITUTE("type:"&amp;B1241,"%","%25"),"~","%7E"),"*","%2A"),"?","%3F"),'Rules'!$G$7:$G$26,0))="km"),INDEX('Rules'!$B$7:$B$26,MATCH(SUBSTITUTE(SUBSTITUTE(SUBSTITUTE(SUBSTITUTE("type:"&amp;B1241,"%","%25"),"~","%7E"),"*","%2A"),"?","%3F"),'Rules'!$G$7:$G$26,0)),""))</x:f>
      </x:c>
      <x:c r="I1241" s="6" t="str">
        <x:f>IF(AND(NOT(COUNTA(A1241:F1241)=0),K1241=""),ROUND(J1241-D1241,3),"")</x:f>
      </x:c>
      <x:c r="J1241" s="6" t="str">
        <x:f>IF(AND(NOT(COUNTA(A1241:F1241)=0),K1241=""),ROUND(F1241+L1241,3),"")</x:f>
      </x:c>
      <x:c r="K1241" s="5" t="str">
        <x:f>IF(COUNTA(A1241:F1241)=0,"",IF(A1241="","Missing equipment ID",IF(COUNTIFS($N$8:$N$2007,"="&amp;N1241)&gt;1,"Duplicate equipment ID",IF(B1241="","Missing type",IF(COUNTIFS('Rules'!$G$7:$G$26,"="&amp;(SUBSTITUTE(SUBSTITUTE(SUBSTITUTE(SUBSTITUTE("type:"&amp;B1241,"%","%25"),"~","%7E"),"*","%2A"),"?","%3F")))=0,"Unknown type",IF(COUNTIFS('Rules'!$G$7:$G$26,"="&amp;(SUBSTITUTE(SUBSTITUTE(SUBSTITUTE(SUBSTITUTE("type:"&amp;B1241,"%","%25"),"~","%7E"),"*","%2A"),"?","%3F")))&gt;1,"Duplicate type",IF(INDEX('Rules'!$F$7:$F$26,MATCH(SUBSTITUTE(SUBSTITUTE(SUBSTITUTE(SUBSTITUTE("type:"&amp;B1241,"%","%25"),"~","%7E"),"*","%2A"),"?","%3F"),'Rules'!$G$7:$G$26,0))&lt;&gt;"",INDEX('Rules'!$F$7:$F$26,MATCH(SUBSTITUTE(SUBSTITUTE(SUBSTITUTE(SUBSTITUTE("type:"&amp;B1241,"%","%25"),"~","%7E"),"*","%2A"),"?","%3F"),'Rules'!$G$7:$G$26,0)),IF(AND(C1241&lt;&gt;"",C1241&lt;&gt;INDEX('Rules'!$B$7:$B$26,MATCH(SUBSTITUTE(SUBSTITUTE(SUBSTITUTE(SUBSTITUTE("type:"&amp;B1241,"%","%25"),"~","%7E"),"*","%2A"),"?","%3F"),'Rules'!$G$7:$G$26,0))),"Unit mismatch",IF(IF(NOT(ISNUMBER(D1241)),TRUE,OR(D1241&lt;0,D1241&gt;999999999,ROUND(D1241,3)&lt;&gt;D1241)),"Invalid current reading",IF(AND(E1241&lt;&gt;"",IF(NOT(ISNUMBER(E1241)),TRUE,OR(E1241&lt;0,E1241&gt;999999999,ROUND(E1241,3)&lt;&gt;E1241))),"Invalid previous reading",IF(IF(NOT(ISNUMBER(F1241)),TRUE,OR(F1241&lt;0,F1241&gt;999999999,ROUND(F1241,3)&lt;&gt;F1241)),"Invalid last service",IF(AND(E1241&lt;&gt;"",D1241&lt;E1241),"Decreased reading",IF(F1241&gt;D1241,"Last service above current","")))))))))))))</x:f>
      </x:c>
      <x:c r="L1241" s="6" t="str">
        <x:f>IF(AND(NOT(COUNTA(A1241:F1241)=0),K1241=""),INDEX('Rules'!$C$7:$C$26,MATCH(SUBSTITUTE(SUBSTITUTE(SUBSTITUTE(SUBSTITUTE("type:"&amp;B1241,"%","%25"),"~","%7E"),"*","%2A"),"?","%3F"),'Rules'!$G$7:$G$26,0)),"")</x:f>
      </x:c>
      <x:c r="M1241" s="6" t="str">
        <x:f>IF(AND(NOT(COUNTA(A1241:F1241)=0),K1241=""),INDEX('Rules'!$D$7:$D$26,MATCH(SUBSTITUTE(SUBSTITUTE(SUBSTITUTE(SUBSTITUTE("type:"&amp;B1241,"%","%25"),"~","%7E"),"*","%2A"),"?","%3F"),'Rules'!$G$7:$G$26,0)),"")</x:f>
      </x:c>
      <x:c r="N1241" s="5" t="str">
        <x:f>IF(COUNTA(A1241:F1241)=0,"",SUBSTITUTE(SUBSTITUTE(SUBSTITUTE(SUBSTITUTE("id:"&amp;A1241,"%","%25"),"~","%7E"),"*","%2A"),"?","%3F"))</x:f>
      </x:c>
    </x:row>
    <x:row r="1242" ht="22" customHeight="1">
      <x:c r="A1242" s="3"/>
      <x:c r="B1242" s="3"/>
      <x:c r="C1242" s="3"/>
      <x:c r="D1242" s="4"/>
      <x:c r="E1242" s="4"/>
      <x:c r="F1242" s="4"/>
      <x:c r="G1242" s="5" t="str">
        <x:f>IF(COUNTA(A1242:F1242)=0,"",IF(K1242&lt;&gt;"","Review",IF(I1242&lt;0,"Overdue",IF(I1242=0,"Due now",IF(I1242&lt;=M1242,"Due soon","Not due")))))</x:f>
      </x:c>
      <x:c r="H1242" s="5" t="str">
        <x:f>IF(OR(COUNTA(A1242:F1242)=0,COUNTIFS('Rules'!$G$7:$G$26,"="&amp;(SUBSTITUTE(SUBSTITUTE(SUBSTITUTE(SUBSTITUTE("type:"&amp;B1242,"%","%25"),"~","%7E"),"*","%2A"),"?","%3F")))&lt;&gt;1),"",IF(OR(INDEX('Rules'!$B$7:$B$26,MATCH(SUBSTITUTE(SUBSTITUTE(SUBSTITUTE(SUBSTITUTE("type:"&amp;B1242,"%","%25"),"~","%7E"),"*","%2A"),"?","%3F"),'Rules'!$G$7:$G$26,0))="hours",INDEX('Rules'!$B$7:$B$26,MATCH(SUBSTITUTE(SUBSTITUTE(SUBSTITUTE(SUBSTITUTE("type:"&amp;B1242,"%","%25"),"~","%7E"),"*","%2A"),"?","%3F"),'Rules'!$G$7:$G$26,0))="km"),INDEX('Rules'!$B$7:$B$26,MATCH(SUBSTITUTE(SUBSTITUTE(SUBSTITUTE(SUBSTITUTE("type:"&amp;B1242,"%","%25"),"~","%7E"),"*","%2A"),"?","%3F"),'Rules'!$G$7:$G$26,0)),""))</x:f>
      </x:c>
      <x:c r="I1242" s="6" t="str">
        <x:f>IF(AND(NOT(COUNTA(A1242:F1242)=0),K1242=""),ROUND(J1242-D1242,3),"")</x:f>
      </x:c>
      <x:c r="J1242" s="6" t="str">
        <x:f>IF(AND(NOT(COUNTA(A1242:F1242)=0),K1242=""),ROUND(F1242+L1242,3),"")</x:f>
      </x:c>
      <x:c r="K1242" s="5" t="str">
        <x:f>IF(COUNTA(A1242:F1242)=0,"",IF(A1242="","Missing equipment ID",IF(COUNTIFS($N$8:$N$2007,"="&amp;N1242)&gt;1,"Duplicate equipment ID",IF(B1242="","Missing type",IF(COUNTIFS('Rules'!$G$7:$G$26,"="&amp;(SUBSTITUTE(SUBSTITUTE(SUBSTITUTE(SUBSTITUTE("type:"&amp;B1242,"%","%25"),"~","%7E"),"*","%2A"),"?","%3F")))=0,"Unknown type",IF(COUNTIFS('Rules'!$G$7:$G$26,"="&amp;(SUBSTITUTE(SUBSTITUTE(SUBSTITUTE(SUBSTITUTE("type:"&amp;B1242,"%","%25"),"~","%7E"),"*","%2A"),"?","%3F")))&gt;1,"Duplicate type",IF(INDEX('Rules'!$F$7:$F$26,MATCH(SUBSTITUTE(SUBSTITUTE(SUBSTITUTE(SUBSTITUTE("type:"&amp;B1242,"%","%25"),"~","%7E"),"*","%2A"),"?","%3F"),'Rules'!$G$7:$G$26,0))&lt;&gt;"",INDEX('Rules'!$F$7:$F$26,MATCH(SUBSTITUTE(SUBSTITUTE(SUBSTITUTE(SUBSTITUTE("type:"&amp;B1242,"%","%25"),"~","%7E"),"*","%2A"),"?","%3F"),'Rules'!$G$7:$G$26,0)),IF(AND(C1242&lt;&gt;"",C1242&lt;&gt;INDEX('Rules'!$B$7:$B$26,MATCH(SUBSTITUTE(SUBSTITUTE(SUBSTITUTE(SUBSTITUTE("type:"&amp;B1242,"%","%25"),"~","%7E"),"*","%2A"),"?","%3F"),'Rules'!$G$7:$G$26,0))),"Unit mismatch",IF(IF(NOT(ISNUMBER(D1242)),TRUE,OR(D1242&lt;0,D1242&gt;999999999,ROUND(D1242,3)&lt;&gt;D1242)),"Invalid current reading",IF(AND(E1242&lt;&gt;"",IF(NOT(ISNUMBER(E1242)),TRUE,OR(E1242&lt;0,E1242&gt;999999999,ROUND(E1242,3)&lt;&gt;E1242))),"Invalid previous reading",IF(IF(NOT(ISNUMBER(F1242)),TRUE,OR(F1242&lt;0,F1242&gt;999999999,ROUND(F1242,3)&lt;&gt;F1242)),"Invalid last service",IF(AND(E1242&lt;&gt;"",D1242&lt;E1242),"Decreased reading",IF(F1242&gt;D1242,"Last service above current","")))))))))))))</x:f>
      </x:c>
      <x:c r="L1242" s="6" t="str">
        <x:f>IF(AND(NOT(COUNTA(A1242:F1242)=0),K1242=""),INDEX('Rules'!$C$7:$C$26,MATCH(SUBSTITUTE(SUBSTITUTE(SUBSTITUTE(SUBSTITUTE("type:"&amp;B1242,"%","%25"),"~","%7E"),"*","%2A"),"?","%3F"),'Rules'!$G$7:$G$26,0)),"")</x:f>
      </x:c>
      <x:c r="M1242" s="6" t="str">
        <x:f>IF(AND(NOT(COUNTA(A1242:F1242)=0),K1242=""),INDEX('Rules'!$D$7:$D$26,MATCH(SUBSTITUTE(SUBSTITUTE(SUBSTITUTE(SUBSTITUTE("type:"&amp;B1242,"%","%25"),"~","%7E"),"*","%2A"),"?","%3F"),'Rules'!$G$7:$G$26,0)),"")</x:f>
      </x:c>
      <x:c r="N1242" s="5" t="str">
        <x:f>IF(COUNTA(A1242:F1242)=0,"",SUBSTITUTE(SUBSTITUTE(SUBSTITUTE(SUBSTITUTE("id:"&amp;A1242,"%","%25"),"~","%7E"),"*","%2A"),"?","%3F"))</x:f>
      </x:c>
    </x:row>
    <x:row r="1243" ht="22" customHeight="1">
      <x:c r="A1243" s="3"/>
      <x:c r="B1243" s="3"/>
      <x:c r="C1243" s="3"/>
      <x:c r="D1243" s="4"/>
      <x:c r="E1243" s="4"/>
      <x:c r="F1243" s="4"/>
      <x:c r="G1243" s="5" t="str">
        <x:f>IF(COUNTA(A1243:F1243)=0,"",IF(K1243&lt;&gt;"","Review",IF(I1243&lt;0,"Overdue",IF(I1243=0,"Due now",IF(I1243&lt;=M1243,"Due soon","Not due")))))</x:f>
      </x:c>
      <x:c r="H1243" s="5" t="str">
        <x:f>IF(OR(COUNTA(A1243:F1243)=0,COUNTIFS('Rules'!$G$7:$G$26,"="&amp;(SUBSTITUTE(SUBSTITUTE(SUBSTITUTE(SUBSTITUTE("type:"&amp;B1243,"%","%25"),"~","%7E"),"*","%2A"),"?","%3F")))&lt;&gt;1),"",IF(OR(INDEX('Rules'!$B$7:$B$26,MATCH(SUBSTITUTE(SUBSTITUTE(SUBSTITUTE(SUBSTITUTE("type:"&amp;B1243,"%","%25"),"~","%7E"),"*","%2A"),"?","%3F"),'Rules'!$G$7:$G$26,0))="hours",INDEX('Rules'!$B$7:$B$26,MATCH(SUBSTITUTE(SUBSTITUTE(SUBSTITUTE(SUBSTITUTE("type:"&amp;B1243,"%","%25"),"~","%7E"),"*","%2A"),"?","%3F"),'Rules'!$G$7:$G$26,0))="km"),INDEX('Rules'!$B$7:$B$26,MATCH(SUBSTITUTE(SUBSTITUTE(SUBSTITUTE(SUBSTITUTE("type:"&amp;B1243,"%","%25"),"~","%7E"),"*","%2A"),"?","%3F"),'Rules'!$G$7:$G$26,0)),""))</x:f>
      </x:c>
      <x:c r="I1243" s="6" t="str">
        <x:f>IF(AND(NOT(COUNTA(A1243:F1243)=0),K1243=""),ROUND(J1243-D1243,3),"")</x:f>
      </x:c>
      <x:c r="J1243" s="6" t="str">
        <x:f>IF(AND(NOT(COUNTA(A1243:F1243)=0),K1243=""),ROUND(F1243+L1243,3),"")</x:f>
      </x:c>
      <x:c r="K1243" s="5" t="str">
        <x:f>IF(COUNTA(A1243:F1243)=0,"",IF(A1243="","Missing equipment ID",IF(COUNTIFS($N$8:$N$2007,"="&amp;N1243)&gt;1,"Duplicate equipment ID",IF(B1243="","Missing type",IF(COUNTIFS('Rules'!$G$7:$G$26,"="&amp;(SUBSTITUTE(SUBSTITUTE(SUBSTITUTE(SUBSTITUTE("type:"&amp;B1243,"%","%25"),"~","%7E"),"*","%2A"),"?","%3F")))=0,"Unknown type",IF(COUNTIFS('Rules'!$G$7:$G$26,"="&amp;(SUBSTITUTE(SUBSTITUTE(SUBSTITUTE(SUBSTITUTE("type:"&amp;B1243,"%","%25"),"~","%7E"),"*","%2A"),"?","%3F")))&gt;1,"Duplicate type",IF(INDEX('Rules'!$F$7:$F$26,MATCH(SUBSTITUTE(SUBSTITUTE(SUBSTITUTE(SUBSTITUTE("type:"&amp;B1243,"%","%25"),"~","%7E"),"*","%2A"),"?","%3F"),'Rules'!$G$7:$G$26,0))&lt;&gt;"",INDEX('Rules'!$F$7:$F$26,MATCH(SUBSTITUTE(SUBSTITUTE(SUBSTITUTE(SUBSTITUTE("type:"&amp;B1243,"%","%25"),"~","%7E"),"*","%2A"),"?","%3F"),'Rules'!$G$7:$G$26,0)),IF(AND(C1243&lt;&gt;"",C1243&lt;&gt;INDEX('Rules'!$B$7:$B$26,MATCH(SUBSTITUTE(SUBSTITUTE(SUBSTITUTE(SUBSTITUTE("type:"&amp;B1243,"%","%25"),"~","%7E"),"*","%2A"),"?","%3F"),'Rules'!$G$7:$G$26,0))),"Unit mismatch",IF(IF(NOT(ISNUMBER(D1243)),TRUE,OR(D1243&lt;0,D1243&gt;999999999,ROUND(D1243,3)&lt;&gt;D1243)),"Invalid current reading",IF(AND(E1243&lt;&gt;"",IF(NOT(ISNUMBER(E1243)),TRUE,OR(E1243&lt;0,E1243&gt;999999999,ROUND(E1243,3)&lt;&gt;E1243))),"Invalid previous reading",IF(IF(NOT(ISNUMBER(F1243)),TRUE,OR(F1243&lt;0,F1243&gt;999999999,ROUND(F1243,3)&lt;&gt;F1243)),"Invalid last service",IF(AND(E1243&lt;&gt;"",D1243&lt;E1243),"Decreased reading",IF(F1243&gt;D1243,"Last service above current","")))))))))))))</x:f>
      </x:c>
      <x:c r="L1243" s="6" t="str">
        <x:f>IF(AND(NOT(COUNTA(A1243:F1243)=0),K1243=""),INDEX('Rules'!$C$7:$C$26,MATCH(SUBSTITUTE(SUBSTITUTE(SUBSTITUTE(SUBSTITUTE("type:"&amp;B1243,"%","%25"),"~","%7E"),"*","%2A"),"?","%3F"),'Rules'!$G$7:$G$26,0)),"")</x:f>
      </x:c>
      <x:c r="M1243" s="6" t="str">
        <x:f>IF(AND(NOT(COUNTA(A1243:F1243)=0),K1243=""),INDEX('Rules'!$D$7:$D$26,MATCH(SUBSTITUTE(SUBSTITUTE(SUBSTITUTE(SUBSTITUTE("type:"&amp;B1243,"%","%25"),"~","%7E"),"*","%2A"),"?","%3F"),'Rules'!$G$7:$G$26,0)),"")</x:f>
      </x:c>
      <x:c r="N1243" s="5" t="str">
        <x:f>IF(COUNTA(A1243:F1243)=0,"",SUBSTITUTE(SUBSTITUTE(SUBSTITUTE(SUBSTITUTE("id:"&amp;A1243,"%","%25"),"~","%7E"),"*","%2A"),"?","%3F"))</x:f>
      </x:c>
    </x:row>
    <x:row r="1244" ht="22" customHeight="1">
      <x:c r="A1244" s="3"/>
      <x:c r="B1244" s="3"/>
      <x:c r="C1244" s="3"/>
      <x:c r="D1244" s="4"/>
      <x:c r="E1244" s="4"/>
      <x:c r="F1244" s="4"/>
      <x:c r="G1244" s="5" t="str">
        <x:f>IF(COUNTA(A1244:F1244)=0,"",IF(K1244&lt;&gt;"","Review",IF(I1244&lt;0,"Overdue",IF(I1244=0,"Due now",IF(I1244&lt;=M1244,"Due soon","Not due")))))</x:f>
      </x:c>
      <x:c r="H1244" s="5" t="str">
        <x:f>IF(OR(COUNTA(A1244:F1244)=0,COUNTIFS('Rules'!$G$7:$G$26,"="&amp;(SUBSTITUTE(SUBSTITUTE(SUBSTITUTE(SUBSTITUTE("type:"&amp;B1244,"%","%25"),"~","%7E"),"*","%2A"),"?","%3F")))&lt;&gt;1),"",IF(OR(INDEX('Rules'!$B$7:$B$26,MATCH(SUBSTITUTE(SUBSTITUTE(SUBSTITUTE(SUBSTITUTE("type:"&amp;B1244,"%","%25"),"~","%7E"),"*","%2A"),"?","%3F"),'Rules'!$G$7:$G$26,0))="hours",INDEX('Rules'!$B$7:$B$26,MATCH(SUBSTITUTE(SUBSTITUTE(SUBSTITUTE(SUBSTITUTE("type:"&amp;B1244,"%","%25"),"~","%7E"),"*","%2A"),"?","%3F"),'Rules'!$G$7:$G$26,0))="km"),INDEX('Rules'!$B$7:$B$26,MATCH(SUBSTITUTE(SUBSTITUTE(SUBSTITUTE(SUBSTITUTE("type:"&amp;B1244,"%","%25"),"~","%7E"),"*","%2A"),"?","%3F"),'Rules'!$G$7:$G$26,0)),""))</x:f>
      </x:c>
      <x:c r="I1244" s="6" t="str">
        <x:f>IF(AND(NOT(COUNTA(A1244:F1244)=0),K1244=""),ROUND(J1244-D1244,3),"")</x:f>
      </x:c>
      <x:c r="J1244" s="6" t="str">
        <x:f>IF(AND(NOT(COUNTA(A1244:F1244)=0),K1244=""),ROUND(F1244+L1244,3),"")</x:f>
      </x:c>
      <x:c r="K1244" s="5" t="str">
        <x:f>IF(COUNTA(A1244:F1244)=0,"",IF(A1244="","Missing equipment ID",IF(COUNTIFS($N$8:$N$2007,"="&amp;N1244)&gt;1,"Duplicate equipment ID",IF(B1244="","Missing type",IF(COUNTIFS('Rules'!$G$7:$G$26,"="&amp;(SUBSTITUTE(SUBSTITUTE(SUBSTITUTE(SUBSTITUTE("type:"&amp;B1244,"%","%25"),"~","%7E"),"*","%2A"),"?","%3F")))=0,"Unknown type",IF(COUNTIFS('Rules'!$G$7:$G$26,"="&amp;(SUBSTITUTE(SUBSTITUTE(SUBSTITUTE(SUBSTITUTE("type:"&amp;B1244,"%","%25"),"~","%7E"),"*","%2A"),"?","%3F")))&gt;1,"Duplicate type",IF(INDEX('Rules'!$F$7:$F$26,MATCH(SUBSTITUTE(SUBSTITUTE(SUBSTITUTE(SUBSTITUTE("type:"&amp;B1244,"%","%25"),"~","%7E"),"*","%2A"),"?","%3F"),'Rules'!$G$7:$G$26,0))&lt;&gt;"",INDEX('Rules'!$F$7:$F$26,MATCH(SUBSTITUTE(SUBSTITUTE(SUBSTITUTE(SUBSTITUTE("type:"&amp;B1244,"%","%25"),"~","%7E"),"*","%2A"),"?","%3F"),'Rules'!$G$7:$G$26,0)),IF(AND(C1244&lt;&gt;"",C1244&lt;&gt;INDEX('Rules'!$B$7:$B$26,MATCH(SUBSTITUTE(SUBSTITUTE(SUBSTITUTE(SUBSTITUTE("type:"&amp;B1244,"%","%25"),"~","%7E"),"*","%2A"),"?","%3F"),'Rules'!$G$7:$G$26,0))),"Unit mismatch",IF(IF(NOT(ISNUMBER(D1244)),TRUE,OR(D1244&lt;0,D1244&gt;999999999,ROUND(D1244,3)&lt;&gt;D1244)),"Invalid current reading",IF(AND(E1244&lt;&gt;"",IF(NOT(ISNUMBER(E1244)),TRUE,OR(E1244&lt;0,E1244&gt;999999999,ROUND(E1244,3)&lt;&gt;E1244))),"Invalid previous reading",IF(IF(NOT(ISNUMBER(F1244)),TRUE,OR(F1244&lt;0,F1244&gt;999999999,ROUND(F1244,3)&lt;&gt;F1244)),"Invalid last service",IF(AND(E1244&lt;&gt;"",D1244&lt;E1244),"Decreased reading",IF(F1244&gt;D1244,"Last service above current","")))))))))))))</x:f>
      </x:c>
      <x:c r="L1244" s="6" t="str">
        <x:f>IF(AND(NOT(COUNTA(A1244:F1244)=0),K1244=""),INDEX('Rules'!$C$7:$C$26,MATCH(SUBSTITUTE(SUBSTITUTE(SUBSTITUTE(SUBSTITUTE("type:"&amp;B1244,"%","%25"),"~","%7E"),"*","%2A"),"?","%3F"),'Rules'!$G$7:$G$26,0)),"")</x:f>
      </x:c>
      <x:c r="M1244" s="6" t="str">
        <x:f>IF(AND(NOT(COUNTA(A1244:F1244)=0),K1244=""),INDEX('Rules'!$D$7:$D$26,MATCH(SUBSTITUTE(SUBSTITUTE(SUBSTITUTE(SUBSTITUTE("type:"&amp;B1244,"%","%25"),"~","%7E"),"*","%2A"),"?","%3F"),'Rules'!$G$7:$G$26,0)),"")</x:f>
      </x:c>
      <x:c r="N1244" s="5" t="str">
        <x:f>IF(COUNTA(A1244:F1244)=0,"",SUBSTITUTE(SUBSTITUTE(SUBSTITUTE(SUBSTITUTE("id:"&amp;A1244,"%","%25"),"~","%7E"),"*","%2A"),"?","%3F"))</x:f>
      </x:c>
    </x:row>
    <x:row r="1245" ht="22" customHeight="1">
      <x:c r="A1245" s="3"/>
      <x:c r="B1245" s="3"/>
      <x:c r="C1245" s="3"/>
      <x:c r="D1245" s="4"/>
      <x:c r="E1245" s="4"/>
      <x:c r="F1245" s="4"/>
      <x:c r="G1245" s="5" t="str">
        <x:f>IF(COUNTA(A1245:F1245)=0,"",IF(K1245&lt;&gt;"","Review",IF(I1245&lt;0,"Overdue",IF(I1245=0,"Due now",IF(I1245&lt;=M1245,"Due soon","Not due")))))</x:f>
      </x:c>
      <x:c r="H1245" s="5" t="str">
        <x:f>IF(OR(COUNTA(A1245:F1245)=0,COUNTIFS('Rules'!$G$7:$G$26,"="&amp;(SUBSTITUTE(SUBSTITUTE(SUBSTITUTE(SUBSTITUTE("type:"&amp;B1245,"%","%25"),"~","%7E"),"*","%2A"),"?","%3F")))&lt;&gt;1),"",IF(OR(INDEX('Rules'!$B$7:$B$26,MATCH(SUBSTITUTE(SUBSTITUTE(SUBSTITUTE(SUBSTITUTE("type:"&amp;B1245,"%","%25"),"~","%7E"),"*","%2A"),"?","%3F"),'Rules'!$G$7:$G$26,0))="hours",INDEX('Rules'!$B$7:$B$26,MATCH(SUBSTITUTE(SUBSTITUTE(SUBSTITUTE(SUBSTITUTE("type:"&amp;B1245,"%","%25"),"~","%7E"),"*","%2A"),"?","%3F"),'Rules'!$G$7:$G$26,0))="km"),INDEX('Rules'!$B$7:$B$26,MATCH(SUBSTITUTE(SUBSTITUTE(SUBSTITUTE(SUBSTITUTE("type:"&amp;B1245,"%","%25"),"~","%7E"),"*","%2A"),"?","%3F"),'Rules'!$G$7:$G$26,0)),""))</x:f>
      </x:c>
      <x:c r="I1245" s="6" t="str">
        <x:f>IF(AND(NOT(COUNTA(A1245:F1245)=0),K1245=""),ROUND(J1245-D1245,3),"")</x:f>
      </x:c>
      <x:c r="J1245" s="6" t="str">
        <x:f>IF(AND(NOT(COUNTA(A1245:F1245)=0),K1245=""),ROUND(F1245+L1245,3),"")</x:f>
      </x:c>
      <x:c r="K1245" s="5" t="str">
        <x:f>IF(COUNTA(A1245:F1245)=0,"",IF(A1245="","Missing equipment ID",IF(COUNTIFS($N$8:$N$2007,"="&amp;N1245)&gt;1,"Duplicate equipment ID",IF(B1245="","Missing type",IF(COUNTIFS('Rules'!$G$7:$G$26,"="&amp;(SUBSTITUTE(SUBSTITUTE(SUBSTITUTE(SUBSTITUTE("type:"&amp;B1245,"%","%25"),"~","%7E"),"*","%2A"),"?","%3F")))=0,"Unknown type",IF(COUNTIFS('Rules'!$G$7:$G$26,"="&amp;(SUBSTITUTE(SUBSTITUTE(SUBSTITUTE(SUBSTITUTE("type:"&amp;B1245,"%","%25"),"~","%7E"),"*","%2A"),"?","%3F")))&gt;1,"Duplicate type",IF(INDEX('Rules'!$F$7:$F$26,MATCH(SUBSTITUTE(SUBSTITUTE(SUBSTITUTE(SUBSTITUTE("type:"&amp;B1245,"%","%25"),"~","%7E"),"*","%2A"),"?","%3F"),'Rules'!$G$7:$G$26,0))&lt;&gt;"",INDEX('Rules'!$F$7:$F$26,MATCH(SUBSTITUTE(SUBSTITUTE(SUBSTITUTE(SUBSTITUTE("type:"&amp;B1245,"%","%25"),"~","%7E"),"*","%2A"),"?","%3F"),'Rules'!$G$7:$G$26,0)),IF(AND(C1245&lt;&gt;"",C1245&lt;&gt;INDEX('Rules'!$B$7:$B$26,MATCH(SUBSTITUTE(SUBSTITUTE(SUBSTITUTE(SUBSTITUTE("type:"&amp;B1245,"%","%25"),"~","%7E"),"*","%2A"),"?","%3F"),'Rules'!$G$7:$G$26,0))),"Unit mismatch",IF(IF(NOT(ISNUMBER(D1245)),TRUE,OR(D1245&lt;0,D1245&gt;999999999,ROUND(D1245,3)&lt;&gt;D1245)),"Invalid current reading",IF(AND(E1245&lt;&gt;"",IF(NOT(ISNUMBER(E1245)),TRUE,OR(E1245&lt;0,E1245&gt;999999999,ROUND(E1245,3)&lt;&gt;E1245))),"Invalid previous reading",IF(IF(NOT(ISNUMBER(F1245)),TRUE,OR(F1245&lt;0,F1245&gt;999999999,ROUND(F1245,3)&lt;&gt;F1245)),"Invalid last service",IF(AND(E1245&lt;&gt;"",D1245&lt;E1245),"Decreased reading",IF(F1245&gt;D1245,"Last service above current","")))))))))))))</x:f>
      </x:c>
      <x:c r="L1245" s="6" t="str">
        <x:f>IF(AND(NOT(COUNTA(A1245:F1245)=0),K1245=""),INDEX('Rules'!$C$7:$C$26,MATCH(SUBSTITUTE(SUBSTITUTE(SUBSTITUTE(SUBSTITUTE("type:"&amp;B1245,"%","%25"),"~","%7E"),"*","%2A"),"?","%3F"),'Rules'!$G$7:$G$26,0)),"")</x:f>
      </x:c>
      <x:c r="M1245" s="6" t="str">
        <x:f>IF(AND(NOT(COUNTA(A1245:F1245)=0),K1245=""),INDEX('Rules'!$D$7:$D$26,MATCH(SUBSTITUTE(SUBSTITUTE(SUBSTITUTE(SUBSTITUTE("type:"&amp;B1245,"%","%25"),"~","%7E"),"*","%2A"),"?","%3F"),'Rules'!$G$7:$G$26,0)),"")</x:f>
      </x:c>
      <x:c r="N1245" s="5" t="str">
        <x:f>IF(COUNTA(A1245:F1245)=0,"",SUBSTITUTE(SUBSTITUTE(SUBSTITUTE(SUBSTITUTE("id:"&amp;A1245,"%","%25"),"~","%7E"),"*","%2A"),"?","%3F"))</x:f>
      </x:c>
    </x:row>
    <x:row r="1246" ht="22" customHeight="1">
      <x:c r="A1246" s="3"/>
      <x:c r="B1246" s="3"/>
      <x:c r="C1246" s="3"/>
      <x:c r="D1246" s="4"/>
      <x:c r="E1246" s="4"/>
      <x:c r="F1246" s="4"/>
      <x:c r="G1246" s="5" t="str">
        <x:f>IF(COUNTA(A1246:F1246)=0,"",IF(K1246&lt;&gt;"","Review",IF(I1246&lt;0,"Overdue",IF(I1246=0,"Due now",IF(I1246&lt;=M1246,"Due soon","Not due")))))</x:f>
      </x:c>
      <x:c r="H1246" s="5" t="str">
        <x:f>IF(OR(COUNTA(A1246:F1246)=0,COUNTIFS('Rules'!$G$7:$G$26,"="&amp;(SUBSTITUTE(SUBSTITUTE(SUBSTITUTE(SUBSTITUTE("type:"&amp;B1246,"%","%25"),"~","%7E"),"*","%2A"),"?","%3F")))&lt;&gt;1),"",IF(OR(INDEX('Rules'!$B$7:$B$26,MATCH(SUBSTITUTE(SUBSTITUTE(SUBSTITUTE(SUBSTITUTE("type:"&amp;B1246,"%","%25"),"~","%7E"),"*","%2A"),"?","%3F"),'Rules'!$G$7:$G$26,0))="hours",INDEX('Rules'!$B$7:$B$26,MATCH(SUBSTITUTE(SUBSTITUTE(SUBSTITUTE(SUBSTITUTE("type:"&amp;B1246,"%","%25"),"~","%7E"),"*","%2A"),"?","%3F"),'Rules'!$G$7:$G$26,0))="km"),INDEX('Rules'!$B$7:$B$26,MATCH(SUBSTITUTE(SUBSTITUTE(SUBSTITUTE(SUBSTITUTE("type:"&amp;B1246,"%","%25"),"~","%7E"),"*","%2A"),"?","%3F"),'Rules'!$G$7:$G$26,0)),""))</x:f>
      </x:c>
      <x:c r="I1246" s="6" t="str">
        <x:f>IF(AND(NOT(COUNTA(A1246:F1246)=0),K1246=""),ROUND(J1246-D1246,3),"")</x:f>
      </x:c>
      <x:c r="J1246" s="6" t="str">
        <x:f>IF(AND(NOT(COUNTA(A1246:F1246)=0),K1246=""),ROUND(F1246+L1246,3),"")</x:f>
      </x:c>
      <x:c r="K1246" s="5" t="str">
        <x:f>IF(COUNTA(A1246:F1246)=0,"",IF(A1246="","Missing equipment ID",IF(COUNTIFS($N$8:$N$2007,"="&amp;N1246)&gt;1,"Duplicate equipment ID",IF(B1246="","Missing type",IF(COUNTIFS('Rules'!$G$7:$G$26,"="&amp;(SUBSTITUTE(SUBSTITUTE(SUBSTITUTE(SUBSTITUTE("type:"&amp;B1246,"%","%25"),"~","%7E"),"*","%2A"),"?","%3F")))=0,"Unknown type",IF(COUNTIFS('Rules'!$G$7:$G$26,"="&amp;(SUBSTITUTE(SUBSTITUTE(SUBSTITUTE(SUBSTITUTE("type:"&amp;B1246,"%","%25"),"~","%7E"),"*","%2A"),"?","%3F")))&gt;1,"Duplicate type",IF(INDEX('Rules'!$F$7:$F$26,MATCH(SUBSTITUTE(SUBSTITUTE(SUBSTITUTE(SUBSTITUTE("type:"&amp;B1246,"%","%25"),"~","%7E"),"*","%2A"),"?","%3F"),'Rules'!$G$7:$G$26,0))&lt;&gt;"",INDEX('Rules'!$F$7:$F$26,MATCH(SUBSTITUTE(SUBSTITUTE(SUBSTITUTE(SUBSTITUTE("type:"&amp;B1246,"%","%25"),"~","%7E"),"*","%2A"),"?","%3F"),'Rules'!$G$7:$G$26,0)),IF(AND(C1246&lt;&gt;"",C1246&lt;&gt;INDEX('Rules'!$B$7:$B$26,MATCH(SUBSTITUTE(SUBSTITUTE(SUBSTITUTE(SUBSTITUTE("type:"&amp;B1246,"%","%25"),"~","%7E"),"*","%2A"),"?","%3F"),'Rules'!$G$7:$G$26,0))),"Unit mismatch",IF(IF(NOT(ISNUMBER(D1246)),TRUE,OR(D1246&lt;0,D1246&gt;999999999,ROUND(D1246,3)&lt;&gt;D1246)),"Invalid current reading",IF(AND(E1246&lt;&gt;"",IF(NOT(ISNUMBER(E1246)),TRUE,OR(E1246&lt;0,E1246&gt;999999999,ROUND(E1246,3)&lt;&gt;E1246))),"Invalid previous reading",IF(IF(NOT(ISNUMBER(F1246)),TRUE,OR(F1246&lt;0,F1246&gt;999999999,ROUND(F1246,3)&lt;&gt;F1246)),"Invalid last service",IF(AND(E1246&lt;&gt;"",D1246&lt;E1246),"Decreased reading",IF(F1246&gt;D1246,"Last service above current","")))))))))))))</x:f>
      </x:c>
      <x:c r="L1246" s="6" t="str">
        <x:f>IF(AND(NOT(COUNTA(A1246:F1246)=0),K1246=""),INDEX('Rules'!$C$7:$C$26,MATCH(SUBSTITUTE(SUBSTITUTE(SUBSTITUTE(SUBSTITUTE("type:"&amp;B1246,"%","%25"),"~","%7E"),"*","%2A"),"?","%3F"),'Rules'!$G$7:$G$26,0)),"")</x:f>
      </x:c>
      <x:c r="M1246" s="6" t="str">
        <x:f>IF(AND(NOT(COUNTA(A1246:F1246)=0),K1246=""),INDEX('Rules'!$D$7:$D$26,MATCH(SUBSTITUTE(SUBSTITUTE(SUBSTITUTE(SUBSTITUTE("type:"&amp;B1246,"%","%25"),"~","%7E"),"*","%2A"),"?","%3F"),'Rules'!$G$7:$G$26,0)),"")</x:f>
      </x:c>
      <x:c r="N1246" s="5" t="str">
        <x:f>IF(COUNTA(A1246:F1246)=0,"",SUBSTITUTE(SUBSTITUTE(SUBSTITUTE(SUBSTITUTE("id:"&amp;A1246,"%","%25"),"~","%7E"),"*","%2A"),"?","%3F"))</x:f>
      </x:c>
    </x:row>
    <x:row r="1247" ht="22" customHeight="1">
      <x:c r="A1247" s="3"/>
      <x:c r="B1247" s="3"/>
      <x:c r="C1247" s="3"/>
      <x:c r="D1247" s="4"/>
      <x:c r="E1247" s="4"/>
      <x:c r="F1247" s="4"/>
      <x:c r="G1247" s="5" t="str">
        <x:f>IF(COUNTA(A1247:F1247)=0,"",IF(K1247&lt;&gt;"","Review",IF(I1247&lt;0,"Overdue",IF(I1247=0,"Due now",IF(I1247&lt;=M1247,"Due soon","Not due")))))</x:f>
      </x:c>
      <x:c r="H1247" s="5" t="str">
        <x:f>IF(OR(COUNTA(A1247:F1247)=0,COUNTIFS('Rules'!$G$7:$G$26,"="&amp;(SUBSTITUTE(SUBSTITUTE(SUBSTITUTE(SUBSTITUTE("type:"&amp;B1247,"%","%25"),"~","%7E"),"*","%2A"),"?","%3F")))&lt;&gt;1),"",IF(OR(INDEX('Rules'!$B$7:$B$26,MATCH(SUBSTITUTE(SUBSTITUTE(SUBSTITUTE(SUBSTITUTE("type:"&amp;B1247,"%","%25"),"~","%7E"),"*","%2A"),"?","%3F"),'Rules'!$G$7:$G$26,0))="hours",INDEX('Rules'!$B$7:$B$26,MATCH(SUBSTITUTE(SUBSTITUTE(SUBSTITUTE(SUBSTITUTE("type:"&amp;B1247,"%","%25"),"~","%7E"),"*","%2A"),"?","%3F"),'Rules'!$G$7:$G$26,0))="km"),INDEX('Rules'!$B$7:$B$26,MATCH(SUBSTITUTE(SUBSTITUTE(SUBSTITUTE(SUBSTITUTE("type:"&amp;B1247,"%","%25"),"~","%7E"),"*","%2A"),"?","%3F"),'Rules'!$G$7:$G$26,0)),""))</x:f>
      </x:c>
      <x:c r="I1247" s="6" t="str">
        <x:f>IF(AND(NOT(COUNTA(A1247:F1247)=0),K1247=""),ROUND(J1247-D1247,3),"")</x:f>
      </x:c>
      <x:c r="J1247" s="6" t="str">
        <x:f>IF(AND(NOT(COUNTA(A1247:F1247)=0),K1247=""),ROUND(F1247+L1247,3),"")</x:f>
      </x:c>
      <x:c r="K1247" s="5" t="str">
        <x:f>IF(COUNTA(A1247:F1247)=0,"",IF(A1247="","Missing equipment ID",IF(COUNTIFS($N$8:$N$2007,"="&amp;N1247)&gt;1,"Duplicate equipment ID",IF(B1247="","Missing type",IF(COUNTIFS('Rules'!$G$7:$G$26,"="&amp;(SUBSTITUTE(SUBSTITUTE(SUBSTITUTE(SUBSTITUTE("type:"&amp;B1247,"%","%25"),"~","%7E"),"*","%2A"),"?","%3F")))=0,"Unknown type",IF(COUNTIFS('Rules'!$G$7:$G$26,"="&amp;(SUBSTITUTE(SUBSTITUTE(SUBSTITUTE(SUBSTITUTE("type:"&amp;B1247,"%","%25"),"~","%7E"),"*","%2A"),"?","%3F")))&gt;1,"Duplicate type",IF(INDEX('Rules'!$F$7:$F$26,MATCH(SUBSTITUTE(SUBSTITUTE(SUBSTITUTE(SUBSTITUTE("type:"&amp;B1247,"%","%25"),"~","%7E"),"*","%2A"),"?","%3F"),'Rules'!$G$7:$G$26,0))&lt;&gt;"",INDEX('Rules'!$F$7:$F$26,MATCH(SUBSTITUTE(SUBSTITUTE(SUBSTITUTE(SUBSTITUTE("type:"&amp;B1247,"%","%25"),"~","%7E"),"*","%2A"),"?","%3F"),'Rules'!$G$7:$G$26,0)),IF(AND(C1247&lt;&gt;"",C1247&lt;&gt;INDEX('Rules'!$B$7:$B$26,MATCH(SUBSTITUTE(SUBSTITUTE(SUBSTITUTE(SUBSTITUTE("type:"&amp;B1247,"%","%25"),"~","%7E"),"*","%2A"),"?","%3F"),'Rules'!$G$7:$G$26,0))),"Unit mismatch",IF(IF(NOT(ISNUMBER(D1247)),TRUE,OR(D1247&lt;0,D1247&gt;999999999,ROUND(D1247,3)&lt;&gt;D1247)),"Invalid current reading",IF(AND(E1247&lt;&gt;"",IF(NOT(ISNUMBER(E1247)),TRUE,OR(E1247&lt;0,E1247&gt;999999999,ROUND(E1247,3)&lt;&gt;E1247))),"Invalid previous reading",IF(IF(NOT(ISNUMBER(F1247)),TRUE,OR(F1247&lt;0,F1247&gt;999999999,ROUND(F1247,3)&lt;&gt;F1247)),"Invalid last service",IF(AND(E1247&lt;&gt;"",D1247&lt;E1247),"Decreased reading",IF(F1247&gt;D1247,"Last service above current","")))))))))))))</x:f>
      </x:c>
      <x:c r="L1247" s="6" t="str">
        <x:f>IF(AND(NOT(COUNTA(A1247:F1247)=0),K1247=""),INDEX('Rules'!$C$7:$C$26,MATCH(SUBSTITUTE(SUBSTITUTE(SUBSTITUTE(SUBSTITUTE("type:"&amp;B1247,"%","%25"),"~","%7E"),"*","%2A"),"?","%3F"),'Rules'!$G$7:$G$26,0)),"")</x:f>
      </x:c>
      <x:c r="M1247" s="6" t="str">
        <x:f>IF(AND(NOT(COUNTA(A1247:F1247)=0),K1247=""),INDEX('Rules'!$D$7:$D$26,MATCH(SUBSTITUTE(SUBSTITUTE(SUBSTITUTE(SUBSTITUTE("type:"&amp;B1247,"%","%25"),"~","%7E"),"*","%2A"),"?","%3F"),'Rules'!$G$7:$G$26,0)),"")</x:f>
      </x:c>
      <x:c r="N1247" s="5" t="str">
        <x:f>IF(COUNTA(A1247:F1247)=0,"",SUBSTITUTE(SUBSTITUTE(SUBSTITUTE(SUBSTITUTE("id:"&amp;A1247,"%","%25"),"~","%7E"),"*","%2A"),"?","%3F"))</x:f>
      </x:c>
    </x:row>
    <x:row r="1248" ht="22" customHeight="1">
      <x:c r="A1248" s="3"/>
      <x:c r="B1248" s="3"/>
      <x:c r="C1248" s="3"/>
      <x:c r="D1248" s="4"/>
      <x:c r="E1248" s="4"/>
      <x:c r="F1248" s="4"/>
      <x:c r="G1248" s="5" t="str">
        <x:f>IF(COUNTA(A1248:F1248)=0,"",IF(K1248&lt;&gt;"","Review",IF(I1248&lt;0,"Overdue",IF(I1248=0,"Due now",IF(I1248&lt;=M1248,"Due soon","Not due")))))</x:f>
      </x:c>
      <x:c r="H1248" s="5" t="str">
        <x:f>IF(OR(COUNTA(A1248:F1248)=0,COUNTIFS('Rules'!$G$7:$G$26,"="&amp;(SUBSTITUTE(SUBSTITUTE(SUBSTITUTE(SUBSTITUTE("type:"&amp;B1248,"%","%25"),"~","%7E"),"*","%2A"),"?","%3F")))&lt;&gt;1),"",IF(OR(INDEX('Rules'!$B$7:$B$26,MATCH(SUBSTITUTE(SUBSTITUTE(SUBSTITUTE(SUBSTITUTE("type:"&amp;B1248,"%","%25"),"~","%7E"),"*","%2A"),"?","%3F"),'Rules'!$G$7:$G$26,0))="hours",INDEX('Rules'!$B$7:$B$26,MATCH(SUBSTITUTE(SUBSTITUTE(SUBSTITUTE(SUBSTITUTE("type:"&amp;B1248,"%","%25"),"~","%7E"),"*","%2A"),"?","%3F"),'Rules'!$G$7:$G$26,0))="km"),INDEX('Rules'!$B$7:$B$26,MATCH(SUBSTITUTE(SUBSTITUTE(SUBSTITUTE(SUBSTITUTE("type:"&amp;B1248,"%","%25"),"~","%7E"),"*","%2A"),"?","%3F"),'Rules'!$G$7:$G$26,0)),""))</x:f>
      </x:c>
      <x:c r="I1248" s="6" t="str">
        <x:f>IF(AND(NOT(COUNTA(A1248:F1248)=0),K1248=""),ROUND(J1248-D1248,3),"")</x:f>
      </x:c>
      <x:c r="J1248" s="6" t="str">
        <x:f>IF(AND(NOT(COUNTA(A1248:F1248)=0),K1248=""),ROUND(F1248+L1248,3),"")</x:f>
      </x:c>
      <x:c r="K1248" s="5" t="str">
        <x:f>IF(COUNTA(A1248:F1248)=0,"",IF(A1248="","Missing equipment ID",IF(COUNTIFS($N$8:$N$2007,"="&amp;N1248)&gt;1,"Duplicate equipment ID",IF(B1248="","Missing type",IF(COUNTIFS('Rules'!$G$7:$G$26,"="&amp;(SUBSTITUTE(SUBSTITUTE(SUBSTITUTE(SUBSTITUTE("type:"&amp;B1248,"%","%25"),"~","%7E"),"*","%2A"),"?","%3F")))=0,"Unknown type",IF(COUNTIFS('Rules'!$G$7:$G$26,"="&amp;(SUBSTITUTE(SUBSTITUTE(SUBSTITUTE(SUBSTITUTE("type:"&amp;B1248,"%","%25"),"~","%7E"),"*","%2A"),"?","%3F")))&gt;1,"Duplicate type",IF(INDEX('Rules'!$F$7:$F$26,MATCH(SUBSTITUTE(SUBSTITUTE(SUBSTITUTE(SUBSTITUTE("type:"&amp;B1248,"%","%25"),"~","%7E"),"*","%2A"),"?","%3F"),'Rules'!$G$7:$G$26,0))&lt;&gt;"",INDEX('Rules'!$F$7:$F$26,MATCH(SUBSTITUTE(SUBSTITUTE(SUBSTITUTE(SUBSTITUTE("type:"&amp;B1248,"%","%25"),"~","%7E"),"*","%2A"),"?","%3F"),'Rules'!$G$7:$G$26,0)),IF(AND(C1248&lt;&gt;"",C1248&lt;&gt;INDEX('Rules'!$B$7:$B$26,MATCH(SUBSTITUTE(SUBSTITUTE(SUBSTITUTE(SUBSTITUTE("type:"&amp;B1248,"%","%25"),"~","%7E"),"*","%2A"),"?","%3F"),'Rules'!$G$7:$G$26,0))),"Unit mismatch",IF(IF(NOT(ISNUMBER(D1248)),TRUE,OR(D1248&lt;0,D1248&gt;999999999,ROUND(D1248,3)&lt;&gt;D1248)),"Invalid current reading",IF(AND(E1248&lt;&gt;"",IF(NOT(ISNUMBER(E1248)),TRUE,OR(E1248&lt;0,E1248&gt;999999999,ROUND(E1248,3)&lt;&gt;E1248))),"Invalid previous reading",IF(IF(NOT(ISNUMBER(F1248)),TRUE,OR(F1248&lt;0,F1248&gt;999999999,ROUND(F1248,3)&lt;&gt;F1248)),"Invalid last service",IF(AND(E1248&lt;&gt;"",D1248&lt;E1248),"Decreased reading",IF(F1248&gt;D1248,"Last service above current","")))))))))))))</x:f>
      </x:c>
      <x:c r="L1248" s="6" t="str">
        <x:f>IF(AND(NOT(COUNTA(A1248:F1248)=0),K1248=""),INDEX('Rules'!$C$7:$C$26,MATCH(SUBSTITUTE(SUBSTITUTE(SUBSTITUTE(SUBSTITUTE("type:"&amp;B1248,"%","%25"),"~","%7E"),"*","%2A"),"?","%3F"),'Rules'!$G$7:$G$26,0)),"")</x:f>
      </x:c>
      <x:c r="M1248" s="6" t="str">
        <x:f>IF(AND(NOT(COUNTA(A1248:F1248)=0),K1248=""),INDEX('Rules'!$D$7:$D$26,MATCH(SUBSTITUTE(SUBSTITUTE(SUBSTITUTE(SUBSTITUTE("type:"&amp;B1248,"%","%25"),"~","%7E"),"*","%2A"),"?","%3F"),'Rules'!$G$7:$G$26,0)),"")</x:f>
      </x:c>
      <x:c r="N1248" s="5" t="str">
        <x:f>IF(COUNTA(A1248:F1248)=0,"",SUBSTITUTE(SUBSTITUTE(SUBSTITUTE(SUBSTITUTE("id:"&amp;A1248,"%","%25"),"~","%7E"),"*","%2A"),"?","%3F"))</x:f>
      </x:c>
    </x:row>
    <x:row r="1249" ht="22" customHeight="1">
      <x:c r="A1249" s="3"/>
      <x:c r="B1249" s="3"/>
      <x:c r="C1249" s="3"/>
      <x:c r="D1249" s="4"/>
      <x:c r="E1249" s="4"/>
      <x:c r="F1249" s="4"/>
      <x:c r="G1249" s="5" t="str">
        <x:f>IF(COUNTA(A1249:F1249)=0,"",IF(K1249&lt;&gt;"","Review",IF(I1249&lt;0,"Overdue",IF(I1249=0,"Due now",IF(I1249&lt;=M1249,"Due soon","Not due")))))</x:f>
      </x:c>
      <x:c r="H1249" s="5" t="str">
        <x:f>IF(OR(COUNTA(A1249:F1249)=0,COUNTIFS('Rules'!$G$7:$G$26,"="&amp;(SUBSTITUTE(SUBSTITUTE(SUBSTITUTE(SUBSTITUTE("type:"&amp;B1249,"%","%25"),"~","%7E"),"*","%2A"),"?","%3F")))&lt;&gt;1),"",IF(OR(INDEX('Rules'!$B$7:$B$26,MATCH(SUBSTITUTE(SUBSTITUTE(SUBSTITUTE(SUBSTITUTE("type:"&amp;B1249,"%","%25"),"~","%7E"),"*","%2A"),"?","%3F"),'Rules'!$G$7:$G$26,0))="hours",INDEX('Rules'!$B$7:$B$26,MATCH(SUBSTITUTE(SUBSTITUTE(SUBSTITUTE(SUBSTITUTE("type:"&amp;B1249,"%","%25"),"~","%7E"),"*","%2A"),"?","%3F"),'Rules'!$G$7:$G$26,0))="km"),INDEX('Rules'!$B$7:$B$26,MATCH(SUBSTITUTE(SUBSTITUTE(SUBSTITUTE(SUBSTITUTE("type:"&amp;B1249,"%","%25"),"~","%7E"),"*","%2A"),"?","%3F"),'Rules'!$G$7:$G$26,0)),""))</x:f>
      </x:c>
      <x:c r="I1249" s="6" t="str">
        <x:f>IF(AND(NOT(COUNTA(A1249:F1249)=0),K1249=""),ROUND(J1249-D1249,3),"")</x:f>
      </x:c>
      <x:c r="J1249" s="6" t="str">
        <x:f>IF(AND(NOT(COUNTA(A1249:F1249)=0),K1249=""),ROUND(F1249+L1249,3),"")</x:f>
      </x:c>
      <x:c r="K1249" s="5" t="str">
        <x:f>IF(COUNTA(A1249:F1249)=0,"",IF(A1249="","Missing equipment ID",IF(COUNTIFS($N$8:$N$2007,"="&amp;N1249)&gt;1,"Duplicate equipment ID",IF(B1249="","Missing type",IF(COUNTIFS('Rules'!$G$7:$G$26,"="&amp;(SUBSTITUTE(SUBSTITUTE(SUBSTITUTE(SUBSTITUTE("type:"&amp;B1249,"%","%25"),"~","%7E"),"*","%2A"),"?","%3F")))=0,"Unknown type",IF(COUNTIFS('Rules'!$G$7:$G$26,"="&amp;(SUBSTITUTE(SUBSTITUTE(SUBSTITUTE(SUBSTITUTE("type:"&amp;B1249,"%","%25"),"~","%7E"),"*","%2A"),"?","%3F")))&gt;1,"Duplicate type",IF(INDEX('Rules'!$F$7:$F$26,MATCH(SUBSTITUTE(SUBSTITUTE(SUBSTITUTE(SUBSTITUTE("type:"&amp;B1249,"%","%25"),"~","%7E"),"*","%2A"),"?","%3F"),'Rules'!$G$7:$G$26,0))&lt;&gt;"",INDEX('Rules'!$F$7:$F$26,MATCH(SUBSTITUTE(SUBSTITUTE(SUBSTITUTE(SUBSTITUTE("type:"&amp;B1249,"%","%25"),"~","%7E"),"*","%2A"),"?","%3F"),'Rules'!$G$7:$G$26,0)),IF(AND(C1249&lt;&gt;"",C1249&lt;&gt;INDEX('Rules'!$B$7:$B$26,MATCH(SUBSTITUTE(SUBSTITUTE(SUBSTITUTE(SUBSTITUTE("type:"&amp;B1249,"%","%25"),"~","%7E"),"*","%2A"),"?","%3F"),'Rules'!$G$7:$G$26,0))),"Unit mismatch",IF(IF(NOT(ISNUMBER(D1249)),TRUE,OR(D1249&lt;0,D1249&gt;999999999,ROUND(D1249,3)&lt;&gt;D1249)),"Invalid current reading",IF(AND(E1249&lt;&gt;"",IF(NOT(ISNUMBER(E1249)),TRUE,OR(E1249&lt;0,E1249&gt;999999999,ROUND(E1249,3)&lt;&gt;E1249))),"Invalid previous reading",IF(IF(NOT(ISNUMBER(F1249)),TRUE,OR(F1249&lt;0,F1249&gt;999999999,ROUND(F1249,3)&lt;&gt;F1249)),"Invalid last service",IF(AND(E1249&lt;&gt;"",D1249&lt;E1249),"Decreased reading",IF(F1249&gt;D1249,"Last service above current","")))))))))))))</x:f>
      </x:c>
      <x:c r="L1249" s="6" t="str">
        <x:f>IF(AND(NOT(COUNTA(A1249:F1249)=0),K1249=""),INDEX('Rules'!$C$7:$C$26,MATCH(SUBSTITUTE(SUBSTITUTE(SUBSTITUTE(SUBSTITUTE("type:"&amp;B1249,"%","%25"),"~","%7E"),"*","%2A"),"?","%3F"),'Rules'!$G$7:$G$26,0)),"")</x:f>
      </x:c>
      <x:c r="M1249" s="6" t="str">
        <x:f>IF(AND(NOT(COUNTA(A1249:F1249)=0),K1249=""),INDEX('Rules'!$D$7:$D$26,MATCH(SUBSTITUTE(SUBSTITUTE(SUBSTITUTE(SUBSTITUTE("type:"&amp;B1249,"%","%25"),"~","%7E"),"*","%2A"),"?","%3F"),'Rules'!$G$7:$G$26,0)),"")</x:f>
      </x:c>
      <x:c r="N1249" s="5" t="str">
        <x:f>IF(COUNTA(A1249:F1249)=0,"",SUBSTITUTE(SUBSTITUTE(SUBSTITUTE(SUBSTITUTE("id:"&amp;A1249,"%","%25"),"~","%7E"),"*","%2A"),"?","%3F"))</x:f>
      </x:c>
    </x:row>
    <x:row r="1250" ht="22" customHeight="1">
      <x:c r="A1250" s="3"/>
      <x:c r="B1250" s="3"/>
      <x:c r="C1250" s="3"/>
      <x:c r="D1250" s="4"/>
      <x:c r="E1250" s="4"/>
      <x:c r="F1250" s="4"/>
      <x:c r="G1250" s="5" t="str">
        <x:f>IF(COUNTA(A1250:F1250)=0,"",IF(K1250&lt;&gt;"","Review",IF(I1250&lt;0,"Overdue",IF(I1250=0,"Due now",IF(I1250&lt;=M1250,"Due soon","Not due")))))</x:f>
      </x:c>
      <x:c r="H1250" s="5" t="str">
        <x:f>IF(OR(COUNTA(A1250:F1250)=0,COUNTIFS('Rules'!$G$7:$G$26,"="&amp;(SUBSTITUTE(SUBSTITUTE(SUBSTITUTE(SUBSTITUTE("type:"&amp;B1250,"%","%25"),"~","%7E"),"*","%2A"),"?","%3F")))&lt;&gt;1),"",IF(OR(INDEX('Rules'!$B$7:$B$26,MATCH(SUBSTITUTE(SUBSTITUTE(SUBSTITUTE(SUBSTITUTE("type:"&amp;B1250,"%","%25"),"~","%7E"),"*","%2A"),"?","%3F"),'Rules'!$G$7:$G$26,0))="hours",INDEX('Rules'!$B$7:$B$26,MATCH(SUBSTITUTE(SUBSTITUTE(SUBSTITUTE(SUBSTITUTE("type:"&amp;B1250,"%","%25"),"~","%7E"),"*","%2A"),"?","%3F"),'Rules'!$G$7:$G$26,0))="km"),INDEX('Rules'!$B$7:$B$26,MATCH(SUBSTITUTE(SUBSTITUTE(SUBSTITUTE(SUBSTITUTE("type:"&amp;B1250,"%","%25"),"~","%7E"),"*","%2A"),"?","%3F"),'Rules'!$G$7:$G$26,0)),""))</x:f>
      </x:c>
      <x:c r="I1250" s="6" t="str">
        <x:f>IF(AND(NOT(COUNTA(A1250:F1250)=0),K1250=""),ROUND(J1250-D1250,3),"")</x:f>
      </x:c>
      <x:c r="J1250" s="6" t="str">
        <x:f>IF(AND(NOT(COUNTA(A1250:F1250)=0),K1250=""),ROUND(F1250+L1250,3),"")</x:f>
      </x:c>
      <x:c r="K1250" s="5" t="str">
        <x:f>IF(COUNTA(A1250:F1250)=0,"",IF(A1250="","Missing equipment ID",IF(COUNTIFS($N$8:$N$2007,"="&amp;N1250)&gt;1,"Duplicate equipment ID",IF(B1250="","Missing type",IF(COUNTIFS('Rules'!$G$7:$G$26,"="&amp;(SUBSTITUTE(SUBSTITUTE(SUBSTITUTE(SUBSTITUTE("type:"&amp;B1250,"%","%25"),"~","%7E"),"*","%2A"),"?","%3F")))=0,"Unknown type",IF(COUNTIFS('Rules'!$G$7:$G$26,"="&amp;(SUBSTITUTE(SUBSTITUTE(SUBSTITUTE(SUBSTITUTE("type:"&amp;B1250,"%","%25"),"~","%7E"),"*","%2A"),"?","%3F")))&gt;1,"Duplicate type",IF(INDEX('Rules'!$F$7:$F$26,MATCH(SUBSTITUTE(SUBSTITUTE(SUBSTITUTE(SUBSTITUTE("type:"&amp;B1250,"%","%25"),"~","%7E"),"*","%2A"),"?","%3F"),'Rules'!$G$7:$G$26,0))&lt;&gt;"",INDEX('Rules'!$F$7:$F$26,MATCH(SUBSTITUTE(SUBSTITUTE(SUBSTITUTE(SUBSTITUTE("type:"&amp;B1250,"%","%25"),"~","%7E"),"*","%2A"),"?","%3F"),'Rules'!$G$7:$G$26,0)),IF(AND(C1250&lt;&gt;"",C1250&lt;&gt;INDEX('Rules'!$B$7:$B$26,MATCH(SUBSTITUTE(SUBSTITUTE(SUBSTITUTE(SUBSTITUTE("type:"&amp;B1250,"%","%25"),"~","%7E"),"*","%2A"),"?","%3F"),'Rules'!$G$7:$G$26,0))),"Unit mismatch",IF(IF(NOT(ISNUMBER(D1250)),TRUE,OR(D1250&lt;0,D1250&gt;999999999,ROUND(D1250,3)&lt;&gt;D1250)),"Invalid current reading",IF(AND(E1250&lt;&gt;"",IF(NOT(ISNUMBER(E1250)),TRUE,OR(E1250&lt;0,E1250&gt;999999999,ROUND(E1250,3)&lt;&gt;E1250))),"Invalid previous reading",IF(IF(NOT(ISNUMBER(F1250)),TRUE,OR(F1250&lt;0,F1250&gt;999999999,ROUND(F1250,3)&lt;&gt;F1250)),"Invalid last service",IF(AND(E1250&lt;&gt;"",D1250&lt;E1250),"Decreased reading",IF(F1250&gt;D1250,"Last service above current","")))))))))))))</x:f>
      </x:c>
      <x:c r="L1250" s="6" t="str">
        <x:f>IF(AND(NOT(COUNTA(A1250:F1250)=0),K1250=""),INDEX('Rules'!$C$7:$C$26,MATCH(SUBSTITUTE(SUBSTITUTE(SUBSTITUTE(SUBSTITUTE("type:"&amp;B1250,"%","%25"),"~","%7E"),"*","%2A"),"?","%3F"),'Rules'!$G$7:$G$26,0)),"")</x:f>
      </x:c>
      <x:c r="M1250" s="6" t="str">
        <x:f>IF(AND(NOT(COUNTA(A1250:F1250)=0),K1250=""),INDEX('Rules'!$D$7:$D$26,MATCH(SUBSTITUTE(SUBSTITUTE(SUBSTITUTE(SUBSTITUTE("type:"&amp;B1250,"%","%25"),"~","%7E"),"*","%2A"),"?","%3F"),'Rules'!$G$7:$G$26,0)),"")</x:f>
      </x:c>
      <x:c r="N1250" s="5" t="str">
        <x:f>IF(COUNTA(A1250:F1250)=0,"",SUBSTITUTE(SUBSTITUTE(SUBSTITUTE(SUBSTITUTE("id:"&amp;A1250,"%","%25"),"~","%7E"),"*","%2A"),"?","%3F"))</x:f>
      </x:c>
    </x:row>
    <x:row r="1251" ht="22" customHeight="1">
      <x:c r="A1251" s="3"/>
      <x:c r="B1251" s="3"/>
      <x:c r="C1251" s="3"/>
      <x:c r="D1251" s="4"/>
      <x:c r="E1251" s="4"/>
      <x:c r="F1251" s="4"/>
      <x:c r="G1251" s="5" t="str">
        <x:f>IF(COUNTA(A1251:F1251)=0,"",IF(K1251&lt;&gt;"","Review",IF(I1251&lt;0,"Overdue",IF(I1251=0,"Due now",IF(I1251&lt;=M1251,"Due soon","Not due")))))</x:f>
      </x:c>
      <x:c r="H1251" s="5" t="str">
        <x:f>IF(OR(COUNTA(A1251:F1251)=0,COUNTIFS('Rules'!$G$7:$G$26,"="&amp;(SUBSTITUTE(SUBSTITUTE(SUBSTITUTE(SUBSTITUTE("type:"&amp;B1251,"%","%25"),"~","%7E"),"*","%2A"),"?","%3F")))&lt;&gt;1),"",IF(OR(INDEX('Rules'!$B$7:$B$26,MATCH(SUBSTITUTE(SUBSTITUTE(SUBSTITUTE(SUBSTITUTE("type:"&amp;B1251,"%","%25"),"~","%7E"),"*","%2A"),"?","%3F"),'Rules'!$G$7:$G$26,0))="hours",INDEX('Rules'!$B$7:$B$26,MATCH(SUBSTITUTE(SUBSTITUTE(SUBSTITUTE(SUBSTITUTE("type:"&amp;B1251,"%","%25"),"~","%7E"),"*","%2A"),"?","%3F"),'Rules'!$G$7:$G$26,0))="km"),INDEX('Rules'!$B$7:$B$26,MATCH(SUBSTITUTE(SUBSTITUTE(SUBSTITUTE(SUBSTITUTE("type:"&amp;B1251,"%","%25"),"~","%7E"),"*","%2A"),"?","%3F"),'Rules'!$G$7:$G$26,0)),""))</x:f>
      </x:c>
      <x:c r="I1251" s="6" t="str">
        <x:f>IF(AND(NOT(COUNTA(A1251:F1251)=0),K1251=""),ROUND(J1251-D1251,3),"")</x:f>
      </x:c>
      <x:c r="J1251" s="6" t="str">
        <x:f>IF(AND(NOT(COUNTA(A1251:F1251)=0),K1251=""),ROUND(F1251+L1251,3),"")</x:f>
      </x:c>
      <x:c r="K1251" s="5" t="str">
        <x:f>IF(COUNTA(A1251:F1251)=0,"",IF(A1251="","Missing equipment ID",IF(COUNTIFS($N$8:$N$2007,"="&amp;N1251)&gt;1,"Duplicate equipment ID",IF(B1251="","Missing type",IF(COUNTIFS('Rules'!$G$7:$G$26,"="&amp;(SUBSTITUTE(SUBSTITUTE(SUBSTITUTE(SUBSTITUTE("type:"&amp;B1251,"%","%25"),"~","%7E"),"*","%2A"),"?","%3F")))=0,"Unknown type",IF(COUNTIFS('Rules'!$G$7:$G$26,"="&amp;(SUBSTITUTE(SUBSTITUTE(SUBSTITUTE(SUBSTITUTE("type:"&amp;B1251,"%","%25"),"~","%7E"),"*","%2A"),"?","%3F")))&gt;1,"Duplicate type",IF(INDEX('Rules'!$F$7:$F$26,MATCH(SUBSTITUTE(SUBSTITUTE(SUBSTITUTE(SUBSTITUTE("type:"&amp;B1251,"%","%25"),"~","%7E"),"*","%2A"),"?","%3F"),'Rules'!$G$7:$G$26,0))&lt;&gt;"",INDEX('Rules'!$F$7:$F$26,MATCH(SUBSTITUTE(SUBSTITUTE(SUBSTITUTE(SUBSTITUTE("type:"&amp;B1251,"%","%25"),"~","%7E"),"*","%2A"),"?","%3F"),'Rules'!$G$7:$G$26,0)),IF(AND(C1251&lt;&gt;"",C1251&lt;&gt;INDEX('Rules'!$B$7:$B$26,MATCH(SUBSTITUTE(SUBSTITUTE(SUBSTITUTE(SUBSTITUTE("type:"&amp;B1251,"%","%25"),"~","%7E"),"*","%2A"),"?","%3F"),'Rules'!$G$7:$G$26,0))),"Unit mismatch",IF(IF(NOT(ISNUMBER(D1251)),TRUE,OR(D1251&lt;0,D1251&gt;999999999,ROUND(D1251,3)&lt;&gt;D1251)),"Invalid current reading",IF(AND(E1251&lt;&gt;"",IF(NOT(ISNUMBER(E1251)),TRUE,OR(E1251&lt;0,E1251&gt;999999999,ROUND(E1251,3)&lt;&gt;E1251))),"Invalid previous reading",IF(IF(NOT(ISNUMBER(F1251)),TRUE,OR(F1251&lt;0,F1251&gt;999999999,ROUND(F1251,3)&lt;&gt;F1251)),"Invalid last service",IF(AND(E1251&lt;&gt;"",D1251&lt;E1251),"Decreased reading",IF(F1251&gt;D1251,"Last service above current","")))))))))))))</x:f>
      </x:c>
      <x:c r="L1251" s="6" t="str">
        <x:f>IF(AND(NOT(COUNTA(A1251:F1251)=0),K1251=""),INDEX('Rules'!$C$7:$C$26,MATCH(SUBSTITUTE(SUBSTITUTE(SUBSTITUTE(SUBSTITUTE("type:"&amp;B1251,"%","%25"),"~","%7E"),"*","%2A"),"?","%3F"),'Rules'!$G$7:$G$26,0)),"")</x:f>
      </x:c>
      <x:c r="M1251" s="6" t="str">
        <x:f>IF(AND(NOT(COUNTA(A1251:F1251)=0),K1251=""),INDEX('Rules'!$D$7:$D$26,MATCH(SUBSTITUTE(SUBSTITUTE(SUBSTITUTE(SUBSTITUTE("type:"&amp;B1251,"%","%25"),"~","%7E"),"*","%2A"),"?","%3F"),'Rules'!$G$7:$G$26,0)),"")</x:f>
      </x:c>
      <x:c r="N1251" s="5" t="str">
        <x:f>IF(COUNTA(A1251:F1251)=0,"",SUBSTITUTE(SUBSTITUTE(SUBSTITUTE(SUBSTITUTE("id:"&amp;A1251,"%","%25"),"~","%7E"),"*","%2A"),"?","%3F"))</x:f>
      </x:c>
    </x:row>
    <x:row r="1252" ht="22" customHeight="1">
      <x:c r="A1252" s="3"/>
      <x:c r="B1252" s="3"/>
      <x:c r="C1252" s="3"/>
      <x:c r="D1252" s="4"/>
      <x:c r="E1252" s="4"/>
      <x:c r="F1252" s="4"/>
      <x:c r="G1252" s="5" t="str">
        <x:f>IF(COUNTA(A1252:F1252)=0,"",IF(K1252&lt;&gt;"","Review",IF(I1252&lt;0,"Overdue",IF(I1252=0,"Due now",IF(I1252&lt;=M1252,"Due soon","Not due")))))</x:f>
      </x:c>
      <x:c r="H1252" s="5" t="str">
        <x:f>IF(OR(COUNTA(A1252:F1252)=0,COUNTIFS('Rules'!$G$7:$G$26,"="&amp;(SUBSTITUTE(SUBSTITUTE(SUBSTITUTE(SUBSTITUTE("type:"&amp;B1252,"%","%25"),"~","%7E"),"*","%2A"),"?","%3F")))&lt;&gt;1),"",IF(OR(INDEX('Rules'!$B$7:$B$26,MATCH(SUBSTITUTE(SUBSTITUTE(SUBSTITUTE(SUBSTITUTE("type:"&amp;B1252,"%","%25"),"~","%7E"),"*","%2A"),"?","%3F"),'Rules'!$G$7:$G$26,0))="hours",INDEX('Rules'!$B$7:$B$26,MATCH(SUBSTITUTE(SUBSTITUTE(SUBSTITUTE(SUBSTITUTE("type:"&amp;B1252,"%","%25"),"~","%7E"),"*","%2A"),"?","%3F"),'Rules'!$G$7:$G$26,0))="km"),INDEX('Rules'!$B$7:$B$26,MATCH(SUBSTITUTE(SUBSTITUTE(SUBSTITUTE(SUBSTITUTE("type:"&amp;B1252,"%","%25"),"~","%7E"),"*","%2A"),"?","%3F"),'Rules'!$G$7:$G$26,0)),""))</x:f>
      </x:c>
      <x:c r="I1252" s="6" t="str">
        <x:f>IF(AND(NOT(COUNTA(A1252:F1252)=0),K1252=""),ROUND(J1252-D1252,3),"")</x:f>
      </x:c>
      <x:c r="J1252" s="6" t="str">
        <x:f>IF(AND(NOT(COUNTA(A1252:F1252)=0),K1252=""),ROUND(F1252+L1252,3),"")</x:f>
      </x:c>
      <x:c r="K1252" s="5" t="str">
        <x:f>IF(COUNTA(A1252:F1252)=0,"",IF(A1252="","Missing equipment ID",IF(COUNTIFS($N$8:$N$2007,"="&amp;N1252)&gt;1,"Duplicate equipment ID",IF(B1252="","Missing type",IF(COUNTIFS('Rules'!$G$7:$G$26,"="&amp;(SUBSTITUTE(SUBSTITUTE(SUBSTITUTE(SUBSTITUTE("type:"&amp;B1252,"%","%25"),"~","%7E"),"*","%2A"),"?","%3F")))=0,"Unknown type",IF(COUNTIFS('Rules'!$G$7:$G$26,"="&amp;(SUBSTITUTE(SUBSTITUTE(SUBSTITUTE(SUBSTITUTE("type:"&amp;B1252,"%","%25"),"~","%7E"),"*","%2A"),"?","%3F")))&gt;1,"Duplicate type",IF(INDEX('Rules'!$F$7:$F$26,MATCH(SUBSTITUTE(SUBSTITUTE(SUBSTITUTE(SUBSTITUTE("type:"&amp;B1252,"%","%25"),"~","%7E"),"*","%2A"),"?","%3F"),'Rules'!$G$7:$G$26,0))&lt;&gt;"",INDEX('Rules'!$F$7:$F$26,MATCH(SUBSTITUTE(SUBSTITUTE(SUBSTITUTE(SUBSTITUTE("type:"&amp;B1252,"%","%25"),"~","%7E"),"*","%2A"),"?","%3F"),'Rules'!$G$7:$G$26,0)),IF(AND(C1252&lt;&gt;"",C1252&lt;&gt;INDEX('Rules'!$B$7:$B$26,MATCH(SUBSTITUTE(SUBSTITUTE(SUBSTITUTE(SUBSTITUTE("type:"&amp;B1252,"%","%25"),"~","%7E"),"*","%2A"),"?","%3F"),'Rules'!$G$7:$G$26,0))),"Unit mismatch",IF(IF(NOT(ISNUMBER(D1252)),TRUE,OR(D1252&lt;0,D1252&gt;999999999,ROUND(D1252,3)&lt;&gt;D1252)),"Invalid current reading",IF(AND(E1252&lt;&gt;"",IF(NOT(ISNUMBER(E1252)),TRUE,OR(E1252&lt;0,E1252&gt;999999999,ROUND(E1252,3)&lt;&gt;E1252))),"Invalid previous reading",IF(IF(NOT(ISNUMBER(F1252)),TRUE,OR(F1252&lt;0,F1252&gt;999999999,ROUND(F1252,3)&lt;&gt;F1252)),"Invalid last service",IF(AND(E1252&lt;&gt;"",D1252&lt;E1252),"Decreased reading",IF(F1252&gt;D1252,"Last service above current","")))))))))))))</x:f>
      </x:c>
      <x:c r="L1252" s="6" t="str">
        <x:f>IF(AND(NOT(COUNTA(A1252:F1252)=0),K1252=""),INDEX('Rules'!$C$7:$C$26,MATCH(SUBSTITUTE(SUBSTITUTE(SUBSTITUTE(SUBSTITUTE("type:"&amp;B1252,"%","%25"),"~","%7E"),"*","%2A"),"?","%3F"),'Rules'!$G$7:$G$26,0)),"")</x:f>
      </x:c>
      <x:c r="M1252" s="6" t="str">
        <x:f>IF(AND(NOT(COUNTA(A1252:F1252)=0),K1252=""),INDEX('Rules'!$D$7:$D$26,MATCH(SUBSTITUTE(SUBSTITUTE(SUBSTITUTE(SUBSTITUTE("type:"&amp;B1252,"%","%25"),"~","%7E"),"*","%2A"),"?","%3F"),'Rules'!$G$7:$G$26,0)),"")</x:f>
      </x:c>
      <x:c r="N1252" s="5" t="str">
        <x:f>IF(COUNTA(A1252:F1252)=0,"",SUBSTITUTE(SUBSTITUTE(SUBSTITUTE(SUBSTITUTE("id:"&amp;A1252,"%","%25"),"~","%7E"),"*","%2A"),"?","%3F"))</x:f>
      </x:c>
    </x:row>
    <x:row r="1253" ht="22" customHeight="1">
      <x:c r="A1253" s="3"/>
      <x:c r="B1253" s="3"/>
      <x:c r="C1253" s="3"/>
      <x:c r="D1253" s="4"/>
      <x:c r="E1253" s="4"/>
      <x:c r="F1253" s="4"/>
      <x:c r="G1253" s="5" t="str">
        <x:f>IF(COUNTA(A1253:F1253)=0,"",IF(K1253&lt;&gt;"","Review",IF(I1253&lt;0,"Overdue",IF(I1253=0,"Due now",IF(I1253&lt;=M1253,"Due soon","Not due")))))</x:f>
      </x:c>
      <x:c r="H1253" s="5" t="str">
        <x:f>IF(OR(COUNTA(A1253:F1253)=0,COUNTIFS('Rules'!$G$7:$G$26,"="&amp;(SUBSTITUTE(SUBSTITUTE(SUBSTITUTE(SUBSTITUTE("type:"&amp;B1253,"%","%25"),"~","%7E"),"*","%2A"),"?","%3F")))&lt;&gt;1),"",IF(OR(INDEX('Rules'!$B$7:$B$26,MATCH(SUBSTITUTE(SUBSTITUTE(SUBSTITUTE(SUBSTITUTE("type:"&amp;B1253,"%","%25"),"~","%7E"),"*","%2A"),"?","%3F"),'Rules'!$G$7:$G$26,0))="hours",INDEX('Rules'!$B$7:$B$26,MATCH(SUBSTITUTE(SUBSTITUTE(SUBSTITUTE(SUBSTITUTE("type:"&amp;B1253,"%","%25"),"~","%7E"),"*","%2A"),"?","%3F"),'Rules'!$G$7:$G$26,0))="km"),INDEX('Rules'!$B$7:$B$26,MATCH(SUBSTITUTE(SUBSTITUTE(SUBSTITUTE(SUBSTITUTE("type:"&amp;B1253,"%","%25"),"~","%7E"),"*","%2A"),"?","%3F"),'Rules'!$G$7:$G$26,0)),""))</x:f>
      </x:c>
      <x:c r="I1253" s="6" t="str">
        <x:f>IF(AND(NOT(COUNTA(A1253:F1253)=0),K1253=""),ROUND(J1253-D1253,3),"")</x:f>
      </x:c>
      <x:c r="J1253" s="6" t="str">
        <x:f>IF(AND(NOT(COUNTA(A1253:F1253)=0),K1253=""),ROUND(F1253+L1253,3),"")</x:f>
      </x:c>
      <x:c r="K1253" s="5" t="str">
        <x:f>IF(COUNTA(A1253:F1253)=0,"",IF(A1253="","Missing equipment ID",IF(COUNTIFS($N$8:$N$2007,"="&amp;N1253)&gt;1,"Duplicate equipment ID",IF(B1253="","Missing type",IF(COUNTIFS('Rules'!$G$7:$G$26,"="&amp;(SUBSTITUTE(SUBSTITUTE(SUBSTITUTE(SUBSTITUTE("type:"&amp;B1253,"%","%25"),"~","%7E"),"*","%2A"),"?","%3F")))=0,"Unknown type",IF(COUNTIFS('Rules'!$G$7:$G$26,"="&amp;(SUBSTITUTE(SUBSTITUTE(SUBSTITUTE(SUBSTITUTE("type:"&amp;B1253,"%","%25"),"~","%7E"),"*","%2A"),"?","%3F")))&gt;1,"Duplicate type",IF(INDEX('Rules'!$F$7:$F$26,MATCH(SUBSTITUTE(SUBSTITUTE(SUBSTITUTE(SUBSTITUTE("type:"&amp;B1253,"%","%25"),"~","%7E"),"*","%2A"),"?","%3F"),'Rules'!$G$7:$G$26,0))&lt;&gt;"",INDEX('Rules'!$F$7:$F$26,MATCH(SUBSTITUTE(SUBSTITUTE(SUBSTITUTE(SUBSTITUTE("type:"&amp;B1253,"%","%25"),"~","%7E"),"*","%2A"),"?","%3F"),'Rules'!$G$7:$G$26,0)),IF(AND(C1253&lt;&gt;"",C1253&lt;&gt;INDEX('Rules'!$B$7:$B$26,MATCH(SUBSTITUTE(SUBSTITUTE(SUBSTITUTE(SUBSTITUTE("type:"&amp;B1253,"%","%25"),"~","%7E"),"*","%2A"),"?","%3F"),'Rules'!$G$7:$G$26,0))),"Unit mismatch",IF(IF(NOT(ISNUMBER(D1253)),TRUE,OR(D1253&lt;0,D1253&gt;999999999,ROUND(D1253,3)&lt;&gt;D1253)),"Invalid current reading",IF(AND(E1253&lt;&gt;"",IF(NOT(ISNUMBER(E1253)),TRUE,OR(E1253&lt;0,E1253&gt;999999999,ROUND(E1253,3)&lt;&gt;E1253))),"Invalid previous reading",IF(IF(NOT(ISNUMBER(F1253)),TRUE,OR(F1253&lt;0,F1253&gt;999999999,ROUND(F1253,3)&lt;&gt;F1253)),"Invalid last service",IF(AND(E1253&lt;&gt;"",D1253&lt;E1253),"Decreased reading",IF(F1253&gt;D1253,"Last service above current","")))))))))))))</x:f>
      </x:c>
      <x:c r="L1253" s="6" t="str">
        <x:f>IF(AND(NOT(COUNTA(A1253:F1253)=0),K1253=""),INDEX('Rules'!$C$7:$C$26,MATCH(SUBSTITUTE(SUBSTITUTE(SUBSTITUTE(SUBSTITUTE("type:"&amp;B1253,"%","%25"),"~","%7E"),"*","%2A"),"?","%3F"),'Rules'!$G$7:$G$26,0)),"")</x:f>
      </x:c>
      <x:c r="M1253" s="6" t="str">
        <x:f>IF(AND(NOT(COUNTA(A1253:F1253)=0),K1253=""),INDEX('Rules'!$D$7:$D$26,MATCH(SUBSTITUTE(SUBSTITUTE(SUBSTITUTE(SUBSTITUTE("type:"&amp;B1253,"%","%25"),"~","%7E"),"*","%2A"),"?","%3F"),'Rules'!$G$7:$G$26,0)),"")</x:f>
      </x:c>
      <x:c r="N1253" s="5" t="str">
        <x:f>IF(COUNTA(A1253:F1253)=0,"",SUBSTITUTE(SUBSTITUTE(SUBSTITUTE(SUBSTITUTE("id:"&amp;A1253,"%","%25"),"~","%7E"),"*","%2A"),"?","%3F"))</x:f>
      </x:c>
    </x:row>
    <x:row r="1254" ht="22" customHeight="1">
      <x:c r="A1254" s="3"/>
      <x:c r="B1254" s="3"/>
      <x:c r="C1254" s="3"/>
      <x:c r="D1254" s="4"/>
      <x:c r="E1254" s="4"/>
      <x:c r="F1254" s="4"/>
      <x:c r="G1254" s="5" t="str">
        <x:f>IF(COUNTA(A1254:F1254)=0,"",IF(K1254&lt;&gt;"","Review",IF(I1254&lt;0,"Overdue",IF(I1254=0,"Due now",IF(I1254&lt;=M1254,"Due soon","Not due")))))</x:f>
      </x:c>
      <x:c r="H1254" s="5" t="str">
        <x:f>IF(OR(COUNTA(A1254:F1254)=0,COUNTIFS('Rules'!$G$7:$G$26,"="&amp;(SUBSTITUTE(SUBSTITUTE(SUBSTITUTE(SUBSTITUTE("type:"&amp;B1254,"%","%25"),"~","%7E"),"*","%2A"),"?","%3F")))&lt;&gt;1),"",IF(OR(INDEX('Rules'!$B$7:$B$26,MATCH(SUBSTITUTE(SUBSTITUTE(SUBSTITUTE(SUBSTITUTE("type:"&amp;B1254,"%","%25"),"~","%7E"),"*","%2A"),"?","%3F"),'Rules'!$G$7:$G$26,0))="hours",INDEX('Rules'!$B$7:$B$26,MATCH(SUBSTITUTE(SUBSTITUTE(SUBSTITUTE(SUBSTITUTE("type:"&amp;B1254,"%","%25"),"~","%7E"),"*","%2A"),"?","%3F"),'Rules'!$G$7:$G$26,0))="km"),INDEX('Rules'!$B$7:$B$26,MATCH(SUBSTITUTE(SUBSTITUTE(SUBSTITUTE(SUBSTITUTE("type:"&amp;B1254,"%","%25"),"~","%7E"),"*","%2A"),"?","%3F"),'Rules'!$G$7:$G$26,0)),""))</x:f>
      </x:c>
      <x:c r="I1254" s="6" t="str">
        <x:f>IF(AND(NOT(COUNTA(A1254:F1254)=0),K1254=""),ROUND(J1254-D1254,3),"")</x:f>
      </x:c>
      <x:c r="J1254" s="6" t="str">
        <x:f>IF(AND(NOT(COUNTA(A1254:F1254)=0),K1254=""),ROUND(F1254+L1254,3),"")</x:f>
      </x:c>
      <x:c r="K1254" s="5" t="str">
        <x:f>IF(COUNTA(A1254:F1254)=0,"",IF(A1254="","Missing equipment ID",IF(COUNTIFS($N$8:$N$2007,"="&amp;N1254)&gt;1,"Duplicate equipment ID",IF(B1254="","Missing type",IF(COUNTIFS('Rules'!$G$7:$G$26,"="&amp;(SUBSTITUTE(SUBSTITUTE(SUBSTITUTE(SUBSTITUTE("type:"&amp;B1254,"%","%25"),"~","%7E"),"*","%2A"),"?","%3F")))=0,"Unknown type",IF(COUNTIFS('Rules'!$G$7:$G$26,"="&amp;(SUBSTITUTE(SUBSTITUTE(SUBSTITUTE(SUBSTITUTE("type:"&amp;B1254,"%","%25"),"~","%7E"),"*","%2A"),"?","%3F")))&gt;1,"Duplicate type",IF(INDEX('Rules'!$F$7:$F$26,MATCH(SUBSTITUTE(SUBSTITUTE(SUBSTITUTE(SUBSTITUTE("type:"&amp;B1254,"%","%25"),"~","%7E"),"*","%2A"),"?","%3F"),'Rules'!$G$7:$G$26,0))&lt;&gt;"",INDEX('Rules'!$F$7:$F$26,MATCH(SUBSTITUTE(SUBSTITUTE(SUBSTITUTE(SUBSTITUTE("type:"&amp;B1254,"%","%25"),"~","%7E"),"*","%2A"),"?","%3F"),'Rules'!$G$7:$G$26,0)),IF(AND(C1254&lt;&gt;"",C1254&lt;&gt;INDEX('Rules'!$B$7:$B$26,MATCH(SUBSTITUTE(SUBSTITUTE(SUBSTITUTE(SUBSTITUTE("type:"&amp;B1254,"%","%25"),"~","%7E"),"*","%2A"),"?","%3F"),'Rules'!$G$7:$G$26,0))),"Unit mismatch",IF(IF(NOT(ISNUMBER(D1254)),TRUE,OR(D1254&lt;0,D1254&gt;999999999,ROUND(D1254,3)&lt;&gt;D1254)),"Invalid current reading",IF(AND(E1254&lt;&gt;"",IF(NOT(ISNUMBER(E1254)),TRUE,OR(E1254&lt;0,E1254&gt;999999999,ROUND(E1254,3)&lt;&gt;E1254))),"Invalid previous reading",IF(IF(NOT(ISNUMBER(F1254)),TRUE,OR(F1254&lt;0,F1254&gt;999999999,ROUND(F1254,3)&lt;&gt;F1254)),"Invalid last service",IF(AND(E1254&lt;&gt;"",D1254&lt;E1254),"Decreased reading",IF(F1254&gt;D1254,"Last service above current","")))))))))))))</x:f>
      </x:c>
      <x:c r="L1254" s="6" t="str">
        <x:f>IF(AND(NOT(COUNTA(A1254:F1254)=0),K1254=""),INDEX('Rules'!$C$7:$C$26,MATCH(SUBSTITUTE(SUBSTITUTE(SUBSTITUTE(SUBSTITUTE("type:"&amp;B1254,"%","%25"),"~","%7E"),"*","%2A"),"?","%3F"),'Rules'!$G$7:$G$26,0)),"")</x:f>
      </x:c>
      <x:c r="M1254" s="6" t="str">
        <x:f>IF(AND(NOT(COUNTA(A1254:F1254)=0),K1254=""),INDEX('Rules'!$D$7:$D$26,MATCH(SUBSTITUTE(SUBSTITUTE(SUBSTITUTE(SUBSTITUTE("type:"&amp;B1254,"%","%25"),"~","%7E"),"*","%2A"),"?","%3F"),'Rules'!$G$7:$G$26,0)),"")</x:f>
      </x:c>
      <x:c r="N1254" s="5" t="str">
        <x:f>IF(COUNTA(A1254:F1254)=0,"",SUBSTITUTE(SUBSTITUTE(SUBSTITUTE(SUBSTITUTE("id:"&amp;A1254,"%","%25"),"~","%7E"),"*","%2A"),"?","%3F"))</x:f>
      </x:c>
    </x:row>
    <x:row r="1255" ht="22" customHeight="1">
      <x:c r="A1255" s="3"/>
      <x:c r="B1255" s="3"/>
      <x:c r="C1255" s="3"/>
      <x:c r="D1255" s="4"/>
      <x:c r="E1255" s="4"/>
      <x:c r="F1255" s="4"/>
      <x:c r="G1255" s="5" t="str">
        <x:f>IF(COUNTA(A1255:F1255)=0,"",IF(K1255&lt;&gt;"","Review",IF(I1255&lt;0,"Overdue",IF(I1255=0,"Due now",IF(I1255&lt;=M1255,"Due soon","Not due")))))</x:f>
      </x:c>
      <x:c r="H1255" s="5" t="str">
        <x:f>IF(OR(COUNTA(A1255:F1255)=0,COUNTIFS('Rules'!$G$7:$G$26,"="&amp;(SUBSTITUTE(SUBSTITUTE(SUBSTITUTE(SUBSTITUTE("type:"&amp;B1255,"%","%25"),"~","%7E"),"*","%2A"),"?","%3F")))&lt;&gt;1),"",IF(OR(INDEX('Rules'!$B$7:$B$26,MATCH(SUBSTITUTE(SUBSTITUTE(SUBSTITUTE(SUBSTITUTE("type:"&amp;B1255,"%","%25"),"~","%7E"),"*","%2A"),"?","%3F"),'Rules'!$G$7:$G$26,0))="hours",INDEX('Rules'!$B$7:$B$26,MATCH(SUBSTITUTE(SUBSTITUTE(SUBSTITUTE(SUBSTITUTE("type:"&amp;B1255,"%","%25"),"~","%7E"),"*","%2A"),"?","%3F"),'Rules'!$G$7:$G$26,0))="km"),INDEX('Rules'!$B$7:$B$26,MATCH(SUBSTITUTE(SUBSTITUTE(SUBSTITUTE(SUBSTITUTE("type:"&amp;B1255,"%","%25"),"~","%7E"),"*","%2A"),"?","%3F"),'Rules'!$G$7:$G$26,0)),""))</x:f>
      </x:c>
      <x:c r="I1255" s="6" t="str">
        <x:f>IF(AND(NOT(COUNTA(A1255:F1255)=0),K1255=""),ROUND(J1255-D1255,3),"")</x:f>
      </x:c>
      <x:c r="J1255" s="6" t="str">
        <x:f>IF(AND(NOT(COUNTA(A1255:F1255)=0),K1255=""),ROUND(F1255+L1255,3),"")</x:f>
      </x:c>
      <x:c r="K1255" s="5" t="str">
        <x:f>IF(COUNTA(A1255:F1255)=0,"",IF(A1255="","Missing equipment ID",IF(COUNTIFS($N$8:$N$2007,"="&amp;N1255)&gt;1,"Duplicate equipment ID",IF(B1255="","Missing type",IF(COUNTIFS('Rules'!$G$7:$G$26,"="&amp;(SUBSTITUTE(SUBSTITUTE(SUBSTITUTE(SUBSTITUTE("type:"&amp;B1255,"%","%25"),"~","%7E"),"*","%2A"),"?","%3F")))=0,"Unknown type",IF(COUNTIFS('Rules'!$G$7:$G$26,"="&amp;(SUBSTITUTE(SUBSTITUTE(SUBSTITUTE(SUBSTITUTE("type:"&amp;B1255,"%","%25"),"~","%7E"),"*","%2A"),"?","%3F")))&gt;1,"Duplicate type",IF(INDEX('Rules'!$F$7:$F$26,MATCH(SUBSTITUTE(SUBSTITUTE(SUBSTITUTE(SUBSTITUTE("type:"&amp;B1255,"%","%25"),"~","%7E"),"*","%2A"),"?","%3F"),'Rules'!$G$7:$G$26,0))&lt;&gt;"",INDEX('Rules'!$F$7:$F$26,MATCH(SUBSTITUTE(SUBSTITUTE(SUBSTITUTE(SUBSTITUTE("type:"&amp;B1255,"%","%25"),"~","%7E"),"*","%2A"),"?","%3F"),'Rules'!$G$7:$G$26,0)),IF(AND(C1255&lt;&gt;"",C1255&lt;&gt;INDEX('Rules'!$B$7:$B$26,MATCH(SUBSTITUTE(SUBSTITUTE(SUBSTITUTE(SUBSTITUTE("type:"&amp;B1255,"%","%25"),"~","%7E"),"*","%2A"),"?","%3F"),'Rules'!$G$7:$G$26,0))),"Unit mismatch",IF(IF(NOT(ISNUMBER(D1255)),TRUE,OR(D1255&lt;0,D1255&gt;999999999,ROUND(D1255,3)&lt;&gt;D1255)),"Invalid current reading",IF(AND(E1255&lt;&gt;"",IF(NOT(ISNUMBER(E1255)),TRUE,OR(E1255&lt;0,E1255&gt;999999999,ROUND(E1255,3)&lt;&gt;E1255))),"Invalid previous reading",IF(IF(NOT(ISNUMBER(F1255)),TRUE,OR(F1255&lt;0,F1255&gt;999999999,ROUND(F1255,3)&lt;&gt;F1255)),"Invalid last service",IF(AND(E1255&lt;&gt;"",D1255&lt;E1255),"Decreased reading",IF(F1255&gt;D1255,"Last service above current","")))))))))))))</x:f>
      </x:c>
      <x:c r="L1255" s="6" t="str">
        <x:f>IF(AND(NOT(COUNTA(A1255:F1255)=0),K1255=""),INDEX('Rules'!$C$7:$C$26,MATCH(SUBSTITUTE(SUBSTITUTE(SUBSTITUTE(SUBSTITUTE("type:"&amp;B1255,"%","%25"),"~","%7E"),"*","%2A"),"?","%3F"),'Rules'!$G$7:$G$26,0)),"")</x:f>
      </x:c>
      <x:c r="M1255" s="6" t="str">
        <x:f>IF(AND(NOT(COUNTA(A1255:F1255)=0),K1255=""),INDEX('Rules'!$D$7:$D$26,MATCH(SUBSTITUTE(SUBSTITUTE(SUBSTITUTE(SUBSTITUTE("type:"&amp;B1255,"%","%25"),"~","%7E"),"*","%2A"),"?","%3F"),'Rules'!$G$7:$G$26,0)),"")</x:f>
      </x:c>
      <x:c r="N1255" s="5" t="str">
        <x:f>IF(COUNTA(A1255:F1255)=0,"",SUBSTITUTE(SUBSTITUTE(SUBSTITUTE(SUBSTITUTE("id:"&amp;A1255,"%","%25"),"~","%7E"),"*","%2A"),"?","%3F"))</x:f>
      </x:c>
    </x:row>
    <x:row r="1256" ht="22" customHeight="1">
      <x:c r="A1256" s="3"/>
      <x:c r="B1256" s="3"/>
      <x:c r="C1256" s="3"/>
      <x:c r="D1256" s="4"/>
      <x:c r="E1256" s="4"/>
      <x:c r="F1256" s="4"/>
      <x:c r="G1256" s="5" t="str">
        <x:f>IF(COUNTA(A1256:F1256)=0,"",IF(K1256&lt;&gt;"","Review",IF(I1256&lt;0,"Overdue",IF(I1256=0,"Due now",IF(I1256&lt;=M1256,"Due soon","Not due")))))</x:f>
      </x:c>
      <x:c r="H1256" s="5" t="str">
        <x:f>IF(OR(COUNTA(A1256:F1256)=0,COUNTIFS('Rules'!$G$7:$G$26,"="&amp;(SUBSTITUTE(SUBSTITUTE(SUBSTITUTE(SUBSTITUTE("type:"&amp;B1256,"%","%25"),"~","%7E"),"*","%2A"),"?","%3F")))&lt;&gt;1),"",IF(OR(INDEX('Rules'!$B$7:$B$26,MATCH(SUBSTITUTE(SUBSTITUTE(SUBSTITUTE(SUBSTITUTE("type:"&amp;B1256,"%","%25"),"~","%7E"),"*","%2A"),"?","%3F"),'Rules'!$G$7:$G$26,0))="hours",INDEX('Rules'!$B$7:$B$26,MATCH(SUBSTITUTE(SUBSTITUTE(SUBSTITUTE(SUBSTITUTE("type:"&amp;B1256,"%","%25"),"~","%7E"),"*","%2A"),"?","%3F"),'Rules'!$G$7:$G$26,0))="km"),INDEX('Rules'!$B$7:$B$26,MATCH(SUBSTITUTE(SUBSTITUTE(SUBSTITUTE(SUBSTITUTE("type:"&amp;B1256,"%","%25"),"~","%7E"),"*","%2A"),"?","%3F"),'Rules'!$G$7:$G$26,0)),""))</x:f>
      </x:c>
      <x:c r="I1256" s="6" t="str">
        <x:f>IF(AND(NOT(COUNTA(A1256:F1256)=0),K1256=""),ROUND(J1256-D1256,3),"")</x:f>
      </x:c>
      <x:c r="J1256" s="6" t="str">
        <x:f>IF(AND(NOT(COUNTA(A1256:F1256)=0),K1256=""),ROUND(F1256+L1256,3),"")</x:f>
      </x:c>
      <x:c r="K1256" s="5" t="str">
        <x:f>IF(COUNTA(A1256:F1256)=0,"",IF(A1256="","Missing equipment ID",IF(COUNTIFS($N$8:$N$2007,"="&amp;N1256)&gt;1,"Duplicate equipment ID",IF(B1256="","Missing type",IF(COUNTIFS('Rules'!$G$7:$G$26,"="&amp;(SUBSTITUTE(SUBSTITUTE(SUBSTITUTE(SUBSTITUTE("type:"&amp;B1256,"%","%25"),"~","%7E"),"*","%2A"),"?","%3F")))=0,"Unknown type",IF(COUNTIFS('Rules'!$G$7:$G$26,"="&amp;(SUBSTITUTE(SUBSTITUTE(SUBSTITUTE(SUBSTITUTE("type:"&amp;B1256,"%","%25"),"~","%7E"),"*","%2A"),"?","%3F")))&gt;1,"Duplicate type",IF(INDEX('Rules'!$F$7:$F$26,MATCH(SUBSTITUTE(SUBSTITUTE(SUBSTITUTE(SUBSTITUTE("type:"&amp;B1256,"%","%25"),"~","%7E"),"*","%2A"),"?","%3F"),'Rules'!$G$7:$G$26,0))&lt;&gt;"",INDEX('Rules'!$F$7:$F$26,MATCH(SUBSTITUTE(SUBSTITUTE(SUBSTITUTE(SUBSTITUTE("type:"&amp;B1256,"%","%25"),"~","%7E"),"*","%2A"),"?","%3F"),'Rules'!$G$7:$G$26,0)),IF(AND(C1256&lt;&gt;"",C1256&lt;&gt;INDEX('Rules'!$B$7:$B$26,MATCH(SUBSTITUTE(SUBSTITUTE(SUBSTITUTE(SUBSTITUTE("type:"&amp;B1256,"%","%25"),"~","%7E"),"*","%2A"),"?","%3F"),'Rules'!$G$7:$G$26,0))),"Unit mismatch",IF(IF(NOT(ISNUMBER(D1256)),TRUE,OR(D1256&lt;0,D1256&gt;999999999,ROUND(D1256,3)&lt;&gt;D1256)),"Invalid current reading",IF(AND(E1256&lt;&gt;"",IF(NOT(ISNUMBER(E1256)),TRUE,OR(E1256&lt;0,E1256&gt;999999999,ROUND(E1256,3)&lt;&gt;E1256))),"Invalid previous reading",IF(IF(NOT(ISNUMBER(F1256)),TRUE,OR(F1256&lt;0,F1256&gt;999999999,ROUND(F1256,3)&lt;&gt;F1256)),"Invalid last service",IF(AND(E1256&lt;&gt;"",D1256&lt;E1256),"Decreased reading",IF(F1256&gt;D1256,"Last service above current","")))))))))))))</x:f>
      </x:c>
      <x:c r="L1256" s="6" t="str">
        <x:f>IF(AND(NOT(COUNTA(A1256:F1256)=0),K1256=""),INDEX('Rules'!$C$7:$C$26,MATCH(SUBSTITUTE(SUBSTITUTE(SUBSTITUTE(SUBSTITUTE("type:"&amp;B1256,"%","%25"),"~","%7E"),"*","%2A"),"?","%3F"),'Rules'!$G$7:$G$26,0)),"")</x:f>
      </x:c>
      <x:c r="M1256" s="6" t="str">
        <x:f>IF(AND(NOT(COUNTA(A1256:F1256)=0),K1256=""),INDEX('Rules'!$D$7:$D$26,MATCH(SUBSTITUTE(SUBSTITUTE(SUBSTITUTE(SUBSTITUTE("type:"&amp;B1256,"%","%25"),"~","%7E"),"*","%2A"),"?","%3F"),'Rules'!$G$7:$G$26,0)),"")</x:f>
      </x:c>
      <x:c r="N1256" s="5" t="str">
        <x:f>IF(COUNTA(A1256:F1256)=0,"",SUBSTITUTE(SUBSTITUTE(SUBSTITUTE(SUBSTITUTE("id:"&amp;A1256,"%","%25"),"~","%7E"),"*","%2A"),"?","%3F"))</x:f>
      </x:c>
    </x:row>
    <x:row r="1257" ht="22" customHeight="1">
      <x:c r="A1257" s="3"/>
      <x:c r="B1257" s="3"/>
      <x:c r="C1257" s="3"/>
      <x:c r="D1257" s="4"/>
      <x:c r="E1257" s="4"/>
      <x:c r="F1257" s="4"/>
      <x:c r="G1257" s="5" t="str">
        <x:f>IF(COUNTA(A1257:F1257)=0,"",IF(K1257&lt;&gt;"","Review",IF(I1257&lt;0,"Overdue",IF(I1257=0,"Due now",IF(I1257&lt;=M1257,"Due soon","Not due")))))</x:f>
      </x:c>
      <x:c r="H1257" s="5" t="str">
        <x:f>IF(OR(COUNTA(A1257:F1257)=0,COUNTIFS('Rules'!$G$7:$G$26,"="&amp;(SUBSTITUTE(SUBSTITUTE(SUBSTITUTE(SUBSTITUTE("type:"&amp;B1257,"%","%25"),"~","%7E"),"*","%2A"),"?","%3F")))&lt;&gt;1),"",IF(OR(INDEX('Rules'!$B$7:$B$26,MATCH(SUBSTITUTE(SUBSTITUTE(SUBSTITUTE(SUBSTITUTE("type:"&amp;B1257,"%","%25"),"~","%7E"),"*","%2A"),"?","%3F"),'Rules'!$G$7:$G$26,0))="hours",INDEX('Rules'!$B$7:$B$26,MATCH(SUBSTITUTE(SUBSTITUTE(SUBSTITUTE(SUBSTITUTE("type:"&amp;B1257,"%","%25"),"~","%7E"),"*","%2A"),"?","%3F"),'Rules'!$G$7:$G$26,0))="km"),INDEX('Rules'!$B$7:$B$26,MATCH(SUBSTITUTE(SUBSTITUTE(SUBSTITUTE(SUBSTITUTE("type:"&amp;B1257,"%","%25"),"~","%7E"),"*","%2A"),"?","%3F"),'Rules'!$G$7:$G$26,0)),""))</x:f>
      </x:c>
      <x:c r="I1257" s="6" t="str">
        <x:f>IF(AND(NOT(COUNTA(A1257:F1257)=0),K1257=""),ROUND(J1257-D1257,3),"")</x:f>
      </x:c>
      <x:c r="J1257" s="6" t="str">
        <x:f>IF(AND(NOT(COUNTA(A1257:F1257)=0),K1257=""),ROUND(F1257+L1257,3),"")</x:f>
      </x:c>
      <x:c r="K1257" s="5" t="str">
        <x:f>IF(COUNTA(A1257:F1257)=0,"",IF(A1257="","Missing equipment ID",IF(COUNTIFS($N$8:$N$2007,"="&amp;N1257)&gt;1,"Duplicate equipment ID",IF(B1257="","Missing type",IF(COUNTIFS('Rules'!$G$7:$G$26,"="&amp;(SUBSTITUTE(SUBSTITUTE(SUBSTITUTE(SUBSTITUTE("type:"&amp;B1257,"%","%25"),"~","%7E"),"*","%2A"),"?","%3F")))=0,"Unknown type",IF(COUNTIFS('Rules'!$G$7:$G$26,"="&amp;(SUBSTITUTE(SUBSTITUTE(SUBSTITUTE(SUBSTITUTE("type:"&amp;B1257,"%","%25"),"~","%7E"),"*","%2A"),"?","%3F")))&gt;1,"Duplicate type",IF(INDEX('Rules'!$F$7:$F$26,MATCH(SUBSTITUTE(SUBSTITUTE(SUBSTITUTE(SUBSTITUTE("type:"&amp;B1257,"%","%25"),"~","%7E"),"*","%2A"),"?","%3F"),'Rules'!$G$7:$G$26,0))&lt;&gt;"",INDEX('Rules'!$F$7:$F$26,MATCH(SUBSTITUTE(SUBSTITUTE(SUBSTITUTE(SUBSTITUTE("type:"&amp;B1257,"%","%25"),"~","%7E"),"*","%2A"),"?","%3F"),'Rules'!$G$7:$G$26,0)),IF(AND(C1257&lt;&gt;"",C1257&lt;&gt;INDEX('Rules'!$B$7:$B$26,MATCH(SUBSTITUTE(SUBSTITUTE(SUBSTITUTE(SUBSTITUTE("type:"&amp;B1257,"%","%25"),"~","%7E"),"*","%2A"),"?","%3F"),'Rules'!$G$7:$G$26,0))),"Unit mismatch",IF(IF(NOT(ISNUMBER(D1257)),TRUE,OR(D1257&lt;0,D1257&gt;999999999,ROUND(D1257,3)&lt;&gt;D1257)),"Invalid current reading",IF(AND(E1257&lt;&gt;"",IF(NOT(ISNUMBER(E1257)),TRUE,OR(E1257&lt;0,E1257&gt;999999999,ROUND(E1257,3)&lt;&gt;E1257))),"Invalid previous reading",IF(IF(NOT(ISNUMBER(F1257)),TRUE,OR(F1257&lt;0,F1257&gt;999999999,ROUND(F1257,3)&lt;&gt;F1257)),"Invalid last service",IF(AND(E1257&lt;&gt;"",D1257&lt;E1257),"Decreased reading",IF(F1257&gt;D1257,"Last service above current","")))))))))))))</x:f>
      </x:c>
      <x:c r="L1257" s="6" t="str">
        <x:f>IF(AND(NOT(COUNTA(A1257:F1257)=0),K1257=""),INDEX('Rules'!$C$7:$C$26,MATCH(SUBSTITUTE(SUBSTITUTE(SUBSTITUTE(SUBSTITUTE("type:"&amp;B1257,"%","%25"),"~","%7E"),"*","%2A"),"?","%3F"),'Rules'!$G$7:$G$26,0)),"")</x:f>
      </x:c>
      <x:c r="M1257" s="6" t="str">
        <x:f>IF(AND(NOT(COUNTA(A1257:F1257)=0),K1257=""),INDEX('Rules'!$D$7:$D$26,MATCH(SUBSTITUTE(SUBSTITUTE(SUBSTITUTE(SUBSTITUTE("type:"&amp;B1257,"%","%25"),"~","%7E"),"*","%2A"),"?","%3F"),'Rules'!$G$7:$G$26,0)),"")</x:f>
      </x:c>
      <x:c r="N1257" s="5" t="str">
        <x:f>IF(COUNTA(A1257:F1257)=0,"",SUBSTITUTE(SUBSTITUTE(SUBSTITUTE(SUBSTITUTE("id:"&amp;A1257,"%","%25"),"~","%7E"),"*","%2A"),"?","%3F"))</x:f>
      </x:c>
    </x:row>
    <x:row r="1258" ht="22" customHeight="1">
      <x:c r="A1258" s="3"/>
      <x:c r="B1258" s="3"/>
      <x:c r="C1258" s="3"/>
      <x:c r="D1258" s="4"/>
      <x:c r="E1258" s="4"/>
      <x:c r="F1258" s="4"/>
      <x:c r="G1258" s="5" t="str">
        <x:f>IF(COUNTA(A1258:F1258)=0,"",IF(K1258&lt;&gt;"","Review",IF(I1258&lt;0,"Overdue",IF(I1258=0,"Due now",IF(I1258&lt;=M1258,"Due soon","Not due")))))</x:f>
      </x:c>
      <x:c r="H1258" s="5" t="str">
        <x:f>IF(OR(COUNTA(A1258:F1258)=0,COUNTIFS('Rules'!$G$7:$G$26,"="&amp;(SUBSTITUTE(SUBSTITUTE(SUBSTITUTE(SUBSTITUTE("type:"&amp;B1258,"%","%25"),"~","%7E"),"*","%2A"),"?","%3F")))&lt;&gt;1),"",IF(OR(INDEX('Rules'!$B$7:$B$26,MATCH(SUBSTITUTE(SUBSTITUTE(SUBSTITUTE(SUBSTITUTE("type:"&amp;B1258,"%","%25"),"~","%7E"),"*","%2A"),"?","%3F"),'Rules'!$G$7:$G$26,0))="hours",INDEX('Rules'!$B$7:$B$26,MATCH(SUBSTITUTE(SUBSTITUTE(SUBSTITUTE(SUBSTITUTE("type:"&amp;B1258,"%","%25"),"~","%7E"),"*","%2A"),"?","%3F"),'Rules'!$G$7:$G$26,0))="km"),INDEX('Rules'!$B$7:$B$26,MATCH(SUBSTITUTE(SUBSTITUTE(SUBSTITUTE(SUBSTITUTE("type:"&amp;B1258,"%","%25"),"~","%7E"),"*","%2A"),"?","%3F"),'Rules'!$G$7:$G$26,0)),""))</x:f>
      </x:c>
      <x:c r="I1258" s="6" t="str">
        <x:f>IF(AND(NOT(COUNTA(A1258:F1258)=0),K1258=""),ROUND(J1258-D1258,3),"")</x:f>
      </x:c>
      <x:c r="J1258" s="6" t="str">
        <x:f>IF(AND(NOT(COUNTA(A1258:F1258)=0),K1258=""),ROUND(F1258+L1258,3),"")</x:f>
      </x:c>
      <x:c r="K1258" s="5" t="str">
        <x:f>IF(COUNTA(A1258:F1258)=0,"",IF(A1258="","Missing equipment ID",IF(COUNTIFS($N$8:$N$2007,"="&amp;N1258)&gt;1,"Duplicate equipment ID",IF(B1258="","Missing type",IF(COUNTIFS('Rules'!$G$7:$G$26,"="&amp;(SUBSTITUTE(SUBSTITUTE(SUBSTITUTE(SUBSTITUTE("type:"&amp;B1258,"%","%25"),"~","%7E"),"*","%2A"),"?","%3F")))=0,"Unknown type",IF(COUNTIFS('Rules'!$G$7:$G$26,"="&amp;(SUBSTITUTE(SUBSTITUTE(SUBSTITUTE(SUBSTITUTE("type:"&amp;B1258,"%","%25"),"~","%7E"),"*","%2A"),"?","%3F")))&gt;1,"Duplicate type",IF(INDEX('Rules'!$F$7:$F$26,MATCH(SUBSTITUTE(SUBSTITUTE(SUBSTITUTE(SUBSTITUTE("type:"&amp;B1258,"%","%25"),"~","%7E"),"*","%2A"),"?","%3F"),'Rules'!$G$7:$G$26,0))&lt;&gt;"",INDEX('Rules'!$F$7:$F$26,MATCH(SUBSTITUTE(SUBSTITUTE(SUBSTITUTE(SUBSTITUTE("type:"&amp;B1258,"%","%25"),"~","%7E"),"*","%2A"),"?","%3F"),'Rules'!$G$7:$G$26,0)),IF(AND(C1258&lt;&gt;"",C1258&lt;&gt;INDEX('Rules'!$B$7:$B$26,MATCH(SUBSTITUTE(SUBSTITUTE(SUBSTITUTE(SUBSTITUTE("type:"&amp;B1258,"%","%25"),"~","%7E"),"*","%2A"),"?","%3F"),'Rules'!$G$7:$G$26,0))),"Unit mismatch",IF(IF(NOT(ISNUMBER(D1258)),TRUE,OR(D1258&lt;0,D1258&gt;999999999,ROUND(D1258,3)&lt;&gt;D1258)),"Invalid current reading",IF(AND(E1258&lt;&gt;"",IF(NOT(ISNUMBER(E1258)),TRUE,OR(E1258&lt;0,E1258&gt;999999999,ROUND(E1258,3)&lt;&gt;E1258))),"Invalid previous reading",IF(IF(NOT(ISNUMBER(F1258)),TRUE,OR(F1258&lt;0,F1258&gt;999999999,ROUND(F1258,3)&lt;&gt;F1258)),"Invalid last service",IF(AND(E1258&lt;&gt;"",D1258&lt;E1258),"Decreased reading",IF(F1258&gt;D1258,"Last service above current","")))))))))))))</x:f>
      </x:c>
      <x:c r="L1258" s="6" t="str">
        <x:f>IF(AND(NOT(COUNTA(A1258:F1258)=0),K1258=""),INDEX('Rules'!$C$7:$C$26,MATCH(SUBSTITUTE(SUBSTITUTE(SUBSTITUTE(SUBSTITUTE("type:"&amp;B1258,"%","%25"),"~","%7E"),"*","%2A"),"?","%3F"),'Rules'!$G$7:$G$26,0)),"")</x:f>
      </x:c>
      <x:c r="M1258" s="6" t="str">
        <x:f>IF(AND(NOT(COUNTA(A1258:F1258)=0),K1258=""),INDEX('Rules'!$D$7:$D$26,MATCH(SUBSTITUTE(SUBSTITUTE(SUBSTITUTE(SUBSTITUTE("type:"&amp;B1258,"%","%25"),"~","%7E"),"*","%2A"),"?","%3F"),'Rules'!$G$7:$G$26,0)),"")</x:f>
      </x:c>
      <x:c r="N1258" s="5" t="str">
        <x:f>IF(COUNTA(A1258:F1258)=0,"",SUBSTITUTE(SUBSTITUTE(SUBSTITUTE(SUBSTITUTE("id:"&amp;A1258,"%","%25"),"~","%7E"),"*","%2A"),"?","%3F"))</x:f>
      </x:c>
    </x:row>
    <x:row r="1259" ht="22" customHeight="1">
      <x:c r="A1259" s="3"/>
      <x:c r="B1259" s="3"/>
      <x:c r="C1259" s="3"/>
      <x:c r="D1259" s="4"/>
      <x:c r="E1259" s="4"/>
      <x:c r="F1259" s="4"/>
      <x:c r="G1259" s="5" t="str">
        <x:f>IF(COUNTA(A1259:F1259)=0,"",IF(K1259&lt;&gt;"","Review",IF(I1259&lt;0,"Overdue",IF(I1259=0,"Due now",IF(I1259&lt;=M1259,"Due soon","Not due")))))</x:f>
      </x:c>
      <x:c r="H1259" s="5" t="str">
        <x:f>IF(OR(COUNTA(A1259:F1259)=0,COUNTIFS('Rules'!$G$7:$G$26,"="&amp;(SUBSTITUTE(SUBSTITUTE(SUBSTITUTE(SUBSTITUTE("type:"&amp;B1259,"%","%25"),"~","%7E"),"*","%2A"),"?","%3F")))&lt;&gt;1),"",IF(OR(INDEX('Rules'!$B$7:$B$26,MATCH(SUBSTITUTE(SUBSTITUTE(SUBSTITUTE(SUBSTITUTE("type:"&amp;B1259,"%","%25"),"~","%7E"),"*","%2A"),"?","%3F"),'Rules'!$G$7:$G$26,0))="hours",INDEX('Rules'!$B$7:$B$26,MATCH(SUBSTITUTE(SUBSTITUTE(SUBSTITUTE(SUBSTITUTE("type:"&amp;B1259,"%","%25"),"~","%7E"),"*","%2A"),"?","%3F"),'Rules'!$G$7:$G$26,0))="km"),INDEX('Rules'!$B$7:$B$26,MATCH(SUBSTITUTE(SUBSTITUTE(SUBSTITUTE(SUBSTITUTE("type:"&amp;B1259,"%","%25"),"~","%7E"),"*","%2A"),"?","%3F"),'Rules'!$G$7:$G$26,0)),""))</x:f>
      </x:c>
      <x:c r="I1259" s="6" t="str">
        <x:f>IF(AND(NOT(COUNTA(A1259:F1259)=0),K1259=""),ROUND(J1259-D1259,3),"")</x:f>
      </x:c>
      <x:c r="J1259" s="6" t="str">
        <x:f>IF(AND(NOT(COUNTA(A1259:F1259)=0),K1259=""),ROUND(F1259+L1259,3),"")</x:f>
      </x:c>
      <x:c r="K1259" s="5" t="str">
        <x:f>IF(COUNTA(A1259:F1259)=0,"",IF(A1259="","Missing equipment ID",IF(COUNTIFS($N$8:$N$2007,"="&amp;N1259)&gt;1,"Duplicate equipment ID",IF(B1259="","Missing type",IF(COUNTIFS('Rules'!$G$7:$G$26,"="&amp;(SUBSTITUTE(SUBSTITUTE(SUBSTITUTE(SUBSTITUTE("type:"&amp;B1259,"%","%25"),"~","%7E"),"*","%2A"),"?","%3F")))=0,"Unknown type",IF(COUNTIFS('Rules'!$G$7:$G$26,"="&amp;(SUBSTITUTE(SUBSTITUTE(SUBSTITUTE(SUBSTITUTE("type:"&amp;B1259,"%","%25"),"~","%7E"),"*","%2A"),"?","%3F")))&gt;1,"Duplicate type",IF(INDEX('Rules'!$F$7:$F$26,MATCH(SUBSTITUTE(SUBSTITUTE(SUBSTITUTE(SUBSTITUTE("type:"&amp;B1259,"%","%25"),"~","%7E"),"*","%2A"),"?","%3F"),'Rules'!$G$7:$G$26,0))&lt;&gt;"",INDEX('Rules'!$F$7:$F$26,MATCH(SUBSTITUTE(SUBSTITUTE(SUBSTITUTE(SUBSTITUTE("type:"&amp;B1259,"%","%25"),"~","%7E"),"*","%2A"),"?","%3F"),'Rules'!$G$7:$G$26,0)),IF(AND(C1259&lt;&gt;"",C1259&lt;&gt;INDEX('Rules'!$B$7:$B$26,MATCH(SUBSTITUTE(SUBSTITUTE(SUBSTITUTE(SUBSTITUTE("type:"&amp;B1259,"%","%25"),"~","%7E"),"*","%2A"),"?","%3F"),'Rules'!$G$7:$G$26,0))),"Unit mismatch",IF(IF(NOT(ISNUMBER(D1259)),TRUE,OR(D1259&lt;0,D1259&gt;999999999,ROUND(D1259,3)&lt;&gt;D1259)),"Invalid current reading",IF(AND(E1259&lt;&gt;"",IF(NOT(ISNUMBER(E1259)),TRUE,OR(E1259&lt;0,E1259&gt;999999999,ROUND(E1259,3)&lt;&gt;E1259))),"Invalid previous reading",IF(IF(NOT(ISNUMBER(F1259)),TRUE,OR(F1259&lt;0,F1259&gt;999999999,ROUND(F1259,3)&lt;&gt;F1259)),"Invalid last service",IF(AND(E1259&lt;&gt;"",D1259&lt;E1259),"Decreased reading",IF(F1259&gt;D1259,"Last service above current","")))))))))))))</x:f>
      </x:c>
      <x:c r="L1259" s="6" t="str">
        <x:f>IF(AND(NOT(COUNTA(A1259:F1259)=0),K1259=""),INDEX('Rules'!$C$7:$C$26,MATCH(SUBSTITUTE(SUBSTITUTE(SUBSTITUTE(SUBSTITUTE("type:"&amp;B1259,"%","%25"),"~","%7E"),"*","%2A"),"?","%3F"),'Rules'!$G$7:$G$26,0)),"")</x:f>
      </x:c>
      <x:c r="M1259" s="6" t="str">
        <x:f>IF(AND(NOT(COUNTA(A1259:F1259)=0),K1259=""),INDEX('Rules'!$D$7:$D$26,MATCH(SUBSTITUTE(SUBSTITUTE(SUBSTITUTE(SUBSTITUTE("type:"&amp;B1259,"%","%25"),"~","%7E"),"*","%2A"),"?","%3F"),'Rules'!$G$7:$G$26,0)),"")</x:f>
      </x:c>
      <x:c r="N1259" s="5" t="str">
        <x:f>IF(COUNTA(A1259:F1259)=0,"",SUBSTITUTE(SUBSTITUTE(SUBSTITUTE(SUBSTITUTE("id:"&amp;A1259,"%","%25"),"~","%7E"),"*","%2A"),"?","%3F"))</x:f>
      </x:c>
    </x:row>
    <x:row r="1260" ht="22" customHeight="1">
      <x:c r="A1260" s="3"/>
      <x:c r="B1260" s="3"/>
      <x:c r="C1260" s="3"/>
      <x:c r="D1260" s="4"/>
      <x:c r="E1260" s="4"/>
      <x:c r="F1260" s="4"/>
      <x:c r="G1260" s="5" t="str">
        <x:f>IF(COUNTA(A1260:F1260)=0,"",IF(K1260&lt;&gt;"","Review",IF(I1260&lt;0,"Overdue",IF(I1260=0,"Due now",IF(I1260&lt;=M1260,"Due soon","Not due")))))</x:f>
      </x:c>
      <x:c r="H1260" s="5" t="str">
        <x:f>IF(OR(COUNTA(A1260:F1260)=0,COUNTIFS('Rules'!$G$7:$G$26,"="&amp;(SUBSTITUTE(SUBSTITUTE(SUBSTITUTE(SUBSTITUTE("type:"&amp;B1260,"%","%25"),"~","%7E"),"*","%2A"),"?","%3F")))&lt;&gt;1),"",IF(OR(INDEX('Rules'!$B$7:$B$26,MATCH(SUBSTITUTE(SUBSTITUTE(SUBSTITUTE(SUBSTITUTE("type:"&amp;B1260,"%","%25"),"~","%7E"),"*","%2A"),"?","%3F"),'Rules'!$G$7:$G$26,0))="hours",INDEX('Rules'!$B$7:$B$26,MATCH(SUBSTITUTE(SUBSTITUTE(SUBSTITUTE(SUBSTITUTE("type:"&amp;B1260,"%","%25"),"~","%7E"),"*","%2A"),"?","%3F"),'Rules'!$G$7:$G$26,0))="km"),INDEX('Rules'!$B$7:$B$26,MATCH(SUBSTITUTE(SUBSTITUTE(SUBSTITUTE(SUBSTITUTE("type:"&amp;B1260,"%","%25"),"~","%7E"),"*","%2A"),"?","%3F"),'Rules'!$G$7:$G$26,0)),""))</x:f>
      </x:c>
      <x:c r="I1260" s="6" t="str">
        <x:f>IF(AND(NOT(COUNTA(A1260:F1260)=0),K1260=""),ROUND(J1260-D1260,3),"")</x:f>
      </x:c>
      <x:c r="J1260" s="6" t="str">
        <x:f>IF(AND(NOT(COUNTA(A1260:F1260)=0),K1260=""),ROUND(F1260+L1260,3),"")</x:f>
      </x:c>
      <x:c r="K1260" s="5" t="str">
        <x:f>IF(COUNTA(A1260:F1260)=0,"",IF(A1260="","Missing equipment ID",IF(COUNTIFS($N$8:$N$2007,"="&amp;N1260)&gt;1,"Duplicate equipment ID",IF(B1260="","Missing type",IF(COUNTIFS('Rules'!$G$7:$G$26,"="&amp;(SUBSTITUTE(SUBSTITUTE(SUBSTITUTE(SUBSTITUTE("type:"&amp;B1260,"%","%25"),"~","%7E"),"*","%2A"),"?","%3F")))=0,"Unknown type",IF(COUNTIFS('Rules'!$G$7:$G$26,"="&amp;(SUBSTITUTE(SUBSTITUTE(SUBSTITUTE(SUBSTITUTE("type:"&amp;B1260,"%","%25"),"~","%7E"),"*","%2A"),"?","%3F")))&gt;1,"Duplicate type",IF(INDEX('Rules'!$F$7:$F$26,MATCH(SUBSTITUTE(SUBSTITUTE(SUBSTITUTE(SUBSTITUTE("type:"&amp;B1260,"%","%25"),"~","%7E"),"*","%2A"),"?","%3F"),'Rules'!$G$7:$G$26,0))&lt;&gt;"",INDEX('Rules'!$F$7:$F$26,MATCH(SUBSTITUTE(SUBSTITUTE(SUBSTITUTE(SUBSTITUTE("type:"&amp;B1260,"%","%25"),"~","%7E"),"*","%2A"),"?","%3F"),'Rules'!$G$7:$G$26,0)),IF(AND(C1260&lt;&gt;"",C1260&lt;&gt;INDEX('Rules'!$B$7:$B$26,MATCH(SUBSTITUTE(SUBSTITUTE(SUBSTITUTE(SUBSTITUTE("type:"&amp;B1260,"%","%25"),"~","%7E"),"*","%2A"),"?","%3F"),'Rules'!$G$7:$G$26,0))),"Unit mismatch",IF(IF(NOT(ISNUMBER(D1260)),TRUE,OR(D1260&lt;0,D1260&gt;999999999,ROUND(D1260,3)&lt;&gt;D1260)),"Invalid current reading",IF(AND(E1260&lt;&gt;"",IF(NOT(ISNUMBER(E1260)),TRUE,OR(E1260&lt;0,E1260&gt;999999999,ROUND(E1260,3)&lt;&gt;E1260))),"Invalid previous reading",IF(IF(NOT(ISNUMBER(F1260)),TRUE,OR(F1260&lt;0,F1260&gt;999999999,ROUND(F1260,3)&lt;&gt;F1260)),"Invalid last service",IF(AND(E1260&lt;&gt;"",D1260&lt;E1260),"Decreased reading",IF(F1260&gt;D1260,"Last service above current","")))))))))))))</x:f>
      </x:c>
      <x:c r="L1260" s="6" t="str">
        <x:f>IF(AND(NOT(COUNTA(A1260:F1260)=0),K1260=""),INDEX('Rules'!$C$7:$C$26,MATCH(SUBSTITUTE(SUBSTITUTE(SUBSTITUTE(SUBSTITUTE("type:"&amp;B1260,"%","%25"),"~","%7E"),"*","%2A"),"?","%3F"),'Rules'!$G$7:$G$26,0)),"")</x:f>
      </x:c>
      <x:c r="M1260" s="6" t="str">
        <x:f>IF(AND(NOT(COUNTA(A1260:F1260)=0),K1260=""),INDEX('Rules'!$D$7:$D$26,MATCH(SUBSTITUTE(SUBSTITUTE(SUBSTITUTE(SUBSTITUTE("type:"&amp;B1260,"%","%25"),"~","%7E"),"*","%2A"),"?","%3F"),'Rules'!$G$7:$G$26,0)),"")</x:f>
      </x:c>
      <x:c r="N1260" s="5" t="str">
        <x:f>IF(COUNTA(A1260:F1260)=0,"",SUBSTITUTE(SUBSTITUTE(SUBSTITUTE(SUBSTITUTE("id:"&amp;A1260,"%","%25"),"~","%7E"),"*","%2A"),"?","%3F"))</x:f>
      </x:c>
    </x:row>
    <x:row r="1261" ht="22" customHeight="1">
      <x:c r="A1261" s="3"/>
      <x:c r="B1261" s="3"/>
      <x:c r="C1261" s="3"/>
      <x:c r="D1261" s="4"/>
      <x:c r="E1261" s="4"/>
      <x:c r="F1261" s="4"/>
      <x:c r="G1261" s="5" t="str">
        <x:f>IF(COUNTA(A1261:F1261)=0,"",IF(K1261&lt;&gt;"","Review",IF(I1261&lt;0,"Overdue",IF(I1261=0,"Due now",IF(I1261&lt;=M1261,"Due soon","Not due")))))</x:f>
      </x:c>
      <x:c r="H1261" s="5" t="str">
        <x:f>IF(OR(COUNTA(A1261:F1261)=0,COUNTIFS('Rules'!$G$7:$G$26,"="&amp;(SUBSTITUTE(SUBSTITUTE(SUBSTITUTE(SUBSTITUTE("type:"&amp;B1261,"%","%25"),"~","%7E"),"*","%2A"),"?","%3F")))&lt;&gt;1),"",IF(OR(INDEX('Rules'!$B$7:$B$26,MATCH(SUBSTITUTE(SUBSTITUTE(SUBSTITUTE(SUBSTITUTE("type:"&amp;B1261,"%","%25"),"~","%7E"),"*","%2A"),"?","%3F"),'Rules'!$G$7:$G$26,0))="hours",INDEX('Rules'!$B$7:$B$26,MATCH(SUBSTITUTE(SUBSTITUTE(SUBSTITUTE(SUBSTITUTE("type:"&amp;B1261,"%","%25"),"~","%7E"),"*","%2A"),"?","%3F"),'Rules'!$G$7:$G$26,0))="km"),INDEX('Rules'!$B$7:$B$26,MATCH(SUBSTITUTE(SUBSTITUTE(SUBSTITUTE(SUBSTITUTE("type:"&amp;B1261,"%","%25"),"~","%7E"),"*","%2A"),"?","%3F"),'Rules'!$G$7:$G$26,0)),""))</x:f>
      </x:c>
      <x:c r="I1261" s="6" t="str">
        <x:f>IF(AND(NOT(COUNTA(A1261:F1261)=0),K1261=""),ROUND(J1261-D1261,3),"")</x:f>
      </x:c>
      <x:c r="J1261" s="6" t="str">
        <x:f>IF(AND(NOT(COUNTA(A1261:F1261)=0),K1261=""),ROUND(F1261+L1261,3),"")</x:f>
      </x:c>
      <x:c r="K1261" s="5" t="str">
        <x:f>IF(COUNTA(A1261:F1261)=0,"",IF(A1261="","Missing equipment ID",IF(COUNTIFS($N$8:$N$2007,"="&amp;N1261)&gt;1,"Duplicate equipment ID",IF(B1261="","Missing type",IF(COUNTIFS('Rules'!$G$7:$G$26,"="&amp;(SUBSTITUTE(SUBSTITUTE(SUBSTITUTE(SUBSTITUTE("type:"&amp;B1261,"%","%25"),"~","%7E"),"*","%2A"),"?","%3F")))=0,"Unknown type",IF(COUNTIFS('Rules'!$G$7:$G$26,"="&amp;(SUBSTITUTE(SUBSTITUTE(SUBSTITUTE(SUBSTITUTE("type:"&amp;B1261,"%","%25"),"~","%7E"),"*","%2A"),"?","%3F")))&gt;1,"Duplicate type",IF(INDEX('Rules'!$F$7:$F$26,MATCH(SUBSTITUTE(SUBSTITUTE(SUBSTITUTE(SUBSTITUTE("type:"&amp;B1261,"%","%25"),"~","%7E"),"*","%2A"),"?","%3F"),'Rules'!$G$7:$G$26,0))&lt;&gt;"",INDEX('Rules'!$F$7:$F$26,MATCH(SUBSTITUTE(SUBSTITUTE(SUBSTITUTE(SUBSTITUTE("type:"&amp;B1261,"%","%25"),"~","%7E"),"*","%2A"),"?","%3F"),'Rules'!$G$7:$G$26,0)),IF(AND(C1261&lt;&gt;"",C1261&lt;&gt;INDEX('Rules'!$B$7:$B$26,MATCH(SUBSTITUTE(SUBSTITUTE(SUBSTITUTE(SUBSTITUTE("type:"&amp;B1261,"%","%25"),"~","%7E"),"*","%2A"),"?","%3F"),'Rules'!$G$7:$G$26,0))),"Unit mismatch",IF(IF(NOT(ISNUMBER(D1261)),TRUE,OR(D1261&lt;0,D1261&gt;999999999,ROUND(D1261,3)&lt;&gt;D1261)),"Invalid current reading",IF(AND(E1261&lt;&gt;"",IF(NOT(ISNUMBER(E1261)),TRUE,OR(E1261&lt;0,E1261&gt;999999999,ROUND(E1261,3)&lt;&gt;E1261))),"Invalid previous reading",IF(IF(NOT(ISNUMBER(F1261)),TRUE,OR(F1261&lt;0,F1261&gt;999999999,ROUND(F1261,3)&lt;&gt;F1261)),"Invalid last service",IF(AND(E1261&lt;&gt;"",D1261&lt;E1261),"Decreased reading",IF(F1261&gt;D1261,"Last service above current","")))))))))))))</x:f>
      </x:c>
      <x:c r="L1261" s="6" t="str">
        <x:f>IF(AND(NOT(COUNTA(A1261:F1261)=0),K1261=""),INDEX('Rules'!$C$7:$C$26,MATCH(SUBSTITUTE(SUBSTITUTE(SUBSTITUTE(SUBSTITUTE("type:"&amp;B1261,"%","%25"),"~","%7E"),"*","%2A"),"?","%3F"),'Rules'!$G$7:$G$26,0)),"")</x:f>
      </x:c>
      <x:c r="M1261" s="6" t="str">
        <x:f>IF(AND(NOT(COUNTA(A1261:F1261)=0),K1261=""),INDEX('Rules'!$D$7:$D$26,MATCH(SUBSTITUTE(SUBSTITUTE(SUBSTITUTE(SUBSTITUTE("type:"&amp;B1261,"%","%25"),"~","%7E"),"*","%2A"),"?","%3F"),'Rules'!$G$7:$G$26,0)),"")</x:f>
      </x:c>
      <x:c r="N1261" s="5" t="str">
        <x:f>IF(COUNTA(A1261:F1261)=0,"",SUBSTITUTE(SUBSTITUTE(SUBSTITUTE(SUBSTITUTE("id:"&amp;A1261,"%","%25"),"~","%7E"),"*","%2A"),"?","%3F"))</x:f>
      </x:c>
    </x:row>
    <x:row r="1262" ht="22" customHeight="1">
      <x:c r="A1262" s="3"/>
      <x:c r="B1262" s="3"/>
      <x:c r="C1262" s="3"/>
      <x:c r="D1262" s="4"/>
      <x:c r="E1262" s="4"/>
      <x:c r="F1262" s="4"/>
      <x:c r="G1262" s="5" t="str">
        <x:f>IF(COUNTA(A1262:F1262)=0,"",IF(K1262&lt;&gt;"","Review",IF(I1262&lt;0,"Overdue",IF(I1262=0,"Due now",IF(I1262&lt;=M1262,"Due soon","Not due")))))</x:f>
      </x:c>
      <x:c r="H1262" s="5" t="str">
        <x:f>IF(OR(COUNTA(A1262:F1262)=0,COUNTIFS('Rules'!$G$7:$G$26,"="&amp;(SUBSTITUTE(SUBSTITUTE(SUBSTITUTE(SUBSTITUTE("type:"&amp;B1262,"%","%25"),"~","%7E"),"*","%2A"),"?","%3F")))&lt;&gt;1),"",IF(OR(INDEX('Rules'!$B$7:$B$26,MATCH(SUBSTITUTE(SUBSTITUTE(SUBSTITUTE(SUBSTITUTE("type:"&amp;B1262,"%","%25"),"~","%7E"),"*","%2A"),"?","%3F"),'Rules'!$G$7:$G$26,0))="hours",INDEX('Rules'!$B$7:$B$26,MATCH(SUBSTITUTE(SUBSTITUTE(SUBSTITUTE(SUBSTITUTE("type:"&amp;B1262,"%","%25"),"~","%7E"),"*","%2A"),"?","%3F"),'Rules'!$G$7:$G$26,0))="km"),INDEX('Rules'!$B$7:$B$26,MATCH(SUBSTITUTE(SUBSTITUTE(SUBSTITUTE(SUBSTITUTE("type:"&amp;B1262,"%","%25"),"~","%7E"),"*","%2A"),"?","%3F"),'Rules'!$G$7:$G$26,0)),""))</x:f>
      </x:c>
      <x:c r="I1262" s="6" t="str">
        <x:f>IF(AND(NOT(COUNTA(A1262:F1262)=0),K1262=""),ROUND(J1262-D1262,3),"")</x:f>
      </x:c>
      <x:c r="J1262" s="6" t="str">
        <x:f>IF(AND(NOT(COUNTA(A1262:F1262)=0),K1262=""),ROUND(F1262+L1262,3),"")</x:f>
      </x:c>
      <x:c r="K1262" s="5" t="str">
        <x:f>IF(COUNTA(A1262:F1262)=0,"",IF(A1262="","Missing equipment ID",IF(COUNTIFS($N$8:$N$2007,"="&amp;N1262)&gt;1,"Duplicate equipment ID",IF(B1262="","Missing type",IF(COUNTIFS('Rules'!$G$7:$G$26,"="&amp;(SUBSTITUTE(SUBSTITUTE(SUBSTITUTE(SUBSTITUTE("type:"&amp;B1262,"%","%25"),"~","%7E"),"*","%2A"),"?","%3F")))=0,"Unknown type",IF(COUNTIFS('Rules'!$G$7:$G$26,"="&amp;(SUBSTITUTE(SUBSTITUTE(SUBSTITUTE(SUBSTITUTE("type:"&amp;B1262,"%","%25"),"~","%7E"),"*","%2A"),"?","%3F")))&gt;1,"Duplicate type",IF(INDEX('Rules'!$F$7:$F$26,MATCH(SUBSTITUTE(SUBSTITUTE(SUBSTITUTE(SUBSTITUTE("type:"&amp;B1262,"%","%25"),"~","%7E"),"*","%2A"),"?","%3F"),'Rules'!$G$7:$G$26,0))&lt;&gt;"",INDEX('Rules'!$F$7:$F$26,MATCH(SUBSTITUTE(SUBSTITUTE(SUBSTITUTE(SUBSTITUTE("type:"&amp;B1262,"%","%25"),"~","%7E"),"*","%2A"),"?","%3F"),'Rules'!$G$7:$G$26,0)),IF(AND(C1262&lt;&gt;"",C1262&lt;&gt;INDEX('Rules'!$B$7:$B$26,MATCH(SUBSTITUTE(SUBSTITUTE(SUBSTITUTE(SUBSTITUTE("type:"&amp;B1262,"%","%25"),"~","%7E"),"*","%2A"),"?","%3F"),'Rules'!$G$7:$G$26,0))),"Unit mismatch",IF(IF(NOT(ISNUMBER(D1262)),TRUE,OR(D1262&lt;0,D1262&gt;999999999,ROUND(D1262,3)&lt;&gt;D1262)),"Invalid current reading",IF(AND(E1262&lt;&gt;"",IF(NOT(ISNUMBER(E1262)),TRUE,OR(E1262&lt;0,E1262&gt;999999999,ROUND(E1262,3)&lt;&gt;E1262))),"Invalid previous reading",IF(IF(NOT(ISNUMBER(F1262)),TRUE,OR(F1262&lt;0,F1262&gt;999999999,ROUND(F1262,3)&lt;&gt;F1262)),"Invalid last service",IF(AND(E1262&lt;&gt;"",D1262&lt;E1262),"Decreased reading",IF(F1262&gt;D1262,"Last service above current","")))))))))))))</x:f>
      </x:c>
      <x:c r="L1262" s="6" t="str">
        <x:f>IF(AND(NOT(COUNTA(A1262:F1262)=0),K1262=""),INDEX('Rules'!$C$7:$C$26,MATCH(SUBSTITUTE(SUBSTITUTE(SUBSTITUTE(SUBSTITUTE("type:"&amp;B1262,"%","%25"),"~","%7E"),"*","%2A"),"?","%3F"),'Rules'!$G$7:$G$26,0)),"")</x:f>
      </x:c>
      <x:c r="M1262" s="6" t="str">
        <x:f>IF(AND(NOT(COUNTA(A1262:F1262)=0),K1262=""),INDEX('Rules'!$D$7:$D$26,MATCH(SUBSTITUTE(SUBSTITUTE(SUBSTITUTE(SUBSTITUTE("type:"&amp;B1262,"%","%25"),"~","%7E"),"*","%2A"),"?","%3F"),'Rules'!$G$7:$G$26,0)),"")</x:f>
      </x:c>
      <x:c r="N1262" s="5" t="str">
        <x:f>IF(COUNTA(A1262:F1262)=0,"",SUBSTITUTE(SUBSTITUTE(SUBSTITUTE(SUBSTITUTE("id:"&amp;A1262,"%","%25"),"~","%7E"),"*","%2A"),"?","%3F"))</x:f>
      </x:c>
    </x:row>
    <x:row r="1263" ht="22" customHeight="1">
      <x:c r="A1263" s="3"/>
      <x:c r="B1263" s="3"/>
      <x:c r="C1263" s="3"/>
      <x:c r="D1263" s="4"/>
      <x:c r="E1263" s="4"/>
      <x:c r="F1263" s="4"/>
      <x:c r="G1263" s="5" t="str">
        <x:f>IF(COUNTA(A1263:F1263)=0,"",IF(K1263&lt;&gt;"","Review",IF(I1263&lt;0,"Overdue",IF(I1263=0,"Due now",IF(I1263&lt;=M1263,"Due soon","Not due")))))</x:f>
      </x:c>
      <x:c r="H1263" s="5" t="str">
        <x:f>IF(OR(COUNTA(A1263:F1263)=0,COUNTIFS('Rules'!$G$7:$G$26,"="&amp;(SUBSTITUTE(SUBSTITUTE(SUBSTITUTE(SUBSTITUTE("type:"&amp;B1263,"%","%25"),"~","%7E"),"*","%2A"),"?","%3F")))&lt;&gt;1),"",IF(OR(INDEX('Rules'!$B$7:$B$26,MATCH(SUBSTITUTE(SUBSTITUTE(SUBSTITUTE(SUBSTITUTE("type:"&amp;B1263,"%","%25"),"~","%7E"),"*","%2A"),"?","%3F"),'Rules'!$G$7:$G$26,0))="hours",INDEX('Rules'!$B$7:$B$26,MATCH(SUBSTITUTE(SUBSTITUTE(SUBSTITUTE(SUBSTITUTE("type:"&amp;B1263,"%","%25"),"~","%7E"),"*","%2A"),"?","%3F"),'Rules'!$G$7:$G$26,0))="km"),INDEX('Rules'!$B$7:$B$26,MATCH(SUBSTITUTE(SUBSTITUTE(SUBSTITUTE(SUBSTITUTE("type:"&amp;B1263,"%","%25"),"~","%7E"),"*","%2A"),"?","%3F"),'Rules'!$G$7:$G$26,0)),""))</x:f>
      </x:c>
      <x:c r="I1263" s="6" t="str">
        <x:f>IF(AND(NOT(COUNTA(A1263:F1263)=0),K1263=""),ROUND(J1263-D1263,3),"")</x:f>
      </x:c>
      <x:c r="J1263" s="6" t="str">
        <x:f>IF(AND(NOT(COUNTA(A1263:F1263)=0),K1263=""),ROUND(F1263+L1263,3),"")</x:f>
      </x:c>
      <x:c r="K1263" s="5" t="str">
        <x:f>IF(COUNTA(A1263:F1263)=0,"",IF(A1263="","Missing equipment ID",IF(COUNTIFS($N$8:$N$2007,"="&amp;N1263)&gt;1,"Duplicate equipment ID",IF(B1263="","Missing type",IF(COUNTIFS('Rules'!$G$7:$G$26,"="&amp;(SUBSTITUTE(SUBSTITUTE(SUBSTITUTE(SUBSTITUTE("type:"&amp;B1263,"%","%25"),"~","%7E"),"*","%2A"),"?","%3F")))=0,"Unknown type",IF(COUNTIFS('Rules'!$G$7:$G$26,"="&amp;(SUBSTITUTE(SUBSTITUTE(SUBSTITUTE(SUBSTITUTE("type:"&amp;B1263,"%","%25"),"~","%7E"),"*","%2A"),"?","%3F")))&gt;1,"Duplicate type",IF(INDEX('Rules'!$F$7:$F$26,MATCH(SUBSTITUTE(SUBSTITUTE(SUBSTITUTE(SUBSTITUTE("type:"&amp;B1263,"%","%25"),"~","%7E"),"*","%2A"),"?","%3F"),'Rules'!$G$7:$G$26,0))&lt;&gt;"",INDEX('Rules'!$F$7:$F$26,MATCH(SUBSTITUTE(SUBSTITUTE(SUBSTITUTE(SUBSTITUTE("type:"&amp;B1263,"%","%25"),"~","%7E"),"*","%2A"),"?","%3F"),'Rules'!$G$7:$G$26,0)),IF(AND(C1263&lt;&gt;"",C1263&lt;&gt;INDEX('Rules'!$B$7:$B$26,MATCH(SUBSTITUTE(SUBSTITUTE(SUBSTITUTE(SUBSTITUTE("type:"&amp;B1263,"%","%25"),"~","%7E"),"*","%2A"),"?","%3F"),'Rules'!$G$7:$G$26,0))),"Unit mismatch",IF(IF(NOT(ISNUMBER(D1263)),TRUE,OR(D1263&lt;0,D1263&gt;999999999,ROUND(D1263,3)&lt;&gt;D1263)),"Invalid current reading",IF(AND(E1263&lt;&gt;"",IF(NOT(ISNUMBER(E1263)),TRUE,OR(E1263&lt;0,E1263&gt;999999999,ROUND(E1263,3)&lt;&gt;E1263))),"Invalid previous reading",IF(IF(NOT(ISNUMBER(F1263)),TRUE,OR(F1263&lt;0,F1263&gt;999999999,ROUND(F1263,3)&lt;&gt;F1263)),"Invalid last service",IF(AND(E1263&lt;&gt;"",D1263&lt;E1263),"Decreased reading",IF(F1263&gt;D1263,"Last service above current","")))))))))))))</x:f>
      </x:c>
      <x:c r="L1263" s="6" t="str">
        <x:f>IF(AND(NOT(COUNTA(A1263:F1263)=0),K1263=""),INDEX('Rules'!$C$7:$C$26,MATCH(SUBSTITUTE(SUBSTITUTE(SUBSTITUTE(SUBSTITUTE("type:"&amp;B1263,"%","%25"),"~","%7E"),"*","%2A"),"?","%3F"),'Rules'!$G$7:$G$26,0)),"")</x:f>
      </x:c>
      <x:c r="M1263" s="6" t="str">
        <x:f>IF(AND(NOT(COUNTA(A1263:F1263)=0),K1263=""),INDEX('Rules'!$D$7:$D$26,MATCH(SUBSTITUTE(SUBSTITUTE(SUBSTITUTE(SUBSTITUTE("type:"&amp;B1263,"%","%25"),"~","%7E"),"*","%2A"),"?","%3F"),'Rules'!$G$7:$G$26,0)),"")</x:f>
      </x:c>
      <x:c r="N1263" s="5" t="str">
        <x:f>IF(COUNTA(A1263:F1263)=0,"",SUBSTITUTE(SUBSTITUTE(SUBSTITUTE(SUBSTITUTE("id:"&amp;A1263,"%","%25"),"~","%7E"),"*","%2A"),"?","%3F"))</x:f>
      </x:c>
    </x:row>
    <x:row r="1264" ht="22" customHeight="1">
      <x:c r="A1264" s="3"/>
      <x:c r="B1264" s="3"/>
      <x:c r="C1264" s="3"/>
      <x:c r="D1264" s="4"/>
      <x:c r="E1264" s="4"/>
      <x:c r="F1264" s="4"/>
      <x:c r="G1264" s="5" t="str">
        <x:f>IF(COUNTA(A1264:F1264)=0,"",IF(K1264&lt;&gt;"","Review",IF(I1264&lt;0,"Overdue",IF(I1264=0,"Due now",IF(I1264&lt;=M1264,"Due soon","Not due")))))</x:f>
      </x:c>
      <x:c r="H1264" s="5" t="str">
        <x:f>IF(OR(COUNTA(A1264:F1264)=0,COUNTIFS('Rules'!$G$7:$G$26,"="&amp;(SUBSTITUTE(SUBSTITUTE(SUBSTITUTE(SUBSTITUTE("type:"&amp;B1264,"%","%25"),"~","%7E"),"*","%2A"),"?","%3F")))&lt;&gt;1),"",IF(OR(INDEX('Rules'!$B$7:$B$26,MATCH(SUBSTITUTE(SUBSTITUTE(SUBSTITUTE(SUBSTITUTE("type:"&amp;B1264,"%","%25"),"~","%7E"),"*","%2A"),"?","%3F"),'Rules'!$G$7:$G$26,0))="hours",INDEX('Rules'!$B$7:$B$26,MATCH(SUBSTITUTE(SUBSTITUTE(SUBSTITUTE(SUBSTITUTE("type:"&amp;B1264,"%","%25"),"~","%7E"),"*","%2A"),"?","%3F"),'Rules'!$G$7:$G$26,0))="km"),INDEX('Rules'!$B$7:$B$26,MATCH(SUBSTITUTE(SUBSTITUTE(SUBSTITUTE(SUBSTITUTE("type:"&amp;B1264,"%","%25"),"~","%7E"),"*","%2A"),"?","%3F"),'Rules'!$G$7:$G$26,0)),""))</x:f>
      </x:c>
      <x:c r="I1264" s="6" t="str">
        <x:f>IF(AND(NOT(COUNTA(A1264:F1264)=0),K1264=""),ROUND(J1264-D1264,3),"")</x:f>
      </x:c>
      <x:c r="J1264" s="6" t="str">
        <x:f>IF(AND(NOT(COUNTA(A1264:F1264)=0),K1264=""),ROUND(F1264+L1264,3),"")</x:f>
      </x:c>
      <x:c r="K1264" s="5" t="str">
        <x:f>IF(COUNTA(A1264:F1264)=0,"",IF(A1264="","Missing equipment ID",IF(COUNTIFS($N$8:$N$2007,"="&amp;N1264)&gt;1,"Duplicate equipment ID",IF(B1264="","Missing type",IF(COUNTIFS('Rules'!$G$7:$G$26,"="&amp;(SUBSTITUTE(SUBSTITUTE(SUBSTITUTE(SUBSTITUTE("type:"&amp;B1264,"%","%25"),"~","%7E"),"*","%2A"),"?","%3F")))=0,"Unknown type",IF(COUNTIFS('Rules'!$G$7:$G$26,"="&amp;(SUBSTITUTE(SUBSTITUTE(SUBSTITUTE(SUBSTITUTE("type:"&amp;B1264,"%","%25"),"~","%7E"),"*","%2A"),"?","%3F")))&gt;1,"Duplicate type",IF(INDEX('Rules'!$F$7:$F$26,MATCH(SUBSTITUTE(SUBSTITUTE(SUBSTITUTE(SUBSTITUTE("type:"&amp;B1264,"%","%25"),"~","%7E"),"*","%2A"),"?","%3F"),'Rules'!$G$7:$G$26,0))&lt;&gt;"",INDEX('Rules'!$F$7:$F$26,MATCH(SUBSTITUTE(SUBSTITUTE(SUBSTITUTE(SUBSTITUTE("type:"&amp;B1264,"%","%25"),"~","%7E"),"*","%2A"),"?","%3F"),'Rules'!$G$7:$G$26,0)),IF(AND(C1264&lt;&gt;"",C1264&lt;&gt;INDEX('Rules'!$B$7:$B$26,MATCH(SUBSTITUTE(SUBSTITUTE(SUBSTITUTE(SUBSTITUTE("type:"&amp;B1264,"%","%25"),"~","%7E"),"*","%2A"),"?","%3F"),'Rules'!$G$7:$G$26,0))),"Unit mismatch",IF(IF(NOT(ISNUMBER(D1264)),TRUE,OR(D1264&lt;0,D1264&gt;999999999,ROUND(D1264,3)&lt;&gt;D1264)),"Invalid current reading",IF(AND(E1264&lt;&gt;"",IF(NOT(ISNUMBER(E1264)),TRUE,OR(E1264&lt;0,E1264&gt;999999999,ROUND(E1264,3)&lt;&gt;E1264))),"Invalid previous reading",IF(IF(NOT(ISNUMBER(F1264)),TRUE,OR(F1264&lt;0,F1264&gt;999999999,ROUND(F1264,3)&lt;&gt;F1264)),"Invalid last service",IF(AND(E1264&lt;&gt;"",D1264&lt;E1264),"Decreased reading",IF(F1264&gt;D1264,"Last service above current","")))))))))))))</x:f>
      </x:c>
      <x:c r="L1264" s="6" t="str">
        <x:f>IF(AND(NOT(COUNTA(A1264:F1264)=0),K1264=""),INDEX('Rules'!$C$7:$C$26,MATCH(SUBSTITUTE(SUBSTITUTE(SUBSTITUTE(SUBSTITUTE("type:"&amp;B1264,"%","%25"),"~","%7E"),"*","%2A"),"?","%3F"),'Rules'!$G$7:$G$26,0)),"")</x:f>
      </x:c>
      <x:c r="M1264" s="6" t="str">
        <x:f>IF(AND(NOT(COUNTA(A1264:F1264)=0),K1264=""),INDEX('Rules'!$D$7:$D$26,MATCH(SUBSTITUTE(SUBSTITUTE(SUBSTITUTE(SUBSTITUTE("type:"&amp;B1264,"%","%25"),"~","%7E"),"*","%2A"),"?","%3F"),'Rules'!$G$7:$G$26,0)),"")</x:f>
      </x:c>
      <x:c r="N1264" s="5" t="str">
        <x:f>IF(COUNTA(A1264:F1264)=0,"",SUBSTITUTE(SUBSTITUTE(SUBSTITUTE(SUBSTITUTE("id:"&amp;A1264,"%","%25"),"~","%7E"),"*","%2A"),"?","%3F"))</x:f>
      </x:c>
    </x:row>
    <x:row r="1265" ht="22" customHeight="1">
      <x:c r="A1265" s="3"/>
      <x:c r="B1265" s="3"/>
      <x:c r="C1265" s="3"/>
      <x:c r="D1265" s="4"/>
      <x:c r="E1265" s="4"/>
      <x:c r="F1265" s="4"/>
      <x:c r="G1265" s="5" t="str">
        <x:f>IF(COUNTA(A1265:F1265)=0,"",IF(K1265&lt;&gt;"","Review",IF(I1265&lt;0,"Overdue",IF(I1265=0,"Due now",IF(I1265&lt;=M1265,"Due soon","Not due")))))</x:f>
      </x:c>
      <x:c r="H1265" s="5" t="str">
        <x:f>IF(OR(COUNTA(A1265:F1265)=0,COUNTIFS('Rules'!$G$7:$G$26,"="&amp;(SUBSTITUTE(SUBSTITUTE(SUBSTITUTE(SUBSTITUTE("type:"&amp;B1265,"%","%25"),"~","%7E"),"*","%2A"),"?","%3F")))&lt;&gt;1),"",IF(OR(INDEX('Rules'!$B$7:$B$26,MATCH(SUBSTITUTE(SUBSTITUTE(SUBSTITUTE(SUBSTITUTE("type:"&amp;B1265,"%","%25"),"~","%7E"),"*","%2A"),"?","%3F"),'Rules'!$G$7:$G$26,0))="hours",INDEX('Rules'!$B$7:$B$26,MATCH(SUBSTITUTE(SUBSTITUTE(SUBSTITUTE(SUBSTITUTE("type:"&amp;B1265,"%","%25"),"~","%7E"),"*","%2A"),"?","%3F"),'Rules'!$G$7:$G$26,0))="km"),INDEX('Rules'!$B$7:$B$26,MATCH(SUBSTITUTE(SUBSTITUTE(SUBSTITUTE(SUBSTITUTE("type:"&amp;B1265,"%","%25"),"~","%7E"),"*","%2A"),"?","%3F"),'Rules'!$G$7:$G$26,0)),""))</x:f>
      </x:c>
      <x:c r="I1265" s="6" t="str">
        <x:f>IF(AND(NOT(COUNTA(A1265:F1265)=0),K1265=""),ROUND(J1265-D1265,3),"")</x:f>
      </x:c>
      <x:c r="J1265" s="6" t="str">
        <x:f>IF(AND(NOT(COUNTA(A1265:F1265)=0),K1265=""),ROUND(F1265+L1265,3),"")</x:f>
      </x:c>
      <x:c r="K1265" s="5" t="str">
        <x:f>IF(COUNTA(A1265:F1265)=0,"",IF(A1265="","Missing equipment ID",IF(COUNTIFS($N$8:$N$2007,"="&amp;N1265)&gt;1,"Duplicate equipment ID",IF(B1265="","Missing type",IF(COUNTIFS('Rules'!$G$7:$G$26,"="&amp;(SUBSTITUTE(SUBSTITUTE(SUBSTITUTE(SUBSTITUTE("type:"&amp;B1265,"%","%25"),"~","%7E"),"*","%2A"),"?","%3F")))=0,"Unknown type",IF(COUNTIFS('Rules'!$G$7:$G$26,"="&amp;(SUBSTITUTE(SUBSTITUTE(SUBSTITUTE(SUBSTITUTE("type:"&amp;B1265,"%","%25"),"~","%7E"),"*","%2A"),"?","%3F")))&gt;1,"Duplicate type",IF(INDEX('Rules'!$F$7:$F$26,MATCH(SUBSTITUTE(SUBSTITUTE(SUBSTITUTE(SUBSTITUTE("type:"&amp;B1265,"%","%25"),"~","%7E"),"*","%2A"),"?","%3F"),'Rules'!$G$7:$G$26,0))&lt;&gt;"",INDEX('Rules'!$F$7:$F$26,MATCH(SUBSTITUTE(SUBSTITUTE(SUBSTITUTE(SUBSTITUTE("type:"&amp;B1265,"%","%25"),"~","%7E"),"*","%2A"),"?","%3F"),'Rules'!$G$7:$G$26,0)),IF(AND(C1265&lt;&gt;"",C1265&lt;&gt;INDEX('Rules'!$B$7:$B$26,MATCH(SUBSTITUTE(SUBSTITUTE(SUBSTITUTE(SUBSTITUTE("type:"&amp;B1265,"%","%25"),"~","%7E"),"*","%2A"),"?","%3F"),'Rules'!$G$7:$G$26,0))),"Unit mismatch",IF(IF(NOT(ISNUMBER(D1265)),TRUE,OR(D1265&lt;0,D1265&gt;999999999,ROUND(D1265,3)&lt;&gt;D1265)),"Invalid current reading",IF(AND(E1265&lt;&gt;"",IF(NOT(ISNUMBER(E1265)),TRUE,OR(E1265&lt;0,E1265&gt;999999999,ROUND(E1265,3)&lt;&gt;E1265))),"Invalid previous reading",IF(IF(NOT(ISNUMBER(F1265)),TRUE,OR(F1265&lt;0,F1265&gt;999999999,ROUND(F1265,3)&lt;&gt;F1265)),"Invalid last service",IF(AND(E1265&lt;&gt;"",D1265&lt;E1265),"Decreased reading",IF(F1265&gt;D1265,"Last service above current","")))))))))))))</x:f>
      </x:c>
      <x:c r="L1265" s="6" t="str">
        <x:f>IF(AND(NOT(COUNTA(A1265:F1265)=0),K1265=""),INDEX('Rules'!$C$7:$C$26,MATCH(SUBSTITUTE(SUBSTITUTE(SUBSTITUTE(SUBSTITUTE("type:"&amp;B1265,"%","%25"),"~","%7E"),"*","%2A"),"?","%3F"),'Rules'!$G$7:$G$26,0)),"")</x:f>
      </x:c>
      <x:c r="M1265" s="6" t="str">
        <x:f>IF(AND(NOT(COUNTA(A1265:F1265)=0),K1265=""),INDEX('Rules'!$D$7:$D$26,MATCH(SUBSTITUTE(SUBSTITUTE(SUBSTITUTE(SUBSTITUTE("type:"&amp;B1265,"%","%25"),"~","%7E"),"*","%2A"),"?","%3F"),'Rules'!$G$7:$G$26,0)),"")</x:f>
      </x:c>
      <x:c r="N1265" s="5" t="str">
        <x:f>IF(COUNTA(A1265:F1265)=0,"",SUBSTITUTE(SUBSTITUTE(SUBSTITUTE(SUBSTITUTE("id:"&amp;A1265,"%","%25"),"~","%7E"),"*","%2A"),"?","%3F"))</x:f>
      </x:c>
    </x:row>
    <x:row r="1266" ht="22" customHeight="1">
      <x:c r="A1266" s="3"/>
      <x:c r="B1266" s="3"/>
      <x:c r="C1266" s="3"/>
      <x:c r="D1266" s="4"/>
      <x:c r="E1266" s="4"/>
      <x:c r="F1266" s="4"/>
      <x:c r="G1266" s="5" t="str">
        <x:f>IF(COUNTA(A1266:F1266)=0,"",IF(K1266&lt;&gt;"","Review",IF(I1266&lt;0,"Overdue",IF(I1266=0,"Due now",IF(I1266&lt;=M1266,"Due soon","Not due")))))</x:f>
      </x:c>
      <x:c r="H1266" s="5" t="str">
        <x:f>IF(OR(COUNTA(A1266:F1266)=0,COUNTIFS('Rules'!$G$7:$G$26,"="&amp;(SUBSTITUTE(SUBSTITUTE(SUBSTITUTE(SUBSTITUTE("type:"&amp;B1266,"%","%25"),"~","%7E"),"*","%2A"),"?","%3F")))&lt;&gt;1),"",IF(OR(INDEX('Rules'!$B$7:$B$26,MATCH(SUBSTITUTE(SUBSTITUTE(SUBSTITUTE(SUBSTITUTE("type:"&amp;B1266,"%","%25"),"~","%7E"),"*","%2A"),"?","%3F"),'Rules'!$G$7:$G$26,0))="hours",INDEX('Rules'!$B$7:$B$26,MATCH(SUBSTITUTE(SUBSTITUTE(SUBSTITUTE(SUBSTITUTE("type:"&amp;B1266,"%","%25"),"~","%7E"),"*","%2A"),"?","%3F"),'Rules'!$G$7:$G$26,0))="km"),INDEX('Rules'!$B$7:$B$26,MATCH(SUBSTITUTE(SUBSTITUTE(SUBSTITUTE(SUBSTITUTE("type:"&amp;B1266,"%","%25"),"~","%7E"),"*","%2A"),"?","%3F"),'Rules'!$G$7:$G$26,0)),""))</x:f>
      </x:c>
      <x:c r="I1266" s="6" t="str">
        <x:f>IF(AND(NOT(COUNTA(A1266:F1266)=0),K1266=""),ROUND(J1266-D1266,3),"")</x:f>
      </x:c>
      <x:c r="J1266" s="6" t="str">
        <x:f>IF(AND(NOT(COUNTA(A1266:F1266)=0),K1266=""),ROUND(F1266+L1266,3),"")</x:f>
      </x:c>
      <x:c r="K1266" s="5" t="str">
        <x:f>IF(COUNTA(A1266:F1266)=0,"",IF(A1266="","Missing equipment ID",IF(COUNTIFS($N$8:$N$2007,"="&amp;N1266)&gt;1,"Duplicate equipment ID",IF(B1266="","Missing type",IF(COUNTIFS('Rules'!$G$7:$G$26,"="&amp;(SUBSTITUTE(SUBSTITUTE(SUBSTITUTE(SUBSTITUTE("type:"&amp;B1266,"%","%25"),"~","%7E"),"*","%2A"),"?","%3F")))=0,"Unknown type",IF(COUNTIFS('Rules'!$G$7:$G$26,"="&amp;(SUBSTITUTE(SUBSTITUTE(SUBSTITUTE(SUBSTITUTE("type:"&amp;B1266,"%","%25"),"~","%7E"),"*","%2A"),"?","%3F")))&gt;1,"Duplicate type",IF(INDEX('Rules'!$F$7:$F$26,MATCH(SUBSTITUTE(SUBSTITUTE(SUBSTITUTE(SUBSTITUTE("type:"&amp;B1266,"%","%25"),"~","%7E"),"*","%2A"),"?","%3F"),'Rules'!$G$7:$G$26,0))&lt;&gt;"",INDEX('Rules'!$F$7:$F$26,MATCH(SUBSTITUTE(SUBSTITUTE(SUBSTITUTE(SUBSTITUTE("type:"&amp;B1266,"%","%25"),"~","%7E"),"*","%2A"),"?","%3F"),'Rules'!$G$7:$G$26,0)),IF(AND(C1266&lt;&gt;"",C1266&lt;&gt;INDEX('Rules'!$B$7:$B$26,MATCH(SUBSTITUTE(SUBSTITUTE(SUBSTITUTE(SUBSTITUTE("type:"&amp;B1266,"%","%25"),"~","%7E"),"*","%2A"),"?","%3F"),'Rules'!$G$7:$G$26,0))),"Unit mismatch",IF(IF(NOT(ISNUMBER(D1266)),TRUE,OR(D1266&lt;0,D1266&gt;999999999,ROUND(D1266,3)&lt;&gt;D1266)),"Invalid current reading",IF(AND(E1266&lt;&gt;"",IF(NOT(ISNUMBER(E1266)),TRUE,OR(E1266&lt;0,E1266&gt;999999999,ROUND(E1266,3)&lt;&gt;E1266))),"Invalid previous reading",IF(IF(NOT(ISNUMBER(F1266)),TRUE,OR(F1266&lt;0,F1266&gt;999999999,ROUND(F1266,3)&lt;&gt;F1266)),"Invalid last service",IF(AND(E1266&lt;&gt;"",D1266&lt;E1266),"Decreased reading",IF(F1266&gt;D1266,"Last service above current","")))))))))))))</x:f>
      </x:c>
      <x:c r="L1266" s="6" t="str">
        <x:f>IF(AND(NOT(COUNTA(A1266:F1266)=0),K1266=""),INDEX('Rules'!$C$7:$C$26,MATCH(SUBSTITUTE(SUBSTITUTE(SUBSTITUTE(SUBSTITUTE("type:"&amp;B1266,"%","%25"),"~","%7E"),"*","%2A"),"?","%3F"),'Rules'!$G$7:$G$26,0)),"")</x:f>
      </x:c>
      <x:c r="M1266" s="6" t="str">
        <x:f>IF(AND(NOT(COUNTA(A1266:F1266)=0),K1266=""),INDEX('Rules'!$D$7:$D$26,MATCH(SUBSTITUTE(SUBSTITUTE(SUBSTITUTE(SUBSTITUTE("type:"&amp;B1266,"%","%25"),"~","%7E"),"*","%2A"),"?","%3F"),'Rules'!$G$7:$G$26,0)),"")</x:f>
      </x:c>
      <x:c r="N1266" s="5" t="str">
        <x:f>IF(COUNTA(A1266:F1266)=0,"",SUBSTITUTE(SUBSTITUTE(SUBSTITUTE(SUBSTITUTE("id:"&amp;A1266,"%","%25"),"~","%7E"),"*","%2A"),"?","%3F"))</x:f>
      </x:c>
    </x:row>
    <x:row r="1267" ht="22" customHeight="1">
      <x:c r="A1267" s="3"/>
      <x:c r="B1267" s="3"/>
      <x:c r="C1267" s="3"/>
      <x:c r="D1267" s="4"/>
      <x:c r="E1267" s="4"/>
      <x:c r="F1267" s="4"/>
      <x:c r="G1267" s="5" t="str">
        <x:f>IF(COUNTA(A1267:F1267)=0,"",IF(K1267&lt;&gt;"","Review",IF(I1267&lt;0,"Overdue",IF(I1267=0,"Due now",IF(I1267&lt;=M1267,"Due soon","Not due")))))</x:f>
      </x:c>
      <x:c r="H1267" s="5" t="str">
        <x:f>IF(OR(COUNTA(A1267:F1267)=0,COUNTIFS('Rules'!$G$7:$G$26,"="&amp;(SUBSTITUTE(SUBSTITUTE(SUBSTITUTE(SUBSTITUTE("type:"&amp;B1267,"%","%25"),"~","%7E"),"*","%2A"),"?","%3F")))&lt;&gt;1),"",IF(OR(INDEX('Rules'!$B$7:$B$26,MATCH(SUBSTITUTE(SUBSTITUTE(SUBSTITUTE(SUBSTITUTE("type:"&amp;B1267,"%","%25"),"~","%7E"),"*","%2A"),"?","%3F"),'Rules'!$G$7:$G$26,0))="hours",INDEX('Rules'!$B$7:$B$26,MATCH(SUBSTITUTE(SUBSTITUTE(SUBSTITUTE(SUBSTITUTE("type:"&amp;B1267,"%","%25"),"~","%7E"),"*","%2A"),"?","%3F"),'Rules'!$G$7:$G$26,0))="km"),INDEX('Rules'!$B$7:$B$26,MATCH(SUBSTITUTE(SUBSTITUTE(SUBSTITUTE(SUBSTITUTE("type:"&amp;B1267,"%","%25"),"~","%7E"),"*","%2A"),"?","%3F"),'Rules'!$G$7:$G$26,0)),""))</x:f>
      </x:c>
      <x:c r="I1267" s="6" t="str">
        <x:f>IF(AND(NOT(COUNTA(A1267:F1267)=0),K1267=""),ROUND(J1267-D1267,3),"")</x:f>
      </x:c>
      <x:c r="J1267" s="6" t="str">
        <x:f>IF(AND(NOT(COUNTA(A1267:F1267)=0),K1267=""),ROUND(F1267+L1267,3),"")</x:f>
      </x:c>
      <x:c r="K1267" s="5" t="str">
        <x:f>IF(COUNTA(A1267:F1267)=0,"",IF(A1267="","Missing equipment ID",IF(COUNTIFS($N$8:$N$2007,"="&amp;N1267)&gt;1,"Duplicate equipment ID",IF(B1267="","Missing type",IF(COUNTIFS('Rules'!$G$7:$G$26,"="&amp;(SUBSTITUTE(SUBSTITUTE(SUBSTITUTE(SUBSTITUTE("type:"&amp;B1267,"%","%25"),"~","%7E"),"*","%2A"),"?","%3F")))=0,"Unknown type",IF(COUNTIFS('Rules'!$G$7:$G$26,"="&amp;(SUBSTITUTE(SUBSTITUTE(SUBSTITUTE(SUBSTITUTE("type:"&amp;B1267,"%","%25"),"~","%7E"),"*","%2A"),"?","%3F")))&gt;1,"Duplicate type",IF(INDEX('Rules'!$F$7:$F$26,MATCH(SUBSTITUTE(SUBSTITUTE(SUBSTITUTE(SUBSTITUTE("type:"&amp;B1267,"%","%25"),"~","%7E"),"*","%2A"),"?","%3F"),'Rules'!$G$7:$G$26,0))&lt;&gt;"",INDEX('Rules'!$F$7:$F$26,MATCH(SUBSTITUTE(SUBSTITUTE(SUBSTITUTE(SUBSTITUTE("type:"&amp;B1267,"%","%25"),"~","%7E"),"*","%2A"),"?","%3F"),'Rules'!$G$7:$G$26,0)),IF(AND(C1267&lt;&gt;"",C1267&lt;&gt;INDEX('Rules'!$B$7:$B$26,MATCH(SUBSTITUTE(SUBSTITUTE(SUBSTITUTE(SUBSTITUTE("type:"&amp;B1267,"%","%25"),"~","%7E"),"*","%2A"),"?","%3F"),'Rules'!$G$7:$G$26,0))),"Unit mismatch",IF(IF(NOT(ISNUMBER(D1267)),TRUE,OR(D1267&lt;0,D1267&gt;999999999,ROUND(D1267,3)&lt;&gt;D1267)),"Invalid current reading",IF(AND(E1267&lt;&gt;"",IF(NOT(ISNUMBER(E1267)),TRUE,OR(E1267&lt;0,E1267&gt;999999999,ROUND(E1267,3)&lt;&gt;E1267))),"Invalid previous reading",IF(IF(NOT(ISNUMBER(F1267)),TRUE,OR(F1267&lt;0,F1267&gt;999999999,ROUND(F1267,3)&lt;&gt;F1267)),"Invalid last service",IF(AND(E1267&lt;&gt;"",D1267&lt;E1267),"Decreased reading",IF(F1267&gt;D1267,"Last service above current","")))))))))))))</x:f>
      </x:c>
      <x:c r="L1267" s="6" t="str">
        <x:f>IF(AND(NOT(COUNTA(A1267:F1267)=0),K1267=""),INDEX('Rules'!$C$7:$C$26,MATCH(SUBSTITUTE(SUBSTITUTE(SUBSTITUTE(SUBSTITUTE("type:"&amp;B1267,"%","%25"),"~","%7E"),"*","%2A"),"?","%3F"),'Rules'!$G$7:$G$26,0)),"")</x:f>
      </x:c>
      <x:c r="M1267" s="6" t="str">
        <x:f>IF(AND(NOT(COUNTA(A1267:F1267)=0),K1267=""),INDEX('Rules'!$D$7:$D$26,MATCH(SUBSTITUTE(SUBSTITUTE(SUBSTITUTE(SUBSTITUTE("type:"&amp;B1267,"%","%25"),"~","%7E"),"*","%2A"),"?","%3F"),'Rules'!$G$7:$G$26,0)),"")</x:f>
      </x:c>
      <x:c r="N1267" s="5" t="str">
        <x:f>IF(COUNTA(A1267:F1267)=0,"",SUBSTITUTE(SUBSTITUTE(SUBSTITUTE(SUBSTITUTE("id:"&amp;A1267,"%","%25"),"~","%7E"),"*","%2A"),"?","%3F"))</x:f>
      </x:c>
    </x:row>
    <x:row r="1268" ht="22" customHeight="1">
      <x:c r="A1268" s="3"/>
      <x:c r="B1268" s="3"/>
      <x:c r="C1268" s="3"/>
      <x:c r="D1268" s="4"/>
      <x:c r="E1268" s="4"/>
      <x:c r="F1268" s="4"/>
      <x:c r="G1268" s="5" t="str">
        <x:f>IF(COUNTA(A1268:F1268)=0,"",IF(K1268&lt;&gt;"","Review",IF(I1268&lt;0,"Overdue",IF(I1268=0,"Due now",IF(I1268&lt;=M1268,"Due soon","Not due")))))</x:f>
      </x:c>
      <x:c r="H1268" s="5" t="str">
        <x:f>IF(OR(COUNTA(A1268:F1268)=0,COUNTIFS('Rules'!$G$7:$G$26,"="&amp;(SUBSTITUTE(SUBSTITUTE(SUBSTITUTE(SUBSTITUTE("type:"&amp;B1268,"%","%25"),"~","%7E"),"*","%2A"),"?","%3F")))&lt;&gt;1),"",IF(OR(INDEX('Rules'!$B$7:$B$26,MATCH(SUBSTITUTE(SUBSTITUTE(SUBSTITUTE(SUBSTITUTE("type:"&amp;B1268,"%","%25"),"~","%7E"),"*","%2A"),"?","%3F"),'Rules'!$G$7:$G$26,0))="hours",INDEX('Rules'!$B$7:$B$26,MATCH(SUBSTITUTE(SUBSTITUTE(SUBSTITUTE(SUBSTITUTE("type:"&amp;B1268,"%","%25"),"~","%7E"),"*","%2A"),"?","%3F"),'Rules'!$G$7:$G$26,0))="km"),INDEX('Rules'!$B$7:$B$26,MATCH(SUBSTITUTE(SUBSTITUTE(SUBSTITUTE(SUBSTITUTE("type:"&amp;B1268,"%","%25"),"~","%7E"),"*","%2A"),"?","%3F"),'Rules'!$G$7:$G$26,0)),""))</x:f>
      </x:c>
      <x:c r="I1268" s="6" t="str">
        <x:f>IF(AND(NOT(COUNTA(A1268:F1268)=0),K1268=""),ROUND(J1268-D1268,3),"")</x:f>
      </x:c>
      <x:c r="J1268" s="6" t="str">
        <x:f>IF(AND(NOT(COUNTA(A1268:F1268)=0),K1268=""),ROUND(F1268+L1268,3),"")</x:f>
      </x:c>
      <x:c r="K1268" s="5" t="str">
        <x:f>IF(COUNTA(A1268:F1268)=0,"",IF(A1268="","Missing equipment ID",IF(COUNTIFS($N$8:$N$2007,"="&amp;N1268)&gt;1,"Duplicate equipment ID",IF(B1268="","Missing type",IF(COUNTIFS('Rules'!$G$7:$G$26,"="&amp;(SUBSTITUTE(SUBSTITUTE(SUBSTITUTE(SUBSTITUTE("type:"&amp;B1268,"%","%25"),"~","%7E"),"*","%2A"),"?","%3F")))=0,"Unknown type",IF(COUNTIFS('Rules'!$G$7:$G$26,"="&amp;(SUBSTITUTE(SUBSTITUTE(SUBSTITUTE(SUBSTITUTE("type:"&amp;B1268,"%","%25"),"~","%7E"),"*","%2A"),"?","%3F")))&gt;1,"Duplicate type",IF(INDEX('Rules'!$F$7:$F$26,MATCH(SUBSTITUTE(SUBSTITUTE(SUBSTITUTE(SUBSTITUTE("type:"&amp;B1268,"%","%25"),"~","%7E"),"*","%2A"),"?","%3F"),'Rules'!$G$7:$G$26,0))&lt;&gt;"",INDEX('Rules'!$F$7:$F$26,MATCH(SUBSTITUTE(SUBSTITUTE(SUBSTITUTE(SUBSTITUTE("type:"&amp;B1268,"%","%25"),"~","%7E"),"*","%2A"),"?","%3F"),'Rules'!$G$7:$G$26,0)),IF(AND(C1268&lt;&gt;"",C1268&lt;&gt;INDEX('Rules'!$B$7:$B$26,MATCH(SUBSTITUTE(SUBSTITUTE(SUBSTITUTE(SUBSTITUTE("type:"&amp;B1268,"%","%25"),"~","%7E"),"*","%2A"),"?","%3F"),'Rules'!$G$7:$G$26,0))),"Unit mismatch",IF(IF(NOT(ISNUMBER(D1268)),TRUE,OR(D1268&lt;0,D1268&gt;999999999,ROUND(D1268,3)&lt;&gt;D1268)),"Invalid current reading",IF(AND(E1268&lt;&gt;"",IF(NOT(ISNUMBER(E1268)),TRUE,OR(E1268&lt;0,E1268&gt;999999999,ROUND(E1268,3)&lt;&gt;E1268))),"Invalid previous reading",IF(IF(NOT(ISNUMBER(F1268)),TRUE,OR(F1268&lt;0,F1268&gt;999999999,ROUND(F1268,3)&lt;&gt;F1268)),"Invalid last service",IF(AND(E1268&lt;&gt;"",D1268&lt;E1268),"Decreased reading",IF(F1268&gt;D1268,"Last service above current","")))))))))))))</x:f>
      </x:c>
      <x:c r="L1268" s="6" t="str">
        <x:f>IF(AND(NOT(COUNTA(A1268:F1268)=0),K1268=""),INDEX('Rules'!$C$7:$C$26,MATCH(SUBSTITUTE(SUBSTITUTE(SUBSTITUTE(SUBSTITUTE("type:"&amp;B1268,"%","%25"),"~","%7E"),"*","%2A"),"?","%3F"),'Rules'!$G$7:$G$26,0)),"")</x:f>
      </x:c>
      <x:c r="M1268" s="6" t="str">
        <x:f>IF(AND(NOT(COUNTA(A1268:F1268)=0),K1268=""),INDEX('Rules'!$D$7:$D$26,MATCH(SUBSTITUTE(SUBSTITUTE(SUBSTITUTE(SUBSTITUTE("type:"&amp;B1268,"%","%25"),"~","%7E"),"*","%2A"),"?","%3F"),'Rules'!$G$7:$G$26,0)),"")</x:f>
      </x:c>
      <x:c r="N1268" s="5" t="str">
        <x:f>IF(COUNTA(A1268:F1268)=0,"",SUBSTITUTE(SUBSTITUTE(SUBSTITUTE(SUBSTITUTE("id:"&amp;A1268,"%","%25"),"~","%7E"),"*","%2A"),"?","%3F"))</x:f>
      </x:c>
    </x:row>
    <x:row r="1269" ht="22" customHeight="1">
      <x:c r="A1269" s="3"/>
      <x:c r="B1269" s="3"/>
      <x:c r="C1269" s="3"/>
      <x:c r="D1269" s="4"/>
      <x:c r="E1269" s="4"/>
      <x:c r="F1269" s="4"/>
      <x:c r="G1269" s="5" t="str">
        <x:f>IF(COUNTA(A1269:F1269)=0,"",IF(K1269&lt;&gt;"","Review",IF(I1269&lt;0,"Overdue",IF(I1269=0,"Due now",IF(I1269&lt;=M1269,"Due soon","Not due")))))</x:f>
      </x:c>
      <x:c r="H1269" s="5" t="str">
        <x:f>IF(OR(COUNTA(A1269:F1269)=0,COUNTIFS('Rules'!$G$7:$G$26,"="&amp;(SUBSTITUTE(SUBSTITUTE(SUBSTITUTE(SUBSTITUTE("type:"&amp;B1269,"%","%25"),"~","%7E"),"*","%2A"),"?","%3F")))&lt;&gt;1),"",IF(OR(INDEX('Rules'!$B$7:$B$26,MATCH(SUBSTITUTE(SUBSTITUTE(SUBSTITUTE(SUBSTITUTE("type:"&amp;B1269,"%","%25"),"~","%7E"),"*","%2A"),"?","%3F"),'Rules'!$G$7:$G$26,0))="hours",INDEX('Rules'!$B$7:$B$26,MATCH(SUBSTITUTE(SUBSTITUTE(SUBSTITUTE(SUBSTITUTE("type:"&amp;B1269,"%","%25"),"~","%7E"),"*","%2A"),"?","%3F"),'Rules'!$G$7:$G$26,0))="km"),INDEX('Rules'!$B$7:$B$26,MATCH(SUBSTITUTE(SUBSTITUTE(SUBSTITUTE(SUBSTITUTE("type:"&amp;B1269,"%","%25"),"~","%7E"),"*","%2A"),"?","%3F"),'Rules'!$G$7:$G$26,0)),""))</x:f>
      </x:c>
      <x:c r="I1269" s="6" t="str">
        <x:f>IF(AND(NOT(COUNTA(A1269:F1269)=0),K1269=""),ROUND(J1269-D1269,3),"")</x:f>
      </x:c>
      <x:c r="J1269" s="6" t="str">
        <x:f>IF(AND(NOT(COUNTA(A1269:F1269)=0),K1269=""),ROUND(F1269+L1269,3),"")</x:f>
      </x:c>
      <x:c r="K1269" s="5" t="str">
        <x:f>IF(COUNTA(A1269:F1269)=0,"",IF(A1269="","Missing equipment ID",IF(COUNTIFS($N$8:$N$2007,"="&amp;N1269)&gt;1,"Duplicate equipment ID",IF(B1269="","Missing type",IF(COUNTIFS('Rules'!$G$7:$G$26,"="&amp;(SUBSTITUTE(SUBSTITUTE(SUBSTITUTE(SUBSTITUTE("type:"&amp;B1269,"%","%25"),"~","%7E"),"*","%2A"),"?","%3F")))=0,"Unknown type",IF(COUNTIFS('Rules'!$G$7:$G$26,"="&amp;(SUBSTITUTE(SUBSTITUTE(SUBSTITUTE(SUBSTITUTE("type:"&amp;B1269,"%","%25"),"~","%7E"),"*","%2A"),"?","%3F")))&gt;1,"Duplicate type",IF(INDEX('Rules'!$F$7:$F$26,MATCH(SUBSTITUTE(SUBSTITUTE(SUBSTITUTE(SUBSTITUTE("type:"&amp;B1269,"%","%25"),"~","%7E"),"*","%2A"),"?","%3F"),'Rules'!$G$7:$G$26,0))&lt;&gt;"",INDEX('Rules'!$F$7:$F$26,MATCH(SUBSTITUTE(SUBSTITUTE(SUBSTITUTE(SUBSTITUTE("type:"&amp;B1269,"%","%25"),"~","%7E"),"*","%2A"),"?","%3F"),'Rules'!$G$7:$G$26,0)),IF(AND(C1269&lt;&gt;"",C1269&lt;&gt;INDEX('Rules'!$B$7:$B$26,MATCH(SUBSTITUTE(SUBSTITUTE(SUBSTITUTE(SUBSTITUTE("type:"&amp;B1269,"%","%25"),"~","%7E"),"*","%2A"),"?","%3F"),'Rules'!$G$7:$G$26,0))),"Unit mismatch",IF(IF(NOT(ISNUMBER(D1269)),TRUE,OR(D1269&lt;0,D1269&gt;999999999,ROUND(D1269,3)&lt;&gt;D1269)),"Invalid current reading",IF(AND(E1269&lt;&gt;"",IF(NOT(ISNUMBER(E1269)),TRUE,OR(E1269&lt;0,E1269&gt;999999999,ROUND(E1269,3)&lt;&gt;E1269))),"Invalid previous reading",IF(IF(NOT(ISNUMBER(F1269)),TRUE,OR(F1269&lt;0,F1269&gt;999999999,ROUND(F1269,3)&lt;&gt;F1269)),"Invalid last service",IF(AND(E1269&lt;&gt;"",D1269&lt;E1269),"Decreased reading",IF(F1269&gt;D1269,"Last service above current","")))))))))))))</x:f>
      </x:c>
      <x:c r="L1269" s="6" t="str">
        <x:f>IF(AND(NOT(COUNTA(A1269:F1269)=0),K1269=""),INDEX('Rules'!$C$7:$C$26,MATCH(SUBSTITUTE(SUBSTITUTE(SUBSTITUTE(SUBSTITUTE("type:"&amp;B1269,"%","%25"),"~","%7E"),"*","%2A"),"?","%3F"),'Rules'!$G$7:$G$26,0)),"")</x:f>
      </x:c>
      <x:c r="M1269" s="6" t="str">
        <x:f>IF(AND(NOT(COUNTA(A1269:F1269)=0),K1269=""),INDEX('Rules'!$D$7:$D$26,MATCH(SUBSTITUTE(SUBSTITUTE(SUBSTITUTE(SUBSTITUTE("type:"&amp;B1269,"%","%25"),"~","%7E"),"*","%2A"),"?","%3F"),'Rules'!$G$7:$G$26,0)),"")</x:f>
      </x:c>
      <x:c r="N1269" s="5" t="str">
        <x:f>IF(COUNTA(A1269:F1269)=0,"",SUBSTITUTE(SUBSTITUTE(SUBSTITUTE(SUBSTITUTE("id:"&amp;A1269,"%","%25"),"~","%7E"),"*","%2A"),"?","%3F"))</x:f>
      </x:c>
    </x:row>
    <x:row r="1270" ht="22" customHeight="1">
      <x:c r="A1270" s="3"/>
      <x:c r="B1270" s="3"/>
      <x:c r="C1270" s="3"/>
      <x:c r="D1270" s="4"/>
      <x:c r="E1270" s="4"/>
      <x:c r="F1270" s="4"/>
      <x:c r="G1270" s="5" t="str">
        <x:f>IF(COUNTA(A1270:F1270)=0,"",IF(K1270&lt;&gt;"","Review",IF(I1270&lt;0,"Overdue",IF(I1270=0,"Due now",IF(I1270&lt;=M1270,"Due soon","Not due")))))</x:f>
      </x:c>
      <x:c r="H1270" s="5" t="str">
        <x:f>IF(OR(COUNTA(A1270:F1270)=0,COUNTIFS('Rules'!$G$7:$G$26,"="&amp;(SUBSTITUTE(SUBSTITUTE(SUBSTITUTE(SUBSTITUTE("type:"&amp;B1270,"%","%25"),"~","%7E"),"*","%2A"),"?","%3F")))&lt;&gt;1),"",IF(OR(INDEX('Rules'!$B$7:$B$26,MATCH(SUBSTITUTE(SUBSTITUTE(SUBSTITUTE(SUBSTITUTE("type:"&amp;B1270,"%","%25"),"~","%7E"),"*","%2A"),"?","%3F"),'Rules'!$G$7:$G$26,0))="hours",INDEX('Rules'!$B$7:$B$26,MATCH(SUBSTITUTE(SUBSTITUTE(SUBSTITUTE(SUBSTITUTE("type:"&amp;B1270,"%","%25"),"~","%7E"),"*","%2A"),"?","%3F"),'Rules'!$G$7:$G$26,0))="km"),INDEX('Rules'!$B$7:$B$26,MATCH(SUBSTITUTE(SUBSTITUTE(SUBSTITUTE(SUBSTITUTE("type:"&amp;B1270,"%","%25"),"~","%7E"),"*","%2A"),"?","%3F"),'Rules'!$G$7:$G$26,0)),""))</x:f>
      </x:c>
      <x:c r="I1270" s="6" t="str">
        <x:f>IF(AND(NOT(COUNTA(A1270:F1270)=0),K1270=""),ROUND(J1270-D1270,3),"")</x:f>
      </x:c>
      <x:c r="J1270" s="6" t="str">
        <x:f>IF(AND(NOT(COUNTA(A1270:F1270)=0),K1270=""),ROUND(F1270+L1270,3),"")</x:f>
      </x:c>
      <x:c r="K1270" s="5" t="str">
        <x:f>IF(COUNTA(A1270:F1270)=0,"",IF(A1270="","Missing equipment ID",IF(COUNTIFS($N$8:$N$2007,"="&amp;N1270)&gt;1,"Duplicate equipment ID",IF(B1270="","Missing type",IF(COUNTIFS('Rules'!$G$7:$G$26,"="&amp;(SUBSTITUTE(SUBSTITUTE(SUBSTITUTE(SUBSTITUTE("type:"&amp;B1270,"%","%25"),"~","%7E"),"*","%2A"),"?","%3F")))=0,"Unknown type",IF(COUNTIFS('Rules'!$G$7:$G$26,"="&amp;(SUBSTITUTE(SUBSTITUTE(SUBSTITUTE(SUBSTITUTE("type:"&amp;B1270,"%","%25"),"~","%7E"),"*","%2A"),"?","%3F")))&gt;1,"Duplicate type",IF(INDEX('Rules'!$F$7:$F$26,MATCH(SUBSTITUTE(SUBSTITUTE(SUBSTITUTE(SUBSTITUTE("type:"&amp;B1270,"%","%25"),"~","%7E"),"*","%2A"),"?","%3F"),'Rules'!$G$7:$G$26,0))&lt;&gt;"",INDEX('Rules'!$F$7:$F$26,MATCH(SUBSTITUTE(SUBSTITUTE(SUBSTITUTE(SUBSTITUTE("type:"&amp;B1270,"%","%25"),"~","%7E"),"*","%2A"),"?","%3F"),'Rules'!$G$7:$G$26,0)),IF(AND(C1270&lt;&gt;"",C1270&lt;&gt;INDEX('Rules'!$B$7:$B$26,MATCH(SUBSTITUTE(SUBSTITUTE(SUBSTITUTE(SUBSTITUTE("type:"&amp;B1270,"%","%25"),"~","%7E"),"*","%2A"),"?","%3F"),'Rules'!$G$7:$G$26,0))),"Unit mismatch",IF(IF(NOT(ISNUMBER(D1270)),TRUE,OR(D1270&lt;0,D1270&gt;999999999,ROUND(D1270,3)&lt;&gt;D1270)),"Invalid current reading",IF(AND(E1270&lt;&gt;"",IF(NOT(ISNUMBER(E1270)),TRUE,OR(E1270&lt;0,E1270&gt;999999999,ROUND(E1270,3)&lt;&gt;E1270))),"Invalid previous reading",IF(IF(NOT(ISNUMBER(F1270)),TRUE,OR(F1270&lt;0,F1270&gt;999999999,ROUND(F1270,3)&lt;&gt;F1270)),"Invalid last service",IF(AND(E1270&lt;&gt;"",D1270&lt;E1270),"Decreased reading",IF(F1270&gt;D1270,"Last service above current","")))))))))))))</x:f>
      </x:c>
      <x:c r="L1270" s="6" t="str">
        <x:f>IF(AND(NOT(COUNTA(A1270:F1270)=0),K1270=""),INDEX('Rules'!$C$7:$C$26,MATCH(SUBSTITUTE(SUBSTITUTE(SUBSTITUTE(SUBSTITUTE("type:"&amp;B1270,"%","%25"),"~","%7E"),"*","%2A"),"?","%3F"),'Rules'!$G$7:$G$26,0)),"")</x:f>
      </x:c>
      <x:c r="M1270" s="6" t="str">
        <x:f>IF(AND(NOT(COUNTA(A1270:F1270)=0),K1270=""),INDEX('Rules'!$D$7:$D$26,MATCH(SUBSTITUTE(SUBSTITUTE(SUBSTITUTE(SUBSTITUTE("type:"&amp;B1270,"%","%25"),"~","%7E"),"*","%2A"),"?","%3F"),'Rules'!$G$7:$G$26,0)),"")</x:f>
      </x:c>
      <x:c r="N1270" s="5" t="str">
        <x:f>IF(COUNTA(A1270:F1270)=0,"",SUBSTITUTE(SUBSTITUTE(SUBSTITUTE(SUBSTITUTE("id:"&amp;A1270,"%","%25"),"~","%7E"),"*","%2A"),"?","%3F"))</x:f>
      </x:c>
    </x:row>
    <x:row r="1271" ht="22" customHeight="1">
      <x:c r="A1271" s="3"/>
      <x:c r="B1271" s="3"/>
      <x:c r="C1271" s="3"/>
      <x:c r="D1271" s="4"/>
      <x:c r="E1271" s="4"/>
      <x:c r="F1271" s="4"/>
      <x:c r="G1271" s="5" t="str">
        <x:f>IF(COUNTA(A1271:F1271)=0,"",IF(K1271&lt;&gt;"","Review",IF(I1271&lt;0,"Overdue",IF(I1271=0,"Due now",IF(I1271&lt;=M1271,"Due soon","Not due")))))</x:f>
      </x:c>
      <x:c r="H1271" s="5" t="str">
        <x:f>IF(OR(COUNTA(A1271:F1271)=0,COUNTIFS('Rules'!$G$7:$G$26,"="&amp;(SUBSTITUTE(SUBSTITUTE(SUBSTITUTE(SUBSTITUTE("type:"&amp;B1271,"%","%25"),"~","%7E"),"*","%2A"),"?","%3F")))&lt;&gt;1),"",IF(OR(INDEX('Rules'!$B$7:$B$26,MATCH(SUBSTITUTE(SUBSTITUTE(SUBSTITUTE(SUBSTITUTE("type:"&amp;B1271,"%","%25"),"~","%7E"),"*","%2A"),"?","%3F"),'Rules'!$G$7:$G$26,0))="hours",INDEX('Rules'!$B$7:$B$26,MATCH(SUBSTITUTE(SUBSTITUTE(SUBSTITUTE(SUBSTITUTE("type:"&amp;B1271,"%","%25"),"~","%7E"),"*","%2A"),"?","%3F"),'Rules'!$G$7:$G$26,0))="km"),INDEX('Rules'!$B$7:$B$26,MATCH(SUBSTITUTE(SUBSTITUTE(SUBSTITUTE(SUBSTITUTE("type:"&amp;B1271,"%","%25"),"~","%7E"),"*","%2A"),"?","%3F"),'Rules'!$G$7:$G$26,0)),""))</x:f>
      </x:c>
      <x:c r="I1271" s="6" t="str">
        <x:f>IF(AND(NOT(COUNTA(A1271:F1271)=0),K1271=""),ROUND(J1271-D1271,3),"")</x:f>
      </x:c>
      <x:c r="J1271" s="6" t="str">
        <x:f>IF(AND(NOT(COUNTA(A1271:F1271)=0),K1271=""),ROUND(F1271+L1271,3),"")</x:f>
      </x:c>
      <x:c r="K1271" s="5" t="str">
        <x:f>IF(COUNTA(A1271:F1271)=0,"",IF(A1271="","Missing equipment ID",IF(COUNTIFS($N$8:$N$2007,"="&amp;N1271)&gt;1,"Duplicate equipment ID",IF(B1271="","Missing type",IF(COUNTIFS('Rules'!$G$7:$G$26,"="&amp;(SUBSTITUTE(SUBSTITUTE(SUBSTITUTE(SUBSTITUTE("type:"&amp;B1271,"%","%25"),"~","%7E"),"*","%2A"),"?","%3F")))=0,"Unknown type",IF(COUNTIFS('Rules'!$G$7:$G$26,"="&amp;(SUBSTITUTE(SUBSTITUTE(SUBSTITUTE(SUBSTITUTE("type:"&amp;B1271,"%","%25"),"~","%7E"),"*","%2A"),"?","%3F")))&gt;1,"Duplicate type",IF(INDEX('Rules'!$F$7:$F$26,MATCH(SUBSTITUTE(SUBSTITUTE(SUBSTITUTE(SUBSTITUTE("type:"&amp;B1271,"%","%25"),"~","%7E"),"*","%2A"),"?","%3F"),'Rules'!$G$7:$G$26,0))&lt;&gt;"",INDEX('Rules'!$F$7:$F$26,MATCH(SUBSTITUTE(SUBSTITUTE(SUBSTITUTE(SUBSTITUTE("type:"&amp;B1271,"%","%25"),"~","%7E"),"*","%2A"),"?","%3F"),'Rules'!$G$7:$G$26,0)),IF(AND(C1271&lt;&gt;"",C1271&lt;&gt;INDEX('Rules'!$B$7:$B$26,MATCH(SUBSTITUTE(SUBSTITUTE(SUBSTITUTE(SUBSTITUTE("type:"&amp;B1271,"%","%25"),"~","%7E"),"*","%2A"),"?","%3F"),'Rules'!$G$7:$G$26,0))),"Unit mismatch",IF(IF(NOT(ISNUMBER(D1271)),TRUE,OR(D1271&lt;0,D1271&gt;999999999,ROUND(D1271,3)&lt;&gt;D1271)),"Invalid current reading",IF(AND(E1271&lt;&gt;"",IF(NOT(ISNUMBER(E1271)),TRUE,OR(E1271&lt;0,E1271&gt;999999999,ROUND(E1271,3)&lt;&gt;E1271))),"Invalid previous reading",IF(IF(NOT(ISNUMBER(F1271)),TRUE,OR(F1271&lt;0,F1271&gt;999999999,ROUND(F1271,3)&lt;&gt;F1271)),"Invalid last service",IF(AND(E1271&lt;&gt;"",D1271&lt;E1271),"Decreased reading",IF(F1271&gt;D1271,"Last service above current","")))))))))))))</x:f>
      </x:c>
      <x:c r="L1271" s="6" t="str">
        <x:f>IF(AND(NOT(COUNTA(A1271:F1271)=0),K1271=""),INDEX('Rules'!$C$7:$C$26,MATCH(SUBSTITUTE(SUBSTITUTE(SUBSTITUTE(SUBSTITUTE("type:"&amp;B1271,"%","%25"),"~","%7E"),"*","%2A"),"?","%3F"),'Rules'!$G$7:$G$26,0)),"")</x:f>
      </x:c>
      <x:c r="M1271" s="6" t="str">
        <x:f>IF(AND(NOT(COUNTA(A1271:F1271)=0),K1271=""),INDEX('Rules'!$D$7:$D$26,MATCH(SUBSTITUTE(SUBSTITUTE(SUBSTITUTE(SUBSTITUTE("type:"&amp;B1271,"%","%25"),"~","%7E"),"*","%2A"),"?","%3F"),'Rules'!$G$7:$G$26,0)),"")</x:f>
      </x:c>
      <x:c r="N1271" s="5" t="str">
        <x:f>IF(COUNTA(A1271:F1271)=0,"",SUBSTITUTE(SUBSTITUTE(SUBSTITUTE(SUBSTITUTE("id:"&amp;A1271,"%","%25"),"~","%7E"),"*","%2A"),"?","%3F"))</x:f>
      </x:c>
    </x:row>
    <x:row r="1272" ht="22" customHeight="1">
      <x:c r="A1272" s="3"/>
      <x:c r="B1272" s="3"/>
      <x:c r="C1272" s="3"/>
      <x:c r="D1272" s="4"/>
      <x:c r="E1272" s="4"/>
      <x:c r="F1272" s="4"/>
      <x:c r="G1272" s="5" t="str">
        <x:f>IF(COUNTA(A1272:F1272)=0,"",IF(K1272&lt;&gt;"","Review",IF(I1272&lt;0,"Overdue",IF(I1272=0,"Due now",IF(I1272&lt;=M1272,"Due soon","Not due")))))</x:f>
      </x:c>
      <x:c r="H1272" s="5" t="str">
        <x:f>IF(OR(COUNTA(A1272:F1272)=0,COUNTIFS('Rules'!$G$7:$G$26,"="&amp;(SUBSTITUTE(SUBSTITUTE(SUBSTITUTE(SUBSTITUTE("type:"&amp;B1272,"%","%25"),"~","%7E"),"*","%2A"),"?","%3F")))&lt;&gt;1),"",IF(OR(INDEX('Rules'!$B$7:$B$26,MATCH(SUBSTITUTE(SUBSTITUTE(SUBSTITUTE(SUBSTITUTE("type:"&amp;B1272,"%","%25"),"~","%7E"),"*","%2A"),"?","%3F"),'Rules'!$G$7:$G$26,0))="hours",INDEX('Rules'!$B$7:$B$26,MATCH(SUBSTITUTE(SUBSTITUTE(SUBSTITUTE(SUBSTITUTE("type:"&amp;B1272,"%","%25"),"~","%7E"),"*","%2A"),"?","%3F"),'Rules'!$G$7:$G$26,0))="km"),INDEX('Rules'!$B$7:$B$26,MATCH(SUBSTITUTE(SUBSTITUTE(SUBSTITUTE(SUBSTITUTE("type:"&amp;B1272,"%","%25"),"~","%7E"),"*","%2A"),"?","%3F"),'Rules'!$G$7:$G$26,0)),""))</x:f>
      </x:c>
      <x:c r="I1272" s="6" t="str">
        <x:f>IF(AND(NOT(COUNTA(A1272:F1272)=0),K1272=""),ROUND(J1272-D1272,3),"")</x:f>
      </x:c>
      <x:c r="J1272" s="6" t="str">
        <x:f>IF(AND(NOT(COUNTA(A1272:F1272)=0),K1272=""),ROUND(F1272+L1272,3),"")</x:f>
      </x:c>
      <x:c r="K1272" s="5" t="str">
        <x:f>IF(COUNTA(A1272:F1272)=0,"",IF(A1272="","Missing equipment ID",IF(COUNTIFS($N$8:$N$2007,"="&amp;N1272)&gt;1,"Duplicate equipment ID",IF(B1272="","Missing type",IF(COUNTIFS('Rules'!$G$7:$G$26,"="&amp;(SUBSTITUTE(SUBSTITUTE(SUBSTITUTE(SUBSTITUTE("type:"&amp;B1272,"%","%25"),"~","%7E"),"*","%2A"),"?","%3F")))=0,"Unknown type",IF(COUNTIFS('Rules'!$G$7:$G$26,"="&amp;(SUBSTITUTE(SUBSTITUTE(SUBSTITUTE(SUBSTITUTE("type:"&amp;B1272,"%","%25"),"~","%7E"),"*","%2A"),"?","%3F")))&gt;1,"Duplicate type",IF(INDEX('Rules'!$F$7:$F$26,MATCH(SUBSTITUTE(SUBSTITUTE(SUBSTITUTE(SUBSTITUTE("type:"&amp;B1272,"%","%25"),"~","%7E"),"*","%2A"),"?","%3F"),'Rules'!$G$7:$G$26,0))&lt;&gt;"",INDEX('Rules'!$F$7:$F$26,MATCH(SUBSTITUTE(SUBSTITUTE(SUBSTITUTE(SUBSTITUTE("type:"&amp;B1272,"%","%25"),"~","%7E"),"*","%2A"),"?","%3F"),'Rules'!$G$7:$G$26,0)),IF(AND(C1272&lt;&gt;"",C1272&lt;&gt;INDEX('Rules'!$B$7:$B$26,MATCH(SUBSTITUTE(SUBSTITUTE(SUBSTITUTE(SUBSTITUTE("type:"&amp;B1272,"%","%25"),"~","%7E"),"*","%2A"),"?","%3F"),'Rules'!$G$7:$G$26,0))),"Unit mismatch",IF(IF(NOT(ISNUMBER(D1272)),TRUE,OR(D1272&lt;0,D1272&gt;999999999,ROUND(D1272,3)&lt;&gt;D1272)),"Invalid current reading",IF(AND(E1272&lt;&gt;"",IF(NOT(ISNUMBER(E1272)),TRUE,OR(E1272&lt;0,E1272&gt;999999999,ROUND(E1272,3)&lt;&gt;E1272))),"Invalid previous reading",IF(IF(NOT(ISNUMBER(F1272)),TRUE,OR(F1272&lt;0,F1272&gt;999999999,ROUND(F1272,3)&lt;&gt;F1272)),"Invalid last service",IF(AND(E1272&lt;&gt;"",D1272&lt;E1272),"Decreased reading",IF(F1272&gt;D1272,"Last service above current","")))))))))))))</x:f>
      </x:c>
      <x:c r="L1272" s="6" t="str">
        <x:f>IF(AND(NOT(COUNTA(A1272:F1272)=0),K1272=""),INDEX('Rules'!$C$7:$C$26,MATCH(SUBSTITUTE(SUBSTITUTE(SUBSTITUTE(SUBSTITUTE("type:"&amp;B1272,"%","%25"),"~","%7E"),"*","%2A"),"?","%3F"),'Rules'!$G$7:$G$26,0)),"")</x:f>
      </x:c>
      <x:c r="M1272" s="6" t="str">
        <x:f>IF(AND(NOT(COUNTA(A1272:F1272)=0),K1272=""),INDEX('Rules'!$D$7:$D$26,MATCH(SUBSTITUTE(SUBSTITUTE(SUBSTITUTE(SUBSTITUTE("type:"&amp;B1272,"%","%25"),"~","%7E"),"*","%2A"),"?","%3F"),'Rules'!$G$7:$G$26,0)),"")</x:f>
      </x:c>
      <x:c r="N1272" s="5" t="str">
        <x:f>IF(COUNTA(A1272:F1272)=0,"",SUBSTITUTE(SUBSTITUTE(SUBSTITUTE(SUBSTITUTE("id:"&amp;A1272,"%","%25"),"~","%7E"),"*","%2A"),"?","%3F"))</x:f>
      </x:c>
    </x:row>
    <x:row r="1273" ht="22" customHeight="1">
      <x:c r="A1273" s="3"/>
      <x:c r="B1273" s="3"/>
      <x:c r="C1273" s="3"/>
      <x:c r="D1273" s="4"/>
      <x:c r="E1273" s="4"/>
      <x:c r="F1273" s="4"/>
      <x:c r="G1273" s="5" t="str">
        <x:f>IF(COUNTA(A1273:F1273)=0,"",IF(K1273&lt;&gt;"","Review",IF(I1273&lt;0,"Overdue",IF(I1273=0,"Due now",IF(I1273&lt;=M1273,"Due soon","Not due")))))</x:f>
      </x:c>
      <x:c r="H1273" s="5" t="str">
        <x:f>IF(OR(COUNTA(A1273:F1273)=0,COUNTIFS('Rules'!$G$7:$G$26,"="&amp;(SUBSTITUTE(SUBSTITUTE(SUBSTITUTE(SUBSTITUTE("type:"&amp;B1273,"%","%25"),"~","%7E"),"*","%2A"),"?","%3F")))&lt;&gt;1),"",IF(OR(INDEX('Rules'!$B$7:$B$26,MATCH(SUBSTITUTE(SUBSTITUTE(SUBSTITUTE(SUBSTITUTE("type:"&amp;B1273,"%","%25"),"~","%7E"),"*","%2A"),"?","%3F"),'Rules'!$G$7:$G$26,0))="hours",INDEX('Rules'!$B$7:$B$26,MATCH(SUBSTITUTE(SUBSTITUTE(SUBSTITUTE(SUBSTITUTE("type:"&amp;B1273,"%","%25"),"~","%7E"),"*","%2A"),"?","%3F"),'Rules'!$G$7:$G$26,0))="km"),INDEX('Rules'!$B$7:$B$26,MATCH(SUBSTITUTE(SUBSTITUTE(SUBSTITUTE(SUBSTITUTE("type:"&amp;B1273,"%","%25"),"~","%7E"),"*","%2A"),"?","%3F"),'Rules'!$G$7:$G$26,0)),""))</x:f>
      </x:c>
      <x:c r="I1273" s="6" t="str">
        <x:f>IF(AND(NOT(COUNTA(A1273:F1273)=0),K1273=""),ROUND(J1273-D1273,3),"")</x:f>
      </x:c>
      <x:c r="J1273" s="6" t="str">
        <x:f>IF(AND(NOT(COUNTA(A1273:F1273)=0),K1273=""),ROUND(F1273+L1273,3),"")</x:f>
      </x:c>
      <x:c r="K1273" s="5" t="str">
        <x:f>IF(COUNTA(A1273:F1273)=0,"",IF(A1273="","Missing equipment ID",IF(COUNTIFS($N$8:$N$2007,"="&amp;N1273)&gt;1,"Duplicate equipment ID",IF(B1273="","Missing type",IF(COUNTIFS('Rules'!$G$7:$G$26,"="&amp;(SUBSTITUTE(SUBSTITUTE(SUBSTITUTE(SUBSTITUTE("type:"&amp;B1273,"%","%25"),"~","%7E"),"*","%2A"),"?","%3F")))=0,"Unknown type",IF(COUNTIFS('Rules'!$G$7:$G$26,"="&amp;(SUBSTITUTE(SUBSTITUTE(SUBSTITUTE(SUBSTITUTE("type:"&amp;B1273,"%","%25"),"~","%7E"),"*","%2A"),"?","%3F")))&gt;1,"Duplicate type",IF(INDEX('Rules'!$F$7:$F$26,MATCH(SUBSTITUTE(SUBSTITUTE(SUBSTITUTE(SUBSTITUTE("type:"&amp;B1273,"%","%25"),"~","%7E"),"*","%2A"),"?","%3F"),'Rules'!$G$7:$G$26,0))&lt;&gt;"",INDEX('Rules'!$F$7:$F$26,MATCH(SUBSTITUTE(SUBSTITUTE(SUBSTITUTE(SUBSTITUTE("type:"&amp;B1273,"%","%25"),"~","%7E"),"*","%2A"),"?","%3F"),'Rules'!$G$7:$G$26,0)),IF(AND(C1273&lt;&gt;"",C1273&lt;&gt;INDEX('Rules'!$B$7:$B$26,MATCH(SUBSTITUTE(SUBSTITUTE(SUBSTITUTE(SUBSTITUTE("type:"&amp;B1273,"%","%25"),"~","%7E"),"*","%2A"),"?","%3F"),'Rules'!$G$7:$G$26,0))),"Unit mismatch",IF(IF(NOT(ISNUMBER(D1273)),TRUE,OR(D1273&lt;0,D1273&gt;999999999,ROUND(D1273,3)&lt;&gt;D1273)),"Invalid current reading",IF(AND(E1273&lt;&gt;"",IF(NOT(ISNUMBER(E1273)),TRUE,OR(E1273&lt;0,E1273&gt;999999999,ROUND(E1273,3)&lt;&gt;E1273))),"Invalid previous reading",IF(IF(NOT(ISNUMBER(F1273)),TRUE,OR(F1273&lt;0,F1273&gt;999999999,ROUND(F1273,3)&lt;&gt;F1273)),"Invalid last service",IF(AND(E1273&lt;&gt;"",D1273&lt;E1273),"Decreased reading",IF(F1273&gt;D1273,"Last service above current","")))))))))))))</x:f>
      </x:c>
      <x:c r="L1273" s="6" t="str">
        <x:f>IF(AND(NOT(COUNTA(A1273:F1273)=0),K1273=""),INDEX('Rules'!$C$7:$C$26,MATCH(SUBSTITUTE(SUBSTITUTE(SUBSTITUTE(SUBSTITUTE("type:"&amp;B1273,"%","%25"),"~","%7E"),"*","%2A"),"?","%3F"),'Rules'!$G$7:$G$26,0)),"")</x:f>
      </x:c>
      <x:c r="M1273" s="6" t="str">
        <x:f>IF(AND(NOT(COUNTA(A1273:F1273)=0),K1273=""),INDEX('Rules'!$D$7:$D$26,MATCH(SUBSTITUTE(SUBSTITUTE(SUBSTITUTE(SUBSTITUTE("type:"&amp;B1273,"%","%25"),"~","%7E"),"*","%2A"),"?","%3F"),'Rules'!$G$7:$G$26,0)),"")</x:f>
      </x:c>
      <x:c r="N1273" s="5" t="str">
        <x:f>IF(COUNTA(A1273:F1273)=0,"",SUBSTITUTE(SUBSTITUTE(SUBSTITUTE(SUBSTITUTE("id:"&amp;A1273,"%","%25"),"~","%7E"),"*","%2A"),"?","%3F"))</x:f>
      </x:c>
    </x:row>
    <x:row r="1274" ht="22" customHeight="1">
      <x:c r="A1274" s="3"/>
      <x:c r="B1274" s="3"/>
      <x:c r="C1274" s="3"/>
      <x:c r="D1274" s="4"/>
      <x:c r="E1274" s="4"/>
      <x:c r="F1274" s="4"/>
      <x:c r="G1274" s="5" t="str">
        <x:f>IF(COUNTA(A1274:F1274)=0,"",IF(K1274&lt;&gt;"","Review",IF(I1274&lt;0,"Overdue",IF(I1274=0,"Due now",IF(I1274&lt;=M1274,"Due soon","Not due")))))</x:f>
      </x:c>
      <x:c r="H1274" s="5" t="str">
        <x:f>IF(OR(COUNTA(A1274:F1274)=0,COUNTIFS('Rules'!$G$7:$G$26,"="&amp;(SUBSTITUTE(SUBSTITUTE(SUBSTITUTE(SUBSTITUTE("type:"&amp;B1274,"%","%25"),"~","%7E"),"*","%2A"),"?","%3F")))&lt;&gt;1),"",IF(OR(INDEX('Rules'!$B$7:$B$26,MATCH(SUBSTITUTE(SUBSTITUTE(SUBSTITUTE(SUBSTITUTE("type:"&amp;B1274,"%","%25"),"~","%7E"),"*","%2A"),"?","%3F"),'Rules'!$G$7:$G$26,0))="hours",INDEX('Rules'!$B$7:$B$26,MATCH(SUBSTITUTE(SUBSTITUTE(SUBSTITUTE(SUBSTITUTE("type:"&amp;B1274,"%","%25"),"~","%7E"),"*","%2A"),"?","%3F"),'Rules'!$G$7:$G$26,0))="km"),INDEX('Rules'!$B$7:$B$26,MATCH(SUBSTITUTE(SUBSTITUTE(SUBSTITUTE(SUBSTITUTE("type:"&amp;B1274,"%","%25"),"~","%7E"),"*","%2A"),"?","%3F"),'Rules'!$G$7:$G$26,0)),""))</x:f>
      </x:c>
      <x:c r="I1274" s="6" t="str">
        <x:f>IF(AND(NOT(COUNTA(A1274:F1274)=0),K1274=""),ROUND(J1274-D1274,3),"")</x:f>
      </x:c>
      <x:c r="J1274" s="6" t="str">
        <x:f>IF(AND(NOT(COUNTA(A1274:F1274)=0),K1274=""),ROUND(F1274+L1274,3),"")</x:f>
      </x:c>
      <x:c r="K1274" s="5" t="str">
        <x:f>IF(COUNTA(A1274:F1274)=0,"",IF(A1274="","Missing equipment ID",IF(COUNTIFS($N$8:$N$2007,"="&amp;N1274)&gt;1,"Duplicate equipment ID",IF(B1274="","Missing type",IF(COUNTIFS('Rules'!$G$7:$G$26,"="&amp;(SUBSTITUTE(SUBSTITUTE(SUBSTITUTE(SUBSTITUTE("type:"&amp;B1274,"%","%25"),"~","%7E"),"*","%2A"),"?","%3F")))=0,"Unknown type",IF(COUNTIFS('Rules'!$G$7:$G$26,"="&amp;(SUBSTITUTE(SUBSTITUTE(SUBSTITUTE(SUBSTITUTE("type:"&amp;B1274,"%","%25"),"~","%7E"),"*","%2A"),"?","%3F")))&gt;1,"Duplicate type",IF(INDEX('Rules'!$F$7:$F$26,MATCH(SUBSTITUTE(SUBSTITUTE(SUBSTITUTE(SUBSTITUTE("type:"&amp;B1274,"%","%25"),"~","%7E"),"*","%2A"),"?","%3F"),'Rules'!$G$7:$G$26,0))&lt;&gt;"",INDEX('Rules'!$F$7:$F$26,MATCH(SUBSTITUTE(SUBSTITUTE(SUBSTITUTE(SUBSTITUTE("type:"&amp;B1274,"%","%25"),"~","%7E"),"*","%2A"),"?","%3F"),'Rules'!$G$7:$G$26,0)),IF(AND(C1274&lt;&gt;"",C1274&lt;&gt;INDEX('Rules'!$B$7:$B$26,MATCH(SUBSTITUTE(SUBSTITUTE(SUBSTITUTE(SUBSTITUTE("type:"&amp;B1274,"%","%25"),"~","%7E"),"*","%2A"),"?","%3F"),'Rules'!$G$7:$G$26,0))),"Unit mismatch",IF(IF(NOT(ISNUMBER(D1274)),TRUE,OR(D1274&lt;0,D1274&gt;999999999,ROUND(D1274,3)&lt;&gt;D1274)),"Invalid current reading",IF(AND(E1274&lt;&gt;"",IF(NOT(ISNUMBER(E1274)),TRUE,OR(E1274&lt;0,E1274&gt;999999999,ROUND(E1274,3)&lt;&gt;E1274))),"Invalid previous reading",IF(IF(NOT(ISNUMBER(F1274)),TRUE,OR(F1274&lt;0,F1274&gt;999999999,ROUND(F1274,3)&lt;&gt;F1274)),"Invalid last service",IF(AND(E1274&lt;&gt;"",D1274&lt;E1274),"Decreased reading",IF(F1274&gt;D1274,"Last service above current","")))))))))))))</x:f>
      </x:c>
      <x:c r="L1274" s="6" t="str">
        <x:f>IF(AND(NOT(COUNTA(A1274:F1274)=0),K1274=""),INDEX('Rules'!$C$7:$C$26,MATCH(SUBSTITUTE(SUBSTITUTE(SUBSTITUTE(SUBSTITUTE("type:"&amp;B1274,"%","%25"),"~","%7E"),"*","%2A"),"?","%3F"),'Rules'!$G$7:$G$26,0)),"")</x:f>
      </x:c>
      <x:c r="M1274" s="6" t="str">
        <x:f>IF(AND(NOT(COUNTA(A1274:F1274)=0),K1274=""),INDEX('Rules'!$D$7:$D$26,MATCH(SUBSTITUTE(SUBSTITUTE(SUBSTITUTE(SUBSTITUTE("type:"&amp;B1274,"%","%25"),"~","%7E"),"*","%2A"),"?","%3F"),'Rules'!$G$7:$G$26,0)),"")</x:f>
      </x:c>
      <x:c r="N1274" s="5" t="str">
        <x:f>IF(COUNTA(A1274:F1274)=0,"",SUBSTITUTE(SUBSTITUTE(SUBSTITUTE(SUBSTITUTE("id:"&amp;A1274,"%","%25"),"~","%7E"),"*","%2A"),"?","%3F"))</x:f>
      </x:c>
    </x:row>
    <x:row r="1275" ht="22" customHeight="1">
      <x:c r="A1275" s="3"/>
      <x:c r="B1275" s="3"/>
      <x:c r="C1275" s="3"/>
      <x:c r="D1275" s="4"/>
      <x:c r="E1275" s="4"/>
      <x:c r="F1275" s="4"/>
      <x:c r="G1275" s="5" t="str">
        <x:f>IF(COUNTA(A1275:F1275)=0,"",IF(K1275&lt;&gt;"","Review",IF(I1275&lt;0,"Overdue",IF(I1275=0,"Due now",IF(I1275&lt;=M1275,"Due soon","Not due")))))</x:f>
      </x:c>
      <x:c r="H1275" s="5" t="str">
        <x:f>IF(OR(COUNTA(A1275:F1275)=0,COUNTIFS('Rules'!$G$7:$G$26,"="&amp;(SUBSTITUTE(SUBSTITUTE(SUBSTITUTE(SUBSTITUTE("type:"&amp;B1275,"%","%25"),"~","%7E"),"*","%2A"),"?","%3F")))&lt;&gt;1),"",IF(OR(INDEX('Rules'!$B$7:$B$26,MATCH(SUBSTITUTE(SUBSTITUTE(SUBSTITUTE(SUBSTITUTE("type:"&amp;B1275,"%","%25"),"~","%7E"),"*","%2A"),"?","%3F"),'Rules'!$G$7:$G$26,0))="hours",INDEX('Rules'!$B$7:$B$26,MATCH(SUBSTITUTE(SUBSTITUTE(SUBSTITUTE(SUBSTITUTE("type:"&amp;B1275,"%","%25"),"~","%7E"),"*","%2A"),"?","%3F"),'Rules'!$G$7:$G$26,0))="km"),INDEX('Rules'!$B$7:$B$26,MATCH(SUBSTITUTE(SUBSTITUTE(SUBSTITUTE(SUBSTITUTE("type:"&amp;B1275,"%","%25"),"~","%7E"),"*","%2A"),"?","%3F"),'Rules'!$G$7:$G$26,0)),""))</x:f>
      </x:c>
      <x:c r="I1275" s="6" t="str">
        <x:f>IF(AND(NOT(COUNTA(A1275:F1275)=0),K1275=""),ROUND(J1275-D1275,3),"")</x:f>
      </x:c>
      <x:c r="J1275" s="6" t="str">
        <x:f>IF(AND(NOT(COUNTA(A1275:F1275)=0),K1275=""),ROUND(F1275+L1275,3),"")</x:f>
      </x:c>
      <x:c r="K1275" s="5" t="str">
        <x:f>IF(COUNTA(A1275:F1275)=0,"",IF(A1275="","Missing equipment ID",IF(COUNTIFS($N$8:$N$2007,"="&amp;N1275)&gt;1,"Duplicate equipment ID",IF(B1275="","Missing type",IF(COUNTIFS('Rules'!$G$7:$G$26,"="&amp;(SUBSTITUTE(SUBSTITUTE(SUBSTITUTE(SUBSTITUTE("type:"&amp;B1275,"%","%25"),"~","%7E"),"*","%2A"),"?","%3F")))=0,"Unknown type",IF(COUNTIFS('Rules'!$G$7:$G$26,"="&amp;(SUBSTITUTE(SUBSTITUTE(SUBSTITUTE(SUBSTITUTE("type:"&amp;B1275,"%","%25"),"~","%7E"),"*","%2A"),"?","%3F")))&gt;1,"Duplicate type",IF(INDEX('Rules'!$F$7:$F$26,MATCH(SUBSTITUTE(SUBSTITUTE(SUBSTITUTE(SUBSTITUTE("type:"&amp;B1275,"%","%25"),"~","%7E"),"*","%2A"),"?","%3F"),'Rules'!$G$7:$G$26,0))&lt;&gt;"",INDEX('Rules'!$F$7:$F$26,MATCH(SUBSTITUTE(SUBSTITUTE(SUBSTITUTE(SUBSTITUTE("type:"&amp;B1275,"%","%25"),"~","%7E"),"*","%2A"),"?","%3F"),'Rules'!$G$7:$G$26,0)),IF(AND(C1275&lt;&gt;"",C1275&lt;&gt;INDEX('Rules'!$B$7:$B$26,MATCH(SUBSTITUTE(SUBSTITUTE(SUBSTITUTE(SUBSTITUTE("type:"&amp;B1275,"%","%25"),"~","%7E"),"*","%2A"),"?","%3F"),'Rules'!$G$7:$G$26,0))),"Unit mismatch",IF(IF(NOT(ISNUMBER(D1275)),TRUE,OR(D1275&lt;0,D1275&gt;999999999,ROUND(D1275,3)&lt;&gt;D1275)),"Invalid current reading",IF(AND(E1275&lt;&gt;"",IF(NOT(ISNUMBER(E1275)),TRUE,OR(E1275&lt;0,E1275&gt;999999999,ROUND(E1275,3)&lt;&gt;E1275))),"Invalid previous reading",IF(IF(NOT(ISNUMBER(F1275)),TRUE,OR(F1275&lt;0,F1275&gt;999999999,ROUND(F1275,3)&lt;&gt;F1275)),"Invalid last service",IF(AND(E1275&lt;&gt;"",D1275&lt;E1275),"Decreased reading",IF(F1275&gt;D1275,"Last service above current","")))))))))))))</x:f>
      </x:c>
      <x:c r="L1275" s="6" t="str">
        <x:f>IF(AND(NOT(COUNTA(A1275:F1275)=0),K1275=""),INDEX('Rules'!$C$7:$C$26,MATCH(SUBSTITUTE(SUBSTITUTE(SUBSTITUTE(SUBSTITUTE("type:"&amp;B1275,"%","%25"),"~","%7E"),"*","%2A"),"?","%3F"),'Rules'!$G$7:$G$26,0)),"")</x:f>
      </x:c>
      <x:c r="M1275" s="6" t="str">
        <x:f>IF(AND(NOT(COUNTA(A1275:F1275)=0),K1275=""),INDEX('Rules'!$D$7:$D$26,MATCH(SUBSTITUTE(SUBSTITUTE(SUBSTITUTE(SUBSTITUTE("type:"&amp;B1275,"%","%25"),"~","%7E"),"*","%2A"),"?","%3F"),'Rules'!$G$7:$G$26,0)),"")</x:f>
      </x:c>
      <x:c r="N1275" s="5" t="str">
        <x:f>IF(COUNTA(A1275:F1275)=0,"",SUBSTITUTE(SUBSTITUTE(SUBSTITUTE(SUBSTITUTE("id:"&amp;A1275,"%","%25"),"~","%7E"),"*","%2A"),"?","%3F"))</x:f>
      </x:c>
    </x:row>
    <x:row r="1276" ht="22" customHeight="1">
      <x:c r="A1276" s="3"/>
      <x:c r="B1276" s="3"/>
      <x:c r="C1276" s="3"/>
      <x:c r="D1276" s="4"/>
      <x:c r="E1276" s="4"/>
      <x:c r="F1276" s="4"/>
      <x:c r="G1276" s="5" t="str">
        <x:f>IF(COUNTA(A1276:F1276)=0,"",IF(K1276&lt;&gt;"","Review",IF(I1276&lt;0,"Overdue",IF(I1276=0,"Due now",IF(I1276&lt;=M1276,"Due soon","Not due")))))</x:f>
      </x:c>
      <x:c r="H1276" s="5" t="str">
        <x:f>IF(OR(COUNTA(A1276:F1276)=0,COUNTIFS('Rules'!$G$7:$G$26,"="&amp;(SUBSTITUTE(SUBSTITUTE(SUBSTITUTE(SUBSTITUTE("type:"&amp;B1276,"%","%25"),"~","%7E"),"*","%2A"),"?","%3F")))&lt;&gt;1),"",IF(OR(INDEX('Rules'!$B$7:$B$26,MATCH(SUBSTITUTE(SUBSTITUTE(SUBSTITUTE(SUBSTITUTE("type:"&amp;B1276,"%","%25"),"~","%7E"),"*","%2A"),"?","%3F"),'Rules'!$G$7:$G$26,0))="hours",INDEX('Rules'!$B$7:$B$26,MATCH(SUBSTITUTE(SUBSTITUTE(SUBSTITUTE(SUBSTITUTE("type:"&amp;B1276,"%","%25"),"~","%7E"),"*","%2A"),"?","%3F"),'Rules'!$G$7:$G$26,0))="km"),INDEX('Rules'!$B$7:$B$26,MATCH(SUBSTITUTE(SUBSTITUTE(SUBSTITUTE(SUBSTITUTE("type:"&amp;B1276,"%","%25"),"~","%7E"),"*","%2A"),"?","%3F"),'Rules'!$G$7:$G$26,0)),""))</x:f>
      </x:c>
      <x:c r="I1276" s="6" t="str">
        <x:f>IF(AND(NOT(COUNTA(A1276:F1276)=0),K1276=""),ROUND(J1276-D1276,3),"")</x:f>
      </x:c>
      <x:c r="J1276" s="6" t="str">
        <x:f>IF(AND(NOT(COUNTA(A1276:F1276)=0),K1276=""),ROUND(F1276+L1276,3),"")</x:f>
      </x:c>
      <x:c r="K1276" s="5" t="str">
        <x:f>IF(COUNTA(A1276:F1276)=0,"",IF(A1276="","Missing equipment ID",IF(COUNTIFS($N$8:$N$2007,"="&amp;N1276)&gt;1,"Duplicate equipment ID",IF(B1276="","Missing type",IF(COUNTIFS('Rules'!$G$7:$G$26,"="&amp;(SUBSTITUTE(SUBSTITUTE(SUBSTITUTE(SUBSTITUTE("type:"&amp;B1276,"%","%25"),"~","%7E"),"*","%2A"),"?","%3F")))=0,"Unknown type",IF(COUNTIFS('Rules'!$G$7:$G$26,"="&amp;(SUBSTITUTE(SUBSTITUTE(SUBSTITUTE(SUBSTITUTE("type:"&amp;B1276,"%","%25"),"~","%7E"),"*","%2A"),"?","%3F")))&gt;1,"Duplicate type",IF(INDEX('Rules'!$F$7:$F$26,MATCH(SUBSTITUTE(SUBSTITUTE(SUBSTITUTE(SUBSTITUTE("type:"&amp;B1276,"%","%25"),"~","%7E"),"*","%2A"),"?","%3F"),'Rules'!$G$7:$G$26,0))&lt;&gt;"",INDEX('Rules'!$F$7:$F$26,MATCH(SUBSTITUTE(SUBSTITUTE(SUBSTITUTE(SUBSTITUTE("type:"&amp;B1276,"%","%25"),"~","%7E"),"*","%2A"),"?","%3F"),'Rules'!$G$7:$G$26,0)),IF(AND(C1276&lt;&gt;"",C1276&lt;&gt;INDEX('Rules'!$B$7:$B$26,MATCH(SUBSTITUTE(SUBSTITUTE(SUBSTITUTE(SUBSTITUTE("type:"&amp;B1276,"%","%25"),"~","%7E"),"*","%2A"),"?","%3F"),'Rules'!$G$7:$G$26,0))),"Unit mismatch",IF(IF(NOT(ISNUMBER(D1276)),TRUE,OR(D1276&lt;0,D1276&gt;999999999,ROUND(D1276,3)&lt;&gt;D1276)),"Invalid current reading",IF(AND(E1276&lt;&gt;"",IF(NOT(ISNUMBER(E1276)),TRUE,OR(E1276&lt;0,E1276&gt;999999999,ROUND(E1276,3)&lt;&gt;E1276))),"Invalid previous reading",IF(IF(NOT(ISNUMBER(F1276)),TRUE,OR(F1276&lt;0,F1276&gt;999999999,ROUND(F1276,3)&lt;&gt;F1276)),"Invalid last service",IF(AND(E1276&lt;&gt;"",D1276&lt;E1276),"Decreased reading",IF(F1276&gt;D1276,"Last service above current","")))))))))))))</x:f>
      </x:c>
      <x:c r="L1276" s="6" t="str">
        <x:f>IF(AND(NOT(COUNTA(A1276:F1276)=0),K1276=""),INDEX('Rules'!$C$7:$C$26,MATCH(SUBSTITUTE(SUBSTITUTE(SUBSTITUTE(SUBSTITUTE("type:"&amp;B1276,"%","%25"),"~","%7E"),"*","%2A"),"?","%3F"),'Rules'!$G$7:$G$26,0)),"")</x:f>
      </x:c>
      <x:c r="M1276" s="6" t="str">
        <x:f>IF(AND(NOT(COUNTA(A1276:F1276)=0),K1276=""),INDEX('Rules'!$D$7:$D$26,MATCH(SUBSTITUTE(SUBSTITUTE(SUBSTITUTE(SUBSTITUTE("type:"&amp;B1276,"%","%25"),"~","%7E"),"*","%2A"),"?","%3F"),'Rules'!$G$7:$G$26,0)),"")</x:f>
      </x:c>
      <x:c r="N1276" s="5" t="str">
        <x:f>IF(COUNTA(A1276:F1276)=0,"",SUBSTITUTE(SUBSTITUTE(SUBSTITUTE(SUBSTITUTE("id:"&amp;A1276,"%","%25"),"~","%7E"),"*","%2A"),"?","%3F"))</x:f>
      </x:c>
    </x:row>
    <x:row r="1277" ht="22" customHeight="1">
      <x:c r="A1277" s="3"/>
      <x:c r="B1277" s="3"/>
      <x:c r="C1277" s="3"/>
      <x:c r="D1277" s="4"/>
      <x:c r="E1277" s="4"/>
      <x:c r="F1277" s="4"/>
      <x:c r="G1277" s="5" t="str">
        <x:f>IF(COUNTA(A1277:F1277)=0,"",IF(K1277&lt;&gt;"","Review",IF(I1277&lt;0,"Overdue",IF(I1277=0,"Due now",IF(I1277&lt;=M1277,"Due soon","Not due")))))</x:f>
      </x:c>
      <x:c r="H1277" s="5" t="str">
        <x:f>IF(OR(COUNTA(A1277:F1277)=0,COUNTIFS('Rules'!$G$7:$G$26,"="&amp;(SUBSTITUTE(SUBSTITUTE(SUBSTITUTE(SUBSTITUTE("type:"&amp;B1277,"%","%25"),"~","%7E"),"*","%2A"),"?","%3F")))&lt;&gt;1),"",IF(OR(INDEX('Rules'!$B$7:$B$26,MATCH(SUBSTITUTE(SUBSTITUTE(SUBSTITUTE(SUBSTITUTE("type:"&amp;B1277,"%","%25"),"~","%7E"),"*","%2A"),"?","%3F"),'Rules'!$G$7:$G$26,0))="hours",INDEX('Rules'!$B$7:$B$26,MATCH(SUBSTITUTE(SUBSTITUTE(SUBSTITUTE(SUBSTITUTE("type:"&amp;B1277,"%","%25"),"~","%7E"),"*","%2A"),"?","%3F"),'Rules'!$G$7:$G$26,0))="km"),INDEX('Rules'!$B$7:$B$26,MATCH(SUBSTITUTE(SUBSTITUTE(SUBSTITUTE(SUBSTITUTE("type:"&amp;B1277,"%","%25"),"~","%7E"),"*","%2A"),"?","%3F"),'Rules'!$G$7:$G$26,0)),""))</x:f>
      </x:c>
      <x:c r="I1277" s="6" t="str">
        <x:f>IF(AND(NOT(COUNTA(A1277:F1277)=0),K1277=""),ROUND(J1277-D1277,3),"")</x:f>
      </x:c>
      <x:c r="J1277" s="6" t="str">
        <x:f>IF(AND(NOT(COUNTA(A1277:F1277)=0),K1277=""),ROUND(F1277+L1277,3),"")</x:f>
      </x:c>
      <x:c r="K1277" s="5" t="str">
        <x:f>IF(COUNTA(A1277:F1277)=0,"",IF(A1277="","Missing equipment ID",IF(COUNTIFS($N$8:$N$2007,"="&amp;N1277)&gt;1,"Duplicate equipment ID",IF(B1277="","Missing type",IF(COUNTIFS('Rules'!$G$7:$G$26,"="&amp;(SUBSTITUTE(SUBSTITUTE(SUBSTITUTE(SUBSTITUTE("type:"&amp;B1277,"%","%25"),"~","%7E"),"*","%2A"),"?","%3F")))=0,"Unknown type",IF(COUNTIFS('Rules'!$G$7:$G$26,"="&amp;(SUBSTITUTE(SUBSTITUTE(SUBSTITUTE(SUBSTITUTE("type:"&amp;B1277,"%","%25"),"~","%7E"),"*","%2A"),"?","%3F")))&gt;1,"Duplicate type",IF(INDEX('Rules'!$F$7:$F$26,MATCH(SUBSTITUTE(SUBSTITUTE(SUBSTITUTE(SUBSTITUTE("type:"&amp;B1277,"%","%25"),"~","%7E"),"*","%2A"),"?","%3F"),'Rules'!$G$7:$G$26,0))&lt;&gt;"",INDEX('Rules'!$F$7:$F$26,MATCH(SUBSTITUTE(SUBSTITUTE(SUBSTITUTE(SUBSTITUTE("type:"&amp;B1277,"%","%25"),"~","%7E"),"*","%2A"),"?","%3F"),'Rules'!$G$7:$G$26,0)),IF(AND(C1277&lt;&gt;"",C1277&lt;&gt;INDEX('Rules'!$B$7:$B$26,MATCH(SUBSTITUTE(SUBSTITUTE(SUBSTITUTE(SUBSTITUTE("type:"&amp;B1277,"%","%25"),"~","%7E"),"*","%2A"),"?","%3F"),'Rules'!$G$7:$G$26,0))),"Unit mismatch",IF(IF(NOT(ISNUMBER(D1277)),TRUE,OR(D1277&lt;0,D1277&gt;999999999,ROUND(D1277,3)&lt;&gt;D1277)),"Invalid current reading",IF(AND(E1277&lt;&gt;"",IF(NOT(ISNUMBER(E1277)),TRUE,OR(E1277&lt;0,E1277&gt;999999999,ROUND(E1277,3)&lt;&gt;E1277))),"Invalid previous reading",IF(IF(NOT(ISNUMBER(F1277)),TRUE,OR(F1277&lt;0,F1277&gt;999999999,ROUND(F1277,3)&lt;&gt;F1277)),"Invalid last service",IF(AND(E1277&lt;&gt;"",D1277&lt;E1277),"Decreased reading",IF(F1277&gt;D1277,"Last service above current","")))))))))))))</x:f>
      </x:c>
      <x:c r="L1277" s="6" t="str">
        <x:f>IF(AND(NOT(COUNTA(A1277:F1277)=0),K1277=""),INDEX('Rules'!$C$7:$C$26,MATCH(SUBSTITUTE(SUBSTITUTE(SUBSTITUTE(SUBSTITUTE("type:"&amp;B1277,"%","%25"),"~","%7E"),"*","%2A"),"?","%3F"),'Rules'!$G$7:$G$26,0)),"")</x:f>
      </x:c>
      <x:c r="M1277" s="6" t="str">
        <x:f>IF(AND(NOT(COUNTA(A1277:F1277)=0),K1277=""),INDEX('Rules'!$D$7:$D$26,MATCH(SUBSTITUTE(SUBSTITUTE(SUBSTITUTE(SUBSTITUTE("type:"&amp;B1277,"%","%25"),"~","%7E"),"*","%2A"),"?","%3F"),'Rules'!$G$7:$G$26,0)),"")</x:f>
      </x:c>
      <x:c r="N1277" s="5" t="str">
        <x:f>IF(COUNTA(A1277:F1277)=0,"",SUBSTITUTE(SUBSTITUTE(SUBSTITUTE(SUBSTITUTE("id:"&amp;A1277,"%","%25"),"~","%7E"),"*","%2A"),"?","%3F"))</x:f>
      </x:c>
    </x:row>
    <x:row r="1278" ht="22" customHeight="1">
      <x:c r="A1278" s="3"/>
      <x:c r="B1278" s="3"/>
      <x:c r="C1278" s="3"/>
      <x:c r="D1278" s="4"/>
      <x:c r="E1278" s="4"/>
      <x:c r="F1278" s="4"/>
      <x:c r="G1278" s="5" t="str">
        <x:f>IF(COUNTA(A1278:F1278)=0,"",IF(K1278&lt;&gt;"","Review",IF(I1278&lt;0,"Overdue",IF(I1278=0,"Due now",IF(I1278&lt;=M1278,"Due soon","Not due")))))</x:f>
      </x:c>
      <x:c r="H1278" s="5" t="str">
        <x:f>IF(OR(COUNTA(A1278:F1278)=0,COUNTIFS('Rules'!$G$7:$G$26,"="&amp;(SUBSTITUTE(SUBSTITUTE(SUBSTITUTE(SUBSTITUTE("type:"&amp;B1278,"%","%25"),"~","%7E"),"*","%2A"),"?","%3F")))&lt;&gt;1),"",IF(OR(INDEX('Rules'!$B$7:$B$26,MATCH(SUBSTITUTE(SUBSTITUTE(SUBSTITUTE(SUBSTITUTE("type:"&amp;B1278,"%","%25"),"~","%7E"),"*","%2A"),"?","%3F"),'Rules'!$G$7:$G$26,0))="hours",INDEX('Rules'!$B$7:$B$26,MATCH(SUBSTITUTE(SUBSTITUTE(SUBSTITUTE(SUBSTITUTE("type:"&amp;B1278,"%","%25"),"~","%7E"),"*","%2A"),"?","%3F"),'Rules'!$G$7:$G$26,0))="km"),INDEX('Rules'!$B$7:$B$26,MATCH(SUBSTITUTE(SUBSTITUTE(SUBSTITUTE(SUBSTITUTE("type:"&amp;B1278,"%","%25"),"~","%7E"),"*","%2A"),"?","%3F"),'Rules'!$G$7:$G$26,0)),""))</x:f>
      </x:c>
      <x:c r="I1278" s="6" t="str">
        <x:f>IF(AND(NOT(COUNTA(A1278:F1278)=0),K1278=""),ROUND(J1278-D1278,3),"")</x:f>
      </x:c>
      <x:c r="J1278" s="6" t="str">
        <x:f>IF(AND(NOT(COUNTA(A1278:F1278)=0),K1278=""),ROUND(F1278+L1278,3),"")</x:f>
      </x:c>
      <x:c r="K1278" s="5" t="str">
        <x:f>IF(COUNTA(A1278:F1278)=0,"",IF(A1278="","Missing equipment ID",IF(COUNTIFS($N$8:$N$2007,"="&amp;N1278)&gt;1,"Duplicate equipment ID",IF(B1278="","Missing type",IF(COUNTIFS('Rules'!$G$7:$G$26,"="&amp;(SUBSTITUTE(SUBSTITUTE(SUBSTITUTE(SUBSTITUTE("type:"&amp;B1278,"%","%25"),"~","%7E"),"*","%2A"),"?","%3F")))=0,"Unknown type",IF(COUNTIFS('Rules'!$G$7:$G$26,"="&amp;(SUBSTITUTE(SUBSTITUTE(SUBSTITUTE(SUBSTITUTE("type:"&amp;B1278,"%","%25"),"~","%7E"),"*","%2A"),"?","%3F")))&gt;1,"Duplicate type",IF(INDEX('Rules'!$F$7:$F$26,MATCH(SUBSTITUTE(SUBSTITUTE(SUBSTITUTE(SUBSTITUTE("type:"&amp;B1278,"%","%25"),"~","%7E"),"*","%2A"),"?","%3F"),'Rules'!$G$7:$G$26,0))&lt;&gt;"",INDEX('Rules'!$F$7:$F$26,MATCH(SUBSTITUTE(SUBSTITUTE(SUBSTITUTE(SUBSTITUTE("type:"&amp;B1278,"%","%25"),"~","%7E"),"*","%2A"),"?","%3F"),'Rules'!$G$7:$G$26,0)),IF(AND(C1278&lt;&gt;"",C1278&lt;&gt;INDEX('Rules'!$B$7:$B$26,MATCH(SUBSTITUTE(SUBSTITUTE(SUBSTITUTE(SUBSTITUTE("type:"&amp;B1278,"%","%25"),"~","%7E"),"*","%2A"),"?","%3F"),'Rules'!$G$7:$G$26,0))),"Unit mismatch",IF(IF(NOT(ISNUMBER(D1278)),TRUE,OR(D1278&lt;0,D1278&gt;999999999,ROUND(D1278,3)&lt;&gt;D1278)),"Invalid current reading",IF(AND(E1278&lt;&gt;"",IF(NOT(ISNUMBER(E1278)),TRUE,OR(E1278&lt;0,E1278&gt;999999999,ROUND(E1278,3)&lt;&gt;E1278))),"Invalid previous reading",IF(IF(NOT(ISNUMBER(F1278)),TRUE,OR(F1278&lt;0,F1278&gt;999999999,ROUND(F1278,3)&lt;&gt;F1278)),"Invalid last service",IF(AND(E1278&lt;&gt;"",D1278&lt;E1278),"Decreased reading",IF(F1278&gt;D1278,"Last service above current","")))))))))))))</x:f>
      </x:c>
      <x:c r="L1278" s="6" t="str">
        <x:f>IF(AND(NOT(COUNTA(A1278:F1278)=0),K1278=""),INDEX('Rules'!$C$7:$C$26,MATCH(SUBSTITUTE(SUBSTITUTE(SUBSTITUTE(SUBSTITUTE("type:"&amp;B1278,"%","%25"),"~","%7E"),"*","%2A"),"?","%3F"),'Rules'!$G$7:$G$26,0)),"")</x:f>
      </x:c>
      <x:c r="M1278" s="6" t="str">
        <x:f>IF(AND(NOT(COUNTA(A1278:F1278)=0),K1278=""),INDEX('Rules'!$D$7:$D$26,MATCH(SUBSTITUTE(SUBSTITUTE(SUBSTITUTE(SUBSTITUTE("type:"&amp;B1278,"%","%25"),"~","%7E"),"*","%2A"),"?","%3F"),'Rules'!$G$7:$G$26,0)),"")</x:f>
      </x:c>
      <x:c r="N1278" s="5" t="str">
        <x:f>IF(COUNTA(A1278:F1278)=0,"",SUBSTITUTE(SUBSTITUTE(SUBSTITUTE(SUBSTITUTE("id:"&amp;A1278,"%","%25"),"~","%7E"),"*","%2A"),"?","%3F"))</x:f>
      </x:c>
    </x:row>
    <x:row r="1279" ht="22" customHeight="1">
      <x:c r="A1279" s="3"/>
      <x:c r="B1279" s="3"/>
      <x:c r="C1279" s="3"/>
      <x:c r="D1279" s="4"/>
      <x:c r="E1279" s="4"/>
      <x:c r="F1279" s="4"/>
      <x:c r="G1279" s="5" t="str">
        <x:f>IF(COUNTA(A1279:F1279)=0,"",IF(K1279&lt;&gt;"","Review",IF(I1279&lt;0,"Overdue",IF(I1279=0,"Due now",IF(I1279&lt;=M1279,"Due soon","Not due")))))</x:f>
      </x:c>
      <x:c r="H1279" s="5" t="str">
        <x:f>IF(OR(COUNTA(A1279:F1279)=0,COUNTIFS('Rules'!$G$7:$G$26,"="&amp;(SUBSTITUTE(SUBSTITUTE(SUBSTITUTE(SUBSTITUTE("type:"&amp;B1279,"%","%25"),"~","%7E"),"*","%2A"),"?","%3F")))&lt;&gt;1),"",IF(OR(INDEX('Rules'!$B$7:$B$26,MATCH(SUBSTITUTE(SUBSTITUTE(SUBSTITUTE(SUBSTITUTE("type:"&amp;B1279,"%","%25"),"~","%7E"),"*","%2A"),"?","%3F"),'Rules'!$G$7:$G$26,0))="hours",INDEX('Rules'!$B$7:$B$26,MATCH(SUBSTITUTE(SUBSTITUTE(SUBSTITUTE(SUBSTITUTE("type:"&amp;B1279,"%","%25"),"~","%7E"),"*","%2A"),"?","%3F"),'Rules'!$G$7:$G$26,0))="km"),INDEX('Rules'!$B$7:$B$26,MATCH(SUBSTITUTE(SUBSTITUTE(SUBSTITUTE(SUBSTITUTE("type:"&amp;B1279,"%","%25"),"~","%7E"),"*","%2A"),"?","%3F"),'Rules'!$G$7:$G$26,0)),""))</x:f>
      </x:c>
      <x:c r="I1279" s="6" t="str">
        <x:f>IF(AND(NOT(COUNTA(A1279:F1279)=0),K1279=""),ROUND(J1279-D1279,3),"")</x:f>
      </x:c>
      <x:c r="J1279" s="6" t="str">
        <x:f>IF(AND(NOT(COUNTA(A1279:F1279)=0),K1279=""),ROUND(F1279+L1279,3),"")</x:f>
      </x:c>
      <x:c r="K1279" s="5" t="str">
        <x:f>IF(COUNTA(A1279:F1279)=0,"",IF(A1279="","Missing equipment ID",IF(COUNTIFS($N$8:$N$2007,"="&amp;N1279)&gt;1,"Duplicate equipment ID",IF(B1279="","Missing type",IF(COUNTIFS('Rules'!$G$7:$G$26,"="&amp;(SUBSTITUTE(SUBSTITUTE(SUBSTITUTE(SUBSTITUTE("type:"&amp;B1279,"%","%25"),"~","%7E"),"*","%2A"),"?","%3F")))=0,"Unknown type",IF(COUNTIFS('Rules'!$G$7:$G$26,"="&amp;(SUBSTITUTE(SUBSTITUTE(SUBSTITUTE(SUBSTITUTE("type:"&amp;B1279,"%","%25"),"~","%7E"),"*","%2A"),"?","%3F")))&gt;1,"Duplicate type",IF(INDEX('Rules'!$F$7:$F$26,MATCH(SUBSTITUTE(SUBSTITUTE(SUBSTITUTE(SUBSTITUTE("type:"&amp;B1279,"%","%25"),"~","%7E"),"*","%2A"),"?","%3F"),'Rules'!$G$7:$G$26,0))&lt;&gt;"",INDEX('Rules'!$F$7:$F$26,MATCH(SUBSTITUTE(SUBSTITUTE(SUBSTITUTE(SUBSTITUTE("type:"&amp;B1279,"%","%25"),"~","%7E"),"*","%2A"),"?","%3F"),'Rules'!$G$7:$G$26,0)),IF(AND(C1279&lt;&gt;"",C1279&lt;&gt;INDEX('Rules'!$B$7:$B$26,MATCH(SUBSTITUTE(SUBSTITUTE(SUBSTITUTE(SUBSTITUTE("type:"&amp;B1279,"%","%25"),"~","%7E"),"*","%2A"),"?","%3F"),'Rules'!$G$7:$G$26,0))),"Unit mismatch",IF(IF(NOT(ISNUMBER(D1279)),TRUE,OR(D1279&lt;0,D1279&gt;999999999,ROUND(D1279,3)&lt;&gt;D1279)),"Invalid current reading",IF(AND(E1279&lt;&gt;"",IF(NOT(ISNUMBER(E1279)),TRUE,OR(E1279&lt;0,E1279&gt;999999999,ROUND(E1279,3)&lt;&gt;E1279))),"Invalid previous reading",IF(IF(NOT(ISNUMBER(F1279)),TRUE,OR(F1279&lt;0,F1279&gt;999999999,ROUND(F1279,3)&lt;&gt;F1279)),"Invalid last service",IF(AND(E1279&lt;&gt;"",D1279&lt;E1279),"Decreased reading",IF(F1279&gt;D1279,"Last service above current","")))))))))))))</x:f>
      </x:c>
      <x:c r="L1279" s="6" t="str">
        <x:f>IF(AND(NOT(COUNTA(A1279:F1279)=0),K1279=""),INDEX('Rules'!$C$7:$C$26,MATCH(SUBSTITUTE(SUBSTITUTE(SUBSTITUTE(SUBSTITUTE("type:"&amp;B1279,"%","%25"),"~","%7E"),"*","%2A"),"?","%3F"),'Rules'!$G$7:$G$26,0)),"")</x:f>
      </x:c>
      <x:c r="M1279" s="6" t="str">
        <x:f>IF(AND(NOT(COUNTA(A1279:F1279)=0),K1279=""),INDEX('Rules'!$D$7:$D$26,MATCH(SUBSTITUTE(SUBSTITUTE(SUBSTITUTE(SUBSTITUTE("type:"&amp;B1279,"%","%25"),"~","%7E"),"*","%2A"),"?","%3F"),'Rules'!$G$7:$G$26,0)),"")</x:f>
      </x:c>
      <x:c r="N1279" s="5" t="str">
        <x:f>IF(COUNTA(A1279:F1279)=0,"",SUBSTITUTE(SUBSTITUTE(SUBSTITUTE(SUBSTITUTE("id:"&amp;A1279,"%","%25"),"~","%7E"),"*","%2A"),"?","%3F"))</x:f>
      </x:c>
    </x:row>
    <x:row r="1280" ht="22" customHeight="1">
      <x:c r="A1280" s="3"/>
      <x:c r="B1280" s="3"/>
      <x:c r="C1280" s="3"/>
      <x:c r="D1280" s="4"/>
      <x:c r="E1280" s="4"/>
      <x:c r="F1280" s="4"/>
      <x:c r="G1280" s="5" t="str">
        <x:f>IF(COUNTA(A1280:F1280)=0,"",IF(K1280&lt;&gt;"","Review",IF(I1280&lt;0,"Overdue",IF(I1280=0,"Due now",IF(I1280&lt;=M1280,"Due soon","Not due")))))</x:f>
      </x:c>
      <x:c r="H1280" s="5" t="str">
        <x:f>IF(OR(COUNTA(A1280:F1280)=0,COUNTIFS('Rules'!$G$7:$G$26,"="&amp;(SUBSTITUTE(SUBSTITUTE(SUBSTITUTE(SUBSTITUTE("type:"&amp;B1280,"%","%25"),"~","%7E"),"*","%2A"),"?","%3F")))&lt;&gt;1),"",IF(OR(INDEX('Rules'!$B$7:$B$26,MATCH(SUBSTITUTE(SUBSTITUTE(SUBSTITUTE(SUBSTITUTE("type:"&amp;B1280,"%","%25"),"~","%7E"),"*","%2A"),"?","%3F"),'Rules'!$G$7:$G$26,0))="hours",INDEX('Rules'!$B$7:$B$26,MATCH(SUBSTITUTE(SUBSTITUTE(SUBSTITUTE(SUBSTITUTE("type:"&amp;B1280,"%","%25"),"~","%7E"),"*","%2A"),"?","%3F"),'Rules'!$G$7:$G$26,0))="km"),INDEX('Rules'!$B$7:$B$26,MATCH(SUBSTITUTE(SUBSTITUTE(SUBSTITUTE(SUBSTITUTE("type:"&amp;B1280,"%","%25"),"~","%7E"),"*","%2A"),"?","%3F"),'Rules'!$G$7:$G$26,0)),""))</x:f>
      </x:c>
      <x:c r="I1280" s="6" t="str">
        <x:f>IF(AND(NOT(COUNTA(A1280:F1280)=0),K1280=""),ROUND(J1280-D1280,3),"")</x:f>
      </x:c>
      <x:c r="J1280" s="6" t="str">
        <x:f>IF(AND(NOT(COUNTA(A1280:F1280)=0),K1280=""),ROUND(F1280+L1280,3),"")</x:f>
      </x:c>
      <x:c r="K1280" s="5" t="str">
        <x:f>IF(COUNTA(A1280:F1280)=0,"",IF(A1280="","Missing equipment ID",IF(COUNTIFS($N$8:$N$2007,"="&amp;N1280)&gt;1,"Duplicate equipment ID",IF(B1280="","Missing type",IF(COUNTIFS('Rules'!$G$7:$G$26,"="&amp;(SUBSTITUTE(SUBSTITUTE(SUBSTITUTE(SUBSTITUTE("type:"&amp;B1280,"%","%25"),"~","%7E"),"*","%2A"),"?","%3F")))=0,"Unknown type",IF(COUNTIFS('Rules'!$G$7:$G$26,"="&amp;(SUBSTITUTE(SUBSTITUTE(SUBSTITUTE(SUBSTITUTE("type:"&amp;B1280,"%","%25"),"~","%7E"),"*","%2A"),"?","%3F")))&gt;1,"Duplicate type",IF(INDEX('Rules'!$F$7:$F$26,MATCH(SUBSTITUTE(SUBSTITUTE(SUBSTITUTE(SUBSTITUTE("type:"&amp;B1280,"%","%25"),"~","%7E"),"*","%2A"),"?","%3F"),'Rules'!$G$7:$G$26,0))&lt;&gt;"",INDEX('Rules'!$F$7:$F$26,MATCH(SUBSTITUTE(SUBSTITUTE(SUBSTITUTE(SUBSTITUTE("type:"&amp;B1280,"%","%25"),"~","%7E"),"*","%2A"),"?","%3F"),'Rules'!$G$7:$G$26,0)),IF(AND(C1280&lt;&gt;"",C1280&lt;&gt;INDEX('Rules'!$B$7:$B$26,MATCH(SUBSTITUTE(SUBSTITUTE(SUBSTITUTE(SUBSTITUTE("type:"&amp;B1280,"%","%25"),"~","%7E"),"*","%2A"),"?","%3F"),'Rules'!$G$7:$G$26,0))),"Unit mismatch",IF(IF(NOT(ISNUMBER(D1280)),TRUE,OR(D1280&lt;0,D1280&gt;999999999,ROUND(D1280,3)&lt;&gt;D1280)),"Invalid current reading",IF(AND(E1280&lt;&gt;"",IF(NOT(ISNUMBER(E1280)),TRUE,OR(E1280&lt;0,E1280&gt;999999999,ROUND(E1280,3)&lt;&gt;E1280))),"Invalid previous reading",IF(IF(NOT(ISNUMBER(F1280)),TRUE,OR(F1280&lt;0,F1280&gt;999999999,ROUND(F1280,3)&lt;&gt;F1280)),"Invalid last service",IF(AND(E1280&lt;&gt;"",D1280&lt;E1280),"Decreased reading",IF(F1280&gt;D1280,"Last service above current","")))))))))))))</x:f>
      </x:c>
      <x:c r="L1280" s="6" t="str">
        <x:f>IF(AND(NOT(COUNTA(A1280:F1280)=0),K1280=""),INDEX('Rules'!$C$7:$C$26,MATCH(SUBSTITUTE(SUBSTITUTE(SUBSTITUTE(SUBSTITUTE("type:"&amp;B1280,"%","%25"),"~","%7E"),"*","%2A"),"?","%3F"),'Rules'!$G$7:$G$26,0)),"")</x:f>
      </x:c>
      <x:c r="M1280" s="6" t="str">
        <x:f>IF(AND(NOT(COUNTA(A1280:F1280)=0),K1280=""),INDEX('Rules'!$D$7:$D$26,MATCH(SUBSTITUTE(SUBSTITUTE(SUBSTITUTE(SUBSTITUTE("type:"&amp;B1280,"%","%25"),"~","%7E"),"*","%2A"),"?","%3F"),'Rules'!$G$7:$G$26,0)),"")</x:f>
      </x:c>
      <x:c r="N1280" s="5" t="str">
        <x:f>IF(COUNTA(A1280:F1280)=0,"",SUBSTITUTE(SUBSTITUTE(SUBSTITUTE(SUBSTITUTE("id:"&amp;A1280,"%","%25"),"~","%7E"),"*","%2A"),"?","%3F"))</x:f>
      </x:c>
    </x:row>
    <x:row r="1281" ht="22" customHeight="1">
      <x:c r="A1281" s="3"/>
      <x:c r="B1281" s="3"/>
      <x:c r="C1281" s="3"/>
      <x:c r="D1281" s="4"/>
      <x:c r="E1281" s="4"/>
      <x:c r="F1281" s="4"/>
      <x:c r="G1281" s="5" t="str">
        <x:f>IF(COUNTA(A1281:F1281)=0,"",IF(K1281&lt;&gt;"","Review",IF(I1281&lt;0,"Overdue",IF(I1281=0,"Due now",IF(I1281&lt;=M1281,"Due soon","Not due")))))</x:f>
      </x:c>
      <x:c r="H1281" s="5" t="str">
        <x:f>IF(OR(COUNTA(A1281:F1281)=0,COUNTIFS('Rules'!$G$7:$G$26,"="&amp;(SUBSTITUTE(SUBSTITUTE(SUBSTITUTE(SUBSTITUTE("type:"&amp;B1281,"%","%25"),"~","%7E"),"*","%2A"),"?","%3F")))&lt;&gt;1),"",IF(OR(INDEX('Rules'!$B$7:$B$26,MATCH(SUBSTITUTE(SUBSTITUTE(SUBSTITUTE(SUBSTITUTE("type:"&amp;B1281,"%","%25"),"~","%7E"),"*","%2A"),"?","%3F"),'Rules'!$G$7:$G$26,0))="hours",INDEX('Rules'!$B$7:$B$26,MATCH(SUBSTITUTE(SUBSTITUTE(SUBSTITUTE(SUBSTITUTE("type:"&amp;B1281,"%","%25"),"~","%7E"),"*","%2A"),"?","%3F"),'Rules'!$G$7:$G$26,0))="km"),INDEX('Rules'!$B$7:$B$26,MATCH(SUBSTITUTE(SUBSTITUTE(SUBSTITUTE(SUBSTITUTE("type:"&amp;B1281,"%","%25"),"~","%7E"),"*","%2A"),"?","%3F"),'Rules'!$G$7:$G$26,0)),""))</x:f>
      </x:c>
      <x:c r="I1281" s="6" t="str">
        <x:f>IF(AND(NOT(COUNTA(A1281:F1281)=0),K1281=""),ROUND(J1281-D1281,3),"")</x:f>
      </x:c>
      <x:c r="J1281" s="6" t="str">
        <x:f>IF(AND(NOT(COUNTA(A1281:F1281)=0),K1281=""),ROUND(F1281+L1281,3),"")</x:f>
      </x:c>
      <x:c r="K1281" s="5" t="str">
        <x:f>IF(COUNTA(A1281:F1281)=0,"",IF(A1281="","Missing equipment ID",IF(COUNTIFS($N$8:$N$2007,"="&amp;N1281)&gt;1,"Duplicate equipment ID",IF(B1281="","Missing type",IF(COUNTIFS('Rules'!$G$7:$G$26,"="&amp;(SUBSTITUTE(SUBSTITUTE(SUBSTITUTE(SUBSTITUTE("type:"&amp;B1281,"%","%25"),"~","%7E"),"*","%2A"),"?","%3F")))=0,"Unknown type",IF(COUNTIFS('Rules'!$G$7:$G$26,"="&amp;(SUBSTITUTE(SUBSTITUTE(SUBSTITUTE(SUBSTITUTE("type:"&amp;B1281,"%","%25"),"~","%7E"),"*","%2A"),"?","%3F")))&gt;1,"Duplicate type",IF(INDEX('Rules'!$F$7:$F$26,MATCH(SUBSTITUTE(SUBSTITUTE(SUBSTITUTE(SUBSTITUTE("type:"&amp;B1281,"%","%25"),"~","%7E"),"*","%2A"),"?","%3F"),'Rules'!$G$7:$G$26,0))&lt;&gt;"",INDEX('Rules'!$F$7:$F$26,MATCH(SUBSTITUTE(SUBSTITUTE(SUBSTITUTE(SUBSTITUTE("type:"&amp;B1281,"%","%25"),"~","%7E"),"*","%2A"),"?","%3F"),'Rules'!$G$7:$G$26,0)),IF(AND(C1281&lt;&gt;"",C1281&lt;&gt;INDEX('Rules'!$B$7:$B$26,MATCH(SUBSTITUTE(SUBSTITUTE(SUBSTITUTE(SUBSTITUTE("type:"&amp;B1281,"%","%25"),"~","%7E"),"*","%2A"),"?","%3F"),'Rules'!$G$7:$G$26,0))),"Unit mismatch",IF(IF(NOT(ISNUMBER(D1281)),TRUE,OR(D1281&lt;0,D1281&gt;999999999,ROUND(D1281,3)&lt;&gt;D1281)),"Invalid current reading",IF(AND(E1281&lt;&gt;"",IF(NOT(ISNUMBER(E1281)),TRUE,OR(E1281&lt;0,E1281&gt;999999999,ROUND(E1281,3)&lt;&gt;E1281))),"Invalid previous reading",IF(IF(NOT(ISNUMBER(F1281)),TRUE,OR(F1281&lt;0,F1281&gt;999999999,ROUND(F1281,3)&lt;&gt;F1281)),"Invalid last service",IF(AND(E1281&lt;&gt;"",D1281&lt;E1281),"Decreased reading",IF(F1281&gt;D1281,"Last service above current","")))))))))))))</x:f>
      </x:c>
      <x:c r="L1281" s="6" t="str">
        <x:f>IF(AND(NOT(COUNTA(A1281:F1281)=0),K1281=""),INDEX('Rules'!$C$7:$C$26,MATCH(SUBSTITUTE(SUBSTITUTE(SUBSTITUTE(SUBSTITUTE("type:"&amp;B1281,"%","%25"),"~","%7E"),"*","%2A"),"?","%3F"),'Rules'!$G$7:$G$26,0)),"")</x:f>
      </x:c>
      <x:c r="M1281" s="6" t="str">
        <x:f>IF(AND(NOT(COUNTA(A1281:F1281)=0),K1281=""),INDEX('Rules'!$D$7:$D$26,MATCH(SUBSTITUTE(SUBSTITUTE(SUBSTITUTE(SUBSTITUTE("type:"&amp;B1281,"%","%25"),"~","%7E"),"*","%2A"),"?","%3F"),'Rules'!$G$7:$G$26,0)),"")</x:f>
      </x:c>
      <x:c r="N1281" s="5" t="str">
        <x:f>IF(COUNTA(A1281:F1281)=0,"",SUBSTITUTE(SUBSTITUTE(SUBSTITUTE(SUBSTITUTE("id:"&amp;A1281,"%","%25"),"~","%7E"),"*","%2A"),"?","%3F"))</x:f>
      </x:c>
    </x:row>
    <x:row r="1282" ht="22" customHeight="1">
      <x:c r="A1282" s="3"/>
      <x:c r="B1282" s="3"/>
      <x:c r="C1282" s="3"/>
      <x:c r="D1282" s="4"/>
      <x:c r="E1282" s="4"/>
      <x:c r="F1282" s="4"/>
      <x:c r="G1282" s="5" t="str">
        <x:f>IF(COUNTA(A1282:F1282)=0,"",IF(K1282&lt;&gt;"","Review",IF(I1282&lt;0,"Overdue",IF(I1282=0,"Due now",IF(I1282&lt;=M1282,"Due soon","Not due")))))</x:f>
      </x:c>
      <x:c r="H1282" s="5" t="str">
        <x:f>IF(OR(COUNTA(A1282:F1282)=0,COUNTIFS('Rules'!$G$7:$G$26,"="&amp;(SUBSTITUTE(SUBSTITUTE(SUBSTITUTE(SUBSTITUTE("type:"&amp;B1282,"%","%25"),"~","%7E"),"*","%2A"),"?","%3F")))&lt;&gt;1),"",IF(OR(INDEX('Rules'!$B$7:$B$26,MATCH(SUBSTITUTE(SUBSTITUTE(SUBSTITUTE(SUBSTITUTE("type:"&amp;B1282,"%","%25"),"~","%7E"),"*","%2A"),"?","%3F"),'Rules'!$G$7:$G$26,0))="hours",INDEX('Rules'!$B$7:$B$26,MATCH(SUBSTITUTE(SUBSTITUTE(SUBSTITUTE(SUBSTITUTE("type:"&amp;B1282,"%","%25"),"~","%7E"),"*","%2A"),"?","%3F"),'Rules'!$G$7:$G$26,0))="km"),INDEX('Rules'!$B$7:$B$26,MATCH(SUBSTITUTE(SUBSTITUTE(SUBSTITUTE(SUBSTITUTE("type:"&amp;B1282,"%","%25"),"~","%7E"),"*","%2A"),"?","%3F"),'Rules'!$G$7:$G$26,0)),""))</x:f>
      </x:c>
      <x:c r="I1282" s="6" t="str">
        <x:f>IF(AND(NOT(COUNTA(A1282:F1282)=0),K1282=""),ROUND(J1282-D1282,3),"")</x:f>
      </x:c>
      <x:c r="J1282" s="6" t="str">
        <x:f>IF(AND(NOT(COUNTA(A1282:F1282)=0),K1282=""),ROUND(F1282+L1282,3),"")</x:f>
      </x:c>
      <x:c r="K1282" s="5" t="str">
        <x:f>IF(COUNTA(A1282:F1282)=0,"",IF(A1282="","Missing equipment ID",IF(COUNTIFS($N$8:$N$2007,"="&amp;N1282)&gt;1,"Duplicate equipment ID",IF(B1282="","Missing type",IF(COUNTIFS('Rules'!$G$7:$G$26,"="&amp;(SUBSTITUTE(SUBSTITUTE(SUBSTITUTE(SUBSTITUTE("type:"&amp;B1282,"%","%25"),"~","%7E"),"*","%2A"),"?","%3F")))=0,"Unknown type",IF(COUNTIFS('Rules'!$G$7:$G$26,"="&amp;(SUBSTITUTE(SUBSTITUTE(SUBSTITUTE(SUBSTITUTE("type:"&amp;B1282,"%","%25"),"~","%7E"),"*","%2A"),"?","%3F")))&gt;1,"Duplicate type",IF(INDEX('Rules'!$F$7:$F$26,MATCH(SUBSTITUTE(SUBSTITUTE(SUBSTITUTE(SUBSTITUTE("type:"&amp;B1282,"%","%25"),"~","%7E"),"*","%2A"),"?","%3F"),'Rules'!$G$7:$G$26,0))&lt;&gt;"",INDEX('Rules'!$F$7:$F$26,MATCH(SUBSTITUTE(SUBSTITUTE(SUBSTITUTE(SUBSTITUTE("type:"&amp;B1282,"%","%25"),"~","%7E"),"*","%2A"),"?","%3F"),'Rules'!$G$7:$G$26,0)),IF(AND(C1282&lt;&gt;"",C1282&lt;&gt;INDEX('Rules'!$B$7:$B$26,MATCH(SUBSTITUTE(SUBSTITUTE(SUBSTITUTE(SUBSTITUTE("type:"&amp;B1282,"%","%25"),"~","%7E"),"*","%2A"),"?","%3F"),'Rules'!$G$7:$G$26,0))),"Unit mismatch",IF(IF(NOT(ISNUMBER(D1282)),TRUE,OR(D1282&lt;0,D1282&gt;999999999,ROUND(D1282,3)&lt;&gt;D1282)),"Invalid current reading",IF(AND(E1282&lt;&gt;"",IF(NOT(ISNUMBER(E1282)),TRUE,OR(E1282&lt;0,E1282&gt;999999999,ROUND(E1282,3)&lt;&gt;E1282))),"Invalid previous reading",IF(IF(NOT(ISNUMBER(F1282)),TRUE,OR(F1282&lt;0,F1282&gt;999999999,ROUND(F1282,3)&lt;&gt;F1282)),"Invalid last service",IF(AND(E1282&lt;&gt;"",D1282&lt;E1282),"Decreased reading",IF(F1282&gt;D1282,"Last service above current","")))))))))))))</x:f>
      </x:c>
      <x:c r="L1282" s="6" t="str">
        <x:f>IF(AND(NOT(COUNTA(A1282:F1282)=0),K1282=""),INDEX('Rules'!$C$7:$C$26,MATCH(SUBSTITUTE(SUBSTITUTE(SUBSTITUTE(SUBSTITUTE("type:"&amp;B1282,"%","%25"),"~","%7E"),"*","%2A"),"?","%3F"),'Rules'!$G$7:$G$26,0)),"")</x:f>
      </x:c>
      <x:c r="M1282" s="6" t="str">
        <x:f>IF(AND(NOT(COUNTA(A1282:F1282)=0),K1282=""),INDEX('Rules'!$D$7:$D$26,MATCH(SUBSTITUTE(SUBSTITUTE(SUBSTITUTE(SUBSTITUTE("type:"&amp;B1282,"%","%25"),"~","%7E"),"*","%2A"),"?","%3F"),'Rules'!$G$7:$G$26,0)),"")</x:f>
      </x:c>
      <x:c r="N1282" s="5" t="str">
        <x:f>IF(COUNTA(A1282:F1282)=0,"",SUBSTITUTE(SUBSTITUTE(SUBSTITUTE(SUBSTITUTE("id:"&amp;A1282,"%","%25"),"~","%7E"),"*","%2A"),"?","%3F"))</x:f>
      </x:c>
    </x:row>
    <x:row r="1283" ht="22" customHeight="1">
      <x:c r="A1283" s="3"/>
      <x:c r="B1283" s="3"/>
      <x:c r="C1283" s="3"/>
      <x:c r="D1283" s="4"/>
      <x:c r="E1283" s="4"/>
      <x:c r="F1283" s="4"/>
      <x:c r="G1283" s="5" t="str">
        <x:f>IF(COUNTA(A1283:F1283)=0,"",IF(K1283&lt;&gt;"","Review",IF(I1283&lt;0,"Overdue",IF(I1283=0,"Due now",IF(I1283&lt;=M1283,"Due soon","Not due")))))</x:f>
      </x:c>
      <x:c r="H1283" s="5" t="str">
        <x:f>IF(OR(COUNTA(A1283:F1283)=0,COUNTIFS('Rules'!$G$7:$G$26,"="&amp;(SUBSTITUTE(SUBSTITUTE(SUBSTITUTE(SUBSTITUTE("type:"&amp;B1283,"%","%25"),"~","%7E"),"*","%2A"),"?","%3F")))&lt;&gt;1),"",IF(OR(INDEX('Rules'!$B$7:$B$26,MATCH(SUBSTITUTE(SUBSTITUTE(SUBSTITUTE(SUBSTITUTE("type:"&amp;B1283,"%","%25"),"~","%7E"),"*","%2A"),"?","%3F"),'Rules'!$G$7:$G$26,0))="hours",INDEX('Rules'!$B$7:$B$26,MATCH(SUBSTITUTE(SUBSTITUTE(SUBSTITUTE(SUBSTITUTE("type:"&amp;B1283,"%","%25"),"~","%7E"),"*","%2A"),"?","%3F"),'Rules'!$G$7:$G$26,0))="km"),INDEX('Rules'!$B$7:$B$26,MATCH(SUBSTITUTE(SUBSTITUTE(SUBSTITUTE(SUBSTITUTE("type:"&amp;B1283,"%","%25"),"~","%7E"),"*","%2A"),"?","%3F"),'Rules'!$G$7:$G$26,0)),""))</x:f>
      </x:c>
      <x:c r="I1283" s="6" t="str">
        <x:f>IF(AND(NOT(COUNTA(A1283:F1283)=0),K1283=""),ROUND(J1283-D1283,3),"")</x:f>
      </x:c>
      <x:c r="J1283" s="6" t="str">
        <x:f>IF(AND(NOT(COUNTA(A1283:F1283)=0),K1283=""),ROUND(F1283+L1283,3),"")</x:f>
      </x:c>
      <x:c r="K1283" s="5" t="str">
        <x:f>IF(COUNTA(A1283:F1283)=0,"",IF(A1283="","Missing equipment ID",IF(COUNTIFS($N$8:$N$2007,"="&amp;N1283)&gt;1,"Duplicate equipment ID",IF(B1283="","Missing type",IF(COUNTIFS('Rules'!$G$7:$G$26,"="&amp;(SUBSTITUTE(SUBSTITUTE(SUBSTITUTE(SUBSTITUTE("type:"&amp;B1283,"%","%25"),"~","%7E"),"*","%2A"),"?","%3F")))=0,"Unknown type",IF(COUNTIFS('Rules'!$G$7:$G$26,"="&amp;(SUBSTITUTE(SUBSTITUTE(SUBSTITUTE(SUBSTITUTE("type:"&amp;B1283,"%","%25"),"~","%7E"),"*","%2A"),"?","%3F")))&gt;1,"Duplicate type",IF(INDEX('Rules'!$F$7:$F$26,MATCH(SUBSTITUTE(SUBSTITUTE(SUBSTITUTE(SUBSTITUTE("type:"&amp;B1283,"%","%25"),"~","%7E"),"*","%2A"),"?","%3F"),'Rules'!$G$7:$G$26,0))&lt;&gt;"",INDEX('Rules'!$F$7:$F$26,MATCH(SUBSTITUTE(SUBSTITUTE(SUBSTITUTE(SUBSTITUTE("type:"&amp;B1283,"%","%25"),"~","%7E"),"*","%2A"),"?","%3F"),'Rules'!$G$7:$G$26,0)),IF(AND(C1283&lt;&gt;"",C1283&lt;&gt;INDEX('Rules'!$B$7:$B$26,MATCH(SUBSTITUTE(SUBSTITUTE(SUBSTITUTE(SUBSTITUTE("type:"&amp;B1283,"%","%25"),"~","%7E"),"*","%2A"),"?","%3F"),'Rules'!$G$7:$G$26,0))),"Unit mismatch",IF(IF(NOT(ISNUMBER(D1283)),TRUE,OR(D1283&lt;0,D1283&gt;999999999,ROUND(D1283,3)&lt;&gt;D1283)),"Invalid current reading",IF(AND(E1283&lt;&gt;"",IF(NOT(ISNUMBER(E1283)),TRUE,OR(E1283&lt;0,E1283&gt;999999999,ROUND(E1283,3)&lt;&gt;E1283))),"Invalid previous reading",IF(IF(NOT(ISNUMBER(F1283)),TRUE,OR(F1283&lt;0,F1283&gt;999999999,ROUND(F1283,3)&lt;&gt;F1283)),"Invalid last service",IF(AND(E1283&lt;&gt;"",D1283&lt;E1283),"Decreased reading",IF(F1283&gt;D1283,"Last service above current","")))))))))))))</x:f>
      </x:c>
      <x:c r="L1283" s="6" t="str">
        <x:f>IF(AND(NOT(COUNTA(A1283:F1283)=0),K1283=""),INDEX('Rules'!$C$7:$C$26,MATCH(SUBSTITUTE(SUBSTITUTE(SUBSTITUTE(SUBSTITUTE("type:"&amp;B1283,"%","%25"),"~","%7E"),"*","%2A"),"?","%3F"),'Rules'!$G$7:$G$26,0)),"")</x:f>
      </x:c>
      <x:c r="M1283" s="6" t="str">
        <x:f>IF(AND(NOT(COUNTA(A1283:F1283)=0),K1283=""),INDEX('Rules'!$D$7:$D$26,MATCH(SUBSTITUTE(SUBSTITUTE(SUBSTITUTE(SUBSTITUTE("type:"&amp;B1283,"%","%25"),"~","%7E"),"*","%2A"),"?","%3F"),'Rules'!$G$7:$G$26,0)),"")</x:f>
      </x:c>
      <x:c r="N1283" s="5" t="str">
        <x:f>IF(COUNTA(A1283:F1283)=0,"",SUBSTITUTE(SUBSTITUTE(SUBSTITUTE(SUBSTITUTE("id:"&amp;A1283,"%","%25"),"~","%7E"),"*","%2A"),"?","%3F"))</x:f>
      </x:c>
    </x:row>
    <x:row r="1284" ht="22" customHeight="1">
      <x:c r="A1284" s="3"/>
      <x:c r="B1284" s="3"/>
      <x:c r="C1284" s="3"/>
      <x:c r="D1284" s="4"/>
      <x:c r="E1284" s="4"/>
      <x:c r="F1284" s="4"/>
      <x:c r="G1284" s="5" t="str">
        <x:f>IF(COUNTA(A1284:F1284)=0,"",IF(K1284&lt;&gt;"","Review",IF(I1284&lt;0,"Overdue",IF(I1284=0,"Due now",IF(I1284&lt;=M1284,"Due soon","Not due")))))</x:f>
      </x:c>
      <x:c r="H1284" s="5" t="str">
        <x:f>IF(OR(COUNTA(A1284:F1284)=0,COUNTIFS('Rules'!$G$7:$G$26,"="&amp;(SUBSTITUTE(SUBSTITUTE(SUBSTITUTE(SUBSTITUTE("type:"&amp;B1284,"%","%25"),"~","%7E"),"*","%2A"),"?","%3F")))&lt;&gt;1),"",IF(OR(INDEX('Rules'!$B$7:$B$26,MATCH(SUBSTITUTE(SUBSTITUTE(SUBSTITUTE(SUBSTITUTE("type:"&amp;B1284,"%","%25"),"~","%7E"),"*","%2A"),"?","%3F"),'Rules'!$G$7:$G$26,0))="hours",INDEX('Rules'!$B$7:$B$26,MATCH(SUBSTITUTE(SUBSTITUTE(SUBSTITUTE(SUBSTITUTE("type:"&amp;B1284,"%","%25"),"~","%7E"),"*","%2A"),"?","%3F"),'Rules'!$G$7:$G$26,0))="km"),INDEX('Rules'!$B$7:$B$26,MATCH(SUBSTITUTE(SUBSTITUTE(SUBSTITUTE(SUBSTITUTE("type:"&amp;B1284,"%","%25"),"~","%7E"),"*","%2A"),"?","%3F"),'Rules'!$G$7:$G$26,0)),""))</x:f>
      </x:c>
      <x:c r="I1284" s="6" t="str">
        <x:f>IF(AND(NOT(COUNTA(A1284:F1284)=0),K1284=""),ROUND(J1284-D1284,3),"")</x:f>
      </x:c>
      <x:c r="J1284" s="6" t="str">
        <x:f>IF(AND(NOT(COUNTA(A1284:F1284)=0),K1284=""),ROUND(F1284+L1284,3),"")</x:f>
      </x:c>
      <x:c r="K1284" s="5" t="str">
        <x:f>IF(COUNTA(A1284:F1284)=0,"",IF(A1284="","Missing equipment ID",IF(COUNTIFS($N$8:$N$2007,"="&amp;N1284)&gt;1,"Duplicate equipment ID",IF(B1284="","Missing type",IF(COUNTIFS('Rules'!$G$7:$G$26,"="&amp;(SUBSTITUTE(SUBSTITUTE(SUBSTITUTE(SUBSTITUTE("type:"&amp;B1284,"%","%25"),"~","%7E"),"*","%2A"),"?","%3F")))=0,"Unknown type",IF(COUNTIFS('Rules'!$G$7:$G$26,"="&amp;(SUBSTITUTE(SUBSTITUTE(SUBSTITUTE(SUBSTITUTE("type:"&amp;B1284,"%","%25"),"~","%7E"),"*","%2A"),"?","%3F")))&gt;1,"Duplicate type",IF(INDEX('Rules'!$F$7:$F$26,MATCH(SUBSTITUTE(SUBSTITUTE(SUBSTITUTE(SUBSTITUTE("type:"&amp;B1284,"%","%25"),"~","%7E"),"*","%2A"),"?","%3F"),'Rules'!$G$7:$G$26,0))&lt;&gt;"",INDEX('Rules'!$F$7:$F$26,MATCH(SUBSTITUTE(SUBSTITUTE(SUBSTITUTE(SUBSTITUTE("type:"&amp;B1284,"%","%25"),"~","%7E"),"*","%2A"),"?","%3F"),'Rules'!$G$7:$G$26,0)),IF(AND(C1284&lt;&gt;"",C1284&lt;&gt;INDEX('Rules'!$B$7:$B$26,MATCH(SUBSTITUTE(SUBSTITUTE(SUBSTITUTE(SUBSTITUTE("type:"&amp;B1284,"%","%25"),"~","%7E"),"*","%2A"),"?","%3F"),'Rules'!$G$7:$G$26,0))),"Unit mismatch",IF(IF(NOT(ISNUMBER(D1284)),TRUE,OR(D1284&lt;0,D1284&gt;999999999,ROUND(D1284,3)&lt;&gt;D1284)),"Invalid current reading",IF(AND(E1284&lt;&gt;"",IF(NOT(ISNUMBER(E1284)),TRUE,OR(E1284&lt;0,E1284&gt;999999999,ROUND(E1284,3)&lt;&gt;E1284))),"Invalid previous reading",IF(IF(NOT(ISNUMBER(F1284)),TRUE,OR(F1284&lt;0,F1284&gt;999999999,ROUND(F1284,3)&lt;&gt;F1284)),"Invalid last service",IF(AND(E1284&lt;&gt;"",D1284&lt;E1284),"Decreased reading",IF(F1284&gt;D1284,"Last service above current","")))))))))))))</x:f>
      </x:c>
      <x:c r="L1284" s="6" t="str">
        <x:f>IF(AND(NOT(COUNTA(A1284:F1284)=0),K1284=""),INDEX('Rules'!$C$7:$C$26,MATCH(SUBSTITUTE(SUBSTITUTE(SUBSTITUTE(SUBSTITUTE("type:"&amp;B1284,"%","%25"),"~","%7E"),"*","%2A"),"?","%3F"),'Rules'!$G$7:$G$26,0)),"")</x:f>
      </x:c>
      <x:c r="M1284" s="6" t="str">
        <x:f>IF(AND(NOT(COUNTA(A1284:F1284)=0),K1284=""),INDEX('Rules'!$D$7:$D$26,MATCH(SUBSTITUTE(SUBSTITUTE(SUBSTITUTE(SUBSTITUTE("type:"&amp;B1284,"%","%25"),"~","%7E"),"*","%2A"),"?","%3F"),'Rules'!$G$7:$G$26,0)),"")</x:f>
      </x:c>
      <x:c r="N1284" s="5" t="str">
        <x:f>IF(COUNTA(A1284:F1284)=0,"",SUBSTITUTE(SUBSTITUTE(SUBSTITUTE(SUBSTITUTE("id:"&amp;A1284,"%","%25"),"~","%7E"),"*","%2A"),"?","%3F"))</x:f>
      </x:c>
    </x:row>
    <x:row r="1285" ht="22" customHeight="1">
      <x:c r="A1285" s="3"/>
      <x:c r="B1285" s="3"/>
      <x:c r="C1285" s="3"/>
      <x:c r="D1285" s="4"/>
      <x:c r="E1285" s="4"/>
      <x:c r="F1285" s="4"/>
      <x:c r="G1285" s="5" t="str">
        <x:f>IF(COUNTA(A1285:F1285)=0,"",IF(K1285&lt;&gt;"","Review",IF(I1285&lt;0,"Overdue",IF(I1285=0,"Due now",IF(I1285&lt;=M1285,"Due soon","Not due")))))</x:f>
      </x:c>
      <x:c r="H1285" s="5" t="str">
        <x:f>IF(OR(COUNTA(A1285:F1285)=0,COUNTIFS('Rules'!$G$7:$G$26,"="&amp;(SUBSTITUTE(SUBSTITUTE(SUBSTITUTE(SUBSTITUTE("type:"&amp;B1285,"%","%25"),"~","%7E"),"*","%2A"),"?","%3F")))&lt;&gt;1),"",IF(OR(INDEX('Rules'!$B$7:$B$26,MATCH(SUBSTITUTE(SUBSTITUTE(SUBSTITUTE(SUBSTITUTE("type:"&amp;B1285,"%","%25"),"~","%7E"),"*","%2A"),"?","%3F"),'Rules'!$G$7:$G$26,0))="hours",INDEX('Rules'!$B$7:$B$26,MATCH(SUBSTITUTE(SUBSTITUTE(SUBSTITUTE(SUBSTITUTE("type:"&amp;B1285,"%","%25"),"~","%7E"),"*","%2A"),"?","%3F"),'Rules'!$G$7:$G$26,0))="km"),INDEX('Rules'!$B$7:$B$26,MATCH(SUBSTITUTE(SUBSTITUTE(SUBSTITUTE(SUBSTITUTE("type:"&amp;B1285,"%","%25"),"~","%7E"),"*","%2A"),"?","%3F"),'Rules'!$G$7:$G$26,0)),""))</x:f>
      </x:c>
      <x:c r="I1285" s="6" t="str">
        <x:f>IF(AND(NOT(COUNTA(A1285:F1285)=0),K1285=""),ROUND(J1285-D1285,3),"")</x:f>
      </x:c>
      <x:c r="J1285" s="6" t="str">
        <x:f>IF(AND(NOT(COUNTA(A1285:F1285)=0),K1285=""),ROUND(F1285+L1285,3),"")</x:f>
      </x:c>
      <x:c r="K1285" s="5" t="str">
        <x:f>IF(COUNTA(A1285:F1285)=0,"",IF(A1285="","Missing equipment ID",IF(COUNTIFS($N$8:$N$2007,"="&amp;N1285)&gt;1,"Duplicate equipment ID",IF(B1285="","Missing type",IF(COUNTIFS('Rules'!$G$7:$G$26,"="&amp;(SUBSTITUTE(SUBSTITUTE(SUBSTITUTE(SUBSTITUTE("type:"&amp;B1285,"%","%25"),"~","%7E"),"*","%2A"),"?","%3F")))=0,"Unknown type",IF(COUNTIFS('Rules'!$G$7:$G$26,"="&amp;(SUBSTITUTE(SUBSTITUTE(SUBSTITUTE(SUBSTITUTE("type:"&amp;B1285,"%","%25"),"~","%7E"),"*","%2A"),"?","%3F")))&gt;1,"Duplicate type",IF(INDEX('Rules'!$F$7:$F$26,MATCH(SUBSTITUTE(SUBSTITUTE(SUBSTITUTE(SUBSTITUTE("type:"&amp;B1285,"%","%25"),"~","%7E"),"*","%2A"),"?","%3F"),'Rules'!$G$7:$G$26,0))&lt;&gt;"",INDEX('Rules'!$F$7:$F$26,MATCH(SUBSTITUTE(SUBSTITUTE(SUBSTITUTE(SUBSTITUTE("type:"&amp;B1285,"%","%25"),"~","%7E"),"*","%2A"),"?","%3F"),'Rules'!$G$7:$G$26,0)),IF(AND(C1285&lt;&gt;"",C1285&lt;&gt;INDEX('Rules'!$B$7:$B$26,MATCH(SUBSTITUTE(SUBSTITUTE(SUBSTITUTE(SUBSTITUTE("type:"&amp;B1285,"%","%25"),"~","%7E"),"*","%2A"),"?","%3F"),'Rules'!$G$7:$G$26,0))),"Unit mismatch",IF(IF(NOT(ISNUMBER(D1285)),TRUE,OR(D1285&lt;0,D1285&gt;999999999,ROUND(D1285,3)&lt;&gt;D1285)),"Invalid current reading",IF(AND(E1285&lt;&gt;"",IF(NOT(ISNUMBER(E1285)),TRUE,OR(E1285&lt;0,E1285&gt;999999999,ROUND(E1285,3)&lt;&gt;E1285))),"Invalid previous reading",IF(IF(NOT(ISNUMBER(F1285)),TRUE,OR(F1285&lt;0,F1285&gt;999999999,ROUND(F1285,3)&lt;&gt;F1285)),"Invalid last service",IF(AND(E1285&lt;&gt;"",D1285&lt;E1285),"Decreased reading",IF(F1285&gt;D1285,"Last service above current","")))))))))))))</x:f>
      </x:c>
      <x:c r="L1285" s="6" t="str">
        <x:f>IF(AND(NOT(COUNTA(A1285:F1285)=0),K1285=""),INDEX('Rules'!$C$7:$C$26,MATCH(SUBSTITUTE(SUBSTITUTE(SUBSTITUTE(SUBSTITUTE("type:"&amp;B1285,"%","%25"),"~","%7E"),"*","%2A"),"?","%3F"),'Rules'!$G$7:$G$26,0)),"")</x:f>
      </x:c>
      <x:c r="M1285" s="6" t="str">
        <x:f>IF(AND(NOT(COUNTA(A1285:F1285)=0),K1285=""),INDEX('Rules'!$D$7:$D$26,MATCH(SUBSTITUTE(SUBSTITUTE(SUBSTITUTE(SUBSTITUTE("type:"&amp;B1285,"%","%25"),"~","%7E"),"*","%2A"),"?","%3F"),'Rules'!$G$7:$G$26,0)),"")</x:f>
      </x:c>
      <x:c r="N1285" s="5" t="str">
        <x:f>IF(COUNTA(A1285:F1285)=0,"",SUBSTITUTE(SUBSTITUTE(SUBSTITUTE(SUBSTITUTE("id:"&amp;A1285,"%","%25"),"~","%7E"),"*","%2A"),"?","%3F"))</x:f>
      </x:c>
    </x:row>
    <x:row r="1286" ht="22" customHeight="1">
      <x:c r="A1286" s="3"/>
      <x:c r="B1286" s="3"/>
      <x:c r="C1286" s="3"/>
      <x:c r="D1286" s="4"/>
      <x:c r="E1286" s="4"/>
      <x:c r="F1286" s="4"/>
      <x:c r="G1286" s="5" t="str">
        <x:f>IF(COUNTA(A1286:F1286)=0,"",IF(K1286&lt;&gt;"","Review",IF(I1286&lt;0,"Overdue",IF(I1286=0,"Due now",IF(I1286&lt;=M1286,"Due soon","Not due")))))</x:f>
      </x:c>
      <x:c r="H1286" s="5" t="str">
        <x:f>IF(OR(COUNTA(A1286:F1286)=0,COUNTIFS('Rules'!$G$7:$G$26,"="&amp;(SUBSTITUTE(SUBSTITUTE(SUBSTITUTE(SUBSTITUTE("type:"&amp;B1286,"%","%25"),"~","%7E"),"*","%2A"),"?","%3F")))&lt;&gt;1),"",IF(OR(INDEX('Rules'!$B$7:$B$26,MATCH(SUBSTITUTE(SUBSTITUTE(SUBSTITUTE(SUBSTITUTE("type:"&amp;B1286,"%","%25"),"~","%7E"),"*","%2A"),"?","%3F"),'Rules'!$G$7:$G$26,0))="hours",INDEX('Rules'!$B$7:$B$26,MATCH(SUBSTITUTE(SUBSTITUTE(SUBSTITUTE(SUBSTITUTE("type:"&amp;B1286,"%","%25"),"~","%7E"),"*","%2A"),"?","%3F"),'Rules'!$G$7:$G$26,0))="km"),INDEX('Rules'!$B$7:$B$26,MATCH(SUBSTITUTE(SUBSTITUTE(SUBSTITUTE(SUBSTITUTE("type:"&amp;B1286,"%","%25"),"~","%7E"),"*","%2A"),"?","%3F"),'Rules'!$G$7:$G$26,0)),""))</x:f>
      </x:c>
      <x:c r="I1286" s="6" t="str">
        <x:f>IF(AND(NOT(COUNTA(A1286:F1286)=0),K1286=""),ROUND(J1286-D1286,3),"")</x:f>
      </x:c>
      <x:c r="J1286" s="6" t="str">
        <x:f>IF(AND(NOT(COUNTA(A1286:F1286)=0),K1286=""),ROUND(F1286+L1286,3),"")</x:f>
      </x:c>
      <x:c r="K1286" s="5" t="str">
        <x:f>IF(COUNTA(A1286:F1286)=0,"",IF(A1286="","Missing equipment ID",IF(COUNTIFS($N$8:$N$2007,"="&amp;N1286)&gt;1,"Duplicate equipment ID",IF(B1286="","Missing type",IF(COUNTIFS('Rules'!$G$7:$G$26,"="&amp;(SUBSTITUTE(SUBSTITUTE(SUBSTITUTE(SUBSTITUTE("type:"&amp;B1286,"%","%25"),"~","%7E"),"*","%2A"),"?","%3F")))=0,"Unknown type",IF(COUNTIFS('Rules'!$G$7:$G$26,"="&amp;(SUBSTITUTE(SUBSTITUTE(SUBSTITUTE(SUBSTITUTE("type:"&amp;B1286,"%","%25"),"~","%7E"),"*","%2A"),"?","%3F")))&gt;1,"Duplicate type",IF(INDEX('Rules'!$F$7:$F$26,MATCH(SUBSTITUTE(SUBSTITUTE(SUBSTITUTE(SUBSTITUTE("type:"&amp;B1286,"%","%25"),"~","%7E"),"*","%2A"),"?","%3F"),'Rules'!$G$7:$G$26,0))&lt;&gt;"",INDEX('Rules'!$F$7:$F$26,MATCH(SUBSTITUTE(SUBSTITUTE(SUBSTITUTE(SUBSTITUTE("type:"&amp;B1286,"%","%25"),"~","%7E"),"*","%2A"),"?","%3F"),'Rules'!$G$7:$G$26,0)),IF(AND(C1286&lt;&gt;"",C1286&lt;&gt;INDEX('Rules'!$B$7:$B$26,MATCH(SUBSTITUTE(SUBSTITUTE(SUBSTITUTE(SUBSTITUTE("type:"&amp;B1286,"%","%25"),"~","%7E"),"*","%2A"),"?","%3F"),'Rules'!$G$7:$G$26,0))),"Unit mismatch",IF(IF(NOT(ISNUMBER(D1286)),TRUE,OR(D1286&lt;0,D1286&gt;999999999,ROUND(D1286,3)&lt;&gt;D1286)),"Invalid current reading",IF(AND(E1286&lt;&gt;"",IF(NOT(ISNUMBER(E1286)),TRUE,OR(E1286&lt;0,E1286&gt;999999999,ROUND(E1286,3)&lt;&gt;E1286))),"Invalid previous reading",IF(IF(NOT(ISNUMBER(F1286)),TRUE,OR(F1286&lt;0,F1286&gt;999999999,ROUND(F1286,3)&lt;&gt;F1286)),"Invalid last service",IF(AND(E1286&lt;&gt;"",D1286&lt;E1286),"Decreased reading",IF(F1286&gt;D1286,"Last service above current","")))))))))))))</x:f>
      </x:c>
      <x:c r="L1286" s="6" t="str">
        <x:f>IF(AND(NOT(COUNTA(A1286:F1286)=0),K1286=""),INDEX('Rules'!$C$7:$C$26,MATCH(SUBSTITUTE(SUBSTITUTE(SUBSTITUTE(SUBSTITUTE("type:"&amp;B1286,"%","%25"),"~","%7E"),"*","%2A"),"?","%3F"),'Rules'!$G$7:$G$26,0)),"")</x:f>
      </x:c>
      <x:c r="M1286" s="6" t="str">
        <x:f>IF(AND(NOT(COUNTA(A1286:F1286)=0),K1286=""),INDEX('Rules'!$D$7:$D$26,MATCH(SUBSTITUTE(SUBSTITUTE(SUBSTITUTE(SUBSTITUTE("type:"&amp;B1286,"%","%25"),"~","%7E"),"*","%2A"),"?","%3F"),'Rules'!$G$7:$G$26,0)),"")</x:f>
      </x:c>
      <x:c r="N1286" s="5" t="str">
        <x:f>IF(COUNTA(A1286:F1286)=0,"",SUBSTITUTE(SUBSTITUTE(SUBSTITUTE(SUBSTITUTE("id:"&amp;A1286,"%","%25"),"~","%7E"),"*","%2A"),"?","%3F"))</x:f>
      </x:c>
    </x:row>
    <x:row r="1287" ht="22" customHeight="1">
      <x:c r="A1287" s="3"/>
      <x:c r="B1287" s="3"/>
      <x:c r="C1287" s="3"/>
      <x:c r="D1287" s="4"/>
      <x:c r="E1287" s="4"/>
      <x:c r="F1287" s="4"/>
      <x:c r="G1287" s="5" t="str">
        <x:f>IF(COUNTA(A1287:F1287)=0,"",IF(K1287&lt;&gt;"","Review",IF(I1287&lt;0,"Overdue",IF(I1287=0,"Due now",IF(I1287&lt;=M1287,"Due soon","Not due")))))</x:f>
      </x:c>
      <x:c r="H1287" s="5" t="str">
        <x:f>IF(OR(COUNTA(A1287:F1287)=0,COUNTIFS('Rules'!$G$7:$G$26,"="&amp;(SUBSTITUTE(SUBSTITUTE(SUBSTITUTE(SUBSTITUTE("type:"&amp;B1287,"%","%25"),"~","%7E"),"*","%2A"),"?","%3F")))&lt;&gt;1),"",IF(OR(INDEX('Rules'!$B$7:$B$26,MATCH(SUBSTITUTE(SUBSTITUTE(SUBSTITUTE(SUBSTITUTE("type:"&amp;B1287,"%","%25"),"~","%7E"),"*","%2A"),"?","%3F"),'Rules'!$G$7:$G$26,0))="hours",INDEX('Rules'!$B$7:$B$26,MATCH(SUBSTITUTE(SUBSTITUTE(SUBSTITUTE(SUBSTITUTE("type:"&amp;B1287,"%","%25"),"~","%7E"),"*","%2A"),"?","%3F"),'Rules'!$G$7:$G$26,0))="km"),INDEX('Rules'!$B$7:$B$26,MATCH(SUBSTITUTE(SUBSTITUTE(SUBSTITUTE(SUBSTITUTE("type:"&amp;B1287,"%","%25"),"~","%7E"),"*","%2A"),"?","%3F"),'Rules'!$G$7:$G$26,0)),""))</x:f>
      </x:c>
      <x:c r="I1287" s="6" t="str">
        <x:f>IF(AND(NOT(COUNTA(A1287:F1287)=0),K1287=""),ROUND(J1287-D1287,3),"")</x:f>
      </x:c>
      <x:c r="J1287" s="6" t="str">
        <x:f>IF(AND(NOT(COUNTA(A1287:F1287)=0),K1287=""),ROUND(F1287+L1287,3),"")</x:f>
      </x:c>
      <x:c r="K1287" s="5" t="str">
        <x:f>IF(COUNTA(A1287:F1287)=0,"",IF(A1287="","Missing equipment ID",IF(COUNTIFS($N$8:$N$2007,"="&amp;N1287)&gt;1,"Duplicate equipment ID",IF(B1287="","Missing type",IF(COUNTIFS('Rules'!$G$7:$G$26,"="&amp;(SUBSTITUTE(SUBSTITUTE(SUBSTITUTE(SUBSTITUTE("type:"&amp;B1287,"%","%25"),"~","%7E"),"*","%2A"),"?","%3F")))=0,"Unknown type",IF(COUNTIFS('Rules'!$G$7:$G$26,"="&amp;(SUBSTITUTE(SUBSTITUTE(SUBSTITUTE(SUBSTITUTE("type:"&amp;B1287,"%","%25"),"~","%7E"),"*","%2A"),"?","%3F")))&gt;1,"Duplicate type",IF(INDEX('Rules'!$F$7:$F$26,MATCH(SUBSTITUTE(SUBSTITUTE(SUBSTITUTE(SUBSTITUTE("type:"&amp;B1287,"%","%25"),"~","%7E"),"*","%2A"),"?","%3F"),'Rules'!$G$7:$G$26,0))&lt;&gt;"",INDEX('Rules'!$F$7:$F$26,MATCH(SUBSTITUTE(SUBSTITUTE(SUBSTITUTE(SUBSTITUTE("type:"&amp;B1287,"%","%25"),"~","%7E"),"*","%2A"),"?","%3F"),'Rules'!$G$7:$G$26,0)),IF(AND(C1287&lt;&gt;"",C1287&lt;&gt;INDEX('Rules'!$B$7:$B$26,MATCH(SUBSTITUTE(SUBSTITUTE(SUBSTITUTE(SUBSTITUTE("type:"&amp;B1287,"%","%25"),"~","%7E"),"*","%2A"),"?","%3F"),'Rules'!$G$7:$G$26,0))),"Unit mismatch",IF(IF(NOT(ISNUMBER(D1287)),TRUE,OR(D1287&lt;0,D1287&gt;999999999,ROUND(D1287,3)&lt;&gt;D1287)),"Invalid current reading",IF(AND(E1287&lt;&gt;"",IF(NOT(ISNUMBER(E1287)),TRUE,OR(E1287&lt;0,E1287&gt;999999999,ROUND(E1287,3)&lt;&gt;E1287))),"Invalid previous reading",IF(IF(NOT(ISNUMBER(F1287)),TRUE,OR(F1287&lt;0,F1287&gt;999999999,ROUND(F1287,3)&lt;&gt;F1287)),"Invalid last service",IF(AND(E1287&lt;&gt;"",D1287&lt;E1287),"Decreased reading",IF(F1287&gt;D1287,"Last service above current","")))))))))))))</x:f>
      </x:c>
      <x:c r="L1287" s="6" t="str">
        <x:f>IF(AND(NOT(COUNTA(A1287:F1287)=0),K1287=""),INDEX('Rules'!$C$7:$C$26,MATCH(SUBSTITUTE(SUBSTITUTE(SUBSTITUTE(SUBSTITUTE("type:"&amp;B1287,"%","%25"),"~","%7E"),"*","%2A"),"?","%3F"),'Rules'!$G$7:$G$26,0)),"")</x:f>
      </x:c>
      <x:c r="M1287" s="6" t="str">
        <x:f>IF(AND(NOT(COUNTA(A1287:F1287)=0),K1287=""),INDEX('Rules'!$D$7:$D$26,MATCH(SUBSTITUTE(SUBSTITUTE(SUBSTITUTE(SUBSTITUTE("type:"&amp;B1287,"%","%25"),"~","%7E"),"*","%2A"),"?","%3F"),'Rules'!$G$7:$G$26,0)),"")</x:f>
      </x:c>
      <x:c r="N1287" s="5" t="str">
        <x:f>IF(COUNTA(A1287:F1287)=0,"",SUBSTITUTE(SUBSTITUTE(SUBSTITUTE(SUBSTITUTE("id:"&amp;A1287,"%","%25"),"~","%7E"),"*","%2A"),"?","%3F"))</x:f>
      </x:c>
    </x:row>
    <x:row r="1288" ht="22" customHeight="1">
      <x:c r="A1288" s="3"/>
      <x:c r="B1288" s="3"/>
      <x:c r="C1288" s="3"/>
      <x:c r="D1288" s="4"/>
      <x:c r="E1288" s="4"/>
      <x:c r="F1288" s="4"/>
      <x:c r="G1288" s="5" t="str">
        <x:f>IF(COUNTA(A1288:F1288)=0,"",IF(K1288&lt;&gt;"","Review",IF(I1288&lt;0,"Overdue",IF(I1288=0,"Due now",IF(I1288&lt;=M1288,"Due soon","Not due")))))</x:f>
      </x:c>
      <x:c r="H1288" s="5" t="str">
        <x:f>IF(OR(COUNTA(A1288:F1288)=0,COUNTIFS('Rules'!$G$7:$G$26,"="&amp;(SUBSTITUTE(SUBSTITUTE(SUBSTITUTE(SUBSTITUTE("type:"&amp;B1288,"%","%25"),"~","%7E"),"*","%2A"),"?","%3F")))&lt;&gt;1),"",IF(OR(INDEX('Rules'!$B$7:$B$26,MATCH(SUBSTITUTE(SUBSTITUTE(SUBSTITUTE(SUBSTITUTE("type:"&amp;B1288,"%","%25"),"~","%7E"),"*","%2A"),"?","%3F"),'Rules'!$G$7:$G$26,0))="hours",INDEX('Rules'!$B$7:$B$26,MATCH(SUBSTITUTE(SUBSTITUTE(SUBSTITUTE(SUBSTITUTE("type:"&amp;B1288,"%","%25"),"~","%7E"),"*","%2A"),"?","%3F"),'Rules'!$G$7:$G$26,0))="km"),INDEX('Rules'!$B$7:$B$26,MATCH(SUBSTITUTE(SUBSTITUTE(SUBSTITUTE(SUBSTITUTE("type:"&amp;B1288,"%","%25"),"~","%7E"),"*","%2A"),"?","%3F"),'Rules'!$G$7:$G$26,0)),""))</x:f>
      </x:c>
      <x:c r="I1288" s="6" t="str">
        <x:f>IF(AND(NOT(COUNTA(A1288:F1288)=0),K1288=""),ROUND(J1288-D1288,3),"")</x:f>
      </x:c>
      <x:c r="J1288" s="6" t="str">
        <x:f>IF(AND(NOT(COUNTA(A1288:F1288)=0),K1288=""),ROUND(F1288+L1288,3),"")</x:f>
      </x:c>
      <x:c r="K1288" s="5" t="str">
        <x:f>IF(COUNTA(A1288:F1288)=0,"",IF(A1288="","Missing equipment ID",IF(COUNTIFS($N$8:$N$2007,"="&amp;N1288)&gt;1,"Duplicate equipment ID",IF(B1288="","Missing type",IF(COUNTIFS('Rules'!$G$7:$G$26,"="&amp;(SUBSTITUTE(SUBSTITUTE(SUBSTITUTE(SUBSTITUTE("type:"&amp;B1288,"%","%25"),"~","%7E"),"*","%2A"),"?","%3F")))=0,"Unknown type",IF(COUNTIFS('Rules'!$G$7:$G$26,"="&amp;(SUBSTITUTE(SUBSTITUTE(SUBSTITUTE(SUBSTITUTE("type:"&amp;B1288,"%","%25"),"~","%7E"),"*","%2A"),"?","%3F")))&gt;1,"Duplicate type",IF(INDEX('Rules'!$F$7:$F$26,MATCH(SUBSTITUTE(SUBSTITUTE(SUBSTITUTE(SUBSTITUTE("type:"&amp;B1288,"%","%25"),"~","%7E"),"*","%2A"),"?","%3F"),'Rules'!$G$7:$G$26,0))&lt;&gt;"",INDEX('Rules'!$F$7:$F$26,MATCH(SUBSTITUTE(SUBSTITUTE(SUBSTITUTE(SUBSTITUTE("type:"&amp;B1288,"%","%25"),"~","%7E"),"*","%2A"),"?","%3F"),'Rules'!$G$7:$G$26,0)),IF(AND(C1288&lt;&gt;"",C1288&lt;&gt;INDEX('Rules'!$B$7:$B$26,MATCH(SUBSTITUTE(SUBSTITUTE(SUBSTITUTE(SUBSTITUTE("type:"&amp;B1288,"%","%25"),"~","%7E"),"*","%2A"),"?","%3F"),'Rules'!$G$7:$G$26,0))),"Unit mismatch",IF(IF(NOT(ISNUMBER(D1288)),TRUE,OR(D1288&lt;0,D1288&gt;999999999,ROUND(D1288,3)&lt;&gt;D1288)),"Invalid current reading",IF(AND(E1288&lt;&gt;"",IF(NOT(ISNUMBER(E1288)),TRUE,OR(E1288&lt;0,E1288&gt;999999999,ROUND(E1288,3)&lt;&gt;E1288))),"Invalid previous reading",IF(IF(NOT(ISNUMBER(F1288)),TRUE,OR(F1288&lt;0,F1288&gt;999999999,ROUND(F1288,3)&lt;&gt;F1288)),"Invalid last service",IF(AND(E1288&lt;&gt;"",D1288&lt;E1288),"Decreased reading",IF(F1288&gt;D1288,"Last service above current","")))))))))))))</x:f>
      </x:c>
      <x:c r="L1288" s="6" t="str">
        <x:f>IF(AND(NOT(COUNTA(A1288:F1288)=0),K1288=""),INDEX('Rules'!$C$7:$C$26,MATCH(SUBSTITUTE(SUBSTITUTE(SUBSTITUTE(SUBSTITUTE("type:"&amp;B1288,"%","%25"),"~","%7E"),"*","%2A"),"?","%3F"),'Rules'!$G$7:$G$26,0)),"")</x:f>
      </x:c>
      <x:c r="M1288" s="6" t="str">
        <x:f>IF(AND(NOT(COUNTA(A1288:F1288)=0),K1288=""),INDEX('Rules'!$D$7:$D$26,MATCH(SUBSTITUTE(SUBSTITUTE(SUBSTITUTE(SUBSTITUTE("type:"&amp;B1288,"%","%25"),"~","%7E"),"*","%2A"),"?","%3F"),'Rules'!$G$7:$G$26,0)),"")</x:f>
      </x:c>
      <x:c r="N1288" s="5" t="str">
        <x:f>IF(COUNTA(A1288:F1288)=0,"",SUBSTITUTE(SUBSTITUTE(SUBSTITUTE(SUBSTITUTE("id:"&amp;A1288,"%","%25"),"~","%7E"),"*","%2A"),"?","%3F"))</x:f>
      </x:c>
    </x:row>
    <x:row r="1289" ht="22" customHeight="1">
      <x:c r="A1289" s="3"/>
      <x:c r="B1289" s="3"/>
      <x:c r="C1289" s="3"/>
      <x:c r="D1289" s="4"/>
      <x:c r="E1289" s="4"/>
      <x:c r="F1289" s="4"/>
      <x:c r="G1289" s="5" t="str">
        <x:f>IF(COUNTA(A1289:F1289)=0,"",IF(K1289&lt;&gt;"","Review",IF(I1289&lt;0,"Overdue",IF(I1289=0,"Due now",IF(I1289&lt;=M1289,"Due soon","Not due")))))</x:f>
      </x:c>
      <x:c r="H1289" s="5" t="str">
        <x:f>IF(OR(COUNTA(A1289:F1289)=0,COUNTIFS('Rules'!$G$7:$G$26,"="&amp;(SUBSTITUTE(SUBSTITUTE(SUBSTITUTE(SUBSTITUTE("type:"&amp;B1289,"%","%25"),"~","%7E"),"*","%2A"),"?","%3F")))&lt;&gt;1),"",IF(OR(INDEX('Rules'!$B$7:$B$26,MATCH(SUBSTITUTE(SUBSTITUTE(SUBSTITUTE(SUBSTITUTE("type:"&amp;B1289,"%","%25"),"~","%7E"),"*","%2A"),"?","%3F"),'Rules'!$G$7:$G$26,0))="hours",INDEX('Rules'!$B$7:$B$26,MATCH(SUBSTITUTE(SUBSTITUTE(SUBSTITUTE(SUBSTITUTE("type:"&amp;B1289,"%","%25"),"~","%7E"),"*","%2A"),"?","%3F"),'Rules'!$G$7:$G$26,0))="km"),INDEX('Rules'!$B$7:$B$26,MATCH(SUBSTITUTE(SUBSTITUTE(SUBSTITUTE(SUBSTITUTE("type:"&amp;B1289,"%","%25"),"~","%7E"),"*","%2A"),"?","%3F"),'Rules'!$G$7:$G$26,0)),""))</x:f>
      </x:c>
      <x:c r="I1289" s="6" t="str">
        <x:f>IF(AND(NOT(COUNTA(A1289:F1289)=0),K1289=""),ROUND(J1289-D1289,3),"")</x:f>
      </x:c>
      <x:c r="J1289" s="6" t="str">
        <x:f>IF(AND(NOT(COUNTA(A1289:F1289)=0),K1289=""),ROUND(F1289+L1289,3),"")</x:f>
      </x:c>
      <x:c r="K1289" s="5" t="str">
        <x:f>IF(COUNTA(A1289:F1289)=0,"",IF(A1289="","Missing equipment ID",IF(COUNTIFS($N$8:$N$2007,"="&amp;N1289)&gt;1,"Duplicate equipment ID",IF(B1289="","Missing type",IF(COUNTIFS('Rules'!$G$7:$G$26,"="&amp;(SUBSTITUTE(SUBSTITUTE(SUBSTITUTE(SUBSTITUTE("type:"&amp;B1289,"%","%25"),"~","%7E"),"*","%2A"),"?","%3F")))=0,"Unknown type",IF(COUNTIFS('Rules'!$G$7:$G$26,"="&amp;(SUBSTITUTE(SUBSTITUTE(SUBSTITUTE(SUBSTITUTE("type:"&amp;B1289,"%","%25"),"~","%7E"),"*","%2A"),"?","%3F")))&gt;1,"Duplicate type",IF(INDEX('Rules'!$F$7:$F$26,MATCH(SUBSTITUTE(SUBSTITUTE(SUBSTITUTE(SUBSTITUTE("type:"&amp;B1289,"%","%25"),"~","%7E"),"*","%2A"),"?","%3F"),'Rules'!$G$7:$G$26,0))&lt;&gt;"",INDEX('Rules'!$F$7:$F$26,MATCH(SUBSTITUTE(SUBSTITUTE(SUBSTITUTE(SUBSTITUTE("type:"&amp;B1289,"%","%25"),"~","%7E"),"*","%2A"),"?","%3F"),'Rules'!$G$7:$G$26,0)),IF(AND(C1289&lt;&gt;"",C1289&lt;&gt;INDEX('Rules'!$B$7:$B$26,MATCH(SUBSTITUTE(SUBSTITUTE(SUBSTITUTE(SUBSTITUTE("type:"&amp;B1289,"%","%25"),"~","%7E"),"*","%2A"),"?","%3F"),'Rules'!$G$7:$G$26,0))),"Unit mismatch",IF(IF(NOT(ISNUMBER(D1289)),TRUE,OR(D1289&lt;0,D1289&gt;999999999,ROUND(D1289,3)&lt;&gt;D1289)),"Invalid current reading",IF(AND(E1289&lt;&gt;"",IF(NOT(ISNUMBER(E1289)),TRUE,OR(E1289&lt;0,E1289&gt;999999999,ROUND(E1289,3)&lt;&gt;E1289))),"Invalid previous reading",IF(IF(NOT(ISNUMBER(F1289)),TRUE,OR(F1289&lt;0,F1289&gt;999999999,ROUND(F1289,3)&lt;&gt;F1289)),"Invalid last service",IF(AND(E1289&lt;&gt;"",D1289&lt;E1289),"Decreased reading",IF(F1289&gt;D1289,"Last service above current","")))))))))))))</x:f>
      </x:c>
      <x:c r="L1289" s="6" t="str">
        <x:f>IF(AND(NOT(COUNTA(A1289:F1289)=0),K1289=""),INDEX('Rules'!$C$7:$C$26,MATCH(SUBSTITUTE(SUBSTITUTE(SUBSTITUTE(SUBSTITUTE("type:"&amp;B1289,"%","%25"),"~","%7E"),"*","%2A"),"?","%3F"),'Rules'!$G$7:$G$26,0)),"")</x:f>
      </x:c>
      <x:c r="M1289" s="6" t="str">
        <x:f>IF(AND(NOT(COUNTA(A1289:F1289)=0),K1289=""),INDEX('Rules'!$D$7:$D$26,MATCH(SUBSTITUTE(SUBSTITUTE(SUBSTITUTE(SUBSTITUTE("type:"&amp;B1289,"%","%25"),"~","%7E"),"*","%2A"),"?","%3F"),'Rules'!$G$7:$G$26,0)),"")</x:f>
      </x:c>
      <x:c r="N1289" s="5" t="str">
        <x:f>IF(COUNTA(A1289:F1289)=0,"",SUBSTITUTE(SUBSTITUTE(SUBSTITUTE(SUBSTITUTE("id:"&amp;A1289,"%","%25"),"~","%7E"),"*","%2A"),"?","%3F"))</x:f>
      </x:c>
    </x:row>
    <x:row r="1290" ht="22" customHeight="1">
      <x:c r="A1290" s="3"/>
      <x:c r="B1290" s="3"/>
      <x:c r="C1290" s="3"/>
      <x:c r="D1290" s="4"/>
      <x:c r="E1290" s="4"/>
      <x:c r="F1290" s="4"/>
      <x:c r="G1290" s="5" t="str">
        <x:f>IF(COUNTA(A1290:F1290)=0,"",IF(K1290&lt;&gt;"","Review",IF(I1290&lt;0,"Overdue",IF(I1290=0,"Due now",IF(I1290&lt;=M1290,"Due soon","Not due")))))</x:f>
      </x:c>
      <x:c r="H1290" s="5" t="str">
        <x:f>IF(OR(COUNTA(A1290:F1290)=0,COUNTIFS('Rules'!$G$7:$G$26,"="&amp;(SUBSTITUTE(SUBSTITUTE(SUBSTITUTE(SUBSTITUTE("type:"&amp;B1290,"%","%25"),"~","%7E"),"*","%2A"),"?","%3F")))&lt;&gt;1),"",IF(OR(INDEX('Rules'!$B$7:$B$26,MATCH(SUBSTITUTE(SUBSTITUTE(SUBSTITUTE(SUBSTITUTE("type:"&amp;B1290,"%","%25"),"~","%7E"),"*","%2A"),"?","%3F"),'Rules'!$G$7:$G$26,0))="hours",INDEX('Rules'!$B$7:$B$26,MATCH(SUBSTITUTE(SUBSTITUTE(SUBSTITUTE(SUBSTITUTE("type:"&amp;B1290,"%","%25"),"~","%7E"),"*","%2A"),"?","%3F"),'Rules'!$G$7:$G$26,0))="km"),INDEX('Rules'!$B$7:$B$26,MATCH(SUBSTITUTE(SUBSTITUTE(SUBSTITUTE(SUBSTITUTE("type:"&amp;B1290,"%","%25"),"~","%7E"),"*","%2A"),"?","%3F"),'Rules'!$G$7:$G$26,0)),""))</x:f>
      </x:c>
      <x:c r="I1290" s="6" t="str">
        <x:f>IF(AND(NOT(COUNTA(A1290:F1290)=0),K1290=""),ROUND(J1290-D1290,3),"")</x:f>
      </x:c>
      <x:c r="J1290" s="6" t="str">
        <x:f>IF(AND(NOT(COUNTA(A1290:F1290)=0),K1290=""),ROUND(F1290+L1290,3),"")</x:f>
      </x:c>
      <x:c r="K1290" s="5" t="str">
        <x:f>IF(COUNTA(A1290:F1290)=0,"",IF(A1290="","Missing equipment ID",IF(COUNTIFS($N$8:$N$2007,"="&amp;N1290)&gt;1,"Duplicate equipment ID",IF(B1290="","Missing type",IF(COUNTIFS('Rules'!$G$7:$G$26,"="&amp;(SUBSTITUTE(SUBSTITUTE(SUBSTITUTE(SUBSTITUTE("type:"&amp;B1290,"%","%25"),"~","%7E"),"*","%2A"),"?","%3F")))=0,"Unknown type",IF(COUNTIFS('Rules'!$G$7:$G$26,"="&amp;(SUBSTITUTE(SUBSTITUTE(SUBSTITUTE(SUBSTITUTE("type:"&amp;B1290,"%","%25"),"~","%7E"),"*","%2A"),"?","%3F")))&gt;1,"Duplicate type",IF(INDEX('Rules'!$F$7:$F$26,MATCH(SUBSTITUTE(SUBSTITUTE(SUBSTITUTE(SUBSTITUTE("type:"&amp;B1290,"%","%25"),"~","%7E"),"*","%2A"),"?","%3F"),'Rules'!$G$7:$G$26,0))&lt;&gt;"",INDEX('Rules'!$F$7:$F$26,MATCH(SUBSTITUTE(SUBSTITUTE(SUBSTITUTE(SUBSTITUTE("type:"&amp;B1290,"%","%25"),"~","%7E"),"*","%2A"),"?","%3F"),'Rules'!$G$7:$G$26,0)),IF(AND(C1290&lt;&gt;"",C1290&lt;&gt;INDEX('Rules'!$B$7:$B$26,MATCH(SUBSTITUTE(SUBSTITUTE(SUBSTITUTE(SUBSTITUTE("type:"&amp;B1290,"%","%25"),"~","%7E"),"*","%2A"),"?","%3F"),'Rules'!$G$7:$G$26,0))),"Unit mismatch",IF(IF(NOT(ISNUMBER(D1290)),TRUE,OR(D1290&lt;0,D1290&gt;999999999,ROUND(D1290,3)&lt;&gt;D1290)),"Invalid current reading",IF(AND(E1290&lt;&gt;"",IF(NOT(ISNUMBER(E1290)),TRUE,OR(E1290&lt;0,E1290&gt;999999999,ROUND(E1290,3)&lt;&gt;E1290))),"Invalid previous reading",IF(IF(NOT(ISNUMBER(F1290)),TRUE,OR(F1290&lt;0,F1290&gt;999999999,ROUND(F1290,3)&lt;&gt;F1290)),"Invalid last service",IF(AND(E1290&lt;&gt;"",D1290&lt;E1290),"Decreased reading",IF(F1290&gt;D1290,"Last service above current","")))))))))))))</x:f>
      </x:c>
      <x:c r="L1290" s="6" t="str">
        <x:f>IF(AND(NOT(COUNTA(A1290:F1290)=0),K1290=""),INDEX('Rules'!$C$7:$C$26,MATCH(SUBSTITUTE(SUBSTITUTE(SUBSTITUTE(SUBSTITUTE("type:"&amp;B1290,"%","%25"),"~","%7E"),"*","%2A"),"?","%3F"),'Rules'!$G$7:$G$26,0)),"")</x:f>
      </x:c>
      <x:c r="M1290" s="6" t="str">
        <x:f>IF(AND(NOT(COUNTA(A1290:F1290)=0),K1290=""),INDEX('Rules'!$D$7:$D$26,MATCH(SUBSTITUTE(SUBSTITUTE(SUBSTITUTE(SUBSTITUTE("type:"&amp;B1290,"%","%25"),"~","%7E"),"*","%2A"),"?","%3F"),'Rules'!$G$7:$G$26,0)),"")</x:f>
      </x:c>
      <x:c r="N1290" s="5" t="str">
        <x:f>IF(COUNTA(A1290:F1290)=0,"",SUBSTITUTE(SUBSTITUTE(SUBSTITUTE(SUBSTITUTE("id:"&amp;A1290,"%","%25"),"~","%7E"),"*","%2A"),"?","%3F"))</x:f>
      </x:c>
    </x:row>
    <x:row r="1291" ht="22" customHeight="1">
      <x:c r="A1291" s="3"/>
      <x:c r="B1291" s="3"/>
      <x:c r="C1291" s="3"/>
      <x:c r="D1291" s="4"/>
      <x:c r="E1291" s="4"/>
      <x:c r="F1291" s="4"/>
      <x:c r="G1291" s="5" t="str">
        <x:f>IF(COUNTA(A1291:F1291)=0,"",IF(K1291&lt;&gt;"","Review",IF(I1291&lt;0,"Overdue",IF(I1291=0,"Due now",IF(I1291&lt;=M1291,"Due soon","Not due")))))</x:f>
      </x:c>
      <x:c r="H1291" s="5" t="str">
        <x:f>IF(OR(COUNTA(A1291:F1291)=0,COUNTIFS('Rules'!$G$7:$G$26,"="&amp;(SUBSTITUTE(SUBSTITUTE(SUBSTITUTE(SUBSTITUTE("type:"&amp;B1291,"%","%25"),"~","%7E"),"*","%2A"),"?","%3F")))&lt;&gt;1),"",IF(OR(INDEX('Rules'!$B$7:$B$26,MATCH(SUBSTITUTE(SUBSTITUTE(SUBSTITUTE(SUBSTITUTE("type:"&amp;B1291,"%","%25"),"~","%7E"),"*","%2A"),"?","%3F"),'Rules'!$G$7:$G$26,0))="hours",INDEX('Rules'!$B$7:$B$26,MATCH(SUBSTITUTE(SUBSTITUTE(SUBSTITUTE(SUBSTITUTE("type:"&amp;B1291,"%","%25"),"~","%7E"),"*","%2A"),"?","%3F"),'Rules'!$G$7:$G$26,0))="km"),INDEX('Rules'!$B$7:$B$26,MATCH(SUBSTITUTE(SUBSTITUTE(SUBSTITUTE(SUBSTITUTE("type:"&amp;B1291,"%","%25"),"~","%7E"),"*","%2A"),"?","%3F"),'Rules'!$G$7:$G$26,0)),""))</x:f>
      </x:c>
      <x:c r="I1291" s="6" t="str">
        <x:f>IF(AND(NOT(COUNTA(A1291:F1291)=0),K1291=""),ROUND(J1291-D1291,3),"")</x:f>
      </x:c>
      <x:c r="J1291" s="6" t="str">
        <x:f>IF(AND(NOT(COUNTA(A1291:F1291)=0),K1291=""),ROUND(F1291+L1291,3),"")</x:f>
      </x:c>
      <x:c r="K1291" s="5" t="str">
        <x:f>IF(COUNTA(A1291:F1291)=0,"",IF(A1291="","Missing equipment ID",IF(COUNTIFS($N$8:$N$2007,"="&amp;N1291)&gt;1,"Duplicate equipment ID",IF(B1291="","Missing type",IF(COUNTIFS('Rules'!$G$7:$G$26,"="&amp;(SUBSTITUTE(SUBSTITUTE(SUBSTITUTE(SUBSTITUTE("type:"&amp;B1291,"%","%25"),"~","%7E"),"*","%2A"),"?","%3F")))=0,"Unknown type",IF(COUNTIFS('Rules'!$G$7:$G$26,"="&amp;(SUBSTITUTE(SUBSTITUTE(SUBSTITUTE(SUBSTITUTE("type:"&amp;B1291,"%","%25"),"~","%7E"),"*","%2A"),"?","%3F")))&gt;1,"Duplicate type",IF(INDEX('Rules'!$F$7:$F$26,MATCH(SUBSTITUTE(SUBSTITUTE(SUBSTITUTE(SUBSTITUTE("type:"&amp;B1291,"%","%25"),"~","%7E"),"*","%2A"),"?","%3F"),'Rules'!$G$7:$G$26,0))&lt;&gt;"",INDEX('Rules'!$F$7:$F$26,MATCH(SUBSTITUTE(SUBSTITUTE(SUBSTITUTE(SUBSTITUTE("type:"&amp;B1291,"%","%25"),"~","%7E"),"*","%2A"),"?","%3F"),'Rules'!$G$7:$G$26,0)),IF(AND(C1291&lt;&gt;"",C1291&lt;&gt;INDEX('Rules'!$B$7:$B$26,MATCH(SUBSTITUTE(SUBSTITUTE(SUBSTITUTE(SUBSTITUTE("type:"&amp;B1291,"%","%25"),"~","%7E"),"*","%2A"),"?","%3F"),'Rules'!$G$7:$G$26,0))),"Unit mismatch",IF(IF(NOT(ISNUMBER(D1291)),TRUE,OR(D1291&lt;0,D1291&gt;999999999,ROUND(D1291,3)&lt;&gt;D1291)),"Invalid current reading",IF(AND(E1291&lt;&gt;"",IF(NOT(ISNUMBER(E1291)),TRUE,OR(E1291&lt;0,E1291&gt;999999999,ROUND(E1291,3)&lt;&gt;E1291))),"Invalid previous reading",IF(IF(NOT(ISNUMBER(F1291)),TRUE,OR(F1291&lt;0,F1291&gt;999999999,ROUND(F1291,3)&lt;&gt;F1291)),"Invalid last service",IF(AND(E1291&lt;&gt;"",D1291&lt;E1291),"Decreased reading",IF(F1291&gt;D1291,"Last service above current","")))))))))))))</x:f>
      </x:c>
      <x:c r="L1291" s="6" t="str">
        <x:f>IF(AND(NOT(COUNTA(A1291:F1291)=0),K1291=""),INDEX('Rules'!$C$7:$C$26,MATCH(SUBSTITUTE(SUBSTITUTE(SUBSTITUTE(SUBSTITUTE("type:"&amp;B1291,"%","%25"),"~","%7E"),"*","%2A"),"?","%3F"),'Rules'!$G$7:$G$26,0)),"")</x:f>
      </x:c>
      <x:c r="M1291" s="6" t="str">
        <x:f>IF(AND(NOT(COUNTA(A1291:F1291)=0),K1291=""),INDEX('Rules'!$D$7:$D$26,MATCH(SUBSTITUTE(SUBSTITUTE(SUBSTITUTE(SUBSTITUTE("type:"&amp;B1291,"%","%25"),"~","%7E"),"*","%2A"),"?","%3F"),'Rules'!$G$7:$G$26,0)),"")</x:f>
      </x:c>
      <x:c r="N1291" s="5" t="str">
        <x:f>IF(COUNTA(A1291:F1291)=0,"",SUBSTITUTE(SUBSTITUTE(SUBSTITUTE(SUBSTITUTE("id:"&amp;A1291,"%","%25"),"~","%7E"),"*","%2A"),"?","%3F"))</x:f>
      </x:c>
    </x:row>
    <x:row r="1292" ht="22" customHeight="1">
      <x:c r="A1292" s="3"/>
      <x:c r="B1292" s="3"/>
      <x:c r="C1292" s="3"/>
      <x:c r="D1292" s="4"/>
      <x:c r="E1292" s="4"/>
      <x:c r="F1292" s="4"/>
      <x:c r="G1292" s="5" t="str">
        <x:f>IF(COUNTA(A1292:F1292)=0,"",IF(K1292&lt;&gt;"","Review",IF(I1292&lt;0,"Overdue",IF(I1292=0,"Due now",IF(I1292&lt;=M1292,"Due soon","Not due")))))</x:f>
      </x:c>
      <x:c r="H1292" s="5" t="str">
        <x:f>IF(OR(COUNTA(A1292:F1292)=0,COUNTIFS('Rules'!$G$7:$G$26,"="&amp;(SUBSTITUTE(SUBSTITUTE(SUBSTITUTE(SUBSTITUTE("type:"&amp;B1292,"%","%25"),"~","%7E"),"*","%2A"),"?","%3F")))&lt;&gt;1),"",IF(OR(INDEX('Rules'!$B$7:$B$26,MATCH(SUBSTITUTE(SUBSTITUTE(SUBSTITUTE(SUBSTITUTE("type:"&amp;B1292,"%","%25"),"~","%7E"),"*","%2A"),"?","%3F"),'Rules'!$G$7:$G$26,0))="hours",INDEX('Rules'!$B$7:$B$26,MATCH(SUBSTITUTE(SUBSTITUTE(SUBSTITUTE(SUBSTITUTE("type:"&amp;B1292,"%","%25"),"~","%7E"),"*","%2A"),"?","%3F"),'Rules'!$G$7:$G$26,0))="km"),INDEX('Rules'!$B$7:$B$26,MATCH(SUBSTITUTE(SUBSTITUTE(SUBSTITUTE(SUBSTITUTE("type:"&amp;B1292,"%","%25"),"~","%7E"),"*","%2A"),"?","%3F"),'Rules'!$G$7:$G$26,0)),""))</x:f>
      </x:c>
      <x:c r="I1292" s="6" t="str">
        <x:f>IF(AND(NOT(COUNTA(A1292:F1292)=0),K1292=""),ROUND(J1292-D1292,3),"")</x:f>
      </x:c>
      <x:c r="J1292" s="6" t="str">
        <x:f>IF(AND(NOT(COUNTA(A1292:F1292)=0),K1292=""),ROUND(F1292+L1292,3),"")</x:f>
      </x:c>
      <x:c r="K1292" s="5" t="str">
        <x:f>IF(COUNTA(A1292:F1292)=0,"",IF(A1292="","Missing equipment ID",IF(COUNTIFS($N$8:$N$2007,"="&amp;N1292)&gt;1,"Duplicate equipment ID",IF(B1292="","Missing type",IF(COUNTIFS('Rules'!$G$7:$G$26,"="&amp;(SUBSTITUTE(SUBSTITUTE(SUBSTITUTE(SUBSTITUTE("type:"&amp;B1292,"%","%25"),"~","%7E"),"*","%2A"),"?","%3F")))=0,"Unknown type",IF(COUNTIFS('Rules'!$G$7:$G$26,"="&amp;(SUBSTITUTE(SUBSTITUTE(SUBSTITUTE(SUBSTITUTE("type:"&amp;B1292,"%","%25"),"~","%7E"),"*","%2A"),"?","%3F")))&gt;1,"Duplicate type",IF(INDEX('Rules'!$F$7:$F$26,MATCH(SUBSTITUTE(SUBSTITUTE(SUBSTITUTE(SUBSTITUTE("type:"&amp;B1292,"%","%25"),"~","%7E"),"*","%2A"),"?","%3F"),'Rules'!$G$7:$G$26,0))&lt;&gt;"",INDEX('Rules'!$F$7:$F$26,MATCH(SUBSTITUTE(SUBSTITUTE(SUBSTITUTE(SUBSTITUTE("type:"&amp;B1292,"%","%25"),"~","%7E"),"*","%2A"),"?","%3F"),'Rules'!$G$7:$G$26,0)),IF(AND(C1292&lt;&gt;"",C1292&lt;&gt;INDEX('Rules'!$B$7:$B$26,MATCH(SUBSTITUTE(SUBSTITUTE(SUBSTITUTE(SUBSTITUTE("type:"&amp;B1292,"%","%25"),"~","%7E"),"*","%2A"),"?","%3F"),'Rules'!$G$7:$G$26,0))),"Unit mismatch",IF(IF(NOT(ISNUMBER(D1292)),TRUE,OR(D1292&lt;0,D1292&gt;999999999,ROUND(D1292,3)&lt;&gt;D1292)),"Invalid current reading",IF(AND(E1292&lt;&gt;"",IF(NOT(ISNUMBER(E1292)),TRUE,OR(E1292&lt;0,E1292&gt;999999999,ROUND(E1292,3)&lt;&gt;E1292))),"Invalid previous reading",IF(IF(NOT(ISNUMBER(F1292)),TRUE,OR(F1292&lt;0,F1292&gt;999999999,ROUND(F1292,3)&lt;&gt;F1292)),"Invalid last service",IF(AND(E1292&lt;&gt;"",D1292&lt;E1292),"Decreased reading",IF(F1292&gt;D1292,"Last service above current","")))))))))))))</x:f>
      </x:c>
      <x:c r="L1292" s="6" t="str">
        <x:f>IF(AND(NOT(COUNTA(A1292:F1292)=0),K1292=""),INDEX('Rules'!$C$7:$C$26,MATCH(SUBSTITUTE(SUBSTITUTE(SUBSTITUTE(SUBSTITUTE("type:"&amp;B1292,"%","%25"),"~","%7E"),"*","%2A"),"?","%3F"),'Rules'!$G$7:$G$26,0)),"")</x:f>
      </x:c>
      <x:c r="M1292" s="6" t="str">
        <x:f>IF(AND(NOT(COUNTA(A1292:F1292)=0),K1292=""),INDEX('Rules'!$D$7:$D$26,MATCH(SUBSTITUTE(SUBSTITUTE(SUBSTITUTE(SUBSTITUTE("type:"&amp;B1292,"%","%25"),"~","%7E"),"*","%2A"),"?","%3F"),'Rules'!$G$7:$G$26,0)),"")</x:f>
      </x:c>
      <x:c r="N1292" s="5" t="str">
        <x:f>IF(COUNTA(A1292:F1292)=0,"",SUBSTITUTE(SUBSTITUTE(SUBSTITUTE(SUBSTITUTE("id:"&amp;A1292,"%","%25"),"~","%7E"),"*","%2A"),"?","%3F"))</x:f>
      </x:c>
    </x:row>
    <x:row r="1293" ht="22" customHeight="1">
      <x:c r="A1293" s="3"/>
      <x:c r="B1293" s="3"/>
      <x:c r="C1293" s="3"/>
      <x:c r="D1293" s="4"/>
      <x:c r="E1293" s="4"/>
      <x:c r="F1293" s="4"/>
      <x:c r="G1293" s="5" t="str">
        <x:f>IF(COUNTA(A1293:F1293)=0,"",IF(K1293&lt;&gt;"","Review",IF(I1293&lt;0,"Overdue",IF(I1293=0,"Due now",IF(I1293&lt;=M1293,"Due soon","Not due")))))</x:f>
      </x:c>
      <x:c r="H1293" s="5" t="str">
        <x:f>IF(OR(COUNTA(A1293:F1293)=0,COUNTIFS('Rules'!$G$7:$G$26,"="&amp;(SUBSTITUTE(SUBSTITUTE(SUBSTITUTE(SUBSTITUTE("type:"&amp;B1293,"%","%25"),"~","%7E"),"*","%2A"),"?","%3F")))&lt;&gt;1),"",IF(OR(INDEX('Rules'!$B$7:$B$26,MATCH(SUBSTITUTE(SUBSTITUTE(SUBSTITUTE(SUBSTITUTE("type:"&amp;B1293,"%","%25"),"~","%7E"),"*","%2A"),"?","%3F"),'Rules'!$G$7:$G$26,0))="hours",INDEX('Rules'!$B$7:$B$26,MATCH(SUBSTITUTE(SUBSTITUTE(SUBSTITUTE(SUBSTITUTE("type:"&amp;B1293,"%","%25"),"~","%7E"),"*","%2A"),"?","%3F"),'Rules'!$G$7:$G$26,0))="km"),INDEX('Rules'!$B$7:$B$26,MATCH(SUBSTITUTE(SUBSTITUTE(SUBSTITUTE(SUBSTITUTE("type:"&amp;B1293,"%","%25"),"~","%7E"),"*","%2A"),"?","%3F"),'Rules'!$G$7:$G$26,0)),""))</x:f>
      </x:c>
      <x:c r="I1293" s="6" t="str">
        <x:f>IF(AND(NOT(COUNTA(A1293:F1293)=0),K1293=""),ROUND(J1293-D1293,3),"")</x:f>
      </x:c>
      <x:c r="J1293" s="6" t="str">
        <x:f>IF(AND(NOT(COUNTA(A1293:F1293)=0),K1293=""),ROUND(F1293+L1293,3),"")</x:f>
      </x:c>
      <x:c r="K1293" s="5" t="str">
        <x:f>IF(COUNTA(A1293:F1293)=0,"",IF(A1293="","Missing equipment ID",IF(COUNTIFS($N$8:$N$2007,"="&amp;N1293)&gt;1,"Duplicate equipment ID",IF(B1293="","Missing type",IF(COUNTIFS('Rules'!$G$7:$G$26,"="&amp;(SUBSTITUTE(SUBSTITUTE(SUBSTITUTE(SUBSTITUTE("type:"&amp;B1293,"%","%25"),"~","%7E"),"*","%2A"),"?","%3F")))=0,"Unknown type",IF(COUNTIFS('Rules'!$G$7:$G$26,"="&amp;(SUBSTITUTE(SUBSTITUTE(SUBSTITUTE(SUBSTITUTE("type:"&amp;B1293,"%","%25"),"~","%7E"),"*","%2A"),"?","%3F")))&gt;1,"Duplicate type",IF(INDEX('Rules'!$F$7:$F$26,MATCH(SUBSTITUTE(SUBSTITUTE(SUBSTITUTE(SUBSTITUTE("type:"&amp;B1293,"%","%25"),"~","%7E"),"*","%2A"),"?","%3F"),'Rules'!$G$7:$G$26,0))&lt;&gt;"",INDEX('Rules'!$F$7:$F$26,MATCH(SUBSTITUTE(SUBSTITUTE(SUBSTITUTE(SUBSTITUTE("type:"&amp;B1293,"%","%25"),"~","%7E"),"*","%2A"),"?","%3F"),'Rules'!$G$7:$G$26,0)),IF(AND(C1293&lt;&gt;"",C1293&lt;&gt;INDEX('Rules'!$B$7:$B$26,MATCH(SUBSTITUTE(SUBSTITUTE(SUBSTITUTE(SUBSTITUTE("type:"&amp;B1293,"%","%25"),"~","%7E"),"*","%2A"),"?","%3F"),'Rules'!$G$7:$G$26,0))),"Unit mismatch",IF(IF(NOT(ISNUMBER(D1293)),TRUE,OR(D1293&lt;0,D1293&gt;999999999,ROUND(D1293,3)&lt;&gt;D1293)),"Invalid current reading",IF(AND(E1293&lt;&gt;"",IF(NOT(ISNUMBER(E1293)),TRUE,OR(E1293&lt;0,E1293&gt;999999999,ROUND(E1293,3)&lt;&gt;E1293))),"Invalid previous reading",IF(IF(NOT(ISNUMBER(F1293)),TRUE,OR(F1293&lt;0,F1293&gt;999999999,ROUND(F1293,3)&lt;&gt;F1293)),"Invalid last service",IF(AND(E1293&lt;&gt;"",D1293&lt;E1293),"Decreased reading",IF(F1293&gt;D1293,"Last service above current","")))))))))))))</x:f>
      </x:c>
      <x:c r="L1293" s="6" t="str">
        <x:f>IF(AND(NOT(COUNTA(A1293:F1293)=0),K1293=""),INDEX('Rules'!$C$7:$C$26,MATCH(SUBSTITUTE(SUBSTITUTE(SUBSTITUTE(SUBSTITUTE("type:"&amp;B1293,"%","%25"),"~","%7E"),"*","%2A"),"?","%3F"),'Rules'!$G$7:$G$26,0)),"")</x:f>
      </x:c>
      <x:c r="M1293" s="6" t="str">
        <x:f>IF(AND(NOT(COUNTA(A1293:F1293)=0),K1293=""),INDEX('Rules'!$D$7:$D$26,MATCH(SUBSTITUTE(SUBSTITUTE(SUBSTITUTE(SUBSTITUTE("type:"&amp;B1293,"%","%25"),"~","%7E"),"*","%2A"),"?","%3F"),'Rules'!$G$7:$G$26,0)),"")</x:f>
      </x:c>
      <x:c r="N1293" s="5" t="str">
        <x:f>IF(COUNTA(A1293:F1293)=0,"",SUBSTITUTE(SUBSTITUTE(SUBSTITUTE(SUBSTITUTE("id:"&amp;A1293,"%","%25"),"~","%7E"),"*","%2A"),"?","%3F"))</x:f>
      </x:c>
    </x:row>
    <x:row r="1294" ht="22" customHeight="1">
      <x:c r="A1294" s="3"/>
      <x:c r="B1294" s="3"/>
      <x:c r="C1294" s="3"/>
      <x:c r="D1294" s="4"/>
      <x:c r="E1294" s="4"/>
      <x:c r="F1294" s="4"/>
      <x:c r="G1294" s="5" t="str">
        <x:f>IF(COUNTA(A1294:F1294)=0,"",IF(K1294&lt;&gt;"","Review",IF(I1294&lt;0,"Overdue",IF(I1294=0,"Due now",IF(I1294&lt;=M1294,"Due soon","Not due")))))</x:f>
      </x:c>
      <x:c r="H1294" s="5" t="str">
        <x:f>IF(OR(COUNTA(A1294:F1294)=0,COUNTIFS('Rules'!$G$7:$G$26,"="&amp;(SUBSTITUTE(SUBSTITUTE(SUBSTITUTE(SUBSTITUTE("type:"&amp;B1294,"%","%25"),"~","%7E"),"*","%2A"),"?","%3F")))&lt;&gt;1),"",IF(OR(INDEX('Rules'!$B$7:$B$26,MATCH(SUBSTITUTE(SUBSTITUTE(SUBSTITUTE(SUBSTITUTE("type:"&amp;B1294,"%","%25"),"~","%7E"),"*","%2A"),"?","%3F"),'Rules'!$G$7:$G$26,0))="hours",INDEX('Rules'!$B$7:$B$26,MATCH(SUBSTITUTE(SUBSTITUTE(SUBSTITUTE(SUBSTITUTE("type:"&amp;B1294,"%","%25"),"~","%7E"),"*","%2A"),"?","%3F"),'Rules'!$G$7:$G$26,0))="km"),INDEX('Rules'!$B$7:$B$26,MATCH(SUBSTITUTE(SUBSTITUTE(SUBSTITUTE(SUBSTITUTE("type:"&amp;B1294,"%","%25"),"~","%7E"),"*","%2A"),"?","%3F"),'Rules'!$G$7:$G$26,0)),""))</x:f>
      </x:c>
      <x:c r="I1294" s="6" t="str">
        <x:f>IF(AND(NOT(COUNTA(A1294:F1294)=0),K1294=""),ROUND(J1294-D1294,3),"")</x:f>
      </x:c>
      <x:c r="J1294" s="6" t="str">
        <x:f>IF(AND(NOT(COUNTA(A1294:F1294)=0),K1294=""),ROUND(F1294+L1294,3),"")</x:f>
      </x:c>
      <x:c r="K1294" s="5" t="str">
        <x:f>IF(COUNTA(A1294:F1294)=0,"",IF(A1294="","Missing equipment ID",IF(COUNTIFS($N$8:$N$2007,"="&amp;N1294)&gt;1,"Duplicate equipment ID",IF(B1294="","Missing type",IF(COUNTIFS('Rules'!$G$7:$G$26,"="&amp;(SUBSTITUTE(SUBSTITUTE(SUBSTITUTE(SUBSTITUTE("type:"&amp;B1294,"%","%25"),"~","%7E"),"*","%2A"),"?","%3F")))=0,"Unknown type",IF(COUNTIFS('Rules'!$G$7:$G$26,"="&amp;(SUBSTITUTE(SUBSTITUTE(SUBSTITUTE(SUBSTITUTE("type:"&amp;B1294,"%","%25"),"~","%7E"),"*","%2A"),"?","%3F")))&gt;1,"Duplicate type",IF(INDEX('Rules'!$F$7:$F$26,MATCH(SUBSTITUTE(SUBSTITUTE(SUBSTITUTE(SUBSTITUTE("type:"&amp;B1294,"%","%25"),"~","%7E"),"*","%2A"),"?","%3F"),'Rules'!$G$7:$G$26,0))&lt;&gt;"",INDEX('Rules'!$F$7:$F$26,MATCH(SUBSTITUTE(SUBSTITUTE(SUBSTITUTE(SUBSTITUTE("type:"&amp;B1294,"%","%25"),"~","%7E"),"*","%2A"),"?","%3F"),'Rules'!$G$7:$G$26,0)),IF(AND(C1294&lt;&gt;"",C1294&lt;&gt;INDEX('Rules'!$B$7:$B$26,MATCH(SUBSTITUTE(SUBSTITUTE(SUBSTITUTE(SUBSTITUTE("type:"&amp;B1294,"%","%25"),"~","%7E"),"*","%2A"),"?","%3F"),'Rules'!$G$7:$G$26,0))),"Unit mismatch",IF(IF(NOT(ISNUMBER(D1294)),TRUE,OR(D1294&lt;0,D1294&gt;999999999,ROUND(D1294,3)&lt;&gt;D1294)),"Invalid current reading",IF(AND(E1294&lt;&gt;"",IF(NOT(ISNUMBER(E1294)),TRUE,OR(E1294&lt;0,E1294&gt;999999999,ROUND(E1294,3)&lt;&gt;E1294))),"Invalid previous reading",IF(IF(NOT(ISNUMBER(F1294)),TRUE,OR(F1294&lt;0,F1294&gt;999999999,ROUND(F1294,3)&lt;&gt;F1294)),"Invalid last service",IF(AND(E1294&lt;&gt;"",D1294&lt;E1294),"Decreased reading",IF(F1294&gt;D1294,"Last service above current","")))))))))))))</x:f>
      </x:c>
      <x:c r="L1294" s="6" t="str">
        <x:f>IF(AND(NOT(COUNTA(A1294:F1294)=0),K1294=""),INDEX('Rules'!$C$7:$C$26,MATCH(SUBSTITUTE(SUBSTITUTE(SUBSTITUTE(SUBSTITUTE("type:"&amp;B1294,"%","%25"),"~","%7E"),"*","%2A"),"?","%3F"),'Rules'!$G$7:$G$26,0)),"")</x:f>
      </x:c>
      <x:c r="M1294" s="6" t="str">
        <x:f>IF(AND(NOT(COUNTA(A1294:F1294)=0),K1294=""),INDEX('Rules'!$D$7:$D$26,MATCH(SUBSTITUTE(SUBSTITUTE(SUBSTITUTE(SUBSTITUTE("type:"&amp;B1294,"%","%25"),"~","%7E"),"*","%2A"),"?","%3F"),'Rules'!$G$7:$G$26,0)),"")</x:f>
      </x:c>
      <x:c r="N1294" s="5" t="str">
        <x:f>IF(COUNTA(A1294:F1294)=0,"",SUBSTITUTE(SUBSTITUTE(SUBSTITUTE(SUBSTITUTE("id:"&amp;A1294,"%","%25"),"~","%7E"),"*","%2A"),"?","%3F"))</x:f>
      </x:c>
    </x:row>
    <x:row r="1295" ht="22" customHeight="1">
      <x:c r="A1295" s="3"/>
      <x:c r="B1295" s="3"/>
      <x:c r="C1295" s="3"/>
      <x:c r="D1295" s="4"/>
      <x:c r="E1295" s="4"/>
      <x:c r="F1295" s="4"/>
      <x:c r="G1295" s="5" t="str">
        <x:f>IF(COUNTA(A1295:F1295)=0,"",IF(K1295&lt;&gt;"","Review",IF(I1295&lt;0,"Overdue",IF(I1295=0,"Due now",IF(I1295&lt;=M1295,"Due soon","Not due")))))</x:f>
      </x:c>
      <x:c r="H1295" s="5" t="str">
        <x:f>IF(OR(COUNTA(A1295:F1295)=0,COUNTIFS('Rules'!$G$7:$G$26,"="&amp;(SUBSTITUTE(SUBSTITUTE(SUBSTITUTE(SUBSTITUTE("type:"&amp;B1295,"%","%25"),"~","%7E"),"*","%2A"),"?","%3F")))&lt;&gt;1),"",IF(OR(INDEX('Rules'!$B$7:$B$26,MATCH(SUBSTITUTE(SUBSTITUTE(SUBSTITUTE(SUBSTITUTE("type:"&amp;B1295,"%","%25"),"~","%7E"),"*","%2A"),"?","%3F"),'Rules'!$G$7:$G$26,0))="hours",INDEX('Rules'!$B$7:$B$26,MATCH(SUBSTITUTE(SUBSTITUTE(SUBSTITUTE(SUBSTITUTE("type:"&amp;B1295,"%","%25"),"~","%7E"),"*","%2A"),"?","%3F"),'Rules'!$G$7:$G$26,0))="km"),INDEX('Rules'!$B$7:$B$26,MATCH(SUBSTITUTE(SUBSTITUTE(SUBSTITUTE(SUBSTITUTE("type:"&amp;B1295,"%","%25"),"~","%7E"),"*","%2A"),"?","%3F"),'Rules'!$G$7:$G$26,0)),""))</x:f>
      </x:c>
      <x:c r="I1295" s="6" t="str">
        <x:f>IF(AND(NOT(COUNTA(A1295:F1295)=0),K1295=""),ROUND(J1295-D1295,3),"")</x:f>
      </x:c>
      <x:c r="J1295" s="6" t="str">
        <x:f>IF(AND(NOT(COUNTA(A1295:F1295)=0),K1295=""),ROUND(F1295+L1295,3),"")</x:f>
      </x:c>
      <x:c r="K1295" s="5" t="str">
        <x:f>IF(COUNTA(A1295:F1295)=0,"",IF(A1295="","Missing equipment ID",IF(COUNTIFS($N$8:$N$2007,"="&amp;N1295)&gt;1,"Duplicate equipment ID",IF(B1295="","Missing type",IF(COUNTIFS('Rules'!$G$7:$G$26,"="&amp;(SUBSTITUTE(SUBSTITUTE(SUBSTITUTE(SUBSTITUTE("type:"&amp;B1295,"%","%25"),"~","%7E"),"*","%2A"),"?","%3F")))=0,"Unknown type",IF(COUNTIFS('Rules'!$G$7:$G$26,"="&amp;(SUBSTITUTE(SUBSTITUTE(SUBSTITUTE(SUBSTITUTE("type:"&amp;B1295,"%","%25"),"~","%7E"),"*","%2A"),"?","%3F")))&gt;1,"Duplicate type",IF(INDEX('Rules'!$F$7:$F$26,MATCH(SUBSTITUTE(SUBSTITUTE(SUBSTITUTE(SUBSTITUTE("type:"&amp;B1295,"%","%25"),"~","%7E"),"*","%2A"),"?","%3F"),'Rules'!$G$7:$G$26,0))&lt;&gt;"",INDEX('Rules'!$F$7:$F$26,MATCH(SUBSTITUTE(SUBSTITUTE(SUBSTITUTE(SUBSTITUTE("type:"&amp;B1295,"%","%25"),"~","%7E"),"*","%2A"),"?","%3F"),'Rules'!$G$7:$G$26,0)),IF(AND(C1295&lt;&gt;"",C1295&lt;&gt;INDEX('Rules'!$B$7:$B$26,MATCH(SUBSTITUTE(SUBSTITUTE(SUBSTITUTE(SUBSTITUTE("type:"&amp;B1295,"%","%25"),"~","%7E"),"*","%2A"),"?","%3F"),'Rules'!$G$7:$G$26,0))),"Unit mismatch",IF(IF(NOT(ISNUMBER(D1295)),TRUE,OR(D1295&lt;0,D1295&gt;999999999,ROUND(D1295,3)&lt;&gt;D1295)),"Invalid current reading",IF(AND(E1295&lt;&gt;"",IF(NOT(ISNUMBER(E1295)),TRUE,OR(E1295&lt;0,E1295&gt;999999999,ROUND(E1295,3)&lt;&gt;E1295))),"Invalid previous reading",IF(IF(NOT(ISNUMBER(F1295)),TRUE,OR(F1295&lt;0,F1295&gt;999999999,ROUND(F1295,3)&lt;&gt;F1295)),"Invalid last service",IF(AND(E1295&lt;&gt;"",D1295&lt;E1295),"Decreased reading",IF(F1295&gt;D1295,"Last service above current","")))))))))))))</x:f>
      </x:c>
      <x:c r="L1295" s="6" t="str">
        <x:f>IF(AND(NOT(COUNTA(A1295:F1295)=0),K1295=""),INDEX('Rules'!$C$7:$C$26,MATCH(SUBSTITUTE(SUBSTITUTE(SUBSTITUTE(SUBSTITUTE("type:"&amp;B1295,"%","%25"),"~","%7E"),"*","%2A"),"?","%3F"),'Rules'!$G$7:$G$26,0)),"")</x:f>
      </x:c>
      <x:c r="M1295" s="6" t="str">
        <x:f>IF(AND(NOT(COUNTA(A1295:F1295)=0),K1295=""),INDEX('Rules'!$D$7:$D$26,MATCH(SUBSTITUTE(SUBSTITUTE(SUBSTITUTE(SUBSTITUTE("type:"&amp;B1295,"%","%25"),"~","%7E"),"*","%2A"),"?","%3F"),'Rules'!$G$7:$G$26,0)),"")</x:f>
      </x:c>
      <x:c r="N1295" s="5" t="str">
        <x:f>IF(COUNTA(A1295:F1295)=0,"",SUBSTITUTE(SUBSTITUTE(SUBSTITUTE(SUBSTITUTE("id:"&amp;A1295,"%","%25"),"~","%7E"),"*","%2A"),"?","%3F"))</x:f>
      </x:c>
    </x:row>
    <x:row r="1296" ht="22" customHeight="1">
      <x:c r="A1296" s="3"/>
      <x:c r="B1296" s="3"/>
      <x:c r="C1296" s="3"/>
      <x:c r="D1296" s="4"/>
      <x:c r="E1296" s="4"/>
      <x:c r="F1296" s="4"/>
      <x:c r="G1296" s="5" t="str">
        <x:f>IF(COUNTA(A1296:F1296)=0,"",IF(K1296&lt;&gt;"","Review",IF(I1296&lt;0,"Overdue",IF(I1296=0,"Due now",IF(I1296&lt;=M1296,"Due soon","Not due")))))</x:f>
      </x:c>
      <x:c r="H1296" s="5" t="str">
        <x:f>IF(OR(COUNTA(A1296:F1296)=0,COUNTIFS('Rules'!$G$7:$G$26,"="&amp;(SUBSTITUTE(SUBSTITUTE(SUBSTITUTE(SUBSTITUTE("type:"&amp;B1296,"%","%25"),"~","%7E"),"*","%2A"),"?","%3F")))&lt;&gt;1),"",IF(OR(INDEX('Rules'!$B$7:$B$26,MATCH(SUBSTITUTE(SUBSTITUTE(SUBSTITUTE(SUBSTITUTE("type:"&amp;B1296,"%","%25"),"~","%7E"),"*","%2A"),"?","%3F"),'Rules'!$G$7:$G$26,0))="hours",INDEX('Rules'!$B$7:$B$26,MATCH(SUBSTITUTE(SUBSTITUTE(SUBSTITUTE(SUBSTITUTE("type:"&amp;B1296,"%","%25"),"~","%7E"),"*","%2A"),"?","%3F"),'Rules'!$G$7:$G$26,0))="km"),INDEX('Rules'!$B$7:$B$26,MATCH(SUBSTITUTE(SUBSTITUTE(SUBSTITUTE(SUBSTITUTE("type:"&amp;B1296,"%","%25"),"~","%7E"),"*","%2A"),"?","%3F"),'Rules'!$G$7:$G$26,0)),""))</x:f>
      </x:c>
      <x:c r="I1296" s="6" t="str">
        <x:f>IF(AND(NOT(COUNTA(A1296:F1296)=0),K1296=""),ROUND(J1296-D1296,3),"")</x:f>
      </x:c>
      <x:c r="J1296" s="6" t="str">
        <x:f>IF(AND(NOT(COUNTA(A1296:F1296)=0),K1296=""),ROUND(F1296+L1296,3),"")</x:f>
      </x:c>
      <x:c r="K1296" s="5" t="str">
        <x:f>IF(COUNTA(A1296:F1296)=0,"",IF(A1296="","Missing equipment ID",IF(COUNTIFS($N$8:$N$2007,"="&amp;N1296)&gt;1,"Duplicate equipment ID",IF(B1296="","Missing type",IF(COUNTIFS('Rules'!$G$7:$G$26,"="&amp;(SUBSTITUTE(SUBSTITUTE(SUBSTITUTE(SUBSTITUTE("type:"&amp;B1296,"%","%25"),"~","%7E"),"*","%2A"),"?","%3F")))=0,"Unknown type",IF(COUNTIFS('Rules'!$G$7:$G$26,"="&amp;(SUBSTITUTE(SUBSTITUTE(SUBSTITUTE(SUBSTITUTE("type:"&amp;B1296,"%","%25"),"~","%7E"),"*","%2A"),"?","%3F")))&gt;1,"Duplicate type",IF(INDEX('Rules'!$F$7:$F$26,MATCH(SUBSTITUTE(SUBSTITUTE(SUBSTITUTE(SUBSTITUTE("type:"&amp;B1296,"%","%25"),"~","%7E"),"*","%2A"),"?","%3F"),'Rules'!$G$7:$G$26,0))&lt;&gt;"",INDEX('Rules'!$F$7:$F$26,MATCH(SUBSTITUTE(SUBSTITUTE(SUBSTITUTE(SUBSTITUTE("type:"&amp;B1296,"%","%25"),"~","%7E"),"*","%2A"),"?","%3F"),'Rules'!$G$7:$G$26,0)),IF(AND(C1296&lt;&gt;"",C1296&lt;&gt;INDEX('Rules'!$B$7:$B$26,MATCH(SUBSTITUTE(SUBSTITUTE(SUBSTITUTE(SUBSTITUTE("type:"&amp;B1296,"%","%25"),"~","%7E"),"*","%2A"),"?","%3F"),'Rules'!$G$7:$G$26,0))),"Unit mismatch",IF(IF(NOT(ISNUMBER(D1296)),TRUE,OR(D1296&lt;0,D1296&gt;999999999,ROUND(D1296,3)&lt;&gt;D1296)),"Invalid current reading",IF(AND(E1296&lt;&gt;"",IF(NOT(ISNUMBER(E1296)),TRUE,OR(E1296&lt;0,E1296&gt;999999999,ROUND(E1296,3)&lt;&gt;E1296))),"Invalid previous reading",IF(IF(NOT(ISNUMBER(F1296)),TRUE,OR(F1296&lt;0,F1296&gt;999999999,ROUND(F1296,3)&lt;&gt;F1296)),"Invalid last service",IF(AND(E1296&lt;&gt;"",D1296&lt;E1296),"Decreased reading",IF(F1296&gt;D1296,"Last service above current","")))))))))))))</x:f>
      </x:c>
      <x:c r="L1296" s="6" t="str">
        <x:f>IF(AND(NOT(COUNTA(A1296:F1296)=0),K1296=""),INDEX('Rules'!$C$7:$C$26,MATCH(SUBSTITUTE(SUBSTITUTE(SUBSTITUTE(SUBSTITUTE("type:"&amp;B1296,"%","%25"),"~","%7E"),"*","%2A"),"?","%3F"),'Rules'!$G$7:$G$26,0)),"")</x:f>
      </x:c>
      <x:c r="M1296" s="6" t="str">
        <x:f>IF(AND(NOT(COUNTA(A1296:F1296)=0),K1296=""),INDEX('Rules'!$D$7:$D$26,MATCH(SUBSTITUTE(SUBSTITUTE(SUBSTITUTE(SUBSTITUTE("type:"&amp;B1296,"%","%25"),"~","%7E"),"*","%2A"),"?","%3F"),'Rules'!$G$7:$G$26,0)),"")</x:f>
      </x:c>
      <x:c r="N1296" s="5" t="str">
        <x:f>IF(COUNTA(A1296:F1296)=0,"",SUBSTITUTE(SUBSTITUTE(SUBSTITUTE(SUBSTITUTE("id:"&amp;A1296,"%","%25"),"~","%7E"),"*","%2A"),"?","%3F"))</x:f>
      </x:c>
    </x:row>
    <x:row r="1297" ht="22" customHeight="1">
      <x:c r="A1297" s="3"/>
      <x:c r="B1297" s="3"/>
      <x:c r="C1297" s="3"/>
      <x:c r="D1297" s="4"/>
      <x:c r="E1297" s="4"/>
      <x:c r="F1297" s="4"/>
      <x:c r="G1297" s="5" t="str">
        <x:f>IF(COUNTA(A1297:F1297)=0,"",IF(K1297&lt;&gt;"","Review",IF(I1297&lt;0,"Overdue",IF(I1297=0,"Due now",IF(I1297&lt;=M1297,"Due soon","Not due")))))</x:f>
      </x:c>
      <x:c r="H1297" s="5" t="str">
        <x:f>IF(OR(COUNTA(A1297:F1297)=0,COUNTIFS('Rules'!$G$7:$G$26,"="&amp;(SUBSTITUTE(SUBSTITUTE(SUBSTITUTE(SUBSTITUTE("type:"&amp;B1297,"%","%25"),"~","%7E"),"*","%2A"),"?","%3F")))&lt;&gt;1),"",IF(OR(INDEX('Rules'!$B$7:$B$26,MATCH(SUBSTITUTE(SUBSTITUTE(SUBSTITUTE(SUBSTITUTE("type:"&amp;B1297,"%","%25"),"~","%7E"),"*","%2A"),"?","%3F"),'Rules'!$G$7:$G$26,0))="hours",INDEX('Rules'!$B$7:$B$26,MATCH(SUBSTITUTE(SUBSTITUTE(SUBSTITUTE(SUBSTITUTE("type:"&amp;B1297,"%","%25"),"~","%7E"),"*","%2A"),"?","%3F"),'Rules'!$G$7:$G$26,0))="km"),INDEX('Rules'!$B$7:$B$26,MATCH(SUBSTITUTE(SUBSTITUTE(SUBSTITUTE(SUBSTITUTE("type:"&amp;B1297,"%","%25"),"~","%7E"),"*","%2A"),"?","%3F"),'Rules'!$G$7:$G$26,0)),""))</x:f>
      </x:c>
      <x:c r="I1297" s="6" t="str">
        <x:f>IF(AND(NOT(COUNTA(A1297:F1297)=0),K1297=""),ROUND(J1297-D1297,3),"")</x:f>
      </x:c>
      <x:c r="J1297" s="6" t="str">
        <x:f>IF(AND(NOT(COUNTA(A1297:F1297)=0),K1297=""),ROUND(F1297+L1297,3),"")</x:f>
      </x:c>
      <x:c r="K1297" s="5" t="str">
        <x:f>IF(COUNTA(A1297:F1297)=0,"",IF(A1297="","Missing equipment ID",IF(COUNTIFS($N$8:$N$2007,"="&amp;N1297)&gt;1,"Duplicate equipment ID",IF(B1297="","Missing type",IF(COUNTIFS('Rules'!$G$7:$G$26,"="&amp;(SUBSTITUTE(SUBSTITUTE(SUBSTITUTE(SUBSTITUTE("type:"&amp;B1297,"%","%25"),"~","%7E"),"*","%2A"),"?","%3F")))=0,"Unknown type",IF(COUNTIFS('Rules'!$G$7:$G$26,"="&amp;(SUBSTITUTE(SUBSTITUTE(SUBSTITUTE(SUBSTITUTE("type:"&amp;B1297,"%","%25"),"~","%7E"),"*","%2A"),"?","%3F")))&gt;1,"Duplicate type",IF(INDEX('Rules'!$F$7:$F$26,MATCH(SUBSTITUTE(SUBSTITUTE(SUBSTITUTE(SUBSTITUTE("type:"&amp;B1297,"%","%25"),"~","%7E"),"*","%2A"),"?","%3F"),'Rules'!$G$7:$G$26,0))&lt;&gt;"",INDEX('Rules'!$F$7:$F$26,MATCH(SUBSTITUTE(SUBSTITUTE(SUBSTITUTE(SUBSTITUTE("type:"&amp;B1297,"%","%25"),"~","%7E"),"*","%2A"),"?","%3F"),'Rules'!$G$7:$G$26,0)),IF(AND(C1297&lt;&gt;"",C1297&lt;&gt;INDEX('Rules'!$B$7:$B$26,MATCH(SUBSTITUTE(SUBSTITUTE(SUBSTITUTE(SUBSTITUTE("type:"&amp;B1297,"%","%25"),"~","%7E"),"*","%2A"),"?","%3F"),'Rules'!$G$7:$G$26,0))),"Unit mismatch",IF(IF(NOT(ISNUMBER(D1297)),TRUE,OR(D1297&lt;0,D1297&gt;999999999,ROUND(D1297,3)&lt;&gt;D1297)),"Invalid current reading",IF(AND(E1297&lt;&gt;"",IF(NOT(ISNUMBER(E1297)),TRUE,OR(E1297&lt;0,E1297&gt;999999999,ROUND(E1297,3)&lt;&gt;E1297))),"Invalid previous reading",IF(IF(NOT(ISNUMBER(F1297)),TRUE,OR(F1297&lt;0,F1297&gt;999999999,ROUND(F1297,3)&lt;&gt;F1297)),"Invalid last service",IF(AND(E1297&lt;&gt;"",D1297&lt;E1297),"Decreased reading",IF(F1297&gt;D1297,"Last service above current","")))))))))))))</x:f>
      </x:c>
      <x:c r="L1297" s="6" t="str">
        <x:f>IF(AND(NOT(COUNTA(A1297:F1297)=0),K1297=""),INDEX('Rules'!$C$7:$C$26,MATCH(SUBSTITUTE(SUBSTITUTE(SUBSTITUTE(SUBSTITUTE("type:"&amp;B1297,"%","%25"),"~","%7E"),"*","%2A"),"?","%3F"),'Rules'!$G$7:$G$26,0)),"")</x:f>
      </x:c>
      <x:c r="M1297" s="6" t="str">
        <x:f>IF(AND(NOT(COUNTA(A1297:F1297)=0),K1297=""),INDEX('Rules'!$D$7:$D$26,MATCH(SUBSTITUTE(SUBSTITUTE(SUBSTITUTE(SUBSTITUTE("type:"&amp;B1297,"%","%25"),"~","%7E"),"*","%2A"),"?","%3F"),'Rules'!$G$7:$G$26,0)),"")</x:f>
      </x:c>
      <x:c r="N1297" s="5" t="str">
        <x:f>IF(COUNTA(A1297:F1297)=0,"",SUBSTITUTE(SUBSTITUTE(SUBSTITUTE(SUBSTITUTE("id:"&amp;A1297,"%","%25"),"~","%7E"),"*","%2A"),"?","%3F"))</x:f>
      </x:c>
    </x:row>
    <x:row r="1298" ht="22" customHeight="1">
      <x:c r="A1298" s="3"/>
      <x:c r="B1298" s="3"/>
      <x:c r="C1298" s="3"/>
      <x:c r="D1298" s="4"/>
      <x:c r="E1298" s="4"/>
      <x:c r="F1298" s="4"/>
      <x:c r="G1298" s="5" t="str">
        <x:f>IF(COUNTA(A1298:F1298)=0,"",IF(K1298&lt;&gt;"","Review",IF(I1298&lt;0,"Overdue",IF(I1298=0,"Due now",IF(I1298&lt;=M1298,"Due soon","Not due")))))</x:f>
      </x:c>
      <x:c r="H1298" s="5" t="str">
        <x:f>IF(OR(COUNTA(A1298:F1298)=0,COUNTIFS('Rules'!$G$7:$G$26,"="&amp;(SUBSTITUTE(SUBSTITUTE(SUBSTITUTE(SUBSTITUTE("type:"&amp;B1298,"%","%25"),"~","%7E"),"*","%2A"),"?","%3F")))&lt;&gt;1),"",IF(OR(INDEX('Rules'!$B$7:$B$26,MATCH(SUBSTITUTE(SUBSTITUTE(SUBSTITUTE(SUBSTITUTE("type:"&amp;B1298,"%","%25"),"~","%7E"),"*","%2A"),"?","%3F"),'Rules'!$G$7:$G$26,0))="hours",INDEX('Rules'!$B$7:$B$26,MATCH(SUBSTITUTE(SUBSTITUTE(SUBSTITUTE(SUBSTITUTE("type:"&amp;B1298,"%","%25"),"~","%7E"),"*","%2A"),"?","%3F"),'Rules'!$G$7:$G$26,0))="km"),INDEX('Rules'!$B$7:$B$26,MATCH(SUBSTITUTE(SUBSTITUTE(SUBSTITUTE(SUBSTITUTE("type:"&amp;B1298,"%","%25"),"~","%7E"),"*","%2A"),"?","%3F"),'Rules'!$G$7:$G$26,0)),""))</x:f>
      </x:c>
      <x:c r="I1298" s="6" t="str">
        <x:f>IF(AND(NOT(COUNTA(A1298:F1298)=0),K1298=""),ROUND(J1298-D1298,3),"")</x:f>
      </x:c>
      <x:c r="J1298" s="6" t="str">
        <x:f>IF(AND(NOT(COUNTA(A1298:F1298)=0),K1298=""),ROUND(F1298+L1298,3),"")</x:f>
      </x:c>
      <x:c r="K1298" s="5" t="str">
        <x:f>IF(COUNTA(A1298:F1298)=0,"",IF(A1298="","Missing equipment ID",IF(COUNTIFS($N$8:$N$2007,"="&amp;N1298)&gt;1,"Duplicate equipment ID",IF(B1298="","Missing type",IF(COUNTIFS('Rules'!$G$7:$G$26,"="&amp;(SUBSTITUTE(SUBSTITUTE(SUBSTITUTE(SUBSTITUTE("type:"&amp;B1298,"%","%25"),"~","%7E"),"*","%2A"),"?","%3F")))=0,"Unknown type",IF(COUNTIFS('Rules'!$G$7:$G$26,"="&amp;(SUBSTITUTE(SUBSTITUTE(SUBSTITUTE(SUBSTITUTE("type:"&amp;B1298,"%","%25"),"~","%7E"),"*","%2A"),"?","%3F")))&gt;1,"Duplicate type",IF(INDEX('Rules'!$F$7:$F$26,MATCH(SUBSTITUTE(SUBSTITUTE(SUBSTITUTE(SUBSTITUTE("type:"&amp;B1298,"%","%25"),"~","%7E"),"*","%2A"),"?","%3F"),'Rules'!$G$7:$G$26,0))&lt;&gt;"",INDEX('Rules'!$F$7:$F$26,MATCH(SUBSTITUTE(SUBSTITUTE(SUBSTITUTE(SUBSTITUTE("type:"&amp;B1298,"%","%25"),"~","%7E"),"*","%2A"),"?","%3F"),'Rules'!$G$7:$G$26,0)),IF(AND(C1298&lt;&gt;"",C1298&lt;&gt;INDEX('Rules'!$B$7:$B$26,MATCH(SUBSTITUTE(SUBSTITUTE(SUBSTITUTE(SUBSTITUTE("type:"&amp;B1298,"%","%25"),"~","%7E"),"*","%2A"),"?","%3F"),'Rules'!$G$7:$G$26,0))),"Unit mismatch",IF(IF(NOT(ISNUMBER(D1298)),TRUE,OR(D1298&lt;0,D1298&gt;999999999,ROUND(D1298,3)&lt;&gt;D1298)),"Invalid current reading",IF(AND(E1298&lt;&gt;"",IF(NOT(ISNUMBER(E1298)),TRUE,OR(E1298&lt;0,E1298&gt;999999999,ROUND(E1298,3)&lt;&gt;E1298))),"Invalid previous reading",IF(IF(NOT(ISNUMBER(F1298)),TRUE,OR(F1298&lt;0,F1298&gt;999999999,ROUND(F1298,3)&lt;&gt;F1298)),"Invalid last service",IF(AND(E1298&lt;&gt;"",D1298&lt;E1298),"Decreased reading",IF(F1298&gt;D1298,"Last service above current","")))))))))))))</x:f>
      </x:c>
      <x:c r="L1298" s="6" t="str">
        <x:f>IF(AND(NOT(COUNTA(A1298:F1298)=0),K1298=""),INDEX('Rules'!$C$7:$C$26,MATCH(SUBSTITUTE(SUBSTITUTE(SUBSTITUTE(SUBSTITUTE("type:"&amp;B1298,"%","%25"),"~","%7E"),"*","%2A"),"?","%3F"),'Rules'!$G$7:$G$26,0)),"")</x:f>
      </x:c>
      <x:c r="M1298" s="6" t="str">
        <x:f>IF(AND(NOT(COUNTA(A1298:F1298)=0),K1298=""),INDEX('Rules'!$D$7:$D$26,MATCH(SUBSTITUTE(SUBSTITUTE(SUBSTITUTE(SUBSTITUTE("type:"&amp;B1298,"%","%25"),"~","%7E"),"*","%2A"),"?","%3F"),'Rules'!$G$7:$G$26,0)),"")</x:f>
      </x:c>
      <x:c r="N1298" s="5" t="str">
        <x:f>IF(COUNTA(A1298:F1298)=0,"",SUBSTITUTE(SUBSTITUTE(SUBSTITUTE(SUBSTITUTE("id:"&amp;A1298,"%","%25"),"~","%7E"),"*","%2A"),"?","%3F"))</x:f>
      </x:c>
    </x:row>
    <x:row r="1299" ht="22" customHeight="1">
      <x:c r="A1299" s="3"/>
      <x:c r="B1299" s="3"/>
      <x:c r="C1299" s="3"/>
      <x:c r="D1299" s="4"/>
      <x:c r="E1299" s="4"/>
      <x:c r="F1299" s="4"/>
      <x:c r="G1299" s="5" t="str">
        <x:f>IF(COUNTA(A1299:F1299)=0,"",IF(K1299&lt;&gt;"","Review",IF(I1299&lt;0,"Overdue",IF(I1299=0,"Due now",IF(I1299&lt;=M1299,"Due soon","Not due")))))</x:f>
      </x:c>
      <x:c r="H1299" s="5" t="str">
        <x:f>IF(OR(COUNTA(A1299:F1299)=0,COUNTIFS('Rules'!$G$7:$G$26,"="&amp;(SUBSTITUTE(SUBSTITUTE(SUBSTITUTE(SUBSTITUTE("type:"&amp;B1299,"%","%25"),"~","%7E"),"*","%2A"),"?","%3F")))&lt;&gt;1),"",IF(OR(INDEX('Rules'!$B$7:$B$26,MATCH(SUBSTITUTE(SUBSTITUTE(SUBSTITUTE(SUBSTITUTE("type:"&amp;B1299,"%","%25"),"~","%7E"),"*","%2A"),"?","%3F"),'Rules'!$G$7:$G$26,0))="hours",INDEX('Rules'!$B$7:$B$26,MATCH(SUBSTITUTE(SUBSTITUTE(SUBSTITUTE(SUBSTITUTE("type:"&amp;B1299,"%","%25"),"~","%7E"),"*","%2A"),"?","%3F"),'Rules'!$G$7:$G$26,0))="km"),INDEX('Rules'!$B$7:$B$26,MATCH(SUBSTITUTE(SUBSTITUTE(SUBSTITUTE(SUBSTITUTE("type:"&amp;B1299,"%","%25"),"~","%7E"),"*","%2A"),"?","%3F"),'Rules'!$G$7:$G$26,0)),""))</x:f>
      </x:c>
      <x:c r="I1299" s="6" t="str">
        <x:f>IF(AND(NOT(COUNTA(A1299:F1299)=0),K1299=""),ROUND(J1299-D1299,3),"")</x:f>
      </x:c>
      <x:c r="J1299" s="6" t="str">
        <x:f>IF(AND(NOT(COUNTA(A1299:F1299)=0),K1299=""),ROUND(F1299+L1299,3),"")</x:f>
      </x:c>
      <x:c r="K1299" s="5" t="str">
        <x:f>IF(COUNTA(A1299:F1299)=0,"",IF(A1299="","Missing equipment ID",IF(COUNTIFS($N$8:$N$2007,"="&amp;N1299)&gt;1,"Duplicate equipment ID",IF(B1299="","Missing type",IF(COUNTIFS('Rules'!$G$7:$G$26,"="&amp;(SUBSTITUTE(SUBSTITUTE(SUBSTITUTE(SUBSTITUTE("type:"&amp;B1299,"%","%25"),"~","%7E"),"*","%2A"),"?","%3F")))=0,"Unknown type",IF(COUNTIFS('Rules'!$G$7:$G$26,"="&amp;(SUBSTITUTE(SUBSTITUTE(SUBSTITUTE(SUBSTITUTE("type:"&amp;B1299,"%","%25"),"~","%7E"),"*","%2A"),"?","%3F")))&gt;1,"Duplicate type",IF(INDEX('Rules'!$F$7:$F$26,MATCH(SUBSTITUTE(SUBSTITUTE(SUBSTITUTE(SUBSTITUTE("type:"&amp;B1299,"%","%25"),"~","%7E"),"*","%2A"),"?","%3F"),'Rules'!$G$7:$G$26,0))&lt;&gt;"",INDEX('Rules'!$F$7:$F$26,MATCH(SUBSTITUTE(SUBSTITUTE(SUBSTITUTE(SUBSTITUTE("type:"&amp;B1299,"%","%25"),"~","%7E"),"*","%2A"),"?","%3F"),'Rules'!$G$7:$G$26,0)),IF(AND(C1299&lt;&gt;"",C1299&lt;&gt;INDEX('Rules'!$B$7:$B$26,MATCH(SUBSTITUTE(SUBSTITUTE(SUBSTITUTE(SUBSTITUTE("type:"&amp;B1299,"%","%25"),"~","%7E"),"*","%2A"),"?","%3F"),'Rules'!$G$7:$G$26,0))),"Unit mismatch",IF(IF(NOT(ISNUMBER(D1299)),TRUE,OR(D1299&lt;0,D1299&gt;999999999,ROUND(D1299,3)&lt;&gt;D1299)),"Invalid current reading",IF(AND(E1299&lt;&gt;"",IF(NOT(ISNUMBER(E1299)),TRUE,OR(E1299&lt;0,E1299&gt;999999999,ROUND(E1299,3)&lt;&gt;E1299))),"Invalid previous reading",IF(IF(NOT(ISNUMBER(F1299)),TRUE,OR(F1299&lt;0,F1299&gt;999999999,ROUND(F1299,3)&lt;&gt;F1299)),"Invalid last service",IF(AND(E1299&lt;&gt;"",D1299&lt;E1299),"Decreased reading",IF(F1299&gt;D1299,"Last service above current","")))))))))))))</x:f>
      </x:c>
      <x:c r="L1299" s="6" t="str">
        <x:f>IF(AND(NOT(COUNTA(A1299:F1299)=0),K1299=""),INDEX('Rules'!$C$7:$C$26,MATCH(SUBSTITUTE(SUBSTITUTE(SUBSTITUTE(SUBSTITUTE("type:"&amp;B1299,"%","%25"),"~","%7E"),"*","%2A"),"?","%3F"),'Rules'!$G$7:$G$26,0)),"")</x:f>
      </x:c>
      <x:c r="M1299" s="6" t="str">
        <x:f>IF(AND(NOT(COUNTA(A1299:F1299)=0),K1299=""),INDEX('Rules'!$D$7:$D$26,MATCH(SUBSTITUTE(SUBSTITUTE(SUBSTITUTE(SUBSTITUTE("type:"&amp;B1299,"%","%25"),"~","%7E"),"*","%2A"),"?","%3F"),'Rules'!$G$7:$G$26,0)),"")</x:f>
      </x:c>
      <x:c r="N1299" s="5" t="str">
        <x:f>IF(COUNTA(A1299:F1299)=0,"",SUBSTITUTE(SUBSTITUTE(SUBSTITUTE(SUBSTITUTE("id:"&amp;A1299,"%","%25"),"~","%7E"),"*","%2A"),"?","%3F"))</x:f>
      </x:c>
    </x:row>
    <x:row r="1300" ht="22" customHeight="1">
      <x:c r="A1300" s="3"/>
      <x:c r="B1300" s="3"/>
      <x:c r="C1300" s="3"/>
      <x:c r="D1300" s="4"/>
      <x:c r="E1300" s="4"/>
      <x:c r="F1300" s="4"/>
      <x:c r="G1300" s="5" t="str">
        <x:f>IF(COUNTA(A1300:F1300)=0,"",IF(K1300&lt;&gt;"","Review",IF(I1300&lt;0,"Overdue",IF(I1300=0,"Due now",IF(I1300&lt;=M1300,"Due soon","Not due")))))</x:f>
      </x:c>
      <x:c r="H1300" s="5" t="str">
        <x:f>IF(OR(COUNTA(A1300:F1300)=0,COUNTIFS('Rules'!$G$7:$G$26,"="&amp;(SUBSTITUTE(SUBSTITUTE(SUBSTITUTE(SUBSTITUTE("type:"&amp;B1300,"%","%25"),"~","%7E"),"*","%2A"),"?","%3F")))&lt;&gt;1),"",IF(OR(INDEX('Rules'!$B$7:$B$26,MATCH(SUBSTITUTE(SUBSTITUTE(SUBSTITUTE(SUBSTITUTE("type:"&amp;B1300,"%","%25"),"~","%7E"),"*","%2A"),"?","%3F"),'Rules'!$G$7:$G$26,0))="hours",INDEX('Rules'!$B$7:$B$26,MATCH(SUBSTITUTE(SUBSTITUTE(SUBSTITUTE(SUBSTITUTE("type:"&amp;B1300,"%","%25"),"~","%7E"),"*","%2A"),"?","%3F"),'Rules'!$G$7:$G$26,0))="km"),INDEX('Rules'!$B$7:$B$26,MATCH(SUBSTITUTE(SUBSTITUTE(SUBSTITUTE(SUBSTITUTE("type:"&amp;B1300,"%","%25"),"~","%7E"),"*","%2A"),"?","%3F"),'Rules'!$G$7:$G$26,0)),""))</x:f>
      </x:c>
      <x:c r="I1300" s="6" t="str">
        <x:f>IF(AND(NOT(COUNTA(A1300:F1300)=0),K1300=""),ROUND(J1300-D1300,3),"")</x:f>
      </x:c>
      <x:c r="J1300" s="6" t="str">
        <x:f>IF(AND(NOT(COUNTA(A1300:F1300)=0),K1300=""),ROUND(F1300+L1300,3),"")</x:f>
      </x:c>
      <x:c r="K1300" s="5" t="str">
        <x:f>IF(COUNTA(A1300:F1300)=0,"",IF(A1300="","Missing equipment ID",IF(COUNTIFS($N$8:$N$2007,"="&amp;N1300)&gt;1,"Duplicate equipment ID",IF(B1300="","Missing type",IF(COUNTIFS('Rules'!$G$7:$G$26,"="&amp;(SUBSTITUTE(SUBSTITUTE(SUBSTITUTE(SUBSTITUTE("type:"&amp;B1300,"%","%25"),"~","%7E"),"*","%2A"),"?","%3F")))=0,"Unknown type",IF(COUNTIFS('Rules'!$G$7:$G$26,"="&amp;(SUBSTITUTE(SUBSTITUTE(SUBSTITUTE(SUBSTITUTE("type:"&amp;B1300,"%","%25"),"~","%7E"),"*","%2A"),"?","%3F")))&gt;1,"Duplicate type",IF(INDEX('Rules'!$F$7:$F$26,MATCH(SUBSTITUTE(SUBSTITUTE(SUBSTITUTE(SUBSTITUTE("type:"&amp;B1300,"%","%25"),"~","%7E"),"*","%2A"),"?","%3F"),'Rules'!$G$7:$G$26,0))&lt;&gt;"",INDEX('Rules'!$F$7:$F$26,MATCH(SUBSTITUTE(SUBSTITUTE(SUBSTITUTE(SUBSTITUTE("type:"&amp;B1300,"%","%25"),"~","%7E"),"*","%2A"),"?","%3F"),'Rules'!$G$7:$G$26,0)),IF(AND(C1300&lt;&gt;"",C1300&lt;&gt;INDEX('Rules'!$B$7:$B$26,MATCH(SUBSTITUTE(SUBSTITUTE(SUBSTITUTE(SUBSTITUTE("type:"&amp;B1300,"%","%25"),"~","%7E"),"*","%2A"),"?","%3F"),'Rules'!$G$7:$G$26,0))),"Unit mismatch",IF(IF(NOT(ISNUMBER(D1300)),TRUE,OR(D1300&lt;0,D1300&gt;999999999,ROUND(D1300,3)&lt;&gt;D1300)),"Invalid current reading",IF(AND(E1300&lt;&gt;"",IF(NOT(ISNUMBER(E1300)),TRUE,OR(E1300&lt;0,E1300&gt;999999999,ROUND(E1300,3)&lt;&gt;E1300))),"Invalid previous reading",IF(IF(NOT(ISNUMBER(F1300)),TRUE,OR(F1300&lt;0,F1300&gt;999999999,ROUND(F1300,3)&lt;&gt;F1300)),"Invalid last service",IF(AND(E1300&lt;&gt;"",D1300&lt;E1300),"Decreased reading",IF(F1300&gt;D1300,"Last service above current","")))))))))))))</x:f>
      </x:c>
      <x:c r="L1300" s="6" t="str">
        <x:f>IF(AND(NOT(COUNTA(A1300:F1300)=0),K1300=""),INDEX('Rules'!$C$7:$C$26,MATCH(SUBSTITUTE(SUBSTITUTE(SUBSTITUTE(SUBSTITUTE("type:"&amp;B1300,"%","%25"),"~","%7E"),"*","%2A"),"?","%3F"),'Rules'!$G$7:$G$26,0)),"")</x:f>
      </x:c>
      <x:c r="M1300" s="6" t="str">
        <x:f>IF(AND(NOT(COUNTA(A1300:F1300)=0),K1300=""),INDEX('Rules'!$D$7:$D$26,MATCH(SUBSTITUTE(SUBSTITUTE(SUBSTITUTE(SUBSTITUTE("type:"&amp;B1300,"%","%25"),"~","%7E"),"*","%2A"),"?","%3F"),'Rules'!$G$7:$G$26,0)),"")</x:f>
      </x:c>
      <x:c r="N1300" s="5" t="str">
        <x:f>IF(COUNTA(A1300:F1300)=0,"",SUBSTITUTE(SUBSTITUTE(SUBSTITUTE(SUBSTITUTE("id:"&amp;A1300,"%","%25"),"~","%7E"),"*","%2A"),"?","%3F"))</x:f>
      </x:c>
    </x:row>
    <x:row r="1301" ht="22" customHeight="1">
      <x:c r="A1301" s="3"/>
      <x:c r="B1301" s="3"/>
      <x:c r="C1301" s="3"/>
      <x:c r="D1301" s="4"/>
      <x:c r="E1301" s="4"/>
      <x:c r="F1301" s="4"/>
      <x:c r="G1301" s="5" t="str">
        <x:f>IF(COUNTA(A1301:F1301)=0,"",IF(K1301&lt;&gt;"","Review",IF(I1301&lt;0,"Overdue",IF(I1301=0,"Due now",IF(I1301&lt;=M1301,"Due soon","Not due")))))</x:f>
      </x:c>
      <x:c r="H1301" s="5" t="str">
        <x:f>IF(OR(COUNTA(A1301:F1301)=0,COUNTIFS('Rules'!$G$7:$G$26,"="&amp;(SUBSTITUTE(SUBSTITUTE(SUBSTITUTE(SUBSTITUTE("type:"&amp;B1301,"%","%25"),"~","%7E"),"*","%2A"),"?","%3F")))&lt;&gt;1),"",IF(OR(INDEX('Rules'!$B$7:$B$26,MATCH(SUBSTITUTE(SUBSTITUTE(SUBSTITUTE(SUBSTITUTE("type:"&amp;B1301,"%","%25"),"~","%7E"),"*","%2A"),"?","%3F"),'Rules'!$G$7:$G$26,0))="hours",INDEX('Rules'!$B$7:$B$26,MATCH(SUBSTITUTE(SUBSTITUTE(SUBSTITUTE(SUBSTITUTE("type:"&amp;B1301,"%","%25"),"~","%7E"),"*","%2A"),"?","%3F"),'Rules'!$G$7:$G$26,0))="km"),INDEX('Rules'!$B$7:$B$26,MATCH(SUBSTITUTE(SUBSTITUTE(SUBSTITUTE(SUBSTITUTE("type:"&amp;B1301,"%","%25"),"~","%7E"),"*","%2A"),"?","%3F"),'Rules'!$G$7:$G$26,0)),""))</x:f>
      </x:c>
      <x:c r="I1301" s="6" t="str">
        <x:f>IF(AND(NOT(COUNTA(A1301:F1301)=0),K1301=""),ROUND(J1301-D1301,3),"")</x:f>
      </x:c>
      <x:c r="J1301" s="6" t="str">
        <x:f>IF(AND(NOT(COUNTA(A1301:F1301)=0),K1301=""),ROUND(F1301+L1301,3),"")</x:f>
      </x:c>
      <x:c r="K1301" s="5" t="str">
        <x:f>IF(COUNTA(A1301:F1301)=0,"",IF(A1301="","Missing equipment ID",IF(COUNTIFS($N$8:$N$2007,"="&amp;N1301)&gt;1,"Duplicate equipment ID",IF(B1301="","Missing type",IF(COUNTIFS('Rules'!$G$7:$G$26,"="&amp;(SUBSTITUTE(SUBSTITUTE(SUBSTITUTE(SUBSTITUTE("type:"&amp;B1301,"%","%25"),"~","%7E"),"*","%2A"),"?","%3F")))=0,"Unknown type",IF(COUNTIFS('Rules'!$G$7:$G$26,"="&amp;(SUBSTITUTE(SUBSTITUTE(SUBSTITUTE(SUBSTITUTE("type:"&amp;B1301,"%","%25"),"~","%7E"),"*","%2A"),"?","%3F")))&gt;1,"Duplicate type",IF(INDEX('Rules'!$F$7:$F$26,MATCH(SUBSTITUTE(SUBSTITUTE(SUBSTITUTE(SUBSTITUTE("type:"&amp;B1301,"%","%25"),"~","%7E"),"*","%2A"),"?","%3F"),'Rules'!$G$7:$G$26,0))&lt;&gt;"",INDEX('Rules'!$F$7:$F$26,MATCH(SUBSTITUTE(SUBSTITUTE(SUBSTITUTE(SUBSTITUTE("type:"&amp;B1301,"%","%25"),"~","%7E"),"*","%2A"),"?","%3F"),'Rules'!$G$7:$G$26,0)),IF(AND(C1301&lt;&gt;"",C1301&lt;&gt;INDEX('Rules'!$B$7:$B$26,MATCH(SUBSTITUTE(SUBSTITUTE(SUBSTITUTE(SUBSTITUTE("type:"&amp;B1301,"%","%25"),"~","%7E"),"*","%2A"),"?","%3F"),'Rules'!$G$7:$G$26,0))),"Unit mismatch",IF(IF(NOT(ISNUMBER(D1301)),TRUE,OR(D1301&lt;0,D1301&gt;999999999,ROUND(D1301,3)&lt;&gt;D1301)),"Invalid current reading",IF(AND(E1301&lt;&gt;"",IF(NOT(ISNUMBER(E1301)),TRUE,OR(E1301&lt;0,E1301&gt;999999999,ROUND(E1301,3)&lt;&gt;E1301))),"Invalid previous reading",IF(IF(NOT(ISNUMBER(F1301)),TRUE,OR(F1301&lt;0,F1301&gt;999999999,ROUND(F1301,3)&lt;&gt;F1301)),"Invalid last service",IF(AND(E1301&lt;&gt;"",D1301&lt;E1301),"Decreased reading",IF(F1301&gt;D1301,"Last service above current","")))))))))))))</x:f>
      </x:c>
      <x:c r="L1301" s="6" t="str">
        <x:f>IF(AND(NOT(COUNTA(A1301:F1301)=0),K1301=""),INDEX('Rules'!$C$7:$C$26,MATCH(SUBSTITUTE(SUBSTITUTE(SUBSTITUTE(SUBSTITUTE("type:"&amp;B1301,"%","%25"),"~","%7E"),"*","%2A"),"?","%3F"),'Rules'!$G$7:$G$26,0)),"")</x:f>
      </x:c>
      <x:c r="M1301" s="6" t="str">
        <x:f>IF(AND(NOT(COUNTA(A1301:F1301)=0),K1301=""),INDEX('Rules'!$D$7:$D$26,MATCH(SUBSTITUTE(SUBSTITUTE(SUBSTITUTE(SUBSTITUTE("type:"&amp;B1301,"%","%25"),"~","%7E"),"*","%2A"),"?","%3F"),'Rules'!$G$7:$G$26,0)),"")</x:f>
      </x:c>
      <x:c r="N1301" s="5" t="str">
        <x:f>IF(COUNTA(A1301:F1301)=0,"",SUBSTITUTE(SUBSTITUTE(SUBSTITUTE(SUBSTITUTE("id:"&amp;A1301,"%","%25"),"~","%7E"),"*","%2A"),"?","%3F"))</x:f>
      </x:c>
    </x:row>
    <x:row r="1302" ht="22" customHeight="1">
      <x:c r="A1302" s="3"/>
      <x:c r="B1302" s="3"/>
      <x:c r="C1302" s="3"/>
      <x:c r="D1302" s="4"/>
      <x:c r="E1302" s="4"/>
      <x:c r="F1302" s="4"/>
      <x:c r="G1302" s="5" t="str">
        <x:f>IF(COUNTA(A1302:F1302)=0,"",IF(K1302&lt;&gt;"","Review",IF(I1302&lt;0,"Overdue",IF(I1302=0,"Due now",IF(I1302&lt;=M1302,"Due soon","Not due")))))</x:f>
      </x:c>
      <x:c r="H1302" s="5" t="str">
        <x:f>IF(OR(COUNTA(A1302:F1302)=0,COUNTIFS('Rules'!$G$7:$G$26,"="&amp;(SUBSTITUTE(SUBSTITUTE(SUBSTITUTE(SUBSTITUTE("type:"&amp;B1302,"%","%25"),"~","%7E"),"*","%2A"),"?","%3F")))&lt;&gt;1),"",IF(OR(INDEX('Rules'!$B$7:$B$26,MATCH(SUBSTITUTE(SUBSTITUTE(SUBSTITUTE(SUBSTITUTE("type:"&amp;B1302,"%","%25"),"~","%7E"),"*","%2A"),"?","%3F"),'Rules'!$G$7:$G$26,0))="hours",INDEX('Rules'!$B$7:$B$26,MATCH(SUBSTITUTE(SUBSTITUTE(SUBSTITUTE(SUBSTITUTE("type:"&amp;B1302,"%","%25"),"~","%7E"),"*","%2A"),"?","%3F"),'Rules'!$G$7:$G$26,0))="km"),INDEX('Rules'!$B$7:$B$26,MATCH(SUBSTITUTE(SUBSTITUTE(SUBSTITUTE(SUBSTITUTE("type:"&amp;B1302,"%","%25"),"~","%7E"),"*","%2A"),"?","%3F"),'Rules'!$G$7:$G$26,0)),""))</x:f>
      </x:c>
      <x:c r="I1302" s="6" t="str">
        <x:f>IF(AND(NOT(COUNTA(A1302:F1302)=0),K1302=""),ROUND(J1302-D1302,3),"")</x:f>
      </x:c>
      <x:c r="J1302" s="6" t="str">
        <x:f>IF(AND(NOT(COUNTA(A1302:F1302)=0),K1302=""),ROUND(F1302+L1302,3),"")</x:f>
      </x:c>
      <x:c r="K1302" s="5" t="str">
        <x:f>IF(COUNTA(A1302:F1302)=0,"",IF(A1302="","Missing equipment ID",IF(COUNTIFS($N$8:$N$2007,"="&amp;N1302)&gt;1,"Duplicate equipment ID",IF(B1302="","Missing type",IF(COUNTIFS('Rules'!$G$7:$G$26,"="&amp;(SUBSTITUTE(SUBSTITUTE(SUBSTITUTE(SUBSTITUTE("type:"&amp;B1302,"%","%25"),"~","%7E"),"*","%2A"),"?","%3F")))=0,"Unknown type",IF(COUNTIFS('Rules'!$G$7:$G$26,"="&amp;(SUBSTITUTE(SUBSTITUTE(SUBSTITUTE(SUBSTITUTE("type:"&amp;B1302,"%","%25"),"~","%7E"),"*","%2A"),"?","%3F")))&gt;1,"Duplicate type",IF(INDEX('Rules'!$F$7:$F$26,MATCH(SUBSTITUTE(SUBSTITUTE(SUBSTITUTE(SUBSTITUTE("type:"&amp;B1302,"%","%25"),"~","%7E"),"*","%2A"),"?","%3F"),'Rules'!$G$7:$G$26,0))&lt;&gt;"",INDEX('Rules'!$F$7:$F$26,MATCH(SUBSTITUTE(SUBSTITUTE(SUBSTITUTE(SUBSTITUTE("type:"&amp;B1302,"%","%25"),"~","%7E"),"*","%2A"),"?","%3F"),'Rules'!$G$7:$G$26,0)),IF(AND(C1302&lt;&gt;"",C1302&lt;&gt;INDEX('Rules'!$B$7:$B$26,MATCH(SUBSTITUTE(SUBSTITUTE(SUBSTITUTE(SUBSTITUTE("type:"&amp;B1302,"%","%25"),"~","%7E"),"*","%2A"),"?","%3F"),'Rules'!$G$7:$G$26,0))),"Unit mismatch",IF(IF(NOT(ISNUMBER(D1302)),TRUE,OR(D1302&lt;0,D1302&gt;999999999,ROUND(D1302,3)&lt;&gt;D1302)),"Invalid current reading",IF(AND(E1302&lt;&gt;"",IF(NOT(ISNUMBER(E1302)),TRUE,OR(E1302&lt;0,E1302&gt;999999999,ROUND(E1302,3)&lt;&gt;E1302))),"Invalid previous reading",IF(IF(NOT(ISNUMBER(F1302)),TRUE,OR(F1302&lt;0,F1302&gt;999999999,ROUND(F1302,3)&lt;&gt;F1302)),"Invalid last service",IF(AND(E1302&lt;&gt;"",D1302&lt;E1302),"Decreased reading",IF(F1302&gt;D1302,"Last service above current","")))))))))))))</x:f>
      </x:c>
      <x:c r="L1302" s="6" t="str">
        <x:f>IF(AND(NOT(COUNTA(A1302:F1302)=0),K1302=""),INDEX('Rules'!$C$7:$C$26,MATCH(SUBSTITUTE(SUBSTITUTE(SUBSTITUTE(SUBSTITUTE("type:"&amp;B1302,"%","%25"),"~","%7E"),"*","%2A"),"?","%3F"),'Rules'!$G$7:$G$26,0)),"")</x:f>
      </x:c>
      <x:c r="M1302" s="6" t="str">
        <x:f>IF(AND(NOT(COUNTA(A1302:F1302)=0),K1302=""),INDEX('Rules'!$D$7:$D$26,MATCH(SUBSTITUTE(SUBSTITUTE(SUBSTITUTE(SUBSTITUTE("type:"&amp;B1302,"%","%25"),"~","%7E"),"*","%2A"),"?","%3F"),'Rules'!$G$7:$G$26,0)),"")</x:f>
      </x:c>
      <x:c r="N1302" s="5" t="str">
        <x:f>IF(COUNTA(A1302:F1302)=0,"",SUBSTITUTE(SUBSTITUTE(SUBSTITUTE(SUBSTITUTE("id:"&amp;A1302,"%","%25"),"~","%7E"),"*","%2A"),"?","%3F"))</x:f>
      </x:c>
    </x:row>
    <x:row r="1303" ht="22" customHeight="1">
      <x:c r="A1303" s="3"/>
      <x:c r="B1303" s="3"/>
      <x:c r="C1303" s="3"/>
      <x:c r="D1303" s="4"/>
      <x:c r="E1303" s="4"/>
      <x:c r="F1303" s="4"/>
      <x:c r="G1303" s="5" t="str">
        <x:f>IF(COUNTA(A1303:F1303)=0,"",IF(K1303&lt;&gt;"","Review",IF(I1303&lt;0,"Overdue",IF(I1303=0,"Due now",IF(I1303&lt;=M1303,"Due soon","Not due")))))</x:f>
      </x:c>
      <x:c r="H1303" s="5" t="str">
        <x:f>IF(OR(COUNTA(A1303:F1303)=0,COUNTIFS('Rules'!$G$7:$G$26,"="&amp;(SUBSTITUTE(SUBSTITUTE(SUBSTITUTE(SUBSTITUTE("type:"&amp;B1303,"%","%25"),"~","%7E"),"*","%2A"),"?","%3F")))&lt;&gt;1),"",IF(OR(INDEX('Rules'!$B$7:$B$26,MATCH(SUBSTITUTE(SUBSTITUTE(SUBSTITUTE(SUBSTITUTE("type:"&amp;B1303,"%","%25"),"~","%7E"),"*","%2A"),"?","%3F"),'Rules'!$G$7:$G$26,0))="hours",INDEX('Rules'!$B$7:$B$26,MATCH(SUBSTITUTE(SUBSTITUTE(SUBSTITUTE(SUBSTITUTE("type:"&amp;B1303,"%","%25"),"~","%7E"),"*","%2A"),"?","%3F"),'Rules'!$G$7:$G$26,0))="km"),INDEX('Rules'!$B$7:$B$26,MATCH(SUBSTITUTE(SUBSTITUTE(SUBSTITUTE(SUBSTITUTE("type:"&amp;B1303,"%","%25"),"~","%7E"),"*","%2A"),"?","%3F"),'Rules'!$G$7:$G$26,0)),""))</x:f>
      </x:c>
      <x:c r="I1303" s="6" t="str">
        <x:f>IF(AND(NOT(COUNTA(A1303:F1303)=0),K1303=""),ROUND(J1303-D1303,3),"")</x:f>
      </x:c>
      <x:c r="J1303" s="6" t="str">
        <x:f>IF(AND(NOT(COUNTA(A1303:F1303)=0),K1303=""),ROUND(F1303+L1303,3),"")</x:f>
      </x:c>
      <x:c r="K1303" s="5" t="str">
        <x:f>IF(COUNTA(A1303:F1303)=0,"",IF(A1303="","Missing equipment ID",IF(COUNTIFS($N$8:$N$2007,"="&amp;N1303)&gt;1,"Duplicate equipment ID",IF(B1303="","Missing type",IF(COUNTIFS('Rules'!$G$7:$G$26,"="&amp;(SUBSTITUTE(SUBSTITUTE(SUBSTITUTE(SUBSTITUTE("type:"&amp;B1303,"%","%25"),"~","%7E"),"*","%2A"),"?","%3F")))=0,"Unknown type",IF(COUNTIFS('Rules'!$G$7:$G$26,"="&amp;(SUBSTITUTE(SUBSTITUTE(SUBSTITUTE(SUBSTITUTE("type:"&amp;B1303,"%","%25"),"~","%7E"),"*","%2A"),"?","%3F")))&gt;1,"Duplicate type",IF(INDEX('Rules'!$F$7:$F$26,MATCH(SUBSTITUTE(SUBSTITUTE(SUBSTITUTE(SUBSTITUTE("type:"&amp;B1303,"%","%25"),"~","%7E"),"*","%2A"),"?","%3F"),'Rules'!$G$7:$G$26,0))&lt;&gt;"",INDEX('Rules'!$F$7:$F$26,MATCH(SUBSTITUTE(SUBSTITUTE(SUBSTITUTE(SUBSTITUTE("type:"&amp;B1303,"%","%25"),"~","%7E"),"*","%2A"),"?","%3F"),'Rules'!$G$7:$G$26,0)),IF(AND(C1303&lt;&gt;"",C1303&lt;&gt;INDEX('Rules'!$B$7:$B$26,MATCH(SUBSTITUTE(SUBSTITUTE(SUBSTITUTE(SUBSTITUTE("type:"&amp;B1303,"%","%25"),"~","%7E"),"*","%2A"),"?","%3F"),'Rules'!$G$7:$G$26,0))),"Unit mismatch",IF(IF(NOT(ISNUMBER(D1303)),TRUE,OR(D1303&lt;0,D1303&gt;999999999,ROUND(D1303,3)&lt;&gt;D1303)),"Invalid current reading",IF(AND(E1303&lt;&gt;"",IF(NOT(ISNUMBER(E1303)),TRUE,OR(E1303&lt;0,E1303&gt;999999999,ROUND(E1303,3)&lt;&gt;E1303))),"Invalid previous reading",IF(IF(NOT(ISNUMBER(F1303)),TRUE,OR(F1303&lt;0,F1303&gt;999999999,ROUND(F1303,3)&lt;&gt;F1303)),"Invalid last service",IF(AND(E1303&lt;&gt;"",D1303&lt;E1303),"Decreased reading",IF(F1303&gt;D1303,"Last service above current","")))))))))))))</x:f>
      </x:c>
      <x:c r="L1303" s="6" t="str">
        <x:f>IF(AND(NOT(COUNTA(A1303:F1303)=0),K1303=""),INDEX('Rules'!$C$7:$C$26,MATCH(SUBSTITUTE(SUBSTITUTE(SUBSTITUTE(SUBSTITUTE("type:"&amp;B1303,"%","%25"),"~","%7E"),"*","%2A"),"?","%3F"),'Rules'!$G$7:$G$26,0)),"")</x:f>
      </x:c>
      <x:c r="M1303" s="6" t="str">
        <x:f>IF(AND(NOT(COUNTA(A1303:F1303)=0),K1303=""),INDEX('Rules'!$D$7:$D$26,MATCH(SUBSTITUTE(SUBSTITUTE(SUBSTITUTE(SUBSTITUTE("type:"&amp;B1303,"%","%25"),"~","%7E"),"*","%2A"),"?","%3F"),'Rules'!$G$7:$G$26,0)),"")</x:f>
      </x:c>
      <x:c r="N1303" s="5" t="str">
        <x:f>IF(COUNTA(A1303:F1303)=0,"",SUBSTITUTE(SUBSTITUTE(SUBSTITUTE(SUBSTITUTE("id:"&amp;A1303,"%","%25"),"~","%7E"),"*","%2A"),"?","%3F"))</x:f>
      </x:c>
    </x:row>
    <x:row r="1304" ht="22" customHeight="1">
      <x:c r="A1304" s="3"/>
      <x:c r="B1304" s="3"/>
      <x:c r="C1304" s="3"/>
      <x:c r="D1304" s="4"/>
      <x:c r="E1304" s="4"/>
      <x:c r="F1304" s="4"/>
      <x:c r="G1304" s="5" t="str">
        <x:f>IF(COUNTA(A1304:F1304)=0,"",IF(K1304&lt;&gt;"","Review",IF(I1304&lt;0,"Overdue",IF(I1304=0,"Due now",IF(I1304&lt;=M1304,"Due soon","Not due")))))</x:f>
      </x:c>
      <x:c r="H1304" s="5" t="str">
        <x:f>IF(OR(COUNTA(A1304:F1304)=0,COUNTIFS('Rules'!$G$7:$G$26,"="&amp;(SUBSTITUTE(SUBSTITUTE(SUBSTITUTE(SUBSTITUTE("type:"&amp;B1304,"%","%25"),"~","%7E"),"*","%2A"),"?","%3F")))&lt;&gt;1),"",IF(OR(INDEX('Rules'!$B$7:$B$26,MATCH(SUBSTITUTE(SUBSTITUTE(SUBSTITUTE(SUBSTITUTE("type:"&amp;B1304,"%","%25"),"~","%7E"),"*","%2A"),"?","%3F"),'Rules'!$G$7:$G$26,0))="hours",INDEX('Rules'!$B$7:$B$26,MATCH(SUBSTITUTE(SUBSTITUTE(SUBSTITUTE(SUBSTITUTE("type:"&amp;B1304,"%","%25"),"~","%7E"),"*","%2A"),"?","%3F"),'Rules'!$G$7:$G$26,0))="km"),INDEX('Rules'!$B$7:$B$26,MATCH(SUBSTITUTE(SUBSTITUTE(SUBSTITUTE(SUBSTITUTE("type:"&amp;B1304,"%","%25"),"~","%7E"),"*","%2A"),"?","%3F"),'Rules'!$G$7:$G$26,0)),""))</x:f>
      </x:c>
      <x:c r="I1304" s="6" t="str">
        <x:f>IF(AND(NOT(COUNTA(A1304:F1304)=0),K1304=""),ROUND(J1304-D1304,3),"")</x:f>
      </x:c>
      <x:c r="J1304" s="6" t="str">
        <x:f>IF(AND(NOT(COUNTA(A1304:F1304)=0),K1304=""),ROUND(F1304+L1304,3),"")</x:f>
      </x:c>
      <x:c r="K1304" s="5" t="str">
        <x:f>IF(COUNTA(A1304:F1304)=0,"",IF(A1304="","Missing equipment ID",IF(COUNTIFS($N$8:$N$2007,"="&amp;N1304)&gt;1,"Duplicate equipment ID",IF(B1304="","Missing type",IF(COUNTIFS('Rules'!$G$7:$G$26,"="&amp;(SUBSTITUTE(SUBSTITUTE(SUBSTITUTE(SUBSTITUTE("type:"&amp;B1304,"%","%25"),"~","%7E"),"*","%2A"),"?","%3F")))=0,"Unknown type",IF(COUNTIFS('Rules'!$G$7:$G$26,"="&amp;(SUBSTITUTE(SUBSTITUTE(SUBSTITUTE(SUBSTITUTE("type:"&amp;B1304,"%","%25"),"~","%7E"),"*","%2A"),"?","%3F")))&gt;1,"Duplicate type",IF(INDEX('Rules'!$F$7:$F$26,MATCH(SUBSTITUTE(SUBSTITUTE(SUBSTITUTE(SUBSTITUTE("type:"&amp;B1304,"%","%25"),"~","%7E"),"*","%2A"),"?","%3F"),'Rules'!$G$7:$G$26,0))&lt;&gt;"",INDEX('Rules'!$F$7:$F$26,MATCH(SUBSTITUTE(SUBSTITUTE(SUBSTITUTE(SUBSTITUTE("type:"&amp;B1304,"%","%25"),"~","%7E"),"*","%2A"),"?","%3F"),'Rules'!$G$7:$G$26,0)),IF(AND(C1304&lt;&gt;"",C1304&lt;&gt;INDEX('Rules'!$B$7:$B$26,MATCH(SUBSTITUTE(SUBSTITUTE(SUBSTITUTE(SUBSTITUTE("type:"&amp;B1304,"%","%25"),"~","%7E"),"*","%2A"),"?","%3F"),'Rules'!$G$7:$G$26,0))),"Unit mismatch",IF(IF(NOT(ISNUMBER(D1304)),TRUE,OR(D1304&lt;0,D1304&gt;999999999,ROUND(D1304,3)&lt;&gt;D1304)),"Invalid current reading",IF(AND(E1304&lt;&gt;"",IF(NOT(ISNUMBER(E1304)),TRUE,OR(E1304&lt;0,E1304&gt;999999999,ROUND(E1304,3)&lt;&gt;E1304))),"Invalid previous reading",IF(IF(NOT(ISNUMBER(F1304)),TRUE,OR(F1304&lt;0,F1304&gt;999999999,ROUND(F1304,3)&lt;&gt;F1304)),"Invalid last service",IF(AND(E1304&lt;&gt;"",D1304&lt;E1304),"Decreased reading",IF(F1304&gt;D1304,"Last service above current","")))))))))))))</x:f>
      </x:c>
      <x:c r="L1304" s="6" t="str">
        <x:f>IF(AND(NOT(COUNTA(A1304:F1304)=0),K1304=""),INDEX('Rules'!$C$7:$C$26,MATCH(SUBSTITUTE(SUBSTITUTE(SUBSTITUTE(SUBSTITUTE("type:"&amp;B1304,"%","%25"),"~","%7E"),"*","%2A"),"?","%3F"),'Rules'!$G$7:$G$26,0)),"")</x:f>
      </x:c>
      <x:c r="M1304" s="6" t="str">
        <x:f>IF(AND(NOT(COUNTA(A1304:F1304)=0),K1304=""),INDEX('Rules'!$D$7:$D$26,MATCH(SUBSTITUTE(SUBSTITUTE(SUBSTITUTE(SUBSTITUTE("type:"&amp;B1304,"%","%25"),"~","%7E"),"*","%2A"),"?","%3F"),'Rules'!$G$7:$G$26,0)),"")</x:f>
      </x:c>
      <x:c r="N1304" s="5" t="str">
        <x:f>IF(COUNTA(A1304:F1304)=0,"",SUBSTITUTE(SUBSTITUTE(SUBSTITUTE(SUBSTITUTE("id:"&amp;A1304,"%","%25"),"~","%7E"),"*","%2A"),"?","%3F"))</x:f>
      </x:c>
    </x:row>
    <x:row r="1305" ht="22" customHeight="1">
      <x:c r="A1305" s="3"/>
      <x:c r="B1305" s="3"/>
      <x:c r="C1305" s="3"/>
      <x:c r="D1305" s="4"/>
      <x:c r="E1305" s="4"/>
      <x:c r="F1305" s="4"/>
      <x:c r="G1305" s="5" t="str">
        <x:f>IF(COUNTA(A1305:F1305)=0,"",IF(K1305&lt;&gt;"","Review",IF(I1305&lt;0,"Overdue",IF(I1305=0,"Due now",IF(I1305&lt;=M1305,"Due soon","Not due")))))</x:f>
      </x:c>
      <x:c r="H1305" s="5" t="str">
        <x:f>IF(OR(COUNTA(A1305:F1305)=0,COUNTIFS('Rules'!$G$7:$G$26,"="&amp;(SUBSTITUTE(SUBSTITUTE(SUBSTITUTE(SUBSTITUTE("type:"&amp;B1305,"%","%25"),"~","%7E"),"*","%2A"),"?","%3F")))&lt;&gt;1),"",IF(OR(INDEX('Rules'!$B$7:$B$26,MATCH(SUBSTITUTE(SUBSTITUTE(SUBSTITUTE(SUBSTITUTE("type:"&amp;B1305,"%","%25"),"~","%7E"),"*","%2A"),"?","%3F"),'Rules'!$G$7:$G$26,0))="hours",INDEX('Rules'!$B$7:$B$26,MATCH(SUBSTITUTE(SUBSTITUTE(SUBSTITUTE(SUBSTITUTE("type:"&amp;B1305,"%","%25"),"~","%7E"),"*","%2A"),"?","%3F"),'Rules'!$G$7:$G$26,0))="km"),INDEX('Rules'!$B$7:$B$26,MATCH(SUBSTITUTE(SUBSTITUTE(SUBSTITUTE(SUBSTITUTE("type:"&amp;B1305,"%","%25"),"~","%7E"),"*","%2A"),"?","%3F"),'Rules'!$G$7:$G$26,0)),""))</x:f>
      </x:c>
      <x:c r="I1305" s="6" t="str">
        <x:f>IF(AND(NOT(COUNTA(A1305:F1305)=0),K1305=""),ROUND(J1305-D1305,3),"")</x:f>
      </x:c>
      <x:c r="J1305" s="6" t="str">
        <x:f>IF(AND(NOT(COUNTA(A1305:F1305)=0),K1305=""),ROUND(F1305+L1305,3),"")</x:f>
      </x:c>
      <x:c r="K1305" s="5" t="str">
        <x:f>IF(COUNTA(A1305:F1305)=0,"",IF(A1305="","Missing equipment ID",IF(COUNTIFS($N$8:$N$2007,"="&amp;N1305)&gt;1,"Duplicate equipment ID",IF(B1305="","Missing type",IF(COUNTIFS('Rules'!$G$7:$G$26,"="&amp;(SUBSTITUTE(SUBSTITUTE(SUBSTITUTE(SUBSTITUTE("type:"&amp;B1305,"%","%25"),"~","%7E"),"*","%2A"),"?","%3F")))=0,"Unknown type",IF(COUNTIFS('Rules'!$G$7:$G$26,"="&amp;(SUBSTITUTE(SUBSTITUTE(SUBSTITUTE(SUBSTITUTE("type:"&amp;B1305,"%","%25"),"~","%7E"),"*","%2A"),"?","%3F")))&gt;1,"Duplicate type",IF(INDEX('Rules'!$F$7:$F$26,MATCH(SUBSTITUTE(SUBSTITUTE(SUBSTITUTE(SUBSTITUTE("type:"&amp;B1305,"%","%25"),"~","%7E"),"*","%2A"),"?","%3F"),'Rules'!$G$7:$G$26,0))&lt;&gt;"",INDEX('Rules'!$F$7:$F$26,MATCH(SUBSTITUTE(SUBSTITUTE(SUBSTITUTE(SUBSTITUTE("type:"&amp;B1305,"%","%25"),"~","%7E"),"*","%2A"),"?","%3F"),'Rules'!$G$7:$G$26,0)),IF(AND(C1305&lt;&gt;"",C1305&lt;&gt;INDEX('Rules'!$B$7:$B$26,MATCH(SUBSTITUTE(SUBSTITUTE(SUBSTITUTE(SUBSTITUTE("type:"&amp;B1305,"%","%25"),"~","%7E"),"*","%2A"),"?","%3F"),'Rules'!$G$7:$G$26,0))),"Unit mismatch",IF(IF(NOT(ISNUMBER(D1305)),TRUE,OR(D1305&lt;0,D1305&gt;999999999,ROUND(D1305,3)&lt;&gt;D1305)),"Invalid current reading",IF(AND(E1305&lt;&gt;"",IF(NOT(ISNUMBER(E1305)),TRUE,OR(E1305&lt;0,E1305&gt;999999999,ROUND(E1305,3)&lt;&gt;E1305))),"Invalid previous reading",IF(IF(NOT(ISNUMBER(F1305)),TRUE,OR(F1305&lt;0,F1305&gt;999999999,ROUND(F1305,3)&lt;&gt;F1305)),"Invalid last service",IF(AND(E1305&lt;&gt;"",D1305&lt;E1305),"Decreased reading",IF(F1305&gt;D1305,"Last service above current","")))))))))))))</x:f>
      </x:c>
      <x:c r="L1305" s="6" t="str">
        <x:f>IF(AND(NOT(COUNTA(A1305:F1305)=0),K1305=""),INDEX('Rules'!$C$7:$C$26,MATCH(SUBSTITUTE(SUBSTITUTE(SUBSTITUTE(SUBSTITUTE("type:"&amp;B1305,"%","%25"),"~","%7E"),"*","%2A"),"?","%3F"),'Rules'!$G$7:$G$26,0)),"")</x:f>
      </x:c>
      <x:c r="M1305" s="6" t="str">
        <x:f>IF(AND(NOT(COUNTA(A1305:F1305)=0),K1305=""),INDEX('Rules'!$D$7:$D$26,MATCH(SUBSTITUTE(SUBSTITUTE(SUBSTITUTE(SUBSTITUTE("type:"&amp;B1305,"%","%25"),"~","%7E"),"*","%2A"),"?","%3F"),'Rules'!$G$7:$G$26,0)),"")</x:f>
      </x:c>
      <x:c r="N1305" s="5" t="str">
        <x:f>IF(COUNTA(A1305:F1305)=0,"",SUBSTITUTE(SUBSTITUTE(SUBSTITUTE(SUBSTITUTE("id:"&amp;A1305,"%","%25"),"~","%7E"),"*","%2A"),"?","%3F"))</x:f>
      </x:c>
    </x:row>
    <x:row r="1306" ht="22" customHeight="1">
      <x:c r="A1306" s="3"/>
      <x:c r="B1306" s="3"/>
      <x:c r="C1306" s="3"/>
      <x:c r="D1306" s="4"/>
      <x:c r="E1306" s="4"/>
      <x:c r="F1306" s="4"/>
      <x:c r="G1306" s="5" t="str">
        <x:f>IF(COUNTA(A1306:F1306)=0,"",IF(K1306&lt;&gt;"","Review",IF(I1306&lt;0,"Overdue",IF(I1306=0,"Due now",IF(I1306&lt;=M1306,"Due soon","Not due")))))</x:f>
      </x:c>
      <x:c r="H1306" s="5" t="str">
        <x:f>IF(OR(COUNTA(A1306:F1306)=0,COUNTIFS('Rules'!$G$7:$G$26,"="&amp;(SUBSTITUTE(SUBSTITUTE(SUBSTITUTE(SUBSTITUTE("type:"&amp;B1306,"%","%25"),"~","%7E"),"*","%2A"),"?","%3F")))&lt;&gt;1),"",IF(OR(INDEX('Rules'!$B$7:$B$26,MATCH(SUBSTITUTE(SUBSTITUTE(SUBSTITUTE(SUBSTITUTE("type:"&amp;B1306,"%","%25"),"~","%7E"),"*","%2A"),"?","%3F"),'Rules'!$G$7:$G$26,0))="hours",INDEX('Rules'!$B$7:$B$26,MATCH(SUBSTITUTE(SUBSTITUTE(SUBSTITUTE(SUBSTITUTE("type:"&amp;B1306,"%","%25"),"~","%7E"),"*","%2A"),"?","%3F"),'Rules'!$G$7:$G$26,0))="km"),INDEX('Rules'!$B$7:$B$26,MATCH(SUBSTITUTE(SUBSTITUTE(SUBSTITUTE(SUBSTITUTE("type:"&amp;B1306,"%","%25"),"~","%7E"),"*","%2A"),"?","%3F"),'Rules'!$G$7:$G$26,0)),""))</x:f>
      </x:c>
      <x:c r="I1306" s="6" t="str">
        <x:f>IF(AND(NOT(COUNTA(A1306:F1306)=0),K1306=""),ROUND(J1306-D1306,3),"")</x:f>
      </x:c>
      <x:c r="J1306" s="6" t="str">
        <x:f>IF(AND(NOT(COUNTA(A1306:F1306)=0),K1306=""),ROUND(F1306+L1306,3),"")</x:f>
      </x:c>
      <x:c r="K1306" s="5" t="str">
        <x:f>IF(COUNTA(A1306:F1306)=0,"",IF(A1306="","Missing equipment ID",IF(COUNTIFS($N$8:$N$2007,"="&amp;N1306)&gt;1,"Duplicate equipment ID",IF(B1306="","Missing type",IF(COUNTIFS('Rules'!$G$7:$G$26,"="&amp;(SUBSTITUTE(SUBSTITUTE(SUBSTITUTE(SUBSTITUTE("type:"&amp;B1306,"%","%25"),"~","%7E"),"*","%2A"),"?","%3F")))=0,"Unknown type",IF(COUNTIFS('Rules'!$G$7:$G$26,"="&amp;(SUBSTITUTE(SUBSTITUTE(SUBSTITUTE(SUBSTITUTE("type:"&amp;B1306,"%","%25"),"~","%7E"),"*","%2A"),"?","%3F")))&gt;1,"Duplicate type",IF(INDEX('Rules'!$F$7:$F$26,MATCH(SUBSTITUTE(SUBSTITUTE(SUBSTITUTE(SUBSTITUTE("type:"&amp;B1306,"%","%25"),"~","%7E"),"*","%2A"),"?","%3F"),'Rules'!$G$7:$G$26,0))&lt;&gt;"",INDEX('Rules'!$F$7:$F$26,MATCH(SUBSTITUTE(SUBSTITUTE(SUBSTITUTE(SUBSTITUTE("type:"&amp;B1306,"%","%25"),"~","%7E"),"*","%2A"),"?","%3F"),'Rules'!$G$7:$G$26,0)),IF(AND(C1306&lt;&gt;"",C1306&lt;&gt;INDEX('Rules'!$B$7:$B$26,MATCH(SUBSTITUTE(SUBSTITUTE(SUBSTITUTE(SUBSTITUTE("type:"&amp;B1306,"%","%25"),"~","%7E"),"*","%2A"),"?","%3F"),'Rules'!$G$7:$G$26,0))),"Unit mismatch",IF(IF(NOT(ISNUMBER(D1306)),TRUE,OR(D1306&lt;0,D1306&gt;999999999,ROUND(D1306,3)&lt;&gt;D1306)),"Invalid current reading",IF(AND(E1306&lt;&gt;"",IF(NOT(ISNUMBER(E1306)),TRUE,OR(E1306&lt;0,E1306&gt;999999999,ROUND(E1306,3)&lt;&gt;E1306))),"Invalid previous reading",IF(IF(NOT(ISNUMBER(F1306)),TRUE,OR(F1306&lt;0,F1306&gt;999999999,ROUND(F1306,3)&lt;&gt;F1306)),"Invalid last service",IF(AND(E1306&lt;&gt;"",D1306&lt;E1306),"Decreased reading",IF(F1306&gt;D1306,"Last service above current","")))))))))))))</x:f>
      </x:c>
      <x:c r="L1306" s="6" t="str">
        <x:f>IF(AND(NOT(COUNTA(A1306:F1306)=0),K1306=""),INDEX('Rules'!$C$7:$C$26,MATCH(SUBSTITUTE(SUBSTITUTE(SUBSTITUTE(SUBSTITUTE("type:"&amp;B1306,"%","%25"),"~","%7E"),"*","%2A"),"?","%3F"),'Rules'!$G$7:$G$26,0)),"")</x:f>
      </x:c>
      <x:c r="M1306" s="6" t="str">
        <x:f>IF(AND(NOT(COUNTA(A1306:F1306)=0),K1306=""),INDEX('Rules'!$D$7:$D$26,MATCH(SUBSTITUTE(SUBSTITUTE(SUBSTITUTE(SUBSTITUTE("type:"&amp;B1306,"%","%25"),"~","%7E"),"*","%2A"),"?","%3F"),'Rules'!$G$7:$G$26,0)),"")</x:f>
      </x:c>
      <x:c r="N1306" s="5" t="str">
        <x:f>IF(COUNTA(A1306:F1306)=0,"",SUBSTITUTE(SUBSTITUTE(SUBSTITUTE(SUBSTITUTE("id:"&amp;A1306,"%","%25"),"~","%7E"),"*","%2A"),"?","%3F"))</x:f>
      </x:c>
    </x:row>
    <x:row r="1307" ht="22" customHeight="1">
      <x:c r="A1307" s="3"/>
      <x:c r="B1307" s="3"/>
      <x:c r="C1307" s="3"/>
      <x:c r="D1307" s="4"/>
      <x:c r="E1307" s="4"/>
      <x:c r="F1307" s="4"/>
      <x:c r="G1307" s="5" t="str">
        <x:f>IF(COUNTA(A1307:F1307)=0,"",IF(K1307&lt;&gt;"","Review",IF(I1307&lt;0,"Overdue",IF(I1307=0,"Due now",IF(I1307&lt;=M1307,"Due soon","Not due")))))</x:f>
      </x:c>
      <x:c r="H1307" s="5" t="str">
        <x:f>IF(OR(COUNTA(A1307:F1307)=0,COUNTIFS('Rules'!$G$7:$G$26,"="&amp;(SUBSTITUTE(SUBSTITUTE(SUBSTITUTE(SUBSTITUTE("type:"&amp;B1307,"%","%25"),"~","%7E"),"*","%2A"),"?","%3F")))&lt;&gt;1),"",IF(OR(INDEX('Rules'!$B$7:$B$26,MATCH(SUBSTITUTE(SUBSTITUTE(SUBSTITUTE(SUBSTITUTE("type:"&amp;B1307,"%","%25"),"~","%7E"),"*","%2A"),"?","%3F"),'Rules'!$G$7:$G$26,0))="hours",INDEX('Rules'!$B$7:$B$26,MATCH(SUBSTITUTE(SUBSTITUTE(SUBSTITUTE(SUBSTITUTE("type:"&amp;B1307,"%","%25"),"~","%7E"),"*","%2A"),"?","%3F"),'Rules'!$G$7:$G$26,0))="km"),INDEX('Rules'!$B$7:$B$26,MATCH(SUBSTITUTE(SUBSTITUTE(SUBSTITUTE(SUBSTITUTE("type:"&amp;B1307,"%","%25"),"~","%7E"),"*","%2A"),"?","%3F"),'Rules'!$G$7:$G$26,0)),""))</x:f>
      </x:c>
      <x:c r="I1307" s="6" t="str">
        <x:f>IF(AND(NOT(COUNTA(A1307:F1307)=0),K1307=""),ROUND(J1307-D1307,3),"")</x:f>
      </x:c>
      <x:c r="J1307" s="6" t="str">
        <x:f>IF(AND(NOT(COUNTA(A1307:F1307)=0),K1307=""),ROUND(F1307+L1307,3),"")</x:f>
      </x:c>
      <x:c r="K1307" s="5" t="str">
        <x:f>IF(COUNTA(A1307:F1307)=0,"",IF(A1307="","Missing equipment ID",IF(COUNTIFS($N$8:$N$2007,"="&amp;N1307)&gt;1,"Duplicate equipment ID",IF(B1307="","Missing type",IF(COUNTIFS('Rules'!$G$7:$G$26,"="&amp;(SUBSTITUTE(SUBSTITUTE(SUBSTITUTE(SUBSTITUTE("type:"&amp;B1307,"%","%25"),"~","%7E"),"*","%2A"),"?","%3F")))=0,"Unknown type",IF(COUNTIFS('Rules'!$G$7:$G$26,"="&amp;(SUBSTITUTE(SUBSTITUTE(SUBSTITUTE(SUBSTITUTE("type:"&amp;B1307,"%","%25"),"~","%7E"),"*","%2A"),"?","%3F")))&gt;1,"Duplicate type",IF(INDEX('Rules'!$F$7:$F$26,MATCH(SUBSTITUTE(SUBSTITUTE(SUBSTITUTE(SUBSTITUTE("type:"&amp;B1307,"%","%25"),"~","%7E"),"*","%2A"),"?","%3F"),'Rules'!$G$7:$G$26,0))&lt;&gt;"",INDEX('Rules'!$F$7:$F$26,MATCH(SUBSTITUTE(SUBSTITUTE(SUBSTITUTE(SUBSTITUTE("type:"&amp;B1307,"%","%25"),"~","%7E"),"*","%2A"),"?","%3F"),'Rules'!$G$7:$G$26,0)),IF(AND(C1307&lt;&gt;"",C1307&lt;&gt;INDEX('Rules'!$B$7:$B$26,MATCH(SUBSTITUTE(SUBSTITUTE(SUBSTITUTE(SUBSTITUTE("type:"&amp;B1307,"%","%25"),"~","%7E"),"*","%2A"),"?","%3F"),'Rules'!$G$7:$G$26,0))),"Unit mismatch",IF(IF(NOT(ISNUMBER(D1307)),TRUE,OR(D1307&lt;0,D1307&gt;999999999,ROUND(D1307,3)&lt;&gt;D1307)),"Invalid current reading",IF(AND(E1307&lt;&gt;"",IF(NOT(ISNUMBER(E1307)),TRUE,OR(E1307&lt;0,E1307&gt;999999999,ROUND(E1307,3)&lt;&gt;E1307))),"Invalid previous reading",IF(IF(NOT(ISNUMBER(F1307)),TRUE,OR(F1307&lt;0,F1307&gt;999999999,ROUND(F1307,3)&lt;&gt;F1307)),"Invalid last service",IF(AND(E1307&lt;&gt;"",D1307&lt;E1307),"Decreased reading",IF(F1307&gt;D1307,"Last service above current","")))))))))))))</x:f>
      </x:c>
      <x:c r="L1307" s="6" t="str">
        <x:f>IF(AND(NOT(COUNTA(A1307:F1307)=0),K1307=""),INDEX('Rules'!$C$7:$C$26,MATCH(SUBSTITUTE(SUBSTITUTE(SUBSTITUTE(SUBSTITUTE("type:"&amp;B1307,"%","%25"),"~","%7E"),"*","%2A"),"?","%3F"),'Rules'!$G$7:$G$26,0)),"")</x:f>
      </x:c>
      <x:c r="M1307" s="6" t="str">
        <x:f>IF(AND(NOT(COUNTA(A1307:F1307)=0),K1307=""),INDEX('Rules'!$D$7:$D$26,MATCH(SUBSTITUTE(SUBSTITUTE(SUBSTITUTE(SUBSTITUTE("type:"&amp;B1307,"%","%25"),"~","%7E"),"*","%2A"),"?","%3F"),'Rules'!$G$7:$G$26,0)),"")</x:f>
      </x:c>
      <x:c r="N1307" s="5" t="str">
        <x:f>IF(COUNTA(A1307:F1307)=0,"",SUBSTITUTE(SUBSTITUTE(SUBSTITUTE(SUBSTITUTE("id:"&amp;A1307,"%","%25"),"~","%7E"),"*","%2A"),"?","%3F"))</x:f>
      </x:c>
    </x:row>
    <x:row r="1308" ht="22" customHeight="1">
      <x:c r="A1308" s="3"/>
      <x:c r="B1308" s="3"/>
      <x:c r="C1308" s="3"/>
      <x:c r="D1308" s="4"/>
      <x:c r="E1308" s="4"/>
      <x:c r="F1308" s="4"/>
      <x:c r="G1308" s="5" t="str">
        <x:f>IF(COUNTA(A1308:F1308)=0,"",IF(K1308&lt;&gt;"","Review",IF(I1308&lt;0,"Overdue",IF(I1308=0,"Due now",IF(I1308&lt;=M1308,"Due soon","Not due")))))</x:f>
      </x:c>
      <x:c r="H1308" s="5" t="str">
        <x:f>IF(OR(COUNTA(A1308:F1308)=0,COUNTIFS('Rules'!$G$7:$G$26,"="&amp;(SUBSTITUTE(SUBSTITUTE(SUBSTITUTE(SUBSTITUTE("type:"&amp;B1308,"%","%25"),"~","%7E"),"*","%2A"),"?","%3F")))&lt;&gt;1),"",IF(OR(INDEX('Rules'!$B$7:$B$26,MATCH(SUBSTITUTE(SUBSTITUTE(SUBSTITUTE(SUBSTITUTE("type:"&amp;B1308,"%","%25"),"~","%7E"),"*","%2A"),"?","%3F"),'Rules'!$G$7:$G$26,0))="hours",INDEX('Rules'!$B$7:$B$26,MATCH(SUBSTITUTE(SUBSTITUTE(SUBSTITUTE(SUBSTITUTE("type:"&amp;B1308,"%","%25"),"~","%7E"),"*","%2A"),"?","%3F"),'Rules'!$G$7:$G$26,0))="km"),INDEX('Rules'!$B$7:$B$26,MATCH(SUBSTITUTE(SUBSTITUTE(SUBSTITUTE(SUBSTITUTE("type:"&amp;B1308,"%","%25"),"~","%7E"),"*","%2A"),"?","%3F"),'Rules'!$G$7:$G$26,0)),""))</x:f>
      </x:c>
      <x:c r="I1308" s="6" t="str">
        <x:f>IF(AND(NOT(COUNTA(A1308:F1308)=0),K1308=""),ROUND(J1308-D1308,3),"")</x:f>
      </x:c>
      <x:c r="J1308" s="6" t="str">
        <x:f>IF(AND(NOT(COUNTA(A1308:F1308)=0),K1308=""),ROUND(F1308+L1308,3),"")</x:f>
      </x:c>
      <x:c r="K1308" s="5" t="str">
        <x:f>IF(COUNTA(A1308:F1308)=0,"",IF(A1308="","Missing equipment ID",IF(COUNTIFS($N$8:$N$2007,"="&amp;N1308)&gt;1,"Duplicate equipment ID",IF(B1308="","Missing type",IF(COUNTIFS('Rules'!$G$7:$G$26,"="&amp;(SUBSTITUTE(SUBSTITUTE(SUBSTITUTE(SUBSTITUTE("type:"&amp;B1308,"%","%25"),"~","%7E"),"*","%2A"),"?","%3F")))=0,"Unknown type",IF(COUNTIFS('Rules'!$G$7:$G$26,"="&amp;(SUBSTITUTE(SUBSTITUTE(SUBSTITUTE(SUBSTITUTE("type:"&amp;B1308,"%","%25"),"~","%7E"),"*","%2A"),"?","%3F")))&gt;1,"Duplicate type",IF(INDEX('Rules'!$F$7:$F$26,MATCH(SUBSTITUTE(SUBSTITUTE(SUBSTITUTE(SUBSTITUTE("type:"&amp;B1308,"%","%25"),"~","%7E"),"*","%2A"),"?","%3F"),'Rules'!$G$7:$G$26,0))&lt;&gt;"",INDEX('Rules'!$F$7:$F$26,MATCH(SUBSTITUTE(SUBSTITUTE(SUBSTITUTE(SUBSTITUTE("type:"&amp;B1308,"%","%25"),"~","%7E"),"*","%2A"),"?","%3F"),'Rules'!$G$7:$G$26,0)),IF(AND(C1308&lt;&gt;"",C1308&lt;&gt;INDEX('Rules'!$B$7:$B$26,MATCH(SUBSTITUTE(SUBSTITUTE(SUBSTITUTE(SUBSTITUTE("type:"&amp;B1308,"%","%25"),"~","%7E"),"*","%2A"),"?","%3F"),'Rules'!$G$7:$G$26,0))),"Unit mismatch",IF(IF(NOT(ISNUMBER(D1308)),TRUE,OR(D1308&lt;0,D1308&gt;999999999,ROUND(D1308,3)&lt;&gt;D1308)),"Invalid current reading",IF(AND(E1308&lt;&gt;"",IF(NOT(ISNUMBER(E1308)),TRUE,OR(E1308&lt;0,E1308&gt;999999999,ROUND(E1308,3)&lt;&gt;E1308))),"Invalid previous reading",IF(IF(NOT(ISNUMBER(F1308)),TRUE,OR(F1308&lt;0,F1308&gt;999999999,ROUND(F1308,3)&lt;&gt;F1308)),"Invalid last service",IF(AND(E1308&lt;&gt;"",D1308&lt;E1308),"Decreased reading",IF(F1308&gt;D1308,"Last service above current","")))))))))))))</x:f>
      </x:c>
      <x:c r="L1308" s="6" t="str">
        <x:f>IF(AND(NOT(COUNTA(A1308:F1308)=0),K1308=""),INDEX('Rules'!$C$7:$C$26,MATCH(SUBSTITUTE(SUBSTITUTE(SUBSTITUTE(SUBSTITUTE("type:"&amp;B1308,"%","%25"),"~","%7E"),"*","%2A"),"?","%3F"),'Rules'!$G$7:$G$26,0)),"")</x:f>
      </x:c>
      <x:c r="M1308" s="6" t="str">
        <x:f>IF(AND(NOT(COUNTA(A1308:F1308)=0),K1308=""),INDEX('Rules'!$D$7:$D$26,MATCH(SUBSTITUTE(SUBSTITUTE(SUBSTITUTE(SUBSTITUTE("type:"&amp;B1308,"%","%25"),"~","%7E"),"*","%2A"),"?","%3F"),'Rules'!$G$7:$G$26,0)),"")</x:f>
      </x:c>
      <x:c r="N1308" s="5" t="str">
        <x:f>IF(COUNTA(A1308:F1308)=0,"",SUBSTITUTE(SUBSTITUTE(SUBSTITUTE(SUBSTITUTE("id:"&amp;A1308,"%","%25"),"~","%7E"),"*","%2A"),"?","%3F"))</x:f>
      </x:c>
    </x:row>
    <x:row r="1309" ht="22" customHeight="1">
      <x:c r="A1309" s="3"/>
      <x:c r="B1309" s="3"/>
      <x:c r="C1309" s="3"/>
      <x:c r="D1309" s="4"/>
      <x:c r="E1309" s="4"/>
      <x:c r="F1309" s="4"/>
      <x:c r="G1309" s="5" t="str">
        <x:f>IF(COUNTA(A1309:F1309)=0,"",IF(K1309&lt;&gt;"","Review",IF(I1309&lt;0,"Overdue",IF(I1309=0,"Due now",IF(I1309&lt;=M1309,"Due soon","Not due")))))</x:f>
      </x:c>
      <x:c r="H1309" s="5" t="str">
        <x:f>IF(OR(COUNTA(A1309:F1309)=0,COUNTIFS('Rules'!$G$7:$G$26,"="&amp;(SUBSTITUTE(SUBSTITUTE(SUBSTITUTE(SUBSTITUTE("type:"&amp;B1309,"%","%25"),"~","%7E"),"*","%2A"),"?","%3F")))&lt;&gt;1),"",IF(OR(INDEX('Rules'!$B$7:$B$26,MATCH(SUBSTITUTE(SUBSTITUTE(SUBSTITUTE(SUBSTITUTE("type:"&amp;B1309,"%","%25"),"~","%7E"),"*","%2A"),"?","%3F"),'Rules'!$G$7:$G$26,0))="hours",INDEX('Rules'!$B$7:$B$26,MATCH(SUBSTITUTE(SUBSTITUTE(SUBSTITUTE(SUBSTITUTE("type:"&amp;B1309,"%","%25"),"~","%7E"),"*","%2A"),"?","%3F"),'Rules'!$G$7:$G$26,0))="km"),INDEX('Rules'!$B$7:$B$26,MATCH(SUBSTITUTE(SUBSTITUTE(SUBSTITUTE(SUBSTITUTE("type:"&amp;B1309,"%","%25"),"~","%7E"),"*","%2A"),"?","%3F"),'Rules'!$G$7:$G$26,0)),""))</x:f>
      </x:c>
      <x:c r="I1309" s="6" t="str">
        <x:f>IF(AND(NOT(COUNTA(A1309:F1309)=0),K1309=""),ROUND(J1309-D1309,3),"")</x:f>
      </x:c>
      <x:c r="J1309" s="6" t="str">
        <x:f>IF(AND(NOT(COUNTA(A1309:F1309)=0),K1309=""),ROUND(F1309+L1309,3),"")</x:f>
      </x:c>
      <x:c r="K1309" s="5" t="str">
        <x:f>IF(COUNTA(A1309:F1309)=0,"",IF(A1309="","Missing equipment ID",IF(COUNTIFS($N$8:$N$2007,"="&amp;N1309)&gt;1,"Duplicate equipment ID",IF(B1309="","Missing type",IF(COUNTIFS('Rules'!$G$7:$G$26,"="&amp;(SUBSTITUTE(SUBSTITUTE(SUBSTITUTE(SUBSTITUTE("type:"&amp;B1309,"%","%25"),"~","%7E"),"*","%2A"),"?","%3F")))=0,"Unknown type",IF(COUNTIFS('Rules'!$G$7:$G$26,"="&amp;(SUBSTITUTE(SUBSTITUTE(SUBSTITUTE(SUBSTITUTE("type:"&amp;B1309,"%","%25"),"~","%7E"),"*","%2A"),"?","%3F")))&gt;1,"Duplicate type",IF(INDEX('Rules'!$F$7:$F$26,MATCH(SUBSTITUTE(SUBSTITUTE(SUBSTITUTE(SUBSTITUTE("type:"&amp;B1309,"%","%25"),"~","%7E"),"*","%2A"),"?","%3F"),'Rules'!$G$7:$G$26,0))&lt;&gt;"",INDEX('Rules'!$F$7:$F$26,MATCH(SUBSTITUTE(SUBSTITUTE(SUBSTITUTE(SUBSTITUTE("type:"&amp;B1309,"%","%25"),"~","%7E"),"*","%2A"),"?","%3F"),'Rules'!$G$7:$G$26,0)),IF(AND(C1309&lt;&gt;"",C1309&lt;&gt;INDEX('Rules'!$B$7:$B$26,MATCH(SUBSTITUTE(SUBSTITUTE(SUBSTITUTE(SUBSTITUTE("type:"&amp;B1309,"%","%25"),"~","%7E"),"*","%2A"),"?","%3F"),'Rules'!$G$7:$G$26,0))),"Unit mismatch",IF(IF(NOT(ISNUMBER(D1309)),TRUE,OR(D1309&lt;0,D1309&gt;999999999,ROUND(D1309,3)&lt;&gt;D1309)),"Invalid current reading",IF(AND(E1309&lt;&gt;"",IF(NOT(ISNUMBER(E1309)),TRUE,OR(E1309&lt;0,E1309&gt;999999999,ROUND(E1309,3)&lt;&gt;E1309))),"Invalid previous reading",IF(IF(NOT(ISNUMBER(F1309)),TRUE,OR(F1309&lt;0,F1309&gt;999999999,ROUND(F1309,3)&lt;&gt;F1309)),"Invalid last service",IF(AND(E1309&lt;&gt;"",D1309&lt;E1309),"Decreased reading",IF(F1309&gt;D1309,"Last service above current","")))))))))))))</x:f>
      </x:c>
      <x:c r="L1309" s="6" t="str">
        <x:f>IF(AND(NOT(COUNTA(A1309:F1309)=0),K1309=""),INDEX('Rules'!$C$7:$C$26,MATCH(SUBSTITUTE(SUBSTITUTE(SUBSTITUTE(SUBSTITUTE("type:"&amp;B1309,"%","%25"),"~","%7E"),"*","%2A"),"?","%3F"),'Rules'!$G$7:$G$26,0)),"")</x:f>
      </x:c>
      <x:c r="M1309" s="6" t="str">
        <x:f>IF(AND(NOT(COUNTA(A1309:F1309)=0),K1309=""),INDEX('Rules'!$D$7:$D$26,MATCH(SUBSTITUTE(SUBSTITUTE(SUBSTITUTE(SUBSTITUTE("type:"&amp;B1309,"%","%25"),"~","%7E"),"*","%2A"),"?","%3F"),'Rules'!$G$7:$G$26,0)),"")</x:f>
      </x:c>
      <x:c r="N1309" s="5" t="str">
        <x:f>IF(COUNTA(A1309:F1309)=0,"",SUBSTITUTE(SUBSTITUTE(SUBSTITUTE(SUBSTITUTE("id:"&amp;A1309,"%","%25"),"~","%7E"),"*","%2A"),"?","%3F"))</x:f>
      </x:c>
    </x:row>
    <x:row r="1310" ht="22" customHeight="1">
      <x:c r="A1310" s="3"/>
      <x:c r="B1310" s="3"/>
      <x:c r="C1310" s="3"/>
      <x:c r="D1310" s="4"/>
      <x:c r="E1310" s="4"/>
      <x:c r="F1310" s="4"/>
      <x:c r="G1310" s="5" t="str">
        <x:f>IF(COUNTA(A1310:F1310)=0,"",IF(K1310&lt;&gt;"","Review",IF(I1310&lt;0,"Overdue",IF(I1310=0,"Due now",IF(I1310&lt;=M1310,"Due soon","Not due")))))</x:f>
      </x:c>
      <x:c r="H1310" s="5" t="str">
        <x:f>IF(OR(COUNTA(A1310:F1310)=0,COUNTIFS('Rules'!$G$7:$G$26,"="&amp;(SUBSTITUTE(SUBSTITUTE(SUBSTITUTE(SUBSTITUTE("type:"&amp;B1310,"%","%25"),"~","%7E"),"*","%2A"),"?","%3F")))&lt;&gt;1),"",IF(OR(INDEX('Rules'!$B$7:$B$26,MATCH(SUBSTITUTE(SUBSTITUTE(SUBSTITUTE(SUBSTITUTE("type:"&amp;B1310,"%","%25"),"~","%7E"),"*","%2A"),"?","%3F"),'Rules'!$G$7:$G$26,0))="hours",INDEX('Rules'!$B$7:$B$26,MATCH(SUBSTITUTE(SUBSTITUTE(SUBSTITUTE(SUBSTITUTE("type:"&amp;B1310,"%","%25"),"~","%7E"),"*","%2A"),"?","%3F"),'Rules'!$G$7:$G$26,0))="km"),INDEX('Rules'!$B$7:$B$26,MATCH(SUBSTITUTE(SUBSTITUTE(SUBSTITUTE(SUBSTITUTE("type:"&amp;B1310,"%","%25"),"~","%7E"),"*","%2A"),"?","%3F"),'Rules'!$G$7:$G$26,0)),""))</x:f>
      </x:c>
      <x:c r="I1310" s="6" t="str">
        <x:f>IF(AND(NOT(COUNTA(A1310:F1310)=0),K1310=""),ROUND(J1310-D1310,3),"")</x:f>
      </x:c>
      <x:c r="J1310" s="6" t="str">
        <x:f>IF(AND(NOT(COUNTA(A1310:F1310)=0),K1310=""),ROUND(F1310+L1310,3),"")</x:f>
      </x:c>
      <x:c r="K1310" s="5" t="str">
        <x:f>IF(COUNTA(A1310:F1310)=0,"",IF(A1310="","Missing equipment ID",IF(COUNTIFS($N$8:$N$2007,"="&amp;N1310)&gt;1,"Duplicate equipment ID",IF(B1310="","Missing type",IF(COUNTIFS('Rules'!$G$7:$G$26,"="&amp;(SUBSTITUTE(SUBSTITUTE(SUBSTITUTE(SUBSTITUTE("type:"&amp;B1310,"%","%25"),"~","%7E"),"*","%2A"),"?","%3F")))=0,"Unknown type",IF(COUNTIFS('Rules'!$G$7:$G$26,"="&amp;(SUBSTITUTE(SUBSTITUTE(SUBSTITUTE(SUBSTITUTE("type:"&amp;B1310,"%","%25"),"~","%7E"),"*","%2A"),"?","%3F")))&gt;1,"Duplicate type",IF(INDEX('Rules'!$F$7:$F$26,MATCH(SUBSTITUTE(SUBSTITUTE(SUBSTITUTE(SUBSTITUTE("type:"&amp;B1310,"%","%25"),"~","%7E"),"*","%2A"),"?","%3F"),'Rules'!$G$7:$G$26,0))&lt;&gt;"",INDEX('Rules'!$F$7:$F$26,MATCH(SUBSTITUTE(SUBSTITUTE(SUBSTITUTE(SUBSTITUTE("type:"&amp;B1310,"%","%25"),"~","%7E"),"*","%2A"),"?","%3F"),'Rules'!$G$7:$G$26,0)),IF(AND(C1310&lt;&gt;"",C1310&lt;&gt;INDEX('Rules'!$B$7:$B$26,MATCH(SUBSTITUTE(SUBSTITUTE(SUBSTITUTE(SUBSTITUTE("type:"&amp;B1310,"%","%25"),"~","%7E"),"*","%2A"),"?","%3F"),'Rules'!$G$7:$G$26,0))),"Unit mismatch",IF(IF(NOT(ISNUMBER(D1310)),TRUE,OR(D1310&lt;0,D1310&gt;999999999,ROUND(D1310,3)&lt;&gt;D1310)),"Invalid current reading",IF(AND(E1310&lt;&gt;"",IF(NOT(ISNUMBER(E1310)),TRUE,OR(E1310&lt;0,E1310&gt;999999999,ROUND(E1310,3)&lt;&gt;E1310))),"Invalid previous reading",IF(IF(NOT(ISNUMBER(F1310)),TRUE,OR(F1310&lt;0,F1310&gt;999999999,ROUND(F1310,3)&lt;&gt;F1310)),"Invalid last service",IF(AND(E1310&lt;&gt;"",D1310&lt;E1310),"Decreased reading",IF(F1310&gt;D1310,"Last service above current","")))))))))))))</x:f>
      </x:c>
      <x:c r="L1310" s="6" t="str">
        <x:f>IF(AND(NOT(COUNTA(A1310:F1310)=0),K1310=""),INDEX('Rules'!$C$7:$C$26,MATCH(SUBSTITUTE(SUBSTITUTE(SUBSTITUTE(SUBSTITUTE("type:"&amp;B1310,"%","%25"),"~","%7E"),"*","%2A"),"?","%3F"),'Rules'!$G$7:$G$26,0)),"")</x:f>
      </x:c>
      <x:c r="M1310" s="6" t="str">
        <x:f>IF(AND(NOT(COUNTA(A1310:F1310)=0),K1310=""),INDEX('Rules'!$D$7:$D$26,MATCH(SUBSTITUTE(SUBSTITUTE(SUBSTITUTE(SUBSTITUTE("type:"&amp;B1310,"%","%25"),"~","%7E"),"*","%2A"),"?","%3F"),'Rules'!$G$7:$G$26,0)),"")</x:f>
      </x:c>
      <x:c r="N1310" s="5" t="str">
        <x:f>IF(COUNTA(A1310:F1310)=0,"",SUBSTITUTE(SUBSTITUTE(SUBSTITUTE(SUBSTITUTE("id:"&amp;A1310,"%","%25"),"~","%7E"),"*","%2A"),"?","%3F"))</x:f>
      </x:c>
    </x:row>
    <x:row r="1311" ht="22" customHeight="1">
      <x:c r="A1311" s="3"/>
      <x:c r="B1311" s="3"/>
      <x:c r="C1311" s="3"/>
      <x:c r="D1311" s="4"/>
      <x:c r="E1311" s="4"/>
      <x:c r="F1311" s="4"/>
      <x:c r="G1311" s="5" t="str">
        <x:f>IF(COUNTA(A1311:F1311)=0,"",IF(K1311&lt;&gt;"","Review",IF(I1311&lt;0,"Overdue",IF(I1311=0,"Due now",IF(I1311&lt;=M1311,"Due soon","Not due")))))</x:f>
      </x:c>
      <x:c r="H1311" s="5" t="str">
        <x:f>IF(OR(COUNTA(A1311:F1311)=0,COUNTIFS('Rules'!$G$7:$G$26,"="&amp;(SUBSTITUTE(SUBSTITUTE(SUBSTITUTE(SUBSTITUTE("type:"&amp;B1311,"%","%25"),"~","%7E"),"*","%2A"),"?","%3F")))&lt;&gt;1),"",IF(OR(INDEX('Rules'!$B$7:$B$26,MATCH(SUBSTITUTE(SUBSTITUTE(SUBSTITUTE(SUBSTITUTE("type:"&amp;B1311,"%","%25"),"~","%7E"),"*","%2A"),"?","%3F"),'Rules'!$G$7:$G$26,0))="hours",INDEX('Rules'!$B$7:$B$26,MATCH(SUBSTITUTE(SUBSTITUTE(SUBSTITUTE(SUBSTITUTE("type:"&amp;B1311,"%","%25"),"~","%7E"),"*","%2A"),"?","%3F"),'Rules'!$G$7:$G$26,0))="km"),INDEX('Rules'!$B$7:$B$26,MATCH(SUBSTITUTE(SUBSTITUTE(SUBSTITUTE(SUBSTITUTE("type:"&amp;B1311,"%","%25"),"~","%7E"),"*","%2A"),"?","%3F"),'Rules'!$G$7:$G$26,0)),""))</x:f>
      </x:c>
      <x:c r="I1311" s="6" t="str">
        <x:f>IF(AND(NOT(COUNTA(A1311:F1311)=0),K1311=""),ROUND(J1311-D1311,3),"")</x:f>
      </x:c>
      <x:c r="J1311" s="6" t="str">
        <x:f>IF(AND(NOT(COUNTA(A1311:F1311)=0),K1311=""),ROUND(F1311+L1311,3),"")</x:f>
      </x:c>
      <x:c r="K1311" s="5" t="str">
        <x:f>IF(COUNTA(A1311:F1311)=0,"",IF(A1311="","Missing equipment ID",IF(COUNTIFS($N$8:$N$2007,"="&amp;N1311)&gt;1,"Duplicate equipment ID",IF(B1311="","Missing type",IF(COUNTIFS('Rules'!$G$7:$G$26,"="&amp;(SUBSTITUTE(SUBSTITUTE(SUBSTITUTE(SUBSTITUTE("type:"&amp;B1311,"%","%25"),"~","%7E"),"*","%2A"),"?","%3F")))=0,"Unknown type",IF(COUNTIFS('Rules'!$G$7:$G$26,"="&amp;(SUBSTITUTE(SUBSTITUTE(SUBSTITUTE(SUBSTITUTE("type:"&amp;B1311,"%","%25"),"~","%7E"),"*","%2A"),"?","%3F")))&gt;1,"Duplicate type",IF(INDEX('Rules'!$F$7:$F$26,MATCH(SUBSTITUTE(SUBSTITUTE(SUBSTITUTE(SUBSTITUTE("type:"&amp;B1311,"%","%25"),"~","%7E"),"*","%2A"),"?","%3F"),'Rules'!$G$7:$G$26,0))&lt;&gt;"",INDEX('Rules'!$F$7:$F$26,MATCH(SUBSTITUTE(SUBSTITUTE(SUBSTITUTE(SUBSTITUTE("type:"&amp;B1311,"%","%25"),"~","%7E"),"*","%2A"),"?","%3F"),'Rules'!$G$7:$G$26,0)),IF(AND(C1311&lt;&gt;"",C1311&lt;&gt;INDEX('Rules'!$B$7:$B$26,MATCH(SUBSTITUTE(SUBSTITUTE(SUBSTITUTE(SUBSTITUTE("type:"&amp;B1311,"%","%25"),"~","%7E"),"*","%2A"),"?","%3F"),'Rules'!$G$7:$G$26,0))),"Unit mismatch",IF(IF(NOT(ISNUMBER(D1311)),TRUE,OR(D1311&lt;0,D1311&gt;999999999,ROUND(D1311,3)&lt;&gt;D1311)),"Invalid current reading",IF(AND(E1311&lt;&gt;"",IF(NOT(ISNUMBER(E1311)),TRUE,OR(E1311&lt;0,E1311&gt;999999999,ROUND(E1311,3)&lt;&gt;E1311))),"Invalid previous reading",IF(IF(NOT(ISNUMBER(F1311)),TRUE,OR(F1311&lt;0,F1311&gt;999999999,ROUND(F1311,3)&lt;&gt;F1311)),"Invalid last service",IF(AND(E1311&lt;&gt;"",D1311&lt;E1311),"Decreased reading",IF(F1311&gt;D1311,"Last service above current","")))))))))))))</x:f>
      </x:c>
      <x:c r="L1311" s="6" t="str">
        <x:f>IF(AND(NOT(COUNTA(A1311:F1311)=0),K1311=""),INDEX('Rules'!$C$7:$C$26,MATCH(SUBSTITUTE(SUBSTITUTE(SUBSTITUTE(SUBSTITUTE("type:"&amp;B1311,"%","%25"),"~","%7E"),"*","%2A"),"?","%3F"),'Rules'!$G$7:$G$26,0)),"")</x:f>
      </x:c>
      <x:c r="M1311" s="6" t="str">
        <x:f>IF(AND(NOT(COUNTA(A1311:F1311)=0),K1311=""),INDEX('Rules'!$D$7:$D$26,MATCH(SUBSTITUTE(SUBSTITUTE(SUBSTITUTE(SUBSTITUTE("type:"&amp;B1311,"%","%25"),"~","%7E"),"*","%2A"),"?","%3F"),'Rules'!$G$7:$G$26,0)),"")</x:f>
      </x:c>
      <x:c r="N1311" s="5" t="str">
        <x:f>IF(COUNTA(A1311:F1311)=0,"",SUBSTITUTE(SUBSTITUTE(SUBSTITUTE(SUBSTITUTE("id:"&amp;A1311,"%","%25"),"~","%7E"),"*","%2A"),"?","%3F"))</x:f>
      </x:c>
    </x:row>
    <x:row r="1312" ht="22" customHeight="1">
      <x:c r="A1312" s="3"/>
      <x:c r="B1312" s="3"/>
      <x:c r="C1312" s="3"/>
      <x:c r="D1312" s="4"/>
      <x:c r="E1312" s="4"/>
      <x:c r="F1312" s="4"/>
      <x:c r="G1312" s="5" t="str">
        <x:f>IF(COUNTA(A1312:F1312)=0,"",IF(K1312&lt;&gt;"","Review",IF(I1312&lt;0,"Overdue",IF(I1312=0,"Due now",IF(I1312&lt;=M1312,"Due soon","Not due")))))</x:f>
      </x:c>
      <x:c r="H1312" s="5" t="str">
        <x:f>IF(OR(COUNTA(A1312:F1312)=0,COUNTIFS('Rules'!$G$7:$G$26,"="&amp;(SUBSTITUTE(SUBSTITUTE(SUBSTITUTE(SUBSTITUTE("type:"&amp;B1312,"%","%25"),"~","%7E"),"*","%2A"),"?","%3F")))&lt;&gt;1),"",IF(OR(INDEX('Rules'!$B$7:$B$26,MATCH(SUBSTITUTE(SUBSTITUTE(SUBSTITUTE(SUBSTITUTE("type:"&amp;B1312,"%","%25"),"~","%7E"),"*","%2A"),"?","%3F"),'Rules'!$G$7:$G$26,0))="hours",INDEX('Rules'!$B$7:$B$26,MATCH(SUBSTITUTE(SUBSTITUTE(SUBSTITUTE(SUBSTITUTE("type:"&amp;B1312,"%","%25"),"~","%7E"),"*","%2A"),"?","%3F"),'Rules'!$G$7:$G$26,0))="km"),INDEX('Rules'!$B$7:$B$26,MATCH(SUBSTITUTE(SUBSTITUTE(SUBSTITUTE(SUBSTITUTE("type:"&amp;B1312,"%","%25"),"~","%7E"),"*","%2A"),"?","%3F"),'Rules'!$G$7:$G$26,0)),""))</x:f>
      </x:c>
      <x:c r="I1312" s="6" t="str">
        <x:f>IF(AND(NOT(COUNTA(A1312:F1312)=0),K1312=""),ROUND(J1312-D1312,3),"")</x:f>
      </x:c>
      <x:c r="J1312" s="6" t="str">
        <x:f>IF(AND(NOT(COUNTA(A1312:F1312)=0),K1312=""),ROUND(F1312+L1312,3),"")</x:f>
      </x:c>
      <x:c r="K1312" s="5" t="str">
        <x:f>IF(COUNTA(A1312:F1312)=0,"",IF(A1312="","Missing equipment ID",IF(COUNTIFS($N$8:$N$2007,"="&amp;N1312)&gt;1,"Duplicate equipment ID",IF(B1312="","Missing type",IF(COUNTIFS('Rules'!$G$7:$G$26,"="&amp;(SUBSTITUTE(SUBSTITUTE(SUBSTITUTE(SUBSTITUTE("type:"&amp;B1312,"%","%25"),"~","%7E"),"*","%2A"),"?","%3F")))=0,"Unknown type",IF(COUNTIFS('Rules'!$G$7:$G$26,"="&amp;(SUBSTITUTE(SUBSTITUTE(SUBSTITUTE(SUBSTITUTE("type:"&amp;B1312,"%","%25"),"~","%7E"),"*","%2A"),"?","%3F")))&gt;1,"Duplicate type",IF(INDEX('Rules'!$F$7:$F$26,MATCH(SUBSTITUTE(SUBSTITUTE(SUBSTITUTE(SUBSTITUTE("type:"&amp;B1312,"%","%25"),"~","%7E"),"*","%2A"),"?","%3F"),'Rules'!$G$7:$G$26,0))&lt;&gt;"",INDEX('Rules'!$F$7:$F$26,MATCH(SUBSTITUTE(SUBSTITUTE(SUBSTITUTE(SUBSTITUTE("type:"&amp;B1312,"%","%25"),"~","%7E"),"*","%2A"),"?","%3F"),'Rules'!$G$7:$G$26,0)),IF(AND(C1312&lt;&gt;"",C1312&lt;&gt;INDEX('Rules'!$B$7:$B$26,MATCH(SUBSTITUTE(SUBSTITUTE(SUBSTITUTE(SUBSTITUTE("type:"&amp;B1312,"%","%25"),"~","%7E"),"*","%2A"),"?","%3F"),'Rules'!$G$7:$G$26,0))),"Unit mismatch",IF(IF(NOT(ISNUMBER(D1312)),TRUE,OR(D1312&lt;0,D1312&gt;999999999,ROUND(D1312,3)&lt;&gt;D1312)),"Invalid current reading",IF(AND(E1312&lt;&gt;"",IF(NOT(ISNUMBER(E1312)),TRUE,OR(E1312&lt;0,E1312&gt;999999999,ROUND(E1312,3)&lt;&gt;E1312))),"Invalid previous reading",IF(IF(NOT(ISNUMBER(F1312)),TRUE,OR(F1312&lt;0,F1312&gt;999999999,ROUND(F1312,3)&lt;&gt;F1312)),"Invalid last service",IF(AND(E1312&lt;&gt;"",D1312&lt;E1312),"Decreased reading",IF(F1312&gt;D1312,"Last service above current","")))))))))))))</x:f>
      </x:c>
      <x:c r="L1312" s="6" t="str">
        <x:f>IF(AND(NOT(COUNTA(A1312:F1312)=0),K1312=""),INDEX('Rules'!$C$7:$C$26,MATCH(SUBSTITUTE(SUBSTITUTE(SUBSTITUTE(SUBSTITUTE("type:"&amp;B1312,"%","%25"),"~","%7E"),"*","%2A"),"?","%3F"),'Rules'!$G$7:$G$26,0)),"")</x:f>
      </x:c>
      <x:c r="M1312" s="6" t="str">
        <x:f>IF(AND(NOT(COUNTA(A1312:F1312)=0),K1312=""),INDEX('Rules'!$D$7:$D$26,MATCH(SUBSTITUTE(SUBSTITUTE(SUBSTITUTE(SUBSTITUTE("type:"&amp;B1312,"%","%25"),"~","%7E"),"*","%2A"),"?","%3F"),'Rules'!$G$7:$G$26,0)),"")</x:f>
      </x:c>
      <x:c r="N1312" s="5" t="str">
        <x:f>IF(COUNTA(A1312:F1312)=0,"",SUBSTITUTE(SUBSTITUTE(SUBSTITUTE(SUBSTITUTE("id:"&amp;A1312,"%","%25"),"~","%7E"),"*","%2A"),"?","%3F"))</x:f>
      </x:c>
    </x:row>
    <x:row r="1313" ht="22" customHeight="1">
      <x:c r="A1313" s="3"/>
      <x:c r="B1313" s="3"/>
      <x:c r="C1313" s="3"/>
      <x:c r="D1313" s="4"/>
      <x:c r="E1313" s="4"/>
      <x:c r="F1313" s="4"/>
      <x:c r="G1313" s="5" t="str">
        <x:f>IF(COUNTA(A1313:F1313)=0,"",IF(K1313&lt;&gt;"","Review",IF(I1313&lt;0,"Overdue",IF(I1313=0,"Due now",IF(I1313&lt;=M1313,"Due soon","Not due")))))</x:f>
      </x:c>
      <x:c r="H1313" s="5" t="str">
        <x:f>IF(OR(COUNTA(A1313:F1313)=0,COUNTIFS('Rules'!$G$7:$G$26,"="&amp;(SUBSTITUTE(SUBSTITUTE(SUBSTITUTE(SUBSTITUTE("type:"&amp;B1313,"%","%25"),"~","%7E"),"*","%2A"),"?","%3F")))&lt;&gt;1),"",IF(OR(INDEX('Rules'!$B$7:$B$26,MATCH(SUBSTITUTE(SUBSTITUTE(SUBSTITUTE(SUBSTITUTE("type:"&amp;B1313,"%","%25"),"~","%7E"),"*","%2A"),"?","%3F"),'Rules'!$G$7:$G$26,0))="hours",INDEX('Rules'!$B$7:$B$26,MATCH(SUBSTITUTE(SUBSTITUTE(SUBSTITUTE(SUBSTITUTE("type:"&amp;B1313,"%","%25"),"~","%7E"),"*","%2A"),"?","%3F"),'Rules'!$G$7:$G$26,0))="km"),INDEX('Rules'!$B$7:$B$26,MATCH(SUBSTITUTE(SUBSTITUTE(SUBSTITUTE(SUBSTITUTE("type:"&amp;B1313,"%","%25"),"~","%7E"),"*","%2A"),"?","%3F"),'Rules'!$G$7:$G$26,0)),""))</x:f>
      </x:c>
      <x:c r="I1313" s="6" t="str">
        <x:f>IF(AND(NOT(COUNTA(A1313:F1313)=0),K1313=""),ROUND(J1313-D1313,3),"")</x:f>
      </x:c>
      <x:c r="J1313" s="6" t="str">
        <x:f>IF(AND(NOT(COUNTA(A1313:F1313)=0),K1313=""),ROUND(F1313+L1313,3),"")</x:f>
      </x:c>
      <x:c r="K1313" s="5" t="str">
        <x:f>IF(COUNTA(A1313:F1313)=0,"",IF(A1313="","Missing equipment ID",IF(COUNTIFS($N$8:$N$2007,"="&amp;N1313)&gt;1,"Duplicate equipment ID",IF(B1313="","Missing type",IF(COUNTIFS('Rules'!$G$7:$G$26,"="&amp;(SUBSTITUTE(SUBSTITUTE(SUBSTITUTE(SUBSTITUTE("type:"&amp;B1313,"%","%25"),"~","%7E"),"*","%2A"),"?","%3F")))=0,"Unknown type",IF(COUNTIFS('Rules'!$G$7:$G$26,"="&amp;(SUBSTITUTE(SUBSTITUTE(SUBSTITUTE(SUBSTITUTE("type:"&amp;B1313,"%","%25"),"~","%7E"),"*","%2A"),"?","%3F")))&gt;1,"Duplicate type",IF(INDEX('Rules'!$F$7:$F$26,MATCH(SUBSTITUTE(SUBSTITUTE(SUBSTITUTE(SUBSTITUTE("type:"&amp;B1313,"%","%25"),"~","%7E"),"*","%2A"),"?","%3F"),'Rules'!$G$7:$G$26,0))&lt;&gt;"",INDEX('Rules'!$F$7:$F$26,MATCH(SUBSTITUTE(SUBSTITUTE(SUBSTITUTE(SUBSTITUTE("type:"&amp;B1313,"%","%25"),"~","%7E"),"*","%2A"),"?","%3F"),'Rules'!$G$7:$G$26,0)),IF(AND(C1313&lt;&gt;"",C1313&lt;&gt;INDEX('Rules'!$B$7:$B$26,MATCH(SUBSTITUTE(SUBSTITUTE(SUBSTITUTE(SUBSTITUTE("type:"&amp;B1313,"%","%25"),"~","%7E"),"*","%2A"),"?","%3F"),'Rules'!$G$7:$G$26,0))),"Unit mismatch",IF(IF(NOT(ISNUMBER(D1313)),TRUE,OR(D1313&lt;0,D1313&gt;999999999,ROUND(D1313,3)&lt;&gt;D1313)),"Invalid current reading",IF(AND(E1313&lt;&gt;"",IF(NOT(ISNUMBER(E1313)),TRUE,OR(E1313&lt;0,E1313&gt;999999999,ROUND(E1313,3)&lt;&gt;E1313))),"Invalid previous reading",IF(IF(NOT(ISNUMBER(F1313)),TRUE,OR(F1313&lt;0,F1313&gt;999999999,ROUND(F1313,3)&lt;&gt;F1313)),"Invalid last service",IF(AND(E1313&lt;&gt;"",D1313&lt;E1313),"Decreased reading",IF(F1313&gt;D1313,"Last service above current","")))))))))))))</x:f>
      </x:c>
      <x:c r="L1313" s="6" t="str">
        <x:f>IF(AND(NOT(COUNTA(A1313:F1313)=0),K1313=""),INDEX('Rules'!$C$7:$C$26,MATCH(SUBSTITUTE(SUBSTITUTE(SUBSTITUTE(SUBSTITUTE("type:"&amp;B1313,"%","%25"),"~","%7E"),"*","%2A"),"?","%3F"),'Rules'!$G$7:$G$26,0)),"")</x:f>
      </x:c>
      <x:c r="M1313" s="6" t="str">
        <x:f>IF(AND(NOT(COUNTA(A1313:F1313)=0),K1313=""),INDEX('Rules'!$D$7:$D$26,MATCH(SUBSTITUTE(SUBSTITUTE(SUBSTITUTE(SUBSTITUTE("type:"&amp;B1313,"%","%25"),"~","%7E"),"*","%2A"),"?","%3F"),'Rules'!$G$7:$G$26,0)),"")</x:f>
      </x:c>
      <x:c r="N1313" s="5" t="str">
        <x:f>IF(COUNTA(A1313:F1313)=0,"",SUBSTITUTE(SUBSTITUTE(SUBSTITUTE(SUBSTITUTE("id:"&amp;A1313,"%","%25"),"~","%7E"),"*","%2A"),"?","%3F"))</x:f>
      </x:c>
    </x:row>
    <x:row r="1314" ht="22" customHeight="1">
      <x:c r="A1314" s="3"/>
      <x:c r="B1314" s="3"/>
      <x:c r="C1314" s="3"/>
      <x:c r="D1314" s="4"/>
      <x:c r="E1314" s="4"/>
      <x:c r="F1314" s="4"/>
      <x:c r="G1314" s="5" t="str">
        <x:f>IF(COUNTA(A1314:F1314)=0,"",IF(K1314&lt;&gt;"","Review",IF(I1314&lt;0,"Overdue",IF(I1314=0,"Due now",IF(I1314&lt;=M1314,"Due soon","Not due")))))</x:f>
      </x:c>
      <x:c r="H1314" s="5" t="str">
        <x:f>IF(OR(COUNTA(A1314:F1314)=0,COUNTIFS('Rules'!$G$7:$G$26,"="&amp;(SUBSTITUTE(SUBSTITUTE(SUBSTITUTE(SUBSTITUTE("type:"&amp;B1314,"%","%25"),"~","%7E"),"*","%2A"),"?","%3F")))&lt;&gt;1),"",IF(OR(INDEX('Rules'!$B$7:$B$26,MATCH(SUBSTITUTE(SUBSTITUTE(SUBSTITUTE(SUBSTITUTE("type:"&amp;B1314,"%","%25"),"~","%7E"),"*","%2A"),"?","%3F"),'Rules'!$G$7:$G$26,0))="hours",INDEX('Rules'!$B$7:$B$26,MATCH(SUBSTITUTE(SUBSTITUTE(SUBSTITUTE(SUBSTITUTE("type:"&amp;B1314,"%","%25"),"~","%7E"),"*","%2A"),"?","%3F"),'Rules'!$G$7:$G$26,0))="km"),INDEX('Rules'!$B$7:$B$26,MATCH(SUBSTITUTE(SUBSTITUTE(SUBSTITUTE(SUBSTITUTE("type:"&amp;B1314,"%","%25"),"~","%7E"),"*","%2A"),"?","%3F"),'Rules'!$G$7:$G$26,0)),""))</x:f>
      </x:c>
      <x:c r="I1314" s="6" t="str">
        <x:f>IF(AND(NOT(COUNTA(A1314:F1314)=0),K1314=""),ROUND(J1314-D1314,3),"")</x:f>
      </x:c>
      <x:c r="J1314" s="6" t="str">
        <x:f>IF(AND(NOT(COUNTA(A1314:F1314)=0),K1314=""),ROUND(F1314+L1314,3),"")</x:f>
      </x:c>
      <x:c r="K1314" s="5" t="str">
        <x:f>IF(COUNTA(A1314:F1314)=0,"",IF(A1314="","Missing equipment ID",IF(COUNTIFS($N$8:$N$2007,"="&amp;N1314)&gt;1,"Duplicate equipment ID",IF(B1314="","Missing type",IF(COUNTIFS('Rules'!$G$7:$G$26,"="&amp;(SUBSTITUTE(SUBSTITUTE(SUBSTITUTE(SUBSTITUTE("type:"&amp;B1314,"%","%25"),"~","%7E"),"*","%2A"),"?","%3F")))=0,"Unknown type",IF(COUNTIFS('Rules'!$G$7:$G$26,"="&amp;(SUBSTITUTE(SUBSTITUTE(SUBSTITUTE(SUBSTITUTE("type:"&amp;B1314,"%","%25"),"~","%7E"),"*","%2A"),"?","%3F")))&gt;1,"Duplicate type",IF(INDEX('Rules'!$F$7:$F$26,MATCH(SUBSTITUTE(SUBSTITUTE(SUBSTITUTE(SUBSTITUTE("type:"&amp;B1314,"%","%25"),"~","%7E"),"*","%2A"),"?","%3F"),'Rules'!$G$7:$G$26,0))&lt;&gt;"",INDEX('Rules'!$F$7:$F$26,MATCH(SUBSTITUTE(SUBSTITUTE(SUBSTITUTE(SUBSTITUTE("type:"&amp;B1314,"%","%25"),"~","%7E"),"*","%2A"),"?","%3F"),'Rules'!$G$7:$G$26,0)),IF(AND(C1314&lt;&gt;"",C1314&lt;&gt;INDEX('Rules'!$B$7:$B$26,MATCH(SUBSTITUTE(SUBSTITUTE(SUBSTITUTE(SUBSTITUTE("type:"&amp;B1314,"%","%25"),"~","%7E"),"*","%2A"),"?","%3F"),'Rules'!$G$7:$G$26,0))),"Unit mismatch",IF(IF(NOT(ISNUMBER(D1314)),TRUE,OR(D1314&lt;0,D1314&gt;999999999,ROUND(D1314,3)&lt;&gt;D1314)),"Invalid current reading",IF(AND(E1314&lt;&gt;"",IF(NOT(ISNUMBER(E1314)),TRUE,OR(E1314&lt;0,E1314&gt;999999999,ROUND(E1314,3)&lt;&gt;E1314))),"Invalid previous reading",IF(IF(NOT(ISNUMBER(F1314)),TRUE,OR(F1314&lt;0,F1314&gt;999999999,ROUND(F1314,3)&lt;&gt;F1314)),"Invalid last service",IF(AND(E1314&lt;&gt;"",D1314&lt;E1314),"Decreased reading",IF(F1314&gt;D1314,"Last service above current","")))))))))))))</x:f>
      </x:c>
      <x:c r="L1314" s="6" t="str">
        <x:f>IF(AND(NOT(COUNTA(A1314:F1314)=0),K1314=""),INDEX('Rules'!$C$7:$C$26,MATCH(SUBSTITUTE(SUBSTITUTE(SUBSTITUTE(SUBSTITUTE("type:"&amp;B1314,"%","%25"),"~","%7E"),"*","%2A"),"?","%3F"),'Rules'!$G$7:$G$26,0)),"")</x:f>
      </x:c>
      <x:c r="M1314" s="6" t="str">
        <x:f>IF(AND(NOT(COUNTA(A1314:F1314)=0),K1314=""),INDEX('Rules'!$D$7:$D$26,MATCH(SUBSTITUTE(SUBSTITUTE(SUBSTITUTE(SUBSTITUTE("type:"&amp;B1314,"%","%25"),"~","%7E"),"*","%2A"),"?","%3F"),'Rules'!$G$7:$G$26,0)),"")</x:f>
      </x:c>
      <x:c r="N1314" s="5" t="str">
        <x:f>IF(COUNTA(A1314:F1314)=0,"",SUBSTITUTE(SUBSTITUTE(SUBSTITUTE(SUBSTITUTE("id:"&amp;A1314,"%","%25"),"~","%7E"),"*","%2A"),"?","%3F"))</x:f>
      </x:c>
    </x:row>
    <x:row r="1315" ht="22" customHeight="1">
      <x:c r="A1315" s="3"/>
      <x:c r="B1315" s="3"/>
      <x:c r="C1315" s="3"/>
      <x:c r="D1315" s="4"/>
      <x:c r="E1315" s="4"/>
      <x:c r="F1315" s="4"/>
      <x:c r="G1315" s="5" t="str">
        <x:f>IF(COUNTA(A1315:F1315)=0,"",IF(K1315&lt;&gt;"","Review",IF(I1315&lt;0,"Overdue",IF(I1315=0,"Due now",IF(I1315&lt;=M1315,"Due soon","Not due")))))</x:f>
      </x:c>
      <x:c r="H1315" s="5" t="str">
        <x:f>IF(OR(COUNTA(A1315:F1315)=0,COUNTIFS('Rules'!$G$7:$G$26,"="&amp;(SUBSTITUTE(SUBSTITUTE(SUBSTITUTE(SUBSTITUTE("type:"&amp;B1315,"%","%25"),"~","%7E"),"*","%2A"),"?","%3F")))&lt;&gt;1),"",IF(OR(INDEX('Rules'!$B$7:$B$26,MATCH(SUBSTITUTE(SUBSTITUTE(SUBSTITUTE(SUBSTITUTE("type:"&amp;B1315,"%","%25"),"~","%7E"),"*","%2A"),"?","%3F"),'Rules'!$G$7:$G$26,0))="hours",INDEX('Rules'!$B$7:$B$26,MATCH(SUBSTITUTE(SUBSTITUTE(SUBSTITUTE(SUBSTITUTE("type:"&amp;B1315,"%","%25"),"~","%7E"),"*","%2A"),"?","%3F"),'Rules'!$G$7:$G$26,0))="km"),INDEX('Rules'!$B$7:$B$26,MATCH(SUBSTITUTE(SUBSTITUTE(SUBSTITUTE(SUBSTITUTE("type:"&amp;B1315,"%","%25"),"~","%7E"),"*","%2A"),"?","%3F"),'Rules'!$G$7:$G$26,0)),""))</x:f>
      </x:c>
      <x:c r="I1315" s="6" t="str">
        <x:f>IF(AND(NOT(COUNTA(A1315:F1315)=0),K1315=""),ROUND(J1315-D1315,3),"")</x:f>
      </x:c>
      <x:c r="J1315" s="6" t="str">
        <x:f>IF(AND(NOT(COUNTA(A1315:F1315)=0),K1315=""),ROUND(F1315+L1315,3),"")</x:f>
      </x:c>
      <x:c r="K1315" s="5" t="str">
        <x:f>IF(COUNTA(A1315:F1315)=0,"",IF(A1315="","Missing equipment ID",IF(COUNTIFS($N$8:$N$2007,"="&amp;N1315)&gt;1,"Duplicate equipment ID",IF(B1315="","Missing type",IF(COUNTIFS('Rules'!$G$7:$G$26,"="&amp;(SUBSTITUTE(SUBSTITUTE(SUBSTITUTE(SUBSTITUTE("type:"&amp;B1315,"%","%25"),"~","%7E"),"*","%2A"),"?","%3F")))=0,"Unknown type",IF(COUNTIFS('Rules'!$G$7:$G$26,"="&amp;(SUBSTITUTE(SUBSTITUTE(SUBSTITUTE(SUBSTITUTE("type:"&amp;B1315,"%","%25"),"~","%7E"),"*","%2A"),"?","%3F")))&gt;1,"Duplicate type",IF(INDEX('Rules'!$F$7:$F$26,MATCH(SUBSTITUTE(SUBSTITUTE(SUBSTITUTE(SUBSTITUTE("type:"&amp;B1315,"%","%25"),"~","%7E"),"*","%2A"),"?","%3F"),'Rules'!$G$7:$G$26,0))&lt;&gt;"",INDEX('Rules'!$F$7:$F$26,MATCH(SUBSTITUTE(SUBSTITUTE(SUBSTITUTE(SUBSTITUTE("type:"&amp;B1315,"%","%25"),"~","%7E"),"*","%2A"),"?","%3F"),'Rules'!$G$7:$G$26,0)),IF(AND(C1315&lt;&gt;"",C1315&lt;&gt;INDEX('Rules'!$B$7:$B$26,MATCH(SUBSTITUTE(SUBSTITUTE(SUBSTITUTE(SUBSTITUTE("type:"&amp;B1315,"%","%25"),"~","%7E"),"*","%2A"),"?","%3F"),'Rules'!$G$7:$G$26,0))),"Unit mismatch",IF(IF(NOT(ISNUMBER(D1315)),TRUE,OR(D1315&lt;0,D1315&gt;999999999,ROUND(D1315,3)&lt;&gt;D1315)),"Invalid current reading",IF(AND(E1315&lt;&gt;"",IF(NOT(ISNUMBER(E1315)),TRUE,OR(E1315&lt;0,E1315&gt;999999999,ROUND(E1315,3)&lt;&gt;E1315))),"Invalid previous reading",IF(IF(NOT(ISNUMBER(F1315)),TRUE,OR(F1315&lt;0,F1315&gt;999999999,ROUND(F1315,3)&lt;&gt;F1315)),"Invalid last service",IF(AND(E1315&lt;&gt;"",D1315&lt;E1315),"Decreased reading",IF(F1315&gt;D1315,"Last service above current","")))))))))))))</x:f>
      </x:c>
      <x:c r="L1315" s="6" t="str">
        <x:f>IF(AND(NOT(COUNTA(A1315:F1315)=0),K1315=""),INDEX('Rules'!$C$7:$C$26,MATCH(SUBSTITUTE(SUBSTITUTE(SUBSTITUTE(SUBSTITUTE("type:"&amp;B1315,"%","%25"),"~","%7E"),"*","%2A"),"?","%3F"),'Rules'!$G$7:$G$26,0)),"")</x:f>
      </x:c>
      <x:c r="M1315" s="6" t="str">
        <x:f>IF(AND(NOT(COUNTA(A1315:F1315)=0),K1315=""),INDEX('Rules'!$D$7:$D$26,MATCH(SUBSTITUTE(SUBSTITUTE(SUBSTITUTE(SUBSTITUTE("type:"&amp;B1315,"%","%25"),"~","%7E"),"*","%2A"),"?","%3F"),'Rules'!$G$7:$G$26,0)),"")</x:f>
      </x:c>
      <x:c r="N1315" s="5" t="str">
        <x:f>IF(COUNTA(A1315:F1315)=0,"",SUBSTITUTE(SUBSTITUTE(SUBSTITUTE(SUBSTITUTE("id:"&amp;A1315,"%","%25"),"~","%7E"),"*","%2A"),"?","%3F"))</x:f>
      </x:c>
    </x:row>
    <x:row r="1316" ht="22" customHeight="1">
      <x:c r="A1316" s="3"/>
      <x:c r="B1316" s="3"/>
      <x:c r="C1316" s="3"/>
      <x:c r="D1316" s="4"/>
      <x:c r="E1316" s="4"/>
      <x:c r="F1316" s="4"/>
      <x:c r="G1316" s="5" t="str">
        <x:f>IF(COUNTA(A1316:F1316)=0,"",IF(K1316&lt;&gt;"","Review",IF(I1316&lt;0,"Overdue",IF(I1316=0,"Due now",IF(I1316&lt;=M1316,"Due soon","Not due")))))</x:f>
      </x:c>
      <x:c r="H1316" s="5" t="str">
        <x:f>IF(OR(COUNTA(A1316:F1316)=0,COUNTIFS('Rules'!$G$7:$G$26,"="&amp;(SUBSTITUTE(SUBSTITUTE(SUBSTITUTE(SUBSTITUTE("type:"&amp;B1316,"%","%25"),"~","%7E"),"*","%2A"),"?","%3F")))&lt;&gt;1),"",IF(OR(INDEX('Rules'!$B$7:$B$26,MATCH(SUBSTITUTE(SUBSTITUTE(SUBSTITUTE(SUBSTITUTE("type:"&amp;B1316,"%","%25"),"~","%7E"),"*","%2A"),"?","%3F"),'Rules'!$G$7:$G$26,0))="hours",INDEX('Rules'!$B$7:$B$26,MATCH(SUBSTITUTE(SUBSTITUTE(SUBSTITUTE(SUBSTITUTE("type:"&amp;B1316,"%","%25"),"~","%7E"),"*","%2A"),"?","%3F"),'Rules'!$G$7:$G$26,0))="km"),INDEX('Rules'!$B$7:$B$26,MATCH(SUBSTITUTE(SUBSTITUTE(SUBSTITUTE(SUBSTITUTE("type:"&amp;B1316,"%","%25"),"~","%7E"),"*","%2A"),"?","%3F"),'Rules'!$G$7:$G$26,0)),""))</x:f>
      </x:c>
      <x:c r="I1316" s="6" t="str">
        <x:f>IF(AND(NOT(COUNTA(A1316:F1316)=0),K1316=""),ROUND(J1316-D1316,3),"")</x:f>
      </x:c>
      <x:c r="J1316" s="6" t="str">
        <x:f>IF(AND(NOT(COUNTA(A1316:F1316)=0),K1316=""),ROUND(F1316+L1316,3),"")</x:f>
      </x:c>
      <x:c r="K1316" s="5" t="str">
        <x:f>IF(COUNTA(A1316:F1316)=0,"",IF(A1316="","Missing equipment ID",IF(COUNTIFS($N$8:$N$2007,"="&amp;N1316)&gt;1,"Duplicate equipment ID",IF(B1316="","Missing type",IF(COUNTIFS('Rules'!$G$7:$G$26,"="&amp;(SUBSTITUTE(SUBSTITUTE(SUBSTITUTE(SUBSTITUTE("type:"&amp;B1316,"%","%25"),"~","%7E"),"*","%2A"),"?","%3F")))=0,"Unknown type",IF(COUNTIFS('Rules'!$G$7:$G$26,"="&amp;(SUBSTITUTE(SUBSTITUTE(SUBSTITUTE(SUBSTITUTE("type:"&amp;B1316,"%","%25"),"~","%7E"),"*","%2A"),"?","%3F")))&gt;1,"Duplicate type",IF(INDEX('Rules'!$F$7:$F$26,MATCH(SUBSTITUTE(SUBSTITUTE(SUBSTITUTE(SUBSTITUTE("type:"&amp;B1316,"%","%25"),"~","%7E"),"*","%2A"),"?","%3F"),'Rules'!$G$7:$G$26,0))&lt;&gt;"",INDEX('Rules'!$F$7:$F$26,MATCH(SUBSTITUTE(SUBSTITUTE(SUBSTITUTE(SUBSTITUTE("type:"&amp;B1316,"%","%25"),"~","%7E"),"*","%2A"),"?","%3F"),'Rules'!$G$7:$G$26,0)),IF(AND(C1316&lt;&gt;"",C1316&lt;&gt;INDEX('Rules'!$B$7:$B$26,MATCH(SUBSTITUTE(SUBSTITUTE(SUBSTITUTE(SUBSTITUTE("type:"&amp;B1316,"%","%25"),"~","%7E"),"*","%2A"),"?","%3F"),'Rules'!$G$7:$G$26,0))),"Unit mismatch",IF(IF(NOT(ISNUMBER(D1316)),TRUE,OR(D1316&lt;0,D1316&gt;999999999,ROUND(D1316,3)&lt;&gt;D1316)),"Invalid current reading",IF(AND(E1316&lt;&gt;"",IF(NOT(ISNUMBER(E1316)),TRUE,OR(E1316&lt;0,E1316&gt;999999999,ROUND(E1316,3)&lt;&gt;E1316))),"Invalid previous reading",IF(IF(NOT(ISNUMBER(F1316)),TRUE,OR(F1316&lt;0,F1316&gt;999999999,ROUND(F1316,3)&lt;&gt;F1316)),"Invalid last service",IF(AND(E1316&lt;&gt;"",D1316&lt;E1316),"Decreased reading",IF(F1316&gt;D1316,"Last service above current","")))))))))))))</x:f>
      </x:c>
      <x:c r="L1316" s="6" t="str">
        <x:f>IF(AND(NOT(COUNTA(A1316:F1316)=0),K1316=""),INDEX('Rules'!$C$7:$C$26,MATCH(SUBSTITUTE(SUBSTITUTE(SUBSTITUTE(SUBSTITUTE("type:"&amp;B1316,"%","%25"),"~","%7E"),"*","%2A"),"?","%3F"),'Rules'!$G$7:$G$26,0)),"")</x:f>
      </x:c>
      <x:c r="M1316" s="6" t="str">
        <x:f>IF(AND(NOT(COUNTA(A1316:F1316)=0),K1316=""),INDEX('Rules'!$D$7:$D$26,MATCH(SUBSTITUTE(SUBSTITUTE(SUBSTITUTE(SUBSTITUTE("type:"&amp;B1316,"%","%25"),"~","%7E"),"*","%2A"),"?","%3F"),'Rules'!$G$7:$G$26,0)),"")</x:f>
      </x:c>
      <x:c r="N1316" s="5" t="str">
        <x:f>IF(COUNTA(A1316:F1316)=0,"",SUBSTITUTE(SUBSTITUTE(SUBSTITUTE(SUBSTITUTE("id:"&amp;A1316,"%","%25"),"~","%7E"),"*","%2A"),"?","%3F"))</x:f>
      </x:c>
    </x:row>
    <x:row r="1317" ht="22" customHeight="1">
      <x:c r="A1317" s="3"/>
      <x:c r="B1317" s="3"/>
      <x:c r="C1317" s="3"/>
      <x:c r="D1317" s="4"/>
      <x:c r="E1317" s="4"/>
      <x:c r="F1317" s="4"/>
      <x:c r="G1317" s="5" t="str">
        <x:f>IF(COUNTA(A1317:F1317)=0,"",IF(K1317&lt;&gt;"","Review",IF(I1317&lt;0,"Overdue",IF(I1317=0,"Due now",IF(I1317&lt;=M1317,"Due soon","Not due")))))</x:f>
      </x:c>
      <x:c r="H1317" s="5" t="str">
        <x:f>IF(OR(COUNTA(A1317:F1317)=0,COUNTIFS('Rules'!$G$7:$G$26,"="&amp;(SUBSTITUTE(SUBSTITUTE(SUBSTITUTE(SUBSTITUTE("type:"&amp;B1317,"%","%25"),"~","%7E"),"*","%2A"),"?","%3F")))&lt;&gt;1),"",IF(OR(INDEX('Rules'!$B$7:$B$26,MATCH(SUBSTITUTE(SUBSTITUTE(SUBSTITUTE(SUBSTITUTE("type:"&amp;B1317,"%","%25"),"~","%7E"),"*","%2A"),"?","%3F"),'Rules'!$G$7:$G$26,0))="hours",INDEX('Rules'!$B$7:$B$26,MATCH(SUBSTITUTE(SUBSTITUTE(SUBSTITUTE(SUBSTITUTE("type:"&amp;B1317,"%","%25"),"~","%7E"),"*","%2A"),"?","%3F"),'Rules'!$G$7:$G$26,0))="km"),INDEX('Rules'!$B$7:$B$26,MATCH(SUBSTITUTE(SUBSTITUTE(SUBSTITUTE(SUBSTITUTE("type:"&amp;B1317,"%","%25"),"~","%7E"),"*","%2A"),"?","%3F"),'Rules'!$G$7:$G$26,0)),""))</x:f>
      </x:c>
      <x:c r="I1317" s="6" t="str">
        <x:f>IF(AND(NOT(COUNTA(A1317:F1317)=0),K1317=""),ROUND(J1317-D1317,3),"")</x:f>
      </x:c>
      <x:c r="J1317" s="6" t="str">
        <x:f>IF(AND(NOT(COUNTA(A1317:F1317)=0),K1317=""),ROUND(F1317+L1317,3),"")</x:f>
      </x:c>
      <x:c r="K1317" s="5" t="str">
        <x:f>IF(COUNTA(A1317:F1317)=0,"",IF(A1317="","Missing equipment ID",IF(COUNTIFS($N$8:$N$2007,"="&amp;N1317)&gt;1,"Duplicate equipment ID",IF(B1317="","Missing type",IF(COUNTIFS('Rules'!$G$7:$G$26,"="&amp;(SUBSTITUTE(SUBSTITUTE(SUBSTITUTE(SUBSTITUTE("type:"&amp;B1317,"%","%25"),"~","%7E"),"*","%2A"),"?","%3F")))=0,"Unknown type",IF(COUNTIFS('Rules'!$G$7:$G$26,"="&amp;(SUBSTITUTE(SUBSTITUTE(SUBSTITUTE(SUBSTITUTE("type:"&amp;B1317,"%","%25"),"~","%7E"),"*","%2A"),"?","%3F")))&gt;1,"Duplicate type",IF(INDEX('Rules'!$F$7:$F$26,MATCH(SUBSTITUTE(SUBSTITUTE(SUBSTITUTE(SUBSTITUTE("type:"&amp;B1317,"%","%25"),"~","%7E"),"*","%2A"),"?","%3F"),'Rules'!$G$7:$G$26,0))&lt;&gt;"",INDEX('Rules'!$F$7:$F$26,MATCH(SUBSTITUTE(SUBSTITUTE(SUBSTITUTE(SUBSTITUTE("type:"&amp;B1317,"%","%25"),"~","%7E"),"*","%2A"),"?","%3F"),'Rules'!$G$7:$G$26,0)),IF(AND(C1317&lt;&gt;"",C1317&lt;&gt;INDEX('Rules'!$B$7:$B$26,MATCH(SUBSTITUTE(SUBSTITUTE(SUBSTITUTE(SUBSTITUTE("type:"&amp;B1317,"%","%25"),"~","%7E"),"*","%2A"),"?","%3F"),'Rules'!$G$7:$G$26,0))),"Unit mismatch",IF(IF(NOT(ISNUMBER(D1317)),TRUE,OR(D1317&lt;0,D1317&gt;999999999,ROUND(D1317,3)&lt;&gt;D1317)),"Invalid current reading",IF(AND(E1317&lt;&gt;"",IF(NOT(ISNUMBER(E1317)),TRUE,OR(E1317&lt;0,E1317&gt;999999999,ROUND(E1317,3)&lt;&gt;E1317))),"Invalid previous reading",IF(IF(NOT(ISNUMBER(F1317)),TRUE,OR(F1317&lt;0,F1317&gt;999999999,ROUND(F1317,3)&lt;&gt;F1317)),"Invalid last service",IF(AND(E1317&lt;&gt;"",D1317&lt;E1317),"Decreased reading",IF(F1317&gt;D1317,"Last service above current","")))))))))))))</x:f>
      </x:c>
      <x:c r="L1317" s="6" t="str">
        <x:f>IF(AND(NOT(COUNTA(A1317:F1317)=0),K1317=""),INDEX('Rules'!$C$7:$C$26,MATCH(SUBSTITUTE(SUBSTITUTE(SUBSTITUTE(SUBSTITUTE("type:"&amp;B1317,"%","%25"),"~","%7E"),"*","%2A"),"?","%3F"),'Rules'!$G$7:$G$26,0)),"")</x:f>
      </x:c>
      <x:c r="M1317" s="6" t="str">
        <x:f>IF(AND(NOT(COUNTA(A1317:F1317)=0),K1317=""),INDEX('Rules'!$D$7:$D$26,MATCH(SUBSTITUTE(SUBSTITUTE(SUBSTITUTE(SUBSTITUTE("type:"&amp;B1317,"%","%25"),"~","%7E"),"*","%2A"),"?","%3F"),'Rules'!$G$7:$G$26,0)),"")</x:f>
      </x:c>
      <x:c r="N1317" s="5" t="str">
        <x:f>IF(COUNTA(A1317:F1317)=0,"",SUBSTITUTE(SUBSTITUTE(SUBSTITUTE(SUBSTITUTE("id:"&amp;A1317,"%","%25"),"~","%7E"),"*","%2A"),"?","%3F"))</x:f>
      </x:c>
    </x:row>
    <x:row r="1318" ht="22" customHeight="1">
      <x:c r="A1318" s="3"/>
      <x:c r="B1318" s="3"/>
      <x:c r="C1318" s="3"/>
      <x:c r="D1318" s="4"/>
      <x:c r="E1318" s="4"/>
      <x:c r="F1318" s="4"/>
      <x:c r="G1318" s="5" t="str">
        <x:f>IF(COUNTA(A1318:F1318)=0,"",IF(K1318&lt;&gt;"","Review",IF(I1318&lt;0,"Overdue",IF(I1318=0,"Due now",IF(I1318&lt;=M1318,"Due soon","Not due")))))</x:f>
      </x:c>
      <x:c r="H1318" s="5" t="str">
        <x:f>IF(OR(COUNTA(A1318:F1318)=0,COUNTIFS('Rules'!$G$7:$G$26,"="&amp;(SUBSTITUTE(SUBSTITUTE(SUBSTITUTE(SUBSTITUTE("type:"&amp;B1318,"%","%25"),"~","%7E"),"*","%2A"),"?","%3F")))&lt;&gt;1),"",IF(OR(INDEX('Rules'!$B$7:$B$26,MATCH(SUBSTITUTE(SUBSTITUTE(SUBSTITUTE(SUBSTITUTE("type:"&amp;B1318,"%","%25"),"~","%7E"),"*","%2A"),"?","%3F"),'Rules'!$G$7:$G$26,0))="hours",INDEX('Rules'!$B$7:$B$26,MATCH(SUBSTITUTE(SUBSTITUTE(SUBSTITUTE(SUBSTITUTE("type:"&amp;B1318,"%","%25"),"~","%7E"),"*","%2A"),"?","%3F"),'Rules'!$G$7:$G$26,0))="km"),INDEX('Rules'!$B$7:$B$26,MATCH(SUBSTITUTE(SUBSTITUTE(SUBSTITUTE(SUBSTITUTE("type:"&amp;B1318,"%","%25"),"~","%7E"),"*","%2A"),"?","%3F"),'Rules'!$G$7:$G$26,0)),""))</x:f>
      </x:c>
      <x:c r="I1318" s="6" t="str">
        <x:f>IF(AND(NOT(COUNTA(A1318:F1318)=0),K1318=""),ROUND(J1318-D1318,3),"")</x:f>
      </x:c>
      <x:c r="J1318" s="6" t="str">
        <x:f>IF(AND(NOT(COUNTA(A1318:F1318)=0),K1318=""),ROUND(F1318+L1318,3),"")</x:f>
      </x:c>
      <x:c r="K1318" s="5" t="str">
        <x:f>IF(COUNTA(A1318:F1318)=0,"",IF(A1318="","Missing equipment ID",IF(COUNTIFS($N$8:$N$2007,"="&amp;N1318)&gt;1,"Duplicate equipment ID",IF(B1318="","Missing type",IF(COUNTIFS('Rules'!$G$7:$G$26,"="&amp;(SUBSTITUTE(SUBSTITUTE(SUBSTITUTE(SUBSTITUTE("type:"&amp;B1318,"%","%25"),"~","%7E"),"*","%2A"),"?","%3F")))=0,"Unknown type",IF(COUNTIFS('Rules'!$G$7:$G$26,"="&amp;(SUBSTITUTE(SUBSTITUTE(SUBSTITUTE(SUBSTITUTE("type:"&amp;B1318,"%","%25"),"~","%7E"),"*","%2A"),"?","%3F")))&gt;1,"Duplicate type",IF(INDEX('Rules'!$F$7:$F$26,MATCH(SUBSTITUTE(SUBSTITUTE(SUBSTITUTE(SUBSTITUTE("type:"&amp;B1318,"%","%25"),"~","%7E"),"*","%2A"),"?","%3F"),'Rules'!$G$7:$G$26,0))&lt;&gt;"",INDEX('Rules'!$F$7:$F$26,MATCH(SUBSTITUTE(SUBSTITUTE(SUBSTITUTE(SUBSTITUTE("type:"&amp;B1318,"%","%25"),"~","%7E"),"*","%2A"),"?","%3F"),'Rules'!$G$7:$G$26,0)),IF(AND(C1318&lt;&gt;"",C1318&lt;&gt;INDEX('Rules'!$B$7:$B$26,MATCH(SUBSTITUTE(SUBSTITUTE(SUBSTITUTE(SUBSTITUTE("type:"&amp;B1318,"%","%25"),"~","%7E"),"*","%2A"),"?","%3F"),'Rules'!$G$7:$G$26,0))),"Unit mismatch",IF(IF(NOT(ISNUMBER(D1318)),TRUE,OR(D1318&lt;0,D1318&gt;999999999,ROUND(D1318,3)&lt;&gt;D1318)),"Invalid current reading",IF(AND(E1318&lt;&gt;"",IF(NOT(ISNUMBER(E1318)),TRUE,OR(E1318&lt;0,E1318&gt;999999999,ROUND(E1318,3)&lt;&gt;E1318))),"Invalid previous reading",IF(IF(NOT(ISNUMBER(F1318)),TRUE,OR(F1318&lt;0,F1318&gt;999999999,ROUND(F1318,3)&lt;&gt;F1318)),"Invalid last service",IF(AND(E1318&lt;&gt;"",D1318&lt;E1318),"Decreased reading",IF(F1318&gt;D1318,"Last service above current","")))))))))))))</x:f>
      </x:c>
      <x:c r="L1318" s="6" t="str">
        <x:f>IF(AND(NOT(COUNTA(A1318:F1318)=0),K1318=""),INDEX('Rules'!$C$7:$C$26,MATCH(SUBSTITUTE(SUBSTITUTE(SUBSTITUTE(SUBSTITUTE("type:"&amp;B1318,"%","%25"),"~","%7E"),"*","%2A"),"?","%3F"),'Rules'!$G$7:$G$26,0)),"")</x:f>
      </x:c>
      <x:c r="M1318" s="6" t="str">
        <x:f>IF(AND(NOT(COUNTA(A1318:F1318)=0),K1318=""),INDEX('Rules'!$D$7:$D$26,MATCH(SUBSTITUTE(SUBSTITUTE(SUBSTITUTE(SUBSTITUTE("type:"&amp;B1318,"%","%25"),"~","%7E"),"*","%2A"),"?","%3F"),'Rules'!$G$7:$G$26,0)),"")</x:f>
      </x:c>
      <x:c r="N1318" s="5" t="str">
        <x:f>IF(COUNTA(A1318:F1318)=0,"",SUBSTITUTE(SUBSTITUTE(SUBSTITUTE(SUBSTITUTE("id:"&amp;A1318,"%","%25"),"~","%7E"),"*","%2A"),"?","%3F"))</x:f>
      </x:c>
    </x:row>
    <x:row r="1319" ht="22" customHeight="1">
      <x:c r="A1319" s="3"/>
      <x:c r="B1319" s="3"/>
      <x:c r="C1319" s="3"/>
      <x:c r="D1319" s="4"/>
      <x:c r="E1319" s="4"/>
      <x:c r="F1319" s="4"/>
      <x:c r="G1319" s="5" t="str">
        <x:f>IF(COUNTA(A1319:F1319)=0,"",IF(K1319&lt;&gt;"","Review",IF(I1319&lt;0,"Overdue",IF(I1319=0,"Due now",IF(I1319&lt;=M1319,"Due soon","Not due")))))</x:f>
      </x:c>
      <x:c r="H1319" s="5" t="str">
        <x:f>IF(OR(COUNTA(A1319:F1319)=0,COUNTIFS('Rules'!$G$7:$G$26,"="&amp;(SUBSTITUTE(SUBSTITUTE(SUBSTITUTE(SUBSTITUTE("type:"&amp;B1319,"%","%25"),"~","%7E"),"*","%2A"),"?","%3F")))&lt;&gt;1),"",IF(OR(INDEX('Rules'!$B$7:$B$26,MATCH(SUBSTITUTE(SUBSTITUTE(SUBSTITUTE(SUBSTITUTE("type:"&amp;B1319,"%","%25"),"~","%7E"),"*","%2A"),"?","%3F"),'Rules'!$G$7:$G$26,0))="hours",INDEX('Rules'!$B$7:$B$26,MATCH(SUBSTITUTE(SUBSTITUTE(SUBSTITUTE(SUBSTITUTE("type:"&amp;B1319,"%","%25"),"~","%7E"),"*","%2A"),"?","%3F"),'Rules'!$G$7:$G$26,0))="km"),INDEX('Rules'!$B$7:$B$26,MATCH(SUBSTITUTE(SUBSTITUTE(SUBSTITUTE(SUBSTITUTE("type:"&amp;B1319,"%","%25"),"~","%7E"),"*","%2A"),"?","%3F"),'Rules'!$G$7:$G$26,0)),""))</x:f>
      </x:c>
      <x:c r="I1319" s="6" t="str">
        <x:f>IF(AND(NOT(COUNTA(A1319:F1319)=0),K1319=""),ROUND(J1319-D1319,3),"")</x:f>
      </x:c>
      <x:c r="J1319" s="6" t="str">
        <x:f>IF(AND(NOT(COUNTA(A1319:F1319)=0),K1319=""),ROUND(F1319+L1319,3),"")</x:f>
      </x:c>
      <x:c r="K1319" s="5" t="str">
        <x:f>IF(COUNTA(A1319:F1319)=0,"",IF(A1319="","Missing equipment ID",IF(COUNTIFS($N$8:$N$2007,"="&amp;N1319)&gt;1,"Duplicate equipment ID",IF(B1319="","Missing type",IF(COUNTIFS('Rules'!$G$7:$G$26,"="&amp;(SUBSTITUTE(SUBSTITUTE(SUBSTITUTE(SUBSTITUTE("type:"&amp;B1319,"%","%25"),"~","%7E"),"*","%2A"),"?","%3F")))=0,"Unknown type",IF(COUNTIFS('Rules'!$G$7:$G$26,"="&amp;(SUBSTITUTE(SUBSTITUTE(SUBSTITUTE(SUBSTITUTE("type:"&amp;B1319,"%","%25"),"~","%7E"),"*","%2A"),"?","%3F")))&gt;1,"Duplicate type",IF(INDEX('Rules'!$F$7:$F$26,MATCH(SUBSTITUTE(SUBSTITUTE(SUBSTITUTE(SUBSTITUTE("type:"&amp;B1319,"%","%25"),"~","%7E"),"*","%2A"),"?","%3F"),'Rules'!$G$7:$G$26,0))&lt;&gt;"",INDEX('Rules'!$F$7:$F$26,MATCH(SUBSTITUTE(SUBSTITUTE(SUBSTITUTE(SUBSTITUTE("type:"&amp;B1319,"%","%25"),"~","%7E"),"*","%2A"),"?","%3F"),'Rules'!$G$7:$G$26,0)),IF(AND(C1319&lt;&gt;"",C1319&lt;&gt;INDEX('Rules'!$B$7:$B$26,MATCH(SUBSTITUTE(SUBSTITUTE(SUBSTITUTE(SUBSTITUTE("type:"&amp;B1319,"%","%25"),"~","%7E"),"*","%2A"),"?","%3F"),'Rules'!$G$7:$G$26,0))),"Unit mismatch",IF(IF(NOT(ISNUMBER(D1319)),TRUE,OR(D1319&lt;0,D1319&gt;999999999,ROUND(D1319,3)&lt;&gt;D1319)),"Invalid current reading",IF(AND(E1319&lt;&gt;"",IF(NOT(ISNUMBER(E1319)),TRUE,OR(E1319&lt;0,E1319&gt;999999999,ROUND(E1319,3)&lt;&gt;E1319))),"Invalid previous reading",IF(IF(NOT(ISNUMBER(F1319)),TRUE,OR(F1319&lt;0,F1319&gt;999999999,ROUND(F1319,3)&lt;&gt;F1319)),"Invalid last service",IF(AND(E1319&lt;&gt;"",D1319&lt;E1319),"Decreased reading",IF(F1319&gt;D1319,"Last service above current","")))))))))))))</x:f>
      </x:c>
      <x:c r="L1319" s="6" t="str">
        <x:f>IF(AND(NOT(COUNTA(A1319:F1319)=0),K1319=""),INDEX('Rules'!$C$7:$C$26,MATCH(SUBSTITUTE(SUBSTITUTE(SUBSTITUTE(SUBSTITUTE("type:"&amp;B1319,"%","%25"),"~","%7E"),"*","%2A"),"?","%3F"),'Rules'!$G$7:$G$26,0)),"")</x:f>
      </x:c>
      <x:c r="M1319" s="6" t="str">
        <x:f>IF(AND(NOT(COUNTA(A1319:F1319)=0),K1319=""),INDEX('Rules'!$D$7:$D$26,MATCH(SUBSTITUTE(SUBSTITUTE(SUBSTITUTE(SUBSTITUTE("type:"&amp;B1319,"%","%25"),"~","%7E"),"*","%2A"),"?","%3F"),'Rules'!$G$7:$G$26,0)),"")</x:f>
      </x:c>
      <x:c r="N1319" s="5" t="str">
        <x:f>IF(COUNTA(A1319:F1319)=0,"",SUBSTITUTE(SUBSTITUTE(SUBSTITUTE(SUBSTITUTE("id:"&amp;A1319,"%","%25"),"~","%7E"),"*","%2A"),"?","%3F"))</x:f>
      </x:c>
    </x:row>
    <x:row r="1320" ht="22" customHeight="1">
      <x:c r="A1320" s="3"/>
      <x:c r="B1320" s="3"/>
      <x:c r="C1320" s="3"/>
      <x:c r="D1320" s="4"/>
      <x:c r="E1320" s="4"/>
      <x:c r="F1320" s="4"/>
      <x:c r="G1320" s="5" t="str">
        <x:f>IF(COUNTA(A1320:F1320)=0,"",IF(K1320&lt;&gt;"","Review",IF(I1320&lt;0,"Overdue",IF(I1320=0,"Due now",IF(I1320&lt;=M1320,"Due soon","Not due")))))</x:f>
      </x:c>
      <x:c r="H1320" s="5" t="str">
        <x:f>IF(OR(COUNTA(A1320:F1320)=0,COUNTIFS('Rules'!$G$7:$G$26,"="&amp;(SUBSTITUTE(SUBSTITUTE(SUBSTITUTE(SUBSTITUTE("type:"&amp;B1320,"%","%25"),"~","%7E"),"*","%2A"),"?","%3F")))&lt;&gt;1),"",IF(OR(INDEX('Rules'!$B$7:$B$26,MATCH(SUBSTITUTE(SUBSTITUTE(SUBSTITUTE(SUBSTITUTE("type:"&amp;B1320,"%","%25"),"~","%7E"),"*","%2A"),"?","%3F"),'Rules'!$G$7:$G$26,0))="hours",INDEX('Rules'!$B$7:$B$26,MATCH(SUBSTITUTE(SUBSTITUTE(SUBSTITUTE(SUBSTITUTE("type:"&amp;B1320,"%","%25"),"~","%7E"),"*","%2A"),"?","%3F"),'Rules'!$G$7:$G$26,0))="km"),INDEX('Rules'!$B$7:$B$26,MATCH(SUBSTITUTE(SUBSTITUTE(SUBSTITUTE(SUBSTITUTE("type:"&amp;B1320,"%","%25"),"~","%7E"),"*","%2A"),"?","%3F"),'Rules'!$G$7:$G$26,0)),""))</x:f>
      </x:c>
      <x:c r="I1320" s="6" t="str">
        <x:f>IF(AND(NOT(COUNTA(A1320:F1320)=0),K1320=""),ROUND(J1320-D1320,3),"")</x:f>
      </x:c>
      <x:c r="J1320" s="6" t="str">
        <x:f>IF(AND(NOT(COUNTA(A1320:F1320)=0),K1320=""),ROUND(F1320+L1320,3),"")</x:f>
      </x:c>
      <x:c r="K1320" s="5" t="str">
        <x:f>IF(COUNTA(A1320:F1320)=0,"",IF(A1320="","Missing equipment ID",IF(COUNTIFS($N$8:$N$2007,"="&amp;N1320)&gt;1,"Duplicate equipment ID",IF(B1320="","Missing type",IF(COUNTIFS('Rules'!$G$7:$G$26,"="&amp;(SUBSTITUTE(SUBSTITUTE(SUBSTITUTE(SUBSTITUTE("type:"&amp;B1320,"%","%25"),"~","%7E"),"*","%2A"),"?","%3F")))=0,"Unknown type",IF(COUNTIFS('Rules'!$G$7:$G$26,"="&amp;(SUBSTITUTE(SUBSTITUTE(SUBSTITUTE(SUBSTITUTE("type:"&amp;B1320,"%","%25"),"~","%7E"),"*","%2A"),"?","%3F")))&gt;1,"Duplicate type",IF(INDEX('Rules'!$F$7:$F$26,MATCH(SUBSTITUTE(SUBSTITUTE(SUBSTITUTE(SUBSTITUTE("type:"&amp;B1320,"%","%25"),"~","%7E"),"*","%2A"),"?","%3F"),'Rules'!$G$7:$G$26,0))&lt;&gt;"",INDEX('Rules'!$F$7:$F$26,MATCH(SUBSTITUTE(SUBSTITUTE(SUBSTITUTE(SUBSTITUTE("type:"&amp;B1320,"%","%25"),"~","%7E"),"*","%2A"),"?","%3F"),'Rules'!$G$7:$G$26,0)),IF(AND(C1320&lt;&gt;"",C1320&lt;&gt;INDEX('Rules'!$B$7:$B$26,MATCH(SUBSTITUTE(SUBSTITUTE(SUBSTITUTE(SUBSTITUTE("type:"&amp;B1320,"%","%25"),"~","%7E"),"*","%2A"),"?","%3F"),'Rules'!$G$7:$G$26,0))),"Unit mismatch",IF(IF(NOT(ISNUMBER(D1320)),TRUE,OR(D1320&lt;0,D1320&gt;999999999,ROUND(D1320,3)&lt;&gt;D1320)),"Invalid current reading",IF(AND(E1320&lt;&gt;"",IF(NOT(ISNUMBER(E1320)),TRUE,OR(E1320&lt;0,E1320&gt;999999999,ROUND(E1320,3)&lt;&gt;E1320))),"Invalid previous reading",IF(IF(NOT(ISNUMBER(F1320)),TRUE,OR(F1320&lt;0,F1320&gt;999999999,ROUND(F1320,3)&lt;&gt;F1320)),"Invalid last service",IF(AND(E1320&lt;&gt;"",D1320&lt;E1320),"Decreased reading",IF(F1320&gt;D1320,"Last service above current","")))))))))))))</x:f>
      </x:c>
      <x:c r="L1320" s="6" t="str">
        <x:f>IF(AND(NOT(COUNTA(A1320:F1320)=0),K1320=""),INDEX('Rules'!$C$7:$C$26,MATCH(SUBSTITUTE(SUBSTITUTE(SUBSTITUTE(SUBSTITUTE("type:"&amp;B1320,"%","%25"),"~","%7E"),"*","%2A"),"?","%3F"),'Rules'!$G$7:$G$26,0)),"")</x:f>
      </x:c>
      <x:c r="M1320" s="6" t="str">
        <x:f>IF(AND(NOT(COUNTA(A1320:F1320)=0),K1320=""),INDEX('Rules'!$D$7:$D$26,MATCH(SUBSTITUTE(SUBSTITUTE(SUBSTITUTE(SUBSTITUTE("type:"&amp;B1320,"%","%25"),"~","%7E"),"*","%2A"),"?","%3F"),'Rules'!$G$7:$G$26,0)),"")</x:f>
      </x:c>
      <x:c r="N1320" s="5" t="str">
        <x:f>IF(COUNTA(A1320:F1320)=0,"",SUBSTITUTE(SUBSTITUTE(SUBSTITUTE(SUBSTITUTE("id:"&amp;A1320,"%","%25"),"~","%7E"),"*","%2A"),"?","%3F"))</x:f>
      </x:c>
    </x:row>
    <x:row r="1321" ht="22" customHeight="1">
      <x:c r="A1321" s="3"/>
      <x:c r="B1321" s="3"/>
      <x:c r="C1321" s="3"/>
      <x:c r="D1321" s="4"/>
      <x:c r="E1321" s="4"/>
      <x:c r="F1321" s="4"/>
      <x:c r="G1321" s="5" t="str">
        <x:f>IF(COUNTA(A1321:F1321)=0,"",IF(K1321&lt;&gt;"","Review",IF(I1321&lt;0,"Overdue",IF(I1321=0,"Due now",IF(I1321&lt;=M1321,"Due soon","Not due")))))</x:f>
      </x:c>
      <x:c r="H1321" s="5" t="str">
        <x:f>IF(OR(COUNTA(A1321:F1321)=0,COUNTIFS('Rules'!$G$7:$G$26,"="&amp;(SUBSTITUTE(SUBSTITUTE(SUBSTITUTE(SUBSTITUTE("type:"&amp;B1321,"%","%25"),"~","%7E"),"*","%2A"),"?","%3F")))&lt;&gt;1),"",IF(OR(INDEX('Rules'!$B$7:$B$26,MATCH(SUBSTITUTE(SUBSTITUTE(SUBSTITUTE(SUBSTITUTE("type:"&amp;B1321,"%","%25"),"~","%7E"),"*","%2A"),"?","%3F"),'Rules'!$G$7:$G$26,0))="hours",INDEX('Rules'!$B$7:$B$26,MATCH(SUBSTITUTE(SUBSTITUTE(SUBSTITUTE(SUBSTITUTE("type:"&amp;B1321,"%","%25"),"~","%7E"),"*","%2A"),"?","%3F"),'Rules'!$G$7:$G$26,0))="km"),INDEX('Rules'!$B$7:$B$26,MATCH(SUBSTITUTE(SUBSTITUTE(SUBSTITUTE(SUBSTITUTE("type:"&amp;B1321,"%","%25"),"~","%7E"),"*","%2A"),"?","%3F"),'Rules'!$G$7:$G$26,0)),""))</x:f>
      </x:c>
      <x:c r="I1321" s="6" t="str">
        <x:f>IF(AND(NOT(COUNTA(A1321:F1321)=0),K1321=""),ROUND(J1321-D1321,3),"")</x:f>
      </x:c>
      <x:c r="J1321" s="6" t="str">
        <x:f>IF(AND(NOT(COUNTA(A1321:F1321)=0),K1321=""),ROUND(F1321+L1321,3),"")</x:f>
      </x:c>
      <x:c r="K1321" s="5" t="str">
        <x:f>IF(COUNTA(A1321:F1321)=0,"",IF(A1321="","Missing equipment ID",IF(COUNTIFS($N$8:$N$2007,"="&amp;N1321)&gt;1,"Duplicate equipment ID",IF(B1321="","Missing type",IF(COUNTIFS('Rules'!$G$7:$G$26,"="&amp;(SUBSTITUTE(SUBSTITUTE(SUBSTITUTE(SUBSTITUTE("type:"&amp;B1321,"%","%25"),"~","%7E"),"*","%2A"),"?","%3F")))=0,"Unknown type",IF(COUNTIFS('Rules'!$G$7:$G$26,"="&amp;(SUBSTITUTE(SUBSTITUTE(SUBSTITUTE(SUBSTITUTE("type:"&amp;B1321,"%","%25"),"~","%7E"),"*","%2A"),"?","%3F")))&gt;1,"Duplicate type",IF(INDEX('Rules'!$F$7:$F$26,MATCH(SUBSTITUTE(SUBSTITUTE(SUBSTITUTE(SUBSTITUTE("type:"&amp;B1321,"%","%25"),"~","%7E"),"*","%2A"),"?","%3F"),'Rules'!$G$7:$G$26,0))&lt;&gt;"",INDEX('Rules'!$F$7:$F$26,MATCH(SUBSTITUTE(SUBSTITUTE(SUBSTITUTE(SUBSTITUTE("type:"&amp;B1321,"%","%25"),"~","%7E"),"*","%2A"),"?","%3F"),'Rules'!$G$7:$G$26,0)),IF(AND(C1321&lt;&gt;"",C1321&lt;&gt;INDEX('Rules'!$B$7:$B$26,MATCH(SUBSTITUTE(SUBSTITUTE(SUBSTITUTE(SUBSTITUTE("type:"&amp;B1321,"%","%25"),"~","%7E"),"*","%2A"),"?","%3F"),'Rules'!$G$7:$G$26,0))),"Unit mismatch",IF(IF(NOT(ISNUMBER(D1321)),TRUE,OR(D1321&lt;0,D1321&gt;999999999,ROUND(D1321,3)&lt;&gt;D1321)),"Invalid current reading",IF(AND(E1321&lt;&gt;"",IF(NOT(ISNUMBER(E1321)),TRUE,OR(E1321&lt;0,E1321&gt;999999999,ROUND(E1321,3)&lt;&gt;E1321))),"Invalid previous reading",IF(IF(NOT(ISNUMBER(F1321)),TRUE,OR(F1321&lt;0,F1321&gt;999999999,ROUND(F1321,3)&lt;&gt;F1321)),"Invalid last service",IF(AND(E1321&lt;&gt;"",D1321&lt;E1321),"Decreased reading",IF(F1321&gt;D1321,"Last service above current","")))))))))))))</x:f>
      </x:c>
      <x:c r="L1321" s="6" t="str">
        <x:f>IF(AND(NOT(COUNTA(A1321:F1321)=0),K1321=""),INDEX('Rules'!$C$7:$C$26,MATCH(SUBSTITUTE(SUBSTITUTE(SUBSTITUTE(SUBSTITUTE("type:"&amp;B1321,"%","%25"),"~","%7E"),"*","%2A"),"?","%3F"),'Rules'!$G$7:$G$26,0)),"")</x:f>
      </x:c>
      <x:c r="M1321" s="6" t="str">
        <x:f>IF(AND(NOT(COUNTA(A1321:F1321)=0),K1321=""),INDEX('Rules'!$D$7:$D$26,MATCH(SUBSTITUTE(SUBSTITUTE(SUBSTITUTE(SUBSTITUTE("type:"&amp;B1321,"%","%25"),"~","%7E"),"*","%2A"),"?","%3F"),'Rules'!$G$7:$G$26,0)),"")</x:f>
      </x:c>
      <x:c r="N1321" s="5" t="str">
        <x:f>IF(COUNTA(A1321:F1321)=0,"",SUBSTITUTE(SUBSTITUTE(SUBSTITUTE(SUBSTITUTE("id:"&amp;A1321,"%","%25"),"~","%7E"),"*","%2A"),"?","%3F"))</x:f>
      </x:c>
    </x:row>
    <x:row r="1322" ht="22" customHeight="1">
      <x:c r="A1322" s="3"/>
      <x:c r="B1322" s="3"/>
      <x:c r="C1322" s="3"/>
      <x:c r="D1322" s="4"/>
      <x:c r="E1322" s="4"/>
      <x:c r="F1322" s="4"/>
      <x:c r="G1322" s="5" t="str">
        <x:f>IF(COUNTA(A1322:F1322)=0,"",IF(K1322&lt;&gt;"","Review",IF(I1322&lt;0,"Overdue",IF(I1322=0,"Due now",IF(I1322&lt;=M1322,"Due soon","Not due")))))</x:f>
      </x:c>
      <x:c r="H1322" s="5" t="str">
        <x:f>IF(OR(COUNTA(A1322:F1322)=0,COUNTIFS('Rules'!$G$7:$G$26,"="&amp;(SUBSTITUTE(SUBSTITUTE(SUBSTITUTE(SUBSTITUTE("type:"&amp;B1322,"%","%25"),"~","%7E"),"*","%2A"),"?","%3F")))&lt;&gt;1),"",IF(OR(INDEX('Rules'!$B$7:$B$26,MATCH(SUBSTITUTE(SUBSTITUTE(SUBSTITUTE(SUBSTITUTE("type:"&amp;B1322,"%","%25"),"~","%7E"),"*","%2A"),"?","%3F"),'Rules'!$G$7:$G$26,0))="hours",INDEX('Rules'!$B$7:$B$26,MATCH(SUBSTITUTE(SUBSTITUTE(SUBSTITUTE(SUBSTITUTE("type:"&amp;B1322,"%","%25"),"~","%7E"),"*","%2A"),"?","%3F"),'Rules'!$G$7:$G$26,0))="km"),INDEX('Rules'!$B$7:$B$26,MATCH(SUBSTITUTE(SUBSTITUTE(SUBSTITUTE(SUBSTITUTE("type:"&amp;B1322,"%","%25"),"~","%7E"),"*","%2A"),"?","%3F"),'Rules'!$G$7:$G$26,0)),""))</x:f>
      </x:c>
      <x:c r="I1322" s="6" t="str">
        <x:f>IF(AND(NOT(COUNTA(A1322:F1322)=0),K1322=""),ROUND(J1322-D1322,3),"")</x:f>
      </x:c>
      <x:c r="J1322" s="6" t="str">
        <x:f>IF(AND(NOT(COUNTA(A1322:F1322)=0),K1322=""),ROUND(F1322+L1322,3),"")</x:f>
      </x:c>
      <x:c r="K1322" s="5" t="str">
        <x:f>IF(COUNTA(A1322:F1322)=0,"",IF(A1322="","Missing equipment ID",IF(COUNTIFS($N$8:$N$2007,"="&amp;N1322)&gt;1,"Duplicate equipment ID",IF(B1322="","Missing type",IF(COUNTIFS('Rules'!$G$7:$G$26,"="&amp;(SUBSTITUTE(SUBSTITUTE(SUBSTITUTE(SUBSTITUTE("type:"&amp;B1322,"%","%25"),"~","%7E"),"*","%2A"),"?","%3F")))=0,"Unknown type",IF(COUNTIFS('Rules'!$G$7:$G$26,"="&amp;(SUBSTITUTE(SUBSTITUTE(SUBSTITUTE(SUBSTITUTE("type:"&amp;B1322,"%","%25"),"~","%7E"),"*","%2A"),"?","%3F")))&gt;1,"Duplicate type",IF(INDEX('Rules'!$F$7:$F$26,MATCH(SUBSTITUTE(SUBSTITUTE(SUBSTITUTE(SUBSTITUTE("type:"&amp;B1322,"%","%25"),"~","%7E"),"*","%2A"),"?","%3F"),'Rules'!$G$7:$G$26,0))&lt;&gt;"",INDEX('Rules'!$F$7:$F$26,MATCH(SUBSTITUTE(SUBSTITUTE(SUBSTITUTE(SUBSTITUTE("type:"&amp;B1322,"%","%25"),"~","%7E"),"*","%2A"),"?","%3F"),'Rules'!$G$7:$G$26,0)),IF(AND(C1322&lt;&gt;"",C1322&lt;&gt;INDEX('Rules'!$B$7:$B$26,MATCH(SUBSTITUTE(SUBSTITUTE(SUBSTITUTE(SUBSTITUTE("type:"&amp;B1322,"%","%25"),"~","%7E"),"*","%2A"),"?","%3F"),'Rules'!$G$7:$G$26,0))),"Unit mismatch",IF(IF(NOT(ISNUMBER(D1322)),TRUE,OR(D1322&lt;0,D1322&gt;999999999,ROUND(D1322,3)&lt;&gt;D1322)),"Invalid current reading",IF(AND(E1322&lt;&gt;"",IF(NOT(ISNUMBER(E1322)),TRUE,OR(E1322&lt;0,E1322&gt;999999999,ROUND(E1322,3)&lt;&gt;E1322))),"Invalid previous reading",IF(IF(NOT(ISNUMBER(F1322)),TRUE,OR(F1322&lt;0,F1322&gt;999999999,ROUND(F1322,3)&lt;&gt;F1322)),"Invalid last service",IF(AND(E1322&lt;&gt;"",D1322&lt;E1322),"Decreased reading",IF(F1322&gt;D1322,"Last service above current","")))))))))))))</x:f>
      </x:c>
      <x:c r="L1322" s="6" t="str">
        <x:f>IF(AND(NOT(COUNTA(A1322:F1322)=0),K1322=""),INDEX('Rules'!$C$7:$C$26,MATCH(SUBSTITUTE(SUBSTITUTE(SUBSTITUTE(SUBSTITUTE("type:"&amp;B1322,"%","%25"),"~","%7E"),"*","%2A"),"?","%3F"),'Rules'!$G$7:$G$26,0)),"")</x:f>
      </x:c>
      <x:c r="M1322" s="6" t="str">
        <x:f>IF(AND(NOT(COUNTA(A1322:F1322)=0),K1322=""),INDEX('Rules'!$D$7:$D$26,MATCH(SUBSTITUTE(SUBSTITUTE(SUBSTITUTE(SUBSTITUTE("type:"&amp;B1322,"%","%25"),"~","%7E"),"*","%2A"),"?","%3F"),'Rules'!$G$7:$G$26,0)),"")</x:f>
      </x:c>
      <x:c r="N1322" s="5" t="str">
        <x:f>IF(COUNTA(A1322:F1322)=0,"",SUBSTITUTE(SUBSTITUTE(SUBSTITUTE(SUBSTITUTE("id:"&amp;A1322,"%","%25"),"~","%7E"),"*","%2A"),"?","%3F"))</x:f>
      </x:c>
    </x:row>
    <x:row r="1323" ht="22" customHeight="1">
      <x:c r="A1323" s="3"/>
      <x:c r="B1323" s="3"/>
      <x:c r="C1323" s="3"/>
      <x:c r="D1323" s="4"/>
      <x:c r="E1323" s="4"/>
      <x:c r="F1323" s="4"/>
      <x:c r="G1323" s="5" t="str">
        <x:f>IF(COUNTA(A1323:F1323)=0,"",IF(K1323&lt;&gt;"","Review",IF(I1323&lt;0,"Overdue",IF(I1323=0,"Due now",IF(I1323&lt;=M1323,"Due soon","Not due")))))</x:f>
      </x:c>
      <x:c r="H1323" s="5" t="str">
        <x:f>IF(OR(COUNTA(A1323:F1323)=0,COUNTIFS('Rules'!$G$7:$G$26,"="&amp;(SUBSTITUTE(SUBSTITUTE(SUBSTITUTE(SUBSTITUTE("type:"&amp;B1323,"%","%25"),"~","%7E"),"*","%2A"),"?","%3F")))&lt;&gt;1),"",IF(OR(INDEX('Rules'!$B$7:$B$26,MATCH(SUBSTITUTE(SUBSTITUTE(SUBSTITUTE(SUBSTITUTE("type:"&amp;B1323,"%","%25"),"~","%7E"),"*","%2A"),"?","%3F"),'Rules'!$G$7:$G$26,0))="hours",INDEX('Rules'!$B$7:$B$26,MATCH(SUBSTITUTE(SUBSTITUTE(SUBSTITUTE(SUBSTITUTE("type:"&amp;B1323,"%","%25"),"~","%7E"),"*","%2A"),"?","%3F"),'Rules'!$G$7:$G$26,0))="km"),INDEX('Rules'!$B$7:$B$26,MATCH(SUBSTITUTE(SUBSTITUTE(SUBSTITUTE(SUBSTITUTE("type:"&amp;B1323,"%","%25"),"~","%7E"),"*","%2A"),"?","%3F"),'Rules'!$G$7:$G$26,0)),""))</x:f>
      </x:c>
      <x:c r="I1323" s="6" t="str">
        <x:f>IF(AND(NOT(COUNTA(A1323:F1323)=0),K1323=""),ROUND(J1323-D1323,3),"")</x:f>
      </x:c>
      <x:c r="J1323" s="6" t="str">
        <x:f>IF(AND(NOT(COUNTA(A1323:F1323)=0),K1323=""),ROUND(F1323+L1323,3),"")</x:f>
      </x:c>
      <x:c r="K1323" s="5" t="str">
        <x:f>IF(COUNTA(A1323:F1323)=0,"",IF(A1323="","Missing equipment ID",IF(COUNTIFS($N$8:$N$2007,"="&amp;N1323)&gt;1,"Duplicate equipment ID",IF(B1323="","Missing type",IF(COUNTIFS('Rules'!$G$7:$G$26,"="&amp;(SUBSTITUTE(SUBSTITUTE(SUBSTITUTE(SUBSTITUTE("type:"&amp;B1323,"%","%25"),"~","%7E"),"*","%2A"),"?","%3F")))=0,"Unknown type",IF(COUNTIFS('Rules'!$G$7:$G$26,"="&amp;(SUBSTITUTE(SUBSTITUTE(SUBSTITUTE(SUBSTITUTE("type:"&amp;B1323,"%","%25"),"~","%7E"),"*","%2A"),"?","%3F")))&gt;1,"Duplicate type",IF(INDEX('Rules'!$F$7:$F$26,MATCH(SUBSTITUTE(SUBSTITUTE(SUBSTITUTE(SUBSTITUTE("type:"&amp;B1323,"%","%25"),"~","%7E"),"*","%2A"),"?","%3F"),'Rules'!$G$7:$G$26,0))&lt;&gt;"",INDEX('Rules'!$F$7:$F$26,MATCH(SUBSTITUTE(SUBSTITUTE(SUBSTITUTE(SUBSTITUTE("type:"&amp;B1323,"%","%25"),"~","%7E"),"*","%2A"),"?","%3F"),'Rules'!$G$7:$G$26,0)),IF(AND(C1323&lt;&gt;"",C1323&lt;&gt;INDEX('Rules'!$B$7:$B$26,MATCH(SUBSTITUTE(SUBSTITUTE(SUBSTITUTE(SUBSTITUTE("type:"&amp;B1323,"%","%25"),"~","%7E"),"*","%2A"),"?","%3F"),'Rules'!$G$7:$G$26,0))),"Unit mismatch",IF(IF(NOT(ISNUMBER(D1323)),TRUE,OR(D1323&lt;0,D1323&gt;999999999,ROUND(D1323,3)&lt;&gt;D1323)),"Invalid current reading",IF(AND(E1323&lt;&gt;"",IF(NOT(ISNUMBER(E1323)),TRUE,OR(E1323&lt;0,E1323&gt;999999999,ROUND(E1323,3)&lt;&gt;E1323))),"Invalid previous reading",IF(IF(NOT(ISNUMBER(F1323)),TRUE,OR(F1323&lt;0,F1323&gt;999999999,ROUND(F1323,3)&lt;&gt;F1323)),"Invalid last service",IF(AND(E1323&lt;&gt;"",D1323&lt;E1323),"Decreased reading",IF(F1323&gt;D1323,"Last service above current","")))))))))))))</x:f>
      </x:c>
      <x:c r="L1323" s="6" t="str">
        <x:f>IF(AND(NOT(COUNTA(A1323:F1323)=0),K1323=""),INDEX('Rules'!$C$7:$C$26,MATCH(SUBSTITUTE(SUBSTITUTE(SUBSTITUTE(SUBSTITUTE("type:"&amp;B1323,"%","%25"),"~","%7E"),"*","%2A"),"?","%3F"),'Rules'!$G$7:$G$26,0)),"")</x:f>
      </x:c>
      <x:c r="M1323" s="6" t="str">
        <x:f>IF(AND(NOT(COUNTA(A1323:F1323)=0),K1323=""),INDEX('Rules'!$D$7:$D$26,MATCH(SUBSTITUTE(SUBSTITUTE(SUBSTITUTE(SUBSTITUTE("type:"&amp;B1323,"%","%25"),"~","%7E"),"*","%2A"),"?","%3F"),'Rules'!$G$7:$G$26,0)),"")</x:f>
      </x:c>
      <x:c r="N1323" s="5" t="str">
        <x:f>IF(COUNTA(A1323:F1323)=0,"",SUBSTITUTE(SUBSTITUTE(SUBSTITUTE(SUBSTITUTE("id:"&amp;A1323,"%","%25"),"~","%7E"),"*","%2A"),"?","%3F"))</x:f>
      </x:c>
    </x:row>
    <x:row r="1324" ht="22" customHeight="1">
      <x:c r="A1324" s="3"/>
      <x:c r="B1324" s="3"/>
      <x:c r="C1324" s="3"/>
      <x:c r="D1324" s="4"/>
      <x:c r="E1324" s="4"/>
      <x:c r="F1324" s="4"/>
      <x:c r="G1324" s="5" t="str">
        <x:f>IF(COUNTA(A1324:F1324)=0,"",IF(K1324&lt;&gt;"","Review",IF(I1324&lt;0,"Overdue",IF(I1324=0,"Due now",IF(I1324&lt;=M1324,"Due soon","Not due")))))</x:f>
      </x:c>
      <x:c r="H1324" s="5" t="str">
        <x:f>IF(OR(COUNTA(A1324:F1324)=0,COUNTIFS('Rules'!$G$7:$G$26,"="&amp;(SUBSTITUTE(SUBSTITUTE(SUBSTITUTE(SUBSTITUTE("type:"&amp;B1324,"%","%25"),"~","%7E"),"*","%2A"),"?","%3F")))&lt;&gt;1),"",IF(OR(INDEX('Rules'!$B$7:$B$26,MATCH(SUBSTITUTE(SUBSTITUTE(SUBSTITUTE(SUBSTITUTE("type:"&amp;B1324,"%","%25"),"~","%7E"),"*","%2A"),"?","%3F"),'Rules'!$G$7:$G$26,0))="hours",INDEX('Rules'!$B$7:$B$26,MATCH(SUBSTITUTE(SUBSTITUTE(SUBSTITUTE(SUBSTITUTE("type:"&amp;B1324,"%","%25"),"~","%7E"),"*","%2A"),"?","%3F"),'Rules'!$G$7:$G$26,0))="km"),INDEX('Rules'!$B$7:$B$26,MATCH(SUBSTITUTE(SUBSTITUTE(SUBSTITUTE(SUBSTITUTE("type:"&amp;B1324,"%","%25"),"~","%7E"),"*","%2A"),"?","%3F"),'Rules'!$G$7:$G$26,0)),""))</x:f>
      </x:c>
      <x:c r="I1324" s="6" t="str">
        <x:f>IF(AND(NOT(COUNTA(A1324:F1324)=0),K1324=""),ROUND(J1324-D1324,3),"")</x:f>
      </x:c>
      <x:c r="J1324" s="6" t="str">
        <x:f>IF(AND(NOT(COUNTA(A1324:F1324)=0),K1324=""),ROUND(F1324+L1324,3),"")</x:f>
      </x:c>
      <x:c r="K1324" s="5" t="str">
        <x:f>IF(COUNTA(A1324:F1324)=0,"",IF(A1324="","Missing equipment ID",IF(COUNTIFS($N$8:$N$2007,"="&amp;N1324)&gt;1,"Duplicate equipment ID",IF(B1324="","Missing type",IF(COUNTIFS('Rules'!$G$7:$G$26,"="&amp;(SUBSTITUTE(SUBSTITUTE(SUBSTITUTE(SUBSTITUTE("type:"&amp;B1324,"%","%25"),"~","%7E"),"*","%2A"),"?","%3F")))=0,"Unknown type",IF(COUNTIFS('Rules'!$G$7:$G$26,"="&amp;(SUBSTITUTE(SUBSTITUTE(SUBSTITUTE(SUBSTITUTE("type:"&amp;B1324,"%","%25"),"~","%7E"),"*","%2A"),"?","%3F")))&gt;1,"Duplicate type",IF(INDEX('Rules'!$F$7:$F$26,MATCH(SUBSTITUTE(SUBSTITUTE(SUBSTITUTE(SUBSTITUTE("type:"&amp;B1324,"%","%25"),"~","%7E"),"*","%2A"),"?","%3F"),'Rules'!$G$7:$G$26,0))&lt;&gt;"",INDEX('Rules'!$F$7:$F$26,MATCH(SUBSTITUTE(SUBSTITUTE(SUBSTITUTE(SUBSTITUTE("type:"&amp;B1324,"%","%25"),"~","%7E"),"*","%2A"),"?","%3F"),'Rules'!$G$7:$G$26,0)),IF(AND(C1324&lt;&gt;"",C1324&lt;&gt;INDEX('Rules'!$B$7:$B$26,MATCH(SUBSTITUTE(SUBSTITUTE(SUBSTITUTE(SUBSTITUTE("type:"&amp;B1324,"%","%25"),"~","%7E"),"*","%2A"),"?","%3F"),'Rules'!$G$7:$G$26,0))),"Unit mismatch",IF(IF(NOT(ISNUMBER(D1324)),TRUE,OR(D1324&lt;0,D1324&gt;999999999,ROUND(D1324,3)&lt;&gt;D1324)),"Invalid current reading",IF(AND(E1324&lt;&gt;"",IF(NOT(ISNUMBER(E1324)),TRUE,OR(E1324&lt;0,E1324&gt;999999999,ROUND(E1324,3)&lt;&gt;E1324))),"Invalid previous reading",IF(IF(NOT(ISNUMBER(F1324)),TRUE,OR(F1324&lt;0,F1324&gt;999999999,ROUND(F1324,3)&lt;&gt;F1324)),"Invalid last service",IF(AND(E1324&lt;&gt;"",D1324&lt;E1324),"Decreased reading",IF(F1324&gt;D1324,"Last service above current","")))))))))))))</x:f>
      </x:c>
      <x:c r="L1324" s="6" t="str">
        <x:f>IF(AND(NOT(COUNTA(A1324:F1324)=0),K1324=""),INDEX('Rules'!$C$7:$C$26,MATCH(SUBSTITUTE(SUBSTITUTE(SUBSTITUTE(SUBSTITUTE("type:"&amp;B1324,"%","%25"),"~","%7E"),"*","%2A"),"?","%3F"),'Rules'!$G$7:$G$26,0)),"")</x:f>
      </x:c>
      <x:c r="M1324" s="6" t="str">
        <x:f>IF(AND(NOT(COUNTA(A1324:F1324)=0),K1324=""),INDEX('Rules'!$D$7:$D$26,MATCH(SUBSTITUTE(SUBSTITUTE(SUBSTITUTE(SUBSTITUTE("type:"&amp;B1324,"%","%25"),"~","%7E"),"*","%2A"),"?","%3F"),'Rules'!$G$7:$G$26,0)),"")</x:f>
      </x:c>
      <x:c r="N1324" s="5" t="str">
        <x:f>IF(COUNTA(A1324:F1324)=0,"",SUBSTITUTE(SUBSTITUTE(SUBSTITUTE(SUBSTITUTE("id:"&amp;A1324,"%","%25"),"~","%7E"),"*","%2A"),"?","%3F"))</x:f>
      </x:c>
    </x:row>
    <x:row r="1325" ht="22" customHeight="1">
      <x:c r="A1325" s="3"/>
      <x:c r="B1325" s="3"/>
      <x:c r="C1325" s="3"/>
      <x:c r="D1325" s="4"/>
      <x:c r="E1325" s="4"/>
      <x:c r="F1325" s="4"/>
      <x:c r="G1325" s="5" t="str">
        <x:f>IF(COUNTA(A1325:F1325)=0,"",IF(K1325&lt;&gt;"","Review",IF(I1325&lt;0,"Overdue",IF(I1325=0,"Due now",IF(I1325&lt;=M1325,"Due soon","Not due")))))</x:f>
      </x:c>
      <x:c r="H1325" s="5" t="str">
        <x:f>IF(OR(COUNTA(A1325:F1325)=0,COUNTIFS('Rules'!$G$7:$G$26,"="&amp;(SUBSTITUTE(SUBSTITUTE(SUBSTITUTE(SUBSTITUTE("type:"&amp;B1325,"%","%25"),"~","%7E"),"*","%2A"),"?","%3F")))&lt;&gt;1),"",IF(OR(INDEX('Rules'!$B$7:$B$26,MATCH(SUBSTITUTE(SUBSTITUTE(SUBSTITUTE(SUBSTITUTE("type:"&amp;B1325,"%","%25"),"~","%7E"),"*","%2A"),"?","%3F"),'Rules'!$G$7:$G$26,0))="hours",INDEX('Rules'!$B$7:$B$26,MATCH(SUBSTITUTE(SUBSTITUTE(SUBSTITUTE(SUBSTITUTE("type:"&amp;B1325,"%","%25"),"~","%7E"),"*","%2A"),"?","%3F"),'Rules'!$G$7:$G$26,0))="km"),INDEX('Rules'!$B$7:$B$26,MATCH(SUBSTITUTE(SUBSTITUTE(SUBSTITUTE(SUBSTITUTE("type:"&amp;B1325,"%","%25"),"~","%7E"),"*","%2A"),"?","%3F"),'Rules'!$G$7:$G$26,0)),""))</x:f>
      </x:c>
      <x:c r="I1325" s="6" t="str">
        <x:f>IF(AND(NOT(COUNTA(A1325:F1325)=0),K1325=""),ROUND(J1325-D1325,3),"")</x:f>
      </x:c>
      <x:c r="J1325" s="6" t="str">
        <x:f>IF(AND(NOT(COUNTA(A1325:F1325)=0),K1325=""),ROUND(F1325+L1325,3),"")</x:f>
      </x:c>
      <x:c r="K1325" s="5" t="str">
        <x:f>IF(COUNTA(A1325:F1325)=0,"",IF(A1325="","Missing equipment ID",IF(COUNTIFS($N$8:$N$2007,"="&amp;N1325)&gt;1,"Duplicate equipment ID",IF(B1325="","Missing type",IF(COUNTIFS('Rules'!$G$7:$G$26,"="&amp;(SUBSTITUTE(SUBSTITUTE(SUBSTITUTE(SUBSTITUTE("type:"&amp;B1325,"%","%25"),"~","%7E"),"*","%2A"),"?","%3F")))=0,"Unknown type",IF(COUNTIFS('Rules'!$G$7:$G$26,"="&amp;(SUBSTITUTE(SUBSTITUTE(SUBSTITUTE(SUBSTITUTE("type:"&amp;B1325,"%","%25"),"~","%7E"),"*","%2A"),"?","%3F")))&gt;1,"Duplicate type",IF(INDEX('Rules'!$F$7:$F$26,MATCH(SUBSTITUTE(SUBSTITUTE(SUBSTITUTE(SUBSTITUTE("type:"&amp;B1325,"%","%25"),"~","%7E"),"*","%2A"),"?","%3F"),'Rules'!$G$7:$G$26,0))&lt;&gt;"",INDEX('Rules'!$F$7:$F$26,MATCH(SUBSTITUTE(SUBSTITUTE(SUBSTITUTE(SUBSTITUTE("type:"&amp;B1325,"%","%25"),"~","%7E"),"*","%2A"),"?","%3F"),'Rules'!$G$7:$G$26,0)),IF(AND(C1325&lt;&gt;"",C1325&lt;&gt;INDEX('Rules'!$B$7:$B$26,MATCH(SUBSTITUTE(SUBSTITUTE(SUBSTITUTE(SUBSTITUTE("type:"&amp;B1325,"%","%25"),"~","%7E"),"*","%2A"),"?","%3F"),'Rules'!$G$7:$G$26,0))),"Unit mismatch",IF(IF(NOT(ISNUMBER(D1325)),TRUE,OR(D1325&lt;0,D1325&gt;999999999,ROUND(D1325,3)&lt;&gt;D1325)),"Invalid current reading",IF(AND(E1325&lt;&gt;"",IF(NOT(ISNUMBER(E1325)),TRUE,OR(E1325&lt;0,E1325&gt;999999999,ROUND(E1325,3)&lt;&gt;E1325))),"Invalid previous reading",IF(IF(NOT(ISNUMBER(F1325)),TRUE,OR(F1325&lt;0,F1325&gt;999999999,ROUND(F1325,3)&lt;&gt;F1325)),"Invalid last service",IF(AND(E1325&lt;&gt;"",D1325&lt;E1325),"Decreased reading",IF(F1325&gt;D1325,"Last service above current","")))))))))))))</x:f>
      </x:c>
      <x:c r="L1325" s="6" t="str">
        <x:f>IF(AND(NOT(COUNTA(A1325:F1325)=0),K1325=""),INDEX('Rules'!$C$7:$C$26,MATCH(SUBSTITUTE(SUBSTITUTE(SUBSTITUTE(SUBSTITUTE("type:"&amp;B1325,"%","%25"),"~","%7E"),"*","%2A"),"?","%3F"),'Rules'!$G$7:$G$26,0)),"")</x:f>
      </x:c>
      <x:c r="M1325" s="6" t="str">
        <x:f>IF(AND(NOT(COUNTA(A1325:F1325)=0),K1325=""),INDEX('Rules'!$D$7:$D$26,MATCH(SUBSTITUTE(SUBSTITUTE(SUBSTITUTE(SUBSTITUTE("type:"&amp;B1325,"%","%25"),"~","%7E"),"*","%2A"),"?","%3F"),'Rules'!$G$7:$G$26,0)),"")</x:f>
      </x:c>
      <x:c r="N1325" s="5" t="str">
        <x:f>IF(COUNTA(A1325:F1325)=0,"",SUBSTITUTE(SUBSTITUTE(SUBSTITUTE(SUBSTITUTE("id:"&amp;A1325,"%","%25"),"~","%7E"),"*","%2A"),"?","%3F"))</x:f>
      </x:c>
    </x:row>
    <x:row r="1326" ht="22" customHeight="1">
      <x:c r="A1326" s="3"/>
      <x:c r="B1326" s="3"/>
      <x:c r="C1326" s="3"/>
      <x:c r="D1326" s="4"/>
      <x:c r="E1326" s="4"/>
      <x:c r="F1326" s="4"/>
      <x:c r="G1326" s="5" t="str">
        <x:f>IF(COUNTA(A1326:F1326)=0,"",IF(K1326&lt;&gt;"","Review",IF(I1326&lt;0,"Overdue",IF(I1326=0,"Due now",IF(I1326&lt;=M1326,"Due soon","Not due")))))</x:f>
      </x:c>
      <x:c r="H1326" s="5" t="str">
        <x:f>IF(OR(COUNTA(A1326:F1326)=0,COUNTIFS('Rules'!$G$7:$G$26,"="&amp;(SUBSTITUTE(SUBSTITUTE(SUBSTITUTE(SUBSTITUTE("type:"&amp;B1326,"%","%25"),"~","%7E"),"*","%2A"),"?","%3F")))&lt;&gt;1),"",IF(OR(INDEX('Rules'!$B$7:$B$26,MATCH(SUBSTITUTE(SUBSTITUTE(SUBSTITUTE(SUBSTITUTE("type:"&amp;B1326,"%","%25"),"~","%7E"),"*","%2A"),"?","%3F"),'Rules'!$G$7:$G$26,0))="hours",INDEX('Rules'!$B$7:$B$26,MATCH(SUBSTITUTE(SUBSTITUTE(SUBSTITUTE(SUBSTITUTE("type:"&amp;B1326,"%","%25"),"~","%7E"),"*","%2A"),"?","%3F"),'Rules'!$G$7:$G$26,0))="km"),INDEX('Rules'!$B$7:$B$26,MATCH(SUBSTITUTE(SUBSTITUTE(SUBSTITUTE(SUBSTITUTE("type:"&amp;B1326,"%","%25"),"~","%7E"),"*","%2A"),"?","%3F"),'Rules'!$G$7:$G$26,0)),""))</x:f>
      </x:c>
      <x:c r="I1326" s="6" t="str">
        <x:f>IF(AND(NOT(COUNTA(A1326:F1326)=0),K1326=""),ROUND(J1326-D1326,3),"")</x:f>
      </x:c>
      <x:c r="J1326" s="6" t="str">
        <x:f>IF(AND(NOT(COUNTA(A1326:F1326)=0),K1326=""),ROUND(F1326+L1326,3),"")</x:f>
      </x:c>
      <x:c r="K1326" s="5" t="str">
        <x:f>IF(COUNTA(A1326:F1326)=0,"",IF(A1326="","Missing equipment ID",IF(COUNTIFS($N$8:$N$2007,"="&amp;N1326)&gt;1,"Duplicate equipment ID",IF(B1326="","Missing type",IF(COUNTIFS('Rules'!$G$7:$G$26,"="&amp;(SUBSTITUTE(SUBSTITUTE(SUBSTITUTE(SUBSTITUTE("type:"&amp;B1326,"%","%25"),"~","%7E"),"*","%2A"),"?","%3F")))=0,"Unknown type",IF(COUNTIFS('Rules'!$G$7:$G$26,"="&amp;(SUBSTITUTE(SUBSTITUTE(SUBSTITUTE(SUBSTITUTE("type:"&amp;B1326,"%","%25"),"~","%7E"),"*","%2A"),"?","%3F")))&gt;1,"Duplicate type",IF(INDEX('Rules'!$F$7:$F$26,MATCH(SUBSTITUTE(SUBSTITUTE(SUBSTITUTE(SUBSTITUTE("type:"&amp;B1326,"%","%25"),"~","%7E"),"*","%2A"),"?","%3F"),'Rules'!$G$7:$G$26,0))&lt;&gt;"",INDEX('Rules'!$F$7:$F$26,MATCH(SUBSTITUTE(SUBSTITUTE(SUBSTITUTE(SUBSTITUTE("type:"&amp;B1326,"%","%25"),"~","%7E"),"*","%2A"),"?","%3F"),'Rules'!$G$7:$G$26,0)),IF(AND(C1326&lt;&gt;"",C1326&lt;&gt;INDEX('Rules'!$B$7:$B$26,MATCH(SUBSTITUTE(SUBSTITUTE(SUBSTITUTE(SUBSTITUTE("type:"&amp;B1326,"%","%25"),"~","%7E"),"*","%2A"),"?","%3F"),'Rules'!$G$7:$G$26,0))),"Unit mismatch",IF(IF(NOT(ISNUMBER(D1326)),TRUE,OR(D1326&lt;0,D1326&gt;999999999,ROUND(D1326,3)&lt;&gt;D1326)),"Invalid current reading",IF(AND(E1326&lt;&gt;"",IF(NOT(ISNUMBER(E1326)),TRUE,OR(E1326&lt;0,E1326&gt;999999999,ROUND(E1326,3)&lt;&gt;E1326))),"Invalid previous reading",IF(IF(NOT(ISNUMBER(F1326)),TRUE,OR(F1326&lt;0,F1326&gt;999999999,ROUND(F1326,3)&lt;&gt;F1326)),"Invalid last service",IF(AND(E1326&lt;&gt;"",D1326&lt;E1326),"Decreased reading",IF(F1326&gt;D1326,"Last service above current","")))))))))))))</x:f>
      </x:c>
      <x:c r="L1326" s="6" t="str">
        <x:f>IF(AND(NOT(COUNTA(A1326:F1326)=0),K1326=""),INDEX('Rules'!$C$7:$C$26,MATCH(SUBSTITUTE(SUBSTITUTE(SUBSTITUTE(SUBSTITUTE("type:"&amp;B1326,"%","%25"),"~","%7E"),"*","%2A"),"?","%3F"),'Rules'!$G$7:$G$26,0)),"")</x:f>
      </x:c>
      <x:c r="M1326" s="6" t="str">
        <x:f>IF(AND(NOT(COUNTA(A1326:F1326)=0),K1326=""),INDEX('Rules'!$D$7:$D$26,MATCH(SUBSTITUTE(SUBSTITUTE(SUBSTITUTE(SUBSTITUTE("type:"&amp;B1326,"%","%25"),"~","%7E"),"*","%2A"),"?","%3F"),'Rules'!$G$7:$G$26,0)),"")</x:f>
      </x:c>
      <x:c r="N1326" s="5" t="str">
        <x:f>IF(COUNTA(A1326:F1326)=0,"",SUBSTITUTE(SUBSTITUTE(SUBSTITUTE(SUBSTITUTE("id:"&amp;A1326,"%","%25"),"~","%7E"),"*","%2A"),"?","%3F"))</x:f>
      </x:c>
    </x:row>
    <x:row r="1327" ht="22" customHeight="1">
      <x:c r="A1327" s="3"/>
      <x:c r="B1327" s="3"/>
      <x:c r="C1327" s="3"/>
      <x:c r="D1327" s="4"/>
      <x:c r="E1327" s="4"/>
      <x:c r="F1327" s="4"/>
      <x:c r="G1327" s="5" t="str">
        <x:f>IF(COUNTA(A1327:F1327)=0,"",IF(K1327&lt;&gt;"","Review",IF(I1327&lt;0,"Overdue",IF(I1327=0,"Due now",IF(I1327&lt;=M1327,"Due soon","Not due")))))</x:f>
      </x:c>
      <x:c r="H1327" s="5" t="str">
        <x:f>IF(OR(COUNTA(A1327:F1327)=0,COUNTIFS('Rules'!$G$7:$G$26,"="&amp;(SUBSTITUTE(SUBSTITUTE(SUBSTITUTE(SUBSTITUTE("type:"&amp;B1327,"%","%25"),"~","%7E"),"*","%2A"),"?","%3F")))&lt;&gt;1),"",IF(OR(INDEX('Rules'!$B$7:$B$26,MATCH(SUBSTITUTE(SUBSTITUTE(SUBSTITUTE(SUBSTITUTE("type:"&amp;B1327,"%","%25"),"~","%7E"),"*","%2A"),"?","%3F"),'Rules'!$G$7:$G$26,0))="hours",INDEX('Rules'!$B$7:$B$26,MATCH(SUBSTITUTE(SUBSTITUTE(SUBSTITUTE(SUBSTITUTE("type:"&amp;B1327,"%","%25"),"~","%7E"),"*","%2A"),"?","%3F"),'Rules'!$G$7:$G$26,0))="km"),INDEX('Rules'!$B$7:$B$26,MATCH(SUBSTITUTE(SUBSTITUTE(SUBSTITUTE(SUBSTITUTE("type:"&amp;B1327,"%","%25"),"~","%7E"),"*","%2A"),"?","%3F"),'Rules'!$G$7:$G$26,0)),""))</x:f>
      </x:c>
      <x:c r="I1327" s="6" t="str">
        <x:f>IF(AND(NOT(COUNTA(A1327:F1327)=0),K1327=""),ROUND(J1327-D1327,3),"")</x:f>
      </x:c>
      <x:c r="J1327" s="6" t="str">
        <x:f>IF(AND(NOT(COUNTA(A1327:F1327)=0),K1327=""),ROUND(F1327+L1327,3),"")</x:f>
      </x:c>
      <x:c r="K1327" s="5" t="str">
        <x:f>IF(COUNTA(A1327:F1327)=0,"",IF(A1327="","Missing equipment ID",IF(COUNTIFS($N$8:$N$2007,"="&amp;N1327)&gt;1,"Duplicate equipment ID",IF(B1327="","Missing type",IF(COUNTIFS('Rules'!$G$7:$G$26,"="&amp;(SUBSTITUTE(SUBSTITUTE(SUBSTITUTE(SUBSTITUTE("type:"&amp;B1327,"%","%25"),"~","%7E"),"*","%2A"),"?","%3F")))=0,"Unknown type",IF(COUNTIFS('Rules'!$G$7:$G$26,"="&amp;(SUBSTITUTE(SUBSTITUTE(SUBSTITUTE(SUBSTITUTE("type:"&amp;B1327,"%","%25"),"~","%7E"),"*","%2A"),"?","%3F")))&gt;1,"Duplicate type",IF(INDEX('Rules'!$F$7:$F$26,MATCH(SUBSTITUTE(SUBSTITUTE(SUBSTITUTE(SUBSTITUTE("type:"&amp;B1327,"%","%25"),"~","%7E"),"*","%2A"),"?","%3F"),'Rules'!$G$7:$G$26,0))&lt;&gt;"",INDEX('Rules'!$F$7:$F$26,MATCH(SUBSTITUTE(SUBSTITUTE(SUBSTITUTE(SUBSTITUTE("type:"&amp;B1327,"%","%25"),"~","%7E"),"*","%2A"),"?","%3F"),'Rules'!$G$7:$G$26,0)),IF(AND(C1327&lt;&gt;"",C1327&lt;&gt;INDEX('Rules'!$B$7:$B$26,MATCH(SUBSTITUTE(SUBSTITUTE(SUBSTITUTE(SUBSTITUTE("type:"&amp;B1327,"%","%25"),"~","%7E"),"*","%2A"),"?","%3F"),'Rules'!$G$7:$G$26,0))),"Unit mismatch",IF(IF(NOT(ISNUMBER(D1327)),TRUE,OR(D1327&lt;0,D1327&gt;999999999,ROUND(D1327,3)&lt;&gt;D1327)),"Invalid current reading",IF(AND(E1327&lt;&gt;"",IF(NOT(ISNUMBER(E1327)),TRUE,OR(E1327&lt;0,E1327&gt;999999999,ROUND(E1327,3)&lt;&gt;E1327))),"Invalid previous reading",IF(IF(NOT(ISNUMBER(F1327)),TRUE,OR(F1327&lt;0,F1327&gt;999999999,ROUND(F1327,3)&lt;&gt;F1327)),"Invalid last service",IF(AND(E1327&lt;&gt;"",D1327&lt;E1327),"Decreased reading",IF(F1327&gt;D1327,"Last service above current","")))))))))))))</x:f>
      </x:c>
      <x:c r="L1327" s="6" t="str">
        <x:f>IF(AND(NOT(COUNTA(A1327:F1327)=0),K1327=""),INDEX('Rules'!$C$7:$C$26,MATCH(SUBSTITUTE(SUBSTITUTE(SUBSTITUTE(SUBSTITUTE("type:"&amp;B1327,"%","%25"),"~","%7E"),"*","%2A"),"?","%3F"),'Rules'!$G$7:$G$26,0)),"")</x:f>
      </x:c>
      <x:c r="M1327" s="6" t="str">
        <x:f>IF(AND(NOT(COUNTA(A1327:F1327)=0),K1327=""),INDEX('Rules'!$D$7:$D$26,MATCH(SUBSTITUTE(SUBSTITUTE(SUBSTITUTE(SUBSTITUTE("type:"&amp;B1327,"%","%25"),"~","%7E"),"*","%2A"),"?","%3F"),'Rules'!$G$7:$G$26,0)),"")</x:f>
      </x:c>
      <x:c r="N1327" s="5" t="str">
        <x:f>IF(COUNTA(A1327:F1327)=0,"",SUBSTITUTE(SUBSTITUTE(SUBSTITUTE(SUBSTITUTE("id:"&amp;A1327,"%","%25"),"~","%7E"),"*","%2A"),"?","%3F"))</x:f>
      </x:c>
    </x:row>
    <x:row r="1328" ht="22" customHeight="1">
      <x:c r="A1328" s="3"/>
      <x:c r="B1328" s="3"/>
      <x:c r="C1328" s="3"/>
      <x:c r="D1328" s="4"/>
      <x:c r="E1328" s="4"/>
      <x:c r="F1328" s="4"/>
      <x:c r="G1328" s="5" t="str">
        <x:f>IF(COUNTA(A1328:F1328)=0,"",IF(K1328&lt;&gt;"","Review",IF(I1328&lt;0,"Overdue",IF(I1328=0,"Due now",IF(I1328&lt;=M1328,"Due soon","Not due")))))</x:f>
      </x:c>
      <x:c r="H1328" s="5" t="str">
        <x:f>IF(OR(COUNTA(A1328:F1328)=0,COUNTIFS('Rules'!$G$7:$G$26,"="&amp;(SUBSTITUTE(SUBSTITUTE(SUBSTITUTE(SUBSTITUTE("type:"&amp;B1328,"%","%25"),"~","%7E"),"*","%2A"),"?","%3F")))&lt;&gt;1),"",IF(OR(INDEX('Rules'!$B$7:$B$26,MATCH(SUBSTITUTE(SUBSTITUTE(SUBSTITUTE(SUBSTITUTE("type:"&amp;B1328,"%","%25"),"~","%7E"),"*","%2A"),"?","%3F"),'Rules'!$G$7:$G$26,0))="hours",INDEX('Rules'!$B$7:$B$26,MATCH(SUBSTITUTE(SUBSTITUTE(SUBSTITUTE(SUBSTITUTE("type:"&amp;B1328,"%","%25"),"~","%7E"),"*","%2A"),"?","%3F"),'Rules'!$G$7:$G$26,0))="km"),INDEX('Rules'!$B$7:$B$26,MATCH(SUBSTITUTE(SUBSTITUTE(SUBSTITUTE(SUBSTITUTE("type:"&amp;B1328,"%","%25"),"~","%7E"),"*","%2A"),"?","%3F"),'Rules'!$G$7:$G$26,0)),""))</x:f>
      </x:c>
      <x:c r="I1328" s="6" t="str">
        <x:f>IF(AND(NOT(COUNTA(A1328:F1328)=0),K1328=""),ROUND(J1328-D1328,3),"")</x:f>
      </x:c>
      <x:c r="J1328" s="6" t="str">
        <x:f>IF(AND(NOT(COUNTA(A1328:F1328)=0),K1328=""),ROUND(F1328+L1328,3),"")</x:f>
      </x:c>
      <x:c r="K1328" s="5" t="str">
        <x:f>IF(COUNTA(A1328:F1328)=0,"",IF(A1328="","Missing equipment ID",IF(COUNTIFS($N$8:$N$2007,"="&amp;N1328)&gt;1,"Duplicate equipment ID",IF(B1328="","Missing type",IF(COUNTIFS('Rules'!$G$7:$G$26,"="&amp;(SUBSTITUTE(SUBSTITUTE(SUBSTITUTE(SUBSTITUTE("type:"&amp;B1328,"%","%25"),"~","%7E"),"*","%2A"),"?","%3F")))=0,"Unknown type",IF(COUNTIFS('Rules'!$G$7:$G$26,"="&amp;(SUBSTITUTE(SUBSTITUTE(SUBSTITUTE(SUBSTITUTE("type:"&amp;B1328,"%","%25"),"~","%7E"),"*","%2A"),"?","%3F")))&gt;1,"Duplicate type",IF(INDEX('Rules'!$F$7:$F$26,MATCH(SUBSTITUTE(SUBSTITUTE(SUBSTITUTE(SUBSTITUTE("type:"&amp;B1328,"%","%25"),"~","%7E"),"*","%2A"),"?","%3F"),'Rules'!$G$7:$G$26,0))&lt;&gt;"",INDEX('Rules'!$F$7:$F$26,MATCH(SUBSTITUTE(SUBSTITUTE(SUBSTITUTE(SUBSTITUTE("type:"&amp;B1328,"%","%25"),"~","%7E"),"*","%2A"),"?","%3F"),'Rules'!$G$7:$G$26,0)),IF(AND(C1328&lt;&gt;"",C1328&lt;&gt;INDEX('Rules'!$B$7:$B$26,MATCH(SUBSTITUTE(SUBSTITUTE(SUBSTITUTE(SUBSTITUTE("type:"&amp;B1328,"%","%25"),"~","%7E"),"*","%2A"),"?","%3F"),'Rules'!$G$7:$G$26,0))),"Unit mismatch",IF(IF(NOT(ISNUMBER(D1328)),TRUE,OR(D1328&lt;0,D1328&gt;999999999,ROUND(D1328,3)&lt;&gt;D1328)),"Invalid current reading",IF(AND(E1328&lt;&gt;"",IF(NOT(ISNUMBER(E1328)),TRUE,OR(E1328&lt;0,E1328&gt;999999999,ROUND(E1328,3)&lt;&gt;E1328))),"Invalid previous reading",IF(IF(NOT(ISNUMBER(F1328)),TRUE,OR(F1328&lt;0,F1328&gt;999999999,ROUND(F1328,3)&lt;&gt;F1328)),"Invalid last service",IF(AND(E1328&lt;&gt;"",D1328&lt;E1328),"Decreased reading",IF(F1328&gt;D1328,"Last service above current","")))))))))))))</x:f>
      </x:c>
      <x:c r="L1328" s="6" t="str">
        <x:f>IF(AND(NOT(COUNTA(A1328:F1328)=0),K1328=""),INDEX('Rules'!$C$7:$C$26,MATCH(SUBSTITUTE(SUBSTITUTE(SUBSTITUTE(SUBSTITUTE("type:"&amp;B1328,"%","%25"),"~","%7E"),"*","%2A"),"?","%3F"),'Rules'!$G$7:$G$26,0)),"")</x:f>
      </x:c>
      <x:c r="M1328" s="6" t="str">
        <x:f>IF(AND(NOT(COUNTA(A1328:F1328)=0),K1328=""),INDEX('Rules'!$D$7:$D$26,MATCH(SUBSTITUTE(SUBSTITUTE(SUBSTITUTE(SUBSTITUTE("type:"&amp;B1328,"%","%25"),"~","%7E"),"*","%2A"),"?","%3F"),'Rules'!$G$7:$G$26,0)),"")</x:f>
      </x:c>
      <x:c r="N1328" s="5" t="str">
        <x:f>IF(COUNTA(A1328:F1328)=0,"",SUBSTITUTE(SUBSTITUTE(SUBSTITUTE(SUBSTITUTE("id:"&amp;A1328,"%","%25"),"~","%7E"),"*","%2A"),"?","%3F"))</x:f>
      </x:c>
    </x:row>
    <x:row r="1329" ht="22" customHeight="1">
      <x:c r="A1329" s="3"/>
      <x:c r="B1329" s="3"/>
      <x:c r="C1329" s="3"/>
      <x:c r="D1329" s="4"/>
      <x:c r="E1329" s="4"/>
      <x:c r="F1329" s="4"/>
      <x:c r="G1329" s="5" t="str">
        <x:f>IF(COUNTA(A1329:F1329)=0,"",IF(K1329&lt;&gt;"","Review",IF(I1329&lt;0,"Overdue",IF(I1329=0,"Due now",IF(I1329&lt;=M1329,"Due soon","Not due")))))</x:f>
      </x:c>
      <x:c r="H1329" s="5" t="str">
        <x:f>IF(OR(COUNTA(A1329:F1329)=0,COUNTIFS('Rules'!$G$7:$G$26,"="&amp;(SUBSTITUTE(SUBSTITUTE(SUBSTITUTE(SUBSTITUTE("type:"&amp;B1329,"%","%25"),"~","%7E"),"*","%2A"),"?","%3F")))&lt;&gt;1),"",IF(OR(INDEX('Rules'!$B$7:$B$26,MATCH(SUBSTITUTE(SUBSTITUTE(SUBSTITUTE(SUBSTITUTE("type:"&amp;B1329,"%","%25"),"~","%7E"),"*","%2A"),"?","%3F"),'Rules'!$G$7:$G$26,0))="hours",INDEX('Rules'!$B$7:$B$26,MATCH(SUBSTITUTE(SUBSTITUTE(SUBSTITUTE(SUBSTITUTE("type:"&amp;B1329,"%","%25"),"~","%7E"),"*","%2A"),"?","%3F"),'Rules'!$G$7:$G$26,0))="km"),INDEX('Rules'!$B$7:$B$26,MATCH(SUBSTITUTE(SUBSTITUTE(SUBSTITUTE(SUBSTITUTE("type:"&amp;B1329,"%","%25"),"~","%7E"),"*","%2A"),"?","%3F"),'Rules'!$G$7:$G$26,0)),""))</x:f>
      </x:c>
      <x:c r="I1329" s="6" t="str">
        <x:f>IF(AND(NOT(COUNTA(A1329:F1329)=0),K1329=""),ROUND(J1329-D1329,3),"")</x:f>
      </x:c>
      <x:c r="J1329" s="6" t="str">
        <x:f>IF(AND(NOT(COUNTA(A1329:F1329)=0),K1329=""),ROUND(F1329+L1329,3),"")</x:f>
      </x:c>
      <x:c r="K1329" s="5" t="str">
        <x:f>IF(COUNTA(A1329:F1329)=0,"",IF(A1329="","Missing equipment ID",IF(COUNTIFS($N$8:$N$2007,"="&amp;N1329)&gt;1,"Duplicate equipment ID",IF(B1329="","Missing type",IF(COUNTIFS('Rules'!$G$7:$G$26,"="&amp;(SUBSTITUTE(SUBSTITUTE(SUBSTITUTE(SUBSTITUTE("type:"&amp;B1329,"%","%25"),"~","%7E"),"*","%2A"),"?","%3F")))=0,"Unknown type",IF(COUNTIFS('Rules'!$G$7:$G$26,"="&amp;(SUBSTITUTE(SUBSTITUTE(SUBSTITUTE(SUBSTITUTE("type:"&amp;B1329,"%","%25"),"~","%7E"),"*","%2A"),"?","%3F")))&gt;1,"Duplicate type",IF(INDEX('Rules'!$F$7:$F$26,MATCH(SUBSTITUTE(SUBSTITUTE(SUBSTITUTE(SUBSTITUTE("type:"&amp;B1329,"%","%25"),"~","%7E"),"*","%2A"),"?","%3F"),'Rules'!$G$7:$G$26,0))&lt;&gt;"",INDEX('Rules'!$F$7:$F$26,MATCH(SUBSTITUTE(SUBSTITUTE(SUBSTITUTE(SUBSTITUTE("type:"&amp;B1329,"%","%25"),"~","%7E"),"*","%2A"),"?","%3F"),'Rules'!$G$7:$G$26,0)),IF(AND(C1329&lt;&gt;"",C1329&lt;&gt;INDEX('Rules'!$B$7:$B$26,MATCH(SUBSTITUTE(SUBSTITUTE(SUBSTITUTE(SUBSTITUTE("type:"&amp;B1329,"%","%25"),"~","%7E"),"*","%2A"),"?","%3F"),'Rules'!$G$7:$G$26,0))),"Unit mismatch",IF(IF(NOT(ISNUMBER(D1329)),TRUE,OR(D1329&lt;0,D1329&gt;999999999,ROUND(D1329,3)&lt;&gt;D1329)),"Invalid current reading",IF(AND(E1329&lt;&gt;"",IF(NOT(ISNUMBER(E1329)),TRUE,OR(E1329&lt;0,E1329&gt;999999999,ROUND(E1329,3)&lt;&gt;E1329))),"Invalid previous reading",IF(IF(NOT(ISNUMBER(F1329)),TRUE,OR(F1329&lt;0,F1329&gt;999999999,ROUND(F1329,3)&lt;&gt;F1329)),"Invalid last service",IF(AND(E1329&lt;&gt;"",D1329&lt;E1329),"Decreased reading",IF(F1329&gt;D1329,"Last service above current","")))))))))))))</x:f>
      </x:c>
      <x:c r="L1329" s="6" t="str">
        <x:f>IF(AND(NOT(COUNTA(A1329:F1329)=0),K1329=""),INDEX('Rules'!$C$7:$C$26,MATCH(SUBSTITUTE(SUBSTITUTE(SUBSTITUTE(SUBSTITUTE("type:"&amp;B1329,"%","%25"),"~","%7E"),"*","%2A"),"?","%3F"),'Rules'!$G$7:$G$26,0)),"")</x:f>
      </x:c>
      <x:c r="M1329" s="6" t="str">
        <x:f>IF(AND(NOT(COUNTA(A1329:F1329)=0),K1329=""),INDEX('Rules'!$D$7:$D$26,MATCH(SUBSTITUTE(SUBSTITUTE(SUBSTITUTE(SUBSTITUTE("type:"&amp;B1329,"%","%25"),"~","%7E"),"*","%2A"),"?","%3F"),'Rules'!$G$7:$G$26,0)),"")</x:f>
      </x:c>
      <x:c r="N1329" s="5" t="str">
        <x:f>IF(COUNTA(A1329:F1329)=0,"",SUBSTITUTE(SUBSTITUTE(SUBSTITUTE(SUBSTITUTE("id:"&amp;A1329,"%","%25"),"~","%7E"),"*","%2A"),"?","%3F"))</x:f>
      </x:c>
    </x:row>
    <x:row r="1330" ht="22" customHeight="1">
      <x:c r="A1330" s="3"/>
      <x:c r="B1330" s="3"/>
      <x:c r="C1330" s="3"/>
      <x:c r="D1330" s="4"/>
      <x:c r="E1330" s="4"/>
      <x:c r="F1330" s="4"/>
      <x:c r="G1330" s="5" t="str">
        <x:f>IF(COUNTA(A1330:F1330)=0,"",IF(K1330&lt;&gt;"","Review",IF(I1330&lt;0,"Overdue",IF(I1330=0,"Due now",IF(I1330&lt;=M1330,"Due soon","Not due")))))</x:f>
      </x:c>
      <x:c r="H1330" s="5" t="str">
        <x:f>IF(OR(COUNTA(A1330:F1330)=0,COUNTIFS('Rules'!$G$7:$G$26,"="&amp;(SUBSTITUTE(SUBSTITUTE(SUBSTITUTE(SUBSTITUTE("type:"&amp;B1330,"%","%25"),"~","%7E"),"*","%2A"),"?","%3F")))&lt;&gt;1),"",IF(OR(INDEX('Rules'!$B$7:$B$26,MATCH(SUBSTITUTE(SUBSTITUTE(SUBSTITUTE(SUBSTITUTE("type:"&amp;B1330,"%","%25"),"~","%7E"),"*","%2A"),"?","%3F"),'Rules'!$G$7:$G$26,0))="hours",INDEX('Rules'!$B$7:$B$26,MATCH(SUBSTITUTE(SUBSTITUTE(SUBSTITUTE(SUBSTITUTE("type:"&amp;B1330,"%","%25"),"~","%7E"),"*","%2A"),"?","%3F"),'Rules'!$G$7:$G$26,0))="km"),INDEX('Rules'!$B$7:$B$26,MATCH(SUBSTITUTE(SUBSTITUTE(SUBSTITUTE(SUBSTITUTE("type:"&amp;B1330,"%","%25"),"~","%7E"),"*","%2A"),"?","%3F"),'Rules'!$G$7:$G$26,0)),""))</x:f>
      </x:c>
      <x:c r="I1330" s="6" t="str">
        <x:f>IF(AND(NOT(COUNTA(A1330:F1330)=0),K1330=""),ROUND(J1330-D1330,3),"")</x:f>
      </x:c>
      <x:c r="J1330" s="6" t="str">
        <x:f>IF(AND(NOT(COUNTA(A1330:F1330)=0),K1330=""),ROUND(F1330+L1330,3),"")</x:f>
      </x:c>
      <x:c r="K1330" s="5" t="str">
        <x:f>IF(COUNTA(A1330:F1330)=0,"",IF(A1330="","Missing equipment ID",IF(COUNTIFS($N$8:$N$2007,"="&amp;N1330)&gt;1,"Duplicate equipment ID",IF(B1330="","Missing type",IF(COUNTIFS('Rules'!$G$7:$G$26,"="&amp;(SUBSTITUTE(SUBSTITUTE(SUBSTITUTE(SUBSTITUTE("type:"&amp;B1330,"%","%25"),"~","%7E"),"*","%2A"),"?","%3F")))=0,"Unknown type",IF(COUNTIFS('Rules'!$G$7:$G$26,"="&amp;(SUBSTITUTE(SUBSTITUTE(SUBSTITUTE(SUBSTITUTE("type:"&amp;B1330,"%","%25"),"~","%7E"),"*","%2A"),"?","%3F")))&gt;1,"Duplicate type",IF(INDEX('Rules'!$F$7:$F$26,MATCH(SUBSTITUTE(SUBSTITUTE(SUBSTITUTE(SUBSTITUTE("type:"&amp;B1330,"%","%25"),"~","%7E"),"*","%2A"),"?","%3F"),'Rules'!$G$7:$G$26,0))&lt;&gt;"",INDEX('Rules'!$F$7:$F$26,MATCH(SUBSTITUTE(SUBSTITUTE(SUBSTITUTE(SUBSTITUTE("type:"&amp;B1330,"%","%25"),"~","%7E"),"*","%2A"),"?","%3F"),'Rules'!$G$7:$G$26,0)),IF(AND(C1330&lt;&gt;"",C1330&lt;&gt;INDEX('Rules'!$B$7:$B$26,MATCH(SUBSTITUTE(SUBSTITUTE(SUBSTITUTE(SUBSTITUTE("type:"&amp;B1330,"%","%25"),"~","%7E"),"*","%2A"),"?","%3F"),'Rules'!$G$7:$G$26,0))),"Unit mismatch",IF(IF(NOT(ISNUMBER(D1330)),TRUE,OR(D1330&lt;0,D1330&gt;999999999,ROUND(D1330,3)&lt;&gt;D1330)),"Invalid current reading",IF(AND(E1330&lt;&gt;"",IF(NOT(ISNUMBER(E1330)),TRUE,OR(E1330&lt;0,E1330&gt;999999999,ROUND(E1330,3)&lt;&gt;E1330))),"Invalid previous reading",IF(IF(NOT(ISNUMBER(F1330)),TRUE,OR(F1330&lt;0,F1330&gt;999999999,ROUND(F1330,3)&lt;&gt;F1330)),"Invalid last service",IF(AND(E1330&lt;&gt;"",D1330&lt;E1330),"Decreased reading",IF(F1330&gt;D1330,"Last service above current","")))))))))))))</x:f>
      </x:c>
      <x:c r="L1330" s="6" t="str">
        <x:f>IF(AND(NOT(COUNTA(A1330:F1330)=0),K1330=""),INDEX('Rules'!$C$7:$C$26,MATCH(SUBSTITUTE(SUBSTITUTE(SUBSTITUTE(SUBSTITUTE("type:"&amp;B1330,"%","%25"),"~","%7E"),"*","%2A"),"?","%3F"),'Rules'!$G$7:$G$26,0)),"")</x:f>
      </x:c>
      <x:c r="M1330" s="6" t="str">
        <x:f>IF(AND(NOT(COUNTA(A1330:F1330)=0),K1330=""),INDEX('Rules'!$D$7:$D$26,MATCH(SUBSTITUTE(SUBSTITUTE(SUBSTITUTE(SUBSTITUTE("type:"&amp;B1330,"%","%25"),"~","%7E"),"*","%2A"),"?","%3F"),'Rules'!$G$7:$G$26,0)),"")</x:f>
      </x:c>
      <x:c r="N1330" s="5" t="str">
        <x:f>IF(COUNTA(A1330:F1330)=0,"",SUBSTITUTE(SUBSTITUTE(SUBSTITUTE(SUBSTITUTE("id:"&amp;A1330,"%","%25"),"~","%7E"),"*","%2A"),"?","%3F"))</x:f>
      </x:c>
    </x:row>
    <x:row r="1331" ht="22" customHeight="1">
      <x:c r="A1331" s="3"/>
      <x:c r="B1331" s="3"/>
      <x:c r="C1331" s="3"/>
      <x:c r="D1331" s="4"/>
      <x:c r="E1331" s="4"/>
      <x:c r="F1331" s="4"/>
      <x:c r="G1331" s="5" t="str">
        <x:f>IF(COUNTA(A1331:F1331)=0,"",IF(K1331&lt;&gt;"","Review",IF(I1331&lt;0,"Overdue",IF(I1331=0,"Due now",IF(I1331&lt;=M1331,"Due soon","Not due")))))</x:f>
      </x:c>
      <x:c r="H1331" s="5" t="str">
        <x:f>IF(OR(COUNTA(A1331:F1331)=0,COUNTIFS('Rules'!$G$7:$G$26,"="&amp;(SUBSTITUTE(SUBSTITUTE(SUBSTITUTE(SUBSTITUTE("type:"&amp;B1331,"%","%25"),"~","%7E"),"*","%2A"),"?","%3F")))&lt;&gt;1),"",IF(OR(INDEX('Rules'!$B$7:$B$26,MATCH(SUBSTITUTE(SUBSTITUTE(SUBSTITUTE(SUBSTITUTE("type:"&amp;B1331,"%","%25"),"~","%7E"),"*","%2A"),"?","%3F"),'Rules'!$G$7:$G$26,0))="hours",INDEX('Rules'!$B$7:$B$26,MATCH(SUBSTITUTE(SUBSTITUTE(SUBSTITUTE(SUBSTITUTE("type:"&amp;B1331,"%","%25"),"~","%7E"),"*","%2A"),"?","%3F"),'Rules'!$G$7:$G$26,0))="km"),INDEX('Rules'!$B$7:$B$26,MATCH(SUBSTITUTE(SUBSTITUTE(SUBSTITUTE(SUBSTITUTE("type:"&amp;B1331,"%","%25"),"~","%7E"),"*","%2A"),"?","%3F"),'Rules'!$G$7:$G$26,0)),""))</x:f>
      </x:c>
      <x:c r="I1331" s="6" t="str">
        <x:f>IF(AND(NOT(COUNTA(A1331:F1331)=0),K1331=""),ROUND(J1331-D1331,3),"")</x:f>
      </x:c>
      <x:c r="J1331" s="6" t="str">
        <x:f>IF(AND(NOT(COUNTA(A1331:F1331)=0),K1331=""),ROUND(F1331+L1331,3),"")</x:f>
      </x:c>
      <x:c r="K1331" s="5" t="str">
        <x:f>IF(COUNTA(A1331:F1331)=0,"",IF(A1331="","Missing equipment ID",IF(COUNTIFS($N$8:$N$2007,"="&amp;N1331)&gt;1,"Duplicate equipment ID",IF(B1331="","Missing type",IF(COUNTIFS('Rules'!$G$7:$G$26,"="&amp;(SUBSTITUTE(SUBSTITUTE(SUBSTITUTE(SUBSTITUTE("type:"&amp;B1331,"%","%25"),"~","%7E"),"*","%2A"),"?","%3F")))=0,"Unknown type",IF(COUNTIFS('Rules'!$G$7:$G$26,"="&amp;(SUBSTITUTE(SUBSTITUTE(SUBSTITUTE(SUBSTITUTE("type:"&amp;B1331,"%","%25"),"~","%7E"),"*","%2A"),"?","%3F")))&gt;1,"Duplicate type",IF(INDEX('Rules'!$F$7:$F$26,MATCH(SUBSTITUTE(SUBSTITUTE(SUBSTITUTE(SUBSTITUTE("type:"&amp;B1331,"%","%25"),"~","%7E"),"*","%2A"),"?","%3F"),'Rules'!$G$7:$G$26,0))&lt;&gt;"",INDEX('Rules'!$F$7:$F$26,MATCH(SUBSTITUTE(SUBSTITUTE(SUBSTITUTE(SUBSTITUTE("type:"&amp;B1331,"%","%25"),"~","%7E"),"*","%2A"),"?","%3F"),'Rules'!$G$7:$G$26,0)),IF(AND(C1331&lt;&gt;"",C1331&lt;&gt;INDEX('Rules'!$B$7:$B$26,MATCH(SUBSTITUTE(SUBSTITUTE(SUBSTITUTE(SUBSTITUTE("type:"&amp;B1331,"%","%25"),"~","%7E"),"*","%2A"),"?","%3F"),'Rules'!$G$7:$G$26,0))),"Unit mismatch",IF(IF(NOT(ISNUMBER(D1331)),TRUE,OR(D1331&lt;0,D1331&gt;999999999,ROUND(D1331,3)&lt;&gt;D1331)),"Invalid current reading",IF(AND(E1331&lt;&gt;"",IF(NOT(ISNUMBER(E1331)),TRUE,OR(E1331&lt;0,E1331&gt;999999999,ROUND(E1331,3)&lt;&gt;E1331))),"Invalid previous reading",IF(IF(NOT(ISNUMBER(F1331)),TRUE,OR(F1331&lt;0,F1331&gt;999999999,ROUND(F1331,3)&lt;&gt;F1331)),"Invalid last service",IF(AND(E1331&lt;&gt;"",D1331&lt;E1331),"Decreased reading",IF(F1331&gt;D1331,"Last service above current","")))))))))))))</x:f>
      </x:c>
      <x:c r="L1331" s="6" t="str">
        <x:f>IF(AND(NOT(COUNTA(A1331:F1331)=0),K1331=""),INDEX('Rules'!$C$7:$C$26,MATCH(SUBSTITUTE(SUBSTITUTE(SUBSTITUTE(SUBSTITUTE("type:"&amp;B1331,"%","%25"),"~","%7E"),"*","%2A"),"?","%3F"),'Rules'!$G$7:$G$26,0)),"")</x:f>
      </x:c>
      <x:c r="M1331" s="6" t="str">
        <x:f>IF(AND(NOT(COUNTA(A1331:F1331)=0),K1331=""),INDEX('Rules'!$D$7:$D$26,MATCH(SUBSTITUTE(SUBSTITUTE(SUBSTITUTE(SUBSTITUTE("type:"&amp;B1331,"%","%25"),"~","%7E"),"*","%2A"),"?","%3F"),'Rules'!$G$7:$G$26,0)),"")</x:f>
      </x:c>
      <x:c r="N1331" s="5" t="str">
        <x:f>IF(COUNTA(A1331:F1331)=0,"",SUBSTITUTE(SUBSTITUTE(SUBSTITUTE(SUBSTITUTE("id:"&amp;A1331,"%","%25"),"~","%7E"),"*","%2A"),"?","%3F"))</x:f>
      </x:c>
    </x:row>
    <x:row r="1332" ht="22" customHeight="1">
      <x:c r="A1332" s="3"/>
      <x:c r="B1332" s="3"/>
      <x:c r="C1332" s="3"/>
      <x:c r="D1332" s="4"/>
      <x:c r="E1332" s="4"/>
      <x:c r="F1332" s="4"/>
      <x:c r="G1332" s="5" t="str">
        <x:f>IF(COUNTA(A1332:F1332)=0,"",IF(K1332&lt;&gt;"","Review",IF(I1332&lt;0,"Overdue",IF(I1332=0,"Due now",IF(I1332&lt;=M1332,"Due soon","Not due")))))</x:f>
      </x:c>
      <x:c r="H1332" s="5" t="str">
        <x:f>IF(OR(COUNTA(A1332:F1332)=0,COUNTIFS('Rules'!$G$7:$G$26,"="&amp;(SUBSTITUTE(SUBSTITUTE(SUBSTITUTE(SUBSTITUTE("type:"&amp;B1332,"%","%25"),"~","%7E"),"*","%2A"),"?","%3F")))&lt;&gt;1),"",IF(OR(INDEX('Rules'!$B$7:$B$26,MATCH(SUBSTITUTE(SUBSTITUTE(SUBSTITUTE(SUBSTITUTE("type:"&amp;B1332,"%","%25"),"~","%7E"),"*","%2A"),"?","%3F"),'Rules'!$G$7:$G$26,0))="hours",INDEX('Rules'!$B$7:$B$26,MATCH(SUBSTITUTE(SUBSTITUTE(SUBSTITUTE(SUBSTITUTE("type:"&amp;B1332,"%","%25"),"~","%7E"),"*","%2A"),"?","%3F"),'Rules'!$G$7:$G$26,0))="km"),INDEX('Rules'!$B$7:$B$26,MATCH(SUBSTITUTE(SUBSTITUTE(SUBSTITUTE(SUBSTITUTE("type:"&amp;B1332,"%","%25"),"~","%7E"),"*","%2A"),"?","%3F"),'Rules'!$G$7:$G$26,0)),""))</x:f>
      </x:c>
      <x:c r="I1332" s="6" t="str">
        <x:f>IF(AND(NOT(COUNTA(A1332:F1332)=0),K1332=""),ROUND(J1332-D1332,3),"")</x:f>
      </x:c>
      <x:c r="J1332" s="6" t="str">
        <x:f>IF(AND(NOT(COUNTA(A1332:F1332)=0),K1332=""),ROUND(F1332+L1332,3),"")</x:f>
      </x:c>
      <x:c r="K1332" s="5" t="str">
        <x:f>IF(COUNTA(A1332:F1332)=0,"",IF(A1332="","Missing equipment ID",IF(COUNTIFS($N$8:$N$2007,"="&amp;N1332)&gt;1,"Duplicate equipment ID",IF(B1332="","Missing type",IF(COUNTIFS('Rules'!$G$7:$G$26,"="&amp;(SUBSTITUTE(SUBSTITUTE(SUBSTITUTE(SUBSTITUTE("type:"&amp;B1332,"%","%25"),"~","%7E"),"*","%2A"),"?","%3F")))=0,"Unknown type",IF(COUNTIFS('Rules'!$G$7:$G$26,"="&amp;(SUBSTITUTE(SUBSTITUTE(SUBSTITUTE(SUBSTITUTE("type:"&amp;B1332,"%","%25"),"~","%7E"),"*","%2A"),"?","%3F")))&gt;1,"Duplicate type",IF(INDEX('Rules'!$F$7:$F$26,MATCH(SUBSTITUTE(SUBSTITUTE(SUBSTITUTE(SUBSTITUTE("type:"&amp;B1332,"%","%25"),"~","%7E"),"*","%2A"),"?","%3F"),'Rules'!$G$7:$G$26,0))&lt;&gt;"",INDEX('Rules'!$F$7:$F$26,MATCH(SUBSTITUTE(SUBSTITUTE(SUBSTITUTE(SUBSTITUTE("type:"&amp;B1332,"%","%25"),"~","%7E"),"*","%2A"),"?","%3F"),'Rules'!$G$7:$G$26,0)),IF(AND(C1332&lt;&gt;"",C1332&lt;&gt;INDEX('Rules'!$B$7:$B$26,MATCH(SUBSTITUTE(SUBSTITUTE(SUBSTITUTE(SUBSTITUTE("type:"&amp;B1332,"%","%25"),"~","%7E"),"*","%2A"),"?","%3F"),'Rules'!$G$7:$G$26,0))),"Unit mismatch",IF(IF(NOT(ISNUMBER(D1332)),TRUE,OR(D1332&lt;0,D1332&gt;999999999,ROUND(D1332,3)&lt;&gt;D1332)),"Invalid current reading",IF(AND(E1332&lt;&gt;"",IF(NOT(ISNUMBER(E1332)),TRUE,OR(E1332&lt;0,E1332&gt;999999999,ROUND(E1332,3)&lt;&gt;E1332))),"Invalid previous reading",IF(IF(NOT(ISNUMBER(F1332)),TRUE,OR(F1332&lt;0,F1332&gt;999999999,ROUND(F1332,3)&lt;&gt;F1332)),"Invalid last service",IF(AND(E1332&lt;&gt;"",D1332&lt;E1332),"Decreased reading",IF(F1332&gt;D1332,"Last service above current","")))))))))))))</x:f>
      </x:c>
      <x:c r="L1332" s="6" t="str">
        <x:f>IF(AND(NOT(COUNTA(A1332:F1332)=0),K1332=""),INDEX('Rules'!$C$7:$C$26,MATCH(SUBSTITUTE(SUBSTITUTE(SUBSTITUTE(SUBSTITUTE("type:"&amp;B1332,"%","%25"),"~","%7E"),"*","%2A"),"?","%3F"),'Rules'!$G$7:$G$26,0)),"")</x:f>
      </x:c>
      <x:c r="M1332" s="6" t="str">
        <x:f>IF(AND(NOT(COUNTA(A1332:F1332)=0),K1332=""),INDEX('Rules'!$D$7:$D$26,MATCH(SUBSTITUTE(SUBSTITUTE(SUBSTITUTE(SUBSTITUTE("type:"&amp;B1332,"%","%25"),"~","%7E"),"*","%2A"),"?","%3F"),'Rules'!$G$7:$G$26,0)),"")</x:f>
      </x:c>
      <x:c r="N1332" s="5" t="str">
        <x:f>IF(COUNTA(A1332:F1332)=0,"",SUBSTITUTE(SUBSTITUTE(SUBSTITUTE(SUBSTITUTE("id:"&amp;A1332,"%","%25"),"~","%7E"),"*","%2A"),"?","%3F"))</x:f>
      </x:c>
    </x:row>
    <x:row r="1333" ht="22" customHeight="1">
      <x:c r="A1333" s="3"/>
      <x:c r="B1333" s="3"/>
      <x:c r="C1333" s="3"/>
      <x:c r="D1333" s="4"/>
      <x:c r="E1333" s="4"/>
      <x:c r="F1333" s="4"/>
      <x:c r="G1333" s="5" t="str">
        <x:f>IF(COUNTA(A1333:F1333)=0,"",IF(K1333&lt;&gt;"","Review",IF(I1333&lt;0,"Overdue",IF(I1333=0,"Due now",IF(I1333&lt;=M1333,"Due soon","Not due")))))</x:f>
      </x:c>
      <x:c r="H1333" s="5" t="str">
        <x:f>IF(OR(COUNTA(A1333:F1333)=0,COUNTIFS('Rules'!$G$7:$G$26,"="&amp;(SUBSTITUTE(SUBSTITUTE(SUBSTITUTE(SUBSTITUTE("type:"&amp;B1333,"%","%25"),"~","%7E"),"*","%2A"),"?","%3F")))&lt;&gt;1),"",IF(OR(INDEX('Rules'!$B$7:$B$26,MATCH(SUBSTITUTE(SUBSTITUTE(SUBSTITUTE(SUBSTITUTE("type:"&amp;B1333,"%","%25"),"~","%7E"),"*","%2A"),"?","%3F"),'Rules'!$G$7:$G$26,0))="hours",INDEX('Rules'!$B$7:$B$26,MATCH(SUBSTITUTE(SUBSTITUTE(SUBSTITUTE(SUBSTITUTE("type:"&amp;B1333,"%","%25"),"~","%7E"),"*","%2A"),"?","%3F"),'Rules'!$G$7:$G$26,0))="km"),INDEX('Rules'!$B$7:$B$26,MATCH(SUBSTITUTE(SUBSTITUTE(SUBSTITUTE(SUBSTITUTE("type:"&amp;B1333,"%","%25"),"~","%7E"),"*","%2A"),"?","%3F"),'Rules'!$G$7:$G$26,0)),""))</x:f>
      </x:c>
      <x:c r="I1333" s="6" t="str">
        <x:f>IF(AND(NOT(COUNTA(A1333:F1333)=0),K1333=""),ROUND(J1333-D1333,3),"")</x:f>
      </x:c>
      <x:c r="J1333" s="6" t="str">
        <x:f>IF(AND(NOT(COUNTA(A1333:F1333)=0),K1333=""),ROUND(F1333+L1333,3),"")</x:f>
      </x:c>
      <x:c r="K1333" s="5" t="str">
        <x:f>IF(COUNTA(A1333:F1333)=0,"",IF(A1333="","Missing equipment ID",IF(COUNTIFS($N$8:$N$2007,"="&amp;N1333)&gt;1,"Duplicate equipment ID",IF(B1333="","Missing type",IF(COUNTIFS('Rules'!$G$7:$G$26,"="&amp;(SUBSTITUTE(SUBSTITUTE(SUBSTITUTE(SUBSTITUTE("type:"&amp;B1333,"%","%25"),"~","%7E"),"*","%2A"),"?","%3F")))=0,"Unknown type",IF(COUNTIFS('Rules'!$G$7:$G$26,"="&amp;(SUBSTITUTE(SUBSTITUTE(SUBSTITUTE(SUBSTITUTE("type:"&amp;B1333,"%","%25"),"~","%7E"),"*","%2A"),"?","%3F")))&gt;1,"Duplicate type",IF(INDEX('Rules'!$F$7:$F$26,MATCH(SUBSTITUTE(SUBSTITUTE(SUBSTITUTE(SUBSTITUTE("type:"&amp;B1333,"%","%25"),"~","%7E"),"*","%2A"),"?","%3F"),'Rules'!$G$7:$G$26,0))&lt;&gt;"",INDEX('Rules'!$F$7:$F$26,MATCH(SUBSTITUTE(SUBSTITUTE(SUBSTITUTE(SUBSTITUTE("type:"&amp;B1333,"%","%25"),"~","%7E"),"*","%2A"),"?","%3F"),'Rules'!$G$7:$G$26,0)),IF(AND(C1333&lt;&gt;"",C1333&lt;&gt;INDEX('Rules'!$B$7:$B$26,MATCH(SUBSTITUTE(SUBSTITUTE(SUBSTITUTE(SUBSTITUTE("type:"&amp;B1333,"%","%25"),"~","%7E"),"*","%2A"),"?","%3F"),'Rules'!$G$7:$G$26,0))),"Unit mismatch",IF(IF(NOT(ISNUMBER(D1333)),TRUE,OR(D1333&lt;0,D1333&gt;999999999,ROUND(D1333,3)&lt;&gt;D1333)),"Invalid current reading",IF(AND(E1333&lt;&gt;"",IF(NOT(ISNUMBER(E1333)),TRUE,OR(E1333&lt;0,E1333&gt;999999999,ROUND(E1333,3)&lt;&gt;E1333))),"Invalid previous reading",IF(IF(NOT(ISNUMBER(F1333)),TRUE,OR(F1333&lt;0,F1333&gt;999999999,ROUND(F1333,3)&lt;&gt;F1333)),"Invalid last service",IF(AND(E1333&lt;&gt;"",D1333&lt;E1333),"Decreased reading",IF(F1333&gt;D1333,"Last service above current","")))))))))))))</x:f>
      </x:c>
      <x:c r="L1333" s="6" t="str">
        <x:f>IF(AND(NOT(COUNTA(A1333:F1333)=0),K1333=""),INDEX('Rules'!$C$7:$C$26,MATCH(SUBSTITUTE(SUBSTITUTE(SUBSTITUTE(SUBSTITUTE("type:"&amp;B1333,"%","%25"),"~","%7E"),"*","%2A"),"?","%3F"),'Rules'!$G$7:$G$26,0)),"")</x:f>
      </x:c>
      <x:c r="M1333" s="6" t="str">
        <x:f>IF(AND(NOT(COUNTA(A1333:F1333)=0),K1333=""),INDEX('Rules'!$D$7:$D$26,MATCH(SUBSTITUTE(SUBSTITUTE(SUBSTITUTE(SUBSTITUTE("type:"&amp;B1333,"%","%25"),"~","%7E"),"*","%2A"),"?","%3F"),'Rules'!$G$7:$G$26,0)),"")</x:f>
      </x:c>
      <x:c r="N1333" s="5" t="str">
        <x:f>IF(COUNTA(A1333:F1333)=0,"",SUBSTITUTE(SUBSTITUTE(SUBSTITUTE(SUBSTITUTE("id:"&amp;A1333,"%","%25"),"~","%7E"),"*","%2A"),"?","%3F"))</x:f>
      </x:c>
    </x:row>
    <x:row r="1334" ht="22" customHeight="1">
      <x:c r="A1334" s="3"/>
      <x:c r="B1334" s="3"/>
      <x:c r="C1334" s="3"/>
      <x:c r="D1334" s="4"/>
      <x:c r="E1334" s="4"/>
      <x:c r="F1334" s="4"/>
      <x:c r="G1334" s="5" t="str">
        <x:f>IF(COUNTA(A1334:F1334)=0,"",IF(K1334&lt;&gt;"","Review",IF(I1334&lt;0,"Overdue",IF(I1334=0,"Due now",IF(I1334&lt;=M1334,"Due soon","Not due")))))</x:f>
      </x:c>
      <x:c r="H1334" s="5" t="str">
        <x:f>IF(OR(COUNTA(A1334:F1334)=0,COUNTIFS('Rules'!$G$7:$G$26,"="&amp;(SUBSTITUTE(SUBSTITUTE(SUBSTITUTE(SUBSTITUTE("type:"&amp;B1334,"%","%25"),"~","%7E"),"*","%2A"),"?","%3F")))&lt;&gt;1),"",IF(OR(INDEX('Rules'!$B$7:$B$26,MATCH(SUBSTITUTE(SUBSTITUTE(SUBSTITUTE(SUBSTITUTE("type:"&amp;B1334,"%","%25"),"~","%7E"),"*","%2A"),"?","%3F"),'Rules'!$G$7:$G$26,0))="hours",INDEX('Rules'!$B$7:$B$26,MATCH(SUBSTITUTE(SUBSTITUTE(SUBSTITUTE(SUBSTITUTE("type:"&amp;B1334,"%","%25"),"~","%7E"),"*","%2A"),"?","%3F"),'Rules'!$G$7:$G$26,0))="km"),INDEX('Rules'!$B$7:$B$26,MATCH(SUBSTITUTE(SUBSTITUTE(SUBSTITUTE(SUBSTITUTE("type:"&amp;B1334,"%","%25"),"~","%7E"),"*","%2A"),"?","%3F"),'Rules'!$G$7:$G$26,0)),""))</x:f>
      </x:c>
      <x:c r="I1334" s="6" t="str">
        <x:f>IF(AND(NOT(COUNTA(A1334:F1334)=0),K1334=""),ROUND(J1334-D1334,3),"")</x:f>
      </x:c>
      <x:c r="J1334" s="6" t="str">
        <x:f>IF(AND(NOT(COUNTA(A1334:F1334)=0),K1334=""),ROUND(F1334+L1334,3),"")</x:f>
      </x:c>
      <x:c r="K1334" s="5" t="str">
        <x:f>IF(COUNTA(A1334:F1334)=0,"",IF(A1334="","Missing equipment ID",IF(COUNTIFS($N$8:$N$2007,"="&amp;N1334)&gt;1,"Duplicate equipment ID",IF(B1334="","Missing type",IF(COUNTIFS('Rules'!$G$7:$G$26,"="&amp;(SUBSTITUTE(SUBSTITUTE(SUBSTITUTE(SUBSTITUTE("type:"&amp;B1334,"%","%25"),"~","%7E"),"*","%2A"),"?","%3F")))=0,"Unknown type",IF(COUNTIFS('Rules'!$G$7:$G$26,"="&amp;(SUBSTITUTE(SUBSTITUTE(SUBSTITUTE(SUBSTITUTE("type:"&amp;B1334,"%","%25"),"~","%7E"),"*","%2A"),"?","%3F")))&gt;1,"Duplicate type",IF(INDEX('Rules'!$F$7:$F$26,MATCH(SUBSTITUTE(SUBSTITUTE(SUBSTITUTE(SUBSTITUTE("type:"&amp;B1334,"%","%25"),"~","%7E"),"*","%2A"),"?","%3F"),'Rules'!$G$7:$G$26,0))&lt;&gt;"",INDEX('Rules'!$F$7:$F$26,MATCH(SUBSTITUTE(SUBSTITUTE(SUBSTITUTE(SUBSTITUTE("type:"&amp;B1334,"%","%25"),"~","%7E"),"*","%2A"),"?","%3F"),'Rules'!$G$7:$G$26,0)),IF(AND(C1334&lt;&gt;"",C1334&lt;&gt;INDEX('Rules'!$B$7:$B$26,MATCH(SUBSTITUTE(SUBSTITUTE(SUBSTITUTE(SUBSTITUTE("type:"&amp;B1334,"%","%25"),"~","%7E"),"*","%2A"),"?","%3F"),'Rules'!$G$7:$G$26,0))),"Unit mismatch",IF(IF(NOT(ISNUMBER(D1334)),TRUE,OR(D1334&lt;0,D1334&gt;999999999,ROUND(D1334,3)&lt;&gt;D1334)),"Invalid current reading",IF(AND(E1334&lt;&gt;"",IF(NOT(ISNUMBER(E1334)),TRUE,OR(E1334&lt;0,E1334&gt;999999999,ROUND(E1334,3)&lt;&gt;E1334))),"Invalid previous reading",IF(IF(NOT(ISNUMBER(F1334)),TRUE,OR(F1334&lt;0,F1334&gt;999999999,ROUND(F1334,3)&lt;&gt;F1334)),"Invalid last service",IF(AND(E1334&lt;&gt;"",D1334&lt;E1334),"Decreased reading",IF(F1334&gt;D1334,"Last service above current","")))))))))))))</x:f>
      </x:c>
      <x:c r="L1334" s="6" t="str">
        <x:f>IF(AND(NOT(COUNTA(A1334:F1334)=0),K1334=""),INDEX('Rules'!$C$7:$C$26,MATCH(SUBSTITUTE(SUBSTITUTE(SUBSTITUTE(SUBSTITUTE("type:"&amp;B1334,"%","%25"),"~","%7E"),"*","%2A"),"?","%3F"),'Rules'!$G$7:$G$26,0)),"")</x:f>
      </x:c>
      <x:c r="M1334" s="6" t="str">
        <x:f>IF(AND(NOT(COUNTA(A1334:F1334)=0),K1334=""),INDEX('Rules'!$D$7:$D$26,MATCH(SUBSTITUTE(SUBSTITUTE(SUBSTITUTE(SUBSTITUTE("type:"&amp;B1334,"%","%25"),"~","%7E"),"*","%2A"),"?","%3F"),'Rules'!$G$7:$G$26,0)),"")</x:f>
      </x:c>
      <x:c r="N1334" s="5" t="str">
        <x:f>IF(COUNTA(A1334:F1334)=0,"",SUBSTITUTE(SUBSTITUTE(SUBSTITUTE(SUBSTITUTE("id:"&amp;A1334,"%","%25"),"~","%7E"),"*","%2A"),"?","%3F"))</x:f>
      </x:c>
    </x:row>
    <x:row r="1335" ht="22" customHeight="1">
      <x:c r="A1335" s="3"/>
      <x:c r="B1335" s="3"/>
      <x:c r="C1335" s="3"/>
      <x:c r="D1335" s="4"/>
      <x:c r="E1335" s="4"/>
      <x:c r="F1335" s="4"/>
      <x:c r="G1335" s="5" t="str">
        <x:f>IF(COUNTA(A1335:F1335)=0,"",IF(K1335&lt;&gt;"","Review",IF(I1335&lt;0,"Overdue",IF(I1335=0,"Due now",IF(I1335&lt;=M1335,"Due soon","Not due")))))</x:f>
      </x:c>
      <x:c r="H1335" s="5" t="str">
        <x:f>IF(OR(COUNTA(A1335:F1335)=0,COUNTIFS('Rules'!$G$7:$G$26,"="&amp;(SUBSTITUTE(SUBSTITUTE(SUBSTITUTE(SUBSTITUTE("type:"&amp;B1335,"%","%25"),"~","%7E"),"*","%2A"),"?","%3F")))&lt;&gt;1),"",IF(OR(INDEX('Rules'!$B$7:$B$26,MATCH(SUBSTITUTE(SUBSTITUTE(SUBSTITUTE(SUBSTITUTE("type:"&amp;B1335,"%","%25"),"~","%7E"),"*","%2A"),"?","%3F"),'Rules'!$G$7:$G$26,0))="hours",INDEX('Rules'!$B$7:$B$26,MATCH(SUBSTITUTE(SUBSTITUTE(SUBSTITUTE(SUBSTITUTE("type:"&amp;B1335,"%","%25"),"~","%7E"),"*","%2A"),"?","%3F"),'Rules'!$G$7:$G$26,0))="km"),INDEX('Rules'!$B$7:$B$26,MATCH(SUBSTITUTE(SUBSTITUTE(SUBSTITUTE(SUBSTITUTE("type:"&amp;B1335,"%","%25"),"~","%7E"),"*","%2A"),"?","%3F"),'Rules'!$G$7:$G$26,0)),""))</x:f>
      </x:c>
      <x:c r="I1335" s="6" t="str">
        <x:f>IF(AND(NOT(COUNTA(A1335:F1335)=0),K1335=""),ROUND(J1335-D1335,3),"")</x:f>
      </x:c>
      <x:c r="J1335" s="6" t="str">
        <x:f>IF(AND(NOT(COUNTA(A1335:F1335)=0),K1335=""),ROUND(F1335+L1335,3),"")</x:f>
      </x:c>
      <x:c r="K1335" s="5" t="str">
        <x:f>IF(COUNTA(A1335:F1335)=0,"",IF(A1335="","Missing equipment ID",IF(COUNTIFS($N$8:$N$2007,"="&amp;N1335)&gt;1,"Duplicate equipment ID",IF(B1335="","Missing type",IF(COUNTIFS('Rules'!$G$7:$G$26,"="&amp;(SUBSTITUTE(SUBSTITUTE(SUBSTITUTE(SUBSTITUTE("type:"&amp;B1335,"%","%25"),"~","%7E"),"*","%2A"),"?","%3F")))=0,"Unknown type",IF(COUNTIFS('Rules'!$G$7:$G$26,"="&amp;(SUBSTITUTE(SUBSTITUTE(SUBSTITUTE(SUBSTITUTE("type:"&amp;B1335,"%","%25"),"~","%7E"),"*","%2A"),"?","%3F")))&gt;1,"Duplicate type",IF(INDEX('Rules'!$F$7:$F$26,MATCH(SUBSTITUTE(SUBSTITUTE(SUBSTITUTE(SUBSTITUTE("type:"&amp;B1335,"%","%25"),"~","%7E"),"*","%2A"),"?","%3F"),'Rules'!$G$7:$G$26,0))&lt;&gt;"",INDEX('Rules'!$F$7:$F$26,MATCH(SUBSTITUTE(SUBSTITUTE(SUBSTITUTE(SUBSTITUTE("type:"&amp;B1335,"%","%25"),"~","%7E"),"*","%2A"),"?","%3F"),'Rules'!$G$7:$G$26,0)),IF(AND(C1335&lt;&gt;"",C1335&lt;&gt;INDEX('Rules'!$B$7:$B$26,MATCH(SUBSTITUTE(SUBSTITUTE(SUBSTITUTE(SUBSTITUTE("type:"&amp;B1335,"%","%25"),"~","%7E"),"*","%2A"),"?","%3F"),'Rules'!$G$7:$G$26,0))),"Unit mismatch",IF(IF(NOT(ISNUMBER(D1335)),TRUE,OR(D1335&lt;0,D1335&gt;999999999,ROUND(D1335,3)&lt;&gt;D1335)),"Invalid current reading",IF(AND(E1335&lt;&gt;"",IF(NOT(ISNUMBER(E1335)),TRUE,OR(E1335&lt;0,E1335&gt;999999999,ROUND(E1335,3)&lt;&gt;E1335))),"Invalid previous reading",IF(IF(NOT(ISNUMBER(F1335)),TRUE,OR(F1335&lt;0,F1335&gt;999999999,ROUND(F1335,3)&lt;&gt;F1335)),"Invalid last service",IF(AND(E1335&lt;&gt;"",D1335&lt;E1335),"Decreased reading",IF(F1335&gt;D1335,"Last service above current","")))))))))))))</x:f>
      </x:c>
      <x:c r="L1335" s="6" t="str">
        <x:f>IF(AND(NOT(COUNTA(A1335:F1335)=0),K1335=""),INDEX('Rules'!$C$7:$C$26,MATCH(SUBSTITUTE(SUBSTITUTE(SUBSTITUTE(SUBSTITUTE("type:"&amp;B1335,"%","%25"),"~","%7E"),"*","%2A"),"?","%3F"),'Rules'!$G$7:$G$26,0)),"")</x:f>
      </x:c>
      <x:c r="M1335" s="6" t="str">
        <x:f>IF(AND(NOT(COUNTA(A1335:F1335)=0),K1335=""),INDEX('Rules'!$D$7:$D$26,MATCH(SUBSTITUTE(SUBSTITUTE(SUBSTITUTE(SUBSTITUTE("type:"&amp;B1335,"%","%25"),"~","%7E"),"*","%2A"),"?","%3F"),'Rules'!$G$7:$G$26,0)),"")</x:f>
      </x:c>
      <x:c r="N1335" s="5" t="str">
        <x:f>IF(COUNTA(A1335:F1335)=0,"",SUBSTITUTE(SUBSTITUTE(SUBSTITUTE(SUBSTITUTE("id:"&amp;A1335,"%","%25"),"~","%7E"),"*","%2A"),"?","%3F"))</x:f>
      </x:c>
    </x:row>
    <x:row r="1336" ht="22" customHeight="1">
      <x:c r="A1336" s="3"/>
      <x:c r="B1336" s="3"/>
      <x:c r="C1336" s="3"/>
      <x:c r="D1336" s="4"/>
      <x:c r="E1336" s="4"/>
      <x:c r="F1336" s="4"/>
      <x:c r="G1336" s="5" t="str">
        <x:f>IF(COUNTA(A1336:F1336)=0,"",IF(K1336&lt;&gt;"","Review",IF(I1336&lt;0,"Overdue",IF(I1336=0,"Due now",IF(I1336&lt;=M1336,"Due soon","Not due")))))</x:f>
      </x:c>
      <x:c r="H1336" s="5" t="str">
        <x:f>IF(OR(COUNTA(A1336:F1336)=0,COUNTIFS('Rules'!$G$7:$G$26,"="&amp;(SUBSTITUTE(SUBSTITUTE(SUBSTITUTE(SUBSTITUTE("type:"&amp;B1336,"%","%25"),"~","%7E"),"*","%2A"),"?","%3F")))&lt;&gt;1),"",IF(OR(INDEX('Rules'!$B$7:$B$26,MATCH(SUBSTITUTE(SUBSTITUTE(SUBSTITUTE(SUBSTITUTE("type:"&amp;B1336,"%","%25"),"~","%7E"),"*","%2A"),"?","%3F"),'Rules'!$G$7:$G$26,0))="hours",INDEX('Rules'!$B$7:$B$26,MATCH(SUBSTITUTE(SUBSTITUTE(SUBSTITUTE(SUBSTITUTE("type:"&amp;B1336,"%","%25"),"~","%7E"),"*","%2A"),"?","%3F"),'Rules'!$G$7:$G$26,0))="km"),INDEX('Rules'!$B$7:$B$26,MATCH(SUBSTITUTE(SUBSTITUTE(SUBSTITUTE(SUBSTITUTE("type:"&amp;B1336,"%","%25"),"~","%7E"),"*","%2A"),"?","%3F"),'Rules'!$G$7:$G$26,0)),""))</x:f>
      </x:c>
      <x:c r="I1336" s="6" t="str">
        <x:f>IF(AND(NOT(COUNTA(A1336:F1336)=0),K1336=""),ROUND(J1336-D1336,3),"")</x:f>
      </x:c>
      <x:c r="J1336" s="6" t="str">
        <x:f>IF(AND(NOT(COUNTA(A1336:F1336)=0),K1336=""),ROUND(F1336+L1336,3),"")</x:f>
      </x:c>
      <x:c r="K1336" s="5" t="str">
        <x:f>IF(COUNTA(A1336:F1336)=0,"",IF(A1336="","Missing equipment ID",IF(COUNTIFS($N$8:$N$2007,"="&amp;N1336)&gt;1,"Duplicate equipment ID",IF(B1336="","Missing type",IF(COUNTIFS('Rules'!$G$7:$G$26,"="&amp;(SUBSTITUTE(SUBSTITUTE(SUBSTITUTE(SUBSTITUTE("type:"&amp;B1336,"%","%25"),"~","%7E"),"*","%2A"),"?","%3F")))=0,"Unknown type",IF(COUNTIFS('Rules'!$G$7:$G$26,"="&amp;(SUBSTITUTE(SUBSTITUTE(SUBSTITUTE(SUBSTITUTE("type:"&amp;B1336,"%","%25"),"~","%7E"),"*","%2A"),"?","%3F")))&gt;1,"Duplicate type",IF(INDEX('Rules'!$F$7:$F$26,MATCH(SUBSTITUTE(SUBSTITUTE(SUBSTITUTE(SUBSTITUTE("type:"&amp;B1336,"%","%25"),"~","%7E"),"*","%2A"),"?","%3F"),'Rules'!$G$7:$G$26,0))&lt;&gt;"",INDEX('Rules'!$F$7:$F$26,MATCH(SUBSTITUTE(SUBSTITUTE(SUBSTITUTE(SUBSTITUTE("type:"&amp;B1336,"%","%25"),"~","%7E"),"*","%2A"),"?","%3F"),'Rules'!$G$7:$G$26,0)),IF(AND(C1336&lt;&gt;"",C1336&lt;&gt;INDEX('Rules'!$B$7:$B$26,MATCH(SUBSTITUTE(SUBSTITUTE(SUBSTITUTE(SUBSTITUTE("type:"&amp;B1336,"%","%25"),"~","%7E"),"*","%2A"),"?","%3F"),'Rules'!$G$7:$G$26,0))),"Unit mismatch",IF(IF(NOT(ISNUMBER(D1336)),TRUE,OR(D1336&lt;0,D1336&gt;999999999,ROUND(D1336,3)&lt;&gt;D1336)),"Invalid current reading",IF(AND(E1336&lt;&gt;"",IF(NOT(ISNUMBER(E1336)),TRUE,OR(E1336&lt;0,E1336&gt;999999999,ROUND(E1336,3)&lt;&gt;E1336))),"Invalid previous reading",IF(IF(NOT(ISNUMBER(F1336)),TRUE,OR(F1336&lt;0,F1336&gt;999999999,ROUND(F1336,3)&lt;&gt;F1336)),"Invalid last service",IF(AND(E1336&lt;&gt;"",D1336&lt;E1336),"Decreased reading",IF(F1336&gt;D1336,"Last service above current","")))))))))))))</x:f>
      </x:c>
      <x:c r="L1336" s="6" t="str">
        <x:f>IF(AND(NOT(COUNTA(A1336:F1336)=0),K1336=""),INDEX('Rules'!$C$7:$C$26,MATCH(SUBSTITUTE(SUBSTITUTE(SUBSTITUTE(SUBSTITUTE("type:"&amp;B1336,"%","%25"),"~","%7E"),"*","%2A"),"?","%3F"),'Rules'!$G$7:$G$26,0)),"")</x:f>
      </x:c>
      <x:c r="M1336" s="6" t="str">
        <x:f>IF(AND(NOT(COUNTA(A1336:F1336)=0),K1336=""),INDEX('Rules'!$D$7:$D$26,MATCH(SUBSTITUTE(SUBSTITUTE(SUBSTITUTE(SUBSTITUTE("type:"&amp;B1336,"%","%25"),"~","%7E"),"*","%2A"),"?","%3F"),'Rules'!$G$7:$G$26,0)),"")</x:f>
      </x:c>
      <x:c r="N1336" s="5" t="str">
        <x:f>IF(COUNTA(A1336:F1336)=0,"",SUBSTITUTE(SUBSTITUTE(SUBSTITUTE(SUBSTITUTE("id:"&amp;A1336,"%","%25"),"~","%7E"),"*","%2A"),"?","%3F"))</x:f>
      </x:c>
    </x:row>
    <x:row r="1337" ht="22" customHeight="1">
      <x:c r="A1337" s="3"/>
      <x:c r="B1337" s="3"/>
      <x:c r="C1337" s="3"/>
      <x:c r="D1337" s="4"/>
      <x:c r="E1337" s="4"/>
      <x:c r="F1337" s="4"/>
      <x:c r="G1337" s="5" t="str">
        <x:f>IF(COUNTA(A1337:F1337)=0,"",IF(K1337&lt;&gt;"","Review",IF(I1337&lt;0,"Overdue",IF(I1337=0,"Due now",IF(I1337&lt;=M1337,"Due soon","Not due")))))</x:f>
      </x:c>
      <x:c r="H1337" s="5" t="str">
        <x:f>IF(OR(COUNTA(A1337:F1337)=0,COUNTIFS('Rules'!$G$7:$G$26,"="&amp;(SUBSTITUTE(SUBSTITUTE(SUBSTITUTE(SUBSTITUTE("type:"&amp;B1337,"%","%25"),"~","%7E"),"*","%2A"),"?","%3F")))&lt;&gt;1),"",IF(OR(INDEX('Rules'!$B$7:$B$26,MATCH(SUBSTITUTE(SUBSTITUTE(SUBSTITUTE(SUBSTITUTE("type:"&amp;B1337,"%","%25"),"~","%7E"),"*","%2A"),"?","%3F"),'Rules'!$G$7:$G$26,0))="hours",INDEX('Rules'!$B$7:$B$26,MATCH(SUBSTITUTE(SUBSTITUTE(SUBSTITUTE(SUBSTITUTE("type:"&amp;B1337,"%","%25"),"~","%7E"),"*","%2A"),"?","%3F"),'Rules'!$G$7:$G$26,0))="km"),INDEX('Rules'!$B$7:$B$26,MATCH(SUBSTITUTE(SUBSTITUTE(SUBSTITUTE(SUBSTITUTE("type:"&amp;B1337,"%","%25"),"~","%7E"),"*","%2A"),"?","%3F"),'Rules'!$G$7:$G$26,0)),""))</x:f>
      </x:c>
      <x:c r="I1337" s="6" t="str">
        <x:f>IF(AND(NOT(COUNTA(A1337:F1337)=0),K1337=""),ROUND(J1337-D1337,3),"")</x:f>
      </x:c>
      <x:c r="J1337" s="6" t="str">
        <x:f>IF(AND(NOT(COUNTA(A1337:F1337)=0),K1337=""),ROUND(F1337+L1337,3),"")</x:f>
      </x:c>
      <x:c r="K1337" s="5" t="str">
        <x:f>IF(COUNTA(A1337:F1337)=0,"",IF(A1337="","Missing equipment ID",IF(COUNTIFS($N$8:$N$2007,"="&amp;N1337)&gt;1,"Duplicate equipment ID",IF(B1337="","Missing type",IF(COUNTIFS('Rules'!$G$7:$G$26,"="&amp;(SUBSTITUTE(SUBSTITUTE(SUBSTITUTE(SUBSTITUTE("type:"&amp;B1337,"%","%25"),"~","%7E"),"*","%2A"),"?","%3F")))=0,"Unknown type",IF(COUNTIFS('Rules'!$G$7:$G$26,"="&amp;(SUBSTITUTE(SUBSTITUTE(SUBSTITUTE(SUBSTITUTE("type:"&amp;B1337,"%","%25"),"~","%7E"),"*","%2A"),"?","%3F")))&gt;1,"Duplicate type",IF(INDEX('Rules'!$F$7:$F$26,MATCH(SUBSTITUTE(SUBSTITUTE(SUBSTITUTE(SUBSTITUTE("type:"&amp;B1337,"%","%25"),"~","%7E"),"*","%2A"),"?","%3F"),'Rules'!$G$7:$G$26,0))&lt;&gt;"",INDEX('Rules'!$F$7:$F$26,MATCH(SUBSTITUTE(SUBSTITUTE(SUBSTITUTE(SUBSTITUTE("type:"&amp;B1337,"%","%25"),"~","%7E"),"*","%2A"),"?","%3F"),'Rules'!$G$7:$G$26,0)),IF(AND(C1337&lt;&gt;"",C1337&lt;&gt;INDEX('Rules'!$B$7:$B$26,MATCH(SUBSTITUTE(SUBSTITUTE(SUBSTITUTE(SUBSTITUTE("type:"&amp;B1337,"%","%25"),"~","%7E"),"*","%2A"),"?","%3F"),'Rules'!$G$7:$G$26,0))),"Unit mismatch",IF(IF(NOT(ISNUMBER(D1337)),TRUE,OR(D1337&lt;0,D1337&gt;999999999,ROUND(D1337,3)&lt;&gt;D1337)),"Invalid current reading",IF(AND(E1337&lt;&gt;"",IF(NOT(ISNUMBER(E1337)),TRUE,OR(E1337&lt;0,E1337&gt;999999999,ROUND(E1337,3)&lt;&gt;E1337))),"Invalid previous reading",IF(IF(NOT(ISNUMBER(F1337)),TRUE,OR(F1337&lt;0,F1337&gt;999999999,ROUND(F1337,3)&lt;&gt;F1337)),"Invalid last service",IF(AND(E1337&lt;&gt;"",D1337&lt;E1337),"Decreased reading",IF(F1337&gt;D1337,"Last service above current","")))))))))))))</x:f>
      </x:c>
      <x:c r="L1337" s="6" t="str">
        <x:f>IF(AND(NOT(COUNTA(A1337:F1337)=0),K1337=""),INDEX('Rules'!$C$7:$C$26,MATCH(SUBSTITUTE(SUBSTITUTE(SUBSTITUTE(SUBSTITUTE("type:"&amp;B1337,"%","%25"),"~","%7E"),"*","%2A"),"?","%3F"),'Rules'!$G$7:$G$26,0)),"")</x:f>
      </x:c>
      <x:c r="M1337" s="6" t="str">
        <x:f>IF(AND(NOT(COUNTA(A1337:F1337)=0),K1337=""),INDEX('Rules'!$D$7:$D$26,MATCH(SUBSTITUTE(SUBSTITUTE(SUBSTITUTE(SUBSTITUTE("type:"&amp;B1337,"%","%25"),"~","%7E"),"*","%2A"),"?","%3F"),'Rules'!$G$7:$G$26,0)),"")</x:f>
      </x:c>
      <x:c r="N1337" s="5" t="str">
        <x:f>IF(COUNTA(A1337:F1337)=0,"",SUBSTITUTE(SUBSTITUTE(SUBSTITUTE(SUBSTITUTE("id:"&amp;A1337,"%","%25"),"~","%7E"),"*","%2A"),"?","%3F"))</x:f>
      </x:c>
    </x:row>
    <x:row r="1338" ht="22" customHeight="1">
      <x:c r="A1338" s="3"/>
      <x:c r="B1338" s="3"/>
      <x:c r="C1338" s="3"/>
      <x:c r="D1338" s="4"/>
      <x:c r="E1338" s="4"/>
      <x:c r="F1338" s="4"/>
      <x:c r="G1338" s="5" t="str">
        <x:f>IF(COUNTA(A1338:F1338)=0,"",IF(K1338&lt;&gt;"","Review",IF(I1338&lt;0,"Overdue",IF(I1338=0,"Due now",IF(I1338&lt;=M1338,"Due soon","Not due")))))</x:f>
      </x:c>
      <x:c r="H1338" s="5" t="str">
        <x:f>IF(OR(COUNTA(A1338:F1338)=0,COUNTIFS('Rules'!$G$7:$G$26,"="&amp;(SUBSTITUTE(SUBSTITUTE(SUBSTITUTE(SUBSTITUTE("type:"&amp;B1338,"%","%25"),"~","%7E"),"*","%2A"),"?","%3F")))&lt;&gt;1),"",IF(OR(INDEX('Rules'!$B$7:$B$26,MATCH(SUBSTITUTE(SUBSTITUTE(SUBSTITUTE(SUBSTITUTE("type:"&amp;B1338,"%","%25"),"~","%7E"),"*","%2A"),"?","%3F"),'Rules'!$G$7:$G$26,0))="hours",INDEX('Rules'!$B$7:$B$26,MATCH(SUBSTITUTE(SUBSTITUTE(SUBSTITUTE(SUBSTITUTE("type:"&amp;B1338,"%","%25"),"~","%7E"),"*","%2A"),"?","%3F"),'Rules'!$G$7:$G$26,0))="km"),INDEX('Rules'!$B$7:$B$26,MATCH(SUBSTITUTE(SUBSTITUTE(SUBSTITUTE(SUBSTITUTE("type:"&amp;B1338,"%","%25"),"~","%7E"),"*","%2A"),"?","%3F"),'Rules'!$G$7:$G$26,0)),""))</x:f>
      </x:c>
      <x:c r="I1338" s="6" t="str">
        <x:f>IF(AND(NOT(COUNTA(A1338:F1338)=0),K1338=""),ROUND(J1338-D1338,3),"")</x:f>
      </x:c>
      <x:c r="J1338" s="6" t="str">
        <x:f>IF(AND(NOT(COUNTA(A1338:F1338)=0),K1338=""),ROUND(F1338+L1338,3),"")</x:f>
      </x:c>
      <x:c r="K1338" s="5" t="str">
        <x:f>IF(COUNTA(A1338:F1338)=0,"",IF(A1338="","Missing equipment ID",IF(COUNTIFS($N$8:$N$2007,"="&amp;N1338)&gt;1,"Duplicate equipment ID",IF(B1338="","Missing type",IF(COUNTIFS('Rules'!$G$7:$G$26,"="&amp;(SUBSTITUTE(SUBSTITUTE(SUBSTITUTE(SUBSTITUTE("type:"&amp;B1338,"%","%25"),"~","%7E"),"*","%2A"),"?","%3F")))=0,"Unknown type",IF(COUNTIFS('Rules'!$G$7:$G$26,"="&amp;(SUBSTITUTE(SUBSTITUTE(SUBSTITUTE(SUBSTITUTE("type:"&amp;B1338,"%","%25"),"~","%7E"),"*","%2A"),"?","%3F")))&gt;1,"Duplicate type",IF(INDEX('Rules'!$F$7:$F$26,MATCH(SUBSTITUTE(SUBSTITUTE(SUBSTITUTE(SUBSTITUTE("type:"&amp;B1338,"%","%25"),"~","%7E"),"*","%2A"),"?","%3F"),'Rules'!$G$7:$G$26,0))&lt;&gt;"",INDEX('Rules'!$F$7:$F$26,MATCH(SUBSTITUTE(SUBSTITUTE(SUBSTITUTE(SUBSTITUTE("type:"&amp;B1338,"%","%25"),"~","%7E"),"*","%2A"),"?","%3F"),'Rules'!$G$7:$G$26,0)),IF(AND(C1338&lt;&gt;"",C1338&lt;&gt;INDEX('Rules'!$B$7:$B$26,MATCH(SUBSTITUTE(SUBSTITUTE(SUBSTITUTE(SUBSTITUTE("type:"&amp;B1338,"%","%25"),"~","%7E"),"*","%2A"),"?","%3F"),'Rules'!$G$7:$G$26,0))),"Unit mismatch",IF(IF(NOT(ISNUMBER(D1338)),TRUE,OR(D1338&lt;0,D1338&gt;999999999,ROUND(D1338,3)&lt;&gt;D1338)),"Invalid current reading",IF(AND(E1338&lt;&gt;"",IF(NOT(ISNUMBER(E1338)),TRUE,OR(E1338&lt;0,E1338&gt;999999999,ROUND(E1338,3)&lt;&gt;E1338))),"Invalid previous reading",IF(IF(NOT(ISNUMBER(F1338)),TRUE,OR(F1338&lt;0,F1338&gt;999999999,ROUND(F1338,3)&lt;&gt;F1338)),"Invalid last service",IF(AND(E1338&lt;&gt;"",D1338&lt;E1338),"Decreased reading",IF(F1338&gt;D1338,"Last service above current","")))))))))))))</x:f>
      </x:c>
      <x:c r="L1338" s="6" t="str">
        <x:f>IF(AND(NOT(COUNTA(A1338:F1338)=0),K1338=""),INDEX('Rules'!$C$7:$C$26,MATCH(SUBSTITUTE(SUBSTITUTE(SUBSTITUTE(SUBSTITUTE("type:"&amp;B1338,"%","%25"),"~","%7E"),"*","%2A"),"?","%3F"),'Rules'!$G$7:$G$26,0)),"")</x:f>
      </x:c>
      <x:c r="M1338" s="6" t="str">
        <x:f>IF(AND(NOT(COUNTA(A1338:F1338)=0),K1338=""),INDEX('Rules'!$D$7:$D$26,MATCH(SUBSTITUTE(SUBSTITUTE(SUBSTITUTE(SUBSTITUTE("type:"&amp;B1338,"%","%25"),"~","%7E"),"*","%2A"),"?","%3F"),'Rules'!$G$7:$G$26,0)),"")</x:f>
      </x:c>
      <x:c r="N1338" s="5" t="str">
        <x:f>IF(COUNTA(A1338:F1338)=0,"",SUBSTITUTE(SUBSTITUTE(SUBSTITUTE(SUBSTITUTE("id:"&amp;A1338,"%","%25"),"~","%7E"),"*","%2A"),"?","%3F"))</x:f>
      </x:c>
    </x:row>
    <x:row r="1339" ht="22" customHeight="1">
      <x:c r="A1339" s="3"/>
      <x:c r="B1339" s="3"/>
      <x:c r="C1339" s="3"/>
      <x:c r="D1339" s="4"/>
      <x:c r="E1339" s="4"/>
      <x:c r="F1339" s="4"/>
      <x:c r="G1339" s="5" t="str">
        <x:f>IF(COUNTA(A1339:F1339)=0,"",IF(K1339&lt;&gt;"","Review",IF(I1339&lt;0,"Overdue",IF(I1339=0,"Due now",IF(I1339&lt;=M1339,"Due soon","Not due")))))</x:f>
      </x:c>
      <x:c r="H1339" s="5" t="str">
        <x:f>IF(OR(COUNTA(A1339:F1339)=0,COUNTIFS('Rules'!$G$7:$G$26,"="&amp;(SUBSTITUTE(SUBSTITUTE(SUBSTITUTE(SUBSTITUTE("type:"&amp;B1339,"%","%25"),"~","%7E"),"*","%2A"),"?","%3F")))&lt;&gt;1),"",IF(OR(INDEX('Rules'!$B$7:$B$26,MATCH(SUBSTITUTE(SUBSTITUTE(SUBSTITUTE(SUBSTITUTE("type:"&amp;B1339,"%","%25"),"~","%7E"),"*","%2A"),"?","%3F"),'Rules'!$G$7:$G$26,0))="hours",INDEX('Rules'!$B$7:$B$26,MATCH(SUBSTITUTE(SUBSTITUTE(SUBSTITUTE(SUBSTITUTE("type:"&amp;B1339,"%","%25"),"~","%7E"),"*","%2A"),"?","%3F"),'Rules'!$G$7:$G$26,0))="km"),INDEX('Rules'!$B$7:$B$26,MATCH(SUBSTITUTE(SUBSTITUTE(SUBSTITUTE(SUBSTITUTE("type:"&amp;B1339,"%","%25"),"~","%7E"),"*","%2A"),"?","%3F"),'Rules'!$G$7:$G$26,0)),""))</x:f>
      </x:c>
      <x:c r="I1339" s="6" t="str">
        <x:f>IF(AND(NOT(COUNTA(A1339:F1339)=0),K1339=""),ROUND(J1339-D1339,3),"")</x:f>
      </x:c>
      <x:c r="J1339" s="6" t="str">
        <x:f>IF(AND(NOT(COUNTA(A1339:F1339)=0),K1339=""),ROUND(F1339+L1339,3),"")</x:f>
      </x:c>
      <x:c r="K1339" s="5" t="str">
        <x:f>IF(COUNTA(A1339:F1339)=0,"",IF(A1339="","Missing equipment ID",IF(COUNTIFS($N$8:$N$2007,"="&amp;N1339)&gt;1,"Duplicate equipment ID",IF(B1339="","Missing type",IF(COUNTIFS('Rules'!$G$7:$G$26,"="&amp;(SUBSTITUTE(SUBSTITUTE(SUBSTITUTE(SUBSTITUTE("type:"&amp;B1339,"%","%25"),"~","%7E"),"*","%2A"),"?","%3F")))=0,"Unknown type",IF(COUNTIFS('Rules'!$G$7:$G$26,"="&amp;(SUBSTITUTE(SUBSTITUTE(SUBSTITUTE(SUBSTITUTE("type:"&amp;B1339,"%","%25"),"~","%7E"),"*","%2A"),"?","%3F")))&gt;1,"Duplicate type",IF(INDEX('Rules'!$F$7:$F$26,MATCH(SUBSTITUTE(SUBSTITUTE(SUBSTITUTE(SUBSTITUTE("type:"&amp;B1339,"%","%25"),"~","%7E"),"*","%2A"),"?","%3F"),'Rules'!$G$7:$G$26,0))&lt;&gt;"",INDEX('Rules'!$F$7:$F$26,MATCH(SUBSTITUTE(SUBSTITUTE(SUBSTITUTE(SUBSTITUTE("type:"&amp;B1339,"%","%25"),"~","%7E"),"*","%2A"),"?","%3F"),'Rules'!$G$7:$G$26,0)),IF(AND(C1339&lt;&gt;"",C1339&lt;&gt;INDEX('Rules'!$B$7:$B$26,MATCH(SUBSTITUTE(SUBSTITUTE(SUBSTITUTE(SUBSTITUTE("type:"&amp;B1339,"%","%25"),"~","%7E"),"*","%2A"),"?","%3F"),'Rules'!$G$7:$G$26,0))),"Unit mismatch",IF(IF(NOT(ISNUMBER(D1339)),TRUE,OR(D1339&lt;0,D1339&gt;999999999,ROUND(D1339,3)&lt;&gt;D1339)),"Invalid current reading",IF(AND(E1339&lt;&gt;"",IF(NOT(ISNUMBER(E1339)),TRUE,OR(E1339&lt;0,E1339&gt;999999999,ROUND(E1339,3)&lt;&gt;E1339))),"Invalid previous reading",IF(IF(NOT(ISNUMBER(F1339)),TRUE,OR(F1339&lt;0,F1339&gt;999999999,ROUND(F1339,3)&lt;&gt;F1339)),"Invalid last service",IF(AND(E1339&lt;&gt;"",D1339&lt;E1339),"Decreased reading",IF(F1339&gt;D1339,"Last service above current","")))))))))))))</x:f>
      </x:c>
      <x:c r="L1339" s="6" t="str">
        <x:f>IF(AND(NOT(COUNTA(A1339:F1339)=0),K1339=""),INDEX('Rules'!$C$7:$C$26,MATCH(SUBSTITUTE(SUBSTITUTE(SUBSTITUTE(SUBSTITUTE("type:"&amp;B1339,"%","%25"),"~","%7E"),"*","%2A"),"?","%3F"),'Rules'!$G$7:$G$26,0)),"")</x:f>
      </x:c>
      <x:c r="M1339" s="6" t="str">
        <x:f>IF(AND(NOT(COUNTA(A1339:F1339)=0),K1339=""),INDEX('Rules'!$D$7:$D$26,MATCH(SUBSTITUTE(SUBSTITUTE(SUBSTITUTE(SUBSTITUTE("type:"&amp;B1339,"%","%25"),"~","%7E"),"*","%2A"),"?","%3F"),'Rules'!$G$7:$G$26,0)),"")</x:f>
      </x:c>
      <x:c r="N1339" s="5" t="str">
        <x:f>IF(COUNTA(A1339:F1339)=0,"",SUBSTITUTE(SUBSTITUTE(SUBSTITUTE(SUBSTITUTE("id:"&amp;A1339,"%","%25"),"~","%7E"),"*","%2A"),"?","%3F"))</x:f>
      </x:c>
    </x:row>
    <x:row r="1340" ht="22" customHeight="1">
      <x:c r="A1340" s="3"/>
      <x:c r="B1340" s="3"/>
      <x:c r="C1340" s="3"/>
      <x:c r="D1340" s="4"/>
      <x:c r="E1340" s="4"/>
      <x:c r="F1340" s="4"/>
      <x:c r="G1340" s="5" t="str">
        <x:f>IF(COUNTA(A1340:F1340)=0,"",IF(K1340&lt;&gt;"","Review",IF(I1340&lt;0,"Overdue",IF(I1340=0,"Due now",IF(I1340&lt;=M1340,"Due soon","Not due")))))</x:f>
      </x:c>
      <x:c r="H1340" s="5" t="str">
        <x:f>IF(OR(COUNTA(A1340:F1340)=0,COUNTIFS('Rules'!$G$7:$G$26,"="&amp;(SUBSTITUTE(SUBSTITUTE(SUBSTITUTE(SUBSTITUTE("type:"&amp;B1340,"%","%25"),"~","%7E"),"*","%2A"),"?","%3F")))&lt;&gt;1),"",IF(OR(INDEX('Rules'!$B$7:$B$26,MATCH(SUBSTITUTE(SUBSTITUTE(SUBSTITUTE(SUBSTITUTE("type:"&amp;B1340,"%","%25"),"~","%7E"),"*","%2A"),"?","%3F"),'Rules'!$G$7:$G$26,0))="hours",INDEX('Rules'!$B$7:$B$26,MATCH(SUBSTITUTE(SUBSTITUTE(SUBSTITUTE(SUBSTITUTE("type:"&amp;B1340,"%","%25"),"~","%7E"),"*","%2A"),"?","%3F"),'Rules'!$G$7:$G$26,0))="km"),INDEX('Rules'!$B$7:$B$26,MATCH(SUBSTITUTE(SUBSTITUTE(SUBSTITUTE(SUBSTITUTE("type:"&amp;B1340,"%","%25"),"~","%7E"),"*","%2A"),"?","%3F"),'Rules'!$G$7:$G$26,0)),""))</x:f>
      </x:c>
      <x:c r="I1340" s="6" t="str">
        <x:f>IF(AND(NOT(COUNTA(A1340:F1340)=0),K1340=""),ROUND(J1340-D1340,3),"")</x:f>
      </x:c>
      <x:c r="J1340" s="6" t="str">
        <x:f>IF(AND(NOT(COUNTA(A1340:F1340)=0),K1340=""),ROUND(F1340+L1340,3),"")</x:f>
      </x:c>
      <x:c r="K1340" s="5" t="str">
        <x:f>IF(COUNTA(A1340:F1340)=0,"",IF(A1340="","Missing equipment ID",IF(COUNTIFS($N$8:$N$2007,"="&amp;N1340)&gt;1,"Duplicate equipment ID",IF(B1340="","Missing type",IF(COUNTIFS('Rules'!$G$7:$G$26,"="&amp;(SUBSTITUTE(SUBSTITUTE(SUBSTITUTE(SUBSTITUTE("type:"&amp;B1340,"%","%25"),"~","%7E"),"*","%2A"),"?","%3F")))=0,"Unknown type",IF(COUNTIFS('Rules'!$G$7:$G$26,"="&amp;(SUBSTITUTE(SUBSTITUTE(SUBSTITUTE(SUBSTITUTE("type:"&amp;B1340,"%","%25"),"~","%7E"),"*","%2A"),"?","%3F")))&gt;1,"Duplicate type",IF(INDEX('Rules'!$F$7:$F$26,MATCH(SUBSTITUTE(SUBSTITUTE(SUBSTITUTE(SUBSTITUTE("type:"&amp;B1340,"%","%25"),"~","%7E"),"*","%2A"),"?","%3F"),'Rules'!$G$7:$G$26,0))&lt;&gt;"",INDEX('Rules'!$F$7:$F$26,MATCH(SUBSTITUTE(SUBSTITUTE(SUBSTITUTE(SUBSTITUTE("type:"&amp;B1340,"%","%25"),"~","%7E"),"*","%2A"),"?","%3F"),'Rules'!$G$7:$G$26,0)),IF(AND(C1340&lt;&gt;"",C1340&lt;&gt;INDEX('Rules'!$B$7:$B$26,MATCH(SUBSTITUTE(SUBSTITUTE(SUBSTITUTE(SUBSTITUTE("type:"&amp;B1340,"%","%25"),"~","%7E"),"*","%2A"),"?","%3F"),'Rules'!$G$7:$G$26,0))),"Unit mismatch",IF(IF(NOT(ISNUMBER(D1340)),TRUE,OR(D1340&lt;0,D1340&gt;999999999,ROUND(D1340,3)&lt;&gt;D1340)),"Invalid current reading",IF(AND(E1340&lt;&gt;"",IF(NOT(ISNUMBER(E1340)),TRUE,OR(E1340&lt;0,E1340&gt;999999999,ROUND(E1340,3)&lt;&gt;E1340))),"Invalid previous reading",IF(IF(NOT(ISNUMBER(F1340)),TRUE,OR(F1340&lt;0,F1340&gt;999999999,ROUND(F1340,3)&lt;&gt;F1340)),"Invalid last service",IF(AND(E1340&lt;&gt;"",D1340&lt;E1340),"Decreased reading",IF(F1340&gt;D1340,"Last service above current","")))))))))))))</x:f>
      </x:c>
      <x:c r="L1340" s="6" t="str">
        <x:f>IF(AND(NOT(COUNTA(A1340:F1340)=0),K1340=""),INDEX('Rules'!$C$7:$C$26,MATCH(SUBSTITUTE(SUBSTITUTE(SUBSTITUTE(SUBSTITUTE("type:"&amp;B1340,"%","%25"),"~","%7E"),"*","%2A"),"?","%3F"),'Rules'!$G$7:$G$26,0)),"")</x:f>
      </x:c>
      <x:c r="M1340" s="6" t="str">
        <x:f>IF(AND(NOT(COUNTA(A1340:F1340)=0),K1340=""),INDEX('Rules'!$D$7:$D$26,MATCH(SUBSTITUTE(SUBSTITUTE(SUBSTITUTE(SUBSTITUTE("type:"&amp;B1340,"%","%25"),"~","%7E"),"*","%2A"),"?","%3F"),'Rules'!$G$7:$G$26,0)),"")</x:f>
      </x:c>
      <x:c r="N1340" s="5" t="str">
        <x:f>IF(COUNTA(A1340:F1340)=0,"",SUBSTITUTE(SUBSTITUTE(SUBSTITUTE(SUBSTITUTE("id:"&amp;A1340,"%","%25"),"~","%7E"),"*","%2A"),"?","%3F"))</x:f>
      </x:c>
    </x:row>
    <x:row r="1341" ht="22" customHeight="1">
      <x:c r="A1341" s="3"/>
      <x:c r="B1341" s="3"/>
      <x:c r="C1341" s="3"/>
      <x:c r="D1341" s="4"/>
      <x:c r="E1341" s="4"/>
      <x:c r="F1341" s="4"/>
      <x:c r="G1341" s="5" t="str">
        <x:f>IF(COUNTA(A1341:F1341)=0,"",IF(K1341&lt;&gt;"","Review",IF(I1341&lt;0,"Overdue",IF(I1341=0,"Due now",IF(I1341&lt;=M1341,"Due soon","Not due")))))</x:f>
      </x:c>
      <x:c r="H1341" s="5" t="str">
        <x:f>IF(OR(COUNTA(A1341:F1341)=0,COUNTIFS('Rules'!$G$7:$G$26,"="&amp;(SUBSTITUTE(SUBSTITUTE(SUBSTITUTE(SUBSTITUTE("type:"&amp;B1341,"%","%25"),"~","%7E"),"*","%2A"),"?","%3F")))&lt;&gt;1),"",IF(OR(INDEX('Rules'!$B$7:$B$26,MATCH(SUBSTITUTE(SUBSTITUTE(SUBSTITUTE(SUBSTITUTE("type:"&amp;B1341,"%","%25"),"~","%7E"),"*","%2A"),"?","%3F"),'Rules'!$G$7:$G$26,0))="hours",INDEX('Rules'!$B$7:$B$26,MATCH(SUBSTITUTE(SUBSTITUTE(SUBSTITUTE(SUBSTITUTE("type:"&amp;B1341,"%","%25"),"~","%7E"),"*","%2A"),"?","%3F"),'Rules'!$G$7:$G$26,0))="km"),INDEX('Rules'!$B$7:$B$26,MATCH(SUBSTITUTE(SUBSTITUTE(SUBSTITUTE(SUBSTITUTE("type:"&amp;B1341,"%","%25"),"~","%7E"),"*","%2A"),"?","%3F"),'Rules'!$G$7:$G$26,0)),""))</x:f>
      </x:c>
      <x:c r="I1341" s="6" t="str">
        <x:f>IF(AND(NOT(COUNTA(A1341:F1341)=0),K1341=""),ROUND(J1341-D1341,3),"")</x:f>
      </x:c>
      <x:c r="J1341" s="6" t="str">
        <x:f>IF(AND(NOT(COUNTA(A1341:F1341)=0),K1341=""),ROUND(F1341+L1341,3),"")</x:f>
      </x:c>
      <x:c r="K1341" s="5" t="str">
        <x:f>IF(COUNTA(A1341:F1341)=0,"",IF(A1341="","Missing equipment ID",IF(COUNTIFS($N$8:$N$2007,"="&amp;N1341)&gt;1,"Duplicate equipment ID",IF(B1341="","Missing type",IF(COUNTIFS('Rules'!$G$7:$G$26,"="&amp;(SUBSTITUTE(SUBSTITUTE(SUBSTITUTE(SUBSTITUTE("type:"&amp;B1341,"%","%25"),"~","%7E"),"*","%2A"),"?","%3F")))=0,"Unknown type",IF(COUNTIFS('Rules'!$G$7:$G$26,"="&amp;(SUBSTITUTE(SUBSTITUTE(SUBSTITUTE(SUBSTITUTE("type:"&amp;B1341,"%","%25"),"~","%7E"),"*","%2A"),"?","%3F")))&gt;1,"Duplicate type",IF(INDEX('Rules'!$F$7:$F$26,MATCH(SUBSTITUTE(SUBSTITUTE(SUBSTITUTE(SUBSTITUTE("type:"&amp;B1341,"%","%25"),"~","%7E"),"*","%2A"),"?","%3F"),'Rules'!$G$7:$G$26,0))&lt;&gt;"",INDEX('Rules'!$F$7:$F$26,MATCH(SUBSTITUTE(SUBSTITUTE(SUBSTITUTE(SUBSTITUTE("type:"&amp;B1341,"%","%25"),"~","%7E"),"*","%2A"),"?","%3F"),'Rules'!$G$7:$G$26,0)),IF(AND(C1341&lt;&gt;"",C1341&lt;&gt;INDEX('Rules'!$B$7:$B$26,MATCH(SUBSTITUTE(SUBSTITUTE(SUBSTITUTE(SUBSTITUTE("type:"&amp;B1341,"%","%25"),"~","%7E"),"*","%2A"),"?","%3F"),'Rules'!$G$7:$G$26,0))),"Unit mismatch",IF(IF(NOT(ISNUMBER(D1341)),TRUE,OR(D1341&lt;0,D1341&gt;999999999,ROUND(D1341,3)&lt;&gt;D1341)),"Invalid current reading",IF(AND(E1341&lt;&gt;"",IF(NOT(ISNUMBER(E1341)),TRUE,OR(E1341&lt;0,E1341&gt;999999999,ROUND(E1341,3)&lt;&gt;E1341))),"Invalid previous reading",IF(IF(NOT(ISNUMBER(F1341)),TRUE,OR(F1341&lt;0,F1341&gt;999999999,ROUND(F1341,3)&lt;&gt;F1341)),"Invalid last service",IF(AND(E1341&lt;&gt;"",D1341&lt;E1341),"Decreased reading",IF(F1341&gt;D1341,"Last service above current","")))))))))))))</x:f>
      </x:c>
      <x:c r="L1341" s="6" t="str">
        <x:f>IF(AND(NOT(COUNTA(A1341:F1341)=0),K1341=""),INDEX('Rules'!$C$7:$C$26,MATCH(SUBSTITUTE(SUBSTITUTE(SUBSTITUTE(SUBSTITUTE("type:"&amp;B1341,"%","%25"),"~","%7E"),"*","%2A"),"?","%3F"),'Rules'!$G$7:$G$26,0)),"")</x:f>
      </x:c>
      <x:c r="M1341" s="6" t="str">
        <x:f>IF(AND(NOT(COUNTA(A1341:F1341)=0),K1341=""),INDEX('Rules'!$D$7:$D$26,MATCH(SUBSTITUTE(SUBSTITUTE(SUBSTITUTE(SUBSTITUTE("type:"&amp;B1341,"%","%25"),"~","%7E"),"*","%2A"),"?","%3F"),'Rules'!$G$7:$G$26,0)),"")</x:f>
      </x:c>
      <x:c r="N1341" s="5" t="str">
        <x:f>IF(COUNTA(A1341:F1341)=0,"",SUBSTITUTE(SUBSTITUTE(SUBSTITUTE(SUBSTITUTE("id:"&amp;A1341,"%","%25"),"~","%7E"),"*","%2A"),"?","%3F"))</x:f>
      </x:c>
    </x:row>
    <x:row r="1342" ht="22" customHeight="1">
      <x:c r="A1342" s="3"/>
      <x:c r="B1342" s="3"/>
      <x:c r="C1342" s="3"/>
      <x:c r="D1342" s="4"/>
      <x:c r="E1342" s="4"/>
      <x:c r="F1342" s="4"/>
      <x:c r="G1342" s="5" t="str">
        <x:f>IF(COUNTA(A1342:F1342)=0,"",IF(K1342&lt;&gt;"","Review",IF(I1342&lt;0,"Overdue",IF(I1342=0,"Due now",IF(I1342&lt;=M1342,"Due soon","Not due")))))</x:f>
      </x:c>
      <x:c r="H1342" s="5" t="str">
        <x:f>IF(OR(COUNTA(A1342:F1342)=0,COUNTIFS('Rules'!$G$7:$G$26,"="&amp;(SUBSTITUTE(SUBSTITUTE(SUBSTITUTE(SUBSTITUTE("type:"&amp;B1342,"%","%25"),"~","%7E"),"*","%2A"),"?","%3F")))&lt;&gt;1),"",IF(OR(INDEX('Rules'!$B$7:$B$26,MATCH(SUBSTITUTE(SUBSTITUTE(SUBSTITUTE(SUBSTITUTE("type:"&amp;B1342,"%","%25"),"~","%7E"),"*","%2A"),"?","%3F"),'Rules'!$G$7:$G$26,0))="hours",INDEX('Rules'!$B$7:$B$26,MATCH(SUBSTITUTE(SUBSTITUTE(SUBSTITUTE(SUBSTITUTE("type:"&amp;B1342,"%","%25"),"~","%7E"),"*","%2A"),"?","%3F"),'Rules'!$G$7:$G$26,0))="km"),INDEX('Rules'!$B$7:$B$26,MATCH(SUBSTITUTE(SUBSTITUTE(SUBSTITUTE(SUBSTITUTE("type:"&amp;B1342,"%","%25"),"~","%7E"),"*","%2A"),"?","%3F"),'Rules'!$G$7:$G$26,0)),""))</x:f>
      </x:c>
      <x:c r="I1342" s="6" t="str">
        <x:f>IF(AND(NOT(COUNTA(A1342:F1342)=0),K1342=""),ROUND(J1342-D1342,3),"")</x:f>
      </x:c>
      <x:c r="J1342" s="6" t="str">
        <x:f>IF(AND(NOT(COUNTA(A1342:F1342)=0),K1342=""),ROUND(F1342+L1342,3),"")</x:f>
      </x:c>
      <x:c r="K1342" s="5" t="str">
        <x:f>IF(COUNTA(A1342:F1342)=0,"",IF(A1342="","Missing equipment ID",IF(COUNTIFS($N$8:$N$2007,"="&amp;N1342)&gt;1,"Duplicate equipment ID",IF(B1342="","Missing type",IF(COUNTIFS('Rules'!$G$7:$G$26,"="&amp;(SUBSTITUTE(SUBSTITUTE(SUBSTITUTE(SUBSTITUTE("type:"&amp;B1342,"%","%25"),"~","%7E"),"*","%2A"),"?","%3F")))=0,"Unknown type",IF(COUNTIFS('Rules'!$G$7:$G$26,"="&amp;(SUBSTITUTE(SUBSTITUTE(SUBSTITUTE(SUBSTITUTE("type:"&amp;B1342,"%","%25"),"~","%7E"),"*","%2A"),"?","%3F")))&gt;1,"Duplicate type",IF(INDEX('Rules'!$F$7:$F$26,MATCH(SUBSTITUTE(SUBSTITUTE(SUBSTITUTE(SUBSTITUTE("type:"&amp;B1342,"%","%25"),"~","%7E"),"*","%2A"),"?","%3F"),'Rules'!$G$7:$G$26,0))&lt;&gt;"",INDEX('Rules'!$F$7:$F$26,MATCH(SUBSTITUTE(SUBSTITUTE(SUBSTITUTE(SUBSTITUTE("type:"&amp;B1342,"%","%25"),"~","%7E"),"*","%2A"),"?","%3F"),'Rules'!$G$7:$G$26,0)),IF(AND(C1342&lt;&gt;"",C1342&lt;&gt;INDEX('Rules'!$B$7:$B$26,MATCH(SUBSTITUTE(SUBSTITUTE(SUBSTITUTE(SUBSTITUTE("type:"&amp;B1342,"%","%25"),"~","%7E"),"*","%2A"),"?","%3F"),'Rules'!$G$7:$G$26,0))),"Unit mismatch",IF(IF(NOT(ISNUMBER(D1342)),TRUE,OR(D1342&lt;0,D1342&gt;999999999,ROUND(D1342,3)&lt;&gt;D1342)),"Invalid current reading",IF(AND(E1342&lt;&gt;"",IF(NOT(ISNUMBER(E1342)),TRUE,OR(E1342&lt;0,E1342&gt;999999999,ROUND(E1342,3)&lt;&gt;E1342))),"Invalid previous reading",IF(IF(NOT(ISNUMBER(F1342)),TRUE,OR(F1342&lt;0,F1342&gt;999999999,ROUND(F1342,3)&lt;&gt;F1342)),"Invalid last service",IF(AND(E1342&lt;&gt;"",D1342&lt;E1342),"Decreased reading",IF(F1342&gt;D1342,"Last service above current","")))))))))))))</x:f>
      </x:c>
      <x:c r="L1342" s="6" t="str">
        <x:f>IF(AND(NOT(COUNTA(A1342:F1342)=0),K1342=""),INDEX('Rules'!$C$7:$C$26,MATCH(SUBSTITUTE(SUBSTITUTE(SUBSTITUTE(SUBSTITUTE("type:"&amp;B1342,"%","%25"),"~","%7E"),"*","%2A"),"?","%3F"),'Rules'!$G$7:$G$26,0)),"")</x:f>
      </x:c>
      <x:c r="M1342" s="6" t="str">
        <x:f>IF(AND(NOT(COUNTA(A1342:F1342)=0),K1342=""),INDEX('Rules'!$D$7:$D$26,MATCH(SUBSTITUTE(SUBSTITUTE(SUBSTITUTE(SUBSTITUTE("type:"&amp;B1342,"%","%25"),"~","%7E"),"*","%2A"),"?","%3F"),'Rules'!$G$7:$G$26,0)),"")</x:f>
      </x:c>
      <x:c r="N1342" s="5" t="str">
        <x:f>IF(COUNTA(A1342:F1342)=0,"",SUBSTITUTE(SUBSTITUTE(SUBSTITUTE(SUBSTITUTE("id:"&amp;A1342,"%","%25"),"~","%7E"),"*","%2A"),"?","%3F"))</x:f>
      </x:c>
    </x:row>
    <x:row r="1343" ht="22" customHeight="1">
      <x:c r="A1343" s="3"/>
      <x:c r="B1343" s="3"/>
      <x:c r="C1343" s="3"/>
      <x:c r="D1343" s="4"/>
      <x:c r="E1343" s="4"/>
      <x:c r="F1343" s="4"/>
      <x:c r="G1343" s="5" t="str">
        <x:f>IF(COUNTA(A1343:F1343)=0,"",IF(K1343&lt;&gt;"","Review",IF(I1343&lt;0,"Overdue",IF(I1343=0,"Due now",IF(I1343&lt;=M1343,"Due soon","Not due")))))</x:f>
      </x:c>
      <x:c r="H1343" s="5" t="str">
        <x:f>IF(OR(COUNTA(A1343:F1343)=0,COUNTIFS('Rules'!$G$7:$G$26,"="&amp;(SUBSTITUTE(SUBSTITUTE(SUBSTITUTE(SUBSTITUTE("type:"&amp;B1343,"%","%25"),"~","%7E"),"*","%2A"),"?","%3F")))&lt;&gt;1),"",IF(OR(INDEX('Rules'!$B$7:$B$26,MATCH(SUBSTITUTE(SUBSTITUTE(SUBSTITUTE(SUBSTITUTE("type:"&amp;B1343,"%","%25"),"~","%7E"),"*","%2A"),"?","%3F"),'Rules'!$G$7:$G$26,0))="hours",INDEX('Rules'!$B$7:$B$26,MATCH(SUBSTITUTE(SUBSTITUTE(SUBSTITUTE(SUBSTITUTE("type:"&amp;B1343,"%","%25"),"~","%7E"),"*","%2A"),"?","%3F"),'Rules'!$G$7:$G$26,0))="km"),INDEX('Rules'!$B$7:$B$26,MATCH(SUBSTITUTE(SUBSTITUTE(SUBSTITUTE(SUBSTITUTE("type:"&amp;B1343,"%","%25"),"~","%7E"),"*","%2A"),"?","%3F"),'Rules'!$G$7:$G$26,0)),""))</x:f>
      </x:c>
      <x:c r="I1343" s="6" t="str">
        <x:f>IF(AND(NOT(COUNTA(A1343:F1343)=0),K1343=""),ROUND(J1343-D1343,3),"")</x:f>
      </x:c>
      <x:c r="J1343" s="6" t="str">
        <x:f>IF(AND(NOT(COUNTA(A1343:F1343)=0),K1343=""),ROUND(F1343+L1343,3),"")</x:f>
      </x:c>
      <x:c r="K1343" s="5" t="str">
        <x:f>IF(COUNTA(A1343:F1343)=0,"",IF(A1343="","Missing equipment ID",IF(COUNTIFS($N$8:$N$2007,"="&amp;N1343)&gt;1,"Duplicate equipment ID",IF(B1343="","Missing type",IF(COUNTIFS('Rules'!$G$7:$G$26,"="&amp;(SUBSTITUTE(SUBSTITUTE(SUBSTITUTE(SUBSTITUTE("type:"&amp;B1343,"%","%25"),"~","%7E"),"*","%2A"),"?","%3F")))=0,"Unknown type",IF(COUNTIFS('Rules'!$G$7:$G$26,"="&amp;(SUBSTITUTE(SUBSTITUTE(SUBSTITUTE(SUBSTITUTE("type:"&amp;B1343,"%","%25"),"~","%7E"),"*","%2A"),"?","%3F")))&gt;1,"Duplicate type",IF(INDEX('Rules'!$F$7:$F$26,MATCH(SUBSTITUTE(SUBSTITUTE(SUBSTITUTE(SUBSTITUTE("type:"&amp;B1343,"%","%25"),"~","%7E"),"*","%2A"),"?","%3F"),'Rules'!$G$7:$G$26,0))&lt;&gt;"",INDEX('Rules'!$F$7:$F$26,MATCH(SUBSTITUTE(SUBSTITUTE(SUBSTITUTE(SUBSTITUTE("type:"&amp;B1343,"%","%25"),"~","%7E"),"*","%2A"),"?","%3F"),'Rules'!$G$7:$G$26,0)),IF(AND(C1343&lt;&gt;"",C1343&lt;&gt;INDEX('Rules'!$B$7:$B$26,MATCH(SUBSTITUTE(SUBSTITUTE(SUBSTITUTE(SUBSTITUTE("type:"&amp;B1343,"%","%25"),"~","%7E"),"*","%2A"),"?","%3F"),'Rules'!$G$7:$G$26,0))),"Unit mismatch",IF(IF(NOT(ISNUMBER(D1343)),TRUE,OR(D1343&lt;0,D1343&gt;999999999,ROUND(D1343,3)&lt;&gt;D1343)),"Invalid current reading",IF(AND(E1343&lt;&gt;"",IF(NOT(ISNUMBER(E1343)),TRUE,OR(E1343&lt;0,E1343&gt;999999999,ROUND(E1343,3)&lt;&gt;E1343))),"Invalid previous reading",IF(IF(NOT(ISNUMBER(F1343)),TRUE,OR(F1343&lt;0,F1343&gt;999999999,ROUND(F1343,3)&lt;&gt;F1343)),"Invalid last service",IF(AND(E1343&lt;&gt;"",D1343&lt;E1343),"Decreased reading",IF(F1343&gt;D1343,"Last service above current","")))))))))))))</x:f>
      </x:c>
      <x:c r="L1343" s="6" t="str">
        <x:f>IF(AND(NOT(COUNTA(A1343:F1343)=0),K1343=""),INDEX('Rules'!$C$7:$C$26,MATCH(SUBSTITUTE(SUBSTITUTE(SUBSTITUTE(SUBSTITUTE("type:"&amp;B1343,"%","%25"),"~","%7E"),"*","%2A"),"?","%3F"),'Rules'!$G$7:$G$26,0)),"")</x:f>
      </x:c>
      <x:c r="M1343" s="6" t="str">
        <x:f>IF(AND(NOT(COUNTA(A1343:F1343)=0),K1343=""),INDEX('Rules'!$D$7:$D$26,MATCH(SUBSTITUTE(SUBSTITUTE(SUBSTITUTE(SUBSTITUTE("type:"&amp;B1343,"%","%25"),"~","%7E"),"*","%2A"),"?","%3F"),'Rules'!$G$7:$G$26,0)),"")</x:f>
      </x:c>
      <x:c r="N1343" s="5" t="str">
        <x:f>IF(COUNTA(A1343:F1343)=0,"",SUBSTITUTE(SUBSTITUTE(SUBSTITUTE(SUBSTITUTE("id:"&amp;A1343,"%","%25"),"~","%7E"),"*","%2A"),"?","%3F"))</x:f>
      </x:c>
    </x:row>
    <x:row r="1344" ht="22" customHeight="1">
      <x:c r="A1344" s="3"/>
      <x:c r="B1344" s="3"/>
      <x:c r="C1344" s="3"/>
      <x:c r="D1344" s="4"/>
      <x:c r="E1344" s="4"/>
      <x:c r="F1344" s="4"/>
      <x:c r="G1344" s="5" t="str">
        <x:f>IF(COUNTA(A1344:F1344)=0,"",IF(K1344&lt;&gt;"","Review",IF(I1344&lt;0,"Overdue",IF(I1344=0,"Due now",IF(I1344&lt;=M1344,"Due soon","Not due")))))</x:f>
      </x:c>
      <x:c r="H1344" s="5" t="str">
        <x:f>IF(OR(COUNTA(A1344:F1344)=0,COUNTIFS('Rules'!$G$7:$G$26,"="&amp;(SUBSTITUTE(SUBSTITUTE(SUBSTITUTE(SUBSTITUTE("type:"&amp;B1344,"%","%25"),"~","%7E"),"*","%2A"),"?","%3F")))&lt;&gt;1),"",IF(OR(INDEX('Rules'!$B$7:$B$26,MATCH(SUBSTITUTE(SUBSTITUTE(SUBSTITUTE(SUBSTITUTE("type:"&amp;B1344,"%","%25"),"~","%7E"),"*","%2A"),"?","%3F"),'Rules'!$G$7:$G$26,0))="hours",INDEX('Rules'!$B$7:$B$26,MATCH(SUBSTITUTE(SUBSTITUTE(SUBSTITUTE(SUBSTITUTE("type:"&amp;B1344,"%","%25"),"~","%7E"),"*","%2A"),"?","%3F"),'Rules'!$G$7:$G$26,0))="km"),INDEX('Rules'!$B$7:$B$26,MATCH(SUBSTITUTE(SUBSTITUTE(SUBSTITUTE(SUBSTITUTE("type:"&amp;B1344,"%","%25"),"~","%7E"),"*","%2A"),"?","%3F"),'Rules'!$G$7:$G$26,0)),""))</x:f>
      </x:c>
      <x:c r="I1344" s="6" t="str">
        <x:f>IF(AND(NOT(COUNTA(A1344:F1344)=0),K1344=""),ROUND(J1344-D1344,3),"")</x:f>
      </x:c>
      <x:c r="J1344" s="6" t="str">
        <x:f>IF(AND(NOT(COUNTA(A1344:F1344)=0),K1344=""),ROUND(F1344+L1344,3),"")</x:f>
      </x:c>
      <x:c r="K1344" s="5" t="str">
        <x:f>IF(COUNTA(A1344:F1344)=0,"",IF(A1344="","Missing equipment ID",IF(COUNTIFS($N$8:$N$2007,"="&amp;N1344)&gt;1,"Duplicate equipment ID",IF(B1344="","Missing type",IF(COUNTIFS('Rules'!$G$7:$G$26,"="&amp;(SUBSTITUTE(SUBSTITUTE(SUBSTITUTE(SUBSTITUTE("type:"&amp;B1344,"%","%25"),"~","%7E"),"*","%2A"),"?","%3F")))=0,"Unknown type",IF(COUNTIFS('Rules'!$G$7:$G$26,"="&amp;(SUBSTITUTE(SUBSTITUTE(SUBSTITUTE(SUBSTITUTE("type:"&amp;B1344,"%","%25"),"~","%7E"),"*","%2A"),"?","%3F")))&gt;1,"Duplicate type",IF(INDEX('Rules'!$F$7:$F$26,MATCH(SUBSTITUTE(SUBSTITUTE(SUBSTITUTE(SUBSTITUTE("type:"&amp;B1344,"%","%25"),"~","%7E"),"*","%2A"),"?","%3F"),'Rules'!$G$7:$G$26,0))&lt;&gt;"",INDEX('Rules'!$F$7:$F$26,MATCH(SUBSTITUTE(SUBSTITUTE(SUBSTITUTE(SUBSTITUTE("type:"&amp;B1344,"%","%25"),"~","%7E"),"*","%2A"),"?","%3F"),'Rules'!$G$7:$G$26,0)),IF(AND(C1344&lt;&gt;"",C1344&lt;&gt;INDEX('Rules'!$B$7:$B$26,MATCH(SUBSTITUTE(SUBSTITUTE(SUBSTITUTE(SUBSTITUTE("type:"&amp;B1344,"%","%25"),"~","%7E"),"*","%2A"),"?","%3F"),'Rules'!$G$7:$G$26,0))),"Unit mismatch",IF(IF(NOT(ISNUMBER(D1344)),TRUE,OR(D1344&lt;0,D1344&gt;999999999,ROUND(D1344,3)&lt;&gt;D1344)),"Invalid current reading",IF(AND(E1344&lt;&gt;"",IF(NOT(ISNUMBER(E1344)),TRUE,OR(E1344&lt;0,E1344&gt;999999999,ROUND(E1344,3)&lt;&gt;E1344))),"Invalid previous reading",IF(IF(NOT(ISNUMBER(F1344)),TRUE,OR(F1344&lt;0,F1344&gt;999999999,ROUND(F1344,3)&lt;&gt;F1344)),"Invalid last service",IF(AND(E1344&lt;&gt;"",D1344&lt;E1344),"Decreased reading",IF(F1344&gt;D1344,"Last service above current","")))))))))))))</x:f>
      </x:c>
      <x:c r="L1344" s="6" t="str">
        <x:f>IF(AND(NOT(COUNTA(A1344:F1344)=0),K1344=""),INDEX('Rules'!$C$7:$C$26,MATCH(SUBSTITUTE(SUBSTITUTE(SUBSTITUTE(SUBSTITUTE("type:"&amp;B1344,"%","%25"),"~","%7E"),"*","%2A"),"?","%3F"),'Rules'!$G$7:$G$26,0)),"")</x:f>
      </x:c>
      <x:c r="M1344" s="6" t="str">
        <x:f>IF(AND(NOT(COUNTA(A1344:F1344)=0),K1344=""),INDEX('Rules'!$D$7:$D$26,MATCH(SUBSTITUTE(SUBSTITUTE(SUBSTITUTE(SUBSTITUTE("type:"&amp;B1344,"%","%25"),"~","%7E"),"*","%2A"),"?","%3F"),'Rules'!$G$7:$G$26,0)),"")</x:f>
      </x:c>
      <x:c r="N1344" s="5" t="str">
        <x:f>IF(COUNTA(A1344:F1344)=0,"",SUBSTITUTE(SUBSTITUTE(SUBSTITUTE(SUBSTITUTE("id:"&amp;A1344,"%","%25"),"~","%7E"),"*","%2A"),"?","%3F"))</x:f>
      </x:c>
    </x:row>
    <x:row r="1345" ht="22" customHeight="1">
      <x:c r="A1345" s="3"/>
      <x:c r="B1345" s="3"/>
      <x:c r="C1345" s="3"/>
      <x:c r="D1345" s="4"/>
      <x:c r="E1345" s="4"/>
      <x:c r="F1345" s="4"/>
      <x:c r="G1345" s="5" t="str">
        <x:f>IF(COUNTA(A1345:F1345)=0,"",IF(K1345&lt;&gt;"","Review",IF(I1345&lt;0,"Overdue",IF(I1345=0,"Due now",IF(I1345&lt;=M1345,"Due soon","Not due")))))</x:f>
      </x:c>
      <x:c r="H1345" s="5" t="str">
        <x:f>IF(OR(COUNTA(A1345:F1345)=0,COUNTIFS('Rules'!$G$7:$G$26,"="&amp;(SUBSTITUTE(SUBSTITUTE(SUBSTITUTE(SUBSTITUTE("type:"&amp;B1345,"%","%25"),"~","%7E"),"*","%2A"),"?","%3F")))&lt;&gt;1),"",IF(OR(INDEX('Rules'!$B$7:$B$26,MATCH(SUBSTITUTE(SUBSTITUTE(SUBSTITUTE(SUBSTITUTE("type:"&amp;B1345,"%","%25"),"~","%7E"),"*","%2A"),"?","%3F"),'Rules'!$G$7:$G$26,0))="hours",INDEX('Rules'!$B$7:$B$26,MATCH(SUBSTITUTE(SUBSTITUTE(SUBSTITUTE(SUBSTITUTE("type:"&amp;B1345,"%","%25"),"~","%7E"),"*","%2A"),"?","%3F"),'Rules'!$G$7:$G$26,0))="km"),INDEX('Rules'!$B$7:$B$26,MATCH(SUBSTITUTE(SUBSTITUTE(SUBSTITUTE(SUBSTITUTE("type:"&amp;B1345,"%","%25"),"~","%7E"),"*","%2A"),"?","%3F"),'Rules'!$G$7:$G$26,0)),""))</x:f>
      </x:c>
      <x:c r="I1345" s="6" t="str">
        <x:f>IF(AND(NOT(COUNTA(A1345:F1345)=0),K1345=""),ROUND(J1345-D1345,3),"")</x:f>
      </x:c>
      <x:c r="J1345" s="6" t="str">
        <x:f>IF(AND(NOT(COUNTA(A1345:F1345)=0),K1345=""),ROUND(F1345+L1345,3),"")</x:f>
      </x:c>
      <x:c r="K1345" s="5" t="str">
        <x:f>IF(COUNTA(A1345:F1345)=0,"",IF(A1345="","Missing equipment ID",IF(COUNTIFS($N$8:$N$2007,"="&amp;N1345)&gt;1,"Duplicate equipment ID",IF(B1345="","Missing type",IF(COUNTIFS('Rules'!$G$7:$G$26,"="&amp;(SUBSTITUTE(SUBSTITUTE(SUBSTITUTE(SUBSTITUTE("type:"&amp;B1345,"%","%25"),"~","%7E"),"*","%2A"),"?","%3F")))=0,"Unknown type",IF(COUNTIFS('Rules'!$G$7:$G$26,"="&amp;(SUBSTITUTE(SUBSTITUTE(SUBSTITUTE(SUBSTITUTE("type:"&amp;B1345,"%","%25"),"~","%7E"),"*","%2A"),"?","%3F")))&gt;1,"Duplicate type",IF(INDEX('Rules'!$F$7:$F$26,MATCH(SUBSTITUTE(SUBSTITUTE(SUBSTITUTE(SUBSTITUTE("type:"&amp;B1345,"%","%25"),"~","%7E"),"*","%2A"),"?","%3F"),'Rules'!$G$7:$G$26,0))&lt;&gt;"",INDEX('Rules'!$F$7:$F$26,MATCH(SUBSTITUTE(SUBSTITUTE(SUBSTITUTE(SUBSTITUTE("type:"&amp;B1345,"%","%25"),"~","%7E"),"*","%2A"),"?","%3F"),'Rules'!$G$7:$G$26,0)),IF(AND(C1345&lt;&gt;"",C1345&lt;&gt;INDEX('Rules'!$B$7:$B$26,MATCH(SUBSTITUTE(SUBSTITUTE(SUBSTITUTE(SUBSTITUTE("type:"&amp;B1345,"%","%25"),"~","%7E"),"*","%2A"),"?","%3F"),'Rules'!$G$7:$G$26,0))),"Unit mismatch",IF(IF(NOT(ISNUMBER(D1345)),TRUE,OR(D1345&lt;0,D1345&gt;999999999,ROUND(D1345,3)&lt;&gt;D1345)),"Invalid current reading",IF(AND(E1345&lt;&gt;"",IF(NOT(ISNUMBER(E1345)),TRUE,OR(E1345&lt;0,E1345&gt;999999999,ROUND(E1345,3)&lt;&gt;E1345))),"Invalid previous reading",IF(IF(NOT(ISNUMBER(F1345)),TRUE,OR(F1345&lt;0,F1345&gt;999999999,ROUND(F1345,3)&lt;&gt;F1345)),"Invalid last service",IF(AND(E1345&lt;&gt;"",D1345&lt;E1345),"Decreased reading",IF(F1345&gt;D1345,"Last service above current","")))))))))))))</x:f>
      </x:c>
      <x:c r="L1345" s="6" t="str">
        <x:f>IF(AND(NOT(COUNTA(A1345:F1345)=0),K1345=""),INDEX('Rules'!$C$7:$C$26,MATCH(SUBSTITUTE(SUBSTITUTE(SUBSTITUTE(SUBSTITUTE("type:"&amp;B1345,"%","%25"),"~","%7E"),"*","%2A"),"?","%3F"),'Rules'!$G$7:$G$26,0)),"")</x:f>
      </x:c>
      <x:c r="M1345" s="6" t="str">
        <x:f>IF(AND(NOT(COUNTA(A1345:F1345)=0),K1345=""),INDEX('Rules'!$D$7:$D$26,MATCH(SUBSTITUTE(SUBSTITUTE(SUBSTITUTE(SUBSTITUTE("type:"&amp;B1345,"%","%25"),"~","%7E"),"*","%2A"),"?","%3F"),'Rules'!$G$7:$G$26,0)),"")</x:f>
      </x:c>
      <x:c r="N1345" s="5" t="str">
        <x:f>IF(COUNTA(A1345:F1345)=0,"",SUBSTITUTE(SUBSTITUTE(SUBSTITUTE(SUBSTITUTE("id:"&amp;A1345,"%","%25"),"~","%7E"),"*","%2A"),"?","%3F"))</x:f>
      </x:c>
    </x:row>
    <x:row r="1346" ht="22" customHeight="1">
      <x:c r="A1346" s="3"/>
      <x:c r="B1346" s="3"/>
      <x:c r="C1346" s="3"/>
      <x:c r="D1346" s="4"/>
      <x:c r="E1346" s="4"/>
      <x:c r="F1346" s="4"/>
      <x:c r="G1346" s="5" t="str">
        <x:f>IF(COUNTA(A1346:F1346)=0,"",IF(K1346&lt;&gt;"","Review",IF(I1346&lt;0,"Overdue",IF(I1346=0,"Due now",IF(I1346&lt;=M1346,"Due soon","Not due")))))</x:f>
      </x:c>
      <x:c r="H1346" s="5" t="str">
        <x:f>IF(OR(COUNTA(A1346:F1346)=0,COUNTIFS('Rules'!$G$7:$G$26,"="&amp;(SUBSTITUTE(SUBSTITUTE(SUBSTITUTE(SUBSTITUTE("type:"&amp;B1346,"%","%25"),"~","%7E"),"*","%2A"),"?","%3F")))&lt;&gt;1),"",IF(OR(INDEX('Rules'!$B$7:$B$26,MATCH(SUBSTITUTE(SUBSTITUTE(SUBSTITUTE(SUBSTITUTE("type:"&amp;B1346,"%","%25"),"~","%7E"),"*","%2A"),"?","%3F"),'Rules'!$G$7:$G$26,0))="hours",INDEX('Rules'!$B$7:$B$26,MATCH(SUBSTITUTE(SUBSTITUTE(SUBSTITUTE(SUBSTITUTE("type:"&amp;B1346,"%","%25"),"~","%7E"),"*","%2A"),"?","%3F"),'Rules'!$G$7:$G$26,0))="km"),INDEX('Rules'!$B$7:$B$26,MATCH(SUBSTITUTE(SUBSTITUTE(SUBSTITUTE(SUBSTITUTE("type:"&amp;B1346,"%","%25"),"~","%7E"),"*","%2A"),"?","%3F"),'Rules'!$G$7:$G$26,0)),""))</x:f>
      </x:c>
      <x:c r="I1346" s="6" t="str">
        <x:f>IF(AND(NOT(COUNTA(A1346:F1346)=0),K1346=""),ROUND(J1346-D1346,3),"")</x:f>
      </x:c>
      <x:c r="J1346" s="6" t="str">
        <x:f>IF(AND(NOT(COUNTA(A1346:F1346)=0),K1346=""),ROUND(F1346+L1346,3),"")</x:f>
      </x:c>
      <x:c r="K1346" s="5" t="str">
        <x:f>IF(COUNTA(A1346:F1346)=0,"",IF(A1346="","Missing equipment ID",IF(COUNTIFS($N$8:$N$2007,"="&amp;N1346)&gt;1,"Duplicate equipment ID",IF(B1346="","Missing type",IF(COUNTIFS('Rules'!$G$7:$G$26,"="&amp;(SUBSTITUTE(SUBSTITUTE(SUBSTITUTE(SUBSTITUTE("type:"&amp;B1346,"%","%25"),"~","%7E"),"*","%2A"),"?","%3F")))=0,"Unknown type",IF(COUNTIFS('Rules'!$G$7:$G$26,"="&amp;(SUBSTITUTE(SUBSTITUTE(SUBSTITUTE(SUBSTITUTE("type:"&amp;B1346,"%","%25"),"~","%7E"),"*","%2A"),"?","%3F")))&gt;1,"Duplicate type",IF(INDEX('Rules'!$F$7:$F$26,MATCH(SUBSTITUTE(SUBSTITUTE(SUBSTITUTE(SUBSTITUTE("type:"&amp;B1346,"%","%25"),"~","%7E"),"*","%2A"),"?","%3F"),'Rules'!$G$7:$G$26,0))&lt;&gt;"",INDEX('Rules'!$F$7:$F$26,MATCH(SUBSTITUTE(SUBSTITUTE(SUBSTITUTE(SUBSTITUTE("type:"&amp;B1346,"%","%25"),"~","%7E"),"*","%2A"),"?","%3F"),'Rules'!$G$7:$G$26,0)),IF(AND(C1346&lt;&gt;"",C1346&lt;&gt;INDEX('Rules'!$B$7:$B$26,MATCH(SUBSTITUTE(SUBSTITUTE(SUBSTITUTE(SUBSTITUTE("type:"&amp;B1346,"%","%25"),"~","%7E"),"*","%2A"),"?","%3F"),'Rules'!$G$7:$G$26,0))),"Unit mismatch",IF(IF(NOT(ISNUMBER(D1346)),TRUE,OR(D1346&lt;0,D1346&gt;999999999,ROUND(D1346,3)&lt;&gt;D1346)),"Invalid current reading",IF(AND(E1346&lt;&gt;"",IF(NOT(ISNUMBER(E1346)),TRUE,OR(E1346&lt;0,E1346&gt;999999999,ROUND(E1346,3)&lt;&gt;E1346))),"Invalid previous reading",IF(IF(NOT(ISNUMBER(F1346)),TRUE,OR(F1346&lt;0,F1346&gt;999999999,ROUND(F1346,3)&lt;&gt;F1346)),"Invalid last service",IF(AND(E1346&lt;&gt;"",D1346&lt;E1346),"Decreased reading",IF(F1346&gt;D1346,"Last service above current","")))))))))))))</x:f>
      </x:c>
      <x:c r="L1346" s="6" t="str">
        <x:f>IF(AND(NOT(COUNTA(A1346:F1346)=0),K1346=""),INDEX('Rules'!$C$7:$C$26,MATCH(SUBSTITUTE(SUBSTITUTE(SUBSTITUTE(SUBSTITUTE("type:"&amp;B1346,"%","%25"),"~","%7E"),"*","%2A"),"?","%3F"),'Rules'!$G$7:$G$26,0)),"")</x:f>
      </x:c>
      <x:c r="M1346" s="6" t="str">
        <x:f>IF(AND(NOT(COUNTA(A1346:F1346)=0),K1346=""),INDEX('Rules'!$D$7:$D$26,MATCH(SUBSTITUTE(SUBSTITUTE(SUBSTITUTE(SUBSTITUTE("type:"&amp;B1346,"%","%25"),"~","%7E"),"*","%2A"),"?","%3F"),'Rules'!$G$7:$G$26,0)),"")</x:f>
      </x:c>
      <x:c r="N1346" s="5" t="str">
        <x:f>IF(COUNTA(A1346:F1346)=0,"",SUBSTITUTE(SUBSTITUTE(SUBSTITUTE(SUBSTITUTE("id:"&amp;A1346,"%","%25"),"~","%7E"),"*","%2A"),"?","%3F"))</x:f>
      </x:c>
    </x:row>
    <x:row r="1347" ht="22" customHeight="1">
      <x:c r="A1347" s="3"/>
      <x:c r="B1347" s="3"/>
      <x:c r="C1347" s="3"/>
      <x:c r="D1347" s="4"/>
      <x:c r="E1347" s="4"/>
      <x:c r="F1347" s="4"/>
      <x:c r="G1347" s="5" t="str">
        <x:f>IF(COUNTA(A1347:F1347)=0,"",IF(K1347&lt;&gt;"","Review",IF(I1347&lt;0,"Overdue",IF(I1347=0,"Due now",IF(I1347&lt;=M1347,"Due soon","Not due")))))</x:f>
      </x:c>
      <x:c r="H1347" s="5" t="str">
        <x:f>IF(OR(COUNTA(A1347:F1347)=0,COUNTIFS('Rules'!$G$7:$G$26,"="&amp;(SUBSTITUTE(SUBSTITUTE(SUBSTITUTE(SUBSTITUTE("type:"&amp;B1347,"%","%25"),"~","%7E"),"*","%2A"),"?","%3F")))&lt;&gt;1),"",IF(OR(INDEX('Rules'!$B$7:$B$26,MATCH(SUBSTITUTE(SUBSTITUTE(SUBSTITUTE(SUBSTITUTE("type:"&amp;B1347,"%","%25"),"~","%7E"),"*","%2A"),"?","%3F"),'Rules'!$G$7:$G$26,0))="hours",INDEX('Rules'!$B$7:$B$26,MATCH(SUBSTITUTE(SUBSTITUTE(SUBSTITUTE(SUBSTITUTE("type:"&amp;B1347,"%","%25"),"~","%7E"),"*","%2A"),"?","%3F"),'Rules'!$G$7:$G$26,0))="km"),INDEX('Rules'!$B$7:$B$26,MATCH(SUBSTITUTE(SUBSTITUTE(SUBSTITUTE(SUBSTITUTE("type:"&amp;B1347,"%","%25"),"~","%7E"),"*","%2A"),"?","%3F"),'Rules'!$G$7:$G$26,0)),""))</x:f>
      </x:c>
      <x:c r="I1347" s="6" t="str">
        <x:f>IF(AND(NOT(COUNTA(A1347:F1347)=0),K1347=""),ROUND(J1347-D1347,3),"")</x:f>
      </x:c>
      <x:c r="J1347" s="6" t="str">
        <x:f>IF(AND(NOT(COUNTA(A1347:F1347)=0),K1347=""),ROUND(F1347+L1347,3),"")</x:f>
      </x:c>
      <x:c r="K1347" s="5" t="str">
        <x:f>IF(COUNTA(A1347:F1347)=0,"",IF(A1347="","Missing equipment ID",IF(COUNTIFS($N$8:$N$2007,"="&amp;N1347)&gt;1,"Duplicate equipment ID",IF(B1347="","Missing type",IF(COUNTIFS('Rules'!$G$7:$G$26,"="&amp;(SUBSTITUTE(SUBSTITUTE(SUBSTITUTE(SUBSTITUTE("type:"&amp;B1347,"%","%25"),"~","%7E"),"*","%2A"),"?","%3F")))=0,"Unknown type",IF(COUNTIFS('Rules'!$G$7:$G$26,"="&amp;(SUBSTITUTE(SUBSTITUTE(SUBSTITUTE(SUBSTITUTE("type:"&amp;B1347,"%","%25"),"~","%7E"),"*","%2A"),"?","%3F")))&gt;1,"Duplicate type",IF(INDEX('Rules'!$F$7:$F$26,MATCH(SUBSTITUTE(SUBSTITUTE(SUBSTITUTE(SUBSTITUTE("type:"&amp;B1347,"%","%25"),"~","%7E"),"*","%2A"),"?","%3F"),'Rules'!$G$7:$G$26,0))&lt;&gt;"",INDEX('Rules'!$F$7:$F$26,MATCH(SUBSTITUTE(SUBSTITUTE(SUBSTITUTE(SUBSTITUTE("type:"&amp;B1347,"%","%25"),"~","%7E"),"*","%2A"),"?","%3F"),'Rules'!$G$7:$G$26,0)),IF(AND(C1347&lt;&gt;"",C1347&lt;&gt;INDEX('Rules'!$B$7:$B$26,MATCH(SUBSTITUTE(SUBSTITUTE(SUBSTITUTE(SUBSTITUTE("type:"&amp;B1347,"%","%25"),"~","%7E"),"*","%2A"),"?","%3F"),'Rules'!$G$7:$G$26,0))),"Unit mismatch",IF(IF(NOT(ISNUMBER(D1347)),TRUE,OR(D1347&lt;0,D1347&gt;999999999,ROUND(D1347,3)&lt;&gt;D1347)),"Invalid current reading",IF(AND(E1347&lt;&gt;"",IF(NOT(ISNUMBER(E1347)),TRUE,OR(E1347&lt;0,E1347&gt;999999999,ROUND(E1347,3)&lt;&gt;E1347))),"Invalid previous reading",IF(IF(NOT(ISNUMBER(F1347)),TRUE,OR(F1347&lt;0,F1347&gt;999999999,ROUND(F1347,3)&lt;&gt;F1347)),"Invalid last service",IF(AND(E1347&lt;&gt;"",D1347&lt;E1347),"Decreased reading",IF(F1347&gt;D1347,"Last service above current","")))))))))))))</x:f>
      </x:c>
      <x:c r="L1347" s="6" t="str">
        <x:f>IF(AND(NOT(COUNTA(A1347:F1347)=0),K1347=""),INDEX('Rules'!$C$7:$C$26,MATCH(SUBSTITUTE(SUBSTITUTE(SUBSTITUTE(SUBSTITUTE("type:"&amp;B1347,"%","%25"),"~","%7E"),"*","%2A"),"?","%3F"),'Rules'!$G$7:$G$26,0)),"")</x:f>
      </x:c>
      <x:c r="M1347" s="6" t="str">
        <x:f>IF(AND(NOT(COUNTA(A1347:F1347)=0),K1347=""),INDEX('Rules'!$D$7:$D$26,MATCH(SUBSTITUTE(SUBSTITUTE(SUBSTITUTE(SUBSTITUTE("type:"&amp;B1347,"%","%25"),"~","%7E"),"*","%2A"),"?","%3F"),'Rules'!$G$7:$G$26,0)),"")</x:f>
      </x:c>
      <x:c r="N1347" s="5" t="str">
        <x:f>IF(COUNTA(A1347:F1347)=0,"",SUBSTITUTE(SUBSTITUTE(SUBSTITUTE(SUBSTITUTE("id:"&amp;A1347,"%","%25"),"~","%7E"),"*","%2A"),"?","%3F"))</x:f>
      </x:c>
    </x:row>
    <x:row r="1348" ht="22" customHeight="1">
      <x:c r="A1348" s="3"/>
      <x:c r="B1348" s="3"/>
      <x:c r="C1348" s="3"/>
      <x:c r="D1348" s="4"/>
      <x:c r="E1348" s="4"/>
      <x:c r="F1348" s="4"/>
      <x:c r="G1348" s="5" t="str">
        <x:f>IF(COUNTA(A1348:F1348)=0,"",IF(K1348&lt;&gt;"","Review",IF(I1348&lt;0,"Overdue",IF(I1348=0,"Due now",IF(I1348&lt;=M1348,"Due soon","Not due")))))</x:f>
      </x:c>
      <x:c r="H1348" s="5" t="str">
        <x:f>IF(OR(COUNTA(A1348:F1348)=0,COUNTIFS('Rules'!$G$7:$G$26,"="&amp;(SUBSTITUTE(SUBSTITUTE(SUBSTITUTE(SUBSTITUTE("type:"&amp;B1348,"%","%25"),"~","%7E"),"*","%2A"),"?","%3F")))&lt;&gt;1),"",IF(OR(INDEX('Rules'!$B$7:$B$26,MATCH(SUBSTITUTE(SUBSTITUTE(SUBSTITUTE(SUBSTITUTE("type:"&amp;B1348,"%","%25"),"~","%7E"),"*","%2A"),"?","%3F"),'Rules'!$G$7:$G$26,0))="hours",INDEX('Rules'!$B$7:$B$26,MATCH(SUBSTITUTE(SUBSTITUTE(SUBSTITUTE(SUBSTITUTE("type:"&amp;B1348,"%","%25"),"~","%7E"),"*","%2A"),"?","%3F"),'Rules'!$G$7:$G$26,0))="km"),INDEX('Rules'!$B$7:$B$26,MATCH(SUBSTITUTE(SUBSTITUTE(SUBSTITUTE(SUBSTITUTE("type:"&amp;B1348,"%","%25"),"~","%7E"),"*","%2A"),"?","%3F"),'Rules'!$G$7:$G$26,0)),""))</x:f>
      </x:c>
      <x:c r="I1348" s="6" t="str">
        <x:f>IF(AND(NOT(COUNTA(A1348:F1348)=0),K1348=""),ROUND(J1348-D1348,3),"")</x:f>
      </x:c>
      <x:c r="J1348" s="6" t="str">
        <x:f>IF(AND(NOT(COUNTA(A1348:F1348)=0),K1348=""),ROUND(F1348+L1348,3),"")</x:f>
      </x:c>
      <x:c r="K1348" s="5" t="str">
        <x:f>IF(COUNTA(A1348:F1348)=0,"",IF(A1348="","Missing equipment ID",IF(COUNTIFS($N$8:$N$2007,"="&amp;N1348)&gt;1,"Duplicate equipment ID",IF(B1348="","Missing type",IF(COUNTIFS('Rules'!$G$7:$G$26,"="&amp;(SUBSTITUTE(SUBSTITUTE(SUBSTITUTE(SUBSTITUTE("type:"&amp;B1348,"%","%25"),"~","%7E"),"*","%2A"),"?","%3F")))=0,"Unknown type",IF(COUNTIFS('Rules'!$G$7:$G$26,"="&amp;(SUBSTITUTE(SUBSTITUTE(SUBSTITUTE(SUBSTITUTE("type:"&amp;B1348,"%","%25"),"~","%7E"),"*","%2A"),"?","%3F")))&gt;1,"Duplicate type",IF(INDEX('Rules'!$F$7:$F$26,MATCH(SUBSTITUTE(SUBSTITUTE(SUBSTITUTE(SUBSTITUTE("type:"&amp;B1348,"%","%25"),"~","%7E"),"*","%2A"),"?","%3F"),'Rules'!$G$7:$G$26,0))&lt;&gt;"",INDEX('Rules'!$F$7:$F$26,MATCH(SUBSTITUTE(SUBSTITUTE(SUBSTITUTE(SUBSTITUTE("type:"&amp;B1348,"%","%25"),"~","%7E"),"*","%2A"),"?","%3F"),'Rules'!$G$7:$G$26,0)),IF(AND(C1348&lt;&gt;"",C1348&lt;&gt;INDEX('Rules'!$B$7:$B$26,MATCH(SUBSTITUTE(SUBSTITUTE(SUBSTITUTE(SUBSTITUTE("type:"&amp;B1348,"%","%25"),"~","%7E"),"*","%2A"),"?","%3F"),'Rules'!$G$7:$G$26,0))),"Unit mismatch",IF(IF(NOT(ISNUMBER(D1348)),TRUE,OR(D1348&lt;0,D1348&gt;999999999,ROUND(D1348,3)&lt;&gt;D1348)),"Invalid current reading",IF(AND(E1348&lt;&gt;"",IF(NOT(ISNUMBER(E1348)),TRUE,OR(E1348&lt;0,E1348&gt;999999999,ROUND(E1348,3)&lt;&gt;E1348))),"Invalid previous reading",IF(IF(NOT(ISNUMBER(F1348)),TRUE,OR(F1348&lt;0,F1348&gt;999999999,ROUND(F1348,3)&lt;&gt;F1348)),"Invalid last service",IF(AND(E1348&lt;&gt;"",D1348&lt;E1348),"Decreased reading",IF(F1348&gt;D1348,"Last service above current","")))))))))))))</x:f>
      </x:c>
      <x:c r="L1348" s="6" t="str">
        <x:f>IF(AND(NOT(COUNTA(A1348:F1348)=0),K1348=""),INDEX('Rules'!$C$7:$C$26,MATCH(SUBSTITUTE(SUBSTITUTE(SUBSTITUTE(SUBSTITUTE("type:"&amp;B1348,"%","%25"),"~","%7E"),"*","%2A"),"?","%3F"),'Rules'!$G$7:$G$26,0)),"")</x:f>
      </x:c>
      <x:c r="M1348" s="6" t="str">
        <x:f>IF(AND(NOT(COUNTA(A1348:F1348)=0),K1348=""),INDEX('Rules'!$D$7:$D$26,MATCH(SUBSTITUTE(SUBSTITUTE(SUBSTITUTE(SUBSTITUTE("type:"&amp;B1348,"%","%25"),"~","%7E"),"*","%2A"),"?","%3F"),'Rules'!$G$7:$G$26,0)),"")</x:f>
      </x:c>
      <x:c r="N1348" s="5" t="str">
        <x:f>IF(COUNTA(A1348:F1348)=0,"",SUBSTITUTE(SUBSTITUTE(SUBSTITUTE(SUBSTITUTE("id:"&amp;A1348,"%","%25"),"~","%7E"),"*","%2A"),"?","%3F"))</x:f>
      </x:c>
    </x:row>
    <x:row r="1349" ht="22" customHeight="1">
      <x:c r="A1349" s="3"/>
      <x:c r="B1349" s="3"/>
      <x:c r="C1349" s="3"/>
      <x:c r="D1349" s="4"/>
      <x:c r="E1349" s="4"/>
      <x:c r="F1349" s="4"/>
      <x:c r="G1349" s="5" t="str">
        <x:f>IF(COUNTA(A1349:F1349)=0,"",IF(K1349&lt;&gt;"","Review",IF(I1349&lt;0,"Overdue",IF(I1349=0,"Due now",IF(I1349&lt;=M1349,"Due soon","Not due")))))</x:f>
      </x:c>
      <x:c r="H1349" s="5" t="str">
        <x:f>IF(OR(COUNTA(A1349:F1349)=0,COUNTIFS('Rules'!$G$7:$G$26,"="&amp;(SUBSTITUTE(SUBSTITUTE(SUBSTITUTE(SUBSTITUTE("type:"&amp;B1349,"%","%25"),"~","%7E"),"*","%2A"),"?","%3F")))&lt;&gt;1),"",IF(OR(INDEX('Rules'!$B$7:$B$26,MATCH(SUBSTITUTE(SUBSTITUTE(SUBSTITUTE(SUBSTITUTE("type:"&amp;B1349,"%","%25"),"~","%7E"),"*","%2A"),"?","%3F"),'Rules'!$G$7:$G$26,0))="hours",INDEX('Rules'!$B$7:$B$26,MATCH(SUBSTITUTE(SUBSTITUTE(SUBSTITUTE(SUBSTITUTE("type:"&amp;B1349,"%","%25"),"~","%7E"),"*","%2A"),"?","%3F"),'Rules'!$G$7:$G$26,0))="km"),INDEX('Rules'!$B$7:$B$26,MATCH(SUBSTITUTE(SUBSTITUTE(SUBSTITUTE(SUBSTITUTE("type:"&amp;B1349,"%","%25"),"~","%7E"),"*","%2A"),"?","%3F"),'Rules'!$G$7:$G$26,0)),""))</x:f>
      </x:c>
      <x:c r="I1349" s="6" t="str">
        <x:f>IF(AND(NOT(COUNTA(A1349:F1349)=0),K1349=""),ROUND(J1349-D1349,3),"")</x:f>
      </x:c>
      <x:c r="J1349" s="6" t="str">
        <x:f>IF(AND(NOT(COUNTA(A1349:F1349)=0),K1349=""),ROUND(F1349+L1349,3),"")</x:f>
      </x:c>
      <x:c r="K1349" s="5" t="str">
        <x:f>IF(COUNTA(A1349:F1349)=0,"",IF(A1349="","Missing equipment ID",IF(COUNTIFS($N$8:$N$2007,"="&amp;N1349)&gt;1,"Duplicate equipment ID",IF(B1349="","Missing type",IF(COUNTIFS('Rules'!$G$7:$G$26,"="&amp;(SUBSTITUTE(SUBSTITUTE(SUBSTITUTE(SUBSTITUTE("type:"&amp;B1349,"%","%25"),"~","%7E"),"*","%2A"),"?","%3F")))=0,"Unknown type",IF(COUNTIFS('Rules'!$G$7:$G$26,"="&amp;(SUBSTITUTE(SUBSTITUTE(SUBSTITUTE(SUBSTITUTE("type:"&amp;B1349,"%","%25"),"~","%7E"),"*","%2A"),"?","%3F")))&gt;1,"Duplicate type",IF(INDEX('Rules'!$F$7:$F$26,MATCH(SUBSTITUTE(SUBSTITUTE(SUBSTITUTE(SUBSTITUTE("type:"&amp;B1349,"%","%25"),"~","%7E"),"*","%2A"),"?","%3F"),'Rules'!$G$7:$G$26,0))&lt;&gt;"",INDEX('Rules'!$F$7:$F$26,MATCH(SUBSTITUTE(SUBSTITUTE(SUBSTITUTE(SUBSTITUTE("type:"&amp;B1349,"%","%25"),"~","%7E"),"*","%2A"),"?","%3F"),'Rules'!$G$7:$G$26,0)),IF(AND(C1349&lt;&gt;"",C1349&lt;&gt;INDEX('Rules'!$B$7:$B$26,MATCH(SUBSTITUTE(SUBSTITUTE(SUBSTITUTE(SUBSTITUTE("type:"&amp;B1349,"%","%25"),"~","%7E"),"*","%2A"),"?","%3F"),'Rules'!$G$7:$G$26,0))),"Unit mismatch",IF(IF(NOT(ISNUMBER(D1349)),TRUE,OR(D1349&lt;0,D1349&gt;999999999,ROUND(D1349,3)&lt;&gt;D1349)),"Invalid current reading",IF(AND(E1349&lt;&gt;"",IF(NOT(ISNUMBER(E1349)),TRUE,OR(E1349&lt;0,E1349&gt;999999999,ROUND(E1349,3)&lt;&gt;E1349))),"Invalid previous reading",IF(IF(NOT(ISNUMBER(F1349)),TRUE,OR(F1349&lt;0,F1349&gt;999999999,ROUND(F1349,3)&lt;&gt;F1349)),"Invalid last service",IF(AND(E1349&lt;&gt;"",D1349&lt;E1349),"Decreased reading",IF(F1349&gt;D1349,"Last service above current","")))))))))))))</x:f>
      </x:c>
      <x:c r="L1349" s="6" t="str">
        <x:f>IF(AND(NOT(COUNTA(A1349:F1349)=0),K1349=""),INDEX('Rules'!$C$7:$C$26,MATCH(SUBSTITUTE(SUBSTITUTE(SUBSTITUTE(SUBSTITUTE("type:"&amp;B1349,"%","%25"),"~","%7E"),"*","%2A"),"?","%3F"),'Rules'!$G$7:$G$26,0)),"")</x:f>
      </x:c>
      <x:c r="M1349" s="6" t="str">
        <x:f>IF(AND(NOT(COUNTA(A1349:F1349)=0),K1349=""),INDEX('Rules'!$D$7:$D$26,MATCH(SUBSTITUTE(SUBSTITUTE(SUBSTITUTE(SUBSTITUTE("type:"&amp;B1349,"%","%25"),"~","%7E"),"*","%2A"),"?","%3F"),'Rules'!$G$7:$G$26,0)),"")</x:f>
      </x:c>
      <x:c r="N1349" s="5" t="str">
        <x:f>IF(COUNTA(A1349:F1349)=0,"",SUBSTITUTE(SUBSTITUTE(SUBSTITUTE(SUBSTITUTE("id:"&amp;A1349,"%","%25"),"~","%7E"),"*","%2A"),"?","%3F"))</x:f>
      </x:c>
    </x:row>
    <x:row r="1350" ht="22" customHeight="1">
      <x:c r="A1350" s="3"/>
      <x:c r="B1350" s="3"/>
      <x:c r="C1350" s="3"/>
      <x:c r="D1350" s="4"/>
      <x:c r="E1350" s="4"/>
      <x:c r="F1350" s="4"/>
      <x:c r="G1350" s="5" t="str">
        <x:f>IF(COUNTA(A1350:F1350)=0,"",IF(K1350&lt;&gt;"","Review",IF(I1350&lt;0,"Overdue",IF(I1350=0,"Due now",IF(I1350&lt;=M1350,"Due soon","Not due")))))</x:f>
      </x:c>
      <x:c r="H1350" s="5" t="str">
        <x:f>IF(OR(COUNTA(A1350:F1350)=0,COUNTIFS('Rules'!$G$7:$G$26,"="&amp;(SUBSTITUTE(SUBSTITUTE(SUBSTITUTE(SUBSTITUTE("type:"&amp;B1350,"%","%25"),"~","%7E"),"*","%2A"),"?","%3F")))&lt;&gt;1),"",IF(OR(INDEX('Rules'!$B$7:$B$26,MATCH(SUBSTITUTE(SUBSTITUTE(SUBSTITUTE(SUBSTITUTE("type:"&amp;B1350,"%","%25"),"~","%7E"),"*","%2A"),"?","%3F"),'Rules'!$G$7:$G$26,0))="hours",INDEX('Rules'!$B$7:$B$26,MATCH(SUBSTITUTE(SUBSTITUTE(SUBSTITUTE(SUBSTITUTE("type:"&amp;B1350,"%","%25"),"~","%7E"),"*","%2A"),"?","%3F"),'Rules'!$G$7:$G$26,0))="km"),INDEX('Rules'!$B$7:$B$26,MATCH(SUBSTITUTE(SUBSTITUTE(SUBSTITUTE(SUBSTITUTE("type:"&amp;B1350,"%","%25"),"~","%7E"),"*","%2A"),"?","%3F"),'Rules'!$G$7:$G$26,0)),""))</x:f>
      </x:c>
      <x:c r="I1350" s="6" t="str">
        <x:f>IF(AND(NOT(COUNTA(A1350:F1350)=0),K1350=""),ROUND(J1350-D1350,3),"")</x:f>
      </x:c>
      <x:c r="J1350" s="6" t="str">
        <x:f>IF(AND(NOT(COUNTA(A1350:F1350)=0),K1350=""),ROUND(F1350+L1350,3),"")</x:f>
      </x:c>
      <x:c r="K1350" s="5" t="str">
        <x:f>IF(COUNTA(A1350:F1350)=0,"",IF(A1350="","Missing equipment ID",IF(COUNTIFS($N$8:$N$2007,"="&amp;N1350)&gt;1,"Duplicate equipment ID",IF(B1350="","Missing type",IF(COUNTIFS('Rules'!$G$7:$G$26,"="&amp;(SUBSTITUTE(SUBSTITUTE(SUBSTITUTE(SUBSTITUTE("type:"&amp;B1350,"%","%25"),"~","%7E"),"*","%2A"),"?","%3F")))=0,"Unknown type",IF(COUNTIFS('Rules'!$G$7:$G$26,"="&amp;(SUBSTITUTE(SUBSTITUTE(SUBSTITUTE(SUBSTITUTE("type:"&amp;B1350,"%","%25"),"~","%7E"),"*","%2A"),"?","%3F")))&gt;1,"Duplicate type",IF(INDEX('Rules'!$F$7:$F$26,MATCH(SUBSTITUTE(SUBSTITUTE(SUBSTITUTE(SUBSTITUTE("type:"&amp;B1350,"%","%25"),"~","%7E"),"*","%2A"),"?","%3F"),'Rules'!$G$7:$G$26,0))&lt;&gt;"",INDEX('Rules'!$F$7:$F$26,MATCH(SUBSTITUTE(SUBSTITUTE(SUBSTITUTE(SUBSTITUTE("type:"&amp;B1350,"%","%25"),"~","%7E"),"*","%2A"),"?","%3F"),'Rules'!$G$7:$G$26,0)),IF(AND(C1350&lt;&gt;"",C1350&lt;&gt;INDEX('Rules'!$B$7:$B$26,MATCH(SUBSTITUTE(SUBSTITUTE(SUBSTITUTE(SUBSTITUTE("type:"&amp;B1350,"%","%25"),"~","%7E"),"*","%2A"),"?","%3F"),'Rules'!$G$7:$G$26,0))),"Unit mismatch",IF(IF(NOT(ISNUMBER(D1350)),TRUE,OR(D1350&lt;0,D1350&gt;999999999,ROUND(D1350,3)&lt;&gt;D1350)),"Invalid current reading",IF(AND(E1350&lt;&gt;"",IF(NOT(ISNUMBER(E1350)),TRUE,OR(E1350&lt;0,E1350&gt;999999999,ROUND(E1350,3)&lt;&gt;E1350))),"Invalid previous reading",IF(IF(NOT(ISNUMBER(F1350)),TRUE,OR(F1350&lt;0,F1350&gt;999999999,ROUND(F1350,3)&lt;&gt;F1350)),"Invalid last service",IF(AND(E1350&lt;&gt;"",D1350&lt;E1350),"Decreased reading",IF(F1350&gt;D1350,"Last service above current","")))))))))))))</x:f>
      </x:c>
      <x:c r="L1350" s="6" t="str">
        <x:f>IF(AND(NOT(COUNTA(A1350:F1350)=0),K1350=""),INDEX('Rules'!$C$7:$C$26,MATCH(SUBSTITUTE(SUBSTITUTE(SUBSTITUTE(SUBSTITUTE("type:"&amp;B1350,"%","%25"),"~","%7E"),"*","%2A"),"?","%3F"),'Rules'!$G$7:$G$26,0)),"")</x:f>
      </x:c>
      <x:c r="M1350" s="6" t="str">
        <x:f>IF(AND(NOT(COUNTA(A1350:F1350)=0),K1350=""),INDEX('Rules'!$D$7:$D$26,MATCH(SUBSTITUTE(SUBSTITUTE(SUBSTITUTE(SUBSTITUTE("type:"&amp;B1350,"%","%25"),"~","%7E"),"*","%2A"),"?","%3F"),'Rules'!$G$7:$G$26,0)),"")</x:f>
      </x:c>
      <x:c r="N1350" s="5" t="str">
        <x:f>IF(COUNTA(A1350:F1350)=0,"",SUBSTITUTE(SUBSTITUTE(SUBSTITUTE(SUBSTITUTE("id:"&amp;A1350,"%","%25"),"~","%7E"),"*","%2A"),"?","%3F"))</x:f>
      </x:c>
    </x:row>
    <x:row r="1351" ht="22" customHeight="1">
      <x:c r="A1351" s="3"/>
      <x:c r="B1351" s="3"/>
      <x:c r="C1351" s="3"/>
      <x:c r="D1351" s="4"/>
      <x:c r="E1351" s="4"/>
      <x:c r="F1351" s="4"/>
      <x:c r="G1351" s="5" t="str">
        <x:f>IF(COUNTA(A1351:F1351)=0,"",IF(K1351&lt;&gt;"","Review",IF(I1351&lt;0,"Overdue",IF(I1351=0,"Due now",IF(I1351&lt;=M1351,"Due soon","Not due")))))</x:f>
      </x:c>
      <x:c r="H1351" s="5" t="str">
        <x:f>IF(OR(COUNTA(A1351:F1351)=0,COUNTIFS('Rules'!$G$7:$G$26,"="&amp;(SUBSTITUTE(SUBSTITUTE(SUBSTITUTE(SUBSTITUTE("type:"&amp;B1351,"%","%25"),"~","%7E"),"*","%2A"),"?","%3F")))&lt;&gt;1),"",IF(OR(INDEX('Rules'!$B$7:$B$26,MATCH(SUBSTITUTE(SUBSTITUTE(SUBSTITUTE(SUBSTITUTE("type:"&amp;B1351,"%","%25"),"~","%7E"),"*","%2A"),"?","%3F"),'Rules'!$G$7:$G$26,0))="hours",INDEX('Rules'!$B$7:$B$26,MATCH(SUBSTITUTE(SUBSTITUTE(SUBSTITUTE(SUBSTITUTE("type:"&amp;B1351,"%","%25"),"~","%7E"),"*","%2A"),"?","%3F"),'Rules'!$G$7:$G$26,0))="km"),INDEX('Rules'!$B$7:$B$26,MATCH(SUBSTITUTE(SUBSTITUTE(SUBSTITUTE(SUBSTITUTE("type:"&amp;B1351,"%","%25"),"~","%7E"),"*","%2A"),"?","%3F"),'Rules'!$G$7:$G$26,0)),""))</x:f>
      </x:c>
      <x:c r="I1351" s="6" t="str">
        <x:f>IF(AND(NOT(COUNTA(A1351:F1351)=0),K1351=""),ROUND(J1351-D1351,3),"")</x:f>
      </x:c>
      <x:c r="J1351" s="6" t="str">
        <x:f>IF(AND(NOT(COUNTA(A1351:F1351)=0),K1351=""),ROUND(F1351+L1351,3),"")</x:f>
      </x:c>
      <x:c r="K1351" s="5" t="str">
        <x:f>IF(COUNTA(A1351:F1351)=0,"",IF(A1351="","Missing equipment ID",IF(COUNTIFS($N$8:$N$2007,"="&amp;N1351)&gt;1,"Duplicate equipment ID",IF(B1351="","Missing type",IF(COUNTIFS('Rules'!$G$7:$G$26,"="&amp;(SUBSTITUTE(SUBSTITUTE(SUBSTITUTE(SUBSTITUTE("type:"&amp;B1351,"%","%25"),"~","%7E"),"*","%2A"),"?","%3F")))=0,"Unknown type",IF(COUNTIFS('Rules'!$G$7:$G$26,"="&amp;(SUBSTITUTE(SUBSTITUTE(SUBSTITUTE(SUBSTITUTE("type:"&amp;B1351,"%","%25"),"~","%7E"),"*","%2A"),"?","%3F")))&gt;1,"Duplicate type",IF(INDEX('Rules'!$F$7:$F$26,MATCH(SUBSTITUTE(SUBSTITUTE(SUBSTITUTE(SUBSTITUTE("type:"&amp;B1351,"%","%25"),"~","%7E"),"*","%2A"),"?","%3F"),'Rules'!$G$7:$G$26,0))&lt;&gt;"",INDEX('Rules'!$F$7:$F$26,MATCH(SUBSTITUTE(SUBSTITUTE(SUBSTITUTE(SUBSTITUTE("type:"&amp;B1351,"%","%25"),"~","%7E"),"*","%2A"),"?","%3F"),'Rules'!$G$7:$G$26,0)),IF(AND(C1351&lt;&gt;"",C1351&lt;&gt;INDEX('Rules'!$B$7:$B$26,MATCH(SUBSTITUTE(SUBSTITUTE(SUBSTITUTE(SUBSTITUTE("type:"&amp;B1351,"%","%25"),"~","%7E"),"*","%2A"),"?","%3F"),'Rules'!$G$7:$G$26,0))),"Unit mismatch",IF(IF(NOT(ISNUMBER(D1351)),TRUE,OR(D1351&lt;0,D1351&gt;999999999,ROUND(D1351,3)&lt;&gt;D1351)),"Invalid current reading",IF(AND(E1351&lt;&gt;"",IF(NOT(ISNUMBER(E1351)),TRUE,OR(E1351&lt;0,E1351&gt;999999999,ROUND(E1351,3)&lt;&gt;E1351))),"Invalid previous reading",IF(IF(NOT(ISNUMBER(F1351)),TRUE,OR(F1351&lt;0,F1351&gt;999999999,ROUND(F1351,3)&lt;&gt;F1351)),"Invalid last service",IF(AND(E1351&lt;&gt;"",D1351&lt;E1351),"Decreased reading",IF(F1351&gt;D1351,"Last service above current","")))))))))))))</x:f>
      </x:c>
      <x:c r="L1351" s="6" t="str">
        <x:f>IF(AND(NOT(COUNTA(A1351:F1351)=0),K1351=""),INDEX('Rules'!$C$7:$C$26,MATCH(SUBSTITUTE(SUBSTITUTE(SUBSTITUTE(SUBSTITUTE("type:"&amp;B1351,"%","%25"),"~","%7E"),"*","%2A"),"?","%3F"),'Rules'!$G$7:$G$26,0)),"")</x:f>
      </x:c>
      <x:c r="M1351" s="6" t="str">
        <x:f>IF(AND(NOT(COUNTA(A1351:F1351)=0),K1351=""),INDEX('Rules'!$D$7:$D$26,MATCH(SUBSTITUTE(SUBSTITUTE(SUBSTITUTE(SUBSTITUTE("type:"&amp;B1351,"%","%25"),"~","%7E"),"*","%2A"),"?","%3F"),'Rules'!$G$7:$G$26,0)),"")</x:f>
      </x:c>
      <x:c r="N1351" s="5" t="str">
        <x:f>IF(COUNTA(A1351:F1351)=0,"",SUBSTITUTE(SUBSTITUTE(SUBSTITUTE(SUBSTITUTE("id:"&amp;A1351,"%","%25"),"~","%7E"),"*","%2A"),"?","%3F"))</x:f>
      </x:c>
    </x:row>
    <x:row r="1352" ht="22" customHeight="1">
      <x:c r="A1352" s="3"/>
      <x:c r="B1352" s="3"/>
      <x:c r="C1352" s="3"/>
      <x:c r="D1352" s="4"/>
      <x:c r="E1352" s="4"/>
      <x:c r="F1352" s="4"/>
      <x:c r="G1352" s="5" t="str">
        <x:f>IF(COUNTA(A1352:F1352)=0,"",IF(K1352&lt;&gt;"","Review",IF(I1352&lt;0,"Overdue",IF(I1352=0,"Due now",IF(I1352&lt;=M1352,"Due soon","Not due")))))</x:f>
      </x:c>
      <x:c r="H1352" s="5" t="str">
        <x:f>IF(OR(COUNTA(A1352:F1352)=0,COUNTIFS('Rules'!$G$7:$G$26,"="&amp;(SUBSTITUTE(SUBSTITUTE(SUBSTITUTE(SUBSTITUTE("type:"&amp;B1352,"%","%25"),"~","%7E"),"*","%2A"),"?","%3F")))&lt;&gt;1),"",IF(OR(INDEX('Rules'!$B$7:$B$26,MATCH(SUBSTITUTE(SUBSTITUTE(SUBSTITUTE(SUBSTITUTE("type:"&amp;B1352,"%","%25"),"~","%7E"),"*","%2A"),"?","%3F"),'Rules'!$G$7:$G$26,0))="hours",INDEX('Rules'!$B$7:$B$26,MATCH(SUBSTITUTE(SUBSTITUTE(SUBSTITUTE(SUBSTITUTE("type:"&amp;B1352,"%","%25"),"~","%7E"),"*","%2A"),"?","%3F"),'Rules'!$G$7:$G$26,0))="km"),INDEX('Rules'!$B$7:$B$26,MATCH(SUBSTITUTE(SUBSTITUTE(SUBSTITUTE(SUBSTITUTE("type:"&amp;B1352,"%","%25"),"~","%7E"),"*","%2A"),"?","%3F"),'Rules'!$G$7:$G$26,0)),""))</x:f>
      </x:c>
      <x:c r="I1352" s="6" t="str">
        <x:f>IF(AND(NOT(COUNTA(A1352:F1352)=0),K1352=""),ROUND(J1352-D1352,3),"")</x:f>
      </x:c>
      <x:c r="J1352" s="6" t="str">
        <x:f>IF(AND(NOT(COUNTA(A1352:F1352)=0),K1352=""),ROUND(F1352+L1352,3),"")</x:f>
      </x:c>
      <x:c r="K1352" s="5" t="str">
        <x:f>IF(COUNTA(A1352:F1352)=0,"",IF(A1352="","Missing equipment ID",IF(COUNTIFS($N$8:$N$2007,"="&amp;N1352)&gt;1,"Duplicate equipment ID",IF(B1352="","Missing type",IF(COUNTIFS('Rules'!$G$7:$G$26,"="&amp;(SUBSTITUTE(SUBSTITUTE(SUBSTITUTE(SUBSTITUTE("type:"&amp;B1352,"%","%25"),"~","%7E"),"*","%2A"),"?","%3F")))=0,"Unknown type",IF(COUNTIFS('Rules'!$G$7:$G$26,"="&amp;(SUBSTITUTE(SUBSTITUTE(SUBSTITUTE(SUBSTITUTE("type:"&amp;B1352,"%","%25"),"~","%7E"),"*","%2A"),"?","%3F")))&gt;1,"Duplicate type",IF(INDEX('Rules'!$F$7:$F$26,MATCH(SUBSTITUTE(SUBSTITUTE(SUBSTITUTE(SUBSTITUTE("type:"&amp;B1352,"%","%25"),"~","%7E"),"*","%2A"),"?","%3F"),'Rules'!$G$7:$G$26,0))&lt;&gt;"",INDEX('Rules'!$F$7:$F$26,MATCH(SUBSTITUTE(SUBSTITUTE(SUBSTITUTE(SUBSTITUTE("type:"&amp;B1352,"%","%25"),"~","%7E"),"*","%2A"),"?","%3F"),'Rules'!$G$7:$G$26,0)),IF(AND(C1352&lt;&gt;"",C1352&lt;&gt;INDEX('Rules'!$B$7:$B$26,MATCH(SUBSTITUTE(SUBSTITUTE(SUBSTITUTE(SUBSTITUTE("type:"&amp;B1352,"%","%25"),"~","%7E"),"*","%2A"),"?","%3F"),'Rules'!$G$7:$G$26,0))),"Unit mismatch",IF(IF(NOT(ISNUMBER(D1352)),TRUE,OR(D1352&lt;0,D1352&gt;999999999,ROUND(D1352,3)&lt;&gt;D1352)),"Invalid current reading",IF(AND(E1352&lt;&gt;"",IF(NOT(ISNUMBER(E1352)),TRUE,OR(E1352&lt;0,E1352&gt;999999999,ROUND(E1352,3)&lt;&gt;E1352))),"Invalid previous reading",IF(IF(NOT(ISNUMBER(F1352)),TRUE,OR(F1352&lt;0,F1352&gt;999999999,ROUND(F1352,3)&lt;&gt;F1352)),"Invalid last service",IF(AND(E1352&lt;&gt;"",D1352&lt;E1352),"Decreased reading",IF(F1352&gt;D1352,"Last service above current","")))))))))))))</x:f>
      </x:c>
      <x:c r="L1352" s="6" t="str">
        <x:f>IF(AND(NOT(COUNTA(A1352:F1352)=0),K1352=""),INDEX('Rules'!$C$7:$C$26,MATCH(SUBSTITUTE(SUBSTITUTE(SUBSTITUTE(SUBSTITUTE("type:"&amp;B1352,"%","%25"),"~","%7E"),"*","%2A"),"?","%3F"),'Rules'!$G$7:$G$26,0)),"")</x:f>
      </x:c>
      <x:c r="M1352" s="6" t="str">
        <x:f>IF(AND(NOT(COUNTA(A1352:F1352)=0),K1352=""),INDEX('Rules'!$D$7:$D$26,MATCH(SUBSTITUTE(SUBSTITUTE(SUBSTITUTE(SUBSTITUTE("type:"&amp;B1352,"%","%25"),"~","%7E"),"*","%2A"),"?","%3F"),'Rules'!$G$7:$G$26,0)),"")</x:f>
      </x:c>
      <x:c r="N1352" s="5" t="str">
        <x:f>IF(COUNTA(A1352:F1352)=0,"",SUBSTITUTE(SUBSTITUTE(SUBSTITUTE(SUBSTITUTE("id:"&amp;A1352,"%","%25"),"~","%7E"),"*","%2A"),"?","%3F"))</x:f>
      </x:c>
    </x:row>
    <x:row r="1353" ht="22" customHeight="1">
      <x:c r="A1353" s="3"/>
      <x:c r="B1353" s="3"/>
      <x:c r="C1353" s="3"/>
      <x:c r="D1353" s="4"/>
      <x:c r="E1353" s="4"/>
      <x:c r="F1353" s="4"/>
      <x:c r="G1353" s="5" t="str">
        <x:f>IF(COUNTA(A1353:F1353)=0,"",IF(K1353&lt;&gt;"","Review",IF(I1353&lt;0,"Overdue",IF(I1353=0,"Due now",IF(I1353&lt;=M1353,"Due soon","Not due")))))</x:f>
      </x:c>
      <x:c r="H1353" s="5" t="str">
        <x:f>IF(OR(COUNTA(A1353:F1353)=0,COUNTIFS('Rules'!$G$7:$G$26,"="&amp;(SUBSTITUTE(SUBSTITUTE(SUBSTITUTE(SUBSTITUTE("type:"&amp;B1353,"%","%25"),"~","%7E"),"*","%2A"),"?","%3F")))&lt;&gt;1),"",IF(OR(INDEX('Rules'!$B$7:$B$26,MATCH(SUBSTITUTE(SUBSTITUTE(SUBSTITUTE(SUBSTITUTE("type:"&amp;B1353,"%","%25"),"~","%7E"),"*","%2A"),"?","%3F"),'Rules'!$G$7:$G$26,0))="hours",INDEX('Rules'!$B$7:$B$26,MATCH(SUBSTITUTE(SUBSTITUTE(SUBSTITUTE(SUBSTITUTE("type:"&amp;B1353,"%","%25"),"~","%7E"),"*","%2A"),"?","%3F"),'Rules'!$G$7:$G$26,0))="km"),INDEX('Rules'!$B$7:$B$26,MATCH(SUBSTITUTE(SUBSTITUTE(SUBSTITUTE(SUBSTITUTE("type:"&amp;B1353,"%","%25"),"~","%7E"),"*","%2A"),"?","%3F"),'Rules'!$G$7:$G$26,0)),""))</x:f>
      </x:c>
      <x:c r="I1353" s="6" t="str">
        <x:f>IF(AND(NOT(COUNTA(A1353:F1353)=0),K1353=""),ROUND(J1353-D1353,3),"")</x:f>
      </x:c>
      <x:c r="J1353" s="6" t="str">
        <x:f>IF(AND(NOT(COUNTA(A1353:F1353)=0),K1353=""),ROUND(F1353+L1353,3),"")</x:f>
      </x:c>
      <x:c r="K1353" s="5" t="str">
        <x:f>IF(COUNTA(A1353:F1353)=0,"",IF(A1353="","Missing equipment ID",IF(COUNTIFS($N$8:$N$2007,"="&amp;N1353)&gt;1,"Duplicate equipment ID",IF(B1353="","Missing type",IF(COUNTIFS('Rules'!$G$7:$G$26,"="&amp;(SUBSTITUTE(SUBSTITUTE(SUBSTITUTE(SUBSTITUTE("type:"&amp;B1353,"%","%25"),"~","%7E"),"*","%2A"),"?","%3F")))=0,"Unknown type",IF(COUNTIFS('Rules'!$G$7:$G$26,"="&amp;(SUBSTITUTE(SUBSTITUTE(SUBSTITUTE(SUBSTITUTE("type:"&amp;B1353,"%","%25"),"~","%7E"),"*","%2A"),"?","%3F")))&gt;1,"Duplicate type",IF(INDEX('Rules'!$F$7:$F$26,MATCH(SUBSTITUTE(SUBSTITUTE(SUBSTITUTE(SUBSTITUTE("type:"&amp;B1353,"%","%25"),"~","%7E"),"*","%2A"),"?","%3F"),'Rules'!$G$7:$G$26,0))&lt;&gt;"",INDEX('Rules'!$F$7:$F$26,MATCH(SUBSTITUTE(SUBSTITUTE(SUBSTITUTE(SUBSTITUTE("type:"&amp;B1353,"%","%25"),"~","%7E"),"*","%2A"),"?","%3F"),'Rules'!$G$7:$G$26,0)),IF(AND(C1353&lt;&gt;"",C1353&lt;&gt;INDEX('Rules'!$B$7:$B$26,MATCH(SUBSTITUTE(SUBSTITUTE(SUBSTITUTE(SUBSTITUTE("type:"&amp;B1353,"%","%25"),"~","%7E"),"*","%2A"),"?","%3F"),'Rules'!$G$7:$G$26,0))),"Unit mismatch",IF(IF(NOT(ISNUMBER(D1353)),TRUE,OR(D1353&lt;0,D1353&gt;999999999,ROUND(D1353,3)&lt;&gt;D1353)),"Invalid current reading",IF(AND(E1353&lt;&gt;"",IF(NOT(ISNUMBER(E1353)),TRUE,OR(E1353&lt;0,E1353&gt;999999999,ROUND(E1353,3)&lt;&gt;E1353))),"Invalid previous reading",IF(IF(NOT(ISNUMBER(F1353)),TRUE,OR(F1353&lt;0,F1353&gt;999999999,ROUND(F1353,3)&lt;&gt;F1353)),"Invalid last service",IF(AND(E1353&lt;&gt;"",D1353&lt;E1353),"Decreased reading",IF(F1353&gt;D1353,"Last service above current","")))))))))))))</x:f>
      </x:c>
      <x:c r="L1353" s="6" t="str">
        <x:f>IF(AND(NOT(COUNTA(A1353:F1353)=0),K1353=""),INDEX('Rules'!$C$7:$C$26,MATCH(SUBSTITUTE(SUBSTITUTE(SUBSTITUTE(SUBSTITUTE("type:"&amp;B1353,"%","%25"),"~","%7E"),"*","%2A"),"?","%3F"),'Rules'!$G$7:$G$26,0)),"")</x:f>
      </x:c>
      <x:c r="M1353" s="6" t="str">
        <x:f>IF(AND(NOT(COUNTA(A1353:F1353)=0),K1353=""),INDEX('Rules'!$D$7:$D$26,MATCH(SUBSTITUTE(SUBSTITUTE(SUBSTITUTE(SUBSTITUTE("type:"&amp;B1353,"%","%25"),"~","%7E"),"*","%2A"),"?","%3F"),'Rules'!$G$7:$G$26,0)),"")</x:f>
      </x:c>
      <x:c r="N1353" s="5" t="str">
        <x:f>IF(COUNTA(A1353:F1353)=0,"",SUBSTITUTE(SUBSTITUTE(SUBSTITUTE(SUBSTITUTE("id:"&amp;A1353,"%","%25"),"~","%7E"),"*","%2A"),"?","%3F"))</x:f>
      </x:c>
    </x:row>
    <x:row r="1354" ht="22" customHeight="1">
      <x:c r="A1354" s="3"/>
      <x:c r="B1354" s="3"/>
      <x:c r="C1354" s="3"/>
      <x:c r="D1354" s="4"/>
      <x:c r="E1354" s="4"/>
      <x:c r="F1354" s="4"/>
      <x:c r="G1354" s="5" t="str">
        <x:f>IF(COUNTA(A1354:F1354)=0,"",IF(K1354&lt;&gt;"","Review",IF(I1354&lt;0,"Overdue",IF(I1354=0,"Due now",IF(I1354&lt;=M1354,"Due soon","Not due")))))</x:f>
      </x:c>
      <x:c r="H1354" s="5" t="str">
        <x:f>IF(OR(COUNTA(A1354:F1354)=0,COUNTIFS('Rules'!$G$7:$G$26,"="&amp;(SUBSTITUTE(SUBSTITUTE(SUBSTITUTE(SUBSTITUTE("type:"&amp;B1354,"%","%25"),"~","%7E"),"*","%2A"),"?","%3F")))&lt;&gt;1),"",IF(OR(INDEX('Rules'!$B$7:$B$26,MATCH(SUBSTITUTE(SUBSTITUTE(SUBSTITUTE(SUBSTITUTE("type:"&amp;B1354,"%","%25"),"~","%7E"),"*","%2A"),"?","%3F"),'Rules'!$G$7:$G$26,0))="hours",INDEX('Rules'!$B$7:$B$26,MATCH(SUBSTITUTE(SUBSTITUTE(SUBSTITUTE(SUBSTITUTE("type:"&amp;B1354,"%","%25"),"~","%7E"),"*","%2A"),"?","%3F"),'Rules'!$G$7:$G$26,0))="km"),INDEX('Rules'!$B$7:$B$26,MATCH(SUBSTITUTE(SUBSTITUTE(SUBSTITUTE(SUBSTITUTE("type:"&amp;B1354,"%","%25"),"~","%7E"),"*","%2A"),"?","%3F"),'Rules'!$G$7:$G$26,0)),""))</x:f>
      </x:c>
      <x:c r="I1354" s="6" t="str">
        <x:f>IF(AND(NOT(COUNTA(A1354:F1354)=0),K1354=""),ROUND(J1354-D1354,3),"")</x:f>
      </x:c>
      <x:c r="J1354" s="6" t="str">
        <x:f>IF(AND(NOT(COUNTA(A1354:F1354)=0),K1354=""),ROUND(F1354+L1354,3),"")</x:f>
      </x:c>
      <x:c r="K1354" s="5" t="str">
        <x:f>IF(COUNTA(A1354:F1354)=0,"",IF(A1354="","Missing equipment ID",IF(COUNTIFS($N$8:$N$2007,"="&amp;N1354)&gt;1,"Duplicate equipment ID",IF(B1354="","Missing type",IF(COUNTIFS('Rules'!$G$7:$G$26,"="&amp;(SUBSTITUTE(SUBSTITUTE(SUBSTITUTE(SUBSTITUTE("type:"&amp;B1354,"%","%25"),"~","%7E"),"*","%2A"),"?","%3F")))=0,"Unknown type",IF(COUNTIFS('Rules'!$G$7:$G$26,"="&amp;(SUBSTITUTE(SUBSTITUTE(SUBSTITUTE(SUBSTITUTE("type:"&amp;B1354,"%","%25"),"~","%7E"),"*","%2A"),"?","%3F")))&gt;1,"Duplicate type",IF(INDEX('Rules'!$F$7:$F$26,MATCH(SUBSTITUTE(SUBSTITUTE(SUBSTITUTE(SUBSTITUTE("type:"&amp;B1354,"%","%25"),"~","%7E"),"*","%2A"),"?","%3F"),'Rules'!$G$7:$G$26,0))&lt;&gt;"",INDEX('Rules'!$F$7:$F$26,MATCH(SUBSTITUTE(SUBSTITUTE(SUBSTITUTE(SUBSTITUTE("type:"&amp;B1354,"%","%25"),"~","%7E"),"*","%2A"),"?","%3F"),'Rules'!$G$7:$G$26,0)),IF(AND(C1354&lt;&gt;"",C1354&lt;&gt;INDEX('Rules'!$B$7:$B$26,MATCH(SUBSTITUTE(SUBSTITUTE(SUBSTITUTE(SUBSTITUTE("type:"&amp;B1354,"%","%25"),"~","%7E"),"*","%2A"),"?","%3F"),'Rules'!$G$7:$G$26,0))),"Unit mismatch",IF(IF(NOT(ISNUMBER(D1354)),TRUE,OR(D1354&lt;0,D1354&gt;999999999,ROUND(D1354,3)&lt;&gt;D1354)),"Invalid current reading",IF(AND(E1354&lt;&gt;"",IF(NOT(ISNUMBER(E1354)),TRUE,OR(E1354&lt;0,E1354&gt;999999999,ROUND(E1354,3)&lt;&gt;E1354))),"Invalid previous reading",IF(IF(NOT(ISNUMBER(F1354)),TRUE,OR(F1354&lt;0,F1354&gt;999999999,ROUND(F1354,3)&lt;&gt;F1354)),"Invalid last service",IF(AND(E1354&lt;&gt;"",D1354&lt;E1354),"Decreased reading",IF(F1354&gt;D1354,"Last service above current","")))))))))))))</x:f>
      </x:c>
      <x:c r="L1354" s="6" t="str">
        <x:f>IF(AND(NOT(COUNTA(A1354:F1354)=0),K1354=""),INDEX('Rules'!$C$7:$C$26,MATCH(SUBSTITUTE(SUBSTITUTE(SUBSTITUTE(SUBSTITUTE("type:"&amp;B1354,"%","%25"),"~","%7E"),"*","%2A"),"?","%3F"),'Rules'!$G$7:$G$26,0)),"")</x:f>
      </x:c>
      <x:c r="M1354" s="6" t="str">
        <x:f>IF(AND(NOT(COUNTA(A1354:F1354)=0),K1354=""),INDEX('Rules'!$D$7:$D$26,MATCH(SUBSTITUTE(SUBSTITUTE(SUBSTITUTE(SUBSTITUTE("type:"&amp;B1354,"%","%25"),"~","%7E"),"*","%2A"),"?","%3F"),'Rules'!$G$7:$G$26,0)),"")</x:f>
      </x:c>
      <x:c r="N1354" s="5" t="str">
        <x:f>IF(COUNTA(A1354:F1354)=0,"",SUBSTITUTE(SUBSTITUTE(SUBSTITUTE(SUBSTITUTE("id:"&amp;A1354,"%","%25"),"~","%7E"),"*","%2A"),"?","%3F"))</x:f>
      </x:c>
    </x:row>
    <x:row r="1355" ht="22" customHeight="1">
      <x:c r="A1355" s="3"/>
      <x:c r="B1355" s="3"/>
      <x:c r="C1355" s="3"/>
      <x:c r="D1355" s="4"/>
      <x:c r="E1355" s="4"/>
      <x:c r="F1355" s="4"/>
      <x:c r="G1355" s="5" t="str">
        <x:f>IF(COUNTA(A1355:F1355)=0,"",IF(K1355&lt;&gt;"","Review",IF(I1355&lt;0,"Overdue",IF(I1355=0,"Due now",IF(I1355&lt;=M1355,"Due soon","Not due")))))</x:f>
      </x:c>
      <x:c r="H1355" s="5" t="str">
        <x:f>IF(OR(COUNTA(A1355:F1355)=0,COUNTIFS('Rules'!$G$7:$G$26,"="&amp;(SUBSTITUTE(SUBSTITUTE(SUBSTITUTE(SUBSTITUTE("type:"&amp;B1355,"%","%25"),"~","%7E"),"*","%2A"),"?","%3F")))&lt;&gt;1),"",IF(OR(INDEX('Rules'!$B$7:$B$26,MATCH(SUBSTITUTE(SUBSTITUTE(SUBSTITUTE(SUBSTITUTE("type:"&amp;B1355,"%","%25"),"~","%7E"),"*","%2A"),"?","%3F"),'Rules'!$G$7:$G$26,0))="hours",INDEX('Rules'!$B$7:$B$26,MATCH(SUBSTITUTE(SUBSTITUTE(SUBSTITUTE(SUBSTITUTE("type:"&amp;B1355,"%","%25"),"~","%7E"),"*","%2A"),"?","%3F"),'Rules'!$G$7:$G$26,0))="km"),INDEX('Rules'!$B$7:$B$26,MATCH(SUBSTITUTE(SUBSTITUTE(SUBSTITUTE(SUBSTITUTE("type:"&amp;B1355,"%","%25"),"~","%7E"),"*","%2A"),"?","%3F"),'Rules'!$G$7:$G$26,0)),""))</x:f>
      </x:c>
      <x:c r="I1355" s="6" t="str">
        <x:f>IF(AND(NOT(COUNTA(A1355:F1355)=0),K1355=""),ROUND(J1355-D1355,3),"")</x:f>
      </x:c>
      <x:c r="J1355" s="6" t="str">
        <x:f>IF(AND(NOT(COUNTA(A1355:F1355)=0),K1355=""),ROUND(F1355+L1355,3),"")</x:f>
      </x:c>
      <x:c r="K1355" s="5" t="str">
        <x:f>IF(COUNTA(A1355:F1355)=0,"",IF(A1355="","Missing equipment ID",IF(COUNTIFS($N$8:$N$2007,"="&amp;N1355)&gt;1,"Duplicate equipment ID",IF(B1355="","Missing type",IF(COUNTIFS('Rules'!$G$7:$G$26,"="&amp;(SUBSTITUTE(SUBSTITUTE(SUBSTITUTE(SUBSTITUTE("type:"&amp;B1355,"%","%25"),"~","%7E"),"*","%2A"),"?","%3F")))=0,"Unknown type",IF(COUNTIFS('Rules'!$G$7:$G$26,"="&amp;(SUBSTITUTE(SUBSTITUTE(SUBSTITUTE(SUBSTITUTE("type:"&amp;B1355,"%","%25"),"~","%7E"),"*","%2A"),"?","%3F")))&gt;1,"Duplicate type",IF(INDEX('Rules'!$F$7:$F$26,MATCH(SUBSTITUTE(SUBSTITUTE(SUBSTITUTE(SUBSTITUTE("type:"&amp;B1355,"%","%25"),"~","%7E"),"*","%2A"),"?","%3F"),'Rules'!$G$7:$G$26,0))&lt;&gt;"",INDEX('Rules'!$F$7:$F$26,MATCH(SUBSTITUTE(SUBSTITUTE(SUBSTITUTE(SUBSTITUTE("type:"&amp;B1355,"%","%25"),"~","%7E"),"*","%2A"),"?","%3F"),'Rules'!$G$7:$G$26,0)),IF(AND(C1355&lt;&gt;"",C1355&lt;&gt;INDEX('Rules'!$B$7:$B$26,MATCH(SUBSTITUTE(SUBSTITUTE(SUBSTITUTE(SUBSTITUTE("type:"&amp;B1355,"%","%25"),"~","%7E"),"*","%2A"),"?","%3F"),'Rules'!$G$7:$G$26,0))),"Unit mismatch",IF(IF(NOT(ISNUMBER(D1355)),TRUE,OR(D1355&lt;0,D1355&gt;999999999,ROUND(D1355,3)&lt;&gt;D1355)),"Invalid current reading",IF(AND(E1355&lt;&gt;"",IF(NOT(ISNUMBER(E1355)),TRUE,OR(E1355&lt;0,E1355&gt;999999999,ROUND(E1355,3)&lt;&gt;E1355))),"Invalid previous reading",IF(IF(NOT(ISNUMBER(F1355)),TRUE,OR(F1355&lt;0,F1355&gt;999999999,ROUND(F1355,3)&lt;&gt;F1355)),"Invalid last service",IF(AND(E1355&lt;&gt;"",D1355&lt;E1355),"Decreased reading",IF(F1355&gt;D1355,"Last service above current","")))))))))))))</x:f>
      </x:c>
      <x:c r="L1355" s="6" t="str">
        <x:f>IF(AND(NOT(COUNTA(A1355:F1355)=0),K1355=""),INDEX('Rules'!$C$7:$C$26,MATCH(SUBSTITUTE(SUBSTITUTE(SUBSTITUTE(SUBSTITUTE("type:"&amp;B1355,"%","%25"),"~","%7E"),"*","%2A"),"?","%3F"),'Rules'!$G$7:$G$26,0)),"")</x:f>
      </x:c>
      <x:c r="M1355" s="6" t="str">
        <x:f>IF(AND(NOT(COUNTA(A1355:F1355)=0),K1355=""),INDEX('Rules'!$D$7:$D$26,MATCH(SUBSTITUTE(SUBSTITUTE(SUBSTITUTE(SUBSTITUTE("type:"&amp;B1355,"%","%25"),"~","%7E"),"*","%2A"),"?","%3F"),'Rules'!$G$7:$G$26,0)),"")</x:f>
      </x:c>
      <x:c r="N1355" s="5" t="str">
        <x:f>IF(COUNTA(A1355:F1355)=0,"",SUBSTITUTE(SUBSTITUTE(SUBSTITUTE(SUBSTITUTE("id:"&amp;A1355,"%","%25"),"~","%7E"),"*","%2A"),"?","%3F"))</x:f>
      </x:c>
    </x:row>
    <x:row r="1356" ht="22" customHeight="1">
      <x:c r="A1356" s="3"/>
      <x:c r="B1356" s="3"/>
      <x:c r="C1356" s="3"/>
      <x:c r="D1356" s="4"/>
      <x:c r="E1356" s="4"/>
      <x:c r="F1356" s="4"/>
      <x:c r="G1356" s="5" t="str">
        <x:f>IF(COUNTA(A1356:F1356)=0,"",IF(K1356&lt;&gt;"","Review",IF(I1356&lt;0,"Overdue",IF(I1356=0,"Due now",IF(I1356&lt;=M1356,"Due soon","Not due")))))</x:f>
      </x:c>
      <x:c r="H1356" s="5" t="str">
        <x:f>IF(OR(COUNTA(A1356:F1356)=0,COUNTIFS('Rules'!$G$7:$G$26,"="&amp;(SUBSTITUTE(SUBSTITUTE(SUBSTITUTE(SUBSTITUTE("type:"&amp;B1356,"%","%25"),"~","%7E"),"*","%2A"),"?","%3F")))&lt;&gt;1),"",IF(OR(INDEX('Rules'!$B$7:$B$26,MATCH(SUBSTITUTE(SUBSTITUTE(SUBSTITUTE(SUBSTITUTE("type:"&amp;B1356,"%","%25"),"~","%7E"),"*","%2A"),"?","%3F"),'Rules'!$G$7:$G$26,0))="hours",INDEX('Rules'!$B$7:$B$26,MATCH(SUBSTITUTE(SUBSTITUTE(SUBSTITUTE(SUBSTITUTE("type:"&amp;B1356,"%","%25"),"~","%7E"),"*","%2A"),"?","%3F"),'Rules'!$G$7:$G$26,0))="km"),INDEX('Rules'!$B$7:$B$26,MATCH(SUBSTITUTE(SUBSTITUTE(SUBSTITUTE(SUBSTITUTE("type:"&amp;B1356,"%","%25"),"~","%7E"),"*","%2A"),"?","%3F"),'Rules'!$G$7:$G$26,0)),""))</x:f>
      </x:c>
      <x:c r="I1356" s="6" t="str">
        <x:f>IF(AND(NOT(COUNTA(A1356:F1356)=0),K1356=""),ROUND(J1356-D1356,3),"")</x:f>
      </x:c>
      <x:c r="J1356" s="6" t="str">
        <x:f>IF(AND(NOT(COUNTA(A1356:F1356)=0),K1356=""),ROUND(F1356+L1356,3),"")</x:f>
      </x:c>
      <x:c r="K1356" s="5" t="str">
        <x:f>IF(COUNTA(A1356:F1356)=0,"",IF(A1356="","Missing equipment ID",IF(COUNTIFS($N$8:$N$2007,"="&amp;N1356)&gt;1,"Duplicate equipment ID",IF(B1356="","Missing type",IF(COUNTIFS('Rules'!$G$7:$G$26,"="&amp;(SUBSTITUTE(SUBSTITUTE(SUBSTITUTE(SUBSTITUTE("type:"&amp;B1356,"%","%25"),"~","%7E"),"*","%2A"),"?","%3F")))=0,"Unknown type",IF(COUNTIFS('Rules'!$G$7:$G$26,"="&amp;(SUBSTITUTE(SUBSTITUTE(SUBSTITUTE(SUBSTITUTE("type:"&amp;B1356,"%","%25"),"~","%7E"),"*","%2A"),"?","%3F")))&gt;1,"Duplicate type",IF(INDEX('Rules'!$F$7:$F$26,MATCH(SUBSTITUTE(SUBSTITUTE(SUBSTITUTE(SUBSTITUTE("type:"&amp;B1356,"%","%25"),"~","%7E"),"*","%2A"),"?","%3F"),'Rules'!$G$7:$G$26,0))&lt;&gt;"",INDEX('Rules'!$F$7:$F$26,MATCH(SUBSTITUTE(SUBSTITUTE(SUBSTITUTE(SUBSTITUTE("type:"&amp;B1356,"%","%25"),"~","%7E"),"*","%2A"),"?","%3F"),'Rules'!$G$7:$G$26,0)),IF(AND(C1356&lt;&gt;"",C1356&lt;&gt;INDEX('Rules'!$B$7:$B$26,MATCH(SUBSTITUTE(SUBSTITUTE(SUBSTITUTE(SUBSTITUTE("type:"&amp;B1356,"%","%25"),"~","%7E"),"*","%2A"),"?","%3F"),'Rules'!$G$7:$G$26,0))),"Unit mismatch",IF(IF(NOT(ISNUMBER(D1356)),TRUE,OR(D1356&lt;0,D1356&gt;999999999,ROUND(D1356,3)&lt;&gt;D1356)),"Invalid current reading",IF(AND(E1356&lt;&gt;"",IF(NOT(ISNUMBER(E1356)),TRUE,OR(E1356&lt;0,E1356&gt;999999999,ROUND(E1356,3)&lt;&gt;E1356))),"Invalid previous reading",IF(IF(NOT(ISNUMBER(F1356)),TRUE,OR(F1356&lt;0,F1356&gt;999999999,ROUND(F1356,3)&lt;&gt;F1356)),"Invalid last service",IF(AND(E1356&lt;&gt;"",D1356&lt;E1356),"Decreased reading",IF(F1356&gt;D1356,"Last service above current","")))))))))))))</x:f>
      </x:c>
      <x:c r="L1356" s="6" t="str">
        <x:f>IF(AND(NOT(COUNTA(A1356:F1356)=0),K1356=""),INDEX('Rules'!$C$7:$C$26,MATCH(SUBSTITUTE(SUBSTITUTE(SUBSTITUTE(SUBSTITUTE("type:"&amp;B1356,"%","%25"),"~","%7E"),"*","%2A"),"?","%3F"),'Rules'!$G$7:$G$26,0)),"")</x:f>
      </x:c>
      <x:c r="M1356" s="6" t="str">
        <x:f>IF(AND(NOT(COUNTA(A1356:F1356)=0),K1356=""),INDEX('Rules'!$D$7:$D$26,MATCH(SUBSTITUTE(SUBSTITUTE(SUBSTITUTE(SUBSTITUTE("type:"&amp;B1356,"%","%25"),"~","%7E"),"*","%2A"),"?","%3F"),'Rules'!$G$7:$G$26,0)),"")</x:f>
      </x:c>
      <x:c r="N1356" s="5" t="str">
        <x:f>IF(COUNTA(A1356:F1356)=0,"",SUBSTITUTE(SUBSTITUTE(SUBSTITUTE(SUBSTITUTE("id:"&amp;A1356,"%","%25"),"~","%7E"),"*","%2A"),"?","%3F"))</x:f>
      </x:c>
    </x:row>
    <x:row r="1357" ht="22" customHeight="1">
      <x:c r="A1357" s="3"/>
      <x:c r="B1357" s="3"/>
      <x:c r="C1357" s="3"/>
      <x:c r="D1357" s="4"/>
      <x:c r="E1357" s="4"/>
      <x:c r="F1357" s="4"/>
      <x:c r="G1357" s="5" t="str">
        <x:f>IF(COUNTA(A1357:F1357)=0,"",IF(K1357&lt;&gt;"","Review",IF(I1357&lt;0,"Overdue",IF(I1357=0,"Due now",IF(I1357&lt;=M1357,"Due soon","Not due")))))</x:f>
      </x:c>
      <x:c r="H1357" s="5" t="str">
        <x:f>IF(OR(COUNTA(A1357:F1357)=0,COUNTIFS('Rules'!$G$7:$G$26,"="&amp;(SUBSTITUTE(SUBSTITUTE(SUBSTITUTE(SUBSTITUTE("type:"&amp;B1357,"%","%25"),"~","%7E"),"*","%2A"),"?","%3F")))&lt;&gt;1),"",IF(OR(INDEX('Rules'!$B$7:$B$26,MATCH(SUBSTITUTE(SUBSTITUTE(SUBSTITUTE(SUBSTITUTE("type:"&amp;B1357,"%","%25"),"~","%7E"),"*","%2A"),"?","%3F"),'Rules'!$G$7:$G$26,0))="hours",INDEX('Rules'!$B$7:$B$26,MATCH(SUBSTITUTE(SUBSTITUTE(SUBSTITUTE(SUBSTITUTE("type:"&amp;B1357,"%","%25"),"~","%7E"),"*","%2A"),"?","%3F"),'Rules'!$G$7:$G$26,0))="km"),INDEX('Rules'!$B$7:$B$26,MATCH(SUBSTITUTE(SUBSTITUTE(SUBSTITUTE(SUBSTITUTE("type:"&amp;B1357,"%","%25"),"~","%7E"),"*","%2A"),"?","%3F"),'Rules'!$G$7:$G$26,0)),""))</x:f>
      </x:c>
      <x:c r="I1357" s="6" t="str">
        <x:f>IF(AND(NOT(COUNTA(A1357:F1357)=0),K1357=""),ROUND(J1357-D1357,3),"")</x:f>
      </x:c>
      <x:c r="J1357" s="6" t="str">
        <x:f>IF(AND(NOT(COUNTA(A1357:F1357)=0),K1357=""),ROUND(F1357+L1357,3),"")</x:f>
      </x:c>
      <x:c r="K1357" s="5" t="str">
        <x:f>IF(COUNTA(A1357:F1357)=0,"",IF(A1357="","Missing equipment ID",IF(COUNTIFS($N$8:$N$2007,"="&amp;N1357)&gt;1,"Duplicate equipment ID",IF(B1357="","Missing type",IF(COUNTIFS('Rules'!$G$7:$G$26,"="&amp;(SUBSTITUTE(SUBSTITUTE(SUBSTITUTE(SUBSTITUTE("type:"&amp;B1357,"%","%25"),"~","%7E"),"*","%2A"),"?","%3F")))=0,"Unknown type",IF(COUNTIFS('Rules'!$G$7:$G$26,"="&amp;(SUBSTITUTE(SUBSTITUTE(SUBSTITUTE(SUBSTITUTE("type:"&amp;B1357,"%","%25"),"~","%7E"),"*","%2A"),"?","%3F")))&gt;1,"Duplicate type",IF(INDEX('Rules'!$F$7:$F$26,MATCH(SUBSTITUTE(SUBSTITUTE(SUBSTITUTE(SUBSTITUTE("type:"&amp;B1357,"%","%25"),"~","%7E"),"*","%2A"),"?","%3F"),'Rules'!$G$7:$G$26,0))&lt;&gt;"",INDEX('Rules'!$F$7:$F$26,MATCH(SUBSTITUTE(SUBSTITUTE(SUBSTITUTE(SUBSTITUTE("type:"&amp;B1357,"%","%25"),"~","%7E"),"*","%2A"),"?","%3F"),'Rules'!$G$7:$G$26,0)),IF(AND(C1357&lt;&gt;"",C1357&lt;&gt;INDEX('Rules'!$B$7:$B$26,MATCH(SUBSTITUTE(SUBSTITUTE(SUBSTITUTE(SUBSTITUTE("type:"&amp;B1357,"%","%25"),"~","%7E"),"*","%2A"),"?","%3F"),'Rules'!$G$7:$G$26,0))),"Unit mismatch",IF(IF(NOT(ISNUMBER(D1357)),TRUE,OR(D1357&lt;0,D1357&gt;999999999,ROUND(D1357,3)&lt;&gt;D1357)),"Invalid current reading",IF(AND(E1357&lt;&gt;"",IF(NOT(ISNUMBER(E1357)),TRUE,OR(E1357&lt;0,E1357&gt;999999999,ROUND(E1357,3)&lt;&gt;E1357))),"Invalid previous reading",IF(IF(NOT(ISNUMBER(F1357)),TRUE,OR(F1357&lt;0,F1357&gt;999999999,ROUND(F1357,3)&lt;&gt;F1357)),"Invalid last service",IF(AND(E1357&lt;&gt;"",D1357&lt;E1357),"Decreased reading",IF(F1357&gt;D1357,"Last service above current","")))))))))))))</x:f>
      </x:c>
      <x:c r="L1357" s="6" t="str">
        <x:f>IF(AND(NOT(COUNTA(A1357:F1357)=0),K1357=""),INDEX('Rules'!$C$7:$C$26,MATCH(SUBSTITUTE(SUBSTITUTE(SUBSTITUTE(SUBSTITUTE("type:"&amp;B1357,"%","%25"),"~","%7E"),"*","%2A"),"?","%3F"),'Rules'!$G$7:$G$26,0)),"")</x:f>
      </x:c>
      <x:c r="M1357" s="6" t="str">
        <x:f>IF(AND(NOT(COUNTA(A1357:F1357)=0),K1357=""),INDEX('Rules'!$D$7:$D$26,MATCH(SUBSTITUTE(SUBSTITUTE(SUBSTITUTE(SUBSTITUTE("type:"&amp;B1357,"%","%25"),"~","%7E"),"*","%2A"),"?","%3F"),'Rules'!$G$7:$G$26,0)),"")</x:f>
      </x:c>
      <x:c r="N1357" s="5" t="str">
        <x:f>IF(COUNTA(A1357:F1357)=0,"",SUBSTITUTE(SUBSTITUTE(SUBSTITUTE(SUBSTITUTE("id:"&amp;A1357,"%","%25"),"~","%7E"),"*","%2A"),"?","%3F"))</x:f>
      </x:c>
    </x:row>
    <x:row r="1358" ht="22" customHeight="1">
      <x:c r="A1358" s="3"/>
      <x:c r="B1358" s="3"/>
      <x:c r="C1358" s="3"/>
      <x:c r="D1358" s="4"/>
      <x:c r="E1358" s="4"/>
      <x:c r="F1358" s="4"/>
      <x:c r="G1358" s="5" t="str">
        <x:f>IF(COUNTA(A1358:F1358)=0,"",IF(K1358&lt;&gt;"","Review",IF(I1358&lt;0,"Overdue",IF(I1358=0,"Due now",IF(I1358&lt;=M1358,"Due soon","Not due")))))</x:f>
      </x:c>
      <x:c r="H1358" s="5" t="str">
        <x:f>IF(OR(COUNTA(A1358:F1358)=0,COUNTIFS('Rules'!$G$7:$G$26,"="&amp;(SUBSTITUTE(SUBSTITUTE(SUBSTITUTE(SUBSTITUTE("type:"&amp;B1358,"%","%25"),"~","%7E"),"*","%2A"),"?","%3F")))&lt;&gt;1),"",IF(OR(INDEX('Rules'!$B$7:$B$26,MATCH(SUBSTITUTE(SUBSTITUTE(SUBSTITUTE(SUBSTITUTE("type:"&amp;B1358,"%","%25"),"~","%7E"),"*","%2A"),"?","%3F"),'Rules'!$G$7:$G$26,0))="hours",INDEX('Rules'!$B$7:$B$26,MATCH(SUBSTITUTE(SUBSTITUTE(SUBSTITUTE(SUBSTITUTE("type:"&amp;B1358,"%","%25"),"~","%7E"),"*","%2A"),"?","%3F"),'Rules'!$G$7:$G$26,0))="km"),INDEX('Rules'!$B$7:$B$26,MATCH(SUBSTITUTE(SUBSTITUTE(SUBSTITUTE(SUBSTITUTE("type:"&amp;B1358,"%","%25"),"~","%7E"),"*","%2A"),"?","%3F"),'Rules'!$G$7:$G$26,0)),""))</x:f>
      </x:c>
      <x:c r="I1358" s="6" t="str">
        <x:f>IF(AND(NOT(COUNTA(A1358:F1358)=0),K1358=""),ROUND(J1358-D1358,3),"")</x:f>
      </x:c>
      <x:c r="J1358" s="6" t="str">
        <x:f>IF(AND(NOT(COUNTA(A1358:F1358)=0),K1358=""),ROUND(F1358+L1358,3),"")</x:f>
      </x:c>
      <x:c r="K1358" s="5" t="str">
        <x:f>IF(COUNTA(A1358:F1358)=0,"",IF(A1358="","Missing equipment ID",IF(COUNTIFS($N$8:$N$2007,"="&amp;N1358)&gt;1,"Duplicate equipment ID",IF(B1358="","Missing type",IF(COUNTIFS('Rules'!$G$7:$G$26,"="&amp;(SUBSTITUTE(SUBSTITUTE(SUBSTITUTE(SUBSTITUTE("type:"&amp;B1358,"%","%25"),"~","%7E"),"*","%2A"),"?","%3F")))=0,"Unknown type",IF(COUNTIFS('Rules'!$G$7:$G$26,"="&amp;(SUBSTITUTE(SUBSTITUTE(SUBSTITUTE(SUBSTITUTE("type:"&amp;B1358,"%","%25"),"~","%7E"),"*","%2A"),"?","%3F")))&gt;1,"Duplicate type",IF(INDEX('Rules'!$F$7:$F$26,MATCH(SUBSTITUTE(SUBSTITUTE(SUBSTITUTE(SUBSTITUTE("type:"&amp;B1358,"%","%25"),"~","%7E"),"*","%2A"),"?","%3F"),'Rules'!$G$7:$G$26,0))&lt;&gt;"",INDEX('Rules'!$F$7:$F$26,MATCH(SUBSTITUTE(SUBSTITUTE(SUBSTITUTE(SUBSTITUTE("type:"&amp;B1358,"%","%25"),"~","%7E"),"*","%2A"),"?","%3F"),'Rules'!$G$7:$G$26,0)),IF(AND(C1358&lt;&gt;"",C1358&lt;&gt;INDEX('Rules'!$B$7:$B$26,MATCH(SUBSTITUTE(SUBSTITUTE(SUBSTITUTE(SUBSTITUTE("type:"&amp;B1358,"%","%25"),"~","%7E"),"*","%2A"),"?","%3F"),'Rules'!$G$7:$G$26,0))),"Unit mismatch",IF(IF(NOT(ISNUMBER(D1358)),TRUE,OR(D1358&lt;0,D1358&gt;999999999,ROUND(D1358,3)&lt;&gt;D1358)),"Invalid current reading",IF(AND(E1358&lt;&gt;"",IF(NOT(ISNUMBER(E1358)),TRUE,OR(E1358&lt;0,E1358&gt;999999999,ROUND(E1358,3)&lt;&gt;E1358))),"Invalid previous reading",IF(IF(NOT(ISNUMBER(F1358)),TRUE,OR(F1358&lt;0,F1358&gt;999999999,ROUND(F1358,3)&lt;&gt;F1358)),"Invalid last service",IF(AND(E1358&lt;&gt;"",D1358&lt;E1358),"Decreased reading",IF(F1358&gt;D1358,"Last service above current","")))))))))))))</x:f>
      </x:c>
      <x:c r="L1358" s="6" t="str">
        <x:f>IF(AND(NOT(COUNTA(A1358:F1358)=0),K1358=""),INDEX('Rules'!$C$7:$C$26,MATCH(SUBSTITUTE(SUBSTITUTE(SUBSTITUTE(SUBSTITUTE("type:"&amp;B1358,"%","%25"),"~","%7E"),"*","%2A"),"?","%3F"),'Rules'!$G$7:$G$26,0)),"")</x:f>
      </x:c>
      <x:c r="M1358" s="6" t="str">
        <x:f>IF(AND(NOT(COUNTA(A1358:F1358)=0),K1358=""),INDEX('Rules'!$D$7:$D$26,MATCH(SUBSTITUTE(SUBSTITUTE(SUBSTITUTE(SUBSTITUTE("type:"&amp;B1358,"%","%25"),"~","%7E"),"*","%2A"),"?","%3F"),'Rules'!$G$7:$G$26,0)),"")</x:f>
      </x:c>
      <x:c r="N1358" s="5" t="str">
        <x:f>IF(COUNTA(A1358:F1358)=0,"",SUBSTITUTE(SUBSTITUTE(SUBSTITUTE(SUBSTITUTE("id:"&amp;A1358,"%","%25"),"~","%7E"),"*","%2A"),"?","%3F"))</x:f>
      </x:c>
    </x:row>
    <x:row r="1359" ht="22" customHeight="1">
      <x:c r="A1359" s="3"/>
      <x:c r="B1359" s="3"/>
      <x:c r="C1359" s="3"/>
      <x:c r="D1359" s="4"/>
      <x:c r="E1359" s="4"/>
      <x:c r="F1359" s="4"/>
      <x:c r="G1359" s="5" t="str">
        <x:f>IF(COUNTA(A1359:F1359)=0,"",IF(K1359&lt;&gt;"","Review",IF(I1359&lt;0,"Overdue",IF(I1359=0,"Due now",IF(I1359&lt;=M1359,"Due soon","Not due")))))</x:f>
      </x:c>
      <x:c r="H1359" s="5" t="str">
        <x:f>IF(OR(COUNTA(A1359:F1359)=0,COUNTIFS('Rules'!$G$7:$G$26,"="&amp;(SUBSTITUTE(SUBSTITUTE(SUBSTITUTE(SUBSTITUTE("type:"&amp;B1359,"%","%25"),"~","%7E"),"*","%2A"),"?","%3F")))&lt;&gt;1),"",IF(OR(INDEX('Rules'!$B$7:$B$26,MATCH(SUBSTITUTE(SUBSTITUTE(SUBSTITUTE(SUBSTITUTE("type:"&amp;B1359,"%","%25"),"~","%7E"),"*","%2A"),"?","%3F"),'Rules'!$G$7:$G$26,0))="hours",INDEX('Rules'!$B$7:$B$26,MATCH(SUBSTITUTE(SUBSTITUTE(SUBSTITUTE(SUBSTITUTE("type:"&amp;B1359,"%","%25"),"~","%7E"),"*","%2A"),"?","%3F"),'Rules'!$G$7:$G$26,0))="km"),INDEX('Rules'!$B$7:$B$26,MATCH(SUBSTITUTE(SUBSTITUTE(SUBSTITUTE(SUBSTITUTE("type:"&amp;B1359,"%","%25"),"~","%7E"),"*","%2A"),"?","%3F"),'Rules'!$G$7:$G$26,0)),""))</x:f>
      </x:c>
      <x:c r="I1359" s="6" t="str">
        <x:f>IF(AND(NOT(COUNTA(A1359:F1359)=0),K1359=""),ROUND(J1359-D1359,3),"")</x:f>
      </x:c>
      <x:c r="J1359" s="6" t="str">
        <x:f>IF(AND(NOT(COUNTA(A1359:F1359)=0),K1359=""),ROUND(F1359+L1359,3),"")</x:f>
      </x:c>
      <x:c r="K1359" s="5" t="str">
        <x:f>IF(COUNTA(A1359:F1359)=0,"",IF(A1359="","Missing equipment ID",IF(COUNTIFS($N$8:$N$2007,"="&amp;N1359)&gt;1,"Duplicate equipment ID",IF(B1359="","Missing type",IF(COUNTIFS('Rules'!$G$7:$G$26,"="&amp;(SUBSTITUTE(SUBSTITUTE(SUBSTITUTE(SUBSTITUTE("type:"&amp;B1359,"%","%25"),"~","%7E"),"*","%2A"),"?","%3F")))=0,"Unknown type",IF(COUNTIFS('Rules'!$G$7:$G$26,"="&amp;(SUBSTITUTE(SUBSTITUTE(SUBSTITUTE(SUBSTITUTE("type:"&amp;B1359,"%","%25"),"~","%7E"),"*","%2A"),"?","%3F")))&gt;1,"Duplicate type",IF(INDEX('Rules'!$F$7:$F$26,MATCH(SUBSTITUTE(SUBSTITUTE(SUBSTITUTE(SUBSTITUTE("type:"&amp;B1359,"%","%25"),"~","%7E"),"*","%2A"),"?","%3F"),'Rules'!$G$7:$G$26,0))&lt;&gt;"",INDEX('Rules'!$F$7:$F$26,MATCH(SUBSTITUTE(SUBSTITUTE(SUBSTITUTE(SUBSTITUTE("type:"&amp;B1359,"%","%25"),"~","%7E"),"*","%2A"),"?","%3F"),'Rules'!$G$7:$G$26,0)),IF(AND(C1359&lt;&gt;"",C1359&lt;&gt;INDEX('Rules'!$B$7:$B$26,MATCH(SUBSTITUTE(SUBSTITUTE(SUBSTITUTE(SUBSTITUTE("type:"&amp;B1359,"%","%25"),"~","%7E"),"*","%2A"),"?","%3F"),'Rules'!$G$7:$G$26,0))),"Unit mismatch",IF(IF(NOT(ISNUMBER(D1359)),TRUE,OR(D1359&lt;0,D1359&gt;999999999,ROUND(D1359,3)&lt;&gt;D1359)),"Invalid current reading",IF(AND(E1359&lt;&gt;"",IF(NOT(ISNUMBER(E1359)),TRUE,OR(E1359&lt;0,E1359&gt;999999999,ROUND(E1359,3)&lt;&gt;E1359))),"Invalid previous reading",IF(IF(NOT(ISNUMBER(F1359)),TRUE,OR(F1359&lt;0,F1359&gt;999999999,ROUND(F1359,3)&lt;&gt;F1359)),"Invalid last service",IF(AND(E1359&lt;&gt;"",D1359&lt;E1359),"Decreased reading",IF(F1359&gt;D1359,"Last service above current","")))))))))))))</x:f>
      </x:c>
      <x:c r="L1359" s="6" t="str">
        <x:f>IF(AND(NOT(COUNTA(A1359:F1359)=0),K1359=""),INDEX('Rules'!$C$7:$C$26,MATCH(SUBSTITUTE(SUBSTITUTE(SUBSTITUTE(SUBSTITUTE("type:"&amp;B1359,"%","%25"),"~","%7E"),"*","%2A"),"?","%3F"),'Rules'!$G$7:$G$26,0)),"")</x:f>
      </x:c>
      <x:c r="M1359" s="6" t="str">
        <x:f>IF(AND(NOT(COUNTA(A1359:F1359)=0),K1359=""),INDEX('Rules'!$D$7:$D$26,MATCH(SUBSTITUTE(SUBSTITUTE(SUBSTITUTE(SUBSTITUTE("type:"&amp;B1359,"%","%25"),"~","%7E"),"*","%2A"),"?","%3F"),'Rules'!$G$7:$G$26,0)),"")</x:f>
      </x:c>
      <x:c r="N1359" s="5" t="str">
        <x:f>IF(COUNTA(A1359:F1359)=0,"",SUBSTITUTE(SUBSTITUTE(SUBSTITUTE(SUBSTITUTE("id:"&amp;A1359,"%","%25"),"~","%7E"),"*","%2A"),"?","%3F"))</x:f>
      </x:c>
    </x:row>
    <x:row r="1360" ht="22" customHeight="1">
      <x:c r="A1360" s="3"/>
      <x:c r="B1360" s="3"/>
      <x:c r="C1360" s="3"/>
      <x:c r="D1360" s="4"/>
      <x:c r="E1360" s="4"/>
      <x:c r="F1360" s="4"/>
      <x:c r="G1360" s="5" t="str">
        <x:f>IF(COUNTA(A1360:F1360)=0,"",IF(K1360&lt;&gt;"","Review",IF(I1360&lt;0,"Overdue",IF(I1360=0,"Due now",IF(I1360&lt;=M1360,"Due soon","Not due")))))</x:f>
      </x:c>
      <x:c r="H1360" s="5" t="str">
        <x:f>IF(OR(COUNTA(A1360:F1360)=0,COUNTIFS('Rules'!$G$7:$G$26,"="&amp;(SUBSTITUTE(SUBSTITUTE(SUBSTITUTE(SUBSTITUTE("type:"&amp;B1360,"%","%25"),"~","%7E"),"*","%2A"),"?","%3F")))&lt;&gt;1),"",IF(OR(INDEX('Rules'!$B$7:$B$26,MATCH(SUBSTITUTE(SUBSTITUTE(SUBSTITUTE(SUBSTITUTE("type:"&amp;B1360,"%","%25"),"~","%7E"),"*","%2A"),"?","%3F"),'Rules'!$G$7:$G$26,0))="hours",INDEX('Rules'!$B$7:$B$26,MATCH(SUBSTITUTE(SUBSTITUTE(SUBSTITUTE(SUBSTITUTE("type:"&amp;B1360,"%","%25"),"~","%7E"),"*","%2A"),"?","%3F"),'Rules'!$G$7:$G$26,0))="km"),INDEX('Rules'!$B$7:$B$26,MATCH(SUBSTITUTE(SUBSTITUTE(SUBSTITUTE(SUBSTITUTE("type:"&amp;B1360,"%","%25"),"~","%7E"),"*","%2A"),"?","%3F"),'Rules'!$G$7:$G$26,0)),""))</x:f>
      </x:c>
      <x:c r="I1360" s="6" t="str">
        <x:f>IF(AND(NOT(COUNTA(A1360:F1360)=0),K1360=""),ROUND(J1360-D1360,3),"")</x:f>
      </x:c>
      <x:c r="J1360" s="6" t="str">
        <x:f>IF(AND(NOT(COUNTA(A1360:F1360)=0),K1360=""),ROUND(F1360+L1360,3),"")</x:f>
      </x:c>
      <x:c r="K1360" s="5" t="str">
        <x:f>IF(COUNTA(A1360:F1360)=0,"",IF(A1360="","Missing equipment ID",IF(COUNTIFS($N$8:$N$2007,"="&amp;N1360)&gt;1,"Duplicate equipment ID",IF(B1360="","Missing type",IF(COUNTIFS('Rules'!$G$7:$G$26,"="&amp;(SUBSTITUTE(SUBSTITUTE(SUBSTITUTE(SUBSTITUTE("type:"&amp;B1360,"%","%25"),"~","%7E"),"*","%2A"),"?","%3F")))=0,"Unknown type",IF(COUNTIFS('Rules'!$G$7:$G$26,"="&amp;(SUBSTITUTE(SUBSTITUTE(SUBSTITUTE(SUBSTITUTE("type:"&amp;B1360,"%","%25"),"~","%7E"),"*","%2A"),"?","%3F")))&gt;1,"Duplicate type",IF(INDEX('Rules'!$F$7:$F$26,MATCH(SUBSTITUTE(SUBSTITUTE(SUBSTITUTE(SUBSTITUTE("type:"&amp;B1360,"%","%25"),"~","%7E"),"*","%2A"),"?","%3F"),'Rules'!$G$7:$G$26,0))&lt;&gt;"",INDEX('Rules'!$F$7:$F$26,MATCH(SUBSTITUTE(SUBSTITUTE(SUBSTITUTE(SUBSTITUTE("type:"&amp;B1360,"%","%25"),"~","%7E"),"*","%2A"),"?","%3F"),'Rules'!$G$7:$G$26,0)),IF(AND(C1360&lt;&gt;"",C1360&lt;&gt;INDEX('Rules'!$B$7:$B$26,MATCH(SUBSTITUTE(SUBSTITUTE(SUBSTITUTE(SUBSTITUTE("type:"&amp;B1360,"%","%25"),"~","%7E"),"*","%2A"),"?","%3F"),'Rules'!$G$7:$G$26,0))),"Unit mismatch",IF(IF(NOT(ISNUMBER(D1360)),TRUE,OR(D1360&lt;0,D1360&gt;999999999,ROUND(D1360,3)&lt;&gt;D1360)),"Invalid current reading",IF(AND(E1360&lt;&gt;"",IF(NOT(ISNUMBER(E1360)),TRUE,OR(E1360&lt;0,E1360&gt;999999999,ROUND(E1360,3)&lt;&gt;E1360))),"Invalid previous reading",IF(IF(NOT(ISNUMBER(F1360)),TRUE,OR(F1360&lt;0,F1360&gt;999999999,ROUND(F1360,3)&lt;&gt;F1360)),"Invalid last service",IF(AND(E1360&lt;&gt;"",D1360&lt;E1360),"Decreased reading",IF(F1360&gt;D1360,"Last service above current","")))))))))))))</x:f>
      </x:c>
      <x:c r="L1360" s="6" t="str">
        <x:f>IF(AND(NOT(COUNTA(A1360:F1360)=0),K1360=""),INDEX('Rules'!$C$7:$C$26,MATCH(SUBSTITUTE(SUBSTITUTE(SUBSTITUTE(SUBSTITUTE("type:"&amp;B1360,"%","%25"),"~","%7E"),"*","%2A"),"?","%3F"),'Rules'!$G$7:$G$26,0)),"")</x:f>
      </x:c>
      <x:c r="M1360" s="6" t="str">
        <x:f>IF(AND(NOT(COUNTA(A1360:F1360)=0),K1360=""),INDEX('Rules'!$D$7:$D$26,MATCH(SUBSTITUTE(SUBSTITUTE(SUBSTITUTE(SUBSTITUTE("type:"&amp;B1360,"%","%25"),"~","%7E"),"*","%2A"),"?","%3F"),'Rules'!$G$7:$G$26,0)),"")</x:f>
      </x:c>
      <x:c r="N1360" s="5" t="str">
        <x:f>IF(COUNTA(A1360:F1360)=0,"",SUBSTITUTE(SUBSTITUTE(SUBSTITUTE(SUBSTITUTE("id:"&amp;A1360,"%","%25"),"~","%7E"),"*","%2A"),"?","%3F"))</x:f>
      </x:c>
    </x:row>
    <x:row r="1361" ht="22" customHeight="1">
      <x:c r="A1361" s="3"/>
      <x:c r="B1361" s="3"/>
      <x:c r="C1361" s="3"/>
      <x:c r="D1361" s="4"/>
      <x:c r="E1361" s="4"/>
      <x:c r="F1361" s="4"/>
      <x:c r="G1361" s="5" t="str">
        <x:f>IF(COUNTA(A1361:F1361)=0,"",IF(K1361&lt;&gt;"","Review",IF(I1361&lt;0,"Overdue",IF(I1361=0,"Due now",IF(I1361&lt;=M1361,"Due soon","Not due")))))</x:f>
      </x:c>
      <x:c r="H1361" s="5" t="str">
        <x:f>IF(OR(COUNTA(A1361:F1361)=0,COUNTIFS('Rules'!$G$7:$G$26,"="&amp;(SUBSTITUTE(SUBSTITUTE(SUBSTITUTE(SUBSTITUTE("type:"&amp;B1361,"%","%25"),"~","%7E"),"*","%2A"),"?","%3F")))&lt;&gt;1),"",IF(OR(INDEX('Rules'!$B$7:$B$26,MATCH(SUBSTITUTE(SUBSTITUTE(SUBSTITUTE(SUBSTITUTE("type:"&amp;B1361,"%","%25"),"~","%7E"),"*","%2A"),"?","%3F"),'Rules'!$G$7:$G$26,0))="hours",INDEX('Rules'!$B$7:$B$26,MATCH(SUBSTITUTE(SUBSTITUTE(SUBSTITUTE(SUBSTITUTE("type:"&amp;B1361,"%","%25"),"~","%7E"),"*","%2A"),"?","%3F"),'Rules'!$G$7:$G$26,0))="km"),INDEX('Rules'!$B$7:$B$26,MATCH(SUBSTITUTE(SUBSTITUTE(SUBSTITUTE(SUBSTITUTE("type:"&amp;B1361,"%","%25"),"~","%7E"),"*","%2A"),"?","%3F"),'Rules'!$G$7:$G$26,0)),""))</x:f>
      </x:c>
      <x:c r="I1361" s="6" t="str">
        <x:f>IF(AND(NOT(COUNTA(A1361:F1361)=0),K1361=""),ROUND(J1361-D1361,3),"")</x:f>
      </x:c>
      <x:c r="J1361" s="6" t="str">
        <x:f>IF(AND(NOT(COUNTA(A1361:F1361)=0),K1361=""),ROUND(F1361+L1361,3),"")</x:f>
      </x:c>
      <x:c r="K1361" s="5" t="str">
        <x:f>IF(COUNTA(A1361:F1361)=0,"",IF(A1361="","Missing equipment ID",IF(COUNTIFS($N$8:$N$2007,"="&amp;N1361)&gt;1,"Duplicate equipment ID",IF(B1361="","Missing type",IF(COUNTIFS('Rules'!$G$7:$G$26,"="&amp;(SUBSTITUTE(SUBSTITUTE(SUBSTITUTE(SUBSTITUTE("type:"&amp;B1361,"%","%25"),"~","%7E"),"*","%2A"),"?","%3F")))=0,"Unknown type",IF(COUNTIFS('Rules'!$G$7:$G$26,"="&amp;(SUBSTITUTE(SUBSTITUTE(SUBSTITUTE(SUBSTITUTE("type:"&amp;B1361,"%","%25"),"~","%7E"),"*","%2A"),"?","%3F")))&gt;1,"Duplicate type",IF(INDEX('Rules'!$F$7:$F$26,MATCH(SUBSTITUTE(SUBSTITUTE(SUBSTITUTE(SUBSTITUTE("type:"&amp;B1361,"%","%25"),"~","%7E"),"*","%2A"),"?","%3F"),'Rules'!$G$7:$G$26,0))&lt;&gt;"",INDEX('Rules'!$F$7:$F$26,MATCH(SUBSTITUTE(SUBSTITUTE(SUBSTITUTE(SUBSTITUTE("type:"&amp;B1361,"%","%25"),"~","%7E"),"*","%2A"),"?","%3F"),'Rules'!$G$7:$G$26,0)),IF(AND(C1361&lt;&gt;"",C1361&lt;&gt;INDEX('Rules'!$B$7:$B$26,MATCH(SUBSTITUTE(SUBSTITUTE(SUBSTITUTE(SUBSTITUTE("type:"&amp;B1361,"%","%25"),"~","%7E"),"*","%2A"),"?","%3F"),'Rules'!$G$7:$G$26,0))),"Unit mismatch",IF(IF(NOT(ISNUMBER(D1361)),TRUE,OR(D1361&lt;0,D1361&gt;999999999,ROUND(D1361,3)&lt;&gt;D1361)),"Invalid current reading",IF(AND(E1361&lt;&gt;"",IF(NOT(ISNUMBER(E1361)),TRUE,OR(E1361&lt;0,E1361&gt;999999999,ROUND(E1361,3)&lt;&gt;E1361))),"Invalid previous reading",IF(IF(NOT(ISNUMBER(F1361)),TRUE,OR(F1361&lt;0,F1361&gt;999999999,ROUND(F1361,3)&lt;&gt;F1361)),"Invalid last service",IF(AND(E1361&lt;&gt;"",D1361&lt;E1361),"Decreased reading",IF(F1361&gt;D1361,"Last service above current","")))))))))))))</x:f>
      </x:c>
      <x:c r="L1361" s="6" t="str">
        <x:f>IF(AND(NOT(COUNTA(A1361:F1361)=0),K1361=""),INDEX('Rules'!$C$7:$C$26,MATCH(SUBSTITUTE(SUBSTITUTE(SUBSTITUTE(SUBSTITUTE("type:"&amp;B1361,"%","%25"),"~","%7E"),"*","%2A"),"?","%3F"),'Rules'!$G$7:$G$26,0)),"")</x:f>
      </x:c>
      <x:c r="M1361" s="6" t="str">
        <x:f>IF(AND(NOT(COUNTA(A1361:F1361)=0),K1361=""),INDEX('Rules'!$D$7:$D$26,MATCH(SUBSTITUTE(SUBSTITUTE(SUBSTITUTE(SUBSTITUTE("type:"&amp;B1361,"%","%25"),"~","%7E"),"*","%2A"),"?","%3F"),'Rules'!$G$7:$G$26,0)),"")</x:f>
      </x:c>
      <x:c r="N1361" s="5" t="str">
        <x:f>IF(COUNTA(A1361:F1361)=0,"",SUBSTITUTE(SUBSTITUTE(SUBSTITUTE(SUBSTITUTE("id:"&amp;A1361,"%","%25"),"~","%7E"),"*","%2A"),"?","%3F"))</x:f>
      </x:c>
    </x:row>
    <x:row r="1362" ht="22" customHeight="1">
      <x:c r="A1362" s="3"/>
      <x:c r="B1362" s="3"/>
      <x:c r="C1362" s="3"/>
      <x:c r="D1362" s="4"/>
      <x:c r="E1362" s="4"/>
      <x:c r="F1362" s="4"/>
      <x:c r="G1362" s="5" t="str">
        <x:f>IF(COUNTA(A1362:F1362)=0,"",IF(K1362&lt;&gt;"","Review",IF(I1362&lt;0,"Overdue",IF(I1362=0,"Due now",IF(I1362&lt;=M1362,"Due soon","Not due")))))</x:f>
      </x:c>
      <x:c r="H1362" s="5" t="str">
        <x:f>IF(OR(COUNTA(A1362:F1362)=0,COUNTIFS('Rules'!$G$7:$G$26,"="&amp;(SUBSTITUTE(SUBSTITUTE(SUBSTITUTE(SUBSTITUTE("type:"&amp;B1362,"%","%25"),"~","%7E"),"*","%2A"),"?","%3F")))&lt;&gt;1),"",IF(OR(INDEX('Rules'!$B$7:$B$26,MATCH(SUBSTITUTE(SUBSTITUTE(SUBSTITUTE(SUBSTITUTE("type:"&amp;B1362,"%","%25"),"~","%7E"),"*","%2A"),"?","%3F"),'Rules'!$G$7:$G$26,0))="hours",INDEX('Rules'!$B$7:$B$26,MATCH(SUBSTITUTE(SUBSTITUTE(SUBSTITUTE(SUBSTITUTE("type:"&amp;B1362,"%","%25"),"~","%7E"),"*","%2A"),"?","%3F"),'Rules'!$G$7:$G$26,0))="km"),INDEX('Rules'!$B$7:$B$26,MATCH(SUBSTITUTE(SUBSTITUTE(SUBSTITUTE(SUBSTITUTE("type:"&amp;B1362,"%","%25"),"~","%7E"),"*","%2A"),"?","%3F"),'Rules'!$G$7:$G$26,0)),""))</x:f>
      </x:c>
      <x:c r="I1362" s="6" t="str">
        <x:f>IF(AND(NOT(COUNTA(A1362:F1362)=0),K1362=""),ROUND(J1362-D1362,3),"")</x:f>
      </x:c>
      <x:c r="J1362" s="6" t="str">
        <x:f>IF(AND(NOT(COUNTA(A1362:F1362)=0),K1362=""),ROUND(F1362+L1362,3),"")</x:f>
      </x:c>
      <x:c r="K1362" s="5" t="str">
        <x:f>IF(COUNTA(A1362:F1362)=0,"",IF(A1362="","Missing equipment ID",IF(COUNTIFS($N$8:$N$2007,"="&amp;N1362)&gt;1,"Duplicate equipment ID",IF(B1362="","Missing type",IF(COUNTIFS('Rules'!$G$7:$G$26,"="&amp;(SUBSTITUTE(SUBSTITUTE(SUBSTITUTE(SUBSTITUTE("type:"&amp;B1362,"%","%25"),"~","%7E"),"*","%2A"),"?","%3F")))=0,"Unknown type",IF(COUNTIFS('Rules'!$G$7:$G$26,"="&amp;(SUBSTITUTE(SUBSTITUTE(SUBSTITUTE(SUBSTITUTE("type:"&amp;B1362,"%","%25"),"~","%7E"),"*","%2A"),"?","%3F")))&gt;1,"Duplicate type",IF(INDEX('Rules'!$F$7:$F$26,MATCH(SUBSTITUTE(SUBSTITUTE(SUBSTITUTE(SUBSTITUTE("type:"&amp;B1362,"%","%25"),"~","%7E"),"*","%2A"),"?","%3F"),'Rules'!$G$7:$G$26,0))&lt;&gt;"",INDEX('Rules'!$F$7:$F$26,MATCH(SUBSTITUTE(SUBSTITUTE(SUBSTITUTE(SUBSTITUTE("type:"&amp;B1362,"%","%25"),"~","%7E"),"*","%2A"),"?","%3F"),'Rules'!$G$7:$G$26,0)),IF(AND(C1362&lt;&gt;"",C1362&lt;&gt;INDEX('Rules'!$B$7:$B$26,MATCH(SUBSTITUTE(SUBSTITUTE(SUBSTITUTE(SUBSTITUTE("type:"&amp;B1362,"%","%25"),"~","%7E"),"*","%2A"),"?","%3F"),'Rules'!$G$7:$G$26,0))),"Unit mismatch",IF(IF(NOT(ISNUMBER(D1362)),TRUE,OR(D1362&lt;0,D1362&gt;999999999,ROUND(D1362,3)&lt;&gt;D1362)),"Invalid current reading",IF(AND(E1362&lt;&gt;"",IF(NOT(ISNUMBER(E1362)),TRUE,OR(E1362&lt;0,E1362&gt;999999999,ROUND(E1362,3)&lt;&gt;E1362))),"Invalid previous reading",IF(IF(NOT(ISNUMBER(F1362)),TRUE,OR(F1362&lt;0,F1362&gt;999999999,ROUND(F1362,3)&lt;&gt;F1362)),"Invalid last service",IF(AND(E1362&lt;&gt;"",D1362&lt;E1362),"Decreased reading",IF(F1362&gt;D1362,"Last service above current","")))))))))))))</x:f>
      </x:c>
      <x:c r="L1362" s="6" t="str">
        <x:f>IF(AND(NOT(COUNTA(A1362:F1362)=0),K1362=""),INDEX('Rules'!$C$7:$C$26,MATCH(SUBSTITUTE(SUBSTITUTE(SUBSTITUTE(SUBSTITUTE("type:"&amp;B1362,"%","%25"),"~","%7E"),"*","%2A"),"?","%3F"),'Rules'!$G$7:$G$26,0)),"")</x:f>
      </x:c>
      <x:c r="M1362" s="6" t="str">
        <x:f>IF(AND(NOT(COUNTA(A1362:F1362)=0),K1362=""),INDEX('Rules'!$D$7:$D$26,MATCH(SUBSTITUTE(SUBSTITUTE(SUBSTITUTE(SUBSTITUTE("type:"&amp;B1362,"%","%25"),"~","%7E"),"*","%2A"),"?","%3F"),'Rules'!$G$7:$G$26,0)),"")</x:f>
      </x:c>
      <x:c r="N1362" s="5" t="str">
        <x:f>IF(COUNTA(A1362:F1362)=0,"",SUBSTITUTE(SUBSTITUTE(SUBSTITUTE(SUBSTITUTE("id:"&amp;A1362,"%","%25"),"~","%7E"),"*","%2A"),"?","%3F"))</x:f>
      </x:c>
    </x:row>
    <x:row r="1363" ht="22" customHeight="1">
      <x:c r="A1363" s="3"/>
      <x:c r="B1363" s="3"/>
      <x:c r="C1363" s="3"/>
      <x:c r="D1363" s="4"/>
      <x:c r="E1363" s="4"/>
      <x:c r="F1363" s="4"/>
      <x:c r="G1363" s="5" t="str">
        <x:f>IF(COUNTA(A1363:F1363)=0,"",IF(K1363&lt;&gt;"","Review",IF(I1363&lt;0,"Overdue",IF(I1363=0,"Due now",IF(I1363&lt;=M1363,"Due soon","Not due")))))</x:f>
      </x:c>
      <x:c r="H1363" s="5" t="str">
        <x:f>IF(OR(COUNTA(A1363:F1363)=0,COUNTIFS('Rules'!$G$7:$G$26,"="&amp;(SUBSTITUTE(SUBSTITUTE(SUBSTITUTE(SUBSTITUTE("type:"&amp;B1363,"%","%25"),"~","%7E"),"*","%2A"),"?","%3F")))&lt;&gt;1),"",IF(OR(INDEX('Rules'!$B$7:$B$26,MATCH(SUBSTITUTE(SUBSTITUTE(SUBSTITUTE(SUBSTITUTE("type:"&amp;B1363,"%","%25"),"~","%7E"),"*","%2A"),"?","%3F"),'Rules'!$G$7:$G$26,0))="hours",INDEX('Rules'!$B$7:$B$26,MATCH(SUBSTITUTE(SUBSTITUTE(SUBSTITUTE(SUBSTITUTE("type:"&amp;B1363,"%","%25"),"~","%7E"),"*","%2A"),"?","%3F"),'Rules'!$G$7:$G$26,0))="km"),INDEX('Rules'!$B$7:$B$26,MATCH(SUBSTITUTE(SUBSTITUTE(SUBSTITUTE(SUBSTITUTE("type:"&amp;B1363,"%","%25"),"~","%7E"),"*","%2A"),"?","%3F"),'Rules'!$G$7:$G$26,0)),""))</x:f>
      </x:c>
      <x:c r="I1363" s="6" t="str">
        <x:f>IF(AND(NOT(COUNTA(A1363:F1363)=0),K1363=""),ROUND(J1363-D1363,3),"")</x:f>
      </x:c>
      <x:c r="J1363" s="6" t="str">
        <x:f>IF(AND(NOT(COUNTA(A1363:F1363)=0),K1363=""),ROUND(F1363+L1363,3),"")</x:f>
      </x:c>
      <x:c r="K1363" s="5" t="str">
        <x:f>IF(COUNTA(A1363:F1363)=0,"",IF(A1363="","Missing equipment ID",IF(COUNTIFS($N$8:$N$2007,"="&amp;N1363)&gt;1,"Duplicate equipment ID",IF(B1363="","Missing type",IF(COUNTIFS('Rules'!$G$7:$G$26,"="&amp;(SUBSTITUTE(SUBSTITUTE(SUBSTITUTE(SUBSTITUTE("type:"&amp;B1363,"%","%25"),"~","%7E"),"*","%2A"),"?","%3F")))=0,"Unknown type",IF(COUNTIFS('Rules'!$G$7:$G$26,"="&amp;(SUBSTITUTE(SUBSTITUTE(SUBSTITUTE(SUBSTITUTE("type:"&amp;B1363,"%","%25"),"~","%7E"),"*","%2A"),"?","%3F")))&gt;1,"Duplicate type",IF(INDEX('Rules'!$F$7:$F$26,MATCH(SUBSTITUTE(SUBSTITUTE(SUBSTITUTE(SUBSTITUTE("type:"&amp;B1363,"%","%25"),"~","%7E"),"*","%2A"),"?","%3F"),'Rules'!$G$7:$G$26,0))&lt;&gt;"",INDEX('Rules'!$F$7:$F$26,MATCH(SUBSTITUTE(SUBSTITUTE(SUBSTITUTE(SUBSTITUTE("type:"&amp;B1363,"%","%25"),"~","%7E"),"*","%2A"),"?","%3F"),'Rules'!$G$7:$G$26,0)),IF(AND(C1363&lt;&gt;"",C1363&lt;&gt;INDEX('Rules'!$B$7:$B$26,MATCH(SUBSTITUTE(SUBSTITUTE(SUBSTITUTE(SUBSTITUTE("type:"&amp;B1363,"%","%25"),"~","%7E"),"*","%2A"),"?","%3F"),'Rules'!$G$7:$G$26,0))),"Unit mismatch",IF(IF(NOT(ISNUMBER(D1363)),TRUE,OR(D1363&lt;0,D1363&gt;999999999,ROUND(D1363,3)&lt;&gt;D1363)),"Invalid current reading",IF(AND(E1363&lt;&gt;"",IF(NOT(ISNUMBER(E1363)),TRUE,OR(E1363&lt;0,E1363&gt;999999999,ROUND(E1363,3)&lt;&gt;E1363))),"Invalid previous reading",IF(IF(NOT(ISNUMBER(F1363)),TRUE,OR(F1363&lt;0,F1363&gt;999999999,ROUND(F1363,3)&lt;&gt;F1363)),"Invalid last service",IF(AND(E1363&lt;&gt;"",D1363&lt;E1363),"Decreased reading",IF(F1363&gt;D1363,"Last service above current","")))))))))))))</x:f>
      </x:c>
      <x:c r="L1363" s="6" t="str">
        <x:f>IF(AND(NOT(COUNTA(A1363:F1363)=0),K1363=""),INDEX('Rules'!$C$7:$C$26,MATCH(SUBSTITUTE(SUBSTITUTE(SUBSTITUTE(SUBSTITUTE("type:"&amp;B1363,"%","%25"),"~","%7E"),"*","%2A"),"?","%3F"),'Rules'!$G$7:$G$26,0)),"")</x:f>
      </x:c>
      <x:c r="M1363" s="6" t="str">
        <x:f>IF(AND(NOT(COUNTA(A1363:F1363)=0),K1363=""),INDEX('Rules'!$D$7:$D$26,MATCH(SUBSTITUTE(SUBSTITUTE(SUBSTITUTE(SUBSTITUTE("type:"&amp;B1363,"%","%25"),"~","%7E"),"*","%2A"),"?","%3F"),'Rules'!$G$7:$G$26,0)),"")</x:f>
      </x:c>
      <x:c r="N1363" s="5" t="str">
        <x:f>IF(COUNTA(A1363:F1363)=0,"",SUBSTITUTE(SUBSTITUTE(SUBSTITUTE(SUBSTITUTE("id:"&amp;A1363,"%","%25"),"~","%7E"),"*","%2A"),"?","%3F"))</x:f>
      </x:c>
    </x:row>
    <x:row r="1364" ht="22" customHeight="1">
      <x:c r="A1364" s="3"/>
      <x:c r="B1364" s="3"/>
      <x:c r="C1364" s="3"/>
      <x:c r="D1364" s="4"/>
      <x:c r="E1364" s="4"/>
      <x:c r="F1364" s="4"/>
      <x:c r="G1364" s="5" t="str">
        <x:f>IF(COUNTA(A1364:F1364)=0,"",IF(K1364&lt;&gt;"","Review",IF(I1364&lt;0,"Overdue",IF(I1364=0,"Due now",IF(I1364&lt;=M1364,"Due soon","Not due")))))</x:f>
      </x:c>
      <x:c r="H1364" s="5" t="str">
        <x:f>IF(OR(COUNTA(A1364:F1364)=0,COUNTIFS('Rules'!$G$7:$G$26,"="&amp;(SUBSTITUTE(SUBSTITUTE(SUBSTITUTE(SUBSTITUTE("type:"&amp;B1364,"%","%25"),"~","%7E"),"*","%2A"),"?","%3F")))&lt;&gt;1),"",IF(OR(INDEX('Rules'!$B$7:$B$26,MATCH(SUBSTITUTE(SUBSTITUTE(SUBSTITUTE(SUBSTITUTE("type:"&amp;B1364,"%","%25"),"~","%7E"),"*","%2A"),"?","%3F"),'Rules'!$G$7:$G$26,0))="hours",INDEX('Rules'!$B$7:$B$26,MATCH(SUBSTITUTE(SUBSTITUTE(SUBSTITUTE(SUBSTITUTE("type:"&amp;B1364,"%","%25"),"~","%7E"),"*","%2A"),"?","%3F"),'Rules'!$G$7:$G$26,0))="km"),INDEX('Rules'!$B$7:$B$26,MATCH(SUBSTITUTE(SUBSTITUTE(SUBSTITUTE(SUBSTITUTE("type:"&amp;B1364,"%","%25"),"~","%7E"),"*","%2A"),"?","%3F"),'Rules'!$G$7:$G$26,0)),""))</x:f>
      </x:c>
      <x:c r="I1364" s="6" t="str">
        <x:f>IF(AND(NOT(COUNTA(A1364:F1364)=0),K1364=""),ROUND(J1364-D1364,3),"")</x:f>
      </x:c>
      <x:c r="J1364" s="6" t="str">
        <x:f>IF(AND(NOT(COUNTA(A1364:F1364)=0),K1364=""),ROUND(F1364+L1364,3),"")</x:f>
      </x:c>
      <x:c r="K1364" s="5" t="str">
        <x:f>IF(COUNTA(A1364:F1364)=0,"",IF(A1364="","Missing equipment ID",IF(COUNTIFS($N$8:$N$2007,"="&amp;N1364)&gt;1,"Duplicate equipment ID",IF(B1364="","Missing type",IF(COUNTIFS('Rules'!$G$7:$G$26,"="&amp;(SUBSTITUTE(SUBSTITUTE(SUBSTITUTE(SUBSTITUTE("type:"&amp;B1364,"%","%25"),"~","%7E"),"*","%2A"),"?","%3F")))=0,"Unknown type",IF(COUNTIFS('Rules'!$G$7:$G$26,"="&amp;(SUBSTITUTE(SUBSTITUTE(SUBSTITUTE(SUBSTITUTE("type:"&amp;B1364,"%","%25"),"~","%7E"),"*","%2A"),"?","%3F")))&gt;1,"Duplicate type",IF(INDEX('Rules'!$F$7:$F$26,MATCH(SUBSTITUTE(SUBSTITUTE(SUBSTITUTE(SUBSTITUTE("type:"&amp;B1364,"%","%25"),"~","%7E"),"*","%2A"),"?","%3F"),'Rules'!$G$7:$G$26,0))&lt;&gt;"",INDEX('Rules'!$F$7:$F$26,MATCH(SUBSTITUTE(SUBSTITUTE(SUBSTITUTE(SUBSTITUTE("type:"&amp;B1364,"%","%25"),"~","%7E"),"*","%2A"),"?","%3F"),'Rules'!$G$7:$G$26,0)),IF(AND(C1364&lt;&gt;"",C1364&lt;&gt;INDEX('Rules'!$B$7:$B$26,MATCH(SUBSTITUTE(SUBSTITUTE(SUBSTITUTE(SUBSTITUTE("type:"&amp;B1364,"%","%25"),"~","%7E"),"*","%2A"),"?","%3F"),'Rules'!$G$7:$G$26,0))),"Unit mismatch",IF(IF(NOT(ISNUMBER(D1364)),TRUE,OR(D1364&lt;0,D1364&gt;999999999,ROUND(D1364,3)&lt;&gt;D1364)),"Invalid current reading",IF(AND(E1364&lt;&gt;"",IF(NOT(ISNUMBER(E1364)),TRUE,OR(E1364&lt;0,E1364&gt;999999999,ROUND(E1364,3)&lt;&gt;E1364))),"Invalid previous reading",IF(IF(NOT(ISNUMBER(F1364)),TRUE,OR(F1364&lt;0,F1364&gt;999999999,ROUND(F1364,3)&lt;&gt;F1364)),"Invalid last service",IF(AND(E1364&lt;&gt;"",D1364&lt;E1364),"Decreased reading",IF(F1364&gt;D1364,"Last service above current","")))))))))))))</x:f>
      </x:c>
      <x:c r="L1364" s="6" t="str">
        <x:f>IF(AND(NOT(COUNTA(A1364:F1364)=0),K1364=""),INDEX('Rules'!$C$7:$C$26,MATCH(SUBSTITUTE(SUBSTITUTE(SUBSTITUTE(SUBSTITUTE("type:"&amp;B1364,"%","%25"),"~","%7E"),"*","%2A"),"?","%3F"),'Rules'!$G$7:$G$26,0)),"")</x:f>
      </x:c>
      <x:c r="M1364" s="6" t="str">
        <x:f>IF(AND(NOT(COUNTA(A1364:F1364)=0),K1364=""),INDEX('Rules'!$D$7:$D$26,MATCH(SUBSTITUTE(SUBSTITUTE(SUBSTITUTE(SUBSTITUTE("type:"&amp;B1364,"%","%25"),"~","%7E"),"*","%2A"),"?","%3F"),'Rules'!$G$7:$G$26,0)),"")</x:f>
      </x:c>
      <x:c r="N1364" s="5" t="str">
        <x:f>IF(COUNTA(A1364:F1364)=0,"",SUBSTITUTE(SUBSTITUTE(SUBSTITUTE(SUBSTITUTE("id:"&amp;A1364,"%","%25"),"~","%7E"),"*","%2A"),"?","%3F"))</x:f>
      </x:c>
    </x:row>
    <x:row r="1365" ht="22" customHeight="1">
      <x:c r="A1365" s="3"/>
      <x:c r="B1365" s="3"/>
      <x:c r="C1365" s="3"/>
      <x:c r="D1365" s="4"/>
      <x:c r="E1365" s="4"/>
      <x:c r="F1365" s="4"/>
      <x:c r="G1365" s="5" t="str">
        <x:f>IF(COUNTA(A1365:F1365)=0,"",IF(K1365&lt;&gt;"","Review",IF(I1365&lt;0,"Overdue",IF(I1365=0,"Due now",IF(I1365&lt;=M1365,"Due soon","Not due")))))</x:f>
      </x:c>
      <x:c r="H1365" s="5" t="str">
        <x:f>IF(OR(COUNTA(A1365:F1365)=0,COUNTIFS('Rules'!$G$7:$G$26,"="&amp;(SUBSTITUTE(SUBSTITUTE(SUBSTITUTE(SUBSTITUTE("type:"&amp;B1365,"%","%25"),"~","%7E"),"*","%2A"),"?","%3F")))&lt;&gt;1),"",IF(OR(INDEX('Rules'!$B$7:$B$26,MATCH(SUBSTITUTE(SUBSTITUTE(SUBSTITUTE(SUBSTITUTE("type:"&amp;B1365,"%","%25"),"~","%7E"),"*","%2A"),"?","%3F"),'Rules'!$G$7:$G$26,0))="hours",INDEX('Rules'!$B$7:$B$26,MATCH(SUBSTITUTE(SUBSTITUTE(SUBSTITUTE(SUBSTITUTE("type:"&amp;B1365,"%","%25"),"~","%7E"),"*","%2A"),"?","%3F"),'Rules'!$G$7:$G$26,0))="km"),INDEX('Rules'!$B$7:$B$26,MATCH(SUBSTITUTE(SUBSTITUTE(SUBSTITUTE(SUBSTITUTE("type:"&amp;B1365,"%","%25"),"~","%7E"),"*","%2A"),"?","%3F"),'Rules'!$G$7:$G$26,0)),""))</x:f>
      </x:c>
      <x:c r="I1365" s="6" t="str">
        <x:f>IF(AND(NOT(COUNTA(A1365:F1365)=0),K1365=""),ROUND(J1365-D1365,3),"")</x:f>
      </x:c>
      <x:c r="J1365" s="6" t="str">
        <x:f>IF(AND(NOT(COUNTA(A1365:F1365)=0),K1365=""),ROUND(F1365+L1365,3),"")</x:f>
      </x:c>
      <x:c r="K1365" s="5" t="str">
        <x:f>IF(COUNTA(A1365:F1365)=0,"",IF(A1365="","Missing equipment ID",IF(COUNTIFS($N$8:$N$2007,"="&amp;N1365)&gt;1,"Duplicate equipment ID",IF(B1365="","Missing type",IF(COUNTIFS('Rules'!$G$7:$G$26,"="&amp;(SUBSTITUTE(SUBSTITUTE(SUBSTITUTE(SUBSTITUTE("type:"&amp;B1365,"%","%25"),"~","%7E"),"*","%2A"),"?","%3F")))=0,"Unknown type",IF(COUNTIFS('Rules'!$G$7:$G$26,"="&amp;(SUBSTITUTE(SUBSTITUTE(SUBSTITUTE(SUBSTITUTE("type:"&amp;B1365,"%","%25"),"~","%7E"),"*","%2A"),"?","%3F")))&gt;1,"Duplicate type",IF(INDEX('Rules'!$F$7:$F$26,MATCH(SUBSTITUTE(SUBSTITUTE(SUBSTITUTE(SUBSTITUTE("type:"&amp;B1365,"%","%25"),"~","%7E"),"*","%2A"),"?","%3F"),'Rules'!$G$7:$G$26,0))&lt;&gt;"",INDEX('Rules'!$F$7:$F$26,MATCH(SUBSTITUTE(SUBSTITUTE(SUBSTITUTE(SUBSTITUTE("type:"&amp;B1365,"%","%25"),"~","%7E"),"*","%2A"),"?","%3F"),'Rules'!$G$7:$G$26,0)),IF(AND(C1365&lt;&gt;"",C1365&lt;&gt;INDEX('Rules'!$B$7:$B$26,MATCH(SUBSTITUTE(SUBSTITUTE(SUBSTITUTE(SUBSTITUTE("type:"&amp;B1365,"%","%25"),"~","%7E"),"*","%2A"),"?","%3F"),'Rules'!$G$7:$G$26,0))),"Unit mismatch",IF(IF(NOT(ISNUMBER(D1365)),TRUE,OR(D1365&lt;0,D1365&gt;999999999,ROUND(D1365,3)&lt;&gt;D1365)),"Invalid current reading",IF(AND(E1365&lt;&gt;"",IF(NOT(ISNUMBER(E1365)),TRUE,OR(E1365&lt;0,E1365&gt;999999999,ROUND(E1365,3)&lt;&gt;E1365))),"Invalid previous reading",IF(IF(NOT(ISNUMBER(F1365)),TRUE,OR(F1365&lt;0,F1365&gt;999999999,ROUND(F1365,3)&lt;&gt;F1365)),"Invalid last service",IF(AND(E1365&lt;&gt;"",D1365&lt;E1365),"Decreased reading",IF(F1365&gt;D1365,"Last service above current","")))))))))))))</x:f>
      </x:c>
      <x:c r="L1365" s="6" t="str">
        <x:f>IF(AND(NOT(COUNTA(A1365:F1365)=0),K1365=""),INDEX('Rules'!$C$7:$C$26,MATCH(SUBSTITUTE(SUBSTITUTE(SUBSTITUTE(SUBSTITUTE("type:"&amp;B1365,"%","%25"),"~","%7E"),"*","%2A"),"?","%3F"),'Rules'!$G$7:$G$26,0)),"")</x:f>
      </x:c>
      <x:c r="M1365" s="6" t="str">
        <x:f>IF(AND(NOT(COUNTA(A1365:F1365)=0),K1365=""),INDEX('Rules'!$D$7:$D$26,MATCH(SUBSTITUTE(SUBSTITUTE(SUBSTITUTE(SUBSTITUTE("type:"&amp;B1365,"%","%25"),"~","%7E"),"*","%2A"),"?","%3F"),'Rules'!$G$7:$G$26,0)),"")</x:f>
      </x:c>
      <x:c r="N1365" s="5" t="str">
        <x:f>IF(COUNTA(A1365:F1365)=0,"",SUBSTITUTE(SUBSTITUTE(SUBSTITUTE(SUBSTITUTE("id:"&amp;A1365,"%","%25"),"~","%7E"),"*","%2A"),"?","%3F"))</x:f>
      </x:c>
    </x:row>
    <x:row r="1366" ht="22" customHeight="1">
      <x:c r="A1366" s="3"/>
      <x:c r="B1366" s="3"/>
      <x:c r="C1366" s="3"/>
      <x:c r="D1366" s="4"/>
      <x:c r="E1366" s="4"/>
      <x:c r="F1366" s="4"/>
      <x:c r="G1366" s="5" t="str">
        <x:f>IF(COUNTA(A1366:F1366)=0,"",IF(K1366&lt;&gt;"","Review",IF(I1366&lt;0,"Overdue",IF(I1366=0,"Due now",IF(I1366&lt;=M1366,"Due soon","Not due")))))</x:f>
      </x:c>
      <x:c r="H1366" s="5" t="str">
        <x:f>IF(OR(COUNTA(A1366:F1366)=0,COUNTIFS('Rules'!$G$7:$G$26,"="&amp;(SUBSTITUTE(SUBSTITUTE(SUBSTITUTE(SUBSTITUTE("type:"&amp;B1366,"%","%25"),"~","%7E"),"*","%2A"),"?","%3F")))&lt;&gt;1),"",IF(OR(INDEX('Rules'!$B$7:$B$26,MATCH(SUBSTITUTE(SUBSTITUTE(SUBSTITUTE(SUBSTITUTE("type:"&amp;B1366,"%","%25"),"~","%7E"),"*","%2A"),"?","%3F"),'Rules'!$G$7:$G$26,0))="hours",INDEX('Rules'!$B$7:$B$26,MATCH(SUBSTITUTE(SUBSTITUTE(SUBSTITUTE(SUBSTITUTE("type:"&amp;B1366,"%","%25"),"~","%7E"),"*","%2A"),"?","%3F"),'Rules'!$G$7:$G$26,0))="km"),INDEX('Rules'!$B$7:$B$26,MATCH(SUBSTITUTE(SUBSTITUTE(SUBSTITUTE(SUBSTITUTE("type:"&amp;B1366,"%","%25"),"~","%7E"),"*","%2A"),"?","%3F"),'Rules'!$G$7:$G$26,0)),""))</x:f>
      </x:c>
      <x:c r="I1366" s="6" t="str">
        <x:f>IF(AND(NOT(COUNTA(A1366:F1366)=0),K1366=""),ROUND(J1366-D1366,3),"")</x:f>
      </x:c>
      <x:c r="J1366" s="6" t="str">
        <x:f>IF(AND(NOT(COUNTA(A1366:F1366)=0),K1366=""),ROUND(F1366+L1366,3),"")</x:f>
      </x:c>
      <x:c r="K1366" s="5" t="str">
        <x:f>IF(COUNTA(A1366:F1366)=0,"",IF(A1366="","Missing equipment ID",IF(COUNTIFS($N$8:$N$2007,"="&amp;N1366)&gt;1,"Duplicate equipment ID",IF(B1366="","Missing type",IF(COUNTIFS('Rules'!$G$7:$G$26,"="&amp;(SUBSTITUTE(SUBSTITUTE(SUBSTITUTE(SUBSTITUTE("type:"&amp;B1366,"%","%25"),"~","%7E"),"*","%2A"),"?","%3F")))=0,"Unknown type",IF(COUNTIFS('Rules'!$G$7:$G$26,"="&amp;(SUBSTITUTE(SUBSTITUTE(SUBSTITUTE(SUBSTITUTE("type:"&amp;B1366,"%","%25"),"~","%7E"),"*","%2A"),"?","%3F")))&gt;1,"Duplicate type",IF(INDEX('Rules'!$F$7:$F$26,MATCH(SUBSTITUTE(SUBSTITUTE(SUBSTITUTE(SUBSTITUTE("type:"&amp;B1366,"%","%25"),"~","%7E"),"*","%2A"),"?","%3F"),'Rules'!$G$7:$G$26,0))&lt;&gt;"",INDEX('Rules'!$F$7:$F$26,MATCH(SUBSTITUTE(SUBSTITUTE(SUBSTITUTE(SUBSTITUTE("type:"&amp;B1366,"%","%25"),"~","%7E"),"*","%2A"),"?","%3F"),'Rules'!$G$7:$G$26,0)),IF(AND(C1366&lt;&gt;"",C1366&lt;&gt;INDEX('Rules'!$B$7:$B$26,MATCH(SUBSTITUTE(SUBSTITUTE(SUBSTITUTE(SUBSTITUTE("type:"&amp;B1366,"%","%25"),"~","%7E"),"*","%2A"),"?","%3F"),'Rules'!$G$7:$G$26,0))),"Unit mismatch",IF(IF(NOT(ISNUMBER(D1366)),TRUE,OR(D1366&lt;0,D1366&gt;999999999,ROUND(D1366,3)&lt;&gt;D1366)),"Invalid current reading",IF(AND(E1366&lt;&gt;"",IF(NOT(ISNUMBER(E1366)),TRUE,OR(E1366&lt;0,E1366&gt;999999999,ROUND(E1366,3)&lt;&gt;E1366))),"Invalid previous reading",IF(IF(NOT(ISNUMBER(F1366)),TRUE,OR(F1366&lt;0,F1366&gt;999999999,ROUND(F1366,3)&lt;&gt;F1366)),"Invalid last service",IF(AND(E1366&lt;&gt;"",D1366&lt;E1366),"Decreased reading",IF(F1366&gt;D1366,"Last service above current","")))))))))))))</x:f>
      </x:c>
      <x:c r="L1366" s="6" t="str">
        <x:f>IF(AND(NOT(COUNTA(A1366:F1366)=0),K1366=""),INDEX('Rules'!$C$7:$C$26,MATCH(SUBSTITUTE(SUBSTITUTE(SUBSTITUTE(SUBSTITUTE("type:"&amp;B1366,"%","%25"),"~","%7E"),"*","%2A"),"?","%3F"),'Rules'!$G$7:$G$26,0)),"")</x:f>
      </x:c>
      <x:c r="M1366" s="6" t="str">
        <x:f>IF(AND(NOT(COUNTA(A1366:F1366)=0),K1366=""),INDEX('Rules'!$D$7:$D$26,MATCH(SUBSTITUTE(SUBSTITUTE(SUBSTITUTE(SUBSTITUTE("type:"&amp;B1366,"%","%25"),"~","%7E"),"*","%2A"),"?","%3F"),'Rules'!$G$7:$G$26,0)),"")</x:f>
      </x:c>
      <x:c r="N1366" s="5" t="str">
        <x:f>IF(COUNTA(A1366:F1366)=0,"",SUBSTITUTE(SUBSTITUTE(SUBSTITUTE(SUBSTITUTE("id:"&amp;A1366,"%","%25"),"~","%7E"),"*","%2A"),"?","%3F"))</x:f>
      </x:c>
    </x:row>
    <x:row r="1367" ht="22" customHeight="1">
      <x:c r="A1367" s="3"/>
      <x:c r="B1367" s="3"/>
      <x:c r="C1367" s="3"/>
      <x:c r="D1367" s="4"/>
      <x:c r="E1367" s="4"/>
      <x:c r="F1367" s="4"/>
      <x:c r="G1367" s="5" t="str">
        <x:f>IF(COUNTA(A1367:F1367)=0,"",IF(K1367&lt;&gt;"","Review",IF(I1367&lt;0,"Overdue",IF(I1367=0,"Due now",IF(I1367&lt;=M1367,"Due soon","Not due")))))</x:f>
      </x:c>
      <x:c r="H1367" s="5" t="str">
        <x:f>IF(OR(COUNTA(A1367:F1367)=0,COUNTIFS('Rules'!$G$7:$G$26,"="&amp;(SUBSTITUTE(SUBSTITUTE(SUBSTITUTE(SUBSTITUTE("type:"&amp;B1367,"%","%25"),"~","%7E"),"*","%2A"),"?","%3F")))&lt;&gt;1),"",IF(OR(INDEX('Rules'!$B$7:$B$26,MATCH(SUBSTITUTE(SUBSTITUTE(SUBSTITUTE(SUBSTITUTE("type:"&amp;B1367,"%","%25"),"~","%7E"),"*","%2A"),"?","%3F"),'Rules'!$G$7:$G$26,0))="hours",INDEX('Rules'!$B$7:$B$26,MATCH(SUBSTITUTE(SUBSTITUTE(SUBSTITUTE(SUBSTITUTE("type:"&amp;B1367,"%","%25"),"~","%7E"),"*","%2A"),"?","%3F"),'Rules'!$G$7:$G$26,0))="km"),INDEX('Rules'!$B$7:$B$26,MATCH(SUBSTITUTE(SUBSTITUTE(SUBSTITUTE(SUBSTITUTE("type:"&amp;B1367,"%","%25"),"~","%7E"),"*","%2A"),"?","%3F"),'Rules'!$G$7:$G$26,0)),""))</x:f>
      </x:c>
      <x:c r="I1367" s="6" t="str">
        <x:f>IF(AND(NOT(COUNTA(A1367:F1367)=0),K1367=""),ROUND(J1367-D1367,3),"")</x:f>
      </x:c>
      <x:c r="J1367" s="6" t="str">
        <x:f>IF(AND(NOT(COUNTA(A1367:F1367)=0),K1367=""),ROUND(F1367+L1367,3),"")</x:f>
      </x:c>
      <x:c r="K1367" s="5" t="str">
        <x:f>IF(COUNTA(A1367:F1367)=0,"",IF(A1367="","Missing equipment ID",IF(COUNTIFS($N$8:$N$2007,"="&amp;N1367)&gt;1,"Duplicate equipment ID",IF(B1367="","Missing type",IF(COUNTIFS('Rules'!$G$7:$G$26,"="&amp;(SUBSTITUTE(SUBSTITUTE(SUBSTITUTE(SUBSTITUTE("type:"&amp;B1367,"%","%25"),"~","%7E"),"*","%2A"),"?","%3F")))=0,"Unknown type",IF(COUNTIFS('Rules'!$G$7:$G$26,"="&amp;(SUBSTITUTE(SUBSTITUTE(SUBSTITUTE(SUBSTITUTE("type:"&amp;B1367,"%","%25"),"~","%7E"),"*","%2A"),"?","%3F")))&gt;1,"Duplicate type",IF(INDEX('Rules'!$F$7:$F$26,MATCH(SUBSTITUTE(SUBSTITUTE(SUBSTITUTE(SUBSTITUTE("type:"&amp;B1367,"%","%25"),"~","%7E"),"*","%2A"),"?","%3F"),'Rules'!$G$7:$G$26,0))&lt;&gt;"",INDEX('Rules'!$F$7:$F$26,MATCH(SUBSTITUTE(SUBSTITUTE(SUBSTITUTE(SUBSTITUTE("type:"&amp;B1367,"%","%25"),"~","%7E"),"*","%2A"),"?","%3F"),'Rules'!$G$7:$G$26,0)),IF(AND(C1367&lt;&gt;"",C1367&lt;&gt;INDEX('Rules'!$B$7:$B$26,MATCH(SUBSTITUTE(SUBSTITUTE(SUBSTITUTE(SUBSTITUTE("type:"&amp;B1367,"%","%25"),"~","%7E"),"*","%2A"),"?","%3F"),'Rules'!$G$7:$G$26,0))),"Unit mismatch",IF(IF(NOT(ISNUMBER(D1367)),TRUE,OR(D1367&lt;0,D1367&gt;999999999,ROUND(D1367,3)&lt;&gt;D1367)),"Invalid current reading",IF(AND(E1367&lt;&gt;"",IF(NOT(ISNUMBER(E1367)),TRUE,OR(E1367&lt;0,E1367&gt;999999999,ROUND(E1367,3)&lt;&gt;E1367))),"Invalid previous reading",IF(IF(NOT(ISNUMBER(F1367)),TRUE,OR(F1367&lt;0,F1367&gt;999999999,ROUND(F1367,3)&lt;&gt;F1367)),"Invalid last service",IF(AND(E1367&lt;&gt;"",D1367&lt;E1367),"Decreased reading",IF(F1367&gt;D1367,"Last service above current","")))))))))))))</x:f>
      </x:c>
      <x:c r="L1367" s="6" t="str">
        <x:f>IF(AND(NOT(COUNTA(A1367:F1367)=0),K1367=""),INDEX('Rules'!$C$7:$C$26,MATCH(SUBSTITUTE(SUBSTITUTE(SUBSTITUTE(SUBSTITUTE("type:"&amp;B1367,"%","%25"),"~","%7E"),"*","%2A"),"?","%3F"),'Rules'!$G$7:$G$26,0)),"")</x:f>
      </x:c>
      <x:c r="M1367" s="6" t="str">
        <x:f>IF(AND(NOT(COUNTA(A1367:F1367)=0),K1367=""),INDEX('Rules'!$D$7:$D$26,MATCH(SUBSTITUTE(SUBSTITUTE(SUBSTITUTE(SUBSTITUTE("type:"&amp;B1367,"%","%25"),"~","%7E"),"*","%2A"),"?","%3F"),'Rules'!$G$7:$G$26,0)),"")</x:f>
      </x:c>
      <x:c r="N1367" s="5" t="str">
        <x:f>IF(COUNTA(A1367:F1367)=0,"",SUBSTITUTE(SUBSTITUTE(SUBSTITUTE(SUBSTITUTE("id:"&amp;A1367,"%","%25"),"~","%7E"),"*","%2A"),"?","%3F"))</x:f>
      </x:c>
    </x:row>
    <x:row r="1368" ht="22" customHeight="1">
      <x:c r="A1368" s="3"/>
      <x:c r="B1368" s="3"/>
      <x:c r="C1368" s="3"/>
      <x:c r="D1368" s="4"/>
      <x:c r="E1368" s="4"/>
      <x:c r="F1368" s="4"/>
      <x:c r="G1368" s="5" t="str">
        <x:f>IF(COUNTA(A1368:F1368)=0,"",IF(K1368&lt;&gt;"","Review",IF(I1368&lt;0,"Overdue",IF(I1368=0,"Due now",IF(I1368&lt;=M1368,"Due soon","Not due")))))</x:f>
      </x:c>
      <x:c r="H1368" s="5" t="str">
        <x:f>IF(OR(COUNTA(A1368:F1368)=0,COUNTIFS('Rules'!$G$7:$G$26,"="&amp;(SUBSTITUTE(SUBSTITUTE(SUBSTITUTE(SUBSTITUTE("type:"&amp;B1368,"%","%25"),"~","%7E"),"*","%2A"),"?","%3F")))&lt;&gt;1),"",IF(OR(INDEX('Rules'!$B$7:$B$26,MATCH(SUBSTITUTE(SUBSTITUTE(SUBSTITUTE(SUBSTITUTE("type:"&amp;B1368,"%","%25"),"~","%7E"),"*","%2A"),"?","%3F"),'Rules'!$G$7:$G$26,0))="hours",INDEX('Rules'!$B$7:$B$26,MATCH(SUBSTITUTE(SUBSTITUTE(SUBSTITUTE(SUBSTITUTE("type:"&amp;B1368,"%","%25"),"~","%7E"),"*","%2A"),"?","%3F"),'Rules'!$G$7:$G$26,0))="km"),INDEX('Rules'!$B$7:$B$26,MATCH(SUBSTITUTE(SUBSTITUTE(SUBSTITUTE(SUBSTITUTE("type:"&amp;B1368,"%","%25"),"~","%7E"),"*","%2A"),"?","%3F"),'Rules'!$G$7:$G$26,0)),""))</x:f>
      </x:c>
      <x:c r="I1368" s="6" t="str">
        <x:f>IF(AND(NOT(COUNTA(A1368:F1368)=0),K1368=""),ROUND(J1368-D1368,3),"")</x:f>
      </x:c>
      <x:c r="J1368" s="6" t="str">
        <x:f>IF(AND(NOT(COUNTA(A1368:F1368)=0),K1368=""),ROUND(F1368+L1368,3),"")</x:f>
      </x:c>
      <x:c r="K1368" s="5" t="str">
        <x:f>IF(COUNTA(A1368:F1368)=0,"",IF(A1368="","Missing equipment ID",IF(COUNTIFS($N$8:$N$2007,"="&amp;N1368)&gt;1,"Duplicate equipment ID",IF(B1368="","Missing type",IF(COUNTIFS('Rules'!$G$7:$G$26,"="&amp;(SUBSTITUTE(SUBSTITUTE(SUBSTITUTE(SUBSTITUTE("type:"&amp;B1368,"%","%25"),"~","%7E"),"*","%2A"),"?","%3F")))=0,"Unknown type",IF(COUNTIFS('Rules'!$G$7:$G$26,"="&amp;(SUBSTITUTE(SUBSTITUTE(SUBSTITUTE(SUBSTITUTE("type:"&amp;B1368,"%","%25"),"~","%7E"),"*","%2A"),"?","%3F")))&gt;1,"Duplicate type",IF(INDEX('Rules'!$F$7:$F$26,MATCH(SUBSTITUTE(SUBSTITUTE(SUBSTITUTE(SUBSTITUTE("type:"&amp;B1368,"%","%25"),"~","%7E"),"*","%2A"),"?","%3F"),'Rules'!$G$7:$G$26,0))&lt;&gt;"",INDEX('Rules'!$F$7:$F$26,MATCH(SUBSTITUTE(SUBSTITUTE(SUBSTITUTE(SUBSTITUTE("type:"&amp;B1368,"%","%25"),"~","%7E"),"*","%2A"),"?","%3F"),'Rules'!$G$7:$G$26,0)),IF(AND(C1368&lt;&gt;"",C1368&lt;&gt;INDEX('Rules'!$B$7:$B$26,MATCH(SUBSTITUTE(SUBSTITUTE(SUBSTITUTE(SUBSTITUTE("type:"&amp;B1368,"%","%25"),"~","%7E"),"*","%2A"),"?","%3F"),'Rules'!$G$7:$G$26,0))),"Unit mismatch",IF(IF(NOT(ISNUMBER(D1368)),TRUE,OR(D1368&lt;0,D1368&gt;999999999,ROUND(D1368,3)&lt;&gt;D1368)),"Invalid current reading",IF(AND(E1368&lt;&gt;"",IF(NOT(ISNUMBER(E1368)),TRUE,OR(E1368&lt;0,E1368&gt;999999999,ROUND(E1368,3)&lt;&gt;E1368))),"Invalid previous reading",IF(IF(NOT(ISNUMBER(F1368)),TRUE,OR(F1368&lt;0,F1368&gt;999999999,ROUND(F1368,3)&lt;&gt;F1368)),"Invalid last service",IF(AND(E1368&lt;&gt;"",D1368&lt;E1368),"Decreased reading",IF(F1368&gt;D1368,"Last service above current","")))))))))))))</x:f>
      </x:c>
      <x:c r="L1368" s="6" t="str">
        <x:f>IF(AND(NOT(COUNTA(A1368:F1368)=0),K1368=""),INDEX('Rules'!$C$7:$C$26,MATCH(SUBSTITUTE(SUBSTITUTE(SUBSTITUTE(SUBSTITUTE("type:"&amp;B1368,"%","%25"),"~","%7E"),"*","%2A"),"?","%3F"),'Rules'!$G$7:$G$26,0)),"")</x:f>
      </x:c>
      <x:c r="M1368" s="6" t="str">
        <x:f>IF(AND(NOT(COUNTA(A1368:F1368)=0),K1368=""),INDEX('Rules'!$D$7:$D$26,MATCH(SUBSTITUTE(SUBSTITUTE(SUBSTITUTE(SUBSTITUTE("type:"&amp;B1368,"%","%25"),"~","%7E"),"*","%2A"),"?","%3F"),'Rules'!$G$7:$G$26,0)),"")</x:f>
      </x:c>
      <x:c r="N1368" s="5" t="str">
        <x:f>IF(COUNTA(A1368:F1368)=0,"",SUBSTITUTE(SUBSTITUTE(SUBSTITUTE(SUBSTITUTE("id:"&amp;A1368,"%","%25"),"~","%7E"),"*","%2A"),"?","%3F"))</x:f>
      </x:c>
    </x:row>
    <x:row r="1369" ht="22" customHeight="1">
      <x:c r="A1369" s="3"/>
      <x:c r="B1369" s="3"/>
      <x:c r="C1369" s="3"/>
      <x:c r="D1369" s="4"/>
      <x:c r="E1369" s="4"/>
      <x:c r="F1369" s="4"/>
      <x:c r="G1369" s="5" t="str">
        <x:f>IF(COUNTA(A1369:F1369)=0,"",IF(K1369&lt;&gt;"","Review",IF(I1369&lt;0,"Overdue",IF(I1369=0,"Due now",IF(I1369&lt;=M1369,"Due soon","Not due")))))</x:f>
      </x:c>
      <x:c r="H1369" s="5" t="str">
        <x:f>IF(OR(COUNTA(A1369:F1369)=0,COUNTIFS('Rules'!$G$7:$G$26,"="&amp;(SUBSTITUTE(SUBSTITUTE(SUBSTITUTE(SUBSTITUTE("type:"&amp;B1369,"%","%25"),"~","%7E"),"*","%2A"),"?","%3F")))&lt;&gt;1),"",IF(OR(INDEX('Rules'!$B$7:$B$26,MATCH(SUBSTITUTE(SUBSTITUTE(SUBSTITUTE(SUBSTITUTE("type:"&amp;B1369,"%","%25"),"~","%7E"),"*","%2A"),"?","%3F"),'Rules'!$G$7:$G$26,0))="hours",INDEX('Rules'!$B$7:$B$26,MATCH(SUBSTITUTE(SUBSTITUTE(SUBSTITUTE(SUBSTITUTE("type:"&amp;B1369,"%","%25"),"~","%7E"),"*","%2A"),"?","%3F"),'Rules'!$G$7:$G$26,0))="km"),INDEX('Rules'!$B$7:$B$26,MATCH(SUBSTITUTE(SUBSTITUTE(SUBSTITUTE(SUBSTITUTE("type:"&amp;B1369,"%","%25"),"~","%7E"),"*","%2A"),"?","%3F"),'Rules'!$G$7:$G$26,0)),""))</x:f>
      </x:c>
      <x:c r="I1369" s="6" t="str">
        <x:f>IF(AND(NOT(COUNTA(A1369:F1369)=0),K1369=""),ROUND(J1369-D1369,3),"")</x:f>
      </x:c>
      <x:c r="J1369" s="6" t="str">
        <x:f>IF(AND(NOT(COUNTA(A1369:F1369)=0),K1369=""),ROUND(F1369+L1369,3),"")</x:f>
      </x:c>
      <x:c r="K1369" s="5" t="str">
        <x:f>IF(COUNTA(A1369:F1369)=0,"",IF(A1369="","Missing equipment ID",IF(COUNTIFS($N$8:$N$2007,"="&amp;N1369)&gt;1,"Duplicate equipment ID",IF(B1369="","Missing type",IF(COUNTIFS('Rules'!$G$7:$G$26,"="&amp;(SUBSTITUTE(SUBSTITUTE(SUBSTITUTE(SUBSTITUTE("type:"&amp;B1369,"%","%25"),"~","%7E"),"*","%2A"),"?","%3F")))=0,"Unknown type",IF(COUNTIFS('Rules'!$G$7:$G$26,"="&amp;(SUBSTITUTE(SUBSTITUTE(SUBSTITUTE(SUBSTITUTE("type:"&amp;B1369,"%","%25"),"~","%7E"),"*","%2A"),"?","%3F")))&gt;1,"Duplicate type",IF(INDEX('Rules'!$F$7:$F$26,MATCH(SUBSTITUTE(SUBSTITUTE(SUBSTITUTE(SUBSTITUTE("type:"&amp;B1369,"%","%25"),"~","%7E"),"*","%2A"),"?","%3F"),'Rules'!$G$7:$G$26,0))&lt;&gt;"",INDEX('Rules'!$F$7:$F$26,MATCH(SUBSTITUTE(SUBSTITUTE(SUBSTITUTE(SUBSTITUTE("type:"&amp;B1369,"%","%25"),"~","%7E"),"*","%2A"),"?","%3F"),'Rules'!$G$7:$G$26,0)),IF(AND(C1369&lt;&gt;"",C1369&lt;&gt;INDEX('Rules'!$B$7:$B$26,MATCH(SUBSTITUTE(SUBSTITUTE(SUBSTITUTE(SUBSTITUTE("type:"&amp;B1369,"%","%25"),"~","%7E"),"*","%2A"),"?","%3F"),'Rules'!$G$7:$G$26,0))),"Unit mismatch",IF(IF(NOT(ISNUMBER(D1369)),TRUE,OR(D1369&lt;0,D1369&gt;999999999,ROUND(D1369,3)&lt;&gt;D1369)),"Invalid current reading",IF(AND(E1369&lt;&gt;"",IF(NOT(ISNUMBER(E1369)),TRUE,OR(E1369&lt;0,E1369&gt;999999999,ROUND(E1369,3)&lt;&gt;E1369))),"Invalid previous reading",IF(IF(NOT(ISNUMBER(F1369)),TRUE,OR(F1369&lt;0,F1369&gt;999999999,ROUND(F1369,3)&lt;&gt;F1369)),"Invalid last service",IF(AND(E1369&lt;&gt;"",D1369&lt;E1369),"Decreased reading",IF(F1369&gt;D1369,"Last service above current","")))))))))))))</x:f>
      </x:c>
      <x:c r="L1369" s="6" t="str">
        <x:f>IF(AND(NOT(COUNTA(A1369:F1369)=0),K1369=""),INDEX('Rules'!$C$7:$C$26,MATCH(SUBSTITUTE(SUBSTITUTE(SUBSTITUTE(SUBSTITUTE("type:"&amp;B1369,"%","%25"),"~","%7E"),"*","%2A"),"?","%3F"),'Rules'!$G$7:$G$26,0)),"")</x:f>
      </x:c>
      <x:c r="M1369" s="6" t="str">
        <x:f>IF(AND(NOT(COUNTA(A1369:F1369)=0),K1369=""),INDEX('Rules'!$D$7:$D$26,MATCH(SUBSTITUTE(SUBSTITUTE(SUBSTITUTE(SUBSTITUTE("type:"&amp;B1369,"%","%25"),"~","%7E"),"*","%2A"),"?","%3F"),'Rules'!$G$7:$G$26,0)),"")</x:f>
      </x:c>
      <x:c r="N1369" s="5" t="str">
        <x:f>IF(COUNTA(A1369:F1369)=0,"",SUBSTITUTE(SUBSTITUTE(SUBSTITUTE(SUBSTITUTE("id:"&amp;A1369,"%","%25"),"~","%7E"),"*","%2A"),"?","%3F"))</x:f>
      </x:c>
    </x:row>
    <x:row r="1370" ht="22" customHeight="1">
      <x:c r="A1370" s="3"/>
      <x:c r="B1370" s="3"/>
      <x:c r="C1370" s="3"/>
      <x:c r="D1370" s="4"/>
      <x:c r="E1370" s="4"/>
      <x:c r="F1370" s="4"/>
      <x:c r="G1370" s="5" t="str">
        <x:f>IF(COUNTA(A1370:F1370)=0,"",IF(K1370&lt;&gt;"","Review",IF(I1370&lt;0,"Overdue",IF(I1370=0,"Due now",IF(I1370&lt;=M1370,"Due soon","Not due")))))</x:f>
      </x:c>
      <x:c r="H1370" s="5" t="str">
        <x:f>IF(OR(COUNTA(A1370:F1370)=0,COUNTIFS('Rules'!$G$7:$G$26,"="&amp;(SUBSTITUTE(SUBSTITUTE(SUBSTITUTE(SUBSTITUTE("type:"&amp;B1370,"%","%25"),"~","%7E"),"*","%2A"),"?","%3F")))&lt;&gt;1),"",IF(OR(INDEX('Rules'!$B$7:$B$26,MATCH(SUBSTITUTE(SUBSTITUTE(SUBSTITUTE(SUBSTITUTE("type:"&amp;B1370,"%","%25"),"~","%7E"),"*","%2A"),"?","%3F"),'Rules'!$G$7:$G$26,0))="hours",INDEX('Rules'!$B$7:$B$26,MATCH(SUBSTITUTE(SUBSTITUTE(SUBSTITUTE(SUBSTITUTE("type:"&amp;B1370,"%","%25"),"~","%7E"),"*","%2A"),"?","%3F"),'Rules'!$G$7:$G$26,0))="km"),INDEX('Rules'!$B$7:$B$26,MATCH(SUBSTITUTE(SUBSTITUTE(SUBSTITUTE(SUBSTITUTE("type:"&amp;B1370,"%","%25"),"~","%7E"),"*","%2A"),"?","%3F"),'Rules'!$G$7:$G$26,0)),""))</x:f>
      </x:c>
      <x:c r="I1370" s="6" t="str">
        <x:f>IF(AND(NOT(COUNTA(A1370:F1370)=0),K1370=""),ROUND(J1370-D1370,3),"")</x:f>
      </x:c>
      <x:c r="J1370" s="6" t="str">
        <x:f>IF(AND(NOT(COUNTA(A1370:F1370)=0),K1370=""),ROUND(F1370+L1370,3),"")</x:f>
      </x:c>
      <x:c r="K1370" s="5" t="str">
        <x:f>IF(COUNTA(A1370:F1370)=0,"",IF(A1370="","Missing equipment ID",IF(COUNTIFS($N$8:$N$2007,"="&amp;N1370)&gt;1,"Duplicate equipment ID",IF(B1370="","Missing type",IF(COUNTIFS('Rules'!$G$7:$G$26,"="&amp;(SUBSTITUTE(SUBSTITUTE(SUBSTITUTE(SUBSTITUTE("type:"&amp;B1370,"%","%25"),"~","%7E"),"*","%2A"),"?","%3F")))=0,"Unknown type",IF(COUNTIFS('Rules'!$G$7:$G$26,"="&amp;(SUBSTITUTE(SUBSTITUTE(SUBSTITUTE(SUBSTITUTE("type:"&amp;B1370,"%","%25"),"~","%7E"),"*","%2A"),"?","%3F")))&gt;1,"Duplicate type",IF(INDEX('Rules'!$F$7:$F$26,MATCH(SUBSTITUTE(SUBSTITUTE(SUBSTITUTE(SUBSTITUTE("type:"&amp;B1370,"%","%25"),"~","%7E"),"*","%2A"),"?","%3F"),'Rules'!$G$7:$G$26,0))&lt;&gt;"",INDEX('Rules'!$F$7:$F$26,MATCH(SUBSTITUTE(SUBSTITUTE(SUBSTITUTE(SUBSTITUTE("type:"&amp;B1370,"%","%25"),"~","%7E"),"*","%2A"),"?","%3F"),'Rules'!$G$7:$G$26,0)),IF(AND(C1370&lt;&gt;"",C1370&lt;&gt;INDEX('Rules'!$B$7:$B$26,MATCH(SUBSTITUTE(SUBSTITUTE(SUBSTITUTE(SUBSTITUTE("type:"&amp;B1370,"%","%25"),"~","%7E"),"*","%2A"),"?","%3F"),'Rules'!$G$7:$G$26,0))),"Unit mismatch",IF(IF(NOT(ISNUMBER(D1370)),TRUE,OR(D1370&lt;0,D1370&gt;999999999,ROUND(D1370,3)&lt;&gt;D1370)),"Invalid current reading",IF(AND(E1370&lt;&gt;"",IF(NOT(ISNUMBER(E1370)),TRUE,OR(E1370&lt;0,E1370&gt;999999999,ROUND(E1370,3)&lt;&gt;E1370))),"Invalid previous reading",IF(IF(NOT(ISNUMBER(F1370)),TRUE,OR(F1370&lt;0,F1370&gt;999999999,ROUND(F1370,3)&lt;&gt;F1370)),"Invalid last service",IF(AND(E1370&lt;&gt;"",D1370&lt;E1370),"Decreased reading",IF(F1370&gt;D1370,"Last service above current","")))))))))))))</x:f>
      </x:c>
      <x:c r="L1370" s="6" t="str">
        <x:f>IF(AND(NOT(COUNTA(A1370:F1370)=0),K1370=""),INDEX('Rules'!$C$7:$C$26,MATCH(SUBSTITUTE(SUBSTITUTE(SUBSTITUTE(SUBSTITUTE("type:"&amp;B1370,"%","%25"),"~","%7E"),"*","%2A"),"?","%3F"),'Rules'!$G$7:$G$26,0)),"")</x:f>
      </x:c>
      <x:c r="M1370" s="6" t="str">
        <x:f>IF(AND(NOT(COUNTA(A1370:F1370)=0),K1370=""),INDEX('Rules'!$D$7:$D$26,MATCH(SUBSTITUTE(SUBSTITUTE(SUBSTITUTE(SUBSTITUTE("type:"&amp;B1370,"%","%25"),"~","%7E"),"*","%2A"),"?","%3F"),'Rules'!$G$7:$G$26,0)),"")</x:f>
      </x:c>
      <x:c r="N1370" s="5" t="str">
        <x:f>IF(COUNTA(A1370:F1370)=0,"",SUBSTITUTE(SUBSTITUTE(SUBSTITUTE(SUBSTITUTE("id:"&amp;A1370,"%","%25"),"~","%7E"),"*","%2A"),"?","%3F"))</x:f>
      </x:c>
    </x:row>
    <x:row r="1371" ht="22" customHeight="1">
      <x:c r="A1371" s="3"/>
      <x:c r="B1371" s="3"/>
      <x:c r="C1371" s="3"/>
      <x:c r="D1371" s="4"/>
      <x:c r="E1371" s="4"/>
      <x:c r="F1371" s="4"/>
      <x:c r="G1371" s="5" t="str">
        <x:f>IF(COUNTA(A1371:F1371)=0,"",IF(K1371&lt;&gt;"","Review",IF(I1371&lt;0,"Overdue",IF(I1371=0,"Due now",IF(I1371&lt;=M1371,"Due soon","Not due")))))</x:f>
      </x:c>
      <x:c r="H1371" s="5" t="str">
        <x:f>IF(OR(COUNTA(A1371:F1371)=0,COUNTIFS('Rules'!$G$7:$G$26,"="&amp;(SUBSTITUTE(SUBSTITUTE(SUBSTITUTE(SUBSTITUTE("type:"&amp;B1371,"%","%25"),"~","%7E"),"*","%2A"),"?","%3F")))&lt;&gt;1),"",IF(OR(INDEX('Rules'!$B$7:$B$26,MATCH(SUBSTITUTE(SUBSTITUTE(SUBSTITUTE(SUBSTITUTE("type:"&amp;B1371,"%","%25"),"~","%7E"),"*","%2A"),"?","%3F"),'Rules'!$G$7:$G$26,0))="hours",INDEX('Rules'!$B$7:$B$26,MATCH(SUBSTITUTE(SUBSTITUTE(SUBSTITUTE(SUBSTITUTE("type:"&amp;B1371,"%","%25"),"~","%7E"),"*","%2A"),"?","%3F"),'Rules'!$G$7:$G$26,0))="km"),INDEX('Rules'!$B$7:$B$26,MATCH(SUBSTITUTE(SUBSTITUTE(SUBSTITUTE(SUBSTITUTE("type:"&amp;B1371,"%","%25"),"~","%7E"),"*","%2A"),"?","%3F"),'Rules'!$G$7:$G$26,0)),""))</x:f>
      </x:c>
      <x:c r="I1371" s="6" t="str">
        <x:f>IF(AND(NOT(COUNTA(A1371:F1371)=0),K1371=""),ROUND(J1371-D1371,3),"")</x:f>
      </x:c>
      <x:c r="J1371" s="6" t="str">
        <x:f>IF(AND(NOT(COUNTA(A1371:F1371)=0),K1371=""),ROUND(F1371+L1371,3),"")</x:f>
      </x:c>
      <x:c r="K1371" s="5" t="str">
        <x:f>IF(COUNTA(A1371:F1371)=0,"",IF(A1371="","Missing equipment ID",IF(COUNTIFS($N$8:$N$2007,"="&amp;N1371)&gt;1,"Duplicate equipment ID",IF(B1371="","Missing type",IF(COUNTIFS('Rules'!$G$7:$G$26,"="&amp;(SUBSTITUTE(SUBSTITUTE(SUBSTITUTE(SUBSTITUTE("type:"&amp;B1371,"%","%25"),"~","%7E"),"*","%2A"),"?","%3F")))=0,"Unknown type",IF(COUNTIFS('Rules'!$G$7:$G$26,"="&amp;(SUBSTITUTE(SUBSTITUTE(SUBSTITUTE(SUBSTITUTE("type:"&amp;B1371,"%","%25"),"~","%7E"),"*","%2A"),"?","%3F")))&gt;1,"Duplicate type",IF(INDEX('Rules'!$F$7:$F$26,MATCH(SUBSTITUTE(SUBSTITUTE(SUBSTITUTE(SUBSTITUTE("type:"&amp;B1371,"%","%25"),"~","%7E"),"*","%2A"),"?","%3F"),'Rules'!$G$7:$G$26,0))&lt;&gt;"",INDEX('Rules'!$F$7:$F$26,MATCH(SUBSTITUTE(SUBSTITUTE(SUBSTITUTE(SUBSTITUTE("type:"&amp;B1371,"%","%25"),"~","%7E"),"*","%2A"),"?","%3F"),'Rules'!$G$7:$G$26,0)),IF(AND(C1371&lt;&gt;"",C1371&lt;&gt;INDEX('Rules'!$B$7:$B$26,MATCH(SUBSTITUTE(SUBSTITUTE(SUBSTITUTE(SUBSTITUTE("type:"&amp;B1371,"%","%25"),"~","%7E"),"*","%2A"),"?","%3F"),'Rules'!$G$7:$G$26,0))),"Unit mismatch",IF(IF(NOT(ISNUMBER(D1371)),TRUE,OR(D1371&lt;0,D1371&gt;999999999,ROUND(D1371,3)&lt;&gt;D1371)),"Invalid current reading",IF(AND(E1371&lt;&gt;"",IF(NOT(ISNUMBER(E1371)),TRUE,OR(E1371&lt;0,E1371&gt;999999999,ROUND(E1371,3)&lt;&gt;E1371))),"Invalid previous reading",IF(IF(NOT(ISNUMBER(F1371)),TRUE,OR(F1371&lt;0,F1371&gt;999999999,ROUND(F1371,3)&lt;&gt;F1371)),"Invalid last service",IF(AND(E1371&lt;&gt;"",D1371&lt;E1371),"Decreased reading",IF(F1371&gt;D1371,"Last service above current","")))))))))))))</x:f>
      </x:c>
      <x:c r="L1371" s="6" t="str">
        <x:f>IF(AND(NOT(COUNTA(A1371:F1371)=0),K1371=""),INDEX('Rules'!$C$7:$C$26,MATCH(SUBSTITUTE(SUBSTITUTE(SUBSTITUTE(SUBSTITUTE("type:"&amp;B1371,"%","%25"),"~","%7E"),"*","%2A"),"?","%3F"),'Rules'!$G$7:$G$26,0)),"")</x:f>
      </x:c>
      <x:c r="M1371" s="6" t="str">
        <x:f>IF(AND(NOT(COUNTA(A1371:F1371)=0),K1371=""),INDEX('Rules'!$D$7:$D$26,MATCH(SUBSTITUTE(SUBSTITUTE(SUBSTITUTE(SUBSTITUTE("type:"&amp;B1371,"%","%25"),"~","%7E"),"*","%2A"),"?","%3F"),'Rules'!$G$7:$G$26,0)),"")</x:f>
      </x:c>
      <x:c r="N1371" s="5" t="str">
        <x:f>IF(COUNTA(A1371:F1371)=0,"",SUBSTITUTE(SUBSTITUTE(SUBSTITUTE(SUBSTITUTE("id:"&amp;A1371,"%","%25"),"~","%7E"),"*","%2A"),"?","%3F"))</x:f>
      </x:c>
    </x:row>
    <x:row r="1372" ht="22" customHeight="1">
      <x:c r="A1372" s="3"/>
      <x:c r="B1372" s="3"/>
      <x:c r="C1372" s="3"/>
      <x:c r="D1372" s="4"/>
      <x:c r="E1372" s="4"/>
      <x:c r="F1372" s="4"/>
      <x:c r="G1372" s="5" t="str">
        <x:f>IF(COUNTA(A1372:F1372)=0,"",IF(K1372&lt;&gt;"","Review",IF(I1372&lt;0,"Overdue",IF(I1372=0,"Due now",IF(I1372&lt;=M1372,"Due soon","Not due")))))</x:f>
      </x:c>
      <x:c r="H1372" s="5" t="str">
        <x:f>IF(OR(COUNTA(A1372:F1372)=0,COUNTIFS('Rules'!$G$7:$G$26,"="&amp;(SUBSTITUTE(SUBSTITUTE(SUBSTITUTE(SUBSTITUTE("type:"&amp;B1372,"%","%25"),"~","%7E"),"*","%2A"),"?","%3F")))&lt;&gt;1),"",IF(OR(INDEX('Rules'!$B$7:$B$26,MATCH(SUBSTITUTE(SUBSTITUTE(SUBSTITUTE(SUBSTITUTE("type:"&amp;B1372,"%","%25"),"~","%7E"),"*","%2A"),"?","%3F"),'Rules'!$G$7:$G$26,0))="hours",INDEX('Rules'!$B$7:$B$26,MATCH(SUBSTITUTE(SUBSTITUTE(SUBSTITUTE(SUBSTITUTE("type:"&amp;B1372,"%","%25"),"~","%7E"),"*","%2A"),"?","%3F"),'Rules'!$G$7:$G$26,0))="km"),INDEX('Rules'!$B$7:$B$26,MATCH(SUBSTITUTE(SUBSTITUTE(SUBSTITUTE(SUBSTITUTE("type:"&amp;B1372,"%","%25"),"~","%7E"),"*","%2A"),"?","%3F"),'Rules'!$G$7:$G$26,0)),""))</x:f>
      </x:c>
      <x:c r="I1372" s="6" t="str">
        <x:f>IF(AND(NOT(COUNTA(A1372:F1372)=0),K1372=""),ROUND(J1372-D1372,3),"")</x:f>
      </x:c>
      <x:c r="J1372" s="6" t="str">
        <x:f>IF(AND(NOT(COUNTA(A1372:F1372)=0),K1372=""),ROUND(F1372+L1372,3),"")</x:f>
      </x:c>
      <x:c r="K1372" s="5" t="str">
        <x:f>IF(COUNTA(A1372:F1372)=0,"",IF(A1372="","Missing equipment ID",IF(COUNTIFS($N$8:$N$2007,"="&amp;N1372)&gt;1,"Duplicate equipment ID",IF(B1372="","Missing type",IF(COUNTIFS('Rules'!$G$7:$G$26,"="&amp;(SUBSTITUTE(SUBSTITUTE(SUBSTITUTE(SUBSTITUTE("type:"&amp;B1372,"%","%25"),"~","%7E"),"*","%2A"),"?","%3F")))=0,"Unknown type",IF(COUNTIFS('Rules'!$G$7:$G$26,"="&amp;(SUBSTITUTE(SUBSTITUTE(SUBSTITUTE(SUBSTITUTE("type:"&amp;B1372,"%","%25"),"~","%7E"),"*","%2A"),"?","%3F")))&gt;1,"Duplicate type",IF(INDEX('Rules'!$F$7:$F$26,MATCH(SUBSTITUTE(SUBSTITUTE(SUBSTITUTE(SUBSTITUTE("type:"&amp;B1372,"%","%25"),"~","%7E"),"*","%2A"),"?","%3F"),'Rules'!$G$7:$G$26,0))&lt;&gt;"",INDEX('Rules'!$F$7:$F$26,MATCH(SUBSTITUTE(SUBSTITUTE(SUBSTITUTE(SUBSTITUTE("type:"&amp;B1372,"%","%25"),"~","%7E"),"*","%2A"),"?","%3F"),'Rules'!$G$7:$G$26,0)),IF(AND(C1372&lt;&gt;"",C1372&lt;&gt;INDEX('Rules'!$B$7:$B$26,MATCH(SUBSTITUTE(SUBSTITUTE(SUBSTITUTE(SUBSTITUTE("type:"&amp;B1372,"%","%25"),"~","%7E"),"*","%2A"),"?","%3F"),'Rules'!$G$7:$G$26,0))),"Unit mismatch",IF(IF(NOT(ISNUMBER(D1372)),TRUE,OR(D1372&lt;0,D1372&gt;999999999,ROUND(D1372,3)&lt;&gt;D1372)),"Invalid current reading",IF(AND(E1372&lt;&gt;"",IF(NOT(ISNUMBER(E1372)),TRUE,OR(E1372&lt;0,E1372&gt;999999999,ROUND(E1372,3)&lt;&gt;E1372))),"Invalid previous reading",IF(IF(NOT(ISNUMBER(F1372)),TRUE,OR(F1372&lt;0,F1372&gt;999999999,ROUND(F1372,3)&lt;&gt;F1372)),"Invalid last service",IF(AND(E1372&lt;&gt;"",D1372&lt;E1372),"Decreased reading",IF(F1372&gt;D1372,"Last service above current","")))))))))))))</x:f>
      </x:c>
      <x:c r="L1372" s="6" t="str">
        <x:f>IF(AND(NOT(COUNTA(A1372:F1372)=0),K1372=""),INDEX('Rules'!$C$7:$C$26,MATCH(SUBSTITUTE(SUBSTITUTE(SUBSTITUTE(SUBSTITUTE("type:"&amp;B1372,"%","%25"),"~","%7E"),"*","%2A"),"?","%3F"),'Rules'!$G$7:$G$26,0)),"")</x:f>
      </x:c>
      <x:c r="M1372" s="6" t="str">
        <x:f>IF(AND(NOT(COUNTA(A1372:F1372)=0),K1372=""),INDEX('Rules'!$D$7:$D$26,MATCH(SUBSTITUTE(SUBSTITUTE(SUBSTITUTE(SUBSTITUTE("type:"&amp;B1372,"%","%25"),"~","%7E"),"*","%2A"),"?","%3F"),'Rules'!$G$7:$G$26,0)),"")</x:f>
      </x:c>
      <x:c r="N1372" s="5" t="str">
        <x:f>IF(COUNTA(A1372:F1372)=0,"",SUBSTITUTE(SUBSTITUTE(SUBSTITUTE(SUBSTITUTE("id:"&amp;A1372,"%","%25"),"~","%7E"),"*","%2A"),"?","%3F"))</x:f>
      </x:c>
    </x:row>
    <x:row r="1373" ht="22" customHeight="1">
      <x:c r="A1373" s="3"/>
      <x:c r="B1373" s="3"/>
      <x:c r="C1373" s="3"/>
      <x:c r="D1373" s="4"/>
      <x:c r="E1373" s="4"/>
      <x:c r="F1373" s="4"/>
      <x:c r="G1373" s="5" t="str">
        <x:f>IF(COUNTA(A1373:F1373)=0,"",IF(K1373&lt;&gt;"","Review",IF(I1373&lt;0,"Overdue",IF(I1373=0,"Due now",IF(I1373&lt;=M1373,"Due soon","Not due")))))</x:f>
      </x:c>
      <x:c r="H1373" s="5" t="str">
        <x:f>IF(OR(COUNTA(A1373:F1373)=0,COUNTIFS('Rules'!$G$7:$G$26,"="&amp;(SUBSTITUTE(SUBSTITUTE(SUBSTITUTE(SUBSTITUTE("type:"&amp;B1373,"%","%25"),"~","%7E"),"*","%2A"),"?","%3F")))&lt;&gt;1),"",IF(OR(INDEX('Rules'!$B$7:$B$26,MATCH(SUBSTITUTE(SUBSTITUTE(SUBSTITUTE(SUBSTITUTE("type:"&amp;B1373,"%","%25"),"~","%7E"),"*","%2A"),"?","%3F"),'Rules'!$G$7:$G$26,0))="hours",INDEX('Rules'!$B$7:$B$26,MATCH(SUBSTITUTE(SUBSTITUTE(SUBSTITUTE(SUBSTITUTE("type:"&amp;B1373,"%","%25"),"~","%7E"),"*","%2A"),"?","%3F"),'Rules'!$G$7:$G$26,0))="km"),INDEX('Rules'!$B$7:$B$26,MATCH(SUBSTITUTE(SUBSTITUTE(SUBSTITUTE(SUBSTITUTE("type:"&amp;B1373,"%","%25"),"~","%7E"),"*","%2A"),"?","%3F"),'Rules'!$G$7:$G$26,0)),""))</x:f>
      </x:c>
      <x:c r="I1373" s="6" t="str">
        <x:f>IF(AND(NOT(COUNTA(A1373:F1373)=0),K1373=""),ROUND(J1373-D1373,3),"")</x:f>
      </x:c>
      <x:c r="J1373" s="6" t="str">
        <x:f>IF(AND(NOT(COUNTA(A1373:F1373)=0),K1373=""),ROUND(F1373+L1373,3),"")</x:f>
      </x:c>
      <x:c r="K1373" s="5" t="str">
        <x:f>IF(COUNTA(A1373:F1373)=0,"",IF(A1373="","Missing equipment ID",IF(COUNTIFS($N$8:$N$2007,"="&amp;N1373)&gt;1,"Duplicate equipment ID",IF(B1373="","Missing type",IF(COUNTIFS('Rules'!$G$7:$G$26,"="&amp;(SUBSTITUTE(SUBSTITUTE(SUBSTITUTE(SUBSTITUTE("type:"&amp;B1373,"%","%25"),"~","%7E"),"*","%2A"),"?","%3F")))=0,"Unknown type",IF(COUNTIFS('Rules'!$G$7:$G$26,"="&amp;(SUBSTITUTE(SUBSTITUTE(SUBSTITUTE(SUBSTITUTE("type:"&amp;B1373,"%","%25"),"~","%7E"),"*","%2A"),"?","%3F")))&gt;1,"Duplicate type",IF(INDEX('Rules'!$F$7:$F$26,MATCH(SUBSTITUTE(SUBSTITUTE(SUBSTITUTE(SUBSTITUTE("type:"&amp;B1373,"%","%25"),"~","%7E"),"*","%2A"),"?","%3F"),'Rules'!$G$7:$G$26,0))&lt;&gt;"",INDEX('Rules'!$F$7:$F$26,MATCH(SUBSTITUTE(SUBSTITUTE(SUBSTITUTE(SUBSTITUTE("type:"&amp;B1373,"%","%25"),"~","%7E"),"*","%2A"),"?","%3F"),'Rules'!$G$7:$G$26,0)),IF(AND(C1373&lt;&gt;"",C1373&lt;&gt;INDEX('Rules'!$B$7:$B$26,MATCH(SUBSTITUTE(SUBSTITUTE(SUBSTITUTE(SUBSTITUTE("type:"&amp;B1373,"%","%25"),"~","%7E"),"*","%2A"),"?","%3F"),'Rules'!$G$7:$G$26,0))),"Unit mismatch",IF(IF(NOT(ISNUMBER(D1373)),TRUE,OR(D1373&lt;0,D1373&gt;999999999,ROUND(D1373,3)&lt;&gt;D1373)),"Invalid current reading",IF(AND(E1373&lt;&gt;"",IF(NOT(ISNUMBER(E1373)),TRUE,OR(E1373&lt;0,E1373&gt;999999999,ROUND(E1373,3)&lt;&gt;E1373))),"Invalid previous reading",IF(IF(NOT(ISNUMBER(F1373)),TRUE,OR(F1373&lt;0,F1373&gt;999999999,ROUND(F1373,3)&lt;&gt;F1373)),"Invalid last service",IF(AND(E1373&lt;&gt;"",D1373&lt;E1373),"Decreased reading",IF(F1373&gt;D1373,"Last service above current","")))))))))))))</x:f>
      </x:c>
      <x:c r="L1373" s="6" t="str">
        <x:f>IF(AND(NOT(COUNTA(A1373:F1373)=0),K1373=""),INDEX('Rules'!$C$7:$C$26,MATCH(SUBSTITUTE(SUBSTITUTE(SUBSTITUTE(SUBSTITUTE("type:"&amp;B1373,"%","%25"),"~","%7E"),"*","%2A"),"?","%3F"),'Rules'!$G$7:$G$26,0)),"")</x:f>
      </x:c>
      <x:c r="M1373" s="6" t="str">
        <x:f>IF(AND(NOT(COUNTA(A1373:F1373)=0),K1373=""),INDEX('Rules'!$D$7:$D$26,MATCH(SUBSTITUTE(SUBSTITUTE(SUBSTITUTE(SUBSTITUTE("type:"&amp;B1373,"%","%25"),"~","%7E"),"*","%2A"),"?","%3F"),'Rules'!$G$7:$G$26,0)),"")</x:f>
      </x:c>
      <x:c r="N1373" s="5" t="str">
        <x:f>IF(COUNTA(A1373:F1373)=0,"",SUBSTITUTE(SUBSTITUTE(SUBSTITUTE(SUBSTITUTE("id:"&amp;A1373,"%","%25"),"~","%7E"),"*","%2A"),"?","%3F"))</x:f>
      </x:c>
    </x:row>
    <x:row r="1374" ht="22" customHeight="1">
      <x:c r="A1374" s="3"/>
      <x:c r="B1374" s="3"/>
      <x:c r="C1374" s="3"/>
      <x:c r="D1374" s="4"/>
      <x:c r="E1374" s="4"/>
      <x:c r="F1374" s="4"/>
      <x:c r="G1374" s="5" t="str">
        <x:f>IF(COUNTA(A1374:F1374)=0,"",IF(K1374&lt;&gt;"","Review",IF(I1374&lt;0,"Overdue",IF(I1374=0,"Due now",IF(I1374&lt;=M1374,"Due soon","Not due")))))</x:f>
      </x:c>
      <x:c r="H1374" s="5" t="str">
        <x:f>IF(OR(COUNTA(A1374:F1374)=0,COUNTIFS('Rules'!$G$7:$G$26,"="&amp;(SUBSTITUTE(SUBSTITUTE(SUBSTITUTE(SUBSTITUTE("type:"&amp;B1374,"%","%25"),"~","%7E"),"*","%2A"),"?","%3F")))&lt;&gt;1),"",IF(OR(INDEX('Rules'!$B$7:$B$26,MATCH(SUBSTITUTE(SUBSTITUTE(SUBSTITUTE(SUBSTITUTE("type:"&amp;B1374,"%","%25"),"~","%7E"),"*","%2A"),"?","%3F"),'Rules'!$G$7:$G$26,0))="hours",INDEX('Rules'!$B$7:$B$26,MATCH(SUBSTITUTE(SUBSTITUTE(SUBSTITUTE(SUBSTITUTE("type:"&amp;B1374,"%","%25"),"~","%7E"),"*","%2A"),"?","%3F"),'Rules'!$G$7:$G$26,0))="km"),INDEX('Rules'!$B$7:$B$26,MATCH(SUBSTITUTE(SUBSTITUTE(SUBSTITUTE(SUBSTITUTE("type:"&amp;B1374,"%","%25"),"~","%7E"),"*","%2A"),"?","%3F"),'Rules'!$G$7:$G$26,0)),""))</x:f>
      </x:c>
      <x:c r="I1374" s="6" t="str">
        <x:f>IF(AND(NOT(COUNTA(A1374:F1374)=0),K1374=""),ROUND(J1374-D1374,3),"")</x:f>
      </x:c>
      <x:c r="J1374" s="6" t="str">
        <x:f>IF(AND(NOT(COUNTA(A1374:F1374)=0),K1374=""),ROUND(F1374+L1374,3),"")</x:f>
      </x:c>
      <x:c r="K1374" s="5" t="str">
        <x:f>IF(COUNTA(A1374:F1374)=0,"",IF(A1374="","Missing equipment ID",IF(COUNTIFS($N$8:$N$2007,"="&amp;N1374)&gt;1,"Duplicate equipment ID",IF(B1374="","Missing type",IF(COUNTIFS('Rules'!$G$7:$G$26,"="&amp;(SUBSTITUTE(SUBSTITUTE(SUBSTITUTE(SUBSTITUTE("type:"&amp;B1374,"%","%25"),"~","%7E"),"*","%2A"),"?","%3F")))=0,"Unknown type",IF(COUNTIFS('Rules'!$G$7:$G$26,"="&amp;(SUBSTITUTE(SUBSTITUTE(SUBSTITUTE(SUBSTITUTE("type:"&amp;B1374,"%","%25"),"~","%7E"),"*","%2A"),"?","%3F")))&gt;1,"Duplicate type",IF(INDEX('Rules'!$F$7:$F$26,MATCH(SUBSTITUTE(SUBSTITUTE(SUBSTITUTE(SUBSTITUTE("type:"&amp;B1374,"%","%25"),"~","%7E"),"*","%2A"),"?","%3F"),'Rules'!$G$7:$G$26,0))&lt;&gt;"",INDEX('Rules'!$F$7:$F$26,MATCH(SUBSTITUTE(SUBSTITUTE(SUBSTITUTE(SUBSTITUTE("type:"&amp;B1374,"%","%25"),"~","%7E"),"*","%2A"),"?","%3F"),'Rules'!$G$7:$G$26,0)),IF(AND(C1374&lt;&gt;"",C1374&lt;&gt;INDEX('Rules'!$B$7:$B$26,MATCH(SUBSTITUTE(SUBSTITUTE(SUBSTITUTE(SUBSTITUTE("type:"&amp;B1374,"%","%25"),"~","%7E"),"*","%2A"),"?","%3F"),'Rules'!$G$7:$G$26,0))),"Unit mismatch",IF(IF(NOT(ISNUMBER(D1374)),TRUE,OR(D1374&lt;0,D1374&gt;999999999,ROUND(D1374,3)&lt;&gt;D1374)),"Invalid current reading",IF(AND(E1374&lt;&gt;"",IF(NOT(ISNUMBER(E1374)),TRUE,OR(E1374&lt;0,E1374&gt;999999999,ROUND(E1374,3)&lt;&gt;E1374))),"Invalid previous reading",IF(IF(NOT(ISNUMBER(F1374)),TRUE,OR(F1374&lt;0,F1374&gt;999999999,ROUND(F1374,3)&lt;&gt;F1374)),"Invalid last service",IF(AND(E1374&lt;&gt;"",D1374&lt;E1374),"Decreased reading",IF(F1374&gt;D1374,"Last service above current","")))))))))))))</x:f>
      </x:c>
      <x:c r="L1374" s="6" t="str">
        <x:f>IF(AND(NOT(COUNTA(A1374:F1374)=0),K1374=""),INDEX('Rules'!$C$7:$C$26,MATCH(SUBSTITUTE(SUBSTITUTE(SUBSTITUTE(SUBSTITUTE("type:"&amp;B1374,"%","%25"),"~","%7E"),"*","%2A"),"?","%3F"),'Rules'!$G$7:$G$26,0)),"")</x:f>
      </x:c>
      <x:c r="M1374" s="6" t="str">
        <x:f>IF(AND(NOT(COUNTA(A1374:F1374)=0),K1374=""),INDEX('Rules'!$D$7:$D$26,MATCH(SUBSTITUTE(SUBSTITUTE(SUBSTITUTE(SUBSTITUTE("type:"&amp;B1374,"%","%25"),"~","%7E"),"*","%2A"),"?","%3F"),'Rules'!$G$7:$G$26,0)),"")</x:f>
      </x:c>
      <x:c r="N1374" s="5" t="str">
        <x:f>IF(COUNTA(A1374:F1374)=0,"",SUBSTITUTE(SUBSTITUTE(SUBSTITUTE(SUBSTITUTE("id:"&amp;A1374,"%","%25"),"~","%7E"),"*","%2A"),"?","%3F"))</x:f>
      </x:c>
    </x:row>
    <x:row r="1375" ht="22" customHeight="1">
      <x:c r="A1375" s="3"/>
      <x:c r="B1375" s="3"/>
      <x:c r="C1375" s="3"/>
      <x:c r="D1375" s="4"/>
      <x:c r="E1375" s="4"/>
      <x:c r="F1375" s="4"/>
      <x:c r="G1375" s="5" t="str">
        <x:f>IF(COUNTA(A1375:F1375)=0,"",IF(K1375&lt;&gt;"","Review",IF(I1375&lt;0,"Overdue",IF(I1375=0,"Due now",IF(I1375&lt;=M1375,"Due soon","Not due")))))</x:f>
      </x:c>
      <x:c r="H1375" s="5" t="str">
        <x:f>IF(OR(COUNTA(A1375:F1375)=0,COUNTIFS('Rules'!$G$7:$G$26,"="&amp;(SUBSTITUTE(SUBSTITUTE(SUBSTITUTE(SUBSTITUTE("type:"&amp;B1375,"%","%25"),"~","%7E"),"*","%2A"),"?","%3F")))&lt;&gt;1),"",IF(OR(INDEX('Rules'!$B$7:$B$26,MATCH(SUBSTITUTE(SUBSTITUTE(SUBSTITUTE(SUBSTITUTE("type:"&amp;B1375,"%","%25"),"~","%7E"),"*","%2A"),"?","%3F"),'Rules'!$G$7:$G$26,0))="hours",INDEX('Rules'!$B$7:$B$26,MATCH(SUBSTITUTE(SUBSTITUTE(SUBSTITUTE(SUBSTITUTE("type:"&amp;B1375,"%","%25"),"~","%7E"),"*","%2A"),"?","%3F"),'Rules'!$G$7:$G$26,0))="km"),INDEX('Rules'!$B$7:$B$26,MATCH(SUBSTITUTE(SUBSTITUTE(SUBSTITUTE(SUBSTITUTE("type:"&amp;B1375,"%","%25"),"~","%7E"),"*","%2A"),"?","%3F"),'Rules'!$G$7:$G$26,0)),""))</x:f>
      </x:c>
      <x:c r="I1375" s="6" t="str">
        <x:f>IF(AND(NOT(COUNTA(A1375:F1375)=0),K1375=""),ROUND(J1375-D1375,3),"")</x:f>
      </x:c>
      <x:c r="J1375" s="6" t="str">
        <x:f>IF(AND(NOT(COUNTA(A1375:F1375)=0),K1375=""),ROUND(F1375+L1375,3),"")</x:f>
      </x:c>
      <x:c r="K1375" s="5" t="str">
        <x:f>IF(COUNTA(A1375:F1375)=0,"",IF(A1375="","Missing equipment ID",IF(COUNTIFS($N$8:$N$2007,"="&amp;N1375)&gt;1,"Duplicate equipment ID",IF(B1375="","Missing type",IF(COUNTIFS('Rules'!$G$7:$G$26,"="&amp;(SUBSTITUTE(SUBSTITUTE(SUBSTITUTE(SUBSTITUTE("type:"&amp;B1375,"%","%25"),"~","%7E"),"*","%2A"),"?","%3F")))=0,"Unknown type",IF(COUNTIFS('Rules'!$G$7:$G$26,"="&amp;(SUBSTITUTE(SUBSTITUTE(SUBSTITUTE(SUBSTITUTE("type:"&amp;B1375,"%","%25"),"~","%7E"),"*","%2A"),"?","%3F")))&gt;1,"Duplicate type",IF(INDEX('Rules'!$F$7:$F$26,MATCH(SUBSTITUTE(SUBSTITUTE(SUBSTITUTE(SUBSTITUTE("type:"&amp;B1375,"%","%25"),"~","%7E"),"*","%2A"),"?","%3F"),'Rules'!$G$7:$G$26,0))&lt;&gt;"",INDEX('Rules'!$F$7:$F$26,MATCH(SUBSTITUTE(SUBSTITUTE(SUBSTITUTE(SUBSTITUTE("type:"&amp;B1375,"%","%25"),"~","%7E"),"*","%2A"),"?","%3F"),'Rules'!$G$7:$G$26,0)),IF(AND(C1375&lt;&gt;"",C1375&lt;&gt;INDEX('Rules'!$B$7:$B$26,MATCH(SUBSTITUTE(SUBSTITUTE(SUBSTITUTE(SUBSTITUTE("type:"&amp;B1375,"%","%25"),"~","%7E"),"*","%2A"),"?","%3F"),'Rules'!$G$7:$G$26,0))),"Unit mismatch",IF(IF(NOT(ISNUMBER(D1375)),TRUE,OR(D1375&lt;0,D1375&gt;999999999,ROUND(D1375,3)&lt;&gt;D1375)),"Invalid current reading",IF(AND(E1375&lt;&gt;"",IF(NOT(ISNUMBER(E1375)),TRUE,OR(E1375&lt;0,E1375&gt;999999999,ROUND(E1375,3)&lt;&gt;E1375))),"Invalid previous reading",IF(IF(NOT(ISNUMBER(F1375)),TRUE,OR(F1375&lt;0,F1375&gt;999999999,ROUND(F1375,3)&lt;&gt;F1375)),"Invalid last service",IF(AND(E1375&lt;&gt;"",D1375&lt;E1375),"Decreased reading",IF(F1375&gt;D1375,"Last service above current","")))))))))))))</x:f>
      </x:c>
      <x:c r="L1375" s="6" t="str">
        <x:f>IF(AND(NOT(COUNTA(A1375:F1375)=0),K1375=""),INDEX('Rules'!$C$7:$C$26,MATCH(SUBSTITUTE(SUBSTITUTE(SUBSTITUTE(SUBSTITUTE("type:"&amp;B1375,"%","%25"),"~","%7E"),"*","%2A"),"?","%3F"),'Rules'!$G$7:$G$26,0)),"")</x:f>
      </x:c>
      <x:c r="M1375" s="6" t="str">
        <x:f>IF(AND(NOT(COUNTA(A1375:F1375)=0),K1375=""),INDEX('Rules'!$D$7:$D$26,MATCH(SUBSTITUTE(SUBSTITUTE(SUBSTITUTE(SUBSTITUTE("type:"&amp;B1375,"%","%25"),"~","%7E"),"*","%2A"),"?","%3F"),'Rules'!$G$7:$G$26,0)),"")</x:f>
      </x:c>
      <x:c r="N1375" s="5" t="str">
        <x:f>IF(COUNTA(A1375:F1375)=0,"",SUBSTITUTE(SUBSTITUTE(SUBSTITUTE(SUBSTITUTE("id:"&amp;A1375,"%","%25"),"~","%7E"),"*","%2A"),"?","%3F"))</x:f>
      </x:c>
    </x:row>
    <x:row r="1376" ht="22" customHeight="1">
      <x:c r="A1376" s="3"/>
      <x:c r="B1376" s="3"/>
      <x:c r="C1376" s="3"/>
      <x:c r="D1376" s="4"/>
      <x:c r="E1376" s="4"/>
      <x:c r="F1376" s="4"/>
      <x:c r="G1376" s="5" t="str">
        <x:f>IF(COUNTA(A1376:F1376)=0,"",IF(K1376&lt;&gt;"","Review",IF(I1376&lt;0,"Overdue",IF(I1376=0,"Due now",IF(I1376&lt;=M1376,"Due soon","Not due")))))</x:f>
      </x:c>
      <x:c r="H1376" s="5" t="str">
        <x:f>IF(OR(COUNTA(A1376:F1376)=0,COUNTIFS('Rules'!$G$7:$G$26,"="&amp;(SUBSTITUTE(SUBSTITUTE(SUBSTITUTE(SUBSTITUTE("type:"&amp;B1376,"%","%25"),"~","%7E"),"*","%2A"),"?","%3F")))&lt;&gt;1),"",IF(OR(INDEX('Rules'!$B$7:$B$26,MATCH(SUBSTITUTE(SUBSTITUTE(SUBSTITUTE(SUBSTITUTE("type:"&amp;B1376,"%","%25"),"~","%7E"),"*","%2A"),"?","%3F"),'Rules'!$G$7:$G$26,0))="hours",INDEX('Rules'!$B$7:$B$26,MATCH(SUBSTITUTE(SUBSTITUTE(SUBSTITUTE(SUBSTITUTE("type:"&amp;B1376,"%","%25"),"~","%7E"),"*","%2A"),"?","%3F"),'Rules'!$G$7:$G$26,0))="km"),INDEX('Rules'!$B$7:$B$26,MATCH(SUBSTITUTE(SUBSTITUTE(SUBSTITUTE(SUBSTITUTE("type:"&amp;B1376,"%","%25"),"~","%7E"),"*","%2A"),"?","%3F"),'Rules'!$G$7:$G$26,0)),""))</x:f>
      </x:c>
      <x:c r="I1376" s="6" t="str">
        <x:f>IF(AND(NOT(COUNTA(A1376:F1376)=0),K1376=""),ROUND(J1376-D1376,3),"")</x:f>
      </x:c>
      <x:c r="J1376" s="6" t="str">
        <x:f>IF(AND(NOT(COUNTA(A1376:F1376)=0),K1376=""),ROUND(F1376+L1376,3),"")</x:f>
      </x:c>
      <x:c r="K1376" s="5" t="str">
        <x:f>IF(COUNTA(A1376:F1376)=0,"",IF(A1376="","Missing equipment ID",IF(COUNTIFS($N$8:$N$2007,"="&amp;N1376)&gt;1,"Duplicate equipment ID",IF(B1376="","Missing type",IF(COUNTIFS('Rules'!$G$7:$G$26,"="&amp;(SUBSTITUTE(SUBSTITUTE(SUBSTITUTE(SUBSTITUTE("type:"&amp;B1376,"%","%25"),"~","%7E"),"*","%2A"),"?","%3F")))=0,"Unknown type",IF(COUNTIFS('Rules'!$G$7:$G$26,"="&amp;(SUBSTITUTE(SUBSTITUTE(SUBSTITUTE(SUBSTITUTE("type:"&amp;B1376,"%","%25"),"~","%7E"),"*","%2A"),"?","%3F")))&gt;1,"Duplicate type",IF(INDEX('Rules'!$F$7:$F$26,MATCH(SUBSTITUTE(SUBSTITUTE(SUBSTITUTE(SUBSTITUTE("type:"&amp;B1376,"%","%25"),"~","%7E"),"*","%2A"),"?","%3F"),'Rules'!$G$7:$G$26,0))&lt;&gt;"",INDEX('Rules'!$F$7:$F$26,MATCH(SUBSTITUTE(SUBSTITUTE(SUBSTITUTE(SUBSTITUTE("type:"&amp;B1376,"%","%25"),"~","%7E"),"*","%2A"),"?","%3F"),'Rules'!$G$7:$G$26,0)),IF(AND(C1376&lt;&gt;"",C1376&lt;&gt;INDEX('Rules'!$B$7:$B$26,MATCH(SUBSTITUTE(SUBSTITUTE(SUBSTITUTE(SUBSTITUTE("type:"&amp;B1376,"%","%25"),"~","%7E"),"*","%2A"),"?","%3F"),'Rules'!$G$7:$G$26,0))),"Unit mismatch",IF(IF(NOT(ISNUMBER(D1376)),TRUE,OR(D1376&lt;0,D1376&gt;999999999,ROUND(D1376,3)&lt;&gt;D1376)),"Invalid current reading",IF(AND(E1376&lt;&gt;"",IF(NOT(ISNUMBER(E1376)),TRUE,OR(E1376&lt;0,E1376&gt;999999999,ROUND(E1376,3)&lt;&gt;E1376))),"Invalid previous reading",IF(IF(NOT(ISNUMBER(F1376)),TRUE,OR(F1376&lt;0,F1376&gt;999999999,ROUND(F1376,3)&lt;&gt;F1376)),"Invalid last service",IF(AND(E1376&lt;&gt;"",D1376&lt;E1376),"Decreased reading",IF(F1376&gt;D1376,"Last service above current","")))))))))))))</x:f>
      </x:c>
      <x:c r="L1376" s="6" t="str">
        <x:f>IF(AND(NOT(COUNTA(A1376:F1376)=0),K1376=""),INDEX('Rules'!$C$7:$C$26,MATCH(SUBSTITUTE(SUBSTITUTE(SUBSTITUTE(SUBSTITUTE("type:"&amp;B1376,"%","%25"),"~","%7E"),"*","%2A"),"?","%3F"),'Rules'!$G$7:$G$26,0)),"")</x:f>
      </x:c>
      <x:c r="M1376" s="6" t="str">
        <x:f>IF(AND(NOT(COUNTA(A1376:F1376)=0),K1376=""),INDEX('Rules'!$D$7:$D$26,MATCH(SUBSTITUTE(SUBSTITUTE(SUBSTITUTE(SUBSTITUTE("type:"&amp;B1376,"%","%25"),"~","%7E"),"*","%2A"),"?","%3F"),'Rules'!$G$7:$G$26,0)),"")</x:f>
      </x:c>
      <x:c r="N1376" s="5" t="str">
        <x:f>IF(COUNTA(A1376:F1376)=0,"",SUBSTITUTE(SUBSTITUTE(SUBSTITUTE(SUBSTITUTE("id:"&amp;A1376,"%","%25"),"~","%7E"),"*","%2A"),"?","%3F"))</x:f>
      </x:c>
    </x:row>
    <x:row r="1377" ht="22" customHeight="1">
      <x:c r="A1377" s="3"/>
      <x:c r="B1377" s="3"/>
      <x:c r="C1377" s="3"/>
      <x:c r="D1377" s="4"/>
      <x:c r="E1377" s="4"/>
      <x:c r="F1377" s="4"/>
      <x:c r="G1377" s="5" t="str">
        <x:f>IF(COUNTA(A1377:F1377)=0,"",IF(K1377&lt;&gt;"","Review",IF(I1377&lt;0,"Overdue",IF(I1377=0,"Due now",IF(I1377&lt;=M1377,"Due soon","Not due")))))</x:f>
      </x:c>
      <x:c r="H1377" s="5" t="str">
        <x:f>IF(OR(COUNTA(A1377:F1377)=0,COUNTIFS('Rules'!$G$7:$G$26,"="&amp;(SUBSTITUTE(SUBSTITUTE(SUBSTITUTE(SUBSTITUTE("type:"&amp;B1377,"%","%25"),"~","%7E"),"*","%2A"),"?","%3F")))&lt;&gt;1),"",IF(OR(INDEX('Rules'!$B$7:$B$26,MATCH(SUBSTITUTE(SUBSTITUTE(SUBSTITUTE(SUBSTITUTE("type:"&amp;B1377,"%","%25"),"~","%7E"),"*","%2A"),"?","%3F"),'Rules'!$G$7:$G$26,0))="hours",INDEX('Rules'!$B$7:$B$26,MATCH(SUBSTITUTE(SUBSTITUTE(SUBSTITUTE(SUBSTITUTE("type:"&amp;B1377,"%","%25"),"~","%7E"),"*","%2A"),"?","%3F"),'Rules'!$G$7:$G$26,0))="km"),INDEX('Rules'!$B$7:$B$26,MATCH(SUBSTITUTE(SUBSTITUTE(SUBSTITUTE(SUBSTITUTE("type:"&amp;B1377,"%","%25"),"~","%7E"),"*","%2A"),"?","%3F"),'Rules'!$G$7:$G$26,0)),""))</x:f>
      </x:c>
      <x:c r="I1377" s="6" t="str">
        <x:f>IF(AND(NOT(COUNTA(A1377:F1377)=0),K1377=""),ROUND(J1377-D1377,3),"")</x:f>
      </x:c>
      <x:c r="J1377" s="6" t="str">
        <x:f>IF(AND(NOT(COUNTA(A1377:F1377)=0),K1377=""),ROUND(F1377+L1377,3),"")</x:f>
      </x:c>
      <x:c r="K1377" s="5" t="str">
        <x:f>IF(COUNTA(A1377:F1377)=0,"",IF(A1377="","Missing equipment ID",IF(COUNTIFS($N$8:$N$2007,"="&amp;N1377)&gt;1,"Duplicate equipment ID",IF(B1377="","Missing type",IF(COUNTIFS('Rules'!$G$7:$G$26,"="&amp;(SUBSTITUTE(SUBSTITUTE(SUBSTITUTE(SUBSTITUTE("type:"&amp;B1377,"%","%25"),"~","%7E"),"*","%2A"),"?","%3F")))=0,"Unknown type",IF(COUNTIFS('Rules'!$G$7:$G$26,"="&amp;(SUBSTITUTE(SUBSTITUTE(SUBSTITUTE(SUBSTITUTE("type:"&amp;B1377,"%","%25"),"~","%7E"),"*","%2A"),"?","%3F")))&gt;1,"Duplicate type",IF(INDEX('Rules'!$F$7:$F$26,MATCH(SUBSTITUTE(SUBSTITUTE(SUBSTITUTE(SUBSTITUTE("type:"&amp;B1377,"%","%25"),"~","%7E"),"*","%2A"),"?","%3F"),'Rules'!$G$7:$G$26,0))&lt;&gt;"",INDEX('Rules'!$F$7:$F$26,MATCH(SUBSTITUTE(SUBSTITUTE(SUBSTITUTE(SUBSTITUTE("type:"&amp;B1377,"%","%25"),"~","%7E"),"*","%2A"),"?","%3F"),'Rules'!$G$7:$G$26,0)),IF(AND(C1377&lt;&gt;"",C1377&lt;&gt;INDEX('Rules'!$B$7:$B$26,MATCH(SUBSTITUTE(SUBSTITUTE(SUBSTITUTE(SUBSTITUTE("type:"&amp;B1377,"%","%25"),"~","%7E"),"*","%2A"),"?","%3F"),'Rules'!$G$7:$G$26,0))),"Unit mismatch",IF(IF(NOT(ISNUMBER(D1377)),TRUE,OR(D1377&lt;0,D1377&gt;999999999,ROUND(D1377,3)&lt;&gt;D1377)),"Invalid current reading",IF(AND(E1377&lt;&gt;"",IF(NOT(ISNUMBER(E1377)),TRUE,OR(E1377&lt;0,E1377&gt;999999999,ROUND(E1377,3)&lt;&gt;E1377))),"Invalid previous reading",IF(IF(NOT(ISNUMBER(F1377)),TRUE,OR(F1377&lt;0,F1377&gt;999999999,ROUND(F1377,3)&lt;&gt;F1377)),"Invalid last service",IF(AND(E1377&lt;&gt;"",D1377&lt;E1377),"Decreased reading",IF(F1377&gt;D1377,"Last service above current","")))))))))))))</x:f>
      </x:c>
      <x:c r="L1377" s="6" t="str">
        <x:f>IF(AND(NOT(COUNTA(A1377:F1377)=0),K1377=""),INDEX('Rules'!$C$7:$C$26,MATCH(SUBSTITUTE(SUBSTITUTE(SUBSTITUTE(SUBSTITUTE("type:"&amp;B1377,"%","%25"),"~","%7E"),"*","%2A"),"?","%3F"),'Rules'!$G$7:$G$26,0)),"")</x:f>
      </x:c>
      <x:c r="M1377" s="6" t="str">
        <x:f>IF(AND(NOT(COUNTA(A1377:F1377)=0),K1377=""),INDEX('Rules'!$D$7:$D$26,MATCH(SUBSTITUTE(SUBSTITUTE(SUBSTITUTE(SUBSTITUTE("type:"&amp;B1377,"%","%25"),"~","%7E"),"*","%2A"),"?","%3F"),'Rules'!$G$7:$G$26,0)),"")</x:f>
      </x:c>
      <x:c r="N1377" s="5" t="str">
        <x:f>IF(COUNTA(A1377:F1377)=0,"",SUBSTITUTE(SUBSTITUTE(SUBSTITUTE(SUBSTITUTE("id:"&amp;A1377,"%","%25"),"~","%7E"),"*","%2A"),"?","%3F"))</x:f>
      </x:c>
    </x:row>
    <x:row r="1378" ht="22" customHeight="1">
      <x:c r="A1378" s="3"/>
      <x:c r="B1378" s="3"/>
      <x:c r="C1378" s="3"/>
      <x:c r="D1378" s="4"/>
      <x:c r="E1378" s="4"/>
      <x:c r="F1378" s="4"/>
      <x:c r="G1378" s="5" t="str">
        <x:f>IF(COUNTA(A1378:F1378)=0,"",IF(K1378&lt;&gt;"","Review",IF(I1378&lt;0,"Overdue",IF(I1378=0,"Due now",IF(I1378&lt;=M1378,"Due soon","Not due")))))</x:f>
      </x:c>
      <x:c r="H1378" s="5" t="str">
        <x:f>IF(OR(COUNTA(A1378:F1378)=0,COUNTIFS('Rules'!$G$7:$G$26,"="&amp;(SUBSTITUTE(SUBSTITUTE(SUBSTITUTE(SUBSTITUTE("type:"&amp;B1378,"%","%25"),"~","%7E"),"*","%2A"),"?","%3F")))&lt;&gt;1),"",IF(OR(INDEX('Rules'!$B$7:$B$26,MATCH(SUBSTITUTE(SUBSTITUTE(SUBSTITUTE(SUBSTITUTE("type:"&amp;B1378,"%","%25"),"~","%7E"),"*","%2A"),"?","%3F"),'Rules'!$G$7:$G$26,0))="hours",INDEX('Rules'!$B$7:$B$26,MATCH(SUBSTITUTE(SUBSTITUTE(SUBSTITUTE(SUBSTITUTE("type:"&amp;B1378,"%","%25"),"~","%7E"),"*","%2A"),"?","%3F"),'Rules'!$G$7:$G$26,0))="km"),INDEX('Rules'!$B$7:$B$26,MATCH(SUBSTITUTE(SUBSTITUTE(SUBSTITUTE(SUBSTITUTE("type:"&amp;B1378,"%","%25"),"~","%7E"),"*","%2A"),"?","%3F"),'Rules'!$G$7:$G$26,0)),""))</x:f>
      </x:c>
      <x:c r="I1378" s="6" t="str">
        <x:f>IF(AND(NOT(COUNTA(A1378:F1378)=0),K1378=""),ROUND(J1378-D1378,3),"")</x:f>
      </x:c>
      <x:c r="J1378" s="6" t="str">
        <x:f>IF(AND(NOT(COUNTA(A1378:F1378)=0),K1378=""),ROUND(F1378+L1378,3),"")</x:f>
      </x:c>
      <x:c r="K1378" s="5" t="str">
        <x:f>IF(COUNTA(A1378:F1378)=0,"",IF(A1378="","Missing equipment ID",IF(COUNTIFS($N$8:$N$2007,"="&amp;N1378)&gt;1,"Duplicate equipment ID",IF(B1378="","Missing type",IF(COUNTIFS('Rules'!$G$7:$G$26,"="&amp;(SUBSTITUTE(SUBSTITUTE(SUBSTITUTE(SUBSTITUTE("type:"&amp;B1378,"%","%25"),"~","%7E"),"*","%2A"),"?","%3F")))=0,"Unknown type",IF(COUNTIFS('Rules'!$G$7:$G$26,"="&amp;(SUBSTITUTE(SUBSTITUTE(SUBSTITUTE(SUBSTITUTE("type:"&amp;B1378,"%","%25"),"~","%7E"),"*","%2A"),"?","%3F")))&gt;1,"Duplicate type",IF(INDEX('Rules'!$F$7:$F$26,MATCH(SUBSTITUTE(SUBSTITUTE(SUBSTITUTE(SUBSTITUTE("type:"&amp;B1378,"%","%25"),"~","%7E"),"*","%2A"),"?","%3F"),'Rules'!$G$7:$G$26,0))&lt;&gt;"",INDEX('Rules'!$F$7:$F$26,MATCH(SUBSTITUTE(SUBSTITUTE(SUBSTITUTE(SUBSTITUTE("type:"&amp;B1378,"%","%25"),"~","%7E"),"*","%2A"),"?","%3F"),'Rules'!$G$7:$G$26,0)),IF(AND(C1378&lt;&gt;"",C1378&lt;&gt;INDEX('Rules'!$B$7:$B$26,MATCH(SUBSTITUTE(SUBSTITUTE(SUBSTITUTE(SUBSTITUTE("type:"&amp;B1378,"%","%25"),"~","%7E"),"*","%2A"),"?","%3F"),'Rules'!$G$7:$G$26,0))),"Unit mismatch",IF(IF(NOT(ISNUMBER(D1378)),TRUE,OR(D1378&lt;0,D1378&gt;999999999,ROUND(D1378,3)&lt;&gt;D1378)),"Invalid current reading",IF(AND(E1378&lt;&gt;"",IF(NOT(ISNUMBER(E1378)),TRUE,OR(E1378&lt;0,E1378&gt;999999999,ROUND(E1378,3)&lt;&gt;E1378))),"Invalid previous reading",IF(IF(NOT(ISNUMBER(F1378)),TRUE,OR(F1378&lt;0,F1378&gt;999999999,ROUND(F1378,3)&lt;&gt;F1378)),"Invalid last service",IF(AND(E1378&lt;&gt;"",D1378&lt;E1378),"Decreased reading",IF(F1378&gt;D1378,"Last service above current","")))))))))))))</x:f>
      </x:c>
      <x:c r="L1378" s="6" t="str">
        <x:f>IF(AND(NOT(COUNTA(A1378:F1378)=0),K1378=""),INDEX('Rules'!$C$7:$C$26,MATCH(SUBSTITUTE(SUBSTITUTE(SUBSTITUTE(SUBSTITUTE("type:"&amp;B1378,"%","%25"),"~","%7E"),"*","%2A"),"?","%3F"),'Rules'!$G$7:$G$26,0)),"")</x:f>
      </x:c>
      <x:c r="M1378" s="6" t="str">
        <x:f>IF(AND(NOT(COUNTA(A1378:F1378)=0),K1378=""),INDEX('Rules'!$D$7:$D$26,MATCH(SUBSTITUTE(SUBSTITUTE(SUBSTITUTE(SUBSTITUTE("type:"&amp;B1378,"%","%25"),"~","%7E"),"*","%2A"),"?","%3F"),'Rules'!$G$7:$G$26,0)),"")</x:f>
      </x:c>
      <x:c r="N1378" s="5" t="str">
        <x:f>IF(COUNTA(A1378:F1378)=0,"",SUBSTITUTE(SUBSTITUTE(SUBSTITUTE(SUBSTITUTE("id:"&amp;A1378,"%","%25"),"~","%7E"),"*","%2A"),"?","%3F"))</x:f>
      </x:c>
    </x:row>
    <x:row r="1379" ht="22" customHeight="1">
      <x:c r="A1379" s="3"/>
      <x:c r="B1379" s="3"/>
      <x:c r="C1379" s="3"/>
      <x:c r="D1379" s="4"/>
      <x:c r="E1379" s="4"/>
      <x:c r="F1379" s="4"/>
      <x:c r="G1379" s="5" t="str">
        <x:f>IF(COUNTA(A1379:F1379)=0,"",IF(K1379&lt;&gt;"","Review",IF(I1379&lt;0,"Overdue",IF(I1379=0,"Due now",IF(I1379&lt;=M1379,"Due soon","Not due")))))</x:f>
      </x:c>
      <x:c r="H1379" s="5" t="str">
        <x:f>IF(OR(COUNTA(A1379:F1379)=0,COUNTIFS('Rules'!$G$7:$G$26,"="&amp;(SUBSTITUTE(SUBSTITUTE(SUBSTITUTE(SUBSTITUTE("type:"&amp;B1379,"%","%25"),"~","%7E"),"*","%2A"),"?","%3F")))&lt;&gt;1),"",IF(OR(INDEX('Rules'!$B$7:$B$26,MATCH(SUBSTITUTE(SUBSTITUTE(SUBSTITUTE(SUBSTITUTE("type:"&amp;B1379,"%","%25"),"~","%7E"),"*","%2A"),"?","%3F"),'Rules'!$G$7:$G$26,0))="hours",INDEX('Rules'!$B$7:$B$26,MATCH(SUBSTITUTE(SUBSTITUTE(SUBSTITUTE(SUBSTITUTE("type:"&amp;B1379,"%","%25"),"~","%7E"),"*","%2A"),"?","%3F"),'Rules'!$G$7:$G$26,0))="km"),INDEX('Rules'!$B$7:$B$26,MATCH(SUBSTITUTE(SUBSTITUTE(SUBSTITUTE(SUBSTITUTE("type:"&amp;B1379,"%","%25"),"~","%7E"),"*","%2A"),"?","%3F"),'Rules'!$G$7:$G$26,0)),""))</x:f>
      </x:c>
      <x:c r="I1379" s="6" t="str">
        <x:f>IF(AND(NOT(COUNTA(A1379:F1379)=0),K1379=""),ROUND(J1379-D1379,3),"")</x:f>
      </x:c>
      <x:c r="J1379" s="6" t="str">
        <x:f>IF(AND(NOT(COUNTA(A1379:F1379)=0),K1379=""),ROUND(F1379+L1379,3),"")</x:f>
      </x:c>
      <x:c r="K1379" s="5" t="str">
        <x:f>IF(COUNTA(A1379:F1379)=0,"",IF(A1379="","Missing equipment ID",IF(COUNTIFS($N$8:$N$2007,"="&amp;N1379)&gt;1,"Duplicate equipment ID",IF(B1379="","Missing type",IF(COUNTIFS('Rules'!$G$7:$G$26,"="&amp;(SUBSTITUTE(SUBSTITUTE(SUBSTITUTE(SUBSTITUTE("type:"&amp;B1379,"%","%25"),"~","%7E"),"*","%2A"),"?","%3F")))=0,"Unknown type",IF(COUNTIFS('Rules'!$G$7:$G$26,"="&amp;(SUBSTITUTE(SUBSTITUTE(SUBSTITUTE(SUBSTITUTE("type:"&amp;B1379,"%","%25"),"~","%7E"),"*","%2A"),"?","%3F")))&gt;1,"Duplicate type",IF(INDEX('Rules'!$F$7:$F$26,MATCH(SUBSTITUTE(SUBSTITUTE(SUBSTITUTE(SUBSTITUTE("type:"&amp;B1379,"%","%25"),"~","%7E"),"*","%2A"),"?","%3F"),'Rules'!$G$7:$G$26,0))&lt;&gt;"",INDEX('Rules'!$F$7:$F$26,MATCH(SUBSTITUTE(SUBSTITUTE(SUBSTITUTE(SUBSTITUTE("type:"&amp;B1379,"%","%25"),"~","%7E"),"*","%2A"),"?","%3F"),'Rules'!$G$7:$G$26,0)),IF(AND(C1379&lt;&gt;"",C1379&lt;&gt;INDEX('Rules'!$B$7:$B$26,MATCH(SUBSTITUTE(SUBSTITUTE(SUBSTITUTE(SUBSTITUTE("type:"&amp;B1379,"%","%25"),"~","%7E"),"*","%2A"),"?","%3F"),'Rules'!$G$7:$G$26,0))),"Unit mismatch",IF(IF(NOT(ISNUMBER(D1379)),TRUE,OR(D1379&lt;0,D1379&gt;999999999,ROUND(D1379,3)&lt;&gt;D1379)),"Invalid current reading",IF(AND(E1379&lt;&gt;"",IF(NOT(ISNUMBER(E1379)),TRUE,OR(E1379&lt;0,E1379&gt;999999999,ROUND(E1379,3)&lt;&gt;E1379))),"Invalid previous reading",IF(IF(NOT(ISNUMBER(F1379)),TRUE,OR(F1379&lt;0,F1379&gt;999999999,ROUND(F1379,3)&lt;&gt;F1379)),"Invalid last service",IF(AND(E1379&lt;&gt;"",D1379&lt;E1379),"Decreased reading",IF(F1379&gt;D1379,"Last service above current","")))))))))))))</x:f>
      </x:c>
      <x:c r="L1379" s="6" t="str">
        <x:f>IF(AND(NOT(COUNTA(A1379:F1379)=0),K1379=""),INDEX('Rules'!$C$7:$C$26,MATCH(SUBSTITUTE(SUBSTITUTE(SUBSTITUTE(SUBSTITUTE("type:"&amp;B1379,"%","%25"),"~","%7E"),"*","%2A"),"?","%3F"),'Rules'!$G$7:$G$26,0)),"")</x:f>
      </x:c>
      <x:c r="M1379" s="6" t="str">
        <x:f>IF(AND(NOT(COUNTA(A1379:F1379)=0),K1379=""),INDEX('Rules'!$D$7:$D$26,MATCH(SUBSTITUTE(SUBSTITUTE(SUBSTITUTE(SUBSTITUTE("type:"&amp;B1379,"%","%25"),"~","%7E"),"*","%2A"),"?","%3F"),'Rules'!$G$7:$G$26,0)),"")</x:f>
      </x:c>
      <x:c r="N1379" s="5" t="str">
        <x:f>IF(COUNTA(A1379:F1379)=0,"",SUBSTITUTE(SUBSTITUTE(SUBSTITUTE(SUBSTITUTE("id:"&amp;A1379,"%","%25"),"~","%7E"),"*","%2A"),"?","%3F"))</x:f>
      </x:c>
    </x:row>
    <x:row r="1380" ht="22" customHeight="1">
      <x:c r="A1380" s="3"/>
      <x:c r="B1380" s="3"/>
      <x:c r="C1380" s="3"/>
      <x:c r="D1380" s="4"/>
      <x:c r="E1380" s="4"/>
      <x:c r="F1380" s="4"/>
      <x:c r="G1380" s="5" t="str">
        <x:f>IF(COUNTA(A1380:F1380)=0,"",IF(K1380&lt;&gt;"","Review",IF(I1380&lt;0,"Overdue",IF(I1380=0,"Due now",IF(I1380&lt;=M1380,"Due soon","Not due")))))</x:f>
      </x:c>
      <x:c r="H1380" s="5" t="str">
        <x:f>IF(OR(COUNTA(A1380:F1380)=0,COUNTIFS('Rules'!$G$7:$G$26,"="&amp;(SUBSTITUTE(SUBSTITUTE(SUBSTITUTE(SUBSTITUTE("type:"&amp;B1380,"%","%25"),"~","%7E"),"*","%2A"),"?","%3F")))&lt;&gt;1),"",IF(OR(INDEX('Rules'!$B$7:$B$26,MATCH(SUBSTITUTE(SUBSTITUTE(SUBSTITUTE(SUBSTITUTE("type:"&amp;B1380,"%","%25"),"~","%7E"),"*","%2A"),"?","%3F"),'Rules'!$G$7:$G$26,0))="hours",INDEX('Rules'!$B$7:$B$26,MATCH(SUBSTITUTE(SUBSTITUTE(SUBSTITUTE(SUBSTITUTE("type:"&amp;B1380,"%","%25"),"~","%7E"),"*","%2A"),"?","%3F"),'Rules'!$G$7:$G$26,0))="km"),INDEX('Rules'!$B$7:$B$26,MATCH(SUBSTITUTE(SUBSTITUTE(SUBSTITUTE(SUBSTITUTE("type:"&amp;B1380,"%","%25"),"~","%7E"),"*","%2A"),"?","%3F"),'Rules'!$G$7:$G$26,0)),""))</x:f>
      </x:c>
      <x:c r="I1380" s="6" t="str">
        <x:f>IF(AND(NOT(COUNTA(A1380:F1380)=0),K1380=""),ROUND(J1380-D1380,3),"")</x:f>
      </x:c>
      <x:c r="J1380" s="6" t="str">
        <x:f>IF(AND(NOT(COUNTA(A1380:F1380)=0),K1380=""),ROUND(F1380+L1380,3),"")</x:f>
      </x:c>
      <x:c r="K1380" s="5" t="str">
        <x:f>IF(COUNTA(A1380:F1380)=0,"",IF(A1380="","Missing equipment ID",IF(COUNTIFS($N$8:$N$2007,"="&amp;N1380)&gt;1,"Duplicate equipment ID",IF(B1380="","Missing type",IF(COUNTIFS('Rules'!$G$7:$G$26,"="&amp;(SUBSTITUTE(SUBSTITUTE(SUBSTITUTE(SUBSTITUTE("type:"&amp;B1380,"%","%25"),"~","%7E"),"*","%2A"),"?","%3F")))=0,"Unknown type",IF(COUNTIFS('Rules'!$G$7:$G$26,"="&amp;(SUBSTITUTE(SUBSTITUTE(SUBSTITUTE(SUBSTITUTE("type:"&amp;B1380,"%","%25"),"~","%7E"),"*","%2A"),"?","%3F")))&gt;1,"Duplicate type",IF(INDEX('Rules'!$F$7:$F$26,MATCH(SUBSTITUTE(SUBSTITUTE(SUBSTITUTE(SUBSTITUTE("type:"&amp;B1380,"%","%25"),"~","%7E"),"*","%2A"),"?","%3F"),'Rules'!$G$7:$G$26,0))&lt;&gt;"",INDEX('Rules'!$F$7:$F$26,MATCH(SUBSTITUTE(SUBSTITUTE(SUBSTITUTE(SUBSTITUTE("type:"&amp;B1380,"%","%25"),"~","%7E"),"*","%2A"),"?","%3F"),'Rules'!$G$7:$G$26,0)),IF(AND(C1380&lt;&gt;"",C1380&lt;&gt;INDEX('Rules'!$B$7:$B$26,MATCH(SUBSTITUTE(SUBSTITUTE(SUBSTITUTE(SUBSTITUTE("type:"&amp;B1380,"%","%25"),"~","%7E"),"*","%2A"),"?","%3F"),'Rules'!$G$7:$G$26,0))),"Unit mismatch",IF(IF(NOT(ISNUMBER(D1380)),TRUE,OR(D1380&lt;0,D1380&gt;999999999,ROUND(D1380,3)&lt;&gt;D1380)),"Invalid current reading",IF(AND(E1380&lt;&gt;"",IF(NOT(ISNUMBER(E1380)),TRUE,OR(E1380&lt;0,E1380&gt;999999999,ROUND(E1380,3)&lt;&gt;E1380))),"Invalid previous reading",IF(IF(NOT(ISNUMBER(F1380)),TRUE,OR(F1380&lt;0,F1380&gt;999999999,ROUND(F1380,3)&lt;&gt;F1380)),"Invalid last service",IF(AND(E1380&lt;&gt;"",D1380&lt;E1380),"Decreased reading",IF(F1380&gt;D1380,"Last service above current","")))))))))))))</x:f>
      </x:c>
      <x:c r="L1380" s="6" t="str">
        <x:f>IF(AND(NOT(COUNTA(A1380:F1380)=0),K1380=""),INDEX('Rules'!$C$7:$C$26,MATCH(SUBSTITUTE(SUBSTITUTE(SUBSTITUTE(SUBSTITUTE("type:"&amp;B1380,"%","%25"),"~","%7E"),"*","%2A"),"?","%3F"),'Rules'!$G$7:$G$26,0)),"")</x:f>
      </x:c>
      <x:c r="M1380" s="6" t="str">
        <x:f>IF(AND(NOT(COUNTA(A1380:F1380)=0),K1380=""),INDEX('Rules'!$D$7:$D$26,MATCH(SUBSTITUTE(SUBSTITUTE(SUBSTITUTE(SUBSTITUTE("type:"&amp;B1380,"%","%25"),"~","%7E"),"*","%2A"),"?","%3F"),'Rules'!$G$7:$G$26,0)),"")</x:f>
      </x:c>
      <x:c r="N1380" s="5" t="str">
        <x:f>IF(COUNTA(A1380:F1380)=0,"",SUBSTITUTE(SUBSTITUTE(SUBSTITUTE(SUBSTITUTE("id:"&amp;A1380,"%","%25"),"~","%7E"),"*","%2A"),"?","%3F"))</x:f>
      </x:c>
    </x:row>
    <x:row r="1381" ht="22" customHeight="1">
      <x:c r="A1381" s="3"/>
      <x:c r="B1381" s="3"/>
      <x:c r="C1381" s="3"/>
      <x:c r="D1381" s="4"/>
      <x:c r="E1381" s="4"/>
      <x:c r="F1381" s="4"/>
      <x:c r="G1381" s="5" t="str">
        <x:f>IF(COUNTA(A1381:F1381)=0,"",IF(K1381&lt;&gt;"","Review",IF(I1381&lt;0,"Overdue",IF(I1381=0,"Due now",IF(I1381&lt;=M1381,"Due soon","Not due")))))</x:f>
      </x:c>
      <x:c r="H1381" s="5" t="str">
        <x:f>IF(OR(COUNTA(A1381:F1381)=0,COUNTIFS('Rules'!$G$7:$G$26,"="&amp;(SUBSTITUTE(SUBSTITUTE(SUBSTITUTE(SUBSTITUTE("type:"&amp;B1381,"%","%25"),"~","%7E"),"*","%2A"),"?","%3F")))&lt;&gt;1),"",IF(OR(INDEX('Rules'!$B$7:$B$26,MATCH(SUBSTITUTE(SUBSTITUTE(SUBSTITUTE(SUBSTITUTE("type:"&amp;B1381,"%","%25"),"~","%7E"),"*","%2A"),"?","%3F"),'Rules'!$G$7:$G$26,0))="hours",INDEX('Rules'!$B$7:$B$26,MATCH(SUBSTITUTE(SUBSTITUTE(SUBSTITUTE(SUBSTITUTE("type:"&amp;B1381,"%","%25"),"~","%7E"),"*","%2A"),"?","%3F"),'Rules'!$G$7:$G$26,0))="km"),INDEX('Rules'!$B$7:$B$26,MATCH(SUBSTITUTE(SUBSTITUTE(SUBSTITUTE(SUBSTITUTE("type:"&amp;B1381,"%","%25"),"~","%7E"),"*","%2A"),"?","%3F"),'Rules'!$G$7:$G$26,0)),""))</x:f>
      </x:c>
      <x:c r="I1381" s="6" t="str">
        <x:f>IF(AND(NOT(COUNTA(A1381:F1381)=0),K1381=""),ROUND(J1381-D1381,3),"")</x:f>
      </x:c>
      <x:c r="J1381" s="6" t="str">
        <x:f>IF(AND(NOT(COUNTA(A1381:F1381)=0),K1381=""),ROUND(F1381+L1381,3),"")</x:f>
      </x:c>
      <x:c r="K1381" s="5" t="str">
        <x:f>IF(COUNTA(A1381:F1381)=0,"",IF(A1381="","Missing equipment ID",IF(COUNTIFS($N$8:$N$2007,"="&amp;N1381)&gt;1,"Duplicate equipment ID",IF(B1381="","Missing type",IF(COUNTIFS('Rules'!$G$7:$G$26,"="&amp;(SUBSTITUTE(SUBSTITUTE(SUBSTITUTE(SUBSTITUTE("type:"&amp;B1381,"%","%25"),"~","%7E"),"*","%2A"),"?","%3F")))=0,"Unknown type",IF(COUNTIFS('Rules'!$G$7:$G$26,"="&amp;(SUBSTITUTE(SUBSTITUTE(SUBSTITUTE(SUBSTITUTE("type:"&amp;B1381,"%","%25"),"~","%7E"),"*","%2A"),"?","%3F")))&gt;1,"Duplicate type",IF(INDEX('Rules'!$F$7:$F$26,MATCH(SUBSTITUTE(SUBSTITUTE(SUBSTITUTE(SUBSTITUTE("type:"&amp;B1381,"%","%25"),"~","%7E"),"*","%2A"),"?","%3F"),'Rules'!$G$7:$G$26,0))&lt;&gt;"",INDEX('Rules'!$F$7:$F$26,MATCH(SUBSTITUTE(SUBSTITUTE(SUBSTITUTE(SUBSTITUTE("type:"&amp;B1381,"%","%25"),"~","%7E"),"*","%2A"),"?","%3F"),'Rules'!$G$7:$G$26,0)),IF(AND(C1381&lt;&gt;"",C1381&lt;&gt;INDEX('Rules'!$B$7:$B$26,MATCH(SUBSTITUTE(SUBSTITUTE(SUBSTITUTE(SUBSTITUTE("type:"&amp;B1381,"%","%25"),"~","%7E"),"*","%2A"),"?","%3F"),'Rules'!$G$7:$G$26,0))),"Unit mismatch",IF(IF(NOT(ISNUMBER(D1381)),TRUE,OR(D1381&lt;0,D1381&gt;999999999,ROUND(D1381,3)&lt;&gt;D1381)),"Invalid current reading",IF(AND(E1381&lt;&gt;"",IF(NOT(ISNUMBER(E1381)),TRUE,OR(E1381&lt;0,E1381&gt;999999999,ROUND(E1381,3)&lt;&gt;E1381))),"Invalid previous reading",IF(IF(NOT(ISNUMBER(F1381)),TRUE,OR(F1381&lt;0,F1381&gt;999999999,ROUND(F1381,3)&lt;&gt;F1381)),"Invalid last service",IF(AND(E1381&lt;&gt;"",D1381&lt;E1381),"Decreased reading",IF(F1381&gt;D1381,"Last service above current","")))))))))))))</x:f>
      </x:c>
      <x:c r="L1381" s="6" t="str">
        <x:f>IF(AND(NOT(COUNTA(A1381:F1381)=0),K1381=""),INDEX('Rules'!$C$7:$C$26,MATCH(SUBSTITUTE(SUBSTITUTE(SUBSTITUTE(SUBSTITUTE("type:"&amp;B1381,"%","%25"),"~","%7E"),"*","%2A"),"?","%3F"),'Rules'!$G$7:$G$26,0)),"")</x:f>
      </x:c>
      <x:c r="M1381" s="6" t="str">
        <x:f>IF(AND(NOT(COUNTA(A1381:F1381)=0),K1381=""),INDEX('Rules'!$D$7:$D$26,MATCH(SUBSTITUTE(SUBSTITUTE(SUBSTITUTE(SUBSTITUTE("type:"&amp;B1381,"%","%25"),"~","%7E"),"*","%2A"),"?","%3F"),'Rules'!$G$7:$G$26,0)),"")</x:f>
      </x:c>
      <x:c r="N1381" s="5" t="str">
        <x:f>IF(COUNTA(A1381:F1381)=0,"",SUBSTITUTE(SUBSTITUTE(SUBSTITUTE(SUBSTITUTE("id:"&amp;A1381,"%","%25"),"~","%7E"),"*","%2A"),"?","%3F"))</x:f>
      </x:c>
    </x:row>
    <x:row r="1382" ht="22" customHeight="1">
      <x:c r="A1382" s="3"/>
      <x:c r="B1382" s="3"/>
      <x:c r="C1382" s="3"/>
      <x:c r="D1382" s="4"/>
      <x:c r="E1382" s="4"/>
      <x:c r="F1382" s="4"/>
      <x:c r="G1382" s="5" t="str">
        <x:f>IF(COUNTA(A1382:F1382)=0,"",IF(K1382&lt;&gt;"","Review",IF(I1382&lt;0,"Overdue",IF(I1382=0,"Due now",IF(I1382&lt;=M1382,"Due soon","Not due")))))</x:f>
      </x:c>
      <x:c r="H1382" s="5" t="str">
        <x:f>IF(OR(COUNTA(A1382:F1382)=0,COUNTIFS('Rules'!$G$7:$G$26,"="&amp;(SUBSTITUTE(SUBSTITUTE(SUBSTITUTE(SUBSTITUTE("type:"&amp;B1382,"%","%25"),"~","%7E"),"*","%2A"),"?","%3F")))&lt;&gt;1),"",IF(OR(INDEX('Rules'!$B$7:$B$26,MATCH(SUBSTITUTE(SUBSTITUTE(SUBSTITUTE(SUBSTITUTE("type:"&amp;B1382,"%","%25"),"~","%7E"),"*","%2A"),"?","%3F"),'Rules'!$G$7:$G$26,0))="hours",INDEX('Rules'!$B$7:$B$26,MATCH(SUBSTITUTE(SUBSTITUTE(SUBSTITUTE(SUBSTITUTE("type:"&amp;B1382,"%","%25"),"~","%7E"),"*","%2A"),"?","%3F"),'Rules'!$G$7:$G$26,0))="km"),INDEX('Rules'!$B$7:$B$26,MATCH(SUBSTITUTE(SUBSTITUTE(SUBSTITUTE(SUBSTITUTE("type:"&amp;B1382,"%","%25"),"~","%7E"),"*","%2A"),"?","%3F"),'Rules'!$G$7:$G$26,0)),""))</x:f>
      </x:c>
      <x:c r="I1382" s="6" t="str">
        <x:f>IF(AND(NOT(COUNTA(A1382:F1382)=0),K1382=""),ROUND(J1382-D1382,3),"")</x:f>
      </x:c>
      <x:c r="J1382" s="6" t="str">
        <x:f>IF(AND(NOT(COUNTA(A1382:F1382)=0),K1382=""),ROUND(F1382+L1382,3),"")</x:f>
      </x:c>
      <x:c r="K1382" s="5" t="str">
        <x:f>IF(COUNTA(A1382:F1382)=0,"",IF(A1382="","Missing equipment ID",IF(COUNTIFS($N$8:$N$2007,"="&amp;N1382)&gt;1,"Duplicate equipment ID",IF(B1382="","Missing type",IF(COUNTIFS('Rules'!$G$7:$G$26,"="&amp;(SUBSTITUTE(SUBSTITUTE(SUBSTITUTE(SUBSTITUTE("type:"&amp;B1382,"%","%25"),"~","%7E"),"*","%2A"),"?","%3F")))=0,"Unknown type",IF(COUNTIFS('Rules'!$G$7:$G$26,"="&amp;(SUBSTITUTE(SUBSTITUTE(SUBSTITUTE(SUBSTITUTE("type:"&amp;B1382,"%","%25"),"~","%7E"),"*","%2A"),"?","%3F")))&gt;1,"Duplicate type",IF(INDEX('Rules'!$F$7:$F$26,MATCH(SUBSTITUTE(SUBSTITUTE(SUBSTITUTE(SUBSTITUTE("type:"&amp;B1382,"%","%25"),"~","%7E"),"*","%2A"),"?","%3F"),'Rules'!$G$7:$G$26,0))&lt;&gt;"",INDEX('Rules'!$F$7:$F$26,MATCH(SUBSTITUTE(SUBSTITUTE(SUBSTITUTE(SUBSTITUTE("type:"&amp;B1382,"%","%25"),"~","%7E"),"*","%2A"),"?","%3F"),'Rules'!$G$7:$G$26,0)),IF(AND(C1382&lt;&gt;"",C1382&lt;&gt;INDEX('Rules'!$B$7:$B$26,MATCH(SUBSTITUTE(SUBSTITUTE(SUBSTITUTE(SUBSTITUTE("type:"&amp;B1382,"%","%25"),"~","%7E"),"*","%2A"),"?","%3F"),'Rules'!$G$7:$G$26,0))),"Unit mismatch",IF(IF(NOT(ISNUMBER(D1382)),TRUE,OR(D1382&lt;0,D1382&gt;999999999,ROUND(D1382,3)&lt;&gt;D1382)),"Invalid current reading",IF(AND(E1382&lt;&gt;"",IF(NOT(ISNUMBER(E1382)),TRUE,OR(E1382&lt;0,E1382&gt;999999999,ROUND(E1382,3)&lt;&gt;E1382))),"Invalid previous reading",IF(IF(NOT(ISNUMBER(F1382)),TRUE,OR(F1382&lt;0,F1382&gt;999999999,ROUND(F1382,3)&lt;&gt;F1382)),"Invalid last service",IF(AND(E1382&lt;&gt;"",D1382&lt;E1382),"Decreased reading",IF(F1382&gt;D1382,"Last service above current","")))))))))))))</x:f>
      </x:c>
      <x:c r="L1382" s="6" t="str">
        <x:f>IF(AND(NOT(COUNTA(A1382:F1382)=0),K1382=""),INDEX('Rules'!$C$7:$C$26,MATCH(SUBSTITUTE(SUBSTITUTE(SUBSTITUTE(SUBSTITUTE("type:"&amp;B1382,"%","%25"),"~","%7E"),"*","%2A"),"?","%3F"),'Rules'!$G$7:$G$26,0)),"")</x:f>
      </x:c>
      <x:c r="M1382" s="6" t="str">
        <x:f>IF(AND(NOT(COUNTA(A1382:F1382)=0),K1382=""),INDEX('Rules'!$D$7:$D$26,MATCH(SUBSTITUTE(SUBSTITUTE(SUBSTITUTE(SUBSTITUTE("type:"&amp;B1382,"%","%25"),"~","%7E"),"*","%2A"),"?","%3F"),'Rules'!$G$7:$G$26,0)),"")</x:f>
      </x:c>
      <x:c r="N1382" s="5" t="str">
        <x:f>IF(COUNTA(A1382:F1382)=0,"",SUBSTITUTE(SUBSTITUTE(SUBSTITUTE(SUBSTITUTE("id:"&amp;A1382,"%","%25"),"~","%7E"),"*","%2A"),"?","%3F"))</x:f>
      </x:c>
    </x:row>
    <x:row r="1383" ht="22" customHeight="1">
      <x:c r="A1383" s="3"/>
      <x:c r="B1383" s="3"/>
      <x:c r="C1383" s="3"/>
      <x:c r="D1383" s="4"/>
      <x:c r="E1383" s="4"/>
      <x:c r="F1383" s="4"/>
      <x:c r="G1383" s="5" t="str">
        <x:f>IF(COUNTA(A1383:F1383)=0,"",IF(K1383&lt;&gt;"","Review",IF(I1383&lt;0,"Overdue",IF(I1383=0,"Due now",IF(I1383&lt;=M1383,"Due soon","Not due")))))</x:f>
      </x:c>
      <x:c r="H1383" s="5" t="str">
        <x:f>IF(OR(COUNTA(A1383:F1383)=0,COUNTIFS('Rules'!$G$7:$G$26,"="&amp;(SUBSTITUTE(SUBSTITUTE(SUBSTITUTE(SUBSTITUTE("type:"&amp;B1383,"%","%25"),"~","%7E"),"*","%2A"),"?","%3F")))&lt;&gt;1),"",IF(OR(INDEX('Rules'!$B$7:$B$26,MATCH(SUBSTITUTE(SUBSTITUTE(SUBSTITUTE(SUBSTITUTE("type:"&amp;B1383,"%","%25"),"~","%7E"),"*","%2A"),"?","%3F"),'Rules'!$G$7:$G$26,0))="hours",INDEX('Rules'!$B$7:$B$26,MATCH(SUBSTITUTE(SUBSTITUTE(SUBSTITUTE(SUBSTITUTE("type:"&amp;B1383,"%","%25"),"~","%7E"),"*","%2A"),"?","%3F"),'Rules'!$G$7:$G$26,0))="km"),INDEX('Rules'!$B$7:$B$26,MATCH(SUBSTITUTE(SUBSTITUTE(SUBSTITUTE(SUBSTITUTE("type:"&amp;B1383,"%","%25"),"~","%7E"),"*","%2A"),"?","%3F"),'Rules'!$G$7:$G$26,0)),""))</x:f>
      </x:c>
      <x:c r="I1383" s="6" t="str">
        <x:f>IF(AND(NOT(COUNTA(A1383:F1383)=0),K1383=""),ROUND(J1383-D1383,3),"")</x:f>
      </x:c>
      <x:c r="J1383" s="6" t="str">
        <x:f>IF(AND(NOT(COUNTA(A1383:F1383)=0),K1383=""),ROUND(F1383+L1383,3),"")</x:f>
      </x:c>
      <x:c r="K1383" s="5" t="str">
        <x:f>IF(COUNTA(A1383:F1383)=0,"",IF(A1383="","Missing equipment ID",IF(COUNTIFS($N$8:$N$2007,"="&amp;N1383)&gt;1,"Duplicate equipment ID",IF(B1383="","Missing type",IF(COUNTIFS('Rules'!$G$7:$G$26,"="&amp;(SUBSTITUTE(SUBSTITUTE(SUBSTITUTE(SUBSTITUTE("type:"&amp;B1383,"%","%25"),"~","%7E"),"*","%2A"),"?","%3F")))=0,"Unknown type",IF(COUNTIFS('Rules'!$G$7:$G$26,"="&amp;(SUBSTITUTE(SUBSTITUTE(SUBSTITUTE(SUBSTITUTE("type:"&amp;B1383,"%","%25"),"~","%7E"),"*","%2A"),"?","%3F")))&gt;1,"Duplicate type",IF(INDEX('Rules'!$F$7:$F$26,MATCH(SUBSTITUTE(SUBSTITUTE(SUBSTITUTE(SUBSTITUTE("type:"&amp;B1383,"%","%25"),"~","%7E"),"*","%2A"),"?","%3F"),'Rules'!$G$7:$G$26,0))&lt;&gt;"",INDEX('Rules'!$F$7:$F$26,MATCH(SUBSTITUTE(SUBSTITUTE(SUBSTITUTE(SUBSTITUTE("type:"&amp;B1383,"%","%25"),"~","%7E"),"*","%2A"),"?","%3F"),'Rules'!$G$7:$G$26,0)),IF(AND(C1383&lt;&gt;"",C1383&lt;&gt;INDEX('Rules'!$B$7:$B$26,MATCH(SUBSTITUTE(SUBSTITUTE(SUBSTITUTE(SUBSTITUTE("type:"&amp;B1383,"%","%25"),"~","%7E"),"*","%2A"),"?","%3F"),'Rules'!$G$7:$G$26,0))),"Unit mismatch",IF(IF(NOT(ISNUMBER(D1383)),TRUE,OR(D1383&lt;0,D1383&gt;999999999,ROUND(D1383,3)&lt;&gt;D1383)),"Invalid current reading",IF(AND(E1383&lt;&gt;"",IF(NOT(ISNUMBER(E1383)),TRUE,OR(E1383&lt;0,E1383&gt;999999999,ROUND(E1383,3)&lt;&gt;E1383))),"Invalid previous reading",IF(IF(NOT(ISNUMBER(F1383)),TRUE,OR(F1383&lt;0,F1383&gt;999999999,ROUND(F1383,3)&lt;&gt;F1383)),"Invalid last service",IF(AND(E1383&lt;&gt;"",D1383&lt;E1383),"Decreased reading",IF(F1383&gt;D1383,"Last service above current","")))))))))))))</x:f>
      </x:c>
      <x:c r="L1383" s="6" t="str">
        <x:f>IF(AND(NOT(COUNTA(A1383:F1383)=0),K1383=""),INDEX('Rules'!$C$7:$C$26,MATCH(SUBSTITUTE(SUBSTITUTE(SUBSTITUTE(SUBSTITUTE("type:"&amp;B1383,"%","%25"),"~","%7E"),"*","%2A"),"?","%3F"),'Rules'!$G$7:$G$26,0)),"")</x:f>
      </x:c>
      <x:c r="M1383" s="6" t="str">
        <x:f>IF(AND(NOT(COUNTA(A1383:F1383)=0),K1383=""),INDEX('Rules'!$D$7:$D$26,MATCH(SUBSTITUTE(SUBSTITUTE(SUBSTITUTE(SUBSTITUTE("type:"&amp;B1383,"%","%25"),"~","%7E"),"*","%2A"),"?","%3F"),'Rules'!$G$7:$G$26,0)),"")</x:f>
      </x:c>
      <x:c r="N1383" s="5" t="str">
        <x:f>IF(COUNTA(A1383:F1383)=0,"",SUBSTITUTE(SUBSTITUTE(SUBSTITUTE(SUBSTITUTE("id:"&amp;A1383,"%","%25"),"~","%7E"),"*","%2A"),"?","%3F"))</x:f>
      </x:c>
    </x:row>
    <x:row r="1384" ht="22" customHeight="1">
      <x:c r="A1384" s="3"/>
      <x:c r="B1384" s="3"/>
      <x:c r="C1384" s="3"/>
      <x:c r="D1384" s="4"/>
      <x:c r="E1384" s="4"/>
      <x:c r="F1384" s="4"/>
      <x:c r="G1384" s="5" t="str">
        <x:f>IF(COUNTA(A1384:F1384)=0,"",IF(K1384&lt;&gt;"","Review",IF(I1384&lt;0,"Overdue",IF(I1384=0,"Due now",IF(I1384&lt;=M1384,"Due soon","Not due")))))</x:f>
      </x:c>
      <x:c r="H1384" s="5" t="str">
        <x:f>IF(OR(COUNTA(A1384:F1384)=0,COUNTIFS('Rules'!$G$7:$G$26,"="&amp;(SUBSTITUTE(SUBSTITUTE(SUBSTITUTE(SUBSTITUTE("type:"&amp;B1384,"%","%25"),"~","%7E"),"*","%2A"),"?","%3F")))&lt;&gt;1),"",IF(OR(INDEX('Rules'!$B$7:$B$26,MATCH(SUBSTITUTE(SUBSTITUTE(SUBSTITUTE(SUBSTITUTE("type:"&amp;B1384,"%","%25"),"~","%7E"),"*","%2A"),"?","%3F"),'Rules'!$G$7:$G$26,0))="hours",INDEX('Rules'!$B$7:$B$26,MATCH(SUBSTITUTE(SUBSTITUTE(SUBSTITUTE(SUBSTITUTE("type:"&amp;B1384,"%","%25"),"~","%7E"),"*","%2A"),"?","%3F"),'Rules'!$G$7:$G$26,0))="km"),INDEX('Rules'!$B$7:$B$26,MATCH(SUBSTITUTE(SUBSTITUTE(SUBSTITUTE(SUBSTITUTE("type:"&amp;B1384,"%","%25"),"~","%7E"),"*","%2A"),"?","%3F"),'Rules'!$G$7:$G$26,0)),""))</x:f>
      </x:c>
      <x:c r="I1384" s="6" t="str">
        <x:f>IF(AND(NOT(COUNTA(A1384:F1384)=0),K1384=""),ROUND(J1384-D1384,3),"")</x:f>
      </x:c>
      <x:c r="J1384" s="6" t="str">
        <x:f>IF(AND(NOT(COUNTA(A1384:F1384)=0),K1384=""),ROUND(F1384+L1384,3),"")</x:f>
      </x:c>
      <x:c r="K1384" s="5" t="str">
        <x:f>IF(COUNTA(A1384:F1384)=0,"",IF(A1384="","Missing equipment ID",IF(COUNTIFS($N$8:$N$2007,"="&amp;N1384)&gt;1,"Duplicate equipment ID",IF(B1384="","Missing type",IF(COUNTIFS('Rules'!$G$7:$G$26,"="&amp;(SUBSTITUTE(SUBSTITUTE(SUBSTITUTE(SUBSTITUTE("type:"&amp;B1384,"%","%25"),"~","%7E"),"*","%2A"),"?","%3F")))=0,"Unknown type",IF(COUNTIFS('Rules'!$G$7:$G$26,"="&amp;(SUBSTITUTE(SUBSTITUTE(SUBSTITUTE(SUBSTITUTE("type:"&amp;B1384,"%","%25"),"~","%7E"),"*","%2A"),"?","%3F")))&gt;1,"Duplicate type",IF(INDEX('Rules'!$F$7:$F$26,MATCH(SUBSTITUTE(SUBSTITUTE(SUBSTITUTE(SUBSTITUTE("type:"&amp;B1384,"%","%25"),"~","%7E"),"*","%2A"),"?","%3F"),'Rules'!$G$7:$G$26,0))&lt;&gt;"",INDEX('Rules'!$F$7:$F$26,MATCH(SUBSTITUTE(SUBSTITUTE(SUBSTITUTE(SUBSTITUTE("type:"&amp;B1384,"%","%25"),"~","%7E"),"*","%2A"),"?","%3F"),'Rules'!$G$7:$G$26,0)),IF(AND(C1384&lt;&gt;"",C1384&lt;&gt;INDEX('Rules'!$B$7:$B$26,MATCH(SUBSTITUTE(SUBSTITUTE(SUBSTITUTE(SUBSTITUTE("type:"&amp;B1384,"%","%25"),"~","%7E"),"*","%2A"),"?","%3F"),'Rules'!$G$7:$G$26,0))),"Unit mismatch",IF(IF(NOT(ISNUMBER(D1384)),TRUE,OR(D1384&lt;0,D1384&gt;999999999,ROUND(D1384,3)&lt;&gt;D1384)),"Invalid current reading",IF(AND(E1384&lt;&gt;"",IF(NOT(ISNUMBER(E1384)),TRUE,OR(E1384&lt;0,E1384&gt;999999999,ROUND(E1384,3)&lt;&gt;E1384))),"Invalid previous reading",IF(IF(NOT(ISNUMBER(F1384)),TRUE,OR(F1384&lt;0,F1384&gt;999999999,ROUND(F1384,3)&lt;&gt;F1384)),"Invalid last service",IF(AND(E1384&lt;&gt;"",D1384&lt;E1384),"Decreased reading",IF(F1384&gt;D1384,"Last service above current","")))))))))))))</x:f>
      </x:c>
      <x:c r="L1384" s="6" t="str">
        <x:f>IF(AND(NOT(COUNTA(A1384:F1384)=0),K1384=""),INDEX('Rules'!$C$7:$C$26,MATCH(SUBSTITUTE(SUBSTITUTE(SUBSTITUTE(SUBSTITUTE("type:"&amp;B1384,"%","%25"),"~","%7E"),"*","%2A"),"?","%3F"),'Rules'!$G$7:$G$26,0)),"")</x:f>
      </x:c>
      <x:c r="M1384" s="6" t="str">
        <x:f>IF(AND(NOT(COUNTA(A1384:F1384)=0),K1384=""),INDEX('Rules'!$D$7:$D$26,MATCH(SUBSTITUTE(SUBSTITUTE(SUBSTITUTE(SUBSTITUTE("type:"&amp;B1384,"%","%25"),"~","%7E"),"*","%2A"),"?","%3F"),'Rules'!$G$7:$G$26,0)),"")</x:f>
      </x:c>
      <x:c r="N1384" s="5" t="str">
        <x:f>IF(COUNTA(A1384:F1384)=0,"",SUBSTITUTE(SUBSTITUTE(SUBSTITUTE(SUBSTITUTE("id:"&amp;A1384,"%","%25"),"~","%7E"),"*","%2A"),"?","%3F"))</x:f>
      </x:c>
    </x:row>
    <x:row r="1385" ht="22" customHeight="1">
      <x:c r="A1385" s="3"/>
      <x:c r="B1385" s="3"/>
      <x:c r="C1385" s="3"/>
      <x:c r="D1385" s="4"/>
      <x:c r="E1385" s="4"/>
      <x:c r="F1385" s="4"/>
      <x:c r="G1385" s="5" t="str">
        <x:f>IF(COUNTA(A1385:F1385)=0,"",IF(K1385&lt;&gt;"","Review",IF(I1385&lt;0,"Overdue",IF(I1385=0,"Due now",IF(I1385&lt;=M1385,"Due soon","Not due")))))</x:f>
      </x:c>
      <x:c r="H1385" s="5" t="str">
        <x:f>IF(OR(COUNTA(A1385:F1385)=0,COUNTIFS('Rules'!$G$7:$G$26,"="&amp;(SUBSTITUTE(SUBSTITUTE(SUBSTITUTE(SUBSTITUTE("type:"&amp;B1385,"%","%25"),"~","%7E"),"*","%2A"),"?","%3F")))&lt;&gt;1),"",IF(OR(INDEX('Rules'!$B$7:$B$26,MATCH(SUBSTITUTE(SUBSTITUTE(SUBSTITUTE(SUBSTITUTE("type:"&amp;B1385,"%","%25"),"~","%7E"),"*","%2A"),"?","%3F"),'Rules'!$G$7:$G$26,0))="hours",INDEX('Rules'!$B$7:$B$26,MATCH(SUBSTITUTE(SUBSTITUTE(SUBSTITUTE(SUBSTITUTE("type:"&amp;B1385,"%","%25"),"~","%7E"),"*","%2A"),"?","%3F"),'Rules'!$G$7:$G$26,0))="km"),INDEX('Rules'!$B$7:$B$26,MATCH(SUBSTITUTE(SUBSTITUTE(SUBSTITUTE(SUBSTITUTE("type:"&amp;B1385,"%","%25"),"~","%7E"),"*","%2A"),"?","%3F"),'Rules'!$G$7:$G$26,0)),""))</x:f>
      </x:c>
      <x:c r="I1385" s="6" t="str">
        <x:f>IF(AND(NOT(COUNTA(A1385:F1385)=0),K1385=""),ROUND(J1385-D1385,3),"")</x:f>
      </x:c>
      <x:c r="J1385" s="6" t="str">
        <x:f>IF(AND(NOT(COUNTA(A1385:F1385)=0),K1385=""),ROUND(F1385+L1385,3),"")</x:f>
      </x:c>
      <x:c r="K1385" s="5" t="str">
        <x:f>IF(COUNTA(A1385:F1385)=0,"",IF(A1385="","Missing equipment ID",IF(COUNTIFS($N$8:$N$2007,"="&amp;N1385)&gt;1,"Duplicate equipment ID",IF(B1385="","Missing type",IF(COUNTIFS('Rules'!$G$7:$G$26,"="&amp;(SUBSTITUTE(SUBSTITUTE(SUBSTITUTE(SUBSTITUTE("type:"&amp;B1385,"%","%25"),"~","%7E"),"*","%2A"),"?","%3F")))=0,"Unknown type",IF(COUNTIFS('Rules'!$G$7:$G$26,"="&amp;(SUBSTITUTE(SUBSTITUTE(SUBSTITUTE(SUBSTITUTE("type:"&amp;B1385,"%","%25"),"~","%7E"),"*","%2A"),"?","%3F")))&gt;1,"Duplicate type",IF(INDEX('Rules'!$F$7:$F$26,MATCH(SUBSTITUTE(SUBSTITUTE(SUBSTITUTE(SUBSTITUTE("type:"&amp;B1385,"%","%25"),"~","%7E"),"*","%2A"),"?","%3F"),'Rules'!$G$7:$G$26,0))&lt;&gt;"",INDEX('Rules'!$F$7:$F$26,MATCH(SUBSTITUTE(SUBSTITUTE(SUBSTITUTE(SUBSTITUTE("type:"&amp;B1385,"%","%25"),"~","%7E"),"*","%2A"),"?","%3F"),'Rules'!$G$7:$G$26,0)),IF(AND(C1385&lt;&gt;"",C1385&lt;&gt;INDEX('Rules'!$B$7:$B$26,MATCH(SUBSTITUTE(SUBSTITUTE(SUBSTITUTE(SUBSTITUTE("type:"&amp;B1385,"%","%25"),"~","%7E"),"*","%2A"),"?","%3F"),'Rules'!$G$7:$G$26,0))),"Unit mismatch",IF(IF(NOT(ISNUMBER(D1385)),TRUE,OR(D1385&lt;0,D1385&gt;999999999,ROUND(D1385,3)&lt;&gt;D1385)),"Invalid current reading",IF(AND(E1385&lt;&gt;"",IF(NOT(ISNUMBER(E1385)),TRUE,OR(E1385&lt;0,E1385&gt;999999999,ROUND(E1385,3)&lt;&gt;E1385))),"Invalid previous reading",IF(IF(NOT(ISNUMBER(F1385)),TRUE,OR(F1385&lt;0,F1385&gt;999999999,ROUND(F1385,3)&lt;&gt;F1385)),"Invalid last service",IF(AND(E1385&lt;&gt;"",D1385&lt;E1385),"Decreased reading",IF(F1385&gt;D1385,"Last service above current","")))))))))))))</x:f>
      </x:c>
      <x:c r="L1385" s="6" t="str">
        <x:f>IF(AND(NOT(COUNTA(A1385:F1385)=0),K1385=""),INDEX('Rules'!$C$7:$C$26,MATCH(SUBSTITUTE(SUBSTITUTE(SUBSTITUTE(SUBSTITUTE("type:"&amp;B1385,"%","%25"),"~","%7E"),"*","%2A"),"?","%3F"),'Rules'!$G$7:$G$26,0)),"")</x:f>
      </x:c>
      <x:c r="M1385" s="6" t="str">
        <x:f>IF(AND(NOT(COUNTA(A1385:F1385)=0),K1385=""),INDEX('Rules'!$D$7:$D$26,MATCH(SUBSTITUTE(SUBSTITUTE(SUBSTITUTE(SUBSTITUTE("type:"&amp;B1385,"%","%25"),"~","%7E"),"*","%2A"),"?","%3F"),'Rules'!$G$7:$G$26,0)),"")</x:f>
      </x:c>
      <x:c r="N1385" s="5" t="str">
        <x:f>IF(COUNTA(A1385:F1385)=0,"",SUBSTITUTE(SUBSTITUTE(SUBSTITUTE(SUBSTITUTE("id:"&amp;A1385,"%","%25"),"~","%7E"),"*","%2A"),"?","%3F"))</x:f>
      </x:c>
    </x:row>
    <x:row r="1386" ht="22" customHeight="1">
      <x:c r="A1386" s="3"/>
      <x:c r="B1386" s="3"/>
      <x:c r="C1386" s="3"/>
      <x:c r="D1386" s="4"/>
      <x:c r="E1386" s="4"/>
      <x:c r="F1386" s="4"/>
      <x:c r="G1386" s="5" t="str">
        <x:f>IF(COUNTA(A1386:F1386)=0,"",IF(K1386&lt;&gt;"","Review",IF(I1386&lt;0,"Overdue",IF(I1386=0,"Due now",IF(I1386&lt;=M1386,"Due soon","Not due")))))</x:f>
      </x:c>
      <x:c r="H1386" s="5" t="str">
        <x:f>IF(OR(COUNTA(A1386:F1386)=0,COUNTIFS('Rules'!$G$7:$G$26,"="&amp;(SUBSTITUTE(SUBSTITUTE(SUBSTITUTE(SUBSTITUTE("type:"&amp;B1386,"%","%25"),"~","%7E"),"*","%2A"),"?","%3F")))&lt;&gt;1),"",IF(OR(INDEX('Rules'!$B$7:$B$26,MATCH(SUBSTITUTE(SUBSTITUTE(SUBSTITUTE(SUBSTITUTE("type:"&amp;B1386,"%","%25"),"~","%7E"),"*","%2A"),"?","%3F"),'Rules'!$G$7:$G$26,0))="hours",INDEX('Rules'!$B$7:$B$26,MATCH(SUBSTITUTE(SUBSTITUTE(SUBSTITUTE(SUBSTITUTE("type:"&amp;B1386,"%","%25"),"~","%7E"),"*","%2A"),"?","%3F"),'Rules'!$G$7:$G$26,0))="km"),INDEX('Rules'!$B$7:$B$26,MATCH(SUBSTITUTE(SUBSTITUTE(SUBSTITUTE(SUBSTITUTE("type:"&amp;B1386,"%","%25"),"~","%7E"),"*","%2A"),"?","%3F"),'Rules'!$G$7:$G$26,0)),""))</x:f>
      </x:c>
      <x:c r="I1386" s="6" t="str">
        <x:f>IF(AND(NOT(COUNTA(A1386:F1386)=0),K1386=""),ROUND(J1386-D1386,3),"")</x:f>
      </x:c>
      <x:c r="J1386" s="6" t="str">
        <x:f>IF(AND(NOT(COUNTA(A1386:F1386)=0),K1386=""),ROUND(F1386+L1386,3),"")</x:f>
      </x:c>
      <x:c r="K1386" s="5" t="str">
        <x:f>IF(COUNTA(A1386:F1386)=0,"",IF(A1386="","Missing equipment ID",IF(COUNTIFS($N$8:$N$2007,"="&amp;N1386)&gt;1,"Duplicate equipment ID",IF(B1386="","Missing type",IF(COUNTIFS('Rules'!$G$7:$G$26,"="&amp;(SUBSTITUTE(SUBSTITUTE(SUBSTITUTE(SUBSTITUTE("type:"&amp;B1386,"%","%25"),"~","%7E"),"*","%2A"),"?","%3F")))=0,"Unknown type",IF(COUNTIFS('Rules'!$G$7:$G$26,"="&amp;(SUBSTITUTE(SUBSTITUTE(SUBSTITUTE(SUBSTITUTE("type:"&amp;B1386,"%","%25"),"~","%7E"),"*","%2A"),"?","%3F")))&gt;1,"Duplicate type",IF(INDEX('Rules'!$F$7:$F$26,MATCH(SUBSTITUTE(SUBSTITUTE(SUBSTITUTE(SUBSTITUTE("type:"&amp;B1386,"%","%25"),"~","%7E"),"*","%2A"),"?","%3F"),'Rules'!$G$7:$G$26,0))&lt;&gt;"",INDEX('Rules'!$F$7:$F$26,MATCH(SUBSTITUTE(SUBSTITUTE(SUBSTITUTE(SUBSTITUTE("type:"&amp;B1386,"%","%25"),"~","%7E"),"*","%2A"),"?","%3F"),'Rules'!$G$7:$G$26,0)),IF(AND(C1386&lt;&gt;"",C1386&lt;&gt;INDEX('Rules'!$B$7:$B$26,MATCH(SUBSTITUTE(SUBSTITUTE(SUBSTITUTE(SUBSTITUTE("type:"&amp;B1386,"%","%25"),"~","%7E"),"*","%2A"),"?","%3F"),'Rules'!$G$7:$G$26,0))),"Unit mismatch",IF(IF(NOT(ISNUMBER(D1386)),TRUE,OR(D1386&lt;0,D1386&gt;999999999,ROUND(D1386,3)&lt;&gt;D1386)),"Invalid current reading",IF(AND(E1386&lt;&gt;"",IF(NOT(ISNUMBER(E1386)),TRUE,OR(E1386&lt;0,E1386&gt;999999999,ROUND(E1386,3)&lt;&gt;E1386))),"Invalid previous reading",IF(IF(NOT(ISNUMBER(F1386)),TRUE,OR(F1386&lt;0,F1386&gt;999999999,ROUND(F1386,3)&lt;&gt;F1386)),"Invalid last service",IF(AND(E1386&lt;&gt;"",D1386&lt;E1386),"Decreased reading",IF(F1386&gt;D1386,"Last service above current","")))))))))))))</x:f>
      </x:c>
      <x:c r="L1386" s="6" t="str">
        <x:f>IF(AND(NOT(COUNTA(A1386:F1386)=0),K1386=""),INDEX('Rules'!$C$7:$C$26,MATCH(SUBSTITUTE(SUBSTITUTE(SUBSTITUTE(SUBSTITUTE("type:"&amp;B1386,"%","%25"),"~","%7E"),"*","%2A"),"?","%3F"),'Rules'!$G$7:$G$26,0)),"")</x:f>
      </x:c>
      <x:c r="M1386" s="6" t="str">
        <x:f>IF(AND(NOT(COUNTA(A1386:F1386)=0),K1386=""),INDEX('Rules'!$D$7:$D$26,MATCH(SUBSTITUTE(SUBSTITUTE(SUBSTITUTE(SUBSTITUTE("type:"&amp;B1386,"%","%25"),"~","%7E"),"*","%2A"),"?","%3F"),'Rules'!$G$7:$G$26,0)),"")</x:f>
      </x:c>
      <x:c r="N1386" s="5" t="str">
        <x:f>IF(COUNTA(A1386:F1386)=0,"",SUBSTITUTE(SUBSTITUTE(SUBSTITUTE(SUBSTITUTE("id:"&amp;A1386,"%","%25"),"~","%7E"),"*","%2A"),"?","%3F"))</x:f>
      </x:c>
    </x:row>
    <x:row r="1387" ht="22" customHeight="1">
      <x:c r="A1387" s="3"/>
      <x:c r="B1387" s="3"/>
      <x:c r="C1387" s="3"/>
      <x:c r="D1387" s="4"/>
      <x:c r="E1387" s="4"/>
      <x:c r="F1387" s="4"/>
      <x:c r="G1387" s="5" t="str">
        <x:f>IF(COUNTA(A1387:F1387)=0,"",IF(K1387&lt;&gt;"","Review",IF(I1387&lt;0,"Overdue",IF(I1387=0,"Due now",IF(I1387&lt;=M1387,"Due soon","Not due")))))</x:f>
      </x:c>
      <x:c r="H1387" s="5" t="str">
        <x:f>IF(OR(COUNTA(A1387:F1387)=0,COUNTIFS('Rules'!$G$7:$G$26,"="&amp;(SUBSTITUTE(SUBSTITUTE(SUBSTITUTE(SUBSTITUTE("type:"&amp;B1387,"%","%25"),"~","%7E"),"*","%2A"),"?","%3F")))&lt;&gt;1),"",IF(OR(INDEX('Rules'!$B$7:$B$26,MATCH(SUBSTITUTE(SUBSTITUTE(SUBSTITUTE(SUBSTITUTE("type:"&amp;B1387,"%","%25"),"~","%7E"),"*","%2A"),"?","%3F"),'Rules'!$G$7:$G$26,0))="hours",INDEX('Rules'!$B$7:$B$26,MATCH(SUBSTITUTE(SUBSTITUTE(SUBSTITUTE(SUBSTITUTE("type:"&amp;B1387,"%","%25"),"~","%7E"),"*","%2A"),"?","%3F"),'Rules'!$G$7:$G$26,0))="km"),INDEX('Rules'!$B$7:$B$26,MATCH(SUBSTITUTE(SUBSTITUTE(SUBSTITUTE(SUBSTITUTE("type:"&amp;B1387,"%","%25"),"~","%7E"),"*","%2A"),"?","%3F"),'Rules'!$G$7:$G$26,0)),""))</x:f>
      </x:c>
      <x:c r="I1387" s="6" t="str">
        <x:f>IF(AND(NOT(COUNTA(A1387:F1387)=0),K1387=""),ROUND(J1387-D1387,3),"")</x:f>
      </x:c>
      <x:c r="J1387" s="6" t="str">
        <x:f>IF(AND(NOT(COUNTA(A1387:F1387)=0),K1387=""),ROUND(F1387+L1387,3),"")</x:f>
      </x:c>
      <x:c r="K1387" s="5" t="str">
        <x:f>IF(COUNTA(A1387:F1387)=0,"",IF(A1387="","Missing equipment ID",IF(COUNTIFS($N$8:$N$2007,"="&amp;N1387)&gt;1,"Duplicate equipment ID",IF(B1387="","Missing type",IF(COUNTIFS('Rules'!$G$7:$G$26,"="&amp;(SUBSTITUTE(SUBSTITUTE(SUBSTITUTE(SUBSTITUTE("type:"&amp;B1387,"%","%25"),"~","%7E"),"*","%2A"),"?","%3F")))=0,"Unknown type",IF(COUNTIFS('Rules'!$G$7:$G$26,"="&amp;(SUBSTITUTE(SUBSTITUTE(SUBSTITUTE(SUBSTITUTE("type:"&amp;B1387,"%","%25"),"~","%7E"),"*","%2A"),"?","%3F")))&gt;1,"Duplicate type",IF(INDEX('Rules'!$F$7:$F$26,MATCH(SUBSTITUTE(SUBSTITUTE(SUBSTITUTE(SUBSTITUTE("type:"&amp;B1387,"%","%25"),"~","%7E"),"*","%2A"),"?","%3F"),'Rules'!$G$7:$G$26,0))&lt;&gt;"",INDEX('Rules'!$F$7:$F$26,MATCH(SUBSTITUTE(SUBSTITUTE(SUBSTITUTE(SUBSTITUTE("type:"&amp;B1387,"%","%25"),"~","%7E"),"*","%2A"),"?","%3F"),'Rules'!$G$7:$G$26,0)),IF(AND(C1387&lt;&gt;"",C1387&lt;&gt;INDEX('Rules'!$B$7:$B$26,MATCH(SUBSTITUTE(SUBSTITUTE(SUBSTITUTE(SUBSTITUTE("type:"&amp;B1387,"%","%25"),"~","%7E"),"*","%2A"),"?","%3F"),'Rules'!$G$7:$G$26,0))),"Unit mismatch",IF(IF(NOT(ISNUMBER(D1387)),TRUE,OR(D1387&lt;0,D1387&gt;999999999,ROUND(D1387,3)&lt;&gt;D1387)),"Invalid current reading",IF(AND(E1387&lt;&gt;"",IF(NOT(ISNUMBER(E1387)),TRUE,OR(E1387&lt;0,E1387&gt;999999999,ROUND(E1387,3)&lt;&gt;E1387))),"Invalid previous reading",IF(IF(NOT(ISNUMBER(F1387)),TRUE,OR(F1387&lt;0,F1387&gt;999999999,ROUND(F1387,3)&lt;&gt;F1387)),"Invalid last service",IF(AND(E1387&lt;&gt;"",D1387&lt;E1387),"Decreased reading",IF(F1387&gt;D1387,"Last service above current","")))))))))))))</x:f>
      </x:c>
      <x:c r="L1387" s="6" t="str">
        <x:f>IF(AND(NOT(COUNTA(A1387:F1387)=0),K1387=""),INDEX('Rules'!$C$7:$C$26,MATCH(SUBSTITUTE(SUBSTITUTE(SUBSTITUTE(SUBSTITUTE("type:"&amp;B1387,"%","%25"),"~","%7E"),"*","%2A"),"?","%3F"),'Rules'!$G$7:$G$26,0)),"")</x:f>
      </x:c>
      <x:c r="M1387" s="6" t="str">
        <x:f>IF(AND(NOT(COUNTA(A1387:F1387)=0),K1387=""),INDEX('Rules'!$D$7:$D$26,MATCH(SUBSTITUTE(SUBSTITUTE(SUBSTITUTE(SUBSTITUTE("type:"&amp;B1387,"%","%25"),"~","%7E"),"*","%2A"),"?","%3F"),'Rules'!$G$7:$G$26,0)),"")</x:f>
      </x:c>
      <x:c r="N1387" s="5" t="str">
        <x:f>IF(COUNTA(A1387:F1387)=0,"",SUBSTITUTE(SUBSTITUTE(SUBSTITUTE(SUBSTITUTE("id:"&amp;A1387,"%","%25"),"~","%7E"),"*","%2A"),"?","%3F"))</x:f>
      </x:c>
    </x:row>
    <x:row r="1388" ht="22" customHeight="1">
      <x:c r="A1388" s="3"/>
      <x:c r="B1388" s="3"/>
      <x:c r="C1388" s="3"/>
      <x:c r="D1388" s="4"/>
      <x:c r="E1388" s="4"/>
      <x:c r="F1388" s="4"/>
      <x:c r="G1388" s="5" t="str">
        <x:f>IF(COUNTA(A1388:F1388)=0,"",IF(K1388&lt;&gt;"","Review",IF(I1388&lt;0,"Overdue",IF(I1388=0,"Due now",IF(I1388&lt;=M1388,"Due soon","Not due")))))</x:f>
      </x:c>
      <x:c r="H1388" s="5" t="str">
        <x:f>IF(OR(COUNTA(A1388:F1388)=0,COUNTIFS('Rules'!$G$7:$G$26,"="&amp;(SUBSTITUTE(SUBSTITUTE(SUBSTITUTE(SUBSTITUTE("type:"&amp;B1388,"%","%25"),"~","%7E"),"*","%2A"),"?","%3F")))&lt;&gt;1),"",IF(OR(INDEX('Rules'!$B$7:$B$26,MATCH(SUBSTITUTE(SUBSTITUTE(SUBSTITUTE(SUBSTITUTE("type:"&amp;B1388,"%","%25"),"~","%7E"),"*","%2A"),"?","%3F"),'Rules'!$G$7:$G$26,0))="hours",INDEX('Rules'!$B$7:$B$26,MATCH(SUBSTITUTE(SUBSTITUTE(SUBSTITUTE(SUBSTITUTE("type:"&amp;B1388,"%","%25"),"~","%7E"),"*","%2A"),"?","%3F"),'Rules'!$G$7:$G$26,0))="km"),INDEX('Rules'!$B$7:$B$26,MATCH(SUBSTITUTE(SUBSTITUTE(SUBSTITUTE(SUBSTITUTE("type:"&amp;B1388,"%","%25"),"~","%7E"),"*","%2A"),"?","%3F"),'Rules'!$G$7:$G$26,0)),""))</x:f>
      </x:c>
      <x:c r="I1388" s="6" t="str">
        <x:f>IF(AND(NOT(COUNTA(A1388:F1388)=0),K1388=""),ROUND(J1388-D1388,3),"")</x:f>
      </x:c>
      <x:c r="J1388" s="6" t="str">
        <x:f>IF(AND(NOT(COUNTA(A1388:F1388)=0),K1388=""),ROUND(F1388+L1388,3),"")</x:f>
      </x:c>
      <x:c r="K1388" s="5" t="str">
        <x:f>IF(COUNTA(A1388:F1388)=0,"",IF(A1388="","Missing equipment ID",IF(COUNTIFS($N$8:$N$2007,"="&amp;N1388)&gt;1,"Duplicate equipment ID",IF(B1388="","Missing type",IF(COUNTIFS('Rules'!$G$7:$G$26,"="&amp;(SUBSTITUTE(SUBSTITUTE(SUBSTITUTE(SUBSTITUTE("type:"&amp;B1388,"%","%25"),"~","%7E"),"*","%2A"),"?","%3F")))=0,"Unknown type",IF(COUNTIFS('Rules'!$G$7:$G$26,"="&amp;(SUBSTITUTE(SUBSTITUTE(SUBSTITUTE(SUBSTITUTE("type:"&amp;B1388,"%","%25"),"~","%7E"),"*","%2A"),"?","%3F")))&gt;1,"Duplicate type",IF(INDEX('Rules'!$F$7:$F$26,MATCH(SUBSTITUTE(SUBSTITUTE(SUBSTITUTE(SUBSTITUTE("type:"&amp;B1388,"%","%25"),"~","%7E"),"*","%2A"),"?","%3F"),'Rules'!$G$7:$G$26,0))&lt;&gt;"",INDEX('Rules'!$F$7:$F$26,MATCH(SUBSTITUTE(SUBSTITUTE(SUBSTITUTE(SUBSTITUTE("type:"&amp;B1388,"%","%25"),"~","%7E"),"*","%2A"),"?","%3F"),'Rules'!$G$7:$G$26,0)),IF(AND(C1388&lt;&gt;"",C1388&lt;&gt;INDEX('Rules'!$B$7:$B$26,MATCH(SUBSTITUTE(SUBSTITUTE(SUBSTITUTE(SUBSTITUTE("type:"&amp;B1388,"%","%25"),"~","%7E"),"*","%2A"),"?","%3F"),'Rules'!$G$7:$G$26,0))),"Unit mismatch",IF(IF(NOT(ISNUMBER(D1388)),TRUE,OR(D1388&lt;0,D1388&gt;999999999,ROUND(D1388,3)&lt;&gt;D1388)),"Invalid current reading",IF(AND(E1388&lt;&gt;"",IF(NOT(ISNUMBER(E1388)),TRUE,OR(E1388&lt;0,E1388&gt;999999999,ROUND(E1388,3)&lt;&gt;E1388))),"Invalid previous reading",IF(IF(NOT(ISNUMBER(F1388)),TRUE,OR(F1388&lt;0,F1388&gt;999999999,ROUND(F1388,3)&lt;&gt;F1388)),"Invalid last service",IF(AND(E1388&lt;&gt;"",D1388&lt;E1388),"Decreased reading",IF(F1388&gt;D1388,"Last service above current","")))))))))))))</x:f>
      </x:c>
      <x:c r="L1388" s="6" t="str">
        <x:f>IF(AND(NOT(COUNTA(A1388:F1388)=0),K1388=""),INDEX('Rules'!$C$7:$C$26,MATCH(SUBSTITUTE(SUBSTITUTE(SUBSTITUTE(SUBSTITUTE("type:"&amp;B1388,"%","%25"),"~","%7E"),"*","%2A"),"?","%3F"),'Rules'!$G$7:$G$26,0)),"")</x:f>
      </x:c>
      <x:c r="M1388" s="6" t="str">
        <x:f>IF(AND(NOT(COUNTA(A1388:F1388)=0),K1388=""),INDEX('Rules'!$D$7:$D$26,MATCH(SUBSTITUTE(SUBSTITUTE(SUBSTITUTE(SUBSTITUTE("type:"&amp;B1388,"%","%25"),"~","%7E"),"*","%2A"),"?","%3F"),'Rules'!$G$7:$G$26,0)),"")</x:f>
      </x:c>
      <x:c r="N1388" s="5" t="str">
        <x:f>IF(COUNTA(A1388:F1388)=0,"",SUBSTITUTE(SUBSTITUTE(SUBSTITUTE(SUBSTITUTE("id:"&amp;A1388,"%","%25"),"~","%7E"),"*","%2A"),"?","%3F"))</x:f>
      </x:c>
    </x:row>
    <x:row r="1389" ht="22" customHeight="1">
      <x:c r="A1389" s="3"/>
      <x:c r="B1389" s="3"/>
      <x:c r="C1389" s="3"/>
      <x:c r="D1389" s="4"/>
      <x:c r="E1389" s="4"/>
      <x:c r="F1389" s="4"/>
      <x:c r="G1389" s="5" t="str">
        <x:f>IF(COUNTA(A1389:F1389)=0,"",IF(K1389&lt;&gt;"","Review",IF(I1389&lt;0,"Overdue",IF(I1389=0,"Due now",IF(I1389&lt;=M1389,"Due soon","Not due")))))</x:f>
      </x:c>
      <x:c r="H1389" s="5" t="str">
        <x:f>IF(OR(COUNTA(A1389:F1389)=0,COUNTIFS('Rules'!$G$7:$G$26,"="&amp;(SUBSTITUTE(SUBSTITUTE(SUBSTITUTE(SUBSTITUTE("type:"&amp;B1389,"%","%25"),"~","%7E"),"*","%2A"),"?","%3F")))&lt;&gt;1),"",IF(OR(INDEX('Rules'!$B$7:$B$26,MATCH(SUBSTITUTE(SUBSTITUTE(SUBSTITUTE(SUBSTITUTE("type:"&amp;B1389,"%","%25"),"~","%7E"),"*","%2A"),"?","%3F"),'Rules'!$G$7:$G$26,0))="hours",INDEX('Rules'!$B$7:$B$26,MATCH(SUBSTITUTE(SUBSTITUTE(SUBSTITUTE(SUBSTITUTE("type:"&amp;B1389,"%","%25"),"~","%7E"),"*","%2A"),"?","%3F"),'Rules'!$G$7:$G$26,0))="km"),INDEX('Rules'!$B$7:$B$26,MATCH(SUBSTITUTE(SUBSTITUTE(SUBSTITUTE(SUBSTITUTE("type:"&amp;B1389,"%","%25"),"~","%7E"),"*","%2A"),"?","%3F"),'Rules'!$G$7:$G$26,0)),""))</x:f>
      </x:c>
      <x:c r="I1389" s="6" t="str">
        <x:f>IF(AND(NOT(COUNTA(A1389:F1389)=0),K1389=""),ROUND(J1389-D1389,3),"")</x:f>
      </x:c>
      <x:c r="J1389" s="6" t="str">
        <x:f>IF(AND(NOT(COUNTA(A1389:F1389)=0),K1389=""),ROUND(F1389+L1389,3),"")</x:f>
      </x:c>
      <x:c r="K1389" s="5" t="str">
        <x:f>IF(COUNTA(A1389:F1389)=0,"",IF(A1389="","Missing equipment ID",IF(COUNTIFS($N$8:$N$2007,"="&amp;N1389)&gt;1,"Duplicate equipment ID",IF(B1389="","Missing type",IF(COUNTIFS('Rules'!$G$7:$G$26,"="&amp;(SUBSTITUTE(SUBSTITUTE(SUBSTITUTE(SUBSTITUTE("type:"&amp;B1389,"%","%25"),"~","%7E"),"*","%2A"),"?","%3F")))=0,"Unknown type",IF(COUNTIFS('Rules'!$G$7:$G$26,"="&amp;(SUBSTITUTE(SUBSTITUTE(SUBSTITUTE(SUBSTITUTE("type:"&amp;B1389,"%","%25"),"~","%7E"),"*","%2A"),"?","%3F")))&gt;1,"Duplicate type",IF(INDEX('Rules'!$F$7:$F$26,MATCH(SUBSTITUTE(SUBSTITUTE(SUBSTITUTE(SUBSTITUTE("type:"&amp;B1389,"%","%25"),"~","%7E"),"*","%2A"),"?","%3F"),'Rules'!$G$7:$G$26,0))&lt;&gt;"",INDEX('Rules'!$F$7:$F$26,MATCH(SUBSTITUTE(SUBSTITUTE(SUBSTITUTE(SUBSTITUTE("type:"&amp;B1389,"%","%25"),"~","%7E"),"*","%2A"),"?","%3F"),'Rules'!$G$7:$G$26,0)),IF(AND(C1389&lt;&gt;"",C1389&lt;&gt;INDEX('Rules'!$B$7:$B$26,MATCH(SUBSTITUTE(SUBSTITUTE(SUBSTITUTE(SUBSTITUTE("type:"&amp;B1389,"%","%25"),"~","%7E"),"*","%2A"),"?","%3F"),'Rules'!$G$7:$G$26,0))),"Unit mismatch",IF(IF(NOT(ISNUMBER(D1389)),TRUE,OR(D1389&lt;0,D1389&gt;999999999,ROUND(D1389,3)&lt;&gt;D1389)),"Invalid current reading",IF(AND(E1389&lt;&gt;"",IF(NOT(ISNUMBER(E1389)),TRUE,OR(E1389&lt;0,E1389&gt;999999999,ROUND(E1389,3)&lt;&gt;E1389))),"Invalid previous reading",IF(IF(NOT(ISNUMBER(F1389)),TRUE,OR(F1389&lt;0,F1389&gt;999999999,ROUND(F1389,3)&lt;&gt;F1389)),"Invalid last service",IF(AND(E1389&lt;&gt;"",D1389&lt;E1389),"Decreased reading",IF(F1389&gt;D1389,"Last service above current","")))))))))))))</x:f>
      </x:c>
      <x:c r="L1389" s="6" t="str">
        <x:f>IF(AND(NOT(COUNTA(A1389:F1389)=0),K1389=""),INDEX('Rules'!$C$7:$C$26,MATCH(SUBSTITUTE(SUBSTITUTE(SUBSTITUTE(SUBSTITUTE("type:"&amp;B1389,"%","%25"),"~","%7E"),"*","%2A"),"?","%3F"),'Rules'!$G$7:$G$26,0)),"")</x:f>
      </x:c>
      <x:c r="M1389" s="6" t="str">
        <x:f>IF(AND(NOT(COUNTA(A1389:F1389)=0),K1389=""),INDEX('Rules'!$D$7:$D$26,MATCH(SUBSTITUTE(SUBSTITUTE(SUBSTITUTE(SUBSTITUTE("type:"&amp;B1389,"%","%25"),"~","%7E"),"*","%2A"),"?","%3F"),'Rules'!$G$7:$G$26,0)),"")</x:f>
      </x:c>
      <x:c r="N1389" s="5" t="str">
        <x:f>IF(COUNTA(A1389:F1389)=0,"",SUBSTITUTE(SUBSTITUTE(SUBSTITUTE(SUBSTITUTE("id:"&amp;A1389,"%","%25"),"~","%7E"),"*","%2A"),"?","%3F"))</x:f>
      </x:c>
    </x:row>
    <x:row r="1390" ht="22" customHeight="1">
      <x:c r="A1390" s="3"/>
      <x:c r="B1390" s="3"/>
      <x:c r="C1390" s="3"/>
      <x:c r="D1390" s="4"/>
      <x:c r="E1390" s="4"/>
      <x:c r="F1390" s="4"/>
      <x:c r="G1390" s="5" t="str">
        <x:f>IF(COUNTA(A1390:F1390)=0,"",IF(K1390&lt;&gt;"","Review",IF(I1390&lt;0,"Overdue",IF(I1390=0,"Due now",IF(I1390&lt;=M1390,"Due soon","Not due")))))</x:f>
      </x:c>
      <x:c r="H1390" s="5" t="str">
        <x:f>IF(OR(COUNTA(A1390:F1390)=0,COUNTIFS('Rules'!$G$7:$G$26,"="&amp;(SUBSTITUTE(SUBSTITUTE(SUBSTITUTE(SUBSTITUTE("type:"&amp;B1390,"%","%25"),"~","%7E"),"*","%2A"),"?","%3F")))&lt;&gt;1),"",IF(OR(INDEX('Rules'!$B$7:$B$26,MATCH(SUBSTITUTE(SUBSTITUTE(SUBSTITUTE(SUBSTITUTE("type:"&amp;B1390,"%","%25"),"~","%7E"),"*","%2A"),"?","%3F"),'Rules'!$G$7:$G$26,0))="hours",INDEX('Rules'!$B$7:$B$26,MATCH(SUBSTITUTE(SUBSTITUTE(SUBSTITUTE(SUBSTITUTE("type:"&amp;B1390,"%","%25"),"~","%7E"),"*","%2A"),"?","%3F"),'Rules'!$G$7:$G$26,0))="km"),INDEX('Rules'!$B$7:$B$26,MATCH(SUBSTITUTE(SUBSTITUTE(SUBSTITUTE(SUBSTITUTE("type:"&amp;B1390,"%","%25"),"~","%7E"),"*","%2A"),"?","%3F"),'Rules'!$G$7:$G$26,0)),""))</x:f>
      </x:c>
      <x:c r="I1390" s="6" t="str">
        <x:f>IF(AND(NOT(COUNTA(A1390:F1390)=0),K1390=""),ROUND(J1390-D1390,3),"")</x:f>
      </x:c>
      <x:c r="J1390" s="6" t="str">
        <x:f>IF(AND(NOT(COUNTA(A1390:F1390)=0),K1390=""),ROUND(F1390+L1390,3),"")</x:f>
      </x:c>
      <x:c r="K1390" s="5" t="str">
        <x:f>IF(COUNTA(A1390:F1390)=0,"",IF(A1390="","Missing equipment ID",IF(COUNTIFS($N$8:$N$2007,"="&amp;N1390)&gt;1,"Duplicate equipment ID",IF(B1390="","Missing type",IF(COUNTIFS('Rules'!$G$7:$G$26,"="&amp;(SUBSTITUTE(SUBSTITUTE(SUBSTITUTE(SUBSTITUTE("type:"&amp;B1390,"%","%25"),"~","%7E"),"*","%2A"),"?","%3F")))=0,"Unknown type",IF(COUNTIFS('Rules'!$G$7:$G$26,"="&amp;(SUBSTITUTE(SUBSTITUTE(SUBSTITUTE(SUBSTITUTE("type:"&amp;B1390,"%","%25"),"~","%7E"),"*","%2A"),"?","%3F")))&gt;1,"Duplicate type",IF(INDEX('Rules'!$F$7:$F$26,MATCH(SUBSTITUTE(SUBSTITUTE(SUBSTITUTE(SUBSTITUTE("type:"&amp;B1390,"%","%25"),"~","%7E"),"*","%2A"),"?","%3F"),'Rules'!$G$7:$G$26,0))&lt;&gt;"",INDEX('Rules'!$F$7:$F$26,MATCH(SUBSTITUTE(SUBSTITUTE(SUBSTITUTE(SUBSTITUTE("type:"&amp;B1390,"%","%25"),"~","%7E"),"*","%2A"),"?","%3F"),'Rules'!$G$7:$G$26,0)),IF(AND(C1390&lt;&gt;"",C1390&lt;&gt;INDEX('Rules'!$B$7:$B$26,MATCH(SUBSTITUTE(SUBSTITUTE(SUBSTITUTE(SUBSTITUTE("type:"&amp;B1390,"%","%25"),"~","%7E"),"*","%2A"),"?","%3F"),'Rules'!$G$7:$G$26,0))),"Unit mismatch",IF(IF(NOT(ISNUMBER(D1390)),TRUE,OR(D1390&lt;0,D1390&gt;999999999,ROUND(D1390,3)&lt;&gt;D1390)),"Invalid current reading",IF(AND(E1390&lt;&gt;"",IF(NOT(ISNUMBER(E1390)),TRUE,OR(E1390&lt;0,E1390&gt;999999999,ROUND(E1390,3)&lt;&gt;E1390))),"Invalid previous reading",IF(IF(NOT(ISNUMBER(F1390)),TRUE,OR(F1390&lt;0,F1390&gt;999999999,ROUND(F1390,3)&lt;&gt;F1390)),"Invalid last service",IF(AND(E1390&lt;&gt;"",D1390&lt;E1390),"Decreased reading",IF(F1390&gt;D1390,"Last service above current","")))))))))))))</x:f>
      </x:c>
      <x:c r="L1390" s="6" t="str">
        <x:f>IF(AND(NOT(COUNTA(A1390:F1390)=0),K1390=""),INDEX('Rules'!$C$7:$C$26,MATCH(SUBSTITUTE(SUBSTITUTE(SUBSTITUTE(SUBSTITUTE("type:"&amp;B1390,"%","%25"),"~","%7E"),"*","%2A"),"?","%3F"),'Rules'!$G$7:$G$26,0)),"")</x:f>
      </x:c>
      <x:c r="M1390" s="6" t="str">
        <x:f>IF(AND(NOT(COUNTA(A1390:F1390)=0),K1390=""),INDEX('Rules'!$D$7:$D$26,MATCH(SUBSTITUTE(SUBSTITUTE(SUBSTITUTE(SUBSTITUTE("type:"&amp;B1390,"%","%25"),"~","%7E"),"*","%2A"),"?","%3F"),'Rules'!$G$7:$G$26,0)),"")</x:f>
      </x:c>
      <x:c r="N1390" s="5" t="str">
        <x:f>IF(COUNTA(A1390:F1390)=0,"",SUBSTITUTE(SUBSTITUTE(SUBSTITUTE(SUBSTITUTE("id:"&amp;A1390,"%","%25"),"~","%7E"),"*","%2A"),"?","%3F"))</x:f>
      </x:c>
    </x:row>
    <x:row r="1391" ht="22" customHeight="1">
      <x:c r="A1391" s="3"/>
      <x:c r="B1391" s="3"/>
      <x:c r="C1391" s="3"/>
      <x:c r="D1391" s="4"/>
      <x:c r="E1391" s="4"/>
      <x:c r="F1391" s="4"/>
      <x:c r="G1391" s="5" t="str">
        <x:f>IF(COUNTA(A1391:F1391)=0,"",IF(K1391&lt;&gt;"","Review",IF(I1391&lt;0,"Overdue",IF(I1391=0,"Due now",IF(I1391&lt;=M1391,"Due soon","Not due")))))</x:f>
      </x:c>
      <x:c r="H1391" s="5" t="str">
        <x:f>IF(OR(COUNTA(A1391:F1391)=0,COUNTIFS('Rules'!$G$7:$G$26,"="&amp;(SUBSTITUTE(SUBSTITUTE(SUBSTITUTE(SUBSTITUTE("type:"&amp;B1391,"%","%25"),"~","%7E"),"*","%2A"),"?","%3F")))&lt;&gt;1),"",IF(OR(INDEX('Rules'!$B$7:$B$26,MATCH(SUBSTITUTE(SUBSTITUTE(SUBSTITUTE(SUBSTITUTE("type:"&amp;B1391,"%","%25"),"~","%7E"),"*","%2A"),"?","%3F"),'Rules'!$G$7:$G$26,0))="hours",INDEX('Rules'!$B$7:$B$26,MATCH(SUBSTITUTE(SUBSTITUTE(SUBSTITUTE(SUBSTITUTE("type:"&amp;B1391,"%","%25"),"~","%7E"),"*","%2A"),"?","%3F"),'Rules'!$G$7:$G$26,0))="km"),INDEX('Rules'!$B$7:$B$26,MATCH(SUBSTITUTE(SUBSTITUTE(SUBSTITUTE(SUBSTITUTE("type:"&amp;B1391,"%","%25"),"~","%7E"),"*","%2A"),"?","%3F"),'Rules'!$G$7:$G$26,0)),""))</x:f>
      </x:c>
      <x:c r="I1391" s="6" t="str">
        <x:f>IF(AND(NOT(COUNTA(A1391:F1391)=0),K1391=""),ROUND(J1391-D1391,3),"")</x:f>
      </x:c>
      <x:c r="J1391" s="6" t="str">
        <x:f>IF(AND(NOT(COUNTA(A1391:F1391)=0),K1391=""),ROUND(F1391+L1391,3),"")</x:f>
      </x:c>
      <x:c r="K1391" s="5" t="str">
        <x:f>IF(COUNTA(A1391:F1391)=0,"",IF(A1391="","Missing equipment ID",IF(COUNTIFS($N$8:$N$2007,"="&amp;N1391)&gt;1,"Duplicate equipment ID",IF(B1391="","Missing type",IF(COUNTIFS('Rules'!$G$7:$G$26,"="&amp;(SUBSTITUTE(SUBSTITUTE(SUBSTITUTE(SUBSTITUTE("type:"&amp;B1391,"%","%25"),"~","%7E"),"*","%2A"),"?","%3F")))=0,"Unknown type",IF(COUNTIFS('Rules'!$G$7:$G$26,"="&amp;(SUBSTITUTE(SUBSTITUTE(SUBSTITUTE(SUBSTITUTE("type:"&amp;B1391,"%","%25"),"~","%7E"),"*","%2A"),"?","%3F")))&gt;1,"Duplicate type",IF(INDEX('Rules'!$F$7:$F$26,MATCH(SUBSTITUTE(SUBSTITUTE(SUBSTITUTE(SUBSTITUTE("type:"&amp;B1391,"%","%25"),"~","%7E"),"*","%2A"),"?","%3F"),'Rules'!$G$7:$G$26,0))&lt;&gt;"",INDEX('Rules'!$F$7:$F$26,MATCH(SUBSTITUTE(SUBSTITUTE(SUBSTITUTE(SUBSTITUTE("type:"&amp;B1391,"%","%25"),"~","%7E"),"*","%2A"),"?","%3F"),'Rules'!$G$7:$G$26,0)),IF(AND(C1391&lt;&gt;"",C1391&lt;&gt;INDEX('Rules'!$B$7:$B$26,MATCH(SUBSTITUTE(SUBSTITUTE(SUBSTITUTE(SUBSTITUTE("type:"&amp;B1391,"%","%25"),"~","%7E"),"*","%2A"),"?","%3F"),'Rules'!$G$7:$G$26,0))),"Unit mismatch",IF(IF(NOT(ISNUMBER(D1391)),TRUE,OR(D1391&lt;0,D1391&gt;999999999,ROUND(D1391,3)&lt;&gt;D1391)),"Invalid current reading",IF(AND(E1391&lt;&gt;"",IF(NOT(ISNUMBER(E1391)),TRUE,OR(E1391&lt;0,E1391&gt;999999999,ROUND(E1391,3)&lt;&gt;E1391))),"Invalid previous reading",IF(IF(NOT(ISNUMBER(F1391)),TRUE,OR(F1391&lt;0,F1391&gt;999999999,ROUND(F1391,3)&lt;&gt;F1391)),"Invalid last service",IF(AND(E1391&lt;&gt;"",D1391&lt;E1391),"Decreased reading",IF(F1391&gt;D1391,"Last service above current","")))))))))))))</x:f>
      </x:c>
      <x:c r="L1391" s="6" t="str">
        <x:f>IF(AND(NOT(COUNTA(A1391:F1391)=0),K1391=""),INDEX('Rules'!$C$7:$C$26,MATCH(SUBSTITUTE(SUBSTITUTE(SUBSTITUTE(SUBSTITUTE("type:"&amp;B1391,"%","%25"),"~","%7E"),"*","%2A"),"?","%3F"),'Rules'!$G$7:$G$26,0)),"")</x:f>
      </x:c>
      <x:c r="M1391" s="6" t="str">
        <x:f>IF(AND(NOT(COUNTA(A1391:F1391)=0),K1391=""),INDEX('Rules'!$D$7:$D$26,MATCH(SUBSTITUTE(SUBSTITUTE(SUBSTITUTE(SUBSTITUTE("type:"&amp;B1391,"%","%25"),"~","%7E"),"*","%2A"),"?","%3F"),'Rules'!$G$7:$G$26,0)),"")</x:f>
      </x:c>
      <x:c r="N1391" s="5" t="str">
        <x:f>IF(COUNTA(A1391:F1391)=0,"",SUBSTITUTE(SUBSTITUTE(SUBSTITUTE(SUBSTITUTE("id:"&amp;A1391,"%","%25"),"~","%7E"),"*","%2A"),"?","%3F"))</x:f>
      </x:c>
    </x:row>
    <x:row r="1392" ht="22" customHeight="1">
      <x:c r="A1392" s="3"/>
      <x:c r="B1392" s="3"/>
      <x:c r="C1392" s="3"/>
      <x:c r="D1392" s="4"/>
      <x:c r="E1392" s="4"/>
      <x:c r="F1392" s="4"/>
      <x:c r="G1392" s="5" t="str">
        <x:f>IF(COUNTA(A1392:F1392)=0,"",IF(K1392&lt;&gt;"","Review",IF(I1392&lt;0,"Overdue",IF(I1392=0,"Due now",IF(I1392&lt;=M1392,"Due soon","Not due")))))</x:f>
      </x:c>
      <x:c r="H1392" s="5" t="str">
        <x:f>IF(OR(COUNTA(A1392:F1392)=0,COUNTIFS('Rules'!$G$7:$G$26,"="&amp;(SUBSTITUTE(SUBSTITUTE(SUBSTITUTE(SUBSTITUTE("type:"&amp;B1392,"%","%25"),"~","%7E"),"*","%2A"),"?","%3F")))&lt;&gt;1),"",IF(OR(INDEX('Rules'!$B$7:$B$26,MATCH(SUBSTITUTE(SUBSTITUTE(SUBSTITUTE(SUBSTITUTE("type:"&amp;B1392,"%","%25"),"~","%7E"),"*","%2A"),"?","%3F"),'Rules'!$G$7:$G$26,0))="hours",INDEX('Rules'!$B$7:$B$26,MATCH(SUBSTITUTE(SUBSTITUTE(SUBSTITUTE(SUBSTITUTE("type:"&amp;B1392,"%","%25"),"~","%7E"),"*","%2A"),"?","%3F"),'Rules'!$G$7:$G$26,0))="km"),INDEX('Rules'!$B$7:$B$26,MATCH(SUBSTITUTE(SUBSTITUTE(SUBSTITUTE(SUBSTITUTE("type:"&amp;B1392,"%","%25"),"~","%7E"),"*","%2A"),"?","%3F"),'Rules'!$G$7:$G$26,0)),""))</x:f>
      </x:c>
      <x:c r="I1392" s="6" t="str">
        <x:f>IF(AND(NOT(COUNTA(A1392:F1392)=0),K1392=""),ROUND(J1392-D1392,3),"")</x:f>
      </x:c>
      <x:c r="J1392" s="6" t="str">
        <x:f>IF(AND(NOT(COUNTA(A1392:F1392)=0),K1392=""),ROUND(F1392+L1392,3),"")</x:f>
      </x:c>
      <x:c r="K1392" s="5" t="str">
        <x:f>IF(COUNTA(A1392:F1392)=0,"",IF(A1392="","Missing equipment ID",IF(COUNTIFS($N$8:$N$2007,"="&amp;N1392)&gt;1,"Duplicate equipment ID",IF(B1392="","Missing type",IF(COUNTIFS('Rules'!$G$7:$G$26,"="&amp;(SUBSTITUTE(SUBSTITUTE(SUBSTITUTE(SUBSTITUTE("type:"&amp;B1392,"%","%25"),"~","%7E"),"*","%2A"),"?","%3F")))=0,"Unknown type",IF(COUNTIFS('Rules'!$G$7:$G$26,"="&amp;(SUBSTITUTE(SUBSTITUTE(SUBSTITUTE(SUBSTITUTE("type:"&amp;B1392,"%","%25"),"~","%7E"),"*","%2A"),"?","%3F")))&gt;1,"Duplicate type",IF(INDEX('Rules'!$F$7:$F$26,MATCH(SUBSTITUTE(SUBSTITUTE(SUBSTITUTE(SUBSTITUTE("type:"&amp;B1392,"%","%25"),"~","%7E"),"*","%2A"),"?","%3F"),'Rules'!$G$7:$G$26,0))&lt;&gt;"",INDEX('Rules'!$F$7:$F$26,MATCH(SUBSTITUTE(SUBSTITUTE(SUBSTITUTE(SUBSTITUTE("type:"&amp;B1392,"%","%25"),"~","%7E"),"*","%2A"),"?","%3F"),'Rules'!$G$7:$G$26,0)),IF(AND(C1392&lt;&gt;"",C1392&lt;&gt;INDEX('Rules'!$B$7:$B$26,MATCH(SUBSTITUTE(SUBSTITUTE(SUBSTITUTE(SUBSTITUTE("type:"&amp;B1392,"%","%25"),"~","%7E"),"*","%2A"),"?","%3F"),'Rules'!$G$7:$G$26,0))),"Unit mismatch",IF(IF(NOT(ISNUMBER(D1392)),TRUE,OR(D1392&lt;0,D1392&gt;999999999,ROUND(D1392,3)&lt;&gt;D1392)),"Invalid current reading",IF(AND(E1392&lt;&gt;"",IF(NOT(ISNUMBER(E1392)),TRUE,OR(E1392&lt;0,E1392&gt;999999999,ROUND(E1392,3)&lt;&gt;E1392))),"Invalid previous reading",IF(IF(NOT(ISNUMBER(F1392)),TRUE,OR(F1392&lt;0,F1392&gt;999999999,ROUND(F1392,3)&lt;&gt;F1392)),"Invalid last service",IF(AND(E1392&lt;&gt;"",D1392&lt;E1392),"Decreased reading",IF(F1392&gt;D1392,"Last service above current","")))))))))))))</x:f>
      </x:c>
      <x:c r="L1392" s="6" t="str">
        <x:f>IF(AND(NOT(COUNTA(A1392:F1392)=0),K1392=""),INDEX('Rules'!$C$7:$C$26,MATCH(SUBSTITUTE(SUBSTITUTE(SUBSTITUTE(SUBSTITUTE("type:"&amp;B1392,"%","%25"),"~","%7E"),"*","%2A"),"?","%3F"),'Rules'!$G$7:$G$26,0)),"")</x:f>
      </x:c>
      <x:c r="M1392" s="6" t="str">
        <x:f>IF(AND(NOT(COUNTA(A1392:F1392)=0),K1392=""),INDEX('Rules'!$D$7:$D$26,MATCH(SUBSTITUTE(SUBSTITUTE(SUBSTITUTE(SUBSTITUTE("type:"&amp;B1392,"%","%25"),"~","%7E"),"*","%2A"),"?","%3F"),'Rules'!$G$7:$G$26,0)),"")</x:f>
      </x:c>
      <x:c r="N1392" s="5" t="str">
        <x:f>IF(COUNTA(A1392:F1392)=0,"",SUBSTITUTE(SUBSTITUTE(SUBSTITUTE(SUBSTITUTE("id:"&amp;A1392,"%","%25"),"~","%7E"),"*","%2A"),"?","%3F"))</x:f>
      </x:c>
    </x:row>
    <x:row r="1393" ht="22" customHeight="1">
      <x:c r="A1393" s="3"/>
      <x:c r="B1393" s="3"/>
      <x:c r="C1393" s="3"/>
      <x:c r="D1393" s="4"/>
      <x:c r="E1393" s="4"/>
      <x:c r="F1393" s="4"/>
      <x:c r="G1393" s="5" t="str">
        <x:f>IF(COUNTA(A1393:F1393)=0,"",IF(K1393&lt;&gt;"","Review",IF(I1393&lt;0,"Overdue",IF(I1393=0,"Due now",IF(I1393&lt;=M1393,"Due soon","Not due")))))</x:f>
      </x:c>
      <x:c r="H1393" s="5" t="str">
        <x:f>IF(OR(COUNTA(A1393:F1393)=0,COUNTIFS('Rules'!$G$7:$G$26,"="&amp;(SUBSTITUTE(SUBSTITUTE(SUBSTITUTE(SUBSTITUTE("type:"&amp;B1393,"%","%25"),"~","%7E"),"*","%2A"),"?","%3F")))&lt;&gt;1),"",IF(OR(INDEX('Rules'!$B$7:$B$26,MATCH(SUBSTITUTE(SUBSTITUTE(SUBSTITUTE(SUBSTITUTE("type:"&amp;B1393,"%","%25"),"~","%7E"),"*","%2A"),"?","%3F"),'Rules'!$G$7:$G$26,0))="hours",INDEX('Rules'!$B$7:$B$26,MATCH(SUBSTITUTE(SUBSTITUTE(SUBSTITUTE(SUBSTITUTE("type:"&amp;B1393,"%","%25"),"~","%7E"),"*","%2A"),"?","%3F"),'Rules'!$G$7:$G$26,0))="km"),INDEX('Rules'!$B$7:$B$26,MATCH(SUBSTITUTE(SUBSTITUTE(SUBSTITUTE(SUBSTITUTE("type:"&amp;B1393,"%","%25"),"~","%7E"),"*","%2A"),"?","%3F"),'Rules'!$G$7:$G$26,0)),""))</x:f>
      </x:c>
      <x:c r="I1393" s="6" t="str">
        <x:f>IF(AND(NOT(COUNTA(A1393:F1393)=0),K1393=""),ROUND(J1393-D1393,3),"")</x:f>
      </x:c>
      <x:c r="J1393" s="6" t="str">
        <x:f>IF(AND(NOT(COUNTA(A1393:F1393)=0),K1393=""),ROUND(F1393+L1393,3),"")</x:f>
      </x:c>
      <x:c r="K1393" s="5" t="str">
        <x:f>IF(COUNTA(A1393:F1393)=0,"",IF(A1393="","Missing equipment ID",IF(COUNTIFS($N$8:$N$2007,"="&amp;N1393)&gt;1,"Duplicate equipment ID",IF(B1393="","Missing type",IF(COUNTIFS('Rules'!$G$7:$G$26,"="&amp;(SUBSTITUTE(SUBSTITUTE(SUBSTITUTE(SUBSTITUTE("type:"&amp;B1393,"%","%25"),"~","%7E"),"*","%2A"),"?","%3F")))=0,"Unknown type",IF(COUNTIFS('Rules'!$G$7:$G$26,"="&amp;(SUBSTITUTE(SUBSTITUTE(SUBSTITUTE(SUBSTITUTE("type:"&amp;B1393,"%","%25"),"~","%7E"),"*","%2A"),"?","%3F")))&gt;1,"Duplicate type",IF(INDEX('Rules'!$F$7:$F$26,MATCH(SUBSTITUTE(SUBSTITUTE(SUBSTITUTE(SUBSTITUTE("type:"&amp;B1393,"%","%25"),"~","%7E"),"*","%2A"),"?","%3F"),'Rules'!$G$7:$G$26,0))&lt;&gt;"",INDEX('Rules'!$F$7:$F$26,MATCH(SUBSTITUTE(SUBSTITUTE(SUBSTITUTE(SUBSTITUTE("type:"&amp;B1393,"%","%25"),"~","%7E"),"*","%2A"),"?","%3F"),'Rules'!$G$7:$G$26,0)),IF(AND(C1393&lt;&gt;"",C1393&lt;&gt;INDEX('Rules'!$B$7:$B$26,MATCH(SUBSTITUTE(SUBSTITUTE(SUBSTITUTE(SUBSTITUTE("type:"&amp;B1393,"%","%25"),"~","%7E"),"*","%2A"),"?","%3F"),'Rules'!$G$7:$G$26,0))),"Unit mismatch",IF(IF(NOT(ISNUMBER(D1393)),TRUE,OR(D1393&lt;0,D1393&gt;999999999,ROUND(D1393,3)&lt;&gt;D1393)),"Invalid current reading",IF(AND(E1393&lt;&gt;"",IF(NOT(ISNUMBER(E1393)),TRUE,OR(E1393&lt;0,E1393&gt;999999999,ROUND(E1393,3)&lt;&gt;E1393))),"Invalid previous reading",IF(IF(NOT(ISNUMBER(F1393)),TRUE,OR(F1393&lt;0,F1393&gt;999999999,ROUND(F1393,3)&lt;&gt;F1393)),"Invalid last service",IF(AND(E1393&lt;&gt;"",D1393&lt;E1393),"Decreased reading",IF(F1393&gt;D1393,"Last service above current","")))))))))))))</x:f>
      </x:c>
      <x:c r="L1393" s="6" t="str">
        <x:f>IF(AND(NOT(COUNTA(A1393:F1393)=0),K1393=""),INDEX('Rules'!$C$7:$C$26,MATCH(SUBSTITUTE(SUBSTITUTE(SUBSTITUTE(SUBSTITUTE("type:"&amp;B1393,"%","%25"),"~","%7E"),"*","%2A"),"?","%3F"),'Rules'!$G$7:$G$26,0)),"")</x:f>
      </x:c>
      <x:c r="M1393" s="6" t="str">
        <x:f>IF(AND(NOT(COUNTA(A1393:F1393)=0),K1393=""),INDEX('Rules'!$D$7:$D$26,MATCH(SUBSTITUTE(SUBSTITUTE(SUBSTITUTE(SUBSTITUTE("type:"&amp;B1393,"%","%25"),"~","%7E"),"*","%2A"),"?","%3F"),'Rules'!$G$7:$G$26,0)),"")</x:f>
      </x:c>
      <x:c r="N1393" s="5" t="str">
        <x:f>IF(COUNTA(A1393:F1393)=0,"",SUBSTITUTE(SUBSTITUTE(SUBSTITUTE(SUBSTITUTE("id:"&amp;A1393,"%","%25"),"~","%7E"),"*","%2A"),"?","%3F"))</x:f>
      </x:c>
    </x:row>
    <x:row r="1394" ht="22" customHeight="1">
      <x:c r="A1394" s="3"/>
      <x:c r="B1394" s="3"/>
      <x:c r="C1394" s="3"/>
      <x:c r="D1394" s="4"/>
      <x:c r="E1394" s="4"/>
      <x:c r="F1394" s="4"/>
      <x:c r="G1394" s="5" t="str">
        <x:f>IF(COUNTA(A1394:F1394)=0,"",IF(K1394&lt;&gt;"","Review",IF(I1394&lt;0,"Overdue",IF(I1394=0,"Due now",IF(I1394&lt;=M1394,"Due soon","Not due")))))</x:f>
      </x:c>
      <x:c r="H1394" s="5" t="str">
        <x:f>IF(OR(COUNTA(A1394:F1394)=0,COUNTIFS('Rules'!$G$7:$G$26,"="&amp;(SUBSTITUTE(SUBSTITUTE(SUBSTITUTE(SUBSTITUTE("type:"&amp;B1394,"%","%25"),"~","%7E"),"*","%2A"),"?","%3F")))&lt;&gt;1),"",IF(OR(INDEX('Rules'!$B$7:$B$26,MATCH(SUBSTITUTE(SUBSTITUTE(SUBSTITUTE(SUBSTITUTE("type:"&amp;B1394,"%","%25"),"~","%7E"),"*","%2A"),"?","%3F"),'Rules'!$G$7:$G$26,0))="hours",INDEX('Rules'!$B$7:$B$26,MATCH(SUBSTITUTE(SUBSTITUTE(SUBSTITUTE(SUBSTITUTE("type:"&amp;B1394,"%","%25"),"~","%7E"),"*","%2A"),"?","%3F"),'Rules'!$G$7:$G$26,0))="km"),INDEX('Rules'!$B$7:$B$26,MATCH(SUBSTITUTE(SUBSTITUTE(SUBSTITUTE(SUBSTITUTE("type:"&amp;B1394,"%","%25"),"~","%7E"),"*","%2A"),"?","%3F"),'Rules'!$G$7:$G$26,0)),""))</x:f>
      </x:c>
      <x:c r="I1394" s="6" t="str">
        <x:f>IF(AND(NOT(COUNTA(A1394:F1394)=0),K1394=""),ROUND(J1394-D1394,3),"")</x:f>
      </x:c>
      <x:c r="J1394" s="6" t="str">
        <x:f>IF(AND(NOT(COUNTA(A1394:F1394)=0),K1394=""),ROUND(F1394+L1394,3),"")</x:f>
      </x:c>
      <x:c r="K1394" s="5" t="str">
        <x:f>IF(COUNTA(A1394:F1394)=0,"",IF(A1394="","Missing equipment ID",IF(COUNTIFS($N$8:$N$2007,"="&amp;N1394)&gt;1,"Duplicate equipment ID",IF(B1394="","Missing type",IF(COUNTIFS('Rules'!$G$7:$G$26,"="&amp;(SUBSTITUTE(SUBSTITUTE(SUBSTITUTE(SUBSTITUTE("type:"&amp;B1394,"%","%25"),"~","%7E"),"*","%2A"),"?","%3F")))=0,"Unknown type",IF(COUNTIFS('Rules'!$G$7:$G$26,"="&amp;(SUBSTITUTE(SUBSTITUTE(SUBSTITUTE(SUBSTITUTE("type:"&amp;B1394,"%","%25"),"~","%7E"),"*","%2A"),"?","%3F")))&gt;1,"Duplicate type",IF(INDEX('Rules'!$F$7:$F$26,MATCH(SUBSTITUTE(SUBSTITUTE(SUBSTITUTE(SUBSTITUTE("type:"&amp;B1394,"%","%25"),"~","%7E"),"*","%2A"),"?","%3F"),'Rules'!$G$7:$G$26,0))&lt;&gt;"",INDEX('Rules'!$F$7:$F$26,MATCH(SUBSTITUTE(SUBSTITUTE(SUBSTITUTE(SUBSTITUTE("type:"&amp;B1394,"%","%25"),"~","%7E"),"*","%2A"),"?","%3F"),'Rules'!$G$7:$G$26,0)),IF(AND(C1394&lt;&gt;"",C1394&lt;&gt;INDEX('Rules'!$B$7:$B$26,MATCH(SUBSTITUTE(SUBSTITUTE(SUBSTITUTE(SUBSTITUTE("type:"&amp;B1394,"%","%25"),"~","%7E"),"*","%2A"),"?","%3F"),'Rules'!$G$7:$G$26,0))),"Unit mismatch",IF(IF(NOT(ISNUMBER(D1394)),TRUE,OR(D1394&lt;0,D1394&gt;999999999,ROUND(D1394,3)&lt;&gt;D1394)),"Invalid current reading",IF(AND(E1394&lt;&gt;"",IF(NOT(ISNUMBER(E1394)),TRUE,OR(E1394&lt;0,E1394&gt;999999999,ROUND(E1394,3)&lt;&gt;E1394))),"Invalid previous reading",IF(IF(NOT(ISNUMBER(F1394)),TRUE,OR(F1394&lt;0,F1394&gt;999999999,ROUND(F1394,3)&lt;&gt;F1394)),"Invalid last service",IF(AND(E1394&lt;&gt;"",D1394&lt;E1394),"Decreased reading",IF(F1394&gt;D1394,"Last service above current","")))))))))))))</x:f>
      </x:c>
      <x:c r="L1394" s="6" t="str">
        <x:f>IF(AND(NOT(COUNTA(A1394:F1394)=0),K1394=""),INDEX('Rules'!$C$7:$C$26,MATCH(SUBSTITUTE(SUBSTITUTE(SUBSTITUTE(SUBSTITUTE("type:"&amp;B1394,"%","%25"),"~","%7E"),"*","%2A"),"?","%3F"),'Rules'!$G$7:$G$26,0)),"")</x:f>
      </x:c>
      <x:c r="M1394" s="6" t="str">
        <x:f>IF(AND(NOT(COUNTA(A1394:F1394)=0),K1394=""),INDEX('Rules'!$D$7:$D$26,MATCH(SUBSTITUTE(SUBSTITUTE(SUBSTITUTE(SUBSTITUTE("type:"&amp;B1394,"%","%25"),"~","%7E"),"*","%2A"),"?","%3F"),'Rules'!$G$7:$G$26,0)),"")</x:f>
      </x:c>
      <x:c r="N1394" s="5" t="str">
        <x:f>IF(COUNTA(A1394:F1394)=0,"",SUBSTITUTE(SUBSTITUTE(SUBSTITUTE(SUBSTITUTE("id:"&amp;A1394,"%","%25"),"~","%7E"),"*","%2A"),"?","%3F"))</x:f>
      </x:c>
    </x:row>
    <x:row r="1395" ht="22" customHeight="1">
      <x:c r="A1395" s="3"/>
      <x:c r="B1395" s="3"/>
      <x:c r="C1395" s="3"/>
      <x:c r="D1395" s="4"/>
      <x:c r="E1395" s="4"/>
      <x:c r="F1395" s="4"/>
      <x:c r="G1395" s="5" t="str">
        <x:f>IF(COUNTA(A1395:F1395)=0,"",IF(K1395&lt;&gt;"","Review",IF(I1395&lt;0,"Overdue",IF(I1395=0,"Due now",IF(I1395&lt;=M1395,"Due soon","Not due")))))</x:f>
      </x:c>
      <x:c r="H1395" s="5" t="str">
        <x:f>IF(OR(COUNTA(A1395:F1395)=0,COUNTIFS('Rules'!$G$7:$G$26,"="&amp;(SUBSTITUTE(SUBSTITUTE(SUBSTITUTE(SUBSTITUTE("type:"&amp;B1395,"%","%25"),"~","%7E"),"*","%2A"),"?","%3F")))&lt;&gt;1),"",IF(OR(INDEX('Rules'!$B$7:$B$26,MATCH(SUBSTITUTE(SUBSTITUTE(SUBSTITUTE(SUBSTITUTE("type:"&amp;B1395,"%","%25"),"~","%7E"),"*","%2A"),"?","%3F"),'Rules'!$G$7:$G$26,0))="hours",INDEX('Rules'!$B$7:$B$26,MATCH(SUBSTITUTE(SUBSTITUTE(SUBSTITUTE(SUBSTITUTE("type:"&amp;B1395,"%","%25"),"~","%7E"),"*","%2A"),"?","%3F"),'Rules'!$G$7:$G$26,0))="km"),INDEX('Rules'!$B$7:$B$26,MATCH(SUBSTITUTE(SUBSTITUTE(SUBSTITUTE(SUBSTITUTE("type:"&amp;B1395,"%","%25"),"~","%7E"),"*","%2A"),"?","%3F"),'Rules'!$G$7:$G$26,0)),""))</x:f>
      </x:c>
      <x:c r="I1395" s="6" t="str">
        <x:f>IF(AND(NOT(COUNTA(A1395:F1395)=0),K1395=""),ROUND(J1395-D1395,3),"")</x:f>
      </x:c>
      <x:c r="J1395" s="6" t="str">
        <x:f>IF(AND(NOT(COUNTA(A1395:F1395)=0),K1395=""),ROUND(F1395+L1395,3),"")</x:f>
      </x:c>
      <x:c r="K1395" s="5" t="str">
        <x:f>IF(COUNTA(A1395:F1395)=0,"",IF(A1395="","Missing equipment ID",IF(COUNTIFS($N$8:$N$2007,"="&amp;N1395)&gt;1,"Duplicate equipment ID",IF(B1395="","Missing type",IF(COUNTIFS('Rules'!$G$7:$G$26,"="&amp;(SUBSTITUTE(SUBSTITUTE(SUBSTITUTE(SUBSTITUTE("type:"&amp;B1395,"%","%25"),"~","%7E"),"*","%2A"),"?","%3F")))=0,"Unknown type",IF(COUNTIFS('Rules'!$G$7:$G$26,"="&amp;(SUBSTITUTE(SUBSTITUTE(SUBSTITUTE(SUBSTITUTE("type:"&amp;B1395,"%","%25"),"~","%7E"),"*","%2A"),"?","%3F")))&gt;1,"Duplicate type",IF(INDEX('Rules'!$F$7:$F$26,MATCH(SUBSTITUTE(SUBSTITUTE(SUBSTITUTE(SUBSTITUTE("type:"&amp;B1395,"%","%25"),"~","%7E"),"*","%2A"),"?","%3F"),'Rules'!$G$7:$G$26,0))&lt;&gt;"",INDEX('Rules'!$F$7:$F$26,MATCH(SUBSTITUTE(SUBSTITUTE(SUBSTITUTE(SUBSTITUTE("type:"&amp;B1395,"%","%25"),"~","%7E"),"*","%2A"),"?","%3F"),'Rules'!$G$7:$G$26,0)),IF(AND(C1395&lt;&gt;"",C1395&lt;&gt;INDEX('Rules'!$B$7:$B$26,MATCH(SUBSTITUTE(SUBSTITUTE(SUBSTITUTE(SUBSTITUTE("type:"&amp;B1395,"%","%25"),"~","%7E"),"*","%2A"),"?","%3F"),'Rules'!$G$7:$G$26,0))),"Unit mismatch",IF(IF(NOT(ISNUMBER(D1395)),TRUE,OR(D1395&lt;0,D1395&gt;999999999,ROUND(D1395,3)&lt;&gt;D1395)),"Invalid current reading",IF(AND(E1395&lt;&gt;"",IF(NOT(ISNUMBER(E1395)),TRUE,OR(E1395&lt;0,E1395&gt;999999999,ROUND(E1395,3)&lt;&gt;E1395))),"Invalid previous reading",IF(IF(NOT(ISNUMBER(F1395)),TRUE,OR(F1395&lt;0,F1395&gt;999999999,ROUND(F1395,3)&lt;&gt;F1395)),"Invalid last service",IF(AND(E1395&lt;&gt;"",D1395&lt;E1395),"Decreased reading",IF(F1395&gt;D1395,"Last service above current","")))))))))))))</x:f>
      </x:c>
      <x:c r="L1395" s="6" t="str">
        <x:f>IF(AND(NOT(COUNTA(A1395:F1395)=0),K1395=""),INDEX('Rules'!$C$7:$C$26,MATCH(SUBSTITUTE(SUBSTITUTE(SUBSTITUTE(SUBSTITUTE("type:"&amp;B1395,"%","%25"),"~","%7E"),"*","%2A"),"?","%3F"),'Rules'!$G$7:$G$26,0)),"")</x:f>
      </x:c>
      <x:c r="M1395" s="6" t="str">
        <x:f>IF(AND(NOT(COUNTA(A1395:F1395)=0),K1395=""),INDEX('Rules'!$D$7:$D$26,MATCH(SUBSTITUTE(SUBSTITUTE(SUBSTITUTE(SUBSTITUTE("type:"&amp;B1395,"%","%25"),"~","%7E"),"*","%2A"),"?","%3F"),'Rules'!$G$7:$G$26,0)),"")</x:f>
      </x:c>
      <x:c r="N1395" s="5" t="str">
        <x:f>IF(COUNTA(A1395:F1395)=0,"",SUBSTITUTE(SUBSTITUTE(SUBSTITUTE(SUBSTITUTE("id:"&amp;A1395,"%","%25"),"~","%7E"),"*","%2A"),"?","%3F"))</x:f>
      </x:c>
    </x:row>
    <x:row r="1396" ht="22" customHeight="1">
      <x:c r="A1396" s="3"/>
      <x:c r="B1396" s="3"/>
      <x:c r="C1396" s="3"/>
      <x:c r="D1396" s="4"/>
      <x:c r="E1396" s="4"/>
      <x:c r="F1396" s="4"/>
      <x:c r="G1396" s="5" t="str">
        <x:f>IF(COUNTA(A1396:F1396)=0,"",IF(K1396&lt;&gt;"","Review",IF(I1396&lt;0,"Overdue",IF(I1396=0,"Due now",IF(I1396&lt;=M1396,"Due soon","Not due")))))</x:f>
      </x:c>
      <x:c r="H1396" s="5" t="str">
        <x:f>IF(OR(COUNTA(A1396:F1396)=0,COUNTIFS('Rules'!$G$7:$G$26,"="&amp;(SUBSTITUTE(SUBSTITUTE(SUBSTITUTE(SUBSTITUTE("type:"&amp;B1396,"%","%25"),"~","%7E"),"*","%2A"),"?","%3F")))&lt;&gt;1),"",IF(OR(INDEX('Rules'!$B$7:$B$26,MATCH(SUBSTITUTE(SUBSTITUTE(SUBSTITUTE(SUBSTITUTE("type:"&amp;B1396,"%","%25"),"~","%7E"),"*","%2A"),"?","%3F"),'Rules'!$G$7:$G$26,0))="hours",INDEX('Rules'!$B$7:$B$26,MATCH(SUBSTITUTE(SUBSTITUTE(SUBSTITUTE(SUBSTITUTE("type:"&amp;B1396,"%","%25"),"~","%7E"),"*","%2A"),"?","%3F"),'Rules'!$G$7:$G$26,0))="km"),INDEX('Rules'!$B$7:$B$26,MATCH(SUBSTITUTE(SUBSTITUTE(SUBSTITUTE(SUBSTITUTE("type:"&amp;B1396,"%","%25"),"~","%7E"),"*","%2A"),"?","%3F"),'Rules'!$G$7:$G$26,0)),""))</x:f>
      </x:c>
      <x:c r="I1396" s="6" t="str">
        <x:f>IF(AND(NOT(COUNTA(A1396:F1396)=0),K1396=""),ROUND(J1396-D1396,3),"")</x:f>
      </x:c>
      <x:c r="J1396" s="6" t="str">
        <x:f>IF(AND(NOT(COUNTA(A1396:F1396)=0),K1396=""),ROUND(F1396+L1396,3),"")</x:f>
      </x:c>
      <x:c r="K1396" s="5" t="str">
        <x:f>IF(COUNTA(A1396:F1396)=0,"",IF(A1396="","Missing equipment ID",IF(COUNTIFS($N$8:$N$2007,"="&amp;N1396)&gt;1,"Duplicate equipment ID",IF(B1396="","Missing type",IF(COUNTIFS('Rules'!$G$7:$G$26,"="&amp;(SUBSTITUTE(SUBSTITUTE(SUBSTITUTE(SUBSTITUTE("type:"&amp;B1396,"%","%25"),"~","%7E"),"*","%2A"),"?","%3F")))=0,"Unknown type",IF(COUNTIFS('Rules'!$G$7:$G$26,"="&amp;(SUBSTITUTE(SUBSTITUTE(SUBSTITUTE(SUBSTITUTE("type:"&amp;B1396,"%","%25"),"~","%7E"),"*","%2A"),"?","%3F")))&gt;1,"Duplicate type",IF(INDEX('Rules'!$F$7:$F$26,MATCH(SUBSTITUTE(SUBSTITUTE(SUBSTITUTE(SUBSTITUTE("type:"&amp;B1396,"%","%25"),"~","%7E"),"*","%2A"),"?","%3F"),'Rules'!$G$7:$G$26,0))&lt;&gt;"",INDEX('Rules'!$F$7:$F$26,MATCH(SUBSTITUTE(SUBSTITUTE(SUBSTITUTE(SUBSTITUTE("type:"&amp;B1396,"%","%25"),"~","%7E"),"*","%2A"),"?","%3F"),'Rules'!$G$7:$G$26,0)),IF(AND(C1396&lt;&gt;"",C1396&lt;&gt;INDEX('Rules'!$B$7:$B$26,MATCH(SUBSTITUTE(SUBSTITUTE(SUBSTITUTE(SUBSTITUTE("type:"&amp;B1396,"%","%25"),"~","%7E"),"*","%2A"),"?","%3F"),'Rules'!$G$7:$G$26,0))),"Unit mismatch",IF(IF(NOT(ISNUMBER(D1396)),TRUE,OR(D1396&lt;0,D1396&gt;999999999,ROUND(D1396,3)&lt;&gt;D1396)),"Invalid current reading",IF(AND(E1396&lt;&gt;"",IF(NOT(ISNUMBER(E1396)),TRUE,OR(E1396&lt;0,E1396&gt;999999999,ROUND(E1396,3)&lt;&gt;E1396))),"Invalid previous reading",IF(IF(NOT(ISNUMBER(F1396)),TRUE,OR(F1396&lt;0,F1396&gt;999999999,ROUND(F1396,3)&lt;&gt;F1396)),"Invalid last service",IF(AND(E1396&lt;&gt;"",D1396&lt;E1396),"Decreased reading",IF(F1396&gt;D1396,"Last service above current","")))))))))))))</x:f>
      </x:c>
      <x:c r="L1396" s="6" t="str">
        <x:f>IF(AND(NOT(COUNTA(A1396:F1396)=0),K1396=""),INDEX('Rules'!$C$7:$C$26,MATCH(SUBSTITUTE(SUBSTITUTE(SUBSTITUTE(SUBSTITUTE("type:"&amp;B1396,"%","%25"),"~","%7E"),"*","%2A"),"?","%3F"),'Rules'!$G$7:$G$26,0)),"")</x:f>
      </x:c>
      <x:c r="M1396" s="6" t="str">
        <x:f>IF(AND(NOT(COUNTA(A1396:F1396)=0),K1396=""),INDEX('Rules'!$D$7:$D$26,MATCH(SUBSTITUTE(SUBSTITUTE(SUBSTITUTE(SUBSTITUTE("type:"&amp;B1396,"%","%25"),"~","%7E"),"*","%2A"),"?","%3F"),'Rules'!$G$7:$G$26,0)),"")</x:f>
      </x:c>
      <x:c r="N1396" s="5" t="str">
        <x:f>IF(COUNTA(A1396:F1396)=0,"",SUBSTITUTE(SUBSTITUTE(SUBSTITUTE(SUBSTITUTE("id:"&amp;A1396,"%","%25"),"~","%7E"),"*","%2A"),"?","%3F"))</x:f>
      </x:c>
    </x:row>
    <x:row r="1397" ht="22" customHeight="1">
      <x:c r="A1397" s="3"/>
      <x:c r="B1397" s="3"/>
      <x:c r="C1397" s="3"/>
      <x:c r="D1397" s="4"/>
      <x:c r="E1397" s="4"/>
      <x:c r="F1397" s="4"/>
      <x:c r="G1397" s="5" t="str">
        <x:f>IF(COUNTA(A1397:F1397)=0,"",IF(K1397&lt;&gt;"","Review",IF(I1397&lt;0,"Overdue",IF(I1397=0,"Due now",IF(I1397&lt;=M1397,"Due soon","Not due")))))</x:f>
      </x:c>
      <x:c r="H1397" s="5" t="str">
        <x:f>IF(OR(COUNTA(A1397:F1397)=0,COUNTIFS('Rules'!$G$7:$G$26,"="&amp;(SUBSTITUTE(SUBSTITUTE(SUBSTITUTE(SUBSTITUTE("type:"&amp;B1397,"%","%25"),"~","%7E"),"*","%2A"),"?","%3F")))&lt;&gt;1),"",IF(OR(INDEX('Rules'!$B$7:$B$26,MATCH(SUBSTITUTE(SUBSTITUTE(SUBSTITUTE(SUBSTITUTE("type:"&amp;B1397,"%","%25"),"~","%7E"),"*","%2A"),"?","%3F"),'Rules'!$G$7:$G$26,0))="hours",INDEX('Rules'!$B$7:$B$26,MATCH(SUBSTITUTE(SUBSTITUTE(SUBSTITUTE(SUBSTITUTE("type:"&amp;B1397,"%","%25"),"~","%7E"),"*","%2A"),"?","%3F"),'Rules'!$G$7:$G$26,0))="km"),INDEX('Rules'!$B$7:$B$26,MATCH(SUBSTITUTE(SUBSTITUTE(SUBSTITUTE(SUBSTITUTE("type:"&amp;B1397,"%","%25"),"~","%7E"),"*","%2A"),"?","%3F"),'Rules'!$G$7:$G$26,0)),""))</x:f>
      </x:c>
      <x:c r="I1397" s="6" t="str">
        <x:f>IF(AND(NOT(COUNTA(A1397:F1397)=0),K1397=""),ROUND(J1397-D1397,3),"")</x:f>
      </x:c>
      <x:c r="J1397" s="6" t="str">
        <x:f>IF(AND(NOT(COUNTA(A1397:F1397)=0),K1397=""),ROUND(F1397+L1397,3),"")</x:f>
      </x:c>
      <x:c r="K1397" s="5" t="str">
        <x:f>IF(COUNTA(A1397:F1397)=0,"",IF(A1397="","Missing equipment ID",IF(COUNTIFS($N$8:$N$2007,"="&amp;N1397)&gt;1,"Duplicate equipment ID",IF(B1397="","Missing type",IF(COUNTIFS('Rules'!$G$7:$G$26,"="&amp;(SUBSTITUTE(SUBSTITUTE(SUBSTITUTE(SUBSTITUTE("type:"&amp;B1397,"%","%25"),"~","%7E"),"*","%2A"),"?","%3F")))=0,"Unknown type",IF(COUNTIFS('Rules'!$G$7:$G$26,"="&amp;(SUBSTITUTE(SUBSTITUTE(SUBSTITUTE(SUBSTITUTE("type:"&amp;B1397,"%","%25"),"~","%7E"),"*","%2A"),"?","%3F")))&gt;1,"Duplicate type",IF(INDEX('Rules'!$F$7:$F$26,MATCH(SUBSTITUTE(SUBSTITUTE(SUBSTITUTE(SUBSTITUTE("type:"&amp;B1397,"%","%25"),"~","%7E"),"*","%2A"),"?","%3F"),'Rules'!$G$7:$G$26,0))&lt;&gt;"",INDEX('Rules'!$F$7:$F$26,MATCH(SUBSTITUTE(SUBSTITUTE(SUBSTITUTE(SUBSTITUTE("type:"&amp;B1397,"%","%25"),"~","%7E"),"*","%2A"),"?","%3F"),'Rules'!$G$7:$G$26,0)),IF(AND(C1397&lt;&gt;"",C1397&lt;&gt;INDEX('Rules'!$B$7:$B$26,MATCH(SUBSTITUTE(SUBSTITUTE(SUBSTITUTE(SUBSTITUTE("type:"&amp;B1397,"%","%25"),"~","%7E"),"*","%2A"),"?","%3F"),'Rules'!$G$7:$G$26,0))),"Unit mismatch",IF(IF(NOT(ISNUMBER(D1397)),TRUE,OR(D1397&lt;0,D1397&gt;999999999,ROUND(D1397,3)&lt;&gt;D1397)),"Invalid current reading",IF(AND(E1397&lt;&gt;"",IF(NOT(ISNUMBER(E1397)),TRUE,OR(E1397&lt;0,E1397&gt;999999999,ROUND(E1397,3)&lt;&gt;E1397))),"Invalid previous reading",IF(IF(NOT(ISNUMBER(F1397)),TRUE,OR(F1397&lt;0,F1397&gt;999999999,ROUND(F1397,3)&lt;&gt;F1397)),"Invalid last service",IF(AND(E1397&lt;&gt;"",D1397&lt;E1397),"Decreased reading",IF(F1397&gt;D1397,"Last service above current","")))))))))))))</x:f>
      </x:c>
      <x:c r="L1397" s="6" t="str">
        <x:f>IF(AND(NOT(COUNTA(A1397:F1397)=0),K1397=""),INDEX('Rules'!$C$7:$C$26,MATCH(SUBSTITUTE(SUBSTITUTE(SUBSTITUTE(SUBSTITUTE("type:"&amp;B1397,"%","%25"),"~","%7E"),"*","%2A"),"?","%3F"),'Rules'!$G$7:$G$26,0)),"")</x:f>
      </x:c>
      <x:c r="M1397" s="6" t="str">
        <x:f>IF(AND(NOT(COUNTA(A1397:F1397)=0),K1397=""),INDEX('Rules'!$D$7:$D$26,MATCH(SUBSTITUTE(SUBSTITUTE(SUBSTITUTE(SUBSTITUTE("type:"&amp;B1397,"%","%25"),"~","%7E"),"*","%2A"),"?","%3F"),'Rules'!$G$7:$G$26,0)),"")</x:f>
      </x:c>
      <x:c r="N1397" s="5" t="str">
        <x:f>IF(COUNTA(A1397:F1397)=0,"",SUBSTITUTE(SUBSTITUTE(SUBSTITUTE(SUBSTITUTE("id:"&amp;A1397,"%","%25"),"~","%7E"),"*","%2A"),"?","%3F"))</x:f>
      </x:c>
    </x:row>
    <x:row r="1398" ht="22" customHeight="1">
      <x:c r="A1398" s="3"/>
      <x:c r="B1398" s="3"/>
      <x:c r="C1398" s="3"/>
      <x:c r="D1398" s="4"/>
      <x:c r="E1398" s="4"/>
      <x:c r="F1398" s="4"/>
      <x:c r="G1398" s="5" t="str">
        <x:f>IF(COUNTA(A1398:F1398)=0,"",IF(K1398&lt;&gt;"","Review",IF(I1398&lt;0,"Overdue",IF(I1398=0,"Due now",IF(I1398&lt;=M1398,"Due soon","Not due")))))</x:f>
      </x:c>
      <x:c r="H1398" s="5" t="str">
        <x:f>IF(OR(COUNTA(A1398:F1398)=0,COUNTIFS('Rules'!$G$7:$G$26,"="&amp;(SUBSTITUTE(SUBSTITUTE(SUBSTITUTE(SUBSTITUTE("type:"&amp;B1398,"%","%25"),"~","%7E"),"*","%2A"),"?","%3F")))&lt;&gt;1),"",IF(OR(INDEX('Rules'!$B$7:$B$26,MATCH(SUBSTITUTE(SUBSTITUTE(SUBSTITUTE(SUBSTITUTE("type:"&amp;B1398,"%","%25"),"~","%7E"),"*","%2A"),"?","%3F"),'Rules'!$G$7:$G$26,0))="hours",INDEX('Rules'!$B$7:$B$26,MATCH(SUBSTITUTE(SUBSTITUTE(SUBSTITUTE(SUBSTITUTE("type:"&amp;B1398,"%","%25"),"~","%7E"),"*","%2A"),"?","%3F"),'Rules'!$G$7:$G$26,0))="km"),INDEX('Rules'!$B$7:$B$26,MATCH(SUBSTITUTE(SUBSTITUTE(SUBSTITUTE(SUBSTITUTE("type:"&amp;B1398,"%","%25"),"~","%7E"),"*","%2A"),"?","%3F"),'Rules'!$G$7:$G$26,0)),""))</x:f>
      </x:c>
      <x:c r="I1398" s="6" t="str">
        <x:f>IF(AND(NOT(COUNTA(A1398:F1398)=0),K1398=""),ROUND(J1398-D1398,3),"")</x:f>
      </x:c>
      <x:c r="J1398" s="6" t="str">
        <x:f>IF(AND(NOT(COUNTA(A1398:F1398)=0),K1398=""),ROUND(F1398+L1398,3),"")</x:f>
      </x:c>
      <x:c r="K1398" s="5" t="str">
        <x:f>IF(COUNTA(A1398:F1398)=0,"",IF(A1398="","Missing equipment ID",IF(COUNTIFS($N$8:$N$2007,"="&amp;N1398)&gt;1,"Duplicate equipment ID",IF(B1398="","Missing type",IF(COUNTIFS('Rules'!$G$7:$G$26,"="&amp;(SUBSTITUTE(SUBSTITUTE(SUBSTITUTE(SUBSTITUTE("type:"&amp;B1398,"%","%25"),"~","%7E"),"*","%2A"),"?","%3F")))=0,"Unknown type",IF(COUNTIFS('Rules'!$G$7:$G$26,"="&amp;(SUBSTITUTE(SUBSTITUTE(SUBSTITUTE(SUBSTITUTE("type:"&amp;B1398,"%","%25"),"~","%7E"),"*","%2A"),"?","%3F")))&gt;1,"Duplicate type",IF(INDEX('Rules'!$F$7:$F$26,MATCH(SUBSTITUTE(SUBSTITUTE(SUBSTITUTE(SUBSTITUTE("type:"&amp;B1398,"%","%25"),"~","%7E"),"*","%2A"),"?","%3F"),'Rules'!$G$7:$G$26,0))&lt;&gt;"",INDEX('Rules'!$F$7:$F$26,MATCH(SUBSTITUTE(SUBSTITUTE(SUBSTITUTE(SUBSTITUTE("type:"&amp;B1398,"%","%25"),"~","%7E"),"*","%2A"),"?","%3F"),'Rules'!$G$7:$G$26,0)),IF(AND(C1398&lt;&gt;"",C1398&lt;&gt;INDEX('Rules'!$B$7:$B$26,MATCH(SUBSTITUTE(SUBSTITUTE(SUBSTITUTE(SUBSTITUTE("type:"&amp;B1398,"%","%25"),"~","%7E"),"*","%2A"),"?","%3F"),'Rules'!$G$7:$G$26,0))),"Unit mismatch",IF(IF(NOT(ISNUMBER(D1398)),TRUE,OR(D1398&lt;0,D1398&gt;999999999,ROUND(D1398,3)&lt;&gt;D1398)),"Invalid current reading",IF(AND(E1398&lt;&gt;"",IF(NOT(ISNUMBER(E1398)),TRUE,OR(E1398&lt;0,E1398&gt;999999999,ROUND(E1398,3)&lt;&gt;E1398))),"Invalid previous reading",IF(IF(NOT(ISNUMBER(F1398)),TRUE,OR(F1398&lt;0,F1398&gt;999999999,ROUND(F1398,3)&lt;&gt;F1398)),"Invalid last service",IF(AND(E1398&lt;&gt;"",D1398&lt;E1398),"Decreased reading",IF(F1398&gt;D1398,"Last service above current","")))))))))))))</x:f>
      </x:c>
      <x:c r="L1398" s="6" t="str">
        <x:f>IF(AND(NOT(COUNTA(A1398:F1398)=0),K1398=""),INDEX('Rules'!$C$7:$C$26,MATCH(SUBSTITUTE(SUBSTITUTE(SUBSTITUTE(SUBSTITUTE("type:"&amp;B1398,"%","%25"),"~","%7E"),"*","%2A"),"?","%3F"),'Rules'!$G$7:$G$26,0)),"")</x:f>
      </x:c>
      <x:c r="M1398" s="6" t="str">
        <x:f>IF(AND(NOT(COUNTA(A1398:F1398)=0),K1398=""),INDEX('Rules'!$D$7:$D$26,MATCH(SUBSTITUTE(SUBSTITUTE(SUBSTITUTE(SUBSTITUTE("type:"&amp;B1398,"%","%25"),"~","%7E"),"*","%2A"),"?","%3F"),'Rules'!$G$7:$G$26,0)),"")</x:f>
      </x:c>
      <x:c r="N1398" s="5" t="str">
        <x:f>IF(COUNTA(A1398:F1398)=0,"",SUBSTITUTE(SUBSTITUTE(SUBSTITUTE(SUBSTITUTE("id:"&amp;A1398,"%","%25"),"~","%7E"),"*","%2A"),"?","%3F"))</x:f>
      </x:c>
    </x:row>
    <x:row r="1399" ht="22" customHeight="1">
      <x:c r="A1399" s="3"/>
      <x:c r="B1399" s="3"/>
      <x:c r="C1399" s="3"/>
      <x:c r="D1399" s="4"/>
      <x:c r="E1399" s="4"/>
      <x:c r="F1399" s="4"/>
      <x:c r="G1399" s="5" t="str">
        <x:f>IF(COUNTA(A1399:F1399)=0,"",IF(K1399&lt;&gt;"","Review",IF(I1399&lt;0,"Overdue",IF(I1399=0,"Due now",IF(I1399&lt;=M1399,"Due soon","Not due")))))</x:f>
      </x:c>
      <x:c r="H1399" s="5" t="str">
        <x:f>IF(OR(COUNTA(A1399:F1399)=0,COUNTIFS('Rules'!$G$7:$G$26,"="&amp;(SUBSTITUTE(SUBSTITUTE(SUBSTITUTE(SUBSTITUTE("type:"&amp;B1399,"%","%25"),"~","%7E"),"*","%2A"),"?","%3F")))&lt;&gt;1),"",IF(OR(INDEX('Rules'!$B$7:$B$26,MATCH(SUBSTITUTE(SUBSTITUTE(SUBSTITUTE(SUBSTITUTE("type:"&amp;B1399,"%","%25"),"~","%7E"),"*","%2A"),"?","%3F"),'Rules'!$G$7:$G$26,0))="hours",INDEX('Rules'!$B$7:$B$26,MATCH(SUBSTITUTE(SUBSTITUTE(SUBSTITUTE(SUBSTITUTE("type:"&amp;B1399,"%","%25"),"~","%7E"),"*","%2A"),"?","%3F"),'Rules'!$G$7:$G$26,0))="km"),INDEX('Rules'!$B$7:$B$26,MATCH(SUBSTITUTE(SUBSTITUTE(SUBSTITUTE(SUBSTITUTE("type:"&amp;B1399,"%","%25"),"~","%7E"),"*","%2A"),"?","%3F"),'Rules'!$G$7:$G$26,0)),""))</x:f>
      </x:c>
      <x:c r="I1399" s="6" t="str">
        <x:f>IF(AND(NOT(COUNTA(A1399:F1399)=0),K1399=""),ROUND(J1399-D1399,3),"")</x:f>
      </x:c>
      <x:c r="J1399" s="6" t="str">
        <x:f>IF(AND(NOT(COUNTA(A1399:F1399)=0),K1399=""),ROUND(F1399+L1399,3),"")</x:f>
      </x:c>
      <x:c r="K1399" s="5" t="str">
        <x:f>IF(COUNTA(A1399:F1399)=0,"",IF(A1399="","Missing equipment ID",IF(COUNTIFS($N$8:$N$2007,"="&amp;N1399)&gt;1,"Duplicate equipment ID",IF(B1399="","Missing type",IF(COUNTIFS('Rules'!$G$7:$G$26,"="&amp;(SUBSTITUTE(SUBSTITUTE(SUBSTITUTE(SUBSTITUTE("type:"&amp;B1399,"%","%25"),"~","%7E"),"*","%2A"),"?","%3F")))=0,"Unknown type",IF(COUNTIFS('Rules'!$G$7:$G$26,"="&amp;(SUBSTITUTE(SUBSTITUTE(SUBSTITUTE(SUBSTITUTE("type:"&amp;B1399,"%","%25"),"~","%7E"),"*","%2A"),"?","%3F")))&gt;1,"Duplicate type",IF(INDEX('Rules'!$F$7:$F$26,MATCH(SUBSTITUTE(SUBSTITUTE(SUBSTITUTE(SUBSTITUTE("type:"&amp;B1399,"%","%25"),"~","%7E"),"*","%2A"),"?","%3F"),'Rules'!$G$7:$G$26,0))&lt;&gt;"",INDEX('Rules'!$F$7:$F$26,MATCH(SUBSTITUTE(SUBSTITUTE(SUBSTITUTE(SUBSTITUTE("type:"&amp;B1399,"%","%25"),"~","%7E"),"*","%2A"),"?","%3F"),'Rules'!$G$7:$G$26,0)),IF(AND(C1399&lt;&gt;"",C1399&lt;&gt;INDEX('Rules'!$B$7:$B$26,MATCH(SUBSTITUTE(SUBSTITUTE(SUBSTITUTE(SUBSTITUTE("type:"&amp;B1399,"%","%25"),"~","%7E"),"*","%2A"),"?","%3F"),'Rules'!$G$7:$G$26,0))),"Unit mismatch",IF(IF(NOT(ISNUMBER(D1399)),TRUE,OR(D1399&lt;0,D1399&gt;999999999,ROUND(D1399,3)&lt;&gt;D1399)),"Invalid current reading",IF(AND(E1399&lt;&gt;"",IF(NOT(ISNUMBER(E1399)),TRUE,OR(E1399&lt;0,E1399&gt;999999999,ROUND(E1399,3)&lt;&gt;E1399))),"Invalid previous reading",IF(IF(NOT(ISNUMBER(F1399)),TRUE,OR(F1399&lt;0,F1399&gt;999999999,ROUND(F1399,3)&lt;&gt;F1399)),"Invalid last service",IF(AND(E1399&lt;&gt;"",D1399&lt;E1399),"Decreased reading",IF(F1399&gt;D1399,"Last service above current","")))))))))))))</x:f>
      </x:c>
      <x:c r="L1399" s="6" t="str">
        <x:f>IF(AND(NOT(COUNTA(A1399:F1399)=0),K1399=""),INDEX('Rules'!$C$7:$C$26,MATCH(SUBSTITUTE(SUBSTITUTE(SUBSTITUTE(SUBSTITUTE("type:"&amp;B1399,"%","%25"),"~","%7E"),"*","%2A"),"?","%3F"),'Rules'!$G$7:$G$26,0)),"")</x:f>
      </x:c>
      <x:c r="M1399" s="6" t="str">
        <x:f>IF(AND(NOT(COUNTA(A1399:F1399)=0),K1399=""),INDEX('Rules'!$D$7:$D$26,MATCH(SUBSTITUTE(SUBSTITUTE(SUBSTITUTE(SUBSTITUTE("type:"&amp;B1399,"%","%25"),"~","%7E"),"*","%2A"),"?","%3F"),'Rules'!$G$7:$G$26,0)),"")</x:f>
      </x:c>
      <x:c r="N1399" s="5" t="str">
        <x:f>IF(COUNTA(A1399:F1399)=0,"",SUBSTITUTE(SUBSTITUTE(SUBSTITUTE(SUBSTITUTE("id:"&amp;A1399,"%","%25"),"~","%7E"),"*","%2A"),"?","%3F"))</x:f>
      </x:c>
    </x:row>
    <x:row r="1400" ht="22" customHeight="1">
      <x:c r="A1400" s="3"/>
      <x:c r="B1400" s="3"/>
      <x:c r="C1400" s="3"/>
      <x:c r="D1400" s="4"/>
      <x:c r="E1400" s="4"/>
      <x:c r="F1400" s="4"/>
      <x:c r="G1400" s="5" t="str">
        <x:f>IF(COUNTA(A1400:F1400)=0,"",IF(K1400&lt;&gt;"","Review",IF(I1400&lt;0,"Overdue",IF(I1400=0,"Due now",IF(I1400&lt;=M1400,"Due soon","Not due")))))</x:f>
      </x:c>
      <x:c r="H1400" s="5" t="str">
        <x:f>IF(OR(COUNTA(A1400:F1400)=0,COUNTIFS('Rules'!$G$7:$G$26,"="&amp;(SUBSTITUTE(SUBSTITUTE(SUBSTITUTE(SUBSTITUTE("type:"&amp;B1400,"%","%25"),"~","%7E"),"*","%2A"),"?","%3F")))&lt;&gt;1),"",IF(OR(INDEX('Rules'!$B$7:$B$26,MATCH(SUBSTITUTE(SUBSTITUTE(SUBSTITUTE(SUBSTITUTE("type:"&amp;B1400,"%","%25"),"~","%7E"),"*","%2A"),"?","%3F"),'Rules'!$G$7:$G$26,0))="hours",INDEX('Rules'!$B$7:$B$26,MATCH(SUBSTITUTE(SUBSTITUTE(SUBSTITUTE(SUBSTITUTE("type:"&amp;B1400,"%","%25"),"~","%7E"),"*","%2A"),"?","%3F"),'Rules'!$G$7:$G$26,0))="km"),INDEX('Rules'!$B$7:$B$26,MATCH(SUBSTITUTE(SUBSTITUTE(SUBSTITUTE(SUBSTITUTE("type:"&amp;B1400,"%","%25"),"~","%7E"),"*","%2A"),"?","%3F"),'Rules'!$G$7:$G$26,0)),""))</x:f>
      </x:c>
      <x:c r="I1400" s="6" t="str">
        <x:f>IF(AND(NOT(COUNTA(A1400:F1400)=0),K1400=""),ROUND(J1400-D1400,3),"")</x:f>
      </x:c>
      <x:c r="J1400" s="6" t="str">
        <x:f>IF(AND(NOT(COUNTA(A1400:F1400)=0),K1400=""),ROUND(F1400+L1400,3),"")</x:f>
      </x:c>
      <x:c r="K1400" s="5" t="str">
        <x:f>IF(COUNTA(A1400:F1400)=0,"",IF(A1400="","Missing equipment ID",IF(COUNTIFS($N$8:$N$2007,"="&amp;N1400)&gt;1,"Duplicate equipment ID",IF(B1400="","Missing type",IF(COUNTIFS('Rules'!$G$7:$G$26,"="&amp;(SUBSTITUTE(SUBSTITUTE(SUBSTITUTE(SUBSTITUTE("type:"&amp;B1400,"%","%25"),"~","%7E"),"*","%2A"),"?","%3F")))=0,"Unknown type",IF(COUNTIFS('Rules'!$G$7:$G$26,"="&amp;(SUBSTITUTE(SUBSTITUTE(SUBSTITUTE(SUBSTITUTE("type:"&amp;B1400,"%","%25"),"~","%7E"),"*","%2A"),"?","%3F")))&gt;1,"Duplicate type",IF(INDEX('Rules'!$F$7:$F$26,MATCH(SUBSTITUTE(SUBSTITUTE(SUBSTITUTE(SUBSTITUTE("type:"&amp;B1400,"%","%25"),"~","%7E"),"*","%2A"),"?","%3F"),'Rules'!$G$7:$G$26,0))&lt;&gt;"",INDEX('Rules'!$F$7:$F$26,MATCH(SUBSTITUTE(SUBSTITUTE(SUBSTITUTE(SUBSTITUTE("type:"&amp;B1400,"%","%25"),"~","%7E"),"*","%2A"),"?","%3F"),'Rules'!$G$7:$G$26,0)),IF(AND(C1400&lt;&gt;"",C1400&lt;&gt;INDEX('Rules'!$B$7:$B$26,MATCH(SUBSTITUTE(SUBSTITUTE(SUBSTITUTE(SUBSTITUTE("type:"&amp;B1400,"%","%25"),"~","%7E"),"*","%2A"),"?","%3F"),'Rules'!$G$7:$G$26,0))),"Unit mismatch",IF(IF(NOT(ISNUMBER(D1400)),TRUE,OR(D1400&lt;0,D1400&gt;999999999,ROUND(D1400,3)&lt;&gt;D1400)),"Invalid current reading",IF(AND(E1400&lt;&gt;"",IF(NOT(ISNUMBER(E1400)),TRUE,OR(E1400&lt;0,E1400&gt;999999999,ROUND(E1400,3)&lt;&gt;E1400))),"Invalid previous reading",IF(IF(NOT(ISNUMBER(F1400)),TRUE,OR(F1400&lt;0,F1400&gt;999999999,ROUND(F1400,3)&lt;&gt;F1400)),"Invalid last service",IF(AND(E1400&lt;&gt;"",D1400&lt;E1400),"Decreased reading",IF(F1400&gt;D1400,"Last service above current","")))))))))))))</x:f>
      </x:c>
      <x:c r="L1400" s="6" t="str">
        <x:f>IF(AND(NOT(COUNTA(A1400:F1400)=0),K1400=""),INDEX('Rules'!$C$7:$C$26,MATCH(SUBSTITUTE(SUBSTITUTE(SUBSTITUTE(SUBSTITUTE("type:"&amp;B1400,"%","%25"),"~","%7E"),"*","%2A"),"?","%3F"),'Rules'!$G$7:$G$26,0)),"")</x:f>
      </x:c>
      <x:c r="M1400" s="6" t="str">
        <x:f>IF(AND(NOT(COUNTA(A1400:F1400)=0),K1400=""),INDEX('Rules'!$D$7:$D$26,MATCH(SUBSTITUTE(SUBSTITUTE(SUBSTITUTE(SUBSTITUTE("type:"&amp;B1400,"%","%25"),"~","%7E"),"*","%2A"),"?","%3F"),'Rules'!$G$7:$G$26,0)),"")</x:f>
      </x:c>
      <x:c r="N1400" s="5" t="str">
        <x:f>IF(COUNTA(A1400:F1400)=0,"",SUBSTITUTE(SUBSTITUTE(SUBSTITUTE(SUBSTITUTE("id:"&amp;A1400,"%","%25"),"~","%7E"),"*","%2A"),"?","%3F"))</x:f>
      </x:c>
    </x:row>
    <x:row r="1401" ht="22" customHeight="1">
      <x:c r="A1401" s="3"/>
      <x:c r="B1401" s="3"/>
      <x:c r="C1401" s="3"/>
      <x:c r="D1401" s="4"/>
      <x:c r="E1401" s="4"/>
      <x:c r="F1401" s="4"/>
      <x:c r="G1401" s="5" t="str">
        <x:f>IF(COUNTA(A1401:F1401)=0,"",IF(K1401&lt;&gt;"","Review",IF(I1401&lt;0,"Overdue",IF(I1401=0,"Due now",IF(I1401&lt;=M1401,"Due soon","Not due")))))</x:f>
      </x:c>
      <x:c r="H1401" s="5" t="str">
        <x:f>IF(OR(COUNTA(A1401:F1401)=0,COUNTIFS('Rules'!$G$7:$G$26,"="&amp;(SUBSTITUTE(SUBSTITUTE(SUBSTITUTE(SUBSTITUTE("type:"&amp;B1401,"%","%25"),"~","%7E"),"*","%2A"),"?","%3F")))&lt;&gt;1),"",IF(OR(INDEX('Rules'!$B$7:$B$26,MATCH(SUBSTITUTE(SUBSTITUTE(SUBSTITUTE(SUBSTITUTE("type:"&amp;B1401,"%","%25"),"~","%7E"),"*","%2A"),"?","%3F"),'Rules'!$G$7:$G$26,0))="hours",INDEX('Rules'!$B$7:$B$26,MATCH(SUBSTITUTE(SUBSTITUTE(SUBSTITUTE(SUBSTITUTE("type:"&amp;B1401,"%","%25"),"~","%7E"),"*","%2A"),"?","%3F"),'Rules'!$G$7:$G$26,0))="km"),INDEX('Rules'!$B$7:$B$26,MATCH(SUBSTITUTE(SUBSTITUTE(SUBSTITUTE(SUBSTITUTE("type:"&amp;B1401,"%","%25"),"~","%7E"),"*","%2A"),"?","%3F"),'Rules'!$G$7:$G$26,0)),""))</x:f>
      </x:c>
      <x:c r="I1401" s="6" t="str">
        <x:f>IF(AND(NOT(COUNTA(A1401:F1401)=0),K1401=""),ROUND(J1401-D1401,3),"")</x:f>
      </x:c>
      <x:c r="J1401" s="6" t="str">
        <x:f>IF(AND(NOT(COUNTA(A1401:F1401)=0),K1401=""),ROUND(F1401+L1401,3),"")</x:f>
      </x:c>
      <x:c r="K1401" s="5" t="str">
        <x:f>IF(COUNTA(A1401:F1401)=0,"",IF(A1401="","Missing equipment ID",IF(COUNTIFS($N$8:$N$2007,"="&amp;N1401)&gt;1,"Duplicate equipment ID",IF(B1401="","Missing type",IF(COUNTIFS('Rules'!$G$7:$G$26,"="&amp;(SUBSTITUTE(SUBSTITUTE(SUBSTITUTE(SUBSTITUTE("type:"&amp;B1401,"%","%25"),"~","%7E"),"*","%2A"),"?","%3F")))=0,"Unknown type",IF(COUNTIFS('Rules'!$G$7:$G$26,"="&amp;(SUBSTITUTE(SUBSTITUTE(SUBSTITUTE(SUBSTITUTE("type:"&amp;B1401,"%","%25"),"~","%7E"),"*","%2A"),"?","%3F")))&gt;1,"Duplicate type",IF(INDEX('Rules'!$F$7:$F$26,MATCH(SUBSTITUTE(SUBSTITUTE(SUBSTITUTE(SUBSTITUTE("type:"&amp;B1401,"%","%25"),"~","%7E"),"*","%2A"),"?","%3F"),'Rules'!$G$7:$G$26,0))&lt;&gt;"",INDEX('Rules'!$F$7:$F$26,MATCH(SUBSTITUTE(SUBSTITUTE(SUBSTITUTE(SUBSTITUTE("type:"&amp;B1401,"%","%25"),"~","%7E"),"*","%2A"),"?","%3F"),'Rules'!$G$7:$G$26,0)),IF(AND(C1401&lt;&gt;"",C1401&lt;&gt;INDEX('Rules'!$B$7:$B$26,MATCH(SUBSTITUTE(SUBSTITUTE(SUBSTITUTE(SUBSTITUTE("type:"&amp;B1401,"%","%25"),"~","%7E"),"*","%2A"),"?","%3F"),'Rules'!$G$7:$G$26,0))),"Unit mismatch",IF(IF(NOT(ISNUMBER(D1401)),TRUE,OR(D1401&lt;0,D1401&gt;999999999,ROUND(D1401,3)&lt;&gt;D1401)),"Invalid current reading",IF(AND(E1401&lt;&gt;"",IF(NOT(ISNUMBER(E1401)),TRUE,OR(E1401&lt;0,E1401&gt;999999999,ROUND(E1401,3)&lt;&gt;E1401))),"Invalid previous reading",IF(IF(NOT(ISNUMBER(F1401)),TRUE,OR(F1401&lt;0,F1401&gt;999999999,ROUND(F1401,3)&lt;&gt;F1401)),"Invalid last service",IF(AND(E1401&lt;&gt;"",D1401&lt;E1401),"Decreased reading",IF(F1401&gt;D1401,"Last service above current","")))))))))))))</x:f>
      </x:c>
      <x:c r="L1401" s="6" t="str">
        <x:f>IF(AND(NOT(COUNTA(A1401:F1401)=0),K1401=""),INDEX('Rules'!$C$7:$C$26,MATCH(SUBSTITUTE(SUBSTITUTE(SUBSTITUTE(SUBSTITUTE("type:"&amp;B1401,"%","%25"),"~","%7E"),"*","%2A"),"?","%3F"),'Rules'!$G$7:$G$26,0)),"")</x:f>
      </x:c>
      <x:c r="M1401" s="6" t="str">
        <x:f>IF(AND(NOT(COUNTA(A1401:F1401)=0),K1401=""),INDEX('Rules'!$D$7:$D$26,MATCH(SUBSTITUTE(SUBSTITUTE(SUBSTITUTE(SUBSTITUTE("type:"&amp;B1401,"%","%25"),"~","%7E"),"*","%2A"),"?","%3F"),'Rules'!$G$7:$G$26,0)),"")</x:f>
      </x:c>
      <x:c r="N1401" s="5" t="str">
        <x:f>IF(COUNTA(A1401:F1401)=0,"",SUBSTITUTE(SUBSTITUTE(SUBSTITUTE(SUBSTITUTE("id:"&amp;A1401,"%","%25"),"~","%7E"),"*","%2A"),"?","%3F"))</x:f>
      </x:c>
    </x:row>
    <x:row r="1402" ht="22" customHeight="1">
      <x:c r="A1402" s="3"/>
      <x:c r="B1402" s="3"/>
      <x:c r="C1402" s="3"/>
      <x:c r="D1402" s="4"/>
      <x:c r="E1402" s="4"/>
      <x:c r="F1402" s="4"/>
      <x:c r="G1402" s="5" t="str">
        <x:f>IF(COUNTA(A1402:F1402)=0,"",IF(K1402&lt;&gt;"","Review",IF(I1402&lt;0,"Overdue",IF(I1402=0,"Due now",IF(I1402&lt;=M1402,"Due soon","Not due")))))</x:f>
      </x:c>
      <x:c r="H1402" s="5" t="str">
        <x:f>IF(OR(COUNTA(A1402:F1402)=0,COUNTIFS('Rules'!$G$7:$G$26,"="&amp;(SUBSTITUTE(SUBSTITUTE(SUBSTITUTE(SUBSTITUTE("type:"&amp;B1402,"%","%25"),"~","%7E"),"*","%2A"),"?","%3F")))&lt;&gt;1),"",IF(OR(INDEX('Rules'!$B$7:$B$26,MATCH(SUBSTITUTE(SUBSTITUTE(SUBSTITUTE(SUBSTITUTE("type:"&amp;B1402,"%","%25"),"~","%7E"),"*","%2A"),"?","%3F"),'Rules'!$G$7:$G$26,0))="hours",INDEX('Rules'!$B$7:$B$26,MATCH(SUBSTITUTE(SUBSTITUTE(SUBSTITUTE(SUBSTITUTE("type:"&amp;B1402,"%","%25"),"~","%7E"),"*","%2A"),"?","%3F"),'Rules'!$G$7:$G$26,0))="km"),INDEX('Rules'!$B$7:$B$26,MATCH(SUBSTITUTE(SUBSTITUTE(SUBSTITUTE(SUBSTITUTE("type:"&amp;B1402,"%","%25"),"~","%7E"),"*","%2A"),"?","%3F"),'Rules'!$G$7:$G$26,0)),""))</x:f>
      </x:c>
      <x:c r="I1402" s="6" t="str">
        <x:f>IF(AND(NOT(COUNTA(A1402:F1402)=0),K1402=""),ROUND(J1402-D1402,3),"")</x:f>
      </x:c>
      <x:c r="J1402" s="6" t="str">
        <x:f>IF(AND(NOT(COUNTA(A1402:F1402)=0),K1402=""),ROUND(F1402+L1402,3),"")</x:f>
      </x:c>
      <x:c r="K1402" s="5" t="str">
        <x:f>IF(COUNTA(A1402:F1402)=0,"",IF(A1402="","Missing equipment ID",IF(COUNTIFS($N$8:$N$2007,"="&amp;N1402)&gt;1,"Duplicate equipment ID",IF(B1402="","Missing type",IF(COUNTIFS('Rules'!$G$7:$G$26,"="&amp;(SUBSTITUTE(SUBSTITUTE(SUBSTITUTE(SUBSTITUTE("type:"&amp;B1402,"%","%25"),"~","%7E"),"*","%2A"),"?","%3F")))=0,"Unknown type",IF(COUNTIFS('Rules'!$G$7:$G$26,"="&amp;(SUBSTITUTE(SUBSTITUTE(SUBSTITUTE(SUBSTITUTE("type:"&amp;B1402,"%","%25"),"~","%7E"),"*","%2A"),"?","%3F")))&gt;1,"Duplicate type",IF(INDEX('Rules'!$F$7:$F$26,MATCH(SUBSTITUTE(SUBSTITUTE(SUBSTITUTE(SUBSTITUTE("type:"&amp;B1402,"%","%25"),"~","%7E"),"*","%2A"),"?","%3F"),'Rules'!$G$7:$G$26,0))&lt;&gt;"",INDEX('Rules'!$F$7:$F$26,MATCH(SUBSTITUTE(SUBSTITUTE(SUBSTITUTE(SUBSTITUTE("type:"&amp;B1402,"%","%25"),"~","%7E"),"*","%2A"),"?","%3F"),'Rules'!$G$7:$G$26,0)),IF(AND(C1402&lt;&gt;"",C1402&lt;&gt;INDEX('Rules'!$B$7:$B$26,MATCH(SUBSTITUTE(SUBSTITUTE(SUBSTITUTE(SUBSTITUTE("type:"&amp;B1402,"%","%25"),"~","%7E"),"*","%2A"),"?","%3F"),'Rules'!$G$7:$G$26,0))),"Unit mismatch",IF(IF(NOT(ISNUMBER(D1402)),TRUE,OR(D1402&lt;0,D1402&gt;999999999,ROUND(D1402,3)&lt;&gt;D1402)),"Invalid current reading",IF(AND(E1402&lt;&gt;"",IF(NOT(ISNUMBER(E1402)),TRUE,OR(E1402&lt;0,E1402&gt;999999999,ROUND(E1402,3)&lt;&gt;E1402))),"Invalid previous reading",IF(IF(NOT(ISNUMBER(F1402)),TRUE,OR(F1402&lt;0,F1402&gt;999999999,ROUND(F1402,3)&lt;&gt;F1402)),"Invalid last service",IF(AND(E1402&lt;&gt;"",D1402&lt;E1402),"Decreased reading",IF(F1402&gt;D1402,"Last service above current","")))))))))))))</x:f>
      </x:c>
      <x:c r="L1402" s="6" t="str">
        <x:f>IF(AND(NOT(COUNTA(A1402:F1402)=0),K1402=""),INDEX('Rules'!$C$7:$C$26,MATCH(SUBSTITUTE(SUBSTITUTE(SUBSTITUTE(SUBSTITUTE("type:"&amp;B1402,"%","%25"),"~","%7E"),"*","%2A"),"?","%3F"),'Rules'!$G$7:$G$26,0)),"")</x:f>
      </x:c>
      <x:c r="M1402" s="6" t="str">
        <x:f>IF(AND(NOT(COUNTA(A1402:F1402)=0),K1402=""),INDEX('Rules'!$D$7:$D$26,MATCH(SUBSTITUTE(SUBSTITUTE(SUBSTITUTE(SUBSTITUTE("type:"&amp;B1402,"%","%25"),"~","%7E"),"*","%2A"),"?","%3F"),'Rules'!$G$7:$G$26,0)),"")</x:f>
      </x:c>
      <x:c r="N1402" s="5" t="str">
        <x:f>IF(COUNTA(A1402:F1402)=0,"",SUBSTITUTE(SUBSTITUTE(SUBSTITUTE(SUBSTITUTE("id:"&amp;A1402,"%","%25"),"~","%7E"),"*","%2A"),"?","%3F"))</x:f>
      </x:c>
    </x:row>
    <x:row r="1403" ht="22" customHeight="1">
      <x:c r="A1403" s="3"/>
      <x:c r="B1403" s="3"/>
      <x:c r="C1403" s="3"/>
      <x:c r="D1403" s="4"/>
      <x:c r="E1403" s="4"/>
      <x:c r="F1403" s="4"/>
      <x:c r="G1403" s="5" t="str">
        <x:f>IF(COUNTA(A1403:F1403)=0,"",IF(K1403&lt;&gt;"","Review",IF(I1403&lt;0,"Overdue",IF(I1403=0,"Due now",IF(I1403&lt;=M1403,"Due soon","Not due")))))</x:f>
      </x:c>
      <x:c r="H1403" s="5" t="str">
        <x:f>IF(OR(COUNTA(A1403:F1403)=0,COUNTIFS('Rules'!$G$7:$G$26,"="&amp;(SUBSTITUTE(SUBSTITUTE(SUBSTITUTE(SUBSTITUTE("type:"&amp;B1403,"%","%25"),"~","%7E"),"*","%2A"),"?","%3F")))&lt;&gt;1),"",IF(OR(INDEX('Rules'!$B$7:$B$26,MATCH(SUBSTITUTE(SUBSTITUTE(SUBSTITUTE(SUBSTITUTE("type:"&amp;B1403,"%","%25"),"~","%7E"),"*","%2A"),"?","%3F"),'Rules'!$G$7:$G$26,0))="hours",INDEX('Rules'!$B$7:$B$26,MATCH(SUBSTITUTE(SUBSTITUTE(SUBSTITUTE(SUBSTITUTE("type:"&amp;B1403,"%","%25"),"~","%7E"),"*","%2A"),"?","%3F"),'Rules'!$G$7:$G$26,0))="km"),INDEX('Rules'!$B$7:$B$26,MATCH(SUBSTITUTE(SUBSTITUTE(SUBSTITUTE(SUBSTITUTE("type:"&amp;B1403,"%","%25"),"~","%7E"),"*","%2A"),"?","%3F"),'Rules'!$G$7:$G$26,0)),""))</x:f>
      </x:c>
      <x:c r="I1403" s="6" t="str">
        <x:f>IF(AND(NOT(COUNTA(A1403:F1403)=0),K1403=""),ROUND(J1403-D1403,3),"")</x:f>
      </x:c>
      <x:c r="J1403" s="6" t="str">
        <x:f>IF(AND(NOT(COUNTA(A1403:F1403)=0),K1403=""),ROUND(F1403+L1403,3),"")</x:f>
      </x:c>
      <x:c r="K1403" s="5" t="str">
        <x:f>IF(COUNTA(A1403:F1403)=0,"",IF(A1403="","Missing equipment ID",IF(COUNTIFS($N$8:$N$2007,"="&amp;N1403)&gt;1,"Duplicate equipment ID",IF(B1403="","Missing type",IF(COUNTIFS('Rules'!$G$7:$G$26,"="&amp;(SUBSTITUTE(SUBSTITUTE(SUBSTITUTE(SUBSTITUTE("type:"&amp;B1403,"%","%25"),"~","%7E"),"*","%2A"),"?","%3F")))=0,"Unknown type",IF(COUNTIFS('Rules'!$G$7:$G$26,"="&amp;(SUBSTITUTE(SUBSTITUTE(SUBSTITUTE(SUBSTITUTE("type:"&amp;B1403,"%","%25"),"~","%7E"),"*","%2A"),"?","%3F")))&gt;1,"Duplicate type",IF(INDEX('Rules'!$F$7:$F$26,MATCH(SUBSTITUTE(SUBSTITUTE(SUBSTITUTE(SUBSTITUTE("type:"&amp;B1403,"%","%25"),"~","%7E"),"*","%2A"),"?","%3F"),'Rules'!$G$7:$G$26,0))&lt;&gt;"",INDEX('Rules'!$F$7:$F$26,MATCH(SUBSTITUTE(SUBSTITUTE(SUBSTITUTE(SUBSTITUTE("type:"&amp;B1403,"%","%25"),"~","%7E"),"*","%2A"),"?","%3F"),'Rules'!$G$7:$G$26,0)),IF(AND(C1403&lt;&gt;"",C1403&lt;&gt;INDEX('Rules'!$B$7:$B$26,MATCH(SUBSTITUTE(SUBSTITUTE(SUBSTITUTE(SUBSTITUTE("type:"&amp;B1403,"%","%25"),"~","%7E"),"*","%2A"),"?","%3F"),'Rules'!$G$7:$G$26,0))),"Unit mismatch",IF(IF(NOT(ISNUMBER(D1403)),TRUE,OR(D1403&lt;0,D1403&gt;999999999,ROUND(D1403,3)&lt;&gt;D1403)),"Invalid current reading",IF(AND(E1403&lt;&gt;"",IF(NOT(ISNUMBER(E1403)),TRUE,OR(E1403&lt;0,E1403&gt;999999999,ROUND(E1403,3)&lt;&gt;E1403))),"Invalid previous reading",IF(IF(NOT(ISNUMBER(F1403)),TRUE,OR(F1403&lt;0,F1403&gt;999999999,ROUND(F1403,3)&lt;&gt;F1403)),"Invalid last service",IF(AND(E1403&lt;&gt;"",D1403&lt;E1403),"Decreased reading",IF(F1403&gt;D1403,"Last service above current","")))))))))))))</x:f>
      </x:c>
      <x:c r="L1403" s="6" t="str">
        <x:f>IF(AND(NOT(COUNTA(A1403:F1403)=0),K1403=""),INDEX('Rules'!$C$7:$C$26,MATCH(SUBSTITUTE(SUBSTITUTE(SUBSTITUTE(SUBSTITUTE("type:"&amp;B1403,"%","%25"),"~","%7E"),"*","%2A"),"?","%3F"),'Rules'!$G$7:$G$26,0)),"")</x:f>
      </x:c>
      <x:c r="M1403" s="6" t="str">
        <x:f>IF(AND(NOT(COUNTA(A1403:F1403)=0),K1403=""),INDEX('Rules'!$D$7:$D$26,MATCH(SUBSTITUTE(SUBSTITUTE(SUBSTITUTE(SUBSTITUTE("type:"&amp;B1403,"%","%25"),"~","%7E"),"*","%2A"),"?","%3F"),'Rules'!$G$7:$G$26,0)),"")</x:f>
      </x:c>
      <x:c r="N1403" s="5" t="str">
        <x:f>IF(COUNTA(A1403:F1403)=0,"",SUBSTITUTE(SUBSTITUTE(SUBSTITUTE(SUBSTITUTE("id:"&amp;A1403,"%","%25"),"~","%7E"),"*","%2A"),"?","%3F"))</x:f>
      </x:c>
    </x:row>
    <x:row r="1404" ht="22" customHeight="1">
      <x:c r="A1404" s="3"/>
      <x:c r="B1404" s="3"/>
      <x:c r="C1404" s="3"/>
      <x:c r="D1404" s="4"/>
      <x:c r="E1404" s="4"/>
      <x:c r="F1404" s="4"/>
      <x:c r="G1404" s="5" t="str">
        <x:f>IF(COUNTA(A1404:F1404)=0,"",IF(K1404&lt;&gt;"","Review",IF(I1404&lt;0,"Overdue",IF(I1404=0,"Due now",IF(I1404&lt;=M1404,"Due soon","Not due")))))</x:f>
      </x:c>
      <x:c r="H1404" s="5" t="str">
        <x:f>IF(OR(COUNTA(A1404:F1404)=0,COUNTIFS('Rules'!$G$7:$G$26,"="&amp;(SUBSTITUTE(SUBSTITUTE(SUBSTITUTE(SUBSTITUTE("type:"&amp;B1404,"%","%25"),"~","%7E"),"*","%2A"),"?","%3F")))&lt;&gt;1),"",IF(OR(INDEX('Rules'!$B$7:$B$26,MATCH(SUBSTITUTE(SUBSTITUTE(SUBSTITUTE(SUBSTITUTE("type:"&amp;B1404,"%","%25"),"~","%7E"),"*","%2A"),"?","%3F"),'Rules'!$G$7:$G$26,0))="hours",INDEX('Rules'!$B$7:$B$26,MATCH(SUBSTITUTE(SUBSTITUTE(SUBSTITUTE(SUBSTITUTE("type:"&amp;B1404,"%","%25"),"~","%7E"),"*","%2A"),"?","%3F"),'Rules'!$G$7:$G$26,0))="km"),INDEX('Rules'!$B$7:$B$26,MATCH(SUBSTITUTE(SUBSTITUTE(SUBSTITUTE(SUBSTITUTE("type:"&amp;B1404,"%","%25"),"~","%7E"),"*","%2A"),"?","%3F"),'Rules'!$G$7:$G$26,0)),""))</x:f>
      </x:c>
      <x:c r="I1404" s="6" t="str">
        <x:f>IF(AND(NOT(COUNTA(A1404:F1404)=0),K1404=""),ROUND(J1404-D1404,3),"")</x:f>
      </x:c>
      <x:c r="J1404" s="6" t="str">
        <x:f>IF(AND(NOT(COUNTA(A1404:F1404)=0),K1404=""),ROUND(F1404+L1404,3),"")</x:f>
      </x:c>
      <x:c r="K1404" s="5" t="str">
        <x:f>IF(COUNTA(A1404:F1404)=0,"",IF(A1404="","Missing equipment ID",IF(COUNTIFS($N$8:$N$2007,"="&amp;N1404)&gt;1,"Duplicate equipment ID",IF(B1404="","Missing type",IF(COUNTIFS('Rules'!$G$7:$G$26,"="&amp;(SUBSTITUTE(SUBSTITUTE(SUBSTITUTE(SUBSTITUTE("type:"&amp;B1404,"%","%25"),"~","%7E"),"*","%2A"),"?","%3F")))=0,"Unknown type",IF(COUNTIFS('Rules'!$G$7:$G$26,"="&amp;(SUBSTITUTE(SUBSTITUTE(SUBSTITUTE(SUBSTITUTE("type:"&amp;B1404,"%","%25"),"~","%7E"),"*","%2A"),"?","%3F")))&gt;1,"Duplicate type",IF(INDEX('Rules'!$F$7:$F$26,MATCH(SUBSTITUTE(SUBSTITUTE(SUBSTITUTE(SUBSTITUTE("type:"&amp;B1404,"%","%25"),"~","%7E"),"*","%2A"),"?","%3F"),'Rules'!$G$7:$G$26,0))&lt;&gt;"",INDEX('Rules'!$F$7:$F$26,MATCH(SUBSTITUTE(SUBSTITUTE(SUBSTITUTE(SUBSTITUTE("type:"&amp;B1404,"%","%25"),"~","%7E"),"*","%2A"),"?","%3F"),'Rules'!$G$7:$G$26,0)),IF(AND(C1404&lt;&gt;"",C1404&lt;&gt;INDEX('Rules'!$B$7:$B$26,MATCH(SUBSTITUTE(SUBSTITUTE(SUBSTITUTE(SUBSTITUTE("type:"&amp;B1404,"%","%25"),"~","%7E"),"*","%2A"),"?","%3F"),'Rules'!$G$7:$G$26,0))),"Unit mismatch",IF(IF(NOT(ISNUMBER(D1404)),TRUE,OR(D1404&lt;0,D1404&gt;999999999,ROUND(D1404,3)&lt;&gt;D1404)),"Invalid current reading",IF(AND(E1404&lt;&gt;"",IF(NOT(ISNUMBER(E1404)),TRUE,OR(E1404&lt;0,E1404&gt;999999999,ROUND(E1404,3)&lt;&gt;E1404))),"Invalid previous reading",IF(IF(NOT(ISNUMBER(F1404)),TRUE,OR(F1404&lt;0,F1404&gt;999999999,ROUND(F1404,3)&lt;&gt;F1404)),"Invalid last service",IF(AND(E1404&lt;&gt;"",D1404&lt;E1404),"Decreased reading",IF(F1404&gt;D1404,"Last service above current","")))))))))))))</x:f>
      </x:c>
      <x:c r="L1404" s="6" t="str">
        <x:f>IF(AND(NOT(COUNTA(A1404:F1404)=0),K1404=""),INDEX('Rules'!$C$7:$C$26,MATCH(SUBSTITUTE(SUBSTITUTE(SUBSTITUTE(SUBSTITUTE("type:"&amp;B1404,"%","%25"),"~","%7E"),"*","%2A"),"?","%3F"),'Rules'!$G$7:$G$26,0)),"")</x:f>
      </x:c>
      <x:c r="M1404" s="6" t="str">
        <x:f>IF(AND(NOT(COUNTA(A1404:F1404)=0),K1404=""),INDEX('Rules'!$D$7:$D$26,MATCH(SUBSTITUTE(SUBSTITUTE(SUBSTITUTE(SUBSTITUTE("type:"&amp;B1404,"%","%25"),"~","%7E"),"*","%2A"),"?","%3F"),'Rules'!$G$7:$G$26,0)),"")</x:f>
      </x:c>
      <x:c r="N1404" s="5" t="str">
        <x:f>IF(COUNTA(A1404:F1404)=0,"",SUBSTITUTE(SUBSTITUTE(SUBSTITUTE(SUBSTITUTE("id:"&amp;A1404,"%","%25"),"~","%7E"),"*","%2A"),"?","%3F"))</x:f>
      </x:c>
    </x:row>
    <x:row r="1405" ht="22" customHeight="1">
      <x:c r="A1405" s="3"/>
      <x:c r="B1405" s="3"/>
      <x:c r="C1405" s="3"/>
      <x:c r="D1405" s="4"/>
      <x:c r="E1405" s="4"/>
      <x:c r="F1405" s="4"/>
      <x:c r="G1405" s="5" t="str">
        <x:f>IF(COUNTA(A1405:F1405)=0,"",IF(K1405&lt;&gt;"","Review",IF(I1405&lt;0,"Overdue",IF(I1405=0,"Due now",IF(I1405&lt;=M1405,"Due soon","Not due")))))</x:f>
      </x:c>
      <x:c r="H1405" s="5" t="str">
        <x:f>IF(OR(COUNTA(A1405:F1405)=0,COUNTIFS('Rules'!$G$7:$G$26,"="&amp;(SUBSTITUTE(SUBSTITUTE(SUBSTITUTE(SUBSTITUTE("type:"&amp;B1405,"%","%25"),"~","%7E"),"*","%2A"),"?","%3F")))&lt;&gt;1),"",IF(OR(INDEX('Rules'!$B$7:$B$26,MATCH(SUBSTITUTE(SUBSTITUTE(SUBSTITUTE(SUBSTITUTE("type:"&amp;B1405,"%","%25"),"~","%7E"),"*","%2A"),"?","%3F"),'Rules'!$G$7:$G$26,0))="hours",INDEX('Rules'!$B$7:$B$26,MATCH(SUBSTITUTE(SUBSTITUTE(SUBSTITUTE(SUBSTITUTE("type:"&amp;B1405,"%","%25"),"~","%7E"),"*","%2A"),"?","%3F"),'Rules'!$G$7:$G$26,0))="km"),INDEX('Rules'!$B$7:$B$26,MATCH(SUBSTITUTE(SUBSTITUTE(SUBSTITUTE(SUBSTITUTE("type:"&amp;B1405,"%","%25"),"~","%7E"),"*","%2A"),"?","%3F"),'Rules'!$G$7:$G$26,0)),""))</x:f>
      </x:c>
      <x:c r="I1405" s="6" t="str">
        <x:f>IF(AND(NOT(COUNTA(A1405:F1405)=0),K1405=""),ROUND(J1405-D1405,3),"")</x:f>
      </x:c>
      <x:c r="J1405" s="6" t="str">
        <x:f>IF(AND(NOT(COUNTA(A1405:F1405)=0),K1405=""),ROUND(F1405+L1405,3),"")</x:f>
      </x:c>
      <x:c r="K1405" s="5" t="str">
        <x:f>IF(COUNTA(A1405:F1405)=0,"",IF(A1405="","Missing equipment ID",IF(COUNTIFS($N$8:$N$2007,"="&amp;N1405)&gt;1,"Duplicate equipment ID",IF(B1405="","Missing type",IF(COUNTIFS('Rules'!$G$7:$G$26,"="&amp;(SUBSTITUTE(SUBSTITUTE(SUBSTITUTE(SUBSTITUTE("type:"&amp;B1405,"%","%25"),"~","%7E"),"*","%2A"),"?","%3F")))=0,"Unknown type",IF(COUNTIFS('Rules'!$G$7:$G$26,"="&amp;(SUBSTITUTE(SUBSTITUTE(SUBSTITUTE(SUBSTITUTE("type:"&amp;B1405,"%","%25"),"~","%7E"),"*","%2A"),"?","%3F")))&gt;1,"Duplicate type",IF(INDEX('Rules'!$F$7:$F$26,MATCH(SUBSTITUTE(SUBSTITUTE(SUBSTITUTE(SUBSTITUTE("type:"&amp;B1405,"%","%25"),"~","%7E"),"*","%2A"),"?","%3F"),'Rules'!$G$7:$G$26,0))&lt;&gt;"",INDEX('Rules'!$F$7:$F$26,MATCH(SUBSTITUTE(SUBSTITUTE(SUBSTITUTE(SUBSTITUTE("type:"&amp;B1405,"%","%25"),"~","%7E"),"*","%2A"),"?","%3F"),'Rules'!$G$7:$G$26,0)),IF(AND(C1405&lt;&gt;"",C1405&lt;&gt;INDEX('Rules'!$B$7:$B$26,MATCH(SUBSTITUTE(SUBSTITUTE(SUBSTITUTE(SUBSTITUTE("type:"&amp;B1405,"%","%25"),"~","%7E"),"*","%2A"),"?","%3F"),'Rules'!$G$7:$G$26,0))),"Unit mismatch",IF(IF(NOT(ISNUMBER(D1405)),TRUE,OR(D1405&lt;0,D1405&gt;999999999,ROUND(D1405,3)&lt;&gt;D1405)),"Invalid current reading",IF(AND(E1405&lt;&gt;"",IF(NOT(ISNUMBER(E1405)),TRUE,OR(E1405&lt;0,E1405&gt;999999999,ROUND(E1405,3)&lt;&gt;E1405))),"Invalid previous reading",IF(IF(NOT(ISNUMBER(F1405)),TRUE,OR(F1405&lt;0,F1405&gt;999999999,ROUND(F1405,3)&lt;&gt;F1405)),"Invalid last service",IF(AND(E1405&lt;&gt;"",D1405&lt;E1405),"Decreased reading",IF(F1405&gt;D1405,"Last service above current","")))))))))))))</x:f>
      </x:c>
      <x:c r="L1405" s="6" t="str">
        <x:f>IF(AND(NOT(COUNTA(A1405:F1405)=0),K1405=""),INDEX('Rules'!$C$7:$C$26,MATCH(SUBSTITUTE(SUBSTITUTE(SUBSTITUTE(SUBSTITUTE("type:"&amp;B1405,"%","%25"),"~","%7E"),"*","%2A"),"?","%3F"),'Rules'!$G$7:$G$26,0)),"")</x:f>
      </x:c>
      <x:c r="M1405" s="6" t="str">
        <x:f>IF(AND(NOT(COUNTA(A1405:F1405)=0),K1405=""),INDEX('Rules'!$D$7:$D$26,MATCH(SUBSTITUTE(SUBSTITUTE(SUBSTITUTE(SUBSTITUTE("type:"&amp;B1405,"%","%25"),"~","%7E"),"*","%2A"),"?","%3F"),'Rules'!$G$7:$G$26,0)),"")</x:f>
      </x:c>
      <x:c r="N1405" s="5" t="str">
        <x:f>IF(COUNTA(A1405:F1405)=0,"",SUBSTITUTE(SUBSTITUTE(SUBSTITUTE(SUBSTITUTE("id:"&amp;A1405,"%","%25"),"~","%7E"),"*","%2A"),"?","%3F"))</x:f>
      </x:c>
    </x:row>
    <x:row r="1406" ht="22" customHeight="1">
      <x:c r="A1406" s="3"/>
      <x:c r="B1406" s="3"/>
      <x:c r="C1406" s="3"/>
      <x:c r="D1406" s="4"/>
      <x:c r="E1406" s="4"/>
      <x:c r="F1406" s="4"/>
      <x:c r="G1406" s="5" t="str">
        <x:f>IF(COUNTA(A1406:F1406)=0,"",IF(K1406&lt;&gt;"","Review",IF(I1406&lt;0,"Overdue",IF(I1406=0,"Due now",IF(I1406&lt;=M1406,"Due soon","Not due")))))</x:f>
      </x:c>
      <x:c r="H1406" s="5" t="str">
        <x:f>IF(OR(COUNTA(A1406:F1406)=0,COUNTIFS('Rules'!$G$7:$G$26,"="&amp;(SUBSTITUTE(SUBSTITUTE(SUBSTITUTE(SUBSTITUTE("type:"&amp;B1406,"%","%25"),"~","%7E"),"*","%2A"),"?","%3F")))&lt;&gt;1),"",IF(OR(INDEX('Rules'!$B$7:$B$26,MATCH(SUBSTITUTE(SUBSTITUTE(SUBSTITUTE(SUBSTITUTE("type:"&amp;B1406,"%","%25"),"~","%7E"),"*","%2A"),"?","%3F"),'Rules'!$G$7:$G$26,0))="hours",INDEX('Rules'!$B$7:$B$26,MATCH(SUBSTITUTE(SUBSTITUTE(SUBSTITUTE(SUBSTITUTE("type:"&amp;B1406,"%","%25"),"~","%7E"),"*","%2A"),"?","%3F"),'Rules'!$G$7:$G$26,0))="km"),INDEX('Rules'!$B$7:$B$26,MATCH(SUBSTITUTE(SUBSTITUTE(SUBSTITUTE(SUBSTITUTE("type:"&amp;B1406,"%","%25"),"~","%7E"),"*","%2A"),"?","%3F"),'Rules'!$G$7:$G$26,0)),""))</x:f>
      </x:c>
      <x:c r="I1406" s="6" t="str">
        <x:f>IF(AND(NOT(COUNTA(A1406:F1406)=0),K1406=""),ROUND(J1406-D1406,3),"")</x:f>
      </x:c>
      <x:c r="J1406" s="6" t="str">
        <x:f>IF(AND(NOT(COUNTA(A1406:F1406)=0),K1406=""),ROUND(F1406+L1406,3),"")</x:f>
      </x:c>
      <x:c r="K1406" s="5" t="str">
        <x:f>IF(COUNTA(A1406:F1406)=0,"",IF(A1406="","Missing equipment ID",IF(COUNTIFS($N$8:$N$2007,"="&amp;N1406)&gt;1,"Duplicate equipment ID",IF(B1406="","Missing type",IF(COUNTIFS('Rules'!$G$7:$G$26,"="&amp;(SUBSTITUTE(SUBSTITUTE(SUBSTITUTE(SUBSTITUTE("type:"&amp;B1406,"%","%25"),"~","%7E"),"*","%2A"),"?","%3F")))=0,"Unknown type",IF(COUNTIFS('Rules'!$G$7:$G$26,"="&amp;(SUBSTITUTE(SUBSTITUTE(SUBSTITUTE(SUBSTITUTE("type:"&amp;B1406,"%","%25"),"~","%7E"),"*","%2A"),"?","%3F")))&gt;1,"Duplicate type",IF(INDEX('Rules'!$F$7:$F$26,MATCH(SUBSTITUTE(SUBSTITUTE(SUBSTITUTE(SUBSTITUTE("type:"&amp;B1406,"%","%25"),"~","%7E"),"*","%2A"),"?","%3F"),'Rules'!$G$7:$G$26,0))&lt;&gt;"",INDEX('Rules'!$F$7:$F$26,MATCH(SUBSTITUTE(SUBSTITUTE(SUBSTITUTE(SUBSTITUTE("type:"&amp;B1406,"%","%25"),"~","%7E"),"*","%2A"),"?","%3F"),'Rules'!$G$7:$G$26,0)),IF(AND(C1406&lt;&gt;"",C1406&lt;&gt;INDEX('Rules'!$B$7:$B$26,MATCH(SUBSTITUTE(SUBSTITUTE(SUBSTITUTE(SUBSTITUTE("type:"&amp;B1406,"%","%25"),"~","%7E"),"*","%2A"),"?","%3F"),'Rules'!$G$7:$G$26,0))),"Unit mismatch",IF(IF(NOT(ISNUMBER(D1406)),TRUE,OR(D1406&lt;0,D1406&gt;999999999,ROUND(D1406,3)&lt;&gt;D1406)),"Invalid current reading",IF(AND(E1406&lt;&gt;"",IF(NOT(ISNUMBER(E1406)),TRUE,OR(E1406&lt;0,E1406&gt;999999999,ROUND(E1406,3)&lt;&gt;E1406))),"Invalid previous reading",IF(IF(NOT(ISNUMBER(F1406)),TRUE,OR(F1406&lt;0,F1406&gt;999999999,ROUND(F1406,3)&lt;&gt;F1406)),"Invalid last service",IF(AND(E1406&lt;&gt;"",D1406&lt;E1406),"Decreased reading",IF(F1406&gt;D1406,"Last service above current","")))))))))))))</x:f>
      </x:c>
      <x:c r="L1406" s="6" t="str">
        <x:f>IF(AND(NOT(COUNTA(A1406:F1406)=0),K1406=""),INDEX('Rules'!$C$7:$C$26,MATCH(SUBSTITUTE(SUBSTITUTE(SUBSTITUTE(SUBSTITUTE("type:"&amp;B1406,"%","%25"),"~","%7E"),"*","%2A"),"?","%3F"),'Rules'!$G$7:$G$26,0)),"")</x:f>
      </x:c>
      <x:c r="M1406" s="6" t="str">
        <x:f>IF(AND(NOT(COUNTA(A1406:F1406)=0),K1406=""),INDEX('Rules'!$D$7:$D$26,MATCH(SUBSTITUTE(SUBSTITUTE(SUBSTITUTE(SUBSTITUTE("type:"&amp;B1406,"%","%25"),"~","%7E"),"*","%2A"),"?","%3F"),'Rules'!$G$7:$G$26,0)),"")</x:f>
      </x:c>
      <x:c r="N1406" s="5" t="str">
        <x:f>IF(COUNTA(A1406:F1406)=0,"",SUBSTITUTE(SUBSTITUTE(SUBSTITUTE(SUBSTITUTE("id:"&amp;A1406,"%","%25"),"~","%7E"),"*","%2A"),"?","%3F"))</x:f>
      </x:c>
    </x:row>
    <x:row r="1407" ht="22" customHeight="1">
      <x:c r="A1407" s="3"/>
      <x:c r="B1407" s="3"/>
      <x:c r="C1407" s="3"/>
      <x:c r="D1407" s="4"/>
      <x:c r="E1407" s="4"/>
      <x:c r="F1407" s="4"/>
      <x:c r="G1407" s="5" t="str">
        <x:f>IF(COUNTA(A1407:F1407)=0,"",IF(K1407&lt;&gt;"","Review",IF(I1407&lt;0,"Overdue",IF(I1407=0,"Due now",IF(I1407&lt;=M1407,"Due soon","Not due")))))</x:f>
      </x:c>
      <x:c r="H1407" s="5" t="str">
        <x:f>IF(OR(COUNTA(A1407:F1407)=0,COUNTIFS('Rules'!$G$7:$G$26,"="&amp;(SUBSTITUTE(SUBSTITUTE(SUBSTITUTE(SUBSTITUTE("type:"&amp;B1407,"%","%25"),"~","%7E"),"*","%2A"),"?","%3F")))&lt;&gt;1),"",IF(OR(INDEX('Rules'!$B$7:$B$26,MATCH(SUBSTITUTE(SUBSTITUTE(SUBSTITUTE(SUBSTITUTE("type:"&amp;B1407,"%","%25"),"~","%7E"),"*","%2A"),"?","%3F"),'Rules'!$G$7:$G$26,0))="hours",INDEX('Rules'!$B$7:$B$26,MATCH(SUBSTITUTE(SUBSTITUTE(SUBSTITUTE(SUBSTITUTE("type:"&amp;B1407,"%","%25"),"~","%7E"),"*","%2A"),"?","%3F"),'Rules'!$G$7:$G$26,0))="km"),INDEX('Rules'!$B$7:$B$26,MATCH(SUBSTITUTE(SUBSTITUTE(SUBSTITUTE(SUBSTITUTE("type:"&amp;B1407,"%","%25"),"~","%7E"),"*","%2A"),"?","%3F"),'Rules'!$G$7:$G$26,0)),""))</x:f>
      </x:c>
      <x:c r="I1407" s="6" t="str">
        <x:f>IF(AND(NOT(COUNTA(A1407:F1407)=0),K1407=""),ROUND(J1407-D1407,3),"")</x:f>
      </x:c>
      <x:c r="J1407" s="6" t="str">
        <x:f>IF(AND(NOT(COUNTA(A1407:F1407)=0),K1407=""),ROUND(F1407+L1407,3),"")</x:f>
      </x:c>
      <x:c r="K1407" s="5" t="str">
        <x:f>IF(COUNTA(A1407:F1407)=0,"",IF(A1407="","Missing equipment ID",IF(COUNTIFS($N$8:$N$2007,"="&amp;N1407)&gt;1,"Duplicate equipment ID",IF(B1407="","Missing type",IF(COUNTIFS('Rules'!$G$7:$G$26,"="&amp;(SUBSTITUTE(SUBSTITUTE(SUBSTITUTE(SUBSTITUTE("type:"&amp;B1407,"%","%25"),"~","%7E"),"*","%2A"),"?","%3F")))=0,"Unknown type",IF(COUNTIFS('Rules'!$G$7:$G$26,"="&amp;(SUBSTITUTE(SUBSTITUTE(SUBSTITUTE(SUBSTITUTE("type:"&amp;B1407,"%","%25"),"~","%7E"),"*","%2A"),"?","%3F")))&gt;1,"Duplicate type",IF(INDEX('Rules'!$F$7:$F$26,MATCH(SUBSTITUTE(SUBSTITUTE(SUBSTITUTE(SUBSTITUTE("type:"&amp;B1407,"%","%25"),"~","%7E"),"*","%2A"),"?","%3F"),'Rules'!$G$7:$G$26,0))&lt;&gt;"",INDEX('Rules'!$F$7:$F$26,MATCH(SUBSTITUTE(SUBSTITUTE(SUBSTITUTE(SUBSTITUTE("type:"&amp;B1407,"%","%25"),"~","%7E"),"*","%2A"),"?","%3F"),'Rules'!$G$7:$G$26,0)),IF(AND(C1407&lt;&gt;"",C1407&lt;&gt;INDEX('Rules'!$B$7:$B$26,MATCH(SUBSTITUTE(SUBSTITUTE(SUBSTITUTE(SUBSTITUTE("type:"&amp;B1407,"%","%25"),"~","%7E"),"*","%2A"),"?","%3F"),'Rules'!$G$7:$G$26,0))),"Unit mismatch",IF(IF(NOT(ISNUMBER(D1407)),TRUE,OR(D1407&lt;0,D1407&gt;999999999,ROUND(D1407,3)&lt;&gt;D1407)),"Invalid current reading",IF(AND(E1407&lt;&gt;"",IF(NOT(ISNUMBER(E1407)),TRUE,OR(E1407&lt;0,E1407&gt;999999999,ROUND(E1407,3)&lt;&gt;E1407))),"Invalid previous reading",IF(IF(NOT(ISNUMBER(F1407)),TRUE,OR(F1407&lt;0,F1407&gt;999999999,ROUND(F1407,3)&lt;&gt;F1407)),"Invalid last service",IF(AND(E1407&lt;&gt;"",D1407&lt;E1407),"Decreased reading",IF(F1407&gt;D1407,"Last service above current","")))))))))))))</x:f>
      </x:c>
      <x:c r="L1407" s="6" t="str">
        <x:f>IF(AND(NOT(COUNTA(A1407:F1407)=0),K1407=""),INDEX('Rules'!$C$7:$C$26,MATCH(SUBSTITUTE(SUBSTITUTE(SUBSTITUTE(SUBSTITUTE("type:"&amp;B1407,"%","%25"),"~","%7E"),"*","%2A"),"?","%3F"),'Rules'!$G$7:$G$26,0)),"")</x:f>
      </x:c>
      <x:c r="M1407" s="6" t="str">
        <x:f>IF(AND(NOT(COUNTA(A1407:F1407)=0),K1407=""),INDEX('Rules'!$D$7:$D$26,MATCH(SUBSTITUTE(SUBSTITUTE(SUBSTITUTE(SUBSTITUTE("type:"&amp;B1407,"%","%25"),"~","%7E"),"*","%2A"),"?","%3F"),'Rules'!$G$7:$G$26,0)),"")</x:f>
      </x:c>
      <x:c r="N1407" s="5" t="str">
        <x:f>IF(COUNTA(A1407:F1407)=0,"",SUBSTITUTE(SUBSTITUTE(SUBSTITUTE(SUBSTITUTE("id:"&amp;A1407,"%","%25"),"~","%7E"),"*","%2A"),"?","%3F"))</x:f>
      </x:c>
    </x:row>
    <x:row r="1408" ht="22" customHeight="1">
      <x:c r="A1408" s="3"/>
      <x:c r="B1408" s="3"/>
      <x:c r="C1408" s="3"/>
      <x:c r="D1408" s="4"/>
      <x:c r="E1408" s="4"/>
      <x:c r="F1408" s="4"/>
      <x:c r="G1408" s="5" t="str">
        <x:f>IF(COUNTA(A1408:F1408)=0,"",IF(K1408&lt;&gt;"","Review",IF(I1408&lt;0,"Overdue",IF(I1408=0,"Due now",IF(I1408&lt;=M1408,"Due soon","Not due")))))</x:f>
      </x:c>
      <x:c r="H1408" s="5" t="str">
        <x:f>IF(OR(COUNTA(A1408:F1408)=0,COUNTIFS('Rules'!$G$7:$G$26,"="&amp;(SUBSTITUTE(SUBSTITUTE(SUBSTITUTE(SUBSTITUTE("type:"&amp;B1408,"%","%25"),"~","%7E"),"*","%2A"),"?","%3F")))&lt;&gt;1),"",IF(OR(INDEX('Rules'!$B$7:$B$26,MATCH(SUBSTITUTE(SUBSTITUTE(SUBSTITUTE(SUBSTITUTE("type:"&amp;B1408,"%","%25"),"~","%7E"),"*","%2A"),"?","%3F"),'Rules'!$G$7:$G$26,0))="hours",INDEX('Rules'!$B$7:$B$26,MATCH(SUBSTITUTE(SUBSTITUTE(SUBSTITUTE(SUBSTITUTE("type:"&amp;B1408,"%","%25"),"~","%7E"),"*","%2A"),"?","%3F"),'Rules'!$G$7:$G$26,0))="km"),INDEX('Rules'!$B$7:$B$26,MATCH(SUBSTITUTE(SUBSTITUTE(SUBSTITUTE(SUBSTITUTE("type:"&amp;B1408,"%","%25"),"~","%7E"),"*","%2A"),"?","%3F"),'Rules'!$G$7:$G$26,0)),""))</x:f>
      </x:c>
      <x:c r="I1408" s="6" t="str">
        <x:f>IF(AND(NOT(COUNTA(A1408:F1408)=0),K1408=""),ROUND(J1408-D1408,3),"")</x:f>
      </x:c>
      <x:c r="J1408" s="6" t="str">
        <x:f>IF(AND(NOT(COUNTA(A1408:F1408)=0),K1408=""),ROUND(F1408+L1408,3),"")</x:f>
      </x:c>
      <x:c r="K1408" s="5" t="str">
        <x:f>IF(COUNTA(A1408:F1408)=0,"",IF(A1408="","Missing equipment ID",IF(COUNTIFS($N$8:$N$2007,"="&amp;N1408)&gt;1,"Duplicate equipment ID",IF(B1408="","Missing type",IF(COUNTIFS('Rules'!$G$7:$G$26,"="&amp;(SUBSTITUTE(SUBSTITUTE(SUBSTITUTE(SUBSTITUTE("type:"&amp;B1408,"%","%25"),"~","%7E"),"*","%2A"),"?","%3F")))=0,"Unknown type",IF(COUNTIFS('Rules'!$G$7:$G$26,"="&amp;(SUBSTITUTE(SUBSTITUTE(SUBSTITUTE(SUBSTITUTE("type:"&amp;B1408,"%","%25"),"~","%7E"),"*","%2A"),"?","%3F")))&gt;1,"Duplicate type",IF(INDEX('Rules'!$F$7:$F$26,MATCH(SUBSTITUTE(SUBSTITUTE(SUBSTITUTE(SUBSTITUTE("type:"&amp;B1408,"%","%25"),"~","%7E"),"*","%2A"),"?","%3F"),'Rules'!$G$7:$G$26,0))&lt;&gt;"",INDEX('Rules'!$F$7:$F$26,MATCH(SUBSTITUTE(SUBSTITUTE(SUBSTITUTE(SUBSTITUTE("type:"&amp;B1408,"%","%25"),"~","%7E"),"*","%2A"),"?","%3F"),'Rules'!$G$7:$G$26,0)),IF(AND(C1408&lt;&gt;"",C1408&lt;&gt;INDEX('Rules'!$B$7:$B$26,MATCH(SUBSTITUTE(SUBSTITUTE(SUBSTITUTE(SUBSTITUTE("type:"&amp;B1408,"%","%25"),"~","%7E"),"*","%2A"),"?","%3F"),'Rules'!$G$7:$G$26,0))),"Unit mismatch",IF(IF(NOT(ISNUMBER(D1408)),TRUE,OR(D1408&lt;0,D1408&gt;999999999,ROUND(D1408,3)&lt;&gt;D1408)),"Invalid current reading",IF(AND(E1408&lt;&gt;"",IF(NOT(ISNUMBER(E1408)),TRUE,OR(E1408&lt;0,E1408&gt;999999999,ROUND(E1408,3)&lt;&gt;E1408))),"Invalid previous reading",IF(IF(NOT(ISNUMBER(F1408)),TRUE,OR(F1408&lt;0,F1408&gt;999999999,ROUND(F1408,3)&lt;&gt;F1408)),"Invalid last service",IF(AND(E1408&lt;&gt;"",D1408&lt;E1408),"Decreased reading",IF(F1408&gt;D1408,"Last service above current","")))))))))))))</x:f>
      </x:c>
      <x:c r="L1408" s="6" t="str">
        <x:f>IF(AND(NOT(COUNTA(A1408:F1408)=0),K1408=""),INDEX('Rules'!$C$7:$C$26,MATCH(SUBSTITUTE(SUBSTITUTE(SUBSTITUTE(SUBSTITUTE("type:"&amp;B1408,"%","%25"),"~","%7E"),"*","%2A"),"?","%3F"),'Rules'!$G$7:$G$26,0)),"")</x:f>
      </x:c>
      <x:c r="M1408" s="6" t="str">
        <x:f>IF(AND(NOT(COUNTA(A1408:F1408)=0),K1408=""),INDEX('Rules'!$D$7:$D$26,MATCH(SUBSTITUTE(SUBSTITUTE(SUBSTITUTE(SUBSTITUTE("type:"&amp;B1408,"%","%25"),"~","%7E"),"*","%2A"),"?","%3F"),'Rules'!$G$7:$G$26,0)),"")</x:f>
      </x:c>
      <x:c r="N1408" s="5" t="str">
        <x:f>IF(COUNTA(A1408:F1408)=0,"",SUBSTITUTE(SUBSTITUTE(SUBSTITUTE(SUBSTITUTE("id:"&amp;A1408,"%","%25"),"~","%7E"),"*","%2A"),"?","%3F"))</x:f>
      </x:c>
    </x:row>
    <x:row r="1409" ht="22" customHeight="1">
      <x:c r="A1409" s="3"/>
      <x:c r="B1409" s="3"/>
      <x:c r="C1409" s="3"/>
      <x:c r="D1409" s="4"/>
      <x:c r="E1409" s="4"/>
      <x:c r="F1409" s="4"/>
      <x:c r="G1409" s="5" t="str">
        <x:f>IF(COUNTA(A1409:F1409)=0,"",IF(K1409&lt;&gt;"","Review",IF(I1409&lt;0,"Overdue",IF(I1409=0,"Due now",IF(I1409&lt;=M1409,"Due soon","Not due")))))</x:f>
      </x:c>
      <x:c r="H1409" s="5" t="str">
        <x:f>IF(OR(COUNTA(A1409:F1409)=0,COUNTIFS('Rules'!$G$7:$G$26,"="&amp;(SUBSTITUTE(SUBSTITUTE(SUBSTITUTE(SUBSTITUTE("type:"&amp;B1409,"%","%25"),"~","%7E"),"*","%2A"),"?","%3F")))&lt;&gt;1),"",IF(OR(INDEX('Rules'!$B$7:$B$26,MATCH(SUBSTITUTE(SUBSTITUTE(SUBSTITUTE(SUBSTITUTE("type:"&amp;B1409,"%","%25"),"~","%7E"),"*","%2A"),"?","%3F"),'Rules'!$G$7:$G$26,0))="hours",INDEX('Rules'!$B$7:$B$26,MATCH(SUBSTITUTE(SUBSTITUTE(SUBSTITUTE(SUBSTITUTE("type:"&amp;B1409,"%","%25"),"~","%7E"),"*","%2A"),"?","%3F"),'Rules'!$G$7:$G$26,0))="km"),INDEX('Rules'!$B$7:$B$26,MATCH(SUBSTITUTE(SUBSTITUTE(SUBSTITUTE(SUBSTITUTE("type:"&amp;B1409,"%","%25"),"~","%7E"),"*","%2A"),"?","%3F"),'Rules'!$G$7:$G$26,0)),""))</x:f>
      </x:c>
      <x:c r="I1409" s="6" t="str">
        <x:f>IF(AND(NOT(COUNTA(A1409:F1409)=0),K1409=""),ROUND(J1409-D1409,3),"")</x:f>
      </x:c>
      <x:c r="J1409" s="6" t="str">
        <x:f>IF(AND(NOT(COUNTA(A1409:F1409)=0),K1409=""),ROUND(F1409+L1409,3),"")</x:f>
      </x:c>
      <x:c r="K1409" s="5" t="str">
        <x:f>IF(COUNTA(A1409:F1409)=0,"",IF(A1409="","Missing equipment ID",IF(COUNTIFS($N$8:$N$2007,"="&amp;N1409)&gt;1,"Duplicate equipment ID",IF(B1409="","Missing type",IF(COUNTIFS('Rules'!$G$7:$G$26,"="&amp;(SUBSTITUTE(SUBSTITUTE(SUBSTITUTE(SUBSTITUTE("type:"&amp;B1409,"%","%25"),"~","%7E"),"*","%2A"),"?","%3F")))=0,"Unknown type",IF(COUNTIFS('Rules'!$G$7:$G$26,"="&amp;(SUBSTITUTE(SUBSTITUTE(SUBSTITUTE(SUBSTITUTE("type:"&amp;B1409,"%","%25"),"~","%7E"),"*","%2A"),"?","%3F")))&gt;1,"Duplicate type",IF(INDEX('Rules'!$F$7:$F$26,MATCH(SUBSTITUTE(SUBSTITUTE(SUBSTITUTE(SUBSTITUTE("type:"&amp;B1409,"%","%25"),"~","%7E"),"*","%2A"),"?","%3F"),'Rules'!$G$7:$G$26,0))&lt;&gt;"",INDEX('Rules'!$F$7:$F$26,MATCH(SUBSTITUTE(SUBSTITUTE(SUBSTITUTE(SUBSTITUTE("type:"&amp;B1409,"%","%25"),"~","%7E"),"*","%2A"),"?","%3F"),'Rules'!$G$7:$G$26,0)),IF(AND(C1409&lt;&gt;"",C1409&lt;&gt;INDEX('Rules'!$B$7:$B$26,MATCH(SUBSTITUTE(SUBSTITUTE(SUBSTITUTE(SUBSTITUTE("type:"&amp;B1409,"%","%25"),"~","%7E"),"*","%2A"),"?","%3F"),'Rules'!$G$7:$G$26,0))),"Unit mismatch",IF(IF(NOT(ISNUMBER(D1409)),TRUE,OR(D1409&lt;0,D1409&gt;999999999,ROUND(D1409,3)&lt;&gt;D1409)),"Invalid current reading",IF(AND(E1409&lt;&gt;"",IF(NOT(ISNUMBER(E1409)),TRUE,OR(E1409&lt;0,E1409&gt;999999999,ROUND(E1409,3)&lt;&gt;E1409))),"Invalid previous reading",IF(IF(NOT(ISNUMBER(F1409)),TRUE,OR(F1409&lt;0,F1409&gt;999999999,ROUND(F1409,3)&lt;&gt;F1409)),"Invalid last service",IF(AND(E1409&lt;&gt;"",D1409&lt;E1409),"Decreased reading",IF(F1409&gt;D1409,"Last service above current","")))))))))))))</x:f>
      </x:c>
      <x:c r="L1409" s="6" t="str">
        <x:f>IF(AND(NOT(COUNTA(A1409:F1409)=0),K1409=""),INDEX('Rules'!$C$7:$C$26,MATCH(SUBSTITUTE(SUBSTITUTE(SUBSTITUTE(SUBSTITUTE("type:"&amp;B1409,"%","%25"),"~","%7E"),"*","%2A"),"?","%3F"),'Rules'!$G$7:$G$26,0)),"")</x:f>
      </x:c>
      <x:c r="M1409" s="6" t="str">
        <x:f>IF(AND(NOT(COUNTA(A1409:F1409)=0),K1409=""),INDEX('Rules'!$D$7:$D$26,MATCH(SUBSTITUTE(SUBSTITUTE(SUBSTITUTE(SUBSTITUTE("type:"&amp;B1409,"%","%25"),"~","%7E"),"*","%2A"),"?","%3F"),'Rules'!$G$7:$G$26,0)),"")</x:f>
      </x:c>
      <x:c r="N1409" s="5" t="str">
        <x:f>IF(COUNTA(A1409:F1409)=0,"",SUBSTITUTE(SUBSTITUTE(SUBSTITUTE(SUBSTITUTE("id:"&amp;A1409,"%","%25"),"~","%7E"),"*","%2A"),"?","%3F"))</x:f>
      </x:c>
    </x:row>
    <x:row r="1410" ht="22" customHeight="1">
      <x:c r="A1410" s="3"/>
      <x:c r="B1410" s="3"/>
      <x:c r="C1410" s="3"/>
      <x:c r="D1410" s="4"/>
      <x:c r="E1410" s="4"/>
      <x:c r="F1410" s="4"/>
      <x:c r="G1410" s="5" t="str">
        <x:f>IF(COUNTA(A1410:F1410)=0,"",IF(K1410&lt;&gt;"","Review",IF(I1410&lt;0,"Overdue",IF(I1410=0,"Due now",IF(I1410&lt;=M1410,"Due soon","Not due")))))</x:f>
      </x:c>
      <x:c r="H1410" s="5" t="str">
        <x:f>IF(OR(COUNTA(A1410:F1410)=0,COUNTIFS('Rules'!$G$7:$G$26,"="&amp;(SUBSTITUTE(SUBSTITUTE(SUBSTITUTE(SUBSTITUTE("type:"&amp;B1410,"%","%25"),"~","%7E"),"*","%2A"),"?","%3F")))&lt;&gt;1),"",IF(OR(INDEX('Rules'!$B$7:$B$26,MATCH(SUBSTITUTE(SUBSTITUTE(SUBSTITUTE(SUBSTITUTE("type:"&amp;B1410,"%","%25"),"~","%7E"),"*","%2A"),"?","%3F"),'Rules'!$G$7:$G$26,0))="hours",INDEX('Rules'!$B$7:$B$26,MATCH(SUBSTITUTE(SUBSTITUTE(SUBSTITUTE(SUBSTITUTE("type:"&amp;B1410,"%","%25"),"~","%7E"),"*","%2A"),"?","%3F"),'Rules'!$G$7:$G$26,0))="km"),INDEX('Rules'!$B$7:$B$26,MATCH(SUBSTITUTE(SUBSTITUTE(SUBSTITUTE(SUBSTITUTE("type:"&amp;B1410,"%","%25"),"~","%7E"),"*","%2A"),"?","%3F"),'Rules'!$G$7:$G$26,0)),""))</x:f>
      </x:c>
      <x:c r="I1410" s="6" t="str">
        <x:f>IF(AND(NOT(COUNTA(A1410:F1410)=0),K1410=""),ROUND(J1410-D1410,3),"")</x:f>
      </x:c>
      <x:c r="J1410" s="6" t="str">
        <x:f>IF(AND(NOT(COUNTA(A1410:F1410)=0),K1410=""),ROUND(F1410+L1410,3),"")</x:f>
      </x:c>
      <x:c r="K1410" s="5" t="str">
        <x:f>IF(COUNTA(A1410:F1410)=0,"",IF(A1410="","Missing equipment ID",IF(COUNTIFS($N$8:$N$2007,"="&amp;N1410)&gt;1,"Duplicate equipment ID",IF(B1410="","Missing type",IF(COUNTIFS('Rules'!$G$7:$G$26,"="&amp;(SUBSTITUTE(SUBSTITUTE(SUBSTITUTE(SUBSTITUTE("type:"&amp;B1410,"%","%25"),"~","%7E"),"*","%2A"),"?","%3F")))=0,"Unknown type",IF(COUNTIFS('Rules'!$G$7:$G$26,"="&amp;(SUBSTITUTE(SUBSTITUTE(SUBSTITUTE(SUBSTITUTE("type:"&amp;B1410,"%","%25"),"~","%7E"),"*","%2A"),"?","%3F")))&gt;1,"Duplicate type",IF(INDEX('Rules'!$F$7:$F$26,MATCH(SUBSTITUTE(SUBSTITUTE(SUBSTITUTE(SUBSTITUTE("type:"&amp;B1410,"%","%25"),"~","%7E"),"*","%2A"),"?","%3F"),'Rules'!$G$7:$G$26,0))&lt;&gt;"",INDEX('Rules'!$F$7:$F$26,MATCH(SUBSTITUTE(SUBSTITUTE(SUBSTITUTE(SUBSTITUTE("type:"&amp;B1410,"%","%25"),"~","%7E"),"*","%2A"),"?","%3F"),'Rules'!$G$7:$G$26,0)),IF(AND(C1410&lt;&gt;"",C1410&lt;&gt;INDEX('Rules'!$B$7:$B$26,MATCH(SUBSTITUTE(SUBSTITUTE(SUBSTITUTE(SUBSTITUTE("type:"&amp;B1410,"%","%25"),"~","%7E"),"*","%2A"),"?","%3F"),'Rules'!$G$7:$G$26,0))),"Unit mismatch",IF(IF(NOT(ISNUMBER(D1410)),TRUE,OR(D1410&lt;0,D1410&gt;999999999,ROUND(D1410,3)&lt;&gt;D1410)),"Invalid current reading",IF(AND(E1410&lt;&gt;"",IF(NOT(ISNUMBER(E1410)),TRUE,OR(E1410&lt;0,E1410&gt;999999999,ROUND(E1410,3)&lt;&gt;E1410))),"Invalid previous reading",IF(IF(NOT(ISNUMBER(F1410)),TRUE,OR(F1410&lt;0,F1410&gt;999999999,ROUND(F1410,3)&lt;&gt;F1410)),"Invalid last service",IF(AND(E1410&lt;&gt;"",D1410&lt;E1410),"Decreased reading",IF(F1410&gt;D1410,"Last service above current","")))))))))))))</x:f>
      </x:c>
      <x:c r="L1410" s="6" t="str">
        <x:f>IF(AND(NOT(COUNTA(A1410:F1410)=0),K1410=""),INDEX('Rules'!$C$7:$C$26,MATCH(SUBSTITUTE(SUBSTITUTE(SUBSTITUTE(SUBSTITUTE("type:"&amp;B1410,"%","%25"),"~","%7E"),"*","%2A"),"?","%3F"),'Rules'!$G$7:$G$26,0)),"")</x:f>
      </x:c>
      <x:c r="M1410" s="6" t="str">
        <x:f>IF(AND(NOT(COUNTA(A1410:F1410)=0),K1410=""),INDEX('Rules'!$D$7:$D$26,MATCH(SUBSTITUTE(SUBSTITUTE(SUBSTITUTE(SUBSTITUTE("type:"&amp;B1410,"%","%25"),"~","%7E"),"*","%2A"),"?","%3F"),'Rules'!$G$7:$G$26,0)),"")</x:f>
      </x:c>
      <x:c r="N1410" s="5" t="str">
        <x:f>IF(COUNTA(A1410:F1410)=0,"",SUBSTITUTE(SUBSTITUTE(SUBSTITUTE(SUBSTITUTE("id:"&amp;A1410,"%","%25"),"~","%7E"),"*","%2A"),"?","%3F"))</x:f>
      </x:c>
    </x:row>
    <x:row r="1411" ht="22" customHeight="1">
      <x:c r="A1411" s="3"/>
      <x:c r="B1411" s="3"/>
      <x:c r="C1411" s="3"/>
      <x:c r="D1411" s="4"/>
      <x:c r="E1411" s="4"/>
      <x:c r="F1411" s="4"/>
      <x:c r="G1411" s="5" t="str">
        <x:f>IF(COUNTA(A1411:F1411)=0,"",IF(K1411&lt;&gt;"","Review",IF(I1411&lt;0,"Overdue",IF(I1411=0,"Due now",IF(I1411&lt;=M1411,"Due soon","Not due")))))</x:f>
      </x:c>
      <x:c r="H1411" s="5" t="str">
        <x:f>IF(OR(COUNTA(A1411:F1411)=0,COUNTIFS('Rules'!$G$7:$G$26,"="&amp;(SUBSTITUTE(SUBSTITUTE(SUBSTITUTE(SUBSTITUTE("type:"&amp;B1411,"%","%25"),"~","%7E"),"*","%2A"),"?","%3F")))&lt;&gt;1),"",IF(OR(INDEX('Rules'!$B$7:$B$26,MATCH(SUBSTITUTE(SUBSTITUTE(SUBSTITUTE(SUBSTITUTE("type:"&amp;B1411,"%","%25"),"~","%7E"),"*","%2A"),"?","%3F"),'Rules'!$G$7:$G$26,0))="hours",INDEX('Rules'!$B$7:$B$26,MATCH(SUBSTITUTE(SUBSTITUTE(SUBSTITUTE(SUBSTITUTE("type:"&amp;B1411,"%","%25"),"~","%7E"),"*","%2A"),"?","%3F"),'Rules'!$G$7:$G$26,0))="km"),INDEX('Rules'!$B$7:$B$26,MATCH(SUBSTITUTE(SUBSTITUTE(SUBSTITUTE(SUBSTITUTE("type:"&amp;B1411,"%","%25"),"~","%7E"),"*","%2A"),"?","%3F"),'Rules'!$G$7:$G$26,0)),""))</x:f>
      </x:c>
      <x:c r="I1411" s="6" t="str">
        <x:f>IF(AND(NOT(COUNTA(A1411:F1411)=0),K1411=""),ROUND(J1411-D1411,3),"")</x:f>
      </x:c>
      <x:c r="J1411" s="6" t="str">
        <x:f>IF(AND(NOT(COUNTA(A1411:F1411)=0),K1411=""),ROUND(F1411+L1411,3),"")</x:f>
      </x:c>
      <x:c r="K1411" s="5" t="str">
        <x:f>IF(COUNTA(A1411:F1411)=0,"",IF(A1411="","Missing equipment ID",IF(COUNTIFS($N$8:$N$2007,"="&amp;N1411)&gt;1,"Duplicate equipment ID",IF(B1411="","Missing type",IF(COUNTIFS('Rules'!$G$7:$G$26,"="&amp;(SUBSTITUTE(SUBSTITUTE(SUBSTITUTE(SUBSTITUTE("type:"&amp;B1411,"%","%25"),"~","%7E"),"*","%2A"),"?","%3F")))=0,"Unknown type",IF(COUNTIFS('Rules'!$G$7:$G$26,"="&amp;(SUBSTITUTE(SUBSTITUTE(SUBSTITUTE(SUBSTITUTE("type:"&amp;B1411,"%","%25"),"~","%7E"),"*","%2A"),"?","%3F")))&gt;1,"Duplicate type",IF(INDEX('Rules'!$F$7:$F$26,MATCH(SUBSTITUTE(SUBSTITUTE(SUBSTITUTE(SUBSTITUTE("type:"&amp;B1411,"%","%25"),"~","%7E"),"*","%2A"),"?","%3F"),'Rules'!$G$7:$G$26,0))&lt;&gt;"",INDEX('Rules'!$F$7:$F$26,MATCH(SUBSTITUTE(SUBSTITUTE(SUBSTITUTE(SUBSTITUTE("type:"&amp;B1411,"%","%25"),"~","%7E"),"*","%2A"),"?","%3F"),'Rules'!$G$7:$G$26,0)),IF(AND(C1411&lt;&gt;"",C1411&lt;&gt;INDEX('Rules'!$B$7:$B$26,MATCH(SUBSTITUTE(SUBSTITUTE(SUBSTITUTE(SUBSTITUTE("type:"&amp;B1411,"%","%25"),"~","%7E"),"*","%2A"),"?","%3F"),'Rules'!$G$7:$G$26,0))),"Unit mismatch",IF(IF(NOT(ISNUMBER(D1411)),TRUE,OR(D1411&lt;0,D1411&gt;999999999,ROUND(D1411,3)&lt;&gt;D1411)),"Invalid current reading",IF(AND(E1411&lt;&gt;"",IF(NOT(ISNUMBER(E1411)),TRUE,OR(E1411&lt;0,E1411&gt;999999999,ROUND(E1411,3)&lt;&gt;E1411))),"Invalid previous reading",IF(IF(NOT(ISNUMBER(F1411)),TRUE,OR(F1411&lt;0,F1411&gt;999999999,ROUND(F1411,3)&lt;&gt;F1411)),"Invalid last service",IF(AND(E1411&lt;&gt;"",D1411&lt;E1411),"Decreased reading",IF(F1411&gt;D1411,"Last service above current","")))))))))))))</x:f>
      </x:c>
      <x:c r="L1411" s="6" t="str">
        <x:f>IF(AND(NOT(COUNTA(A1411:F1411)=0),K1411=""),INDEX('Rules'!$C$7:$C$26,MATCH(SUBSTITUTE(SUBSTITUTE(SUBSTITUTE(SUBSTITUTE("type:"&amp;B1411,"%","%25"),"~","%7E"),"*","%2A"),"?","%3F"),'Rules'!$G$7:$G$26,0)),"")</x:f>
      </x:c>
      <x:c r="M1411" s="6" t="str">
        <x:f>IF(AND(NOT(COUNTA(A1411:F1411)=0),K1411=""),INDEX('Rules'!$D$7:$D$26,MATCH(SUBSTITUTE(SUBSTITUTE(SUBSTITUTE(SUBSTITUTE("type:"&amp;B1411,"%","%25"),"~","%7E"),"*","%2A"),"?","%3F"),'Rules'!$G$7:$G$26,0)),"")</x:f>
      </x:c>
      <x:c r="N1411" s="5" t="str">
        <x:f>IF(COUNTA(A1411:F1411)=0,"",SUBSTITUTE(SUBSTITUTE(SUBSTITUTE(SUBSTITUTE("id:"&amp;A1411,"%","%25"),"~","%7E"),"*","%2A"),"?","%3F"))</x:f>
      </x:c>
    </x:row>
    <x:row r="1412" ht="22" customHeight="1">
      <x:c r="A1412" s="3"/>
      <x:c r="B1412" s="3"/>
      <x:c r="C1412" s="3"/>
      <x:c r="D1412" s="4"/>
      <x:c r="E1412" s="4"/>
      <x:c r="F1412" s="4"/>
      <x:c r="G1412" s="5" t="str">
        <x:f>IF(COUNTA(A1412:F1412)=0,"",IF(K1412&lt;&gt;"","Review",IF(I1412&lt;0,"Overdue",IF(I1412=0,"Due now",IF(I1412&lt;=M1412,"Due soon","Not due")))))</x:f>
      </x:c>
      <x:c r="H1412" s="5" t="str">
        <x:f>IF(OR(COUNTA(A1412:F1412)=0,COUNTIFS('Rules'!$G$7:$G$26,"="&amp;(SUBSTITUTE(SUBSTITUTE(SUBSTITUTE(SUBSTITUTE("type:"&amp;B1412,"%","%25"),"~","%7E"),"*","%2A"),"?","%3F")))&lt;&gt;1),"",IF(OR(INDEX('Rules'!$B$7:$B$26,MATCH(SUBSTITUTE(SUBSTITUTE(SUBSTITUTE(SUBSTITUTE("type:"&amp;B1412,"%","%25"),"~","%7E"),"*","%2A"),"?","%3F"),'Rules'!$G$7:$G$26,0))="hours",INDEX('Rules'!$B$7:$B$26,MATCH(SUBSTITUTE(SUBSTITUTE(SUBSTITUTE(SUBSTITUTE("type:"&amp;B1412,"%","%25"),"~","%7E"),"*","%2A"),"?","%3F"),'Rules'!$G$7:$G$26,0))="km"),INDEX('Rules'!$B$7:$B$26,MATCH(SUBSTITUTE(SUBSTITUTE(SUBSTITUTE(SUBSTITUTE("type:"&amp;B1412,"%","%25"),"~","%7E"),"*","%2A"),"?","%3F"),'Rules'!$G$7:$G$26,0)),""))</x:f>
      </x:c>
      <x:c r="I1412" s="6" t="str">
        <x:f>IF(AND(NOT(COUNTA(A1412:F1412)=0),K1412=""),ROUND(J1412-D1412,3),"")</x:f>
      </x:c>
      <x:c r="J1412" s="6" t="str">
        <x:f>IF(AND(NOT(COUNTA(A1412:F1412)=0),K1412=""),ROUND(F1412+L1412,3),"")</x:f>
      </x:c>
      <x:c r="K1412" s="5" t="str">
        <x:f>IF(COUNTA(A1412:F1412)=0,"",IF(A1412="","Missing equipment ID",IF(COUNTIFS($N$8:$N$2007,"="&amp;N1412)&gt;1,"Duplicate equipment ID",IF(B1412="","Missing type",IF(COUNTIFS('Rules'!$G$7:$G$26,"="&amp;(SUBSTITUTE(SUBSTITUTE(SUBSTITUTE(SUBSTITUTE("type:"&amp;B1412,"%","%25"),"~","%7E"),"*","%2A"),"?","%3F")))=0,"Unknown type",IF(COUNTIFS('Rules'!$G$7:$G$26,"="&amp;(SUBSTITUTE(SUBSTITUTE(SUBSTITUTE(SUBSTITUTE("type:"&amp;B1412,"%","%25"),"~","%7E"),"*","%2A"),"?","%3F")))&gt;1,"Duplicate type",IF(INDEX('Rules'!$F$7:$F$26,MATCH(SUBSTITUTE(SUBSTITUTE(SUBSTITUTE(SUBSTITUTE("type:"&amp;B1412,"%","%25"),"~","%7E"),"*","%2A"),"?","%3F"),'Rules'!$G$7:$G$26,0))&lt;&gt;"",INDEX('Rules'!$F$7:$F$26,MATCH(SUBSTITUTE(SUBSTITUTE(SUBSTITUTE(SUBSTITUTE("type:"&amp;B1412,"%","%25"),"~","%7E"),"*","%2A"),"?","%3F"),'Rules'!$G$7:$G$26,0)),IF(AND(C1412&lt;&gt;"",C1412&lt;&gt;INDEX('Rules'!$B$7:$B$26,MATCH(SUBSTITUTE(SUBSTITUTE(SUBSTITUTE(SUBSTITUTE("type:"&amp;B1412,"%","%25"),"~","%7E"),"*","%2A"),"?","%3F"),'Rules'!$G$7:$G$26,0))),"Unit mismatch",IF(IF(NOT(ISNUMBER(D1412)),TRUE,OR(D1412&lt;0,D1412&gt;999999999,ROUND(D1412,3)&lt;&gt;D1412)),"Invalid current reading",IF(AND(E1412&lt;&gt;"",IF(NOT(ISNUMBER(E1412)),TRUE,OR(E1412&lt;0,E1412&gt;999999999,ROUND(E1412,3)&lt;&gt;E1412))),"Invalid previous reading",IF(IF(NOT(ISNUMBER(F1412)),TRUE,OR(F1412&lt;0,F1412&gt;999999999,ROUND(F1412,3)&lt;&gt;F1412)),"Invalid last service",IF(AND(E1412&lt;&gt;"",D1412&lt;E1412),"Decreased reading",IF(F1412&gt;D1412,"Last service above current","")))))))))))))</x:f>
      </x:c>
      <x:c r="L1412" s="6" t="str">
        <x:f>IF(AND(NOT(COUNTA(A1412:F1412)=0),K1412=""),INDEX('Rules'!$C$7:$C$26,MATCH(SUBSTITUTE(SUBSTITUTE(SUBSTITUTE(SUBSTITUTE("type:"&amp;B1412,"%","%25"),"~","%7E"),"*","%2A"),"?","%3F"),'Rules'!$G$7:$G$26,0)),"")</x:f>
      </x:c>
      <x:c r="M1412" s="6" t="str">
        <x:f>IF(AND(NOT(COUNTA(A1412:F1412)=0),K1412=""),INDEX('Rules'!$D$7:$D$26,MATCH(SUBSTITUTE(SUBSTITUTE(SUBSTITUTE(SUBSTITUTE("type:"&amp;B1412,"%","%25"),"~","%7E"),"*","%2A"),"?","%3F"),'Rules'!$G$7:$G$26,0)),"")</x:f>
      </x:c>
      <x:c r="N1412" s="5" t="str">
        <x:f>IF(COUNTA(A1412:F1412)=0,"",SUBSTITUTE(SUBSTITUTE(SUBSTITUTE(SUBSTITUTE("id:"&amp;A1412,"%","%25"),"~","%7E"),"*","%2A"),"?","%3F"))</x:f>
      </x:c>
    </x:row>
    <x:row r="1413" ht="22" customHeight="1">
      <x:c r="A1413" s="3"/>
      <x:c r="B1413" s="3"/>
      <x:c r="C1413" s="3"/>
      <x:c r="D1413" s="4"/>
      <x:c r="E1413" s="4"/>
      <x:c r="F1413" s="4"/>
      <x:c r="G1413" s="5" t="str">
        <x:f>IF(COUNTA(A1413:F1413)=0,"",IF(K1413&lt;&gt;"","Review",IF(I1413&lt;0,"Overdue",IF(I1413=0,"Due now",IF(I1413&lt;=M1413,"Due soon","Not due")))))</x:f>
      </x:c>
      <x:c r="H1413" s="5" t="str">
        <x:f>IF(OR(COUNTA(A1413:F1413)=0,COUNTIFS('Rules'!$G$7:$G$26,"="&amp;(SUBSTITUTE(SUBSTITUTE(SUBSTITUTE(SUBSTITUTE("type:"&amp;B1413,"%","%25"),"~","%7E"),"*","%2A"),"?","%3F")))&lt;&gt;1),"",IF(OR(INDEX('Rules'!$B$7:$B$26,MATCH(SUBSTITUTE(SUBSTITUTE(SUBSTITUTE(SUBSTITUTE("type:"&amp;B1413,"%","%25"),"~","%7E"),"*","%2A"),"?","%3F"),'Rules'!$G$7:$G$26,0))="hours",INDEX('Rules'!$B$7:$B$26,MATCH(SUBSTITUTE(SUBSTITUTE(SUBSTITUTE(SUBSTITUTE("type:"&amp;B1413,"%","%25"),"~","%7E"),"*","%2A"),"?","%3F"),'Rules'!$G$7:$G$26,0))="km"),INDEX('Rules'!$B$7:$B$26,MATCH(SUBSTITUTE(SUBSTITUTE(SUBSTITUTE(SUBSTITUTE("type:"&amp;B1413,"%","%25"),"~","%7E"),"*","%2A"),"?","%3F"),'Rules'!$G$7:$G$26,0)),""))</x:f>
      </x:c>
      <x:c r="I1413" s="6" t="str">
        <x:f>IF(AND(NOT(COUNTA(A1413:F1413)=0),K1413=""),ROUND(J1413-D1413,3),"")</x:f>
      </x:c>
      <x:c r="J1413" s="6" t="str">
        <x:f>IF(AND(NOT(COUNTA(A1413:F1413)=0),K1413=""),ROUND(F1413+L1413,3),"")</x:f>
      </x:c>
      <x:c r="K1413" s="5" t="str">
        <x:f>IF(COUNTA(A1413:F1413)=0,"",IF(A1413="","Missing equipment ID",IF(COUNTIFS($N$8:$N$2007,"="&amp;N1413)&gt;1,"Duplicate equipment ID",IF(B1413="","Missing type",IF(COUNTIFS('Rules'!$G$7:$G$26,"="&amp;(SUBSTITUTE(SUBSTITUTE(SUBSTITUTE(SUBSTITUTE("type:"&amp;B1413,"%","%25"),"~","%7E"),"*","%2A"),"?","%3F")))=0,"Unknown type",IF(COUNTIFS('Rules'!$G$7:$G$26,"="&amp;(SUBSTITUTE(SUBSTITUTE(SUBSTITUTE(SUBSTITUTE("type:"&amp;B1413,"%","%25"),"~","%7E"),"*","%2A"),"?","%3F")))&gt;1,"Duplicate type",IF(INDEX('Rules'!$F$7:$F$26,MATCH(SUBSTITUTE(SUBSTITUTE(SUBSTITUTE(SUBSTITUTE("type:"&amp;B1413,"%","%25"),"~","%7E"),"*","%2A"),"?","%3F"),'Rules'!$G$7:$G$26,0))&lt;&gt;"",INDEX('Rules'!$F$7:$F$26,MATCH(SUBSTITUTE(SUBSTITUTE(SUBSTITUTE(SUBSTITUTE("type:"&amp;B1413,"%","%25"),"~","%7E"),"*","%2A"),"?","%3F"),'Rules'!$G$7:$G$26,0)),IF(AND(C1413&lt;&gt;"",C1413&lt;&gt;INDEX('Rules'!$B$7:$B$26,MATCH(SUBSTITUTE(SUBSTITUTE(SUBSTITUTE(SUBSTITUTE("type:"&amp;B1413,"%","%25"),"~","%7E"),"*","%2A"),"?","%3F"),'Rules'!$G$7:$G$26,0))),"Unit mismatch",IF(IF(NOT(ISNUMBER(D1413)),TRUE,OR(D1413&lt;0,D1413&gt;999999999,ROUND(D1413,3)&lt;&gt;D1413)),"Invalid current reading",IF(AND(E1413&lt;&gt;"",IF(NOT(ISNUMBER(E1413)),TRUE,OR(E1413&lt;0,E1413&gt;999999999,ROUND(E1413,3)&lt;&gt;E1413))),"Invalid previous reading",IF(IF(NOT(ISNUMBER(F1413)),TRUE,OR(F1413&lt;0,F1413&gt;999999999,ROUND(F1413,3)&lt;&gt;F1413)),"Invalid last service",IF(AND(E1413&lt;&gt;"",D1413&lt;E1413),"Decreased reading",IF(F1413&gt;D1413,"Last service above current","")))))))))))))</x:f>
      </x:c>
      <x:c r="L1413" s="6" t="str">
        <x:f>IF(AND(NOT(COUNTA(A1413:F1413)=0),K1413=""),INDEX('Rules'!$C$7:$C$26,MATCH(SUBSTITUTE(SUBSTITUTE(SUBSTITUTE(SUBSTITUTE("type:"&amp;B1413,"%","%25"),"~","%7E"),"*","%2A"),"?","%3F"),'Rules'!$G$7:$G$26,0)),"")</x:f>
      </x:c>
      <x:c r="M1413" s="6" t="str">
        <x:f>IF(AND(NOT(COUNTA(A1413:F1413)=0),K1413=""),INDEX('Rules'!$D$7:$D$26,MATCH(SUBSTITUTE(SUBSTITUTE(SUBSTITUTE(SUBSTITUTE("type:"&amp;B1413,"%","%25"),"~","%7E"),"*","%2A"),"?","%3F"),'Rules'!$G$7:$G$26,0)),"")</x:f>
      </x:c>
      <x:c r="N1413" s="5" t="str">
        <x:f>IF(COUNTA(A1413:F1413)=0,"",SUBSTITUTE(SUBSTITUTE(SUBSTITUTE(SUBSTITUTE("id:"&amp;A1413,"%","%25"),"~","%7E"),"*","%2A"),"?","%3F"))</x:f>
      </x:c>
    </x:row>
    <x:row r="1414" ht="22" customHeight="1">
      <x:c r="A1414" s="3"/>
      <x:c r="B1414" s="3"/>
      <x:c r="C1414" s="3"/>
      <x:c r="D1414" s="4"/>
      <x:c r="E1414" s="4"/>
      <x:c r="F1414" s="4"/>
      <x:c r="G1414" s="5" t="str">
        <x:f>IF(COUNTA(A1414:F1414)=0,"",IF(K1414&lt;&gt;"","Review",IF(I1414&lt;0,"Overdue",IF(I1414=0,"Due now",IF(I1414&lt;=M1414,"Due soon","Not due")))))</x:f>
      </x:c>
      <x:c r="H1414" s="5" t="str">
        <x:f>IF(OR(COUNTA(A1414:F1414)=0,COUNTIFS('Rules'!$G$7:$G$26,"="&amp;(SUBSTITUTE(SUBSTITUTE(SUBSTITUTE(SUBSTITUTE("type:"&amp;B1414,"%","%25"),"~","%7E"),"*","%2A"),"?","%3F")))&lt;&gt;1),"",IF(OR(INDEX('Rules'!$B$7:$B$26,MATCH(SUBSTITUTE(SUBSTITUTE(SUBSTITUTE(SUBSTITUTE("type:"&amp;B1414,"%","%25"),"~","%7E"),"*","%2A"),"?","%3F"),'Rules'!$G$7:$G$26,0))="hours",INDEX('Rules'!$B$7:$B$26,MATCH(SUBSTITUTE(SUBSTITUTE(SUBSTITUTE(SUBSTITUTE("type:"&amp;B1414,"%","%25"),"~","%7E"),"*","%2A"),"?","%3F"),'Rules'!$G$7:$G$26,0))="km"),INDEX('Rules'!$B$7:$B$26,MATCH(SUBSTITUTE(SUBSTITUTE(SUBSTITUTE(SUBSTITUTE("type:"&amp;B1414,"%","%25"),"~","%7E"),"*","%2A"),"?","%3F"),'Rules'!$G$7:$G$26,0)),""))</x:f>
      </x:c>
      <x:c r="I1414" s="6" t="str">
        <x:f>IF(AND(NOT(COUNTA(A1414:F1414)=0),K1414=""),ROUND(J1414-D1414,3),"")</x:f>
      </x:c>
      <x:c r="J1414" s="6" t="str">
        <x:f>IF(AND(NOT(COUNTA(A1414:F1414)=0),K1414=""),ROUND(F1414+L1414,3),"")</x:f>
      </x:c>
      <x:c r="K1414" s="5" t="str">
        <x:f>IF(COUNTA(A1414:F1414)=0,"",IF(A1414="","Missing equipment ID",IF(COUNTIFS($N$8:$N$2007,"="&amp;N1414)&gt;1,"Duplicate equipment ID",IF(B1414="","Missing type",IF(COUNTIFS('Rules'!$G$7:$G$26,"="&amp;(SUBSTITUTE(SUBSTITUTE(SUBSTITUTE(SUBSTITUTE("type:"&amp;B1414,"%","%25"),"~","%7E"),"*","%2A"),"?","%3F")))=0,"Unknown type",IF(COUNTIFS('Rules'!$G$7:$G$26,"="&amp;(SUBSTITUTE(SUBSTITUTE(SUBSTITUTE(SUBSTITUTE("type:"&amp;B1414,"%","%25"),"~","%7E"),"*","%2A"),"?","%3F")))&gt;1,"Duplicate type",IF(INDEX('Rules'!$F$7:$F$26,MATCH(SUBSTITUTE(SUBSTITUTE(SUBSTITUTE(SUBSTITUTE("type:"&amp;B1414,"%","%25"),"~","%7E"),"*","%2A"),"?","%3F"),'Rules'!$G$7:$G$26,0))&lt;&gt;"",INDEX('Rules'!$F$7:$F$26,MATCH(SUBSTITUTE(SUBSTITUTE(SUBSTITUTE(SUBSTITUTE("type:"&amp;B1414,"%","%25"),"~","%7E"),"*","%2A"),"?","%3F"),'Rules'!$G$7:$G$26,0)),IF(AND(C1414&lt;&gt;"",C1414&lt;&gt;INDEX('Rules'!$B$7:$B$26,MATCH(SUBSTITUTE(SUBSTITUTE(SUBSTITUTE(SUBSTITUTE("type:"&amp;B1414,"%","%25"),"~","%7E"),"*","%2A"),"?","%3F"),'Rules'!$G$7:$G$26,0))),"Unit mismatch",IF(IF(NOT(ISNUMBER(D1414)),TRUE,OR(D1414&lt;0,D1414&gt;999999999,ROUND(D1414,3)&lt;&gt;D1414)),"Invalid current reading",IF(AND(E1414&lt;&gt;"",IF(NOT(ISNUMBER(E1414)),TRUE,OR(E1414&lt;0,E1414&gt;999999999,ROUND(E1414,3)&lt;&gt;E1414))),"Invalid previous reading",IF(IF(NOT(ISNUMBER(F1414)),TRUE,OR(F1414&lt;0,F1414&gt;999999999,ROUND(F1414,3)&lt;&gt;F1414)),"Invalid last service",IF(AND(E1414&lt;&gt;"",D1414&lt;E1414),"Decreased reading",IF(F1414&gt;D1414,"Last service above current","")))))))))))))</x:f>
      </x:c>
      <x:c r="L1414" s="6" t="str">
        <x:f>IF(AND(NOT(COUNTA(A1414:F1414)=0),K1414=""),INDEX('Rules'!$C$7:$C$26,MATCH(SUBSTITUTE(SUBSTITUTE(SUBSTITUTE(SUBSTITUTE("type:"&amp;B1414,"%","%25"),"~","%7E"),"*","%2A"),"?","%3F"),'Rules'!$G$7:$G$26,0)),"")</x:f>
      </x:c>
      <x:c r="M1414" s="6" t="str">
        <x:f>IF(AND(NOT(COUNTA(A1414:F1414)=0),K1414=""),INDEX('Rules'!$D$7:$D$26,MATCH(SUBSTITUTE(SUBSTITUTE(SUBSTITUTE(SUBSTITUTE("type:"&amp;B1414,"%","%25"),"~","%7E"),"*","%2A"),"?","%3F"),'Rules'!$G$7:$G$26,0)),"")</x:f>
      </x:c>
      <x:c r="N1414" s="5" t="str">
        <x:f>IF(COUNTA(A1414:F1414)=0,"",SUBSTITUTE(SUBSTITUTE(SUBSTITUTE(SUBSTITUTE("id:"&amp;A1414,"%","%25"),"~","%7E"),"*","%2A"),"?","%3F"))</x:f>
      </x:c>
    </x:row>
    <x:row r="1415" ht="22" customHeight="1">
      <x:c r="A1415" s="3"/>
      <x:c r="B1415" s="3"/>
      <x:c r="C1415" s="3"/>
      <x:c r="D1415" s="4"/>
      <x:c r="E1415" s="4"/>
      <x:c r="F1415" s="4"/>
      <x:c r="G1415" s="5" t="str">
        <x:f>IF(COUNTA(A1415:F1415)=0,"",IF(K1415&lt;&gt;"","Review",IF(I1415&lt;0,"Overdue",IF(I1415=0,"Due now",IF(I1415&lt;=M1415,"Due soon","Not due")))))</x:f>
      </x:c>
      <x:c r="H1415" s="5" t="str">
        <x:f>IF(OR(COUNTA(A1415:F1415)=0,COUNTIFS('Rules'!$G$7:$G$26,"="&amp;(SUBSTITUTE(SUBSTITUTE(SUBSTITUTE(SUBSTITUTE("type:"&amp;B1415,"%","%25"),"~","%7E"),"*","%2A"),"?","%3F")))&lt;&gt;1),"",IF(OR(INDEX('Rules'!$B$7:$B$26,MATCH(SUBSTITUTE(SUBSTITUTE(SUBSTITUTE(SUBSTITUTE("type:"&amp;B1415,"%","%25"),"~","%7E"),"*","%2A"),"?","%3F"),'Rules'!$G$7:$G$26,0))="hours",INDEX('Rules'!$B$7:$B$26,MATCH(SUBSTITUTE(SUBSTITUTE(SUBSTITUTE(SUBSTITUTE("type:"&amp;B1415,"%","%25"),"~","%7E"),"*","%2A"),"?","%3F"),'Rules'!$G$7:$G$26,0))="km"),INDEX('Rules'!$B$7:$B$26,MATCH(SUBSTITUTE(SUBSTITUTE(SUBSTITUTE(SUBSTITUTE("type:"&amp;B1415,"%","%25"),"~","%7E"),"*","%2A"),"?","%3F"),'Rules'!$G$7:$G$26,0)),""))</x:f>
      </x:c>
      <x:c r="I1415" s="6" t="str">
        <x:f>IF(AND(NOT(COUNTA(A1415:F1415)=0),K1415=""),ROUND(J1415-D1415,3),"")</x:f>
      </x:c>
      <x:c r="J1415" s="6" t="str">
        <x:f>IF(AND(NOT(COUNTA(A1415:F1415)=0),K1415=""),ROUND(F1415+L1415,3),"")</x:f>
      </x:c>
      <x:c r="K1415" s="5" t="str">
        <x:f>IF(COUNTA(A1415:F1415)=0,"",IF(A1415="","Missing equipment ID",IF(COUNTIFS($N$8:$N$2007,"="&amp;N1415)&gt;1,"Duplicate equipment ID",IF(B1415="","Missing type",IF(COUNTIFS('Rules'!$G$7:$G$26,"="&amp;(SUBSTITUTE(SUBSTITUTE(SUBSTITUTE(SUBSTITUTE("type:"&amp;B1415,"%","%25"),"~","%7E"),"*","%2A"),"?","%3F")))=0,"Unknown type",IF(COUNTIFS('Rules'!$G$7:$G$26,"="&amp;(SUBSTITUTE(SUBSTITUTE(SUBSTITUTE(SUBSTITUTE("type:"&amp;B1415,"%","%25"),"~","%7E"),"*","%2A"),"?","%3F")))&gt;1,"Duplicate type",IF(INDEX('Rules'!$F$7:$F$26,MATCH(SUBSTITUTE(SUBSTITUTE(SUBSTITUTE(SUBSTITUTE("type:"&amp;B1415,"%","%25"),"~","%7E"),"*","%2A"),"?","%3F"),'Rules'!$G$7:$G$26,0))&lt;&gt;"",INDEX('Rules'!$F$7:$F$26,MATCH(SUBSTITUTE(SUBSTITUTE(SUBSTITUTE(SUBSTITUTE("type:"&amp;B1415,"%","%25"),"~","%7E"),"*","%2A"),"?","%3F"),'Rules'!$G$7:$G$26,0)),IF(AND(C1415&lt;&gt;"",C1415&lt;&gt;INDEX('Rules'!$B$7:$B$26,MATCH(SUBSTITUTE(SUBSTITUTE(SUBSTITUTE(SUBSTITUTE("type:"&amp;B1415,"%","%25"),"~","%7E"),"*","%2A"),"?","%3F"),'Rules'!$G$7:$G$26,0))),"Unit mismatch",IF(IF(NOT(ISNUMBER(D1415)),TRUE,OR(D1415&lt;0,D1415&gt;999999999,ROUND(D1415,3)&lt;&gt;D1415)),"Invalid current reading",IF(AND(E1415&lt;&gt;"",IF(NOT(ISNUMBER(E1415)),TRUE,OR(E1415&lt;0,E1415&gt;999999999,ROUND(E1415,3)&lt;&gt;E1415))),"Invalid previous reading",IF(IF(NOT(ISNUMBER(F1415)),TRUE,OR(F1415&lt;0,F1415&gt;999999999,ROUND(F1415,3)&lt;&gt;F1415)),"Invalid last service",IF(AND(E1415&lt;&gt;"",D1415&lt;E1415),"Decreased reading",IF(F1415&gt;D1415,"Last service above current","")))))))))))))</x:f>
      </x:c>
      <x:c r="L1415" s="6" t="str">
        <x:f>IF(AND(NOT(COUNTA(A1415:F1415)=0),K1415=""),INDEX('Rules'!$C$7:$C$26,MATCH(SUBSTITUTE(SUBSTITUTE(SUBSTITUTE(SUBSTITUTE("type:"&amp;B1415,"%","%25"),"~","%7E"),"*","%2A"),"?","%3F"),'Rules'!$G$7:$G$26,0)),"")</x:f>
      </x:c>
      <x:c r="M1415" s="6" t="str">
        <x:f>IF(AND(NOT(COUNTA(A1415:F1415)=0),K1415=""),INDEX('Rules'!$D$7:$D$26,MATCH(SUBSTITUTE(SUBSTITUTE(SUBSTITUTE(SUBSTITUTE("type:"&amp;B1415,"%","%25"),"~","%7E"),"*","%2A"),"?","%3F"),'Rules'!$G$7:$G$26,0)),"")</x:f>
      </x:c>
      <x:c r="N1415" s="5" t="str">
        <x:f>IF(COUNTA(A1415:F1415)=0,"",SUBSTITUTE(SUBSTITUTE(SUBSTITUTE(SUBSTITUTE("id:"&amp;A1415,"%","%25"),"~","%7E"),"*","%2A"),"?","%3F"))</x:f>
      </x:c>
    </x:row>
    <x:row r="1416" ht="22" customHeight="1">
      <x:c r="A1416" s="3"/>
      <x:c r="B1416" s="3"/>
      <x:c r="C1416" s="3"/>
      <x:c r="D1416" s="4"/>
      <x:c r="E1416" s="4"/>
      <x:c r="F1416" s="4"/>
      <x:c r="G1416" s="5" t="str">
        <x:f>IF(COUNTA(A1416:F1416)=0,"",IF(K1416&lt;&gt;"","Review",IF(I1416&lt;0,"Overdue",IF(I1416=0,"Due now",IF(I1416&lt;=M1416,"Due soon","Not due")))))</x:f>
      </x:c>
      <x:c r="H1416" s="5" t="str">
        <x:f>IF(OR(COUNTA(A1416:F1416)=0,COUNTIFS('Rules'!$G$7:$G$26,"="&amp;(SUBSTITUTE(SUBSTITUTE(SUBSTITUTE(SUBSTITUTE("type:"&amp;B1416,"%","%25"),"~","%7E"),"*","%2A"),"?","%3F")))&lt;&gt;1),"",IF(OR(INDEX('Rules'!$B$7:$B$26,MATCH(SUBSTITUTE(SUBSTITUTE(SUBSTITUTE(SUBSTITUTE("type:"&amp;B1416,"%","%25"),"~","%7E"),"*","%2A"),"?","%3F"),'Rules'!$G$7:$G$26,0))="hours",INDEX('Rules'!$B$7:$B$26,MATCH(SUBSTITUTE(SUBSTITUTE(SUBSTITUTE(SUBSTITUTE("type:"&amp;B1416,"%","%25"),"~","%7E"),"*","%2A"),"?","%3F"),'Rules'!$G$7:$G$26,0))="km"),INDEX('Rules'!$B$7:$B$26,MATCH(SUBSTITUTE(SUBSTITUTE(SUBSTITUTE(SUBSTITUTE("type:"&amp;B1416,"%","%25"),"~","%7E"),"*","%2A"),"?","%3F"),'Rules'!$G$7:$G$26,0)),""))</x:f>
      </x:c>
      <x:c r="I1416" s="6" t="str">
        <x:f>IF(AND(NOT(COUNTA(A1416:F1416)=0),K1416=""),ROUND(J1416-D1416,3),"")</x:f>
      </x:c>
      <x:c r="J1416" s="6" t="str">
        <x:f>IF(AND(NOT(COUNTA(A1416:F1416)=0),K1416=""),ROUND(F1416+L1416,3),"")</x:f>
      </x:c>
      <x:c r="K1416" s="5" t="str">
        <x:f>IF(COUNTA(A1416:F1416)=0,"",IF(A1416="","Missing equipment ID",IF(COUNTIFS($N$8:$N$2007,"="&amp;N1416)&gt;1,"Duplicate equipment ID",IF(B1416="","Missing type",IF(COUNTIFS('Rules'!$G$7:$G$26,"="&amp;(SUBSTITUTE(SUBSTITUTE(SUBSTITUTE(SUBSTITUTE("type:"&amp;B1416,"%","%25"),"~","%7E"),"*","%2A"),"?","%3F")))=0,"Unknown type",IF(COUNTIFS('Rules'!$G$7:$G$26,"="&amp;(SUBSTITUTE(SUBSTITUTE(SUBSTITUTE(SUBSTITUTE("type:"&amp;B1416,"%","%25"),"~","%7E"),"*","%2A"),"?","%3F")))&gt;1,"Duplicate type",IF(INDEX('Rules'!$F$7:$F$26,MATCH(SUBSTITUTE(SUBSTITUTE(SUBSTITUTE(SUBSTITUTE("type:"&amp;B1416,"%","%25"),"~","%7E"),"*","%2A"),"?","%3F"),'Rules'!$G$7:$G$26,0))&lt;&gt;"",INDEX('Rules'!$F$7:$F$26,MATCH(SUBSTITUTE(SUBSTITUTE(SUBSTITUTE(SUBSTITUTE("type:"&amp;B1416,"%","%25"),"~","%7E"),"*","%2A"),"?","%3F"),'Rules'!$G$7:$G$26,0)),IF(AND(C1416&lt;&gt;"",C1416&lt;&gt;INDEX('Rules'!$B$7:$B$26,MATCH(SUBSTITUTE(SUBSTITUTE(SUBSTITUTE(SUBSTITUTE("type:"&amp;B1416,"%","%25"),"~","%7E"),"*","%2A"),"?","%3F"),'Rules'!$G$7:$G$26,0))),"Unit mismatch",IF(IF(NOT(ISNUMBER(D1416)),TRUE,OR(D1416&lt;0,D1416&gt;999999999,ROUND(D1416,3)&lt;&gt;D1416)),"Invalid current reading",IF(AND(E1416&lt;&gt;"",IF(NOT(ISNUMBER(E1416)),TRUE,OR(E1416&lt;0,E1416&gt;999999999,ROUND(E1416,3)&lt;&gt;E1416))),"Invalid previous reading",IF(IF(NOT(ISNUMBER(F1416)),TRUE,OR(F1416&lt;0,F1416&gt;999999999,ROUND(F1416,3)&lt;&gt;F1416)),"Invalid last service",IF(AND(E1416&lt;&gt;"",D1416&lt;E1416),"Decreased reading",IF(F1416&gt;D1416,"Last service above current","")))))))))))))</x:f>
      </x:c>
      <x:c r="L1416" s="6" t="str">
        <x:f>IF(AND(NOT(COUNTA(A1416:F1416)=0),K1416=""),INDEX('Rules'!$C$7:$C$26,MATCH(SUBSTITUTE(SUBSTITUTE(SUBSTITUTE(SUBSTITUTE("type:"&amp;B1416,"%","%25"),"~","%7E"),"*","%2A"),"?","%3F"),'Rules'!$G$7:$G$26,0)),"")</x:f>
      </x:c>
      <x:c r="M1416" s="6" t="str">
        <x:f>IF(AND(NOT(COUNTA(A1416:F1416)=0),K1416=""),INDEX('Rules'!$D$7:$D$26,MATCH(SUBSTITUTE(SUBSTITUTE(SUBSTITUTE(SUBSTITUTE("type:"&amp;B1416,"%","%25"),"~","%7E"),"*","%2A"),"?","%3F"),'Rules'!$G$7:$G$26,0)),"")</x:f>
      </x:c>
      <x:c r="N1416" s="5" t="str">
        <x:f>IF(COUNTA(A1416:F1416)=0,"",SUBSTITUTE(SUBSTITUTE(SUBSTITUTE(SUBSTITUTE("id:"&amp;A1416,"%","%25"),"~","%7E"),"*","%2A"),"?","%3F"))</x:f>
      </x:c>
    </x:row>
    <x:row r="1417" ht="22" customHeight="1">
      <x:c r="A1417" s="3"/>
      <x:c r="B1417" s="3"/>
      <x:c r="C1417" s="3"/>
      <x:c r="D1417" s="4"/>
      <x:c r="E1417" s="4"/>
      <x:c r="F1417" s="4"/>
      <x:c r="G1417" s="5" t="str">
        <x:f>IF(COUNTA(A1417:F1417)=0,"",IF(K1417&lt;&gt;"","Review",IF(I1417&lt;0,"Overdue",IF(I1417=0,"Due now",IF(I1417&lt;=M1417,"Due soon","Not due")))))</x:f>
      </x:c>
      <x:c r="H1417" s="5" t="str">
        <x:f>IF(OR(COUNTA(A1417:F1417)=0,COUNTIFS('Rules'!$G$7:$G$26,"="&amp;(SUBSTITUTE(SUBSTITUTE(SUBSTITUTE(SUBSTITUTE("type:"&amp;B1417,"%","%25"),"~","%7E"),"*","%2A"),"?","%3F")))&lt;&gt;1),"",IF(OR(INDEX('Rules'!$B$7:$B$26,MATCH(SUBSTITUTE(SUBSTITUTE(SUBSTITUTE(SUBSTITUTE("type:"&amp;B1417,"%","%25"),"~","%7E"),"*","%2A"),"?","%3F"),'Rules'!$G$7:$G$26,0))="hours",INDEX('Rules'!$B$7:$B$26,MATCH(SUBSTITUTE(SUBSTITUTE(SUBSTITUTE(SUBSTITUTE("type:"&amp;B1417,"%","%25"),"~","%7E"),"*","%2A"),"?","%3F"),'Rules'!$G$7:$G$26,0))="km"),INDEX('Rules'!$B$7:$B$26,MATCH(SUBSTITUTE(SUBSTITUTE(SUBSTITUTE(SUBSTITUTE("type:"&amp;B1417,"%","%25"),"~","%7E"),"*","%2A"),"?","%3F"),'Rules'!$G$7:$G$26,0)),""))</x:f>
      </x:c>
      <x:c r="I1417" s="6" t="str">
        <x:f>IF(AND(NOT(COUNTA(A1417:F1417)=0),K1417=""),ROUND(J1417-D1417,3),"")</x:f>
      </x:c>
      <x:c r="J1417" s="6" t="str">
        <x:f>IF(AND(NOT(COUNTA(A1417:F1417)=0),K1417=""),ROUND(F1417+L1417,3),"")</x:f>
      </x:c>
      <x:c r="K1417" s="5" t="str">
        <x:f>IF(COUNTA(A1417:F1417)=0,"",IF(A1417="","Missing equipment ID",IF(COUNTIFS($N$8:$N$2007,"="&amp;N1417)&gt;1,"Duplicate equipment ID",IF(B1417="","Missing type",IF(COUNTIFS('Rules'!$G$7:$G$26,"="&amp;(SUBSTITUTE(SUBSTITUTE(SUBSTITUTE(SUBSTITUTE("type:"&amp;B1417,"%","%25"),"~","%7E"),"*","%2A"),"?","%3F")))=0,"Unknown type",IF(COUNTIFS('Rules'!$G$7:$G$26,"="&amp;(SUBSTITUTE(SUBSTITUTE(SUBSTITUTE(SUBSTITUTE("type:"&amp;B1417,"%","%25"),"~","%7E"),"*","%2A"),"?","%3F")))&gt;1,"Duplicate type",IF(INDEX('Rules'!$F$7:$F$26,MATCH(SUBSTITUTE(SUBSTITUTE(SUBSTITUTE(SUBSTITUTE("type:"&amp;B1417,"%","%25"),"~","%7E"),"*","%2A"),"?","%3F"),'Rules'!$G$7:$G$26,0))&lt;&gt;"",INDEX('Rules'!$F$7:$F$26,MATCH(SUBSTITUTE(SUBSTITUTE(SUBSTITUTE(SUBSTITUTE("type:"&amp;B1417,"%","%25"),"~","%7E"),"*","%2A"),"?","%3F"),'Rules'!$G$7:$G$26,0)),IF(AND(C1417&lt;&gt;"",C1417&lt;&gt;INDEX('Rules'!$B$7:$B$26,MATCH(SUBSTITUTE(SUBSTITUTE(SUBSTITUTE(SUBSTITUTE("type:"&amp;B1417,"%","%25"),"~","%7E"),"*","%2A"),"?","%3F"),'Rules'!$G$7:$G$26,0))),"Unit mismatch",IF(IF(NOT(ISNUMBER(D1417)),TRUE,OR(D1417&lt;0,D1417&gt;999999999,ROUND(D1417,3)&lt;&gt;D1417)),"Invalid current reading",IF(AND(E1417&lt;&gt;"",IF(NOT(ISNUMBER(E1417)),TRUE,OR(E1417&lt;0,E1417&gt;999999999,ROUND(E1417,3)&lt;&gt;E1417))),"Invalid previous reading",IF(IF(NOT(ISNUMBER(F1417)),TRUE,OR(F1417&lt;0,F1417&gt;999999999,ROUND(F1417,3)&lt;&gt;F1417)),"Invalid last service",IF(AND(E1417&lt;&gt;"",D1417&lt;E1417),"Decreased reading",IF(F1417&gt;D1417,"Last service above current","")))))))))))))</x:f>
      </x:c>
      <x:c r="L1417" s="6" t="str">
        <x:f>IF(AND(NOT(COUNTA(A1417:F1417)=0),K1417=""),INDEX('Rules'!$C$7:$C$26,MATCH(SUBSTITUTE(SUBSTITUTE(SUBSTITUTE(SUBSTITUTE("type:"&amp;B1417,"%","%25"),"~","%7E"),"*","%2A"),"?","%3F"),'Rules'!$G$7:$G$26,0)),"")</x:f>
      </x:c>
      <x:c r="M1417" s="6" t="str">
        <x:f>IF(AND(NOT(COUNTA(A1417:F1417)=0),K1417=""),INDEX('Rules'!$D$7:$D$26,MATCH(SUBSTITUTE(SUBSTITUTE(SUBSTITUTE(SUBSTITUTE("type:"&amp;B1417,"%","%25"),"~","%7E"),"*","%2A"),"?","%3F"),'Rules'!$G$7:$G$26,0)),"")</x:f>
      </x:c>
      <x:c r="N1417" s="5" t="str">
        <x:f>IF(COUNTA(A1417:F1417)=0,"",SUBSTITUTE(SUBSTITUTE(SUBSTITUTE(SUBSTITUTE("id:"&amp;A1417,"%","%25"),"~","%7E"),"*","%2A"),"?","%3F"))</x:f>
      </x:c>
    </x:row>
    <x:row r="1418" ht="22" customHeight="1">
      <x:c r="A1418" s="3"/>
      <x:c r="B1418" s="3"/>
      <x:c r="C1418" s="3"/>
      <x:c r="D1418" s="4"/>
      <x:c r="E1418" s="4"/>
      <x:c r="F1418" s="4"/>
      <x:c r="G1418" s="5" t="str">
        <x:f>IF(COUNTA(A1418:F1418)=0,"",IF(K1418&lt;&gt;"","Review",IF(I1418&lt;0,"Overdue",IF(I1418=0,"Due now",IF(I1418&lt;=M1418,"Due soon","Not due")))))</x:f>
      </x:c>
      <x:c r="H1418" s="5" t="str">
        <x:f>IF(OR(COUNTA(A1418:F1418)=0,COUNTIFS('Rules'!$G$7:$G$26,"="&amp;(SUBSTITUTE(SUBSTITUTE(SUBSTITUTE(SUBSTITUTE("type:"&amp;B1418,"%","%25"),"~","%7E"),"*","%2A"),"?","%3F")))&lt;&gt;1),"",IF(OR(INDEX('Rules'!$B$7:$B$26,MATCH(SUBSTITUTE(SUBSTITUTE(SUBSTITUTE(SUBSTITUTE("type:"&amp;B1418,"%","%25"),"~","%7E"),"*","%2A"),"?","%3F"),'Rules'!$G$7:$G$26,0))="hours",INDEX('Rules'!$B$7:$B$26,MATCH(SUBSTITUTE(SUBSTITUTE(SUBSTITUTE(SUBSTITUTE("type:"&amp;B1418,"%","%25"),"~","%7E"),"*","%2A"),"?","%3F"),'Rules'!$G$7:$G$26,0))="km"),INDEX('Rules'!$B$7:$B$26,MATCH(SUBSTITUTE(SUBSTITUTE(SUBSTITUTE(SUBSTITUTE("type:"&amp;B1418,"%","%25"),"~","%7E"),"*","%2A"),"?","%3F"),'Rules'!$G$7:$G$26,0)),""))</x:f>
      </x:c>
      <x:c r="I1418" s="6" t="str">
        <x:f>IF(AND(NOT(COUNTA(A1418:F1418)=0),K1418=""),ROUND(J1418-D1418,3),"")</x:f>
      </x:c>
      <x:c r="J1418" s="6" t="str">
        <x:f>IF(AND(NOT(COUNTA(A1418:F1418)=0),K1418=""),ROUND(F1418+L1418,3),"")</x:f>
      </x:c>
      <x:c r="K1418" s="5" t="str">
        <x:f>IF(COUNTA(A1418:F1418)=0,"",IF(A1418="","Missing equipment ID",IF(COUNTIFS($N$8:$N$2007,"="&amp;N1418)&gt;1,"Duplicate equipment ID",IF(B1418="","Missing type",IF(COUNTIFS('Rules'!$G$7:$G$26,"="&amp;(SUBSTITUTE(SUBSTITUTE(SUBSTITUTE(SUBSTITUTE("type:"&amp;B1418,"%","%25"),"~","%7E"),"*","%2A"),"?","%3F")))=0,"Unknown type",IF(COUNTIFS('Rules'!$G$7:$G$26,"="&amp;(SUBSTITUTE(SUBSTITUTE(SUBSTITUTE(SUBSTITUTE("type:"&amp;B1418,"%","%25"),"~","%7E"),"*","%2A"),"?","%3F")))&gt;1,"Duplicate type",IF(INDEX('Rules'!$F$7:$F$26,MATCH(SUBSTITUTE(SUBSTITUTE(SUBSTITUTE(SUBSTITUTE("type:"&amp;B1418,"%","%25"),"~","%7E"),"*","%2A"),"?","%3F"),'Rules'!$G$7:$G$26,0))&lt;&gt;"",INDEX('Rules'!$F$7:$F$26,MATCH(SUBSTITUTE(SUBSTITUTE(SUBSTITUTE(SUBSTITUTE("type:"&amp;B1418,"%","%25"),"~","%7E"),"*","%2A"),"?","%3F"),'Rules'!$G$7:$G$26,0)),IF(AND(C1418&lt;&gt;"",C1418&lt;&gt;INDEX('Rules'!$B$7:$B$26,MATCH(SUBSTITUTE(SUBSTITUTE(SUBSTITUTE(SUBSTITUTE("type:"&amp;B1418,"%","%25"),"~","%7E"),"*","%2A"),"?","%3F"),'Rules'!$G$7:$G$26,0))),"Unit mismatch",IF(IF(NOT(ISNUMBER(D1418)),TRUE,OR(D1418&lt;0,D1418&gt;999999999,ROUND(D1418,3)&lt;&gt;D1418)),"Invalid current reading",IF(AND(E1418&lt;&gt;"",IF(NOT(ISNUMBER(E1418)),TRUE,OR(E1418&lt;0,E1418&gt;999999999,ROUND(E1418,3)&lt;&gt;E1418))),"Invalid previous reading",IF(IF(NOT(ISNUMBER(F1418)),TRUE,OR(F1418&lt;0,F1418&gt;999999999,ROUND(F1418,3)&lt;&gt;F1418)),"Invalid last service",IF(AND(E1418&lt;&gt;"",D1418&lt;E1418),"Decreased reading",IF(F1418&gt;D1418,"Last service above current","")))))))))))))</x:f>
      </x:c>
      <x:c r="L1418" s="6" t="str">
        <x:f>IF(AND(NOT(COUNTA(A1418:F1418)=0),K1418=""),INDEX('Rules'!$C$7:$C$26,MATCH(SUBSTITUTE(SUBSTITUTE(SUBSTITUTE(SUBSTITUTE("type:"&amp;B1418,"%","%25"),"~","%7E"),"*","%2A"),"?","%3F"),'Rules'!$G$7:$G$26,0)),"")</x:f>
      </x:c>
      <x:c r="M1418" s="6" t="str">
        <x:f>IF(AND(NOT(COUNTA(A1418:F1418)=0),K1418=""),INDEX('Rules'!$D$7:$D$26,MATCH(SUBSTITUTE(SUBSTITUTE(SUBSTITUTE(SUBSTITUTE("type:"&amp;B1418,"%","%25"),"~","%7E"),"*","%2A"),"?","%3F"),'Rules'!$G$7:$G$26,0)),"")</x:f>
      </x:c>
      <x:c r="N1418" s="5" t="str">
        <x:f>IF(COUNTA(A1418:F1418)=0,"",SUBSTITUTE(SUBSTITUTE(SUBSTITUTE(SUBSTITUTE("id:"&amp;A1418,"%","%25"),"~","%7E"),"*","%2A"),"?","%3F"))</x:f>
      </x:c>
    </x:row>
    <x:row r="1419" ht="22" customHeight="1">
      <x:c r="A1419" s="3"/>
      <x:c r="B1419" s="3"/>
      <x:c r="C1419" s="3"/>
      <x:c r="D1419" s="4"/>
      <x:c r="E1419" s="4"/>
      <x:c r="F1419" s="4"/>
      <x:c r="G1419" s="5" t="str">
        <x:f>IF(COUNTA(A1419:F1419)=0,"",IF(K1419&lt;&gt;"","Review",IF(I1419&lt;0,"Overdue",IF(I1419=0,"Due now",IF(I1419&lt;=M1419,"Due soon","Not due")))))</x:f>
      </x:c>
      <x:c r="H1419" s="5" t="str">
        <x:f>IF(OR(COUNTA(A1419:F1419)=0,COUNTIFS('Rules'!$G$7:$G$26,"="&amp;(SUBSTITUTE(SUBSTITUTE(SUBSTITUTE(SUBSTITUTE("type:"&amp;B1419,"%","%25"),"~","%7E"),"*","%2A"),"?","%3F")))&lt;&gt;1),"",IF(OR(INDEX('Rules'!$B$7:$B$26,MATCH(SUBSTITUTE(SUBSTITUTE(SUBSTITUTE(SUBSTITUTE("type:"&amp;B1419,"%","%25"),"~","%7E"),"*","%2A"),"?","%3F"),'Rules'!$G$7:$G$26,0))="hours",INDEX('Rules'!$B$7:$B$26,MATCH(SUBSTITUTE(SUBSTITUTE(SUBSTITUTE(SUBSTITUTE("type:"&amp;B1419,"%","%25"),"~","%7E"),"*","%2A"),"?","%3F"),'Rules'!$G$7:$G$26,0))="km"),INDEX('Rules'!$B$7:$B$26,MATCH(SUBSTITUTE(SUBSTITUTE(SUBSTITUTE(SUBSTITUTE("type:"&amp;B1419,"%","%25"),"~","%7E"),"*","%2A"),"?","%3F"),'Rules'!$G$7:$G$26,0)),""))</x:f>
      </x:c>
      <x:c r="I1419" s="6" t="str">
        <x:f>IF(AND(NOT(COUNTA(A1419:F1419)=0),K1419=""),ROUND(J1419-D1419,3),"")</x:f>
      </x:c>
      <x:c r="J1419" s="6" t="str">
        <x:f>IF(AND(NOT(COUNTA(A1419:F1419)=0),K1419=""),ROUND(F1419+L1419,3),"")</x:f>
      </x:c>
      <x:c r="K1419" s="5" t="str">
        <x:f>IF(COUNTA(A1419:F1419)=0,"",IF(A1419="","Missing equipment ID",IF(COUNTIFS($N$8:$N$2007,"="&amp;N1419)&gt;1,"Duplicate equipment ID",IF(B1419="","Missing type",IF(COUNTIFS('Rules'!$G$7:$G$26,"="&amp;(SUBSTITUTE(SUBSTITUTE(SUBSTITUTE(SUBSTITUTE("type:"&amp;B1419,"%","%25"),"~","%7E"),"*","%2A"),"?","%3F")))=0,"Unknown type",IF(COUNTIFS('Rules'!$G$7:$G$26,"="&amp;(SUBSTITUTE(SUBSTITUTE(SUBSTITUTE(SUBSTITUTE("type:"&amp;B1419,"%","%25"),"~","%7E"),"*","%2A"),"?","%3F")))&gt;1,"Duplicate type",IF(INDEX('Rules'!$F$7:$F$26,MATCH(SUBSTITUTE(SUBSTITUTE(SUBSTITUTE(SUBSTITUTE("type:"&amp;B1419,"%","%25"),"~","%7E"),"*","%2A"),"?","%3F"),'Rules'!$G$7:$G$26,0))&lt;&gt;"",INDEX('Rules'!$F$7:$F$26,MATCH(SUBSTITUTE(SUBSTITUTE(SUBSTITUTE(SUBSTITUTE("type:"&amp;B1419,"%","%25"),"~","%7E"),"*","%2A"),"?","%3F"),'Rules'!$G$7:$G$26,0)),IF(AND(C1419&lt;&gt;"",C1419&lt;&gt;INDEX('Rules'!$B$7:$B$26,MATCH(SUBSTITUTE(SUBSTITUTE(SUBSTITUTE(SUBSTITUTE("type:"&amp;B1419,"%","%25"),"~","%7E"),"*","%2A"),"?","%3F"),'Rules'!$G$7:$G$26,0))),"Unit mismatch",IF(IF(NOT(ISNUMBER(D1419)),TRUE,OR(D1419&lt;0,D1419&gt;999999999,ROUND(D1419,3)&lt;&gt;D1419)),"Invalid current reading",IF(AND(E1419&lt;&gt;"",IF(NOT(ISNUMBER(E1419)),TRUE,OR(E1419&lt;0,E1419&gt;999999999,ROUND(E1419,3)&lt;&gt;E1419))),"Invalid previous reading",IF(IF(NOT(ISNUMBER(F1419)),TRUE,OR(F1419&lt;0,F1419&gt;999999999,ROUND(F1419,3)&lt;&gt;F1419)),"Invalid last service",IF(AND(E1419&lt;&gt;"",D1419&lt;E1419),"Decreased reading",IF(F1419&gt;D1419,"Last service above current","")))))))))))))</x:f>
      </x:c>
      <x:c r="L1419" s="6" t="str">
        <x:f>IF(AND(NOT(COUNTA(A1419:F1419)=0),K1419=""),INDEX('Rules'!$C$7:$C$26,MATCH(SUBSTITUTE(SUBSTITUTE(SUBSTITUTE(SUBSTITUTE("type:"&amp;B1419,"%","%25"),"~","%7E"),"*","%2A"),"?","%3F"),'Rules'!$G$7:$G$26,0)),"")</x:f>
      </x:c>
      <x:c r="M1419" s="6" t="str">
        <x:f>IF(AND(NOT(COUNTA(A1419:F1419)=0),K1419=""),INDEX('Rules'!$D$7:$D$26,MATCH(SUBSTITUTE(SUBSTITUTE(SUBSTITUTE(SUBSTITUTE("type:"&amp;B1419,"%","%25"),"~","%7E"),"*","%2A"),"?","%3F"),'Rules'!$G$7:$G$26,0)),"")</x:f>
      </x:c>
      <x:c r="N1419" s="5" t="str">
        <x:f>IF(COUNTA(A1419:F1419)=0,"",SUBSTITUTE(SUBSTITUTE(SUBSTITUTE(SUBSTITUTE("id:"&amp;A1419,"%","%25"),"~","%7E"),"*","%2A"),"?","%3F"))</x:f>
      </x:c>
    </x:row>
    <x:row r="1420" ht="22" customHeight="1">
      <x:c r="A1420" s="3"/>
      <x:c r="B1420" s="3"/>
      <x:c r="C1420" s="3"/>
      <x:c r="D1420" s="4"/>
      <x:c r="E1420" s="4"/>
      <x:c r="F1420" s="4"/>
      <x:c r="G1420" s="5" t="str">
        <x:f>IF(COUNTA(A1420:F1420)=0,"",IF(K1420&lt;&gt;"","Review",IF(I1420&lt;0,"Overdue",IF(I1420=0,"Due now",IF(I1420&lt;=M1420,"Due soon","Not due")))))</x:f>
      </x:c>
      <x:c r="H1420" s="5" t="str">
        <x:f>IF(OR(COUNTA(A1420:F1420)=0,COUNTIFS('Rules'!$G$7:$G$26,"="&amp;(SUBSTITUTE(SUBSTITUTE(SUBSTITUTE(SUBSTITUTE("type:"&amp;B1420,"%","%25"),"~","%7E"),"*","%2A"),"?","%3F")))&lt;&gt;1),"",IF(OR(INDEX('Rules'!$B$7:$B$26,MATCH(SUBSTITUTE(SUBSTITUTE(SUBSTITUTE(SUBSTITUTE("type:"&amp;B1420,"%","%25"),"~","%7E"),"*","%2A"),"?","%3F"),'Rules'!$G$7:$G$26,0))="hours",INDEX('Rules'!$B$7:$B$26,MATCH(SUBSTITUTE(SUBSTITUTE(SUBSTITUTE(SUBSTITUTE("type:"&amp;B1420,"%","%25"),"~","%7E"),"*","%2A"),"?","%3F"),'Rules'!$G$7:$G$26,0))="km"),INDEX('Rules'!$B$7:$B$26,MATCH(SUBSTITUTE(SUBSTITUTE(SUBSTITUTE(SUBSTITUTE("type:"&amp;B1420,"%","%25"),"~","%7E"),"*","%2A"),"?","%3F"),'Rules'!$G$7:$G$26,0)),""))</x:f>
      </x:c>
      <x:c r="I1420" s="6" t="str">
        <x:f>IF(AND(NOT(COUNTA(A1420:F1420)=0),K1420=""),ROUND(J1420-D1420,3),"")</x:f>
      </x:c>
      <x:c r="J1420" s="6" t="str">
        <x:f>IF(AND(NOT(COUNTA(A1420:F1420)=0),K1420=""),ROUND(F1420+L1420,3),"")</x:f>
      </x:c>
      <x:c r="K1420" s="5" t="str">
        <x:f>IF(COUNTA(A1420:F1420)=0,"",IF(A1420="","Missing equipment ID",IF(COUNTIFS($N$8:$N$2007,"="&amp;N1420)&gt;1,"Duplicate equipment ID",IF(B1420="","Missing type",IF(COUNTIFS('Rules'!$G$7:$G$26,"="&amp;(SUBSTITUTE(SUBSTITUTE(SUBSTITUTE(SUBSTITUTE("type:"&amp;B1420,"%","%25"),"~","%7E"),"*","%2A"),"?","%3F")))=0,"Unknown type",IF(COUNTIFS('Rules'!$G$7:$G$26,"="&amp;(SUBSTITUTE(SUBSTITUTE(SUBSTITUTE(SUBSTITUTE("type:"&amp;B1420,"%","%25"),"~","%7E"),"*","%2A"),"?","%3F")))&gt;1,"Duplicate type",IF(INDEX('Rules'!$F$7:$F$26,MATCH(SUBSTITUTE(SUBSTITUTE(SUBSTITUTE(SUBSTITUTE("type:"&amp;B1420,"%","%25"),"~","%7E"),"*","%2A"),"?","%3F"),'Rules'!$G$7:$G$26,0))&lt;&gt;"",INDEX('Rules'!$F$7:$F$26,MATCH(SUBSTITUTE(SUBSTITUTE(SUBSTITUTE(SUBSTITUTE("type:"&amp;B1420,"%","%25"),"~","%7E"),"*","%2A"),"?","%3F"),'Rules'!$G$7:$G$26,0)),IF(AND(C1420&lt;&gt;"",C1420&lt;&gt;INDEX('Rules'!$B$7:$B$26,MATCH(SUBSTITUTE(SUBSTITUTE(SUBSTITUTE(SUBSTITUTE("type:"&amp;B1420,"%","%25"),"~","%7E"),"*","%2A"),"?","%3F"),'Rules'!$G$7:$G$26,0))),"Unit mismatch",IF(IF(NOT(ISNUMBER(D1420)),TRUE,OR(D1420&lt;0,D1420&gt;999999999,ROUND(D1420,3)&lt;&gt;D1420)),"Invalid current reading",IF(AND(E1420&lt;&gt;"",IF(NOT(ISNUMBER(E1420)),TRUE,OR(E1420&lt;0,E1420&gt;999999999,ROUND(E1420,3)&lt;&gt;E1420))),"Invalid previous reading",IF(IF(NOT(ISNUMBER(F1420)),TRUE,OR(F1420&lt;0,F1420&gt;999999999,ROUND(F1420,3)&lt;&gt;F1420)),"Invalid last service",IF(AND(E1420&lt;&gt;"",D1420&lt;E1420),"Decreased reading",IF(F1420&gt;D1420,"Last service above current","")))))))))))))</x:f>
      </x:c>
      <x:c r="L1420" s="6" t="str">
        <x:f>IF(AND(NOT(COUNTA(A1420:F1420)=0),K1420=""),INDEX('Rules'!$C$7:$C$26,MATCH(SUBSTITUTE(SUBSTITUTE(SUBSTITUTE(SUBSTITUTE("type:"&amp;B1420,"%","%25"),"~","%7E"),"*","%2A"),"?","%3F"),'Rules'!$G$7:$G$26,0)),"")</x:f>
      </x:c>
      <x:c r="M1420" s="6" t="str">
        <x:f>IF(AND(NOT(COUNTA(A1420:F1420)=0),K1420=""),INDEX('Rules'!$D$7:$D$26,MATCH(SUBSTITUTE(SUBSTITUTE(SUBSTITUTE(SUBSTITUTE("type:"&amp;B1420,"%","%25"),"~","%7E"),"*","%2A"),"?","%3F"),'Rules'!$G$7:$G$26,0)),"")</x:f>
      </x:c>
      <x:c r="N1420" s="5" t="str">
        <x:f>IF(COUNTA(A1420:F1420)=0,"",SUBSTITUTE(SUBSTITUTE(SUBSTITUTE(SUBSTITUTE("id:"&amp;A1420,"%","%25"),"~","%7E"),"*","%2A"),"?","%3F"))</x:f>
      </x:c>
    </x:row>
    <x:row r="1421" ht="22" customHeight="1">
      <x:c r="A1421" s="3"/>
      <x:c r="B1421" s="3"/>
      <x:c r="C1421" s="3"/>
      <x:c r="D1421" s="4"/>
      <x:c r="E1421" s="4"/>
      <x:c r="F1421" s="4"/>
      <x:c r="G1421" s="5" t="str">
        <x:f>IF(COUNTA(A1421:F1421)=0,"",IF(K1421&lt;&gt;"","Review",IF(I1421&lt;0,"Overdue",IF(I1421=0,"Due now",IF(I1421&lt;=M1421,"Due soon","Not due")))))</x:f>
      </x:c>
      <x:c r="H1421" s="5" t="str">
        <x:f>IF(OR(COUNTA(A1421:F1421)=0,COUNTIFS('Rules'!$G$7:$G$26,"="&amp;(SUBSTITUTE(SUBSTITUTE(SUBSTITUTE(SUBSTITUTE("type:"&amp;B1421,"%","%25"),"~","%7E"),"*","%2A"),"?","%3F")))&lt;&gt;1),"",IF(OR(INDEX('Rules'!$B$7:$B$26,MATCH(SUBSTITUTE(SUBSTITUTE(SUBSTITUTE(SUBSTITUTE("type:"&amp;B1421,"%","%25"),"~","%7E"),"*","%2A"),"?","%3F"),'Rules'!$G$7:$G$26,0))="hours",INDEX('Rules'!$B$7:$B$26,MATCH(SUBSTITUTE(SUBSTITUTE(SUBSTITUTE(SUBSTITUTE("type:"&amp;B1421,"%","%25"),"~","%7E"),"*","%2A"),"?","%3F"),'Rules'!$G$7:$G$26,0))="km"),INDEX('Rules'!$B$7:$B$26,MATCH(SUBSTITUTE(SUBSTITUTE(SUBSTITUTE(SUBSTITUTE("type:"&amp;B1421,"%","%25"),"~","%7E"),"*","%2A"),"?","%3F"),'Rules'!$G$7:$G$26,0)),""))</x:f>
      </x:c>
      <x:c r="I1421" s="6" t="str">
        <x:f>IF(AND(NOT(COUNTA(A1421:F1421)=0),K1421=""),ROUND(J1421-D1421,3),"")</x:f>
      </x:c>
      <x:c r="J1421" s="6" t="str">
        <x:f>IF(AND(NOT(COUNTA(A1421:F1421)=0),K1421=""),ROUND(F1421+L1421,3),"")</x:f>
      </x:c>
      <x:c r="K1421" s="5" t="str">
        <x:f>IF(COUNTA(A1421:F1421)=0,"",IF(A1421="","Missing equipment ID",IF(COUNTIFS($N$8:$N$2007,"="&amp;N1421)&gt;1,"Duplicate equipment ID",IF(B1421="","Missing type",IF(COUNTIFS('Rules'!$G$7:$G$26,"="&amp;(SUBSTITUTE(SUBSTITUTE(SUBSTITUTE(SUBSTITUTE("type:"&amp;B1421,"%","%25"),"~","%7E"),"*","%2A"),"?","%3F")))=0,"Unknown type",IF(COUNTIFS('Rules'!$G$7:$G$26,"="&amp;(SUBSTITUTE(SUBSTITUTE(SUBSTITUTE(SUBSTITUTE("type:"&amp;B1421,"%","%25"),"~","%7E"),"*","%2A"),"?","%3F")))&gt;1,"Duplicate type",IF(INDEX('Rules'!$F$7:$F$26,MATCH(SUBSTITUTE(SUBSTITUTE(SUBSTITUTE(SUBSTITUTE("type:"&amp;B1421,"%","%25"),"~","%7E"),"*","%2A"),"?","%3F"),'Rules'!$G$7:$G$26,0))&lt;&gt;"",INDEX('Rules'!$F$7:$F$26,MATCH(SUBSTITUTE(SUBSTITUTE(SUBSTITUTE(SUBSTITUTE("type:"&amp;B1421,"%","%25"),"~","%7E"),"*","%2A"),"?","%3F"),'Rules'!$G$7:$G$26,0)),IF(AND(C1421&lt;&gt;"",C1421&lt;&gt;INDEX('Rules'!$B$7:$B$26,MATCH(SUBSTITUTE(SUBSTITUTE(SUBSTITUTE(SUBSTITUTE("type:"&amp;B1421,"%","%25"),"~","%7E"),"*","%2A"),"?","%3F"),'Rules'!$G$7:$G$26,0))),"Unit mismatch",IF(IF(NOT(ISNUMBER(D1421)),TRUE,OR(D1421&lt;0,D1421&gt;999999999,ROUND(D1421,3)&lt;&gt;D1421)),"Invalid current reading",IF(AND(E1421&lt;&gt;"",IF(NOT(ISNUMBER(E1421)),TRUE,OR(E1421&lt;0,E1421&gt;999999999,ROUND(E1421,3)&lt;&gt;E1421))),"Invalid previous reading",IF(IF(NOT(ISNUMBER(F1421)),TRUE,OR(F1421&lt;0,F1421&gt;999999999,ROUND(F1421,3)&lt;&gt;F1421)),"Invalid last service",IF(AND(E1421&lt;&gt;"",D1421&lt;E1421),"Decreased reading",IF(F1421&gt;D1421,"Last service above current","")))))))))))))</x:f>
      </x:c>
      <x:c r="L1421" s="6" t="str">
        <x:f>IF(AND(NOT(COUNTA(A1421:F1421)=0),K1421=""),INDEX('Rules'!$C$7:$C$26,MATCH(SUBSTITUTE(SUBSTITUTE(SUBSTITUTE(SUBSTITUTE("type:"&amp;B1421,"%","%25"),"~","%7E"),"*","%2A"),"?","%3F"),'Rules'!$G$7:$G$26,0)),"")</x:f>
      </x:c>
      <x:c r="M1421" s="6" t="str">
        <x:f>IF(AND(NOT(COUNTA(A1421:F1421)=0),K1421=""),INDEX('Rules'!$D$7:$D$26,MATCH(SUBSTITUTE(SUBSTITUTE(SUBSTITUTE(SUBSTITUTE("type:"&amp;B1421,"%","%25"),"~","%7E"),"*","%2A"),"?","%3F"),'Rules'!$G$7:$G$26,0)),"")</x:f>
      </x:c>
      <x:c r="N1421" s="5" t="str">
        <x:f>IF(COUNTA(A1421:F1421)=0,"",SUBSTITUTE(SUBSTITUTE(SUBSTITUTE(SUBSTITUTE("id:"&amp;A1421,"%","%25"),"~","%7E"),"*","%2A"),"?","%3F"))</x:f>
      </x:c>
    </x:row>
    <x:row r="1422" ht="22" customHeight="1">
      <x:c r="A1422" s="3"/>
      <x:c r="B1422" s="3"/>
      <x:c r="C1422" s="3"/>
      <x:c r="D1422" s="4"/>
      <x:c r="E1422" s="4"/>
      <x:c r="F1422" s="4"/>
      <x:c r="G1422" s="5" t="str">
        <x:f>IF(COUNTA(A1422:F1422)=0,"",IF(K1422&lt;&gt;"","Review",IF(I1422&lt;0,"Overdue",IF(I1422=0,"Due now",IF(I1422&lt;=M1422,"Due soon","Not due")))))</x:f>
      </x:c>
      <x:c r="H1422" s="5" t="str">
        <x:f>IF(OR(COUNTA(A1422:F1422)=0,COUNTIFS('Rules'!$G$7:$G$26,"="&amp;(SUBSTITUTE(SUBSTITUTE(SUBSTITUTE(SUBSTITUTE("type:"&amp;B1422,"%","%25"),"~","%7E"),"*","%2A"),"?","%3F")))&lt;&gt;1),"",IF(OR(INDEX('Rules'!$B$7:$B$26,MATCH(SUBSTITUTE(SUBSTITUTE(SUBSTITUTE(SUBSTITUTE("type:"&amp;B1422,"%","%25"),"~","%7E"),"*","%2A"),"?","%3F"),'Rules'!$G$7:$G$26,0))="hours",INDEX('Rules'!$B$7:$B$26,MATCH(SUBSTITUTE(SUBSTITUTE(SUBSTITUTE(SUBSTITUTE("type:"&amp;B1422,"%","%25"),"~","%7E"),"*","%2A"),"?","%3F"),'Rules'!$G$7:$G$26,0))="km"),INDEX('Rules'!$B$7:$B$26,MATCH(SUBSTITUTE(SUBSTITUTE(SUBSTITUTE(SUBSTITUTE("type:"&amp;B1422,"%","%25"),"~","%7E"),"*","%2A"),"?","%3F"),'Rules'!$G$7:$G$26,0)),""))</x:f>
      </x:c>
      <x:c r="I1422" s="6" t="str">
        <x:f>IF(AND(NOT(COUNTA(A1422:F1422)=0),K1422=""),ROUND(J1422-D1422,3),"")</x:f>
      </x:c>
      <x:c r="J1422" s="6" t="str">
        <x:f>IF(AND(NOT(COUNTA(A1422:F1422)=0),K1422=""),ROUND(F1422+L1422,3),"")</x:f>
      </x:c>
      <x:c r="K1422" s="5" t="str">
        <x:f>IF(COUNTA(A1422:F1422)=0,"",IF(A1422="","Missing equipment ID",IF(COUNTIFS($N$8:$N$2007,"="&amp;N1422)&gt;1,"Duplicate equipment ID",IF(B1422="","Missing type",IF(COUNTIFS('Rules'!$G$7:$G$26,"="&amp;(SUBSTITUTE(SUBSTITUTE(SUBSTITUTE(SUBSTITUTE("type:"&amp;B1422,"%","%25"),"~","%7E"),"*","%2A"),"?","%3F")))=0,"Unknown type",IF(COUNTIFS('Rules'!$G$7:$G$26,"="&amp;(SUBSTITUTE(SUBSTITUTE(SUBSTITUTE(SUBSTITUTE("type:"&amp;B1422,"%","%25"),"~","%7E"),"*","%2A"),"?","%3F")))&gt;1,"Duplicate type",IF(INDEX('Rules'!$F$7:$F$26,MATCH(SUBSTITUTE(SUBSTITUTE(SUBSTITUTE(SUBSTITUTE("type:"&amp;B1422,"%","%25"),"~","%7E"),"*","%2A"),"?","%3F"),'Rules'!$G$7:$G$26,0))&lt;&gt;"",INDEX('Rules'!$F$7:$F$26,MATCH(SUBSTITUTE(SUBSTITUTE(SUBSTITUTE(SUBSTITUTE("type:"&amp;B1422,"%","%25"),"~","%7E"),"*","%2A"),"?","%3F"),'Rules'!$G$7:$G$26,0)),IF(AND(C1422&lt;&gt;"",C1422&lt;&gt;INDEX('Rules'!$B$7:$B$26,MATCH(SUBSTITUTE(SUBSTITUTE(SUBSTITUTE(SUBSTITUTE("type:"&amp;B1422,"%","%25"),"~","%7E"),"*","%2A"),"?","%3F"),'Rules'!$G$7:$G$26,0))),"Unit mismatch",IF(IF(NOT(ISNUMBER(D1422)),TRUE,OR(D1422&lt;0,D1422&gt;999999999,ROUND(D1422,3)&lt;&gt;D1422)),"Invalid current reading",IF(AND(E1422&lt;&gt;"",IF(NOT(ISNUMBER(E1422)),TRUE,OR(E1422&lt;0,E1422&gt;999999999,ROUND(E1422,3)&lt;&gt;E1422))),"Invalid previous reading",IF(IF(NOT(ISNUMBER(F1422)),TRUE,OR(F1422&lt;0,F1422&gt;999999999,ROUND(F1422,3)&lt;&gt;F1422)),"Invalid last service",IF(AND(E1422&lt;&gt;"",D1422&lt;E1422),"Decreased reading",IF(F1422&gt;D1422,"Last service above current","")))))))))))))</x:f>
      </x:c>
      <x:c r="L1422" s="6" t="str">
        <x:f>IF(AND(NOT(COUNTA(A1422:F1422)=0),K1422=""),INDEX('Rules'!$C$7:$C$26,MATCH(SUBSTITUTE(SUBSTITUTE(SUBSTITUTE(SUBSTITUTE("type:"&amp;B1422,"%","%25"),"~","%7E"),"*","%2A"),"?","%3F"),'Rules'!$G$7:$G$26,0)),"")</x:f>
      </x:c>
      <x:c r="M1422" s="6" t="str">
        <x:f>IF(AND(NOT(COUNTA(A1422:F1422)=0),K1422=""),INDEX('Rules'!$D$7:$D$26,MATCH(SUBSTITUTE(SUBSTITUTE(SUBSTITUTE(SUBSTITUTE("type:"&amp;B1422,"%","%25"),"~","%7E"),"*","%2A"),"?","%3F"),'Rules'!$G$7:$G$26,0)),"")</x:f>
      </x:c>
      <x:c r="N1422" s="5" t="str">
        <x:f>IF(COUNTA(A1422:F1422)=0,"",SUBSTITUTE(SUBSTITUTE(SUBSTITUTE(SUBSTITUTE("id:"&amp;A1422,"%","%25"),"~","%7E"),"*","%2A"),"?","%3F"))</x:f>
      </x:c>
    </x:row>
    <x:row r="1423" ht="22" customHeight="1">
      <x:c r="A1423" s="3"/>
      <x:c r="B1423" s="3"/>
      <x:c r="C1423" s="3"/>
      <x:c r="D1423" s="4"/>
      <x:c r="E1423" s="4"/>
      <x:c r="F1423" s="4"/>
      <x:c r="G1423" s="5" t="str">
        <x:f>IF(COUNTA(A1423:F1423)=0,"",IF(K1423&lt;&gt;"","Review",IF(I1423&lt;0,"Overdue",IF(I1423=0,"Due now",IF(I1423&lt;=M1423,"Due soon","Not due")))))</x:f>
      </x:c>
      <x:c r="H1423" s="5" t="str">
        <x:f>IF(OR(COUNTA(A1423:F1423)=0,COUNTIFS('Rules'!$G$7:$G$26,"="&amp;(SUBSTITUTE(SUBSTITUTE(SUBSTITUTE(SUBSTITUTE("type:"&amp;B1423,"%","%25"),"~","%7E"),"*","%2A"),"?","%3F")))&lt;&gt;1),"",IF(OR(INDEX('Rules'!$B$7:$B$26,MATCH(SUBSTITUTE(SUBSTITUTE(SUBSTITUTE(SUBSTITUTE("type:"&amp;B1423,"%","%25"),"~","%7E"),"*","%2A"),"?","%3F"),'Rules'!$G$7:$G$26,0))="hours",INDEX('Rules'!$B$7:$B$26,MATCH(SUBSTITUTE(SUBSTITUTE(SUBSTITUTE(SUBSTITUTE("type:"&amp;B1423,"%","%25"),"~","%7E"),"*","%2A"),"?","%3F"),'Rules'!$G$7:$G$26,0))="km"),INDEX('Rules'!$B$7:$B$26,MATCH(SUBSTITUTE(SUBSTITUTE(SUBSTITUTE(SUBSTITUTE("type:"&amp;B1423,"%","%25"),"~","%7E"),"*","%2A"),"?","%3F"),'Rules'!$G$7:$G$26,0)),""))</x:f>
      </x:c>
      <x:c r="I1423" s="6" t="str">
        <x:f>IF(AND(NOT(COUNTA(A1423:F1423)=0),K1423=""),ROUND(J1423-D1423,3),"")</x:f>
      </x:c>
      <x:c r="J1423" s="6" t="str">
        <x:f>IF(AND(NOT(COUNTA(A1423:F1423)=0),K1423=""),ROUND(F1423+L1423,3),"")</x:f>
      </x:c>
      <x:c r="K1423" s="5" t="str">
        <x:f>IF(COUNTA(A1423:F1423)=0,"",IF(A1423="","Missing equipment ID",IF(COUNTIFS($N$8:$N$2007,"="&amp;N1423)&gt;1,"Duplicate equipment ID",IF(B1423="","Missing type",IF(COUNTIFS('Rules'!$G$7:$G$26,"="&amp;(SUBSTITUTE(SUBSTITUTE(SUBSTITUTE(SUBSTITUTE("type:"&amp;B1423,"%","%25"),"~","%7E"),"*","%2A"),"?","%3F")))=0,"Unknown type",IF(COUNTIFS('Rules'!$G$7:$G$26,"="&amp;(SUBSTITUTE(SUBSTITUTE(SUBSTITUTE(SUBSTITUTE("type:"&amp;B1423,"%","%25"),"~","%7E"),"*","%2A"),"?","%3F")))&gt;1,"Duplicate type",IF(INDEX('Rules'!$F$7:$F$26,MATCH(SUBSTITUTE(SUBSTITUTE(SUBSTITUTE(SUBSTITUTE("type:"&amp;B1423,"%","%25"),"~","%7E"),"*","%2A"),"?","%3F"),'Rules'!$G$7:$G$26,0))&lt;&gt;"",INDEX('Rules'!$F$7:$F$26,MATCH(SUBSTITUTE(SUBSTITUTE(SUBSTITUTE(SUBSTITUTE("type:"&amp;B1423,"%","%25"),"~","%7E"),"*","%2A"),"?","%3F"),'Rules'!$G$7:$G$26,0)),IF(AND(C1423&lt;&gt;"",C1423&lt;&gt;INDEX('Rules'!$B$7:$B$26,MATCH(SUBSTITUTE(SUBSTITUTE(SUBSTITUTE(SUBSTITUTE("type:"&amp;B1423,"%","%25"),"~","%7E"),"*","%2A"),"?","%3F"),'Rules'!$G$7:$G$26,0))),"Unit mismatch",IF(IF(NOT(ISNUMBER(D1423)),TRUE,OR(D1423&lt;0,D1423&gt;999999999,ROUND(D1423,3)&lt;&gt;D1423)),"Invalid current reading",IF(AND(E1423&lt;&gt;"",IF(NOT(ISNUMBER(E1423)),TRUE,OR(E1423&lt;0,E1423&gt;999999999,ROUND(E1423,3)&lt;&gt;E1423))),"Invalid previous reading",IF(IF(NOT(ISNUMBER(F1423)),TRUE,OR(F1423&lt;0,F1423&gt;999999999,ROUND(F1423,3)&lt;&gt;F1423)),"Invalid last service",IF(AND(E1423&lt;&gt;"",D1423&lt;E1423),"Decreased reading",IF(F1423&gt;D1423,"Last service above current","")))))))))))))</x:f>
      </x:c>
      <x:c r="L1423" s="6" t="str">
        <x:f>IF(AND(NOT(COUNTA(A1423:F1423)=0),K1423=""),INDEX('Rules'!$C$7:$C$26,MATCH(SUBSTITUTE(SUBSTITUTE(SUBSTITUTE(SUBSTITUTE("type:"&amp;B1423,"%","%25"),"~","%7E"),"*","%2A"),"?","%3F"),'Rules'!$G$7:$G$26,0)),"")</x:f>
      </x:c>
      <x:c r="M1423" s="6" t="str">
        <x:f>IF(AND(NOT(COUNTA(A1423:F1423)=0),K1423=""),INDEX('Rules'!$D$7:$D$26,MATCH(SUBSTITUTE(SUBSTITUTE(SUBSTITUTE(SUBSTITUTE("type:"&amp;B1423,"%","%25"),"~","%7E"),"*","%2A"),"?","%3F"),'Rules'!$G$7:$G$26,0)),"")</x:f>
      </x:c>
      <x:c r="N1423" s="5" t="str">
        <x:f>IF(COUNTA(A1423:F1423)=0,"",SUBSTITUTE(SUBSTITUTE(SUBSTITUTE(SUBSTITUTE("id:"&amp;A1423,"%","%25"),"~","%7E"),"*","%2A"),"?","%3F"))</x:f>
      </x:c>
    </x:row>
    <x:row r="1424" ht="22" customHeight="1">
      <x:c r="A1424" s="3"/>
      <x:c r="B1424" s="3"/>
      <x:c r="C1424" s="3"/>
      <x:c r="D1424" s="4"/>
      <x:c r="E1424" s="4"/>
      <x:c r="F1424" s="4"/>
      <x:c r="G1424" s="5" t="str">
        <x:f>IF(COUNTA(A1424:F1424)=0,"",IF(K1424&lt;&gt;"","Review",IF(I1424&lt;0,"Overdue",IF(I1424=0,"Due now",IF(I1424&lt;=M1424,"Due soon","Not due")))))</x:f>
      </x:c>
      <x:c r="H1424" s="5" t="str">
        <x:f>IF(OR(COUNTA(A1424:F1424)=0,COUNTIFS('Rules'!$G$7:$G$26,"="&amp;(SUBSTITUTE(SUBSTITUTE(SUBSTITUTE(SUBSTITUTE("type:"&amp;B1424,"%","%25"),"~","%7E"),"*","%2A"),"?","%3F")))&lt;&gt;1),"",IF(OR(INDEX('Rules'!$B$7:$B$26,MATCH(SUBSTITUTE(SUBSTITUTE(SUBSTITUTE(SUBSTITUTE("type:"&amp;B1424,"%","%25"),"~","%7E"),"*","%2A"),"?","%3F"),'Rules'!$G$7:$G$26,0))="hours",INDEX('Rules'!$B$7:$B$26,MATCH(SUBSTITUTE(SUBSTITUTE(SUBSTITUTE(SUBSTITUTE("type:"&amp;B1424,"%","%25"),"~","%7E"),"*","%2A"),"?","%3F"),'Rules'!$G$7:$G$26,0))="km"),INDEX('Rules'!$B$7:$B$26,MATCH(SUBSTITUTE(SUBSTITUTE(SUBSTITUTE(SUBSTITUTE("type:"&amp;B1424,"%","%25"),"~","%7E"),"*","%2A"),"?","%3F"),'Rules'!$G$7:$G$26,0)),""))</x:f>
      </x:c>
      <x:c r="I1424" s="6" t="str">
        <x:f>IF(AND(NOT(COUNTA(A1424:F1424)=0),K1424=""),ROUND(J1424-D1424,3),"")</x:f>
      </x:c>
      <x:c r="J1424" s="6" t="str">
        <x:f>IF(AND(NOT(COUNTA(A1424:F1424)=0),K1424=""),ROUND(F1424+L1424,3),"")</x:f>
      </x:c>
      <x:c r="K1424" s="5" t="str">
        <x:f>IF(COUNTA(A1424:F1424)=0,"",IF(A1424="","Missing equipment ID",IF(COUNTIFS($N$8:$N$2007,"="&amp;N1424)&gt;1,"Duplicate equipment ID",IF(B1424="","Missing type",IF(COUNTIFS('Rules'!$G$7:$G$26,"="&amp;(SUBSTITUTE(SUBSTITUTE(SUBSTITUTE(SUBSTITUTE("type:"&amp;B1424,"%","%25"),"~","%7E"),"*","%2A"),"?","%3F")))=0,"Unknown type",IF(COUNTIFS('Rules'!$G$7:$G$26,"="&amp;(SUBSTITUTE(SUBSTITUTE(SUBSTITUTE(SUBSTITUTE("type:"&amp;B1424,"%","%25"),"~","%7E"),"*","%2A"),"?","%3F")))&gt;1,"Duplicate type",IF(INDEX('Rules'!$F$7:$F$26,MATCH(SUBSTITUTE(SUBSTITUTE(SUBSTITUTE(SUBSTITUTE("type:"&amp;B1424,"%","%25"),"~","%7E"),"*","%2A"),"?","%3F"),'Rules'!$G$7:$G$26,0))&lt;&gt;"",INDEX('Rules'!$F$7:$F$26,MATCH(SUBSTITUTE(SUBSTITUTE(SUBSTITUTE(SUBSTITUTE("type:"&amp;B1424,"%","%25"),"~","%7E"),"*","%2A"),"?","%3F"),'Rules'!$G$7:$G$26,0)),IF(AND(C1424&lt;&gt;"",C1424&lt;&gt;INDEX('Rules'!$B$7:$B$26,MATCH(SUBSTITUTE(SUBSTITUTE(SUBSTITUTE(SUBSTITUTE("type:"&amp;B1424,"%","%25"),"~","%7E"),"*","%2A"),"?","%3F"),'Rules'!$G$7:$G$26,0))),"Unit mismatch",IF(IF(NOT(ISNUMBER(D1424)),TRUE,OR(D1424&lt;0,D1424&gt;999999999,ROUND(D1424,3)&lt;&gt;D1424)),"Invalid current reading",IF(AND(E1424&lt;&gt;"",IF(NOT(ISNUMBER(E1424)),TRUE,OR(E1424&lt;0,E1424&gt;999999999,ROUND(E1424,3)&lt;&gt;E1424))),"Invalid previous reading",IF(IF(NOT(ISNUMBER(F1424)),TRUE,OR(F1424&lt;0,F1424&gt;999999999,ROUND(F1424,3)&lt;&gt;F1424)),"Invalid last service",IF(AND(E1424&lt;&gt;"",D1424&lt;E1424),"Decreased reading",IF(F1424&gt;D1424,"Last service above current","")))))))))))))</x:f>
      </x:c>
      <x:c r="L1424" s="6" t="str">
        <x:f>IF(AND(NOT(COUNTA(A1424:F1424)=0),K1424=""),INDEX('Rules'!$C$7:$C$26,MATCH(SUBSTITUTE(SUBSTITUTE(SUBSTITUTE(SUBSTITUTE("type:"&amp;B1424,"%","%25"),"~","%7E"),"*","%2A"),"?","%3F"),'Rules'!$G$7:$G$26,0)),"")</x:f>
      </x:c>
      <x:c r="M1424" s="6" t="str">
        <x:f>IF(AND(NOT(COUNTA(A1424:F1424)=0),K1424=""),INDEX('Rules'!$D$7:$D$26,MATCH(SUBSTITUTE(SUBSTITUTE(SUBSTITUTE(SUBSTITUTE("type:"&amp;B1424,"%","%25"),"~","%7E"),"*","%2A"),"?","%3F"),'Rules'!$G$7:$G$26,0)),"")</x:f>
      </x:c>
      <x:c r="N1424" s="5" t="str">
        <x:f>IF(COUNTA(A1424:F1424)=0,"",SUBSTITUTE(SUBSTITUTE(SUBSTITUTE(SUBSTITUTE("id:"&amp;A1424,"%","%25"),"~","%7E"),"*","%2A"),"?","%3F"))</x:f>
      </x:c>
    </x:row>
    <x:row r="1425" ht="22" customHeight="1">
      <x:c r="A1425" s="3"/>
      <x:c r="B1425" s="3"/>
      <x:c r="C1425" s="3"/>
      <x:c r="D1425" s="4"/>
      <x:c r="E1425" s="4"/>
      <x:c r="F1425" s="4"/>
      <x:c r="G1425" s="5" t="str">
        <x:f>IF(COUNTA(A1425:F1425)=0,"",IF(K1425&lt;&gt;"","Review",IF(I1425&lt;0,"Overdue",IF(I1425=0,"Due now",IF(I1425&lt;=M1425,"Due soon","Not due")))))</x:f>
      </x:c>
      <x:c r="H1425" s="5" t="str">
        <x:f>IF(OR(COUNTA(A1425:F1425)=0,COUNTIFS('Rules'!$G$7:$G$26,"="&amp;(SUBSTITUTE(SUBSTITUTE(SUBSTITUTE(SUBSTITUTE("type:"&amp;B1425,"%","%25"),"~","%7E"),"*","%2A"),"?","%3F")))&lt;&gt;1),"",IF(OR(INDEX('Rules'!$B$7:$B$26,MATCH(SUBSTITUTE(SUBSTITUTE(SUBSTITUTE(SUBSTITUTE("type:"&amp;B1425,"%","%25"),"~","%7E"),"*","%2A"),"?","%3F"),'Rules'!$G$7:$G$26,0))="hours",INDEX('Rules'!$B$7:$B$26,MATCH(SUBSTITUTE(SUBSTITUTE(SUBSTITUTE(SUBSTITUTE("type:"&amp;B1425,"%","%25"),"~","%7E"),"*","%2A"),"?","%3F"),'Rules'!$G$7:$G$26,0))="km"),INDEX('Rules'!$B$7:$B$26,MATCH(SUBSTITUTE(SUBSTITUTE(SUBSTITUTE(SUBSTITUTE("type:"&amp;B1425,"%","%25"),"~","%7E"),"*","%2A"),"?","%3F"),'Rules'!$G$7:$G$26,0)),""))</x:f>
      </x:c>
      <x:c r="I1425" s="6" t="str">
        <x:f>IF(AND(NOT(COUNTA(A1425:F1425)=0),K1425=""),ROUND(J1425-D1425,3),"")</x:f>
      </x:c>
      <x:c r="J1425" s="6" t="str">
        <x:f>IF(AND(NOT(COUNTA(A1425:F1425)=0),K1425=""),ROUND(F1425+L1425,3),"")</x:f>
      </x:c>
      <x:c r="K1425" s="5" t="str">
        <x:f>IF(COUNTA(A1425:F1425)=0,"",IF(A1425="","Missing equipment ID",IF(COUNTIFS($N$8:$N$2007,"="&amp;N1425)&gt;1,"Duplicate equipment ID",IF(B1425="","Missing type",IF(COUNTIFS('Rules'!$G$7:$G$26,"="&amp;(SUBSTITUTE(SUBSTITUTE(SUBSTITUTE(SUBSTITUTE("type:"&amp;B1425,"%","%25"),"~","%7E"),"*","%2A"),"?","%3F")))=0,"Unknown type",IF(COUNTIFS('Rules'!$G$7:$G$26,"="&amp;(SUBSTITUTE(SUBSTITUTE(SUBSTITUTE(SUBSTITUTE("type:"&amp;B1425,"%","%25"),"~","%7E"),"*","%2A"),"?","%3F")))&gt;1,"Duplicate type",IF(INDEX('Rules'!$F$7:$F$26,MATCH(SUBSTITUTE(SUBSTITUTE(SUBSTITUTE(SUBSTITUTE("type:"&amp;B1425,"%","%25"),"~","%7E"),"*","%2A"),"?","%3F"),'Rules'!$G$7:$G$26,0))&lt;&gt;"",INDEX('Rules'!$F$7:$F$26,MATCH(SUBSTITUTE(SUBSTITUTE(SUBSTITUTE(SUBSTITUTE("type:"&amp;B1425,"%","%25"),"~","%7E"),"*","%2A"),"?","%3F"),'Rules'!$G$7:$G$26,0)),IF(AND(C1425&lt;&gt;"",C1425&lt;&gt;INDEX('Rules'!$B$7:$B$26,MATCH(SUBSTITUTE(SUBSTITUTE(SUBSTITUTE(SUBSTITUTE("type:"&amp;B1425,"%","%25"),"~","%7E"),"*","%2A"),"?","%3F"),'Rules'!$G$7:$G$26,0))),"Unit mismatch",IF(IF(NOT(ISNUMBER(D1425)),TRUE,OR(D1425&lt;0,D1425&gt;999999999,ROUND(D1425,3)&lt;&gt;D1425)),"Invalid current reading",IF(AND(E1425&lt;&gt;"",IF(NOT(ISNUMBER(E1425)),TRUE,OR(E1425&lt;0,E1425&gt;999999999,ROUND(E1425,3)&lt;&gt;E1425))),"Invalid previous reading",IF(IF(NOT(ISNUMBER(F1425)),TRUE,OR(F1425&lt;0,F1425&gt;999999999,ROUND(F1425,3)&lt;&gt;F1425)),"Invalid last service",IF(AND(E1425&lt;&gt;"",D1425&lt;E1425),"Decreased reading",IF(F1425&gt;D1425,"Last service above current","")))))))))))))</x:f>
      </x:c>
      <x:c r="L1425" s="6" t="str">
        <x:f>IF(AND(NOT(COUNTA(A1425:F1425)=0),K1425=""),INDEX('Rules'!$C$7:$C$26,MATCH(SUBSTITUTE(SUBSTITUTE(SUBSTITUTE(SUBSTITUTE("type:"&amp;B1425,"%","%25"),"~","%7E"),"*","%2A"),"?","%3F"),'Rules'!$G$7:$G$26,0)),"")</x:f>
      </x:c>
      <x:c r="M1425" s="6" t="str">
        <x:f>IF(AND(NOT(COUNTA(A1425:F1425)=0),K1425=""),INDEX('Rules'!$D$7:$D$26,MATCH(SUBSTITUTE(SUBSTITUTE(SUBSTITUTE(SUBSTITUTE("type:"&amp;B1425,"%","%25"),"~","%7E"),"*","%2A"),"?","%3F"),'Rules'!$G$7:$G$26,0)),"")</x:f>
      </x:c>
      <x:c r="N1425" s="5" t="str">
        <x:f>IF(COUNTA(A1425:F1425)=0,"",SUBSTITUTE(SUBSTITUTE(SUBSTITUTE(SUBSTITUTE("id:"&amp;A1425,"%","%25"),"~","%7E"),"*","%2A"),"?","%3F"))</x:f>
      </x:c>
    </x:row>
    <x:row r="1426" ht="22" customHeight="1">
      <x:c r="A1426" s="3"/>
      <x:c r="B1426" s="3"/>
      <x:c r="C1426" s="3"/>
      <x:c r="D1426" s="4"/>
      <x:c r="E1426" s="4"/>
      <x:c r="F1426" s="4"/>
      <x:c r="G1426" s="5" t="str">
        <x:f>IF(COUNTA(A1426:F1426)=0,"",IF(K1426&lt;&gt;"","Review",IF(I1426&lt;0,"Overdue",IF(I1426=0,"Due now",IF(I1426&lt;=M1426,"Due soon","Not due")))))</x:f>
      </x:c>
      <x:c r="H1426" s="5" t="str">
        <x:f>IF(OR(COUNTA(A1426:F1426)=0,COUNTIFS('Rules'!$G$7:$G$26,"="&amp;(SUBSTITUTE(SUBSTITUTE(SUBSTITUTE(SUBSTITUTE("type:"&amp;B1426,"%","%25"),"~","%7E"),"*","%2A"),"?","%3F")))&lt;&gt;1),"",IF(OR(INDEX('Rules'!$B$7:$B$26,MATCH(SUBSTITUTE(SUBSTITUTE(SUBSTITUTE(SUBSTITUTE("type:"&amp;B1426,"%","%25"),"~","%7E"),"*","%2A"),"?","%3F"),'Rules'!$G$7:$G$26,0))="hours",INDEX('Rules'!$B$7:$B$26,MATCH(SUBSTITUTE(SUBSTITUTE(SUBSTITUTE(SUBSTITUTE("type:"&amp;B1426,"%","%25"),"~","%7E"),"*","%2A"),"?","%3F"),'Rules'!$G$7:$G$26,0))="km"),INDEX('Rules'!$B$7:$B$26,MATCH(SUBSTITUTE(SUBSTITUTE(SUBSTITUTE(SUBSTITUTE("type:"&amp;B1426,"%","%25"),"~","%7E"),"*","%2A"),"?","%3F"),'Rules'!$G$7:$G$26,0)),""))</x:f>
      </x:c>
      <x:c r="I1426" s="6" t="str">
        <x:f>IF(AND(NOT(COUNTA(A1426:F1426)=0),K1426=""),ROUND(J1426-D1426,3),"")</x:f>
      </x:c>
      <x:c r="J1426" s="6" t="str">
        <x:f>IF(AND(NOT(COUNTA(A1426:F1426)=0),K1426=""),ROUND(F1426+L1426,3),"")</x:f>
      </x:c>
      <x:c r="K1426" s="5" t="str">
        <x:f>IF(COUNTA(A1426:F1426)=0,"",IF(A1426="","Missing equipment ID",IF(COUNTIFS($N$8:$N$2007,"="&amp;N1426)&gt;1,"Duplicate equipment ID",IF(B1426="","Missing type",IF(COUNTIFS('Rules'!$G$7:$G$26,"="&amp;(SUBSTITUTE(SUBSTITUTE(SUBSTITUTE(SUBSTITUTE("type:"&amp;B1426,"%","%25"),"~","%7E"),"*","%2A"),"?","%3F")))=0,"Unknown type",IF(COUNTIFS('Rules'!$G$7:$G$26,"="&amp;(SUBSTITUTE(SUBSTITUTE(SUBSTITUTE(SUBSTITUTE("type:"&amp;B1426,"%","%25"),"~","%7E"),"*","%2A"),"?","%3F")))&gt;1,"Duplicate type",IF(INDEX('Rules'!$F$7:$F$26,MATCH(SUBSTITUTE(SUBSTITUTE(SUBSTITUTE(SUBSTITUTE("type:"&amp;B1426,"%","%25"),"~","%7E"),"*","%2A"),"?","%3F"),'Rules'!$G$7:$G$26,0))&lt;&gt;"",INDEX('Rules'!$F$7:$F$26,MATCH(SUBSTITUTE(SUBSTITUTE(SUBSTITUTE(SUBSTITUTE("type:"&amp;B1426,"%","%25"),"~","%7E"),"*","%2A"),"?","%3F"),'Rules'!$G$7:$G$26,0)),IF(AND(C1426&lt;&gt;"",C1426&lt;&gt;INDEX('Rules'!$B$7:$B$26,MATCH(SUBSTITUTE(SUBSTITUTE(SUBSTITUTE(SUBSTITUTE("type:"&amp;B1426,"%","%25"),"~","%7E"),"*","%2A"),"?","%3F"),'Rules'!$G$7:$G$26,0))),"Unit mismatch",IF(IF(NOT(ISNUMBER(D1426)),TRUE,OR(D1426&lt;0,D1426&gt;999999999,ROUND(D1426,3)&lt;&gt;D1426)),"Invalid current reading",IF(AND(E1426&lt;&gt;"",IF(NOT(ISNUMBER(E1426)),TRUE,OR(E1426&lt;0,E1426&gt;999999999,ROUND(E1426,3)&lt;&gt;E1426))),"Invalid previous reading",IF(IF(NOT(ISNUMBER(F1426)),TRUE,OR(F1426&lt;0,F1426&gt;999999999,ROUND(F1426,3)&lt;&gt;F1426)),"Invalid last service",IF(AND(E1426&lt;&gt;"",D1426&lt;E1426),"Decreased reading",IF(F1426&gt;D1426,"Last service above current","")))))))))))))</x:f>
      </x:c>
      <x:c r="L1426" s="6" t="str">
        <x:f>IF(AND(NOT(COUNTA(A1426:F1426)=0),K1426=""),INDEX('Rules'!$C$7:$C$26,MATCH(SUBSTITUTE(SUBSTITUTE(SUBSTITUTE(SUBSTITUTE("type:"&amp;B1426,"%","%25"),"~","%7E"),"*","%2A"),"?","%3F"),'Rules'!$G$7:$G$26,0)),"")</x:f>
      </x:c>
      <x:c r="M1426" s="6" t="str">
        <x:f>IF(AND(NOT(COUNTA(A1426:F1426)=0),K1426=""),INDEX('Rules'!$D$7:$D$26,MATCH(SUBSTITUTE(SUBSTITUTE(SUBSTITUTE(SUBSTITUTE("type:"&amp;B1426,"%","%25"),"~","%7E"),"*","%2A"),"?","%3F"),'Rules'!$G$7:$G$26,0)),"")</x:f>
      </x:c>
      <x:c r="N1426" s="5" t="str">
        <x:f>IF(COUNTA(A1426:F1426)=0,"",SUBSTITUTE(SUBSTITUTE(SUBSTITUTE(SUBSTITUTE("id:"&amp;A1426,"%","%25"),"~","%7E"),"*","%2A"),"?","%3F"))</x:f>
      </x:c>
    </x:row>
    <x:row r="1427" ht="22" customHeight="1">
      <x:c r="A1427" s="3"/>
      <x:c r="B1427" s="3"/>
      <x:c r="C1427" s="3"/>
      <x:c r="D1427" s="4"/>
      <x:c r="E1427" s="4"/>
      <x:c r="F1427" s="4"/>
      <x:c r="G1427" s="5" t="str">
        <x:f>IF(COUNTA(A1427:F1427)=0,"",IF(K1427&lt;&gt;"","Review",IF(I1427&lt;0,"Overdue",IF(I1427=0,"Due now",IF(I1427&lt;=M1427,"Due soon","Not due")))))</x:f>
      </x:c>
      <x:c r="H1427" s="5" t="str">
        <x:f>IF(OR(COUNTA(A1427:F1427)=0,COUNTIFS('Rules'!$G$7:$G$26,"="&amp;(SUBSTITUTE(SUBSTITUTE(SUBSTITUTE(SUBSTITUTE("type:"&amp;B1427,"%","%25"),"~","%7E"),"*","%2A"),"?","%3F")))&lt;&gt;1),"",IF(OR(INDEX('Rules'!$B$7:$B$26,MATCH(SUBSTITUTE(SUBSTITUTE(SUBSTITUTE(SUBSTITUTE("type:"&amp;B1427,"%","%25"),"~","%7E"),"*","%2A"),"?","%3F"),'Rules'!$G$7:$G$26,0))="hours",INDEX('Rules'!$B$7:$B$26,MATCH(SUBSTITUTE(SUBSTITUTE(SUBSTITUTE(SUBSTITUTE("type:"&amp;B1427,"%","%25"),"~","%7E"),"*","%2A"),"?","%3F"),'Rules'!$G$7:$G$26,0))="km"),INDEX('Rules'!$B$7:$B$26,MATCH(SUBSTITUTE(SUBSTITUTE(SUBSTITUTE(SUBSTITUTE("type:"&amp;B1427,"%","%25"),"~","%7E"),"*","%2A"),"?","%3F"),'Rules'!$G$7:$G$26,0)),""))</x:f>
      </x:c>
      <x:c r="I1427" s="6" t="str">
        <x:f>IF(AND(NOT(COUNTA(A1427:F1427)=0),K1427=""),ROUND(J1427-D1427,3),"")</x:f>
      </x:c>
      <x:c r="J1427" s="6" t="str">
        <x:f>IF(AND(NOT(COUNTA(A1427:F1427)=0),K1427=""),ROUND(F1427+L1427,3),"")</x:f>
      </x:c>
      <x:c r="K1427" s="5" t="str">
        <x:f>IF(COUNTA(A1427:F1427)=0,"",IF(A1427="","Missing equipment ID",IF(COUNTIFS($N$8:$N$2007,"="&amp;N1427)&gt;1,"Duplicate equipment ID",IF(B1427="","Missing type",IF(COUNTIFS('Rules'!$G$7:$G$26,"="&amp;(SUBSTITUTE(SUBSTITUTE(SUBSTITUTE(SUBSTITUTE("type:"&amp;B1427,"%","%25"),"~","%7E"),"*","%2A"),"?","%3F")))=0,"Unknown type",IF(COUNTIFS('Rules'!$G$7:$G$26,"="&amp;(SUBSTITUTE(SUBSTITUTE(SUBSTITUTE(SUBSTITUTE("type:"&amp;B1427,"%","%25"),"~","%7E"),"*","%2A"),"?","%3F")))&gt;1,"Duplicate type",IF(INDEX('Rules'!$F$7:$F$26,MATCH(SUBSTITUTE(SUBSTITUTE(SUBSTITUTE(SUBSTITUTE("type:"&amp;B1427,"%","%25"),"~","%7E"),"*","%2A"),"?","%3F"),'Rules'!$G$7:$G$26,0))&lt;&gt;"",INDEX('Rules'!$F$7:$F$26,MATCH(SUBSTITUTE(SUBSTITUTE(SUBSTITUTE(SUBSTITUTE("type:"&amp;B1427,"%","%25"),"~","%7E"),"*","%2A"),"?","%3F"),'Rules'!$G$7:$G$26,0)),IF(AND(C1427&lt;&gt;"",C1427&lt;&gt;INDEX('Rules'!$B$7:$B$26,MATCH(SUBSTITUTE(SUBSTITUTE(SUBSTITUTE(SUBSTITUTE("type:"&amp;B1427,"%","%25"),"~","%7E"),"*","%2A"),"?","%3F"),'Rules'!$G$7:$G$26,0))),"Unit mismatch",IF(IF(NOT(ISNUMBER(D1427)),TRUE,OR(D1427&lt;0,D1427&gt;999999999,ROUND(D1427,3)&lt;&gt;D1427)),"Invalid current reading",IF(AND(E1427&lt;&gt;"",IF(NOT(ISNUMBER(E1427)),TRUE,OR(E1427&lt;0,E1427&gt;999999999,ROUND(E1427,3)&lt;&gt;E1427))),"Invalid previous reading",IF(IF(NOT(ISNUMBER(F1427)),TRUE,OR(F1427&lt;0,F1427&gt;999999999,ROUND(F1427,3)&lt;&gt;F1427)),"Invalid last service",IF(AND(E1427&lt;&gt;"",D1427&lt;E1427),"Decreased reading",IF(F1427&gt;D1427,"Last service above current","")))))))))))))</x:f>
      </x:c>
      <x:c r="L1427" s="6" t="str">
        <x:f>IF(AND(NOT(COUNTA(A1427:F1427)=0),K1427=""),INDEX('Rules'!$C$7:$C$26,MATCH(SUBSTITUTE(SUBSTITUTE(SUBSTITUTE(SUBSTITUTE("type:"&amp;B1427,"%","%25"),"~","%7E"),"*","%2A"),"?","%3F"),'Rules'!$G$7:$G$26,0)),"")</x:f>
      </x:c>
      <x:c r="M1427" s="6" t="str">
        <x:f>IF(AND(NOT(COUNTA(A1427:F1427)=0),K1427=""),INDEX('Rules'!$D$7:$D$26,MATCH(SUBSTITUTE(SUBSTITUTE(SUBSTITUTE(SUBSTITUTE("type:"&amp;B1427,"%","%25"),"~","%7E"),"*","%2A"),"?","%3F"),'Rules'!$G$7:$G$26,0)),"")</x:f>
      </x:c>
      <x:c r="N1427" s="5" t="str">
        <x:f>IF(COUNTA(A1427:F1427)=0,"",SUBSTITUTE(SUBSTITUTE(SUBSTITUTE(SUBSTITUTE("id:"&amp;A1427,"%","%25"),"~","%7E"),"*","%2A"),"?","%3F"))</x:f>
      </x:c>
    </x:row>
    <x:row r="1428" ht="22" customHeight="1">
      <x:c r="A1428" s="3"/>
      <x:c r="B1428" s="3"/>
      <x:c r="C1428" s="3"/>
      <x:c r="D1428" s="4"/>
      <x:c r="E1428" s="4"/>
      <x:c r="F1428" s="4"/>
      <x:c r="G1428" s="5" t="str">
        <x:f>IF(COUNTA(A1428:F1428)=0,"",IF(K1428&lt;&gt;"","Review",IF(I1428&lt;0,"Overdue",IF(I1428=0,"Due now",IF(I1428&lt;=M1428,"Due soon","Not due")))))</x:f>
      </x:c>
      <x:c r="H1428" s="5" t="str">
        <x:f>IF(OR(COUNTA(A1428:F1428)=0,COUNTIFS('Rules'!$G$7:$G$26,"="&amp;(SUBSTITUTE(SUBSTITUTE(SUBSTITUTE(SUBSTITUTE("type:"&amp;B1428,"%","%25"),"~","%7E"),"*","%2A"),"?","%3F")))&lt;&gt;1),"",IF(OR(INDEX('Rules'!$B$7:$B$26,MATCH(SUBSTITUTE(SUBSTITUTE(SUBSTITUTE(SUBSTITUTE("type:"&amp;B1428,"%","%25"),"~","%7E"),"*","%2A"),"?","%3F"),'Rules'!$G$7:$G$26,0))="hours",INDEX('Rules'!$B$7:$B$26,MATCH(SUBSTITUTE(SUBSTITUTE(SUBSTITUTE(SUBSTITUTE("type:"&amp;B1428,"%","%25"),"~","%7E"),"*","%2A"),"?","%3F"),'Rules'!$G$7:$G$26,0))="km"),INDEX('Rules'!$B$7:$B$26,MATCH(SUBSTITUTE(SUBSTITUTE(SUBSTITUTE(SUBSTITUTE("type:"&amp;B1428,"%","%25"),"~","%7E"),"*","%2A"),"?","%3F"),'Rules'!$G$7:$G$26,0)),""))</x:f>
      </x:c>
      <x:c r="I1428" s="6" t="str">
        <x:f>IF(AND(NOT(COUNTA(A1428:F1428)=0),K1428=""),ROUND(J1428-D1428,3),"")</x:f>
      </x:c>
      <x:c r="J1428" s="6" t="str">
        <x:f>IF(AND(NOT(COUNTA(A1428:F1428)=0),K1428=""),ROUND(F1428+L1428,3),"")</x:f>
      </x:c>
      <x:c r="K1428" s="5" t="str">
        <x:f>IF(COUNTA(A1428:F1428)=0,"",IF(A1428="","Missing equipment ID",IF(COUNTIFS($N$8:$N$2007,"="&amp;N1428)&gt;1,"Duplicate equipment ID",IF(B1428="","Missing type",IF(COUNTIFS('Rules'!$G$7:$G$26,"="&amp;(SUBSTITUTE(SUBSTITUTE(SUBSTITUTE(SUBSTITUTE("type:"&amp;B1428,"%","%25"),"~","%7E"),"*","%2A"),"?","%3F")))=0,"Unknown type",IF(COUNTIFS('Rules'!$G$7:$G$26,"="&amp;(SUBSTITUTE(SUBSTITUTE(SUBSTITUTE(SUBSTITUTE("type:"&amp;B1428,"%","%25"),"~","%7E"),"*","%2A"),"?","%3F")))&gt;1,"Duplicate type",IF(INDEX('Rules'!$F$7:$F$26,MATCH(SUBSTITUTE(SUBSTITUTE(SUBSTITUTE(SUBSTITUTE("type:"&amp;B1428,"%","%25"),"~","%7E"),"*","%2A"),"?","%3F"),'Rules'!$G$7:$G$26,0))&lt;&gt;"",INDEX('Rules'!$F$7:$F$26,MATCH(SUBSTITUTE(SUBSTITUTE(SUBSTITUTE(SUBSTITUTE("type:"&amp;B1428,"%","%25"),"~","%7E"),"*","%2A"),"?","%3F"),'Rules'!$G$7:$G$26,0)),IF(AND(C1428&lt;&gt;"",C1428&lt;&gt;INDEX('Rules'!$B$7:$B$26,MATCH(SUBSTITUTE(SUBSTITUTE(SUBSTITUTE(SUBSTITUTE("type:"&amp;B1428,"%","%25"),"~","%7E"),"*","%2A"),"?","%3F"),'Rules'!$G$7:$G$26,0))),"Unit mismatch",IF(IF(NOT(ISNUMBER(D1428)),TRUE,OR(D1428&lt;0,D1428&gt;999999999,ROUND(D1428,3)&lt;&gt;D1428)),"Invalid current reading",IF(AND(E1428&lt;&gt;"",IF(NOT(ISNUMBER(E1428)),TRUE,OR(E1428&lt;0,E1428&gt;999999999,ROUND(E1428,3)&lt;&gt;E1428))),"Invalid previous reading",IF(IF(NOT(ISNUMBER(F1428)),TRUE,OR(F1428&lt;0,F1428&gt;999999999,ROUND(F1428,3)&lt;&gt;F1428)),"Invalid last service",IF(AND(E1428&lt;&gt;"",D1428&lt;E1428),"Decreased reading",IF(F1428&gt;D1428,"Last service above current","")))))))))))))</x:f>
      </x:c>
      <x:c r="L1428" s="6" t="str">
        <x:f>IF(AND(NOT(COUNTA(A1428:F1428)=0),K1428=""),INDEX('Rules'!$C$7:$C$26,MATCH(SUBSTITUTE(SUBSTITUTE(SUBSTITUTE(SUBSTITUTE("type:"&amp;B1428,"%","%25"),"~","%7E"),"*","%2A"),"?","%3F"),'Rules'!$G$7:$G$26,0)),"")</x:f>
      </x:c>
      <x:c r="M1428" s="6" t="str">
        <x:f>IF(AND(NOT(COUNTA(A1428:F1428)=0),K1428=""),INDEX('Rules'!$D$7:$D$26,MATCH(SUBSTITUTE(SUBSTITUTE(SUBSTITUTE(SUBSTITUTE("type:"&amp;B1428,"%","%25"),"~","%7E"),"*","%2A"),"?","%3F"),'Rules'!$G$7:$G$26,0)),"")</x:f>
      </x:c>
      <x:c r="N1428" s="5" t="str">
        <x:f>IF(COUNTA(A1428:F1428)=0,"",SUBSTITUTE(SUBSTITUTE(SUBSTITUTE(SUBSTITUTE("id:"&amp;A1428,"%","%25"),"~","%7E"),"*","%2A"),"?","%3F"))</x:f>
      </x:c>
    </x:row>
    <x:row r="1429" ht="22" customHeight="1">
      <x:c r="A1429" s="3"/>
      <x:c r="B1429" s="3"/>
      <x:c r="C1429" s="3"/>
      <x:c r="D1429" s="4"/>
      <x:c r="E1429" s="4"/>
      <x:c r="F1429" s="4"/>
      <x:c r="G1429" s="5" t="str">
        <x:f>IF(COUNTA(A1429:F1429)=0,"",IF(K1429&lt;&gt;"","Review",IF(I1429&lt;0,"Overdue",IF(I1429=0,"Due now",IF(I1429&lt;=M1429,"Due soon","Not due")))))</x:f>
      </x:c>
      <x:c r="H1429" s="5" t="str">
        <x:f>IF(OR(COUNTA(A1429:F1429)=0,COUNTIFS('Rules'!$G$7:$G$26,"="&amp;(SUBSTITUTE(SUBSTITUTE(SUBSTITUTE(SUBSTITUTE("type:"&amp;B1429,"%","%25"),"~","%7E"),"*","%2A"),"?","%3F")))&lt;&gt;1),"",IF(OR(INDEX('Rules'!$B$7:$B$26,MATCH(SUBSTITUTE(SUBSTITUTE(SUBSTITUTE(SUBSTITUTE("type:"&amp;B1429,"%","%25"),"~","%7E"),"*","%2A"),"?","%3F"),'Rules'!$G$7:$G$26,0))="hours",INDEX('Rules'!$B$7:$B$26,MATCH(SUBSTITUTE(SUBSTITUTE(SUBSTITUTE(SUBSTITUTE("type:"&amp;B1429,"%","%25"),"~","%7E"),"*","%2A"),"?","%3F"),'Rules'!$G$7:$G$26,0))="km"),INDEX('Rules'!$B$7:$B$26,MATCH(SUBSTITUTE(SUBSTITUTE(SUBSTITUTE(SUBSTITUTE("type:"&amp;B1429,"%","%25"),"~","%7E"),"*","%2A"),"?","%3F"),'Rules'!$G$7:$G$26,0)),""))</x:f>
      </x:c>
      <x:c r="I1429" s="6" t="str">
        <x:f>IF(AND(NOT(COUNTA(A1429:F1429)=0),K1429=""),ROUND(J1429-D1429,3),"")</x:f>
      </x:c>
      <x:c r="J1429" s="6" t="str">
        <x:f>IF(AND(NOT(COUNTA(A1429:F1429)=0),K1429=""),ROUND(F1429+L1429,3),"")</x:f>
      </x:c>
      <x:c r="K1429" s="5" t="str">
        <x:f>IF(COUNTA(A1429:F1429)=0,"",IF(A1429="","Missing equipment ID",IF(COUNTIFS($N$8:$N$2007,"="&amp;N1429)&gt;1,"Duplicate equipment ID",IF(B1429="","Missing type",IF(COUNTIFS('Rules'!$G$7:$G$26,"="&amp;(SUBSTITUTE(SUBSTITUTE(SUBSTITUTE(SUBSTITUTE("type:"&amp;B1429,"%","%25"),"~","%7E"),"*","%2A"),"?","%3F")))=0,"Unknown type",IF(COUNTIFS('Rules'!$G$7:$G$26,"="&amp;(SUBSTITUTE(SUBSTITUTE(SUBSTITUTE(SUBSTITUTE("type:"&amp;B1429,"%","%25"),"~","%7E"),"*","%2A"),"?","%3F")))&gt;1,"Duplicate type",IF(INDEX('Rules'!$F$7:$F$26,MATCH(SUBSTITUTE(SUBSTITUTE(SUBSTITUTE(SUBSTITUTE("type:"&amp;B1429,"%","%25"),"~","%7E"),"*","%2A"),"?","%3F"),'Rules'!$G$7:$G$26,0))&lt;&gt;"",INDEX('Rules'!$F$7:$F$26,MATCH(SUBSTITUTE(SUBSTITUTE(SUBSTITUTE(SUBSTITUTE("type:"&amp;B1429,"%","%25"),"~","%7E"),"*","%2A"),"?","%3F"),'Rules'!$G$7:$G$26,0)),IF(AND(C1429&lt;&gt;"",C1429&lt;&gt;INDEX('Rules'!$B$7:$B$26,MATCH(SUBSTITUTE(SUBSTITUTE(SUBSTITUTE(SUBSTITUTE("type:"&amp;B1429,"%","%25"),"~","%7E"),"*","%2A"),"?","%3F"),'Rules'!$G$7:$G$26,0))),"Unit mismatch",IF(IF(NOT(ISNUMBER(D1429)),TRUE,OR(D1429&lt;0,D1429&gt;999999999,ROUND(D1429,3)&lt;&gt;D1429)),"Invalid current reading",IF(AND(E1429&lt;&gt;"",IF(NOT(ISNUMBER(E1429)),TRUE,OR(E1429&lt;0,E1429&gt;999999999,ROUND(E1429,3)&lt;&gt;E1429))),"Invalid previous reading",IF(IF(NOT(ISNUMBER(F1429)),TRUE,OR(F1429&lt;0,F1429&gt;999999999,ROUND(F1429,3)&lt;&gt;F1429)),"Invalid last service",IF(AND(E1429&lt;&gt;"",D1429&lt;E1429),"Decreased reading",IF(F1429&gt;D1429,"Last service above current","")))))))))))))</x:f>
      </x:c>
      <x:c r="L1429" s="6" t="str">
        <x:f>IF(AND(NOT(COUNTA(A1429:F1429)=0),K1429=""),INDEX('Rules'!$C$7:$C$26,MATCH(SUBSTITUTE(SUBSTITUTE(SUBSTITUTE(SUBSTITUTE("type:"&amp;B1429,"%","%25"),"~","%7E"),"*","%2A"),"?","%3F"),'Rules'!$G$7:$G$26,0)),"")</x:f>
      </x:c>
      <x:c r="M1429" s="6" t="str">
        <x:f>IF(AND(NOT(COUNTA(A1429:F1429)=0),K1429=""),INDEX('Rules'!$D$7:$D$26,MATCH(SUBSTITUTE(SUBSTITUTE(SUBSTITUTE(SUBSTITUTE("type:"&amp;B1429,"%","%25"),"~","%7E"),"*","%2A"),"?","%3F"),'Rules'!$G$7:$G$26,0)),"")</x:f>
      </x:c>
      <x:c r="N1429" s="5" t="str">
        <x:f>IF(COUNTA(A1429:F1429)=0,"",SUBSTITUTE(SUBSTITUTE(SUBSTITUTE(SUBSTITUTE("id:"&amp;A1429,"%","%25"),"~","%7E"),"*","%2A"),"?","%3F"))</x:f>
      </x:c>
    </x:row>
    <x:row r="1430" ht="22" customHeight="1">
      <x:c r="A1430" s="3"/>
      <x:c r="B1430" s="3"/>
      <x:c r="C1430" s="3"/>
      <x:c r="D1430" s="4"/>
      <x:c r="E1430" s="4"/>
      <x:c r="F1430" s="4"/>
      <x:c r="G1430" s="5" t="str">
        <x:f>IF(COUNTA(A1430:F1430)=0,"",IF(K1430&lt;&gt;"","Review",IF(I1430&lt;0,"Overdue",IF(I1430=0,"Due now",IF(I1430&lt;=M1430,"Due soon","Not due")))))</x:f>
      </x:c>
      <x:c r="H1430" s="5" t="str">
        <x:f>IF(OR(COUNTA(A1430:F1430)=0,COUNTIFS('Rules'!$G$7:$G$26,"="&amp;(SUBSTITUTE(SUBSTITUTE(SUBSTITUTE(SUBSTITUTE("type:"&amp;B1430,"%","%25"),"~","%7E"),"*","%2A"),"?","%3F")))&lt;&gt;1),"",IF(OR(INDEX('Rules'!$B$7:$B$26,MATCH(SUBSTITUTE(SUBSTITUTE(SUBSTITUTE(SUBSTITUTE("type:"&amp;B1430,"%","%25"),"~","%7E"),"*","%2A"),"?","%3F"),'Rules'!$G$7:$G$26,0))="hours",INDEX('Rules'!$B$7:$B$26,MATCH(SUBSTITUTE(SUBSTITUTE(SUBSTITUTE(SUBSTITUTE("type:"&amp;B1430,"%","%25"),"~","%7E"),"*","%2A"),"?","%3F"),'Rules'!$G$7:$G$26,0))="km"),INDEX('Rules'!$B$7:$B$26,MATCH(SUBSTITUTE(SUBSTITUTE(SUBSTITUTE(SUBSTITUTE("type:"&amp;B1430,"%","%25"),"~","%7E"),"*","%2A"),"?","%3F"),'Rules'!$G$7:$G$26,0)),""))</x:f>
      </x:c>
      <x:c r="I1430" s="6" t="str">
        <x:f>IF(AND(NOT(COUNTA(A1430:F1430)=0),K1430=""),ROUND(J1430-D1430,3),"")</x:f>
      </x:c>
      <x:c r="J1430" s="6" t="str">
        <x:f>IF(AND(NOT(COUNTA(A1430:F1430)=0),K1430=""),ROUND(F1430+L1430,3),"")</x:f>
      </x:c>
      <x:c r="K1430" s="5" t="str">
        <x:f>IF(COUNTA(A1430:F1430)=0,"",IF(A1430="","Missing equipment ID",IF(COUNTIFS($N$8:$N$2007,"="&amp;N1430)&gt;1,"Duplicate equipment ID",IF(B1430="","Missing type",IF(COUNTIFS('Rules'!$G$7:$G$26,"="&amp;(SUBSTITUTE(SUBSTITUTE(SUBSTITUTE(SUBSTITUTE("type:"&amp;B1430,"%","%25"),"~","%7E"),"*","%2A"),"?","%3F")))=0,"Unknown type",IF(COUNTIFS('Rules'!$G$7:$G$26,"="&amp;(SUBSTITUTE(SUBSTITUTE(SUBSTITUTE(SUBSTITUTE("type:"&amp;B1430,"%","%25"),"~","%7E"),"*","%2A"),"?","%3F")))&gt;1,"Duplicate type",IF(INDEX('Rules'!$F$7:$F$26,MATCH(SUBSTITUTE(SUBSTITUTE(SUBSTITUTE(SUBSTITUTE("type:"&amp;B1430,"%","%25"),"~","%7E"),"*","%2A"),"?","%3F"),'Rules'!$G$7:$G$26,0))&lt;&gt;"",INDEX('Rules'!$F$7:$F$26,MATCH(SUBSTITUTE(SUBSTITUTE(SUBSTITUTE(SUBSTITUTE("type:"&amp;B1430,"%","%25"),"~","%7E"),"*","%2A"),"?","%3F"),'Rules'!$G$7:$G$26,0)),IF(AND(C1430&lt;&gt;"",C1430&lt;&gt;INDEX('Rules'!$B$7:$B$26,MATCH(SUBSTITUTE(SUBSTITUTE(SUBSTITUTE(SUBSTITUTE("type:"&amp;B1430,"%","%25"),"~","%7E"),"*","%2A"),"?","%3F"),'Rules'!$G$7:$G$26,0))),"Unit mismatch",IF(IF(NOT(ISNUMBER(D1430)),TRUE,OR(D1430&lt;0,D1430&gt;999999999,ROUND(D1430,3)&lt;&gt;D1430)),"Invalid current reading",IF(AND(E1430&lt;&gt;"",IF(NOT(ISNUMBER(E1430)),TRUE,OR(E1430&lt;0,E1430&gt;999999999,ROUND(E1430,3)&lt;&gt;E1430))),"Invalid previous reading",IF(IF(NOT(ISNUMBER(F1430)),TRUE,OR(F1430&lt;0,F1430&gt;999999999,ROUND(F1430,3)&lt;&gt;F1430)),"Invalid last service",IF(AND(E1430&lt;&gt;"",D1430&lt;E1430),"Decreased reading",IF(F1430&gt;D1430,"Last service above current","")))))))))))))</x:f>
      </x:c>
      <x:c r="L1430" s="6" t="str">
        <x:f>IF(AND(NOT(COUNTA(A1430:F1430)=0),K1430=""),INDEX('Rules'!$C$7:$C$26,MATCH(SUBSTITUTE(SUBSTITUTE(SUBSTITUTE(SUBSTITUTE("type:"&amp;B1430,"%","%25"),"~","%7E"),"*","%2A"),"?","%3F"),'Rules'!$G$7:$G$26,0)),"")</x:f>
      </x:c>
      <x:c r="M1430" s="6" t="str">
        <x:f>IF(AND(NOT(COUNTA(A1430:F1430)=0),K1430=""),INDEX('Rules'!$D$7:$D$26,MATCH(SUBSTITUTE(SUBSTITUTE(SUBSTITUTE(SUBSTITUTE("type:"&amp;B1430,"%","%25"),"~","%7E"),"*","%2A"),"?","%3F"),'Rules'!$G$7:$G$26,0)),"")</x:f>
      </x:c>
      <x:c r="N1430" s="5" t="str">
        <x:f>IF(COUNTA(A1430:F1430)=0,"",SUBSTITUTE(SUBSTITUTE(SUBSTITUTE(SUBSTITUTE("id:"&amp;A1430,"%","%25"),"~","%7E"),"*","%2A"),"?","%3F"))</x:f>
      </x:c>
    </x:row>
    <x:row r="1431" ht="22" customHeight="1">
      <x:c r="A1431" s="3"/>
      <x:c r="B1431" s="3"/>
      <x:c r="C1431" s="3"/>
      <x:c r="D1431" s="4"/>
      <x:c r="E1431" s="4"/>
      <x:c r="F1431" s="4"/>
      <x:c r="G1431" s="5" t="str">
        <x:f>IF(COUNTA(A1431:F1431)=0,"",IF(K1431&lt;&gt;"","Review",IF(I1431&lt;0,"Overdue",IF(I1431=0,"Due now",IF(I1431&lt;=M1431,"Due soon","Not due")))))</x:f>
      </x:c>
      <x:c r="H1431" s="5" t="str">
        <x:f>IF(OR(COUNTA(A1431:F1431)=0,COUNTIFS('Rules'!$G$7:$G$26,"="&amp;(SUBSTITUTE(SUBSTITUTE(SUBSTITUTE(SUBSTITUTE("type:"&amp;B1431,"%","%25"),"~","%7E"),"*","%2A"),"?","%3F")))&lt;&gt;1),"",IF(OR(INDEX('Rules'!$B$7:$B$26,MATCH(SUBSTITUTE(SUBSTITUTE(SUBSTITUTE(SUBSTITUTE("type:"&amp;B1431,"%","%25"),"~","%7E"),"*","%2A"),"?","%3F"),'Rules'!$G$7:$G$26,0))="hours",INDEX('Rules'!$B$7:$B$26,MATCH(SUBSTITUTE(SUBSTITUTE(SUBSTITUTE(SUBSTITUTE("type:"&amp;B1431,"%","%25"),"~","%7E"),"*","%2A"),"?","%3F"),'Rules'!$G$7:$G$26,0))="km"),INDEX('Rules'!$B$7:$B$26,MATCH(SUBSTITUTE(SUBSTITUTE(SUBSTITUTE(SUBSTITUTE("type:"&amp;B1431,"%","%25"),"~","%7E"),"*","%2A"),"?","%3F"),'Rules'!$G$7:$G$26,0)),""))</x:f>
      </x:c>
      <x:c r="I1431" s="6" t="str">
        <x:f>IF(AND(NOT(COUNTA(A1431:F1431)=0),K1431=""),ROUND(J1431-D1431,3),"")</x:f>
      </x:c>
      <x:c r="J1431" s="6" t="str">
        <x:f>IF(AND(NOT(COUNTA(A1431:F1431)=0),K1431=""),ROUND(F1431+L1431,3),"")</x:f>
      </x:c>
      <x:c r="K1431" s="5" t="str">
        <x:f>IF(COUNTA(A1431:F1431)=0,"",IF(A1431="","Missing equipment ID",IF(COUNTIFS($N$8:$N$2007,"="&amp;N1431)&gt;1,"Duplicate equipment ID",IF(B1431="","Missing type",IF(COUNTIFS('Rules'!$G$7:$G$26,"="&amp;(SUBSTITUTE(SUBSTITUTE(SUBSTITUTE(SUBSTITUTE("type:"&amp;B1431,"%","%25"),"~","%7E"),"*","%2A"),"?","%3F")))=0,"Unknown type",IF(COUNTIFS('Rules'!$G$7:$G$26,"="&amp;(SUBSTITUTE(SUBSTITUTE(SUBSTITUTE(SUBSTITUTE("type:"&amp;B1431,"%","%25"),"~","%7E"),"*","%2A"),"?","%3F")))&gt;1,"Duplicate type",IF(INDEX('Rules'!$F$7:$F$26,MATCH(SUBSTITUTE(SUBSTITUTE(SUBSTITUTE(SUBSTITUTE("type:"&amp;B1431,"%","%25"),"~","%7E"),"*","%2A"),"?","%3F"),'Rules'!$G$7:$G$26,0))&lt;&gt;"",INDEX('Rules'!$F$7:$F$26,MATCH(SUBSTITUTE(SUBSTITUTE(SUBSTITUTE(SUBSTITUTE("type:"&amp;B1431,"%","%25"),"~","%7E"),"*","%2A"),"?","%3F"),'Rules'!$G$7:$G$26,0)),IF(AND(C1431&lt;&gt;"",C1431&lt;&gt;INDEX('Rules'!$B$7:$B$26,MATCH(SUBSTITUTE(SUBSTITUTE(SUBSTITUTE(SUBSTITUTE("type:"&amp;B1431,"%","%25"),"~","%7E"),"*","%2A"),"?","%3F"),'Rules'!$G$7:$G$26,0))),"Unit mismatch",IF(IF(NOT(ISNUMBER(D1431)),TRUE,OR(D1431&lt;0,D1431&gt;999999999,ROUND(D1431,3)&lt;&gt;D1431)),"Invalid current reading",IF(AND(E1431&lt;&gt;"",IF(NOT(ISNUMBER(E1431)),TRUE,OR(E1431&lt;0,E1431&gt;999999999,ROUND(E1431,3)&lt;&gt;E1431))),"Invalid previous reading",IF(IF(NOT(ISNUMBER(F1431)),TRUE,OR(F1431&lt;0,F1431&gt;999999999,ROUND(F1431,3)&lt;&gt;F1431)),"Invalid last service",IF(AND(E1431&lt;&gt;"",D1431&lt;E1431),"Decreased reading",IF(F1431&gt;D1431,"Last service above current","")))))))))))))</x:f>
      </x:c>
      <x:c r="L1431" s="6" t="str">
        <x:f>IF(AND(NOT(COUNTA(A1431:F1431)=0),K1431=""),INDEX('Rules'!$C$7:$C$26,MATCH(SUBSTITUTE(SUBSTITUTE(SUBSTITUTE(SUBSTITUTE("type:"&amp;B1431,"%","%25"),"~","%7E"),"*","%2A"),"?","%3F"),'Rules'!$G$7:$G$26,0)),"")</x:f>
      </x:c>
      <x:c r="M1431" s="6" t="str">
        <x:f>IF(AND(NOT(COUNTA(A1431:F1431)=0),K1431=""),INDEX('Rules'!$D$7:$D$26,MATCH(SUBSTITUTE(SUBSTITUTE(SUBSTITUTE(SUBSTITUTE("type:"&amp;B1431,"%","%25"),"~","%7E"),"*","%2A"),"?","%3F"),'Rules'!$G$7:$G$26,0)),"")</x:f>
      </x:c>
      <x:c r="N1431" s="5" t="str">
        <x:f>IF(COUNTA(A1431:F1431)=0,"",SUBSTITUTE(SUBSTITUTE(SUBSTITUTE(SUBSTITUTE("id:"&amp;A1431,"%","%25"),"~","%7E"),"*","%2A"),"?","%3F"))</x:f>
      </x:c>
    </x:row>
    <x:row r="1432" ht="22" customHeight="1">
      <x:c r="A1432" s="3"/>
      <x:c r="B1432" s="3"/>
      <x:c r="C1432" s="3"/>
      <x:c r="D1432" s="4"/>
      <x:c r="E1432" s="4"/>
      <x:c r="F1432" s="4"/>
      <x:c r="G1432" s="5" t="str">
        <x:f>IF(COUNTA(A1432:F1432)=0,"",IF(K1432&lt;&gt;"","Review",IF(I1432&lt;0,"Overdue",IF(I1432=0,"Due now",IF(I1432&lt;=M1432,"Due soon","Not due")))))</x:f>
      </x:c>
      <x:c r="H1432" s="5" t="str">
        <x:f>IF(OR(COUNTA(A1432:F1432)=0,COUNTIFS('Rules'!$G$7:$G$26,"="&amp;(SUBSTITUTE(SUBSTITUTE(SUBSTITUTE(SUBSTITUTE("type:"&amp;B1432,"%","%25"),"~","%7E"),"*","%2A"),"?","%3F")))&lt;&gt;1),"",IF(OR(INDEX('Rules'!$B$7:$B$26,MATCH(SUBSTITUTE(SUBSTITUTE(SUBSTITUTE(SUBSTITUTE("type:"&amp;B1432,"%","%25"),"~","%7E"),"*","%2A"),"?","%3F"),'Rules'!$G$7:$G$26,0))="hours",INDEX('Rules'!$B$7:$B$26,MATCH(SUBSTITUTE(SUBSTITUTE(SUBSTITUTE(SUBSTITUTE("type:"&amp;B1432,"%","%25"),"~","%7E"),"*","%2A"),"?","%3F"),'Rules'!$G$7:$G$26,0))="km"),INDEX('Rules'!$B$7:$B$26,MATCH(SUBSTITUTE(SUBSTITUTE(SUBSTITUTE(SUBSTITUTE("type:"&amp;B1432,"%","%25"),"~","%7E"),"*","%2A"),"?","%3F"),'Rules'!$G$7:$G$26,0)),""))</x:f>
      </x:c>
      <x:c r="I1432" s="6" t="str">
        <x:f>IF(AND(NOT(COUNTA(A1432:F1432)=0),K1432=""),ROUND(J1432-D1432,3),"")</x:f>
      </x:c>
      <x:c r="J1432" s="6" t="str">
        <x:f>IF(AND(NOT(COUNTA(A1432:F1432)=0),K1432=""),ROUND(F1432+L1432,3),"")</x:f>
      </x:c>
      <x:c r="K1432" s="5" t="str">
        <x:f>IF(COUNTA(A1432:F1432)=0,"",IF(A1432="","Missing equipment ID",IF(COUNTIFS($N$8:$N$2007,"="&amp;N1432)&gt;1,"Duplicate equipment ID",IF(B1432="","Missing type",IF(COUNTIFS('Rules'!$G$7:$G$26,"="&amp;(SUBSTITUTE(SUBSTITUTE(SUBSTITUTE(SUBSTITUTE("type:"&amp;B1432,"%","%25"),"~","%7E"),"*","%2A"),"?","%3F")))=0,"Unknown type",IF(COUNTIFS('Rules'!$G$7:$G$26,"="&amp;(SUBSTITUTE(SUBSTITUTE(SUBSTITUTE(SUBSTITUTE("type:"&amp;B1432,"%","%25"),"~","%7E"),"*","%2A"),"?","%3F")))&gt;1,"Duplicate type",IF(INDEX('Rules'!$F$7:$F$26,MATCH(SUBSTITUTE(SUBSTITUTE(SUBSTITUTE(SUBSTITUTE("type:"&amp;B1432,"%","%25"),"~","%7E"),"*","%2A"),"?","%3F"),'Rules'!$G$7:$G$26,0))&lt;&gt;"",INDEX('Rules'!$F$7:$F$26,MATCH(SUBSTITUTE(SUBSTITUTE(SUBSTITUTE(SUBSTITUTE("type:"&amp;B1432,"%","%25"),"~","%7E"),"*","%2A"),"?","%3F"),'Rules'!$G$7:$G$26,0)),IF(AND(C1432&lt;&gt;"",C1432&lt;&gt;INDEX('Rules'!$B$7:$B$26,MATCH(SUBSTITUTE(SUBSTITUTE(SUBSTITUTE(SUBSTITUTE("type:"&amp;B1432,"%","%25"),"~","%7E"),"*","%2A"),"?","%3F"),'Rules'!$G$7:$G$26,0))),"Unit mismatch",IF(IF(NOT(ISNUMBER(D1432)),TRUE,OR(D1432&lt;0,D1432&gt;999999999,ROUND(D1432,3)&lt;&gt;D1432)),"Invalid current reading",IF(AND(E1432&lt;&gt;"",IF(NOT(ISNUMBER(E1432)),TRUE,OR(E1432&lt;0,E1432&gt;999999999,ROUND(E1432,3)&lt;&gt;E1432))),"Invalid previous reading",IF(IF(NOT(ISNUMBER(F1432)),TRUE,OR(F1432&lt;0,F1432&gt;999999999,ROUND(F1432,3)&lt;&gt;F1432)),"Invalid last service",IF(AND(E1432&lt;&gt;"",D1432&lt;E1432),"Decreased reading",IF(F1432&gt;D1432,"Last service above current","")))))))))))))</x:f>
      </x:c>
      <x:c r="L1432" s="6" t="str">
        <x:f>IF(AND(NOT(COUNTA(A1432:F1432)=0),K1432=""),INDEX('Rules'!$C$7:$C$26,MATCH(SUBSTITUTE(SUBSTITUTE(SUBSTITUTE(SUBSTITUTE("type:"&amp;B1432,"%","%25"),"~","%7E"),"*","%2A"),"?","%3F"),'Rules'!$G$7:$G$26,0)),"")</x:f>
      </x:c>
      <x:c r="M1432" s="6" t="str">
        <x:f>IF(AND(NOT(COUNTA(A1432:F1432)=0),K1432=""),INDEX('Rules'!$D$7:$D$26,MATCH(SUBSTITUTE(SUBSTITUTE(SUBSTITUTE(SUBSTITUTE("type:"&amp;B1432,"%","%25"),"~","%7E"),"*","%2A"),"?","%3F"),'Rules'!$G$7:$G$26,0)),"")</x:f>
      </x:c>
      <x:c r="N1432" s="5" t="str">
        <x:f>IF(COUNTA(A1432:F1432)=0,"",SUBSTITUTE(SUBSTITUTE(SUBSTITUTE(SUBSTITUTE("id:"&amp;A1432,"%","%25"),"~","%7E"),"*","%2A"),"?","%3F"))</x:f>
      </x:c>
    </x:row>
    <x:row r="1433" ht="22" customHeight="1">
      <x:c r="A1433" s="3"/>
      <x:c r="B1433" s="3"/>
      <x:c r="C1433" s="3"/>
      <x:c r="D1433" s="4"/>
      <x:c r="E1433" s="4"/>
      <x:c r="F1433" s="4"/>
      <x:c r="G1433" s="5" t="str">
        <x:f>IF(COUNTA(A1433:F1433)=0,"",IF(K1433&lt;&gt;"","Review",IF(I1433&lt;0,"Overdue",IF(I1433=0,"Due now",IF(I1433&lt;=M1433,"Due soon","Not due")))))</x:f>
      </x:c>
      <x:c r="H1433" s="5" t="str">
        <x:f>IF(OR(COUNTA(A1433:F1433)=0,COUNTIFS('Rules'!$G$7:$G$26,"="&amp;(SUBSTITUTE(SUBSTITUTE(SUBSTITUTE(SUBSTITUTE("type:"&amp;B1433,"%","%25"),"~","%7E"),"*","%2A"),"?","%3F")))&lt;&gt;1),"",IF(OR(INDEX('Rules'!$B$7:$B$26,MATCH(SUBSTITUTE(SUBSTITUTE(SUBSTITUTE(SUBSTITUTE("type:"&amp;B1433,"%","%25"),"~","%7E"),"*","%2A"),"?","%3F"),'Rules'!$G$7:$G$26,0))="hours",INDEX('Rules'!$B$7:$B$26,MATCH(SUBSTITUTE(SUBSTITUTE(SUBSTITUTE(SUBSTITUTE("type:"&amp;B1433,"%","%25"),"~","%7E"),"*","%2A"),"?","%3F"),'Rules'!$G$7:$G$26,0))="km"),INDEX('Rules'!$B$7:$B$26,MATCH(SUBSTITUTE(SUBSTITUTE(SUBSTITUTE(SUBSTITUTE("type:"&amp;B1433,"%","%25"),"~","%7E"),"*","%2A"),"?","%3F"),'Rules'!$G$7:$G$26,0)),""))</x:f>
      </x:c>
      <x:c r="I1433" s="6" t="str">
        <x:f>IF(AND(NOT(COUNTA(A1433:F1433)=0),K1433=""),ROUND(J1433-D1433,3),"")</x:f>
      </x:c>
      <x:c r="J1433" s="6" t="str">
        <x:f>IF(AND(NOT(COUNTA(A1433:F1433)=0),K1433=""),ROUND(F1433+L1433,3),"")</x:f>
      </x:c>
      <x:c r="K1433" s="5" t="str">
        <x:f>IF(COUNTA(A1433:F1433)=0,"",IF(A1433="","Missing equipment ID",IF(COUNTIFS($N$8:$N$2007,"="&amp;N1433)&gt;1,"Duplicate equipment ID",IF(B1433="","Missing type",IF(COUNTIFS('Rules'!$G$7:$G$26,"="&amp;(SUBSTITUTE(SUBSTITUTE(SUBSTITUTE(SUBSTITUTE("type:"&amp;B1433,"%","%25"),"~","%7E"),"*","%2A"),"?","%3F")))=0,"Unknown type",IF(COUNTIFS('Rules'!$G$7:$G$26,"="&amp;(SUBSTITUTE(SUBSTITUTE(SUBSTITUTE(SUBSTITUTE("type:"&amp;B1433,"%","%25"),"~","%7E"),"*","%2A"),"?","%3F")))&gt;1,"Duplicate type",IF(INDEX('Rules'!$F$7:$F$26,MATCH(SUBSTITUTE(SUBSTITUTE(SUBSTITUTE(SUBSTITUTE("type:"&amp;B1433,"%","%25"),"~","%7E"),"*","%2A"),"?","%3F"),'Rules'!$G$7:$G$26,0))&lt;&gt;"",INDEX('Rules'!$F$7:$F$26,MATCH(SUBSTITUTE(SUBSTITUTE(SUBSTITUTE(SUBSTITUTE("type:"&amp;B1433,"%","%25"),"~","%7E"),"*","%2A"),"?","%3F"),'Rules'!$G$7:$G$26,0)),IF(AND(C1433&lt;&gt;"",C1433&lt;&gt;INDEX('Rules'!$B$7:$B$26,MATCH(SUBSTITUTE(SUBSTITUTE(SUBSTITUTE(SUBSTITUTE("type:"&amp;B1433,"%","%25"),"~","%7E"),"*","%2A"),"?","%3F"),'Rules'!$G$7:$G$26,0))),"Unit mismatch",IF(IF(NOT(ISNUMBER(D1433)),TRUE,OR(D1433&lt;0,D1433&gt;999999999,ROUND(D1433,3)&lt;&gt;D1433)),"Invalid current reading",IF(AND(E1433&lt;&gt;"",IF(NOT(ISNUMBER(E1433)),TRUE,OR(E1433&lt;0,E1433&gt;999999999,ROUND(E1433,3)&lt;&gt;E1433))),"Invalid previous reading",IF(IF(NOT(ISNUMBER(F1433)),TRUE,OR(F1433&lt;0,F1433&gt;999999999,ROUND(F1433,3)&lt;&gt;F1433)),"Invalid last service",IF(AND(E1433&lt;&gt;"",D1433&lt;E1433),"Decreased reading",IF(F1433&gt;D1433,"Last service above current","")))))))))))))</x:f>
      </x:c>
      <x:c r="L1433" s="6" t="str">
        <x:f>IF(AND(NOT(COUNTA(A1433:F1433)=0),K1433=""),INDEX('Rules'!$C$7:$C$26,MATCH(SUBSTITUTE(SUBSTITUTE(SUBSTITUTE(SUBSTITUTE("type:"&amp;B1433,"%","%25"),"~","%7E"),"*","%2A"),"?","%3F"),'Rules'!$G$7:$G$26,0)),"")</x:f>
      </x:c>
      <x:c r="M1433" s="6" t="str">
        <x:f>IF(AND(NOT(COUNTA(A1433:F1433)=0),K1433=""),INDEX('Rules'!$D$7:$D$26,MATCH(SUBSTITUTE(SUBSTITUTE(SUBSTITUTE(SUBSTITUTE("type:"&amp;B1433,"%","%25"),"~","%7E"),"*","%2A"),"?","%3F"),'Rules'!$G$7:$G$26,0)),"")</x:f>
      </x:c>
      <x:c r="N1433" s="5" t="str">
        <x:f>IF(COUNTA(A1433:F1433)=0,"",SUBSTITUTE(SUBSTITUTE(SUBSTITUTE(SUBSTITUTE("id:"&amp;A1433,"%","%25"),"~","%7E"),"*","%2A"),"?","%3F"))</x:f>
      </x:c>
    </x:row>
    <x:row r="1434" ht="22" customHeight="1">
      <x:c r="A1434" s="3"/>
      <x:c r="B1434" s="3"/>
      <x:c r="C1434" s="3"/>
      <x:c r="D1434" s="4"/>
      <x:c r="E1434" s="4"/>
      <x:c r="F1434" s="4"/>
      <x:c r="G1434" s="5" t="str">
        <x:f>IF(COUNTA(A1434:F1434)=0,"",IF(K1434&lt;&gt;"","Review",IF(I1434&lt;0,"Overdue",IF(I1434=0,"Due now",IF(I1434&lt;=M1434,"Due soon","Not due")))))</x:f>
      </x:c>
      <x:c r="H1434" s="5" t="str">
        <x:f>IF(OR(COUNTA(A1434:F1434)=0,COUNTIFS('Rules'!$G$7:$G$26,"="&amp;(SUBSTITUTE(SUBSTITUTE(SUBSTITUTE(SUBSTITUTE("type:"&amp;B1434,"%","%25"),"~","%7E"),"*","%2A"),"?","%3F")))&lt;&gt;1),"",IF(OR(INDEX('Rules'!$B$7:$B$26,MATCH(SUBSTITUTE(SUBSTITUTE(SUBSTITUTE(SUBSTITUTE("type:"&amp;B1434,"%","%25"),"~","%7E"),"*","%2A"),"?","%3F"),'Rules'!$G$7:$G$26,0))="hours",INDEX('Rules'!$B$7:$B$26,MATCH(SUBSTITUTE(SUBSTITUTE(SUBSTITUTE(SUBSTITUTE("type:"&amp;B1434,"%","%25"),"~","%7E"),"*","%2A"),"?","%3F"),'Rules'!$G$7:$G$26,0))="km"),INDEX('Rules'!$B$7:$B$26,MATCH(SUBSTITUTE(SUBSTITUTE(SUBSTITUTE(SUBSTITUTE("type:"&amp;B1434,"%","%25"),"~","%7E"),"*","%2A"),"?","%3F"),'Rules'!$G$7:$G$26,0)),""))</x:f>
      </x:c>
      <x:c r="I1434" s="6" t="str">
        <x:f>IF(AND(NOT(COUNTA(A1434:F1434)=0),K1434=""),ROUND(J1434-D1434,3),"")</x:f>
      </x:c>
      <x:c r="J1434" s="6" t="str">
        <x:f>IF(AND(NOT(COUNTA(A1434:F1434)=0),K1434=""),ROUND(F1434+L1434,3),"")</x:f>
      </x:c>
      <x:c r="K1434" s="5" t="str">
        <x:f>IF(COUNTA(A1434:F1434)=0,"",IF(A1434="","Missing equipment ID",IF(COUNTIFS($N$8:$N$2007,"="&amp;N1434)&gt;1,"Duplicate equipment ID",IF(B1434="","Missing type",IF(COUNTIFS('Rules'!$G$7:$G$26,"="&amp;(SUBSTITUTE(SUBSTITUTE(SUBSTITUTE(SUBSTITUTE("type:"&amp;B1434,"%","%25"),"~","%7E"),"*","%2A"),"?","%3F")))=0,"Unknown type",IF(COUNTIFS('Rules'!$G$7:$G$26,"="&amp;(SUBSTITUTE(SUBSTITUTE(SUBSTITUTE(SUBSTITUTE("type:"&amp;B1434,"%","%25"),"~","%7E"),"*","%2A"),"?","%3F")))&gt;1,"Duplicate type",IF(INDEX('Rules'!$F$7:$F$26,MATCH(SUBSTITUTE(SUBSTITUTE(SUBSTITUTE(SUBSTITUTE("type:"&amp;B1434,"%","%25"),"~","%7E"),"*","%2A"),"?","%3F"),'Rules'!$G$7:$G$26,0))&lt;&gt;"",INDEX('Rules'!$F$7:$F$26,MATCH(SUBSTITUTE(SUBSTITUTE(SUBSTITUTE(SUBSTITUTE("type:"&amp;B1434,"%","%25"),"~","%7E"),"*","%2A"),"?","%3F"),'Rules'!$G$7:$G$26,0)),IF(AND(C1434&lt;&gt;"",C1434&lt;&gt;INDEX('Rules'!$B$7:$B$26,MATCH(SUBSTITUTE(SUBSTITUTE(SUBSTITUTE(SUBSTITUTE("type:"&amp;B1434,"%","%25"),"~","%7E"),"*","%2A"),"?","%3F"),'Rules'!$G$7:$G$26,0))),"Unit mismatch",IF(IF(NOT(ISNUMBER(D1434)),TRUE,OR(D1434&lt;0,D1434&gt;999999999,ROUND(D1434,3)&lt;&gt;D1434)),"Invalid current reading",IF(AND(E1434&lt;&gt;"",IF(NOT(ISNUMBER(E1434)),TRUE,OR(E1434&lt;0,E1434&gt;999999999,ROUND(E1434,3)&lt;&gt;E1434))),"Invalid previous reading",IF(IF(NOT(ISNUMBER(F1434)),TRUE,OR(F1434&lt;0,F1434&gt;999999999,ROUND(F1434,3)&lt;&gt;F1434)),"Invalid last service",IF(AND(E1434&lt;&gt;"",D1434&lt;E1434),"Decreased reading",IF(F1434&gt;D1434,"Last service above current","")))))))))))))</x:f>
      </x:c>
      <x:c r="L1434" s="6" t="str">
        <x:f>IF(AND(NOT(COUNTA(A1434:F1434)=0),K1434=""),INDEX('Rules'!$C$7:$C$26,MATCH(SUBSTITUTE(SUBSTITUTE(SUBSTITUTE(SUBSTITUTE("type:"&amp;B1434,"%","%25"),"~","%7E"),"*","%2A"),"?","%3F"),'Rules'!$G$7:$G$26,0)),"")</x:f>
      </x:c>
      <x:c r="M1434" s="6" t="str">
        <x:f>IF(AND(NOT(COUNTA(A1434:F1434)=0),K1434=""),INDEX('Rules'!$D$7:$D$26,MATCH(SUBSTITUTE(SUBSTITUTE(SUBSTITUTE(SUBSTITUTE("type:"&amp;B1434,"%","%25"),"~","%7E"),"*","%2A"),"?","%3F"),'Rules'!$G$7:$G$26,0)),"")</x:f>
      </x:c>
      <x:c r="N1434" s="5" t="str">
        <x:f>IF(COUNTA(A1434:F1434)=0,"",SUBSTITUTE(SUBSTITUTE(SUBSTITUTE(SUBSTITUTE("id:"&amp;A1434,"%","%25"),"~","%7E"),"*","%2A"),"?","%3F"))</x:f>
      </x:c>
    </x:row>
    <x:row r="1435" ht="22" customHeight="1">
      <x:c r="A1435" s="3"/>
      <x:c r="B1435" s="3"/>
      <x:c r="C1435" s="3"/>
      <x:c r="D1435" s="4"/>
      <x:c r="E1435" s="4"/>
      <x:c r="F1435" s="4"/>
      <x:c r="G1435" s="5" t="str">
        <x:f>IF(COUNTA(A1435:F1435)=0,"",IF(K1435&lt;&gt;"","Review",IF(I1435&lt;0,"Overdue",IF(I1435=0,"Due now",IF(I1435&lt;=M1435,"Due soon","Not due")))))</x:f>
      </x:c>
      <x:c r="H1435" s="5" t="str">
        <x:f>IF(OR(COUNTA(A1435:F1435)=0,COUNTIFS('Rules'!$G$7:$G$26,"="&amp;(SUBSTITUTE(SUBSTITUTE(SUBSTITUTE(SUBSTITUTE("type:"&amp;B1435,"%","%25"),"~","%7E"),"*","%2A"),"?","%3F")))&lt;&gt;1),"",IF(OR(INDEX('Rules'!$B$7:$B$26,MATCH(SUBSTITUTE(SUBSTITUTE(SUBSTITUTE(SUBSTITUTE("type:"&amp;B1435,"%","%25"),"~","%7E"),"*","%2A"),"?","%3F"),'Rules'!$G$7:$G$26,0))="hours",INDEX('Rules'!$B$7:$B$26,MATCH(SUBSTITUTE(SUBSTITUTE(SUBSTITUTE(SUBSTITUTE("type:"&amp;B1435,"%","%25"),"~","%7E"),"*","%2A"),"?","%3F"),'Rules'!$G$7:$G$26,0))="km"),INDEX('Rules'!$B$7:$B$26,MATCH(SUBSTITUTE(SUBSTITUTE(SUBSTITUTE(SUBSTITUTE("type:"&amp;B1435,"%","%25"),"~","%7E"),"*","%2A"),"?","%3F"),'Rules'!$G$7:$G$26,0)),""))</x:f>
      </x:c>
      <x:c r="I1435" s="6" t="str">
        <x:f>IF(AND(NOT(COUNTA(A1435:F1435)=0),K1435=""),ROUND(J1435-D1435,3),"")</x:f>
      </x:c>
      <x:c r="J1435" s="6" t="str">
        <x:f>IF(AND(NOT(COUNTA(A1435:F1435)=0),K1435=""),ROUND(F1435+L1435,3),"")</x:f>
      </x:c>
      <x:c r="K1435" s="5" t="str">
        <x:f>IF(COUNTA(A1435:F1435)=0,"",IF(A1435="","Missing equipment ID",IF(COUNTIFS($N$8:$N$2007,"="&amp;N1435)&gt;1,"Duplicate equipment ID",IF(B1435="","Missing type",IF(COUNTIFS('Rules'!$G$7:$G$26,"="&amp;(SUBSTITUTE(SUBSTITUTE(SUBSTITUTE(SUBSTITUTE("type:"&amp;B1435,"%","%25"),"~","%7E"),"*","%2A"),"?","%3F")))=0,"Unknown type",IF(COUNTIFS('Rules'!$G$7:$G$26,"="&amp;(SUBSTITUTE(SUBSTITUTE(SUBSTITUTE(SUBSTITUTE("type:"&amp;B1435,"%","%25"),"~","%7E"),"*","%2A"),"?","%3F")))&gt;1,"Duplicate type",IF(INDEX('Rules'!$F$7:$F$26,MATCH(SUBSTITUTE(SUBSTITUTE(SUBSTITUTE(SUBSTITUTE("type:"&amp;B1435,"%","%25"),"~","%7E"),"*","%2A"),"?","%3F"),'Rules'!$G$7:$G$26,0))&lt;&gt;"",INDEX('Rules'!$F$7:$F$26,MATCH(SUBSTITUTE(SUBSTITUTE(SUBSTITUTE(SUBSTITUTE("type:"&amp;B1435,"%","%25"),"~","%7E"),"*","%2A"),"?","%3F"),'Rules'!$G$7:$G$26,0)),IF(AND(C1435&lt;&gt;"",C1435&lt;&gt;INDEX('Rules'!$B$7:$B$26,MATCH(SUBSTITUTE(SUBSTITUTE(SUBSTITUTE(SUBSTITUTE("type:"&amp;B1435,"%","%25"),"~","%7E"),"*","%2A"),"?","%3F"),'Rules'!$G$7:$G$26,0))),"Unit mismatch",IF(IF(NOT(ISNUMBER(D1435)),TRUE,OR(D1435&lt;0,D1435&gt;999999999,ROUND(D1435,3)&lt;&gt;D1435)),"Invalid current reading",IF(AND(E1435&lt;&gt;"",IF(NOT(ISNUMBER(E1435)),TRUE,OR(E1435&lt;0,E1435&gt;999999999,ROUND(E1435,3)&lt;&gt;E1435))),"Invalid previous reading",IF(IF(NOT(ISNUMBER(F1435)),TRUE,OR(F1435&lt;0,F1435&gt;999999999,ROUND(F1435,3)&lt;&gt;F1435)),"Invalid last service",IF(AND(E1435&lt;&gt;"",D1435&lt;E1435),"Decreased reading",IF(F1435&gt;D1435,"Last service above current","")))))))))))))</x:f>
      </x:c>
      <x:c r="L1435" s="6" t="str">
        <x:f>IF(AND(NOT(COUNTA(A1435:F1435)=0),K1435=""),INDEX('Rules'!$C$7:$C$26,MATCH(SUBSTITUTE(SUBSTITUTE(SUBSTITUTE(SUBSTITUTE("type:"&amp;B1435,"%","%25"),"~","%7E"),"*","%2A"),"?","%3F"),'Rules'!$G$7:$G$26,0)),"")</x:f>
      </x:c>
      <x:c r="M1435" s="6" t="str">
        <x:f>IF(AND(NOT(COUNTA(A1435:F1435)=0),K1435=""),INDEX('Rules'!$D$7:$D$26,MATCH(SUBSTITUTE(SUBSTITUTE(SUBSTITUTE(SUBSTITUTE("type:"&amp;B1435,"%","%25"),"~","%7E"),"*","%2A"),"?","%3F"),'Rules'!$G$7:$G$26,0)),"")</x:f>
      </x:c>
      <x:c r="N1435" s="5" t="str">
        <x:f>IF(COUNTA(A1435:F1435)=0,"",SUBSTITUTE(SUBSTITUTE(SUBSTITUTE(SUBSTITUTE("id:"&amp;A1435,"%","%25"),"~","%7E"),"*","%2A"),"?","%3F"))</x:f>
      </x:c>
    </x:row>
    <x:row r="1436" ht="22" customHeight="1">
      <x:c r="A1436" s="3"/>
      <x:c r="B1436" s="3"/>
      <x:c r="C1436" s="3"/>
      <x:c r="D1436" s="4"/>
      <x:c r="E1436" s="4"/>
      <x:c r="F1436" s="4"/>
      <x:c r="G1436" s="5" t="str">
        <x:f>IF(COUNTA(A1436:F1436)=0,"",IF(K1436&lt;&gt;"","Review",IF(I1436&lt;0,"Overdue",IF(I1436=0,"Due now",IF(I1436&lt;=M1436,"Due soon","Not due")))))</x:f>
      </x:c>
      <x:c r="H1436" s="5" t="str">
        <x:f>IF(OR(COUNTA(A1436:F1436)=0,COUNTIFS('Rules'!$G$7:$G$26,"="&amp;(SUBSTITUTE(SUBSTITUTE(SUBSTITUTE(SUBSTITUTE("type:"&amp;B1436,"%","%25"),"~","%7E"),"*","%2A"),"?","%3F")))&lt;&gt;1),"",IF(OR(INDEX('Rules'!$B$7:$B$26,MATCH(SUBSTITUTE(SUBSTITUTE(SUBSTITUTE(SUBSTITUTE("type:"&amp;B1436,"%","%25"),"~","%7E"),"*","%2A"),"?","%3F"),'Rules'!$G$7:$G$26,0))="hours",INDEX('Rules'!$B$7:$B$26,MATCH(SUBSTITUTE(SUBSTITUTE(SUBSTITUTE(SUBSTITUTE("type:"&amp;B1436,"%","%25"),"~","%7E"),"*","%2A"),"?","%3F"),'Rules'!$G$7:$G$26,0))="km"),INDEX('Rules'!$B$7:$B$26,MATCH(SUBSTITUTE(SUBSTITUTE(SUBSTITUTE(SUBSTITUTE("type:"&amp;B1436,"%","%25"),"~","%7E"),"*","%2A"),"?","%3F"),'Rules'!$G$7:$G$26,0)),""))</x:f>
      </x:c>
      <x:c r="I1436" s="6" t="str">
        <x:f>IF(AND(NOT(COUNTA(A1436:F1436)=0),K1436=""),ROUND(J1436-D1436,3),"")</x:f>
      </x:c>
      <x:c r="J1436" s="6" t="str">
        <x:f>IF(AND(NOT(COUNTA(A1436:F1436)=0),K1436=""),ROUND(F1436+L1436,3),"")</x:f>
      </x:c>
      <x:c r="K1436" s="5" t="str">
        <x:f>IF(COUNTA(A1436:F1436)=0,"",IF(A1436="","Missing equipment ID",IF(COUNTIFS($N$8:$N$2007,"="&amp;N1436)&gt;1,"Duplicate equipment ID",IF(B1436="","Missing type",IF(COUNTIFS('Rules'!$G$7:$G$26,"="&amp;(SUBSTITUTE(SUBSTITUTE(SUBSTITUTE(SUBSTITUTE("type:"&amp;B1436,"%","%25"),"~","%7E"),"*","%2A"),"?","%3F")))=0,"Unknown type",IF(COUNTIFS('Rules'!$G$7:$G$26,"="&amp;(SUBSTITUTE(SUBSTITUTE(SUBSTITUTE(SUBSTITUTE("type:"&amp;B1436,"%","%25"),"~","%7E"),"*","%2A"),"?","%3F")))&gt;1,"Duplicate type",IF(INDEX('Rules'!$F$7:$F$26,MATCH(SUBSTITUTE(SUBSTITUTE(SUBSTITUTE(SUBSTITUTE("type:"&amp;B1436,"%","%25"),"~","%7E"),"*","%2A"),"?","%3F"),'Rules'!$G$7:$G$26,0))&lt;&gt;"",INDEX('Rules'!$F$7:$F$26,MATCH(SUBSTITUTE(SUBSTITUTE(SUBSTITUTE(SUBSTITUTE("type:"&amp;B1436,"%","%25"),"~","%7E"),"*","%2A"),"?","%3F"),'Rules'!$G$7:$G$26,0)),IF(AND(C1436&lt;&gt;"",C1436&lt;&gt;INDEX('Rules'!$B$7:$B$26,MATCH(SUBSTITUTE(SUBSTITUTE(SUBSTITUTE(SUBSTITUTE("type:"&amp;B1436,"%","%25"),"~","%7E"),"*","%2A"),"?","%3F"),'Rules'!$G$7:$G$26,0))),"Unit mismatch",IF(IF(NOT(ISNUMBER(D1436)),TRUE,OR(D1436&lt;0,D1436&gt;999999999,ROUND(D1436,3)&lt;&gt;D1436)),"Invalid current reading",IF(AND(E1436&lt;&gt;"",IF(NOT(ISNUMBER(E1436)),TRUE,OR(E1436&lt;0,E1436&gt;999999999,ROUND(E1436,3)&lt;&gt;E1436))),"Invalid previous reading",IF(IF(NOT(ISNUMBER(F1436)),TRUE,OR(F1436&lt;0,F1436&gt;999999999,ROUND(F1436,3)&lt;&gt;F1436)),"Invalid last service",IF(AND(E1436&lt;&gt;"",D1436&lt;E1436),"Decreased reading",IF(F1436&gt;D1436,"Last service above current","")))))))))))))</x:f>
      </x:c>
      <x:c r="L1436" s="6" t="str">
        <x:f>IF(AND(NOT(COUNTA(A1436:F1436)=0),K1436=""),INDEX('Rules'!$C$7:$C$26,MATCH(SUBSTITUTE(SUBSTITUTE(SUBSTITUTE(SUBSTITUTE("type:"&amp;B1436,"%","%25"),"~","%7E"),"*","%2A"),"?","%3F"),'Rules'!$G$7:$G$26,0)),"")</x:f>
      </x:c>
      <x:c r="M1436" s="6" t="str">
        <x:f>IF(AND(NOT(COUNTA(A1436:F1436)=0),K1436=""),INDEX('Rules'!$D$7:$D$26,MATCH(SUBSTITUTE(SUBSTITUTE(SUBSTITUTE(SUBSTITUTE("type:"&amp;B1436,"%","%25"),"~","%7E"),"*","%2A"),"?","%3F"),'Rules'!$G$7:$G$26,0)),"")</x:f>
      </x:c>
      <x:c r="N1436" s="5" t="str">
        <x:f>IF(COUNTA(A1436:F1436)=0,"",SUBSTITUTE(SUBSTITUTE(SUBSTITUTE(SUBSTITUTE("id:"&amp;A1436,"%","%25"),"~","%7E"),"*","%2A"),"?","%3F"))</x:f>
      </x:c>
    </x:row>
    <x:row r="1437" ht="22" customHeight="1">
      <x:c r="A1437" s="3"/>
      <x:c r="B1437" s="3"/>
      <x:c r="C1437" s="3"/>
      <x:c r="D1437" s="4"/>
      <x:c r="E1437" s="4"/>
      <x:c r="F1437" s="4"/>
      <x:c r="G1437" s="5" t="str">
        <x:f>IF(COUNTA(A1437:F1437)=0,"",IF(K1437&lt;&gt;"","Review",IF(I1437&lt;0,"Overdue",IF(I1437=0,"Due now",IF(I1437&lt;=M1437,"Due soon","Not due")))))</x:f>
      </x:c>
      <x:c r="H1437" s="5" t="str">
        <x:f>IF(OR(COUNTA(A1437:F1437)=0,COUNTIFS('Rules'!$G$7:$G$26,"="&amp;(SUBSTITUTE(SUBSTITUTE(SUBSTITUTE(SUBSTITUTE("type:"&amp;B1437,"%","%25"),"~","%7E"),"*","%2A"),"?","%3F")))&lt;&gt;1),"",IF(OR(INDEX('Rules'!$B$7:$B$26,MATCH(SUBSTITUTE(SUBSTITUTE(SUBSTITUTE(SUBSTITUTE("type:"&amp;B1437,"%","%25"),"~","%7E"),"*","%2A"),"?","%3F"),'Rules'!$G$7:$G$26,0))="hours",INDEX('Rules'!$B$7:$B$26,MATCH(SUBSTITUTE(SUBSTITUTE(SUBSTITUTE(SUBSTITUTE("type:"&amp;B1437,"%","%25"),"~","%7E"),"*","%2A"),"?","%3F"),'Rules'!$G$7:$G$26,0))="km"),INDEX('Rules'!$B$7:$B$26,MATCH(SUBSTITUTE(SUBSTITUTE(SUBSTITUTE(SUBSTITUTE("type:"&amp;B1437,"%","%25"),"~","%7E"),"*","%2A"),"?","%3F"),'Rules'!$G$7:$G$26,0)),""))</x:f>
      </x:c>
      <x:c r="I1437" s="6" t="str">
        <x:f>IF(AND(NOT(COUNTA(A1437:F1437)=0),K1437=""),ROUND(J1437-D1437,3),"")</x:f>
      </x:c>
      <x:c r="J1437" s="6" t="str">
        <x:f>IF(AND(NOT(COUNTA(A1437:F1437)=0),K1437=""),ROUND(F1437+L1437,3),"")</x:f>
      </x:c>
      <x:c r="K1437" s="5" t="str">
        <x:f>IF(COUNTA(A1437:F1437)=0,"",IF(A1437="","Missing equipment ID",IF(COUNTIFS($N$8:$N$2007,"="&amp;N1437)&gt;1,"Duplicate equipment ID",IF(B1437="","Missing type",IF(COUNTIFS('Rules'!$G$7:$G$26,"="&amp;(SUBSTITUTE(SUBSTITUTE(SUBSTITUTE(SUBSTITUTE("type:"&amp;B1437,"%","%25"),"~","%7E"),"*","%2A"),"?","%3F")))=0,"Unknown type",IF(COUNTIFS('Rules'!$G$7:$G$26,"="&amp;(SUBSTITUTE(SUBSTITUTE(SUBSTITUTE(SUBSTITUTE("type:"&amp;B1437,"%","%25"),"~","%7E"),"*","%2A"),"?","%3F")))&gt;1,"Duplicate type",IF(INDEX('Rules'!$F$7:$F$26,MATCH(SUBSTITUTE(SUBSTITUTE(SUBSTITUTE(SUBSTITUTE("type:"&amp;B1437,"%","%25"),"~","%7E"),"*","%2A"),"?","%3F"),'Rules'!$G$7:$G$26,0))&lt;&gt;"",INDEX('Rules'!$F$7:$F$26,MATCH(SUBSTITUTE(SUBSTITUTE(SUBSTITUTE(SUBSTITUTE("type:"&amp;B1437,"%","%25"),"~","%7E"),"*","%2A"),"?","%3F"),'Rules'!$G$7:$G$26,0)),IF(AND(C1437&lt;&gt;"",C1437&lt;&gt;INDEX('Rules'!$B$7:$B$26,MATCH(SUBSTITUTE(SUBSTITUTE(SUBSTITUTE(SUBSTITUTE("type:"&amp;B1437,"%","%25"),"~","%7E"),"*","%2A"),"?","%3F"),'Rules'!$G$7:$G$26,0))),"Unit mismatch",IF(IF(NOT(ISNUMBER(D1437)),TRUE,OR(D1437&lt;0,D1437&gt;999999999,ROUND(D1437,3)&lt;&gt;D1437)),"Invalid current reading",IF(AND(E1437&lt;&gt;"",IF(NOT(ISNUMBER(E1437)),TRUE,OR(E1437&lt;0,E1437&gt;999999999,ROUND(E1437,3)&lt;&gt;E1437))),"Invalid previous reading",IF(IF(NOT(ISNUMBER(F1437)),TRUE,OR(F1437&lt;0,F1437&gt;999999999,ROUND(F1437,3)&lt;&gt;F1437)),"Invalid last service",IF(AND(E1437&lt;&gt;"",D1437&lt;E1437),"Decreased reading",IF(F1437&gt;D1437,"Last service above current","")))))))))))))</x:f>
      </x:c>
      <x:c r="L1437" s="6" t="str">
        <x:f>IF(AND(NOT(COUNTA(A1437:F1437)=0),K1437=""),INDEX('Rules'!$C$7:$C$26,MATCH(SUBSTITUTE(SUBSTITUTE(SUBSTITUTE(SUBSTITUTE("type:"&amp;B1437,"%","%25"),"~","%7E"),"*","%2A"),"?","%3F"),'Rules'!$G$7:$G$26,0)),"")</x:f>
      </x:c>
      <x:c r="M1437" s="6" t="str">
        <x:f>IF(AND(NOT(COUNTA(A1437:F1437)=0),K1437=""),INDEX('Rules'!$D$7:$D$26,MATCH(SUBSTITUTE(SUBSTITUTE(SUBSTITUTE(SUBSTITUTE("type:"&amp;B1437,"%","%25"),"~","%7E"),"*","%2A"),"?","%3F"),'Rules'!$G$7:$G$26,0)),"")</x:f>
      </x:c>
      <x:c r="N1437" s="5" t="str">
        <x:f>IF(COUNTA(A1437:F1437)=0,"",SUBSTITUTE(SUBSTITUTE(SUBSTITUTE(SUBSTITUTE("id:"&amp;A1437,"%","%25"),"~","%7E"),"*","%2A"),"?","%3F"))</x:f>
      </x:c>
    </x:row>
    <x:row r="1438" ht="22" customHeight="1">
      <x:c r="A1438" s="3"/>
      <x:c r="B1438" s="3"/>
      <x:c r="C1438" s="3"/>
      <x:c r="D1438" s="4"/>
      <x:c r="E1438" s="4"/>
      <x:c r="F1438" s="4"/>
      <x:c r="G1438" s="5" t="str">
        <x:f>IF(COUNTA(A1438:F1438)=0,"",IF(K1438&lt;&gt;"","Review",IF(I1438&lt;0,"Overdue",IF(I1438=0,"Due now",IF(I1438&lt;=M1438,"Due soon","Not due")))))</x:f>
      </x:c>
      <x:c r="H1438" s="5" t="str">
        <x:f>IF(OR(COUNTA(A1438:F1438)=0,COUNTIFS('Rules'!$G$7:$G$26,"="&amp;(SUBSTITUTE(SUBSTITUTE(SUBSTITUTE(SUBSTITUTE("type:"&amp;B1438,"%","%25"),"~","%7E"),"*","%2A"),"?","%3F")))&lt;&gt;1),"",IF(OR(INDEX('Rules'!$B$7:$B$26,MATCH(SUBSTITUTE(SUBSTITUTE(SUBSTITUTE(SUBSTITUTE("type:"&amp;B1438,"%","%25"),"~","%7E"),"*","%2A"),"?","%3F"),'Rules'!$G$7:$G$26,0))="hours",INDEX('Rules'!$B$7:$B$26,MATCH(SUBSTITUTE(SUBSTITUTE(SUBSTITUTE(SUBSTITUTE("type:"&amp;B1438,"%","%25"),"~","%7E"),"*","%2A"),"?","%3F"),'Rules'!$G$7:$G$26,0))="km"),INDEX('Rules'!$B$7:$B$26,MATCH(SUBSTITUTE(SUBSTITUTE(SUBSTITUTE(SUBSTITUTE("type:"&amp;B1438,"%","%25"),"~","%7E"),"*","%2A"),"?","%3F"),'Rules'!$G$7:$G$26,0)),""))</x:f>
      </x:c>
      <x:c r="I1438" s="6" t="str">
        <x:f>IF(AND(NOT(COUNTA(A1438:F1438)=0),K1438=""),ROUND(J1438-D1438,3),"")</x:f>
      </x:c>
      <x:c r="J1438" s="6" t="str">
        <x:f>IF(AND(NOT(COUNTA(A1438:F1438)=0),K1438=""),ROUND(F1438+L1438,3),"")</x:f>
      </x:c>
      <x:c r="K1438" s="5" t="str">
        <x:f>IF(COUNTA(A1438:F1438)=0,"",IF(A1438="","Missing equipment ID",IF(COUNTIFS($N$8:$N$2007,"="&amp;N1438)&gt;1,"Duplicate equipment ID",IF(B1438="","Missing type",IF(COUNTIFS('Rules'!$G$7:$G$26,"="&amp;(SUBSTITUTE(SUBSTITUTE(SUBSTITUTE(SUBSTITUTE("type:"&amp;B1438,"%","%25"),"~","%7E"),"*","%2A"),"?","%3F")))=0,"Unknown type",IF(COUNTIFS('Rules'!$G$7:$G$26,"="&amp;(SUBSTITUTE(SUBSTITUTE(SUBSTITUTE(SUBSTITUTE("type:"&amp;B1438,"%","%25"),"~","%7E"),"*","%2A"),"?","%3F")))&gt;1,"Duplicate type",IF(INDEX('Rules'!$F$7:$F$26,MATCH(SUBSTITUTE(SUBSTITUTE(SUBSTITUTE(SUBSTITUTE("type:"&amp;B1438,"%","%25"),"~","%7E"),"*","%2A"),"?","%3F"),'Rules'!$G$7:$G$26,0))&lt;&gt;"",INDEX('Rules'!$F$7:$F$26,MATCH(SUBSTITUTE(SUBSTITUTE(SUBSTITUTE(SUBSTITUTE("type:"&amp;B1438,"%","%25"),"~","%7E"),"*","%2A"),"?","%3F"),'Rules'!$G$7:$G$26,0)),IF(AND(C1438&lt;&gt;"",C1438&lt;&gt;INDEX('Rules'!$B$7:$B$26,MATCH(SUBSTITUTE(SUBSTITUTE(SUBSTITUTE(SUBSTITUTE("type:"&amp;B1438,"%","%25"),"~","%7E"),"*","%2A"),"?","%3F"),'Rules'!$G$7:$G$26,0))),"Unit mismatch",IF(IF(NOT(ISNUMBER(D1438)),TRUE,OR(D1438&lt;0,D1438&gt;999999999,ROUND(D1438,3)&lt;&gt;D1438)),"Invalid current reading",IF(AND(E1438&lt;&gt;"",IF(NOT(ISNUMBER(E1438)),TRUE,OR(E1438&lt;0,E1438&gt;999999999,ROUND(E1438,3)&lt;&gt;E1438))),"Invalid previous reading",IF(IF(NOT(ISNUMBER(F1438)),TRUE,OR(F1438&lt;0,F1438&gt;999999999,ROUND(F1438,3)&lt;&gt;F1438)),"Invalid last service",IF(AND(E1438&lt;&gt;"",D1438&lt;E1438),"Decreased reading",IF(F1438&gt;D1438,"Last service above current","")))))))))))))</x:f>
      </x:c>
      <x:c r="L1438" s="6" t="str">
        <x:f>IF(AND(NOT(COUNTA(A1438:F1438)=0),K1438=""),INDEX('Rules'!$C$7:$C$26,MATCH(SUBSTITUTE(SUBSTITUTE(SUBSTITUTE(SUBSTITUTE("type:"&amp;B1438,"%","%25"),"~","%7E"),"*","%2A"),"?","%3F"),'Rules'!$G$7:$G$26,0)),"")</x:f>
      </x:c>
      <x:c r="M1438" s="6" t="str">
        <x:f>IF(AND(NOT(COUNTA(A1438:F1438)=0),K1438=""),INDEX('Rules'!$D$7:$D$26,MATCH(SUBSTITUTE(SUBSTITUTE(SUBSTITUTE(SUBSTITUTE("type:"&amp;B1438,"%","%25"),"~","%7E"),"*","%2A"),"?","%3F"),'Rules'!$G$7:$G$26,0)),"")</x:f>
      </x:c>
      <x:c r="N1438" s="5" t="str">
        <x:f>IF(COUNTA(A1438:F1438)=0,"",SUBSTITUTE(SUBSTITUTE(SUBSTITUTE(SUBSTITUTE("id:"&amp;A1438,"%","%25"),"~","%7E"),"*","%2A"),"?","%3F"))</x:f>
      </x:c>
    </x:row>
    <x:row r="1439" ht="22" customHeight="1">
      <x:c r="A1439" s="3"/>
      <x:c r="B1439" s="3"/>
      <x:c r="C1439" s="3"/>
      <x:c r="D1439" s="4"/>
      <x:c r="E1439" s="4"/>
      <x:c r="F1439" s="4"/>
      <x:c r="G1439" s="5" t="str">
        <x:f>IF(COUNTA(A1439:F1439)=0,"",IF(K1439&lt;&gt;"","Review",IF(I1439&lt;0,"Overdue",IF(I1439=0,"Due now",IF(I1439&lt;=M1439,"Due soon","Not due")))))</x:f>
      </x:c>
      <x:c r="H1439" s="5" t="str">
        <x:f>IF(OR(COUNTA(A1439:F1439)=0,COUNTIFS('Rules'!$G$7:$G$26,"="&amp;(SUBSTITUTE(SUBSTITUTE(SUBSTITUTE(SUBSTITUTE("type:"&amp;B1439,"%","%25"),"~","%7E"),"*","%2A"),"?","%3F")))&lt;&gt;1),"",IF(OR(INDEX('Rules'!$B$7:$B$26,MATCH(SUBSTITUTE(SUBSTITUTE(SUBSTITUTE(SUBSTITUTE("type:"&amp;B1439,"%","%25"),"~","%7E"),"*","%2A"),"?","%3F"),'Rules'!$G$7:$G$26,0))="hours",INDEX('Rules'!$B$7:$B$26,MATCH(SUBSTITUTE(SUBSTITUTE(SUBSTITUTE(SUBSTITUTE("type:"&amp;B1439,"%","%25"),"~","%7E"),"*","%2A"),"?","%3F"),'Rules'!$G$7:$G$26,0))="km"),INDEX('Rules'!$B$7:$B$26,MATCH(SUBSTITUTE(SUBSTITUTE(SUBSTITUTE(SUBSTITUTE("type:"&amp;B1439,"%","%25"),"~","%7E"),"*","%2A"),"?","%3F"),'Rules'!$G$7:$G$26,0)),""))</x:f>
      </x:c>
      <x:c r="I1439" s="6" t="str">
        <x:f>IF(AND(NOT(COUNTA(A1439:F1439)=0),K1439=""),ROUND(J1439-D1439,3),"")</x:f>
      </x:c>
      <x:c r="J1439" s="6" t="str">
        <x:f>IF(AND(NOT(COUNTA(A1439:F1439)=0),K1439=""),ROUND(F1439+L1439,3),"")</x:f>
      </x:c>
      <x:c r="K1439" s="5" t="str">
        <x:f>IF(COUNTA(A1439:F1439)=0,"",IF(A1439="","Missing equipment ID",IF(COUNTIFS($N$8:$N$2007,"="&amp;N1439)&gt;1,"Duplicate equipment ID",IF(B1439="","Missing type",IF(COUNTIFS('Rules'!$G$7:$G$26,"="&amp;(SUBSTITUTE(SUBSTITUTE(SUBSTITUTE(SUBSTITUTE("type:"&amp;B1439,"%","%25"),"~","%7E"),"*","%2A"),"?","%3F")))=0,"Unknown type",IF(COUNTIFS('Rules'!$G$7:$G$26,"="&amp;(SUBSTITUTE(SUBSTITUTE(SUBSTITUTE(SUBSTITUTE("type:"&amp;B1439,"%","%25"),"~","%7E"),"*","%2A"),"?","%3F")))&gt;1,"Duplicate type",IF(INDEX('Rules'!$F$7:$F$26,MATCH(SUBSTITUTE(SUBSTITUTE(SUBSTITUTE(SUBSTITUTE("type:"&amp;B1439,"%","%25"),"~","%7E"),"*","%2A"),"?","%3F"),'Rules'!$G$7:$G$26,0))&lt;&gt;"",INDEX('Rules'!$F$7:$F$26,MATCH(SUBSTITUTE(SUBSTITUTE(SUBSTITUTE(SUBSTITUTE("type:"&amp;B1439,"%","%25"),"~","%7E"),"*","%2A"),"?","%3F"),'Rules'!$G$7:$G$26,0)),IF(AND(C1439&lt;&gt;"",C1439&lt;&gt;INDEX('Rules'!$B$7:$B$26,MATCH(SUBSTITUTE(SUBSTITUTE(SUBSTITUTE(SUBSTITUTE("type:"&amp;B1439,"%","%25"),"~","%7E"),"*","%2A"),"?","%3F"),'Rules'!$G$7:$G$26,0))),"Unit mismatch",IF(IF(NOT(ISNUMBER(D1439)),TRUE,OR(D1439&lt;0,D1439&gt;999999999,ROUND(D1439,3)&lt;&gt;D1439)),"Invalid current reading",IF(AND(E1439&lt;&gt;"",IF(NOT(ISNUMBER(E1439)),TRUE,OR(E1439&lt;0,E1439&gt;999999999,ROUND(E1439,3)&lt;&gt;E1439))),"Invalid previous reading",IF(IF(NOT(ISNUMBER(F1439)),TRUE,OR(F1439&lt;0,F1439&gt;999999999,ROUND(F1439,3)&lt;&gt;F1439)),"Invalid last service",IF(AND(E1439&lt;&gt;"",D1439&lt;E1439),"Decreased reading",IF(F1439&gt;D1439,"Last service above current","")))))))))))))</x:f>
      </x:c>
      <x:c r="L1439" s="6" t="str">
        <x:f>IF(AND(NOT(COUNTA(A1439:F1439)=0),K1439=""),INDEX('Rules'!$C$7:$C$26,MATCH(SUBSTITUTE(SUBSTITUTE(SUBSTITUTE(SUBSTITUTE("type:"&amp;B1439,"%","%25"),"~","%7E"),"*","%2A"),"?","%3F"),'Rules'!$G$7:$G$26,0)),"")</x:f>
      </x:c>
      <x:c r="M1439" s="6" t="str">
        <x:f>IF(AND(NOT(COUNTA(A1439:F1439)=0),K1439=""),INDEX('Rules'!$D$7:$D$26,MATCH(SUBSTITUTE(SUBSTITUTE(SUBSTITUTE(SUBSTITUTE("type:"&amp;B1439,"%","%25"),"~","%7E"),"*","%2A"),"?","%3F"),'Rules'!$G$7:$G$26,0)),"")</x:f>
      </x:c>
      <x:c r="N1439" s="5" t="str">
        <x:f>IF(COUNTA(A1439:F1439)=0,"",SUBSTITUTE(SUBSTITUTE(SUBSTITUTE(SUBSTITUTE("id:"&amp;A1439,"%","%25"),"~","%7E"),"*","%2A"),"?","%3F"))</x:f>
      </x:c>
    </x:row>
    <x:row r="1440" ht="22" customHeight="1">
      <x:c r="A1440" s="3"/>
      <x:c r="B1440" s="3"/>
      <x:c r="C1440" s="3"/>
      <x:c r="D1440" s="4"/>
      <x:c r="E1440" s="4"/>
      <x:c r="F1440" s="4"/>
      <x:c r="G1440" s="5" t="str">
        <x:f>IF(COUNTA(A1440:F1440)=0,"",IF(K1440&lt;&gt;"","Review",IF(I1440&lt;0,"Overdue",IF(I1440=0,"Due now",IF(I1440&lt;=M1440,"Due soon","Not due")))))</x:f>
      </x:c>
      <x:c r="H1440" s="5" t="str">
        <x:f>IF(OR(COUNTA(A1440:F1440)=0,COUNTIFS('Rules'!$G$7:$G$26,"="&amp;(SUBSTITUTE(SUBSTITUTE(SUBSTITUTE(SUBSTITUTE("type:"&amp;B1440,"%","%25"),"~","%7E"),"*","%2A"),"?","%3F")))&lt;&gt;1),"",IF(OR(INDEX('Rules'!$B$7:$B$26,MATCH(SUBSTITUTE(SUBSTITUTE(SUBSTITUTE(SUBSTITUTE("type:"&amp;B1440,"%","%25"),"~","%7E"),"*","%2A"),"?","%3F"),'Rules'!$G$7:$G$26,0))="hours",INDEX('Rules'!$B$7:$B$26,MATCH(SUBSTITUTE(SUBSTITUTE(SUBSTITUTE(SUBSTITUTE("type:"&amp;B1440,"%","%25"),"~","%7E"),"*","%2A"),"?","%3F"),'Rules'!$G$7:$G$26,0))="km"),INDEX('Rules'!$B$7:$B$26,MATCH(SUBSTITUTE(SUBSTITUTE(SUBSTITUTE(SUBSTITUTE("type:"&amp;B1440,"%","%25"),"~","%7E"),"*","%2A"),"?","%3F"),'Rules'!$G$7:$G$26,0)),""))</x:f>
      </x:c>
      <x:c r="I1440" s="6" t="str">
        <x:f>IF(AND(NOT(COUNTA(A1440:F1440)=0),K1440=""),ROUND(J1440-D1440,3),"")</x:f>
      </x:c>
      <x:c r="J1440" s="6" t="str">
        <x:f>IF(AND(NOT(COUNTA(A1440:F1440)=0),K1440=""),ROUND(F1440+L1440,3),"")</x:f>
      </x:c>
      <x:c r="K1440" s="5" t="str">
        <x:f>IF(COUNTA(A1440:F1440)=0,"",IF(A1440="","Missing equipment ID",IF(COUNTIFS($N$8:$N$2007,"="&amp;N1440)&gt;1,"Duplicate equipment ID",IF(B1440="","Missing type",IF(COUNTIFS('Rules'!$G$7:$G$26,"="&amp;(SUBSTITUTE(SUBSTITUTE(SUBSTITUTE(SUBSTITUTE("type:"&amp;B1440,"%","%25"),"~","%7E"),"*","%2A"),"?","%3F")))=0,"Unknown type",IF(COUNTIFS('Rules'!$G$7:$G$26,"="&amp;(SUBSTITUTE(SUBSTITUTE(SUBSTITUTE(SUBSTITUTE("type:"&amp;B1440,"%","%25"),"~","%7E"),"*","%2A"),"?","%3F")))&gt;1,"Duplicate type",IF(INDEX('Rules'!$F$7:$F$26,MATCH(SUBSTITUTE(SUBSTITUTE(SUBSTITUTE(SUBSTITUTE("type:"&amp;B1440,"%","%25"),"~","%7E"),"*","%2A"),"?","%3F"),'Rules'!$G$7:$G$26,0))&lt;&gt;"",INDEX('Rules'!$F$7:$F$26,MATCH(SUBSTITUTE(SUBSTITUTE(SUBSTITUTE(SUBSTITUTE("type:"&amp;B1440,"%","%25"),"~","%7E"),"*","%2A"),"?","%3F"),'Rules'!$G$7:$G$26,0)),IF(AND(C1440&lt;&gt;"",C1440&lt;&gt;INDEX('Rules'!$B$7:$B$26,MATCH(SUBSTITUTE(SUBSTITUTE(SUBSTITUTE(SUBSTITUTE("type:"&amp;B1440,"%","%25"),"~","%7E"),"*","%2A"),"?","%3F"),'Rules'!$G$7:$G$26,0))),"Unit mismatch",IF(IF(NOT(ISNUMBER(D1440)),TRUE,OR(D1440&lt;0,D1440&gt;999999999,ROUND(D1440,3)&lt;&gt;D1440)),"Invalid current reading",IF(AND(E1440&lt;&gt;"",IF(NOT(ISNUMBER(E1440)),TRUE,OR(E1440&lt;0,E1440&gt;999999999,ROUND(E1440,3)&lt;&gt;E1440))),"Invalid previous reading",IF(IF(NOT(ISNUMBER(F1440)),TRUE,OR(F1440&lt;0,F1440&gt;999999999,ROUND(F1440,3)&lt;&gt;F1440)),"Invalid last service",IF(AND(E1440&lt;&gt;"",D1440&lt;E1440),"Decreased reading",IF(F1440&gt;D1440,"Last service above current","")))))))))))))</x:f>
      </x:c>
      <x:c r="L1440" s="6" t="str">
        <x:f>IF(AND(NOT(COUNTA(A1440:F1440)=0),K1440=""),INDEX('Rules'!$C$7:$C$26,MATCH(SUBSTITUTE(SUBSTITUTE(SUBSTITUTE(SUBSTITUTE("type:"&amp;B1440,"%","%25"),"~","%7E"),"*","%2A"),"?","%3F"),'Rules'!$G$7:$G$26,0)),"")</x:f>
      </x:c>
      <x:c r="M1440" s="6" t="str">
        <x:f>IF(AND(NOT(COUNTA(A1440:F1440)=0),K1440=""),INDEX('Rules'!$D$7:$D$26,MATCH(SUBSTITUTE(SUBSTITUTE(SUBSTITUTE(SUBSTITUTE("type:"&amp;B1440,"%","%25"),"~","%7E"),"*","%2A"),"?","%3F"),'Rules'!$G$7:$G$26,0)),"")</x:f>
      </x:c>
      <x:c r="N1440" s="5" t="str">
        <x:f>IF(COUNTA(A1440:F1440)=0,"",SUBSTITUTE(SUBSTITUTE(SUBSTITUTE(SUBSTITUTE("id:"&amp;A1440,"%","%25"),"~","%7E"),"*","%2A"),"?","%3F"))</x:f>
      </x:c>
    </x:row>
    <x:row r="1441" ht="22" customHeight="1">
      <x:c r="A1441" s="3"/>
      <x:c r="B1441" s="3"/>
      <x:c r="C1441" s="3"/>
      <x:c r="D1441" s="4"/>
      <x:c r="E1441" s="4"/>
      <x:c r="F1441" s="4"/>
      <x:c r="G1441" s="5" t="str">
        <x:f>IF(COUNTA(A1441:F1441)=0,"",IF(K1441&lt;&gt;"","Review",IF(I1441&lt;0,"Overdue",IF(I1441=0,"Due now",IF(I1441&lt;=M1441,"Due soon","Not due")))))</x:f>
      </x:c>
      <x:c r="H1441" s="5" t="str">
        <x:f>IF(OR(COUNTA(A1441:F1441)=0,COUNTIFS('Rules'!$G$7:$G$26,"="&amp;(SUBSTITUTE(SUBSTITUTE(SUBSTITUTE(SUBSTITUTE("type:"&amp;B1441,"%","%25"),"~","%7E"),"*","%2A"),"?","%3F")))&lt;&gt;1),"",IF(OR(INDEX('Rules'!$B$7:$B$26,MATCH(SUBSTITUTE(SUBSTITUTE(SUBSTITUTE(SUBSTITUTE("type:"&amp;B1441,"%","%25"),"~","%7E"),"*","%2A"),"?","%3F"),'Rules'!$G$7:$G$26,0))="hours",INDEX('Rules'!$B$7:$B$26,MATCH(SUBSTITUTE(SUBSTITUTE(SUBSTITUTE(SUBSTITUTE("type:"&amp;B1441,"%","%25"),"~","%7E"),"*","%2A"),"?","%3F"),'Rules'!$G$7:$G$26,0))="km"),INDEX('Rules'!$B$7:$B$26,MATCH(SUBSTITUTE(SUBSTITUTE(SUBSTITUTE(SUBSTITUTE("type:"&amp;B1441,"%","%25"),"~","%7E"),"*","%2A"),"?","%3F"),'Rules'!$G$7:$G$26,0)),""))</x:f>
      </x:c>
      <x:c r="I1441" s="6" t="str">
        <x:f>IF(AND(NOT(COUNTA(A1441:F1441)=0),K1441=""),ROUND(J1441-D1441,3),"")</x:f>
      </x:c>
      <x:c r="J1441" s="6" t="str">
        <x:f>IF(AND(NOT(COUNTA(A1441:F1441)=0),K1441=""),ROUND(F1441+L1441,3),"")</x:f>
      </x:c>
      <x:c r="K1441" s="5" t="str">
        <x:f>IF(COUNTA(A1441:F1441)=0,"",IF(A1441="","Missing equipment ID",IF(COUNTIFS($N$8:$N$2007,"="&amp;N1441)&gt;1,"Duplicate equipment ID",IF(B1441="","Missing type",IF(COUNTIFS('Rules'!$G$7:$G$26,"="&amp;(SUBSTITUTE(SUBSTITUTE(SUBSTITUTE(SUBSTITUTE("type:"&amp;B1441,"%","%25"),"~","%7E"),"*","%2A"),"?","%3F")))=0,"Unknown type",IF(COUNTIFS('Rules'!$G$7:$G$26,"="&amp;(SUBSTITUTE(SUBSTITUTE(SUBSTITUTE(SUBSTITUTE("type:"&amp;B1441,"%","%25"),"~","%7E"),"*","%2A"),"?","%3F")))&gt;1,"Duplicate type",IF(INDEX('Rules'!$F$7:$F$26,MATCH(SUBSTITUTE(SUBSTITUTE(SUBSTITUTE(SUBSTITUTE("type:"&amp;B1441,"%","%25"),"~","%7E"),"*","%2A"),"?","%3F"),'Rules'!$G$7:$G$26,0))&lt;&gt;"",INDEX('Rules'!$F$7:$F$26,MATCH(SUBSTITUTE(SUBSTITUTE(SUBSTITUTE(SUBSTITUTE("type:"&amp;B1441,"%","%25"),"~","%7E"),"*","%2A"),"?","%3F"),'Rules'!$G$7:$G$26,0)),IF(AND(C1441&lt;&gt;"",C1441&lt;&gt;INDEX('Rules'!$B$7:$B$26,MATCH(SUBSTITUTE(SUBSTITUTE(SUBSTITUTE(SUBSTITUTE("type:"&amp;B1441,"%","%25"),"~","%7E"),"*","%2A"),"?","%3F"),'Rules'!$G$7:$G$26,0))),"Unit mismatch",IF(IF(NOT(ISNUMBER(D1441)),TRUE,OR(D1441&lt;0,D1441&gt;999999999,ROUND(D1441,3)&lt;&gt;D1441)),"Invalid current reading",IF(AND(E1441&lt;&gt;"",IF(NOT(ISNUMBER(E1441)),TRUE,OR(E1441&lt;0,E1441&gt;999999999,ROUND(E1441,3)&lt;&gt;E1441))),"Invalid previous reading",IF(IF(NOT(ISNUMBER(F1441)),TRUE,OR(F1441&lt;0,F1441&gt;999999999,ROUND(F1441,3)&lt;&gt;F1441)),"Invalid last service",IF(AND(E1441&lt;&gt;"",D1441&lt;E1441),"Decreased reading",IF(F1441&gt;D1441,"Last service above current","")))))))))))))</x:f>
      </x:c>
      <x:c r="L1441" s="6" t="str">
        <x:f>IF(AND(NOT(COUNTA(A1441:F1441)=0),K1441=""),INDEX('Rules'!$C$7:$C$26,MATCH(SUBSTITUTE(SUBSTITUTE(SUBSTITUTE(SUBSTITUTE("type:"&amp;B1441,"%","%25"),"~","%7E"),"*","%2A"),"?","%3F"),'Rules'!$G$7:$G$26,0)),"")</x:f>
      </x:c>
      <x:c r="M1441" s="6" t="str">
        <x:f>IF(AND(NOT(COUNTA(A1441:F1441)=0),K1441=""),INDEX('Rules'!$D$7:$D$26,MATCH(SUBSTITUTE(SUBSTITUTE(SUBSTITUTE(SUBSTITUTE("type:"&amp;B1441,"%","%25"),"~","%7E"),"*","%2A"),"?","%3F"),'Rules'!$G$7:$G$26,0)),"")</x:f>
      </x:c>
      <x:c r="N1441" s="5" t="str">
        <x:f>IF(COUNTA(A1441:F1441)=0,"",SUBSTITUTE(SUBSTITUTE(SUBSTITUTE(SUBSTITUTE("id:"&amp;A1441,"%","%25"),"~","%7E"),"*","%2A"),"?","%3F"))</x:f>
      </x:c>
    </x:row>
    <x:row r="1442" ht="22" customHeight="1">
      <x:c r="A1442" s="3"/>
      <x:c r="B1442" s="3"/>
      <x:c r="C1442" s="3"/>
      <x:c r="D1442" s="4"/>
      <x:c r="E1442" s="4"/>
      <x:c r="F1442" s="4"/>
      <x:c r="G1442" s="5" t="str">
        <x:f>IF(COUNTA(A1442:F1442)=0,"",IF(K1442&lt;&gt;"","Review",IF(I1442&lt;0,"Overdue",IF(I1442=0,"Due now",IF(I1442&lt;=M1442,"Due soon","Not due")))))</x:f>
      </x:c>
      <x:c r="H1442" s="5" t="str">
        <x:f>IF(OR(COUNTA(A1442:F1442)=0,COUNTIFS('Rules'!$G$7:$G$26,"="&amp;(SUBSTITUTE(SUBSTITUTE(SUBSTITUTE(SUBSTITUTE("type:"&amp;B1442,"%","%25"),"~","%7E"),"*","%2A"),"?","%3F")))&lt;&gt;1),"",IF(OR(INDEX('Rules'!$B$7:$B$26,MATCH(SUBSTITUTE(SUBSTITUTE(SUBSTITUTE(SUBSTITUTE("type:"&amp;B1442,"%","%25"),"~","%7E"),"*","%2A"),"?","%3F"),'Rules'!$G$7:$G$26,0))="hours",INDEX('Rules'!$B$7:$B$26,MATCH(SUBSTITUTE(SUBSTITUTE(SUBSTITUTE(SUBSTITUTE("type:"&amp;B1442,"%","%25"),"~","%7E"),"*","%2A"),"?","%3F"),'Rules'!$G$7:$G$26,0))="km"),INDEX('Rules'!$B$7:$B$26,MATCH(SUBSTITUTE(SUBSTITUTE(SUBSTITUTE(SUBSTITUTE("type:"&amp;B1442,"%","%25"),"~","%7E"),"*","%2A"),"?","%3F"),'Rules'!$G$7:$G$26,0)),""))</x:f>
      </x:c>
      <x:c r="I1442" s="6" t="str">
        <x:f>IF(AND(NOT(COUNTA(A1442:F1442)=0),K1442=""),ROUND(J1442-D1442,3),"")</x:f>
      </x:c>
      <x:c r="J1442" s="6" t="str">
        <x:f>IF(AND(NOT(COUNTA(A1442:F1442)=0),K1442=""),ROUND(F1442+L1442,3),"")</x:f>
      </x:c>
      <x:c r="K1442" s="5" t="str">
        <x:f>IF(COUNTA(A1442:F1442)=0,"",IF(A1442="","Missing equipment ID",IF(COUNTIFS($N$8:$N$2007,"="&amp;N1442)&gt;1,"Duplicate equipment ID",IF(B1442="","Missing type",IF(COUNTIFS('Rules'!$G$7:$G$26,"="&amp;(SUBSTITUTE(SUBSTITUTE(SUBSTITUTE(SUBSTITUTE("type:"&amp;B1442,"%","%25"),"~","%7E"),"*","%2A"),"?","%3F")))=0,"Unknown type",IF(COUNTIFS('Rules'!$G$7:$G$26,"="&amp;(SUBSTITUTE(SUBSTITUTE(SUBSTITUTE(SUBSTITUTE("type:"&amp;B1442,"%","%25"),"~","%7E"),"*","%2A"),"?","%3F")))&gt;1,"Duplicate type",IF(INDEX('Rules'!$F$7:$F$26,MATCH(SUBSTITUTE(SUBSTITUTE(SUBSTITUTE(SUBSTITUTE("type:"&amp;B1442,"%","%25"),"~","%7E"),"*","%2A"),"?","%3F"),'Rules'!$G$7:$G$26,0))&lt;&gt;"",INDEX('Rules'!$F$7:$F$26,MATCH(SUBSTITUTE(SUBSTITUTE(SUBSTITUTE(SUBSTITUTE("type:"&amp;B1442,"%","%25"),"~","%7E"),"*","%2A"),"?","%3F"),'Rules'!$G$7:$G$26,0)),IF(AND(C1442&lt;&gt;"",C1442&lt;&gt;INDEX('Rules'!$B$7:$B$26,MATCH(SUBSTITUTE(SUBSTITUTE(SUBSTITUTE(SUBSTITUTE("type:"&amp;B1442,"%","%25"),"~","%7E"),"*","%2A"),"?","%3F"),'Rules'!$G$7:$G$26,0))),"Unit mismatch",IF(IF(NOT(ISNUMBER(D1442)),TRUE,OR(D1442&lt;0,D1442&gt;999999999,ROUND(D1442,3)&lt;&gt;D1442)),"Invalid current reading",IF(AND(E1442&lt;&gt;"",IF(NOT(ISNUMBER(E1442)),TRUE,OR(E1442&lt;0,E1442&gt;999999999,ROUND(E1442,3)&lt;&gt;E1442))),"Invalid previous reading",IF(IF(NOT(ISNUMBER(F1442)),TRUE,OR(F1442&lt;0,F1442&gt;999999999,ROUND(F1442,3)&lt;&gt;F1442)),"Invalid last service",IF(AND(E1442&lt;&gt;"",D1442&lt;E1442),"Decreased reading",IF(F1442&gt;D1442,"Last service above current","")))))))))))))</x:f>
      </x:c>
      <x:c r="L1442" s="6" t="str">
        <x:f>IF(AND(NOT(COUNTA(A1442:F1442)=0),K1442=""),INDEX('Rules'!$C$7:$C$26,MATCH(SUBSTITUTE(SUBSTITUTE(SUBSTITUTE(SUBSTITUTE("type:"&amp;B1442,"%","%25"),"~","%7E"),"*","%2A"),"?","%3F"),'Rules'!$G$7:$G$26,0)),"")</x:f>
      </x:c>
      <x:c r="M1442" s="6" t="str">
        <x:f>IF(AND(NOT(COUNTA(A1442:F1442)=0),K1442=""),INDEX('Rules'!$D$7:$D$26,MATCH(SUBSTITUTE(SUBSTITUTE(SUBSTITUTE(SUBSTITUTE("type:"&amp;B1442,"%","%25"),"~","%7E"),"*","%2A"),"?","%3F"),'Rules'!$G$7:$G$26,0)),"")</x:f>
      </x:c>
      <x:c r="N1442" s="5" t="str">
        <x:f>IF(COUNTA(A1442:F1442)=0,"",SUBSTITUTE(SUBSTITUTE(SUBSTITUTE(SUBSTITUTE("id:"&amp;A1442,"%","%25"),"~","%7E"),"*","%2A"),"?","%3F"))</x:f>
      </x:c>
    </x:row>
    <x:row r="1443" ht="22" customHeight="1">
      <x:c r="A1443" s="3"/>
      <x:c r="B1443" s="3"/>
      <x:c r="C1443" s="3"/>
      <x:c r="D1443" s="4"/>
      <x:c r="E1443" s="4"/>
      <x:c r="F1443" s="4"/>
      <x:c r="G1443" s="5" t="str">
        <x:f>IF(COUNTA(A1443:F1443)=0,"",IF(K1443&lt;&gt;"","Review",IF(I1443&lt;0,"Overdue",IF(I1443=0,"Due now",IF(I1443&lt;=M1443,"Due soon","Not due")))))</x:f>
      </x:c>
      <x:c r="H1443" s="5" t="str">
        <x:f>IF(OR(COUNTA(A1443:F1443)=0,COUNTIFS('Rules'!$G$7:$G$26,"="&amp;(SUBSTITUTE(SUBSTITUTE(SUBSTITUTE(SUBSTITUTE("type:"&amp;B1443,"%","%25"),"~","%7E"),"*","%2A"),"?","%3F")))&lt;&gt;1),"",IF(OR(INDEX('Rules'!$B$7:$B$26,MATCH(SUBSTITUTE(SUBSTITUTE(SUBSTITUTE(SUBSTITUTE("type:"&amp;B1443,"%","%25"),"~","%7E"),"*","%2A"),"?","%3F"),'Rules'!$G$7:$G$26,0))="hours",INDEX('Rules'!$B$7:$B$26,MATCH(SUBSTITUTE(SUBSTITUTE(SUBSTITUTE(SUBSTITUTE("type:"&amp;B1443,"%","%25"),"~","%7E"),"*","%2A"),"?","%3F"),'Rules'!$G$7:$G$26,0))="km"),INDEX('Rules'!$B$7:$B$26,MATCH(SUBSTITUTE(SUBSTITUTE(SUBSTITUTE(SUBSTITUTE("type:"&amp;B1443,"%","%25"),"~","%7E"),"*","%2A"),"?","%3F"),'Rules'!$G$7:$G$26,0)),""))</x:f>
      </x:c>
      <x:c r="I1443" s="6" t="str">
        <x:f>IF(AND(NOT(COUNTA(A1443:F1443)=0),K1443=""),ROUND(J1443-D1443,3),"")</x:f>
      </x:c>
      <x:c r="J1443" s="6" t="str">
        <x:f>IF(AND(NOT(COUNTA(A1443:F1443)=0),K1443=""),ROUND(F1443+L1443,3),"")</x:f>
      </x:c>
      <x:c r="K1443" s="5" t="str">
        <x:f>IF(COUNTA(A1443:F1443)=0,"",IF(A1443="","Missing equipment ID",IF(COUNTIFS($N$8:$N$2007,"="&amp;N1443)&gt;1,"Duplicate equipment ID",IF(B1443="","Missing type",IF(COUNTIFS('Rules'!$G$7:$G$26,"="&amp;(SUBSTITUTE(SUBSTITUTE(SUBSTITUTE(SUBSTITUTE("type:"&amp;B1443,"%","%25"),"~","%7E"),"*","%2A"),"?","%3F")))=0,"Unknown type",IF(COUNTIFS('Rules'!$G$7:$G$26,"="&amp;(SUBSTITUTE(SUBSTITUTE(SUBSTITUTE(SUBSTITUTE("type:"&amp;B1443,"%","%25"),"~","%7E"),"*","%2A"),"?","%3F")))&gt;1,"Duplicate type",IF(INDEX('Rules'!$F$7:$F$26,MATCH(SUBSTITUTE(SUBSTITUTE(SUBSTITUTE(SUBSTITUTE("type:"&amp;B1443,"%","%25"),"~","%7E"),"*","%2A"),"?","%3F"),'Rules'!$G$7:$G$26,0))&lt;&gt;"",INDEX('Rules'!$F$7:$F$26,MATCH(SUBSTITUTE(SUBSTITUTE(SUBSTITUTE(SUBSTITUTE("type:"&amp;B1443,"%","%25"),"~","%7E"),"*","%2A"),"?","%3F"),'Rules'!$G$7:$G$26,0)),IF(AND(C1443&lt;&gt;"",C1443&lt;&gt;INDEX('Rules'!$B$7:$B$26,MATCH(SUBSTITUTE(SUBSTITUTE(SUBSTITUTE(SUBSTITUTE("type:"&amp;B1443,"%","%25"),"~","%7E"),"*","%2A"),"?","%3F"),'Rules'!$G$7:$G$26,0))),"Unit mismatch",IF(IF(NOT(ISNUMBER(D1443)),TRUE,OR(D1443&lt;0,D1443&gt;999999999,ROUND(D1443,3)&lt;&gt;D1443)),"Invalid current reading",IF(AND(E1443&lt;&gt;"",IF(NOT(ISNUMBER(E1443)),TRUE,OR(E1443&lt;0,E1443&gt;999999999,ROUND(E1443,3)&lt;&gt;E1443))),"Invalid previous reading",IF(IF(NOT(ISNUMBER(F1443)),TRUE,OR(F1443&lt;0,F1443&gt;999999999,ROUND(F1443,3)&lt;&gt;F1443)),"Invalid last service",IF(AND(E1443&lt;&gt;"",D1443&lt;E1443),"Decreased reading",IF(F1443&gt;D1443,"Last service above current","")))))))))))))</x:f>
      </x:c>
      <x:c r="L1443" s="6" t="str">
        <x:f>IF(AND(NOT(COUNTA(A1443:F1443)=0),K1443=""),INDEX('Rules'!$C$7:$C$26,MATCH(SUBSTITUTE(SUBSTITUTE(SUBSTITUTE(SUBSTITUTE("type:"&amp;B1443,"%","%25"),"~","%7E"),"*","%2A"),"?","%3F"),'Rules'!$G$7:$G$26,0)),"")</x:f>
      </x:c>
      <x:c r="M1443" s="6" t="str">
        <x:f>IF(AND(NOT(COUNTA(A1443:F1443)=0),K1443=""),INDEX('Rules'!$D$7:$D$26,MATCH(SUBSTITUTE(SUBSTITUTE(SUBSTITUTE(SUBSTITUTE("type:"&amp;B1443,"%","%25"),"~","%7E"),"*","%2A"),"?","%3F"),'Rules'!$G$7:$G$26,0)),"")</x:f>
      </x:c>
      <x:c r="N1443" s="5" t="str">
        <x:f>IF(COUNTA(A1443:F1443)=0,"",SUBSTITUTE(SUBSTITUTE(SUBSTITUTE(SUBSTITUTE("id:"&amp;A1443,"%","%25"),"~","%7E"),"*","%2A"),"?","%3F"))</x:f>
      </x:c>
    </x:row>
    <x:row r="1444" ht="22" customHeight="1">
      <x:c r="A1444" s="3"/>
      <x:c r="B1444" s="3"/>
      <x:c r="C1444" s="3"/>
      <x:c r="D1444" s="4"/>
      <x:c r="E1444" s="4"/>
      <x:c r="F1444" s="4"/>
      <x:c r="G1444" s="5" t="str">
        <x:f>IF(COUNTA(A1444:F1444)=0,"",IF(K1444&lt;&gt;"","Review",IF(I1444&lt;0,"Overdue",IF(I1444=0,"Due now",IF(I1444&lt;=M1444,"Due soon","Not due")))))</x:f>
      </x:c>
      <x:c r="H1444" s="5" t="str">
        <x:f>IF(OR(COUNTA(A1444:F1444)=0,COUNTIFS('Rules'!$G$7:$G$26,"="&amp;(SUBSTITUTE(SUBSTITUTE(SUBSTITUTE(SUBSTITUTE("type:"&amp;B1444,"%","%25"),"~","%7E"),"*","%2A"),"?","%3F")))&lt;&gt;1),"",IF(OR(INDEX('Rules'!$B$7:$B$26,MATCH(SUBSTITUTE(SUBSTITUTE(SUBSTITUTE(SUBSTITUTE("type:"&amp;B1444,"%","%25"),"~","%7E"),"*","%2A"),"?","%3F"),'Rules'!$G$7:$G$26,0))="hours",INDEX('Rules'!$B$7:$B$26,MATCH(SUBSTITUTE(SUBSTITUTE(SUBSTITUTE(SUBSTITUTE("type:"&amp;B1444,"%","%25"),"~","%7E"),"*","%2A"),"?","%3F"),'Rules'!$G$7:$G$26,0))="km"),INDEX('Rules'!$B$7:$B$26,MATCH(SUBSTITUTE(SUBSTITUTE(SUBSTITUTE(SUBSTITUTE("type:"&amp;B1444,"%","%25"),"~","%7E"),"*","%2A"),"?","%3F"),'Rules'!$G$7:$G$26,0)),""))</x:f>
      </x:c>
      <x:c r="I1444" s="6" t="str">
        <x:f>IF(AND(NOT(COUNTA(A1444:F1444)=0),K1444=""),ROUND(J1444-D1444,3),"")</x:f>
      </x:c>
      <x:c r="J1444" s="6" t="str">
        <x:f>IF(AND(NOT(COUNTA(A1444:F1444)=0),K1444=""),ROUND(F1444+L1444,3),"")</x:f>
      </x:c>
      <x:c r="K1444" s="5" t="str">
        <x:f>IF(COUNTA(A1444:F1444)=0,"",IF(A1444="","Missing equipment ID",IF(COUNTIFS($N$8:$N$2007,"="&amp;N1444)&gt;1,"Duplicate equipment ID",IF(B1444="","Missing type",IF(COUNTIFS('Rules'!$G$7:$G$26,"="&amp;(SUBSTITUTE(SUBSTITUTE(SUBSTITUTE(SUBSTITUTE("type:"&amp;B1444,"%","%25"),"~","%7E"),"*","%2A"),"?","%3F")))=0,"Unknown type",IF(COUNTIFS('Rules'!$G$7:$G$26,"="&amp;(SUBSTITUTE(SUBSTITUTE(SUBSTITUTE(SUBSTITUTE("type:"&amp;B1444,"%","%25"),"~","%7E"),"*","%2A"),"?","%3F")))&gt;1,"Duplicate type",IF(INDEX('Rules'!$F$7:$F$26,MATCH(SUBSTITUTE(SUBSTITUTE(SUBSTITUTE(SUBSTITUTE("type:"&amp;B1444,"%","%25"),"~","%7E"),"*","%2A"),"?","%3F"),'Rules'!$G$7:$G$26,0))&lt;&gt;"",INDEX('Rules'!$F$7:$F$26,MATCH(SUBSTITUTE(SUBSTITUTE(SUBSTITUTE(SUBSTITUTE("type:"&amp;B1444,"%","%25"),"~","%7E"),"*","%2A"),"?","%3F"),'Rules'!$G$7:$G$26,0)),IF(AND(C1444&lt;&gt;"",C1444&lt;&gt;INDEX('Rules'!$B$7:$B$26,MATCH(SUBSTITUTE(SUBSTITUTE(SUBSTITUTE(SUBSTITUTE("type:"&amp;B1444,"%","%25"),"~","%7E"),"*","%2A"),"?","%3F"),'Rules'!$G$7:$G$26,0))),"Unit mismatch",IF(IF(NOT(ISNUMBER(D1444)),TRUE,OR(D1444&lt;0,D1444&gt;999999999,ROUND(D1444,3)&lt;&gt;D1444)),"Invalid current reading",IF(AND(E1444&lt;&gt;"",IF(NOT(ISNUMBER(E1444)),TRUE,OR(E1444&lt;0,E1444&gt;999999999,ROUND(E1444,3)&lt;&gt;E1444))),"Invalid previous reading",IF(IF(NOT(ISNUMBER(F1444)),TRUE,OR(F1444&lt;0,F1444&gt;999999999,ROUND(F1444,3)&lt;&gt;F1444)),"Invalid last service",IF(AND(E1444&lt;&gt;"",D1444&lt;E1444),"Decreased reading",IF(F1444&gt;D1444,"Last service above current","")))))))))))))</x:f>
      </x:c>
      <x:c r="L1444" s="6" t="str">
        <x:f>IF(AND(NOT(COUNTA(A1444:F1444)=0),K1444=""),INDEX('Rules'!$C$7:$C$26,MATCH(SUBSTITUTE(SUBSTITUTE(SUBSTITUTE(SUBSTITUTE("type:"&amp;B1444,"%","%25"),"~","%7E"),"*","%2A"),"?","%3F"),'Rules'!$G$7:$G$26,0)),"")</x:f>
      </x:c>
      <x:c r="M1444" s="6" t="str">
        <x:f>IF(AND(NOT(COUNTA(A1444:F1444)=0),K1444=""),INDEX('Rules'!$D$7:$D$26,MATCH(SUBSTITUTE(SUBSTITUTE(SUBSTITUTE(SUBSTITUTE("type:"&amp;B1444,"%","%25"),"~","%7E"),"*","%2A"),"?","%3F"),'Rules'!$G$7:$G$26,0)),"")</x:f>
      </x:c>
      <x:c r="N1444" s="5" t="str">
        <x:f>IF(COUNTA(A1444:F1444)=0,"",SUBSTITUTE(SUBSTITUTE(SUBSTITUTE(SUBSTITUTE("id:"&amp;A1444,"%","%25"),"~","%7E"),"*","%2A"),"?","%3F"))</x:f>
      </x:c>
    </x:row>
    <x:row r="1445" ht="22" customHeight="1">
      <x:c r="A1445" s="3"/>
      <x:c r="B1445" s="3"/>
      <x:c r="C1445" s="3"/>
      <x:c r="D1445" s="4"/>
      <x:c r="E1445" s="4"/>
      <x:c r="F1445" s="4"/>
      <x:c r="G1445" s="5" t="str">
        <x:f>IF(COUNTA(A1445:F1445)=0,"",IF(K1445&lt;&gt;"","Review",IF(I1445&lt;0,"Overdue",IF(I1445=0,"Due now",IF(I1445&lt;=M1445,"Due soon","Not due")))))</x:f>
      </x:c>
      <x:c r="H1445" s="5" t="str">
        <x:f>IF(OR(COUNTA(A1445:F1445)=0,COUNTIFS('Rules'!$G$7:$G$26,"="&amp;(SUBSTITUTE(SUBSTITUTE(SUBSTITUTE(SUBSTITUTE("type:"&amp;B1445,"%","%25"),"~","%7E"),"*","%2A"),"?","%3F")))&lt;&gt;1),"",IF(OR(INDEX('Rules'!$B$7:$B$26,MATCH(SUBSTITUTE(SUBSTITUTE(SUBSTITUTE(SUBSTITUTE("type:"&amp;B1445,"%","%25"),"~","%7E"),"*","%2A"),"?","%3F"),'Rules'!$G$7:$G$26,0))="hours",INDEX('Rules'!$B$7:$B$26,MATCH(SUBSTITUTE(SUBSTITUTE(SUBSTITUTE(SUBSTITUTE("type:"&amp;B1445,"%","%25"),"~","%7E"),"*","%2A"),"?","%3F"),'Rules'!$G$7:$G$26,0))="km"),INDEX('Rules'!$B$7:$B$26,MATCH(SUBSTITUTE(SUBSTITUTE(SUBSTITUTE(SUBSTITUTE("type:"&amp;B1445,"%","%25"),"~","%7E"),"*","%2A"),"?","%3F"),'Rules'!$G$7:$G$26,0)),""))</x:f>
      </x:c>
      <x:c r="I1445" s="6" t="str">
        <x:f>IF(AND(NOT(COUNTA(A1445:F1445)=0),K1445=""),ROUND(J1445-D1445,3),"")</x:f>
      </x:c>
      <x:c r="J1445" s="6" t="str">
        <x:f>IF(AND(NOT(COUNTA(A1445:F1445)=0),K1445=""),ROUND(F1445+L1445,3),"")</x:f>
      </x:c>
      <x:c r="K1445" s="5" t="str">
        <x:f>IF(COUNTA(A1445:F1445)=0,"",IF(A1445="","Missing equipment ID",IF(COUNTIFS($N$8:$N$2007,"="&amp;N1445)&gt;1,"Duplicate equipment ID",IF(B1445="","Missing type",IF(COUNTIFS('Rules'!$G$7:$G$26,"="&amp;(SUBSTITUTE(SUBSTITUTE(SUBSTITUTE(SUBSTITUTE("type:"&amp;B1445,"%","%25"),"~","%7E"),"*","%2A"),"?","%3F")))=0,"Unknown type",IF(COUNTIFS('Rules'!$G$7:$G$26,"="&amp;(SUBSTITUTE(SUBSTITUTE(SUBSTITUTE(SUBSTITUTE("type:"&amp;B1445,"%","%25"),"~","%7E"),"*","%2A"),"?","%3F")))&gt;1,"Duplicate type",IF(INDEX('Rules'!$F$7:$F$26,MATCH(SUBSTITUTE(SUBSTITUTE(SUBSTITUTE(SUBSTITUTE("type:"&amp;B1445,"%","%25"),"~","%7E"),"*","%2A"),"?","%3F"),'Rules'!$G$7:$G$26,0))&lt;&gt;"",INDEX('Rules'!$F$7:$F$26,MATCH(SUBSTITUTE(SUBSTITUTE(SUBSTITUTE(SUBSTITUTE("type:"&amp;B1445,"%","%25"),"~","%7E"),"*","%2A"),"?","%3F"),'Rules'!$G$7:$G$26,0)),IF(AND(C1445&lt;&gt;"",C1445&lt;&gt;INDEX('Rules'!$B$7:$B$26,MATCH(SUBSTITUTE(SUBSTITUTE(SUBSTITUTE(SUBSTITUTE("type:"&amp;B1445,"%","%25"),"~","%7E"),"*","%2A"),"?","%3F"),'Rules'!$G$7:$G$26,0))),"Unit mismatch",IF(IF(NOT(ISNUMBER(D1445)),TRUE,OR(D1445&lt;0,D1445&gt;999999999,ROUND(D1445,3)&lt;&gt;D1445)),"Invalid current reading",IF(AND(E1445&lt;&gt;"",IF(NOT(ISNUMBER(E1445)),TRUE,OR(E1445&lt;0,E1445&gt;999999999,ROUND(E1445,3)&lt;&gt;E1445))),"Invalid previous reading",IF(IF(NOT(ISNUMBER(F1445)),TRUE,OR(F1445&lt;0,F1445&gt;999999999,ROUND(F1445,3)&lt;&gt;F1445)),"Invalid last service",IF(AND(E1445&lt;&gt;"",D1445&lt;E1445),"Decreased reading",IF(F1445&gt;D1445,"Last service above current","")))))))))))))</x:f>
      </x:c>
      <x:c r="L1445" s="6" t="str">
        <x:f>IF(AND(NOT(COUNTA(A1445:F1445)=0),K1445=""),INDEX('Rules'!$C$7:$C$26,MATCH(SUBSTITUTE(SUBSTITUTE(SUBSTITUTE(SUBSTITUTE("type:"&amp;B1445,"%","%25"),"~","%7E"),"*","%2A"),"?","%3F"),'Rules'!$G$7:$G$26,0)),"")</x:f>
      </x:c>
      <x:c r="M1445" s="6" t="str">
        <x:f>IF(AND(NOT(COUNTA(A1445:F1445)=0),K1445=""),INDEX('Rules'!$D$7:$D$26,MATCH(SUBSTITUTE(SUBSTITUTE(SUBSTITUTE(SUBSTITUTE("type:"&amp;B1445,"%","%25"),"~","%7E"),"*","%2A"),"?","%3F"),'Rules'!$G$7:$G$26,0)),"")</x:f>
      </x:c>
      <x:c r="N1445" s="5" t="str">
        <x:f>IF(COUNTA(A1445:F1445)=0,"",SUBSTITUTE(SUBSTITUTE(SUBSTITUTE(SUBSTITUTE("id:"&amp;A1445,"%","%25"),"~","%7E"),"*","%2A"),"?","%3F"))</x:f>
      </x:c>
    </x:row>
    <x:row r="1446" ht="22" customHeight="1">
      <x:c r="A1446" s="3"/>
      <x:c r="B1446" s="3"/>
      <x:c r="C1446" s="3"/>
      <x:c r="D1446" s="4"/>
      <x:c r="E1446" s="4"/>
      <x:c r="F1446" s="4"/>
      <x:c r="G1446" s="5" t="str">
        <x:f>IF(COUNTA(A1446:F1446)=0,"",IF(K1446&lt;&gt;"","Review",IF(I1446&lt;0,"Overdue",IF(I1446=0,"Due now",IF(I1446&lt;=M1446,"Due soon","Not due")))))</x:f>
      </x:c>
      <x:c r="H1446" s="5" t="str">
        <x:f>IF(OR(COUNTA(A1446:F1446)=0,COUNTIFS('Rules'!$G$7:$G$26,"="&amp;(SUBSTITUTE(SUBSTITUTE(SUBSTITUTE(SUBSTITUTE("type:"&amp;B1446,"%","%25"),"~","%7E"),"*","%2A"),"?","%3F")))&lt;&gt;1),"",IF(OR(INDEX('Rules'!$B$7:$B$26,MATCH(SUBSTITUTE(SUBSTITUTE(SUBSTITUTE(SUBSTITUTE("type:"&amp;B1446,"%","%25"),"~","%7E"),"*","%2A"),"?","%3F"),'Rules'!$G$7:$G$26,0))="hours",INDEX('Rules'!$B$7:$B$26,MATCH(SUBSTITUTE(SUBSTITUTE(SUBSTITUTE(SUBSTITUTE("type:"&amp;B1446,"%","%25"),"~","%7E"),"*","%2A"),"?","%3F"),'Rules'!$G$7:$G$26,0))="km"),INDEX('Rules'!$B$7:$B$26,MATCH(SUBSTITUTE(SUBSTITUTE(SUBSTITUTE(SUBSTITUTE("type:"&amp;B1446,"%","%25"),"~","%7E"),"*","%2A"),"?","%3F"),'Rules'!$G$7:$G$26,0)),""))</x:f>
      </x:c>
      <x:c r="I1446" s="6" t="str">
        <x:f>IF(AND(NOT(COUNTA(A1446:F1446)=0),K1446=""),ROUND(J1446-D1446,3),"")</x:f>
      </x:c>
      <x:c r="J1446" s="6" t="str">
        <x:f>IF(AND(NOT(COUNTA(A1446:F1446)=0),K1446=""),ROUND(F1446+L1446,3),"")</x:f>
      </x:c>
      <x:c r="K1446" s="5" t="str">
        <x:f>IF(COUNTA(A1446:F1446)=0,"",IF(A1446="","Missing equipment ID",IF(COUNTIFS($N$8:$N$2007,"="&amp;N1446)&gt;1,"Duplicate equipment ID",IF(B1446="","Missing type",IF(COUNTIFS('Rules'!$G$7:$G$26,"="&amp;(SUBSTITUTE(SUBSTITUTE(SUBSTITUTE(SUBSTITUTE("type:"&amp;B1446,"%","%25"),"~","%7E"),"*","%2A"),"?","%3F")))=0,"Unknown type",IF(COUNTIFS('Rules'!$G$7:$G$26,"="&amp;(SUBSTITUTE(SUBSTITUTE(SUBSTITUTE(SUBSTITUTE("type:"&amp;B1446,"%","%25"),"~","%7E"),"*","%2A"),"?","%3F")))&gt;1,"Duplicate type",IF(INDEX('Rules'!$F$7:$F$26,MATCH(SUBSTITUTE(SUBSTITUTE(SUBSTITUTE(SUBSTITUTE("type:"&amp;B1446,"%","%25"),"~","%7E"),"*","%2A"),"?","%3F"),'Rules'!$G$7:$G$26,0))&lt;&gt;"",INDEX('Rules'!$F$7:$F$26,MATCH(SUBSTITUTE(SUBSTITUTE(SUBSTITUTE(SUBSTITUTE("type:"&amp;B1446,"%","%25"),"~","%7E"),"*","%2A"),"?","%3F"),'Rules'!$G$7:$G$26,0)),IF(AND(C1446&lt;&gt;"",C1446&lt;&gt;INDEX('Rules'!$B$7:$B$26,MATCH(SUBSTITUTE(SUBSTITUTE(SUBSTITUTE(SUBSTITUTE("type:"&amp;B1446,"%","%25"),"~","%7E"),"*","%2A"),"?","%3F"),'Rules'!$G$7:$G$26,0))),"Unit mismatch",IF(IF(NOT(ISNUMBER(D1446)),TRUE,OR(D1446&lt;0,D1446&gt;999999999,ROUND(D1446,3)&lt;&gt;D1446)),"Invalid current reading",IF(AND(E1446&lt;&gt;"",IF(NOT(ISNUMBER(E1446)),TRUE,OR(E1446&lt;0,E1446&gt;999999999,ROUND(E1446,3)&lt;&gt;E1446))),"Invalid previous reading",IF(IF(NOT(ISNUMBER(F1446)),TRUE,OR(F1446&lt;0,F1446&gt;999999999,ROUND(F1446,3)&lt;&gt;F1446)),"Invalid last service",IF(AND(E1446&lt;&gt;"",D1446&lt;E1446),"Decreased reading",IF(F1446&gt;D1446,"Last service above current","")))))))))))))</x:f>
      </x:c>
      <x:c r="L1446" s="6" t="str">
        <x:f>IF(AND(NOT(COUNTA(A1446:F1446)=0),K1446=""),INDEX('Rules'!$C$7:$C$26,MATCH(SUBSTITUTE(SUBSTITUTE(SUBSTITUTE(SUBSTITUTE("type:"&amp;B1446,"%","%25"),"~","%7E"),"*","%2A"),"?","%3F"),'Rules'!$G$7:$G$26,0)),"")</x:f>
      </x:c>
      <x:c r="M1446" s="6" t="str">
        <x:f>IF(AND(NOT(COUNTA(A1446:F1446)=0),K1446=""),INDEX('Rules'!$D$7:$D$26,MATCH(SUBSTITUTE(SUBSTITUTE(SUBSTITUTE(SUBSTITUTE("type:"&amp;B1446,"%","%25"),"~","%7E"),"*","%2A"),"?","%3F"),'Rules'!$G$7:$G$26,0)),"")</x:f>
      </x:c>
      <x:c r="N1446" s="5" t="str">
        <x:f>IF(COUNTA(A1446:F1446)=0,"",SUBSTITUTE(SUBSTITUTE(SUBSTITUTE(SUBSTITUTE("id:"&amp;A1446,"%","%25"),"~","%7E"),"*","%2A"),"?","%3F"))</x:f>
      </x:c>
    </x:row>
    <x:row r="1447" ht="22" customHeight="1">
      <x:c r="A1447" s="3"/>
      <x:c r="B1447" s="3"/>
      <x:c r="C1447" s="3"/>
      <x:c r="D1447" s="4"/>
      <x:c r="E1447" s="4"/>
      <x:c r="F1447" s="4"/>
      <x:c r="G1447" s="5" t="str">
        <x:f>IF(COUNTA(A1447:F1447)=0,"",IF(K1447&lt;&gt;"","Review",IF(I1447&lt;0,"Overdue",IF(I1447=0,"Due now",IF(I1447&lt;=M1447,"Due soon","Not due")))))</x:f>
      </x:c>
      <x:c r="H1447" s="5" t="str">
        <x:f>IF(OR(COUNTA(A1447:F1447)=0,COUNTIFS('Rules'!$G$7:$G$26,"="&amp;(SUBSTITUTE(SUBSTITUTE(SUBSTITUTE(SUBSTITUTE("type:"&amp;B1447,"%","%25"),"~","%7E"),"*","%2A"),"?","%3F")))&lt;&gt;1),"",IF(OR(INDEX('Rules'!$B$7:$B$26,MATCH(SUBSTITUTE(SUBSTITUTE(SUBSTITUTE(SUBSTITUTE("type:"&amp;B1447,"%","%25"),"~","%7E"),"*","%2A"),"?","%3F"),'Rules'!$G$7:$G$26,0))="hours",INDEX('Rules'!$B$7:$B$26,MATCH(SUBSTITUTE(SUBSTITUTE(SUBSTITUTE(SUBSTITUTE("type:"&amp;B1447,"%","%25"),"~","%7E"),"*","%2A"),"?","%3F"),'Rules'!$G$7:$G$26,0))="km"),INDEX('Rules'!$B$7:$B$26,MATCH(SUBSTITUTE(SUBSTITUTE(SUBSTITUTE(SUBSTITUTE("type:"&amp;B1447,"%","%25"),"~","%7E"),"*","%2A"),"?","%3F"),'Rules'!$G$7:$G$26,0)),""))</x:f>
      </x:c>
      <x:c r="I1447" s="6" t="str">
        <x:f>IF(AND(NOT(COUNTA(A1447:F1447)=0),K1447=""),ROUND(J1447-D1447,3),"")</x:f>
      </x:c>
      <x:c r="J1447" s="6" t="str">
        <x:f>IF(AND(NOT(COUNTA(A1447:F1447)=0),K1447=""),ROUND(F1447+L1447,3),"")</x:f>
      </x:c>
      <x:c r="K1447" s="5" t="str">
        <x:f>IF(COUNTA(A1447:F1447)=0,"",IF(A1447="","Missing equipment ID",IF(COUNTIFS($N$8:$N$2007,"="&amp;N1447)&gt;1,"Duplicate equipment ID",IF(B1447="","Missing type",IF(COUNTIFS('Rules'!$G$7:$G$26,"="&amp;(SUBSTITUTE(SUBSTITUTE(SUBSTITUTE(SUBSTITUTE("type:"&amp;B1447,"%","%25"),"~","%7E"),"*","%2A"),"?","%3F")))=0,"Unknown type",IF(COUNTIFS('Rules'!$G$7:$G$26,"="&amp;(SUBSTITUTE(SUBSTITUTE(SUBSTITUTE(SUBSTITUTE("type:"&amp;B1447,"%","%25"),"~","%7E"),"*","%2A"),"?","%3F")))&gt;1,"Duplicate type",IF(INDEX('Rules'!$F$7:$F$26,MATCH(SUBSTITUTE(SUBSTITUTE(SUBSTITUTE(SUBSTITUTE("type:"&amp;B1447,"%","%25"),"~","%7E"),"*","%2A"),"?","%3F"),'Rules'!$G$7:$G$26,0))&lt;&gt;"",INDEX('Rules'!$F$7:$F$26,MATCH(SUBSTITUTE(SUBSTITUTE(SUBSTITUTE(SUBSTITUTE("type:"&amp;B1447,"%","%25"),"~","%7E"),"*","%2A"),"?","%3F"),'Rules'!$G$7:$G$26,0)),IF(AND(C1447&lt;&gt;"",C1447&lt;&gt;INDEX('Rules'!$B$7:$B$26,MATCH(SUBSTITUTE(SUBSTITUTE(SUBSTITUTE(SUBSTITUTE("type:"&amp;B1447,"%","%25"),"~","%7E"),"*","%2A"),"?","%3F"),'Rules'!$G$7:$G$26,0))),"Unit mismatch",IF(IF(NOT(ISNUMBER(D1447)),TRUE,OR(D1447&lt;0,D1447&gt;999999999,ROUND(D1447,3)&lt;&gt;D1447)),"Invalid current reading",IF(AND(E1447&lt;&gt;"",IF(NOT(ISNUMBER(E1447)),TRUE,OR(E1447&lt;0,E1447&gt;999999999,ROUND(E1447,3)&lt;&gt;E1447))),"Invalid previous reading",IF(IF(NOT(ISNUMBER(F1447)),TRUE,OR(F1447&lt;0,F1447&gt;999999999,ROUND(F1447,3)&lt;&gt;F1447)),"Invalid last service",IF(AND(E1447&lt;&gt;"",D1447&lt;E1447),"Decreased reading",IF(F1447&gt;D1447,"Last service above current","")))))))))))))</x:f>
      </x:c>
      <x:c r="L1447" s="6" t="str">
        <x:f>IF(AND(NOT(COUNTA(A1447:F1447)=0),K1447=""),INDEX('Rules'!$C$7:$C$26,MATCH(SUBSTITUTE(SUBSTITUTE(SUBSTITUTE(SUBSTITUTE("type:"&amp;B1447,"%","%25"),"~","%7E"),"*","%2A"),"?","%3F"),'Rules'!$G$7:$G$26,0)),"")</x:f>
      </x:c>
      <x:c r="M1447" s="6" t="str">
        <x:f>IF(AND(NOT(COUNTA(A1447:F1447)=0),K1447=""),INDEX('Rules'!$D$7:$D$26,MATCH(SUBSTITUTE(SUBSTITUTE(SUBSTITUTE(SUBSTITUTE("type:"&amp;B1447,"%","%25"),"~","%7E"),"*","%2A"),"?","%3F"),'Rules'!$G$7:$G$26,0)),"")</x:f>
      </x:c>
      <x:c r="N1447" s="5" t="str">
        <x:f>IF(COUNTA(A1447:F1447)=0,"",SUBSTITUTE(SUBSTITUTE(SUBSTITUTE(SUBSTITUTE("id:"&amp;A1447,"%","%25"),"~","%7E"),"*","%2A"),"?","%3F"))</x:f>
      </x:c>
    </x:row>
    <x:row r="1448" ht="22" customHeight="1">
      <x:c r="A1448" s="3"/>
      <x:c r="B1448" s="3"/>
      <x:c r="C1448" s="3"/>
      <x:c r="D1448" s="4"/>
      <x:c r="E1448" s="4"/>
      <x:c r="F1448" s="4"/>
      <x:c r="G1448" s="5" t="str">
        <x:f>IF(COUNTA(A1448:F1448)=0,"",IF(K1448&lt;&gt;"","Review",IF(I1448&lt;0,"Overdue",IF(I1448=0,"Due now",IF(I1448&lt;=M1448,"Due soon","Not due")))))</x:f>
      </x:c>
      <x:c r="H1448" s="5" t="str">
        <x:f>IF(OR(COUNTA(A1448:F1448)=0,COUNTIFS('Rules'!$G$7:$G$26,"="&amp;(SUBSTITUTE(SUBSTITUTE(SUBSTITUTE(SUBSTITUTE("type:"&amp;B1448,"%","%25"),"~","%7E"),"*","%2A"),"?","%3F")))&lt;&gt;1),"",IF(OR(INDEX('Rules'!$B$7:$B$26,MATCH(SUBSTITUTE(SUBSTITUTE(SUBSTITUTE(SUBSTITUTE("type:"&amp;B1448,"%","%25"),"~","%7E"),"*","%2A"),"?","%3F"),'Rules'!$G$7:$G$26,0))="hours",INDEX('Rules'!$B$7:$B$26,MATCH(SUBSTITUTE(SUBSTITUTE(SUBSTITUTE(SUBSTITUTE("type:"&amp;B1448,"%","%25"),"~","%7E"),"*","%2A"),"?","%3F"),'Rules'!$G$7:$G$26,0))="km"),INDEX('Rules'!$B$7:$B$26,MATCH(SUBSTITUTE(SUBSTITUTE(SUBSTITUTE(SUBSTITUTE("type:"&amp;B1448,"%","%25"),"~","%7E"),"*","%2A"),"?","%3F"),'Rules'!$G$7:$G$26,0)),""))</x:f>
      </x:c>
      <x:c r="I1448" s="6" t="str">
        <x:f>IF(AND(NOT(COUNTA(A1448:F1448)=0),K1448=""),ROUND(J1448-D1448,3),"")</x:f>
      </x:c>
      <x:c r="J1448" s="6" t="str">
        <x:f>IF(AND(NOT(COUNTA(A1448:F1448)=0),K1448=""),ROUND(F1448+L1448,3),"")</x:f>
      </x:c>
      <x:c r="K1448" s="5" t="str">
        <x:f>IF(COUNTA(A1448:F1448)=0,"",IF(A1448="","Missing equipment ID",IF(COUNTIFS($N$8:$N$2007,"="&amp;N1448)&gt;1,"Duplicate equipment ID",IF(B1448="","Missing type",IF(COUNTIFS('Rules'!$G$7:$G$26,"="&amp;(SUBSTITUTE(SUBSTITUTE(SUBSTITUTE(SUBSTITUTE("type:"&amp;B1448,"%","%25"),"~","%7E"),"*","%2A"),"?","%3F")))=0,"Unknown type",IF(COUNTIFS('Rules'!$G$7:$G$26,"="&amp;(SUBSTITUTE(SUBSTITUTE(SUBSTITUTE(SUBSTITUTE("type:"&amp;B1448,"%","%25"),"~","%7E"),"*","%2A"),"?","%3F")))&gt;1,"Duplicate type",IF(INDEX('Rules'!$F$7:$F$26,MATCH(SUBSTITUTE(SUBSTITUTE(SUBSTITUTE(SUBSTITUTE("type:"&amp;B1448,"%","%25"),"~","%7E"),"*","%2A"),"?","%3F"),'Rules'!$G$7:$G$26,0))&lt;&gt;"",INDEX('Rules'!$F$7:$F$26,MATCH(SUBSTITUTE(SUBSTITUTE(SUBSTITUTE(SUBSTITUTE("type:"&amp;B1448,"%","%25"),"~","%7E"),"*","%2A"),"?","%3F"),'Rules'!$G$7:$G$26,0)),IF(AND(C1448&lt;&gt;"",C1448&lt;&gt;INDEX('Rules'!$B$7:$B$26,MATCH(SUBSTITUTE(SUBSTITUTE(SUBSTITUTE(SUBSTITUTE("type:"&amp;B1448,"%","%25"),"~","%7E"),"*","%2A"),"?","%3F"),'Rules'!$G$7:$G$26,0))),"Unit mismatch",IF(IF(NOT(ISNUMBER(D1448)),TRUE,OR(D1448&lt;0,D1448&gt;999999999,ROUND(D1448,3)&lt;&gt;D1448)),"Invalid current reading",IF(AND(E1448&lt;&gt;"",IF(NOT(ISNUMBER(E1448)),TRUE,OR(E1448&lt;0,E1448&gt;999999999,ROUND(E1448,3)&lt;&gt;E1448))),"Invalid previous reading",IF(IF(NOT(ISNUMBER(F1448)),TRUE,OR(F1448&lt;0,F1448&gt;999999999,ROUND(F1448,3)&lt;&gt;F1448)),"Invalid last service",IF(AND(E1448&lt;&gt;"",D1448&lt;E1448),"Decreased reading",IF(F1448&gt;D1448,"Last service above current","")))))))))))))</x:f>
      </x:c>
      <x:c r="L1448" s="6" t="str">
        <x:f>IF(AND(NOT(COUNTA(A1448:F1448)=0),K1448=""),INDEX('Rules'!$C$7:$C$26,MATCH(SUBSTITUTE(SUBSTITUTE(SUBSTITUTE(SUBSTITUTE("type:"&amp;B1448,"%","%25"),"~","%7E"),"*","%2A"),"?","%3F"),'Rules'!$G$7:$G$26,0)),"")</x:f>
      </x:c>
      <x:c r="M1448" s="6" t="str">
        <x:f>IF(AND(NOT(COUNTA(A1448:F1448)=0),K1448=""),INDEX('Rules'!$D$7:$D$26,MATCH(SUBSTITUTE(SUBSTITUTE(SUBSTITUTE(SUBSTITUTE("type:"&amp;B1448,"%","%25"),"~","%7E"),"*","%2A"),"?","%3F"),'Rules'!$G$7:$G$26,0)),"")</x:f>
      </x:c>
      <x:c r="N1448" s="5" t="str">
        <x:f>IF(COUNTA(A1448:F1448)=0,"",SUBSTITUTE(SUBSTITUTE(SUBSTITUTE(SUBSTITUTE("id:"&amp;A1448,"%","%25"),"~","%7E"),"*","%2A"),"?","%3F"))</x:f>
      </x:c>
    </x:row>
    <x:row r="1449" ht="22" customHeight="1">
      <x:c r="A1449" s="3"/>
      <x:c r="B1449" s="3"/>
      <x:c r="C1449" s="3"/>
      <x:c r="D1449" s="4"/>
      <x:c r="E1449" s="4"/>
      <x:c r="F1449" s="4"/>
      <x:c r="G1449" s="5" t="str">
        <x:f>IF(COUNTA(A1449:F1449)=0,"",IF(K1449&lt;&gt;"","Review",IF(I1449&lt;0,"Overdue",IF(I1449=0,"Due now",IF(I1449&lt;=M1449,"Due soon","Not due")))))</x:f>
      </x:c>
      <x:c r="H1449" s="5" t="str">
        <x:f>IF(OR(COUNTA(A1449:F1449)=0,COUNTIFS('Rules'!$G$7:$G$26,"="&amp;(SUBSTITUTE(SUBSTITUTE(SUBSTITUTE(SUBSTITUTE("type:"&amp;B1449,"%","%25"),"~","%7E"),"*","%2A"),"?","%3F")))&lt;&gt;1),"",IF(OR(INDEX('Rules'!$B$7:$B$26,MATCH(SUBSTITUTE(SUBSTITUTE(SUBSTITUTE(SUBSTITUTE("type:"&amp;B1449,"%","%25"),"~","%7E"),"*","%2A"),"?","%3F"),'Rules'!$G$7:$G$26,0))="hours",INDEX('Rules'!$B$7:$B$26,MATCH(SUBSTITUTE(SUBSTITUTE(SUBSTITUTE(SUBSTITUTE("type:"&amp;B1449,"%","%25"),"~","%7E"),"*","%2A"),"?","%3F"),'Rules'!$G$7:$G$26,0))="km"),INDEX('Rules'!$B$7:$B$26,MATCH(SUBSTITUTE(SUBSTITUTE(SUBSTITUTE(SUBSTITUTE("type:"&amp;B1449,"%","%25"),"~","%7E"),"*","%2A"),"?","%3F"),'Rules'!$G$7:$G$26,0)),""))</x:f>
      </x:c>
      <x:c r="I1449" s="6" t="str">
        <x:f>IF(AND(NOT(COUNTA(A1449:F1449)=0),K1449=""),ROUND(J1449-D1449,3),"")</x:f>
      </x:c>
      <x:c r="J1449" s="6" t="str">
        <x:f>IF(AND(NOT(COUNTA(A1449:F1449)=0),K1449=""),ROUND(F1449+L1449,3),"")</x:f>
      </x:c>
      <x:c r="K1449" s="5" t="str">
        <x:f>IF(COUNTA(A1449:F1449)=0,"",IF(A1449="","Missing equipment ID",IF(COUNTIFS($N$8:$N$2007,"="&amp;N1449)&gt;1,"Duplicate equipment ID",IF(B1449="","Missing type",IF(COUNTIFS('Rules'!$G$7:$G$26,"="&amp;(SUBSTITUTE(SUBSTITUTE(SUBSTITUTE(SUBSTITUTE("type:"&amp;B1449,"%","%25"),"~","%7E"),"*","%2A"),"?","%3F")))=0,"Unknown type",IF(COUNTIFS('Rules'!$G$7:$G$26,"="&amp;(SUBSTITUTE(SUBSTITUTE(SUBSTITUTE(SUBSTITUTE("type:"&amp;B1449,"%","%25"),"~","%7E"),"*","%2A"),"?","%3F")))&gt;1,"Duplicate type",IF(INDEX('Rules'!$F$7:$F$26,MATCH(SUBSTITUTE(SUBSTITUTE(SUBSTITUTE(SUBSTITUTE("type:"&amp;B1449,"%","%25"),"~","%7E"),"*","%2A"),"?","%3F"),'Rules'!$G$7:$G$26,0))&lt;&gt;"",INDEX('Rules'!$F$7:$F$26,MATCH(SUBSTITUTE(SUBSTITUTE(SUBSTITUTE(SUBSTITUTE("type:"&amp;B1449,"%","%25"),"~","%7E"),"*","%2A"),"?","%3F"),'Rules'!$G$7:$G$26,0)),IF(AND(C1449&lt;&gt;"",C1449&lt;&gt;INDEX('Rules'!$B$7:$B$26,MATCH(SUBSTITUTE(SUBSTITUTE(SUBSTITUTE(SUBSTITUTE("type:"&amp;B1449,"%","%25"),"~","%7E"),"*","%2A"),"?","%3F"),'Rules'!$G$7:$G$26,0))),"Unit mismatch",IF(IF(NOT(ISNUMBER(D1449)),TRUE,OR(D1449&lt;0,D1449&gt;999999999,ROUND(D1449,3)&lt;&gt;D1449)),"Invalid current reading",IF(AND(E1449&lt;&gt;"",IF(NOT(ISNUMBER(E1449)),TRUE,OR(E1449&lt;0,E1449&gt;999999999,ROUND(E1449,3)&lt;&gt;E1449))),"Invalid previous reading",IF(IF(NOT(ISNUMBER(F1449)),TRUE,OR(F1449&lt;0,F1449&gt;999999999,ROUND(F1449,3)&lt;&gt;F1449)),"Invalid last service",IF(AND(E1449&lt;&gt;"",D1449&lt;E1449),"Decreased reading",IF(F1449&gt;D1449,"Last service above current","")))))))))))))</x:f>
      </x:c>
      <x:c r="L1449" s="6" t="str">
        <x:f>IF(AND(NOT(COUNTA(A1449:F1449)=0),K1449=""),INDEX('Rules'!$C$7:$C$26,MATCH(SUBSTITUTE(SUBSTITUTE(SUBSTITUTE(SUBSTITUTE("type:"&amp;B1449,"%","%25"),"~","%7E"),"*","%2A"),"?","%3F"),'Rules'!$G$7:$G$26,0)),"")</x:f>
      </x:c>
      <x:c r="M1449" s="6" t="str">
        <x:f>IF(AND(NOT(COUNTA(A1449:F1449)=0),K1449=""),INDEX('Rules'!$D$7:$D$26,MATCH(SUBSTITUTE(SUBSTITUTE(SUBSTITUTE(SUBSTITUTE("type:"&amp;B1449,"%","%25"),"~","%7E"),"*","%2A"),"?","%3F"),'Rules'!$G$7:$G$26,0)),"")</x:f>
      </x:c>
      <x:c r="N1449" s="5" t="str">
        <x:f>IF(COUNTA(A1449:F1449)=0,"",SUBSTITUTE(SUBSTITUTE(SUBSTITUTE(SUBSTITUTE("id:"&amp;A1449,"%","%25"),"~","%7E"),"*","%2A"),"?","%3F"))</x:f>
      </x:c>
    </x:row>
    <x:row r="1450" ht="22" customHeight="1">
      <x:c r="A1450" s="3"/>
      <x:c r="B1450" s="3"/>
      <x:c r="C1450" s="3"/>
      <x:c r="D1450" s="4"/>
      <x:c r="E1450" s="4"/>
      <x:c r="F1450" s="4"/>
      <x:c r="G1450" s="5" t="str">
        <x:f>IF(COUNTA(A1450:F1450)=0,"",IF(K1450&lt;&gt;"","Review",IF(I1450&lt;0,"Overdue",IF(I1450=0,"Due now",IF(I1450&lt;=M1450,"Due soon","Not due")))))</x:f>
      </x:c>
      <x:c r="H1450" s="5" t="str">
        <x:f>IF(OR(COUNTA(A1450:F1450)=0,COUNTIFS('Rules'!$G$7:$G$26,"="&amp;(SUBSTITUTE(SUBSTITUTE(SUBSTITUTE(SUBSTITUTE("type:"&amp;B1450,"%","%25"),"~","%7E"),"*","%2A"),"?","%3F")))&lt;&gt;1),"",IF(OR(INDEX('Rules'!$B$7:$B$26,MATCH(SUBSTITUTE(SUBSTITUTE(SUBSTITUTE(SUBSTITUTE("type:"&amp;B1450,"%","%25"),"~","%7E"),"*","%2A"),"?","%3F"),'Rules'!$G$7:$G$26,0))="hours",INDEX('Rules'!$B$7:$B$26,MATCH(SUBSTITUTE(SUBSTITUTE(SUBSTITUTE(SUBSTITUTE("type:"&amp;B1450,"%","%25"),"~","%7E"),"*","%2A"),"?","%3F"),'Rules'!$G$7:$G$26,0))="km"),INDEX('Rules'!$B$7:$B$26,MATCH(SUBSTITUTE(SUBSTITUTE(SUBSTITUTE(SUBSTITUTE("type:"&amp;B1450,"%","%25"),"~","%7E"),"*","%2A"),"?","%3F"),'Rules'!$G$7:$G$26,0)),""))</x:f>
      </x:c>
      <x:c r="I1450" s="6" t="str">
        <x:f>IF(AND(NOT(COUNTA(A1450:F1450)=0),K1450=""),ROUND(J1450-D1450,3),"")</x:f>
      </x:c>
      <x:c r="J1450" s="6" t="str">
        <x:f>IF(AND(NOT(COUNTA(A1450:F1450)=0),K1450=""),ROUND(F1450+L1450,3),"")</x:f>
      </x:c>
      <x:c r="K1450" s="5" t="str">
        <x:f>IF(COUNTA(A1450:F1450)=0,"",IF(A1450="","Missing equipment ID",IF(COUNTIFS($N$8:$N$2007,"="&amp;N1450)&gt;1,"Duplicate equipment ID",IF(B1450="","Missing type",IF(COUNTIFS('Rules'!$G$7:$G$26,"="&amp;(SUBSTITUTE(SUBSTITUTE(SUBSTITUTE(SUBSTITUTE("type:"&amp;B1450,"%","%25"),"~","%7E"),"*","%2A"),"?","%3F")))=0,"Unknown type",IF(COUNTIFS('Rules'!$G$7:$G$26,"="&amp;(SUBSTITUTE(SUBSTITUTE(SUBSTITUTE(SUBSTITUTE("type:"&amp;B1450,"%","%25"),"~","%7E"),"*","%2A"),"?","%3F")))&gt;1,"Duplicate type",IF(INDEX('Rules'!$F$7:$F$26,MATCH(SUBSTITUTE(SUBSTITUTE(SUBSTITUTE(SUBSTITUTE("type:"&amp;B1450,"%","%25"),"~","%7E"),"*","%2A"),"?","%3F"),'Rules'!$G$7:$G$26,0))&lt;&gt;"",INDEX('Rules'!$F$7:$F$26,MATCH(SUBSTITUTE(SUBSTITUTE(SUBSTITUTE(SUBSTITUTE("type:"&amp;B1450,"%","%25"),"~","%7E"),"*","%2A"),"?","%3F"),'Rules'!$G$7:$G$26,0)),IF(AND(C1450&lt;&gt;"",C1450&lt;&gt;INDEX('Rules'!$B$7:$B$26,MATCH(SUBSTITUTE(SUBSTITUTE(SUBSTITUTE(SUBSTITUTE("type:"&amp;B1450,"%","%25"),"~","%7E"),"*","%2A"),"?","%3F"),'Rules'!$G$7:$G$26,0))),"Unit mismatch",IF(IF(NOT(ISNUMBER(D1450)),TRUE,OR(D1450&lt;0,D1450&gt;999999999,ROUND(D1450,3)&lt;&gt;D1450)),"Invalid current reading",IF(AND(E1450&lt;&gt;"",IF(NOT(ISNUMBER(E1450)),TRUE,OR(E1450&lt;0,E1450&gt;999999999,ROUND(E1450,3)&lt;&gt;E1450))),"Invalid previous reading",IF(IF(NOT(ISNUMBER(F1450)),TRUE,OR(F1450&lt;0,F1450&gt;999999999,ROUND(F1450,3)&lt;&gt;F1450)),"Invalid last service",IF(AND(E1450&lt;&gt;"",D1450&lt;E1450),"Decreased reading",IF(F1450&gt;D1450,"Last service above current","")))))))))))))</x:f>
      </x:c>
      <x:c r="L1450" s="6" t="str">
        <x:f>IF(AND(NOT(COUNTA(A1450:F1450)=0),K1450=""),INDEX('Rules'!$C$7:$C$26,MATCH(SUBSTITUTE(SUBSTITUTE(SUBSTITUTE(SUBSTITUTE("type:"&amp;B1450,"%","%25"),"~","%7E"),"*","%2A"),"?","%3F"),'Rules'!$G$7:$G$26,0)),"")</x:f>
      </x:c>
      <x:c r="M1450" s="6" t="str">
        <x:f>IF(AND(NOT(COUNTA(A1450:F1450)=0),K1450=""),INDEX('Rules'!$D$7:$D$26,MATCH(SUBSTITUTE(SUBSTITUTE(SUBSTITUTE(SUBSTITUTE("type:"&amp;B1450,"%","%25"),"~","%7E"),"*","%2A"),"?","%3F"),'Rules'!$G$7:$G$26,0)),"")</x:f>
      </x:c>
      <x:c r="N1450" s="5" t="str">
        <x:f>IF(COUNTA(A1450:F1450)=0,"",SUBSTITUTE(SUBSTITUTE(SUBSTITUTE(SUBSTITUTE("id:"&amp;A1450,"%","%25"),"~","%7E"),"*","%2A"),"?","%3F"))</x:f>
      </x:c>
    </x:row>
    <x:row r="1451" ht="22" customHeight="1">
      <x:c r="A1451" s="3"/>
      <x:c r="B1451" s="3"/>
      <x:c r="C1451" s="3"/>
      <x:c r="D1451" s="4"/>
      <x:c r="E1451" s="4"/>
      <x:c r="F1451" s="4"/>
      <x:c r="G1451" s="5" t="str">
        <x:f>IF(COUNTA(A1451:F1451)=0,"",IF(K1451&lt;&gt;"","Review",IF(I1451&lt;0,"Overdue",IF(I1451=0,"Due now",IF(I1451&lt;=M1451,"Due soon","Not due")))))</x:f>
      </x:c>
      <x:c r="H1451" s="5" t="str">
        <x:f>IF(OR(COUNTA(A1451:F1451)=0,COUNTIFS('Rules'!$G$7:$G$26,"="&amp;(SUBSTITUTE(SUBSTITUTE(SUBSTITUTE(SUBSTITUTE("type:"&amp;B1451,"%","%25"),"~","%7E"),"*","%2A"),"?","%3F")))&lt;&gt;1),"",IF(OR(INDEX('Rules'!$B$7:$B$26,MATCH(SUBSTITUTE(SUBSTITUTE(SUBSTITUTE(SUBSTITUTE("type:"&amp;B1451,"%","%25"),"~","%7E"),"*","%2A"),"?","%3F"),'Rules'!$G$7:$G$26,0))="hours",INDEX('Rules'!$B$7:$B$26,MATCH(SUBSTITUTE(SUBSTITUTE(SUBSTITUTE(SUBSTITUTE("type:"&amp;B1451,"%","%25"),"~","%7E"),"*","%2A"),"?","%3F"),'Rules'!$G$7:$G$26,0))="km"),INDEX('Rules'!$B$7:$B$26,MATCH(SUBSTITUTE(SUBSTITUTE(SUBSTITUTE(SUBSTITUTE("type:"&amp;B1451,"%","%25"),"~","%7E"),"*","%2A"),"?","%3F"),'Rules'!$G$7:$G$26,0)),""))</x:f>
      </x:c>
      <x:c r="I1451" s="6" t="str">
        <x:f>IF(AND(NOT(COUNTA(A1451:F1451)=0),K1451=""),ROUND(J1451-D1451,3),"")</x:f>
      </x:c>
      <x:c r="J1451" s="6" t="str">
        <x:f>IF(AND(NOT(COUNTA(A1451:F1451)=0),K1451=""),ROUND(F1451+L1451,3),"")</x:f>
      </x:c>
      <x:c r="K1451" s="5" t="str">
        <x:f>IF(COUNTA(A1451:F1451)=0,"",IF(A1451="","Missing equipment ID",IF(COUNTIFS($N$8:$N$2007,"="&amp;N1451)&gt;1,"Duplicate equipment ID",IF(B1451="","Missing type",IF(COUNTIFS('Rules'!$G$7:$G$26,"="&amp;(SUBSTITUTE(SUBSTITUTE(SUBSTITUTE(SUBSTITUTE("type:"&amp;B1451,"%","%25"),"~","%7E"),"*","%2A"),"?","%3F")))=0,"Unknown type",IF(COUNTIFS('Rules'!$G$7:$G$26,"="&amp;(SUBSTITUTE(SUBSTITUTE(SUBSTITUTE(SUBSTITUTE("type:"&amp;B1451,"%","%25"),"~","%7E"),"*","%2A"),"?","%3F")))&gt;1,"Duplicate type",IF(INDEX('Rules'!$F$7:$F$26,MATCH(SUBSTITUTE(SUBSTITUTE(SUBSTITUTE(SUBSTITUTE("type:"&amp;B1451,"%","%25"),"~","%7E"),"*","%2A"),"?","%3F"),'Rules'!$G$7:$G$26,0))&lt;&gt;"",INDEX('Rules'!$F$7:$F$26,MATCH(SUBSTITUTE(SUBSTITUTE(SUBSTITUTE(SUBSTITUTE("type:"&amp;B1451,"%","%25"),"~","%7E"),"*","%2A"),"?","%3F"),'Rules'!$G$7:$G$26,0)),IF(AND(C1451&lt;&gt;"",C1451&lt;&gt;INDEX('Rules'!$B$7:$B$26,MATCH(SUBSTITUTE(SUBSTITUTE(SUBSTITUTE(SUBSTITUTE("type:"&amp;B1451,"%","%25"),"~","%7E"),"*","%2A"),"?","%3F"),'Rules'!$G$7:$G$26,0))),"Unit mismatch",IF(IF(NOT(ISNUMBER(D1451)),TRUE,OR(D1451&lt;0,D1451&gt;999999999,ROUND(D1451,3)&lt;&gt;D1451)),"Invalid current reading",IF(AND(E1451&lt;&gt;"",IF(NOT(ISNUMBER(E1451)),TRUE,OR(E1451&lt;0,E1451&gt;999999999,ROUND(E1451,3)&lt;&gt;E1451))),"Invalid previous reading",IF(IF(NOT(ISNUMBER(F1451)),TRUE,OR(F1451&lt;0,F1451&gt;999999999,ROUND(F1451,3)&lt;&gt;F1451)),"Invalid last service",IF(AND(E1451&lt;&gt;"",D1451&lt;E1451),"Decreased reading",IF(F1451&gt;D1451,"Last service above current","")))))))))))))</x:f>
      </x:c>
      <x:c r="L1451" s="6" t="str">
        <x:f>IF(AND(NOT(COUNTA(A1451:F1451)=0),K1451=""),INDEX('Rules'!$C$7:$C$26,MATCH(SUBSTITUTE(SUBSTITUTE(SUBSTITUTE(SUBSTITUTE("type:"&amp;B1451,"%","%25"),"~","%7E"),"*","%2A"),"?","%3F"),'Rules'!$G$7:$G$26,0)),"")</x:f>
      </x:c>
      <x:c r="M1451" s="6" t="str">
        <x:f>IF(AND(NOT(COUNTA(A1451:F1451)=0),K1451=""),INDEX('Rules'!$D$7:$D$26,MATCH(SUBSTITUTE(SUBSTITUTE(SUBSTITUTE(SUBSTITUTE("type:"&amp;B1451,"%","%25"),"~","%7E"),"*","%2A"),"?","%3F"),'Rules'!$G$7:$G$26,0)),"")</x:f>
      </x:c>
      <x:c r="N1451" s="5" t="str">
        <x:f>IF(COUNTA(A1451:F1451)=0,"",SUBSTITUTE(SUBSTITUTE(SUBSTITUTE(SUBSTITUTE("id:"&amp;A1451,"%","%25"),"~","%7E"),"*","%2A"),"?","%3F"))</x:f>
      </x:c>
    </x:row>
    <x:row r="1452" ht="22" customHeight="1">
      <x:c r="A1452" s="3"/>
      <x:c r="B1452" s="3"/>
      <x:c r="C1452" s="3"/>
      <x:c r="D1452" s="4"/>
      <x:c r="E1452" s="4"/>
      <x:c r="F1452" s="4"/>
      <x:c r="G1452" s="5" t="str">
        <x:f>IF(COUNTA(A1452:F1452)=0,"",IF(K1452&lt;&gt;"","Review",IF(I1452&lt;0,"Overdue",IF(I1452=0,"Due now",IF(I1452&lt;=M1452,"Due soon","Not due")))))</x:f>
      </x:c>
      <x:c r="H1452" s="5" t="str">
        <x:f>IF(OR(COUNTA(A1452:F1452)=0,COUNTIFS('Rules'!$G$7:$G$26,"="&amp;(SUBSTITUTE(SUBSTITUTE(SUBSTITUTE(SUBSTITUTE("type:"&amp;B1452,"%","%25"),"~","%7E"),"*","%2A"),"?","%3F")))&lt;&gt;1),"",IF(OR(INDEX('Rules'!$B$7:$B$26,MATCH(SUBSTITUTE(SUBSTITUTE(SUBSTITUTE(SUBSTITUTE("type:"&amp;B1452,"%","%25"),"~","%7E"),"*","%2A"),"?","%3F"),'Rules'!$G$7:$G$26,0))="hours",INDEX('Rules'!$B$7:$B$26,MATCH(SUBSTITUTE(SUBSTITUTE(SUBSTITUTE(SUBSTITUTE("type:"&amp;B1452,"%","%25"),"~","%7E"),"*","%2A"),"?","%3F"),'Rules'!$G$7:$G$26,0))="km"),INDEX('Rules'!$B$7:$B$26,MATCH(SUBSTITUTE(SUBSTITUTE(SUBSTITUTE(SUBSTITUTE("type:"&amp;B1452,"%","%25"),"~","%7E"),"*","%2A"),"?","%3F"),'Rules'!$G$7:$G$26,0)),""))</x:f>
      </x:c>
      <x:c r="I1452" s="6" t="str">
        <x:f>IF(AND(NOT(COUNTA(A1452:F1452)=0),K1452=""),ROUND(J1452-D1452,3),"")</x:f>
      </x:c>
      <x:c r="J1452" s="6" t="str">
        <x:f>IF(AND(NOT(COUNTA(A1452:F1452)=0),K1452=""),ROUND(F1452+L1452,3),"")</x:f>
      </x:c>
      <x:c r="K1452" s="5" t="str">
        <x:f>IF(COUNTA(A1452:F1452)=0,"",IF(A1452="","Missing equipment ID",IF(COUNTIFS($N$8:$N$2007,"="&amp;N1452)&gt;1,"Duplicate equipment ID",IF(B1452="","Missing type",IF(COUNTIFS('Rules'!$G$7:$G$26,"="&amp;(SUBSTITUTE(SUBSTITUTE(SUBSTITUTE(SUBSTITUTE("type:"&amp;B1452,"%","%25"),"~","%7E"),"*","%2A"),"?","%3F")))=0,"Unknown type",IF(COUNTIFS('Rules'!$G$7:$G$26,"="&amp;(SUBSTITUTE(SUBSTITUTE(SUBSTITUTE(SUBSTITUTE("type:"&amp;B1452,"%","%25"),"~","%7E"),"*","%2A"),"?","%3F")))&gt;1,"Duplicate type",IF(INDEX('Rules'!$F$7:$F$26,MATCH(SUBSTITUTE(SUBSTITUTE(SUBSTITUTE(SUBSTITUTE("type:"&amp;B1452,"%","%25"),"~","%7E"),"*","%2A"),"?","%3F"),'Rules'!$G$7:$G$26,0))&lt;&gt;"",INDEX('Rules'!$F$7:$F$26,MATCH(SUBSTITUTE(SUBSTITUTE(SUBSTITUTE(SUBSTITUTE("type:"&amp;B1452,"%","%25"),"~","%7E"),"*","%2A"),"?","%3F"),'Rules'!$G$7:$G$26,0)),IF(AND(C1452&lt;&gt;"",C1452&lt;&gt;INDEX('Rules'!$B$7:$B$26,MATCH(SUBSTITUTE(SUBSTITUTE(SUBSTITUTE(SUBSTITUTE("type:"&amp;B1452,"%","%25"),"~","%7E"),"*","%2A"),"?","%3F"),'Rules'!$G$7:$G$26,0))),"Unit mismatch",IF(IF(NOT(ISNUMBER(D1452)),TRUE,OR(D1452&lt;0,D1452&gt;999999999,ROUND(D1452,3)&lt;&gt;D1452)),"Invalid current reading",IF(AND(E1452&lt;&gt;"",IF(NOT(ISNUMBER(E1452)),TRUE,OR(E1452&lt;0,E1452&gt;999999999,ROUND(E1452,3)&lt;&gt;E1452))),"Invalid previous reading",IF(IF(NOT(ISNUMBER(F1452)),TRUE,OR(F1452&lt;0,F1452&gt;999999999,ROUND(F1452,3)&lt;&gt;F1452)),"Invalid last service",IF(AND(E1452&lt;&gt;"",D1452&lt;E1452),"Decreased reading",IF(F1452&gt;D1452,"Last service above current","")))))))))))))</x:f>
      </x:c>
      <x:c r="L1452" s="6" t="str">
        <x:f>IF(AND(NOT(COUNTA(A1452:F1452)=0),K1452=""),INDEX('Rules'!$C$7:$C$26,MATCH(SUBSTITUTE(SUBSTITUTE(SUBSTITUTE(SUBSTITUTE("type:"&amp;B1452,"%","%25"),"~","%7E"),"*","%2A"),"?","%3F"),'Rules'!$G$7:$G$26,0)),"")</x:f>
      </x:c>
      <x:c r="M1452" s="6" t="str">
        <x:f>IF(AND(NOT(COUNTA(A1452:F1452)=0),K1452=""),INDEX('Rules'!$D$7:$D$26,MATCH(SUBSTITUTE(SUBSTITUTE(SUBSTITUTE(SUBSTITUTE("type:"&amp;B1452,"%","%25"),"~","%7E"),"*","%2A"),"?","%3F"),'Rules'!$G$7:$G$26,0)),"")</x:f>
      </x:c>
      <x:c r="N1452" s="5" t="str">
        <x:f>IF(COUNTA(A1452:F1452)=0,"",SUBSTITUTE(SUBSTITUTE(SUBSTITUTE(SUBSTITUTE("id:"&amp;A1452,"%","%25"),"~","%7E"),"*","%2A"),"?","%3F"))</x:f>
      </x:c>
    </x:row>
    <x:row r="1453" ht="22" customHeight="1">
      <x:c r="A1453" s="3"/>
      <x:c r="B1453" s="3"/>
      <x:c r="C1453" s="3"/>
      <x:c r="D1453" s="4"/>
      <x:c r="E1453" s="4"/>
      <x:c r="F1453" s="4"/>
      <x:c r="G1453" s="5" t="str">
        <x:f>IF(COUNTA(A1453:F1453)=0,"",IF(K1453&lt;&gt;"","Review",IF(I1453&lt;0,"Overdue",IF(I1453=0,"Due now",IF(I1453&lt;=M1453,"Due soon","Not due")))))</x:f>
      </x:c>
      <x:c r="H1453" s="5" t="str">
        <x:f>IF(OR(COUNTA(A1453:F1453)=0,COUNTIFS('Rules'!$G$7:$G$26,"="&amp;(SUBSTITUTE(SUBSTITUTE(SUBSTITUTE(SUBSTITUTE("type:"&amp;B1453,"%","%25"),"~","%7E"),"*","%2A"),"?","%3F")))&lt;&gt;1),"",IF(OR(INDEX('Rules'!$B$7:$B$26,MATCH(SUBSTITUTE(SUBSTITUTE(SUBSTITUTE(SUBSTITUTE("type:"&amp;B1453,"%","%25"),"~","%7E"),"*","%2A"),"?","%3F"),'Rules'!$G$7:$G$26,0))="hours",INDEX('Rules'!$B$7:$B$26,MATCH(SUBSTITUTE(SUBSTITUTE(SUBSTITUTE(SUBSTITUTE("type:"&amp;B1453,"%","%25"),"~","%7E"),"*","%2A"),"?","%3F"),'Rules'!$G$7:$G$26,0))="km"),INDEX('Rules'!$B$7:$B$26,MATCH(SUBSTITUTE(SUBSTITUTE(SUBSTITUTE(SUBSTITUTE("type:"&amp;B1453,"%","%25"),"~","%7E"),"*","%2A"),"?","%3F"),'Rules'!$G$7:$G$26,0)),""))</x:f>
      </x:c>
      <x:c r="I1453" s="6" t="str">
        <x:f>IF(AND(NOT(COUNTA(A1453:F1453)=0),K1453=""),ROUND(J1453-D1453,3),"")</x:f>
      </x:c>
      <x:c r="J1453" s="6" t="str">
        <x:f>IF(AND(NOT(COUNTA(A1453:F1453)=0),K1453=""),ROUND(F1453+L1453,3),"")</x:f>
      </x:c>
      <x:c r="K1453" s="5" t="str">
        <x:f>IF(COUNTA(A1453:F1453)=0,"",IF(A1453="","Missing equipment ID",IF(COUNTIFS($N$8:$N$2007,"="&amp;N1453)&gt;1,"Duplicate equipment ID",IF(B1453="","Missing type",IF(COUNTIFS('Rules'!$G$7:$G$26,"="&amp;(SUBSTITUTE(SUBSTITUTE(SUBSTITUTE(SUBSTITUTE("type:"&amp;B1453,"%","%25"),"~","%7E"),"*","%2A"),"?","%3F")))=0,"Unknown type",IF(COUNTIFS('Rules'!$G$7:$G$26,"="&amp;(SUBSTITUTE(SUBSTITUTE(SUBSTITUTE(SUBSTITUTE("type:"&amp;B1453,"%","%25"),"~","%7E"),"*","%2A"),"?","%3F")))&gt;1,"Duplicate type",IF(INDEX('Rules'!$F$7:$F$26,MATCH(SUBSTITUTE(SUBSTITUTE(SUBSTITUTE(SUBSTITUTE("type:"&amp;B1453,"%","%25"),"~","%7E"),"*","%2A"),"?","%3F"),'Rules'!$G$7:$G$26,0))&lt;&gt;"",INDEX('Rules'!$F$7:$F$26,MATCH(SUBSTITUTE(SUBSTITUTE(SUBSTITUTE(SUBSTITUTE("type:"&amp;B1453,"%","%25"),"~","%7E"),"*","%2A"),"?","%3F"),'Rules'!$G$7:$G$26,0)),IF(AND(C1453&lt;&gt;"",C1453&lt;&gt;INDEX('Rules'!$B$7:$B$26,MATCH(SUBSTITUTE(SUBSTITUTE(SUBSTITUTE(SUBSTITUTE("type:"&amp;B1453,"%","%25"),"~","%7E"),"*","%2A"),"?","%3F"),'Rules'!$G$7:$G$26,0))),"Unit mismatch",IF(IF(NOT(ISNUMBER(D1453)),TRUE,OR(D1453&lt;0,D1453&gt;999999999,ROUND(D1453,3)&lt;&gt;D1453)),"Invalid current reading",IF(AND(E1453&lt;&gt;"",IF(NOT(ISNUMBER(E1453)),TRUE,OR(E1453&lt;0,E1453&gt;999999999,ROUND(E1453,3)&lt;&gt;E1453))),"Invalid previous reading",IF(IF(NOT(ISNUMBER(F1453)),TRUE,OR(F1453&lt;0,F1453&gt;999999999,ROUND(F1453,3)&lt;&gt;F1453)),"Invalid last service",IF(AND(E1453&lt;&gt;"",D1453&lt;E1453),"Decreased reading",IF(F1453&gt;D1453,"Last service above current","")))))))))))))</x:f>
      </x:c>
      <x:c r="L1453" s="6" t="str">
        <x:f>IF(AND(NOT(COUNTA(A1453:F1453)=0),K1453=""),INDEX('Rules'!$C$7:$C$26,MATCH(SUBSTITUTE(SUBSTITUTE(SUBSTITUTE(SUBSTITUTE("type:"&amp;B1453,"%","%25"),"~","%7E"),"*","%2A"),"?","%3F"),'Rules'!$G$7:$G$26,0)),"")</x:f>
      </x:c>
      <x:c r="M1453" s="6" t="str">
        <x:f>IF(AND(NOT(COUNTA(A1453:F1453)=0),K1453=""),INDEX('Rules'!$D$7:$D$26,MATCH(SUBSTITUTE(SUBSTITUTE(SUBSTITUTE(SUBSTITUTE("type:"&amp;B1453,"%","%25"),"~","%7E"),"*","%2A"),"?","%3F"),'Rules'!$G$7:$G$26,0)),"")</x:f>
      </x:c>
      <x:c r="N1453" s="5" t="str">
        <x:f>IF(COUNTA(A1453:F1453)=0,"",SUBSTITUTE(SUBSTITUTE(SUBSTITUTE(SUBSTITUTE("id:"&amp;A1453,"%","%25"),"~","%7E"),"*","%2A"),"?","%3F"))</x:f>
      </x:c>
    </x:row>
    <x:row r="1454" ht="22" customHeight="1">
      <x:c r="A1454" s="3"/>
      <x:c r="B1454" s="3"/>
      <x:c r="C1454" s="3"/>
      <x:c r="D1454" s="4"/>
      <x:c r="E1454" s="4"/>
      <x:c r="F1454" s="4"/>
      <x:c r="G1454" s="5" t="str">
        <x:f>IF(COUNTA(A1454:F1454)=0,"",IF(K1454&lt;&gt;"","Review",IF(I1454&lt;0,"Overdue",IF(I1454=0,"Due now",IF(I1454&lt;=M1454,"Due soon","Not due")))))</x:f>
      </x:c>
      <x:c r="H1454" s="5" t="str">
        <x:f>IF(OR(COUNTA(A1454:F1454)=0,COUNTIFS('Rules'!$G$7:$G$26,"="&amp;(SUBSTITUTE(SUBSTITUTE(SUBSTITUTE(SUBSTITUTE("type:"&amp;B1454,"%","%25"),"~","%7E"),"*","%2A"),"?","%3F")))&lt;&gt;1),"",IF(OR(INDEX('Rules'!$B$7:$B$26,MATCH(SUBSTITUTE(SUBSTITUTE(SUBSTITUTE(SUBSTITUTE("type:"&amp;B1454,"%","%25"),"~","%7E"),"*","%2A"),"?","%3F"),'Rules'!$G$7:$G$26,0))="hours",INDEX('Rules'!$B$7:$B$26,MATCH(SUBSTITUTE(SUBSTITUTE(SUBSTITUTE(SUBSTITUTE("type:"&amp;B1454,"%","%25"),"~","%7E"),"*","%2A"),"?","%3F"),'Rules'!$G$7:$G$26,0))="km"),INDEX('Rules'!$B$7:$B$26,MATCH(SUBSTITUTE(SUBSTITUTE(SUBSTITUTE(SUBSTITUTE("type:"&amp;B1454,"%","%25"),"~","%7E"),"*","%2A"),"?","%3F"),'Rules'!$G$7:$G$26,0)),""))</x:f>
      </x:c>
      <x:c r="I1454" s="6" t="str">
        <x:f>IF(AND(NOT(COUNTA(A1454:F1454)=0),K1454=""),ROUND(J1454-D1454,3),"")</x:f>
      </x:c>
      <x:c r="J1454" s="6" t="str">
        <x:f>IF(AND(NOT(COUNTA(A1454:F1454)=0),K1454=""),ROUND(F1454+L1454,3),"")</x:f>
      </x:c>
      <x:c r="K1454" s="5" t="str">
        <x:f>IF(COUNTA(A1454:F1454)=0,"",IF(A1454="","Missing equipment ID",IF(COUNTIFS($N$8:$N$2007,"="&amp;N1454)&gt;1,"Duplicate equipment ID",IF(B1454="","Missing type",IF(COUNTIFS('Rules'!$G$7:$G$26,"="&amp;(SUBSTITUTE(SUBSTITUTE(SUBSTITUTE(SUBSTITUTE("type:"&amp;B1454,"%","%25"),"~","%7E"),"*","%2A"),"?","%3F")))=0,"Unknown type",IF(COUNTIFS('Rules'!$G$7:$G$26,"="&amp;(SUBSTITUTE(SUBSTITUTE(SUBSTITUTE(SUBSTITUTE("type:"&amp;B1454,"%","%25"),"~","%7E"),"*","%2A"),"?","%3F")))&gt;1,"Duplicate type",IF(INDEX('Rules'!$F$7:$F$26,MATCH(SUBSTITUTE(SUBSTITUTE(SUBSTITUTE(SUBSTITUTE("type:"&amp;B1454,"%","%25"),"~","%7E"),"*","%2A"),"?","%3F"),'Rules'!$G$7:$G$26,0))&lt;&gt;"",INDEX('Rules'!$F$7:$F$26,MATCH(SUBSTITUTE(SUBSTITUTE(SUBSTITUTE(SUBSTITUTE("type:"&amp;B1454,"%","%25"),"~","%7E"),"*","%2A"),"?","%3F"),'Rules'!$G$7:$G$26,0)),IF(AND(C1454&lt;&gt;"",C1454&lt;&gt;INDEX('Rules'!$B$7:$B$26,MATCH(SUBSTITUTE(SUBSTITUTE(SUBSTITUTE(SUBSTITUTE("type:"&amp;B1454,"%","%25"),"~","%7E"),"*","%2A"),"?","%3F"),'Rules'!$G$7:$G$26,0))),"Unit mismatch",IF(IF(NOT(ISNUMBER(D1454)),TRUE,OR(D1454&lt;0,D1454&gt;999999999,ROUND(D1454,3)&lt;&gt;D1454)),"Invalid current reading",IF(AND(E1454&lt;&gt;"",IF(NOT(ISNUMBER(E1454)),TRUE,OR(E1454&lt;0,E1454&gt;999999999,ROUND(E1454,3)&lt;&gt;E1454))),"Invalid previous reading",IF(IF(NOT(ISNUMBER(F1454)),TRUE,OR(F1454&lt;0,F1454&gt;999999999,ROUND(F1454,3)&lt;&gt;F1454)),"Invalid last service",IF(AND(E1454&lt;&gt;"",D1454&lt;E1454),"Decreased reading",IF(F1454&gt;D1454,"Last service above current","")))))))))))))</x:f>
      </x:c>
      <x:c r="L1454" s="6" t="str">
        <x:f>IF(AND(NOT(COUNTA(A1454:F1454)=0),K1454=""),INDEX('Rules'!$C$7:$C$26,MATCH(SUBSTITUTE(SUBSTITUTE(SUBSTITUTE(SUBSTITUTE("type:"&amp;B1454,"%","%25"),"~","%7E"),"*","%2A"),"?","%3F"),'Rules'!$G$7:$G$26,0)),"")</x:f>
      </x:c>
      <x:c r="M1454" s="6" t="str">
        <x:f>IF(AND(NOT(COUNTA(A1454:F1454)=0),K1454=""),INDEX('Rules'!$D$7:$D$26,MATCH(SUBSTITUTE(SUBSTITUTE(SUBSTITUTE(SUBSTITUTE("type:"&amp;B1454,"%","%25"),"~","%7E"),"*","%2A"),"?","%3F"),'Rules'!$G$7:$G$26,0)),"")</x:f>
      </x:c>
      <x:c r="N1454" s="5" t="str">
        <x:f>IF(COUNTA(A1454:F1454)=0,"",SUBSTITUTE(SUBSTITUTE(SUBSTITUTE(SUBSTITUTE("id:"&amp;A1454,"%","%25"),"~","%7E"),"*","%2A"),"?","%3F"))</x:f>
      </x:c>
    </x:row>
    <x:row r="1455" ht="22" customHeight="1">
      <x:c r="A1455" s="3"/>
      <x:c r="B1455" s="3"/>
      <x:c r="C1455" s="3"/>
      <x:c r="D1455" s="4"/>
      <x:c r="E1455" s="4"/>
      <x:c r="F1455" s="4"/>
      <x:c r="G1455" s="5" t="str">
        <x:f>IF(COUNTA(A1455:F1455)=0,"",IF(K1455&lt;&gt;"","Review",IF(I1455&lt;0,"Overdue",IF(I1455=0,"Due now",IF(I1455&lt;=M1455,"Due soon","Not due")))))</x:f>
      </x:c>
      <x:c r="H1455" s="5" t="str">
        <x:f>IF(OR(COUNTA(A1455:F1455)=0,COUNTIFS('Rules'!$G$7:$G$26,"="&amp;(SUBSTITUTE(SUBSTITUTE(SUBSTITUTE(SUBSTITUTE("type:"&amp;B1455,"%","%25"),"~","%7E"),"*","%2A"),"?","%3F")))&lt;&gt;1),"",IF(OR(INDEX('Rules'!$B$7:$B$26,MATCH(SUBSTITUTE(SUBSTITUTE(SUBSTITUTE(SUBSTITUTE("type:"&amp;B1455,"%","%25"),"~","%7E"),"*","%2A"),"?","%3F"),'Rules'!$G$7:$G$26,0))="hours",INDEX('Rules'!$B$7:$B$26,MATCH(SUBSTITUTE(SUBSTITUTE(SUBSTITUTE(SUBSTITUTE("type:"&amp;B1455,"%","%25"),"~","%7E"),"*","%2A"),"?","%3F"),'Rules'!$G$7:$G$26,0))="km"),INDEX('Rules'!$B$7:$B$26,MATCH(SUBSTITUTE(SUBSTITUTE(SUBSTITUTE(SUBSTITUTE("type:"&amp;B1455,"%","%25"),"~","%7E"),"*","%2A"),"?","%3F"),'Rules'!$G$7:$G$26,0)),""))</x:f>
      </x:c>
      <x:c r="I1455" s="6" t="str">
        <x:f>IF(AND(NOT(COUNTA(A1455:F1455)=0),K1455=""),ROUND(J1455-D1455,3),"")</x:f>
      </x:c>
      <x:c r="J1455" s="6" t="str">
        <x:f>IF(AND(NOT(COUNTA(A1455:F1455)=0),K1455=""),ROUND(F1455+L1455,3),"")</x:f>
      </x:c>
      <x:c r="K1455" s="5" t="str">
        <x:f>IF(COUNTA(A1455:F1455)=0,"",IF(A1455="","Missing equipment ID",IF(COUNTIFS($N$8:$N$2007,"="&amp;N1455)&gt;1,"Duplicate equipment ID",IF(B1455="","Missing type",IF(COUNTIFS('Rules'!$G$7:$G$26,"="&amp;(SUBSTITUTE(SUBSTITUTE(SUBSTITUTE(SUBSTITUTE("type:"&amp;B1455,"%","%25"),"~","%7E"),"*","%2A"),"?","%3F")))=0,"Unknown type",IF(COUNTIFS('Rules'!$G$7:$G$26,"="&amp;(SUBSTITUTE(SUBSTITUTE(SUBSTITUTE(SUBSTITUTE("type:"&amp;B1455,"%","%25"),"~","%7E"),"*","%2A"),"?","%3F")))&gt;1,"Duplicate type",IF(INDEX('Rules'!$F$7:$F$26,MATCH(SUBSTITUTE(SUBSTITUTE(SUBSTITUTE(SUBSTITUTE("type:"&amp;B1455,"%","%25"),"~","%7E"),"*","%2A"),"?","%3F"),'Rules'!$G$7:$G$26,0))&lt;&gt;"",INDEX('Rules'!$F$7:$F$26,MATCH(SUBSTITUTE(SUBSTITUTE(SUBSTITUTE(SUBSTITUTE("type:"&amp;B1455,"%","%25"),"~","%7E"),"*","%2A"),"?","%3F"),'Rules'!$G$7:$G$26,0)),IF(AND(C1455&lt;&gt;"",C1455&lt;&gt;INDEX('Rules'!$B$7:$B$26,MATCH(SUBSTITUTE(SUBSTITUTE(SUBSTITUTE(SUBSTITUTE("type:"&amp;B1455,"%","%25"),"~","%7E"),"*","%2A"),"?","%3F"),'Rules'!$G$7:$G$26,0))),"Unit mismatch",IF(IF(NOT(ISNUMBER(D1455)),TRUE,OR(D1455&lt;0,D1455&gt;999999999,ROUND(D1455,3)&lt;&gt;D1455)),"Invalid current reading",IF(AND(E1455&lt;&gt;"",IF(NOT(ISNUMBER(E1455)),TRUE,OR(E1455&lt;0,E1455&gt;999999999,ROUND(E1455,3)&lt;&gt;E1455))),"Invalid previous reading",IF(IF(NOT(ISNUMBER(F1455)),TRUE,OR(F1455&lt;0,F1455&gt;999999999,ROUND(F1455,3)&lt;&gt;F1455)),"Invalid last service",IF(AND(E1455&lt;&gt;"",D1455&lt;E1455),"Decreased reading",IF(F1455&gt;D1455,"Last service above current","")))))))))))))</x:f>
      </x:c>
      <x:c r="L1455" s="6" t="str">
        <x:f>IF(AND(NOT(COUNTA(A1455:F1455)=0),K1455=""),INDEX('Rules'!$C$7:$C$26,MATCH(SUBSTITUTE(SUBSTITUTE(SUBSTITUTE(SUBSTITUTE("type:"&amp;B1455,"%","%25"),"~","%7E"),"*","%2A"),"?","%3F"),'Rules'!$G$7:$G$26,0)),"")</x:f>
      </x:c>
      <x:c r="M1455" s="6" t="str">
        <x:f>IF(AND(NOT(COUNTA(A1455:F1455)=0),K1455=""),INDEX('Rules'!$D$7:$D$26,MATCH(SUBSTITUTE(SUBSTITUTE(SUBSTITUTE(SUBSTITUTE("type:"&amp;B1455,"%","%25"),"~","%7E"),"*","%2A"),"?","%3F"),'Rules'!$G$7:$G$26,0)),"")</x:f>
      </x:c>
      <x:c r="N1455" s="5" t="str">
        <x:f>IF(COUNTA(A1455:F1455)=0,"",SUBSTITUTE(SUBSTITUTE(SUBSTITUTE(SUBSTITUTE("id:"&amp;A1455,"%","%25"),"~","%7E"),"*","%2A"),"?","%3F"))</x:f>
      </x:c>
    </x:row>
    <x:row r="1456" ht="22" customHeight="1">
      <x:c r="A1456" s="3"/>
      <x:c r="B1456" s="3"/>
      <x:c r="C1456" s="3"/>
      <x:c r="D1456" s="4"/>
      <x:c r="E1456" s="4"/>
      <x:c r="F1456" s="4"/>
      <x:c r="G1456" s="5" t="str">
        <x:f>IF(COUNTA(A1456:F1456)=0,"",IF(K1456&lt;&gt;"","Review",IF(I1456&lt;0,"Overdue",IF(I1456=0,"Due now",IF(I1456&lt;=M1456,"Due soon","Not due")))))</x:f>
      </x:c>
      <x:c r="H1456" s="5" t="str">
        <x:f>IF(OR(COUNTA(A1456:F1456)=0,COUNTIFS('Rules'!$G$7:$G$26,"="&amp;(SUBSTITUTE(SUBSTITUTE(SUBSTITUTE(SUBSTITUTE("type:"&amp;B1456,"%","%25"),"~","%7E"),"*","%2A"),"?","%3F")))&lt;&gt;1),"",IF(OR(INDEX('Rules'!$B$7:$B$26,MATCH(SUBSTITUTE(SUBSTITUTE(SUBSTITUTE(SUBSTITUTE("type:"&amp;B1456,"%","%25"),"~","%7E"),"*","%2A"),"?","%3F"),'Rules'!$G$7:$G$26,0))="hours",INDEX('Rules'!$B$7:$B$26,MATCH(SUBSTITUTE(SUBSTITUTE(SUBSTITUTE(SUBSTITUTE("type:"&amp;B1456,"%","%25"),"~","%7E"),"*","%2A"),"?","%3F"),'Rules'!$G$7:$G$26,0))="km"),INDEX('Rules'!$B$7:$B$26,MATCH(SUBSTITUTE(SUBSTITUTE(SUBSTITUTE(SUBSTITUTE("type:"&amp;B1456,"%","%25"),"~","%7E"),"*","%2A"),"?","%3F"),'Rules'!$G$7:$G$26,0)),""))</x:f>
      </x:c>
      <x:c r="I1456" s="6" t="str">
        <x:f>IF(AND(NOT(COUNTA(A1456:F1456)=0),K1456=""),ROUND(J1456-D1456,3),"")</x:f>
      </x:c>
      <x:c r="J1456" s="6" t="str">
        <x:f>IF(AND(NOT(COUNTA(A1456:F1456)=0),K1456=""),ROUND(F1456+L1456,3),"")</x:f>
      </x:c>
      <x:c r="K1456" s="5" t="str">
        <x:f>IF(COUNTA(A1456:F1456)=0,"",IF(A1456="","Missing equipment ID",IF(COUNTIFS($N$8:$N$2007,"="&amp;N1456)&gt;1,"Duplicate equipment ID",IF(B1456="","Missing type",IF(COUNTIFS('Rules'!$G$7:$G$26,"="&amp;(SUBSTITUTE(SUBSTITUTE(SUBSTITUTE(SUBSTITUTE("type:"&amp;B1456,"%","%25"),"~","%7E"),"*","%2A"),"?","%3F")))=0,"Unknown type",IF(COUNTIFS('Rules'!$G$7:$G$26,"="&amp;(SUBSTITUTE(SUBSTITUTE(SUBSTITUTE(SUBSTITUTE("type:"&amp;B1456,"%","%25"),"~","%7E"),"*","%2A"),"?","%3F")))&gt;1,"Duplicate type",IF(INDEX('Rules'!$F$7:$F$26,MATCH(SUBSTITUTE(SUBSTITUTE(SUBSTITUTE(SUBSTITUTE("type:"&amp;B1456,"%","%25"),"~","%7E"),"*","%2A"),"?","%3F"),'Rules'!$G$7:$G$26,0))&lt;&gt;"",INDEX('Rules'!$F$7:$F$26,MATCH(SUBSTITUTE(SUBSTITUTE(SUBSTITUTE(SUBSTITUTE("type:"&amp;B1456,"%","%25"),"~","%7E"),"*","%2A"),"?","%3F"),'Rules'!$G$7:$G$26,0)),IF(AND(C1456&lt;&gt;"",C1456&lt;&gt;INDEX('Rules'!$B$7:$B$26,MATCH(SUBSTITUTE(SUBSTITUTE(SUBSTITUTE(SUBSTITUTE("type:"&amp;B1456,"%","%25"),"~","%7E"),"*","%2A"),"?","%3F"),'Rules'!$G$7:$G$26,0))),"Unit mismatch",IF(IF(NOT(ISNUMBER(D1456)),TRUE,OR(D1456&lt;0,D1456&gt;999999999,ROUND(D1456,3)&lt;&gt;D1456)),"Invalid current reading",IF(AND(E1456&lt;&gt;"",IF(NOT(ISNUMBER(E1456)),TRUE,OR(E1456&lt;0,E1456&gt;999999999,ROUND(E1456,3)&lt;&gt;E1456))),"Invalid previous reading",IF(IF(NOT(ISNUMBER(F1456)),TRUE,OR(F1456&lt;0,F1456&gt;999999999,ROUND(F1456,3)&lt;&gt;F1456)),"Invalid last service",IF(AND(E1456&lt;&gt;"",D1456&lt;E1456),"Decreased reading",IF(F1456&gt;D1456,"Last service above current","")))))))))))))</x:f>
      </x:c>
      <x:c r="L1456" s="6" t="str">
        <x:f>IF(AND(NOT(COUNTA(A1456:F1456)=0),K1456=""),INDEX('Rules'!$C$7:$C$26,MATCH(SUBSTITUTE(SUBSTITUTE(SUBSTITUTE(SUBSTITUTE("type:"&amp;B1456,"%","%25"),"~","%7E"),"*","%2A"),"?","%3F"),'Rules'!$G$7:$G$26,0)),"")</x:f>
      </x:c>
      <x:c r="M1456" s="6" t="str">
        <x:f>IF(AND(NOT(COUNTA(A1456:F1456)=0),K1456=""),INDEX('Rules'!$D$7:$D$26,MATCH(SUBSTITUTE(SUBSTITUTE(SUBSTITUTE(SUBSTITUTE("type:"&amp;B1456,"%","%25"),"~","%7E"),"*","%2A"),"?","%3F"),'Rules'!$G$7:$G$26,0)),"")</x:f>
      </x:c>
      <x:c r="N1456" s="5" t="str">
        <x:f>IF(COUNTA(A1456:F1456)=0,"",SUBSTITUTE(SUBSTITUTE(SUBSTITUTE(SUBSTITUTE("id:"&amp;A1456,"%","%25"),"~","%7E"),"*","%2A"),"?","%3F"))</x:f>
      </x:c>
    </x:row>
    <x:row r="1457" ht="22" customHeight="1">
      <x:c r="A1457" s="3"/>
      <x:c r="B1457" s="3"/>
      <x:c r="C1457" s="3"/>
      <x:c r="D1457" s="4"/>
      <x:c r="E1457" s="4"/>
      <x:c r="F1457" s="4"/>
      <x:c r="G1457" s="5" t="str">
        <x:f>IF(COUNTA(A1457:F1457)=0,"",IF(K1457&lt;&gt;"","Review",IF(I1457&lt;0,"Overdue",IF(I1457=0,"Due now",IF(I1457&lt;=M1457,"Due soon","Not due")))))</x:f>
      </x:c>
      <x:c r="H1457" s="5" t="str">
        <x:f>IF(OR(COUNTA(A1457:F1457)=0,COUNTIFS('Rules'!$G$7:$G$26,"="&amp;(SUBSTITUTE(SUBSTITUTE(SUBSTITUTE(SUBSTITUTE("type:"&amp;B1457,"%","%25"),"~","%7E"),"*","%2A"),"?","%3F")))&lt;&gt;1),"",IF(OR(INDEX('Rules'!$B$7:$B$26,MATCH(SUBSTITUTE(SUBSTITUTE(SUBSTITUTE(SUBSTITUTE("type:"&amp;B1457,"%","%25"),"~","%7E"),"*","%2A"),"?","%3F"),'Rules'!$G$7:$G$26,0))="hours",INDEX('Rules'!$B$7:$B$26,MATCH(SUBSTITUTE(SUBSTITUTE(SUBSTITUTE(SUBSTITUTE("type:"&amp;B1457,"%","%25"),"~","%7E"),"*","%2A"),"?","%3F"),'Rules'!$G$7:$G$26,0))="km"),INDEX('Rules'!$B$7:$B$26,MATCH(SUBSTITUTE(SUBSTITUTE(SUBSTITUTE(SUBSTITUTE("type:"&amp;B1457,"%","%25"),"~","%7E"),"*","%2A"),"?","%3F"),'Rules'!$G$7:$G$26,0)),""))</x:f>
      </x:c>
      <x:c r="I1457" s="6" t="str">
        <x:f>IF(AND(NOT(COUNTA(A1457:F1457)=0),K1457=""),ROUND(J1457-D1457,3),"")</x:f>
      </x:c>
      <x:c r="J1457" s="6" t="str">
        <x:f>IF(AND(NOT(COUNTA(A1457:F1457)=0),K1457=""),ROUND(F1457+L1457,3),"")</x:f>
      </x:c>
      <x:c r="K1457" s="5" t="str">
        <x:f>IF(COUNTA(A1457:F1457)=0,"",IF(A1457="","Missing equipment ID",IF(COUNTIFS($N$8:$N$2007,"="&amp;N1457)&gt;1,"Duplicate equipment ID",IF(B1457="","Missing type",IF(COUNTIFS('Rules'!$G$7:$G$26,"="&amp;(SUBSTITUTE(SUBSTITUTE(SUBSTITUTE(SUBSTITUTE("type:"&amp;B1457,"%","%25"),"~","%7E"),"*","%2A"),"?","%3F")))=0,"Unknown type",IF(COUNTIFS('Rules'!$G$7:$G$26,"="&amp;(SUBSTITUTE(SUBSTITUTE(SUBSTITUTE(SUBSTITUTE("type:"&amp;B1457,"%","%25"),"~","%7E"),"*","%2A"),"?","%3F")))&gt;1,"Duplicate type",IF(INDEX('Rules'!$F$7:$F$26,MATCH(SUBSTITUTE(SUBSTITUTE(SUBSTITUTE(SUBSTITUTE("type:"&amp;B1457,"%","%25"),"~","%7E"),"*","%2A"),"?","%3F"),'Rules'!$G$7:$G$26,0))&lt;&gt;"",INDEX('Rules'!$F$7:$F$26,MATCH(SUBSTITUTE(SUBSTITUTE(SUBSTITUTE(SUBSTITUTE("type:"&amp;B1457,"%","%25"),"~","%7E"),"*","%2A"),"?","%3F"),'Rules'!$G$7:$G$26,0)),IF(AND(C1457&lt;&gt;"",C1457&lt;&gt;INDEX('Rules'!$B$7:$B$26,MATCH(SUBSTITUTE(SUBSTITUTE(SUBSTITUTE(SUBSTITUTE("type:"&amp;B1457,"%","%25"),"~","%7E"),"*","%2A"),"?","%3F"),'Rules'!$G$7:$G$26,0))),"Unit mismatch",IF(IF(NOT(ISNUMBER(D1457)),TRUE,OR(D1457&lt;0,D1457&gt;999999999,ROUND(D1457,3)&lt;&gt;D1457)),"Invalid current reading",IF(AND(E1457&lt;&gt;"",IF(NOT(ISNUMBER(E1457)),TRUE,OR(E1457&lt;0,E1457&gt;999999999,ROUND(E1457,3)&lt;&gt;E1457))),"Invalid previous reading",IF(IF(NOT(ISNUMBER(F1457)),TRUE,OR(F1457&lt;0,F1457&gt;999999999,ROUND(F1457,3)&lt;&gt;F1457)),"Invalid last service",IF(AND(E1457&lt;&gt;"",D1457&lt;E1457),"Decreased reading",IF(F1457&gt;D1457,"Last service above current","")))))))))))))</x:f>
      </x:c>
      <x:c r="L1457" s="6" t="str">
        <x:f>IF(AND(NOT(COUNTA(A1457:F1457)=0),K1457=""),INDEX('Rules'!$C$7:$C$26,MATCH(SUBSTITUTE(SUBSTITUTE(SUBSTITUTE(SUBSTITUTE("type:"&amp;B1457,"%","%25"),"~","%7E"),"*","%2A"),"?","%3F"),'Rules'!$G$7:$G$26,0)),"")</x:f>
      </x:c>
      <x:c r="M1457" s="6" t="str">
        <x:f>IF(AND(NOT(COUNTA(A1457:F1457)=0),K1457=""),INDEX('Rules'!$D$7:$D$26,MATCH(SUBSTITUTE(SUBSTITUTE(SUBSTITUTE(SUBSTITUTE("type:"&amp;B1457,"%","%25"),"~","%7E"),"*","%2A"),"?","%3F"),'Rules'!$G$7:$G$26,0)),"")</x:f>
      </x:c>
      <x:c r="N1457" s="5" t="str">
        <x:f>IF(COUNTA(A1457:F1457)=0,"",SUBSTITUTE(SUBSTITUTE(SUBSTITUTE(SUBSTITUTE("id:"&amp;A1457,"%","%25"),"~","%7E"),"*","%2A"),"?","%3F"))</x:f>
      </x:c>
    </x:row>
    <x:row r="1458" ht="22" customHeight="1">
      <x:c r="A1458" s="3"/>
      <x:c r="B1458" s="3"/>
      <x:c r="C1458" s="3"/>
      <x:c r="D1458" s="4"/>
      <x:c r="E1458" s="4"/>
      <x:c r="F1458" s="4"/>
      <x:c r="G1458" s="5" t="str">
        <x:f>IF(COUNTA(A1458:F1458)=0,"",IF(K1458&lt;&gt;"","Review",IF(I1458&lt;0,"Overdue",IF(I1458=0,"Due now",IF(I1458&lt;=M1458,"Due soon","Not due")))))</x:f>
      </x:c>
      <x:c r="H1458" s="5" t="str">
        <x:f>IF(OR(COUNTA(A1458:F1458)=0,COUNTIFS('Rules'!$G$7:$G$26,"="&amp;(SUBSTITUTE(SUBSTITUTE(SUBSTITUTE(SUBSTITUTE("type:"&amp;B1458,"%","%25"),"~","%7E"),"*","%2A"),"?","%3F")))&lt;&gt;1),"",IF(OR(INDEX('Rules'!$B$7:$B$26,MATCH(SUBSTITUTE(SUBSTITUTE(SUBSTITUTE(SUBSTITUTE("type:"&amp;B1458,"%","%25"),"~","%7E"),"*","%2A"),"?","%3F"),'Rules'!$G$7:$G$26,0))="hours",INDEX('Rules'!$B$7:$B$26,MATCH(SUBSTITUTE(SUBSTITUTE(SUBSTITUTE(SUBSTITUTE("type:"&amp;B1458,"%","%25"),"~","%7E"),"*","%2A"),"?","%3F"),'Rules'!$G$7:$G$26,0))="km"),INDEX('Rules'!$B$7:$B$26,MATCH(SUBSTITUTE(SUBSTITUTE(SUBSTITUTE(SUBSTITUTE("type:"&amp;B1458,"%","%25"),"~","%7E"),"*","%2A"),"?","%3F"),'Rules'!$G$7:$G$26,0)),""))</x:f>
      </x:c>
      <x:c r="I1458" s="6" t="str">
        <x:f>IF(AND(NOT(COUNTA(A1458:F1458)=0),K1458=""),ROUND(J1458-D1458,3),"")</x:f>
      </x:c>
      <x:c r="J1458" s="6" t="str">
        <x:f>IF(AND(NOT(COUNTA(A1458:F1458)=0),K1458=""),ROUND(F1458+L1458,3),"")</x:f>
      </x:c>
      <x:c r="K1458" s="5" t="str">
        <x:f>IF(COUNTA(A1458:F1458)=0,"",IF(A1458="","Missing equipment ID",IF(COUNTIFS($N$8:$N$2007,"="&amp;N1458)&gt;1,"Duplicate equipment ID",IF(B1458="","Missing type",IF(COUNTIFS('Rules'!$G$7:$G$26,"="&amp;(SUBSTITUTE(SUBSTITUTE(SUBSTITUTE(SUBSTITUTE("type:"&amp;B1458,"%","%25"),"~","%7E"),"*","%2A"),"?","%3F")))=0,"Unknown type",IF(COUNTIFS('Rules'!$G$7:$G$26,"="&amp;(SUBSTITUTE(SUBSTITUTE(SUBSTITUTE(SUBSTITUTE("type:"&amp;B1458,"%","%25"),"~","%7E"),"*","%2A"),"?","%3F")))&gt;1,"Duplicate type",IF(INDEX('Rules'!$F$7:$F$26,MATCH(SUBSTITUTE(SUBSTITUTE(SUBSTITUTE(SUBSTITUTE("type:"&amp;B1458,"%","%25"),"~","%7E"),"*","%2A"),"?","%3F"),'Rules'!$G$7:$G$26,0))&lt;&gt;"",INDEX('Rules'!$F$7:$F$26,MATCH(SUBSTITUTE(SUBSTITUTE(SUBSTITUTE(SUBSTITUTE("type:"&amp;B1458,"%","%25"),"~","%7E"),"*","%2A"),"?","%3F"),'Rules'!$G$7:$G$26,0)),IF(AND(C1458&lt;&gt;"",C1458&lt;&gt;INDEX('Rules'!$B$7:$B$26,MATCH(SUBSTITUTE(SUBSTITUTE(SUBSTITUTE(SUBSTITUTE("type:"&amp;B1458,"%","%25"),"~","%7E"),"*","%2A"),"?","%3F"),'Rules'!$G$7:$G$26,0))),"Unit mismatch",IF(IF(NOT(ISNUMBER(D1458)),TRUE,OR(D1458&lt;0,D1458&gt;999999999,ROUND(D1458,3)&lt;&gt;D1458)),"Invalid current reading",IF(AND(E1458&lt;&gt;"",IF(NOT(ISNUMBER(E1458)),TRUE,OR(E1458&lt;0,E1458&gt;999999999,ROUND(E1458,3)&lt;&gt;E1458))),"Invalid previous reading",IF(IF(NOT(ISNUMBER(F1458)),TRUE,OR(F1458&lt;0,F1458&gt;999999999,ROUND(F1458,3)&lt;&gt;F1458)),"Invalid last service",IF(AND(E1458&lt;&gt;"",D1458&lt;E1458),"Decreased reading",IF(F1458&gt;D1458,"Last service above current","")))))))))))))</x:f>
      </x:c>
      <x:c r="L1458" s="6" t="str">
        <x:f>IF(AND(NOT(COUNTA(A1458:F1458)=0),K1458=""),INDEX('Rules'!$C$7:$C$26,MATCH(SUBSTITUTE(SUBSTITUTE(SUBSTITUTE(SUBSTITUTE("type:"&amp;B1458,"%","%25"),"~","%7E"),"*","%2A"),"?","%3F"),'Rules'!$G$7:$G$26,0)),"")</x:f>
      </x:c>
      <x:c r="M1458" s="6" t="str">
        <x:f>IF(AND(NOT(COUNTA(A1458:F1458)=0),K1458=""),INDEX('Rules'!$D$7:$D$26,MATCH(SUBSTITUTE(SUBSTITUTE(SUBSTITUTE(SUBSTITUTE("type:"&amp;B1458,"%","%25"),"~","%7E"),"*","%2A"),"?","%3F"),'Rules'!$G$7:$G$26,0)),"")</x:f>
      </x:c>
      <x:c r="N1458" s="5" t="str">
        <x:f>IF(COUNTA(A1458:F1458)=0,"",SUBSTITUTE(SUBSTITUTE(SUBSTITUTE(SUBSTITUTE("id:"&amp;A1458,"%","%25"),"~","%7E"),"*","%2A"),"?","%3F"))</x:f>
      </x:c>
    </x:row>
    <x:row r="1459" ht="22" customHeight="1">
      <x:c r="A1459" s="3"/>
      <x:c r="B1459" s="3"/>
      <x:c r="C1459" s="3"/>
      <x:c r="D1459" s="4"/>
      <x:c r="E1459" s="4"/>
      <x:c r="F1459" s="4"/>
      <x:c r="G1459" s="5" t="str">
        <x:f>IF(COUNTA(A1459:F1459)=0,"",IF(K1459&lt;&gt;"","Review",IF(I1459&lt;0,"Overdue",IF(I1459=0,"Due now",IF(I1459&lt;=M1459,"Due soon","Not due")))))</x:f>
      </x:c>
      <x:c r="H1459" s="5" t="str">
        <x:f>IF(OR(COUNTA(A1459:F1459)=0,COUNTIFS('Rules'!$G$7:$G$26,"="&amp;(SUBSTITUTE(SUBSTITUTE(SUBSTITUTE(SUBSTITUTE("type:"&amp;B1459,"%","%25"),"~","%7E"),"*","%2A"),"?","%3F")))&lt;&gt;1),"",IF(OR(INDEX('Rules'!$B$7:$B$26,MATCH(SUBSTITUTE(SUBSTITUTE(SUBSTITUTE(SUBSTITUTE("type:"&amp;B1459,"%","%25"),"~","%7E"),"*","%2A"),"?","%3F"),'Rules'!$G$7:$G$26,0))="hours",INDEX('Rules'!$B$7:$B$26,MATCH(SUBSTITUTE(SUBSTITUTE(SUBSTITUTE(SUBSTITUTE("type:"&amp;B1459,"%","%25"),"~","%7E"),"*","%2A"),"?","%3F"),'Rules'!$G$7:$G$26,0))="km"),INDEX('Rules'!$B$7:$B$26,MATCH(SUBSTITUTE(SUBSTITUTE(SUBSTITUTE(SUBSTITUTE("type:"&amp;B1459,"%","%25"),"~","%7E"),"*","%2A"),"?","%3F"),'Rules'!$G$7:$G$26,0)),""))</x:f>
      </x:c>
      <x:c r="I1459" s="6" t="str">
        <x:f>IF(AND(NOT(COUNTA(A1459:F1459)=0),K1459=""),ROUND(J1459-D1459,3),"")</x:f>
      </x:c>
      <x:c r="J1459" s="6" t="str">
        <x:f>IF(AND(NOT(COUNTA(A1459:F1459)=0),K1459=""),ROUND(F1459+L1459,3),"")</x:f>
      </x:c>
      <x:c r="K1459" s="5" t="str">
        <x:f>IF(COUNTA(A1459:F1459)=0,"",IF(A1459="","Missing equipment ID",IF(COUNTIFS($N$8:$N$2007,"="&amp;N1459)&gt;1,"Duplicate equipment ID",IF(B1459="","Missing type",IF(COUNTIFS('Rules'!$G$7:$G$26,"="&amp;(SUBSTITUTE(SUBSTITUTE(SUBSTITUTE(SUBSTITUTE("type:"&amp;B1459,"%","%25"),"~","%7E"),"*","%2A"),"?","%3F")))=0,"Unknown type",IF(COUNTIFS('Rules'!$G$7:$G$26,"="&amp;(SUBSTITUTE(SUBSTITUTE(SUBSTITUTE(SUBSTITUTE("type:"&amp;B1459,"%","%25"),"~","%7E"),"*","%2A"),"?","%3F")))&gt;1,"Duplicate type",IF(INDEX('Rules'!$F$7:$F$26,MATCH(SUBSTITUTE(SUBSTITUTE(SUBSTITUTE(SUBSTITUTE("type:"&amp;B1459,"%","%25"),"~","%7E"),"*","%2A"),"?","%3F"),'Rules'!$G$7:$G$26,0))&lt;&gt;"",INDEX('Rules'!$F$7:$F$26,MATCH(SUBSTITUTE(SUBSTITUTE(SUBSTITUTE(SUBSTITUTE("type:"&amp;B1459,"%","%25"),"~","%7E"),"*","%2A"),"?","%3F"),'Rules'!$G$7:$G$26,0)),IF(AND(C1459&lt;&gt;"",C1459&lt;&gt;INDEX('Rules'!$B$7:$B$26,MATCH(SUBSTITUTE(SUBSTITUTE(SUBSTITUTE(SUBSTITUTE("type:"&amp;B1459,"%","%25"),"~","%7E"),"*","%2A"),"?","%3F"),'Rules'!$G$7:$G$26,0))),"Unit mismatch",IF(IF(NOT(ISNUMBER(D1459)),TRUE,OR(D1459&lt;0,D1459&gt;999999999,ROUND(D1459,3)&lt;&gt;D1459)),"Invalid current reading",IF(AND(E1459&lt;&gt;"",IF(NOT(ISNUMBER(E1459)),TRUE,OR(E1459&lt;0,E1459&gt;999999999,ROUND(E1459,3)&lt;&gt;E1459))),"Invalid previous reading",IF(IF(NOT(ISNUMBER(F1459)),TRUE,OR(F1459&lt;0,F1459&gt;999999999,ROUND(F1459,3)&lt;&gt;F1459)),"Invalid last service",IF(AND(E1459&lt;&gt;"",D1459&lt;E1459),"Decreased reading",IF(F1459&gt;D1459,"Last service above current","")))))))))))))</x:f>
      </x:c>
      <x:c r="L1459" s="6" t="str">
        <x:f>IF(AND(NOT(COUNTA(A1459:F1459)=0),K1459=""),INDEX('Rules'!$C$7:$C$26,MATCH(SUBSTITUTE(SUBSTITUTE(SUBSTITUTE(SUBSTITUTE("type:"&amp;B1459,"%","%25"),"~","%7E"),"*","%2A"),"?","%3F"),'Rules'!$G$7:$G$26,0)),"")</x:f>
      </x:c>
      <x:c r="M1459" s="6" t="str">
        <x:f>IF(AND(NOT(COUNTA(A1459:F1459)=0),K1459=""),INDEX('Rules'!$D$7:$D$26,MATCH(SUBSTITUTE(SUBSTITUTE(SUBSTITUTE(SUBSTITUTE("type:"&amp;B1459,"%","%25"),"~","%7E"),"*","%2A"),"?","%3F"),'Rules'!$G$7:$G$26,0)),"")</x:f>
      </x:c>
      <x:c r="N1459" s="5" t="str">
        <x:f>IF(COUNTA(A1459:F1459)=0,"",SUBSTITUTE(SUBSTITUTE(SUBSTITUTE(SUBSTITUTE("id:"&amp;A1459,"%","%25"),"~","%7E"),"*","%2A"),"?","%3F"))</x:f>
      </x:c>
    </x:row>
    <x:row r="1460" ht="22" customHeight="1">
      <x:c r="A1460" s="3"/>
      <x:c r="B1460" s="3"/>
      <x:c r="C1460" s="3"/>
      <x:c r="D1460" s="4"/>
      <x:c r="E1460" s="4"/>
      <x:c r="F1460" s="4"/>
      <x:c r="G1460" s="5" t="str">
        <x:f>IF(COUNTA(A1460:F1460)=0,"",IF(K1460&lt;&gt;"","Review",IF(I1460&lt;0,"Overdue",IF(I1460=0,"Due now",IF(I1460&lt;=M1460,"Due soon","Not due")))))</x:f>
      </x:c>
      <x:c r="H1460" s="5" t="str">
        <x:f>IF(OR(COUNTA(A1460:F1460)=0,COUNTIFS('Rules'!$G$7:$G$26,"="&amp;(SUBSTITUTE(SUBSTITUTE(SUBSTITUTE(SUBSTITUTE("type:"&amp;B1460,"%","%25"),"~","%7E"),"*","%2A"),"?","%3F")))&lt;&gt;1),"",IF(OR(INDEX('Rules'!$B$7:$B$26,MATCH(SUBSTITUTE(SUBSTITUTE(SUBSTITUTE(SUBSTITUTE("type:"&amp;B1460,"%","%25"),"~","%7E"),"*","%2A"),"?","%3F"),'Rules'!$G$7:$G$26,0))="hours",INDEX('Rules'!$B$7:$B$26,MATCH(SUBSTITUTE(SUBSTITUTE(SUBSTITUTE(SUBSTITUTE("type:"&amp;B1460,"%","%25"),"~","%7E"),"*","%2A"),"?","%3F"),'Rules'!$G$7:$G$26,0))="km"),INDEX('Rules'!$B$7:$B$26,MATCH(SUBSTITUTE(SUBSTITUTE(SUBSTITUTE(SUBSTITUTE("type:"&amp;B1460,"%","%25"),"~","%7E"),"*","%2A"),"?","%3F"),'Rules'!$G$7:$G$26,0)),""))</x:f>
      </x:c>
      <x:c r="I1460" s="6" t="str">
        <x:f>IF(AND(NOT(COUNTA(A1460:F1460)=0),K1460=""),ROUND(J1460-D1460,3),"")</x:f>
      </x:c>
      <x:c r="J1460" s="6" t="str">
        <x:f>IF(AND(NOT(COUNTA(A1460:F1460)=0),K1460=""),ROUND(F1460+L1460,3),"")</x:f>
      </x:c>
      <x:c r="K1460" s="5" t="str">
        <x:f>IF(COUNTA(A1460:F1460)=0,"",IF(A1460="","Missing equipment ID",IF(COUNTIFS($N$8:$N$2007,"="&amp;N1460)&gt;1,"Duplicate equipment ID",IF(B1460="","Missing type",IF(COUNTIFS('Rules'!$G$7:$G$26,"="&amp;(SUBSTITUTE(SUBSTITUTE(SUBSTITUTE(SUBSTITUTE("type:"&amp;B1460,"%","%25"),"~","%7E"),"*","%2A"),"?","%3F")))=0,"Unknown type",IF(COUNTIFS('Rules'!$G$7:$G$26,"="&amp;(SUBSTITUTE(SUBSTITUTE(SUBSTITUTE(SUBSTITUTE("type:"&amp;B1460,"%","%25"),"~","%7E"),"*","%2A"),"?","%3F")))&gt;1,"Duplicate type",IF(INDEX('Rules'!$F$7:$F$26,MATCH(SUBSTITUTE(SUBSTITUTE(SUBSTITUTE(SUBSTITUTE("type:"&amp;B1460,"%","%25"),"~","%7E"),"*","%2A"),"?","%3F"),'Rules'!$G$7:$G$26,0))&lt;&gt;"",INDEX('Rules'!$F$7:$F$26,MATCH(SUBSTITUTE(SUBSTITUTE(SUBSTITUTE(SUBSTITUTE("type:"&amp;B1460,"%","%25"),"~","%7E"),"*","%2A"),"?","%3F"),'Rules'!$G$7:$G$26,0)),IF(AND(C1460&lt;&gt;"",C1460&lt;&gt;INDEX('Rules'!$B$7:$B$26,MATCH(SUBSTITUTE(SUBSTITUTE(SUBSTITUTE(SUBSTITUTE("type:"&amp;B1460,"%","%25"),"~","%7E"),"*","%2A"),"?","%3F"),'Rules'!$G$7:$G$26,0))),"Unit mismatch",IF(IF(NOT(ISNUMBER(D1460)),TRUE,OR(D1460&lt;0,D1460&gt;999999999,ROUND(D1460,3)&lt;&gt;D1460)),"Invalid current reading",IF(AND(E1460&lt;&gt;"",IF(NOT(ISNUMBER(E1460)),TRUE,OR(E1460&lt;0,E1460&gt;999999999,ROUND(E1460,3)&lt;&gt;E1460))),"Invalid previous reading",IF(IF(NOT(ISNUMBER(F1460)),TRUE,OR(F1460&lt;0,F1460&gt;999999999,ROUND(F1460,3)&lt;&gt;F1460)),"Invalid last service",IF(AND(E1460&lt;&gt;"",D1460&lt;E1460),"Decreased reading",IF(F1460&gt;D1460,"Last service above current","")))))))))))))</x:f>
      </x:c>
      <x:c r="L1460" s="6" t="str">
        <x:f>IF(AND(NOT(COUNTA(A1460:F1460)=0),K1460=""),INDEX('Rules'!$C$7:$C$26,MATCH(SUBSTITUTE(SUBSTITUTE(SUBSTITUTE(SUBSTITUTE("type:"&amp;B1460,"%","%25"),"~","%7E"),"*","%2A"),"?","%3F"),'Rules'!$G$7:$G$26,0)),"")</x:f>
      </x:c>
      <x:c r="M1460" s="6" t="str">
        <x:f>IF(AND(NOT(COUNTA(A1460:F1460)=0),K1460=""),INDEX('Rules'!$D$7:$D$26,MATCH(SUBSTITUTE(SUBSTITUTE(SUBSTITUTE(SUBSTITUTE("type:"&amp;B1460,"%","%25"),"~","%7E"),"*","%2A"),"?","%3F"),'Rules'!$G$7:$G$26,0)),"")</x:f>
      </x:c>
      <x:c r="N1460" s="5" t="str">
        <x:f>IF(COUNTA(A1460:F1460)=0,"",SUBSTITUTE(SUBSTITUTE(SUBSTITUTE(SUBSTITUTE("id:"&amp;A1460,"%","%25"),"~","%7E"),"*","%2A"),"?","%3F"))</x:f>
      </x:c>
    </x:row>
    <x:row r="1461" ht="22" customHeight="1">
      <x:c r="A1461" s="3"/>
      <x:c r="B1461" s="3"/>
      <x:c r="C1461" s="3"/>
      <x:c r="D1461" s="4"/>
      <x:c r="E1461" s="4"/>
      <x:c r="F1461" s="4"/>
      <x:c r="G1461" s="5" t="str">
        <x:f>IF(COUNTA(A1461:F1461)=0,"",IF(K1461&lt;&gt;"","Review",IF(I1461&lt;0,"Overdue",IF(I1461=0,"Due now",IF(I1461&lt;=M1461,"Due soon","Not due")))))</x:f>
      </x:c>
      <x:c r="H1461" s="5" t="str">
        <x:f>IF(OR(COUNTA(A1461:F1461)=0,COUNTIFS('Rules'!$G$7:$G$26,"="&amp;(SUBSTITUTE(SUBSTITUTE(SUBSTITUTE(SUBSTITUTE("type:"&amp;B1461,"%","%25"),"~","%7E"),"*","%2A"),"?","%3F")))&lt;&gt;1),"",IF(OR(INDEX('Rules'!$B$7:$B$26,MATCH(SUBSTITUTE(SUBSTITUTE(SUBSTITUTE(SUBSTITUTE("type:"&amp;B1461,"%","%25"),"~","%7E"),"*","%2A"),"?","%3F"),'Rules'!$G$7:$G$26,0))="hours",INDEX('Rules'!$B$7:$B$26,MATCH(SUBSTITUTE(SUBSTITUTE(SUBSTITUTE(SUBSTITUTE("type:"&amp;B1461,"%","%25"),"~","%7E"),"*","%2A"),"?","%3F"),'Rules'!$G$7:$G$26,0))="km"),INDEX('Rules'!$B$7:$B$26,MATCH(SUBSTITUTE(SUBSTITUTE(SUBSTITUTE(SUBSTITUTE("type:"&amp;B1461,"%","%25"),"~","%7E"),"*","%2A"),"?","%3F"),'Rules'!$G$7:$G$26,0)),""))</x:f>
      </x:c>
      <x:c r="I1461" s="6" t="str">
        <x:f>IF(AND(NOT(COUNTA(A1461:F1461)=0),K1461=""),ROUND(J1461-D1461,3),"")</x:f>
      </x:c>
      <x:c r="J1461" s="6" t="str">
        <x:f>IF(AND(NOT(COUNTA(A1461:F1461)=0),K1461=""),ROUND(F1461+L1461,3),"")</x:f>
      </x:c>
      <x:c r="K1461" s="5" t="str">
        <x:f>IF(COUNTA(A1461:F1461)=0,"",IF(A1461="","Missing equipment ID",IF(COUNTIFS($N$8:$N$2007,"="&amp;N1461)&gt;1,"Duplicate equipment ID",IF(B1461="","Missing type",IF(COUNTIFS('Rules'!$G$7:$G$26,"="&amp;(SUBSTITUTE(SUBSTITUTE(SUBSTITUTE(SUBSTITUTE("type:"&amp;B1461,"%","%25"),"~","%7E"),"*","%2A"),"?","%3F")))=0,"Unknown type",IF(COUNTIFS('Rules'!$G$7:$G$26,"="&amp;(SUBSTITUTE(SUBSTITUTE(SUBSTITUTE(SUBSTITUTE("type:"&amp;B1461,"%","%25"),"~","%7E"),"*","%2A"),"?","%3F")))&gt;1,"Duplicate type",IF(INDEX('Rules'!$F$7:$F$26,MATCH(SUBSTITUTE(SUBSTITUTE(SUBSTITUTE(SUBSTITUTE("type:"&amp;B1461,"%","%25"),"~","%7E"),"*","%2A"),"?","%3F"),'Rules'!$G$7:$G$26,0))&lt;&gt;"",INDEX('Rules'!$F$7:$F$26,MATCH(SUBSTITUTE(SUBSTITUTE(SUBSTITUTE(SUBSTITUTE("type:"&amp;B1461,"%","%25"),"~","%7E"),"*","%2A"),"?","%3F"),'Rules'!$G$7:$G$26,0)),IF(AND(C1461&lt;&gt;"",C1461&lt;&gt;INDEX('Rules'!$B$7:$B$26,MATCH(SUBSTITUTE(SUBSTITUTE(SUBSTITUTE(SUBSTITUTE("type:"&amp;B1461,"%","%25"),"~","%7E"),"*","%2A"),"?","%3F"),'Rules'!$G$7:$G$26,0))),"Unit mismatch",IF(IF(NOT(ISNUMBER(D1461)),TRUE,OR(D1461&lt;0,D1461&gt;999999999,ROUND(D1461,3)&lt;&gt;D1461)),"Invalid current reading",IF(AND(E1461&lt;&gt;"",IF(NOT(ISNUMBER(E1461)),TRUE,OR(E1461&lt;0,E1461&gt;999999999,ROUND(E1461,3)&lt;&gt;E1461))),"Invalid previous reading",IF(IF(NOT(ISNUMBER(F1461)),TRUE,OR(F1461&lt;0,F1461&gt;999999999,ROUND(F1461,3)&lt;&gt;F1461)),"Invalid last service",IF(AND(E1461&lt;&gt;"",D1461&lt;E1461),"Decreased reading",IF(F1461&gt;D1461,"Last service above current","")))))))))))))</x:f>
      </x:c>
      <x:c r="L1461" s="6" t="str">
        <x:f>IF(AND(NOT(COUNTA(A1461:F1461)=0),K1461=""),INDEX('Rules'!$C$7:$C$26,MATCH(SUBSTITUTE(SUBSTITUTE(SUBSTITUTE(SUBSTITUTE("type:"&amp;B1461,"%","%25"),"~","%7E"),"*","%2A"),"?","%3F"),'Rules'!$G$7:$G$26,0)),"")</x:f>
      </x:c>
      <x:c r="M1461" s="6" t="str">
        <x:f>IF(AND(NOT(COUNTA(A1461:F1461)=0),K1461=""),INDEX('Rules'!$D$7:$D$26,MATCH(SUBSTITUTE(SUBSTITUTE(SUBSTITUTE(SUBSTITUTE("type:"&amp;B1461,"%","%25"),"~","%7E"),"*","%2A"),"?","%3F"),'Rules'!$G$7:$G$26,0)),"")</x:f>
      </x:c>
      <x:c r="N1461" s="5" t="str">
        <x:f>IF(COUNTA(A1461:F1461)=0,"",SUBSTITUTE(SUBSTITUTE(SUBSTITUTE(SUBSTITUTE("id:"&amp;A1461,"%","%25"),"~","%7E"),"*","%2A"),"?","%3F"))</x:f>
      </x:c>
    </x:row>
    <x:row r="1462" ht="22" customHeight="1">
      <x:c r="A1462" s="3"/>
      <x:c r="B1462" s="3"/>
      <x:c r="C1462" s="3"/>
      <x:c r="D1462" s="4"/>
      <x:c r="E1462" s="4"/>
      <x:c r="F1462" s="4"/>
      <x:c r="G1462" s="5" t="str">
        <x:f>IF(COUNTA(A1462:F1462)=0,"",IF(K1462&lt;&gt;"","Review",IF(I1462&lt;0,"Overdue",IF(I1462=0,"Due now",IF(I1462&lt;=M1462,"Due soon","Not due")))))</x:f>
      </x:c>
      <x:c r="H1462" s="5" t="str">
        <x:f>IF(OR(COUNTA(A1462:F1462)=0,COUNTIFS('Rules'!$G$7:$G$26,"="&amp;(SUBSTITUTE(SUBSTITUTE(SUBSTITUTE(SUBSTITUTE("type:"&amp;B1462,"%","%25"),"~","%7E"),"*","%2A"),"?","%3F")))&lt;&gt;1),"",IF(OR(INDEX('Rules'!$B$7:$B$26,MATCH(SUBSTITUTE(SUBSTITUTE(SUBSTITUTE(SUBSTITUTE("type:"&amp;B1462,"%","%25"),"~","%7E"),"*","%2A"),"?","%3F"),'Rules'!$G$7:$G$26,0))="hours",INDEX('Rules'!$B$7:$B$26,MATCH(SUBSTITUTE(SUBSTITUTE(SUBSTITUTE(SUBSTITUTE("type:"&amp;B1462,"%","%25"),"~","%7E"),"*","%2A"),"?","%3F"),'Rules'!$G$7:$G$26,0))="km"),INDEX('Rules'!$B$7:$B$26,MATCH(SUBSTITUTE(SUBSTITUTE(SUBSTITUTE(SUBSTITUTE("type:"&amp;B1462,"%","%25"),"~","%7E"),"*","%2A"),"?","%3F"),'Rules'!$G$7:$G$26,0)),""))</x:f>
      </x:c>
      <x:c r="I1462" s="6" t="str">
        <x:f>IF(AND(NOT(COUNTA(A1462:F1462)=0),K1462=""),ROUND(J1462-D1462,3),"")</x:f>
      </x:c>
      <x:c r="J1462" s="6" t="str">
        <x:f>IF(AND(NOT(COUNTA(A1462:F1462)=0),K1462=""),ROUND(F1462+L1462,3),"")</x:f>
      </x:c>
      <x:c r="K1462" s="5" t="str">
        <x:f>IF(COUNTA(A1462:F1462)=0,"",IF(A1462="","Missing equipment ID",IF(COUNTIFS($N$8:$N$2007,"="&amp;N1462)&gt;1,"Duplicate equipment ID",IF(B1462="","Missing type",IF(COUNTIFS('Rules'!$G$7:$G$26,"="&amp;(SUBSTITUTE(SUBSTITUTE(SUBSTITUTE(SUBSTITUTE("type:"&amp;B1462,"%","%25"),"~","%7E"),"*","%2A"),"?","%3F")))=0,"Unknown type",IF(COUNTIFS('Rules'!$G$7:$G$26,"="&amp;(SUBSTITUTE(SUBSTITUTE(SUBSTITUTE(SUBSTITUTE("type:"&amp;B1462,"%","%25"),"~","%7E"),"*","%2A"),"?","%3F")))&gt;1,"Duplicate type",IF(INDEX('Rules'!$F$7:$F$26,MATCH(SUBSTITUTE(SUBSTITUTE(SUBSTITUTE(SUBSTITUTE("type:"&amp;B1462,"%","%25"),"~","%7E"),"*","%2A"),"?","%3F"),'Rules'!$G$7:$G$26,0))&lt;&gt;"",INDEX('Rules'!$F$7:$F$26,MATCH(SUBSTITUTE(SUBSTITUTE(SUBSTITUTE(SUBSTITUTE("type:"&amp;B1462,"%","%25"),"~","%7E"),"*","%2A"),"?","%3F"),'Rules'!$G$7:$G$26,0)),IF(AND(C1462&lt;&gt;"",C1462&lt;&gt;INDEX('Rules'!$B$7:$B$26,MATCH(SUBSTITUTE(SUBSTITUTE(SUBSTITUTE(SUBSTITUTE("type:"&amp;B1462,"%","%25"),"~","%7E"),"*","%2A"),"?","%3F"),'Rules'!$G$7:$G$26,0))),"Unit mismatch",IF(IF(NOT(ISNUMBER(D1462)),TRUE,OR(D1462&lt;0,D1462&gt;999999999,ROUND(D1462,3)&lt;&gt;D1462)),"Invalid current reading",IF(AND(E1462&lt;&gt;"",IF(NOT(ISNUMBER(E1462)),TRUE,OR(E1462&lt;0,E1462&gt;999999999,ROUND(E1462,3)&lt;&gt;E1462))),"Invalid previous reading",IF(IF(NOT(ISNUMBER(F1462)),TRUE,OR(F1462&lt;0,F1462&gt;999999999,ROUND(F1462,3)&lt;&gt;F1462)),"Invalid last service",IF(AND(E1462&lt;&gt;"",D1462&lt;E1462),"Decreased reading",IF(F1462&gt;D1462,"Last service above current","")))))))))))))</x:f>
      </x:c>
      <x:c r="L1462" s="6" t="str">
        <x:f>IF(AND(NOT(COUNTA(A1462:F1462)=0),K1462=""),INDEX('Rules'!$C$7:$C$26,MATCH(SUBSTITUTE(SUBSTITUTE(SUBSTITUTE(SUBSTITUTE("type:"&amp;B1462,"%","%25"),"~","%7E"),"*","%2A"),"?","%3F"),'Rules'!$G$7:$G$26,0)),"")</x:f>
      </x:c>
      <x:c r="M1462" s="6" t="str">
        <x:f>IF(AND(NOT(COUNTA(A1462:F1462)=0),K1462=""),INDEX('Rules'!$D$7:$D$26,MATCH(SUBSTITUTE(SUBSTITUTE(SUBSTITUTE(SUBSTITUTE("type:"&amp;B1462,"%","%25"),"~","%7E"),"*","%2A"),"?","%3F"),'Rules'!$G$7:$G$26,0)),"")</x:f>
      </x:c>
      <x:c r="N1462" s="5" t="str">
        <x:f>IF(COUNTA(A1462:F1462)=0,"",SUBSTITUTE(SUBSTITUTE(SUBSTITUTE(SUBSTITUTE("id:"&amp;A1462,"%","%25"),"~","%7E"),"*","%2A"),"?","%3F"))</x:f>
      </x:c>
    </x:row>
    <x:row r="1463" ht="22" customHeight="1">
      <x:c r="A1463" s="3"/>
      <x:c r="B1463" s="3"/>
      <x:c r="C1463" s="3"/>
      <x:c r="D1463" s="4"/>
      <x:c r="E1463" s="4"/>
      <x:c r="F1463" s="4"/>
      <x:c r="G1463" s="5" t="str">
        <x:f>IF(COUNTA(A1463:F1463)=0,"",IF(K1463&lt;&gt;"","Review",IF(I1463&lt;0,"Overdue",IF(I1463=0,"Due now",IF(I1463&lt;=M1463,"Due soon","Not due")))))</x:f>
      </x:c>
      <x:c r="H1463" s="5" t="str">
        <x:f>IF(OR(COUNTA(A1463:F1463)=0,COUNTIFS('Rules'!$G$7:$G$26,"="&amp;(SUBSTITUTE(SUBSTITUTE(SUBSTITUTE(SUBSTITUTE("type:"&amp;B1463,"%","%25"),"~","%7E"),"*","%2A"),"?","%3F")))&lt;&gt;1),"",IF(OR(INDEX('Rules'!$B$7:$B$26,MATCH(SUBSTITUTE(SUBSTITUTE(SUBSTITUTE(SUBSTITUTE("type:"&amp;B1463,"%","%25"),"~","%7E"),"*","%2A"),"?","%3F"),'Rules'!$G$7:$G$26,0))="hours",INDEX('Rules'!$B$7:$B$26,MATCH(SUBSTITUTE(SUBSTITUTE(SUBSTITUTE(SUBSTITUTE("type:"&amp;B1463,"%","%25"),"~","%7E"),"*","%2A"),"?","%3F"),'Rules'!$G$7:$G$26,0))="km"),INDEX('Rules'!$B$7:$B$26,MATCH(SUBSTITUTE(SUBSTITUTE(SUBSTITUTE(SUBSTITUTE("type:"&amp;B1463,"%","%25"),"~","%7E"),"*","%2A"),"?","%3F"),'Rules'!$G$7:$G$26,0)),""))</x:f>
      </x:c>
      <x:c r="I1463" s="6" t="str">
        <x:f>IF(AND(NOT(COUNTA(A1463:F1463)=0),K1463=""),ROUND(J1463-D1463,3),"")</x:f>
      </x:c>
      <x:c r="J1463" s="6" t="str">
        <x:f>IF(AND(NOT(COUNTA(A1463:F1463)=0),K1463=""),ROUND(F1463+L1463,3),"")</x:f>
      </x:c>
      <x:c r="K1463" s="5" t="str">
        <x:f>IF(COUNTA(A1463:F1463)=0,"",IF(A1463="","Missing equipment ID",IF(COUNTIFS($N$8:$N$2007,"="&amp;N1463)&gt;1,"Duplicate equipment ID",IF(B1463="","Missing type",IF(COUNTIFS('Rules'!$G$7:$G$26,"="&amp;(SUBSTITUTE(SUBSTITUTE(SUBSTITUTE(SUBSTITUTE("type:"&amp;B1463,"%","%25"),"~","%7E"),"*","%2A"),"?","%3F")))=0,"Unknown type",IF(COUNTIFS('Rules'!$G$7:$G$26,"="&amp;(SUBSTITUTE(SUBSTITUTE(SUBSTITUTE(SUBSTITUTE("type:"&amp;B1463,"%","%25"),"~","%7E"),"*","%2A"),"?","%3F")))&gt;1,"Duplicate type",IF(INDEX('Rules'!$F$7:$F$26,MATCH(SUBSTITUTE(SUBSTITUTE(SUBSTITUTE(SUBSTITUTE("type:"&amp;B1463,"%","%25"),"~","%7E"),"*","%2A"),"?","%3F"),'Rules'!$G$7:$G$26,0))&lt;&gt;"",INDEX('Rules'!$F$7:$F$26,MATCH(SUBSTITUTE(SUBSTITUTE(SUBSTITUTE(SUBSTITUTE("type:"&amp;B1463,"%","%25"),"~","%7E"),"*","%2A"),"?","%3F"),'Rules'!$G$7:$G$26,0)),IF(AND(C1463&lt;&gt;"",C1463&lt;&gt;INDEX('Rules'!$B$7:$B$26,MATCH(SUBSTITUTE(SUBSTITUTE(SUBSTITUTE(SUBSTITUTE("type:"&amp;B1463,"%","%25"),"~","%7E"),"*","%2A"),"?","%3F"),'Rules'!$G$7:$G$26,0))),"Unit mismatch",IF(IF(NOT(ISNUMBER(D1463)),TRUE,OR(D1463&lt;0,D1463&gt;999999999,ROUND(D1463,3)&lt;&gt;D1463)),"Invalid current reading",IF(AND(E1463&lt;&gt;"",IF(NOT(ISNUMBER(E1463)),TRUE,OR(E1463&lt;0,E1463&gt;999999999,ROUND(E1463,3)&lt;&gt;E1463))),"Invalid previous reading",IF(IF(NOT(ISNUMBER(F1463)),TRUE,OR(F1463&lt;0,F1463&gt;999999999,ROUND(F1463,3)&lt;&gt;F1463)),"Invalid last service",IF(AND(E1463&lt;&gt;"",D1463&lt;E1463),"Decreased reading",IF(F1463&gt;D1463,"Last service above current","")))))))))))))</x:f>
      </x:c>
      <x:c r="L1463" s="6" t="str">
        <x:f>IF(AND(NOT(COUNTA(A1463:F1463)=0),K1463=""),INDEX('Rules'!$C$7:$C$26,MATCH(SUBSTITUTE(SUBSTITUTE(SUBSTITUTE(SUBSTITUTE("type:"&amp;B1463,"%","%25"),"~","%7E"),"*","%2A"),"?","%3F"),'Rules'!$G$7:$G$26,0)),"")</x:f>
      </x:c>
      <x:c r="M1463" s="6" t="str">
        <x:f>IF(AND(NOT(COUNTA(A1463:F1463)=0),K1463=""),INDEX('Rules'!$D$7:$D$26,MATCH(SUBSTITUTE(SUBSTITUTE(SUBSTITUTE(SUBSTITUTE("type:"&amp;B1463,"%","%25"),"~","%7E"),"*","%2A"),"?","%3F"),'Rules'!$G$7:$G$26,0)),"")</x:f>
      </x:c>
      <x:c r="N1463" s="5" t="str">
        <x:f>IF(COUNTA(A1463:F1463)=0,"",SUBSTITUTE(SUBSTITUTE(SUBSTITUTE(SUBSTITUTE("id:"&amp;A1463,"%","%25"),"~","%7E"),"*","%2A"),"?","%3F"))</x:f>
      </x:c>
    </x:row>
    <x:row r="1464" ht="22" customHeight="1">
      <x:c r="A1464" s="3"/>
      <x:c r="B1464" s="3"/>
      <x:c r="C1464" s="3"/>
      <x:c r="D1464" s="4"/>
      <x:c r="E1464" s="4"/>
      <x:c r="F1464" s="4"/>
      <x:c r="G1464" s="5" t="str">
        <x:f>IF(COUNTA(A1464:F1464)=0,"",IF(K1464&lt;&gt;"","Review",IF(I1464&lt;0,"Overdue",IF(I1464=0,"Due now",IF(I1464&lt;=M1464,"Due soon","Not due")))))</x:f>
      </x:c>
      <x:c r="H1464" s="5" t="str">
        <x:f>IF(OR(COUNTA(A1464:F1464)=0,COUNTIFS('Rules'!$G$7:$G$26,"="&amp;(SUBSTITUTE(SUBSTITUTE(SUBSTITUTE(SUBSTITUTE("type:"&amp;B1464,"%","%25"),"~","%7E"),"*","%2A"),"?","%3F")))&lt;&gt;1),"",IF(OR(INDEX('Rules'!$B$7:$B$26,MATCH(SUBSTITUTE(SUBSTITUTE(SUBSTITUTE(SUBSTITUTE("type:"&amp;B1464,"%","%25"),"~","%7E"),"*","%2A"),"?","%3F"),'Rules'!$G$7:$G$26,0))="hours",INDEX('Rules'!$B$7:$B$26,MATCH(SUBSTITUTE(SUBSTITUTE(SUBSTITUTE(SUBSTITUTE("type:"&amp;B1464,"%","%25"),"~","%7E"),"*","%2A"),"?","%3F"),'Rules'!$G$7:$G$26,0))="km"),INDEX('Rules'!$B$7:$B$26,MATCH(SUBSTITUTE(SUBSTITUTE(SUBSTITUTE(SUBSTITUTE("type:"&amp;B1464,"%","%25"),"~","%7E"),"*","%2A"),"?","%3F"),'Rules'!$G$7:$G$26,0)),""))</x:f>
      </x:c>
      <x:c r="I1464" s="6" t="str">
        <x:f>IF(AND(NOT(COUNTA(A1464:F1464)=0),K1464=""),ROUND(J1464-D1464,3),"")</x:f>
      </x:c>
      <x:c r="J1464" s="6" t="str">
        <x:f>IF(AND(NOT(COUNTA(A1464:F1464)=0),K1464=""),ROUND(F1464+L1464,3),"")</x:f>
      </x:c>
      <x:c r="K1464" s="5" t="str">
        <x:f>IF(COUNTA(A1464:F1464)=0,"",IF(A1464="","Missing equipment ID",IF(COUNTIFS($N$8:$N$2007,"="&amp;N1464)&gt;1,"Duplicate equipment ID",IF(B1464="","Missing type",IF(COUNTIFS('Rules'!$G$7:$G$26,"="&amp;(SUBSTITUTE(SUBSTITUTE(SUBSTITUTE(SUBSTITUTE("type:"&amp;B1464,"%","%25"),"~","%7E"),"*","%2A"),"?","%3F")))=0,"Unknown type",IF(COUNTIFS('Rules'!$G$7:$G$26,"="&amp;(SUBSTITUTE(SUBSTITUTE(SUBSTITUTE(SUBSTITUTE("type:"&amp;B1464,"%","%25"),"~","%7E"),"*","%2A"),"?","%3F")))&gt;1,"Duplicate type",IF(INDEX('Rules'!$F$7:$F$26,MATCH(SUBSTITUTE(SUBSTITUTE(SUBSTITUTE(SUBSTITUTE("type:"&amp;B1464,"%","%25"),"~","%7E"),"*","%2A"),"?","%3F"),'Rules'!$G$7:$G$26,0))&lt;&gt;"",INDEX('Rules'!$F$7:$F$26,MATCH(SUBSTITUTE(SUBSTITUTE(SUBSTITUTE(SUBSTITUTE("type:"&amp;B1464,"%","%25"),"~","%7E"),"*","%2A"),"?","%3F"),'Rules'!$G$7:$G$26,0)),IF(AND(C1464&lt;&gt;"",C1464&lt;&gt;INDEX('Rules'!$B$7:$B$26,MATCH(SUBSTITUTE(SUBSTITUTE(SUBSTITUTE(SUBSTITUTE("type:"&amp;B1464,"%","%25"),"~","%7E"),"*","%2A"),"?","%3F"),'Rules'!$G$7:$G$26,0))),"Unit mismatch",IF(IF(NOT(ISNUMBER(D1464)),TRUE,OR(D1464&lt;0,D1464&gt;999999999,ROUND(D1464,3)&lt;&gt;D1464)),"Invalid current reading",IF(AND(E1464&lt;&gt;"",IF(NOT(ISNUMBER(E1464)),TRUE,OR(E1464&lt;0,E1464&gt;999999999,ROUND(E1464,3)&lt;&gt;E1464))),"Invalid previous reading",IF(IF(NOT(ISNUMBER(F1464)),TRUE,OR(F1464&lt;0,F1464&gt;999999999,ROUND(F1464,3)&lt;&gt;F1464)),"Invalid last service",IF(AND(E1464&lt;&gt;"",D1464&lt;E1464),"Decreased reading",IF(F1464&gt;D1464,"Last service above current","")))))))))))))</x:f>
      </x:c>
      <x:c r="L1464" s="6" t="str">
        <x:f>IF(AND(NOT(COUNTA(A1464:F1464)=0),K1464=""),INDEX('Rules'!$C$7:$C$26,MATCH(SUBSTITUTE(SUBSTITUTE(SUBSTITUTE(SUBSTITUTE("type:"&amp;B1464,"%","%25"),"~","%7E"),"*","%2A"),"?","%3F"),'Rules'!$G$7:$G$26,0)),"")</x:f>
      </x:c>
      <x:c r="M1464" s="6" t="str">
        <x:f>IF(AND(NOT(COUNTA(A1464:F1464)=0),K1464=""),INDEX('Rules'!$D$7:$D$26,MATCH(SUBSTITUTE(SUBSTITUTE(SUBSTITUTE(SUBSTITUTE("type:"&amp;B1464,"%","%25"),"~","%7E"),"*","%2A"),"?","%3F"),'Rules'!$G$7:$G$26,0)),"")</x:f>
      </x:c>
      <x:c r="N1464" s="5" t="str">
        <x:f>IF(COUNTA(A1464:F1464)=0,"",SUBSTITUTE(SUBSTITUTE(SUBSTITUTE(SUBSTITUTE("id:"&amp;A1464,"%","%25"),"~","%7E"),"*","%2A"),"?","%3F"))</x:f>
      </x:c>
    </x:row>
    <x:row r="1465" ht="22" customHeight="1">
      <x:c r="A1465" s="3"/>
      <x:c r="B1465" s="3"/>
      <x:c r="C1465" s="3"/>
      <x:c r="D1465" s="4"/>
      <x:c r="E1465" s="4"/>
      <x:c r="F1465" s="4"/>
      <x:c r="G1465" s="5" t="str">
        <x:f>IF(COUNTA(A1465:F1465)=0,"",IF(K1465&lt;&gt;"","Review",IF(I1465&lt;0,"Overdue",IF(I1465=0,"Due now",IF(I1465&lt;=M1465,"Due soon","Not due")))))</x:f>
      </x:c>
      <x:c r="H1465" s="5" t="str">
        <x:f>IF(OR(COUNTA(A1465:F1465)=0,COUNTIFS('Rules'!$G$7:$G$26,"="&amp;(SUBSTITUTE(SUBSTITUTE(SUBSTITUTE(SUBSTITUTE("type:"&amp;B1465,"%","%25"),"~","%7E"),"*","%2A"),"?","%3F")))&lt;&gt;1),"",IF(OR(INDEX('Rules'!$B$7:$B$26,MATCH(SUBSTITUTE(SUBSTITUTE(SUBSTITUTE(SUBSTITUTE("type:"&amp;B1465,"%","%25"),"~","%7E"),"*","%2A"),"?","%3F"),'Rules'!$G$7:$G$26,0))="hours",INDEX('Rules'!$B$7:$B$26,MATCH(SUBSTITUTE(SUBSTITUTE(SUBSTITUTE(SUBSTITUTE("type:"&amp;B1465,"%","%25"),"~","%7E"),"*","%2A"),"?","%3F"),'Rules'!$G$7:$G$26,0))="km"),INDEX('Rules'!$B$7:$B$26,MATCH(SUBSTITUTE(SUBSTITUTE(SUBSTITUTE(SUBSTITUTE("type:"&amp;B1465,"%","%25"),"~","%7E"),"*","%2A"),"?","%3F"),'Rules'!$G$7:$G$26,0)),""))</x:f>
      </x:c>
      <x:c r="I1465" s="6" t="str">
        <x:f>IF(AND(NOT(COUNTA(A1465:F1465)=0),K1465=""),ROUND(J1465-D1465,3),"")</x:f>
      </x:c>
      <x:c r="J1465" s="6" t="str">
        <x:f>IF(AND(NOT(COUNTA(A1465:F1465)=0),K1465=""),ROUND(F1465+L1465,3),"")</x:f>
      </x:c>
      <x:c r="K1465" s="5" t="str">
        <x:f>IF(COUNTA(A1465:F1465)=0,"",IF(A1465="","Missing equipment ID",IF(COUNTIFS($N$8:$N$2007,"="&amp;N1465)&gt;1,"Duplicate equipment ID",IF(B1465="","Missing type",IF(COUNTIFS('Rules'!$G$7:$G$26,"="&amp;(SUBSTITUTE(SUBSTITUTE(SUBSTITUTE(SUBSTITUTE("type:"&amp;B1465,"%","%25"),"~","%7E"),"*","%2A"),"?","%3F")))=0,"Unknown type",IF(COUNTIFS('Rules'!$G$7:$G$26,"="&amp;(SUBSTITUTE(SUBSTITUTE(SUBSTITUTE(SUBSTITUTE("type:"&amp;B1465,"%","%25"),"~","%7E"),"*","%2A"),"?","%3F")))&gt;1,"Duplicate type",IF(INDEX('Rules'!$F$7:$F$26,MATCH(SUBSTITUTE(SUBSTITUTE(SUBSTITUTE(SUBSTITUTE("type:"&amp;B1465,"%","%25"),"~","%7E"),"*","%2A"),"?","%3F"),'Rules'!$G$7:$G$26,0))&lt;&gt;"",INDEX('Rules'!$F$7:$F$26,MATCH(SUBSTITUTE(SUBSTITUTE(SUBSTITUTE(SUBSTITUTE("type:"&amp;B1465,"%","%25"),"~","%7E"),"*","%2A"),"?","%3F"),'Rules'!$G$7:$G$26,0)),IF(AND(C1465&lt;&gt;"",C1465&lt;&gt;INDEX('Rules'!$B$7:$B$26,MATCH(SUBSTITUTE(SUBSTITUTE(SUBSTITUTE(SUBSTITUTE("type:"&amp;B1465,"%","%25"),"~","%7E"),"*","%2A"),"?","%3F"),'Rules'!$G$7:$G$26,0))),"Unit mismatch",IF(IF(NOT(ISNUMBER(D1465)),TRUE,OR(D1465&lt;0,D1465&gt;999999999,ROUND(D1465,3)&lt;&gt;D1465)),"Invalid current reading",IF(AND(E1465&lt;&gt;"",IF(NOT(ISNUMBER(E1465)),TRUE,OR(E1465&lt;0,E1465&gt;999999999,ROUND(E1465,3)&lt;&gt;E1465))),"Invalid previous reading",IF(IF(NOT(ISNUMBER(F1465)),TRUE,OR(F1465&lt;0,F1465&gt;999999999,ROUND(F1465,3)&lt;&gt;F1465)),"Invalid last service",IF(AND(E1465&lt;&gt;"",D1465&lt;E1465),"Decreased reading",IF(F1465&gt;D1465,"Last service above current","")))))))))))))</x:f>
      </x:c>
      <x:c r="L1465" s="6" t="str">
        <x:f>IF(AND(NOT(COUNTA(A1465:F1465)=0),K1465=""),INDEX('Rules'!$C$7:$C$26,MATCH(SUBSTITUTE(SUBSTITUTE(SUBSTITUTE(SUBSTITUTE("type:"&amp;B1465,"%","%25"),"~","%7E"),"*","%2A"),"?","%3F"),'Rules'!$G$7:$G$26,0)),"")</x:f>
      </x:c>
      <x:c r="M1465" s="6" t="str">
        <x:f>IF(AND(NOT(COUNTA(A1465:F1465)=0),K1465=""),INDEX('Rules'!$D$7:$D$26,MATCH(SUBSTITUTE(SUBSTITUTE(SUBSTITUTE(SUBSTITUTE("type:"&amp;B1465,"%","%25"),"~","%7E"),"*","%2A"),"?","%3F"),'Rules'!$G$7:$G$26,0)),"")</x:f>
      </x:c>
      <x:c r="N1465" s="5" t="str">
        <x:f>IF(COUNTA(A1465:F1465)=0,"",SUBSTITUTE(SUBSTITUTE(SUBSTITUTE(SUBSTITUTE("id:"&amp;A1465,"%","%25"),"~","%7E"),"*","%2A"),"?","%3F"))</x:f>
      </x:c>
    </x:row>
    <x:row r="1466" ht="22" customHeight="1">
      <x:c r="A1466" s="3"/>
      <x:c r="B1466" s="3"/>
      <x:c r="C1466" s="3"/>
      <x:c r="D1466" s="4"/>
      <x:c r="E1466" s="4"/>
      <x:c r="F1466" s="4"/>
      <x:c r="G1466" s="5" t="str">
        <x:f>IF(COUNTA(A1466:F1466)=0,"",IF(K1466&lt;&gt;"","Review",IF(I1466&lt;0,"Overdue",IF(I1466=0,"Due now",IF(I1466&lt;=M1466,"Due soon","Not due")))))</x:f>
      </x:c>
      <x:c r="H1466" s="5" t="str">
        <x:f>IF(OR(COUNTA(A1466:F1466)=0,COUNTIFS('Rules'!$G$7:$G$26,"="&amp;(SUBSTITUTE(SUBSTITUTE(SUBSTITUTE(SUBSTITUTE("type:"&amp;B1466,"%","%25"),"~","%7E"),"*","%2A"),"?","%3F")))&lt;&gt;1),"",IF(OR(INDEX('Rules'!$B$7:$B$26,MATCH(SUBSTITUTE(SUBSTITUTE(SUBSTITUTE(SUBSTITUTE("type:"&amp;B1466,"%","%25"),"~","%7E"),"*","%2A"),"?","%3F"),'Rules'!$G$7:$G$26,0))="hours",INDEX('Rules'!$B$7:$B$26,MATCH(SUBSTITUTE(SUBSTITUTE(SUBSTITUTE(SUBSTITUTE("type:"&amp;B1466,"%","%25"),"~","%7E"),"*","%2A"),"?","%3F"),'Rules'!$G$7:$G$26,0))="km"),INDEX('Rules'!$B$7:$B$26,MATCH(SUBSTITUTE(SUBSTITUTE(SUBSTITUTE(SUBSTITUTE("type:"&amp;B1466,"%","%25"),"~","%7E"),"*","%2A"),"?","%3F"),'Rules'!$G$7:$G$26,0)),""))</x:f>
      </x:c>
      <x:c r="I1466" s="6" t="str">
        <x:f>IF(AND(NOT(COUNTA(A1466:F1466)=0),K1466=""),ROUND(J1466-D1466,3),"")</x:f>
      </x:c>
      <x:c r="J1466" s="6" t="str">
        <x:f>IF(AND(NOT(COUNTA(A1466:F1466)=0),K1466=""),ROUND(F1466+L1466,3),"")</x:f>
      </x:c>
      <x:c r="K1466" s="5" t="str">
        <x:f>IF(COUNTA(A1466:F1466)=0,"",IF(A1466="","Missing equipment ID",IF(COUNTIFS($N$8:$N$2007,"="&amp;N1466)&gt;1,"Duplicate equipment ID",IF(B1466="","Missing type",IF(COUNTIFS('Rules'!$G$7:$G$26,"="&amp;(SUBSTITUTE(SUBSTITUTE(SUBSTITUTE(SUBSTITUTE("type:"&amp;B1466,"%","%25"),"~","%7E"),"*","%2A"),"?","%3F")))=0,"Unknown type",IF(COUNTIFS('Rules'!$G$7:$G$26,"="&amp;(SUBSTITUTE(SUBSTITUTE(SUBSTITUTE(SUBSTITUTE("type:"&amp;B1466,"%","%25"),"~","%7E"),"*","%2A"),"?","%3F")))&gt;1,"Duplicate type",IF(INDEX('Rules'!$F$7:$F$26,MATCH(SUBSTITUTE(SUBSTITUTE(SUBSTITUTE(SUBSTITUTE("type:"&amp;B1466,"%","%25"),"~","%7E"),"*","%2A"),"?","%3F"),'Rules'!$G$7:$G$26,0))&lt;&gt;"",INDEX('Rules'!$F$7:$F$26,MATCH(SUBSTITUTE(SUBSTITUTE(SUBSTITUTE(SUBSTITUTE("type:"&amp;B1466,"%","%25"),"~","%7E"),"*","%2A"),"?","%3F"),'Rules'!$G$7:$G$26,0)),IF(AND(C1466&lt;&gt;"",C1466&lt;&gt;INDEX('Rules'!$B$7:$B$26,MATCH(SUBSTITUTE(SUBSTITUTE(SUBSTITUTE(SUBSTITUTE("type:"&amp;B1466,"%","%25"),"~","%7E"),"*","%2A"),"?","%3F"),'Rules'!$G$7:$G$26,0))),"Unit mismatch",IF(IF(NOT(ISNUMBER(D1466)),TRUE,OR(D1466&lt;0,D1466&gt;999999999,ROUND(D1466,3)&lt;&gt;D1466)),"Invalid current reading",IF(AND(E1466&lt;&gt;"",IF(NOT(ISNUMBER(E1466)),TRUE,OR(E1466&lt;0,E1466&gt;999999999,ROUND(E1466,3)&lt;&gt;E1466))),"Invalid previous reading",IF(IF(NOT(ISNUMBER(F1466)),TRUE,OR(F1466&lt;0,F1466&gt;999999999,ROUND(F1466,3)&lt;&gt;F1466)),"Invalid last service",IF(AND(E1466&lt;&gt;"",D1466&lt;E1466),"Decreased reading",IF(F1466&gt;D1466,"Last service above current","")))))))))))))</x:f>
      </x:c>
      <x:c r="L1466" s="6" t="str">
        <x:f>IF(AND(NOT(COUNTA(A1466:F1466)=0),K1466=""),INDEX('Rules'!$C$7:$C$26,MATCH(SUBSTITUTE(SUBSTITUTE(SUBSTITUTE(SUBSTITUTE("type:"&amp;B1466,"%","%25"),"~","%7E"),"*","%2A"),"?","%3F"),'Rules'!$G$7:$G$26,0)),"")</x:f>
      </x:c>
      <x:c r="M1466" s="6" t="str">
        <x:f>IF(AND(NOT(COUNTA(A1466:F1466)=0),K1466=""),INDEX('Rules'!$D$7:$D$26,MATCH(SUBSTITUTE(SUBSTITUTE(SUBSTITUTE(SUBSTITUTE("type:"&amp;B1466,"%","%25"),"~","%7E"),"*","%2A"),"?","%3F"),'Rules'!$G$7:$G$26,0)),"")</x:f>
      </x:c>
      <x:c r="N1466" s="5" t="str">
        <x:f>IF(COUNTA(A1466:F1466)=0,"",SUBSTITUTE(SUBSTITUTE(SUBSTITUTE(SUBSTITUTE("id:"&amp;A1466,"%","%25"),"~","%7E"),"*","%2A"),"?","%3F"))</x:f>
      </x:c>
    </x:row>
    <x:row r="1467" ht="22" customHeight="1">
      <x:c r="A1467" s="3"/>
      <x:c r="B1467" s="3"/>
      <x:c r="C1467" s="3"/>
      <x:c r="D1467" s="4"/>
      <x:c r="E1467" s="4"/>
      <x:c r="F1467" s="4"/>
      <x:c r="G1467" s="5" t="str">
        <x:f>IF(COUNTA(A1467:F1467)=0,"",IF(K1467&lt;&gt;"","Review",IF(I1467&lt;0,"Overdue",IF(I1467=0,"Due now",IF(I1467&lt;=M1467,"Due soon","Not due")))))</x:f>
      </x:c>
      <x:c r="H1467" s="5" t="str">
        <x:f>IF(OR(COUNTA(A1467:F1467)=0,COUNTIFS('Rules'!$G$7:$G$26,"="&amp;(SUBSTITUTE(SUBSTITUTE(SUBSTITUTE(SUBSTITUTE("type:"&amp;B1467,"%","%25"),"~","%7E"),"*","%2A"),"?","%3F")))&lt;&gt;1),"",IF(OR(INDEX('Rules'!$B$7:$B$26,MATCH(SUBSTITUTE(SUBSTITUTE(SUBSTITUTE(SUBSTITUTE("type:"&amp;B1467,"%","%25"),"~","%7E"),"*","%2A"),"?","%3F"),'Rules'!$G$7:$G$26,0))="hours",INDEX('Rules'!$B$7:$B$26,MATCH(SUBSTITUTE(SUBSTITUTE(SUBSTITUTE(SUBSTITUTE("type:"&amp;B1467,"%","%25"),"~","%7E"),"*","%2A"),"?","%3F"),'Rules'!$G$7:$G$26,0))="km"),INDEX('Rules'!$B$7:$B$26,MATCH(SUBSTITUTE(SUBSTITUTE(SUBSTITUTE(SUBSTITUTE("type:"&amp;B1467,"%","%25"),"~","%7E"),"*","%2A"),"?","%3F"),'Rules'!$G$7:$G$26,0)),""))</x:f>
      </x:c>
      <x:c r="I1467" s="6" t="str">
        <x:f>IF(AND(NOT(COUNTA(A1467:F1467)=0),K1467=""),ROUND(J1467-D1467,3),"")</x:f>
      </x:c>
      <x:c r="J1467" s="6" t="str">
        <x:f>IF(AND(NOT(COUNTA(A1467:F1467)=0),K1467=""),ROUND(F1467+L1467,3),"")</x:f>
      </x:c>
      <x:c r="K1467" s="5" t="str">
        <x:f>IF(COUNTA(A1467:F1467)=0,"",IF(A1467="","Missing equipment ID",IF(COUNTIFS($N$8:$N$2007,"="&amp;N1467)&gt;1,"Duplicate equipment ID",IF(B1467="","Missing type",IF(COUNTIFS('Rules'!$G$7:$G$26,"="&amp;(SUBSTITUTE(SUBSTITUTE(SUBSTITUTE(SUBSTITUTE("type:"&amp;B1467,"%","%25"),"~","%7E"),"*","%2A"),"?","%3F")))=0,"Unknown type",IF(COUNTIFS('Rules'!$G$7:$G$26,"="&amp;(SUBSTITUTE(SUBSTITUTE(SUBSTITUTE(SUBSTITUTE("type:"&amp;B1467,"%","%25"),"~","%7E"),"*","%2A"),"?","%3F")))&gt;1,"Duplicate type",IF(INDEX('Rules'!$F$7:$F$26,MATCH(SUBSTITUTE(SUBSTITUTE(SUBSTITUTE(SUBSTITUTE("type:"&amp;B1467,"%","%25"),"~","%7E"),"*","%2A"),"?","%3F"),'Rules'!$G$7:$G$26,0))&lt;&gt;"",INDEX('Rules'!$F$7:$F$26,MATCH(SUBSTITUTE(SUBSTITUTE(SUBSTITUTE(SUBSTITUTE("type:"&amp;B1467,"%","%25"),"~","%7E"),"*","%2A"),"?","%3F"),'Rules'!$G$7:$G$26,0)),IF(AND(C1467&lt;&gt;"",C1467&lt;&gt;INDEX('Rules'!$B$7:$B$26,MATCH(SUBSTITUTE(SUBSTITUTE(SUBSTITUTE(SUBSTITUTE("type:"&amp;B1467,"%","%25"),"~","%7E"),"*","%2A"),"?","%3F"),'Rules'!$G$7:$G$26,0))),"Unit mismatch",IF(IF(NOT(ISNUMBER(D1467)),TRUE,OR(D1467&lt;0,D1467&gt;999999999,ROUND(D1467,3)&lt;&gt;D1467)),"Invalid current reading",IF(AND(E1467&lt;&gt;"",IF(NOT(ISNUMBER(E1467)),TRUE,OR(E1467&lt;0,E1467&gt;999999999,ROUND(E1467,3)&lt;&gt;E1467))),"Invalid previous reading",IF(IF(NOT(ISNUMBER(F1467)),TRUE,OR(F1467&lt;0,F1467&gt;999999999,ROUND(F1467,3)&lt;&gt;F1467)),"Invalid last service",IF(AND(E1467&lt;&gt;"",D1467&lt;E1467),"Decreased reading",IF(F1467&gt;D1467,"Last service above current","")))))))))))))</x:f>
      </x:c>
      <x:c r="L1467" s="6" t="str">
        <x:f>IF(AND(NOT(COUNTA(A1467:F1467)=0),K1467=""),INDEX('Rules'!$C$7:$C$26,MATCH(SUBSTITUTE(SUBSTITUTE(SUBSTITUTE(SUBSTITUTE("type:"&amp;B1467,"%","%25"),"~","%7E"),"*","%2A"),"?","%3F"),'Rules'!$G$7:$G$26,0)),"")</x:f>
      </x:c>
      <x:c r="M1467" s="6" t="str">
        <x:f>IF(AND(NOT(COUNTA(A1467:F1467)=0),K1467=""),INDEX('Rules'!$D$7:$D$26,MATCH(SUBSTITUTE(SUBSTITUTE(SUBSTITUTE(SUBSTITUTE("type:"&amp;B1467,"%","%25"),"~","%7E"),"*","%2A"),"?","%3F"),'Rules'!$G$7:$G$26,0)),"")</x:f>
      </x:c>
      <x:c r="N1467" s="5" t="str">
        <x:f>IF(COUNTA(A1467:F1467)=0,"",SUBSTITUTE(SUBSTITUTE(SUBSTITUTE(SUBSTITUTE("id:"&amp;A1467,"%","%25"),"~","%7E"),"*","%2A"),"?","%3F"))</x:f>
      </x:c>
    </x:row>
    <x:row r="1468" ht="22" customHeight="1">
      <x:c r="A1468" s="3"/>
      <x:c r="B1468" s="3"/>
      <x:c r="C1468" s="3"/>
      <x:c r="D1468" s="4"/>
      <x:c r="E1468" s="4"/>
      <x:c r="F1468" s="4"/>
      <x:c r="G1468" s="5" t="str">
        <x:f>IF(COUNTA(A1468:F1468)=0,"",IF(K1468&lt;&gt;"","Review",IF(I1468&lt;0,"Overdue",IF(I1468=0,"Due now",IF(I1468&lt;=M1468,"Due soon","Not due")))))</x:f>
      </x:c>
      <x:c r="H1468" s="5" t="str">
        <x:f>IF(OR(COUNTA(A1468:F1468)=0,COUNTIFS('Rules'!$G$7:$G$26,"="&amp;(SUBSTITUTE(SUBSTITUTE(SUBSTITUTE(SUBSTITUTE("type:"&amp;B1468,"%","%25"),"~","%7E"),"*","%2A"),"?","%3F")))&lt;&gt;1),"",IF(OR(INDEX('Rules'!$B$7:$B$26,MATCH(SUBSTITUTE(SUBSTITUTE(SUBSTITUTE(SUBSTITUTE("type:"&amp;B1468,"%","%25"),"~","%7E"),"*","%2A"),"?","%3F"),'Rules'!$G$7:$G$26,0))="hours",INDEX('Rules'!$B$7:$B$26,MATCH(SUBSTITUTE(SUBSTITUTE(SUBSTITUTE(SUBSTITUTE("type:"&amp;B1468,"%","%25"),"~","%7E"),"*","%2A"),"?","%3F"),'Rules'!$G$7:$G$26,0))="km"),INDEX('Rules'!$B$7:$B$26,MATCH(SUBSTITUTE(SUBSTITUTE(SUBSTITUTE(SUBSTITUTE("type:"&amp;B1468,"%","%25"),"~","%7E"),"*","%2A"),"?","%3F"),'Rules'!$G$7:$G$26,0)),""))</x:f>
      </x:c>
      <x:c r="I1468" s="6" t="str">
        <x:f>IF(AND(NOT(COUNTA(A1468:F1468)=0),K1468=""),ROUND(J1468-D1468,3),"")</x:f>
      </x:c>
      <x:c r="J1468" s="6" t="str">
        <x:f>IF(AND(NOT(COUNTA(A1468:F1468)=0),K1468=""),ROUND(F1468+L1468,3),"")</x:f>
      </x:c>
      <x:c r="K1468" s="5" t="str">
        <x:f>IF(COUNTA(A1468:F1468)=0,"",IF(A1468="","Missing equipment ID",IF(COUNTIFS($N$8:$N$2007,"="&amp;N1468)&gt;1,"Duplicate equipment ID",IF(B1468="","Missing type",IF(COUNTIFS('Rules'!$G$7:$G$26,"="&amp;(SUBSTITUTE(SUBSTITUTE(SUBSTITUTE(SUBSTITUTE("type:"&amp;B1468,"%","%25"),"~","%7E"),"*","%2A"),"?","%3F")))=0,"Unknown type",IF(COUNTIFS('Rules'!$G$7:$G$26,"="&amp;(SUBSTITUTE(SUBSTITUTE(SUBSTITUTE(SUBSTITUTE("type:"&amp;B1468,"%","%25"),"~","%7E"),"*","%2A"),"?","%3F")))&gt;1,"Duplicate type",IF(INDEX('Rules'!$F$7:$F$26,MATCH(SUBSTITUTE(SUBSTITUTE(SUBSTITUTE(SUBSTITUTE("type:"&amp;B1468,"%","%25"),"~","%7E"),"*","%2A"),"?","%3F"),'Rules'!$G$7:$G$26,0))&lt;&gt;"",INDEX('Rules'!$F$7:$F$26,MATCH(SUBSTITUTE(SUBSTITUTE(SUBSTITUTE(SUBSTITUTE("type:"&amp;B1468,"%","%25"),"~","%7E"),"*","%2A"),"?","%3F"),'Rules'!$G$7:$G$26,0)),IF(AND(C1468&lt;&gt;"",C1468&lt;&gt;INDEX('Rules'!$B$7:$B$26,MATCH(SUBSTITUTE(SUBSTITUTE(SUBSTITUTE(SUBSTITUTE("type:"&amp;B1468,"%","%25"),"~","%7E"),"*","%2A"),"?","%3F"),'Rules'!$G$7:$G$26,0))),"Unit mismatch",IF(IF(NOT(ISNUMBER(D1468)),TRUE,OR(D1468&lt;0,D1468&gt;999999999,ROUND(D1468,3)&lt;&gt;D1468)),"Invalid current reading",IF(AND(E1468&lt;&gt;"",IF(NOT(ISNUMBER(E1468)),TRUE,OR(E1468&lt;0,E1468&gt;999999999,ROUND(E1468,3)&lt;&gt;E1468))),"Invalid previous reading",IF(IF(NOT(ISNUMBER(F1468)),TRUE,OR(F1468&lt;0,F1468&gt;999999999,ROUND(F1468,3)&lt;&gt;F1468)),"Invalid last service",IF(AND(E1468&lt;&gt;"",D1468&lt;E1468),"Decreased reading",IF(F1468&gt;D1468,"Last service above current","")))))))))))))</x:f>
      </x:c>
      <x:c r="L1468" s="6" t="str">
        <x:f>IF(AND(NOT(COUNTA(A1468:F1468)=0),K1468=""),INDEX('Rules'!$C$7:$C$26,MATCH(SUBSTITUTE(SUBSTITUTE(SUBSTITUTE(SUBSTITUTE("type:"&amp;B1468,"%","%25"),"~","%7E"),"*","%2A"),"?","%3F"),'Rules'!$G$7:$G$26,0)),"")</x:f>
      </x:c>
      <x:c r="M1468" s="6" t="str">
        <x:f>IF(AND(NOT(COUNTA(A1468:F1468)=0),K1468=""),INDEX('Rules'!$D$7:$D$26,MATCH(SUBSTITUTE(SUBSTITUTE(SUBSTITUTE(SUBSTITUTE("type:"&amp;B1468,"%","%25"),"~","%7E"),"*","%2A"),"?","%3F"),'Rules'!$G$7:$G$26,0)),"")</x:f>
      </x:c>
      <x:c r="N1468" s="5" t="str">
        <x:f>IF(COUNTA(A1468:F1468)=0,"",SUBSTITUTE(SUBSTITUTE(SUBSTITUTE(SUBSTITUTE("id:"&amp;A1468,"%","%25"),"~","%7E"),"*","%2A"),"?","%3F"))</x:f>
      </x:c>
    </x:row>
    <x:row r="1469" ht="22" customHeight="1">
      <x:c r="A1469" s="3"/>
      <x:c r="B1469" s="3"/>
      <x:c r="C1469" s="3"/>
      <x:c r="D1469" s="4"/>
      <x:c r="E1469" s="4"/>
      <x:c r="F1469" s="4"/>
      <x:c r="G1469" s="5" t="str">
        <x:f>IF(COUNTA(A1469:F1469)=0,"",IF(K1469&lt;&gt;"","Review",IF(I1469&lt;0,"Overdue",IF(I1469=0,"Due now",IF(I1469&lt;=M1469,"Due soon","Not due")))))</x:f>
      </x:c>
      <x:c r="H1469" s="5" t="str">
        <x:f>IF(OR(COUNTA(A1469:F1469)=0,COUNTIFS('Rules'!$G$7:$G$26,"="&amp;(SUBSTITUTE(SUBSTITUTE(SUBSTITUTE(SUBSTITUTE("type:"&amp;B1469,"%","%25"),"~","%7E"),"*","%2A"),"?","%3F")))&lt;&gt;1),"",IF(OR(INDEX('Rules'!$B$7:$B$26,MATCH(SUBSTITUTE(SUBSTITUTE(SUBSTITUTE(SUBSTITUTE("type:"&amp;B1469,"%","%25"),"~","%7E"),"*","%2A"),"?","%3F"),'Rules'!$G$7:$G$26,0))="hours",INDEX('Rules'!$B$7:$B$26,MATCH(SUBSTITUTE(SUBSTITUTE(SUBSTITUTE(SUBSTITUTE("type:"&amp;B1469,"%","%25"),"~","%7E"),"*","%2A"),"?","%3F"),'Rules'!$G$7:$G$26,0))="km"),INDEX('Rules'!$B$7:$B$26,MATCH(SUBSTITUTE(SUBSTITUTE(SUBSTITUTE(SUBSTITUTE("type:"&amp;B1469,"%","%25"),"~","%7E"),"*","%2A"),"?","%3F"),'Rules'!$G$7:$G$26,0)),""))</x:f>
      </x:c>
      <x:c r="I1469" s="6" t="str">
        <x:f>IF(AND(NOT(COUNTA(A1469:F1469)=0),K1469=""),ROUND(J1469-D1469,3),"")</x:f>
      </x:c>
      <x:c r="J1469" s="6" t="str">
        <x:f>IF(AND(NOT(COUNTA(A1469:F1469)=0),K1469=""),ROUND(F1469+L1469,3),"")</x:f>
      </x:c>
      <x:c r="K1469" s="5" t="str">
        <x:f>IF(COUNTA(A1469:F1469)=0,"",IF(A1469="","Missing equipment ID",IF(COUNTIFS($N$8:$N$2007,"="&amp;N1469)&gt;1,"Duplicate equipment ID",IF(B1469="","Missing type",IF(COUNTIFS('Rules'!$G$7:$G$26,"="&amp;(SUBSTITUTE(SUBSTITUTE(SUBSTITUTE(SUBSTITUTE("type:"&amp;B1469,"%","%25"),"~","%7E"),"*","%2A"),"?","%3F")))=0,"Unknown type",IF(COUNTIFS('Rules'!$G$7:$G$26,"="&amp;(SUBSTITUTE(SUBSTITUTE(SUBSTITUTE(SUBSTITUTE("type:"&amp;B1469,"%","%25"),"~","%7E"),"*","%2A"),"?","%3F")))&gt;1,"Duplicate type",IF(INDEX('Rules'!$F$7:$F$26,MATCH(SUBSTITUTE(SUBSTITUTE(SUBSTITUTE(SUBSTITUTE("type:"&amp;B1469,"%","%25"),"~","%7E"),"*","%2A"),"?","%3F"),'Rules'!$G$7:$G$26,0))&lt;&gt;"",INDEX('Rules'!$F$7:$F$26,MATCH(SUBSTITUTE(SUBSTITUTE(SUBSTITUTE(SUBSTITUTE("type:"&amp;B1469,"%","%25"),"~","%7E"),"*","%2A"),"?","%3F"),'Rules'!$G$7:$G$26,0)),IF(AND(C1469&lt;&gt;"",C1469&lt;&gt;INDEX('Rules'!$B$7:$B$26,MATCH(SUBSTITUTE(SUBSTITUTE(SUBSTITUTE(SUBSTITUTE("type:"&amp;B1469,"%","%25"),"~","%7E"),"*","%2A"),"?","%3F"),'Rules'!$G$7:$G$26,0))),"Unit mismatch",IF(IF(NOT(ISNUMBER(D1469)),TRUE,OR(D1469&lt;0,D1469&gt;999999999,ROUND(D1469,3)&lt;&gt;D1469)),"Invalid current reading",IF(AND(E1469&lt;&gt;"",IF(NOT(ISNUMBER(E1469)),TRUE,OR(E1469&lt;0,E1469&gt;999999999,ROUND(E1469,3)&lt;&gt;E1469))),"Invalid previous reading",IF(IF(NOT(ISNUMBER(F1469)),TRUE,OR(F1469&lt;0,F1469&gt;999999999,ROUND(F1469,3)&lt;&gt;F1469)),"Invalid last service",IF(AND(E1469&lt;&gt;"",D1469&lt;E1469),"Decreased reading",IF(F1469&gt;D1469,"Last service above current","")))))))))))))</x:f>
      </x:c>
      <x:c r="L1469" s="6" t="str">
        <x:f>IF(AND(NOT(COUNTA(A1469:F1469)=0),K1469=""),INDEX('Rules'!$C$7:$C$26,MATCH(SUBSTITUTE(SUBSTITUTE(SUBSTITUTE(SUBSTITUTE("type:"&amp;B1469,"%","%25"),"~","%7E"),"*","%2A"),"?","%3F"),'Rules'!$G$7:$G$26,0)),"")</x:f>
      </x:c>
      <x:c r="M1469" s="6" t="str">
        <x:f>IF(AND(NOT(COUNTA(A1469:F1469)=0),K1469=""),INDEX('Rules'!$D$7:$D$26,MATCH(SUBSTITUTE(SUBSTITUTE(SUBSTITUTE(SUBSTITUTE("type:"&amp;B1469,"%","%25"),"~","%7E"),"*","%2A"),"?","%3F"),'Rules'!$G$7:$G$26,0)),"")</x:f>
      </x:c>
      <x:c r="N1469" s="5" t="str">
        <x:f>IF(COUNTA(A1469:F1469)=0,"",SUBSTITUTE(SUBSTITUTE(SUBSTITUTE(SUBSTITUTE("id:"&amp;A1469,"%","%25"),"~","%7E"),"*","%2A"),"?","%3F"))</x:f>
      </x:c>
    </x:row>
    <x:row r="1470" ht="22" customHeight="1">
      <x:c r="A1470" s="3"/>
      <x:c r="B1470" s="3"/>
      <x:c r="C1470" s="3"/>
      <x:c r="D1470" s="4"/>
      <x:c r="E1470" s="4"/>
      <x:c r="F1470" s="4"/>
      <x:c r="G1470" s="5" t="str">
        <x:f>IF(COUNTA(A1470:F1470)=0,"",IF(K1470&lt;&gt;"","Review",IF(I1470&lt;0,"Overdue",IF(I1470=0,"Due now",IF(I1470&lt;=M1470,"Due soon","Not due")))))</x:f>
      </x:c>
      <x:c r="H1470" s="5" t="str">
        <x:f>IF(OR(COUNTA(A1470:F1470)=0,COUNTIFS('Rules'!$G$7:$G$26,"="&amp;(SUBSTITUTE(SUBSTITUTE(SUBSTITUTE(SUBSTITUTE("type:"&amp;B1470,"%","%25"),"~","%7E"),"*","%2A"),"?","%3F")))&lt;&gt;1),"",IF(OR(INDEX('Rules'!$B$7:$B$26,MATCH(SUBSTITUTE(SUBSTITUTE(SUBSTITUTE(SUBSTITUTE("type:"&amp;B1470,"%","%25"),"~","%7E"),"*","%2A"),"?","%3F"),'Rules'!$G$7:$G$26,0))="hours",INDEX('Rules'!$B$7:$B$26,MATCH(SUBSTITUTE(SUBSTITUTE(SUBSTITUTE(SUBSTITUTE("type:"&amp;B1470,"%","%25"),"~","%7E"),"*","%2A"),"?","%3F"),'Rules'!$G$7:$G$26,0))="km"),INDEX('Rules'!$B$7:$B$26,MATCH(SUBSTITUTE(SUBSTITUTE(SUBSTITUTE(SUBSTITUTE("type:"&amp;B1470,"%","%25"),"~","%7E"),"*","%2A"),"?","%3F"),'Rules'!$G$7:$G$26,0)),""))</x:f>
      </x:c>
      <x:c r="I1470" s="6" t="str">
        <x:f>IF(AND(NOT(COUNTA(A1470:F1470)=0),K1470=""),ROUND(J1470-D1470,3),"")</x:f>
      </x:c>
      <x:c r="J1470" s="6" t="str">
        <x:f>IF(AND(NOT(COUNTA(A1470:F1470)=0),K1470=""),ROUND(F1470+L1470,3),"")</x:f>
      </x:c>
      <x:c r="K1470" s="5" t="str">
        <x:f>IF(COUNTA(A1470:F1470)=0,"",IF(A1470="","Missing equipment ID",IF(COUNTIFS($N$8:$N$2007,"="&amp;N1470)&gt;1,"Duplicate equipment ID",IF(B1470="","Missing type",IF(COUNTIFS('Rules'!$G$7:$G$26,"="&amp;(SUBSTITUTE(SUBSTITUTE(SUBSTITUTE(SUBSTITUTE("type:"&amp;B1470,"%","%25"),"~","%7E"),"*","%2A"),"?","%3F")))=0,"Unknown type",IF(COUNTIFS('Rules'!$G$7:$G$26,"="&amp;(SUBSTITUTE(SUBSTITUTE(SUBSTITUTE(SUBSTITUTE("type:"&amp;B1470,"%","%25"),"~","%7E"),"*","%2A"),"?","%3F")))&gt;1,"Duplicate type",IF(INDEX('Rules'!$F$7:$F$26,MATCH(SUBSTITUTE(SUBSTITUTE(SUBSTITUTE(SUBSTITUTE("type:"&amp;B1470,"%","%25"),"~","%7E"),"*","%2A"),"?","%3F"),'Rules'!$G$7:$G$26,0))&lt;&gt;"",INDEX('Rules'!$F$7:$F$26,MATCH(SUBSTITUTE(SUBSTITUTE(SUBSTITUTE(SUBSTITUTE("type:"&amp;B1470,"%","%25"),"~","%7E"),"*","%2A"),"?","%3F"),'Rules'!$G$7:$G$26,0)),IF(AND(C1470&lt;&gt;"",C1470&lt;&gt;INDEX('Rules'!$B$7:$B$26,MATCH(SUBSTITUTE(SUBSTITUTE(SUBSTITUTE(SUBSTITUTE("type:"&amp;B1470,"%","%25"),"~","%7E"),"*","%2A"),"?","%3F"),'Rules'!$G$7:$G$26,0))),"Unit mismatch",IF(IF(NOT(ISNUMBER(D1470)),TRUE,OR(D1470&lt;0,D1470&gt;999999999,ROUND(D1470,3)&lt;&gt;D1470)),"Invalid current reading",IF(AND(E1470&lt;&gt;"",IF(NOT(ISNUMBER(E1470)),TRUE,OR(E1470&lt;0,E1470&gt;999999999,ROUND(E1470,3)&lt;&gt;E1470))),"Invalid previous reading",IF(IF(NOT(ISNUMBER(F1470)),TRUE,OR(F1470&lt;0,F1470&gt;999999999,ROUND(F1470,3)&lt;&gt;F1470)),"Invalid last service",IF(AND(E1470&lt;&gt;"",D1470&lt;E1470),"Decreased reading",IF(F1470&gt;D1470,"Last service above current","")))))))))))))</x:f>
      </x:c>
      <x:c r="L1470" s="6" t="str">
        <x:f>IF(AND(NOT(COUNTA(A1470:F1470)=0),K1470=""),INDEX('Rules'!$C$7:$C$26,MATCH(SUBSTITUTE(SUBSTITUTE(SUBSTITUTE(SUBSTITUTE("type:"&amp;B1470,"%","%25"),"~","%7E"),"*","%2A"),"?","%3F"),'Rules'!$G$7:$G$26,0)),"")</x:f>
      </x:c>
      <x:c r="M1470" s="6" t="str">
        <x:f>IF(AND(NOT(COUNTA(A1470:F1470)=0),K1470=""),INDEX('Rules'!$D$7:$D$26,MATCH(SUBSTITUTE(SUBSTITUTE(SUBSTITUTE(SUBSTITUTE("type:"&amp;B1470,"%","%25"),"~","%7E"),"*","%2A"),"?","%3F"),'Rules'!$G$7:$G$26,0)),"")</x:f>
      </x:c>
      <x:c r="N1470" s="5" t="str">
        <x:f>IF(COUNTA(A1470:F1470)=0,"",SUBSTITUTE(SUBSTITUTE(SUBSTITUTE(SUBSTITUTE("id:"&amp;A1470,"%","%25"),"~","%7E"),"*","%2A"),"?","%3F"))</x:f>
      </x:c>
    </x:row>
    <x:row r="1471" ht="22" customHeight="1">
      <x:c r="A1471" s="3"/>
      <x:c r="B1471" s="3"/>
      <x:c r="C1471" s="3"/>
      <x:c r="D1471" s="4"/>
      <x:c r="E1471" s="4"/>
      <x:c r="F1471" s="4"/>
      <x:c r="G1471" s="5" t="str">
        <x:f>IF(COUNTA(A1471:F1471)=0,"",IF(K1471&lt;&gt;"","Review",IF(I1471&lt;0,"Overdue",IF(I1471=0,"Due now",IF(I1471&lt;=M1471,"Due soon","Not due")))))</x:f>
      </x:c>
      <x:c r="H1471" s="5" t="str">
        <x:f>IF(OR(COUNTA(A1471:F1471)=0,COUNTIFS('Rules'!$G$7:$G$26,"="&amp;(SUBSTITUTE(SUBSTITUTE(SUBSTITUTE(SUBSTITUTE("type:"&amp;B1471,"%","%25"),"~","%7E"),"*","%2A"),"?","%3F")))&lt;&gt;1),"",IF(OR(INDEX('Rules'!$B$7:$B$26,MATCH(SUBSTITUTE(SUBSTITUTE(SUBSTITUTE(SUBSTITUTE("type:"&amp;B1471,"%","%25"),"~","%7E"),"*","%2A"),"?","%3F"),'Rules'!$G$7:$G$26,0))="hours",INDEX('Rules'!$B$7:$B$26,MATCH(SUBSTITUTE(SUBSTITUTE(SUBSTITUTE(SUBSTITUTE("type:"&amp;B1471,"%","%25"),"~","%7E"),"*","%2A"),"?","%3F"),'Rules'!$G$7:$G$26,0))="km"),INDEX('Rules'!$B$7:$B$26,MATCH(SUBSTITUTE(SUBSTITUTE(SUBSTITUTE(SUBSTITUTE("type:"&amp;B1471,"%","%25"),"~","%7E"),"*","%2A"),"?","%3F"),'Rules'!$G$7:$G$26,0)),""))</x:f>
      </x:c>
      <x:c r="I1471" s="6" t="str">
        <x:f>IF(AND(NOT(COUNTA(A1471:F1471)=0),K1471=""),ROUND(J1471-D1471,3),"")</x:f>
      </x:c>
      <x:c r="J1471" s="6" t="str">
        <x:f>IF(AND(NOT(COUNTA(A1471:F1471)=0),K1471=""),ROUND(F1471+L1471,3),"")</x:f>
      </x:c>
      <x:c r="K1471" s="5" t="str">
        <x:f>IF(COUNTA(A1471:F1471)=0,"",IF(A1471="","Missing equipment ID",IF(COUNTIFS($N$8:$N$2007,"="&amp;N1471)&gt;1,"Duplicate equipment ID",IF(B1471="","Missing type",IF(COUNTIFS('Rules'!$G$7:$G$26,"="&amp;(SUBSTITUTE(SUBSTITUTE(SUBSTITUTE(SUBSTITUTE("type:"&amp;B1471,"%","%25"),"~","%7E"),"*","%2A"),"?","%3F")))=0,"Unknown type",IF(COUNTIFS('Rules'!$G$7:$G$26,"="&amp;(SUBSTITUTE(SUBSTITUTE(SUBSTITUTE(SUBSTITUTE("type:"&amp;B1471,"%","%25"),"~","%7E"),"*","%2A"),"?","%3F")))&gt;1,"Duplicate type",IF(INDEX('Rules'!$F$7:$F$26,MATCH(SUBSTITUTE(SUBSTITUTE(SUBSTITUTE(SUBSTITUTE("type:"&amp;B1471,"%","%25"),"~","%7E"),"*","%2A"),"?","%3F"),'Rules'!$G$7:$G$26,0))&lt;&gt;"",INDEX('Rules'!$F$7:$F$26,MATCH(SUBSTITUTE(SUBSTITUTE(SUBSTITUTE(SUBSTITUTE("type:"&amp;B1471,"%","%25"),"~","%7E"),"*","%2A"),"?","%3F"),'Rules'!$G$7:$G$26,0)),IF(AND(C1471&lt;&gt;"",C1471&lt;&gt;INDEX('Rules'!$B$7:$B$26,MATCH(SUBSTITUTE(SUBSTITUTE(SUBSTITUTE(SUBSTITUTE("type:"&amp;B1471,"%","%25"),"~","%7E"),"*","%2A"),"?","%3F"),'Rules'!$G$7:$G$26,0))),"Unit mismatch",IF(IF(NOT(ISNUMBER(D1471)),TRUE,OR(D1471&lt;0,D1471&gt;999999999,ROUND(D1471,3)&lt;&gt;D1471)),"Invalid current reading",IF(AND(E1471&lt;&gt;"",IF(NOT(ISNUMBER(E1471)),TRUE,OR(E1471&lt;0,E1471&gt;999999999,ROUND(E1471,3)&lt;&gt;E1471))),"Invalid previous reading",IF(IF(NOT(ISNUMBER(F1471)),TRUE,OR(F1471&lt;0,F1471&gt;999999999,ROUND(F1471,3)&lt;&gt;F1471)),"Invalid last service",IF(AND(E1471&lt;&gt;"",D1471&lt;E1471),"Decreased reading",IF(F1471&gt;D1471,"Last service above current","")))))))))))))</x:f>
      </x:c>
      <x:c r="L1471" s="6" t="str">
        <x:f>IF(AND(NOT(COUNTA(A1471:F1471)=0),K1471=""),INDEX('Rules'!$C$7:$C$26,MATCH(SUBSTITUTE(SUBSTITUTE(SUBSTITUTE(SUBSTITUTE("type:"&amp;B1471,"%","%25"),"~","%7E"),"*","%2A"),"?","%3F"),'Rules'!$G$7:$G$26,0)),"")</x:f>
      </x:c>
      <x:c r="M1471" s="6" t="str">
        <x:f>IF(AND(NOT(COUNTA(A1471:F1471)=0),K1471=""),INDEX('Rules'!$D$7:$D$26,MATCH(SUBSTITUTE(SUBSTITUTE(SUBSTITUTE(SUBSTITUTE("type:"&amp;B1471,"%","%25"),"~","%7E"),"*","%2A"),"?","%3F"),'Rules'!$G$7:$G$26,0)),"")</x:f>
      </x:c>
      <x:c r="N1471" s="5" t="str">
        <x:f>IF(COUNTA(A1471:F1471)=0,"",SUBSTITUTE(SUBSTITUTE(SUBSTITUTE(SUBSTITUTE("id:"&amp;A1471,"%","%25"),"~","%7E"),"*","%2A"),"?","%3F"))</x:f>
      </x:c>
    </x:row>
    <x:row r="1472" ht="22" customHeight="1">
      <x:c r="A1472" s="3"/>
      <x:c r="B1472" s="3"/>
      <x:c r="C1472" s="3"/>
      <x:c r="D1472" s="4"/>
      <x:c r="E1472" s="4"/>
      <x:c r="F1472" s="4"/>
      <x:c r="G1472" s="5" t="str">
        <x:f>IF(COUNTA(A1472:F1472)=0,"",IF(K1472&lt;&gt;"","Review",IF(I1472&lt;0,"Overdue",IF(I1472=0,"Due now",IF(I1472&lt;=M1472,"Due soon","Not due")))))</x:f>
      </x:c>
      <x:c r="H1472" s="5" t="str">
        <x:f>IF(OR(COUNTA(A1472:F1472)=0,COUNTIFS('Rules'!$G$7:$G$26,"="&amp;(SUBSTITUTE(SUBSTITUTE(SUBSTITUTE(SUBSTITUTE("type:"&amp;B1472,"%","%25"),"~","%7E"),"*","%2A"),"?","%3F")))&lt;&gt;1),"",IF(OR(INDEX('Rules'!$B$7:$B$26,MATCH(SUBSTITUTE(SUBSTITUTE(SUBSTITUTE(SUBSTITUTE("type:"&amp;B1472,"%","%25"),"~","%7E"),"*","%2A"),"?","%3F"),'Rules'!$G$7:$G$26,0))="hours",INDEX('Rules'!$B$7:$B$26,MATCH(SUBSTITUTE(SUBSTITUTE(SUBSTITUTE(SUBSTITUTE("type:"&amp;B1472,"%","%25"),"~","%7E"),"*","%2A"),"?","%3F"),'Rules'!$G$7:$G$26,0))="km"),INDEX('Rules'!$B$7:$B$26,MATCH(SUBSTITUTE(SUBSTITUTE(SUBSTITUTE(SUBSTITUTE("type:"&amp;B1472,"%","%25"),"~","%7E"),"*","%2A"),"?","%3F"),'Rules'!$G$7:$G$26,0)),""))</x:f>
      </x:c>
      <x:c r="I1472" s="6" t="str">
        <x:f>IF(AND(NOT(COUNTA(A1472:F1472)=0),K1472=""),ROUND(J1472-D1472,3),"")</x:f>
      </x:c>
      <x:c r="J1472" s="6" t="str">
        <x:f>IF(AND(NOT(COUNTA(A1472:F1472)=0),K1472=""),ROUND(F1472+L1472,3),"")</x:f>
      </x:c>
      <x:c r="K1472" s="5" t="str">
        <x:f>IF(COUNTA(A1472:F1472)=0,"",IF(A1472="","Missing equipment ID",IF(COUNTIFS($N$8:$N$2007,"="&amp;N1472)&gt;1,"Duplicate equipment ID",IF(B1472="","Missing type",IF(COUNTIFS('Rules'!$G$7:$G$26,"="&amp;(SUBSTITUTE(SUBSTITUTE(SUBSTITUTE(SUBSTITUTE("type:"&amp;B1472,"%","%25"),"~","%7E"),"*","%2A"),"?","%3F")))=0,"Unknown type",IF(COUNTIFS('Rules'!$G$7:$G$26,"="&amp;(SUBSTITUTE(SUBSTITUTE(SUBSTITUTE(SUBSTITUTE("type:"&amp;B1472,"%","%25"),"~","%7E"),"*","%2A"),"?","%3F")))&gt;1,"Duplicate type",IF(INDEX('Rules'!$F$7:$F$26,MATCH(SUBSTITUTE(SUBSTITUTE(SUBSTITUTE(SUBSTITUTE("type:"&amp;B1472,"%","%25"),"~","%7E"),"*","%2A"),"?","%3F"),'Rules'!$G$7:$G$26,0))&lt;&gt;"",INDEX('Rules'!$F$7:$F$26,MATCH(SUBSTITUTE(SUBSTITUTE(SUBSTITUTE(SUBSTITUTE("type:"&amp;B1472,"%","%25"),"~","%7E"),"*","%2A"),"?","%3F"),'Rules'!$G$7:$G$26,0)),IF(AND(C1472&lt;&gt;"",C1472&lt;&gt;INDEX('Rules'!$B$7:$B$26,MATCH(SUBSTITUTE(SUBSTITUTE(SUBSTITUTE(SUBSTITUTE("type:"&amp;B1472,"%","%25"),"~","%7E"),"*","%2A"),"?","%3F"),'Rules'!$G$7:$G$26,0))),"Unit mismatch",IF(IF(NOT(ISNUMBER(D1472)),TRUE,OR(D1472&lt;0,D1472&gt;999999999,ROUND(D1472,3)&lt;&gt;D1472)),"Invalid current reading",IF(AND(E1472&lt;&gt;"",IF(NOT(ISNUMBER(E1472)),TRUE,OR(E1472&lt;0,E1472&gt;999999999,ROUND(E1472,3)&lt;&gt;E1472))),"Invalid previous reading",IF(IF(NOT(ISNUMBER(F1472)),TRUE,OR(F1472&lt;0,F1472&gt;999999999,ROUND(F1472,3)&lt;&gt;F1472)),"Invalid last service",IF(AND(E1472&lt;&gt;"",D1472&lt;E1472),"Decreased reading",IF(F1472&gt;D1472,"Last service above current","")))))))))))))</x:f>
      </x:c>
      <x:c r="L1472" s="6" t="str">
        <x:f>IF(AND(NOT(COUNTA(A1472:F1472)=0),K1472=""),INDEX('Rules'!$C$7:$C$26,MATCH(SUBSTITUTE(SUBSTITUTE(SUBSTITUTE(SUBSTITUTE("type:"&amp;B1472,"%","%25"),"~","%7E"),"*","%2A"),"?","%3F"),'Rules'!$G$7:$G$26,0)),"")</x:f>
      </x:c>
      <x:c r="M1472" s="6" t="str">
        <x:f>IF(AND(NOT(COUNTA(A1472:F1472)=0),K1472=""),INDEX('Rules'!$D$7:$D$26,MATCH(SUBSTITUTE(SUBSTITUTE(SUBSTITUTE(SUBSTITUTE("type:"&amp;B1472,"%","%25"),"~","%7E"),"*","%2A"),"?","%3F"),'Rules'!$G$7:$G$26,0)),"")</x:f>
      </x:c>
      <x:c r="N1472" s="5" t="str">
        <x:f>IF(COUNTA(A1472:F1472)=0,"",SUBSTITUTE(SUBSTITUTE(SUBSTITUTE(SUBSTITUTE("id:"&amp;A1472,"%","%25"),"~","%7E"),"*","%2A"),"?","%3F"))</x:f>
      </x:c>
    </x:row>
    <x:row r="1473" ht="22" customHeight="1">
      <x:c r="A1473" s="3"/>
      <x:c r="B1473" s="3"/>
      <x:c r="C1473" s="3"/>
      <x:c r="D1473" s="4"/>
      <x:c r="E1473" s="4"/>
      <x:c r="F1473" s="4"/>
      <x:c r="G1473" s="5" t="str">
        <x:f>IF(COUNTA(A1473:F1473)=0,"",IF(K1473&lt;&gt;"","Review",IF(I1473&lt;0,"Overdue",IF(I1473=0,"Due now",IF(I1473&lt;=M1473,"Due soon","Not due")))))</x:f>
      </x:c>
      <x:c r="H1473" s="5" t="str">
        <x:f>IF(OR(COUNTA(A1473:F1473)=0,COUNTIFS('Rules'!$G$7:$G$26,"="&amp;(SUBSTITUTE(SUBSTITUTE(SUBSTITUTE(SUBSTITUTE("type:"&amp;B1473,"%","%25"),"~","%7E"),"*","%2A"),"?","%3F")))&lt;&gt;1),"",IF(OR(INDEX('Rules'!$B$7:$B$26,MATCH(SUBSTITUTE(SUBSTITUTE(SUBSTITUTE(SUBSTITUTE("type:"&amp;B1473,"%","%25"),"~","%7E"),"*","%2A"),"?","%3F"),'Rules'!$G$7:$G$26,0))="hours",INDEX('Rules'!$B$7:$B$26,MATCH(SUBSTITUTE(SUBSTITUTE(SUBSTITUTE(SUBSTITUTE("type:"&amp;B1473,"%","%25"),"~","%7E"),"*","%2A"),"?","%3F"),'Rules'!$G$7:$G$26,0))="km"),INDEX('Rules'!$B$7:$B$26,MATCH(SUBSTITUTE(SUBSTITUTE(SUBSTITUTE(SUBSTITUTE("type:"&amp;B1473,"%","%25"),"~","%7E"),"*","%2A"),"?","%3F"),'Rules'!$G$7:$G$26,0)),""))</x:f>
      </x:c>
      <x:c r="I1473" s="6" t="str">
        <x:f>IF(AND(NOT(COUNTA(A1473:F1473)=0),K1473=""),ROUND(J1473-D1473,3),"")</x:f>
      </x:c>
      <x:c r="J1473" s="6" t="str">
        <x:f>IF(AND(NOT(COUNTA(A1473:F1473)=0),K1473=""),ROUND(F1473+L1473,3),"")</x:f>
      </x:c>
      <x:c r="K1473" s="5" t="str">
        <x:f>IF(COUNTA(A1473:F1473)=0,"",IF(A1473="","Missing equipment ID",IF(COUNTIFS($N$8:$N$2007,"="&amp;N1473)&gt;1,"Duplicate equipment ID",IF(B1473="","Missing type",IF(COUNTIFS('Rules'!$G$7:$G$26,"="&amp;(SUBSTITUTE(SUBSTITUTE(SUBSTITUTE(SUBSTITUTE("type:"&amp;B1473,"%","%25"),"~","%7E"),"*","%2A"),"?","%3F")))=0,"Unknown type",IF(COUNTIFS('Rules'!$G$7:$G$26,"="&amp;(SUBSTITUTE(SUBSTITUTE(SUBSTITUTE(SUBSTITUTE("type:"&amp;B1473,"%","%25"),"~","%7E"),"*","%2A"),"?","%3F")))&gt;1,"Duplicate type",IF(INDEX('Rules'!$F$7:$F$26,MATCH(SUBSTITUTE(SUBSTITUTE(SUBSTITUTE(SUBSTITUTE("type:"&amp;B1473,"%","%25"),"~","%7E"),"*","%2A"),"?","%3F"),'Rules'!$G$7:$G$26,0))&lt;&gt;"",INDEX('Rules'!$F$7:$F$26,MATCH(SUBSTITUTE(SUBSTITUTE(SUBSTITUTE(SUBSTITUTE("type:"&amp;B1473,"%","%25"),"~","%7E"),"*","%2A"),"?","%3F"),'Rules'!$G$7:$G$26,0)),IF(AND(C1473&lt;&gt;"",C1473&lt;&gt;INDEX('Rules'!$B$7:$B$26,MATCH(SUBSTITUTE(SUBSTITUTE(SUBSTITUTE(SUBSTITUTE("type:"&amp;B1473,"%","%25"),"~","%7E"),"*","%2A"),"?","%3F"),'Rules'!$G$7:$G$26,0))),"Unit mismatch",IF(IF(NOT(ISNUMBER(D1473)),TRUE,OR(D1473&lt;0,D1473&gt;999999999,ROUND(D1473,3)&lt;&gt;D1473)),"Invalid current reading",IF(AND(E1473&lt;&gt;"",IF(NOT(ISNUMBER(E1473)),TRUE,OR(E1473&lt;0,E1473&gt;999999999,ROUND(E1473,3)&lt;&gt;E1473))),"Invalid previous reading",IF(IF(NOT(ISNUMBER(F1473)),TRUE,OR(F1473&lt;0,F1473&gt;999999999,ROUND(F1473,3)&lt;&gt;F1473)),"Invalid last service",IF(AND(E1473&lt;&gt;"",D1473&lt;E1473),"Decreased reading",IF(F1473&gt;D1473,"Last service above current","")))))))))))))</x:f>
      </x:c>
      <x:c r="L1473" s="6" t="str">
        <x:f>IF(AND(NOT(COUNTA(A1473:F1473)=0),K1473=""),INDEX('Rules'!$C$7:$C$26,MATCH(SUBSTITUTE(SUBSTITUTE(SUBSTITUTE(SUBSTITUTE("type:"&amp;B1473,"%","%25"),"~","%7E"),"*","%2A"),"?","%3F"),'Rules'!$G$7:$G$26,0)),"")</x:f>
      </x:c>
      <x:c r="M1473" s="6" t="str">
        <x:f>IF(AND(NOT(COUNTA(A1473:F1473)=0),K1473=""),INDEX('Rules'!$D$7:$D$26,MATCH(SUBSTITUTE(SUBSTITUTE(SUBSTITUTE(SUBSTITUTE("type:"&amp;B1473,"%","%25"),"~","%7E"),"*","%2A"),"?","%3F"),'Rules'!$G$7:$G$26,0)),"")</x:f>
      </x:c>
      <x:c r="N1473" s="5" t="str">
        <x:f>IF(COUNTA(A1473:F1473)=0,"",SUBSTITUTE(SUBSTITUTE(SUBSTITUTE(SUBSTITUTE("id:"&amp;A1473,"%","%25"),"~","%7E"),"*","%2A"),"?","%3F"))</x:f>
      </x:c>
    </x:row>
    <x:row r="1474" ht="22" customHeight="1">
      <x:c r="A1474" s="3"/>
      <x:c r="B1474" s="3"/>
      <x:c r="C1474" s="3"/>
      <x:c r="D1474" s="4"/>
      <x:c r="E1474" s="4"/>
      <x:c r="F1474" s="4"/>
      <x:c r="G1474" s="5" t="str">
        <x:f>IF(COUNTA(A1474:F1474)=0,"",IF(K1474&lt;&gt;"","Review",IF(I1474&lt;0,"Overdue",IF(I1474=0,"Due now",IF(I1474&lt;=M1474,"Due soon","Not due")))))</x:f>
      </x:c>
      <x:c r="H1474" s="5" t="str">
        <x:f>IF(OR(COUNTA(A1474:F1474)=0,COUNTIFS('Rules'!$G$7:$G$26,"="&amp;(SUBSTITUTE(SUBSTITUTE(SUBSTITUTE(SUBSTITUTE("type:"&amp;B1474,"%","%25"),"~","%7E"),"*","%2A"),"?","%3F")))&lt;&gt;1),"",IF(OR(INDEX('Rules'!$B$7:$B$26,MATCH(SUBSTITUTE(SUBSTITUTE(SUBSTITUTE(SUBSTITUTE("type:"&amp;B1474,"%","%25"),"~","%7E"),"*","%2A"),"?","%3F"),'Rules'!$G$7:$G$26,0))="hours",INDEX('Rules'!$B$7:$B$26,MATCH(SUBSTITUTE(SUBSTITUTE(SUBSTITUTE(SUBSTITUTE("type:"&amp;B1474,"%","%25"),"~","%7E"),"*","%2A"),"?","%3F"),'Rules'!$G$7:$G$26,0))="km"),INDEX('Rules'!$B$7:$B$26,MATCH(SUBSTITUTE(SUBSTITUTE(SUBSTITUTE(SUBSTITUTE("type:"&amp;B1474,"%","%25"),"~","%7E"),"*","%2A"),"?","%3F"),'Rules'!$G$7:$G$26,0)),""))</x:f>
      </x:c>
      <x:c r="I1474" s="6" t="str">
        <x:f>IF(AND(NOT(COUNTA(A1474:F1474)=0),K1474=""),ROUND(J1474-D1474,3),"")</x:f>
      </x:c>
      <x:c r="J1474" s="6" t="str">
        <x:f>IF(AND(NOT(COUNTA(A1474:F1474)=0),K1474=""),ROUND(F1474+L1474,3),"")</x:f>
      </x:c>
      <x:c r="K1474" s="5" t="str">
        <x:f>IF(COUNTA(A1474:F1474)=0,"",IF(A1474="","Missing equipment ID",IF(COUNTIFS($N$8:$N$2007,"="&amp;N1474)&gt;1,"Duplicate equipment ID",IF(B1474="","Missing type",IF(COUNTIFS('Rules'!$G$7:$G$26,"="&amp;(SUBSTITUTE(SUBSTITUTE(SUBSTITUTE(SUBSTITUTE("type:"&amp;B1474,"%","%25"),"~","%7E"),"*","%2A"),"?","%3F")))=0,"Unknown type",IF(COUNTIFS('Rules'!$G$7:$G$26,"="&amp;(SUBSTITUTE(SUBSTITUTE(SUBSTITUTE(SUBSTITUTE("type:"&amp;B1474,"%","%25"),"~","%7E"),"*","%2A"),"?","%3F")))&gt;1,"Duplicate type",IF(INDEX('Rules'!$F$7:$F$26,MATCH(SUBSTITUTE(SUBSTITUTE(SUBSTITUTE(SUBSTITUTE("type:"&amp;B1474,"%","%25"),"~","%7E"),"*","%2A"),"?","%3F"),'Rules'!$G$7:$G$26,0))&lt;&gt;"",INDEX('Rules'!$F$7:$F$26,MATCH(SUBSTITUTE(SUBSTITUTE(SUBSTITUTE(SUBSTITUTE("type:"&amp;B1474,"%","%25"),"~","%7E"),"*","%2A"),"?","%3F"),'Rules'!$G$7:$G$26,0)),IF(AND(C1474&lt;&gt;"",C1474&lt;&gt;INDEX('Rules'!$B$7:$B$26,MATCH(SUBSTITUTE(SUBSTITUTE(SUBSTITUTE(SUBSTITUTE("type:"&amp;B1474,"%","%25"),"~","%7E"),"*","%2A"),"?","%3F"),'Rules'!$G$7:$G$26,0))),"Unit mismatch",IF(IF(NOT(ISNUMBER(D1474)),TRUE,OR(D1474&lt;0,D1474&gt;999999999,ROUND(D1474,3)&lt;&gt;D1474)),"Invalid current reading",IF(AND(E1474&lt;&gt;"",IF(NOT(ISNUMBER(E1474)),TRUE,OR(E1474&lt;0,E1474&gt;999999999,ROUND(E1474,3)&lt;&gt;E1474))),"Invalid previous reading",IF(IF(NOT(ISNUMBER(F1474)),TRUE,OR(F1474&lt;0,F1474&gt;999999999,ROUND(F1474,3)&lt;&gt;F1474)),"Invalid last service",IF(AND(E1474&lt;&gt;"",D1474&lt;E1474),"Decreased reading",IF(F1474&gt;D1474,"Last service above current","")))))))))))))</x:f>
      </x:c>
      <x:c r="L1474" s="6" t="str">
        <x:f>IF(AND(NOT(COUNTA(A1474:F1474)=0),K1474=""),INDEX('Rules'!$C$7:$C$26,MATCH(SUBSTITUTE(SUBSTITUTE(SUBSTITUTE(SUBSTITUTE("type:"&amp;B1474,"%","%25"),"~","%7E"),"*","%2A"),"?","%3F"),'Rules'!$G$7:$G$26,0)),"")</x:f>
      </x:c>
      <x:c r="M1474" s="6" t="str">
        <x:f>IF(AND(NOT(COUNTA(A1474:F1474)=0),K1474=""),INDEX('Rules'!$D$7:$D$26,MATCH(SUBSTITUTE(SUBSTITUTE(SUBSTITUTE(SUBSTITUTE("type:"&amp;B1474,"%","%25"),"~","%7E"),"*","%2A"),"?","%3F"),'Rules'!$G$7:$G$26,0)),"")</x:f>
      </x:c>
      <x:c r="N1474" s="5" t="str">
        <x:f>IF(COUNTA(A1474:F1474)=0,"",SUBSTITUTE(SUBSTITUTE(SUBSTITUTE(SUBSTITUTE("id:"&amp;A1474,"%","%25"),"~","%7E"),"*","%2A"),"?","%3F"))</x:f>
      </x:c>
    </x:row>
    <x:row r="1475" ht="22" customHeight="1">
      <x:c r="A1475" s="3"/>
      <x:c r="B1475" s="3"/>
      <x:c r="C1475" s="3"/>
      <x:c r="D1475" s="4"/>
      <x:c r="E1475" s="4"/>
      <x:c r="F1475" s="4"/>
      <x:c r="G1475" s="5" t="str">
        <x:f>IF(COUNTA(A1475:F1475)=0,"",IF(K1475&lt;&gt;"","Review",IF(I1475&lt;0,"Overdue",IF(I1475=0,"Due now",IF(I1475&lt;=M1475,"Due soon","Not due")))))</x:f>
      </x:c>
      <x:c r="H1475" s="5" t="str">
        <x:f>IF(OR(COUNTA(A1475:F1475)=0,COUNTIFS('Rules'!$G$7:$G$26,"="&amp;(SUBSTITUTE(SUBSTITUTE(SUBSTITUTE(SUBSTITUTE("type:"&amp;B1475,"%","%25"),"~","%7E"),"*","%2A"),"?","%3F")))&lt;&gt;1),"",IF(OR(INDEX('Rules'!$B$7:$B$26,MATCH(SUBSTITUTE(SUBSTITUTE(SUBSTITUTE(SUBSTITUTE("type:"&amp;B1475,"%","%25"),"~","%7E"),"*","%2A"),"?","%3F"),'Rules'!$G$7:$G$26,0))="hours",INDEX('Rules'!$B$7:$B$26,MATCH(SUBSTITUTE(SUBSTITUTE(SUBSTITUTE(SUBSTITUTE("type:"&amp;B1475,"%","%25"),"~","%7E"),"*","%2A"),"?","%3F"),'Rules'!$G$7:$G$26,0))="km"),INDEX('Rules'!$B$7:$B$26,MATCH(SUBSTITUTE(SUBSTITUTE(SUBSTITUTE(SUBSTITUTE("type:"&amp;B1475,"%","%25"),"~","%7E"),"*","%2A"),"?","%3F"),'Rules'!$G$7:$G$26,0)),""))</x:f>
      </x:c>
      <x:c r="I1475" s="6" t="str">
        <x:f>IF(AND(NOT(COUNTA(A1475:F1475)=0),K1475=""),ROUND(J1475-D1475,3),"")</x:f>
      </x:c>
      <x:c r="J1475" s="6" t="str">
        <x:f>IF(AND(NOT(COUNTA(A1475:F1475)=0),K1475=""),ROUND(F1475+L1475,3),"")</x:f>
      </x:c>
      <x:c r="K1475" s="5" t="str">
        <x:f>IF(COUNTA(A1475:F1475)=0,"",IF(A1475="","Missing equipment ID",IF(COUNTIFS($N$8:$N$2007,"="&amp;N1475)&gt;1,"Duplicate equipment ID",IF(B1475="","Missing type",IF(COUNTIFS('Rules'!$G$7:$G$26,"="&amp;(SUBSTITUTE(SUBSTITUTE(SUBSTITUTE(SUBSTITUTE("type:"&amp;B1475,"%","%25"),"~","%7E"),"*","%2A"),"?","%3F")))=0,"Unknown type",IF(COUNTIFS('Rules'!$G$7:$G$26,"="&amp;(SUBSTITUTE(SUBSTITUTE(SUBSTITUTE(SUBSTITUTE("type:"&amp;B1475,"%","%25"),"~","%7E"),"*","%2A"),"?","%3F")))&gt;1,"Duplicate type",IF(INDEX('Rules'!$F$7:$F$26,MATCH(SUBSTITUTE(SUBSTITUTE(SUBSTITUTE(SUBSTITUTE("type:"&amp;B1475,"%","%25"),"~","%7E"),"*","%2A"),"?","%3F"),'Rules'!$G$7:$G$26,0))&lt;&gt;"",INDEX('Rules'!$F$7:$F$26,MATCH(SUBSTITUTE(SUBSTITUTE(SUBSTITUTE(SUBSTITUTE("type:"&amp;B1475,"%","%25"),"~","%7E"),"*","%2A"),"?","%3F"),'Rules'!$G$7:$G$26,0)),IF(AND(C1475&lt;&gt;"",C1475&lt;&gt;INDEX('Rules'!$B$7:$B$26,MATCH(SUBSTITUTE(SUBSTITUTE(SUBSTITUTE(SUBSTITUTE("type:"&amp;B1475,"%","%25"),"~","%7E"),"*","%2A"),"?","%3F"),'Rules'!$G$7:$G$26,0))),"Unit mismatch",IF(IF(NOT(ISNUMBER(D1475)),TRUE,OR(D1475&lt;0,D1475&gt;999999999,ROUND(D1475,3)&lt;&gt;D1475)),"Invalid current reading",IF(AND(E1475&lt;&gt;"",IF(NOT(ISNUMBER(E1475)),TRUE,OR(E1475&lt;0,E1475&gt;999999999,ROUND(E1475,3)&lt;&gt;E1475))),"Invalid previous reading",IF(IF(NOT(ISNUMBER(F1475)),TRUE,OR(F1475&lt;0,F1475&gt;999999999,ROUND(F1475,3)&lt;&gt;F1475)),"Invalid last service",IF(AND(E1475&lt;&gt;"",D1475&lt;E1475),"Decreased reading",IF(F1475&gt;D1475,"Last service above current","")))))))))))))</x:f>
      </x:c>
      <x:c r="L1475" s="6" t="str">
        <x:f>IF(AND(NOT(COUNTA(A1475:F1475)=0),K1475=""),INDEX('Rules'!$C$7:$C$26,MATCH(SUBSTITUTE(SUBSTITUTE(SUBSTITUTE(SUBSTITUTE("type:"&amp;B1475,"%","%25"),"~","%7E"),"*","%2A"),"?","%3F"),'Rules'!$G$7:$G$26,0)),"")</x:f>
      </x:c>
      <x:c r="M1475" s="6" t="str">
        <x:f>IF(AND(NOT(COUNTA(A1475:F1475)=0),K1475=""),INDEX('Rules'!$D$7:$D$26,MATCH(SUBSTITUTE(SUBSTITUTE(SUBSTITUTE(SUBSTITUTE("type:"&amp;B1475,"%","%25"),"~","%7E"),"*","%2A"),"?","%3F"),'Rules'!$G$7:$G$26,0)),"")</x:f>
      </x:c>
      <x:c r="N1475" s="5" t="str">
        <x:f>IF(COUNTA(A1475:F1475)=0,"",SUBSTITUTE(SUBSTITUTE(SUBSTITUTE(SUBSTITUTE("id:"&amp;A1475,"%","%25"),"~","%7E"),"*","%2A"),"?","%3F"))</x:f>
      </x:c>
    </x:row>
    <x:row r="1476" ht="22" customHeight="1">
      <x:c r="A1476" s="3"/>
      <x:c r="B1476" s="3"/>
      <x:c r="C1476" s="3"/>
      <x:c r="D1476" s="4"/>
      <x:c r="E1476" s="4"/>
      <x:c r="F1476" s="4"/>
      <x:c r="G1476" s="5" t="str">
        <x:f>IF(COUNTA(A1476:F1476)=0,"",IF(K1476&lt;&gt;"","Review",IF(I1476&lt;0,"Overdue",IF(I1476=0,"Due now",IF(I1476&lt;=M1476,"Due soon","Not due")))))</x:f>
      </x:c>
      <x:c r="H1476" s="5" t="str">
        <x:f>IF(OR(COUNTA(A1476:F1476)=0,COUNTIFS('Rules'!$G$7:$G$26,"="&amp;(SUBSTITUTE(SUBSTITUTE(SUBSTITUTE(SUBSTITUTE("type:"&amp;B1476,"%","%25"),"~","%7E"),"*","%2A"),"?","%3F")))&lt;&gt;1),"",IF(OR(INDEX('Rules'!$B$7:$B$26,MATCH(SUBSTITUTE(SUBSTITUTE(SUBSTITUTE(SUBSTITUTE("type:"&amp;B1476,"%","%25"),"~","%7E"),"*","%2A"),"?","%3F"),'Rules'!$G$7:$G$26,0))="hours",INDEX('Rules'!$B$7:$B$26,MATCH(SUBSTITUTE(SUBSTITUTE(SUBSTITUTE(SUBSTITUTE("type:"&amp;B1476,"%","%25"),"~","%7E"),"*","%2A"),"?","%3F"),'Rules'!$G$7:$G$26,0))="km"),INDEX('Rules'!$B$7:$B$26,MATCH(SUBSTITUTE(SUBSTITUTE(SUBSTITUTE(SUBSTITUTE("type:"&amp;B1476,"%","%25"),"~","%7E"),"*","%2A"),"?","%3F"),'Rules'!$G$7:$G$26,0)),""))</x:f>
      </x:c>
      <x:c r="I1476" s="6" t="str">
        <x:f>IF(AND(NOT(COUNTA(A1476:F1476)=0),K1476=""),ROUND(J1476-D1476,3),"")</x:f>
      </x:c>
      <x:c r="J1476" s="6" t="str">
        <x:f>IF(AND(NOT(COUNTA(A1476:F1476)=0),K1476=""),ROUND(F1476+L1476,3),"")</x:f>
      </x:c>
      <x:c r="K1476" s="5" t="str">
        <x:f>IF(COUNTA(A1476:F1476)=0,"",IF(A1476="","Missing equipment ID",IF(COUNTIFS($N$8:$N$2007,"="&amp;N1476)&gt;1,"Duplicate equipment ID",IF(B1476="","Missing type",IF(COUNTIFS('Rules'!$G$7:$G$26,"="&amp;(SUBSTITUTE(SUBSTITUTE(SUBSTITUTE(SUBSTITUTE("type:"&amp;B1476,"%","%25"),"~","%7E"),"*","%2A"),"?","%3F")))=0,"Unknown type",IF(COUNTIFS('Rules'!$G$7:$G$26,"="&amp;(SUBSTITUTE(SUBSTITUTE(SUBSTITUTE(SUBSTITUTE("type:"&amp;B1476,"%","%25"),"~","%7E"),"*","%2A"),"?","%3F")))&gt;1,"Duplicate type",IF(INDEX('Rules'!$F$7:$F$26,MATCH(SUBSTITUTE(SUBSTITUTE(SUBSTITUTE(SUBSTITUTE("type:"&amp;B1476,"%","%25"),"~","%7E"),"*","%2A"),"?","%3F"),'Rules'!$G$7:$G$26,0))&lt;&gt;"",INDEX('Rules'!$F$7:$F$26,MATCH(SUBSTITUTE(SUBSTITUTE(SUBSTITUTE(SUBSTITUTE("type:"&amp;B1476,"%","%25"),"~","%7E"),"*","%2A"),"?","%3F"),'Rules'!$G$7:$G$26,0)),IF(AND(C1476&lt;&gt;"",C1476&lt;&gt;INDEX('Rules'!$B$7:$B$26,MATCH(SUBSTITUTE(SUBSTITUTE(SUBSTITUTE(SUBSTITUTE("type:"&amp;B1476,"%","%25"),"~","%7E"),"*","%2A"),"?","%3F"),'Rules'!$G$7:$G$26,0))),"Unit mismatch",IF(IF(NOT(ISNUMBER(D1476)),TRUE,OR(D1476&lt;0,D1476&gt;999999999,ROUND(D1476,3)&lt;&gt;D1476)),"Invalid current reading",IF(AND(E1476&lt;&gt;"",IF(NOT(ISNUMBER(E1476)),TRUE,OR(E1476&lt;0,E1476&gt;999999999,ROUND(E1476,3)&lt;&gt;E1476))),"Invalid previous reading",IF(IF(NOT(ISNUMBER(F1476)),TRUE,OR(F1476&lt;0,F1476&gt;999999999,ROUND(F1476,3)&lt;&gt;F1476)),"Invalid last service",IF(AND(E1476&lt;&gt;"",D1476&lt;E1476),"Decreased reading",IF(F1476&gt;D1476,"Last service above current","")))))))))))))</x:f>
      </x:c>
      <x:c r="L1476" s="6" t="str">
        <x:f>IF(AND(NOT(COUNTA(A1476:F1476)=0),K1476=""),INDEX('Rules'!$C$7:$C$26,MATCH(SUBSTITUTE(SUBSTITUTE(SUBSTITUTE(SUBSTITUTE("type:"&amp;B1476,"%","%25"),"~","%7E"),"*","%2A"),"?","%3F"),'Rules'!$G$7:$G$26,0)),"")</x:f>
      </x:c>
      <x:c r="M1476" s="6" t="str">
        <x:f>IF(AND(NOT(COUNTA(A1476:F1476)=0),K1476=""),INDEX('Rules'!$D$7:$D$26,MATCH(SUBSTITUTE(SUBSTITUTE(SUBSTITUTE(SUBSTITUTE("type:"&amp;B1476,"%","%25"),"~","%7E"),"*","%2A"),"?","%3F"),'Rules'!$G$7:$G$26,0)),"")</x:f>
      </x:c>
      <x:c r="N1476" s="5" t="str">
        <x:f>IF(COUNTA(A1476:F1476)=0,"",SUBSTITUTE(SUBSTITUTE(SUBSTITUTE(SUBSTITUTE("id:"&amp;A1476,"%","%25"),"~","%7E"),"*","%2A"),"?","%3F"))</x:f>
      </x:c>
    </x:row>
    <x:row r="1477" ht="22" customHeight="1">
      <x:c r="A1477" s="3"/>
      <x:c r="B1477" s="3"/>
      <x:c r="C1477" s="3"/>
      <x:c r="D1477" s="4"/>
      <x:c r="E1477" s="4"/>
      <x:c r="F1477" s="4"/>
      <x:c r="G1477" s="5" t="str">
        <x:f>IF(COUNTA(A1477:F1477)=0,"",IF(K1477&lt;&gt;"","Review",IF(I1477&lt;0,"Overdue",IF(I1477=0,"Due now",IF(I1477&lt;=M1477,"Due soon","Not due")))))</x:f>
      </x:c>
      <x:c r="H1477" s="5" t="str">
        <x:f>IF(OR(COUNTA(A1477:F1477)=0,COUNTIFS('Rules'!$G$7:$G$26,"="&amp;(SUBSTITUTE(SUBSTITUTE(SUBSTITUTE(SUBSTITUTE("type:"&amp;B1477,"%","%25"),"~","%7E"),"*","%2A"),"?","%3F")))&lt;&gt;1),"",IF(OR(INDEX('Rules'!$B$7:$B$26,MATCH(SUBSTITUTE(SUBSTITUTE(SUBSTITUTE(SUBSTITUTE("type:"&amp;B1477,"%","%25"),"~","%7E"),"*","%2A"),"?","%3F"),'Rules'!$G$7:$G$26,0))="hours",INDEX('Rules'!$B$7:$B$26,MATCH(SUBSTITUTE(SUBSTITUTE(SUBSTITUTE(SUBSTITUTE("type:"&amp;B1477,"%","%25"),"~","%7E"),"*","%2A"),"?","%3F"),'Rules'!$G$7:$G$26,0))="km"),INDEX('Rules'!$B$7:$B$26,MATCH(SUBSTITUTE(SUBSTITUTE(SUBSTITUTE(SUBSTITUTE("type:"&amp;B1477,"%","%25"),"~","%7E"),"*","%2A"),"?","%3F"),'Rules'!$G$7:$G$26,0)),""))</x:f>
      </x:c>
      <x:c r="I1477" s="6" t="str">
        <x:f>IF(AND(NOT(COUNTA(A1477:F1477)=0),K1477=""),ROUND(J1477-D1477,3),"")</x:f>
      </x:c>
      <x:c r="J1477" s="6" t="str">
        <x:f>IF(AND(NOT(COUNTA(A1477:F1477)=0),K1477=""),ROUND(F1477+L1477,3),"")</x:f>
      </x:c>
      <x:c r="K1477" s="5" t="str">
        <x:f>IF(COUNTA(A1477:F1477)=0,"",IF(A1477="","Missing equipment ID",IF(COUNTIFS($N$8:$N$2007,"="&amp;N1477)&gt;1,"Duplicate equipment ID",IF(B1477="","Missing type",IF(COUNTIFS('Rules'!$G$7:$G$26,"="&amp;(SUBSTITUTE(SUBSTITUTE(SUBSTITUTE(SUBSTITUTE("type:"&amp;B1477,"%","%25"),"~","%7E"),"*","%2A"),"?","%3F")))=0,"Unknown type",IF(COUNTIFS('Rules'!$G$7:$G$26,"="&amp;(SUBSTITUTE(SUBSTITUTE(SUBSTITUTE(SUBSTITUTE("type:"&amp;B1477,"%","%25"),"~","%7E"),"*","%2A"),"?","%3F")))&gt;1,"Duplicate type",IF(INDEX('Rules'!$F$7:$F$26,MATCH(SUBSTITUTE(SUBSTITUTE(SUBSTITUTE(SUBSTITUTE("type:"&amp;B1477,"%","%25"),"~","%7E"),"*","%2A"),"?","%3F"),'Rules'!$G$7:$G$26,0))&lt;&gt;"",INDEX('Rules'!$F$7:$F$26,MATCH(SUBSTITUTE(SUBSTITUTE(SUBSTITUTE(SUBSTITUTE("type:"&amp;B1477,"%","%25"),"~","%7E"),"*","%2A"),"?","%3F"),'Rules'!$G$7:$G$26,0)),IF(AND(C1477&lt;&gt;"",C1477&lt;&gt;INDEX('Rules'!$B$7:$B$26,MATCH(SUBSTITUTE(SUBSTITUTE(SUBSTITUTE(SUBSTITUTE("type:"&amp;B1477,"%","%25"),"~","%7E"),"*","%2A"),"?","%3F"),'Rules'!$G$7:$G$26,0))),"Unit mismatch",IF(IF(NOT(ISNUMBER(D1477)),TRUE,OR(D1477&lt;0,D1477&gt;999999999,ROUND(D1477,3)&lt;&gt;D1477)),"Invalid current reading",IF(AND(E1477&lt;&gt;"",IF(NOT(ISNUMBER(E1477)),TRUE,OR(E1477&lt;0,E1477&gt;999999999,ROUND(E1477,3)&lt;&gt;E1477))),"Invalid previous reading",IF(IF(NOT(ISNUMBER(F1477)),TRUE,OR(F1477&lt;0,F1477&gt;999999999,ROUND(F1477,3)&lt;&gt;F1477)),"Invalid last service",IF(AND(E1477&lt;&gt;"",D1477&lt;E1477),"Decreased reading",IF(F1477&gt;D1477,"Last service above current","")))))))))))))</x:f>
      </x:c>
      <x:c r="L1477" s="6" t="str">
        <x:f>IF(AND(NOT(COUNTA(A1477:F1477)=0),K1477=""),INDEX('Rules'!$C$7:$C$26,MATCH(SUBSTITUTE(SUBSTITUTE(SUBSTITUTE(SUBSTITUTE("type:"&amp;B1477,"%","%25"),"~","%7E"),"*","%2A"),"?","%3F"),'Rules'!$G$7:$G$26,0)),"")</x:f>
      </x:c>
      <x:c r="M1477" s="6" t="str">
        <x:f>IF(AND(NOT(COUNTA(A1477:F1477)=0),K1477=""),INDEX('Rules'!$D$7:$D$26,MATCH(SUBSTITUTE(SUBSTITUTE(SUBSTITUTE(SUBSTITUTE("type:"&amp;B1477,"%","%25"),"~","%7E"),"*","%2A"),"?","%3F"),'Rules'!$G$7:$G$26,0)),"")</x:f>
      </x:c>
      <x:c r="N1477" s="5" t="str">
        <x:f>IF(COUNTA(A1477:F1477)=0,"",SUBSTITUTE(SUBSTITUTE(SUBSTITUTE(SUBSTITUTE("id:"&amp;A1477,"%","%25"),"~","%7E"),"*","%2A"),"?","%3F"))</x:f>
      </x:c>
    </x:row>
    <x:row r="1478" ht="22" customHeight="1">
      <x:c r="A1478" s="3"/>
      <x:c r="B1478" s="3"/>
      <x:c r="C1478" s="3"/>
      <x:c r="D1478" s="4"/>
      <x:c r="E1478" s="4"/>
      <x:c r="F1478" s="4"/>
      <x:c r="G1478" s="5" t="str">
        <x:f>IF(COUNTA(A1478:F1478)=0,"",IF(K1478&lt;&gt;"","Review",IF(I1478&lt;0,"Overdue",IF(I1478=0,"Due now",IF(I1478&lt;=M1478,"Due soon","Not due")))))</x:f>
      </x:c>
      <x:c r="H1478" s="5" t="str">
        <x:f>IF(OR(COUNTA(A1478:F1478)=0,COUNTIFS('Rules'!$G$7:$G$26,"="&amp;(SUBSTITUTE(SUBSTITUTE(SUBSTITUTE(SUBSTITUTE("type:"&amp;B1478,"%","%25"),"~","%7E"),"*","%2A"),"?","%3F")))&lt;&gt;1),"",IF(OR(INDEX('Rules'!$B$7:$B$26,MATCH(SUBSTITUTE(SUBSTITUTE(SUBSTITUTE(SUBSTITUTE("type:"&amp;B1478,"%","%25"),"~","%7E"),"*","%2A"),"?","%3F"),'Rules'!$G$7:$G$26,0))="hours",INDEX('Rules'!$B$7:$B$26,MATCH(SUBSTITUTE(SUBSTITUTE(SUBSTITUTE(SUBSTITUTE("type:"&amp;B1478,"%","%25"),"~","%7E"),"*","%2A"),"?","%3F"),'Rules'!$G$7:$G$26,0))="km"),INDEX('Rules'!$B$7:$B$26,MATCH(SUBSTITUTE(SUBSTITUTE(SUBSTITUTE(SUBSTITUTE("type:"&amp;B1478,"%","%25"),"~","%7E"),"*","%2A"),"?","%3F"),'Rules'!$G$7:$G$26,0)),""))</x:f>
      </x:c>
      <x:c r="I1478" s="6" t="str">
        <x:f>IF(AND(NOT(COUNTA(A1478:F1478)=0),K1478=""),ROUND(J1478-D1478,3),"")</x:f>
      </x:c>
      <x:c r="J1478" s="6" t="str">
        <x:f>IF(AND(NOT(COUNTA(A1478:F1478)=0),K1478=""),ROUND(F1478+L1478,3),"")</x:f>
      </x:c>
      <x:c r="K1478" s="5" t="str">
        <x:f>IF(COUNTA(A1478:F1478)=0,"",IF(A1478="","Missing equipment ID",IF(COUNTIFS($N$8:$N$2007,"="&amp;N1478)&gt;1,"Duplicate equipment ID",IF(B1478="","Missing type",IF(COUNTIFS('Rules'!$G$7:$G$26,"="&amp;(SUBSTITUTE(SUBSTITUTE(SUBSTITUTE(SUBSTITUTE("type:"&amp;B1478,"%","%25"),"~","%7E"),"*","%2A"),"?","%3F")))=0,"Unknown type",IF(COUNTIFS('Rules'!$G$7:$G$26,"="&amp;(SUBSTITUTE(SUBSTITUTE(SUBSTITUTE(SUBSTITUTE("type:"&amp;B1478,"%","%25"),"~","%7E"),"*","%2A"),"?","%3F")))&gt;1,"Duplicate type",IF(INDEX('Rules'!$F$7:$F$26,MATCH(SUBSTITUTE(SUBSTITUTE(SUBSTITUTE(SUBSTITUTE("type:"&amp;B1478,"%","%25"),"~","%7E"),"*","%2A"),"?","%3F"),'Rules'!$G$7:$G$26,0))&lt;&gt;"",INDEX('Rules'!$F$7:$F$26,MATCH(SUBSTITUTE(SUBSTITUTE(SUBSTITUTE(SUBSTITUTE("type:"&amp;B1478,"%","%25"),"~","%7E"),"*","%2A"),"?","%3F"),'Rules'!$G$7:$G$26,0)),IF(AND(C1478&lt;&gt;"",C1478&lt;&gt;INDEX('Rules'!$B$7:$B$26,MATCH(SUBSTITUTE(SUBSTITUTE(SUBSTITUTE(SUBSTITUTE("type:"&amp;B1478,"%","%25"),"~","%7E"),"*","%2A"),"?","%3F"),'Rules'!$G$7:$G$26,0))),"Unit mismatch",IF(IF(NOT(ISNUMBER(D1478)),TRUE,OR(D1478&lt;0,D1478&gt;999999999,ROUND(D1478,3)&lt;&gt;D1478)),"Invalid current reading",IF(AND(E1478&lt;&gt;"",IF(NOT(ISNUMBER(E1478)),TRUE,OR(E1478&lt;0,E1478&gt;999999999,ROUND(E1478,3)&lt;&gt;E1478))),"Invalid previous reading",IF(IF(NOT(ISNUMBER(F1478)),TRUE,OR(F1478&lt;0,F1478&gt;999999999,ROUND(F1478,3)&lt;&gt;F1478)),"Invalid last service",IF(AND(E1478&lt;&gt;"",D1478&lt;E1478),"Decreased reading",IF(F1478&gt;D1478,"Last service above current","")))))))))))))</x:f>
      </x:c>
      <x:c r="L1478" s="6" t="str">
        <x:f>IF(AND(NOT(COUNTA(A1478:F1478)=0),K1478=""),INDEX('Rules'!$C$7:$C$26,MATCH(SUBSTITUTE(SUBSTITUTE(SUBSTITUTE(SUBSTITUTE("type:"&amp;B1478,"%","%25"),"~","%7E"),"*","%2A"),"?","%3F"),'Rules'!$G$7:$G$26,0)),"")</x:f>
      </x:c>
      <x:c r="M1478" s="6" t="str">
        <x:f>IF(AND(NOT(COUNTA(A1478:F1478)=0),K1478=""),INDEX('Rules'!$D$7:$D$26,MATCH(SUBSTITUTE(SUBSTITUTE(SUBSTITUTE(SUBSTITUTE("type:"&amp;B1478,"%","%25"),"~","%7E"),"*","%2A"),"?","%3F"),'Rules'!$G$7:$G$26,0)),"")</x:f>
      </x:c>
      <x:c r="N1478" s="5" t="str">
        <x:f>IF(COUNTA(A1478:F1478)=0,"",SUBSTITUTE(SUBSTITUTE(SUBSTITUTE(SUBSTITUTE("id:"&amp;A1478,"%","%25"),"~","%7E"),"*","%2A"),"?","%3F"))</x:f>
      </x:c>
    </x:row>
    <x:row r="1479" ht="22" customHeight="1">
      <x:c r="A1479" s="3"/>
      <x:c r="B1479" s="3"/>
      <x:c r="C1479" s="3"/>
      <x:c r="D1479" s="4"/>
      <x:c r="E1479" s="4"/>
      <x:c r="F1479" s="4"/>
      <x:c r="G1479" s="5" t="str">
        <x:f>IF(COUNTA(A1479:F1479)=0,"",IF(K1479&lt;&gt;"","Review",IF(I1479&lt;0,"Overdue",IF(I1479=0,"Due now",IF(I1479&lt;=M1479,"Due soon","Not due")))))</x:f>
      </x:c>
      <x:c r="H1479" s="5" t="str">
        <x:f>IF(OR(COUNTA(A1479:F1479)=0,COUNTIFS('Rules'!$G$7:$G$26,"="&amp;(SUBSTITUTE(SUBSTITUTE(SUBSTITUTE(SUBSTITUTE("type:"&amp;B1479,"%","%25"),"~","%7E"),"*","%2A"),"?","%3F")))&lt;&gt;1),"",IF(OR(INDEX('Rules'!$B$7:$B$26,MATCH(SUBSTITUTE(SUBSTITUTE(SUBSTITUTE(SUBSTITUTE("type:"&amp;B1479,"%","%25"),"~","%7E"),"*","%2A"),"?","%3F"),'Rules'!$G$7:$G$26,0))="hours",INDEX('Rules'!$B$7:$B$26,MATCH(SUBSTITUTE(SUBSTITUTE(SUBSTITUTE(SUBSTITUTE("type:"&amp;B1479,"%","%25"),"~","%7E"),"*","%2A"),"?","%3F"),'Rules'!$G$7:$G$26,0))="km"),INDEX('Rules'!$B$7:$B$26,MATCH(SUBSTITUTE(SUBSTITUTE(SUBSTITUTE(SUBSTITUTE("type:"&amp;B1479,"%","%25"),"~","%7E"),"*","%2A"),"?","%3F"),'Rules'!$G$7:$G$26,0)),""))</x:f>
      </x:c>
      <x:c r="I1479" s="6" t="str">
        <x:f>IF(AND(NOT(COUNTA(A1479:F1479)=0),K1479=""),ROUND(J1479-D1479,3),"")</x:f>
      </x:c>
      <x:c r="J1479" s="6" t="str">
        <x:f>IF(AND(NOT(COUNTA(A1479:F1479)=0),K1479=""),ROUND(F1479+L1479,3),"")</x:f>
      </x:c>
      <x:c r="K1479" s="5" t="str">
        <x:f>IF(COUNTA(A1479:F1479)=0,"",IF(A1479="","Missing equipment ID",IF(COUNTIFS($N$8:$N$2007,"="&amp;N1479)&gt;1,"Duplicate equipment ID",IF(B1479="","Missing type",IF(COUNTIFS('Rules'!$G$7:$G$26,"="&amp;(SUBSTITUTE(SUBSTITUTE(SUBSTITUTE(SUBSTITUTE("type:"&amp;B1479,"%","%25"),"~","%7E"),"*","%2A"),"?","%3F")))=0,"Unknown type",IF(COUNTIFS('Rules'!$G$7:$G$26,"="&amp;(SUBSTITUTE(SUBSTITUTE(SUBSTITUTE(SUBSTITUTE("type:"&amp;B1479,"%","%25"),"~","%7E"),"*","%2A"),"?","%3F")))&gt;1,"Duplicate type",IF(INDEX('Rules'!$F$7:$F$26,MATCH(SUBSTITUTE(SUBSTITUTE(SUBSTITUTE(SUBSTITUTE("type:"&amp;B1479,"%","%25"),"~","%7E"),"*","%2A"),"?","%3F"),'Rules'!$G$7:$G$26,0))&lt;&gt;"",INDEX('Rules'!$F$7:$F$26,MATCH(SUBSTITUTE(SUBSTITUTE(SUBSTITUTE(SUBSTITUTE("type:"&amp;B1479,"%","%25"),"~","%7E"),"*","%2A"),"?","%3F"),'Rules'!$G$7:$G$26,0)),IF(AND(C1479&lt;&gt;"",C1479&lt;&gt;INDEX('Rules'!$B$7:$B$26,MATCH(SUBSTITUTE(SUBSTITUTE(SUBSTITUTE(SUBSTITUTE("type:"&amp;B1479,"%","%25"),"~","%7E"),"*","%2A"),"?","%3F"),'Rules'!$G$7:$G$26,0))),"Unit mismatch",IF(IF(NOT(ISNUMBER(D1479)),TRUE,OR(D1479&lt;0,D1479&gt;999999999,ROUND(D1479,3)&lt;&gt;D1479)),"Invalid current reading",IF(AND(E1479&lt;&gt;"",IF(NOT(ISNUMBER(E1479)),TRUE,OR(E1479&lt;0,E1479&gt;999999999,ROUND(E1479,3)&lt;&gt;E1479))),"Invalid previous reading",IF(IF(NOT(ISNUMBER(F1479)),TRUE,OR(F1479&lt;0,F1479&gt;999999999,ROUND(F1479,3)&lt;&gt;F1479)),"Invalid last service",IF(AND(E1479&lt;&gt;"",D1479&lt;E1479),"Decreased reading",IF(F1479&gt;D1479,"Last service above current","")))))))))))))</x:f>
      </x:c>
      <x:c r="L1479" s="6" t="str">
        <x:f>IF(AND(NOT(COUNTA(A1479:F1479)=0),K1479=""),INDEX('Rules'!$C$7:$C$26,MATCH(SUBSTITUTE(SUBSTITUTE(SUBSTITUTE(SUBSTITUTE("type:"&amp;B1479,"%","%25"),"~","%7E"),"*","%2A"),"?","%3F"),'Rules'!$G$7:$G$26,0)),"")</x:f>
      </x:c>
      <x:c r="M1479" s="6" t="str">
        <x:f>IF(AND(NOT(COUNTA(A1479:F1479)=0),K1479=""),INDEX('Rules'!$D$7:$D$26,MATCH(SUBSTITUTE(SUBSTITUTE(SUBSTITUTE(SUBSTITUTE("type:"&amp;B1479,"%","%25"),"~","%7E"),"*","%2A"),"?","%3F"),'Rules'!$G$7:$G$26,0)),"")</x:f>
      </x:c>
      <x:c r="N1479" s="5" t="str">
        <x:f>IF(COUNTA(A1479:F1479)=0,"",SUBSTITUTE(SUBSTITUTE(SUBSTITUTE(SUBSTITUTE("id:"&amp;A1479,"%","%25"),"~","%7E"),"*","%2A"),"?","%3F"))</x:f>
      </x:c>
    </x:row>
    <x:row r="1480" ht="22" customHeight="1">
      <x:c r="A1480" s="3"/>
      <x:c r="B1480" s="3"/>
      <x:c r="C1480" s="3"/>
      <x:c r="D1480" s="4"/>
      <x:c r="E1480" s="4"/>
      <x:c r="F1480" s="4"/>
      <x:c r="G1480" s="5" t="str">
        <x:f>IF(COUNTA(A1480:F1480)=0,"",IF(K1480&lt;&gt;"","Review",IF(I1480&lt;0,"Overdue",IF(I1480=0,"Due now",IF(I1480&lt;=M1480,"Due soon","Not due")))))</x:f>
      </x:c>
      <x:c r="H1480" s="5" t="str">
        <x:f>IF(OR(COUNTA(A1480:F1480)=0,COUNTIFS('Rules'!$G$7:$G$26,"="&amp;(SUBSTITUTE(SUBSTITUTE(SUBSTITUTE(SUBSTITUTE("type:"&amp;B1480,"%","%25"),"~","%7E"),"*","%2A"),"?","%3F")))&lt;&gt;1),"",IF(OR(INDEX('Rules'!$B$7:$B$26,MATCH(SUBSTITUTE(SUBSTITUTE(SUBSTITUTE(SUBSTITUTE("type:"&amp;B1480,"%","%25"),"~","%7E"),"*","%2A"),"?","%3F"),'Rules'!$G$7:$G$26,0))="hours",INDEX('Rules'!$B$7:$B$26,MATCH(SUBSTITUTE(SUBSTITUTE(SUBSTITUTE(SUBSTITUTE("type:"&amp;B1480,"%","%25"),"~","%7E"),"*","%2A"),"?","%3F"),'Rules'!$G$7:$G$26,0))="km"),INDEX('Rules'!$B$7:$B$26,MATCH(SUBSTITUTE(SUBSTITUTE(SUBSTITUTE(SUBSTITUTE("type:"&amp;B1480,"%","%25"),"~","%7E"),"*","%2A"),"?","%3F"),'Rules'!$G$7:$G$26,0)),""))</x:f>
      </x:c>
      <x:c r="I1480" s="6" t="str">
        <x:f>IF(AND(NOT(COUNTA(A1480:F1480)=0),K1480=""),ROUND(J1480-D1480,3),"")</x:f>
      </x:c>
      <x:c r="J1480" s="6" t="str">
        <x:f>IF(AND(NOT(COUNTA(A1480:F1480)=0),K1480=""),ROUND(F1480+L1480,3),"")</x:f>
      </x:c>
      <x:c r="K1480" s="5" t="str">
        <x:f>IF(COUNTA(A1480:F1480)=0,"",IF(A1480="","Missing equipment ID",IF(COUNTIFS($N$8:$N$2007,"="&amp;N1480)&gt;1,"Duplicate equipment ID",IF(B1480="","Missing type",IF(COUNTIFS('Rules'!$G$7:$G$26,"="&amp;(SUBSTITUTE(SUBSTITUTE(SUBSTITUTE(SUBSTITUTE("type:"&amp;B1480,"%","%25"),"~","%7E"),"*","%2A"),"?","%3F")))=0,"Unknown type",IF(COUNTIFS('Rules'!$G$7:$G$26,"="&amp;(SUBSTITUTE(SUBSTITUTE(SUBSTITUTE(SUBSTITUTE("type:"&amp;B1480,"%","%25"),"~","%7E"),"*","%2A"),"?","%3F")))&gt;1,"Duplicate type",IF(INDEX('Rules'!$F$7:$F$26,MATCH(SUBSTITUTE(SUBSTITUTE(SUBSTITUTE(SUBSTITUTE("type:"&amp;B1480,"%","%25"),"~","%7E"),"*","%2A"),"?","%3F"),'Rules'!$G$7:$G$26,0))&lt;&gt;"",INDEX('Rules'!$F$7:$F$26,MATCH(SUBSTITUTE(SUBSTITUTE(SUBSTITUTE(SUBSTITUTE("type:"&amp;B1480,"%","%25"),"~","%7E"),"*","%2A"),"?","%3F"),'Rules'!$G$7:$G$26,0)),IF(AND(C1480&lt;&gt;"",C1480&lt;&gt;INDEX('Rules'!$B$7:$B$26,MATCH(SUBSTITUTE(SUBSTITUTE(SUBSTITUTE(SUBSTITUTE("type:"&amp;B1480,"%","%25"),"~","%7E"),"*","%2A"),"?","%3F"),'Rules'!$G$7:$G$26,0))),"Unit mismatch",IF(IF(NOT(ISNUMBER(D1480)),TRUE,OR(D1480&lt;0,D1480&gt;999999999,ROUND(D1480,3)&lt;&gt;D1480)),"Invalid current reading",IF(AND(E1480&lt;&gt;"",IF(NOT(ISNUMBER(E1480)),TRUE,OR(E1480&lt;0,E1480&gt;999999999,ROUND(E1480,3)&lt;&gt;E1480))),"Invalid previous reading",IF(IF(NOT(ISNUMBER(F1480)),TRUE,OR(F1480&lt;0,F1480&gt;999999999,ROUND(F1480,3)&lt;&gt;F1480)),"Invalid last service",IF(AND(E1480&lt;&gt;"",D1480&lt;E1480),"Decreased reading",IF(F1480&gt;D1480,"Last service above current","")))))))))))))</x:f>
      </x:c>
      <x:c r="L1480" s="6" t="str">
        <x:f>IF(AND(NOT(COUNTA(A1480:F1480)=0),K1480=""),INDEX('Rules'!$C$7:$C$26,MATCH(SUBSTITUTE(SUBSTITUTE(SUBSTITUTE(SUBSTITUTE("type:"&amp;B1480,"%","%25"),"~","%7E"),"*","%2A"),"?","%3F"),'Rules'!$G$7:$G$26,0)),"")</x:f>
      </x:c>
      <x:c r="M1480" s="6" t="str">
        <x:f>IF(AND(NOT(COUNTA(A1480:F1480)=0),K1480=""),INDEX('Rules'!$D$7:$D$26,MATCH(SUBSTITUTE(SUBSTITUTE(SUBSTITUTE(SUBSTITUTE("type:"&amp;B1480,"%","%25"),"~","%7E"),"*","%2A"),"?","%3F"),'Rules'!$G$7:$G$26,0)),"")</x:f>
      </x:c>
      <x:c r="N1480" s="5" t="str">
        <x:f>IF(COUNTA(A1480:F1480)=0,"",SUBSTITUTE(SUBSTITUTE(SUBSTITUTE(SUBSTITUTE("id:"&amp;A1480,"%","%25"),"~","%7E"),"*","%2A"),"?","%3F"))</x:f>
      </x:c>
    </x:row>
    <x:row r="1481" ht="22" customHeight="1">
      <x:c r="A1481" s="3"/>
      <x:c r="B1481" s="3"/>
      <x:c r="C1481" s="3"/>
      <x:c r="D1481" s="4"/>
      <x:c r="E1481" s="4"/>
      <x:c r="F1481" s="4"/>
      <x:c r="G1481" s="5" t="str">
        <x:f>IF(COUNTA(A1481:F1481)=0,"",IF(K1481&lt;&gt;"","Review",IF(I1481&lt;0,"Overdue",IF(I1481=0,"Due now",IF(I1481&lt;=M1481,"Due soon","Not due")))))</x:f>
      </x:c>
      <x:c r="H1481" s="5" t="str">
        <x:f>IF(OR(COUNTA(A1481:F1481)=0,COUNTIFS('Rules'!$G$7:$G$26,"="&amp;(SUBSTITUTE(SUBSTITUTE(SUBSTITUTE(SUBSTITUTE("type:"&amp;B1481,"%","%25"),"~","%7E"),"*","%2A"),"?","%3F")))&lt;&gt;1),"",IF(OR(INDEX('Rules'!$B$7:$B$26,MATCH(SUBSTITUTE(SUBSTITUTE(SUBSTITUTE(SUBSTITUTE("type:"&amp;B1481,"%","%25"),"~","%7E"),"*","%2A"),"?","%3F"),'Rules'!$G$7:$G$26,0))="hours",INDEX('Rules'!$B$7:$B$26,MATCH(SUBSTITUTE(SUBSTITUTE(SUBSTITUTE(SUBSTITUTE("type:"&amp;B1481,"%","%25"),"~","%7E"),"*","%2A"),"?","%3F"),'Rules'!$G$7:$G$26,0))="km"),INDEX('Rules'!$B$7:$B$26,MATCH(SUBSTITUTE(SUBSTITUTE(SUBSTITUTE(SUBSTITUTE("type:"&amp;B1481,"%","%25"),"~","%7E"),"*","%2A"),"?","%3F"),'Rules'!$G$7:$G$26,0)),""))</x:f>
      </x:c>
      <x:c r="I1481" s="6" t="str">
        <x:f>IF(AND(NOT(COUNTA(A1481:F1481)=0),K1481=""),ROUND(J1481-D1481,3),"")</x:f>
      </x:c>
      <x:c r="J1481" s="6" t="str">
        <x:f>IF(AND(NOT(COUNTA(A1481:F1481)=0),K1481=""),ROUND(F1481+L1481,3),"")</x:f>
      </x:c>
      <x:c r="K1481" s="5" t="str">
        <x:f>IF(COUNTA(A1481:F1481)=0,"",IF(A1481="","Missing equipment ID",IF(COUNTIFS($N$8:$N$2007,"="&amp;N1481)&gt;1,"Duplicate equipment ID",IF(B1481="","Missing type",IF(COUNTIFS('Rules'!$G$7:$G$26,"="&amp;(SUBSTITUTE(SUBSTITUTE(SUBSTITUTE(SUBSTITUTE("type:"&amp;B1481,"%","%25"),"~","%7E"),"*","%2A"),"?","%3F")))=0,"Unknown type",IF(COUNTIFS('Rules'!$G$7:$G$26,"="&amp;(SUBSTITUTE(SUBSTITUTE(SUBSTITUTE(SUBSTITUTE("type:"&amp;B1481,"%","%25"),"~","%7E"),"*","%2A"),"?","%3F")))&gt;1,"Duplicate type",IF(INDEX('Rules'!$F$7:$F$26,MATCH(SUBSTITUTE(SUBSTITUTE(SUBSTITUTE(SUBSTITUTE("type:"&amp;B1481,"%","%25"),"~","%7E"),"*","%2A"),"?","%3F"),'Rules'!$G$7:$G$26,0))&lt;&gt;"",INDEX('Rules'!$F$7:$F$26,MATCH(SUBSTITUTE(SUBSTITUTE(SUBSTITUTE(SUBSTITUTE("type:"&amp;B1481,"%","%25"),"~","%7E"),"*","%2A"),"?","%3F"),'Rules'!$G$7:$G$26,0)),IF(AND(C1481&lt;&gt;"",C1481&lt;&gt;INDEX('Rules'!$B$7:$B$26,MATCH(SUBSTITUTE(SUBSTITUTE(SUBSTITUTE(SUBSTITUTE("type:"&amp;B1481,"%","%25"),"~","%7E"),"*","%2A"),"?","%3F"),'Rules'!$G$7:$G$26,0))),"Unit mismatch",IF(IF(NOT(ISNUMBER(D1481)),TRUE,OR(D1481&lt;0,D1481&gt;999999999,ROUND(D1481,3)&lt;&gt;D1481)),"Invalid current reading",IF(AND(E1481&lt;&gt;"",IF(NOT(ISNUMBER(E1481)),TRUE,OR(E1481&lt;0,E1481&gt;999999999,ROUND(E1481,3)&lt;&gt;E1481))),"Invalid previous reading",IF(IF(NOT(ISNUMBER(F1481)),TRUE,OR(F1481&lt;0,F1481&gt;999999999,ROUND(F1481,3)&lt;&gt;F1481)),"Invalid last service",IF(AND(E1481&lt;&gt;"",D1481&lt;E1481),"Decreased reading",IF(F1481&gt;D1481,"Last service above current","")))))))))))))</x:f>
      </x:c>
      <x:c r="L1481" s="6" t="str">
        <x:f>IF(AND(NOT(COUNTA(A1481:F1481)=0),K1481=""),INDEX('Rules'!$C$7:$C$26,MATCH(SUBSTITUTE(SUBSTITUTE(SUBSTITUTE(SUBSTITUTE("type:"&amp;B1481,"%","%25"),"~","%7E"),"*","%2A"),"?","%3F"),'Rules'!$G$7:$G$26,0)),"")</x:f>
      </x:c>
      <x:c r="M1481" s="6" t="str">
        <x:f>IF(AND(NOT(COUNTA(A1481:F1481)=0),K1481=""),INDEX('Rules'!$D$7:$D$26,MATCH(SUBSTITUTE(SUBSTITUTE(SUBSTITUTE(SUBSTITUTE("type:"&amp;B1481,"%","%25"),"~","%7E"),"*","%2A"),"?","%3F"),'Rules'!$G$7:$G$26,0)),"")</x:f>
      </x:c>
      <x:c r="N1481" s="5" t="str">
        <x:f>IF(COUNTA(A1481:F1481)=0,"",SUBSTITUTE(SUBSTITUTE(SUBSTITUTE(SUBSTITUTE("id:"&amp;A1481,"%","%25"),"~","%7E"),"*","%2A"),"?","%3F"))</x:f>
      </x:c>
    </x:row>
    <x:row r="1482" ht="22" customHeight="1">
      <x:c r="A1482" s="3"/>
      <x:c r="B1482" s="3"/>
      <x:c r="C1482" s="3"/>
      <x:c r="D1482" s="4"/>
      <x:c r="E1482" s="4"/>
      <x:c r="F1482" s="4"/>
      <x:c r="G1482" s="5" t="str">
        <x:f>IF(COUNTA(A1482:F1482)=0,"",IF(K1482&lt;&gt;"","Review",IF(I1482&lt;0,"Overdue",IF(I1482=0,"Due now",IF(I1482&lt;=M1482,"Due soon","Not due")))))</x:f>
      </x:c>
      <x:c r="H1482" s="5" t="str">
        <x:f>IF(OR(COUNTA(A1482:F1482)=0,COUNTIFS('Rules'!$G$7:$G$26,"="&amp;(SUBSTITUTE(SUBSTITUTE(SUBSTITUTE(SUBSTITUTE("type:"&amp;B1482,"%","%25"),"~","%7E"),"*","%2A"),"?","%3F")))&lt;&gt;1),"",IF(OR(INDEX('Rules'!$B$7:$B$26,MATCH(SUBSTITUTE(SUBSTITUTE(SUBSTITUTE(SUBSTITUTE("type:"&amp;B1482,"%","%25"),"~","%7E"),"*","%2A"),"?","%3F"),'Rules'!$G$7:$G$26,0))="hours",INDEX('Rules'!$B$7:$B$26,MATCH(SUBSTITUTE(SUBSTITUTE(SUBSTITUTE(SUBSTITUTE("type:"&amp;B1482,"%","%25"),"~","%7E"),"*","%2A"),"?","%3F"),'Rules'!$G$7:$G$26,0))="km"),INDEX('Rules'!$B$7:$B$26,MATCH(SUBSTITUTE(SUBSTITUTE(SUBSTITUTE(SUBSTITUTE("type:"&amp;B1482,"%","%25"),"~","%7E"),"*","%2A"),"?","%3F"),'Rules'!$G$7:$G$26,0)),""))</x:f>
      </x:c>
      <x:c r="I1482" s="6" t="str">
        <x:f>IF(AND(NOT(COUNTA(A1482:F1482)=0),K1482=""),ROUND(J1482-D1482,3),"")</x:f>
      </x:c>
      <x:c r="J1482" s="6" t="str">
        <x:f>IF(AND(NOT(COUNTA(A1482:F1482)=0),K1482=""),ROUND(F1482+L1482,3),"")</x:f>
      </x:c>
      <x:c r="K1482" s="5" t="str">
        <x:f>IF(COUNTA(A1482:F1482)=0,"",IF(A1482="","Missing equipment ID",IF(COUNTIFS($N$8:$N$2007,"="&amp;N1482)&gt;1,"Duplicate equipment ID",IF(B1482="","Missing type",IF(COUNTIFS('Rules'!$G$7:$G$26,"="&amp;(SUBSTITUTE(SUBSTITUTE(SUBSTITUTE(SUBSTITUTE("type:"&amp;B1482,"%","%25"),"~","%7E"),"*","%2A"),"?","%3F")))=0,"Unknown type",IF(COUNTIFS('Rules'!$G$7:$G$26,"="&amp;(SUBSTITUTE(SUBSTITUTE(SUBSTITUTE(SUBSTITUTE("type:"&amp;B1482,"%","%25"),"~","%7E"),"*","%2A"),"?","%3F")))&gt;1,"Duplicate type",IF(INDEX('Rules'!$F$7:$F$26,MATCH(SUBSTITUTE(SUBSTITUTE(SUBSTITUTE(SUBSTITUTE("type:"&amp;B1482,"%","%25"),"~","%7E"),"*","%2A"),"?","%3F"),'Rules'!$G$7:$G$26,0))&lt;&gt;"",INDEX('Rules'!$F$7:$F$26,MATCH(SUBSTITUTE(SUBSTITUTE(SUBSTITUTE(SUBSTITUTE("type:"&amp;B1482,"%","%25"),"~","%7E"),"*","%2A"),"?","%3F"),'Rules'!$G$7:$G$26,0)),IF(AND(C1482&lt;&gt;"",C1482&lt;&gt;INDEX('Rules'!$B$7:$B$26,MATCH(SUBSTITUTE(SUBSTITUTE(SUBSTITUTE(SUBSTITUTE("type:"&amp;B1482,"%","%25"),"~","%7E"),"*","%2A"),"?","%3F"),'Rules'!$G$7:$G$26,0))),"Unit mismatch",IF(IF(NOT(ISNUMBER(D1482)),TRUE,OR(D1482&lt;0,D1482&gt;999999999,ROUND(D1482,3)&lt;&gt;D1482)),"Invalid current reading",IF(AND(E1482&lt;&gt;"",IF(NOT(ISNUMBER(E1482)),TRUE,OR(E1482&lt;0,E1482&gt;999999999,ROUND(E1482,3)&lt;&gt;E1482))),"Invalid previous reading",IF(IF(NOT(ISNUMBER(F1482)),TRUE,OR(F1482&lt;0,F1482&gt;999999999,ROUND(F1482,3)&lt;&gt;F1482)),"Invalid last service",IF(AND(E1482&lt;&gt;"",D1482&lt;E1482),"Decreased reading",IF(F1482&gt;D1482,"Last service above current","")))))))))))))</x:f>
      </x:c>
      <x:c r="L1482" s="6" t="str">
        <x:f>IF(AND(NOT(COUNTA(A1482:F1482)=0),K1482=""),INDEX('Rules'!$C$7:$C$26,MATCH(SUBSTITUTE(SUBSTITUTE(SUBSTITUTE(SUBSTITUTE("type:"&amp;B1482,"%","%25"),"~","%7E"),"*","%2A"),"?","%3F"),'Rules'!$G$7:$G$26,0)),"")</x:f>
      </x:c>
      <x:c r="M1482" s="6" t="str">
        <x:f>IF(AND(NOT(COUNTA(A1482:F1482)=0),K1482=""),INDEX('Rules'!$D$7:$D$26,MATCH(SUBSTITUTE(SUBSTITUTE(SUBSTITUTE(SUBSTITUTE("type:"&amp;B1482,"%","%25"),"~","%7E"),"*","%2A"),"?","%3F"),'Rules'!$G$7:$G$26,0)),"")</x:f>
      </x:c>
      <x:c r="N1482" s="5" t="str">
        <x:f>IF(COUNTA(A1482:F1482)=0,"",SUBSTITUTE(SUBSTITUTE(SUBSTITUTE(SUBSTITUTE("id:"&amp;A1482,"%","%25"),"~","%7E"),"*","%2A"),"?","%3F"))</x:f>
      </x:c>
    </x:row>
    <x:row r="1483" ht="22" customHeight="1">
      <x:c r="A1483" s="3"/>
      <x:c r="B1483" s="3"/>
      <x:c r="C1483" s="3"/>
      <x:c r="D1483" s="4"/>
      <x:c r="E1483" s="4"/>
      <x:c r="F1483" s="4"/>
      <x:c r="G1483" s="5" t="str">
        <x:f>IF(COUNTA(A1483:F1483)=0,"",IF(K1483&lt;&gt;"","Review",IF(I1483&lt;0,"Overdue",IF(I1483=0,"Due now",IF(I1483&lt;=M1483,"Due soon","Not due")))))</x:f>
      </x:c>
      <x:c r="H1483" s="5" t="str">
        <x:f>IF(OR(COUNTA(A1483:F1483)=0,COUNTIFS('Rules'!$G$7:$G$26,"="&amp;(SUBSTITUTE(SUBSTITUTE(SUBSTITUTE(SUBSTITUTE("type:"&amp;B1483,"%","%25"),"~","%7E"),"*","%2A"),"?","%3F")))&lt;&gt;1),"",IF(OR(INDEX('Rules'!$B$7:$B$26,MATCH(SUBSTITUTE(SUBSTITUTE(SUBSTITUTE(SUBSTITUTE("type:"&amp;B1483,"%","%25"),"~","%7E"),"*","%2A"),"?","%3F"),'Rules'!$G$7:$G$26,0))="hours",INDEX('Rules'!$B$7:$B$26,MATCH(SUBSTITUTE(SUBSTITUTE(SUBSTITUTE(SUBSTITUTE("type:"&amp;B1483,"%","%25"),"~","%7E"),"*","%2A"),"?","%3F"),'Rules'!$G$7:$G$26,0))="km"),INDEX('Rules'!$B$7:$B$26,MATCH(SUBSTITUTE(SUBSTITUTE(SUBSTITUTE(SUBSTITUTE("type:"&amp;B1483,"%","%25"),"~","%7E"),"*","%2A"),"?","%3F"),'Rules'!$G$7:$G$26,0)),""))</x:f>
      </x:c>
      <x:c r="I1483" s="6" t="str">
        <x:f>IF(AND(NOT(COUNTA(A1483:F1483)=0),K1483=""),ROUND(J1483-D1483,3),"")</x:f>
      </x:c>
      <x:c r="J1483" s="6" t="str">
        <x:f>IF(AND(NOT(COUNTA(A1483:F1483)=0),K1483=""),ROUND(F1483+L1483,3),"")</x:f>
      </x:c>
      <x:c r="K1483" s="5" t="str">
        <x:f>IF(COUNTA(A1483:F1483)=0,"",IF(A1483="","Missing equipment ID",IF(COUNTIFS($N$8:$N$2007,"="&amp;N1483)&gt;1,"Duplicate equipment ID",IF(B1483="","Missing type",IF(COUNTIFS('Rules'!$G$7:$G$26,"="&amp;(SUBSTITUTE(SUBSTITUTE(SUBSTITUTE(SUBSTITUTE("type:"&amp;B1483,"%","%25"),"~","%7E"),"*","%2A"),"?","%3F")))=0,"Unknown type",IF(COUNTIFS('Rules'!$G$7:$G$26,"="&amp;(SUBSTITUTE(SUBSTITUTE(SUBSTITUTE(SUBSTITUTE("type:"&amp;B1483,"%","%25"),"~","%7E"),"*","%2A"),"?","%3F")))&gt;1,"Duplicate type",IF(INDEX('Rules'!$F$7:$F$26,MATCH(SUBSTITUTE(SUBSTITUTE(SUBSTITUTE(SUBSTITUTE("type:"&amp;B1483,"%","%25"),"~","%7E"),"*","%2A"),"?","%3F"),'Rules'!$G$7:$G$26,0))&lt;&gt;"",INDEX('Rules'!$F$7:$F$26,MATCH(SUBSTITUTE(SUBSTITUTE(SUBSTITUTE(SUBSTITUTE("type:"&amp;B1483,"%","%25"),"~","%7E"),"*","%2A"),"?","%3F"),'Rules'!$G$7:$G$26,0)),IF(AND(C1483&lt;&gt;"",C1483&lt;&gt;INDEX('Rules'!$B$7:$B$26,MATCH(SUBSTITUTE(SUBSTITUTE(SUBSTITUTE(SUBSTITUTE("type:"&amp;B1483,"%","%25"),"~","%7E"),"*","%2A"),"?","%3F"),'Rules'!$G$7:$G$26,0))),"Unit mismatch",IF(IF(NOT(ISNUMBER(D1483)),TRUE,OR(D1483&lt;0,D1483&gt;999999999,ROUND(D1483,3)&lt;&gt;D1483)),"Invalid current reading",IF(AND(E1483&lt;&gt;"",IF(NOT(ISNUMBER(E1483)),TRUE,OR(E1483&lt;0,E1483&gt;999999999,ROUND(E1483,3)&lt;&gt;E1483))),"Invalid previous reading",IF(IF(NOT(ISNUMBER(F1483)),TRUE,OR(F1483&lt;0,F1483&gt;999999999,ROUND(F1483,3)&lt;&gt;F1483)),"Invalid last service",IF(AND(E1483&lt;&gt;"",D1483&lt;E1483),"Decreased reading",IF(F1483&gt;D1483,"Last service above current","")))))))))))))</x:f>
      </x:c>
      <x:c r="L1483" s="6" t="str">
        <x:f>IF(AND(NOT(COUNTA(A1483:F1483)=0),K1483=""),INDEX('Rules'!$C$7:$C$26,MATCH(SUBSTITUTE(SUBSTITUTE(SUBSTITUTE(SUBSTITUTE("type:"&amp;B1483,"%","%25"),"~","%7E"),"*","%2A"),"?","%3F"),'Rules'!$G$7:$G$26,0)),"")</x:f>
      </x:c>
      <x:c r="M1483" s="6" t="str">
        <x:f>IF(AND(NOT(COUNTA(A1483:F1483)=0),K1483=""),INDEX('Rules'!$D$7:$D$26,MATCH(SUBSTITUTE(SUBSTITUTE(SUBSTITUTE(SUBSTITUTE("type:"&amp;B1483,"%","%25"),"~","%7E"),"*","%2A"),"?","%3F"),'Rules'!$G$7:$G$26,0)),"")</x:f>
      </x:c>
      <x:c r="N1483" s="5" t="str">
        <x:f>IF(COUNTA(A1483:F1483)=0,"",SUBSTITUTE(SUBSTITUTE(SUBSTITUTE(SUBSTITUTE("id:"&amp;A1483,"%","%25"),"~","%7E"),"*","%2A"),"?","%3F"))</x:f>
      </x:c>
    </x:row>
    <x:row r="1484" ht="22" customHeight="1">
      <x:c r="A1484" s="3"/>
      <x:c r="B1484" s="3"/>
      <x:c r="C1484" s="3"/>
      <x:c r="D1484" s="4"/>
      <x:c r="E1484" s="4"/>
      <x:c r="F1484" s="4"/>
      <x:c r="G1484" s="5" t="str">
        <x:f>IF(COUNTA(A1484:F1484)=0,"",IF(K1484&lt;&gt;"","Review",IF(I1484&lt;0,"Overdue",IF(I1484=0,"Due now",IF(I1484&lt;=M1484,"Due soon","Not due")))))</x:f>
      </x:c>
      <x:c r="H1484" s="5" t="str">
        <x:f>IF(OR(COUNTA(A1484:F1484)=0,COUNTIFS('Rules'!$G$7:$G$26,"="&amp;(SUBSTITUTE(SUBSTITUTE(SUBSTITUTE(SUBSTITUTE("type:"&amp;B1484,"%","%25"),"~","%7E"),"*","%2A"),"?","%3F")))&lt;&gt;1),"",IF(OR(INDEX('Rules'!$B$7:$B$26,MATCH(SUBSTITUTE(SUBSTITUTE(SUBSTITUTE(SUBSTITUTE("type:"&amp;B1484,"%","%25"),"~","%7E"),"*","%2A"),"?","%3F"),'Rules'!$G$7:$G$26,0))="hours",INDEX('Rules'!$B$7:$B$26,MATCH(SUBSTITUTE(SUBSTITUTE(SUBSTITUTE(SUBSTITUTE("type:"&amp;B1484,"%","%25"),"~","%7E"),"*","%2A"),"?","%3F"),'Rules'!$G$7:$G$26,0))="km"),INDEX('Rules'!$B$7:$B$26,MATCH(SUBSTITUTE(SUBSTITUTE(SUBSTITUTE(SUBSTITUTE("type:"&amp;B1484,"%","%25"),"~","%7E"),"*","%2A"),"?","%3F"),'Rules'!$G$7:$G$26,0)),""))</x:f>
      </x:c>
      <x:c r="I1484" s="6" t="str">
        <x:f>IF(AND(NOT(COUNTA(A1484:F1484)=0),K1484=""),ROUND(J1484-D1484,3),"")</x:f>
      </x:c>
      <x:c r="J1484" s="6" t="str">
        <x:f>IF(AND(NOT(COUNTA(A1484:F1484)=0),K1484=""),ROUND(F1484+L1484,3),"")</x:f>
      </x:c>
      <x:c r="K1484" s="5" t="str">
        <x:f>IF(COUNTA(A1484:F1484)=0,"",IF(A1484="","Missing equipment ID",IF(COUNTIFS($N$8:$N$2007,"="&amp;N1484)&gt;1,"Duplicate equipment ID",IF(B1484="","Missing type",IF(COUNTIFS('Rules'!$G$7:$G$26,"="&amp;(SUBSTITUTE(SUBSTITUTE(SUBSTITUTE(SUBSTITUTE("type:"&amp;B1484,"%","%25"),"~","%7E"),"*","%2A"),"?","%3F")))=0,"Unknown type",IF(COUNTIFS('Rules'!$G$7:$G$26,"="&amp;(SUBSTITUTE(SUBSTITUTE(SUBSTITUTE(SUBSTITUTE("type:"&amp;B1484,"%","%25"),"~","%7E"),"*","%2A"),"?","%3F")))&gt;1,"Duplicate type",IF(INDEX('Rules'!$F$7:$F$26,MATCH(SUBSTITUTE(SUBSTITUTE(SUBSTITUTE(SUBSTITUTE("type:"&amp;B1484,"%","%25"),"~","%7E"),"*","%2A"),"?","%3F"),'Rules'!$G$7:$G$26,0))&lt;&gt;"",INDEX('Rules'!$F$7:$F$26,MATCH(SUBSTITUTE(SUBSTITUTE(SUBSTITUTE(SUBSTITUTE("type:"&amp;B1484,"%","%25"),"~","%7E"),"*","%2A"),"?","%3F"),'Rules'!$G$7:$G$26,0)),IF(AND(C1484&lt;&gt;"",C1484&lt;&gt;INDEX('Rules'!$B$7:$B$26,MATCH(SUBSTITUTE(SUBSTITUTE(SUBSTITUTE(SUBSTITUTE("type:"&amp;B1484,"%","%25"),"~","%7E"),"*","%2A"),"?","%3F"),'Rules'!$G$7:$G$26,0))),"Unit mismatch",IF(IF(NOT(ISNUMBER(D1484)),TRUE,OR(D1484&lt;0,D1484&gt;999999999,ROUND(D1484,3)&lt;&gt;D1484)),"Invalid current reading",IF(AND(E1484&lt;&gt;"",IF(NOT(ISNUMBER(E1484)),TRUE,OR(E1484&lt;0,E1484&gt;999999999,ROUND(E1484,3)&lt;&gt;E1484))),"Invalid previous reading",IF(IF(NOT(ISNUMBER(F1484)),TRUE,OR(F1484&lt;0,F1484&gt;999999999,ROUND(F1484,3)&lt;&gt;F1484)),"Invalid last service",IF(AND(E1484&lt;&gt;"",D1484&lt;E1484),"Decreased reading",IF(F1484&gt;D1484,"Last service above current","")))))))))))))</x:f>
      </x:c>
      <x:c r="L1484" s="6" t="str">
        <x:f>IF(AND(NOT(COUNTA(A1484:F1484)=0),K1484=""),INDEX('Rules'!$C$7:$C$26,MATCH(SUBSTITUTE(SUBSTITUTE(SUBSTITUTE(SUBSTITUTE("type:"&amp;B1484,"%","%25"),"~","%7E"),"*","%2A"),"?","%3F"),'Rules'!$G$7:$G$26,0)),"")</x:f>
      </x:c>
      <x:c r="M1484" s="6" t="str">
        <x:f>IF(AND(NOT(COUNTA(A1484:F1484)=0),K1484=""),INDEX('Rules'!$D$7:$D$26,MATCH(SUBSTITUTE(SUBSTITUTE(SUBSTITUTE(SUBSTITUTE("type:"&amp;B1484,"%","%25"),"~","%7E"),"*","%2A"),"?","%3F"),'Rules'!$G$7:$G$26,0)),"")</x:f>
      </x:c>
      <x:c r="N1484" s="5" t="str">
        <x:f>IF(COUNTA(A1484:F1484)=0,"",SUBSTITUTE(SUBSTITUTE(SUBSTITUTE(SUBSTITUTE("id:"&amp;A1484,"%","%25"),"~","%7E"),"*","%2A"),"?","%3F"))</x:f>
      </x:c>
    </x:row>
    <x:row r="1485" ht="22" customHeight="1">
      <x:c r="A1485" s="3"/>
      <x:c r="B1485" s="3"/>
      <x:c r="C1485" s="3"/>
      <x:c r="D1485" s="4"/>
      <x:c r="E1485" s="4"/>
      <x:c r="F1485" s="4"/>
      <x:c r="G1485" s="5" t="str">
        <x:f>IF(COUNTA(A1485:F1485)=0,"",IF(K1485&lt;&gt;"","Review",IF(I1485&lt;0,"Overdue",IF(I1485=0,"Due now",IF(I1485&lt;=M1485,"Due soon","Not due")))))</x:f>
      </x:c>
      <x:c r="H1485" s="5" t="str">
        <x:f>IF(OR(COUNTA(A1485:F1485)=0,COUNTIFS('Rules'!$G$7:$G$26,"="&amp;(SUBSTITUTE(SUBSTITUTE(SUBSTITUTE(SUBSTITUTE("type:"&amp;B1485,"%","%25"),"~","%7E"),"*","%2A"),"?","%3F")))&lt;&gt;1),"",IF(OR(INDEX('Rules'!$B$7:$B$26,MATCH(SUBSTITUTE(SUBSTITUTE(SUBSTITUTE(SUBSTITUTE("type:"&amp;B1485,"%","%25"),"~","%7E"),"*","%2A"),"?","%3F"),'Rules'!$G$7:$G$26,0))="hours",INDEX('Rules'!$B$7:$B$26,MATCH(SUBSTITUTE(SUBSTITUTE(SUBSTITUTE(SUBSTITUTE("type:"&amp;B1485,"%","%25"),"~","%7E"),"*","%2A"),"?","%3F"),'Rules'!$G$7:$G$26,0))="km"),INDEX('Rules'!$B$7:$B$26,MATCH(SUBSTITUTE(SUBSTITUTE(SUBSTITUTE(SUBSTITUTE("type:"&amp;B1485,"%","%25"),"~","%7E"),"*","%2A"),"?","%3F"),'Rules'!$G$7:$G$26,0)),""))</x:f>
      </x:c>
      <x:c r="I1485" s="6" t="str">
        <x:f>IF(AND(NOT(COUNTA(A1485:F1485)=0),K1485=""),ROUND(J1485-D1485,3),"")</x:f>
      </x:c>
      <x:c r="J1485" s="6" t="str">
        <x:f>IF(AND(NOT(COUNTA(A1485:F1485)=0),K1485=""),ROUND(F1485+L1485,3),"")</x:f>
      </x:c>
      <x:c r="K1485" s="5" t="str">
        <x:f>IF(COUNTA(A1485:F1485)=0,"",IF(A1485="","Missing equipment ID",IF(COUNTIFS($N$8:$N$2007,"="&amp;N1485)&gt;1,"Duplicate equipment ID",IF(B1485="","Missing type",IF(COUNTIFS('Rules'!$G$7:$G$26,"="&amp;(SUBSTITUTE(SUBSTITUTE(SUBSTITUTE(SUBSTITUTE("type:"&amp;B1485,"%","%25"),"~","%7E"),"*","%2A"),"?","%3F")))=0,"Unknown type",IF(COUNTIFS('Rules'!$G$7:$G$26,"="&amp;(SUBSTITUTE(SUBSTITUTE(SUBSTITUTE(SUBSTITUTE("type:"&amp;B1485,"%","%25"),"~","%7E"),"*","%2A"),"?","%3F")))&gt;1,"Duplicate type",IF(INDEX('Rules'!$F$7:$F$26,MATCH(SUBSTITUTE(SUBSTITUTE(SUBSTITUTE(SUBSTITUTE("type:"&amp;B1485,"%","%25"),"~","%7E"),"*","%2A"),"?","%3F"),'Rules'!$G$7:$G$26,0))&lt;&gt;"",INDEX('Rules'!$F$7:$F$26,MATCH(SUBSTITUTE(SUBSTITUTE(SUBSTITUTE(SUBSTITUTE("type:"&amp;B1485,"%","%25"),"~","%7E"),"*","%2A"),"?","%3F"),'Rules'!$G$7:$G$26,0)),IF(AND(C1485&lt;&gt;"",C1485&lt;&gt;INDEX('Rules'!$B$7:$B$26,MATCH(SUBSTITUTE(SUBSTITUTE(SUBSTITUTE(SUBSTITUTE("type:"&amp;B1485,"%","%25"),"~","%7E"),"*","%2A"),"?","%3F"),'Rules'!$G$7:$G$26,0))),"Unit mismatch",IF(IF(NOT(ISNUMBER(D1485)),TRUE,OR(D1485&lt;0,D1485&gt;999999999,ROUND(D1485,3)&lt;&gt;D1485)),"Invalid current reading",IF(AND(E1485&lt;&gt;"",IF(NOT(ISNUMBER(E1485)),TRUE,OR(E1485&lt;0,E1485&gt;999999999,ROUND(E1485,3)&lt;&gt;E1485))),"Invalid previous reading",IF(IF(NOT(ISNUMBER(F1485)),TRUE,OR(F1485&lt;0,F1485&gt;999999999,ROUND(F1485,3)&lt;&gt;F1485)),"Invalid last service",IF(AND(E1485&lt;&gt;"",D1485&lt;E1485),"Decreased reading",IF(F1485&gt;D1485,"Last service above current","")))))))))))))</x:f>
      </x:c>
      <x:c r="L1485" s="6" t="str">
        <x:f>IF(AND(NOT(COUNTA(A1485:F1485)=0),K1485=""),INDEX('Rules'!$C$7:$C$26,MATCH(SUBSTITUTE(SUBSTITUTE(SUBSTITUTE(SUBSTITUTE("type:"&amp;B1485,"%","%25"),"~","%7E"),"*","%2A"),"?","%3F"),'Rules'!$G$7:$G$26,0)),"")</x:f>
      </x:c>
      <x:c r="M1485" s="6" t="str">
        <x:f>IF(AND(NOT(COUNTA(A1485:F1485)=0),K1485=""),INDEX('Rules'!$D$7:$D$26,MATCH(SUBSTITUTE(SUBSTITUTE(SUBSTITUTE(SUBSTITUTE("type:"&amp;B1485,"%","%25"),"~","%7E"),"*","%2A"),"?","%3F"),'Rules'!$G$7:$G$26,0)),"")</x:f>
      </x:c>
      <x:c r="N1485" s="5" t="str">
        <x:f>IF(COUNTA(A1485:F1485)=0,"",SUBSTITUTE(SUBSTITUTE(SUBSTITUTE(SUBSTITUTE("id:"&amp;A1485,"%","%25"),"~","%7E"),"*","%2A"),"?","%3F"))</x:f>
      </x:c>
    </x:row>
    <x:row r="1486" ht="22" customHeight="1">
      <x:c r="A1486" s="3"/>
      <x:c r="B1486" s="3"/>
      <x:c r="C1486" s="3"/>
      <x:c r="D1486" s="4"/>
      <x:c r="E1486" s="4"/>
      <x:c r="F1486" s="4"/>
      <x:c r="G1486" s="5" t="str">
        <x:f>IF(COUNTA(A1486:F1486)=0,"",IF(K1486&lt;&gt;"","Review",IF(I1486&lt;0,"Overdue",IF(I1486=0,"Due now",IF(I1486&lt;=M1486,"Due soon","Not due")))))</x:f>
      </x:c>
      <x:c r="H1486" s="5" t="str">
        <x:f>IF(OR(COUNTA(A1486:F1486)=0,COUNTIFS('Rules'!$G$7:$G$26,"="&amp;(SUBSTITUTE(SUBSTITUTE(SUBSTITUTE(SUBSTITUTE("type:"&amp;B1486,"%","%25"),"~","%7E"),"*","%2A"),"?","%3F")))&lt;&gt;1),"",IF(OR(INDEX('Rules'!$B$7:$B$26,MATCH(SUBSTITUTE(SUBSTITUTE(SUBSTITUTE(SUBSTITUTE("type:"&amp;B1486,"%","%25"),"~","%7E"),"*","%2A"),"?","%3F"),'Rules'!$G$7:$G$26,0))="hours",INDEX('Rules'!$B$7:$B$26,MATCH(SUBSTITUTE(SUBSTITUTE(SUBSTITUTE(SUBSTITUTE("type:"&amp;B1486,"%","%25"),"~","%7E"),"*","%2A"),"?","%3F"),'Rules'!$G$7:$G$26,0))="km"),INDEX('Rules'!$B$7:$B$26,MATCH(SUBSTITUTE(SUBSTITUTE(SUBSTITUTE(SUBSTITUTE("type:"&amp;B1486,"%","%25"),"~","%7E"),"*","%2A"),"?","%3F"),'Rules'!$G$7:$G$26,0)),""))</x:f>
      </x:c>
      <x:c r="I1486" s="6" t="str">
        <x:f>IF(AND(NOT(COUNTA(A1486:F1486)=0),K1486=""),ROUND(J1486-D1486,3),"")</x:f>
      </x:c>
      <x:c r="J1486" s="6" t="str">
        <x:f>IF(AND(NOT(COUNTA(A1486:F1486)=0),K1486=""),ROUND(F1486+L1486,3),"")</x:f>
      </x:c>
      <x:c r="K1486" s="5" t="str">
        <x:f>IF(COUNTA(A1486:F1486)=0,"",IF(A1486="","Missing equipment ID",IF(COUNTIFS($N$8:$N$2007,"="&amp;N1486)&gt;1,"Duplicate equipment ID",IF(B1486="","Missing type",IF(COUNTIFS('Rules'!$G$7:$G$26,"="&amp;(SUBSTITUTE(SUBSTITUTE(SUBSTITUTE(SUBSTITUTE("type:"&amp;B1486,"%","%25"),"~","%7E"),"*","%2A"),"?","%3F")))=0,"Unknown type",IF(COUNTIFS('Rules'!$G$7:$G$26,"="&amp;(SUBSTITUTE(SUBSTITUTE(SUBSTITUTE(SUBSTITUTE("type:"&amp;B1486,"%","%25"),"~","%7E"),"*","%2A"),"?","%3F")))&gt;1,"Duplicate type",IF(INDEX('Rules'!$F$7:$F$26,MATCH(SUBSTITUTE(SUBSTITUTE(SUBSTITUTE(SUBSTITUTE("type:"&amp;B1486,"%","%25"),"~","%7E"),"*","%2A"),"?","%3F"),'Rules'!$G$7:$G$26,0))&lt;&gt;"",INDEX('Rules'!$F$7:$F$26,MATCH(SUBSTITUTE(SUBSTITUTE(SUBSTITUTE(SUBSTITUTE("type:"&amp;B1486,"%","%25"),"~","%7E"),"*","%2A"),"?","%3F"),'Rules'!$G$7:$G$26,0)),IF(AND(C1486&lt;&gt;"",C1486&lt;&gt;INDEX('Rules'!$B$7:$B$26,MATCH(SUBSTITUTE(SUBSTITUTE(SUBSTITUTE(SUBSTITUTE("type:"&amp;B1486,"%","%25"),"~","%7E"),"*","%2A"),"?","%3F"),'Rules'!$G$7:$G$26,0))),"Unit mismatch",IF(IF(NOT(ISNUMBER(D1486)),TRUE,OR(D1486&lt;0,D1486&gt;999999999,ROUND(D1486,3)&lt;&gt;D1486)),"Invalid current reading",IF(AND(E1486&lt;&gt;"",IF(NOT(ISNUMBER(E1486)),TRUE,OR(E1486&lt;0,E1486&gt;999999999,ROUND(E1486,3)&lt;&gt;E1486))),"Invalid previous reading",IF(IF(NOT(ISNUMBER(F1486)),TRUE,OR(F1486&lt;0,F1486&gt;999999999,ROUND(F1486,3)&lt;&gt;F1486)),"Invalid last service",IF(AND(E1486&lt;&gt;"",D1486&lt;E1486),"Decreased reading",IF(F1486&gt;D1486,"Last service above current","")))))))))))))</x:f>
      </x:c>
      <x:c r="L1486" s="6" t="str">
        <x:f>IF(AND(NOT(COUNTA(A1486:F1486)=0),K1486=""),INDEX('Rules'!$C$7:$C$26,MATCH(SUBSTITUTE(SUBSTITUTE(SUBSTITUTE(SUBSTITUTE("type:"&amp;B1486,"%","%25"),"~","%7E"),"*","%2A"),"?","%3F"),'Rules'!$G$7:$G$26,0)),"")</x:f>
      </x:c>
      <x:c r="M1486" s="6" t="str">
        <x:f>IF(AND(NOT(COUNTA(A1486:F1486)=0),K1486=""),INDEX('Rules'!$D$7:$D$26,MATCH(SUBSTITUTE(SUBSTITUTE(SUBSTITUTE(SUBSTITUTE("type:"&amp;B1486,"%","%25"),"~","%7E"),"*","%2A"),"?","%3F"),'Rules'!$G$7:$G$26,0)),"")</x:f>
      </x:c>
      <x:c r="N1486" s="5" t="str">
        <x:f>IF(COUNTA(A1486:F1486)=0,"",SUBSTITUTE(SUBSTITUTE(SUBSTITUTE(SUBSTITUTE("id:"&amp;A1486,"%","%25"),"~","%7E"),"*","%2A"),"?","%3F"))</x:f>
      </x:c>
    </x:row>
    <x:row r="1487" ht="22" customHeight="1">
      <x:c r="A1487" s="3"/>
      <x:c r="B1487" s="3"/>
      <x:c r="C1487" s="3"/>
      <x:c r="D1487" s="4"/>
      <x:c r="E1487" s="4"/>
      <x:c r="F1487" s="4"/>
      <x:c r="G1487" s="5" t="str">
        <x:f>IF(COUNTA(A1487:F1487)=0,"",IF(K1487&lt;&gt;"","Review",IF(I1487&lt;0,"Overdue",IF(I1487=0,"Due now",IF(I1487&lt;=M1487,"Due soon","Not due")))))</x:f>
      </x:c>
      <x:c r="H1487" s="5" t="str">
        <x:f>IF(OR(COUNTA(A1487:F1487)=0,COUNTIFS('Rules'!$G$7:$G$26,"="&amp;(SUBSTITUTE(SUBSTITUTE(SUBSTITUTE(SUBSTITUTE("type:"&amp;B1487,"%","%25"),"~","%7E"),"*","%2A"),"?","%3F")))&lt;&gt;1),"",IF(OR(INDEX('Rules'!$B$7:$B$26,MATCH(SUBSTITUTE(SUBSTITUTE(SUBSTITUTE(SUBSTITUTE("type:"&amp;B1487,"%","%25"),"~","%7E"),"*","%2A"),"?","%3F"),'Rules'!$G$7:$G$26,0))="hours",INDEX('Rules'!$B$7:$B$26,MATCH(SUBSTITUTE(SUBSTITUTE(SUBSTITUTE(SUBSTITUTE("type:"&amp;B1487,"%","%25"),"~","%7E"),"*","%2A"),"?","%3F"),'Rules'!$G$7:$G$26,0))="km"),INDEX('Rules'!$B$7:$B$26,MATCH(SUBSTITUTE(SUBSTITUTE(SUBSTITUTE(SUBSTITUTE("type:"&amp;B1487,"%","%25"),"~","%7E"),"*","%2A"),"?","%3F"),'Rules'!$G$7:$G$26,0)),""))</x:f>
      </x:c>
      <x:c r="I1487" s="6" t="str">
        <x:f>IF(AND(NOT(COUNTA(A1487:F1487)=0),K1487=""),ROUND(J1487-D1487,3),"")</x:f>
      </x:c>
      <x:c r="J1487" s="6" t="str">
        <x:f>IF(AND(NOT(COUNTA(A1487:F1487)=0),K1487=""),ROUND(F1487+L1487,3),"")</x:f>
      </x:c>
      <x:c r="K1487" s="5" t="str">
        <x:f>IF(COUNTA(A1487:F1487)=0,"",IF(A1487="","Missing equipment ID",IF(COUNTIFS($N$8:$N$2007,"="&amp;N1487)&gt;1,"Duplicate equipment ID",IF(B1487="","Missing type",IF(COUNTIFS('Rules'!$G$7:$G$26,"="&amp;(SUBSTITUTE(SUBSTITUTE(SUBSTITUTE(SUBSTITUTE("type:"&amp;B1487,"%","%25"),"~","%7E"),"*","%2A"),"?","%3F")))=0,"Unknown type",IF(COUNTIFS('Rules'!$G$7:$G$26,"="&amp;(SUBSTITUTE(SUBSTITUTE(SUBSTITUTE(SUBSTITUTE("type:"&amp;B1487,"%","%25"),"~","%7E"),"*","%2A"),"?","%3F")))&gt;1,"Duplicate type",IF(INDEX('Rules'!$F$7:$F$26,MATCH(SUBSTITUTE(SUBSTITUTE(SUBSTITUTE(SUBSTITUTE("type:"&amp;B1487,"%","%25"),"~","%7E"),"*","%2A"),"?","%3F"),'Rules'!$G$7:$G$26,0))&lt;&gt;"",INDEX('Rules'!$F$7:$F$26,MATCH(SUBSTITUTE(SUBSTITUTE(SUBSTITUTE(SUBSTITUTE("type:"&amp;B1487,"%","%25"),"~","%7E"),"*","%2A"),"?","%3F"),'Rules'!$G$7:$G$26,0)),IF(AND(C1487&lt;&gt;"",C1487&lt;&gt;INDEX('Rules'!$B$7:$B$26,MATCH(SUBSTITUTE(SUBSTITUTE(SUBSTITUTE(SUBSTITUTE("type:"&amp;B1487,"%","%25"),"~","%7E"),"*","%2A"),"?","%3F"),'Rules'!$G$7:$G$26,0))),"Unit mismatch",IF(IF(NOT(ISNUMBER(D1487)),TRUE,OR(D1487&lt;0,D1487&gt;999999999,ROUND(D1487,3)&lt;&gt;D1487)),"Invalid current reading",IF(AND(E1487&lt;&gt;"",IF(NOT(ISNUMBER(E1487)),TRUE,OR(E1487&lt;0,E1487&gt;999999999,ROUND(E1487,3)&lt;&gt;E1487))),"Invalid previous reading",IF(IF(NOT(ISNUMBER(F1487)),TRUE,OR(F1487&lt;0,F1487&gt;999999999,ROUND(F1487,3)&lt;&gt;F1487)),"Invalid last service",IF(AND(E1487&lt;&gt;"",D1487&lt;E1487),"Decreased reading",IF(F1487&gt;D1487,"Last service above current","")))))))))))))</x:f>
      </x:c>
      <x:c r="L1487" s="6" t="str">
        <x:f>IF(AND(NOT(COUNTA(A1487:F1487)=0),K1487=""),INDEX('Rules'!$C$7:$C$26,MATCH(SUBSTITUTE(SUBSTITUTE(SUBSTITUTE(SUBSTITUTE("type:"&amp;B1487,"%","%25"),"~","%7E"),"*","%2A"),"?","%3F"),'Rules'!$G$7:$G$26,0)),"")</x:f>
      </x:c>
      <x:c r="M1487" s="6" t="str">
        <x:f>IF(AND(NOT(COUNTA(A1487:F1487)=0),K1487=""),INDEX('Rules'!$D$7:$D$26,MATCH(SUBSTITUTE(SUBSTITUTE(SUBSTITUTE(SUBSTITUTE("type:"&amp;B1487,"%","%25"),"~","%7E"),"*","%2A"),"?","%3F"),'Rules'!$G$7:$G$26,0)),"")</x:f>
      </x:c>
      <x:c r="N1487" s="5" t="str">
        <x:f>IF(COUNTA(A1487:F1487)=0,"",SUBSTITUTE(SUBSTITUTE(SUBSTITUTE(SUBSTITUTE("id:"&amp;A1487,"%","%25"),"~","%7E"),"*","%2A"),"?","%3F"))</x:f>
      </x:c>
    </x:row>
    <x:row r="1488" ht="22" customHeight="1">
      <x:c r="A1488" s="3"/>
      <x:c r="B1488" s="3"/>
      <x:c r="C1488" s="3"/>
      <x:c r="D1488" s="4"/>
      <x:c r="E1488" s="4"/>
      <x:c r="F1488" s="4"/>
      <x:c r="G1488" s="5" t="str">
        <x:f>IF(COUNTA(A1488:F1488)=0,"",IF(K1488&lt;&gt;"","Review",IF(I1488&lt;0,"Overdue",IF(I1488=0,"Due now",IF(I1488&lt;=M1488,"Due soon","Not due")))))</x:f>
      </x:c>
      <x:c r="H1488" s="5" t="str">
        <x:f>IF(OR(COUNTA(A1488:F1488)=0,COUNTIFS('Rules'!$G$7:$G$26,"="&amp;(SUBSTITUTE(SUBSTITUTE(SUBSTITUTE(SUBSTITUTE("type:"&amp;B1488,"%","%25"),"~","%7E"),"*","%2A"),"?","%3F")))&lt;&gt;1),"",IF(OR(INDEX('Rules'!$B$7:$B$26,MATCH(SUBSTITUTE(SUBSTITUTE(SUBSTITUTE(SUBSTITUTE("type:"&amp;B1488,"%","%25"),"~","%7E"),"*","%2A"),"?","%3F"),'Rules'!$G$7:$G$26,0))="hours",INDEX('Rules'!$B$7:$B$26,MATCH(SUBSTITUTE(SUBSTITUTE(SUBSTITUTE(SUBSTITUTE("type:"&amp;B1488,"%","%25"),"~","%7E"),"*","%2A"),"?","%3F"),'Rules'!$G$7:$G$26,0))="km"),INDEX('Rules'!$B$7:$B$26,MATCH(SUBSTITUTE(SUBSTITUTE(SUBSTITUTE(SUBSTITUTE("type:"&amp;B1488,"%","%25"),"~","%7E"),"*","%2A"),"?","%3F"),'Rules'!$G$7:$G$26,0)),""))</x:f>
      </x:c>
      <x:c r="I1488" s="6" t="str">
        <x:f>IF(AND(NOT(COUNTA(A1488:F1488)=0),K1488=""),ROUND(J1488-D1488,3),"")</x:f>
      </x:c>
      <x:c r="J1488" s="6" t="str">
        <x:f>IF(AND(NOT(COUNTA(A1488:F1488)=0),K1488=""),ROUND(F1488+L1488,3),"")</x:f>
      </x:c>
      <x:c r="K1488" s="5" t="str">
        <x:f>IF(COUNTA(A1488:F1488)=0,"",IF(A1488="","Missing equipment ID",IF(COUNTIFS($N$8:$N$2007,"="&amp;N1488)&gt;1,"Duplicate equipment ID",IF(B1488="","Missing type",IF(COUNTIFS('Rules'!$G$7:$G$26,"="&amp;(SUBSTITUTE(SUBSTITUTE(SUBSTITUTE(SUBSTITUTE("type:"&amp;B1488,"%","%25"),"~","%7E"),"*","%2A"),"?","%3F")))=0,"Unknown type",IF(COUNTIFS('Rules'!$G$7:$G$26,"="&amp;(SUBSTITUTE(SUBSTITUTE(SUBSTITUTE(SUBSTITUTE("type:"&amp;B1488,"%","%25"),"~","%7E"),"*","%2A"),"?","%3F")))&gt;1,"Duplicate type",IF(INDEX('Rules'!$F$7:$F$26,MATCH(SUBSTITUTE(SUBSTITUTE(SUBSTITUTE(SUBSTITUTE("type:"&amp;B1488,"%","%25"),"~","%7E"),"*","%2A"),"?","%3F"),'Rules'!$G$7:$G$26,0))&lt;&gt;"",INDEX('Rules'!$F$7:$F$26,MATCH(SUBSTITUTE(SUBSTITUTE(SUBSTITUTE(SUBSTITUTE("type:"&amp;B1488,"%","%25"),"~","%7E"),"*","%2A"),"?","%3F"),'Rules'!$G$7:$G$26,0)),IF(AND(C1488&lt;&gt;"",C1488&lt;&gt;INDEX('Rules'!$B$7:$B$26,MATCH(SUBSTITUTE(SUBSTITUTE(SUBSTITUTE(SUBSTITUTE("type:"&amp;B1488,"%","%25"),"~","%7E"),"*","%2A"),"?","%3F"),'Rules'!$G$7:$G$26,0))),"Unit mismatch",IF(IF(NOT(ISNUMBER(D1488)),TRUE,OR(D1488&lt;0,D1488&gt;999999999,ROUND(D1488,3)&lt;&gt;D1488)),"Invalid current reading",IF(AND(E1488&lt;&gt;"",IF(NOT(ISNUMBER(E1488)),TRUE,OR(E1488&lt;0,E1488&gt;999999999,ROUND(E1488,3)&lt;&gt;E1488))),"Invalid previous reading",IF(IF(NOT(ISNUMBER(F1488)),TRUE,OR(F1488&lt;0,F1488&gt;999999999,ROUND(F1488,3)&lt;&gt;F1488)),"Invalid last service",IF(AND(E1488&lt;&gt;"",D1488&lt;E1488),"Decreased reading",IF(F1488&gt;D1488,"Last service above current","")))))))))))))</x:f>
      </x:c>
      <x:c r="L1488" s="6" t="str">
        <x:f>IF(AND(NOT(COUNTA(A1488:F1488)=0),K1488=""),INDEX('Rules'!$C$7:$C$26,MATCH(SUBSTITUTE(SUBSTITUTE(SUBSTITUTE(SUBSTITUTE("type:"&amp;B1488,"%","%25"),"~","%7E"),"*","%2A"),"?","%3F"),'Rules'!$G$7:$G$26,0)),"")</x:f>
      </x:c>
      <x:c r="M1488" s="6" t="str">
        <x:f>IF(AND(NOT(COUNTA(A1488:F1488)=0),K1488=""),INDEX('Rules'!$D$7:$D$26,MATCH(SUBSTITUTE(SUBSTITUTE(SUBSTITUTE(SUBSTITUTE("type:"&amp;B1488,"%","%25"),"~","%7E"),"*","%2A"),"?","%3F"),'Rules'!$G$7:$G$26,0)),"")</x:f>
      </x:c>
      <x:c r="N1488" s="5" t="str">
        <x:f>IF(COUNTA(A1488:F1488)=0,"",SUBSTITUTE(SUBSTITUTE(SUBSTITUTE(SUBSTITUTE("id:"&amp;A1488,"%","%25"),"~","%7E"),"*","%2A"),"?","%3F"))</x:f>
      </x:c>
    </x:row>
    <x:row r="1489" ht="22" customHeight="1">
      <x:c r="A1489" s="3"/>
      <x:c r="B1489" s="3"/>
      <x:c r="C1489" s="3"/>
      <x:c r="D1489" s="4"/>
      <x:c r="E1489" s="4"/>
      <x:c r="F1489" s="4"/>
      <x:c r="G1489" s="5" t="str">
        <x:f>IF(COUNTA(A1489:F1489)=0,"",IF(K1489&lt;&gt;"","Review",IF(I1489&lt;0,"Overdue",IF(I1489=0,"Due now",IF(I1489&lt;=M1489,"Due soon","Not due")))))</x:f>
      </x:c>
      <x:c r="H1489" s="5" t="str">
        <x:f>IF(OR(COUNTA(A1489:F1489)=0,COUNTIFS('Rules'!$G$7:$G$26,"="&amp;(SUBSTITUTE(SUBSTITUTE(SUBSTITUTE(SUBSTITUTE("type:"&amp;B1489,"%","%25"),"~","%7E"),"*","%2A"),"?","%3F")))&lt;&gt;1),"",IF(OR(INDEX('Rules'!$B$7:$B$26,MATCH(SUBSTITUTE(SUBSTITUTE(SUBSTITUTE(SUBSTITUTE("type:"&amp;B1489,"%","%25"),"~","%7E"),"*","%2A"),"?","%3F"),'Rules'!$G$7:$G$26,0))="hours",INDEX('Rules'!$B$7:$B$26,MATCH(SUBSTITUTE(SUBSTITUTE(SUBSTITUTE(SUBSTITUTE("type:"&amp;B1489,"%","%25"),"~","%7E"),"*","%2A"),"?","%3F"),'Rules'!$G$7:$G$26,0))="km"),INDEX('Rules'!$B$7:$B$26,MATCH(SUBSTITUTE(SUBSTITUTE(SUBSTITUTE(SUBSTITUTE("type:"&amp;B1489,"%","%25"),"~","%7E"),"*","%2A"),"?","%3F"),'Rules'!$G$7:$G$26,0)),""))</x:f>
      </x:c>
      <x:c r="I1489" s="6" t="str">
        <x:f>IF(AND(NOT(COUNTA(A1489:F1489)=0),K1489=""),ROUND(J1489-D1489,3),"")</x:f>
      </x:c>
      <x:c r="J1489" s="6" t="str">
        <x:f>IF(AND(NOT(COUNTA(A1489:F1489)=0),K1489=""),ROUND(F1489+L1489,3),"")</x:f>
      </x:c>
      <x:c r="K1489" s="5" t="str">
        <x:f>IF(COUNTA(A1489:F1489)=0,"",IF(A1489="","Missing equipment ID",IF(COUNTIFS($N$8:$N$2007,"="&amp;N1489)&gt;1,"Duplicate equipment ID",IF(B1489="","Missing type",IF(COUNTIFS('Rules'!$G$7:$G$26,"="&amp;(SUBSTITUTE(SUBSTITUTE(SUBSTITUTE(SUBSTITUTE("type:"&amp;B1489,"%","%25"),"~","%7E"),"*","%2A"),"?","%3F")))=0,"Unknown type",IF(COUNTIFS('Rules'!$G$7:$G$26,"="&amp;(SUBSTITUTE(SUBSTITUTE(SUBSTITUTE(SUBSTITUTE("type:"&amp;B1489,"%","%25"),"~","%7E"),"*","%2A"),"?","%3F")))&gt;1,"Duplicate type",IF(INDEX('Rules'!$F$7:$F$26,MATCH(SUBSTITUTE(SUBSTITUTE(SUBSTITUTE(SUBSTITUTE("type:"&amp;B1489,"%","%25"),"~","%7E"),"*","%2A"),"?","%3F"),'Rules'!$G$7:$G$26,0))&lt;&gt;"",INDEX('Rules'!$F$7:$F$26,MATCH(SUBSTITUTE(SUBSTITUTE(SUBSTITUTE(SUBSTITUTE("type:"&amp;B1489,"%","%25"),"~","%7E"),"*","%2A"),"?","%3F"),'Rules'!$G$7:$G$26,0)),IF(AND(C1489&lt;&gt;"",C1489&lt;&gt;INDEX('Rules'!$B$7:$B$26,MATCH(SUBSTITUTE(SUBSTITUTE(SUBSTITUTE(SUBSTITUTE("type:"&amp;B1489,"%","%25"),"~","%7E"),"*","%2A"),"?","%3F"),'Rules'!$G$7:$G$26,0))),"Unit mismatch",IF(IF(NOT(ISNUMBER(D1489)),TRUE,OR(D1489&lt;0,D1489&gt;999999999,ROUND(D1489,3)&lt;&gt;D1489)),"Invalid current reading",IF(AND(E1489&lt;&gt;"",IF(NOT(ISNUMBER(E1489)),TRUE,OR(E1489&lt;0,E1489&gt;999999999,ROUND(E1489,3)&lt;&gt;E1489))),"Invalid previous reading",IF(IF(NOT(ISNUMBER(F1489)),TRUE,OR(F1489&lt;0,F1489&gt;999999999,ROUND(F1489,3)&lt;&gt;F1489)),"Invalid last service",IF(AND(E1489&lt;&gt;"",D1489&lt;E1489),"Decreased reading",IF(F1489&gt;D1489,"Last service above current","")))))))))))))</x:f>
      </x:c>
      <x:c r="L1489" s="6" t="str">
        <x:f>IF(AND(NOT(COUNTA(A1489:F1489)=0),K1489=""),INDEX('Rules'!$C$7:$C$26,MATCH(SUBSTITUTE(SUBSTITUTE(SUBSTITUTE(SUBSTITUTE("type:"&amp;B1489,"%","%25"),"~","%7E"),"*","%2A"),"?","%3F"),'Rules'!$G$7:$G$26,0)),"")</x:f>
      </x:c>
      <x:c r="M1489" s="6" t="str">
        <x:f>IF(AND(NOT(COUNTA(A1489:F1489)=0),K1489=""),INDEX('Rules'!$D$7:$D$26,MATCH(SUBSTITUTE(SUBSTITUTE(SUBSTITUTE(SUBSTITUTE("type:"&amp;B1489,"%","%25"),"~","%7E"),"*","%2A"),"?","%3F"),'Rules'!$G$7:$G$26,0)),"")</x:f>
      </x:c>
      <x:c r="N1489" s="5" t="str">
        <x:f>IF(COUNTA(A1489:F1489)=0,"",SUBSTITUTE(SUBSTITUTE(SUBSTITUTE(SUBSTITUTE("id:"&amp;A1489,"%","%25"),"~","%7E"),"*","%2A"),"?","%3F"))</x:f>
      </x:c>
    </x:row>
    <x:row r="1490" ht="22" customHeight="1">
      <x:c r="A1490" s="3"/>
      <x:c r="B1490" s="3"/>
      <x:c r="C1490" s="3"/>
      <x:c r="D1490" s="4"/>
      <x:c r="E1490" s="4"/>
      <x:c r="F1490" s="4"/>
      <x:c r="G1490" s="5" t="str">
        <x:f>IF(COUNTA(A1490:F1490)=0,"",IF(K1490&lt;&gt;"","Review",IF(I1490&lt;0,"Overdue",IF(I1490=0,"Due now",IF(I1490&lt;=M1490,"Due soon","Not due")))))</x:f>
      </x:c>
      <x:c r="H1490" s="5" t="str">
        <x:f>IF(OR(COUNTA(A1490:F1490)=0,COUNTIFS('Rules'!$G$7:$G$26,"="&amp;(SUBSTITUTE(SUBSTITUTE(SUBSTITUTE(SUBSTITUTE("type:"&amp;B1490,"%","%25"),"~","%7E"),"*","%2A"),"?","%3F")))&lt;&gt;1),"",IF(OR(INDEX('Rules'!$B$7:$B$26,MATCH(SUBSTITUTE(SUBSTITUTE(SUBSTITUTE(SUBSTITUTE("type:"&amp;B1490,"%","%25"),"~","%7E"),"*","%2A"),"?","%3F"),'Rules'!$G$7:$G$26,0))="hours",INDEX('Rules'!$B$7:$B$26,MATCH(SUBSTITUTE(SUBSTITUTE(SUBSTITUTE(SUBSTITUTE("type:"&amp;B1490,"%","%25"),"~","%7E"),"*","%2A"),"?","%3F"),'Rules'!$G$7:$G$26,0))="km"),INDEX('Rules'!$B$7:$B$26,MATCH(SUBSTITUTE(SUBSTITUTE(SUBSTITUTE(SUBSTITUTE("type:"&amp;B1490,"%","%25"),"~","%7E"),"*","%2A"),"?","%3F"),'Rules'!$G$7:$G$26,0)),""))</x:f>
      </x:c>
      <x:c r="I1490" s="6" t="str">
        <x:f>IF(AND(NOT(COUNTA(A1490:F1490)=0),K1490=""),ROUND(J1490-D1490,3),"")</x:f>
      </x:c>
      <x:c r="J1490" s="6" t="str">
        <x:f>IF(AND(NOT(COUNTA(A1490:F1490)=0),K1490=""),ROUND(F1490+L1490,3),"")</x:f>
      </x:c>
      <x:c r="K1490" s="5" t="str">
        <x:f>IF(COUNTA(A1490:F1490)=0,"",IF(A1490="","Missing equipment ID",IF(COUNTIFS($N$8:$N$2007,"="&amp;N1490)&gt;1,"Duplicate equipment ID",IF(B1490="","Missing type",IF(COUNTIFS('Rules'!$G$7:$G$26,"="&amp;(SUBSTITUTE(SUBSTITUTE(SUBSTITUTE(SUBSTITUTE("type:"&amp;B1490,"%","%25"),"~","%7E"),"*","%2A"),"?","%3F")))=0,"Unknown type",IF(COUNTIFS('Rules'!$G$7:$G$26,"="&amp;(SUBSTITUTE(SUBSTITUTE(SUBSTITUTE(SUBSTITUTE("type:"&amp;B1490,"%","%25"),"~","%7E"),"*","%2A"),"?","%3F")))&gt;1,"Duplicate type",IF(INDEX('Rules'!$F$7:$F$26,MATCH(SUBSTITUTE(SUBSTITUTE(SUBSTITUTE(SUBSTITUTE("type:"&amp;B1490,"%","%25"),"~","%7E"),"*","%2A"),"?","%3F"),'Rules'!$G$7:$G$26,0))&lt;&gt;"",INDEX('Rules'!$F$7:$F$26,MATCH(SUBSTITUTE(SUBSTITUTE(SUBSTITUTE(SUBSTITUTE("type:"&amp;B1490,"%","%25"),"~","%7E"),"*","%2A"),"?","%3F"),'Rules'!$G$7:$G$26,0)),IF(AND(C1490&lt;&gt;"",C1490&lt;&gt;INDEX('Rules'!$B$7:$B$26,MATCH(SUBSTITUTE(SUBSTITUTE(SUBSTITUTE(SUBSTITUTE("type:"&amp;B1490,"%","%25"),"~","%7E"),"*","%2A"),"?","%3F"),'Rules'!$G$7:$G$26,0))),"Unit mismatch",IF(IF(NOT(ISNUMBER(D1490)),TRUE,OR(D1490&lt;0,D1490&gt;999999999,ROUND(D1490,3)&lt;&gt;D1490)),"Invalid current reading",IF(AND(E1490&lt;&gt;"",IF(NOT(ISNUMBER(E1490)),TRUE,OR(E1490&lt;0,E1490&gt;999999999,ROUND(E1490,3)&lt;&gt;E1490))),"Invalid previous reading",IF(IF(NOT(ISNUMBER(F1490)),TRUE,OR(F1490&lt;0,F1490&gt;999999999,ROUND(F1490,3)&lt;&gt;F1490)),"Invalid last service",IF(AND(E1490&lt;&gt;"",D1490&lt;E1490),"Decreased reading",IF(F1490&gt;D1490,"Last service above current","")))))))))))))</x:f>
      </x:c>
      <x:c r="L1490" s="6" t="str">
        <x:f>IF(AND(NOT(COUNTA(A1490:F1490)=0),K1490=""),INDEX('Rules'!$C$7:$C$26,MATCH(SUBSTITUTE(SUBSTITUTE(SUBSTITUTE(SUBSTITUTE("type:"&amp;B1490,"%","%25"),"~","%7E"),"*","%2A"),"?","%3F"),'Rules'!$G$7:$G$26,0)),"")</x:f>
      </x:c>
      <x:c r="M1490" s="6" t="str">
        <x:f>IF(AND(NOT(COUNTA(A1490:F1490)=0),K1490=""),INDEX('Rules'!$D$7:$D$26,MATCH(SUBSTITUTE(SUBSTITUTE(SUBSTITUTE(SUBSTITUTE("type:"&amp;B1490,"%","%25"),"~","%7E"),"*","%2A"),"?","%3F"),'Rules'!$G$7:$G$26,0)),"")</x:f>
      </x:c>
      <x:c r="N1490" s="5" t="str">
        <x:f>IF(COUNTA(A1490:F1490)=0,"",SUBSTITUTE(SUBSTITUTE(SUBSTITUTE(SUBSTITUTE("id:"&amp;A1490,"%","%25"),"~","%7E"),"*","%2A"),"?","%3F"))</x:f>
      </x:c>
    </x:row>
    <x:row r="1491" ht="22" customHeight="1">
      <x:c r="A1491" s="3"/>
      <x:c r="B1491" s="3"/>
      <x:c r="C1491" s="3"/>
      <x:c r="D1491" s="4"/>
      <x:c r="E1491" s="4"/>
      <x:c r="F1491" s="4"/>
      <x:c r="G1491" s="5" t="str">
        <x:f>IF(COUNTA(A1491:F1491)=0,"",IF(K1491&lt;&gt;"","Review",IF(I1491&lt;0,"Overdue",IF(I1491=0,"Due now",IF(I1491&lt;=M1491,"Due soon","Not due")))))</x:f>
      </x:c>
      <x:c r="H1491" s="5" t="str">
        <x:f>IF(OR(COUNTA(A1491:F1491)=0,COUNTIFS('Rules'!$G$7:$G$26,"="&amp;(SUBSTITUTE(SUBSTITUTE(SUBSTITUTE(SUBSTITUTE("type:"&amp;B1491,"%","%25"),"~","%7E"),"*","%2A"),"?","%3F")))&lt;&gt;1),"",IF(OR(INDEX('Rules'!$B$7:$B$26,MATCH(SUBSTITUTE(SUBSTITUTE(SUBSTITUTE(SUBSTITUTE("type:"&amp;B1491,"%","%25"),"~","%7E"),"*","%2A"),"?","%3F"),'Rules'!$G$7:$G$26,0))="hours",INDEX('Rules'!$B$7:$B$26,MATCH(SUBSTITUTE(SUBSTITUTE(SUBSTITUTE(SUBSTITUTE("type:"&amp;B1491,"%","%25"),"~","%7E"),"*","%2A"),"?","%3F"),'Rules'!$G$7:$G$26,0))="km"),INDEX('Rules'!$B$7:$B$26,MATCH(SUBSTITUTE(SUBSTITUTE(SUBSTITUTE(SUBSTITUTE("type:"&amp;B1491,"%","%25"),"~","%7E"),"*","%2A"),"?","%3F"),'Rules'!$G$7:$G$26,0)),""))</x:f>
      </x:c>
      <x:c r="I1491" s="6" t="str">
        <x:f>IF(AND(NOT(COUNTA(A1491:F1491)=0),K1491=""),ROUND(J1491-D1491,3),"")</x:f>
      </x:c>
      <x:c r="J1491" s="6" t="str">
        <x:f>IF(AND(NOT(COUNTA(A1491:F1491)=0),K1491=""),ROUND(F1491+L1491,3),"")</x:f>
      </x:c>
      <x:c r="K1491" s="5" t="str">
        <x:f>IF(COUNTA(A1491:F1491)=0,"",IF(A1491="","Missing equipment ID",IF(COUNTIFS($N$8:$N$2007,"="&amp;N1491)&gt;1,"Duplicate equipment ID",IF(B1491="","Missing type",IF(COUNTIFS('Rules'!$G$7:$G$26,"="&amp;(SUBSTITUTE(SUBSTITUTE(SUBSTITUTE(SUBSTITUTE("type:"&amp;B1491,"%","%25"),"~","%7E"),"*","%2A"),"?","%3F")))=0,"Unknown type",IF(COUNTIFS('Rules'!$G$7:$G$26,"="&amp;(SUBSTITUTE(SUBSTITUTE(SUBSTITUTE(SUBSTITUTE("type:"&amp;B1491,"%","%25"),"~","%7E"),"*","%2A"),"?","%3F")))&gt;1,"Duplicate type",IF(INDEX('Rules'!$F$7:$F$26,MATCH(SUBSTITUTE(SUBSTITUTE(SUBSTITUTE(SUBSTITUTE("type:"&amp;B1491,"%","%25"),"~","%7E"),"*","%2A"),"?","%3F"),'Rules'!$G$7:$G$26,0))&lt;&gt;"",INDEX('Rules'!$F$7:$F$26,MATCH(SUBSTITUTE(SUBSTITUTE(SUBSTITUTE(SUBSTITUTE("type:"&amp;B1491,"%","%25"),"~","%7E"),"*","%2A"),"?","%3F"),'Rules'!$G$7:$G$26,0)),IF(AND(C1491&lt;&gt;"",C1491&lt;&gt;INDEX('Rules'!$B$7:$B$26,MATCH(SUBSTITUTE(SUBSTITUTE(SUBSTITUTE(SUBSTITUTE("type:"&amp;B1491,"%","%25"),"~","%7E"),"*","%2A"),"?","%3F"),'Rules'!$G$7:$G$26,0))),"Unit mismatch",IF(IF(NOT(ISNUMBER(D1491)),TRUE,OR(D1491&lt;0,D1491&gt;999999999,ROUND(D1491,3)&lt;&gt;D1491)),"Invalid current reading",IF(AND(E1491&lt;&gt;"",IF(NOT(ISNUMBER(E1491)),TRUE,OR(E1491&lt;0,E1491&gt;999999999,ROUND(E1491,3)&lt;&gt;E1491))),"Invalid previous reading",IF(IF(NOT(ISNUMBER(F1491)),TRUE,OR(F1491&lt;0,F1491&gt;999999999,ROUND(F1491,3)&lt;&gt;F1491)),"Invalid last service",IF(AND(E1491&lt;&gt;"",D1491&lt;E1491),"Decreased reading",IF(F1491&gt;D1491,"Last service above current","")))))))))))))</x:f>
      </x:c>
      <x:c r="L1491" s="6" t="str">
        <x:f>IF(AND(NOT(COUNTA(A1491:F1491)=0),K1491=""),INDEX('Rules'!$C$7:$C$26,MATCH(SUBSTITUTE(SUBSTITUTE(SUBSTITUTE(SUBSTITUTE("type:"&amp;B1491,"%","%25"),"~","%7E"),"*","%2A"),"?","%3F"),'Rules'!$G$7:$G$26,0)),"")</x:f>
      </x:c>
      <x:c r="M1491" s="6" t="str">
        <x:f>IF(AND(NOT(COUNTA(A1491:F1491)=0),K1491=""),INDEX('Rules'!$D$7:$D$26,MATCH(SUBSTITUTE(SUBSTITUTE(SUBSTITUTE(SUBSTITUTE("type:"&amp;B1491,"%","%25"),"~","%7E"),"*","%2A"),"?","%3F"),'Rules'!$G$7:$G$26,0)),"")</x:f>
      </x:c>
      <x:c r="N1491" s="5" t="str">
        <x:f>IF(COUNTA(A1491:F1491)=0,"",SUBSTITUTE(SUBSTITUTE(SUBSTITUTE(SUBSTITUTE("id:"&amp;A1491,"%","%25"),"~","%7E"),"*","%2A"),"?","%3F"))</x:f>
      </x:c>
    </x:row>
    <x:row r="1492" ht="22" customHeight="1">
      <x:c r="A1492" s="3"/>
      <x:c r="B1492" s="3"/>
      <x:c r="C1492" s="3"/>
      <x:c r="D1492" s="4"/>
      <x:c r="E1492" s="4"/>
      <x:c r="F1492" s="4"/>
      <x:c r="G1492" s="5" t="str">
        <x:f>IF(COUNTA(A1492:F1492)=0,"",IF(K1492&lt;&gt;"","Review",IF(I1492&lt;0,"Overdue",IF(I1492=0,"Due now",IF(I1492&lt;=M1492,"Due soon","Not due")))))</x:f>
      </x:c>
      <x:c r="H1492" s="5" t="str">
        <x:f>IF(OR(COUNTA(A1492:F1492)=0,COUNTIFS('Rules'!$G$7:$G$26,"="&amp;(SUBSTITUTE(SUBSTITUTE(SUBSTITUTE(SUBSTITUTE("type:"&amp;B1492,"%","%25"),"~","%7E"),"*","%2A"),"?","%3F")))&lt;&gt;1),"",IF(OR(INDEX('Rules'!$B$7:$B$26,MATCH(SUBSTITUTE(SUBSTITUTE(SUBSTITUTE(SUBSTITUTE("type:"&amp;B1492,"%","%25"),"~","%7E"),"*","%2A"),"?","%3F"),'Rules'!$G$7:$G$26,0))="hours",INDEX('Rules'!$B$7:$B$26,MATCH(SUBSTITUTE(SUBSTITUTE(SUBSTITUTE(SUBSTITUTE("type:"&amp;B1492,"%","%25"),"~","%7E"),"*","%2A"),"?","%3F"),'Rules'!$G$7:$G$26,0))="km"),INDEX('Rules'!$B$7:$B$26,MATCH(SUBSTITUTE(SUBSTITUTE(SUBSTITUTE(SUBSTITUTE("type:"&amp;B1492,"%","%25"),"~","%7E"),"*","%2A"),"?","%3F"),'Rules'!$G$7:$G$26,0)),""))</x:f>
      </x:c>
      <x:c r="I1492" s="6" t="str">
        <x:f>IF(AND(NOT(COUNTA(A1492:F1492)=0),K1492=""),ROUND(J1492-D1492,3),"")</x:f>
      </x:c>
      <x:c r="J1492" s="6" t="str">
        <x:f>IF(AND(NOT(COUNTA(A1492:F1492)=0),K1492=""),ROUND(F1492+L1492,3),"")</x:f>
      </x:c>
      <x:c r="K1492" s="5" t="str">
        <x:f>IF(COUNTA(A1492:F1492)=0,"",IF(A1492="","Missing equipment ID",IF(COUNTIFS($N$8:$N$2007,"="&amp;N1492)&gt;1,"Duplicate equipment ID",IF(B1492="","Missing type",IF(COUNTIFS('Rules'!$G$7:$G$26,"="&amp;(SUBSTITUTE(SUBSTITUTE(SUBSTITUTE(SUBSTITUTE("type:"&amp;B1492,"%","%25"),"~","%7E"),"*","%2A"),"?","%3F")))=0,"Unknown type",IF(COUNTIFS('Rules'!$G$7:$G$26,"="&amp;(SUBSTITUTE(SUBSTITUTE(SUBSTITUTE(SUBSTITUTE("type:"&amp;B1492,"%","%25"),"~","%7E"),"*","%2A"),"?","%3F")))&gt;1,"Duplicate type",IF(INDEX('Rules'!$F$7:$F$26,MATCH(SUBSTITUTE(SUBSTITUTE(SUBSTITUTE(SUBSTITUTE("type:"&amp;B1492,"%","%25"),"~","%7E"),"*","%2A"),"?","%3F"),'Rules'!$G$7:$G$26,0))&lt;&gt;"",INDEX('Rules'!$F$7:$F$26,MATCH(SUBSTITUTE(SUBSTITUTE(SUBSTITUTE(SUBSTITUTE("type:"&amp;B1492,"%","%25"),"~","%7E"),"*","%2A"),"?","%3F"),'Rules'!$G$7:$G$26,0)),IF(AND(C1492&lt;&gt;"",C1492&lt;&gt;INDEX('Rules'!$B$7:$B$26,MATCH(SUBSTITUTE(SUBSTITUTE(SUBSTITUTE(SUBSTITUTE("type:"&amp;B1492,"%","%25"),"~","%7E"),"*","%2A"),"?","%3F"),'Rules'!$G$7:$G$26,0))),"Unit mismatch",IF(IF(NOT(ISNUMBER(D1492)),TRUE,OR(D1492&lt;0,D1492&gt;999999999,ROUND(D1492,3)&lt;&gt;D1492)),"Invalid current reading",IF(AND(E1492&lt;&gt;"",IF(NOT(ISNUMBER(E1492)),TRUE,OR(E1492&lt;0,E1492&gt;999999999,ROUND(E1492,3)&lt;&gt;E1492))),"Invalid previous reading",IF(IF(NOT(ISNUMBER(F1492)),TRUE,OR(F1492&lt;0,F1492&gt;999999999,ROUND(F1492,3)&lt;&gt;F1492)),"Invalid last service",IF(AND(E1492&lt;&gt;"",D1492&lt;E1492),"Decreased reading",IF(F1492&gt;D1492,"Last service above current","")))))))))))))</x:f>
      </x:c>
      <x:c r="L1492" s="6" t="str">
        <x:f>IF(AND(NOT(COUNTA(A1492:F1492)=0),K1492=""),INDEX('Rules'!$C$7:$C$26,MATCH(SUBSTITUTE(SUBSTITUTE(SUBSTITUTE(SUBSTITUTE("type:"&amp;B1492,"%","%25"),"~","%7E"),"*","%2A"),"?","%3F"),'Rules'!$G$7:$G$26,0)),"")</x:f>
      </x:c>
      <x:c r="M1492" s="6" t="str">
        <x:f>IF(AND(NOT(COUNTA(A1492:F1492)=0),K1492=""),INDEX('Rules'!$D$7:$D$26,MATCH(SUBSTITUTE(SUBSTITUTE(SUBSTITUTE(SUBSTITUTE("type:"&amp;B1492,"%","%25"),"~","%7E"),"*","%2A"),"?","%3F"),'Rules'!$G$7:$G$26,0)),"")</x:f>
      </x:c>
      <x:c r="N1492" s="5" t="str">
        <x:f>IF(COUNTA(A1492:F1492)=0,"",SUBSTITUTE(SUBSTITUTE(SUBSTITUTE(SUBSTITUTE("id:"&amp;A1492,"%","%25"),"~","%7E"),"*","%2A"),"?","%3F"))</x:f>
      </x:c>
    </x:row>
    <x:row r="1493" ht="22" customHeight="1">
      <x:c r="A1493" s="3"/>
      <x:c r="B1493" s="3"/>
      <x:c r="C1493" s="3"/>
      <x:c r="D1493" s="4"/>
      <x:c r="E1493" s="4"/>
      <x:c r="F1493" s="4"/>
      <x:c r="G1493" s="5" t="str">
        <x:f>IF(COUNTA(A1493:F1493)=0,"",IF(K1493&lt;&gt;"","Review",IF(I1493&lt;0,"Overdue",IF(I1493=0,"Due now",IF(I1493&lt;=M1493,"Due soon","Not due")))))</x:f>
      </x:c>
      <x:c r="H1493" s="5" t="str">
        <x:f>IF(OR(COUNTA(A1493:F1493)=0,COUNTIFS('Rules'!$G$7:$G$26,"="&amp;(SUBSTITUTE(SUBSTITUTE(SUBSTITUTE(SUBSTITUTE("type:"&amp;B1493,"%","%25"),"~","%7E"),"*","%2A"),"?","%3F")))&lt;&gt;1),"",IF(OR(INDEX('Rules'!$B$7:$B$26,MATCH(SUBSTITUTE(SUBSTITUTE(SUBSTITUTE(SUBSTITUTE("type:"&amp;B1493,"%","%25"),"~","%7E"),"*","%2A"),"?","%3F"),'Rules'!$G$7:$G$26,0))="hours",INDEX('Rules'!$B$7:$B$26,MATCH(SUBSTITUTE(SUBSTITUTE(SUBSTITUTE(SUBSTITUTE("type:"&amp;B1493,"%","%25"),"~","%7E"),"*","%2A"),"?","%3F"),'Rules'!$G$7:$G$26,0))="km"),INDEX('Rules'!$B$7:$B$26,MATCH(SUBSTITUTE(SUBSTITUTE(SUBSTITUTE(SUBSTITUTE("type:"&amp;B1493,"%","%25"),"~","%7E"),"*","%2A"),"?","%3F"),'Rules'!$G$7:$G$26,0)),""))</x:f>
      </x:c>
      <x:c r="I1493" s="6" t="str">
        <x:f>IF(AND(NOT(COUNTA(A1493:F1493)=0),K1493=""),ROUND(J1493-D1493,3),"")</x:f>
      </x:c>
      <x:c r="J1493" s="6" t="str">
        <x:f>IF(AND(NOT(COUNTA(A1493:F1493)=0),K1493=""),ROUND(F1493+L1493,3),"")</x:f>
      </x:c>
      <x:c r="K1493" s="5" t="str">
        <x:f>IF(COUNTA(A1493:F1493)=0,"",IF(A1493="","Missing equipment ID",IF(COUNTIFS($N$8:$N$2007,"="&amp;N1493)&gt;1,"Duplicate equipment ID",IF(B1493="","Missing type",IF(COUNTIFS('Rules'!$G$7:$G$26,"="&amp;(SUBSTITUTE(SUBSTITUTE(SUBSTITUTE(SUBSTITUTE("type:"&amp;B1493,"%","%25"),"~","%7E"),"*","%2A"),"?","%3F")))=0,"Unknown type",IF(COUNTIFS('Rules'!$G$7:$G$26,"="&amp;(SUBSTITUTE(SUBSTITUTE(SUBSTITUTE(SUBSTITUTE("type:"&amp;B1493,"%","%25"),"~","%7E"),"*","%2A"),"?","%3F")))&gt;1,"Duplicate type",IF(INDEX('Rules'!$F$7:$F$26,MATCH(SUBSTITUTE(SUBSTITUTE(SUBSTITUTE(SUBSTITUTE("type:"&amp;B1493,"%","%25"),"~","%7E"),"*","%2A"),"?","%3F"),'Rules'!$G$7:$G$26,0))&lt;&gt;"",INDEX('Rules'!$F$7:$F$26,MATCH(SUBSTITUTE(SUBSTITUTE(SUBSTITUTE(SUBSTITUTE("type:"&amp;B1493,"%","%25"),"~","%7E"),"*","%2A"),"?","%3F"),'Rules'!$G$7:$G$26,0)),IF(AND(C1493&lt;&gt;"",C1493&lt;&gt;INDEX('Rules'!$B$7:$B$26,MATCH(SUBSTITUTE(SUBSTITUTE(SUBSTITUTE(SUBSTITUTE("type:"&amp;B1493,"%","%25"),"~","%7E"),"*","%2A"),"?","%3F"),'Rules'!$G$7:$G$26,0))),"Unit mismatch",IF(IF(NOT(ISNUMBER(D1493)),TRUE,OR(D1493&lt;0,D1493&gt;999999999,ROUND(D1493,3)&lt;&gt;D1493)),"Invalid current reading",IF(AND(E1493&lt;&gt;"",IF(NOT(ISNUMBER(E1493)),TRUE,OR(E1493&lt;0,E1493&gt;999999999,ROUND(E1493,3)&lt;&gt;E1493))),"Invalid previous reading",IF(IF(NOT(ISNUMBER(F1493)),TRUE,OR(F1493&lt;0,F1493&gt;999999999,ROUND(F1493,3)&lt;&gt;F1493)),"Invalid last service",IF(AND(E1493&lt;&gt;"",D1493&lt;E1493),"Decreased reading",IF(F1493&gt;D1493,"Last service above current","")))))))))))))</x:f>
      </x:c>
      <x:c r="L1493" s="6" t="str">
        <x:f>IF(AND(NOT(COUNTA(A1493:F1493)=0),K1493=""),INDEX('Rules'!$C$7:$C$26,MATCH(SUBSTITUTE(SUBSTITUTE(SUBSTITUTE(SUBSTITUTE("type:"&amp;B1493,"%","%25"),"~","%7E"),"*","%2A"),"?","%3F"),'Rules'!$G$7:$G$26,0)),"")</x:f>
      </x:c>
      <x:c r="M1493" s="6" t="str">
        <x:f>IF(AND(NOT(COUNTA(A1493:F1493)=0),K1493=""),INDEX('Rules'!$D$7:$D$26,MATCH(SUBSTITUTE(SUBSTITUTE(SUBSTITUTE(SUBSTITUTE("type:"&amp;B1493,"%","%25"),"~","%7E"),"*","%2A"),"?","%3F"),'Rules'!$G$7:$G$26,0)),"")</x:f>
      </x:c>
      <x:c r="N1493" s="5" t="str">
        <x:f>IF(COUNTA(A1493:F1493)=0,"",SUBSTITUTE(SUBSTITUTE(SUBSTITUTE(SUBSTITUTE("id:"&amp;A1493,"%","%25"),"~","%7E"),"*","%2A"),"?","%3F"))</x:f>
      </x:c>
    </x:row>
    <x:row r="1494" ht="22" customHeight="1">
      <x:c r="A1494" s="3"/>
      <x:c r="B1494" s="3"/>
      <x:c r="C1494" s="3"/>
      <x:c r="D1494" s="4"/>
      <x:c r="E1494" s="4"/>
      <x:c r="F1494" s="4"/>
      <x:c r="G1494" s="5" t="str">
        <x:f>IF(COUNTA(A1494:F1494)=0,"",IF(K1494&lt;&gt;"","Review",IF(I1494&lt;0,"Overdue",IF(I1494=0,"Due now",IF(I1494&lt;=M1494,"Due soon","Not due")))))</x:f>
      </x:c>
      <x:c r="H1494" s="5" t="str">
        <x:f>IF(OR(COUNTA(A1494:F1494)=0,COUNTIFS('Rules'!$G$7:$G$26,"="&amp;(SUBSTITUTE(SUBSTITUTE(SUBSTITUTE(SUBSTITUTE("type:"&amp;B1494,"%","%25"),"~","%7E"),"*","%2A"),"?","%3F")))&lt;&gt;1),"",IF(OR(INDEX('Rules'!$B$7:$B$26,MATCH(SUBSTITUTE(SUBSTITUTE(SUBSTITUTE(SUBSTITUTE("type:"&amp;B1494,"%","%25"),"~","%7E"),"*","%2A"),"?","%3F"),'Rules'!$G$7:$G$26,0))="hours",INDEX('Rules'!$B$7:$B$26,MATCH(SUBSTITUTE(SUBSTITUTE(SUBSTITUTE(SUBSTITUTE("type:"&amp;B1494,"%","%25"),"~","%7E"),"*","%2A"),"?","%3F"),'Rules'!$G$7:$G$26,0))="km"),INDEX('Rules'!$B$7:$B$26,MATCH(SUBSTITUTE(SUBSTITUTE(SUBSTITUTE(SUBSTITUTE("type:"&amp;B1494,"%","%25"),"~","%7E"),"*","%2A"),"?","%3F"),'Rules'!$G$7:$G$26,0)),""))</x:f>
      </x:c>
      <x:c r="I1494" s="6" t="str">
        <x:f>IF(AND(NOT(COUNTA(A1494:F1494)=0),K1494=""),ROUND(J1494-D1494,3),"")</x:f>
      </x:c>
      <x:c r="J1494" s="6" t="str">
        <x:f>IF(AND(NOT(COUNTA(A1494:F1494)=0),K1494=""),ROUND(F1494+L1494,3),"")</x:f>
      </x:c>
      <x:c r="K1494" s="5" t="str">
        <x:f>IF(COUNTA(A1494:F1494)=0,"",IF(A1494="","Missing equipment ID",IF(COUNTIFS($N$8:$N$2007,"="&amp;N1494)&gt;1,"Duplicate equipment ID",IF(B1494="","Missing type",IF(COUNTIFS('Rules'!$G$7:$G$26,"="&amp;(SUBSTITUTE(SUBSTITUTE(SUBSTITUTE(SUBSTITUTE("type:"&amp;B1494,"%","%25"),"~","%7E"),"*","%2A"),"?","%3F")))=0,"Unknown type",IF(COUNTIFS('Rules'!$G$7:$G$26,"="&amp;(SUBSTITUTE(SUBSTITUTE(SUBSTITUTE(SUBSTITUTE("type:"&amp;B1494,"%","%25"),"~","%7E"),"*","%2A"),"?","%3F")))&gt;1,"Duplicate type",IF(INDEX('Rules'!$F$7:$F$26,MATCH(SUBSTITUTE(SUBSTITUTE(SUBSTITUTE(SUBSTITUTE("type:"&amp;B1494,"%","%25"),"~","%7E"),"*","%2A"),"?","%3F"),'Rules'!$G$7:$G$26,0))&lt;&gt;"",INDEX('Rules'!$F$7:$F$26,MATCH(SUBSTITUTE(SUBSTITUTE(SUBSTITUTE(SUBSTITUTE("type:"&amp;B1494,"%","%25"),"~","%7E"),"*","%2A"),"?","%3F"),'Rules'!$G$7:$G$26,0)),IF(AND(C1494&lt;&gt;"",C1494&lt;&gt;INDEX('Rules'!$B$7:$B$26,MATCH(SUBSTITUTE(SUBSTITUTE(SUBSTITUTE(SUBSTITUTE("type:"&amp;B1494,"%","%25"),"~","%7E"),"*","%2A"),"?","%3F"),'Rules'!$G$7:$G$26,0))),"Unit mismatch",IF(IF(NOT(ISNUMBER(D1494)),TRUE,OR(D1494&lt;0,D1494&gt;999999999,ROUND(D1494,3)&lt;&gt;D1494)),"Invalid current reading",IF(AND(E1494&lt;&gt;"",IF(NOT(ISNUMBER(E1494)),TRUE,OR(E1494&lt;0,E1494&gt;999999999,ROUND(E1494,3)&lt;&gt;E1494))),"Invalid previous reading",IF(IF(NOT(ISNUMBER(F1494)),TRUE,OR(F1494&lt;0,F1494&gt;999999999,ROUND(F1494,3)&lt;&gt;F1494)),"Invalid last service",IF(AND(E1494&lt;&gt;"",D1494&lt;E1494),"Decreased reading",IF(F1494&gt;D1494,"Last service above current","")))))))))))))</x:f>
      </x:c>
      <x:c r="L1494" s="6" t="str">
        <x:f>IF(AND(NOT(COUNTA(A1494:F1494)=0),K1494=""),INDEX('Rules'!$C$7:$C$26,MATCH(SUBSTITUTE(SUBSTITUTE(SUBSTITUTE(SUBSTITUTE("type:"&amp;B1494,"%","%25"),"~","%7E"),"*","%2A"),"?","%3F"),'Rules'!$G$7:$G$26,0)),"")</x:f>
      </x:c>
      <x:c r="M1494" s="6" t="str">
        <x:f>IF(AND(NOT(COUNTA(A1494:F1494)=0),K1494=""),INDEX('Rules'!$D$7:$D$26,MATCH(SUBSTITUTE(SUBSTITUTE(SUBSTITUTE(SUBSTITUTE("type:"&amp;B1494,"%","%25"),"~","%7E"),"*","%2A"),"?","%3F"),'Rules'!$G$7:$G$26,0)),"")</x:f>
      </x:c>
      <x:c r="N1494" s="5" t="str">
        <x:f>IF(COUNTA(A1494:F1494)=0,"",SUBSTITUTE(SUBSTITUTE(SUBSTITUTE(SUBSTITUTE("id:"&amp;A1494,"%","%25"),"~","%7E"),"*","%2A"),"?","%3F"))</x:f>
      </x:c>
    </x:row>
    <x:row r="1495" ht="22" customHeight="1">
      <x:c r="A1495" s="3"/>
      <x:c r="B1495" s="3"/>
      <x:c r="C1495" s="3"/>
      <x:c r="D1495" s="4"/>
      <x:c r="E1495" s="4"/>
      <x:c r="F1495" s="4"/>
      <x:c r="G1495" s="5" t="str">
        <x:f>IF(COUNTA(A1495:F1495)=0,"",IF(K1495&lt;&gt;"","Review",IF(I1495&lt;0,"Overdue",IF(I1495=0,"Due now",IF(I1495&lt;=M1495,"Due soon","Not due")))))</x:f>
      </x:c>
      <x:c r="H1495" s="5" t="str">
        <x:f>IF(OR(COUNTA(A1495:F1495)=0,COUNTIFS('Rules'!$G$7:$G$26,"="&amp;(SUBSTITUTE(SUBSTITUTE(SUBSTITUTE(SUBSTITUTE("type:"&amp;B1495,"%","%25"),"~","%7E"),"*","%2A"),"?","%3F")))&lt;&gt;1),"",IF(OR(INDEX('Rules'!$B$7:$B$26,MATCH(SUBSTITUTE(SUBSTITUTE(SUBSTITUTE(SUBSTITUTE("type:"&amp;B1495,"%","%25"),"~","%7E"),"*","%2A"),"?","%3F"),'Rules'!$G$7:$G$26,0))="hours",INDEX('Rules'!$B$7:$B$26,MATCH(SUBSTITUTE(SUBSTITUTE(SUBSTITUTE(SUBSTITUTE("type:"&amp;B1495,"%","%25"),"~","%7E"),"*","%2A"),"?","%3F"),'Rules'!$G$7:$G$26,0))="km"),INDEX('Rules'!$B$7:$B$26,MATCH(SUBSTITUTE(SUBSTITUTE(SUBSTITUTE(SUBSTITUTE("type:"&amp;B1495,"%","%25"),"~","%7E"),"*","%2A"),"?","%3F"),'Rules'!$G$7:$G$26,0)),""))</x:f>
      </x:c>
      <x:c r="I1495" s="6" t="str">
        <x:f>IF(AND(NOT(COUNTA(A1495:F1495)=0),K1495=""),ROUND(J1495-D1495,3),"")</x:f>
      </x:c>
      <x:c r="J1495" s="6" t="str">
        <x:f>IF(AND(NOT(COUNTA(A1495:F1495)=0),K1495=""),ROUND(F1495+L1495,3),"")</x:f>
      </x:c>
      <x:c r="K1495" s="5" t="str">
        <x:f>IF(COUNTA(A1495:F1495)=0,"",IF(A1495="","Missing equipment ID",IF(COUNTIFS($N$8:$N$2007,"="&amp;N1495)&gt;1,"Duplicate equipment ID",IF(B1495="","Missing type",IF(COUNTIFS('Rules'!$G$7:$G$26,"="&amp;(SUBSTITUTE(SUBSTITUTE(SUBSTITUTE(SUBSTITUTE("type:"&amp;B1495,"%","%25"),"~","%7E"),"*","%2A"),"?","%3F")))=0,"Unknown type",IF(COUNTIFS('Rules'!$G$7:$G$26,"="&amp;(SUBSTITUTE(SUBSTITUTE(SUBSTITUTE(SUBSTITUTE("type:"&amp;B1495,"%","%25"),"~","%7E"),"*","%2A"),"?","%3F")))&gt;1,"Duplicate type",IF(INDEX('Rules'!$F$7:$F$26,MATCH(SUBSTITUTE(SUBSTITUTE(SUBSTITUTE(SUBSTITUTE("type:"&amp;B1495,"%","%25"),"~","%7E"),"*","%2A"),"?","%3F"),'Rules'!$G$7:$G$26,0))&lt;&gt;"",INDEX('Rules'!$F$7:$F$26,MATCH(SUBSTITUTE(SUBSTITUTE(SUBSTITUTE(SUBSTITUTE("type:"&amp;B1495,"%","%25"),"~","%7E"),"*","%2A"),"?","%3F"),'Rules'!$G$7:$G$26,0)),IF(AND(C1495&lt;&gt;"",C1495&lt;&gt;INDEX('Rules'!$B$7:$B$26,MATCH(SUBSTITUTE(SUBSTITUTE(SUBSTITUTE(SUBSTITUTE("type:"&amp;B1495,"%","%25"),"~","%7E"),"*","%2A"),"?","%3F"),'Rules'!$G$7:$G$26,0))),"Unit mismatch",IF(IF(NOT(ISNUMBER(D1495)),TRUE,OR(D1495&lt;0,D1495&gt;999999999,ROUND(D1495,3)&lt;&gt;D1495)),"Invalid current reading",IF(AND(E1495&lt;&gt;"",IF(NOT(ISNUMBER(E1495)),TRUE,OR(E1495&lt;0,E1495&gt;999999999,ROUND(E1495,3)&lt;&gt;E1495))),"Invalid previous reading",IF(IF(NOT(ISNUMBER(F1495)),TRUE,OR(F1495&lt;0,F1495&gt;999999999,ROUND(F1495,3)&lt;&gt;F1495)),"Invalid last service",IF(AND(E1495&lt;&gt;"",D1495&lt;E1495),"Decreased reading",IF(F1495&gt;D1495,"Last service above current","")))))))))))))</x:f>
      </x:c>
      <x:c r="L1495" s="6" t="str">
        <x:f>IF(AND(NOT(COUNTA(A1495:F1495)=0),K1495=""),INDEX('Rules'!$C$7:$C$26,MATCH(SUBSTITUTE(SUBSTITUTE(SUBSTITUTE(SUBSTITUTE("type:"&amp;B1495,"%","%25"),"~","%7E"),"*","%2A"),"?","%3F"),'Rules'!$G$7:$G$26,0)),"")</x:f>
      </x:c>
      <x:c r="M1495" s="6" t="str">
        <x:f>IF(AND(NOT(COUNTA(A1495:F1495)=0),K1495=""),INDEX('Rules'!$D$7:$D$26,MATCH(SUBSTITUTE(SUBSTITUTE(SUBSTITUTE(SUBSTITUTE("type:"&amp;B1495,"%","%25"),"~","%7E"),"*","%2A"),"?","%3F"),'Rules'!$G$7:$G$26,0)),"")</x:f>
      </x:c>
      <x:c r="N1495" s="5" t="str">
        <x:f>IF(COUNTA(A1495:F1495)=0,"",SUBSTITUTE(SUBSTITUTE(SUBSTITUTE(SUBSTITUTE("id:"&amp;A1495,"%","%25"),"~","%7E"),"*","%2A"),"?","%3F"))</x:f>
      </x:c>
    </x:row>
    <x:row r="1496" ht="22" customHeight="1">
      <x:c r="A1496" s="3"/>
      <x:c r="B1496" s="3"/>
      <x:c r="C1496" s="3"/>
      <x:c r="D1496" s="4"/>
      <x:c r="E1496" s="4"/>
      <x:c r="F1496" s="4"/>
      <x:c r="G1496" s="5" t="str">
        <x:f>IF(COUNTA(A1496:F1496)=0,"",IF(K1496&lt;&gt;"","Review",IF(I1496&lt;0,"Overdue",IF(I1496=0,"Due now",IF(I1496&lt;=M1496,"Due soon","Not due")))))</x:f>
      </x:c>
      <x:c r="H1496" s="5" t="str">
        <x:f>IF(OR(COUNTA(A1496:F1496)=0,COUNTIFS('Rules'!$G$7:$G$26,"="&amp;(SUBSTITUTE(SUBSTITUTE(SUBSTITUTE(SUBSTITUTE("type:"&amp;B1496,"%","%25"),"~","%7E"),"*","%2A"),"?","%3F")))&lt;&gt;1),"",IF(OR(INDEX('Rules'!$B$7:$B$26,MATCH(SUBSTITUTE(SUBSTITUTE(SUBSTITUTE(SUBSTITUTE("type:"&amp;B1496,"%","%25"),"~","%7E"),"*","%2A"),"?","%3F"),'Rules'!$G$7:$G$26,0))="hours",INDEX('Rules'!$B$7:$B$26,MATCH(SUBSTITUTE(SUBSTITUTE(SUBSTITUTE(SUBSTITUTE("type:"&amp;B1496,"%","%25"),"~","%7E"),"*","%2A"),"?","%3F"),'Rules'!$G$7:$G$26,0))="km"),INDEX('Rules'!$B$7:$B$26,MATCH(SUBSTITUTE(SUBSTITUTE(SUBSTITUTE(SUBSTITUTE("type:"&amp;B1496,"%","%25"),"~","%7E"),"*","%2A"),"?","%3F"),'Rules'!$G$7:$G$26,0)),""))</x:f>
      </x:c>
      <x:c r="I1496" s="6" t="str">
        <x:f>IF(AND(NOT(COUNTA(A1496:F1496)=0),K1496=""),ROUND(J1496-D1496,3),"")</x:f>
      </x:c>
      <x:c r="J1496" s="6" t="str">
        <x:f>IF(AND(NOT(COUNTA(A1496:F1496)=0),K1496=""),ROUND(F1496+L1496,3),"")</x:f>
      </x:c>
      <x:c r="K1496" s="5" t="str">
        <x:f>IF(COUNTA(A1496:F1496)=0,"",IF(A1496="","Missing equipment ID",IF(COUNTIFS($N$8:$N$2007,"="&amp;N1496)&gt;1,"Duplicate equipment ID",IF(B1496="","Missing type",IF(COUNTIFS('Rules'!$G$7:$G$26,"="&amp;(SUBSTITUTE(SUBSTITUTE(SUBSTITUTE(SUBSTITUTE("type:"&amp;B1496,"%","%25"),"~","%7E"),"*","%2A"),"?","%3F")))=0,"Unknown type",IF(COUNTIFS('Rules'!$G$7:$G$26,"="&amp;(SUBSTITUTE(SUBSTITUTE(SUBSTITUTE(SUBSTITUTE("type:"&amp;B1496,"%","%25"),"~","%7E"),"*","%2A"),"?","%3F")))&gt;1,"Duplicate type",IF(INDEX('Rules'!$F$7:$F$26,MATCH(SUBSTITUTE(SUBSTITUTE(SUBSTITUTE(SUBSTITUTE("type:"&amp;B1496,"%","%25"),"~","%7E"),"*","%2A"),"?","%3F"),'Rules'!$G$7:$G$26,0))&lt;&gt;"",INDEX('Rules'!$F$7:$F$26,MATCH(SUBSTITUTE(SUBSTITUTE(SUBSTITUTE(SUBSTITUTE("type:"&amp;B1496,"%","%25"),"~","%7E"),"*","%2A"),"?","%3F"),'Rules'!$G$7:$G$26,0)),IF(AND(C1496&lt;&gt;"",C1496&lt;&gt;INDEX('Rules'!$B$7:$B$26,MATCH(SUBSTITUTE(SUBSTITUTE(SUBSTITUTE(SUBSTITUTE("type:"&amp;B1496,"%","%25"),"~","%7E"),"*","%2A"),"?","%3F"),'Rules'!$G$7:$G$26,0))),"Unit mismatch",IF(IF(NOT(ISNUMBER(D1496)),TRUE,OR(D1496&lt;0,D1496&gt;999999999,ROUND(D1496,3)&lt;&gt;D1496)),"Invalid current reading",IF(AND(E1496&lt;&gt;"",IF(NOT(ISNUMBER(E1496)),TRUE,OR(E1496&lt;0,E1496&gt;999999999,ROUND(E1496,3)&lt;&gt;E1496))),"Invalid previous reading",IF(IF(NOT(ISNUMBER(F1496)),TRUE,OR(F1496&lt;0,F1496&gt;999999999,ROUND(F1496,3)&lt;&gt;F1496)),"Invalid last service",IF(AND(E1496&lt;&gt;"",D1496&lt;E1496),"Decreased reading",IF(F1496&gt;D1496,"Last service above current","")))))))))))))</x:f>
      </x:c>
      <x:c r="L1496" s="6" t="str">
        <x:f>IF(AND(NOT(COUNTA(A1496:F1496)=0),K1496=""),INDEX('Rules'!$C$7:$C$26,MATCH(SUBSTITUTE(SUBSTITUTE(SUBSTITUTE(SUBSTITUTE("type:"&amp;B1496,"%","%25"),"~","%7E"),"*","%2A"),"?","%3F"),'Rules'!$G$7:$G$26,0)),"")</x:f>
      </x:c>
      <x:c r="M1496" s="6" t="str">
        <x:f>IF(AND(NOT(COUNTA(A1496:F1496)=0),K1496=""),INDEX('Rules'!$D$7:$D$26,MATCH(SUBSTITUTE(SUBSTITUTE(SUBSTITUTE(SUBSTITUTE("type:"&amp;B1496,"%","%25"),"~","%7E"),"*","%2A"),"?","%3F"),'Rules'!$G$7:$G$26,0)),"")</x:f>
      </x:c>
      <x:c r="N1496" s="5" t="str">
        <x:f>IF(COUNTA(A1496:F1496)=0,"",SUBSTITUTE(SUBSTITUTE(SUBSTITUTE(SUBSTITUTE("id:"&amp;A1496,"%","%25"),"~","%7E"),"*","%2A"),"?","%3F"))</x:f>
      </x:c>
    </x:row>
    <x:row r="1497" ht="22" customHeight="1">
      <x:c r="A1497" s="3"/>
      <x:c r="B1497" s="3"/>
      <x:c r="C1497" s="3"/>
      <x:c r="D1497" s="4"/>
      <x:c r="E1497" s="4"/>
      <x:c r="F1497" s="4"/>
      <x:c r="G1497" s="5" t="str">
        <x:f>IF(COUNTA(A1497:F1497)=0,"",IF(K1497&lt;&gt;"","Review",IF(I1497&lt;0,"Overdue",IF(I1497=0,"Due now",IF(I1497&lt;=M1497,"Due soon","Not due")))))</x:f>
      </x:c>
      <x:c r="H1497" s="5" t="str">
        <x:f>IF(OR(COUNTA(A1497:F1497)=0,COUNTIFS('Rules'!$G$7:$G$26,"="&amp;(SUBSTITUTE(SUBSTITUTE(SUBSTITUTE(SUBSTITUTE("type:"&amp;B1497,"%","%25"),"~","%7E"),"*","%2A"),"?","%3F")))&lt;&gt;1),"",IF(OR(INDEX('Rules'!$B$7:$B$26,MATCH(SUBSTITUTE(SUBSTITUTE(SUBSTITUTE(SUBSTITUTE("type:"&amp;B1497,"%","%25"),"~","%7E"),"*","%2A"),"?","%3F"),'Rules'!$G$7:$G$26,0))="hours",INDEX('Rules'!$B$7:$B$26,MATCH(SUBSTITUTE(SUBSTITUTE(SUBSTITUTE(SUBSTITUTE("type:"&amp;B1497,"%","%25"),"~","%7E"),"*","%2A"),"?","%3F"),'Rules'!$G$7:$G$26,0))="km"),INDEX('Rules'!$B$7:$B$26,MATCH(SUBSTITUTE(SUBSTITUTE(SUBSTITUTE(SUBSTITUTE("type:"&amp;B1497,"%","%25"),"~","%7E"),"*","%2A"),"?","%3F"),'Rules'!$G$7:$G$26,0)),""))</x:f>
      </x:c>
      <x:c r="I1497" s="6" t="str">
        <x:f>IF(AND(NOT(COUNTA(A1497:F1497)=0),K1497=""),ROUND(J1497-D1497,3),"")</x:f>
      </x:c>
      <x:c r="J1497" s="6" t="str">
        <x:f>IF(AND(NOT(COUNTA(A1497:F1497)=0),K1497=""),ROUND(F1497+L1497,3),"")</x:f>
      </x:c>
      <x:c r="K1497" s="5" t="str">
        <x:f>IF(COUNTA(A1497:F1497)=0,"",IF(A1497="","Missing equipment ID",IF(COUNTIFS($N$8:$N$2007,"="&amp;N1497)&gt;1,"Duplicate equipment ID",IF(B1497="","Missing type",IF(COUNTIFS('Rules'!$G$7:$G$26,"="&amp;(SUBSTITUTE(SUBSTITUTE(SUBSTITUTE(SUBSTITUTE("type:"&amp;B1497,"%","%25"),"~","%7E"),"*","%2A"),"?","%3F")))=0,"Unknown type",IF(COUNTIFS('Rules'!$G$7:$G$26,"="&amp;(SUBSTITUTE(SUBSTITUTE(SUBSTITUTE(SUBSTITUTE("type:"&amp;B1497,"%","%25"),"~","%7E"),"*","%2A"),"?","%3F")))&gt;1,"Duplicate type",IF(INDEX('Rules'!$F$7:$F$26,MATCH(SUBSTITUTE(SUBSTITUTE(SUBSTITUTE(SUBSTITUTE("type:"&amp;B1497,"%","%25"),"~","%7E"),"*","%2A"),"?","%3F"),'Rules'!$G$7:$G$26,0))&lt;&gt;"",INDEX('Rules'!$F$7:$F$26,MATCH(SUBSTITUTE(SUBSTITUTE(SUBSTITUTE(SUBSTITUTE("type:"&amp;B1497,"%","%25"),"~","%7E"),"*","%2A"),"?","%3F"),'Rules'!$G$7:$G$26,0)),IF(AND(C1497&lt;&gt;"",C1497&lt;&gt;INDEX('Rules'!$B$7:$B$26,MATCH(SUBSTITUTE(SUBSTITUTE(SUBSTITUTE(SUBSTITUTE("type:"&amp;B1497,"%","%25"),"~","%7E"),"*","%2A"),"?","%3F"),'Rules'!$G$7:$G$26,0))),"Unit mismatch",IF(IF(NOT(ISNUMBER(D1497)),TRUE,OR(D1497&lt;0,D1497&gt;999999999,ROUND(D1497,3)&lt;&gt;D1497)),"Invalid current reading",IF(AND(E1497&lt;&gt;"",IF(NOT(ISNUMBER(E1497)),TRUE,OR(E1497&lt;0,E1497&gt;999999999,ROUND(E1497,3)&lt;&gt;E1497))),"Invalid previous reading",IF(IF(NOT(ISNUMBER(F1497)),TRUE,OR(F1497&lt;0,F1497&gt;999999999,ROUND(F1497,3)&lt;&gt;F1497)),"Invalid last service",IF(AND(E1497&lt;&gt;"",D1497&lt;E1497),"Decreased reading",IF(F1497&gt;D1497,"Last service above current","")))))))))))))</x:f>
      </x:c>
      <x:c r="L1497" s="6" t="str">
        <x:f>IF(AND(NOT(COUNTA(A1497:F1497)=0),K1497=""),INDEX('Rules'!$C$7:$C$26,MATCH(SUBSTITUTE(SUBSTITUTE(SUBSTITUTE(SUBSTITUTE("type:"&amp;B1497,"%","%25"),"~","%7E"),"*","%2A"),"?","%3F"),'Rules'!$G$7:$G$26,0)),"")</x:f>
      </x:c>
      <x:c r="M1497" s="6" t="str">
        <x:f>IF(AND(NOT(COUNTA(A1497:F1497)=0),K1497=""),INDEX('Rules'!$D$7:$D$26,MATCH(SUBSTITUTE(SUBSTITUTE(SUBSTITUTE(SUBSTITUTE("type:"&amp;B1497,"%","%25"),"~","%7E"),"*","%2A"),"?","%3F"),'Rules'!$G$7:$G$26,0)),"")</x:f>
      </x:c>
      <x:c r="N1497" s="5" t="str">
        <x:f>IF(COUNTA(A1497:F1497)=0,"",SUBSTITUTE(SUBSTITUTE(SUBSTITUTE(SUBSTITUTE("id:"&amp;A1497,"%","%25"),"~","%7E"),"*","%2A"),"?","%3F"))</x:f>
      </x:c>
    </x:row>
    <x:row r="1498" ht="22" customHeight="1">
      <x:c r="A1498" s="3"/>
      <x:c r="B1498" s="3"/>
      <x:c r="C1498" s="3"/>
      <x:c r="D1498" s="4"/>
      <x:c r="E1498" s="4"/>
      <x:c r="F1498" s="4"/>
      <x:c r="G1498" s="5" t="str">
        <x:f>IF(COUNTA(A1498:F1498)=0,"",IF(K1498&lt;&gt;"","Review",IF(I1498&lt;0,"Overdue",IF(I1498=0,"Due now",IF(I1498&lt;=M1498,"Due soon","Not due")))))</x:f>
      </x:c>
      <x:c r="H1498" s="5" t="str">
        <x:f>IF(OR(COUNTA(A1498:F1498)=0,COUNTIFS('Rules'!$G$7:$G$26,"="&amp;(SUBSTITUTE(SUBSTITUTE(SUBSTITUTE(SUBSTITUTE("type:"&amp;B1498,"%","%25"),"~","%7E"),"*","%2A"),"?","%3F")))&lt;&gt;1),"",IF(OR(INDEX('Rules'!$B$7:$B$26,MATCH(SUBSTITUTE(SUBSTITUTE(SUBSTITUTE(SUBSTITUTE("type:"&amp;B1498,"%","%25"),"~","%7E"),"*","%2A"),"?","%3F"),'Rules'!$G$7:$G$26,0))="hours",INDEX('Rules'!$B$7:$B$26,MATCH(SUBSTITUTE(SUBSTITUTE(SUBSTITUTE(SUBSTITUTE("type:"&amp;B1498,"%","%25"),"~","%7E"),"*","%2A"),"?","%3F"),'Rules'!$G$7:$G$26,0))="km"),INDEX('Rules'!$B$7:$B$26,MATCH(SUBSTITUTE(SUBSTITUTE(SUBSTITUTE(SUBSTITUTE("type:"&amp;B1498,"%","%25"),"~","%7E"),"*","%2A"),"?","%3F"),'Rules'!$G$7:$G$26,0)),""))</x:f>
      </x:c>
      <x:c r="I1498" s="6" t="str">
        <x:f>IF(AND(NOT(COUNTA(A1498:F1498)=0),K1498=""),ROUND(J1498-D1498,3),"")</x:f>
      </x:c>
      <x:c r="J1498" s="6" t="str">
        <x:f>IF(AND(NOT(COUNTA(A1498:F1498)=0),K1498=""),ROUND(F1498+L1498,3),"")</x:f>
      </x:c>
      <x:c r="K1498" s="5" t="str">
        <x:f>IF(COUNTA(A1498:F1498)=0,"",IF(A1498="","Missing equipment ID",IF(COUNTIFS($N$8:$N$2007,"="&amp;N1498)&gt;1,"Duplicate equipment ID",IF(B1498="","Missing type",IF(COUNTIFS('Rules'!$G$7:$G$26,"="&amp;(SUBSTITUTE(SUBSTITUTE(SUBSTITUTE(SUBSTITUTE("type:"&amp;B1498,"%","%25"),"~","%7E"),"*","%2A"),"?","%3F")))=0,"Unknown type",IF(COUNTIFS('Rules'!$G$7:$G$26,"="&amp;(SUBSTITUTE(SUBSTITUTE(SUBSTITUTE(SUBSTITUTE("type:"&amp;B1498,"%","%25"),"~","%7E"),"*","%2A"),"?","%3F")))&gt;1,"Duplicate type",IF(INDEX('Rules'!$F$7:$F$26,MATCH(SUBSTITUTE(SUBSTITUTE(SUBSTITUTE(SUBSTITUTE("type:"&amp;B1498,"%","%25"),"~","%7E"),"*","%2A"),"?","%3F"),'Rules'!$G$7:$G$26,0))&lt;&gt;"",INDEX('Rules'!$F$7:$F$26,MATCH(SUBSTITUTE(SUBSTITUTE(SUBSTITUTE(SUBSTITUTE("type:"&amp;B1498,"%","%25"),"~","%7E"),"*","%2A"),"?","%3F"),'Rules'!$G$7:$G$26,0)),IF(AND(C1498&lt;&gt;"",C1498&lt;&gt;INDEX('Rules'!$B$7:$B$26,MATCH(SUBSTITUTE(SUBSTITUTE(SUBSTITUTE(SUBSTITUTE("type:"&amp;B1498,"%","%25"),"~","%7E"),"*","%2A"),"?","%3F"),'Rules'!$G$7:$G$26,0))),"Unit mismatch",IF(IF(NOT(ISNUMBER(D1498)),TRUE,OR(D1498&lt;0,D1498&gt;999999999,ROUND(D1498,3)&lt;&gt;D1498)),"Invalid current reading",IF(AND(E1498&lt;&gt;"",IF(NOT(ISNUMBER(E1498)),TRUE,OR(E1498&lt;0,E1498&gt;999999999,ROUND(E1498,3)&lt;&gt;E1498))),"Invalid previous reading",IF(IF(NOT(ISNUMBER(F1498)),TRUE,OR(F1498&lt;0,F1498&gt;999999999,ROUND(F1498,3)&lt;&gt;F1498)),"Invalid last service",IF(AND(E1498&lt;&gt;"",D1498&lt;E1498),"Decreased reading",IF(F1498&gt;D1498,"Last service above current","")))))))))))))</x:f>
      </x:c>
      <x:c r="L1498" s="6" t="str">
        <x:f>IF(AND(NOT(COUNTA(A1498:F1498)=0),K1498=""),INDEX('Rules'!$C$7:$C$26,MATCH(SUBSTITUTE(SUBSTITUTE(SUBSTITUTE(SUBSTITUTE("type:"&amp;B1498,"%","%25"),"~","%7E"),"*","%2A"),"?","%3F"),'Rules'!$G$7:$G$26,0)),"")</x:f>
      </x:c>
      <x:c r="M1498" s="6" t="str">
        <x:f>IF(AND(NOT(COUNTA(A1498:F1498)=0),K1498=""),INDEX('Rules'!$D$7:$D$26,MATCH(SUBSTITUTE(SUBSTITUTE(SUBSTITUTE(SUBSTITUTE("type:"&amp;B1498,"%","%25"),"~","%7E"),"*","%2A"),"?","%3F"),'Rules'!$G$7:$G$26,0)),"")</x:f>
      </x:c>
      <x:c r="N1498" s="5" t="str">
        <x:f>IF(COUNTA(A1498:F1498)=0,"",SUBSTITUTE(SUBSTITUTE(SUBSTITUTE(SUBSTITUTE("id:"&amp;A1498,"%","%25"),"~","%7E"),"*","%2A"),"?","%3F"))</x:f>
      </x:c>
    </x:row>
    <x:row r="1499" ht="22" customHeight="1">
      <x:c r="A1499" s="3"/>
      <x:c r="B1499" s="3"/>
      <x:c r="C1499" s="3"/>
      <x:c r="D1499" s="4"/>
      <x:c r="E1499" s="4"/>
      <x:c r="F1499" s="4"/>
      <x:c r="G1499" s="5" t="str">
        <x:f>IF(COUNTA(A1499:F1499)=0,"",IF(K1499&lt;&gt;"","Review",IF(I1499&lt;0,"Overdue",IF(I1499=0,"Due now",IF(I1499&lt;=M1499,"Due soon","Not due")))))</x:f>
      </x:c>
      <x:c r="H1499" s="5" t="str">
        <x:f>IF(OR(COUNTA(A1499:F1499)=0,COUNTIFS('Rules'!$G$7:$G$26,"="&amp;(SUBSTITUTE(SUBSTITUTE(SUBSTITUTE(SUBSTITUTE("type:"&amp;B1499,"%","%25"),"~","%7E"),"*","%2A"),"?","%3F")))&lt;&gt;1),"",IF(OR(INDEX('Rules'!$B$7:$B$26,MATCH(SUBSTITUTE(SUBSTITUTE(SUBSTITUTE(SUBSTITUTE("type:"&amp;B1499,"%","%25"),"~","%7E"),"*","%2A"),"?","%3F"),'Rules'!$G$7:$G$26,0))="hours",INDEX('Rules'!$B$7:$B$26,MATCH(SUBSTITUTE(SUBSTITUTE(SUBSTITUTE(SUBSTITUTE("type:"&amp;B1499,"%","%25"),"~","%7E"),"*","%2A"),"?","%3F"),'Rules'!$G$7:$G$26,0))="km"),INDEX('Rules'!$B$7:$B$26,MATCH(SUBSTITUTE(SUBSTITUTE(SUBSTITUTE(SUBSTITUTE("type:"&amp;B1499,"%","%25"),"~","%7E"),"*","%2A"),"?","%3F"),'Rules'!$G$7:$G$26,0)),""))</x:f>
      </x:c>
      <x:c r="I1499" s="6" t="str">
        <x:f>IF(AND(NOT(COUNTA(A1499:F1499)=0),K1499=""),ROUND(J1499-D1499,3),"")</x:f>
      </x:c>
      <x:c r="J1499" s="6" t="str">
        <x:f>IF(AND(NOT(COUNTA(A1499:F1499)=0),K1499=""),ROUND(F1499+L1499,3),"")</x:f>
      </x:c>
      <x:c r="K1499" s="5" t="str">
        <x:f>IF(COUNTA(A1499:F1499)=0,"",IF(A1499="","Missing equipment ID",IF(COUNTIFS($N$8:$N$2007,"="&amp;N1499)&gt;1,"Duplicate equipment ID",IF(B1499="","Missing type",IF(COUNTIFS('Rules'!$G$7:$G$26,"="&amp;(SUBSTITUTE(SUBSTITUTE(SUBSTITUTE(SUBSTITUTE("type:"&amp;B1499,"%","%25"),"~","%7E"),"*","%2A"),"?","%3F")))=0,"Unknown type",IF(COUNTIFS('Rules'!$G$7:$G$26,"="&amp;(SUBSTITUTE(SUBSTITUTE(SUBSTITUTE(SUBSTITUTE("type:"&amp;B1499,"%","%25"),"~","%7E"),"*","%2A"),"?","%3F")))&gt;1,"Duplicate type",IF(INDEX('Rules'!$F$7:$F$26,MATCH(SUBSTITUTE(SUBSTITUTE(SUBSTITUTE(SUBSTITUTE("type:"&amp;B1499,"%","%25"),"~","%7E"),"*","%2A"),"?","%3F"),'Rules'!$G$7:$G$26,0))&lt;&gt;"",INDEX('Rules'!$F$7:$F$26,MATCH(SUBSTITUTE(SUBSTITUTE(SUBSTITUTE(SUBSTITUTE("type:"&amp;B1499,"%","%25"),"~","%7E"),"*","%2A"),"?","%3F"),'Rules'!$G$7:$G$26,0)),IF(AND(C1499&lt;&gt;"",C1499&lt;&gt;INDEX('Rules'!$B$7:$B$26,MATCH(SUBSTITUTE(SUBSTITUTE(SUBSTITUTE(SUBSTITUTE("type:"&amp;B1499,"%","%25"),"~","%7E"),"*","%2A"),"?","%3F"),'Rules'!$G$7:$G$26,0))),"Unit mismatch",IF(IF(NOT(ISNUMBER(D1499)),TRUE,OR(D1499&lt;0,D1499&gt;999999999,ROUND(D1499,3)&lt;&gt;D1499)),"Invalid current reading",IF(AND(E1499&lt;&gt;"",IF(NOT(ISNUMBER(E1499)),TRUE,OR(E1499&lt;0,E1499&gt;999999999,ROUND(E1499,3)&lt;&gt;E1499))),"Invalid previous reading",IF(IF(NOT(ISNUMBER(F1499)),TRUE,OR(F1499&lt;0,F1499&gt;999999999,ROUND(F1499,3)&lt;&gt;F1499)),"Invalid last service",IF(AND(E1499&lt;&gt;"",D1499&lt;E1499),"Decreased reading",IF(F1499&gt;D1499,"Last service above current","")))))))))))))</x:f>
      </x:c>
      <x:c r="L1499" s="6" t="str">
        <x:f>IF(AND(NOT(COUNTA(A1499:F1499)=0),K1499=""),INDEX('Rules'!$C$7:$C$26,MATCH(SUBSTITUTE(SUBSTITUTE(SUBSTITUTE(SUBSTITUTE("type:"&amp;B1499,"%","%25"),"~","%7E"),"*","%2A"),"?","%3F"),'Rules'!$G$7:$G$26,0)),"")</x:f>
      </x:c>
      <x:c r="M1499" s="6" t="str">
        <x:f>IF(AND(NOT(COUNTA(A1499:F1499)=0),K1499=""),INDEX('Rules'!$D$7:$D$26,MATCH(SUBSTITUTE(SUBSTITUTE(SUBSTITUTE(SUBSTITUTE("type:"&amp;B1499,"%","%25"),"~","%7E"),"*","%2A"),"?","%3F"),'Rules'!$G$7:$G$26,0)),"")</x:f>
      </x:c>
      <x:c r="N1499" s="5" t="str">
        <x:f>IF(COUNTA(A1499:F1499)=0,"",SUBSTITUTE(SUBSTITUTE(SUBSTITUTE(SUBSTITUTE("id:"&amp;A1499,"%","%25"),"~","%7E"),"*","%2A"),"?","%3F"))</x:f>
      </x:c>
    </x:row>
    <x:row r="1500" ht="22" customHeight="1">
      <x:c r="A1500" s="3"/>
      <x:c r="B1500" s="3"/>
      <x:c r="C1500" s="3"/>
      <x:c r="D1500" s="4"/>
      <x:c r="E1500" s="4"/>
      <x:c r="F1500" s="4"/>
      <x:c r="G1500" s="5" t="str">
        <x:f>IF(COUNTA(A1500:F1500)=0,"",IF(K1500&lt;&gt;"","Review",IF(I1500&lt;0,"Overdue",IF(I1500=0,"Due now",IF(I1500&lt;=M1500,"Due soon","Not due")))))</x:f>
      </x:c>
      <x:c r="H1500" s="5" t="str">
        <x:f>IF(OR(COUNTA(A1500:F1500)=0,COUNTIFS('Rules'!$G$7:$G$26,"="&amp;(SUBSTITUTE(SUBSTITUTE(SUBSTITUTE(SUBSTITUTE("type:"&amp;B1500,"%","%25"),"~","%7E"),"*","%2A"),"?","%3F")))&lt;&gt;1),"",IF(OR(INDEX('Rules'!$B$7:$B$26,MATCH(SUBSTITUTE(SUBSTITUTE(SUBSTITUTE(SUBSTITUTE("type:"&amp;B1500,"%","%25"),"~","%7E"),"*","%2A"),"?","%3F"),'Rules'!$G$7:$G$26,0))="hours",INDEX('Rules'!$B$7:$B$26,MATCH(SUBSTITUTE(SUBSTITUTE(SUBSTITUTE(SUBSTITUTE("type:"&amp;B1500,"%","%25"),"~","%7E"),"*","%2A"),"?","%3F"),'Rules'!$G$7:$G$26,0))="km"),INDEX('Rules'!$B$7:$B$26,MATCH(SUBSTITUTE(SUBSTITUTE(SUBSTITUTE(SUBSTITUTE("type:"&amp;B1500,"%","%25"),"~","%7E"),"*","%2A"),"?","%3F"),'Rules'!$G$7:$G$26,0)),""))</x:f>
      </x:c>
      <x:c r="I1500" s="6" t="str">
        <x:f>IF(AND(NOT(COUNTA(A1500:F1500)=0),K1500=""),ROUND(J1500-D1500,3),"")</x:f>
      </x:c>
      <x:c r="J1500" s="6" t="str">
        <x:f>IF(AND(NOT(COUNTA(A1500:F1500)=0),K1500=""),ROUND(F1500+L1500,3),"")</x:f>
      </x:c>
      <x:c r="K1500" s="5" t="str">
        <x:f>IF(COUNTA(A1500:F1500)=0,"",IF(A1500="","Missing equipment ID",IF(COUNTIFS($N$8:$N$2007,"="&amp;N1500)&gt;1,"Duplicate equipment ID",IF(B1500="","Missing type",IF(COUNTIFS('Rules'!$G$7:$G$26,"="&amp;(SUBSTITUTE(SUBSTITUTE(SUBSTITUTE(SUBSTITUTE("type:"&amp;B1500,"%","%25"),"~","%7E"),"*","%2A"),"?","%3F")))=0,"Unknown type",IF(COUNTIFS('Rules'!$G$7:$G$26,"="&amp;(SUBSTITUTE(SUBSTITUTE(SUBSTITUTE(SUBSTITUTE("type:"&amp;B1500,"%","%25"),"~","%7E"),"*","%2A"),"?","%3F")))&gt;1,"Duplicate type",IF(INDEX('Rules'!$F$7:$F$26,MATCH(SUBSTITUTE(SUBSTITUTE(SUBSTITUTE(SUBSTITUTE("type:"&amp;B1500,"%","%25"),"~","%7E"),"*","%2A"),"?","%3F"),'Rules'!$G$7:$G$26,0))&lt;&gt;"",INDEX('Rules'!$F$7:$F$26,MATCH(SUBSTITUTE(SUBSTITUTE(SUBSTITUTE(SUBSTITUTE("type:"&amp;B1500,"%","%25"),"~","%7E"),"*","%2A"),"?","%3F"),'Rules'!$G$7:$G$26,0)),IF(AND(C1500&lt;&gt;"",C1500&lt;&gt;INDEX('Rules'!$B$7:$B$26,MATCH(SUBSTITUTE(SUBSTITUTE(SUBSTITUTE(SUBSTITUTE("type:"&amp;B1500,"%","%25"),"~","%7E"),"*","%2A"),"?","%3F"),'Rules'!$G$7:$G$26,0))),"Unit mismatch",IF(IF(NOT(ISNUMBER(D1500)),TRUE,OR(D1500&lt;0,D1500&gt;999999999,ROUND(D1500,3)&lt;&gt;D1500)),"Invalid current reading",IF(AND(E1500&lt;&gt;"",IF(NOT(ISNUMBER(E1500)),TRUE,OR(E1500&lt;0,E1500&gt;999999999,ROUND(E1500,3)&lt;&gt;E1500))),"Invalid previous reading",IF(IF(NOT(ISNUMBER(F1500)),TRUE,OR(F1500&lt;0,F1500&gt;999999999,ROUND(F1500,3)&lt;&gt;F1500)),"Invalid last service",IF(AND(E1500&lt;&gt;"",D1500&lt;E1500),"Decreased reading",IF(F1500&gt;D1500,"Last service above current","")))))))))))))</x:f>
      </x:c>
      <x:c r="L1500" s="6" t="str">
        <x:f>IF(AND(NOT(COUNTA(A1500:F1500)=0),K1500=""),INDEX('Rules'!$C$7:$C$26,MATCH(SUBSTITUTE(SUBSTITUTE(SUBSTITUTE(SUBSTITUTE("type:"&amp;B1500,"%","%25"),"~","%7E"),"*","%2A"),"?","%3F"),'Rules'!$G$7:$G$26,0)),"")</x:f>
      </x:c>
      <x:c r="M1500" s="6" t="str">
        <x:f>IF(AND(NOT(COUNTA(A1500:F1500)=0),K1500=""),INDEX('Rules'!$D$7:$D$26,MATCH(SUBSTITUTE(SUBSTITUTE(SUBSTITUTE(SUBSTITUTE("type:"&amp;B1500,"%","%25"),"~","%7E"),"*","%2A"),"?","%3F"),'Rules'!$G$7:$G$26,0)),"")</x:f>
      </x:c>
      <x:c r="N1500" s="5" t="str">
        <x:f>IF(COUNTA(A1500:F1500)=0,"",SUBSTITUTE(SUBSTITUTE(SUBSTITUTE(SUBSTITUTE("id:"&amp;A1500,"%","%25"),"~","%7E"),"*","%2A"),"?","%3F"))</x:f>
      </x:c>
    </x:row>
    <x:row r="1501" ht="22" customHeight="1">
      <x:c r="A1501" s="3"/>
      <x:c r="B1501" s="3"/>
      <x:c r="C1501" s="3"/>
      <x:c r="D1501" s="4"/>
      <x:c r="E1501" s="4"/>
      <x:c r="F1501" s="4"/>
      <x:c r="G1501" s="5" t="str">
        <x:f>IF(COUNTA(A1501:F1501)=0,"",IF(K1501&lt;&gt;"","Review",IF(I1501&lt;0,"Overdue",IF(I1501=0,"Due now",IF(I1501&lt;=M1501,"Due soon","Not due")))))</x:f>
      </x:c>
      <x:c r="H1501" s="5" t="str">
        <x:f>IF(OR(COUNTA(A1501:F1501)=0,COUNTIFS('Rules'!$G$7:$G$26,"="&amp;(SUBSTITUTE(SUBSTITUTE(SUBSTITUTE(SUBSTITUTE("type:"&amp;B1501,"%","%25"),"~","%7E"),"*","%2A"),"?","%3F")))&lt;&gt;1),"",IF(OR(INDEX('Rules'!$B$7:$B$26,MATCH(SUBSTITUTE(SUBSTITUTE(SUBSTITUTE(SUBSTITUTE("type:"&amp;B1501,"%","%25"),"~","%7E"),"*","%2A"),"?","%3F"),'Rules'!$G$7:$G$26,0))="hours",INDEX('Rules'!$B$7:$B$26,MATCH(SUBSTITUTE(SUBSTITUTE(SUBSTITUTE(SUBSTITUTE("type:"&amp;B1501,"%","%25"),"~","%7E"),"*","%2A"),"?","%3F"),'Rules'!$G$7:$G$26,0))="km"),INDEX('Rules'!$B$7:$B$26,MATCH(SUBSTITUTE(SUBSTITUTE(SUBSTITUTE(SUBSTITUTE("type:"&amp;B1501,"%","%25"),"~","%7E"),"*","%2A"),"?","%3F"),'Rules'!$G$7:$G$26,0)),""))</x:f>
      </x:c>
      <x:c r="I1501" s="6" t="str">
        <x:f>IF(AND(NOT(COUNTA(A1501:F1501)=0),K1501=""),ROUND(J1501-D1501,3),"")</x:f>
      </x:c>
      <x:c r="J1501" s="6" t="str">
        <x:f>IF(AND(NOT(COUNTA(A1501:F1501)=0),K1501=""),ROUND(F1501+L1501,3),"")</x:f>
      </x:c>
      <x:c r="K1501" s="5" t="str">
        <x:f>IF(COUNTA(A1501:F1501)=0,"",IF(A1501="","Missing equipment ID",IF(COUNTIFS($N$8:$N$2007,"="&amp;N1501)&gt;1,"Duplicate equipment ID",IF(B1501="","Missing type",IF(COUNTIFS('Rules'!$G$7:$G$26,"="&amp;(SUBSTITUTE(SUBSTITUTE(SUBSTITUTE(SUBSTITUTE("type:"&amp;B1501,"%","%25"),"~","%7E"),"*","%2A"),"?","%3F")))=0,"Unknown type",IF(COUNTIFS('Rules'!$G$7:$G$26,"="&amp;(SUBSTITUTE(SUBSTITUTE(SUBSTITUTE(SUBSTITUTE("type:"&amp;B1501,"%","%25"),"~","%7E"),"*","%2A"),"?","%3F")))&gt;1,"Duplicate type",IF(INDEX('Rules'!$F$7:$F$26,MATCH(SUBSTITUTE(SUBSTITUTE(SUBSTITUTE(SUBSTITUTE("type:"&amp;B1501,"%","%25"),"~","%7E"),"*","%2A"),"?","%3F"),'Rules'!$G$7:$G$26,0))&lt;&gt;"",INDEX('Rules'!$F$7:$F$26,MATCH(SUBSTITUTE(SUBSTITUTE(SUBSTITUTE(SUBSTITUTE("type:"&amp;B1501,"%","%25"),"~","%7E"),"*","%2A"),"?","%3F"),'Rules'!$G$7:$G$26,0)),IF(AND(C1501&lt;&gt;"",C1501&lt;&gt;INDEX('Rules'!$B$7:$B$26,MATCH(SUBSTITUTE(SUBSTITUTE(SUBSTITUTE(SUBSTITUTE("type:"&amp;B1501,"%","%25"),"~","%7E"),"*","%2A"),"?","%3F"),'Rules'!$G$7:$G$26,0))),"Unit mismatch",IF(IF(NOT(ISNUMBER(D1501)),TRUE,OR(D1501&lt;0,D1501&gt;999999999,ROUND(D1501,3)&lt;&gt;D1501)),"Invalid current reading",IF(AND(E1501&lt;&gt;"",IF(NOT(ISNUMBER(E1501)),TRUE,OR(E1501&lt;0,E1501&gt;999999999,ROUND(E1501,3)&lt;&gt;E1501))),"Invalid previous reading",IF(IF(NOT(ISNUMBER(F1501)),TRUE,OR(F1501&lt;0,F1501&gt;999999999,ROUND(F1501,3)&lt;&gt;F1501)),"Invalid last service",IF(AND(E1501&lt;&gt;"",D1501&lt;E1501),"Decreased reading",IF(F1501&gt;D1501,"Last service above current","")))))))))))))</x:f>
      </x:c>
      <x:c r="L1501" s="6" t="str">
        <x:f>IF(AND(NOT(COUNTA(A1501:F1501)=0),K1501=""),INDEX('Rules'!$C$7:$C$26,MATCH(SUBSTITUTE(SUBSTITUTE(SUBSTITUTE(SUBSTITUTE("type:"&amp;B1501,"%","%25"),"~","%7E"),"*","%2A"),"?","%3F"),'Rules'!$G$7:$G$26,0)),"")</x:f>
      </x:c>
      <x:c r="M1501" s="6" t="str">
        <x:f>IF(AND(NOT(COUNTA(A1501:F1501)=0),K1501=""),INDEX('Rules'!$D$7:$D$26,MATCH(SUBSTITUTE(SUBSTITUTE(SUBSTITUTE(SUBSTITUTE("type:"&amp;B1501,"%","%25"),"~","%7E"),"*","%2A"),"?","%3F"),'Rules'!$G$7:$G$26,0)),"")</x:f>
      </x:c>
      <x:c r="N1501" s="5" t="str">
        <x:f>IF(COUNTA(A1501:F1501)=0,"",SUBSTITUTE(SUBSTITUTE(SUBSTITUTE(SUBSTITUTE("id:"&amp;A1501,"%","%25"),"~","%7E"),"*","%2A"),"?","%3F"))</x:f>
      </x:c>
    </x:row>
    <x:row r="1502" ht="22" customHeight="1">
      <x:c r="A1502" s="3"/>
      <x:c r="B1502" s="3"/>
      <x:c r="C1502" s="3"/>
      <x:c r="D1502" s="4"/>
      <x:c r="E1502" s="4"/>
      <x:c r="F1502" s="4"/>
      <x:c r="G1502" s="5" t="str">
        <x:f>IF(COUNTA(A1502:F1502)=0,"",IF(K1502&lt;&gt;"","Review",IF(I1502&lt;0,"Overdue",IF(I1502=0,"Due now",IF(I1502&lt;=M1502,"Due soon","Not due")))))</x:f>
      </x:c>
      <x:c r="H1502" s="5" t="str">
        <x:f>IF(OR(COUNTA(A1502:F1502)=0,COUNTIFS('Rules'!$G$7:$G$26,"="&amp;(SUBSTITUTE(SUBSTITUTE(SUBSTITUTE(SUBSTITUTE("type:"&amp;B1502,"%","%25"),"~","%7E"),"*","%2A"),"?","%3F")))&lt;&gt;1),"",IF(OR(INDEX('Rules'!$B$7:$B$26,MATCH(SUBSTITUTE(SUBSTITUTE(SUBSTITUTE(SUBSTITUTE("type:"&amp;B1502,"%","%25"),"~","%7E"),"*","%2A"),"?","%3F"),'Rules'!$G$7:$G$26,0))="hours",INDEX('Rules'!$B$7:$B$26,MATCH(SUBSTITUTE(SUBSTITUTE(SUBSTITUTE(SUBSTITUTE("type:"&amp;B1502,"%","%25"),"~","%7E"),"*","%2A"),"?","%3F"),'Rules'!$G$7:$G$26,0))="km"),INDEX('Rules'!$B$7:$B$26,MATCH(SUBSTITUTE(SUBSTITUTE(SUBSTITUTE(SUBSTITUTE("type:"&amp;B1502,"%","%25"),"~","%7E"),"*","%2A"),"?","%3F"),'Rules'!$G$7:$G$26,0)),""))</x:f>
      </x:c>
      <x:c r="I1502" s="6" t="str">
        <x:f>IF(AND(NOT(COUNTA(A1502:F1502)=0),K1502=""),ROUND(J1502-D1502,3),"")</x:f>
      </x:c>
      <x:c r="J1502" s="6" t="str">
        <x:f>IF(AND(NOT(COUNTA(A1502:F1502)=0),K1502=""),ROUND(F1502+L1502,3),"")</x:f>
      </x:c>
      <x:c r="K1502" s="5" t="str">
        <x:f>IF(COUNTA(A1502:F1502)=0,"",IF(A1502="","Missing equipment ID",IF(COUNTIFS($N$8:$N$2007,"="&amp;N1502)&gt;1,"Duplicate equipment ID",IF(B1502="","Missing type",IF(COUNTIFS('Rules'!$G$7:$G$26,"="&amp;(SUBSTITUTE(SUBSTITUTE(SUBSTITUTE(SUBSTITUTE("type:"&amp;B1502,"%","%25"),"~","%7E"),"*","%2A"),"?","%3F")))=0,"Unknown type",IF(COUNTIFS('Rules'!$G$7:$G$26,"="&amp;(SUBSTITUTE(SUBSTITUTE(SUBSTITUTE(SUBSTITUTE("type:"&amp;B1502,"%","%25"),"~","%7E"),"*","%2A"),"?","%3F")))&gt;1,"Duplicate type",IF(INDEX('Rules'!$F$7:$F$26,MATCH(SUBSTITUTE(SUBSTITUTE(SUBSTITUTE(SUBSTITUTE("type:"&amp;B1502,"%","%25"),"~","%7E"),"*","%2A"),"?","%3F"),'Rules'!$G$7:$G$26,0))&lt;&gt;"",INDEX('Rules'!$F$7:$F$26,MATCH(SUBSTITUTE(SUBSTITUTE(SUBSTITUTE(SUBSTITUTE("type:"&amp;B1502,"%","%25"),"~","%7E"),"*","%2A"),"?","%3F"),'Rules'!$G$7:$G$26,0)),IF(AND(C1502&lt;&gt;"",C1502&lt;&gt;INDEX('Rules'!$B$7:$B$26,MATCH(SUBSTITUTE(SUBSTITUTE(SUBSTITUTE(SUBSTITUTE("type:"&amp;B1502,"%","%25"),"~","%7E"),"*","%2A"),"?","%3F"),'Rules'!$G$7:$G$26,0))),"Unit mismatch",IF(IF(NOT(ISNUMBER(D1502)),TRUE,OR(D1502&lt;0,D1502&gt;999999999,ROUND(D1502,3)&lt;&gt;D1502)),"Invalid current reading",IF(AND(E1502&lt;&gt;"",IF(NOT(ISNUMBER(E1502)),TRUE,OR(E1502&lt;0,E1502&gt;999999999,ROUND(E1502,3)&lt;&gt;E1502))),"Invalid previous reading",IF(IF(NOT(ISNUMBER(F1502)),TRUE,OR(F1502&lt;0,F1502&gt;999999999,ROUND(F1502,3)&lt;&gt;F1502)),"Invalid last service",IF(AND(E1502&lt;&gt;"",D1502&lt;E1502),"Decreased reading",IF(F1502&gt;D1502,"Last service above current","")))))))))))))</x:f>
      </x:c>
      <x:c r="L1502" s="6" t="str">
        <x:f>IF(AND(NOT(COUNTA(A1502:F1502)=0),K1502=""),INDEX('Rules'!$C$7:$C$26,MATCH(SUBSTITUTE(SUBSTITUTE(SUBSTITUTE(SUBSTITUTE("type:"&amp;B1502,"%","%25"),"~","%7E"),"*","%2A"),"?","%3F"),'Rules'!$G$7:$G$26,0)),"")</x:f>
      </x:c>
      <x:c r="M1502" s="6" t="str">
        <x:f>IF(AND(NOT(COUNTA(A1502:F1502)=0),K1502=""),INDEX('Rules'!$D$7:$D$26,MATCH(SUBSTITUTE(SUBSTITUTE(SUBSTITUTE(SUBSTITUTE("type:"&amp;B1502,"%","%25"),"~","%7E"),"*","%2A"),"?","%3F"),'Rules'!$G$7:$G$26,0)),"")</x:f>
      </x:c>
      <x:c r="N1502" s="5" t="str">
        <x:f>IF(COUNTA(A1502:F1502)=0,"",SUBSTITUTE(SUBSTITUTE(SUBSTITUTE(SUBSTITUTE("id:"&amp;A1502,"%","%25"),"~","%7E"),"*","%2A"),"?","%3F"))</x:f>
      </x:c>
    </x:row>
    <x:row r="1503" ht="22" customHeight="1">
      <x:c r="A1503" s="3"/>
      <x:c r="B1503" s="3"/>
      <x:c r="C1503" s="3"/>
      <x:c r="D1503" s="4"/>
      <x:c r="E1503" s="4"/>
      <x:c r="F1503" s="4"/>
      <x:c r="G1503" s="5" t="str">
        <x:f>IF(COUNTA(A1503:F1503)=0,"",IF(K1503&lt;&gt;"","Review",IF(I1503&lt;0,"Overdue",IF(I1503=0,"Due now",IF(I1503&lt;=M1503,"Due soon","Not due")))))</x:f>
      </x:c>
      <x:c r="H1503" s="5" t="str">
        <x:f>IF(OR(COUNTA(A1503:F1503)=0,COUNTIFS('Rules'!$G$7:$G$26,"="&amp;(SUBSTITUTE(SUBSTITUTE(SUBSTITUTE(SUBSTITUTE("type:"&amp;B1503,"%","%25"),"~","%7E"),"*","%2A"),"?","%3F")))&lt;&gt;1),"",IF(OR(INDEX('Rules'!$B$7:$B$26,MATCH(SUBSTITUTE(SUBSTITUTE(SUBSTITUTE(SUBSTITUTE("type:"&amp;B1503,"%","%25"),"~","%7E"),"*","%2A"),"?","%3F"),'Rules'!$G$7:$G$26,0))="hours",INDEX('Rules'!$B$7:$B$26,MATCH(SUBSTITUTE(SUBSTITUTE(SUBSTITUTE(SUBSTITUTE("type:"&amp;B1503,"%","%25"),"~","%7E"),"*","%2A"),"?","%3F"),'Rules'!$G$7:$G$26,0))="km"),INDEX('Rules'!$B$7:$B$26,MATCH(SUBSTITUTE(SUBSTITUTE(SUBSTITUTE(SUBSTITUTE("type:"&amp;B1503,"%","%25"),"~","%7E"),"*","%2A"),"?","%3F"),'Rules'!$G$7:$G$26,0)),""))</x:f>
      </x:c>
      <x:c r="I1503" s="6" t="str">
        <x:f>IF(AND(NOT(COUNTA(A1503:F1503)=0),K1503=""),ROUND(J1503-D1503,3),"")</x:f>
      </x:c>
      <x:c r="J1503" s="6" t="str">
        <x:f>IF(AND(NOT(COUNTA(A1503:F1503)=0),K1503=""),ROUND(F1503+L1503,3),"")</x:f>
      </x:c>
      <x:c r="K1503" s="5" t="str">
        <x:f>IF(COUNTA(A1503:F1503)=0,"",IF(A1503="","Missing equipment ID",IF(COUNTIFS($N$8:$N$2007,"="&amp;N1503)&gt;1,"Duplicate equipment ID",IF(B1503="","Missing type",IF(COUNTIFS('Rules'!$G$7:$G$26,"="&amp;(SUBSTITUTE(SUBSTITUTE(SUBSTITUTE(SUBSTITUTE("type:"&amp;B1503,"%","%25"),"~","%7E"),"*","%2A"),"?","%3F")))=0,"Unknown type",IF(COUNTIFS('Rules'!$G$7:$G$26,"="&amp;(SUBSTITUTE(SUBSTITUTE(SUBSTITUTE(SUBSTITUTE("type:"&amp;B1503,"%","%25"),"~","%7E"),"*","%2A"),"?","%3F")))&gt;1,"Duplicate type",IF(INDEX('Rules'!$F$7:$F$26,MATCH(SUBSTITUTE(SUBSTITUTE(SUBSTITUTE(SUBSTITUTE("type:"&amp;B1503,"%","%25"),"~","%7E"),"*","%2A"),"?","%3F"),'Rules'!$G$7:$G$26,0))&lt;&gt;"",INDEX('Rules'!$F$7:$F$26,MATCH(SUBSTITUTE(SUBSTITUTE(SUBSTITUTE(SUBSTITUTE("type:"&amp;B1503,"%","%25"),"~","%7E"),"*","%2A"),"?","%3F"),'Rules'!$G$7:$G$26,0)),IF(AND(C1503&lt;&gt;"",C1503&lt;&gt;INDEX('Rules'!$B$7:$B$26,MATCH(SUBSTITUTE(SUBSTITUTE(SUBSTITUTE(SUBSTITUTE("type:"&amp;B1503,"%","%25"),"~","%7E"),"*","%2A"),"?","%3F"),'Rules'!$G$7:$G$26,0))),"Unit mismatch",IF(IF(NOT(ISNUMBER(D1503)),TRUE,OR(D1503&lt;0,D1503&gt;999999999,ROUND(D1503,3)&lt;&gt;D1503)),"Invalid current reading",IF(AND(E1503&lt;&gt;"",IF(NOT(ISNUMBER(E1503)),TRUE,OR(E1503&lt;0,E1503&gt;999999999,ROUND(E1503,3)&lt;&gt;E1503))),"Invalid previous reading",IF(IF(NOT(ISNUMBER(F1503)),TRUE,OR(F1503&lt;0,F1503&gt;999999999,ROUND(F1503,3)&lt;&gt;F1503)),"Invalid last service",IF(AND(E1503&lt;&gt;"",D1503&lt;E1503),"Decreased reading",IF(F1503&gt;D1503,"Last service above current","")))))))))))))</x:f>
      </x:c>
      <x:c r="L1503" s="6" t="str">
        <x:f>IF(AND(NOT(COUNTA(A1503:F1503)=0),K1503=""),INDEX('Rules'!$C$7:$C$26,MATCH(SUBSTITUTE(SUBSTITUTE(SUBSTITUTE(SUBSTITUTE("type:"&amp;B1503,"%","%25"),"~","%7E"),"*","%2A"),"?","%3F"),'Rules'!$G$7:$G$26,0)),"")</x:f>
      </x:c>
      <x:c r="M1503" s="6" t="str">
        <x:f>IF(AND(NOT(COUNTA(A1503:F1503)=0),K1503=""),INDEX('Rules'!$D$7:$D$26,MATCH(SUBSTITUTE(SUBSTITUTE(SUBSTITUTE(SUBSTITUTE("type:"&amp;B1503,"%","%25"),"~","%7E"),"*","%2A"),"?","%3F"),'Rules'!$G$7:$G$26,0)),"")</x:f>
      </x:c>
      <x:c r="N1503" s="5" t="str">
        <x:f>IF(COUNTA(A1503:F1503)=0,"",SUBSTITUTE(SUBSTITUTE(SUBSTITUTE(SUBSTITUTE("id:"&amp;A1503,"%","%25"),"~","%7E"),"*","%2A"),"?","%3F"))</x:f>
      </x:c>
    </x:row>
    <x:row r="1504" ht="22" customHeight="1">
      <x:c r="A1504" s="3"/>
      <x:c r="B1504" s="3"/>
      <x:c r="C1504" s="3"/>
      <x:c r="D1504" s="4"/>
      <x:c r="E1504" s="4"/>
      <x:c r="F1504" s="4"/>
      <x:c r="G1504" s="5" t="str">
        <x:f>IF(COUNTA(A1504:F1504)=0,"",IF(K1504&lt;&gt;"","Review",IF(I1504&lt;0,"Overdue",IF(I1504=0,"Due now",IF(I1504&lt;=M1504,"Due soon","Not due")))))</x:f>
      </x:c>
      <x:c r="H1504" s="5" t="str">
        <x:f>IF(OR(COUNTA(A1504:F1504)=0,COUNTIFS('Rules'!$G$7:$G$26,"="&amp;(SUBSTITUTE(SUBSTITUTE(SUBSTITUTE(SUBSTITUTE("type:"&amp;B1504,"%","%25"),"~","%7E"),"*","%2A"),"?","%3F")))&lt;&gt;1),"",IF(OR(INDEX('Rules'!$B$7:$B$26,MATCH(SUBSTITUTE(SUBSTITUTE(SUBSTITUTE(SUBSTITUTE("type:"&amp;B1504,"%","%25"),"~","%7E"),"*","%2A"),"?","%3F"),'Rules'!$G$7:$G$26,0))="hours",INDEX('Rules'!$B$7:$B$26,MATCH(SUBSTITUTE(SUBSTITUTE(SUBSTITUTE(SUBSTITUTE("type:"&amp;B1504,"%","%25"),"~","%7E"),"*","%2A"),"?","%3F"),'Rules'!$G$7:$G$26,0))="km"),INDEX('Rules'!$B$7:$B$26,MATCH(SUBSTITUTE(SUBSTITUTE(SUBSTITUTE(SUBSTITUTE("type:"&amp;B1504,"%","%25"),"~","%7E"),"*","%2A"),"?","%3F"),'Rules'!$G$7:$G$26,0)),""))</x:f>
      </x:c>
      <x:c r="I1504" s="6" t="str">
        <x:f>IF(AND(NOT(COUNTA(A1504:F1504)=0),K1504=""),ROUND(J1504-D1504,3),"")</x:f>
      </x:c>
      <x:c r="J1504" s="6" t="str">
        <x:f>IF(AND(NOT(COUNTA(A1504:F1504)=0),K1504=""),ROUND(F1504+L1504,3),"")</x:f>
      </x:c>
      <x:c r="K1504" s="5" t="str">
        <x:f>IF(COUNTA(A1504:F1504)=0,"",IF(A1504="","Missing equipment ID",IF(COUNTIFS($N$8:$N$2007,"="&amp;N1504)&gt;1,"Duplicate equipment ID",IF(B1504="","Missing type",IF(COUNTIFS('Rules'!$G$7:$G$26,"="&amp;(SUBSTITUTE(SUBSTITUTE(SUBSTITUTE(SUBSTITUTE("type:"&amp;B1504,"%","%25"),"~","%7E"),"*","%2A"),"?","%3F")))=0,"Unknown type",IF(COUNTIFS('Rules'!$G$7:$G$26,"="&amp;(SUBSTITUTE(SUBSTITUTE(SUBSTITUTE(SUBSTITUTE("type:"&amp;B1504,"%","%25"),"~","%7E"),"*","%2A"),"?","%3F")))&gt;1,"Duplicate type",IF(INDEX('Rules'!$F$7:$F$26,MATCH(SUBSTITUTE(SUBSTITUTE(SUBSTITUTE(SUBSTITUTE("type:"&amp;B1504,"%","%25"),"~","%7E"),"*","%2A"),"?","%3F"),'Rules'!$G$7:$G$26,0))&lt;&gt;"",INDEX('Rules'!$F$7:$F$26,MATCH(SUBSTITUTE(SUBSTITUTE(SUBSTITUTE(SUBSTITUTE("type:"&amp;B1504,"%","%25"),"~","%7E"),"*","%2A"),"?","%3F"),'Rules'!$G$7:$G$26,0)),IF(AND(C1504&lt;&gt;"",C1504&lt;&gt;INDEX('Rules'!$B$7:$B$26,MATCH(SUBSTITUTE(SUBSTITUTE(SUBSTITUTE(SUBSTITUTE("type:"&amp;B1504,"%","%25"),"~","%7E"),"*","%2A"),"?","%3F"),'Rules'!$G$7:$G$26,0))),"Unit mismatch",IF(IF(NOT(ISNUMBER(D1504)),TRUE,OR(D1504&lt;0,D1504&gt;999999999,ROUND(D1504,3)&lt;&gt;D1504)),"Invalid current reading",IF(AND(E1504&lt;&gt;"",IF(NOT(ISNUMBER(E1504)),TRUE,OR(E1504&lt;0,E1504&gt;999999999,ROUND(E1504,3)&lt;&gt;E1504))),"Invalid previous reading",IF(IF(NOT(ISNUMBER(F1504)),TRUE,OR(F1504&lt;0,F1504&gt;999999999,ROUND(F1504,3)&lt;&gt;F1504)),"Invalid last service",IF(AND(E1504&lt;&gt;"",D1504&lt;E1504),"Decreased reading",IF(F1504&gt;D1504,"Last service above current","")))))))))))))</x:f>
      </x:c>
      <x:c r="L1504" s="6" t="str">
        <x:f>IF(AND(NOT(COUNTA(A1504:F1504)=0),K1504=""),INDEX('Rules'!$C$7:$C$26,MATCH(SUBSTITUTE(SUBSTITUTE(SUBSTITUTE(SUBSTITUTE("type:"&amp;B1504,"%","%25"),"~","%7E"),"*","%2A"),"?","%3F"),'Rules'!$G$7:$G$26,0)),"")</x:f>
      </x:c>
      <x:c r="M1504" s="6" t="str">
        <x:f>IF(AND(NOT(COUNTA(A1504:F1504)=0),K1504=""),INDEX('Rules'!$D$7:$D$26,MATCH(SUBSTITUTE(SUBSTITUTE(SUBSTITUTE(SUBSTITUTE("type:"&amp;B1504,"%","%25"),"~","%7E"),"*","%2A"),"?","%3F"),'Rules'!$G$7:$G$26,0)),"")</x:f>
      </x:c>
      <x:c r="N1504" s="5" t="str">
        <x:f>IF(COUNTA(A1504:F1504)=0,"",SUBSTITUTE(SUBSTITUTE(SUBSTITUTE(SUBSTITUTE("id:"&amp;A1504,"%","%25"),"~","%7E"),"*","%2A"),"?","%3F"))</x:f>
      </x:c>
    </x:row>
    <x:row r="1505" ht="22" customHeight="1">
      <x:c r="A1505" s="3"/>
      <x:c r="B1505" s="3"/>
      <x:c r="C1505" s="3"/>
      <x:c r="D1505" s="4"/>
      <x:c r="E1505" s="4"/>
      <x:c r="F1505" s="4"/>
      <x:c r="G1505" s="5" t="str">
        <x:f>IF(COUNTA(A1505:F1505)=0,"",IF(K1505&lt;&gt;"","Review",IF(I1505&lt;0,"Overdue",IF(I1505=0,"Due now",IF(I1505&lt;=M1505,"Due soon","Not due")))))</x:f>
      </x:c>
      <x:c r="H1505" s="5" t="str">
        <x:f>IF(OR(COUNTA(A1505:F1505)=0,COUNTIFS('Rules'!$G$7:$G$26,"="&amp;(SUBSTITUTE(SUBSTITUTE(SUBSTITUTE(SUBSTITUTE("type:"&amp;B1505,"%","%25"),"~","%7E"),"*","%2A"),"?","%3F")))&lt;&gt;1),"",IF(OR(INDEX('Rules'!$B$7:$B$26,MATCH(SUBSTITUTE(SUBSTITUTE(SUBSTITUTE(SUBSTITUTE("type:"&amp;B1505,"%","%25"),"~","%7E"),"*","%2A"),"?","%3F"),'Rules'!$G$7:$G$26,0))="hours",INDEX('Rules'!$B$7:$B$26,MATCH(SUBSTITUTE(SUBSTITUTE(SUBSTITUTE(SUBSTITUTE("type:"&amp;B1505,"%","%25"),"~","%7E"),"*","%2A"),"?","%3F"),'Rules'!$G$7:$G$26,0))="km"),INDEX('Rules'!$B$7:$B$26,MATCH(SUBSTITUTE(SUBSTITUTE(SUBSTITUTE(SUBSTITUTE("type:"&amp;B1505,"%","%25"),"~","%7E"),"*","%2A"),"?","%3F"),'Rules'!$G$7:$G$26,0)),""))</x:f>
      </x:c>
      <x:c r="I1505" s="6" t="str">
        <x:f>IF(AND(NOT(COUNTA(A1505:F1505)=0),K1505=""),ROUND(J1505-D1505,3),"")</x:f>
      </x:c>
      <x:c r="J1505" s="6" t="str">
        <x:f>IF(AND(NOT(COUNTA(A1505:F1505)=0),K1505=""),ROUND(F1505+L1505,3),"")</x:f>
      </x:c>
      <x:c r="K1505" s="5" t="str">
        <x:f>IF(COUNTA(A1505:F1505)=0,"",IF(A1505="","Missing equipment ID",IF(COUNTIFS($N$8:$N$2007,"="&amp;N1505)&gt;1,"Duplicate equipment ID",IF(B1505="","Missing type",IF(COUNTIFS('Rules'!$G$7:$G$26,"="&amp;(SUBSTITUTE(SUBSTITUTE(SUBSTITUTE(SUBSTITUTE("type:"&amp;B1505,"%","%25"),"~","%7E"),"*","%2A"),"?","%3F")))=0,"Unknown type",IF(COUNTIFS('Rules'!$G$7:$G$26,"="&amp;(SUBSTITUTE(SUBSTITUTE(SUBSTITUTE(SUBSTITUTE("type:"&amp;B1505,"%","%25"),"~","%7E"),"*","%2A"),"?","%3F")))&gt;1,"Duplicate type",IF(INDEX('Rules'!$F$7:$F$26,MATCH(SUBSTITUTE(SUBSTITUTE(SUBSTITUTE(SUBSTITUTE("type:"&amp;B1505,"%","%25"),"~","%7E"),"*","%2A"),"?","%3F"),'Rules'!$G$7:$G$26,0))&lt;&gt;"",INDEX('Rules'!$F$7:$F$26,MATCH(SUBSTITUTE(SUBSTITUTE(SUBSTITUTE(SUBSTITUTE("type:"&amp;B1505,"%","%25"),"~","%7E"),"*","%2A"),"?","%3F"),'Rules'!$G$7:$G$26,0)),IF(AND(C1505&lt;&gt;"",C1505&lt;&gt;INDEX('Rules'!$B$7:$B$26,MATCH(SUBSTITUTE(SUBSTITUTE(SUBSTITUTE(SUBSTITUTE("type:"&amp;B1505,"%","%25"),"~","%7E"),"*","%2A"),"?","%3F"),'Rules'!$G$7:$G$26,0))),"Unit mismatch",IF(IF(NOT(ISNUMBER(D1505)),TRUE,OR(D1505&lt;0,D1505&gt;999999999,ROUND(D1505,3)&lt;&gt;D1505)),"Invalid current reading",IF(AND(E1505&lt;&gt;"",IF(NOT(ISNUMBER(E1505)),TRUE,OR(E1505&lt;0,E1505&gt;999999999,ROUND(E1505,3)&lt;&gt;E1505))),"Invalid previous reading",IF(IF(NOT(ISNUMBER(F1505)),TRUE,OR(F1505&lt;0,F1505&gt;999999999,ROUND(F1505,3)&lt;&gt;F1505)),"Invalid last service",IF(AND(E1505&lt;&gt;"",D1505&lt;E1505),"Decreased reading",IF(F1505&gt;D1505,"Last service above current","")))))))))))))</x:f>
      </x:c>
      <x:c r="L1505" s="6" t="str">
        <x:f>IF(AND(NOT(COUNTA(A1505:F1505)=0),K1505=""),INDEX('Rules'!$C$7:$C$26,MATCH(SUBSTITUTE(SUBSTITUTE(SUBSTITUTE(SUBSTITUTE("type:"&amp;B1505,"%","%25"),"~","%7E"),"*","%2A"),"?","%3F"),'Rules'!$G$7:$G$26,0)),"")</x:f>
      </x:c>
      <x:c r="M1505" s="6" t="str">
        <x:f>IF(AND(NOT(COUNTA(A1505:F1505)=0),K1505=""),INDEX('Rules'!$D$7:$D$26,MATCH(SUBSTITUTE(SUBSTITUTE(SUBSTITUTE(SUBSTITUTE("type:"&amp;B1505,"%","%25"),"~","%7E"),"*","%2A"),"?","%3F"),'Rules'!$G$7:$G$26,0)),"")</x:f>
      </x:c>
      <x:c r="N1505" s="5" t="str">
        <x:f>IF(COUNTA(A1505:F1505)=0,"",SUBSTITUTE(SUBSTITUTE(SUBSTITUTE(SUBSTITUTE("id:"&amp;A1505,"%","%25"),"~","%7E"),"*","%2A"),"?","%3F"))</x:f>
      </x:c>
    </x:row>
    <x:row r="1506" ht="22" customHeight="1">
      <x:c r="A1506" s="3"/>
      <x:c r="B1506" s="3"/>
      <x:c r="C1506" s="3"/>
      <x:c r="D1506" s="4"/>
      <x:c r="E1506" s="4"/>
      <x:c r="F1506" s="4"/>
      <x:c r="G1506" s="5" t="str">
        <x:f>IF(COUNTA(A1506:F1506)=0,"",IF(K1506&lt;&gt;"","Review",IF(I1506&lt;0,"Overdue",IF(I1506=0,"Due now",IF(I1506&lt;=M1506,"Due soon","Not due")))))</x:f>
      </x:c>
      <x:c r="H1506" s="5" t="str">
        <x:f>IF(OR(COUNTA(A1506:F1506)=0,COUNTIFS('Rules'!$G$7:$G$26,"="&amp;(SUBSTITUTE(SUBSTITUTE(SUBSTITUTE(SUBSTITUTE("type:"&amp;B1506,"%","%25"),"~","%7E"),"*","%2A"),"?","%3F")))&lt;&gt;1),"",IF(OR(INDEX('Rules'!$B$7:$B$26,MATCH(SUBSTITUTE(SUBSTITUTE(SUBSTITUTE(SUBSTITUTE("type:"&amp;B1506,"%","%25"),"~","%7E"),"*","%2A"),"?","%3F"),'Rules'!$G$7:$G$26,0))="hours",INDEX('Rules'!$B$7:$B$26,MATCH(SUBSTITUTE(SUBSTITUTE(SUBSTITUTE(SUBSTITUTE("type:"&amp;B1506,"%","%25"),"~","%7E"),"*","%2A"),"?","%3F"),'Rules'!$G$7:$G$26,0))="km"),INDEX('Rules'!$B$7:$B$26,MATCH(SUBSTITUTE(SUBSTITUTE(SUBSTITUTE(SUBSTITUTE("type:"&amp;B1506,"%","%25"),"~","%7E"),"*","%2A"),"?","%3F"),'Rules'!$G$7:$G$26,0)),""))</x:f>
      </x:c>
      <x:c r="I1506" s="6" t="str">
        <x:f>IF(AND(NOT(COUNTA(A1506:F1506)=0),K1506=""),ROUND(J1506-D1506,3),"")</x:f>
      </x:c>
      <x:c r="J1506" s="6" t="str">
        <x:f>IF(AND(NOT(COUNTA(A1506:F1506)=0),K1506=""),ROUND(F1506+L1506,3),"")</x:f>
      </x:c>
      <x:c r="K1506" s="5" t="str">
        <x:f>IF(COUNTA(A1506:F1506)=0,"",IF(A1506="","Missing equipment ID",IF(COUNTIFS($N$8:$N$2007,"="&amp;N1506)&gt;1,"Duplicate equipment ID",IF(B1506="","Missing type",IF(COUNTIFS('Rules'!$G$7:$G$26,"="&amp;(SUBSTITUTE(SUBSTITUTE(SUBSTITUTE(SUBSTITUTE("type:"&amp;B1506,"%","%25"),"~","%7E"),"*","%2A"),"?","%3F")))=0,"Unknown type",IF(COUNTIFS('Rules'!$G$7:$G$26,"="&amp;(SUBSTITUTE(SUBSTITUTE(SUBSTITUTE(SUBSTITUTE("type:"&amp;B1506,"%","%25"),"~","%7E"),"*","%2A"),"?","%3F")))&gt;1,"Duplicate type",IF(INDEX('Rules'!$F$7:$F$26,MATCH(SUBSTITUTE(SUBSTITUTE(SUBSTITUTE(SUBSTITUTE("type:"&amp;B1506,"%","%25"),"~","%7E"),"*","%2A"),"?","%3F"),'Rules'!$G$7:$G$26,0))&lt;&gt;"",INDEX('Rules'!$F$7:$F$26,MATCH(SUBSTITUTE(SUBSTITUTE(SUBSTITUTE(SUBSTITUTE("type:"&amp;B1506,"%","%25"),"~","%7E"),"*","%2A"),"?","%3F"),'Rules'!$G$7:$G$26,0)),IF(AND(C1506&lt;&gt;"",C1506&lt;&gt;INDEX('Rules'!$B$7:$B$26,MATCH(SUBSTITUTE(SUBSTITUTE(SUBSTITUTE(SUBSTITUTE("type:"&amp;B1506,"%","%25"),"~","%7E"),"*","%2A"),"?","%3F"),'Rules'!$G$7:$G$26,0))),"Unit mismatch",IF(IF(NOT(ISNUMBER(D1506)),TRUE,OR(D1506&lt;0,D1506&gt;999999999,ROUND(D1506,3)&lt;&gt;D1506)),"Invalid current reading",IF(AND(E1506&lt;&gt;"",IF(NOT(ISNUMBER(E1506)),TRUE,OR(E1506&lt;0,E1506&gt;999999999,ROUND(E1506,3)&lt;&gt;E1506))),"Invalid previous reading",IF(IF(NOT(ISNUMBER(F1506)),TRUE,OR(F1506&lt;0,F1506&gt;999999999,ROUND(F1506,3)&lt;&gt;F1506)),"Invalid last service",IF(AND(E1506&lt;&gt;"",D1506&lt;E1506),"Decreased reading",IF(F1506&gt;D1506,"Last service above current","")))))))))))))</x:f>
      </x:c>
      <x:c r="L1506" s="6" t="str">
        <x:f>IF(AND(NOT(COUNTA(A1506:F1506)=0),K1506=""),INDEX('Rules'!$C$7:$C$26,MATCH(SUBSTITUTE(SUBSTITUTE(SUBSTITUTE(SUBSTITUTE("type:"&amp;B1506,"%","%25"),"~","%7E"),"*","%2A"),"?","%3F"),'Rules'!$G$7:$G$26,0)),"")</x:f>
      </x:c>
      <x:c r="M1506" s="6" t="str">
        <x:f>IF(AND(NOT(COUNTA(A1506:F1506)=0),K1506=""),INDEX('Rules'!$D$7:$D$26,MATCH(SUBSTITUTE(SUBSTITUTE(SUBSTITUTE(SUBSTITUTE("type:"&amp;B1506,"%","%25"),"~","%7E"),"*","%2A"),"?","%3F"),'Rules'!$G$7:$G$26,0)),"")</x:f>
      </x:c>
      <x:c r="N1506" s="5" t="str">
        <x:f>IF(COUNTA(A1506:F1506)=0,"",SUBSTITUTE(SUBSTITUTE(SUBSTITUTE(SUBSTITUTE("id:"&amp;A1506,"%","%25"),"~","%7E"),"*","%2A"),"?","%3F"))</x:f>
      </x:c>
    </x:row>
    <x:row r="1507" ht="22" customHeight="1">
      <x:c r="A1507" s="3"/>
      <x:c r="B1507" s="3"/>
      <x:c r="C1507" s="3"/>
      <x:c r="D1507" s="4"/>
      <x:c r="E1507" s="4"/>
      <x:c r="F1507" s="4"/>
      <x:c r="G1507" s="5" t="str">
        <x:f>IF(COUNTA(A1507:F1507)=0,"",IF(K1507&lt;&gt;"","Review",IF(I1507&lt;0,"Overdue",IF(I1507=0,"Due now",IF(I1507&lt;=M1507,"Due soon","Not due")))))</x:f>
      </x:c>
      <x:c r="H1507" s="5" t="str">
        <x:f>IF(OR(COUNTA(A1507:F1507)=0,COUNTIFS('Rules'!$G$7:$G$26,"="&amp;(SUBSTITUTE(SUBSTITUTE(SUBSTITUTE(SUBSTITUTE("type:"&amp;B1507,"%","%25"),"~","%7E"),"*","%2A"),"?","%3F")))&lt;&gt;1),"",IF(OR(INDEX('Rules'!$B$7:$B$26,MATCH(SUBSTITUTE(SUBSTITUTE(SUBSTITUTE(SUBSTITUTE("type:"&amp;B1507,"%","%25"),"~","%7E"),"*","%2A"),"?","%3F"),'Rules'!$G$7:$G$26,0))="hours",INDEX('Rules'!$B$7:$B$26,MATCH(SUBSTITUTE(SUBSTITUTE(SUBSTITUTE(SUBSTITUTE("type:"&amp;B1507,"%","%25"),"~","%7E"),"*","%2A"),"?","%3F"),'Rules'!$G$7:$G$26,0))="km"),INDEX('Rules'!$B$7:$B$26,MATCH(SUBSTITUTE(SUBSTITUTE(SUBSTITUTE(SUBSTITUTE("type:"&amp;B1507,"%","%25"),"~","%7E"),"*","%2A"),"?","%3F"),'Rules'!$G$7:$G$26,0)),""))</x:f>
      </x:c>
      <x:c r="I1507" s="6" t="str">
        <x:f>IF(AND(NOT(COUNTA(A1507:F1507)=0),K1507=""),ROUND(J1507-D1507,3),"")</x:f>
      </x:c>
      <x:c r="J1507" s="6" t="str">
        <x:f>IF(AND(NOT(COUNTA(A1507:F1507)=0),K1507=""),ROUND(F1507+L1507,3),"")</x:f>
      </x:c>
      <x:c r="K1507" s="5" t="str">
        <x:f>IF(COUNTA(A1507:F1507)=0,"",IF(A1507="","Missing equipment ID",IF(COUNTIFS($N$8:$N$2007,"="&amp;N1507)&gt;1,"Duplicate equipment ID",IF(B1507="","Missing type",IF(COUNTIFS('Rules'!$G$7:$G$26,"="&amp;(SUBSTITUTE(SUBSTITUTE(SUBSTITUTE(SUBSTITUTE("type:"&amp;B1507,"%","%25"),"~","%7E"),"*","%2A"),"?","%3F")))=0,"Unknown type",IF(COUNTIFS('Rules'!$G$7:$G$26,"="&amp;(SUBSTITUTE(SUBSTITUTE(SUBSTITUTE(SUBSTITUTE("type:"&amp;B1507,"%","%25"),"~","%7E"),"*","%2A"),"?","%3F")))&gt;1,"Duplicate type",IF(INDEX('Rules'!$F$7:$F$26,MATCH(SUBSTITUTE(SUBSTITUTE(SUBSTITUTE(SUBSTITUTE("type:"&amp;B1507,"%","%25"),"~","%7E"),"*","%2A"),"?","%3F"),'Rules'!$G$7:$G$26,0))&lt;&gt;"",INDEX('Rules'!$F$7:$F$26,MATCH(SUBSTITUTE(SUBSTITUTE(SUBSTITUTE(SUBSTITUTE("type:"&amp;B1507,"%","%25"),"~","%7E"),"*","%2A"),"?","%3F"),'Rules'!$G$7:$G$26,0)),IF(AND(C1507&lt;&gt;"",C1507&lt;&gt;INDEX('Rules'!$B$7:$B$26,MATCH(SUBSTITUTE(SUBSTITUTE(SUBSTITUTE(SUBSTITUTE("type:"&amp;B1507,"%","%25"),"~","%7E"),"*","%2A"),"?","%3F"),'Rules'!$G$7:$G$26,0))),"Unit mismatch",IF(IF(NOT(ISNUMBER(D1507)),TRUE,OR(D1507&lt;0,D1507&gt;999999999,ROUND(D1507,3)&lt;&gt;D1507)),"Invalid current reading",IF(AND(E1507&lt;&gt;"",IF(NOT(ISNUMBER(E1507)),TRUE,OR(E1507&lt;0,E1507&gt;999999999,ROUND(E1507,3)&lt;&gt;E1507))),"Invalid previous reading",IF(IF(NOT(ISNUMBER(F1507)),TRUE,OR(F1507&lt;0,F1507&gt;999999999,ROUND(F1507,3)&lt;&gt;F1507)),"Invalid last service",IF(AND(E1507&lt;&gt;"",D1507&lt;E1507),"Decreased reading",IF(F1507&gt;D1507,"Last service above current","")))))))))))))</x:f>
      </x:c>
      <x:c r="L1507" s="6" t="str">
        <x:f>IF(AND(NOT(COUNTA(A1507:F1507)=0),K1507=""),INDEX('Rules'!$C$7:$C$26,MATCH(SUBSTITUTE(SUBSTITUTE(SUBSTITUTE(SUBSTITUTE("type:"&amp;B1507,"%","%25"),"~","%7E"),"*","%2A"),"?","%3F"),'Rules'!$G$7:$G$26,0)),"")</x:f>
      </x:c>
      <x:c r="M1507" s="6" t="str">
        <x:f>IF(AND(NOT(COUNTA(A1507:F1507)=0),K1507=""),INDEX('Rules'!$D$7:$D$26,MATCH(SUBSTITUTE(SUBSTITUTE(SUBSTITUTE(SUBSTITUTE("type:"&amp;B1507,"%","%25"),"~","%7E"),"*","%2A"),"?","%3F"),'Rules'!$G$7:$G$26,0)),"")</x:f>
      </x:c>
      <x:c r="N1507" s="5" t="str">
        <x:f>IF(COUNTA(A1507:F1507)=0,"",SUBSTITUTE(SUBSTITUTE(SUBSTITUTE(SUBSTITUTE("id:"&amp;A1507,"%","%25"),"~","%7E"),"*","%2A"),"?","%3F"))</x:f>
      </x:c>
    </x:row>
    <x:row r="1508" ht="22" customHeight="1">
      <x:c r="A1508" s="3"/>
      <x:c r="B1508" s="3"/>
      <x:c r="C1508" s="3"/>
      <x:c r="D1508" s="4"/>
      <x:c r="E1508" s="4"/>
      <x:c r="F1508" s="4"/>
      <x:c r="G1508" s="5" t="str">
        <x:f>IF(COUNTA(A1508:F1508)=0,"",IF(K1508&lt;&gt;"","Review",IF(I1508&lt;0,"Overdue",IF(I1508=0,"Due now",IF(I1508&lt;=M1508,"Due soon","Not due")))))</x:f>
      </x:c>
      <x:c r="H1508" s="5" t="str">
        <x:f>IF(OR(COUNTA(A1508:F1508)=0,COUNTIFS('Rules'!$G$7:$G$26,"="&amp;(SUBSTITUTE(SUBSTITUTE(SUBSTITUTE(SUBSTITUTE("type:"&amp;B1508,"%","%25"),"~","%7E"),"*","%2A"),"?","%3F")))&lt;&gt;1),"",IF(OR(INDEX('Rules'!$B$7:$B$26,MATCH(SUBSTITUTE(SUBSTITUTE(SUBSTITUTE(SUBSTITUTE("type:"&amp;B1508,"%","%25"),"~","%7E"),"*","%2A"),"?","%3F"),'Rules'!$G$7:$G$26,0))="hours",INDEX('Rules'!$B$7:$B$26,MATCH(SUBSTITUTE(SUBSTITUTE(SUBSTITUTE(SUBSTITUTE("type:"&amp;B1508,"%","%25"),"~","%7E"),"*","%2A"),"?","%3F"),'Rules'!$G$7:$G$26,0))="km"),INDEX('Rules'!$B$7:$B$26,MATCH(SUBSTITUTE(SUBSTITUTE(SUBSTITUTE(SUBSTITUTE("type:"&amp;B1508,"%","%25"),"~","%7E"),"*","%2A"),"?","%3F"),'Rules'!$G$7:$G$26,0)),""))</x:f>
      </x:c>
      <x:c r="I1508" s="6" t="str">
        <x:f>IF(AND(NOT(COUNTA(A1508:F1508)=0),K1508=""),ROUND(J1508-D1508,3),"")</x:f>
      </x:c>
      <x:c r="J1508" s="6" t="str">
        <x:f>IF(AND(NOT(COUNTA(A1508:F1508)=0),K1508=""),ROUND(F1508+L1508,3),"")</x:f>
      </x:c>
      <x:c r="K1508" s="5" t="str">
        <x:f>IF(COUNTA(A1508:F1508)=0,"",IF(A1508="","Missing equipment ID",IF(COUNTIFS($N$8:$N$2007,"="&amp;N1508)&gt;1,"Duplicate equipment ID",IF(B1508="","Missing type",IF(COUNTIFS('Rules'!$G$7:$G$26,"="&amp;(SUBSTITUTE(SUBSTITUTE(SUBSTITUTE(SUBSTITUTE("type:"&amp;B1508,"%","%25"),"~","%7E"),"*","%2A"),"?","%3F")))=0,"Unknown type",IF(COUNTIFS('Rules'!$G$7:$G$26,"="&amp;(SUBSTITUTE(SUBSTITUTE(SUBSTITUTE(SUBSTITUTE("type:"&amp;B1508,"%","%25"),"~","%7E"),"*","%2A"),"?","%3F")))&gt;1,"Duplicate type",IF(INDEX('Rules'!$F$7:$F$26,MATCH(SUBSTITUTE(SUBSTITUTE(SUBSTITUTE(SUBSTITUTE("type:"&amp;B1508,"%","%25"),"~","%7E"),"*","%2A"),"?","%3F"),'Rules'!$G$7:$G$26,0))&lt;&gt;"",INDEX('Rules'!$F$7:$F$26,MATCH(SUBSTITUTE(SUBSTITUTE(SUBSTITUTE(SUBSTITUTE("type:"&amp;B1508,"%","%25"),"~","%7E"),"*","%2A"),"?","%3F"),'Rules'!$G$7:$G$26,0)),IF(AND(C1508&lt;&gt;"",C1508&lt;&gt;INDEX('Rules'!$B$7:$B$26,MATCH(SUBSTITUTE(SUBSTITUTE(SUBSTITUTE(SUBSTITUTE("type:"&amp;B1508,"%","%25"),"~","%7E"),"*","%2A"),"?","%3F"),'Rules'!$G$7:$G$26,0))),"Unit mismatch",IF(IF(NOT(ISNUMBER(D1508)),TRUE,OR(D1508&lt;0,D1508&gt;999999999,ROUND(D1508,3)&lt;&gt;D1508)),"Invalid current reading",IF(AND(E1508&lt;&gt;"",IF(NOT(ISNUMBER(E1508)),TRUE,OR(E1508&lt;0,E1508&gt;999999999,ROUND(E1508,3)&lt;&gt;E1508))),"Invalid previous reading",IF(IF(NOT(ISNUMBER(F1508)),TRUE,OR(F1508&lt;0,F1508&gt;999999999,ROUND(F1508,3)&lt;&gt;F1508)),"Invalid last service",IF(AND(E1508&lt;&gt;"",D1508&lt;E1508),"Decreased reading",IF(F1508&gt;D1508,"Last service above current","")))))))))))))</x:f>
      </x:c>
      <x:c r="L1508" s="6" t="str">
        <x:f>IF(AND(NOT(COUNTA(A1508:F1508)=0),K1508=""),INDEX('Rules'!$C$7:$C$26,MATCH(SUBSTITUTE(SUBSTITUTE(SUBSTITUTE(SUBSTITUTE("type:"&amp;B1508,"%","%25"),"~","%7E"),"*","%2A"),"?","%3F"),'Rules'!$G$7:$G$26,0)),"")</x:f>
      </x:c>
      <x:c r="M1508" s="6" t="str">
        <x:f>IF(AND(NOT(COUNTA(A1508:F1508)=0),K1508=""),INDEX('Rules'!$D$7:$D$26,MATCH(SUBSTITUTE(SUBSTITUTE(SUBSTITUTE(SUBSTITUTE("type:"&amp;B1508,"%","%25"),"~","%7E"),"*","%2A"),"?","%3F"),'Rules'!$G$7:$G$26,0)),"")</x:f>
      </x:c>
      <x:c r="N1508" s="5" t="str">
        <x:f>IF(COUNTA(A1508:F1508)=0,"",SUBSTITUTE(SUBSTITUTE(SUBSTITUTE(SUBSTITUTE("id:"&amp;A1508,"%","%25"),"~","%7E"),"*","%2A"),"?","%3F"))</x:f>
      </x:c>
    </x:row>
    <x:row r="1509" ht="22" customHeight="1">
      <x:c r="A1509" s="3"/>
      <x:c r="B1509" s="3"/>
      <x:c r="C1509" s="3"/>
      <x:c r="D1509" s="4"/>
      <x:c r="E1509" s="4"/>
      <x:c r="F1509" s="4"/>
      <x:c r="G1509" s="5" t="str">
        <x:f>IF(COUNTA(A1509:F1509)=0,"",IF(K1509&lt;&gt;"","Review",IF(I1509&lt;0,"Overdue",IF(I1509=0,"Due now",IF(I1509&lt;=M1509,"Due soon","Not due")))))</x:f>
      </x:c>
      <x:c r="H1509" s="5" t="str">
        <x:f>IF(OR(COUNTA(A1509:F1509)=0,COUNTIFS('Rules'!$G$7:$G$26,"="&amp;(SUBSTITUTE(SUBSTITUTE(SUBSTITUTE(SUBSTITUTE("type:"&amp;B1509,"%","%25"),"~","%7E"),"*","%2A"),"?","%3F")))&lt;&gt;1),"",IF(OR(INDEX('Rules'!$B$7:$B$26,MATCH(SUBSTITUTE(SUBSTITUTE(SUBSTITUTE(SUBSTITUTE("type:"&amp;B1509,"%","%25"),"~","%7E"),"*","%2A"),"?","%3F"),'Rules'!$G$7:$G$26,0))="hours",INDEX('Rules'!$B$7:$B$26,MATCH(SUBSTITUTE(SUBSTITUTE(SUBSTITUTE(SUBSTITUTE("type:"&amp;B1509,"%","%25"),"~","%7E"),"*","%2A"),"?","%3F"),'Rules'!$G$7:$G$26,0))="km"),INDEX('Rules'!$B$7:$B$26,MATCH(SUBSTITUTE(SUBSTITUTE(SUBSTITUTE(SUBSTITUTE("type:"&amp;B1509,"%","%25"),"~","%7E"),"*","%2A"),"?","%3F"),'Rules'!$G$7:$G$26,0)),""))</x:f>
      </x:c>
      <x:c r="I1509" s="6" t="str">
        <x:f>IF(AND(NOT(COUNTA(A1509:F1509)=0),K1509=""),ROUND(J1509-D1509,3),"")</x:f>
      </x:c>
      <x:c r="J1509" s="6" t="str">
        <x:f>IF(AND(NOT(COUNTA(A1509:F1509)=0),K1509=""),ROUND(F1509+L1509,3),"")</x:f>
      </x:c>
      <x:c r="K1509" s="5" t="str">
        <x:f>IF(COUNTA(A1509:F1509)=0,"",IF(A1509="","Missing equipment ID",IF(COUNTIFS($N$8:$N$2007,"="&amp;N1509)&gt;1,"Duplicate equipment ID",IF(B1509="","Missing type",IF(COUNTIFS('Rules'!$G$7:$G$26,"="&amp;(SUBSTITUTE(SUBSTITUTE(SUBSTITUTE(SUBSTITUTE("type:"&amp;B1509,"%","%25"),"~","%7E"),"*","%2A"),"?","%3F")))=0,"Unknown type",IF(COUNTIFS('Rules'!$G$7:$G$26,"="&amp;(SUBSTITUTE(SUBSTITUTE(SUBSTITUTE(SUBSTITUTE("type:"&amp;B1509,"%","%25"),"~","%7E"),"*","%2A"),"?","%3F")))&gt;1,"Duplicate type",IF(INDEX('Rules'!$F$7:$F$26,MATCH(SUBSTITUTE(SUBSTITUTE(SUBSTITUTE(SUBSTITUTE("type:"&amp;B1509,"%","%25"),"~","%7E"),"*","%2A"),"?","%3F"),'Rules'!$G$7:$G$26,0))&lt;&gt;"",INDEX('Rules'!$F$7:$F$26,MATCH(SUBSTITUTE(SUBSTITUTE(SUBSTITUTE(SUBSTITUTE("type:"&amp;B1509,"%","%25"),"~","%7E"),"*","%2A"),"?","%3F"),'Rules'!$G$7:$G$26,0)),IF(AND(C1509&lt;&gt;"",C1509&lt;&gt;INDEX('Rules'!$B$7:$B$26,MATCH(SUBSTITUTE(SUBSTITUTE(SUBSTITUTE(SUBSTITUTE("type:"&amp;B1509,"%","%25"),"~","%7E"),"*","%2A"),"?","%3F"),'Rules'!$G$7:$G$26,0))),"Unit mismatch",IF(IF(NOT(ISNUMBER(D1509)),TRUE,OR(D1509&lt;0,D1509&gt;999999999,ROUND(D1509,3)&lt;&gt;D1509)),"Invalid current reading",IF(AND(E1509&lt;&gt;"",IF(NOT(ISNUMBER(E1509)),TRUE,OR(E1509&lt;0,E1509&gt;999999999,ROUND(E1509,3)&lt;&gt;E1509))),"Invalid previous reading",IF(IF(NOT(ISNUMBER(F1509)),TRUE,OR(F1509&lt;0,F1509&gt;999999999,ROUND(F1509,3)&lt;&gt;F1509)),"Invalid last service",IF(AND(E1509&lt;&gt;"",D1509&lt;E1509),"Decreased reading",IF(F1509&gt;D1509,"Last service above current","")))))))))))))</x:f>
      </x:c>
      <x:c r="L1509" s="6" t="str">
        <x:f>IF(AND(NOT(COUNTA(A1509:F1509)=0),K1509=""),INDEX('Rules'!$C$7:$C$26,MATCH(SUBSTITUTE(SUBSTITUTE(SUBSTITUTE(SUBSTITUTE("type:"&amp;B1509,"%","%25"),"~","%7E"),"*","%2A"),"?","%3F"),'Rules'!$G$7:$G$26,0)),"")</x:f>
      </x:c>
      <x:c r="M1509" s="6" t="str">
        <x:f>IF(AND(NOT(COUNTA(A1509:F1509)=0),K1509=""),INDEX('Rules'!$D$7:$D$26,MATCH(SUBSTITUTE(SUBSTITUTE(SUBSTITUTE(SUBSTITUTE("type:"&amp;B1509,"%","%25"),"~","%7E"),"*","%2A"),"?","%3F"),'Rules'!$G$7:$G$26,0)),"")</x:f>
      </x:c>
      <x:c r="N1509" s="5" t="str">
        <x:f>IF(COUNTA(A1509:F1509)=0,"",SUBSTITUTE(SUBSTITUTE(SUBSTITUTE(SUBSTITUTE("id:"&amp;A1509,"%","%25"),"~","%7E"),"*","%2A"),"?","%3F"))</x:f>
      </x:c>
    </x:row>
    <x:row r="1510" ht="22" customHeight="1">
      <x:c r="A1510" s="3"/>
      <x:c r="B1510" s="3"/>
      <x:c r="C1510" s="3"/>
      <x:c r="D1510" s="4"/>
      <x:c r="E1510" s="4"/>
      <x:c r="F1510" s="4"/>
      <x:c r="G1510" s="5" t="str">
        <x:f>IF(COUNTA(A1510:F1510)=0,"",IF(K1510&lt;&gt;"","Review",IF(I1510&lt;0,"Overdue",IF(I1510=0,"Due now",IF(I1510&lt;=M1510,"Due soon","Not due")))))</x:f>
      </x:c>
      <x:c r="H1510" s="5" t="str">
        <x:f>IF(OR(COUNTA(A1510:F1510)=0,COUNTIFS('Rules'!$G$7:$G$26,"="&amp;(SUBSTITUTE(SUBSTITUTE(SUBSTITUTE(SUBSTITUTE("type:"&amp;B1510,"%","%25"),"~","%7E"),"*","%2A"),"?","%3F")))&lt;&gt;1),"",IF(OR(INDEX('Rules'!$B$7:$B$26,MATCH(SUBSTITUTE(SUBSTITUTE(SUBSTITUTE(SUBSTITUTE("type:"&amp;B1510,"%","%25"),"~","%7E"),"*","%2A"),"?","%3F"),'Rules'!$G$7:$G$26,0))="hours",INDEX('Rules'!$B$7:$B$26,MATCH(SUBSTITUTE(SUBSTITUTE(SUBSTITUTE(SUBSTITUTE("type:"&amp;B1510,"%","%25"),"~","%7E"),"*","%2A"),"?","%3F"),'Rules'!$G$7:$G$26,0))="km"),INDEX('Rules'!$B$7:$B$26,MATCH(SUBSTITUTE(SUBSTITUTE(SUBSTITUTE(SUBSTITUTE("type:"&amp;B1510,"%","%25"),"~","%7E"),"*","%2A"),"?","%3F"),'Rules'!$G$7:$G$26,0)),""))</x:f>
      </x:c>
      <x:c r="I1510" s="6" t="str">
        <x:f>IF(AND(NOT(COUNTA(A1510:F1510)=0),K1510=""),ROUND(J1510-D1510,3),"")</x:f>
      </x:c>
      <x:c r="J1510" s="6" t="str">
        <x:f>IF(AND(NOT(COUNTA(A1510:F1510)=0),K1510=""),ROUND(F1510+L1510,3),"")</x:f>
      </x:c>
      <x:c r="K1510" s="5" t="str">
        <x:f>IF(COUNTA(A1510:F1510)=0,"",IF(A1510="","Missing equipment ID",IF(COUNTIFS($N$8:$N$2007,"="&amp;N1510)&gt;1,"Duplicate equipment ID",IF(B1510="","Missing type",IF(COUNTIFS('Rules'!$G$7:$G$26,"="&amp;(SUBSTITUTE(SUBSTITUTE(SUBSTITUTE(SUBSTITUTE("type:"&amp;B1510,"%","%25"),"~","%7E"),"*","%2A"),"?","%3F")))=0,"Unknown type",IF(COUNTIFS('Rules'!$G$7:$G$26,"="&amp;(SUBSTITUTE(SUBSTITUTE(SUBSTITUTE(SUBSTITUTE("type:"&amp;B1510,"%","%25"),"~","%7E"),"*","%2A"),"?","%3F")))&gt;1,"Duplicate type",IF(INDEX('Rules'!$F$7:$F$26,MATCH(SUBSTITUTE(SUBSTITUTE(SUBSTITUTE(SUBSTITUTE("type:"&amp;B1510,"%","%25"),"~","%7E"),"*","%2A"),"?","%3F"),'Rules'!$G$7:$G$26,0))&lt;&gt;"",INDEX('Rules'!$F$7:$F$26,MATCH(SUBSTITUTE(SUBSTITUTE(SUBSTITUTE(SUBSTITUTE("type:"&amp;B1510,"%","%25"),"~","%7E"),"*","%2A"),"?","%3F"),'Rules'!$G$7:$G$26,0)),IF(AND(C1510&lt;&gt;"",C1510&lt;&gt;INDEX('Rules'!$B$7:$B$26,MATCH(SUBSTITUTE(SUBSTITUTE(SUBSTITUTE(SUBSTITUTE("type:"&amp;B1510,"%","%25"),"~","%7E"),"*","%2A"),"?","%3F"),'Rules'!$G$7:$G$26,0))),"Unit mismatch",IF(IF(NOT(ISNUMBER(D1510)),TRUE,OR(D1510&lt;0,D1510&gt;999999999,ROUND(D1510,3)&lt;&gt;D1510)),"Invalid current reading",IF(AND(E1510&lt;&gt;"",IF(NOT(ISNUMBER(E1510)),TRUE,OR(E1510&lt;0,E1510&gt;999999999,ROUND(E1510,3)&lt;&gt;E1510))),"Invalid previous reading",IF(IF(NOT(ISNUMBER(F1510)),TRUE,OR(F1510&lt;0,F1510&gt;999999999,ROUND(F1510,3)&lt;&gt;F1510)),"Invalid last service",IF(AND(E1510&lt;&gt;"",D1510&lt;E1510),"Decreased reading",IF(F1510&gt;D1510,"Last service above current","")))))))))))))</x:f>
      </x:c>
      <x:c r="L1510" s="6" t="str">
        <x:f>IF(AND(NOT(COUNTA(A1510:F1510)=0),K1510=""),INDEX('Rules'!$C$7:$C$26,MATCH(SUBSTITUTE(SUBSTITUTE(SUBSTITUTE(SUBSTITUTE("type:"&amp;B1510,"%","%25"),"~","%7E"),"*","%2A"),"?","%3F"),'Rules'!$G$7:$G$26,0)),"")</x:f>
      </x:c>
      <x:c r="M1510" s="6" t="str">
        <x:f>IF(AND(NOT(COUNTA(A1510:F1510)=0),K1510=""),INDEX('Rules'!$D$7:$D$26,MATCH(SUBSTITUTE(SUBSTITUTE(SUBSTITUTE(SUBSTITUTE("type:"&amp;B1510,"%","%25"),"~","%7E"),"*","%2A"),"?","%3F"),'Rules'!$G$7:$G$26,0)),"")</x:f>
      </x:c>
      <x:c r="N1510" s="5" t="str">
        <x:f>IF(COUNTA(A1510:F1510)=0,"",SUBSTITUTE(SUBSTITUTE(SUBSTITUTE(SUBSTITUTE("id:"&amp;A1510,"%","%25"),"~","%7E"),"*","%2A"),"?","%3F"))</x:f>
      </x:c>
    </x:row>
    <x:row r="1511" ht="22" customHeight="1">
      <x:c r="A1511" s="3"/>
      <x:c r="B1511" s="3"/>
      <x:c r="C1511" s="3"/>
      <x:c r="D1511" s="4"/>
      <x:c r="E1511" s="4"/>
      <x:c r="F1511" s="4"/>
      <x:c r="G1511" s="5" t="str">
        <x:f>IF(COUNTA(A1511:F1511)=0,"",IF(K1511&lt;&gt;"","Review",IF(I1511&lt;0,"Overdue",IF(I1511=0,"Due now",IF(I1511&lt;=M1511,"Due soon","Not due")))))</x:f>
      </x:c>
      <x:c r="H1511" s="5" t="str">
        <x:f>IF(OR(COUNTA(A1511:F1511)=0,COUNTIFS('Rules'!$G$7:$G$26,"="&amp;(SUBSTITUTE(SUBSTITUTE(SUBSTITUTE(SUBSTITUTE("type:"&amp;B1511,"%","%25"),"~","%7E"),"*","%2A"),"?","%3F")))&lt;&gt;1),"",IF(OR(INDEX('Rules'!$B$7:$B$26,MATCH(SUBSTITUTE(SUBSTITUTE(SUBSTITUTE(SUBSTITUTE("type:"&amp;B1511,"%","%25"),"~","%7E"),"*","%2A"),"?","%3F"),'Rules'!$G$7:$G$26,0))="hours",INDEX('Rules'!$B$7:$B$26,MATCH(SUBSTITUTE(SUBSTITUTE(SUBSTITUTE(SUBSTITUTE("type:"&amp;B1511,"%","%25"),"~","%7E"),"*","%2A"),"?","%3F"),'Rules'!$G$7:$G$26,0))="km"),INDEX('Rules'!$B$7:$B$26,MATCH(SUBSTITUTE(SUBSTITUTE(SUBSTITUTE(SUBSTITUTE("type:"&amp;B1511,"%","%25"),"~","%7E"),"*","%2A"),"?","%3F"),'Rules'!$G$7:$G$26,0)),""))</x:f>
      </x:c>
      <x:c r="I1511" s="6" t="str">
        <x:f>IF(AND(NOT(COUNTA(A1511:F1511)=0),K1511=""),ROUND(J1511-D1511,3),"")</x:f>
      </x:c>
      <x:c r="J1511" s="6" t="str">
        <x:f>IF(AND(NOT(COUNTA(A1511:F1511)=0),K1511=""),ROUND(F1511+L1511,3),"")</x:f>
      </x:c>
      <x:c r="K1511" s="5" t="str">
        <x:f>IF(COUNTA(A1511:F1511)=0,"",IF(A1511="","Missing equipment ID",IF(COUNTIFS($N$8:$N$2007,"="&amp;N1511)&gt;1,"Duplicate equipment ID",IF(B1511="","Missing type",IF(COUNTIFS('Rules'!$G$7:$G$26,"="&amp;(SUBSTITUTE(SUBSTITUTE(SUBSTITUTE(SUBSTITUTE("type:"&amp;B1511,"%","%25"),"~","%7E"),"*","%2A"),"?","%3F")))=0,"Unknown type",IF(COUNTIFS('Rules'!$G$7:$G$26,"="&amp;(SUBSTITUTE(SUBSTITUTE(SUBSTITUTE(SUBSTITUTE("type:"&amp;B1511,"%","%25"),"~","%7E"),"*","%2A"),"?","%3F")))&gt;1,"Duplicate type",IF(INDEX('Rules'!$F$7:$F$26,MATCH(SUBSTITUTE(SUBSTITUTE(SUBSTITUTE(SUBSTITUTE("type:"&amp;B1511,"%","%25"),"~","%7E"),"*","%2A"),"?","%3F"),'Rules'!$G$7:$G$26,0))&lt;&gt;"",INDEX('Rules'!$F$7:$F$26,MATCH(SUBSTITUTE(SUBSTITUTE(SUBSTITUTE(SUBSTITUTE("type:"&amp;B1511,"%","%25"),"~","%7E"),"*","%2A"),"?","%3F"),'Rules'!$G$7:$G$26,0)),IF(AND(C1511&lt;&gt;"",C1511&lt;&gt;INDEX('Rules'!$B$7:$B$26,MATCH(SUBSTITUTE(SUBSTITUTE(SUBSTITUTE(SUBSTITUTE("type:"&amp;B1511,"%","%25"),"~","%7E"),"*","%2A"),"?","%3F"),'Rules'!$G$7:$G$26,0))),"Unit mismatch",IF(IF(NOT(ISNUMBER(D1511)),TRUE,OR(D1511&lt;0,D1511&gt;999999999,ROUND(D1511,3)&lt;&gt;D1511)),"Invalid current reading",IF(AND(E1511&lt;&gt;"",IF(NOT(ISNUMBER(E1511)),TRUE,OR(E1511&lt;0,E1511&gt;999999999,ROUND(E1511,3)&lt;&gt;E1511))),"Invalid previous reading",IF(IF(NOT(ISNUMBER(F1511)),TRUE,OR(F1511&lt;0,F1511&gt;999999999,ROUND(F1511,3)&lt;&gt;F1511)),"Invalid last service",IF(AND(E1511&lt;&gt;"",D1511&lt;E1511),"Decreased reading",IF(F1511&gt;D1511,"Last service above current","")))))))))))))</x:f>
      </x:c>
      <x:c r="L1511" s="6" t="str">
        <x:f>IF(AND(NOT(COUNTA(A1511:F1511)=0),K1511=""),INDEX('Rules'!$C$7:$C$26,MATCH(SUBSTITUTE(SUBSTITUTE(SUBSTITUTE(SUBSTITUTE("type:"&amp;B1511,"%","%25"),"~","%7E"),"*","%2A"),"?","%3F"),'Rules'!$G$7:$G$26,0)),"")</x:f>
      </x:c>
      <x:c r="M1511" s="6" t="str">
        <x:f>IF(AND(NOT(COUNTA(A1511:F1511)=0),K1511=""),INDEX('Rules'!$D$7:$D$26,MATCH(SUBSTITUTE(SUBSTITUTE(SUBSTITUTE(SUBSTITUTE("type:"&amp;B1511,"%","%25"),"~","%7E"),"*","%2A"),"?","%3F"),'Rules'!$G$7:$G$26,0)),"")</x:f>
      </x:c>
      <x:c r="N1511" s="5" t="str">
        <x:f>IF(COUNTA(A1511:F1511)=0,"",SUBSTITUTE(SUBSTITUTE(SUBSTITUTE(SUBSTITUTE("id:"&amp;A1511,"%","%25"),"~","%7E"),"*","%2A"),"?","%3F"))</x:f>
      </x:c>
    </x:row>
    <x:row r="1512" ht="22" customHeight="1">
      <x:c r="A1512" s="3"/>
      <x:c r="B1512" s="3"/>
      <x:c r="C1512" s="3"/>
      <x:c r="D1512" s="4"/>
      <x:c r="E1512" s="4"/>
      <x:c r="F1512" s="4"/>
      <x:c r="G1512" s="5" t="str">
        <x:f>IF(COUNTA(A1512:F1512)=0,"",IF(K1512&lt;&gt;"","Review",IF(I1512&lt;0,"Overdue",IF(I1512=0,"Due now",IF(I1512&lt;=M1512,"Due soon","Not due")))))</x:f>
      </x:c>
      <x:c r="H1512" s="5" t="str">
        <x:f>IF(OR(COUNTA(A1512:F1512)=0,COUNTIFS('Rules'!$G$7:$G$26,"="&amp;(SUBSTITUTE(SUBSTITUTE(SUBSTITUTE(SUBSTITUTE("type:"&amp;B1512,"%","%25"),"~","%7E"),"*","%2A"),"?","%3F")))&lt;&gt;1),"",IF(OR(INDEX('Rules'!$B$7:$B$26,MATCH(SUBSTITUTE(SUBSTITUTE(SUBSTITUTE(SUBSTITUTE("type:"&amp;B1512,"%","%25"),"~","%7E"),"*","%2A"),"?","%3F"),'Rules'!$G$7:$G$26,0))="hours",INDEX('Rules'!$B$7:$B$26,MATCH(SUBSTITUTE(SUBSTITUTE(SUBSTITUTE(SUBSTITUTE("type:"&amp;B1512,"%","%25"),"~","%7E"),"*","%2A"),"?","%3F"),'Rules'!$G$7:$G$26,0))="km"),INDEX('Rules'!$B$7:$B$26,MATCH(SUBSTITUTE(SUBSTITUTE(SUBSTITUTE(SUBSTITUTE("type:"&amp;B1512,"%","%25"),"~","%7E"),"*","%2A"),"?","%3F"),'Rules'!$G$7:$G$26,0)),""))</x:f>
      </x:c>
      <x:c r="I1512" s="6" t="str">
        <x:f>IF(AND(NOT(COUNTA(A1512:F1512)=0),K1512=""),ROUND(J1512-D1512,3),"")</x:f>
      </x:c>
      <x:c r="J1512" s="6" t="str">
        <x:f>IF(AND(NOT(COUNTA(A1512:F1512)=0),K1512=""),ROUND(F1512+L1512,3),"")</x:f>
      </x:c>
      <x:c r="K1512" s="5" t="str">
        <x:f>IF(COUNTA(A1512:F1512)=0,"",IF(A1512="","Missing equipment ID",IF(COUNTIFS($N$8:$N$2007,"="&amp;N1512)&gt;1,"Duplicate equipment ID",IF(B1512="","Missing type",IF(COUNTIFS('Rules'!$G$7:$G$26,"="&amp;(SUBSTITUTE(SUBSTITUTE(SUBSTITUTE(SUBSTITUTE("type:"&amp;B1512,"%","%25"),"~","%7E"),"*","%2A"),"?","%3F")))=0,"Unknown type",IF(COUNTIFS('Rules'!$G$7:$G$26,"="&amp;(SUBSTITUTE(SUBSTITUTE(SUBSTITUTE(SUBSTITUTE("type:"&amp;B1512,"%","%25"),"~","%7E"),"*","%2A"),"?","%3F")))&gt;1,"Duplicate type",IF(INDEX('Rules'!$F$7:$F$26,MATCH(SUBSTITUTE(SUBSTITUTE(SUBSTITUTE(SUBSTITUTE("type:"&amp;B1512,"%","%25"),"~","%7E"),"*","%2A"),"?","%3F"),'Rules'!$G$7:$G$26,0))&lt;&gt;"",INDEX('Rules'!$F$7:$F$26,MATCH(SUBSTITUTE(SUBSTITUTE(SUBSTITUTE(SUBSTITUTE("type:"&amp;B1512,"%","%25"),"~","%7E"),"*","%2A"),"?","%3F"),'Rules'!$G$7:$G$26,0)),IF(AND(C1512&lt;&gt;"",C1512&lt;&gt;INDEX('Rules'!$B$7:$B$26,MATCH(SUBSTITUTE(SUBSTITUTE(SUBSTITUTE(SUBSTITUTE("type:"&amp;B1512,"%","%25"),"~","%7E"),"*","%2A"),"?","%3F"),'Rules'!$G$7:$G$26,0))),"Unit mismatch",IF(IF(NOT(ISNUMBER(D1512)),TRUE,OR(D1512&lt;0,D1512&gt;999999999,ROUND(D1512,3)&lt;&gt;D1512)),"Invalid current reading",IF(AND(E1512&lt;&gt;"",IF(NOT(ISNUMBER(E1512)),TRUE,OR(E1512&lt;0,E1512&gt;999999999,ROUND(E1512,3)&lt;&gt;E1512))),"Invalid previous reading",IF(IF(NOT(ISNUMBER(F1512)),TRUE,OR(F1512&lt;0,F1512&gt;999999999,ROUND(F1512,3)&lt;&gt;F1512)),"Invalid last service",IF(AND(E1512&lt;&gt;"",D1512&lt;E1512),"Decreased reading",IF(F1512&gt;D1512,"Last service above current","")))))))))))))</x:f>
      </x:c>
      <x:c r="L1512" s="6" t="str">
        <x:f>IF(AND(NOT(COUNTA(A1512:F1512)=0),K1512=""),INDEX('Rules'!$C$7:$C$26,MATCH(SUBSTITUTE(SUBSTITUTE(SUBSTITUTE(SUBSTITUTE("type:"&amp;B1512,"%","%25"),"~","%7E"),"*","%2A"),"?","%3F"),'Rules'!$G$7:$G$26,0)),"")</x:f>
      </x:c>
      <x:c r="M1512" s="6" t="str">
        <x:f>IF(AND(NOT(COUNTA(A1512:F1512)=0),K1512=""),INDEX('Rules'!$D$7:$D$26,MATCH(SUBSTITUTE(SUBSTITUTE(SUBSTITUTE(SUBSTITUTE("type:"&amp;B1512,"%","%25"),"~","%7E"),"*","%2A"),"?","%3F"),'Rules'!$G$7:$G$26,0)),"")</x:f>
      </x:c>
      <x:c r="N1512" s="5" t="str">
        <x:f>IF(COUNTA(A1512:F1512)=0,"",SUBSTITUTE(SUBSTITUTE(SUBSTITUTE(SUBSTITUTE("id:"&amp;A1512,"%","%25"),"~","%7E"),"*","%2A"),"?","%3F"))</x:f>
      </x:c>
    </x:row>
    <x:row r="1513" ht="22" customHeight="1">
      <x:c r="A1513" s="3"/>
      <x:c r="B1513" s="3"/>
      <x:c r="C1513" s="3"/>
      <x:c r="D1513" s="4"/>
      <x:c r="E1513" s="4"/>
      <x:c r="F1513" s="4"/>
      <x:c r="G1513" s="5" t="str">
        <x:f>IF(COUNTA(A1513:F1513)=0,"",IF(K1513&lt;&gt;"","Review",IF(I1513&lt;0,"Overdue",IF(I1513=0,"Due now",IF(I1513&lt;=M1513,"Due soon","Not due")))))</x:f>
      </x:c>
      <x:c r="H1513" s="5" t="str">
        <x:f>IF(OR(COUNTA(A1513:F1513)=0,COUNTIFS('Rules'!$G$7:$G$26,"="&amp;(SUBSTITUTE(SUBSTITUTE(SUBSTITUTE(SUBSTITUTE("type:"&amp;B1513,"%","%25"),"~","%7E"),"*","%2A"),"?","%3F")))&lt;&gt;1),"",IF(OR(INDEX('Rules'!$B$7:$B$26,MATCH(SUBSTITUTE(SUBSTITUTE(SUBSTITUTE(SUBSTITUTE("type:"&amp;B1513,"%","%25"),"~","%7E"),"*","%2A"),"?","%3F"),'Rules'!$G$7:$G$26,0))="hours",INDEX('Rules'!$B$7:$B$26,MATCH(SUBSTITUTE(SUBSTITUTE(SUBSTITUTE(SUBSTITUTE("type:"&amp;B1513,"%","%25"),"~","%7E"),"*","%2A"),"?","%3F"),'Rules'!$G$7:$G$26,0))="km"),INDEX('Rules'!$B$7:$B$26,MATCH(SUBSTITUTE(SUBSTITUTE(SUBSTITUTE(SUBSTITUTE("type:"&amp;B1513,"%","%25"),"~","%7E"),"*","%2A"),"?","%3F"),'Rules'!$G$7:$G$26,0)),""))</x:f>
      </x:c>
      <x:c r="I1513" s="6" t="str">
        <x:f>IF(AND(NOT(COUNTA(A1513:F1513)=0),K1513=""),ROUND(J1513-D1513,3),"")</x:f>
      </x:c>
      <x:c r="J1513" s="6" t="str">
        <x:f>IF(AND(NOT(COUNTA(A1513:F1513)=0),K1513=""),ROUND(F1513+L1513,3),"")</x:f>
      </x:c>
      <x:c r="K1513" s="5" t="str">
        <x:f>IF(COUNTA(A1513:F1513)=0,"",IF(A1513="","Missing equipment ID",IF(COUNTIFS($N$8:$N$2007,"="&amp;N1513)&gt;1,"Duplicate equipment ID",IF(B1513="","Missing type",IF(COUNTIFS('Rules'!$G$7:$G$26,"="&amp;(SUBSTITUTE(SUBSTITUTE(SUBSTITUTE(SUBSTITUTE("type:"&amp;B1513,"%","%25"),"~","%7E"),"*","%2A"),"?","%3F")))=0,"Unknown type",IF(COUNTIFS('Rules'!$G$7:$G$26,"="&amp;(SUBSTITUTE(SUBSTITUTE(SUBSTITUTE(SUBSTITUTE("type:"&amp;B1513,"%","%25"),"~","%7E"),"*","%2A"),"?","%3F")))&gt;1,"Duplicate type",IF(INDEX('Rules'!$F$7:$F$26,MATCH(SUBSTITUTE(SUBSTITUTE(SUBSTITUTE(SUBSTITUTE("type:"&amp;B1513,"%","%25"),"~","%7E"),"*","%2A"),"?","%3F"),'Rules'!$G$7:$G$26,0))&lt;&gt;"",INDEX('Rules'!$F$7:$F$26,MATCH(SUBSTITUTE(SUBSTITUTE(SUBSTITUTE(SUBSTITUTE("type:"&amp;B1513,"%","%25"),"~","%7E"),"*","%2A"),"?","%3F"),'Rules'!$G$7:$G$26,0)),IF(AND(C1513&lt;&gt;"",C1513&lt;&gt;INDEX('Rules'!$B$7:$B$26,MATCH(SUBSTITUTE(SUBSTITUTE(SUBSTITUTE(SUBSTITUTE("type:"&amp;B1513,"%","%25"),"~","%7E"),"*","%2A"),"?","%3F"),'Rules'!$G$7:$G$26,0))),"Unit mismatch",IF(IF(NOT(ISNUMBER(D1513)),TRUE,OR(D1513&lt;0,D1513&gt;999999999,ROUND(D1513,3)&lt;&gt;D1513)),"Invalid current reading",IF(AND(E1513&lt;&gt;"",IF(NOT(ISNUMBER(E1513)),TRUE,OR(E1513&lt;0,E1513&gt;999999999,ROUND(E1513,3)&lt;&gt;E1513))),"Invalid previous reading",IF(IF(NOT(ISNUMBER(F1513)),TRUE,OR(F1513&lt;0,F1513&gt;999999999,ROUND(F1513,3)&lt;&gt;F1513)),"Invalid last service",IF(AND(E1513&lt;&gt;"",D1513&lt;E1513),"Decreased reading",IF(F1513&gt;D1513,"Last service above current","")))))))))))))</x:f>
      </x:c>
      <x:c r="L1513" s="6" t="str">
        <x:f>IF(AND(NOT(COUNTA(A1513:F1513)=0),K1513=""),INDEX('Rules'!$C$7:$C$26,MATCH(SUBSTITUTE(SUBSTITUTE(SUBSTITUTE(SUBSTITUTE("type:"&amp;B1513,"%","%25"),"~","%7E"),"*","%2A"),"?","%3F"),'Rules'!$G$7:$G$26,0)),"")</x:f>
      </x:c>
      <x:c r="M1513" s="6" t="str">
        <x:f>IF(AND(NOT(COUNTA(A1513:F1513)=0),K1513=""),INDEX('Rules'!$D$7:$D$26,MATCH(SUBSTITUTE(SUBSTITUTE(SUBSTITUTE(SUBSTITUTE("type:"&amp;B1513,"%","%25"),"~","%7E"),"*","%2A"),"?","%3F"),'Rules'!$G$7:$G$26,0)),"")</x:f>
      </x:c>
      <x:c r="N1513" s="5" t="str">
        <x:f>IF(COUNTA(A1513:F1513)=0,"",SUBSTITUTE(SUBSTITUTE(SUBSTITUTE(SUBSTITUTE("id:"&amp;A1513,"%","%25"),"~","%7E"),"*","%2A"),"?","%3F"))</x:f>
      </x:c>
    </x:row>
    <x:row r="1514" ht="22" customHeight="1">
      <x:c r="A1514" s="3"/>
      <x:c r="B1514" s="3"/>
      <x:c r="C1514" s="3"/>
      <x:c r="D1514" s="4"/>
      <x:c r="E1514" s="4"/>
      <x:c r="F1514" s="4"/>
      <x:c r="G1514" s="5" t="str">
        <x:f>IF(COUNTA(A1514:F1514)=0,"",IF(K1514&lt;&gt;"","Review",IF(I1514&lt;0,"Overdue",IF(I1514=0,"Due now",IF(I1514&lt;=M1514,"Due soon","Not due")))))</x:f>
      </x:c>
      <x:c r="H1514" s="5" t="str">
        <x:f>IF(OR(COUNTA(A1514:F1514)=0,COUNTIFS('Rules'!$G$7:$G$26,"="&amp;(SUBSTITUTE(SUBSTITUTE(SUBSTITUTE(SUBSTITUTE("type:"&amp;B1514,"%","%25"),"~","%7E"),"*","%2A"),"?","%3F")))&lt;&gt;1),"",IF(OR(INDEX('Rules'!$B$7:$B$26,MATCH(SUBSTITUTE(SUBSTITUTE(SUBSTITUTE(SUBSTITUTE("type:"&amp;B1514,"%","%25"),"~","%7E"),"*","%2A"),"?","%3F"),'Rules'!$G$7:$G$26,0))="hours",INDEX('Rules'!$B$7:$B$26,MATCH(SUBSTITUTE(SUBSTITUTE(SUBSTITUTE(SUBSTITUTE("type:"&amp;B1514,"%","%25"),"~","%7E"),"*","%2A"),"?","%3F"),'Rules'!$G$7:$G$26,0))="km"),INDEX('Rules'!$B$7:$B$26,MATCH(SUBSTITUTE(SUBSTITUTE(SUBSTITUTE(SUBSTITUTE("type:"&amp;B1514,"%","%25"),"~","%7E"),"*","%2A"),"?","%3F"),'Rules'!$G$7:$G$26,0)),""))</x:f>
      </x:c>
      <x:c r="I1514" s="6" t="str">
        <x:f>IF(AND(NOT(COUNTA(A1514:F1514)=0),K1514=""),ROUND(J1514-D1514,3),"")</x:f>
      </x:c>
      <x:c r="J1514" s="6" t="str">
        <x:f>IF(AND(NOT(COUNTA(A1514:F1514)=0),K1514=""),ROUND(F1514+L1514,3),"")</x:f>
      </x:c>
      <x:c r="K1514" s="5" t="str">
        <x:f>IF(COUNTA(A1514:F1514)=0,"",IF(A1514="","Missing equipment ID",IF(COUNTIFS($N$8:$N$2007,"="&amp;N1514)&gt;1,"Duplicate equipment ID",IF(B1514="","Missing type",IF(COUNTIFS('Rules'!$G$7:$G$26,"="&amp;(SUBSTITUTE(SUBSTITUTE(SUBSTITUTE(SUBSTITUTE("type:"&amp;B1514,"%","%25"),"~","%7E"),"*","%2A"),"?","%3F")))=0,"Unknown type",IF(COUNTIFS('Rules'!$G$7:$G$26,"="&amp;(SUBSTITUTE(SUBSTITUTE(SUBSTITUTE(SUBSTITUTE("type:"&amp;B1514,"%","%25"),"~","%7E"),"*","%2A"),"?","%3F")))&gt;1,"Duplicate type",IF(INDEX('Rules'!$F$7:$F$26,MATCH(SUBSTITUTE(SUBSTITUTE(SUBSTITUTE(SUBSTITUTE("type:"&amp;B1514,"%","%25"),"~","%7E"),"*","%2A"),"?","%3F"),'Rules'!$G$7:$G$26,0))&lt;&gt;"",INDEX('Rules'!$F$7:$F$26,MATCH(SUBSTITUTE(SUBSTITUTE(SUBSTITUTE(SUBSTITUTE("type:"&amp;B1514,"%","%25"),"~","%7E"),"*","%2A"),"?","%3F"),'Rules'!$G$7:$G$26,0)),IF(AND(C1514&lt;&gt;"",C1514&lt;&gt;INDEX('Rules'!$B$7:$B$26,MATCH(SUBSTITUTE(SUBSTITUTE(SUBSTITUTE(SUBSTITUTE("type:"&amp;B1514,"%","%25"),"~","%7E"),"*","%2A"),"?","%3F"),'Rules'!$G$7:$G$26,0))),"Unit mismatch",IF(IF(NOT(ISNUMBER(D1514)),TRUE,OR(D1514&lt;0,D1514&gt;999999999,ROUND(D1514,3)&lt;&gt;D1514)),"Invalid current reading",IF(AND(E1514&lt;&gt;"",IF(NOT(ISNUMBER(E1514)),TRUE,OR(E1514&lt;0,E1514&gt;999999999,ROUND(E1514,3)&lt;&gt;E1514))),"Invalid previous reading",IF(IF(NOT(ISNUMBER(F1514)),TRUE,OR(F1514&lt;0,F1514&gt;999999999,ROUND(F1514,3)&lt;&gt;F1514)),"Invalid last service",IF(AND(E1514&lt;&gt;"",D1514&lt;E1514),"Decreased reading",IF(F1514&gt;D1514,"Last service above current","")))))))))))))</x:f>
      </x:c>
      <x:c r="L1514" s="6" t="str">
        <x:f>IF(AND(NOT(COUNTA(A1514:F1514)=0),K1514=""),INDEX('Rules'!$C$7:$C$26,MATCH(SUBSTITUTE(SUBSTITUTE(SUBSTITUTE(SUBSTITUTE("type:"&amp;B1514,"%","%25"),"~","%7E"),"*","%2A"),"?","%3F"),'Rules'!$G$7:$G$26,0)),"")</x:f>
      </x:c>
      <x:c r="M1514" s="6" t="str">
        <x:f>IF(AND(NOT(COUNTA(A1514:F1514)=0),K1514=""),INDEX('Rules'!$D$7:$D$26,MATCH(SUBSTITUTE(SUBSTITUTE(SUBSTITUTE(SUBSTITUTE("type:"&amp;B1514,"%","%25"),"~","%7E"),"*","%2A"),"?","%3F"),'Rules'!$G$7:$G$26,0)),"")</x:f>
      </x:c>
      <x:c r="N1514" s="5" t="str">
        <x:f>IF(COUNTA(A1514:F1514)=0,"",SUBSTITUTE(SUBSTITUTE(SUBSTITUTE(SUBSTITUTE("id:"&amp;A1514,"%","%25"),"~","%7E"),"*","%2A"),"?","%3F"))</x:f>
      </x:c>
    </x:row>
    <x:row r="1515" ht="22" customHeight="1">
      <x:c r="A1515" s="3"/>
      <x:c r="B1515" s="3"/>
      <x:c r="C1515" s="3"/>
      <x:c r="D1515" s="4"/>
      <x:c r="E1515" s="4"/>
      <x:c r="F1515" s="4"/>
      <x:c r="G1515" s="5" t="str">
        <x:f>IF(COUNTA(A1515:F1515)=0,"",IF(K1515&lt;&gt;"","Review",IF(I1515&lt;0,"Overdue",IF(I1515=0,"Due now",IF(I1515&lt;=M1515,"Due soon","Not due")))))</x:f>
      </x:c>
      <x:c r="H1515" s="5" t="str">
        <x:f>IF(OR(COUNTA(A1515:F1515)=0,COUNTIFS('Rules'!$G$7:$G$26,"="&amp;(SUBSTITUTE(SUBSTITUTE(SUBSTITUTE(SUBSTITUTE("type:"&amp;B1515,"%","%25"),"~","%7E"),"*","%2A"),"?","%3F")))&lt;&gt;1),"",IF(OR(INDEX('Rules'!$B$7:$B$26,MATCH(SUBSTITUTE(SUBSTITUTE(SUBSTITUTE(SUBSTITUTE("type:"&amp;B1515,"%","%25"),"~","%7E"),"*","%2A"),"?","%3F"),'Rules'!$G$7:$G$26,0))="hours",INDEX('Rules'!$B$7:$B$26,MATCH(SUBSTITUTE(SUBSTITUTE(SUBSTITUTE(SUBSTITUTE("type:"&amp;B1515,"%","%25"),"~","%7E"),"*","%2A"),"?","%3F"),'Rules'!$G$7:$G$26,0))="km"),INDEX('Rules'!$B$7:$B$26,MATCH(SUBSTITUTE(SUBSTITUTE(SUBSTITUTE(SUBSTITUTE("type:"&amp;B1515,"%","%25"),"~","%7E"),"*","%2A"),"?","%3F"),'Rules'!$G$7:$G$26,0)),""))</x:f>
      </x:c>
      <x:c r="I1515" s="6" t="str">
        <x:f>IF(AND(NOT(COUNTA(A1515:F1515)=0),K1515=""),ROUND(J1515-D1515,3),"")</x:f>
      </x:c>
      <x:c r="J1515" s="6" t="str">
        <x:f>IF(AND(NOT(COUNTA(A1515:F1515)=0),K1515=""),ROUND(F1515+L1515,3),"")</x:f>
      </x:c>
      <x:c r="K1515" s="5" t="str">
        <x:f>IF(COUNTA(A1515:F1515)=0,"",IF(A1515="","Missing equipment ID",IF(COUNTIFS($N$8:$N$2007,"="&amp;N1515)&gt;1,"Duplicate equipment ID",IF(B1515="","Missing type",IF(COUNTIFS('Rules'!$G$7:$G$26,"="&amp;(SUBSTITUTE(SUBSTITUTE(SUBSTITUTE(SUBSTITUTE("type:"&amp;B1515,"%","%25"),"~","%7E"),"*","%2A"),"?","%3F")))=0,"Unknown type",IF(COUNTIFS('Rules'!$G$7:$G$26,"="&amp;(SUBSTITUTE(SUBSTITUTE(SUBSTITUTE(SUBSTITUTE("type:"&amp;B1515,"%","%25"),"~","%7E"),"*","%2A"),"?","%3F")))&gt;1,"Duplicate type",IF(INDEX('Rules'!$F$7:$F$26,MATCH(SUBSTITUTE(SUBSTITUTE(SUBSTITUTE(SUBSTITUTE("type:"&amp;B1515,"%","%25"),"~","%7E"),"*","%2A"),"?","%3F"),'Rules'!$G$7:$G$26,0))&lt;&gt;"",INDEX('Rules'!$F$7:$F$26,MATCH(SUBSTITUTE(SUBSTITUTE(SUBSTITUTE(SUBSTITUTE("type:"&amp;B1515,"%","%25"),"~","%7E"),"*","%2A"),"?","%3F"),'Rules'!$G$7:$G$26,0)),IF(AND(C1515&lt;&gt;"",C1515&lt;&gt;INDEX('Rules'!$B$7:$B$26,MATCH(SUBSTITUTE(SUBSTITUTE(SUBSTITUTE(SUBSTITUTE("type:"&amp;B1515,"%","%25"),"~","%7E"),"*","%2A"),"?","%3F"),'Rules'!$G$7:$G$26,0))),"Unit mismatch",IF(IF(NOT(ISNUMBER(D1515)),TRUE,OR(D1515&lt;0,D1515&gt;999999999,ROUND(D1515,3)&lt;&gt;D1515)),"Invalid current reading",IF(AND(E1515&lt;&gt;"",IF(NOT(ISNUMBER(E1515)),TRUE,OR(E1515&lt;0,E1515&gt;999999999,ROUND(E1515,3)&lt;&gt;E1515))),"Invalid previous reading",IF(IF(NOT(ISNUMBER(F1515)),TRUE,OR(F1515&lt;0,F1515&gt;999999999,ROUND(F1515,3)&lt;&gt;F1515)),"Invalid last service",IF(AND(E1515&lt;&gt;"",D1515&lt;E1515),"Decreased reading",IF(F1515&gt;D1515,"Last service above current","")))))))))))))</x:f>
      </x:c>
      <x:c r="L1515" s="6" t="str">
        <x:f>IF(AND(NOT(COUNTA(A1515:F1515)=0),K1515=""),INDEX('Rules'!$C$7:$C$26,MATCH(SUBSTITUTE(SUBSTITUTE(SUBSTITUTE(SUBSTITUTE("type:"&amp;B1515,"%","%25"),"~","%7E"),"*","%2A"),"?","%3F"),'Rules'!$G$7:$G$26,0)),"")</x:f>
      </x:c>
      <x:c r="M1515" s="6" t="str">
        <x:f>IF(AND(NOT(COUNTA(A1515:F1515)=0),K1515=""),INDEX('Rules'!$D$7:$D$26,MATCH(SUBSTITUTE(SUBSTITUTE(SUBSTITUTE(SUBSTITUTE("type:"&amp;B1515,"%","%25"),"~","%7E"),"*","%2A"),"?","%3F"),'Rules'!$G$7:$G$26,0)),"")</x:f>
      </x:c>
      <x:c r="N1515" s="5" t="str">
        <x:f>IF(COUNTA(A1515:F1515)=0,"",SUBSTITUTE(SUBSTITUTE(SUBSTITUTE(SUBSTITUTE("id:"&amp;A1515,"%","%25"),"~","%7E"),"*","%2A"),"?","%3F"))</x:f>
      </x:c>
    </x:row>
    <x:row r="1516" ht="22" customHeight="1">
      <x:c r="A1516" s="3"/>
      <x:c r="B1516" s="3"/>
      <x:c r="C1516" s="3"/>
      <x:c r="D1516" s="4"/>
      <x:c r="E1516" s="4"/>
      <x:c r="F1516" s="4"/>
      <x:c r="G1516" s="5" t="str">
        <x:f>IF(COUNTA(A1516:F1516)=0,"",IF(K1516&lt;&gt;"","Review",IF(I1516&lt;0,"Overdue",IF(I1516=0,"Due now",IF(I1516&lt;=M1516,"Due soon","Not due")))))</x:f>
      </x:c>
      <x:c r="H1516" s="5" t="str">
        <x:f>IF(OR(COUNTA(A1516:F1516)=0,COUNTIFS('Rules'!$G$7:$G$26,"="&amp;(SUBSTITUTE(SUBSTITUTE(SUBSTITUTE(SUBSTITUTE("type:"&amp;B1516,"%","%25"),"~","%7E"),"*","%2A"),"?","%3F")))&lt;&gt;1),"",IF(OR(INDEX('Rules'!$B$7:$B$26,MATCH(SUBSTITUTE(SUBSTITUTE(SUBSTITUTE(SUBSTITUTE("type:"&amp;B1516,"%","%25"),"~","%7E"),"*","%2A"),"?","%3F"),'Rules'!$G$7:$G$26,0))="hours",INDEX('Rules'!$B$7:$B$26,MATCH(SUBSTITUTE(SUBSTITUTE(SUBSTITUTE(SUBSTITUTE("type:"&amp;B1516,"%","%25"),"~","%7E"),"*","%2A"),"?","%3F"),'Rules'!$G$7:$G$26,0))="km"),INDEX('Rules'!$B$7:$B$26,MATCH(SUBSTITUTE(SUBSTITUTE(SUBSTITUTE(SUBSTITUTE("type:"&amp;B1516,"%","%25"),"~","%7E"),"*","%2A"),"?","%3F"),'Rules'!$G$7:$G$26,0)),""))</x:f>
      </x:c>
      <x:c r="I1516" s="6" t="str">
        <x:f>IF(AND(NOT(COUNTA(A1516:F1516)=0),K1516=""),ROUND(J1516-D1516,3),"")</x:f>
      </x:c>
      <x:c r="J1516" s="6" t="str">
        <x:f>IF(AND(NOT(COUNTA(A1516:F1516)=0),K1516=""),ROUND(F1516+L1516,3),"")</x:f>
      </x:c>
      <x:c r="K1516" s="5" t="str">
        <x:f>IF(COUNTA(A1516:F1516)=0,"",IF(A1516="","Missing equipment ID",IF(COUNTIFS($N$8:$N$2007,"="&amp;N1516)&gt;1,"Duplicate equipment ID",IF(B1516="","Missing type",IF(COUNTIFS('Rules'!$G$7:$G$26,"="&amp;(SUBSTITUTE(SUBSTITUTE(SUBSTITUTE(SUBSTITUTE("type:"&amp;B1516,"%","%25"),"~","%7E"),"*","%2A"),"?","%3F")))=0,"Unknown type",IF(COUNTIFS('Rules'!$G$7:$G$26,"="&amp;(SUBSTITUTE(SUBSTITUTE(SUBSTITUTE(SUBSTITUTE("type:"&amp;B1516,"%","%25"),"~","%7E"),"*","%2A"),"?","%3F")))&gt;1,"Duplicate type",IF(INDEX('Rules'!$F$7:$F$26,MATCH(SUBSTITUTE(SUBSTITUTE(SUBSTITUTE(SUBSTITUTE("type:"&amp;B1516,"%","%25"),"~","%7E"),"*","%2A"),"?","%3F"),'Rules'!$G$7:$G$26,0))&lt;&gt;"",INDEX('Rules'!$F$7:$F$26,MATCH(SUBSTITUTE(SUBSTITUTE(SUBSTITUTE(SUBSTITUTE("type:"&amp;B1516,"%","%25"),"~","%7E"),"*","%2A"),"?","%3F"),'Rules'!$G$7:$G$26,0)),IF(AND(C1516&lt;&gt;"",C1516&lt;&gt;INDEX('Rules'!$B$7:$B$26,MATCH(SUBSTITUTE(SUBSTITUTE(SUBSTITUTE(SUBSTITUTE("type:"&amp;B1516,"%","%25"),"~","%7E"),"*","%2A"),"?","%3F"),'Rules'!$G$7:$G$26,0))),"Unit mismatch",IF(IF(NOT(ISNUMBER(D1516)),TRUE,OR(D1516&lt;0,D1516&gt;999999999,ROUND(D1516,3)&lt;&gt;D1516)),"Invalid current reading",IF(AND(E1516&lt;&gt;"",IF(NOT(ISNUMBER(E1516)),TRUE,OR(E1516&lt;0,E1516&gt;999999999,ROUND(E1516,3)&lt;&gt;E1516))),"Invalid previous reading",IF(IF(NOT(ISNUMBER(F1516)),TRUE,OR(F1516&lt;0,F1516&gt;999999999,ROUND(F1516,3)&lt;&gt;F1516)),"Invalid last service",IF(AND(E1516&lt;&gt;"",D1516&lt;E1516),"Decreased reading",IF(F1516&gt;D1516,"Last service above current","")))))))))))))</x:f>
      </x:c>
      <x:c r="L1516" s="6" t="str">
        <x:f>IF(AND(NOT(COUNTA(A1516:F1516)=0),K1516=""),INDEX('Rules'!$C$7:$C$26,MATCH(SUBSTITUTE(SUBSTITUTE(SUBSTITUTE(SUBSTITUTE("type:"&amp;B1516,"%","%25"),"~","%7E"),"*","%2A"),"?","%3F"),'Rules'!$G$7:$G$26,0)),"")</x:f>
      </x:c>
      <x:c r="M1516" s="6" t="str">
        <x:f>IF(AND(NOT(COUNTA(A1516:F1516)=0),K1516=""),INDEX('Rules'!$D$7:$D$26,MATCH(SUBSTITUTE(SUBSTITUTE(SUBSTITUTE(SUBSTITUTE("type:"&amp;B1516,"%","%25"),"~","%7E"),"*","%2A"),"?","%3F"),'Rules'!$G$7:$G$26,0)),"")</x:f>
      </x:c>
      <x:c r="N1516" s="5" t="str">
        <x:f>IF(COUNTA(A1516:F1516)=0,"",SUBSTITUTE(SUBSTITUTE(SUBSTITUTE(SUBSTITUTE("id:"&amp;A1516,"%","%25"),"~","%7E"),"*","%2A"),"?","%3F"))</x:f>
      </x:c>
    </x:row>
    <x:row r="1517" ht="22" customHeight="1">
      <x:c r="A1517" s="3"/>
      <x:c r="B1517" s="3"/>
      <x:c r="C1517" s="3"/>
      <x:c r="D1517" s="4"/>
      <x:c r="E1517" s="4"/>
      <x:c r="F1517" s="4"/>
      <x:c r="G1517" s="5" t="str">
        <x:f>IF(COUNTA(A1517:F1517)=0,"",IF(K1517&lt;&gt;"","Review",IF(I1517&lt;0,"Overdue",IF(I1517=0,"Due now",IF(I1517&lt;=M1517,"Due soon","Not due")))))</x:f>
      </x:c>
      <x:c r="H1517" s="5" t="str">
        <x:f>IF(OR(COUNTA(A1517:F1517)=0,COUNTIFS('Rules'!$G$7:$G$26,"="&amp;(SUBSTITUTE(SUBSTITUTE(SUBSTITUTE(SUBSTITUTE("type:"&amp;B1517,"%","%25"),"~","%7E"),"*","%2A"),"?","%3F")))&lt;&gt;1),"",IF(OR(INDEX('Rules'!$B$7:$B$26,MATCH(SUBSTITUTE(SUBSTITUTE(SUBSTITUTE(SUBSTITUTE("type:"&amp;B1517,"%","%25"),"~","%7E"),"*","%2A"),"?","%3F"),'Rules'!$G$7:$G$26,0))="hours",INDEX('Rules'!$B$7:$B$26,MATCH(SUBSTITUTE(SUBSTITUTE(SUBSTITUTE(SUBSTITUTE("type:"&amp;B1517,"%","%25"),"~","%7E"),"*","%2A"),"?","%3F"),'Rules'!$G$7:$G$26,0))="km"),INDEX('Rules'!$B$7:$B$26,MATCH(SUBSTITUTE(SUBSTITUTE(SUBSTITUTE(SUBSTITUTE("type:"&amp;B1517,"%","%25"),"~","%7E"),"*","%2A"),"?","%3F"),'Rules'!$G$7:$G$26,0)),""))</x:f>
      </x:c>
      <x:c r="I1517" s="6" t="str">
        <x:f>IF(AND(NOT(COUNTA(A1517:F1517)=0),K1517=""),ROUND(J1517-D1517,3),"")</x:f>
      </x:c>
      <x:c r="J1517" s="6" t="str">
        <x:f>IF(AND(NOT(COUNTA(A1517:F1517)=0),K1517=""),ROUND(F1517+L1517,3),"")</x:f>
      </x:c>
      <x:c r="K1517" s="5" t="str">
        <x:f>IF(COUNTA(A1517:F1517)=0,"",IF(A1517="","Missing equipment ID",IF(COUNTIFS($N$8:$N$2007,"="&amp;N1517)&gt;1,"Duplicate equipment ID",IF(B1517="","Missing type",IF(COUNTIFS('Rules'!$G$7:$G$26,"="&amp;(SUBSTITUTE(SUBSTITUTE(SUBSTITUTE(SUBSTITUTE("type:"&amp;B1517,"%","%25"),"~","%7E"),"*","%2A"),"?","%3F")))=0,"Unknown type",IF(COUNTIFS('Rules'!$G$7:$G$26,"="&amp;(SUBSTITUTE(SUBSTITUTE(SUBSTITUTE(SUBSTITUTE("type:"&amp;B1517,"%","%25"),"~","%7E"),"*","%2A"),"?","%3F")))&gt;1,"Duplicate type",IF(INDEX('Rules'!$F$7:$F$26,MATCH(SUBSTITUTE(SUBSTITUTE(SUBSTITUTE(SUBSTITUTE("type:"&amp;B1517,"%","%25"),"~","%7E"),"*","%2A"),"?","%3F"),'Rules'!$G$7:$G$26,0))&lt;&gt;"",INDEX('Rules'!$F$7:$F$26,MATCH(SUBSTITUTE(SUBSTITUTE(SUBSTITUTE(SUBSTITUTE("type:"&amp;B1517,"%","%25"),"~","%7E"),"*","%2A"),"?","%3F"),'Rules'!$G$7:$G$26,0)),IF(AND(C1517&lt;&gt;"",C1517&lt;&gt;INDEX('Rules'!$B$7:$B$26,MATCH(SUBSTITUTE(SUBSTITUTE(SUBSTITUTE(SUBSTITUTE("type:"&amp;B1517,"%","%25"),"~","%7E"),"*","%2A"),"?","%3F"),'Rules'!$G$7:$G$26,0))),"Unit mismatch",IF(IF(NOT(ISNUMBER(D1517)),TRUE,OR(D1517&lt;0,D1517&gt;999999999,ROUND(D1517,3)&lt;&gt;D1517)),"Invalid current reading",IF(AND(E1517&lt;&gt;"",IF(NOT(ISNUMBER(E1517)),TRUE,OR(E1517&lt;0,E1517&gt;999999999,ROUND(E1517,3)&lt;&gt;E1517))),"Invalid previous reading",IF(IF(NOT(ISNUMBER(F1517)),TRUE,OR(F1517&lt;0,F1517&gt;999999999,ROUND(F1517,3)&lt;&gt;F1517)),"Invalid last service",IF(AND(E1517&lt;&gt;"",D1517&lt;E1517),"Decreased reading",IF(F1517&gt;D1517,"Last service above current","")))))))))))))</x:f>
      </x:c>
      <x:c r="L1517" s="6" t="str">
        <x:f>IF(AND(NOT(COUNTA(A1517:F1517)=0),K1517=""),INDEX('Rules'!$C$7:$C$26,MATCH(SUBSTITUTE(SUBSTITUTE(SUBSTITUTE(SUBSTITUTE("type:"&amp;B1517,"%","%25"),"~","%7E"),"*","%2A"),"?","%3F"),'Rules'!$G$7:$G$26,0)),"")</x:f>
      </x:c>
      <x:c r="M1517" s="6" t="str">
        <x:f>IF(AND(NOT(COUNTA(A1517:F1517)=0),K1517=""),INDEX('Rules'!$D$7:$D$26,MATCH(SUBSTITUTE(SUBSTITUTE(SUBSTITUTE(SUBSTITUTE("type:"&amp;B1517,"%","%25"),"~","%7E"),"*","%2A"),"?","%3F"),'Rules'!$G$7:$G$26,0)),"")</x:f>
      </x:c>
      <x:c r="N1517" s="5" t="str">
        <x:f>IF(COUNTA(A1517:F1517)=0,"",SUBSTITUTE(SUBSTITUTE(SUBSTITUTE(SUBSTITUTE("id:"&amp;A1517,"%","%25"),"~","%7E"),"*","%2A"),"?","%3F"))</x:f>
      </x:c>
    </x:row>
    <x:row r="1518" ht="22" customHeight="1">
      <x:c r="A1518" s="3"/>
      <x:c r="B1518" s="3"/>
      <x:c r="C1518" s="3"/>
      <x:c r="D1518" s="4"/>
      <x:c r="E1518" s="4"/>
      <x:c r="F1518" s="4"/>
      <x:c r="G1518" s="5" t="str">
        <x:f>IF(COUNTA(A1518:F1518)=0,"",IF(K1518&lt;&gt;"","Review",IF(I1518&lt;0,"Overdue",IF(I1518=0,"Due now",IF(I1518&lt;=M1518,"Due soon","Not due")))))</x:f>
      </x:c>
      <x:c r="H1518" s="5" t="str">
        <x:f>IF(OR(COUNTA(A1518:F1518)=0,COUNTIFS('Rules'!$G$7:$G$26,"="&amp;(SUBSTITUTE(SUBSTITUTE(SUBSTITUTE(SUBSTITUTE("type:"&amp;B1518,"%","%25"),"~","%7E"),"*","%2A"),"?","%3F")))&lt;&gt;1),"",IF(OR(INDEX('Rules'!$B$7:$B$26,MATCH(SUBSTITUTE(SUBSTITUTE(SUBSTITUTE(SUBSTITUTE("type:"&amp;B1518,"%","%25"),"~","%7E"),"*","%2A"),"?","%3F"),'Rules'!$G$7:$G$26,0))="hours",INDEX('Rules'!$B$7:$B$26,MATCH(SUBSTITUTE(SUBSTITUTE(SUBSTITUTE(SUBSTITUTE("type:"&amp;B1518,"%","%25"),"~","%7E"),"*","%2A"),"?","%3F"),'Rules'!$G$7:$G$26,0))="km"),INDEX('Rules'!$B$7:$B$26,MATCH(SUBSTITUTE(SUBSTITUTE(SUBSTITUTE(SUBSTITUTE("type:"&amp;B1518,"%","%25"),"~","%7E"),"*","%2A"),"?","%3F"),'Rules'!$G$7:$G$26,0)),""))</x:f>
      </x:c>
      <x:c r="I1518" s="6" t="str">
        <x:f>IF(AND(NOT(COUNTA(A1518:F1518)=0),K1518=""),ROUND(J1518-D1518,3),"")</x:f>
      </x:c>
      <x:c r="J1518" s="6" t="str">
        <x:f>IF(AND(NOT(COUNTA(A1518:F1518)=0),K1518=""),ROUND(F1518+L1518,3),"")</x:f>
      </x:c>
      <x:c r="K1518" s="5" t="str">
        <x:f>IF(COUNTA(A1518:F1518)=0,"",IF(A1518="","Missing equipment ID",IF(COUNTIFS($N$8:$N$2007,"="&amp;N1518)&gt;1,"Duplicate equipment ID",IF(B1518="","Missing type",IF(COUNTIFS('Rules'!$G$7:$G$26,"="&amp;(SUBSTITUTE(SUBSTITUTE(SUBSTITUTE(SUBSTITUTE("type:"&amp;B1518,"%","%25"),"~","%7E"),"*","%2A"),"?","%3F")))=0,"Unknown type",IF(COUNTIFS('Rules'!$G$7:$G$26,"="&amp;(SUBSTITUTE(SUBSTITUTE(SUBSTITUTE(SUBSTITUTE("type:"&amp;B1518,"%","%25"),"~","%7E"),"*","%2A"),"?","%3F")))&gt;1,"Duplicate type",IF(INDEX('Rules'!$F$7:$F$26,MATCH(SUBSTITUTE(SUBSTITUTE(SUBSTITUTE(SUBSTITUTE("type:"&amp;B1518,"%","%25"),"~","%7E"),"*","%2A"),"?","%3F"),'Rules'!$G$7:$G$26,0))&lt;&gt;"",INDEX('Rules'!$F$7:$F$26,MATCH(SUBSTITUTE(SUBSTITUTE(SUBSTITUTE(SUBSTITUTE("type:"&amp;B1518,"%","%25"),"~","%7E"),"*","%2A"),"?","%3F"),'Rules'!$G$7:$G$26,0)),IF(AND(C1518&lt;&gt;"",C1518&lt;&gt;INDEX('Rules'!$B$7:$B$26,MATCH(SUBSTITUTE(SUBSTITUTE(SUBSTITUTE(SUBSTITUTE("type:"&amp;B1518,"%","%25"),"~","%7E"),"*","%2A"),"?","%3F"),'Rules'!$G$7:$G$26,0))),"Unit mismatch",IF(IF(NOT(ISNUMBER(D1518)),TRUE,OR(D1518&lt;0,D1518&gt;999999999,ROUND(D1518,3)&lt;&gt;D1518)),"Invalid current reading",IF(AND(E1518&lt;&gt;"",IF(NOT(ISNUMBER(E1518)),TRUE,OR(E1518&lt;0,E1518&gt;999999999,ROUND(E1518,3)&lt;&gt;E1518))),"Invalid previous reading",IF(IF(NOT(ISNUMBER(F1518)),TRUE,OR(F1518&lt;0,F1518&gt;999999999,ROUND(F1518,3)&lt;&gt;F1518)),"Invalid last service",IF(AND(E1518&lt;&gt;"",D1518&lt;E1518),"Decreased reading",IF(F1518&gt;D1518,"Last service above current","")))))))))))))</x:f>
      </x:c>
      <x:c r="L1518" s="6" t="str">
        <x:f>IF(AND(NOT(COUNTA(A1518:F1518)=0),K1518=""),INDEX('Rules'!$C$7:$C$26,MATCH(SUBSTITUTE(SUBSTITUTE(SUBSTITUTE(SUBSTITUTE("type:"&amp;B1518,"%","%25"),"~","%7E"),"*","%2A"),"?","%3F"),'Rules'!$G$7:$G$26,0)),"")</x:f>
      </x:c>
      <x:c r="M1518" s="6" t="str">
        <x:f>IF(AND(NOT(COUNTA(A1518:F1518)=0),K1518=""),INDEX('Rules'!$D$7:$D$26,MATCH(SUBSTITUTE(SUBSTITUTE(SUBSTITUTE(SUBSTITUTE("type:"&amp;B1518,"%","%25"),"~","%7E"),"*","%2A"),"?","%3F"),'Rules'!$G$7:$G$26,0)),"")</x:f>
      </x:c>
      <x:c r="N1518" s="5" t="str">
        <x:f>IF(COUNTA(A1518:F1518)=0,"",SUBSTITUTE(SUBSTITUTE(SUBSTITUTE(SUBSTITUTE("id:"&amp;A1518,"%","%25"),"~","%7E"),"*","%2A"),"?","%3F"))</x:f>
      </x:c>
    </x:row>
    <x:row r="1519" ht="22" customHeight="1">
      <x:c r="A1519" s="3"/>
      <x:c r="B1519" s="3"/>
      <x:c r="C1519" s="3"/>
      <x:c r="D1519" s="4"/>
      <x:c r="E1519" s="4"/>
      <x:c r="F1519" s="4"/>
      <x:c r="G1519" s="5" t="str">
        <x:f>IF(COUNTA(A1519:F1519)=0,"",IF(K1519&lt;&gt;"","Review",IF(I1519&lt;0,"Overdue",IF(I1519=0,"Due now",IF(I1519&lt;=M1519,"Due soon","Not due")))))</x:f>
      </x:c>
      <x:c r="H1519" s="5" t="str">
        <x:f>IF(OR(COUNTA(A1519:F1519)=0,COUNTIFS('Rules'!$G$7:$G$26,"="&amp;(SUBSTITUTE(SUBSTITUTE(SUBSTITUTE(SUBSTITUTE("type:"&amp;B1519,"%","%25"),"~","%7E"),"*","%2A"),"?","%3F")))&lt;&gt;1),"",IF(OR(INDEX('Rules'!$B$7:$B$26,MATCH(SUBSTITUTE(SUBSTITUTE(SUBSTITUTE(SUBSTITUTE("type:"&amp;B1519,"%","%25"),"~","%7E"),"*","%2A"),"?","%3F"),'Rules'!$G$7:$G$26,0))="hours",INDEX('Rules'!$B$7:$B$26,MATCH(SUBSTITUTE(SUBSTITUTE(SUBSTITUTE(SUBSTITUTE("type:"&amp;B1519,"%","%25"),"~","%7E"),"*","%2A"),"?","%3F"),'Rules'!$G$7:$G$26,0))="km"),INDEX('Rules'!$B$7:$B$26,MATCH(SUBSTITUTE(SUBSTITUTE(SUBSTITUTE(SUBSTITUTE("type:"&amp;B1519,"%","%25"),"~","%7E"),"*","%2A"),"?","%3F"),'Rules'!$G$7:$G$26,0)),""))</x:f>
      </x:c>
      <x:c r="I1519" s="6" t="str">
        <x:f>IF(AND(NOT(COUNTA(A1519:F1519)=0),K1519=""),ROUND(J1519-D1519,3),"")</x:f>
      </x:c>
      <x:c r="J1519" s="6" t="str">
        <x:f>IF(AND(NOT(COUNTA(A1519:F1519)=0),K1519=""),ROUND(F1519+L1519,3),"")</x:f>
      </x:c>
      <x:c r="K1519" s="5" t="str">
        <x:f>IF(COUNTA(A1519:F1519)=0,"",IF(A1519="","Missing equipment ID",IF(COUNTIFS($N$8:$N$2007,"="&amp;N1519)&gt;1,"Duplicate equipment ID",IF(B1519="","Missing type",IF(COUNTIFS('Rules'!$G$7:$G$26,"="&amp;(SUBSTITUTE(SUBSTITUTE(SUBSTITUTE(SUBSTITUTE("type:"&amp;B1519,"%","%25"),"~","%7E"),"*","%2A"),"?","%3F")))=0,"Unknown type",IF(COUNTIFS('Rules'!$G$7:$G$26,"="&amp;(SUBSTITUTE(SUBSTITUTE(SUBSTITUTE(SUBSTITUTE("type:"&amp;B1519,"%","%25"),"~","%7E"),"*","%2A"),"?","%3F")))&gt;1,"Duplicate type",IF(INDEX('Rules'!$F$7:$F$26,MATCH(SUBSTITUTE(SUBSTITUTE(SUBSTITUTE(SUBSTITUTE("type:"&amp;B1519,"%","%25"),"~","%7E"),"*","%2A"),"?","%3F"),'Rules'!$G$7:$G$26,0))&lt;&gt;"",INDEX('Rules'!$F$7:$F$26,MATCH(SUBSTITUTE(SUBSTITUTE(SUBSTITUTE(SUBSTITUTE("type:"&amp;B1519,"%","%25"),"~","%7E"),"*","%2A"),"?","%3F"),'Rules'!$G$7:$G$26,0)),IF(AND(C1519&lt;&gt;"",C1519&lt;&gt;INDEX('Rules'!$B$7:$B$26,MATCH(SUBSTITUTE(SUBSTITUTE(SUBSTITUTE(SUBSTITUTE("type:"&amp;B1519,"%","%25"),"~","%7E"),"*","%2A"),"?","%3F"),'Rules'!$G$7:$G$26,0))),"Unit mismatch",IF(IF(NOT(ISNUMBER(D1519)),TRUE,OR(D1519&lt;0,D1519&gt;999999999,ROUND(D1519,3)&lt;&gt;D1519)),"Invalid current reading",IF(AND(E1519&lt;&gt;"",IF(NOT(ISNUMBER(E1519)),TRUE,OR(E1519&lt;0,E1519&gt;999999999,ROUND(E1519,3)&lt;&gt;E1519))),"Invalid previous reading",IF(IF(NOT(ISNUMBER(F1519)),TRUE,OR(F1519&lt;0,F1519&gt;999999999,ROUND(F1519,3)&lt;&gt;F1519)),"Invalid last service",IF(AND(E1519&lt;&gt;"",D1519&lt;E1519),"Decreased reading",IF(F1519&gt;D1519,"Last service above current","")))))))))))))</x:f>
      </x:c>
      <x:c r="L1519" s="6" t="str">
        <x:f>IF(AND(NOT(COUNTA(A1519:F1519)=0),K1519=""),INDEX('Rules'!$C$7:$C$26,MATCH(SUBSTITUTE(SUBSTITUTE(SUBSTITUTE(SUBSTITUTE("type:"&amp;B1519,"%","%25"),"~","%7E"),"*","%2A"),"?","%3F"),'Rules'!$G$7:$G$26,0)),"")</x:f>
      </x:c>
      <x:c r="M1519" s="6" t="str">
        <x:f>IF(AND(NOT(COUNTA(A1519:F1519)=0),K1519=""),INDEX('Rules'!$D$7:$D$26,MATCH(SUBSTITUTE(SUBSTITUTE(SUBSTITUTE(SUBSTITUTE("type:"&amp;B1519,"%","%25"),"~","%7E"),"*","%2A"),"?","%3F"),'Rules'!$G$7:$G$26,0)),"")</x:f>
      </x:c>
      <x:c r="N1519" s="5" t="str">
        <x:f>IF(COUNTA(A1519:F1519)=0,"",SUBSTITUTE(SUBSTITUTE(SUBSTITUTE(SUBSTITUTE("id:"&amp;A1519,"%","%25"),"~","%7E"),"*","%2A"),"?","%3F"))</x:f>
      </x:c>
    </x:row>
    <x:row r="1520" ht="22" customHeight="1">
      <x:c r="A1520" s="3"/>
      <x:c r="B1520" s="3"/>
      <x:c r="C1520" s="3"/>
      <x:c r="D1520" s="4"/>
      <x:c r="E1520" s="4"/>
      <x:c r="F1520" s="4"/>
      <x:c r="G1520" s="5" t="str">
        <x:f>IF(COUNTA(A1520:F1520)=0,"",IF(K1520&lt;&gt;"","Review",IF(I1520&lt;0,"Overdue",IF(I1520=0,"Due now",IF(I1520&lt;=M1520,"Due soon","Not due")))))</x:f>
      </x:c>
      <x:c r="H1520" s="5" t="str">
        <x:f>IF(OR(COUNTA(A1520:F1520)=0,COUNTIFS('Rules'!$G$7:$G$26,"="&amp;(SUBSTITUTE(SUBSTITUTE(SUBSTITUTE(SUBSTITUTE("type:"&amp;B1520,"%","%25"),"~","%7E"),"*","%2A"),"?","%3F")))&lt;&gt;1),"",IF(OR(INDEX('Rules'!$B$7:$B$26,MATCH(SUBSTITUTE(SUBSTITUTE(SUBSTITUTE(SUBSTITUTE("type:"&amp;B1520,"%","%25"),"~","%7E"),"*","%2A"),"?","%3F"),'Rules'!$G$7:$G$26,0))="hours",INDEX('Rules'!$B$7:$B$26,MATCH(SUBSTITUTE(SUBSTITUTE(SUBSTITUTE(SUBSTITUTE("type:"&amp;B1520,"%","%25"),"~","%7E"),"*","%2A"),"?","%3F"),'Rules'!$G$7:$G$26,0))="km"),INDEX('Rules'!$B$7:$B$26,MATCH(SUBSTITUTE(SUBSTITUTE(SUBSTITUTE(SUBSTITUTE("type:"&amp;B1520,"%","%25"),"~","%7E"),"*","%2A"),"?","%3F"),'Rules'!$G$7:$G$26,0)),""))</x:f>
      </x:c>
      <x:c r="I1520" s="6" t="str">
        <x:f>IF(AND(NOT(COUNTA(A1520:F1520)=0),K1520=""),ROUND(J1520-D1520,3),"")</x:f>
      </x:c>
      <x:c r="J1520" s="6" t="str">
        <x:f>IF(AND(NOT(COUNTA(A1520:F1520)=0),K1520=""),ROUND(F1520+L1520,3),"")</x:f>
      </x:c>
      <x:c r="K1520" s="5" t="str">
        <x:f>IF(COUNTA(A1520:F1520)=0,"",IF(A1520="","Missing equipment ID",IF(COUNTIFS($N$8:$N$2007,"="&amp;N1520)&gt;1,"Duplicate equipment ID",IF(B1520="","Missing type",IF(COUNTIFS('Rules'!$G$7:$G$26,"="&amp;(SUBSTITUTE(SUBSTITUTE(SUBSTITUTE(SUBSTITUTE("type:"&amp;B1520,"%","%25"),"~","%7E"),"*","%2A"),"?","%3F")))=0,"Unknown type",IF(COUNTIFS('Rules'!$G$7:$G$26,"="&amp;(SUBSTITUTE(SUBSTITUTE(SUBSTITUTE(SUBSTITUTE("type:"&amp;B1520,"%","%25"),"~","%7E"),"*","%2A"),"?","%3F")))&gt;1,"Duplicate type",IF(INDEX('Rules'!$F$7:$F$26,MATCH(SUBSTITUTE(SUBSTITUTE(SUBSTITUTE(SUBSTITUTE("type:"&amp;B1520,"%","%25"),"~","%7E"),"*","%2A"),"?","%3F"),'Rules'!$G$7:$G$26,0))&lt;&gt;"",INDEX('Rules'!$F$7:$F$26,MATCH(SUBSTITUTE(SUBSTITUTE(SUBSTITUTE(SUBSTITUTE("type:"&amp;B1520,"%","%25"),"~","%7E"),"*","%2A"),"?","%3F"),'Rules'!$G$7:$G$26,0)),IF(AND(C1520&lt;&gt;"",C1520&lt;&gt;INDEX('Rules'!$B$7:$B$26,MATCH(SUBSTITUTE(SUBSTITUTE(SUBSTITUTE(SUBSTITUTE("type:"&amp;B1520,"%","%25"),"~","%7E"),"*","%2A"),"?","%3F"),'Rules'!$G$7:$G$26,0))),"Unit mismatch",IF(IF(NOT(ISNUMBER(D1520)),TRUE,OR(D1520&lt;0,D1520&gt;999999999,ROUND(D1520,3)&lt;&gt;D1520)),"Invalid current reading",IF(AND(E1520&lt;&gt;"",IF(NOT(ISNUMBER(E1520)),TRUE,OR(E1520&lt;0,E1520&gt;999999999,ROUND(E1520,3)&lt;&gt;E1520))),"Invalid previous reading",IF(IF(NOT(ISNUMBER(F1520)),TRUE,OR(F1520&lt;0,F1520&gt;999999999,ROUND(F1520,3)&lt;&gt;F1520)),"Invalid last service",IF(AND(E1520&lt;&gt;"",D1520&lt;E1520),"Decreased reading",IF(F1520&gt;D1520,"Last service above current","")))))))))))))</x:f>
      </x:c>
      <x:c r="L1520" s="6" t="str">
        <x:f>IF(AND(NOT(COUNTA(A1520:F1520)=0),K1520=""),INDEX('Rules'!$C$7:$C$26,MATCH(SUBSTITUTE(SUBSTITUTE(SUBSTITUTE(SUBSTITUTE("type:"&amp;B1520,"%","%25"),"~","%7E"),"*","%2A"),"?","%3F"),'Rules'!$G$7:$G$26,0)),"")</x:f>
      </x:c>
      <x:c r="M1520" s="6" t="str">
        <x:f>IF(AND(NOT(COUNTA(A1520:F1520)=0),K1520=""),INDEX('Rules'!$D$7:$D$26,MATCH(SUBSTITUTE(SUBSTITUTE(SUBSTITUTE(SUBSTITUTE("type:"&amp;B1520,"%","%25"),"~","%7E"),"*","%2A"),"?","%3F"),'Rules'!$G$7:$G$26,0)),"")</x:f>
      </x:c>
      <x:c r="N1520" s="5" t="str">
        <x:f>IF(COUNTA(A1520:F1520)=0,"",SUBSTITUTE(SUBSTITUTE(SUBSTITUTE(SUBSTITUTE("id:"&amp;A1520,"%","%25"),"~","%7E"),"*","%2A"),"?","%3F"))</x:f>
      </x:c>
    </x:row>
    <x:row r="1521" ht="22" customHeight="1">
      <x:c r="A1521" s="3"/>
      <x:c r="B1521" s="3"/>
      <x:c r="C1521" s="3"/>
      <x:c r="D1521" s="4"/>
      <x:c r="E1521" s="4"/>
      <x:c r="F1521" s="4"/>
      <x:c r="G1521" s="5" t="str">
        <x:f>IF(COUNTA(A1521:F1521)=0,"",IF(K1521&lt;&gt;"","Review",IF(I1521&lt;0,"Overdue",IF(I1521=0,"Due now",IF(I1521&lt;=M1521,"Due soon","Not due")))))</x:f>
      </x:c>
      <x:c r="H1521" s="5" t="str">
        <x:f>IF(OR(COUNTA(A1521:F1521)=0,COUNTIFS('Rules'!$G$7:$G$26,"="&amp;(SUBSTITUTE(SUBSTITUTE(SUBSTITUTE(SUBSTITUTE("type:"&amp;B1521,"%","%25"),"~","%7E"),"*","%2A"),"?","%3F")))&lt;&gt;1),"",IF(OR(INDEX('Rules'!$B$7:$B$26,MATCH(SUBSTITUTE(SUBSTITUTE(SUBSTITUTE(SUBSTITUTE("type:"&amp;B1521,"%","%25"),"~","%7E"),"*","%2A"),"?","%3F"),'Rules'!$G$7:$G$26,0))="hours",INDEX('Rules'!$B$7:$B$26,MATCH(SUBSTITUTE(SUBSTITUTE(SUBSTITUTE(SUBSTITUTE("type:"&amp;B1521,"%","%25"),"~","%7E"),"*","%2A"),"?","%3F"),'Rules'!$G$7:$G$26,0))="km"),INDEX('Rules'!$B$7:$B$26,MATCH(SUBSTITUTE(SUBSTITUTE(SUBSTITUTE(SUBSTITUTE("type:"&amp;B1521,"%","%25"),"~","%7E"),"*","%2A"),"?","%3F"),'Rules'!$G$7:$G$26,0)),""))</x:f>
      </x:c>
      <x:c r="I1521" s="6" t="str">
        <x:f>IF(AND(NOT(COUNTA(A1521:F1521)=0),K1521=""),ROUND(J1521-D1521,3),"")</x:f>
      </x:c>
      <x:c r="J1521" s="6" t="str">
        <x:f>IF(AND(NOT(COUNTA(A1521:F1521)=0),K1521=""),ROUND(F1521+L1521,3),"")</x:f>
      </x:c>
      <x:c r="K1521" s="5" t="str">
        <x:f>IF(COUNTA(A1521:F1521)=0,"",IF(A1521="","Missing equipment ID",IF(COUNTIFS($N$8:$N$2007,"="&amp;N1521)&gt;1,"Duplicate equipment ID",IF(B1521="","Missing type",IF(COUNTIFS('Rules'!$G$7:$G$26,"="&amp;(SUBSTITUTE(SUBSTITUTE(SUBSTITUTE(SUBSTITUTE("type:"&amp;B1521,"%","%25"),"~","%7E"),"*","%2A"),"?","%3F")))=0,"Unknown type",IF(COUNTIFS('Rules'!$G$7:$G$26,"="&amp;(SUBSTITUTE(SUBSTITUTE(SUBSTITUTE(SUBSTITUTE("type:"&amp;B1521,"%","%25"),"~","%7E"),"*","%2A"),"?","%3F")))&gt;1,"Duplicate type",IF(INDEX('Rules'!$F$7:$F$26,MATCH(SUBSTITUTE(SUBSTITUTE(SUBSTITUTE(SUBSTITUTE("type:"&amp;B1521,"%","%25"),"~","%7E"),"*","%2A"),"?","%3F"),'Rules'!$G$7:$G$26,0))&lt;&gt;"",INDEX('Rules'!$F$7:$F$26,MATCH(SUBSTITUTE(SUBSTITUTE(SUBSTITUTE(SUBSTITUTE("type:"&amp;B1521,"%","%25"),"~","%7E"),"*","%2A"),"?","%3F"),'Rules'!$G$7:$G$26,0)),IF(AND(C1521&lt;&gt;"",C1521&lt;&gt;INDEX('Rules'!$B$7:$B$26,MATCH(SUBSTITUTE(SUBSTITUTE(SUBSTITUTE(SUBSTITUTE("type:"&amp;B1521,"%","%25"),"~","%7E"),"*","%2A"),"?","%3F"),'Rules'!$G$7:$G$26,0))),"Unit mismatch",IF(IF(NOT(ISNUMBER(D1521)),TRUE,OR(D1521&lt;0,D1521&gt;999999999,ROUND(D1521,3)&lt;&gt;D1521)),"Invalid current reading",IF(AND(E1521&lt;&gt;"",IF(NOT(ISNUMBER(E1521)),TRUE,OR(E1521&lt;0,E1521&gt;999999999,ROUND(E1521,3)&lt;&gt;E1521))),"Invalid previous reading",IF(IF(NOT(ISNUMBER(F1521)),TRUE,OR(F1521&lt;0,F1521&gt;999999999,ROUND(F1521,3)&lt;&gt;F1521)),"Invalid last service",IF(AND(E1521&lt;&gt;"",D1521&lt;E1521),"Decreased reading",IF(F1521&gt;D1521,"Last service above current","")))))))))))))</x:f>
      </x:c>
      <x:c r="L1521" s="6" t="str">
        <x:f>IF(AND(NOT(COUNTA(A1521:F1521)=0),K1521=""),INDEX('Rules'!$C$7:$C$26,MATCH(SUBSTITUTE(SUBSTITUTE(SUBSTITUTE(SUBSTITUTE("type:"&amp;B1521,"%","%25"),"~","%7E"),"*","%2A"),"?","%3F"),'Rules'!$G$7:$G$26,0)),"")</x:f>
      </x:c>
      <x:c r="M1521" s="6" t="str">
        <x:f>IF(AND(NOT(COUNTA(A1521:F1521)=0),K1521=""),INDEX('Rules'!$D$7:$D$26,MATCH(SUBSTITUTE(SUBSTITUTE(SUBSTITUTE(SUBSTITUTE("type:"&amp;B1521,"%","%25"),"~","%7E"),"*","%2A"),"?","%3F"),'Rules'!$G$7:$G$26,0)),"")</x:f>
      </x:c>
      <x:c r="N1521" s="5" t="str">
        <x:f>IF(COUNTA(A1521:F1521)=0,"",SUBSTITUTE(SUBSTITUTE(SUBSTITUTE(SUBSTITUTE("id:"&amp;A1521,"%","%25"),"~","%7E"),"*","%2A"),"?","%3F"))</x:f>
      </x:c>
    </x:row>
    <x:row r="1522" ht="22" customHeight="1">
      <x:c r="A1522" s="3"/>
      <x:c r="B1522" s="3"/>
      <x:c r="C1522" s="3"/>
      <x:c r="D1522" s="4"/>
      <x:c r="E1522" s="4"/>
      <x:c r="F1522" s="4"/>
      <x:c r="G1522" s="5" t="str">
        <x:f>IF(COUNTA(A1522:F1522)=0,"",IF(K1522&lt;&gt;"","Review",IF(I1522&lt;0,"Overdue",IF(I1522=0,"Due now",IF(I1522&lt;=M1522,"Due soon","Not due")))))</x:f>
      </x:c>
      <x:c r="H1522" s="5" t="str">
        <x:f>IF(OR(COUNTA(A1522:F1522)=0,COUNTIFS('Rules'!$G$7:$G$26,"="&amp;(SUBSTITUTE(SUBSTITUTE(SUBSTITUTE(SUBSTITUTE("type:"&amp;B1522,"%","%25"),"~","%7E"),"*","%2A"),"?","%3F")))&lt;&gt;1),"",IF(OR(INDEX('Rules'!$B$7:$B$26,MATCH(SUBSTITUTE(SUBSTITUTE(SUBSTITUTE(SUBSTITUTE("type:"&amp;B1522,"%","%25"),"~","%7E"),"*","%2A"),"?","%3F"),'Rules'!$G$7:$G$26,0))="hours",INDEX('Rules'!$B$7:$B$26,MATCH(SUBSTITUTE(SUBSTITUTE(SUBSTITUTE(SUBSTITUTE("type:"&amp;B1522,"%","%25"),"~","%7E"),"*","%2A"),"?","%3F"),'Rules'!$G$7:$G$26,0))="km"),INDEX('Rules'!$B$7:$B$26,MATCH(SUBSTITUTE(SUBSTITUTE(SUBSTITUTE(SUBSTITUTE("type:"&amp;B1522,"%","%25"),"~","%7E"),"*","%2A"),"?","%3F"),'Rules'!$G$7:$G$26,0)),""))</x:f>
      </x:c>
      <x:c r="I1522" s="6" t="str">
        <x:f>IF(AND(NOT(COUNTA(A1522:F1522)=0),K1522=""),ROUND(J1522-D1522,3),"")</x:f>
      </x:c>
      <x:c r="J1522" s="6" t="str">
        <x:f>IF(AND(NOT(COUNTA(A1522:F1522)=0),K1522=""),ROUND(F1522+L1522,3),"")</x:f>
      </x:c>
      <x:c r="K1522" s="5" t="str">
        <x:f>IF(COUNTA(A1522:F1522)=0,"",IF(A1522="","Missing equipment ID",IF(COUNTIFS($N$8:$N$2007,"="&amp;N1522)&gt;1,"Duplicate equipment ID",IF(B1522="","Missing type",IF(COUNTIFS('Rules'!$G$7:$G$26,"="&amp;(SUBSTITUTE(SUBSTITUTE(SUBSTITUTE(SUBSTITUTE("type:"&amp;B1522,"%","%25"),"~","%7E"),"*","%2A"),"?","%3F")))=0,"Unknown type",IF(COUNTIFS('Rules'!$G$7:$G$26,"="&amp;(SUBSTITUTE(SUBSTITUTE(SUBSTITUTE(SUBSTITUTE("type:"&amp;B1522,"%","%25"),"~","%7E"),"*","%2A"),"?","%3F")))&gt;1,"Duplicate type",IF(INDEX('Rules'!$F$7:$F$26,MATCH(SUBSTITUTE(SUBSTITUTE(SUBSTITUTE(SUBSTITUTE("type:"&amp;B1522,"%","%25"),"~","%7E"),"*","%2A"),"?","%3F"),'Rules'!$G$7:$G$26,0))&lt;&gt;"",INDEX('Rules'!$F$7:$F$26,MATCH(SUBSTITUTE(SUBSTITUTE(SUBSTITUTE(SUBSTITUTE("type:"&amp;B1522,"%","%25"),"~","%7E"),"*","%2A"),"?","%3F"),'Rules'!$G$7:$G$26,0)),IF(AND(C1522&lt;&gt;"",C1522&lt;&gt;INDEX('Rules'!$B$7:$B$26,MATCH(SUBSTITUTE(SUBSTITUTE(SUBSTITUTE(SUBSTITUTE("type:"&amp;B1522,"%","%25"),"~","%7E"),"*","%2A"),"?","%3F"),'Rules'!$G$7:$G$26,0))),"Unit mismatch",IF(IF(NOT(ISNUMBER(D1522)),TRUE,OR(D1522&lt;0,D1522&gt;999999999,ROUND(D1522,3)&lt;&gt;D1522)),"Invalid current reading",IF(AND(E1522&lt;&gt;"",IF(NOT(ISNUMBER(E1522)),TRUE,OR(E1522&lt;0,E1522&gt;999999999,ROUND(E1522,3)&lt;&gt;E1522))),"Invalid previous reading",IF(IF(NOT(ISNUMBER(F1522)),TRUE,OR(F1522&lt;0,F1522&gt;999999999,ROUND(F1522,3)&lt;&gt;F1522)),"Invalid last service",IF(AND(E1522&lt;&gt;"",D1522&lt;E1522),"Decreased reading",IF(F1522&gt;D1522,"Last service above current","")))))))))))))</x:f>
      </x:c>
      <x:c r="L1522" s="6" t="str">
        <x:f>IF(AND(NOT(COUNTA(A1522:F1522)=0),K1522=""),INDEX('Rules'!$C$7:$C$26,MATCH(SUBSTITUTE(SUBSTITUTE(SUBSTITUTE(SUBSTITUTE("type:"&amp;B1522,"%","%25"),"~","%7E"),"*","%2A"),"?","%3F"),'Rules'!$G$7:$G$26,0)),"")</x:f>
      </x:c>
      <x:c r="M1522" s="6" t="str">
        <x:f>IF(AND(NOT(COUNTA(A1522:F1522)=0),K1522=""),INDEX('Rules'!$D$7:$D$26,MATCH(SUBSTITUTE(SUBSTITUTE(SUBSTITUTE(SUBSTITUTE("type:"&amp;B1522,"%","%25"),"~","%7E"),"*","%2A"),"?","%3F"),'Rules'!$G$7:$G$26,0)),"")</x:f>
      </x:c>
      <x:c r="N1522" s="5" t="str">
        <x:f>IF(COUNTA(A1522:F1522)=0,"",SUBSTITUTE(SUBSTITUTE(SUBSTITUTE(SUBSTITUTE("id:"&amp;A1522,"%","%25"),"~","%7E"),"*","%2A"),"?","%3F"))</x:f>
      </x:c>
    </x:row>
    <x:row r="1523" ht="22" customHeight="1">
      <x:c r="A1523" s="3"/>
      <x:c r="B1523" s="3"/>
      <x:c r="C1523" s="3"/>
      <x:c r="D1523" s="4"/>
      <x:c r="E1523" s="4"/>
      <x:c r="F1523" s="4"/>
      <x:c r="G1523" s="5" t="str">
        <x:f>IF(COUNTA(A1523:F1523)=0,"",IF(K1523&lt;&gt;"","Review",IF(I1523&lt;0,"Overdue",IF(I1523=0,"Due now",IF(I1523&lt;=M1523,"Due soon","Not due")))))</x:f>
      </x:c>
      <x:c r="H1523" s="5" t="str">
        <x:f>IF(OR(COUNTA(A1523:F1523)=0,COUNTIFS('Rules'!$G$7:$G$26,"="&amp;(SUBSTITUTE(SUBSTITUTE(SUBSTITUTE(SUBSTITUTE("type:"&amp;B1523,"%","%25"),"~","%7E"),"*","%2A"),"?","%3F")))&lt;&gt;1),"",IF(OR(INDEX('Rules'!$B$7:$B$26,MATCH(SUBSTITUTE(SUBSTITUTE(SUBSTITUTE(SUBSTITUTE("type:"&amp;B1523,"%","%25"),"~","%7E"),"*","%2A"),"?","%3F"),'Rules'!$G$7:$G$26,0))="hours",INDEX('Rules'!$B$7:$B$26,MATCH(SUBSTITUTE(SUBSTITUTE(SUBSTITUTE(SUBSTITUTE("type:"&amp;B1523,"%","%25"),"~","%7E"),"*","%2A"),"?","%3F"),'Rules'!$G$7:$G$26,0))="km"),INDEX('Rules'!$B$7:$B$26,MATCH(SUBSTITUTE(SUBSTITUTE(SUBSTITUTE(SUBSTITUTE("type:"&amp;B1523,"%","%25"),"~","%7E"),"*","%2A"),"?","%3F"),'Rules'!$G$7:$G$26,0)),""))</x:f>
      </x:c>
      <x:c r="I1523" s="6" t="str">
        <x:f>IF(AND(NOT(COUNTA(A1523:F1523)=0),K1523=""),ROUND(J1523-D1523,3),"")</x:f>
      </x:c>
      <x:c r="J1523" s="6" t="str">
        <x:f>IF(AND(NOT(COUNTA(A1523:F1523)=0),K1523=""),ROUND(F1523+L1523,3),"")</x:f>
      </x:c>
      <x:c r="K1523" s="5" t="str">
        <x:f>IF(COUNTA(A1523:F1523)=0,"",IF(A1523="","Missing equipment ID",IF(COUNTIFS($N$8:$N$2007,"="&amp;N1523)&gt;1,"Duplicate equipment ID",IF(B1523="","Missing type",IF(COUNTIFS('Rules'!$G$7:$G$26,"="&amp;(SUBSTITUTE(SUBSTITUTE(SUBSTITUTE(SUBSTITUTE("type:"&amp;B1523,"%","%25"),"~","%7E"),"*","%2A"),"?","%3F")))=0,"Unknown type",IF(COUNTIFS('Rules'!$G$7:$G$26,"="&amp;(SUBSTITUTE(SUBSTITUTE(SUBSTITUTE(SUBSTITUTE("type:"&amp;B1523,"%","%25"),"~","%7E"),"*","%2A"),"?","%3F")))&gt;1,"Duplicate type",IF(INDEX('Rules'!$F$7:$F$26,MATCH(SUBSTITUTE(SUBSTITUTE(SUBSTITUTE(SUBSTITUTE("type:"&amp;B1523,"%","%25"),"~","%7E"),"*","%2A"),"?","%3F"),'Rules'!$G$7:$G$26,0))&lt;&gt;"",INDEX('Rules'!$F$7:$F$26,MATCH(SUBSTITUTE(SUBSTITUTE(SUBSTITUTE(SUBSTITUTE("type:"&amp;B1523,"%","%25"),"~","%7E"),"*","%2A"),"?","%3F"),'Rules'!$G$7:$G$26,0)),IF(AND(C1523&lt;&gt;"",C1523&lt;&gt;INDEX('Rules'!$B$7:$B$26,MATCH(SUBSTITUTE(SUBSTITUTE(SUBSTITUTE(SUBSTITUTE("type:"&amp;B1523,"%","%25"),"~","%7E"),"*","%2A"),"?","%3F"),'Rules'!$G$7:$G$26,0))),"Unit mismatch",IF(IF(NOT(ISNUMBER(D1523)),TRUE,OR(D1523&lt;0,D1523&gt;999999999,ROUND(D1523,3)&lt;&gt;D1523)),"Invalid current reading",IF(AND(E1523&lt;&gt;"",IF(NOT(ISNUMBER(E1523)),TRUE,OR(E1523&lt;0,E1523&gt;999999999,ROUND(E1523,3)&lt;&gt;E1523))),"Invalid previous reading",IF(IF(NOT(ISNUMBER(F1523)),TRUE,OR(F1523&lt;0,F1523&gt;999999999,ROUND(F1523,3)&lt;&gt;F1523)),"Invalid last service",IF(AND(E1523&lt;&gt;"",D1523&lt;E1523),"Decreased reading",IF(F1523&gt;D1523,"Last service above current","")))))))))))))</x:f>
      </x:c>
      <x:c r="L1523" s="6" t="str">
        <x:f>IF(AND(NOT(COUNTA(A1523:F1523)=0),K1523=""),INDEX('Rules'!$C$7:$C$26,MATCH(SUBSTITUTE(SUBSTITUTE(SUBSTITUTE(SUBSTITUTE("type:"&amp;B1523,"%","%25"),"~","%7E"),"*","%2A"),"?","%3F"),'Rules'!$G$7:$G$26,0)),"")</x:f>
      </x:c>
      <x:c r="M1523" s="6" t="str">
        <x:f>IF(AND(NOT(COUNTA(A1523:F1523)=0),K1523=""),INDEX('Rules'!$D$7:$D$26,MATCH(SUBSTITUTE(SUBSTITUTE(SUBSTITUTE(SUBSTITUTE("type:"&amp;B1523,"%","%25"),"~","%7E"),"*","%2A"),"?","%3F"),'Rules'!$G$7:$G$26,0)),"")</x:f>
      </x:c>
      <x:c r="N1523" s="5" t="str">
        <x:f>IF(COUNTA(A1523:F1523)=0,"",SUBSTITUTE(SUBSTITUTE(SUBSTITUTE(SUBSTITUTE("id:"&amp;A1523,"%","%25"),"~","%7E"),"*","%2A"),"?","%3F"))</x:f>
      </x:c>
    </x:row>
    <x:row r="1524" ht="22" customHeight="1">
      <x:c r="A1524" s="3"/>
      <x:c r="B1524" s="3"/>
      <x:c r="C1524" s="3"/>
      <x:c r="D1524" s="4"/>
      <x:c r="E1524" s="4"/>
      <x:c r="F1524" s="4"/>
      <x:c r="G1524" s="5" t="str">
        <x:f>IF(COUNTA(A1524:F1524)=0,"",IF(K1524&lt;&gt;"","Review",IF(I1524&lt;0,"Overdue",IF(I1524=0,"Due now",IF(I1524&lt;=M1524,"Due soon","Not due")))))</x:f>
      </x:c>
      <x:c r="H1524" s="5" t="str">
        <x:f>IF(OR(COUNTA(A1524:F1524)=0,COUNTIFS('Rules'!$G$7:$G$26,"="&amp;(SUBSTITUTE(SUBSTITUTE(SUBSTITUTE(SUBSTITUTE("type:"&amp;B1524,"%","%25"),"~","%7E"),"*","%2A"),"?","%3F")))&lt;&gt;1),"",IF(OR(INDEX('Rules'!$B$7:$B$26,MATCH(SUBSTITUTE(SUBSTITUTE(SUBSTITUTE(SUBSTITUTE("type:"&amp;B1524,"%","%25"),"~","%7E"),"*","%2A"),"?","%3F"),'Rules'!$G$7:$G$26,0))="hours",INDEX('Rules'!$B$7:$B$26,MATCH(SUBSTITUTE(SUBSTITUTE(SUBSTITUTE(SUBSTITUTE("type:"&amp;B1524,"%","%25"),"~","%7E"),"*","%2A"),"?","%3F"),'Rules'!$G$7:$G$26,0))="km"),INDEX('Rules'!$B$7:$B$26,MATCH(SUBSTITUTE(SUBSTITUTE(SUBSTITUTE(SUBSTITUTE("type:"&amp;B1524,"%","%25"),"~","%7E"),"*","%2A"),"?","%3F"),'Rules'!$G$7:$G$26,0)),""))</x:f>
      </x:c>
      <x:c r="I1524" s="6" t="str">
        <x:f>IF(AND(NOT(COUNTA(A1524:F1524)=0),K1524=""),ROUND(J1524-D1524,3),"")</x:f>
      </x:c>
      <x:c r="J1524" s="6" t="str">
        <x:f>IF(AND(NOT(COUNTA(A1524:F1524)=0),K1524=""),ROUND(F1524+L1524,3),"")</x:f>
      </x:c>
      <x:c r="K1524" s="5" t="str">
        <x:f>IF(COUNTA(A1524:F1524)=0,"",IF(A1524="","Missing equipment ID",IF(COUNTIFS($N$8:$N$2007,"="&amp;N1524)&gt;1,"Duplicate equipment ID",IF(B1524="","Missing type",IF(COUNTIFS('Rules'!$G$7:$G$26,"="&amp;(SUBSTITUTE(SUBSTITUTE(SUBSTITUTE(SUBSTITUTE("type:"&amp;B1524,"%","%25"),"~","%7E"),"*","%2A"),"?","%3F")))=0,"Unknown type",IF(COUNTIFS('Rules'!$G$7:$G$26,"="&amp;(SUBSTITUTE(SUBSTITUTE(SUBSTITUTE(SUBSTITUTE("type:"&amp;B1524,"%","%25"),"~","%7E"),"*","%2A"),"?","%3F")))&gt;1,"Duplicate type",IF(INDEX('Rules'!$F$7:$F$26,MATCH(SUBSTITUTE(SUBSTITUTE(SUBSTITUTE(SUBSTITUTE("type:"&amp;B1524,"%","%25"),"~","%7E"),"*","%2A"),"?","%3F"),'Rules'!$G$7:$G$26,0))&lt;&gt;"",INDEX('Rules'!$F$7:$F$26,MATCH(SUBSTITUTE(SUBSTITUTE(SUBSTITUTE(SUBSTITUTE("type:"&amp;B1524,"%","%25"),"~","%7E"),"*","%2A"),"?","%3F"),'Rules'!$G$7:$G$26,0)),IF(AND(C1524&lt;&gt;"",C1524&lt;&gt;INDEX('Rules'!$B$7:$B$26,MATCH(SUBSTITUTE(SUBSTITUTE(SUBSTITUTE(SUBSTITUTE("type:"&amp;B1524,"%","%25"),"~","%7E"),"*","%2A"),"?","%3F"),'Rules'!$G$7:$G$26,0))),"Unit mismatch",IF(IF(NOT(ISNUMBER(D1524)),TRUE,OR(D1524&lt;0,D1524&gt;999999999,ROUND(D1524,3)&lt;&gt;D1524)),"Invalid current reading",IF(AND(E1524&lt;&gt;"",IF(NOT(ISNUMBER(E1524)),TRUE,OR(E1524&lt;0,E1524&gt;999999999,ROUND(E1524,3)&lt;&gt;E1524))),"Invalid previous reading",IF(IF(NOT(ISNUMBER(F1524)),TRUE,OR(F1524&lt;0,F1524&gt;999999999,ROUND(F1524,3)&lt;&gt;F1524)),"Invalid last service",IF(AND(E1524&lt;&gt;"",D1524&lt;E1524),"Decreased reading",IF(F1524&gt;D1524,"Last service above current","")))))))))))))</x:f>
      </x:c>
      <x:c r="L1524" s="6" t="str">
        <x:f>IF(AND(NOT(COUNTA(A1524:F1524)=0),K1524=""),INDEX('Rules'!$C$7:$C$26,MATCH(SUBSTITUTE(SUBSTITUTE(SUBSTITUTE(SUBSTITUTE("type:"&amp;B1524,"%","%25"),"~","%7E"),"*","%2A"),"?","%3F"),'Rules'!$G$7:$G$26,0)),"")</x:f>
      </x:c>
      <x:c r="M1524" s="6" t="str">
        <x:f>IF(AND(NOT(COUNTA(A1524:F1524)=0),K1524=""),INDEX('Rules'!$D$7:$D$26,MATCH(SUBSTITUTE(SUBSTITUTE(SUBSTITUTE(SUBSTITUTE("type:"&amp;B1524,"%","%25"),"~","%7E"),"*","%2A"),"?","%3F"),'Rules'!$G$7:$G$26,0)),"")</x:f>
      </x:c>
      <x:c r="N1524" s="5" t="str">
        <x:f>IF(COUNTA(A1524:F1524)=0,"",SUBSTITUTE(SUBSTITUTE(SUBSTITUTE(SUBSTITUTE("id:"&amp;A1524,"%","%25"),"~","%7E"),"*","%2A"),"?","%3F"))</x:f>
      </x:c>
    </x:row>
    <x:row r="1525" ht="22" customHeight="1">
      <x:c r="A1525" s="3"/>
      <x:c r="B1525" s="3"/>
      <x:c r="C1525" s="3"/>
      <x:c r="D1525" s="4"/>
      <x:c r="E1525" s="4"/>
      <x:c r="F1525" s="4"/>
      <x:c r="G1525" s="5" t="str">
        <x:f>IF(COUNTA(A1525:F1525)=0,"",IF(K1525&lt;&gt;"","Review",IF(I1525&lt;0,"Overdue",IF(I1525=0,"Due now",IF(I1525&lt;=M1525,"Due soon","Not due")))))</x:f>
      </x:c>
      <x:c r="H1525" s="5" t="str">
        <x:f>IF(OR(COUNTA(A1525:F1525)=0,COUNTIFS('Rules'!$G$7:$G$26,"="&amp;(SUBSTITUTE(SUBSTITUTE(SUBSTITUTE(SUBSTITUTE("type:"&amp;B1525,"%","%25"),"~","%7E"),"*","%2A"),"?","%3F")))&lt;&gt;1),"",IF(OR(INDEX('Rules'!$B$7:$B$26,MATCH(SUBSTITUTE(SUBSTITUTE(SUBSTITUTE(SUBSTITUTE("type:"&amp;B1525,"%","%25"),"~","%7E"),"*","%2A"),"?","%3F"),'Rules'!$G$7:$G$26,0))="hours",INDEX('Rules'!$B$7:$B$26,MATCH(SUBSTITUTE(SUBSTITUTE(SUBSTITUTE(SUBSTITUTE("type:"&amp;B1525,"%","%25"),"~","%7E"),"*","%2A"),"?","%3F"),'Rules'!$G$7:$G$26,0))="km"),INDEX('Rules'!$B$7:$B$26,MATCH(SUBSTITUTE(SUBSTITUTE(SUBSTITUTE(SUBSTITUTE("type:"&amp;B1525,"%","%25"),"~","%7E"),"*","%2A"),"?","%3F"),'Rules'!$G$7:$G$26,0)),""))</x:f>
      </x:c>
      <x:c r="I1525" s="6" t="str">
        <x:f>IF(AND(NOT(COUNTA(A1525:F1525)=0),K1525=""),ROUND(J1525-D1525,3),"")</x:f>
      </x:c>
      <x:c r="J1525" s="6" t="str">
        <x:f>IF(AND(NOT(COUNTA(A1525:F1525)=0),K1525=""),ROUND(F1525+L1525,3),"")</x:f>
      </x:c>
      <x:c r="K1525" s="5" t="str">
        <x:f>IF(COUNTA(A1525:F1525)=0,"",IF(A1525="","Missing equipment ID",IF(COUNTIFS($N$8:$N$2007,"="&amp;N1525)&gt;1,"Duplicate equipment ID",IF(B1525="","Missing type",IF(COUNTIFS('Rules'!$G$7:$G$26,"="&amp;(SUBSTITUTE(SUBSTITUTE(SUBSTITUTE(SUBSTITUTE("type:"&amp;B1525,"%","%25"),"~","%7E"),"*","%2A"),"?","%3F")))=0,"Unknown type",IF(COUNTIFS('Rules'!$G$7:$G$26,"="&amp;(SUBSTITUTE(SUBSTITUTE(SUBSTITUTE(SUBSTITUTE("type:"&amp;B1525,"%","%25"),"~","%7E"),"*","%2A"),"?","%3F")))&gt;1,"Duplicate type",IF(INDEX('Rules'!$F$7:$F$26,MATCH(SUBSTITUTE(SUBSTITUTE(SUBSTITUTE(SUBSTITUTE("type:"&amp;B1525,"%","%25"),"~","%7E"),"*","%2A"),"?","%3F"),'Rules'!$G$7:$G$26,0))&lt;&gt;"",INDEX('Rules'!$F$7:$F$26,MATCH(SUBSTITUTE(SUBSTITUTE(SUBSTITUTE(SUBSTITUTE("type:"&amp;B1525,"%","%25"),"~","%7E"),"*","%2A"),"?","%3F"),'Rules'!$G$7:$G$26,0)),IF(AND(C1525&lt;&gt;"",C1525&lt;&gt;INDEX('Rules'!$B$7:$B$26,MATCH(SUBSTITUTE(SUBSTITUTE(SUBSTITUTE(SUBSTITUTE("type:"&amp;B1525,"%","%25"),"~","%7E"),"*","%2A"),"?","%3F"),'Rules'!$G$7:$G$26,0))),"Unit mismatch",IF(IF(NOT(ISNUMBER(D1525)),TRUE,OR(D1525&lt;0,D1525&gt;999999999,ROUND(D1525,3)&lt;&gt;D1525)),"Invalid current reading",IF(AND(E1525&lt;&gt;"",IF(NOT(ISNUMBER(E1525)),TRUE,OR(E1525&lt;0,E1525&gt;999999999,ROUND(E1525,3)&lt;&gt;E1525))),"Invalid previous reading",IF(IF(NOT(ISNUMBER(F1525)),TRUE,OR(F1525&lt;0,F1525&gt;999999999,ROUND(F1525,3)&lt;&gt;F1525)),"Invalid last service",IF(AND(E1525&lt;&gt;"",D1525&lt;E1525),"Decreased reading",IF(F1525&gt;D1525,"Last service above current","")))))))))))))</x:f>
      </x:c>
      <x:c r="L1525" s="6" t="str">
        <x:f>IF(AND(NOT(COUNTA(A1525:F1525)=0),K1525=""),INDEX('Rules'!$C$7:$C$26,MATCH(SUBSTITUTE(SUBSTITUTE(SUBSTITUTE(SUBSTITUTE("type:"&amp;B1525,"%","%25"),"~","%7E"),"*","%2A"),"?","%3F"),'Rules'!$G$7:$G$26,0)),"")</x:f>
      </x:c>
      <x:c r="M1525" s="6" t="str">
        <x:f>IF(AND(NOT(COUNTA(A1525:F1525)=0),K1525=""),INDEX('Rules'!$D$7:$D$26,MATCH(SUBSTITUTE(SUBSTITUTE(SUBSTITUTE(SUBSTITUTE("type:"&amp;B1525,"%","%25"),"~","%7E"),"*","%2A"),"?","%3F"),'Rules'!$G$7:$G$26,0)),"")</x:f>
      </x:c>
      <x:c r="N1525" s="5" t="str">
        <x:f>IF(COUNTA(A1525:F1525)=0,"",SUBSTITUTE(SUBSTITUTE(SUBSTITUTE(SUBSTITUTE("id:"&amp;A1525,"%","%25"),"~","%7E"),"*","%2A"),"?","%3F"))</x:f>
      </x:c>
    </x:row>
    <x:row r="1526" ht="22" customHeight="1">
      <x:c r="A1526" s="3"/>
      <x:c r="B1526" s="3"/>
      <x:c r="C1526" s="3"/>
      <x:c r="D1526" s="4"/>
      <x:c r="E1526" s="4"/>
      <x:c r="F1526" s="4"/>
      <x:c r="G1526" s="5" t="str">
        <x:f>IF(COUNTA(A1526:F1526)=0,"",IF(K1526&lt;&gt;"","Review",IF(I1526&lt;0,"Overdue",IF(I1526=0,"Due now",IF(I1526&lt;=M1526,"Due soon","Not due")))))</x:f>
      </x:c>
      <x:c r="H1526" s="5" t="str">
        <x:f>IF(OR(COUNTA(A1526:F1526)=0,COUNTIFS('Rules'!$G$7:$G$26,"="&amp;(SUBSTITUTE(SUBSTITUTE(SUBSTITUTE(SUBSTITUTE("type:"&amp;B1526,"%","%25"),"~","%7E"),"*","%2A"),"?","%3F")))&lt;&gt;1),"",IF(OR(INDEX('Rules'!$B$7:$B$26,MATCH(SUBSTITUTE(SUBSTITUTE(SUBSTITUTE(SUBSTITUTE("type:"&amp;B1526,"%","%25"),"~","%7E"),"*","%2A"),"?","%3F"),'Rules'!$G$7:$G$26,0))="hours",INDEX('Rules'!$B$7:$B$26,MATCH(SUBSTITUTE(SUBSTITUTE(SUBSTITUTE(SUBSTITUTE("type:"&amp;B1526,"%","%25"),"~","%7E"),"*","%2A"),"?","%3F"),'Rules'!$G$7:$G$26,0))="km"),INDEX('Rules'!$B$7:$B$26,MATCH(SUBSTITUTE(SUBSTITUTE(SUBSTITUTE(SUBSTITUTE("type:"&amp;B1526,"%","%25"),"~","%7E"),"*","%2A"),"?","%3F"),'Rules'!$G$7:$G$26,0)),""))</x:f>
      </x:c>
      <x:c r="I1526" s="6" t="str">
        <x:f>IF(AND(NOT(COUNTA(A1526:F1526)=0),K1526=""),ROUND(J1526-D1526,3),"")</x:f>
      </x:c>
      <x:c r="J1526" s="6" t="str">
        <x:f>IF(AND(NOT(COUNTA(A1526:F1526)=0),K1526=""),ROUND(F1526+L1526,3),"")</x:f>
      </x:c>
      <x:c r="K1526" s="5" t="str">
        <x:f>IF(COUNTA(A1526:F1526)=0,"",IF(A1526="","Missing equipment ID",IF(COUNTIFS($N$8:$N$2007,"="&amp;N1526)&gt;1,"Duplicate equipment ID",IF(B1526="","Missing type",IF(COUNTIFS('Rules'!$G$7:$G$26,"="&amp;(SUBSTITUTE(SUBSTITUTE(SUBSTITUTE(SUBSTITUTE("type:"&amp;B1526,"%","%25"),"~","%7E"),"*","%2A"),"?","%3F")))=0,"Unknown type",IF(COUNTIFS('Rules'!$G$7:$G$26,"="&amp;(SUBSTITUTE(SUBSTITUTE(SUBSTITUTE(SUBSTITUTE("type:"&amp;B1526,"%","%25"),"~","%7E"),"*","%2A"),"?","%3F")))&gt;1,"Duplicate type",IF(INDEX('Rules'!$F$7:$F$26,MATCH(SUBSTITUTE(SUBSTITUTE(SUBSTITUTE(SUBSTITUTE("type:"&amp;B1526,"%","%25"),"~","%7E"),"*","%2A"),"?","%3F"),'Rules'!$G$7:$G$26,0))&lt;&gt;"",INDEX('Rules'!$F$7:$F$26,MATCH(SUBSTITUTE(SUBSTITUTE(SUBSTITUTE(SUBSTITUTE("type:"&amp;B1526,"%","%25"),"~","%7E"),"*","%2A"),"?","%3F"),'Rules'!$G$7:$G$26,0)),IF(AND(C1526&lt;&gt;"",C1526&lt;&gt;INDEX('Rules'!$B$7:$B$26,MATCH(SUBSTITUTE(SUBSTITUTE(SUBSTITUTE(SUBSTITUTE("type:"&amp;B1526,"%","%25"),"~","%7E"),"*","%2A"),"?","%3F"),'Rules'!$G$7:$G$26,0))),"Unit mismatch",IF(IF(NOT(ISNUMBER(D1526)),TRUE,OR(D1526&lt;0,D1526&gt;999999999,ROUND(D1526,3)&lt;&gt;D1526)),"Invalid current reading",IF(AND(E1526&lt;&gt;"",IF(NOT(ISNUMBER(E1526)),TRUE,OR(E1526&lt;0,E1526&gt;999999999,ROUND(E1526,3)&lt;&gt;E1526))),"Invalid previous reading",IF(IF(NOT(ISNUMBER(F1526)),TRUE,OR(F1526&lt;0,F1526&gt;999999999,ROUND(F1526,3)&lt;&gt;F1526)),"Invalid last service",IF(AND(E1526&lt;&gt;"",D1526&lt;E1526),"Decreased reading",IF(F1526&gt;D1526,"Last service above current","")))))))))))))</x:f>
      </x:c>
      <x:c r="L1526" s="6" t="str">
        <x:f>IF(AND(NOT(COUNTA(A1526:F1526)=0),K1526=""),INDEX('Rules'!$C$7:$C$26,MATCH(SUBSTITUTE(SUBSTITUTE(SUBSTITUTE(SUBSTITUTE("type:"&amp;B1526,"%","%25"),"~","%7E"),"*","%2A"),"?","%3F"),'Rules'!$G$7:$G$26,0)),"")</x:f>
      </x:c>
      <x:c r="M1526" s="6" t="str">
        <x:f>IF(AND(NOT(COUNTA(A1526:F1526)=0),K1526=""),INDEX('Rules'!$D$7:$D$26,MATCH(SUBSTITUTE(SUBSTITUTE(SUBSTITUTE(SUBSTITUTE("type:"&amp;B1526,"%","%25"),"~","%7E"),"*","%2A"),"?","%3F"),'Rules'!$G$7:$G$26,0)),"")</x:f>
      </x:c>
      <x:c r="N1526" s="5" t="str">
        <x:f>IF(COUNTA(A1526:F1526)=0,"",SUBSTITUTE(SUBSTITUTE(SUBSTITUTE(SUBSTITUTE("id:"&amp;A1526,"%","%25"),"~","%7E"),"*","%2A"),"?","%3F"))</x:f>
      </x:c>
    </x:row>
    <x:row r="1527" ht="22" customHeight="1">
      <x:c r="A1527" s="3"/>
      <x:c r="B1527" s="3"/>
      <x:c r="C1527" s="3"/>
      <x:c r="D1527" s="4"/>
      <x:c r="E1527" s="4"/>
      <x:c r="F1527" s="4"/>
      <x:c r="G1527" s="5" t="str">
        <x:f>IF(COUNTA(A1527:F1527)=0,"",IF(K1527&lt;&gt;"","Review",IF(I1527&lt;0,"Overdue",IF(I1527=0,"Due now",IF(I1527&lt;=M1527,"Due soon","Not due")))))</x:f>
      </x:c>
      <x:c r="H1527" s="5" t="str">
        <x:f>IF(OR(COUNTA(A1527:F1527)=0,COUNTIFS('Rules'!$G$7:$G$26,"="&amp;(SUBSTITUTE(SUBSTITUTE(SUBSTITUTE(SUBSTITUTE("type:"&amp;B1527,"%","%25"),"~","%7E"),"*","%2A"),"?","%3F")))&lt;&gt;1),"",IF(OR(INDEX('Rules'!$B$7:$B$26,MATCH(SUBSTITUTE(SUBSTITUTE(SUBSTITUTE(SUBSTITUTE("type:"&amp;B1527,"%","%25"),"~","%7E"),"*","%2A"),"?","%3F"),'Rules'!$G$7:$G$26,0))="hours",INDEX('Rules'!$B$7:$B$26,MATCH(SUBSTITUTE(SUBSTITUTE(SUBSTITUTE(SUBSTITUTE("type:"&amp;B1527,"%","%25"),"~","%7E"),"*","%2A"),"?","%3F"),'Rules'!$G$7:$G$26,0))="km"),INDEX('Rules'!$B$7:$B$26,MATCH(SUBSTITUTE(SUBSTITUTE(SUBSTITUTE(SUBSTITUTE("type:"&amp;B1527,"%","%25"),"~","%7E"),"*","%2A"),"?","%3F"),'Rules'!$G$7:$G$26,0)),""))</x:f>
      </x:c>
      <x:c r="I1527" s="6" t="str">
        <x:f>IF(AND(NOT(COUNTA(A1527:F1527)=0),K1527=""),ROUND(J1527-D1527,3),"")</x:f>
      </x:c>
      <x:c r="J1527" s="6" t="str">
        <x:f>IF(AND(NOT(COUNTA(A1527:F1527)=0),K1527=""),ROUND(F1527+L1527,3),"")</x:f>
      </x:c>
      <x:c r="K1527" s="5" t="str">
        <x:f>IF(COUNTA(A1527:F1527)=0,"",IF(A1527="","Missing equipment ID",IF(COUNTIFS($N$8:$N$2007,"="&amp;N1527)&gt;1,"Duplicate equipment ID",IF(B1527="","Missing type",IF(COUNTIFS('Rules'!$G$7:$G$26,"="&amp;(SUBSTITUTE(SUBSTITUTE(SUBSTITUTE(SUBSTITUTE("type:"&amp;B1527,"%","%25"),"~","%7E"),"*","%2A"),"?","%3F")))=0,"Unknown type",IF(COUNTIFS('Rules'!$G$7:$G$26,"="&amp;(SUBSTITUTE(SUBSTITUTE(SUBSTITUTE(SUBSTITUTE("type:"&amp;B1527,"%","%25"),"~","%7E"),"*","%2A"),"?","%3F")))&gt;1,"Duplicate type",IF(INDEX('Rules'!$F$7:$F$26,MATCH(SUBSTITUTE(SUBSTITUTE(SUBSTITUTE(SUBSTITUTE("type:"&amp;B1527,"%","%25"),"~","%7E"),"*","%2A"),"?","%3F"),'Rules'!$G$7:$G$26,0))&lt;&gt;"",INDEX('Rules'!$F$7:$F$26,MATCH(SUBSTITUTE(SUBSTITUTE(SUBSTITUTE(SUBSTITUTE("type:"&amp;B1527,"%","%25"),"~","%7E"),"*","%2A"),"?","%3F"),'Rules'!$G$7:$G$26,0)),IF(AND(C1527&lt;&gt;"",C1527&lt;&gt;INDEX('Rules'!$B$7:$B$26,MATCH(SUBSTITUTE(SUBSTITUTE(SUBSTITUTE(SUBSTITUTE("type:"&amp;B1527,"%","%25"),"~","%7E"),"*","%2A"),"?","%3F"),'Rules'!$G$7:$G$26,0))),"Unit mismatch",IF(IF(NOT(ISNUMBER(D1527)),TRUE,OR(D1527&lt;0,D1527&gt;999999999,ROUND(D1527,3)&lt;&gt;D1527)),"Invalid current reading",IF(AND(E1527&lt;&gt;"",IF(NOT(ISNUMBER(E1527)),TRUE,OR(E1527&lt;0,E1527&gt;999999999,ROUND(E1527,3)&lt;&gt;E1527))),"Invalid previous reading",IF(IF(NOT(ISNUMBER(F1527)),TRUE,OR(F1527&lt;0,F1527&gt;999999999,ROUND(F1527,3)&lt;&gt;F1527)),"Invalid last service",IF(AND(E1527&lt;&gt;"",D1527&lt;E1527),"Decreased reading",IF(F1527&gt;D1527,"Last service above current","")))))))))))))</x:f>
      </x:c>
      <x:c r="L1527" s="6" t="str">
        <x:f>IF(AND(NOT(COUNTA(A1527:F1527)=0),K1527=""),INDEX('Rules'!$C$7:$C$26,MATCH(SUBSTITUTE(SUBSTITUTE(SUBSTITUTE(SUBSTITUTE("type:"&amp;B1527,"%","%25"),"~","%7E"),"*","%2A"),"?","%3F"),'Rules'!$G$7:$G$26,0)),"")</x:f>
      </x:c>
      <x:c r="M1527" s="6" t="str">
        <x:f>IF(AND(NOT(COUNTA(A1527:F1527)=0),K1527=""),INDEX('Rules'!$D$7:$D$26,MATCH(SUBSTITUTE(SUBSTITUTE(SUBSTITUTE(SUBSTITUTE("type:"&amp;B1527,"%","%25"),"~","%7E"),"*","%2A"),"?","%3F"),'Rules'!$G$7:$G$26,0)),"")</x:f>
      </x:c>
      <x:c r="N1527" s="5" t="str">
        <x:f>IF(COUNTA(A1527:F1527)=0,"",SUBSTITUTE(SUBSTITUTE(SUBSTITUTE(SUBSTITUTE("id:"&amp;A1527,"%","%25"),"~","%7E"),"*","%2A"),"?","%3F"))</x:f>
      </x:c>
    </x:row>
    <x:row r="1528" ht="22" customHeight="1">
      <x:c r="A1528" s="3"/>
      <x:c r="B1528" s="3"/>
      <x:c r="C1528" s="3"/>
      <x:c r="D1528" s="4"/>
      <x:c r="E1528" s="4"/>
      <x:c r="F1528" s="4"/>
      <x:c r="G1528" s="5" t="str">
        <x:f>IF(COUNTA(A1528:F1528)=0,"",IF(K1528&lt;&gt;"","Review",IF(I1528&lt;0,"Overdue",IF(I1528=0,"Due now",IF(I1528&lt;=M1528,"Due soon","Not due")))))</x:f>
      </x:c>
      <x:c r="H1528" s="5" t="str">
        <x:f>IF(OR(COUNTA(A1528:F1528)=0,COUNTIFS('Rules'!$G$7:$G$26,"="&amp;(SUBSTITUTE(SUBSTITUTE(SUBSTITUTE(SUBSTITUTE("type:"&amp;B1528,"%","%25"),"~","%7E"),"*","%2A"),"?","%3F")))&lt;&gt;1),"",IF(OR(INDEX('Rules'!$B$7:$B$26,MATCH(SUBSTITUTE(SUBSTITUTE(SUBSTITUTE(SUBSTITUTE("type:"&amp;B1528,"%","%25"),"~","%7E"),"*","%2A"),"?","%3F"),'Rules'!$G$7:$G$26,0))="hours",INDEX('Rules'!$B$7:$B$26,MATCH(SUBSTITUTE(SUBSTITUTE(SUBSTITUTE(SUBSTITUTE("type:"&amp;B1528,"%","%25"),"~","%7E"),"*","%2A"),"?","%3F"),'Rules'!$G$7:$G$26,0))="km"),INDEX('Rules'!$B$7:$B$26,MATCH(SUBSTITUTE(SUBSTITUTE(SUBSTITUTE(SUBSTITUTE("type:"&amp;B1528,"%","%25"),"~","%7E"),"*","%2A"),"?","%3F"),'Rules'!$G$7:$G$26,0)),""))</x:f>
      </x:c>
      <x:c r="I1528" s="6" t="str">
        <x:f>IF(AND(NOT(COUNTA(A1528:F1528)=0),K1528=""),ROUND(J1528-D1528,3),"")</x:f>
      </x:c>
      <x:c r="J1528" s="6" t="str">
        <x:f>IF(AND(NOT(COUNTA(A1528:F1528)=0),K1528=""),ROUND(F1528+L1528,3),"")</x:f>
      </x:c>
      <x:c r="K1528" s="5" t="str">
        <x:f>IF(COUNTA(A1528:F1528)=0,"",IF(A1528="","Missing equipment ID",IF(COUNTIFS($N$8:$N$2007,"="&amp;N1528)&gt;1,"Duplicate equipment ID",IF(B1528="","Missing type",IF(COUNTIFS('Rules'!$G$7:$G$26,"="&amp;(SUBSTITUTE(SUBSTITUTE(SUBSTITUTE(SUBSTITUTE("type:"&amp;B1528,"%","%25"),"~","%7E"),"*","%2A"),"?","%3F")))=0,"Unknown type",IF(COUNTIFS('Rules'!$G$7:$G$26,"="&amp;(SUBSTITUTE(SUBSTITUTE(SUBSTITUTE(SUBSTITUTE("type:"&amp;B1528,"%","%25"),"~","%7E"),"*","%2A"),"?","%3F")))&gt;1,"Duplicate type",IF(INDEX('Rules'!$F$7:$F$26,MATCH(SUBSTITUTE(SUBSTITUTE(SUBSTITUTE(SUBSTITUTE("type:"&amp;B1528,"%","%25"),"~","%7E"),"*","%2A"),"?","%3F"),'Rules'!$G$7:$G$26,0))&lt;&gt;"",INDEX('Rules'!$F$7:$F$26,MATCH(SUBSTITUTE(SUBSTITUTE(SUBSTITUTE(SUBSTITUTE("type:"&amp;B1528,"%","%25"),"~","%7E"),"*","%2A"),"?","%3F"),'Rules'!$G$7:$G$26,0)),IF(AND(C1528&lt;&gt;"",C1528&lt;&gt;INDEX('Rules'!$B$7:$B$26,MATCH(SUBSTITUTE(SUBSTITUTE(SUBSTITUTE(SUBSTITUTE("type:"&amp;B1528,"%","%25"),"~","%7E"),"*","%2A"),"?","%3F"),'Rules'!$G$7:$G$26,0))),"Unit mismatch",IF(IF(NOT(ISNUMBER(D1528)),TRUE,OR(D1528&lt;0,D1528&gt;999999999,ROUND(D1528,3)&lt;&gt;D1528)),"Invalid current reading",IF(AND(E1528&lt;&gt;"",IF(NOT(ISNUMBER(E1528)),TRUE,OR(E1528&lt;0,E1528&gt;999999999,ROUND(E1528,3)&lt;&gt;E1528))),"Invalid previous reading",IF(IF(NOT(ISNUMBER(F1528)),TRUE,OR(F1528&lt;0,F1528&gt;999999999,ROUND(F1528,3)&lt;&gt;F1528)),"Invalid last service",IF(AND(E1528&lt;&gt;"",D1528&lt;E1528),"Decreased reading",IF(F1528&gt;D1528,"Last service above current","")))))))))))))</x:f>
      </x:c>
      <x:c r="L1528" s="6" t="str">
        <x:f>IF(AND(NOT(COUNTA(A1528:F1528)=0),K1528=""),INDEX('Rules'!$C$7:$C$26,MATCH(SUBSTITUTE(SUBSTITUTE(SUBSTITUTE(SUBSTITUTE("type:"&amp;B1528,"%","%25"),"~","%7E"),"*","%2A"),"?","%3F"),'Rules'!$G$7:$G$26,0)),"")</x:f>
      </x:c>
      <x:c r="M1528" s="6" t="str">
        <x:f>IF(AND(NOT(COUNTA(A1528:F1528)=0),K1528=""),INDEX('Rules'!$D$7:$D$26,MATCH(SUBSTITUTE(SUBSTITUTE(SUBSTITUTE(SUBSTITUTE("type:"&amp;B1528,"%","%25"),"~","%7E"),"*","%2A"),"?","%3F"),'Rules'!$G$7:$G$26,0)),"")</x:f>
      </x:c>
      <x:c r="N1528" s="5" t="str">
        <x:f>IF(COUNTA(A1528:F1528)=0,"",SUBSTITUTE(SUBSTITUTE(SUBSTITUTE(SUBSTITUTE("id:"&amp;A1528,"%","%25"),"~","%7E"),"*","%2A"),"?","%3F"))</x:f>
      </x:c>
    </x:row>
    <x:row r="1529" ht="22" customHeight="1">
      <x:c r="A1529" s="3"/>
      <x:c r="B1529" s="3"/>
      <x:c r="C1529" s="3"/>
      <x:c r="D1529" s="4"/>
      <x:c r="E1529" s="4"/>
      <x:c r="F1529" s="4"/>
      <x:c r="G1529" s="5" t="str">
        <x:f>IF(COUNTA(A1529:F1529)=0,"",IF(K1529&lt;&gt;"","Review",IF(I1529&lt;0,"Overdue",IF(I1529=0,"Due now",IF(I1529&lt;=M1529,"Due soon","Not due")))))</x:f>
      </x:c>
      <x:c r="H1529" s="5" t="str">
        <x:f>IF(OR(COUNTA(A1529:F1529)=0,COUNTIFS('Rules'!$G$7:$G$26,"="&amp;(SUBSTITUTE(SUBSTITUTE(SUBSTITUTE(SUBSTITUTE("type:"&amp;B1529,"%","%25"),"~","%7E"),"*","%2A"),"?","%3F")))&lt;&gt;1),"",IF(OR(INDEX('Rules'!$B$7:$B$26,MATCH(SUBSTITUTE(SUBSTITUTE(SUBSTITUTE(SUBSTITUTE("type:"&amp;B1529,"%","%25"),"~","%7E"),"*","%2A"),"?","%3F"),'Rules'!$G$7:$G$26,0))="hours",INDEX('Rules'!$B$7:$B$26,MATCH(SUBSTITUTE(SUBSTITUTE(SUBSTITUTE(SUBSTITUTE("type:"&amp;B1529,"%","%25"),"~","%7E"),"*","%2A"),"?","%3F"),'Rules'!$G$7:$G$26,0))="km"),INDEX('Rules'!$B$7:$B$26,MATCH(SUBSTITUTE(SUBSTITUTE(SUBSTITUTE(SUBSTITUTE("type:"&amp;B1529,"%","%25"),"~","%7E"),"*","%2A"),"?","%3F"),'Rules'!$G$7:$G$26,0)),""))</x:f>
      </x:c>
      <x:c r="I1529" s="6" t="str">
        <x:f>IF(AND(NOT(COUNTA(A1529:F1529)=0),K1529=""),ROUND(J1529-D1529,3),"")</x:f>
      </x:c>
      <x:c r="J1529" s="6" t="str">
        <x:f>IF(AND(NOT(COUNTA(A1529:F1529)=0),K1529=""),ROUND(F1529+L1529,3),"")</x:f>
      </x:c>
      <x:c r="K1529" s="5" t="str">
        <x:f>IF(COUNTA(A1529:F1529)=0,"",IF(A1529="","Missing equipment ID",IF(COUNTIFS($N$8:$N$2007,"="&amp;N1529)&gt;1,"Duplicate equipment ID",IF(B1529="","Missing type",IF(COUNTIFS('Rules'!$G$7:$G$26,"="&amp;(SUBSTITUTE(SUBSTITUTE(SUBSTITUTE(SUBSTITUTE("type:"&amp;B1529,"%","%25"),"~","%7E"),"*","%2A"),"?","%3F")))=0,"Unknown type",IF(COUNTIFS('Rules'!$G$7:$G$26,"="&amp;(SUBSTITUTE(SUBSTITUTE(SUBSTITUTE(SUBSTITUTE("type:"&amp;B1529,"%","%25"),"~","%7E"),"*","%2A"),"?","%3F")))&gt;1,"Duplicate type",IF(INDEX('Rules'!$F$7:$F$26,MATCH(SUBSTITUTE(SUBSTITUTE(SUBSTITUTE(SUBSTITUTE("type:"&amp;B1529,"%","%25"),"~","%7E"),"*","%2A"),"?","%3F"),'Rules'!$G$7:$G$26,0))&lt;&gt;"",INDEX('Rules'!$F$7:$F$26,MATCH(SUBSTITUTE(SUBSTITUTE(SUBSTITUTE(SUBSTITUTE("type:"&amp;B1529,"%","%25"),"~","%7E"),"*","%2A"),"?","%3F"),'Rules'!$G$7:$G$26,0)),IF(AND(C1529&lt;&gt;"",C1529&lt;&gt;INDEX('Rules'!$B$7:$B$26,MATCH(SUBSTITUTE(SUBSTITUTE(SUBSTITUTE(SUBSTITUTE("type:"&amp;B1529,"%","%25"),"~","%7E"),"*","%2A"),"?","%3F"),'Rules'!$G$7:$G$26,0))),"Unit mismatch",IF(IF(NOT(ISNUMBER(D1529)),TRUE,OR(D1529&lt;0,D1529&gt;999999999,ROUND(D1529,3)&lt;&gt;D1529)),"Invalid current reading",IF(AND(E1529&lt;&gt;"",IF(NOT(ISNUMBER(E1529)),TRUE,OR(E1529&lt;0,E1529&gt;999999999,ROUND(E1529,3)&lt;&gt;E1529))),"Invalid previous reading",IF(IF(NOT(ISNUMBER(F1529)),TRUE,OR(F1529&lt;0,F1529&gt;999999999,ROUND(F1529,3)&lt;&gt;F1529)),"Invalid last service",IF(AND(E1529&lt;&gt;"",D1529&lt;E1529),"Decreased reading",IF(F1529&gt;D1529,"Last service above current","")))))))))))))</x:f>
      </x:c>
      <x:c r="L1529" s="6" t="str">
        <x:f>IF(AND(NOT(COUNTA(A1529:F1529)=0),K1529=""),INDEX('Rules'!$C$7:$C$26,MATCH(SUBSTITUTE(SUBSTITUTE(SUBSTITUTE(SUBSTITUTE("type:"&amp;B1529,"%","%25"),"~","%7E"),"*","%2A"),"?","%3F"),'Rules'!$G$7:$G$26,0)),"")</x:f>
      </x:c>
      <x:c r="M1529" s="6" t="str">
        <x:f>IF(AND(NOT(COUNTA(A1529:F1529)=0),K1529=""),INDEX('Rules'!$D$7:$D$26,MATCH(SUBSTITUTE(SUBSTITUTE(SUBSTITUTE(SUBSTITUTE("type:"&amp;B1529,"%","%25"),"~","%7E"),"*","%2A"),"?","%3F"),'Rules'!$G$7:$G$26,0)),"")</x:f>
      </x:c>
      <x:c r="N1529" s="5" t="str">
        <x:f>IF(COUNTA(A1529:F1529)=0,"",SUBSTITUTE(SUBSTITUTE(SUBSTITUTE(SUBSTITUTE("id:"&amp;A1529,"%","%25"),"~","%7E"),"*","%2A"),"?","%3F"))</x:f>
      </x:c>
    </x:row>
    <x:row r="1530" ht="22" customHeight="1">
      <x:c r="A1530" s="3"/>
      <x:c r="B1530" s="3"/>
      <x:c r="C1530" s="3"/>
      <x:c r="D1530" s="4"/>
      <x:c r="E1530" s="4"/>
      <x:c r="F1530" s="4"/>
      <x:c r="G1530" s="5" t="str">
        <x:f>IF(COUNTA(A1530:F1530)=0,"",IF(K1530&lt;&gt;"","Review",IF(I1530&lt;0,"Overdue",IF(I1530=0,"Due now",IF(I1530&lt;=M1530,"Due soon","Not due")))))</x:f>
      </x:c>
      <x:c r="H1530" s="5" t="str">
        <x:f>IF(OR(COUNTA(A1530:F1530)=0,COUNTIFS('Rules'!$G$7:$G$26,"="&amp;(SUBSTITUTE(SUBSTITUTE(SUBSTITUTE(SUBSTITUTE("type:"&amp;B1530,"%","%25"),"~","%7E"),"*","%2A"),"?","%3F")))&lt;&gt;1),"",IF(OR(INDEX('Rules'!$B$7:$B$26,MATCH(SUBSTITUTE(SUBSTITUTE(SUBSTITUTE(SUBSTITUTE("type:"&amp;B1530,"%","%25"),"~","%7E"),"*","%2A"),"?","%3F"),'Rules'!$G$7:$G$26,0))="hours",INDEX('Rules'!$B$7:$B$26,MATCH(SUBSTITUTE(SUBSTITUTE(SUBSTITUTE(SUBSTITUTE("type:"&amp;B1530,"%","%25"),"~","%7E"),"*","%2A"),"?","%3F"),'Rules'!$G$7:$G$26,0))="km"),INDEX('Rules'!$B$7:$B$26,MATCH(SUBSTITUTE(SUBSTITUTE(SUBSTITUTE(SUBSTITUTE("type:"&amp;B1530,"%","%25"),"~","%7E"),"*","%2A"),"?","%3F"),'Rules'!$G$7:$G$26,0)),""))</x:f>
      </x:c>
      <x:c r="I1530" s="6" t="str">
        <x:f>IF(AND(NOT(COUNTA(A1530:F1530)=0),K1530=""),ROUND(J1530-D1530,3),"")</x:f>
      </x:c>
      <x:c r="J1530" s="6" t="str">
        <x:f>IF(AND(NOT(COUNTA(A1530:F1530)=0),K1530=""),ROUND(F1530+L1530,3),"")</x:f>
      </x:c>
      <x:c r="K1530" s="5" t="str">
        <x:f>IF(COUNTA(A1530:F1530)=0,"",IF(A1530="","Missing equipment ID",IF(COUNTIFS($N$8:$N$2007,"="&amp;N1530)&gt;1,"Duplicate equipment ID",IF(B1530="","Missing type",IF(COUNTIFS('Rules'!$G$7:$G$26,"="&amp;(SUBSTITUTE(SUBSTITUTE(SUBSTITUTE(SUBSTITUTE("type:"&amp;B1530,"%","%25"),"~","%7E"),"*","%2A"),"?","%3F")))=0,"Unknown type",IF(COUNTIFS('Rules'!$G$7:$G$26,"="&amp;(SUBSTITUTE(SUBSTITUTE(SUBSTITUTE(SUBSTITUTE("type:"&amp;B1530,"%","%25"),"~","%7E"),"*","%2A"),"?","%3F")))&gt;1,"Duplicate type",IF(INDEX('Rules'!$F$7:$F$26,MATCH(SUBSTITUTE(SUBSTITUTE(SUBSTITUTE(SUBSTITUTE("type:"&amp;B1530,"%","%25"),"~","%7E"),"*","%2A"),"?","%3F"),'Rules'!$G$7:$G$26,0))&lt;&gt;"",INDEX('Rules'!$F$7:$F$26,MATCH(SUBSTITUTE(SUBSTITUTE(SUBSTITUTE(SUBSTITUTE("type:"&amp;B1530,"%","%25"),"~","%7E"),"*","%2A"),"?","%3F"),'Rules'!$G$7:$G$26,0)),IF(AND(C1530&lt;&gt;"",C1530&lt;&gt;INDEX('Rules'!$B$7:$B$26,MATCH(SUBSTITUTE(SUBSTITUTE(SUBSTITUTE(SUBSTITUTE("type:"&amp;B1530,"%","%25"),"~","%7E"),"*","%2A"),"?","%3F"),'Rules'!$G$7:$G$26,0))),"Unit mismatch",IF(IF(NOT(ISNUMBER(D1530)),TRUE,OR(D1530&lt;0,D1530&gt;999999999,ROUND(D1530,3)&lt;&gt;D1530)),"Invalid current reading",IF(AND(E1530&lt;&gt;"",IF(NOT(ISNUMBER(E1530)),TRUE,OR(E1530&lt;0,E1530&gt;999999999,ROUND(E1530,3)&lt;&gt;E1530))),"Invalid previous reading",IF(IF(NOT(ISNUMBER(F1530)),TRUE,OR(F1530&lt;0,F1530&gt;999999999,ROUND(F1530,3)&lt;&gt;F1530)),"Invalid last service",IF(AND(E1530&lt;&gt;"",D1530&lt;E1530),"Decreased reading",IF(F1530&gt;D1530,"Last service above current","")))))))))))))</x:f>
      </x:c>
      <x:c r="L1530" s="6" t="str">
        <x:f>IF(AND(NOT(COUNTA(A1530:F1530)=0),K1530=""),INDEX('Rules'!$C$7:$C$26,MATCH(SUBSTITUTE(SUBSTITUTE(SUBSTITUTE(SUBSTITUTE("type:"&amp;B1530,"%","%25"),"~","%7E"),"*","%2A"),"?","%3F"),'Rules'!$G$7:$G$26,0)),"")</x:f>
      </x:c>
      <x:c r="M1530" s="6" t="str">
        <x:f>IF(AND(NOT(COUNTA(A1530:F1530)=0),K1530=""),INDEX('Rules'!$D$7:$D$26,MATCH(SUBSTITUTE(SUBSTITUTE(SUBSTITUTE(SUBSTITUTE("type:"&amp;B1530,"%","%25"),"~","%7E"),"*","%2A"),"?","%3F"),'Rules'!$G$7:$G$26,0)),"")</x:f>
      </x:c>
      <x:c r="N1530" s="5" t="str">
        <x:f>IF(COUNTA(A1530:F1530)=0,"",SUBSTITUTE(SUBSTITUTE(SUBSTITUTE(SUBSTITUTE("id:"&amp;A1530,"%","%25"),"~","%7E"),"*","%2A"),"?","%3F"))</x:f>
      </x:c>
    </x:row>
    <x:row r="1531" ht="22" customHeight="1">
      <x:c r="A1531" s="3"/>
      <x:c r="B1531" s="3"/>
      <x:c r="C1531" s="3"/>
      <x:c r="D1531" s="4"/>
      <x:c r="E1531" s="4"/>
      <x:c r="F1531" s="4"/>
      <x:c r="G1531" s="5" t="str">
        <x:f>IF(COUNTA(A1531:F1531)=0,"",IF(K1531&lt;&gt;"","Review",IF(I1531&lt;0,"Overdue",IF(I1531=0,"Due now",IF(I1531&lt;=M1531,"Due soon","Not due")))))</x:f>
      </x:c>
      <x:c r="H1531" s="5" t="str">
        <x:f>IF(OR(COUNTA(A1531:F1531)=0,COUNTIFS('Rules'!$G$7:$G$26,"="&amp;(SUBSTITUTE(SUBSTITUTE(SUBSTITUTE(SUBSTITUTE("type:"&amp;B1531,"%","%25"),"~","%7E"),"*","%2A"),"?","%3F")))&lt;&gt;1),"",IF(OR(INDEX('Rules'!$B$7:$B$26,MATCH(SUBSTITUTE(SUBSTITUTE(SUBSTITUTE(SUBSTITUTE("type:"&amp;B1531,"%","%25"),"~","%7E"),"*","%2A"),"?","%3F"),'Rules'!$G$7:$G$26,0))="hours",INDEX('Rules'!$B$7:$B$26,MATCH(SUBSTITUTE(SUBSTITUTE(SUBSTITUTE(SUBSTITUTE("type:"&amp;B1531,"%","%25"),"~","%7E"),"*","%2A"),"?","%3F"),'Rules'!$G$7:$G$26,0))="km"),INDEX('Rules'!$B$7:$B$26,MATCH(SUBSTITUTE(SUBSTITUTE(SUBSTITUTE(SUBSTITUTE("type:"&amp;B1531,"%","%25"),"~","%7E"),"*","%2A"),"?","%3F"),'Rules'!$G$7:$G$26,0)),""))</x:f>
      </x:c>
      <x:c r="I1531" s="6" t="str">
        <x:f>IF(AND(NOT(COUNTA(A1531:F1531)=0),K1531=""),ROUND(J1531-D1531,3),"")</x:f>
      </x:c>
      <x:c r="J1531" s="6" t="str">
        <x:f>IF(AND(NOT(COUNTA(A1531:F1531)=0),K1531=""),ROUND(F1531+L1531,3),"")</x:f>
      </x:c>
      <x:c r="K1531" s="5" t="str">
        <x:f>IF(COUNTA(A1531:F1531)=0,"",IF(A1531="","Missing equipment ID",IF(COUNTIFS($N$8:$N$2007,"="&amp;N1531)&gt;1,"Duplicate equipment ID",IF(B1531="","Missing type",IF(COUNTIFS('Rules'!$G$7:$G$26,"="&amp;(SUBSTITUTE(SUBSTITUTE(SUBSTITUTE(SUBSTITUTE("type:"&amp;B1531,"%","%25"),"~","%7E"),"*","%2A"),"?","%3F")))=0,"Unknown type",IF(COUNTIFS('Rules'!$G$7:$G$26,"="&amp;(SUBSTITUTE(SUBSTITUTE(SUBSTITUTE(SUBSTITUTE("type:"&amp;B1531,"%","%25"),"~","%7E"),"*","%2A"),"?","%3F")))&gt;1,"Duplicate type",IF(INDEX('Rules'!$F$7:$F$26,MATCH(SUBSTITUTE(SUBSTITUTE(SUBSTITUTE(SUBSTITUTE("type:"&amp;B1531,"%","%25"),"~","%7E"),"*","%2A"),"?","%3F"),'Rules'!$G$7:$G$26,0))&lt;&gt;"",INDEX('Rules'!$F$7:$F$26,MATCH(SUBSTITUTE(SUBSTITUTE(SUBSTITUTE(SUBSTITUTE("type:"&amp;B1531,"%","%25"),"~","%7E"),"*","%2A"),"?","%3F"),'Rules'!$G$7:$G$26,0)),IF(AND(C1531&lt;&gt;"",C1531&lt;&gt;INDEX('Rules'!$B$7:$B$26,MATCH(SUBSTITUTE(SUBSTITUTE(SUBSTITUTE(SUBSTITUTE("type:"&amp;B1531,"%","%25"),"~","%7E"),"*","%2A"),"?","%3F"),'Rules'!$G$7:$G$26,0))),"Unit mismatch",IF(IF(NOT(ISNUMBER(D1531)),TRUE,OR(D1531&lt;0,D1531&gt;999999999,ROUND(D1531,3)&lt;&gt;D1531)),"Invalid current reading",IF(AND(E1531&lt;&gt;"",IF(NOT(ISNUMBER(E1531)),TRUE,OR(E1531&lt;0,E1531&gt;999999999,ROUND(E1531,3)&lt;&gt;E1531))),"Invalid previous reading",IF(IF(NOT(ISNUMBER(F1531)),TRUE,OR(F1531&lt;0,F1531&gt;999999999,ROUND(F1531,3)&lt;&gt;F1531)),"Invalid last service",IF(AND(E1531&lt;&gt;"",D1531&lt;E1531),"Decreased reading",IF(F1531&gt;D1531,"Last service above current","")))))))))))))</x:f>
      </x:c>
      <x:c r="L1531" s="6" t="str">
        <x:f>IF(AND(NOT(COUNTA(A1531:F1531)=0),K1531=""),INDEX('Rules'!$C$7:$C$26,MATCH(SUBSTITUTE(SUBSTITUTE(SUBSTITUTE(SUBSTITUTE("type:"&amp;B1531,"%","%25"),"~","%7E"),"*","%2A"),"?","%3F"),'Rules'!$G$7:$G$26,0)),"")</x:f>
      </x:c>
      <x:c r="M1531" s="6" t="str">
        <x:f>IF(AND(NOT(COUNTA(A1531:F1531)=0),K1531=""),INDEX('Rules'!$D$7:$D$26,MATCH(SUBSTITUTE(SUBSTITUTE(SUBSTITUTE(SUBSTITUTE("type:"&amp;B1531,"%","%25"),"~","%7E"),"*","%2A"),"?","%3F"),'Rules'!$G$7:$G$26,0)),"")</x:f>
      </x:c>
      <x:c r="N1531" s="5" t="str">
        <x:f>IF(COUNTA(A1531:F1531)=0,"",SUBSTITUTE(SUBSTITUTE(SUBSTITUTE(SUBSTITUTE("id:"&amp;A1531,"%","%25"),"~","%7E"),"*","%2A"),"?","%3F"))</x:f>
      </x:c>
    </x:row>
    <x:row r="1532" ht="22" customHeight="1">
      <x:c r="A1532" s="3"/>
      <x:c r="B1532" s="3"/>
      <x:c r="C1532" s="3"/>
      <x:c r="D1532" s="4"/>
      <x:c r="E1532" s="4"/>
      <x:c r="F1532" s="4"/>
      <x:c r="G1532" s="5" t="str">
        <x:f>IF(COUNTA(A1532:F1532)=0,"",IF(K1532&lt;&gt;"","Review",IF(I1532&lt;0,"Overdue",IF(I1532=0,"Due now",IF(I1532&lt;=M1532,"Due soon","Not due")))))</x:f>
      </x:c>
      <x:c r="H1532" s="5" t="str">
        <x:f>IF(OR(COUNTA(A1532:F1532)=0,COUNTIFS('Rules'!$G$7:$G$26,"="&amp;(SUBSTITUTE(SUBSTITUTE(SUBSTITUTE(SUBSTITUTE("type:"&amp;B1532,"%","%25"),"~","%7E"),"*","%2A"),"?","%3F")))&lt;&gt;1),"",IF(OR(INDEX('Rules'!$B$7:$B$26,MATCH(SUBSTITUTE(SUBSTITUTE(SUBSTITUTE(SUBSTITUTE("type:"&amp;B1532,"%","%25"),"~","%7E"),"*","%2A"),"?","%3F"),'Rules'!$G$7:$G$26,0))="hours",INDEX('Rules'!$B$7:$B$26,MATCH(SUBSTITUTE(SUBSTITUTE(SUBSTITUTE(SUBSTITUTE("type:"&amp;B1532,"%","%25"),"~","%7E"),"*","%2A"),"?","%3F"),'Rules'!$G$7:$G$26,0))="km"),INDEX('Rules'!$B$7:$B$26,MATCH(SUBSTITUTE(SUBSTITUTE(SUBSTITUTE(SUBSTITUTE("type:"&amp;B1532,"%","%25"),"~","%7E"),"*","%2A"),"?","%3F"),'Rules'!$G$7:$G$26,0)),""))</x:f>
      </x:c>
      <x:c r="I1532" s="6" t="str">
        <x:f>IF(AND(NOT(COUNTA(A1532:F1532)=0),K1532=""),ROUND(J1532-D1532,3),"")</x:f>
      </x:c>
      <x:c r="J1532" s="6" t="str">
        <x:f>IF(AND(NOT(COUNTA(A1532:F1532)=0),K1532=""),ROUND(F1532+L1532,3),"")</x:f>
      </x:c>
      <x:c r="K1532" s="5" t="str">
        <x:f>IF(COUNTA(A1532:F1532)=0,"",IF(A1532="","Missing equipment ID",IF(COUNTIFS($N$8:$N$2007,"="&amp;N1532)&gt;1,"Duplicate equipment ID",IF(B1532="","Missing type",IF(COUNTIFS('Rules'!$G$7:$G$26,"="&amp;(SUBSTITUTE(SUBSTITUTE(SUBSTITUTE(SUBSTITUTE("type:"&amp;B1532,"%","%25"),"~","%7E"),"*","%2A"),"?","%3F")))=0,"Unknown type",IF(COUNTIFS('Rules'!$G$7:$G$26,"="&amp;(SUBSTITUTE(SUBSTITUTE(SUBSTITUTE(SUBSTITUTE("type:"&amp;B1532,"%","%25"),"~","%7E"),"*","%2A"),"?","%3F")))&gt;1,"Duplicate type",IF(INDEX('Rules'!$F$7:$F$26,MATCH(SUBSTITUTE(SUBSTITUTE(SUBSTITUTE(SUBSTITUTE("type:"&amp;B1532,"%","%25"),"~","%7E"),"*","%2A"),"?","%3F"),'Rules'!$G$7:$G$26,0))&lt;&gt;"",INDEX('Rules'!$F$7:$F$26,MATCH(SUBSTITUTE(SUBSTITUTE(SUBSTITUTE(SUBSTITUTE("type:"&amp;B1532,"%","%25"),"~","%7E"),"*","%2A"),"?","%3F"),'Rules'!$G$7:$G$26,0)),IF(AND(C1532&lt;&gt;"",C1532&lt;&gt;INDEX('Rules'!$B$7:$B$26,MATCH(SUBSTITUTE(SUBSTITUTE(SUBSTITUTE(SUBSTITUTE("type:"&amp;B1532,"%","%25"),"~","%7E"),"*","%2A"),"?","%3F"),'Rules'!$G$7:$G$26,0))),"Unit mismatch",IF(IF(NOT(ISNUMBER(D1532)),TRUE,OR(D1532&lt;0,D1532&gt;999999999,ROUND(D1532,3)&lt;&gt;D1532)),"Invalid current reading",IF(AND(E1532&lt;&gt;"",IF(NOT(ISNUMBER(E1532)),TRUE,OR(E1532&lt;0,E1532&gt;999999999,ROUND(E1532,3)&lt;&gt;E1532))),"Invalid previous reading",IF(IF(NOT(ISNUMBER(F1532)),TRUE,OR(F1532&lt;0,F1532&gt;999999999,ROUND(F1532,3)&lt;&gt;F1532)),"Invalid last service",IF(AND(E1532&lt;&gt;"",D1532&lt;E1532),"Decreased reading",IF(F1532&gt;D1532,"Last service above current","")))))))))))))</x:f>
      </x:c>
      <x:c r="L1532" s="6" t="str">
        <x:f>IF(AND(NOT(COUNTA(A1532:F1532)=0),K1532=""),INDEX('Rules'!$C$7:$C$26,MATCH(SUBSTITUTE(SUBSTITUTE(SUBSTITUTE(SUBSTITUTE("type:"&amp;B1532,"%","%25"),"~","%7E"),"*","%2A"),"?","%3F"),'Rules'!$G$7:$G$26,0)),"")</x:f>
      </x:c>
      <x:c r="M1532" s="6" t="str">
        <x:f>IF(AND(NOT(COUNTA(A1532:F1532)=0),K1532=""),INDEX('Rules'!$D$7:$D$26,MATCH(SUBSTITUTE(SUBSTITUTE(SUBSTITUTE(SUBSTITUTE("type:"&amp;B1532,"%","%25"),"~","%7E"),"*","%2A"),"?","%3F"),'Rules'!$G$7:$G$26,0)),"")</x:f>
      </x:c>
      <x:c r="N1532" s="5" t="str">
        <x:f>IF(COUNTA(A1532:F1532)=0,"",SUBSTITUTE(SUBSTITUTE(SUBSTITUTE(SUBSTITUTE("id:"&amp;A1532,"%","%25"),"~","%7E"),"*","%2A"),"?","%3F"))</x:f>
      </x:c>
    </x:row>
    <x:row r="1533" ht="22" customHeight="1">
      <x:c r="A1533" s="3"/>
      <x:c r="B1533" s="3"/>
      <x:c r="C1533" s="3"/>
      <x:c r="D1533" s="4"/>
      <x:c r="E1533" s="4"/>
      <x:c r="F1533" s="4"/>
      <x:c r="G1533" s="5" t="str">
        <x:f>IF(COUNTA(A1533:F1533)=0,"",IF(K1533&lt;&gt;"","Review",IF(I1533&lt;0,"Overdue",IF(I1533=0,"Due now",IF(I1533&lt;=M1533,"Due soon","Not due")))))</x:f>
      </x:c>
      <x:c r="H1533" s="5" t="str">
        <x:f>IF(OR(COUNTA(A1533:F1533)=0,COUNTIFS('Rules'!$G$7:$G$26,"="&amp;(SUBSTITUTE(SUBSTITUTE(SUBSTITUTE(SUBSTITUTE("type:"&amp;B1533,"%","%25"),"~","%7E"),"*","%2A"),"?","%3F")))&lt;&gt;1),"",IF(OR(INDEX('Rules'!$B$7:$B$26,MATCH(SUBSTITUTE(SUBSTITUTE(SUBSTITUTE(SUBSTITUTE("type:"&amp;B1533,"%","%25"),"~","%7E"),"*","%2A"),"?","%3F"),'Rules'!$G$7:$G$26,0))="hours",INDEX('Rules'!$B$7:$B$26,MATCH(SUBSTITUTE(SUBSTITUTE(SUBSTITUTE(SUBSTITUTE("type:"&amp;B1533,"%","%25"),"~","%7E"),"*","%2A"),"?","%3F"),'Rules'!$G$7:$G$26,0))="km"),INDEX('Rules'!$B$7:$B$26,MATCH(SUBSTITUTE(SUBSTITUTE(SUBSTITUTE(SUBSTITUTE("type:"&amp;B1533,"%","%25"),"~","%7E"),"*","%2A"),"?","%3F"),'Rules'!$G$7:$G$26,0)),""))</x:f>
      </x:c>
      <x:c r="I1533" s="6" t="str">
        <x:f>IF(AND(NOT(COUNTA(A1533:F1533)=0),K1533=""),ROUND(J1533-D1533,3),"")</x:f>
      </x:c>
      <x:c r="J1533" s="6" t="str">
        <x:f>IF(AND(NOT(COUNTA(A1533:F1533)=0),K1533=""),ROUND(F1533+L1533,3),"")</x:f>
      </x:c>
      <x:c r="K1533" s="5" t="str">
        <x:f>IF(COUNTA(A1533:F1533)=0,"",IF(A1533="","Missing equipment ID",IF(COUNTIFS($N$8:$N$2007,"="&amp;N1533)&gt;1,"Duplicate equipment ID",IF(B1533="","Missing type",IF(COUNTIFS('Rules'!$G$7:$G$26,"="&amp;(SUBSTITUTE(SUBSTITUTE(SUBSTITUTE(SUBSTITUTE("type:"&amp;B1533,"%","%25"),"~","%7E"),"*","%2A"),"?","%3F")))=0,"Unknown type",IF(COUNTIFS('Rules'!$G$7:$G$26,"="&amp;(SUBSTITUTE(SUBSTITUTE(SUBSTITUTE(SUBSTITUTE("type:"&amp;B1533,"%","%25"),"~","%7E"),"*","%2A"),"?","%3F")))&gt;1,"Duplicate type",IF(INDEX('Rules'!$F$7:$F$26,MATCH(SUBSTITUTE(SUBSTITUTE(SUBSTITUTE(SUBSTITUTE("type:"&amp;B1533,"%","%25"),"~","%7E"),"*","%2A"),"?","%3F"),'Rules'!$G$7:$G$26,0))&lt;&gt;"",INDEX('Rules'!$F$7:$F$26,MATCH(SUBSTITUTE(SUBSTITUTE(SUBSTITUTE(SUBSTITUTE("type:"&amp;B1533,"%","%25"),"~","%7E"),"*","%2A"),"?","%3F"),'Rules'!$G$7:$G$26,0)),IF(AND(C1533&lt;&gt;"",C1533&lt;&gt;INDEX('Rules'!$B$7:$B$26,MATCH(SUBSTITUTE(SUBSTITUTE(SUBSTITUTE(SUBSTITUTE("type:"&amp;B1533,"%","%25"),"~","%7E"),"*","%2A"),"?","%3F"),'Rules'!$G$7:$G$26,0))),"Unit mismatch",IF(IF(NOT(ISNUMBER(D1533)),TRUE,OR(D1533&lt;0,D1533&gt;999999999,ROUND(D1533,3)&lt;&gt;D1533)),"Invalid current reading",IF(AND(E1533&lt;&gt;"",IF(NOT(ISNUMBER(E1533)),TRUE,OR(E1533&lt;0,E1533&gt;999999999,ROUND(E1533,3)&lt;&gt;E1533))),"Invalid previous reading",IF(IF(NOT(ISNUMBER(F1533)),TRUE,OR(F1533&lt;0,F1533&gt;999999999,ROUND(F1533,3)&lt;&gt;F1533)),"Invalid last service",IF(AND(E1533&lt;&gt;"",D1533&lt;E1533),"Decreased reading",IF(F1533&gt;D1533,"Last service above current","")))))))))))))</x:f>
      </x:c>
      <x:c r="L1533" s="6" t="str">
        <x:f>IF(AND(NOT(COUNTA(A1533:F1533)=0),K1533=""),INDEX('Rules'!$C$7:$C$26,MATCH(SUBSTITUTE(SUBSTITUTE(SUBSTITUTE(SUBSTITUTE("type:"&amp;B1533,"%","%25"),"~","%7E"),"*","%2A"),"?","%3F"),'Rules'!$G$7:$G$26,0)),"")</x:f>
      </x:c>
      <x:c r="M1533" s="6" t="str">
        <x:f>IF(AND(NOT(COUNTA(A1533:F1533)=0),K1533=""),INDEX('Rules'!$D$7:$D$26,MATCH(SUBSTITUTE(SUBSTITUTE(SUBSTITUTE(SUBSTITUTE("type:"&amp;B1533,"%","%25"),"~","%7E"),"*","%2A"),"?","%3F"),'Rules'!$G$7:$G$26,0)),"")</x:f>
      </x:c>
      <x:c r="N1533" s="5" t="str">
        <x:f>IF(COUNTA(A1533:F1533)=0,"",SUBSTITUTE(SUBSTITUTE(SUBSTITUTE(SUBSTITUTE("id:"&amp;A1533,"%","%25"),"~","%7E"),"*","%2A"),"?","%3F"))</x:f>
      </x:c>
    </x:row>
    <x:row r="1534" ht="22" customHeight="1">
      <x:c r="A1534" s="3"/>
      <x:c r="B1534" s="3"/>
      <x:c r="C1534" s="3"/>
      <x:c r="D1534" s="4"/>
      <x:c r="E1534" s="4"/>
      <x:c r="F1534" s="4"/>
      <x:c r="G1534" s="5" t="str">
        <x:f>IF(COUNTA(A1534:F1534)=0,"",IF(K1534&lt;&gt;"","Review",IF(I1534&lt;0,"Overdue",IF(I1534=0,"Due now",IF(I1534&lt;=M1534,"Due soon","Not due")))))</x:f>
      </x:c>
      <x:c r="H1534" s="5" t="str">
        <x:f>IF(OR(COUNTA(A1534:F1534)=0,COUNTIFS('Rules'!$G$7:$G$26,"="&amp;(SUBSTITUTE(SUBSTITUTE(SUBSTITUTE(SUBSTITUTE("type:"&amp;B1534,"%","%25"),"~","%7E"),"*","%2A"),"?","%3F")))&lt;&gt;1),"",IF(OR(INDEX('Rules'!$B$7:$B$26,MATCH(SUBSTITUTE(SUBSTITUTE(SUBSTITUTE(SUBSTITUTE("type:"&amp;B1534,"%","%25"),"~","%7E"),"*","%2A"),"?","%3F"),'Rules'!$G$7:$G$26,0))="hours",INDEX('Rules'!$B$7:$B$26,MATCH(SUBSTITUTE(SUBSTITUTE(SUBSTITUTE(SUBSTITUTE("type:"&amp;B1534,"%","%25"),"~","%7E"),"*","%2A"),"?","%3F"),'Rules'!$G$7:$G$26,0))="km"),INDEX('Rules'!$B$7:$B$26,MATCH(SUBSTITUTE(SUBSTITUTE(SUBSTITUTE(SUBSTITUTE("type:"&amp;B1534,"%","%25"),"~","%7E"),"*","%2A"),"?","%3F"),'Rules'!$G$7:$G$26,0)),""))</x:f>
      </x:c>
      <x:c r="I1534" s="6" t="str">
        <x:f>IF(AND(NOT(COUNTA(A1534:F1534)=0),K1534=""),ROUND(J1534-D1534,3),"")</x:f>
      </x:c>
      <x:c r="J1534" s="6" t="str">
        <x:f>IF(AND(NOT(COUNTA(A1534:F1534)=0),K1534=""),ROUND(F1534+L1534,3),"")</x:f>
      </x:c>
      <x:c r="K1534" s="5" t="str">
        <x:f>IF(COUNTA(A1534:F1534)=0,"",IF(A1534="","Missing equipment ID",IF(COUNTIFS($N$8:$N$2007,"="&amp;N1534)&gt;1,"Duplicate equipment ID",IF(B1534="","Missing type",IF(COUNTIFS('Rules'!$G$7:$G$26,"="&amp;(SUBSTITUTE(SUBSTITUTE(SUBSTITUTE(SUBSTITUTE("type:"&amp;B1534,"%","%25"),"~","%7E"),"*","%2A"),"?","%3F")))=0,"Unknown type",IF(COUNTIFS('Rules'!$G$7:$G$26,"="&amp;(SUBSTITUTE(SUBSTITUTE(SUBSTITUTE(SUBSTITUTE("type:"&amp;B1534,"%","%25"),"~","%7E"),"*","%2A"),"?","%3F")))&gt;1,"Duplicate type",IF(INDEX('Rules'!$F$7:$F$26,MATCH(SUBSTITUTE(SUBSTITUTE(SUBSTITUTE(SUBSTITUTE("type:"&amp;B1534,"%","%25"),"~","%7E"),"*","%2A"),"?","%3F"),'Rules'!$G$7:$G$26,0))&lt;&gt;"",INDEX('Rules'!$F$7:$F$26,MATCH(SUBSTITUTE(SUBSTITUTE(SUBSTITUTE(SUBSTITUTE("type:"&amp;B1534,"%","%25"),"~","%7E"),"*","%2A"),"?","%3F"),'Rules'!$G$7:$G$26,0)),IF(AND(C1534&lt;&gt;"",C1534&lt;&gt;INDEX('Rules'!$B$7:$B$26,MATCH(SUBSTITUTE(SUBSTITUTE(SUBSTITUTE(SUBSTITUTE("type:"&amp;B1534,"%","%25"),"~","%7E"),"*","%2A"),"?","%3F"),'Rules'!$G$7:$G$26,0))),"Unit mismatch",IF(IF(NOT(ISNUMBER(D1534)),TRUE,OR(D1534&lt;0,D1534&gt;999999999,ROUND(D1534,3)&lt;&gt;D1534)),"Invalid current reading",IF(AND(E1534&lt;&gt;"",IF(NOT(ISNUMBER(E1534)),TRUE,OR(E1534&lt;0,E1534&gt;999999999,ROUND(E1534,3)&lt;&gt;E1534))),"Invalid previous reading",IF(IF(NOT(ISNUMBER(F1534)),TRUE,OR(F1534&lt;0,F1534&gt;999999999,ROUND(F1534,3)&lt;&gt;F1534)),"Invalid last service",IF(AND(E1534&lt;&gt;"",D1534&lt;E1534),"Decreased reading",IF(F1534&gt;D1534,"Last service above current","")))))))))))))</x:f>
      </x:c>
      <x:c r="L1534" s="6" t="str">
        <x:f>IF(AND(NOT(COUNTA(A1534:F1534)=0),K1534=""),INDEX('Rules'!$C$7:$C$26,MATCH(SUBSTITUTE(SUBSTITUTE(SUBSTITUTE(SUBSTITUTE("type:"&amp;B1534,"%","%25"),"~","%7E"),"*","%2A"),"?","%3F"),'Rules'!$G$7:$G$26,0)),"")</x:f>
      </x:c>
      <x:c r="M1534" s="6" t="str">
        <x:f>IF(AND(NOT(COUNTA(A1534:F1534)=0),K1534=""),INDEX('Rules'!$D$7:$D$26,MATCH(SUBSTITUTE(SUBSTITUTE(SUBSTITUTE(SUBSTITUTE("type:"&amp;B1534,"%","%25"),"~","%7E"),"*","%2A"),"?","%3F"),'Rules'!$G$7:$G$26,0)),"")</x:f>
      </x:c>
      <x:c r="N1534" s="5" t="str">
        <x:f>IF(COUNTA(A1534:F1534)=0,"",SUBSTITUTE(SUBSTITUTE(SUBSTITUTE(SUBSTITUTE("id:"&amp;A1534,"%","%25"),"~","%7E"),"*","%2A"),"?","%3F"))</x:f>
      </x:c>
    </x:row>
    <x:row r="1535" ht="22" customHeight="1">
      <x:c r="A1535" s="3"/>
      <x:c r="B1535" s="3"/>
      <x:c r="C1535" s="3"/>
      <x:c r="D1535" s="4"/>
      <x:c r="E1535" s="4"/>
      <x:c r="F1535" s="4"/>
      <x:c r="G1535" s="5" t="str">
        <x:f>IF(COUNTA(A1535:F1535)=0,"",IF(K1535&lt;&gt;"","Review",IF(I1535&lt;0,"Overdue",IF(I1535=0,"Due now",IF(I1535&lt;=M1535,"Due soon","Not due")))))</x:f>
      </x:c>
      <x:c r="H1535" s="5" t="str">
        <x:f>IF(OR(COUNTA(A1535:F1535)=0,COUNTIFS('Rules'!$G$7:$G$26,"="&amp;(SUBSTITUTE(SUBSTITUTE(SUBSTITUTE(SUBSTITUTE("type:"&amp;B1535,"%","%25"),"~","%7E"),"*","%2A"),"?","%3F")))&lt;&gt;1),"",IF(OR(INDEX('Rules'!$B$7:$B$26,MATCH(SUBSTITUTE(SUBSTITUTE(SUBSTITUTE(SUBSTITUTE("type:"&amp;B1535,"%","%25"),"~","%7E"),"*","%2A"),"?","%3F"),'Rules'!$G$7:$G$26,0))="hours",INDEX('Rules'!$B$7:$B$26,MATCH(SUBSTITUTE(SUBSTITUTE(SUBSTITUTE(SUBSTITUTE("type:"&amp;B1535,"%","%25"),"~","%7E"),"*","%2A"),"?","%3F"),'Rules'!$G$7:$G$26,0))="km"),INDEX('Rules'!$B$7:$B$26,MATCH(SUBSTITUTE(SUBSTITUTE(SUBSTITUTE(SUBSTITUTE("type:"&amp;B1535,"%","%25"),"~","%7E"),"*","%2A"),"?","%3F"),'Rules'!$G$7:$G$26,0)),""))</x:f>
      </x:c>
      <x:c r="I1535" s="6" t="str">
        <x:f>IF(AND(NOT(COUNTA(A1535:F1535)=0),K1535=""),ROUND(J1535-D1535,3),"")</x:f>
      </x:c>
      <x:c r="J1535" s="6" t="str">
        <x:f>IF(AND(NOT(COUNTA(A1535:F1535)=0),K1535=""),ROUND(F1535+L1535,3),"")</x:f>
      </x:c>
      <x:c r="K1535" s="5" t="str">
        <x:f>IF(COUNTA(A1535:F1535)=0,"",IF(A1535="","Missing equipment ID",IF(COUNTIFS($N$8:$N$2007,"="&amp;N1535)&gt;1,"Duplicate equipment ID",IF(B1535="","Missing type",IF(COUNTIFS('Rules'!$G$7:$G$26,"="&amp;(SUBSTITUTE(SUBSTITUTE(SUBSTITUTE(SUBSTITUTE("type:"&amp;B1535,"%","%25"),"~","%7E"),"*","%2A"),"?","%3F")))=0,"Unknown type",IF(COUNTIFS('Rules'!$G$7:$G$26,"="&amp;(SUBSTITUTE(SUBSTITUTE(SUBSTITUTE(SUBSTITUTE("type:"&amp;B1535,"%","%25"),"~","%7E"),"*","%2A"),"?","%3F")))&gt;1,"Duplicate type",IF(INDEX('Rules'!$F$7:$F$26,MATCH(SUBSTITUTE(SUBSTITUTE(SUBSTITUTE(SUBSTITUTE("type:"&amp;B1535,"%","%25"),"~","%7E"),"*","%2A"),"?","%3F"),'Rules'!$G$7:$G$26,0))&lt;&gt;"",INDEX('Rules'!$F$7:$F$26,MATCH(SUBSTITUTE(SUBSTITUTE(SUBSTITUTE(SUBSTITUTE("type:"&amp;B1535,"%","%25"),"~","%7E"),"*","%2A"),"?","%3F"),'Rules'!$G$7:$G$26,0)),IF(AND(C1535&lt;&gt;"",C1535&lt;&gt;INDEX('Rules'!$B$7:$B$26,MATCH(SUBSTITUTE(SUBSTITUTE(SUBSTITUTE(SUBSTITUTE("type:"&amp;B1535,"%","%25"),"~","%7E"),"*","%2A"),"?","%3F"),'Rules'!$G$7:$G$26,0))),"Unit mismatch",IF(IF(NOT(ISNUMBER(D1535)),TRUE,OR(D1535&lt;0,D1535&gt;999999999,ROUND(D1535,3)&lt;&gt;D1535)),"Invalid current reading",IF(AND(E1535&lt;&gt;"",IF(NOT(ISNUMBER(E1535)),TRUE,OR(E1535&lt;0,E1535&gt;999999999,ROUND(E1535,3)&lt;&gt;E1535))),"Invalid previous reading",IF(IF(NOT(ISNUMBER(F1535)),TRUE,OR(F1535&lt;0,F1535&gt;999999999,ROUND(F1535,3)&lt;&gt;F1535)),"Invalid last service",IF(AND(E1535&lt;&gt;"",D1535&lt;E1535),"Decreased reading",IF(F1535&gt;D1535,"Last service above current","")))))))))))))</x:f>
      </x:c>
      <x:c r="L1535" s="6" t="str">
        <x:f>IF(AND(NOT(COUNTA(A1535:F1535)=0),K1535=""),INDEX('Rules'!$C$7:$C$26,MATCH(SUBSTITUTE(SUBSTITUTE(SUBSTITUTE(SUBSTITUTE("type:"&amp;B1535,"%","%25"),"~","%7E"),"*","%2A"),"?","%3F"),'Rules'!$G$7:$G$26,0)),"")</x:f>
      </x:c>
      <x:c r="M1535" s="6" t="str">
        <x:f>IF(AND(NOT(COUNTA(A1535:F1535)=0),K1535=""),INDEX('Rules'!$D$7:$D$26,MATCH(SUBSTITUTE(SUBSTITUTE(SUBSTITUTE(SUBSTITUTE("type:"&amp;B1535,"%","%25"),"~","%7E"),"*","%2A"),"?","%3F"),'Rules'!$G$7:$G$26,0)),"")</x:f>
      </x:c>
      <x:c r="N1535" s="5" t="str">
        <x:f>IF(COUNTA(A1535:F1535)=0,"",SUBSTITUTE(SUBSTITUTE(SUBSTITUTE(SUBSTITUTE("id:"&amp;A1535,"%","%25"),"~","%7E"),"*","%2A"),"?","%3F"))</x:f>
      </x:c>
    </x:row>
    <x:row r="1536" ht="22" customHeight="1">
      <x:c r="A1536" s="3"/>
      <x:c r="B1536" s="3"/>
      <x:c r="C1536" s="3"/>
      <x:c r="D1536" s="4"/>
      <x:c r="E1536" s="4"/>
      <x:c r="F1536" s="4"/>
      <x:c r="G1536" s="5" t="str">
        <x:f>IF(COUNTA(A1536:F1536)=0,"",IF(K1536&lt;&gt;"","Review",IF(I1536&lt;0,"Overdue",IF(I1536=0,"Due now",IF(I1536&lt;=M1536,"Due soon","Not due")))))</x:f>
      </x:c>
      <x:c r="H1536" s="5" t="str">
        <x:f>IF(OR(COUNTA(A1536:F1536)=0,COUNTIFS('Rules'!$G$7:$G$26,"="&amp;(SUBSTITUTE(SUBSTITUTE(SUBSTITUTE(SUBSTITUTE("type:"&amp;B1536,"%","%25"),"~","%7E"),"*","%2A"),"?","%3F")))&lt;&gt;1),"",IF(OR(INDEX('Rules'!$B$7:$B$26,MATCH(SUBSTITUTE(SUBSTITUTE(SUBSTITUTE(SUBSTITUTE("type:"&amp;B1536,"%","%25"),"~","%7E"),"*","%2A"),"?","%3F"),'Rules'!$G$7:$G$26,0))="hours",INDEX('Rules'!$B$7:$B$26,MATCH(SUBSTITUTE(SUBSTITUTE(SUBSTITUTE(SUBSTITUTE("type:"&amp;B1536,"%","%25"),"~","%7E"),"*","%2A"),"?","%3F"),'Rules'!$G$7:$G$26,0))="km"),INDEX('Rules'!$B$7:$B$26,MATCH(SUBSTITUTE(SUBSTITUTE(SUBSTITUTE(SUBSTITUTE("type:"&amp;B1536,"%","%25"),"~","%7E"),"*","%2A"),"?","%3F"),'Rules'!$G$7:$G$26,0)),""))</x:f>
      </x:c>
      <x:c r="I1536" s="6" t="str">
        <x:f>IF(AND(NOT(COUNTA(A1536:F1536)=0),K1536=""),ROUND(J1536-D1536,3),"")</x:f>
      </x:c>
      <x:c r="J1536" s="6" t="str">
        <x:f>IF(AND(NOT(COUNTA(A1536:F1536)=0),K1536=""),ROUND(F1536+L1536,3),"")</x:f>
      </x:c>
      <x:c r="K1536" s="5" t="str">
        <x:f>IF(COUNTA(A1536:F1536)=0,"",IF(A1536="","Missing equipment ID",IF(COUNTIFS($N$8:$N$2007,"="&amp;N1536)&gt;1,"Duplicate equipment ID",IF(B1536="","Missing type",IF(COUNTIFS('Rules'!$G$7:$G$26,"="&amp;(SUBSTITUTE(SUBSTITUTE(SUBSTITUTE(SUBSTITUTE("type:"&amp;B1536,"%","%25"),"~","%7E"),"*","%2A"),"?","%3F")))=0,"Unknown type",IF(COUNTIFS('Rules'!$G$7:$G$26,"="&amp;(SUBSTITUTE(SUBSTITUTE(SUBSTITUTE(SUBSTITUTE("type:"&amp;B1536,"%","%25"),"~","%7E"),"*","%2A"),"?","%3F")))&gt;1,"Duplicate type",IF(INDEX('Rules'!$F$7:$F$26,MATCH(SUBSTITUTE(SUBSTITUTE(SUBSTITUTE(SUBSTITUTE("type:"&amp;B1536,"%","%25"),"~","%7E"),"*","%2A"),"?","%3F"),'Rules'!$G$7:$G$26,0))&lt;&gt;"",INDEX('Rules'!$F$7:$F$26,MATCH(SUBSTITUTE(SUBSTITUTE(SUBSTITUTE(SUBSTITUTE("type:"&amp;B1536,"%","%25"),"~","%7E"),"*","%2A"),"?","%3F"),'Rules'!$G$7:$G$26,0)),IF(AND(C1536&lt;&gt;"",C1536&lt;&gt;INDEX('Rules'!$B$7:$B$26,MATCH(SUBSTITUTE(SUBSTITUTE(SUBSTITUTE(SUBSTITUTE("type:"&amp;B1536,"%","%25"),"~","%7E"),"*","%2A"),"?","%3F"),'Rules'!$G$7:$G$26,0))),"Unit mismatch",IF(IF(NOT(ISNUMBER(D1536)),TRUE,OR(D1536&lt;0,D1536&gt;999999999,ROUND(D1536,3)&lt;&gt;D1536)),"Invalid current reading",IF(AND(E1536&lt;&gt;"",IF(NOT(ISNUMBER(E1536)),TRUE,OR(E1536&lt;0,E1536&gt;999999999,ROUND(E1536,3)&lt;&gt;E1536))),"Invalid previous reading",IF(IF(NOT(ISNUMBER(F1536)),TRUE,OR(F1536&lt;0,F1536&gt;999999999,ROUND(F1536,3)&lt;&gt;F1536)),"Invalid last service",IF(AND(E1536&lt;&gt;"",D1536&lt;E1536),"Decreased reading",IF(F1536&gt;D1536,"Last service above current","")))))))))))))</x:f>
      </x:c>
      <x:c r="L1536" s="6" t="str">
        <x:f>IF(AND(NOT(COUNTA(A1536:F1536)=0),K1536=""),INDEX('Rules'!$C$7:$C$26,MATCH(SUBSTITUTE(SUBSTITUTE(SUBSTITUTE(SUBSTITUTE("type:"&amp;B1536,"%","%25"),"~","%7E"),"*","%2A"),"?","%3F"),'Rules'!$G$7:$G$26,0)),"")</x:f>
      </x:c>
      <x:c r="M1536" s="6" t="str">
        <x:f>IF(AND(NOT(COUNTA(A1536:F1536)=0),K1536=""),INDEX('Rules'!$D$7:$D$26,MATCH(SUBSTITUTE(SUBSTITUTE(SUBSTITUTE(SUBSTITUTE("type:"&amp;B1536,"%","%25"),"~","%7E"),"*","%2A"),"?","%3F"),'Rules'!$G$7:$G$26,0)),"")</x:f>
      </x:c>
      <x:c r="N1536" s="5" t="str">
        <x:f>IF(COUNTA(A1536:F1536)=0,"",SUBSTITUTE(SUBSTITUTE(SUBSTITUTE(SUBSTITUTE("id:"&amp;A1536,"%","%25"),"~","%7E"),"*","%2A"),"?","%3F"))</x:f>
      </x:c>
    </x:row>
    <x:row r="1537" ht="22" customHeight="1">
      <x:c r="A1537" s="3"/>
      <x:c r="B1537" s="3"/>
      <x:c r="C1537" s="3"/>
      <x:c r="D1537" s="4"/>
      <x:c r="E1537" s="4"/>
      <x:c r="F1537" s="4"/>
      <x:c r="G1537" s="5" t="str">
        <x:f>IF(COUNTA(A1537:F1537)=0,"",IF(K1537&lt;&gt;"","Review",IF(I1537&lt;0,"Overdue",IF(I1537=0,"Due now",IF(I1537&lt;=M1537,"Due soon","Not due")))))</x:f>
      </x:c>
      <x:c r="H1537" s="5" t="str">
        <x:f>IF(OR(COUNTA(A1537:F1537)=0,COUNTIFS('Rules'!$G$7:$G$26,"="&amp;(SUBSTITUTE(SUBSTITUTE(SUBSTITUTE(SUBSTITUTE("type:"&amp;B1537,"%","%25"),"~","%7E"),"*","%2A"),"?","%3F")))&lt;&gt;1),"",IF(OR(INDEX('Rules'!$B$7:$B$26,MATCH(SUBSTITUTE(SUBSTITUTE(SUBSTITUTE(SUBSTITUTE("type:"&amp;B1537,"%","%25"),"~","%7E"),"*","%2A"),"?","%3F"),'Rules'!$G$7:$G$26,0))="hours",INDEX('Rules'!$B$7:$B$26,MATCH(SUBSTITUTE(SUBSTITUTE(SUBSTITUTE(SUBSTITUTE("type:"&amp;B1537,"%","%25"),"~","%7E"),"*","%2A"),"?","%3F"),'Rules'!$G$7:$G$26,0))="km"),INDEX('Rules'!$B$7:$B$26,MATCH(SUBSTITUTE(SUBSTITUTE(SUBSTITUTE(SUBSTITUTE("type:"&amp;B1537,"%","%25"),"~","%7E"),"*","%2A"),"?","%3F"),'Rules'!$G$7:$G$26,0)),""))</x:f>
      </x:c>
      <x:c r="I1537" s="6" t="str">
        <x:f>IF(AND(NOT(COUNTA(A1537:F1537)=0),K1537=""),ROUND(J1537-D1537,3),"")</x:f>
      </x:c>
      <x:c r="J1537" s="6" t="str">
        <x:f>IF(AND(NOT(COUNTA(A1537:F1537)=0),K1537=""),ROUND(F1537+L1537,3),"")</x:f>
      </x:c>
      <x:c r="K1537" s="5" t="str">
        <x:f>IF(COUNTA(A1537:F1537)=0,"",IF(A1537="","Missing equipment ID",IF(COUNTIFS($N$8:$N$2007,"="&amp;N1537)&gt;1,"Duplicate equipment ID",IF(B1537="","Missing type",IF(COUNTIFS('Rules'!$G$7:$G$26,"="&amp;(SUBSTITUTE(SUBSTITUTE(SUBSTITUTE(SUBSTITUTE("type:"&amp;B1537,"%","%25"),"~","%7E"),"*","%2A"),"?","%3F")))=0,"Unknown type",IF(COUNTIFS('Rules'!$G$7:$G$26,"="&amp;(SUBSTITUTE(SUBSTITUTE(SUBSTITUTE(SUBSTITUTE("type:"&amp;B1537,"%","%25"),"~","%7E"),"*","%2A"),"?","%3F")))&gt;1,"Duplicate type",IF(INDEX('Rules'!$F$7:$F$26,MATCH(SUBSTITUTE(SUBSTITUTE(SUBSTITUTE(SUBSTITUTE("type:"&amp;B1537,"%","%25"),"~","%7E"),"*","%2A"),"?","%3F"),'Rules'!$G$7:$G$26,0))&lt;&gt;"",INDEX('Rules'!$F$7:$F$26,MATCH(SUBSTITUTE(SUBSTITUTE(SUBSTITUTE(SUBSTITUTE("type:"&amp;B1537,"%","%25"),"~","%7E"),"*","%2A"),"?","%3F"),'Rules'!$G$7:$G$26,0)),IF(AND(C1537&lt;&gt;"",C1537&lt;&gt;INDEX('Rules'!$B$7:$B$26,MATCH(SUBSTITUTE(SUBSTITUTE(SUBSTITUTE(SUBSTITUTE("type:"&amp;B1537,"%","%25"),"~","%7E"),"*","%2A"),"?","%3F"),'Rules'!$G$7:$G$26,0))),"Unit mismatch",IF(IF(NOT(ISNUMBER(D1537)),TRUE,OR(D1537&lt;0,D1537&gt;999999999,ROUND(D1537,3)&lt;&gt;D1537)),"Invalid current reading",IF(AND(E1537&lt;&gt;"",IF(NOT(ISNUMBER(E1537)),TRUE,OR(E1537&lt;0,E1537&gt;999999999,ROUND(E1537,3)&lt;&gt;E1537))),"Invalid previous reading",IF(IF(NOT(ISNUMBER(F1537)),TRUE,OR(F1537&lt;0,F1537&gt;999999999,ROUND(F1537,3)&lt;&gt;F1537)),"Invalid last service",IF(AND(E1537&lt;&gt;"",D1537&lt;E1537),"Decreased reading",IF(F1537&gt;D1537,"Last service above current","")))))))))))))</x:f>
      </x:c>
      <x:c r="L1537" s="6" t="str">
        <x:f>IF(AND(NOT(COUNTA(A1537:F1537)=0),K1537=""),INDEX('Rules'!$C$7:$C$26,MATCH(SUBSTITUTE(SUBSTITUTE(SUBSTITUTE(SUBSTITUTE("type:"&amp;B1537,"%","%25"),"~","%7E"),"*","%2A"),"?","%3F"),'Rules'!$G$7:$G$26,0)),"")</x:f>
      </x:c>
      <x:c r="M1537" s="6" t="str">
        <x:f>IF(AND(NOT(COUNTA(A1537:F1537)=0),K1537=""),INDEX('Rules'!$D$7:$D$26,MATCH(SUBSTITUTE(SUBSTITUTE(SUBSTITUTE(SUBSTITUTE("type:"&amp;B1537,"%","%25"),"~","%7E"),"*","%2A"),"?","%3F"),'Rules'!$G$7:$G$26,0)),"")</x:f>
      </x:c>
      <x:c r="N1537" s="5" t="str">
        <x:f>IF(COUNTA(A1537:F1537)=0,"",SUBSTITUTE(SUBSTITUTE(SUBSTITUTE(SUBSTITUTE("id:"&amp;A1537,"%","%25"),"~","%7E"),"*","%2A"),"?","%3F"))</x:f>
      </x:c>
    </x:row>
    <x:row r="1538" ht="22" customHeight="1">
      <x:c r="A1538" s="3"/>
      <x:c r="B1538" s="3"/>
      <x:c r="C1538" s="3"/>
      <x:c r="D1538" s="4"/>
      <x:c r="E1538" s="4"/>
      <x:c r="F1538" s="4"/>
      <x:c r="G1538" s="5" t="str">
        <x:f>IF(COUNTA(A1538:F1538)=0,"",IF(K1538&lt;&gt;"","Review",IF(I1538&lt;0,"Overdue",IF(I1538=0,"Due now",IF(I1538&lt;=M1538,"Due soon","Not due")))))</x:f>
      </x:c>
      <x:c r="H1538" s="5" t="str">
        <x:f>IF(OR(COUNTA(A1538:F1538)=0,COUNTIFS('Rules'!$G$7:$G$26,"="&amp;(SUBSTITUTE(SUBSTITUTE(SUBSTITUTE(SUBSTITUTE("type:"&amp;B1538,"%","%25"),"~","%7E"),"*","%2A"),"?","%3F")))&lt;&gt;1),"",IF(OR(INDEX('Rules'!$B$7:$B$26,MATCH(SUBSTITUTE(SUBSTITUTE(SUBSTITUTE(SUBSTITUTE("type:"&amp;B1538,"%","%25"),"~","%7E"),"*","%2A"),"?","%3F"),'Rules'!$G$7:$G$26,0))="hours",INDEX('Rules'!$B$7:$B$26,MATCH(SUBSTITUTE(SUBSTITUTE(SUBSTITUTE(SUBSTITUTE("type:"&amp;B1538,"%","%25"),"~","%7E"),"*","%2A"),"?","%3F"),'Rules'!$G$7:$G$26,0))="km"),INDEX('Rules'!$B$7:$B$26,MATCH(SUBSTITUTE(SUBSTITUTE(SUBSTITUTE(SUBSTITUTE("type:"&amp;B1538,"%","%25"),"~","%7E"),"*","%2A"),"?","%3F"),'Rules'!$G$7:$G$26,0)),""))</x:f>
      </x:c>
      <x:c r="I1538" s="6" t="str">
        <x:f>IF(AND(NOT(COUNTA(A1538:F1538)=0),K1538=""),ROUND(J1538-D1538,3),"")</x:f>
      </x:c>
      <x:c r="J1538" s="6" t="str">
        <x:f>IF(AND(NOT(COUNTA(A1538:F1538)=0),K1538=""),ROUND(F1538+L1538,3),"")</x:f>
      </x:c>
      <x:c r="K1538" s="5" t="str">
        <x:f>IF(COUNTA(A1538:F1538)=0,"",IF(A1538="","Missing equipment ID",IF(COUNTIFS($N$8:$N$2007,"="&amp;N1538)&gt;1,"Duplicate equipment ID",IF(B1538="","Missing type",IF(COUNTIFS('Rules'!$G$7:$G$26,"="&amp;(SUBSTITUTE(SUBSTITUTE(SUBSTITUTE(SUBSTITUTE("type:"&amp;B1538,"%","%25"),"~","%7E"),"*","%2A"),"?","%3F")))=0,"Unknown type",IF(COUNTIFS('Rules'!$G$7:$G$26,"="&amp;(SUBSTITUTE(SUBSTITUTE(SUBSTITUTE(SUBSTITUTE("type:"&amp;B1538,"%","%25"),"~","%7E"),"*","%2A"),"?","%3F")))&gt;1,"Duplicate type",IF(INDEX('Rules'!$F$7:$F$26,MATCH(SUBSTITUTE(SUBSTITUTE(SUBSTITUTE(SUBSTITUTE("type:"&amp;B1538,"%","%25"),"~","%7E"),"*","%2A"),"?","%3F"),'Rules'!$G$7:$G$26,0))&lt;&gt;"",INDEX('Rules'!$F$7:$F$26,MATCH(SUBSTITUTE(SUBSTITUTE(SUBSTITUTE(SUBSTITUTE("type:"&amp;B1538,"%","%25"),"~","%7E"),"*","%2A"),"?","%3F"),'Rules'!$G$7:$G$26,0)),IF(AND(C1538&lt;&gt;"",C1538&lt;&gt;INDEX('Rules'!$B$7:$B$26,MATCH(SUBSTITUTE(SUBSTITUTE(SUBSTITUTE(SUBSTITUTE("type:"&amp;B1538,"%","%25"),"~","%7E"),"*","%2A"),"?","%3F"),'Rules'!$G$7:$G$26,0))),"Unit mismatch",IF(IF(NOT(ISNUMBER(D1538)),TRUE,OR(D1538&lt;0,D1538&gt;999999999,ROUND(D1538,3)&lt;&gt;D1538)),"Invalid current reading",IF(AND(E1538&lt;&gt;"",IF(NOT(ISNUMBER(E1538)),TRUE,OR(E1538&lt;0,E1538&gt;999999999,ROUND(E1538,3)&lt;&gt;E1538))),"Invalid previous reading",IF(IF(NOT(ISNUMBER(F1538)),TRUE,OR(F1538&lt;0,F1538&gt;999999999,ROUND(F1538,3)&lt;&gt;F1538)),"Invalid last service",IF(AND(E1538&lt;&gt;"",D1538&lt;E1538),"Decreased reading",IF(F1538&gt;D1538,"Last service above current","")))))))))))))</x:f>
      </x:c>
      <x:c r="L1538" s="6" t="str">
        <x:f>IF(AND(NOT(COUNTA(A1538:F1538)=0),K1538=""),INDEX('Rules'!$C$7:$C$26,MATCH(SUBSTITUTE(SUBSTITUTE(SUBSTITUTE(SUBSTITUTE("type:"&amp;B1538,"%","%25"),"~","%7E"),"*","%2A"),"?","%3F"),'Rules'!$G$7:$G$26,0)),"")</x:f>
      </x:c>
      <x:c r="M1538" s="6" t="str">
        <x:f>IF(AND(NOT(COUNTA(A1538:F1538)=0),K1538=""),INDEX('Rules'!$D$7:$D$26,MATCH(SUBSTITUTE(SUBSTITUTE(SUBSTITUTE(SUBSTITUTE("type:"&amp;B1538,"%","%25"),"~","%7E"),"*","%2A"),"?","%3F"),'Rules'!$G$7:$G$26,0)),"")</x:f>
      </x:c>
      <x:c r="N1538" s="5" t="str">
        <x:f>IF(COUNTA(A1538:F1538)=0,"",SUBSTITUTE(SUBSTITUTE(SUBSTITUTE(SUBSTITUTE("id:"&amp;A1538,"%","%25"),"~","%7E"),"*","%2A"),"?","%3F"))</x:f>
      </x:c>
    </x:row>
    <x:row r="1539" ht="22" customHeight="1">
      <x:c r="A1539" s="3"/>
      <x:c r="B1539" s="3"/>
      <x:c r="C1539" s="3"/>
      <x:c r="D1539" s="4"/>
      <x:c r="E1539" s="4"/>
      <x:c r="F1539" s="4"/>
      <x:c r="G1539" s="5" t="str">
        <x:f>IF(COUNTA(A1539:F1539)=0,"",IF(K1539&lt;&gt;"","Review",IF(I1539&lt;0,"Overdue",IF(I1539=0,"Due now",IF(I1539&lt;=M1539,"Due soon","Not due")))))</x:f>
      </x:c>
      <x:c r="H1539" s="5" t="str">
        <x:f>IF(OR(COUNTA(A1539:F1539)=0,COUNTIFS('Rules'!$G$7:$G$26,"="&amp;(SUBSTITUTE(SUBSTITUTE(SUBSTITUTE(SUBSTITUTE("type:"&amp;B1539,"%","%25"),"~","%7E"),"*","%2A"),"?","%3F")))&lt;&gt;1),"",IF(OR(INDEX('Rules'!$B$7:$B$26,MATCH(SUBSTITUTE(SUBSTITUTE(SUBSTITUTE(SUBSTITUTE("type:"&amp;B1539,"%","%25"),"~","%7E"),"*","%2A"),"?","%3F"),'Rules'!$G$7:$G$26,0))="hours",INDEX('Rules'!$B$7:$B$26,MATCH(SUBSTITUTE(SUBSTITUTE(SUBSTITUTE(SUBSTITUTE("type:"&amp;B1539,"%","%25"),"~","%7E"),"*","%2A"),"?","%3F"),'Rules'!$G$7:$G$26,0))="km"),INDEX('Rules'!$B$7:$B$26,MATCH(SUBSTITUTE(SUBSTITUTE(SUBSTITUTE(SUBSTITUTE("type:"&amp;B1539,"%","%25"),"~","%7E"),"*","%2A"),"?","%3F"),'Rules'!$G$7:$G$26,0)),""))</x:f>
      </x:c>
      <x:c r="I1539" s="6" t="str">
        <x:f>IF(AND(NOT(COUNTA(A1539:F1539)=0),K1539=""),ROUND(J1539-D1539,3),"")</x:f>
      </x:c>
      <x:c r="J1539" s="6" t="str">
        <x:f>IF(AND(NOT(COUNTA(A1539:F1539)=0),K1539=""),ROUND(F1539+L1539,3),"")</x:f>
      </x:c>
      <x:c r="K1539" s="5" t="str">
        <x:f>IF(COUNTA(A1539:F1539)=0,"",IF(A1539="","Missing equipment ID",IF(COUNTIFS($N$8:$N$2007,"="&amp;N1539)&gt;1,"Duplicate equipment ID",IF(B1539="","Missing type",IF(COUNTIFS('Rules'!$G$7:$G$26,"="&amp;(SUBSTITUTE(SUBSTITUTE(SUBSTITUTE(SUBSTITUTE("type:"&amp;B1539,"%","%25"),"~","%7E"),"*","%2A"),"?","%3F")))=0,"Unknown type",IF(COUNTIFS('Rules'!$G$7:$G$26,"="&amp;(SUBSTITUTE(SUBSTITUTE(SUBSTITUTE(SUBSTITUTE("type:"&amp;B1539,"%","%25"),"~","%7E"),"*","%2A"),"?","%3F")))&gt;1,"Duplicate type",IF(INDEX('Rules'!$F$7:$F$26,MATCH(SUBSTITUTE(SUBSTITUTE(SUBSTITUTE(SUBSTITUTE("type:"&amp;B1539,"%","%25"),"~","%7E"),"*","%2A"),"?","%3F"),'Rules'!$G$7:$G$26,0))&lt;&gt;"",INDEX('Rules'!$F$7:$F$26,MATCH(SUBSTITUTE(SUBSTITUTE(SUBSTITUTE(SUBSTITUTE("type:"&amp;B1539,"%","%25"),"~","%7E"),"*","%2A"),"?","%3F"),'Rules'!$G$7:$G$26,0)),IF(AND(C1539&lt;&gt;"",C1539&lt;&gt;INDEX('Rules'!$B$7:$B$26,MATCH(SUBSTITUTE(SUBSTITUTE(SUBSTITUTE(SUBSTITUTE("type:"&amp;B1539,"%","%25"),"~","%7E"),"*","%2A"),"?","%3F"),'Rules'!$G$7:$G$26,0))),"Unit mismatch",IF(IF(NOT(ISNUMBER(D1539)),TRUE,OR(D1539&lt;0,D1539&gt;999999999,ROUND(D1539,3)&lt;&gt;D1539)),"Invalid current reading",IF(AND(E1539&lt;&gt;"",IF(NOT(ISNUMBER(E1539)),TRUE,OR(E1539&lt;0,E1539&gt;999999999,ROUND(E1539,3)&lt;&gt;E1539))),"Invalid previous reading",IF(IF(NOT(ISNUMBER(F1539)),TRUE,OR(F1539&lt;0,F1539&gt;999999999,ROUND(F1539,3)&lt;&gt;F1539)),"Invalid last service",IF(AND(E1539&lt;&gt;"",D1539&lt;E1539),"Decreased reading",IF(F1539&gt;D1539,"Last service above current","")))))))))))))</x:f>
      </x:c>
      <x:c r="L1539" s="6" t="str">
        <x:f>IF(AND(NOT(COUNTA(A1539:F1539)=0),K1539=""),INDEX('Rules'!$C$7:$C$26,MATCH(SUBSTITUTE(SUBSTITUTE(SUBSTITUTE(SUBSTITUTE("type:"&amp;B1539,"%","%25"),"~","%7E"),"*","%2A"),"?","%3F"),'Rules'!$G$7:$G$26,0)),"")</x:f>
      </x:c>
      <x:c r="M1539" s="6" t="str">
        <x:f>IF(AND(NOT(COUNTA(A1539:F1539)=0),K1539=""),INDEX('Rules'!$D$7:$D$26,MATCH(SUBSTITUTE(SUBSTITUTE(SUBSTITUTE(SUBSTITUTE("type:"&amp;B1539,"%","%25"),"~","%7E"),"*","%2A"),"?","%3F"),'Rules'!$G$7:$G$26,0)),"")</x:f>
      </x:c>
      <x:c r="N1539" s="5" t="str">
        <x:f>IF(COUNTA(A1539:F1539)=0,"",SUBSTITUTE(SUBSTITUTE(SUBSTITUTE(SUBSTITUTE("id:"&amp;A1539,"%","%25"),"~","%7E"),"*","%2A"),"?","%3F"))</x:f>
      </x:c>
    </x:row>
    <x:row r="1540" ht="22" customHeight="1">
      <x:c r="A1540" s="3"/>
      <x:c r="B1540" s="3"/>
      <x:c r="C1540" s="3"/>
      <x:c r="D1540" s="4"/>
      <x:c r="E1540" s="4"/>
      <x:c r="F1540" s="4"/>
      <x:c r="G1540" s="5" t="str">
        <x:f>IF(COUNTA(A1540:F1540)=0,"",IF(K1540&lt;&gt;"","Review",IF(I1540&lt;0,"Overdue",IF(I1540=0,"Due now",IF(I1540&lt;=M1540,"Due soon","Not due")))))</x:f>
      </x:c>
      <x:c r="H1540" s="5" t="str">
        <x:f>IF(OR(COUNTA(A1540:F1540)=0,COUNTIFS('Rules'!$G$7:$G$26,"="&amp;(SUBSTITUTE(SUBSTITUTE(SUBSTITUTE(SUBSTITUTE("type:"&amp;B1540,"%","%25"),"~","%7E"),"*","%2A"),"?","%3F")))&lt;&gt;1),"",IF(OR(INDEX('Rules'!$B$7:$B$26,MATCH(SUBSTITUTE(SUBSTITUTE(SUBSTITUTE(SUBSTITUTE("type:"&amp;B1540,"%","%25"),"~","%7E"),"*","%2A"),"?","%3F"),'Rules'!$G$7:$G$26,0))="hours",INDEX('Rules'!$B$7:$B$26,MATCH(SUBSTITUTE(SUBSTITUTE(SUBSTITUTE(SUBSTITUTE("type:"&amp;B1540,"%","%25"),"~","%7E"),"*","%2A"),"?","%3F"),'Rules'!$G$7:$G$26,0))="km"),INDEX('Rules'!$B$7:$B$26,MATCH(SUBSTITUTE(SUBSTITUTE(SUBSTITUTE(SUBSTITUTE("type:"&amp;B1540,"%","%25"),"~","%7E"),"*","%2A"),"?","%3F"),'Rules'!$G$7:$G$26,0)),""))</x:f>
      </x:c>
      <x:c r="I1540" s="6" t="str">
        <x:f>IF(AND(NOT(COUNTA(A1540:F1540)=0),K1540=""),ROUND(J1540-D1540,3),"")</x:f>
      </x:c>
      <x:c r="J1540" s="6" t="str">
        <x:f>IF(AND(NOT(COUNTA(A1540:F1540)=0),K1540=""),ROUND(F1540+L1540,3),"")</x:f>
      </x:c>
      <x:c r="K1540" s="5" t="str">
        <x:f>IF(COUNTA(A1540:F1540)=0,"",IF(A1540="","Missing equipment ID",IF(COUNTIFS($N$8:$N$2007,"="&amp;N1540)&gt;1,"Duplicate equipment ID",IF(B1540="","Missing type",IF(COUNTIFS('Rules'!$G$7:$G$26,"="&amp;(SUBSTITUTE(SUBSTITUTE(SUBSTITUTE(SUBSTITUTE("type:"&amp;B1540,"%","%25"),"~","%7E"),"*","%2A"),"?","%3F")))=0,"Unknown type",IF(COUNTIFS('Rules'!$G$7:$G$26,"="&amp;(SUBSTITUTE(SUBSTITUTE(SUBSTITUTE(SUBSTITUTE("type:"&amp;B1540,"%","%25"),"~","%7E"),"*","%2A"),"?","%3F")))&gt;1,"Duplicate type",IF(INDEX('Rules'!$F$7:$F$26,MATCH(SUBSTITUTE(SUBSTITUTE(SUBSTITUTE(SUBSTITUTE("type:"&amp;B1540,"%","%25"),"~","%7E"),"*","%2A"),"?","%3F"),'Rules'!$G$7:$G$26,0))&lt;&gt;"",INDEX('Rules'!$F$7:$F$26,MATCH(SUBSTITUTE(SUBSTITUTE(SUBSTITUTE(SUBSTITUTE("type:"&amp;B1540,"%","%25"),"~","%7E"),"*","%2A"),"?","%3F"),'Rules'!$G$7:$G$26,0)),IF(AND(C1540&lt;&gt;"",C1540&lt;&gt;INDEX('Rules'!$B$7:$B$26,MATCH(SUBSTITUTE(SUBSTITUTE(SUBSTITUTE(SUBSTITUTE("type:"&amp;B1540,"%","%25"),"~","%7E"),"*","%2A"),"?","%3F"),'Rules'!$G$7:$G$26,0))),"Unit mismatch",IF(IF(NOT(ISNUMBER(D1540)),TRUE,OR(D1540&lt;0,D1540&gt;999999999,ROUND(D1540,3)&lt;&gt;D1540)),"Invalid current reading",IF(AND(E1540&lt;&gt;"",IF(NOT(ISNUMBER(E1540)),TRUE,OR(E1540&lt;0,E1540&gt;999999999,ROUND(E1540,3)&lt;&gt;E1540))),"Invalid previous reading",IF(IF(NOT(ISNUMBER(F1540)),TRUE,OR(F1540&lt;0,F1540&gt;999999999,ROUND(F1540,3)&lt;&gt;F1540)),"Invalid last service",IF(AND(E1540&lt;&gt;"",D1540&lt;E1540),"Decreased reading",IF(F1540&gt;D1540,"Last service above current","")))))))))))))</x:f>
      </x:c>
      <x:c r="L1540" s="6" t="str">
        <x:f>IF(AND(NOT(COUNTA(A1540:F1540)=0),K1540=""),INDEX('Rules'!$C$7:$C$26,MATCH(SUBSTITUTE(SUBSTITUTE(SUBSTITUTE(SUBSTITUTE("type:"&amp;B1540,"%","%25"),"~","%7E"),"*","%2A"),"?","%3F"),'Rules'!$G$7:$G$26,0)),"")</x:f>
      </x:c>
      <x:c r="M1540" s="6" t="str">
        <x:f>IF(AND(NOT(COUNTA(A1540:F1540)=0),K1540=""),INDEX('Rules'!$D$7:$D$26,MATCH(SUBSTITUTE(SUBSTITUTE(SUBSTITUTE(SUBSTITUTE("type:"&amp;B1540,"%","%25"),"~","%7E"),"*","%2A"),"?","%3F"),'Rules'!$G$7:$G$26,0)),"")</x:f>
      </x:c>
      <x:c r="N1540" s="5" t="str">
        <x:f>IF(COUNTA(A1540:F1540)=0,"",SUBSTITUTE(SUBSTITUTE(SUBSTITUTE(SUBSTITUTE("id:"&amp;A1540,"%","%25"),"~","%7E"),"*","%2A"),"?","%3F"))</x:f>
      </x:c>
    </x:row>
    <x:row r="1541" ht="22" customHeight="1">
      <x:c r="A1541" s="3"/>
      <x:c r="B1541" s="3"/>
      <x:c r="C1541" s="3"/>
      <x:c r="D1541" s="4"/>
      <x:c r="E1541" s="4"/>
      <x:c r="F1541" s="4"/>
      <x:c r="G1541" s="5" t="str">
        <x:f>IF(COUNTA(A1541:F1541)=0,"",IF(K1541&lt;&gt;"","Review",IF(I1541&lt;0,"Overdue",IF(I1541=0,"Due now",IF(I1541&lt;=M1541,"Due soon","Not due")))))</x:f>
      </x:c>
      <x:c r="H1541" s="5" t="str">
        <x:f>IF(OR(COUNTA(A1541:F1541)=0,COUNTIFS('Rules'!$G$7:$G$26,"="&amp;(SUBSTITUTE(SUBSTITUTE(SUBSTITUTE(SUBSTITUTE("type:"&amp;B1541,"%","%25"),"~","%7E"),"*","%2A"),"?","%3F")))&lt;&gt;1),"",IF(OR(INDEX('Rules'!$B$7:$B$26,MATCH(SUBSTITUTE(SUBSTITUTE(SUBSTITUTE(SUBSTITUTE("type:"&amp;B1541,"%","%25"),"~","%7E"),"*","%2A"),"?","%3F"),'Rules'!$G$7:$G$26,0))="hours",INDEX('Rules'!$B$7:$B$26,MATCH(SUBSTITUTE(SUBSTITUTE(SUBSTITUTE(SUBSTITUTE("type:"&amp;B1541,"%","%25"),"~","%7E"),"*","%2A"),"?","%3F"),'Rules'!$G$7:$G$26,0))="km"),INDEX('Rules'!$B$7:$B$26,MATCH(SUBSTITUTE(SUBSTITUTE(SUBSTITUTE(SUBSTITUTE("type:"&amp;B1541,"%","%25"),"~","%7E"),"*","%2A"),"?","%3F"),'Rules'!$G$7:$G$26,0)),""))</x:f>
      </x:c>
      <x:c r="I1541" s="6" t="str">
        <x:f>IF(AND(NOT(COUNTA(A1541:F1541)=0),K1541=""),ROUND(J1541-D1541,3),"")</x:f>
      </x:c>
      <x:c r="J1541" s="6" t="str">
        <x:f>IF(AND(NOT(COUNTA(A1541:F1541)=0),K1541=""),ROUND(F1541+L1541,3),"")</x:f>
      </x:c>
      <x:c r="K1541" s="5" t="str">
        <x:f>IF(COUNTA(A1541:F1541)=0,"",IF(A1541="","Missing equipment ID",IF(COUNTIFS($N$8:$N$2007,"="&amp;N1541)&gt;1,"Duplicate equipment ID",IF(B1541="","Missing type",IF(COUNTIFS('Rules'!$G$7:$G$26,"="&amp;(SUBSTITUTE(SUBSTITUTE(SUBSTITUTE(SUBSTITUTE("type:"&amp;B1541,"%","%25"),"~","%7E"),"*","%2A"),"?","%3F")))=0,"Unknown type",IF(COUNTIFS('Rules'!$G$7:$G$26,"="&amp;(SUBSTITUTE(SUBSTITUTE(SUBSTITUTE(SUBSTITUTE("type:"&amp;B1541,"%","%25"),"~","%7E"),"*","%2A"),"?","%3F")))&gt;1,"Duplicate type",IF(INDEX('Rules'!$F$7:$F$26,MATCH(SUBSTITUTE(SUBSTITUTE(SUBSTITUTE(SUBSTITUTE("type:"&amp;B1541,"%","%25"),"~","%7E"),"*","%2A"),"?","%3F"),'Rules'!$G$7:$G$26,0))&lt;&gt;"",INDEX('Rules'!$F$7:$F$26,MATCH(SUBSTITUTE(SUBSTITUTE(SUBSTITUTE(SUBSTITUTE("type:"&amp;B1541,"%","%25"),"~","%7E"),"*","%2A"),"?","%3F"),'Rules'!$G$7:$G$26,0)),IF(AND(C1541&lt;&gt;"",C1541&lt;&gt;INDEX('Rules'!$B$7:$B$26,MATCH(SUBSTITUTE(SUBSTITUTE(SUBSTITUTE(SUBSTITUTE("type:"&amp;B1541,"%","%25"),"~","%7E"),"*","%2A"),"?","%3F"),'Rules'!$G$7:$G$26,0))),"Unit mismatch",IF(IF(NOT(ISNUMBER(D1541)),TRUE,OR(D1541&lt;0,D1541&gt;999999999,ROUND(D1541,3)&lt;&gt;D1541)),"Invalid current reading",IF(AND(E1541&lt;&gt;"",IF(NOT(ISNUMBER(E1541)),TRUE,OR(E1541&lt;0,E1541&gt;999999999,ROUND(E1541,3)&lt;&gt;E1541))),"Invalid previous reading",IF(IF(NOT(ISNUMBER(F1541)),TRUE,OR(F1541&lt;0,F1541&gt;999999999,ROUND(F1541,3)&lt;&gt;F1541)),"Invalid last service",IF(AND(E1541&lt;&gt;"",D1541&lt;E1541),"Decreased reading",IF(F1541&gt;D1541,"Last service above current","")))))))))))))</x:f>
      </x:c>
      <x:c r="L1541" s="6" t="str">
        <x:f>IF(AND(NOT(COUNTA(A1541:F1541)=0),K1541=""),INDEX('Rules'!$C$7:$C$26,MATCH(SUBSTITUTE(SUBSTITUTE(SUBSTITUTE(SUBSTITUTE("type:"&amp;B1541,"%","%25"),"~","%7E"),"*","%2A"),"?","%3F"),'Rules'!$G$7:$G$26,0)),"")</x:f>
      </x:c>
      <x:c r="M1541" s="6" t="str">
        <x:f>IF(AND(NOT(COUNTA(A1541:F1541)=0),K1541=""),INDEX('Rules'!$D$7:$D$26,MATCH(SUBSTITUTE(SUBSTITUTE(SUBSTITUTE(SUBSTITUTE("type:"&amp;B1541,"%","%25"),"~","%7E"),"*","%2A"),"?","%3F"),'Rules'!$G$7:$G$26,0)),"")</x:f>
      </x:c>
      <x:c r="N1541" s="5" t="str">
        <x:f>IF(COUNTA(A1541:F1541)=0,"",SUBSTITUTE(SUBSTITUTE(SUBSTITUTE(SUBSTITUTE("id:"&amp;A1541,"%","%25"),"~","%7E"),"*","%2A"),"?","%3F"))</x:f>
      </x:c>
    </x:row>
    <x:row r="1542" ht="22" customHeight="1">
      <x:c r="A1542" s="3"/>
      <x:c r="B1542" s="3"/>
      <x:c r="C1542" s="3"/>
      <x:c r="D1542" s="4"/>
      <x:c r="E1542" s="4"/>
      <x:c r="F1542" s="4"/>
      <x:c r="G1542" s="5" t="str">
        <x:f>IF(COUNTA(A1542:F1542)=0,"",IF(K1542&lt;&gt;"","Review",IF(I1542&lt;0,"Overdue",IF(I1542=0,"Due now",IF(I1542&lt;=M1542,"Due soon","Not due")))))</x:f>
      </x:c>
      <x:c r="H1542" s="5" t="str">
        <x:f>IF(OR(COUNTA(A1542:F1542)=0,COUNTIFS('Rules'!$G$7:$G$26,"="&amp;(SUBSTITUTE(SUBSTITUTE(SUBSTITUTE(SUBSTITUTE("type:"&amp;B1542,"%","%25"),"~","%7E"),"*","%2A"),"?","%3F")))&lt;&gt;1),"",IF(OR(INDEX('Rules'!$B$7:$B$26,MATCH(SUBSTITUTE(SUBSTITUTE(SUBSTITUTE(SUBSTITUTE("type:"&amp;B1542,"%","%25"),"~","%7E"),"*","%2A"),"?","%3F"),'Rules'!$G$7:$G$26,0))="hours",INDEX('Rules'!$B$7:$B$26,MATCH(SUBSTITUTE(SUBSTITUTE(SUBSTITUTE(SUBSTITUTE("type:"&amp;B1542,"%","%25"),"~","%7E"),"*","%2A"),"?","%3F"),'Rules'!$G$7:$G$26,0))="km"),INDEX('Rules'!$B$7:$B$26,MATCH(SUBSTITUTE(SUBSTITUTE(SUBSTITUTE(SUBSTITUTE("type:"&amp;B1542,"%","%25"),"~","%7E"),"*","%2A"),"?","%3F"),'Rules'!$G$7:$G$26,0)),""))</x:f>
      </x:c>
      <x:c r="I1542" s="6" t="str">
        <x:f>IF(AND(NOT(COUNTA(A1542:F1542)=0),K1542=""),ROUND(J1542-D1542,3),"")</x:f>
      </x:c>
      <x:c r="J1542" s="6" t="str">
        <x:f>IF(AND(NOT(COUNTA(A1542:F1542)=0),K1542=""),ROUND(F1542+L1542,3),"")</x:f>
      </x:c>
      <x:c r="K1542" s="5" t="str">
        <x:f>IF(COUNTA(A1542:F1542)=0,"",IF(A1542="","Missing equipment ID",IF(COUNTIFS($N$8:$N$2007,"="&amp;N1542)&gt;1,"Duplicate equipment ID",IF(B1542="","Missing type",IF(COUNTIFS('Rules'!$G$7:$G$26,"="&amp;(SUBSTITUTE(SUBSTITUTE(SUBSTITUTE(SUBSTITUTE("type:"&amp;B1542,"%","%25"),"~","%7E"),"*","%2A"),"?","%3F")))=0,"Unknown type",IF(COUNTIFS('Rules'!$G$7:$G$26,"="&amp;(SUBSTITUTE(SUBSTITUTE(SUBSTITUTE(SUBSTITUTE("type:"&amp;B1542,"%","%25"),"~","%7E"),"*","%2A"),"?","%3F")))&gt;1,"Duplicate type",IF(INDEX('Rules'!$F$7:$F$26,MATCH(SUBSTITUTE(SUBSTITUTE(SUBSTITUTE(SUBSTITUTE("type:"&amp;B1542,"%","%25"),"~","%7E"),"*","%2A"),"?","%3F"),'Rules'!$G$7:$G$26,0))&lt;&gt;"",INDEX('Rules'!$F$7:$F$26,MATCH(SUBSTITUTE(SUBSTITUTE(SUBSTITUTE(SUBSTITUTE("type:"&amp;B1542,"%","%25"),"~","%7E"),"*","%2A"),"?","%3F"),'Rules'!$G$7:$G$26,0)),IF(AND(C1542&lt;&gt;"",C1542&lt;&gt;INDEX('Rules'!$B$7:$B$26,MATCH(SUBSTITUTE(SUBSTITUTE(SUBSTITUTE(SUBSTITUTE("type:"&amp;B1542,"%","%25"),"~","%7E"),"*","%2A"),"?","%3F"),'Rules'!$G$7:$G$26,0))),"Unit mismatch",IF(IF(NOT(ISNUMBER(D1542)),TRUE,OR(D1542&lt;0,D1542&gt;999999999,ROUND(D1542,3)&lt;&gt;D1542)),"Invalid current reading",IF(AND(E1542&lt;&gt;"",IF(NOT(ISNUMBER(E1542)),TRUE,OR(E1542&lt;0,E1542&gt;999999999,ROUND(E1542,3)&lt;&gt;E1542))),"Invalid previous reading",IF(IF(NOT(ISNUMBER(F1542)),TRUE,OR(F1542&lt;0,F1542&gt;999999999,ROUND(F1542,3)&lt;&gt;F1542)),"Invalid last service",IF(AND(E1542&lt;&gt;"",D1542&lt;E1542),"Decreased reading",IF(F1542&gt;D1542,"Last service above current","")))))))))))))</x:f>
      </x:c>
      <x:c r="L1542" s="6" t="str">
        <x:f>IF(AND(NOT(COUNTA(A1542:F1542)=0),K1542=""),INDEX('Rules'!$C$7:$C$26,MATCH(SUBSTITUTE(SUBSTITUTE(SUBSTITUTE(SUBSTITUTE("type:"&amp;B1542,"%","%25"),"~","%7E"),"*","%2A"),"?","%3F"),'Rules'!$G$7:$G$26,0)),"")</x:f>
      </x:c>
      <x:c r="M1542" s="6" t="str">
        <x:f>IF(AND(NOT(COUNTA(A1542:F1542)=0),K1542=""),INDEX('Rules'!$D$7:$D$26,MATCH(SUBSTITUTE(SUBSTITUTE(SUBSTITUTE(SUBSTITUTE("type:"&amp;B1542,"%","%25"),"~","%7E"),"*","%2A"),"?","%3F"),'Rules'!$G$7:$G$26,0)),"")</x:f>
      </x:c>
      <x:c r="N1542" s="5" t="str">
        <x:f>IF(COUNTA(A1542:F1542)=0,"",SUBSTITUTE(SUBSTITUTE(SUBSTITUTE(SUBSTITUTE("id:"&amp;A1542,"%","%25"),"~","%7E"),"*","%2A"),"?","%3F"))</x:f>
      </x:c>
    </x:row>
    <x:row r="1543" ht="22" customHeight="1">
      <x:c r="A1543" s="3"/>
      <x:c r="B1543" s="3"/>
      <x:c r="C1543" s="3"/>
      <x:c r="D1543" s="4"/>
      <x:c r="E1543" s="4"/>
      <x:c r="F1543" s="4"/>
      <x:c r="G1543" s="5" t="str">
        <x:f>IF(COUNTA(A1543:F1543)=0,"",IF(K1543&lt;&gt;"","Review",IF(I1543&lt;0,"Overdue",IF(I1543=0,"Due now",IF(I1543&lt;=M1543,"Due soon","Not due")))))</x:f>
      </x:c>
      <x:c r="H1543" s="5" t="str">
        <x:f>IF(OR(COUNTA(A1543:F1543)=0,COUNTIFS('Rules'!$G$7:$G$26,"="&amp;(SUBSTITUTE(SUBSTITUTE(SUBSTITUTE(SUBSTITUTE("type:"&amp;B1543,"%","%25"),"~","%7E"),"*","%2A"),"?","%3F")))&lt;&gt;1),"",IF(OR(INDEX('Rules'!$B$7:$B$26,MATCH(SUBSTITUTE(SUBSTITUTE(SUBSTITUTE(SUBSTITUTE("type:"&amp;B1543,"%","%25"),"~","%7E"),"*","%2A"),"?","%3F"),'Rules'!$G$7:$G$26,0))="hours",INDEX('Rules'!$B$7:$B$26,MATCH(SUBSTITUTE(SUBSTITUTE(SUBSTITUTE(SUBSTITUTE("type:"&amp;B1543,"%","%25"),"~","%7E"),"*","%2A"),"?","%3F"),'Rules'!$G$7:$G$26,0))="km"),INDEX('Rules'!$B$7:$B$26,MATCH(SUBSTITUTE(SUBSTITUTE(SUBSTITUTE(SUBSTITUTE("type:"&amp;B1543,"%","%25"),"~","%7E"),"*","%2A"),"?","%3F"),'Rules'!$G$7:$G$26,0)),""))</x:f>
      </x:c>
      <x:c r="I1543" s="6" t="str">
        <x:f>IF(AND(NOT(COUNTA(A1543:F1543)=0),K1543=""),ROUND(J1543-D1543,3),"")</x:f>
      </x:c>
      <x:c r="J1543" s="6" t="str">
        <x:f>IF(AND(NOT(COUNTA(A1543:F1543)=0),K1543=""),ROUND(F1543+L1543,3),"")</x:f>
      </x:c>
      <x:c r="K1543" s="5" t="str">
        <x:f>IF(COUNTA(A1543:F1543)=0,"",IF(A1543="","Missing equipment ID",IF(COUNTIFS($N$8:$N$2007,"="&amp;N1543)&gt;1,"Duplicate equipment ID",IF(B1543="","Missing type",IF(COUNTIFS('Rules'!$G$7:$G$26,"="&amp;(SUBSTITUTE(SUBSTITUTE(SUBSTITUTE(SUBSTITUTE("type:"&amp;B1543,"%","%25"),"~","%7E"),"*","%2A"),"?","%3F")))=0,"Unknown type",IF(COUNTIFS('Rules'!$G$7:$G$26,"="&amp;(SUBSTITUTE(SUBSTITUTE(SUBSTITUTE(SUBSTITUTE("type:"&amp;B1543,"%","%25"),"~","%7E"),"*","%2A"),"?","%3F")))&gt;1,"Duplicate type",IF(INDEX('Rules'!$F$7:$F$26,MATCH(SUBSTITUTE(SUBSTITUTE(SUBSTITUTE(SUBSTITUTE("type:"&amp;B1543,"%","%25"),"~","%7E"),"*","%2A"),"?","%3F"),'Rules'!$G$7:$G$26,0))&lt;&gt;"",INDEX('Rules'!$F$7:$F$26,MATCH(SUBSTITUTE(SUBSTITUTE(SUBSTITUTE(SUBSTITUTE("type:"&amp;B1543,"%","%25"),"~","%7E"),"*","%2A"),"?","%3F"),'Rules'!$G$7:$G$26,0)),IF(AND(C1543&lt;&gt;"",C1543&lt;&gt;INDEX('Rules'!$B$7:$B$26,MATCH(SUBSTITUTE(SUBSTITUTE(SUBSTITUTE(SUBSTITUTE("type:"&amp;B1543,"%","%25"),"~","%7E"),"*","%2A"),"?","%3F"),'Rules'!$G$7:$G$26,0))),"Unit mismatch",IF(IF(NOT(ISNUMBER(D1543)),TRUE,OR(D1543&lt;0,D1543&gt;999999999,ROUND(D1543,3)&lt;&gt;D1543)),"Invalid current reading",IF(AND(E1543&lt;&gt;"",IF(NOT(ISNUMBER(E1543)),TRUE,OR(E1543&lt;0,E1543&gt;999999999,ROUND(E1543,3)&lt;&gt;E1543))),"Invalid previous reading",IF(IF(NOT(ISNUMBER(F1543)),TRUE,OR(F1543&lt;0,F1543&gt;999999999,ROUND(F1543,3)&lt;&gt;F1543)),"Invalid last service",IF(AND(E1543&lt;&gt;"",D1543&lt;E1543),"Decreased reading",IF(F1543&gt;D1543,"Last service above current","")))))))))))))</x:f>
      </x:c>
      <x:c r="L1543" s="6" t="str">
        <x:f>IF(AND(NOT(COUNTA(A1543:F1543)=0),K1543=""),INDEX('Rules'!$C$7:$C$26,MATCH(SUBSTITUTE(SUBSTITUTE(SUBSTITUTE(SUBSTITUTE("type:"&amp;B1543,"%","%25"),"~","%7E"),"*","%2A"),"?","%3F"),'Rules'!$G$7:$G$26,0)),"")</x:f>
      </x:c>
      <x:c r="M1543" s="6" t="str">
        <x:f>IF(AND(NOT(COUNTA(A1543:F1543)=0),K1543=""),INDEX('Rules'!$D$7:$D$26,MATCH(SUBSTITUTE(SUBSTITUTE(SUBSTITUTE(SUBSTITUTE("type:"&amp;B1543,"%","%25"),"~","%7E"),"*","%2A"),"?","%3F"),'Rules'!$G$7:$G$26,0)),"")</x:f>
      </x:c>
      <x:c r="N1543" s="5" t="str">
        <x:f>IF(COUNTA(A1543:F1543)=0,"",SUBSTITUTE(SUBSTITUTE(SUBSTITUTE(SUBSTITUTE("id:"&amp;A1543,"%","%25"),"~","%7E"),"*","%2A"),"?","%3F"))</x:f>
      </x:c>
    </x:row>
    <x:row r="1544" ht="22" customHeight="1">
      <x:c r="A1544" s="3"/>
      <x:c r="B1544" s="3"/>
      <x:c r="C1544" s="3"/>
      <x:c r="D1544" s="4"/>
      <x:c r="E1544" s="4"/>
      <x:c r="F1544" s="4"/>
      <x:c r="G1544" s="5" t="str">
        <x:f>IF(COUNTA(A1544:F1544)=0,"",IF(K1544&lt;&gt;"","Review",IF(I1544&lt;0,"Overdue",IF(I1544=0,"Due now",IF(I1544&lt;=M1544,"Due soon","Not due")))))</x:f>
      </x:c>
      <x:c r="H1544" s="5" t="str">
        <x:f>IF(OR(COUNTA(A1544:F1544)=0,COUNTIFS('Rules'!$G$7:$G$26,"="&amp;(SUBSTITUTE(SUBSTITUTE(SUBSTITUTE(SUBSTITUTE("type:"&amp;B1544,"%","%25"),"~","%7E"),"*","%2A"),"?","%3F")))&lt;&gt;1),"",IF(OR(INDEX('Rules'!$B$7:$B$26,MATCH(SUBSTITUTE(SUBSTITUTE(SUBSTITUTE(SUBSTITUTE("type:"&amp;B1544,"%","%25"),"~","%7E"),"*","%2A"),"?","%3F"),'Rules'!$G$7:$G$26,0))="hours",INDEX('Rules'!$B$7:$B$26,MATCH(SUBSTITUTE(SUBSTITUTE(SUBSTITUTE(SUBSTITUTE("type:"&amp;B1544,"%","%25"),"~","%7E"),"*","%2A"),"?","%3F"),'Rules'!$G$7:$G$26,0))="km"),INDEX('Rules'!$B$7:$B$26,MATCH(SUBSTITUTE(SUBSTITUTE(SUBSTITUTE(SUBSTITUTE("type:"&amp;B1544,"%","%25"),"~","%7E"),"*","%2A"),"?","%3F"),'Rules'!$G$7:$G$26,0)),""))</x:f>
      </x:c>
      <x:c r="I1544" s="6" t="str">
        <x:f>IF(AND(NOT(COUNTA(A1544:F1544)=0),K1544=""),ROUND(J1544-D1544,3),"")</x:f>
      </x:c>
      <x:c r="J1544" s="6" t="str">
        <x:f>IF(AND(NOT(COUNTA(A1544:F1544)=0),K1544=""),ROUND(F1544+L1544,3),"")</x:f>
      </x:c>
      <x:c r="K1544" s="5" t="str">
        <x:f>IF(COUNTA(A1544:F1544)=0,"",IF(A1544="","Missing equipment ID",IF(COUNTIFS($N$8:$N$2007,"="&amp;N1544)&gt;1,"Duplicate equipment ID",IF(B1544="","Missing type",IF(COUNTIFS('Rules'!$G$7:$G$26,"="&amp;(SUBSTITUTE(SUBSTITUTE(SUBSTITUTE(SUBSTITUTE("type:"&amp;B1544,"%","%25"),"~","%7E"),"*","%2A"),"?","%3F")))=0,"Unknown type",IF(COUNTIFS('Rules'!$G$7:$G$26,"="&amp;(SUBSTITUTE(SUBSTITUTE(SUBSTITUTE(SUBSTITUTE("type:"&amp;B1544,"%","%25"),"~","%7E"),"*","%2A"),"?","%3F")))&gt;1,"Duplicate type",IF(INDEX('Rules'!$F$7:$F$26,MATCH(SUBSTITUTE(SUBSTITUTE(SUBSTITUTE(SUBSTITUTE("type:"&amp;B1544,"%","%25"),"~","%7E"),"*","%2A"),"?","%3F"),'Rules'!$G$7:$G$26,0))&lt;&gt;"",INDEX('Rules'!$F$7:$F$26,MATCH(SUBSTITUTE(SUBSTITUTE(SUBSTITUTE(SUBSTITUTE("type:"&amp;B1544,"%","%25"),"~","%7E"),"*","%2A"),"?","%3F"),'Rules'!$G$7:$G$26,0)),IF(AND(C1544&lt;&gt;"",C1544&lt;&gt;INDEX('Rules'!$B$7:$B$26,MATCH(SUBSTITUTE(SUBSTITUTE(SUBSTITUTE(SUBSTITUTE("type:"&amp;B1544,"%","%25"),"~","%7E"),"*","%2A"),"?","%3F"),'Rules'!$G$7:$G$26,0))),"Unit mismatch",IF(IF(NOT(ISNUMBER(D1544)),TRUE,OR(D1544&lt;0,D1544&gt;999999999,ROUND(D1544,3)&lt;&gt;D1544)),"Invalid current reading",IF(AND(E1544&lt;&gt;"",IF(NOT(ISNUMBER(E1544)),TRUE,OR(E1544&lt;0,E1544&gt;999999999,ROUND(E1544,3)&lt;&gt;E1544))),"Invalid previous reading",IF(IF(NOT(ISNUMBER(F1544)),TRUE,OR(F1544&lt;0,F1544&gt;999999999,ROUND(F1544,3)&lt;&gt;F1544)),"Invalid last service",IF(AND(E1544&lt;&gt;"",D1544&lt;E1544),"Decreased reading",IF(F1544&gt;D1544,"Last service above current","")))))))))))))</x:f>
      </x:c>
      <x:c r="L1544" s="6" t="str">
        <x:f>IF(AND(NOT(COUNTA(A1544:F1544)=0),K1544=""),INDEX('Rules'!$C$7:$C$26,MATCH(SUBSTITUTE(SUBSTITUTE(SUBSTITUTE(SUBSTITUTE("type:"&amp;B1544,"%","%25"),"~","%7E"),"*","%2A"),"?","%3F"),'Rules'!$G$7:$G$26,0)),"")</x:f>
      </x:c>
      <x:c r="M1544" s="6" t="str">
        <x:f>IF(AND(NOT(COUNTA(A1544:F1544)=0),K1544=""),INDEX('Rules'!$D$7:$D$26,MATCH(SUBSTITUTE(SUBSTITUTE(SUBSTITUTE(SUBSTITUTE("type:"&amp;B1544,"%","%25"),"~","%7E"),"*","%2A"),"?","%3F"),'Rules'!$G$7:$G$26,0)),"")</x:f>
      </x:c>
      <x:c r="N1544" s="5" t="str">
        <x:f>IF(COUNTA(A1544:F1544)=0,"",SUBSTITUTE(SUBSTITUTE(SUBSTITUTE(SUBSTITUTE("id:"&amp;A1544,"%","%25"),"~","%7E"),"*","%2A"),"?","%3F"))</x:f>
      </x:c>
    </x:row>
    <x:row r="1545" ht="22" customHeight="1">
      <x:c r="A1545" s="3"/>
      <x:c r="B1545" s="3"/>
      <x:c r="C1545" s="3"/>
      <x:c r="D1545" s="4"/>
      <x:c r="E1545" s="4"/>
      <x:c r="F1545" s="4"/>
      <x:c r="G1545" s="5" t="str">
        <x:f>IF(COUNTA(A1545:F1545)=0,"",IF(K1545&lt;&gt;"","Review",IF(I1545&lt;0,"Overdue",IF(I1545=0,"Due now",IF(I1545&lt;=M1545,"Due soon","Not due")))))</x:f>
      </x:c>
      <x:c r="H1545" s="5" t="str">
        <x:f>IF(OR(COUNTA(A1545:F1545)=0,COUNTIFS('Rules'!$G$7:$G$26,"="&amp;(SUBSTITUTE(SUBSTITUTE(SUBSTITUTE(SUBSTITUTE("type:"&amp;B1545,"%","%25"),"~","%7E"),"*","%2A"),"?","%3F")))&lt;&gt;1),"",IF(OR(INDEX('Rules'!$B$7:$B$26,MATCH(SUBSTITUTE(SUBSTITUTE(SUBSTITUTE(SUBSTITUTE("type:"&amp;B1545,"%","%25"),"~","%7E"),"*","%2A"),"?","%3F"),'Rules'!$G$7:$G$26,0))="hours",INDEX('Rules'!$B$7:$B$26,MATCH(SUBSTITUTE(SUBSTITUTE(SUBSTITUTE(SUBSTITUTE("type:"&amp;B1545,"%","%25"),"~","%7E"),"*","%2A"),"?","%3F"),'Rules'!$G$7:$G$26,0))="km"),INDEX('Rules'!$B$7:$B$26,MATCH(SUBSTITUTE(SUBSTITUTE(SUBSTITUTE(SUBSTITUTE("type:"&amp;B1545,"%","%25"),"~","%7E"),"*","%2A"),"?","%3F"),'Rules'!$G$7:$G$26,0)),""))</x:f>
      </x:c>
      <x:c r="I1545" s="6" t="str">
        <x:f>IF(AND(NOT(COUNTA(A1545:F1545)=0),K1545=""),ROUND(J1545-D1545,3),"")</x:f>
      </x:c>
      <x:c r="J1545" s="6" t="str">
        <x:f>IF(AND(NOT(COUNTA(A1545:F1545)=0),K1545=""),ROUND(F1545+L1545,3),"")</x:f>
      </x:c>
      <x:c r="K1545" s="5" t="str">
        <x:f>IF(COUNTA(A1545:F1545)=0,"",IF(A1545="","Missing equipment ID",IF(COUNTIFS($N$8:$N$2007,"="&amp;N1545)&gt;1,"Duplicate equipment ID",IF(B1545="","Missing type",IF(COUNTIFS('Rules'!$G$7:$G$26,"="&amp;(SUBSTITUTE(SUBSTITUTE(SUBSTITUTE(SUBSTITUTE("type:"&amp;B1545,"%","%25"),"~","%7E"),"*","%2A"),"?","%3F")))=0,"Unknown type",IF(COUNTIFS('Rules'!$G$7:$G$26,"="&amp;(SUBSTITUTE(SUBSTITUTE(SUBSTITUTE(SUBSTITUTE("type:"&amp;B1545,"%","%25"),"~","%7E"),"*","%2A"),"?","%3F")))&gt;1,"Duplicate type",IF(INDEX('Rules'!$F$7:$F$26,MATCH(SUBSTITUTE(SUBSTITUTE(SUBSTITUTE(SUBSTITUTE("type:"&amp;B1545,"%","%25"),"~","%7E"),"*","%2A"),"?","%3F"),'Rules'!$G$7:$G$26,0))&lt;&gt;"",INDEX('Rules'!$F$7:$F$26,MATCH(SUBSTITUTE(SUBSTITUTE(SUBSTITUTE(SUBSTITUTE("type:"&amp;B1545,"%","%25"),"~","%7E"),"*","%2A"),"?","%3F"),'Rules'!$G$7:$G$26,0)),IF(AND(C1545&lt;&gt;"",C1545&lt;&gt;INDEX('Rules'!$B$7:$B$26,MATCH(SUBSTITUTE(SUBSTITUTE(SUBSTITUTE(SUBSTITUTE("type:"&amp;B1545,"%","%25"),"~","%7E"),"*","%2A"),"?","%3F"),'Rules'!$G$7:$G$26,0))),"Unit mismatch",IF(IF(NOT(ISNUMBER(D1545)),TRUE,OR(D1545&lt;0,D1545&gt;999999999,ROUND(D1545,3)&lt;&gt;D1545)),"Invalid current reading",IF(AND(E1545&lt;&gt;"",IF(NOT(ISNUMBER(E1545)),TRUE,OR(E1545&lt;0,E1545&gt;999999999,ROUND(E1545,3)&lt;&gt;E1545))),"Invalid previous reading",IF(IF(NOT(ISNUMBER(F1545)),TRUE,OR(F1545&lt;0,F1545&gt;999999999,ROUND(F1545,3)&lt;&gt;F1545)),"Invalid last service",IF(AND(E1545&lt;&gt;"",D1545&lt;E1545),"Decreased reading",IF(F1545&gt;D1545,"Last service above current","")))))))))))))</x:f>
      </x:c>
      <x:c r="L1545" s="6" t="str">
        <x:f>IF(AND(NOT(COUNTA(A1545:F1545)=0),K1545=""),INDEX('Rules'!$C$7:$C$26,MATCH(SUBSTITUTE(SUBSTITUTE(SUBSTITUTE(SUBSTITUTE("type:"&amp;B1545,"%","%25"),"~","%7E"),"*","%2A"),"?","%3F"),'Rules'!$G$7:$G$26,0)),"")</x:f>
      </x:c>
      <x:c r="M1545" s="6" t="str">
        <x:f>IF(AND(NOT(COUNTA(A1545:F1545)=0),K1545=""),INDEX('Rules'!$D$7:$D$26,MATCH(SUBSTITUTE(SUBSTITUTE(SUBSTITUTE(SUBSTITUTE("type:"&amp;B1545,"%","%25"),"~","%7E"),"*","%2A"),"?","%3F"),'Rules'!$G$7:$G$26,0)),"")</x:f>
      </x:c>
      <x:c r="N1545" s="5" t="str">
        <x:f>IF(COUNTA(A1545:F1545)=0,"",SUBSTITUTE(SUBSTITUTE(SUBSTITUTE(SUBSTITUTE("id:"&amp;A1545,"%","%25"),"~","%7E"),"*","%2A"),"?","%3F"))</x:f>
      </x:c>
    </x:row>
    <x:row r="1546" ht="22" customHeight="1">
      <x:c r="A1546" s="3"/>
      <x:c r="B1546" s="3"/>
      <x:c r="C1546" s="3"/>
      <x:c r="D1546" s="4"/>
      <x:c r="E1546" s="4"/>
      <x:c r="F1546" s="4"/>
      <x:c r="G1546" s="5" t="str">
        <x:f>IF(COUNTA(A1546:F1546)=0,"",IF(K1546&lt;&gt;"","Review",IF(I1546&lt;0,"Overdue",IF(I1546=0,"Due now",IF(I1546&lt;=M1546,"Due soon","Not due")))))</x:f>
      </x:c>
      <x:c r="H1546" s="5" t="str">
        <x:f>IF(OR(COUNTA(A1546:F1546)=0,COUNTIFS('Rules'!$G$7:$G$26,"="&amp;(SUBSTITUTE(SUBSTITUTE(SUBSTITUTE(SUBSTITUTE("type:"&amp;B1546,"%","%25"),"~","%7E"),"*","%2A"),"?","%3F")))&lt;&gt;1),"",IF(OR(INDEX('Rules'!$B$7:$B$26,MATCH(SUBSTITUTE(SUBSTITUTE(SUBSTITUTE(SUBSTITUTE("type:"&amp;B1546,"%","%25"),"~","%7E"),"*","%2A"),"?","%3F"),'Rules'!$G$7:$G$26,0))="hours",INDEX('Rules'!$B$7:$B$26,MATCH(SUBSTITUTE(SUBSTITUTE(SUBSTITUTE(SUBSTITUTE("type:"&amp;B1546,"%","%25"),"~","%7E"),"*","%2A"),"?","%3F"),'Rules'!$G$7:$G$26,0))="km"),INDEX('Rules'!$B$7:$B$26,MATCH(SUBSTITUTE(SUBSTITUTE(SUBSTITUTE(SUBSTITUTE("type:"&amp;B1546,"%","%25"),"~","%7E"),"*","%2A"),"?","%3F"),'Rules'!$G$7:$G$26,0)),""))</x:f>
      </x:c>
      <x:c r="I1546" s="6" t="str">
        <x:f>IF(AND(NOT(COUNTA(A1546:F1546)=0),K1546=""),ROUND(J1546-D1546,3),"")</x:f>
      </x:c>
      <x:c r="J1546" s="6" t="str">
        <x:f>IF(AND(NOT(COUNTA(A1546:F1546)=0),K1546=""),ROUND(F1546+L1546,3),"")</x:f>
      </x:c>
      <x:c r="K1546" s="5" t="str">
        <x:f>IF(COUNTA(A1546:F1546)=0,"",IF(A1546="","Missing equipment ID",IF(COUNTIFS($N$8:$N$2007,"="&amp;N1546)&gt;1,"Duplicate equipment ID",IF(B1546="","Missing type",IF(COUNTIFS('Rules'!$G$7:$G$26,"="&amp;(SUBSTITUTE(SUBSTITUTE(SUBSTITUTE(SUBSTITUTE("type:"&amp;B1546,"%","%25"),"~","%7E"),"*","%2A"),"?","%3F")))=0,"Unknown type",IF(COUNTIFS('Rules'!$G$7:$G$26,"="&amp;(SUBSTITUTE(SUBSTITUTE(SUBSTITUTE(SUBSTITUTE("type:"&amp;B1546,"%","%25"),"~","%7E"),"*","%2A"),"?","%3F")))&gt;1,"Duplicate type",IF(INDEX('Rules'!$F$7:$F$26,MATCH(SUBSTITUTE(SUBSTITUTE(SUBSTITUTE(SUBSTITUTE("type:"&amp;B1546,"%","%25"),"~","%7E"),"*","%2A"),"?","%3F"),'Rules'!$G$7:$G$26,0))&lt;&gt;"",INDEX('Rules'!$F$7:$F$26,MATCH(SUBSTITUTE(SUBSTITUTE(SUBSTITUTE(SUBSTITUTE("type:"&amp;B1546,"%","%25"),"~","%7E"),"*","%2A"),"?","%3F"),'Rules'!$G$7:$G$26,0)),IF(AND(C1546&lt;&gt;"",C1546&lt;&gt;INDEX('Rules'!$B$7:$B$26,MATCH(SUBSTITUTE(SUBSTITUTE(SUBSTITUTE(SUBSTITUTE("type:"&amp;B1546,"%","%25"),"~","%7E"),"*","%2A"),"?","%3F"),'Rules'!$G$7:$G$26,0))),"Unit mismatch",IF(IF(NOT(ISNUMBER(D1546)),TRUE,OR(D1546&lt;0,D1546&gt;999999999,ROUND(D1546,3)&lt;&gt;D1546)),"Invalid current reading",IF(AND(E1546&lt;&gt;"",IF(NOT(ISNUMBER(E1546)),TRUE,OR(E1546&lt;0,E1546&gt;999999999,ROUND(E1546,3)&lt;&gt;E1546))),"Invalid previous reading",IF(IF(NOT(ISNUMBER(F1546)),TRUE,OR(F1546&lt;0,F1546&gt;999999999,ROUND(F1546,3)&lt;&gt;F1546)),"Invalid last service",IF(AND(E1546&lt;&gt;"",D1546&lt;E1546),"Decreased reading",IF(F1546&gt;D1546,"Last service above current","")))))))))))))</x:f>
      </x:c>
      <x:c r="L1546" s="6" t="str">
        <x:f>IF(AND(NOT(COUNTA(A1546:F1546)=0),K1546=""),INDEX('Rules'!$C$7:$C$26,MATCH(SUBSTITUTE(SUBSTITUTE(SUBSTITUTE(SUBSTITUTE("type:"&amp;B1546,"%","%25"),"~","%7E"),"*","%2A"),"?","%3F"),'Rules'!$G$7:$G$26,0)),"")</x:f>
      </x:c>
      <x:c r="M1546" s="6" t="str">
        <x:f>IF(AND(NOT(COUNTA(A1546:F1546)=0),K1546=""),INDEX('Rules'!$D$7:$D$26,MATCH(SUBSTITUTE(SUBSTITUTE(SUBSTITUTE(SUBSTITUTE("type:"&amp;B1546,"%","%25"),"~","%7E"),"*","%2A"),"?","%3F"),'Rules'!$G$7:$G$26,0)),"")</x:f>
      </x:c>
      <x:c r="N1546" s="5" t="str">
        <x:f>IF(COUNTA(A1546:F1546)=0,"",SUBSTITUTE(SUBSTITUTE(SUBSTITUTE(SUBSTITUTE("id:"&amp;A1546,"%","%25"),"~","%7E"),"*","%2A"),"?","%3F"))</x:f>
      </x:c>
    </x:row>
    <x:row r="1547" ht="22" customHeight="1">
      <x:c r="A1547" s="3"/>
      <x:c r="B1547" s="3"/>
      <x:c r="C1547" s="3"/>
      <x:c r="D1547" s="4"/>
      <x:c r="E1547" s="4"/>
      <x:c r="F1547" s="4"/>
      <x:c r="G1547" s="5" t="str">
        <x:f>IF(COUNTA(A1547:F1547)=0,"",IF(K1547&lt;&gt;"","Review",IF(I1547&lt;0,"Overdue",IF(I1547=0,"Due now",IF(I1547&lt;=M1547,"Due soon","Not due")))))</x:f>
      </x:c>
      <x:c r="H1547" s="5" t="str">
        <x:f>IF(OR(COUNTA(A1547:F1547)=0,COUNTIFS('Rules'!$G$7:$G$26,"="&amp;(SUBSTITUTE(SUBSTITUTE(SUBSTITUTE(SUBSTITUTE("type:"&amp;B1547,"%","%25"),"~","%7E"),"*","%2A"),"?","%3F")))&lt;&gt;1),"",IF(OR(INDEX('Rules'!$B$7:$B$26,MATCH(SUBSTITUTE(SUBSTITUTE(SUBSTITUTE(SUBSTITUTE("type:"&amp;B1547,"%","%25"),"~","%7E"),"*","%2A"),"?","%3F"),'Rules'!$G$7:$G$26,0))="hours",INDEX('Rules'!$B$7:$B$26,MATCH(SUBSTITUTE(SUBSTITUTE(SUBSTITUTE(SUBSTITUTE("type:"&amp;B1547,"%","%25"),"~","%7E"),"*","%2A"),"?","%3F"),'Rules'!$G$7:$G$26,0))="km"),INDEX('Rules'!$B$7:$B$26,MATCH(SUBSTITUTE(SUBSTITUTE(SUBSTITUTE(SUBSTITUTE("type:"&amp;B1547,"%","%25"),"~","%7E"),"*","%2A"),"?","%3F"),'Rules'!$G$7:$G$26,0)),""))</x:f>
      </x:c>
      <x:c r="I1547" s="6" t="str">
        <x:f>IF(AND(NOT(COUNTA(A1547:F1547)=0),K1547=""),ROUND(J1547-D1547,3),"")</x:f>
      </x:c>
      <x:c r="J1547" s="6" t="str">
        <x:f>IF(AND(NOT(COUNTA(A1547:F1547)=0),K1547=""),ROUND(F1547+L1547,3),"")</x:f>
      </x:c>
      <x:c r="K1547" s="5" t="str">
        <x:f>IF(COUNTA(A1547:F1547)=0,"",IF(A1547="","Missing equipment ID",IF(COUNTIFS($N$8:$N$2007,"="&amp;N1547)&gt;1,"Duplicate equipment ID",IF(B1547="","Missing type",IF(COUNTIFS('Rules'!$G$7:$G$26,"="&amp;(SUBSTITUTE(SUBSTITUTE(SUBSTITUTE(SUBSTITUTE("type:"&amp;B1547,"%","%25"),"~","%7E"),"*","%2A"),"?","%3F")))=0,"Unknown type",IF(COUNTIFS('Rules'!$G$7:$G$26,"="&amp;(SUBSTITUTE(SUBSTITUTE(SUBSTITUTE(SUBSTITUTE("type:"&amp;B1547,"%","%25"),"~","%7E"),"*","%2A"),"?","%3F")))&gt;1,"Duplicate type",IF(INDEX('Rules'!$F$7:$F$26,MATCH(SUBSTITUTE(SUBSTITUTE(SUBSTITUTE(SUBSTITUTE("type:"&amp;B1547,"%","%25"),"~","%7E"),"*","%2A"),"?","%3F"),'Rules'!$G$7:$G$26,0))&lt;&gt;"",INDEX('Rules'!$F$7:$F$26,MATCH(SUBSTITUTE(SUBSTITUTE(SUBSTITUTE(SUBSTITUTE("type:"&amp;B1547,"%","%25"),"~","%7E"),"*","%2A"),"?","%3F"),'Rules'!$G$7:$G$26,0)),IF(AND(C1547&lt;&gt;"",C1547&lt;&gt;INDEX('Rules'!$B$7:$B$26,MATCH(SUBSTITUTE(SUBSTITUTE(SUBSTITUTE(SUBSTITUTE("type:"&amp;B1547,"%","%25"),"~","%7E"),"*","%2A"),"?","%3F"),'Rules'!$G$7:$G$26,0))),"Unit mismatch",IF(IF(NOT(ISNUMBER(D1547)),TRUE,OR(D1547&lt;0,D1547&gt;999999999,ROUND(D1547,3)&lt;&gt;D1547)),"Invalid current reading",IF(AND(E1547&lt;&gt;"",IF(NOT(ISNUMBER(E1547)),TRUE,OR(E1547&lt;0,E1547&gt;999999999,ROUND(E1547,3)&lt;&gt;E1547))),"Invalid previous reading",IF(IF(NOT(ISNUMBER(F1547)),TRUE,OR(F1547&lt;0,F1547&gt;999999999,ROUND(F1547,3)&lt;&gt;F1547)),"Invalid last service",IF(AND(E1547&lt;&gt;"",D1547&lt;E1547),"Decreased reading",IF(F1547&gt;D1547,"Last service above current","")))))))))))))</x:f>
      </x:c>
      <x:c r="L1547" s="6" t="str">
        <x:f>IF(AND(NOT(COUNTA(A1547:F1547)=0),K1547=""),INDEX('Rules'!$C$7:$C$26,MATCH(SUBSTITUTE(SUBSTITUTE(SUBSTITUTE(SUBSTITUTE("type:"&amp;B1547,"%","%25"),"~","%7E"),"*","%2A"),"?","%3F"),'Rules'!$G$7:$G$26,0)),"")</x:f>
      </x:c>
      <x:c r="M1547" s="6" t="str">
        <x:f>IF(AND(NOT(COUNTA(A1547:F1547)=0),K1547=""),INDEX('Rules'!$D$7:$D$26,MATCH(SUBSTITUTE(SUBSTITUTE(SUBSTITUTE(SUBSTITUTE("type:"&amp;B1547,"%","%25"),"~","%7E"),"*","%2A"),"?","%3F"),'Rules'!$G$7:$G$26,0)),"")</x:f>
      </x:c>
      <x:c r="N1547" s="5" t="str">
        <x:f>IF(COUNTA(A1547:F1547)=0,"",SUBSTITUTE(SUBSTITUTE(SUBSTITUTE(SUBSTITUTE("id:"&amp;A1547,"%","%25"),"~","%7E"),"*","%2A"),"?","%3F"))</x:f>
      </x:c>
    </x:row>
    <x:row r="1548" ht="22" customHeight="1">
      <x:c r="A1548" s="3"/>
      <x:c r="B1548" s="3"/>
      <x:c r="C1548" s="3"/>
      <x:c r="D1548" s="4"/>
      <x:c r="E1548" s="4"/>
      <x:c r="F1548" s="4"/>
      <x:c r="G1548" s="5" t="str">
        <x:f>IF(COUNTA(A1548:F1548)=0,"",IF(K1548&lt;&gt;"","Review",IF(I1548&lt;0,"Overdue",IF(I1548=0,"Due now",IF(I1548&lt;=M1548,"Due soon","Not due")))))</x:f>
      </x:c>
      <x:c r="H1548" s="5" t="str">
        <x:f>IF(OR(COUNTA(A1548:F1548)=0,COUNTIFS('Rules'!$G$7:$G$26,"="&amp;(SUBSTITUTE(SUBSTITUTE(SUBSTITUTE(SUBSTITUTE("type:"&amp;B1548,"%","%25"),"~","%7E"),"*","%2A"),"?","%3F")))&lt;&gt;1),"",IF(OR(INDEX('Rules'!$B$7:$B$26,MATCH(SUBSTITUTE(SUBSTITUTE(SUBSTITUTE(SUBSTITUTE("type:"&amp;B1548,"%","%25"),"~","%7E"),"*","%2A"),"?","%3F"),'Rules'!$G$7:$G$26,0))="hours",INDEX('Rules'!$B$7:$B$26,MATCH(SUBSTITUTE(SUBSTITUTE(SUBSTITUTE(SUBSTITUTE("type:"&amp;B1548,"%","%25"),"~","%7E"),"*","%2A"),"?","%3F"),'Rules'!$G$7:$G$26,0))="km"),INDEX('Rules'!$B$7:$B$26,MATCH(SUBSTITUTE(SUBSTITUTE(SUBSTITUTE(SUBSTITUTE("type:"&amp;B1548,"%","%25"),"~","%7E"),"*","%2A"),"?","%3F"),'Rules'!$G$7:$G$26,0)),""))</x:f>
      </x:c>
      <x:c r="I1548" s="6" t="str">
        <x:f>IF(AND(NOT(COUNTA(A1548:F1548)=0),K1548=""),ROUND(J1548-D1548,3),"")</x:f>
      </x:c>
      <x:c r="J1548" s="6" t="str">
        <x:f>IF(AND(NOT(COUNTA(A1548:F1548)=0),K1548=""),ROUND(F1548+L1548,3),"")</x:f>
      </x:c>
      <x:c r="K1548" s="5" t="str">
        <x:f>IF(COUNTA(A1548:F1548)=0,"",IF(A1548="","Missing equipment ID",IF(COUNTIFS($N$8:$N$2007,"="&amp;N1548)&gt;1,"Duplicate equipment ID",IF(B1548="","Missing type",IF(COUNTIFS('Rules'!$G$7:$G$26,"="&amp;(SUBSTITUTE(SUBSTITUTE(SUBSTITUTE(SUBSTITUTE("type:"&amp;B1548,"%","%25"),"~","%7E"),"*","%2A"),"?","%3F")))=0,"Unknown type",IF(COUNTIFS('Rules'!$G$7:$G$26,"="&amp;(SUBSTITUTE(SUBSTITUTE(SUBSTITUTE(SUBSTITUTE("type:"&amp;B1548,"%","%25"),"~","%7E"),"*","%2A"),"?","%3F")))&gt;1,"Duplicate type",IF(INDEX('Rules'!$F$7:$F$26,MATCH(SUBSTITUTE(SUBSTITUTE(SUBSTITUTE(SUBSTITUTE("type:"&amp;B1548,"%","%25"),"~","%7E"),"*","%2A"),"?","%3F"),'Rules'!$G$7:$G$26,0))&lt;&gt;"",INDEX('Rules'!$F$7:$F$26,MATCH(SUBSTITUTE(SUBSTITUTE(SUBSTITUTE(SUBSTITUTE("type:"&amp;B1548,"%","%25"),"~","%7E"),"*","%2A"),"?","%3F"),'Rules'!$G$7:$G$26,0)),IF(AND(C1548&lt;&gt;"",C1548&lt;&gt;INDEX('Rules'!$B$7:$B$26,MATCH(SUBSTITUTE(SUBSTITUTE(SUBSTITUTE(SUBSTITUTE("type:"&amp;B1548,"%","%25"),"~","%7E"),"*","%2A"),"?","%3F"),'Rules'!$G$7:$G$26,0))),"Unit mismatch",IF(IF(NOT(ISNUMBER(D1548)),TRUE,OR(D1548&lt;0,D1548&gt;999999999,ROUND(D1548,3)&lt;&gt;D1548)),"Invalid current reading",IF(AND(E1548&lt;&gt;"",IF(NOT(ISNUMBER(E1548)),TRUE,OR(E1548&lt;0,E1548&gt;999999999,ROUND(E1548,3)&lt;&gt;E1548))),"Invalid previous reading",IF(IF(NOT(ISNUMBER(F1548)),TRUE,OR(F1548&lt;0,F1548&gt;999999999,ROUND(F1548,3)&lt;&gt;F1548)),"Invalid last service",IF(AND(E1548&lt;&gt;"",D1548&lt;E1548),"Decreased reading",IF(F1548&gt;D1548,"Last service above current","")))))))))))))</x:f>
      </x:c>
      <x:c r="L1548" s="6" t="str">
        <x:f>IF(AND(NOT(COUNTA(A1548:F1548)=0),K1548=""),INDEX('Rules'!$C$7:$C$26,MATCH(SUBSTITUTE(SUBSTITUTE(SUBSTITUTE(SUBSTITUTE("type:"&amp;B1548,"%","%25"),"~","%7E"),"*","%2A"),"?","%3F"),'Rules'!$G$7:$G$26,0)),"")</x:f>
      </x:c>
      <x:c r="M1548" s="6" t="str">
        <x:f>IF(AND(NOT(COUNTA(A1548:F1548)=0),K1548=""),INDEX('Rules'!$D$7:$D$26,MATCH(SUBSTITUTE(SUBSTITUTE(SUBSTITUTE(SUBSTITUTE("type:"&amp;B1548,"%","%25"),"~","%7E"),"*","%2A"),"?","%3F"),'Rules'!$G$7:$G$26,0)),"")</x:f>
      </x:c>
      <x:c r="N1548" s="5" t="str">
        <x:f>IF(COUNTA(A1548:F1548)=0,"",SUBSTITUTE(SUBSTITUTE(SUBSTITUTE(SUBSTITUTE("id:"&amp;A1548,"%","%25"),"~","%7E"),"*","%2A"),"?","%3F"))</x:f>
      </x:c>
    </x:row>
    <x:row r="1549" ht="22" customHeight="1">
      <x:c r="A1549" s="3"/>
      <x:c r="B1549" s="3"/>
      <x:c r="C1549" s="3"/>
      <x:c r="D1549" s="4"/>
      <x:c r="E1549" s="4"/>
      <x:c r="F1549" s="4"/>
      <x:c r="G1549" s="5" t="str">
        <x:f>IF(COUNTA(A1549:F1549)=0,"",IF(K1549&lt;&gt;"","Review",IF(I1549&lt;0,"Overdue",IF(I1549=0,"Due now",IF(I1549&lt;=M1549,"Due soon","Not due")))))</x:f>
      </x:c>
      <x:c r="H1549" s="5" t="str">
        <x:f>IF(OR(COUNTA(A1549:F1549)=0,COUNTIFS('Rules'!$G$7:$G$26,"="&amp;(SUBSTITUTE(SUBSTITUTE(SUBSTITUTE(SUBSTITUTE("type:"&amp;B1549,"%","%25"),"~","%7E"),"*","%2A"),"?","%3F")))&lt;&gt;1),"",IF(OR(INDEX('Rules'!$B$7:$B$26,MATCH(SUBSTITUTE(SUBSTITUTE(SUBSTITUTE(SUBSTITUTE("type:"&amp;B1549,"%","%25"),"~","%7E"),"*","%2A"),"?","%3F"),'Rules'!$G$7:$G$26,0))="hours",INDEX('Rules'!$B$7:$B$26,MATCH(SUBSTITUTE(SUBSTITUTE(SUBSTITUTE(SUBSTITUTE("type:"&amp;B1549,"%","%25"),"~","%7E"),"*","%2A"),"?","%3F"),'Rules'!$G$7:$G$26,0))="km"),INDEX('Rules'!$B$7:$B$26,MATCH(SUBSTITUTE(SUBSTITUTE(SUBSTITUTE(SUBSTITUTE("type:"&amp;B1549,"%","%25"),"~","%7E"),"*","%2A"),"?","%3F"),'Rules'!$G$7:$G$26,0)),""))</x:f>
      </x:c>
      <x:c r="I1549" s="6" t="str">
        <x:f>IF(AND(NOT(COUNTA(A1549:F1549)=0),K1549=""),ROUND(J1549-D1549,3),"")</x:f>
      </x:c>
      <x:c r="J1549" s="6" t="str">
        <x:f>IF(AND(NOT(COUNTA(A1549:F1549)=0),K1549=""),ROUND(F1549+L1549,3),"")</x:f>
      </x:c>
      <x:c r="K1549" s="5" t="str">
        <x:f>IF(COUNTA(A1549:F1549)=0,"",IF(A1549="","Missing equipment ID",IF(COUNTIFS($N$8:$N$2007,"="&amp;N1549)&gt;1,"Duplicate equipment ID",IF(B1549="","Missing type",IF(COUNTIFS('Rules'!$G$7:$G$26,"="&amp;(SUBSTITUTE(SUBSTITUTE(SUBSTITUTE(SUBSTITUTE("type:"&amp;B1549,"%","%25"),"~","%7E"),"*","%2A"),"?","%3F")))=0,"Unknown type",IF(COUNTIFS('Rules'!$G$7:$G$26,"="&amp;(SUBSTITUTE(SUBSTITUTE(SUBSTITUTE(SUBSTITUTE("type:"&amp;B1549,"%","%25"),"~","%7E"),"*","%2A"),"?","%3F")))&gt;1,"Duplicate type",IF(INDEX('Rules'!$F$7:$F$26,MATCH(SUBSTITUTE(SUBSTITUTE(SUBSTITUTE(SUBSTITUTE("type:"&amp;B1549,"%","%25"),"~","%7E"),"*","%2A"),"?","%3F"),'Rules'!$G$7:$G$26,0))&lt;&gt;"",INDEX('Rules'!$F$7:$F$26,MATCH(SUBSTITUTE(SUBSTITUTE(SUBSTITUTE(SUBSTITUTE("type:"&amp;B1549,"%","%25"),"~","%7E"),"*","%2A"),"?","%3F"),'Rules'!$G$7:$G$26,0)),IF(AND(C1549&lt;&gt;"",C1549&lt;&gt;INDEX('Rules'!$B$7:$B$26,MATCH(SUBSTITUTE(SUBSTITUTE(SUBSTITUTE(SUBSTITUTE("type:"&amp;B1549,"%","%25"),"~","%7E"),"*","%2A"),"?","%3F"),'Rules'!$G$7:$G$26,0))),"Unit mismatch",IF(IF(NOT(ISNUMBER(D1549)),TRUE,OR(D1549&lt;0,D1549&gt;999999999,ROUND(D1549,3)&lt;&gt;D1549)),"Invalid current reading",IF(AND(E1549&lt;&gt;"",IF(NOT(ISNUMBER(E1549)),TRUE,OR(E1549&lt;0,E1549&gt;999999999,ROUND(E1549,3)&lt;&gt;E1549))),"Invalid previous reading",IF(IF(NOT(ISNUMBER(F1549)),TRUE,OR(F1549&lt;0,F1549&gt;999999999,ROUND(F1549,3)&lt;&gt;F1549)),"Invalid last service",IF(AND(E1549&lt;&gt;"",D1549&lt;E1549),"Decreased reading",IF(F1549&gt;D1549,"Last service above current","")))))))))))))</x:f>
      </x:c>
      <x:c r="L1549" s="6" t="str">
        <x:f>IF(AND(NOT(COUNTA(A1549:F1549)=0),K1549=""),INDEX('Rules'!$C$7:$C$26,MATCH(SUBSTITUTE(SUBSTITUTE(SUBSTITUTE(SUBSTITUTE("type:"&amp;B1549,"%","%25"),"~","%7E"),"*","%2A"),"?","%3F"),'Rules'!$G$7:$G$26,0)),"")</x:f>
      </x:c>
      <x:c r="M1549" s="6" t="str">
        <x:f>IF(AND(NOT(COUNTA(A1549:F1549)=0),K1549=""),INDEX('Rules'!$D$7:$D$26,MATCH(SUBSTITUTE(SUBSTITUTE(SUBSTITUTE(SUBSTITUTE("type:"&amp;B1549,"%","%25"),"~","%7E"),"*","%2A"),"?","%3F"),'Rules'!$G$7:$G$26,0)),"")</x:f>
      </x:c>
      <x:c r="N1549" s="5" t="str">
        <x:f>IF(COUNTA(A1549:F1549)=0,"",SUBSTITUTE(SUBSTITUTE(SUBSTITUTE(SUBSTITUTE("id:"&amp;A1549,"%","%25"),"~","%7E"),"*","%2A"),"?","%3F"))</x:f>
      </x:c>
    </x:row>
    <x:row r="1550" ht="22" customHeight="1">
      <x:c r="A1550" s="3"/>
      <x:c r="B1550" s="3"/>
      <x:c r="C1550" s="3"/>
      <x:c r="D1550" s="4"/>
      <x:c r="E1550" s="4"/>
      <x:c r="F1550" s="4"/>
      <x:c r="G1550" s="5" t="str">
        <x:f>IF(COUNTA(A1550:F1550)=0,"",IF(K1550&lt;&gt;"","Review",IF(I1550&lt;0,"Overdue",IF(I1550=0,"Due now",IF(I1550&lt;=M1550,"Due soon","Not due")))))</x:f>
      </x:c>
      <x:c r="H1550" s="5" t="str">
        <x:f>IF(OR(COUNTA(A1550:F1550)=0,COUNTIFS('Rules'!$G$7:$G$26,"="&amp;(SUBSTITUTE(SUBSTITUTE(SUBSTITUTE(SUBSTITUTE("type:"&amp;B1550,"%","%25"),"~","%7E"),"*","%2A"),"?","%3F")))&lt;&gt;1),"",IF(OR(INDEX('Rules'!$B$7:$B$26,MATCH(SUBSTITUTE(SUBSTITUTE(SUBSTITUTE(SUBSTITUTE("type:"&amp;B1550,"%","%25"),"~","%7E"),"*","%2A"),"?","%3F"),'Rules'!$G$7:$G$26,0))="hours",INDEX('Rules'!$B$7:$B$26,MATCH(SUBSTITUTE(SUBSTITUTE(SUBSTITUTE(SUBSTITUTE("type:"&amp;B1550,"%","%25"),"~","%7E"),"*","%2A"),"?","%3F"),'Rules'!$G$7:$G$26,0))="km"),INDEX('Rules'!$B$7:$B$26,MATCH(SUBSTITUTE(SUBSTITUTE(SUBSTITUTE(SUBSTITUTE("type:"&amp;B1550,"%","%25"),"~","%7E"),"*","%2A"),"?","%3F"),'Rules'!$G$7:$G$26,0)),""))</x:f>
      </x:c>
      <x:c r="I1550" s="6" t="str">
        <x:f>IF(AND(NOT(COUNTA(A1550:F1550)=0),K1550=""),ROUND(J1550-D1550,3),"")</x:f>
      </x:c>
      <x:c r="J1550" s="6" t="str">
        <x:f>IF(AND(NOT(COUNTA(A1550:F1550)=0),K1550=""),ROUND(F1550+L1550,3),"")</x:f>
      </x:c>
      <x:c r="K1550" s="5" t="str">
        <x:f>IF(COUNTA(A1550:F1550)=0,"",IF(A1550="","Missing equipment ID",IF(COUNTIFS($N$8:$N$2007,"="&amp;N1550)&gt;1,"Duplicate equipment ID",IF(B1550="","Missing type",IF(COUNTIFS('Rules'!$G$7:$G$26,"="&amp;(SUBSTITUTE(SUBSTITUTE(SUBSTITUTE(SUBSTITUTE("type:"&amp;B1550,"%","%25"),"~","%7E"),"*","%2A"),"?","%3F")))=0,"Unknown type",IF(COUNTIFS('Rules'!$G$7:$G$26,"="&amp;(SUBSTITUTE(SUBSTITUTE(SUBSTITUTE(SUBSTITUTE("type:"&amp;B1550,"%","%25"),"~","%7E"),"*","%2A"),"?","%3F")))&gt;1,"Duplicate type",IF(INDEX('Rules'!$F$7:$F$26,MATCH(SUBSTITUTE(SUBSTITUTE(SUBSTITUTE(SUBSTITUTE("type:"&amp;B1550,"%","%25"),"~","%7E"),"*","%2A"),"?","%3F"),'Rules'!$G$7:$G$26,0))&lt;&gt;"",INDEX('Rules'!$F$7:$F$26,MATCH(SUBSTITUTE(SUBSTITUTE(SUBSTITUTE(SUBSTITUTE("type:"&amp;B1550,"%","%25"),"~","%7E"),"*","%2A"),"?","%3F"),'Rules'!$G$7:$G$26,0)),IF(AND(C1550&lt;&gt;"",C1550&lt;&gt;INDEX('Rules'!$B$7:$B$26,MATCH(SUBSTITUTE(SUBSTITUTE(SUBSTITUTE(SUBSTITUTE("type:"&amp;B1550,"%","%25"),"~","%7E"),"*","%2A"),"?","%3F"),'Rules'!$G$7:$G$26,0))),"Unit mismatch",IF(IF(NOT(ISNUMBER(D1550)),TRUE,OR(D1550&lt;0,D1550&gt;999999999,ROUND(D1550,3)&lt;&gt;D1550)),"Invalid current reading",IF(AND(E1550&lt;&gt;"",IF(NOT(ISNUMBER(E1550)),TRUE,OR(E1550&lt;0,E1550&gt;999999999,ROUND(E1550,3)&lt;&gt;E1550))),"Invalid previous reading",IF(IF(NOT(ISNUMBER(F1550)),TRUE,OR(F1550&lt;0,F1550&gt;999999999,ROUND(F1550,3)&lt;&gt;F1550)),"Invalid last service",IF(AND(E1550&lt;&gt;"",D1550&lt;E1550),"Decreased reading",IF(F1550&gt;D1550,"Last service above current","")))))))))))))</x:f>
      </x:c>
      <x:c r="L1550" s="6" t="str">
        <x:f>IF(AND(NOT(COUNTA(A1550:F1550)=0),K1550=""),INDEX('Rules'!$C$7:$C$26,MATCH(SUBSTITUTE(SUBSTITUTE(SUBSTITUTE(SUBSTITUTE("type:"&amp;B1550,"%","%25"),"~","%7E"),"*","%2A"),"?","%3F"),'Rules'!$G$7:$G$26,0)),"")</x:f>
      </x:c>
      <x:c r="M1550" s="6" t="str">
        <x:f>IF(AND(NOT(COUNTA(A1550:F1550)=0),K1550=""),INDEX('Rules'!$D$7:$D$26,MATCH(SUBSTITUTE(SUBSTITUTE(SUBSTITUTE(SUBSTITUTE("type:"&amp;B1550,"%","%25"),"~","%7E"),"*","%2A"),"?","%3F"),'Rules'!$G$7:$G$26,0)),"")</x:f>
      </x:c>
      <x:c r="N1550" s="5" t="str">
        <x:f>IF(COUNTA(A1550:F1550)=0,"",SUBSTITUTE(SUBSTITUTE(SUBSTITUTE(SUBSTITUTE("id:"&amp;A1550,"%","%25"),"~","%7E"),"*","%2A"),"?","%3F"))</x:f>
      </x:c>
    </x:row>
    <x:row r="1551" ht="22" customHeight="1">
      <x:c r="A1551" s="3"/>
      <x:c r="B1551" s="3"/>
      <x:c r="C1551" s="3"/>
      <x:c r="D1551" s="4"/>
      <x:c r="E1551" s="4"/>
      <x:c r="F1551" s="4"/>
      <x:c r="G1551" s="5" t="str">
        <x:f>IF(COUNTA(A1551:F1551)=0,"",IF(K1551&lt;&gt;"","Review",IF(I1551&lt;0,"Overdue",IF(I1551=0,"Due now",IF(I1551&lt;=M1551,"Due soon","Not due")))))</x:f>
      </x:c>
      <x:c r="H1551" s="5" t="str">
        <x:f>IF(OR(COUNTA(A1551:F1551)=0,COUNTIFS('Rules'!$G$7:$G$26,"="&amp;(SUBSTITUTE(SUBSTITUTE(SUBSTITUTE(SUBSTITUTE("type:"&amp;B1551,"%","%25"),"~","%7E"),"*","%2A"),"?","%3F")))&lt;&gt;1),"",IF(OR(INDEX('Rules'!$B$7:$B$26,MATCH(SUBSTITUTE(SUBSTITUTE(SUBSTITUTE(SUBSTITUTE("type:"&amp;B1551,"%","%25"),"~","%7E"),"*","%2A"),"?","%3F"),'Rules'!$G$7:$G$26,0))="hours",INDEX('Rules'!$B$7:$B$26,MATCH(SUBSTITUTE(SUBSTITUTE(SUBSTITUTE(SUBSTITUTE("type:"&amp;B1551,"%","%25"),"~","%7E"),"*","%2A"),"?","%3F"),'Rules'!$G$7:$G$26,0))="km"),INDEX('Rules'!$B$7:$B$26,MATCH(SUBSTITUTE(SUBSTITUTE(SUBSTITUTE(SUBSTITUTE("type:"&amp;B1551,"%","%25"),"~","%7E"),"*","%2A"),"?","%3F"),'Rules'!$G$7:$G$26,0)),""))</x:f>
      </x:c>
      <x:c r="I1551" s="6" t="str">
        <x:f>IF(AND(NOT(COUNTA(A1551:F1551)=0),K1551=""),ROUND(J1551-D1551,3),"")</x:f>
      </x:c>
      <x:c r="J1551" s="6" t="str">
        <x:f>IF(AND(NOT(COUNTA(A1551:F1551)=0),K1551=""),ROUND(F1551+L1551,3),"")</x:f>
      </x:c>
      <x:c r="K1551" s="5" t="str">
        <x:f>IF(COUNTA(A1551:F1551)=0,"",IF(A1551="","Missing equipment ID",IF(COUNTIFS($N$8:$N$2007,"="&amp;N1551)&gt;1,"Duplicate equipment ID",IF(B1551="","Missing type",IF(COUNTIFS('Rules'!$G$7:$G$26,"="&amp;(SUBSTITUTE(SUBSTITUTE(SUBSTITUTE(SUBSTITUTE("type:"&amp;B1551,"%","%25"),"~","%7E"),"*","%2A"),"?","%3F")))=0,"Unknown type",IF(COUNTIFS('Rules'!$G$7:$G$26,"="&amp;(SUBSTITUTE(SUBSTITUTE(SUBSTITUTE(SUBSTITUTE("type:"&amp;B1551,"%","%25"),"~","%7E"),"*","%2A"),"?","%3F")))&gt;1,"Duplicate type",IF(INDEX('Rules'!$F$7:$F$26,MATCH(SUBSTITUTE(SUBSTITUTE(SUBSTITUTE(SUBSTITUTE("type:"&amp;B1551,"%","%25"),"~","%7E"),"*","%2A"),"?","%3F"),'Rules'!$G$7:$G$26,0))&lt;&gt;"",INDEX('Rules'!$F$7:$F$26,MATCH(SUBSTITUTE(SUBSTITUTE(SUBSTITUTE(SUBSTITUTE("type:"&amp;B1551,"%","%25"),"~","%7E"),"*","%2A"),"?","%3F"),'Rules'!$G$7:$G$26,0)),IF(AND(C1551&lt;&gt;"",C1551&lt;&gt;INDEX('Rules'!$B$7:$B$26,MATCH(SUBSTITUTE(SUBSTITUTE(SUBSTITUTE(SUBSTITUTE("type:"&amp;B1551,"%","%25"),"~","%7E"),"*","%2A"),"?","%3F"),'Rules'!$G$7:$G$26,0))),"Unit mismatch",IF(IF(NOT(ISNUMBER(D1551)),TRUE,OR(D1551&lt;0,D1551&gt;999999999,ROUND(D1551,3)&lt;&gt;D1551)),"Invalid current reading",IF(AND(E1551&lt;&gt;"",IF(NOT(ISNUMBER(E1551)),TRUE,OR(E1551&lt;0,E1551&gt;999999999,ROUND(E1551,3)&lt;&gt;E1551))),"Invalid previous reading",IF(IF(NOT(ISNUMBER(F1551)),TRUE,OR(F1551&lt;0,F1551&gt;999999999,ROUND(F1551,3)&lt;&gt;F1551)),"Invalid last service",IF(AND(E1551&lt;&gt;"",D1551&lt;E1551),"Decreased reading",IF(F1551&gt;D1551,"Last service above current","")))))))))))))</x:f>
      </x:c>
      <x:c r="L1551" s="6" t="str">
        <x:f>IF(AND(NOT(COUNTA(A1551:F1551)=0),K1551=""),INDEX('Rules'!$C$7:$C$26,MATCH(SUBSTITUTE(SUBSTITUTE(SUBSTITUTE(SUBSTITUTE("type:"&amp;B1551,"%","%25"),"~","%7E"),"*","%2A"),"?","%3F"),'Rules'!$G$7:$G$26,0)),"")</x:f>
      </x:c>
      <x:c r="M1551" s="6" t="str">
        <x:f>IF(AND(NOT(COUNTA(A1551:F1551)=0),K1551=""),INDEX('Rules'!$D$7:$D$26,MATCH(SUBSTITUTE(SUBSTITUTE(SUBSTITUTE(SUBSTITUTE("type:"&amp;B1551,"%","%25"),"~","%7E"),"*","%2A"),"?","%3F"),'Rules'!$G$7:$G$26,0)),"")</x:f>
      </x:c>
      <x:c r="N1551" s="5" t="str">
        <x:f>IF(COUNTA(A1551:F1551)=0,"",SUBSTITUTE(SUBSTITUTE(SUBSTITUTE(SUBSTITUTE("id:"&amp;A1551,"%","%25"),"~","%7E"),"*","%2A"),"?","%3F"))</x:f>
      </x:c>
    </x:row>
    <x:row r="1552" ht="22" customHeight="1">
      <x:c r="A1552" s="3"/>
      <x:c r="B1552" s="3"/>
      <x:c r="C1552" s="3"/>
      <x:c r="D1552" s="4"/>
      <x:c r="E1552" s="4"/>
      <x:c r="F1552" s="4"/>
      <x:c r="G1552" s="5" t="str">
        <x:f>IF(COUNTA(A1552:F1552)=0,"",IF(K1552&lt;&gt;"","Review",IF(I1552&lt;0,"Overdue",IF(I1552=0,"Due now",IF(I1552&lt;=M1552,"Due soon","Not due")))))</x:f>
      </x:c>
      <x:c r="H1552" s="5" t="str">
        <x:f>IF(OR(COUNTA(A1552:F1552)=0,COUNTIFS('Rules'!$G$7:$G$26,"="&amp;(SUBSTITUTE(SUBSTITUTE(SUBSTITUTE(SUBSTITUTE("type:"&amp;B1552,"%","%25"),"~","%7E"),"*","%2A"),"?","%3F")))&lt;&gt;1),"",IF(OR(INDEX('Rules'!$B$7:$B$26,MATCH(SUBSTITUTE(SUBSTITUTE(SUBSTITUTE(SUBSTITUTE("type:"&amp;B1552,"%","%25"),"~","%7E"),"*","%2A"),"?","%3F"),'Rules'!$G$7:$G$26,0))="hours",INDEX('Rules'!$B$7:$B$26,MATCH(SUBSTITUTE(SUBSTITUTE(SUBSTITUTE(SUBSTITUTE("type:"&amp;B1552,"%","%25"),"~","%7E"),"*","%2A"),"?","%3F"),'Rules'!$G$7:$G$26,0))="km"),INDEX('Rules'!$B$7:$B$26,MATCH(SUBSTITUTE(SUBSTITUTE(SUBSTITUTE(SUBSTITUTE("type:"&amp;B1552,"%","%25"),"~","%7E"),"*","%2A"),"?","%3F"),'Rules'!$G$7:$G$26,0)),""))</x:f>
      </x:c>
      <x:c r="I1552" s="6" t="str">
        <x:f>IF(AND(NOT(COUNTA(A1552:F1552)=0),K1552=""),ROUND(J1552-D1552,3),"")</x:f>
      </x:c>
      <x:c r="J1552" s="6" t="str">
        <x:f>IF(AND(NOT(COUNTA(A1552:F1552)=0),K1552=""),ROUND(F1552+L1552,3),"")</x:f>
      </x:c>
      <x:c r="K1552" s="5" t="str">
        <x:f>IF(COUNTA(A1552:F1552)=0,"",IF(A1552="","Missing equipment ID",IF(COUNTIFS($N$8:$N$2007,"="&amp;N1552)&gt;1,"Duplicate equipment ID",IF(B1552="","Missing type",IF(COUNTIFS('Rules'!$G$7:$G$26,"="&amp;(SUBSTITUTE(SUBSTITUTE(SUBSTITUTE(SUBSTITUTE("type:"&amp;B1552,"%","%25"),"~","%7E"),"*","%2A"),"?","%3F")))=0,"Unknown type",IF(COUNTIFS('Rules'!$G$7:$G$26,"="&amp;(SUBSTITUTE(SUBSTITUTE(SUBSTITUTE(SUBSTITUTE("type:"&amp;B1552,"%","%25"),"~","%7E"),"*","%2A"),"?","%3F")))&gt;1,"Duplicate type",IF(INDEX('Rules'!$F$7:$F$26,MATCH(SUBSTITUTE(SUBSTITUTE(SUBSTITUTE(SUBSTITUTE("type:"&amp;B1552,"%","%25"),"~","%7E"),"*","%2A"),"?","%3F"),'Rules'!$G$7:$G$26,0))&lt;&gt;"",INDEX('Rules'!$F$7:$F$26,MATCH(SUBSTITUTE(SUBSTITUTE(SUBSTITUTE(SUBSTITUTE("type:"&amp;B1552,"%","%25"),"~","%7E"),"*","%2A"),"?","%3F"),'Rules'!$G$7:$G$26,0)),IF(AND(C1552&lt;&gt;"",C1552&lt;&gt;INDEX('Rules'!$B$7:$B$26,MATCH(SUBSTITUTE(SUBSTITUTE(SUBSTITUTE(SUBSTITUTE("type:"&amp;B1552,"%","%25"),"~","%7E"),"*","%2A"),"?","%3F"),'Rules'!$G$7:$G$26,0))),"Unit mismatch",IF(IF(NOT(ISNUMBER(D1552)),TRUE,OR(D1552&lt;0,D1552&gt;999999999,ROUND(D1552,3)&lt;&gt;D1552)),"Invalid current reading",IF(AND(E1552&lt;&gt;"",IF(NOT(ISNUMBER(E1552)),TRUE,OR(E1552&lt;0,E1552&gt;999999999,ROUND(E1552,3)&lt;&gt;E1552))),"Invalid previous reading",IF(IF(NOT(ISNUMBER(F1552)),TRUE,OR(F1552&lt;0,F1552&gt;999999999,ROUND(F1552,3)&lt;&gt;F1552)),"Invalid last service",IF(AND(E1552&lt;&gt;"",D1552&lt;E1552),"Decreased reading",IF(F1552&gt;D1552,"Last service above current","")))))))))))))</x:f>
      </x:c>
      <x:c r="L1552" s="6" t="str">
        <x:f>IF(AND(NOT(COUNTA(A1552:F1552)=0),K1552=""),INDEX('Rules'!$C$7:$C$26,MATCH(SUBSTITUTE(SUBSTITUTE(SUBSTITUTE(SUBSTITUTE("type:"&amp;B1552,"%","%25"),"~","%7E"),"*","%2A"),"?","%3F"),'Rules'!$G$7:$G$26,0)),"")</x:f>
      </x:c>
      <x:c r="M1552" s="6" t="str">
        <x:f>IF(AND(NOT(COUNTA(A1552:F1552)=0),K1552=""),INDEX('Rules'!$D$7:$D$26,MATCH(SUBSTITUTE(SUBSTITUTE(SUBSTITUTE(SUBSTITUTE("type:"&amp;B1552,"%","%25"),"~","%7E"),"*","%2A"),"?","%3F"),'Rules'!$G$7:$G$26,0)),"")</x:f>
      </x:c>
      <x:c r="N1552" s="5" t="str">
        <x:f>IF(COUNTA(A1552:F1552)=0,"",SUBSTITUTE(SUBSTITUTE(SUBSTITUTE(SUBSTITUTE("id:"&amp;A1552,"%","%25"),"~","%7E"),"*","%2A"),"?","%3F"))</x:f>
      </x:c>
    </x:row>
    <x:row r="1553" ht="22" customHeight="1">
      <x:c r="A1553" s="3"/>
      <x:c r="B1553" s="3"/>
      <x:c r="C1553" s="3"/>
      <x:c r="D1553" s="4"/>
      <x:c r="E1553" s="4"/>
      <x:c r="F1553" s="4"/>
      <x:c r="G1553" s="5" t="str">
        <x:f>IF(COUNTA(A1553:F1553)=0,"",IF(K1553&lt;&gt;"","Review",IF(I1553&lt;0,"Overdue",IF(I1553=0,"Due now",IF(I1553&lt;=M1553,"Due soon","Not due")))))</x:f>
      </x:c>
      <x:c r="H1553" s="5" t="str">
        <x:f>IF(OR(COUNTA(A1553:F1553)=0,COUNTIFS('Rules'!$G$7:$G$26,"="&amp;(SUBSTITUTE(SUBSTITUTE(SUBSTITUTE(SUBSTITUTE("type:"&amp;B1553,"%","%25"),"~","%7E"),"*","%2A"),"?","%3F")))&lt;&gt;1),"",IF(OR(INDEX('Rules'!$B$7:$B$26,MATCH(SUBSTITUTE(SUBSTITUTE(SUBSTITUTE(SUBSTITUTE("type:"&amp;B1553,"%","%25"),"~","%7E"),"*","%2A"),"?","%3F"),'Rules'!$G$7:$G$26,0))="hours",INDEX('Rules'!$B$7:$B$26,MATCH(SUBSTITUTE(SUBSTITUTE(SUBSTITUTE(SUBSTITUTE("type:"&amp;B1553,"%","%25"),"~","%7E"),"*","%2A"),"?","%3F"),'Rules'!$G$7:$G$26,0))="km"),INDEX('Rules'!$B$7:$B$26,MATCH(SUBSTITUTE(SUBSTITUTE(SUBSTITUTE(SUBSTITUTE("type:"&amp;B1553,"%","%25"),"~","%7E"),"*","%2A"),"?","%3F"),'Rules'!$G$7:$G$26,0)),""))</x:f>
      </x:c>
      <x:c r="I1553" s="6" t="str">
        <x:f>IF(AND(NOT(COUNTA(A1553:F1553)=0),K1553=""),ROUND(J1553-D1553,3),"")</x:f>
      </x:c>
      <x:c r="J1553" s="6" t="str">
        <x:f>IF(AND(NOT(COUNTA(A1553:F1553)=0),K1553=""),ROUND(F1553+L1553,3),"")</x:f>
      </x:c>
      <x:c r="K1553" s="5" t="str">
        <x:f>IF(COUNTA(A1553:F1553)=0,"",IF(A1553="","Missing equipment ID",IF(COUNTIFS($N$8:$N$2007,"="&amp;N1553)&gt;1,"Duplicate equipment ID",IF(B1553="","Missing type",IF(COUNTIFS('Rules'!$G$7:$G$26,"="&amp;(SUBSTITUTE(SUBSTITUTE(SUBSTITUTE(SUBSTITUTE("type:"&amp;B1553,"%","%25"),"~","%7E"),"*","%2A"),"?","%3F")))=0,"Unknown type",IF(COUNTIFS('Rules'!$G$7:$G$26,"="&amp;(SUBSTITUTE(SUBSTITUTE(SUBSTITUTE(SUBSTITUTE("type:"&amp;B1553,"%","%25"),"~","%7E"),"*","%2A"),"?","%3F")))&gt;1,"Duplicate type",IF(INDEX('Rules'!$F$7:$F$26,MATCH(SUBSTITUTE(SUBSTITUTE(SUBSTITUTE(SUBSTITUTE("type:"&amp;B1553,"%","%25"),"~","%7E"),"*","%2A"),"?","%3F"),'Rules'!$G$7:$G$26,0))&lt;&gt;"",INDEX('Rules'!$F$7:$F$26,MATCH(SUBSTITUTE(SUBSTITUTE(SUBSTITUTE(SUBSTITUTE("type:"&amp;B1553,"%","%25"),"~","%7E"),"*","%2A"),"?","%3F"),'Rules'!$G$7:$G$26,0)),IF(AND(C1553&lt;&gt;"",C1553&lt;&gt;INDEX('Rules'!$B$7:$B$26,MATCH(SUBSTITUTE(SUBSTITUTE(SUBSTITUTE(SUBSTITUTE("type:"&amp;B1553,"%","%25"),"~","%7E"),"*","%2A"),"?","%3F"),'Rules'!$G$7:$G$26,0))),"Unit mismatch",IF(IF(NOT(ISNUMBER(D1553)),TRUE,OR(D1553&lt;0,D1553&gt;999999999,ROUND(D1553,3)&lt;&gt;D1553)),"Invalid current reading",IF(AND(E1553&lt;&gt;"",IF(NOT(ISNUMBER(E1553)),TRUE,OR(E1553&lt;0,E1553&gt;999999999,ROUND(E1553,3)&lt;&gt;E1553))),"Invalid previous reading",IF(IF(NOT(ISNUMBER(F1553)),TRUE,OR(F1553&lt;0,F1553&gt;999999999,ROUND(F1553,3)&lt;&gt;F1553)),"Invalid last service",IF(AND(E1553&lt;&gt;"",D1553&lt;E1553),"Decreased reading",IF(F1553&gt;D1553,"Last service above current","")))))))))))))</x:f>
      </x:c>
      <x:c r="L1553" s="6" t="str">
        <x:f>IF(AND(NOT(COUNTA(A1553:F1553)=0),K1553=""),INDEX('Rules'!$C$7:$C$26,MATCH(SUBSTITUTE(SUBSTITUTE(SUBSTITUTE(SUBSTITUTE("type:"&amp;B1553,"%","%25"),"~","%7E"),"*","%2A"),"?","%3F"),'Rules'!$G$7:$G$26,0)),"")</x:f>
      </x:c>
      <x:c r="M1553" s="6" t="str">
        <x:f>IF(AND(NOT(COUNTA(A1553:F1553)=0),K1553=""),INDEX('Rules'!$D$7:$D$26,MATCH(SUBSTITUTE(SUBSTITUTE(SUBSTITUTE(SUBSTITUTE("type:"&amp;B1553,"%","%25"),"~","%7E"),"*","%2A"),"?","%3F"),'Rules'!$G$7:$G$26,0)),"")</x:f>
      </x:c>
      <x:c r="N1553" s="5" t="str">
        <x:f>IF(COUNTA(A1553:F1553)=0,"",SUBSTITUTE(SUBSTITUTE(SUBSTITUTE(SUBSTITUTE("id:"&amp;A1553,"%","%25"),"~","%7E"),"*","%2A"),"?","%3F"))</x:f>
      </x:c>
    </x:row>
    <x:row r="1554" ht="22" customHeight="1">
      <x:c r="A1554" s="3"/>
      <x:c r="B1554" s="3"/>
      <x:c r="C1554" s="3"/>
      <x:c r="D1554" s="4"/>
      <x:c r="E1554" s="4"/>
      <x:c r="F1554" s="4"/>
      <x:c r="G1554" s="5" t="str">
        <x:f>IF(COUNTA(A1554:F1554)=0,"",IF(K1554&lt;&gt;"","Review",IF(I1554&lt;0,"Overdue",IF(I1554=0,"Due now",IF(I1554&lt;=M1554,"Due soon","Not due")))))</x:f>
      </x:c>
      <x:c r="H1554" s="5" t="str">
        <x:f>IF(OR(COUNTA(A1554:F1554)=0,COUNTIFS('Rules'!$G$7:$G$26,"="&amp;(SUBSTITUTE(SUBSTITUTE(SUBSTITUTE(SUBSTITUTE("type:"&amp;B1554,"%","%25"),"~","%7E"),"*","%2A"),"?","%3F")))&lt;&gt;1),"",IF(OR(INDEX('Rules'!$B$7:$B$26,MATCH(SUBSTITUTE(SUBSTITUTE(SUBSTITUTE(SUBSTITUTE("type:"&amp;B1554,"%","%25"),"~","%7E"),"*","%2A"),"?","%3F"),'Rules'!$G$7:$G$26,0))="hours",INDEX('Rules'!$B$7:$B$26,MATCH(SUBSTITUTE(SUBSTITUTE(SUBSTITUTE(SUBSTITUTE("type:"&amp;B1554,"%","%25"),"~","%7E"),"*","%2A"),"?","%3F"),'Rules'!$G$7:$G$26,0))="km"),INDEX('Rules'!$B$7:$B$26,MATCH(SUBSTITUTE(SUBSTITUTE(SUBSTITUTE(SUBSTITUTE("type:"&amp;B1554,"%","%25"),"~","%7E"),"*","%2A"),"?","%3F"),'Rules'!$G$7:$G$26,0)),""))</x:f>
      </x:c>
      <x:c r="I1554" s="6" t="str">
        <x:f>IF(AND(NOT(COUNTA(A1554:F1554)=0),K1554=""),ROUND(J1554-D1554,3),"")</x:f>
      </x:c>
      <x:c r="J1554" s="6" t="str">
        <x:f>IF(AND(NOT(COUNTA(A1554:F1554)=0),K1554=""),ROUND(F1554+L1554,3),"")</x:f>
      </x:c>
      <x:c r="K1554" s="5" t="str">
        <x:f>IF(COUNTA(A1554:F1554)=0,"",IF(A1554="","Missing equipment ID",IF(COUNTIFS($N$8:$N$2007,"="&amp;N1554)&gt;1,"Duplicate equipment ID",IF(B1554="","Missing type",IF(COUNTIFS('Rules'!$G$7:$G$26,"="&amp;(SUBSTITUTE(SUBSTITUTE(SUBSTITUTE(SUBSTITUTE("type:"&amp;B1554,"%","%25"),"~","%7E"),"*","%2A"),"?","%3F")))=0,"Unknown type",IF(COUNTIFS('Rules'!$G$7:$G$26,"="&amp;(SUBSTITUTE(SUBSTITUTE(SUBSTITUTE(SUBSTITUTE("type:"&amp;B1554,"%","%25"),"~","%7E"),"*","%2A"),"?","%3F")))&gt;1,"Duplicate type",IF(INDEX('Rules'!$F$7:$F$26,MATCH(SUBSTITUTE(SUBSTITUTE(SUBSTITUTE(SUBSTITUTE("type:"&amp;B1554,"%","%25"),"~","%7E"),"*","%2A"),"?","%3F"),'Rules'!$G$7:$G$26,0))&lt;&gt;"",INDEX('Rules'!$F$7:$F$26,MATCH(SUBSTITUTE(SUBSTITUTE(SUBSTITUTE(SUBSTITUTE("type:"&amp;B1554,"%","%25"),"~","%7E"),"*","%2A"),"?","%3F"),'Rules'!$G$7:$G$26,0)),IF(AND(C1554&lt;&gt;"",C1554&lt;&gt;INDEX('Rules'!$B$7:$B$26,MATCH(SUBSTITUTE(SUBSTITUTE(SUBSTITUTE(SUBSTITUTE("type:"&amp;B1554,"%","%25"),"~","%7E"),"*","%2A"),"?","%3F"),'Rules'!$G$7:$G$26,0))),"Unit mismatch",IF(IF(NOT(ISNUMBER(D1554)),TRUE,OR(D1554&lt;0,D1554&gt;999999999,ROUND(D1554,3)&lt;&gt;D1554)),"Invalid current reading",IF(AND(E1554&lt;&gt;"",IF(NOT(ISNUMBER(E1554)),TRUE,OR(E1554&lt;0,E1554&gt;999999999,ROUND(E1554,3)&lt;&gt;E1554))),"Invalid previous reading",IF(IF(NOT(ISNUMBER(F1554)),TRUE,OR(F1554&lt;0,F1554&gt;999999999,ROUND(F1554,3)&lt;&gt;F1554)),"Invalid last service",IF(AND(E1554&lt;&gt;"",D1554&lt;E1554),"Decreased reading",IF(F1554&gt;D1554,"Last service above current","")))))))))))))</x:f>
      </x:c>
      <x:c r="L1554" s="6" t="str">
        <x:f>IF(AND(NOT(COUNTA(A1554:F1554)=0),K1554=""),INDEX('Rules'!$C$7:$C$26,MATCH(SUBSTITUTE(SUBSTITUTE(SUBSTITUTE(SUBSTITUTE("type:"&amp;B1554,"%","%25"),"~","%7E"),"*","%2A"),"?","%3F"),'Rules'!$G$7:$G$26,0)),"")</x:f>
      </x:c>
      <x:c r="M1554" s="6" t="str">
        <x:f>IF(AND(NOT(COUNTA(A1554:F1554)=0),K1554=""),INDEX('Rules'!$D$7:$D$26,MATCH(SUBSTITUTE(SUBSTITUTE(SUBSTITUTE(SUBSTITUTE("type:"&amp;B1554,"%","%25"),"~","%7E"),"*","%2A"),"?","%3F"),'Rules'!$G$7:$G$26,0)),"")</x:f>
      </x:c>
      <x:c r="N1554" s="5" t="str">
        <x:f>IF(COUNTA(A1554:F1554)=0,"",SUBSTITUTE(SUBSTITUTE(SUBSTITUTE(SUBSTITUTE("id:"&amp;A1554,"%","%25"),"~","%7E"),"*","%2A"),"?","%3F"))</x:f>
      </x:c>
    </x:row>
    <x:row r="1555" ht="22" customHeight="1">
      <x:c r="A1555" s="3"/>
      <x:c r="B1555" s="3"/>
      <x:c r="C1555" s="3"/>
      <x:c r="D1555" s="4"/>
      <x:c r="E1555" s="4"/>
      <x:c r="F1555" s="4"/>
      <x:c r="G1555" s="5" t="str">
        <x:f>IF(COUNTA(A1555:F1555)=0,"",IF(K1555&lt;&gt;"","Review",IF(I1555&lt;0,"Overdue",IF(I1555=0,"Due now",IF(I1555&lt;=M1555,"Due soon","Not due")))))</x:f>
      </x:c>
      <x:c r="H1555" s="5" t="str">
        <x:f>IF(OR(COUNTA(A1555:F1555)=0,COUNTIFS('Rules'!$G$7:$G$26,"="&amp;(SUBSTITUTE(SUBSTITUTE(SUBSTITUTE(SUBSTITUTE("type:"&amp;B1555,"%","%25"),"~","%7E"),"*","%2A"),"?","%3F")))&lt;&gt;1),"",IF(OR(INDEX('Rules'!$B$7:$B$26,MATCH(SUBSTITUTE(SUBSTITUTE(SUBSTITUTE(SUBSTITUTE("type:"&amp;B1555,"%","%25"),"~","%7E"),"*","%2A"),"?","%3F"),'Rules'!$G$7:$G$26,0))="hours",INDEX('Rules'!$B$7:$B$26,MATCH(SUBSTITUTE(SUBSTITUTE(SUBSTITUTE(SUBSTITUTE("type:"&amp;B1555,"%","%25"),"~","%7E"),"*","%2A"),"?","%3F"),'Rules'!$G$7:$G$26,0))="km"),INDEX('Rules'!$B$7:$B$26,MATCH(SUBSTITUTE(SUBSTITUTE(SUBSTITUTE(SUBSTITUTE("type:"&amp;B1555,"%","%25"),"~","%7E"),"*","%2A"),"?","%3F"),'Rules'!$G$7:$G$26,0)),""))</x:f>
      </x:c>
      <x:c r="I1555" s="6" t="str">
        <x:f>IF(AND(NOT(COUNTA(A1555:F1555)=0),K1555=""),ROUND(J1555-D1555,3),"")</x:f>
      </x:c>
      <x:c r="J1555" s="6" t="str">
        <x:f>IF(AND(NOT(COUNTA(A1555:F1555)=0),K1555=""),ROUND(F1555+L1555,3),"")</x:f>
      </x:c>
      <x:c r="K1555" s="5" t="str">
        <x:f>IF(COUNTA(A1555:F1555)=0,"",IF(A1555="","Missing equipment ID",IF(COUNTIFS($N$8:$N$2007,"="&amp;N1555)&gt;1,"Duplicate equipment ID",IF(B1555="","Missing type",IF(COUNTIFS('Rules'!$G$7:$G$26,"="&amp;(SUBSTITUTE(SUBSTITUTE(SUBSTITUTE(SUBSTITUTE("type:"&amp;B1555,"%","%25"),"~","%7E"),"*","%2A"),"?","%3F")))=0,"Unknown type",IF(COUNTIFS('Rules'!$G$7:$G$26,"="&amp;(SUBSTITUTE(SUBSTITUTE(SUBSTITUTE(SUBSTITUTE("type:"&amp;B1555,"%","%25"),"~","%7E"),"*","%2A"),"?","%3F")))&gt;1,"Duplicate type",IF(INDEX('Rules'!$F$7:$F$26,MATCH(SUBSTITUTE(SUBSTITUTE(SUBSTITUTE(SUBSTITUTE("type:"&amp;B1555,"%","%25"),"~","%7E"),"*","%2A"),"?","%3F"),'Rules'!$G$7:$G$26,0))&lt;&gt;"",INDEX('Rules'!$F$7:$F$26,MATCH(SUBSTITUTE(SUBSTITUTE(SUBSTITUTE(SUBSTITUTE("type:"&amp;B1555,"%","%25"),"~","%7E"),"*","%2A"),"?","%3F"),'Rules'!$G$7:$G$26,0)),IF(AND(C1555&lt;&gt;"",C1555&lt;&gt;INDEX('Rules'!$B$7:$B$26,MATCH(SUBSTITUTE(SUBSTITUTE(SUBSTITUTE(SUBSTITUTE("type:"&amp;B1555,"%","%25"),"~","%7E"),"*","%2A"),"?","%3F"),'Rules'!$G$7:$G$26,0))),"Unit mismatch",IF(IF(NOT(ISNUMBER(D1555)),TRUE,OR(D1555&lt;0,D1555&gt;999999999,ROUND(D1555,3)&lt;&gt;D1555)),"Invalid current reading",IF(AND(E1555&lt;&gt;"",IF(NOT(ISNUMBER(E1555)),TRUE,OR(E1555&lt;0,E1555&gt;999999999,ROUND(E1555,3)&lt;&gt;E1555))),"Invalid previous reading",IF(IF(NOT(ISNUMBER(F1555)),TRUE,OR(F1555&lt;0,F1555&gt;999999999,ROUND(F1555,3)&lt;&gt;F1555)),"Invalid last service",IF(AND(E1555&lt;&gt;"",D1555&lt;E1555),"Decreased reading",IF(F1555&gt;D1555,"Last service above current","")))))))))))))</x:f>
      </x:c>
      <x:c r="L1555" s="6" t="str">
        <x:f>IF(AND(NOT(COUNTA(A1555:F1555)=0),K1555=""),INDEX('Rules'!$C$7:$C$26,MATCH(SUBSTITUTE(SUBSTITUTE(SUBSTITUTE(SUBSTITUTE("type:"&amp;B1555,"%","%25"),"~","%7E"),"*","%2A"),"?","%3F"),'Rules'!$G$7:$G$26,0)),"")</x:f>
      </x:c>
      <x:c r="M1555" s="6" t="str">
        <x:f>IF(AND(NOT(COUNTA(A1555:F1555)=0),K1555=""),INDEX('Rules'!$D$7:$D$26,MATCH(SUBSTITUTE(SUBSTITUTE(SUBSTITUTE(SUBSTITUTE("type:"&amp;B1555,"%","%25"),"~","%7E"),"*","%2A"),"?","%3F"),'Rules'!$G$7:$G$26,0)),"")</x:f>
      </x:c>
      <x:c r="N1555" s="5" t="str">
        <x:f>IF(COUNTA(A1555:F1555)=0,"",SUBSTITUTE(SUBSTITUTE(SUBSTITUTE(SUBSTITUTE("id:"&amp;A1555,"%","%25"),"~","%7E"),"*","%2A"),"?","%3F"))</x:f>
      </x:c>
    </x:row>
    <x:row r="1556" ht="22" customHeight="1">
      <x:c r="A1556" s="3"/>
      <x:c r="B1556" s="3"/>
      <x:c r="C1556" s="3"/>
      <x:c r="D1556" s="4"/>
      <x:c r="E1556" s="4"/>
      <x:c r="F1556" s="4"/>
      <x:c r="G1556" s="5" t="str">
        <x:f>IF(COUNTA(A1556:F1556)=0,"",IF(K1556&lt;&gt;"","Review",IF(I1556&lt;0,"Overdue",IF(I1556=0,"Due now",IF(I1556&lt;=M1556,"Due soon","Not due")))))</x:f>
      </x:c>
      <x:c r="H1556" s="5" t="str">
        <x:f>IF(OR(COUNTA(A1556:F1556)=0,COUNTIFS('Rules'!$G$7:$G$26,"="&amp;(SUBSTITUTE(SUBSTITUTE(SUBSTITUTE(SUBSTITUTE("type:"&amp;B1556,"%","%25"),"~","%7E"),"*","%2A"),"?","%3F")))&lt;&gt;1),"",IF(OR(INDEX('Rules'!$B$7:$B$26,MATCH(SUBSTITUTE(SUBSTITUTE(SUBSTITUTE(SUBSTITUTE("type:"&amp;B1556,"%","%25"),"~","%7E"),"*","%2A"),"?","%3F"),'Rules'!$G$7:$G$26,0))="hours",INDEX('Rules'!$B$7:$B$26,MATCH(SUBSTITUTE(SUBSTITUTE(SUBSTITUTE(SUBSTITUTE("type:"&amp;B1556,"%","%25"),"~","%7E"),"*","%2A"),"?","%3F"),'Rules'!$G$7:$G$26,0))="km"),INDEX('Rules'!$B$7:$B$26,MATCH(SUBSTITUTE(SUBSTITUTE(SUBSTITUTE(SUBSTITUTE("type:"&amp;B1556,"%","%25"),"~","%7E"),"*","%2A"),"?","%3F"),'Rules'!$G$7:$G$26,0)),""))</x:f>
      </x:c>
      <x:c r="I1556" s="6" t="str">
        <x:f>IF(AND(NOT(COUNTA(A1556:F1556)=0),K1556=""),ROUND(J1556-D1556,3),"")</x:f>
      </x:c>
      <x:c r="J1556" s="6" t="str">
        <x:f>IF(AND(NOT(COUNTA(A1556:F1556)=0),K1556=""),ROUND(F1556+L1556,3),"")</x:f>
      </x:c>
      <x:c r="K1556" s="5" t="str">
        <x:f>IF(COUNTA(A1556:F1556)=0,"",IF(A1556="","Missing equipment ID",IF(COUNTIFS($N$8:$N$2007,"="&amp;N1556)&gt;1,"Duplicate equipment ID",IF(B1556="","Missing type",IF(COUNTIFS('Rules'!$G$7:$G$26,"="&amp;(SUBSTITUTE(SUBSTITUTE(SUBSTITUTE(SUBSTITUTE("type:"&amp;B1556,"%","%25"),"~","%7E"),"*","%2A"),"?","%3F")))=0,"Unknown type",IF(COUNTIFS('Rules'!$G$7:$G$26,"="&amp;(SUBSTITUTE(SUBSTITUTE(SUBSTITUTE(SUBSTITUTE("type:"&amp;B1556,"%","%25"),"~","%7E"),"*","%2A"),"?","%3F")))&gt;1,"Duplicate type",IF(INDEX('Rules'!$F$7:$F$26,MATCH(SUBSTITUTE(SUBSTITUTE(SUBSTITUTE(SUBSTITUTE("type:"&amp;B1556,"%","%25"),"~","%7E"),"*","%2A"),"?","%3F"),'Rules'!$G$7:$G$26,0))&lt;&gt;"",INDEX('Rules'!$F$7:$F$26,MATCH(SUBSTITUTE(SUBSTITUTE(SUBSTITUTE(SUBSTITUTE("type:"&amp;B1556,"%","%25"),"~","%7E"),"*","%2A"),"?","%3F"),'Rules'!$G$7:$G$26,0)),IF(AND(C1556&lt;&gt;"",C1556&lt;&gt;INDEX('Rules'!$B$7:$B$26,MATCH(SUBSTITUTE(SUBSTITUTE(SUBSTITUTE(SUBSTITUTE("type:"&amp;B1556,"%","%25"),"~","%7E"),"*","%2A"),"?","%3F"),'Rules'!$G$7:$G$26,0))),"Unit mismatch",IF(IF(NOT(ISNUMBER(D1556)),TRUE,OR(D1556&lt;0,D1556&gt;999999999,ROUND(D1556,3)&lt;&gt;D1556)),"Invalid current reading",IF(AND(E1556&lt;&gt;"",IF(NOT(ISNUMBER(E1556)),TRUE,OR(E1556&lt;0,E1556&gt;999999999,ROUND(E1556,3)&lt;&gt;E1556))),"Invalid previous reading",IF(IF(NOT(ISNUMBER(F1556)),TRUE,OR(F1556&lt;0,F1556&gt;999999999,ROUND(F1556,3)&lt;&gt;F1556)),"Invalid last service",IF(AND(E1556&lt;&gt;"",D1556&lt;E1556),"Decreased reading",IF(F1556&gt;D1556,"Last service above current","")))))))))))))</x:f>
      </x:c>
      <x:c r="L1556" s="6" t="str">
        <x:f>IF(AND(NOT(COUNTA(A1556:F1556)=0),K1556=""),INDEX('Rules'!$C$7:$C$26,MATCH(SUBSTITUTE(SUBSTITUTE(SUBSTITUTE(SUBSTITUTE("type:"&amp;B1556,"%","%25"),"~","%7E"),"*","%2A"),"?","%3F"),'Rules'!$G$7:$G$26,0)),"")</x:f>
      </x:c>
      <x:c r="M1556" s="6" t="str">
        <x:f>IF(AND(NOT(COUNTA(A1556:F1556)=0),K1556=""),INDEX('Rules'!$D$7:$D$26,MATCH(SUBSTITUTE(SUBSTITUTE(SUBSTITUTE(SUBSTITUTE("type:"&amp;B1556,"%","%25"),"~","%7E"),"*","%2A"),"?","%3F"),'Rules'!$G$7:$G$26,0)),"")</x:f>
      </x:c>
      <x:c r="N1556" s="5" t="str">
        <x:f>IF(COUNTA(A1556:F1556)=0,"",SUBSTITUTE(SUBSTITUTE(SUBSTITUTE(SUBSTITUTE("id:"&amp;A1556,"%","%25"),"~","%7E"),"*","%2A"),"?","%3F"))</x:f>
      </x:c>
    </x:row>
    <x:row r="1557" ht="22" customHeight="1">
      <x:c r="A1557" s="3"/>
      <x:c r="B1557" s="3"/>
      <x:c r="C1557" s="3"/>
      <x:c r="D1557" s="4"/>
      <x:c r="E1557" s="4"/>
      <x:c r="F1557" s="4"/>
      <x:c r="G1557" s="5" t="str">
        <x:f>IF(COUNTA(A1557:F1557)=0,"",IF(K1557&lt;&gt;"","Review",IF(I1557&lt;0,"Overdue",IF(I1557=0,"Due now",IF(I1557&lt;=M1557,"Due soon","Not due")))))</x:f>
      </x:c>
      <x:c r="H1557" s="5" t="str">
        <x:f>IF(OR(COUNTA(A1557:F1557)=0,COUNTIFS('Rules'!$G$7:$G$26,"="&amp;(SUBSTITUTE(SUBSTITUTE(SUBSTITUTE(SUBSTITUTE("type:"&amp;B1557,"%","%25"),"~","%7E"),"*","%2A"),"?","%3F")))&lt;&gt;1),"",IF(OR(INDEX('Rules'!$B$7:$B$26,MATCH(SUBSTITUTE(SUBSTITUTE(SUBSTITUTE(SUBSTITUTE("type:"&amp;B1557,"%","%25"),"~","%7E"),"*","%2A"),"?","%3F"),'Rules'!$G$7:$G$26,0))="hours",INDEX('Rules'!$B$7:$B$26,MATCH(SUBSTITUTE(SUBSTITUTE(SUBSTITUTE(SUBSTITUTE("type:"&amp;B1557,"%","%25"),"~","%7E"),"*","%2A"),"?","%3F"),'Rules'!$G$7:$G$26,0))="km"),INDEX('Rules'!$B$7:$B$26,MATCH(SUBSTITUTE(SUBSTITUTE(SUBSTITUTE(SUBSTITUTE("type:"&amp;B1557,"%","%25"),"~","%7E"),"*","%2A"),"?","%3F"),'Rules'!$G$7:$G$26,0)),""))</x:f>
      </x:c>
      <x:c r="I1557" s="6" t="str">
        <x:f>IF(AND(NOT(COUNTA(A1557:F1557)=0),K1557=""),ROUND(J1557-D1557,3),"")</x:f>
      </x:c>
      <x:c r="J1557" s="6" t="str">
        <x:f>IF(AND(NOT(COUNTA(A1557:F1557)=0),K1557=""),ROUND(F1557+L1557,3),"")</x:f>
      </x:c>
      <x:c r="K1557" s="5" t="str">
        <x:f>IF(COUNTA(A1557:F1557)=0,"",IF(A1557="","Missing equipment ID",IF(COUNTIFS($N$8:$N$2007,"="&amp;N1557)&gt;1,"Duplicate equipment ID",IF(B1557="","Missing type",IF(COUNTIFS('Rules'!$G$7:$G$26,"="&amp;(SUBSTITUTE(SUBSTITUTE(SUBSTITUTE(SUBSTITUTE("type:"&amp;B1557,"%","%25"),"~","%7E"),"*","%2A"),"?","%3F")))=0,"Unknown type",IF(COUNTIFS('Rules'!$G$7:$G$26,"="&amp;(SUBSTITUTE(SUBSTITUTE(SUBSTITUTE(SUBSTITUTE("type:"&amp;B1557,"%","%25"),"~","%7E"),"*","%2A"),"?","%3F")))&gt;1,"Duplicate type",IF(INDEX('Rules'!$F$7:$F$26,MATCH(SUBSTITUTE(SUBSTITUTE(SUBSTITUTE(SUBSTITUTE("type:"&amp;B1557,"%","%25"),"~","%7E"),"*","%2A"),"?","%3F"),'Rules'!$G$7:$G$26,0))&lt;&gt;"",INDEX('Rules'!$F$7:$F$26,MATCH(SUBSTITUTE(SUBSTITUTE(SUBSTITUTE(SUBSTITUTE("type:"&amp;B1557,"%","%25"),"~","%7E"),"*","%2A"),"?","%3F"),'Rules'!$G$7:$G$26,0)),IF(AND(C1557&lt;&gt;"",C1557&lt;&gt;INDEX('Rules'!$B$7:$B$26,MATCH(SUBSTITUTE(SUBSTITUTE(SUBSTITUTE(SUBSTITUTE("type:"&amp;B1557,"%","%25"),"~","%7E"),"*","%2A"),"?","%3F"),'Rules'!$G$7:$G$26,0))),"Unit mismatch",IF(IF(NOT(ISNUMBER(D1557)),TRUE,OR(D1557&lt;0,D1557&gt;999999999,ROUND(D1557,3)&lt;&gt;D1557)),"Invalid current reading",IF(AND(E1557&lt;&gt;"",IF(NOT(ISNUMBER(E1557)),TRUE,OR(E1557&lt;0,E1557&gt;999999999,ROUND(E1557,3)&lt;&gt;E1557))),"Invalid previous reading",IF(IF(NOT(ISNUMBER(F1557)),TRUE,OR(F1557&lt;0,F1557&gt;999999999,ROUND(F1557,3)&lt;&gt;F1557)),"Invalid last service",IF(AND(E1557&lt;&gt;"",D1557&lt;E1557),"Decreased reading",IF(F1557&gt;D1557,"Last service above current","")))))))))))))</x:f>
      </x:c>
      <x:c r="L1557" s="6" t="str">
        <x:f>IF(AND(NOT(COUNTA(A1557:F1557)=0),K1557=""),INDEX('Rules'!$C$7:$C$26,MATCH(SUBSTITUTE(SUBSTITUTE(SUBSTITUTE(SUBSTITUTE("type:"&amp;B1557,"%","%25"),"~","%7E"),"*","%2A"),"?","%3F"),'Rules'!$G$7:$G$26,0)),"")</x:f>
      </x:c>
      <x:c r="M1557" s="6" t="str">
        <x:f>IF(AND(NOT(COUNTA(A1557:F1557)=0),K1557=""),INDEX('Rules'!$D$7:$D$26,MATCH(SUBSTITUTE(SUBSTITUTE(SUBSTITUTE(SUBSTITUTE("type:"&amp;B1557,"%","%25"),"~","%7E"),"*","%2A"),"?","%3F"),'Rules'!$G$7:$G$26,0)),"")</x:f>
      </x:c>
      <x:c r="N1557" s="5" t="str">
        <x:f>IF(COUNTA(A1557:F1557)=0,"",SUBSTITUTE(SUBSTITUTE(SUBSTITUTE(SUBSTITUTE("id:"&amp;A1557,"%","%25"),"~","%7E"),"*","%2A"),"?","%3F"))</x:f>
      </x:c>
    </x:row>
    <x:row r="1558" ht="22" customHeight="1">
      <x:c r="A1558" s="3"/>
      <x:c r="B1558" s="3"/>
      <x:c r="C1558" s="3"/>
      <x:c r="D1558" s="4"/>
      <x:c r="E1558" s="4"/>
      <x:c r="F1558" s="4"/>
      <x:c r="G1558" s="5" t="str">
        <x:f>IF(COUNTA(A1558:F1558)=0,"",IF(K1558&lt;&gt;"","Review",IF(I1558&lt;0,"Overdue",IF(I1558=0,"Due now",IF(I1558&lt;=M1558,"Due soon","Not due")))))</x:f>
      </x:c>
      <x:c r="H1558" s="5" t="str">
        <x:f>IF(OR(COUNTA(A1558:F1558)=0,COUNTIFS('Rules'!$G$7:$G$26,"="&amp;(SUBSTITUTE(SUBSTITUTE(SUBSTITUTE(SUBSTITUTE("type:"&amp;B1558,"%","%25"),"~","%7E"),"*","%2A"),"?","%3F")))&lt;&gt;1),"",IF(OR(INDEX('Rules'!$B$7:$B$26,MATCH(SUBSTITUTE(SUBSTITUTE(SUBSTITUTE(SUBSTITUTE("type:"&amp;B1558,"%","%25"),"~","%7E"),"*","%2A"),"?","%3F"),'Rules'!$G$7:$G$26,0))="hours",INDEX('Rules'!$B$7:$B$26,MATCH(SUBSTITUTE(SUBSTITUTE(SUBSTITUTE(SUBSTITUTE("type:"&amp;B1558,"%","%25"),"~","%7E"),"*","%2A"),"?","%3F"),'Rules'!$G$7:$G$26,0))="km"),INDEX('Rules'!$B$7:$B$26,MATCH(SUBSTITUTE(SUBSTITUTE(SUBSTITUTE(SUBSTITUTE("type:"&amp;B1558,"%","%25"),"~","%7E"),"*","%2A"),"?","%3F"),'Rules'!$G$7:$G$26,0)),""))</x:f>
      </x:c>
      <x:c r="I1558" s="6" t="str">
        <x:f>IF(AND(NOT(COUNTA(A1558:F1558)=0),K1558=""),ROUND(J1558-D1558,3),"")</x:f>
      </x:c>
      <x:c r="J1558" s="6" t="str">
        <x:f>IF(AND(NOT(COUNTA(A1558:F1558)=0),K1558=""),ROUND(F1558+L1558,3),"")</x:f>
      </x:c>
      <x:c r="K1558" s="5" t="str">
        <x:f>IF(COUNTA(A1558:F1558)=0,"",IF(A1558="","Missing equipment ID",IF(COUNTIFS($N$8:$N$2007,"="&amp;N1558)&gt;1,"Duplicate equipment ID",IF(B1558="","Missing type",IF(COUNTIFS('Rules'!$G$7:$G$26,"="&amp;(SUBSTITUTE(SUBSTITUTE(SUBSTITUTE(SUBSTITUTE("type:"&amp;B1558,"%","%25"),"~","%7E"),"*","%2A"),"?","%3F")))=0,"Unknown type",IF(COUNTIFS('Rules'!$G$7:$G$26,"="&amp;(SUBSTITUTE(SUBSTITUTE(SUBSTITUTE(SUBSTITUTE("type:"&amp;B1558,"%","%25"),"~","%7E"),"*","%2A"),"?","%3F")))&gt;1,"Duplicate type",IF(INDEX('Rules'!$F$7:$F$26,MATCH(SUBSTITUTE(SUBSTITUTE(SUBSTITUTE(SUBSTITUTE("type:"&amp;B1558,"%","%25"),"~","%7E"),"*","%2A"),"?","%3F"),'Rules'!$G$7:$G$26,0))&lt;&gt;"",INDEX('Rules'!$F$7:$F$26,MATCH(SUBSTITUTE(SUBSTITUTE(SUBSTITUTE(SUBSTITUTE("type:"&amp;B1558,"%","%25"),"~","%7E"),"*","%2A"),"?","%3F"),'Rules'!$G$7:$G$26,0)),IF(AND(C1558&lt;&gt;"",C1558&lt;&gt;INDEX('Rules'!$B$7:$B$26,MATCH(SUBSTITUTE(SUBSTITUTE(SUBSTITUTE(SUBSTITUTE("type:"&amp;B1558,"%","%25"),"~","%7E"),"*","%2A"),"?","%3F"),'Rules'!$G$7:$G$26,0))),"Unit mismatch",IF(IF(NOT(ISNUMBER(D1558)),TRUE,OR(D1558&lt;0,D1558&gt;999999999,ROUND(D1558,3)&lt;&gt;D1558)),"Invalid current reading",IF(AND(E1558&lt;&gt;"",IF(NOT(ISNUMBER(E1558)),TRUE,OR(E1558&lt;0,E1558&gt;999999999,ROUND(E1558,3)&lt;&gt;E1558))),"Invalid previous reading",IF(IF(NOT(ISNUMBER(F1558)),TRUE,OR(F1558&lt;0,F1558&gt;999999999,ROUND(F1558,3)&lt;&gt;F1558)),"Invalid last service",IF(AND(E1558&lt;&gt;"",D1558&lt;E1558),"Decreased reading",IF(F1558&gt;D1558,"Last service above current","")))))))))))))</x:f>
      </x:c>
      <x:c r="L1558" s="6" t="str">
        <x:f>IF(AND(NOT(COUNTA(A1558:F1558)=0),K1558=""),INDEX('Rules'!$C$7:$C$26,MATCH(SUBSTITUTE(SUBSTITUTE(SUBSTITUTE(SUBSTITUTE("type:"&amp;B1558,"%","%25"),"~","%7E"),"*","%2A"),"?","%3F"),'Rules'!$G$7:$G$26,0)),"")</x:f>
      </x:c>
      <x:c r="M1558" s="6" t="str">
        <x:f>IF(AND(NOT(COUNTA(A1558:F1558)=0),K1558=""),INDEX('Rules'!$D$7:$D$26,MATCH(SUBSTITUTE(SUBSTITUTE(SUBSTITUTE(SUBSTITUTE("type:"&amp;B1558,"%","%25"),"~","%7E"),"*","%2A"),"?","%3F"),'Rules'!$G$7:$G$26,0)),"")</x:f>
      </x:c>
      <x:c r="N1558" s="5" t="str">
        <x:f>IF(COUNTA(A1558:F1558)=0,"",SUBSTITUTE(SUBSTITUTE(SUBSTITUTE(SUBSTITUTE("id:"&amp;A1558,"%","%25"),"~","%7E"),"*","%2A"),"?","%3F"))</x:f>
      </x:c>
    </x:row>
    <x:row r="1559" ht="22" customHeight="1">
      <x:c r="A1559" s="3"/>
      <x:c r="B1559" s="3"/>
      <x:c r="C1559" s="3"/>
      <x:c r="D1559" s="4"/>
      <x:c r="E1559" s="4"/>
      <x:c r="F1559" s="4"/>
      <x:c r="G1559" s="5" t="str">
        <x:f>IF(COUNTA(A1559:F1559)=0,"",IF(K1559&lt;&gt;"","Review",IF(I1559&lt;0,"Overdue",IF(I1559=0,"Due now",IF(I1559&lt;=M1559,"Due soon","Not due")))))</x:f>
      </x:c>
      <x:c r="H1559" s="5" t="str">
        <x:f>IF(OR(COUNTA(A1559:F1559)=0,COUNTIFS('Rules'!$G$7:$G$26,"="&amp;(SUBSTITUTE(SUBSTITUTE(SUBSTITUTE(SUBSTITUTE("type:"&amp;B1559,"%","%25"),"~","%7E"),"*","%2A"),"?","%3F")))&lt;&gt;1),"",IF(OR(INDEX('Rules'!$B$7:$B$26,MATCH(SUBSTITUTE(SUBSTITUTE(SUBSTITUTE(SUBSTITUTE("type:"&amp;B1559,"%","%25"),"~","%7E"),"*","%2A"),"?","%3F"),'Rules'!$G$7:$G$26,0))="hours",INDEX('Rules'!$B$7:$B$26,MATCH(SUBSTITUTE(SUBSTITUTE(SUBSTITUTE(SUBSTITUTE("type:"&amp;B1559,"%","%25"),"~","%7E"),"*","%2A"),"?","%3F"),'Rules'!$G$7:$G$26,0))="km"),INDEX('Rules'!$B$7:$B$26,MATCH(SUBSTITUTE(SUBSTITUTE(SUBSTITUTE(SUBSTITUTE("type:"&amp;B1559,"%","%25"),"~","%7E"),"*","%2A"),"?","%3F"),'Rules'!$G$7:$G$26,0)),""))</x:f>
      </x:c>
      <x:c r="I1559" s="6" t="str">
        <x:f>IF(AND(NOT(COUNTA(A1559:F1559)=0),K1559=""),ROUND(J1559-D1559,3),"")</x:f>
      </x:c>
      <x:c r="J1559" s="6" t="str">
        <x:f>IF(AND(NOT(COUNTA(A1559:F1559)=0),K1559=""),ROUND(F1559+L1559,3),"")</x:f>
      </x:c>
      <x:c r="K1559" s="5" t="str">
        <x:f>IF(COUNTA(A1559:F1559)=0,"",IF(A1559="","Missing equipment ID",IF(COUNTIFS($N$8:$N$2007,"="&amp;N1559)&gt;1,"Duplicate equipment ID",IF(B1559="","Missing type",IF(COUNTIFS('Rules'!$G$7:$G$26,"="&amp;(SUBSTITUTE(SUBSTITUTE(SUBSTITUTE(SUBSTITUTE("type:"&amp;B1559,"%","%25"),"~","%7E"),"*","%2A"),"?","%3F")))=0,"Unknown type",IF(COUNTIFS('Rules'!$G$7:$G$26,"="&amp;(SUBSTITUTE(SUBSTITUTE(SUBSTITUTE(SUBSTITUTE("type:"&amp;B1559,"%","%25"),"~","%7E"),"*","%2A"),"?","%3F")))&gt;1,"Duplicate type",IF(INDEX('Rules'!$F$7:$F$26,MATCH(SUBSTITUTE(SUBSTITUTE(SUBSTITUTE(SUBSTITUTE("type:"&amp;B1559,"%","%25"),"~","%7E"),"*","%2A"),"?","%3F"),'Rules'!$G$7:$G$26,0))&lt;&gt;"",INDEX('Rules'!$F$7:$F$26,MATCH(SUBSTITUTE(SUBSTITUTE(SUBSTITUTE(SUBSTITUTE("type:"&amp;B1559,"%","%25"),"~","%7E"),"*","%2A"),"?","%3F"),'Rules'!$G$7:$G$26,0)),IF(AND(C1559&lt;&gt;"",C1559&lt;&gt;INDEX('Rules'!$B$7:$B$26,MATCH(SUBSTITUTE(SUBSTITUTE(SUBSTITUTE(SUBSTITUTE("type:"&amp;B1559,"%","%25"),"~","%7E"),"*","%2A"),"?","%3F"),'Rules'!$G$7:$G$26,0))),"Unit mismatch",IF(IF(NOT(ISNUMBER(D1559)),TRUE,OR(D1559&lt;0,D1559&gt;999999999,ROUND(D1559,3)&lt;&gt;D1559)),"Invalid current reading",IF(AND(E1559&lt;&gt;"",IF(NOT(ISNUMBER(E1559)),TRUE,OR(E1559&lt;0,E1559&gt;999999999,ROUND(E1559,3)&lt;&gt;E1559))),"Invalid previous reading",IF(IF(NOT(ISNUMBER(F1559)),TRUE,OR(F1559&lt;0,F1559&gt;999999999,ROUND(F1559,3)&lt;&gt;F1559)),"Invalid last service",IF(AND(E1559&lt;&gt;"",D1559&lt;E1559),"Decreased reading",IF(F1559&gt;D1559,"Last service above current","")))))))))))))</x:f>
      </x:c>
      <x:c r="L1559" s="6" t="str">
        <x:f>IF(AND(NOT(COUNTA(A1559:F1559)=0),K1559=""),INDEX('Rules'!$C$7:$C$26,MATCH(SUBSTITUTE(SUBSTITUTE(SUBSTITUTE(SUBSTITUTE("type:"&amp;B1559,"%","%25"),"~","%7E"),"*","%2A"),"?","%3F"),'Rules'!$G$7:$G$26,0)),"")</x:f>
      </x:c>
      <x:c r="M1559" s="6" t="str">
        <x:f>IF(AND(NOT(COUNTA(A1559:F1559)=0),K1559=""),INDEX('Rules'!$D$7:$D$26,MATCH(SUBSTITUTE(SUBSTITUTE(SUBSTITUTE(SUBSTITUTE("type:"&amp;B1559,"%","%25"),"~","%7E"),"*","%2A"),"?","%3F"),'Rules'!$G$7:$G$26,0)),"")</x:f>
      </x:c>
      <x:c r="N1559" s="5" t="str">
        <x:f>IF(COUNTA(A1559:F1559)=0,"",SUBSTITUTE(SUBSTITUTE(SUBSTITUTE(SUBSTITUTE("id:"&amp;A1559,"%","%25"),"~","%7E"),"*","%2A"),"?","%3F"))</x:f>
      </x:c>
    </x:row>
    <x:row r="1560" ht="22" customHeight="1">
      <x:c r="A1560" s="3"/>
      <x:c r="B1560" s="3"/>
      <x:c r="C1560" s="3"/>
      <x:c r="D1560" s="4"/>
      <x:c r="E1560" s="4"/>
      <x:c r="F1560" s="4"/>
      <x:c r="G1560" s="5" t="str">
        <x:f>IF(COUNTA(A1560:F1560)=0,"",IF(K1560&lt;&gt;"","Review",IF(I1560&lt;0,"Overdue",IF(I1560=0,"Due now",IF(I1560&lt;=M1560,"Due soon","Not due")))))</x:f>
      </x:c>
      <x:c r="H1560" s="5" t="str">
        <x:f>IF(OR(COUNTA(A1560:F1560)=0,COUNTIFS('Rules'!$G$7:$G$26,"="&amp;(SUBSTITUTE(SUBSTITUTE(SUBSTITUTE(SUBSTITUTE("type:"&amp;B1560,"%","%25"),"~","%7E"),"*","%2A"),"?","%3F")))&lt;&gt;1),"",IF(OR(INDEX('Rules'!$B$7:$B$26,MATCH(SUBSTITUTE(SUBSTITUTE(SUBSTITUTE(SUBSTITUTE("type:"&amp;B1560,"%","%25"),"~","%7E"),"*","%2A"),"?","%3F"),'Rules'!$G$7:$G$26,0))="hours",INDEX('Rules'!$B$7:$B$26,MATCH(SUBSTITUTE(SUBSTITUTE(SUBSTITUTE(SUBSTITUTE("type:"&amp;B1560,"%","%25"),"~","%7E"),"*","%2A"),"?","%3F"),'Rules'!$G$7:$G$26,0))="km"),INDEX('Rules'!$B$7:$B$26,MATCH(SUBSTITUTE(SUBSTITUTE(SUBSTITUTE(SUBSTITUTE("type:"&amp;B1560,"%","%25"),"~","%7E"),"*","%2A"),"?","%3F"),'Rules'!$G$7:$G$26,0)),""))</x:f>
      </x:c>
      <x:c r="I1560" s="6" t="str">
        <x:f>IF(AND(NOT(COUNTA(A1560:F1560)=0),K1560=""),ROUND(J1560-D1560,3),"")</x:f>
      </x:c>
      <x:c r="J1560" s="6" t="str">
        <x:f>IF(AND(NOT(COUNTA(A1560:F1560)=0),K1560=""),ROUND(F1560+L1560,3),"")</x:f>
      </x:c>
      <x:c r="K1560" s="5" t="str">
        <x:f>IF(COUNTA(A1560:F1560)=0,"",IF(A1560="","Missing equipment ID",IF(COUNTIFS($N$8:$N$2007,"="&amp;N1560)&gt;1,"Duplicate equipment ID",IF(B1560="","Missing type",IF(COUNTIFS('Rules'!$G$7:$G$26,"="&amp;(SUBSTITUTE(SUBSTITUTE(SUBSTITUTE(SUBSTITUTE("type:"&amp;B1560,"%","%25"),"~","%7E"),"*","%2A"),"?","%3F")))=0,"Unknown type",IF(COUNTIFS('Rules'!$G$7:$G$26,"="&amp;(SUBSTITUTE(SUBSTITUTE(SUBSTITUTE(SUBSTITUTE("type:"&amp;B1560,"%","%25"),"~","%7E"),"*","%2A"),"?","%3F")))&gt;1,"Duplicate type",IF(INDEX('Rules'!$F$7:$F$26,MATCH(SUBSTITUTE(SUBSTITUTE(SUBSTITUTE(SUBSTITUTE("type:"&amp;B1560,"%","%25"),"~","%7E"),"*","%2A"),"?","%3F"),'Rules'!$G$7:$G$26,0))&lt;&gt;"",INDEX('Rules'!$F$7:$F$26,MATCH(SUBSTITUTE(SUBSTITUTE(SUBSTITUTE(SUBSTITUTE("type:"&amp;B1560,"%","%25"),"~","%7E"),"*","%2A"),"?","%3F"),'Rules'!$G$7:$G$26,0)),IF(AND(C1560&lt;&gt;"",C1560&lt;&gt;INDEX('Rules'!$B$7:$B$26,MATCH(SUBSTITUTE(SUBSTITUTE(SUBSTITUTE(SUBSTITUTE("type:"&amp;B1560,"%","%25"),"~","%7E"),"*","%2A"),"?","%3F"),'Rules'!$G$7:$G$26,0))),"Unit mismatch",IF(IF(NOT(ISNUMBER(D1560)),TRUE,OR(D1560&lt;0,D1560&gt;999999999,ROUND(D1560,3)&lt;&gt;D1560)),"Invalid current reading",IF(AND(E1560&lt;&gt;"",IF(NOT(ISNUMBER(E1560)),TRUE,OR(E1560&lt;0,E1560&gt;999999999,ROUND(E1560,3)&lt;&gt;E1560))),"Invalid previous reading",IF(IF(NOT(ISNUMBER(F1560)),TRUE,OR(F1560&lt;0,F1560&gt;999999999,ROUND(F1560,3)&lt;&gt;F1560)),"Invalid last service",IF(AND(E1560&lt;&gt;"",D1560&lt;E1560),"Decreased reading",IF(F1560&gt;D1560,"Last service above current","")))))))))))))</x:f>
      </x:c>
      <x:c r="L1560" s="6" t="str">
        <x:f>IF(AND(NOT(COUNTA(A1560:F1560)=0),K1560=""),INDEX('Rules'!$C$7:$C$26,MATCH(SUBSTITUTE(SUBSTITUTE(SUBSTITUTE(SUBSTITUTE("type:"&amp;B1560,"%","%25"),"~","%7E"),"*","%2A"),"?","%3F"),'Rules'!$G$7:$G$26,0)),"")</x:f>
      </x:c>
      <x:c r="M1560" s="6" t="str">
        <x:f>IF(AND(NOT(COUNTA(A1560:F1560)=0),K1560=""),INDEX('Rules'!$D$7:$D$26,MATCH(SUBSTITUTE(SUBSTITUTE(SUBSTITUTE(SUBSTITUTE("type:"&amp;B1560,"%","%25"),"~","%7E"),"*","%2A"),"?","%3F"),'Rules'!$G$7:$G$26,0)),"")</x:f>
      </x:c>
      <x:c r="N1560" s="5" t="str">
        <x:f>IF(COUNTA(A1560:F1560)=0,"",SUBSTITUTE(SUBSTITUTE(SUBSTITUTE(SUBSTITUTE("id:"&amp;A1560,"%","%25"),"~","%7E"),"*","%2A"),"?","%3F"))</x:f>
      </x:c>
    </x:row>
    <x:row r="1561" ht="22" customHeight="1">
      <x:c r="A1561" s="3"/>
      <x:c r="B1561" s="3"/>
      <x:c r="C1561" s="3"/>
      <x:c r="D1561" s="4"/>
      <x:c r="E1561" s="4"/>
      <x:c r="F1561" s="4"/>
      <x:c r="G1561" s="5" t="str">
        <x:f>IF(COUNTA(A1561:F1561)=0,"",IF(K1561&lt;&gt;"","Review",IF(I1561&lt;0,"Overdue",IF(I1561=0,"Due now",IF(I1561&lt;=M1561,"Due soon","Not due")))))</x:f>
      </x:c>
      <x:c r="H1561" s="5" t="str">
        <x:f>IF(OR(COUNTA(A1561:F1561)=0,COUNTIFS('Rules'!$G$7:$G$26,"="&amp;(SUBSTITUTE(SUBSTITUTE(SUBSTITUTE(SUBSTITUTE("type:"&amp;B1561,"%","%25"),"~","%7E"),"*","%2A"),"?","%3F")))&lt;&gt;1),"",IF(OR(INDEX('Rules'!$B$7:$B$26,MATCH(SUBSTITUTE(SUBSTITUTE(SUBSTITUTE(SUBSTITUTE("type:"&amp;B1561,"%","%25"),"~","%7E"),"*","%2A"),"?","%3F"),'Rules'!$G$7:$G$26,0))="hours",INDEX('Rules'!$B$7:$B$26,MATCH(SUBSTITUTE(SUBSTITUTE(SUBSTITUTE(SUBSTITUTE("type:"&amp;B1561,"%","%25"),"~","%7E"),"*","%2A"),"?","%3F"),'Rules'!$G$7:$G$26,0))="km"),INDEX('Rules'!$B$7:$B$26,MATCH(SUBSTITUTE(SUBSTITUTE(SUBSTITUTE(SUBSTITUTE("type:"&amp;B1561,"%","%25"),"~","%7E"),"*","%2A"),"?","%3F"),'Rules'!$G$7:$G$26,0)),""))</x:f>
      </x:c>
      <x:c r="I1561" s="6" t="str">
        <x:f>IF(AND(NOT(COUNTA(A1561:F1561)=0),K1561=""),ROUND(J1561-D1561,3),"")</x:f>
      </x:c>
      <x:c r="J1561" s="6" t="str">
        <x:f>IF(AND(NOT(COUNTA(A1561:F1561)=0),K1561=""),ROUND(F1561+L1561,3),"")</x:f>
      </x:c>
      <x:c r="K1561" s="5" t="str">
        <x:f>IF(COUNTA(A1561:F1561)=0,"",IF(A1561="","Missing equipment ID",IF(COUNTIFS($N$8:$N$2007,"="&amp;N1561)&gt;1,"Duplicate equipment ID",IF(B1561="","Missing type",IF(COUNTIFS('Rules'!$G$7:$G$26,"="&amp;(SUBSTITUTE(SUBSTITUTE(SUBSTITUTE(SUBSTITUTE("type:"&amp;B1561,"%","%25"),"~","%7E"),"*","%2A"),"?","%3F")))=0,"Unknown type",IF(COUNTIFS('Rules'!$G$7:$G$26,"="&amp;(SUBSTITUTE(SUBSTITUTE(SUBSTITUTE(SUBSTITUTE("type:"&amp;B1561,"%","%25"),"~","%7E"),"*","%2A"),"?","%3F")))&gt;1,"Duplicate type",IF(INDEX('Rules'!$F$7:$F$26,MATCH(SUBSTITUTE(SUBSTITUTE(SUBSTITUTE(SUBSTITUTE("type:"&amp;B1561,"%","%25"),"~","%7E"),"*","%2A"),"?","%3F"),'Rules'!$G$7:$G$26,0))&lt;&gt;"",INDEX('Rules'!$F$7:$F$26,MATCH(SUBSTITUTE(SUBSTITUTE(SUBSTITUTE(SUBSTITUTE("type:"&amp;B1561,"%","%25"),"~","%7E"),"*","%2A"),"?","%3F"),'Rules'!$G$7:$G$26,0)),IF(AND(C1561&lt;&gt;"",C1561&lt;&gt;INDEX('Rules'!$B$7:$B$26,MATCH(SUBSTITUTE(SUBSTITUTE(SUBSTITUTE(SUBSTITUTE("type:"&amp;B1561,"%","%25"),"~","%7E"),"*","%2A"),"?","%3F"),'Rules'!$G$7:$G$26,0))),"Unit mismatch",IF(IF(NOT(ISNUMBER(D1561)),TRUE,OR(D1561&lt;0,D1561&gt;999999999,ROUND(D1561,3)&lt;&gt;D1561)),"Invalid current reading",IF(AND(E1561&lt;&gt;"",IF(NOT(ISNUMBER(E1561)),TRUE,OR(E1561&lt;0,E1561&gt;999999999,ROUND(E1561,3)&lt;&gt;E1561))),"Invalid previous reading",IF(IF(NOT(ISNUMBER(F1561)),TRUE,OR(F1561&lt;0,F1561&gt;999999999,ROUND(F1561,3)&lt;&gt;F1561)),"Invalid last service",IF(AND(E1561&lt;&gt;"",D1561&lt;E1561),"Decreased reading",IF(F1561&gt;D1561,"Last service above current","")))))))))))))</x:f>
      </x:c>
      <x:c r="L1561" s="6" t="str">
        <x:f>IF(AND(NOT(COUNTA(A1561:F1561)=0),K1561=""),INDEX('Rules'!$C$7:$C$26,MATCH(SUBSTITUTE(SUBSTITUTE(SUBSTITUTE(SUBSTITUTE("type:"&amp;B1561,"%","%25"),"~","%7E"),"*","%2A"),"?","%3F"),'Rules'!$G$7:$G$26,0)),"")</x:f>
      </x:c>
      <x:c r="M1561" s="6" t="str">
        <x:f>IF(AND(NOT(COUNTA(A1561:F1561)=0),K1561=""),INDEX('Rules'!$D$7:$D$26,MATCH(SUBSTITUTE(SUBSTITUTE(SUBSTITUTE(SUBSTITUTE("type:"&amp;B1561,"%","%25"),"~","%7E"),"*","%2A"),"?","%3F"),'Rules'!$G$7:$G$26,0)),"")</x:f>
      </x:c>
      <x:c r="N1561" s="5" t="str">
        <x:f>IF(COUNTA(A1561:F1561)=0,"",SUBSTITUTE(SUBSTITUTE(SUBSTITUTE(SUBSTITUTE("id:"&amp;A1561,"%","%25"),"~","%7E"),"*","%2A"),"?","%3F"))</x:f>
      </x:c>
    </x:row>
    <x:row r="1562" ht="22" customHeight="1">
      <x:c r="A1562" s="3"/>
      <x:c r="B1562" s="3"/>
      <x:c r="C1562" s="3"/>
      <x:c r="D1562" s="4"/>
      <x:c r="E1562" s="4"/>
      <x:c r="F1562" s="4"/>
      <x:c r="G1562" s="5" t="str">
        <x:f>IF(COUNTA(A1562:F1562)=0,"",IF(K1562&lt;&gt;"","Review",IF(I1562&lt;0,"Overdue",IF(I1562=0,"Due now",IF(I1562&lt;=M1562,"Due soon","Not due")))))</x:f>
      </x:c>
      <x:c r="H1562" s="5" t="str">
        <x:f>IF(OR(COUNTA(A1562:F1562)=0,COUNTIFS('Rules'!$G$7:$G$26,"="&amp;(SUBSTITUTE(SUBSTITUTE(SUBSTITUTE(SUBSTITUTE("type:"&amp;B1562,"%","%25"),"~","%7E"),"*","%2A"),"?","%3F")))&lt;&gt;1),"",IF(OR(INDEX('Rules'!$B$7:$B$26,MATCH(SUBSTITUTE(SUBSTITUTE(SUBSTITUTE(SUBSTITUTE("type:"&amp;B1562,"%","%25"),"~","%7E"),"*","%2A"),"?","%3F"),'Rules'!$G$7:$G$26,0))="hours",INDEX('Rules'!$B$7:$B$26,MATCH(SUBSTITUTE(SUBSTITUTE(SUBSTITUTE(SUBSTITUTE("type:"&amp;B1562,"%","%25"),"~","%7E"),"*","%2A"),"?","%3F"),'Rules'!$G$7:$G$26,0))="km"),INDEX('Rules'!$B$7:$B$26,MATCH(SUBSTITUTE(SUBSTITUTE(SUBSTITUTE(SUBSTITUTE("type:"&amp;B1562,"%","%25"),"~","%7E"),"*","%2A"),"?","%3F"),'Rules'!$G$7:$G$26,0)),""))</x:f>
      </x:c>
      <x:c r="I1562" s="6" t="str">
        <x:f>IF(AND(NOT(COUNTA(A1562:F1562)=0),K1562=""),ROUND(J1562-D1562,3),"")</x:f>
      </x:c>
      <x:c r="J1562" s="6" t="str">
        <x:f>IF(AND(NOT(COUNTA(A1562:F1562)=0),K1562=""),ROUND(F1562+L1562,3),"")</x:f>
      </x:c>
      <x:c r="K1562" s="5" t="str">
        <x:f>IF(COUNTA(A1562:F1562)=0,"",IF(A1562="","Missing equipment ID",IF(COUNTIFS($N$8:$N$2007,"="&amp;N1562)&gt;1,"Duplicate equipment ID",IF(B1562="","Missing type",IF(COUNTIFS('Rules'!$G$7:$G$26,"="&amp;(SUBSTITUTE(SUBSTITUTE(SUBSTITUTE(SUBSTITUTE("type:"&amp;B1562,"%","%25"),"~","%7E"),"*","%2A"),"?","%3F")))=0,"Unknown type",IF(COUNTIFS('Rules'!$G$7:$G$26,"="&amp;(SUBSTITUTE(SUBSTITUTE(SUBSTITUTE(SUBSTITUTE("type:"&amp;B1562,"%","%25"),"~","%7E"),"*","%2A"),"?","%3F")))&gt;1,"Duplicate type",IF(INDEX('Rules'!$F$7:$F$26,MATCH(SUBSTITUTE(SUBSTITUTE(SUBSTITUTE(SUBSTITUTE("type:"&amp;B1562,"%","%25"),"~","%7E"),"*","%2A"),"?","%3F"),'Rules'!$G$7:$G$26,0))&lt;&gt;"",INDEX('Rules'!$F$7:$F$26,MATCH(SUBSTITUTE(SUBSTITUTE(SUBSTITUTE(SUBSTITUTE("type:"&amp;B1562,"%","%25"),"~","%7E"),"*","%2A"),"?","%3F"),'Rules'!$G$7:$G$26,0)),IF(AND(C1562&lt;&gt;"",C1562&lt;&gt;INDEX('Rules'!$B$7:$B$26,MATCH(SUBSTITUTE(SUBSTITUTE(SUBSTITUTE(SUBSTITUTE("type:"&amp;B1562,"%","%25"),"~","%7E"),"*","%2A"),"?","%3F"),'Rules'!$G$7:$G$26,0))),"Unit mismatch",IF(IF(NOT(ISNUMBER(D1562)),TRUE,OR(D1562&lt;0,D1562&gt;999999999,ROUND(D1562,3)&lt;&gt;D1562)),"Invalid current reading",IF(AND(E1562&lt;&gt;"",IF(NOT(ISNUMBER(E1562)),TRUE,OR(E1562&lt;0,E1562&gt;999999999,ROUND(E1562,3)&lt;&gt;E1562))),"Invalid previous reading",IF(IF(NOT(ISNUMBER(F1562)),TRUE,OR(F1562&lt;0,F1562&gt;999999999,ROUND(F1562,3)&lt;&gt;F1562)),"Invalid last service",IF(AND(E1562&lt;&gt;"",D1562&lt;E1562),"Decreased reading",IF(F1562&gt;D1562,"Last service above current","")))))))))))))</x:f>
      </x:c>
      <x:c r="L1562" s="6" t="str">
        <x:f>IF(AND(NOT(COUNTA(A1562:F1562)=0),K1562=""),INDEX('Rules'!$C$7:$C$26,MATCH(SUBSTITUTE(SUBSTITUTE(SUBSTITUTE(SUBSTITUTE("type:"&amp;B1562,"%","%25"),"~","%7E"),"*","%2A"),"?","%3F"),'Rules'!$G$7:$G$26,0)),"")</x:f>
      </x:c>
      <x:c r="M1562" s="6" t="str">
        <x:f>IF(AND(NOT(COUNTA(A1562:F1562)=0),K1562=""),INDEX('Rules'!$D$7:$D$26,MATCH(SUBSTITUTE(SUBSTITUTE(SUBSTITUTE(SUBSTITUTE("type:"&amp;B1562,"%","%25"),"~","%7E"),"*","%2A"),"?","%3F"),'Rules'!$G$7:$G$26,0)),"")</x:f>
      </x:c>
      <x:c r="N1562" s="5" t="str">
        <x:f>IF(COUNTA(A1562:F1562)=0,"",SUBSTITUTE(SUBSTITUTE(SUBSTITUTE(SUBSTITUTE("id:"&amp;A1562,"%","%25"),"~","%7E"),"*","%2A"),"?","%3F"))</x:f>
      </x:c>
    </x:row>
    <x:row r="1563" ht="22" customHeight="1">
      <x:c r="A1563" s="3"/>
      <x:c r="B1563" s="3"/>
      <x:c r="C1563" s="3"/>
      <x:c r="D1563" s="4"/>
      <x:c r="E1563" s="4"/>
      <x:c r="F1563" s="4"/>
      <x:c r="G1563" s="5" t="str">
        <x:f>IF(COUNTA(A1563:F1563)=0,"",IF(K1563&lt;&gt;"","Review",IF(I1563&lt;0,"Overdue",IF(I1563=0,"Due now",IF(I1563&lt;=M1563,"Due soon","Not due")))))</x:f>
      </x:c>
      <x:c r="H1563" s="5" t="str">
        <x:f>IF(OR(COUNTA(A1563:F1563)=0,COUNTIFS('Rules'!$G$7:$G$26,"="&amp;(SUBSTITUTE(SUBSTITUTE(SUBSTITUTE(SUBSTITUTE("type:"&amp;B1563,"%","%25"),"~","%7E"),"*","%2A"),"?","%3F")))&lt;&gt;1),"",IF(OR(INDEX('Rules'!$B$7:$B$26,MATCH(SUBSTITUTE(SUBSTITUTE(SUBSTITUTE(SUBSTITUTE("type:"&amp;B1563,"%","%25"),"~","%7E"),"*","%2A"),"?","%3F"),'Rules'!$G$7:$G$26,0))="hours",INDEX('Rules'!$B$7:$B$26,MATCH(SUBSTITUTE(SUBSTITUTE(SUBSTITUTE(SUBSTITUTE("type:"&amp;B1563,"%","%25"),"~","%7E"),"*","%2A"),"?","%3F"),'Rules'!$G$7:$G$26,0))="km"),INDEX('Rules'!$B$7:$B$26,MATCH(SUBSTITUTE(SUBSTITUTE(SUBSTITUTE(SUBSTITUTE("type:"&amp;B1563,"%","%25"),"~","%7E"),"*","%2A"),"?","%3F"),'Rules'!$G$7:$G$26,0)),""))</x:f>
      </x:c>
      <x:c r="I1563" s="6" t="str">
        <x:f>IF(AND(NOT(COUNTA(A1563:F1563)=0),K1563=""),ROUND(J1563-D1563,3),"")</x:f>
      </x:c>
      <x:c r="J1563" s="6" t="str">
        <x:f>IF(AND(NOT(COUNTA(A1563:F1563)=0),K1563=""),ROUND(F1563+L1563,3),"")</x:f>
      </x:c>
      <x:c r="K1563" s="5" t="str">
        <x:f>IF(COUNTA(A1563:F1563)=0,"",IF(A1563="","Missing equipment ID",IF(COUNTIFS($N$8:$N$2007,"="&amp;N1563)&gt;1,"Duplicate equipment ID",IF(B1563="","Missing type",IF(COUNTIFS('Rules'!$G$7:$G$26,"="&amp;(SUBSTITUTE(SUBSTITUTE(SUBSTITUTE(SUBSTITUTE("type:"&amp;B1563,"%","%25"),"~","%7E"),"*","%2A"),"?","%3F")))=0,"Unknown type",IF(COUNTIFS('Rules'!$G$7:$G$26,"="&amp;(SUBSTITUTE(SUBSTITUTE(SUBSTITUTE(SUBSTITUTE("type:"&amp;B1563,"%","%25"),"~","%7E"),"*","%2A"),"?","%3F")))&gt;1,"Duplicate type",IF(INDEX('Rules'!$F$7:$F$26,MATCH(SUBSTITUTE(SUBSTITUTE(SUBSTITUTE(SUBSTITUTE("type:"&amp;B1563,"%","%25"),"~","%7E"),"*","%2A"),"?","%3F"),'Rules'!$G$7:$G$26,0))&lt;&gt;"",INDEX('Rules'!$F$7:$F$26,MATCH(SUBSTITUTE(SUBSTITUTE(SUBSTITUTE(SUBSTITUTE("type:"&amp;B1563,"%","%25"),"~","%7E"),"*","%2A"),"?","%3F"),'Rules'!$G$7:$G$26,0)),IF(AND(C1563&lt;&gt;"",C1563&lt;&gt;INDEX('Rules'!$B$7:$B$26,MATCH(SUBSTITUTE(SUBSTITUTE(SUBSTITUTE(SUBSTITUTE("type:"&amp;B1563,"%","%25"),"~","%7E"),"*","%2A"),"?","%3F"),'Rules'!$G$7:$G$26,0))),"Unit mismatch",IF(IF(NOT(ISNUMBER(D1563)),TRUE,OR(D1563&lt;0,D1563&gt;999999999,ROUND(D1563,3)&lt;&gt;D1563)),"Invalid current reading",IF(AND(E1563&lt;&gt;"",IF(NOT(ISNUMBER(E1563)),TRUE,OR(E1563&lt;0,E1563&gt;999999999,ROUND(E1563,3)&lt;&gt;E1563))),"Invalid previous reading",IF(IF(NOT(ISNUMBER(F1563)),TRUE,OR(F1563&lt;0,F1563&gt;999999999,ROUND(F1563,3)&lt;&gt;F1563)),"Invalid last service",IF(AND(E1563&lt;&gt;"",D1563&lt;E1563),"Decreased reading",IF(F1563&gt;D1563,"Last service above current","")))))))))))))</x:f>
      </x:c>
      <x:c r="L1563" s="6" t="str">
        <x:f>IF(AND(NOT(COUNTA(A1563:F1563)=0),K1563=""),INDEX('Rules'!$C$7:$C$26,MATCH(SUBSTITUTE(SUBSTITUTE(SUBSTITUTE(SUBSTITUTE("type:"&amp;B1563,"%","%25"),"~","%7E"),"*","%2A"),"?","%3F"),'Rules'!$G$7:$G$26,0)),"")</x:f>
      </x:c>
      <x:c r="M1563" s="6" t="str">
        <x:f>IF(AND(NOT(COUNTA(A1563:F1563)=0),K1563=""),INDEX('Rules'!$D$7:$D$26,MATCH(SUBSTITUTE(SUBSTITUTE(SUBSTITUTE(SUBSTITUTE("type:"&amp;B1563,"%","%25"),"~","%7E"),"*","%2A"),"?","%3F"),'Rules'!$G$7:$G$26,0)),"")</x:f>
      </x:c>
      <x:c r="N1563" s="5" t="str">
        <x:f>IF(COUNTA(A1563:F1563)=0,"",SUBSTITUTE(SUBSTITUTE(SUBSTITUTE(SUBSTITUTE("id:"&amp;A1563,"%","%25"),"~","%7E"),"*","%2A"),"?","%3F"))</x:f>
      </x:c>
    </x:row>
    <x:row r="1564" ht="22" customHeight="1">
      <x:c r="A1564" s="3"/>
      <x:c r="B1564" s="3"/>
      <x:c r="C1564" s="3"/>
      <x:c r="D1564" s="4"/>
      <x:c r="E1564" s="4"/>
      <x:c r="F1564" s="4"/>
      <x:c r="G1564" s="5" t="str">
        <x:f>IF(COUNTA(A1564:F1564)=0,"",IF(K1564&lt;&gt;"","Review",IF(I1564&lt;0,"Overdue",IF(I1564=0,"Due now",IF(I1564&lt;=M1564,"Due soon","Not due")))))</x:f>
      </x:c>
      <x:c r="H1564" s="5" t="str">
        <x:f>IF(OR(COUNTA(A1564:F1564)=0,COUNTIFS('Rules'!$G$7:$G$26,"="&amp;(SUBSTITUTE(SUBSTITUTE(SUBSTITUTE(SUBSTITUTE("type:"&amp;B1564,"%","%25"),"~","%7E"),"*","%2A"),"?","%3F")))&lt;&gt;1),"",IF(OR(INDEX('Rules'!$B$7:$B$26,MATCH(SUBSTITUTE(SUBSTITUTE(SUBSTITUTE(SUBSTITUTE("type:"&amp;B1564,"%","%25"),"~","%7E"),"*","%2A"),"?","%3F"),'Rules'!$G$7:$G$26,0))="hours",INDEX('Rules'!$B$7:$B$26,MATCH(SUBSTITUTE(SUBSTITUTE(SUBSTITUTE(SUBSTITUTE("type:"&amp;B1564,"%","%25"),"~","%7E"),"*","%2A"),"?","%3F"),'Rules'!$G$7:$G$26,0))="km"),INDEX('Rules'!$B$7:$B$26,MATCH(SUBSTITUTE(SUBSTITUTE(SUBSTITUTE(SUBSTITUTE("type:"&amp;B1564,"%","%25"),"~","%7E"),"*","%2A"),"?","%3F"),'Rules'!$G$7:$G$26,0)),""))</x:f>
      </x:c>
      <x:c r="I1564" s="6" t="str">
        <x:f>IF(AND(NOT(COUNTA(A1564:F1564)=0),K1564=""),ROUND(J1564-D1564,3),"")</x:f>
      </x:c>
      <x:c r="J1564" s="6" t="str">
        <x:f>IF(AND(NOT(COUNTA(A1564:F1564)=0),K1564=""),ROUND(F1564+L1564,3),"")</x:f>
      </x:c>
      <x:c r="K1564" s="5" t="str">
        <x:f>IF(COUNTA(A1564:F1564)=0,"",IF(A1564="","Missing equipment ID",IF(COUNTIFS($N$8:$N$2007,"="&amp;N1564)&gt;1,"Duplicate equipment ID",IF(B1564="","Missing type",IF(COUNTIFS('Rules'!$G$7:$G$26,"="&amp;(SUBSTITUTE(SUBSTITUTE(SUBSTITUTE(SUBSTITUTE("type:"&amp;B1564,"%","%25"),"~","%7E"),"*","%2A"),"?","%3F")))=0,"Unknown type",IF(COUNTIFS('Rules'!$G$7:$G$26,"="&amp;(SUBSTITUTE(SUBSTITUTE(SUBSTITUTE(SUBSTITUTE("type:"&amp;B1564,"%","%25"),"~","%7E"),"*","%2A"),"?","%3F")))&gt;1,"Duplicate type",IF(INDEX('Rules'!$F$7:$F$26,MATCH(SUBSTITUTE(SUBSTITUTE(SUBSTITUTE(SUBSTITUTE("type:"&amp;B1564,"%","%25"),"~","%7E"),"*","%2A"),"?","%3F"),'Rules'!$G$7:$G$26,0))&lt;&gt;"",INDEX('Rules'!$F$7:$F$26,MATCH(SUBSTITUTE(SUBSTITUTE(SUBSTITUTE(SUBSTITUTE("type:"&amp;B1564,"%","%25"),"~","%7E"),"*","%2A"),"?","%3F"),'Rules'!$G$7:$G$26,0)),IF(AND(C1564&lt;&gt;"",C1564&lt;&gt;INDEX('Rules'!$B$7:$B$26,MATCH(SUBSTITUTE(SUBSTITUTE(SUBSTITUTE(SUBSTITUTE("type:"&amp;B1564,"%","%25"),"~","%7E"),"*","%2A"),"?","%3F"),'Rules'!$G$7:$G$26,0))),"Unit mismatch",IF(IF(NOT(ISNUMBER(D1564)),TRUE,OR(D1564&lt;0,D1564&gt;999999999,ROUND(D1564,3)&lt;&gt;D1564)),"Invalid current reading",IF(AND(E1564&lt;&gt;"",IF(NOT(ISNUMBER(E1564)),TRUE,OR(E1564&lt;0,E1564&gt;999999999,ROUND(E1564,3)&lt;&gt;E1564))),"Invalid previous reading",IF(IF(NOT(ISNUMBER(F1564)),TRUE,OR(F1564&lt;0,F1564&gt;999999999,ROUND(F1564,3)&lt;&gt;F1564)),"Invalid last service",IF(AND(E1564&lt;&gt;"",D1564&lt;E1564),"Decreased reading",IF(F1564&gt;D1564,"Last service above current","")))))))))))))</x:f>
      </x:c>
      <x:c r="L1564" s="6" t="str">
        <x:f>IF(AND(NOT(COUNTA(A1564:F1564)=0),K1564=""),INDEX('Rules'!$C$7:$C$26,MATCH(SUBSTITUTE(SUBSTITUTE(SUBSTITUTE(SUBSTITUTE("type:"&amp;B1564,"%","%25"),"~","%7E"),"*","%2A"),"?","%3F"),'Rules'!$G$7:$G$26,0)),"")</x:f>
      </x:c>
      <x:c r="M1564" s="6" t="str">
        <x:f>IF(AND(NOT(COUNTA(A1564:F1564)=0),K1564=""),INDEX('Rules'!$D$7:$D$26,MATCH(SUBSTITUTE(SUBSTITUTE(SUBSTITUTE(SUBSTITUTE("type:"&amp;B1564,"%","%25"),"~","%7E"),"*","%2A"),"?","%3F"),'Rules'!$G$7:$G$26,0)),"")</x:f>
      </x:c>
      <x:c r="N1564" s="5" t="str">
        <x:f>IF(COUNTA(A1564:F1564)=0,"",SUBSTITUTE(SUBSTITUTE(SUBSTITUTE(SUBSTITUTE("id:"&amp;A1564,"%","%25"),"~","%7E"),"*","%2A"),"?","%3F"))</x:f>
      </x:c>
    </x:row>
    <x:row r="1565" ht="22" customHeight="1">
      <x:c r="A1565" s="3"/>
      <x:c r="B1565" s="3"/>
      <x:c r="C1565" s="3"/>
      <x:c r="D1565" s="4"/>
      <x:c r="E1565" s="4"/>
      <x:c r="F1565" s="4"/>
      <x:c r="G1565" s="5" t="str">
        <x:f>IF(COUNTA(A1565:F1565)=0,"",IF(K1565&lt;&gt;"","Review",IF(I1565&lt;0,"Overdue",IF(I1565=0,"Due now",IF(I1565&lt;=M1565,"Due soon","Not due")))))</x:f>
      </x:c>
      <x:c r="H1565" s="5" t="str">
        <x:f>IF(OR(COUNTA(A1565:F1565)=0,COUNTIFS('Rules'!$G$7:$G$26,"="&amp;(SUBSTITUTE(SUBSTITUTE(SUBSTITUTE(SUBSTITUTE("type:"&amp;B1565,"%","%25"),"~","%7E"),"*","%2A"),"?","%3F")))&lt;&gt;1),"",IF(OR(INDEX('Rules'!$B$7:$B$26,MATCH(SUBSTITUTE(SUBSTITUTE(SUBSTITUTE(SUBSTITUTE("type:"&amp;B1565,"%","%25"),"~","%7E"),"*","%2A"),"?","%3F"),'Rules'!$G$7:$G$26,0))="hours",INDEX('Rules'!$B$7:$B$26,MATCH(SUBSTITUTE(SUBSTITUTE(SUBSTITUTE(SUBSTITUTE("type:"&amp;B1565,"%","%25"),"~","%7E"),"*","%2A"),"?","%3F"),'Rules'!$G$7:$G$26,0))="km"),INDEX('Rules'!$B$7:$B$26,MATCH(SUBSTITUTE(SUBSTITUTE(SUBSTITUTE(SUBSTITUTE("type:"&amp;B1565,"%","%25"),"~","%7E"),"*","%2A"),"?","%3F"),'Rules'!$G$7:$G$26,0)),""))</x:f>
      </x:c>
      <x:c r="I1565" s="6" t="str">
        <x:f>IF(AND(NOT(COUNTA(A1565:F1565)=0),K1565=""),ROUND(J1565-D1565,3),"")</x:f>
      </x:c>
      <x:c r="J1565" s="6" t="str">
        <x:f>IF(AND(NOT(COUNTA(A1565:F1565)=0),K1565=""),ROUND(F1565+L1565,3),"")</x:f>
      </x:c>
      <x:c r="K1565" s="5" t="str">
        <x:f>IF(COUNTA(A1565:F1565)=0,"",IF(A1565="","Missing equipment ID",IF(COUNTIFS($N$8:$N$2007,"="&amp;N1565)&gt;1,"Duplicate equipment ID",IF(B1565="","Missing type",IF(COUNTIFS('Rules'!$G$7:$G$26,"="&amp;(SUBSTITUTE(SUBSTITUTE(SUBSTITUTE(SUBSTITUTE("type:"&amp;B1565,"%","%25"),"~","%7E"),"*","%2A"),"?","%3F")))=0,"Unknown type",IF(COUNTIFS('Rules'!$G$7:$G$26,"="&amp;(SUBSTITUTE(SUBSTITUTE(SUBSTITUTE(SUBSTITUTE("type:"&amp;B1565,"%","%25"),"~","%7E"),"*","%2A"),"?","%3F")))&gt;1,"Duplicate type",IF(INDEX('Rules'!$F$7:$F$26,MATCH(SUBSTITUTE(SUBSTITUTE(SUBSTITUTE(SUBSTITUTE("type:"&amp;B1565,"%","%25"),"~","%7E"),"*","%2A"),"?","%3F"),'Rules'!$G$7:$G$26,0))&lt;&gt;"",INDEX('Rules'!$F$7:$F$26,MATCH(SUBSTITUTE(SUBSTITUTE(SUBSTITUTE(SUBSTITUTE("type:"&amp;B1565,"%","%25"),"~","%7E"),"*","%2A"),"?","%3F"),'Rules'!$G$7:$G$26,0)),IF(AND(C1565&lt;&gt;"",C1565&lt;&gt;INDEX('Rules'!$B$7:$B$26,MATCH(SUBSTITUTE(SUBSTITUTE(SUBSTITUTE(SUBSTITUTE("type:"&amp;B1565,"%","%25"),"~","%7E"),"*","%2A"),"?","%3F"),'Rules'!$G$7:$G$26,0))),"Unit mismatch",IF(IF(NOT(ISNUMBER(D1565)),TRUE,OR(D1565&lt;0,D1565&gt;999999999,ROUND(D1565,3)&lt;&gt;D1565)),"Invalid current reading",IF(AND(E1565&lt;&gt;"",IF(NOT(ISNUMBER(E1565)),TRUE,OR(E1565&lt;0,E1565&gt;999999999,ROUND(E1565,3)&lt;&gt;E1565))),"Invalid previous reading",IF(IF(NOT(ISNUMBER(F1565)),TRUE,OR(F1565&lt;0,F1565&gt;999999999,ROUND(F1565,3)&lt;&gt;F1565)),"Invalid last service",IF(AND(E1565&lt;&gt;"",D1565&lt;E1565),"Decreased reading",IF(F1565&gt;D1565,"Last service above current","")))))))))))))</x:f>
      </x:c>
      <x:c r="L1565" s="6" t="str">
        <x:f>IF(AND(NOT(COUNTA(A1565:F1565)=0),K1565=""),INDEX('Rules'!$C$7:$C$26,MATCH(SUBSTITUTE(SUBSTITUTE(SUBSTITUTE(SUBSTITUTE("type:"&amp;B1565,"%","%25"),"~","%7E"),"*","%2A"),"?","%3F"),'Rules'!$G$7:$G$26,0)),"")</x:f>
      </x:c>
      <x:c r="M1565" s="6" t="str">
        <x:f>IF(AND(NOT(COUNTA(A1565:F1565)=0),K1565=""),INDEX('Rules'!$D$7:$D$26,MATCH(SUBSTITUTE(SUBSTITUTE(SUBSTITUTE(SUBSTITUTE("type:"&amp;B1565,"%","%25"),"~","%7E"),"*","%2A"),"?","%3F"),'Rules'!$G$7:$G$26,0)),"")</x:f>
      </x:c>
      <x:c r="N1565" s="5" t="str">
        <x:f>IF(COUNTA(A1565:F1565)=0,"",SUBSTITUTE(SUBSTITUTE(SUBSTITUTE(SUBSTITUTE("id:"&amp;A1565,"%","%25"),"~","%7E"),"*","%2A"),"?","%3F"))</x:f>
      </x:c>
    </x:row>
    <x:row r="1566" ht="22" customHeight="1">
      <x:c r="A1566" s="3"/>
      <x:c r="B1566" s="3"/>
      <x:c r="C1566" s="3"/>
      <x:c r="D1566" s="4"/>
      <x:c r="E1566" s="4"/>
      <x:c r="F1566" s="4"/>
      <x:c r="G1566" s="5" t="str">
        <x:f>IF(COUNTA(A1566:F1566)=0,"",IF(K1566&lt;&gt;"","Review",IF(I1566&lt;0,"Overdue",IF(I1566=0,"Due now",IF(I1566&lt;=M1566,"Due soon","Not due")))))</x:f>
      </x:c>
      <x:c r="H1566" s="5" t="str">
        <x:f>IF(OR(COUNTA(A1566:F1566)=0,COUNTIFS('Rules'!$G$7:$G$26,"="&amp;(SUBSTITUTE(SUBSTITUTE(SUBSTITUTE(SUBSTITUTE("type:"&amp;B1566,"%","%25"),"~","%7E"),"*","%2A"),"?","%3F")))&lt;&gt;1),"",IF(OR(INDEX('Rules'!$B$7:$B$26,MATCH(SUBSTITUTE(SUBSTITUTE(SUBSTITUTE(SUBSTITUTE("type:"&amp;B1566,"%","%25"),"~","%7E"),"*","%2A"),"?","%3F"),'Rules'!$G$7:$G$26,0))="hours",INDEX('Rules'!$B$7:$B$26,MATCH(SUBSTITUTE(SUBSTITUTE(SUBSTITUTE(SUBSTITUTE("type:"&amp;B1566,"%","%25"),"~","%7E"),"*","%2A"),"?","%3F"),'Rules'!$G$7:$G$26,0))="km"),INDEX('Rules'!$B$7:$B$26,MATCH(SUBSTITUTE(SUBSTITUTE(SUBSTITUTE(SUBSTITUTE("type:"&amp;B1566,"%","%25"),"~","%7E"),"*","%2A"),"?","%3F"),'Rules'!$G$7:$G$26,0)),""))</x:f>
      </x:c>
      <x:c r="I1566" s="6" t="str">
        <x:f>IF(AND(NOT(COUNTA(A1566:F1566)=0),K1566=""),ROUND(J1566-D1566,3),"")</x:f>
      </x:c>
      <x:c r="J1566" s="6" t="str">
        <x:f>IF(AND(NOT(COUNTA(A1566:F1566)=0),K1566=""),ROUND(F1566+L1566,3),"")</x:f>
      </x:c>
      <x:c r="K1566" s="5" t="str">
        <x:f>IF(COUNTA(A1566:F1566)=0,"",IF(A1566="","Missing equipment ID",IF(COUNTIFS($N$8:$N$2007,"="&amp;N1566)&gt;1,"Duplicate equipment ID",IF(B1566="","Missing type",IF(COUNTIFS('Rules'!$G$7:$G$26,"="&amp;(SUBSTITUTE(SUBSTITUTE(SUBSTITUTE(SUBSTITUTE("type:"&amp;B1566,"%","%25"),"~","%7E"),"*","%2A"),"?","%3F")))=0,"Unknown type",IF(COUNTIFS('Rules'!$G$7:$G$26,"="&amp;(SUBSTITUTE(SUBSTITUTE(SUBSTITUTE(SUBSTITUTE("type:"&amp;B1566,"%","%25"),"~","%7E"),"*","%2A"),"?","%3F")))&gt;1,"Duplicate type",IF(INDEX('Rules'!$F$7:$F$26,MATCH(SUBSTITUTE(SUBSTITUTE(SUBSTITUTE(SUBSTITUTE("type:"&amp;B1566,"%","%25"),"~","%7E"),"*","%2A"),"?","%3F"),'Rules'!$G$7:$G$26,0))&lt;&gt;"",INDEX('Rules'!$F$7:$F$26,MATCH(SUBSTITUTE(SUBSTITUTE(SUBSTITUTE(SUBSTITUTE("type:"&amp;B1566,"%","%25"),"~","%7E"),"*","%2A"),"?","%3F"),'Rules'!$G$7:$G$26,0)),IF(AND(C1566&lt;&gt;"",C1566&lt;&gt;INDEX('Rules'!$B$7:$B$26,MATCH(SUBSTITUTE(SUBSTITUTE(SUBSTITUTE(SUBSTITUTE("type:"&amp;B1566,"%","%25"),"~","%7E"),"*","%2A"),"?","%3F"),'Rules'!$G$7:$G$26,0))),"Unit mismatch",IF(IF(NOT(ISNUMBER(D1566)),TRUE,OR(D1566&lt;0,D1566&gt;999999999,ROUND(D1566,3)&lt;&gt;D1566)),"Invalid current reading",IF(AND(E1566&lt;&gt;"",IF(NOT(ISNUMBER(E1566)),TRUE,OR(E1566&lt;0,E1566&gt;999999999,ROUND(E1566,3)&lt;&gt;E1566))),"Invalid previous reading",IF(IF(NOT(ISNUMBER(F1566)),TRUE,OR(F1566&lt;0,F1566&gt;999999999,ROUND(F1566,3)&lt;&gt;F1566)),"Invalid last service",IF(AND(E1566&lt;&gt;"",D1566&lt;E1566),"Decreased reading",IF(F1566&gt;D1566,"Last service above current","")))))))))))))</x:f>
      </x:c>
      <x:c r="L1566" s="6" t="str">
        <x:f>IF(AND(NOT(COUNTA(A1566:F1566)=0),K1566=""),INDEX('Rules'!$C$7:$C$26,MATCH(SUBSTITUTE(SUBSTITUTE(SUBSTITUTE(SUBSTITUTE("type:"&amp;B1566,"%","%25"),"~","%7E"),"*","%2A"),"?","%3F"),'Rules'!$G$7:$G$26,0)),"")</x:f>
      </x:c>
      <x:c r="M1566" s="6" t="str">
        <x:f>IF(AND(NOT(COUNTA(A1566:F1566)=0),K1566=""),INDEX('Rules'!$D$7:$D$26,MATCH(SUBSTITUTE(SUBSTITUTE(SUBSTITUTE(SUBSTITUTE("type:"&amp;B1566,"%","%25"),"~","%7E"),"*","%2A"),"?","%3F"),'Rules'!$G$7:$G$26,0)),"")</x:f>
      </x:c>
      <x:c r="N1566" s="5" t="str">
        <x:f>IF(COUNTA(A1566:F1566)=0,"",SUBSTITUTE(SUBSTITUTE(SUBSTITUTE(SUBSTITUTE("id:"&amp;A1566,"%","%25"),"~","%7E"),"*","%2A"),"?","%3F"))</x:f>
      </x:c>
    </x:row>
    <x:row r="1567" ht="22" customHeight="1">
      <x:c r="A1567" s="3"/>
      <x:c r="B1567" s="3"/>
      <x:c r="C1567" s="3"/>
      <x:c r="D1567" s="4"/>
      <x:c r="E1567" s="4"/>
      <x:c r="F1567" s="4"/>
      <x:c r="G1567" s="5" t="str">
        <x:f>IF(COUNTA(A1567:F1567)=0,"",IF(K1567&lt;&gt;"","Review",IF(I1567&lt;0,"Overdue",IF(I1567=0,"Due now",IF(I1567&lt;=M1567,"Due soon","Not due")))))</x:f>
      </x:c>
      <x:c r="H1567" s="5" t="str">
        <x:f>IF(OR(COUNTA(A1567:F1567)=0,COUNTIFS('Rules'!$G$7:$G$26,"="&amp;(SUBSTITUTE(SUBSTITUTE(SUBSTITUTE(SUBSTITUTE("type:"&amp;B1567,"%","%25"),"~","%7E"),"*","%2A"),"?","%3F")))&lt;&gt;1),"",IF(OR(INDEX('Rules'!$B$7:$B$26,MATCH(SUBSTITUTE(SUBSTITUTE(SUBSTITUTE(SUBSTITUTE("type:"&amp;B1567,"%","%25"),"~","%7E"),"*","%2A"),"?","%3F"),'Rules'!$G$7:$G$26,0))="hours",INDEX('Rules'!$B$7:$B$26,MATCH(SUBSTITUTE(SUBSTITUTE(SUBSTITUTE(SUBSTITUTE("type:"&amp;B1567,"%","%25"),"~","%7E"),"*","%2A"),"?","%3F"),'Rules'!$G$7:$G$26,0))="km"),INDEX('Rules'!$B$7:$B$26,MATCH(SUBSTITUTE(SUBSTITUTE(SUBSTITUTE(SUBSTITUTE("type:"&amp;B1567,"%","%25"),"~","%7E"),"*","%2A"),"?","%3F"),'Rules'!$G$7:$G$26,0)),""))</x:f>
      </x:c>
      <x:c r="I1567" s="6" t="str">
        <x:f>IF(AND(NOT(COUNTA(A1567:F1567)=0),K1567=""),ROUND(J1567-D1567,3),"")</x:f>
      </x:c>
      <x:c r="J1567" s="6" t="str">
        <x:f>IF(AND(NOT(COUNTA(A1567:F1567)=0),K1567=""),ROUND(F1567+L1567,3),"")</x:f>
      </x:c>
      <x:c r="K1567" s="5" t="str">
        <x:f>IF(COUNTA(A1567:F1567)=0,"",IF(A1567="","Missing equipment ID",IF(COUNTIFS($N$8:$N$2007,"="&amp;N1567)&gt;1,"Duplicate equipment ID",IF(B1567="","Missing type",IF(COUNTIFS('Rules'!$G$7:$G$26,"="&amp;(SUBSTITUTE(SUBSTITUTE(SUBSTITUTE(SUBSTITUTE("type:"&amp;B1567,"%","%25"),"~","%7E"),"*","%2A"),"?","%3F")))=0,"Unknown type",IF(COUNTIFS('Rules'!$G$7:$G$26,"="&amp;(SUBSTITUTE(SUBSTITUTE(SUBSTITUTE(SUBSTITUTE("type:"&amp;B1567,"%","%25"),"~","%7E"),"*","%2A"),"?","%3F")))&gt;1,"Duplicate type",IF(INDEX('Rules'!$F$7:$F$26,MATCH(SUBSTITUTE(SUBSTITUTE(SUBSTITUTE(SUBSTITUTE("type:"&amp;B1567,"%","%25"),"~","%7E"),"*","%2A"),"?","%3F"),'Rules'!$G$7:$G$26,0))&lt;&gt;"",INDEX('Rules'!$F$7:$F$26,MATCH(SUBSTITUTE(SUBSTITUTE(SUBSTITUTE(SUBSTITUTE("type:"&amp;B1567,"%","%25"),"~","%7E"),"*","%2A"),"?","%3F"),'Rules'!$G$7:$G$26,0)),IF(AND(C1567&lt;&gt;"",C1567&lt;&gt;INDEX('Rules'!$B$7:$B$26,MATCH(SUBSTITUTE(SUBSTITUTE(SUBSTITUTE(SUBSTITUTE("type:"&amp;B1567,"%","%25"),"~","%7E"),"*","%2A"),"?","%3F"),'Rules'!$G$7:$G$26,0))),"Unit mismatch",IF(IF(NOT(ISNUMBER(D1567)),TRUE,OR(D1567&lt;0,D1567&gt;999999999,ROUND(D1567,3)&lt;&gt;D1567)),"Invalid current reading",IF(AND(E1567&lt;&gt;"",IF(NOT(ISNUMBER(E1567)),TRUE,OR(E1567&lt;0,E1567&gt;999999999,ROUND(E1567,3)&lt;&gt;E1567))),"Invalid previous reading",IF(IF(NOT(ISNUMBER(F1567)),TRUE,OR(F1567&lt;0,F1567&gt;999999999,ROUND(F1567,3)&lt;&gt;F1567)),"Invalid last service",IF(AND(E1567&lt;&gt;"",D1567&lt;E1567),"Decreased reading",IF(F1567&gt;D1567,"Last service above current","")))))))))))))</x:f>
      </x:c>
      <x:c r="L1567" s="6" t="str">
        <x:f>IF(AND(NOT(COUNTA(A1567:F1567)=0),K1567=""),INDEX('Rules'!$C$7:$C$26,MATCH(SUBSTITUTE(SUBSTITUTE(SUBSTITUTE(SUBSTITUTE("type:"&amp;B1567,"%","%25"),"~","%7E"),"*","%2A"),"?","%3F"),'Rules'!$G$7:$G$26,0)),"")</x:f>
      </x:c>
      <x:c r="M1567" s="6" t="str">
        <x:f>IF(AND(NOT(COUNTA(A1567:F1567)=0),K1567=""),INDEX('Rules'!$D$7:$D$26,MATCH(SUBSTITUTE(SUBSTITUTE(SUBSTITUTE(SUBSTITUTE("type:"&amp;B1567,"%","%25"),"~","%7E"),"*","%2A"),"?","%3F"),'Rules'!$G$7:$G$26,0)),"")</x:f>
      </x:c>
      <x:c r="N1567" s="5" t="str">
        <x:f>IF(COUNTA(A1567:F1567)=0,"",SUBSTITUTE(SUBSTITUTE(SUBSTITUTE(SUBSTITUTE("id:"&amp;A1567,"%","%25"),"~","%7E"),"*","%2A"),"?","%3F"))</x:f>
      </x:c>
    </x:row>
    <x:row r="1568" ht="22" customHeight="1">
      <x:c r="A1568" s="3"/>
      <x:c r="B1568" s="3"/>
      <x:c r="C1568" s="3"/>
      <x:c r="D1568" s="4"/>
      <x:c r="E1568" s="4"/>
      <x:c r="F1568" s="4"/>
      <x:c r="G1568" s="5" t="str">
        <x:f>IF(COUNTA(A1568:F1568)=0,"",IF(K1568&lt;&gt;"","Review",IF(I1568&lt;0,"Overdue",IF(I1568=0,"Due now",IF(I1568&lt;=M1568,"Due soon","Not due")))))</x:f>
      </x:c>
      <x:c r="H1568" s="5" t="str">
        <x:f>IF(OR(COUNTA(A1568:F1568)=0,COUNTIFS('Rules'!$G$7:$G$26,"="&amp;(SUBSTITUTE(SUBSTITUTE(SUBSTITUTE(SUBSTITUTE("type:"&amp;B1568,"%","%25"),"~","%7E"),"*","%2A"),"?","%3F")))&lt;&gt;1),"",IF(OR(INDEX('Rules'!$B$7:$B$26,MATCH(SUBSTITUTE(SUBSTITUTE(SUBSTITUTE(SUBSTITUTE("type:"&amp;B1568,"%","%25"),"~","%7E"),"*","%2A"),"?","%3F"),'Rules'!$G$7:$G$26,0))="hours",INDEX('Rules'!$B$7:$B$26,MATCH(SUBSTITUTE(SUBSTITUTE(SUBSTITUTE(SUBSTITUTE("type:"&amp;B1568,"%","%25"),"~","%7E"),"*","%2A"),"?","%3F"),'Rules'!$G$7:$G$26,0))="km"),INDEX('Rules'!$B$7:$B$26,MATCH(SUBSTITUTE(SUBSTITUTE(SUBSTITUTE(SUBSTITUTE("type:"&amp;B1568,"%","%25"),"~","%7E"),"*","%2A"),"?","%3F"),'Rules'!$G$7:$G$26,0)),""))</x:f>
      </x:c>
      <x:c r="I1568" s="6" t="str">
        <x:f>IF(AND(NOT(COUNTA(A1568:F1568)=0),K1568=""),ROUND(J1568-D1568,3),"")</x:f>
      </x:c>
      <x:c r="J1568" s="6" t="str">
        <x:f>IF(AND(NOT(COUNTA(A1568:F1568)=0),K1568=""),ROUND(F1568+L1568,3),"")</x:f>
      </x:c>
      <x:c r="K1568" s="5" t="str">
        <x:f>IF(COUNTA(A1568:F1568)=0,"",IF(A1568="","Missing equipment ID",IF(COUNTIFS($N$8:$N$2007,"="&amp;N1568)&gt;1,"Duplicate equipment ID",IF(B1568="","Missing type",IF(COUNTIFS('Rules'!$G$7:$G$26,"="&amp;(SUBSTITUTE(SUBSTITUTE(SUBSTITUTE(SUBSTITUTE("type:"&amp;B1568,"%","%25"),"~","%7E"),"*","%2A"),"?","%3F")))=0,"Unknown type",IF(COUNTIFS('Rules'!$G$7:$G$26,"="&amp;(SUBSTITUTE(SUBSTITUTE(SUBSTITUTE(SUBSTITUTE("type:"&amp;B1568,"%","%25"),"~","%7E"),"*","%2A"),"?","%3F")))&gt;1,"Duplicate type",IF(INDEX('Rules'!$F$7:$F$26,MATCH(SUBSTITUTE(SUBSTITUTE(SUBSTITUTE(SUBSTITUTE("type:"&amp;B1568,"%","%25"),"~","%7E"),"*","%2A"),"?","%3F"),'Rules'!$G$7:$G$26,0))&lt;&gt;"",INDEX('Rules'!$F$7:$F$26,MATCH(SUBSTITUTE(SUBSTITUTE(SUBSTITUTE(SUBSTITUTE("type:"&amp;B1568,"%","%25"),"~","%7E"),"*","%2A"),"?","%3F"),'Rules'!$G$7:$G$26,0)),IF(AND(C1568&lt;&gt;"",C1568&lt;&gt;INDEX('Rules'!$B$7:$B$26,MATCH(SUBSTITUTE(SUBSTITUTE(SUBSTITUTE(SUBSTITUTE("type:"&amp;B1568,"%","%25"),"~","%7E"),"*","%2A"),"?","%3F"),'Rules'!$G$7:$G$26,0))),"Unit mismatch",IF(IF(NOT(ISNUMBER(D1568)),TRUE,OR(D1568&lt;0,D1568&gt;999999999,ROUND(D1568,3)&lt;&gt;D1568)),"Invalid current reading",IF(AND(E1568&lt;&gt;"",IF(NOT(ISNUMBER(E1568)),TRUE,OR(E1568&lt;0,E1568&gt;999999999,ROUND(E1568,3)&lt;&gt;E1568))),"Invalid previous reading",IF(IF(NOT(ISNUMBER(F1568)),TRUE,OR(F1568&lt;0,F1568&gt;999999999,ROUND(F1568,3)&lt;&gt;F1568)),"Invalid last service",IF(AND(E1568&lt;&gt;"",D1568&lt;E1568),"Decreased reading",IF(F1568&gt;D1568,"Last service above current","")))))))))))))</x:f>
      </x:c>
      <x:c r="L1568" s="6" t="str">
        <x:f>IF(AND(NOT(COUNTA(A1568:F1568)=0),K1568=""),INDEX('Rules'!$C$7:$C$26,MATCH(SUBSTITUTE(SUBSTITUTE(SUBSTITUTE(SUBSTITUTE("type:"&amp;B1568,"%","%25"),"~","%7E"),"*","%2A"),"?","%3F"),'Rules'!$G$7:$G$26,0)),"")</x:f>
      </x:c>
      <x:c r="M1568" s="6" t="str">
        <x:f>IF(AND(NOT(COUNTA(A1568:F1568)=0),K1568=""),INDEX('Rules'!$D$7:$D$26,MATCH(SUBSTITUTE(SUBSTITUTE(SUBSTITUTE(SUBSTITUTE("type:"&amp;B1568,"%","%25"),"~","%7E"),"*","%2A"),"?","%3F"),'Rules'!$G$7:$G$26,0)),"")</x:f>
      </x:c>
      <x:c r="N1568" s="5" t="str">
        <x:f>IF(COUNTA(A1568:F1568)=0,"",SUBSTITUTE(SUBSTITUTE(SUBSTITUTE(SUBSTITUTE("id:"&amp;A1568,"%","%25"),"~","%7E"),"*","%2A"),"?","%3F"))</x:f>
      </x:c>
    </x:row>
    <x:row r="1569" ht="22" customHeight="1">
      <x:c r="A1569" s="3"/>
      <x:c r="B1569" s="3"/>
      <x:c r="C1569" s="3"/>
      <x:c r="D1569" s="4"/>
      <x:c r="E1569" s="4"/>
      <x:c r="F1569" s="4"/>
      <x:c r="G1569" s="5" t="str">
        <x:f>IF(COUNTA(A1569:F1569)=0,"",IF(K1569&lt;&gt;"","Review",IF(I1569&lt;0,"Overdue",IF(I1569=0,"Due now",IF(I1569&lt;=M1569,"Due soon","Not due")))))</x:f>
      </x:c>
      <x:c r="H1569" s="5" t="str">
        <x:f>IF(OR(COUNTA(A1569:F1569)=0,COUNTIFS('Rules'!$G$7:$G$26,"="&amp;(SUBSTITUTE(SUBSTITUTE(SUBSTITUTE(SUBSTITUTE("type:"&amp;B1569,"%","%25"),"~","%7E"),"*","%2A"),"?","%3F")))&lt;&gt;1),"",IF(OR(INDEX('Rules'!$B$7:$B$26,MATCH(SUBSTITUTE(SUBSTITUTE(SUBSTITUTE(SUBSTITUTE("type:"&amp;B1569,"%","%25"),"~","%7E"),"*","%2A"),"?","%3F"),'Rules'!$G$7:$G$26,0))="hours",INDEX('Rules'!$B$7:$B$26,MATCH(SUBSTITUTE(SUBSTITUTE(SUBSTITUTE(SUBSTITUTE("type:"&amp;B1569,"%","%25"),"~","%7E"),"*","%2A"),"?","%3F"),'Rules'!$G$7:$G$26,0))="km"),INDEX('Rules'!$B$7:$B$26,MATCH(SUBSTITUTE(SUBSTITUTE(SUBSTITUTE(SUBSTITUTE("type:"&amp;B1569,"%","%25"),"~","%7E"),"*","%2A"),"?","%3F"),'Rules'!$G$7:$G$26,0)),""))</x:f>
      </x:c>
      <x:c r="I1569" s="6" t="str">
        <x:f>IF(AND(NOT(COUNTA(A1569:F1569)=0),K1569=""),ROUND(J1569-D1569,3),"")</x:f>
      </x:c>
      <x:c r="J1569" s="6" t="str">
        <x:f>IF(AND(NOT(COUNTA(A1569:F1569)=0),K1569=""),ROUND(F1569+L1569,3),"")</x:f>
      </x:c>
      <x:c r="K1569" s="5" t="str">
        <x:f>IF(COUNTA(A1569:F1569)=0,"",IF(A1569="","Missing equipment ID",IF(COUNTIFS($N$8:$N$2007,"="&amp;N1569)&gt;1,"Duplicate equipment ID",IF(B1569="","Missing type",IF(COUNTIFS('Rules'!$G$7:$G$26,"="&amp;(SUBSTITUTE(SUBSTITUTE(SUBSTITUTE(SUBSTITUTE("type:"&amp;B1569,"%","%25"),"~","%7E"),"*","%2A"),"?","%3F")))=0,"Unknown type",IF(COUNTIFS('Rules'!$G$7:$G$26,"="&amp;(SUBSTITUTE(SUBSTITUTE(SUBSTITUTE(SUBSTITUTE("type:"&amp;B1569,"%","%25"),"~","%7E"),"*","%2A"),"?","%3F")))&gt;1,"Duplicate type",IF(INDEX('Rules'!$F$7:$F$26,MATCH(SUBSTITUTE(SUBSTITUTE(SUBSTITUTE(SUBSTITUTE("type:"&amp;B1569,"%","%25"),"~","%7E"),"*","%2A"),"?","%3F"),'Rules'!$G$7:$G$26,0))&lt;&gt;"",INDEX('Rules'!$F$7:$F$26,MATCH(SUBSTITUTE(SUBSTITUTE(SUBSTITUTE(SUBSTITUTE("type:"&amp;B1569,"%","%25"),"~","%7E"),"*","%2A"),"?","%3F"),'Rules'!$G$7:$G$26,0)),IF(AND(C1569&lt;&gt;"",C1569&lt;&gt;INDEX('Rules'!$B$7:$B$26,MATCH(SUBSTITUTE(SUBSTITUTE(SUBSTITUTE(SUBSTITUTE("type:"&amp;B1569,"%","%25"),"~","%7E"),"*","%2A"),"?","%3F"),'Rules'!$G$7:$G$26,0))),"Unit mismatch",IF(IF(NOT(ISNUMBER(D1569)),TRUE,OR(D1569&lt;0,D1569&gt;999999999,ROUND(D1569,3)&lt;&gt;D1569)),"Invalid current reading",IF(AND(E1569&lt;&gt;"",IF(NOT(ISNUMBER(E1569)),TRUE,OR(E1569&lt;0,E1569&gt;999999999,ROUND(E1569,3)&lt;&gt;E1569))),"Invalid previous reading",IF(IF(NOT(ISNUMBER(F1569)),TRUE,OR(F1569&lt;0,F1569&gt;999999999,ROUND(F1569,3)&lt;&gt;F1569)),"Invalid last service",IF(AND(E1569&lt;&gt;"",D1569&lt;E1569),"Decreased reading",IF(F1569&gt;D1569,"Last service above current","")))))))))))))</x:f>
      </x:c>
      <x:c r="L1569" s="6" t="str">
        <x:f>IF(AND(NOT(COUNTA(A1569:F1569)=0),K1569=""),INDEX('Rules'!$C$7:$C$26,MATCH(SUBSTITUTE(SUBSTITUTE(SUBSTITUTE(SUBSTITUTE("type:"&amp;B1569,"%","%25"),"~","%7E"),"*","%2A"),"?","%3F"),'Rules'!$G$7:$G$26,0)),"")</x:f>
      </x:c>
      <x:c r="M1569" s="6" t="str">
        <x:f>IF(AND(NOT(COUNTA(A1569:F1569)=0),K1569=""),INDEX('Rules'!$D$7:$D$26,MATCH(SUBSTITUTE(SUBSTITUTE(SUBSTITUTE(SUBSTITUTE("type:"&amp;B1569,"%","%25"),"~","%7E"),"*","%2A"),"?","%3F"),'Rules'!$G$7:$G$26,0)),"")</x:f>
      </x:c>
      <x:c r="N1569" s="5" t="str">
        <x:f>IF(COUNTA(A1569:F1569)=0,"",SUBSTITUTE(SUBSTITUTE(SUBSTITUTE(SUBSTITUTE("id:"&amp;A1569,"%","%25"),"~","%7E"),"*","%2A"),"?","%3F"))</x:f>
      </x:c>
    </x:row>
    <x:row r="1570" ht="22" customHeight="1">
      <x:c r="A1570" s="3"/>
      <x:c r="B1570" s="3"/>
      <x:c r="C1570" s="3"/>
      <x:c r="D1570" s="4"/>
      <x:c r="E1570" s="4"/>
      <x:c r="F1570" s="4"/>
      <x:c r="G1570" s="5" t="str">
        <x:f>IF(COUNTA(A1570:F1570)=0,"",IF(K1570&lt;&gt;"","Review",IF(I1570&lt;0,"Overdue",IF(I1570=0,"Due now",IF(I1570&lt;=M1570,"Due soon","Not due")))))</x:f>
      </x:c>
      <x:c r="H1570" s="5" t="str">
        <x:f>IF(OR(COUNTA(A1570:F1570)=0,COUNTIFS('Rules'!$G$7:$G$26,"="&amp;(SUBSTITUTE(SUBSTITUTE(SUBSTITUTE(SUBSTITUTE("type:"&amp;B1570,"%","%25"),"~","%7E"),"*","%2A"),"?","%3F")))&lt;&gt;1),"",IF(OR(INDEX('Rules'!$B$7:$B$26,MATCH(SUBSTITUTE(SUBSTITUTE(SUBSTITUTE(SUBSTITUTE("type:"&amp;B1570,"%","%25"),"~","%7E"),"*","%2A"),"?","%3F"),'Rules'!$G$7:$G$26,0))="hours",INDEX('Rules'!$B$7:$B$26,MATCH(SUBSTITUTE(SUBSTITUTE(SUBSTITUTE(SUBSTITUTE("type:"&amp;B1570,"%","%25"),"~","%7E"),"*","%2A"),"?","%3F"),'Rules'!$G$7:$G$26,0))="km"),INDEX('Rules'!$B$7:$B$26,MATCH(SUBSTITUTE(SUBSTITUTE(SUBSTITUTE(SUBSTITUTE("type:"&amp;B1570,"%","%25"),"~","%7E"),"*","%2A"),"?","%3F"),'Rules'!$G$7:$G$26,0)),""))</x:f>
      </x:c>
      <x:c r="I1570" s="6" t="str">
        <x:f>IF(AND(NOT(COUNTA(A1570:F1570)=0),K1570=""),ROUND(J1570-D1570,3),"")</x:f>
      </x:c>
      <x:c r="J1570" s="6" t="str">
        <x:f>IF(AND(NOT(COUNTA(A1570:F1570)=0),K1570=""),ROUND(F1570+L1570,3),"")</x:f>
      </x:c>
      <x:c r="K1570" s="5" t="str">
        <x:f>IF(COUNTA(A1570:F1570)=0,"",IF(A1570="","Missing equipment ID",IF(COUNTIFS($N$8:$N$2007,"="&amp;N1570)&gt;1,"Duplicate equipment ID",IF(B1570="","Missing type",IF(COUNTIFS('Rules'!$G$7:$G$26,"="&amp;(SUBSTITUTE(SUBSTITUTE(SUBSTITUTE(SUBSTITUTE("type:"&amp;B1570,"%","%25"),"~","%7E"),"*","%2A"),"?","%3F")))=0,"Unknown type",IF(COUNTIFS('Rules'!$G$7:$G$26,"="&amp;(SUBSTITUTE(SUBSTITUTE(SUBSTITUTE(SUBSTITUTE("type:"&amp;B1570,"%","%25"),"~","%7E"),"*","%2A"),"?","%3F")))&gt;1,"Duplicate type",IF(INDEX('Rules'!$F$7:$F$26,MATCH(SUBSTITUTE(SUBSTITUTE(SUBSTITUTE(SUBSTITUTE("type:"&amp;B1570,"%","%25"),"~","%7E"),"*","%2A"),"?","%3F"),'Rules'!$G$7:$G$26,0))&lt;&gt;"",INDEX('Rules'!$F$7:$F$26,MATCH(SUBSTITUTE(SUBSTITUTE(SUBSTITUTE(SUBSTITUTE("type:"&amp;B1570,"%","%25"),"~","%7E"),"*","%2A"),"?","%3F"),'Rules'!$G$7:$G$26,0)),IF(AND(C1570&lt;&gt;"",C1570&lt;&gt;INDEX('Rules'!$B$7:$B$26,MATCH(SUBSTITUTE(SUBSTITUTE(SUBSTITUTE(SUBSTITUTE("type:"&amp;B1570,"%","%25"),"~","%7E"),"*","%2A"),"?","%3F"),'Rules'!$G$7:$G$26,0))),"Unit mismatch",IF(IF(NOT(ISNUMBER(D1570)),TRUE,OR(D1570&lt;0,D1570&gt;999999999,ROUND(D1570,3)&lt;&gt;D1570)),"Invalid current reading",IF(AND(E1570&lt;&gt;"",IF(NOT(ISNUMBER(E1570)),TRUE,OR(E1570&lt;0,E1570&gt;999999999,ROUND(E1570,3)&lt;&gt;E1570))),"Invalid previous reading",IF(IF(NOT(ISNUMBER(F1570)),TRUE,OR(F1570&lt;0,F1570&gt;999999999,ROUND(F1570,3)&lt;&gt;F1570)),"Invalid last service",IF(AND(E1570&lt;&gt;"",D1570&lt;E1570),"Decreased reading",IF(F1570&gt;D1570,"Last service above current","")))))))))))))</x:f>
      </x:c>
      <x:c r="L1570" s="6" t="str">
        <x:f>IF(AND(NOT(COUNTA(A1570:F1570)=0),K1570=""),INDEX('Rules'!$C$7:$C$26,MATCH(SUBSTITUTE(SUBSTITUTE(SUBSTITUTE(SUBSTITUTE("type:"&amp;B1570,"%","%25"),"~","%7E"),"*","%2A"),"?","%3F"),'Rules'!$G$7:$G$26,0)),"")</x:f>
      </x:c>
      <x:c r="M1570" s="6" t="str">
        <x:f>IF(AND(NOT(COUNTA(A1570:F1570)=0),K1570=""),INDEX('Rules'!$D$7:$D$26,MATCH(SUBSTITUTE(SUBSTITUTE(SUBSTITUTE(SUBSTITUTE("type:"&amp;B1570,"%","%25"),"~","%7E"),"*","%2A"),"?","%3F"),'Rules'!$G$7:$G$26,0)),"")</x:f>
      </x:c>
      <x:c r="N1570" s="5" t="str">
        <x:f>IF(COUNTA(A1570:F1570)=0,"",SUBSTITUTE(SUBSTITUTE(SUBSTITUTE(SUBSTITUTE("id:"&amp;A1570,"%","%25"),"~","%7E"),"*","%2A"),"?","%3F"))</x:f>
      </x:c>
    </x:row>
    <x:row r="1571" ht="22" customHeight="1">
      <x:c r="A1571" s="3"/>
      <x:c r="B1571" s="3"/>
      <x:c r="C1571" s="3"/>
      <x:c r="D1571" s="4"/>
      <x:c r="E1571" s="4"/>
      <x:c r="F1571" s="4"/>
      <x:c r="G1571" s="5" t="str">
        <x:f>IF(COUNTA(A1571:F1571)=0,"",IF(K1571&lt;&gt;"","Review",IF(I1571&lt;0,"Overdue",IF(I1571=0,"Due now",IF(I1571&lt;=M1571,"Due soon","Not due")))))</x:f>
      </x:c>
      <x:c r="H1571" s="5" t="str">
        <x:f>IF(OR(COUNTA(A1571:F1571)=0,COUNTIFS('Rules'!$G$7:$G$26,"="&amp;(SUBSTITUTE(SUBSTITUTE(SUBSTITUTE(SUBSTITUTE("type:"&amp;B1571,"%","%25"),"~","%7E"),"*","%2A"),"?","%3F")))&lt;&gt;1),"",IF(OR(INDEX('Rules'!$B$7:$B$26,MATCH(SUBSTITUTE(SUBSTITUTE(SUBSTITUTE(SUBSTITUTE("type:"&amp;B1571,"%","%25"),"~","%7E"),"*","%2A"),"?","%3F"),'Rules'!$G$7:$G$26,0))="hours",INDEX('Rules'!$B$7:$B$26,MATCH(SUBSTITUTE(SUBSTITUTE(SUBSTITUTE(SUBSTITUTE("type:"&amp;B1571,"%","%25"),"~","%7E"),"*","%2A"),"?","%3F"),'Rules'!$G$7:$G$26,0))="km"),INDEX('Rules'!$B$7:$B$26,MATCH(SUBSTITUTE(SUBSTITUTE(SUBSTITUTE(SUBSTITUTE("type:"&amp;B1571,"%","%25"),"~","%7E"),"*","%2A"),"?","%3F"),'Rules'!$G$7:$G$26,0)),""))</x:f>
      </x:c>
      <x:c r="I1571" s="6" t="str">
        <x:f>IF(AND(NOT(COUNTA(A1571:F1571)=0),K1571=""),ROUND(J1571-D1571,3),"")</x:f>
      </x:c>
      <x:c r="J1571" s="6" t="str">
        <x:f>IF(AND(NOT(COUNTA(A1571:F1571)=0),K1571=""),ROUND(F1571+L1571,3),"")</x:f>
      </x:c>
      <x:c r="K1571" s="5" t="str">
        <x:f>IF(COUNTA(A1571:F1571)=0,"",IF(A1571="","Missing equipment ID",IF(COUNTIFS($N$8:$N$2007,"="&amp;N1571)&gt;1,"Duplicate equipment ID",IF(B1571="","Missing type",IF(COUNTIFS('Rules'!$G$7:$G$26,"="&amp;(SUBSTITUTE(SUBSTITUTE(SUBSTITUTE(SUBSTITUTE("type:"&amp;B1571,"%","%25"),"~","%7E"),"*","%2A"),"?","%3F")))=0,"Unknown type",IF(COUNTIFS('Rules'!$G$7:$G$26,"="&amp;(SUBSTITUTE(SUBSTITUTE(SUBSTITUTE(SUBSTITUTE("type:"&amp;B1571,"%","%25"),"~","%7E"),"*","%2A"),"?","%3F")))&gt;1,"Duplicate type",IF(INDEX('Rules'!$F$7:$F$26,MATCH(SUBSTITUTE(SUBSTITUTE(SUBSTITUTE(SUBSTITUTE("type:"&amp;B1571,"%","%25"),"~","%7E"),"*","%2A"),"?","%3F"),'Rules'!$G$7:$G$26,0))&lt;&gt;"",INDEX('Rules'!$F$7:$F$26,MATCH(SUBSTITUTE(SUBSTITUTE(SUBSTITUTE(SUBSTITUTE("type:"&amp;B1571,"%","%25"),"~","%7E"),"*","%2A"),"?","%3F"),'Rules'!$G$7:$G$26,0)),IF(AND(C1571&lt;&gt;"",C1571&lt;&gt;INDEX('Rules'!$B$7:$B$26,MATCH(SUBSTITUTE(SUBSTITUTE(SUBSTITUTE(SUBSTITUTE("type:"&amp;B1571,"%","%25"),"~","%7E"),"*","%2A"),"?","%3F"),'Rules'!$G$7:$G$26,0))),"Unit mismatch",IF(IF(NOT(ISNUMBER(D1571)),TRUE,OR(D1571&lt;0,D1571&gt;999999999,ROUND(D1571,3)&lt;&gt;D1571)),"Invalid current reading",IF(AND(E1571&lt;&gt;"",IF(NOT(ISNUMBER(E1571)),TRUE,OR(E1571&lt;0,E1571&gt;999999999,ROUND(E1571,3)&lt;&gt;E1571))),"Invalid previous reading",IF(IF(NOT(ISNUMBER(F1571)),TRUE,OR(F1571&lt;0,F1571&gt;999999999,ROUND(F1571,3)&lt;&gt;F1571)),"Invalid last service",IF(AND(E1571&lt;&gt;"",D1571&lt;E1571),"Decreased reading",IF(F1571&gt;D1571,"Last service above current","")))))))))))))</x:f>
      </x:c>
      <x:c r="L1571" s="6" t="str">
        <x:f>IF(AND(NOT(COUNTA(A1571:F1571)=0),K1571=""),INDEX('Rules'!$C$7:$C$26,MATCH(SUBSTITUTE(SUBSTITUTE(SUBSTITUTE(SUBSTITUTE("type:"&amp;B1571,"%","%25"),"~","%7E"),"*","%2A"),"?","%3F"),'Rules'!$G$7:$G$26,0)),"")</x:f>
      </x:c>
      <x:c r="M1571" s="6" t="str">
        <x:f>IF(AND(NOT(COUNTA(A1571:F1571)=0),K1571=""),INDEX('Rules'!$D$7:$D$26,MATCH(SUBSTITUTE(SUBSTITUTE(SUBSTITUTE(SUBSTITUTE("type:"&amp;B1571,"%","%25"),"~","%7E"),"*","%2A"),"?","%3F"),'Rules'!$G$7:$G$26,0)),"")</x:f>
      </x:c>
      <x:c r="N1571" s="5" t="str">
        <x:f>IF(COUNTA(A1571:F1571)=0,"",SUBSTITUTE(SUBSTITUTE(SUBSTITUTE(SUBSTITUTE("id:"&amp;A1571,"%","%25"),"~","%7E"),"*","%2A"),"?","%3F"))</x:f>
      </x:c>
    </x:row>
    <x:row r="1572" ht="22" customHeight="1">
      <x:c r="A1572" s="3"/>
      <x:c r="B1572" s="3"/>
      <x:c r="C1572" s="3"/>
      <x:c r="D1572" s="4"/>
      <x:c r="E1572" s="4"/>
      <x:c r="F1572" s="4"/>
      <x:c r="G1572" s="5" t="str">
        <x:f>IF(COUNTA(A1572:F1572)=0,"",IF(K1572&lt;&gt;"","Review",IF(I1572&lt;0,"Overdue",IF(I1572=0,"Due now",IF(I1572&lt;=M1572,"Due soon","Not due")))))</x:f>
      </x:c>
      <x:c r="H1572" s="5" t="str">
        <x:f>IF(OR(COUNTA(A1572:F1572)=0,COUNTIFS('Rules'!$G$7:$G$26,"="&amp;(SUBSTITUTE(SUBSTITUTE(SUBSTITUTE(SUBSTITUTE("type:"&amp;B1572,"%","%25"),"~","%7E"),"*","%2A"),"?","%3F")))&lt;&gt;1),"",IF(OR(INDEX('Rules'!$B$7:$B$26,MATCH(SUBSTITUTE(SUBSTITUTE(SUBSTITUTE(SUBSTITUTE("type:"&amp;B1572,"%","%25"),"~","%7E"),"*","%2A"),"?","%3F"),'Rules'!$G$7:$G$26,0))="hours",INDEX('Rules'!$B$7:$B$26,MATCH(SUBSTITUTE(SUBSTITUTE(SUBSTITUTE(SUBSTITUTE("type:"&amp;B1572,"%","%25"),"~","%7E"),"*","%2A"),"?","%3F"),'Rules'!$G$7:$G$26,0))="km"),INDEX('Rules'!$B$7:$B$26,MATCH(SUBSTITUTE(SUBSTITUTE(SUBSTITUTE(SUBSTITUTE("type:"&amp;B1572,"%","%25"),"~","%7E"),"*","%2A"),"?","%3F"),'Rules'!$G$7:$G$26,0)),""))</x:f>
      </x:c>
      <x:c r="I1572" s="6" t="str">
        <x:f>IF(AND(NOT(COUNTA(A1572:F1572)=0),K1572=""),ROUND(J1572-D1572,3),"")</x:f>
      </x:c>
      <x:c r="J1572" s="6" t="str">
        <x:f>IF(AND(NOT(COUNTA(A1572:F1572)=0),K1572=""),ROUND(F1572+L1572,3),"")</x:f>
      </x:c>
      <x:c r="K1572" s="5" t="str">
        <x:f>IF(COUNTA(A1572:F1572)=0,"",IF(A1572="","Missing equipment ID",IF(COUNTIFS($N$8:$N$2007,"="&amp;N1572)&gt;1,"Duplicate equipment ID",IF(B1572="","Missing type",IF(COUNTIFS('Rules'!$G$7:$G$26,"="&amp;(SUBSTITUTE(SUBSTITUTE(SUBSTITUTE(SUBSTITUTE("type:"&amp;B1572,"%","%25"),"~","%7E"),"*","%2A"),"?","%3F")))=0,"Unknown type",IF(COUNTIFS('Rules'!$G$7:$G$26,"="&amp;(SUBSTITUTE(SUBSTITUTE(SUBSTITUTE(SUBSTITUTE("type:"&amp;B1572,"%","%25"),"~","%7E"),"*","%2A"),"?","%3F")))&gt;1,"Duplicate type",IF(INDEX('Rules'!$F$7:$F$26,MATCH(SUBSTITUTE(SUBSTITUTE(SUBSTITUTE(SUBSTITUTE("type:"&amp;B1572,"%","%25"),"~","%7E"),"*","%2A"),"?","%3F"),'Rules'!$G$7:$G$26,0))&lt;&gt;"",INDEX('Rules'!$F$7:$F$26,MATCH(SUBSTITUTE(SUBSTITUTE(SUBSTITUTE(SUBSTITUTE("type:"&amp;B1572,"%","%25"),"~","%7E"),"*","%2A"),"?","%3F"),'Rules'!$G$7:$G$26,0)),IF(AND(C1572&lt;&gt;"",C1572&lt;&gt;INDEX('Rules'!$B$7:$B$26,MATCH(SUBSTITUTE(SUBSTITUTE(SUBSTITUTE(SUBSTITUTE("type:"&amp;B1572,"%","%25"),"~","%7E"),"*","%2A"),"?","%3F"),'Rules'!$G$7:$G$26,0))),"Unit mismatch",IF(IF(NOT(ISNUMBER(D1572)),TRUE,OR(D1572&lt;0,D1572&gt;999999999,ROUND(D1572,3)&lt;&gt;D1572)),"Invalid current reading",IF(AND(E1572&lt;&gt;"",IF(NOT(ISNUMBER(E1572)),TRUE,OR(E1572&lt;0,E1572&gt;999999999,ROUND(E1572,3)&lt;&gt;E1572))),"Invalid previous reading",IF(IF(NOT(ISNUMBER(F1572)),TRUE,OR(F1572&lt;0,F1572&gt;999999999,ROUND(F1572,3)&lt;&gt;F1572)),"Invalid last service",IF(AND(E1572&lt;&gt;"",D1572&lt;E1572),"Decreased reading",IF(F1572&gt;D1572,"Last service above current","")))))))))))))</x:f>
      </x:c>
      <x:c r="L1572" s="6" t="str">
        <x:f>IF(AND(NOT(COUNTA(A1572:F1572)=0),K1572=""),INDEX('Rules'!$C$7:$C$26,MATCH(SUBSTITUTE(SUBSTITUTE(SUBSTITUTE(SUBSTITUTE("type:"&amp;B1572,"%","%25"),"~","%7E"),"*","%2A"),"?","%3F"),'Rules'!$G$7:$G$26,0)),"")</x:f>
      </x:c>
      <x:c r="M1572" s="6" t="str">
        <x:f>IF(AND(NOT(COUNTA(A1572:F1572)=0),K1572=""),INDEX('Rules'!$D$7:$D$26,MATCH(SUBSTITUTE(SUBSTITUTE(SUBSTITUTE(SUBSTITUTE("type:"&amp;B1572,"%","%25"),"~","%7E"),"*","%2A"),"?","%3F"),'Rules'!$G$7:$G$26,0)),"")</x:f>
      </x:c>
      <x:c r="N1572" s="5" t="str">
        <x:f>IF(COUNTA(A1572:F1572)=0,"",SUBSTITUTE(SUBSTITUTE(SUBSTITUTE(SUBSTITUTE("id:"&amp;A1572,"%","%25"),"~","%7E"),"*","%2A"),"?","%3F"))</x:f>
      </x:c>
    </x:row>
    <x:row r="1573" ht="22" customHeight="1">
      <x:c r="A1573" s="3"/>
      <x:c r="B1573" s="3"/>
      <x:c r="C1573" s="3"/>
      <x:c r="D1573" s="4"/>
      <x:c r="E1573" s="4"/>
      <x:c r="F1573" s="4"/>
      <x:c r="G1573" s="5" t="str">
        <x:f>IF(COUNTA(A1573:F1573)=0,"",IF(K1573&lt;&gt;"","Review",IF(I1573&lt;0,"Overdue",IF(I1573=0,"Due now",IF(I1573&lt;=M1573,"Due soon","Not due")))))</x:f>
      </x:c>
      <x:c r="H1573" s="5" t="str">
        <x:f>IF(OR(COUNTA(A1573:F1573)=0,COUNTIFS('Rules'!$G$7:$G$26,"="&amp;(SUBSTITUTE(SUBSTITUTE(SUBSTITUTE(SUBSTITUTE("type:"&amp;B1573,"%","%25"),"~","%7E"),"*","%2A"),"?","%3F")))&lt;&gt;1),"",IF(OR(INDEX('Rules'!$B$7:$B$26,MATCH(SUBSTITUTE(SUBSTITUTE(SUBSTITUTE(SUBSTITUTE("type:"&amp;B1573,"%","%25"),"~","%7E"),"*","%2A"),"?","%3F"),'Rules'!$G$7:$G$26,0))="hours",INDEX('Rules'!$B$7:$B$26,MATCH(SUBSTITUTE(SUBSTITUTE(SUBSTITUTE(SUBSTITUTE("type:"&amp;B1573,"%","%25"),"~","%7E"),"*","%2A"),"?","%3F"),'Rules'!$G$7:$G$26,0))="km"),INDEX('Rules'!$B$7:$B$26,MATCH(SUBSTITUTE(SUBSTITUTE(SUBSTITUTE(SUBSTITUTE("type:"&amp;B1573,"%","%25"),"~","%7E"),"*","%2A"),"?","%3F"),'Rules'!$G$7:$G$26,0)),""))</x:f>
      </x:c>
      <x:c r="I1573" s="6" t="str">
        <x:f>IF(AND(NOT(COUNTA(A1573:F1573)=0),K1573=""),ROUND(J1573-D1573,3),"")</x:f>
      </x:c>
      <x:c r="J1573" s="6" t="str">
        <x:f>IF(AND(NOT(COUNTA(A1573:F1573)=0),K1573=""),ROUND(F1573+L1573,3),"")</x:f>
      </x:c>
      <x:c r="K1573" s="5" t="str">
        <x:f>IF(COUNTA(A1573:F1573)=0,"",IF(A1573="","Missing equipment ID",IF(COUNTIFS($N$8:$N$2007,"="&amp;N1573)&gt;1,"Duplicate equipment ID",IF(B1573="","Missing type",IF(COUNTIFS('Rules'!$G$7:$G$26,"="&amp;(SUBSTITUTE(SUBSTITUTE(SUBSTITUTE(SUBSTITUTE("type:"&amp;B1573,"%","%25"),"~","%7E"),"*","%2A"),"?","%3F")))=0,"Unknown type",IF(COUNTIFS('Rules'!$G$7:$G$26,"="&amp;(SUBSTITUTE(SUBSTITUTE(SUBSTITUTE(SUBSTITUTE("type:"&amp;B1573,"%","%25"),"~","%7E"),"*","%2A"),"?","%3F")))&gt;1,"Duplicate type",IF(INDEX('Rules'!$F$7:$F$26,MATCH(SUBSTITUTE(SUBSTITUTE(SUBSTITUTE(SUBSTITUTE("type:"&amp;B1573,"%","%25"),"~","%7E"),"*","%2A"),"?","%3F"),'Rules'!$G$7:$G$26,0))&lt;&gt;"",INDEX('Rules'!$F$7:$F$26,MATCH(SUBSTITUTE(SUBSTITUTE(SUBSTITUTE(SUBSTITUTE("type:"&amp;B1573,"%","%25"),"~","%7E"),"*","%2A"),"?","%3F"),'Rules'!$G$7:$G$26,0)),IF(AND(C1573&lt;&gt;"",C1573&lt;&gt;INDEX('Rules'!$B$7:$B$26,MATCH(SUBSTITUTE(SUBSTITUTE(SUBSTITUTE(SUBSTITUTE("type:"&amp;B1573,"%","%25"),"~","%7E"),"*","%2A"),"?","%3F"),'Rules'!$G$7:$G$26,0))),"Unit mismatch",IF(IF(NOT(ISNUMBER(D1573)),TRUE,OR(D1573&lt;0,D1573&gt;999999999,ROUND(D1573,3)&lt;&gt;D1573)),"Invalid current reading",IF(AND(E1573&lt;&gt;"",IF(NOT(ISNUMBER(E1573)),TRUE,OR(E1573&lt;0,E1573&gt;999999999,ROUND(E1573,3)&lt;&gt;E1573))),"Invalid previous reading",IF(IF(NOT(ISNUMBER(F1573)),TRUE,OR(F1573&lt;0,F1573&gt;999999999,ROUND(F1573,3)&lt;&gt;F1573)),"Invalid last service",IF(AND(E1573&lt;&gt;"",D1573&lt;E1573),"Decreased reading",IF(F1573&gt;D1573,"Last service above current","")))))))))))))</x:f>
      </x:c>
      <x:c r="L1573" s="6" t="str">
        <x:f>IF(AND(NOT(COUNTA(A1573:F1573)=0),K1573=""),INDEX('Rules'!$C$7:$C$26,MATCH(SUBSTITUTE(SUBSTITUTE(SUBSTITUTE(SUBSTITUTE("type:"&amp;B1573,"%","%25"),"~","%7E"),"*","%2A"),"?","%3F"),'Rules'!$G$7:$G$26,0)),"")</x:f>
      </x:c>
      <x:c r="M1573" s="6" t="str">
        <x:f>IF(AND(NOT(COUNTA(A1573:F1573)=0),K1573=""),INDEX('Rules'!$D$7:$D$26,MATCH(SUBSTITUTE(SUBSTITUTE(SUBSTITUTE(SUBSTITUTE("type:"&amp;B1573,"%","%25"),"~","%7E"),"*","%2A"),"?","%3F"),'Rules'!$G$7:$G$26,0)),"")</x:f>
      </x:c>
      <x:c r="N1573" s="5" t="str">
        <x:f>IF(COUNTA(A1573:F1573)=0,"",SUBSTITUTE(SUBSTITUTE(SUBSTITUTE(SUBSTITUTE("id:"&amp;A1573,"%","%25"),"~","%7E"),"*","%2A"),"?","%3F"))</x:f>
      </x:c>
    </x:row>
    <x:row r="1574" ht="22" customHeight="1">
      <x:c r="A1574" s="3"/>
      <x:c r="B1574" s="3"/>
      <x:c r="C1574" s="3"/>
      <x:c r="D1574" s="4"/>
      <x:c r="E1574" s="4"/>
      <x:c r="F1574" s="4"/>
      <x:c r="G1574" s="5" t="str">
        <x:f>IF(COUNTA(A1574:F1574)=0,"",IF(K1574&lt;&gt;"","Review",IF(I1574&lt;0,"Overdue",IF(I1574=0,"Due now",IF(I1574&lt;=M1574,"Due soon","Not due")))))</x:f>
      </x:c>
      <x:c r="H1574" s="5" t="str">
        <x:f>IF(OR(COUNTA(A1574:F1574)=0,COUNTIFS('Rules'!$G$7:$G$26,"="&amp;(SUBSTITUTE(SUBSTITUTE(SUBSTITUTE(SUBSTITUTE("type:"&amp;B1574,"%","%25"),"~","%7E"),"*","%2A"),"?","%3F")))&lt;&gt;1),"",IF(OR(INDEX('Rules'!$B$7:$B$26,MATCH(SUBSTITUTE(SUBSTITUTE(SUBSTITUTE(SUBSTITUTE("type:"&amp;B1574,"%","%25"),"~","%7E"),"*","%2A"),"?","%3F"),'Rules'!$G$7:$G$26,0))="hours",INDEX('Rules'!$B$7:$B$26,MATCH(SUBSTITUTE(SUBSTITUTE(SUBSTITUTE(SUBSTITUTE("type:"&amp;B1574,"%","%25"),"~","%7E"),"*","%2A"),"?","%3F"),'Rules'!$G$7:$G$26,0))="km"),INDEX('Rules'!$B$7:$B$26,MATCH(SUBSTITUTE(SUBSTITUTE(SUBSTITUTE(SUBSTITUTE("type:"&amp;B1574,"%","%25"),"~","%7E"),"*","%2A"),"?","%3F"),'Rules'!$G$7:$G$26,0)),""))</x:f>
      </x:c>
      <x:c r="I1574" s="6" t="str">
        <x:f>IF(AND(NOT(COUNTA(A1574:F1574)=0),K1574=""),ROUND(J1574-D1574,3),"")</x:f>
      </x:c>
      <x:c r="J1574" s="6" t="str">
        <x:f>IF(AND(NOT(COUNTA(A1574:F1574)=0),K1574=""),ROUND(F1574+L1574,3),"")</x:f>
      </x:c>
      <x:c r="K1574" s="5" t="str">
        <x:f>IF(COUNTA(A1574:F1574)=0,"",IF(A1574="","Missing equipment ID",IF(COUNTIFS($N$8:$N$2007,"="&amp;N1574)&gt;1,"Duplicate equipment ID",IF(B1574="","Missing type",IF(COUNTIFS('Rules'!$G$7:$G$26,"="&amp;(SUBSTITUTE(SUBSTITUTE(SUBSTITUTE(SUBSTITUTE("type:"&amp;B1574,"%","%25"),"~","%7E"),"*","%2A"),"?","%3F")))=0,"Unknown type",IF(COUNTIFS('Rules'!$G$7:$G$26,"="&amp;(SUBSTITUTE(SUBSTITUTE(SUBSTITUTE(SUBSTITUTE("type:"&amp;B1574,"%","%25"),"~","%7E"),"*","%2A"),"?","%3F")))&gt;1,"Duplicate type",IF(INDEX('Rules'!$F$7:$F$26,MATCH(SUBSTITUTE(SUBSTITUTE(SUBSTITUTE(SUBSTITUTE("type:"&amp;B1574,"%","%25"),"~","%7E"),"*","%2A"),"?","%3F"),'Rules'!$G$7:$G$26,0))&lt;&gt;"",INDEX('Rules'!$F$7:$F$26,MATCH(SUBSTITUTE(SUBSTITUTE(SUBSTITUTE(SUBSTITUTE("type:"&amp;B1574,"%","%25"),"~","%7E"),"*","%2A"),"?","%3F"),'Rules'!$G$7:$G$26,0)),IF(AND(C1574&lt;&gt;"",C1574&lt;&gt;INDEX('Rules'!$B$7:$B$26,MATCH(SUBSTITUTE(SUBSTITUTE(SUBSTITUTE(SUBSTITUTE("type:"&amp;B1574,"%","%25"),"~","%7E"),"*","%2A"),"?","%3F"),'Rules'!$G$7:$G$26,0))),"Unit mismatch",IF(IF(NOT(ISNUMBER(D1574)),TRUE,OR(D1574&lt;0,D1574&gt;999999999,ROUND(D1574,3)&lt;&gt;D1574)),"Invalid current reading",IF(AND(E1574&lt;&gt;"",IF(NOT(ISNUMBER(E1574)),TRUE,OR(E1574&lt;0,E1574&gt;999999999,ROUND(E1574,3)&lt;&gt;E1574))),"Invalid previous reading",IF(IF(NOT(ISNUMBER(F1574)),TRUE,OR(F1574&lt;0,F1574&gt;999999999,ROUND(F1574,3)&lt;&gt;F1574)),"Invalid last service",IF(AND(E1574&lt;&gt;"",D1574&lt;E1574),"Decreased reading",IF(F1574&gt;D1574,"Last service above current","")))))))))))))</x:f>
      </x:c>
      <x:c r="L1574" s="6" t="str">
        <x:f>IF(AND(NOT(COUNTA(A1574:F1574)=0),K1574=""),INDEX('Rules'!$C$7:$C$26,MATCH(SUBSTITUTE(SUBSTITUTE(SUBSTITUTE(SUBSTITUTE("type:"&amp;B1574,"%","%25"),"~","%7E"),"*","%2A"),"?","%3F"),'Rules'!$G$7:$G$26,0)),"")</x:f>
      </x:c>
      <x:c r="M1574" s="6" t="str">
        <x:f>IF(AND(NOT(COUNTA(A1574:F1574)=0),K1574=""),INDEX('Rules'!$D$7:$D$26,MATCH(SUBSTITUTE(SUBSTITUTE(SUBSTITUTE(SUBSTITUTE("type:"&amp;B1574,"%","%25"),"~","%7E"),"*","%2A"),"?","%3F"),'Rules'!$G$7:$G$26,0)),"")</x:f>
      </x:c>
      <x:c r="N1574" s="5" t="str">
        <x:f>IF(COUNTA(A1574:F1574)=0,"",SUBSTITUTE(SUBSTITUTE(SUBSTITUTE(SUBSTITUTE("id:"&amp;A1574,"%","%25"),"~","%7E"),"*","%2A"),"?","%3F"))</x:f>
      </x:c>
    </x:row>
    <x:row r="1575" ht="22" customHeight="1">
      <x:c r="A1575" s="3"/>
      <x:c r="B1575" s="3"/>
      <x:c r="C1575" s="3"/>
      <x:c r="D1575" s="4"/>
      <x:c r="E1575" s="4"/>
      <x:c r="F1575" s="4"/>
      <x:c r="G1575" s="5" t="str">
        <x:f>IF(COUNTA(A1575:F1575)=0,"",IF(K1575&lt;&gt;"","Review",IF(I1575&lt;0,"Overdue",IF(I1575=0,"Due now",IF(I1575&lt;=M1575,"Due soon","Not due")))))</x:f>
      </x:c>
      <x:c r="H1575" s="5" t="str">
        <x:f>IF(OR(COUNTA(A1575:F1575)=0,COUNTIFS('Rules'!$G$7:$G$26,"="&amp;(SUBSTITUTE(SUBSTITUTE(SUBSTITUTE(SUBSTITUTE("type:"&amp;B1575,"%","%25"),"~","%7E"),"*","%2A"),"?","%3F")))&lt;&gt;1),"",IF(OR(INDEX('Rules'!$B$7:$B$26,MATCH(SUBSTITUTE(SUBSTITUTE(SUBSTITUTE(SUBSTITUTE("type:"&amp;B1575,"%","%25"),"~","%7E"),"*","%2A"),"?","%3F"),'Rules'!$G$7:$G$26,0))="hours",INDEX('Rules'!$B$7:$B$26,MATCH(SUBSTITUTE(SUBSTITUTE(SUBSTITUTE(SUBSTITUTE("type:"&amp;B1575,"%","%25"),"~","%7E"),"*","%2A"),"?","%3F"),'Rules'!$G$7:$G$26,0))="km"),INDEX('Rules'!$B$7:$B$26,MATCH(SUBSTITUTE(SUBSTITUTE(SUBSTITUTE(SUBSTITUTE("type:"&amp;B1575,"%","%25"),"~","%7E"),"*","%2A"),"?","%3F"),'Rules'!$G$7:$G$26,0)),""))</x:f>
      </x:c>
      <x:c r="I1575" s="6" t="str">
        <x:f>IF(AND(NOT(COUNTA(A1575:F1575)=0),K1575=""),ROUND(J1575-D1575,3),"")</x:f>
      </x:c>
      <x:c r="J1575" s="6" t="str">
        <x:f>IF(AND(NOT(COUNTA(A1575:F1575)=0),K1575=""),ROUND(F1575+L1575,3),"")</x:f>
      </x:c>
      <x:c r="K1575" s="5" t="str">
        <x:f>IF(COUNTA(A1575:F1575)=0,"",IF(A1575="","Missing equipment ID",IF(COUNTIFS($N$8:$N$2007,"="&amp;N1575)&gt;1,"Duplicate equipment ID",IF(B1575="","Missing type",IF(COUNTIFS('Rules'!$G$7:$G$26,"="&amp;(SUBSTITUTE(SUBSTITUTE(SUBSTITUTE(SUBSTITUTE("type:"&amp;B1575,"%","%25"),"~","%7E"),"*","%2A"),"?","%3F")))=0,"Unknown type",IF(COUNTIFS('Rules'!$G$7:$G$26,"="&amp;(SUBSTITUTE(SUBSTITUTE(SUBSTITUTE(SUBSTITUTE("type:"&amp;B1575,"%","%25"),"~","%7E"),"*","%2A"),"?","%3F")))&gt;1,"Duplicate type",IF(INDEX('Rules'!$F$7:$F$26,MATCH(SUBSTITUTE(SUBSTITUTE(SUBSTITUTE(SUBSTITUTE("type:"&amp;B1575,"%","%25"),"~","%7E"),"*","%2A"),"?","%3F"),'Rules'!$G$7:$G$26,0))&lt;&gt;"",INDEX('Rules'!$F$7:$F$26,MATCH(SUBSTITUTE(SUBSTITUTE(SUBSTITUTE(SUBSTITUTE("type:"&amp;B1575,"%","%25"),"~","%7E"),"*","%2A"),"?","%3F"),'Rules'!$G$7:$G$26,0)),IF(AND(C1575&lt;&gt;"",C1575&lt;&gt;INDEX('Rules'!$B$7:$B$26,MATCH(SUBSTITUTE(SUBSTITUTE(SUBSTITUTE(SUBSTITUTE("type:"&amp;B1575,"%","%25"),"~","%7E"),"*","%2A"),"?","%3F"),'Rules'!$G$7:$G$26,0))),"Unit mismatch",IF(IF(NOT(ISNUMBER(D1575)),TRUE,OR(D1575&lt;0,D1575&gt;999999999,ROUND(D1575,3)&lt;&gt;D1575)),"Invalid current reading",IF(AND(E1575&lt;&gt;"",IF(NOT(ISNUMBER(E1575)),TRUE,OR(E1575&lt;0,E1575&gt;999999999,ROUND(E1575,3)&lt;&gt;E1575))),"Invalid previous reading",IF(IF(NOT(ISNUMBER(F1575)),TRUE,OR(F1575&lt;0,F1575&gt;999999999,ROUND(F1575,3)&lt;&gt;F1575)),"Invalid last service",IF(AND(E1575&lt;&gt;"",D1575&lt;E1575),"Decreased reading",IF(F1575&gt;D1575,"Last service above current","")))))))))))))</x:f>
      </x:c>
      <x:c r="L1575" s="6" t="str">
        <x:f>IF(AND(NOT(COUNTA(A1575:F1575)=0),K1575=""),INDEX('Rules'!$C$7:$C$26,MATCH(SUBSTITUTE(SUBSTITUTE(SUBSTITUTE(SUBSTITUTE("type:"&amp;B1575,"%","%25"),"~","%7E"),"*","%2A"),"?","%3F"),'Rules'!$G$7:$G$26,0)),"")</x:f>
      </x:c>
      <x:c r="M1575" s="6" t="str">
        <x:f>IF(AND(NOT(COUNTA(A1575:F1575)=0),K1575=""),INDEX('Rules'!$D$7:$D$26,MATCH(SUBSTITUTE(SUBSTITUTE(SUBSTITUTE(SUBSTITUTE("type:"&amp;B1575,"%","%25"),"~","%7E"),"*","%2A"),"?","%3F"),'Rules'!$G$7:$G$26,0)),"")</x:f>
      </x:c>
      <x:c r="N1575" s="5" t="str">
        <x:f>IF(COUNTA(A1575:F1575)=0,"",SUBSTITUTE(SUBSTITUTE(SUBSTITUTE(SUBSTITUTE("id:"&amp;A1575,"%","%25"),"~","%7E"),"*","%2A"),"?","%3F"))</x:f>
      </x:c>
    </x:row>
    <x:row r="1576" ht="22" customHeight="1">
      <x:c r="A1576" s="3"/>
      <x:c r="B1576" s="3"/>
      <x:c r="C1576" s="3"/>
      <x:c r="D1576" s="4"/>
      <x:c r="E1576" s="4"/>
      <x:c r="F1576" s="4"/>
      <x:c r="G1576" s="5" t="str">
        <x:f>IF(COUNTA(A1576:F1576)=0,"",IF(K1576&lt;&gt;"","Review",IF(I1576&lt;0,"Overdue",IF(I1576=0,"Due now",IF(I1576&lt;=M1576,"Due soon","Not due")))))</x:f>
      </x:c>
      <x:c r="H1576" s="5" t="str">
        <x:f>IF(OR(COUNTA(A1576:F1576)=0,COUNTIFS('Rules'!$G$7:$G$26,"="&amp;(SUBSTITUTE(SUBSTITUTE(SUBSTITUTE(SUBSTITUTE("type:"&amp;B1576,"%","%25"),"~","%7E"),"*","%2A"),"?","%3F")))&lt;&gt;1),"",IF(OR(INDEX('Rules'!$B$7:$B$26,MATCH(SUBSTITUTE(SUBSTITUTE(SUBSTITUTE(SUBSTITUTE("type:"&amp;B1576,"%","%25"),"~","%7E"),"*","%2A"),"?","%3F"),'Rules'!$G$7:$G$26,0))="hours",INDEX('Rules'!$B$7:$B$26,MATCH(SUBSTITUTE(SUBSTITUTE(SUBSTITUTE(SUBSTITUTE("type:"&amp;B1576,"%","%25"),"~","%7E"),"*","%2A"),"?","%3F"),'Rules'!$G$7:$G$26,0))="km"),INDEX('Rules'!$B$7:$B$26,MATCH(SUBSTITUTE(SUBSTITUTE(SUBSTITUTE(SUBSTITUTE("type:"&amp;B1576,"%","%25"),"~","%7E"),"*","%2A"),"?","%3F"),'Rules'!$G$7:$G$26,0)),""))</x:f>
      </x:c>
      <x:c r="I1576" s="6" t="str">
        <x:f>IF(AND(NOT(COUNTA(A1576:F1576)=0),K1576=""),ROUND(J1576-D1576,3),"")</x:f>
      </x:c>
      <x:c r="J1576" s="6" t="str">
        <x:f>IF(AND(NOT(COUNTA(A1576:F1576)=0),K1576=""),ROUND(F1576+L1576,3),"")</x:f>
      </x:c>
      <x:c r="K1576" s="5" t="str">
        <x:f>IF(COUNTA(A1576:F1576)=0,"",IF(A1576="","Missing equipment ID",IF(COUNTIFS($N$8:$N$2007,"="&amp;N1576)&gt;1,"Duplicate equipment ID",IF(B1576="","Missing type",IF(COUNTIFS('Rules'!$G$7:$G$26,"="&amp;(SUBSTITUTE(SUBSTITUTE(SUBSTITUTE(SUBSTITUTE("type:"&amp;B1576,"%","%25"),"~","%7E"),"*","%2A"),"?","%3F")))=0,"Unknown type",IF(COUNTIFS('Rules'!$G$7:$G$26,"="&amp;(SUBSTITUTE(SUBSTITUTE(SUBSTITUTE(SUBSTITUTE("type:"&amp;B1576,"%","%25"),"~","%7E"),"*","%2A"),"?","%3F")))&gt;1,"Duplicate type",IF(INDEX('Rules'!$F$7:$F$26,MATCH(SUBSTITUTE(SUBSTITUTE(SUBSTITUTE(SUBSTITUTE("type:"&amp;B1576,"%","%25"),"~","%7E"),"*","%2A"),"?","%3F"),'Rules'!$G$7:$G$26,0))&lt;&gt;"",INDEX('Rules'!$F$7:$F$26,MATCH(SUBSTITUTE(SUBSTITUTE(SUBSTITUTE(SUBSTITUTE("type:"&amp;B1576,"%","%25"),"~","%7E"),"*","%2A"),"?","%3F"),'Rules'!$G$7:$G$26,0)),IF(AND(C1576&lt;&gt;"",C1576&lt;&gt;INDEX('Rules'!$B$7:$B$26,MATCH(SUBSTITUTE(SUBSTITUTE(SUBSTITUTE(SUBSTITUTE("type:"&amp;B1576,"%","%25"),"~","%7E"),"*","%2A"),"?","%3F"),'Rules'!$G$7:$G$26,0))),"Unit mismatch",IF(IF(NOT(ISNUMBER(D1576)),TRUE,OR(D1576&lt;0,D1576&gt;999999999,ROUND(D1576,3)&lt;&gt;D1576)),"Invalid current reading",IF(AND(E1576&lt;&gt;"",IF(NOT(ISNUMBER(E1576)),TRUE,OR(E1576&lt;0,E1576&gt;999999999,ROUND(E1576,3)&lt;&gt;E1576))),"Invalid previous reading",IF(IF(NOT(ISNUMBER(F1576)),TRUE,OR(F1576&lt;0,F1576&gt;999999999,ROUND(F1576,3)&lt;&gt;F1576)),"Invalid last service",IF(AND(E1576&lt;&gt;"",D1576&lt;E1576),"Decreased reading",IF(F1576&gt;D1576,"Last service above current","")))))))))))))</x:f>
      </x:c>
      <x:c r="L1576" s="6" t="str">
        <x:f>IF(AND(NOT(COUNTA(A1576:F1576)=0),K1576=""),INDEX('Rules'!$C$7:$C$26,MATCH(SUBSTITUTE(SUBSTITUTE(SUBSTITUTE(SUBSTITUTE("type:"&amp;B1576,"%","%25"),"~","%7E"),"*","%2A"),"?","%3F"),'Rules'!$G$7:$G$26,0)),"")</x:f>
      </x:c>
      <x:c r="M1576" s="6" t="str">
        <x:f>IF(AND(NOT(COUNTA(A1576:F1576)=0),K1576=""),INDEX('Rules'!$D$7:$D$26,MATCH(SUBSTITUTE(SUBSTITUTE(SUBSTITUTE(SUBSTITUTE("type:"&amp;B1576,"%","%25"),"~","%7E"),"*","%2A"),"?","%3F"),'Rules'!$G$7:$G$26,0)),"")</x:f>
      </x:c>
      <x:c r="N1576" s="5" t="str">
        <x:f>IF(COUNTA(A1576:F1576)=0,"",SUBSTITUTE(SUBSTITUTE(SUBSTITUTE(SUBSTITUTE("id:"&amp;A1576,"%","%25"),"~","%7E"),"*","%2A"),"?","%3F"))</x:f>
      </x:c>
    </x:row>
    <x:row r="1577" ht="22" customHeight="1">
      <x:c r="A1577" s="3"/>
      <x:c r="B1577" s="3"/>
      <x:c r="C1577" s="3"/>
      <x:c r="D1577" s="4"/>
      <x:c r="E1577" s="4"/>
      <x:c r="F1577" s="4"/>
      <x:c r="G1577" s="5" t="str">
        <x:f>IF(COUNTA(A1577:F1577)=0,"",IF(K1577&lt;&gt;"","Review",IF(I1577&lt;0,"Overdue",IF(I1577=0,"Due now",IF(I1577&lt;=M1577,"Due soon","Not due")))))</x:f>
      </x:c>
      <x:c r="H1577" s="5" t="str">
        <x:f>IF(OR(COUNTA(A1577:F1577)=0,COUNTIFS('Rules'!$G$7:$G$26,"="&amp;(SUBSTITUTE(SUBSTITUTE(SUBSTITUTE(SUBSTITUTE("type:"&amp;B1577,"%","%25"),"~","%7E"),"*","%2A"),"?","%3F")))&lt;&gt;1),"",IF(OR(INDEX('Rules'!$B$7:$B$26,MATCH(SUBSTITUTE(SUBSTITUTE(SUBSTITUTE(SUBSTITUTE("type:"&amp;B1577,"%","%25"),"~","%7E"),"*","%2A"),"?","%3F"),'Rules'!$G$7:$G$26,0))="hours",INDEX('Rules'!$B$7:$B$26,MATCH(SUBSTITUTE(SUBSTITUTE(SUBSTITUTE(SUBSTITUTE("type:"&amp;B1577,"%","%25"),"~","%7E"),"*","%2A"),"?","%3F"),'Rules'!$G$7:$G$26,0))="km"),INDEX('Rules'!$B$7:$B$26,MATCH(SUBSTITUTE(SUBSTITUTE(SUBSTITUTE(SUBSTITUTE("type:"&amp;B1577,"%","%25"),"~","%7E"),"*","%2A"),"?","%3F"),'Rules'!$G$7:$G$26,0)),""))</x:f>
      </x:c>
      <x:c r="I1577" s="6" t="str">
        <x:f>IF(AND(NOT(COUNTA(A1577:F1577)=0),K1577=""),ROUND(J1577-D1577,3),"")</x:f>
      </x:c>
      <x:c r="J1577" s="6" t="str">
        <x:f>IF(AND(NOT(COUNTA(A1577:F1577)=0),K1577=""),ROUND(F1577+L1577,3),"")</x:f>
      </x:c>
      <x:c r="K1577" s="5" t="str">
        <x:f>IF(COUNTA(A1577:F1577)=0,"",IF(A1577="","Missing equipment ID",IF(COUNTIFS($N$8:$N$2007,"="&amp;N1577)&gt;1,"Duplicate equipment ID",IF(B1577="","Missing type",IF(COUNTIFS('Rules'!$G$7:$G$26,"="&amp;(SUBSTITUTE(SUBSTITUTE(SUBSTITUTE(SUBSTITUTE("type:"&amp;B1577,"%","%25"),"~","%7E"),"*","%2A"),"?","%3F")))=0,"Unknown type",IF(COUNTIFS('Rules'!$G$7:$G$26,"="&amp;(SUBSTITUTE(SUBSTITUTE(SUBSTITUTE(SUBSTITUTE("type:"&amp;B1577,"%","%25"),"~","%7E"),"*","%2A"),"?","%3F")))&gt;1,"Duplicate type",IF(INDEX('Rules'!$F$7:$F$26,MATCH(SUBSTITUTE(SUBSTITUTE(SUBSTITUTE(SUBSTITUTE("type:"&amp;B1577,"%","%25"),"~","%7E"),"*","%2A"),"?","%3F"),'Rules'!$G$7:$G$26,0))&lt;&gt;"",INDEX('Rules'!$F$7:$F$26,MATCH(SUBSTITUTE(SUBSTITUTE(SUBSTITUTE(SUBSTITUTE("type:"&amp;B1577,"%","%25"),"~","%7E"),"*","%2A"),"?","%3F"),'Rules'!$G$7:$G$26,0)),IF(AND(C1577&lt;&gt;"",C1577&lt;&gt;INDEX('Rules'!$B$7:$B$26,MATCH(SUBSTITUTE(SUBSTITUTE(SUBSTITUTE(SUBSTITUTE("type:"&amp;B1577,"%","%25"),"~","%7E"),"*","%2A"),"?","%3F"),'Rules'!$G$7:$G$26,0))),"Unit mismatch",IF(IF(NOT(ISNUMBER(D1577)),TRUE,OR(D1577&lt;0,D1577&gt;999999999,ROUND(D1577,3)&lt;&gt;D1577)),"Invalid current reading",IF(AND(E1577&lt;&gt;"",IF(NOT(ISNUMBER(E1577)),TRUE,OR(E1577&lt;0,E1577&gt;999999999,ROUND(E1577,3)&lt;&gt;E1577))),"Invalid previous reading",IF(IF(NOT(ISNUMBER(F1577)),TRUE,OR(F1577&lt;0,F1577&gt;999999999,ROUND(F1577,3)&lt;&gt;F1577)),"Invalid last service",IF(AND(E1577&lt;&gt;"",D1577&lt;E1577),"Decreased reading",IF(F1577&gt;D1577,"Last service above current","")))))))))))))</x:f>
      </x:c>
      <x:c r="L1577" s="6" t="str">
        <x:f>IF(AND(NOT(COUNTA(A1577:F1577)=0),K1577=""),INDEX('Rules'!$C$7:$C$26,MATCH(SUBSTITUTE(SUBSTITUTE(SUBSTITUTE(SUBSTITUTE("type:"&amp;B1577,"%","%25"),"~","%7E"),"*","%2A"),"?","%3F"),'Rules'!$G$7:$G$26,0)),"")</x:f>
      </x:c>
      <x:c r="M1577" s="6" t="str">
        <x:f>IF(AND(NOT(COUNTA(A1577:F1577)=0),K1577=""),INDEX('Rules'!$D$7:$D$26,MATCH(SUBSTITUTE(SUBSTITUTE(SUBSTITUTE(SUBSTITUTE("type:"&amp;B1577,"%","%25"),"~","%7E"),"*","%2A"),"?","%3F"),'Rules'!$G$7:$G$26,0)),"")</x:f>
      </x:c>
      <x:c r="N1577" s="5" t="str">
        <x:f>IF(COUNTA(A1577:F1577)=0,"",SUBSTITUTE(SUBSTITUTE(SUBSTITUTE(SUBSTITUTE("id:"&amp;A1577,"%","%25"),"~","%7E"),"*","%2A"),"?","%3F"))</x:f>
      </x:c>
    </x:row>
    <x:row r="1578" ht="22" customHeight="1">
      <x:c r="A1578" s="3"/>
      <x:c r="B1578" s="3"/>
      <x:c r="C1578" s="3"/>
      <x:c r="D1578" s="4"/>
      <x:c r="E1578" s="4"/>
      <x:c r="F1578" s="4"/>
      <x:c r="G1578" s="5" t="str">
        <x:f>IF(COUNTA(A1578:F1578)=0,"",IF(K1578&lt;&gt;"","Review",IF(I1578&lt;0,"Overdue",IF(I1578=0,"Due now",IF(I1578&lt;=M1578,"Due soon","Not due")))))</x:f>
      </x:c>
      <x:c r="H1578" s="5" t="str">
        <x:f>IF(OR(COUNTA(A1578:F1578)=0,COUNTIFS('Rules'!$G$7:$G$26,"="&amp;(SUBSTITUTE(SUBSTITUTE(SUBSTITUTE(SUBSTITUTE("type:"&amp;B1578,"%","%25"),"~","%7E"),"*","%2A"),"?","%3F")))&lt;&gt;1),"",IF(OR(INDEX('Rules'!$B$7:$B$26,MATCH(SUBSTITUTE(SUBSTITUTE(SUBSTITUTE(SUBSTITUTE("type:"&amp;B1578,"%","%25"),"~","%7E"),"*","%2A"),"?","%3F"),'Rules'!$G$7:$G$26,0))="hours",INDEX('Rules'!$B$7:$B$26,MATCH(SUBSTITUTE(SUBSTITUTE(SUBSTITUTE(SUBSTITUTE("type:"&amp;B1578,"%","%25"),"~","%7E"),"*","%2A"),"?","%3F"),'Rules'!$G$7:$G$26,0))="km"),INDEX('Rules'!$B$7:$B$26,MATCH(SUBSTITUTE(SUBSTITUTE(SUBSTITUTE(SUBSTITUTE("type:"&amp;B1578,"%","%25"),"~","%7E"),"*","%2A"),"?","%3F"),'Rules'!$G$7:$G$26,0)),""))</x:f>
      </x:c>
      <x:c r="I1578" s="6" t="str">
        <x:f>IF(AND(NOT(COUNTA(A1578:F1578)=0),K1578=""),ROUND(J1578-D1578,3),"")</x:f>
      </x:c>
      <x:c r="J1578" s="6" t="str">
        <x:f>IF(AND(NOT(COUNTA(A1578:F1578)=0),K1578=""),ROUND(F1578+L1578,3),"")</x:f>
      </x:c>
      <x:c r="K1578" s="5" t="str">
        <x:f>IF(COUNTA(A1578:F1578)=0,"",IF(A1578="","Missing equipment ID",IF(COUNTIFS($N$8:$N$2007,"="&amp;N1578)&gt;1,"Duplicate equipment ID",IF(B1578="","Missing type",IF(COUNTIFS('Rules'!$G$7:$G$26,"="&amp;(SUBSTITUTE(SUBSTITUTE(SUBSTITUTE(SUBSTITUTE("type:"&amp;B1578,"%","%25"),"~","%7E"),"*","%2A"),"?","%3F")))=0,"Unknown type",IF(COUNTIFS('Rules'!$G$7:$G$26,"="&amp;(SUBSTITUTE(SUBSTITUTE(SUBSTITUTE(SUBSTITUTE("type:"&amp;B1578,"%","%25"),"~","%7E"),"*","%2A"),"?","%3F")))&gt;1,"Duplicate type",IF(INDEX('Rules'!$F$7:$F$26,MATCH(SUBSTITUTE(SUBSTITUTE(SUBSTITUTE(SUBSTITUTE("type:"&amp;B1578,"%","%25"),"~","%7E"),"*","%2A"),"?","%3F"),'Rules'!$G$7:$G$26,0))&lt;&gt;"",INDEX('Rules'!$F$7:$F$26,MATCH(SUBSTITUTE(SUBSTITUTE(SUBSTITUTE(SUBSTITUTE("type:"&amp;B1578,"%","%25"),"~","%7E"),"*","%2A"),"?","%3F"),'Rules'!$G$7:$G$26,0)),IF(AND(C1578&lt;&gt;"",C1578&lt;&gt;INDEX('Rules'!$B$7:$B$26,MATCH(SUBSTITUTE(SUBSTITUTE(SUBSTITUTE(SUBSTITUTE("type:"&amp;B1578,"%","%25"),"~","%7E"),"*","%2A"),"?","%3F"),'Rules'!$G$7:$G$26,0))),"Unit mismatch",IF(IF(NOT(ISNUMBER(D1578)),TRUE,OR(D1578&lt;0,D1578&gt;999999999,ROUND(D1578,3)&lt;&gt;D1578)),"Invalid current reading",IF(AND(E1578&lt;&gt;"",IF(NOT(ISNUMBER(E1578)),TRUE,OR(E1578&lt;0,E1578&gt;999999999,ROUND(E1578,3)&lt;&gt;E1578))),"Invalid previous reading",IF(IF(NOT(ISNUMBER(F1578)),TRUE,OR(F1578&lt;0,F1578&gt;999999999,ROUND(F1578,3)&lt;&gt;F1578)),"Invalid last service",IF(AND(E1578&lt;&gt;"",D1578&lt;E1578),"Decreased reading",IF(F1578&gt;D1578,"Last service above current","")))))))))))))</x:f>
      </x:c>
      <x:c r="L1578" s="6" t="str">
        <x:f>IF(AND(NOT(COUNTA(A1578:F1578)=0),K1578=""),INDEX('Rules'!$C$7:$C$26,MATCH(SUBSTITUTE(SUBSTITUTE(SUBSTITUTE(SUBSTITUTE("type:"&amp;B1578,"%","%25"),"~","%7E"),"*","%2A"),"?","%3F"),'Rules'!$G$7:$G$26,0)),"")</x:f>
      </x:c>
      <x:c r="M1578" s="6" t="str">
        <x:f>IF(AND(NOT(COUNTA(A1578:F1578)=0),K1578=""),INDEX('Rules'!$D$7:$D$26,MATCH(SUBSTITUTE(SUBSTITUTE(SUBSTITUTE(SUBSTITUTE("type:"&amp;B1578,"%","%25"),"~","%7E"),"*","%2A"),"?","%3F"),'Rules'!$G$7:$G$26,0)),"")</x:f>
      </x:c>
      <x:c r="N1578" s="5" t="str">
        <x:f>IF(COUNTA(A1578:F1578)=0,"",SUBSTITUTE(SUBSTITUTE(SUBSTITUTE(SUBSTITUTE("id:"&amp;A1578,"%","%25"),"~","%7E"),"*","%2A"),"?","%3F"))</x:f>
      </x:c>
    </x:row>
    <x:row r="1579" ht="22" customHeight="1">
      <x:c r="A1579" s="3"/>
      <x:c r="B1579" s="3"/>
      <x:c r="C1579" s="3"/>
      <x:c r="D1579" s="4"/>
      <x:c r="E1579" s="4"/>
      <x:c r="F1579" s="4"/>
      <x:c r="G1579" s="5" t="str">
        <x:f>IF(COUNTA(A1579:F1579)=0,"",IF(K1579&lt;&gt;"","Review",IF(I1579&lt;0,"Overdue",IF(I1579=0,"Due now",IF(I1579&lt;=M1579,"Due soon","Not due")))))</x:f>
      </x:c>
      <x:c r="H1579" s="5" t="str">
        <x:f>IF(OR(COUNTA(A1579:F1579)=0,COUNTIFS('Rules'!$G$7:$G$26,"="&amp;(SUBSTITUTE(SUBSTITUTE(SUBSTITUTE(SUBSTITUTE("type:"&amp;B1579,"%","%25"),"~","%7E"),"*","%2A"),"?","%3F")))&lt;&gt;1),"",IF(OR(INDEX('Rules'!$B$7:$B$26,MATCH(SUBSTITUTE(SUBSTITUTE(SUBSTITUTE(SUBSTITUTE("type:"&amp;B1579,"%","%25"),"~","%7E"),"*","%2A"),"?","%3F"),'Rules'!$G$7:$G$26,0))="hours",INDEX('Rules'!$B$7:$B$26,MATCH(SUBSTITUTE(SUBSTITUTE(SUBSTITUTE(SUBSTITUTE("type:"&amp;B1579,"%","%25"),"~","%7E"),"*","%2A"),"?","%3F"),'Rules'!$G$7:$G$26,0))="km"),INDEX('Rules'!$B$7:$B$26,MATCH(SUBSTITUTE(SUBSTITUTE(SUBSTITUTE(SUBSTITUTE("type:"&amp;B1579,"%","%25"),"~","%7E"),"*","%2A"),"?","%3F"),'Rules'!$G$7:$G$26,0)),""))</x:f>
      </x:c>
      <x:c r="I1579" s="6" t="str">
        <x:f>IF(AND(NOT(COUNTA(A1579:F1579)=0),K1579=""),ROUND(J1579-D1579,3),"")</x:f>
      </x:c>
      <x:c r="J1579" s="6" t="str">
        <x:f>IF(AND(NOT(COUNTA(A1579:F1579)=0),K1579=""),ROUND(F1579+L1579,3),"")</x:f>
      </x:c>
      <x:c r="K1579" s="5" t="str">
        <x:f>IF(COUNTA(A1579:F1579)=0,"",IF(A1579="","Missing equipment ID",IF(COUNTIFS($N$8:$N$2007,"="&amp;N1579)&gt;1,"Duplicate equipment ID",IF(B1579="","Missing type",IF(COUNTIFS('Rules'!$G$7:$G$26,"="&amp;(SUBSTITUTE(SUBSTITUTE(SUBSTITUTE(SUBSTITUTE("type:"&amp;B1579,"%","%25"),"~","%7E"),"*","%2A"),"?","%3F")))=0,"Unknown type",IF(COUNTIFS('Rules'!$G$7:$G$26,"="&amp;(SUBSTITUTE(SUBSTITUTE(SUBSTITUTE(SUBSTITUTE("type:"&amp;B1579,"%","%25"),"~","%7E"),"*","%2A"),"?","%3F")))&gt;1,"Duplicate type",IF(INDEX('Rules'!$F$7:$F$26,MATCH(SUBSTITUTE(SUBSTITUTE(SUBSTITUTE(SUBSTITUTE("type:"&amp;B1579,"%","%25"),"~","%7E"),"*","%2A"),"?","%3F"),'Rules'!$G$7:$G$26,0))&lt;&gt;"",INDEX('Rules'!$F$7:$F$26,MATCH(SUBSTITUTE(SUBSTITUTE(SUBSTITUTE(SUBSTITUTE("type:"&amp;B1579,"%","%25"),"~","%7E"),"*","%2A"),"?","%3F"),'Rules'!$G$7:$G$26,0)),IF(AND(C1579&lt;&gt;"",C1579&lt;&gt;INDEX('Rules'!$B$7:$B$26,MATCH(SUBSTITUTE(SUBSTITUTE(SUBSTITUTE(SUBSTITUTE("type:"&amp;B1579,"%","%25"),"~","%7E"),"*","%2A"),"?","%3F"),'Rules'!$G$7:$G$26,0))),"Unit mismatch",IF(IF(NOT(ISNUMBER(D1579)),TRUE,OR(D1579&lt;0,D1579&gt;999999999,ROUND(D1579,3)&lt;&gt;D1579)),"Invalid current reading",IF(AND(E1579&lt;&gt;"",IF(NOT(ISNUMBER(E1579)),TRUE,OR(E1579&lt;0,E1579&gt;999999999,ROUND(E1579,3)&lt;&gt;E1579))),"Invalid previous reading",IF(IF(NOT(ISNUMBER(F1579)),TRUE,OR(F1579&lt;0,F1579&gt;999999999,ROUND(F1579,3)&lt;&gt;F1579)),"Invalid last service",IF(AND(E1579&lt;&gt;"",D1579&lt;E1579),"Decreased reading",IF(F1579&gt;D1579,"Last service above current","")))))))))))))</x:f>
      </x:c>
      <x:c r="L1579" s="6" t="str">
        <x:f>IF(AND(NOT(COUNTA(A1579:F1579)=0),K1579=""),INDEX('Rules'!$C$7:$C$26,MATCH(SUBSTITUTE(SUBSTITUTE(SUBSTITUTE(SUBSTITUTE("type:"&amp;B1579,"%","%25"),"~","%7E"),"*","%2A"),"?","%3F"),'Rules'!$G$7:$G$26,0)),"")</x:f>
      </x:c>
      <x:c r="M1579" s="6" t="str">
        <x:f>IF(AND(NOT(COUNTA(A1579:F1579)=0),K1579=""),INDEX('Rules'!$D$7:$D$26,MATCH(SUBSTITUTE(SUBSTITUTE(SUBSTITUTE(SUBSTITUTE("type:"&amp;B1579,"%","%25"),"~","%7E"),"*","%2A"),"?","%3F"),'Rules'!$G$7:$G$26,0)),"")</x:f>
      </x:c>
      <x:c r="N1579" s="5" t="str">
        <x:f>IF(COUNTA(A1579:F1579)=0,"",SUBSTITUTE(SUBSTITUTE(SUBSTITUTE(SUBSTITUTE("id:"&amp;A1579,"%","%25"),"~","%7E"),"*","%2A"),"?","%3F"))</x:f>
      </x:c>
    </x:row>
    <x:row r="1580" ht="22" customHeight="1">
      <x:c r="A1580" s="3"/>
      <x:c r="B1580" s="3"/>
      <x:c r="C1580" s="3"/>
      <x:c r="D1580" s="4"/>
      <x:c r="E1580" s="4"/>
      <x:c r="F1580" s="4"/>
      <x:c r="G1580" s="5" t="str">
        <x:f>IF(COUNTA(A1580:F1580)=0,"",IF(K1580&lt;&gt;"","Review",IF(I1580&lt;0,"Overdue",IF(I1580=0,"Due now",IF(I1580&lt;=M1580,"Due soon","Not due")))))</x:f>
      </x:c>
      <x:c r="H1580" s="5" t="str">
        <x:f>IF(OR(COUNTA(A1580:F1580)=0,COUNTIFS('Rules'!$G$7:$G$26,"="&amp;(SUBSTITUTE(SUBSTITUTE(SUBSTITUTE(SUBSTITUTE("type:"&amp;B1580,"%","%25"),"~","%7E"),"*","%2A"),"?","%3F")))&lt;&gt;1),"",IF(OR(INDEX('Rules'!$B$7:$B$26,MATCH(SUBSTITUTE(SUBSTITUTE(SUBSTITUTE(SUBSTITUTE("type:"&amp;B1580,"%","%25"),"~","%7E"),"*","%2A"),"?","%3F"),'Rules'!$G$7:$G$26,0))="hours",INDEX('Rules'!$B$7:$B$26,MATCH(SUBSTITUTE(SUBSTITUTE(SUBSTITUTE(SUBSTITUTE("type:"&amp;B1580,"%","%25"),"~","%7E"),"*","%2A"),"?","%3F"),'Rules'!$G$7:$G$26,0))="km"),INDEX('Rules'!$B$7:$B$26,MATCH(SUBSTITUTE(SUBSTITUTE(SUBSTITUTE(SUBSTITUTE("type:"&amp;B1580,"%","%25"),"~","%7E"),"*","%2A"),"?","%3F"),'Rules'!$G$7:$G$26,0)),""))</x:f>
      </x:c>
      <x:c r="I1580" s="6" t="str">
        <x:f>IF(AND(NOT(COUNTA(A1580:F1580)=0),K1580=""),ROUND(J1580-D1580,3),"")</x:f>
      </x:c>
      <x:c r="J1580" s="6" t="str">
        <x:f>IF(AND(NOT(COUNTA(A1580:F1580)=0),K1580=""),ROUND(F1580+L1580,3),"")</x:f>
      </x:c>
      <x:c r="K1580" s="5" t="str">
        <x:f>IF(COUNTA(A1580:F1580)=0,"",IF(A1580="","Missing equipment ID",IF(COUNTIFS($N$8:$N$2007,"="&amp;N1580)&gt;1,"Duplicate equipment ID",IF(B1580="","Missing type",IF(COUNTIFS('Rules'!$G$7:$G$26,"="&amp;(SUBSTITUTE(SUBSTITUTE(SUBSTITUTE(SUBSTITUTE("type:"&amp;B1580,"%","%25"),"~","%7E"),"*","%2A"),"?","%3F")))=0,"Unknown type",IF(COUNTIFS('Rules'!$G$7:$G$26,"="&amp;(SUBSTITUTE(SUBSTITUTE(SUBSTITUTE(SUBSTITUTE("type:"&amp;B1580,"%","%25"),"~","%7E"),"*","%2A"),"?","%3F")))&gt;1,"Duplicate type",IF(INDEX('Rules'!$F$7:$F$26,MATCH(SUBSTITUTE(SUBSTITUTE(SUBSTITUTE(SUBSTITUTE("type:"&amp;B1580,"%","%25"),"~","%7E"),"*","%2A"),"?","%3F"),'Rules'!$G$7:$G$26,0))&lt;&gt;"",INDEX('Rules'!$F$7:$F$26,MATCH(SUBSTITUTE(SUBSTITUTE(SUBSTITUTE(SUBSTITUTE("type:"&amp;B1580,"%","%25"),"~","%7E"),"*","%2A"),"?","%3F"),'Rules'!$G$7:$G$26,0)),IF(AND(C1580&lt;&gt;"",C1580&lt;&gt;INDEX('Rules'!$B$7:$B$26,MATCH(SUBSTITUTE(SUBSTITUTE(SUBSTITUTE(SUBSTITUTE("type:"&amp;B1580,"%","%25"),"~","%7E"),"*","%2A"),"?","%3F"),'Rules'!$G$7:$G$26,0))),"Unit mismatch",IF(IF(NOT(ISNUMBER(D1580)),TRUE,OR(D1580&lt;0,D1580&gt;999999999,ROUND(D1580,3)&lt;&gt;D1580)),"Invalid current reading",IF(AND(E1580&lt;&gt;"",IF(NOT(ISNUMBER(E1580)),TRUE,OR(E1580&lt;0,E1580&gt;999999999,ROUND(E1580,3)&lt;&gt;E1580))),"Invalid previous reading",IF(IF(NOT(ISNUMBER(F1580)),TRUE,OR(F1580&lt;0,F1580&gt;999999999,ROUND(F1580,3)&lt;&gt;F1580)),"Invalid last service",IF(AND(E1580&lt;&gt;"",D1580&lt;E1580),"Decreased reading",IF(F1580&gt;D1580,"Last service above current","")))))))))))))</x:f>
      </x:c>
      <x:c r="L1580" s="6" t="str">
        <x:f>IF(AND(NOT(COUNTA(A1580:F1580)=0),K1580=""),INDEX('Rules'!$C$7:$C$26,MATCH(SUBSTITUTE(SUBSTITUTE(SUBSTITUTE(SUBSTITUTE("type:"&amp;B1580,"%","%25"),"~","%7E"),"*","%2A"),"?","%3F"),'Rules'!$G$7:$G$26,0)),"")</x:f>
      </x:c>
      <x:c r="M1580" s="6" t="str">
        <x:f>IF(AND(NOT(COUNTA(A1580:F1580)=0),K1580=""),INDEX('Rules'!$D$7:$D$26,MATCH(SUBSTITUTE(SUBSTITUTE(SUBSTITUTE(SUBSTITUTE("type:"&amp;B1580,"%","%25"),"~","%7E"),"*","%2A"),"?","%3F"),'Rules'!$G$7:$G$26,0)),"")</x:f>
      </x:c>
      <x:c r="N1580" s="5" t="str">
        <x:f>IF(COUNTA(A1580:F1580)=0,"",SUBSTITUTE(SUBSTITUTE(SUBSTITUTE(SUBSTITUTE("id:"&amp;A1580,"%","%25"),"~","%7E"),"*","%2A"),"?","%3F"))</x:f>
      </x:c>
    </x:row>
    <x:row r="1581" ht="22" customHeight="1">
      <x:c r="A1581" s="3"/>
      <x:c r="B1581" s="3"/>
      <x:c r="C1581" s="3"/>
      <x:c r="D1581" s="4"/>
      <x:c r="E1581" s="4"/>
      <x:c r="F1581" s="4"/>
      <x:c r="G1581" s="5" t="str">
        <x:f>IF(COUNTA(A1581:F1581)=0,"",IF(K1581&lt;&gt;"","Review",IF(I1581&lt;0,"Overdue",IF(I1581=0,"Due now",IF(I1581&lt;=M1581,"Due soon","Not due")))))</x:f>
      </x:c>
      <x:c r="H1581" s="5" t="str">
        <x:f>IF(OR(COUNTA(A1581:F1581)=0,COUNTIFS('Rules'!$G$7:$G$26,"="&amp;(SUBSTITUTE(SUBSTITUTE(SUBSTITUTE(SUBSTITUTE("type:"&amp;B1581,"%","%25"),"~","%7E"),"*","%2A"),"?","%3F")))&lt;&gt;1),"",IF(OR(INDEX('Rules'!$B$7:$B$26,MATCH(SUBSTITUTE(SUBSTITUTE(SUBSTITUTE(SUBSTITUTE("type:"&amp;B1581,"%","%25"),"~","%7E"),"*","%2A"),"?","%3F"),'Rules'!$G$7:$G$26,0))="hours",INDEX('Rules'!$B$7:$B$26,MATCH(SUBSTITUTE(SUBSTITUTE(SUBSTITUTE(SUBSTITUTE("type:"&amp;B1581,"%","%25"),"~","%7E"),"*","%2A"),"?","%3F"),'Rules'!$G$7:$G$26,0))="km"),INDEX('Rules'!$B$7:$B$26,MATCH(SUBSTITUTE(SUBSTITUTE(SUBSTITUTE(SUBSTITUTE("type:"&amp;B1581,"%","%25"),"~","%7E"),"*","%2A"),"?","%3F"),'Rules'!$G$7:$G$26,0)),""))</x:f>
      </x:c>
      <x:c r="I1581" s="6" t="str">
        <x:f>IF(AND(NOT(COUNTA(A1581:F1581)=0),K1581=""),ROUND(J1581-D1581,3),"")</x:f>
      </x:c>
      <x:c r="J1581" s="6" t="str">
        <x:f>IF(AND(NOT(COUNTA(A1581:F1581)=0),K1581=""),ROUND(F1581+L1581,3),"")</x:f>
      </x:c>
      <x:c r="K1581" s="5" t="str">
        <x:f>IF(COUNTA(A1581:F1581)=0,"",IF(A1581="","Missing equipment ID",IF(COUNTIFS($N$8:$N$2007,"="&amp;N1581)&gt;1,"Duplicate equipment ID",IF(B1581="","Missing type",IF(COUNTIFS('Rules'!$G$7:$G$26,"="&amp;(SUBSTITUTE(SUBSTITUTE(SUBSTITUTE(SUBSTITUTE("type:"&amp;B1581,"%","%25"),"~","%7E"),"*","%2A"),"?","%3F")))=0,"Unknown type",IF(COUNTIFS('Rules'!$G$7:$G$26,"="&amp;(SUBSTITUTE(SUBSTITUTE(SUBSTITUTE(SUBSTITUTE("type:"&amp;B1581,"%","%25"),"~","%7E"),"*","%2A"),"?","%3F")))&gt;1,"Duplicate type",IF(INDEX('Rules'!$F$7:$F$26,MATCH(SUBSTITUTE(SUBSTITUTE(SUBSTITUTE(SUBSTITUTE("type:"&amp;B1581,"%","%25"),"~","%7E"),"*","%2A"),"?","%3F"),'Rules'!$G$7:$G$26,0))&lt;&gt;"",INDEX('Rules'!$F$7:$F$26,MATCH(SUBSTITUTE(SUBSTITUTE(SUBSTITUTE(SUBSTITUTE("type:"&amp;B1581,"%","%25"),"~","%7E"),"*","%2A"),"?","%3F"),'Rules'!$G$7:$G$26,0)),IF(AND(C1581&lt;&gt;"",C1581&lt;&gt;INDEX('Rules'!$B$7:$B$26,MATCH(SUBSTITUTE(SUBSTITUTE(SUBSTITUTE(SUBSTITUTE("type:"&amp;B1581,"%","%25"),"~","%7E"),"*","%2A"),"?","%3F"),'Rules'!$G$7:$G$26,0))),"Unit mismatch",IF(IF(NOT(ISNUMBER(D1581)),TRUE,OR(D1581&lt;0,D1581&gt;999999999,ROUND(D1581,3)&lt;&gt;D1581)),"Invalid current reading",IF(AND(E1581&lt;&gt;"",IF(NOT(ISNUMBER(E1581)),TRUE,OR(E1581&lt;0,E1581&gt;999999999,ROUND(E1581,3)&lt;&gt;E1581))),"Invalid previous reading",IF(IF(NOT(ISNUMBER(F1581)),TRUE,OR(F1581&lt;0,F1581&gt;999999999,ROUND(F1581,3)&lt;&gt;F1581)),"Invalid last service",IF(AND(E1581&lt;&gt;"",D1581&lt;E1581),"Decreased reading",IF(F1581&gt;D1581,"Last service above current","")))))))))))))</x:f>
      </x:c>
      <x:c r="L1581" s="6" t="str">
        <x:f>IF(AND(NOT(COUNTA(A1581:F1581)=0),K1581=""),INDEX('Rules'!$C$7:$C$26,MATCH(SUBSTITUTE(SUBSTITUTE(SUBSTITUTE(SUBSTITUTE("type:"&amp;B1581,"%","%25"),"~","%7E"),"*","%2A"),"?","%3F"),'Rules'!$G$7:$G$26,0)),"")</x:f>
      </x:c>
      <x:c r="M1581" s="6" t="str">
        <x:f>IF(AND(NOT(COUNTA(A1581:F1581)=0),K1581=""),INDEX('Rules'!$D$7:$D$26,MATCH(SUBSTITUTE(SUBSTITUTE(SUBSTITUTE(SUBSTITUTE("type:"&amp;B1581,"%","%25"),"~","%7E"),"*","%2A"),"?","%3F"),'Rules'!$G$7:$G$26,0)),"")</x:f>
      </x:c>
      <x:c r="N1581" s="5" t="str">
        <x:f>IF(COUNTA(A1581:F1581)=0,"",SUBSTITUTE(SUBSTITUTE(SUBSTITUTE(SUBSTITUTE("id:"&amp;A1581,"%","%25"),"~","%7E"),"*","%2A"),"?","%3F"))</x:f>
      </x:c>
    </x:row>
    <x:row r="1582" ht="22" customHeight="1">
      <x:c r="A1582" s="3"/>
      <x:c r="B1582" s="3"/>
      <x:c r="C1582" s="3"/>
      <x:c r="D1582" s="4"/>
      <x:c r="E1582" s="4"/>
      <x:c r="F1582" s="4"/>
      <x:c r="G1582" s="5" t="str">
        <x:f>IF(COUNTA(A1582:F1582)=0,"",IF(K1582&lt;&gt;"","Review",IF(I1582&lt;0,"Overdue",IF(I1582=0,"Due now",IF(I1582&lt;=M1582,"Due soon","Not due")))))</x:f>
      </x:c>
      <x:c r="H1582" s="5" t="str">
        <x:f>IF(OR(COUNTA(A1582:F1582)=0,COUNTIFS('Rules'!$G$7:$G$26,"="&amp;(SUBSTITUTE(SUBSTITUTE(SUBSTITUTE(SUBSTITUTE("type:"&amp;B1582,"%","%25"),"~","%7E"),"*","%2A"),"?","%3F")))&lt;&gt;1),"",IF(OR(INDEX('Rules'!$B$7:$B$26,MATCH(SUBSTITUTE(SUBSTITUTE(SUBSTITUTE(SUBSTITUTE("type:"&amp;B1582,"%","%25"),"~","%7E"),"*","%2A"),"?","%3F"),'Rules'!$G$7:$G$26,0))="hours",INDEX('Rules'!$B$7:$B$26,MATCH(SUBSTITUTE(SUBSTITUTE(SUBSTITUTE(SUBSTITUTE("type:"&amp;B1582,"%","%25"),"~","%7E"),"*","%2A"),"?","%3F"),'Rules'!$G$7:$G$26,0))="km"),INDEX('Rules'!$B$7:$B$26,MATCH(SUBSTITUTE(SUBSTITUTE(SUBSTITUTE(SUBSTITUTE("type:"&amp;B1582,"%","%25"),"~","%7E"),"*","%2A"),"?","%3F"),'Rules'!$G$7:$G$26,0)),""))</x:f>
      </x:c>
      <x:c r="I1582" s="6" t="str">
        <x:f>IF(AND(NOT(COUNTA(A1582:F1582)=0),K1582=""),ROUND(J1582-D1582,3),"")</x:f>
      </x:c>
      <x:c r="J1582" s="6" t="str">
        <x:f>IF(AND(NOT(COUNTA(A1582:F1582)=0),K1582=""),ROUND(F1582+L1582,3),"")</x:f>
      </x:c>
      <x:c r="K1582" s="5" t="str">
        <x:f>IF(COUNTA(A1582:F1582)=0,"",IF(A1582="","Missing equipment ID",IF(COUNTIFS($N$8:$N$2007,"="&amp;N1582)&gt;1,"Duplicate equipment ID",IF(B1582="","Missing type",IF(COUNTIFS('Rules'!$G$7:$G$26,"="&amp;(SUBSTITUTE(SUBSTITUTE(SUBSTITUTE(SUBSTITUTE("type:"&amp;B1582,"%","%25"),"~","%7E"),"*","%2A"),"?","%3F")))=0,"Unknown type",IF(COUNTIFS('Rules'!$G$7:$G$26,"="&amp;(SUBSTITUTE(SUBSTITUTE(SUBSTITUTE(SUBSTITUTE("type:"&amp;B1582,"%","%25"),"~","%7E"),"*","%2A"),"?","%3F")))&gt;1,"Duplicate type",IF(INDEX('Rules'!$F$7:$F$26,MATCH(SUBSTITUTE(SUBSTITUTE(SUBSTITUTE(SUBSTITUTE("type:"&amp;B1582,"%","%25"),"~","%7E"),"*","%2A"),"?","%3F"),'Rules'!$G$7:$G$26,0))&lt;&gt;"",INDEX('Rules'!$F$7:$F$26,MATCH(SUBSTITUTE(SUBSTITUTE(SUBSTITUTE(SUBSTITUTE("type:"&amp;B1582,"%","%25"),"~","%7E"),"*","%2A"),"?","%3F"),'Rules'!$G$7:$G$26,0)),IF(AND(C1582&lt;&gt;"",C1582&lt;&gt;INDEX('Rules'!$B$7:$B$26,MATCH(SUBSTITUTE(SUBSTITUTE(SUBSTITUTE(SUBSTITUTE("type:"&amp;B1582,"%","%25"),"~","%7E"),"*","%2A"),"?","%3F"),'Rules'!$G$7:$G$26,0))),"Unit mismatch",IF(IF(NOT(ISNUMBER(D1582)),TRUE,OR(D1582&lt;0,D1582&gt;999999999,ROUND(D1582,3)&lt;&gt;D1582)),"Invalid current reading",IF(AND(E1582&lt;&gt;"",IF(NOT(ISNUMBER(E1582)),TRUE,OR(E1582&lt;0,E1582&gt;999999999,ROUND(E1582,3)&lt;&gt;E1582))),"Invalid previous reading",IF(IF(NOT(ISNUMBER(F1582)),TRUE,OR(F1582&lt;0,F1582&gt;999999999,ROUND(F1582,3)&lt;&gt;F1582)),"Invalid last service",IF(AND(E1582&lt;&gt;"",D1582&lt;E1582),"Decreased reading",IF(F1582&gt;D1582,"Last service above current","")))))))))))))</x:f>
      </x:c>
      <x:c r="L1582" s="6" t="str">
        <x:f>IF(AND(NOT(COUNTA(A1582:F1582)=0),K1582=""),INDEX('Rules'!$C$7:$C$26,MATCH(SUBSTITUTE(SUBSTITUTE(SUBSTITUTE(SUBSTITUTE("type:"&amp;B1582,"%","%25"),"~","%7E"),"*","%2A"),"?","%3F"),'Rules'!$G$7:$G$26,0)),"")</x:f>
      </x:c>
      <x:c r="M1582" s="6" t="str">
        <x:f>IF(AND(NOT(COUNTA(A1582:F1582)=0),K1582=""),INDEX('Rules'!$D$7:$D$26,MATCH(SUBSTITUTE(SUBSTITUTE(SUBSTITUTE(SUBSTITUTE("type:"&amp;B1582,"%","%25"),"~","%7E"),"*","%2A"),"?","%3F"),'Rules'!$G$7:$G$26,0)),"")</x:f>
      </x:c>
      <x:c r="N1582" s="5" t="str">
        <x:f>IF(COUNTA(A1582:F1582)=0,"",SUBSTITUTE(SUBSTITUTE(SUBSTITUTE(SUBSTITUTE("id:"&amp;A1582,"%","%25"),"~","%7E"),"*","%2A"),"?","%3F"))</x:f>
      </x:c>
    </x:row>
    <x:row r="1583" ht="22" customHeight="1">
      <x:c r="A1583" s="3"/>
      <x:c r="B1583" s="3"/>
      <x:c r="C1583" s="3"/>
      <x:c r="D1583" s="4"/>
      <x:c r="E1583" s="4"/>
      <x:c r="F1583" s="4"/>
      <x:c r="G1583" s="5" t="str">
        <x:f>IF(COUNTA(A1583:F1583)=0,"",IF(K1583&lt;&gt;"","Review",IF(I1583&lt;0,"Overdue",IF(I1583=0,"Due now",IF(I1583&lt;=M1583,"Due soon","Not due")))))</x:f>
      </x:c>
      <x:c r="H1583" s="5" t="str">
        <x:f>IF(OR(COUNTA(A1583:F1583)=0,COUNTIFS('Rules'!$G$7:$G$26,"="&amp;(SUBSTITUTE(SUBSTITUTE(SUBSTITUTE(SUBSTITUTE("type:"&amp;B1583,"%","%25"),"~","%7E"),"*","%2A"),"?","%3F")))&lt;&gt;1),"",IF(OR(INDEX('Rules'!$B$7:$B$26,MATCH(SUBSTITUTE(SUBSTITUTE(SUBSTITUTE(SUBSTITUTE("type:"&amp;B1583,"%","%25"),"~","%7E"),"*","%2A"),"?","%3F"),'Rules'!$G$7:$G$26,0))="hours",INDEX('Rules'!$B$7:$B$26,MATCH(SUBSTITUTE(SUBSTITUTE(SUBSTITUTE(SUBSTITUTE("type:"&amp;B1583,"%","%25"),"~","%7E"),"*","%2A"),"?","%3F"),'Rules'!$G$7:$G$26,0))="km"),INDEX('Rules'!$B$7:$B$26,MATCH(SUBSTITUTE(SUBSTITUTE(SUBSTITUTE(SUBSTITUTE("type:"&amp;B1583,"%","%25"),"~","%7E"),"*","%2A"),"?","%3F"),'Rules'!$G$7:$G$26,0)),""))</x:f>
      </x:c>
      <x:c r="I1583" s="6" t="str">
        <x:f>IF(AND(NOT(COUNTA(A1583:F1583)=0),K1583=""),ROUND(J1583-D1583,3),"")</x:f>
      </x:c>
      <x:c r="J1583" s="6" t="str">
        <x:f>IF(AND(NOT(COUNTA(A1583:F1583)=0),K1583=""),ROUND(F1583+L1583,3),"")</x:f>
      </x:c>
      <x:c r="K1583" s="5" t="str">
        <x:f>IF(COUNTA(A1583:F1583)=0,"",IF(A1583="","Missing equipment ID",IF(COUNTIFS($N$8:$N$2007,"="&amp;N1583)&gt;1,"Duplicate equipment ID",IF(B1583="","Missing type",IF(COUNTIFS('Rules'!$G$7:$G$26,"="&amp;(SUBSTITUTE(SUBSTITUTE(SUBSTITUTE(SUBSTITUTE("type:"&amp;B1583,"%","%25"),"~","%7E"),"*","%2A"),"?","%3F")))=0,"Unknown type",IF(COUNTIFS('Rules'!$G$7:$G$26,"="&amp;(SUBSTITUTE(SUBSTITUTE(SUBSTITUTE(SUBSTITUTE("type:"&amp;B1583,"%","%25"),"~","%7E"),"*","%2A"),"?","%3F")))&gt;1,"Duplicate type",IF(INDEX('Rules'!$F$7:$F$26,MATCH(SUBSTITUTE(SUBSTITUTE(SUBSTITUTE(SUBSTITUTE("type:"&amp;B1583,"%","%25"),"~","%7E"),"*","%2A"),"?","%3F"),'Rules'!$G$7:$G$26,0))&lt;&gt;"",INDEX('Rules'!$F$7:$F$26,MATCH(SUBSTITUTE(SUBSTITUTE(SUBSTITUTE(SUBSTITUTE("type:"&amp;B1583,"%","%25"),"~","%7E"),"*","%2A"),"?","%3F"),'Rules'!$G$7:$G$26,0)),IF(AND(C1583&lt;&gt;"",C1583&lt;&gt;INDEX('Rules'!$B$7:$B$26,MATCH(SUBSTITUTE(SUBSTITUTE(SUBSTITUTE(SUBSTITUTE("type:"&amp;B1583,"%","%25"),"~","%7E"),"*","%2A"),"?","%3F"),'Rules'!$G$7:$G$26,0))),"Unit mismatch",IF(IF(NOT(ISNUMBER(D1583)),TRUE,OR(D1583&lt;0,D1583&gt;999999999,ROUND(D1583,3)&lt;&gt;D1583)),"Invalid current reading",IF(AND(E1583&lt;&gt;"",IF(NOT(ISNUMBER(E1583)),TRUE,OR(E1583&lt;0,E1583&gt;999999999,ROUND(E1583,3)&lt;&gt;E1583))),"Invalid previous reading",IF(IF(NOT(ISNUMBER(F1583)),TRUE,OR(F1583&lt;0,F1583&gt;999999999,ROUND(F1583,3)&lt;&gt;F1583)),"Invalid last service",IF(AND(E1583&lt;&gt;"",D1583&lt;E1583),"Decreased reading",IF(F1583&gt;D1583,"Last service above current","")))))))))))))</x:f>
      </x:c>
      <x:c r="L1583" s="6" t="str">
        <x:f>IF(AND(NOT(COUNTA(A1583:F1583)=0),K1583=""),INDEX('Rules'!$C$7:$C$26,MATCH(SUBSTITUTE(SUBSTITUTE(SUBSTITUTE(SUBSTITUTE("type:"&amp;B1583,"%","%25"),"~","%7E"),"*","%2A"),"?","%3F"),'Rules'!$G$7:$G$26,0)),"")</x:f>
      </x:c>
      <x:c r="M1583" s="6" t="str">
        <x:f>IF(AND(NOT(COUNTA(A1583:F1583)=0),K1583=""),INDEX('Rules'!$D$7:$D$26,MATCH(SUBSTITUTE(SUBSTITUTE(SUBSTITUTE(SUBSTITUTE("type:"&amp;B1583,"%","%25"),"~","%7E"),"*","%2A"),"?","%3F"),'Rules'!$G$7:$G$26,0)),"")</x:f>
      </x:c>
      <x:c r="N1583" s="5" t="str">
        <x:f>IF(COUNTA(A1583:F1583)=0,"",SUBSTITUTE(SUBSTITUTE(SUBSTITUTE(SUBSTITUTE("id:"&amp;A1583,"%","%25"),"~","%7E"),"*","%2A"),"?","%3F"))</x:f>
      </x:c>
    </x:row>
    <x:row r="1584" ht="22" customHeight="1">
      <x:c r="A1584" s="3"/>
      <x:c r="B1584" s="3"/>
      <x:c r="C1584" s="3"/>
      <x:c r="D1584" s="4"/>
      <x:c r="E1584" s="4"/>
      <x:c r="F1584" s="4"/>
      <x:c r="G1584" s="5" t="str">
        <x:f>IF(COUNTA(A1584:F1584)=0,"",IF(K1584&lt;&gt;"","Review",IF(I1584&lt;0,"Overdue",IF(I1584=0,"Due now",IF(I1584&lt;=M1584,"Due soon","Not due")))))</x:f>
      </x:c>
      <x:c r="H1584" s="5" t="str">
        <x:f>IF(OR(COUNTA(A1584:F1584)=0,COUNTIFS('Rules'!$G$7:$G$26,"="&amp;(SUBSTITUTE(SUBSTITUTE(SUBSTITUTE(SUBSTITUTE("type:"&amp;B1584,"%","%25"),"~","%7E"),"*","%2A"),"?","%3F")))&lt;&gt;1),"",IF(OR(INDEX('Rules'!$B$7:$B$26,MATCH(SUBSTITUTE(SUBSTITUTE(SUBSTITUTE(SUBSTITUTE("type:"&amp;B1584,"%","%25"),"~","%7E"),"*","%2A"),"?","%3F"),'Rules'!$G$7:$G$26,0))="hours",INDEX('Rules'!$B$7:$B$26,MATCH(SUBSTITUTE(SUBSTITUTE(SUBSTITUTE(SUBSTITUTE("type:"&amp;B1584,"%","%25"),"~","%7E"),"*","%2A"),"?","%3F"),'Rules'!$G$7:$G$26,0))="km"),INDEX('Rules'!$B$7:$B$26,MATCH(SUBSTITUTE(SUBSTITUTE(SUBSTITUTE(SUBSTITUTE("type:"&amp;B1584,"%","%25"),"~","%7E"),"*","%2A"),"?","%3F"),'Rules'!$G$7:$G$26,0)),""))</x:f>
      </x:c>
      <x:c r="I1584" s="6" t="str">
        <x:f>IF(AND(NOT(COUNTA(A1584:F1584)=0),K1584=""),ROUND(J1584-D1584,3),"")</x:f>
      </x:c>
      <x:c r="J1584" s="6" t="str">
        <x:f>IF(AND(NOT(COUNTA(A1584:F1584)=0),K1584=""),ROUND(F1584+L1584,3),"")</x:f>
      </x:c>
      <x:c r="K1584" s="5" t="str">
        <x:f>IF(COUNTA(A1584:F1584)=0,"",IF(A1584="","Missing equipment ID",IF(COUNTIFS($N$8:$N$2007,"="&amp;N1584)&gt;1,"Duplicate equipment ID",IF(B1584="","Missing type",IF(COUNTIFS('Rules'!$G$7:$G$26,"="&amp;(SUBSTITUTE(SUBSTITUTE(SUBSTITUTE(SUBSTITUTE("type:"&amp;B1584,"%","%25"),"~","%7E"),"*","%2A"),"?","%3F")))=0,"Unknown type",IF(COUNTIFS('Rules'!$G$7:$G$26,"="&amp;(SUBSTITUTE(SUBSTITUTE(SUBSTITUTE(SUBSTITUTE("type:"&amp;B1584,"%","%25"),"~","%7E"),"*","%2A"),"?","%3F")))&gt;1,"Duplicate type",IF(INDEX('Rules'!$F$7:$F$26,MATCH(SUBSTITUTE(SUBSTITUTE(SUBSTITUTE(SUBSTITUTE("type:"&amp;B1584,"%","%25"),"~","%7E"),"*","%2A"),"?","%3F"),'Rules'!$G$7:$G$26,0))&lt;&gt;"",INDEX('Rules'!$F$7:$F$26,MATCH(SUBSTITUTE(SUBSTITUTE(SUBSTITUTE(SUBSTITUTE("type:"&amp;B1584,"%","%25"),"~","%7E"),"*","%2A"),"?","%3F"),'Rules'!$G$7:$G$26,0)),IF(AND(C1584&lt;&gt;"",C1584&lt;&gt;INDEX('Rules'!$B$7:$B$26,MATCH(SUBSTITUTE(SUBSTITUTE(SUBSTITUTE(SUBSTITUTE("type:"&amp;B1584,"%","%25"),"~","%7E"),"*","%2A"),"?","%3F"),'Rules'!$G$7:$G$26,0))),"Unit mismatch",IF(IF(NOT(ISNUMBER(D1584)),TRUE,OR(D1584&lt;0,D1584&gt;999999999,ROUND(D1584,3)&lt;&gt;D1584)),"Invalid current reading",IF(AND(E1584&lt;&gt;"",IF(NOT(ISNUMBER(E1584)),TRUE,OR(E1584&lt;0,E1584&gt;999999999,ROUND(E1584,3)&lt;&gt;E1584))),"Invalid previous reading",IF(IF(NOT(ISNUMBER(F1584)),TRUE,OR(F1584&lt;0,F1584&gt;999999999,ROUND(F1584,3)&lt;&gt;F1584)),"Invalid last service",IF(AND(E1584&lt;&gt;"",D1584&lt;E1584),"Decreased reading",IF(F1584&gt;D1584,"Last service above current","")))))))))))))</x:f>
      </x:c>
      <x:c r="L1584" s="6" t="str">
        <x:f>IF(AND(NOT(COUNTA(A1584:F1584)=0),K1584=""),INDEX('Rules'!$C$7:$C$26,MATCH(SUBSTITUTE(SUBSTITUTE(SUBSTITUTE(SUBSTITUTE("type:"&amp;B1584,"%","%25"),"~","%7E"),"*","%2A"),"?","%3F"),'Rules'!$G$7:$G$26,0)),"")</x:f>
      </x:c>
      <x:c r="M1584" s="6" t="str">
        <x:f>IF(AND(NOT(COUNTA(A1584:F1584)=0),K1584=""),INDEX('Rules'!$D$7:$D$26,MATCH(SUBSTITUTE(SUBSTITUTE(SUBSTITUTE(SUBSTITUTE("type:"&amp;B1584,"%","%25"),"~","%7E"),"*","%2A"),"?","%3F"),'Rules'!$G$7:$G$26,0)),"")</x:f>
      </x:c>
      <x:c r="N1584" s="5" t="str">
        <x:f>IF(COUNTA(A1584:F1584)=0,"",SUBSTITUTE(SUBSTITUTE(SUBSTITUTE(SUBSTITUTE("id:"&amp;A1584,"%","%25"),"~","%7E"),"*","%2A"),"?","%3F"))</x:f>
      </x:c>
    </x:row>
    <x:row r="1585" ht="22" customHeight="1">
      <x:c r="A1585" s="3"/>
      <x:c r="B1585" s="3"/>
      <x:c r="C1585" s="3"/>
      <x:c r="D1585" s="4"/>
      <x:c r="E1585" s="4"/>
      <x:c r="F1585" s="4"/>
      <x:c r="G1585" s="5" t="str">
        <x:f>IF(COUNTA(A1585:F1585)=0,"",IF(K1585&lt;&gt;"","Review",IF(I1585&lt;0,"Overdue",IF(I1585=0,"Due now",IF(I1585&lt;=M1585,"Due soon","Not due")))))</x:f>
      </x:c>
      <x:c r="H1585" s="5" t="str">
        <x:f>IF(OR(COUNTA(A1585:F1585)=0,COUNTIFS('Rules'!$G$7:$G$26,"="&amp;(SUBSTITUTE(SUBSTITUTE(SUBSTITUTE(SUBSTITUTE("type:"&amp;B1585,"%","%25"),"~","%7E"),"*","%2A"),"?","%3F")))&lt;&gt;1),"",IF(OR(INDEX('Rules'!$B$7:$B$26,MATCH(SUBSTITUTE(SUBSTITUTE(SUBSTITUTE(SUBSTITUTE("type:"&amp;B1585,"%","%25"),"~","%7E"),"*","%2A"),"?","%3F"),'Rules'!$G$7:$G$26,0))="hours",INDEX('Rules'!$B$7:$B$26,MATCH(SUBSTITUTE(SUBSTITUTE(SUBSTITUTE(SUBSTITUTE("type:"&amp;B1585,"%","%25"),"~","%7E"),"*","%2A"),"?","%3F"),'Rules'!$G$7:$G$26,0))="km"),INDEX('Rules'!$B$7:$B$26,MATCH(SUBSTITUTE(SUBSTITUTE(SUBSTITUTE(SUBSTITUTE("type:"&amp;B1585,"%","%25"),"~","%7E"),"*","%2A"),"?","%3F"),'Rules'!$G$7:$G$26,0)),""))</x:f>
      </x:c>
      <x:c r="I1585" s="6" t="str">
        <x:f>IF(AND(NOT(COUNTA(A1585:F1585)=0),K1585=""),ROUND(J1585-D1585,3),"")</x:f>
      </x:c>
      <x:c r="J1585" s="6" t="str">
        <x:f>IF(AND(NOT(COUNTA(A1585:F1585)=0),K1585=""),ROUND(F1585+L1585,3),"")</x:f>
      </x:c>
      <x:c r="K1585" s="5" t="str">
        <x:f>IF(COUNTA(A1585:F1585)=0,"",IF(A1585="","Missing equipment ID",IF(COUNTIFS($N$8:$N$2007,"="&amp;N1585)&gt;1,"Duplicate equipment ID",IF(B1585="","Missing type",IF(COUNTIFS('Rules'!$G$7:$G$26,"="&amp;(SUBSTITUTE(SUBSTITUTE(SUBSTITUTE(SUBSTITUTE("type:"&amp;B1585,"%","%25"),"~","%7E"),"*","%2A"),"?","%3F")))=0,"Unknown type",IF(COUNTIFS('Rules'!$G$7:$G$26,"="&amp;(SUBSTITUTE(SUBSTITUTE(SUBSTITUTE(SUBSTITUTE("type:"&amp;B1585,"%","%25"),"~","%7E"),"*","%2A"),"?","%3F")))&gt;1,"Duplicate type",IF(INDEX('Rules'!$F$7:$F$26,MATCH(SUBSTITUTE(SUBSTITUTE(SUBSTITUTE(SUBSTITUTE("type:"&amp;B1585,"%","%25"),"~","%7E"),"*","%2A"),"?","%3F"),'Rules'!$G$7:$G$26,0))&lt;&gt;"",INDEX('Rules'!$F$7:$F$26,MATCH(SUBSTITUTE(SUBSTITUTE(SUBSTITUTE(SUBSTITUTE("type:"&amp;B1585,"%","%25"),"~","%7E"),"*","%2A"),"?","%3F"),'Rules'!$G$7:$G$26,0)),IF(AND(C1585&lt;&gt;"",C1585&lt;&gt;INDEX('Rules'!$B$7:$B$26,MATCH(SUBSTITUTE(SUBSTITUTE(SUBSTITUTE(SUBSTITUTE("type:"&amp;B1585,"%","%25"),"~","%7E"),"*","%2A"),"?","%3F"),'Rules'!$G$7:$G$26,0))),"Unit mismatch",IF(IF(NOT(ISNUMBER(D1585)),TRUE,OR(D1585&lt;0,D1585&gt;999999999,ROUND(D1585,3)&lt;&gt;D1585)),"Invalid current reading",IF(AND(E1585&lt;&gt;"",IF(NOT(ISNUMBER(E1585)),TRUE,OR(E1585&lt;0,E1585&gt;999999999,ROUND(E1585,3)&lt;&gt;E1585))),"Invalid previous reading",IF(IF(NOT(ISNUMBER(F1585)),TRUE,OR(F1585&lt;0,F1585&gt;999999999,ROUND(F1585,3)&lt;&gt;F1585)),"Invalid last service",IF(AND(E1585&lt;&gt;"",D1585&lt;E1585),"Decreased reading",IF(F1585&gt;D1585,"Last service above current","")))))))))))))</x:f>
      </x:c>
      <x:c r="L1585" s="6" t="str">
        <x:f>IF(AND(NOT(COUNTA(A1585:F1585)=0),K1585=""),INDEX('Rules'!$C$7:$C$26,MATCH(SUBSTITUTE(SUBSTITUTE(SUBSTITUTE(SUBSTITUTE("type:"&amp;B1585,"%","%25"),"~","%7E"),"*","%2A"),"?","%3F"),'Rules'!$G$7:$G$26,0)),"")</x:f>
      </x:c>
      <x:c r="M1585" s="6" t="str">
        <x:f>IF(AND(NOT(COUNTA(A1585:F1585)=0),K1585=""),INDEX('Rules'!$D$7:$D$26,MATCH(SUBSTITUTE(SUBSTITUTE(SUBSTITUTE(SUBSTITUTE("type:"&amp;B1585,"%","%25"),"~","%7E"),"*","%2A"),"?","%3F"),'Rules'!$G$7:$G$26,0)),"")</x:f>
      </x:c>
      <x:c r="N1585" s="5" t="str">
        <x:f>IF(COUNTA(A1585:F1585)=0,"",SUBSTITUTE(SUBSTITUTE(SUBSTITUTE(SUBSTITUTE("id:"&amp;A1585,"%","%25"),"~","%7E"),"*","%2A"),"?","%3F"))</x:f>
      </x:c>
    </x:row>
    <x:row r="1586" ht="22" customHeight="1">
      <x:c r="A1586" s="3"/>
      <x:c r="B1586" s="3"/>
      <x:c r="C1586" s="3"/>
      <x:c r="D1586" s="4"/>
      <x:c r="E1586" s="4"/>
      <x:c r="F1586" s="4"/>
      <x:c r="G1586" s="5" t="str">
        <x:f>IF(COUNTA(A1586:F1586)=0,"",IF(K1586&lt;&gt;"","Review",IF(I1586&lt;0,"Overdue",IF(I1586=0,"Due now",IF(I1586&lt;=M1586,"Due soon","Not due")))))</x:f>
      </x:c>
      <x:c r="H1586" s="5" t="str">
        <x:f>IF(OR(COUNTA(A1586:F1586)=0,COUNTIFS('Rules'!$G$7:$G$26,"="&amp;(SUBSTITUTE(SUBSTITUTE(SUBSTITUTE(SUBSTITUTE("type:"&amp;B1586,"%","%25"),"~","%7E"),"*","%2A"),"?","%3F")))&lt;&gt;1),"",IF(OR(INDEX('Rules'!$B$7:$B$26,MATCH(SUBSTITUTE(SUBSTITUTE(SUBSTITUTE(SUBSTITUTE("type:"&amp;B1586,"%","%25"),"~","%7E"),"*","%2A"),"?","%3F"),'Rules'!$G$7:$G$26,0))="hours",INDEX('Rules'!$B$7:$B$26,MATCH(SUBSTITUTE(SUBSTITUTE(SUBSTITUTE(SUBSTITUTE("type:"&amp;B1586,"%","%25"),"~","%7E"),"*","%2A"),"?","%3F"),'Rules'!$G$7:$G$26,0))="km"),INDEX('Rules'!$B$7:$B$26,MATCH(SUBSTITUTE(SUBSTITUTE(SUBSTITUTE(SUBSTITUTE("type:"&amp;B1586,"%","%25"),"~","%7E"),"*","%2A"),"?","%3F"),'Rules'!$G$7:$G$26,0)),""))</x:f>
      </x:c>
      <x:c r="I1586" s="6" t="str">
        <x:f>IF(AND(NOT(COUNTA(A1586:F1586)=0),K1586=""),ROUND(J1586-D1586,3),"")</x:f>
      </x:c>
      <x:c r="J1586" s="6" t="str">
        <x:f>IF(AND(NOT(COUNTA(A1586:F1586)=0),K1586=""),ROUND(F1586+L1586,3),"")</x:f>
      </x:c>
      <x:c r="K1586" s="5" t="str">
        <x:f>IF(COUNTA(A1586:F1586)=0,"",IF(A1586="","Missing equipment ID",IF(COUNTIFS($N$8:$N$2007,"="&amp;N1586)&gt;1,"Duplicate equipment ID",IF(B1586="","Missing type",IF(COUNTIFS('Rules'!$G$7:$G$26,"="&amp;(SUBSTITUTE(SUBSTITUTE(SUBSTITUTE(SUBSTITUTE("type:"&amp;B1586,"%","%25"),"~","%7E"),"*","%2A"),"?","%3F")))=0,"Unknown type",IF(COUNTIFS('Rules'!$G$7:$G$26,"="&amp;(SUBSTITUTE(SUBSTITUTE(SUBSTITUTE(SUBSTITUTE("type:"&amp;B1586,"%","%25"),"~","%7E"),"*","%2A"),"?","%3F")))&gt;1,"Duplicate type",IF(INDEX('Rules'!$F$7:$F$26,MATCH(SUBSTITUTE(SUBSTITUTE(SUBSTITUTE(SUBSTITUTE("type:"&amp;B1586,"%","%25"),"~","%7E"),"*","%2A"),"?","%3F"),'Rules'!$G$7:$G$26,0))&lt;&gt;"",INDEX('Rules'!$F$7:$F$26,MATCH(SUBSTITUTE(SUBSTITUTE(SUBSTITUTE(SUBSTITUTE("type:"&amp;B1586,"%","%25"),"~","%7E"),"*","%2A"),"?","%3F"),'Rules'!$G$7:$G$26,0)),IF(AND(C1586&lt;&gt;"",C1586&lt;&gt;INDEX('Rules'!$B$7:$B$26,MATCH(SUBSTITUTE(SUBSTITUTE(SUBSTITUTE(SUBSTITUTE("type:"&amp;B1586,"%","%25"),"~","%7E"),"*","%2A"),"?","%3F"),'Rules'!$G$7:$G$26,0))),"Unit mismatch",IF(IF(NOT(ISNUMBER(D1586)),TRUE,OR(D1586&lt;0,D1586&gt;999999999,ROUND(D1586,3)&lt;&gt;D1586)),"Invalid current reading",IF(AND(E1586&lt;&gt;"",IF(NOT(ISNUMBER(E1586)),TRUE,OR(E1586&lt;0,E1586&gt;999999999,ROUND(E1586,3)&lt;&gt;E1586))),"Invalid previous reading",IF(IF(NOT(ISNUMBER(F1586)),TRUE,OR(F1586&lt;0,F1586&gt;999999999,ROUND(F1586,3)&lt;&gt;F1586)),"Invalid last service",IF(AND(E1586&lt;&gt;"",D1586&lt;E1586),"Decreased reading",IF(F1586&gt;D1586,"Last service above current","")))))))))))))</x:f>
      </x:c>
      <x:c r="L1586" s="6" t="str">
        <x:f>IF(AND(NOT(COUNTA(A1586:F1586)=0),K1586=""),INDEX('Rules'!$C$7:$C$26,MATCH(SUBSTITUTE(SUBSTITUTE(SUBSTITUTE(SUBSTITUTE("type:"&amp;B1586,"%","%25"),"~","%7E"),"*","%2A"),"?","%3F"),'Rules'!$G$7:$G$26,0)),"")</x:f>
      </x:c>
      <x:c r="M1586" s="6" t="str">
        <x:f>IF(AND(NOT(COUNTA(A1586:F1586)=0),K1586=""),INDEX('Rules'!$D$7:$D$26,MATCH(SUBSTITUTE(SUBSTITUTE(SUBSTITUTE(SUBSTITUTE("type:"&amp;B1586,"%","%25"),"~","%7E"),"*","%2A"),"?","%3F"),'Rules'!$G$7:$G$26,0)),"")</x:f>
      </x:c>
      <x:c r="N1586" s="5" t="str">
        <x:f>IF(COUNTA(A1586:F1586)=0,"",SUBSTITUTE(SUBSTITUTE(SUBSTITUTE(SUBSTITUTE("id:"&amp;A1586,"%","%25"),"~","%7E"),"*","%2A"),"?","%3F"))</x:f>
      </x:c>
    </x:row>
    <x:row r="1587" ht="22" customHeight="1">
      <x:c r="A1587" s="3"/>
      <x:c r="B1587" s="3"/>
      <x:c r="C1587" s="3"/>
      <x:c r="D1587" s="4"/>
      <x:c r="E1587" s="4"/>
      <x:c r="F1587" s="4"/>
      <x:c r="G1587" s="5" t="str">
        <x:f>IF(COUNTA(A1587:F1587)=0,"",IF(K1587&lt;&gt;"","Review",IF(I1587&lt;0,"Overdue",IF(I1587=0,"Due now",IF(I1587&lt;=M1587,"Due soon","Not due")))))</x:f>
      </x:c>
      <x:c r="H1587" s="5" t="str">
        <x:f>IF(OR(COUNTA(A1587:F1587)=0,COUNTIFS('Rules'!$G$7:$G$26,"="&amp;(SUBSTITUTE(SUBSTITUTE(SUBSTITUTE(SUBSTITUTE("type:"&amp;B1587,"%","%25"),"~","%7E"),"*","%2A"),"?","%3F")))&lt;&gt;1),"",IF(OR(INDEX('Rules'!$B$7:$B$26,MATCH(SUBSTITUTE(SUBSTITUTE(SUBSTITUTE(SUBSTITUTE("type:"&amp;B1587,"%","%25"),"~","%7E"),"*","%2A"),"?","%3F"),'Rules'!$G$7:$G$26,0))="hours",INDEX('Rules'!$B$7:$B$26,MATCH(SUBSTITUTE(SUBSTITUTE(SUBSTITUTE(SUBSTITUTE("type:"&amp;B1587,"%","%25"),"~","%7E"),"*","%2A"),"?","%3F"),'Rules'!$G$7:$G$26,0))="km"),INDEX('Rules'!$B$7:$B$26,MATCH(SUBSTITUTE(SUBSTITUTE(SUBSTITUTE(SUBSTITUTE("type:"&amp;B1587,"%","%25"),"~","%7E"),"*","%2A"),"?","%3F"),'Rules'!$G$7:$G$26,0)),""))</x:f>
      </x:c>
      <x:c r="I1587" s="6" t="str">
        <x:f>IF(AND(NOT(COUNTA(A1587:F1587)=0),K1587=""),ROUND(J1587-D1587,3),"")</x:f>
      </x:c>
      <x:c r="J1587" s="6" t="str">
        <x:f>IF(AND(NOT(COUNTA(A1587:F1587)=0),K1587=""),ROUND(F1587+L1587,3),"")</x:f>
      </x:c>
      <x:c r="K1587" s="5" t="str">
        <x:f>IF(COUNTA(A1587:F1587)=0,"",IF(A1587="","Missing equipment ID",IF(COUNTIFS($N$8:$N$2007,"="&amp;N1587)&gt;1,"Duplicate equipment ID",IF(B1587="","Missing type",IF(COUNTIFS('Rules'!$G$7:$G$26,"="&amp;(SUBSTITUTE(SUBSTITUTE(SUBSTITUTE(SUBSTITUTE("type:"&amp;B1587,"%","%25"),"~","%7E"),"*","%2A"),"?","%3F")))=0,"Unknown type",IF(COUNTIFS('Rules'!$G$7:$G$26,"="&amp;(SUBSTITUTE(SUBSTITUTE(SUBSTITUTE(SUBSTITUTE("type:"&amp;B1587,"%","%25"),"~","%7E"),"*","%2A"),"?","%3F")))&gt;1,"Duplicate type",IF(INDEX('Rules'!$F$7:$F$26,MATCH(SUBSTITUTE(SUBSTITUTE(SUBSTITUTE(SUBSTITUTE("type:"&amp;B1587,"%","%25"),"~","%7E"),"*","%2A"),"?","%3F"),'Rules'!$G$7:$G$26,0))&lt;&gt;"",INDEX('Rules'!$F$7:$F$26,MATCH(SUBSTITUTE(SUBSTITUTE(SUBSTITUTE(SUBSTITUTE("type:"&amp;B1587,"%","%25"),"~","%7E"),"*","%2A"),"?","%3F"),'Rules'!$G$7:$G$26,0)),IF(AND(C1587&lt;&gt;"",C1587&lt;&gt;INDEX('Rules'!$B$7:$B$26,MATCH(SUBSTITUTE(SUBSTITUTE(SUBSTITUTE(SUBSTITUTE("type:"&amp;B1587,"%","%25"),"~","%7E"),"*","%2A"),"?","%3F"),'Rules'!$G$7:$G$26,0))),"Unit mismatch",IF(IF(NOT(ISNUMBER(D1587)),TRUE,OR(D1587&lt;0,D1587&gt;999999999,ROUND(D1587,3)&lt;&gt;D1587)),"Invalid current reading",IF(AND(E1587&lt;&gt;"",IF(NOT(ISNUMBER(E1587)),TRUE,OR(E1587&lt;0,E1587&gt;999999999,ROUND(E1587,3)&lt;&gt;E1587))),"Invalid previous reading",IF(IF(NOT(ISNUMBER(F1587)),TRUE,OR(F1587&lt;0,F1587&gt;999999999,ROUND(F1587,3)&lt;&gt;F1587)),"Invalid last service",IF(AND(E1587&lt;&gt;"",D1587&lt;E1587),"Decreased reading",IF(F1587&gt;D1587,"Last service above current","")))))))))))))</x:f>
      </x:c>
      <x:c r="L1587" s="6" t="str">
        <x:f>IF(AND(NOT(COUNTA(A1587:F1587)=0),K1587=""),INDEX('Rules'!$C$7:$C$26,MATCH(SUBSTITUTE(SUBSTITUTE(SUBSTITUTE(SUBSTITUTE("type:"&amp;B1587,"%","%25"),"~","%7E"),"*","%2A"),"?","%3F"),'Rules'!$G$7:$G$26,0)),"")</x:f>
      </x:c>
      <x:c r="M1587" s="6" t="str">
        <x:f>IF(AND(NOT(COUNTA(A1587:F1587)=0),K1587=""),INDEX('Rules'!$D$7:$D$26,MATCH(SUBSTITUTE(SUBSTITUTE(SUBSTITUTE(SUBSTITUTE("type:"&amp;B1587,"%","%25"),"~","%7E"),"*","%2A"),"?","%3F"),'Rules'!$G$7:$G$26,0)),"")</x:f>
      </x:c>
      <x:c r="N1587" s="5" t="str">
        <x:f>IF(COUNTA(A1587:F1587)=0,"",SUBSTITUTE(SUBSTITUTE(SUBSTITUTE(SUBSTITUTE("id:"&amp;A1587,"%","%25"),"~","%7E"),"*","%2A"),"?","%3F"))</x:f>
      </x:c>
    </x:row>
    <x:row r="1588" ht="22" customHeight="1">
      <x:c r="A1588" s="3"/>
      <x:c r="B1588" s="3"/>
      <x:c r="C1588" s="3"/>
      <x:c r="D1588" s="4"/>
      <x:c r="E1588" s="4"/>
      <x:c r="F1588" s="4"/>
      <x:c r="G1588" s="5" t="str">
        <x:f>IF(COUNTA(A1588:F1588)=0,"",IF(K1588&lt;&gt;"","Review",IF(I1588&lt;0,"Overdue",IF(I1588=0,"Due now",IF(I1588&lt;=M1588,"Due soon","Not due")))))</x:f>
      </x:c>
      <x:c r="H1588" s="5" t="str">
        <x:f>IF(OR(COUNTA(A1588:F1588)=0,COUNTIFS('Rules'!$G$7:$G$26,"="&amp;(SUBSTITUTE(SUBSTITUTE(SUBSTITUTE(SUBSTITUTE("type:"&amp;B1588,"%","%25"),"~","%7E"),"*","%2A"),"?","%3F")))&lt;&gt;1),"",IF(OR(INDEX('Rules'!$B$7:$B$26,MATCH(SUBSTITUTE(SUBSTITUTE(SUBSTITUTE(SUBSTITUTE("type:"&amp;B1588,"%","%25"),"~","%7E"),"*","%2A"),"?","%3F"),'Rules'!$G$7:$G$26,0))="hours",INDEX('Rules'!$B$7:$B$26,MATCH(SUBSTITUTE(SUBSTITUTE(SUBSTITUTE(SUBSTITUTE("type:"&amp;B1588,"%","%25"),"~","%7E"),"*","%2A"),"?","%3F"),'Rules'!$G$7:$G$26,0))="km"),INDEX('Rules'!$B$7:$B$26,MATCH(SUBSTITUTE(SUBSTITUTE(SUBSTITUTE(SUBSTITUTE("type:"&amp;B1588,"%","%25"),"~","%7E"),"*","%2A"),"?","%3F"),'Rules'!$G$7:$G$26,0)),""))</x:f>
      </x:c>
      <x:c r="I1588" s="6" t="str">
        <x:f>IF(AND(NOT(COUNTA(A1588:F1588)=0),K1588=""),ROUND(J1588-D1588,3),"")</x:f>
      </x:c>
      <x:c r="J1588" s="6" t="str">
        <x:f>IF(AND(NOT(COUNTA(A1588:F1588)=0),K1588=""),ROUND(F1588+L1588,3),"")</x:f>
      </x:c>
      <x:c r="K1588" s="5" t="str">
        <x:f>IF(COUNTA(A1588:F1588)=0,"",IF(A1588="","Missing equipment ID",IF(COUNTIFS($N$8:$N$2007,"="&amp;N1588)&gt;1,"Duplicate equipment ID",IF(B1588="","Missing type",IF(COUNTIFS('Rules'!$G$7:$G$26,"="&amp;(SUBSTITUTE(SUBSTITUTE(SUBSTITUTE(SUBSTITUTE("type:"&amp;B1588,"%","%25"),"~","%7E"),"*","%2A"),"?","%3F")))=0,"Unknown type",IF(COUNTIFS('Rules'!$G$7:$G$26,"="&amp;(SUBSTITUTE(SUBSTITUTE(SUBSTITUTE(SUBSTITUTE("type:"&amp;B1588,"%","%25"),"~","%7E"),"*","%2A"),"?","%3F")))&gt;1,"Duplicate type",IF(INDEX('Rules'!$F$7:$F$26,MATCH(SUBSTITUTE(SUBSTITUTE(SUBSTITUTE(SUBSTITUTE("type:"&amp;B1588,"%","%25"),"~","%7E"),"*","%2A"),"?","%3F"),'Rules'!$G$7:$G$26,0))&lt;&gt;"",INDEX('Rules'!$F$7:$F$26,MATCH(SUBSTITUTE(SUBSTITUTE(SUBSTITUTE(SUBSTITUTE("type:"&amp;B1588,"%","%25"),"~","%7E"),"*","%2A"),"?","%3F"),'Rules'!$G$7:$G$26,0)),IF(AND(C1588&lt;&gt;"",C1588&lt;&gt;INDEX('Rules'!$B$7:$B$26,MATCH(SUBSTITUTE(SUBSTITUTE(SUBSTITUTE(SUBSTITUTE("type:"&amp;B1588,"%","%25"),"~","%7E"),"*","%2A"),"?","%3F"),'Rules'!$G$7:$G$26,0))),"Unit mismatch",IF(IF(NOT(ISNUMBER(D1588)),TRUE,OR(D1588&lt;0,D1588&gt;999999999,ROUND(D1588,3)&lt;&gt;D1588)),"Invalid current reading",IF(AND(E1588&lt;&gt;"",IF(NOT(ISNUMBER(E1588)),TRUE,OR(E1588&lt;0,E1588&gt;999999999,ROUND(E1588,3)&lt;&gt;E1588))),"Invalid previous reading",IF(IF(NOT(ISNUMBER(F1588)),TRUE,OR(F1588&lt;0,F1588&gt;999999999,ROUND(F1588,3)&lt;&gt;F1588)),"Invalid last service",IF(AND(E1588&lt;&gt;"",D1588&lt;E1588),"Decreased reading",IF(F1588&gt;D1588,"Last service above current","")))))))))))))</x:f>
      </x:c>
      <x:c r="L1588" s="6" t="str">
        <x:f>IF(AND(NOT(COUNTA(A1588:F1588)=0),K1588=""),INDEX('Rules'!$C$7:$C$26,MATCH(SUBSTITUTE(SUBSTITUTE(SUBSTITUTE(SUBSTITUTE("type:"&amp;B1588,"%","%25"),"~","%7E"),"*","%2A"),"?","%3F"),'Rules'!$G$7:$G$26,0)),"")</x:f>
      </x:c>
      <x:c r="M1588" s="6" t="str">
        <x:f>IF(AND(NOT(COUNTA(A1588:F1588)=0),K1588=""),INDEX('Rules'!$D$7:$D$26,MATCH(SUBSTITUTE(SUBSTITUTE(SUBSTITUTE(SUBSTITUTE("type:"&amp;B1588,"%","%25"),"~","%7E"),"*","%2A"),"?","%3F"),'Rules'!$G$7:$G$26,0)),"")</x:f>
      </x:c>
      <x:c r="N1588" s="5" t="str">
        <x:f>IF(COUNTA(A1588:F1588)=0,"",SUBSTITUTE(SUBSTITUTE(SUBSTITUTE(SUBSTITUTE("id:"&amp;A1588,"%","%25"),"~","%7E"),"*","%2A"),"?","%3F"))</x:f>
      </x:c>
    </x:row>
    <x:row r="1589" ht="22" customHeight="1">
      <x:c r="A1589" s="3"/>
      <x:c r="B1589" s="3"/>
      <x:c r="C1589" s="3"/>
      <x:c r="D1589" s="4"/>
      <x:c r="E1589" s="4"/>
      <x:c r="F1589" s="4"/>
      <x:c r="G1589" s="5" t="str">
        <x:f>IF(COUNTA(A1589:F1589)=0,"",IF(K1589&lt;&gt;"","Review",IF(I1589&lt;0,"Overdue",IF(I1589=0,"Due now",IF(I1589&lt;=M1589,"Due soon","Not due")))))</x:f>
      </x:c>
      <x:c r="H1589" s="5" t="str">
        <x:f>IF(OR(COUNTA(A1589:F1589)=0,COUNTIFS('Rules'!$G$7:$G$26,"="&amp;(SUBSTITUTE(SUBSTITUTE(SUBSTITUTE(SUBSTITUTE("type:"&amp;B1589,"%","%25"),"~","%7E"),"*","%2A"),"?","%3F")))&lt;&gt;1),"",IF(OR(INDEX('Rules'!$B$7:$B$26,MATCH(SUBSTITUTE(SUBSTITUTE(SUBSTITUTE(SUBSTITUTE("type:"&amp;B1589,"%","%25"),"~","%7E"),"*","%2A"),"?","%3F"),'Rules'!$G$7:$G$26,0))="hours",INDEX('Rules'!$B$7:$B$26,MATCH(SUBSTITUTE(SUBSTITUTE(SUBSTITUTE(SUBSTITUTE("type:"&amp;B1589,"%","%25"),"~","%7E"),"*","%2A"),"?","%3F"),'Rules'!$G$7:$G$26,0))="km"),INDEX('Rules'!$B$7:$B$26,MATCH(SUBSTITUTE(SUBSTITUTE(SUBSTITUTE(SUBSTITUTE("type:"&amp;B1589,"%","%25"),"~","%7E"),"*","%2A"),"?","%3F"),'Rules'!$G$7:$G$26,0)),""))</x:f>
      </x:c>
      <x:c r="I1589" s="6" t="str">
        <x:f>IF(AND(NOT(COUNTA(A1589:F1589)=0),K1589=""),ROUND(J1589-D1589,3),"")</x:f>
      </x:c>
      <x:c r="J1589" s="6" t="str">
        <x:f>IF(AND(NOT(COUNTA(A1589:F1589)=0),K1589=""),ROUND(F1589+L1589,3),"")</x:f>
      </x:c>
      <x:c r="K1589" s="5" t="str">
        <x:f>IF(COUNTA(A1589:F1589)=0,"",IF(A1589="","Missing equipment ID",IF(COUNTIFS($N$8:$N$2007,"="&amp;N1589)&gt;1,"Duplicate equipment ID",IF(B1589="","Missing type",IF(COUNTIFS('Rules'!$G$7:$G$26,"="&amp;(SUBSTITUTE(SUBSTITUTE(SUBSTITUTE(SUBSTITUTE("type:"&amp;B1589,"%","%25"),"~","%7E"),"*","%2A"),"?","%3F")))=0,"Unknown type",IF(COUNTIFS('Rules'!$G$7:$G$26,"="&amp;(SUBSTITUTE(SUBSTITUTE(SUBSTITUTE(SUBSTITUTE("type:"&amp;B1589,"%","%25"),"~","%7E"),"*","%2A"),"?","%3F")))&gt;1,"Duplicate type",IF(INDEX('Rules'!$F$7:$F$26,MATCH(SUBSTITUTE(SUBSTITUTE(SUBSTITUTE(SUBSTITUTE("type:"&amp;B1589,"%","%25"),"~","%7E"),"*","%2A"),"?","%3F"),'Rules'!$G$7:$G$26,0))&lt;&gt;"",INDEX('Rules'!$F$7:$F$26,MATCH(SUBSTITUTE(SUBSTITUTE(SUBSTITUTE(SUBSTITUTE("type:"&amp;B1589,"%","%25"),"~","%7E"),"*","%2A"),"?","%3F"),'Rules'!$G$7:$G$26,0)),IF(AND(C1589&lt;&gt;"",C1589&lt;&gt;INDEX('Rules'!$B$7:$B$26,MATCH(SUBSTITUTE(SUBSTITUTE(SUBSTITUTE(SUBSTITUTE("type:"&amp;B1589,"%","%25"),"~","%7E"),"*","%2A"),"?","%3F"),'Rules'!$G$7:$G$26,0))),"Unit mismatch",IF(IF(NOT(ISNUMBER(D1589)),TRUE,OR(D1589&lt;0,D1589&gt;999999999,ROUND(D1589,3)&lt;&gt;D1589)),"Invalid current reading",IF(AND(E1589&lt;&gt;"",IF(NOT(ISNUMBER(E1589)),TRUE,OR(E1589&lt;0,E1589&gt;999999999,ROUND(E1589,3)&lt;&gt;E1589))),"Invalid previous reading",IF(IF(NOT(ISNUMBER(F1589)),TRUE,OR(F1589&lt;0,F1589&gt;999999999,ROUND(F1589,3)&lt;&gt;F1589)),"Invalid last service",IF(AND(E1589&lt;&gt;"",D1589&lt;E1589),"Decreased reading",IF(F1589&gt;D1589,"Last service above current","")))))))))))))</x:f>
      </x:c>
      <x:c r="L1589" s="6" t="str">
        <x:f>IF(AND(NOT(COUNTA(A1589:F1589)=0),K1589=""),INDEX('Rules'!$C$7:$C$26,MATCH(SUBSTITUTE(SUBSTITUTE(SUBSTITUTE(SUBSTITUTE("type:"&amp;B1589,"%","%25"),"~","%7E"),"*","%2A"),"?","%3F"),'Rules'!$G$7:$G$26,0)),"")</x:f>
      </x:c>
      <x:c r="M1589" s="6" t="str">
        <x:f>IF(AND(NOT(COUNTA(A1589:F1589)=0),K1589=""),INDEX('Rules'!$D$7:$D$26,MATCH(SUBSTITUTE(SUBSTITUTE(SUBSTITUTE(SUBSTITUTE("type:"&amp;B1589,"%","%25"),"~","%7E"),"*","%2A"),"?","%3F"),'Rules'!$G$7:$G$26,0)),"")</x:f>
      </x:c>
      <x:c r="N1589" s="5" t="str">
        <x:f>IF(COUNTA(A1589:F1589)=0,"",SUBSTITUTE(SUBSTITUTE(SUBSTITUTE(SUBSTITUTE("id:"&amp;A1589,"%","%25"),"~","%7E"),"*","%2A"),"?","%3F"))</x:f>
      </x:c>
    </x:row>
    <x:row r="1590" ht="22" customHeight="1">
      <x:c r="A1590" s="3"/>
      <x:c r="B1590" s="3"/>
      <x:c r="C1590" s="3"/>
      <x:c r="D1590" s="4"/>
      <x:c r="E1590" s="4"/>
      <x:c r="F1590" s="4"/>
      <x:c r="G1590" s="5" t="str">
        <x:f>IF(COUNTA(A1590:F1590)=0,"",IF(K1590&lt;&gt;"","Review",IF(I1590&lt;0,"Overdue",IF(I1590=0,"Due now",IF(I1590&lt;=M1590,"Due soon","Not due")))))</x:f>
      </x:c>
      <x:c r="H1590" s="5" t="str">
        <x:f>IF(OR(COUNTA(A1590:F1590)=0,COUNTIFS('Rules'!$G$7:$G$26,"="&amp;(SUBSTITUTE(SUBSTITUTE(SUBSTITUTE(SUBSTITUTE("type:"&amp;B1590,"%","%25"),"~","%7E"),"*","%2A"),"?","%3F")))&lt;&gt;1),"",IF(OR(INDEX('Rules'!$B$7:$B$26,MATCH(SUBSTITUTE(SUBSTITUTE(SUBSTITUTE(SUBSTITUTE("type:"&amp;B1590,"%","%25"),"~","%7E"),"*","%2A"),"?","%3F"),'Rules'!$G$7:$G$26,0))="hours",INDEX('Rules'!$B$7:$B$26,MATCH(SUBSTITUTE(SUBSTITUTE(SUBSTITUTE(SUBSTITUTE("type:"&amp;B1590,"%","%25"),"~","%7E"),"*","%2A"),"?","%3F"),'Rules'!$G$7:$G$26,0))="km"),INDEX('Rules'!$B$7:$B$26,MATCH(SUBSTITUTE(SUBSTITUTE(SUBSTITUTE(SUBSTITUTE("type:"&amp;B1590,"%","%25"),"~","%7E"),"*","%2A"),"?","%3F"),'Rules'!$G$7:$G$26,0)),""))</x:f>
      </x:c>
      <x:c r="I1590" s="6" t="str">
        <x:f>IF(AND(NOT(COUNTA(A1590:F1590)=0),K1590=""),ROUND(J1590-D1590,3),"")</x:f>
      </x:c>
      <x:c r="J1590" s="6" t="str">
        <x:f>IF(AND(NOT(COUNTA(A1590:F1590)=0),K1590=""),ROUND(F1590+L1590,3),"")</x:f>
      </x:c>
      <x:c r="K1590" s="5" t="str">
        <x:f>IF(COUNTA(A1590:F1590)=0,"",IF(A1590="","Missing equipment ID",IF(COUNTIFS($N$8:$N$2007,"="&amp;N1590)&gt;1,"Duplicate equipment ID",IF(B1590="","Missing type",IF(COUNTIFS('Rules'!$G$7:$G$26,"="&amp;(SUBSTITUTE(SUBSTITUTE(SUBSTITUTE(SUBSTITUTE("type:"&amp;B1590,"%","%25"),"~","%7E"),"*","%2A"),"?","%3F")))=0,"Unknown type",IF(COUNTIFS('Rules'!$G$7:$G$26,"="&amp;(SUBSTITUTE(SUBSTITUTE(SUBSTITUTE(SUBSTITUTE("type:"&amp;B1590,"%","%25"),"~","%7E"),"*","%2A"),"?","%3F")))&gt;1,"Duplicate type",IF(INDEX('Rules'!$F$7:$F$26,MATCH(SUBSTITUTE(SUBSTITUTE(SUBSTITUTE(SUBSTITUTE("type:"&amp;B1590,"%","%25"),"~","%7E"),"*","%2A"),"?","%3F"),'Rules'!$G$7:$G$26,0))&lt;&gt;"",INDEX('Rules'!$F$7:$F$26,MATCH(SUBSTITUTE(SUBSTITUTE(SUBSTITUTE(SUBSTITUTE("type:"&amp;B1590,"%","%25"),"~","%7E"),"*","%2A"),"?","%3F"),'Rules'!$G$7:$G$26,0)),IF(AND(C1590&lt;&gt;"",C1590&lt;&gt;INDEX('Rules'!$B$7:$B$26,MATCH(SUBSTITUTE(SUBSTITUTE(SUBSTITUTE(SUBSTITUTE("type:"&amp;B1590,"%","%25"),"~","%7E"),"*","%2A"),"?","%3F"),'Rules'!$G$7:$G$26,0))),"Unit mismatch",IF(IF(NOT(ISNUMBER(D1590)),TRUE,OR(D1590&lt;0,D1590&gt;999999999,ROUND(D1590,3)&lt;&gt;D1590)),"Invalid current reading",IF(AND(E1590&lt;&gt;"",IF(NOT(ISNUMBER(E1590)),TRUE,OR(E1590&lt;0,E1590&gt;999999999,ROUND(E1590,3)&lt;&gt;E1590))),"Invalid previous reading",IF(IF(NOT(ISNUMBER(F1590)),TRUE,OR(F1590&lt;0,F1590&gt;999999999,ROUND(F1590,3)&lt;&gt;F1590)),"Invalid last service",IF(AND(E1590&lt;&gt;"",D1590&lt;E1590),"Decreased reading",IF(F1590&gt;D1590,"Last service above current","")))))))))))))</x:f>
      </x:c>
      <x:c r="L1590" s="6" t="str">
        <x:f>IF(AND(NOT(COUNTA(A1590:F1590)=0),K1590=""),INDEX('Rules'!$C$7:$C$26,MATCH(SUBSTITUTE(SUBSTITUTE(SUBSTITUTE(SUBSTITUTE("type:"&amp;B1590,"%","%25"),"~","%7E"),"*","%2A"),"?","%3F"),'Rules'!$G$7:$G$26,0)),"")</x:f>
      </x:c>
      <x:c r="M1590" s="6" t="str">
        <x:f>IF(AND(NOT(COUNTA(A1590:F1590)=0),K1590=""),INDEX('Rules'!$D$7:$D$26,MATCH(SUBSTITUTE(SUBSTITUTE(SUBSTITUTE(SUBSTITUTE("type:"&amp;B1590,"%","%25"),"~","%7E"),"*","%2A"),"?","%3F"),'Rules'!$G$7:$G$26,0)),"")</x:f>
      </x:c>
      <x:c r="N1590" s="5" t="str">
        <x:f>IF(COUNTA(A1590:F1590)=0,"",SUBSTITUTE(SUBSTITUTE(SUBSTITUTE(SUBSTITUTE("id:"&amp;A1590,"%","%25"),"~","%7E"),"*","%2A"),"?","%3F"))</x:f>
      </x:c>
    </x:row>
    <x:row r="1591" ht="22" customHeight="1">
      <x:c r="A1591" s="3"/>
      <x:c r="B1591" s="3"/>
      <x:c r="C1591" s="3"/>
      <x:c r="D1591" s="4"/>
      <x:c r="E1591" s="4"/>
      <x:c r="F1591" s="4"/>
      <x:c r="G1591" s="5" t="str">
        <x:f>IF(COUNTA(A1591:F1591)=0,"",IF(K1591&lt;&gt;"","Review",IF(I1591&lt;0,"Overdue",IF(I1591=0,"Due now",IF(I1591&lt;=M1591,"Due soon","Not due")))))</x:f>
      </x:c>
      <x:c r="H1591" s="5" t="str">
        <x:f>IF(OR(COUNTA(A1591:F1591)=0,COUNTIFS('Rules'!$G$7:$G$26,"="&amp;(SUBSTITUTE(SUBSTITUTE(SUBSTITUTE(SUBSTITUTE("type:"&amp;B1591,"%","%25"),"~","%7E"),"*","%2A"),"?","%3F")))&lt;&gt;1),"",IF(OR(INDEX('Rules'!$B$7:$B$26,MATCH(SUBSTITUTE(SUBSTITUTE(SUBSTITUTE(SUBSTITUTE("type:"&amp;B1591,"%","%25"),"~","%7E"),"*","%2A"),"?","%3F"),'Rules'!$G$7:$G$26,0))="hours",INDEX('Rules'!$B$7:$B$26,MATCH(SUBSTITUTE(SUBSTITUTE(SUBSTITUTE(SUBSTITUTE("type:"&amp;B1591,"%","%25"),"~","%7E"),"*","%2A"),"?","%3F"),'Rules'!$G$7:$G$26,0))="km"),INDEX('Rules'!$B$7:$B$26,MATCH(SUBSTITUTE(SUBSTITUTE(SUBSTITUTE(SUBSTITUTE("type:"&amp;B1591,"%","%25"),"~","%7E"),"*","%2A"),"?","%3F"),'Rules'!$G$7:$G$26,0)),""))</x:f>
      </x:c>
      <x:c r="I1591" s="6" t="str">
        <x:f>IF(AND(NOT(COUNTA(A1591:F1591)=0),K1591=""),ROUND(J1591-D1591,3),"")</x:f>
      </x:c>
      <x:c r="J1591" s="6" t="str">
        <x:f>IF(AND(NOT(COUNTA(A1591:F1591)=0),K1591=""),ROUND(F1591+L1591,3),"")</x:f>
      </x:c>
      <x:c r="K1591" s="5" t="str">
        <x:f>IF(COUNTA(A1591:F1591)=0,"",IF(A1591="","Missing equipment ID",IF(COUNTIFS($N$8:$N$2007,"="&amp;N1591)&gt;1,"Duplicate equipment ID",IF(B1591="","Missing type",IF(COUNTIFS('Rules'!$G$7:$G$26,"="&amp;(SUBSTITUTE(SUBSTITUTE(SUBSTITUTE(SUBSTITUTE("type:"&amp;B1591,"%","%25"),"~","%7E"),"*","%2A"),"?","%3F")))=0,"Unknown type",IF(COUNTIFS('Rules'!$G$7:$G$26,"="&amp;(SUBSTITUTE(SUBSTITUTE(SUBSTITUTE(SUBSTITUTE("type:"&amp;B1591,"%","%25"),"~","%7E"),"*","%2A"),"?","%3F")))&gt;1,"Duplicate type",IF(INDEX('Rules'!$F$7:$F$26,MATCH(SUBSTITUTE(SUBSTITUTE(SUBSTITUTE(SUBSTITUTE("type:"&amp;B1591,"%","%25"),"~","%7E"),"*","%2A"),"?","%3F"),'Rules'!$G$7:$G$26,0))&lt;&gt;"",INDEX('Rules'!$F$7:$F$26,MATCH(SUBSTITUTE(SUBSTITUTE(SUBSTITUTE(SUBSTITUTE("type:"&amp;B1591,"%","%25"),"~","%7E"),"*","%2A"),"?","%3F"),'Rules'!$G$7:$G$26,0)),IF(AND(C1591&lt;&gt;"",C1591&lt;&gt;INDEX('Rules'!$B$7:$B$26,MATCH(SUBSTITUTE(SUBSTITUTE(SUBSTITUTE(SUBSTITUTE("type:"&amp;B1591,"%","%25"),"~","%7E"),"*","%2A"),"?","%3F"),'Rules'!$G$7:$G$26,0))),"Unit mismatch",IF(IF(NOT(ISNUMBER(D1591)),TRUE,OR(D1591&lt;0,D1591&gt;999999999,ROUND(D1591,3)&lt;&gt;D1591)),"Invalid current reading",IF(AND(E1591&lt;&gt;"",IF(NOT(ISNUMBER(E1591)),TRUE,OR(E1591&lt;0,E1591&gt;999999999,ROUND(E1591,3)&lt;&gt;E1591))),"Invalid previous reading",IF(IF(NOT(ISNUMBER(F1591)),TRUE,OR(F1591&lt;0,F1591&gt;999999999,ROUND(F1591,3)&lt;&gt;F1591)),"Invalid last service",IF(AND(E1591&lt;&gt;"",D1591&lt;E1591),"Decreased reading",IF(F1591&gt;D1591,"Last service above current","")))))))))))))</x:f>
      </x:c>
      <x:c r="L1591" s="6" t="str">
        <x:f>IF(AND(NOT(COUNTA(A1591:F1591)=0),K1591=""),INDEX('Rules'!$C$7:$C$26,MATCH(SUBSTITUTE(SUBSTITUTE(SUBSTITUTE(SUBSTITUTE("type:"&amp;B1591,"%","%25"),"~","%7E"),"*","%2A"),"?","%3F"),'Rules'!$G$7:$G$26,0)),"")</x:f>
      </x:c>
      <x:c r="M1591" s="6" t="str">
        <x:f>IF(AND(NOT(COUNTA(A1591:F1591)=0),K1591=""),INDEX('Rules'!$D$7:$D$26,MATCH(SUBSTITUTE(SUBSTITUTE(SUBSTITUTE(SUBSTITUTE("type:"&amp;B1591,"%","%25"),"~","%7E"),"*","%2A"),"?","%3F"),'Rules'!$G$7:$G$26,0)),"")</x:f>
      </x:c>
      <x:c r="N1591" s="5" t="str">
        <x:f>IF(COUNTA(A1591:F1591)=0,"",SUBSTITUTE(SUBSTITUTE(SUBSTITUTE(SUBSTITUTE("id:"&amp;A1591,"%","%25"),"~","%7E"),"*","%2A"),"?","%3F"))</x:f>
      </x:c>
    </x:row>
    <x:row r="1592" ht="22" customHeight="1">
      <x:c r="A1592" s="3"/>
      <x:c r="B1592" s="3"/>
      <x:c r="C1592" s="3"/>
      <x:c r="D1592" s="4"/>
      <x:c r="E1592" s="4"/>
      <x:c r="F1592" s="4"/>
      <x:c r="G1592" s="5" t="str">
        <x:f>IF(COUNTA(A1592:F1592)=0,"",IF(K1592&lt;&gt;"","Review",IF(I1592&lt;0,"Overdue",IF(I1592=0,"Due now",IF(I1592&lt;=M1592,"Due soon","Not due")))))</x:f>
      </x:c>
      <x:c r="H1592" s="5" t="str">
        <x:f>IF(OR(COUNTA(A1592:F1592)=0,COUNTIFS('Rules'!$G$7:$G$26,"="&amp;(SUBSTITUTE(SUBSTITUTE(SUBSTITUTE(SUBSTITUTE("type:"&amp;B1592,"%","%25"),"~","%7E"),"*","%2A"),"?","%3F")))&lt;&gt;1),"",IF(OR(INDEX('Rules'!$B$7:$B$26,MATCH(SUBSTITUTE(SUBSTITUTE(SUBSTITUTE(SUBSTITUTE("type:"&amp;B1592,"%","%25"),"~","%7E"),"*","%2A"),"?","%3F"),'Rules'!$G$7:$G$26,0))="hours",INDEX('Rules'!$B$7:$B$26,MATCH(SUBSTITUTE(SUBSTITUTE(SUBSTITUTE(SUBSTITUTE("type:"&amp;B1592,"%","%25"),"~","%7E"),"*","%2A"),"?","%3F"),'Rules'!$G$7:$G$26,0))="km"),INDEX('Rules'!$B$7:$B$26,MATCH(SUBSTITUTE(SUBSTITUTE(SUBSTITUTE(SUBSTITUTE("type:"&amp;B1592,"%","%25"),"~","%7E"),"*","%2A"),"?","%3F"),'Rules'!$G$7:$G$26,0)),""))</x:f>
      </x:c>
      <x:c r="I1592" s="6" t="str">
        <x:f>IF(AND(NOT(COUNTA(A1592:F1592)=0),K1592=""),ROUND(J1592-D1592,3),"")</x:f>
      </x:c>
      <x:c r="J1592" s="6" t="str">
        <x:f>IF(AND(NOT(COUNTA(A1592:F1592)=0),K1592=""),ROUND(F1592+L1592,3),"")</x:f>
      </x:c>
      <x:c r="K1592" s="5" t="str">
        <x:f>IF(COUNTA(A1592:F1592)=0,"",IF(A1592="","Missing equipment ID",IF(COUNTIFS($N$8:$N$2007,"="&amp;N1592)&gt;1,"Duplicate equipment ID",IF(B1592="","Missing type",IF(COUNTIFS('Rules'!$G$7:$G$26,"="&amp;(SUBSTITUTE(SUBSTITUTE(SUBSTITUTE(SUBSTITUTE("type:"&amp;B1592,"%","%25"),"~","%7E"),"*","%2A"),"?","%3F")))=0,"Unknown type",IF(COUNTIFS('Rules'!$G$7:$G$26,"="&amp;(SUBSTITUTE(SUBSTITUTE(SUBSTITUTE(SUBSTITUTE("type:"&amp;B1592,"%","%25"),"~","%7E"),"*","%2A"),"?","%3F")))&gt;1,"Duplicate type",IF(INDEX('Rules'!$F$7:$F$26,MATCH(SUBSTITUTE(SUBSTITUTE(SUBSTITUTE(SUBSTITUTE("type:"&amp;B1592,"%","%25"),"~","%7E"),"*","%2A"),"?","%3F"),'Rules'!$G$7:$G$26,0))&lt;&gt;"",INDEX('Rules'!$F$7:$F$26,MATCH(SUBSTITUTE(SUBSTITUTE(SUBSTITUTE(SUBSTITUTE("type:"&amp;B1592,"%","%25"),"~","%7E"),"*","%2A"),"?","%3F"),'Rules'!$G$7:$G$26,0)),IF(AND(C1592&lt;&gt;"",C1592&lt;&gt;INDEX('Rules'!$B$7:$B$26,MATCH(SUBSTITUTE(SUBSTITUTE(SUBSTITUTE(SUBSTITUTE("type:"&amp;B1592,"%","%25"),"~","%7E"),"*","%2A"),"?","%3F"),'Rules'!$G$7:$G$26,0))),"Unit mismatch",IF(IF(NOT(ISNUMBER(D1592)),TRUE,OR(D1592&lt;0,D1592&gt;999999999,ROUND(D1592,3)&lt;&gt;D1592)),"Invalid current reading",IF(AND(E1592&lt;&gt;"",IF(NOT(ISNUMBER(E1592)),TRUE,OR(E1592&lt;0,E1592&gt;999999999,ROUND(E1592,3)&lt;&gt;E1592))),"Invalid previous reading",IF(IF(NOT(ISNUMBER(F1592)),TRUE,OR(F1592&lt;0,F1592&gt;999999999,ROUND(F1592,3)&lt;&gt;F1592)),"Invalid last service",IF(AND(E1592&lt;&gt;"",D1592&lt;E1592),"Decreased reading",IF(F1592&gt;D1592,"Last service above current","")))))))))))))</x:f>
      </x:c>
      <x:c r="L1592" s="6" t="str">
        <x:f>IF(AND(NOT(COUNTA(A1592:F1592)=0),K1592=""),INDEX('Rules'!$C$7:$C$26,MATCH(SUBSTITUTE(SUBSTITUTE(SUBSTITUTE(SUBSTITUTE("type:"&amp;B1592,"%","%25"),"~","%7E"),"*","%2A"),"?","%3F"),'Rules'!$G$7:$G$26,0)),"")</x:f>
      </x:c>
      <x:c r="M1592" s="6" t="str">
        <x:f>IF(AND(NOT(COUNTA(A1592:F1592)=0),K1592=""),INDEX('Rules'!$D$7:$D$26,MATCH(SUBSTITUTE(SUBSTITUTE(SUBSTITUTE(SUBSTITUTE("type:"&amp;B1592,"%","%25"),"~","%7E"),"*","%2A"),"?","%3F"),'Rules'!$G$7:$G$26,0)),"")</x:f>
      </x:c>
      <x:c r="N1592" s="5" t="str">
        <x:f>IF(COUNTA(A1592:F1592)=0,"",SUBSTITUTE(SUBSTITUTE(SUBSTITUTE(SUBSTITUTE("id:"&amp;A1592,"%","%25"),"~","%7E"),"*","%2A"),"?","%3F"))</x:f>
      </x:c>
    </x:row>
    <x:row r="1593" ht="22" customHeight="1">
      <x:c r="A1593" s="3"/>
      <x:c r="B1593" s="3"/>
      <x:c r="C1593" s="3"/>
      <x:c r="D1593" s="4"/>
      <x:c r="E1593" s="4"/>
      <x:c r="F1593" s="4"/>
      <x:c r="G1593" s="5" t="str">
        <x:f>IF(COUNTA(A1593:F1593)=0,"",IF(K1593&lt;&gt;"","Review",IF(I1593&lt;0,"Overdue",IF(I1593=0,"Due now",IF(I1593&lt;=M1593,"Due soon","Not due")))))</x:f>
      </x:c>
      <x:c r="H1593" s="5" t="str">
        <x:f>IF(OR(COUNTA(A1593:F1593)=0,COUNTIFS('Rules'!$G$7:$G$26,"="&amp;(SUBSTITUTE(SUBSTITUTE(SUBSTITUTE(SUBSTITUTE("type:"&amp;B1593,"%","%25"),"~","%7E"),"*","%2A"),"?","%3F")))&lt;&gt;1),"",IF(OR(INDEX('Rules'!$B$7:$B$26,MATCH(SUBSTITUTE(SUBSTITUTE(SUBSTITUTE(SUBSTITUTE("type:"&amp;B1593,"%","%25"),"~","%7E"),"*","%2A"),"?","%3F"),'Rules'!$G$7:$G$26,0))="hours",INDEX('Rules'!$B$7:$B$26,MATCH(SUBSTITUTE(SUBSTITUTE(SUBSTITUTE(SUBSTITUTE("type:"&amp;B1593,"%","%25"),"~","%7E"),"*","%2A"),"?","%3F"),'Rules'!$G$7:$G$26,0))="km"),INDEX('Rules'!$B$7:$B$26,MATCH(SUBSTITUTE(SUBSTITUTE(SUBSTITUTE(SUBSTITUTE("type:"&amp;B1593,"%","%25"),"~","%7E"),"*","%2A"),"?","%3F"),'Rules'!$G$7:$G$26,0)),""))</x:f>
      </x:c>
      <x:c r="I1593" s="6" t="str">
        <x:f>IF(AND(NOT(COUNTA(A1593:F1593)=0),K1593=""),ROUND(J1593-D1593,3),"")</x:f>
      </x:c>
      <x:c r="J1593" s="6" t="str">
        <x:f>IF(AND(NOT(COUNTA(A1593:F1593)=0),K1593=""),ROUND(F1593+L1593,3),"")</x:f>
      </x:c>
      <x:c r="K1593" s="5" t="str">
        <x:f>IF(COUNTA(A1593:F1593)=0,"",IF(A1593="","Missing equipment ID",IF(COUNTIFS($N$8:$N$2007,"="&amp;N1593)&gt;1,"Duplicate equipment ID",IF(B1593="","Missing type",IF(COUNTIFS('Rules'!$G$7:$G$26,"="&amp;(SUBSTITUTE(SUBSTITUTE(SUBSTITUTE(SUBSTITUTE("type:"&amp;B1593,"%","%25"),"~","%7E"),"*","%2A"),"?","%3F")))=0,"Unknown type",IF(COUNTIFS('Rules'!$G$7:$G$26,"="&amp;(SUBSTITUTE(SUBSTITUTE(SUBSTITUTE(SUBSTITUTE("type:"&amp;B1593,"%","%25"),"~","%7E"),"*","%2A"),"?","%3F")))&gt;1,"Duplicate type",IF(INDEX('Rules'!$F$7:$F$26,MATCH(SUBSTITUTE(SUBSTITUTE(SUBSTITUTE(SUBSTITUTE("type:"&amp;B1593,"%","%25"),"~","%7E"),"*","%2A"),"?","%3F"),'Rules'!$G$7:$G$26,0))&lt;&gt;"",INDEX('Rules'!$F$7:$F$26,MATCH(SUBSTITUTE(SUBSTITUTE(SUBSTITUTE(SUBSTITUTE("type:"&amp;B1593,"%","%25"),"~","%7E"),"*","%2A"),"?","%3F"),'Rules'!$G$7:$G$26,0)),IF(AND(C1593&lt;&gt;"",C1593&lt;&gt;INDEX('Rules'!$B$7:$B$26,MATCH(SUBSTITUTE(SUBSTITUTE(SUBSTITUTE(SUBSTITUTE("type:"&amp;B1593,"%","%25"),"~","%7E"),"*","%2A"),"?","%3F"),'Rules'!$G$7:$G$26,0))),"Unit mismatch",IF(IF(NOT(ISNUMBER(D1593)),TRUE,OR(D1593&lt;0,D1593&gt;999999999,ROUND(D1593,3)&lt;&gt;D1593)),"Invalid current reading",IF(AND(E1593&lt;&gt;"",IF(NOT(ISNUMBER(E1593)),TRUE,OR(E1593&lt;0,E1593&gt;999999999,ROUND(E1593,3)&lt;&gt;E1593))),"Invalid previous reading",IF(IF(NOT(ISNUMBER(F1593)),TRUE,OR(F1593&lt;0,F1593&gt;999999999,ROUND(F1593,3)&lt;&gt;F1593)),"Invalid last service",IF(AND(E1593&lt;&gt;"",D1593&lt;E1593),"Decreased reading",IF(F1593&gt;D1593,"Last service above current","")))))))))))))</x:f>
      </x:c>
      <x:c r="L1593" s="6" t="str">
        <x:f>IF(AND(NOT(COUNTA(A1593:F1593)=0),K1593=""),INDEX('Rules'!$C$7:$C$26,MATCH(SUBSTITUTE(SUBSTITUTE(SUBSTITUTE(SUBSTITUTE("type:"&amp;B1593,"%","%25"),"~","%7E"),"*","%2A"),"?","%3F"),'Rules'!$G$7:$G$26,0)),"")</x:f>
      </x:c>
      <x:c r="M1593" s="6" t="str">
        <x:f>IF(AND(NOT(COUNTA(A1593:F1593)=0),K1593=""),INDEX('Rules'!$D$7:$D$26,MATCH(SUBSTITUTE(SUBSTITUTE(SUBSTITUTE(SUBSTITUTE("type:"&amp;B1593,"%","%25"),"~","%7E"),"*","%2A"),"?","%3F"),'Rules'!$G$7:$G$26,0)),"")</x:f>
      </x:c>
      <x:c r="N1593" s="5" t="str">
        <x:f>IF(COUNTA(A1593:F1593)=0,"",SUBSTITUTE(SUBSTITUTE(SUBSTITUTE(SUBSTITUTE("id:"&amp;A1593,"%","%25"),"~","%7E"),"*","%2A"),"?","%3F"))</x:f>
      </x:c>
    </x:row>
    <x:row r="1594" ht="22" customHeight="1">
      <x:c r="A1594" s="3"/>
      <x:c r="B1594" s="3"/>
      <x:c r="C1594" s="3"/>
      <x:c r="D1594" s="4"/>
      <x:c r="E1594" s="4"/>
      <x:c r="F1594" s="4"/>
      <x:c r="G1594" s="5" t="str">
        <x:f>IF(COUNTA(A1594:F1594)=0,"",IF(K1594&lt;&gt;"","Review",IF(I1594&lt;0,"Overdue",IF(I1594=0,"Due now",IF(I1594&lt;=M1594,"Due soon","Not due")))))</x:f>
      </x:c>
      <x:c r="H1594" s="5" t="str">
        <x:f>IF(OR(COUNTA(A1594:F1594)=0,COUNTIFS('Rules'!$G$7:$G$26,"="&amp;(SUBSTITUTE(SUBSTITUTE(SUBSTITUTE(SUBSTITUTE("type:"&amp;B1594,"%","%25"),"~","%7E"),"*","%2A"),"?","%3F")))&lt;&gt;1),"",IF(OR(INDEX('Rules'!$B$7:$B$26,MATCH(SUBSTITUTE(SUBSTITUTE(SUBSTITUTE(SUBSTITUTE("type:"&amp;B1594,"%","%25"),"~","%7E"),"*","%2A"),"?","%3F"),'Rules'!$G$7:$G$26,0))="hours",INDEX('Rules'!$B$7:$B$26,MATCH(SUBSTITUTE(SUBSTITUTE(SUBSTITUTE(SUBSTITUTE("type:"&amp;B1594,"%","%25"),"~","%7E"),"*","%2A"),"?","%3F"),'Rules'!$G$7:$G$26,0))="km"),INDEX('Rules'!$B$7:$B$26,MATCH(SUBSTITUTE(SUBSTITUTE(SUBSTITUTE(SUBSTITUTE("type:"&amp;B1594,"%","%25"),"~","%7E"),"*","%2A"),"?","%3F"),'Rules'!$G$7:$G$26,0)),""))</x:f>
      </x:c>
      <x:c r="I1594" s="6" t="str">
        <x:f>IF(AND(NOT(COUNTA(A1594:F1594)=0),K1594=""),ROUND(J1594-D1594,3),"")</x:f>
      </x:c>
      <x:c r="J1594" s="6" t="str">
        <x:f>IF(AND(NOT(COUNTA(A1594:F1594)=0),K1594=""),ROUND(F1594+L1594,3),"")</x:f>
      </x:c>
      <x:c r="K1594" s="5" t="str">
        <x:f>IF(COUNTA(A1594:F1594)=0,"",IF(A1594="","Missing equipment ID",IF(COUNTIFS($N$8:$N$2007,"="&amp;N1594)&gt;1,"Duplicate equipment ID",IF(B1594="","Missing type",IF(COUNTIFS('Rules'!$G$7:$G$26,"="&amp;(SUBSTITUTE(SUBSTITUTE(SUBSTITUTE(SUBSTITUTE("type:"&amp;B1594,"%","%25"),"~","%7E"),"*","%2A"),"?","%3F")))=0,"Unknown type",IF(COUNTIFS('Rules'!$G$7:$G$26,"="&amp;(SUBSTITUTE(SUBSTITUTE(SUBSTITUTE(SUBSTITUTE("type:"&amp;B1594,"%","%25"),"~","%7E"),"*","%2A"),"?","%3F")))&gt;1,"Duplicate type",IF(INDEX('Rules'!$F$7:$F$26,MATCH(SUBSTITUTE(SUBSTITUTE(SUBSTITUTE(SUBSTITUTE("type:"&amp;B1594,"%","%25"),"~","%7E"),"*","%2A"),"?","%3F"),'Rules'!$G$7:$G$26,0))&lt;&gt;"",INDEX('Rules'!$F$7:$F$26,MATCH(SUBSTITUTE(SUBSTITUTE(SUBSTITUTE(SUBSTITUTE("type:"&amp;B1594,"%","%25"),"~","%7E"),"*","%2A"),"?","%3F"),'Rules'!$G$7:$G$26,0)),IF(AND(C1594&lt;&gt;"",C1594&lt;&gt;INDEX('Rules'!$B$7:$B$26,MATCH(SUBSTITUTE(SUBSTITUTE(SUBSTITUTE(SUBSTITUTE("type:"&amp;B1594,"%","%25"),"~","%7E"),"*","%2A"),"?","%3F"),'Rules'!$G$7:$G$26,0))),"Unit mismatch",IF(IF(NOT(ISNUMBER(D1594)),TRUE,OR(D1594&lt;0,D1594&gt;999999999,ROUND(D1594,3)&lt;&gt;D1594)),"Invalid current reading",IF(AND(E1594&lt;&gt;"",IF(NOT(ISNUMBER(E1594)),TRUE,OR(E1594&lt;0,E1594&gt;999999999,ROUND(E1594,3)&lt;&gt;E1594))),"Invalid previous reading",IF(IF(NOT(ISNUMBER(F1594)),TRUE,OR(F1594&lt;0,F1594&gt;999999999,ROUND(F1594,3)&lt;&gt;F1594)),"Invalid last service",IF(AND(E1594&lt;&gt;"",D1594&lt;E1594),"Decreased reading",IF(F1594&gt;D1594,"Last service above current","")))))))))))))</x:f>
      </x:c>
      <x:c r="L1594" s="6" t="str">
        <x:f>IF(AND(NOT(COUNTA(A1594:F1594)=0),K1594=""),INDEX('Rules'!$C$7:$C$26,MATCH(SUBSTITUTE(SUBSTITUTE(SUBSTITUTE(SUBSTITUTE("type:"&amp;B1594,"%","%25"),"~","%7E"),"*","%2A"),"?","%3F"),'Rules'!$G$7:$G$26,0)),"")</x:f>
      </x:c>
      <x:c r="M1594" s="6" t="str">
        <x:f>IF(AND(NOT(COUNTA(A1594:F1594)=0),K1594=""),INDEX('Rules'!$D$7:$D$26,MATCH(SUBSTITUTE(SUBSTITUTE(SUBSTITUTE(SUBSTITUTE("type:"&amp;B1594,"%","%25"),"~","%7E"),"*","%2A"),"?","%3F"),'Rules'!$G$7:$G$26,0)),"")</x:f>
      </x:c>
      <x:c r="N1594" s="5" t="str">
        <x:f>IF(COUNTA(A1594:F1594)=0,"",SUBSTITUTE(SUBSTITUTE(SUBSTITUTE(SUBSTITUTE("id:"&amp;A1594,"%","%25"),"~","%7E"),"*","%2A"),"?","%3F"))</x:f>
      </x:c>
    </x:row>
    <x:row r="1595" ht="22" customHeight="1">
      <x:c r="A1595" s="3"/>
      <x:c r="B1595" s="3"/>
      <x:c r="C1595" s="3"/>
      <x:c r="D1595" s="4"/>
      <x:c r="E1595" s="4"/>
      <x:c r="F1595" s="4"/>
      <x:c r="G1595" s="5" t="str">
        <x:f>IF(COUNTA(A1595:F1595)=0,"",IF(K1595&lt;&gt;"","Review",IF(I1595&lt;0,"Overdue",IF(I1595=0,"Due now",IF(I1595&lt;=M1595,"Due soon","Not due")))))</x:f>
      </x:c>
      <x:c r="H1595" s="5" t="str">
        <x:f>IF(OR(COUNTA(A1595:F1595)=0,COUNTIFS('Rules'!$G$7:$G$26,"="&amp;(SUBSTITUTE(SUBSTITUTE(SUBSTITUTE(SUBSTITUTE("type:"&amp;B1595,"%","%25"),"~","%7E"),"*","%2A"),"?","%3F")))&lt;&gt;1),"",IF(OR(INDEX('Rules'!$B$7:$B$26,MATCH(SUBSTITUTE(SUBSTITUTE(SUBSTITUTE(SUBSTITUTE("type:"&amp;B1595,"%","%25"),"~","%7E"),"*","%2A"),"?","%3F"),'Rules'!$G$7:$G$26,0))="hours",INDEX('Rules'!$B$7:$B$26,MATCH(SUBSTITUTE(SUBSTITUTE(SUBSTITUTE(SUBSTITUTE("type:"&amp;B1595,"%","%25"),"~","%7E"),"*","%2A"),"?","%3F"),'Rules'!$G$7:$G$26,0))="km"),INDEX('Rules'!$B$7:$B$26,MATCH(SUBSTITUTE(SUBSTITUTE(SUBSTITUTE(SUBSTITUTE("type:"&amp;B1595,"%","%25"),"~","%7E"),"*","%2A"),"?","%3F"),'Rules'!$G$7:$G$26,0)),""))</x:f>
      </x:c>
      <x:c r="I1595" s="6" t="str">
        <x:f>IF(AND(NOT(COUNTA(A1595:F1595)=0),K1595=""),ROUND(J1595-D1595,3),"")</x:f>
      </x:c>
      <x:c r="J1595" s="6" t="str">
        <x:f>IF(AND(NOT(COUNTA(A1595:F1595)=0),K1595=""),ROUND(F1595+L1595,3),"")</x:f>
      </x:c>
      <x:c r="K1595" s="5" t="str">
        <x:f>IF(COUNTA(A1595:F1595)=0,"",IF(A1595="","Missing equipment ID",IF(COUNTIFS($N$8:$N$2007,"="&amp;N1595)&gt;1,"Duplicate equipment ID",IF(B1595="","Missing type",IF(COUNTIFS('Rules'!$G$7:$G$26,"="&amp;(SUBSTITUTE(SUBSTITUTE(SUBSTITUTE(SUBSTITUTE("type:"&amp;B1595,"%","%25"),"~","%7E"),"*","%2A"),"?","%3F")))=0,"Unknown type",IF(COUNTIFS('Rules'!$G$7:$G$26,"="&amp;(SUBSTITUTE(SUBSTITUTE(SUBSTITUTE(SUBSTITUTE("type:"&amp;B1595,"%","%25"),"~","%7E"),"*","%2A"),"?","%3F")))&gt;1,"Duplicate type",IF(INDEX('Rules'!$F$7:$F$26,MATCH(SUBSTITUTE(SUBSTITUTE(SUBSTITUTE(SUBSTITUTE("type:"&amp;B1595,"%","%25"),"~","%7E"),"*","%2A"),"?","%3F"),'Rules'!$G$7:$G$26,0))&lt;&gt;"",INDEX('Rules'!$F$7:$F$26,MATCH(SUBSTITUTE(SUBSTITUTE(SUBSTITUTE(SUBSTITUTE("type:"&amp;B1595,"%","%25"),"~","%7E"),"*","%2A"),"?","%3F"),'Rules'!$G$7:$G$26,0)),IF(AND(C1595&lt;&gt;"",C1595&lt;&gt;INDEX('Rules'!$B$7:$B$26,MATCH(SUBSTITUTE(SUBSTITUTE(SUBSTITUTE(SUBSTITUTE("type:"&amp;B1595,"%","%25"),"~","%7E"),"*","%2A"),"?","%3F"),'Rules'!$G$7:$G$26,0))),"Unit mismatch",IF(IF(NOT(ISNUMBER(D1595)),TRUE,OR(D1595&lt;0,D1595&gt;999999999,ROUND(D1595,3)&lt;&gt;D1595)),"Invalid current reading",IF(AND(E1595&lt;&gt;"",IF(NOT(ISNUMBER(E1595)),TRUE,OR(E1595&lt;0,E1595&gt;999999999,ROUND(E1595,3)&lt;&gt;E1595))),"Invalid previous reading",IF(IF(NOT(ISNUMBER(F1595)),TRUE,OR(F1595&lt;0,F1595&gt;999999999,ROUND(F1595,3)&lt;&gt;F1595)),"Invalid last service",IF(AND(E1595&lt;&gt;"",D1595&lt;E1595),"Decreased reading",IF(F1595&gt;D1595,"Last service above current","")))))))))))))</x:f>
      </x:c>
      <x:c r="L1595" s="6" t="str">
        <x:f>IF(AND(NOT(COUNTA(A1595:F1595)=0),K1595=""),INDEX('Rules'!$C$7:$C$26,MATCH(SUBSTITUTE(SUBSTITUTE(SUBSTITUTE(SUBSTITUTE("type:"&amp;B1595,"%","%25"),"~","%7E"),"*","%2A"),"?","%3F"),'Rules'!$G$7:$G$26,0)),"")</x:f>
      </x:c>
      <x:c r="M1595" s="6" t="str">
        <x:f>IF(AND(NOT(COUNTA(A1595:F1595)=0),K1595=""),INDEX('Rules'!$D$7:$D$26,MATCH(SUBSTITUTE(SUBSTITUTE(SUBSTITUTE(SUBSTITUTE("type:"&amp;B1595,"%","%25"),"~","%7E"),"*","%2A"),"?","%3F"),'Rules'!$G$7:$G$26,0)),"")</x:f>
      </x:c>
      <x:c r="N1595" s="5" t="str">
        <x:f>IF(COUNTA(A1595:F1595)=0,"",SUBSTITUTE(SUBSTITUTE(SUBSTITUTE(SUBSTITUTE("id:"&amp;A1595,"%","%25"),"~","%7E"),"*","%2A"),"?","%3F"))</x:f>
      </x:c>
    </x:row>
    <x:row r="1596" ht="22" customHeight="1">
      <x:c r="A1596" s="3"/>
      <x:c r="B1596" s="3"/>
      <x:c r="C1596" s="3"/>
      <x:c r="D1596" s="4"/>
      <x:c r="E1596" s="4"/>
      <x:c r="F1596" s="4"/>
      <x:c r="G1596" s="5" t="str">
        <x:f>IF(COUNTA(A1596:F1596)=0,"",IF(K1596&lt;&gt;"","Review",IF(I1596&lt;0,"Overdue",IF(I1596=0,"Due now",IF(I1596&lt;=M1596,"Due soon","Not due")))))</x:f>
      </x:c>
      <x:c r="H1596" s="5" t="str">
        <x:f>IF(OR(COUNTA(A1596:F1596)=0,COUNTIFS('Rules'!$G$7:$G$26,"="&amp;(SUBSTITUTE(SUBSTITUTE(SUBSTITUTE(SUBSTITUTE("type:"&amp;B1596,"%","%25"),"~","%7E"),"*","%2A"),"?","%3F")))&lt;&gt;1),"",IF(OR(INDEX('Rules'!$B$7:$B$26,MATCH(SUBSTITUTE(SUBSTITUTE(SUBSTITUTE(SUBSTITUTE("type:"&amp;B1596,"%","%25"),"~","%7E"),"*","%2A"),"?","%3F"),'Rules'!$G$7:$G$26,0))="hours",INDEX('Rules'!$B$7:$B$26,MATCH(SUBSTITUTE(SUBSTITUTE(SUBSTITUTE(SUBSTITUTE("type:"&amp;B1596,"%","%25"),"~","%7E"),"*","%2A"),"?","%3F"),'Rules'!$G$7:$G$26,0))="km"),INDEX('Rules'!$B$7:$B$26,MATCH(SUBSTITUTE(SUBSTITUTE(SUBSTITUTE(SUBSTITUTE("type:"&amp;B1596,"%","%25"),"~","%7E"),"*","%2A"),"?","%3F"),'Rules'!$G$7:$G$26,0)),""))</x:f>
      </x:c>
      <x:c r="I1596" s="6" t="str">
        <x:f>IF(AND(NOT(COUNTA(A1596:F1596)=0),K1596=""),ROUND(J1596-D1596,3),"")</x:f>
      </x:c>
      <x:c r="J1596" s="6" t="str">
        <x:f>IF(AND(NOT(COUNTA(A1596:F1596)=0),K1596=""),ROUND(F1596+L1596,3),"")</x:f>
      </x:c>
      <x:c r="K1596" s="5" t="str">
        <x:f>IF(COUNTA(A1596:F1596)=0,"",IF(A1596="","Missing equipment ID",IF(COUNTIFS($N$8:$N$2007,"="&amp;N1596)&gt;1,"Duplicate equipment ID",IF(B1596="","Missing type",IF(COUNTIFS('Rules'!$G$7:$G$26,"="&amp;(SUBSTITUTE(SUBSTITUTE(SUBSTITUTE(SUBSTITUTE("type:"&amp;B1596,"%","%25"),"~","%7E"),"*","%2A"),"?","%3F")))=0,"Unknown type",IF(COUNTIFS('Rules'!$G$7:$G$26,"="&amp;(SUBSTITUTE(SUBSTITUTE(SUBSTITUTE(SUBSTITUTE("type:"&amp;B1596,"%","%25"),"~","%7E"),"*","%2A"),"?","%3F")))&gt;1,"Duplicate type",IF(INDEX('Rules'!$F$7:$F$26,MATCH(SUBSTITUTE(SUBSTITUTE(SUBSTITUTE(SUBSTITUTE("type:"&amp;B1596,"%","%25"),"~","%7E"),"*","%2A"),"?","%3F"),'Rules'!$G$7:$G$26,0))&lt;&gt;"",INDEX('Rules'!$F$7:$F$26,MATCH(SUBSTITUTE(SUBSTITUTE(SUBSTITUTE(SUBSTITUTE("type:"&amp;B1596,"%","%25"),"~","%7E"),"*","%2A"),"?","%3F"),'Rules'!$G$7:$G$26,0)),IF(AND(C1596&lt;&gt;"",C1596&lt;&gt;INDEX('Rules'!$B$7:$B$26,MATCH(SUBSTITUTE(SUBSTITUTE(SUBSTITUTE(SUBSTITUTE("type:"&amp;B1596,"%","%25"),"~","%7E"),"*","%2A"),"?","%3F"),'Rules'!$G$7:$G$26,0))),"Unit mismatch",IF(IF(NOT(ISNUMBER(D1596)),TRUE,OR(D1596&lt;0,D1596&gt;999999999,ROUND(D1596,3)&lt;&gt;D1596)),"Invalid current reading",IF(AND(E1596&lt;&gt;"",IF(NOT(ISNUMBER(E1596)),TRUE,OR(E1596&lt;0,E1596&gt;999999999,ROUND(E1596,3)&lt;&gt;E1596))),"Invalid previous reading",IF(IF(NOT(ISNUMBER(F1596)),TRUE,OR(F1596&lt;0,F1596&gt;999999999,ROUND(F1596,3)&lt;&gt;F1596)),"Invalid last service",IF(AND(E1596&lt;&gt;"",D1596&lt;E1596),"Decreased reading",IF(F1596&gt;D1596,"Last service above current","")))))))))))))</x:f>
      </x:c>
      <x:c r="L1596" s="6" t="str">
        <x:f>IF(AND(NOT(COUNTA(A1596:F1596)=0),K1596=""),INDEX('Rules'!$C$7:$C$26,MATCH(SUBSTITUTE(SUBSTITUTE(SUBSTITUTE(SUBSTITUTE("type:"&amp;B1596,"%","%25"),"~","%7E"),"*","%2A"),"?","%3F"),'Rules'!$G$7:$G$26,0)),"")</x:f>
      </x:c>
      <x:c r="M1596" s="6" t="str">
        <x:f>IF(AND(NOT(COUNTA(A1596:F1596)=0),K1596=""),INDEX('Rules'!$D$7:$D$26,MATCH(SUBSTITUTE(SUBSTITUTE(SUBSTITUTE(SUBSTITUTE("type:"&amp;B1596,"%","%25"),"~","%7E"),"*","%2A"),"?","%3F"),'Rules'!$G$7:$G$26,0)),"")</x:f>
      </x:c>
      <x:c r="N1596" s="5" t="str">
        <x:f>IF(COUNTA(A1596:F1596)=0,"",SUBSTITUTE(SUBSTITUTE(SUBSTITUTE(SUBSTITUTE("id:"&amp;A1596,"%","%25"),"~","%7E"),"*","%2A"),"?","%3F"))</x:f>
      </x:c>
    </x:row>
    <x:row r="1597" ht="22" customHeight="1">
      <x:c r="A1597" s="3"/>
      <x:c r="B1597" s="3"/>
      <x:c r="C1597" s="3"/>
      <x:c r="D1597" s="4"/>
      <x:c r="E1597" s="4"/>
      <x:c r="F1597" s="4"/>
      <x:c r="G1597" s="5" t="str">
        <x:f>IF(COUNTA(A1597:F1597)=0,"",IF(K1597&lt;&gt;"","Review",IF(I1597&lt;0,"Overdue",IF(I1597=0,"Due now",IF(I1597&lt;=M1597,"Due soon","Not due")))))</x:f>
      </x:c>
      <x:c r="H1597" s="5" t="str">
        <x:f>IF(OR(COUNTA(A1597:F1597)=0,COUNTIFS('Rules'!$G$7:$G$26,"="&amp;(SUBSTITUTE(SUBSTITUTE(SUBSTITUTE(SUBSTITUTE("type:"&amp;B1597,"%","%25"),"~","%7E"),"*","%2A"),"?","%3F")))&lt;&gt;1),"",IF(OR(INDEX('Rules'!$B$7:$B$26,MATCH(SUBSTITUTE(SUBSTITUTE(SUBSTITUTE(SUBSTITUTE("type:"&amp;B1597,"%","%25"),"~","%7E"),"*","%2A"),"?","%3F"),'Rules'!$G$7:$G$26,0))="hours",INDEX('Rules'!$B$7:$B$26,MATCH(SUBSTITUTE(SUBSTITUTE(SUBSTITUTE(SUBSTITUTE("type:"&amp;B1597,"%","%25"),"~","%7E"),"*","%2A"),"?","%3F"),'Rules'!$G$7:$G$26,0))="km"),INDEX('Rules'!$B$7:$B$26,MATCH(SUBSTITUTE(SUBSTITUTE(SUBSTITUTE(SUBSTITUTE("type:"&amp;B1597,"%","%25"),"~","%7E"),"*","%2A"),"?","%3F"),'Rules'!$G$7:$G$26,0)),""))</x:f>
      </x:c>
      <x:c r="I1597" s="6" t="str">
        <x:f>IF(AND(NOT(COUNTA(A1597:F1597)=0),K1597=""),ROUND(J1597-D1597,3),"")</x:f>
      </x:c>
      <x:c r="J1597" s="6" t="str">
        <x:f>IF(AND(NOT(COUNTA(A1597:F1597)=0),K1597=""),ROUND(F1597+L1597,3),"")</x:f>
      </x:c>
      <x:c r="K1597" s="5" t="str">
        <x:f>IF(COUNTA(A1597:F1597)=0,"",IF(A1597="","Missing equipment ID",IF(COUNTIFS($N$8:$N$2007,"="&amp;N1597)&gt;1,"Duplicate equipment ID",IF(B1597="","Missing type",IF(COUNTIFS('Rules'!$G$7:$G$26,"="&amp;(SUBSTITUTE(SUBSTITUTE(SUBSTITUTE(SUBSTITUTE("type:"&amp;B1597,"%","%25"),"~","%7E"),"*","%2A"),"?","%3F")))=0,"Unknown type",IF(COUNTIFS('Rules'!$G$7:$G$26,"="&amp;(SUBSTITUTE(SUBSTITUTE(SUBSTITUTE(SUBSTITUTE("type:"&amp;B1597,"%","%25"),"~","%7E"),"*","%2A"),"?","%3F")))&gt;1,"Duplicate type",IF(INDEX('Rules'!$F$7:$F$26,MATCH(SUBSTITUTE(SUBSTITUTE(SUBSTITUTE(SUBSTITUTE("type:"&amp;B1597,"%","%25"),"~","%7E"),"*","%2A"),"?","%3F"),'Rules'!$G$7:$G$26,0))&lt;&gt;"",INDEX('Rules'!$F$7:$F$26,MATCH(SUBSTITUTE(SUBSTITUTE(SUBSTITUTE(SUBSTITUTE("type:"&amp;B1597,"%","%25"),"~","%7E"),"*","%2A"),"?","%3F"),'Rules'!$G$7:$G$26,0)),IF(AND(C1597&lt;&gt;"",C1597&lt;&gt;INDEX('Rules'!$B$7:$B$26,MATCH(SUBSTITUTE(SUBSTITUTE(SUBSTITUTE(SUBSTITUTE("type:"&amp;B1597,"%","%25"),"~","%7E"),"*","%2A"),"?","%3F"),'Rules'!$G$7:$G$26,0))),"Unit mismatch",IF(IF(NOT(ISNUMBER(D1597)),TRUE,OR(D1597&lt;0,D1597&gt;999999999,ROUND(D1597,3)&lt;&gt;D1597)),"Invalid current reading",IF(AND(E1597&lt;&gt;"",IF(NOT(ISNUMBER(E1597)),TRUE,OR(E1597&lt;0,E1597&gt;999999999,ROUND(E1597,3)&lt;&gt;E1597))),"Invalid previous reading",IF(IF(NOT(ISNUMBER(F1597)),TRUE,OR(F1597&lt;0,F1597&gt;999999999,ROUND(F1597,3)&lt;&gt;F1597)),"Invalid last service",IF(AND(E1597&lt;&gt;"",D1597&lt;E1597),"Decreased reading",IF(F1597&gt;D1597,"Last service above current","")))))))))))))</x:f>
      </x:c>
      <x:c r="L1597" s="6" t="str">
        <x:f>IF(AND(NOT(COUNTA(A1597:F1597)=0),K1597=""),INDEX('Rules'!$C$7:$C$26,MATCH(SUBSTITUTE(SUBSTITUTE(SUBSTITUTE(SUBSTITUTE("type:"&amp;B1597,"%","%25"),"~","%7E"),"*","%2A"),"?","%3F"),'Rules'!$G$7:$G$26,0)),"")</x:f>
      </x:c>
      <x:c r="M1597" s="6" t="str">
        <x:f>IF(AND(NOT(COUNTA(A1597:F1597)=0),K1597=""),INDEX('Rules'!$D$7:$D$26,MATCH(SUBSTITUTE(SUBSTITUTE(SUBSTITUTE(SUBSTITUTE("type:"&amp;B1597,"%","%25"),"~","%7E"),"*","%2A"),"?","%3F"),'Rules'!$G$7:$G$26,0)),"")</x:f>
      </x:c>
      <x:c r="N1597" s="5" t="str">
        <x:f>IF(COUNTA(A1597:F1597)=0,"",SUBSTITUTE(SUBSTITUTE(SUBSTITUTE(SUBSTITUTE("id:"&amp;A1597,"%","%25"),"~","%7E"),"*","%2A"),"?","%3F"))</x:f>
      </x:c>
    </x:row>
    <x:row r="1598" ht="22" customHeight="1">
      <x:c r="A1598" s="3"/>
      <x:c r="B1598" s="3"/>
      <x:c r="C1598" s="3"/>
      <x:c r="D1598" s="4"/>
      <x:c r="E1598" s="4"/>
      <x:c r="F1598" s="4"/>
      <x:c r="G1598" s="5" t="str">
        <x:f>IF(COUNTA(A1598:F1598)=0,"",IF(K1598&lt;&gt;"","Review",IF(I1598&lt;0,"Overdue",IF(I1598=0,"Due now",IF(I1598&lt;=M1598,"Due soon","Not due")))))</x:f>
      </x:c>
      <x:c r="H1598" s="5" t="str">
        <x:f>IF(OR(COUNTA(A1598:F1598)=0,COUNTIFS('Rules'!$G$7:$G$26,"="&amp;(SUBSTITUTE(SUBSTITUTE(SUBSTITUTE(SUBSTITUTE("type:"&amp;B1598,"%","%25"),"~","%7E"),"*","%2A"),"?","%3F")))&lt;&gt;1),"",IF(OR(INDEX('Rules'!$B$7:$B$26,MATCH(SUBSTITUTE(SUBSTITUTE(SUBSTITUTE(SUBSTITUTE("type:"&amp;B1598,"%","%25"),"~","%7E"),"*","%2A"),"?","%3F"),'Rules'!$G$7:$G$26,0))="hours",INDEX('Rules'!$B$7:$B$26,MATCH(SUBSTITUTE(SUBSTITUTE(SUBSTITUTE(SUBSTITUTE("type:"&amp;B1598,"%","%25"),"~","%7E"),"*","%2A"),"?","%3F"),'Rules'!$G$7:$G$26,0))="km"),INDEX('Rules'!$B$7:$B$26,MATCH(SUBSTITUTE(SUBSTITUTE(SUBSTITUTE(SUBSTITUTE("type:"&amp;B1598,"%","%25"),"~","%7E"),"*","%2A"),"?","%3F"),'Rules'!$G$7:$G$26,0)),""))</x:f>
      </x:c>
      <x:c r="I1598" s="6" t="str">
        <x:f>IF(AND(NOT(COUNTA(A1598:F1598)=0),K1598=""),ROUND(J1598-D1598,3),"")</x:f>
      </x:c>
      <x:c r="J1598" s="6" t="str">
        <x:f>IF(AND(NOT(COUNTA(A1598:F1598)=0),K1598=""),ROUND(F1598+L1598,3),"")</x:f>
      </x:c>
      <x:c r="K1598" s="5" t="str">
        <x:f>IF(COUNTA(A1598:F1598)=0,"",IF(A1598="","Missing equipment ID",IF(COUNTIFS($N$8:$N$2007,"="&amp;N1598)&gt;1,"Duplicate equipment ID",IF(B1598="","Missing type",IF(COUNTIFS('Rules'!$G$7:$G$26,"="&amp;(SUBSTITUTE(SUBSTITUTE(SUBSTITUTE(SUBSTITUTE("type:"&amp;B1598,"%","%25"),"~","%7E"),"*","%2A"),"?","%3F")))=0,"Unknown type",IF(COUNTIFS('Rules'!$G$7:$G$26,"="&amp;(SUBSTITUTE(SUBSTITUTE(SUBSTITUTE(SUBSTITUTE("type:"&amp;B1598,"%","%25"),"~","%7E"),"*","%2A"),"?","%3F")))&gt;1,"Duplicate type",IF(INDEX('Rules'!$F$7:$F$26,MATCH(SUBSTITUTE(SUBSTITUTE(SUBSTITUTE(SUBSTITUTE("type:"&amp;B1598,"%","%25"),"~","%7E"),"*","%2A"),"?","%3F"),'Rules'!$G$7:$G$26,0))&lt;&gt;"",INDEX('Rules'!$F$7:$F$26,MATCH(SUBSTITUTE(SUBSTITUTE(SUBSTITUTE(SUBSTITUTE("type:"&amp;B1598,"%","%25"),"~","%7E"),"*","%2A"),"?","%3F"),'Rules'!$G$7:$G$26,0)),IF(AND(C1598&lt;&gt;"",C1598&lt;&gt;INDEX('Rules'!$B$7:$B$26,MATCH(SUBSTITUTE(SUBSTITUTE(SUBSTITUTE(SUBSTITUTE("type:"&amp;B1598,"%","%25"),"~","%7E"),"*","%2A"),"?","%3F"),'Rules'!$G$7:$G$26,0))),"Unit mismatch",IF(IF(NOT(ISNUMBER(D1598)),TRUE,OR(D1598&lt;0,D1598&gt;999999999,ROUND(D1598,3)&lt;&gt;D1598)),"Invalid current reading",IF(AND(E1598&lt;&gt;"",IF(NOT(ISNUMBER(E1598)),TRUE,OR(E1598&lt;0,E1598&gt;999999999,ROUND(E1598,3)&lt;&gt;E1598))),"Invalid previous reading",IF(IF(NOT(ISNUMBER(F1598)),TRUE,OR(F1598&lt;0,F1598&gt;999999999,ROUND(F1598,3)&lt;&gt;F1598)),"Invalid last service",IF(AND(E1598&lt;&gt;"",D1598&lt;E1598),"Decreased reading",IF(F1598&gt;D1598,"Last service above current","")))))))))))))</x:f>
      </x:c>
      <x:c r="L1598" s="6" t="str">
        <x:f>IF(AND(NOT(COUNTA(A1598:F1598)=0),K1598=""),INDEX('Rules'!$C$7:$C$26,MATCH(SUBSTITUTE(SUBSTITUTE(SUBSTITUTE(SUBSTITUTE("type:"&amp;B1598,"%","%25"),"~","%7E"),"*","%2A"),"?","%3F"),'Rules'!$G$7:$G$26,0)),"")</x:f>
      </x:c>
      <x:c r="M1598" s="6" t="str">
        <x:f>IF(AND(NOT(COUNTA(A1598:F1598)=0),K1598=""),INDEX('Rules'!$D$7:$D$26,MATCH(SUBSTITUTE(SUBSTITUTE(SUBSTITUTE(SUBSTITUTE("type:"&amp;B1598,"%","%25"),"~","%7E"),"*","%2A"),"?","%3F"),'Rules'!$G$7:$G$26,0)),"")</x:f>
      </x:c>
      <x:c r="N1598" s="5" t="str">
        <x:f>IF(COUNTA(A1598:F1598)=0,"",SUBSTITUTE(SUBSTITUTE(SUBSTITUTE(SUBSTITUTE("id:"&amp;A1598,"%","%25"),"~","%7E"),"*","%2A"),"?","%3F"))</x:f>
      </x:c>
    </x:row>
    <x:row r="1599" ht="22" customHeight="1">
      <x:c r="A1599" s="3"/>
      <x:c r="B1599" s="3"/>
      <x:c r="C1599" s="3"/>
      <x:c r="D1599" s="4"/>
      <x:c r="E1599" s="4"/>
      <x:c r="F1599" s="4"/>
      <x:c r="G1599" s="5" t="str">
        <x:f>IF(COUNTA(A1599:F1599)=0,"",IF(K1599&lt;&gt;"","Review",IF(I1599&lt;0,"Overdue",IF(I1599=0,"Due now",IF(I1599&lt;=M1599,"Due soon","Not due")))))</x:f>
      </x:c>
      <x:c r="H1599" s="5" t="str">
        <x:f>IF(OR(COUNTA(A1599:F1599)=0,COUNTIFS('Rules'!$G$7:$G$26,"="&amp;(SUBSTITUTE(SUBSTITUTE(SUBSTITUTE(SUBSTITUTE("type:"&amp;B1599,"%","%25"),"~","%7E"),"*","%2A"),"?","%3F")))&lt;&gt;1),"",IF(OR(INDEX('Rules'!$B$7:$B$26,MATCH(SUBSTITUTE(SUBSTITUTE(SUBSTITUTE(SUBSTITUTE("type:"&amp;B1599,"%","%25"),"~","%7E"),"*","%2A"),"?","%3F"),'Rules'!$G$7:$G$26,0))="hours",INDEX('Rules'!$B$7:$B$26,MATCH(SUBSTITUTE(SUBSTITUTE(SUBSTITUTE(SUBSTITUTE("type:"&amp;B1599,"%","%25"),"~","%7E"),"*","%2A"),"?","%3F"),'Rules'!$G$7:$G$26,0))="km"),INDEX('Rules'!$B$7:$B$26,MATCH(SUBSTITUTE(SUBSTITUTE(SUBSTITUTE(SUBSTITUTE("type:"&amp;B1599,"%","%25"),"~","%7E"),"*","%2A"),"?","%3F"),'Rules'!$G$7:$G$26,0)),""))</x:f>
      </x:c>
      <x:c r="I1599" s="6" t="str">
        <x:f>IF(AND(NOT(COUNTA(A1599:F1599)=0),K1599=""),ROUND(J1599-D1599,3),"")</x:f>
      </x:c>
      <x:c r="J1599" s="6" t="str">
        <x:f>IF(AND(NOT(COUNTA(A1599:F1599)=0),K1599=""),ROUND(F1599+L1599,3),"")</x:f>
      </x:c>
      <x:c r="K1599" s="5" t="str">
        <x:f>IF(COUNTA(A1599:F1599)=0,"",IF(A1599="","Missing equipment ID",IF(COUNTIFS($N$8:$N$2007,"="&amp;N1599)&gt;1,"Duplicate equipment ID",IF(B1599="","Missing type",IF(COUNTIFS('Rules'!$G$7:$G$26,"="&amp;(SUBSTITUTE(SUBSTITUTE(SUBSTITUTE(SUBSTITUTE("type:"&amp;B1599,"%","%25"),"~","%7E"),"*","%2A"),"?","%3F")))=0,"Unknown type",IF(COUNTIFS('Rules'!$G$7:$G$26,"="&amp;(SUBSTITUTE(SUBSTITUTE(SUBSTITUTE(SUBSTITUTE("type:"&amp;B1599,"%","%25"),"~","%7E"),"*","%2A"),"?","%3F")))&gt;1,"Duplicate type",IF(INDEX('Rules'!$F$7:$F$26,MATCH(SUBSTITUTE(SUBSTITUTE(SUBSTITUTE(SUBSTITUTE("type:"&amp;B1599,"%","%25"),"~","%7E"),"*","%2A"),"?","%3F"),'Rules'!$G$7:$G$26,0))&lt;&gt;"",INDEX('Rules'!$F$7:$F$26,MATCH(SUBSTITUTE(SUBSTITUTE(SUBSTITUTE(SUBSTITUTE("type:"&amp;B1599,"%","%25"),"~","%7E"),"*","%2A"),"?","%3F"),'Rules'!$G$7:$G$26,0)),IF(AND(C1599&lt;&gt;"",C1599&lt;&gt;INDEX('Rules'!$B$7:$B$26,MATCH(SUBSTITUTE(SUBSTITUTE(SUBSTITUTE(SUBSTITUTE("type:"&amp;B1599,"%","%25"),"~","%7E"),"*","%2A"),"?","%3F"),'Rules'!$G$7:$G$26,0))),"Unit mismatch",IF(IF(NOT(ISNUMBER(D1599)),TRUE,OR(D1599&lt;0,D1599&gt;999999999,ROUND(D1599,3)&lt;&gt;D1599)),"Invalid current reading",IF(AND(E1599&lt;&gt;"",IF(NOT(ISNUMBER(E1599)),TRUE,OR(E1599&lt;0,E1599&gt;999999999,ROUND(E1599,3)&lt;&gt;E1599))),"Invalid previous reading",IF(IF(NOT(ISNUMBER(F1599)),TRUE,OR(F1599&lt;0,F1599&gt;999999999,ROUND(F1599,3)&lt;&gt;F1599)),"Invalid last service",IF(AND(E1599&lt;&gt;"",D1599&lt;E1599),"Decreased reading",IF(F1599&gt;D1599,"Last service above current","")))))))))))))</x:f>
      </x:c>
      <x:c r="L1599" s="6" t="str">
        <x:f>IF(AND(NOT(COUNTA(A1599:F1599)=0),K1599=""),INDEX('Rules'!$C$7:$C$26,MATCH(SUBSTITUTE(SUBSTITUTE(SUBSTITUTE(SUBSTITUTE("type:"&amp;B1599,"%","%25"),"~","%7E"),"*","%2A"),"?","%3F"),'Rules'!$G$7:$G$26,0)),"")</x:f>
      </x:c>
      <x:c r="M1599" s="6" t="str">
        <x:f>IF(AND(NOT(COUNTA(A1599:F1599)=0),K1599=""),INDEX('Rules'!$D$7:$D$26,MATCH(SUBSTITUTE(SUBSTITUTE(SUBSTITUTE(SUBSTITUTE("type:"&amp;B1599,"%","%25"),"~","%7E"),"*","%2A"),"?","%3F"),'Rules'!$G$7:$G$26,0)),"")</x:f>
      </x:c>
      <x:c r="N1599" s="5" t="str">
        <x:f>IF(COUNTA(A1599:F1599)=0,"",SUBSTITUTE(SUBSTITUTE(SUBSTITUTE(SUBSTITUTE("id:"&amp;A1599,"%","%25"),"~","%7E"),"*","%2A"),"?","%3F"))</x:f>
      </x:c>
    </x:row>
    <x:row r="1600" ht="22" customHeight="1">
      <x:c r="A1600" s="3"/>
      <x:c r="B1600" s="3"/>
      <x:c r="C1600" s="3"/>
      <x:c r="D1600" s="4"/>
      <x:c r="E1600" s="4"/>
      <x:c r="F1600" s="4"/>
      <x:c r="G1600" s="5" t="str">
        <x:f>IF(COUNTA(A1600:F1600)=0,"",IF(K1600&lt;&gt;"","Review",IF(I1600&lt;0,"Overdue",IF(I1600=0,"Due now",IF(I1600&lt;=M1600,"Due soon","Not due")))))</x:f>
      </x:c>
      <x:c r="H1600" s="5" t="str">
        <x:f>IF(OR(COUNTA(A1600:F1600)=0,COUNTIFS('Rules'!$G$7:$G$26,"="&amp;(SUBSTITUTE(SUBSTITUTE(SUBSTITUTE(SUBSTITUTE("type:"&amp;B1600,"%","%25"),"~","%7E"),"*","%2A"),"?","%3F")))&lt;&gt;1),"",IF(OR(INDEX('Rules'!$B$7:$B$26,MATCH(SUBSTITUTE(SUBSTITUTE(SUBSTITUTE(SUBSTITUTE("type:"&amp;B1600,"%","%25"),"~","%7E"),"*","%2A"),"?","%3F"),'Rules'!$G$7:$G$26,0))="hours",INDEX('Rules'!$B$7:$B$26,MATCH(SUBSTITUTE(SUBSTITUTE(SUBSTITUTE(SUBSTITUTE("type:"&amp;B1600,"%","%25"),"~","%7E"),"*","%2A"),"?","%3F"),'Rules'!$G$7:$G$26,0))="km"),INDEX('Rules'!$B$7:$B$26,MATCH(SUBSTITUTE(SUBSTITUTE(SUBSTITUTE(SUBSTITUTE("type:"&amp;B1600,"%","%25"),"~","%7E"),"*","%2A"),"?","%3F"),'Rules'!$G$7:$G$26,0)),""))</x:f>
      </x:c>
      <x:c r="I1600" s="6" t="str">
        <x:f>IF(AND(NOT(COUNTA(A1600:F1600)=0),K1600=""),ROUND(J1600-D1600,3),"")</x:f>
      </x:c>
      <x:c r="J1600" s="6" t="str">
        <x:f>IF(AND(NOT(COUNTA(A1600:F1600)=0),K1600=""),ROUND(F1600+L1600,3),"")</x:f>
      </x:c>
      <x:c r="K1600" s="5" t="str">
        <x:f>IF(COUNTA(A1600:F1600)=0,"",IF(A1600="","Missing equipment ID",IF(COUNTIFS($N$8:$N$2007,"="&amp;N1600)&gt;1,"Duplicate equipment ID",IF(B1600="","Missing type",IF(COUNTIFS('Rules'!$G$7:$G$26,"="&amp;(SUBSTITUTE(SUBSTITUTE(SUBSTITUTE(SUBSTITUTE("type:"&amp;B1600,"%","%25"),"~","%7E"),"*","%2A"),"?","%3F")))=0,"Unknown type",IF(COUNTIFS('Rules'!$G$7:$G$26,"="&amp;(SUBSTITUTE(SUBSTITUTE(SUBSTITUTE(SUBSTITUTE("type:"&amp;B1600,"%","%25"),"~","%7E"),"*","%2A"),"?","%3F")))&gt;1,"Duplicate type",IF(INDEX('Rules'!$F$7:$F$26,MATCH(SUBSTITUTE(SUBSTITUTE(SUBSTITUTE(SUBSTITUTE("type:"&amp;B1600,"%","%25"),"~","%7E"),"*","%2A"),"?","%3F"),'Rules'!$G$7:$G$26,0))&lt;&gt;"",INDEX('Rules'!$F$7:$F$26,MATCH(SUBSTITUTE(SUBSTITUTE(SUBSTITUTE(SUBSTITUTE("type:"&amp;B1600,"%","%25"),"~","%7E"),"*","%2A"),"?","%3F"),'Rules'!$G$7:$G$26,0)),IF(AND(C1600&lt;&gt;"",C1600&lt;&gt;INDEX('Rules'!$B$7:$B$26,MATCH(SUBSTITUTE(SUBSTITUTE(SUBSTITUTE(SUBSTITUTE("type:"&amp;B1600,"%","%25"),"~","%7E"),"*","%2A"),"?","%3F"),'Rules'!$G$7:$G$26,0))),"Unit mismatch",IF(IF(NOT(ISNUMBER(D1600)),TRUE,OR(D1600&lt;0,D1600&gt;999999999,ROUND(D1600,3)&lt;&gt;D1600)),"Invalid current reading",IF(AND(E1600&lt;&gt;"",IF(NOT(ISNUMBER(E1600)),TRUE,OR(E1600&lt;0,E1600&gt;999999999,ROUND(E1600,3)&lt;&gt;E1600))),"Invalid previous reading",IF(IF(NOT(ISNUMBER(F1600)),TRUE,OR(F1600&lt;0,F1600&gt;999999999,ROUND(F1600,3)&lt;&gt;F1600)),"Invalid last service",IF(AND(E1600&lt;&gt;"",D1600&lt;E1600),"Decreased reading",IF(F1600&gt;D1600,"Last service above current","")))))))))))))</x:f>
      </x:c>
      <x:c r="L1600" s="6" t="str">
        <x:f>IF(AND(NOT(COUNTA(A1600:F1600)=0),K1600=""),INDEX('Rules'!$C$7:$C$26,MATCH(SUBSTITUTE(SUBSTITUTE(SUBSTITUTE(SUBSTITUTE("type:"&amp;B1600,"%","%25"),"~","%7E"),"*","%2A"),"?","%3F"),'Rules'!$G$7:$G$26,0)),"")</x:f>
      </x:c>
      <x:c r="M1600" s="6" t="str">
        <x:f>IF(AND(NOT(COUNTA(A1600:F1600)=0),K1600=""),INDEX('Rules'!$D$7:$D$26,MATCH(SUBSTITUTE(SUBSTITUTE(SUBSTITUTE(SUBSTITUTE("type:"&amp;B1600,"%","%25"),"~","%7E"),"*","%2A"),"?","%3F"),'Rules'!$G$7:$G$26,0)),"")</x:f>
      </x:c>
      <x:c r="N1600" s="5" t="str">
        <x:f>IF(COUNTA(A1600:F1600)=0,"",SUBSTITUTE(SUBSTITUTE(SUBSTITUTE(SUBSTITUTE("id:"&amp;A1600,"%","%25"),"~","%7E"),"*","%2A"),"?","%3F"))</x:f>
      </x:c>
    </x:row>
    <x:row r="1601" ht="22" customHeight="1">
      <x:c r="A1601" s="3"/>
      <x:c r="B1601" s="3"/>
      <x:c r="C1601" s="3"/>
      <x:c r="D1601" s="4"/>
      <x:c r="E1601" s="4"/>
      <x:c r="F1601" s="4"/>
      <x:c r="G1601" s="5" t="str">
        <x:f>IF(COUNTA(A1601:F1601)=0,"",IF(K1601&lt;&gt;"","Review",IF(I1601&lt;0,"Overdue",IF(I1601=0,"Due now",IF(I1601&lt;=M1601,"Due soon","Not due")))))</x:f>
      </x:c>
      <x:c r="H1601" s="5" t="str">
        <x:f>IF(OR(COUNTA(A1601:F1601)=0,COUNTIFS('Rules'!$G$7:$G$26,"="&amp;(SUBSTITUTE(SUBSTITUTE(SUBSTITUTE(SUBSTITUTE("type:"&amp;B1601,"%","%25"),"~","%7E"),"*","%2A"),"?","%3F")))&lt;&gt;1),"",IF(OR(INDEX('Rules'!$B$7:$B$26,MATCH(SUBSTITUTE(SUBSTITUTE(SUBSTITUTE(SUBSTITUTE("type:"&amp;B1601,"%","%25"),"~","%7E"),"*","%2A"),"?","%3F"),'Rules'!$G$7:$G$26,0))="hours",INDEX('Rules'!$B$7:$B$26,MATCH(SUBSTITUTE(SUBSTITUTE(SUBSTITUTE(SUBSTITUTE("type:"&amp;B1601,"%","%25"),"~","%7E"),"*","%2A"),"?","%3F"),'Rules'!$G$7:$G$26,0))="km"),INDEX('Rules'!$B$7:$B$26,MATCH(SUBSTITUTE(SUBSTITUTE(SUBSTITUTE(SUBSTITUTE("type:"&amp;B1601,"%","%25"),"~","%7E"),"*","%2A"),"?","%3F"),'Rules'!$G$7:$G$26,0)),""))</x:f>
      </x:c>
      <x:c r="I1601" s="6" t="str">
        <x:f>IF(AND(NOT(COUNTA(A1601:F1601)=0),K1601=""),ROUND(J1601-D1601,3),"")</x:f>
      </x:c>
      <x:c r="J1601" s="6" t="str">
        <x:f>IF(AND(NOT(COUNTA(A1601:F1601)=0),K1601=""),ROUND(F1601+L1601,3),"")</x:f>
      </x:c>
      <x:c r="K1601" s="5" t="str">
        <x:f>IF(COUNTA(A1601:F1601)=0,"",IF(A1601="","Missing equipment ID",IF(COUNTIFS($N$8:$N$2007,"="&amp;N1601)&gt;1,"Duplicate equipment ID",IF(B1601="","Missing type",IF(COUNTIFS('Rules'!$G$7:$G$26,"="&amp;(SUBSTITUTE(SUBSTITUTE(SUBSTITUTE(SUBSTITUTE("type:"&amp;B1601,"%","%25"),"~","%7E"),"*","%2A"),"?","%3F")))=0,"Unknown type",IF(COUNTIFS('Rules'!$G$7:$G$26,"="&amp;(SUBSTITUTE(SUBSTITUTE(SUBSTITUTE(SUBSTITUTE("type:"&amp;B1601,"%","%25"),"~","%7E"),"*","%2A"),"?","%3F")))&gt;1,"Duplicate type",IF(INDEX('Rules'!$F$7:$F$26,MATCH(SUBSTITUTE(SUBSTITUTE(SUBSTITUTE(SUBSTITUTE("type:"&amp;B1601,"%","%25"),"~","%7E"),"*","%2A"),"?","%3F"),'Rules'!$G$7:$G$26,0))&lt;&gt;"",INDEX('Rules'!$F$7:$F$26,MATCH(SUBSTITUTE(SUBSTITUTE(SUBSTITUTE(SUBSTITUTE("type:"&amp;B1601,"%","%25"),"~","%7E"),"*","%2A"),"?","%3F"),'Rules'!$G$7:$G$26,0)),IF(AND(C1601&lt;&gt;"",C1601&lt;&gt;INDEX('Rules'!$B$7:$B$26,MATCH(SUBSTITUTE(SUBSTITUTE(SUBSTITUTE(SUBSTITUTE("type:"&amp;B1601,"%","%25"),"~","%7E"),"*","%2A"),"?","%3F"),'Rules'!$G$7:$G$26,0))),"Unit mismatch",IF(IF(NOT(ISNUMBER(D1601)),TRUE,OR(D1601&lt;0,D1601&gt;999999999,ROUND(D1601,3)&lt;&gt;D1601)),"Invalid current reading",IF(AND(E1601&lt;&gt;"",IF(NOT(ISNUMBER(E1601)),TRUE,OR(E1601&lt;0,E1601&gt;999999999,ROUND(E1601,3)&lt;&gt;E1601))),"Invalid previous reading",IF(IF(NOT(ISNUMBER(F1601)),TRUE,OR(F1601&lt;0,F1601&gt;999999999,ROUND(F1601,3)&lt;&gt;F1601)),"Invalid last service",IF(AND(E1601&lt;&gt;"",D1601&lt;E1601),"Decreased reading",IF(F1601&gt;D1601,"Last service above current","")))))))))))))</x:f>
      </x:c>
      <x:c r="L1601" s="6" t="str">
        <x:f>IF(AND(NOT(COUNTA(A1601:F1601)=0),K1601=""),INDEX('Rules'!$C$7:$C$26,MATCH(SUBSTITUTE(SUBSTITUTE(SUBSTITUTE(SUBSTITUTE("type:"&amp;B1601,"%","%25"),"~","%7E"),"*","%2A"),"?","%3F"),'Rules'!$G$7:$G$26,0)),"")</x:f>
      </x:c>
      <x:c r="M1601" s="6" t="str">
        <x:f>IF(AND(NOT(COUNTA(A1601:F1601)=0),K1601=""),INDEX('Rules'!$D$7:$D$26,MATCH(SUBSTITUTE(SUBSTITUTE(SUBSTITUTE(SUBSTITUTE("type:"&amp;B1601,"%","%25"),"~","%7E"),"*","%2A"),"?","%3F"),'Rules'!$G$7:$G$26,0)),"")</x:f>
      </x:c>
      <x:c r="N1601" s="5" t="str">
        <x:f>IF(COUNTA(A1601:F1601)=0,"",SUBSTITUTE(SUBSTITUTE(SUBSTITUTE(SUBSTITUTE("id:"&amp;A1601,"%","%25"),"~","%7E"),"*","%2A"),"?","%3F"))</x:f>
      </x:c>
    </x:row>
    <x:row r="1602" ht="22" customHeight="1">
      <x:c r="A1602" s="3"/>
      <x:c r="B1602" s="3"/>
      <x:c r="C1602" s="3"/>
      <x:c r="D1602" s="4"/>
      <x:c r="E1602" s="4"/>
      <x:c r="F1602" s="4"/>
      <x:c r="G1602" s="5" t="str">
        <x:f>IF(COUNTA(A1602:F1602)=0,"",IF(K1602&lt;&gt;"","Review",IF(I1602&lt;0,"Overdue",IF(I1602=0,"Due now",IF(I1602&lt;=M1602,"Due soon","Not due")))))</x:f>
      </x:c>
      <x:c r="H1602" s="5" t="str">
        <x:f>IF(OR(COUNTA(A1602:F1602)=0,COUNTIFS('Rules'!$G$7:$G$26,"="&amp;(SUBSTITUTE(SUBSTITUTE(SUBSTITUTE(SUBSTITUTE("type:"&amp;B1602,"%","%25"),"~","%7E"),"*","%2A"),"?","%3F")))&lt;&gt;1),"",IF(OR(INDEX('Rules'!$B$7:$B$26,MATCH(SUBSTITUTE(SUBSTITUTE(SUBSTITUTE(SUBSTITUTE("type:"&amp;B1602,"%","%25"),"~","%7E"),"*","%2A"),"?","%3F"),'Rules'!$G$7:$G$26,0))="hours",INDEX('Rules'!$B$7:$B$26,MATCH(SUBSTITUTE(SUBSTITUTE(SUBSTITUTE(SUBSTITUTE("type:"&amp;B1602,"%","%25"),"~","%7E"),"*","%2A"),"?","%3F"),'Rules'!$G$7:$G$26,0))="km"),INDEX('Rules'!$B$7:$B$26,MATCH(SUBSTITUTE(SUBSTITUTE(SUBSTITUTE(SUBSTITUTE("type:"&amp;B1602,"%","%25"),"~","%7E"),"*","%2A"),"?","%3F"),'Rules'!$G$7:$G$26,0)),""))</x:f>
      </x:c>
      <x:c r="I1602" s="6" t="str">
        <x:f>IF(AND(NOT(COUNTA(A1602:F1602)=0),K1602=""),ROUND(J1602-D1602,3),"")</x:f>
      </x:c>
      <x:c r="J1602" s="6" t="str">
        <x:f>IF(AND(NOT(COUNTA(A1602:F1602)=0),K1602=""),ROUND(F1602+L1602,3),"")</x:f>
      </x:c>
      <x:c r="K1602" s="5" t="str">
        <x:f>IF(COUNTA(A1602:F1602)=0,"",IF(A1602="","Missing equipment ID",IF(COUNTIFS($N$8:$N$2007,"="&amp;N1602)&gt;1,"Duplicate equipment ID",IF(B1602="","Missing type",IF(COUNTIFS('Rules'!$G$7:$G$26,"="&amp;(SUBSTITUTE(SUBSTITUTE(SUBSTITUTE(SUBSTITUTE("type:"&amp;B1602,"%","%25"),"~","%7E"),"*","%2A"),"?","%3F")))=0,"Unknown type",IF(COUNTIFS('Rules'!$G$7:$G$26,"="&amp;(SUBSTITUTE(SUBSTITUTE(SUBSTITUTE(SUBSTITUTE("type:"&amp;B1602,"%","%25"),"~","%7E"),"*","%2A"),"?","%3F")))&gt;1,"Duplicate type",IF(INDEX('Rules'!$F$7:$F$26,MATCH(SUBSTITUTE(SUBSTITUTE(SUBSTITUTE(SUBSTITUTE("type:"&amp;B1602,"%","%25"),"~","%7E"),"*","%2A"),"?","%3F"),'Rules'!$G$7:$G$26,0))&lt;&gt;"",INDEX('Rules'!$F$7:$F$26,MATCH(SUBSTITUTE(SUBSTITUTE(SUBSTITUTE(SUBSTITUTE("type:"&amp;B1602,"%","%25"),"~","%7E"),"*","%2A"),"?","%3F"),'Rules'!$G$7:$G$26,0)),IF(AND(C1602&lt;&gt;"",C1602&lt;&gt;INDEX('Rules'!$B$7:$B$26,MATCH(SUBSTITUTE(SUBSTITUTE(SUBSTITUTE(SUBSTITUTE("type:"&amp;B1602,"%","%25"),"~","%7E"),"*","%2A"),"?","%3F"),'Rules'!$G$7:$G$26,0))),"Unit mismatch",IF(IF(NOT(ISNUMBER(D1602)),TRUE,OR(D1602&lt;0,D1602&gt;999999999,ROUND(D1602,3)&lt;&gt;D1602)),"Invalid current reading",IF(AND(E1602&lt;&gt;"",IF(NOT(ISNUMBER(E1602)),TRUE,OR(E1602&lt;0,E1602&gt;999999999,ROUND(E1602,3)&lt;&gt;E1602))),"Invalid previous reading",IF(IF(NOT(ISNUMBER(F1602)),TRUE,OR(F1602&lt;0,F1602&gt;999999999,ROUND(F1602,3)&lt;&gt;F1602)),"Invalid last service",IF(AND(E1602&lt;&gt;"",D1602&lt;E1602),"Decreased reading",IF(F1602&gt;D1602,"Last service above current","")))))))))))))</x:f>
      </x:c>
      <x:c r="L1602" s="6" t="str">
        <x:f>IF(AND(NOT(COUNTA(A1602:F1602)=0),K1602=""),INDEX('Rules'!$C$7:$C$26,MATCH(SUBSTITUTE(SUBSTITUTE(SUBSTITUTE(SUBSTITUTE("type:"&amp;B1602,"%","%25"),"~","%7E"),"*","%2A"),"?","%3F"),'Rules'!$G$7:$G$26,0)),"")</x:f>
      </x:c>
      <x:c r="M1602" s="6" t="str">
        <x:f>IF(AND(NOT(COUNTA(A1602:F1602)=0),K1602=""),INDEX('Rules'!$D$7:$D$26,MATCH(SUBSTITUTE(SUBSTITUTE(SUBSTITUTE(SUBSTITUTE("type:"&amp;B1602,"%","%25"),"~","%7E"),"*","%2A"),"?","%3F"),'Rules'!$G$7:$G$26,0)),"")</x:f>
      </x:c>
      <x:c r="N1602" s="5" t="str">
        <x:f>IF(COUNTA(A1602:F1602)=0,"",SUBSTITUTE(SUBSTITUTE(SUBSTITUTE(SUBSTITUTE("id:"&amp;A1602,"%","%25"),"~","%7E"),"*","%2A"),"?","%3F"))</x:f>
      </x:c>
    </x:row>
    <x:row r="1603" ht="22" customHeight="1">
      <x:c r="A1603" s="3"/>
      <x:c r="B1603" s="3"/>
      <x:c r="C1603" s="3"/>
      <x:c r="D1603" s="4"/>
      <x:c r="E1603" s="4"/>
      <x:c r="F1603" s="4"/>
      <x:c r="G1603" s="5" t="str">
        <x:f>IF(COUNTA(A1603:F1603)=0,"",IF(K1603&lt;&gt;"","Review",IF(I1603&lt;0,"Overdue",IF(I1603=0,"Due now",IF(I1603&lt;=M1603,"Due soon","Not due")))))</x:f>
      </x:c>
      <x:c r="H1603" s="5" t="str">
        <x:f>IF(OR(COUNTA(A1603:F1603)=0,COUNTIFS('Rules'!$G$7:$G$26,"="&amp;(SUBSTITUTE(SUBSTITUTE(SUBSTITUTE(SUBSTITUTE("type:"&amp;B1603,"%","%25"),"~","%7E"),"*","%2A"),"?","%3F")))&lt;&gt;1),"",IF(OR(INDEX('Rules'!$B$7:$B$26,MATCH(SUBSTITUTE(SUBSTITUTE(SUBSTITUTE(SUBSTITUTE("type:"&amp;B1603,"%","%25"),"~","%7E"),"*","%2A"),"?","%3F"),'Rules'!$G$7:$G$26,0))="hours",INDEX('Rules'!$B$7:$B$26,MATCH(SUBSTITUTE(SUBSTITUTE(SUBSTITUTE(SUBSTITUTE("type:"&amp;B1603,"%","%25"),"~","%7E"),"*","%2A"),"?","%3F"),'Rules'!$G$7:$G$26,0))="km"),INDEX('Rules'!$B$7:$B$26,MATCH(SUBSTITUTE(SUBSTITUTE(SUBSTITUTE(SUBSTITUTE("type:"&amp;B1603,"%","%25"),"~","%7E"),"*","%2A"),"?","%3F"),'Rules'!$G$7:$G$26,0)),""))</x:f>
      </x:c>
      <x:c r="I1603" s="6" t="str">
        <x:f>IF(AND(NOT(COUNTA(A1603:F1603)=0),K1603=""),ROUND(J1603-D1603,3),"")</x:f>
      </x:c>
      <x:c r="J1603" s="6" t="str">
        <x:f>IF(AND(NOT(COUNTA(A1603:F1603)=0),K1603=""),ROUND(F1603+L1603,3),"")</x:f>
      </x:c>
      <x:c r="K1603" s="5" t="str">
        <x:f>IF(COUNTA(A1603:F1603)=0,"",IF(A1603="","Missing equipment ID",IF(COUNTIFS($N$8:$N$2007,"="&amp;N1603)&gt;1,"Duplicate equipment ID",IF(B1603="","Missing type",IF(COUNTIFS('Rules'!$G$7:$G$26,"="&amp;(SUBSTITUTE(SUBSTITUTE(SUBSTITUTE(SUBSTITUTE("type:"&amp;B1603,"%","%25"),"~","%7E"),"*","%2A"),"?","%3F")))=0,"Unknown type",IF(COUNTIFS('Rules'!$G$7:$G$26,"="&amp;(SUBSTITUTE(SUBSTITUTE(SUBSTITUTE(SUBSTITUTE("type:"&amp;B1603,"%","%25"),"~","%7E"),"*","%2A"),"?","%3F")))&gt;1,"Duplicate type",IF(INDEX('Rules'!$F$7:$F$26,MATCH(SUBSTITUTE(SUBSTITUTE(SUBSTITUTE(SUBSTITUTE("type:"&amp;B1603,"%","%25"),"~","%7E"),"*","%2A"),"?","%3F"),'Rules'!$G$7:$G$26,0))&lt;&gt;"",INDEX('Rules'!$F$7:$F$26,MATCH(SUBSTITUTE(SUBSTITUTE(SUBSTITUTE(SUBSTITUTE("type:"&amp;B1603,"%","%25"),"~","%7E"),"*","%2A"),"?","%3F"),'Rules'!$G$7:$G$26,0)),IF(AND(C1603&lt;&gt;"",C1603&lt;&gt;INDEX('Rules'!$B$7:$B$26,MATCH(SUBSTITUTE(SUBSTITUTE(SUBSTITUTE(SUBSTITUTE("type:"&amp;B1603,"%","%25"),"~","%7E"),"*","%2A"),"?","%3F"),'Rules'!$G$7:$G$26,0))),"Unit mismatch",IF(IF(NOT(ISNUMBER(D1603)),TRUE,OR(D1603&lt;0,D1603&gt;999999999,ROUND(D1603,3)&lt;&gt;D1603)),"Invalid current reading",IF(AND(E1603&lt;&gt;"",IF(NOT(ISNUMBER(E1603)),TRUE,OR(E1603&lt;0,E1603&gt;999999999,ROUND(E1603,3)&lt;&gt;E1603))),"Invalid previous reading",IF(IF(NOT(ISNUMBER(F1603)),TRUE,OR(F1603&lt;0,F1603&gt;999999999,ROUND(F1603,3)&lt;&gt;F1603)),"Invalid last service",IF(AND(E1603&lt;&gt;"",D1603&lt;E1603),"Decreased reading",IF(F1603&gt;D1603,"Last service above current","")))))))))))))</x:f>
      </x:c>
      <x:c r="L1603" s="6" t="str">
        <x:f>IF(AND(NOT(COUNTA(A1603:F1603)=0),K1603=""),INDEX('Rules'!$C$7:$C$26,MATCH(SUBSTITUTE(SUBSTITUTE(SUBSTITUTE(SUBSTITUTE("type:"&amp;B1603,"%","%25"),"~","%7E"),"*","%2A"),"?","%3F"),'Rules'!$G$7:$G$26,0)),"")</x:f>
      </x:c>
      <x:c r="M1603" s="6" t="str">
        <x:f>IF(AND(NOT(COUNTA(A1603:F1603)=0),K1603=""),INDEX('Rules'!$D$7:$D$26,MATCH(SUBSTITUTE(SUBSTITUTE(SUBSTITUTE(SUBSTITUTE("type:"&amp;B1603,"%","%25"),"~","%7E"),"*","%2A"),"?","%3F"),'Rules'!$G$7:$G$26,0)),"")</x:f>
      </x:c>
      <x:c r="N1603" s="5" t="str">
        <x:f>IF(COUNTA(A1603:F1603)=0,"",SUBSTITUTE(SUBSTITUTE(SUBSTITUTE(SUBSTITUTE("id:"&amp;A1603,"%","%25"),"~","%7E"),"*","%2A"),"?","%3F"))</x:f>
      </x:c>
    </x:row>
    <x:row r="1604" ht="22" customHeight="1">
      <x:c r="A1604" s="3"/>
      <x:c r="B1604" s="3"/>
      <x:c r="C1604" s="3"/>
      <x:c r="D1604" s="4"/>
      <x:c r="E1604" s="4"/>
      <x:c r="F1604" s="4"/>
      <x:c r="G1604" s="5" t="str">
        <x:f>IF(COUNTA(A1604:F1604)=0,"",IF(K1604&lt;&gt;"","Review",IF(I1604&lt;0,"Overdue",IF(I1604=0,"Due now",IF(I1604&lt;=M1604,"Due soon","Not due")))))</x:f>
      </x:c>
      <x:c r="H1604" s="5" t="str">
        <x:f>IF(OR(COUNTA(A1604:F1604)=0,COUNTIFS('Rules'!$G$7:$G$26,"="&amp;(SUBSTITUTE(SUBSTITUTE(SUBSTITUTE(SUBSTITUTE("type:"&amp;B1604,"%","%25"),"~","%7E"),"*","%2A"),"?","%3F")))&lt;&gt;1),"",IF(OR(INDEX('Rules'!$B$7:$B$26,MATCH(SUBSTITUTE(SUBSTITUTE(SUBSTITUTE(SUBSTITUTE("type:"&amp;B1604,"%","%25"),"~","%7E"),"*","%2A"),"?","%3F"),'Rules'!$G$7:$G$26,0))="hours",INDEX('Rules'!$B$7:$B$26,MATCH(SUBSTITUTE(SUBSTITUTE(SUBSTITUTE(SUBSTITUTE("type:"&amp;B1604,"%","%25"),"~","%7E"),"*","%2A"),"?","%3F"),'Rules'!$G$7:$G$26,0))="km"),INDEX('Rules'!$B$7:$B$26,MATCH(SUBSTITUTE(SUBSTITUTE(SUBSTITUTE(SUBSTITUTE("type:"&amp;B1604,"%","%25"),"~","%7E"),"*","%2A"),"?","%3F"),'Rules'!$G$7:$G$26,0)),""))</x:f>
      </x:c>
      <x:c r="I1604" s="6" t="str">
        <x:f>IF(AND(NOT(COUNTA(A1604:F1604)=0),K1604=""),ROUND(J1604-D1604,3),"")</x:f>
      </x:c>
      <x:c r="J1604" s="6" t="str">
        <x:f>IF(AND(NOT(COUNTA(A1604:F1604)=0),K1604=""),ROUND(F1604+L1604,3),"")</x:f>
      </x:c>
      <x:c r="K1604" s="5" t="str">
        <x:f>IF(COUNTA(A1604:F1604)=0,"",IF(A1604="","Missing equipment ID",IF(COUNTIFS($N$8:$N$2007,"="&amp;N1604)&gt;1,"Duplicate equipment ID",IF(B1604="","Missing type",IF(COUNTIFS('Rules'!$G$7:$G$26,"="&amp;(SUBSTITUTE(SUBSTITUTE(SUBSTITUTE(SUBSTITUTE("type:"&amp;B1604,"%","%25"),"~","%7E"),"*","%2A"),"?","%3F")))=0,"Unknown type",IF(COUNTIFS('Rules'!$G$7:$G$26,"="&amp;(SUBSTITUTE(SUBSTITUTE(SUBSTITUTE(SUBSTITUTE("type:"&amp;B1604,"%","%25"),"~","%7E"),"*","%2A"),"?","%3F")))&gt;1,"Duplicate type",IF(INDEX('Rules'!$F$7:$F$26,MATCH(SUBSTITUTE(SUBSTITUTE(SUBSTITUTE(SUBSTITUTE("type:"&amp;B1604,"%","%25"),"~","%7E"),"*","%2A"),"?","%3F"),'Rules'!$G$7:$G$26,0))&lt;&gt;"",INDEX('Rules'!$F$7:$F$26,MATCH(SUBSTITUTE(SUBSTITUTE(SUBSTITUTE(SUBSTITUTE("type:"&amp;B1604,"%","%25"),"~","%7E"),"*","%2A"),"?","%3F"),'Rules'!$G$7:$G$26,0)),IF(AND(C1604&lt;&gt;"",C1604&lt;&gt;INDEX('Rules'!$B$7:$B$26,MATCH(SUBSTITUTE(SUBSTITUTE(SUBSTITUTE(SUBSTITUTE("type:"&amp;B1604,"%","%25"),"~","%7E"),"*","%2A"),"?","%3F"),'Rules'!$G$7:$G$26,0))),"Unit mismatch",IF(IF(NOT(ISNUMBER(D1604)),TRUE,OR(D1604&lt;0,D1604&gt;999999999,ROUND(D1604,3)&lt;&gt;D1604)),"Invalid current reading",IF(AND(E1604&lt;&gt;"",IF(NOT(ISNUMBER(E1604)),TRUE,OR(E1604&lt;0,E1604&gt;999999999,ROUND(E1604,3)&lt;&gt;E1604))),"Invalid previous reading",IF(IF(NOT(ISNUMBER(F1604)),TRUE,OR(F1604&lt;0,F1604&gt;999999999,ROUND(F1604,3)&lt;&gt;F1604)),"Invalid last service",IF(AND(E1604&lt;&gt;"",D1604&lt;E1604),"Decreased reading",IF(F1604&gt;D1604,"Last service above current","")))))))))))))</x:f>
      </x:c>
      <x:c r="L1604" s="6" t="str">
        <x:f>IF(AND(NOT(COUNTA(A1604:F1604)=0),K1604=""),INDEX('Rules'!$C$7:$C$26,MATCH(SUBSTITUTE(SUBSTITUTE(SUBSTITUTE(SUBSTITUTE("type:"&amp;B1604,"%","%25"),"~","%7E"),"*","%2A"),"?","%3F"),'Rules'!$G$7:$G$26,0)),"")</x:f>
      </x:c>
      <x:c r="M1604" s="6" t="str">
        <x:f>IF(AND(NOT(COUNTA(A1604:F1604)=0),K1604=""),INDEX('Rules'!$D$7:$D$26,MATCH(SUBSTITUTE(SUBSTITUTE(SUBSTITUTE(SUBSTITUTE("type:"&amp;B1604,"%","%25"),"~","%7E"),"*","%2A"),"?","%3F"),'Rules'!$G$7:$G$26,0)),"")</x:f>
      </x:c>
      <x:c r="N1604" s="5" t="str">
        <x:f>IF(COUNTA(A1604:F1604)=0,"",SUBSTITUTE(SUBSTITUTE(SUBSTITUTE(SUBSTITUTE("id:"&amp;A1604,"%","%25"),"~","%7E"),"*","%2A"),"?","%3F"))</x:f>
      </x:c>
    </x:row>
    <x:row r="1605" ht="22" customHeight="1">
      <x:c r="A1605" s="3"/>
      <x:c r="B1605" s="3"/>
      <x:c r="C1605" s="3"/>
      <x:c r="D1605" s="4"/>
      <x:c r="E1605" s="4"/>
      <x:c r="F1605" s="4"/>
      <x:c r="G1605" s="5" t="str">
        <x:f>IF(COUNTA(A1605:F1605)=0,"",IF(K1605&lt;&gt;"","Review",IF(I1605&lt;0,"Overdue",IF(I1605=0,"Due now",IF(I1605&lt;=M1605,"Due soon","Not due")))))</x:f>
      </x:c>
      <x:c r="H1605" s="5" t="str">
        <x:f>IF(OR(COUNTA(A1605:F1605)=0,COUNTIFS('Rules'!$G$7:$G$26,"="&amp;(SUBSTITUTE(SUBSTITUTE(SUBSTITUTE(SUBSTITUTE("type:"&amp;B1605,"%","%25"),"~","%7E"),"*","%2A"),"?","%3F")))&lt;&gt;1),"",IF(OR(INDEX('Rules'!$B$7:$B$26,MATCH(SUBSTITUTE(SUBSTITUTE(SUBSTITUTE(SUBSTITUTE("type:"&amp;B1605,"%","%25"),"~","%7E"),"*","%2A"),"?","%3F"),'Rules'!$G$7:$G$26,0))="hours",INDEX('Rules'!$B$7:$B$26,MATCH(SUBSTITUTE(SUBSTITUTE(SUBSTITUTE(SUBSTITUTE("type:"&amp;B1605,"%","%25"),"~","%7E"),"*","%2A"),"?","%3F"),'Rules'!$G$7:$G$26,0))="km"),INDEX('Rules'!$B$7:$B$26,MATCH(SUBSTITUTE(SUBSTITUTE(SUBSTITUTE(SUBSTITUTE("type:"&amp;B1605,"%","%25"),"~","%7E"),"*","%2A"),"?","%3F"),'Rules'!$G$7:$G$26,0)),""))</x:f>
      </x:c>
      <x:c r="I1605" s="6" t="str">
        <x:f>IF(AND(NOT(COUNTA(A1605:F1605)=0),K1605=""),ROUND(J1605-D1605,3),"")</x:f>
      </x:c>
      <x:c r="J1605" s="6" t="str">
        <x:f>IF(AND(NOT(COUNTA(A1605:F1605)=0),K1605=""),ROUND(F1605+L1605,3),"")</x:f>
      </x:c>
      <x:c r="K1605" s="5" t="str">
        <x:f>IF(COUNTA(A1605:F1605)=0,"",IF(A1605="","Missing equipment ID",IF(COUNTIFS($N$8:$N$2007,"="&amp;N1605)&gt;1,"Duplicate equipment ID",IF(B1605="","Missing type",IF(COUNTIFS('Rules'!$G$7:$G$26,"="&amp;(SUBSTITUTE(SUBSTITUTE(SUBSTITUTE(SUBSTITUTE("type:"&amp;B1605,"%","%25"),"~","%7E"),"*","%2A"),"?","%3F")))=0,"Unknown type",IF(COUNTIFS('Rules'!$G$7:$G$26,"="&amp;(SUBSTITUTE(SUBSTITUTE(SUBSTITUTE(SUBSTITUTE("type:"&amp;B1605,"%","%25"),"~","%7E"),"*","%2A"),"?","%3F")))&gt;1,"Duplicate type",IF(INDEX('Rules'!$F$7:$F$26,MATCH(SUBSTITUTE(SUBSTITUTE(SUBSTITUTE(SUBSTITUTE("type:"&amp;B1605,"%","%25"),"~","%7E"),"*","%2A"),"?","%3F"),'Rules'!$G$7:$G$26,0))&lt;&gt;"",INDEX('Rules'!$F$7:$F$26,MATCH(SUBSTITUTE(SUBSTITUTE(SUBSTITUTE(SUBSTITUTE("type:"&amp;B1605,"%","%25"),"~","%7E"),"*","%2A"),"?","%3F"),'Rules'!$G$7:$G$26,0)),IF(AND(C1605&lt;&gt;"",C1605&lt;&gt;INDEX('Rules'!$B$7:$B$26,MATCH(SUBSTITUTE(SUBSTITUTE(SUBSTITUTE(SUBSTITUTE("type:"&amp;B1605,"%","%25"),"~","%7E"),"*","%2A"),"?","%3F"),'Rules'!$G$7:$G$26,0))),"Unit mismatch",IF(IF(NOT(ISNUMBER(D1605)),TRUE,OR(D1605&lt;0,D1605&gt;999999999,ROUND(D1605,3)&lt;&gt;D1605)),"Invalid current reading",IF(AND(E1605&lt;&gt;"",IF(NOT(ISNUMBER(E1605)),TRUE,OR(E1605&lt;0,E1605&gt;999999999,ROUND(E1605,3)&lt;&gt;E1605))),"Invalid previous reading",IF(IF(NOT(ISNUMBER(F1605)),TRUE,OR(F1605&lt;0,F1605&gt;999999999,ROUND(F1605,3)&lt;&gt;F1605)),"Invalid last service",IF(AND(E1605&lt;&gt;"",D1605&lt;E1605),"Decreased reading",IF(F1605&gt;D1605,"Last service above current","")))))))))))))</x:f>
      </x:c>
      <x:c r="L1605" s="6" t="str">
        <x:f>IF(AND(NOT(COUNTA(A1605:F1605)=0),K1605=""),INDEX('Rules'!$C$7:$C$26,MATCH(SUBSTITUTE(SUBSTITUTE(SUBSTITUTE(SUBSTITUTE("type:"&amp;B1605,"%","%25"),"~","%7E"),"*","%2A"),"?","%3F"),'Rules'!$G$7:$G$26,0)),"")</x:f>
      </x:c>
      <x:c r="M1605" s="6" t="str">
        <x:f>IF(AND(NOT(COUNTA(A1605:F1605)=0),K1605=""),INDEX('Rules'!$D$7:$D$26,MATCH(SUBSTITUTE(SUBSTITUTE(SUBSTITUTE(SUBSTITUTE("type:"&amp;B1605,"%","%25"),"~","%7E"),"*","%2A"),"?","%3F"),'Rules'!$G$7:$G$26,0)),"")</x:f>
      </x:c>
      <x:c r="N1605" s="5" t="str">
        <x:f>IF(COUNTA(A1605:F1605)=0,"",SUBSTITUTE(SUBSTITUTE(SUBSTITUTE(SUBSTITUTE("id:"&amp;A1605,"%","%25"),"~","%7E"),"*","%2A"),"?","%3F"))</x:f>
      </x:c>
    </x:row>
    <x:row r="1606" ht="22" customHeight="1">
      <x:c r="A1606" s="3"/>
      <x:c r="B1606" s="3"/>
      <x:c r="C1606" s="3"/>
      <x:c r="D1606" s="4"/>
      <x:c r="E1606" s="4"/>
      <x:c r="F1606" s="4"/>
      <x:c r="G1606" s="5" t="str">
        <x:f>IF(COUNTA(A1606:F1606)=0,"",IF(K1606&lt;&gt;"","Review",IF(I1606&lt;0,"Overdue",IF(I1606=0,"Due now",IF(I1606&lt;=M1606,"Due soon","Not due")))))</x:f>
      </x:c>
      <x:c r="H1606" s="5" t="str">
        <x:f>IF(OR(COUNTA(A1606:F1606)=0,COUNTIFS('Rules'!$G$7:$G$26,"="&amp;(SUBSTITUTE(SUBSTITUTE(SUBSTITUTE(SUBSTITUTE("type:"&amp;B1606,"%","%25"),"~","%7E"),"*","%2A"),"?","%3F")))&lt;&gt;1),"",IF(OR(INDEX('Rules'!$B$7:$B$26,MATCH(SUBSTITUTE(SUBSTITUTE(SUBSTITUTE(SUBSTITUTE("type:"&amp;B1606,"%","%25"),"~","%7E"),"*","%2A"),"?","%3F"),'Rules'!$G$7:$G$26,0))="hours",INDEX('Rules'!$B$7:$B$26,MATCH(SUBSTITUTE(SUBSTITUTE(SUBSTITUTE(SUBSTITUTE("type:"&amp;B1606,"%","%25"),"~","%7E"),"*","%2A"),"?","%3F"),'Rules'!$G$7:$G$26,0))="km"),INDEX('Rules'!$B$7:$B$26,MATCH(SUBSTITUTE(SUBSTITUTE(SUBSTITUTE(SUBSTITUTE("type:"&amp;B1606,"%","%25"),"~","%7E"),"*","%2A"),"?","%3F"),'Rules'!$G$7:$G$26,0)),""))</x:f>
      </x:c>
      <x:c r="I1606" s="6" t="str">
        <x:f>IF(AND(NOT(COUNTA(A1606:F1606)=0),K1606=""),ROUND(J1606-D1606,3),"")</x:f>
      </x:c>
      <x:c r="J1606" s="6" t="str">
        <x:f>IF(AND(NOT(COUNTA(A1606:F1606)=0),K1606=""),ROUND(F1606+L1606,3),"")</x:f>
      </x:c>
      <x:c r="K1606" s="5" t="str">
        <x:f>IF(COUNTA(A1606:F1606)=0,"",IF(A1606="","Missing equipment ID",IF(COUNTIFS($N$8:$N$2007,"="&amp;N1606)&gt;1,"Duplicate equipment ID",IF(B1606="","Missing type",IF(COUNTIFS('Rules'!$G$7:$G$26,"="&amp;(SUBSTITUTE(SUBSTITUTE(SUBSTITUTE(SUBSTITUTE("type:"&amp;B1606,"%","%25"),"~","%7E"),"*","%2A"),"?","%3F")))=0,"Unknown type",IF(COUNTIFS('Rules'!$G$7:$G$26,"="&amp;(SUBSTITUTE(SUBSTITUTE(SUBSTITUTE(SUBSTITUTE("type:"&amp;B1606,"%","%25"),"~","%7E"),"*","%2A"),"?","%3F")))&gt;1,"Duplicate type",IF(INDEX('Rules'!$F$7:$F$26,MATCH(SUBSTITUTE(SUBSTITUTE(SUBSTITUTE(SUBSTITUTE("type:"&amp;B1606,"%","%25"),"~","%7E"),"*","%2A"),"?","%3F"),'Rules'!$G$7:$G$26,0))&lt;&gt;"",INDEX('Rules'!$F$7:$F$26,MATCH(SUBSTITUTE(SUBSTITUTE(SUBSTITUTE(SUBSTITUTE("type:"&amp;B1606,"%","%25"),"~","%7E"),"*","%2A"),"?","%3F"),'Rules'!$G$7:$G$26,0)),IF(AND(C1606&lt;&gt;"",C1606&lt;&gt;INDEX('Rules'!$B$7:$B$26,MATCH(SUBSTITUTE(SUBSTITUTE(SUBSTITUTE(SUBSTITUTE("type:"&amp;B1606,"%","%25"),"~","%7E"),"*","%2A"),"?","%3F"),'Rules'!$G$7:$G$26,0))),"Unit mismatch",IF(IF(NOT(ISNUMBER(D1606)),TRUE,OR(D1606&lt;0,D1606&gt;999999999,ROUND(D1606,3)&lt;&gt;D1606)),"Invalid current reading",IF(AND(E1606&lt;&gt;"",IF(NOT(ISNUMBER(E1606)),TRUE,OR(E1606&lt;0,E1606&gt;999999999,ROUND(E1606,3)&lt;&gt;E1606))),"Invalid previous reading",IF(IF(NOT(ISNUMBER(F1606)),TRUE,OR(F1606&lt;0,F1606&gt;999999999,ROUND(F1606,3)&lt;&gt;F1606)),"Invalid last service",IF(AND(E1606&lt;&gt;"",D1606&lt;E1606),"Decreased reading",IF(F1606&gt;D1606,"Last service above current","")))))))))))))</x:f>
      </x:c>
      <x:c r="L1606" s="6" t="str">
        <x:f>IF(AND(NOT(COUNTA(A1606:F1606)=0),K1606=""),INDEX('Rules'!$C$7:$C$26,MATCH(SUBSTITUTE(SUBSTITUTE(SUBSTITUTE(SUBSTITUTE("type:"&amp;B1606,"%","%25"),"~","%7E"),"*","%2A"),"?","%3F"),'Rules'!$G$7:$G$26,0)),"")</x:f>
      </x:c>
      <x:c r="M1606" s="6" t="str">
        <x:f>IF(AND(NOT(COUNTA(A1606:F1606)=0),K1606=""),INDEX('Rules'!$D$7:$D$26,MATCH(SUBSTITUTE(SUBSTITUTE(SUBSTITUTE(SUBSTITUTE("type:"&amp;B1606,"%","%25"),"~","%7E"),"*","%2A"),"?","%3F"),'Rules'!$G$7:$G$26,0)),"")</x:f>
      </x:c>
      <x:c r="N1606" s="5" t="str">
        <x:f>IF(COUNTA(A1606:F1606)=0,"",SUBSTITUTE(SUBSTITUTE(SUBSTITUTE(SUBSTITUTE("id:"&amp;A1606,"%","%25"),"~","%7E"),"*","%2A"),"?","%3F"))</x:f>
      </x:c>
    </x:row>
    <x:row r="1607" ht="22" customHeight="1">
      <x:c r="A1607" s="3"/>
      <x:c r="B1607" s="3"/>
      <x:c r="C1607" s="3"/>
      <x:c r="D1607" s="4"/>
      <x:c r="E1607" s="4"/>
      <x:c r="F1607" s="4"/>
      <x:c r="G1607" s="5" t="str">
        <x:f>IF(COUNTA(A1607:F1607)=0,"",IF(K1607&lt;&gt;"","Review",IF(I1607&lt;0,"Overdue",IF(I1607=0,"Due now",IF(I1607&lt;=M1607,"Due soon","Not due")))))</x:f>
      </x:c>
      <x:c r="H1607" s="5" t="str">
        <x:f>IF(OR(COUNTA(A1607:F1607)=0,COUNTIFS('Rules'!$G$7:$G$26,"="&amp;(SUBSTITUTE(SUBSTITUTE(SUBSTITUTE(SUBSTITUTE("type:"&amp;B1607,"%","%25"),"~","%7E"),"*","%2A"),"?","%3F")))&lt;&gt;1),"",IF(OR(INDEX('Rules'!$B$7:$B$26,MATCH(SUBSTITUTE(SUBSTITUTE(SUBSTITUTE(SUBSTITUTE("type:"&amp;B1607,"%","%25"),"~","%7E"),"*","%2A"),"?","%3F"),'Rules'!$G$7:$G$26,0))="hours",INDEX('Rules'!$B$7:$B$26,MATCH(SUBSTITUTE(SUBSTITUTE(SUBSTITUTE(SUBSTITUTE("type:"&amp;B1607,"%","%25"),"~","%7E"),"*","%2A"),"?","%3F"),'Rules'!$G$7:$G$26,0))="km"),INDEX('Rules'!$B$7:$B$26,MATCH(SUBSTITUTE(SUBSTITUTE(SUBSTITUTE(SUBSTITUTE("type:"&amp;B1607,"%","%25"),"~","%7E"),"*","%2A"),"?","%3F"),'Rules'!$G$7:$G$26,0)),""))</x:f>
      </x:c>
      <x:c r="I1607" s="6" t="str">
        <x:f>IF(AND(NOT(COUNTA(A1607:F1607)=0),K1607=""),ROUND(J1607-D1607,3),"")</x:f>
      </x:c>
      <x:c r="J1607" s="6" t="str">
        <x:f>IF(AND(NOT(COUNTA(A1607:F1607)=0),K1607=""),ROUND(F1607+L1607,3),"")</x:f>
      </x:c>
      <x:c r="K1607" s="5" t="str">
        <x:f>IF(COUNTA(A1607:F1607)=0,"",IF(A1607="","Missing equipment ID",IF(COUNTIFS($N$8:$N$2007,"="&amp;N1607)&gt;1,"Duplicate equipment ID",IF(B1607="","Missing type",IF(COUNTIFS('Rules'!$G$7:$G$26,"="&amp;(SUBSTITUTE(SUBSTITUTE(SUBSTITUTE(SUBSTITUTE("type:"&amp;B1607,"%","%25"),"~","%7E"),"*","%2A"),"?","%3F")))=0,"Unknown type",IF(COUNTIFS('Rules'!$G$7:$G$26,"="&amp;(SUBSTITUTE(SUBSTITUTE(SUBSTITUTE(SUBSTITUTE("type:"&amp;B1607,"%","%25"),"~","%7E"),"*","%2A"),"?","%3F")))&gt;1,"Duplicate type",IF(INDEX('Rules'!$F$7:$F$26,MATCH(SUBSTITUTE(SUBSTITUTE(SUBSTITUTE(SUBSTITUTE("type:"&amp;B1607,"%","%25"),"~","%7E"),"*","%2A"),"?","%3F"),'Rules'!$G$7:$G$26,0))&lt;&gt;"",INDEX('Rules'!$F$7:$F$26,MATCH(SUBSTITUTE(SUBSTITUTE(SUBSTITUTE(SUBSTITUTE("type:"&amp;B1607,"%","%25"),"~","%7E"),"*","%2A"),"?","%3F"),'Rules'!$G$7:$G$26,0)),IF(AND(C1607&lt;&gt;"",C1607&lt;&gt;INDEX('Rules'!$B$7:$B$26,MATCH(SUBSTITUTE(SUBSTITUTE(SUBSTITUTE(SUBSTITUTE("type:"&amp;B1607,"%","%25"),"~","%7E"),"*","%2A"),"?","%3F"),'Rules'!$G$7:$G$26,0))),"Unit mismatch",IF(IF(NOT(ISNUMBER(D1607)),TRUE,OR(D1607&lt;0,D1607&gt;999999999,ROUND(D1607,3)&lt;&gt;D1607)),"Invalid current reading",IF(AND(E1607&lt;&gt;"",IF(NOT(ISNUMBER(E1607)),TRUE,OR(E1607&lt;0,E1607&gt;999999999,ROUND(E1607,3)&lt;&gt;E1607))),"Invalid previous reading",IF(IF(NOT(ISNUMBER(F1607)),TRUE,OR(F1607&lt;0,F1607&gt;999999999,ROUND(F1607,3)&lt;&gt;F1607)),"Invalid last service",IF(AND(E1607&lt;&gt;"",D1607&lt;E1607),"Decreased reading",IF(F1607&gt;D1607,"Last service above current","")))))))))))))</x:f>
      </x:c>
      <x:c r="L1607" s="6" t="str">
        <x:f>IF(AND(NOT(COUNTA(A1607:F1607)=0),K1607=""),INDEX('Rules'!$C$7:$C$26,MATCH(SUBSTITUTE(SUBSTITUTE(SUBSTITUTE(SUBSTITUTE("type:"&amp;B1607,"%","%25"),"~","%7E"),"*","%2A"),"?","%3F"),'Rules'!$G$7:$G$26,0)),"")</x:f>
      </x:c>
      <x:c r="M1607" s="6" t="str">
        <x:f>IF(AND(NOT(COUNTA(A1607:F1607)=0),K1607=""),INDEX('Rules'!$D$7:$D$26,MATCH(SUBSTITUTE(SUBSTITUTE(SUBSTITUTE(SUBSTITUTE("type:"&amp;B1607,"%","%25"),"~","%7E"),"*","%2A"),"?","%3F"),'Rules'!$G$7:$G$26,0)),"")</x:f>
      </x:c>
      <x:c r="N1607" s="5" t="str">
        <x:f>IF(COUNTA(A1607:F1607)=0,"",SUBSTITUTE(SUBSTITUTE(SUBSTITUTE(SUBSTITUTE("id:"&amp;A1607,"%","%25"),"~","%7E"),"*","%2A"),"?","%3F"))</x:f>
      </x:c>
    </x:row>
    <x:row r="1608" ht="22" customHeight="1">
      <x:c r="A1608" s="3"/>
      <x:c r="B1608" s="3"/>
      <x:c r="C1608" s="3"/>
      <x:c r="D1608" s="4"/>
      <x:c r="E1608" s="4"/>
      <x:c r="F1608" s="4"/>
      <x:c r="G1608" s="5" t="str">
        <x:f>IF(COUNTA(A1608:F1608)=0,"",IF(K1608&lt;&gt;"","Review",IF(I1608&lt;0,"Overdue",IF(I1608=0,"Due now",IF(I1608&lt;=M1608,"Due soon","Not due")))))</x:f>
      </x:c>
      <x:c r="H1608" s="5" t="str">
        <x:f>IF(OR(COUNTA(A1608:F1608)=0,COUNTIFS('Rules'!$G$7:$G$26,"="&amp;(SUBSTITUTE(SUBSTITUTE(SUBSTITUTE(SUBSTITUTE("type:"&amp;B1608,"%","%25"),"~","%7E"),"*","%2A"),"?","%3F")))&lt;&gt;1),"",IF(OR(INDEX('Rules'!$B$7:$B$26,MATCH(SUBSTITUTE(SUBSTITUTE(SUBSTITUTE(SUBSTITUTE("type:"&amp;B1608,"%","%25"),"~","%7E"),"*","%2A"),"?","%3F"),'Rules'!$G$7:$G$26,0))="hours",INDEX('Rules'!$B$7:$B$26,MATCH(SUBSTITUTE(SUBSTITUTE(SUBSTITUTE(SUBSTITUTE("type:"&amp;B1608,"%","%25"),"~","%7E"),"*","%2A"),"?","%3F"),'Rules'!$G$7:$G$26,0))="km"),INDEX('Rules'!$B$7:$B$26,MATCH(SUBSTITUTE(SUBSTITUTE(SUBSTITUTE(SUBSTITUTE("type:"&amp;B1608,"%","%25"),"~","%7E"),"*","%2A"),"?","%3F"),'Rules'!$G$7:$G$26,0)),""))</x:f>
      </x:c>
      <x:c r="I1608" s="6" t="str">
        <x:f>IF(AND(NOT(COUNTA(A1608:F1608)=0),K1608=""),ROUND(J1608-D1608,3),"")</x:f>
      </x:c>
      <x:c r="J1608" s="6" t="str">
        <x:f>IF(AND(NOT(COUNTA(A1608:F1608)=0),K1608=""),ROUND(F1608+L1608,3),"")</x:f>
      </x:c>
      <x:c r="K1608" s="5" t="str">
        <x:f>IF(COUNTA(A1608:F1608)=0,"",IF(A1608="","Missing equipment ID",IF(COUNTIFS($N$8:$N$2007,"="&amp;N1608)&gt;1,"Duplicate equipment ID",IF(B1608="","Missing type",IF(COUNTIFS('Rules'!$G$7:$G$26,"="&amp;(SUBSTITUTE(SUBSTITUTE(SUBSTITUTE(SUBSTITUTE("type:"&amp;B1608,"%","%25"),"~","%7E"),"*","%2A"),"?","%3F")))=0,"Unknown type",IF(COUNTIFS('Rules'!$G$7:$G$26,"="&amp;(SUBSTITUTE(SUBSTITUTE(SUBSTITUTE(SUBSTITUTE("type:"&amp;B1608,"%","%25"),"~","%7E"),"*","%2A"),"?","%3F")))&gt;1,"Duplicate type",IF(INDEX('Rules'!$F$7:$F$26,MATCH(SUBSTITUTE(SUBSTITUTE(SUBSTITUTE(SUBSTITUTE("type:"&amp;B1608,"%","%25"),"~","%7E"),"*","%2A"),"?","%3F"),'Rules'!$G$7:$G$26,0))&lt;&gt;"",INDEX('Rules'!$F$7:$F$26,MATCH(SUBSTITUTE(SUBSTITUTE(SUBSTITUTE(SUBSTITUTE("type:"&amp;B1608,"%","%25"),"~","%7E"),"*","%2A"),"?","%3F"),'Rules'!$G$7:$G$26,0)),IF(AND(C1608&lt;&gt;"",C1608&lt;&gt;INDEX('Rules'!$B$7:$B$26,MATCH(SUBSTITUTE(SUBSTITUTE(SUBSTITUTE(SUBSTITUTE("type:"&amp;B1608,"%","%25"),"~","%7E"),"*","%2A"),"?","%3F"),'Rules'!$G$7:$G$26,0))),"Unit mismatch",IF(IF(NOT(ISNUMBER(D1608)),TRUE,OR(D1608&lt;0,D1608&gt;999999999,ROUND(D1608,3)&lt;&gt;D1608)),"Invalid current reading",IF(AND(E1608&lt;&gt;"",IF(NOT(ISNUMBER(E1608)),TRUE,OR(E1608&lt;0,E1608&gt;999999999,ROUND(E1608,3)&lt;&gt;E1608))),"Invalid previous reading",IF(IF(NOT(ISNUMBER(F1608)),TRUE,OR(F1608&lt;0,F1608&gt;999999999,ROUND(F1608,3)&lt;&gt;F1608)),"Invalid last service",IF(AND(E1608&lt;&gt;"",D1608&lt;E1608),"Decreased reading",IF(F1608&gt;D1608,"Last service above current","")))))))))))))</x:f>
      </x:c>
      <x:c r="L1608" s="6" t="str">
        <x:f>IF(AND(NOT(COUNTA(A1608:F1608)=0),K1608=""),INDEX('Rules'!$C$7:$C$26,MATCH(SUBSTITUTE(SUBSTITUTE(SUBSTITUTE(SUBSTITUTE("type:"&amp;B1608,"%","%25"),"~","%7E"),"*","%2A"),"?","%3F"),'Rules'!$G$7:$G$26,0)),"")</x:f>
      </x:c>
      <x:c r="M1608" s="6" t="str">
        <x:f>IF(AND(NOT(COUNTA(A1608:F1608)=0),K1608=""),INDEX('Rules'!$D$7:$D$26,MATCH(SUBSTITUTE(SUBSTITUTE(SUBSTITUTE(SUBSTITUTE("type:"&amp;B1608,"%","%25"),"~","%7E"),"*","%2A"),"?","%3F"),'Rules'!$G$7:$G$26,0)),"")</x:f>
      </x:c>
      <x:c r="N1608" s="5" t="str">
        <x:f>IF(COUNTA(A1608:F1608)=0,"",SUBSTITUTE(SUBSTITUTE(SUBSTITUTE(SUBSTITUTE("id:"&amp;A1608,"%","%25"),"~","%7E"),"*","%2A"),"?","%3F"))</x:f>
      </x:c>
    </x:row>
    <x:row r="1609" ht="22" customHeight="1">
      <x:c r="A1609" s="3"/>
      <x:c r="B1609" s="3"/>
      <x:c r="C1609" s="3"/>
      <x:c r="D1609" s="4"/>
      <x:c r="E1609" s="4"/>
      <x:c r="F1609" s="4"/>
      <x:c r="G1609" s="5" t="str">
        <x:f>IF(COUNTA(A1609:F1609)=0,"",IF(K1609&lt;&gt;"","Review",IF(I1609&lt;0,"Overdue",IF(I1609=0,"Due now",IF(I1609&lt;=M1609,"Due soon","Not due")))))</x:f>
      </x:c>
      <x:c r="H1609" s="5" t="str">
        <x:f>IF(OR(COUNTA(A1609:F1609)=0,COUNTIFS('Rules'!$G$7:$G$26,"="&amp;(SUBSTITUTE(SUBSTITUTE(SUBSTITUTE(SUBSTITUTE("type:"&amp;B1609,"%","%25"),"~","%7E"),"*","%2A"),"?","%3F")))&lt;&gt;1),"",IF(OR(INDEX('Rules'!$B$7:$B$26,MATCH(SUBSTITUTE(SUBSTITUTE(SUBSTITUTE(SUBSTITUTE("type:"&amp;B1609,"%","%25"),"~","%7E"),"*","%2A"),"?","%3F"),'Rules'!$G$7:$G$26,0))="hours",INDEX('Rules'!$B$7:$B$26,MATCH(SUBSTITUTE(SUBSTITUTE(SUBSTITUTE(SUBSTITUTE("type:"&amp;B1609,"%","%25"),"~","%7E"),"*","%2A"),"?","%3F"),'Rules'!$G$7:$G$26,0))="km"),INDEX('Rules'!$B$7:$B$26,MATCH(SUBSTITUTE(SUBSTITUTE(SUBSTITUTE(SUBSTITUTE("type:"&amp;B1609,"%","%25"),"~","%7E"),"*","%2A"),"?","%3F"),'Rules'!$G$7:$G$26,0)),""))</x:f>
      </x:c>
      <x:c r="I1609" s="6" t="str">
        <x:f>IF(AND(NOT(COUNTA(A1609:F1609)=0),K1609=""),ROUND(J1609-D1609,3),"")</x:f>
      </x:c>
      <x:c r="J1609" s="6" t="str">
        <x:f>IF(AND(NOT(COUNTA(A1609:F1609)=0),K1609=""),ROUND(F1609+L1609,3),"")</x:f>
      </x:c>
      <x:c r="K1609" s="5" t="str">
        <x:f>IF(COUNTA(A1609:F1609)=0,"",IF(A1609="","Missing equipment ID",IF(COUNTIFS($N$8:$N$2007,"="&amp;N1609)&gt;1,"Duplicate equipment ID",IF(B1609="","Missing type",IF(COUNTIFS('Rules'!$G$7:$G$26,"="&amp;(SUBSTITUTE(SUBSTITUTE(SUBSTITUTE(SUBSTITUTE("type:"&amp;B1609,"%","%25"),"~","%7E"),"*","%2A"),"?","%3F")))=0,"Unknown type",IF(COUNTIFS('Rules'!$G$7:$G$26,"="&amp;(SUBSTITUTE(SUBSTITUTE(SUBSTITUTE(SUBSTITUTE("type:"&amp;B1609,"%","%25"),"~","%7E"),"*","%2A"),"?","%3F")))&gt;1,"Duplicate type",IF(INDEX('Rules'!$F$7:$F$26,MATCH(SUBSTITUTE(SUBSTITUTE(SUBSTITUTE(SUBSTITUTE("type:"&amp;B1609,"%","%25"),"~","%7E"),"*","%2A"),"?","%3F"),'Rules'!$G$7:$G$26,0))&lt;&gt;"",INDEX('Rules'!$F$7:$F$26,MATCH(SUBSTITUTE(SUBSTITUTE(SUBSTITUTE(SUBSTITUTE("type:"&amp;B1609,"%","%25"),"~","%7E"),"*","%2A"),"?","%3F"),'Rules'!$G$7:$G$26,0)),IF(AND(C1609&lt;&gt;"",C1609&lt;&gt;INDEX('Rules'!$B$7:$B$26,MATCH(SUBSTITUTE(SUBSTITUTE(SUBSTITUTE(SUBSTITUTE("type:"&amp;B1609,"%","%25"),"~","%7E"),"*","%2A"),"?","%3F"),'Rules'!$G$7:$G$26,0))),"Unit mismatch",IF(IF(NOT(ISNUMBER(D1609)),TRUE,OR(D1609&lt;0,D1609&gt;999999999,ROUND(D1609,3)&lt;&gt;D1609)),"Invalid current reading",IF(AND(E1609&lt;&gt;"",IF(NOT(ISNUMBER(E1609)),TRUE,OR(E1609&lt;0,E1609&gt;999999999,ROUND(E1609,3)&lt;&gt;E1609))),"Invalid previous reading",IF(IF(NOT(ISNUMBER(F1609)),TRUE,OR(F1609&lt;0,F1609&gt;999999999,ROUND(F1609,3)&lt;&gt;F1609)),"Invalid last service",IF(AND(E1609&lt;&gt;"",D1609&lt;E1609),"Decreased reading",IF(F1609&gt;D1609,"Last service above current","")))))))))))))</x:f>
      </x:c>
      <x:c r="L1609" s="6" t="str">
        <x:f>IF(AND(NOT(COUNTA(A1609:F1609)=0),K1609=""),INDEX('Rules'!$C$7:$C$26,MATCH(SUBSTITUTE(SUBSTITUTE(SUBSTITUTE(SUBSTITUTE("type:"&amp;B1609,"%","%25"),"~","%7E"),"*","%2A"),"?","%3F"),'Rules'!$G$7:$G$26,0)),"")</x:f>
      </x:c>
      <x:c r="M1609" s="6" t="str">
        <x:f>IF(AND(NOT(COUNTA(A1609:F1609)=0),K1609=""),INDEX('Rules'!$D$7:$D$26,MATCH(SUBSTITUTE(SUBSTITUTE(SUBSTITUTE(SUBSTITUTE("type:"&amp;B1609,"%","%25"),"~","%7E"),"*","%2A"),"?","%3F"),'Rules'!$G$7:$G$26,0)),"")</x:f>
      </x:c>
      <x:c r="N1609" s="5" t="str">
        <x:f>IF(COUNTA(A1609:F1609)=0,"",SUBSTITUTE(SUBSTITUTE(SUBSTITUTE(SUBSTITUTE("id:"&amp;A1609,"%","%25"),"~","%7E"),"*","%2A"),"?","%3F"))</x:f>
      </x:c>
    </x:row>
    <x:row r="1610" ht="22" customHeight="1">
      <x:c r="A1610" s="3"/>
      <x:c r="B1610" s="3"/>
      <x:c r="C1610" s="3"/>
      <x:c r="D1610" s="4"/>
      <x:c r="E1610" s="4"/>
      <x:c r="F1610" s="4"/>
      <x:c r="G1610" s="5" t="str">
        <x:f>IF(COUNTA(A1610:F1610)=0,"",IF(K1610&lt;&gt;"","Review",IF(I1610&lt;0,"Overdue",IF(I1610=0,"Due now",IF(I1610&lt;=M1610,"Due soon","Not due")))))</x:f>
      </x:c>
      <x:c r="H1610" s="5" t="str">
        <x:f>IF(OR(COUNTA(A1610:F1610)=0,COUNTIFS('Rules'!$G$7:$G$26,"="&amp;(SUBSTITUTE(SUBSTITUTE(SUBSTITUTE(SUBSTITUTE("type:"&amp;B1610,"%","%25"),"~","%7E"),"*","%2A"),"?","%3F")))&lt;&gt;1),"",IF(OR(INDEX('Rules'!$B$7:$B$26,MATCH(SUBSTITUTE(SUBSTITUTE(SUBSTITUTE(SUBSTITUTE("type:"&amp;B1610,"%","%25"),"~","%7E"),"*","%2A"),"?","%3F"),'Rules'!$G$7:$G$26,0))="hours",INDEX('Rules'!$B$7:$B$26,MATCH(SUBSTITUTE(SUBSTITUTE(SUBSTITUTE(SUBSTITUTE("type:"&amp;B1610,"%","%25"),"~","%7E"),"*","%2A"),"?","%3F"),'Rules'!$G$7:$G$26,0))="km"),INDEX('Rules'!$B$7:$B$26,MATCH(SUBSTITUTE(SUBSTITUTE(SUBSTITUTE(SUBSTITUTE("type:"&amp;B1610,"%","%25"),"~","%7E"),"*","%2A"),"?","%3F"),'Rules'!$G$7:$G$26,0)),""))</x:f>
      </x:c>
      <x:c r="I1610" s="6" t="str">
        <x:f>IF(AND(NOT(COUNTA(A1610:F1610)=0),K1610=""),ROUND(J1610-D1610,3),"")</x:f>
      </x:c>
      <x:c r="J1610" s="6" t="str">
        <x:f>IF(AND(NOT(COUNTA(A1610:F1610)=0),K1610=""),ROUND(F1610+L1610,3),"")</x:f>
      </x:c>
      <x:c r="K1610" s="5" t="str">
        <x:f>IF(COUNTA(A1610:F1610)=0,"",IF(A1610="","Missing equipment ID",IF(COUNTIFS($N$8:$N$2007,"="&amp;N1610)&gt;1,"Duplicate equipment ID",IF(B1610="","Missing type",IF(COUNTIFS('Rules'!$G$7:$G$26,"="&amp;(SUBSTITUTE(SUBSTITUTE(SUBSTITUTE(SUBSTITUTE("type:"&amp;B1610,"%","%25"),"~","%7E"),"*","%2A"),"?","%3F")))=0,"Unknown type",IF(COUNTIFS('Rules'!$G$7:$G$26,"="&amp;(SUBSTITUTE(SUBSTITUTE(SUBSTITUTE(SUBSTITUTE("type:"&amp;B1610,"%","%25"),"~","%7E"),"*","%2A"),"?","%3F")))&gt;1,"Duplicate type",IF(INDEX('Rules'!$F$7:$F$26,MATCH(SUBSTITUTE(SUBSTITUTE(SUBSTITUTE(SUBSTITUTE("type:"&amp;B1610,"%","%25"),"~","%7E"),"*","%2A"),"?","%3F"),'Rules'!$G$7:$G$26,0))&lt;&gt;"",INDEX('Rules'!$F$7:$F$26,MATCH(SUBSTITUTE(SUBSTITUTE(SUBSTITUTE(SUBSTITUTE("type:"&amp;B1610,"%","%25"),"~","%7E"),"*","%2A"),"?","%3F"),'Rules'!$G$7:$G$26,0)),IF(AND(C1610&lt;&gt;"",C1610&lt;&gt;INDEX('Rules'!$B$7:$B$26,MATCH(SUBSTITUTE(SUBSTITUTE(SUBSTITUTE(SUBSTITUTE("type:"&amp;B1610,"%","%25"),"~","%7E"),"*","%2A"),"?","%3F"),'Rules'!$G$7:$G$26,0))),"Unit mismatch",IF(IF(NOT(ISNUMBER(D1610)),TRUE,OR(D1610&lt;0,D1610&gt;999999999,ROUND(D1610,3)&lt;&gt;D1610)),"Invalid current reading",IF(AND(E1610&lt;&gt;"",IF(NOT(ISNUMBER(E1610)),TRUE,OR(E1610&lt;0,E1610&gt;999999999,ROUND(E1610,3)&lt;&gt;E1610))),"Invalid previous reading",IF(IF(NOT(ISNUMBER(F1610)),TRUE,OR(F1610&lt;0,F1610&gt;999999999,ROUND(F1610,3)&lt;&gt;F1610)),"Invalid last service",IF(AND(E1610&lt;&gt;"",D1610&lt;E1610),"Decreased reading",IF(F1610&gt;D1610,"Last service above current","")))))))))))))</x:f>
      </x:c>
      <x:c r="L1610" s="6" t="str">
        <x:f>IF(AND(NOT(COUNTA(A1610:F1610)=0),K1610=""),INDEX('Rules'!$C$7:$C$26,MATCH(SUBSTITUTE(SUBSTITUTE(SUBSTITUTE(SUBSTITUTE("type:"&amp;B1610,"%","%25"),"~","%7E"),"*","%2A"),"?","%3F"),'Rules'!$G$7:$G$26,0)),"")</x:f>
      </x:c>
      <x:c r="M1610" s="6" t="str">
        <x:f>IF(AND(NOT(COUNTA(A1610:F1610)=0),K1610=""),INDEX('Rules'!$D$7:$D$26,MATCH(SUBSTITUTE(SUBSTITUTE(SUBSTITUTE(SUBSTITUTE("type:"&amp;B1610,"%","%25"),"~","%7E"),"*","%2A"),"?","%3F"),'Rules'!$G$7:$G$26,0)),"")</x:f>
      </x:c>
      <x:c r="N1610" s="5" t="str">
        <x:f>IF(COUNTA(A1610:F1610)=0,"",SUBSTITUTE(SUBSTITUTE(SUBSTITUTE(SUBSTITUTE("id:"&amp;A1610,"%","%25"),"~","%7E"),"*","%2A"),"?","%3F"))</x:f>
      </x:c>
    </x:row>
    <x:row r="1611" ht="22" customHeight="1">
      <x:c r="A1611" s="3"/>
      <x:c r="B1611" s="3"/>
      <x:c r="C1611" s="3"/>
      <x:c r="D1611" s="4"/>
      <x:c r="E1611" s="4"/>
      <x:c r="F1611" s="4"/>
      <x:c r="G1611" s="5" t="str">
        <x:f>IF(COUNTA(A1611:F1611)=0,"",IF(K1611&lt;&gt;"","Review",IF(I1611&lt;0,"Overdue",IF(I1611=0,"Due now",IF(I1611&lt;=M1611,"Due soon","Not due")))))</x:f>
      </x:c>
      <x:c r="H1611" s="5" t="str">
        <x:f>IF(OR(COUNTA(A1611:F1611)=0,COUNTIFS('Rules'!$G$7:$G$26,"="&amp;(SUBSTITUTE(SUBSTITUTE(SUBSTITUTE(SUBSTITUTE("type:"&amp;B1611,"%","%25"),"~","%7E"),"*","%2A"),"?","%3F")))&lt;&gt;1),"",IF(OR(INDEX('Rules'!$B$7:$B$26,MATCH(SUBSTITUTE(SUBSTITUTE(SUBSTITUTE(SUBSTITUTE("type:"&amp;B1611,"%","%25"),"~","%7E"),"*","%2A"),"?","%3F"),'Rules'!$G$7:$G$26,0))="hours",INDEX('Rules'!$B$7:$B$26,MATCH(SUBSTITUTE(SUBSTITUTE(SUBSTITUTE(SUBSTITUTE("type:"&amp;B1611,"%","%25"),"~","%7E"),"*","%2A"),"?","%3F"),'Rules'!$G$7:$G$26,0))="km"),INDEX('Rules'!$B$7:$B$26,MATCH(SUBSTITUTE(SUBSTITUTE(SUBSTITUTE(SUBSTITUTE("type:"&amp;B1611,"%","%25"),"~","%7E"),"*","%2A"),"?","%3F"),'Rules'!$G$7:$G$26,0)),""))</x:f>
      </x:c>
      <x:c r="I1611" s="6" t="str">
        <x:f>IF(AND(NOT(COUNTA(A1611:F1611)=0),K1611=""),ROUND(J1611-D1611,3),"")</x:f>
      </x:c>
      <x:c r="J1611" s="6" t="str">
        <x:f>IF(AND(NOT(COUNTA(A1611:F1611)=0),K1611=""),ROUND(F1611+L1611,3),"")</x:f>
      </x:c>
      <x:c r="K1611" s="5" t="str">
        <x:f>IF(COUNTA(A1611:F1611)=0,"",IF(A1611="","Missing equipment ID",IF(COUNTIFS($N$8:$N$2007,"="&amp;N1611)&gt;1,"Duplicate equipment ID",IF(B1611="","Missing type",IF(COUNTIFS('Rules'!$G$7:$G$26,"="&amp;(SUBSTITUTE(SUBSTITUTE(SUBSTITUTE(SUBSTITUTE("type:"&amp;B1611,"%","%25"),"~","%7E"),"*","%2A"),"?","%3F")))=0,"Unknown type",IF(COUNTIFS('Rules'!$G$7:$G$26,"="&amp;(SUBSTITUTE(SUBSTITUTE(SUBSTITUTE(SUBSTITUTE("type:"&amp;B1611,"%","%25"),"~","%7E"),"*","%2A"),"?","%3F")))&gt;1,"Duplicate type",IF(INDEX('Rules'!$F$7:$F$26,MATCH(SUBSTITUTE(SUBSTITUTE(SUBSTITUTE(SUBSTITUTE("type:"&amp;B1611,"%","%25"),"~","%7E"),"*","%2A"),"?","%3F"),'Rules'!$G$7:$G$26,0))&lt;&gt;"",INDEX('Rules'!$F$7:$F$26,MATCH(SUBSTITUTE(SUBSTITUTE(SUBSTITUTE(SUBSTITUTE("type:"&amp;B1611,"%","%25"),"~","%7E"),"*","%2A"),"?","%3F"),'Rules'!$G$7:$G$26,0)),IF(AND(C1611&lt;&gt;"",C1611&lt;&gt;INDEX('Rules'!$B$7:$B$26,MATCH(SUBSTITUTE(SUBSTITUTE(SUBSTITUTE(SUBSTITUTE("type:"&amp;B1611,"%","%25"),"~","%7E"),"*","%2A"),"?","%3F"),'Rules'!$G$7:$G$26,0))),"Unit mismatch",IF(IF(NOT(ISNUMBER(D1611)),TRUE,OR(D1611&lt;0,D1611&gt;999999999,ROUND(D1611,3)&lt;&gt;D1611)),"Invalid current reading",IF(AND(E1611&lt;&gt;"",IF(NOT(ISNUMBER(E1611)),TRUE,OR(E1611&lt;0,E1611&gt;999999999,ROUND(E1611,3)&lt;&gt;E1611))),"Invalid previous reading",IF(IF(NOT(ISNUMBER(F1611)),TRUE,OR(F1611&lt;0,F1611&gt;999999999,ROUND(F1611,3)&lt;&gt;F1611)),"Invalid last service",IF(AND(E1611&lt;&gt;"",D1611&lt;E1611),"Decreased reading",IF(F1611&gt;D1611,"Last service above current","")))))))))))))</x:f>
      </x:c>
      <x:c r="L1611" s="6" t="str">
        <x:f>IF(AND(NOT(COUNTA(A1611:F1611)=0),K1611=""),INDEX('Rules'!$C$7:$C$26,MATCH(SUBSTITUTE(SUBSTITUTE(SUBSTITUTE(SUBSTITUTE("type:"&amp;B1611,"%","%25"),"~","%7E"),"*","%2A"),"?","%3F"),'Rules'!$G$7:$G$26,0)),"")</x:f>
      </x:c>
      <x:c r="M1611" s="6" t="str">
        <x:f>IF(AND(NOT(COUNTA(A1611:F1611)=0),K1611=""),INDEX('Rules'!$D$7:$D$26,MATCH(SUBSTITUTE(SUBSTITUTE(SUBSTITUTE(SUBSTITUTE("type:"&amp;B1611,"%","%25"),"~","%7E"),"*","%2A"),"?","%3F"),'Rules'!$G$7:$G$26,0)),"")</x:f>
      </x:c>
      <x:c r="N1611" s="5" t="str">
        <x:f>IF(COUNTA(A1611:F1611)=0,"",SUBSTITUTE(SUBSTITUTE(SUBSTITUTE(SUBSTITUTE("id:"&amp;A1611,"%","%25"),"~","%7E"),"*","%2A"),"?","%3F"))</x:f>
      </x:c>
    </x:row>
    <x:row r="1612" ht="22" customHeight="1">
      <x:c r="A1612" s="3"/>
      <x:c r="B1612" s="3"/>
      <x:c r="C1612" s="3"/>
      <x:c r="D1612" s="4"/>
      <x:c r="E1612" s="4"/>
      <x:c r="F1612" s="4"/>
      <x:c r="G1612" s="5" t="str">
        <x:f>IF(COUNTA(A1612:F1612)=0,"",IF(K1612&lt;&gt;"","Review",IF(I1612&lt;0,"Overdue",IF(I1612=0,"Due now",IF(I1612&lt;=M1612,"Due soon","Not due")))))</x:f>
      </x:c>
      <x:c r="H1612" s="5" t="str">
        <x:f>IF(OR(COUNTA(A1612:F1612)=0,COUNTIFS('Rules'!$G$7:$G$26,"="&amp;(SUBSTITUTE(SUBSTITUTE(SUBSTITUTE(SUBSTITUTE("type:"&amp;B1612,"%","%25"),"~","%7E"),"*","%2A"),"?","%3F")))&lt;&gt;1),"",IF(OR(INDEX('Rules'!$B$7:$B$26,MATCH(SUBSTITUTE(SUBSTITUTE(SUBSTITUTE(SUBSTITUTE("type:"&amp;B1612,"%","%25"),"~","%7E"),"*","%2A"),"?","%3F"),'Rules'!$G$7:$G$26,0))="hours",INDEX('Rules'!$B$7:$B$26,MATCH(SUBSTITUTE(SUBSTITUTE(SUBSTITUTE(SUBSTITUTE("type:"&amp;B1612,"%","%25"),"~","%7E"),"*","%2A"),"?","%3F"),'Rules'!$G$7:$G$26,0))="km"),INDEX('Rules'!$B$7:$B$26,MATCH(SUBSTITUTE(SUBSTITUTE(SUBSTITUTE(SUBSTITUTE("type:"&amp;B1612,"%","%25"),"~","%7E"),"*","%2A"),"?","%3F"),'Rules'!$G$7:$G$26,0)),""))</x:f>
      </x:c>
      <x:c r="I1612" s="6" t="str">
        <x:f>IF(AND(NOT(COUNTA(A1612:F1612)=0),K1612=""),ROUND(J1612-D1612,3),"")</x:f>
      </x:c>
      <x:c r="J1612" s="6" t="str">
        <x:f>IF(AND(NOT(COUNTA(A1612:F1612)=0),K1612=""),ROUND(F1612+L1612,3),"")</x:f>
      </x:c>
      <x:c r="K1612" s="5" t="str">
        <x:f>IF(COUNTA(A1612:F1612)=0,"",IF(A1612="","Missing equipment ID",IF(COUNTIFS($N$8:$N$2007,"="&amp;N1612)&gt;1,"Duplicate equipment ID",IF(B1612="","Missing type",IF(COUNTIFS('Rules'!$G$7:$G$26,"="&amp;(SUBSTITUTE(SUBSTITUTE(SUBSTITUTE(SUBSTITUTE("type:"&amp;B1612,"%","%25"),"~","%7E"),"*","%2A"),"?","%3F")))=0,"Unknown type",IF(COUNTIFS('Rules'!$G$7:$G$26,"="&amp;(SUBSTITUTE(SUBSTITUTE(SUBSTITUTE(SUBSTITUTE("type:"&amp;B1612,"%","%25"),"~","%7E"),"*","%2A"),"?","%3F")))&gt;1,"Duplicate type",IF(INDEX('Rules'!$F$7:$F$26,MATCH(SUBSTITUTE(SUBSTITUTE(SUBSTITUTE(SUBSTITUTE("type:"&amp;B1612,"%","%25"),"~","%7E"),"*","%2A"),"?","%3F"),'Rules'!$G$7:$G$26,0))&lt;&gt;"",INDEX('Rules'!$F$7:$F$26,MATCH(SUBSTITUTE(SUBSTITUTE(SUBSTITUTE(SUBSTITUTE("type:"&amp;B1612,"%","%25"),"~","%7E"),"*","%2A"),"?","%3F"),'Rules'!$G$7:$G$26,0)),IF(AND(C1612&lt;&gt;"",C1612&lt;&gt;INDEX('Rules'!$B$7:$B$26,MATCH(SUBSTITUTE(SUBSTITUTE(SUBSTITUTE(SUBSTITUTE("type:"&amp;B1612,"%","%25"),"~","%7E"),"*","%2A"),"?","%3F"),'Rules'!$G$7:$G$26,0))),"Unit mismatch",IF(IF(NOT(ISNUMBER(D1612)),TRUE,OR(D1612&lt;0,D1612&gt;999999999,ROUND(D1612,3)&lt;&gt;D1612)),"Invalid current reading",IF(AND(E1612&lt;&gt;"",IF(NOT(ISNUMBER(E1612)),TRUE,OR(E1612&lt;0,E1612&gt;999999999,ROUND(E1612,3)&lt;&gt;E1612))),"Invalid previous reading",IF(IF(NOT(ISNUMBER(F1612)),TRUE,OR(F1612&lt;0,F1612&gt;999999999,ROUND(F1612,3)&lt;&gt;F1612)),"Invalid last service",IF(AND(E1612&lt;&gt;"",D1612&lt;E1612),"Decreased reading",IF(F1612&gt;D1612,"Last service above current","")))))))))))))</x:f>
      </x:c>
      <x:c r="L1612" s="6" t="str">
        <x:f>IF(AND(NOT(COUNTA(A1612:F1612)=0),K1612=""),INDEX('Rules'!$C$7:$C$26,MATCH(SUBSTITUTE(SUBSTITUTE(SUBSTITUTE(SUBSTITUTE("type:"&amp;B1612,"%","%25"),"~","%7E"),"*","%2A"),"?","%3F"),'Rules'!$G$7:$G$26,0)),"")</x:f>
      </x:c>
      <x:c r="M1612" s="6" t="str">
        <x:f>IF(AND(NOT(COUNTA(A1612:F1612)=0),K1612=""),INDEX('Rules'!$D$7:$D$26,MATCH(SUBSTITUTE(SUBSTITUTE(SUBSTITUTE(SUBSTITUTE("type:"&amp;B1612,"%","%25"),"~","%7E"),"*","%2A"),"?","%3F"),'Rules'!$G$7:$G$26,0)),"")</x:f>
      </x:c>
      <x:c r="N1612" s="5" t="str">
        <x:f>IF(COUNTA(A1612:F1612)=0,"",SUBSTITUTE(SUBSTITUTE(SUBSTITUTE(SUBSTITUTE("id:"&amp;A1612,"%","%25"),"~","%7E"),"*","%2A"),"?","%3F"))</x:f>
      </x:c>
    </x:row>
    <x:row r="1613" ht="22" customHeight="1">
      <x:c r="A1613" s="3"/>
      <x:c r="B1613" s="3"/>
      <x:c r="C1613" s="3"/>
      <x:c r="D1613" s="4"/>
      <x:c r="E1613" s="4"/>
      <x:c r="F1613" s="4"/>
      <x:c r="G1613" s="5" t="str">
        <x:f>IF(COUNTA(A1613:F1613)=0,"",IF(K1613&lt;&gt;"","Review",IF(I1613&lt;0,"Overdue",IF(I1613=0,"Due now",IF(I1613&lt;=M1613,"Due soon","Not due")))))</x:f>
      </x:c>
      <x:c r="H1613" s="5" t="str">
        <x:f>IF(OR(COUNTA(A1613:F1613)=0,COUNTIFS('Rules'!$G$7:$G$26,"="&amp;(SUBSTITUTE(SUBSTITUTE(SUBSTITUTE(SUBSTITUTE("type:"&amp;B1613,"%","%25"),"~","%7E"),"*","%2A"),"?","%3F")))&lt;&gt;1),"",IF(OR(INDEX('Rules'!$B$7:$B$26,MATCH(SUBSTITUTE(SUBSTITUTE(SUBSTITUTE(SUBSTITUTE("type:"&amp;B1613,"%","%25"),"~","%7E"),"*","%2A"),"?","%3F"),'Rules'!$G$7:$G$26,0))="hours",INDEX('Rules'!$B$7:$B$26,MATCH(SUBSTITUTE(SUBSTITUTE(SUBSTITUTE(SUBSTITUTE("type:"&amp;B1613,"%","%25"),"~","%7E"),"*","%2A"),"?","%3F"),'Rules'!$G$7:$G$26,0))="km"),INDEX('Rules'!$B$7:$B$26,MATCH(SUBSTITUTE(SUBSTITUTE(SUBSTITUTE(SUBSTITUTE("type:"&amp;B1613,"%","%25"),"~","%7E"),"*","%2A"),"?","%3F"),'Rules'!$G$7:$G$26,0)),""))</x:f>
      </x:c>
      <x:c r="I1613" s="6" t="str">
        <x:f>IF(AND(NOT(COUNTA(A1613:F1613)=0),K1613=""),ROUND(J1613-D1613,3),"")</x:f>
      </x:c>
      <x:c r="J1613" s="6" t="str">
        <x:f>IF(AND(NOT(COUNTA(A1613:F1613)=0),K1613=""),ROUND(F1613+L1613,3),"")</x:f>
      </x:c>
      <x:c r="K1613" s="5" t="str">
        <x:f>IF(COUNTA(A1613:F1613)=0,"",IF(A1613="","Missing equipment ID",IF(COUNTIFS($N$8:$N$2007,"="&amp;N1613)&gt;1,"Duplicate equipment ID",IF(B1613="","Missing type",IF(COUNTIFS('Rules'!$G$7:$G$26,"="&amp;(SUBSTITUTE(SUBSTITUTE(SUBSTITUTE(SUBSTITUTE("type:"&amp;B1613,"%","%25"),"~","%7E"),"*","%2A"),"?","%3F")))=0,"Unknown type",IF(COUNTIFS('Rules'!$G$7:$G$26,"="&amp;(SUBSTITUTE(SUBSTITUTE(SUBSTITUTE(SUBSTITUTE("type:"&amp;B1613,"%","%25"),"~","%7E"),"*","%2A"),"?","%3F")))&gt;1,"Duplicate type",IF(INDEX('Rules'!$F$7:$F$26,MATCH(SUBSTITUTE(SUBSTITUTE(SUBSTITUTE(SUBSTITUTE("type:"&amp;B1613,"%","%25"),"~","%7E"),"*","%2A"),"?","%3F"),'Rules'!$G$7:$G$26,0))&lt;&gt;"",INDEX('Rules'!$F$7:$F$26,MATCH(SUBSTITUTE(SUBSTITUTE(SUBSTITUTE(SUBSTITUTE("type:"&amp;B1613,"%","%25"),"~","%7E"),"*","%2A"),"?","%3F"),'Rules'!$G$7:$G$26,0)),IF(AND(C1613&lt;&gt;"",C1613&lt;&gt;INDEX('Rules'!$B$7:$B$26,MATCH(SUBSTITUTE(SUBSTITUTE(SUBSTITUTE(SUBSTITUTE("type:"&amp;B1613,"%","%25"),"~","%7E"),"*","%2A"),"?","%3F"),'Rules'!$G$7:$G$26,0))),"Unit mismatch",IF(IF(NOT(ISNUMBER(D1613)),TRUE,OR(D1613&lt;0,D1613&gt;999999999,ROUND(D1613,3)&lt;&gt;D1613)),"Invalid current reading",IF(AND(E1613&lt;&gt;"",IF(NOT(ISNUMBER(E1613)),TRUE,OR(E1613&lt;0,E1613&gt;999999999,ROUND(E1613,3)&lt;&gt;E1613))),"Invalid previous reading",IF(IF(NOT(ISNUMBER(F1613)),TRUE,OR(F1613&lt;0,F1613&gt;999999999,ROUND(F1613,3)&lt;&gt;F1613)),"Invalid last service",IF(AND(E1613&lt;&gt;"",D1613&lt;E1613),"Decreased reading",IF(F1613&gt;D1613,"Last service above current","")))))))))))))</x:f>
      </x:c>
      <x:c r="L1613" s="6" t="str">
        <x:f>IF(AND(NOT(COUNTA(A1613:F1613)=0),K1613=""),INDEX('Rules'!$C$7:$C$26,MATCH(SUBSTITUTE(SUBSTITUTE(SUBSTITUTE(SUBSTITUTE("type:"&amp;B1613,"%","%25"),"~","%7E"),"*","%2A"),"?","%3F"),'Rules'!$G$7:$G$26,0)),"")</x:f>
      </x:c>
      <x:c r="M1613" s="6" t="str">
        <x:f>IF(AND(NOT(COUNTA(A1613:F1613)=0),K1613=""),INDEX('Rules'!$D$7:$D$26,MATCH(SUBSTITUTE(SUBSTITUTE(SUBSTITUTE(SUBSTITUTE("type:"&amp;B1613,"%","%25"),"~","%7E"),"*","%2A"),"?","%3F"),'Rules'!$G$7:$G$26,0)),"")</x:f>
      </x:c>
      <x:c r="N1613" s="5" t="str">
        <x:f>IF(COUNTA(A1613:F1613)=0,"",SUBSTITUTE(SUBSTITUTE(SUBSTITUTE(SUBSTITUTE("id:"&amp;A1613,"%","%25"),"~","%7E"),"*","%2A"),"?","%3F"))</x:f>
      </x:c>
    </x:row>
    <x:row r="1614" ht="22" customHeight="1">
      <x:c r="A1614" s="3"/>
      <x:c r="B1614" s="3"/>
      <x:c r="C1614" s="3"/>
      <x:c r="D1614" s="4"/>
      <x:c r="E1614" s="4"/>
      <x:c r="F1614" s="4"/>
      <x:c r="G1614" s="5" t="str">
        <x:f>IF(COUNTA(A1614:F1614)=0,"",IF(K1614&lt;&gt;"","Review",IF(I1614&lt;0,"Overdue",IF(I1614=0,"Due now",IF(I1614&lt;=M1614,"Due soon","Not due")))))</x:f>
      </x:c>
      <x:c r="H1614" s="5" t="str">
        <x:f>IF(OR(COUNTA(A1614:F1614)=0,COUNTIFS('Rules'!$G$7:$G$26,"="&amp;(SUBSTITUTE(SUBSTITUTE(SUBSTITUTE(SUBSTITUTE("type:"&amp;B1614,"%","%25"),"~","%7E"),"*","%2A"),"?","%3F")))&lt;&gt;1),"",IF(OR(INDEX('Rules'!$B$7:$B$26,MATCH(SUBSTITUTE(SUBSTITUTE(SUBSTITUTE(SUBSTITUTE("type:"&amp;B1614,"%","%25"),"~","%7E"),"*","%2A"),"?","%3F"),'Rules'!$G$7:$G$26,0))="hours",INDEX('Rules'!$B$7:$B$26,MATCH(SUBSTITUTE(SUBSTITUTE(SUBSTITUTE(SUBSTITUTE("type:"&amp;B1614,"%","%25"),"~","%7E"),"*","%2A"),"?","%3F"),'Rules'!$G$7:$G$26,0))="km"),INDEX('Rules'!$B$7:$B$26,MATCH(SUBSTITUTE(SUBSTITUTE(SUBSTITUTE(SUBSTITUTE("type:"&amp;B1614,"%","%25"),"~","%7E"),"*","%2A"),"?","%3F"),'Rules'!$G$7:$G$26,0)),""))</x:f>
      </x:c>
      <x:c r="I1614" s="6" t="str">
        <x:f>IF(AND(NOT(COUNTA(A1614:F1614)=0),K1614=""),ROUND(J1614-D1614,3),"")</x:f>
      </x:c>
      <x:c r="J1614" s="6" t="str">
        <x:f>IF(AND(NOT(COUNTA(A1614:F1614)=0),K1614=""),ROUND(F1614+L1614,3),"")</x:f>
      </x:c>
      <x:c r="K1614" s="5" t="str">
        <x:f>IF(COUNTA(A1614:F1614)=0,"",IF(A1614="","Missing equipment ID",IF(COUNTIFS($N$8:$N$2007,"="&amp;N1614)&gt;1,"Duplicate equipment ID",IF(B1614="","Missing type",IF(COUNTIFS('Rules'!$G$7:$G$26,"="&amp;(SUBSTITUTE(SUBSTITUTE(SUBSTITUTE(SUBSTITUTE("type:"&amp;B1614,"%","%25"),"~","%7E"),"*","%2A"),"?","%3F")))=0,"Unknown type",IF(COUNTIFS('Rules'!$G$7:$G$26,"="&amp;(SUBSTITUTE(SUBSTITUTE(SUBSTITUTE(SUBSTITUTE("type:"&amp;B1614,"%","%25"),"~","%7E"),"*","%2A"),"?","%3F")))&gt;1,"Duplicate type",IF(INDEX('Rules'!$F$7:$F$26,MATCH(SUBSTITUTE(SUBSTITUTE(SUBSTITUTE(SUBSTITUTE("type:"&amp;B1614,"%","%25"),"~","%7E"),"*","%2A"),"?","%3F"),'Rules'!$G$7:$G$26,0))&lt;&gt;"",INDEX('Rules'!$F$7:$F$26,MATCH(SUBSTITUTE(SUBSTITUTE(SUBSTITUTE(SUBSTITUTE("type:"&amp;B1614,"%","%25"),"~","%7E"),"*","%2A"),"?","%3F"),'Rules'!$G$7:$G$26,0)),IF(AND(C1614&lt;&gt;"",C1614&lt;&gt;INDEX('Rules'!$B$7:$B$26,MATCH(SUBSTITUTE(SUBSTITUTE(SUBSTITUTE(SUBSTITUTE("type:"&amp;B1614,"%","%25"),"~","%7E"),"*","%2A"),"?","%3F"),'Rules'!$G$7:$G$26,0))),"Unit mismatch",IF(IF(NOT(ISNUMBER(D1614)),TRUE,OR(D1614&lt;0,D1614&gt;999999999,ROUND(D1614,3)&lt;&gt;D1614)),"Invalid current reading",IF(AND(E1614&lt;&gt;"",IF(NOT(ISNUMBER(E1614)),TRUE,OR(E1614&lt;0,E1614&gt;999999999,ROUND(E1614,3)&lt;&gt;E1614))),"Invalid previous reading",IF(IF(NOT(ISNUMBER(F1614)),TRUE,OR(F1614&lt;0,F1614&gt;999999999,ROUND(F1614,3)&lt;&gt;F1614)),"Invalid last service",IF(AND(E1614&lt;&gt;"",D1614&lt;E1614),"Decreased reading",IF(F1614&gt;D1614,"Last service above current","")))))))))))))</x:f>
      </x:c>
      <x:c r="L1614" s="6" t="str">
        <x:f>IF(AND(NOT(COUNTA(A1614:F1614)=0),K1614=""),INDEX('Rules'!$C$7:$C$26,MATCH(SUBSTITUTE(SUBSTITUTE(SUBSTITUTE(SUBSTITUTE("type:"&amp;B1614,"%","%25"),"~","%7E"),"*","%2A"),"?","%3F"),'Rules'!$G$7:$G$26,0)),"")</x:f>
      </x:c>
      <x:c r="M1614" s="6" t="str">
        <x:f>IF(AND(NOT(COUNTA(A1614:F1614)=0),K1614=""),INDEX('Rules'!$D$7:$D$26,MATCH(SUBSTITUTE(SUBSTITUTE(SUBSTITUTE(SUBSTITUTE("type:"&amp;B1614,"%","%25"),"~","%7E"),"*","%2A"),"?","%3F"),'Rules'!$G$7:$G$26,0)),"")</x:f>
      </x:c>
      <x:c r="N1614" s="5" t="str">
        <x:f>IF(COUNTA(A1614:F1614)=0,"",SUBSTITUTE(SUBSTITUTE(SUBSTITUTE(SUBSTITUTE("id:"&amp;A1614,"%","%25"),"~","%7E"),"*","%2A"),"?","%3F"))</x:f>
      </x:c>
    </x:row>
    <x:row r="1615" ht="22" customHeight="1">
      <x:c r="A1615" s="3"/>
      <x:c r="B1615" s="3"/>
      <x:c r="C1615" s="3"/>
      <x:c r="D1615" s="4"/>
      <x:c r="E1615" s="4"/>
      <x:c r="F1615" s="4"/>
      <x:c r="G1615" s="5" t="str">
        <x:f>IF(COUNTA(A1615:F1615)=0,"",IF(K1615&lt;&gt;"","Review",IF(I1615&lt;0,"Overdue",IF(I1615=0,"Due now",IF(I1615&lt;=M1615,"Due soon","Not due")))))</x:f>
      </x:c>
      <x:c r="H1615" s="5" t="str">
        <x:f>IF(OR(COUNTA(A1615:F1615)=0,COUNTIFS('Rules'!$G$7:$G$26,"="&amp;(SUBSTITUTE(SUBSTITUTE(SUBSTITUTE(SUBSTITUTE("type:"&amp;B1615,"%","%25"),"~","%7E"),"*","%2A"),"?","%3F")))&lt;&gt;1),"",IF(OR(INDEX('Rules'!$B$7:$B$26,MATCH(SUBSTITUTE(SUBSTITUTE(SUBSTITUTE(SUBSTITUTE("type:"&amp;B1615,"%","%25"),"~","%7E"),"*","%2A"),"?","%3F"),'Rules'!$G$7:$G$26,0))="hours",INDEX('Rules'!$B$7:$B$26,MATCH(SUBSTITUTE(SUBSTITUTE(SUBSTITUTE(SUBSTITUTE("type:"&amp;B1615,"%","%25"),"~","%7E"),"*","%2A"),"?","%3F"),'Rules'!$G$7:$G$26,0))="km"),INDEX('Rules'!$B$7:$B$26,MATCH(SUBSTITUTE(SUBSTITUTE(SUBSTITUTE(SUBSTITUTE("type:"&amp;B1615,"%","%25"),"~","%7E"),"*","%2A"),"?","%3F"),'Rules'!$G$7:$G$26,0)),""))</x:f>
      </x:c>
      <x:c r="I1615" s="6" t="str">
        <x:f>IF(AND(NOT(COUNTA(A1615:F1615)=0),K1615=""),ROUND(J1615-D1615,3),"")</x:f>
      </x:c>
      <x:c r="J1615" s="6" t="str">
        <x:f>IF(AND(NOT(COUNTA(A1615:F1615)=0),K1615=""),ROUND(F1615+L1615,3),"")</x:f>
      </x:c>
      <x:c r="K1615" s="5" t="str">
        <x:f>IF(COUNTA(A1615:F1615)=0,"",IF(A1615="","Missing equipment ID",IF(COUNTIFS($N$8:$N$2007,"="&amp;N1615)&gt;1,"Duplicate equipment ID",IF(B1615="","Missing type",IF(COUNTIFS('Rules'!$G$7:$G$26,"="&amp;(SUBSTITUTE(SUBSTITUTE(SUBSTITUTE(SUBSTITUTE("type:"&amp;B1615,"%","%25"),"~","%7E"),"*","%2A"),"?","%3F")))=0,"Unknown type",IF(COUNTIFS('Rules'!$G$7:$G$26,"="&amp;(SUBSTITUTE(SUBSTITUTE(SUBSTITUTE(SUBSTITUTE("type:"&amp;B1615,"%","%25"),"~","%7E"),"*","%2A"),"?","%3F")))&gt;1,"Duplicate type",IF(INDEX('Rules'!$F$7:$F$26,MATCH(SUBSTITUTE(SUBSTITUTE(SUBSTITUTE(SUBSTITUTE("type:"&amp;B1615,"%","%25"),"~","%7E"),"*","%2A"),"?","%3F"),'Rules'!$G$7:$G$26,0))&lt;&gt;"",INDEX('Rules'!$F$7:$F$26,MATCH(SUBSTITUTE(SUBSTITUTE(SUBSTITUTE(SUBSTITUTE("type:"&amp;B1615,"%","%25"),"~","%7E"),"*","%2A"),"?","%3F"),'Rules'!$G$7:$G$26,0)),IF(AND(C1615&lt;&gt;"",C1615&lt;&gt;INDEX('Rules'!$B$7:$B$26,MATCH(SUBSTITUTE(SUBSTITUTE(SUBSTITUTE(SUBSTITUTE("type:"&amp;B1615,"%","%25"),"~","%7E"),"*","%2A"),"?","%3F"),'Rules'!$G$7:$G$26,0))),"Unit mismatch",IF(IF(NOT(ISNUMBER(D1615)),TRUE,OR(D1615&lt;0,D1615&gt;999999999,ROUND(D1615,3)&lt;&gt;D1615)),"Invalid current reading",IF(AND(E1615&lt;&gt;"",IF(NOT(ISNUMBER(E1615)),TRUE,OR(E1615&lt;0,E1615&gt;999999999,ROUND(E1615,3)&lt;&gt;E1615))),"Invalid previous reading",IF(IF(NOT(ISNUMBER(F1615)),TRUE,OR(F1615&lt;0,F1615&gt;999999999,ROUND(F1615,3)&lt;&gt;F1615)),"Invalid last service",IF(AND(E1615&lt;&gt;"",D1615&lt;E1615),"Decreased reading",IF(F1615&gt;D1615,"Last service above current","")))))))))))))</x:f>
      </x:c>
      <x:c r="L1615" s="6" t="str">
        <x:f>IF(AND(NOT(COUNTA(A1615:F1615)=0),K1615=""),INDEX('Rules'!$C$7:$C$26,MATCH(SUBSTITUTE(SUBSTITUTE(SUBSTITUTE(SUBSTITUTE("type:"&amp;B1615,"%","%25"),"~","%7E"),"*","%2A"),"?","%3F"),'Rules'!$G$7:$G$26,0)),"")</x:f>
      </x:c>
      <x:c r="M1615" s="6" t="str">
        <x:f>IF(AND(NOT(COUNTA(A1615:F1615)=0),K1615=""),INDEX('Rules'!$D$7:$D$26,MATCH(SUBSTITUTE(SUBSTITUTE(SUBSTITUTE(SUBSTITUTE("type:"&amp;B1615,"%","%25"),"~","%7E"),"*","%2A"),"?","%3F"),'Rules'!$G$7:$G$26,0)),"")</x:f>
      </x:c>
      <x:c r="N1615" s="5" t="str">
        <x:f>IF(COUNTA(A1615:F1615)=0,"",SUBSTITUTE(SUBSTITUTE(SUBSTITUTE(SUBSTITUTE("id:"&amp;A1615,"%","%25"),"~","%7E"),"*","%2A"),"?","%3F"))</x:f>
      </x:c>
    </x:row>
    <x:row r="1616" ht="22" customHeight="1">
      <x:c r="A1616" s="3"/>
      <x:c r="B1616" s="3"/>
      <x:c r="C1616" s="3"/>
      <x:c r="D1616" s="4"/>
      <x:c r="E1616" s="4"/>
      <x:c r="F1616" s="4"/>
      <x:c r="G1616" s="5" t="str">
        <x:f>IF(COUNTA(A1616:F1616)=0,"",IF(K1616&lt;&gt;"","Review",IF(I1616&lt;0,"Overdue",IF(I1616=0,"Due now",IF(I1616&lt;=M1616,"Due soon","Not due")))))</x:f>
      </x:c>
      <x:c r="H1616" s="5" t="str">
        <x:f>IF(OR(COUNTA(A1616:F1616)=0,COUNTIFS('Rules'!$G$7:$G$26,"="&amp;(SUBSTITUTE(SUBSTITUTE(SUBSTITUTE(SUBSTITUTE("type:"&amp;B1616,"%","%25"),"~","%7E"),"*","%2A"),"?","%3F")))&lt;&gt;1),"",IF(OR(INDEX('Rules'!$B$7:$B$26,MATCH(SUBSTITUTE(SUBSTITUTE(SUBSTITUTE(SUBSTITUTE("type:"&amp;B1616,"%","%25"),"~","%7E"),"*","%2A"),"?","%3F"),'Rules'!$G$7:$G$26,0))="hours",INDEX('Rules'!$B$7:$B$26,MATCH(SUBSTITUTE(SUBSTITUTE(SUBSTITUTE(SUBSTITUTE("type:"&amp;B1616,"%","%25"),"~","%7E"),"*","%2A"),"?","%3F"),'Rules'!$G$7:$G$26,0))="km"),INDEX('Rules'!$B$7:$B$26,MATCH(SUBSTITUTE(SUBSTITUTE(SUBSTITUTE(SUBSTITUTE("type:"&amp;B1616,"%","%25"),"~","%7E"),"*","%2A"),"?","%3F"),'Rules'!$G$7:$G$26,0)),""))</x:f>
      </x:c>
      <x:c r="I1616" s="6" t="str">
        <x:f>IF(AND(NOT(COUNTA(A1616:F1616)=0),K1616=""),ROUND(J1616-D1616,3),"")</x:f>
      </x:c>
      <x:c r="J1616" s="6" t="str">
        <x:f>IF(AND(NOT(COUNTA(A1616:F1616)=0),K1616=""),ROUND(F1616+L1616,3),"")</x:f>
      </x:c>
      <x:c r="K1616" s="5" t="str">
        <x:f>IF(COUNTA(A1616:F1616)=0,"",IF(A1616="","Missing equipment ID",IF(COUNTIFS($N$8:$N$2007,"="&amp;N1616)&gt;1,"Duplicate equipment ID",IF(B1616="","Missing type",IF(COUNTIFS('Rules'!$G$7:$G$26,"="&amp;(SUBSTITUTE(SUBSTITUTE(SUBSTITUTE(SUBSTITUTE("type:"&amp;B1616,"%","%25"),"~","%7E"),"*","%2A"),"?","%3F")))=0,"Unknown type",IF(COUNTIFS('Rules'!$G$7:$G$26,"="&amp;(SUBSTITUTE(SUBSTITUTE(SUBSTITUTE(SUBSTITUTE("type:"&amp;B1616,"%","%25"),"~","%7E"),"*","%2A"),"?","%3F")))&gt;1,"Duplicate type",IF(INDEX('Rules'!$F$7:$F$26,MATCH(SUBSTITUTE(SUBSTITUTE(SUBSTITUTE(SUBSTITUTE("type:"&amp;B1616,"%","%25"),"~","%7E"),"*","%2A"),"?","%3F"),'Rules'!$G$7:$G$26,0))&lt;&gt;"",INDEX('Rules'!$F$7:$F$26,MATCH(SUBSTITUTE(SUBSTITUTE(SUBSTITUTE(SUBSTITUTE("type:"&amp;B1616,"%","%25"),"~","%7E"),"*","%2A"),"?","%3F"),'Rules'!$G$7:$G$26,0)),IF(AND(C1616&lt;&gt;"",C1616&lt;&gt;INDEX('Rules'!$B$7:$B$26,MATCH(SUBSTITUTE(SUBSTITUTE(SUBSTITUTE(SUBSTITUTE("type:"&amp;B1616,"%","%25"),"~","%7E"),"*","%2A"),"?","%3F"),'Rules'!$G$7:$G$26,0))),"Unit mismatch",IF(IF(NOT(ISNUMBER(D1616)),TRUE,OR(D1616&lt;0,D1616&gt;999999999,ROUND(D1616,3)&lt;&gt;D1616)),"Invalid current reading",IF(AND(E1616&lt;&gt;"",IF(NOT(ISNUMBER(E1616)),TRUE,OR(E1616&lt;0,E1616&gt;999999999,ROUND(E1616,3)&lt;&gt;E1616))),"Invalid previous reading",IF(IF(NOT(ISNUMBER(F1616)),TRUE,OR(F1616&lt;0,F1616&gt;999999999,ROUND(F1616,3)&lt;&gt;F1616)),"Invalid last service",IF(AND(E1616&lt;&gt;"",D1616&lt;E1616),"Decreased reading",IF(F1616&gt;D1616,"Last service above current","")))))))))))))</x:f>
      </x:c>
      <x:c r="L1616" s="6" t="str">
        <x:f>IF(AND(NOT(COUNTA(A1616:F1616)=0),K1616=""),INDEX('Rules'!$C$7:$C$26,MATCH(SUBSTITUTE(SUBSTITUTE(SUBSTITUTE(SUBSTITUTE("type:"&amp;B1616,"%","%25"),"~","%7E"),"*","%2A"),"?","%3F"),'Rules'!$G$7:$G$26,0)),"")</x:f>
      </x:c>
      <x:c r="M1616" s="6" t="str">
        <x:f>IF(AND(NOT(COUNTA(A1616:F1616)=0),K1616=""),INDEX('Rules'!$D$7:$D$26,MATCH(SUBSTITUTE(SUBSTITUTE(SUBSTITUTE(SUBSTITUTE("type:"&amp;B1616,"%","%25"),"~","%7E"),"*","%2A"),"?","%3F"),'Rules'!$G$7:$G$26,0)),"")</x:f>
      </x:c>
      <x:c r="N1616" s="5" t="str">
        <x:f>IF(COUNTA(A1616:F1616)=0,"",SUBSTITUTE(SUBSTITUTE(SUBSTITUTE(SUBSTITUTE("id:"&amp;A1616,"%","%25"),"~","%7E"),"*","%2A"),"?","%3F"))</x:f>
      </x:c>
    </x:row>
    <x:row r="1617" ht="22" customHeight="1">
      <x:c r="A1617" s="3"/>
      <x:c r="B1617" s="3"/>
      <x:c r="C1617" s="3"/>
      <x:c r="D1617" s="4"/>
      <x:c r="E1617" s="4"/>
      <x:c r="F1617" s="4"/>
      <x:c r="G1617" s="5" t="str">
        <x:f>IF(COUNTA(A1617:F1617)=0,"",IF(K1617&lt;&gt;"","Review",IF(I1617&lt;0,"Overdue",IF(I1617=0,"Due now",IF(I1617&lt;=M1617,"Due soon","Not due")))))</x:f>
      </x:c>
      <x:c r="H1617" s="5" t="str">
        <x:f>IF(OR(COUNTA(A1617:F1617)=0,COUNTIFS('Rules'!$G$7:$G$26,"="&amp;(SUBSTITUTE(SUBSTITUTE(SUBSTITUTE(SUBSTITUTE("type:"&amp;B1617,"%","%25"),"~","%7E"),"*","%2A"),"?","%3F")))&lt;&gt;1),"",IF(OR(INDEX('Rules'!$B$7:$B$26,MATCH(SUBSTITUTE(SUBSTITUTE(SUBSTITUTE(SUBSTITUTE("type:"&amp;B1617,"%","%25"),"~","%7E"),"*","%2A"),"?","%3F"),'Rules'!$G$7:$G$26,0))="hours",INDEX('Rules'!$B$7:$B$26,MATCH(SUBSTITUTE(SUBSTITUTE(SUBSTITUTE(SUBSTITUTE("type:"&amp;B1617,"%","%25"),"~","%7E"),"*","%2A"),"?","%3F"),'Rules'!$G$7:$G$26,0))="km"),INDEX('Rules'!$B$7:$B$26,MATCH(SUBSTITUTE(SUBSTITUTE(SUBSTITUTE(SUBSTITUTE("type:"&amp;B1617,"%","%25"),"~","%7E"),"*","%2A"),"?","%3F"),'Rules'!$G$7:$G$26,0)),""))</x:f>
      </x:c>
      <x:c r="I1617" s="6" t="str">
        <x:f>IF(AND(NOT(COUNTA(A1617:F1617)=0),K1617=""),ROUND(J1617-D1617,3),"")</x:f>
      </x:c>
      <x:c r="J1617" s="6" t="str">
        <x:f>IF(AND(NOT(COUNTA(A1617:F1617)=0),K1617=""),ROUND(F1617+L1617,3),"")</x:f>
      </x:c>
      <x:c r="K1617" s="5" t="str">
        <x:f>IF(COUNTA(A1617:F1617)=0,"",IF(A1617="","Missing equipment ID",IF(COUNTIFS($N$8:$N$2007,"="&amp;N1617)&gt;1,"Duplicate equipment ID",IF(B1617="","Missing type",IF(COUNTIFS('Rules'!$G$7:$G$26,"="&amp;(SUBSTITUTE(SUBSTITUTE(SUBSTITUTE(SUBSTITUTE("type:"&amp;B1617,"%","%25"),"~","%7E"),"*","%2A"),"?","%3F")))=0,"Unknown type",IF(COUNTIFS('Rules'!$G$7:$G$26,"="&amp;(SUBSTITUTE(SUBSTITUTE(SUBSTITUTE(SUBSTITUTE("type:"&amp;B1617,"%","%25"),"~","%7E"),"*","%2A"),"?","%3F")))&gt;1,"Duplicate type",IF(INDEX('Rules'!$F$7:$F$26,MATCH(SUBSTITUTE(SUBSTITUTE(SUBSTITUTE(SUBSTITUTE("type:"&amp;B1617,"%","%25"),"~","%7E"),"*","%2A"),"?","%3F"),'Rules'!$G$7:$G$26,0))&lt;&gt;"",INDEX('Rules'!$F$7:$F$26,MATCH(SUBSTITUTE(SUBSTITUTE(SUBSTITUTE(SUBSTITUTE("type:"&amp;B1617,"%","%25"),"~","%7E"),"*","%2A"),"?","%3F"),'Rules'!$G$7:$G$26,0)),IF(AND(C1617&lt;&gt;"",C1617&lt;&gt;INDEX('Rules'!$B$7:$B$26,MATCH(SUBSTITUTE(SUBSTITUTE(SUBSTITUTE(SUBSTITUTE("type:"&amp;B1617,"%","%25"),"~","%7E"),"*","%2A"),"?","%3F"),'Rules'!$G$7:$G$26,0))),"Unit mismatch",IF(IF(NOT(ISNUMBER(D1617)),TRUE,OR(D1617&lt;0,D1617&gt;999999999,ROUND(D1617,3)&lt;&gt;D1617)),"Invalid current reading",IF(AND(E1617&lt;&gt;"",IF(NOT(ISNUMBER(E1617)),TRUE,OR(E1617&lt;0,E1617&gt;999999999,ROUND(E1617,3)&lt;&gt;E1617))),"Invalid previous reading",IF(IF(NOT(ISNUMBER(F1617)),TRUE,OR(F1617&lt;0,F1617&gt;999999999,ROUND(F1617,3)&lt;&gt;F1617)),"Invalid last service",IF(AND(E1617&lt;&gt;"",D1617&lt;E1617),"Decreased reading",IF(F1617&gt;D1617,"Last service above current","")))))))))))))</x:f>
      </x:c>
      <x:c r="L1617" s="6" t="str">
        <x:f>IF(AND(NOT(COUNTA(A1617:F1617)=0),K1617=""),INDEX('Rules'!$C$7:$C$26,MATCH(SUBSTITUTE(SUBSTITUTE(SUBSTITUTE(SUBSTITUTE("type:"&amp;B1617,"%","%25"),"~","%7E"),"*","%2A"),"?","%3F"),'Rules'!$G$7:$G$26,0)),"")</x:f>
      </x:c>
      <x:c r="M1617" s="6" t="str">
        <x:f>IF(AND(NOT(COUNTA(A1617:F1617)=0),K1617=""),INDEX('Rules'!$D$7:$D$26,MATCH(SUBSTITUTE(SUBSTITUTE(SUBSTITUTE(SUBSTITUTE("type:"&amp;B1617,"%","%25"),"~","%7E"),"*","%2A"),"?","%3F"),'Rules'!$G$7:$G$26,0)),"")</x:f>
      </x:c>
      <x:c r="N1617" s="5" t="str">
        <x:f>IF(COUNTA(A1617:F1617)=0,"",SUBSTITUTE(SUBSTITUTE(SUBSTITUTE(SUBSTITUTE("id:"&amp;A1617,"%","%25"),"~","%7E"),"*","%2A"),"?","%3F"))</x:f>
      </x:c>
    </x:row>
    <x:row r="1618" ht="22" customHeight="1">
      <x:c r="A1618" s="3"/>
      <x:c r="B1618" s="3"/>
      <x:c r="C1618" s="3"/>
      <x:c r="D1618" s="4"/>
      <x:c r="E1618" s="4"/>
      <x:c r="F1618" s="4"/>
      <x:c r="G1618" s="5" t="str">
        <x:f>IF(COUNTA(A1618:F1618)=0,"",IF(K1618&lt;&gt;"","Review",IF(I1618&lt;0,"Overdue",IF(I1618=0,"Due now",IF(I1618&lt;=M1618,"Due soon","Not due")))))</x:f>
      </x:c>
      <x:c r="H1618" s="5" t="str">
        <x:f>IF(OR(COUNTA(A1618:F1618)=0,COUNTIFS('Rules'!$G$7:$G$26,"="&amp;(SUBSTITUTE(SUBSTITUTE(SUBSTITUTE(SUBSTITUTE("type:"&amp;B1618,"%","%25"),"~","%7E"),"*","%2A"),"?","%3F")))&lt;&gt;1),"",IF(OR(INDEX('Rules'!$B$7:$B$26,MATCH(SUBSTITUTE(SUBSTITUTE(SUBSTITUTE(SUBSTITUTE("type:"&amp;B1618,"%","%25"),"~","%7E"),"*","%2A"),"?","%3F"),'Rules'!$G$7:$G$26,0))="hours",INDEX('Rules'!$B$7:$B$26,MATCH(SUBSTITUTE(SUBSTITUTE(SUBSTITUTE(SUBSTITUTE("type:"&amp;B1618,"%","%25"),"~","%7E"),"*","%2A"),"?","%3F"),'Rules'!$G$7:$G$26,0))="km"),INDEX('Rules'!$B$7:$B$26,MATCH(SUBSTITUTE(SUBSTITUTE(SUBSTITUTE(SUBSTITUTE("type:"&amp;B1618,"%","%25"),"~","%7E"),"*","%2A"),"?","%3F"),'Rules'!$G$7:$G$26,0)),""))</x:f>
      </x:c>
      <x:c r="I1618" s="6" t="str">
        <x:f>IF(AND(NOT(COUNTA(A1618:F1618)=0),K1618=""),ROUND(J1618-D1618,3),"")</x:f>
      </x:c>
      <x:c r="J1618" s="6" t="str">
        <x:f>IF(AND(NOT(COUNTA(A1618:F1618)=0),K1618=""),ROUND(F1618+L1618,3),"")</x:f>
      </x:c>
      <x:c r="K1618" s="5" t="str">
        <x:f>IF(COUNTA(A1618:F1618)=0,"",IF(A1618="","Missing equipment ID",IF(COUNTIFS($N$8:$N$2007,"="&amp;N1618)&gt;1,"Duplicate equipment ID",IF(B1618="","Missing type",IF(COUNTIFS('Rules'!$G$7:$G$26,"="&amp;(SUBSTITUTE(SUBSTITUTE(SUBSTITUTE(SUBSTITUTE("type:"&amp;B1618,"%","%25"),"~","%7E"),"*","%2A"),"?","%3F")))=0,"Unknown type",IF(COUNTIFS('Rules'!$G$7:$G$26,"="&amp;(SUBSTITUTE(SUBSTITUTE(SUBSTITUTE(SUBSTITUTE("type:"&amp;B1618,"%","%25"),"~","%7E"),"*","%2A"),"?","%3F")))&gt;1,"Duplicate type",IF(INDEX('Rules'!$F$7:$F$26,MATCH(SUBSTITUTE(SUBSTITUTE(SUBSTITUTE(SUBSTITUTE("type:"&amp;B1618,"%","%25"),"~","%7E"),"*","%2A"),"?","%3F"),'Rules'!$G$7:$G$26,0))&lt;&gt;"",INDEX('Rules'!$F$7:$F$26,MATCH(SUBSTITUTE(SUBSTITUTE(SUBSTITUTE(SUBSTITUTE("type:"&amp;B1618,"%","%25"),"~","%7E"),"*","%2A"),"?","%3F"),'Rules'!$G$7:$G$26,0)),IF(AND(C1618&lt;&gt;"",C1618&lt;&gt;INDEX('Rules'!$B$7:$B$26,MATCH(SUBSTITUTE(SUBSTITUTE(SUBSTITUTE(SUBSTITUTE("type:"&amp;B1618,"%","%25"),"~","%7E"),"*","%2A"),"?","%3F"),'Rules'!$G$7:$G$26,0))),"Unit mismatch",IF(IF(NOT(ISNUMBER(D1618)),TRUE,OR(D1618&lt;0,D1618&gt;999999999,ROUND(D1618,3)&lt;&gt;D1618)),"Invalid current reading",IF(AND(E1618&lt;&gt;"",IF(NOT(ISNUMBER(E1618)),TRUE,OR(E1618&lt;0,E1618&gt;999999999,ROUND(E1618,3)&lt;&gt;E1618))),"Invalid previous reading",IF(IF(NOT(ISNUMBER(F1618)),TRUE,OR(F1618&lt;0,F1618&gt;999999999,ROUND(F1618,3)&lt;&gt;F1618)),"Invalid last service",IF(AND(E1618&lt;&gt;"",D1618&lt;E1618),"Decreased reading",IF(F1618&gt;D1618,"Last service above current","")))))))))))))</x:f>
      </x:c>
      <x:c r="L1618" s="6" t="str">
        <x:f>IF(AND(NOT(COUNTA(A1618:F1618)=0),K1618=""),INDEX('Rules'!$C$7:$C$26,MATCH(SUBSTITUTE(SUBSTITUTE(SUBSTITUTE(SUBSTITUTE("type:"&amp;B1618,"%","%25"),"~","%7E"),"*","%2A"),"?","%3F"),'Rules'!$G$7:$G$26,0)),"")</x:f>
      </x:c>
      <x:c r="M1618" s="6" t="str">
        <x:f>IF(AND(NOT(COUNTA(A1618:F1618)=0),K1618=""),INDEX('Rules'!$D$7:$D$26,MATCH(SUBSTITUTE(SUBSTITUTE(SUBSTITUTE(SUBSTITUTE("type:"&amp;B1618,"%","%25"),"~","%7E"),"*","%2A"),"?","%3F"),'Rules'!$G$7:$G$26,0)),"")</x:f>
      </x:c>
      <x:c r="N1618" s="5" t="str">
        <x:f>IF(COUNTA(A1618:F1618)=0,"",SUBSTITUTE(SUBSTITUTE(SUBSTITUTE(SUBSTITUTE("id:"&amp;A1618,"%","%25"),"~","%7E"),"*","%2A"),"?","%3F"))</x:f>
      </x:c>
    </x:row>
    <x:row r="1619" ht="22" customHeight="1">
      <x:c r="A1619" s="3"/>
      <x:c r="B1619" s="3"/>
      <x:c r="C1619" s="3"/>
      <x:c r="D1619" s="4"/>
      <x:c r="E1619" s="4"/>
      <x:c r="F1619" s="4"/>
      <x:c r="G1619" s="5" t="str">
        <x:f>IF(COUNTA(A1619:F1619)=0,"",IF(K1619&lt;&gt;"","Review",IF(I1619&lt;0,"Overdue",IF(I1619=0,"Due now",IF(I1619&lt;=M1619,"Due soon","Not due")))))</x:f>
      </x:c>
      <x:c r="H1619" s="5" t="str">
        <x:f>IF(OR(COUNTA(A1619:F1619)=0,COUNTIFS('Rules'!$G$7:$G$26,"="&amp;(SUBSTITUTE(SUBSTITUTE(SUBSTITUTE(SUBSTITUTE("type:"&amp;B1619,"%","%25"),"~","%7E"),"*","%2A"),"?","%3F")))&lt;&gt;1),"",IF(OR(INDEX('Rules'!$B$7:$B$26,MATCH(SUBSTITUTE(SUBSTITUTE(SUBSTITUTE(SUBSTITUTE("type:"&amp;B1619,"%","%25"),"~","%7E"),"*","%2A"),"?","%3F"),'Rules'!$G$7:$G$26,0))="hours",INDEX('Rules'!$B$7:$B$26,MATCH(SUBSTITUTE(SUBSTITUTE(SUBSTITUTE(SUBSTITUTE("type:"&amp;B1619,"%","%25"),"~","%7E"),"*","%2A"),"?","%3F"),'Rules'!$G$7:$G$26,0))="km"),INDEX('Rules'!$B$7:$B$26,MATCH(SUBSTITUTE(SUBSTITUTE(SUBSTITUTE(SUBSTITUTE("type:"&amp;B1619,"%","%25"),"~","%7E"),"*","%2A"),"?","%3F"),'Rules'!$G$7:$G$26,0)),""))</x:f>
      </x:c>
      <x:c r="I1619" s="6" t="str">
        <x:f>IF(AND(NOT(COUNTA(A1619:F1619)=0),K1619=""),ROUND(J1619-D1619,3),"")</x:f>
      </x:c>
      <x:c r="J1619" s="6" t="str">
        <x:f>IF(AND(NOT(COUNTA(A1619:F1619)=0),K1619=""),ROUND(F1619+L1619,3),"")</x:f>
      </x:c>
      <x:c r="K1619" s="5" t="str">
        <x:f>IF(COUNTA(A1619:F1619)=0,"",IF(A1619="","Missing equipment ID",IF(COUNTIFS($N$8:$N$2007,"="&amp;N1619)&gt;1,"Duplicate equipment ID",IF(B1619="","Missing type",IF(COUNTIFS('Rules'!$G$7:$G$26,"="&amp;(SUBSTITUTE(SUBSTITUTE(SUBSTITUTE(SUBSTITUTE("type:"&amp;B1619,"%","%25"),"~","%7E"),"*","%2A"),"?","%3F")))=0,"Unknown type",IF(COUNTIFS('Rules'!$G$7:$G$26,"="&amp;(SUBSTITUTE(SUBSTITUTE(SUBSTITUTE(SUBSTITUTE("type:"&amp;B1619,"%","%25"),"~","%7E"),"*","%2A"),"?","%3F")))&gt;1,"Duplicate type",IF(INDEX('Rules'!$F$7:$F$26,MATCH(SUBSTITUTE(SUBSTITUTE(SUBSTITUTE(SUBSTITUTE("type:"&amp;B1619,"%","%25"),"~","%7E"),"*","%2A"),"?","%3F"),'Rules'!$G$7:$G$26,0))&lt;&gt;"",INDEX('Rules'!$F$7:$F$26,MATCH(SUBSTITUTE(SUBSTITUTE(SUBSTITUTE(SUBSTITUTE("type:"&amp;B1619,"%","%25"),"~","%7E"),"*","%2A"),"?","%3F"),'Rules'!$G$7:$G$26,0)),IF(AND(C1619&lt;&gt;"",C1619&lt;&gt;INDEX('Rules'!$B$7:$B$26,MATCH(SUBSTITUTE(SUBSTITUTE(SUBSTITUTE(SUBSTITUTE("type:"&amp;B1619,"%","%25"),"~","%7E"),"*","%2A"),"?","%3F"),'Rules'!$G$7:$G$26,0))),"Unit mismatch",IF(IF(NOT(ISNUMBER(D1619)),TRUE,OR(D1619&lt;0,D1619&gt;999999999,ROUND(D1619,3)&lt;&gt;D1619)),"Invalid current reading",IF(AND(E1619&lt;&gt;"",IF(NOT(ISNUMBER(E1619)),TRUE,OR(E1619&lt;0,E1619&gt;999999999,ROUND(E1619,3)&lt;&gt;E1619))),"Invalid previous reading",IF(IF(NOT(ISNUMBER(F1619)),TRUE,OR(F1619&lt;0,F1619&gt;999999999,ROUND(F1619,3)&lt;&gt;F1619)),"Invalid last service",IF(AND(E1619&lt;&gt;"",D1619&lt;E1619),"Decreased reading",IF(F1619&gt;D1619,"Last service above current","")))))))))))))</x:f>
      </x:c>
      <x:c r="L1619" s="6" t="str">
        <x:f>IF(AND(NOT(COUNTA(A1619:F1619)=0),K1619=""),INDEX('Rules'!$C$7:$C$26,MATCH(SUBSTITUTE(SUBSTITUTE(SUBSTITUTE(SUBSTITUTE("type:"&amp;B1619,"%","%25"),"~","%7E"),"*","%2A"),"?","%3F"),'Rules'!$G$7:$G$26,0)),"")</x:f>
      </x:c>
      <x:c r="M1619" s="6" t="str">
        <x:f>IF(AND(NOT(COUNTA(A1619:F1619)=0),K1619=""),INDEX('Rules'!$D$7:$D$26,MATCH(SUBSTITUTE(SUBSTITUTE(SUBSTITUTE(SUBSTITUTE("type:"&amp;B1619,"%","%25"),"~","%7E"),"*","%2A"),"?","%3F"),'Rules'!$G$7:$G$26,0)),"")</x:f>
      </x:c>
      <x:c r="N1619" s="5" t="str">
        <x:f>IF(COUNTA(A1619:F1619)=0,"",SUBSTITUTE(SUBSTITUTE(SUBSTITUTE(SUBSTITUTE("id:"&amp;A1619,"%","%25"),"~","%7E"),"*","%2A"),"?","%3F"))</x:f>
      </x:c>
    </x:row>
    <x:row r="1620" ht="22" customHeight="1">
      <x:c r="A1620" s="3"/>
      <x:c r="B1620" s="3"/>
      <x:c r="C1620" s="3"/>
      <x:c r="D1620" s="4"/>
      <x:c r="E1620" s="4"/>
      <x:c r="F1620" s="4"/>
      <x:c r="G1620" s="5" t="str">
        <x:f>IF(COUNTA(A1620:F1620)=0,"",IF(K1620&lt;&gt;"","Review",IF(I1620&lt;0,"Overdue",IF(I1620=0,"Due now",IF(I1620&lt;=M1620,"Due soon","Not due")))))</x:f>
      </x:c>
      <x:c r="H1620" s="5" t="str">
        <x:f>IF(OR(COUNTA(A1620:F1620)=0,COUNTIFS('Rules'!$G$7:$G$26,"="&amp;(SUBSTITUTE(SUBSTITUTE(SUBSTITUTE(SUBSTITUTE("type:"&amp;B1620,"%","%25"),"~","%7E"),"*","%2A"),"?","%3F")))&lt;&gt;1),"",IF(OR(INDEX('Rules'!$B$7:$B$26,MATCH(SUBSTITUTE(SUBSTITUTE(SUBSTITUTE(SUBSTITUTE("type:"&amp;B1620,"%","%25"),"~","%7E"),"*","%2A"),"?","%3F"),'Rules'!$G$7:$G$26,0))="hours",INDEX('Rules'!$B$7:$B$26,MATCH(SUBSTITUTE(SUBSTITUTE(SUBSTITUTE(SUBSTITUTE("type:"&amp;B1620,"%","%25"),"~","%7E"),"*","%2A"),"?","%3F"),'Rules'!$G$7:$G$26,0))="km"),INDEX('Rules'!$B$7:$B$26,MATCH(SUBSTITUTE(SUBSTITUTE(SUBSTITUTE(SUBSTITUTE("type:"&amp;B1620,"%","%25"),"~","%7E"),"*","%2A"),"?","%3F"),'Rules'!$G$7:$G$26,0)),""))</x:f>
      </x:c>
      <x:c r="I1620" s="6" t="str">
        <x:f>IF(AND(NOT(COUNTA(A1620:F1620)=0),K1620=""),ROUND(J1620-D1620,3),"")</x:f>
      </x:c>
      <x:c r="J1620" s="6" t="str">
        <x:f>IF(AND(NOT(COUNTA(A1620:F1620)=0),K1620=""),ROUND(F1620+L1620,3),"")</x:f>
      </x:c>
      <x:c r="K1620" s="5" t="str">
        <x:f>IF(COUNTA(A1620:F1620)=0,"",IF(A1620="","Missing equipment ID",IF(COUNTIFS($N$8:$N$2007,"="&amp;N1620)&gt;1,"Duplicate equipment ID",IF(B1620="","Missing type",IF(COUNTIFS('Rules'!$G$7:$G$26,"="&amp;(SUBSTITUTE(SUBSTITUTE(SUBSTITUTE(SUBSTITUTE("type:"&amp;B1620,"%","%25"),"~","%7E"),"*","%2A"),"?","%3F")))=0,"Unknown type",IF(COUNTIFS('Rules'!$G$7:$G$26,"="&amp;(SUBSTITUTE(SUBSTITUTE(SUBSTITUTE(SUBSTITUTE("type:"&amp;B1620,"%","%25"),"~","%7E"),"*","%2A"),"?","%3F")))&gt;1,"Duplicate type",IF(INDEX('Rules'!$F$7:$F$26,MATCH(SUBSTITUTE(SUBSTITUTE(SUBSTITUTE(SUBSTITUTE("type:"&amp;B1620,"%","%25"),"~","%7E"),"*","%2A"),"?","%3F"),'Rules'!$G$7:$G$26,0))&lt;&gt;"",INDEX('Rules'!$F$7:$F$26,MATCH(SUBSTITUTE(SUBSTITUTE(SUBSTITUTE(SUBSTITUTE("type:"&amp;B1620,"%","%25"),"~","%7E"),"*","%2A"),"?","%3F"),'Rules'!$G$7:$G$26,0)),IF(AND(C1620&lt;&gt;"",C1620&lt;&gt;INDEX('Rules'!$B$7:$B$26,MATCH(SUBSTITUTE(SUBSTITUTE(SUBSTITUTE(SUBSTITUTE("type:"&amp;B1620,"%","%25"),"~","%7E"),"*","%2A"),"?","%3F"),'Rules'!$G$7:$G$26,0))),"Unit mismatch",IF(IF(NOT(ISNUMBER(D1620)),TRUE,OR(D1620&lt;0,D1620&gt;999999999,ROUND(D1620,3)&lt;&gt;D1620)),"Invalid current reading",IF(AND(E1620&lt;&gt;"",IF(NOT(ISNUMBER(E1620)),TRUE,OR(E1620&lt;0,E1620&gt;999999999,ROUND(E1620,3)&lt;&gt;E1620))),"Invalid previous reading",IF(IF(NOT(ISNUMBER(F1620)),TRUE,OR(F1620&lt;0,F1620&gt;999999999,ROUND(F1620,3)&lt;&gt;F1620)),"Invalid last service",IF(AND(E1620&lt;&gt;"",D1620&lt;E1620),"Decreased reading",IF(F1620&gt;D1620,"Last service above current","")))))))))))))</x:f>
      </x:c>
      <x:c r="L1620" s="6" t="str">
        <x:f>IF(AND(NOT(COUNTA(A1620:F1620)=0),K1620=""),INDEX('Rules'!$C$7:$C$26,MATCH(SUBSTITUTE(SUBSTITUTE(SUBSTITUTE(SUBSTITUTE("type:"&amp;B1620,"%","%25"),"~","%7E"),"*","%2A"),"?","%3F"),'Rules'!$G$7:$G$26,0)),"")</x:f>
      </x:c>
      <x:c r="M1620" s="6" t="str">
        <x:f>IF(AND(NOT(COUNTA(A1620:F1620)=0),K1620=""),INDEX('Rules'!$D$7:$D$26,MATCH(SUBSTITUTE(SUBSTITUTE(SUBSTITUTE(SUBSTITUTE("type:"&amp;B1620,"%","%25"),"~","%7E"),"*","%2A"),"?","%3F"),'Rules'!$G$7:$G$26,0)),"")</x:f>
      </x:c>
      <x:c r="N1620" s="5" t="str">
        <x:f>IF(COUNTA(A1620:F1620)=0,"",SUBSTITUTE(SUBSTITUTE(SUBSTITUTE(SUBSTITUTE("id:"&amp;A1620,"%","%25"),"~","%7E"),"*","%2A"),"?","%3F"))</x:f>
      </x:c>
    </x:row>
    <x:row r="1621" ht="22" customHeight="1">
      <x:c r="A1621" s="3"/>
      <x:c r="B1621" s="3"/>
      <x:c r="C1621" s="3"/>
      <x:c r="D1621" s="4"/>
      <x:c r="E1621" s="4"/>
      <x:c r="F1621" s="4"/>
      <x:c r="G1621" s="5" t="str">
        <x:f>IF(COUNTA(A1621:F1621)=0,"",IF(K1621&lt;&gt;"","Review",IF(I1621&lt;0,"Overdue",IF(I1621=0,"Due now",IF(I1621&lt;=M1621,"Due soon","Not due")))))</x:f>
      </x:c>
      <x:c r="H1621" s="5" t="str">
        <x:f>IF(OR(COUNTA(A1621:F1621)=0,COUNTIFS('Rules'!$G$7:$G$26,"="&amp;(SUBSTITUTE(SUBSTITUTE(SUBSTITUTE(SUBSTITUTE("type:"&amp;B1621,"%","%25"),"~","%7E"),"*","%2A"),"?","%3F")))&lt;&gt;1),"",IF(OR(INDEX('Rules'!$B$7:$B$26,MATCH(SUBSTITUTE(SUBSTITUTE(SUBSTITUTE(SUBSTITUTE("type:"&amp;B1621,"%","%25"),"~","%7E"),"*","%2A"),"?","%3F"),'Rules'!$G$7:$G$26,0))="hours",INDEX('Rules'!$B$7:$B$26,MATCH(SUBSTITUTE(SUBSTITUTE(SUBSTITUTE(SUBSTITUTE("type:"&amp;B1621,"%","%25"),"~","%7E"),"*","%2A"),"?","%3F"),'Rules'!$G$7:$G$26,0))="km"),INDEX('Rules'!$B$7:$B$26,MATCH(SUBSTITUTE(SUBSTITUTE(SUBSTITUTE(SUBSTITUTE("type:"&amp;B1621,"%","%25"),"~","%7E"),"*","%2A"),"?","%3F"),'Rules'!$G$7:$G$26,0)),""))</x:f>
      </x:c>
      <x:c r="I1621" s="6" t="str">
        <x:f>IF(AND(NOT(COUNTA(A1621:F1621)=0),K1621=""),ROUND(J1621-D1621,3),"")</x:f>
      </x:c>
      <x:c r="J1621" s="6" t="str">
        <x:f>IF(AND(NOT(COUNTA(A1621:F1621)=0),K1621=""),ROUND(F1621+L1621,3),"")</x:f>
      </x:c>
      <x:c r="K1621" s="5" t="str">
        <x:f>IF(COUNTA(A1621:F1621)=0,"",IF(A1621="","Missing equipment ID",IF(COUNTIFS($N$8:$N$2007,"="&amp;N1621)&gt;1,"Duplicate equipment ID",IF(B1621="","Missing type",IF(COUNTIFS('Rules'!$G$7:$G$26,"="&amp;(SUBSTITUTE(SUBSTITUTE(SUBSTITUTE(SUBSTITUTE("type:"&amp;B1621,"%","%25"),"~","%7E"),"*","%2A"),"?","%3F")))=0,"Unknown type",IF(COUNTIFS('Rules'!$G$7:$G$26,"="&amp;(SUBSTITUTE(SUBSTITUTE(SUBSTITUTE(SUBSTITUTE("type:"&amp;B1621,"%","%25"),"~","%7E"),"*","%2A"),"?","%3F")))&gt;1,"Duplicate type",IF(INDEX('Rules'!$F$7:$F$26,MATCH(SUBSTITUTE(SUBSTITUTE(SUBSTITUTE(SUBSTITUTE("type:"&amp;B1621,"%","%25"),"~","%7E"),"*","%2A"),"?","%3F"),'Rules'!$G$7:$G$26,0))&lt;&gt;"",INDEX('Rules'!$F$7:$F$26,MATCH(SUBSTITUTE(SUBSTITUTE(SUBSTITUTE(SUBSTITUTE("type:"&amp;B1621,"%","%25"),"~","%7E"),"*","%2A"),"?","%3F"),'Rules'!$G$7:$G$26,0)),IF(AND(C1621&lt;&gt;"",C1621&lt;&gt;INDEX('Rules'!$B$7:$B$26,MATCH(SUBSTITUTE(SUBSTITUTE(SUBSTITUTE(SUBSTITUTE("type:"&amp;B1621,"%","%25"),"~","%7E"),"*","%2A"),"?","%3F"),'Rules'!$G$7:$G$26,0))),"Unit mismatch",IF(IF(NOT(ISNUMBER(D1621)),TRUE,OR(D1621&lt;0,D1621&gt;999999999,ROUND(D1621,3)&lt;&gt;D1621)),"Invalid current reading",IF(AND(E1621&lt;&gt;"",IF(NOT(ISNUMBER(E1621)),TRUE,OR(E1621&lt;0,E1621&gt;999999999,ROUND(E1621,3)&lt;&gt;E1621))),"Invalid previous reading",IF(IF(NOT(ISNUMBER(F1621)),TRUE,OR(F1621&lt;0,F1621&gt;999999999,ROUND(F1621,3)&lt;&gt;F1621)),"Invalid last service",IF(AND(E1621&lt;&gt;"",D1621&lt;E1621),"Decreased reading",IF(F1621&gt;D1621,"Last service above current","")))))))))))))</x:f>
      </x:c>
      <x:c r="L1621" s="6" t="str">
        <x:f>IF(AND(NOT(COUNTA(A1621:F1621)=0),K1621=""),INDEX('Rules'!$C$7:$C$26,MATCH(SUBSTITUTE(SUBSTITUTE(SUBSTITUTE(SUBSTITUTE("type:"&amp;B1621,"%","%25"),"~","%7E"),"*","%2A"),"?","%3F"),'Rules'!$G$7:$G$26,0)),"")</x:f>
      </x:c>
      <x:c r="M1621" s="6" t="str">
        <x:f>IF(AND(NOT(COUNTA(A1621:F1621)=0),K1621=""),INDEX('Rules'!$D$7:$D$26,MATCH(SUBSTITUTE(SUBSTITUTE(SUBSTITUTE(SUBSTITUTE("type:"&amp;B1621,"%","%25"),"~","%7E"),"*","%2A"),"?","%3F"),'Rules'!$G$7:$G$26,0)),"")</x:f>
      </x:c>
      <x:c r="N1621" s="5" t="str">
        <x:f>IF(COUNTA(A1621:F1621)=0,"",SUBSTITUTE(SUBSTITUTE(SUBSTITUTE(SUBSTITUTE("id:"&amp;A1621,"%","%25"),"~","%7E"),"*","%2A"),"?","%3F"))</x:f>
      </x:c>
    </x:row>
    <x:row r="1622" ht="22" customHeight="1">
      <x:c r="A1622" s="3"/>
      <x:c r="B1622" s="3"/>
      <x:c r="C1622" s="3"/>
      <x:c r="D1622" s="4"/>
      <x:c r="E1622" s="4"/>
      <x:c r="F1622" s="4"/>
      <x:c r="G1622" s="5" t="str">
        <x:f>IF(COUNTA(A1622:F1622)=0,"",IF(K1622&lt;&gt;"","Review",IF(I1622&lt;0,"Overdue",IF(I1622=0,"Due now",IF(I1622&lt;=M1622,"Due soon","Not due")))))</x:f>
      </x:c>
      <x:c r="H1622" s="5" t="str">
        <x:f>IF(OR(COUNTA(A1622:F1622)=0,COUNTIFS('Rules'!$G$7:$G$26,"="&amp;(SUBSTITUTE(SUBSTITUTE(SUBSTITUTE(SUBSTITUTE("type:"&amp;B1622,"%","%25"),"~","%7E"),"*","%2A"),"?","%3F")))&lt;&gt;1),"",IF(OR(INDEX('Rules'!$B$7:$B$26,MATCH(SUBSTITUTE(SUBSTITUTE(SUBSTITUTE(SUBSTITUTE("type:"&amp;B1622,"%","%25"),"~","%7E"),"*","%2A"),"?","%3F"),'Rules'!$G$7:$G$26,0))="hours",INDEX('Rules'!$B$7:$B$26,MATCH(SUBSTITUTE(SUBSTITUTE(SUBSTITUTE(SUBSTITUTE("type:"&amp;B1622,"%","%25"),"~","%7E"),"*","%2A"),"?","%3F"),'Rules'!$G$7:$G$26,0))="km"),INDEX('Rules'!$B$7:$B$26,MATCH(SUBSTITUTE(SUBSTITUTE(SUBSTITUTE(SUBSTITUTE("type:"&amp;B1622,"%","%25"),"~","%7E"),"*","%2A"),"?","%3F"),'Rules'!$G$7:$G$26,0)),""))</x:f>
      </x:c>
      <x:c r="I1622" s="6" t="str">
        <x:f>IF(AND(NOT(COUNTA(A1622:F1622)=0),K1622=""),ROUND(J1622-D1622,3),"")</x:f>
      </x:c>
      <x:c r="J1622" s="6" t="str">
        <x:f>IF(AND(NOT(COUNTA(A1622:F1622)=0),K1622=""),ROUND(F1622+L1622,3),"")</x:f>
      </x:c>
      <x:c r="K1622" s="5" t="str">
        <x:f>IF(COUNTA(A1622:F1622)=0,"",IF(A1622="","Missing equipment ID",IF(COUNTIFS($N$8:$N$2007,"="&amp;N1622)&gt;1,"Duplicate equipment ID",IF(B1622="","Missing type",IF(COUNTIFS('Rules'!$G$7:$G$26,"="&amp;(SUBSTITUTE(SUBSTITUTE(SUBSTITUTE(SUBSTITUTE("type:"&amp;B1622,"%","%25"),"~","%7E"),"*","%2A"),"?","%3F")))=0,"Unknown type",IF(COUNTIFS('Rules'!$G$7:$G$26,"="&amp;(SUBSTITUTE(SUBSTITUTE(SUBSTITUTE(SUBSTITUTE("type:"&amp;B1622,"%","%25"),"~","%7E"),"*","%2A"),"?","%3F")))&gt;1,"Duplicate type",IF(INDEX('Rules'!$F$7:$F$26,MATCH(SUBSTITUTE(SUBSTITUTE(SUBSTITUTE(SUBSTITUTE("type:"&amp;B1622,"%","%25"),"~","%7E"),"*","%2A"),"?","%3F"),'Rules'!$G$7:$G$26,0))&lt;&gt;"",INDEX('Rules'!$F$7:$F$26,MATCH(SUBSTITUTE(SUBSTITUTE(SUBSTITUTE(SUBSTITUTE("type:"&amp;B1622,"%","%25"),"~","%7E"),"*","%2A"),"?","%3F"),'Rules'!$G$7:$G$26,0)),IF(AND(C1622&lt;&gt;"",C1622&lt;&gt;INDEX('Rules'!$B$7:$B$26,MATCH(SUBSTITUTE(SUBSTITUTE(SUBSTITUTE(SUBSTITUTE("type:"&amp;B1622,"%","%25"),"~","%7E"),"*","%2A"),"?","%3F"),'Rules'!$G$7:$G$26,0))),"Unit mismatch",IF(IF(NOT(ISNUMBER(D1622)),TRUE,OR(D1622&lt;0,D1622&gt;999999999,ROUND(D1622,3)&lt;&gt;D1622)),"Invalid current reading",IF(AND(E1622&lt;&gt;"",IF(NOT(ISNUMBER(E1622)),TRUE,OR(E1622&lt;0,E1622&gt;999999999,ROUND(E1622,3)&lt;&gt;E1622))),"Invalid previous reading",IF(IF(NOT(ISNUMBER(F1622)),TRUE,OR(F1622&lt;0,F1622&gt;999999999,ROUND(F1622,3)&lt;&gt;F1622)),"Invalid last service",IF(AND(E1622&lt;&gt;"",D1622&lt;E1622),"Decreased reading",IF(F1622&gt;D1622,"Last service above current","")))))))))))))</x:f>
      </x:c>
      <x:c r="L1622" s="6" t="str">
        <x:f>IF(AND(NOT(COUNTA(A1622:F1622)=0),K1622=""),INDEX('Rules'!$C$7:$C$26,MATCH(SUBSTITUTE(SUBSTITUTE(SUBSTITUTE(SUBSTITUTE("type:"&amp;B1622,"%","%25"),"~","%7E"),"*","%2A"),"?","%3F"),'Rules'!$G$7:$G$26,0)),"")</x:f>
      </x:c>
      <x:c r="M1622" s="6" t="str">
        <x:f>IF(AND(NOT(COUNTA(A1622:F1622)=0),K1622=""),INDEX('Rules'!$D$7:$D$26,MATCH(SUBSTITUTE(SUBSTITUTE(SUBSTITUTE(SUBSTITUTE("type:"&amp;B1622,"%","%25"),"~","%7E"),"*","%2A"),"?","%3F"),'Rules'!$G$7:$G$26,0)),"")</x:f>
      </x:c>
      <x:c r="N1622" s="5" t="str">
        <x:f>IF(COUNTA(A1622:F1622)=0,"",SUBSTITUTE(SUBSTITUTE(SUBSTITUTE(SUBSTITUTE("id:"&amp;A1622,"%","%25"),"~","%7E"),"*","%2A"),"?","%3F"))</x:f>
      </x:c>
    </x:row>
    <x:row r="1623" ht="22" customHeight="1">
      <x:c r="A1623" s="3"/>
      <x:c r="B1623" s="3"/>
      <x:c r="C1623" s="3"/>
      <x:c r="D1623" s="4"/>
      <x:c r="E1623" s="4"/>
      <x:c r="F1623" s="4"/>
      <x:c r="G1623" s="5" t="str">
        <x:f>IF(COUNTA(A1623:F1623)=0,"",IF(K1623&lt;&gt;"","Review",IF(I1623&lt;0,"Overdue",IF(I1623=0,"Due now",IF(I1623&lt;=M1623,"Due soon","Not due")))))</x:f>
      </x:c>
      <x:c r="H1623" s="5" t="str">
        <x:f>IF(OR(COUNTA(A1623:F1623)=0,COUNTIFS('Rules'!$G$7:$G$26,"="&amp;(SUBSTITUTE(SUBSTITUTE(SUBSTITUTE(SUBSTITUTE("type:"&amp;B1623,"%","%25"),"~","%7E"),"*","%2A"),"?","%3F")))&lt;&gt;1),"",IF(OR(INDEX('Rules'!$B$7:$B$26,MATCH(SUBSTITUTE(SUBSTITUTE(SUBSTITUTE(SUBSTITUTE("type:"&amp;B1623,"%","%25"),"~","%7E"),"*","%2A"),"?","%3F"),'Rules'!$G$7:$G$26,0))="hours",INDEX('Rules'!$B$7:$B$26,MATCH(SUBSTITUTE(SUBSTITUTE(SUBSTITUTE(SUBSTITUTE("type:"&amp;B1623,"%","%25"),"~","%7E"),"*","%2A"),"?","%3F"),'Rules'!$G$7:$G$26,0))="km"),INDEX('Rules'!$B$7:$B$26,MATCH(SUBSTITUTE(SUBSTITUTE(SUBSTITUTE(SUBSTITUTE("type:"&amp;B1623,"%","%25"),"~","%7E"),"*","%2A"),"?","%3F"),'Rules'!$G$7:$G$26,0)),""))</x:f>
      </x:c>
      <x:c r="I1623" s="6" t="str">
        <x:f>IF(AND(NOT(COUNTA(A1623:F1623)=0),K1623=""),ROUND(J1623-D1623,3),"")</x:f>
      </x:c>
      <x:c r="J1623" s="6" t="str">
        <x:f>IF(AND(NOT(COUNTA(A1623:F1623)=0),K1623=""),ROUND(F1623+L1623,3),"")</x:f>
      </x:c>
      <x:c r="K1623" s="5" t="str">
        <x:f>IF(COUNTA(A1623:F1623)=0,"",IF(A1623="","Missing equipment ID",IF(COUNTIFS($N$8:$N$2007,"="&amp;N1623)&gt;1,"Duplicate equipment ID",IF(B1623="","Missing type",IF(COUNTIFS('Rules'!$G$7:$G$26,"="&amp;(SUBSTITUTE(SUBSTITUTE(SUBSTITUTE(SUBSTITUTE("type:"&amp;B1623,"%","%25"),"~","%7E"),"*","%2A"),"?","%3F")))=0,"Unknown type",IF(COUNTIFS('Rules'!$G$7:$G$26,"="&amp;(SUBSTITUTE(SUBSTITUTE(SUBSTITUTE(SUBSTITUTE("type:"&amp;B1623,"%","%25"),"~","%7E"),"*","%2A"),"?","%3F")))&gt;1,"Duplicate type",IF(INDEX('Rules'!$F$7:$F$26,MATCH(SUBSTITUTE(SUBSTITUTE(SUBSTITUTE(SUBSTITUTE("type:"&amp;B1623,"%","%25"),"~","%7E"),"*","%2A"),"?","%3F"),'Rules'!$G$7:$G$26,0))&lt;&gt;"",INDEX('Rules'!$F$7:$F$26,MATCH(SUBSTITUTE(SUBSTITUTE(SUBSTITUTE(SUBSTITUTE("type:"&amp;B1623,"%","%25"),"~","%7E"),"*","%2A"),"?","%3F"),'Rules'!$G$7:$G$26,0)),IF(AND(C1623&lt;&gt;"",C1623&lt;&gt;INDEX('Rules'!$B$7:$B$26,MATCH(SUBSTITUTE(SUBSTITUTE(SUBSTITUTE(SUBSTITUTE("type:"&amp;B1623,"%","%25"),"~","%7E"),"*","%2A"),"?","%3F"),'Rules'!$G$7:$G$26,0))),"Unit mismatch",IF(IF(NOT(ISNUMBER(D1623)),TRUE,OR(D1623&lt;0,D1623&gt;999999999,ROUND(D1623,3)&lt;&gt;D1623)),"Invalid current reading",IF(AND(E1623&lt;&gt;"",IF(NOT(ISNUMBER(E1623)),TRUE,OR(E1623&lt;0,E1623&gt;999999999,ROUND(E1623,3)&lt;&gt;E1623))),"Invalid previous reading",IF(IF(NOT(ISNUMBER(F1623)),TRUE,OR(F1623&lt;0,F1623&gt;999999999,ROUND(F1623,3)&lt;&gt;F1623)),"Invalid last service",IF(AND(E1623&lt;&gt;"",D1623&lt;E1623),"Decreased reading",IF(F1623&gt;D1623,"Last service above current","")))))))))))))</x:f>
      </x:c>
      <x:c r="L1623" s="6" t="str">
        <x:f>IF(AND(NOT(COUNTA(A1623:F1623)=0),K1623=""),INDEX('Rules'!$C$7:$C$26,MATCH(SUBSTITUTE(SUBSTITUTE(SUBSTITUTE(SUBSTITUTE("type:"&amp;B1623,"%","%25"),"~","%7E"),"*","%2A"),"?","%3F"),'Rules'!$G$7:$G$26,0)),"")</x:f>
      </x:c>
      <x:c r="M1623" s="6" t="str">
        <x:f>IF(AND(NOT(COUNTA(A1623:F1623)=0),K1623=""),INDEX('Rules'!$D$7:$D$26,MATCH(SUBSTITUTE(SUBSTITUTE(SUBSTITUTE(SUBSTITUTE("type:"&amp;B1623,"%","%25"),"~","%7E"),"*","%2A"),"?","%3F"),'Rules'!$G$7:$G$26,0)),"")</x:f>
      </x:c>
      <x:c r="N1623" s="5" t="str">
        <x:f>IF(COUNTA(A1623:F1623)=0,"",SUBSTITUTE(SUBSTITUTE(SUBSTITUTE(SUBSTITUTE("id:"&amp;A1623,"%","%25"),"~","%7E"),"*","%2A"),"?","%3F"))</x:f>
      </x:c>
    </x:row>
    <x:row r="1624" ht="22" customHeight="1">
      <x:c r="A1624" s="3"/>
      <x:c r="B1624" s="3"/>
      <x:c r="C1624" s="3"/>
      <x:c r="D1624" s="4"/>
      <x:c r="E1624" s="4"/>
      <x:c r="F1624" s="4"/>
      <x:c r="G1624" s="5" t="str">
        <x:f>IF(COUNTA(A1624:F1624)=0,"",IF(K1624&lt;&gt;"","Review",IF(I1624&lt;0,"Overdue",IF(I1624=0,"Due now",IF(I1624&lt;=M1624,"Due soon","Not due")))))</x:f>
      </x:c>
      <x:c r="H1624" s="5" t="str">
        <x:f>IF(OR(COUNTA(A1624:F1624)=0,COUNTIFS('Rules'!$G$7:$G$26,"="&amp;(SUBSTITUTE(SUBSTITUTE(SUBSTITUTE(SUBSTITUTE("type:"&amp;B1624,"%","%25"),"~","%7E"),"*","%2A"),"?","%3F")))&lt;&gt;1),"",IF(OR(INDEX('Rules'!$B$7:$B$26,MATCH(SUBSTITUTE(SUBSTITUTE(SUBSTITUTE(SUBSTITUTE("type:"&amp;B1624,"%","%25"),"~","%7E"),"*","%2A"),"?","%3F"),'Rules'!$G$7:$G$26,0))="hours",INDEX('Rules'!$B$7:$B$26,MATCH(SUBSTITUTE(SUBSTITUTE(SUBSTITUTE(SUBSTITUTE("type:"&amp;B1624,"%","%25"),"~","%7E"),"*","%2A"),"?","%3F"),'Rules'!$G$7:$G$26,0))="km"),INDEX('Rules'!$B$7:$B$26,MATCH(SUBSTITUTE(SUBSTITUTE(SUBSTITUTE(SUBSTITUTE("type:"&amp;B1624,"%","%25"),"~","%7E"),"*","%2A"),"?","%3F"),'Rules'!$G$7:$G$26,0)),""))</x:f>
      </x:c>
      <x:c r="I1624" s="6" t="str">
        <x:f>IF(AND(NOT(COUNTA(A1624:F1624)=0),K1624=""),ROUND(J1624-D1624,3),"")</x:f>
      </x:c>
      <x:c r="J1624" s="6" t="str">
        <x:f>IF(AND(NOT(COUNTA(A1624:F1624)=0),K1624=""),ROUND(F1624+L1624,3),"")</x:f>
      </x:c>
      <x:c r="K1624" s="5" t="str">
        <x:f>IF(COUNTA(A1624:F1624)=0,"",IF(A1624="","Missing equipment ID",IF(COUNTIFS($N$8:$N$2007,"="&amp;N1624)&gt;1,"Duplicate equipment ID",IF(B1624="","Missing type",IF(COUNTIFS('Rules'!$G$7:$G$26,"="&amp;(SUBSTITUTE(SUBSTITUTE(SUBSTITUTE(SUBSTITUTE("type:"&amp;B1624,"%","%25"),"~","%7E"),"*","%2A"),"?","%3F")))=0,"Unknown type",IF(COUNTIFS('Rules'!$G$7:$G$26,"="&amp;(SUBSTITUTE(SUBSTITUTE(SUBSTITUTE(SUBSTITUTE("type:"&amp;B1624,"%","%25"),"~","%7E"),"*","%2A"),"?","%3F")))&gt;1,"Duplicate type",IF(INDEX('Rules'!$F$7:$F$26,MATCH(SUBSTITUTE(SUBSTITUTE(SUBSTITUTE(SUBSTITUTE("type:"&amp;B1624,"%","%25"),"~","%7E"),"*","%2A"),"?","%3F"),'Rules'!$G$7:$G$26,0))&lt;&gt;"",INDEX('Rules'!$F$7:$F$26,MATCH(SUBSTITUTE(SUBSTITUTE(SUBSTITUTE(SUBSTITUTE("type:"&amp;B1624,"%","%25"),"~","%7E"),"*","%2A"),"?","%3F"),'Rules'!$G$7:$G$26,0)),IF(AND(C1624&lt;&gt;"",C1624&lt;&gt;INDEX('Rules'!$B$7:$B$26,MATCH(SUBSTITUTE(SUBSTITUTE(SUBSTITUTE(SUBSTITUTE("type:"&amp;B1624,"%","%25"),"~","%7E"),"*","%2A"),"?","%3F"),'Rules'!$G$7:$G$26,0))),"Unit mismatch",IF(IF(NOT(ISNUMBER(D1624)),TRUE,OR(D1624&lt;0,D1624&gt;999999999,ROUND(D1624,3)&lt;&gt;D1624)),"Invalid current reading",IF(AND(E1624&lt;&gt;"",IF(NOT(ISNUMBER(E1624)),TRUE,OR(E1624&lt;0,E1624&gt;999999999,ROUND(E1624,3)&lt;&gt;E1624))),"Invalid previous reading",IF(IF(NOT(ISNUMBER(F1624)),TRUE,OR(F1624&lt;0,F1624&gt;999999999,ROUND(F1624,3)&lt;&gt;F1624)),"Invalid last service",IF(AND(E1624&lt;&gt;"",D1624&lt;E1624),"Decreased reading",IF(F1624&gt;D1624,"Last service above current","")))))))))))))</x:f>
      </x:c>
      <x:c r="L1624" s="6" t="str">
        <x:f>IF(AND(NOT(COUNTA(A1624:F1624)=0),K1624=""),INDEX('Rules'!$C$7:$C$26,MATCH(SUBSTITUTE(SUBSTITUTE(SUBSTITUTE(SUBSTITUTE("type:"&amp;B1624,"%","%25"),"~","%7E"),"*","%2A"),"?","%3F"),'Rules'!$G$7:$G$26,0)),"")</x:f>
      </x:c>
      <x:c r="M1624" s="6" t="str">
        <x:f>IF(AND(NOT(COUNTA(A1624:F1624)=0),K1624=""),INDEX('Rules'!$D$7:$D$26,MATCH(SUBSTITUTE(SUBSTITUTE(SUBSTITUTE(SUBSTITUTE("type:"&amp;B1624,"%","%25"),"~","%7E"),"*","%2A"),"?","%3F"),'Rules'!$G$7:$G$26,0)),"")</x:f>
      </x:c>
      <x:c r="N1624" s="5" t="str">
        <x:f>IF(COUNTA(A1624:F1624)=0,"",SUBSTITUTE(SUBSTITUTE(SUBSTITUTE(SUBSTITUTE("id:"&amp;A1624,"%","%25"),"~","%7E"),"*","%2A"),"?","%3F"))</x:f>
      </x:c>
    </x:row>
    <x:row r="1625" ht="22" customHeight="1">
      <x:c r="A1625" s="3"/>
      <x:c r="B1625" s="3"/>
      <x:c r="C1625" s="3"/>
      <x:c r="D1625" s="4"/>
      <x:c r="E1625" s="4"/>
      <x:c r="F1625" s="4"/>
      <x:c r="G1625" s="5" t="str">
        <x:f>IF(COUNTA(A1625:F1625)=0,"",IF(K1625&lt;&gt;"","Review",IF(I1625&lt;0,"Overdue",IF(I1625=0,"Due now",IF(I1625&lt;=M1625,"Due soon","Not due")))))</x:f>
      </x:c>
      <x:c r="H1625" s="5" t="str">
        <x:f>IF(OR(COUNTA(A1625:F1625)=0,COUNTIFS('Rules'!$G$7:$G$26,"="&amp;(SUBSTITUTE(SUBSTITUTE(SUBSTITUTE(SUBSTITUTE("type:"&amp;B1625,"%","%25"),"~","%7E"),"*","%2A"),"?","%3F")))&lt;&gt;1),"",IF(OR(INDEX('Rules'!$B$7:$B$26,MATCH(SUBSTITUTE(SUBSTITUTE(SUBSTITUTE(SUBSTITUTE("type:"&amp;B1625,"%","%25"),"~","%7E"),"*","%2A"),"?","%3F"),'Rules'!$G$7:$G$26,0))="hours",INDEX('Rules'!$B$7:$B$26,MATCH(SUBSTITUTE(SUBSTITUTE(SUBSTITUTE(SUBSTITUTE("type:"&amp;B1625,"%","%25"),"~","%7E"),"*","%2A"),"?","%3F"),'Rules'!$G$7:$G$26,0))="km"),INDEX('Rules'!$B$7:$B$26,MATCH(SUBSTITUTE(SUBSTITUTE(SUBSTITUTE(SUBSTITUTE("type:"&amp;B1625,"%","%25"),"~","%7E"),"*","%2A"),"?","%3F"),'Rules'!$G$7:$G$26,0)),""))</x:f>
      </x:c>
      <x:c r="I1625" s="6" t="str">
        <x:f>IF(AND(NOT(COUNTA(A1625:F1625)=0),K1625=""),ROUND(J1625-D1625,3),"")</x:f>
      </x:c>
      <x:c r="J1625" s="6" t="str">
        <x:f>IF(AND(NOT(COUNTA(A1625:F1625)=0),K1625=""),ROUND(F1625+L1625,3),"")</x:f>
      </x:c>
      <x:c r="K1625" s="5" t="str">
        <x:f>IF(COUNTA(A1625:F1625)=0,"",IF(A1625="","Missing equipment ID",IF(COUNTIFS($N$8:$N$2007,"="&amp;N1625)&gt;1,"Duplicate equipment ID",IF(B1625="","Missing type",IF(COUNTIFS('Rules'!$G$7:$G$26,"="&amp;(SUBSTITUTE(SUBSTITUTE(SUBSTITUTE(SUBSTITUTE("type:"&amp;B1625,"%","%25"),"~","%7E"),"*","%2A"),"?","%3F")))=0,"Unknown type",IF(COUNTIFS('Rules'!$G$7:$G$26,"="&amp;(SUBSTITUTE(SUBSTITUTE(SUBSTITUTE(SUBSTITUTE("type:"&amp;B1625,"%","%25"),"~","%7E"),"*","%2A"),"?","%3F")))&gt;1,"Duplicate type",IF(INDEX('Rules'!$F$7:$F$26,MATCH(SUBSTITUTE(SUBSTITUTE(SUBSTITUTE(SUBSTITUTE("type:"&amp;B1625,"%","%25"),"~","%7E"),"*","%2A"),"?","%3F"),'Rules'!$G$7:$G$26,0))&lt;&gt;"",INDEX('Rules'!$F$7:$F$26,MATCH(SUBSTITUTE(SUBSTITUTE(SUBSTITUTE(SUBSTITUTE("type:"&amp;B1625,"%","%25"),"~","%7E"),"*","%2A"),"?","%3F"),'Rules'!$G$7:$G$26,0)),IF(AND(C1625&lt;&gt;"",C1625&lt;&gt;INDEX('Rules'!$B$7:$B$26,MATCH(SUBSTITUTE(SUBSTITUTE(SUBSTITUTE(SUBSTITUTE("type:"&amp;B1625,"%","%25"),"~","%7E"),"*","%2A"),"?","%3F"),'Rules'!$G$7:$G$26,0))),"Unit mismatch",IF(IF(NOT(ISNUMBER(D1625)),TRUE,OR(D1625&lt;0,D1625&gt;999999999,ROUND(D1625,3)&lt;&gt;D1625)),"Invalid current reading",IF(AND(E1625&lt;&gt;"",IF(NOT(ISNUMBER(E1625)),TRUE,OR(E1625&lt;0,E1625&gt;999999999,ROUND(E1625,3)&lt;&gt;E1625))),"Invalid previous reading",IF(IF(NOT(ISNUMBER(F1625)),TRUE,OR(F1625&lt;0,F1625&gt;999999999,ROUND(F1625,3)&lt;&gt;F1625)),"Invalid last service",IF(AND(E1625&lt;&gt;"",D1625&lt;E1625),"Decreased reading",IF(F1625&gt;D1625,"Last service above current","")))))))))))))</x:f>
      </x:c>
      <x:c r="L1625" s="6" t="str">
        <x:f>IF(AND(NOT(COUNTA(A1625:F1625)=0),K1625=""),INDEX('Rules'!$C$7:$C$26,MATCH(SUBSTITUTE(SUBSTITUTE(SUBSTITUTE(SUBSTITUTE("type:"&amp;B1625,"%","%25"),"~","%7E"),"*","%2A"),"?","%3F"),'Rules'!$G$7:$G$26,0)),"")</x:f>
      </x:c>
      <x:c r="M1625" s="6" t="str">
        <x:f>IF(AND(NOT(COUNTA(A1625:F1625)=0),K1625=""),INDEX('Rules'!$D$7:$D$26,MATCH(SUBSTITUTE(SUBSTITUTE(SUBSTITUTE(SUBSTITUTE("type:"&amp;B1625,"%","%25"),"~","%7E"),"*","%2A"),"?","%3F"),'Rules'!$G$7:$G$26,0)),"")</x:f>
      </x:c>
      <x:c r="N1625" s="5" t="str">
        <x:f>IF(COUNTA(A1625:F1625)=0,"",SUBSTITUTE(SUBSTITUTE(SUBSTITUTE(SUBSTITUTE("id:"&amp;A1625,"%","%25"),"~","%7E"),"*","%2A"),"?","%3F"))</x:f>
      </x:c>
    </x:row>
    <x:row r="1626" ht="22" customHeight="1">
      <x:c r="A1626" s="3"/>
      <x:c r="B1626" s="3"/>
      <x:c r="C1626" s="3"/>
      <x:c r="D1626" s="4"/>
      <x:c r="E1626" s="4"/>
      <x:c r="F1626" s="4"/>
      <x:c r="G1626" s="5" t="str">
        <x:f>IF(COUNTA(A1626:F1626)=0,"",IF(K1626&lt;&gt;"","Review",IF(I1626&lt;0,"Overdue",IF(I1626=0,"Due now",IF(I1626&lt;=M1626,"Due soon","Not due")))))</x:f>
      </x:c>
      <x:c r="H1626" s="5" t="str">
        <x:f>IF(OR(COUNTA(A1626:F1626)=0,COUNTIFS('Rules'!$G$7:$G$26,"="&amp;(SUBSTITUTE(SUBSTITUTE(SUBSTITUTE(SUBSTITUTE("type:"&amp;B1626,"%","%25"),"~","%7E"),"*","%2A"),"?","%3F")))&lt;&gt;1),"",IF(OR(INDEX('Rules'!$B$7:$B$26,MATCH(SUBSTITUTE(SUBSTITUTE(SUBSTITUTE(SUBSTITUTE("type:"&amp;B1626,"%","%25"),"~","%7E"),"*","%2A"),"?","%3F"),'Rules'!$G$7:$G$26,0))="hours",INDEX('Rules'!$B$7:$B$26,MATCH(SUBSTITUTE(SUBSTITUTE(SUBSTITUTE(SUBSTITUTE("type:"&amp;B1626,"%","%25"),"~","%7E"),"*","%2A"),"?","%3F"),'Rules'!$G$7:$G$26,0))="km"),INDEX('Rules'!$B$7:$B$26,MATCH(SUBSTITUTE(SUBSTITUTE(SUBSTITUTE(SUBSTITUTE("type:"&amp;B1626,"%","%25"),"~","%7E"),"*","%2A"),"?","%3F"),'Rules'!$G$7:$G$26,0)),""))</x:f>
      </x:c>
      <x:c r="I1626" s="6" t="str">
        <x:f>IF(AND(NOT(COUNTA(A1626:F1626)=0),K1626=""),ROUND(J1626-D1626,3),"")</x:f>
      </x:c>
      <x:c r="J1626" s="6" t="str">
        <x:f>IF(AND(NOT(COUNTA(A1626:F1626)=0),K1626=""),ROUND(F1626+L1626,3),"")</x:f>
      </x:c>
      <x:c r="K1626" s="5" t="str">
        <x:f>IF(COUNTA(A1626:F1626)=0,"",IF(A1626="","Missing equipment ID",IF(COUNTIFS($N$8:$N$2007,"="&amp;N1626)&gt;1,"Duplicate equipment ID",IF(B1626="","Missing type",IF(COUNTIFS('Rules'!$G$7:$G$26,"="&amp;(SUBSTITUTE(SUBSTITUTE(SUBSTITUTE(SUBSTITUTE("type:"&amp;B1626,"%","%25"),"~","%7E"),"*","%2A"),"?","%3F")))=0,"Unknown type",IF(COUNTIFS('Rules'!$G$7:$G$26,"="&amp;(SUBSTITUTE(SUBSTITUTE(SUBSTITUTE(SUBSTITUTE("type:"&amp;B1626,"%","%25"),"~","%7E"),"*","%2A"),"?","%3F")))&gt;1,"Duplicate type",IF(INDEX('Rules'!$F$7:$F$26,MATCH(SUBSTITUTE(SUBSTITUTE(SUBSTITUTE(SUBSTITUTE("type:"&amp;B1626,"%","%25"),"~","%7E"),"*","%2A"),"?","%3F"),'Rules'!$G$7:$G$26,0))&lt;&gt;"",INDEX('Rules'!$F$7:$F$26,MATCH(SUBSTITUTE(SUBSTITUTE(SUBSTITUTE(SUBSTITUTE("type:"&amp;B1626,"%","%25"),"~","%7E"),"*","%2A"),"?","%3F"),'Rules'!$G$7:$G$26,0)),IF(AND(C1626&lt;&gt;"",C1626&lt;&gt;INDEX('Rules'!$B$7:$B$26,MATCH(SUBSTITUTE(SUBSTITUTE(SUBSTITUTE(SUBSTITUTE("type:"&amp;B1626,"%","%25"),"~","%7E"),"*","%2A"),"?","%3F"),'Rules'!$G$7:$G$26,0))),"Unit mismatch",IF(IF(NOT(ISNUMBER(D1626)),TRUE,OR(D1626&lt;0,D1626&gt;999999999,ROUND(D1626,3)&lt;&gt;D1626)),"Invalid current reading",IF(AND(E1626&lt;&gt;"",IF(NOT(ISNUMBER(E1626)),TRUE,OR(E1626&lt;0,E1626&gt;999999999,ROUND(E1626,3)&lt;&gt;E1626))),"Invalid previous reading",IF(IF(NOT(ISNUMBER(F1626)),TRUE,OR(F1626&lt;0,F1626&gt;999999999,ROUND(F1626,3)&lt;&gt;F1626)),"Invalid last service",IF(AND(E1626&lt;&gt;"",D1626&lt;E1626),"Decreased reading",IF(F1626&gt;D1626,"Last service above current","")))))))))))))</x:f>
      </x:c>
      <x:c r="L1626" s="6" t="str">
        <x:f>IF(AND(NOT(COUNTA(A1626:F1626)=0),K1626=""),INDEX('Rules'!$C$7:$C$26,MATCH(SUBSTITUTE(SUBSTITUTE(SUBSTITUTE(SUBSTITUTE("type:"&amp;B1626,"%","%25"),"~","%7E"),"*","%2A"),"?","%3F"),'Rules'!$G$7:$G$26,0)),"")</x:f>
      </x:c>
      <x:c r="M1626" s="6" t="str">
        <x:f>IF(AND(NOT(COUNTA(A1626:F1626)=0),K1626=""),INDEX('Rules'!$D$7:$D$26,MATCH(SUBSTITUTE(SUBSTITUTE(SUBSTITUTE(SUBSTITUTE("type:"&amp;B1626,"%","%25"),"~","%7E"),"*","%2A"),"?","%3F"),'Rules'!$G$7:$G$26,0)),"")</x:f>
      </x:c>
      <x:c r="N1626" s="5" t="str">
        <x:f>IF(COUNTA(A1626:F1626)=0,"",SUBSTITUTE(SUBSTITUTE(SUBSTITUTE(SUBSTITUTE("id:"&amp;A1626,"%","%25"),"~","%7E"),"*","%2A"),"?","%3F"))</x:f>
      </x:c>
    </x:row>
    <x:row r="1627" ht="22" customHeight="1">
      <x:c r="A1627" s="3"/>
      <x:c r="B1627" s="3"/>
      <x:c r="C1627" s="3"/>
      <x:c r="D1627" s="4"/>
      <x:c r="E1627" s="4"/>
      <x:c r="F1627" s="4"/>
      <x:c r="G1627" s="5" t="str">
        <x:f>IF(COUNTA(A1627:F1627)=0,"",IF(K1627&lt;&gt;"","Review",IF(I1627&lt;0,"Overdue",IF(I1627=0,"Due now",IF(I1627&lt;=M1627,"Due soon","Not due")))))</x:f>
      </x:c>
      <x:c r="H1627" s="5" t="str">
        <x:f>IF(OR(COUNTA(A1627:F1627)=0,COUNTIFS('Rules'!$G$7:$G$26,"="&amp;(SUBSTITUTE(SUBSTITUTE(SUBSTITUTE(SUBSTITUTE("type:"&amp;B1627,"%","%25"),"~","%7E"),"*","%2A"),"?","%3F")))&lt;&gt;1),"",IF(OR(INDEX('Rules'!$B$7:$B$26,MATCH(SUBSTITUTE(SUBSTITUTE(SUBSTITUTE(SUBSTITUTE("type:"&amp;B1627,"%","%25"),"~","%7E"),"*","%2A"),"?","%3F"),'Rules'!$G$7:$G$26,0))="hours",INDEX('Rules'!$B$7:$B$26,MATCH(SUBSTITUTE(SUBSTITUTE(SUBSTITUTE(SUBSTITUTE("type:"&amp;B1627,"%","%25"),"~","%7E"),"*","%2A"),"?","%3F"),'Rules'!$G$7:$G$26,0))="km"),INDEX('Rules'!$B$7:$B$26,MATCH(SUBSTITUTE(SUBSTITUTE(SUBSTITUTE(SUBSTITUTE("type:"&amp;B1627,"%","%25"),"~","%7E"),"*","%2A"),"?","%3F"),'Rules'!$G$7:$G$26,0)),""))</x:f>
      </x:c>
      <x:c r="I1627" s="6" t="str">
        <x:f>IF(AND(NOT(COUNTA(A1627:F1627)=0),K1627=""),ROUND(J1627-D1627,3),"")</x:f>
      </x:c>
      <x:c r="J1627" s="6" t="str">
        <x:f>IF(AND(NOT(COUNTA(A1627:F1627)=0),K1627=""),ROUND(F1627+L1627,3),"")</x:f>
      </x:c>
      <x:c r="K1627" s="5" t="str">
        <x:f>IF(COUNTA(A1627:F1627)=0,"",IF(A1627="","Missing equipment ID",IF(COUNTIFS($N$8:$N$2007,"="&amp;N1627)&gt;1,"Duplicate equipment ID",IF(B1627="","Missing type",IF(COUNTIFS('Rules'!$G$7:$G$26,"="&amp;(SUBSTITUTE(SUBSTITUTE(SUBSTITUTE(SUBSTITUTE("type:"&amp;B1627,"%","%25"),"~","%7E"),"*","%2A"),"?","%3F")))=0,"Unknown type",IF(COUNTIFS('Rules'!$G$7:$G$26,"="&amp;(SUBSTITUTE(SUBSTITUTE(SUBSTITUTE(SUBSTITUTE("type:"&amp;B1627,"%","%25"),"~","%7E"),"*","%2A"),"?","%3F")))&gt;1,"Duplicate type",IF(INDEX('Rules'!$F$7:$F$26,MATCH(SUBSTITUTE(SUBSTITUTE(SUBSTITUTE(SUBSTITUTE("type:"&amp;B1627,"%","%25"),"~","%7E"),"*","%2A"),"?","%3F"),'Rules'!$G$7:$G$26,0))&lt;&gt;"",INDEX('Rules'!$F$7:$F$26,MATCH(SUBSTITUTE(SUBSTITUTE(SUBSTITUTE(SUBSTITUTE("type:"&amp;B1627,"%","%25"),"~","%7E"),"*","%2A"),"?","%3F"),'Rules'!$G$7:$G$26,0)),IF(AND(C1627&lt;&gt;"",C1627&lt;&gt;INDEX('Rules'!$B$7:$B$26,MATCH(SUBSTITUTE(SUBSTITUTE(SUBSTITUTE(SUBSTITUTE("type:"&amp;B1627,"%","%25"),"~","%7E"),"*","%2A"),"?","%3F"),'Rules'!$G$7:$G$26,0))),"Unit mismatch",IF(IF(NOT(ISNUMBER(D1627)),TRUE,OR(D1627&lt;0,D1627&gt;999999999,ROUND(D1627,3)&lt;&gt;D1627)),"Invalid current reading",IF(AND(E1627&lt;&gt;"",IF(NOT(ISNUMBER(E1627)),TRUE,OR(E1627&lt;0,E1627&gt;999999999,ROUND(E1627,3)&lt;&gt;E1627))),"Invalid previous reading",IF(IF(NOT(ISNUMBER(F1627)),TRUE,OR(F1627&lt;0,F1627&gt;999999999,ROUND(F1627,3)&lt;&gt;F1627)),"Invalid last service",IF(AND(E1627&lt;&gt;"",D1627&lt;E1627),"Decreased reading",IF(F1627&gt;D1627,"Last service above current","")))))))))))))</x:f>
      </x:c>
      <x:c r="L1627" s="6" t="str">
        <x:f>IF(AND(NOT(COUNTA(A1627:F1627)=0),K1627=""),INDEX('Rules'!$C$7:$C$26,MATCH(SUBSTITUTE(SUBSTITUTE(SUBSTITUTE(SUBSTITUTE("type:"&amp;B1627,"%","%25"),"~","%7E"),"*","%2A"),"?","%3F"),'Rules'!$G$7:$G$26,0)),"")</x:f>
      </x:c>
      <x:c r="M1627" s="6" t="str">
        <x:f>IF(AND(NOT(COUNTA(A1627:F1627)=0),K1627=""),INDEX('Rules'!$D$7:$D$26,MATCH(SUBSTITUTE(SUBSTITUTE(SUBSTITUTE(SUBSTITUTE("type:"&amp;B1627,"%","%25"),"~","%7E"),"*","%2A"),"?","%3F"),'Rules'!$G$7:$G$26,0)),"")</x:f>
      </x:c>
      <x:c r="N1627" s="5" t="str">
        <x:f>IF(COUNTA(A1627:F1627)=0,"",SUBSTITUTE(SUBSTITUTE(SUBSTITUTE(SUBSTITUTE("id:"&amp;A1627,"%","%25"),"~","%7E"),"*","%2A"),"?","%3F"))</x:f>
      </x:c>
    </x:row>
    <x:row r="1628" ht="22" customHeight="1">
      <x:c r="A1628" s="3"/>
      <x:c r="B1628" s="3"/>
      <x:c r="C1628" s="3"/>
      <x:c r="D1628" s="4"/>
      <x:c r="E1628" s="4"/>
      <x:c r="F1628" s="4"/>
      <x:c r="G1628" s="5" t="str">
        <x:f>IF(COUNTA(A1628:F1628)=0,"",IF(K1628&lt;&gt;"","Review",IF(I1628&lt;0,"Overdue",IF(I1628=0,"Due now",IF(I1628&lt;=M1628,"Due soon","Not due")))))</x:f>
      </x:c>
      <x:c r="H1628" s="5" t="str">
        <x:f>IF(OR(COUNTA(A1628:F1628)=0,COUNTIFS('Rules'!$G$7:$G$26,"="&amp;(SUBSTITUTE(SUBSTITUTE(SUBSTITUTE(SUBSTITUTE("type:"&amp;B1628,"%","%25"),"~","%7E"),"*","%2A"),"?","%3F")))&lt;&gt;1),"",IF(OR(INDEX('Rules'!$B$7:$B$26,MATCH(SUBSTITUTE(SUBSTITUTE(SUBSTITUTE(SUBSTITUTE("type:"&amp;B1628,"%","%25"),"~","%7E"),"*","%2A"),"?","%3F"),'Rules'!$G$7:$G$26,0))="hours",INDEX('Rules'!$B$7:$B$26,MATCH(SUBSTITUTE(SUBSTITUTE(SUBSTITUTE(SUBSTITUTE("type:"&amp;B1628,"%","%25"),"~","%7E"),"*","%2A"),"?","%3F"),'Rules'!$G$7:$G$26,0))="km"),INDEX('Rules'!$B$7:$B$26,MATCH(SUBSTITUTE(SUBSTITUTE(SUBSTITUTE(SUBSTITUTE("type:"&amp;B1628,"%","%25"),"~","%7E"),"*","%2A"),"?","%3F"),'Rules'!$G$7:$G$26,0)),""))</x:f>
      </x:c>
      <x:c r="I1628" s="6" t="str">
        <x:f>IF(AND(NOT(COUNTA(A1628:F1628)=0),K1628=""),ROUND(J1628-D1628,3),"")</x:f>
      </x:c>
      <x:c r="J1628" s="6" t="str">
        <x:f>IF(AND(NOT(COUNTA(A1628:F1628)=0),K1628=""),ROUND(F1628+L1628,3),"")</x:f>
      </x:c>
      <x:c r="K1628" s="5" t="str">
        <x:f>IF(COUNTA(A1628:F1628)=0,"",IF(A1628="","Missing equipment ID",IF(COUNTIFS($N$8:$N$2007,"="&amp;N1628)&gt;1,"Duplicate equipment ID",IF(B1628="","Missing type",IF(COUNTIFS('Rules'!$G$7:$G$26,"="&amp;(SUBSTITUTE(SUBSTITUTE(SUBSTITUTE(SUBSTITUTE("type:"&amp;B1628,"%","%25"),"~","%7E"),"*","%2A"),"?","%3F")))=0,"Unknown type",IF(COUNTIFS('Rules'!$G$7:$G$26,"="&amp;(SUBSTITUTE(SUBSTITUTE(SUBSTITUTE(SUBSTITUTE("type:"&amp;B1628,"%","%25"),"~","%7E"),"*","%2A"),"?","%3F")))&gt;1,"Duplicate type",IF(INDEX('Rules'!$F$7:$F$26,MATCH(SUBSTITUTE(SUBSTITUTE(SUBSTITUTE(SUBSTITUTE("type:"&amp;B1628,"%","%25"),"~","%7E"),"*","%2A"),"?","%3F"),'Rules'!$G$7:$G$26,0))&lt;&gt;"",INDEX('Rules'!$F$7:$F$26,MATCH(SUBSTITUTE(SUBSTITUTE(SUBSTITUTE(SUBSTITUTE("type:"&amp;B1628,"%","%25"),"~","%7E"),"*","%2A"),"?","%3F"),'Rules'!$G$7:$G$26,0)),IF(AND(C1628&lt;&gt;"",C1628&lt;&gt;INDEX('Rules'!$B$7:$B$26,MATCH(SUBSTITUTE(SUBSTITUTE(SUBSTITUTE(SUBSTITUTE("type:"&amp;B1628,"%","%25"),"~","%7E"),"*","%2A"),"?","%3F"),'Rules'!$G$7:$G$26,0))),"Unit mismatch",IF(IF(NOT(ISNUMBER(D1628)),TRUE,OR(D1628&lt;0,D1628&gt;999999999,ROUND(D1628,3)&lt;&gt;D1628)),"Invalid current reading",IF(AND(E1628&lt;&gt;"",IF(NOT(ISNUMBER(E1628)),TRUE,OR(E1628&lt;0,E1628&gt;999999999,ROUND(E1628,3)&lt;&gt;E1628))),"Invalid previous reading",IF(IF(NOT(ISNUMBER(F1628)),TRUE,OR(F1628&lt;0,F1628&gt;999999999,ROUND(F1628,3)&lt;&gt;F1628)),"Invalid last service",IF(AND(E1628&lt;&gt;"",D1628&lt;E1628),"Decreased reading",IF(F1628&gt;D1628,"Last service above current","")))))))))))))</x:f>
      </x:c>
      <x:c r="L1628" s="6" t="str">
        <x:f>IF(AND(NOT(COUNTA(A1628:F1628)=0),K1628=""),INDEX('Rules'!$C$7:$C$26,MATCH(SUBSTITUTE(SUBSTITUTE(SUBSTITUTE(SUBSTITUTE("type:"&amp;B1628,"%","%25"),"~","%7E"),"*","%2A"),"?","%3F"),'Rules'!$G$7:$G$26,0)),"")</x:f>
      </x:c>
      <x:c r="M1628" s="6" t="str">
        <x:f>IF(AND(NOT(COUNTA(A1628:F1628)=0),K1628=""),INDEX('Rules'!$D$7:$D$26,MATCH(SUBSTITUTE(SUBSTITUTE(SUBSTITUTE(SUBSTITUTE("type:"&amp;B1628,"%","%25"),"~","%7E"),"*","%2A"),"?","%3F"),'Rules'!$G$7:$G$26,0)),"")</x:f>
      </x:c>
      <x:c r="N1628" s="5" t="str">
        <x:f>IF(COUNTA(A1628:F1628)=0,"",SUBSTITUTE(SUBSTITUTE(SUBSTITUTE(SUBSTITUTE("id:"&amp;A1628,"%","%25"),"~","%7E"),"*","%2A"),"?","%3F"))</x:f>
      </x:c>
    </x:row>
    <x:row r="1629" ht="22" customHeight="1">
      <x:c r="A1629" s="3"/>
      <x:c r="B1629" s="3"/>
      <x:c r="C1629" s="3"/>
      <x:c r="D1629" s="4"/>
      <x:c r="E1629" s="4"/>
      <x:c r="F1629" s="4"/>
      <x:c r="G1629" s="5" t="str">
        <x:f>IF(COUNTA(A1629:F1629)=0,"",IF(K1629&lt;&gt;"","Review",IF(I1629&lt;0,"Overdue",IF(I1629=0,"Due now",IF(I1629&lt;=M1629,"Due soon","Not due")))))</x:f>
      </x:c>
      <x:c r="H1629" s="5" t="str">
        <x:f>IF(OR(COUNTA(A1629:F1629)=0,COUNTIFS('Rules'!$G$7:$G$26,"="&amp;(SUBSTITUTE(SUBSTITUTE(SUBSTITUTE(SUBSTITUTE("type:"&amp;B1629,"%","%25"),"~","%7E"),"*","%2A"),"?","%3F")))&lt;&gt;1),"",IF(OR(INDEX('Rules'!$B$7:$B$26,MATCH(SUBSTITUTE(SUBSTITUTE(SUBSTITUTE(SUBSTITUTE("type:"&amp;B1629,"%","%25"),"~","%7E"),"*","%2A"),"?","%3F"),'Rules'!$G$7:$G$26,0))="hours",INDEX('Rules'!$B$7:$B$26,MATCH(SUBSTITUTE(SUBSTITUTE(SUBSTITUTE(SUBSTITUTE("type:"&amp;B1629,"%","%25"),"~","%7E"),"*","%2A"),"?","%3F"),'Rules'!$G$7:$G$26,0))="km"),INDEX('Rules'!$B$7:$B$26,MATCH(SUBSTITUTE(SUBSTITUTE(SUBSTITUTE(SUBSTITUTE("type:"&amp;B1629,"%","%25"),"~","%7E"),"*","%2A"),"?","%3F"),'Rules'!$G$7:$G$26,0)),""))</x:f>
      </x:c>
      <x:c r="I1629" s="6" t="str">
        <x:f>IF(AND(NOT(COUNTA(A1629:F1629)=0),K1629=""),ROUND(J1629-D1629,3),"")</x:f>
      </x:c>
      <x:c r="J1629" s="6" t="str">
        <x:f>IF(AND(NOT(COUNTA(A1629:F1629)=0),K1629=""),ROUND(F1629+L1629,3),"")</x:f>
      </x:c>
      <x:c r="K1629" s="5" t="str">
        <x:f>IF(COUNTA(A1629:F1629)=0,"",IF(A1629="","Missing equipment ID",IF(COUNTIFS($N$8:$N$2007,"="&amp;N1629)&gt;1,"Duplicate equipment ID",IF(B1629="","Missing type",IF(COUNTIFS('Rules'!$G$7:$G$26,"="&amp;(SUBSTITUTE(SUBSTITUTE(SUBSTITUTE(SUBSTITUTE("type:"&amp;B1629,"%","%25"),"~","%7E"),"*","%2A"),"?","%3F")))=0,"Unknown type",IF(COUNTIFS('Rules'!$G$7:$G$26,"="&amp;(SUBSTITUTE(SUBSTITUTE(SUBSTITUTE(SUBSTITUTE("type:"&amp;B1629,"%","%25"),"~","%7E"),"*","%2A"),"?","%3F")))&gt;1,"Duplicate type",IF(INDEX('Rules'!$F$7:$F$26,MATCH(SUBSTITUTE(SUBSTITUTE(SUBSTITUTE(SUBSTITUTE("type:"&amp;B1629,"%","%25"),"~","%7E"),"*","%2A"),"?","%3F"),'Rules'!$G$7:$G$26,0))&lt;&gt;"",INDEX('Rules'!$F$7:$F$26,MATCH(SUBSTITUTE(SUBSTITUTE(SUBSTITUTE(SUBSTITUTE("type:"&amp;B1629,"%","%25"),"~","%7E"),"*","%2A"),"?","%3F"),'Rules'!$G$7:$G$26,0)),IF(AND(C1629&lt;&gt;"",C1629&lt;&gt;INDEX('Rules'!$B$7:$B$26,MATCH(SUBSTITUTE(SUBSTITUTE(SUBSTITUTE(SUBSTITUTE("type:"&amp;B1629,"%","%25"),"~","%7E"),"*","%2A"),"?","%3F"),'Rules'!$G$7:$G$26,0))),"Unit mismatch",IF(IF(NOT(ISNUMBER(D1629)),TRUE,OR(D1629&lt;0,D1629&gt;999999999,ROUND(D1629,3)&lt;&gt;D1629)),"Invalid current reading",IF(AND(E1629&lt;&gt;"",IF(NOT(ISNUMBER(E1629)),TRUE,OR(E1629&lt;0,E1629&gt;999999999,ROUND(E1629,3)&lt;&gt;E1629))),"Invalid previous reading",IF(IF(NOT(ISNUMBER(F1629)),TRUE,OR(F1629&lt;0,F1629&gt;999999999,ROUND(F1629,3)&lt;&gt;F1629)),"Invalid last service",IF(AND(E1629&lt;&gt;"",D1629&lt;E1629),"Decreased reading",IF(F1629&gt;D1629,"Last service above current","")))))))))))))</x:f>
      </x:c>
      <x:c r="L1629" s="6" t="str">
        <x:f>IF(AND(NOT(COUNTA(A1629:F1629)=0),K1629=""),INDEX('Rules'!$C$7:$C$26,MATCH(SUBSTITUTE(SUBSTITUTE(SUBSTITUTE(SUBSTITUTE("type:"&amp;B1629,"%","%25"),"~","%7E"),"*","%2A"),"?","%3F"),'Rules'!$G$7:$G$26,0)),"")</x:f>
      </x:c>
      <x:c r="M1629" s="6" t="str">
        <x:f>IF(AND(NOT(COUNTA(A1629:F1629)=0),K1629=""),INDEX('Rules'!$D$7:$D$26,MATCH(SUBSTITUTE(SUBSTITUTE(SUBSTITUTE(SUBSTITUTE("type:"&amp;B1629,"%","%25"),"~","%7E"),"*","%2A"),"?","%3F"),'Rules'!$G$7:$G$26,0)),"")</x:f>
      </x:c>
      <x:c r="N1629" s="5" t="str">
        <x:f>IF(COUNTA(A1629:F1629)=0,"",SUBSTITUTE(SUBSTITUTE(SUBSTITUTE(SUBSTITUTE("id:"&amp;A1629,"%","%25"),"~","%7E"),"*","%2A"),"?","%3F"))</x:f>
      </x:c>
    </x:row>
    <x:row r="1630" ht="22" customHeight="1">
      <x:c r="A1630" s="3"/>
      <x:c r="B1630" s="3"/>
      <x:c r="C1630" s="3"/>
      <x:c r="D1630" s="4"/>
      <x:c r="E1630" s="4"/>
      <x:c r="F1630" s="4"/>
      <x:c r="G1630" s="5" t="str">
        <x:f>IF(COUNTA(A1630:F1630)=0,"",IF(K1630&lt;&gt;"","Review",IF(I1630&lt;0,"Overdue",IF(I1630=0,"Due now",IF(I1630&lt;=M1630,"Due soon","Not due")))))</x:f>
      </x:c>
      <x:c r="H1630" s="5" t="str">
        <x:f>IF(OR(COUNTA(A1630:F1630)=0,COUNTIFS('Rules'!$G$7:$G$26,"="&amp;(SUBSTITUTE(SUBSTITUTE(SUBSTITUTE(SUBSTITUTE("type:"&amp;B1630,"%","%25"),"~","%7E"),"*","%2A"),"?","%3F")))&lt;&gt;1),"",IF(OR(INDEX('Rules'!$B$7:$B$26,MATCH(SUBSTITUTE(SUBSTITUTE(SUBSTITUTE(SUBSTITUTE("type:"&amp;B1630,"%","%25"),"~","%7E"),"*","%2A"),"?","%3F"),'Rules'!$G$7:$G$26,0))="hours",INDEX('Rules'!$B$7:$B$26,MATCH(SUBSTITUTE(SUBSTITUTE(SUBSTITUTE(SUBSTITUTE("type:"&amp;B1630,"%","%25"),"~","%7E"),"*","%2A"),"?","%3F"),'Rules'!$G$7:$G$26,0))="km"),INDEX('Rules'!$B$7:$B$26,MATCH(SUBSTITUTE(SUBSTITUTE(SUBSTITUTE(SUBSTITUTE("type:"&amp;B1630,"%","%25"),"~","%7E"),"*","%2A"),"?","%3F"),'Rules'!$G$7:$G$26,0)),""))</x:f>
      </x:c>
      <x:c r="I1630" s="6" t="str">
        <x:f>IF(AND(NOT(COUNTA(A1630:F1630)=0),K1630=""),ROUND(J1630-D1630,3),"")</x:f>
      </x:c>
      <x:c r="J1630" s="6" t="str">
        <x:f>IF(AND(NOT(COUNTA(A1630:F1630)=0),K1630=""),ROUND(F1630+L1630,3),"")</x:f>
      </x:c>
      <x:c r="K1630" s="5" t="str">
        <x:f>IF(COUNTA(A1630:F1630)=0,"",IF(A1630="","Missing equipment ID",IF(COUNTIFS($N$8:$N$2007,"="&amp;N1630)&gt;1,"Duplicate equipment ID",IF(B1630="","Missing type",IF(COUNTIFS('Rules'!$G$7:$G$26,"="&amp;(SUBSTITUTE(SUBSTITUTE(SUBSTITUTE(SUBSTITUTE("type:"&amp;B1630,"%","%25"),"~","%7E"),"*","%2A"),"?","%3F")))=0,"Unknown type",IF(COUNTIFS('Rules'!$G$7:$G$26,"="&amp;(SUBSTITUTE(SUBSTITUTE(SUBSTITUTE(SUBSTITUTE("type:"&amp;B1630,"%","%25"),"~","%7E"),"*","%2A"),"?","%3F")))&gt;1,"Duplicate type",IF(INDEX('Rules'!$F$7:$F$26,MATCH(SUBSTITUTE(SUBSTITUTE(SUBSTITUTE(SUBSTITUTE("type:"&amp;B1630,"%","%25"),"~","%7E"),"*","%2A"),"?","%3F"),'Rules'!$G$7:$G$26,0))&lt;&gt;"",INDEX('Rules'!$F$7:$F$26,MATCH(SUBSTITUTE(SUBSTITUTE(SUBSTITUTE(SUBSTITUTE("type:"&amp;B1630,"%","%25"),"~","%7E"),"*","%2A"),"?","%3F"),'Rules'!$G$7:$G$26,0)),IF(AND(C1630&lt;&gt;"",C1630&lt;&gt;INDEX('Rules'!$B$7:$B$26,MATCH(SUBSTITUTE(SUBSTITUTE(SUBSTITUTE(SUBSTITUTE("type:"&amp;B1630,"%","%25"),"~","%7E"),"*","%2A"),"?","%3F"),'Rules'!$G$7:$G$26,0))),"Unit mismatch",IF(IF(NOT(ISNUMBER(D1630)),TRUE,OR(D1630&lt;0,D1630&gt;999999999,ROUND(D1630,3)&lt;&gt;D1630)),"Invalid current reading",IF(AND(E1630&lt;&gt;"",IF(NOT(ISNUMBER(E1630)),TRUE,OR(E1630&lt;0,E1630&gt;999999999,ROUND(E1630,3)&lt;&gt;E1630))),"Invalid previous reading",IF(IF(NOT(ISNUMBER(F1630)),TRUE,OR(F1630&lt;0,F1630&gt;999999999,ROUND(F1630,3)&lt;&gt;F1630)),"Invalid last service",IF(AND(E1630&lt;&gt;"",D1630&lt;E1630),"Decreased reading",IF(F1630&gt;D1630,"Last service above current","")))))))))))))</x:f>
      </x:c>
      <x:c r="L1630" s="6" t="str">
        <x:f>IF(AND(NOT(COUNTA(A1630:F1630)=0),K1630=""),INDEX('Rules'!$C$7:$C$26,MATCH(SUBSTITUTE(SUBSTITUTE(SUBSTITUTE(SUBSTITUTE("type:"&amp;B1630,"%","%25"),"~","%7E"),"*","%2A"),"?","%3F"),'Rules'!$G$7:$G$26,0)),"")</x:f>
      </x:c>
      <x:c r="M1630" s="6" t="str">
        <x:f>IF(AND(NOT(COUNTA(A1630:F1630)=0),K1630=""),INDEX('Rules'!$D$7:$D$26,MATCH(SUBSTITUTE(SUBSTITUTE(SUBSTITUTE(SUBSTITUTE("type:"&amp;B1630,"%","%25"),"~","%7E"),"*","%2A"),"?","%3F"),'Rules'!$G$7:$G$26,0)),"")</x:f>
      </x:c>
      <x:c r="N1630" s="5" t="str">
        <x:f>IF(COUNTA(A1630:F1630)=0,"",SUBSTITUTE(SUBSTITUTE(SUBSTITUTE(SUBSTITUTE("id:"&amp;A1630,"%","%25"),"~","%7E"),"*","%2A"),"?","%3F"))</x:f>
      </x:c>
    </x:row>
    <x:row r="1631" ht="22" customHeight="1">
      <x:c r="A1631" s="3"/>
      <x:c r="B1631" s="3"/>
      <x:c r="C1631" s="3"/>
      <x:c r="D1631" s="4"/>
      <x:c r="E1631" s="4"/>
      <x:c r="F1631" s="4"/>
      <x:c r="G1631" s="5" t="str">
        <x:f>IF(COUNTA(A1631:F1631)=0,"",IF(K1631&lt;&gt;"","Review",IF(I1631&lt;0,"Overdue",IF(I1631=0,"Due now",IF(I1631&lt;=M1631,"Due soon","Not due")))))</x:f>
      </x:c>
      <x:c r="H1631" s="5" t="str">
        <x:f>IF(OR(COUNTA(A1631:F1631)=0,COUNTIFS('Rules'!$G$7:$G$26,"="&amp;(SUBSTITUTE(SUBSTITUTE(SUBSTITUTE(SUBSTITUTE("type:"&amp;B1631,"%","%25"),"~","%7E"),"*","%2A"),"?","%3F")))&lt;&gt;1),"",IF(OR(INDEX('Rules'!$B$7:$B$26,MATCH(SUBSTITUTE(SUBSTITUTE(SUBSTITUTE(SUBSTITUTE("type:"&amp;B1631,"%","%25"),"~","%7E"),"*","%2A"),"?","%3F"),'Rules'!$G$7:$G$26,0))="hours",INDEX('Rules'!$B$7:$B$26,MATCH(SUBSTITUTE(SUBSTITUTE(SUBSTITUTE(SUBSTITUTE("type:"&amp;B1631,"%","%25"),"~","%7E"),"*","%2A"),"?","%3F"),'Rules'!$G$7:$G$26,0))="km"),INDEX('Rules'!$B$7:$B$26,MATCH(SUBSTITUTE(SUBSTITUTE(SUBSTITUTE(SUBSTITUTE("type:"&amp;B1631,"%","%25"),"~","%7E"),"*","%2A"),"?","%3F"),'Rules'!$G$7:$G$26,0)),""))</x:f>
      </x:c>
      <x:c r="I1631" s="6" t="str">
        <x:f>IF(AND(NOT(COUNTA(A1631:F1631)=0),K1631=""),ROUND(J1631-D1631,3),"")</x:f>
      </x:c>
      <x:c r="J1631" s="6" t="str">
        <x:f>IF(AND(NOT(COUNTA(A1631:F1631)=0),K1631=""),ROUND(F1631+L1631,3),"")</x:f>
      </x:c>
      <x:c r="K1631" s="5" t="str">
        <x:f>IF(COUNTA(A1631:F1631)=0,"",IF(A1631="","Missing equipment ID",IF(COUNTIFS($N$8:$N$2007,"="&amp;N1631)&gt;1,"Duplicate equipment ID",IF(B1631="","Missing type",IF(COUNTIFS('Rules'!$G$7:$G$26,"="&amp;(SUBSTITUTE(SUBSTITUTE(SUBSTITUTE(SUBSTITUTE("type:"&amp;B1631,"%","%25"),"~","%7E"),"*","%2A"),"?","%3F")))=0,"Unknown type",IF(COUNTIFS('Rules'!$G$7:$G$26,"="&amp;(SUBSTITUTE(SUBSTITUTE(SUBSTITUTE(SUBSTITUTE("type:"&amp;B1631,"%","%25"),"~","%7E"),"*","%2A"),"?","%3F")))&gt;1,"Duplicate type",IF(INDEX('Rules'!$F$7:$F$26,MATCH(SUBSTITUTE(SUBSTITUTE(SUBSTITUTE(SUBSTITUTE("type:"&amp;B1631,"%","%25"),"~","%7E"),"*","%2A"),"?","%3F"),'Rules'!$G$7:$G$26,0))&lt;&gt;"",INDEX('Rules'!$F$7:$F$26,MATCH(SUBSTITUTE(SUBSTITUTE(SUBSTITUTE(SUBSTITUTE("type:"&amp;B1631,"%","%25"),"~","%7E"),"*","%2A"),"?","%3F"),'Rules'!$G$7:$G$26,0)),IF(AND(C1631&lt;&gt;"",C1631&lt;&gt;INDEX('Rules'!$B$7:$B$26,MATCH(SUBSTITUTE(SUBSTITUTE(SUBSTITUTE(SUBSTITUTE("type:"&amp;B1631,"%","%25"),"~","%7E"),"*","%2A"),"?","%3F"),'Rules'!$G$7:$G$26,0))),"Unit mismatch",IF(IF(NOT(ISNUMBER(D1631)),TRUE,OR(D1631&lt;0,D1631&gt;999999999,ROUND(D1631,3)&lt;&gt;D1631)),"Invalid current reading",IF(AND(E1631&lt;&gt;"",IF(NOT(ISNUMBER(E1631)),TRUE,OR(E1631&lt;0,E1631&gt;999999999,ROUND(E1631,3)&lt;&gt;E1631))),"Invalid previous reading",IF(IF(NOT(ISNUMBER(F1631)),TRUE,OR(F1631&lt;0,F1631&gt;999999999,ROUND(F1631,3)&lt;&gt;F1631)),"Invalid last service",IF(AND(E1631&lt;&gt;"",D1631&lt;E1631),"Decreased reading",IF(F1631&gt;D1631,"Last service above current","")))))))))))))</x:f>
      </x:c>
      <x:c r="L1631" s="6" t="str">
        <x:f>IF(AND(NOT(COUNTA(A1631:F1631)=0),K1631=""),INDEX('Rules'!$C$7:$C$26,MATCH(SUBSTITUTE(SUBSTITUTE(SUBSTITUTE(SUBSTITUTE("type:"&amp;B1631,"%","%25"),"~","%7E"),"*","%2A"),"?","%3F"),'Rules'!$G$7:$G$26,0)),"")</x:f>
      </x:c>
      <x:c r="M1631" s="6" t="str">
        <x:f>IF(AND(NOT(COUNTA(A1631:F1631)=0),K1631=""),INDEX('Rules'!$D$7:$D$26,MATCH(SUBSTITUTE(SUBSTITUTE(SUBSTITUTE(SUBSTITUTE("type:"&amp;B1631,"%","%25"),"~","%7E"),"*","%2A"),"?","%3F"),'Rules'!$G$7:$G$26,0)),"")</x:f>
      </x:c>
      <x:c r="N1631" s="5" t="str">
        <x:f>IF(COUNTA(A1631:F1631)=0,"",SUBSTITUTE(SUBSTITUTE(SUBSTITUTE(SUBSTITUTE("id:"&amp;A1631,"%","%25"),"~","%7E"),"*","%2A"),"?","%3F"))</x:f>
      </x:c>
    </x:row>
    <x:row r="1632" ht="22" customHeight="1">
      <x:c r="A1632" s="3"/>
      <x:c r="B1632" s="3"/>
      <x:c r="C1632" s="3"/>
      <x:c r="D1632" s="4"/>
      <x:c r="E1632" s="4"/>
      <x:c r="F1632" s="4"/>
      <x:c r="G1632" s="5" t="str">
        <x:f>IF(COUNTA(A1632:F1632)=0,"",IF(K1632&lt;&gt;"","Review",IF(I1632&lt;0,"Overdue",IF(I1632=0,"Due now",IF(I1632&lt;=M1632,"Due soon","Not due")))))</x:f>
      </x:c>
      <x:c r="H1632" s="5" t="str">
        <x:f>IF(OR(COUNTA(A1632:F1632)=0,COUNTIFS('Rules'!$G$7:$G$26,"="&amp;(SUBSTITUTE(SUBSTITUTE(SUBSTITUTE(SUBSTITUTE("type:"&amp;B1632,"%","%25"),"~","%7E"),"*","%2A"),"?","%3F")))&lt;&gt;1),"",IF(OR(INDEX('Rules'!$B$7:$B$26,MATCH(SUBSTITUTE(SUBSTITUTE(SUBSTITUTE(SUBSTITUTE("type:"&amp;B1632,"%","%25"),"~","%7E"),"*","%2A"),"?","%3F"),'Rules'!$G$7:$G$26,0))="hours",INDEX('Rules'!$B$7:$B$26,MATCH(SUBSTITUTE(SUBSTITUTE(SUBSTITUTE(SUBSTITUTE("type:"&amp;B1632,"%","%25"),"~","%7E"),"*","%2A"),"?","%3F"),'Rules'!$G$7:$G$26,0))="km"),INDEX('Rules'!$B$7:$B$26,MATCH(SUBSTITUTE(SUBSTITUTE(SUBSTITUTE(SUBSTITUTE("type:"&amp;B1632,"%","%25"),"~","%7E"),"*","%2A"),"?","%3F"),'Rules'!$G$7:$G$26,0)),""))</x:f>
      </x:c>
      <x:c r="I1632" s="6" t="str">
        <x:f>IF(AND(NOT(COUNTA(A1632:F1632)=0),K1632=""),ROUND(J1632-D1632,3),"")</x:f>
      </x:c>
      <x:c r="J1632" s="6" t="str">
        <x:f>IF(AND(NOT(COUNTA(A1632:F1632)=0),K1632=""),ROUND(F1632+L1632,3),"")</x:f>
      </x:c>
      <x:c r="K1632" s="5" t="str">
        <x:f>IF(COUNTA(A1632:F1632)=0,"",IF(A1632="","Missing equipment ID",IF(COUNTIFS($N$8:$N$2007,"="&amp;N1632)&gt;1,"Duplicate equipment ID",IF(B1632="","Missing type",IF(COUNTIFS('Rules'!$G$7:$G$26,"="&amp;(SUBSTITUTE(SUBSTITUTE(SUBSTITUTE(SUBSTITUTE("type:"&amp;B1632,"%","%25"),"~","%7E"),"*","%2A"),"?","%3F")))=0,"Unknown type",IF(COUNTIFS('Rules'!$G$7:$G$26,"="&amp;(SUBSTITUTE(SUBSTITUTE(SUBSTITUTE(SUBSTITUTE("type:"&amp;B1632,"%","%25"),"~","%7E"),"*","%2A"),"?","%3F")))&gt;1,"Duplicate type",IF(INDEX('Rules'!$F$7:$F$26,MATCH(SUBSTITUTE(SUBSTITUTE(SUBSTITUTE(SUBSTITUTE("type:"&amp;B1632,"%","%25"),"~","%7E"),"*","%2A"),"?","%3F"),'Rules'!$G$7:$G$26,0))&lt;&gt;"",INDEX('Rules'!$F$7:$F$26,MATCH(SUBSTITUTE(SUBSTITUTE(SUBSTITUTE(SUBSTITUTE("type:"&amp;B1632,"%","%25"),"~","%7E"),"*","%2A"),"?","%3F"),'Rules'!$G$7:$G$26,0)),IF(AND(C1632&lt;&gt;"",C1632&lt;&gt;INDEX('Rules'!$B$7:$B$26,MATCH(SUBSTITUTE(SUBSTITUTE(SUBSTITUTE(SUBSTITUTE("type:"&amp;B1632,"%","%25"),"~","%7E"),"*","%2A"),"?","%3F"),'Rules'!$G$7:$G$26,0))),"Unit mismatch",IF(IF(NOT(ISNUMBER(D1632)),TRUE,OR(D1632&lt;0,D1632&gt;999999999,ROUND(D1632,3)&lt;&gt;D1632)),"Invalid current reading",IF(AND(E1632&lt;&gt;"",IF(NOT(ISNUMBER(E1632)),TRUE,OR(E1632&lt;0,E1632&gt;999999999,ROUND(E1632,3)&lt;&gt;E1632))),"Invalid previous reading",IF(IF(NOT(ISNUMBER(F1632)),TRUE,OR(F1632&lt;0,F1632&gt;999999999,ROUND(F1632,3)&lt;&gt;F1632)),"Invalid last service",IF(AND(E1632&lt;&gt;"",D1632&lt;E1632),"Decreased reading",IF(F1632&gt;D1632,"Last service above current","")))))))))))))</x:f>
      </x:c>
      <x:c r="L1632" s="6" t="str">
        <x:f>IF(AND(NOT(COUNTA(A1632:F1632)=0),K1632=""),INDEX('Rules'!$C$7:$C$26,MATCH(SUBSTITUTE(SUBSTITUTE(SUBSTITUTE(SUBSTITUTE("type:"&amp;B1632,"%","%25"),"~","%7E"),"*","%2A"),"?","%3F"),'Rules'!$G$7:$G$26,0)),"")</x:f>
      </x:c>
      <x:c r="M1632" s="6" t="str">
        <x:f>IF(AND(NOT(COUNTA(A1632:F1632)=0),K1632=""),INDEX('Rules'!$D$7:$D$26,MATCH(SUBSTITUTE(SUBSTITUTE(SUBSTITUTE(SUBSTITUTE("type:"&amp;B1632,"%","%25"),"~","%7E"),"*","%2A"),"?","%3F"),'Rules'!$G$7:$G$26,0)),"")</x:f>
      </x:c>
      <x:c r="N1632" s="5" t="str">
        <x:f>IF(COUNTA(A1632:F1632)=0,"",SUBSTITUTE(SUBSTITUTE(SUBSTITUTE(SUBSTITUTE("id:"&amp;A1632,"%","%25"),"~","%7E"),"*","%2A"),"?","%3F"))</x:f>
      </x:c>
    </x:row>
    <x:row r="1633" ht="22" customHeight="1">
      <x:c r="A1633" s="3"/>
      <x:c r="B1633" s="3"/>
      <x:c r="C1633" s="3"/>
      <x:c r="D1633" s="4"/>
      <x:c r="E1633" s="4"/>
      <x:c r="F1633" s="4"/>
      <x:c r="G1633" s="5" t="str">
        <x:f>IF(COUNTA(A1633:F1633)=0,"",IF(K1633&lt;&gt;"","Review",IF(I1633&lt;0,"Overdue",IF(I1633=0,"Due now",IF(I1633&lt;=M1633,"Due soon","Not due")))))</x:f>
      </x:c>
      <x:c r="H1633" s="5" t="str">
        <x:f>IF(OR(COUNTA(A1633:F1633)=0,COUNTIFS('Rules'!$G$7:$G$26,"="&amp;(SUBSTITUTE(SUBSTITUTE(SUBSTITUTE(SUBSTITUTE("type:"&amp;B1633,"%","%25"),"~","%7E"),"*","%2A"),"?","%3F")))&lt;&gt;1),"",IF(OR(INDEX('Rules'!$B$7:$B$26,MATCH(SUBSTITUTE(SUBSTITUTE(SUBSTITUTE(SUBSTITUTE("type:"&amp;B1633,"%","%25"),"~","%7E"),"*","%2A"),"?","%3F"),'Rules'!$G$7:$G$26,0))="hours",INDEX('Rules'!$B$7:$B$26,MATCH(SUBSTITUTE(SUBSTITUTE(SUBSTITUTE(SUBSTITUTE("type:"&amp;B1633,"%","%25"),"~","%7E"),"*","%2A"),"?","%3F"),'Rules'!$G$7:$G$26,0))="km"),INDEX('Rules'!$B$7:$B$26,MATCH(SUBSTITUTE(SUBSTITUTE(SUBSTITUTE(SUBSTITUTE("type:"&amp;B1633,"%","%25"),"~","%7E"),"*","%2A"),"?","%3F"),'Rules'!$G$7:$G$26,0)),""))</x:f>
      </x:c>
      <x:c r="I1633" s="6" t="str">
        <x:f>IF(AND(NOT(COUNTA(A1633:F1633)=0),K1633=""),ROUND(J1633-D1633,3),"")</x:f>
      </x:c>
      <x:c r="J1633" s="6" t="str">
        <x:f>IF(AND(NOT(COUNTA(A1633:F1633)=0),K1633=""),ROUND(F1633+L1633,3),"")</x:f>
      </x:c>
      <x:c r="K1633" s="5" t="str">
        <x:f>IF(COUNTA(A1633:F1633)=0,"",IF(A1633="","Missing equipment ID",IF(COUNTIFS($N$8:$N$2007,"="&amp;N1633)&gt;1,"Duplicate equipment ID",IF(B1633="","Missing type",IF(COUNTIFS('Rules'!$G$7:$G$26,"="&amp;(SUBSTITUTE(SUBSTITUTE(SUBSTITUTE(SUBSTITUTE("type:"&amp;B1633,"%","%25"),"~","%7E"),"*","%2A"),"?","%3F")))=0,"Unknown type",IF(COUNTIFS('Rules'!$G$7:$G$26,"="&amp;(SUBSTITUTE(SUBSTITUTE(SUBSTITUTE(SUBSTITUTE("type:"&amp;B1633,"%","%25"),"~","%7E"),"*","%2A"),"?","%3F")))&gt;1,"Duplicate type",IF(INDEX('Rules'!$F$7:$F$26,MATCH(SUBSTITUTE(SUBSTITUTE(SUBSTITUTE(SUBSTITUTE("type:"&amp;B1633,"%","%25"),"~","%7E"),"*","%2A"),"?","%3F"),'Rules'!$G$7:$G$26,0))&lt;&gt;"",INDEX('Rules'!$F$7:$F$26,MATCH(SUBSTITUTE(SUBSTITUTE(SUBSTITUTE(SUBSTITUTE("type:"&amp;B1633,"%","%25"),"~","%7E"),"*","%2A"),"?","%3F"),'Rules'!$G$7:$G$26,0)),IF(AND(C1633&lt;&gt;"",C1633&lt;&gt;INDEX('Rules'!$B$7:$B$26,MATCH(SUBSTITUTE(SUBSTITUTE(SUBSTITUTE(SUBSTITUTE("type:"&amp;B1633,"%","%25"),"~","%7E"),"*","%2A"),"?","%3F"),'Rules'!$G$7:$G$26,0))),"Unit mismatch",IF(IF(NOT(ISNUMBER(D1633)),TRUE,OR(D1633&lt;0,D1633&gt;999999999,ROUND(D1633,3)&lt;&gt;D1633)),"Invalid current reading",IF(AND(E1633&lt;&gt;"",IF(NOT(ISNUMBER(E1633)),TRUE,OR(E1633&lt;0,E1633&gt;999999999,ROUND(E1633,3)&lt;&gt;E1633))),"Invalid previous reading",IF(IF(NOT(ISNUMBER(F1633)),TRUE,OR(F1633&lt;0,F1633&gt;999999999,ROUND(F1633,3)&lt;&gt;F1633)),"Invalid last service",IF(AND(E1633&lt;&gt;"",D1633&lt;E1633),"Decreased reading",IF(F1633&gt;D1633,"Last service above current","")))))))))))))</x:f>
      </x:c>
      <x:c r="L1633" s="6" t="str">
        <x:f>IF(AND(NOT(COUNTA(A1633:F1633)=0),K1633=""),INDEX('Rules'!$C$7:$C$26,MATCH(SUBSTITUTE(SUBSTITUTE(SUBSTITUTE(SUBSTITUTE("type:"&amp;B1633,"%","%25"),"~","%7E"),"*","%2A"),"?","%3F"),'Rules'!$G$7:$G$26,0)),"")</x:f>
      </x:c>
      <x:c r="M1633" s="6" t="str">
        <x:f>IF(AND(NOT(COUNTA(A1633:F1633)=0),K1633=""),INDEX('Rules'!$D$7:$D$26,MATCH(SUBSTITUTE(SUBSTITUTE(SUBSTITUTE(SUBSTITUTE("type:"&amp;B1633,"%","%25"),"~","%7E"),"*","%2A"),"?","%3F"),'Rules'!$G$7:$G$26,0)),"")</x:f>
      </x:c>
      <x:c r="N1633" s="5" t="str">
        <x:f>IF(COUNTA(A1633:F1633)=0,"",SUBSTITUTE(SUBSTITUTE(SUBSTITUTE(SUBSTITUTE("id:"&amp;A1633,"%","%25"),"~","%7E"),"*","%2A"),"?","%3F"))</x:f>
      </x:c>
    </x:row>
    <x:row r="1634" ht="22" customHeight="1">
      <x:c r="A1634" s="3"/>
      <x:c r="B1634" s="3"/>
      <x:c r="C1634" s="3"/>
      <x:c r="D1634" s="4"/>
      <x:c r="E1634" s="4"/>
      <x:c r="F1634" s="4"/>
      <x:c r="G1634" s="5" t="str">
        <x:f>IF(COUNTA(A1634:F1634)=0,"",IF(K1634&lt;&gt;"","Review",IF(I1634&lt;0,"Overdue",IF(I1634=0,"Due now",IF(I1634&lt;=M1634,"Due soon","Not due")))))</x:f>
      </x:c>
      <x:c r="H1634" s="5" t="str">
        <x:f>IF(OR(COUNTA(A1634:F1634)=0,COUNTIFS('Rules'!$G$7:$G$26,"="&amp;(SUBSTITUTE(SUBSTITUTE(SUBSTITUTE(SUBSTITUTE("type:"&amp;B1634,"%","%25"),"~","%7E"),"*","%2A"),"?","%3F")))&lt;&gt;1),"",IF(OR(INDEX('Rules'!$B$7:$B$26,MATCH(SUBSTITUTE(SUBSTITUTE(SUBSTITUTE(SUBSTITUTE("type:"&amp;B1634,"%","%25"),"~","%7E"),"*","%2A"),"?","%3F"),'Rules'!$G$7:$G$26,0))="hours",INDEX('Rules'!$B$7:$B$26,MATCH(SUBSTITUTE(SUBSTITUTE(SUBSTITUTE(SUBSTITUTE("type:"&amp;B1634,"%","%25"),"~","%7E"),"*","%2A"),"?","%3F"),'Rules'!$G$7:$G$26,0))="km"),INDEX('Rules'!$B$7:$B$26,MATCH(SUBSTITUTE(SUBSTITUTE(SUBSTITUTE(SUBSTITUTE("type:"&amp;B1634,"%","%25"),"~","%7E"),"*","%2A"),"?","%3F"),'Rules'!$G$7:$G$26,0)),""))</x:f>
      </x:c>
      <x:c r="I1634" s="6" t="str">
        <x:f>IF(AND(NOT(COUNTA(A1634:F1634)=0),K1634=""),ROUND(J1634-D1634,3),"")</x:f>
      </x:c>
      <x:c r="J1634" s="6" t="str">
        <x:f>IF(AND(NOT(COUNTA(A1634:F1634)=0),K1634=""),ROUND(F1634+L1634,3),"")</x:f>
      </x:c>
      <x:c r="K1634" s="5" t="str">
        <x:f>IF(COUNTA(A1634:F1634)=0,"",IF(A1634="","Missing equipment ID",IF(COUNTIFS($N$8:$N$2007,"="&amp;N1634)&gt;1,"Duplicate equipment ID",IF(B1634="","Missing type",IF(COUNTIFS('Rules'!$G$7:$G$26,"="&amp;(SUBSTITUTE(SUBSTITUTE(SUBSTITUTE(SUBSTITUTE("type:"&amp;B1634,"%","%25"),"~","%7E"),"*","%2A"),"?","%3F")))=0,"Unknown type",IF(COUNTIFS('Rules'!$G$7:$G$26,"="&amp;(SUBSTITUTE(SUBSTITUTE(SUBSTITUTE(SUBSTITUTE("type:"&amp;B1634,"%","%25"),"~","%7E"),"*","%2A"),"?","%3F")))&gt;1,"Duplicate type",IF(INDEX('Rules'!$F$7:$F$26,MATCH(SUBSTITUTE(SUBSTITUTE(SUBSTITUTE(SUBSTITUTE("type:"&amp;B1634,"%","%25"),"~","%7E"),"*","%2A"),"?","%3F"),'Rules'!$G$7:$G$26,0))&lt;&gt;"",INDEX('Rules'!$F$7:$F$26,MATCH(SUBSTITUTE(SUBSTITUTE(SUBSTITUTE(SUBSTITUTE("type:"&amp;B1634,"%","%25"),"~","%7E"),"*","%2A"),"?","%3F"),'Rules'!$G$7:$G$26,0)),IF(AND(C1634&lt;&gt;"",C1634&lt;&gt;INDEX('Rules'!$B$7:$B$26,MATCH(SUBSTITUTE(SUBSTITUTE(SUBSTITUTE(SUBSTITUTE("type:"&amp;B1634,"%","%25"),"~","%7E"),"*","%2A"),"?","%3F"),'Rules'!$G$7:$G$26,0))),"Unit mismatch",IF(IF(NOT(ISNUMBER(D1634)),TRUE,OR(D1634&lt;0,D1634&gt;999999999,ROUND(D1634,3)&lt;&gt;D1634)),"Invalid current reading",IF(AND(E1634&lt;&gt;"",IF(NOT(ISNUMBER(E1634)),TRUE,OR(E1634&lt;0,E1634&gt;999999999,ROUND(E1634,3)&lt;&gt;E1634))),"Invalid previous reading",IF(IF(NOT(ISNUMBER(F1634)),TRUE,OR(F1634&lt;0,F1634&gt;999999999,ROUND(F1634,3)&lt;&gt;F1634)),"Invalid last service",IF(AND(E1634&lt;&gt;"",D1634&lt;E1634),"Decreased reading",IF(F1634&gt;D1634,"Last service above current","")))))))))))))</x:f>
      </x:c>
      <x:c r="L1634" s="6" t="str">
        <x:f>IF(AND(NOT(COUNTA(A1634:F1634)=0),K1634=""),INDEX('Rules'!$C$7:$C$26,MATCH(SUBSTITUTE(SUBSTITUTE(SUBSTITUTE(SUBSTITUTE("type:"&amp;B1634,"%","%25"),"~","%7E"),"*","%2A"),"?","%3F"),'Rules'!$G$7:$G$26,0)),"")</x:f>
      </x:c>
      <x:c r="M1634" s="6" t="str">
        <x:f>IF(AND(NOT(COUNTA(A1634:F1634)=0),K1634=""),INDEX('Rules'!$D$7:$D$26,MATCH(SUBSTITUTE(SUBSTITUTE(SUBSTITUTE(SUBSTITUTE("type:"&amp;B1634,"%","%25"),"~","%7E"),"*","%2A"),"?","%3F"),'Rules'!$G$7:$G$26,0)),"")</x:f>
      </x:c>
      <x:c r="N1634" s="5" t="str">
        <x:f>IF(COUNTA(A1634:F1634)=0,"",SUBSTITUTE(SUBSTITUTE(SUBSTITUTE(SUBSTITUTE("id:"&amp;A1634,"%","%25"),"~","%7E"),"*","%2A"),"?","%3F"))</x:f>
      </x:c>
    </x:row>
    <x:row r="1635" ht="22" customHeight="1">
      <x:c r="A1635" s="3"/>
      <x:c r="B1635" s="3"/>
      <x:c r="C1635" s="3"/>
      <x:c r="D1635" s="4"/>
      <x:c r="E1635" s="4"/>
      <x:c r="F1635" s="4"/>
      <x:c r="G1635" s="5" t="str">
        <x:f>IF(COUNTA(A1635:F1635)=0,"",IF(K1635&lt;&gt;"","Review",IF(I1635&lt;0,"Overdue",IF(I1635=0,"Due now",IF(I1635&lt;=M1635,"Due soon","Not due")))))</x:f>
      </x:c>
      <x:c r="H1635" s="5" t="str">
        <x:f>IF(OR(COUNTA(A1635:F1635)=0,COUNTIFS('Rules'!$G$7:$G$26,"="&amp;(SUBSTITUTE(SUBSTITUTE(SUBSTITUTE(SUBSTITUTE("type:"&amp;B1635,"%","%25"),"~","%7E"),"*","%2A"),"?","%3F")))&lt;&gt;1),"",IF(OR(INDEX('Rules'!$B$7:$B$26,MATCH(SUBSTITUTE(SUBSTITUTE(SUBSTITUTE(SUBSTITUTE("type:"&amp;B1635,"%","%25"),"~","%7E"),"*","%2A"),"?","%3F"),'Rules'!$G$7:$G$26,0))="hours",INDEX('Rules'!$B$7:$B$26,MATCH(SUBSTITUTE(SUBSTITUTE(SUBSTITUTE(SUBSTITUTE("type:"&amp;B1635,"%","%25"),"~","%7E"),"*","%2A"),"?","%3F"),'Rules'!$G$7:$G$26,0))="km"),INDEX('Rules'!$B$7:$B$26,MATCH(SUBSTITUTE(SUBSTITUTE(SUBSTITUTE(SUBSTITUTE("type:"&amp;B1635,"%","%25"),"~","%7E"),"*","%2A"),"?","%3F"),'Rules'!$G$7:$G$26,0)),""))</x:f>
      </x:c>
      <x:c r="I1635" s="6" t="str">
        <x:f>IF(AND(NOT(COUNTA(A1635:F1635)=0),K1635=""),ROUND(J1635-D1635,3),"")</x:f>
      </x:c>
      <x:c r="J1635" s="6" t="str">
        <x:f>IF(AND(NOT(COUNTA(A1635:F1635)=0),K1635=""),ROUND(F1635+L1635,3),"")</x:f>
      </x:c>
      <x:c r="K1635" s="5" t="str">
        <x:f>IF(COUNTA(A1635:F1635)=0,"",IF(A1635="","Missing equipment ID",IF(COUNTIFS($N$8:$N$2007,"="&amp;N1635)&gt;1,"Duplicate equipment ID",IF(B1635="","Missing type",IF(COUNTIFS('Rules'!$G$7:$G$26,"="&amp;(SUBSTITUTE(SUBSTITUTE(SUBSTITUTE(SUBSTITUTE("type:"&amp;B1635,"%","%25"),"~","%7E"),"*","%2A"),"?","%3F")))=0,"Unknown type",IF(COUNTIFS('Rules'!$G$7:$G$26,"="&amp;(SUBSTITUTE(SUBSTITUTE(SUBSTITUTE(SUBSTITUTE("type:"&amp;B1635,"%","%25"),"~","%7E"),"*","%2A"),"?","%3F")))&gt;1,"Duplicate type",IF(INDEX('Rules'!$F$7:$F$26,MATCH(SUBSTITUTE(SUBSTITUTE(SUBSTITUTE(SUBSTITUTE("type:"&amp;B1635,"%","%25"),"~","%7E"),"*","%2A"),"?","%3F"),'Rules'!$G$7:$G$26,0))&lt;&gt;"",INDEX('Rules'!$F$7:$F$26,MATCH(SUBSTITUTE(SUBSTITUTE(SUBSTITUTE(SUBSTITUTE("type:"&amp;B1635,"%","%25"),"~","%7E"),"*","%2A"),"?","%3F"),'Rules'!$G$7:$G$26,0)),IF(AND(C1635&lt;&gt;"",C1635&lt;&gt;INDEX('Rules'!$B$7:$B$26,MATCH(SUBSTITUTE(SUBSTITUTE(SUBSTITUTE(SUBSTITUTE("type:"&amp;B1635,"%","%25"),"~","%7E"),"*","%2A"),"?","%3F"),'Rules'!$G$7:$G$26,0))),"Unit mismatch",IF(IF(NOT(ISNUMBER(D1635)),TRUE,OR(D1635&lt;0,D1635&gt;999999999,ROUND(D1635,3)&lt;&gt;D1635)),"Invalid current reading",IF(AND(E1635&lt;&gt;"",IF(NOT(ISNUMBER(E1635)),TRUE,OR(E1635&lt;0,E1635&gt;999999999,ROUND(E1635,3)&lt;&gt;E1635))),"Invalid previous reading",IF(IF(NOT(ISNUMBER(F1635)),TRUE,OR(F1635&lt;0,F1635&gt;999999999,ROUND(F1635,3)&lt;&gt;F1635)),"Invalid last service",IF(AND(E1635&lt;&gt;"",D1635&lt;E1635),"Decreased reading",IF(F1635&gt;D1635,"Last service above current","")))))))))))))</x:f>
      </x:c>
      <x:c r="L1635" s="6" t="str">
        <x:f>IF(AND(NOT(COUNTA(A1635:F1635)=0),K1635=""),INDEX('Rules'!$C$7:$C$26,MATCH(SUBSTITUTE(SUBSTITUTE(SUBSTITUTE(SUBSTITUTE("type:"&amp;B1635,"%","%25"),"~","%7E"),"*","%2A"),"?","%3F"),'Rules'!$G$7:$G$26,0)),"")</x:f>
      </x:c>
      <x:c r="M1635" s="6" t="str">
        <x:f>IF(AND(NOT(COUNTA(A1635:F1635)=0),K1635=""),INDEX('Rules'!$D$7:$D$26,MATCH(SUBSTITUTE(SUBSTITUTE(SUBSTITUTE(SUBSTITUTE("type:"&amp;B1635,"%","%25"),"~","%7E"),"*","%2A"),"?","%3F"),'Rules'!$G$7:$G$26,0)),"")</x:f>
      </x:c>
      <x:c r="N1635" s="5" t="str">
        <x:f>IF(COUNTA(A1635:F1635)=0,"",SUBSTITUTE(SUBSTITUTE(SUBSTITUTE(SUBSTITUTE("id:"&amp;A1635,"%","%25"),"~","%7E"),"*","%2A"),"?","%3F"))</x:f>
      </x:c>
    </x:row>
    <x:row r="1636" ht="22" customHeight="1">
      <x:c r="A1636" s="3"/>
      <x:c r="B1636" s="3"/>
      <x:c r="C1636" s="3"/>
      <x:c r="D1636" s="4"/>
      <x:c r="E1636" s="4"/>
      <x:c r="F1636" s="4"/>
      <x:c r="G1636" s="5" t="str">
        <x:f>IF(COUNTA(A1636:F1636)=0,"",IF(K1636&lt;&gt;"","Review",IF(I1636&lt;0,"Overdue",IF(I1636=0,"Due now",IF(I1636&lt;=M1636,"Due soon","Not due")))))</x:f>
      </x:c>
      <x:c r="H1636" s="5" t="str">
        <x:f>IF(OR(COUNTA(A1636:F1636)=0,COUNTIFS('Rules'!$G$7:$G$26,"="&amp;(SUBSTITUTE(SUBSTITUTE(SUBSTITUTE(SUBSTITUTE("type:"&amp;B1636,"%","%25"),"~","%7E"),"*","%2A"),"?","%3F")))&lt;&gt;1),"",IF(OR(INDEX('Rules'!$B$7:$B$26,MATCH(SUBSTITUTE(SUBSTITUTE(SUBSTITUTE(SUBSTITUTE("type:"&amp;B1636,"%","%25"),"~","%7E"),"*","%2A"),"?","%3F"),'Rules'!$G$7:$G$26,0))="hours",INDEX('Rules'!$B$7:$B$26,MATCH(SUBSTITUTE(SUBSTITUTE(SUBSTITUTE(SUBSTITUTE("type:"&amp;B1636,"%","%25"),"~","%7E"),"*","%2A"),"?","%3F"),'Rules'!$G$7:$G$26,0))="km"),INDEX('Rules'!$B$7:$B$26,MATCH(SUBSTITUTE(SUBSTITUTE(SUBSTITUTE(SUBSTITUTE("type:"&amp;B1636,"%","%25"),"~","%7E"),"*","%2A"),"?","%3F"),'Rules'!$G$7:$G$26,0)),""))</x:f>
      </x:c>
      <x:c r="I1636" s="6" t="str">
        <x:f>IF(AND(NOT(COUNTA(A1636:F1636)=0),K1636=""),ROUND(J1636-D1636,3),"")</x:f>
      </x:c>
      <x:c r="J1636" s="6" t="str">
        <x:f>IF(AND(NOT(COUNTA(A1636:F1636)=0),K1636=""),ROUND(F1636+L1636,3),"")</x:f>
      </x:c>
      <x:c r="K1636" s="5" t="str">
        <x:f>IF(COUNTA(A1636:F1636)=0,"",IF(A1636="","Missing equipment ID",IF(COUNTIFS($N$8:$N$2007,"="&amp;N1636)&gt;1,"Duplicate equipment ID",IF(B1636="","Missing type",IF(COUNTIFS('Rules'!$G$7:$G$26,"="&amp;(SUBSTITUTE(SUBSTITUTE(SUBSTITUTE(SUBSTITUTE("type:"&amp;B1636,"%","%25"),"~","%7E"),"*","%2A"),"?","%3F")))=0,"Unknown type",IF(COUNTIFS('Rules'!$G$7:$G$26,"="&amp;(SUBSTITUTE(SUBSTITUTE(SUBSTITUTE(SUBSTITUTE("type:"&amp;B1636,"%","%25"),"~","%7E"),"*","%2A"),"?","%3F")))&gt;1,"Duplicate type",IF(INDEX('Rules'!$F$7:$F$26,MATCH(SUBSTITUTE(SUBSTITUTE(SUBSTITUTE(SUBSTITUTE("type:"&amp;B1636,"%","%25"),"~","%7E"),"*","%2A"),"?","%3F"),'Rules'!$G$7:$G$26,0))&lt;&gt;"",INDEX('Rules'!$F$7:$F$26,MATCH(SUBSTITUTE(SUBSTITUTE(SUBSTITUTE(SUBSTITUTE("type:"&amp;B1636,"%","%25"),"~","%7E"),"*","%2A"),"?","%3F"),'Rules'!$G$7:$G$26,0)),IF(AND(C1636&lt;&gt;"",C1636&lt;&gt;INDEX('Rules'!$B$7:$B$26,MATCH(SUBSTITUTE(SUBSTITUTE(SUBSTITUTE(SUBSTITUTE("type:"&amp;B1636,"%","%25"),"~","%7E"),"*","%2A"),"?","%3F"),'Rules'!$G$7:$G$26,0))),"Unit mismatch",IF(IF(NOT(ISNUMBER(D1636)),TRUE,OR(D1636&lt;0,D1636&gt;999999999,ROUND(D1636,3)&lt;&gt;D1636)),"Invalid current reading",IF(AND(E1636&lt;&gt;"",IF(NOT(ISNUMBER(E1636)),TRUE,OR(E1636&lt;0,E1636&gt;999999999,ROUND(E1636,3)&lt;&gt;E1636))),"Invalid previous reading",IF(IF(NOT(ISNUMBER(F1636)),TRUE,OR(F1636&lt;0,F1636&gt;999999999,ROUND(F1636,3)&lt;&gt;F1636)),"Invalid last service",IF(AND(E1636&lt;&gt;"",D1636&lt;E1636),"Decreased reading",IF(F1636&gt;D1636,"Last service above current","")))))))))))))</x:f>
      </x:c>
      <x:c r="L1636" s="6" t="str">
        <x:f>IF(AND(NOT(COUNTA(A1636:F1636)=0),K1636=""),INDEX('Rules'!$C$7:$C$26,MATCH(SUBSTITUTE(SUBSTITUTE(SUBSTITUTE(SUBSTITUTE("type:"&amp;B1636,"%","%25"),"~","%7E"),"*","%2A"),"?","%3F"),'Rules'!$G$7:$G$26,0)),"")</x:f>
      </x:c>
      <x:c r="M1636" s="6" t="str">
        <x:f>IF(AND(NOT(COUNTA(A1636:F1636)=0),K1636=""),INDEX('Rules'!$D$7:$D$26,MATCH(SUBSTITUTE(SUBSTITUTE(SUBSTITUTE(SUBSTITUTE("type:"&amp;B1636,"%","%25"),"~","%7E"),"*","%2A"),"?","%3F"),'Rules'!$G$7:$G$26,0)),"")</x:f>
      </x:c>
      <x:c r="N1636" s="5" t="str">
        <x:f>IF(COUNTA(A1636:F1636)=0,"",SUBSTITUTE(SUBSTITUTE(SUBSTITUTE(SUBSTITUTE("id:"&amp;A1636,"%","%25"),"~","%7E"),"*","%2A"),"?","%3F"))</x:f>
      </x:c>
    </x:row>
    <x:row r="1637" ht="22" customHeight="1">
      <x:c r="A1637" s="3"/>
      <x:c r="B1637" s="3"/>
      <x:c r="C1637" s="3"/>
      <x:c r="D1637" s="4"/>
      <x:c r="E1637" s="4"/>
      <x:c r="F1637" s="4"/>
      <x:c r="G1637" s="5" t="str">
        <x:f>IF(COUNTA(A1637:F1637)=0,"",IF(K1637&lt;&gt;"","Review",IF(I1637&lt;0,"Overdue",IF(I1637=0,"Due now",IF(I1637&lt;=M1637,"Due soon","Not due")))))</x:f>
      </x:c>
      <x:c r="H1637" s="5" t="str">
        <x:f>IF(OR(COUNTA(A1637:F1637)=0,COUNTIFS('Rules'!$G$7:$G$26,"="&amp;(SUBSTITUTE(SUBSTITUTE(SUBSTITUTE(SUBSTITUTE("type:"&amp;B1637,"%","%25"),"~","%7E"),"*","%2A"),"?","%3F")))&lt;&gt;1),"",IF(OR(INDEX('Rules'!$B$7:$B$26,MATCH(SUBSTITUTE(SUBSTITUTE(SUBSTITUTE(SUBSTITUTE("type:"&amp;B1637,"%","%25"),"~","%7E"),"*","%2A"),"?","%3F"),'Rules'!$G$7:$G$26,0))="hours",INDEX('Rules'!$B$7:$B$26,MATCH(SUBSTITUTE(SUBSTITUTE(SUBSTITUTE(SUBSTITUTE("type:"&amp;B1637,"%","%25"),"~","%7E"),"*","%2A"),"?","%3F"),'Rules'!$G$7:$G$26,0))="km"),INDEX('Rules'!$B$7:$B$26,MATCH(SUBSTITUTE(SUBSTITUTE(SUBSTITUTE(SUBSTITUTE("type:"&amp;B1637,"%","%25"),"~","%7E"),"*","%2A"),"?","%3F"),'Rules'!$G$7:$G$26,0)),""))</x:f>
      </x:c>
      <x:c r="I1637" s="6" t="str">
        <x:f>IF(AND(NOT(COUNTA(A1637:F1637)=0),K1637=""),ROUND(J1637-D1637,3),"")</x:f>
      </x:c>
      <x:c r="J1637" s="6" t="str">
        <x:f>IF(AND(NOT(COUNTA(A1637:F1637)=0),K1637=""),ROUND(F1637+L1637,3),"")</x:f>
      </x:c>
      <x:c r="K1637" s="5" t="str">
        <x:f>IF(COUNTA(A1637:F1637)=0,"",IF(A1637="","Missing equipment ID",IF(COUNTIFS($N$8:$N$2007,"="&amp;N1637)&gt;1,"Duplicate equipment ID",IF(B1637="","Missing type",IF(COUNTIFS('Rules'!$G$7:$G$26,"="&amp;(SUBSTITUTE(SUBSTITUTE(SUBSTITUTE(SUBSTITUTE("type:"&amp;B1637,"%","%25"),"~","%7E"),"*","%2A"),"?","%3F")))=0,"Unknown type",IF(COUNTIFS('Rules'!$G$7:$G$26,"="&amp;(SUBSTITUTE(SUBSTITUTE(SUBSTITUTE(SUBSTITUTE("type:"&amp;B1637,"%","%25"),"~","%7E"),"*","%2A"),"?","%3F")))&gt;1,"Duplicate type",IF(INDEX('Rules'!$F$7:$F$26,MATCH(SUBSTITUTE(SUBSTITUTE(SUBSTITUTE(SUBSTITUTE("type:"&amp;B1637,"%","%25"),"~","%7E"),"*","%2A"),"?","%3F"),'Rules'!$G$7:$G$26,0))&lt;&gt;"",INDEX('Rules'!$F$7:$F$26,MATCH(SUBSTITUTE(SUBSTITUTE(SUBSTITUTE(SUBSTITUTE("type:"&amp;B1637,"%","%25"),"~","%7E"),"*","%2A"),"?","%3F"),'Rules'!$G$7:$G$26,0)),IF(AND(C1637&lt;&gt;"",C1637&lt;&gt;INDEX('Rules'!$B$7:$B$26,MATCH(SUBSTITUTE(SUBSTITUTE(SUBSTITUTE(SUBSTITUTE("type:"&amp;B1637,"%","%25"),"~","%7E"),"*","%2A"),"?","%3F"),'Rules'!$G$7:$G$26,0))),"Unit mismatch",IF(IF(NOT(ISNUMBER(D1637)),TRUE,OR(D1637&lt;0,D1637&gt;999999999,ROUND(D1637,3)&lt;&gt;D1637)),"Invalid current reading",IF(AND(E1637&lt;&gt;"",IF(NOT(ISNUMBER(E1637)),TRUE,OR(E1637&lt;0,E1637&gt;999999999,ROUND(E1637,3)&lt;&gt;E1637))),"Invalid previous reading",IF(IF(NOT(ISNUMBER(F1637)),TRUE,OR(F1637&lt;0,F1637&gt;999999999,ROUND(F1637,3)&lt;&gt;F1637)),"Invalid last service",IF(AND(E1637&lt;&gt;"",D1637&lt;E1637),"Decreased reading",IF(F1637&gt;D1637,"Last service above current","")))))))))))))</x:f>
      </x:c>
      <x:c r="L1637" s="6" t="str">
        <x:f>IF(AND(NOT(COUNTA(A1637:F1637)=0),K1637=""),INDEX('Rules'!$C$7:$C$26,MATCH(SUBSTITUTE(SUBSTITUTE(SUBSTITUTE(SUBSTITUTE("type:"&amp;B1637,"%","%25"),"~","%7E"),"*","%2A"),"?","%3F"),'Rules'!$G$7:$G$26,0)),"")</x:f>
      </x:c>
      <x:c r="M1637" s="6" t="str">
        <x:f>IF(AND(NOT(COUNTA(A1637:F1637)=0),K1637=""),INDEX('Rules'!$D$7:$D$26,MATCH(SUBSTITUTE(SUBSTITUTE(SUBSTITUTE(SUBSTITUTE("type:"&amp;B1637,"%","%25"),"~","%7E"),"*","%2A"),"?","%3F"),'Rules'!$G$7:$G$26,0)),"")</x:f>
      </x:c>
      <x:c r="N1637" s="5" t="str">
        <x:f>IF(COUNTA(A1637:F1637)=0,"",SUBSTITUTE(SUBSTITUTE(SUBSTITUTE(SUBSTITUTE("id:"&amp;A1637,"%","%25"),"~","%7E"),"*","%2A"),"?","%3F"))</x:f>
      </x:c>
    </x:row>
    <x:row r="1638" ht="22" customHeight="1">
      <x:c r="A1638" s="3"/>
      <x:c r="B1638" s="3"/>
      <x:c r="C1638" s="3"/>
      <x:c r="D1638" s="4"/>
      <x:c r="E1638" s="4"/>
      <x:c r="F1638" s="4"/>
      <x:c r="G1638" s="5" t="str">
        <x:f>IF(COUNTA(A1638:F1638)=0,"",IF(K1638&lt;&gt;"","Review",IF(I1638&lt;0,"Overdue",IF(I1638=0,"Due now",IF(I1638&lt;=M1638,"Due soon","Not due")))))</x:f>
      </x:c>
      <x:c r="H1638" s="5" t="str">
        <x:f>IF(OR(COUNTA(A1638:F1638)=0,COUNTIFS('Rules'!$G$7:$G$26,"="&amp;(SUBSTITUTE(SUBSTITUTE(SUBSTITUTE(SUBSTITUTE("type:"&amp;B1638,"%","%25"),"~","%7E"),"*","%2A"),"?","%3F")))&lt;&gt;1),"",IF(OR(INDEX('Rules'!$B$7:$B$26,MATCH(SUBSTITUTE(SUBSTITUTE(SUBSTITUTE(SUBSTITUTE("type:"&amp;B1638,"%","%25"),"~","%7E"),"*","%2A"),"?","%3F"),'Rules'!$G$7:$G$26,0))="hours",INDEX('Rules'!$B$7:$B$26,MATCH(SUBSTITUTE(SUBSTITUTE(SUBSTITUTE(SUBSTITUTE("type:"&amp;B1638,"%","%25"),"~","%7E"),"*","%2A"),"?","%3F"),'Rules'!$G$7:$G$26,0))="km"),INDEX('Rules'!$B$7:$B$26,MATCH(SUBSTITUTE(SUBSTITUTE(SUBSTITUTE(SUBSTITUTE("type:"&amp;B1638,"%","%25"),"~","%7E"),"*","%2A"),"?","%3F"),'Rules'!$G$7:$G$26,0)),""))</x:f>
      </x:c>
      <x:c r="I1638" s="6" t="str">
        <x:f>IF(AND(NOT(COUNTA(A1638:F1638)=0),K1638=""),ROUND(J1638-D1638,3),"")</x:f>
      </x:c>
      <x:c r="J1638" s="6" t="str">
        <x:f>IF(AND(NOT(COUNTA(A1638:F1638)=0),K1638=""),ROUND(F1638+L1638,3),"")</x:f>
      </x:c>
      <x:c r="K1638" s="5" t="str">
        <x:f>IF(COUNTA(A1638:F1638)=0,"",IF(A1638="","Missing equipment ID",IF(COUNTIFS($N$8:$N$2007,"="&amp;N1638)&gt;1,"Duplicate equipment ID",IF(B1638="","Missing type",IF(COUNTIFS('Rules'!$G$7:$G$26,"="&amp;(SUBSTITUTE(SUBSTITUTE(SUBSTITUTE(SUBSTITUTE("type:"&amp;B1638,"%","%25"),"~","%7E"),"*","%2A"),"?","%3F")))=0,"Unknown type",IF(COUNTIFS('Rules'!$G$7:$G$26,"="&amp;(SUBSTITUTE(SUBSTITUTE(SUBSTITUTE(SUBSTITUTE("type:"&amp;B1638,"%","%25"),"~","%7E"),"*","%2A"),"?","%3F")))&gt;1,"Duplicate type",IF(INDEX('Rules'!$F$7:$F$26,MATCH(SUBSTITUTE(SUBSTITUTE(SUBSTITUTE(SUBSTITUTE("type:"&amp;B1638,"%","%25"),"~","%7E"),"*","%2A"),"?","%3F"),'Rules'!$G$7:$G$26,0))&lt;&gt;"",INDEX('Rules'!$F$7:$F$26,MATCH(SUBSTITUTE(SUBSTITUTE(SUBSTITUTE(SUBSTITUTE("type:"&amp;B1638,"%","%25"),"~","%7E"),"*","%2A"),"?","%3F"),'Rules'!$G$7:$G$26,0)),IF(AND(C1638&lt;&gt;"",C1638&lt;&gt;INDEX('Rules'!$B$7:$B$26,MATCH(SUBSTITUTE(SUBSTITUTE(SUBSTITUTE(SUBSTITUTE("type:"&amp;B1638,"%","%25"),"~","%7E"),"*","%2A"),"?","%3F"),'Rules'!$G$7:$G$26,0))),"Unit mismatch",IF(IF(NOT(ISNUMBER(D1638)),TRUE,OR(D1638&lt;0,D1638&gt;999999999,ROUND(D1638,3)&lt;&gt;D1638)),"Invalid current reading",IF(AND(E1638&lt;&gt;"",IF(NOT(ISNUMBER(E1638)),TRUE,OR(E1638&lt;0,E1638&gt;999999999,ROUND(E1638,3)&lt;&gt;E1638))),"Invalid previous reading",IF(IF(NOT(ISNUMBER(F1638)),TRUE,OR(F1638&lt;0,F1638&gt;999999999,ROUND(F1638,3)&lt;&gt;F1638)),"Invalid last service",IF(AND(E1638&lt;&gt;"",D1638&lt;E1638),"Decreased reading",IF(F1638&gt;D1638,"Last service above current","")))))))))))))</x:f>
      </x:c>
      <x:c r="L1638" s="6" t="str">
        <x:f>IF(AND(NOT(COUNTA(A1638:F1638)=0),K1638=""),INDEX('Rules'!$C$7:$C$26,MATCH(SUBSTITUTE(SUBSTITUTE(SUBSTITUTE(SUBSTITUTE("type:"&amp;B1638,"%","%25"),"~","%7E"),"*","%2A"),"?","%3F"),'Rules'!$G$7:$G$26,0)),"")</x:f>
      </x:c>
      <x:c r="M1638" s="6" t="str">
        <x:f>IF(AND(NOT(COUNTA(A1638:F1638)=0),K1638=""),INDEX('Rules'!$D$7:$D$26,MATCH(SUBSTITUTE(SUBSTITUTE(SUBSTITUTE(SUBSTITUTE("type:"&amp;B1638,"%","%25"),"~","%7E"),"*","%2A"),"?","%3F"),'Rules'!$G$7:$G$26,0)),"")</x:f>
      </x:c>
      <x:c r="N1638" s="5" t="str">
        <x:f>IF(COUNTA(A1638:F1638)=0,"",SUBSTITUTE(SUBSTITUTE(SUBSTITUTE(SUBSTITUTE("id:"&amp;A1638,"%","%25"),"~","%7E"),"*","%2A"),"?","%3F"))</x:f>
      </x:c>
    </x:row>
    <x:row r="1639" ht="22" customHeight="1">
      <x:c r="A1639" s="3"/>
      <x:c r="B1639" s="3"/>
      <x:c r="C1639" s="3"/>
      <x:c r="D1639" s="4"/>
      <x:c r="E1639" s="4"/>
      <x:c r="F1639" s="4"/>
      <x:c r="G1639" s="5" t="str">
        <x:f>IF(COUNTA(A1639:F1639)=0,"",IF(K1639&lt;&gt;"","Review",IF(I1639&lt;0,"Overdue",IF(I1639=0,"Due now",IF(I1639&lt;=M1639,"Due soon","Not due")))))</x:f>
      </x:c>
      <x:c r="H1639" s="5" t="str">
        <x:f>IF(OR(COUNTA(A1639:F1639)=0,COUNTIFS('Rules'!$G$7:$G$26,"="&amp;(SUBSTITUTE(SUBSTITUTE(SUBSTITUTE(SUBSTITUTE("type:"&amp;B1639,"%","%25"),"~","%7E"),"*","%2A"),"?","%3F")))&lt;&gt;1),"",IF(OR(INDEX('Rules'!$B$7:$B$26,MATCH(SUBSTITUTE(SUBSTITUTE(SUBSTITUTE(SUBSTITUTE("type:"&amp;B1639,"%","%25"),"~","%7E"),"*","%2A"),"?","%3F"),'Rules'!$G$7:$G$26,0))="hours",INDEX('Rules'!$B$7:$B$26,MATCH(SUBSTITUTE(SUBSTITUTE(SUBSTITUTE(SUBSTITUTE("type:"&amp;B1639,"%","%25"),"~","%7E"),"*","%2A"),"?","%3F"),'Rules'!$G$7:$G$26,0))="km"),INDEX('Rules'!$B$7:$B$26,MATCH(SUBSTITUTE(SUBSTITUTE(SUBSTITUTE(SUBSTITUTE("type:"&amp;B1639,"%","%25"),"~","%7E"),"*","%2A"),"?","%3F"),'Rules'!$G$7:$G$26,0)),""))</x:f>
      </x:c>
      <x:c r="I1639" s="6" t="str">
        <x:f>IF(AND(NOT(COUNTA(A1639:F1639)=0),K1639=""),ROUND(J1639-D1639,3),"")</x:f>
      </x:c>
      <x:c r="J1639" s="6" t="str">
        <x:f>IF(AND(NOT(COUNTA(A1639:F1639)=0),K1639=""),ROUND(F1639+L1639,3),"")</x:f>
      </x:c>
      <x:c r="K1639" s="5" t="str">
        <x:f>IF(COUNTA(A1639:F1639)=0,"",IF(A1639="","Missing equipment ID",IF(COUNTIFS($N$8:$N$2007,"="&amp;N1639)&gt;1,"Duplicate equipment ID",IF(B1639="","Missing type",IF(COUNTIFS('Rules'!$G$7:$G$26,"="&amp;(SUBSTITUTE(SUBSTITUTE(SUBSTITUTE(SUBSTITUTE("type:"&amp;B1639,"%","%25"),"~","%7E"),"*","%2A"),"?","%3F")))=0,"Unknown type",IF(COUNTIFS('Rules'!$G$7:$G$26,"="&amp;(SUBSTITUTE(SUBSTITUTE(SUBSTITUTE(SUBSTITUTE("type:"&amp;B1639,"%","%25"),"~","%7E"),"*","%2A"),"?","%3F")))&gt;1,"Duplicate type",IF(INDEX('Rules'!$F$7:$F$26,MATCH(SUBSTITUTE(SUBSTITUTE(SUBSTITUTE(SUBSTITUTE("type:"&amp;B1639,"%","%25"),"~","%7E"),"*","%2A"),"?","%3F"),'Rules'!$G$7:$G$26,0))&lt;&gt;"",INDEX('Rules'!$F$7:$F$26,MATCH(SUBSTITUTE(SUBSTITUTE(SUBSTITUTE(SUBSTITUTE("type:"&amp;B1639,"%","%25"),"~","%7E"),"*","%2A"),"?","%3F"),'Rules'!$G$7:$G$26,0)),IF(AND(C1639&lt;&gt;"",C1639&lt;&gt;INDEX('Rules'!$B$7:$B$26,MATCH(SUBSTITUTE(SUBSTITUTE(SUBSTITUTE(SUBSTITUTE("type:"&amp;B1639,"%","%25"),"~","%7E"),"*","%2A"),"?","%3F"),'Rules'!$G$7:$G$26,0))),"Unit mismatch",IF(IF(NOT(ISNUMBER(D1639)),TRUE,OR(D1639&lt;0,D1639&gt;999999999,ROUND(D1639,3)&lt;&gt;D1639)),"Invalid current reading",IF(AND(E1639&lt;&gt;"",IF(NOT(ISNUMBER(E1639)),TRUE,OR(E1639&lt;0,E1639&gt;999999999,ROUND(E1639,3)&lt;&gt;E1639))),"Invalid previous reading",IF(IF(NOT(ISNUMBER(F1639)),TRUE,OR(F1639&lt;0,F1639&gt;999999999,ROUND(F1639,3)&lt;&gt;F1639)),"Invalid last service",IF(AND(E1639&lt;&gt;"",D1639&lt;E1639),"Decreased reading",IF(F1639&gt;D1639,"Last service above current","")))))))))))))</x:f>
      </x:c>
      <x:c r="L1639" s="6" t="str">
        <x:f>IF(AND(NOT(COUNTA(A1639:F1639)=0),K1639=""),INDEX('Rules'!$C$7:$C$26,MATCH(SUBSTITUTE(SUBSTITUTE(SUBSTITUTE(SUBSTITUTE("type:"&amp;B1639,"%","%25"),"~","%7E"),"*","%2A"),"?","%3F"),'Rules'!$G$7:$G$26,0)),"")</x:f>
      </x:c>
      <x:c r="M1639" s="6" t="str">
        <x:f>IF(AND(NOT(COUNTA(A1639:F1639)=0),K1639=""),INDEX('Rules'!$D$7:$D$26,MATCH(SUBSTITUTE(SUBSTITUTE(SUBSTITUTE(SUBSTITUTE("type:"&amp;B1639,"%","%25"),"~","%7E"),"*","%2A"),"?","%3F"),'Rules'!$G$7:$G$26,0)),"")</x:f>
      </x:c>
      <x:c r="N1639" s="5" t="str">
        <x:f>IF(COUNTA(A1639:F1639)=0,"",SUBSTITUTE(SUBSTITUTE(SUBSTITUTE(SUBSTITUTE("id:"&amp;A1639,"%","%25"),"~","%7E"),"*","%2A"),"?","%3F"))</x:f>
      </x:c>
    </x:row>
    <x:row r="1640" ht="22" customHeight="1">
      <x:c r="A1640" s="3"/>
      <x:c r="B1640" s="3"/>
      <x:c r="C1640" s="3"/>
      <x:c r="D1640" s="4"/>
      <x:c r="E1640" s="4"/>
      <x:c r="F1640" s="4"/>
      <x:c r="G1640" s="5" t="str">
        <x:f>IF(COUNTA(A1640:F1640)=0,"",IF(K1640&lt;&gt;"","Review",IF(I1640&lt;0,"Overdue",IF(I1640=0,"Due now",IF(I1640&lt;=M1640,"Due soon","Not due")))))</x:f>
      </x:c>
      <x:c r="H1640" s="5" t="str">
        <x:f>IF(OR(COUNTA(A1640:F1640)=0,COUNTIFS('Rules'!$G$7:$G$26,"="&amp;(SUBSTITUTE(SUBSTITUTE(SUBSTITUTE(SUBSTITUTE("type:"&amp;B1640,"%","%25"),"~","%7E"),"*","%2A"),"?","%3F")))&lt;&gt;1),"",IF(OR(INDEX('Rules'!$B$7:$B$26,MATCH(SUBSTITUTE(SUBSTITUTE(SUBSTITUTE(SUBSTITUTE("type:"&amp;B1640,"%","%25"),"~","%7E"),"*","%2A"),"?","%3F"),'Rules'!$G$7:$G$26,0))="hours",INDEX('Rules'!$B$7:$B$26,MATCH(SUBSTITUTE(SUBSTITUTE(SUBSTITUTE(SUBSTITUTE("type:"&amp;B1640,"%","%25"),"~","%7E"),"*","%2A"),"?","%3F"),'Rules'!$G$7:$G$26,0))="km"),INDEX('Rules'!$B$7:$B$26,MATCH(SUBSTITUTE(SUBSTITUTE(SUBSTITUTE(SUBSTITUTE("type:"&amp;B1640,"%","%25"),"~","%7E"),"*","%2A"),"?","%3F"),'Rules'!$G$7:$G$26,0)),""))</x:f>
      </x:c>
      <x:c r="I1640" s="6" t="str">
        <x:f>IF(AND(NOT(COUNTA(A1640:F1640)=0),K1640=""),ROUND(J1640-D1640,3),"")</x:f>
      </x:c>
      <x:c r="J1640" s="6" t="str">
        <x:f>IF(AND(NOT(COUNTA(A1640:F1640)=0),K1640=""),ROUND(F1640+L1640,3),"")</x:f>
      </x:c>
      <x:c r="K1640" s="5" t="str">
        <x:f>IF(COUNTA(A1640:F1640)=0,"",IF(A1640="","Missing equipment ID",IF(COUNTIFS($N$8:$N$2007,"="&amp;N1640)&gt;1,"Duplicate equipment ID",IF(B1640="","Missing type",IF(COUNTIFS('Rules'!$G$7:$G$26,"="&amp;(SUBSTITUTE(SUBSTITUTE(SUBSTITUTE(SUBSTITUTE("type:"&amp;B1640,"%","%25"),"~","%7E"),"*","%2A"),"?","%3F")))=0,"Unknown type",IF(COUNTIFS('Rules'!$G$7:$G$26,"="&amp;(SUBSTITUTE(SUBSTITUTE(SUBSTITUTE(SUBSTITUTE("type:"&amp;B1640,"%","%25"),"~","%7E"),"*","%2A"),"?","%3F")))&gt;1,"Duplicate type",IF(INDEX('Rules'!$F$7:$F$26,MATCH(SUBSTITUTE(SUBSTITUTE(SUBSTITUTE(SUBSTITUTE("type:"&amp;B1640,"%","%25"),"~","%7E"),"*","%2A"),"?","%3F"),'Rules'!$G$7:$G$26,0))&lt;&gt;"",INDEX('Rules'!$F$7:$F$26,MATCH(SUBSTITUTE(SUBSTITUTE(SUBSTITUTE(SUBSTITUTE("type:"&amp;B1640,"%","%25"),"~","%7E"),"*","%2A"),"?","%3F"),'Rules'!$G$7:$G$26,0)),IF(AND(C1640&lt;&gt;"",C1640&lt;&gt;INDEX('Rules'!$B$7:$B$26,MATCH(SUBSTITUTE(SUBSTITUTE(SUBSTITUTE(SUBSTITUTE("type:"&amp;B1640,"%","%25"),"~","%7E"),"*","%2A"),"?","%3F"),'Rules'!$G$7:$G$26,0))),"Unit mismatch",IF(IF(NOT(ISNUMBER(D1640)),TRUE,OR(D1640&lt;0,D1640&gt;999999999,ROUND(D1640,3)&lt;&gt;D1640)),"Invalid current reading",IF(AND(E1640&lt;&gt;"",IF(NOT(ISNUMBER(E1640)),TRUE,OR(E1640&lt;0,E1640&gt;999999999,ROUND(E1640,3)&lt;&gt;E1640))),"Invalid previous reading",IF(IF(NOT(ISNUMBER(F1640)),TRUE,OR(F1640&lt;0,F1640&gt;999999999,ROUND(F1640,3)&lt;&gt;F1640)),"Invalid last service",IF(AND(E1640&lt;&gt;"",D1640&lt;E1640),"Decreased reading",IF(F1640&gt;D1640,"Last service above current","")))))))))))))</x:f>
      </x:c>
      <x:c r="L1640" s="6" t="str">
        <x:f>IF(AND(NOT(COUNTA(A1640:F1640)=0),K1640=""),INDEX('Rules'!$C$7:$C$26,MATCH(SUBSTITUTE(SUBSTITUTE(SUBSTITUTE(SUBSTITUTE("type:"&amp;B1640,"%","%25"),"~","%7E"),"*","%2A"),"?","%3F"),'Rules'!$G$7:$G$26,0)),"")</x:f>
      </x:c>
      <x:c r="M1640" s="6" t="str">
        <x:f>IF(AND(NOT(COUNTA(A1640:F1640)=0),K1640=""),INDEX('Rules'!$D$7:$D$26,MATCH(SUBSTITUTE(SUBSTITUTE(SUBSTITUTE(SUBSTITUTE("type:"&amp;B1640,"%","%25"),"~","%7E"),"*","%2A"),"?","%3F"),'Rules'!$G$7:$G$26,0)),"")</x:f>
      </x:c>
      <x:c r="N1640" s="5" t="str">
        <x:f>IF(COUNTA(A1640:F1640)=0,"",SUBSTITUTE(SUBSTITUTE(SUBSTITUTE(SUBSTITUTE("id:"&amp;A1640,"%","%25"),"~","%7E"),"*","%2A"),"?","%3F"))</x:f>
      </x:c>
    </x:row>
    <x:row r="1641" ht="22" customHeight="1">
      <x:c r="A1641" s="3"/>
      <x:c r="B1641" s="3"/>
      <x:c r="C1641" s="3"/>
      <x:c r="D1641" s="4"/>
      <x:c r="E1641" s="4"/>
      <x:c r="F1641" s="4"/>
      <x:c r="G1641" s="5" t="str">
        <x:f>IF(COUNTA(A1641:F1641)=0,"",IF(K1641&lt;&gt;"","Review",IF(I1641&lt;0,"Overdue",IF(I1641=0,"Due now",IF(I1641&lt;=M1641,"Due soon","Not due")))))</x:f>
      </x:c>
      <x:c r="H1641" s="5" t="str">
        <x:f>IF(OR(COUNTA(A1641:F1641)=0,COUNTIFS('Rules'!$G$7:$G$26,"="&amp;(SUBSTITUTE(SUBSTITUTE(SUBSTITUTE(SUBSTITUTE("type:"&amp;B1641,"%","%25"),"~","%7E"),"*","%2A"),"?","%3F")))&lt;&gt;1),"",IF(OR(INDEX('Rules'!$B$7:$B$26,MATCH(SUBSTITUTE(SUBSTITUTE(SUBSTITUTE(SUBSTITUTE("type:"&amp;B1641,"%","%25"),"~","%7E"),"*","%2A"),"?","%3F"),'Rules'!$G$7:$G$26,0))="hours",INDEX('Rules'!$B$7:$B$26,MATCH(SUBSTITUTE(SUBSTITUTE(SUBSTITUTE(SUBSTITUTE("type:"&amp;B1641,"%","%25"),"~","%7E"),"*","%2A"),"?","%3F"),'Rules'!$G$7:$G$26,0))="km"),INDEX('Rules'!$B$7:$B$26,MATCH(SUBSTITUTE(SUBSTITUTE(SUBSTITUTE(SUBSTITUTE("type:"&amp;B1641,"%","%25"),"~","%7E"),"*","%2A"),"?","%3F"),'Rules'!$G$7:$G$26,0)),""))</x:f>
      </x:c>
      <x:c r="I1641" s="6" t="str">
        <x:f>IF(AND(NOT(COUNTA(A1641:F1641)=0),K1641=""),ROUND(J1641-D1641,3),"")</x:f>
      </x:c>
      <x:c r="J1641" s="6" t="str">
        <x:f>IF(AND(NOT(COUNTA(A1641:F1641)=0),K1641=""),ROUND(F1641+L1641,3),"")</x:f>
      </x:c>
      <x:c r="K1641" s="5" t="str">
        <x:f>IF(COUNTA(A1641:F1641)=0,"",IF(A1641="","Missing equipment ID",IF(COUNTIFS($N$8:$N$2007,"="&amp;N1641)&gt;1,"Duplicate equipment ID",IF(B1641="","Missing type",IF(COUNTIFS('Rules'!$G$7:$G$26,"="&amp;(SUBSTITUTE(SUBSTITUTE(SUBSTITUTE(SUBSTITUTE("type:"&amp;B1641,"%","%25"),"~","%7E"),"*","%2A"),"?","%3F")))=0,"Unknown type",IF(COUNTIFS('Rules'!$G$7:$G$26,"="&amp;(SUBSTITUTE(SUBSTITUTE(SUBSTITUTE(SUBSTITUTE("type:"&amp;B1641,"%","%25"),"~","%7E"),"*","%2A"),"?","%3F")))&gt;1,"Duplicate type",IF(INDEX('Rules'!$F$7:$F$26,MATCH(SUBSTITUTE(SUBSTITUTE(SUBSTITUTE(SUBSTITUTE("type:"&amp;B1641,"%","%25"),"~","%7E"),"*","%2A"),"?","%3F"),'Rules'!$G$7:$G$26,0))&lt;&gt;"",INDEX('Rules'!$F$7:$F$26,MATCH(SUBSTITUTE(SUBSTITUTE(SUBSTITUTE(SUBSTITUTE("type:"&amp;B1641,"%","%25"),"~","%7E"),"*","%2A"),"?","%3F"),'Rules'!$G$7:$G$26,0)),IF(AND(C1641&lt;&gt;"",C1641&lt;&gt;INDEX('Rules'!$B$7:$B$26,MATCH(SUBSTITUTE(SUBSTITUTE(SUBSTITUTE(SUBSTITUTE("type:"&amp;B1641,"%","%25"),"~","%7E"),"*","%2A"),"?","%3F"),'Rules'!$G$7:$G$26,0))),"Unit mismatch",IF(IF(NOT(ISNUMBER(D1641)),TRUE,OR(D1641&lt;0,D1641&gt;999999999,ROUND(D1641,3)&lt;&gt;D1641)),"Invalid current reading",IF(AND(E1641&lt;&gt;"",IF(NOT(ISNUMBER(E1641)),TRUE,OR(E1641&lt;0,E1641&gt;999999999,ROUND(E1641,3)&lt;&gt;E1641))),"Invalid previous reading",IF(IF(NOT(ISNUMBER(F1641)),TRUE,OR(F1641&lt;0,F1641&gt;999999999,ROUND(F1641,3)&lt;&gt;F1641)),"Invalid last service",IF(AND(E1641&lt;&gt;"",D1641&lt;E1641),"Decreased reading",IF(F1641&gt;D1641,"Last service above current","")))))))))))))</x:f>
      </x:c>
      <x:c r="L1641" s="6" t="str">
        <x:f>IF(AND(NOT(COUNTA(A1641:F1641)=0),K1641=""),INDEX('Rules'!$C$7:$C$26,MATCH(SUBSTITUTE(SUBSTITUTE(SUBSTITUTE(SUBSTITUTE("type:"&amp;B1641,"%","%25"),"~","%7E"),"*","%2A"),"?","%3F"),'Rules'!$G$7:$G$26,0)),"")</x:f>
      </x:c>
      <x:c r="M1641" s="6" t="str">
        <x:f>IF(AND(NOT(COUNTA(A1641:F1641)=0),K1641=""),INDEX('Rules'!$D$7:$D$26,MATCH(SUBSTITUTE(SUBSTITUTE(SUBSTITUTE(SUBSTITUTE("type:"&amp;B1641,"%","%25"),"~","%7E"),"*","%2A"),"?","%3F"),'Rules'!$G$7:$G$26,0)),"")</x:f>
      </x:c>
      <x:c r="N1641" s="5" t="str">
        <x:f>IF(COUNTA(A1641:F1641)=0,"",SUBSTITUTE(SUBSTITUTE(SUBSTITUTE(SUBSTITUTE("id:"&amp;A1641,"%","%25"),"~","%7E"),"*","%2A"),"?","%3F"))</x:f>
      </x:c>
    </x:row>
    <x:row r="1642" ht="22" customHeight="1">
      <x:c r="A1642" s="3"/>
      <x:c r="B1642" s="3"/>
      <x:c r="C1642" s="3"/>
      <x:c r="D1642" s="4"/>
      <x:c r="E1642" s="4"/>
      <x:c r="F1642" s="4"/>
      <x:c r="G1642" s="5" t="str">
        <x:f>IF(COUNTA(A1642:F1642)=0,"",IF(K1642&lt;&gt;"","Review",IF(I1642&lt;0,"Overdue",IF(I1642=0,"Due now",IF(I1642&lt;=M1642,"Due soon","Not due")))))</x:f>
      </x:c>
      <x:c r="H1642" s="5" t="str">
        <x:f>IF(OR(COUNTA(A1642:F1642)=0,COUNTIFS('Rules'!$G$7:$G$26,"="&amp;(SUBSTITUTE(SUBSTITUTE(SUBSTITUTE(SUBSTITUTE("type:"&amp;B1642,"%","%25"),"~","%7E"),"*","%2A"),"?","%3F")))&lt;&gt;1),"",IF(OR(INDEX('Rules'!$B$7:$B$26,MATCH(SUBSTITUTE(SUBSTITUTE(SUBSTITUTE(SUBSTITUTE("type:"&amp;B1642,"%","%25"),"~","%7E"),"*","%2A"),"?","%3F"),'Rules'!$G$7:$G$26,0))="hours",INDEX('Rules'!$B$7:$B$26,MATCH(SUBSTITUTE(SUBSTITUTE(SUBSTITUTE(SUBSTITUTE("type:"&amp;B1642,"%","%25"),"~","%7E"),"*","%2A"),"?","%3F"),'Rules'!$G$7:$G$26,0))="km"),INDEX('Rules'!$B$7:$B$26,MATCH(SUBSTITUTE(SUBSTITUTE(SUBSTITUTE(SUBSTITUTE("type:"&amp;B1642,"%","%25"),"~","%7E"),"*","%2A"),"?","%3F"),'Rules'!$G$7:$G$26,0)),""))</x:f>
      </x:c>
      <x:c r="I1642" s="6" t="str">
        <x:f>IF(AND(NOT(COUNTA(A1642:F1642)=0),K1642=""),ROUND(J1642-D1642,3),"")</x:f>
      </x:c>
      <x:c r="J1642" s="6" t="str">
        <x:f>IF(AND(NOT(COUNTA(A1642:F1642)=0),K1642=""),ROUND(F1642+L1642,3),"")</x:f>
      </x:c>
      <x:c r="K1642" s="5" t="str">
        <x:f>IF(COUNTA(A1642:F1642)=0,"",IF(A1642="","Missing equipment ID",IF(COUNTIFS($N$8:$N$2007,"="&amp;N1642)&gt;1,"Duplicate equipment ID",IF(B1642="","Missing type",IF(COUNTIFS('Rules'!$G$7:$G$26,"="&amp;(SUBSTITUTE(SUBSTITUTE(SUBSTITUTE(SUBSTITUTE("type:"&amp;B1642,"%","%25"),"~","%7E"),"*","%2A"),"?","%3F")))=0,"Unknown type",IF(COUNTIFS('Rules'!$G$7:$G$26,"="&amp;(SUBSTITUTE(SUBSTITUTE(SUBSTITUTE(SUBSTITUTE("type:"&amp;B1642,"%","%25"),"~","%7E"),"*","%2A"),"?","%3F")))&gt;1,"Duplicate type",IF(INDEX('Rules'!$F$7:$F$26,MATCH(SUBSTITUTE(SUBSTITUTE(SUBSTITUTE(SUBSTITUTE("type:"&amp;B1642,"%","%25"),"~","%7E"),"*","%2A"),"?","%3F"),'Rules'!$G$7:$G$26,0))&lt;&gt;"",INDEX('Rules'!$F$7:$F$26,MATCH(SUBSTITUTE(SUBSTITUTE(SUBSTITUTE(SUBSTITUTE("type:"&amp;B1642,"%","%25"),"~","%7E"),"*","%2A"),"?","%3F"),'Rules'!$G$7:$G$26,0)),IF(AND(C1642&lt;&gt;"",C1642&lt;&gt;INDEX('Rules'!$B$7:$B$26,MATCH(SUBSTITUTE(SUBSTITUTE(SUBSTITUTE(SUBSTITUTE("type:"&amp;B1642,"%","%25"),"~","%7E"),"*","%2A"),"?","%3F"),'Rules'!$G$7:$G$26,0))),"Unit mismatch",IF(IF(NOT(ISNUMBER(D1642)),TRUE,OR(D1642&lt;0,D1642&gt;999999999,ROUND(D1642,3)&lt;&gt;D1642)),"Invalid current reading",IF(AND(E1642&lt;&gt;"",IF(NOT(ISNUMBER(E1642)),TRUE,OR(E1642&lt;0,E1642&gt;999999999,ROUND(E1642,3)&lt;&gt;E1642))),"Invalid previous reading",IF(IF(NOT(ISNUMBER(F1642)),TRUE,OR(F1642&lt;0,F1642&gt;999999999,ROUND(F1642,3)&lt;&gt;F1642)),"Invalid last service",IF(AND(E1642&lt;&gt;"",D1642&lt;E1642),"Decreased reading",IF(F1642&gt;D1642,"Last service above current","")))))))))))))</x:f>
      </x:c>
      <x:c r="L1642" s="6" t="str">
        <x:f>IF(AND(NOT(COUNTA(A1642:F1642)=0),K1642=""),INDEX('Rules'!$C$7:$C$26,MATCH(SUBSTITUTE(SUBSTITUTE(SUBSTITUTE(SUBSTITUTE("type:"&amp;B1642,"%","%25"),"~","%7E"),"*","%2A"),"?","%3F"),'Rules'!$G$7:$G$26,0)),"")</x:f>
      </x:c>
      <x:c r="M1642" s="6" t="str">
        <x:f>IF(AND(NOT(COUNTA(A1642:F1642)=0),K1642=""),INDEX('Rules'!$D$7:$D$26,MATCH(SUBSTITUTE(SUBSTITUTE(SUBSTITUTE(SUBSTITUTE("type:"&amp;B1642,"%","%25"),"~","%7E"),"*","%2A"),"?","%3F"),'Rules'!$G$7:$G$26,0)),"")</x:f>
      </x:c>
      <x:c r="N1642" s="5" t="str">
        <x:f>IF(COUNTA(A1642:F1642)=0,"",SUBSTITUTE(SUBSTITUTE(SUBSTITUTE(SUBSTITUTE("id:"&amp;A1642,"%","%25"),"~","%7E"),"*","%2A"),"?","%3F"))</x:f>
      </x:c>
    </x:row>
    <x:row r="1643" ht="22" customHeight="1">
      <x:c r="A1643" s="3"/>
      <x:c r="B1643" s="3"/>
      <x:c r="C1643" s="3"/>
      <x:c r="D1643" s="4"/>
      <x:c r="E1643" s="4"/>
      <x:c r="F1643" s="4"/>
      <x:c r="G1643" s="5" t="str">
        <x:f>IF(COUNTA(A1643:F1643)=0,"",IF(K1643&lt;&gt;"","Review",IF(I1643&lt;0,"Overdue",IF(I1643=0,"Due now",IF(I1643&lt;=M1643,"Due soon","Not due")))))</x:f>
      </x:c>
      <x:c r="H1643" s="5" t="str">
        <x:f>IF(OR(COUNTA(A1643:F1643)=0,COUNTIFS('Rules'!$G$7:$G$26,"="&amp;(SUBSTITUTE(SUBSTITUTE(SUBSTITUTE(SUBSTITUTE("type:"&amp;B1643,"%","%25"),"~","%7E"),"*","%2A"),"?","%3F")))&lt;&gt;1),"",IF(OR(INDEX('Rules'!$B$7:$B$26,MATCH(SUBSTITUTE(SUBSTITUTE(SUBSTITUTE(SUBSTITUTE("type:"&amp;B1643,"%","%25"),"~","%7E"),"*","%2A"),"?","%3F"),'Rules'!$G$7:$G$26,0))="hours",INDEX('Rules'!$B$7:$B$26,MATCH(SUBSTITUTE(SUBSTITUTE(SUBSTITUTE(SUBSTITUTE("type:"&amp;B1643,"%","%25"),"~","%7E"),"*","%2A"),"?","%3F"),'Rules'!$G$7:$G$26,0))="km"),INDEX('Rules'!$B$7:$B$26,MATCH(SUBSTITUTE(SUBSTITUTE(SUBSTITUTE(SUBSTITUTE("type:"&amp;B1643,"%","%25"),"~","%7E"),"*","%2A"),"?","%3F"),'Rules'!$G$7:$G$26,0)),""))</x:f>
      </x:c>
      <x:c r="I1643" s="6" t="str">
        <x:f>IF(AND(NOT(COUNTA(A1643:F1643)=0),K1643=""),ROUND(J1643-D1643,3),"")</x:f>
      </x:c>
      <x:c r="J1643" s="6" t="str">
        <x:f>IF(AND(NOT(COUNTA(A1643:F1643)=0),K1643=""),ROUND(F1643+L1643,3),"")</x:f>
      </x:c>
      <x:c r="K1643" s="5" t="str">
        <x:f>IF(COUNTA(A1643:F1643)=0,"",IF(A1643="","Missing equipment ID",IF(COUNTIFS($N$8:$N$2007,"="&amp;N1643)&gt;1,"Duplicate equipment ID",IF(B1643="","Missing type",IF(COUNTIFS('Rules'!$G$7:$G$26,"="&amp;(SUBSTITUTE(SUBSTITUTE(SUBSTITUTE(SUBSTITUTE("type:"&amp;B1643,"%","%25"),"~","%7E"),"*","%2A"),"?","%3F")))=0,"Unknown type",IF(COUNTIFS('Rules'!$G$7:$G$26,"="&amp;(SUBSTITUTE(SUBSTITUTE(SUBSTITUTE(SUBSTITUTE("type:"&amp;B1643,"%","%25"),"~","%7E"),"*","%2A"),"?","%3F")))&gt;1,"Duplicate type",IF(INDEX('Rules'!$F$7:$F$26,MATCH(SUBSTITUTE(SUBSTITUTE(SUBSTITUTE(SUBSTITUTE("type:"&amp;B1643,"%","%25"),"~","%7E"),"*","%2A"),"?","%3F"),'Rules'!$G$7:$G$26,0))&lt;&gt;"",INDEX('Rules'!$F$7:$F$26,MATCH(SUBSTITUTE(SUBSTITUTE(SUBSTITUTE(SUBSTITUTE("type:"&amp;B1643,"%","%25"),"~","%7E"),"*","%2A"),"?","%3F"),'Rules'!$G$7:$G$26,0)),IF(AND(C1643&lt;&gt;"",C1643&lt;&gt;INDEX('Rules'!$B$7:$B$26,MATCH(SUBSTITUTE(SUBSTITUTE(SUBSTITUTE(SUBSTITUTE("type:"&amp;B1643,"%","%25"),"~","%7E"),"*","%2A"),"?","%3F"),'Rules'!$G$7:$G$26,0))),"Unit mismatch",IF(IF(NOT(ISNUMBER(D1643)),TRUE,OR(D1643&lt;0,D1643&gt;999999999,ROUND(D1643,3)&lt;&gt;D1643)),"Invalid current reading",IF(AND(E1643&lt;&gt;"",IF(NOT(ISNUMBER(E1643)),TRUE,OR(E1643&lt;0,E1643&gt;999999999,ROUND(E1643,3)&lt;&gt;E1643))),"Invalid previous reading",IF(IF(NOT(ISNUMBER(F1643)),TRUE,OR(F1643&lt;0,F1643&gt;999999999,ROUND(F1643,3)&lt;&gt;F1643)),"Invalid last service",IF(AND(E1643&lt;&gt;"",D1643&lt;E1643),"Decreased reading",IF(F1643&gt;D1643,"Last service above current","")))))))))))))</x:f>
      </x:c>
      <x:c r="L1643" s="6" t="str">
        <x:f>IF(AND(NOT(COUNTA(A1643:F1643)=0),K1643=""),INDEX('Rules'!$C$7:$C$26,MATCH(SUBSTITUTE(SUBSTITUTE(SUBSTITUTE(SUBSTITUTE("type:"&amp;B1643,"%","%25"),"~","%7E"),"*","%2A"),"?","%3F"),'Rules'!$G$7:$G$26,0)),"")</x:f>
      </x:c>
      <x:c r="M1643" s="6" t="str">
        <x:f>IF(AND(NOT(COUNTA(A1643:F1643)=0),K1643=""),INDEX('Rules'!$D$7:$D$26,MATCH(SUBSTITUTE(SUBSTITUTE(SUBSTITUTE(SUBSTITUTE("type:"&amp;B1643,"%","%25"),"~","%7E"),"*","%2A"),"?","%3F"),'Rules'!$G$7:$G$26,0)),"")</x:f>
      </x:c>
      <x:c r="N1643" s="5" t="str">
        <x:f>IF(COUNTA(A1643:F1643)=0,"",SUBSTITUTE(SUBSTITUTE(SUBSTITUTE(SUBSTITUTE("id:"&amp;A1643,"%","%25"),"~","%7E"),"*","%2A"),"?","%3F"))</x:f>
      </x:c>
    </x:row>
    <x:row r="1644" ht="22" customHeight="1">
      <x:c r="A1644" s="3"/>
      <x:c r="B1644" s="3"/>
      <x:c r="C1644" s="3"/>
      <x:c r="D1644" s="4"/>
      <x:c r="E1644" s="4"/>
      <x:c r="F1644" s="4"/>
      <x:c r="G1644" s="5" t="str">
        <x:f>IF(COUNTA(A1644:F1644)=0,"",IF(K1644&lt;&gt;"","Review",IF(I1644&lt;0,"Overdue",IF(I1644=0,"Due now",IF(I1644&lt;=M1644,"Due soon","Not due")))))</x:f>
      </x:c>
      <x:c r="H1644" s="5" t="str">
        <x:f>IF(OR(COUNTA(A1644:F1644)=0,COUNTIFS('Rules'!$G$7:$G$26,"="&amp;(SUBSTITUTE(SUBSTITUTE(SUBSTITUTE(SUBSTITUTE("type:"&amp;B1644,"%","%25"),"~","%7E"),"*","%2A"),"?","%3F")))&lt;&gt;1),"",IF(OR(INDEX('Rules'!$B$7:$B$26,MATCH(SUBSTITUTE(SUBSTITUTE(SUBSTITUTE(SUBSTITUTE("type:"&amp;B1644,"%","%25"),"~","%7E"),"*","%2A"),"?","%3F"),'Rules'!$G$7:$G$26,0))="hours",INDEX('Rules'!$B$7:$B$26,MATCH(SUBSTITUTE(SUBSTITUTE(SUBSTITUTE(SUBSTITUTE("type:"&amp;B1644,"%","%25"),"~","%7E"),"*","%2A"),"?","%3F"),'Rules'!$G$7:$G$26,0))="km"),INDEX('Rules'!$B$7:$B$26,MATCH(SUBSTITUTE(SUBSTITUTE(SUBSTITUTE(SUBSTITUTE("type:"&amp;B1644,"%","%25"),"~","%7E"),"*","%2A"),"?","%3F"),'Rules'!$G$7:$G$26,0)),""))</x:f>
      </x:c>
      <x:c r="I1644" s="6" t="str">
        <x:f>IF(AND(NOT(COUNTA(A1644:F1644)=0),K1644=""),ROUND(J1644-D1644,3),"")</x:f>
      </x:c>
      <x:c r="J1644" s="6" t="str">
        <x:f>IF(AND(NOT(COUNTA(A1644:F1644)=0),K1644=""),ROUND(F1644+L1644,3),"")</x:f>
      </x:c>
      <x:c r="K1644" s="5" t="str">
        <x:f>IF(COUNTA(A1644:F1644)=0,"",IF(A1644="","Missing equipment ID",IF(COUNTIFS($N$8:$N$2007,"="&amp;N1644)&gt;1,"Duplicate equipment ID",IF(B1644="","Missing type",IF(COUNTIFS('Rules'!$G$7:$G$26,"="&amp;(SUBSTITUTE(SUBSTITUTE(SUBSTITUTE(SUBSTITUTE("type:"&amp;B1644,"%","%25"),"~","%7E"),"*","%2A"),"?","%3F")))=0,"Unknown type",IF(COUNTIFS('Rules'!$G$7:$G$26,"="&amp;(SUBSTITUTE(SUBSTITUTE(SUBSTITUTE(SUBSTITUTE("type:"&amp;B1644,"%","%25"),"~","%7E"),"*","%2A"),"?","%3F")))&gt;1,"Duplicate type",IF(INDEX('Rules'!$F$7:$F$26,MATCH(SUBSTITUTE(SUBSTITUTE(SUBSTITUTE(SUBSTITUTE("type:"&amp;B1644,"%","%25"),"~","%7E"),"*","%2A"),"?","%3F"),'Rules'!$G$7:$G$26,0))&lt;&gt;"",INDEX('Rules'!$F$7:$F$26,MATCH(SUBSTITUTE(SUBSTITUTE(SUBSTITUTE(SUBSTITUTE("type:"&amp;B1644,"%","%25"),"~","%7E"),"*","%2A"),"?","%3F"),'Rules'!$G$7:$G$26,0)),IF(AND(C1644&lt;&gt;"",C1644&lt;&gt;INDEX('Rules'!$B$7:$B$26,MATCH(SUBSTITUTE(SUBSTITUTE(SUBSTITUTE(SUBSTITUTE("type:"&amp;B1644,"%","%25"),"~","%7E"),"*","%2A"),"?","%3F"),'Rules'!$G$7:$G$26,0))),"Unit mismatch",IF(IF(NOT(ISNUMBER(D1644)),TRUE,OR(D1644&lt;0,D1644&gt;999999999,ROUND(D1644,3)&lt;&gt;D1644)),"Invalid current reading",IF(AND(E1644&lt;&gt;"",IF(NOT(ISNUMBER(E1644)),TRUE,OR(E1644&lt;0,E1644&gt;999999999,ROUND(E1644,3)&lt;&gt;E1644))),"Invalid previous reading",IF(IF(NOT(ISNUMBER(F1644)),TRUE,OR(F1644&lt;0,F1644&gt;999999999,ROUND(F1644,3)&lt;&gt;F1644)),"Invalid last service",IF(AND(E1644&lt;&gt;"",D1644&lt;E1644),"Decreased reading",IF(F1644&gt;D1644,"Last service above current","")))))))))))))</x:f>
      </x:c>
      <x:c r="L1644" s="6" t="str">
        <x:f>IF(AND(NOT(COUNTA(A1644:F1644)=0),K1644=""),INDEX('Rules'!$C$7:$C$26,MATCH(SUBSTITUTE(SUBSTITUTE(SUBSTITUTE(SUBSTITUTE("type:"&amp;B1644,"%","%25"),"~","%7E"),"*","%2A"),"?","%3F"),'Rules'!$G$7:$G$26,0)),"")</x:f>
      </x:c>
      <x:c r="M1644" s="6" t="str">
        <x:f>IF(AND(NOT(COUNTA(A1644:F1644)=0),K1644=""),INDEX('Rules'!$D$7:$D$26,MATCH(SUBSTITUTE(SUBSTITUTE(SUBSTITUTE(SUBSTITUTE("type:"&amp;B1644,"%","%25"),"~","%7E"),"*","%2A"),"?","%3F"),'Rules'!$G$7:$G$26,0)),"")</x:f>
      </x:c>
      <x:c r="N1644" s="5" t="str">
        <x:f>IF(COUNTA(A1644:F1644)=0,"",SUBSTITUTE(SUBSTITUTE(SUBSTITUTE(SUBSTITUTE("id:"&amp;A1644,"%","%25"),"~","%7E"),"*","%2A"),"?","%3F"))</x:f>
      </x:c>
    </x:row>
    <x:row r="1645" ht="22" customHeight="1">
      <x:c r="A1645" s="3"/>
      <x:c r="B1645" s="3"/>
      <x:c r="C1645" s="3"/>
      <x:c r="D1645" s="4"/>
      <x:c r="E1645" s="4"/>
      <x:c r="F1645" s="4"/>
      <x:c r="G1645" s="5" t="str">
        <x:f>IF(COUNTA(A1645:F1645)=0,"",IF(K1645&lt;&gt;"","Review",IF(I1645&lt;0,"Overdue",IF(I1645=0,"Due now",IF(I1645&lt;=M1645,"Due soon","Not due")))))</x:f>
      </x:c>
      <x:c r="H1645" s="5" t="str">
        <x:f>IF(OR(COUNTA(A1645:F1645)=0,COUNTIFS('Rules'!$G$7:$G$26,"="&amp;(SUBSTITUTE(SUBSTITUTE(SUBSTITUTE(SUBSTITUTE("type:"&amp;B1645,"%","%25"),"~","%7E"),"*","%2A"),"?","%3F")))&lt;&gt;1),"",IF(OR(INDEX('Rules'!$B$7:$B$26,MATCH(SUBSTITUTE(SUBSTITUTE(SUBSTITUTE(SUBSTITUTE("type:"&amp;B1645,"%","%25"),"~","%7E"),"*","%2A"),"?","%3F"),'Rules'!$G$7:$G$26,0))="hours",INDEX('Rules'!$B$7:$B$26,MATCH(SUBSTITUTE(SUBSTITUTE(SUBSTITUTE(SUBSTITUTE("type:"&amp;B1645,"%","%25"),"~","%7E"),"*","%2A"),"?","%3F"),'Rules'!$G$7:$G$26,0))="km"),INDEX('Rules'!$B$7:$B$26,MATCH(SUBSTITUTE(SUBSTITUTE(SUBSTITUTE(SUBSTITUTE("type:"&amp;B1645,"%","%25"),"~","%7E"),"*","%2A"),"?","%3F"),'Rules'!$G$7:$G$26,0)),""))</x:f>
      </x:c>
      <x:c r="I1645" s="6" t="str">
        <x:f>IF(AND(NOT(COUNTA(A1645:F1645)=0),K1645=""),ROUND(J1645-D1645,3),"")</x:f>
      </x:c>
      <x:c r="J1645" s="6" t="str">
        <x:f>IF(AND(NOT(COUNTA(A1645:F1645)=0),K1645=""),ROUND(F1645+L1645,3),"")</x:f>
      </x:c>
      <x:c r="K1645" s="5" t="str">
        <x:f>IF(COUNTA(A1645:F1645)=0,"",IF(A1645="","Missing equipment ID",IF(COUNTIFS($N$8:$N$2007,"="&amp;N1645)&gt;1,"Duplicate equipment ID",IF(B1645="","Missing type",IF(COUNTIFS('Rules'!$G$7:$G$26,"="&amp;(SUBSTITUTE(SUBSTITUTE(SUBSTITUTE(SUBSTITUTE("type:"&amp;B1645,"%","%25"),"~","%7E"),"*","%2A"),"?","%3F")))=0,"Unknown type",IF(COUNTIFS('Rules'!$G$7:$G$26,"="&amp;(SUBSTITUTE(SUBSTITUTE(SUBSTITUTE(SUBSTITUTE("type:"&amp;B1645,"%","%25"),"~","%7E"),"*","%2A"),"?","%3F")))&gt;1,"Duplicate type",IF(INDEX('Rules'!$F$7:$F$26,MATCH(SUBSTITUTE(SUBSTITUTE(SUBSTITUTE(SUBSTITUTE("type:"&amp;B1645,"%","%25"),"~","%7E"),"*","%2A"),"?","%3F"),'Rules'!$G$7:$G$26,0))&lt;&gt;"",INDEX('Rules'!$F$7:$F$26,MATCH(SUBSTITUTE(SUBSTITUTE(SUBSTITUTE(SUBSTITUTE("type:"&amp;B1645,"%","%25"),"~","%7E"),"*","%2A"),"?","%3F"),'Rules'!$G$7:$G$26,0)),IF(AND(C1645&lt;&gt;"",C1645&lt;&gt;INDEX('Rules'!$B$7:$B$26,MATCH(SUBSTITUTE(SUBSTITUTE(SUBSTITUTE(SUBSTITUTE("type:"&amp;B1645,"%","%25"),"~","%7E"),"*","%2A"),"?","%3F"),'Rules'!$G$7:$G$26,0))),"Unit mismatch",IF(IF(NOT(ISNUMBER(D1645)),TRUE,OR(D1645&lt;0,D1645&gt;999999999,ROUND(D1645,3)&lt;&gt;D1645)),"Invalid current reading",IF(AND(E1645&lt;&gt;"",IF(NOT(ISNUMBER(E1645)),TRUE,OR(E1645&lt;0,E1645&gt;999999999,ROUND(E1645,3)&lt;&gt;E1645))),"Invalid previous reading",IF(IF(NOT(ISNUMBER(F1645)),TRUE,OR(F1645&lt;0,F1645&gt;999999999,ROUND(F1645,3)&lt;&gt;F1645)),"Invalid last service",IF(AND(E1645&lt;&gt;"",D1645&lt;E1645),"Decreased reading",IF(F1645&gt;D1645,"Last service above current","")))))))))))))</x:f>
      </x:c>
      <x:c r="L1645" s="6" t="str">
        <x:f>IF(AND(NOT(COUNTA(A1645:F1645)=0),K1645=""),INDEX('Rules'!$C$7:$C$26,MATCH(SUBSTITUTE(SUBSTITUTE(SUBSTITUTE(SUBSTITUTE("type:"&amp;B1645,"%","%25"),"~","%7E"),"*","%2A"),"?","%3F"),'Rules'!$G$7:$G$26,0)),"")</x:f>
      </x:c>
      <x:c r="M1645" s="6" t="str">
        <x:f>IF(AND(NOT(COUNTA(A1645:F1645)=0),K1645=""),INDEX('Rules'!$D$7:$D$26,MATCH(SUBSTITUTE(SUBSTITUTE(SUBSTITUTE(SUBSTITUTE("type:"&amp;B1645,"%","%25"),"~","%7E"),"*","%2A"),"?","%3F"),'Rules'!$G$7:$G$26,0)),"")</x:f>
      </x:c>
      <x:c r="N1645" s="5" t="str">
        <x:f>IF(COUNTA(A1645:F1645)=0,"",SUBSTITUTE(SUBSTITUTE(SUBSTITUTE(SUBSTITUTE("id:"&amp;A1645,"%","%25"),"~","%7E"),"*","%2A"),"?","%3F"))</x:f>
      </x:c>
    </x:row>
    <x:row r="1646" ht="22" customHeight="1">
      <x:c r="A1646" s="3"/>
      <x:c r="B1646" s="3"/>
      <x:c r="C1646" s="3"/>
      <x:c r="D1646" s="4"/>
      <x:c r="E1646" s="4"/>
      <x:c r="F1646" s="4"/>
      <x:c r="G1646" s="5" t="str">
        <x:f>IF(COUNTA(A1646:F1646)=0,"",IF(K1646&lt;&gt;"","Review",IF(I1646&lt;0,"Overdue",IF(I1646=0,"Due now",IF(I1646&lt;=M1646,"Due soon","Not due")))))</x:f>
      </x:c>
      <x:c r="H1646" s="5" t="str">
        <x:f>IF(OR(COUNTA(A1646:F1646)=0,COUNTIFS('Rules'!$G$7:$G$26,"="&amp;(SUBSTITUTE(SUBSTITUTE(SUBSTITUTE(SUBSTITUTE("type:"&amp;B1646,"%","%25"),"~","%7E"),"*","%2A"),"?","%3F")))&lt;&gt;1),"",IF(OR(INDEX('Rules'!$B$7:$B$26,MATCH(SUBSTITUTE(SUBSTITUTE(SUBSTITUTE(SUBSTITUTE("type:"&amp;B1646,"%","%25"),"~","%7E"),"*","%2A"),"?","%3F"),'Rules'!$G$7:$G$26,0))="hours",INDEX('Rules'!$B$7:$B$26,MATCH(SUBSTITUTE(SUBSTITUTE(SUBSTITUTE(SUBSTITUTE("type:"&amp;B1646,"%","%25"),"~","%7E"),"*","%2A"),"?","%3F"),'Rules'!$G$7:$G$26,0))="km"),INDEX('Rules'!$B$7:$B$26,MATCH(SUBSTITUTE(SUBSTITUTE(SUBSTITUTE(SUBSTITUTE("type:"&amp;B1646,"%","%25"),"~","%7E"),"*","%2A"),"?","%3F"),'Rules'!$G$7:$G$26,0)),""))</x:f>
      </x:c>
      <x:c r="I1646" s="6" t="str">
        <x:f>IF(AND(NOT(COUNTA(A1646:F1646)=0),K1646=""),ROUND(J1646-D1646,3),"")</x:f>
      </x:c>
      <x:c r="J1646" s="6" t="str">
        <x:f>IF(AND(NOT(COUNTA(A1646:F1646)=0),K1646=""),ROUND(F1646+L1646,3),"")</x:f>
      </x:c>
      <x:c r="K1646" s="5" t="str">
        <x:f>IF(COUNTA(A1646:F1646)=0,"",IF(A1646="","Missing equipment ID",IF(COUNTIFS($N$8:$N$2007,"="&amp;N1646)&gt;1,"Duplicate equipment ID",IF(B1646="","Missing type",IF(COUNTIFS('Rules'!$G$7:$G$26,"="&amp;(SUBSTITUTE(SUBSTITUTE(SUBSTITUTE(SUBSTITUTE("type:"&amp;B1646,"%","%25"),"~","%7E"),"*","%2A"),"?","%3F")))=0,"Unknown type",IF(COUNTIFS('Rules'!$G$7:$G$26,"="&amp;(SUBSTITUTE(SUBSTITUTE(SUBSTITUTE(SUBSTITUTE("type:"&amp;B1646,"%","%25"),"~","%7E"),"*","%2A"),"?","%3F")))&gt;1,"Duplicate type",IF(INDEX('Rules'!$F$7:$F$26,MATCH(SUBSTITUTE(SUBSTITUTE(SUBSTITUTE(SUBSTITUTE("type:"&amp;B1646,"%","%25"),"~","%7E"),"*","%2A"),"?","%3F"),'Rules'!$G$7:$G$26,0))&lt;&gt;"",INDEX('Rules'!$F$7:$F$26,MATCH(SUBSTITUTE(SUBSTITUTE(SUBSTITUTE(SUBSTITUTE("type:"&amp;B1646,"%","%25"),"~","%7E"),"*","%2A"),"?","%3F"),'Rules'!$G$7:$G$26,0)),IF(AND(C1646&lt;&gt;"",C1646&lt;&gt;INDEX('Rules'!$B$7:$B$26,MATCH(SUBSTITUTE(SUBSTITUTE(SUBSTITUTE(SUBSTITUTE("type:"&amp;B1646,"%","%25"),"~","%7E"),"*","%2A"),"?","%3F"),'Rules'!$G$7:$G$26,0))),"Unit mismatch",IF(IF(NOT(ISNUMBER(D1646)),TRUE,OR(D1646&lt;0,D1646&gt;999999999,ROUND(D1646,3)&lt;&gt;D1646)),"Invalid current reading",IF(AND(E1646&lt;&gt;"",IF(NOT(ISNUMBER(E1646)),TRUE,OR(E1646&lt;0,E1646&gt;999999999,ROUND(E1646,3)&lt;&gt;E1646))),"Invalid previous reading",IF(IF(NOT(ISNUMBER(F1646)),TRUE,OR(F1646&lt;0,F1646&gt;999999999,ROUND(F1646,3)&lt;&gt;F1646)),"Invalid last service",IF(AND(E1646&lt;&gt;"",D1646&lt;E1646),"Decreased reading",IF(F1646&gt;D1646,"Last service above current","")))))))))))))</x:f>
      </x:c>
      <x:c r="L1646" s="6" t="str">
        <x:f>IF(AND(NOT(COUNTA(A1646:F1646)=0),K1646=""),INDEX('Rules'!$C$7:$C$26,MATCH(SUBSTITUTE(SUBSTITUTE(SUBSTITUTE(SUBSTITUTE("type:"&amp;B1646,"%","%25"),"~","%7E"),"*","%2A"),"?","%3F"),'Rules'!$G$7:$G$26,0)),"")</x:f>
      </x:c>
      <x:c r="M1646" s="6" t="str">
        <x:f>IF(AND(NOT(COUNTA(A1646:F1646)=0),K1646=""),INDEX('Rules'!$D$7:$D$26,MATCH(SUBSTITUTE(SUBSTITUTE(SUBSTITUTE(SUBSTITUTE("type:"&amp;B1646,"%","%25"),"~","%7E"),"*","%2A"),"?","%3F"),'Rules'!$G$7:$G$26,0)),"")</x:f>
      </x:c>
      <x:c r="N1646" s="5" t="str">
        <x:f>IF(COUNTA(A1646:F1646)=0,"",SUBSTITUTE(SUBSTITUTE(SUBSTITUTE(SUBSTITUTE("id:"&amp;A1646,"%","%25"),"~","%7E"),"*","%2A"),"?","%3F"))</x:f>
      </x:c>
    </x:row>
    <x:row r="1647" ht="22" customHeight="1">
      <x:c r="A1647" s="3"/>
      <x:c r="B1647" s="3"/>
      <x:c r="C1647" s="3"/>
      <x:c r="D1647" s="4"/>
      <x:c r="E1647" s="4"/>
      <x:c r="F1647" s="4"/>
      <x:c r="G1647" s="5" t="str">
        <x:f>IF(COUNTA(A1647:F1647)=0,"",IF(K1647&lt;&gt;"","Review",IF(I1647&lt;0,"Overdue",IF(I1647=0,"Due now",IF(I1647&lt;=M1647,"Due soon","Not due")))))</x:f>
      </x:c>
      <x:c r="H1647" s="5" t="str">
        <x:f>IF(OR(COUNTA(A1647:F1647)=0,COUNTIFS('Rules'!$G$7:$G$26,"="&amp;(SUBSTITUTE(SUBSTITUTE(SUBSTITUTE(SUBSTITUTE("type:"&amp;B1647,"%","%25"),"~","%7E"),"*","%2A"),"?","%3F")))&lt;&gt;1),"",IF(OR(INDEX('Rules'!$B$7:$B$26,MATCH(SUBSTITUTE(SUBSTITUTE(SUBSTITUTE(SUBSTITUTE("type:"&amp;B1647,"%","%25"),"~","%7E"),"*","%2A"),"?","%3F"),'Rules'!$G$7:$G$26,0))="hours",INDEX('Rules'!$B$7:$B$26,MATCH(SUBSTITUTE(SUBSTITUTE(SUBSTITUTE(SUBSTITUTE("type:"&amp;B1647,"%","%25"),"~","%7E"),"*","%2A"),"?","%3F"),'Rules'!$G$7:$G$26,0))="km"),INDEX('Rules'!$B$7:$B$26,MATCH(SUBSTITUTE(SUBSTITUTE(SUBSTITUTE(SUBSTITUTE("type:"&amp;B1647,"%","%25"),"~","%7E"),"*","%2A"),"?","%3F"),'Rules'!$G$7:$G$26,0)),""))</x:f>
      </x:c>
      <x:c r="I1647" s="6" t="str">
        <x:f>IF(AND(NOT(COUNTA(A1647:F1647)=0),K1647=""),ROUND(J1647-D1647,3),"")</x:f>
      </x:c>
      <x:c r="J1647" s="6" t="str">
        <x:f>IF(AND(NOT(COUNTA(A1647:F1647)=0),K1647=""),ROUND(F1647+L1647,3),"")</x:f>
      </x:c>
      <x:c r="K1647" s="5" t="str">
        <x:f>IF(COUNTA(A1647:F1647)=0,"",IF(A1647="","Missing equipment ID",IF(COUNTIFS($N$8:$N$2007,"="&amp;N1647)&gt;1,"Duplicate equipment ID",IF(B1647="","Missing type",IF(COUNTIFS('Rules'!$G$7:$G$26,"="&amp;(SUBSTITUTE(SUBSTITUTE(SUBSTITUTE(SUBSTITUTE("type:"&amp;B1647,"%","%25"),"~","%7E"),"*","%2A"),"?","%3F")))=0,"Unknown type",IF(COUNTIFS('Rules'!$G$7:$G$26,"="&amp;(SUBSTITUTE(SUBSTITUTE(SUBSTITUTE(SUBSTITUTE("type:"&amp;B1647,"%","%25"),"~","%7E"),"*","%2A"),"?","%3F")))&gt;1,"Duplicate type",IF(INDEX('Rules'!$F$7:$F$26,MATCH(SUBSTITUTE(SUBSTITUTE(SUBSTITUTE(SUBSTITUTE("type:"&amp;B1647,"%","%25"),"~","%7E"),"*","%2A"),"?","%3F"),'Rules'!$G$7:$G$26,0))&lt;&gt;"",INDEX('Rules'!$F$7:$F$26,MATCH(SUBSTITUTE(SUBSTITUTE(SUBSTITUTE(SUBSTITUTE("type:"&amp;B1647,"%","%25"),"~","%7E"),"*","%2A"),"?","%3F"),'Rules'!$G$7:$G$26,0)),IF(AND(C1647&lt;&gt;"",C1647&lt;&gt;INDEX('Rules'!$B$7:$B$26,MATCH(SUBSTITUTE(SUBSTITUTE(SUBSTITUTE(SUBSTITUTE("type:"&amp;B1647,"%","%25"),"~","%7E"),"*","%2A"),"?","%3F"),'Rules'!$G$7:$G$26,0))),"Unit mismatch",IF(IF(NOT(ISNUMBER(D1647)),TRUE,OR(D1647&lt;0,D1647&gt;999999999,ROUND(D1647,3)&lt;&gt;D1647)),"Invalid current reading",IF(AND(E1647&lt;&gt;"",IF(NOT(ISNUMBER(E1647)),TRUE,OR(E1647&lt;0,E1647&gt;999999999,ROUND(E1647,3)&lt;&gt;E1647))),"Invalid previous reading",IF(IF(NOT(ISNUMBER(F1647)),TRUE,OR(F1647&lt;0,F1647&gt;999999999,ROUND(F1647,3)&lt;&gt;F1647)),"Invalid last service",IF(AND(E1647&lt;&gt;"",D1647&lt;E1647),"Decreased reading",IF(F1647&gt;D1647,"Last service above current","")))))))))))))</x:f>
      </x:c>
      <x:c r="L1647" s="6" t="str">
        <x:f>IF(AND(NOT(COUNTA(A1647:F1647)=0),K1647=""),INDEX('Rules'!$C$7:$C$26,MATCH(SUBSTITUTE(SUBSTITUTE(SUBSTITUTE(SUBSTITUTE("type:"&amp;B1647,"%","%25"),"~","%7E"),"*","%2A"),"?","%3F"),'Rules'!$G$7:$G$26,0)),"")</x:f>
      </x:c>
      <x:c r="M1647" s="6" t="str">
        <x:f>IF(AND(NOT(COUNTA(A1647:F1647)=0),K1647=""),INDEX('Rules'!$D$7:$D$26,MATCH(SUBSTITUTE(SUBSTITUTE(SUBSTITUTE(SUBSTITUTE("type:"&amp;B1647,"%","%25"),"~","%7E"),"*","%2A"),"?","%3F"),'Rules'!$G$7:$G$26,0)),"")</x:f>
      </x:c>
      <x:c r="N1647" s="5" t="str">
        <x:f>IF(COUNTA(A1647:F1647)=0,"",SUBSTITUTE(SUBSTITUTE(SUBSTITUTE(SUBSTITUTE("id:"&amp;A1647,"%","%25"),"~","%7E"),"*","%2A"),"?","%3F"))</x:f>
      </x:c>
    </x:row>
    <x:row r="1648" ht="22" customHeight="1">
      <x:c r="A1648" s="3"/>
      <x:c r="B1648" s="3"/>
      <x:c r="C1648" s="3"/>
      <x:c r="D1648" s="4"/>
      <x:c r="E1648" s="4"/>
      <x:c r="F1648" s="4"/>
      <x:c r="G1648" s="5" t="str">
        <x:f>IF(COUNTA(A1648:F1648)=0,"",IF(K1648&lt;&gt;"","Review",IF(I1648&lt;0,"Overdue",IF(I1648=0,"Due now",IF(I1648&lt;=M1648,"Due soon","Not due")))))</x:f>
      </x:c>
      <x:c r="H1648" s="5" t="str">
        <x:f>IF(OR(COUNTA(A1648:F1648)=0,COUNTIFS('Rules'!$G$7:$G$26,"="&amp;(SUBSTITUTE(SUBSTITUTE(SUBSTITUTE(SUBSTITUTE("type:"&amp;B1648,"%","%25"),"~","%7E"),"*","%2A"),"?","%3F")))&lt;&gt;1),"",IF(OR(INDEX('Rules'!$B$7:$B$26,MATCH(SUBSTITUTE(SUBSTITUTE(SUBSTITUTE(SUBSTITUTE("type:"&amp;B1648,"%","%25"),"~","%7E"),"*","%2A"),"?","%3F"),'Rules'!$G$7:$G$26,0))="hours",INDEX('Rules'!$B$7:$B$26,MATCH(SUBSTITUTE(SUBSTITUTE(SUBSTITUTE(SUBSTITUTE("type:"&amp;B1648,"%","%25"),"~","%7E"),"*","%2A"),"?","%3F"),'Rules'!$G$7:$G$26,0))="km"),INDEX('Rules'!$B$7:$B$26,MATCH(SUBSTITUTE(SUBSTITUTE(SUBSTITUTE(SUBSTITUTE("type:"&amp;B1648,"%","%25"),"~","%7E"),"*","%2A"),"?","%3F"),'Rules'!$G$7:$G$26,0)),""))</x:f>
      </x:c>
      <x:c r="I1648" s="6" t="str">
        <x:f>IF(AND(NOT(COUNTA(A1648:F1648)=0),K1648=""),ROUND(J1648-D1648,3),"")</x:f>
      </x:c>
      <x:c r="J1648" s="6" t="str">
        <x:f>IF(AND(NOT(COUNTA(A1648:F1648)=0),K1648=""),ROUND(F1648+L1648,3),"")</x:f>
      </x:c>
      <x:c r="K1648" s="5" t="str">
        <x:f>IF(COUNTA(A1648:F1648)=0,"",IF(A1648="","Missing equipment ID",IF(COUNTIFS($N$8:$N$2007,"="&amp;N1648)&gt;1,"Duplicate equipment ID",IF(B1648="","Missing type",IF(COUNTIFS('Rules'!$G$7:$G$26,"="&amp;(SUBSTITUTE(SUBSTITUTE(SUBSTITUTE(SUBSTITUTE("type:"&amp;B1648,"%","%25"),"~","%7E"),"*","%2A"),"?","%3F")))=0,"Unknown type",IF(COUNTIFS('Rules'!$G$7:$G$26,"="&amp;(SUBSTITUTE(SUBSTITUTE(SUBSTITUTE(SUBSTITUTE("type:"&amp;B1648,"%","%25"),"~","%7E"),"*","%2A"),"?","%3F")))&gt;1,"Duplicate type",IF(INDEX('Rules'!$F$7:$F$26,MATCH(SUBSTITUTE(SUBSTITUTE(SUBSTITUTE(SUBSTITUTE("type:"&amp;B1648,"%","%25"),"~","%7E"),"*","%2A"),"?","%3F"),'Rules'!$G$7:$G$26,0))&lt;&gt;"",INDEX('Rules'!$F$7:$F$26,MATCH(SUBSTITUTE(SUBSTITUTE(SUBSTITUTE(SUBSTITUTE("type:"&amp;B1648,"%","%25"),"~","%7E"),"*","%2A"),"?","%3F"),'Rules'!$G$7:$G$26,0)),IF(AND(C1648&lt;&gt;"",C1648&lt;&gt;INDEX('Rules'!$B$7:$B$26,MATCH(SUBSTITUTE(SUBSTITUTE(SUBSTITUTE(SUBSTITUTE("type:"&amp;B1648,"%","%25"),"~","%7E"),"*","%2A"),"?","%3F"),'Rules'!$G$7:$G$26,0))),"Unit mismatch",IF(IF(NOT(ISNUMBER(D1648)),TRUE,OR(D1648&lt;0,D1648&gt;999999999,ROUND(D1648,3)&lt;&gt;D1648)),"Invalid current reading",IF(AND(E1648&lt;&gt;"",IF(NOT(ISNUMBER(E1648)),TRUE,OR(E1648&lt;0,E1648&gt;999999999,ROUND(E1648,3)&lt;&gt;E1648))),"Invalid previous reading",IF(IF(NOT(ISNUMBER(F1648)),TRUE,OR(F1648&lt;0,F1648&gt;999999999,ROUND(F1648,3)&lt;&gt;F1648)),"Invalid last service",IF(AND(E1648&lt;&gt;"",D1648&lt;E1648),"Decreased reading",IF(F1648&gt;D1648,"Last service above current","")))))))))))))</x:f>
      </x:c>
      <x:c r="L1648" s="6" t="str">
        <x:f>IF(AND(NOT(COUNTA(A1648:F1648)=0),K1648=""),INDEX('Rules'!$C$7:$C$26,MATCH(SUBSTITUTE(SUBSTITUTE(SUBSTITUTE(SUBSTITUTE("type:"&amp;B1648,"%","%25"),"~","%7E"),"*","%2A"),"?","%3F"),'Rules'!$G$7:$G$26,0)),"")</x:f>
      </x:c>
      <x:c r="M1648" s="6" t="str">
        <x:f>IF(AND(NOT(COUNTA(A1648:F1648)=0),K1648=""),INDEX('Rules'!$D$7:$D$26,MATCH(SUBSTITUTE(SUBSTITUTE(SUBSTITUTE(SUBSTITUTE("type:"&amp;B1648,"%","%25"),"~","%7E"),"*","%2A"),"?","%3F"),'Rules'!$G$7:$G$26,0)),"")</x:f>
      </x:c>
      <x:c r="N1648" s="5" t="str">
        <x:f>IF(COUNTA(A1648:F1648)=0,"",SUBSTITUTE(SUBSTITUTE(SUBSTITUTE(SUBSTITUTE("id:"&amp;A1648,"%","%25"),"~","%7E"),"*","%2A"),"?","%3F"))</x:f>
      </x:c>
    </x:row>
    <x:row r="1649" ht="22" customHeight="1">
      <x:c r="A1649" s="3"/>
      <x:c r="B1649" s="3"/>
      <x:c r="C1649" s="3"/>
      <x:c r="D1649" s="4"/>
      <x:c r="E1649" s="4"/>
      <x:c r="F1649" s="4"/>
      <x:c r="G1649" s="5" t="str">
        <x:f>IF(COUNTA(A1649:F1649)=0,"",IF(K1649&lt;&gt;"","Review",IF(I1649&lt;0,"Overdue",IF(I1649=0,"Due now",IF(I1649&lt;=M1649,"Due soon","Not due")))))</x:f>
      </x:c>
      <x:c r="H1649" s="5" t="str">
        <x:f>IF(OR(COUNTA(A1649:F1649)=0,COUNTIFS('Rules'!$G$7:$G$26,"="&amp;(SUBSTITUTE(SUBSTITUTE(SUBSTITUTE(SUBSTITUTE("type:"&amp;B1649,"%","%25"),"~","%7E"),"*","%2A"),"?","%3F")))&lt;&gt;1),"",IF(OR(INDEX('Rules'!$B$7:$B$26,MATCH(SUBSTITUTE(SUBSTITUTE(SUBSTITUTE(SUBSTITUTE("type:"&amp;B1649,"%","%25"),"~","%7E"),"*","%2A"),"?","%3F"),'Rules'!$G$7:$G$26,0))="hours",INDEX('Rules'!$B$7:$B$26,MATCH(SUBSTITUTE(SUBSTITUTE(SUBSTITUTE(SUBSTITUTE("type:"&amp;B1649,"%","%25"),"~","%7E"),"*","%2A"),"?","%3F"),'Rules'!$G$7:$G$26,0))="km"),INDEX('Rules'!$B$7:$B$26,MATCH(SUBSTITUTE(SUBSTITUTE(SUBSTITUTE(SUBSTITUTE("type:"&amp;B1649,"%","%25"),"~","%7E"),"*","%2A"),"?","%3F"),'Rules'!$G$7:$G$26,0)),""))</x:f>
      </x:c>
      <x:c r="I1649" s="6" t="str">
        <x:f>IF(AND(NOT(COUNTA(A1649:F1649)=0),K1649=""),ROUND(J1649-D1649,3),"")</x:f>
      </x:c>
      <x:c r="J1649" s="6" t="str">
        <x:f>IF(AND(NOT(COUNTA(A1649:F1649)=0),K1649=""),ROUND(F1649+L1649,3),"")</x:f>
      </x:c>
      <x:c r="K1649" s="5" t="str">
        <x:f>IF(COUNTA(A1649:F1649)=0,"",IF(A1649="","Missing equipment ID",IF(COUNTIFS($N$8:$N$2007,"="&amp;N1649)&gt;1,"Duplicate equipment ID",IF(B1649="","Missing type",IF(COUNTIFS('Rules'!$G$7:$G$26,"="&amp;(SUBSTITUTE(SUBSTITUTE(SUBSTITUTE(SUBSTITUTE("type:"&amp;B1649,"%","%25"),"~","%7E"),"*","%2A"),"?","%3F")))=0,"Unknown type",IF(COUNTIFS('Rules'!$G$7:$G$26,"="&amp;(SUBSTITUTE(SUBSTITUTE(SUBSTITUTE(SUBSTITUTE("type:"&amp;B1649,"%","%25"),"~","%7E"),"*","%2A"),"?","%3F")))&gt;1,"Duplicate type",IF(INDEX('Rules'!$F$7:$F$26,MATCH(SUBSTITUTE(SUBSTITUTE(SUBSTITUTE(SUBSTITUTE("type:"&amp;B1649,"%","%25"),"~","%7E"),"*","%2A"),"?","%3F"),'Rules'!$G$7:$G$26,0))&lt;&gt;"",INDEX('Rules'!$F$7:$F$26,MATCH(SUBSTITUTE(SUBSTITUTE(SUBSTITUTE(SUBSTITUTE("type:"&amp;B1649,"%","%25"),"~","%7E"),"*","%2A"),"?","%3F"),'Rules'!$G$7:$G$26,0)),IF(AND(C1649&lt;&gt;"",C1649&lt;&gt;INDEX('Rules'!$B$7:$B$26,MATCH(SUBSTITUTE(SUBSTITUTE(SUBSTITUTE(SUBSTITUTE("type:"&amp;B1649,"%","%25"),"~","%7E"),"*","%2A"),"?","%3F"),'Rules'!$G$7:$G$26,0))),"Unit mismatch",IF(IF(NOT(ISNUMBER(D1649)),TRUE,OR(D1649&lt;0,D1649&gt;999999999,ROUND(D1649,3)&lt;&gt;D1649)),"Invalid current reading",IF(AND(E1649&lt;&gt;"",IF(NOT(ISNUMBER(E1649)),TRUE,OR(E1649&lt;0,E1649&gt;999999999,ROUND(E1649,3)&lt;&gt;E1649))),"Invalid previous reading",IF(IF(NOT(ISNUMBER(F1649)),TRUE,OR(F1649&lt;0,F1649&gt;999999999,ROUND(F1649,3)&lt;&gt;F1649)),"Invalid last service",IF(AND(E1649&lt;&gt;"",D1649&lt;E1649),"Decreased reading",IF(F1649&gt;D1649,"Last service above current","")))))))))))))</x:f>
      </x:c>
      <x:c r="L1649" s="6" t="str">
        <x:f>IF(AND(NOT(COUNTA(A1649:F1649)=0),K1649=""),INDEX('Rules'!$C$7:$C$26,MATCH(SUBSTITUTE(SUBSTITUTE(SUBSTITUTE(SUBSTITUTE("type:"&amp;B1649,"%","%25"),"~","%7E"),"*","%2A"),"?","%3F"),'Rules'!$G$7:$G$26,0)),"")</x:f>
      </x:c>
      <x:c r="M1649" s="6" t="str">
        <x:f>IF(AND(NOT(COUNTA(A1649:F1649)=0),K1649=""),INDEX('Rules'!$D$7:$D$26,MATCH(SUBSTITUTE(SUBSTITUTE(SUBSTITUTE(SUBSTITUTE("type:"&amp;B1649,"%","%25"),"~","%7E"),"*","%2A"),"?","%3F"),'Rules'!$G$7:$G$26,0)),"")</x:f>
      </x:c>
      <x:c r="N1649" s="5" t="str">
        <x:f>IF(COUNTA(A1649:F1649)=0,"",SUBSTITUTE(SUBSTITUTE(SUBSTITUTE(SUBSTITUTE("id:"&amp;A1649,"%","%25"),"~","%7E"),"*","%2A"),"?","%3F"))</x:f>
      </x:c>
    </x:row>
    <x:row r="1650" ht="22" customHeight="1">
      <x:c r="A1650" s="3"/>
      <x:c r="B1650" s="3"/>
      <x:c r="C1650" s="3"/>
      <x:c r="D1650" s="4"/>
      <x:c r="E1650" s="4"/>
      <x:c r="F1650" s="4"/>
      <x:c r="G1650" s="5" t="str">
        <x:f>IF(COUNTA(A1650:F1650)=0,"",IF(K1650&lt;&gt;"","Review",IF(I1650&lt;0,"Overdue",IF(I1650=0,"Due now",IF(I1650&lt;=M1650,"Due soon","Not due")))))</x:f>
      </x:c>
      <x:c r="H1650" s="5" t="str">
        <x:f>IF(OR(COUNTA(A1650:F1650)=0,COUNTIFS('Rules'!$G$7:$G$26,"="&amp;(SUBSTITUTE(SUBSTITUTE(SUBSTITUTE(SUBSTITUTE("type:"&amp;B1650,"%","%25"),"~","%7E"),"*","%2A"),"?","%3F")))&lt;&gt;1),"",IF(OR(INDEX('Rules'!$B$7:$B$26,MATCH(SUBSTITUTE(SUBSTITUTE(SUBSTITUTE(SUBSTITUTE("type:"&amp;B1650,"%","%25"),"~","%7E"),"*","%2A"),"?","%3F"),'Rules'!$G$7:$G$26,0))="hours",INDEX('Rules'!$B$7:$B$26,MATCH(SUBSTITUTE(SUBSTITUTE(SUBSTITUTE(SUBSTITUTE("type:"&amp;B1650,"%","%25"),"~","%7E"),"*","%2A"),"?","%3F"),'Rules'!$G$7:$G$26,0))="km"),INDEX('Rules'!$B$7:$B$26,MATCH(SUBSTITUTE(SUBSTITUTE(SUBSTITUTE(SUBSTITUTE("type:"&amp;B1650,"%","%25"),"~","%7E"),"*","%2A"),"?","%3F"),'Rules'!$G$7:$G$26,0)),""))</x:f>
      </x:c>
      <x:c r="I1650" s="6" t="str">
        <x:f>IF(AND(NOT(COUNTA(A1650:F1650)=0),K1650=""),ROUND(J1650-D1650,3),"")</x:f>
      </x:c>
      <x:c r="J1650" s="6" t="str">
        <x:f>IF(AND(NOT(COUNTA(A1650:F1650)=0),K1650=""),ROUND(F1650+L1650,3),"")</x:f>
      </x:c>
      <x:c r="K1650" s="5" t="str">
        <x:f>IF(COUNTA(A1650:F1650)=0,"",IF(A1650="","Missing equipment ID",IF(COUNTIFS($N$8:$N$2007,"="&amp;N1650)&gt;1,"Duplicate equipment ID",IF(B1650="","Missing type",IF(COUNTIFS('Rules'!$G$7:$G$26,"="&amp;(SUBSTITUTE(SUBSTITUTE(SUBSTITUTE(SUBSTITUTE("type:"&amp;B1650,"%","%25"),"~","%7E"),"*","%2A"),"?","%3F")))=0,"Unknown type",IF(COUNTIFS('Rules'!$G$7:$G$26,"="&amp;(SUBSTITUTE(SUBSTITUTE(SUBSTITUTE(SUBSTITUTE("type:"&amp;B1650,"%","%25"),"~","%7E"),"*","%2A"),"?","%3F")))&gt;1,"Duplicate type",IF(INDEX('Rules'!$F$7:$F$26,MATCH(SUBSTITUTE(SUBSTITUTE(SUBSTITUTE(SUBSTITUTE("type:"&amp;B1650,"%","%25"),"~","%7E"),"*","%2A"),"?","%3F"),'Rules'!$G$7:$G$26,0))&lt;&gt;"",INDEX('Rules'!$F$7:$F$26,MATCH(SUBSTITUTE(SUBSTITUTE(SUBSTITUTE(SUBSTITUTE("type:"&amp;B1650,"%","%25"),"~","%7E"),"*","%2A"),"?","%3F"),'Rules'!$G$7:$G$26,0)),IF(AND(C1650&lt;&gt;"",C1650&lt;&gt;INDEX('Rules'!$B$7:$B$26,MATCH(SUBSTITUTE(SUBSTITUTE(SUBSTITUTE(SUBSTITUTE("type:"&amp;B1650,"%","%25"),"~","%7E"),"*","%2A"),"?","%3F"),'Rules'!$G$7:$G$26,0))),"Unit mismatch",IF(IF(NOT(ISNUMBER(D1650)),TRUE,OR(D1650&lt;0,D1650&gt;999999999,ROUND(D1650,3)&lt;&gt;D1650)),"Invalid current reading",IF(AND(E1650&lt;&gt;"",IF(NOT(ISNUMBER(E1650)),TRUE,OR(E1650&lt;0,E1650&gt;999999999,ROUND(E1650,3)&lt;&gt;E1650))),"Invalid previous reading",IF(IF(NOT(ISNUMBER(F1650)),TRUE,OR(F1650&lt;0,F1650&gt;999999999,ROUND(F1650,3)&lt;&gt;F1650)),"Invalid last service",IF(AND(E1650&lt;&gt;"",D1650&lt;E1650),"Decreased reading",IF(F1650&gt;D1650,"Last service above current","")))))))))))))</x:f>
      </x:c>
      <x:c r="L1650" s="6" t="str">
        <x:f>IF(AND(NOT(COUNTA(A1650:F1650)=0),K1650=""),INDEX('Rules'!$C$7:$C$26,MATCH(SUBSTITUTE(SUBSTITUTE(SUBSTITUTE(SUBSTITUTE("type:"&amp;B1650,"%","%25"),"~","%7E"),"*","%2A"),"?","%3F"),'Rules'!$G$7:$G$26,0)),"")</x:f>
      </x:c>
      <x:c r="M1650" s="6" t="str">
        <x:f>IF(AND(NOT(COUNTA(A1650:F1650)=0),K1650=""),INDEX('Rules'!$D$7:$D$26,MATCH(SUBSTITUTE(SUBSTITUTE(SUBSTITUTE(SUBSTITUTE("type:"&amp;B1650,"%","%25"),"~","%7E"),"*","%2A"),"?","%3F"),'Rules'!$G$7:$G$26,0)),"")</x:f>
      </x:c>
      <x:c r="N1650" s="5" t="str">
        <x:f>IF(COUNTA(A1650:F1650)=0,"",SUBSTITUTE(SUBSTITUTE(SUBSTITUTE(SUBSTITUTE("id:"&amp;A1650,"%","%25"),"~","%7E"),"*","%2A"),"?","%3F"))</x:f>
      </x:c>
    </x:row>
    <x:row r="1651" ht="22" customHeight="1">
      <x:c r="A1651" s="3"/>
      <x:c r="B1651" s="3"/>
      <x:c r="C1651" s="3"/>
      <x:c r="D1651" s="4"/>
      <x:c r="E1651" s="4"/>
      <x:c r="F1651" s="4"/>
      <x:c r="G1651" s="5" t="str">
        <x:f>IF(COUNTA(A1651:F1651)=0,"",IF(K1651&lt;&gt;"","Review",IF(I1651&lt;0,"Overdue",IF(I1651=0,"Due now",IF(I1651&lt;=M1651,"Due soon","Not due")))))</x:f>
      </x:c>
      <x:c r="H1651" s="5" t="str">
        <x:f>IF(OR(COUNTA(A1651:F1651)=0,COUNTIFS('Rules'!$G$7:$G$26,"="&amp;(SUBSTITUTE(SUBSTITUTE(SUBSTITUTE(SUBSTITUTE("type:"&amp;B1651,"%","%25"),"~","%7E"),"*","%2A"),"?","%3F")))&lt;&gt;1),"",IF(OR(INDEX('Rules'!$B$7:$B$26,MATCH(SUBSTITUTE(SUBSTITUTE(SUBSTITUTE(SUBSTITUTE("type:"&amp;B1651,"%","%25"),"~","%7E"),"*","%2A"),"?","%3F"),'Rules'!$G$7:$G$26,0))="hours",INDEX('Rules'!$B$7:$B$26,MATCH(SUBSTITUTE(SUBSTITUTE(SUBSTITUTE(SUBSTITUTE("type:"&amp;B1651,"%","%25"),"~","%7E"),"*","%2A"),"?","%3F"),'Rules'!$G$7:$G$26,0))="km"),INDEX('Rules'!$B$7:$B$26,MATCH(SUBSTITUTE(SUBSTITUTE(SUBSTITUTE(SUBSTITUTE("type:"&amp;B1651,"%","%25"),"~","%7E"),"*","%2A"),"?","%3F"),'Rules'!$G$7:$G$26,0)),""))</x:f>
      </x:c>
      <x:c r="I1651" s="6" t="str">
        <x:f>IF(AND(NOT(COUNTA(A1651:F1651)=0),K1651=""),ROUND(J1651-D1651,3),"")</x:f>
      </x:c>
      <x:c r="J1651" s="6" t="str">
        <x:f>IF(AND(NOT(COUNTA(A1651:F1651)=0),K1651=""),ROUND(F1651+L1651,3),"")</x:f>
      </x:c>
      <x:c r="K1651" s="5" t="str">
        <x:f>IF(COUNTA(A1651:F1651)=0,"",IF(A1651="","Missing equipment ID",IF(COUNTIFS($N$8:$N$2007,"="&amp;N1651)&gt;1,"Duplicate equipment ID",IF(B1651="","Missing type",IF(COUNTIFS('Rules'!$G$7:$G$26,"="&amp;(SUBSTITUTE(SUBSTITUTE(SUBSTITUTE(SUBSTITUTE("type:"&amp;B1651,"%","%25"),"~","%7E"),"*","%2A"),"?","%3F")))=0,"Unknown type",IF(COUNTIFS('Rules'!$G$7:$G$26,"="&amp;(SUBSTITUTE(SUBSTITUTE(SUBSTITUTE(SUBSTITUTE("type:"&amp;B1651,"%","%25"),"~","%7E"),"*","%2A"),"?","%3F")))&gt;1,"Duplicate type",IF(INDEX('Rules'!$F$7:$F$26,MATCH(SUBSTITUTE(SUBSTITUTE(SUBSTITUTE(SUBSTITUTE("type:"&amp;B1651,"%","%25"),"~","%7E"),"*","%2A"),"?","%3F"),'Rules'!$G$7:$G$26,0))&lt;&gt;"",INDEX('Rules'!$F$7:$F$26,MATCH(SUBSTITUTE(SUBSTITUTE(SUBSTITUTE(SUBSTITUTE("type:"&amp;B1651,"%","%25"),"~","%7E"),"*","%2A"),"?","%3F"),'Rules'!$G$7:$G$26,0)),IF(AND(C1651&lt;&gt;"",C1651&lt;&gt;INDEX('Rules'!$B$7:$B$26,MATCH(SUBSTITUTE(SUBSTITUTE(SUBSTITUTE(SUBSTITUTE("type:"&amp;B1651,"%","%25"),"~","%7E"),"*","%2A"),"?","%3F"),'Rules'!$G$7:$G$26,0))),"Unit mismatch",IF(IF(NOT(ISNUMBER(D1651)),TRUE,OR(D1651&lt;0,D1651&gt;999999999,ROUND(D1651,3)&lt;&gt;D1651)),"Invalid current reading",IF(AND(E1651&lt;&gt;"",IF(NOT(ISNUMBER(E1651)),TRUE,OR(E1651&lt;0,E1651&gt;999999999,ROUND(E1651,3)&lt;&gt;E1651))),"Invalid previous reading",IF(IF(NOT(ISNUMBER(F1651)),TRUE,OR(F1651&lt;0,F1651&gt;999999999,ROUND(F1651,3)&lt;&gt;F1651)),"Invalid last service",IF(AND(E1651&lt;&gt;"",D1651&lt;E1651),"Decreased reading",IF(F1651&gt;D1651,"Last service above current","")))))))))))))</x:f>
      </x:c>
      <x:c r="L1651" s="6" t="str">
        <x:f>IF(AND(NOT(COUNTA(A1651:F1651)=0),K1651=""),INDEX('Rules'!$C$7:$C$26,MATCH(SUBSTITUTE(SUBSTITUTE(SUBSTITUTE(SUBSTITUTE("type:"&amp;B1651,"%","%25"),"~","%7E"),"*","%2A"),"?","%3F"),'Rules'!$G$7:$G$26,0)),"")</x:f>
      </x:c>
      <x:c r="M1651" s="6" t="str">
        <x:f>IF(AND(NOT(COUNTA(A1651:F1651)=0),K1651=""),INDEX('Rules'!$D$7:$D$26,MATCH(SUBSTITUTE(SUBSTITUTE(SUBSTITUTE(SUBSTITUTE("type:"&amp;B1651,"%","%25"),"~","%7E"),"*","%2A"),"?","%3F"),'Rules'!$G$7:$G$26,0)),"")</x:f>
      </x:c>
      <x:c r="N1651" s="5" t="str">
        <x:f>IF(COUNTA(A1651:F1651)=0,"",SUBSTITUTE(SUBSTITUTE(SUBSTITUTE(SUBSTITUTE("id:"&amp;A1651,"%","%25"),"~","%7E"),"*","%2A"),"?","%3F"))</x:f>
      </x:c>
    </x:row>
    <x:row r="1652" ht="22" customHeight="1">
      <x:c r="A1652" s="3"/>
      <x:c r="B1652" s="3"/>
      <x:c r="C1652" s="3"/>
      <x:c r="D1652" s="4"/>
      <x:c r="E1652" s="4"/>
      <x:c r="F1652" s="4"/>
      <x:c r="G1652" s="5" t="str">
        <x:f>IF(COUNTA(A1652:F1652)=0,"",IF(K1652&lt;&gt;"","Review",IF(I1652&lt;0,"Overdue",IF(I1652=0,"Due now",IF(I1652&lt;=M1652,"Due soon","Not due")))))</x:f>
      </x:c>
      <x:c r="H1652" s="5" t="str">
        <x:f>IF(OR(COUNTA(A1652:F1652)=0,COUNTIFS('Rules'!$G$7:$G$26,"="&amp;(SUBSTITUTE(SUBSTITUTE(SUBSTITUTE(SUBSTITUTE("type:"&amp;B1652,"%","%25"),"~","%7E"),"*","%2A"),"?","%3F")))&lt;&gt;1),"",IF(OR(INDEX('Rules'!$B$7:$B$26,MATCH(SUBSTITUTE(SUBSTITUTE(SUBSTITUTE(SUBSTITUTE("type:"&amp;B1652,"%","%25"),"~","%7E"),"*","%2A"),"?","%3F"),'Rules'!$G$7:$G$26,0))="hours",INDEX('Rules'!$B$7:$B$26,MATCH(SUBSTITUTE(SUBSTITUTE(SUBSTITUTE(SUBSTITUTE("type:"&amp;B1652,"%","%25"),"~","%7E"),"*","%2A"),"?","%3F"),'Rules'!$G$7:$G$26,0))="km"),INDEX('Rules'!$B$7:$B$26,MATCH(SUBSTITUTE(SUBSTITUTE(SUBSTITUTE(SUBSTITUTE("type:"&amp;B1652,"%","%25"),"~","%7E"),"*","%2A"),"?","%3F"),'Rules'!$G$7:$G$26,0)),""))</x:f>
      </x:c>
      <x:c r="I1652" s="6" t="str">
        <x:f>IF(AND(NOT(COUNTA(A1652:F1652)=0),K1652=""),ROUND(J1652-D1652,3),"")</x:f>
      </x:c>
      <x:c r="J1652" s="6" t="str">
        <x:f>IF(AND(NOT(COUNTA(A1652:F1652)=0),K1652=""),ROUND(F1652+L1652,3),"")</x:f>
      </x:c>
      <x:c r="K1652" s="5" t="str">
        <x:f>IF(COUNTA(A1652:F1652)=0,"",IF(A1652="","Missing equipment ID",IF(COUNTIFS($N$8:$N$2007,"="&amp;N1652)&gt;1,"Duplicate equipment ID",IF(B1652="","Missing type",IF(COUNTIFS('Rules'!$G$7:$G$26,"="&amp;(SUBSTITUTE(SUBSTITUTE(SUBSTITUTE(SUBSTITUTE("type:"&amp;B1652,"%","%25"),"~","%7E"),"*","%2A"),"?","%3F")))=0,"Unknown type",IF(COUNTIFS('Rules'!$G$7:$G$26,"="&amp;(SUBSTITUTE(SUBSTITUTE(SUBSTITUTE(SUBSTITUTE("type:"&amp;B1652,"%","%25"),"~","%7E"),"*","%2A"),"?","%3F")))&gt;1,"Duplicate type",IF(INDEX('Rules'!$F$7:$F$26,MATCH(SUBSTITUTE(SUBSTITUTE(SUBSTITUTE(SUBSTITUTE("type:"&amp;B1652,"%","%25"),"~","%7E"),"*","%2A"),"?","%3F"),'Rules'!$G$7:$G$26,0))&lt;&gt;"",INDEX('Rules'!$F$7:$F$26,MATCH(SUBSTITUTE(SUBSTITUTE(SUBSTITUTE(SUBSTITUTE("type:"&amp;B1652,"%","%25"),"~","%7E"),"*","%2A"),"?","%3F"),'Rules'!$G$7:$G$26,0)),IF(AND(C1652&lt;&gt;"",C1652&lt;&gt;INDEX('Rules'!$B$7:$B$26,MATCH(SUBSTITUTE(SUBSTITUTE(SUBSTITUTE(SUBSTITUTE("type:"&amp;B1652,"%","%25"),"~","%7E"),"*","%2A"),"?","%3F"),'Rules'!$G$7:$G$26,0))),"Unit mismatch",IF(IF(NOT(ISNUMBER(D1652)),TRUE,OR(D1652&lt;0,D1652&gt;999999999,ROUND(D1652,3)&lt;&gt;D1652)),"Invalid current reading",IF(AND(E1652&lt;&gt;"",IF(NOT(ISNUMBER(E1652)),TRUE,OR(E1652&lt;0,E1652&gt;999999999,ROUND(E1652,3)&lt;&gt;E1652))),"Invalid previous reading",IF(IF(NOT(ISNUMBER(F1652)),TRUE,OR(F1652&lt;0,F1652&gt;999999999,ROUND(F1652,3)&lt;&gt;F1652)),"Invalid last service",IF(AND(E1652&lt;&gt;"",D1652&lt;E1652),"Decreased reading",IF(F1652&gt;D1652,"Last service above current","")))))))))))))</x:f>
      </x:c>
      <x:c r="L1652" s="6" t="str">
        <x:f>IF(AND(NOT(COUNTA(A1652:F1652)=0),K1652=""),INDEX('Rules'!$C$7:$C$26,MATCH(SUBSTITUTE(SUBSTITUTE(SUBSTITUTE(SUBSTITUTE("type:"&amp;B1652,"%","%25"),"~","%7E"),"*","%2A"),"?","%3F"),'Rules'!$G$7:$G$26,0)),"")</x:f>
      </x:c>
      <x:c r="M1652" s="6" t="str">
        <x:f>IF(AND(NOT(COUNTA(A1652:F1652)=0),K1652=""),INDEX('Rules'!$D$7:$D$26,MATCH(SUBSTITUTE(SUBSTITUTE(SUBSTITUTE(SUBSTITUTE("type:"&amp;B1652,"%","%25"),"~","%7E"),"*","%2A"),"?","%3F"),'Rules'!$G$7:$G$26,0)),"")</x:f>
      </x:c>
      <x:c r="N1652" s="5" t="str">
        <x:f>IF(COUNTA(A1652:F1652)=0,"",SUBSTITUTE(SUBSTITUTE(SUBSTITUTE(SUBSTITUTE("id:"&amp;A1652,"%","%25"),"~","%7E"),"*","%2A"),"?","%3F"))</x:f>
      </x:c>
    </x:row>
    <x:row r="1653" ht="22" customHeight="1">
      <x:c r="A1653" s="3"/>
      <x:c r="B1653" s="3"/>
      <x:c r="C1653" s="3"/>
      <x:c r="D1653" s="4"/>
      <x:c r="E1653" s="4"/>
      <x:c r="F1653" s="4"/>
      <x:c r="G1653" s="5" t="str">
        <x:f>IF(COUNTA(A1653:F1653)=0,"",IF(K1653&lt;&gt;"","Review",IF(I1653&lt;0,"Overdue",IF(I1653=0,"Due now",IF(I1653&lt;=M1653,"Due soon","Not due")))))</x:f>
      </x:c>
      <x:c r="H1653" s="5" t="str">
        <x:f>IF(OR(COUNTA(A1653:F1653)=0,COUNTIFS('Rules'!$G$7:$G$26,"="&amp;(SUBSTITUTE(SUBSTITUTE(SUBSTITUTE(SUBSTITUTE("type:"&amp;B1653,"%","%25"),"~","%7E"),"*","%2A"),"?","%3F")))&lt;&gt;1),"",IF(OR(INDEX('Rules'!$B$7:$B$26,MATCH(SUBSTITUTE(SUBSTITUTE(SUBSTITUTE(SUBSTITUTE("type:"&amp;B1653,"%","%25"),"~","%7E"),"*","%2A"),"?","%3F"),'Rules'!$G$7:$G$26,0))="hours",INDEX('Rules'!$B$7:$B$26,MATCH(SUBSTITUTE(SUBSTITUTE(SUBSTITUTE(SUBSTITUTE("type:"&amp;B1653,"%","%25"),"~","%7E"),"*","%2A"),"?","%3F"),'Rules'!$G$7:$G$26,0))="km"),INDEX('Rules'!$B$7:$B$26,MATCH(SUBSTITUTE(SUBSTITUTE(SUBSTITUTE(SUBSTITUTE("type:"&amp;B1653,"%","%25"),"~","%7E"),"*","%2A"),"?","%3F"),'Rules'!$G$7:$G$26,0)),""))</x:f>
      </x:c>
      <x:c r="I1653" s="6" t="str">
        <x:f>IF(AND(NOT(COUNTA(A1653:F1653)=0),K1653=""),ROUND(J1653-D1653,3),"")</x:f>
      </x:c>
      <x:c r="J1653" s="6" t="str">
        <x:f>IF(AND(NOT(COUNTA(A1653:F1653)=0),K1653=""),ROUND(F1653+L1653,3),"")</x:f>
      </x:c>
      <x:c r="K1653" s="5" t="str">
        <x:f>IF(COUNTA(A1653:F1653)=0,"",IF(A1653="","Missing equipment ID",IF(COUNTIFS($N$8:$N$2007,"="&amp;N1653)&gt;1,"Duplicate equipment ID",IF(B1653="","Missing type",IF(COUNTIFS('Rules'!$G$7:$G$26,"="&amp;(SUBSTITUTE(SUBSTITUTE(SUBSTITUTE(SUBSTITUTE("type:"&amp;B1653,"%","%25"),"~","%7E"),"*","%2A"),"?","%3F")))=0,"Unknown type",IF(COUNTIFS('Rules'!$G$7:$G$26,"="&amp;(SUBSTITUTE(SUBSTITUTE(SUBSTITUTE(SUBSTITUTE("type:"&amp;B1653,"%","%25"),"~","%7E"),"*","%2A"),"?","%3F")))&gt;1,"Duplicate type",IF(INDEX('Rules'!$F$7:$F$26,MATCH(SUBSTITUTE(SUBSTITUTE(SUBSTITUTE(SUBSTITUTE("type:"&amp;B1653,"%","%25"),"~","%7E"),"*","%2A"),"?","%3F"),'Rules'!$G$7:$G$26,0))&lt;&gt;"",INDEX('Rules'!$F$7:$F$26,MATCH(SUBSTITUTE(SUBSTITUTE(SUBSTITUTE(SUBSTITUTE("type:"&amp;B1653,"%","%25"),"~","%7E"),"*","%2A"),"?","%3F"),'Rules'!$G$7:$G$26,0)),IF(AND(C1653&lt;&gt;"",C1653&lt;&gt;INDEX('Rules'!$B$7:$B$26,MATCH(SUBSTITUTE(SUBSTITUTE(SUBSTITUTE(SUBSTITUTE("type:"&amp;B1653,"%","%25"),"~","%7E"),"*","%2A"),"?","%3F"),'Rules'!$G$7:$G$26,0))),"Unit mismatch",IF(IF(NOT(ISNUMBER(D1653)),TRUE,OR(D1653&lt;0,D1653&gt;999999999,ROUND(D1653,3)&lt;&gt;D1653)),"Invalid current reading",IF(AND(E1653&lt;&gt;"",IF(NOT(ISNUMBER(E1653)),TRUE,OR(E1653&lt;0,E1653&gt;999999999,ROUND(E1653,3)&lt;&gt;E1653))),"Invalid previous reading",IF(IF(NOT(ISNUMBER(F1653)),TRUE,OR(F1653&lt;0,F1653&gt;999999999,ROUND(F1653,3)&lt;&gt;F1653)),"Invalid last service",IF(AND(E1653&lt;&gt;"",D1653&lt;E1653),"Decreased reading",IF(F1653&gt;D1653,"Last service above current","")))))))))))))</x:f>
      </x:c>
      <x:c r="L1653" s="6" t="str">
        <x:f>IF(AND(NOT(COUNTA(A1653:F1653)=0),K1653=""),INDEX('Rules'!$C$7:$C$26,MATCH(SUBSTITUTE(SUBSTITUTE(SUBSTITUTE(SUBSTITUTE("type:"&amp;B1653,"%","%25"),"~","%7E"),"*","%2A"),"?","%3F"),'Rules'!$G$7:$G$26,0)),"")</x:f>
      </x:c>
      <x:c r="M1653" s="6" t="str">
        <x:f>IF(AND(NOT(COUNTA(A1653:F1653)=0),K1653=""),INDEX('Rules'!$D$7:$D$26,MATCH(SUBSTITUTE(SUBSTITUTE(SUBSTITUTE(SUBSTITUTE("type:"&amp;B1653,"%","%25"),"~","%7E"),"*","%2A"),"?","%3F"),'Rules'!$G$7:$G$26,0)),"")</x:f>
      </x:c>
      <x:c r="N1653" s="5" t="str">
        <x:f>IF(COUNTA(A1653:F1653)=0,"",SUBSTITUTE(SUBSTITUTE(SUBSTITUTE(SUBSTITUTE("id:"&amp;A1653,"%","%25"),"~","%7E"),"*","%2A"),"?","%3F"))</x:f>
      </x:c>
    </x:row>
    <x:row r="1654" ht="22" customHeight="1">
      <x:c r="A1654" s="3"/>
      <x:c r="B1654" s="3"/>
      <x:c r="C1654" s="3"/>
      <x:c r="D1654" s="4"/>
      <x:c r="E1654" s="4"/>
      <x:c r="F1654" s="4"/>
      <x:c r="G1654" s="5" t="str">
        <x:f>IF(COUNTA(A1654:F1654)=0,"",IF(K1654&lt;&gt;"","Review",IF(I1654&lt;0,"Overdue",IF(I1654=0,"Due now",IF(I1654&lt;=M1654,"Due soon","Not due")))))</x:f>
      </x:c>
      <x:c r="H1654" s="5" t="str">
        <x:f>IF(OR(COUNTA(A1654:F1654)=0,COUNTIFS('Rules'!$G$7:$G$26,"="&amp;(SUBSTITUTE(SUBSTITUTE(SUBSTITUTE(SUBSTITUTE("type:"&amp;B1654,"%","%25"),"~","%7E"),"*","%2A"),"?","%3F")))&lt;&gt;1),"",IF(OR(INDEX('Rules'!$B$7:$B$26,MATCH(SUBSTITUTE(SUBSTITUTE(SUBSTITUTE(SUBSTITUTE("type:"&amp;B1654,"%","%25"),"~","%7E"),"*","%2A"),"?","%3F"),'Rules'!$G$7:$G$26,0))="hours",INDEX('Rules'!$B$7:$B$26,MATCH(SUBSTITUTE(SUBSTITUTE(SUBSTITUTE(SUBSTITUTE("type:"&amp;B1654,"%","%25"),"~","%7E"),"*","%2A"),"?","%3F"),'Rules'!$G$7:$G$26,0))="km"),INDEX('Rules'!$B$7:$B$26,MATCH(SUBSTITUTE(SUBSTITUTE(SUBSTITUTE(SUBSTITUTE("type:"&amp;B1654,"%","%25"),"~","%7E"),"*","%2A"),"?","%3F"),'Rules'!$G$7:$G$26,0)),""))</x:f>
      </x:c>
      <x:c r="I1654" s="6" t="str">
        <x:f>IF(AND(NOT(COUNTA(A1654:F1654)=0),K1654=""),ROUND(J1654-D1654,3),"")</x:f>
      </x:c>
      <x:c r="J1654" s="6" t="str">
        <x:f>IF(AND(NOT(COUNTA(A1654:F1654)=0),K1654=""),ROUND(F1654+L1654,3),"")</x:f>
      </x:c>
      <x:c r="K1654" s="5" t="str">
        <x:f>IF(COUNTA(A1654:F1654)=0,"",IF(A1654="","Missing equipment ID",IF(COUNTIFS($N$8:$N$2007,"="&amp;N1654)&gt;1,"Duplicate equipment ID",IF(B1654="","Missing type",IF(COUNTIFS('Rules'!$G$7:$G$26,"="&amp;(SUBSTITUTE(SUBSTITUTE(SUBSTITUTE(SUBSTITUTE("type:"&amp;B1654,"%","%25"),"~","%7E"),"*","%2A"),"?","%3F")))=0,"Unknown type",IF(COUNTIFS('Rules'!$G$7:$G$26,"="&amp;(SUBSTITUTE(SUBSTITUTE(SUBSTITUTE(SUBSTITUTE("type:"&amp;B1654,"%","%25"),"~","%7E"),"*","%2A"),"?","%3F")))&gt;1,"Duplicate type",IF(INDEX('Rules'!$F$7:$F$26,MATCH(SUBSTITUTE(SUBSTITUTE(SUBSTITUTE(SUBSTITUTE("type:"&amp;B1654,"%","%25"),"~","%7E"),"*","%2A"),"?","%3F"),'Rules'!$G$7:$G$26,0))&lt;&gt;"",INDEX('Rules'!$F$7:$F$26,MATCH(SUBSTITUTE(SUBSTITUTE(SUBSTITUTE(SUBSTITUTE("type:"&amp;B1654,"%","%25"),"~","%7E"),"*","%2A"),"?","%3F"),'Rules'!$G$7:$G$26,0)),IF(AND(C1654&lt;&gt;"",C1654&lt;&gt;INDEX('Rules'!$B$7:$B$26,MATCH(SUBSTITUTE(SUBSTITUTE(SUBSTITUTE(SUBSTITUTE("type:"&amp;B1654,"%","%25"),"~","%7E"),"*","%2A"),"?","%3F"),'Rules'!$G$7:$G$26,0))),"Unit mismatch",IF(IF(NOT(ISNUMBER(D1654)),TRUE,OR(D1654&lt;0,D1654&gt;999999999,ROUND(D1654,3)&lt;&gt;D1654)),"Invalid current reading",IF(AND(E1654&lt;&gt;"",IF(NOT(ISNUMBER(E1654)),TRUE,OR(E1654&lt;0,E1654&gt;999999999,ROUND(E1654,3)&lt;&gt;E1654))),"Invalid previous reading",IF(IF(NOT(ISNUMBER(F1654)),TRUE,OR(F1654&lt;0,F1654&gt;999999999,ROUND(F1654,3)&lt;&gt;F1654)),"Invalid last service",IF(AND(E1654&lt;&gt;"",D1654&lt;E1654),"Decreased reading",IF(F1654&gt;D1654,"Last service above current","")))))))))))))</x:f>
      </x:c>
      <x:c r="L1654" s="6" t="str">
        <x:f>IF(AND(NOT(COUNTA(A1654:F1654)=0),K1654=""),INDEX('Rules'!$C$7:$C$26,MATCH(SUBSTITUTE(SUBSTITUTE(SUBSTITUTE(SUBSTITUTE("type:"&amp;B1654,"%","%25"),"~","%7E"),"*","%2A"),"?","%3F"),'Rules'!$G$7:$G$26,0)),"")</x:f>
      </x:c>
      <x:c r="M1654" s="6" t="str">
        <x:f>IF(AND(NOT(COUNTA(A1654:F1654)=0),K1654=""),INDEX('Rules'!$D$7:$D$26,MATCH(SUBSTITUTE(SUBSTITUTE(SUBSTITUTE(SUBSTITUTE("type:"&amp;B1654,"%","%25"),"~","%7E"),"*","%2A"),"?","%3F"),'Rules'!$G$7:$G$26,0)),"")</x:f>
      </x:c>
      <x:c r="N1654" s="5" t="str">
        <x:f>IF(COUNTA(A1654:F1654)=0,"",SUBSTITUTE(SUBSTITUTE(SUBSTITUTE(SUBSTITUTE("id:"&amp;A1654,"%","%25"),"~","%7E"),"*","%2A"),"?","%3F"))</x:f>
      </x:c>
    </x:row>
    <x:row r="1655" ht="22" customHeight="1">
      <x:c r="A1655" s="3"/>
      <x:c r="B1655" s="3"/>
      <x:c r="C1655" s="3"/>
      <x:c r="D1655" s="4"/>
      <x:c r="E1655" s="4"/>
      <x:c r="F1655" s="4"/>
      <x:c r="G1655" s="5" t="str">
        <x:f>IF(COUNTA(A1655:F1655)=0,"",IF(K1655&lt;&gt;"","Review",IF(I1655&lt;0,"Overdue",IF(I1655=0,"Due now",IF(I1655&lt;=M1655,"Due soon","Not due")))))</x:f>
      </x:c>
      <x:c r="H1655" s="5" t="str">
        <x:f>IF(OR(COUNTA(A1655:F1655)=0,COUNTIFS('Rules'!$G$7:$G$26,"="&amp;(SUBSTITUTE(SUBSTITUTE(SUBSTITUTE(SUBSTITUTE("type:"&amp;B1655,"%","%25"),"~","%7E"),"*","%2A"),"?","%3F")))&lt;&gt;1),"",IF(OR(INDEX('Rules'!$B$7:$B$26,MATCH(SUBSTITUTE(SUBSTITUTE(SUBSTITUTE(SUBSTITUTE("type:"&amp;B1655,"%","%25"),"~","%7E"),"*","%2A"),"?","%3F"),'Rules'!$G$7:$G$26,0))="hours",INDEX('Rules'!$B$7:$B$26,MATCH(SUBSTITUTE(SUBSTITUTE(SUBSTITUTE(SUBSTITUTE("type:"&amp;B1655,"%","%25"),"~","%7E"),"*","%2A"),"?","%3F"),'Rules'!$G$7:$G$26,0))="km"),INDEX('Rules'!$B$7:$B$26,MATCH(SUBSTITUTE(SUBSTITUTE(SUBSTITUTE(SUBSTITUTE("type:"&amp;B1655,"%","%25"),"~","%7E"),"*","%2A"),"?","%3F"),'Rules'!$G$7:$G$26,0)),""))</x:f>
      </x:c>
      <x:c r="I1655" s="6" t="str">
        <x:f>IF(AND(NOT(COUNTA(A1655:F1655)=0),K1655=""),ROUND(J1655-D1655,3),"")</x:f>
      </x:c>
      <x:c r="J1655" s="6" t="str">
        <x:f>IF(AND(NOT(COUNTA(A1655:F1655)=0),K1655=""),ROUND(F1655+L1655,3),"")</x:f>
      </x:c>
      <x:c r="K1655" s="5" t="str">
        <x:f>IF(COUNTA(A1655:F1655)=0,"",IF(A1655="","Missing equipment ID",IF(COUNTIFS($N$8:$N$2007,"="&amp;N1655)&gt;1,"Duplicate equipment ID",IF(B1655="","Missing type",IF(COUNTIFS('Rules'!$G$7:$G$26,"="&amp;(SUBSTITUTE(SUBSTITUTE(SUBSTITUTE(SUBSTITUTE("type:"&amp;B1655,"%","%25"),"~","%7E"),"*","%2A"),"?","%3F")))=0,"Unknown type",IF(COUNTIFS('Rules'!$G$7:$G$26,"="&amp;(SUBSTITUTE(SUBSTITUTE(SUBSTITUTE(SUBSTITUTE("type:"&amp;B1655,"%","%25"),"~","%7E"),"*","%2A"),"?","%3F")))&gt;1,"Duplicate type",IF(INDEX('Rules'!$F$7:$F$26,MATCH(SUBSTITUTE(SUBSTITUTE(SUBSTITUTE(SUBSTITUTE("type:"&amp;B1655,"%","%25"),"~","%7E"),"*","%2A"),"?","%3F"),'Rules'!$G$7:$G$26,0))&lt;&gt;"",INDEX('Rules'!$F$7:$F$26,MATCH(SUBSTITUTE(SUBSTITUTE(SUBSTITUTE(SUBSTITUTE("type:"&amp;B1655,"%","%25"),"~","%7E"),"*","%2A"),"?","%3F"),'Rules'!$G$7:$G$26,0)),IF(AND(C1655&lt;&gt;"",C1655&lt;&gt;INDEX('Rules'!$B$7:$B$26,MATCH(SUBSTITUTE(SUBSTITUTE(SUBSTITUTE(SUBSTITUTE("type:"&amp;B1655,"%","%25"),"~","%7E"),"*","%2A"),"?","%3F"),'Rules'!$G$7:$G$26,0))),"Unit mismatch",IF(IF(NOT(ISNUMBER(D1655)),TRUE,OR(D1655&lt;0,D1655&gt;999999999,ROUND(D1655,3)&lt;&gt;D1655)),"Invalid current reading",IF(AND(E1655&lt;&gt;"",IF(NOT(ISNUMBER(E1655)),TRUE,OR(E1655&lt;0,E1655&gt;999999999,ROUND(E1655,3)&lt;&gt;E1655))),"Invalid previous reading",IF(IF(NOT(ISNUMBER(F1655)),TRUE,OR(F1655&lt;0,F1655&gt;999999999,ROUND(F1655,3)&lt;&gt;F1655)),"Invalid last service",IF(AND(E1655&lt;&gt;"",D1655&lt;E1655),"Decreased reading",IF(F1655&gt;D1655,"Last service above current","")))))))))))))</x:f>
      </x:c>
      <x:c r="L1655" s="6" t="str">
        <x:f>IF(AND(NOT(COUNTA(A1655:F1655)=0),K1655=""),INDEX('Rules'!$C$7:$C$26,MATCH(SUBSTITUTE(SUBSTITUTE(SUBSTITUTE(SUBSTITUTE("type:"&amp;B1655,"%","%25"),"~","%7E"),"*","%2A"),"?","%3F"),'Rules'!$G$7:$G$26,0)),"")</x:f>
      </x:c>
      <x:c r="M1655" s="6" t="str">
        <x:f>IF(AND(NOT(COUNTA(A1655:F1655)=0),K1655=""),INDEX('Rules'!$D$7:$D$26,MATCH(SUBSTITUTE(SUBSTITUTE(SUBSTITUTE(SUBSTITUTE("type:"&amp;B1655,"%","%25"),"~","%7E"),"*","%2A"),"?","%3F"),'Rules'!$G$7:$G$26,0)),"")</x:f>
      </x:c>
      <x:c r="N1655" s="5" t="str">
        <x:f>IF(COUNTA(A1655:F1655)=0,"",SUBSTITUTE(SUBSTITUTE(SUBSTITUTE(SUBSTITUTE("id:"&amp;A1655,"%","%25"),"~","%7E"),"*","%2A"),"?","%3F"))</x:f>
      </x:c>
    </x:row>
    <x:row r="1656" ht="22" customHeight="1">
      <x:c r="A1656" s="3"/>
      <x:c r="B1656" s="3"/>
      <x:c r="C1656" s="3"/>
      <x:c r="D1656" s="4"/>
      <x:c r="E1656" s="4"/>
      <x:c r="F1656" s="4"/>
      <x:c r="G1656" s="5" t="str">
        <x:f>IF(COUNTA(A1656:F1656)=0,"",IF(K1656&lt;&gt;"","Review",IF(I1656&lt;0,"Overdue",IF(I1656=0,"Due now",IF(I1656&lt;=M1656,"Due soon","Not due")))))</x:f>
      </x:c>
      <x:c r="H1656" s="5" t="str">
        <x:f>IF(OR(COUNTA(A1656:F1656)=0,COUNTIFS('Rules'!$G$7:$G$26,"="&amp;(SUBSTITUTE(SUBSTITUTE(SUBSTITUTE(SUBSTITUTE("type:"&amp;B1656,"%","%25"),"~","%7E"),"*","%2A"),"?","%3F")))&lt;&gt;1),"",IF(OR(INDEX('Rules'!$B$7:$B$26,MATCH(SUBSTITUTE(SUBSTITUTE(SUBSTITUTE(SUBSTITUTE("type:"&amp;B1656,"%","%25"),"~","%7E"),"*","%2A"),"?","%3F"),'Rules'!$G$7:$G$26,0))="hours",INDEX('Rules'!$B$7:$B$26,MATCH(SUBSTITUTE(SUBSTITUTE(SUBSTITUTE(SUBSTITUTE("type:"&amp;B1656,"%","%25"),"~","%7E"),"*","%2A"),"?","%3F"),'Rules'!$G$7:$G$26,0))="km"),INDEX('Rules'!$B$7:$B$26,MATCH(SUBSTITUTE(SUBSTITUTE(SUBSTITUTE(SUBSTITUTE("type:"&amp;B1656,"%","%25"),"~","%7E"),"*","%2A"),"?","%3F"),'Rules'!$G$7:$G$26,0)),""))</x:f>
      </x:c>
      <x:c r="I1656" s="6" t="str">
        <x:f>IF(AND(NOT(COUNTA(A1656:F1656)=0),K1656=""),ROUND(J1656-D1656,3),"")</x:f>
      </x:c>
      <x:c r="J1656" s="6" t="str">
        <x:f>IF(AND(NOT(COUNTA(A1656:F1656)=0),K1656=""),ROUND(F1656+L1656,3),"")</x:f>
      </x:c>
      <x:c r="K1656" s="5" t="str">
        <x:f>IF(COUNTA(A1656:F1656)=0,"",IF(A1656="","Missing equipment ID",IF(COUNTIFS($N$8:$N$2007,"="&amp;N1656)&gt;1,"Duplicate equipment ID",IF(B1656="","Missing type",IF(COUNTIFS('Rules'!$G$7:$G$26,"="&amp;(SUBSTITUTE(SUBSTITUTE(SUBSTITUTE(SUBSTITUTE("type:"&amp;B1656,"%","%25"),"~","%7E"),"*","%2A"),"?","%3F")))=0,"Unknown type",IF(COUNTIFS('Rules'!$G$7:$G$26,"="&amp;(SUBSTITUTE(SUBSTITUTE(SUBSTITUTE(SUBSTITUTE("type:"&amp;B1656,"%","%25"),"~","%7E"),"*","%2A"),"?","%3F")))&gt;1,"Duplicate type",IF(INDEX('Rules'!$F$7:$F$26,MATCH(SUBSTITUTE(SUBSTITUTE(SUBSTITUTE(SUBSTITUTE("type:"&amp;B1656,"%","%25"),"~","%7E"),"*","%2A"),"?","%3F"),'Rules'!$G$7:$G$26,0))&lt;&gt;"",INDEX('Rules'!$F$7:$F$26,MATCH(SUBSTITUTE(SUBSTITUTE(SUBSTITUTE(SUBSTITUTE("type:"&amp;B1656,"%","%25"),"~","%7E"),"*","%2A"),"?","%3F"),'Rules'!$G$7:$G$26,0)),IF(AND(C1656&lt;&gt;"",C1656&lt;&gt;INDEX('Rules'!$B$7:$B$26,MATCH(SUBSTITUTE(SUBSTITUTE(SUBSTITUTE(SUBSTITUTE("type:"&amp;B1656,"%","%25"),"~","%7E"),"*","%2A"),"?","%3F"),'Rules'!$G$7:$G$26,0))),"Unit mismatch",IF(IF(NOT(ISNUMBER(D1656)),TRUE,OR(D1656&lt;0,D1656&gt;999999999,ROUND(D1656,3)&lt;&gt;D1656)),"Invalid current reading",IF(AND(E1656&lt;&gt;"",IF(NOT(ISNUMBER(E1656)),TRUE,OR(E1656&lt;0,E1656&gt;999999999,ROUND(E1656,3)&lt;&gt;E1656))),"Invalid previous reading",IF(IF(NOT(ISNUMBER(F1656)),TRUE,OR(F1656&lt;0,F1656&gt;999999999,ROUND(F1656,3)&lt;&gt;F1656)),"Invalid last service",IF(AND(E1656&lt;&gt;"",D1656&lt;E1656),"Decreased reading",IF(F1656&gt;D1656,"Last service above current","")))))))))))))</x:f>
      </x:c>
      <x:c r="L1656" s="6" t="str">
        <x:f>IF(AND(NOT(COUNTA(A1656:F1656)=0),K1656=""),INDEX('Rules'!$C$7:$C$26,MATCH(SUBSTITUTE(SUBSTITUTE(SUBSTITUTE(SUBSTITUTE("type:"&amp;B1656,"%","%25"),"~","%7E"),"*","%2A"),"?","%3F"),'Rules'!$G$7:$G$26,0)),"")</x:f>
      </x:c>
      <x:c r="M1656" s="6" t="str">
        <x:f>IF(AND(NOT(COUNTA(A1656:F1656)=0),K1656=""),INDEX('Rules'!$D$7:$D$26,MATCH(SUBSTITUTE(SUBSTITUTE(SUBSTITUTE(SUBSTITUTE("type:"&amp;B1656,"%","%25"),"~","%7E"),"*","%2A"),"?","%3F"),'Rules'!$G$7:$G$26,0)),"")</x:f>
      </x:c>
      <x:c r="N1656" s="5" t="str">
        <x:f>IF(COUNTA(A1656:F1656)=0,"",SUBSTITUTE(SUBSTITUTE(SUBSTITUTE(SUBSTITUTE("id:"&amp;A1656,"%","%25"),"~","%7E"),"*","%2A"),"?","%3F"))</x:f>
      </x:c>
    </x:row>
    <x:row r="1657" ht="22" customHeight="1">
      <x:c r="A1657" s="3"/>
      <x:c r="B1657" s="3"/>
      <x:c r="C1657" s="3"/>
      <x:c r="D1657" s="4"/>
      <x:c r="E1657" s="4"/>
      <x:c r="F1657" s="4"/>
      <x:c r="G1657" s="5" t="str">
        <x:f>IF(COUNTA(A1657:F1657)=0,"",IF(K1657&lt;&gt;"","Review",IF(I1657&lt;0,"Overdue",IF(I1657=0,"Due now",IF(I1657&lt;=M1657,"Due soon","Not due")))))</x:f>
      </x:c>
      <x:c r="H1657" s="5" t="str">
        <x:f>IF(OR(COUNTA(A1657:F1657)=0,COUNTIFS('Rules'!$G$7:$G$26,"="&amp;(SUBSTITUTE(SUBSTITUTE(SUBSTITUTE(SUBSTITUTE("type:"&amp;B1657,"%","%25"),"~","%7E"),"*","%2A"),"?","%3F")))&lt;&gt;1),"",IF(OR(INDEX('Rules'!$B$7:$B$26,MATCH(SUBSTITUTE(SUBSTITUTE(SUBSTITUTE(SUBSTITUTE("type:"&amp;B1657,"%","%25"),"~","%7E"),"*","%2A"),"?","%3F"),'Rules'!$G$7:$G$26,0))="hours",INDEX('Rules'!$B$7:$B$26,MATCH(SUBSTITUTE(SUBSTITUTE(SUBSTITUTE(SUBSTITUTE("type:"&amp;B1657,"%","%25"),"~","%7E"),"*","%2A"),"?","%3F"),'Rules'!$G$7:$G$26,0))="km"),INDEX('Rules'!$B$7:$B$26,MATCH(SUBSTITUTE(SUBSTITUTE(SUBSTITUTE(SUBSTITUTE("type:"&amp;B1657,"%","%25"),"~","%7E"),"*","%2A"),"?","%3F"),'Rules'!$G$7:$G$26,0)),""))</x:f>
      </x:c>
      <x:c r="I1657" s="6" t="str">
        <x:f>IF(AND(NOT(COUNTA(A1657:F1657)=0),K1657=""),ROUND(J1657-D1657,3),"")</x:f>
      </x:c>
      <x:c r="J1657" s="6" t="str">
        <x:f>IF(AND(NOT(COUNTA(A1657:F1657)=0),K1657=""),ROUND(F1657+L1657,3),"")</x:f>
      </x:c>
      <x:c r="K1657" s="5" t="str">
        <x:f>IF(COUNTA(A1657:F1657)=0,"",IF(A1657="","Missing equipment ID",IF(COUNTIFS($N$8:$N$2007,"="&amp;N1657)&gt;1,"Duplicate equipment ID",IF(B1657="","Missing type",IF(COUNTIFS('Rules'!$G$7:$G$26,"="&amp;(SUBSTITUTE(SUBSTITUTE(SUBSTITUTE(SUBSTITUTE("type:"&amp;B1657,"%","%25"),"~","%7E"),"*","%2A"),"?","%3F")))=0,"Unknown type",IF(COUNTIFS('Rules'!$G$7:$G$26,"="&amp;(SUBSTITUTE(SUBSTITUTE(SUBSTITUTE(SUBSTITUTE("type:"&amp;B1657,"%","%25"),"~","%7E"),"*","%2A"),"?","%3F")))&gt;1,"Duplicate type",IF(INDEX('Rules'!$F$7:$F$26,MATCH(SUBSTITUTE(SUBSTITUTE(SUBSTITUTE(SUBSTITUTE("type:"&amp;B1657,"%","%25"),"~","%7E"),"*","%2A"),"?","%3F"),'Rules'!$G$7:$G$26,0))&lt;&gt;"",INDEX('Rules'!$F$7:$F$26,MATCH(SUBSTITUTE(SUBSTITUTE(SUBSTITUTE(SUBSTITUTE("type:"&amp;B1657,"%","%25"),"~","%7E"),"*","%2A"),"?","%3F"),'Rules'!$G$7:$G$26,0)),IF(AND(C1657&lt;&gt;"",C1657&lt;&gt;INDEX('Rules'!$B$7:$B$26,MATCH(SUBSTITUTE(SUBSTITUTE(SUBSTITUTE(SUBSTITUTE("type:"&amp;B1657,"%","%25"),"~","%7E"),"*","%2A"),"?","%3F"),'Rules'!$G$7:$G$26,0))),"Unit mismatch",IF(IF(NOT(ISNUMBER(D1657)),TRUE,OR(D1657&lt;0,D1657&gt;999999999,ROUND(D1657,3)&lt;&gt;D1657)),"Invalid current reading",IF(AND(E1657&lt;&gt;"",IF(NOT(ISNUMBER(E1657)),TRUE,OR(E1657&lt;0,E1657&gt;999999999,ROUND(E1657,3)&lt;&gt;E1657))),"Invalid previous reading",IF(IF(NOT(ISNUMBER(F1657)),TRUE,OR(F1657&lt;0,F1657&gt;999999999,ROUND(F1657,3)&lt;&gt;F1657)),"Invalid last service",IF(AND(E1657&lt;&gt;"",D1657&lt;E1657),"Decreased reading",IF(F1657&gt;D1657,"Last service above current","")))))))))))))</x:f>
      </x:c>
      <x:c r="L1657" s="6" t="str">
        <x:f>IF(AND(NOT(COUNTA(A1657:F1657)=0),K1657=""),INDEX('Rules'!$C$7:$C$26,MATCH(SUBSTITUTE(SUBSTITUTE(SUBSTITUTE(SUBSTITUTE("type:"&amp;B1657,"%","%25"),"~","%7E"),"*","%2A"),"?","%3F"),'Rules'!$G$7:$G$26,0)),"")</x:f>
      </x:c>
      <x:c r="M1657" s="6" t="str">
        <x:f>IF(AND(NOT(COUNTA(A1657:F1657)=0),K1657=""),INDEX('Rules'!$D$7:$D$26,MATCH(SUBSTITUTE(SUBSTITUTE(SUBSTITUTE(SUBSTITUTE("type:"&amp;B1657,"%","%25"),"~","%7E"),"*","%2A"),"?","%3F"),'Rules'!$G$7:$G$26,0)),"")</x:f>
      </x:c>
      <x:c r="N1657" s="5" t="str">
        <x:f>IF(COUNTA(A1657:F1657)=0,"",SUBSTITUTE(SUBSTITUTE(SUBSTITUTE(SUBSTITUTE("id:"&amp;A1657,"%","%25"),"~","%7E"),"*","%2A"),"?","%3F"))</x:f>
      </x:c>
    </x:row>
    <x:row r="1658" ht="22" customHeight="1">
      <x:c r="A1658" s="3"/>
      <x:c r="B1658" s="3"/>
      <x:c r="C1658" s="3"/>
      <x:c r="D1658" s="4"/>
      <x:c r="E1658" s="4"/>
      <x:c r="F1658" s="4"/>
      <x:c r="G1658" s="5" t="str">
        <x:f>IF(COUNTA(A1658:F1658)=0,"",IF(K1658&lt;&gt;"","Review",IF(I1658&lt;0,"Overdue",IF(I1658=0,"Due now",IF(I1658&lt;=M1658,"Due soon","Not due")))))</x:f>
      </x:c>
      <x:c r="H1658" s="5" t="str">
        <x:f>IF(OR(COUNTA(A1658:F1658)=0,COUNTIFS('Rules'!$G$7:$G$26,"="&amp;(SUBSTITUTE(SUBSTITUTE(SUBSTITUTE(SUBSTITUTE("type:"&amp;B1658,"%","%25"),"~","%7E"),"*","%2A"),"?","%3F")))&lt;&gt;1),"",IF(OR(INDEX('Rules'!$B$7:$B$26,MATCH(SUBSTITUTE(SUBSTITUTE(SUBSTITUTE(SUBSTITUTE("type:"&amp;B1658,"%","%25"),"~","%7E"),"*","%2A"),"?","%3F"),'Rules'!$G$7:$G$26,0))="hours",INDEX('Rules'!$B$7:$B$26,MATCH(SUBSTITUTE(SUBSTITUTE(SUBSTITUTE(SUBSTITUTE("type:"&amp;B1658,"%","%25"),"~","%7E"),"*","%2A"),"?","%3F"),'Rules'!$G$7:$G$26,0))="km"),INDEX('Rules'!$B$7:$B$26,MATCH(SUBSTITUTE(SUBSTITUTE(SUBSTITUTE(SUBSTITUTE("type:"&amp;B1658,"%","%25"),"~","%7E"),"*","%2A"),"?","%3F"),'Rules'!$G$7:$G$26,0)),""))</x:f>
      </x:c>
      <x:c r="I1658" s="6" t="str">
        <x:f>IF(AND(NOT(COUNTA(A1658:F1658)=0),K1658=""),ROUND(J1658-D1658,3),"")</x:f>
      </x:c>
      <x:c r="J1658" s="6" t="str">
        <x:f>IF(AND(NOT(COUNTA(A1658:F1658)=0),K1658=""),ROUND(F1658+L1658,3),"")</x:f>
      </x:c>
      <x:c r="K1658" s="5" t="str">
        <x:f>IF(COUNTA(A1658:F1658)=0,"",IF(A1658="","Missing equipment ID",IF(COUNTIFS($N$8:$N$2007,"="&amp;N1658)&gt;1,"Duplicate equipment ID",IF(B1658="","Missing type",IF(COUNTIFS('Rules'!$G$7:$G$26,"="&amp;(SUBSTITUTE(SUBSTITUTE(SUBSTITUTE(SUBSTITUTE("type:"&amp;B1658,"%","%25"),"~","%7E"),"*","%2A"),"?","%3F")))=0,"Unknown type",IF(COUNTIFS('Rules'!$G$7:$G$26,"="&amp;(SUBSTITUTE(SUBSTITUTE(SUBSTITUTE(SUBSTITUTE("type:"&amp;B1658,"%","%25"),"~","%7E"),"*","%2A"),"?","%3F")))&gt;1,"Duplicate type",IF(INDEX('Rules'!$F$7:$F$26,MATCH(SUBSTITUTE(SUBSTITUTE(SUBSTITUTE(SUBSTITUTE("type:"&amp;B1658,"%","%25"),"~","%7E"),"*","%2A"),"?","%3F"),'Rules'!$G$7:$G$26,0))&lt;&gt;"",INDEX('Rules'!$F$7:$F$26,MATCH(SUBSTITUTE(SUBSTITUTE(SUBSTITUTE(SUBSTITUTE("type:"&amp;B1658,"%","%25"),"~","%7E"),"*","%2A"),"?","%3F"),'Rules'!$G$7:$G$26,0)),IF(AND(C1658&lt;&gt;"",C1658&lt;&gt;INDEX('Rules'!$B$7:$B$26,MATCH(SUBSTITUTE(SUBSTITUTE(SUBSTITUTE(SUBSTITUTE("type:"&amp;B1658,"%","%25"),"~","%7E"),"*","%2A"),"?","%3F"),'Rules'!$G$7:$G$26,0))),"Unit mismatch",IF(IF(NOT(ISNUMBER(D1658)),TRUE,OR(D1658&lt;0,D1658&gt;999999999,ROUND(D1658,3)&lt;&gt;D1658)),"Invalid current reading",IF(AND(E1658&lt;&gt;"",IF(NOT(ISNUMBER(E1658)),TRUE,OR(E1658&lt;0,E1658&gt;999999999,ROUND(E1658,3)&lt;&gt;E1658))),"Invalid previous reading",IF(IF(NOT(ISNUMBER(F1658)),TRUE,OR(F1658&lt;0,F1658&gt;999999999,ROUND(F1658,3)&lt;&gt;F1658)),"Invalid last service",IF(AND(E1658&lt;&gt;"",D1658&lt;E1658),"Decreased reading",IF(F1658&gt;D1658,"Last service above current","")))))))))))))</x:f>
      </x:c>
      <x:c r="L1658" s="6" t="str">
        <x:f>IF(AND(NOT(COUNTA(A1658:F1658)=0),K1658=""),INDEX('Rules'!$C$7:$C$26,MATCH(SUBSTITUTE(SUBSTITUTE(SUBSTITUTE(SUBSTITUTE("type:"&amp;B1658,"%","%25"),"~","%7E"),"*","%2A"),"?","%3F"),'Rules'!$G$7:$G$26,0)),"")</x:f>
      </x:c>
      <x:c r="M1658" s="6" t="str">
        <x:f>IF(AND(NOT(COUNTA(A1658:F1658)=0),K1658=""),INDEX('Rules'!$D$7:$D$26,MATCH(SUBSTITUTE(SUBSTITUTE(SUBSTITUTE(SUBSTITUTE("type:"&amp;B1658,"%","%25"),"~","%7E"),"*","%2A"),"?","%3F"),'Rules'!$G$7:$G$26,0)),"")</x:f>
      </x:c>
      <x:c r="N1658" s="5" t="str">
        <x:f>IF(COUNTA(A1658:F1658)=0,"",SUBSTITUTE(SUBSTITUTE(SUBSTITUTE(SUBSTITUTE("id:"&amp;A1658,"%","%25"),"~","%7E"),"*","%2A"),"?","%3F"))</x:f>
      </x:c>
    </x:row>
    <x:row r="1659" ht="22" customHeight="1">
      <x:c r="A1659" s="3"/>
      <x:c r="B1659" s="3"/>
      <x:c r="C1659" s="3"/>
      <x:c r="D1659" s="4"/>
      <x:c r="E1659" s="4"/>
      <x:c r="F1659" s="4"/>
      <x:c r="G1659" s="5" t="str">
        <x:f>IF(COUNTA(A1659:F1659)=0,"",IF(K1659&lt;&gt;"","Review",IF(I1659&lt;0,"Overdue",IF(I1659=0,"Due now",IF(I1659&lt;=M1659,"Due soon","Not due")))))</x:f>
      </x:c>
      <x:c r="H1659" s="5" t="str">
        <x:f>IF(OR(COUNTA(A1659:F1659)=0,COUNTIFS('Rules'!$G$7:$G$26,"="&amp;(SUBSTITUTE(SUBSTITUTE(SUBSTITUTE(SUBSTITUTE("type:"&amp;B1659,"%","%25"),"~","%7E"),"*","%2A"),"?","%3F")))&lt;&gt;1),"",IF(OR(INDEX('Rules'!$B$7:$B$26,MATCH(SUBSTITUTE(SUBSTITUTE(SUBSTITUTE(SUBSTITUTE("type:"&amp;B1659,"%","%25"),"~","%7E"),"*","%2A"),"?","%3F"),'Rules'!$G$7:$G$26,0))="hours",INDEX('Rules'!$B$7:$B$26,MATCH(SUBSTITUTE(SUBSTITUTE(SUBSTITUTE(SUBSTITUTE("type:"&amp;B1659,"%","%25"),"~","%7E"),"*","%2A"),"?","%3F"),'Rules'!$G$7:$G$26,0))="km"),INDEX('Rules'!$B$7:$B$26,MATCH(SUBSTITUTE(SUBSTITUTE(SUBSTITUTE(SUBSTITUTE("type:"&amp;B1659,"%","%25"),"~","%7E"),"*","%2A"),"?","%3F"),'Rules'!$G$7:$G$26,0)),""))</x:f>
      </x:c>
      <x:c r="I1659" s="6" t="str">
        <x:f>IF(AND(NOT(COUNTA(A1659:F1659)=0),K1659=""),ROUND(J1659-D1659,3),"")</x:f>
      </x:c>
      <x:c r="J1659" s="6" t="str">
        <x:f>IF(AND(NOT(COUNTA(A1659:F1659)=0),K1659=""),ROUND(F1659+L1659,3),"")</x:f>
      </x:c>
      <x:c r="K1659" s="5" t="str">
        <x:f>IF(COUNTA(A1659:F1659)=0,"",IF(A1659="","Missing equipment ID",IF(COUNTIFS($N$8:$N$2007,"="&amp;N1659)&gt;1,"Duplicate equipment ID",IF(B1659="","Missing type",IF(COUNTIFS('Rules'!$G$7:$G$26,"="&amp;(SUBSTITUTE(SUBSTITUTE(SUBSTITUTE(SUBSTITUTE("type:"&amp;B1659,"%","%25"),"~","%7E"),"*","%2A"),"?","%3F")))=0,"Unknown type",IF(COUNTIFS('Rules'!$G$7:$G$26,"="&amp;(SUBSTITUTE(SUBSTITUTE(SUBSTITUTE(SUBSTITUTE("type:"&amp;B1659,"%","%25"),"~","%7E"),"*","%2A"),"?","%3F")))&gt;1,"Duplicate type",IF(INDEX('Rules'!$F$7:$F$26,MATCH(SUBSTITUTE(SUBSTITUTE(SUBSTITUTE(SUBSTITUTE("type:"&amp;B1659,"%","%25"),"~","%7E"),"*","%2A"),"?","%3F"),'Rules'!$G$7:$G$26,0))&lt;&gt;"",INDEX('Rules'!$F$7:$F$26,MATCH(SUBSTITUTE(SUBSTITUTE(SUBSTITUTE(SUBSTITUTE("type:"&amp;B1659,"%","%25"),"~","%7E"),"*","%2A"),"?","%3F"),'Rules'!$G$7:$G$26,0)),IF(AND(C1659&lt;&gt;"",C1659&lt;&gt;INDEX('Rules'!$B$7:$B$26,MATCH(SUBSTITUTE(SUBSTITUTE(SUBSTITUTE(SUBSTITUTE("type:"&amp;B1659,"%","%25"),"~","%7E"),"*","%2A"),"?","%3F"),'Rules'!$G$7:$G$26,0))),"Unit mismatch",IF(IF(NOT(ISNUMBER(D1659)),TRUE,OR(D1659&lt;0,D1659&gt;999999999,ROUND(D1659,3)&lt;&gt;D1659)),"Invalid current reading",IF(AND(E1659&lt;&gt;"",IF(NOT(ISNUMBER(E1659)),TRUE,OR(E1659&lt;0,E1659&gt;999999999,ROUND(E1659,3)&lt;&gt;E1659))),"Invalid previous reading",IF(IF(NOT(ISNUMBER(F1659)),TRUE,OR(F1659&lt;0,F1659&gt;999999999,ROUND(F1659,3)&lt;&gt;F1659)),"Invalid last service",IF(AND(E1659&lt;&gt;"",D1659&lt;E1659),"Decreased reading",IF(F1659&gt;D1659,"Last service above current","")))))))))))))</x:f>
      </x:c>
      <x:c r="L1659" s="6" t="str">
        <x:f>IF(AND(NOT(COUNTA(A1659:F1659)=0),K1659=""),INDEX('Rules'!$C$7:$C$26,MATCH(SUBSTITUTE(SUBSTITUTE(SUBSTITUTE(SUBSTITUTE("type:"&amp;B1659,"%","%25"),"~","%7E"),"*","%2A"),"?","%3F"),'Rules'!$G$7:$G$26,0)),"")</x:f>
      </x:c>
      <x:c r="M1659" s="6" t="str">
        <x:f>IF(AND(NOT(COUNTA(A1659:F1659)=0),K1659=""),INDEX('Rules'!$D$7:$D$26,MATCH(SUBSTITUTE(SUBSTITUTE(SUBSTITUTE(SUBSTITUTE("type:"&amp;B1659,"%","%25"),"~","%7E"),"*","%2A"),"?","%3F"),'Rules'!$G$7:$G$26,0)),"")</x:f>
      </x:c>
      <x:c r="N1659" s="5" t="str">
        <x:f>IF(COUNTA(A1659:F1659)=0,"",SUBSTITUTE(SUBSTITUTE(SUBSTITUTE(SUBSTITUTE("id:"&amp;A1659,"%","%25"),"~","%7E"),"*","%2A"),"?","%3F"))</x:f>
      </x:c>
    </x:row>
    <x:row r="1660" ht="22" customHeight="1">
      <x:c r="A1660" s="3"/>
      <x:c r="B1660" s="3"/>
      <x:c r="C1660" s="3"/>
      <x:c r="D1660" s="4"/>
      <x:c r="E1660" s="4"/>
      <x:c r="F1660" s="4"/>
      <x:c r="G1660" s="5" t="str">
        <x:f>IF(COUNTA(A1660:F1660)=0,"",IF(K1660&lt;&gt;"","Review",IF(I1660&lt;0,"Overdue",IF(I1660=0,"Due now",IF(I1660&lt;=M1660,"Due soon","Not due")))))</x:f>
      </x:c>
      <x:c r="H1660" s="5" t="str">
        <x:f>IF(OR(COUNTA(A1660:F1660)=0,COUNTIFS('Rules'!$G$7:$G$26,"="&amp;(SUBSTITUTE(SUBSTITUTE(SUBSTITUTE(SUBSTITUTE("type:"&amp;B1660,"%","%25"),"~","%7E"),"*","%2A"),"?","%3F")))&lt;&gt;1),"",IF(OR(INDEX('Rules'!$B$7:$B$26,MATCH(SUBSTITUTE(SUBSTITUTE(SUBSTITUTE(SUBSTITUTE("type:"&amp;B1660,"%","%25"),"~","%7E"),"*","%2A"),"?","%3F"),'Rules'!$G$7:$G$26,0))="hours",INDEX('Rules'!$B$7:$B$26,MATCH(SUBSTITUTE(SUBSTITUTE(SUBSTITUTE(SUBSTITUTE("type:"&amp;B1660,"%","%25"),"~","%7E"),"*","%2A"),"?","%3F"),'Rules'!$G$7:$G$26,0))="km"),INDEX('Rules'!$B$7:$B$26,MATCH(SUBSTITUTE(SUBSTITUTE(SUBSTITUTE(SUBSTITUTE("type:"&amp;B1660,"%","%25"),"~","%7E"),"*","%2A"),"?","%3F"),'Rules'!$G$7:$G$26,0)),""))</x:f>
      </x:c>
      <x:c r="I1660" s="6" t="str">
        <x:f>IF(AND(NOT(COUNTA(A1660:F1660)=0),K1660=""),ROUND(J1660-D1660,3),"")</x:f>
      </x:c>
      <x:c r="J1660" s="6" t="str">
        <x:f>IF(AND(NOT(COUNTA(A1660:F1660)=0),K1660=""),ROUND(F1660+L1660,3),"")</x:f>
      </x:c>
      <x:c r="K1660" s="5" t="str">
        <x:f>IF(COUNTA(A1660:F1660)=0,"",IF(A1660="","Missing equipment ID",IF(COUNTIFS($N$8:$N$2007,"="&amp;N1660)&gt;1,"Duplicate equipment ID",IF(B1660="","Missing type",IF(COUNTIFS('Rules'!$G$7:$G$26,"="&amp;(SUBSTITUTE(SUBSTITUTE(SUBSTITUTE(SUBSTITUTE("type:"&amp;B1660,"%","%25"),"~","%7E"),"*","%2A"),"?","%3F")))=0,"Unknown type",IF(COUNTIFS('Rules'!$G$7:$G$26,"="&amp;(SUBSTITUTE(SUBSTITUTE(SUBSTITUTE(SUBSTITUTE("type:"&amp;B1660,"%","%25"),"~","%7E"),"*","%2A"),"?","%3F")))&gt;1,"Duplicate type",IF(INDEX('Rules'!$F$7:$F$26,MATCH(SUBSTITUTE(SUBSTITUTE(SUBSTITUTE(SUBSTITUTE("type:"&amp;B1660,"%","%25"),"~","%7E"),"*","%2A"),"?","%3F"),'Rules'!$G$7:$G$26,0))&lt;&gt;"",INDEX('Rules'!$F$7:$F$26,MATCH(SUBSTITUTE(SUBSTITUTE(SUBSTITUTE(SUBSTITUTE("type:"&amp;B1660,"%","%25"),"~","%7E"),"*","%2A"),"?","%3F"),'Rules'!$G$7:$G$26,0)),IF(AND(C1660&lt;&gt;"",C1660&lt;&gt;INDEX('Rules'!$B$7:$B$26,MATCH(SUBSTITUTE(SUBSTITUTE(SUBSTITUTE(SUBSTITUTE("type:"&amp;B1660,"%","%25"),"~","%7E"),"*","%2A"),"?","%3F"),'Rules'!$G$7:$G$26,0))),"Unit mismatch",IF(IF(NOT(ISNUMBER(D1660)),TRUE,OR(D1660&lt;0,D1660&gt;999999999,ROUND(D1660,3)&lt;&gt;D1660)),"Invalid current reading",IF(AND(E1660&lt;&gt;"",IF(NOT(ISNUMBER(E1660)),TRUE,OR(E1660&lt;0,E1660&gt;999999999,ROUND(E1660,3)&lt;&gt;E1660))),"Invalid previous reading",IF(IF(NOT(ISNUMBER(F1660)),TRUE,OR(F1660&lt;0,F1660&gt;999999999,ROUND(F1660,3)&lt;&gt;F1660)),"Invalid last service",IF(AND(E1660&lt;&gt;"",D1660&lt;E1660),"Decreased reading",IF(F1660&gt;D1660,"Last service above current","")))))))))))))</x:f>
      </x:c>
      <x:c r="L1660" s="6" t="str">
        <x:f>IF(AND(NOT(COUNTA(A1660:F1660)=0),K1660=""),INDEX('Rules'!$C$7:$C$26,MATCH(SUBSTITUTE(SUBSTITUTE(SUBSTITUTE(SUBSTITUTE("type:"&amp;B1660,"%","%25"),"~","%7E"),"*","%2A"),"?","%3F"),'Rules'!$G$7:$G$26,0)),"")</x:f>
      </x:c>
      <x:c r="M1660" s="6" t="str">
        <x:f>IF(AND(NOT(COUNTA(A1660:F1660)=0),K1660=""),INDEX('Rules'!$D$7:$D$26,MATCH(SUBSTITUTE(SUBSTITUTE(SUBSTITUTE(SUBSTITUTE("type:"&amp;B1660,"%","%25"),"~","%7E"),"*","%2A"),"?","%3F"),'Rules'!$G$7:$G$26,0)),"")</x:f>
      </x:c>
      <x:c r="N1660" s="5" t="str">
        <x:f>IF(COUNTA(A1660:F1660)=0,"",SUBSTITUTE(SUBSTITUTE(SUBSTITUTE(SUBSTITUTE("id:"&amp;A1660,"%","%25"),"~","%7E"),"*","%2A"),"?","%3F"))</x:f>
      </x:c>
    </x:row>
    <x:row r="1661" ht="22" customHeight="1">
      <x:c r="A1661" s="3"/>
      <x:c r="B1661" s="3"/>
      <x:c r="C1661" s="3"/>
      <x:c r="D1661" s="4"/>
      <x:c r="E1661" s="4"/>
      <x:c r="F1661" s="4"/>
      <x:c r="G1661" s="5" t="str">
        <x:f>IF(COUNTA(A1661:F1661)=0,"",IF(K1661&lt;&gt;"","Review",IF(I1661&lt;0,"Overdue",IF(I1661=0,"Due now",IF(I1661&lt;=M1661,"Due soon","Not due")))))</x:f>
      </x:c>
      <x:c r="H1661" s="5" t="str">
        <x:f>IF(OR(COUNTA(A1661:F1661)=0,COUNTIFS('Rules'!$G$7:$G$26,"="&amp;(SUBSTITUTE(SUBSTITUTE(SUBSTITUTE(SUBSTITUTE("type:"&amp;B1661,"%","%25"),"~","%7E"),"*","%2A"),"?","%3F")))&lt;&gt;1),"",IF(OR(INDEX('Rules'!$B$7:$B$26,MATCH(SUBSTITUTE(SUBSTITUTE(SUBSTITUTE(SUBSTITUTE("type:"&amp;B1661,"%","%25"),"~","%7E"),"*","%2A"),"?","%3F"),'Rules'!$G$7:$G$26,0))="hours",INDEX('Rules'!$B$7:$B$26,MATCH(SUBSTITUTE(SUBSTITUTE(SUBSTITUTE(SUBSTITUTE("type:"&amp;B1661,"%","%25"),"~","%7E"),"*","%2A"),"?","%3F"),'Rules'!$G$7:$G$26,0))="km"),INDEX('Rules'!$B$7:$B$26,MATCH(SUBSTITUTE(SUBSTITUTE(SUBSTITUTE(SUBSTITUTE("type:"&amp;B1661,"%","%25"),"~","%7E"),"*","%2A"),"?","%3F"),'Rules'!$G$7:$G$26,0)),""))</x:f>
      </x:c>
      <x:c r="I1661" s="6" t="str">
        <x:f>IF(AND(NOT(COUNTA(A1661:F1661)=0),K1661=""),ROUND(J1661-D1661,3),"")</x:f>
      </x:c>
      <x:c r="J1661" s="6" t="str">
        <x:f>IF(AND(NOT(COUNTA(A1661:F1661)=0),K1661=""),ROUND(F1661+L1661,3),"")</x:f>
      </x:c>
      <x:c r="K1661" s="5" t="str">
        <x:f>IF(COUNTA(A1661:F1661)=0,"",IF(A1661="","Missing equipment ID",IF(COUNTIFS($N$8:$N$2007,"="&amp;N1661)&gt;1,"Duplicate equipment ID",IF(B1661="","Missing type",IF(COUNTIFS('Rules'!$G$7:$G$26,"="&amp;(SUBSTITUTE(SUBSTITUTE(SUBSTITUTE(SUBSTITUTE("type:"&amp;B1661,"%","%25"),"~","%7E"),"*","%2A"),"?","%3F")))=0,"Unknown type",IF(COUNTIFS('Rules'!$G$7:$G$26,"="&amp;(SUBSTITUTE(SUBSTITUTE(SUBSTITUTE(SUBSTITUTE("type:"&amp;B1661,"%","%25"),"~","%7E"),"*","%2A"),"?","%3F")))&gt;1,"Duplicate type",IF(INDEX('Rules'!$F$7:$F$26,MATCH(SUBSTITUTE(SUBSTITUTE(SUBSTITUTE(SUBSTITUTE("type:"&amp;B1661,"%","%25"),"~","%7E"),"*","%2A"),"?","%3F"),'Rules'!$G$7:$G$26,0))&lt;&gt;"",INDEX('Rules'!$F$7:$F$26,MATCH(SUBSTITUTE(SUBSTITUTE(SUBSTITUTE(SUBSTITUTE("type:"&amp;B1661,"%","%25"),"~","%7E"),"*","%2A"),"?","%3F"),'Rules'!$G$7:$G$26,0)),IF(AND(C1661&lt;&gt;"",C1661&lt;&gt;INDEX('Rules'!$B$7:$B$26,MATCH(SUBSTITUTE(SUBSTITUTE(SUBSTITUTE(SUBSTITUTE("type:"&amp;B1661,"%","%25"),"~","%7E"),"*","%2A"),"?","%3F"),'Rules'!$G$7:$G$26,0))),"Unit mismatch",IF(IF(NOT(ISNUMBER(D1661)),TRUE,OR(D1661&lt;0,D1661&gt;999999999,ROUND(D1661,3)&lt;&gt;D1661)),"Invalid current reading",IF(AND(E1661&lt;&gt;"",IF(NOT(ISNUMBER(E1661)),TRUE,OR(E1661&lt;0,E1661&gt;999999999,ROUND(E1661,3)&lt;&gt;E1661))),"Invalid previous reading",IF(IF(NOT(ISNUMBER(F1661)),TRUE,OR(F1661&lt;0,F1661&gt;999999999,ROUND(F1661,3)&lt;&gt;F1661)),"Invalid last service",IF(AND(E1661&lt;&gt;"",D1661&lt;E1661),"Decreased reading",IF(F1661&gt;D1661,"Last service above current","")))))))))))))</x:f>
      </x:c>
      <x:c r="L1661" s="6" t="str">
        <x:f>IF(AND(NOT(COUNTA(A1661:F1661)=0),K1661=""),INDEX('Rules'!$C$7:$C$26,MATCH(SUBSTITUTE(SUBSTITUTE(SUBSTITUTE(SUBSTITUTE("type:"&amp;B1661,"%","%25"),"~","%7E"),"*","%2A"),"?","%3F"),'Rules'!$G$7:$G$26,0)),"")</x:f>
      </x:c>
      <x:c r="M1661" s="6" t="str">
        <x:f>IF(AND(NOT(COUNTA(A1661:F1661)=0),K1661=""),INDEX('Rules'!$D$7:$D$26,MATCH(SUBSTITUTE(SUBSTITUTE(SUBSTITUTE(SUBSTITUTE("type:"&amp;B1661,"%","%25"),"~","%7E"),"*","%2A"),"?","%3F"),'Rules'!$G$7:$G$26,0)),"")</x:f>
      </x:c>
      <x:c r="N1661" s="5" t="str">
        <x:f>IF(COUNTA(A1661:F1661)=0,"",SUBSTITUTE(SUBSTITUTE(SUBSTITUTE(SUBSTITUTE("id:"&amp;A1661,"%","%25"),"~","%7E"),"*","%2A"),"?","%3F"))</x:f>
      </x:c>
    </x:row>
    <x:row r="1662" ht="22" customHeight="1">
      <x:c r="A1662" s="3"/>
      <x:c r="B1662" s="3"/>
      <x:c r="C1662" s="3"/>
      <x:c r="D1662" s="4"/>
      <x:c r="E1662" s="4"/>
      <x:c r="F1662" s="4"/>
      <x:c r="G1662" s="5" t="str">
        <x:f>IF(COUNTA(A1662:F1662)=0,"",IF(K1662&lt;&gt;"","Review",IF(I1662&lt;0,"Overdue",IF(I1662=0,"Due now",IF(I1662&lt;=M1662,"Due soon","Not due")))))</x:f>
      </x:c>
      <x:c r="H1662" s="5" t="str">
        <x:f>IF(OR(COUNTA(A1662:F1662)=0,COUNTIFS('Rules'!$G$7:$G$26,"="&amp;(SUBSTITUTE(SUBSTITUTE(SUBSTITUTE(SUBSTITUTE("type:"&amp;B1662,"%","%25"),"~","%7E"),"*","%2A"),"?","%3F")))&lt;&gt;1),"",IF(OR(INDEX('Rules'!$B$7:$B$26,MATCH(SUBSTITUTE(SUBSTITUTE(SUBSTITUTE(SUBSTITUTE("type:"&amp;B1662,"%","%25"),"~","%7E"),"*","%2A"),"?","%3F"),'Rules'!$G$7:$G$26,0))="hours",INDEX('Rules'!$B$7:$B$26,MATCH(SUBSTITUTE(SUBSTITUTE(SUBSTITUTE(SUBSTITUTE("type:"&amp;B1662,"%","%25"),"~","%7E"),"*","%2A"),"?","%3F"),'Rules'!$G$7:$G$26,0))="km"),INDEX('Rules'!$B$7:$B$26,MATCH(SUBSTITUTE(SUBSTITUTE(SUBSTITUTE(SUBSTITUTE("type:"&amp;B1662,"%","%25"),"~","%7E"),"*","%2A"),"?","%3F"),'Rules'!$G$7:$G$26,0)),""))</x:f>
      </x:c>
      <x:c r="I1662" s="6" t="str">
        <x:f>IF(AND(NOT(COUNTA(A1662:F1662)=0),K1662=""),ROUND(J1662-D1662,3),"")</x:f>
      </x:c>
      <x:c r="J1662" s="6" t="str">
        <x:f>IF(AND(NOT(COUNTA(A1662:F1662)=0),K1662=""),ROUND(F1662+L1662,3),"")</x:f>
      </x:c>
      <x:c r="K1662" s="5" t="str">
        <x:f>IF(COUNTA(A1662:F1662)=0,"",IF(A1662="","Missing equipment ID",IF(COUNTIFS($N$8:$N$2007,"="&amp;N1662)&gt;1,"Duplicate equipment ID",IF(B1662="","Missing type",IF(COUNTIFS('Rules'!$G$7:$G$26,"="&amp;(SUBSTITUTE(SUBSTITUTE(SUBSTITUTE(SUBSTITUTE("type:"&amp;B1662,"%","%25"),"~","%7E"),"*","%2A"),"?","%3F")))=0,"Unknown type",IF(COUNTIFS('Rules'!$G$7:$G$26,"="&amp;(SUBSTITUTE(SUBSTITUTE(SUBSTITUTE(SUBSTITUTE("type:"&amp;B1662,"%","%25"),"~","%7E"),"*","%2A"),"?","%3F")))&gt;1,"Duplicate type",IF(INDEX('Rules'!$F$7:$F$26,MATCH(SUBSTITUTE(SUBSTITUTE(SUBSTITUTE(SUBSTITUTE("type:"&amp;B1662,"%","%25"),"~","%7E"),"*","%2A"),"?","%3F"),'Rules'!$G$7:$G$26,0))&lt;&gt;"",INDEX('Rules'!$F$7:$F$26,MATCH(SUBSTITUTE(SUBSTITUTE(SUBSTITUTE(SUBSTITUTE("type:"&amp;B1662,"%","%25"),"~","%7E"),"*","%2A"),"?","%3F"),'Rules'!$G$7:$G$26,0)),IF(AND(C1662&lt;&gt;"",C1662&lt;&gt;INDEX('Rules'!$B$7:$B$26,MATCH(SUBSTITUTE(SUBSTITUTE(SUBSTITUTE(SUBSTITUTE("type:"&amp;B1662,"%","%25"),"~","%7E"),"*","%2A"),"?","%3F"),'Rules'!$G$7:$G$26,0))),"Unit mismatch",IF(IF(NOT(ISNUMBER(D1662)),TRUE,OR(D1662&lt;0,D1662&gt;999999999,ROUND(D1662,3)&lt;&gt;D1662)),"Invalid current reading",IF(AND(E1662&lt;&gt;"",IF(NOT(ISNUMBER(E1662)),TRUE,OR(E1662&lt;0,E1662&gt;999999999,ROUND(E1662,3)&lt;&gt;E1662))),"Invalid previous reading",IF(IF(NOT(ISNUMBER(F1662)),TRUE,OR(F1662&lt;0,F1662&gt;999999999,ROUND(F1662,3)&lt;&gt;F1662)),"Invalid last service",IF(AND(E1662&lt;&gt;"",D1662&lt;E1662),"Decreased reading",IF(F1662&gt;D1662,"Last service above current","")))))))))))))</x:f>
      </x:c>
      <x:c r="L1662" s="6" t="str">
        <x:f>IF(AND(NOT(COUNTA(A1662:F1662)=0),K1662=""),INDEX('Rules'!$C$7:$C$26,MATCH(SUBSTITUTE(SUBSTITUTE(SUBSTITUTE(SUBSTITUTE("type:"&amp;B1662,"%","%25"),"~","%7E"),"*","%2A"),"?","%3F"),'Rules'!$G$7:$G$26,0)),"")</x:f>
      </x:c>
      <x:c r="M1662" s="6" t="str">
        <x:f>IF(AND(NOT(COUNTA(A1662:F1662)=0),K1662=""),INDEX('Rules'!$D$7:$D$26,MATCH(SUBSTITUTE(SUBSTITUTE(SUBSTITUTE(SUBSTITUTE("type:"&amp;B1662,"%","%25"),"~","%7E"),"*","%2A"),"?","%3F"),'Rules'!$G$7:$G$26,0)),"")</x:f>
      </x:c>
      <x:c r="N1662" s="5" t="str">
        <x:f>IF(COUNTA(A1662:F1662)=0,"",SUBSTITUTE(SUBSTITUTE(SUBSTITUTE(SUBSTITUTE("id:"&amp;A1662,"%","%25"),"~","%7E"),"*","%2A"),"?","%3F"))</x:f>
      </x:c>
    </x:row>
    <x:row r="1663" ht="22" customHeight="1">
      <x:c r="A1663" s="3"/>
      <x:c r="B1663" s="3"/>
      <x:c r="C1663" s="3"/>
      <x:c r="D1663" s="4"/>
      <x:c r="E1663" s="4"/>
      <x:c r="F1663" s="4"/>
      <x:c r="G1663" s="5" t="str">
        <x:f>IF(COUNTA(A1663:F1663)=0,"",IF(K1663&lt;&gt;"","Review",IF(I1663&lt;0,"Overdue",IF(I1663=0,"Due now",IF(I1663&lt;=M1663,"Due soon","Not due")))))</x:f>
      </x:c>
      <x:c r="H1663" s="5" t="str">
        <x:f>IF(OR(COUNTA(A1663:F1663)=0,COUNTIFS('Rules'!$G$7:$G$26,"="&amp;(SUBSTITUTE(SUBSTITUTE(SUBSTITUTE(SUBSTITUTE("type:"&amp;B1663,"%","%25"),"~","%7E"),"*","%2A"),"?","%3F")))&lt;&gt;1),"",IF(OR(INDEX('Rules'!$B$7:$B$26,MATCH(SUBSTITUTE(SUBSTITUTE(SUBSTITUTE(SUBSTITUTE("type:"&amp;B1663,"%","%25"),"~","%7E"),"*","%2A"),"?","%3F"),'Rules'!$G$7:$G$26,0))="hours",INDEX('Rules'!$B$7:$B$26,MATCH(SUBSTITUTE(SUBSTITUTE(SUBSTITUTE(SUBSTITUTE("type:"&amp;B1663,"%","%25"),"~","%7E"),"*","%2A"),"?","%3F"),'Rules'!$G$7:$G$26,0))="km"),INDEX('Rules'!$B$7:$B$26,MATCH(SUBSTITUTE(SUBSTITUTE(SUBSTITUTE(SUBSTITUTE("type:"&amp;B1663,"%","%25"),"~","%7E"),"*","%2A"),"?","%3F"),'Rules'!$G$7:$G$26,0)),""))</x:f>
      </x:c>
      <x:c r="I1663" s="6" t="str">
        <x:f>IF(AND(NOT(COUNTA(A1663:F1663)=0),K1663=""),ROUND(J1663-D1663,3),"")</x:f>
      </x:c>
      <x:c r="J1663" s="6" t="str">
        <x:f>IF(AND(NOT(COUNTA(A1663:F1663)=0),K1663=""),ROUND(F1663+L1663,3),"")</x:f>
      </x:c>
      <x:c r="K1663" s="5" t="str">
        <x:f>IF(COUNTA(A1663:F1663)=0,"",IF(A1663="","Missing equipment ID",IF(COUNTIFS($N$8:$N$2007,"="&amp;N1663)&gt;1,"Duplicate equipment ID",IF(B1663="","Missing type",IF(COUNTIFS('Rules'!$G$7:$G$26,"="&amp;(SUBSTITUTE(SUBSTITUTE(SUBSTITUTE(SUBSTITUTE("type:"&amp;B1663,"%","%25"),"~","%7E"),"*","%2A"),"?","%3F")))=0,"Unknown type",IF(COUNTIFS('Rules'!$G$7:$G$26,"="&amp;(SUBSTITUTE(SUBSTITUTE(SUBSTITUTE(SUBSTITUTE("type:"&amp;B1663,"%","%25"),"~","%7E"),"*","%2A"),"?","%3F")))&gt;1,"Duplicate type",IF(INDEX('Rules'!$F$7:$F$26,MATCH(SUBSTITUTE(SUBSTITUTE(SUBSTITUTE(SUBSTITUTE("type:"&amp;B1663,"%","%25"),"~","%7E"),"*","%2A"),"?","%3F"),'Rules'!$G$7:$G$26,0))&lt;&gt;"",INDEX('Rules'!$F$7:$F$26,MATCH(SUBSTITUTE(SUBSTITUTE(SUBSTITUTE(SUBSTITUTE("type:"&amp;B1663,"%","%25"),"~","%7E"),"*","%2A"),"?","%3F"),'Rules'!$G$7:$G$26,0)),IF(AND(C1663&lt;&gt;"",C1663&lt;&gt;INDEX('Rules'!$B$7:$B$26,MATCH(SUBSTITUTE(SUBSTITUTE(SUBSTITUTE(SUBSTITUTE("type:"&amp;B1663,"%","%25"),"~","%7E"),"*","%2A"),"?","%3F"),'Rules'!$G$7:$G$26,0))),"Unit mismatch",IF(IF(NOT(ISNUMBER(D1663)),TRUE,OR(D1663&lt;0,D1663&gt;999999999,ROUND(D1663,3)&lt;&gt;D1663)),"Invalid current reading",IF(AND(E1663&lt;&gt;"",IF(NOT(ISNUMBER(E1663)),TRUE,OR(E1663&lt;0,E1663&gt;999999999,ROUND(E1663,3)&lt;&gt;E1663))),"Invalid previous reading",IF(IF(NOT(ISNUMBER(F1663)),TRUE,OR(F1663&lt;0,F1663&gt;999999999,ROUND(F1663,3)&lt;&gt;F1663)),"Invalid last service",IF(AND(E1663&lt;&gt;"",D1663&lt;E1663),"Decreased reading",IF(F1663&gt;D1663,"Last service above current","")))))))))))))</x:f>
      </x:c>
      <x:c r="L1663" s="6" t="str">
        <x:f>IF(AND(NOT(COUNTA(A1663:F1663)=0),K1663=""),INDEX('Rules'!$C$7:$C$26,MATCH(SUBSTITUTE(SUBSTITUTE(SUBSTITUTE(SUBSTITUTE("type:"&amp;B1663,"%","%25"),"~","%7E"),"*","%2A"),"?","%3F"),'Rules'!$G$7:$G$26,0)),"")</x:f>
      </x:c>
      <x:c r="M1663" s="6" t="str">
        <x:f>IF(AND(NOT(COUNTA(A1663:F1663)=0),K1663=""),INDEX('Rules'!$D$7:$D$26,MATCH(SUBSTITUTE(SUBSTITUTE(SUBSTITUTE(SUBSTITUTE("type:"&amp;B1663,"%","%25"),"~","%7E"),"*","%2A"),"?","%3F"),'Rules'!$G$7:$G$26,0)),"")</x:f>
      </x:c>
      <x:c r="N1663" s="5" t="str">
        <x:f>IF(COUNTA(A1663:F1663)=0,"",SUBSTITUTE(SUBSTITUTE(SUBSTITUTE(SUBSTITUTE("id:"&amp;A1663,"%","%25"),"~","%7E"),"*","%2A"),"?","%3F"))</x:f>
      </x:c>
    </x:row>
    <x:row r="1664" ht="22" customHeight="1">
      <x:c r="A1664" s="3"/>
      <x:c r="B1664" s="3"/>
      <x:c r="C1664" s="3"/>
      <x:c r="D1664" s="4"/>
      <x:c r="E1664" s="4"/>
      <x:c r="F1664" s="4"/>
      <x:c r="G1664" s="5" t="str">
        <x:f>IF(COUNTA(A1664:F1664)=0,"",IF(K1664&lt;&gt;"","Review",IF(I1664&lt;0,"Overdue",IF(I1664=0,"Due now",IF(I1664&lt;=M1664,"Due soon","Not due")))))</x:f>
      </x:c>
      <x:c r="H1664" s="5" t="str">
        <x:f>IF(OR(COUNTA(A1664:F1664)=0,COUNTIFS('Rules'!$G$7:$G$26,"="&amp;(SUBSTITUTE(SUBSTITUTE(SUBSTITUTE(SUBSTITUTE("type:"&amp;B1664,"%","%25"),"~","%7E"),"*","%2A"),"?","%3F")))&lt;&gt;1),"",IF(OR(INDEX('Rules'!$B$7:$B$26,MATCH(SUBSTITUTE(SUBSTITUTE(SUBSTITUTE(SUBSTITUTE("type:"&amp;B1664,"%","%25"),"~","%7E"),"*","%2A"),"?","%3F"),'Rules'!$G$7:$G$26,0))="hours",INDEX('Rules'!$B$7:$B$26,MATCH(SUBSTITUTE(SUBSTITUTE(SUBSTITUTE(SUBSTITUTE("type:"&amp;B1664,"%","%25"),"~","%7E"),"*","%2A"),"?","%3F"),'Rules'!$G$7:$G$26,0))="km"),INDEX('Rules'!$B$7:$B$26,MATCH(SUBSTITUTE(SUBSTITUTE(SUBSTITUTE(SUBSTITUTE("type:"&amp;B1664,"%","%25"),"~","%7E"),"*","%2A"),"?","%3F"),'Rules'!$G$7:$G$26,0)),""))</x:f>
      </x:c>
      <x:c r="I1664" s="6" t="str">
        <x:f>IF(AND(NOT(COUNTA(A1664:F1664)=0),K1664=""),ROUND(J1664-D1664,3),"")</x:f>
      </x:c>
      <x:c r="J1664" s="6" t="str">
        <x:f>IF(AND(NOT(COUNTA(A1664:F1664)=0),K1664=""),ROUND(F1664+L1664,3),"")</x:f>
      </x:c>
      <x:c r="K1664" s="5" t="str">
        <x:f>IF(COUNTA(A1664:F1664)=0,"",IF(A1664="","Missing equipment ID",IF(COUNTIFS($N$8:$N$2007,"="&amp;N1664)&gt;1,"Duplicate equipment ID",IF(B1664="","Missing type",IF(COUNTIFS('Rules'!$G$7:$G$26,"="&amp;(SUBSTITUTE(SUBSTITUTE(SUBSTITUTE(SUBSTITUTE("type:"&amp;B1664,"%","%25"),"~","%7E"),"*","%2A"),"?","%3F")))=0,"Unknown type",IF(COUNTIFS('Rules'!$G$7:$G$26,"="&amp;(SUBSTITUTE(SUBSTITUTE(SUBSTITUTE(SUBSTITUTE("type:"&amp;B1664,"%","%25"),"~","%7E"),"*","%2A"),"?","%3F")))&gt;1,"Duplicate type",IF(INDEX('Rules'!$F$7:$F$26,MATCH(SUBSTITUTE(SUBSTITUTE(SUBSTITUTE(SUBSTITUTE("type:"&amp;B1664,"%","%25"),"~","%7E"),"*","%2A"),"?","%3F"),'Rules'!$G$7:$G$26,0))&lt;&gt;"",INDEX('Rules'!$F$7:$F$26,MATCH(SUBSTITUTE(SUBSTITUTE(SUBSTITUTE(SUBSTITUTE("type:"&amp;B1664,"%","%25"),"~","%7E"),"*","%2A"),"?","%3F"),'Rules'!$G$7:$G$26,0)),IF(AND(C1664&lt;&gt;"",C1664&lt;&gt;INDEX('Rules'!$B$7:$B$26,MATCH(SUBSTITUTE(SUBSTITUTE(SUBSTITUTE(SUBSTITUTE("type:"&amp;B1664,"%","%25"),"~","%7E"),"*","%2A"),"?","%3F"),'Rules'!$G$7:$G$26,0))),"Unit mismatch",IF(IF(NOT(ISNUMBER(D1664)),TRUE,OR(D1664&lt;0,D1664&gt;999999999,ROUND(D1664,3)&lt;&gt;D1664)),"Invalid current reading",IF(AND(E1664&lt;&gt;"",IF(NOT(ISNUMBER(E1664)),TRUE,OR(E1664&lt;0,E1664&gt;999999999,ROUND(E1664,3)&lt;&gt;E1664))),"Invalid previous reading",IF(IF(NOT(ISNUMBER(F1664)),TRUE,OR(F1664&lt;0,F1664&gt;999999999,ROUND(F1664,3)&lt;&gt;F1664)),"Invalid last service",IF(AND(E1664&lt;&gt;"",D1664&lt;E1664),"Decreased reading",IF(F1664&gt;D1664,"Last service above current","")))))))))))))</x:f>
      </x:c>
      <x:c r="L1664" s="6" t="str">
        <x:f>IF(AND(NOT(COUNTA(A1664:F1664)=0),K1664=""),INDEX('Rules'!$C$7:$C$26,MATCH(SUBSTITUTE(SUBSTITUTE(SUBSTITUTE(SUBSTITUTE("type:"&amp;B1664,"%","%25"),"~","%7E"),"*","%2A"),"?","%3F"),'Rules'!$G$7:$G$26,0)),"")</x:f>
      </x:c>
      <x:c r="M1664" s="6" t="str">
        <x:f>IF(AND(NOT(COUNTA(A1664:F1664)=0),K1664=""),INDEX('Rules'!$D$7:$D$26,MATCH(SUBSTITUTE(SUBSTITUTE(SUBSTITUTE(SUBSTITUTE("type:"&amp;B1664,"%","%25"),"~","%7E"),"*","%2A"),"?","%3F"),'Rules'!$G$7:$G$26,0)),"")</x:f>
      </x:c>
      <x:c r="N1664" s="5" t="str">
        <x:f>IF(COUNTA(A1664:F1664)=0,"",SUBSTITUTE(SUBSTITUTE(SUBSTITUTE(SUBSTITUTE("id:"&amp;A1664,"%","%25"),"~","%7E"),"*","%2A"),"?","%3F"))</x:f>
      </x:c>
    </x:row>
    <x:row r="1665" ht="22" customHeight="1">
      <x:c r="A1665" s="3"/>
      <x:c r="B1665" s="3"/>
      <x:c r="C1665" s="3"/>
      <x:c r="D1665" s="4"/>
      <x:c r="E1665" s="4"/>
      <x:c r="F1665" s="4"/>
      <x:c r="G1665" s="5" t="str">
        <x:f>IF(COUNTA(A1665:F1665)=0,"",IF(K1665&lt;&gt;"","Review",IF(I1665&lt;0,"Overdue",IF(I1665=0,"Due now",IF(I1665&lt;=M1665,"Due soon","Not due")))))</x:f>
      </x:c>
      <x:c r="H1665" s="5" t="str">
        <x:f>IF(OR(COUNTA(A1665:F1665)=0,COUNTIFS('Rules'!$G$7:$G$26,"="&amp;(SUBSTITUTE(SUBSTITUTE(SUBSTITUTE(SUBSTITUTE("type:"&amp;B1665,"%","%25"),"~","%7E"),"*","%2A"),"?","%3F")))&lt;&gt;1),"",IF(OR(INDEX('Rules'!$B$7:$B$26,MATCH(SUBSTITUTE(SUBSTITUTE(SUBSTITUTE(SUBSTITUTE("type:"&amp;B1665,"%","%25"),"~","%7E"),"*","%2A"),"?","%3F"),'Rules'!$G$7:$G$26,0))="hours",INDEX('Rules'!$B$7:$B$26,MATCH(SUBSTITUTE(SUBSTITUTE(SUBSTITUTE(SUBSTITUTE("type:"&amp;B1665,"%","%25"),"~","%7E"),"*","%2A"),"?","%3F"),'Rules'!$G$7:$G$26,0))="km"),INDEX('Rules'!$B$7:$B$26,MATCH(SUBSTITUTE(SUBSTITUTE(SUBSTITUTE(SUBSTITUTE("type:"&amp;B1665,"%","%25"),"~","%7E"),"*","%2A"),"?","%3F"),'Rules'!$G$7:$G$26,0)),""))</x:f>
      </x:c>
      <x:c r="I1665" s="6" t="str">
        <x:f>IF(AND(NOT(COUNTA(A1665:F1665)=0),K1665=""),ROUND(J1665-D1665,3),"")</x:f>
      </x:c>
      <x:c r="J1665" s="6" t="str">
        <x:f>IF(AND(NOT(COUNTA(A1665:F1665)=0),K1665=""),ROUND(F1665+L1665,3),"")</x:f>
      </x:c>
      <x:c r="K1665" s="5" t="str">
        <x:f>IF(COUNTA(A1665:F1665)=0,"",IF(A1665="","Missing equipment ID",IF(COUNTIFS($N$8:$N$2007,"="&amp;N1665)&gt;1,"Duplicate equipment ID",IF(B1665="","Missing type",IF(COUNTIFS('Rules'!$G$7:$G$26,"="&amp;(SUBSTITUTE(SUBSTITUTE(SUBSTITUTE(SUBSTITUTE("type:"&amp;B1665,"%","%25"),"~","%7E"),"*","%2A"),"?","%3F")))=0,"Unknown type",IF(COUNTIFS('Rules'!$G$7:$G$26,"="&amp;(SUBSTITUTE(SUBSTITUTE(SUBSTITUTE(SUBSTITUTE("type:"&amp;B1665,"%","%25"),"~","%7E"),"*","%2A"),"?","%3F")))&gt;1,"Duplicate type",IF(INDEX('Rules'!$F$7:$F$26,MATCH(SUBSTITUTE(SUBSTITUTE(SUBSTITUTE(SUBSTITUTE("type:"&amp;B1665,"%","%25"),"~","%7E"),"*","%2A"),"?","%3F"),'Rules'!$G$7:$G$26,0))&lt;&gt;"",INDEX('Rules'!$F$7:$F$26,MATCH(SUBSTITUTE(SUBSTITUTE(SUBSTITUTE(SUBSTITUTE("type:"&amp;B1665,"%","%25"),"~","%7E"),"*","%2A"),"?","%3F"),'Rules'!$G$7:$G$26,0)),IF(AND(C1665&lt;&gt;"",C1665&lt;&gt;INDEX('Rules'!$B$7:$B$26,MATCH(SUBSTITUTE(SUBSTITUTE(SUBSTITUTE(SUBSTITUTE("type:"&amp;B1665,"%","%25"),"~","%7E"),"*","%2A"),"?","%3F"),'Rules'!$G$7:$G$26,0))),"Unit mismatch",IF(IF(NOT(ISNUMBER(D1665)),TRUE,OR(D1665&lt;0,D1665&gt;999999999,ROUND(D1665,3)&lt;&gt;D1665)),"Invalid current reading",IF(AND(E1665&lt;&gt;"",IF(NOT(ISNUMBER(E1665)),TRUE,OR(E1665&lt;0,E1665&gt;999999999,ROUND(E1665,3)&lt;&gt;E1665))),"Invalid previous reading",IF(IF(NOT(ISNUMBER(F1665)),TRUE,OR(F1665&lt;0,F1665&gt;999999999,ROUND(F1665,3)&lt;&gt;F1665)),"Invalid last service",IF(AND(E1665&lt;&gt;"",D1665&lt;E1665),"Decreased reading",IF(F1665&gt;D1665,"Last service above current","")))))))))))))</x:f>
      </x:c>
      <x:c r="L1665" s="6" t="str">
        <x:f>IF(AND(NOT(COUNTA(A1665:F1665)=0),K1665=""),INDEX('Rules'!$C$7:$C$26,MATCH(SUBSTITUTE(SUBSTITUTE(SUBSTITUTE(SUBSTITUTE("type:"&amp;B1665,"%","%25"),"~","%7E"),"*","%2A"),"?","%3F"),'Rules'!$G$7:$G$26,0)),"")</x:f>
      </x:c>
      <x:c r="M1665" s="6" t="str">
        <x:f>IF(AND(NOT(COUNTA(A1665:F1665)=0),K1665=""),INDEX('Rules'!$D$7:$D$26,MATCH(SUBSTITUTE(SUBSTITUTE(SUBSTITUTE(SUBSTITUTE("type:"&amp;B1665,"%","%25"),"~","%7E"),"*","%2A"),"?","%3F"),'Rules'!$G$7:$G$26,0)),"")</x:f>
      </x:c>
      <x:c r="N1665" s="5" t="str">
        <x:f>IF(COUNTA(A1665:F1665)=0,"",SUBSTITUTE(SUBSTITUTE(SUBSTITUTE(SUBSTITUTE("id:"&amp;A1665,"%","%25"),"~","%7E"),"*","%2A"),"?","%3F"))</x:f>
      </x:c>
    </x:row>
    <x:row r="1666" ht="22" customHeight="1">
      <x:c r="A1666" s="3"/>
      <x:c r="B1666" s="3"/>
      <x:c r="C1666" s="3"/>
      <x:c r="D1666" s="4"/>
      <x:c r="E1666" s="4"/>
      <x:c r="F1666" s="4"/>
      <x:c r="G1666" s="5" t="str">
        <x:f>IF(COUNTA(A1666:F1666)=0,"",IF(K1666&lt;&gt;"","Review",IF(I1666&lt;0,"Overdue",IF(I1666=0,"Due now",IF(I1666&lt;=M1666,"Due soon","Not due")))))</x:f>
      </x:c>
      <x:c r="H1666" s="5" t="str">
        <x:f>IF(OR(COUNTA(A1666:F1666)=0,COUNTIFS('Rules'!$G$7:$G$26,"="&amp;(SUBSTITUTE(SUBSTITUTE(SUBSTITUTE(SUBSTITUTE("type:"&amp;B1666,"%","%25"),"~","%7E"),"*","%2A"),"?","%3F")))&lt;&gt;1),"",IF(OR(INDEX('Rules'!$B$7:$B$26,MATCH(SUBSTITUTE(SUBSTITUTE(SUBSTITUTE(SUBSTITUTE("type:"&amp;B1666,"%","%25"),"~","%7E"),"*","%2A"),"?","%3F"),'Rules'!$G$7:$G$26,0))="hours",INDEX('Rules'!$B$7:$B$26,MATCH(SUBSTITUTE(SUBSTITUTE(SUBSTITUTE(SUBSTITUTE("type:"&amp;B1666,"%","%25"),"~","%7E"),"*","%2A"),"?","%3F"),'Rules'!$G$7:$G$26,0))="km"),INDEX('Rules'!$B$7:$B$26,MATCH(SUBSTITUTE(SUBSTITUTE(SUBSTITUTE(SUBSTITUTE("type:"&amp;B1666,"%","%25"),"~","%7E"),"*","%2A"),"?","%3F"),'Rules'!$G$7:$G$26,0)),""))</x:f>
      </x:c>
      <x:c r="I1666" s="6" t="str">
        <x:f>IF(AND(NOT(COUNTA(A1666:F1666)=0),K1666=""),ROUND(J1666-D1666,3),"")</x:f>
      </x:c>
      <x:c r="J1666" s="6" t="str">
        <x:f>IF(AND(NOT(COUNTA(A1666:F1666)=0),K1666=""),ROUND(F1666+L1666,3),"")</x:f>
      </x:c>
      <x:c r="K1666" s="5" t="str">
        <x:f>IF(COUNTA(A1666:F1666)=0,"",IF(A1666="","Missing equipment ID",IF(COUNTIFS($N$8:$N$2007,"="&amp;N1666)&gt;1,"Duplicate equipment ID",IF(B1666="","Missing type",IF(COUNTIFS('Rules'!$G$7:$G$26,"="&amp;(SUBSTITUTE(SUBSTITUTE(SUBSTITUTE(SUBSTITUTE("type:"&amp;B1666,"%","%25"),"~","%7E"),"*","%2A"),"?","%3F")))=0,"Unknown type",IF(COUNTIFS('Rules'!$G$7:$G$26,"="&amp;(SUBSTITUTE(SUBSTITUTE(SUBSTITUTE(SUBSTITUTE("type:"&amp;B1666,"%","%25"),"~","%7E"),"*","%2A"),"?","%3F")))&gt;1,"Duplicate type",IF(INDEX('Rules'!$F$7:$F$26,MATCH(SUBSTITUTE(SUBSTITUTE(SUBSTITUTE(SUBSTITUTE("type:"&amp;B1666,"%","%25"),"~","%7E"),"*","%2A"),"?","%3F"),'Rules'!$G$7:$G$26,0))&lt;&gt;"",INDEX('Rules'!$F$7:$F$26,MATCH(SUBSTITUTE(SUBSTITUTE(SUBSTITUTE(SUBSTITUTE("type:"&amp;B1666,"%","%25"),"~","%7E"),"*","%2A"),"?","%3F"),'Rules'!$G$7:$G$26,0)),IF(AND(C1666&lt;&gt;"",C1666&lt;&gt;INDEX('Rules'!$B$7:$B$26,MATCH(SUBSTITUTE(SUBSTITUTE(SUBSTITUTE(SUBSTITUTE("type:"&amp;B1666,"%","%25"),"~","%7E"),"*","%2A"),"?","%3F"),'Rules'!$G$7:$G$26,0))),"Unit mismatch",IF(IF(NOT(ISNUMBER(D1666)),TRUE,OR(D1666&lt;0,D1666&gt;999999999,ROUND(D1666,3)&lt;&gt;D1666)),"Invalid current reading",IF(AND(E1666&lt;&gt;"",IF(NOT(ISNUMBER(E1666)),TRUE,OR(E1666&lt;0,E1666&gt;999999999,ROUND(E1666,3)&lt;&gt;E1666))),"Invalid previous reading",IF(IF(NOT(ISNUMBER(F1666)),TRUE,OR(F1666&lt;0,F1666&gt;999999999,ROUND(F1666,3)&lt;&gt;F1666)),"Invalid last service",IF(AND(E1666&lt;&gt;"",D1666&lt;E1666),"Decreased reading",IF(F1666&gt;D1666,"Last service above current","")))))))))))))</x:f>
      </x:c>
      <x:c r="L1666" s="6" t="str">
        <x:f>IF(AND(NOT(COUNTA(A1666:F1666)=0),K1666=""),INDEX('Rules'!$C$7:$C$26,MATCH(SUBSTITUTE(SUBSTITUTE(SUBSTITUTE(SUBSTITUTE("type:"&amp;B1666,"%","%25"),"~","%7E"),"*","%2A"),"?","%3F"),'Rules'!$G$7:$G$26,0)),"")</x:f>
      </x:c>
      <x:c r="M1666" s="6" t="str">
        <x:f>IF(AND(NOT(COUNTA(A1666:F1666)=0),K1666=""),INDEX('Rules'!$D$7:$D$26,MATCH(SUBSTITUTE(SUBSTITUTE(SUBSTITUTE(SUBSTITUTE("type:"&amp;B1666,"%","%25"),"~","%7E"),"*","%2A"),"?","%3F"),'Rules'!$G$7:$G$26,0)),"")</x:f>
      </x:c>
      <x:c r="N1666" s="5" t="str">
        <x:f>IF(COUNTA(A1666:F1666)=0,"",SUBSTITUTE(SUBSTITUTE(SUBSTITUTE(SUBSTITUTE("id:"&amp;A1666,"%","%25"),"~","%7E"),"*","%2A"),"?","%3F"))</x:f>
      </x:c>
    </x:row>
    <x:row r="1667" ht="22" customHeight="1">
      <x:c r="A1667" s="3"/>
      <x:c r="B1667" s="3"/>
      <x:c r="C1667" s="3"/>
      <x:c r="D1667" s="4"/>
      <x:c r="E1667" s="4"/>
      <x:c r="F1667" s="4"/>
      <x:c r="G1667" s="5" t="str">
        <x:f>IF(COUNTA(A1667:F1667)=0,"",IF(K1667&lt;&gt;"","Review",IF(I1667&lt;0,"Overdue",IF(I1667=0,"Due now",IF(I1667&lt;=M1667,"Due soon","Not due")))))</x:f>
      </x:c>
      <x:c r="H1667" s="5" t="str">
        <x:f>IF(OR(COUNTA(A1667:F1667)=0,COUNTIFS('Rules'!$G$7:$G$26,"="&amp;(SUBSTITUTE(SUBSTITUTE(SUBSTITUTE(SUBSTITUTE("type:"&amp;B1667,"%","%25"),"~","%7E"),"*","%2A"),"?","%3F")))&lt;&gt;1),"",IF(OR(INDEX('Rules'!$B$7:$B$26,MATCH(SUBSTITUTE(SUBSTITUTE(SUBSTITUTE(SUBSTITUTE("type:"&amp;B1667,"%","%25"),"~","%7E"),"*","%2A"),"?","%3F"),'Rules'!$G$7:$G$26,0))="hours",INDEX('Rules'!$B$7:$B$26,MATCH(SUBSTITUTE(SUBSTITUTE(SUBSTITUTE(SUBSTITUTE("type:"&amp;B1667,"%","%25"),"~","%7E"),"*","%2A"),"?","%3F"),'Rules'!$G$7:$G$26,0))="km"),INDEX('Rules'!$B$7:$B$26,MATCH(SUBSTITUTE(SUBSTITUTE(SUBSTITUTE(SUBSTITUTE("type:"&amp;B1667,"%","%25"),"~","%7E"),"*","%2A"),"?","%3F"),'Rules'!$G$7:$G$26,0)),""))</x:f>
      </x:c>
      <x:c r="I1667" s="6" t="str">
        <x:f>IF(AND(NOT(COUNTA(A1667:F1667)=0),K1667=""),ROUND(J1667-D1667,3),"")</x:f>
      </x:c>
      <x:c r="J1667" s="6" t="str">
        <x:f>IF(AND(NOT(COUNTA(A1667:F1667)=0),K1667=""),ROUND(F1667+L1667,3),"")</x:f>
      </x:c>
      <x:c r="K1667" s="5" t="str">
        <x:f>IF(COUNTA(A1667:F1667)=0,"",IF(A1667="","Missing equipment ID",IF(COUNTIFS($N$8:$N$2007,"="&amp;N1667)&gt;1,"Duplicate equipment ID",IF(B1667="","Missing type",IF(COUNTIFS('Rules'!$G$7:$G$26,"="&amp;(SUBSTITUTE(SUBSTITUTE(SUBSTITUTE(SUBSTITUTE("type:"&amp;B1667,"%","%25"),"~","%7E"),"*","%2A"),"?","%3F")))=0,"Unknown type",IF(COUNTIFS('Rules'!$G$7:$G$26,"="&amp;(SUBSTITUTE(SUBSTITUTE(SUBSTITUTE(SUBSTITUTE("type:"&amp;B1667,"%","%25"),"~","%7E"),"*","%2A"),"?","%3F")))&gt;1,"Duplicate type",IF(INDEX('Rules'!$F$7:$F$26,MATCH(SUBSTITUTE(SUBSTITUTE(SUBSTITUTE(SUBSTITUTE("type:"&amp;B1667,"%","%25"),"~","%7E"),"*","%2A"),"?","%3F"),'Rules'!$G$7:$G$26,0))&lt;&gt;"",INDEX('Rules'!$F$7:$F$26,MATCH(SUBSTITUTE(SUBSTITUTE(SUBSTITUTE(SUBSTITUTE("type:"&amp;B1667,"%","%25"),"~","%7E"),"*","%2A"),"?","%3F"),'Rules'!$G$7:$G$26,0)),IF(AND(C1667&lt;&gt;"",C1667&lt;&gt;INDEX('Rules'!$B$7:$B$26,MATCH(SUBSTITUTE(SUBSTITUTE(SUBSTITUTE(SUBSTITUTE("type:"&amp;B1667,"%","%25"),"~","%7E"),"*","%2A"),"?","%3F"),'Rules'!$G$7:$G$26,0))),"Unit mismatch",IF(IF(NOT(ISNUMBER(D1667)),TRUE,OR(D1667&lt;0,D1667&gt;999999999,ROUND(D1667,3)&lt;&gt;D1667)),"Invalid current reading",IF(AND(E1667&lt;&gt;"",IF(NOT(ISNUMBER(E1667)),TRUE,OR(E1667&lt;0,E1667&gt;999999999,ROUND(E1667,3)&lt;&gt;E1667))),"Invalid previous reading",IF(IF(NOT(ISNUMBER(F1667)),TRUE,OR(F1667&lt;0,F1667&gt;999999999,ROUND(F1667,3)&lt;&gt;F1667)),"Invalid last service",IF(AND(E1667&lt;&gt;"",D1667&lt;E1667),"Decreased reading",IF(F1667&gt;D1667,"Last service above current","")))))))))))))</x:f>
      </x:c>
      <x:c r="L1667" s="6" t="str">
        <x:f>IF(AND(NOT(COUNTA(A1667:F1667)=0),K1667=""),INDEX('Rules'!$C$7:$C$26,MATCH(SUBSTITUTE(SUBSTITUTE(SUBSTITUTE(SUBSTITUTE("type:"&amp;B1667,"%","%25"),"~","%7E"),"*","%2A"),"?","%3F"),'Rules'!$G$7:$G$26,0)),"")</x:f>
      </x:c>
      <x:c r="M1667" s="6" t="str">
        <x:f>IF(AND(NOT(COUNTA(A1667:F1667)=0),K1667=""),INDEX('Rules'!$D$7:$D$26,MATCH(SUBSTITUTE(SUBSTITUTE(SUBSTITUTE(SUBSTITUTE("type:"&amp;B1667,"%","%25"),"~","%7E"),"*","%2A"),"?","%3F"),'Rules'!$G$7:$G$26,0)),"")</x:f>
      </x:c>
      <x:c r="N1667" s="5" t="str">
        <x:f>IF(COUNTA(A1667:F1667)=0,"",SUBSTITUTE(SUBSTITUTE(SUBSTITUTE(SUBSTITUTE("id:"&amp;A1667,"%","%25"),"~","%7E"),"*","%2A"),"?","%3F"))</x:f>
      </x:c>
    </x:row>
    <x:row r="1668" ht="22" customHeight="1">
      <x:c r="A1668" s="3"/>
      <x:c r="B1668" s="3"/>
      <x:c r="C1668" s="3"/>
      <x:c r="D1668" s="4"/>
      <x:c r="E1668" s="4"/>
      <x:c r="F1668" s="4"/>
      <x:c r="G1668" s="5" t="str">
        <x:f>IF(COUNTA(A1668:F1668)=0,"",IF(K1668&lt;&gt;"","Review",IF(I1668&lt;0,"Overdue",IF(I1668=0,"Due now",IF(I1668&lt;=M1668,"Due soon","Not due")))))</x:f>
      </x:c>
      <x:c r="H1668" s="5" t="str">
        <x:f>IF(OR(COUNTA(A1668:F1668)=0,COUNTIFS('Rules'!$G$7:$G$26,"="&amp;(SUBSTITUTE(SUBSTITUTE(SUBSTITUTE(SUBSTITUTE("type:"&amp;B1668,"%","%25"),"~","%7E"),"*","%2A"),"?","%3F")))&lt;&gt;1),"",IF(OR(INDEX('Rules'!$B$7:$B$26,MATCH(SUBSTITUTE(SUBSTITUTE(SUBSTITUTE(SUBSTITUTE("type:"&amp;B1668,"%","%25"),"~","%7E"),"*","%2A"),"?","%3F"),'Rules'!$G$7:$G$26,0))="hours",INDEX('Rules'!$B$7:$B$26,MATCH(SUBSTITUTE(SUBSTITUTE(SUBSTITUTE(SUBSTITUTE("type:"&amp;B1668,"%","%25"),"~","%7E"),"*","%2A"),"?","%3F"),'Rules'!$G$7:$G$26,0))="km"),INDEX('Rules'!$B$7:$B$26,MATCH(SUBSTITUTE(SUBSTITUTE(SUBSTITUTE(SUBSTITUTE("type:"&amp;B1668,"%","%25"),"~","%7E"),"*","%2A"),"?","%3F"),'Rules'!$G$7:$G$26,0)),""))</x:f>
      </x:c>
      <x:c r="I1668" s="6" t="str">
        <x:f>IF(AND(NOT(COUNTA(A1668:F1668)=0),K1668=""),ROUND(J1668-D1668,3),"")</x:f>
      </x:c>
      <x:c r="J1668" s="6" t="str">
        <x:f>IF(AND(NOT(COUNTA(A1668:F1668)=0),K1668=""),ROUND(F1668+L1668,3),"")</x:f>
      </x:c>
      <x:c r="K1668" s="5" t="str">
        <x:f>IF(COUNTA(A1668:F1668)=0,"",IF(A1668="","Missing equipment ID",IF(COUNTIFS($N$8:$N$2007,"="&amp;N1668)&gt;1,"Duplicate equipment ID",IF(B1668="","Missing type",IF(COUNTIFS('Rules'!$G$7:$G$26,"="&amp;(SUBSTITUTE(SUBSTITUTE(SUBSTITUTE(SUBSTITUTE("type:"&amp;B1668,"%","%25"),"~","%7E"),"*","%2A"),"?","%3F")))=0,"Unknown type",IF(COUNTIFS('Rules'!$G$7:$G$26,"="&amp;(SUBSTITUTE(SUBSTITUTE(SUBSTITUTE(SUBSTITUTE("type:"&amp;B1668,"%","%25"),"~","%7E"),"*","%2A"),"?","%3F")))&gt;1,"Duplicate type",IF(INDEX('Rules'!$F$7:$F$26,MATCH(SUBSTITUTE(SUBSTITUTE(SUBSTITUTE(SUBSTITUTE("type:"&amp;B1668,"%","%25"),"~","%7E"),"*","%2A"),"?","%3F"),'Rules'!$G$7:$G$26,0))&lt;&gt;"",INDEX('Rules'!$F$7:$F$26,MATCH(SUBSTITUTE(SUBSTITUTE(SUBSTITUTE(SUBSTITUTE("type:"&amp;B1668,"%","%25"),"~","%7E"),"*","%2A"),"?","%3F"),'Rules'!$G$7:$G$26,0)),IF(AND(C1668&lt;&gt;"",C1668&lt;&gt;INDEX('Rules'!$B$7:$B$26,MATCH(SUBSTITUTE(SUBSTITUTE(SUBSTITUTE(SUBSTITUTE("type:"&amp;B1668,"%","%25"),"~","%7E"),"*","%2A"),"?","%3F"),'Rules'!$G$7:$G$26,0))),"Unit mismatch",IF(IF(NOT(ISNUMBER(D1668)),TRUE,OR(D1668&lt;0,D1668&gt;999999999,ROUND(D1668,3)&lt;&gt;D1668)),"Invalid current reading",IF(AND(E1668&lt;&gt;"",IF(NOT(ISNUMBER(E1668)),TRUE,OR(E1668&lt;0,E1668&gt;999999999,ROUND(E1668,3)&lt;&gt;E1668))),"Invalid previous reading",IF(IF(NOT(ISNUMBER(F1668)),TRUE,OR(F1668&lt;0,F1668&gt;999999999,ROUND(F1668,3)&lt;&gt;F1668)),"Invalid last service",IF(AND(E1668&lt;&gt;"",D1668&lt;E1668),"Decreased reading",IF(F1668&gt;D1668,"Last service above current","")))))))))))))</x:f>
      </x:c>
      <x:c r="L1668" s="6" t="str">
        <x:f>IF(AND(NOT(COUNTA(A1668:F1668)=0),K1668=""),INDEX('Rules'!$C$7:$C$26,MATCH(SUBSTITUTE(SUBSTITUTE(SUBSTITUTE(SUBSTITUTE("type:"&amp;B1668,"%","%25"),"~","%7E"),"*","%2A"),"?","%3F"),'Rules'!$G$7:$G$26,0)),"")</x:f>
      </x:c>
      <x:c r="M1668" s="6" t="str">
        <x:f>IF(AND(NOT(COUNTA(A1668:F1668)=0),K1668=""),INDEX('Rules'!$D$7:$D$26,MATCH(SUBSTITUTE(SUBSTITUTE(SUBSTITUTE(SUBSTITUTE("type:"&amp;B1668,"%","%25"),"~","%7E"),"*","%2A"),"?","%3F"),'Rules'!$G$7:$G$26,0)),"")</x:f>
      </x:c>
      <x:c r="N1668" s="5" t="str">
        <x:f>IF(COUNTA(A1668:F1668)=0,"",SUBSTITUTE(SUBSTITUTE(SUBSTITUTE(SUBSTITUTE("id:"&amp;A1668,"%","%25"),"~","%7E"),"*","%2A"),"?","%3F"))</x:f>
      </x:c>
    </x:row>
    <x:row r="1669" ht="22" customHeight="1">
      <x:c r="A1669" s="3"/>
      <x:c r="B1669" s="3"/>
      <x:c r="C1669" s="3"/>
      <x:c r="D1669" s="4"/>
      <x:c r="E1669" s="4"/>
      <x:c r="F1669" s="4"/>
      <x:c r="G1669" s="5" t="str">
        <x:f>IF(COUNTA(A1669:F1669)=0,"",IF(K1669&lt;&gt;"","Review",IF(I1669&lt;0,"Overdue",IF(I1669=0,"Due now",IF(I1669&lt;=M1669,"Due soon","Not due")))))</x:f>
      </x:c>
      <x:c r="H1669" s="5" t="str">
        <x:f>IF(OR(COUNTA(A1669:F1669)=0,COUNTIFS('Rules'!$G$7:$G$26,"="&amp;(SUBSTITUTE(SUBSTITUTE(SUBSTITUTE(SUBSTITUTE("type:"&amp;B1669,"%","%25"),"~","%7E"),"*","%2A"),"?","%3F")))&lt;&gt;1),"",IF(OR(INDEX('Rules'!$B$7:$B$26,MATCH(SUBSTITUTE(SUBSTITUTE(SUBSTITUTE(SUBSTITUTE("type:"&amp;B1669,"%","%25"),"~","%7E"),"*","%2A"),"?","%3F"),'Rules'!$G$7:$G$26,0))="hours",INDEX('Rules'!$B$7:$B$26,MATCH(SUBSTITUTE(SUBSTITUTE(SUBSTITUTE(SUBSTITUTE("type:"&amp;B1669,"%","%25"),"~","%7E"),"*","%2A"),"?","%3F"),'Rules'!$G$7:$G$26,0))="km"),INDEX('Rules'!$B$7:$B$26,MATCH(SUBSTITUTE(SUBSTITUTE(SUBSTITUTE(SUBSTITUTE("type:"&amp;B1669,"%","%25"),"~","%7E"),"*","%2A"),"?","%3F"),'Rules'!$G$7:$G$26,0)),""))</x:f>
      </x:c>
      <x:c r="I1669" s="6" t="str">
        <x:f>IF(AND(NOT(COUNTA(A1669:F1669)=0),K1669=""),ROUND(J1669-D1669,3),"")</x:f>
      </x:c>
      <x:c r="J1669" s="6" t="str">
        <x:f>IF(AND(NOT(COUNTA(A1669:F1669)=0),K1669=""),ROUND(F1669+L1669,3),"")</x:f>
      </x:c>
      <x:c r="K1669" s="5" t="str">
        <x:f>IF(COUNTA(A1669:F1669)=0,"",IF(A1669="","Missing equipment ID",IF(COUNTIFS($N$8:$N$2007,"="&amp;N1669)&gt;1,"Duplicate equipment ID",IF(B1669="","Missing type",IF(COUNTIFS('Rules'!$G$7:$G$26,"="&amp;(SUBSTITUTE(SUBSTITUTE(SUBSTITUTE(SUBSTITUTE("type:"&amp;B1669,"%","%25"),"~","%7E"),"*","%2A"),"?","%3F")))=0,"Unknown type",IF(COUNTIFS('Rules'!$G$7:$G$26,"="&amp;(SUBSTITUTE(SUBSTITUTE(SUBSTITUTE(SUBSTITUTE("type:"&amp;B1669,"%","%25"),"~","%7E"),"*","%2A"),"?","%3F")))&gt;1,"Duplicate type",IF(INDEX('Rules'!$F$7:$F$26,MATCH(SUBSTITUTE(SUBSTITUTE(SUBSTITUTE(SUBSTITUTE("type:"&amp;B1669,"%","%25"),"~","%7E"),"*","%2A"),"?","%3F"),'Rules'!$G$7:$G$26,0))&lt;&gt;"",INDEX('Rules'!$F$7:$F$26,MATCH(SUBSTITUTE(SUBSTITUTE(SUBSTITUTE(SUBSTITUTE("type:"&amp;B1669,"%","%25"),"~","%7E"),"*","%2A"),"?","%3F"),'Rules'!$G$7:$G$26,0)),IF(AND(C1669&lt;&gt;"",C1669&lt;&gt;INDEX('Rules'!$B$7:$B$26,MATCH(SUBSTITUTE(SUBSTITUTE(SUBSTITUTE(SUBSTITUTE("type:"&amp;B1669,"%","%25"),"~","%7E"),"*","%2A"),"?","%3F"),'Rules'!$G$7:$G$26,0))),"Unit mismatch",IF(IF(NOT(ISNUMBER(D1669)),TRUE,OR(D1669&lt;0,D1669&gt;999999999,ROUND(D1669,3)&lt;&gt;D1669)),"Invalid current reading",IF(AND(E1669&lt;&gt;"",IF(NOT(ISNUMBER(E1669)),TRUE,OR(E1669&lt;0,E1669&gt;999999999,ROUND(E1669,3)&lt;&gt;E1669))),"Invalid previous reading",IF(IF(NOT(ISNUMBER(F1669)),TRUE,OR(F1669&lt;0,F1669&gt;999999999,ROUND(F1669,3)&lt;&gt;F1669)),"Invalid last service",IF(AND(E1669&lt;&gt;"",D1669&lt;E1669),"Decreased reading",IF(F1669&gt;D1669,"Last service above current","")))))))))))))</x:f>
      </x:c>
      <x:c r="L1669" s="6" t="str">
        <x:f>IF(AND(NOT(COUNTA(A1669:F1669)=0),K1669=""),INDEX('Rules'!$C$7:$C$26,MATCH(SUBSTITUTE(SUBSTITUTE(SUBSTITUTE(SUBSTITUTE("type:"&amp;B1669,"%","%25"),"~","%7E"),"*","%2A"),"?","%3F"),'Rules'!$G$7:$G$26,0)),"")</x:f>
      </x:c>
      <x:c r="M1669" s="6" t="str">
        <x:f>IF(AND(NOT(COUNTA(A1669:F1669)=0),K1669=""),INDEX('Rules'!$D$7:$D$26,MATCH(SUBSTITUTE(SUBSTITUTE(SUBSTITUTE(SUBSTITUTE("type:"&amp;B1669,"%","%25"),"~","%7E"),"*","%2A"),"?","%3F"),'Rules'!$G$7:$G$26,0)),"")</x:f>
      </x:c>
      <x:c r="N1669" s="5" t="str">
        <x:f>IF(COUNTA(A1669:F1669)=0,"",SUBSTITUTE(SUBSTITUTE(SUBSTITUTE(SUBSTITUTE("id:"&amp;A1669,"%","%25"),"~","%7E"),"*","%2A"),"?","%3F"))</x:f>
      </x:c>
    </x:row>
    <x:row r="1670" ht="22" customHeight="1">
      <x:c r="A1670" s="3"/>
      <x:c r="B1670" s="3"/>
      <x:c r="C1670" s="3"/>
      <x:c r="D1670" s="4"/>
      <x:c r="E1670" s="4"/>
      <x:c r="F1670" s="4"/>
      <x:c r="G1670" s="5" t="str">
        <x:f>IF(COUNTA(A1670:F1670)=0,"",IF(K1670&lt;&gt;"","Review",IF(I1670&lt;0,"Overdue",IF(I1670=0,"Due now",IF(I1670&lt;=M1670,"Due soon","Not due")))))</x:f>
      </x:c>
      <x:c r="H1670" s="5" t="str">
        <x:f>IF(OR(COUNTA(A1670:F1670)=0,COUNTIFS('Rules'!$G$7:$G$26,"="&amp;(SUBSTITUTE(SUBSTITUTE(SUBSTITUTE(SUBSTITUTE("type:"&amp;B1670,"%","%25"),"~","%7E"),"*","%2A"),"?","%3F")))&lt;&gt;1),"",IF(OR(INDEX('Rules'!$B$7:$B$26,MATCH(SUBSTITUTE(SUBSTITUTE(SUBSTITUTE(SUBSTITUTE("type:"&amp;B1670,"%","%25"),"~","%7E"),"*","%2A"),"?","%3F"),'Rules'!$G$7:$G$26,0))="hours",INDEX('Rules'!$B$7:$B$26,MATCH(SUBSTITUTE(SUBSTITUTE(SUBSTITUTE(SUBSTITUTE("type:"&amp;B1670,"%","%25"),"~","%7E"),"*","%2A"),"?","%3F"),'Rules'!$G$7:$G$26,0))="km"),INDEX('Rules'!$B$7:$B$26,MATCH(SUBSTITUTE(SUBSTITUTE(SUBSTITUTE(SUBSTITUTE("type:"&amp;B1670,"%","%25"),"~","%7E"),"*","%2A"),"?","%3F"),'Rules'!$G$7:$G$26,0)),""))</x:f>
      </x:c>
      <x:c r="I1670" s="6" t="str">
        <x:f>IF(AND(NOT(COUNTA(A1670:F1670)=0),K1670=""),ROUND(J1670-D1670,3),"")</x:f>
      </x:c>
      <x:c r="J1670" s="6" t="str">
        <x:f>IF(AND(NOT(COUNTA(A1670:F1670)=0),K1670=""),ROUND(F1670+L1670,3),"")</x:f>
      </x:c>
      <x:c r="K1670" s="5" t="str">
        <x:f>IF(COUNTA(A1670:F1670)=0,"",IF(A1670="","Missing equipment ID",IF(COUNTIFS($N$8:$N$2007,"="&amp;N1670)&gt;1,"Duplicate equipment ID",IF(B1670="","Missing type",IF(COUNTIFS('Rules'!$G$7:$G$26,"="&amp;(SUBSTITUTE(SUBSTITUTE(SUBSTITUTE(SUBSTITUTE("type:"&amp;B1670,"%","%25"),"~","%7E"),"*","%2A"),"?","%3F")))=0,"Unknown type",IF(COUNTIFS('Rules'!$G$7:$G$26,"="&amp;(SUBSTITUTE(SUBSTITUTE(SUBSTITUTE(SUBSTITUTE("type:"&amp;B1670,"%","%25"),"~","%7E"),"*","%2A"),"?","%3F")))&gt;1,"Duplicate type",IF(INDEX('Rules'!$F$7:$F$26,MATCH(SUBSTITUTE(SUBSTITUTE(SUBSTITUTE(SUBSTITUTE("type:"&amp;B1670,"%","%25"),"~","%7E"),"*","%2A"),"?","%3F"),'Rules'!$G$7:$G$26,0))&lt;&gt;"",INDEX('Rules'!$F$7:$F$26,MATCH(SUBSTITUTE(SUBSTITUTE(SUBSTITUTE(SUBSTITUTE("type:"&amp;B1670,"%","%25"),"~","%7E"),"*","%2A"),"?","%3F"),'Rules'!$G$7:$G$26,0)),IF(AND(C1670&lt;&gt;"",C1670&lt;&gt;INDEX('Rules'!$B$7:$B$26,MATCH(SUBSTITUTE(SUBSTITUTE(SUBSTITUTE(SUBSTITUTE("type:"&amp;B1670,"%","%25"),"~","%7E"),"*","%2A"),"?","%3F"),'Rules'!$G$7:$G$26,0))),"Unit mismatch",IF(IF(NOT(ISNUMBER(D1670)),TRUE,OR(D1670&lt;0,D1670&gt;999999999,ROUND(D1670,3)&lt;&gt;D1670)),"Invalid current reading",IF(AND(E1670&lt;&gt;"",IF(NOT(ISNUMBER(E1670)),TRUE,OR(E1670&lt;0,E1670&gt;999999999,ROUND(E1670,3)&lt;&gt;E1670))),"Invalid previous reading",IF(IF(NOT(ISNUMBER(F1670)),TRUE,OR(F1670&lt;0,F1670&gt;999999999,ROUND(F1670,3)&lt;&gt;F1670)),"Invalid last service",IF(AND(E1670&lt;&gt;"",D1670&lt;E1670),"Decreased reading",IF(F1670&gt;D1670,"Last service above current","")))))))))))))</x:f>
      </x:c>
      <x:c r="L1670" s="6" t="str">
        <x:f>IF(AND(NOT(COUNTA(A1670:F1670)=0),K1670=""),INDEX('Rules'!$C$7:$C$26,MATCH(SUBSTITUTE(SUBSTITUTE(SUBSTITUTE(SUBSTITUTE("type:"&amp;B1670,"%","%25"),"~","%7E"),"*","%2A"),"?","%3F"),'Rules'!$G$7:$G$26,0)),"")</x:f>
      </x:c>
      <x:c r="M1670" s="6" t="str">
        <x:f>IF(AND(NOT(COUNTA(A1670:F1670)=0),K1670=""),INDEX('Rules'!$D$7:$D$26,MATCH(SUBSTITUTE(SUBSTITUTE(SUBSTITUTE(SUBSTITUTE("type:"&amp;B1670,"%","%25"),"~","%7E"),"*","%2A"),"?","%3F"),'Rules'!$G$7:$G$26,0)),"")</x:f>
      </x:c>
      <x:c r="N1670" s="5" t="str">
        <x:f>IF(COUNTA(A1670:F1670)=0,"",SUBSTITUTE(SUBSTITUTE(SUBSTITUTE(SUBSTITUTE("id:"&amp;A1670,"%","%25"),"~","%7E"),"*","%2A"),"?","%3F"))</x:f>
      </x:c>
    </x:row>
    <x:row r="1671" ht="22" customHeight="1">
      <x:c r="A1671" s="3"/>
      <x:c r="B1671" s="3"/>
      <x:c r="C1671" s="3"/>
      <x:c r="D1671" s="4"/>
      <x:c r="E1671" s="4"/>
      <x:c r="F1671" s="4"/>
      <x:c r="G1671" s="5" t="str">
        <x:f>IF(COUNTA(A1671:F1671)=0,"",IF(K1671&lt;&gt;"","Review",IF(I1671&lt;0,"Overdue",IF(I1671=0,"Due now",IF(I1671&lt;=M1671,"Due soon","Not due")))))</x:f>
      </x:c>
      <x:c r="H1671" s="5" t="str">
        <x:f>IF(OR(COUNTA(A1671:F1671)=0,COUNTIFS('Rules'!$G$7:$G$26,"="&amp;(SUBSTITUTE(SUBSTITUTE(SUBSTITUTE(SUBSTITUTE("type:"&amp;B1671,"%","%25"),"~","%7E"),"*","%2A"),"?","%3F")))&lt;&gt;1),"",IF(OR(INDEX('Rules'!$B$7:$B$26,MATCH(SUBSTITUTE(SUBSTITUTE(SUBSTITUTE(SUBSTITUTE("type:"&amp;B1671,"%","%25"),"~","%7E"),"*","%2A"),"?","%3F"),'Rules'!$G$7:$G$26,0))="hours",INDEX('Rules'!$B$7:$B$26,MATCH(SUBSTITUTE(SUBSTITUTE(SUBSTITUTE(SUBSTITUTE("type:"&amp;B1671,"%","%25"),"~","%7E"),"*","%2A"),"?","%3F"),'Rules'!$G$7:$G$26,0))="km"),INDEX('Rules'!$B$7:$B$26,MATCH(SUBSTITUTE(SUBSTITUTE(SUBSTITUTE(SUBSTITUTE("type:"&amp;B1671,"%","%25"),"~","%7E"),"*","%2A"),"?","%3F"),'Rules'!$G$7:$G$26,0)),""))</x:f>
      </x:c>
      <x:c r="I1671" s="6" t="str">
        <x:f>IF(AND(NOT(COUNTA(A1671:F1671)=0),K1671=""),ROUND(J1671-D1671,3),"")</x:f>
      </x:c>
      <x:c r="J1671" s="6" t="str">
        <x:f>IF(AND(NOT(COUNTA(A1671:F1671)=0),K1671=""),ROUND(F1671+L1671,3),"")</x:f>
      </x:c>
      <x:c r="K1671" s="5" t="str">
        <x:f>IF(COUNTA(A1671:F1671)=0,"",IF(A1671="","Missing equipment ID",IF(COUNTIFS($N$8:$N$2007,"="&amp;N1671)&gt;1,"Duplicate equipment ID",IF(B1671="","Missing type",IF(COUNTIFS('Rules'!$G$7:$G$26,"="&amp;(SUBSTITUTE(SUBSTITUTE(SUBSTITUTE(SUBSTITUTE("type:"&amp;B1671,"%","%25"),"~","%7E"),"*","%2A"),"?","%3F")))=0,"Unknown type",IF(COUNTIFS('Rules'!$G$7:$G$26,"="&amp;(SUBSTITUTE(SUBSTITUTE(SUBSTITUTE(SUBSTITUTE("type:"&amp;B1671,"%","%25"),"~","%7E"),"*","%2A"),"?","%3F")))&gt;1,"Duplicate type",IF(INDEX('Rules'!$F$7:$F$26,MATCH(SUBSTITUTE(SUBSTITUTE(SUBSTITUTE(SUBSTITUTE("type:"&amp;B1671,"%","%25"),"~","%7E"),"*","%2A"),"?","%3F"),'Rules'!$G$7:$G$26,0))&lt;&gt;"",INDEX('Rules'!$F$7:$F$26,MATCH(SUBSTITUTE(SUBSTITUTE(SUBSTITUTE(SUBSTITUTE("type:"&amp;B1671,"%","%25"),"~","%7E"),"*","%2A"),"?","%3F"),'Rules'!$G$7:$G$26,0)),IF(AND(C1671&lt;&gt;"",C1671&lt;&gt;INDEX('Rules'!$B$7:$B$26,MATCH(SUBSTITUTE(SUBSTITUTE(SUBSTITUTE(SUBSTITUTE("type:"&amp;B1671,"%","%25"),"~","%7E"),"*","%2A"),"?","%3F"),'Rules'!$G$7:$G$26,0))),"Unit mismatch",IF(IF(NOT(ISNUMBER(D1671)),TRUE,OR(D1671&lt;0,D1671&gt;999999999,ROUND(D1671,3)&lt;&gt;D1671)),"Invalid current reading",IF(AND(E1671&lt;&gt;"",IF(NOT(ISNUMBER(E1671)),TRUE,OR(E1671&lt;0,E1671&gt;999999999,ROUND(E1671,3)&lt;&gt;E1671))),"Invalid previous reading",IF(IF(NOT(ISNUMBER(F1671)),TRUE,OR(F1671&lt;0,F1671&gt;999999999,ROUND(F1671,3)&lt;&gt;F1671)),"Invalid last service",IF(AND(E1671&lt;&gt;"",D1671&lt;E1671),"Decreased reading",IF(F1671&gt;D1671,"Last service above current","")))))))))))))</x:f>
      </x:c>
      <x:c r="L1671" s="6" t="str">
        <x:f>IF(AND(NOT(COUNTA(A1671:F1671)=0),K1671=""),INDEX('Rules'!$C$7:$C$26,MATCH(SUBSTITUTE(SUBSTITUTE(SUBSTITUTE(SUBSTITUTE("type:"&amp;B1671,"%","%25"),"~","%7E"),"*","%2A"),"?","%3F"),'Rules'!$G$7:$G$26,0)),"")</x:f>
      </x:c>
      <x:c r="M1671" s="6" t="str">
        <x:f>IF(AND(NOT(COUNTA(A1671:F1671)=0),K1671=""),INDEX('Rules'!$D$7:$D$26,MATCH(SUBSTITUTE(SUBSTITUTE(SUBSTITUTE(SUBSTITUTE("type:"&amp;B1671,"%","%25"),"~","%7E"),"*","%2A"),"?","%3F"),'Rules'!$G$7:$G$26,0)),"")</x:f>
      </x:c>
      <x:c r="N1671" s="5" t="str">
        <x:f>IF(COUNTA(A1671:F1671)=0,"",SUBSTITUTE(SUBSTITUTE(SUBSTITUTE(SUBSTITUTE("id:"&amp;A1671,"%","%25"),"~","%7E"),"*","%2A"),"?","%3F"))</x:f>
      </x:c>
    </x:row>
    <x:row r="1672" ht="22" customHeight="1">
      <x:c r="A1672" s="3"/>
      <x:c r="B1672" s="3"/>
      <x:c r="C1672" s="3"/>
      <x:c r="D1672" s="4"/>
      <x:c r="E1672" s="4"/>
      <x:c r="F1672" s="4"/>
      <x:c r="G1672" s="5" t="str">
        <x:f>IF(COUNTA(A1672:F1672)=0,"",IF(K1672&lt;&gt;"","Review",IF(I1672&lt;0,"Overdue",IF(I1672=0,"Due now",IF(I1672&lt;=M1672,"Due soon","Not due")))))</x:f>
      </x:c>
      <x:c r="H1672" s="5" t="str">
        <x:f>IF(OR(COUNTA(A1672:F1672)=0,COUNTIFS('Rules'!$G$7:$G$26,"="&amp;(SUBSTITUTE(SUBSTITUTE(SUBSTITUTE(SUBSTITUTE("type:"&amp;B1672,"%","%25"),"~","%7E"),"*","%2A"),"?","%3F")))&lt;&gt;1),"",IF(OR(INDEX('Rules'!$B$7:$B$26,MATCH(SUBSTITUTE(SUBSTITUTE(SUBSTITUTE(SUBSTITUTE("type:"&amp;B1672,"%","%25"),"~","%7E"),"*","%2A"),"?","%3F"),'Rules'!$G$7:$G$26,0))="hours",INDEX('Rules'!$B$7:$B$26,MATCH(SUBSTITUTE(SUBSTITUTE(SUBSTITUTE(SUBSTITUTE("type:"&amp;B1672,"%","%25"),"~","%7E"),"*","%2A"),"?","%3F"),'Rules'!$G$7:$G$26,0))="km"),INDEX('Rules'!$B$7:$B$26,MATCH(SUBSTITUTE(SUBSTITUTE(SUBSTITUTE(SUBSTITUTE("type:"&amp;B1672,"%","%25"),"~","%7E"),"*","%2A"),"?","%3F"),'Rules'!$G$7:$G$26,0)),""))</x:f>
      </x:c>
      <x:c r="I1672" s="6" t="str">
        <x:f>IF(AND(NOT(COUNTA(A1672:F1672)=0),K1672=""),ROUND(J1672-D1672,3),"")</x:f>
      </x:c>
      <x:c r="J1672" s="6" t="str">
        <x:f>IF(AND(NOT(COUNTA(A1672:F1672)=0),K1672=""),ROUND(F1672+L1672,3),"")</x:f>
      </x:c>
      <x:c r="K1672" s="5" t="str">
        <x:f>IF(COUNTA(A1672:F1672)=0,"",IF(A1672="","Missing equipment ID",IF(COUNTIFS($N$8:$N$2007,"="&amp;N1672)&gt;1,"Duplicate equipment ID",IF(B1672="","Missing type",IF(COUNTIFS('Rules'!$G$7:$G$26,"="&amp;(SUBSTITUTE(SUBSTITUTE(SUBSTITUTE(SUBSTITUTE("type:"&amp;B1672,"%","%25"),"~","%7E"),"*","%2A"),"?","%3F")))=0,"Unknown type",IF(COUNTIFS('Rules'!$G$7:$G$26,"="&amp;(SUBSTITUTE(SUBSTITUTE(SUBSTITUTE(SUBSTITUTE("type:"&amp;B1672,"%","%25"),"~","%7E"),"*","%2A"),"?","%3F")))&gt;1,"Duplicate type",IF(INDEX('Rules'!$F$7:$F$26,MATCH(SUBSTITUTE(SUBSTITUTE(SUBSTITUTE(SUBSTITUTE("type:"&amp;B1672,"%","%25"),"~","%7E"),"*","%2A"),"?","%3F"),'Rules'!$G$7:$G$26,0))&lt;&gt;"",INDEX('Rules'!$F$7:$F$26,MATCH(SUBSTITUTE(SUBSTITUTE(SUBSTITUTE(SUBSTITUTE("type:"&amp;B1672,"%","%25"),"~","%7E"),"*","%2A"),"?","%3F"),'Rules'!$G$7:$G$26,0)),IF(AND(C1672&lt;&gt;"",C1672&lt;&gt;INDEX('Rules'!$B$7:$B$26,MATCH(SUBSTITUTE(SUBSTITUTE(SUBSTITUTE(SUBSTITUTE("type:"&amp;B1672,"%","%25"),"~","%7E"),"*","%2A"),"?","%3F"),'Rules'!$G$7:$G$26,0))),"Unit mismatch",IF(IF(NOT(ISNUMBER(D1672)),TRUE,OR(D1672&lt;0,D1672&gt;999999999,ROUND(D1672,3)&lt;&gt;D1672)),"Invalid current reading",IF(AND(E1672&lt;&gt;"",IF(NOT(ISNUMBER(E1672)),TRUE,OR(E1672&lt;0,E1672&gt;999999999,ROUND(E1672,3)&lt;&gt;E1672))),"Invalid previous reading",IF(IF(NOT(ISNUMBER(F1672)),TRUE,OR(F1672&lt;0,F1672&gt;999999999,ROUND(F1672,3)&lt;&gt;F1672)),"Invalid last service",IF(AND(E1672&lt;&gt;"",D1672&lt;E1672),"Decreased reading",IF(F1672&gt;D1672,"Last service above current","")))))))))))))</x:f>
      </x:c>
      <x:c r="L1672" s="6" t="str">
        <x:f>IF(AND(NOT(COUNTA(A1672:F1672)=0),K1672=""),INDEX('Rules'!$C$7:$C$26,MATCH(SUBSTITUTE(SUBSTITUTE(SUBSTITUTE(SUBSTITUTE("type:"&amp;B1672,"%","%25"),"~","%7E"),"*","%2A"),"?","%3F"),'Rules'!$G$7:$G$26,0)),"")</x:f>
      </x:c>
      <x:c r="M1672" s="6" t="str">
        <x:f>IF(AND(NOT(COUNTA(A1672:F1672)=0),K1672=""),INDEX('Rules'!$D$7:$D$26,MATCH(SUBSTITUTE(SUBSTITUTE(SUBSTITUTE(SUBSTITUTE("type:"&amp;B1672,"%","%25"),"~","%7E"),"*","%2A"),"?","%3F"),'Rules'!$G$7:$G$26,0)),"")</x:f>
      </x:c>
      <x:c r="N1672" s="5" t="str">
        <x:f>IF(COUNTA(A1672:F1672)=0,"",SUBSTITUTE(SUBSTITUTE(SUBSTITUTE(SUBSTITUTE("id:"&amp;A1672,"%","%25"),"~","%7E"),"*","%2A"),"?","%3F"))</x:f>
      </x:c>
    </x:row>
    <x:row r="1673" ht="22" customHeight="1">
      <x:c r="A1673" s="3"/>
      <x:c r="B1673" s="3"/>
      <x:c r="C1673" s="3"/>
      <x:c r="D1673" s="4"/>
      <x:c r="E1673" s="4"/>
      <x:c r="F1673" s="4"/>
      <x:c r="G1673" s="5" t="str">
        <x:f>IF(COUNTA(A1673:F1673)=0,"",IF(K1673&lt;&gt;"","Review",IF(I1673&lt;0,"Overdue",IF(I1673=0,"Due now",IF(I1673&lt;=M1673,"Due soon","Not due")))))</x:f>
      </x:c>
      <x:c r="H1673" s="5" t="str">
        <x:f>IF(OR(COUNTA(A1673:F1673)=0,COUNTIFS('Rules'!$G$7:$G$26,"="&amp;(SUBSTITUTE(SUBSTITUTE(SUBSTITUTE(SUBSTITUTE("type:"&amp;B1673,"%","%25"),"~","%7E"),"*","%2A"),"?","%3F")))&lt;&gt;1),"",IF(OR(INDEX('Rules'!$B$7:$B$26,MATCH(SUBSTITUTE(SUBSTITUTE(SUBSTITUTE(SUBSTITUTE("type:"&amp;B1673,"%","%25"),"~","%7E"),"*","%2A"),"?","%3F"),'Rules'!$G$7:$G$26,0))="hours",INDEX('Rules'!$B$7:$B$26,MATCH(SUBSTITUTE(SUBSTITUTE(SUBSTITUTE(SUBSTITUTE("type:"&amp;B1673,"%","%25"),"~","%7E"),"*","%2A"),"?","%3F"),'Rules'!$G$7:$G$26,0))="km"),INDEX('Rules'!$B$7:$B$26,MATCH(SUBSTITUTE(SUBSTITUTE(SUBSTITUTE(SUBSTITUTE("type:"&amp;B1673,"%","%25"),"~","%7E"),"*","%2A"),"?","%3F"),'Rules'!$G$7:$G$26,0)),""))</x:f>
      </x:c>
      <x:c r="I1673" s="6" t="str">
        <x:f>IF(AND(NOT(COUNTA(A1673:F1673)=0),K1673=""),ROUND(J1673-D1673,3),"")</x:f>
      </x:c>
      <x:c r="J1673" s="6" t="str">
        <x:f>IF(AND(NOT(COUNTA(A1673:F1673)=0),K1673=""),ROUND(F1673+L1673,3),"")</x:f>
      </x:c>
      <x:c r="K1673" s="5" t="str">
        <x:f>IF(COUNTA(A1673:F1673)=0,"",IF(A1673="","Missing equipment ID",IF(COUNTIFS($N$8:$N$2007,"="&amp;N1673)&gt;1,"Duplicate equipment ID",IF(B1673="","Missing type",IF(COUNTIFS('Rules'!$G$7:$G$26,"="&amp;(SUBSTITUTE(SUBSTITUTE(SUBSTITUTE(SUBSTITUTE("type:"&amp;B1673,"%","%25"),"~","%7E"),"*","%2A"),"?","%3F")))=0,"Unknown type",IF(COUNTIFS('Rules'!$G$7:$G$26,"="&amp;(SUBSTITUTE(SUBSTITUTE(SUBSTITUTE(SUBSTITUTE("type:"&amp;B1673,"%","%25"),"~","%7E"),"*","%2A"),"?","%3F")))&gt;1,"Duplicate type",IF(INDEX('Rules'!$F$7:$F$26,MATCH(SUBSTITUTE(SUBSTITUTE(SUBSTITUTE(SUBSTITUTE("type:"&amp;B1673,"%","%25"),"~","%7E"),"*","%2A"),"?","%3F"),'Rules'!$G$7:$G$26,0))&lt;&gt;"",INDEX('Rules'!$F$7:$F$26,MATCH(SUBSTITUTE(SUBSTITUTE(SUBSTITUTE(SUBSTITUTE("type:"&amp;B1673,"%","%25"),"~","%7E"),"*","%2A"),"?","%3F"),'Rules'!$G$7:$G$26,0)),IF(AND(C1673&lt;&gt;"",C1673&lt;&gt;INDEX('Rules'!$B$7:$B$26,MATCH(SUBSTITUTE(SUBSTITUTE(SUBSTITUTE(SUBSTITUTE("type:"&amp;B1673,"%","%25"),"~","%7E"),"*","%2A"),"?","%3F"),'Rules'!$G$7:$G$26,0))),"Unit mismatch",IF(IF(NOT(ISNUMBER(D1673)),TRUE,OR(D1673&lt;0,D1673&gt;999999999,ROUND(D1673,3)&lt;&gt;D1673)),"Invalid current reading",IF(AND(E1673&lt;&gt;"",IF(NOT(ISNUMBER(E1673)),TRUE,OR(E1673&lt;0,E1673&gt;999999999,ROUND(E1673,3)&lt;&gt;E1673))),"Invalid previous reading",IF(IF(NOT(ISNUMBER(F1673)),TRUE,OR(F1673&lt;0,F1673&gt;999999999,ROUND(F1673,3)&lt;&gt;F1673)),"Invalid last service",IF(AND(E1673&lt;&gt;"",D1673&lt;E1673),"Decreased reading",IF(F1673&gt;D1673,"Last service above current","")))))))))))))</x:f>
      </x:c>
      <x:c r="L1673" s="6" t="str">
        <x:f>IF(AND(NOT(COUNTA(A1673:F1673)=0),K1673=""),INDEX('Rules'!$C$7:$C$26,MATCH(SUBSTITUTE(SUBSTITUTE(SUBSTITUTE(SUBSTITUTE("type:"&amp;B1673,"%","%25"),"~","%7E"),"*","%2A"),"?","%3F"),'Rules'!$G$7:$G$26,0)),"")</x:f>
      </x:c>
      <x:c r="M1673" s="6" t="str">
        <x:f>IF(AND(NOT(COUNTA(A1673:F1673)=0),K1673=""),INDEX('Rules'!$D$7:$D$26,MATCH(SUBSTITUTE(SUBSTITUTE(SUBSTITUTE(SUBSTITUTE("type:"&amp;B1673,"%","%25"),"~","%7E"),"*","%2A"),"?","%3F"),'Rules'!$G$7:$G$26,0)),"")</x:f>
      </x:c>
      <x:c r="N1673" s="5" t="str">
        <x:f>IF(COUNTA(A1673:F1673)=0,"",SUBSTITUTE(SUBSTITUTE(SUBSTITUTE(SUBSTITUTE("id:"&amp;A1673,"%","%25"),"~","%7E"),"*","%2A"),"?","%3F"))</x:f>
      </x:c>
    </x:row>
    <x:row r="1674" ht="22" customHeight="1">
      <x:c r="A1674" s="3"/>
      <x:c r="B1674" s="3"/>
      <x:c r="C1674" s="3"/>
      <x:c r="D1674" s="4"/>
      <x:c r="E1674" s="4"/>
      <x:c r="F1674" s="4"/>
      <x:c r="G1674" s="5" t="str">
        <x:f>IF(COUNTA(A1674:F1674)=0,"",IF(K1674&lt;&gt;"","Review",IF(I1674&lt;0,"Overdue",IF(I1674=0,"Due now",IF(I1674&lt;=M1674,"Due soon","Not due")))))</x:f>
      </x:c>
      <x:c r="H1674" s="5" t="str">
        <x:f>IF(OR(COUNTA(A1674:F1674)=0,COUNTIFS('Rules'!$G$7:$G$26,"="&amp;(SUBSTITUTE(SUBSTITUTE(SUBSTITUTE(SUBSTITUTE("type:"&amp;B1674,"%","%25"),"~","%7E"),"*","%2A"),"?","%3F")))&lt;&gt;1),"",IF(OR(INDEX('Rules'!$B$7:$B$26,MATCH(SUBSTITUTE(SUBSTITUTE(SUBSTITUTE(SUBSTITUTE("type:"&amp;B1674,"%","%25"),"~","%7E"),"*","%2A"),"?","%3F"),'Rules'!$G$7:$G$26,0))="hours",INDEX('Rules'!$B$7:$B$26,MATCH(SUBSTITUTE(SUBSTITUTE(SUBSTITUTE(SUBSTITUTE("type:"&amp;B1674,"%","%25"),"~","%7E"),"*","%2A"),"?","%3F"),'Rules'!$G$7:$G$26,0))="km"),INDEX('Rules'!$B$7:$B$26,MATCH(SUBSTITUTE(SUBSTITUTE(SUBSTITUTE(SUBSTITUTE("type:"&amp;B1674,"%","%25"),"~","%7E"),"*","%2A"),"?","%3F"),'Rules'!$G$7:$G$26,0)),""))</x:f>
      </x:c>
      <x:c r="I1674" s="6" t="str">
        <x:f>IF(AND(NOT(COUNTA(A1674:F1674)=0),K1674=""),ROUND(J1674-D1674,3),"")</x:f>
      </x:c>
      <x:c r="J1674" s="6" t="str">
        <x:f>IF(AND(NOT(COUNTA(A1674:F1674)=0),K1674=""),ROUND(F1674+L1674,3),"")</x:f>
      </x:c>
      <x:c r="K1674" s="5" t="str">
        <x:f>IF(COUNTA(A1674:F1674)=0,"",IF(A1674="","Missing equipment ID",IF(COUNTIFS($N$8:$N$2007,"="&amp;N1674)&gt;1,"Duplicate equipment ID",IF(B1674="","Missing type",IF(COUNTIFS('Rules'!$G$7:$G$26,"="&amp;(SUBSTITUTE(SUBSTITUTE(SUBSTITUTE(SUBSTITUTE("type:"&amp;B1674,"%","%25"),"~","%7E"),"*","%2A"),"?","%3F")))=0,"Unknown type",IF(COUNTIFS('Rules'!$G$7:$G$26,"="&amp;(SUBSTITUTE(SUBSTITUTE(SUBSTITUTE(SUBSTITUTE("type:"&amp;B1674,"%","%25"),"~","%7E"),"*","%2A"),"?","%3F")))&gt;1,"Duplicate type",IF(INDEX('Rules'!$F$7:$F$26,MATCH(SUBSTITUTE(SUBSTITUTE(SUBSTITUTE(SUBSTITUTE("type:"&amp;B1674,"%","%25"),"~","%7E"),"*","%2A"),"?","%3F"),'Rules'!$G$7:$G$26,0))&lt;&gt;"",INDEX('Rules'!$F$7:$F$26,MATCH(SUBSTITUTE(SUBSTITUTE(SUBSTITUTE(SUBSTITUTE("type:"&amp;B1674,"%","%25"),"~","%7E"),"*","%2A"),"?","%3F"),'Rules'!$G$7:$G$26,0)),IF(AND(C1674&lt;&gt;"",C1674&lt;&gt;INDEX('Rules'!$B$7:$B$26,MATCH(SUBSTITUTE(SUBSTITUTE(SUBSTITUTE(SUBSTITUTE("type:"&amp;B1674,"%","%25"),"~","%7E"),"*","%2A"),"?","%3F"),'Rules'!$G$7:$G$26,0))),"Unit mismatch",IF(IF(NOT(ISNUMBER(D1674)),TRUE,OR(D1674&lt;0,D1674&gt;999999999,ROUND(D1674,3)&lt;&gt;D1674)),"Invalid current reading",IF(AND(E1674&lt;&gt;"",IF(NOT(ISNUMBER(E1674)),TRUE,OR(E1674&lt;0,E1674&gt;999999999,ROUND(E1674,3)&lt;&gt;E1674))),"Invalid previous reading",IF(IF(NOT(ISNUMBER(F1674)),TRUE,OR(F1674&lt;0,F1674&gt;999999999,ROUND(F1674,3)&lt;&gt;F1674)),"Invalid last service",IF(AND(E1674&lt;&gt;"",D1674&lt;E1674),"Decreased reading",IF(F1674&gt;D1674,"Last service above current","")))))))))))))</x:f>
      </x:c>
      <x:c r="L1674" s="6" t="str">
        <x:f>IF(AND(NOT(COUNTA(A1674:F1674)=0),K1674=""),INDEX('Rules'!$C$7:$C$26,MATCH(SUBSTITUTE(SUBSTITUTE(SUBSTITUTE(SUBSTITUTE("type:"&amp;B1674,"%","%25"),"~","%7E"),"*","%2A"),"?","%3F"),'Rules'!$G$7:$G$26,0)),"")</x:f>
      </x:c>
      <x:c r="M1674" s="6" t="str">
        <x:f>IF(AND(NOT(COUNTA(A1674:F1674)=0),K1674=""),INDEX('Rules'!$D$7:$D$26,MATCH(SUBSTITUTE(SUBSTITUTE(SUBSTITUTE(SUBSTITUTE("type:"&amp;B1674,"%","%25"),"~","%7E"),"*","%2A"),"?","%3F"),'Rules'!$G$7:$G$26,0)),"")</x:f>
      </x:c>
      <x:c r="N1674" s="5" t="str">
        <x:f>IF(COUNTA(A1674:F1674)=0,"",SUBSTITUTE(SUBSTITUTE(SUBSTITUTE(SUBSTITUTE("id:"&amp;A1674,"%","%25"),"~","%7E"),"*","%2A"),"?","%3F"))</x:f>
      </x:c>
    </x:row>
    <x:row r="1675" ht="22" customHeight="1">
      <x:c r="A1675" s="3"/>
      <x:c r="B1675" s="3"/>
      <x:c r="C1675" s="3"/>
      <x:c r="D1675" s="4"/>
      <x:c r="E1675" s="4"/>
      <x:c r="F1675" s="4"/>
      <x:c r="G1675" s="5" t="str">
        <x:f>IF(COUNTA(A1675:F1675)=0,"",IF(K1675&lt;&gt;"","Review",IF(I1675&lt;0,"Overdue",IF(I1675=0,"Due now",IF(I1675&lt;=M1675,"Due soon","Not due")))))</x:f>
      </x:c>
      <x:c r="H1675" s="5" t="str">
        <x:f>IF(OR(COUNTA(A1675:F1675)=0,COUNTIFS('Rules'!$G$7:$G$26,"="&amp;(SUBSTITUTE(SUBSTITUTE(SUBSTITUTE(SUBSTITUTE("type:"&amp;B1675,"%","%25"),"~","%7E"),"*","%2A"),"?","%3F")))&lt;&gt;1),"",IF(OR(INDEX('Rules'!$B$7:$B$26,MATCH(SUBSTITUTE(SUBSTITUTE(SUBSTITUTE(SUBSTITUTE("type:"&amp;B1675,"%","%25"),"~","%7E"),"*","%2A"),"?","%3F"),'Rules'!$G$7:$G$26,0))="hours",INDEX('Rules'!$B$7:$B$26,MATCH(SUBSTITUTE(SUBSTITUTE(SUBSTITUTE(SUBSTITUTE("type:"&amp;B1675,"%","%25"),"~","%7E"),"*","%2A"),"?","%3F"),'Rules'!$G$7:$G$26,0))="km"),INDEX('Rules'!$B$7:$B$26,MATCH(SUBSTITUTE(SUBSTITUTE(SUBSTITUTE(SUBSTITUTE("type:"&amp;B1675,"%","%25"),"~","%7E"),"*","%2A"),"?","%3F"),'Rules'!$G$7:$G$26,0)),""))</x:f>
      </x:c>
      <x:c r="I1675" s="6" t="str">
        <x:f>IF(AND(NOT(COUNTA(A1675:F1675)=0),K1675=""),ROUND(J1675-D1675,3),"")</x:f>
      </x:c>
      <x:c r="J1675" s="6" t="str">
        <x:f>IF(AND(NOT(COUNTA(A1675:F1675)=0),K1675=""),ROUND(F1675+L1675,3),"")</x:f>
      </x:c>
      <x:c r="K1675" s="5" t="str">
        <x:f>IF(COUNTA(A1675:F1675)=0,"",IF(A1675="","Missing equipment ID",IF(COUNTIFS($N$8:$N$2007,"="&amp;N1675)&gt;1,"Duplicate equipment ID",IF(B1675="","Missing type",IF(COUNTIFS('Rules'!$G$7:$G$26,"="&amp;(SUBSTITUTE(SUBSTITUTE(SUBSTITUTE(SUBSTITUTE("type:"&amp;B1675,"%","%25"),"~","%7E"),"*","%2A"),"?","%3F")))=0,"Unknown type",IF(COUNTIFS('Rules'!$G$7:$G$26,"="&amp;(SUBSTITUTE(SUBSTITUTE(SUBSTITUTE(SUBSTITUTE("type:"&amp;B1675,"%","%25"),"~","%7E"),"*","%2A"),"?","%3F")))&gt;1,"Duplicate type",IF(INDEX('Rules'!$F$7:$F$26,MATCH(SUBSTITUTE(SUBSTITUTE(SUBSTITUTE(SUBSTITUTE("type:"&amp;B1675,"%","%25"),"~","%7E"),"*","%2A"),"?","%3F"),'Rules'!$G$7:$G$26,0))&lt;&gt;"",INDEX('Rules'!$F$7:$F$26,MATCH(SUBSTITUTE(SUBSTITUTE(SUBSTITUTE(SUBSTITUTE("type:"&amp;B1675,"%","%25"),"~","%7E"),"*","%2A"),"?","%3F"),'Rules'!$G$7:$G$26,0)),IF(AND(C1675&lt;&gt;"",C1675&lt;&gt;INDEX('Rules'!$B$7:$B$26,MATCH(SUBSTITUTE(SUBSTITUTE(SUBSTITUTE(SUBSTITUTE("type:"&amp;B1675,"%","%25"),"~","%7E"),"*","%2A"),"?","%3F"),'Rules'!$G$7:$G$26,0))),"Unit mismatch",IF(IF(NOT(ISNUMBER(D1675)),TRUE,OR(D1675&lt;0,D1675&gt;999999999,ROUND(D1675,3)&lt;&gt;D1675)),"Invalid current reading",IF(AND(E1675&lt;&gt;"",IF(NOT(ISNUMBER(E1675)),TRUE,OR(E1675&lt;0,E1675&gt;999999999,ROUND(E1675,3)&lt;&gt;E1675))),"Invalid previous reading",IF(IF(NOT(ISNUMBER(F1675)),TRUE,OR(F1675&lt;0,F1675&gt;999999999,ROUND(F1675,3)&lt;&gt;F1675)),"Invalid last service",IF(AND(E1675&lt;&gt;"",D1675&lt;E1675),"Decreased reading",IF(F1675&gt;D1675,"Last service above current","")))))))))))))</x:f>
      </x:c>
      <x:c r="L1675" s="6" t="str">
        <x:f>IF(AND(NOT(COUNTA(A1675:F1675)=0),K1675=""),INDEX('Rules'!$C$7:$C$26,MATCH(SUBSTITUTE(SUBSTITUTE(SUBSTITUTE(SUBSTITUTE("type:"&amp;B1675,"%","%25"),"~","%7E"),"*","%2A"),"?","%3F"),'Rules'!$G$7:$G$26,0)),"")</x:f>
      </x:c>
      <x:c r="M1675" s="6" t="str">
        <x:f>IF(AND(NOT(COUNTA(A1675:F1675)=0),K1675=""),INDEX('Rules'!$D$7:$D$26,MATCH(SUBSTITUTE(SUBSTITUTE(SUBSTITUTE(SUBSTITUTE("type:"&amp;B1675,"%","%25"),"~","%7E"),"*","%2A"),"?","%3F"),'Rules'!$G$7:$G$26,0)),"")</x:f>
      </x:c>
      <x:c r="N1675" s="5" t="str">
        <x:f>IF(COUNTA(A1675:F1675)=0,"",SUBSTITUTE(SUBSTITUTE(SUBSTITUTE(SUBSTITUTE("id:"&amp;A1675,"%","%25"),"~","%7E"),"*","%2A"),"?","%3F"))</x:f>
      </x:c>
    </x:row>
    <x:row r="1676" ht="22" customHeight="1">
      <x:c r="A1676" s="3"/>
      <x:c r="B1676" s="3"/>
      <x:c r="C1676" s="3"/>
      <x:c r="D1676" s="4"/>
      <x:c r="E1676" s="4"/>
      <x:c r="F1676" s="4"/>
      <x:c r="G1676" s="5" t="str">
        <x:f>IF(COUNTA(A1676:F1676)=0,"",IF(K1676&lt;&gt;"","Review",IF(I1676&lt;0,"Overdue",IF(I1676=0,"Due now",IF(I1676&lt;=M1676,"Due soon","Not due")))))</x:f>
      </x:c>
      <x:c r="H1676" s="5" t="str">
        <x:f>IF(OR(COUNTA(A1676:F1676)=0,COUNTIFS('Rules'!$G$7:$G$26,"="&amp;(SUBSTITUTE(SUBSTITUTE(SUBSTITUTE(SUBSTITUTE("type:"&amp;B1676,"%","%25"),"~","%7E"),"*","%2A"),"?","%3F")))&lt;&gt;1),"",IF(OR(INDEX('Rules'!$B$7:$B$26,MATCH(SUBSTITUTE(SUBSTITUTE(SUBSTITUTE(SUBSTITUTE("type:"&amp;B1676,"%","%25"),"~","%7E"),"*","%2A"),"?","%3F"),'Rules'!$G$7:$G$26,0))="hours",INDEX('Rules'!$B$7:$B$26,MATCH(SUBSTITUTE(SUBSTITUTE(SUBSTITUTE(SUBSTITUTE("type:"&amp;B1676,"%","%25"),"~","%7E"),"*","%2A"),"?","%3F"),'Rules'!$G$7:$G$26,0))="km"),INDEX('Rules'!$B$7:$B$26,MATCH(SUBSTITUTE(SUBSTITUTE(SUBSTITUTE(SUBSTITUTE("type:"&amp;B1676,"%","%25"),"~","%7E"),"*","%2A"),"?","%3F"),'Rules'!$G$7:$G$26,0)),""))</x:f>
      </x:c>
      <x:c r="I1676" s="6" t="str">
        <x:f>IF(AND(NOT(COUNTA(A1676:F1676)=0),K1676=""),ROUND(J1676-D1676,3),"")</x:f>
      </x:c>
      <x:c r="J1676" s="6" t="str">
        <x:f>IF(AND(NOT(COUNTA(A1676:F1676)=0),K1676=""),ROUND(F1676+L1676,3),"")</x:f>
      </x:c>
      <x:c r="K1676" s="5" t="str">
        <x:f>IF(COUNTA(A1676:F1676)=0,"",IF(A1676="","Missing equipment ID",IF(COUNTIFS($N$8:$N$2007,"="&amp;N1676)&gt;1,"Duplicate equipment ID",IF(B1676="","Missing type",IF(COUNTIFS('Rules'!$G$7:$G$26,"="&amp;(SUBSTITUTE(SUBSTITUTE(SUBSTITUTE(SUBSTITUTE("type:"&amp;B1676,"%","%25"),"~","%7E"),"*","%2A"),"?","%3F")))=0,"Unknown type",IF(COUNTIFS('Rules'!$G$7:$G$26,"="&amp;(SUBSTITUTE(SUBSTITUTE(SUBSTITUTE(SUBSTITUTE("type:"&amp;B1676,"%","%25"),"~","%7E"),"*","%2A"),"?","%3F")))&gt;1,"Duplicate type",IF(INDEX('Rules'!$F$7:$F$26,MATCH(SUBSTITUTE(SUBSTITUTE(SUBSTITUTE(SUBSTITUTE("type:"&amp;B1676,"%","%25"),"~","%7E"),"*","%2A"),"?","%3F"),'Rules'!$G$7:$G$26,0))&lt;&gt;"",INDEX('Rules'!$F$7:$F$26,MATCH(SUBSTITUTE(SUBSTITUTE(SUBSTITUTE(SUBSTITUTE("type:"&amp;B1676,"%","%25"),"~","%7E"),"*","%2A"),"?","%3F"),'Rules'!$G$7:$G$26,0)),IF(AND(C1676&lt;&gt;"",C1676&lt;&gt;INDEX('Rules'!$B$7:$B$26,MATCH(SUBSTITUTE(SUBSTITUTE(SUBSTITUTE(SUBSTITUTE("type:"&amp;B1676,"%","%25"),"~","%7E"),"*","%2A"),"?","%3F"),'Rules'!$G$7:$G$26,0))),"Unit mismatch",IF(IF(NOT(ISNUMBER(D1676)),TRUE,OR(D1676&lt;0,D1676&gt;999999999,ROUND(D1676,3)&lt;&gt;D1676)),"Invalid current reading",IF(AND(E1676&lt;&gt;"",IF(NOT(ISNUMBER(E1676)),TRUE,OR(E1676&lt;0,E1676&gt;999999999,ROUND(E1676,3)&lt;&gt;E1676))),"Invalid previous reading",IF(IF(NOT(ISNUMBER(F1676)),TRUE,OR(F1676&lt;0,F1676&gt;999999999,ROUND(F1676,3)&lt;&gt;F1676)),"Invalid last service",IF(AND(E1676&lt;&gt;"",D1676&lt;E1676),"Decreased reading",IF(F1676&gt;D1676,"Last service above current","")))))))))))))</x:f>
      </x:c>
      <x:c r="L1676" s="6" t="str">
        <x:f>IF(AND(NOT(COUNTA(A1676:F1676)=0),K1676=""),INDEX('Rules'!$C$7:$C$26,MATCH(SUBSTITUTE(SUBSTITUTE(SUBSTITUTE(SUBSTITUTE("type:"&amp;B1676,"%","%25"),"~","%7E"),"*","%2A"),"?","%3F"),'Rules'!$G$7:$G$26,0)),"")</x:f>
      </x:c>
      <x:c r="M1676" s="6" t="str">
        <x:f>IF(AND(NOT(COUNTA(A1676:F1676)=0),K1676=""),INDEX('Rules'!$D$7:$D$26,MATCH(SUBSTITUTE(SUBSTITUTE(SUBSTITUTE(SUBSTITUTE("type:"&amp;B1676,"%","%25"),"~","%7E"),"*","%2A"),"?","%3F"),'Rules'!$G$7:$G$26,0)),"")</x:f>
      </x:c>
      <x:c r="N1676" s="5" t="str">
        <x:f>IF(COUNTA(A1676:F1676)=0,"",SUBSTITUTE(SUBSTITUTE(SUBSTITUTE(SUBSTITUTE("id:"&amp;A1676,"%","%25"),"~","%7E"),"*","%2A"),"?","%3F"))</x:f>
      </x:c>
    </x:row>
    <x:row r="1677" ht="22" customHeight="1">
      <x:c r="A1677" s="3"/>
      <x:c r="B1677" s="3"/>
      <x:c r="C1677" s="3"/>
      <x:c r="D1677" s="4"/>
      <x:c r="E1677" s="4"/>
      <x:c r="F1677" s="4"/>
      <x:c r="G1677" s="5" t="str">
        <x:f>IF(COUNTA(A1677:F1677)=0,"",IF(K1677&lt;&gt;"","Review",IF(I1677&lt;0,"Overdue",IF(I1677=0,"Due now",IF(I1677&lt;=M1677,"Due soon","Not due")))))</x:f>
      </x:c>
      <x:c r="H1677" s="5" t="str">
        <x:f>IF(OR(COUNTA(A1677:F1677)=0,COUNTIFS('Rules'!$G$7:$G$26,"="&amp;(SUBSTITUTE(SUBSTITUTE(SUBSTITUTE(SUBSTITUTE("type:"&amp;B1677,"%","%25"),"~","%7E"),"*","%2A"),"?","%3F")))&lt;&gt;1),"",IF(OR(INDEX('Rules'!$B$7:$B$26,MATCH(SUBSTITUTE(SUBSTITUTE(SUBSTITUTE(SUBSTITUTE("type:"&amp;B1677,"%","%25"),"~","%7E"),"*","%2A"),"?","%3F"),'Rules'!$G$7:$G$26,0))="hours",INDEX('Rules'!$B$7:$B$26,MATCH(SUBSTITUTE(SUBSTITUTE(SUBSTITUTE(SUBSTITUTE("type:"&amp;B1677,"%","%25"),"~","%7E"),"*","%2A"),"?","%3F"),'Rules'!$G$7:$G$26,0))="km"),INDEX('Rules'!$B$7:$B$26,MATCH(SUBSTITUTE(SUBSTITUTE(SUBSTITUTE(SUBSTITUTE("type:"&amp;B1677,"%","%25"),"~","%7E"),"*","%2A"),"?","%3F"),'Rules'!$G$7:$G$26,0)),""))</x:f>
      </x:c>
      <x:c r="I1677" s="6" t="str">
        <x:f>IF(AND(NOT(COUNTA(A1677:F1677)=0),K1677=""),ROUND(J1677-D1677,3),"")</x:f>
      </x:c>
      <x:c r="J1677" s="6" t="str">
        <x:f>IF(AND(NOT(COUNTA(A1677:F1677)=0),K1677=""),ROUND(F1677+L1677,3),"")</x:f>
      </x:c>
      <x:c r="K1677" s="5" t="str">
        <x:f>IF(COUNTA(A1677:F1677)=0,"",IF(A1677="","Missing equipment ID",IF(COUNTIFS($N$8:$N$2007,"="&amp;N1677)&gt;1,"Duplicate equipment ID",IF(B1677="","Missing type",IF(COUNTIFS('Rules'!$G$7:$G$26,"="&amp;(SUBSTITUTE(SUBSTITUTE(SUBSTITUTE(SUBSTITUTE("type:"&amp;B1677,"%","%25"),"~","%7E"),"*","%2A"),"?","%3F")))=0,"Unknown type",IF(COUNTIFS('Rules'!$G$7:$G$26,"="&amp;(SUBSTITUTE(SUBSTITUTE(SUBSTITUTE(SUBSTITUTE("type:"&amp;B1677,"%","%25"),"~","%7E"),"*","%2A"),"?","%3F")))&gt;1,"Duplicate type",IF(INDEX('Rules'!$F$7:$F$26,MATCH(SUBSTITUTE(SUBSTITUTE(SUBSTITUTE(SUBSTITUTE("type:"&amp;B1677,"%","%25"),"~","%7E"),"*","%2A"),"?","%3F"),'Rules'!$G$7:$G$26,0))&lt;&gt;"",INDEX('Rules'!$F$7:$F$26,MATCH(SUBSTITUTE(SUBSTITUTE(SUBSTITUTE(SUBSTITUTE("type:"&amp;B1677,"%","%25"),"~","%7E"),"*","%2A"),"?","%3F"),'Rules'!$G$7:$G$26,0)),IF(AND(C1677&lt;&gt;"",C1677&lt;&gt;INDEX('Rules'!$B$7:$B$26,MATCH(SUBSTITUTE(SUBSTITUTE(SUBSTITUTE(SUBSTITUTE("type:"&amp;B1677,"%","%25"),"~","%7E"),"*","%2A"),"?","%3F"),'Rules'!$G$7:$G$26,0))),"Unit mismatch",IF(IF(NOT(ISNUMBER(D1677)),TRUE,OR(D1677&lt;0,D1677&gt;999999999,ROUND(D1677,3)&lt;&gt;D1677)),"Invalid current reading",IF(AND(E1677&lt;&gt;"",IF(NOT(ISNUMBER(E1677)),TRUE,OR(E1677&lt;0,E1677&gt;999999999,ROUND(E1677,3)&lt;&gt;E1677))),"Invalid previous reading",IF(IF(NOT(ISNUMBER(F1677)),TRUE,OR(F1677&lt;0,F1677&gt;999999999,ROUND(F1677,3)&lt;&gt;F1677)),"Invalid last service",IF(AND(E1677&lt;&gt;"",D1677&lt;E1677),"Decreased reading",IF(F1677&gt;D1677,"Last service above current","")))))))))))))</x:f>
      </x:c>
      <x:c r="L1677" s="6" t="str">
        <x:f>IF(AND(NOT(COUNTA(A1677:F1677)=0),K1677=""),INDEX('Rules'!$C$7:$C$26,MATCH(SUBSTITUTE(SUBSTITUTE(SUBSTITUTE(SUBSTITUTE("type:"&amp;B1677,"%","%25"),"~","%7E"),"*","%2A"),"?","%3F"),'Rules'!$G$7:$G$26,0)),"")</x:f>
      </x:c>
      <x:c r="M1677" s="6" t="str">
        <x:f>IF(AND(NOT(COUNTA(A1677:F1677)=0),K1677=""),INDEX('Rules'!$D$7:$D$26,MATCH(SUBSTITUTE(SUBSTITUTE(SUBSTITUTE(SUBSTITUTE("type:"&amp;B1677,"%","%25"),"~","%7E"),"*","%2A"),"?","%3F"),'Rules'!$G$7:$G$26,0)),"")</x:f>
      </x:c>
      <x:c r="N1677" s="5" t="str">
        <x:f>IF(COUNTA(A1677:F1677)=0,"",SUBSTITUTE(SUBSTITUTE(SUBSTITUTE(SUBSTITUTE("id:"&amp;A1677,"%","%25"),"~","%7E"),"*","%2A"),"?","%3F"))</x:f>
      </x:c>
    </x:row>
    <x:row r="1678" ht="22" customHeight="1">
      <x:c r="A1678" s="3"/>
      <x:c r="B1678" s="3"/>
      <x:c r="C1678" s="3"/>
      <x:c r="D1678" s="4"/>
      <x:c r="E1678" s="4"/>
      <x:c r="F1678" s="4"/>
      <x:c r="G1678" s="5" t="str">
        <x:f>IF(COUNTA(A1678:F1678)=0,"",IF(K1678&lt;&gt;"","Review",IF(I1678&lt;0,"Overdue",IF(I1678=0,"Due now",IF(I1678&lt;=M1678,"Due soon","Not due")))))</x:f>
      </x:c>
      <x:c r="H1678" s="5" t="str">
        <x:f>IF(OR(COUNTA(A1678:F1678)=0,COUNTIFS('Rules'!$G$7:$G$26,"="&amp;(SUBSTITUTE(SUBSTITUTE(SUBSTITUTE(SUBSTITUTE("type:"&amp;B1678,"%","%25"),"~","%7E"),"*","%2A"),"?","%3F")))&lt;&gt;1),"",IF(OR(INDEX('Rules'!$B$7:$B$26,MATCH(SUBSTITUTE(SUBSTITUTE(SUBSTITUTE(SUBSTITUTE("type:"&amp;B1678,"%","%25"),"~","%7E"),"*","%2A"),"?","%3F"),'Rules'!$G$7:$G$26,0))="hours",INDEX('Rules'!$B$7:$B$26,MATCH(SUBSTITUTE(SUBSTITUTE(SUBSTITUTE(SUBSTITUTE("type:"&amp;B1678,"%","%25"),"~","%7E"),"*","%2A"),"?","%3F"),'Rules'!$G$7:$G$26,0))="km"),INDEX('Rules'!$B$7:$B$26,MATCH(SUBSTITUTE(SUBSTITUTE(SUBSTITUTE(SUBSTITUTE("type:"&amp;B1678,"%","%25"),"~","%7E"),"*","%2A"),"?","%3F"),'Rules'!$G$7:$G$26,0)),""))</x:f>
      </x:c>
      <x:c r="I1678" s="6" t="str">
        <x:f>IF(AND(NOT(COUNTA(A1678:F1678)=0),K1678=""),ROUND(J1678-D1678,3),"")</x:f>
      </x:c>
      <x:c r="J1678" s="6" t="str">
        <x:f>IF(AND(NOT(COUNTA(A1678:F1678)=0),K1678=""),ROUND(F1678+L1678,3),"")</x:f>
      </x:c>
      <x:c r="K1678" s="5" t="str">
        <x:f>IF(COUNTA(A1678:F1678)=0,"",IF(A1678="","Missing equipment ID",IF(COUNTIFS($N$8:$N$2007,"="&amp;N1678)&gt;1,"Duplicate equipment ID",IF(B1678="","Missing type",IF(COUNTIFS('Rules'!$G$7:$G$26,"="&amp;(SUBSTITUTE(SUBSTITUTE(SUBSTITUTE(SUBSTITUTE("type:"&amp;B1678,"%","%25"),"~","%7E"),"*","%2A"),"?","%3F")))=0,"Unknown type",IF(COUNTIFS('Rules'!$G$7:$G$26,"="&amp;(SUBSTITUTE(SUBSTITUTE(SUBSTITUTE(SUBSTITUTE("type:"&amp;B1678,"%","%25"),"~","%7E"),"*","%2A"),"?","%3F")))&gt;1,"Duplicate type",IF(INDEX('Rules'!$F$7:$F$26,MATCH(SUBSTITUTE(SUBSTITUTE(SUBSTITUTE(SUBSTITUTE("type:"&amp;B1678,"%","%25"),"~","%7E"),"*","%2A"),"?","%3F"),'Rules'!$G$7:$G$26,0))&lt;&gt;"",INDEX('Rules'!$F$7:$F$26,MATCH(SUBSTITUTE(SUBSTITUTE(SUBSTITUTE(SUBSTITUTE("type:"&amp;B1678,"%","%25"),"~","%7E"),"*","%2A"),"?","%3F"),'Rules'!$G$7:$G$26,0)),IF(AND(C1678&lt;&gt;"",C1678&lt;&gt;INDEX('Rules'!$B$7:$B$26,MATCH(SUBSTITUTE(SUBSTITUTE(SUBSTITUTE(SUBSTITUTE("type:"&amp;B1678,"%","%25"),"~","%7E"),"*","%2A"),"?","%3F"),'Rules'!$G$7:$G$26,0))),"Unit mismatch",IF(IF(NOT(ISNUMBER(D1678)),TRUE,OR(D1678&lt;0,D1678&gt;999999999,ROUND(D1678,3)&lt;&gt;D1678)),"Invalid current reading",IF(AND(E1678&lt;&gt;"",IF(NOT(ISNUMBER(E1678)),TRUE,OR(E1678&lt;0,E1678&gt;999999999,ROUND(E1678,3)&lt;&gt;E1678))),"Invalid previous reading",IF(IF(NOT(ISNUMBER(F1678)),TRUE,OR(F1678&lt;0,F1678&gt;999999999,ROUND(F1678,3)&lt;&gt;F1678)),"Invalid last service",IF(AND(E1678&lt;&gt;"",D1678&lt;E1678),"Decreased reading",IF(F1678&gt;D1678,"Last service above current","")))))))))))))</x:f>
      </x:c>
      <x:c r="L1678" s="6" t="str">
        <x:f>IF(AND(NOT(COUNTA(A1678:F1678)=0),K1678=""),INDEX('Rules'!$C$7:$C$26,MATCH(SUBSTITUTE(SUBSTITUTE(SUBSTITUTE(SUBSTITUTE("type:"&amp;B1678,"%","%25"),"~","%7E"),"*","%2A"),"?","%3F"),'Rules'!$G$7:$G$26,0)),"")</x:f>
      </x:c>
      <x:c r="M1678" s="6" t="str">
        <x:f>IF(AND(NOT(COUNTA(A1678:F1678)=0),K1678=""),INDEX('Rules'!$D$7:$D$26,MATCH(SUBSTITUTE(SUBSTITUTE(SUBSTITUTE(SUBSTITUTE("type:"&amp;B1678,"%","%25"),"~","%7E"),"*","%2A"),"?","%3F"),'Rules'!$G$7:$G$26,0)),"")</x:f>
      </x:c>
      <x:c r="N1678" s="5" t="str">
        <x:f>IF(COUNTA(A1678:F1678)=0,"",SUBSTITUTE(SUBSTITUTE(SUBSTITUTE(SUBSTITUTE("id:"&amp;A1678,"%","%25"),"~","%7E"),"*","%2A"),"?","%3F"))</x:f>
      </x:c>
    </x:row>
    <x:row r="1679" ht="22" customHeight="1">
      <x:c r="A1679" s="3"/>
      <x:c r="B1679" s="3"/>
      <x:c r="C1679" s="3"/>
      <x:c r="D1679" s="4"/>
      <x:c r="E1679" s="4"/>
      <x:c r="F1679" s="4"/>
      <x:c r="G1679" s="5" t="str">
        <x:f>IF(COUNTA(A1679:F1679)=0,"",IF(K1679&lt;&gt;"","Review",IF(I1679&lt;0,"Overdue",IF(I1679=0,"Due now",IF(I1679&lt;=M1679,"Due soon","Not due")))))</x:f>
      </x:c>
      <x:c r="H1679" s="5" t="str">
        <x:f>IF(OR(COUNTA(A1679:F1679)=0,COUNTIFS('Rules'!$G$7:$G$26,"="&amp;(SUBSTITUTE(SUBSTITUTE(SUBSTITUTE(SUBSTITUTE("type:"&amp;B1679,"%","%25"),"~","%7E"),"*","%2A"),"?","%3F")))&lt;&gt;1),"",IF(OR(INDEX('Rules'!$B$7:$B$26,MATCH(SUBSTITUTE(SUBSTITUTE(SUBSTITUTE(SUBSTITUTE("type:"&amp;B1679,"%","%25"),"~","%7E"),"*","%2A"),"?","%3F"),'Rules'!$G$7:$G$26,0))="hours",INDEX('Rules'!$B$7:$B$26,MATCH(SUBSTITUTE(SUBSTITUTE(SUBSTITUTE(SUBSTITUTE("type:"&amp;B1679,"%","%25"),"~","%7E"),"*","%2A"),"?","%3F"),'Rules'!$G$7:$G$26,0))="km"),INDEX('Rules'!$B$7:$B$26,MATCH(SUBSTITUTE(SUBSTITUTE(SUBSTITUTE(SUBSTITUTE("type:"&amp;B1679,"%","%25"),"~","%7E"),"*","%2A"),"?","%3F"),'Rules'!$G$7:$G$26,0)),""))</x:f>
      </x:c>
      <x:c r="I1679" s="6" t="str">
        <x:f>IF(AND(NOT(COUNTA(A1679:F1679)=0),K1679=""),ROUND(J1679-D1679,3),"")</x:f>
      </x:c>
      <x:c r="J1679" s="6" t="str">
        <x:f>IF(AND(NOT(COUNTA(A1679:F1679)=0),K1679=""),ROUND(F1679+L1679,3),"")</x:f>
      </x:c>
      <x:c r="K1679" s="5" t="str">
        <x:f>IF(COUNTA(A1679:F1679)=0,"",IF(A1679="","Missing equipment ID",IF(COUNTIFS($N$8:$N$2007,"="&amp;N1679)&gt;1,"Duplicate equipment ID",IF(B1679="","Missing type",IF(COUNTIFS('Rules'!$G$7:$G$26,"="&amp;(SUBSTITUTE(SUBSTITUTE(SUBSTITUTE(SUBSTITUTE("type:"&amp;B1679,"%","%25"),"~","%7E"),"*","%2A"),"?","%3F")))=0,"Unknown type",IF(COUNTIFS('Rules'!$G$7:$G$26,"="&amp;(SUBSTITUTE(SUBSTITUTE(SUBSTITUTE(SUBSTITUTE("type:"&amp;B1679,"%","%25"),"~","%7E"),"*","%2A"),"?","%3F")))&gt;1,"Duplicate type",IF(INDEX('Rules'!$F$7:$F$26,MATCH(SUBSTITUTE(SUBSTITUTE(SUBSTITUTE(SUBSTITUTE("type:"&amp;B1679,"%","%25"),"~","%7E"),"*","%2A"),"?","%3F"),'Rules'!$G$7:$G$26,0))&lt;&gt;"",INDEX('Rules'!$F$7:$F$26,MATCH(SUBSTITUTE(SUBSTITUTE(SUBSTITUTE(SUBSTITUTE("type:"&amp;B1679,"%","%25"),"~","%7E"),"*","%2A"),"?","%3F"),'Rules'!$G$7:$G$26,0)),IF(AND(C1679&lt;&gt;"",C1679&lt;&gt;INDEX('Rules'!$B$7:$B$26,MATCH(SUBSTITUTE(SUBSTITUTE(SUBSTITUTE(SUBSTITUTE("type:"&amp;B1679,"%","%25"),"~","%7E"),"*","%2A"),"?","%3F"),'Rules'!$G$7:$G$26,0))),"Unit mismatch",IF(IF(NOT(ISNUMBER(D1679)),TRUE,OR(D1679&lt;0,D1679&gt;999999999,ROUND(D1679,3)&lt;&gt;D1679)),"Invalid current reading",IF(AND(E1679&lt;&gt;"",IF(NOT(ISNUMBER(E1679)),TRUE,OR(E1679&lt;0,E1679&gt;999999999,ROUND(E1679,3)&lt;&gt;E1679))),"Invalid previous reading",IF(IF(NOT(ISNUMBER(F1679)),TRUE,OR(F1679&lt;0,F1679&gt;999999999,ROUND(F1679,3)&lt;&gt;F1679)),"Invalid last service",IF(AND(E1679&lt;&gt;"",D1679&lt;E1679),"Decreased reading",IF(F1679&gt;D1679,"Last service above current","")))))))))))))</x:f>
      </x:c>
      <x:c r="L1679" s="6" t="str">
        <x:f>IF(AND(NOT(COUNTA(A1679:F1679)=0),K1679=""),INDEX('Rules'!$C$7:$C$26,MATCH(SUBSTITUTE(SUBSTITUTE(SUBSTITUTE(SUBSTITUTE("type:"&amp;B1679,"%","%25"),"~","%7E"),"*","%2A"),"?","%3F"),'Rules'!$G$7:$G$26,0)),"")</x:f>
      </x:c>
      <x:c r="M1679" s="6" t="str">
        <x:f>IF(AND(NOT(COUNTA(A1679:F1679)=0),K1679=""),INDEX('Rules'!$D$7:$D$26,MATCH(SUBSTITUTE(SUBSTITUTE(SUBSTITUTE(SUBSTITUTE("type:"&amp;B1679,"%","%25"),"~","%7E"),"*","%2A"),"?","%3F"),'Rules'!$G$7:$G$26,0)),"")</x:f>
      </x:c>
      <x:c r="N1679" s="5" t="str">
        <x:f>IF(COUNTA(A1679:F1679)=0,"",SUBSTITUTE(SUBSTITUTE(SUBSTITUTE(SUBSTITUTE("id:"&amp;A1679,"%","%25"),"~","%7E"),"*","%2A"),"?","%3F"))</x:f>
      </x:c>
    </x:row>
    <x:row r="1680" ht="22" customHeight="1">
      <x:c r="A1680" s="3"/>
      <x:c r="B1680" s="3"/>
      <x:c r="C1680" s="3"/>
      <x:c r="D1680" s="4"/>
      <x:c r="E1680" s="4"/>
      <x:c r="F1680" s="4"/>
      <x:c r="G1680" s="5" t="str">
        <x:f>IF(COUNTA(A1680:F1680)=0,"",IF(K1680&lt;&gt;"","Review",IF(I1680&lt;0,"Overdue",IF(I1680=0,"Due now",IF(I1680&lt;=M1680,"Due soon","Not due")))))</x:f>
      </x:c>
      <x:c r="H1680" s="5" t="str">
        <x:f>IF(OR(COUNTA(A1680:F1680)=0,COUNTIFS('Rules'!$G$7:$G$26,"="&amp;(SUBSTITUTE(SUBSTITUTE(SUBSTITUTE(SUBSTITUTE("type:"&amp;B1680,"%","%25"),"~","%7E"),"*","%2A"),"?","%3F")))&lt;&gt;1),"",IF(OR(INDEX('Rules'!$B$7:$B$26,MATCH(SUBSTITUTE(SUBSTITUTE(SUBSTITUTE(SUBSTITUTE("type:"&amp;B1680,"%","%25"),"~","%7E"),"*","%2A"),"?","%3F"),'Rules'!$G$7:$G$26,0))="hours",INDEX('Rules'!$B$7:$B$26,MATCH(SUBSTITUTE(SUBSTITUTE(SUBSTITUTE(SUBSTITUTE("type:"&amp;B1680,"%","%25"),"~","%7E"),"*","%2A"),"?","%3F"),'Rules'!$G$7:$G$26,0))="km"),INDEX('Rules'!$B$7:$B$26,MATCH(SUBSTITUTE(SUBSTITUTE(SUBSTITUTE(SUBSTITUTE("type:"&amp;B1680,"%","%25"),"~","%7E"),"*","%2A"),"?","%3F"),'Rules'!$G$7:$G$26,0)),""))</x:f>
      </x:c>
      <x:c r="I1680" s="6" t="str">
        <x:f>IF(AND(NOT(COUNTA(A1680:F1680)=0),K1680=""),ROUND(J1680-D1680,3),"")</x:f>
      </x:c>
      <x:c r="J1680" s="6" t="str">
        <x:f>IF(AND(NOT(COUNTA(A1680:F1680)=0),K1680=""),ROUND(F1680+L1680,3),"")</x:f>
      </x:c>
      <x:c r="K1680" s="5" t="str">
        <x:f>IF(COUNTA(A1680:F1680)=0,"",IF(A1680="","Missing equipment ID",IF(COUNTIFS($N$8:$N$2007,"="&amp;N1680)&gt;1,"Duplicate equipment ID",IF(B1680="","Missing type",IF(COUNTIFS('Rules'!$G$7:$G$26,"="&amp;(SUBSTITUTE(SUBSTITUTE(SUBSTITUTE(SUBSTITUTE("type:"&amp;B1680,"%","%25"),"~","%7E"),"*","%2A"),"?","%3F")))=0,"Unknown type",IF(COUNTIFS('Rules'!$G$7:$G$26,"="&amp;(SUBSTITUTE(SUBSTITUTE(SUBSTITUTE(SUBSTITUTE("type:"&amp;B1680,"%","%25"),"~","%7E"),"*","%2A"),"?","%3F")))&gt;1,"Duplicate type",IF(INDEX('Rules'!$F$7:$F$26,MATCH(SUBSTITUTE(SUBSTITUTE(SUBSTITUTE(SUBSTITUTE("type:"&amp;B1680,"%","%25"),"~","%7E"),"*","%2A"),"?","%3F"),'Rules'!$G$7:$G$26,0))&lt;&gt;"",INDEX('Rules'!$F$7:$F$26,MATCH(SUBSTITUTE(SUBSTITUTE(SUBSTITUTE(SUBSTITUTE("type:"&amp;B1680,"%","%25"),"~","%7E"),"*","%2A"),"?","%3F"),'Rules'!$G$7:$G$26,0)),IF(AND(C1680&lt;&gt;"",C1680&lt;&gt;INDEX('Rules'!$B$7:$B$26,MATCH(SUBSTITUTE(SUBSTITUTE(SUBSTITUTE(SUBSTITUTE("type:"&amp;B1680,"%","%25"),"~","%7E"),"*","%2A"),"?","%3F"),'Rules'!$G$7:$G$26,0))),"Unit mismatch",IF(IF(NOT(ISNUMBER(D1680)),TRUE,OR(D1680&lt;0,D1680&gt;999999999,ROUND(D1680,3)&lt;&gt;D1680)),"Invalid current reading",IF(AND(E1680&lt;&gt;"",IF(NOT(ISNUMBER(E1680)),TRUE,OR(E1680&lt;0,E1680&gt;999999999,ROUND(E1680,3)&lt;&gt;E1680))),"Invalid previous reading",IF(IF(NOT(ISNUMBER(F1680)),TRUE,OR(F1680&lt;0,F1680&gt;999999999,ROUND(F1680,3)&lt;&gt;F1680)),"Invalid last service",IF(AND(E1680&lt;&gt;"",D1680&lt;E1680),"Decreased reading",IF(F1680&gt;D1680,"Last service above current","")))))))))))))</x:f>
      </x:c>
      <x:c r="L1680" s="6" t="str">
        <x:f>IF(AND(NOT(COUNTA(A1680:F1680)=0),K1680=""),INDEX('Rules'!$C$7:$C$26,MATCH(SUBSTITUTE(SUBSTITUTE(SUBSTITUTE(SUBSTITUTE("type:"&amp;B1680,"%","%25"),"~","%7E"),"*","%2A"),"?","%3F"),'Rules'!$G$7:$G$26,0)),"")</x:f>
      </x:c>
      <x:c r="M1680" s="6" t="str">
        <x:f>IF(AND(NOT(COUNTA(A1680:F1680)=0),K1680=""),INDEX('Rules'!$D$7:$D$26,MATCH(SUBSTITUTE(SUBSTITUTE(SUBSTITUTE(SUBSTITUTE("type:"&amp;B1680,"%","%25"),"~","%7E"),"*","%2A"),"?","%3F"),'Rules'!$G$7:$G$26,0)),"")</x:f>
      </x:c>
      <x:c r="N1680" s="5" t="str">
        <x:f>IF(COUNTA(A1680:F1680)=0,"",SUBSTITUTE(SUBSTITUTE(SUBSTITUTE(SUBSTITUTE("id:"&amp;A1680,"%","%25"),"~","%7E"),"*","%2A"),"?","%3F"))</x:f>
      </x:c>
    </x:row>
    <x:row r="1681" ht="22" customHeight="1">
      <x:c r="A1681" s="3"/>
      <x:c r="B1681" s="3"/>
      <x:c r="C1681" s="3"/>
      <x:c r="D1681" s="4"/>
      <x:c r="E1681" s="4"/>
      <x:c r="F1681" s="4"/>
      <x:c r="G1681" s="5" t="str">
        <x:f>IF(COUNTA(A1681:F1681)=0,"",IF(K1681&lt;&gt;"","Review",IF(I1681&lt;0,"Overdue",IF(I1681=0,"Due now",IF(I1681&lt;=M1681,"Due soon","Not due")))))</x:f>
      </x:c>
      <x:c r="H1681" s="5" t="str">
        <x:f>IF(OR(COUNTA(A1681:F1681)=0,COUNTIFS('Rules'!$G$7:$G$26,"="&amp;(SUBSTITUTE(SUBSTITUTE(SUBSTITUTE(SUBSTITUTE("type:"&amp;B1681,"%","%25"),"~","%7E"),"*","%2A"),"?","%3F")))&lt;&gt;1),"",IF(OR(INDEX('Rules'!$B$7:$B$26,MATCH(SUBSTITUTE(SUBSTITUTE(SUBSTITUTE(SUBSTITUTE("type:"&amp;B1681,"%","%25"),"~","%7E"),"*","%2A"),"?","%3F"),'Rules'!$G$7:$G$26,0))="hours",INDEX('Rules'!$B$7:$B$26,MATCH(SUBSTITUTE(SUBSTITUTE(SUBSTITUTE(SUBSTITUTE("type:"&amp;B1681,"%","%25"),"~","%7E"),"*","%2A"),"?","%3F"),'Rules'!$G$7:$G$26,0))="km"),INDEX('Rules'!$B$7:$B$26,MATCH(SUBSTITUTE(SUBSTITUTE(SUBSTITUTE(SUBSTITUTE("type:"&amp;B1681,"%","%25"),"~","%7E"),"*","%2A"),"?","%3F"),'Rules'!$G$7:$G$26,0)),""))</x:f>
      </x:c>
      <x:c r="I1681" s="6" t="str">
        <x:f>IF(AND(NOT(COUNTA(A1681:F1681)=0),K1681=""),ROUND(J1681-D1681,3),"")</x:f>
      </x:c>
      <x:c r="J1681" s="6" t="str">
        <x:f>IF(AND(NOT(COUNTA(A1681:F1681)=0),K1681=""),ROUND(F1681+L1681,3),"")</x:f>
      </x:c>
      <x:c r="K1681" s="5" t="str">
        <x:f>IF(COUNTA(A1681:F1681)=0,"",IF(A1681="","Missing equipment ID",IF(COUNTIFS($N$8:$N$2007,"="&amp;N1681)&gt;1,"Duplicate equipment ID",IF(B1681="","Missing type",IF(COUNTIFS('Rules'!$G$7:$G$26,"="&amp;(SUBSTITUTE(SUBSTITUTE(SUBSTITUTE(SUBSTITUTE("type:"&amp;B1681,"%","%25"),"~","%7E"),"*","%2A"),"?","%3F")))=0,"Unknown type",IF(COUNTIFS('Rules'!$G$7:$G$26,"="&amp;(SUBSTITUTE(SUBSTITUTE(SUBSTITUTE(SUBSTITUTE("type:"&amp;B1681,"%","%25"),"~","%7E"),"*","%2A"),"?","%3F")))&gt;1,"Duplicate type",IF(INDEX('Rules'!$F$7:$F$26,MATCH(SUBSTITUTE(SUBSTITUTE(SUBSTITUTE(SUBSTITUTE("type:"&amp;B1681,"%","%25"),"~","%7E"),"*","%2A"),"?","%3F"),'Rules'!$G$7:$G$26,0))&lt;&gt;"",INDEX('Rules'!$F$7:$F$26,MATCH(SUBSTITUTE(SUBSTITUTE(SUBSTITUTE(SUBSTITUTE("type:"&amp;B1681,"%","%25"),"~","%7E"),"*","%2A"),"?","%3F"),'Rules'!$G$7:$G$26,0)),IF(AND(C1681&lt;&gt;"",C1681&lt;&gt;INDEX('Rules'!$B$7:$B$26,MATCH(SUBSTITUTE(SUBSTITUTE(SUBSTITUTE(SUBSTITUTE("type:"&amp;B1681,"%","%25"),"~","%7E"),"*","%2A"),"?","%3F"),'Rules'!$G$7:$G$26,0))),"Unit mismatch",IF(IF(NOT(ISNUMBER(D1681)),TRUE,OR(D1681&lt;0,D1681&gt;999999999,ROUND(D1681,3)&lt;&gt;D1681)),"Invalid current reading",IF(AND(E1681&lt;&gt;"",IF(NOT(ISNUMBER(E1681)),TRUE,OR(E1681&lt;0,E1681&gt;999999999,ROUND(E1681,3)&lt;&gt;E1681))),"Invalid previous reading",IF(IF(NOT(ISNUMBER(F1681)),TRUE,OR(F1681&lt;0,F1681&gt;999999999,ROUND(F1681,3)&lt;&gt;F1681)),"Invalid last service",IF(AND(E1681&lt;&gt;"",D1681&lt;E1681),"Decreased reading",IF(F1681&gt;D1681,"Last service above current","")))))))))))))</x:f>
      </x:c>
      <x:c r="L1681" s="6" t="str">
        <x:f>IF(AND(NOT(COUNTA(A1681:F1681)=0),K1681=""),INDEX('Rules'!$C$7:$C$26,MATCH(SUBSTITUTE(SUBSTITUTE(SUBSTITUTE(SUBSTITUTE("type:"&amp;B1681,"%","%25"),"~","%7E"),"*","%2A"),"?","%3F"),'Rules'!$G$7:$G$26,0)),"")</x:f>
      </x:c>
      <x:c r="M1681" s="6" t="str">
        <x:f>IF(AND(NOT(COUNTA(A1681:F1681)=0),K1681=""),INDEX('Rules'!$D$7:$D$26,MATCH(SUBSTITUTE(SUBSTITUTE(SUBSTITUTE(SUBSTITUTE("type:"&amp;B1681,"%","%25"),"~","%7E"),"*","%2A"),"?","%3F"),'Rules'!$G$7:$G$26,0)),"")</x:f>
      </x:c>
      <x:c r="N1681" s="5" t="str">
        <x:f>IF(COUNTA(A1681:F1681)=0,"",SUBSTITUTE(SUBSTITUTE(SUBSTITUTE(SUBSTITUTE("id:"&amp;A1681,"%","%25"),"~","%7E"),"*","%2A"),"?","%3F"))</x:f>
      </x:c>
    </x:row>
    <x:row r="1682" ht="22" customHeight="1">
      <x:c r="A1682" s="3"/>
      <x:c r="B1682" s="3"/>
      <x:c r="C1682" s="3"/>
      <x:c r="D1682" s="4"/>
      <x:c r="E1682" s="4"/>
      <x:c r="F1682" s="4"/>
      <x:c r="G1682" s="5" t="str">
        <x:f>IF(COUNTA(A1682:F1682)=0,"",IF(K1682&lt;&gt;"","Review",IF(I1682&lt;0,"Overdue",IF(I1682=0,"Due now",IF(I1682&lt;=M1682,"Due soon","Not due")))))</x:f>
      </x:c>
      <x:c r="H1682" s="5" t="str">
        <x:f>IF(OR(COUNTA(A1682:F1682)=0,COUNTIFS('Rules'!$G$7:$G$26,"="&amp;(SUBSTITUTE(SUBSTITUTE(SUBSTITUTE(SUBSTITUTE("type:"&amp;B1682,"%","%25"),"~","%7E"),"*","%2A"),"?","%3F")))&lt;&gt;1),"",IF(OR(INDEX('Rules'!$B$7:$B$26,MATCH(SUBSTITUTE(SUBSTITUTE(SUBSTITUTE(SUBSTITUTE("type:"&amp;B1682,"%","%25"),"~","%7E"),"*","%2A"),"?","%3F"),'Rules'!$G$7:$G$26,0))="hours",INDEX('Rules'!$B$7:$B$26,MATCH(SUBSTITUTE(SUBSTITUTE(SUBSTITUTE(SUBSTITUTE("type:"&amp;B1682,"%","%25"),"~","%7E"),"*","%2A"),"?","%3F"),'Rules'!$G$7:$G$26,0))="km"),INDEX('Rules'!$B$7:$B$26,MATCH(SUBSTITUTE(SUBSTITUTE(SUBSTITUTE(SUBSTITUTE("type:"&amp;B1682,"%","%25"),"~","%7E"),"*","%2A"),"?","%3F"),'Rules'!$G$7:$G$26,0)),""))</x:f>
      </x:c>
      <x:c r="I1682" s="6" t="str">
        <x:f>IF(AND(NOT(COUNTA(A1682:F1682)=0),K1682=""),ROUND(J1682-D1682,3),"")</x:f>
      </x:c>
      <x:c r="J1682" s="6" t="str">
        <x:f>IF(AND(NOT(COUNTA(A1682:F1682)=0),K1682=""),ROUND(F1682+L1682,3),"")</x:f>
      </x:c>
      <x:c r="K1682" s="5" t="str">
        <x:f>IF(COUNTA(A1682:F1682)=0,"",IF(A1682="","Missing equipment ID",IF(COUNTIFS($N$8:$N$2007,"="&amp;N1682)&gt;1,"Duplicate equipment ID",IF(B1682="","Missing type",IF(COUNTIFS('Rules'!$G$7:$G$26,"="&amp;(SUBSTITUTE(SUBSTITUTE(SUBSTITUTE(SUBSTITUTE("type:"&amp;B1682,"%","%25"),"~","%7E"),"*","%2A"),"?","%3F")))=0,"Unknown type",IF(COUNTIFS('Rules'!$G$7:$G$26,"="&amp;(SUBSTITUTE(SUBSTITUTE(SUBSTITUTE(SUBSTITUTE("type:"&amp;B1682,"%","%25"),"~","%7E"),"*","%2A"),"?","%3F")))&gt;1,"Duplicate type",IF(INDEX('Rules'!$F$7:$F$26,MATCH(SUBSTITUTE(SUBSTITUTE(SUBSTITUTE(SUBSTITUTE("type:"&amp;B1682,"%","%25"),"~","%7E"),"*","%2A"),"?","%3F"),'Rules'!$G$7:$G$26,0))&lt;&gt;"",INDEX('Rules'!$F$7:$F$26,MATCH(SUBSTITUTE(SUBSTITUTE(SUBSTITUTE(SUBSTITUTE("type:"&amp;B1682,"%","%25"),"~","%7E"),"*","%2A"),"?","%3F"),'Rules'!$G$7:$G$26,0)),IF(AND(C1682&lt;&gt;"",C1682&lt;&gt;INDEX('Rules'!$B$7:$B$26,MATCH(SUBSTITUTE(SUBSTITUTE(SUBSTITUTE(SUBSTITUTE("type:"&amp;B1682,"%","%25"),"~","%7E"),"*","%2A"),"?","%3F"),'Rules'!$G$7:$G$26,0))),"Unit mismatch",IF(IF(NOT(ISNUMBER(D1682)),TRUE,OR(D1682&lt;0,D1682&gt;999999999,ROUND(D1682,3)&lt;&gt;D1682)),"Invalid current reading",IF(AND(E1682&lt;&gt;"",IF(NOT(ISNUMBER(E1682)),TRUE,OR(E1682&lt;0,E1682&gt;999999999,ROUND(E1682,3)&lt;&gt;E1682))),"Invalid previous reading",IF(IF(NOT(ISNUMBER(F1682)),TRUE,OR(F1682&lt;0,F1682&gt;999999999,ROUND(F1682,3)&lt;&gt;F1682)),"Invalid last service",IF(AND(E1682&lt;&gt;"",D1682&lt;E1682),"Decreased reading",IF(F1682&gt;D1682,"Last service above current","")))))))))))))</x:f>
      </x:c>
      <x:c r="L1682" s="6" t="str">
        <x:f>IF(AND(NOT(COUNTA(A1682:F1682)=0),K1682=""),INDEX('Rules'!$C$7:$C$26,MATCH(SUBSTITUTE(SUBSTITUTE(SUBSTITUTE(SUBSTITUTE("type:"&amp;B1682,"%","%25"),"~","%7E"),"*","%2A"),"?","%3F"),'Rules'!$G$7:$G$26,0)),"")</x:f>
      </x:c>
      <x:c r="M1682" s="6" t="str">
        <x:f>IF(AND(NOT(COUNTA(A1682:F1682)=0),K1682=""),INDEX('Rules'!$D$7:$D$26,MATCH(SUBSTITUTE(SUBSTITUTE(SUBSTITUTE(SUBSTITUTE("type:"&amp;B1682,"%","%25"),"~","%7E"),"*","%2A"),"?","%3F"),'Rules'!$G$7:$G$26,0)),"")</x:f>
      </x:c>
      <x:c r="N1682" s="5" t="str">
        <x:f>IF(COUNTA(A1682:F1682)=0,"",SUBSTITUTE(SUBSTITUTE(SUBSTITUTE(SUBSTITUTE("id:"&amp;A1682,"%","%25"),"~","%7E"),"*","%2A"),"?","%3F"))</x:f>
      </x:c>
    </x:row>
    <x:row r="1683" ht="22" customHeight="1">
      <x:c r="A1683" s="3"/>
      <x:c r="B1683" s="3"/>
      <x:c r="C1683" s="3"/>
      <x:c r="D1683" s="4"/>
      <x:c r="E1683" s="4"/>
      <x:c r="F1683" s="4"/>
      <x:c r="G1683" s="5" t="str">
        <x:f>IF(COUNTA(A1683:F1683)=0,"",IF(K1683&lt;&gt;"","Review",IF(I1683&lt;0,"Overdue",IF(I1683=0,"Due now",IF(I1683&lt;=M1683,"Due soon","Not due")))))</x:f>
      </x:c>
      <x:c r="H1683" s="5" t="str">
        <x:f>IF(OR(COUNTA(A1683:F1683)=0,COUNTIFS('Rules'!$G$7:$G$26,"="&amp;(SUBSTITUTE(SUBSTITUTE(SUBSTITUTE(SUBSTITUTE("type:"&amp;B1683,"%","%25"),"~","%7E"),"*","%2A"),"?","%3F")))&lt;&gt;1),"",IF(OR(INDEX('Rules'!$B$7:$B$26,MATCH(SUBSTITUTE(SUBSTITUTE(SUBSTITUTE(SUBSTITUTE("type:"&amp;B1683,"%","%25"),"~","%7E"),"*","%2A"),"?","%3F"),'Rules'!$G$7:$G$26,0))="hours",INDEX('Rules'!$B$7:$B$26,MATCH(SUBSTITUTE(SUBSTITUTE(SUBSTITUTE(SUBSTITUTE("type:"&amp;B1683,"%","%25"),"~","%7E"),"*","%2A"),"?","%3F"),'Rules'!$G$7:$G$26,0))="km"),INDEX('Rules'!$B$7:$B$26,MATCH(SUBSTITUTE(SUBSTITUTE(SUBSTITUTE(SUBSTITUTE("type:"&amp;B1683,"%","%25"),"~","%7E"),"*","%2A"),"?","%3F"),'Rules'!$G$7:$G$26,0)),""))</x:f>
      </x:c>
      <x:c r="I1683" s="6" t="str">
        <x:f>IF(AND(NOT(COUNTA(A1683:F1683)=0),K1683=""),ROUND(J1683-D1683,3),"")</x:f>
      </x:c>
      <x:c r="J1683" s="6" t="str">
        <x:f>IF(AND(NOT(COUNTA(A1683:F1683)=0),K1683=""),ROUND(F1683+L1683,3),"")</x:f>
      </x:c>
      <x:c r="K1683" s="5" t="str">
        <x:f>IF(COUNTA(A1683:F1683)=0,"",IF(A1683="","Missing equipment ID",IF(COUNTIFS($N$8:$N$2007,"="&amp;N1683)&gt;1,"Duplicate equipment ID",IF(B1683="","Missing type",IF(COUNTIFS('Rules'!$G$7:$G$26,"="&amp;(SUBSTITUTE(SUBSTITUTE(SUBSTITUTE(SUBSTITUTE("type:"&amp;B1683,"%","%25"),"~","%7E"),"*","%2A"),"?","%3F")))=0,"Unknown type",IF(COUNTIFS('Rules'!$G$7:$G$26,"="&amp;(SUBSTITUTE(SUBSTITUTE(SUBSTITUTE(SUBSTITUTE("type:"&amp;B1683,"%","%25"),"~","%7E"),"*","%2A"),"?","%3F")))&gt;1,"Duplicate type",IF(INDEX('Rules'!$F$7:$F$26,MATCH(SUBSTITUTE(SUBSTITUTE(SUBSTITUTE(SUBSTITUTE("type:"&amp;B1683,"%","%25"),"~","%7E"),"*","%2A"),"?","%3F"),'Rules'!$G$7:$G$26,0))&lt;&gt;"",INDEX('Rules'!$F$7:$F$26,MATCH(SUBSTITUTE(SUBSTITUTE(SUBSTITUTE(SUBSTITUTE("type:"&amp;B1683,"%","%25"),"~","%7E"),"*","%2A"),"?","%3F"),'Rules'!$G$7:$G$26,0)),IF(AND(C1683&lt;&gt;"",C1683&lt;&gt;INDEX('Rules'!$B$7:$B$26,MATCH(SUBSTITUTE(SUBSTITUTE(SUBSTITUTE(SUBSTITUTE("type:"&amp;B1683,"%","%25"),"~","%7E"),"*","%2A"),"?","%3F"),'Rules'!$G$7:$G$26,0))),"Unit mismatch",IF(IF(NOT(ISNUMBER(D1683)),TRUE,OR(D1683&lt;0,D1683&gt;999999999,ROUND(D1683,3)&lt;&gt;D1683)),"Invalid current reading",IF(AND(E1683&lt;&gt;"",IF(NOT(ISNUMBER(E1683)),TRUE,OR(E1683&lt;0,E1683&gt;999999999,ROUND(E1683,3)&lt;&gt;E1683))),"Invalid previous reading",IF(IF(NOT(ISNUMBER(F1683)),TRUE,OR(F1683&lt;0,F1683&gt;999999999,ROUND(F1683,3)&lt;&gt;F1683)),"Invalid last service",IF(AND(E1683&lt;&gt;"",D1683&lt;E1683),"Decreased reading",IF(F1683&gt;D1683,"Last service above current","")))))))))))))</x:f>
      </x:c>
      <x:c r="L1683" s="6" t="str">
        <x:f>IF(AND(NOT(COUNTA(A1683:F1683)=0),K1683=""),INDEX('Rules'!$C$7:$C$26,MATCH(SUBSTITUTE(SUBSTITUTE(SUBSTITUTE(SUBSTITUTE("type:"&amp;B1683,"%","%25"),"~","%7E"),"*","%2A"),"?","%3F"),'Rules'!$G$7:$G$26,0)),"")</x:f>
      </x:c>
      <x:c r="M1683" s="6" t="str">
        <x:f>IF(AND(NOT(COUNTA(A1683:F1683)=0),K1683=""),INDEX('Rules'!$D$7:$D$26,MATCH(SUBSTITUTE(SUBSTITUTE(SUBSTITUTE(SUBSTITUTE("type:"&amp;B1683,"%","%25"),"~","%7E"),"*","%2A"),"?","%3F"),'Rules'!$G$7:$G$26,0)),"")</x:f>
      </x:c>
      <x:c r="N1683" s="5" t="str">
        <x:f>IF(COUNTA(A1683:F1683)=0,"",SUBSTITUTE(SUBSTITUTE(SUBSTITUTE(SUBSTITUTE("id:"&amp;A1683,"%","%25"),"~","%7E"),"*","%2A"),"?","%3F"))</x:f>
      </x:c>
    </x:row>
    <x:row r="1684" ht="22" customHeight="1">
      <x:c r="A1684" s="3"/>
      <x:c r="B1684" s="3"/>
      <x:c r="C1684" s="3"/>
      <x:c r="D1684" s="4"/>
      <x:c r="E1684" s="4"/>
      <x:c r="F1684" s="4"/>
      <x:c r="G1684" s="5" t="str">
        <x:f>IF(COUNTA(A1684:F1684)=0,"",IF(K1684&lt;&gt;"","Review",IF(I1684&lt;0,"Overdue",IF(I1684=0,"Due now",IF(I1684&lt;=M1684,"Due soon","Not due")))))</x:f>
      </x:c>
      <x:c r="H1684" s="5" t="str">
        <x:f>IF(OR(COUNTA(A1684:F1684)=0,COUNTIFS('Rules'!$G$7:$G$26,"="&amp;(SUBSTITUTE(SUBSTITUTE(SUBSTITUTE(SUBSTITUTE("type:"&amp;B1684,"%","%25"),"~","%7E"),"*","%2A"),"?","%3F")))&lt;&gt;1),"",IF(OR(INDEX('Rules'!$B$7:$B$26,MATCH(SUBSTITUTE(SUBSTITUTE(SUBSTITUTE(SUBSTITUTE("type:"&amp;B1684,"%","%25"),"~","%7E"),"*","%2A"),"?","%3F"),'Rules'!$G$7:$G$26,0))="hours",INDEX('Rules'!$B$7:$B$26,MATCH(SUBSTITUTE(SUBSTITUTE(SUBSTITUTE(SUBSTITUTE("type:"&amp;B1684,"%","%25"),"~","%7E"),"*","%2A"),"?","%3F"),'Rules'!$G$7:$G$26,0))="km"),INDEX('Rules'!$B$7:$B$26,MATCH(SUBSTITUTE(SUBSTITUTE(SUBSTITUTE(SUBSTITUTE("type:"&amp;B1684,"%","%25"),"~","%7E"),"*","%2A"),"?","%3F"),'Rules'!$G$7:$G$26,0)),""))</x:f>
      </x:c>
      <x:c r="I1684" s="6" t="str">
        <x:f>IF(AND(NOT(COUNTA(A1684:F1684)=0),K1684=""),ROUND(J1684-D1684,3),"")</x:f>
      </x:c>
      <x:c r="J1684" s="6" t="str">
        <x:f>IF(AND(NOT(COUNTA(A1684:F1684)=0),K1684=""),ROUND(F1684+L1684,3),"")</x:f>
      </x:c>
      <x:c r="K1684" s="5" t="str">
        <x:f>IF(COUNTA(A1684:F1684)=0,"",IF(A1684="","Missing equipment ID",IF(COUNTIFS($N$8:$N$2007,"="&amp;N1684)&gt;1,"Duplicate equipment ID",IF(B1684="","Missing type",IF(COUNTIFS('Rules'!$G$7:$G$26,"="&amp;(SUBSTITUTE(SUBSTITUTE(SUBSTITUTE(SUBSTITUTE("type:"&amp;B1684,"%","%25"),"~","%7E"),"*","%2A"),"?","%3F")))=0,"Unknown type",IF(COUNTIFS('Rules'!$G$7:$G$26,"="&amp;(SUBSTITUTE(SUBSTITUTE(SUBSTITUTE(SUBSTITUTE("type:"&amp;B1684,"%","%25"),"~","%7E"),"*","%2A"),"?","%3F")))&gt;1,"Duplicate type",IF(INDEX('Rules'!$F$7:$F$26,MATCH(SUBSTITUTE(SUBSTITUTE(SUBSTITUTE(SUBSTITUTE("type:"&amp;B1684,"%","%25"),"~","%7E"),"*","%2A"),"?","%3F"),'Rules'!$G$7:$G$26,0))&lt;&gt;"",INDEX('Rules'!$F$7:$F$26,MATCH(SUBSTITUTE(SUBSTITUTE(SUBSTITUTE(SUBSTITUTE("type:"&amp;B1684,"%","%25"),"~","%7E"),"*","%2A"),"?","%3F"),'Rules'!$G$7:$G$26,0)),IF(AND(C1684&lt;&gt;"",C1684&lt;&gt;INDEX('Rules'!$B$7:$B$26,MATCH(SUBSTITUTE(SUBSTITUTE(SUBSTITUTE(SUBSTITUTE("type:"&amp;B1684,"%","%25"),"~","%7E"),"*","%2A"),"?","%3F"),'Rules'!$G$7:$G$26,0))),"Unit mismatch",IF(IF(NOT(ISNUMBER(D1684)),TRUE,OR(D1684&lt;0,D1684&gt;999999999,ROUND(D1684,3)&lt;&gt;D1684)),"Invalid current reading",IF(AND(E1684&lt;&gt;"",IF(NOT(ISNUMBER(E1684)),TRUE,OR(E1684&lt;0,E1684&gt;999999999,ROUND(E1684,3)&lt;&gt;E1684))),"Invalid previous reading",IF(IF(NOT(ISNUMBER(F1684)),TRUE,OR(F1684&lt;0,F1684&gt;999999999,ROUND(F1684,3)&lt;&gt;F1684)),"Invalid last service",IF(AND(E1684&lt;&gt;"",D1684&lt;E1684),"Decreased reading",IF(F1684&gt;D1684,"Last service above current","")))))))))))))</x:f>
      </x:c>
      <x:c r="L1684" s="6" t="str">
        <x:f>IF(AND(NOT(COUNTA(A1684:F1684)=0),K1684=""),INDEX('Rules'!$C$7:$C$26,MATCH(SUBSTITUTE(SUBSTITUTE(SUBSTITUTE(SUBSTITUTE("type:"&amp;B1684,"%","%25"),"~","%7E"),"*","%2A"),"?","%3F"),'Rules'!$G$7:$G$26,0)),"")</x:f>
      </x:c>
      <x:c r="M1684" s="6" t="str">
        <x:f>IF(AND(NOT(COUNTA(A1684:F1684)=0),K1684=""),INDEX('Rules'!$D$7:$D$26,MATCH(SUBSTITUTE(SUBSTITUTE(SUBSTITUTE(SUBSTITUTE("type:"&amp;B1684,"%","%25"),"~","%7E"),"*","%2A"),"?","%3F"),'Rules'!$G$7:$G$26,0)),"")</x:f>
      </x:c>
      <x:c r="N1684" s="5" t="str">
        <x:f>IF(COUNTA(A1684:F1684)=0,"",SUBSTITUTE(SUBSTITUTE(SUBSTITUTE(SUBSTITUTE("id:"&amp;A1684,"%","%25"),"~","%7E"),"*","%2A"),"?","%3F"))</x:f>
      </x:c>
    </x:row>
    <x:row r="1685" ht="22" customHeight="1">
      <x:c r="A1685" s="3"/>
      <x:c r="B1685" s="3"/>
      <x:c r="C1685" s="3"/>
      <x:c r="D1685" s="4"/>
      <x:c r="E1685" s="4"/>
      <x:c r="F1685" s="4"/>
      <x:c r="G1685" s="5" t="str">
        <x:f>IF(COUNTA(A1685:F1685)=0,"",IF(K1685&lt;&gt;"","Review",IF(I1685&lt;0,"Overdue",IF(I1685=0,"Due now",IF(I1685&lt;=M1685,"Due soon","Not due")))))</x:f>
      </x:c>
      <x:c r="H1685" s="5" t="str">
        <x:f>IF(OR(COUNTA(A1685:F1685)=0,COUNTIFS('Rules'!$G$7:$G$26,"="&amp;(SUBSTITUTE(SUBSTITUTE(SUBSTITUTE(SUBSTITUTE("type:"&amp;B1685,"%","%25"),"~","%7E"),"*","%2A"),"?","%3F")))&lt;&gt;1),"",IF(OR(INDEX('Rules'!$B$7:$B$26,MATCH(SUBSTITUTE(SUBSTITUTE(SUBSTITUTE(SUBSTITUTE("type:"&amp;B1685,"%","%25"),"~","%7E"),"*","%2A"),"?","%3F"),'Rules'!$G$7:$G$26,0))="hours",INDEX('Rules'!$B$7:$B$26,MATCH(SUBSTITUTE(SUBSTITUTE(SUBSTITUTE(SUBSTITUTE("type:"&amp;B1685,"%","%25"),"~","%7E"),"*","%2A"),"?","%3F"),'Rules'!$G$7:$G$26,0))="km"),INDEX('Rules'!$B$7:$B$26,MATCH(SUBSTITUTE(SUBSTITUTE(SUBSTITUTE(SUBSTITUTE("type:"&amp;B1685,"%","%25"),"~","%7E"),"*","%2A"),"?","%3F"),'Rules'!$G$7:$G$26,0)),""))</x:f>
      </x:c>
      <x:c r="I1685" s="6" t="str">
        <x:f>IF(AND(NOT(COUNTA(A1685:F1685)=0),K1685=""),ROUND(J1685-D1685,3),"")</x:f>
      </x:c>
      <x:c r="J1685" s="6" t="str">
        <x:f>IF(AND(NOT(COUNTA(A1685:F1685)=0),K1685=""),ROUND(F1685+L1685,3),"")</x:f>
      </x:c>
      <x:c r="K1685" s="5" t="str">
        <x:f>IF(COUNTA(A1685:F1685)=0,"",IF(A1685="","Missing equipment ID",IF(COUNTIFS($N$8:$N$2007,"="&amp;N1685)&gt;1,"Duplicate equipment ID",IF(B1685="","Missing type",IF(COUNTIFS('Rules'!$G$7:$G$26,"="&amp;(SUBSTITUTE(SUBSTITUTE(SUBSTITUTE(SUBSTITUTE("type:"&amp;B1685,"%","%25"),"~","%7E"),"*","%2A"),"?","%3F")))=0,"Unknown type",IF(COUNTIFS('Rules'!$G$7:$G$26,"="&amp;(SUBSTITUTE(SUBSTITUTE(SUBSTITUTE(SUBSTITUTE("type:"&amp;B1685,"%","%25"),"~","%7E"),"*","%2A"),"?","%3F")))&gt;1,"Duplicate type",IF(INDEX('Rules'!$F$7:$F$26,MATCH(SUBSTITUTE(SUBSTITUTE(SUBSTITUTE(SUBSTITUTE("type:"&amp;B1685,"%","%25"),"~","%7E"),"*","%2A"),"?","%3F"),'Rules'!$G$7:$G$26,0))&lt;&gt;"",INDEX('Rules'!$F$7:$F$26,MATCH(SUBSTITUTE(SUBSTITUTE(SUBSTITUTE(SUBSTITUTE("type:"&amp;B1685,"%","%25"),"~","%7E"),"*","%2A"),"?","%3F"),'Rules'!$G$7:$G$26,0)),IF(AND(C1685&lt;&gt;"",C1685&lt;&gt;INDEX('Rules'!$B$7:$B$26,MATCH(SUBSTITUTE(SUBSTITUTE(SUBSTITUTE(SUBSTITUTE("type:"&amp;B1685,"%","%25"),"~","%7E"),"*","%2A"),"?","%3F"),'Rules'!$G$7:$G$26,0))),"Unit mismatch",IF(IF(NOT(ISNUMBER(D1685)),TRUE,OR(D1685&lt;0,D1685&gt;999999999,ROUND(D1685,3)&lt;&gt;D1685)),"Invalid current reading",IF(AND(E1685&lt;&gt;"",IF(NOT(ISNUMBER(E1685)),TRUE,OR(E1685&lt;0,E1685&gt;999999999,ROUND(E1685,3)&lt;&gt;E1685))),"Invalid previous reading",IF(IF(NOT(ISNUMBER(F1685)),TRUE,OR(F1685&lt;0,F1685&gt;999999999,ROUND(F1685,3)&lt;&gt;F1685)),"Invalid last service",IF(AND(E1685&lt;&gt;"",D1685&lt;E1685),"Decreased reading",IF(F1685&gt;D1685,"Last service above current","")))))))))))))</x:f>
      </x:c>
      <x:c r="L1685" s="6" t="str">
        <x:f>IF(AND(NOT(COUNTA(A1685:F1685)=0),K1685=""),INDEX('Rules'!$C$7:$C$26,MATCH(SUBSTITUTE(SUBSTITUTE(SUBSTITUTE(SUBSTITUTE("type:"&amp;B1685,"%","%25"),"~","%7E"),"*","%2A"),"?","%3F"),'Rules'!$G$7:$G$26,0)),"")</x:f>
      </x:c>
      <x:c r="M1685" s="6" t="str">
        <x:f>IF(AND(NOT(COUNTA(A1685:F1685)=0),K1685=""),INDEX('Rules'!$D$7:$D$26,MATCH(SUBSTITUTE(SUBSTITUTE(SUBSTITUTE(SUBSTITUTE("type:"&amp;B1685,"%","%25"),"~","%7E"),"*","%2A"),"?","%3F"),'Rules'!$G$7:$G$26,0)),"")</x:f>
      </x:c>
      <x:c r="N1685" s="5" t="str">
        <x:f>IF(COUNTA(A1685:F1685)=0,"",SUBSTITUTE(SUBSTITUTE(SUBSTITUTE(SUBSTITUTE("id:"&amp;A1685,"%","%25"),"~","%7E"),"*","%2A"),"?","%3F"))</x:f>
      </x:c>
    </x:row>
    <x:row r="1686" ht="22" customHeight="1">
      <x:c r="A1686" s="3"/>
      <x:c r="B1686" s="3"/>
      <x:c r="C1686" s="3"/>
      <x:c r="D1686" s="4"/>
      <x:c r="E1686" s="4"/>
      <x:c r="F1686" s="4"/>
      <x:c r="G1686" s="5" t="str">
        <x:f>IF(COUNTA(A1686:F1686)=0,"",IF(K1686&lt;&gt;"","Review",IF(I1686&lt;0,"Overdue",IF(I1686=0,"Due now",IF(I1686&lt;=M1686,"Due soon","Not due")))))</x:f>
      </x:c>
      <x:c r="H1686" s="5" t="str">
        <x:f>IF(OR(COUNTA(A1686:F1686)=0,COUNTIFS('Rules'!$G$7:$G$26,"="&amp;(SUBSTITUTE(SUBSTITUTE(SUBSTITUTE(SUBSTITUTE("type:"&amp;B1686,"%","%25"),"~","%7E"),"*","%2A"),"?","%3F")))&lt;&gt;1),"",IF(OR(INDEX('Rules'!$B$7:$B$26,MATCH(SUBSTITUTE(SUBSTITUTE(SUBSTITUTE(SUBSTITUTE("type:"&amp;B1686,"%","%25"),"~","%7E"),"*","%2A"),"?","%3F"),'Rules'!$G$7:$G$26,0))="hours",INDEX('Rules'!$B$7:$B$26,MATCH(SUBSTITUTE(SUBSTITUTE(SUBSTITUTE(SUBSTITUTE("type:"&amp;B1686,"%","%25"),"~","%7E"),"*","%2A"),"?","%3F"),'Rules'!$G$7:$G$26,0))="km"),INDEX('Rules'!$B$7:$B$26,MATCH(SUBSTITUTE(SUBSTITUTE(SUBSTITUTE(SUBSTITUTE("type:"&amp;B1686,"%","%25"),"~","%7E"),"*","%2A"),"?","%3F"),'Rules'!$G$7:$G$26,0)),""))</x:f>
      </x:c>
      <x:c r="I1686" s="6" t="str">
        <x:f>IF(AND(NOT(COUNTA(A1686:F1686)=0),K1686=""),ROUND(J1686-D1686,3),"")</x:f>
      </x:c>
      <x:c r="J1686" s="6" t="str">
        <x:f>IF(AND(NOT(COUNTA(A1686:F1686)=0),K1686=""),ROUND(F1686+L1686,3),"")</x:f>
      </x:c>
      <x:c r="K1686" s="5" t="str">
        <x:f>IF(COUNTA(A1686:F1686)=0,"",IF(A1686="","Missing equipment ID",IF(COUNTIFS($N$8:$N$2007,"="&amp;N1686)&gt;1,"Duplicate equipment ID",IF(B1686="","Missing type",IF(COUNTIFS('Rules'!$G$7:$G$26,"="&amp;(SUBSTITUTE(SUBSTITUTE(SUBSTITUTE(SUBSTITUTE("type:"&amp;B1686,"%","%25"),"~","%7E"),"*","%2A"),"?","%3F")))=0,"Unknown type",IF(COUNTIFS('Rules'!$G$7:$G$26,"="&amp;(SUBSTITUTE(SUBSTITUTE(SUBSTITUTE(SUBSTITUTE("type:"&amp;B1686,"%","%25"),"~","%7E"),"*","%2A"),"?","%3F")))&gt;1,"Duplicate type",IF(INDEX('Rules'!$F$7:$F$26,MATCH(SUBSTITUTE(SUBSTITUTE(SUBSTITUTE(SUBSTITUTE("type:"&amp;B1686,"%","%25"),"~","%7E"),"*","%2A"),"?","%3F"),'Rules'!$G$7:$G$26,0))&lt;&gt;"",INDEX('Rules'!$F$7:$F$26,MATCH(SUBSTITUTE(SUBSTITUTE(SUBSTITUTE(SUBSTITUTE("type:"&amp;B1686,"%","%25"),"~","%7E"),"*","%2A"),"?","%3F"),'Rules'!$G$7:$G$26,0)),IF(AND(C1686&lt;&gt;"",C1686&lt;&gt;INDEX('Rules'!$B$7:$B$26,MATCH(SUBSTITUTE(SUBSTITUTE(SUBSTITUTE(SUBSTITUTE("type:"&amp;B1686,"%","%25"),"~","%7E"),"*","%2A"),"?","%3F"),'Rules'!$G$7:$G$26,0))),"Unit mismatch",IF(IF(NOT(ISNUMBER(D1686)),TRUE,OR(D1686&lt;0,D1686&gt;999999999,ROUND(D1686,3)&lt;&gt;D1686)),"Invalid current reading",IF(AND(E1686&lt;&gt;"",IF(NOT(ISNUMBER(E1686)),TRUE,OR(E1686&lt;0,E1686&gt;999999999,ROUND(E1686,3)&lt;&gt;E1686))),"Invalid previous reading",IF(IF(NOT(ISNUMBER(F1686)),TRUE,OR(F1686&lt;0,F1686&gt;999999999,ROUND(F1686,3)&lt;&gt;F1686)),"Invalid last service",IF(AND(E1686&lt;&gt;"",D1686&lt;E1686),"Decreased reading",IF(F1686&gt;D1686,"Last service above current","")))))))))))))</x:f>
      </x:c>
      <x:c r="L1686" s="6" t="str">
        <x:f>IF(AND(NOT(COUNTA(A1686:F1686)=0),K1686=""),INDEX('Rules'!$C$7:$C$26,MATCH(SUBSTITUTE(SUBSTITUTE(SUBSTITUTE(SUBSTITUTE("type:"&amp;B1686,"%","%25"),"~","%7E"),"*","%2A"),"?","%3F"),'Rules'!$G$7:$G$26,0)),"")</x:f>
      </x:c>
      <x:c r="M1686" s="6" t="str">
        <x:f>IF(AND(NOT(COUNTA(A1686:F1686)=0),K1686=""),INDEX('Rules'!$D$7:$D$26,MATCH(SUBSTITUTE(SUBSTITUTE(SUBSTITUTE(SUBSTITUTE("type:"&amp;B1686,"%","%25"),"~","%7E"),"*","%2A"),"?","%3F"),'Rules'!$G$7:$G$26,0)),"")</x:f>
      </x:c>
      <x:c r="N1686" s="5" t="str">
        <x:f>IF(COUNTA(A1686:F1686)=0,"",SUBSTITUTE(SUBSTITUTE(SUBSTITUTE(SUBSTITUTE("id:"&amp;A1686,"%","%25"),"~","%7E"),"*","%2A"),"?","%3F"))</x:f>
      </x:c>
    </x:row>
    <x:row r="1687" ht="22" customHeight="1">
      <x:c r="A1687" s="3"/>
      <x:c r="B1687" s="3"/>
      <x:c r="C1687" s="3"/>
      <x:c r="D1687" s="4"/>
      <x:c r="E1687" s="4"/>
      <x:c r="F1687" s="4"/>
      <x:c r="G1687" s="5" t="str">
        <x:f>IF(COUNTA(A1687:F1687)=0,"",IF(K1687&lt;&gt;"","Review",IF(I1687&lt;0,"Overdue",IF(I1687=0,"Due now",IF(I1687&lt;=M1687,"Due soon","Not due")))))</x:f>
      </x:c>
      <x:c r="H1687" s="5" t="str">
        <x:f>IF(OR(COUNTA(A1687:F1687)=0,COUNTIFS('Rules'!$G$7:$G$26,"="&amp;(SUBSTITUTE(SUBSTITUTE(SUBSTITUTE(SUBSTITUTE("type:"&amp;B1687,"%","%25"),"~","%7E"),"*","%2A"),"?","%3F")))&lt;&gt;1),"",IF(OR(INDEX('Rules'!$B$7:$B$26,MATCH(SUBSTITUTE(SUBSTITUTE(SUBSTITUTE(SUBSTITUTE("type:"&amp;B1687,"%","%25"),"~","%7E"),"*","%2A"),"?","%3F"),'Rules'!$G$7:$G$26,0))="hours",INDEX('Rules'!$B$7:$B$26,MATCH(SUBSTITUTE(SUBSTITUTE(SUBSTITUTE(SUBSTITUTE("type:"&amp;B1687,"%","%25"),"~","%7E"),"*","%2A"),"?","%3F"),'Rules'!$G$7:$G$26,0))="km"),INDEX('Rules'!$B$7:$B$26,MATCH(SUBSTITUTE(SUBSTITUTE(SUBSTITUTE(SUBSTITUTE("type:"&amp;B1687,"%","%25"),"~","%7E"),"*","%2A"),"?","%3F"),'Rules'!$G$7:$G$26,0)),""))</x:f>
      </x:c>
      <x:c r="I1687" s="6" t="str">
        <x:f>IF(AND(NOT(COUNTA(A1687:F1687)=0),K1687=""),ROUND(J1687-D1687,3),"")</x:f>
      </x:c>
      <x:c r="J1687" s="6" t="str">
        <x:f>IF(AND(NOT(COUNTA(A1687:F1687)=0),K1687=""),ROUND(F1687+L1687,3),"")</x:f>
      </x:c>
      <x:c r="K1687" s="5" t="str">
        <x:f>IF(COUNTA(A1687:F1687)=0,"",IF(A1687="","Missing equipment ID",IF(COUNTIFS($N$8:$N$2007,"="&amp;N1687)&gt;1,"Duplicate equipment ID",IF(B1687="","Missing type",IF(COUNTIFS('Rules'!$G$7:$G$26,"="&amp;(SUBSTITUTE(SUBSTITUTE(SUBSTITUTE(SUBSTITUTE("type:"&amp;B1687,"%","%25"),"~","%7E"),"*","%2A"),"?","%3F")))=0,"Unknown type",IF(COUNTIFS('Rules'!$G$7:$G$26,"="&amp;(SUBSTITUTE(SUBSTITUTE(SUBSTITUTE(SUBSTITUTE("type:"&amp;B1687,"%","%25"),"~","%7E"),"*","%2A"),"?","%3F")))&gt;1,"Duplicate type",IF(INDEX('Rules'!$F$7:$F$26,MATCH(SUBSTITUTE(SUBSTITUTE(SUBSTITUTE(SUBSTITUTE("type:"&amp;B1687,"%","%25"),"~","%7E"),"*","%2A"),"?","%3F"),'Rules'!$G$7:$G$26,0))&lt;&gt;"",INDEX('Rules'!$F$7:$F$26,MATCH(SUBSTITUTE(SUBSTITUTE(SUBSTITUTE(SUBSTITUTE("type:"&amp;B1687,"%","%25"),"~","%7E"),"*","%2A"),"?","%3F"),'Rules'!$G$7:$G$26,0)),IF(AND(C1687&lt;&gt;"",C1687&lt;&gt;INDEX('Rules'!$B$7:$B$26,MATCH(SUBSTITUTE(SUBSTITUTE(SUBSTITUTE(SUBSTITUTE("type:"&amp;B1687,"%","%25"),"~","%7E"),"*","%2A"),"?","%3F"),'Rules'!$G$7:$G$26,0))),"Unit mismatch",IF(IF(NOT(ISNUMBER(D1687)),TRUE,OR(D1687&lt;0,D1687&gt;999999999,ROUND(D1687,3)&lt;&gt;D1687)),"Invalid current reading",IF(AND(E1687&lt;&gt;"",IF(NOT(ISNUMBER(E1687)),TRUE,OR(E1687&lt;0,E1687&gt;999999999,ROUND(E1687,3)&lt;&gt;E1687))),"Invalid previous reading",IF(IF(NOT(ISNUMBER(F1687)),TRUE,OR(F1687&lt;0,F1687&gt;999999999,ROUND(F1687,3)&lt;&gt;F1687)),"Invalid last service",IF(AND(E1687&lt;&gt;"",D1687&lt;E1687),"Decreased reading",IF(F1687&gt;D1687,"Last service above current","")))))))))))))</x:f>
      </x:c>
      <x:c r="L1687" s="6" t="str">
        <x:f>IF(AND(NOT(COUNTA(A1687:F1687)=0),K1687=""),INDEX('Rules'!$C$7:$C$26,MATCH(SUBSTITUTE(SUBSTITUTE(SUBSTITUTE(SUBSTITUTE("type:"&amp;B1687,"%","%25"),"~","%7E"),"*","%2A"),"?","%3F"),'Rules'!$G$7:$G$26,0)),"")</x:f>
      </x:c>
      <x:c r="M1687" s="6" t="str">
        <x:f>IF(AND(NOT(COUNTA(A1687:F1687)=0),K1687=""),INDEX('Rules'!$D$7:$D$26,MATCH(SUBSTITUTE(SUBSTITUTE(SUBSTITUTE(SUBSTITUTE("type:"&amp;B1687,"%","%25"),"~","%7E"),"*","%2A"),"?","%3F"),'Rules'!$G$7:$G$26,0)),"")</x:f>
      </x:c>
      <x:c r="N1687" s="5" t="str">
        <x:f>IF(COUNTA(A1687:F1687)=0,"",SUBSTITUTE(SUBSTITUTE(SUBSTITUTE(SUBSTITUTE("id:"&amp;A1687,"%","%25"),"~","%7E"),"*","%2A"),"?","%3F"))</x:f>
      </x:c>
    </x:row>
    <x:row r="1688" ht="22" customHeight="1">
      <x:c r="A1688" s="3"/>
      <x:c r="B1688" s="3"/>
      <x:c r="C1688" s="3"/>
      <x:c r="D1688" s="4"/>
      <x:c r="E1688" s="4"/>
      <x:c r="F1688" s="4"/>
      <x:c r="G1688" s="5" t="str">
        <x:f>IF(COUNTA(A1688:F1688)=0,"",IF(K1688&lt;&gt;"","Review",IF(I1688&lt;0,"Overdue",IF(I1688=0,"Due now",IF(I1688&lt;=M1688,"Due soon","Not due")))))</x:f>
      </x:c>
      <x:c r="H1688" s="5" t="str">
        <x:f>IF(OR(COUNTA(A1688:F1688)=0,COUNTIFS('Rules'!$G$7:$G$26,"="&amp;(SUBSTITUTE(SUBSTITUTE(SUBSTITUTE(SUBSTITUTE("type:"&amp;B1688,"%","%25"),"~","%7E"),"*","%2A"),"?","%3F")))&lt;&gt;1),"",IF(OR(INDEX('Rules'!$B$7:$B$26,MATCH(SUBSTITUTE(SUBSTITUTE(SUBSTITUTE(SUBSTITUTE("type:"&amp;B1688,"%","%25"),"~","%7E"),"*","%2A"),"?","%3F"),'Rules'!$G$7:$G$26,0))="hours",INDEX('Rules'!$B$7:$B$26,MATCH(SUBSTITUTE(SUBSTITUTE(SUBSTITUTE(SUBSTITUTE("type:"&amp;B1688,"%","%25"),"~","%7E"),"*","%2A"),"?","%3F"),'Rules'!$G$7:$G$26,0))="km"),INDEX('Rules'!$B$7:$B$26,MATCH(SUBSTITUTE(SUBSTITUTE(SUBSTITUTE(SUBSTITUTE("type:"&amp;B1688,"%","%25"),"~","%7E"),"*","%2A"),"?","%3F"),'Rules'!$G$7:$G$26,0)),""))</x:f>
      </x:c>
      <x:c r="I1688" s="6" t="str">
        <x:f>IF(AND(NOT(COUNTA(A1688:F1688)=0),K1688=""),ROUND(J1688-D1688,3),"")</x:f>
      </x:c>
      <x:c r="J1688" s="6" t="str">
        <x:f>IF(AND(NOT(COUNTA(A1688:F1688)=0),K1688=""),ROUND(F1688+L1688,3),"")</x:f>
      </x:c>
      <x:c r="K1688" s="5" t="str">
        <x:f>IF(COUNTA(A1688:F1688)=0,"",IF(A1688="","Missing equipment ID",IF(COUNTIFS($N$8:$N$2007,"="&amp;N1688)&gt;1,"Duplicate equipment ID",IF(B1688="","Missing type",IF(COUNTIFS('Rules'!$G$7:$G$26,"="&amp;(SUBSTITUTE(SUBSTITUTE(SUBSTITUTE(SUBSTITUTE("type:"&amp;B1688,"%","%25"),"~","%7E"),"*","%2A"),"?","%3F")))=0,"Unknown type",IF(COUNTIFS('Rules'!$G$7:$G$26,"="&amp;(SUBSTITUTE(SUBSTITUTE(SUBSTITUTE(SUBSTITUTE("type:"&amp;B1688,"%","%25"),"~","%7E"),"*","%2A"),"?","%3F")))&gt;1,"Duplicate type",IF(INDEX('Rules'!$F$7:$F$26,MATCH(SUBSTITUTE(SUBSTITUTE(SUBSTITUTE(SUBSTITUTE("type:"&amp;B1688,"%","%25"),"~","%7E"),"*","%2A"),"?","%3F"),'Rules'!$G$7:$G$26,0))&lt;&gt;"",INDEX('Rules'!$F$7:$F$26,MATCH(SUBSTITUTE(SUBSTITUTE(SUBSTITUTE(SUBSTITUTE("type:"&amp;B1688,"%","%25"),"~","%7E"),"*","%2A"),"?","%3F"),'Rules'!$G$7:$G$26,0)),IF(AND(C1688&lt;&gt;"",C1688&lt;&gt;INDEX('Rules'!$B$7:$B$26,MATCH(SUBSTITUTE(SUBSTITUTE(SUBSTITUTE(SUBSTITUTE("type:"&amp;B1688,"%","%25"),"~","%7E"),"*","%2A"),"?","%3F"),'Rules'!$G$7:$G$26,0))),"Unit mismatch",IF(IF(NOT(ISNUMBER(D1688)),TRUE,OR(D1688&lt;0,D1688&gt;999999999,ROUND(D1688,3)&lt;&gt;D1688)),"Invalid current reading",IF(AND(E1688&lt;&gt;"",IF(NOT(ISNUMBER(E1688)),TRUE,OR(E1688&lt;0,E1688&gt;999999999,ROUND(E1688,3)&lt;&gt;E1688))),"Invalid previous reading",IF(IF(NOT(ISNUMBER(F1688)),TRUE,OR(F1688&lt;0,F1688&gt;999999999,ROUND(F1688,3)&lt;&gt;F1688)),"Invalid last service",IF(AND(E1688&lt;&gt;"",D1688&lt;E1688),"Decreased reading",IF(F1688&gt;D1688,"Last service above current","")))))))))))))</x:f>
      </x:c>
      <x:c r="L1688" s="6" t="str">
        <x:f>IF(AND(NOT(COUNTA(A1688:F1688)=0),K1688=""),INDEX('Rules'!$C$7:$C$26,MATCH(SUBSTITUTE(SUBSTITUTE(SUBSTITUTE(SUBSTITUTE("type:"&amp;B1688,"%","%25"),"~","%7E"),"*","%2A"),"?","%3F"),'Rules'!$G$7:$G$26,0)),"")</x:f>
      </x:c>
      <x:c r="M1688" s="6" t="str">
        <x:f>IF(AND(NOT(COUNTA(A1688:F1688)=0),K1688=""),INDEX('Rules'!$D$7:$D$26,MATCH(SUBSTITUTE(SUBSTITUTE(SUBSTITUTE(SUBSTITUTE("type:"&amp;B1688,"%","%25"),"~","%7E"),"*","%2A"),"?","%3F"),'Rules'!$G$7:$G$26,0)),"")</x:f>
      </x:c>
      <x:c r="N1688" s="5" t="str">
        <x:f>IF(COUNTA(A1688:F1688)=0,"",SUBSTITUTE(SUBSTITUTE(SUBSTITUTE(SUBSTITUTE("id:"&amp;A1688,"%","%25"),"~","%7E"),"*","%2A"),"?","%3F"))</x:f>
      </x:c>
    </x:row>
    <x:row r="1689" ht="22" customHeight="1">
      <x:c r="A1689" s="3"/>
      <x:c r="B1689" s="3"/>
      <x:c r="C1689" s="3"/>
      <x:c r="D1689" s="4"/>
      <x:c r="E1689" s="4"/>
      <x:c r="F1689" s="4"/>
      <x:c r="G1689" s="5" t="str">
        <x:f>IF(COUNTA(A1689:F1689)=0,"",IF(K1689&lt;&gt;"","Review",IF(I1689&lt;0,"Overdue",IF(I1689=0,"Due now",IF(I1689&lt;=M1689,"Due soon","Not due")))))</x:f>
      </x:c>
      <x:c r="H1689" s="5" t="str">
        <x:f>IF(OR(COUNTA(A1689:F1689)=0,COUNTIFS('Rules'!$G$7:$G$26,"="&amp;(SUBSTITUTE(SUBSTITUTE(SUBSTITUTE(SUBSTITUTE("type:"&amp;B1689,"%","%25"),"~","%7E"),"*","%2A"),"?","%3F")))&lt;&gt;1),"",IF(OR(INDEX('Rules'!$B$7:$B$26,MATCH(SUBSTITUTE(SUBSTITUTE(SUBSTITUTE(SUBSTITUTE("type:"&amp;B1689,"%","%25"),"~","%7E"),"*","%2A"),"?","%3F"),'Rules'!$G$7:$G$26,0))="hours",INDEX('Rules'!$B$7:$B$26,MATCH(SUBSTITUTE(SUBSTITUTE(SUBSTITUTE(SUBSTITUTE("type:"&amp;B1689,"%","%25"),"~","%7E"),"*","%2A"),"?","%3F"),'Rules'!$G$7:$G$26,0))="km"),INDEX('Rules'!$B$7:$B$26,MATCH(SUBSTITUTE(SUBSTITUTE(SUBSTITUTE(SUBSTITUTE("type:"&amp;B1689,"%","%25"),"~","%7E"),"*","%2A"),"?","%3F"),'Rules'!$G$7:$G$26,0)),""))</x:f>
      </x:c>
      <x:c r="I1689" s="6" t="str">
        <x:f>IF(AND(NOT(COUNTA(A1689:F1689)=0),K1689=""),ROUND(J1689-D1689,3),"")</x:f>
      </x:c>
      <x:c r="J1689" s="6" t="str">
        <x:f>IF(AND(NOT(COUNTA(A1689:F1689)=0),K1689=""),ROUND(F1689+L1689,3),"")</x:f>
      </x:c>
      <x:c r="K1689" s="5" t="str">
        <x:f>IF(COUNTA(A1689:F1689)=0,"",IF(A1689="","Missing equipment ID",IF(COUNTIFS($N$8:$N$2007,"="&amp;N1689)&gt;1,"Duplicate equipment ID",IF(B1689="","Missing type",IF(COUNTIFS('Rules'!$G$7:$G$26,"="&amp;(SUBSTITUTE(SUBSTITUTE(SUBSTITUTE(SUBSTITUTE("type:"&amp;B1689,"%","%25"),"~","%7E"),"*","%2A"),"?","%3F")))=0,"Unknown type",IF(COUNTIFS('Rules'!$G$7:$G$26,"="&amp;(SUBSTITUTE(SUBSTITUTE(SUBSTITUTE(SUBSTITUTE("type:"&amp;B1689,"%","%25"),"~","%7E"),"*","%2A"),"?","%3F")))&gt;1,"Duplicate type",IF(INDEX('Rules'!$F$7:$F$26,MATCH(SUBSTITUTE(SUBSTITUTE(SUBSTITUTE(SUBSTITUTE("type:"&amp;B1689,"%","%25"),"~","%7E"),"*","%2A"),"?","%3F"),'Rules'!$G$7:$G$26,0))&lt;&gt;"",INDEX('Rules'!$F$7:$F$26,MATCH(SUBSTITUTE(SUBSTITUTE(SUBSTITUTE(SUBSTITUTE("type:"&amp;B1689,"%","%25"),"~","%7E"),"*","%2A"),"?","%3F"),'Rules'!$G$7:$G$26,0)),IF(AND(C1689&lt;&gt;"",C1689&lt;&gt;INDEX('Rules'!$B$7:$B$26,MATCH(SUBSTITUTE(SUBSTITUTE(SUBSTITUTE(SUBSTITUTE("type:"&amp;B1689,"%","%25"),"~","%7E"),"*","%2A"),"?","%3F"),'Rules'!$G$7:$G$26,0))),"Unit mismatch",IF(IF(NOT(ISNUMBER(D1689)),TRUE,OR(D1689&lt;0,D1689&gt;999999999,ROUND(D1689,3)&lt;&gt;D1689)),"Invalid current reading",IF(AND(E1689&lt;&gt;"",IF(NOT(ISNUMBER(E1689)),TRUE,OR(E1689&lt;0,E1689&gt;999999999,ROUND(E1689,3)&lt;&gt;E1689))),"Invalid previous reading",IF(IF(NOT(ISNUMBER(F1689)),TRUE,OR(F1689&lt;0,F1689&gt;999999999,ROUND(F1689,3)&lt;&gt;F1689)),"Invalid last service",IF(AND(E1689&lt;&gt;"",D1689&lt;E1689),"Decreased reading",IF(F1689&gt;D1689,"Last service above current","")))))))))))))</x:f>
      </x:c>
      <x:c r="L1689" s="6" t="str">
        <x:f>IF(AND(NOT(COUNTA(A1689:F1689)=0),K1689=""),INDEX('Rules'!$C$7:$C$26,MATCH(SUBSTITUTE(SUBSTITUTE(SUBSTITUTE(SUBSTITUTE("type:"&amp;B1689,"%","%25"),"~","%7E"),"*","%2A"),"?","%3F"),'Rules'!$G$7:$G$26,0)),"")</x:f>
      </x:c>
      <x:c r="M1689" s="6" t="str">
        <x:f>IF(AND(NOT(COUNTA(A1689:F1689)=0),K1689=""),INDEX('Rules'!$D$7:$D$26,MATCH(SUBSTITUTE(SUBSTITUTE(SUBSTITUTE(SUBSTITUTE("type:"&amp;B1689,"%","%25"),"~","%7E"),"*","%2A"),"?","%3F"),'Rules'!$G$7:$G$26,0)),"")</x:f>
      </x:c>
      <x:c r="N1689" s="5" t="str">
        <x:f>IF(COUNTA(A1689:F1689)=0,"",SUBSTITUTE(SUBSTITUTE(SUBSTITUTE(SUBSTITUTE("id:"&amp;A1689,"%","%25"),"~","%7E"),"*","%2A"),"?","%3F"))</x:f>
      </x:c>
    </x:row>
    <x:row r="1690" ht="22" customHeight="1">
      <x:c r="A1690" s="3"/>
      <x:c r="B1690" s="3"/>
      <x:c r="C1690" s="3"/>
      <x:c r="D1690" s="4"/>
      <x:c r="E1690" s="4"/>
      <x:c r="F1690" s="4"/>
      <x:c r="G1690" s="5" t="str">
        <x:f>IF(COUNTA(A1690:F1690)=0,"",IF(K1690&lt;&gt;"","Review",IF(I1690&lt;0,"Overdue",IF(I1690=0,"Due now",IF(I1690&lt;=M1690,"Due soon","Not due")))))</x:f>
      </x:c>
      <x:c r="H1690" s="5" t="str">
        <x:f>IF(OR(COUNTA(A1690:F1690)=0,COUNTIFS('Rules'!$G$7:$G$26,"="&amp;(SUBSTITUTE(SUBSTITUTE(SUBSTITUTE(SUBSTITUTE("type:"&amp;B1690,"%","%25"),"~","%7E"),"*","%2A"),"?","%3F")))&lt;&gt;1),"",IF(OR(INDEX('Rules'!$B$7:$B$26,MATCH(SUBSTITUTE(SUBSTITUTE(SUBSTITUTE(SUBSTITUTE("type:"&amp;B1690,"%","%25"),"~","%7E"),"*","%2A"),"?","%3F"),'Rules'!$G$7:$G$26,0))="hours",INDEX('Rules'!$B$7:$B$26,MATCH(SUBSTITUTE(SUBSTITUTE(SUBSTITUTE(SUBSTITUTE("type:"&amp;B1690,"%","%25"),"~","%7E"),"*","%2A"),"?","%3F"),'Rules'!$G$7:$G$26,0))="km"),INDEX('Rules'!$B$7:$B$26,MATCH(SUBSTITUTE(SUBSTITUTE(SUBSTITUTE(SUBSTITUTE("type:"&amp;B1690,"%","%25"),"~","%7E"),"*","%2A"),"?","%3F"),'Rules'!$G$7:$G$26,0)),""))</x:f>
      </x:c>
      <x:c r="I1690" s="6" t="str">
        <x:f>IF(AND(NOT(COUNTA(A1690:F1690)=0),K1690=""),ROUND(J1690-D1690,3),"")</x:f>
      </x:c>
      <x:c r="J1690" s="6" t="str">
        <x:f>IF(AND(NOT(COUNTA(A1690:F1690)=0),K1690=""),ROUND(F1690+L1690,3),"")</x:f>
      </x:c>
      <x:c r="K1690" s="5" t="str">
        <x:f>IF(COUNTA(A1690:F1690)=0,"",IF(A1690="","Missing equipment ID",IF(COUNTIFS($N$8:$N$2007,"="&amp;N1690)&gt;1,"Duplicate equipment ID",IF(B1690="","Missing type",IF(COUNTIFS('Rules'!$G$7:$G$26,"="&amp;(SUBSTITUTE(SUBSTITUTE(SUBSTITUTE(SUBSTITUTE("type:"&amp;B1690,"%","%25"),"~","%7E"),"*","%2A"),"?","%3F")))=0,"Unknown type",IF(COUNTIFS('Rules'!$G$7:$G$26,"="&amp;(SUBSTITUTE(SUBSTITUTE(SUBSTITUTE(SUBSTITUTE("type:"&amp;B1690,"%","%25"),"~","%7E"),"*","%2A"),"?","%3F")))&gt;1,"Duplicate type",IF(INDEX('Rules'!$F$7:$F$26,MATCH(SUBSTITUTE(SUBSTITUTE(SUBSTITUTE(SUBSTITUTE("type:"&amp;B1690,"%","%25"),"~","%7E"),"*","%2A"),"?","%3F"),'Rules'!$G$7:$G$26,0))&lt;&gt;"",INDEX('Rules'!$F$7:$F$26,MATCH(SUBSTITUTE(SUBSTITUTE(SUBSTITUTE(SUBSTITUTE("type:"&amp;B1690,"%","%25"),"~","%7E"),"*","%2A"),"?","%3F"),'Rules'!$G$7:$G$26,0)),IF(AND(C1690&lt;&gt;"",C1690&lt;&gt;INDEX('Rules'!$B$7:$B$26,MATCH(SUBSTITUTE(SUBSTITUTE(SUBSTITUTE(SUBSTITUTE("type:"&amp;B1690,"%","%25"),"~","%7E"),"*","%2A"),"?","%3F"),'Rules'!$G$7:$G$26,0))),"Unit mismatch",IF(IF(NOT(ISNUMBER(D1690)),TRUE,OR(D1690&lt;0,D1690&gt;999999999,ROUND(D1690,3)&lt;&gt;D1690)),"Invalid current reading",IF(AND(E1690&lt;&gt;"",IF(NOT(ISNUMBER(E1690)),TRUE,OR(E1690&lt;0,E1690&gt;999999999,ROUND(E1690,3)&lt;&gt;E1690))),"Invalid previous reading",IF(IF(NOT(ISNUMBER(F1690)),TRUE,OR(F1690&lt;0,F1690&gt;999999999,ROUND(F1690,3)&lt;&gt;F1690)),"Invalid last service",IF(AND(E1690&lt;&gt;"",D1690&lt;E1690),"Decreased reading",IF(F1690&gt;D1690,"Last service above current","")))))))))))))</x:f>
      </x:c>
      <x:c r="L1690" s="6" t="str">
        <x:f>IF(AND(NOT(COUNTA(A1690:F1690)=0),K1690=""),INDEX('Rules'!$C$7:$C$26,MATCH(SUBSTITUTE(SUBSTITUTE(SUBSTITUTE(SUBSTITUTE("type:"&amp;B1690,"%","%25"),"~","%7E"),"*","%2A"),"?","%3F"),'Rules'!$G$7:$G$26,0)),"")</x:f>
      </x:c>
      <x:c r="M1690" s="6" t="str">
        <x:f>IF(AND(NOT(COUNTA(A1690:F1690)=0),K1690=""),INDEX('Rules'!$D$7:$D$26,MATCH(SUBSTITUTE(SUBSTITUTE(SUBSTITUTE(SUBSTITUTE("type:"&amp;B1690,"%","%25"),"~","%7E"),"*","%2A"),"?","%3F"),'Rules'!$G$7:$G$26,0)),"")</x:f>
      </x:c>
      <x:c r="N1690" s="5" t="str">
        <x:f>IF(COUNTA(A1690:F1690)=0,"",SUBSTITUTE(SUBSTITUTE(SUBSTITUTE(SUBSTITUTE("id:"&amp;A1690,"%","%25"),"~","%7E"),"*","%2A"),"?","%3F"))</x:f>
      </x:c>
    </x:row>
    <x:row r="1691" ht="22" customHeight="1">
      <x:c r="A1691" s="3"/>
      <x:c r="B1691" s="3"/>
      <x:c r="C1691" s="3"/>
      <x:c r="D1691" s="4"/>
      <x:c r="E1691" s="4"/>
      <x:c r="F1691" s="4"/>
      <x:c r="G1691" s="5" t="str">
        <x:f>IF(COUNTA(A1691:F1691)=0,"",IF(K1691&lt;&gt;"","Review",IF(I1691&lt;0,"Overdue",IF(I1691=0,"Due now",IF(I1691&lt;=M1691,"Due soon","Not due")))))</x:f>
      </x:c>
      <x:c r="H1691" s="5" t="str">
        <x:f>IF(OR(COUNTA(A1691:F1691)=0,COUNTIFS('Rules'!$G$7:$G$26,"="&amp;(SUBSTITUTE(SUBSTITUTE(SUBSTITUTE(SUBSTITUTE("type:"&amp;B1691,"%","%25"),"~","%7E"),"*","%2A"),"?","%3F")))&lt;&gt;1),"",IF(OR(INDEX('Rules'!$B$7:$B$26,MATCH(SUBSTITUTE(SUBSTITUTE(SUBSTITUTE(SUBSTITUTE("type:"&amp;B1691,"%","%25"),"~","%7E"),"*","%2A"),"?","%3F"),'Rules'!$G$7:$G$26,0))="hours",INDEX('Rules'!$B$7:$B$26,MATCH(SUBSTITUTE(SUBSTITUTE(SUBSTITUTE(SUBSTITUTE("type:"&amp;B1691,"%","%25"),"~","%7E"),"*","%2A"),"?","%3F"),'Rules'!$G$7:$G$26,0))="km"),INDEX('Rules'!$B$7:$B$26,MATCH(SUBSTITUTE(SUBSTITUTE(SUBSTITUTE(SUBSTITUTE("type:"&amp;B1691,"%","%25"),"~","%7E"),"*","%2A"),"?","%3F"),'Rules'!$G$7:$G$26,0)),""))</x:f>
      </x:c>
      <x:c r="I1691" s="6" t="str">
        <x:f>IF(AND(NOT(COUNTA(A1691:F1691)=0),K1691=""),ROUND(J1691-D1691,3),"")</x:f>
      </x:c>
      <x:c r="J1691" s="6" t="str">
        <x:f>IF(AND(NOT(COUNTA(A1691:F1691)=0),K1691=""),ROUND(F1691+L1691,3),"")</x:f>
      </x:c>
      <x:c r="K1691" s="5" t="str">
        <x:f>IF(COUNTA(A1691:F1691)=0,"",IF(A1691="","Missing equipment ID",IF(COUNTIFS($N$8:$N$2007,"="&amp;N1691)&gt;1,"Duplicate equipment ID",IF(B1691="","Missing type",IF(COUNTIFS('Rules'!$G$7:$G$26,"="&amp;(SUBSTITUTE(SUBSTITUTE(SUBSTITUTE(SUBSTITUTE("type:"&amp;B1691,"%","%25"),"~","%7E"),"*","%2A"),"?","%3F")))=0,"Unknown type",IF(COUNTIFS('Rules'!$G$7:$G$26,"="&amp;(SUBSTITUTE(SUBSTITUTE(SUBSTITUTE(SUBSTITUTE("type:"&amp;B1691,"%","%25"),"~","%7E"),"*","%2A"),"?","%3F")))&gt;1,"Duplicate type",IF(INDEX('Rules'!$F$7:$F$26,MATCH(SUBSTITUTE(SUBSTITUTE(SUBSTITUTE(SUBSTITUTE("type:"&amp;B1691,"%","%25"),"~","%7E"),"*","%2A"),"?","%3F"),'Rules'!$G$7:$G$26,0))&lt;&gt;"",INDEX('Rules'!$F$7:$F$26,MATCH(SUBSTITUTE(SUBSTITUTE(SUBSTITUTE(SUBSTITUTE("type:"&amp;B1691,"%","%25"),"~","%7E"),"*","%2A"),"?","%3F"),'Rules'!$G$7:$G$26,0)),IF(AND(C1691&lt;&gt;"",C1691&lt;&gt;INDEX('Rules'!$B$7:$B$26,MATCH(SUBSTITUTE(SUBSTITUTE(SUBSTITUTE(SUBSTITUTE("type:"&amp;B1691,"%","%25"),"~","%7E"),"*","%2A"),"?","%3F"),'Rules'!$G$7:$G$26,0))),"Unit mismatch",IF(IF(NOT(ISNUMBER(D1691)),TRUE,OR(D1691&lt;0,D1691&gt;999999999,ROUND(D1691,3)&lt;&gt;D1691)),"Invalid current reading",IF(AND(E1691&lt;&gt;"",IF(NOT(ISNUMBER(E1691)),TRUE,OR(E1691&lt;0,E1691&gt;999999999,ROUND(E1691,3)&lt;&gt;E1691))),"Invalid previous reading",IF(IF(NOT(ISNUMBER(F1691)),TRUE,OR(F1691&lt;0,F1691&gt;999999999,ROUND(F1691,3)&lt;&gt;F1691)),"Invalid last service",IF(AND(E1691&lt;&gt;"",D1691&lt;E1691),"Decreased reading",IF(F1691&gt;D1691,"Last service above current","")))))))))))))</x:f>
      </x:c>
      <x:c r="L1691" s="6" t="str">
        <x:f>IF(AND(NOT(COUNTA(A1691:F1691)=0),K1691=""),INDEX('Rules'!$C$7:$C$26,MATCH(SUBSTITUTE(SUBSTITUTE(SUBSTITUTE(SUBSTITUTE("type:"&amp;B1691,"%","%25"),"~","%7E"),"*","%2A"),"?","%3F"),'Rules'!$G$7:$G$26,0)),"")</x:f>
      </x:c>
      <x:c r="M1691" s="6" t="str">
        <x:f>IF(AND(NOT(COUNTA(A1691:F1691)=0),K1691=""),INDEX('Rules'!$D$7:$D$26,MATCH(SUBSTITUTE(SUBSTITUTE(SUBSTITUTE(SUBSTITUTE("type:"&amp;B1691,"%","%25"),"~","%7E"),"*","%2A"),"?","%3F"),'Rules'!$G$7:$G$26,0)),"")</x:f>
      </x:c>
      <x:c r="N1691" s="5" t="str">
        <x:f>IF(COUNTA(A1691:F1691)=0,"",SUBSTITUTE(SUBSTITUTE(SUBSTITUTE(SUBSTITUTE("id:"&amp;A1691,"%","%25"),"~","%7E"),"*","%2A"),"?","%3F"))</x:f>
      </x:c>
    </x:row>
    <x:row r="1692" ht="22" customHeight="1">
      <x:c r="A1692" s="3"/>
      <x:c r="B1692" s="3"/>
      <x:c r="C1692" s="3"/>
      <x:c r="D1692" s="4"/>
      <x:c r="E1692" s="4"/>
      <x:c r="F1692" s="4"/>
      <x:c r="G1692" s="5" t="str">
        <x:f>IF(COUNTA(A1692:F1692)=0,"",IF(K1692&lt;&gt;"","Review",IF(I1692&lt;0,"Overdue",IF(I1692=0,"Due now",IF(I1692&lt;=M1692,"Due soon","Not due")))))</x:f>
      </x:c>
      <x:c r="H1692" s="5" t="str">
        <x:f>IF(OR(COUNTA(A1692:F1692)=0,COUNTIFS('Rules'!$G$7:$G$26,"="&amp;(SUBSTITUTE(SUBSTITUTE(SUBSTITUTE(SUBSTITUTE("type:"&amp;B1692,"%","%25"),"~","%7E"),"*","%2A"),"?","%3F")))&lt;&gt;1),"",IF(OR(INDEX('Rules'!$B$7:$B$26,MATCH(SUBSTITUTE(SUBSTITUTE(SUBSTITUTE(SUBSTITUTE("type:"&amp;B1692,"%","%25"),"~","%7E"),"*","%2A"),"?","%3F"),'Rules'!$G$7:$G$26,0))="hours",INDEX('Rules'!$B$7:$B$26,MATCH(SUBSTITUTE(SUBSTITUTE(SUBSTITUTE(SUBSTITUTE("type:"&amp;B1692,"%","%25"),"~","%7E"),"*","%2A"),"?","%3F"),'Rules'!$G$7:$G$26,0))="km"),INDEX('Rules'!$B$7:$B$26,MATCH(SUBSTITUTE(SUBSTITUTE(SUBSTITUTE(SUBSTITUTE("type:"&amp;B1692,"%","%25"),"~","%7E"),"*","%2A"),"?","%3F"),'Rules'!$G$7:$G$26,0)),""))</x:f>
      </x:c>
      <x:c r="I1692" s="6" t="str">
        <x:f>IF(AND(NOT(COUNTA(A1692:F1692)=0),K1692=""),ROUND(J1692-D1692,3),"")</x:f>
      </x:c>
      <x:c r="J1692" s="6" t="str">
        <x:f>IF(AND(NOT(COUNTA(A1692:F1692)=0),K1692=""),ROUND(F1692+L1692,3),"")</x:f>
      </x:c>
      <x:c r="K1692" s="5" t="str">
        <x:f>IF(COUNTA(A1692:F1692)=0,"",IF(A1692="","Missing equipment ID",IF(COUNTIFS($N$8:$N$2007,"="&amp;N1692)&gt;1,"Duplicate equipment ID",IF(B1692="","Missing type",IF(COUNTIFS('Rules'!$G$7:$G$26,"="&amp;(SUBSTITUTE(SUBSTITUTE(SUBSTITUTE(SUBSTITUTE("type:"&amp;B1692,"%","%25"),"~","%7E"),"*","%2A"),"?","%3F")))=0,"Unknown type",IF(COUNTIFS('Rules'!$G$7:$G$26,"="&amp;(SUBSTITUTE(SUBSTITUTE(SUBSTITUTE(SUBSTITUTE("type:"&amp;B1692,"%","%25"),"~","%7E"),"*","%2A"),"?","%3F")))&gt;1,"Duplicate type",IF(INDEX('Rules'!$F$7:$F$26,MATCH(SUBSTITUTE(SUBSTITUTE(SUBSTITUTE(SUBSTITUTE("type:"&amp;B1692,"%","%25"),"~","%7E"),"*","%2A"),"?","%3F"),'Rules'!$G$7:$G$26,0))&lt;&gt;"",INDEX('Rules'!$F$7:$F$26,MATCH(SUBSTITUTE(SUBSTITUTE(SUBSTITUTE(SUBSTITUTE("type:"&amp;B1692,"%","%25"),"~","%7E"),"*","%2A"),"?","%3F"),'Rules'!$G$7:$G$26,0)),IF(AND(C1692&lt;&gt;"",C1692&lt;&gt;INDEX('Rules'!$B$7:$B$26,MATCH(SUBSTITUTE(SUBSTITUTE(SUBSTITUTE(SUBSTITUTE("type:"&amp;B1692,"%","%25"),"~","%7E"),"*","%2A"),"?","%3F"),'Rules'!$G$7:$G$26,0))),"Unit mismatch",IF(IF(NOT(ISNUMBER(D1692)),TRUE,OR(D1692&lt;0,D1692&gt;999999999,ROUND(D1692,3)&lt;&gt;D1692)),"Invalid current reading",IF(AND(E1692&lt;&gt;"",IF(NOT(ISNUMBER(E1692)),TRUE,OR(E1692&lt;0,E1692&gt;999999999,ROUND(E1692,3)&lt;&gt;E1692))),"Invalid previous reading",IF(IF(NOT(ISNUMBER(F1692)),TRUE,OR(F1692&lt;0,F1692&gt;999999999,ROUND(F1692,3)&lt;&gt;F1692)),"Invalid last service",IF(AND(E1692&lt;&gt;"",D1692&lt;E1692),"Decreased reading",IF(F1692&gt;D1692,"Last service above current","")))))))))))))</x:f>
      </x:c>
      <x:c r="L1692" s="6" t="str">
        <x:f>IF(AND(NOT(COUNTA(A1692:F1692)=0),K1692=""),INDEX('Rules'!$C$7:$C$26,MATCH(SUBSTITUTE(SUBSTITUTE(SUBSTITUTE(SUBSTITUTE("type:"&amp;B1692,"%","%25"),"~","%7E"),"*","%2A"),"?","%3F"),'Rules'!$G$7:$G$26,0)),"")</x:f>
      </x:c>
      <x:c r="M1692" s="6" t="str">
        <x:f>IF(AND(NOT(COUNTA(A1692:F1692)=0),K1692=""),INDEX('Rules'!$D$7:$D$26,MATCH(SUBSTITUTE(SUBSTITUTE(SUBSTITUTE(SUBSTITUTE("type:"&amp;B1692,"%","%25"),"~","%7E"),"*","%2A"),"?","%3F"),'Rules'!$G$7:$G$26,0)),"")</x:f>
      </x:c>
      <x:c r="N1692" s="5" t="str">
        <x:f>IF(COUNTA(A1692:F1692)=0,"",SUBSTITUTE(SUBSTITUTE(SUBSTITUTE(SUBSTITUTE("id:"&amp;A1692,"%","%25"),"~","%7E"),"*","%2A"),"?","%3F"))</x:f>
      </x:c>
    </x:row>
    <x:row r="1693" ht="22" customHeight="1">
      <x:c r="A1693" s="3"/>
      <x:c r="B1693" s="3"/>
      <x:c r="C1693" s="3"/>
      <x:c r="D1693" s="4"/>
      <x:c r="E1693" s="4"/>
      <x:c r="F1693" s="4"/>
      <x:c r="G1693" s="5" t="str">
        <x:f>IF(COUNTA(A1693:F1693)=0,"",IF(K1693&lt;&gt;"","Review",IF(I1693&lt;0,"Overdue",IF(I1693=0,"Due now",IF(I1693&lt;=M1693,"Due soon","Not due")))))</x:f>
      </x:c>
      <x:c r="H1693" s="5" t="str">
        <x:f>IF(OR(COUNTA(A1693:F1693)=0,COUNTIFS('Rules'!$G$7:$G$26,"="&amp;(SUBSTITUTE(SUBSTITUTE(SUBSTITUTE(SUBSTITUTE("type:"&amp;B1693,"%","%25"),"~","%7E"),"*","%2A"),"?","%3F")))&lt;&gt;1),"",IF(OR(INDEX('Rules'!$B$7:$B$26,MATCH(SUBSTITUTE(SUBSTITUTE(SUBSTITUTE(SUBSTITUTE("type:"&amp;B1693,"%","%25"),"~","%7E"),"*","%2A"),"?","%3F"),'Rules'!$G$7:$G$26,0))="hours",INDEX('Rules'!$B$7:$B$26,MATCH(SUBSTITUTE(SUBSTITUTE(SUBSTITUTE(SUBSTITUTE("type:"&amp;B1693,"%","%25"),"~","%7E"),"*","%2A"),"?","%3F"),'Rules'!$G$7:$G$26,0))="km"),INDEX('Rules'!$B$7:$B$26,MATCH(SUBSTITUTE(SUBSTITUTE(SUBSTITUTE(SUBSTITUTE("type:"&amp;B1693,"%","%25"),"~","%7E"),"*","%2A"),"?","%3F"),'Rules'!$G$7:$G$26,0)),""))</x:f>
      </x:c>
      <x:c r="I1693" s="6" t="str">
        <x:f>IF(AND(NOT(COUNTA(A1693:F1693)=0),K1693=""),ROUND(J1693-D1693,3),"")</x:f>
      </x:c>
      <x:c r="J1693" s="6" t="str">
        <x:f>IF(AND(NOT(COUNTA(A1693:F1693)=0),K1693=""),ROUND(F1693+L1693,3),"")</x:f>
      </x:c>
      <x:c r="K1693" s="5" t="str">
        <x:f>IF(COUNTA(A1693:F1693)=0,"",IF(A1693="","Missing equipment ID",IF(COUNTIFS($N$8:$N$2007,"="&amp;N1693)&gt;1,"Duplicate equipment ID",IF(B1693="","Missing type",IF(COUNTIFS('Rules'!$G$7:$G$26,"="&amp;(SUBSTITUTE(SUBSTITUTE(SUBSTITUTE(SUBSTITUTE("type:"&amp;B1693,"%","%25"),"~","%7E"),"*","%2A"),"?","%3F")))=0,"Unknown type",IF(COUNTIFS('Rules'!$G$7:$G$26,"="&amp;(SUBSTITUTE(SUBSTITUTE(SUBSTITUTE(SUBSTITUTE("type:"&amp;B1693,"%","%25"),"~","%7E"),"*","%2A"),"?","%3F")))&gt;1,"Duplicate type",IF(INDEX('Rules'!$F$7:$F$26,MATCH(SUBSTITUTE(SUBSTITUTE(SUBSTITUTE(SUBSTITUTE("type:"&amp;B1693,"%","%25"),"~","%7E"),"*","%2A"),"?","%3F"),'Rules'!$G$7:$G$26,0))&lt;&gt;"",INDEX('Rules'!$F$7:$F$26,MATCH(SUBSTITUTE(SUBSTITUTE(SUBSTITUTE(SUBSTITUTE("type:"&amp;B1693,"%","%25"),"~","%7E"),"*","%2A"),"?","%3F"),'Rules'!$G$7:$G$26,0)),IF(AND(C1693&lt;&gt;"",C1693&lt;&gt;INDEX('Rules'!$B$7:$B$26,MATCH(SUBSTITUTE(SUBSTITUTE(SUBSTITUTE(SUBSTITUTE("type:"&amp;B1693,"%","%25"),"~","%7E"),"*","%2A"),"?","%3F"),'Rules'!$G$7:$G$26,0))),"Unit mismatch",IF(IF(NOT(ISNUMBER(D1693)),TRUE,OR(D1693&lt;0,D1693&gt;999999999,ROUND(D1693,3)&lt;&gt;D1693)),"Invalid current reading",IF(AND(E1693&lt;&gt;"",IF(NOT(ISNUMBER(E1693)),TRUE,OR(E1693&lt;0,E1693&gt;999999999,ROUND(E1693,3)&lt;&gt;E1693))),"Invalid previous reading",IF(IF(NOT(ISNUMBER(F1693)),TRUE,OR(F1693&lt;0,F1693&gt;999999999,ROUND(F1693,3)&lt;&gt;F1693)),"Invalid last service",IF(AND(E1693&lt;&gt;"",D1693&lt;E1693),"Decreased reading",IF(F1693&gt;D1693,"Last service above current","")))))))))))))</x:f>
      </x:c>
      <x:c r="L1693" s="6" t="str">
        <x:f>IF(AND(NOT(COUNTA(A1693:F1693)=0),K1693=""),INDEX('Rules'!$C$7:$C$26,MATCH(SUBSTITUTE(SUBSTITUTE(SUBSTITUTE(SUBSTITUTE("type:"&amp;B1693,"%","%25"),"~","%7E"),"*","%2A"),"?","%3F"),'Rules'!$G$7:$G$26,0)),"")</x:f>
      </x:c>
      <x:c r="M1693" s="6" t="str">
        <x:f>IF(AND(NOT(COUNTA(A1693:F1693)=0),K1693=""),INDEX('Rules'!$D$7:$D$26,MATCH(SUBSTITUTE(SUBSTITUTE(SUBSTITUTE(SUBSTITUTE("type:"&amp;B1693,"%","%25"),"~","%7E"),"*","%2A"),"?","%3F"),'Rules'!$G$7:$G$26,0)),"")</x:f>
      </x:c>
      <x:c r="N1693" s="5" t="str">
        <x:f>IF(COUNTA(A1693:F1693)=0,"",SUBSTITUTE(SUBSTITUTE(SUBSTITUTE(SUBSTITUTE("id:"&amp;A1693,"%","%25"),"~","%7E"),"*","%2A"),"?","%3F"))</x:f>
      </x:c>
    </x:row>
    <x:row r="1694" ht="22" customHeight="1">
      <x:c r="A1694" s="3"/>
      <x:c r="B1694" s="3"/>
      <x:c r="C1694" s="3"/>
      <x:c r="D1694" s="4"/>
      <x:c r="E1694" s="4"/>
      <x:c r="F1694" s="4"/>
      <x:c r="G1694" s="5" t="str">
        <x:f>IF(COUNTA(A1694:F1694)=0,"",IF(K1694&lt;&gt;"","Review",IF(I1694&lt;0,"Overdue",IF(I1694=0,"Due now",IF(I1694&lt;=M1694,"Due soon","Not due")))))</x:f>
      </x:c>
      <x:c r="H1694" s="5" t="str">
        <x:f>IF(OR(COUNTA(A1694:F1694)=0,COUNTIFS('Rules'!$G$7:$G$26,"="&amp;(SUBSTITUTE(SUBSTITUTE(SUBSTITUTE(SUBSTITUTE("type:"&amp;B1694,"%","%25"),"~","%7E"),"*","%2A"),"?","%3F")))&lt;&gt;1),"",IF(OR(INDEX('Rules'!$B$7:$B$26,MATCH(SUBSTITUTE(SUBSTITUTE(SUBSTITUTE(SUBSTITUTE("type:"&amp;B1694,"%","%25"),"~","%7E"),"*","%2A"),"?","%3F"),'Rules'!$G$7:$G$26,0))="hours",INDEX('Rules'!$B$7:$B$26,MATCH(SUBSTITUTE(SUBSTITUTE(SUBSTITUTE(SUBSTITUTE("type:"&amp;B1694,"%","%25"),"~","%7E"),"*","%2A"),"?","%3F"),'Rules'!$G$7:$G$26,0))="km"),INDEX('Rules'!$B$7:$B$26,MATCH(SUBSTITUTE(SUBSTITUTE(SUBSTITUTE(SUBSTITUTE("type:"&amp;B1694,"%","%25"),"~","%7E"),"*","%2A"),"?","%3F"),'Rules'!$G$7:$G$26,0)),""))</x:f>
      </x:c>
      <x:c r="I1694" s="6" t="str">
        <x:f>IF(AND(NOT(COUNTA(A1694:F1694)=0),K1694=""),ROUND(J1694-D1694,3),"")</x:f>
      </x:c>
      <x:c r="J1694" s="6" t="str">
        <x:f>IF(AND(NOT(COUNTA(A1694:F1694)=0),K1694=""),ROUND(F1694+L1694,3),"")</x:f>
      </x:c>
      <x:c r="K1694" s="5" t="str">
        <x:f>IF(COUNTA(A1694:F1694)=0,"",IF(A1694="","Missing equipment ID",IF(COUNTIFS($N$8:$N$2007,"="&amp;N1694)&gt;1,"Duplicate equipment ID",IF(B1694="","Missing type",IF(COUNTIFS('Rules'!$G$7:$G$26,"="&amp;(SUBSTITUTE(SUBSTITUTE(SUBSTITUTE(SUBSTITUTE("type:"&amp;B1694,"%","%25"),"~","%7E"),"*","%2A"),"?","%3F")))=0,"Unknown type",IF(COUNTIFS('Rules'!$G$7:$G$26,"="&amp;(SUBSTITUTE(SUBSTITUTE(SUBSTITUTE(SUBSTITUTE("type:"&amp;B1694,"%","%25"),"~","%7E"),"*","%2A"),"?","%3F")))&gt;1,"Duplicate type",IF(INDEX('Rules'!$F$7:$F$26,MATCH(SUBSTITUTE(SUBSTITUTE(SUBSTITUTE(SUBSTITUTE("type:"&amp;B1694,"%","%25"),"~","%7E"),"*","%2A"),"?","%3F"),'Rules'!$G$7:$G$26,0))&lt;&gt;"",INDEX('Rules'!$F$7:$F$26,MATCH(SUBSTITUTE(SUBSTITUTE(SUBSTITUTE(SUBSTITUTE("type:"&amp;B1694,"%","%25"),"~","%7E"),"*","%2A"),"?","%3F"),'Rules'!$G$7:$G$26,0)),IF(AND(C1694&lt;&gt;"",C1694&lt;&gt;INDEX('Rules'!$B$7:$B$26,MATCH(SUBSTITUTE(SUBSTITUTE(SUBSTITUTE(SUBSTITUTE("type:"&amp;B1694,"%","%25"),"~","%7E"),"*","%2A"),"?","%3F"),'Rules'!$G$7:$G$26,0))),"Unit mismatch",IF(IF(NOT(ISNUMBER(D1694)),TRUE,OR(D1694&lt;0,D1694&gt;999999999,ROUND(D1694,3)&lt;&gt;D1694)),"Invalid current reading",IF(AND(E1694&lt;&gt;"",IF(NOT(ISNUMBER(E1694)),TRUE,OR(E1694&lt;0,E1694&gt;999999999,ROUND(E1694,3)&lt;&gt;E1694))),"Invalid previous reading",IF(IF(NOT(ISNUMBER(F1694)),TRUE,OR(F1694&lt;0,F1694&gt;999999999,ROUND(F1694,3)&lt;&gt;F1694)),"Invalid last service",IF(AND(E1694&lt;&gt;"",D1694&lt;E1694),"Decreased reading",IF(F1694&gt;D1694,"Last service above current","")))))))))))))</x:f>
      </x:c>
      <x:c r="L1694" s="6" t="str">
        <x:f>IF(AND(NOT(COUNTA(A1694:F1694)=0),K1694=""),INDEX('Rules'!$C$7:$C$26,MATCH(SUBSTITUTE(SUBSTITUTE(SUBSTITUTE(SUBSTITUTE("type:"&amp;B1694,"%","%25"),"~","%7E"),"*","%2A"),"?","%3F"),'Rules'!$G$7:$G$26,0)),"")</x:f>
      </x:c>
      <x:c r="M1694" s="6" t="str">
        <x:f>IF(AND(NOT(COUNTA(A1694:F1694)=0),K1694=""),INDEX('Rules'!$D$7:$D$26,MATCH(SUBSTITUTE(SUBSTITUTE(SUBSTITUTE(SUBSTITUTE("type:"&amp;B1694,"%","%25"),"~","%7E"),"*","%2A"),"?","%3F"),'Rules'!$G$7:$G$26,0)),"")</x:f>
      </x:c>
      <x:c r="N1694" s="5" t="str">
        <x:f>IF(COUNTA(A1694:F1694)=0,"",SUBSTITUTE(SUBSTITUTE(SUBSTITUTE(SUBSTITUTE("id:"&amp;A1694,"%","%25"),"~","%7E"),"*","%2A"),"?","%3F"))</x:f>
      </x:c>
    </x:row>
    <x:row r="1695" ht="22" customHeight="1">
      <x:c r="A1695" s="3"/>
      <x:c r="B1695" s="3"/>
      <x:c r="C1695" s="3"/>
      <x:c r="D1695" s="4"/>
      <x:c r="E1695" s="4"/>
      <x:c r="F1695" s="4"/>
      <x:c r="G1695" s="5" t="str">
        <x:f>IF(COUNTA(A1695:F1695)=0,"",IF(K1695&lt;&gt;"","Review",IF(I1695&lt;0,"Overdue",IF(I1695=0,"Due now",IF(I1695&lt;=M1695,"Due soon","Not due")))))</x:f>
      </x:c>
      <x:c r="H1695" s="5" t="str">
        <x:f>IF(OR(COUNTA(A1695:F1695)=0,COUNTIFS('Rules'!$G$7:$G$26,"="&amp;(SUBSTITUTE(SUBSTITUTE(SUBSTITUTE(SUBSTITUTE("type:"&amp;B1695,"%","%25"),"~","%7E"),"*","%2A"),"?","%3F")))&lt;&gt;1),"",IF(OR(INDEX('Rules'!$B$7:$B$26,MATCH(SUBSTITUTE(SUBSTITUTE(SUBSTITUTE(SUBSTITUTE("type:"&amp;B1695,"%","%25"),"~","%7E"),"*","%2A"),"?","%3F"),'Rules'!$G$7:$G$26,0))="hours",INDEX('Rules'!$B$7:$B$26,MATCH(SUBSTITUTE(SUBSTITUTE(SUBSTITUTE(SUBSTITUTE("type:"&amp;B1695,"%","%25"),"~","%7E"),"*","%2A"),"?","%3F"),'Rules'!$G$7:$G$26,0))="km"),INDEX('Rules'!$B$7:$B$26,MATCH(SUBSTITUTE(SUBSTITUTE(SUBSTITUTE(SUBSTITUTE("type:"&amp;B1695,"%","%25"),"~","%7E"),"*","%2A"),"?","%3F"),'Rules'!$G$7:$G$26,0)),""))</x:f>
      </x:c>
      <x:c r="I1695" s="6" t="str">
        <x:f>IF(AND(NOT(COUNTA(A1695:F1695)=0),K1695=""),ROUND(J1695-D1695,3),"")</x:f>
      </x:c>
      <x:c r="J1695" s="6" t="str">
        <x:f>IF(AND(NOT(COUNTA(A1695:F1695)=0),K1695=""),ROUND(F1695+L1695,3),"")</x:f>
      </x:c>
      <x:c r="K1695" s="5" t="str">
        <x:f>IF(COUNTA(A1695:F1695)=0,"",IF(A1695="","Missing equipment ID",IF(COUNTIFS($N$8:$N$2007,"="&amp;N1695)&gt;1,"Duplicate equipment ID",IF(B1695="","Missing type",IF(COUNTIFS('Rules'!$G$7:$G$26,"="&amp;(SUBSTITUTE(SUBSTITUTE(SUBSTITUTE(SUBSTITUTE("type:"&amp;B1695,"%","%25"),"~","%7E"),"*","%2A"),"?","%3F")))=0,"Unknown type",IF(COUNTIFS('Rules'!$G$7:$G$26,"="&amp;(SUBSTITUTE(SUBSTITUTE(SUBSTITUTE(SUBSTITUTE("type:"&amp;B1695,"%","%25"),"~","%7E"),"*","%2A"),"?","%3F")))&gt;1,"Duplicate type",IF(INDEX('Rules'!$F$7:$F$26,MATCH(SUBSTITUTE(SUBSTITUTE(SUBSTITUTE(SUBSTITUTE("type:"&amp;B1695,"%","%25"),"~","%7E"),"*","%2A"),"?","%3F"),'Rules'!$G$7:$G$26,0))&lt;&gt;"",INDEX('Rules'!$F$7:$F$26,MATCH(SUBSTITUTE(SUBSTITUTE(SUBSTITUTE(SUBSTITUTE("type:"&amp;B1695,"%","%25"),"~","%7E"),"*","%2A"),"?","%3F"),'Rules'!$G$7:$G$26,0)),IF(AND(C1695&lt;&gt;"",C1695&lt;&gt;INDEX('Rules'!$B$7:$B$26,MATCH(SUBSTITUTE(SUBSTITUTE(SUBSTITUTE(SUBSTITUTE("type:"&amp;B1695,"%","%25"),"~","%7E"),"*","%2A"),"?","%3F"),'Rules'!$G$7:$G$26,0))),"Unit mismatch",IF(IF(NOT(ISNUMBER(D1695)),TRUE,OR(D1695&lt;0,D1695&gt;999999999,ROUND(D1695,3)&lt;&gt;D1695)),"Invalid current reading",IF(AND(E1695&lt;&gt;"",IF(NOT(ISNUMBER(E1695)),TRUE,OR(E1695&lt;0,E1695&gt;999999999,ROUND(E1695,3)&lt;&gt;E1695))),"Invalid previous reading",IF(IF(NOT(ISNUMBER(F1695)),TRUE,OR(F1695&lt;0,F1695&gt;999999999,ROUND(F1695,3)&lt;&gt;F1695)),"Invalid last service",IF(AND(E1695&lt;&gt;"",D1695&lt;E1695),"Decreased reading",IF(F1695&gt;D1695,"Last service above current","")))))))))))))</x:f>
      </x:c>
      <x:c r="L1695" s="6" t="str">
        <x:f>IF(AND(NOT(COUNTA(A1695:F1695)=0),K1695=""),INDEX('Rules'!$C$7:$C$26,MATCH(SUBSTITUTE(SUBSTITUTE(SUBSTITUTE(SUBSTITUTE("type:"&amp;B1695,"%","%25"),"~","%7E"),"*","%2A"),"?","%3F"),'Rules'!$G$7:$G$26,0)),"")</x:f>
      </x:c>
      <x:c r="M1695" s="6" t="str">
        <x:f>IF(AND(NOT(COUNTA(A1695:F1695)=0),K1695=""),INDEX('Rules'!$D$7:$D$26,MATCH(SUBSTITUTE(SUBSTITUTE(SUBSTITUTE(SUBSTITUTE("type:"&amp;B1695,"%","%25"),"~","%7E"),"*","%2A"),"?","%3F"),'Rules'!$G$7:$G$26,0)),"")</x:f>
      </x:c>
      <x:c r="N1695" s="5" t="str">
        <x:f>IF(COUNTA(A1695:F1695)=0,"",SUBSTITUTE(SUBSTITUTE(SUBSTITUTE(SUBSTITUTE("id:"&amp;A1695,"%","%25"),"~","%7E"),"*","%2A"),"?","%3F"))</x:f>
      </x:c>
    </x:row>
    <x:row r="1696" ht="22" customHeight="1">
      <x:c r="A1696" s="3"/>
      <x:c r="B1696" s="3"/>
      <x:c r="C1696" s="3"/>
      <x:c r="D1696" s="4"/>
      <x:c r="E1696" s="4"/>
      <x:c r="F1696" s="4"/>
      <x:c r="G1696" s="5" t="str">
        <x:f>IF(COUNTA(A1696:F1696)=0,"",IF(K1696&lt;&gt;"","Review",IF(I1696&lt;0,"Overdue",IF(I1696=0,"Due now",IF(I1696&lt;=M1696,"Due soon","Not due")))))</x:f>
      </x:c>
      <x:c r="H1696" s="5" t="str">
        <x:f>IF(OR(COUNTA(A1696:F1696)=0,COUNTIFS('Rules'!$G$7:$G$26,"="&amp;(SUBSTITUTE(SUBSTITUTE(SUBSTITUTE(SUBSTITUTE("type:"&amp;B1696,"%","%25"),"~","%7E"),"*","%2A"),"?","%3F")))&lt;&gt;1),"",IF(OR(INDEX('Rules'!$B$7:$B$26,MATCH(SUBSTITUTE(SUBSTITUTE(SUBSTITUTE(SUBSTITUTE("type:"&amp;B1696,"%","%25"),"~","%7E"),"*","%2A"),"?","%3F"),'Rules'!$G$7:$G$26,0))="hours",INDEX('Rules'!$B$7:$B$26,MATCH(SUBSTITUTE(SUBSTITUTE(SUBSTITUTE(SUBSTITUTE("type:"&amp;B1696,"%","%25"),"~","%7E"),"*","%2A"),"?","%3F"),'Rules'!$G$7:$G$26,0))="km"),INDEX('Rules'!$B$7:$B$26,MATCH(SUBSTITUTE(SUBSTITUTE(SUBSTITUTE(SUBSTITUTE("type:"&amp;B1696,"%","%25"),"~","%7E"),"*","%2A"),"?","%3F"),'Rules'!$G$7:$G$26,0)),""))</x:f>
      </x:c>
      <x:c r="I1696" s="6" t="str">
        <x:f>IF(AND(NOT(COUNTA(A1696:F1696)=0),K1696=""),ROUND(J1696-D1696,3),"")</x:f>
      </x:c>
      <x:c r="J1696" s="6" t="str">
        <x:f>IF(AND(NOT(COUNTA(A1696:F1696)=0),K1696=""),ROUND(F1696+L1696,3),"")</x:f>
      </x:c>
      <x:c r="K1696" s="5" t="str">
        <x:f>IF(COUNTA(A1696:F1696)=0,"",IF(A1696="","Missing equipment ID",IF(COUNTIFS($N$8:$N$2007,"="&amp;N1696)&gt;1,"Duplicate equipment ID",IF(B1696="","Missing type",IF(COUNTIFS('Rules'!$G$7:$G$26,"="&amp;(SUBSTITUTE(SUBSTITUTE(SUBSTITUTE(SUBSTITUTE("type:"&amp;B1696,"%","%25"),"~","%7E"),"*","%2A"),"?","%3F")))=0,"Unknown type",IF(COUNTIFS('Rules'!$G$7:$G$26,"="&amp;(SUBSTITUTE(SUBSTITUTE(SUBSTITUTE(SUBSTITUTE("type:"&amp;B1696,"%","%25"),"~","%7E"),"*","%2A"),"?","%3F")))&gt;1,"Duplicate type",IF(INDEX('Rules'!$F$7:$F$26,MATCH(SUBSTITUTE(SUBSTITUTE(SUBSTITUTE(SUBSTITUTE("type:"&amp;B1696,"%","%25"),"~","%7E"),"*","%2A"),"?","%3F"),'Rules'!$G$7:$G$26,0))&lt;&gt;"",INDEX('Rules'!$F$7:$F$26,MATCH(SUBSTITUTE(SUBSTITUTE(SUBSTITUTE(SUBSTITUTE("type:"&amp;B1696,"%","%25"),"~","%7E"),"*","%2A"),"?","%3F"),'Rules'!$G$7:$G$26,0)),IF(AND(C1696&lt;&gt;"",C1696&lt;&gt;INDEX('Rules'!$B$7:$B$26,MATCH(SUBSTITUTE(SUBSTITUTE(SUBSTITUTE(SUBSTITUTE("type:"&amp;B1696,"%","%25"),"~","%7E"),"*","%2A"),"?","%3F"),'Rules'!$G$7:$G$26,0))),"Unit mismatch",IF(IF(NOT(ISNUMBER(D1696)),TRUE,OR(D1696&lt;0,D1696&gt;999999999,ROUND(D1696,3)&lt;&gt;D1696)),"Invalid current reading",IF(AND(E1696&lt;&gt;"",IF(NOT(ISNUMBER(E1696)),TRUE,OR(E1696&lt;0,E1696&gt;999999999,ROUND(E1696,3)&lt;&gt;E1696))),"Invalid previous reading",IF(IF(NOT(ISNUMBER(F1696)),TRUE,OR(F1696&lt;0,F1696&gt;999999999,ROUND(F1696,3)&lt;&gt;F1696)),"Invalid last service",IF(AND(E1696&lt;&gt;"",D1696&lt;E1696),"Decreased reading",IF(F1696&gt;D1696,"Last service above current","")))))))))))))</x:f>
      </x:c>
      <x:c r="L1696" s="6" t="str">
        <x:f>IF(AND(NOT(COUNTA(A1696:F1696)=0),K1696=""),INDEX('Rules'!$C$7:$C$26,MATCH(SUBSTITUTE(SUBSTITUTE(SUBSTITUTE(SUBSTITUTE("type:"&amp;B1696,"%","%25"),"~","%7E"),"*","%2A"),"?","%3F"),'Rules'!$G$7:$G$26,0)),"")</x:f>
      </x:c>
      <x:c r="M1696" s="6" t="str">
        <x:f>IF(AND(NOT(COUNTA(A1696:F1696)=0),K1696=""),INDEX('Rules'!$D$7:$D$26,MATCH(SUBSTITUTE(SUBSTITUTE(SUBSTITUTE(SUBSTITUTE("type:"&amp;B1696,"%","%25"),"~","%7E"),"*","%2A"),"?","%3F"),'Rules'!$G$7:$G$26,0)),"")</x:f>
      </x:c>
      <x:c r="N1696" s="5" t="str">
        <x:f>IF(COUNTA(A1696:F1696)=0,"",SUBSTITUTE(SUBSTITUTE(SUBSTITUTE(SUBSTITUTE("id:"&amp;A1696,"%","%25"),"~","%7E"),"*","%2A"),"?","%3F"))</x:f>
      </x:c>
    </x:row>
    <x:row r="1697" ht="22" customHeight="1">
      <x:c r="A1697" s="3"/>
      <x:c r="B1697" s="3"/>
      <x:c r="C1697" s="3"/>
      <x:c r="D1697" s="4"/>
      <x:c r="E1697" s="4"/>
      <x:c r="F1697" s="4"/>
      <x:c r="G1697" s="5" t="str">
        <x:f>IF(COUNTA(A1697:F1697)=0,"",IF(K1697&lt;&gt;"","Review",IF(I1697&lt;0,"Overdue",IF(I1697=0,"Due now",IF(I1697&lt;=M1697,"Due soon","Not due")))))</x:f>
      </x:c>
      <x:c r="H1697" s="5" t="str">
        <x:f>IF(OR(COUNTA(A1697:F1697)=0,COUNTIFS('Rules'!$G$7:$G$26,"="&amp;(SUBSTITUTE(SUBSTITUTE(SUBSTITUTE(SUBSTITUTE("type:"&amp;B1697,"%","%25"),"~","%7E"),"*","%2A"),"?","%3F")))&lt;&gt;1),"",IF(OR(INDEX('Rules'!$B$7:$B$26,MATCH(SUBSTITUTE(SUBSTITUTE(SUBSTITUTE(SUBSTITUTE("type:"&amp;B1697,"%","%25"),"~","%7E"),"*","%2A"),"?","%3F"),'Rules'!$G$7:$G$26,0))="hours",INDEX('Rules'!$B$7:$B$26,MATCH(SUBSTITUTE(SUBSTITUTE(SUBSTITUTE(SUBSTITUTE("type:"&amp;B1697,"%","%25"),"~","%7E"),"*","%2A"),"?","%3F"),'Rules'!$G$7:$G$26,0))="km"),INDEX('Rules'!$B$7:$B$26,MATCH(SUBSTITUTE(SUBSTITUTE(SUBSTITUTE(SUBSTITUTE("type:"&amp;B1697,"%","%25"),"~","%7E"),"*","%2A"),"?","%3F"),'Rules'!$G$7:$G$26,0)),""))</x:f>
      </x:c>
      <x:c r="I1697" s="6" t="str">
        <x:f>IF(AND(NOT(COUNTA(A1697:F1697)=0),K1697=""),ROUND(J1697-D1697,3),"")</x:f>
      </x:c>
      <x:c r="J1697" s="6" t="str">
        <x:f>IF(AND(NOT(COUNTA(A1697:F1697)=0),K1697=""),ROUND(F1697+L1697,3),"")</x:f>
      </x:c>
      <x:c r="K1697" s="5" t="str">
        <x:f>IF(COUNTA(A1697:F1697)=0,"",IF(A1697="","Missing equipment ID",IF(COUNTIFS($N$8:$N$2007,"="&amp;N1697)&gt;1,"Duplicate equipment ID",IF(B1697="","Missing type",IF(COUNTIFS('Rules'!$G$7:$G$26,"="&amp;(SUBSTITUTE(SUBSTITUTE(SUBSTITUTE(SUBSTITUTE("type:"&amp;B1697,"%","%25"),"~","%7E"),"*","%2A"),"?","%3F")))=0,"Unknown type",IF(COUNTIFS('Rules'!$G$7:$G$26,"="&amp;(SUBSTITUTE(SUBSTITUTE(SUBSTITUTE(SUBSTITUTE("type:"&amp;B1697,"%","%25"),"~","%7E"),"*","%2A"),"?","%3F")))&gt;1,"Duplicate type",IF(INDEX('Rules'!$F$7:$F$26,MATCH(SUBSTITUTE(SUBSTITUTE(SUBSTITUTE(SUBSTITUTE("type:"&amp;B1697,"%","%25"),"~","%7E"),"*","%2A"),"?","%3F"),'Rules'!$G$7:$G$26,0))&lt;&gt;"",INDEX('Rules'!$F$7:$F$26,MATCH(SUBSTITUTE(SUBSTITUTE(SUBSTITUTE(SUBSTITUTE("type:"&amp;B1697,"%","%25"),"~","%7E"),"*","%2A"),"?","%3F"),'Rules'!$G$7:$G$26,0)),IF(AND(C1697&lt;&gt;"",C1697&lt;&gt;INDEX('Rules'!$B$7:$B$26,MATCH(SUBSTITUTE(SUBSTITUTE(SUBSTITUTE(SUBSTITUTE("type:"&amp;B1697,"%","%25"),"~","%7E"),"*","%2A"),"?","%3F"),'Rules'!$G$7:$G$26,0))),"Unit mismatch",IF(IF(NOT(ISNUMBER(D1697)),TRUE,OR(D1697&lt;0,D1697&gt;999999999,ROUND(D1697,3)&lt;&gt;D1697)),"Invalid current reading",IF(AND(E1697&lt;&gt;"",IF(NOT(ISNUMBER(E1697)),TRUE,OR(E1697&lt;0,E1697&gt;999999999,ROUND(E1697,3)&lt;&gt;E1697))),"Invalid previous reading",IF(IF(NOT(ISNUMBER(F1697)),TRUE,OR(F1697&lt;0,F1697&gt;999999999,ROUND(F1697,3)&lt;&gt;F1697)),"Invalid last service",IF(AND(E1697&lt;&gt;"",D1697&lt;E1697),"Decreased reading",IF(F1697&gt;D1697,"Last service above current","")))))))))))))</x:f>
      </x:c>
      <x:c r="L1697" s="6" t="str">
        <x:f>IF(AND(NOT(COUNTA(A1697:F1697)=0),K1697=""),INDEX('Rules'!$C$7:$C$26,MATCH(SUBSTITUTE(SUBSTITUTE(SUBSTITUTE(SUBSTITUTE("type:"&amp;B1697,"%","%25"),"~","%7E"),"*","%2A"),"?","%3F"),'Rules'!$G$7:$G$26,0)),"")</x:f>
      </x:c>
      <x:c r="M1697" s="6" t="str">
        <x:f>IF(AND(NOT(COUNTA(A1697:F1697)=0),K1697=""),INDEX('Rules'!$D$7:$D$26,MATCH(SUBSTITUTE(SUBSTITUTE(SUBSTITUTE(SUBSTITUTE("type:"&amp;B1697,"%","%25"),"~","%7E"),"*","%2A"),"?","%3F"),'Rules'!$G$7:$G$26,0)),"")</x:f>
      </x:c>
      <x:c r="N1697" s="5" t="str">
        <x:f>IF(COUNTA(A1697:F1697)=0,"",SUBSTITUTE(SUBSTITUTE(SUBSTITUTE(SUBSTITUTE("id:"&amp;A1697,"%","%25"),"~","%7E"),"*","%2A"),"?","%3F"))</x:f>
      </x:c>
    </x:row>
    <x:row r="1698" ht="22" customHeight="1">
      <x:c r="A1698" s="3"/>
      <x:c r="B1698" s="3"/>
      <x:c r="C1698" s="3"/>
      <x:c r="D1698" s="4"/>
      <x:c r="E1698" s="4"/>
      <x:c r="F1698" s="4"/>
      <x:c r="G1698" s="5" t="str">
        <x:f>IF(COUNTA(A1698:F1698)=0,"",IF(K1698&lt;&gt;"","Review",IF(I1698&lt;0,"Overdue",IF(I1698=0,"Due now",IF(I1698&lt;=M1698,"Due soon","Not due")))))</x:f>
      </x:c>
      <x:c r="H1698" s="5" t="str">
        <x:f>IF(OR(COUNTA(A1698:F1698)=0,COUNTIFS('Rules'!$G$7:$G$26,"="&amp;(SUBSTITUTE(SUBSTITUTE(SUBSTITUTE(SUBSTITUTE("type:"&amp;B1698,"%","%25"),"~","%7E"),"*","%2A"),"?","%3F")))&lt;&gt;1),"",IF(OR(INDEX('Rules'!$B$7:$B$26,MATCH(SUBSTITUTE(SUBSTITUTE(SUBSTITUTE(SUBSTITUTE("type:"&amp;B1698,"%","%25"),"~","%7E"),"*","%2A"),"?","%3F"),'Rules'!$G$7:$G$26,0))="hours",INDEX('Rules'!$B$7:$B$26,MATCH(SUBSTITUTE(SUBSTITUTE(SUBSTITUTE(SUBSTITUTE("type:"&amp;B1698,"%","%25"),"~","%7E"),"*","%2A"),"?","%3F"),'Rules'!$G$7:$G$26,0))="km"),INDEX('Rules'!$B$7:$B$26,MATCH(SUBSTITUTE(SUBSTITUTE(SUBSTITUTE(SUBSTITUTE("type:"&amp;B1698,"%","%25"),"~","%7E"),"*","%2A"),"?","%3F"),'Rules'!$G$7:$G$26,0)),""))</x:f>
      </x:c>
      <x:c r="I1698" s="6" t="str">
        <x:f>IF(AND(NOT(COUNTA(A1698:F1698)=0),K1698=""),ROUND(J1698-D1698,3),"")</x:f>
      </x:c>
      <x:c r="J1698" s="6" t="str">
        <x:f>IF(AND(NOT(COUNTA(A1698:F1698)=0),K1698=""),ROUND(F1698+L1698,3),"")</x:f>
      </x:c>
      <x:c r="K1698" s="5" t="str">
        <x:f>IF(COUNTA(A1698:F1698)=0,"",IF(A1698="","Missing equipment ID",IF(COUNTIFS($N$8:$N$2007,"="&amp;N1698)&gt;1,"Duplicate equipment ID",IF(B1698="","Missing type",IF(COUNTIFS('Rules'!$G$7:$G$26,"="&amp;(SUBSTITUTE(SUBSTITUTE(SUBSTITUTE(SUBSTITUTE("type:"&amp;B1698,"%","%25"),"~","%7E"),"*","%2A"),"?","%3F")))=0,"Unknown type",IF(COUNTIFS('Rules'!$G$7:$G$26,"="&amp;(SUBSTITUTE(SUBSTITUTE(SUBSTITUTE(SUBSTITUTE("type:"&amp;B1698,"%","%25"),"~","%7E"),"*","%2A"),"?","%3F")))&gt;1,"Duplicate type",IF(INDEX('Rules'!$F$7:$F$26,MATCH(SUBSTITUTE(SUBSTITUTE(SUBSTITUTE(SUBSTITUTE("type:"&amp;B1698,"%","%25"),"~","%7E"),"*","%2A"),"?","%3F"),'Rules'!$G$7:$G$26,0))&lt;&gt;"",INDEX('Rules'!$F$7:$F$26,MATCH(SUBSTITUTE(SUBSTITUTE(SUBSTITUTE(SUBSTITUTE("type:"&amp;B1698,"%","%25"),"~","%7E"),"*","%2A"),"?","%3F"),'Rules'!$G$7:$G$26,0)),IF(AND(C1698&lt;&gt;"",C1698&lt;&gt;INDEX('Rules'!$B$7:$B$26,MATCH(SUBSTITUTE(SUBSTITUTE(SUBSTITUTE(SUBSTITUTE("type:"&amp;B1698,"%","%25"),"~","%7E"),"*","%2A"),"?","%3F"),'Rules'!$G$7:$G$26,0))),"Unit mismatch",IF(IF(NOT(ISNUMBER(D1698)),TRUE,OR(D1698&lt;0,D1698&gt;999999999,ROUND(D1698,3)&lt;&gt;D1698)),"Invalid current reading",IF(AND(E1698&lt;&gt;"",IF(NOT(ISNUMBER(E1698)),TRUE,OR(E1698&lt;0,E1698&gt;999999999,ROUND(E1698,3)&lt;&gt;E1698))),"Invalid previous reading",IF(IF(NOT(ISNUMBER(F1698)),TRUE,OR(F1698&lt;0,F1698&gt;999999999,ROUND(F1698,3)&lt;&gt;F1698)),"Invalid last service",IF(AND(E1698&lt;&gt;"",D1698&lt;E1698),"Decreased reading",IF(F1698&gt;D1698,"Last service above current","")))))))))))))</x:f>
      </x:c>
      <x:c r="L1698" s="6" t="str">
        <x:f>IF(AND(NOT(COUNTA(A1698:F1698)=0),K1698=""),INDEX('Rules'!$C$7:$C$26,MATCH(SUBSTITUTE(SUBSTITUTE(SUBSTITUTE(SUBSTITUTE("type:"&amp;B1698,"%","%25"),"~","%7E"),"*","%2A"),"?","%3F"),'Rules'!$G$7:$G$26,0)),"")</x:f>
      </x:c>
      <x:c r="M1698" s="6" t="str">
        <x:f>IF(AND(NOT(COUNTA(A1698:F1698)=0),K1698=""),INDEX('Rules'!$D$7:$D$26,MATCH(SUBSTITUTE(SUBSTITUTE(SUBSTITUTE(SUBSTITUTE("type:"&amp;B1698,"%","%25"),"~","%7E"),"*","%2A"),"?","%3F"),'Rules'!$G$7:$G$26,0)),"")</x:f>
      </x:c>
      <x:c r="N1698" s="5" t="str">
        <x:f>IF(COUNTA(A1698:F1698)=0,"",SUBSTITUTE(SUBSTITUTE(SUBSTITUTE(SUBSTITUTE("id:"&amp;A1698,"%","%25"),"~","%7E"),"*","%2A"),"?","%3F"))</x:f>
      </x:c>
    </x:row>
    <x:row r="1699" ht="22" customHeight="1">
      <x:c r="A1699" s="3"/>
      <x:c r="B1699" s="3"/>
      <x:c r="C1699" s="3"/>
      <x:c r="D1699" s="4"/>
      <x:c r="E1699" s="4"/>
      <x:c r="F1699" s="4"/>
      <x:c r="G1699" s="5" t="str">
        <x:f>IF(COUNTA(A1699:F1699)=0,"",IF(K1699&lt;&gt;"","Review",IF(I1699&lt;0,"Overdue",IF(I1699=0,"Due now",IF(I1699&lt;=M1699,"Due soon","Not due")))))</x:f>
      </x:c>
      <x:c r="H1699" s="5" t="str">
        <x:f>IF(OR(COUNTA(A1699:F1699)=0,COUNTIFS('Rules'!$G$7:$G$26,"="&amp;(SUBSTITUTE(SUBSTITUTE(SUBSTITUTE(SUBSTITUTE("type:"&amp;B1699,"%","%25"),"~","%7E"),"*","%2A"),"?","%3F")))&lt;&gt;1),"",IF(OR(INDEX('Rules'!$B$7:$B$26,MATCH(SUBSTITUTE(SUBSTITUTE(SUBSTITUTE(SUBSTITUTE("type:"&amp;B1699,"%","%25"),"~","%7E"),"*","%2A"),"?","%3F"),'Rules'!$G$7:$G$26,0))="hours",INDEX('Rules'!$B$7:$B$26,MATCH(SUBSTITUTE(SUBSTITUTE(SUBSTITUTE(SUBSTITUTE("type:"&amp;B1699,"%","%25"),"~","%7E"),"*","%2A"),"?","%3F"),'Rules'!$G$7:$G$26,0))="km"),INDEX('Rules'!$B$7:$B$26,MATCH(SUBSTITUTE(SUBSTITUTE(SUBSTITUTE(SUBSTITUTE("type:"&amp;B1699,"%","%25"),"~","%7E"),"*","%2A"),"?","%3F"),'Rules'!$G$7:$G$26,0)),""))</x:f>
      </x:c>
      <x:c r="I1699" s="6" t="str">
        <x:f>IF(AND(NOT(COUNTA(A1699:F1699)=0),K1699=""),ROUND(J1699-D1699,3),"")</x:f>
      </x:c>
      <x:c r="J1699" s="6" t="str">
        <x:f>IF(AND(NOT(COUNTA(A1699:F1699)=0),K1699=""),ROUND(F1699+L1699,3),"")</x:f>
      </x:c>
      <x:c r="K1699" s="5" t="str">
        <x:f>IF(COUNTA(A1699:F1699)=0,"",IF(A1699="","Missing equipment ID",IF(COUNTIFS($N$8:$N$2007,"="&amp;N1699)&gt;1,"Duplicate equipment ID",IF(B1699="","Missing type",IF(COUNTIFS('Rules'!$G$7:$G$26,"="&amp;(SUBSTITUTE(SUBSTITUTE(SUBSTITUTE(SUBSTITUTE("type:"&amp;B1699,"%","%25"),"~","%7E"),"*","%2A"),"?","%3F")))=0,"Unknown type",IF(COUNTIFS('Rules'!$G$7:$G$26,"="&amp;(SUBSTITUTE(SUBSTITUTE(SUBSTITUTE(SUBSTITUTE("type:"&amp;B1699,"%","%25"),"~","%7E"),"*","%2A"),"?","%3F")))&gt;1,"Duplicate type",IF(INDEX('Rules'!$F$7:$F$26,MATCH(SUBSTITUTE(SUBSTITUTE(SUBSTITUTE(SUBSTITUTE("type:"&amp;B1699,"%","%25"),"~","%7E"),"*","%2A"),"?","%3F"),'Rules'!$G$7:$G$26,0))&lt;&gt;"",INDEX('Rules'!$F$7:$F$26,MATCH(SUBSTITUTE(SUBSTITUTE(SUBSTITUTE(SUBSTITUTE("type:"&amp;B1699,"%","%25"),"~","%7E"),"*","%2A"),"?","%3F"),'Rules'!$G$7:$G$26,0)),IF(AND(C1699&lt;&gt;"",C1699&lt;&gt;INDEX('Rules'!$B$7:$B$26,MATCH(SUBSTITUTE(SUBSTITUTE(SUBSTITUTE(SUBSTITUTE("type:"&amp;B1699,"%","%25"),"~","%7E"),"*","%2A"),"?","%3F"),'Rules'!$G$7:$G$26,0))),"Unit mismatch",IF(IF(NOT(ISNUMBER(D1699)),TRUE,OR(D1699&lt;0,D1699&gt;999999999,ROUND(D1699,3)&lt;&gt;D1699)),"Invalid current reading",IF(AND(E1699&lt;&gt;"",IF(NOT(ISNUMBER(E1699)),TRUE,OR(E1699&lt;0,E1699&gt;999999999,ROUND(E1699,3)&lt;&gt;E1699))),"Invalid previous reading",IF(IF(NOT(ISNUMBER(F1699)),TRUE,OR(F1699&lt;0,F1699&gt;999999999,ROUND(F1699,3)&lt;&gt;F1699)),"Invalid last service",IF(AND(E1699&lt;&gt;"",D1699&lt;E1699),"Decreased reading",IF(F1699&gt;D1699,"Last service above current","")))))))))))))</x:f>
      </x:c>
      <x:c r="L1699" s="6" t="str">
        <x:f>IF(AND(NOT(COUNTA(A1699:F1699)=0),K1699=""),INDEX('Rules'!$C$7:$C$26,MATCH(SUBSTITUTE(SUBSTITUTE(SUBSTITUTE(SUBSTITUTE("type:"&amp;B1699,"%","%25"),"~","%7E"),"*","%2A"),"?","%3F"),'Rules'!$G$7:$G$26,0)),"")</x:f>
      </x:c>
      <x:c r="M1699" s="6" t="str">
        <x:f>IF(AND(NOT(COUNTA(A1699:F1699)=0),K1699=""),INDEX('Rules'!$D$7:$D$26,MATCH(SUBSTITUTE(SUBSTITUTE(SUBSTITUTE(SUBSTITUTE("type:"&amp;B1699,"%","%25"),"~","%7E"),"*","%2A"),"?","%3F"),'Rules'!$G$7:$G$26,0)),"")</x:f>
      </x:c>
      <x:c r="N1699" s="5" t="str">
        <x:f>IF(COUNTA(A1699:F1699)=0,"",SUBSTITUTE(SUBSTITUTE(SUBSTITUTE(SUBSTITUTE("id:"&amp;A1699,"%","%25"),"~","%7E"),"*","%2A"),"?","%3F"))</x:f>
      </x:c>
    </x:row>
    <x:row r="1700" ht="22" customHeight="1">
      <x:c r="A1700" s="3"/>
      <x:c r="B1700" s="3"/>
      <x:c r="C1700" s="3"/>
      <x:c r="D1700" s="4"/>
      <x:c r="E1700" s="4"/>
      <x:c r="F1700" s="4"/>
      <x:c r="G1700" s="5" t="str">
        <x:f>IF(COUNTA(A1700:F1700)=0,"",IF(K1700&lt;&gt;"","Review",IF(I1700&lt;0,"Overdue",IF(I1700=0,"Due now",IF(I1700&lt;=M1700,"Due soon","Not due")))))</x:f>
      </x:c>
      <x:c r="H1700" s="5" t="str">
        <x:f>IF(OR(COUNTA(A1700:F1700)=0,COUNTIFS('Rules'!$G$7:$G$26,"="&amp;(SUBSTITUTE(SUBSTITUTE(SUBSTITUTE(SUBSTITUTE("type:"&amp;B1700,"%","%25"),"~","%7E"),"*","%2A"),"?","%3F")))&lt;&gt;1),"",IF(OR(INDEX('Rules'!$B$7:$B$26,MATCH(SUBSTITUTE(SUBSTITUTE(SUBSTITUTE(SUBSTITUTE("type:"&amp;B1700,"%","%25"),"~","%7E"),"*","%2A"),"?","%3F"),'Rules'!$G$7:$G$26,0))="hours",INDEX('Rules'!$B$7:$B$26,MATCH(SUBSTITUTE(SUBSTITUTE(SUBSTITUTE(SUBSTITUTE("type:"&amp;B1700,"%","%25"),"~","%7E"),"*","%2A"),"?","%3F"),'Rules'!$G$7:$G$26,0))="km"),INDEX('Rules'!$B$7:$B$26,MATCH(SUBSTITUTE(SUBSTITUTE(SUBSTITUTE(SUBSTITUTE("type:"&amp;B1700,"%","%25"),"~","%7E"),"*","%2A"),"?","%3F"),'Rules'!$G$7:$G$26,0)),""))</x:f>
      </x:c>
      <x:c r="I1700" s="6" t="str">
        <x:f>IF(AND(NOT(COUNTA(A1700:F1700)=0),K1700=""),ROUND(J1700-D1700,3),"")</x:f>
      </x:c>
      <x:c r="J1700" s="6" t="str">
        <x:f>IF(AND(NOT(COUNTA(A1700:F1700)=0),K1700=""),ROUND(F1700+L1700,3),"")</x:f>
      </x:c>
      <x:c r="K1700" s="5" t="str">
        <x:f>IF(COUNTA(A1700:F1700)=0,"",IF(A1700="","Missing equipment ID",IF(COUNTIFS($N$8:$N$2007,"="&amp;N1700)&gt;1,"Duplicate equipment ID",IF(B1700="","Missing type",IF(COUNTIFS('Rules'!$G$7:$G$26,"="&amp;(SUBSTITUTE(SUBSTITUTE(SUBSTITUTE(SUBSTITUTE("type:"&amp;B1700,"%","%25"),"~","%7E"),"*","%2A"),"?","%3F")))=0,"Unknown type",IF(COUNTIFS('Rules'!$G$7:$G$26,"="&amp;(SUBSTITUTE(SUBSTITUTE(SUBSTITUTE(SUBSTITUTE("type:"&amp;B1700,"%","%25"),"~","%7E"),"*","%2A"),"?","%3F")))&gt;1,"Duplicate type",IF(INDEX('Rules'!$F$7:$F$26,MATCH(SUBSTITUTE(SUBSTITUTE(SUBSTITUTE(SUBSTITUTE("type:"&amp;B1700,"%","%25"),"~","%7E"),"*","%2A"),"?","%3F"),'Rules'!$G$7:$G$26,0))&lt;&gt;"",INDEX('Rules'!$F$7:$F$26,MATCH(SUBSTITUTE(SUBSTITUTE(SUBSTITUTE(SUBSTITUTE("type:"&amp;B1700,"%","%25"),"~","%7E"),"*","%2A"),"?","%3F"),'Rules'!$G$7:$G$26,0)),IF(AND(C1700&lt;&gt;"",C1700&lt;&gt;INDEX('Rules'!$B$7:$B$26,MATCH(SUBSTITUTE(SUBSTITUTE(SUBSTITUTE(SUBSTITUTE("type:"&amp;B1700,"%","%25"),"~","%7E"),"*","%2A"),"?","%3F"),'Rules'!$G$7:$G$26,0))),"Unit mismatch",IF(IF(NOT(ISNUMBER(D1700)),TRUE,OR(D1700&lt;0,D1700&gt;999999999,ROUND(D1700,3)&lt;&gt;D1700)),"Invalid current reading",IF(AND(E1700&lt;&gt;"",IF(NOT(ISNUMBER(E1700)),TRUE,OR(E1700&lt;0,E1700&gt;999999999,ROUND(E1700,3)&lt;&gt;E1700))),"Invalid previous reading",IF(IF(NOT(ISNUMBER(F1700)),TRUE,OR(F1700&lt;0,F1700&gt;999999999,ROUND(F1700,3)&lt;&gt;F1700)),"Invalid last service",IF(AND(E1700&lt;&gt;"",D1700&lt;E1700),"Decreased reading",IF(F1700&gt;D1700,"Last service above current","")))))))))))))</x:f>
      </x:c>
      <x:c r="L1700" s="6" t="str">
        <x:f>IF(AND(NOT(COUNTA(A1700:F1700)=0),K1700=""),INDEX('Rules'!$C$7:$C$26,MATCH(SUBSTITUTE(SUBSTITUTE(SUBSTITUTE(SUBSTITUTE("type:"&amp;B1700,"%","%25"),"~","%7E"),"*","%2A"),"?","%3F"),'Rules'!$G$7:$G$26,0)),"")</x:f>
      </x:c>
      <x:c r="M1700" s="6" t="str">
        <x:f>IF(AND(NOT(COUNTA(A1700:F1700)=0),K1700=""),INDEX('Rules'!$D$7:$D$26,MATCH(SUBSTITUTE(SUBSTITUTE(SUBSTITUTE(SUBSTITUTE("type:"&amp;B1700,"%","%25"),"~","%7E"),"*","%2A"),"?","%3F"),'Rules'!$G$7:$G$26,0)),"")</x:f>
      </x:c>
      <x:c r="N1700" s="5" t="str">
        <x:f>IF(COUNTA(A1700:F1700)=0,"",SUBSTITUTE(SUBSTITUTE(SUBSTITUTE(SUBSTITUTE("id:"&amp;A1700,"%","%25"),"~","%7E"),"*","%2A"),"?","%3F"))</x:f>
      </x:c>
    </x:row>
    <x:row r="1701" ht="22" customHeight="1">
      <x:c r="A1701" s="3"/>
      <x:c r="B1701" s="3"/>
      <x:c r="C1701" s="3"/>
      <x:c r="D1701" s="4"/>
      <x:c r="E1701" s="4"/>
      <x:c r="F1701" s="4"/>
      <x:c r="G1701" s="5" t="str">
        <x:f>IF(COUNTA(A1701:F1701)=0,"",IF(K1701&lt;&gt;"","Review",IF(I1701&lt;0,"Overdue",IF(I1701=0,"Due now",IF(I1701&lt;=M1701,"Due soon","Not due")))))</x:f>
      </x:c>
      <x:c r="H1701" s="5" t="str">
        <x:f>IF(OR(COUNTA(A1701:F1701)=0,COUNTIFS('Rules'!$G$7:$G$26,"="&amp;(SUBSTITUTE(SUBSTITUTE(SUBSTITUTE(SUBSTITUTE("type:"&amp;B1701,"%","%25"),"~","%7E"),"*","%2A"),"?","%3F")))&lt;&gt;1),"",IF(OR(INDEX('Rules'!$B$7:$B$26,MATCH(SUBSTITUTE(SUBSTITUTE(SUBSTITUTE(SUBSTITUTE("type:"&amp;B1701,"%","%25"),"~","%7E"),"*","%2A"),"?","%3F"),'Rules'!$G$7:$G$26,0))="hours",INDEX('Rules'!$B$7:$B$26,MATCH(SUBSTITUTE(SUBSTITUTE(SUBSTITUTE(SUBSTITUTE("type:"&amp;B1701,"%","%25"),"~","%7E"),"*","%2A"),"?","%3F"),'Rules'!$G$7:$G$26,0))="km"),INDEX('Rules'!$B$7:$B$26,MATCH(SUBSTITUTE(SUBSTITUTE(SUBSTITUTE(SUBSTITUTE("type:"&amp;B1701,"%","%25"),"~","%7E"),"*","%2A"),"?","%3F"),'Rules'!$G$7:$G$26,0)),""))</x:f>
      </x:c>
      <x:c r="I1701" s="6" t="str">
        <x:f>IF(AND(NOT(COUNTA(A1701:F1701)=0),K1701=""),ROUND(J1701-D1701,3),"")</x:f>
      </x:c>
      <x:c r="J1701" s="6" t="str">
        <x:f>IF(AND(NOT(COUNTA(A1701:F1701)=0),K1701=""),ROUND(F1701+L1701,3),"")</x:f>
      </x:c>
      <x:c r="K1701" s="5" t="str">
        <x:f>IF(COUNTA(A1701:F1701)=0,"",IF(A1701="","Missing equipment ID",IF(COUNTIFS($N$8:$N$2007,"="&amp;N1701)&gt;1,"Duplicate equipment ID",IF(B1701="","Missing type",IF(COUNTIFS('Rules'!$G$7:$G$26,"="&amp;(SUBSTITUTE(SUBSTITUTE(SUBSTITUTE(SUBSTITUTE("type:"&amp;B1701,"%","%25"),"~","%7E"),"*","%2A"),"?","%3F")))=0,"Unknown type",IF(COUNTIFS('Rules'!$G$7:$G$26,"="&amp;(SUBSTITUTE(SUBSTITUTE(SUBSTITUTE(SUBSTITUTE("type:"&amp;B1701,"%","%25"),"~","%7E"),"*","%2A"),"?","%3F")))&gt;1,"Duplicate type",IF(INDEX('Rules'!$F$7:$F$26,MATCH(SUBSTITUTE(SUBSTITUTE(SUBSTITUTE(SUBSTITUTE("type:"&amp;B1701,"%","%25"),"~","%7E"),"*","%2A"),"?","%3F"),'Rules'!$G$7:$G$26,0))&lt;&gt;"",INDEX('Rules'!$F$7:$F$26,MATCH(SUBSTITUTE(SUBSTITUTE(SUBSTITUTE(SUBSTITUTE("type:"&amp;B1701,"%","%25"),"~","%7E"),"*","%2A"),"?","%3F"),'Rules'!$G$7:$G$26,0)),IF(AND(C1701&lt;&gt;"",C1701&lt;&gt;INDEX('Rules'!$B$7:$B$26,MATCH(SUBSTITUTE(SUBSTITUTE(SUBSTITUTE(SUBSTITUTE("type:"&amp;B1701,"%","%25"),"~","%7E"),"*","%2A"),"?","%3F"),'Rules'!$G$7:$G$26,0))),"Unit mismatch",IF(IF(NOT(ISNUMBER(D1701)),TRUE,OR(D1701&lt;0,D1701&gt;999999999,ROUND(D1701,3)&lt;&gt;D1701)),"Invalid current reading",IF(AND(E1701&lt;&gt;"",IF(NOT(ISNUMBER(E1701)),TRUE,OR(E1701&lt;0,E1701&gt;999999999,ROUND(E1701,3)&lt;&gt;E1701))),"Invalid previous reading",IF(IF(NOT(ISNUMBER(F1701)),TRUE,OR(F1701&lt;0,F1701&gt;999999999,ROUND(F1701,3)&lt;&gt;F1701)),"Invalid last service",IF(AND(E1701&lt;&gt;"",D1701&lt;E1701),"Decreased reading",IF(F1701&gt;D1701,"Last service above current","")))))))))))))</x:f>
      </x:c>
      <x:c r="L1701" s="6" t="str">
        <x:f>IF(AND(NOT(COUNTA(A1701:F1701)=0),K1701=""),INDEX('Rules'!$C$7:$C$26,MATCH(SUBSTITUTE(SUBSTITUTE(SUBSTITUTE(SUBSTITUTE("type:"&amp;B1701,"%","%25"),"~","%7E"),"*","%2A"),"?","%3F"),'Rules'!$G$7:$G$26,0)),"")</x:f>
      </x:c>
      <x:c r="M1701" s="6" t="str">
        <x:f>IF(AND(NOT(COUNTA(A1701:F1701)=0),K1701=""),INDEX('Rules'!$D$7:$D$26,MATCH(SUBSTITUTE(SUBSTITUTE(SUBSTITUTE(SUBSTITUTE("type:"&amp;B1701,"%","%25"),"~","%7E"),"*","%2A"),"?","%3F"),'Rules'!$G$7:$G$26,0)),"")</x:f>
      </x:c>
      <x:c r="N1701" s="5" t="str">
        <x:f>IF(COUNTA(A1701:F1701)=0,"",SUBSTITUTE(SUBSTITUTE(SUBSTITUTE(SUBSTITUTE("id:"&amp;A1701,"%","%25"),"~","%7E"),"*","%2A"),"?","%3F"))</x:f>
      </x:c>
    </x:row>
    <x:row r="1702" ht="22" customHeight="1">
      <x:c r="A1702" s="3"/>
      <x:c r="B1702" s="3"/>
      <x:c r="C1702" s="3"/>
      <x:c r="D1702" s="4"/>
      <x:c r="E1702" s="4"/>
      <x:c r="F1702" s="4"/>
      <x:c r="G1702" s="5" t="str">
        <x:f>IF(COUNTA(A1702:F1702)=0,"",IF(K1702&lt;&gt;"","Review",IF(I1702&lt;0,"Overdue",IF(I1702=0,"Due now",IF(I1702&lt;=M1702,"Due soon","Not due")))))</x:f>
      </x:c>
      <x:c r="H1702" s="5" t="str">
        <x:f>IF(OR(COUNTA(A1702:F1702)=0,COUNTIFS('Rules'!$G$7:$G$26,"="&amp;(SUBSTITUTE(SUBSTITUTE(SUBSTITUTE(SUBSTITUTE("type:"&amp;B1702,"%","%25"),"~","%7E"),"*","%2A"),"?","%3F")))&lt;&gt;1),"",IF(OR(INDEX('Rules'!$B$7:$B$26,MATCH(SUBSTITUTE(SUBSTITUTE(SUBSTITUTE(SUBSTITUTE("type:"&amp;B1702,"%","%25"),"~","%7E"),"*","%2A"),"?","%3F"),'Rules'!$G$7:$G$26,0))="hours",INDEX('Rules'!$B$7:$B$26,MATCH(SUBSTITUTE(SUBSTITUTE(SUBSTITUTE(SUBSTITUTE("type:"&amp;B1702,"%","%25"),"~","%7E"),"*","%2A"),"?","%3F"),'Rules'!$G$7:$G$26,0))="km"),INDEX('Rules'!$B$7:$B$26,MATCH(SUBSTITUTE(SUBSTITUTE(SUBSTITUTE(SUBSTITUTE("type:"&amp;B1702,"%","%25"),"~","%7E"),"*","%2A"),"?","%3F"),'Rules'!$G$7:$G$26,0)),""))</x:f>
      </x:c>
      <x:c r="I1702" s="6" t="str">
        <x:f>IF(AND(NOT(COUNTA(A1702:F1702)=0),K1702=""),ROUND(J1702-D1702,3),"")</x:f>
      </x:c>
      <x:c r="J1702" s="6" t="str">
        <x:f>IF(AND(NOT(COUNTA(A1702:F1702)=0),K1702=""),ROUND(F1702+L1702,3),"")</x:f>
      </x:c>
      <x:c r="K1702" s="5" t="str">
        <x:f>IF(COUNTA(A1702:F1702)=0,"",IF(A1702="","Missing equipment ID",IF(COUNTIFS($N$8:$N$2007,"="&amp;N1702)&gt;1,"Duplicate equipment ID",IF(B1702="","Missing type",IF(COUNTIFS('Rules'!$G$7:$G$26,"="&amp;(SUBSTITUTE(SUBSTITUTE(SUBSTITUTE(SUBSTITUTE("type:"&amp;B1702,"%","%25"),"~","%7E"),"*","%2A"),"?","%3F")))=0,"Unknown type",IF(COUNTIFS('Rules'!$G$7:$G$26,"="&amp;(SUBSTITUTE(SUBSTITUTE(SUBSTITUTE(SUBSTITUTE("type:"&amp;B1702,"%","%25"),"~","%7E"),"*","%2A"),"?","%3F")))&gt;1,"Duplicate type",IF(INDEX('Rules'!$F$7:$F$26,MATCH(SUBSTITUTE(SUBSTITUTE(SUBSTITUTE(SUBSTITUTE("type:"&amp;B1702,"%","%25"),"~","%7E"),"*","%2A"),"?","%3F"),'Rules'!$G$7:$G$26,0))&lt;&gt;"",INDEX('Rules'!$F$7:$F$26,MATCH(SUBSTITUTE(SUBSTITUTE(SUBSTITUTE(SUBSTITUTE("type:"&amp;B1702,"%","%25"),"~","%7E"),"*","%2A"),"?","%3F"),'Rules'!$G$7:$G$26,0)),IF(AND(C1702&lt;&gt;"",C1702&lt;&gt;INDEX('Rules'!$B$7:$B$26,MATCH(SUBSTITUTE(SUBSTITUTE(SUBSTITUTE(SUBSTITUTE("type:"&amp;B1702,"%","%25"),"~","%7E"),"*","%2A"),"?","%3F"),'Rules'!$G$7:$G$26,0))),"Unit mismatch",IF(IF(NOT(ISNUMBER(D1702)),TRUE,OR(D1702&lt;0,D1702&gt;999999999,ROUND(D1702,3)&lt;&gt;D1702)),"Invalid current reading",IF(AND(E1702&lt;&gt;"",IF(NOT(ISNUMBER(E1702)),TRUE,OR(E1702&lt;0,E1702&gt;999999999,ROUND(E1702,3)&lt;&gt;E1702))),"Invalid previous reading",IF(IF(NOT(ISNUMBER(F1702)),TRUE,OR(F1702&lt;0,F1702&gt;999999999,ROUND(F1702,3)&lt;&gt;F1702)),"Invalid last service",IF(AND(E1702&lt;&gt;"",D1702&lt;E1702),"Decreased reading",IF(F1702&gt;D1702,"Last service above current","")))))))))))))</x:f>
      </x:c>
      <x:c r="L1702" s="6" t="str">
        <x:f>IF(AND(NOT(COUNTA(A1702:F1702)=0),K1702=""),INDEX('Rules'!$C$7:$C$26,MATCH(SUBSTITUTE(SUBSTITUTE(SUBSTITUTE(SUBSTITUTE("type:"&amp;B1702,"%","%25"),"~","%7E"),"*","%2A"),"?","%3F"),'Rules'!$G$7:$G$26,0)),"")</x:f>
      </x:c>
      <x:c r="M1702" s="6" t="str">
        <x:f>IF(AND(NOT(COUNTA(A1702:F1702)=0),K1702=""),INDEX('Rules'!$D$7:$D$26,MATCH(SUBSTITUTE(SUBSTITUTE(SUBSTITUTE(SUBSTITUTE("type:"&amp;B1702,"%","%25"),"~","%7E"),"*","%2A"),"?","%3F"),'Rules'!$G$7:$G$26,0)),"")</x:f>
      </x:c>
      <x:c r="N1702" s="5" t="str">
        <x:f>IF(COUNTA(A1702:F1702)=0,"",SUBSTITUTE(SUBSTITUTE(SUBSTITUTE(SUBSTITUTE("id:"&amp;A1702,"%","%25"),"~","%7E"),"*","%2A"),"?","%3F"))</x:f>
      </x:c>
    </x:row>
    <x:row r="1703" ht="22" customHeight="1">
      <x:c r="A1703" s="3"/>
      <x:c r="B1703" s="3"/>
      <x:c r="C1703" s="3"/>
      <x:c r="D1703" s="4"/>
      <x:c r="E1703" s="4"/>
      <x:c r="F1703" s="4"/>
      <x:c r="G1703" s="5" t="str">
        <x:f>IF(COUNTA(A1703:F1703)=0,"",IF(K1703&lt;&gt;"","Review",IF(I1703&lt;0,"Overdue",IF(I1703=0,"Due now",IF(I1703&lt;=M1703,"Due soon","Not due")))))</x:f>
      </x:c>
      <x:c r="H1703" s="5" t="str">
        <x:f>IF(OR(COUNTA(A1703:F1703)=0,COUNTIFS('Rules'!$G$7:$G$26,"="&amp;(SUBSTITUTE(SUBSTITUTE(SUBSTITUTE(SUBSTITUTE("type:"&amp;B1703,"%","%25"),"~","%7E"),"*","%2A"),"?","%3F")))&lt;&gt;1),"",IF(OR(INDEX('Rules'!$B$7:$B$26,MATCH(SUBSTITUTE(SUBSTITUTE(SUBSTITUTE(SUBSTITUTE("type:"&amp;B1703,"%","%25"),"~","%7E"),"*","%2A"),"?","%3F"),'Rules'!$G$7:$G$26,0))="hours",INDEX('Rules'!$B$7:$B$26,MATCH(SUBSTITUTE(SUBSTITUTE(SUBSTITUTE(SUBSTITUTE("type:"&amp;B1703,"%","%25"),"~","%7E"),"*","%2A"),"?","%3F"),'Rules'!$G$7:$G$26,0))="km"),INDEX('Rules'!$B$7:$B$26,MATCH(SUBSTITUTE(SUBSTITUTE(SUBSTITUTE(SUBSTITUTE("type:"&amp;B1703,"%","%25"),"~","%7E"),"*","%2A"),"?","%3F"),'Rules'!$G$7:$G$26,0)),""))</x:f>
      </x:c>
      <x:c r="I1703" s="6" t="str">
        <x:f>IF(AND(NOT(COUNTA(A1703:F1703)=0),K1703=""),ROUND(J1703-D1703,3),"")</x:f>
      </x:c>
      <x:c r="J1703" s="6" t="str">
        <x:f>IF(AND(NOT(COUNTA(A1703:F1703)=0),K1703=""),ROUND(F1703+L1703,3),"")</x:f>
      </x:c>
      <x:c r="K1703" s="5" t="str">
        <x:f>IF(COUNTA(A1703:F1703)=0,"",IF(A1703="","Missing equipment ID",IF(COUNTIFS($N$8:$N$2007,"="&amp;N1703)&gt;1,"Duplicate equipment ID",IF(B1703="","Missing type",IF(COUNTIFS('Rules'!$G$7:$G$26,"="&amp;(SUBSTITUTE(SUBSTITUTE(SUBSTITUTE(SUBSTITUTE("type:"&amp;B1703,"%","%25"),"~","%7E"),"*","%2A"),"?","%3F")))=0,"Unknown type",IF(COUNTIFS('Rules'!$G$7:$G$26,"="&amp;(SUBSTITUTE(SUBSTITUTE(SUBSTITUTE(SUBSTITUTE("type:"&amp;B1703,"%","%25"),"~","%7E"),"*","%2A"),"?","%3F")))&gt;1,"Duplicate type",IF(INDEX('Rules'!$F$7:$F$26,MATCH(SUBSTITUTE(SUBSTITUTE(SUBSTITUTE(SUBSTITUTE("type:"&amp;B1703,"%","%25"),"~","%7E"),"*","%2A"),"?","%3F"),'Rules'!$G$7:$G$26,0))&lt;&gt;"",INDEX('Rules'!$F$7:$F$26,MATCH(SUBSTITUTE(SUBSTITUTE(SUBSTITUTE(SUBSTITUTE("type:"&amp;B1703,"%","%25"),"~","%7E"),"*","%2A"),"?","%3F"),'Rules'!$G$7:$G$26,0)),IF(AND(C1703&lt;&gt;"",C1703&lt;&gt;INDEX('Rules'!$B$7:$B$26,MATCH(SUBSTITUTE(SUBSTITUTE(SUBSTITUTE(SUBSTITUTE("type:"&amp;B1703,"%","%25"),"~","%7E"),"*","%2A"),"?","%3F"),'Rules'!$G$7:$G$26,0))),"Unit mismatch",IF(IF(NOT(ISNUMBER(D1703)),TRUE,OR(D1703&lt;0,D1703&gt;999999999,ROUND(D1703,3)&lt;&gt;D1703)),"Invalid current reading",IF(AND(E1703&lt;&gt;"",IF(NOT(ISNUMBER(E1703)),TRUE,OR(E1703&lt;0,E1703&gt;999999999,ROUND(E1703,3)&lt;&gt;E1703))),"Invalid previous reading",IF(IF(NOT(ISNUMBER(F1703)),TRUE,OR(F1703&lt;0,F1703&gt;999999999,ROUND(F1703,3)&lt;&gt;F1703)),"Invalid last service",IF(AND(E1703&lt;&gt;"",D1703&lt;E1703),"Decreased reading",IF(F1703&gt;D1703,"Last service above current","")))))))))))))</x:f>
      </x:c>
      <x:c r="L1703" s="6" t="str">
        <x:f>IF(AND(NOT(COUNTA(A1703:F1703)=0),K1703=""),INDEX('Rules'!$C$7:$C$26,MATCH(SUBSTITUTE(SUBSTITUTE(SUBSTITUTE(SUBSTITUTE("type:"&amp;B1703,"%","%25"),"~","%7E"),"*","%2A"),"?","%3F"),'Rules'!$G$7:$G$26,0)),"")</x:f>
      </x:c>
      <x:c r="M1703" s="6" t="str">
        <x:f>IF(AND(NOT(COUNTA(A1703:F1703)=0),K1703=""),INDEX('Rules'!$D$7:$D$26,MATCH(SUBSTITUTE(SUBSTITUTE(SUBSTITUTE(SUBSTITUTE("type:"&amp;B1703,"%","%25"),"~","%7E"),"*","%2A"),"?","%3F"),'Rules'!$G$7:$G$26,0)),"")</x:f>
      </x:c>
      <x:c r="N1703" s="5" t="str">
        <x:f>IF(COUNTA(A1703:F1703)=0,"",SUBSTITUTE(SUBSTITUTE(SUBSTITUTE(SUBSTITUTE("id:"&amp;A1703,"%","%25"),"~","%7E"),"*","%2A"),"?","%3F"))</x:f>
      </x:c>
    </x:row>
    <x:row r="1704" ht="22" customHeight="1">
      <x:c r="A1704" s="3"/>
      <x:c r="B1704" s="3"/>
      <x:c r="C1704" s="3"/>
      <x:c r="D1704" s="4"/>
      <x:c r="E1704" s="4"/>
      <x:c r="F1704" s="4"/>
      <x:c r="G1704" s="5" t="str">
        <x:f>IF(COUNTA(A1704:F1704)=0,"",IF(K1704&lt;&gt;"","Review",IF(I1704&lt;0,"Overdue",IF(I1704=0,"Due now",IF(I1704&lt;=M1704,"Due soon","Not due")))))</x:f>
      </x:c>
      <x:c r="H1704" s="5" t="str">
        <x:f>IF(OR(COUNTA(A1704:F1704)=0,COUNTIFS('Rules'!$G$7:$G$26,"="&amp;(SUBSTITUTE(SUBSTITUTE(SUBSTITUTE(SUBSTITUTE("type:"&amp;B1704,"%","%25"),"~","%7E"),"*","%2A"),"?","%3F")))&lt;&gt;1),"",IF(OR(INDEX('Rules'!$B$7:$B$26,MATCH(SUBSTITUTE(SUBSTITUTE(SUBSTITUTE(SUBSTITUTE("type:"&amp;B1704,"%","%25"),"~","%7E"),"*","%2A"),"?","%3F"),'Rules'!$G$7:$G$26,0))="hours",INDEX('Rules'!$B$7:$B$26,MATCH(SUBSTITUTE(SUBSTITUTE(SUBSTITUTE(SUBSTITUTE("type:"&amp;B1704,"%","%25"),"~","%7E"),"*","%2A"),"?","%3F"),'Rules'!$G$7:$G$26,0))="km"),INDEX('Rules'!$B$7:$B$26,MATCH(SUBSTITUTE(SUBSTITUTE(SUBSTITUTE(SUBSTITUTE("type:"&amp;B1704,"%","%25"),"~","%7E"),"*","%2A"),"?","%3F"),'Rules'!$G$7:$G$26,0)),""))</x:f>
      </x:c>
      <x:c r="I1704" s="6" t="str">
        <x:f>IF(AND(NOT(COUNTA(A1704:F1704)=0),K1704=""),ROUND(J1704-D1704,3),"")</x:f>
      </x:c>
      <x:c r="J1704" s="6" t="str">
        <x:f>IF(AND(NOT(COUNTA(A1704:F1704)=0),K1704=""),ROUND(F1704+L1704,3),"")</x:f>
      </x:c>
      <x:c r="K1704" s="5" t="str">
        <x:f>IF(COUNTA(A1704:F1704)=0,"",IF(A1704="","Missing equipment ID",IF(COUNTIFS($N$8:$N$2007,"="&amp;N1704)&gt;1,"Duplicate equipment ID",IF(B1704="","Missing type",IF(COUNTIFS('Rules'!$G$7:$G$26,"="&amp;(SUBSTITUTE(SUBSTITUTE(SUBSTITUTE(SUBSTITUTE("type:"&amp;B1704,"%","%25"),"~","%7E"),"*","%2A"),"?","%3F")))=0,"Unknown type",IF(COUNTIFS('Rules'!$G$7:$G$26,"="&amp;(SUBSTITUTE(SUBSTITUTE(SUBSTITUTE(SUBSTITUTE("type:"&amp;B1704,"%","%25"),"~","%7E"),"*","%2A"),"?","%3F")))&gt;1,"Duplicate type",IF(INDEX('Rules'!$F$7:$F$26,MATCH(SUBSTITUTE(SUBSTITUTE(SUBSTITUTE(SUBSTITUTE("type:"&amp;B1704,"%","%25"),"~","%7E"),"*","%2A"),"?","%3F"),'Rules'!$G$7:$G$26,0))&lt;&gt;"",INDEX('Rules'!$F$7:$F$26,MATCH(SUBSTITUTE(SUBSTITUTE(SUBSTITUTE(SUBSTITUTE("type:"&amp;B1704,"%","%25"),"~","%7E"),"*","%2A"),"?","%3F"),'Rules'!$G$7:$G$26,0)),IF(AND(C1704&lt;&gt;"",C1704&lt;&gt;INDEX('Rules'!$B$7:$B$26,MATCH(SUBSTITUTE(SUBSTITUTE(SUBSTITUTE(SUBSTITUTE("type:"&amp;B1704,"%","%25"),"~","%7E"),"*","%2A"),"?","%3F"),'Rules'!$G$7:$G$26,0))),"Unit mismatch",IF(IF(NOT(ISNUMBER(D1704)),TRUE,OR(D1704&lt;0,D1704&gt;999999999,ROUND(D1704,3)&lt;&gt;D1704)),"Invalid current reading",IF(AND(E1704&lt;&gt;"",IF(NOT(ISNUMBER(E1704)),TRUE,OR(E1704&lt;0,E1704&gt;999999999,ROUND(E1704,3)&lt;&gt;E1704))),"Invalid previous reading",IF(IF(NOT(ISNUMBER(F1704)),TRUE,OR(F1704&lt;0,F1704&gt;999999999,ROUND(F1704,3)&lt;&gt;F1704)),"Invalid last service",IF(AND(E1704&lt;&gt;"",D1704&lt;E1704),"Decreased reading",IF(F1704&gt;D1704,"Last service above current","")))))))))))))</x:f>
      </x:c>
      <x:c r="L1704" s="6" t="str">
        <x:f>IF(AND(NOT(COUNTA(A1704:F1704)=0),K1704=""),INDEX('Rules'!$C$7:$C$26,MATCH(SUBSTITUTE(SUBSTITUTE(SUBSTITUTE(SUBSTITUTE("type:"&amp;B1704,"%","%25"),"~","%7E"),"*","%2A"),"?","%3F"),'Rules'!$G$7:$G$26,0)),"")</x:f>
      </x:c>
      <x:c r="M1704" s="6" t="str">
        <x:f>IF(AND(NOT(COUNTA(A1704:F1704)=0),K1704=""),INDEX('Rules'!$D$7:$D$26,MATCH(SUBSTITUTE(SUBSTITUTE(SUBSTITUTE(SUBSTITUTE("type:"&amp;B1704,"%","%25"),"~","%7E"),"*","%2A"),"?","%3F"),'Rules'!$G$7:$G$26,0)),"")</x:f>
      </x:c>
      <x:c r="N1704" s="5" t="str">
        <x:f>IF(COUNTA(A1704:F1704)=0,"",SUBSTITUTE(SUBSTITUTE(SUBSTITUTE(SUBSTITUTE("id:"&amp;A1704,"%","%25"),"~","%7E"),"*","%2A"),"?","%3F"))</x:f>
      </x:c>
    </x:row>
    <x:row r="1705" ht="22" customHeight="1">
      <x:c r="A1705" s="3"/>
      <x:c r="B1705" s="3"/>
      <x:c r="C1705" s="3"/>
      <x:c r="D1705" s="4"/>
      <x:c r="E1705" s="4"/>
      <x:c r="F1705" s="4"/>
      <x:c r="G1705" s="5" t="str">
        <x:f>IF(COUNTA(A1705:F1705)=0,"",IF(K1705&lt;&gt;"","Review",IF(I1705&lt;0,"Overdue",IF(I1705=0,"Due now",IF(I1705&lt;=M1705,"Due soon","Not due")))))</x:f>
      </x:c>
      <x:c r="H1705" s="5" t="str">
        <x:f>IF(OR(COUNTA(A1705:F1705)=0,COUNTIFS('Rules'!$G$7:$G$26,"="&amp;(SUBSTITUTE(SUBSTITUTE(SUBSTITUTE(SUBSTITUTE("type:"&amp;B1705,"%","%25"),"~","%7E"),"*","%2A"),"?","%3F")))&lt;&gt;1),"",IF(OR(INDEX('Rules'!$B$7:$B$26,MATCH(SUBSTITUTE(SUBSTITUTE(SUBSTITUTE(SUBSTITUTE("type:"&amp;B1705,"%","%25"),"~","%7E"),"*","%2A"),"?","%3F"),'Rules'!$G$7:$G$26,0))="hours",INDEX('Rules'!$B$7:$B$26,MATCH(SUBSTITUTE(SUBSTITUTE(SUBSTITUTE(SUBSTITUTE("type:"&amp;B1705,"%","%25"),"~","%7E"),"*","%2A"),"?","%3F"),'Rules'!$G$7:$G$26,0))="km"),INDEX('Rules'!$B$7:$B$26,MATCH(SUBSTITUTE(SUBSTITUTE(SUBSTITUTE(SUBSTITUTE("type:"&amp;B1705,"%","%25"),"~","%7E"),"*","%2A"),"?","%3F"),'Rules'!$G$7:$G$26,0)),""))</x:f>
      </x:c>
      <x:c r="I1705" s="6" t="str">
        <x:f>IF(AND(NOT(COUNTA(A1705:F1705)=0),K1705=""),ROUND(J1705-D1705,3),"")</x:f>
      </x:c>
      <x:c r="J1705" s="6" t="str">
        <x:f>IF(AND(NOT(COUNTA(A1705:F1705)=0),K1705=""),ROUND(F1705+L1705,3),"")</x:f>
      </x:c>
      <x:c r="K1705" s="5" t="str">
        <x:f>IF(COUNTA(A1705:F1705)=0,"",IF(A1705="","Missing equipment ID",IF(COUNTIFS($N$8:$N$2007,"="&amp;N1705)&gt;1,"Duplicate equipment ID",IF(B1705="","Missing type",IF(COUNTIFS('Rules'!$G$7:$G$26,"="&amp;(SUBSTITUTE(SUBSTITUTE(SUBSTITUTE(SUBSTITUTE("type:"&amp;B1705,"%","%25"),"~","%7E"),"*","%2A"),"?","%3F")))=0,"Unknown type",IF(COUNTIFS('Rules'!$G$7:$G$26,"="&amp;(SUBSTITUTE(SUBSTITUTE(SUBSTITUTE(SUBSTITUTE("type:"&amp;B1705,"%","%25"),"~","%7E"),"*","%2A"),"?","%3F")))&gt;1,"Duplicate type",IF(INDEX('Rules'!$F$7:$F$26,MATCH(SUBSTITUTE(SUBSTITUTE(SUBSTITUTE(SUBSTITUTE("type:"&amp;B1705,"%","%25"),"~","%7E"),"*","%2A"),"?","%3F"),'Rules'!$G$7:$G$26,0))&lt;&gt;"",INDEX('Rules'!$F$7:$F$26,MATCH(SUBSTITUTE(SUBSTITUTE(SUBSTITUTE(SUBSTITUTE("type:"&amp;B1705,"%","%25"),"~","%7E"),"*","%2A"),"?","%3F"),'Rules'!$G$7:$G$26,0)),IF(AND(C1705&lt;&gt;"",C1705&lt;&gt;INDEX('Rules'!$B$7:$B$26,MATCH(SUBSTITUTE(SUBSTITUTE(SUBSTITUTE(SUBSTITUTE("type:"&amp;B1705,"%","%25"),"~","%7E"),"*","%2A"),"?","%3F"),'Rules'!$G$7:$G$26,0))),"Unit mismatch",IF(IF(NOT(ISNUMBER(D1705)),TRUE,OR(D1705&lt;0,D1705&gt;999999999,ROUND(D1705,3)&lt;&gt;D1705)),"Invalid current reading",IF(AND(E1705&lt;&gt;"",IF(NOT(ISNUMBER(E1705)),TRUE,OR(E1705&lt;0,E1705&gt;999999999,ROUND(E1705,3)&lt;&gt;E1705))),"Invalid previous reading",IF(IF(NOT(ISNUMBER(F1705)),TRUE,OR(F1705&lt;0,F1705&gt;999999999,ROUND(F1705,3)&lt;&gt;F1705)),"Invalid last service",IF(AND(E1705&lt;&gt;"",D1705&lt;E1705),"Decreased reading",IF(F1705&gt;D1705,"Last service above current","")))))))))))))</x:f>
      </x:c>
      <x:c r="L1705" s="6" t="str">
        <x:f>IF(AND(NOT(COUNTA(A1705:F1705)=0),K1705=""),INDEX('Rules'!$C$7:$C$26,MATCH(SUBSTITUTE(SUBSTITUTE(SUBSTITUTE(SUBSTITUTE("type:"&amp;B1705,"%","%25"),"~","%7E"),"*","%2A"),"?","%3F"),'Rules'!$G$7:$G$26,0)),"")</x:f>
      </x:c>
      <x:c r="M1705" s="6" t="str">
        <x:f>IF(AND(NOT(COUNTA(A1705:F1705)=0),K1705=""),INDEX('Rules'!$D$7:$D$26,MATCH(SUBSTITUTE(SUBSTITUTE(SUBSTITUTE(SUBSTITUTE("type:"&amp;B1705,"%","%25"),"~","%7E"),"*","%2A"),"?","%3F"),'Rules'!$G$7:$G$26,0)),"")</x:f>
      </x:c>
      <x:c r="N1705" s="5" t="str">
        <x:f>IF(COUNTA(A1705:F1705)=0,"",SUBSTITUTE(SUBSTITUTE(SUBSTITUTE(SUBSTITUTE("id:"&amp;A1705,"%","%25"),"~","%7E"),"*","%2A"),"?","%3F"))</x:f>
      </x:c>
    </x:row>
    <x:row r="1706" ht="22" customHeight="1">
      <x:c r="A1706" s="3"/>
      <x:c r="B1706" s="3"/>
      <x:c r="C1706" s="3"/>
      <x:c r="D1706" s="4"/>
      <x:c r="E1706" s="4"/>
      <x:c r="F1706" s="4"/>
      <x:c r="G1706" s="5" t="str">
        <x:f>IF(COUNTA(A1706:F1706)=0,"",IF(K1706&lt;&gt;"","Review",IF(I1706&lt;0,"Overdue",IF(I1706=0,"Due now",IF(I1706&lt;=M1706,"Due soon","Not due")))))</x:f>
      </x:c>
      <x:c r="H1706" s="5" t="str">
        <x:f>IF(OR(COUNTA(A1706:F1706)=0,COUNTIFS('Rules'!$G$7:$G$26,"="&amp;(SUBSTITUTE(SUBSTITUTE(SUBSTITUTE(SUBSTITUTE("type:"&amp;B1706,"%","%25"),"~","%7E"),"*","%2A"),"?","%3F")))&lt;&gt;1),"",IF(OR(INDEX('Rules'!$B$7:$B$26,MATCH(SUBSTITUTE(SUBSTITUTE(SUBSTITUTE(SUBSTITUTE("type:"&amp;B1706,"%","%25"),"~","%7E"),"*","%2A"),"?","%3F"),'Rules'!$G$7:$G$26,0))="hours",INDEX('Rules'!$B$7:$B$26,MATCH(SUBSTITUTE(SUBSTITUTE(SUBSTITUTE(SUBSTITUTE("type:"&amp;B1706,"%","%25"),"~","%7E"),"*","%2A"),"?","%3F"),'Rules'!$G$7:$G$26,0))="km"),INDEX('Rules'!$B$7:$B$26,MATCH(SUBSTITUTE(SUBSTITUTE(SUBSTITUTE(SUBSTITUTE("type:"&amp;B1706,"%","%25"),"~","%7E"),"*","%2A"),"?","%3F"),'Rules'!$G$7:$G$26,0)),""))</x:f>
      </x:c>
      <x:c r="I1706" s="6" t="str">
        <x:f>IF(AND(NOT(COUNTA(A1706:F1706)=0),K1706=""),ROUND(J1706-D1706,3),"")</x:f>
      </x:c>
      <x:c r="J1706" s="6" t="str">
        <x:f>IF(AND(NOT(COUNTA(A1706:F1706)=0),K1706=""),ROUND(F1706+L1706,3),"")</x:f>
      </x:c>
      <x:c r="K1706" s="5" t="str">
        <x:f>IF(COUNTA(A1706:F1706)=0,"",IF(A1706="","Missing equipment ID",IF(COUNTIFS($N$8:$N$2007,"="&amp;N1706)&gt;1,"Duplicate equipment ID",IF(B1706="","Missing type",IF(COUNTIFS('Rules'!$G$7:$G$26,"="&amp;(SUBSTITUTE(SUBSTITUTE(SUBSTITUTE(SUBSTITUTE("type:"&amp;B1706,"%","%25"),"~","%7E"),"*","%2A"),"?","%3F")))=0,"Unknown type",IF(COUNTIFS('Rules'!$G$7:$G$26,"="&amp;(SUBSTITUTE(SUBSTITUTE(SUBSTITUTE(SUBSTITUTE("type:"&amp;B1706,"%","%25"),"~","%7E"),"*","%2A"),"?","%3F")))&gt;1,"Duplicate type",IF(INDEX('Rules'!$F$7:$F$26,MATCH(SUBSTITUTE(SUBSTITUTE(SUBSTITUTE(SUBSTITUTE("type:"&amp;B1706,"%","%25"),"~","%7E"),"*","%2A"),"?","%3F"),'Rules'!$G$7:$G$26,0))&lt;&gt;"",INDEX('Rules'!$F$7:$F$26,MATCH(SUBSTITUTE(SUBSTITUTE(SUBSTITUTE(SUBSTITUTE("type:"&amp;B1706,"%","%25"),"~","%7E"),"*","%2A"),"?","%3F"),'Rules'!$G$7:$G$26,0)),IF(AND(C1706&lt;&gt;"",C1706&lt;&gt;INDEX('Rules'!$B$7:$B$26,MATCH(SUBSTITUTE(SUBSTITUTE(SUBSTITUTE(SUBSTITUTE("type:"&amp;B1706,"%","%25"),"~","%7E"),"*","%2A"),"?","%3F"),'Rules'!$G$7:$G$26,0))),"Unit mismatch",IF(IF(NOT(ISNUMBER(D1706)),TRUE,OR(D1706&lt;0,D1706&gt;999999999,ROUND(D1706,3)&lt;&gt;D1706)),"Invalid current reading",IF(AND(E1706&lt;&gt;"",IF(NOT(ISNUMBER(E1706)),TRUE,OR(E1706&lt;0,E1706&gt;999999999,ROUND(E1706,3)&lt;&gt;E1706))),"Invalid previous reading",IF(IF(NOT(ISNUMBER(F1706)),TRUE,OR(F1706&lt;0,F1706&gt;999999999,ROUND(F1706,3)&lt;&gt;F1706)),"Invalid last service",IF(AND(E1706&lt;&gt;"",D1706&lt;E1706),"Decreased reading",IF(F1706&gt;D1706,"Last service above current","")))))))))))))</x:f>
      </x:c>
      <x:c r="L1706" s="6" t="str">
        <x:f>IF(AND(NOT(COUNTA(A1706:F1706)=0),K1706=""),INDEX('Rules'!$C$7:$C$26,MATCH(SUBSTITUTE(SUBSTITUTE(SUBSTITUTE(SUBSTITUTE("type:"&amp;B1706,"%","%25"),"~","%7E"),"*","%2A"),"?","%3F"),'Rules'!$G$7:$G$26,0)),"")</x:f>
      </x:c>
      <x:c r="M1706" s="6" t="str">
        <x:f>IF(AND(NOT(COUNTA(A1706:F1706)=0),K1706=""),INDEX('Rules'!$D$7:$D$26,MATCH(SUBSTITUTE(SUBSTITUTE(SUBSTITUTE(SUBSTITUTE("type:"&amp;B1706,"%","%25"),"~","%7E"),"*","%2A"),"?","%3F"),'Rules'!$G$7:$G$26,0)),"")</x:f>
      </x:c>
      <x:c r="N1706" s="5" t="str">
        <x:f>IF(COUNTA(A1706:F1706)=0,"",SUBSTITUTE(SUBSTITUTE(SUBSTITUTE(SUBSTITUTE("id:"&amp;A1706,"%","%25"),"~","%7E"),"*","%2A"),"?","%3F"))</x:f>
      </x:c>
    </x:row>
    <x:row r="1707" ht="22" customHeight="1">
      <x:c r="A1707" s="3"/>
      <x:c r="B1707" s="3"/>
      <x:c r="C1707" s="3"/>
      <x:c r="D1707" s="4"/>
      <x:c r="E1707" s="4"/>
      <x:c r="F1707" s="4"/>
      <x:c r="G1707" s="5" t="str">
        <x:f>IF(COUNTA(A1707:F1707)=0,"",IF(K1707&lt;&gt;"","Review",IF(I1707&lt;0,"Overdue",IF(I1707=0,"Due now",IF(I1707&lt;=M1707,"Due soon","Not due")))))</x:f>
      </x:c>
      <x:c r="H1707" s="5" t="str">
        <x:f>IF(OR(COUNTA(A1707:F1707)=0,COUNTIFS('Rules'!$G$7:$G$26,"="&amp;(SUBSTITUTE(SUBSTITUTE(SUBSTITUTE(SUBSTITUTE("type:"&amp;B1707,"%","%25"),"~","%7E"),"*","%2A"),"?","%3F")))&lt;&gt;1),"",IF(OR(INDEX('Rules'!$B$7:$B$26,MATCH(SUBSTITUTE(SUBSTITUTE(SUBSTITUTE(SUBSTITUTE("type:"&amp;B1707,"%","%25"),"~","%7E"),"*","%2A"),"?","%3F"),'Rules'!$G$7:$G$26,0))="hours",INDEX('Rules'!$B$7:$B$26,MATCH(SUBSTITUTE(SUBSTITUTE(SUBSTITUTE(SUBSTITUTE("type:"&amp;B1707,"%","%25"),"~","%7E"),"*","%2A"),"?","%3F"),'Rules'!$G$7:$G$26,0))="km"),INDEX('Rules'!$B$7:$B$26,MATCH(SUBSTITUTE(SUBSTITUTE(SUBSTITUTE(SUBSTITUTE("type:"&amp;B1707,"%","%25"),"~","%7E"),"*","%2A"),"?","%3F"),'Rules'!$G$7:$G$26,0)),""))</x:f>
      </x:c>
      <x:c r="I1707" s="6" t="str">
        <x:f>IF(AND(NOT(COUNTA(A1707:F1707)=0),K1707=""),ROUND(J1707-D1707,3),"")</x:f>
      </x:c>
      <x:c r="J1707" s="6" t="str">
        <x:f>IF(AND(NOT(COUNTA(A1707:F1707)=0),K1707=""),ROUND(F1707+L1707,3),"")</x:f>
      </x:c>
      <x:c r="K1707" s="5" t="str">
        <x:f>IF(COUNTA(A1707:F1707)=0,"",IF(A1707="","Missing equipment ID",IF(COUNTIFS($N$8:$N$2007,"="&amp;N1707)&gt;1,"Duplicate equipment ID",IF(B1707="","Missing type",IF(COUNTIFS('Rules'!$G$7:$G$26,"="&amp;(SUBSTITUTE(SUBSTITUTE(SUBSTITUTE(SUBSTITUTE("type:"&amp;B1707,"%","%25"),"~","%7E"),"*","%2A"),"?","%3F")))=0,"Unknown type",IF(COUNTIFS('Rules'!$G$7:$G$26,"="&amp;(SUBSTITUTE(SUBSTITUTE(SUBSTITUTE(SUBSTITUTE("type:"&amp;B1707,"%","%25"),"~","%7E"),"*","%2A"),"?","%3F")))&gt;1,"Duplicate type",IF(INDEX('Rules'!$F$7:$F$26,MATCH(SUBSTITUTE(SUBSTITUTE(SUBSTITUTE(SUBSTITUTE("type:"&amp;B1707,"%","%25"),"~","%7E"),"*","%2A"),"?","%3F"),'Rules'!$G$7:$G$26,0))&lt;&gt;"",INDEX('Rules'!$F$7:$F$26,MATCH(SUBSTITUTE(SUBSTITUTE(SUBSTITUTE(SUBSTITUTE("type:"&amp;B1707,"%","%25"),"~","%7E"),"*","%2A"),"?","%3F"),'Rules'!$G$7:$G$26,0)),IF(AND(C1707&lt;&gt;"",C1707&lt;&gt;INDEX('Rules'!$B$7:$B$26,MATCH(SUBSTITUTE(SUBSTITUTE(SUBSTITUTE(SUBSTITUTE("type:"&amp;B1707,"%","%25"),"~","%7E"),"*","%2A"),"?","%3F"),'Rules'!$G$7:$G$26,0))),"Unit mismatch",IF(IF(NOT(ISNUMBER(D1707)),TRUE,OR(D1707&lt;0,D1707&gt;999999999,ROUND(D1707,3)&lt;&gt;D1707)),"Invalid current reading",IF(AND(E1707&lt;&gt;"",IF(NOT(ISNUMBER(E1707)),TRUE,OR(E1707&lt;0,E1707&gt;999999999,ROUND(E1707,3)&lt;&gt;E1707))),"Invalid previous reading",IF(IF(NOT(ISNUMBER(F1707)),TRUE,OR(F1707&lt;0,F1707&gt;999999999,ROUND(F1707,3)&lt;&gt;F1707)),"Invalid last service",IF(AND(E1707&lt;&gt;"",D1707&lt;E1707),"Decreased reading",IF(F1707&gt;D1707,"Last service above current","")))))))))))))</x:f>
      </x:c>
      <x:c r="L1707" s="6" t="str">
        <x:f>IF(AND(NOT(COUNTA(A1707:F1707)=0),K1707=""),INDEX('Rules'!$C$7:$C$26,MATCH(SUBSTITUTE(SUBSTITUTE(SUBSTITUTE(SUBSTITUTE("type:"&amp;B1707,"%","%25"),"~","%7E"),"*","%2A"),"?","%3F"),'Rules'!$G$7:$G$26,0)),"")</x:f>
      </x:c>
      <x:c r="M1707" s="6" t="str">
        <x:f>IF(AND(NOT(COUNTA(A1707:F1707)=0),K1707=""),INDEX('Rules'!$D$7:$D$26,MATCH(SUBSTITUTE(SUBSTITUTE(SUBSTITUTE(SUBSTITUTE("type:"&amp;B1707,"%","%25"),"~","%7E"),"*","%2A"),"?","%3F"),'Rules'!$G$7:$G$26,0)),"")</x:f>
      </x:c>
      <x:c r="N1707" s="5" t="str">
        <x:f>IF(COUNTA(A1707:F1707)=0,"",SUBSTITUTE(SUBSTITUTE(SUBSTITUTE(SUBSTITUTE("id:"&amp;A1707,"%","%25"),"~","%7E"),"*","%2A"),"?","%3F"))</x:f>
      </x:c>
    </x:row>
    <x:row r="1708" ht="22" customHeight="1">
      <x:c r="A1708" s="3"/>
      <x:c r="B1708" s="3"/>
      <x:c r="C1708" s="3"/>
      <x:c r="D1708" s="4"/>
      <x:c r="E1708" s="4"/>
      <x:c r="F1708" s="4"/>
      <x:c r="G1708" s="5" t="str">
        <x:f>IF(COUNTA(A1708:F1708)=0,"",IF(K1708&lt;&gt;"","Review",IF(I1708&lt;0,"Overdue",IF(I1708=0,"Due now",IF(I1708&lt;=M1708,"Due soon","Not due")))))</x:f>
      </x:c>
      <x:c r="H1708" s="5" t="str">
        <x:f>IF(OR(COUNTA(A1708:F1708)=0,COUNTIFS('Rules'!$G$7:$G$26,"="&amp;(SUBSTITUTE(SUBSTITUTE(SUBSTITUTE(SUBSTITUTE("type:"&amp;B1708,"%","%25"),"~","%7E"),"*","%2A"),"?","%3F")))&lt;&gt;1),"",IF(OR(INDEX('Rules'!$B$7:$B$26,MATCH(SUBSTITUTE(SUBSTITUTE(SUBSTITUTE(SUBSTITUTE("type:"&amp;B1708,"%","%25"),"~","%7E"),"*","%2A"),"?","%3F"),'Rules'!$G$7:$G$26,0))="hours",INDEX('Rules'!$B$7:$B$26,MATCH(SUBSTITUTE(SUBSTITUTE(SUBSTITUTE(SUBSTITUTE("type:"&amp;B1708,"%","%25"),"~","%7E"),"*","%2A"),"?","%3F"),'Rules'!$G$7:$G$26,0))="km"),INDEX('Rules'!$B$7:$B$26,MATCH(SUBSTITUTE(SUBSTITUTE(SUBSTITUTE(SUBSTITUTE("type:"&amp;B1708,"%","%25"),"~","%7E"),"*","%2A"),"?","%3F"),'Rules'!$G$7:$G$26,0)),""))</x:f>
      </x:c>
      <x:c r="I1708" s="6" t="str">
        <x:f>IF(AND(NOT(COUNTA(A1708:F1708)=0),K1708=""),ROUND(J1708-D1708,3),"")</x:f>
      </x:c>
      <x:c r="J1708" s="6" t="str">
        <x:f>IF(AND(NOT(COUNTA(A1708:F1708)=0),K1708=""),ROUND(F1708+L1708,3),"")</x:f>
      </x:c>
      <x:c r="K1708" s="5" t="str">
        <x:f>IF(COUNTA(A1708:F1708)=0,"",IF(A1708="","Missing equipment ID",IF(COUNTIFS($N$8:$N$2007,"="&amp;N1708)&gt;1,"Duplicate equipment ID",IF(B1708="","Missing type",IF(COUNTIFS('Rules'!$G$7:$G$26,"="&amp;(SUBSTITUTE(SUBSTITUTE(SUBSTITUTE(SUBSTITUTE("type:"&amp;B1708,"%","%25"),"~","%7E"),"*","%2A"),"?","%3F")))=0,"Unknown type",IF(COUNTIFS('Rules'!$G$7:$G$26,"="&amp;(SUBSTITUTE(SUBSTITUTE(SUBSTITUTE(SUBSTITUTE("type:"&amp;B1708,"%","%25"),"~","%7E"),"*","%2A"),"?","%3F")))&gt;1,"Duplicate type",IF(INDEX('Rules'!$F$7:$F$26,MATCH(SUBSTITUTE(SUBSTITUTE(SUBSTITUTE(SUBSTITUTE("type:"&amp;B1708,"%","%25"),"~","%7E"),"*","%2A"),"?","%3F"),'Rules'!$G$7:$G$26,0))&lt;&gt;"",INDEX('Rules'!$F$7:$F$26,MATCH(SUBSTITUTE(SUBSTITUTE(SUBSTITUTE(SUBSTITUTE("type:"&amp;B1708,"%","%25"),"~","%7E"),"*","%2A"),"?","%3F"),'Rules'!$G$7:$G$26,0)),IF(AND(C1708&lt;&gt;"",C1708&lt;&gt;INDEX('Rules'!$B$7:$B$26,MATCH(SUBSTITUTE(SUBSTITUTE(SUBSTITUTE(SUBSTITUTE("type:"&amp;B1708,"%","%25"),"~","%7E"),"*","%2A"),"?","%3F"),'Rules'!$G$7:$G$26,0))),"Unit mismatch",IF(IF(NOT(ISNUMBER(D1708)),TRUE,OR(D1708&lt;0,D1708&gt;999999999,ROUND(D1708,3)&lt;&gt;D1708)),"Invalid current reading",IF(AND(E1708&lt;&gt;"",IF(NOT(ISNUMBER(E1708)),TRUE,OR(E1708&lt;0,E1708&gt;999999999,ROUND(E1708,3)&lt;&gt;E1708))),"Invalid previous reading",IF(IF(NOT(ISNUMBER(F1708)),TRUE,OR(F1708&lt;0,F1708&gt;999999999,ROUND(F1708,3)&lt;&gt;F1708)),"Invalid last service",IF(AND(E1708&lt;&gt;"",D1708&lt;E1708),"Decreased reading",IF(F1708&gt;D1708,"Last service above current","")))))))))))))</x:f>
      </x:c>
      <x:c r="L1708" s="6" t="str">
        <x:f>IF(AND(NOT(COUNTA(A1708:F1708)=0),K1708=""),INDEX('Rules'!$C$7:$C$26,MATCH(SUBSTITUTE(SUBSTITUTE(SUBSTITUTE(SUBSTITUTE("type:"&amp;B1708,"%","%25"),"~","%7E"),"*","%2A"),"?","%3F"),'Rules'!$G$7:$G$26,0)),"")</x:f>
      </x:c>
      <x:c r="M1708" s="6" t="str">
        <x:f>IF(AND(NOT(COUNTA(A1708:F1708)=0),K1708=""),INDEX('Rules'!$D$7:$D$26,MATCH(SUBSTITUTE(SUBSTITUTE(SUBSTITUTE(SUBSTITUTE("type:"&amp;B1708,"%","%25"),"~","%7E"),"*","%2A"),"?","%3F"),'Rules'!$G$7:$G$26,0)),"")</x:f>
      </x:c>
      <x:c r="N1708" s="5" t="str">
        <x:f>IF(COUNTA(A1708:F1708)=0,"",SUBSTITUTE(SUBSTITUTE(SUBSTITUTE(SUBSTITUTE("id:"&amp;A1708,"%","%25"),"~","%7E"),"*","%2A"),"?","%3F"))</x:f>
      </x:c>
    </x:row>
    <x:row r="1709" ht="22" customHeight="1">
      <x:c r="A1709" s="3"/>
      <x:c r="B1709" s="3"/>
      <x:c r="C1709" s="3"/>
      <x:c r="D1709" s="4"/>
      <x:c r="E1709" s="4"/>
      <x:c r="F1709" s="4"/>
      <x:c r="G1709" s="5" t="str">
        <x:f>IF(COUNTA(A1709:F1709)=0,"",IF(K1709&lt;&gt;"","Review",IF(I1709&lt;0,"Overdue",IF(I1709=0,"Due now",IF(I1709&lt;=M1709,"Due soon","Not due")))))</x:f>
      </x:c>
      <x:c r="H1709" s="5" t="str">
        <x:f>IF(OR(COUNTA(A1709:F1709)=0,COUNTIFS('Rules'!$G$7:$G$26,"="&amp;(SUBSTITUTE(SUBSTITUTE(SUBSTITUTE(SUBSTITUTE("type:"&amp;B1709,"%","%25"),"~","%7E"),"*","%2A"),"?","%3F")))&lt;&gt;1),"",IF(OR(INDEX('Rules'!$B$7:$B$26,MATCH(SUBSTITUTE(SUBSTITUTE(SUBSTITUTE(SUBSTITUTE("type:"&amp;B1709,"%","%25"),"~","%7E"),"*","%2A"),"?","%3F"),'Rules'!$G$7:$G$26,0))="hours",INDEX('Rules'!$B$7:$B$26,MATCH(SUBSTITUTE(SUBSTITUTE(SUBSTITUTE(SUBSTITUTE("type:"&amp;B1709,"%","%25"),"~","%7E"),"*","%2A"),"?","%3F"),'Rules'!$G$7:$G$26,0))="km"),INDEX('Rules'!$B$7:$B$26,MATCH(SUBSTITUTE(SUBSTITUTE(SUBSTITUTE(SUBSTITUTE("type:"&amp;B1709,"%","%25"),"~","%7E"),"*","%2A"),"?","%3F"),'Rules'!$G$7:$G$26,0)),""))</x:f>
      </x:c>
      <x:c r="I1709" s="6" t="str">
        <x:f>IF(AND(NOT(COUNTA(A1709:F1709)=0),K1709=""),ROUND(J1709-D1709,3),"")</x:f>
      </x:c>
      <x:c r="J1709" s="6" t="str">
        <x:f>IF(AND(NOT(COUNTA(A1709:F1709)=0),K1709=""),ROUND(F1709+L1709,3),"")</x:f>
      </x:c>
      <x:c r="K1709" s="5" t="str">
        <x:f>IF(COUNTA(A1709:F1709)=0,"",IF(A1709="","Missing equipment ID",IF(COUNTIFS($N$8:$N$2007,"="&amp;N1709)&gt;1,"Duplicate equipment ID",IF(B1709="","Missing type",IF(COUNTIFS('Rules'!$G$7:$G$26,"="&amp;(SUBSTITUTE(SUBSTITUTE(SUBSTITUTE(SUBSTITUTE("type:"&amp;B1709,"%","%25"),"~","%7E"),"*","%2A"),"?","%3F")))=0,"Unknown type",IF(COUNTIFS('Rules'!$G$7:$G$26,"="&amp;(SUBSTITUTE(SUBSTITUTE(SUBSTITUTE(SUBSTITUTE("type:"&amp;B1709,"%","%25"),"~","%7E"),"*","%2A"),"?","%3F")))&gt;1,"Duplicate type",IF(INDEX('Rules'!$F$7:$F$26,MATCH(SUBSTITUTE(SUBSTITUTE(SUBSTITUTE(SUBSTITUTE("type:"&amp;B1709,"%","%25"),"~","%7E"),"*","%2A"),"?","%3F"),'Rules'!$G$7:$G$26,0))&lt;&gt;"",INDEX('Rules'!$F$7:$F$26,MATCH(SUBSTITUTE(SUBSTITUTE(SUBSTITUTE(SUBSTITUTE("type:"&amp;B1709,"%","%25"),"~","%7E"),"*","%2A"),"?","%3F"),'Rules'!$G$7:$G$26,0)),IF(AND(C1709&lt;&gt;"",C1709&lt;&gt;INDEX('Rules'!$B$7:$B$26,MATCH(SUBSTITUTE(SUBSTITUTE(SUBSTITUTE(SUBSTITUTE("type:"&amp;B1709,"%","%25"),"~","%7E"),"*","%2A"),"?","%3F"),'Rules'!$G$7:$G$26,0))),"Unit mismatch",IF(IF(NOT(ISNUMBER(D1709)),TRUE,OR(D1709&lt;0,D1709&gt;999999999,ROUND(D1709,3)&lt;&gt;D1709)),"Invalid current reading",IF(AND(E1709&lt;&gt;"",IF(NOT(ISNUMBER(E1709)),TRUE,OR(E1709&lt;0,E1709&gt;999999999,ROUND(E1709,3)&lt;&gt;E1709))),"Invalid previous reading",IF(IF(NOT(ISNUMBER(F1709)),TRUE,OR(F1709&lt;0,F1709&gt;999999999,ROUND(F1709,3)&lt;&gt;F1709)),"Invalid last service",IF(AND(E1709&lt;&gt;"",D1709&lt;E1709),"Decreased reading",IF(F1709&gt;D1709,"Last service above current","")))))))))))))</x:f>
      </x:c>
      <x:c r="L1709" s="6" t="str">
        <x:f>IF(AND(NOT(COUNTA(A1709:F1709)=0),K1709=""),INDEX('Rules'!$C$7:$C$26,MATCH(SUBSTITUTE(SUBSTITUTE(SUBSTITUTE(SUBSTITUTE("type:"&amp;B1709,"%","%25"),"~","%7E"),"*","%2A"),"?","%3F"),'Rules'!$G$7:$G$26,0)),"")</x:f>
      </x:c>
      <x:c r="M1709" s="6" t="str">
        <x:f>IF(AND(NOT(COUNTA(A1709:F1709)=0),K1709=""),INDEX('Rules'!$D$7:$D$26,MATCH(SUBSTITUTE(SUBSTITUTE(SUBSTITUTE(SUBSTITUTE("type:"&amp;B1709,"%","%25"),"~","%7E"),"*","%2A"),"?","%3F"),'Rules'!$G$7:$G$26,0)),"")</x:f>
      </x:c>
      <x:c r="N1709" s="5" t="str">
        <x:f>IF(COUNTA(A1709:F1709)=0,"",SUBSTITUTE(SUBSTITUTE(SUBSTITUTE(SUBSTITUTE("id:"&amp;A1709,"%","%25"),"~","%7E"),"*","%2A"),"?","%3F"))</x:f>
      </x:c>
    </x:row>
    <x:row r="1710" ht="22" customHeight="1">
      <x:c r="A1710" s="3"/>
      <x:c r="B1710" s="3"/>
      <x:c r="C1710" s="3"/>
      <x:c r="D1710" s="4"/>
      <x:c r="E1710" s="4"/>
      <x:c r="F1710" s="4"/>
      <x:c r="G1710" s="5" t="str">
        <x:f>IF(COUNTA(A1710:F1710)=0,"",IF(K1710&lt;&gt;"","Review",IF(I1710&lt;0,"Overdue",IF(I1710=0,"Due now",IF(I1710&lt;=M1710,"Due soon","Not due")))))</x:f>
      </x:c>
      <x:c r="H1710" s="5" t="str">
        <x:f>IF(OR(COUNTA(A1710:F1710)=0,COUNTIFS('Rules'!$G$7:$G$26,"="&amp;(SUBSTITUTE(SUBSTITUTE(SUBSTITUTE(SUBSTITUTE("type:"&amp;B1710,"%","%25"),"~","%7E"),"*","%2A"),"?","%3F")))&lt;&gt;1),"",IF(OR(INDEX('Rules'!$B$7:$B$26,MATCH(SUBSTITUTE(SUBSTITUTE(SUBSTITUTE(SUBSTITUTE("type:"&amp;B1710,"%","%25"),"~","%7E"),"*","%2A"),"?","%3F"),'Rules'!$G$7:$G$26,0))="hours",INDEX('Rules'!$B$7:$B$26,MATCH(SUBSTITUTE(SUBSTITUTE(SUBSTITUTE(SUBSTITUTE("type:"&amp;B1710,"%","%25"),"~","%7E"),"*","%2A"),"?","%3F"),'Rules'!$G$7:$G$26,0))="km"),INDEX('Rules'!$B$7:$B$26,MATCH(SUBSTITUTE(SUBSTITUTE(SUBSTITUTE(SUBSTITUTE("type:"&amp;B1710,"%","%25"),"~","%7E"),"*","%2A"),"?","%3F"),'Rules'!$G$7:$G$26,0)),""))</x:f>
      </x:c>
      <x:c r="I1710" s="6" t="str">
        <x:f>IF(AND(NOT(COUNTA(A1710:F1710)=0),K1710=""),ROUND(J1710-D1710,3),"")</x:f>
      </x:c>
      <x:c r="J1710" s="6" t="str">
        <x:f>IF(AND(NOT(COUNTA(A1710:F1710)=0),K1710=""),ROUND(F1710+L1710,3),"")</x:f>
      </x:c>
      <x:c r="K1710" s="5" t="str">
        <x:f>IF(COUNTA(A1710:F1710)=0,"",IF(A1710="","Missing equipment ID",IF(COUNTIFS($N$8:$N$2007,"="&amp;N1710)&gt;1,"Duplicate equipment ID",IF(B1710="","Missing type",IF(COUNTIFS('Rules'!$G$7:$G$26,"="&amp;(SUBSTITUTE(SUBSTITUTE(SUBSTITUTE(SUBSTITUTE("type:"&amp;B1710,"%","%25"),"~","%7E"),"*","%2A"),"?","%3F")))=0,"Unknown type",IF(COUNTIFS('Rules'!$G$7:$G$26,"="&amp;(SUBSTITUTE(SUBSTITUTE(SUBSTITUTE(SUBSTITUTE("type:"&amp;B1710,"%","%25"),"~","%7E"),"*","%2A"),"?","%3F")))&gt;1,"Duplicate type",IF(INDEX('Rules'!$F$7:$F$26,MATCH(SUBSTITUTE(SUBSTITUTE(SUBSTITUTE(SUBSTITUTE("type:"&amp;B1710,"%","%25"),"~","%7E"),"*","%2A"),"?","%3F"),'Rules'!$G$7:$G$26,0))&lt;&gt;"",INDEX('Rules'!$F$7:$F$26,MATCH(SUBSTITUTE(SUBSTITUTE(SUBSTITUTE(SUBSTITUTE("type:"&amp;B1710,"%","%25"),"~","%7E"),"*","%2A"),"?","%3F"),'Rules'!$G$7:$G$26,0)),IF(AND(C1710&lt;&gt;"",C1710&lt;&gt;INDEX('Rules'!$B$7:$B$26,MATCH(SUBSTITUTE(SUBSTITUTE(SUBSTITUTE(SUBSTITUTE("type:"&amp;B1710,"%","%25"),"~","%7E"),"*","%2A"),"?","%3F"),'Rules'!$G$7:$G$26,0))),"Unit mismatch",IF(IF(NOT(ISNUMBER(D1710)),TRUE,OR(D1710&lt;0,D1710&gt;999999999,ROUND(D1710,3)&lt;&gt;D1710)),"Invalid current reading",IF(AND(E1710&lt;&gt;"",IF(NOT(ISNUMBER(E1710)),TRUE,OR(E1710&lt;0,E1710&gt;999999999,ROUND(E1710,3)&lt;&gt;E1710))),"Invalid previous reading",IF(IF(NOT(ISNUMBER(F1710)),TRUE,OR(F1710&lt;0,F1710&gt;999999999,ROUND(F1710,3)&lt;&gt;F1710)),"Invalid last service",IF(AND(E1710&lt;&gt;"",D1710&lt;E1710),"Decreased reading",IF(F1710&gt;D1710,"Last service above current","")))))))))))))</x:f>
      </x:c>
      <x:c r="L1710" s="6" t="str">
        <x:f>IF(AND(NOT(COUNTA(A1710:F1710)=0),K1710=""),INDEX('Rules'!$C$7:$C$26,MATCH(SUBSTITUTE(SUBSTITUTE(SUBSTITUTE(SUBSTITUTE("type:"&amp;B1710,"%","%25"),"~","%7E"),"*","%2A"),"?","%3F"),'Rules'!$G$7:$G$26,0)),"")</x:f>
      </x:c>
      <x:c r="M1710" s="6" t="str">
        <x:f>IF(AND(NOT(COUNTA(A1710:F1710)=0),K1710=""),INDEX('Rules'!$D$7:$D$26,MATCH(SUBSTITUTE(SUBSTITUTE(SUBSTITUTE(SUBSTITUTE("type:"&amp;B1710,"%","%25"),"~","%7E"),"*","%2A"),"?","%3F"),'Rules'!$G$7:$G$26,0)),"")</x:f>
      </x:c>
      <x:c r="N1710" s="5" t="str">
        <x:f>IF(COUNTA(A1710:F1710)=0,"",SUBSTITUTE(SUBSTITUTE(SUBSTITUTE(SUBSTITUTE("id:"&amp;A1710,"%","%25"),"~","%7E"),"*","%2A"),"?","%3F"))</x:f>
      </x:c>
    </x:row>
    <x:row r="1711" ht="22" customHeight="1">
      <x:c r="A1711" s="3"/>
      <x:c r="B1711" s="3"/>
      <x:c r="C1711" s="3"/>
      <x:c r="D1711" s="4"/>
      <x:c r="E1711" s="4"/>
      <x:c r="F1711" s="4"/>
      <x:c r="G1711" s="5" t="str">
        <x:f>IF(COUNTA(A1711:F1711)=0,"",IF(K1711&lt;&gt;"","Review",IF(I1711&lt;0,"Overdue",IF(I1711=0,"Due now",IF(I1711&lt;=M1711,"Due soon","Not due")))))</x:f>
      </x:c>
      <x:c r="H1711" s="5" t="str">
        <x:f>IF(OR(COUNTA(A1711:F1711)=0,COUNTIFS('Rules'!$G$7:$G$26,"="&amp;(SUBSTITUTE(SUBSTITUTE(SUBSTITUTE(SUBSTITUTE("type:"&amp;B1711,"%","%25"),"~","%7E"),"*","%2A"),"?","%3F")))&lt;&gt;1),"",IF(OR(INDEX('Rules'!$B$7:$B$26,MATCH(SUBSTITUTE(SUBSTITUTE(SUBSTITUTE(SUBSTITUTE("type:"&amp;B1711,"%","%25"),"~","%7E"),"*","%2A"),"?","%3F"),'Rules'!$G$7:$G$26,0))="hours",INDEX('Rules'!$B$7:$B$26,MATCH(SUBSTITUTE(SUBSTITUTE(SUBSTITUTE(SUBSTITUTE("type:"&amp;B1711,"%","%25"),"~","%7E"),"*","%2A"),"?","%3F"),'Rules'!$G$7:$G$26,0))="km"),INDEX('Rules'!$B$7:$B$26,MATCH(SUBSTITUTE(SUBSTITUTE(SUBSTITUTE(SUBSTITUTE("type:"&amp;B1711,"%","%25"),"~","%7E"),"*","%2A"),"?","%3F"),'Rules'!$G$7:$G$26,0)),""))</x:f>
      </x:c>
      <x:c r="I1711" s="6" t="str">
        <x:f>IF(AND(NOT(COUNTA(A1711:F1711)=0),K1711=""),ROUND(J1711-D1711,3),"")</x:f>
      </x:c>
      <x:c r="J1711" s="6" t="str">
        <x:f>IF(AND(NOT(COUNTA(A1711:F1711)=0),K1711=""),ROUND(F1711+L1711,3),"")</x:f>
      </x:c>
      <x:c r="K1711" s="5" t="str">
        <x:f>IF(COUNTA(A1711:F1711)=0,"",IF(A1711="","Missing equipment ID",IF(COUNTIFS($N$8:$N$2007,"="&amp;N1711)&gt;1,"Duplicate equipment ID",IF(B1711="","Missing type",IF(COUNTIFS('Rules'!$G$7:$G$26,"="&amp;(SUBSTITUTE(SUBSTITUTE(SUBSTITUTE(SUBSTITUTE("type:"&amp;B1711,"%","%25"),"~","%7E"),"*","%2A"),"?","%3F")))=0,"Unknown type",IF(COUNTIFS('Rules'!$G$7:$G$26,"="&amp;(SUBSTITUTE(SUBSTITUTE(SUBSTITUTE(SUBSTITUTE("type:"&amp;B1711,"%","%25"),"~","%7E"),"*","%2A"),"?","%3F")))&gt;1,"Duplicate type",IF(INDEX('Rules'!$F$7:$F$26,MATCH(SUBSTITUTE(SUBSTITUTE(SUBSTITUTE(SUBSTITUTE("type:"&amp;B1711,"%","%25"),"~","%7E"),"*","%2A"),"?","%3F"),'Rules'!$G$7:$G$26,0))&lt;&gt;"",INDEX('Rules'!$F$7:$F$26,MATCH(SUBSTITUTE(SUBSTITUTE(SUBSTITUTE(SUBSTITUTE("type:"&amp;B1711,"%","%25"),"~","%7E"),"*","%2A"),"?","%3F"),'Rules'!$G$7:$G$26,0)),IF(AND(C1711&lt;&gt;"",C1711&lt;&gt;INDEX('Rules'!$B$7:$B$26,MATCH(SUBSTITUTE(SUBSTITUTE(SUBSTITUTE(SUBSTITUTE("type:"&amp;B1711,"%","%25"),"~","%7E"),"*","%2A"),"?","%3F"),'Rules'!$G$7:$G$26,0))),"Unit mismatch",IF(IF(NOT(ISNUMBER(D1711)),TRUE,OR(D1711&lt;0,D1711&gt;999999999,ROUND(D1711,3)&lt;&gt;D1711)),"Invalid current reading",IF(AND(E1711&lt;&gt;"",IF(NOT(ISNUMBER(E1711)),TRUE,OR(E1711&lt;0,E1711&gt;999999999,ROUND(E1711,3)&lt;&gt;E1711))),"Invalid previous reading",IF(IF(NOT(ISNUMBER(F1711)),TRUE,OR(F1711&lt;0,F1711&gt;999999999,ROUND(F1711,3)&lt;&gt;F1711)),"Invalid last service",IF(AND(E1711&lt;&gt;"",D1711&lt;E1711),"Decreased reading",IF(F1711&gt;D1711,"Last service above current","")))))))))))))</x:f>
      </x:c>
      <x:c r="L1711" s="6" t="str">
        <x:f>IF(AND(NOT(COUNTA(A1711:F1711)=0),K1711=""),INDEX('Rules'!$C$7:$C$26,MATCH(SUBSTITUTE(SUBSTITUTE(SUBSTITUTE(SUBSTITUTE("type:"&amp;B1711,"%","%25"),"~","%7E"),"*","%2A"),"?","%3F"),'Rules'!$G$7:$G$26,0)),"")</x:f>
      </x:c>
      <x:c r="M1711" s="6" t="str">
        <x:f>IF(AND(NOT(COUNTA(A1711:F1711)=0),K1711=""),INDEX('Rules'!$D$7:$D$26,MATCH(SUBSTITUTE(SUBSTITUTE(SUBSTITUTE(SUBSTITUTE("type:"&amp;B1711,"%","%25"),"~","%7E"),"*","%2A"),"?","%3F"),'Rules'!$G$7:$G$26,0)),"")</x:f>
      </x:c>
      <x:c r="N1711" s="5" t="str">
        <x:f>IF(COUNTA(A1711:F1711)=0,"",SUBSTITUTE(SUBSTITUTE(SUBSTITUTE(SUBSTITUTE("id:"&amp;A1711,"%","%25"),"~","%7E"),"*","%2A"),"?","%3F"))</x:f>
      </x:c>
    </x:row>
    <x:row r="1712" ht="22" customHeight="1">
      <x:c r="A1712" s="3"/>
      <x:c r="B1712" s="3"/>
      <x:c r="C1712" s="3"/>
      <x:c r="D1712" s="4"/>
      <x:c r="E1712" s="4"/>
      <x:c r="F1712" s="4"/>
      <x:c r="G1712" s="5" t="str">
        <x:f>IF(COUNTA(A1712:F1712)=0,"",IF(K1712&lt;&gt;"","Review",IF(I1712&lt;0,"Overdue",IF(I1712=0,"Due now",IF(I1712&lt;=M1712,"Due soon","Not due")))))</x:f>
      </x:c>
      <x:c r="H1712" s="5" t="str">
        <x:f>IF(OR(COUNTA(A1712:F1712)=0,COUNTIFS('Rules'!$G$7:$G$26,"="&amp;(SUBSTITUTE(SUBSTITUTE(SUBSTITUTE(SUBSTITUTE("type:"&amp;B1712,"%","%25"),"~","%7E"),"*","%2A"),"?","%3F")))&lt;&gt;1),"",IF(OR(INDEX('Rules'!$B$7:$B$26,MATCH(SUBSTITUTE(SUBSTITUTE(SUBSTITUTE(SUBSTITUTE("type:"&amp;B1712,"%","%25"),"~","%7E"),"*","%2A"),"?","%3F"),'Rules'!$G$7:$G$26,0))="hours",INDEX('Rules'!$B$7:$B$26,MATCH(SUBSTITUTE(SUBSTITUTE(SUBSTITUTE(SUBSTITUTE("type:"&amp;B1712,"%","%25"),"~","%7E"),"*","%2A"),"?","%3F"),'Rules'!$G$7:$G$26,0))="km"),INDEX('Rules'!$B$7:$B$26,MATCH(SUBSTITUTE(SUBSTITUTE(SUBSTITUTE(SUBSTITUTE("type:"&amp;B1712,"%","%25"),"~","%7E"),"*","%2A"),"?","%3F"),'Rules'!$G$7:$G$26,0)),""))</x:f>
      </x:c>
      <x:c r="I1712" s="6" t="str">
        <x:f>IF(AND(NOT(COUNTA(A1712:F1712)=0),K1712=""),ROUND(J1712-D1712,3),"")</x:f>
      </x:c>
      <x:c r="J1712" s="6" t="str">
        <x:f>IF(AND(NOT(COUNTA(A1712:F1712)=0),K1712=""),ROUND(F1712+L1712,3),"")</x:f>
      </x:c>
      <x:c r="K1712" s="5" t="str">
        <x:f>IF(COUNTA(A1712:F1712)=0,"",IF(A1712="","Missing equipment ID",IF(COUNTIFS($N$8:$N$2007,"="&amp;N1712)&gt;1,"Duplicate equipment ID",IF(B1712="","Missing type",IF(COUNTIFS('Rules'!$G$7:$G$26,"="&amp;(SUBSTITUTE(SUBSTITUTE(SUBSTITUTE(SUBSTITUTE("type:"&amp;B1712,"%","%25"),"~","%7E"),"*","%2A"),"?","%3F")))=0,"Unknown type",IF(COUNTIFS('Rules'!$G$7:$G$26,"="&amp;(SUBSTITUTE(SUBSTITUTE(SUBSTITUTE(SUBSTITUTE("type:"&amp;B1712,"%","%25"),"~","%7E"),"*","%2A"),"?","%3F")))&gt;1,"Duplicate type",IF(INDEX('Rules'!$F$7:$F$26,MATCH(SUBSTITUTE(SUBSTITUTE(SUBSTITUTE(SUBSTITUTE("type:"&amp;B1712,"%","%25"),"~","%7E"),"*","%2A"),"?","%3F"),'Rules'!$G$7:$G$26,0))&lt;&gt;"",INDEX('Rules'!$F$7:$F$26,MATCH(SUBSTITUTE(SUBSTITUTE(SUBSTITUTE(SUBSTITUTE("type:"&amp;B1712,"%","%25"),"~","%7E"),"*","%2A"),"?","%3F"),'Rules'!$G$7:$G$26,0)),IF(AND(C1712&lt;&gt;"",C1712&lt;&gt;INDEX('Rules'!$B$7:$B$26,MATCH(SUBSTITUTE(SUBSTITUTE(SUBSTITUTE(SUBSTITUTE("type:"&amp;B1712,"%","%25"),"~","%7E"),"*","%2A"),"?","%3F"),'Rules'!$G$7:$G$26,0))),"Unit mismatch",IF(IF(NOT(ISNUMBER(D1712)),TRUE,OR(D1712&lt;0,D1712&gt;999999999,ROUND(D1712,3)&lt;&gt;D1712)),"Invalid current reading",IF(AND(E1712&lt;&gt;"",IF(NOT(ISNUMBER(E1712)),TRUE,OR(E1712&lt;0,E1712&gt;999999999,ROUND(E1712,3)&lt;&gt;E1712))),"Invalid previous reading",IF(IF(NOT(ISNUMBER(F1712)),TRUE,OR(F1712&lt;0,F1712&gt;999999999,ROUND(F1712,3)&lt;&gt;F1712)),"Invalid last service",IF(AND(E1712&lt;&gt;"",D1712&lt;E1712),"Decreased reading",IF(F1712&gt;D1712,"Last service above current","")))))))))))))</x:f>
      </x:c>
      <x:c r="L1712" s="6" t="str">
        <x:f>IF(AND(NOT(COUNTA(A1712:F1712)=0),K1712=""),INDEX('Rules'!$C$7:$C$26,MATCH(SUBSTITUTE(SUBSTITUTE(SUBSTITUTE(SUBSTITUTE("type:"&amp;B1712,"%","%25"),"~","%7E"),"*","%2A"),"?","%3F"),'Rules'!$G$7:$G$26,0)),"")</x:f>
      </x:c>
      <x:c r="M1712" s="6" t="str">
        <x:f>IF(AND(NOT(COUNTA(A1712:F1712)=0),K1712=""),INDEX('Rules'!$D$7:$D$26,MATCH(SUBSTITUTE(SUBSTITUTE(SUBSTITUTE(SUBSTITUTE("type:"&amp;B1712,"%","%25"),"~","%7E"),"*","%2A"),"?","%3F"),'Rules'!$G$7:$G$26,0)),"")</x:f>
      </x:c>
      <x:c r="N1712" s="5" t="str">
        <x:f>IF(COUNTA(A1712:F1712)=0,"",SUBSTITUTE(SUBSTITUTE(SUBSTITUTE(SUBSTITUTE("id:"&amp;A1712,"%","%25"),"~","%7E"),"*","%2A"),"?","%3F"))</x:f>
      </x:c>
    </x:row>
    <x:row r="1713" ht="22" customHeight="1">
      <x:c r="A1713" s="3"/>
      <x:c r="B1713" s="3"/>
      <x:c r="C1713" s="3"/>
      <x:c r="D1713" s="4"/>
      <x:c r="E1713" s="4"/>
      <x:c r="F1713" s="4"/>
      <x:c r="G1713" s="5" t="str">
        <x:f>IF(COUNTA(A1713:F1713)=0,"",IF(K1713&lt;&gt;"","Review",IF(I1713&lt;0,"Overdue",IF(I1713=0,"Due now",IF(I1713&lt;=M1713,"Due soon","Not due")))))</x:f>
      </x:c>
      <x:c r="H1713" s="5" t="str">
        <x:f>IF(OR(COUNTA(A1713:F1713)=0,COUNTIFS('Rules'!$G$7:$G$26,"="&amp;(SUBSTITUTE(SUBSTITUTE(SUBSTITUTE(SUBSTITUTE("type:"&amp;B1713,"%","%25"),"~","%7E"),"*","%2A"),"?","%3F")))&lt;&gt;1),"",IF(OR(INDEX('Rules'!$B$7:$B$26,MATCH(SUBSTITUTE(SUBSTITUTE(SUBSTITUTE(SUBSTITUTE("type:"&amp;B1713,"%","%25"),"~","%7E"),"*","%2A"),"?","%3F"),'Rules'!$G$7:$G$26,0))="hours",INDEX('Rules'!$B$7:$B$26,MATCH(SUBSTITUTE(SUBSTITUTE(SUBSTITUTE(SUBSTITUTE("type:"&amp;B1713,"%","%25"),"~","%7E"),"*","%2A"),"?","%3F"),'Rules'!$G$7:$G$26,0))="km"),INDEX('Rules'!$B$7:$B$26,MATCH(SUBSTITUTE(SUBSTITUTE(SUBSTITUTE(SUBSTITUTE("type:"&amp;B1713,"%","%25"),"~","%7E"),"*","%2A"),"?","%3F"),'Rules'!$G$7:$G$26,0)),""))</x:f>
      </x:c>
      <x:c r="I1713" s="6" t="str">
        <x:f>IF(AND(NOT(COUNTA(A1713:F1713)=0),K1713=""),ROUND(J1713-D1713,3),"")</x:f>
      </x:c>
      <x:c r="J1713" s="6" t="str">
        <x:f>IF(AND(NOT(COUNTA(A1713:F1713)=0),K1713=""),ROUND(F1713+L1713,3),"")</x:f>
      </x:c>
      <x:c r="K1713" s="5" t="str">
        <x:f>IF(COUNTA(A1713:F1713)=0,"",IF(A1713="","Missing equipment ID",IF(COUNTIFS($N$8:$N$2007,"="&amp;N1713)&gt;1,"Duplicate equipment ID",IF(B1713="","Missing type",IF(COUNTIFS('Rules'!$G$7:$G$26,"="&amp;(SUBSTITUTE(SUBSTITUTE(SUBSTITUTE(SUBSTITUTE("type:"&amp;B1713,"%","%25"),"~","%7E"),"*","%2A"),"?","%3F")))=0,"Unknown type",IF(COUNTIFS('Rules'!$G$7:$G$26,"="&amp;(SUBSTITUTE(SUBSTITUTE(SUBSTITUTE(SUBSTITUTE("type:"&amp;B1713,"%","%25"),"~","%7E"),"*","%2A"),"?","%3F")))&gt;1,"Duplicate type",IF(INDEX('Rules'!$F$7:$F$26,MATCH(SUBSTITUTE(SUBSTITUTE(SUBSTITUTE(SUBSTITUTE("type:"&amp;B1713,"%","%25"),"~","%7E"),"*","%2A"),"?","%3F"),'Rules'!$G$7:$G$26,0))&lt;&gt;"",INDEX('Rules'!$F$7:$F$26,MATCH(SUBSTITUTE(SUBSTITUTE(SUBSTITUTE(SUBSTITUTE("type:"&amp;B1713,"%","%25"),"~","%7E"),"*","%2A"),"?","%3F"),'Rules'!$G$7:$G$26,0)),IF(AND(C1713&lt;&gt;"",C1713&lt;&gt;INDEX('Rules'!$B$7:$B$26,MATCH(SUBSTITUTE(SUBSTITUTE(SUBSTITUTE(SUBSTITUTE("type:"&amp;B1713,"%","%25"),"~","%7E"),"*","%2A"),"?","%3F"),'Rules'!$G$7:$G$26,0))),"Unit mismatch",IF(IF(NOT(ISNUMBER(D1713)),TRUE,OR(D1713&lt;0,D1713&gt;999999999,ROUND(D1713,3)&lt;&gt;D1713)),"Invalid current reading",IF(AND(E1713&lt;&gt;"",IF(NOT(ISNUMBER(E1713)),TRUE,OR(E1713&lt;0,E1713&gt;999999999,ROUND(E1713,3)&lt;&gt;E1713))),"Invalid previous reading",IF(IF(NOT(ISNUMBER(F1713)),TRUE,OR(F1713&lt;0,F1713&gt;999999999,ROUND(F1713,3)&lt;&gt;F1713)),"Invalid last service",IF(AND(E1713&lt;&gt;"",D1713&lt;E1713),"Decreased reading",IF(F1713&gt;D1713,"Last service above current","")))))))))))))</x:f>
      </x:c>
      <x:c r="L1713" s="6" t="str">
        <x:f>IF(AND(NOT(COUNTA(A1713:F1713)=0),K1713=""),INDEX('Rules'!$C$7:$C$26,MATCH(SUBSTITUTE(SUBSTITUTE(SUBSTITUTE(SUBSTITUTE("type:"&amp;B1713,"%","%25"),"~","%7E"),"*","%2A"),"?","%3F"),'Rules'!$G$7:$G$26,0)),"")</x:f>
      </x:c>
      <x:c r="M1713" s="6" t="str">
        <x:f>IF(AND(NOT(COUNTA(A1713:F1713)=0),K1713=""),INDEX('Rules'!$D$7:$D$26,MATCH(SUBSTITUTE(SUBSTITUTE(SUBSTITUTE(SUBSTITUTE("type:"&amp;B1713,"%","%25"),"~","%7E"),"*","%2A"),"?","%3F"),'Rules'!$G$7:$G$26,0)),"")</x:f>
      </x:c>
      <x:c r="N1713" s="5" t="str">
        <x:f>IF(COUNTA(A1713:F1713)=0,"",SUBSTITUTE(SUBSTITUTE(SUBSTITUTE(SUBSTITUTE("id:"&amp;A1713,"%","%25"),"~","%7E"),"*","%2A"),"?","%3F"))</x:f>
      </x:c>
    </x:row>
    <x:row r="1714" ht="22" customHeight="1">
      <x:c r="A1714" s="3"/>
      <x:c r="B1714" s="3"/>
      <x:c r="C1714" s="3"/>
      <x:c r="D1714" s="4"/>
      <x:c r="E1714" s="4"/>
      <x:c r="F1714" s="4"/>
      <x:c r="G1714" s="5" t="str">
        <x:f>IF(COUNTA(A1714:F1714)=0,"",IF(K1714&lt;&gt;"","Review",IF(I1714&lt;0,"Overdue",IF(I1714=0,"Due now",IF(I1714&lt;=M1714,"Due soon","Not due")))))</x:f>
      </x:c>
      <x:c r="H1714" s="5" t="str">
        <x:f>IF(OR(COUNTA(A1714:F1714)=0,COUNTIFS('Rules'!$G$7:$G$26,"="&amp;(SUBSTITUTE(SUBSTITUTE(SUBSTITUTE(SUBSTITUTE("type:"&amp;B1714,"%","%25"),"~","%7E"),"*","%2A"),"?","%3F")))&lt;&gt;1),"",IF(OR(INDEX('Rules'!$B$7:$B$26,MATCH(SUBSTITUTE(SUBSTITUTE(SUBSTITUTE(SUBSTITUTE("type:"&amp;B1714,"%","%25"),"~","%7E"),"*","%2A"),"?","%3F"),'Rules'!$G$7:$G$26,0))="hours",INDEX('Rules'!$B$7:$B$26,MATCH(SUBSTITUTE(SUBSTITUTE(SUBSTITUTE(SUBSTITUTE("type:"&amp;B1714,"%","%25"),"~","%7E"),"*","%2A"),"?","%3F"),'Rules'!$G$7:$G$26,0))="km"),INDEX('Rules'!$B$7:$B$26,MATCH(SUBSTITUTE(SUBSTITUTE(SUBSTITUTE(SUBSTITUTE("type:"&amp;B1714,"%","%25"),"~","%7E"),"*","%2A"),"?","%3F"),'Rules'!$G$7:$G$26,0)),""))</x:f>
      </x:c>
      <x:c r="I1714" s="6" t="str">
        <x:f>IF(AND(NOT(COUNTA(A1714:F1714)=0),K1714=""),ROUND(J1714-D1714,3),"")</x:f>
      </x:c>
      <x:c r="J1714" s="6" t="str">
        <x:f>IF(AND(NOT(COUNTA(A1714:F1714)=0),K1714=""),ROUND(F1714+L1714,3),"")</x:f>
      </x:c>
      <x:c r="K1714" s="5" t="str">
        <x:f>IF(COUNTA(A1714:F1714)=0,"",IF(A1714="","Missing equipment ID",IF(COUNTIFS($N$8:$N$2007,"="&amp;N1714)&gt;1,"Duplicate equipment ID",IF(B1714="","Missing type",IF(COUNTIFS('Rules'!$G$7:$G$26,"="&amp;(SUBSTITUTE(SUBSTITUTE(SUBSTITUTE(SUBSTITUTE("type:"&amp;B1714,"%","%25"),"~","%7E"),"*","%2A"),"?","%3F")))=0,"Unknown type",IF(COUNTIFS('Rules'!$G$7:$G$26,"="&amp;(SUBSTITUTE(SUBSTITUTE(SUBSTITUTE(SUBSTITUTE("type:"&amp;B1714,"%","%25"),"~","%7E"),"*","%2A"),"?","%3F")))&gt;1,"Duplicate type",IF(INDEX('Rules'!$F$7:$F$26,MATCH(SUBSTITUTE(SUBSTITUTE(SUBSTITUTE(SUBSTITUTE("type:"&amp;B1714,"%","%25"),"~","%7E"),"*","%2A"),"?","%3F"),'Rules'!$G$7:$G$26,0))&lt;&gt;"",INDEX('Rules'!$F$7:$F$26,MATCH(SUBSTITUTE(SUBSTITUTE(SUBSTITUTE(SUBSTITUTE("type:"&amp;B1714,"%","%25"),"~","%7E"),"*","%2A"),"?","%3F"),'Rules'!$G$7:$G$26,0)),IF(AND(C1714&lt;&gt;"",C1714&lt;&gt;INDEX('Rules'!$B$7:$B$26,MATCH(SUBSTITUTE(SUBSTITUTE(SUBSTITUTE(SUBSTITUTE("type:"&amp;B1714,"%","%25"),"~","%7E"),"*","%2A"),"?","%3F"),'Rules'!$G$7:$G$26,0))),"Unit mismatch",IF(IF(NOT(ISNUMBER(D1714)),TRUE,OR(D1714&lt;0,D1714&gt;999999999,ROUND(D1714,3)&lt;&gt;D1714)),"Invalid current reading",IF(AND(E1714&lt;&gt;"",IF(NOT(ISNUMBER(E1714)),TRUE,OR(E1714&lt;0,E1714&gt;999999999,ROUND(E1714,3)&lt;&gt;E1714))),"Invalid previous reading",IF(IF(NOT(ISNUMBER(F1714)),TRUE,OR(F1714&lt;0,F1714&gt;999999999,ROUND(F1714,3)&lt;&gt;F1714)),"Invalid last service",IF(AND(E1714&lt;&gt;"",D1714&lt;E1714),"Decreased reading",IF(F1714&gt;D1714,"Last service above current","")))))))))))))</x:f>
      </x:c>
      <x:c r="L1714" s="6" t="str">
        <x:f>IF(AND(NOT(COUNTA(A1714:F1714)=0),K1714=""),INDEX('Rules'!$C$7:$C$26,MATCH(SUBSTITUTE(SUBSTITUTE(SUBSTITUTE(SUBSTITUTE("type:"&amp;B1714,"%","%25"),"~","%7E"),"*","%2A"),"?","%3F"),'Rules'!$G$7:$G$26,0)),"")</x:f>
      </x:c>
      <x:c r="M1714" s="6" t="str">
        <x:f>IF(AND(NOT(COUNTA(A1714:F1714)=0),K1714=""),INDEX('Rules'!$D$7:$D$26,MATCH(SUBSTITUTE(SUBSTITUTE(SUBSTITUTE(SUBSTITUTE("type:"&amp;B1714,"%","%25"),"~","%7E"),"*","%2A"),"?","%3F"),'Rules'!$G$7:$G$26,0)),"")</x:f>
      </x:c>
      <x:c r="N1714" s="5" t="str">
        <x:f>IF(COUNTA(A1714:F1714)=0,"",SUBSTITUTE(SUBSTITUTE(SUBSTITUTE(SUBSTITUTE("id:"&amp;A1714,"%","%25"),"~","%7E"),"*","%2A"),"?","%3F"))</x:f>
      </x:c>
    </x:row>
    <x:row r="1715" ht="22" customHeight="1">
      <x:c r="A1715" s="3"/>
      <x:c r="B1715" s="3"/>
      <x:c r="C1715" s="3"/>
      <x:c r="D1715" s="4"/>
      <x:c r="E1715" s="4"/>
      <x:c r="F1715" s="4"/>
      <x:c r="G1715" s="5" t="str">
        <x:f>IF(COUNTA(A1715:F1715)=0,"",IF(K1715&lt;&gt;"","Review",IF(I1715&lt;0,"Overdue",IF(I1715=0,"Due now",IF(I1715&lt;=M1715,"Due soon","Not due")))))</x:f>
      </x:c>
      <x:c r="H1715" s="5" t="str">
        <x:f>IF(OR(COUNTA(A1715:F1715)=0,COUNTIFS('Rules'!$G$7:$G$26,"="&amp;(SUBSTITUTE(SUBSTITUTE(SUBSTITUTE(SUBSTITUTE("type:"&amp;B1715,"%","%25"),"~","%7E"),"*","%2A"),"?","%3F")))&lt;&gt;1),"",IF(OR(INDEX('Rules'!$B$7:$B$26,MATCH(SUBSTITUTE(SUBSTITUTE(SUBSTITUTE(SUBSTITUTE("type:"&amp;B1715,"%","%25"),"~","%7E"),"*","%2A"),"?","%3F"),'Rules'!$G$7:$G$26,0))="hours",INDEX('Rules'!$B$7:$B$26,MATCH(SUBSTITUTE(SUBSTITUTE(SUBSTITUTE(SUBSTITUTE("type:"&amp;B1715,"%","%25"),"~","%7E"),"*","%2A"),"?","%3F"),'Rules'!$G$7:$G$26,0))="km"),INDEX('Rules'!$B$7:$B$26,MATCH(SUBSTITUTE(SUBSTITUTE(SUBSTITUTE(SUBSTITUTE("type:"&amp;B1715,"%","%25"),"~","%7E"),"*","%2A"),"?","%3F"),'Rules'!$G$7:$G$26,0)),""))</x:f>
      </x:c>
      <x:c r="I1715" s="6" t="str">
        <x:f>IF(AND(NOT(COUNTA(A1715:F1715)=0),K1715=""),ROUND(J1715-D1715,3),"")</x:f>
      </x:c>
      <x:c r="J1715" s="6" t="str">
        <x:f>IF(AND(NOT(COUNTA(A1715:F1715)=0),K1715=""),ROUND(F1715+L1715,3),"")</x:f>
      </x:c>
      <x:c r="K1715" s="5" t="str">
        <x:f>IF(COUNTA(A1715:F1715)=0,"",IF(A1715="","Missing equipment ID",IF(COUNTIFS($N$8:$N$2007,"="&amp;N1715)&gt;1,"Duplicate equipment ID",IF(B1715="","Missing type",IF(COUNTIFS('Rules'!$G$7:$G$26,"="&amp;(SUBSTITUTE(SUBSTITUTE(SUBSTITUTE(SUBSTITUTE("type:"&amp;B1715,"%","%25"),"~","%7E"),"*","%2A"),"?","%3F")))=0,"Unknown type",IF(COUNTIFS('Rules'!$G$7:$G$26,"="&amp;(SUBSTITUTE(SUBSTITUTE(SUBSTITUTE(SUBSTITUTE("type:"&amp;B1715,"%","%25"),"~","%7E"),"*","%2A"),"?","%3F")))&gt;1,"Duplicate type",IF(INDEX('Rules'!$F$7:$F$26,MATCH(SUBSTITUTE(SUBSTITUTE(SUBSTITUTE(SUBSTITUTE("type:"&amp;B1715,"%","%25"),"~","%7E"),"*","%2A"),"?","%3F"),'Rules'!$G$7:$G$26,0))&lt;&gt;"",INDEX('Rules'!$F$7:$F$26,MATCH(SUBSTITUTE(SUBSTITUTE(SUBSTITUTE(SUBSTITUTE("type:"&amp;B1715,"%","%25"),"~","%7E"),"*","%2A"),"?","%3F"),'Rules'!$G$7:$G$26,0)),IF(AND(C1715&lt;&gt;"",C1715&lt;&gt;INDEX('Rules'!$B$7:$B$26,MATCH(SUBSTITUTE(SUBSTITUTE(SUBSTITUTE(SUBSTITUTE("type:"&amp;B1715,"%","%25"),"~","%7E"),"*","%2A"),"?","%3F"),'Rules'!$G$7:$G$26,0))),"Unit mismatch",IF(IF(NOT(ISNUMBER(D1715)),TRUE,OR(D1715&lt;0,D1715&gt;999999999,ROUND(D1715,3)&lt;&gt;D1715)),"Invalid current reading",IF(AND(E1715&lt;&gt;"",IF(NOT(ISNUMBER(E1715)),TRUE,OR(E1715&lt;0,E1715&gt;999999999,ROUND(E1715,3)&lt;&gt;E1715))),"Invalid previous reading",IF(IF(NOT(ISNUMBER(F1715)),TRUE,OR(F1715&lt;0,F1715&gt;999999999,ROUND(F1715,3)&lt;&gt;F1715)),"Invalid last service",IF(AND(E1715&lt;&gt;"",D1715&lt;E1715),"Decreased reading",IF(F1715&gt;D1715,"Last service above current","")))))))))))))</x:f>
      </x:c>
      <x:c r="L1715" s="6" t="str">
        <x:f>IF(AND(NOT(COUNTA(A1715:F1715)=0),K1715=""),INDEX('Rules'!$C$7:$C$26,MATCH(SUBSTITUTE(SUBSTITUTE(SUBSTITUTE(SUBSTITUTE("type:"&amp;B1715,"%","%25"),"~","%7E"),"*","%2A"),"?","%3F"),'Rules'!$G$7:$G$26,0)),"")</x:f>
      </x:c>
      <x:c r="M1715" s="6" t="str">
        <x:f>IF(AND(NOT(COUNTA(A1715:F1715)=0),K1715=""),INDEX('Rules'!$D$7:$D$26,MATCH(SUBSTITUTE(SUBSTITUTE(SUBSTITUTE(SUBSTITUTE("type:"&amp;B1715,"%","%25"),"~","%7E"),"*","%2A"),"?","%3F"),'Rules'!$G$7:$G$26,0)),"")</x:f>
      </x:c>
      <x:c r="N1715" s="5" t="str">
        <x:f>IF(COUNTA(A1715:F1715)=0,"",SUBSTITUTE(SUBSTITUTE(SUBSTITUTE(SUBSTITUTE("id:"&amp;A1715,"%","%25"),"~","%7E"),"*","%2A"),"?","%3F"))</x:f>
      </x:c>
    </x:row>
    <x:row r="1716" ht="22" customHeight="1">
      <x:c r="A1716" s="3"/>
      <x:c r="B1716" s="3"/>
      <x:c r="C1716" s="3"/>
      <x:c r="D1716" s="4"/>
      <x:c r="E1716" s="4"/>
      <x:c r="F1716" s="4"/>
      <x:c r="G1716" s="5" t="str">
        <x:f>IF(COUNTA(A1716:F1716)=0,"",IF(K1716&lt;&gt;"","Review",IF(I1716&lt;0,"Overdue",IF(I1716=0,"Due now",IF(I1716&lt;=M1716,"Due soon","Not due")))))</x:f>
      </x:c>
      <x:c r="H1716" s="5" t="str">
        <x:f>IF(OR(COUNTA(A1716:F1716)=0,COUNTIFS('Rules'!$G$7:$G$26,"="&amp;(SUBSTITUTE(SUBSTITUTE(SUBSTITUTE(SUBSTITUTE("type:"&amp;B1716,"%","%25"),"~","%7E"),"*","%2A"),"?","%3F")))&lt;&gt;1),"",IF(OR(INDEX('Rules'!$B$7:$B$26,MATCH(SUBSTITUTE(SUBSTITUTE(SUBSTITUTE(SUBSTITUTE("type:"&amp;B1716,"%","%25"),"~","%7E"),"*","%2A"),"?","%3F"),'Rules'!$G$7:$G$26,0))="hours",INDEX('Rules'!$B$7:$B$26,MATCH(SUBSTITUTE(SUBSTITUTE(SUBSTITUTE(SUBSTITUTE("type:"&amp;B1716,"%","%25"),"~","%7E"),"*","%2A"),"?","%3F"),'Rules'!$G$7:$G$26,0))="km"),INDEX('Rules'!$B$7:$B$26,MATCH(SUBSTITUTE(SUBSTITUTE(SUBSTITUTE(SUBSTITUTE("type:"&amp;B1716,"%","%25"),"~","%7E"),"*","%2A"),"?","%3F"),'Rules'!$G$7:$G$26,0)),""))</x:f>
      </x:c>
      <x:c r="I1716" s="6" t="str">
        <x:f>IF(AND(NOT(COUNTA(A1716:F1716)=0),K1716=""),ROUND(J1716-D1716,3),"")</x:f>
      </x:c>
      <x:c r="J1716" s="6" t="str">
        <x:f>IF(AND(NOT(COUNTA(A1716:F1716)=0),K1716=""),ROUND(F1716+L1716,3),"")</x:f>
      </x:c>
      <x:c r="K1716" s="5" t="str">
        <x:f>IF(COUNTA(A1716:F1716)=0,"",IF(A1716="","Missing equipment ID",IF(COUNTIFS($N$8:$N$2007,"="&amp;N1716)&gt;1,"Duplicate equipment ID",IF(B1716="","Missing type",IF(COUNTIFS('Rules'!$G$7:$G$26,"="&amp;(SUBSTITUTE(SUBSTITUTE(SUBSTITUTE(SUBSTITUTE("type:"&amp;B1716,"%","%25"),"~","%7E"),"*","%2A"),"?","%3F")))=0,"Unknown type",IF(COUNTIFS('Rules'!$G$7:$G$26,"="&amp;(SUBSTITUTE(SUBSTITUTE(SUBSTITUTE(SUBSTITUTE("type:"&amp;B1716,"%","%25"),"~","%7E"),"*","%2A"),"?","%3F")))&gt;1,"Duplicate type",IF(INDEX('Rules'!$F$7:$F$26,MATCH(SUBSTITUTE(SUBSTITUTE(SUBSTITUTE(SUBSTITUTE("type:"&amp;B1716,"%","%25"),"~","%7E"),"*","%2A"),"?","%3F"),'Rules'!$G$7:$G$26,0))&lt;&gt;"",INDEX('Rules'!$F$7:$F$26,MATCH(SUBSTITUTE(SUBSTITUTE(SUBSTITUTE(SUBSTITUTE("type:"&amp;B1716,"%","%25"),"~","%7E"),"*","%2A"),"?","%3F"),'Rules'!$G$7:$G$26,0)),IF(AND(C1716&lt;&gt;"",C1716&lt;&gt;INDEX('Rules'!$B$7:$B$26,MATCH(SUBSTITUTE(SUBSTITUTE(SUBSTITUTE(SUBSTITUTE("type:"&amp;B1716,"%","%25"),"~","%7E"),"*","%2A"),"?","%3F"),'Rules'!$G$7:$G$26,0))),"Unit mismatch",IF(IF(NOT(ISNUMBER(D1716)),TRUE,OR(D1716&lt;0,D1716&gt;999999999,ROUND(D1716,3)&lt;&gt;D1716)),"Invalid current reading",IF(AND(E1716&lt;&gt;"",IF(NOT(ISNUMBER(E1716)),TRUE,OR(E1716&lt;0,E1716&gt;999999999,ROUND(E1716,3)&lt;&gt;E1716))),"Invalid previous reading",IF(IF(NOT(ISNUMBER(F1716)),TRUE,OR(F1716&lt;0,F1716&gt;999999999,ROUND(F1716,3)&lt;&gt;F1716)),"Invalid last service",IF(AND(E1716&lt;&gt;"",D1716&lt;E1716),"Decreased reading",IF(F1716&gt;D1716,"Last service above current","")))))))))))))</x:f>
      </x:c>
      <x:c r="L1716" s="6" t="str">
        <x:f>IF(AND(NOT(COUNTA(A1716:F1716)=0),K1716=""),INDEX('Rules'!$C$7:$C$26,MATCH(SUBSTITUTE(SUBSTITUTE(SUBSTITUTE(SUBSTITUTE("type:"&amp;B1716,"%","%25"),"~","%7E"),"*","%2A"),"?","%3F"),'Rules'!$G$7:$G$26,0)),"")</x:f>
      </x:c>
      <x:c r="M1716" s="6" t="str">
        <x:f>IF(AND(NOT(COUNTA(A1716:F1716)=0),K1716=""),INDEX('Rules'!$D$7:$D$26,MATCH(SUBSTITUTE(SUBSTITUTE(SUBSTITUTE(SUBSTITUTE("type:"&amp;B1716,"%","%25"),"~","%7E"),"*","%2A"),"?","%3F"),'Rules'!$G$7:$G$26,0)),"")</x:f>
      </x:c>
      <x:c r="N1716" s="5" t="str">
        <x:f>IF(COUNTA(A1716:F1716)=0,"",SUBSTITUTE(SUBSTITUTE(SUBSTITUTE(SUBSTITUTE("id:"&amp;A1716,"%","%25"),"~","%7E"),"*","%2A"),"?","%3F"))</x:f>
      </x:c>
    </x:row>
    <x:row r="1717" ht="22" customHeight="1">
      <x:c r="A1717" s="3"/>
      <x:c r="B1717" s="3"/>
      <x:c r="C1717" s="3"/>
      <x:c r="D1717" s="4"/>
      <x:c r="E1717" s="4"/>
      <x:c r="F1717" s="4"/>
      <x:c r="G1717" s="5" t="str">
        <x:f>IF(COUNTA(A1717:F1717)=0,"",IF(K1717&lt;&gt;"","Review",IF(I1717&lt;0,"Overdue",IF(I1717=0,"Due now",IF(I1717&lt;=M1717,"Due soon","Not due")))))</x:f>
      </x:c>
      <x:c r="H1717" s="5" t="str">
        <x:f>IF(OR(COUNTA(A1717:F1717)=0,COUNTIFS('Rules'!$G$7:$G$26,"="&amp;(SUBSTITUTE(SUBSTITUTE(SUBSTITUTE(SUBSTITUTE("type:"&amp;B1717,"%","%25"),"~","%7E"),"*","%2A"),"?","%3F")))&lt;&gt;1),"",IF(OR(INDEX('Rules'!$B$7:$B$26,MATCH(SUBSTITUTE(SUBSTITUTE(SUBSTITUTE(SUBSTITUTE("type:"&amp;B1717,"%","%25"),"~","%7E"),"*","%2A"),"?","%3F"),'Rules'!$G$7:$G$26,0))="hours",INDEX('Rules'!$B$7:$B$26,MATCH(SUBSTITUTE(SUBSTITUTE(SUBSTITUTE(SUBSTITUTE("type:"&amp;B1717,"%","%25"),"~","%7E"),"*","%2A"),"?","%3F"),'Rules'!$G$7:$G$26,0))="km"),INDEX('Rules'!$B$7:$B$26,MATCH(SUBSTITUTE(SUBSTITUTE(SUBSTITUTE(SUBSTITUTE("type:"&amp;B1717,"%","%25"),"~","%7E"),"*","%2A"),"?","%3F"),'Rules'!$G$7:$G$26,0)),""))</x:f>
      </x:c>
      <x:c r="I1717" s="6" t="str">
        <x:f>IF(AND(NOT(COUNTA(A1717:F1717)=0),K1717=""),ROUND(J1717-D1717,3),"")</x:f>
      </x:c>
      <x:c r="J1717" s="6" t="str">
        <x:f>IF(AND(NOT(COUNTA(A1717:F1717)=0),K1717=""),ROUND(F1717+L1717,3),"")</x:f>
      </x:c>
      <x:c r="K1717" s="5" t="str">
        <x:f>IF(COUNTA(A1717:F1717)=0,"",IF(A1717="","Missing equipment ID",IF(COUNTIFS($N$8:$N$2007,"="&amp;N1717)&gt;1,"Duplicate equipment ID",IF(B1717="","Missing type",IF(COUNTIFS('Rules'!$G$7:$G$26,"="&amp;(SUBSTITUTE(SUBSTITUTE(SUBSTITUTE(SUBSTITUTE("type:"&amp;B1717,"%","%25"),"~","%7E"),"*","%2A"),"?","%3F")))=0,"Unknown type",IF(COUNTIFS('Rules'!$G$7:$G$26,"="&amp;(SUBSTITUTE(SUBSTITUTE(SUBSTITUTE(SUBSTITUTE("type:"&amp;B1717,"%","%25"),"~","%7E"),"*","%2A"),"?","%3F")))&gt;1,"Duplicate type",IF(INDEX('Rules'!$F$7:$F$26,MATCH(SUBSTITUTE(SUBSTITUTE(SUBSTITUTE(SUBSTITUTE("type:"&amp;B1717,"%","%25"),"~","%7E"),"*","%2A"),"?","%3F"),'Rules'!$G$7:$G$26,0))&lt;&gt;"",INDEX('Rules'!$F$7:$F$26,MATCH(SUBSTITUTE(SUBSTITUTE(SUBSTITUTE(SUBSTITUTE("type:"&amp;B1717,"%","%25"),"~","%7E"),"*","%2A"),"?","%3F"),'Rules'!$G$7:$G$26,0)),IF(AND(C1717&lt;&gt;"",C1717&lt;&gt;INDEX('Rules'!$B$7:$B$26,MATCH(SUBSTITUTE(SUBSTITUTE(SUBSTITUTE(SUBSTITUTE("type:"&amp;B1717,"%","%25"),"~","%7E"),"*","%2A"),"?","%3F"),'Rules'!$G$7:$G$26,0))),"Unit mismatch",IF(IF(NOT(ISNUMBER(D1717)),TRUE,OR(D1717&lt;0,D1717&gt;999999999,ROUND(D1717,3)&lt;&gt;D1717)),"Invalid current reading",IF(AND(E1717&lt;&gt;"",IF(NOT(ISNUMBER(E1717)),TRUE,OR(E1717&lt;0,E1717&gt;999999999,ROUND(E1717,3)&lt;&gt;E1717))),"Invalid previous reading",IF(IF(NOT(ISNUMBER(F1717)),TRUE,OR(F1717&lt;0,F1717&gt;999999999,ROUND(F1717,3)&lt;&gt;F1717)),"Invalid last service",IF(AND(E1717&lt;&gt;"",D1717&lt;E1717),"Decreased reading",IF(F1717&gt;D1717,"Last service above current","")))))))))))))</x:f>
      </x:c>
      <x:c r="L1717" s="6" t="str">
        <x:f>IF(AND(NOT(COUNTA(A1717:F1717)=0),K1717=""),INDEX('Rules'!$C$7:$C$26,MATCH(SUBSTITUTE(SUBSTITUTE(SUBSTITUTE(SUBSTITUTE("type:"&amp;B1717,"%","%25"),"~","%7E"),"*","%2A"),"?","%3F"),'Rules'!$G$7:$G$26,0)),"")</x:f>
      </x:c>
      <x:c r="M1717" s="6" t="str">
        <x:f>IF(AND(NOT(COUNTA(A1717:F1717)=0),K1717=""),INDEX('Rules'!$D$7:$D$26,MATCH(SUBSTITUTE(SUBSTITUTE(SUBSTITUTE(SUBSTITUTE("type:"&amp;B1717,"%","%25"),"~","%7E"),"*","%2A"),"?","%3F"),'Rules'!$G$7:$G$26,0)),"")</x:f>
      </x:c>
      <x:c r="N1717" s="5" t="str">
        <x:f>IF(COUNTA(A1717:F1717)=0,"",SUBSTITUTE(SUBSTITUTE(SUBSTITUTE(SUBSTITUTE("id:"&amp;A1717,"%","%25"),"~","%7E"),"*","%2A"),"?","%3F"))</x:f>
      </x:c>
    </x:row>
    <x:row r="1718" ht="22" customHeight="1">
      <x:c r="A1718" s="3"/>
      <x:c r="B1718" s="3"/>
      <x:c r="C1718" s="3"/>
      <x:c r="D1718" s="4"/>
      <x:c r="E1718" s="4"/>
      <x:c r="F1718" s="4"/>
      <x:c r="G1718" s="5" t="str">
        <x:f>IF(COUNTA(A1718:F1718)=0,"",IF(K1718&lt;&gt;"","Review",IF(I1718&lt;0,"Overdue",IF(I1718=0,"Due now",IF(I1718&lt;=M1718,"Due soon","Not due")))))</x:f>
      </x:c>
      <x:c r="H1718" s="5" t="str">
        <x:f>IF(OR(COUNTA(A1718:F1718)=0,COUNTIFS('Rules'!$G$7:$G$26,"="&amp;(SUBSTITUTE(SUBSTITUTE(SUBSTITUTE(SUBSTITUTE("type:"&amp;B1718,"%","%25"),"~","%7E"),"*","%2A"),"?","%3F")))&lt;&gt;1),"",IF(OR(INDEX('Rules'!$B$7:$B$26,MATCH(SUBSTITUTE(SUBSTITUTE(SUBSTITUTE(SUBSTITUTE("type:"&amp;B1718,"%","%25"),"~","%7E"),"*","%2A"),"?","%3F"),'Rules'!$G$7:$G$26,0))="hours",INDEX('Rules'!$B$7:$B$26,MATCH(SUBSTITUTE(SUBSTITUTE(SUBSTITUTE(SUBSTITUTE("type:"&amp;B1718,"%","%25"),"~","%7E"),"*","%2A"),"?","%3F"),'Rules'!$G$7:$G$26,0))="km"),INDEX('Rules'!$B$7:$B$26,MATCH(SUBSTITUTE(SUBSTITUTE(SUBSTITUTE(SUBSTITUTE("type:"&amp;B1718,"%","%25"),"~","%7E"),"*","%2A"),"?","%3F"),'Rules'!$G$7:$G$26,0)),""))</x:f>
      </x:c>
      <x:c r="I1718" s="6" t="str">
        <x:f>IF(AND(NOT(COUNTA(A1718:F1718)=0),K1718=""),ROUND(J1718-D1718,3),"")</x:f>
      </x:c>
      <x:c r="J1718" s="6" t="str">
        <x:f>IF(AND(NOT(COUNTA(A1718:F1718)=0),K1718=""),ROUND(F1718+L1718,3),"")</x:f>
      </x:c>
      <x:c r="K1718" s="5" t="str">
        <x:f>IF(COUNTA(A1718:F1718)=0,"",IF(A1718="","Missing equipment ID",IF(COUNTIFS($N$8:$N$2007,"="&amp;N1718)&gt;1,"Duplicate equipment ID",IF(B1718="","Missing type",IF(COUNTIFS('Rules'!$G$7:$G$26,"="&amp;(SUBSTITUTE(SUBSTITUTE(SUBSTITUTE(SUBSTITUTE("type:"&amp;B1718,"%","%25"),"~","%7E"),"*","%2A"),"?","%3F")))=0,"Unknown type",IF(COUNTIFS('Rules'!$G$7:$G$26,"="&amp;(SUBSTITUTE(SUBSTITUTE(SUBSTITUTE(SUBSTITUTE("type:"&amp;B1718,"%","%25"),"~","%7E"),"*","%2A"),"?","%3F")))&gt;1,"Duplicate type",IF(INDEX('Rules'!$F$7:$F$26,MATCH(SUBSTITUTE(SUBSTITUTE(SUBSTITUTE(SUBSTITUTE("type:"&amp;B1718,"%","%25"),"~","%7E"),"*","%2A"),"?","%3F"),'Rules'!$G$7:$G$26,0))&lt;&gt;"",INDEX('Rules'!$F$7:$F$26,MATCH(SUBSTITUTE(SUBSTITUTE(SUBSTITUTE(SUBSTITUTE("type:"&amp;B1718,"%","%25"),"~","%7E"),"*","%2A"),"?","%3F"),'Rules'!$G$7:$G$26,0)),IF(AND(C1718&lt;&gt;"",C1718&lt;&gt;INDEX('Rules'!$B$7:$B$26,MATCH(SUBSTITUTE(SUBSTITUTE(SUBSTITUTE(SUBSTITUTE("type:"&amp;B1718,"%","%25"),"~","%7E"),"*","%2A"),"?","%3F"),'Rules'!$G$7:$G$26,0))),"Unit mismatch",IF(IF(NOT(ISNUMBER(D1718)),TRUE,OR(D1718&lt;0,D1718&gt;999999999,ROUND(D1718,3)&lt;&gt;D1718)),"Invalid current reading",IF(AND(E1718&lt;&gt;"",IF(NOT(ISNUMBER(E1718)),TRUE,OR(E1718&lt;0,E1718&gt;999999999,ROUND(E1718,3)&lt;&gt;E1718))),"Invalid previous reading",IF(IF(NOT(ISNUMBER(F1718)),TRUE,OR(F1718&lt;0,F1718&gt;999999999,ROUND(F1718,3)&lt;&gt;F1718)),"Invalid last service",IF(AND(E1718&lt;&gt;"",D1718&lt;E1718),"Decreased reading",IF(F1718&gt;D1718,"Last service above current","")))))))))))))</x:f>
      </x:c>
      <x:c r="L1718" s="6" t="str">
        <x:f>IF(AND(NOT(COUNTA(A1718:F1718)=0),K1718=""),INDEX('Rules'!$C$7:$C$26,MATCH(SUBSTITUTE(SUBSTITUTE(SUBSTITUTE(SUBSTITUTE("type:"&amp;B1718,"%","%25"),"~","%7E"),"*","%2A"),"?","%3F"),'Rules'!$G$7:$G$26,0)),"")</x:f>
      </x:c>
      <x:c r="M1718" s="6" t="str">
        <x:f>IF(AND(NOT(COUNTA(A1718:F1718)=0),K1718=""),INDEX('Rules'!$D$7:$D$26,MATCH(SUBSTITUTE(SUBSTITUTE(SUBSTITUTE(SUBSTITUTE("type:"&amp;B1718,"%","%25"),"~","%7E"),"*","%2A"),"?","%3F"),'Rules'!$G$7:$G$26,0)),"")</x:f>
      </x:c>
      <x:c r="N1718" s="5" t="str">
        <x:f>IF(COUNTA(A1718:F1718)=0,"",SUBSTITUTE(SUBSTITUTE(SUBSTITUTE(SUBSTITUTE("id:"&amp;A1718,"%","%25"),"~","%7E"),"*","%2A"),"?","%3F"))</x:f>
      </x:c>
    </x:row>
    <x:row r="1719" ht="22" customHeight="1">
      <x:c r="A1719" s="3"/>
      <x:c r="B1719" s="3"/>
      <x:c r="C1719" s="3"/>
      <x:c r="D1719" s="4"/>
      <x:c r="E1719" s="4"/>
      <x:c r="F1719" s="4"/>
      <x:c r="G1719" s="5" t="str">
        <x:f>IF(COUNTA(A1719:F1719)=0,"",IF(K1719&lt;&gt;"","Review",IF(I1719&lt;0,"Overdue",IF(I1719=0,"Due now",IF(I1719&lt;=M1719,"Due soon","Not due")))))</x:f>
      </x:c>
      <x:c r="H1719" s="5" t="str">
        <x:f>IF(OR(COUNTA(A1719:F1719)=0,COUNTIFS('Rules'!$G$7:$G$26,"="&amp;(SUBSTITUTE(SUBSTITUTE(SUBSTITUTE(SUBSTITUTE("type:"&amp;B1719,"%","%25"),"~","%7E"),"*","%2A"),"?","%3F")))&lt;&gt;1),"",IF(OR(INDEX('Rules'!$B$7:$B$26,MATCH(SUBSTITUTE(SUBSTITUTE(SUBSTITUTE(SUBSTITUTE("type:"&amp;B1719,"%","%25"),"~","%7E"),"*","%2A"),"?","%3F"),'Rules'!$G$7:$G$26,0))="hours",INDEX('Rules'!$B$7:$B$26,MATCH(SUBSTITUTE(SUBSTITUTE(SUBSTITUTE(SUBSTITUTE("type:"&amp;B1719,"%","%25"),"~","%7E"),"*","%2A"),"?","%3F"),'Rules'!$G$7:$G$26,0))="km"),INDEX('Rules'!$B$7:$B$26,MATCH(SUBSTITUTE(SUBSTITUTE(SUBSTITUTE(SUBSTITUTE("type:"&amp;B1719,"%","%25"),"~","%7E"),"*","%2A"),"?","%3F"),'Rules'!$G$7:$G$26,0)),""))</x:f>
      </x:c>
      <x:c r="I1719" s="6" t="str">
        <x:f>IF(AND(NOT(COUNTA(A1719:F1719)=0),K1719=""),ROUND(J1719-D1719,3),"")</x:f>
      </x:c>
      <x:c r="J1719" s="6" t="str">
        <x:f>IF(AND(NOT(COUNTA(A1719:F1719)=0),K1719=""),ROUND(F1719+L1719,3),"")</x:f>
      </x:c>
      <x:c r="K1719" s="5" t="str">
        <x:f>IF(COUNTA(A1719:F1719)=0,"",IF(A1719="","Missing equipment ID",IF(COUNTIFS($N$8:$N$2007,"="&amp;N1719)&gt;1,"Duplicate equipment ID",IF(B1719="","Missing type",IF(COUNTIFS('Rules'!$G$7:$G$26,"="&amp;(SUBSTITUTE(SUBSTITUTE(SUBSTITUTE(SUBSTITUTE("type:"&amp;B1719,"%","%25"),"~","%7E"),"*","%2A"),"?","%3F")))=0,"Unknown type",IF(COUNTIFS('Rules'!$G$7:$G$26,"="&amp;(SUBSTITUTE(SUBSTITUTE(SUBSTITUTE(SUBSTITUTE("type:"&amp;B1719,"%","%25"),"~","%7E"),"*","%2A"),"?","%3F")))&gt;1,"Duplicate type",IF(INDEX('Rules'!$F$7:$F$26,MATCH(SUBSTITUTE(SUBSTITUTE(SUBSTITUTE(SUBSTITUTE("type:"&amp;B1719,"%","%25"),"~","%7E"),"*","%2A"),"?","%3F"),'Rules'!$G$7:$G$26,0))&lt;&gt;"",INDEX('Rules'!$F$7:$F$26,MATCH(SUBSTITUTE(SUBSTITUTE(SUBSTITUTE(SUBSTITUTE("type:"&amp;B1719,"%","%25"),"~","%7E"),"*","%2A"),"?","%3F"),'Rules'!$G$7:$G$26,0)),IF(AND(C1719&lt;&gt;"",C1719&lt;&gt;INDEX('Rules'!$B$7:$B$26,MATCH(SUBSTITUTE(SUBSTITUTE(SUBSTITUTE(SUBSTITUTE("type:"&amp;B1719,"%","%25"),"~","%7E"),"*","%2A"),"?","%3F"),'Rules'!$G$7:$G$26,0))),"Unit mismatch",IF(IF(NOT(ISNUMBER(D1719)),TRUE,OR(D1719&lt;0,D1719&gt;999999999,ROUND(D1719,3)&lt;&gt;D1719)),"Invalid current reading",IF(AND(E1719&lt;&gt;"",IF(NOT(ISNUMBER(E1719)),TRUE,OR(E1719&lt;0,E1719&gt;999999999,ROUND(E1719,3)&lt;&gt;E1719))),"Invalid previous reading",IF(IF(NOT(ISNUMBER(F1719)),TRUE,OR(F1719&lt;0,F1719&gt;999999999,ROUND(F1719,3)&lt;&gt;F1719)),"Invalid last service",IF(AND(E1719&lt;&gt;"",D1719&lt;E1719),"Decreased reading",IF(F1719&gt;D1719,"Last service above current","")))))))))))))</x:f>
      </x:c>
      <x:c r="L1719" s="6" t="str">
        <x:f>IF(AND(NOT(COUNTA(A1719:F1719)=0),K1719=""),INDEX('Rules'!$C$7:$C$26,MATCH(SUBSTITUTE(SUBSTITUTE(SUBSTITUTE(SUBSTITUTE("type:"&amp;B1719,"%","%25"),"~","%7E"),"*","%2A"),"?","%3F"),'Rules'!$G$7:$G$26,0)),"")</x:f>
      </x:c>
      <x:c r="M1719" s="6" t="str">
        <x:f>IF(AND(NOT(COUNTA(A1719:F1719)=0),K1719=""),INDEX('Rules'!$D$7:$D$26,MATCH(SUBSTITUTE(SUBSTITUTE(SUBSTITUTE(SUBSTITUTE("type:"&amp;B1719,"%","%25"),"~","%7E"),"*","%2A"),"?","%3F"),'Rules'!$G$7:$G$26,0)),"")</x:f>
      </x:c>
      <x:c r="N1719" s="5" t="str">
        <x:f>IF(COUNTA(A1719:F1719)=0,"",SUBSTITUTE(SUBSTITUTE(SUBSTITUTE(SUBSTITUTE("id:"&amp;A1719,"%","%25"),"~","%7E"),"*","%2A"),"?","%3F"))</x:f>
      </x:c>
    </x:row>
    <x:row r="1720" ht="22" customHeight="1">
      <x:c r="A1720" s="3"/>
      <x:c r="B1720" s="3"/>
      <x:c r="C1720" s="3"/>
      <x:c r="D1720" s="4"/>
      <x:c r="E1720" s="4"/>
      <x:c r="F1720" s="4"/>
      <x:c r="G1720" s="5" t="str">
        <x:f>IF(COUNTA(A1720:F1720)=0,"",IF(K1720&lt;&gt;"","Review",IF(I1720&lt;0,"Overdue",IF(I1720=0,"Due now",IF(I1720&lt;=M1720,"Due soon","Not due")))))</x:f>
      </x:c>
      <x:c r="H1720" s="5" t="str">
        <x:f>IF(OR(COUNTA(A1720:F1720)=0,COUNTIFS('Rules'!$G$7:$G$26,"="&amp;(SUBSTITUTE(SUBSTITUTE(SUBSTITUTE(SUBSTITUTE("type:"&amp;B1720,"%","%25"),"~","%7E"),"*","%2A"),"?","%3F")))&lt;&gt;1),"",IF(OR(INDEX('Rules'!$B$7:$B$26,MATCH(SUBSTITUTE(SUBSTITUTE(SUBSTITUTE(SUBSTITUTE("type:"&amp;B1720,"%","%25"),"~","%7E"),"*","%2A"),"?","%3F"),'Rules'!$G$7:$G$26,0))="hours",INDEX('Rules'!$B$7:$B$26,MATCH(SUBSTITUTE(SUBSTITUTE(SUBSTITUTE(SUBSTITUTE("type:"&amp;B1720,"%","%25"),"~","%7E"),"*","%2A"),"?","%3F"),'Rules'!$G$7:$G$26,0))="km"),INDEX('Rules'!$B$7:$B$26,MATCH(SUBSTITUTE(SUBSTITUTE(SUBSTITUTE(SUBSTITUTE("type:"&amp;B1720,"%","%25"),"~","%7E"),"*","%2A"),"?","%3F"),'Rules'!$G$7:$G$26,0)),""))</x:f>
      </x:c>
      <x:c r="I1720" s="6" t="str">
        <x:f>IF(AND(NOT(COUNTA(A1720:F1720)=0),K1720=""),ROUND(J1720-D1720,3),"")</x:f>
      </x:c>
      <x:c r="J1720" s="6" t="str">
        <x:f>IF(AND(NOT(COUNTA(A1720:F1720)=0),K1720=""),ROUND(F1720+L1720,3),"")</x:f>
      </x:c>
      <x:c r="K1720" s="5" t="str">
        <x:f>IF(COUNTA(A1720:F1720)=0,"",IF(A1720="","Missing equipment ID",IF(COUNTIFS($N$8:$N$2007,"="&amp;N1720)&gt;1,"Duplicate equipment ID",IF(B1720="","Missing type",IF(COUNTIFS('Rules'!$G$7:$G$26,"="&amp;(SUBSTITUTE(SUBSTITUTE(SUBSTITUTE(SUBSTITUTE("type:"&amp;B1720,"%","%25"),"~","%7E"),"*","%2A"),"?","%3F")))=0,"Unknown type",IF(COUNTIFS('Rules'!$G$7:$G$26,"="&amp;(SUBSTITUTE(SUBSTITUTE(SUBSTITUTE(SUBSTITUTE("type:"&amp;B1720,"%","%25"),"~","%7E"),"*","%2A"),"?","%3F")))&gt;1,"Duplicate type",IF(INDEX('Rules'!$F$7:$F$26,MATCH(SUBSTITUTE(SUBSTITUTE(SUBSTITUTE(SUBSTITUTE("type:"&amp;B1720,"%","%25"),"~","%7E"),"*","%2A"),"?","%3F"),'Rules'!$G$7:$G$26,0))&lt;&gt;"",INDEX('Rules'!$F$7:$F$26,MATCH(SUBSTITUTE(SUBSTITUTE(SUBSTITUTE(SUBSTITUTE("type:"&amp;B1720,"%","%25"),"~","%7E"),"*","%2A"),"?","%3F"),'Rules'!$G$7:$G$26,0)),IF(AND(C1720&lt;&gt;"",C1720&lt;&gt;INDEX('Rules'!$B$7:$B$26,MATCH(SUBSTITUTE(SUBSTITUTE(SUBSTITUTE(SUBSTITUTE("type:"&amp;B1720,"%","%25"),"~","%7E"),"*","%2A"),"?","%3F"),'Rules'!$G$7:$G$26,0))),"Unit mismatch",IF(IF(NOT(ISNUMBER(D1720)),TRUE,OR(D1720&lt;0,D1720&gt;999999999,ROUND(D1720,3)&lt;&gt;D1720)),"Invalid current reading",IF(AND(E1720&lt;&gt;"",IF(NOT(ISNUMBER(E1720)),TRUE,OR(E1720&lt;0,E1720&gt;999999999,ROUND(E1720,3)&lt;&gt;E1720))),"Invalid previous reading",IF(IF(NOT(ISNUMBER(F1720)),TRUE,OR(F1720&lt;0,F1720&gt;999999999,ROUND(F1720,3)&lt;&gt;F1720)),"Invalid last service",IF(AND(E1720&lt;&gt;"",D1720&lt;E1720),"Decreased reading",IF(F1720&gt;D1720,"Last service above current","")))))))))))))</x:f>
      </x:c>
      <x:c r="L1720" s="6" t="str">
        <x:f>IF(AND(NOT(COUNTA(A1720:F1720)=0),K1720=""),INDEX('Rules'!$C$7:$C$26,MATCH(SUBSTITUTE(SUBSTITUTE(SUBSTITUTE(SUBSTITUTE("type:"&amp;B1720,"%","%25"),"~","%7E"),"*","%2A"),"?","%3F"),'Rules'!$G$7:$G$26,0)),"")</x:f>
      </x:c>
      <x:c r="M1720" s="6" t="str">
        <x:f>IF(AND(NOT(COUNTA(A1720:F1720)=0),K1720=""),INDEX('Rules'!$D$7:$D$26,MATCH(SUBSTITUTE(SUBSTITUTE(SUBSTITUTE(SUBSTITUTE("type:"&amp;B1720,"%","%25"),"~","%7E"),"*","%2A"),"?","%3F"),'Rules'!$G$7:$G$26,0)),"")</x:f>
      </x:c>
      <x:c r="N1720" s="5" t="str">
        <x:f>IF(COUNTA(A1720:F1720)=0,"",SUBSTITUTE(SUBSTITUTE(SUBSTITUTE(SUBSTITUTE("id:"&amp;A1720,"%","%25"),"~","%7E"),"*","%2A"),"?","%3F"))</x:f>
      </x:c>
    </x:row>
    <x:row r="1721" ht="22" customHeight="1">
      <x:c r="A1721" s="3"/>
      <x:c r="B1721" s="3"/>
      <x:c r="C1721" s="3"/>
      <x:c r="D1721" s="4"/>
      <x:c r="E1721" s="4"/>
      <x:c r="F1721" s="4"/>
      <x:c r="G1721" s="5" t="str">
        <x:f>IF(COUNTA(A1721:F1721)=0,"",IF(K1721&lt;&gt;"","Review",IF(I1721&lt;0,"Overdue",IF(I1721=0,"Due now",IF(I1721&lt;=M1721,"Due soon","Not due")))))</x:f>
      </x:c>
      <x:c r="H1721" s="5" t="str">
        <x:f>IF(OR(COUNTA(A1721:F1721)=0,COUNTIFS('Rules'!$G$7:$G$26,"="&amp;(SUBSTITUTE(SUBSTITUTE(SUBSTITUTE(SUBSTITUTE("type:"&amp;B1721,"%","%25"),"~","%7E"),"*","%2A"),"?","%3F")))&lt;&gt;1),"",IF(OR(INDEX('Rules'!$B$7:$B$26,MATCH(SUBSTITUTE(SUBSTITUTE(SUBSTITUTE(SUBSTITUTE("type:"&amp;B1721,"%","%25"),"~","%7E"),"*","%2A"),"?","%3F"),'Rules'!$G$7:$G$26,0))="hours",INDEX('Rules'!$B$7:$B$26,MATCH(SUBSTITUTE(SUBSTITUTE(SUBSTITUTE(SUBSTITUTE("type:"&amp;B1721,"%","%25"),"~","%7E"),"*","%2A"),"?","%3F"),'Rules'!$G$7:$G$26,0))="km"),INDEX('Rules'!$B$7:$B$26,MATCH(SUBSTITUTE(SUBSTITUTE(SUBSTITUTE(SUBSTITUTE("type:"&amp;B1721,"%","%25"),"~","%7E"),"*","%2A"),"?","%3F"),'Rules'!$G$7:$G$26,0)),""))</x:f>
      </x:c>
      <x:c r="I1721" s="6" t="str">
        <x:f>IF(AND(NOT(COUNTA(A1721:F1721)=0),K1721=""),ROUND(J1721-D1721,3),"")</x:f>
      </x:c>
      <x:c r="J1721" s="6" t="str">
        <x:f>IF(AND(NOT(COUNTA(A1721:F1721)=0),K1721=""),ROUND(F1721+L1721,3),"")</x:f>
      </x:c>
      <x:c r="K1721" s="5" t="str">
        <x:f>IF(COUNTA(A1721:F1721)=0,"",IF(A1721="","Missing equipment ID",IF(COUNTIFS($N$8:$N$2007,"="&amp;N1721)&gt;1,"Duplicate equipment ID",IF(B1721="","Missing type",IF(COUNTIFS('Rules'!$G$7:$G$26,"="&amp;(SUBSTITUTE(SUBSTITUTE(SUBSTITUTE(SUBSTITUTE("type:"&amp;B1721,"%","%25"),"~","%7E"),"*","%2A"),"?","%3F")))=0,"Unknown type",IF(COUNTIFS('Rules'!$G$7:$G$26,"="&amp;(SUBSTITUTE(SUBSTITUTE(SUBSTITUTE(SUBSTITUTE("type:"&amp;B1721,"%","%25"),"~","%7E"),"*","%2A"),"?","%3F")))&gt;1,"Duplicate type",IF(INDEX('Rules'!$F$7:$F$26,MATCH(SUBSTITUTE(SUBSTITUTE(SUBSTITUTE(SUBSTITUTE("type:"&amp;B1721,"%","%25"),"~","%7E"),"*","%2A"),"?","%3F"),'Rules'!$G$7:$G$26,0))&lt;&gt;"",INDEX('Rules'!$F$7:$F$26,MATCH(SUBSTITUTE(SUBSTITUTE(SUBSTITUTE(SUBSTITUTE("type:"&amp;B1721,"%","%25"),"~","%7E"),"*","%2A"),"?","%3F"),'Rules'!$G$7:$G$26,0)),IF(AND(C1721&lt;&gt;"",C1721&lt;&gt;INDEX('Rules'!$B$7:$B$26,MATCH(SUBSTITUTE(SUBSTITUTE(SUBSTITUTE(SUBSTITUTE("type:"&amp;B1721,"%","%25"),"~","%7E"),"*","%2A"),"?","%3F"),'Rules'!$G$7:$G$26,0))),"Unit mismatch",IF(IF(NOT(ISNUMBER(D1721)),TRUE,OR(D1721&lt;0,D1721&gt;999999999,ROUND(D1721,3)&lt;&gt;D1721)),"Invalid current reading",IF(AND(E1721&lt;&gt;"",IF(NOT(ISNUMBER(E1721)),TRUE,OR(E1721&lt;0,E1721&gt;999999999,ROUND(E1721,3)&lt;&gt;E1721))),"Invalid previous reading",IF(IF(NOT(ISNUMBER(F1721)),TRUE,OR(F1721&lt;0,F1721&gt;999999999,ROUND(F1721,3)&lt;&gt;F1721)),"Invalid last service",IF(AND(E1721&lt;&gt;"",D1721&lt;E1721),"Decreased reading",IF(F1721&gt;D1721,"Last service above current","")))))))))))))</x:f>
      </x:c>
      <x:c r="L1721" s="6" t="str">
        <x:f>IF(AND(NOT(COUNTA(A1721:F1721)=0),K1721=""),INDEX('Rules'!$C$7:$C$26,MATCH(SUBSTITUTE(SUBSTITUTE(SUBSTITUTE(SUBSTITUTE("type:"&amp;B1721,"%","%25"),"~","%7E"),"*","%2A"),"?","%3F"),'Rules'!$G$7:$G$26,0)),"")</x:f>
      </x:c>
      <x:c r="M1721" s="6" t="str">
        <x:f>IF(AND(NOT(COUNTA(A1721:F1721)=0),K1721=""),INDEX('Rules'!$D$7:$D$26,MATCH(SUBSTITUTE(SUBSTITUTE(SUBSTITUTE(SUBSTITUTE("type:"&amp;B1721,"%","%25"),"~","%7E"),"*","%2A"),"?","%3F"),'Rules'!$G$7:$G$26,0)),"")</x:f>
      </x:c>
      <x:c r="N1721" s="5" t="str">
        <x:f>IF(COUNTA(A1721:F1721)=0,"",SUBSTITUTE(SUBSTITUTE(SUBSTITUTE(SUBSTITUTE("id:"&amp;A1721,"%","%25"),"~","%7E"),"*","%2A"),"?","%3F"))</x:f>
      </x:c>
    </x:row>
    <x:row r="1722" ht="22" customHeight="1">
      <x:c r="A1722" s="3"/>
      <x:c r="B1722" s="3"/>
      <x:c r="C1722" s="3"/>
      <x:c r="D1722" s="4"/>
      <x:c r="E1722" s="4"/>
      <x:c r="F1722" s="4"/>
      <x:c r="G1722" s="5" t="str">
        <x:f>IF(COUNTA(A1722:F1722)=0,"",IF(K1722&lt;&gt;"","Review",IF(I1722&lt;0,"Overdue",IF(I1722=0,"Due now",IF(I1722&lt;=M1722,"Due soon","Not due")))))</x:f>
      </x:c>
      <x:c r="H1722" s="5" t="str">
        <x:f>IF(OR(COUNTA(A1722:F1722)=0,COUNTIFS('Rules'!$G$7:$G$26,"="&amp;(SUBSTITUTE(SUBSTITUTE(SUBSTITUTE(SUBSTITUTE("type:"&amp;B1722,"%","%25"),"~","%7E"),"*","%2A"),"?","%3F")))&lt;&gt;1),"",IF(OR(INDEX('Rules'!$B$7:$B$26,MATCH(SUBSTITUTE(SUBSTITUTE(SUBSTITUTE(SUBSTITUTE("type:"&amp;B1722,"%","%25"),"~","%7E"),"*","%2A"),"?","%3F"),'Rules'!$G$7:$G$26,0))="hours",INDEX('Rules'!$B$7:$B$26,MATCH(SUBSTITUTE(SUBSTITUTE(SUBSTITUTE(SUBSTITUTE("type:"&amp;B1722,"%","%25"),"~","%7E"),"*","%2A"),"?","%3F"),'Rules'!$G$7:$G$26,0))="km"),INDEX('Rules'!$B$7:$B$26,MATCH(SUBSTITUTE(SUBSTITUTE(SUBSTITUTE(SUBSTITUTE("type:"&amp;B1722,"%","%25"),"~","%7E"),"*","%2A"),"?","%3F"),'Rules'!$G$7:$G$26,0)),""))</x:f>
      </x:c>
      <x:c r="I1722" s="6" t="str">
        <x:f>IF(AND(NOT(COUNTA(A1722:F1722)=0),K1722=""),ROUND(J1722-D1722,3),"")</x:f>
      </x:c>
      <x:c r="J1722" s="6" t="str">
        <x:f>IF(AND(NOT(COUNTA(A1722:F1722)=0),K1722=""),ROUND(F1722+L1722,3),"")</x:f>
      </x:c>
      <x:c r="K1722" s="5" t="str">
        <x:f>IF(COUNTA(A1722:F1722)=0,"",IF(A1722="","Missing equipment ID",IF(COUNTIFS($N$8:$N$2007,"="&amp;N1722)&gt;1,"Duplicate equipment ID",IF(B1722="","Missing type",IF(COUNTIFS('Rules'!$G$7:$G$26,"="&amp;(SUBSTITUTE(SUBSTITUTE(SUBSTITUTE(SUBSTITUTE("type:"&amp;B1722,"%","%25"),"~","%7E"),"*","%2A"),"?","%3F")))=0,"Unknown type",IF(COUNTIFS('Rules'!$G$7:$G$26,"="&amp;(SUBSTITUTE(SUBSTITUTE(SUBSTITUTE(SUBSTITUTE("type:"&amp;B1722,"%","%25"),"~","%7E"),"*","%2A"),"?","%3F")))&gt;1,"Duplicate type",IF(INDEX('Rules'!$F$7:$F$26,MATCH(SUBSTITUTE(SUBSTITUTE(SUBSTITUTE(SUBSTITUTE("type:"&amp;B1722,"%","%25"),"~","%7E"),"*","%2A"),"?","%3F"),'Rules'!$G$7:$G$26,0))&lt;&gt;"",INDEX('Rules'!$F$7:$F$26,MATCH(SUBSTITUTE(SUBSTITUTE(SUBSTITUTE(SUBSTITUTE("type:"&amp;B1722,"%","%25"),"~","%7E"),"*","%2A"),"?","%3F"),'Rules'!$G$7:$G$26,0)),IF(AND(C1722&lt;&gt;"",C1722&lt;&gt;INDEX('Rules'!$B$7:$B$26,MATCH(SUBSTITUTE(SUBSTITUTE(SUBSTITUTE(SUBSTITUTE("type:"&amp;B1722,"%","%25"),"~","%7E"),"*","%2A"),"?","%3F"),'Rules'!$G$7:$G$26,0))),"Unit mismatch",IF(IF(NOT(ISNUMBER(D1722)),TRUE,OR(D1722&lt;0,D1722&gt;999999999,ROUND(D1722,3)&lt;&gt;D1722)),"Invalid current reading",IF(AND(E1722&lt;&gt;"",IF(NOT(ISNUMBER(E1722)),TRUE,OR(E1722&lt;0,E1722&gt;999999999,ROUND(E1722,3)&lt;&gt;E1722))),"Invalid previous reading",IF(IF(NOT(ISNUMBER(F1722)),TRUE,OR(F1722&lt;0,F1722&gt;999999999,ROUND(F1722,3)&lt;&gt;F1722)),"Invalid last service",IF(AND(E1722&lt;&gt;"",D1722&lt;E1722),"Decreased reading",IF(F1722&gt;D1722,"Last service above current","")))))))))))))</x:f>
      </x:c>
      <x:c r="L1722" s="6" t="str">
        <x:f>IF(AND(NOT(COUNTA(A1722:F1722)=0),K1722=""),INDEX('Rules'!$C$7:$C$26,MATCH(SUBSTITUTE(SUBSTITUTE(SUBSTITUTE(SUBSTITUTE("type:"&amp;B1722,"%","%25"),"~","%7E"),"*","%2A"),"?","%3F"),'Rules'!$G$7:$G$26,0)),"")</x:f>
      </x:c>
      <x:c r="M1722" s="6" t="str">
        <x:f>IF(AND(NOT(COUNTA(A1722:F1722)=0),K1722=""),INDEX('Rules'!$D$7:$D$26,MATCH(SUBSTITUTE(SUBSTITUTE(SUBSTITUTE(SUBSTITUTE("type:"&amp;B1722,"%","%25"),"~","%7E"),"*","%2A"),"?","%3F"),'Rules'!$G$7:$G$26,0)),"")</x:f>
      </x:c>
      <x:c r="N1722" s="5" t="str">
        <x:f>IF(COUNTA(A1722:F1722)=0,"",SUBSTITUTE(SUBSTITUTE(SUBSTITUTE(SUBSTITUTE("id:"&amp;A1722,"%","%25"),"~","%7E"),"*","%2A"),"?","%3F"))</x:f>
      </x:c>
    </x:row>
    <x:row r="1723" ht="22" customHeight="1">
      <x:c r="A1723" s="3"/>
      <x:c r="B1723" s="3"/>
      <x:c r="C1723" s="3"/>
      <x:c r="D1723" s="4"/>
      <x:c r="E1723" s="4"/>
      <x:c r="F1723" s="4"/>
      <x:c r="G1723" s="5" t="str">
        <x:f>IF(COUNTA(A1723:F1723)=0,"",IF(K1723&lt;&gt;"","Review",IF(I1723&lt;0,"Overdue",IF(I1723=0,"Due now",IF(I1723&lt;=M1723,"Due soon","Not due")))))</x:f>
      </x:c>
      <x:c r="H1723" s="5" t="str">
        <x:f>IF(OR(COUNTA(A1723:F1723)=0,COUNTIFS('Rules'!$G$7:$G$26,"="&amp;(SUBSTITUTE(SUBSTITUTE(SUBSTITUTE(SUBSTITUTE("type:"&amp;B1723,"%","%25"),"~","%7E"),"*","%2A"),"?","%3F")))&lt;&gt;1),"",IF(OR(INDEX('Rules'!$B$7:$B$26,MATCH(SUBSTITUTE(SUBSTITUTE(SUBSTITUTE(SUBSTITUTE("type:"&amp;B1723,"%","%25"),"~","%7E"),"*","%2A"),"?","%3F"),'Rules'!$G$7:$G$26,0))="hours",INDEX('Rules'!$B$7:$B$26,MATCH(SUBSTITUTE(SUBSTITUTE(SUBSTITUTE(SUBSTITUTE("type:"&amp;B1723,"%","%25"),"~","%7E"),"*","%2A"),"?","%3F"),'Rules'!$G$7:$G$26,0))="km"),INDEX('Rules'!$B$7:$B$26,MATCH(SUBSTITUTE(SUBSTITUTE(SUBSTITUTE(SUBSTITUTE("type:"&amp;B1723,"%","%25"),"~","%7E"),"*","%2A"),"?","%3F"),'Rules'!$G$7:$G$26,0)),""))</x:f>
      </x:c>
      <x:c r="I1723" s="6" t="str">
        <x:f>IF(AND(NOT(COUNTA(A1723:F1723)=0),K1723=""),ROUND(J1723-D1723,3),"")</x:f>
      </x:c>
      <x:c r="J1723" s="6" t="str">
        <x:f>IF(AND(NOT(COUNTA(A1723:F1723)=0),K1723=""),ROUND(F1723+L1723,3),"")</x:f>
      </x:c>
      <x:c r="K1723" s="5" t="str">
        <x:f>IF(COUNTA(A1723:F1723)=0,"",IF(A1723="","Missing equipment ID",IF(COUNTIFS($N$8:$N$2007,"="&amp;N1723)&gt;1,"Duplicate equipment ID",IF(B1723="","Missing type",IF(COUNTIFS('Rules'!$G$7:$G$26,"="&amp;(SUBSTITUTE(SUBSTITUTE(SUBSTITUTE(SUBSTITUTE("type:"&amp;B1723,"%","%25"),"~","%7E"),"*","%2A"),"?","%3F")))=0,"Unknown type",IF(COUNTIFS('Rules'!$G$7:$G$26,"="&amp;(SUBSTITUTE(SUBSTITUTE(SUBSTITUTE(SUBSTITUTE("type:"&amp;B1723,"%","%25"),"~","%7E"),"*","%2A"),"?","%3F")))&gt;1,"Duplicate type",IF(INDEX('Rules'!$F$7:$F$26,MATCH(SUBSTITUTE(SUBSTITUTE(SUBSTITUTE(SUBSTITUTE("type:"&amp;B1723,"%","%25"),"~","%7E"),"*","%2A"),"?","%3F"),'Rules'!$G$7:$G$26,0))&lt;&gt;"",INDEX('Rules'!$F$7:$F$26,MATCH(SUBSTITUTE(SUBSTITUTE(SUBSTITUTE(SUBSTITUTE("type:"&amp;B1723,"%","%25"),"~","%7E"),"*","%2A"),"?","%3F"),'Rules'!$G$7:$G$26,0)),IF(AND(C1723&lt;&gt;"",C1723&lt;&gt;INDEX('Rules'!$B$7:$B$26,MATCH(SUBSTITUTE(SUBSTITUTE(SUBSTITUTE(SUBSTITUTE("type:"&amp;B1723,"%","%25"),"~","%7E"),"*","%2A"),"?","%3F"),'Rules'!$G$7:$G$26,0))),"Unit mismatch",IF(IF(NOT(ISNUMBER(D1723)),TRUE,OR(D1723&lt;0,D1723&gt;999999999,ROUND(D1723,3)&lt;&gt;D1723)),"Invalid current reading",IF(AND(E1723&lt;&gt;"",IF(NOT(ISNUMBER(E1723)),TRUE,OR(E1723&lt;0,E1723&gt;999999999,ROUND(E1723,3)&lt;&gt;E1723))),"Invalid previous reading",IF(IF(NOT(ISNUMBER(F1723)),TRUE,OR(F1723&lt;0,F1723&gt;999999999,ROUND(F1723,3)&lt;&gt;F1723)),"Invalid last service",IF(AND(E1723&lt;&gt;"",D1723&lt;E1723),"Decreased reading",IF(F1723&gt;D1723,"Last service above current","")))))))))))))</x:f>
      </x:c>
      <x:c r="L1723" s="6" t="str">
        <x:f>IF(AND(NOT(COUNTA(A1723:F1723)=0),K1723=""),INDEX('Rules'!$C$7:$C$26,MATCH(SUBSTITUTE(SUBSTITUTE(SUBSTITUTE(SUBSTITUTE("type:"&amp;B1723,"%","%25"),"~","%7E"),"*","%2A"),"?","%3F"),'Rules'!$G$7:$G$26,0)),"")</x:f>
      </x:c>
      <x:c r="M1723" s="6" t="str">
        <x:f>IF(AND(NOT(COUNTA(A1723:F1723)=0),K1723=""),INDEX('Rules'!$D$7:$D$26,MATCH(SUBSTITUTE(SUBSTITUTE(SUBSTITUTE(SUBSTITUTE("type:"&amp;B1723,"%","%25"),"~","%7E"),"*","%2A"),"?","%3F"),'Rules'!$G$7:$G$26,0)),"")</x:f>
      </x:c>
      <x:c r="N1723" s="5" t="str">
        <x:f>IF(COUNTA(A1723:F1723)=0,"",SUBSTITUTE(SUBSTITUTE(SUBSTITUTE(SUBSTITUTE("id:"&amp;A1723,"%","%25"),"~","%7E"),"*","%2A"),"?","%3F"))</x:f>
      </x:c>
    </x:row>
    <x:row r="1724" ht="22" customHeight="1">
      <x:c r="A1724" s="3"/>
      <x:c r="B1724" s="3"/>
      <x:c r="C1724" s="3"/>
      <x:c r="D1724" s="4"/>
      <x:c r="E1724" s="4"/>
      <x:c r="F1724" s="4"/>
      <x:c r="G1724" s="5" t="str">
        <x:f>IF(COUNTA(A1724:F1724)=0,"",IF(K1724&lt;&gt;"","Review",IF(I1724&lt;0,"Overdue",IF(I1724=0,"Due now",IF(I1724&lt;=M1724,"Due soon","Not due")))))</x:f>
      </x:c>
      <x:c r="H1724" s="5" t="str">
        <x:f>IF(OR(COUNTA(A1724:F1724)=0,COUNTIFS('Rules'!$G$7:$G$26,"="&amp;(SUBSTITUTE(SUBSTITUTE(SUBSTITUTE(SUBSTITUTE("type:"&amp;B1724,"%","%25"),"~","%7E"),"*","%2A"),"?","%3F")))&lt;&gt;1),"",IF(OR(INDEX('Rules'!$B$7:$B$26,MATCH(SUBSTITUTE(SUBSTITUTE(SUBSTITUTE(SUBSTITUTE("type:"&amp;B1724,"%","%25"),"~","%7E"),"*","%2A"),"?","%3F"),'Rules'!$G$7:$G$26,0))="hours",INDEX('Rules'!$B$7:$B$26,MATCH(SUBSTITUTE(SUBSTITUTE(SUBSTITUTE(SUBSTITUTE("type:"&amp;B1724,"%","%25"),"~","%7E"),"*","%2A"),"?","%3F"),'Rules'!$G$7:$G$26,0))="km"),INDEX('Rules'!$B$7:$B$26,MATCH(SUBSTITUTE(SUBSTITUTE(SUBSTITUTE(SUBSTITUTE("type:"&amp;B1724,"%","%25"),"~","%7E"),"*","%2A"),"?","%3F"),'Rules'!$G$7:$G$26,0)),""))</x:f>
      </x:c>
      <x:c r="I1724" s="6" t="str">
        <x:f>IF(AND(NOT(COUNTA(A1724:F1724)=0),K1724=""),ROUND(J1724-D1724,3),"")</x:f>
      </x:c>
      <x:c r="J1724" s="6" t="str">
        <x:f>IF(AND(NOT(COUNTA(A1724:F1724)=0),K1724=""),ROUND(F1724+L1724,3),"")</x:f>
      </x:c>
      <x:c r="K1724" s="5" t="str">
        <x:f>IF(COUNTA(A1724:F1724)=0,"",IF(A1724="","Missing equipment ID",IF(COUNTIFS($N$8:$N$2007,"="&amp;N1724)&gt;1,"Duplicate equipment ID",IF(B1724="","Missing type",IF(COUNTIFS('Rules'!$G$7:$G$26,"="&amp;(SUBSTITUTE(SUBSTITUTE(SUBSTITUTE(SUBSTITUTE("type:"&amp;B1724,"%","%25"),"~","%7E"),"*","%2A"),"?","%3F")))=0,"Unknown type",IF(COUNTIFS('Rules'!$G$7:$G$26,"="&amp;(SUBSTITUTE(SUBSTITUTE(SUBSTITUTE(SUBSTITUTE("type:"&amp;B1724,"%","%25"),"~","%7E"),"*","%2A"),"?","%3F")))&gt;1,"Duplicate type",IF(INDEX('Rules'!$F$7:$F$26,MATCH(SUBSTITUTE(SUBSTITUTE(SUBSTITUTE(SUBSTITUTE("type:"&amp;B1724,"%","%25"),"~","%7E"),"*","%2A"),"?","%3F"),'Rules'!$G$7:$G$26,0))&lt;&gt;"",INDEX('Rules'!$F$7:$F$26,MATCH(SUBSTITUTE(SUBSTITUTE(SUBSTITUTE(SUBSTITUTE("type:"&amp;B1724,"%","%25"),"~","%7E"),"*","%2A"),"?","%3F"),'Rules'!$G$7:$G$26,0)),IF(AND(C1724&lt;&gt;"",C1724&lt;&gt;INDEX('Rules'!$B$7:$B$26,MATCH(SUBSTITUTE(SUBSTITUTE(SUBSTITUTE(SUBSTITUTE("type:"&amp;B1724,"%","%25"),"~","%7E"),"*","%2A"),"?","%3F"),'Rules'!$G$7:$G$26,0))),"Unit mismatch",IF(IF(NOT(ISNUMBER(D1724)),TRUE,OR(D1724&lt;0,D1724&gt;999999999,ROUND(D1724,3)&lt;&gt;D1724)),"Invalid current reading",IF(AND(E1724&lt;&gt;"",IF(NOT(ISNUMBER(E1724)),TRUE,OR(E1724&lt;0,E1724&gt;999999999,ROUND(E1724,3)&lt;&gt;E1724))),"Invalid previous reading",IF(IF(NOT(ISNUMBER(F1724)),TRUE,OR(F1724&lt;0,F1724&gt;999999999,ROUND(F1724,3)&lt;&gt;F1724)),"Invalid last service",IF(AND(E1724&lt;&gt;"",D1724&lt;E1724),"Decreased reading",IF(F1724&gt;D1724,"Last service above current","")))))))))))))</x:f>
      </x:c>
      <x:c r="L1724" s="6" t="str">
        <x:f>IF(AND(NOT(COUNTA(A1724:F1724)=0),K1724=""),INDEX('Rules'!$C$7:$C$26,MATCH(SUBSTITUTE(SUBSTITUTE(SUBSTITUTE(SUBSTITUTE("type:"&amp;B1724,"%","%25"),"~","%7E"),"*","%2A"),"?","%3F"),'Rules'!$G$7:$G$26,0)),"")</x:f>
      </x:c>
      <x:c r="M1724" s="6" t="str">
        <x:f>IF(AND(NOT(COUNTA(A1724:F1724)=0),K1724=""),INDEX('Rules'!$D$7:$D$26,MATCH(SUBSTITUTE(SUBSTITUTE(SUBSTITUTE(SUBSTITUTE("type:"&amp;B1724,"%","%25"),"~","%7E"),"*","%2A"),"?","%3F"),'Rules'!$G$7:$G$26,0)),"")</x:f>
      </x:c>
      <x:c r="N1724" s="5" t="str">
        <x:f>IF(COUNTA(A1724:F1724)=0,"",SUBSTITUTE(SUBSTITUTE(SUBSTITUTE(SUBSTITUTE("id:"&amp;A1724,"%","%25"),"~","%7E"),"*","%2A"),"?","%3F"))</x:f>
      </x:c>
    </x:row>
    <x:row r="1725" ht="22" customHeight="1">
      <x:c r="A1725" s="3"/>
      <x:c r="B1725" s="3"/>
      <x:c r="C1725" s="3"/>
      <x:c r="D1725" s="4"/>
      <x:c r="E1725" s="4"/>
      <x:c r="F1725" s="4"/>
      <x:c r="G1725" s="5" t="str">
        <x:f>IF(COUNTA(A1725:F1725)=0,"",IF(K1725&lt;&gt;"","Review",IF(I1725&lt;0,"Overdue",IF(I1725=0,"Due now",IF(I1725&lt;=M1725,"Due soon","Not due")))))</x:f>
      </x:c>
      <x:c r="H1725" s="5" t="str">
        <x:f>IF(OR(COUNTA(A1725:F1725)=0,COUNTIFS('Rules'!$G$7:$G$26,"="&amp;(SUBSTITUTE(SUBSTITUTE(SUBSTITUTE(SUBSTITUTE("type:"&amp;B1725,"%","%25"),"~","%7E"),"*","%2A"),"?","%3F")))&lt;&gt;1),"",IF(OR(INDEX('Rules'!$B$7:$B$26,MATCH(SUBSTITUTE(SUBSTITUTE(SUBSTITUTE(SUBSTITUTE("type:"&amp;B1725,"%","%25"),"~","%7E"),"*","%2A"),"?","%3F"),'Rules'!$G$7:$G$26,0))="hours",INDEX('Rules'!$B$7:$B$26,MATCH(SUBSTITUTE(SUBSTITUTE(SUBSTITUTE(SUBSTITUTE("type:"&amp;B1725,"%","%25"),"~","%7E"),"*","%2A"),"?","%3F"),'Rules'!$G$7:$G$26,0))="km"),INDEX('Rules'!$B$7:$B$26,MATCH(SUBSTITUTE(SUBSTITUTE(SUBSTITUTE(SUBSTITUTE("type:"&amp;B1725,"%","%25"),"~","%7E"),"*","%2A"),"?","%3F"),'Rules'!$G$7:$G$26,0)),""))</x:f>
      </x:c>
      <x:c r="I1725" s="6" t="str">
        <x:f>IF(AND(NOT(COUNTA(A1725:F1725)=0),K1725=""),ROUND(J1725-D1725,3),"")</x:f>
      </x:c>
      <x:c r="J1725" s="6" t="str">
        <x:f>IF(AND(NOT(COUNTA(A1725:F1725)=0),K1725=""),ROUND(F1725+L1725,3),"")</x:f>
      </x:c>
      <x:c r="K1725" s="5" t="str">
        <x:f>IF(COUNTA(A1725:F1725)=0,"",IF(A1725="","Missing equipment ID",IF(COUNTIFS($N$8:$N$2007,"="&amp;N1725)&gt;1,"Duplicate equipment ID",IF(B1725="","Missing type",IF(COUNTIFS('Rules'!$G$7:$G$26,"="&amp;(SUBSTITUTE(SUBSTITUTE(SUBSTITUTE(SUBSTITUTE("type:"&amp;B1725,"%","%25"),"~","%7E"),"*","%2A"),"?","%3F")))=0,"Unknown type",IF(COUNTIFS('Rules'!$G$7:$G$26,"="&amp;(SUBSTITUTE(SUBSTITUTE(SUBSTITUTE(SUBSTITUTE("type:"&amp;B1725,"%","%25"),"~","%7E"),"*","%2A"),"?","%3F")))&gt;1,"Duplicate type",IF(INDEX('Rules'!$F$7:$F$26,MATCH(SUBSTITUTE(SUBSTITUTE(SUBSTITUTE(SUBSTITUTE("type:"&amp;B1725,"%","%25"),"~","%7E"),"*","%2A"),"?","%3F"),'Rules'!$G$7:$G$26,0))&lt;&gt;"",INDEX('Rules'!$F$7:$F$26,MATCH(SUBSTITUTE(SUBSTITUTE(SUBSTITUTE(SUBSTITUTE("type:"&amp;B1725,"%","%25"),"~","%7E"),"*","%2A"),"?","%3F"),'Rules'!$G$7:$G$26,0)),IF(AND(C1725&lt;&gt;"",C1725&lt;&gt;INDEX('Rules'!$B$7:$B$26,MATCH(SUBSTITUTE(SUBSTITUTE(SUBSTITUTE(SUBSTITUTE("type:"&amp;B1725,"%","%25"),"~","%7E"),"*","%2A"),"?","%3F"),'Rules'!$G$7:$G$26,0))),"Unit mismatch",IF(IF(NOT(ISNUMBER(D1725)),TRUE,OR(D1725&lt;0,D1725&gt;999999999,ROUND(D1725,3)&lt;&gt;D1725)),"Invalid current reading",IF(AND(E1725&lt;&gt;"",IF(NOT(ISNUMBER(E1725)),TRUE,OR(E1725&lt;0,E1725&gt;999999999,ROUND(E1725,3)&lt;&gt;E1725))),"Invalid previous reading",IF(IF(NOT(ISNUMBER(F1725)),TRUE,OR(F1725&lt;0,F1725&gt;999999999,ROUND(F1725,3)&lt;&gt;F1725)),"Invalid last service",IF(AND(E1725&lt;&gt;"",D1725&lt;E1725),"Decreased reading",IF(F1725&gt;D1725,"Last service above current","")))))))))))))</x:f>
      </x:c>
      <x:c r="L1725" s="6" t="str">
        <x:f>IF(AND(NOT(COUNTA(A1725:F1725)=0),K1725=""),INDEX('Rules'!$C$7:$C$26,MATCH(SUBSTITUTE(SUBSTITUTE(SUBSTITUTE(SUBSTITUTE("type:"&amp;B1725,"%","%25"),"~","%7E"),"*","%2A"),"?","%3F"),'Rules'!$G$7:$G$26,0)),"")</x:f>
      </x:c>
      <x:c r="M1725" s="6" t="str">
        <x:f>IF(AND(NOT(COUNTA(A1725:F1725)=0),K1725=""),INDEX('Rules'!$D$7:$D$26,MATCH(SUBSTITUTE(SUBSTITUTE(SUBSTITUTE(SUBSTITUTE("type:"&amp;B1725,"%","%25"),"~","%7E"),"*","%2A"),"?","%3F"),'Rules'!$G$7:$G$26,0)),"")</x:f>
      </x:c>
      <x:c r="N1725" s="5" t="str">
        <x:f>IF(COUNTA(A1725:F1725)=0,"",SUBSTITUTE(SUBSTITUTE(SUBSTITUTE(SUBSTITUTE("id:"&amp;A1725,"%","%25"),"~","%7E"),"*","%2A"),"?","%3F"))</x:f>
      </x:c>
    </x:row>
    <x:row r="1726" ht="22" customHeight="1">
      <x:c r="A1726" s="3"/>
      <x:c r="B1726" s="3"/>
      <x:c r="C1726" s="3"/>
      <x:c r="D1726" s="4"/>
      <x:c r="E1726" s="4"/>
      <x:c r="F1726" s="4"/>
      <x:c r="G1726" s="5" t="str">
        <x:f>IF(COUNTA(A1726:F1726)=0,"",IF(K1726&lt;&gt;"","Review",IF(I1726&lt;0,"Overdue",IF(I1726=0,"Due now",IF(I1726&lt;=M1726,"Due soon","Not due")))))</x:f>
      </x:c>
      <x:c r="H1726" s="5" t="str">
        <x:f>IF(OR(COUNTA(A1726:F1726)=0,COUNTIFS('Rules'!$G$7:$G$26,"="&amp;(SUBSTITUTE(SUBSTITUTE(SUBSTITUTE(SUBSTITUTE("type:"&amp;B1726,"%","%25"),"~","%7E"),"*","%2A"),"?","%3F")))&lt;&gt;1),"",IF(OR(INDEX('Rules'!$B$7:$B$26,MATCH(SUBSTITUTE(SUBSTITUTE(SUBSTITUTE(SUBSTITUTE("type:"&amp;B1726,"%","%25"),"~","%7E"),"*","%2A"),"?","%3F"),'Rules'!$G$7:$G$26,0))="hours",INDEX('Rules'!$B$7:$B$26,MATCH(SUBSTITUTE(SUBSTITUTE(SUBSTITUTE(SUBSTITUTE("type:"&amp;B1726,"%","%25"),"~","%7E"),"*","%2A"),"?","%3F"),'Rules'!$G$7:$G$26,0))="km"),INDEX('Rules'!$B$7:$B$26,MATCH(SUBSTITUTE(SUBSTITUTE(SUBSTITUTE(SUBSTITUTE("type:"&amp;B1726,"%","%25"),"~","%7E"),"*","%2A"),"?","%3F"),'Rules'!$G$7:$G$26,0)),""))</x:f>
      </x:c>
      <x:c r="I1726" s="6" t="str">
        <x:f>IF(AND(NOT(COUNTA(A1726:F1726)=0),K1726=""),ROUND(J1726-D1726,3),"")</x:f>
      </x:c>
      <x:c r="J1726" s="6" t="str">
        <x:f>IF(AND(NOT(COUNTA(A1726:F1726)=0),K1726=""),ROUND(F1726+L1726,3),"")</x:f>
      </x:c>
      <x:c r="K1726" s="5" t="str">
        <x:f>IF(COUNTA(A1726:F1726)=0,"",IF(A1726="","Missing equipment ID",IF(COUNTIFS($N$8:$N$2007,"="&amp;N1726)&gt;1,"Duplicate equipment ID",IF(B1726="","Missing type",IF(COUNTIFS('Rules'!$G$7:$G$26,"="&amp;(SUBSTITUTE(SUBSTITUTE(SUBSTITUTE(SUBSTITUTE("type:"&amp;B1726,"%","%25"),"~","%7E"),"*","%2A"),"?","%3F")))=0,"Unknown type",IF(COUNTIFS('Rules'!$G$7:$G$26,"="&amp;(SUBSTITUTE(SUBSTITUTE(SUBSTITUTE(SUBSTITUTE("type:"&amp;B1726,"%","%25"),"~","%7E"),"*","%2A"),"?","%3F")))&gt;1,"Duplicate type",IF(INDEX('Rules'!$F$7:$F$26,MATCH(SUBSTITUTE(SUBSTITUTE(SUBSTITUTE(SUBSTITUTE("type:"&amp;B1726,"%","%25"),"~","%7E"),"*","%2A"),"?","%3F"),'Rules'!$G$7:$G$26,0))&lt;&gt;"",INDEX('Rules'!$F$7:$F$26,MATCH(SUBSTITUTE(SUBSTITUTE(SUBSTITUTE(SUBSTITUTE("type:"&amp;B1726,"%","%25"),"~","%7E"),"*","%2A"),"?","%3F"),'Rules'!$G$7:$G$26,0)),IF(AND(C1726&lt;&gt;"",C1726&lt;&gt;INDEX('Rules'!$B$7:$B$26,MATCH(SUBSTITUTE(SUBSTITUTE(SUBSTITUTE(SUBSTITUTE("type:"&amp;B1726,"%","%25"),"~","%7E"),"*","%2A"),"?","%3F"),'Rules'!$G$7:$G$26,0))),"Unit mismatch",IF(IF(NOT(ISNUMBER(D1726)),TRUE,OR(D1726&lt;0,D1726&gt;999999999,ROUND(D1726,3)&lt;&gt;D1726)),"Invalid current reading",IF(AND(E1726&lt;&gt;"",IF(NOT(ISNUMBER(E1726)),TRUE,OR(E1726&lt;0,E1726&gt;999999999,ROUND(E1726,3)&lt;&gt;E1726))),"Invalid previous reading",IF(IF(NOT(ISNUMBER(F1726)),TRUE,OR(F1726&lt;0,F1726&gt;999999999,ROUND(F1726,3)&lt;&gt;F1726)),"Invalid last service",IF(AND(E1726&lt;&gt;"",D1726&lt;E1726),"Decreased reading",IF(F1726&gt;D1726,"Last service above current","")))))))))))))</x:f>
      </x:c>
      <x:c r="L1726" s="6" t="str">
        <x:f>IF(AND(NOT(COUNTA(A1726:F1726)=0),K1726=""),INDEX('Rules'!$C$7:$C$26,MATCH(SUBSTITUTE(SUBSTITUTE(SUBSTITUTE(SUBSTITUTE("type:"&amp;B1726,"%","%25"),"~","%7E"),"*","%2A"),"?","%3F"),'Rules'!$G$7:$G$26,0)),"")</x:f>
      </x:c>
      <x:c r="M1726" s="6" t="str">
        <x:f>IF(AND(NOT(COUNTA(A1726:F1726)=0),K1726=""),INDEX('Rules'!$D$7:$D$26,MATCH(SUBSTITUTE(SUBSTITUTE(SUBSTITUTE(SUBSTITUTE("type:"&amp;B1726,"%","%25"),"~","%7E"),"*","%2A"),"?","%3F"),'Rules'!$G$7:$G$26,0)),"")</x:f>
      </x:c>
      <x:c r="N1726" s="5" t="str">
        <x:f>IF(COUNTA(A1726:F1726)=0,"",SUBSTITUTE(SUBSTITUTE(SUBSTITUTE(SUBSTITUTE("id:"&amp;A1726,"%","%25"),"~","%7E"),"*","%2A"),"?","%3F"))</x:f>
      </x:c>
    </x:row>
    <x:row r="1727" ht="22" customHeight="1">
      <x:c r="A1727" s="3"/>
      <x:c r="B1727" s="3"/>
      <x:c r="C1727" s="3"/>
      <x:c r="D1727" s="4"/>
      <x:c r="E1727" s="4"/>
      <x:c r="F1727" s="4"/>
      <x:c r="G1727" s="5" t="str">
        <x:f>IF(COUNTA(A1727:F1727)=0,"",IF(K1727&lt;&gt;"","Review",IF(I1727&lt;0,"Overdue",IF(I1727=0,"Due now",IF(I1727&lt;=M1727,"Due soon","Not due")))))</x:f>
      </x:c>
      <x:c r="H1727" s="5" t="str">
        <x:f>IF(OR(COUNTA(A1727:F1727)=0,COUNTIFS('Rules'!$G$7:$G$26,"="&amp;(SUBSTITUTE(SUBSTITUTE(SUBSTITUTE(SUBSTITUTE("type:"&amp;B1727,"%","%25"),"~","%7E"),"*","%2A"),"?","%3F")))&lt;&gt;1),"",IF(OR(INDEX('Rules'!$B$7:$B$26,MATCH(SUBSTITUTE(SUBSTITUTE(SUBSTITUTE(SUBSTITUTE("type:"&amp;B1727,"%","%25"),"~","%7E"),"*","%2A"),"?","%3F"),'Rules'!$G$7:$G$26,0))="hours",INDEX('Rules'!$B$7:$B$26,MATCH(SUBSTITUTE(SUBSTITUTE(SUBSTITUTE(SUBSTITUTE("type:"&amp;B1727,"%","%25"),"~","%7E"),"*","%2A"),"?","%3F"),'Rules'!$G$7:$G$26,0))="km"),INDEX('Rules'!$B$7:$B$26,MATCH(SUBSTITUTE(SUBSTITUTE(SUBSTITUTE(SUBSTITUTE("type:"&amp;B1727,"%","%25"),"~","%7E"),"*","%2A"),"?","%3F"),'Rules'!$G$7:$G$26,0)),""))</x:f>
      </x:c>
      <x:c r="I1727" s="6" t="str">
        <x:f>IF(AND(NOT(COUNTA(A1727:F1727)=0),K1727=""),ROUND(J1727-D1727,3),"")</x:f>
      </x:c>
      <x:c r="J1727" s="6" t="str">
        <x:f>IF(AND(NOT(COUNTA(A1727:F1727)=0),K1727=""),ROUND(F1727+L1727,3),"")</x:f>
      </x:c>
      <x:c r="K1727" s="5" t="str">
        <x:f>IF(COUNTA(A1727:F1727)=0,"",IF(A1727="","Missing equipment ID",IF(COUNTIFS($N$8:$N$2007,"="&amp;N1727)&gt;1,"Duplicate equipment ID",IF(B1727="","Missing type",IF(COUNTIFS('Rules'!$G$7:$G$26,"="&amp;(SUBSTITUTE(SUBSTITUTE(SUBSTITUTE(SUBSTITUTE("type:"&amp;B1727,"%","%25"),"~","%7E"),"*","%2A"),"?","%3F")))=0,"Unknown type",IF(COUNTIFS('Rules'!$G$7:$G$26,"="&amp;(SUBSTITUTE(SUBSTITUTE(SUBSTITUTE(SUBSTITUTE("type:"&amp;B1727,"%","%25"),"~","%7E"),"*","%2A"),"?","%3F")))&gt;1,"Duplicate type",IF(INDEX('Rules'!$F$7:$F$26,MATCH(SUBSTITUTE(SUBSTITUTE(SUBSTITUTE(SUBSTITUTE("type:"&amp;B1727,"%","%25"),"~","%7E"),"*","%2A"),"?","%3F"),'Rules'!$G$7:$G$26,0))&lt;&gt;"",INDEX('Rules'!$F$7:$F$26,MATCH(SUBSTITUTE(SUBSTITUTE(SUBSTITUTE(SUBSTITUTE("type:"&amp;B1727,"%","%25"),"~","%7E"),"*","%2A"),"?","%3F"),'Rules'!$G$7:$G$26,0)),IF(AND(C1727&lt;&gt;"",C1727&lt;&gt;INDEX('Rules'!$B$7:$B$26,MATCH(SUBSTITUTE(SUBSTITUTE(SUBSTITUTE(SUBSTITUTE("type:"&amp;B1727,"%","%25"),"~","%7E"),"*","%2A"),"?","%3F"),'Rules'!$G$7:$G$26,0))),"Unit mismatch",IF(IF(NOT(ISNUMBER(D1727)),TRUE,OR(D1727&lt;0,D1727&gt;999999999,ROUND(D1727,3)&lt;&gt;D1727)),"Invalid current reading",IF(AND(E1727&lt;&gt;"",IF(NOT(ISNUMBER(E1727)),TRUE,OR(E1727&lt;0,E1727&gt;999999999,ROUND(E1727,3)&lt;&gt;E1727))),"Invalid previous reading",IF(IF(NOT(ISNUMBER(F1727)),TRUE,OR(F1727&lt;0,F1727&gt;999999999,ROUND(F1727,3)&lt;&gt;F1727)),"Invalid last service",IF(AND(E1727&lt;&gt;"",D1727&lt;E1727),"Decreased reading",IF(F1727&gt;D1727,"Last service above current","")))))))))))))</x:f>
      </x:c>
      <x:c r="L1727" s="6" t="str">
        <x:f>IF(AND(NOT(COUNTA(A1727:F1727)=0),K1727=""),INDEX('Rules'!$C$7:$C$26,MATCH(SUBSTITUTE(SUBSTITUTE(SUBSTITUTE(SUBSTITUTE("type:"&amp;B1727,"%","%25"),"~","%7E"),"*","%2A"),"?","%3F"),'Rules'!$G$7:$G$26,0)),"")</x:f>
      </x:c>
      <x:c r="M1727" s="6" t="str">
        <x:f>IF(AND(NOT(COUNTA(A1727:F1727)=0),K1727=""),INDEX('Rules'!$D$7:$D$26,MATCH(SUBSTITUTE(SUBSTITUTE(SUBSTITUTE(SUBSTITUTE("type:"&amp;B1727,"%","%25"),"~","%7E"),"*","%2A"),"?","%3F"),'Rules'!$G$7:$G$26,0)),"")</x:f>
      </x:c>
      <x:c r="N1727" s="5" t="str">
        <x:f>IF(COUNTA(A1727:F1727)=0,"",SUBSTITUTE(SUBSTITUTE(SUBSTITUTE(SUBSTITUTE("id:"&amp;A1727,"%","%25"),"~","%7E"),"*","%2A"),"?","%3F"))</x:f>
      </x:c>
    </x:row>
    <x:row r="1728" ht="22" customHeight="1">
      <x:c r="A1728" s="3"/>
      <x:c r="B1728" s="3"/>
      <x:c r="C1728" s="3"/>
      <x:c r="D1728" s="4"/>
      <x:c r="E1728" s="4"/>
      <x:c r="F1728" s="4"/>
      <x:c r="G1728" s="5" t="str">
        <x:f>IF(COUNTA(A1728:F1728)=0,"",IF(K1728&lt;&gt;"","Review",IF(I1728&lt;0,"Overdue",IF(I1728=0,"Due now",IF(I1728&lt;=M1728,"Due soon","Not due")))))</x:f>
      </x:c>
      <x:c r="H1728" s="5" t="str">
        <x:f>IF(OR(COUNTA(A1728:F1728)=0,COUNTIFS('Rules'!$G$7:$G$26,"="&amp;(SUBSTITUTE(SUBSTITUTE(SUBSTITUTE(SUBSTITUTE("type:"&amp;B1728,"%","%25"),"~","%7E"),"*","%2A"),"?","%3F")))&lt;&gt;1),"",IF(OR(INDEX('Rules'!$B$7:$B$26,MATCH(SUBSTITUTE(SUBSTITUTE(SUBSTITUTE(SUBSTITUTE("type:"&amp;B1728,"%","%25"),"~","%7E"),"*","%2A"),"?","%3F"),'Rules'!$G$7:$G$26,0))="hours",INDEX('Rules'!$B$7:$B$26,MATCH(SUBSTITUTE(SUBSTITUTE(SUBSTITUTE(SUBSTITUTE("type:"&amp;B1728,"%","%25"),"~","%7E"),"*","%2A"),"?","%3F"),'Rules'!$G$7:$G$26,0))="km"),INDEX('Rules'!$B$7:$B$26,MATCH(SUBSTITUTE(SUBSTITUTE(SUBSTITUTE(SUBSTITUTE("type:"&amp;B1728,"%","%25"),"~","%7E"),"*","%2A"),"?","%3F"),'Rules'!$G$7:$G$26,0)),""))</x:f>
      </x:c>
      <x:c r="I1728" s="6" t="str">
        <x:f>IF(AND(NOT(COUNTA(A1728:F1728)=0),K1728=""),ROUND(J1728-D1728,3),"")</x:f>
      </x:c>
      <x:c r="J1728" s="6" t="str">
        <x:f>IF(AND(NOT(COUNTA(A1728:F1728)=0),K1728=""),ROUND(F1728+L1728,3),"")</x:f>
      </x:c>
      <x:c r="K1728" s="5" t="str">
        <x:f>IF(COUNTA(A1728:F1728)=0,"",IF(A1728="","Missing equipment ID",IF(COUNTIFS($N$8:$N$2007,"="&amp;N1728)&gt;1,"Duplicate equipment ID",IF(B1728="","Missing type",IF(COUNTIFS('Rules'!$G$7:$G$26,"="&amp;(SUBSTITUTE(SUBSTITUTE(SUBSTITUTE(SUBSTITUTE("type:"&amp;B1728,"%","%25"),"~","%7E"),"*","%2A"),"?","%3F")))=0,"Unknown type",IF(COUNTIFS('Rules'!$G$7:$G$26,"="&amp;(SUBSTITUTE(SUBSTITUTE(SUBSTITUTE(SUBSTITUTE("type:"&amp;B1728,"%","%25"),"~","%7E"),"*","%2A"),"?","%3F")))&gt;1,"Duplicate type",IF(INDEX('Rules'!$F$7:$F$26,MATCH(SUBSTITUTE(SUBSTITUTE(SUBSTITUTE(SUBSTITUTE("type:"&amp;B1728,"%","%25"),"~","%7E"),"*","%2A"),"?","%3F"),'Rules'!$G$7:$G$26,0))&lt;&gt;"",INDEX('Rules'!$F$7:$F$26,MATCH(SUBSTITUTE(SUBSTITUTE(SUBSTITUTE(SUBSTITUTE("type:"&amp;B1728,"%","%25"),"~","%7E"),"*","%2A"),"?","%3F"),'Rules'!$G$7:$G$26,0)),IF(AND(C1728&lt;&gt;"",C1728&lt;&gt;INDEX('Rules'!$B$7:$B$26,MATCH(SUBSTITUTE(SUBSTITUTE(SUBSTITUTE(SUBSTITUTE("type:"&amp;B1728,"%","%25"),"~","%7E"),"*","%2A"),"?","%3F"),'Rules'!$G$7:$G$26,0))),"Unit mismatch",IF(IF(NOT(ISNUMBER(D1728)),TRUE,OR(D1728&lt;0,D1728&gt;999999999,ROUND(D1728,3)&lt;&gt;D1728)),"Invalid current reading",IF(AND(E1728&lt;&gt;"",IF(NOT(ISNUMBER(E1728)),TRUE,OR(E1728&lt;0,E1728&gt;999999999,ROUND(E1728,3)&lt;&gt;E1728))),"Invalid previous reading",IF(IF(NOT(ISNUMBER(F1728)),TRUE,OR(F1728&lt;0,F1728&gt;999999999,ROUND(F1728,3)&lt;&gt;F1728)),"Invalid last service",IF(AND(E1728&lt;&gt;"",D1728&lt;E1728),"Decreased reading",IF(F1728&gt;D1728,"Last service above current","")))))))))))))</x:f>
      </x:c>
      <x:c r="L1728" s="6" t="str">
        <x:f>IF(AND(NOT(COUNTA(A1728:F1728)=0),K1728=""),INDEX('Rules'!$C$7:$C$26,MATCH(SUBSTITUTE(SUBSTITUTE(SUBSTITUTE(SUBSTITUTE("type:"&amp;B1728,"%","%25"),"~","%7E"),"*","%2A"),"?","%3F"),'Rules'!$G$7:$G$26,0)),"")</x:f>
      </x:c>
      <x:c r="M1728" s="6" t="str">
        <x:f>IF(AND(NOT(COUNTA(A1728:F1728)=0),K1728=""),INDEX('Rules'!$D$7:$D$26,MATCH(SUBSTITUTE(SUBSTITUTE(SUBSTITUTE(SUBSTITUTE("type:"&amp;B1728,"%","%25"),"~","%7E"),"*","%2A"),"?","%3F"),'Rules'!$G$7:$G$26,0)),"")</x:f>
      </x:c>
      <x:c r="N1728" s="5" t="str">
        <x:f>IF(COUNTA(A1728:F1728)=0,"",SUBSTITUTE(SUBSTITUTE(SUBSTITUTE(SUBSTITUTE("id:"&amp;A1728,"%","%25"),"~","%7E"),"*","%2A"),"?","%3F"))</x:f>
      </x:c>
    </x:row>
    <x:row r="1729" ht="22" customHeight="1">
      <x:c r="A1729" s="3"/>
      <x:c r="B1729" s="3"/>
      <x:c r="C1729" s="3"/>
      <x:c r="D1729" s="4"/>
      <x:c r="E1729" s="4"/>
      <x:c r="F1729" s="4"/>
      <x:c r="G1729" s="5" t="str">
        <x:f>IF(COUNTA(A1729:F1729)=0,"",IF(K1729&lt;&gt;"","Review",IF(I1729&lt;0,"Overdue",IF(I1729=0,"Due now",IF(I1729&lt;=M1729,"Due soon","Not due")))))</x:f>
      </x:c>
      <x:c r="H1729" s="5" t="str">
        <x:f>IF(OR(COUNTA(A1729:F1729)=0,COUNTIFS('Rules'!$G$7:$G$26,"="&amp;(SUBSTITUTE(SUBSTITUTE(SUBSTITUTE(SUBSTITUTE("type:"&amp;B1729,"%","%25"),"~","%7E"),"*","%2A"),"?","%3F")))&lt;&gt;1),"",IF(OR(INDEX('Rules'!$B$7:$B$26,MATCH(SUBSTITUTE(SUBSTITUTE(SUBSTITUTE(SUBSTITUTE("type:"&amp;B1729,"%","%25"),"~","%7E"),"*","%2A"),"?","%3F"),'Rules'!$G$7:$G$26,0))="hours",INDEX('Rules'!$B$7:$B$26,MATCH(SUBSTITUTE(SUBSTITUTE(SUBSTITUTE(SUBSTITUTE("type:"&amp;B1729,"%","%25"),"~","%7E"),"*","%2A"),"?","%3F"),'Rules'!$G$7:$G$26,0))="km"),INDEX('Rules'!$B$7:$B$26,MATCH(SUBSTITUTE(SUBSTITUTE(SUBSTITUTE(SUBSTITUTE("type:"&amp;B1729,"%","%25"),"~","%7E"),"*","%2A"),"?","%3F"),'Rules'!$G$7:$G$26,0)),""))</x:f>
      </x:c>
      <x:c r="I1729" s="6" t="str">
        <x:f>IF(AND(NOT(COUNTA(A1729:F1729)=0),K1729=""),ROUND(J1729-D1729,3),"")</x:f>
      </x:c>
      <x:c r="J1729" s="6" t="str">
        <x:f>IF(AND(NOT(COUNTA(A1729:F1729)=0),K1729=""),ROUND(F1729+L1729,3),"")</x:f>
      </x:c>
      <x:c r="K1729" s="5" t="str">
        <x:f>IF(COUNTA(A1729:F1729)=0,"",IF(A1729="","Missing equipment ID",IF(COUNTIFS($N$8:$N$2007,"="&amp;N1729)&gt;1,"Duplicate equipment ID",IF(B1729="","Missing type",IF(COUNTIFS('Rules'!$G$7:$G$26,"="&amp;(SUBSTITUTE(SUBSTITUTE(SUBSTITUTE(SUBSTITUTE("type:"&amp;B1729,"%","%25"),"~","%7E"),"*","%2A"),"?","%3F")))=0,"Unknown type",IF(COUNTIFS('Rules'!$G$7:$G$26,"="&amp;(SUBSTITUTE(SUBSTITUTE(SUBSTITUTE(SUBSTITUTE("type:"&amp;B1729,"%","%25"),"~","%7E"),"*","%2A"),"?","%3F")))&gt;1,"Duplicate type",IF(INDEX('Rules'!$F$7:$F$26,MATCH(SUBSTITUTE(SUBSTITUTE(SUBSTITUTE(SUBSTITUTE("type:"&amp;B1729,"%","%25"),"~","%7E"),"*","%2A"),"?","%3F"),'Rules'!$G$7:$G$26,0))&lt;&gt;"",INDEX('Rules'!$F$7:$F$26,MATCH(SUBSTITUTE(SUBSTITUTE(SUBSTITUTE(SUBSTITUTE("type:"&amp;B1729,"%","%25"),"~","%7E"),"*","%2A"),"?","%3F"),'Rules'!$G$7:$G$26,0)),IF(AND(C1729&lt;&gt;"",C1729&lt;&gt;INDEX('Rules'!$B$7:$B$26,MATCH(SUBSTITUTE(SUBSTITUTE(SUBSTITUTE(SUBSTITUTE("type:"&amp;B1729,"%","%25"),"~","%7E"),"*","%2A"),"?","%3F"),'Rules'!$G$7:$G$26,0))),"Unit mismatch",IF(IF(NOT(ISNUMBER(D1729)),TRUE,OR(D1729&lt;0,D1729&gt;999999999,ROUND(D1729,3)&lt;&gt;D1729)),"Invalid current reading",IF(AND(E1729&lt;&gt;"",IF(NOT(ISNUMBER(E1729)),TRUE,OR(E1729&lt;0,E1729&gt;999999999,ROUND(E1729,3)&lt;&gt;E1729))),"Invalid previous reading",IF(IF(NOT(ISNUMBER(F1729)),TRUE,OR(F1729&lt;0,F1729&gt;999999999,ROUND(F1729,3)&lt;&gt;F1729)),"Invalid last service",IF(AND(E1729&lt;&gt;"",D1729&lt;E1729),"Decreased reading",IF(F1729&gt;D1729,"Last service above current","")))))))))))))</x:f>
      </x:c>
      <x:c r="L1729" s="6" t="str">
        <x:f>IF(AND(NOT(COUNTA(A1729:F1729)=0),K1729=""),INDEX('Rules'!$C$7:$C$26,MATCH(SUBSTITUTE(SUBSTITUTE(SUBSTITUTE(SUBSTITUTE("type:"&amp;B1729,"%","%25"),"~","%7E"),"*","%2A"),"?","%3F"),'Rules'!$G$7:$G$26,0)),"")</x:f>
      </x:c>
      <x:c r="M1729" s="6" t="str">
        <x:f>IF(AND(NOT(COUNTA(A1729:F1729)=0),K1729=""),INDEX('Rules'!$D$7:$D$26,MATCH(SUBSTITUTE(SUBSTITUTE(SUBSTITUTE(SUBSTITUTE("type:"&amp;B1729,"%","%25"),"~","%7E"),"*","%2A"),"?","%3F"),'Rules'!$G$7:$G$26,0)),"")</x:f>
      </x:c>
      <x:c r="N1729" s="5" t="str">
        <x:f>IF(COUNTA(A1729:F1729)=0,"",SUBSTITUTE(SUBSTITUTE(SUBSTITUTE(SUBSTITUTE("id:"&amp;A1729,"%","%25"),"~","%7E"),"*","%2A"),"?","%3F"))</x:f>
      </x:c>
    </x:row>
    <x:row r="1730" ht="22" customHeight="1">
      <x:c r="A1730" s="3"/>
      <x:c r="B1730" s="3"/>
      <x:c r="C1730" s="3"/>
      <x:c r="D1730" s="4"/>
      <x:c r="E1730" s="4"/>
      <x:c r="F1730" s="4"/>
      <x:c r="G1730" s="5" t="str">
        <x:f>IF(COUNTA(A1730:F1730)=0,"",IF(K1730&lt;&gt;"","Review",IF(I1730&lt;0,"Overdue",IF(I1730=0,"Due now",IF(I1730&lt;=M1730,"Due soon","Not due")))))</x:f>
      </x:c>
      <x:c r="H1730" s="5" t="str">
        <x:f>IF(OR(COUNTA(A1730:F1730)=0,COUNTIFS('Rules'!$G$7:$G$26,"="&amp;(SUBSTITUTE(SUBSTITUTE(SUBSTITUTE(SUBSTITUTE("type:"&amp;B1730,"%","%25"),"~","%7E"),"*","%2A"),"?","%3F")))&lt;&gt;1),"",IF(OR(INDEX('Rules'!$B$7:$B$26,MATCH(SUBSTITUTE(SUBSTITUTE(SUBSTITUTE(SUBSTITUTE("type:"&amp;B1730,"%","%25"),"~","%7E"),"*","%2A"),"?","%3F"),'Rules'!$G$7:$G$26,0))="hours",INDEX('Rules'!$B$7:$B$26,MATCH(SUBSTITUTE(SUBSTITUTE(SUBSTITUTE(SUBSTITUTE("type:"&amp;B1730,"%","%25"),"~","%7E"),"*","%2A"),"?","%3F"),'Rules'!$G$7:$G$26,0))="km"),INDEX('Rules'!$B$7:$B$26,MATCH(SUBSTITUTE(SUBSTITUTE(SUBSTITUTE(SUBSTITUTE("type:"&amp;B1730,"%","%25"),"~","%7E"),"*","%2A"),"?","%3F"),'Rules'!$G$7:$G$26,0)),""))</x:f>
      </x:c>
      <x:c r="I1730" s="6" t="str">
        <x:f>IF(AND(NOT(COUNTA(A1730:F1730)=0),K1730=""),ROUND(J1730-D1730,3),"")</x:f>
      </x:c>
      <x:c r="J1730" s="6" t="str">
        <x:f>IF(AND(NOT(COUNTA(A1730:F1730)=0),K1730=""),ROUND(F1730+L1730,3),"")</x:f>
      </x:c>
      <x:c r="K1730" s="5" t="str">
        <x:f>IF(COUNTA(A1730:F1730)=0,"",IF(A1730="","Missing equipment ID",IF(COUNTIFS($N$8:$N$2007,"="&amp;N1730)&gt;1,"Duplicate equipment ID",IF(B1730="","Missing type",IF(COUNTIFS('Rules'!$G$7:$G$26,"="&amp;(SUBSTITUTE(SUBSTITUTE(SUBSTITUTE(SUBSTITUTE("type:"&amp;B1730,"%","%25"),"~","%7E"),"*","%2A"),"?","%3F")))=0,"Unknown type",IF(COUNTIFS('Rules'!$G$7:$G$26,"="&amp;(SUBSTITUTE(SUBSTITUTE(SUBSTITUTE(SUBSTITUTE("type:"&amp;B1730,"%","%25"),"~","%7E"),"*","%2A"),"?","%3F")))&gt;1,"Duplicate type",IF(INDEX('Rules'!$F$7:$F$26,MATCH(SUBSTITUTE(SUBSTITUTE(SUBSTITUTE(SUBSTITUTE("type:"&amp;B1730,"%","%25"),"~","%7E"),"*","%2A"),"?","%3F"),'Rules'!$G$7:$G$26,0))&lt;&gt;"",INDEX('Rules'!$F$7:$F$26,MATCH(SUBSTITUTE(SUBSTITUTE(SUBSTITUTE(SUBSTITUTE("type:"&amp;B1730,"%","%25"),"~","%7E"),"*","%2A"),"?","%3F"),'Rules'!$G$7:$G$26,0)),IF(AND(C1730&lt;&gt;"",C1730&lt;&gt;INDEX('Rules'!$B$7:$B$26,MATCH(SUBSTITUTE(SUBSTITUTE(SUBSTITUTE(SUBSTITUTE("type:"&amp;B1730,"%","%25"),"~","%7E"),"*","%2A"),"?","%3F"),'Rules'!$G$7:$G$26,0))),"Unit mismatch",IF(IF(NOT(ISNUMBER(D1730)),TRUE,OR(D1730&lt;0,D1730&gt;999999999,ROUND(D1730,3)&lt;&gt;D1730)),"Invalid current reading",IF(AND(E1730&lt;&gt;"",IF(NOT(ISNUMBER(E1730)),TRUE,OR(E1730&lt;0,E1730&gt;999999999,ROUND(E1730,3)&lt;&gt;E1730))),"Invalid previous reading",IF(IF(NOT(ISNUMBER(F1730)),TRUE,OR(F1730&lt;0,F1730&gt;999999999,ROUND(F1730,3)&lt;&gt;F1730)),"Invalid last service",IF(AND(E1730&lt;&gt;"",D1730&lt;E1730),"Decreased reading",IF(F1730&gt;D1730,"Last service above current","")))))))))))))</x:f>
      </x:c>
      <x:c r="L1730" s="6" t="str">
        <x:f>IF(AND(NOT(COUNTA(A1730:F1730)=0),K1730=""),INDEX('Rules'!$C$7:$C$26,MATCH(SUBSTITUTE(SUBSTITUTE(SUBSTITUTE(SUBSTITUTE("type:"&amp;B1730,"%","%25"),"~","%7E"),"*","%2A"),"?","%3F"),'Rules'!$G$7:$G$26,0)),"")</x:f>
      </x:c>
      <x:c r="M1730" s="6" t="str">
        <x:f>IF(AND(NOT(COUNTA(A1730:F1730)=0),K1730=""),INDEX('Rules'!$D$7:$D$26,MATCH(SUBSTITUTE(SUBSTITUTE(SUBSTITUTE(SUBSTITUTE("type:"&amp;B1730,"%","%25"),"~","%7E"),"*","%2A"),"?","%3F"),'Rules'!$G$7:$G$26,0)),"")</x:f>
      </x:c>
      <x:c r="N1730" s="5" t="str">
        <x:f>IF(COUNTA(A1730:F1730)=0,"",SUBSTITUTE(SUBSTITUTE(SUBSTITUTE(SUBSTITUTE("id:"&amp;A1730,"%","%25"),"~","%7E"),"*","%2A"),"?","%3F"))</x:f>
      </x:c>
    </x:row>
    <x:row r="1731" ht="22" customHeight="1">
      <x:c r="A1731" s="3"/>
      <x:c r="B1731" s="3"/>
      <x:c r="C1731" s="3"/>
      <x:c r="D1731" s="4"/>
      <x:c r="E1731" s="4"/>
      <x:c r="F1731" s="4"/>
      <x:c r="G1731" s="5" t="str">
        <x:f>IF(COUNTA(A1731:F1731)=0,"",IF(K1731&lt;&gt;"","Review",IF(I1731&lt;0,"Overdue",IF(I1731=0,"Due now",IF(I1731&lt;=M1731,"Due soon","Not due")))))</x:f>
      </x:c>
      <x:c r="H1731" s="5" t="str">
        <x:f>IF(OR(COUNTA(A1731:F1731)=0,COUNTIFS('Rules'!$G$7:$G$26,"="&amp;(SUBSTITUTE(SUBSTITUTE(SUBSTITUTE(SUBSTITUTE("type:"&amp;B1731,"%","%25"),"~","%7E"),"*","%2A"),"?","%3F")))&lt;&gt;1),"",IF(OR(INDEX('Rules'!$B$7:$B$26,MATCH(SUBSTITUTE(SUBSTITUTE(SUBSTITUTE(SUBSTITUTE("type:"&amp;B1731,"%","%25"),"~","%7E"),"*","%2A"),"?","%3F"),'Rules'!$G$7:$G$26,0))="hours",INDEX('Rules'!$B$7:$B$26,MATCH(SUBSTITUTE(SUBSTITUTE(SUBSTITUTE(SUBSTITUTE("type:"&amp;B1731,"%","%25"),"~","%7E"),"*","%2A"),"?","%3F"),'Rules'!$G$7:$G$26,0))="km"),INDEX('Rules'!$B$7:$B$26,MATCH(SUBSTITUTE(SUBSTITUTE(SUBSTITUTE(SUBSTITUTE("type:"&amp;B1731,"%","%25"),"~","%7E"),"*","%2A"),"?","%3F"),'Rules'!$G$7:$G$26,0)),""))</x:f>
      </x:c>
      <x:c r="I1731" s="6" t="str">
        <x:f>IF(AND(NOT(COUNTA(A1731:F1731)=0),K1731=""),ROUND(J1731-D1731,3),"")</x:f>
      </x:c>
      <x:c r="J1731" s="6" t="str">
        <x:f>IF(AND(NOT(COUNTA(A1731:F1731)=0),K1731=""),ROUND(F1731+L1731,3),"")</x:f>
      </x:c>
      <x:c r="K1731" s="5" t="str">
        <x:f>IF(COUNTA(A1731:F1731)=0,"",IF(A1731="","Missing equipment ID",IF(COUNTIFS($N$8:$N$2007,"="&amp;N1731)&gt;1,"Duplicate equipment ID",IF(B1731="","Missing type",IF(COUNTIFS('Rules'!$G$7:$G$26,"="&amp;(SUBSTITUTE(SUBSTITUTE(SUBSTITUTE(SUBSTITUTE("type:"&amp;B1731,"%","%25"),"~","%7E"),"*","%2A"),"?","%3F")))=0,"Unknown type",IF(COUNTIFS('Rules'!$G$7:$G$26,"="&amp;(SUBSTITUTE(SUBSTITUTE(SUBSTITUTE(SUBSTITUTE("type:"&amp;B1731,"%","%25"),"~","%7E"),"*","%2A"),"?","%3F")))&gt;1,"Duplicate type",IF(INDEX('Rules'!$F$7:$F$26,MATCH(SUBSTITUTE(SUBSTITUTE(SUBSTITUTE(SUBSTITUTE("type:"&amp;B1731,"%","%25"),"~","%7E"),"*","%2A"),"?","%3F"),'Rules'!$G$7:$G$26,0))&lt;&gt;"",INDEX('Rules'!$F$7:$F$26,MATCH(SUBSTITUTE(SUBSTITUTE(SUBSTITUTE(SUBSTITUTE("type:"&amp;B1731,"%","%25"),"~","%7E"),"*","%2A"),"?","%3F"),'Rules'!$G$7:$G$26,0)),IF(AND(C1731&lt;&gt;"",C1731&lt;&gt;INDEX('Rules'!$B$7:$B$26,MATCH(SUBSTITUTE(SUBSTITUTE(SUBSTITUTE(SUBSTITUTE("type:"&amp;B1731,"%","%25"),"~","%7E"),"*","%2A"),"?","%3F"),'Rules'!$G$7:$G$26,0))),"Unit mismatch",IF(IF(NOT(ISNUMBER(D1731)),TRUE,OR(D1731&lt;0,D1731&gt;999999999,ROUND(D1731,3)&lt;&gt;D1731)),"Invalid current reading",IF(AND(E1731&lt;&gt;"",IF(NOT(ISNUMBER(E1731)),TRUE,OR(E1731&lt;0,E1731&gt;999999999,ROUND(E1731,3)&lt;&gt;E1731))),"Invalid previous reading",IF(IF(NOT(ISNUMBER(F1731)),TRUE,OR(F1731&lt;0,F1731&gt;999999999,ROUND(F1731,3)&lt;&gt;F1731)),"Invalid last service",IF(AND(E1731&lt;&gt;"",D1731&lt;E1731),"Decreased reading",IF(F1731&gt;D1731,"Last service above current","")))))))))))))</x:f>
      </x:c>
      <x:c r="L1731" s="6" t="str">
        <x:f>IF(AND(NOT(COUNTA(A1731:F1731)=0),K1731=""),INDEX('Rules'!$C$7:$C$26,MATCH(SUBSTITUTE(SUBSTITUTE(SUBSTITUTE(SUBSTITUTE("type:"&amp;B1731,"%","%25"),"~","%7E"),"*","%2A"),"?","%3F"),'Rules'!$G$7:$G$26,0)),"")</x:f>
      </x:c>
      <x:c r="M1731" s="6" t="str">
        <x:f>IF(AND(NOT(COUNTA(A1731:F1731)=0),K1731=""),INDEX('Rules'!$D$7:$D$26,MATCH(SUBSTITUTE(SUBSTITUTE(SUBSTITUTE(SUBSTITUTE("type:"&amp;B1731,"%","%25"),"~","%7E"),"*","%2A"),"?","%3F"),'Rules'!$G$7:$G$26,0)),"")</x:f>
      </x:c>
      <x:c r="N1731" s="5" t="str">
        <x:f>IF(COUNTA(A1731:F1731)=0,"",SUBSTITUTE(SUBSTITUTE(SUBSTITUTE(SUBSTITUTE("id:"&amp;A1731,"%","%25"),"~","%7E"),"*","%2A"),"?","%3F"))</x:f>
      </x:c>
    </x:row>
    <x:row r="1732" ht="22" customHeight="1">
      <x:c r="A1732" s="3"/>
      <x:c r="B1732" s="3"/>
      <x:c r="C1732" s="3"/>
      <x:c r="D1732" s="4"/>
      <x:c r="E1732" s="4"/>
      <x:c r="F1732" s="4"/>
      <x:c r="G1732" s="5" t="str">
        <x:f>IF(COUNTA(A1732:F1732)=0,"",IF(K1732&lt;&gt;"","Review",IF(I1732&lt;0,"Overdue",IF(I1732=0,"Due now",IF(I1732&lt;=M1732,"Due soon","Not due")))))</x:f>
      </x:c>
      <x:c r="H1732" s="5" t="str">
        <x:f>IF(OR(COUNTA(A1732:F1732)=0,COUNTIFS('Rules'!$G$7:$G$26,"="&amp;(SUBSTITUTE(SUBSTITUTE(SUBSTITUTE(SUBSTITUTE("type:"&amp;B1732,"%","%25"),"~","%7E"),"*","%2A"),"?","%3F")))&lt;&gt;1),"",IF(OR(INDEX('Rules'!$B$7:$B$26,MATCH(SUBSTITUTE(SUBSTITUTE(SUBSTITUTE(SUBSTITUTE("type:"&amp;B1732,"%","%25"),"~","%7E"),"*","%2A"),"?","%3F"),'Rules'!$G$7:$G$26,0))="hours",INDEX('Rules'!$B$7:$B$26,MATCH(SUBSTITUTE(SUBSTITUTE(SUBSTITUTE(SUBSTITUTE("type:"&amp;B1732,"%","%25"),"~","%7E"),"*","%2A"),"?","%3F"),'Rules'!$G$7:$G$26,0))="km"),INDEX('Rules'!$B$7:$B$26,MATCH(SUBSTITUTE(SUBSTITUTE(SUBSTITUTE(SUBSTITUTE("type:"&amp;B1732,"%","%25"),"~","%7E"),"*","%2A"),"?","%3F"),'Rules'!$G$7:$G$26,0)),""))</x:f>
      </x:c>
      <x:c r="I1732" s="6" t="str">
        <x:f>IF(AND(NOT(COUNTA(A1732:F1732)=0),K1732=""),ROUND(J1732-D1732,3),"")</x:f>
      </x:c>
      <x:c r="J1732" s="6" t="str">
        <x:f>IF(AND(NOT(COUNTA(A1732:F1732)=0),K1732=""),ROUND(F1732+L1732,3),"")</x:f>
      </x:c>
      <x:c r="K1732" s="5" t="str">
        <x:f>IF(COUNTA(A1732:F1732)=0,"",IF(A1732="","Missing equipment ID",IF(COUNTIFS($N$8:$N$2007,"="&amp;N1732)&gt;1,"Duplicate equipment ID",IF(B1732="","Missing type",IF(COUNTIFS('Rules'!$G$7:$G$26,"="&amp;(SUBSTITUTE(SUBSTITUTE(SUBSTITUTE(SUBSTITUTE("type:"&amp;B1732,"%","%25"),"~","%7E"),"*","%2A"),"?","%3F")))=0,"Unknown type",IF(COUNTIFS('Rules'!$G$7:$G$26,"="&amp;(SUBSTITUTE(SUBSTITUTE(SUBSTITUTE(SUBSTITUTE("type:"&amp;B1732,"%","%25"),"~","%7E"),"*","%2A"),"?","%3F")))&gt;1,"Duplicate type",IF(INDEX('Rules'!$F$7:$F$26,MATCH(SUBSTITUTE(SUBSTITUTE(SUBSTITUTE(SUBSTITUTE("type:"&amp;B1732,"%","%25"),"~","%7E"),"*","%2A"),"?","%3F"),'Rules'!$G$7:$G$26,0))&lt;&gt;"",INDEX('Rules'!$F$7:$F$26,MATCH(SUBSTITUTE(SUBSTITUTE(SUBSTITUTE(SUBSTITUTE("type:"&amp;B1732,"%","%25"),"~","%7E"),"*","%2A"),"?","%3F"),'Rules'!$G$7:$G$26,0)),IF(AND(C1732&lt;&gt;"",C1732&lt;&gt;INDEX('Rules'!$B$7:$B$26,MATCH(SUBSTITUTE(SUBSTITUTE(SUBSTITUTE(SUBSTITUTE("type:"&amp;B1732,"%","%25"),"~","%7E"),"*","%2A"),"?","%3F"),'Rules'!$G$7:$G$26,0))),"Unit mismatch",IF(IF(NOT(ISNUMBER(D1732)),TRUE,OR(D1732&lt;0,D1732&gt;999999999,ROUND(D1732,3)&lt;&gt;D1732)),"Invalid current reading",IF(AND(E1732&lt;&gt;"",IF(NOT(ISNUMBER(E1732)),TRUE,OR(E1732&lt;0,E1732&gt;999999999,ROUND(E1732,3)&lt;&gt;E1732))),"Invalid previous reading",IF(IF(NOT(ISNUMBER(F1732)),TRUE,OR(F1732&lt;0,F1732&gt;999999999,ROUND(F1732,3)&lt;&gt;F1732)),"Invalid last service",IF(AND(E1732&lt;&gt;"",D1732&lt;E1732),"Decreased reading",IF(F1732&gt;D1732,"Last service above current","")))))))))))))</x:f>
      </x:c>
      <x:c r="L1732" s="6" t="str">
        <x:f>IF(AND(NOT(COUNTA(A1732:F1732)=0),K1732=""),INDEX('Rules'!$C$7:$C$26,MATCH(SUBSTITUTE(SUBSTITUTE(SUBSTITUTE(SUBSTITUTE("type:"&amp;B1732,"%","%25"),"~","%7E"),"*","%2A"),"?","%3F"),'Rules'!$G$7:$G$26,0)),"")</x:f>
      </x:c>
      <x:c r="M1732" s="6" t="str">
        <x:f>IF(AND(NOT(COUNTA(A1732:F1732)=0),K1732=""),INDEX('Rules'!$D$7:$D$26,MATCH(SUBSTITUTE(SUBSTITUTE(SUBSTITUTE(SUBSTITUTE("type:"&amp;B1732,"%","%25"),"~","%7E"),"*","%2A"),"?","%3F"),'Rules'!$G$7:$G$26,0)),"")</x:f>
      </x:c>
      <x:c r="N1732" s="5" t="str">
        <x:f>IF(COUNTA(A1732:F1732)=0,"",SUBSTITUTE(SUBSTITUTE(SUBSTITUTE(SUBSTITUTE("id:"&amp;A1732,"%","%25"),"~","%7E"),"*","%2A"),"?","%3F"))</x:f>
      </x:c>
    </x:row>
    <x:row r="1733" ht="22" customHeight="1">
      <x:c r="A1733" s="3"/>
      <x:c r="B1733" s="3"/>
      <x:c r="C1733" s="3"/>
      <x:c r="D1733" s="4"/>
      <x:c r="E1733" s="4"/>
      <x:c r="F1733" s="4"/>
      <x:c r="G1733" s="5" t="str">
        <x:f>IF(COUNTA(A1733:F1733)=0,"",IF(K1733&lt;&gt;"","Review",IF(I1733&lt;0,"Overdue",IF(I1733=0,"Due now",IF(I1733&lt;=M1733,"Due soon","Not due")))))</x:f>
      </x:c>
      <x:c r="H1733" s="5" t="str">
        <x:f>IF(OR(COUNTA(A1733:F1733)=0,COUNTIFS('Rules'!$G$7:$G$26,"="&amp;(SUBSTITUTE(SUBSTITUTE(SUBSTITUTE(SUBSTITUTE("type:"&amp;B1733,"%","%25"),"~","%7E"),"*","%2A"),"?","%3F")))&lt;&gt;1),"",IF(OR(INDEX('Rules'!$B$7:$B$26,MATCH(SUBSTITUTE(SUBSTITUTE(SUBSTITUTE(SUBSTITUTE("type:"&amp;B1733,"%","%25"),"~","%7E"),"*","%2A"),"?","%3F"),'Rules'!$G$7:$G$26,0))="hours",INDEX('Rules'!$B$7:$B$26,MATCH(SUBSTITUTE(SUBSTITUTE(SUBSTITUTE(SUBSTITUTE("type:"&amp;B1733,"%","%25"),"~","%7E"),"*","%2A"),"?","%3F"),'Rules'!$G$7:$G$26,0))="km"),INDEX('Rules'!$B$7:$B$26,MATCH(SUBSTITUTE(SUBSTITUTE(SUBSTITUTE(SUBSTITUTE("type:"&amp;B1733,"%","%25"),"~","%7E"),"*","%2A"),"?","%3F"),'Rules'!$G$7:$G$26,0)),""))</x:f>
      </x:c>
      <x:c r="I1733" s="6" t="str">
        <x:f>IF(AND(NOT(COUNTA(A1733:F1733)=0),K1733=""),ROUND(J1733-D1733,3),"")</x:f>
      </x:c>
      <x:c r="J1733" s="6" t="str">
        <x:f>IF(AND(NOT(COUNTA(A1733:F1733)=0),K1733=""),ROUND(F1733+L1733,3),"")</x:f>
      </x:c>
      <x:c r="K1733" s="5" t="str">
        <x:f>IF(COUNTA(A1733:F1733)=0,"",IF(A1733="","Missing equipment ID",IF(COUNTIFS($N$8:$N$2007,"="&amp;N1733)&gt;1,"Duplicate equipment ID",IF(B1733="","Missing type",IF(COUNTIFS('Rules'!$G$7:$G$26,"="&amp;(SUBSTITUTE(SUBSTITUTE(SUBSTITUTE(SUBSTITUTE("type:"&amp;B1733,"%","%25"),"~","%7E"),"*","%2A"),"?","%3F")))=0,"Unknown type",IF(COUNTIFS('Rules'!$G$7:$G$26,"="&amp;(SUBSTITUTE(SUBSTITUTE(SUBSTITUTE(SUBSTITUTE("type:"&amp;B1733,"%","%25"),"~","%7E"),"*","%2A"),"?","%3F")))&gt;1,"Duplicate type",IF(INDEX('Rules'!$F$7:$F$26,MATCH(SUBSTITUTE(SUBSTITUTE(SUBSTITUTE(SUBSTITUTE("type:"&amp;B1733,"%","%25"),"~","%7E"),"*","%2A"),"?","%3F"),'Rules'!$G$7:$G$26,0))&lt;&gt;"",INDEX('Rules'!$F$7:$F$26,MATCH(SUBSTITUTE(SUBSTITUTE(SUBSTITUTE(SUBSTITUTE("type:"&amp;B1733,"%","%25"),"~","%7E"),"*","%2A"),"?","%3F"),'Rules'!$G$7:$G$26,0)),IF(AND(C1733&lt;&gt;"",C1733&lt;&gt;INDEX('Rules'!$B$7:$B$26,MATCH(SUBSTITUTE(SUBSTITUTE(SUBSTITUTE(SUBSTITUTE("type:"&amp;B1733,"%","%25"),"~","%7E"),"*","%2A"),"?","%3F"),'Rules'!$G$7:$G$26,0))),"Unit mismatch",IF(IF(NOT(ISNUMBER(D1733)),TRUE,OR(D1733&lt;0,D1733&gt;999999999,ROUND(D1733,3)&lt;&gt;D1733)),"Invalid current reading",IF(AND(E1733&lt;&gt;"",IF(NOT(ISNUMBER(E1733)),TRUE,OR(E1733&lt;0,E1733&gt;999999999,ROUND(E1733,3)&lt;&gt;E1733))),"Invalid previous reading",IF(IF(NOT(ISNUMBER(F1733)),TRUE,OR(F1733&lt;0,F1733&gt;999999999,ROUND(F1733,3)&lt;&gt;F1733)),"Invalid last service",IF(AND(E1733&lt;&gt;"",D1733&lt;E1733),"Decreased reading",IF(F1733&gt;D1733,"Last service above current","")))))))))))))</x:f>
      </x:c>
      <x:c r="L1733" s="6" t="str">
        <x:f>IF(AND(NOT(COUNTA(A1733:F1733)=0),K1733=""),INDEX('Rules'!$C$7:$C$26,MATCH(SUBSTITUTE(SUBSTITUTE(SUBSTITUTE(SUBSTITUTE("type:"&amp;B1733,"%","%25"),"~","%7E"),"*","%2A"),"?","%3F"),'Rules'!$G$7:$G$26,0)),"")</x:f>
      </x:c>
      <x:c r="M1733" s="6" t="str">
        <x:f>IF(AND(NOT(COUNTA(A1733:F1733)=0),K1733=""),INDEX('Rules'!$D$7:$D$26,MATCH(SUBSTITUTE(SUBSTITUTE(SUBSTITUTE(SUBSTITUTE("type:"&amp;B1733,"%","%25"),"~","%7E"),"*","%2A"),"?","%3F"),'Rules'!$G$7:$G$26,0)),"")</x:f>
      </x:c>
      <x:c r="N1733" s="5" t="str">
        <x:f>IF(COUNTA(A1733:F1733)=0,"",SUBSTITUTE(SUBSTITUTE(SUBSTITUTE(SUBSTITUTE("id:"&amp;A1733,"%","%25"),"~","%7E"),"*","%2A"),"?","%3F"))</x:f>
      </x:c>
    </x:row>
    <x:row r="1734" ht="22" customHeight="1">
      <x:c r="A1734" s="3"/>
      <x:c r="B1734" s="3"/>
      <x:c r="C1734" s="3"/>
      <x:c r="D1734" s="4"/>
      <x:c r="E1734" s="4"/>
      <x:c r="F1734" s="4"/>
      <x:c r="G1734" s="5" t="str">
        <x:f>IF(COUNTA(A1734:F1734)=0,"",IF(K1734&lt;&gt;"","Review",IF(I1734&lt;0,"Overdue",IF(I1734=0,"Due now",IF(I1734&lt;=M1734,"Due soon","Not due")))))</x:f>
      </x:c>
      <x:c r="H1734" s="5" t="str">
        <x:f>IF(OR(COUNTA(A1734:F1734)=0,COUNTIFS('Rules'!$G$7:$G$26,"="&amp;(SUBSTITUTE(SUBSTITUTE(SUBSTITUTE(SUBSTITUTE("type:"&amp;B1734,"%","%25"),"~","%7E"),"*","%2A"),"?","%3F")))&lt;&gt;1),"",IF(OR(INDEX('Rules'!$B$7:$B$26,MATCH(SUBSTITUTE(SUBSTITUTE(SUBSTITUTE(SUBSTITUTE("type:"&amp;B1734,"%","%25"),"~","%7E"),"*","%2A"),"?","%3F"),'Rules'!$G$7:$G$26,0))="hours",INDEX('Rules'!$B$7:$B$26,MATCH(SUBSTITUTE(SUBSTITUTE(SUBSTITUTE(SUBSTITUTE("type:"&amp;B1734,"%","%25"),"~","%7E"),"*","%2A"),"?","%3F"),'Rules'!$G$7:$G$26,0))="km"),INDEX('Rules'!$B$7:$B$26,MATCH(SUBSTITUTE(SUBSTITUTE(SUBSTITUTE(SUBSTITUTE("type:"&amp;B1734,"%","%25"),"~","%7E"),"*","%2A"),"?","%3F"),'Rules'!$G$7:$G$26,0)),""))</x:f>
      </x:c>
      <x:c r="I1734" s="6" t="str">
        <x:f>IF(AND(NOT(COUNTA(A1734:F1734)=0),K1734=""),ROUND(J1734-D1734,3),"")</x:f>
      </x:c>
      <x:c r="J1734" s="6" t="str">
        <x:f>IF(AND(NOT(COUNTA(A1734:F1734)=0),K1734=""),ROUND(F1734+L1734,3),"")</x:f>
      </x:c>
      <x:c r="K1734" s="5" t="str">
        <x:f>IF(COUNTA(A1734:F1734)=0,"",IF(A1734="","Missing equipment ID",IF(COUNTIFS($N$8:$N$2007,"="&amp;N1734)&gt;1,"Duplicate equipment ID",IF(B1734="","Missing type",IF(COUNTIFS('Rules'!$G$7:$G$26,"="&amp;(SUBSTITUTE(SUBSTITUTE(SUBSTITUTE(SUBSTITUTE("type:"&amp;B1734,"%","%25"),"~","%7E"),"*","%2A"),"?","%3F")))=0,"Unknown type",IF(COUNTIFS('Rules'!$G$7:$G$26,"="&amp;(SUBSTITUTE(SUBSTITUTE(SUBSTITUTE(SUBSTITUTE("type:"&amp;B1734,"%","%25"),"~","%7E"),"*","%2A"),"?","%3F")))&gt;1,"Duplicate type",IF(INDEX('Rules'!$F$7:$F$26,MATCH(SUBSTITUTE(SUBSTITUTE(SUBSTITUTE(SUBSTITUTE("type:"&amp;B1734,"%","%25"),"~","%7E"),"*","%2A"),"?","%3F"),'Rules'!$G$7:$G$26,0))&lt;&gt;"",INDEX('Rules'!$F$7:$F$26,MATCH(SUBSTITUTE(SUBSTITUTE(SUBSTITUTE(SUBSTITUTE("type:"&amp;B1734,"%","%25"),"~","%7E"),"*","%2A"),"?","%3F"),'Rules'!$G$7:$G$26,0)),IF(AND(C1734&lt;&gt;"",C1734&lt;&gt;INDEX('Rules'!$B$7:$B$26,MATCH(SUBSTITUTE(SUBSTITUTE(SUBSTITUTE(SUBSTITUTE("type:"&amp;B1734,"%","%25"),"~","%7E"),"*","%2A"),"?","%3F"),'Rules'!$G$7:$G$26,0))),"Unit mismatch",IF(IF(NOT(ISNUMBER(D1734)),TRUE,OR(D1734&lt;0,D1734&gt;999999999,ROUND(D1734,3)&lt;&gt;D1734)),"Invalid current reading",IF(AND(E1734&lt;&gt;"",IF(NOT(ISNUMBER(E1734)),TRUE,OR(E1734&lt;0,E1734&gt;999999999,ROUND(E1734,3)&lt;&gt;E1734))),"Invalid previous reading",IF(IF(NOT(ISNUMBER(F1734)),TRUE,OR(F1734&lt;0,F1734&gt;999999999,ROUND(F1734,3)&lt;&gt;F1734)),"Invalid last service",IF(AND(E1734&lt;&gt;"",D1734&lt;E1734),"Decreased reading",IF(F1734&gt;D1734,"Last service above current","")))))))))))))</x:f>
      </x:c>
      <x:c r="L1734" s="6" t="str">
        <x:f>IF(AND(NOT(COUNTA(A1734:F1734)=0),K1734=""),INDEX('Rules'!$C$7:$C$26,MATCH(SUBSTITUTE(SUBSTITUTE(SUBSTITUTE(SUBSTITUTE("type:"&amp;B1734,"%","%25"),"~","%7E"),"*","%2A"),"?","%3F"),'Rules'!$G$7:$G$26,0)),"")</x:f>
      </x:c>
      <x:c r="M1734" s="6" t="str">
        <x:f>IF(AND(NOT(COUNTA(A1734:F1734)=0),K1734=""),INDEX('Rules'!$D$7:$D$26,MATCH(SUBSTITUTE(SUBSTITUTE(SUBSTITUTE(SUBSTITUTE("type:"&amp;B1734,"%","%25"),"~","%7E"),"*","%2A"),"?","%3F"),'Rules'!$G$7:$G$26,0)),"")</x:f>
      </x:c>
      <x:c r="N1734" s="5" t="str">
        <x:f>IF(COUNTA(A1734:F1734)=0,"",SUBSTITUTE(SUBSTITUTE(SUBSTITUTE(SUBSTITUTE("id:"&amp;A1734,"%","%25"),"~","%7E"),"*","%2A"),"?","%3F"))</x:f>
      </x:c>
    </x:row>
    <x:row r="1735" ht="22" customHeight="1">
      <x:c r="A1735" s="3"/>
      <x:c r="B1735" s="3"/>
      <x:c r="C1735" s="3"/>
      <x:c r="D1735" s="4"/>
      <x:c r="E1735" s="4"/>
      <x:c r="F1735" s="4"/>
      <x:c r="G1735" s="5" t="str">
        <x:f>IF(COUNTA(A1735:F1735)=0,"",IF(K1735&lt;&gt;"","Review",IF(I1735&lt;0,"Overdue",IF(I1735=0,"Due now",IF(I1735&lt;=M1735,"Due soon","Not due")))))</x:f>
      </x:c>
      <x:c r="H1735" s="5" t="str">
        <x:f>IF(OR(COUNTA(A1735:F1735)=0,COUNTIFS('Rules'!$G$7:$G$26,"="&amp;(SUBSTITUTE(SUBSTITUTE(SUBSTITUTE(SUBSTITUTE("type:"&amp;B1735,"%","%25"),"~","%7E"),"*","%2A"),"?","%3F")))&lt;&gt;1),"",IF(OR(INDEX('Rules'!$B$7:$B$26,MATCH(SUBSTITUTE(SUBSTITUTE(SUBSTITUTE(SUBSTITUTE("type:"&amp;B1735,"%","%25"),"~","%7E"),"*","%2A"),"?","%3F"),'Rules'!$G$7:$G$26,0))="hours",INDEX('Rules'!$B$7:$B$26,MATCH(SUBSTITUTE(SUBSTITUTE(SUBSTITUTE(SUBSTITUTE("type:"&amp;B1735,"%","%25"),"~","%7E"),"*","%2A"),"?","%3F"),'Rules'!$G$7:$G$26,0))="km"),INDEX('Rules'!$B$7:$B$26,MATCH(SUBSTITUTE(SUBSTITUTE(SUBSTITUTE(SUBSTITUTE("type:"&amp;B1735,"%","%25"),"~","%7E"),"*","%2A"),"?","%3F"),'Rules'!$G$7:$G$26,0)),""))</x:f>
      </x:c>
      <x:c r="I1735" s="6" t="str">
        <x:f>IF(AND(NOT(COUNTA(A1735:F1735)=0),K1735=""),ROUND(J1735-D1735,3),"")</x:f>
      </x:c>
      <x:c r="J1735" s="6" t="str">
        <x:f>IF(AND(NOT(COUNTA(A1735:F1735)=0),K1735=""),ROUND(F1735+L1735,3),"")</x:f>
      </x:c>
      <x:c r="K1735" s="5" t="str">
        <x:f>IF(COUNTA(A1735:F1735)=0,"",IF(A1735="","Missing equipment ID",IF(COUNTIFS($N$8:$N$2007,"="&amp;N1735)&gt;1,"Duplicate equipment ID",IF(B1735="","Missing type",IF(COUNTIFS('Rules'!$G$7:$G$26,"="&amp;(SUBSTITUTE(SUBSTITUTE(SUBSTITUTE(SUBSTITUTE("type:"&amp;B1735,"%","%25"),"~","%7E"),"*","%2A"),"?","%3F")))=0,"Unknown type",IF(COUNTIFS('Rules'!$G$7:$G$26,"="&amp;(SUBSTITUTE(SUBSTITUTE(SUBSTITUTE(SUBSTITUTE("type:"&amp;B1735,"%","%25"),"~","%7E"),"*","%2A"),"?","%3F")))&gt;1,"Duplicate type",IF(INDEX('Rules'!$F$7:$F$26,MATCH(SUBSTITUTE(SUBSTITUTE(SUBSTITUTE(SUBSTITUTE("type:"&amp;B1735,"%","%25"),"~","%7E"),"*","%2A"),"?","%3F"),'Rules'!$G$7:$G$26,0))&lt;&gt;"",INDEX('Rules'!$F$7:$F$26,MATCH(SUBSTITUTE(SUBSTITUTE(SUBSTITUTE(SUBSTITUTE("type:"&amp;B1735,"%","%25"),"~","%7E"),"*","%2A"),"?","%3F"),'Rules'!$G$7:$G$26,0)),IF(AND(C1735&lt;&gt;"",C1735&lt;&gt;INDEX('Rules'!$B$7:$B$26,MATCH(SUBSTITUTE(SUBSTITUTE(SUBSTITUTE(SUBSTITUTE("type:"&amp;B1735,"%","%25"),"~","%7E"),"*","%2A"),"?","%3F"),'Rules'!$G$7:$G$26,0))),"Unit mismatch",IF(IF(NOT(ISNUMBER(D1735)),TRUE,OR(D1735&lt;0,D1735&gt;999999999,ROUND(D1735,3)&lt;&gt;D1735)),"Invalid current reading",IF(AND(E1735&lt;&gt;"",IF(NOT(ISNUMBER(E1735)),TRUE,OR(E1735&lt;0,E1735&gt;999999999,ROUND(E1735,3)&lt;&gt;E1735))),"Invalid previous reading",IF(IF(NOT(ISNUMBER(F1735)),TRUE,OR(F1735&lt;0,F1735&gt;999999999,ROUND(F1735,3)&lt;&gt;F1735)),"Invalid last service",IF(AND(E1735&lt;&gt;"",D1735&lt;E1735),"Decreased reading",IF(F1735&gt;D1735,"Last service above current","")))))))))))))</x:f>
      </x:c>
      <x:c r="L1735" s="6" t="str">
        <x:f>IF(AND(NOT(COUNTA(A1735:F1735)=0),K1735=""),INDEX('Rules'!$C$7:$C$26,MATCH(SUBSTITUTE(SUBSTITUTE(SUBSTITUTE(SUBSTITUTE("type:"&amp;B1735,"%","%25"),"~","%7E"),"*","%2A"),"?","%3F"),'Rules'!$G$7:$G$26,0)),"")</x:f>
      </x:c>
      <x:c r="M1735" s="6" t="str">
        <x:f>IF(AND(NOT(COUNTA(A1735:F1735)=0),K1735=""),INDEX('Rules'!$D$7:$D$26,MATCH(SUBSTITUTE(SUBSTITUTE(SUBSTITUTE(SUBSTITUTE("type:"&amp;B1735,"%","%25"),"~","%7E"),"*","%2A"),"?","%3F"),'Rules'!$G$7:$G$26,0)),"")</x:f>
      </x:c>
      <x:c r="N1735" s="5" t="str">
        <x:f>IF(COUNTA(A1735:F1735)=0,"",SUBSTITUTE(SUBSTITUTE(SUBSTITUTE(SUBSTITUTE("id:"&amp;A1735,"%","%25"),"~","%7E"),"*","%2A"),"?","%3F"))</x:f>
      </x:c>
    </x:row>
    <x:row r="1736" ht="22" customHeight="1">
      <x:c r="A1736" s="3"/>
      <x:c r="B1736" s="3"/>
      <x:c r="C1736" s="3"/>
      <x:c r="D1736" s="4"/>
      <x:c r="E1736" s="4"/>
      <x:c r="F1736" s="4"/>
      <x:c r="G1736" s="5" t="str">
        <x:f>IF(COUNTA(A1736:F1736)=0,"",IF(K1736&lt;&gt;"","Review",IF(I1736&lt;0,"Overdue",IF(I1736=0,"Due now",IF(I1736&lt;=M1736,"Due soon","Not due")))))</x:f>
      </x:c>
      <x:c r="H1736" s="5" t="str">
        <x:f>IF(OR(COUNTA(A1736:F1736)=0,COUNTIFS('Rules'!$G$7:$G$26,"="&amp;(SUBSTITUTE(SUBSTITUTE(SUBSTITUTE(SUBSTITUTE("type:"&amp;B1736,"%","%25"),"~","%7E"),"*","%2A"),"?","%3F")))&lt;&gt;1),"",IF(OR(INDEX('Rules'!$B$7:$B$26,MATCH(SUBSTITUTE(SUBSTITUTE(SUBSTITUTE(SUBSTITUTE("type:"&amp;B1736,"%","%25"),"~","%7E"),"*","%2A"),"?","%3F"),'Rules'!$G$7:$G$26,0))="hours",INDEX('Rules'!$B$7:$B$26,MATCH(SUBSTITUTE(SUBSTITUTE(SUBSTITUTE(SUBSTITUTE("type:"&amp;B1736,"%","%25"),"~","%7E"),"*","%2A"),"?","%3F"),'Rules'!$G$7:$G$26,0))="km"),INDEX('Rules'!$B$7:$B$26,MATCH(SUBSTITUTE(SUBSTITUTE(SUBSTITUTE(SUBSTITUTE("type:"&amp;B1736,"%","%25"),"~","%7E"),"*","%2A"),"?","%3F"),'Rules'!$G$7:$G$26,0)),""))</x:f>
      </x:c>
      <x:c r="I1736" s="6" t="str">
        <x:f>IF(AND(NOT(COUNTA(A1736:F1736)=0),K1736=""),ROUND(J1736-D1736,3),"")</x:f>
      </x:c>
      <x:c r="J1736" s="6" t="str">
        <x:f>IF(AND(NOT(COUNTA(A1736:F1736)=0),K1736=""),ROUND(F1736+L1736,3),"")</x:f>
      </x:c>
      <x:c r="K1736" s="5" t="str">
        <x:f>IF(COUNTA(A1736:F1736)=0,"",IF(A1736="","Missing equipment ID",IF(COUNTIFS($N$8:$N$2007,"="&amp;N1736)&gt;1,"Duplicate equipment ID",IF(B1736="","Missing type",IF(COUNTIFS('Rules'!$G$7:$G$26,"="&amp;(SUBSTITUTE(SUBSTITUTE(SUBSTITUTE(SUBSTITUTE("type:"&amp;B1736,"%","%25"),"~","%7E"),"*","%2A"),"?","%3F")))=0,"Unknown type",IF(COUNTIFS('Rules'!$G$7:$G$26,"="&amp;(SUBSTITUTE(SUBSTITUTE(SUBSTITUTE(SUBSTITUTE("type:"&amp;B1736,"%","%25"),"~","%7E"),"*","%2A"),"?","%3F")))&gt;1,"Duplicate type",IF(INDEX('Rules'!$F$7:$F$26,MATCH(SUBSTITUTE(SUBSTITUTE(SUBSTITUTE(SUBSTITUTE("type:"&amp;B1736,"%","%25"),"~","%7E"),"*","%2A"),"?","%3F"),'Rules'!$G$7:$G$26,0))&lt;&gt;"",INDEX('Rules'!$F$7:$F$26,MATCH(SUBSTITUTE(SUBSTITUTE(SUBSTITUTE(SUBSTITUTE("type:"&amp;B1736,"%","%25"),"~","%7E"),"*","%2A"),"?","%3F"),'Rules'!$G$7:$G$26,0)),IF(AND(C1736&lt;&gt;"",C1736&lt;&gt;INDEX('Rules'!$B$7:$B$26,MATCH(SUBSTITUTE(SUBSTITUTE(SUBSTITUTE(SUBSTITUTE("type:"&amp;B1736,"%","%25"),"~","%7E"),"*","%2A"),"?","%3F"),'Rules'!$G$7:$G$26,0))),"Unit mismatch",IF(IF(NOT(ISNUMBER(D1736)),TRUE,OR(D1736&lt;0,D1736&gt;999999999,ROUND(D1736,3)&lt;&gt;D1736)),"Invalid current reading",IF(AND(E1736&lt;&gt;"",IF(NOT(ISNUMBER(E1736)),TRUE,OR(E1736&lt;0,E1736&gt;999999999,ROUND(E1736,3)&lt;&gt;E1736))),"Invalid previous reading",IF(IF(NOT(ISNUMBER(F1736)),TRUE,OR(F1736&lt;0,F1736&gt;999999999,ROUND(F1736,3)&lt;&gt;F1736)),"Invalid last service",IF(AND(E1736&lt;&gt;"",D1736&lt;E1736),"Decreased reading",IF(F1736&gt;D1736,"Last service above current","")))))))))))))</x:f>
      </x:c>
      <x:c r="L1736" s="6" t="str">
        <x:f>IF(AND(NOT(COUNTA(A1736:F1736)=0),K1736=""),INDEX('Rules'!$C$7:$C$26,MATCH(SUBSTITUTE(SUBSTITUTE(SUBSTITUTE(SUBSTITUTE("type:"&amp;B1736,"%","%25"),"~","%7E"),"*","%2A"),"?","%3F"),'Rules'!$G$7:$G$26,0)),"")</x:f>
      </x:c>
      <x:c r="M1736" s="6" t="str">
        <x:f>IF(AND(NOT(COUNTA(A1736:F1736)=0),K1736=""),INDEX('Rules'!$D$7:$D$26,MATCH(SUBSTITUTE(SUBSTITUTE(SUBSTITUTE(SUBSTITUTE("type:"&amp;B1736,"%","%25"),"~","%7E"),"*","%2A"),"?","%3F"),'Rules'!$G$7:$G$26,0)),"")</x:f>
      </x:c>
      <x:c r="N1736" s="5" t="str">
        <x:f>IF(COUNTA(A1736:F1736)=0,"",SUBSTITUTE(SUBSTITUTE(SUBSTITUTE(SUBSTITUTE("id:"&amp;A1736,"%","%25"),"~","%7E"),"*","%2A"),"?","%3F"))</x:f>
      </x:c>
    </x:row>
    <x:row r="1737" ht="22" customHeight="1">
      <x:c r="A1737" s="3"/>
      <x:c r="B1737" s="3"/>
      <x:c r="C1737" s="3"/>
      <x:c r="D1737" s="4"/>
      <x:c r="E1737" s="4"/>
      <x:c r="F1737" s="4"/>
      <x:c r="G1737" s="5" t="str">
        <x:f>IF(COUNTA(A1737:F1737)=0,"",IF(K1737&lt;&gt;"","Review",IF(I1737&lt;0,"Overdue",IF(I1737=0,"Due now",IF(I1737&lt;=M1737,"Due soon","Not due")))))</x:f>
      </x:c>
      <x:c r="H1737" s="5" t="str">
        <x:f>IF(OR(COUNTA(A1737:F1737)=0,COUNTIFS('Rules'!$G$7:$G$26,"="&amp;(SUBSTITUTE(SUBSTITUTE(SUBSTITUTE(SUBSTITUTE("type:"&amp;B1737,"%","%25"),"~","%7E"),"*","%2A"),"?","%3F")))&lt;&gt;1),"",IF(OR(INDEX('Rules'!$B$7:$B$26,MATCH(SUBSTITUTE(SUBSTITUTE(SUBSTITUTE(SUBSTITUTE("type:"&amp;B1737,"%","%25"),"~","%7E"),"*","%2A"),"?","%3F"),'Rules'!$G$7:$G$26,0))="hours",INDEX('Rules'!$B$7:$B$26,MATCH(SUBSTITUTE(SUBSTITUTE(SUBSTITUTE(SUBSTITUTE("type:"&amp;B1737,"%","%25"),"~","%7E"),"*","%2A"),"?","%3F"),'Rules'!$G$7:$G$26,0))="km"),INDEX('Rules'!$B$7:$B$26,MATCH(SUBSTITUTE(SUBSTITUTE(SUBSTITUTE(SUBSTITUTE("type:"&amp;B1737,"%","%25"),"~","%7E"),"*","%2A"),"?","%3F"),'Rules'!$G$7:$G$26,0)),""))</x:f>
      </x:c>
      <x:c r="I1737" s="6" t="str">
        <x:f>IF(AND(NOT(COUNTA(A1737:F1737)=0),K1737=""),ROUND(J1737-D1737,3),"")</x:f>
      </x:c>
      <x:c r="J1737" s="6" t="str">
        <x:f>IF(AND(NOT(COUNTA(A1737:F1737)=0),K1737=""),ROUND(F1737+L1737,3),"")</x:f>
      </x:c>
      <x:c r="K1737" s="5" t="str">
        <x:f>IF(COUNTA(A1737:F1737)=0,"",IF(A1737="","Missing equipment ID",IF(COUNTIFS($N$8:$N$2007,"="&amp;N1737)&gt;1,"Duplicate equipment ID",IF(B1737="","Missing type",IF(COUNTIFS('Rules'!$G$7:$G$26,"="&amp;(SUBSTITUTE(SUBSTITUTE(SUBSTITUTE(SUBSTITUTE("type:"&amp;B1737,"%","%25"),"~","%7E"),"*","%2A"),"?","%3F")))=0,"Unknown type",IF(COUNTIFS('Rules'!$G$7:$G$26,"="&amp;(SUBSTITUTE(SUBSTITUTE(SUBSTITUTE(SUBSTITUTE("type:"&amp;B1737,"%","%25"),"~","%7E"),"*","%2A"),"?","%3F")))&gt;1,"Duplicate type",IF(INDEX('Rules'!$F$7:$F$26,MATCH(SUBSTITUTE(SUBSTITUTE(SUBSTITUTE(SUBSTITUTE("type:"&amp;B1737,"%","%25"),"~","%7E"),"*","%2A"),"?","%3F"),'Rules'!$G$7:$G$26,0))&lt;&gt;"",INDEX('Rules'!$F$7:$F$26,MATCH(SUBSTITUTE(SUBSTITUTE(SUBSTITUTE(SUBSTITUTE("type:"&amp;B1737,"%","%25"),"~","%7E"),"*","%2A"),"?","%3F"),'Rules'!$G$7:$G$26,0)),IF(AND(C1737&lt;&gt;"",C1737&lt;&gt;INDEX('Rules'!$B$7:$B$26,MATCH(SUBSTITUTE(SUBSTITUTE(SUBSTITUTE(SUBSTITUTE("type:"&amp;B1737,"%","%25"),"~","%7E"),"*","%2A"),"?","%3F"),'Rules'!$G$7:$G$26,0))),"Unit mismatch",IF(IF(NOT(ISNUMBER(D1737)),TRUE,OR(D1737&lt;0,D1737&gt;999999999,ROUND(D1737,3)&lt;&gt;D1737)),"Invalid current reading",IF(AND(E1737&lt;&gt;"",IF(NOT(ISNUMBER(E1737)),TRUE,OR(E1737&lt;0,E1737&gt;999999999,ROUND(E1737,3)&lt;&gt;E1737))),"Invalid previous reading",IF(IF(NOT(ISNUMBER(F1737)),TRUE,OR(F1737&lt;0,F1737&gt;999999999,ROUND(F1737,3)&lt;&gt;F1737)),"Invalid last service",IF(AND(E1737&lt;&gt;"",D1737&lt;E1737),"Decreased reading",IF(F1737&gt;D1737,"Last service above current","")))))))))))))</x:f>
      </x:c>
      <x:c r="L1737" s="6" t="str">
        <x:f>IF(AND(NOT(COUNTA(A1737:F1737)=0),K1737=""),INDEX('Rules'!$C$7:$C$26,MATCH(SUBSTITUTE(SUBSTITUTE(SUBSTITUTE(SUBSTITUTE("type:"&amp;B1737,"%","%25"),"~","%7E"),"*","%2A"),"?","%3F"),'Rules'!$G$7:$G$26,0)),"")</x:f>
      </x:c>
      <x:c r="M1737" s="6" t="str">
        <x:f>IF(AND(NOT(COUNTA(A1737:F1737)=0),K1737=""),INDEX('Rules'!$D$7:$D$26,MATCH(SUBSTITUTE(SUBSTITUTE(SUBSTITUTE(SUBSTITUTE("type:"&amp;B1737,"%","%25"),"~","%7E"),"*","%2A"),"?","%3F"),'Rules'!$G$7:$G$26,0)),"")</x:f>
      </x:c>
      <x:c r="N1737" s="5" t="str">
        <x:f>IF(COUNTA(A1737:F1737)=0,"",SUBSTITUTE(SUBSTITUTE(SUBSTITUTE(SUBSTITUTE("id:"&amp;A1737,"%","%25"),"~","%7E"),"*","%2A"),"?","%3F"))</x:f>
      </x:c>
    </x:row>
    <x:row r="1738" ht="22" customHeight="1">
      <x:c r="A1738" s="3"/>
      <x:c r="B1738" s="3"/>
      <x:c r="C1738" s="3"/>
      <x:c r="D1738" s="4"/>
      <x:c r="E1738" s="4"/>
      <x:c r="F1738" s="4"/>
      <x:c r="G1738" s="5" t="str">
        <x:f>IF(COUNTA(A1738:F1738)=0,"",IF(K1738&lt;&gt;"","Review",IF(I1738&lt;0,"Overdue",IF(I1738=0,"Due now",IF(I1738&lt;=M1738,"Due soon","Not due")))))</x:f>
      </x:c>
      <x:c r="H1738" s="5" t="str">
        <x:f>IF(OR(COUNTA(A1738:F1738)=0,COUNTIFS('Rules'!$G$7:$G$26,"="&amp;(SUBSTITUTE(SUBSTITUTE(SUBSTITUTE(SUBSTITUTE("type:"&amp;B1738,"%","%25"),"~","%7E"),"*","%2A"),"?","%3F")))&lt;&gt;1),"",IF(OR(INDEX('Rules'!$B$7:$B$26,MATCH(SUBSTITUTE(SUBSTITUTE(SUBSTITUTE(SUBSTITUTE("type:"&amp;B1738,"%","%25"),"~","%7E"),"*","%2A"),"?","%3F"),'Rules'!$G$7:$G$26,0))="hours",INDEX('Rules'!$B$7:$B$26,MATCH(SUBSTITUTE(SUBSTITUTE(SUBSTITUTE(SUBSTITUTE("type:"&amp;B1738,"%","%25"),"~","%7E"),"*","%2A"),"?","%3F"),'Rules'!$G$7:$G$26,0))="km"),INDEX('Rules'!$B$7:$B$26,MATCH(SUBSTITUTE(SUBSTITUTE(SUBSTITUTE(SUBSTITUTE("type:"&amp;B1738,"%","%25"),"~","%7E"),"*","%2A"),"?","%3F"),'Rules'!$G$7:$G$26,0)),""))</x:f>
      </x:c>
      <x:c r="I1738" s="6" t="str">
        <x:f>IF(AND(NOT(COUNTA(A1738:F1738)=0),K1738=""),ROUND(J1738-D1738,3),"")</x:f>
      </x:c>
      <x:c r="J1738" s="6" t="str">
        <x:f>IF(AND(NOT(COUNTA(A1738:F1738)=0),K1738=""),ROUND(F1738+L1738,3),"")</x:f>
      </x:c>
      <x:c r="K1738" s="5" t="str">
        <x:f>IF(COUNTA(A1738:F1738)=0,"",IF(A1738="","Missing equipment ID",IF(COUNTIFS($N$8:$N$2007,"="&amp;N1738)&gt;1,"Duplicate equipment ID",IF(B1738="","Missing type",IF(COUNTIFS('Rules'!$G$7:$G$26,"="&amp;(SUBSTITUTE(SUBSTITUTE(SUBSTITUTE(SUBSTITUTE("type:"&amp;B1738,"%","%25"),"~","%7E"),"*","%2A"),"?","%3F")))=0,"Unknown type",IF(COUNTIFS('Rules'!$G$7:$G$26,"="&amp;(SUBSTITUTE(SUBSTITUTE(SUBSTITUTE(SUBSTITUTE("type:"&amp;B1738,"%","%25"),"~","%7E"),"*","%2A"),"?","%3F")))&gt;1,"Duplicate type",IF(INDEX('Rules'!$F$7:$F$26,MATCH(SUBSTITUTE(SUBSTITUTE(SUBSTITUTE(SUBSTITUTE("type:"&amp;B1738,"%","%25"),"~","%7E"),"*","%2A"),"?","%3F"),'Rules'!$G$7:$G$26,0))&lt;&gt;"",INDEX('Rules'!$F$7:$F$26,MATCH(SUBSTITUTE(SUBSTITUTE(SUBSTITUTE(SUBSTITUTE("type:"&amp;B1738,"%","%25"),"~","%7E"),"*","%2A"),"?","%3F"),'Rules'!$G$7:$G$26,0)),IF(AND(C1738&lt;&gt;"",C1738&lt;&gt;INDEX('Rules'!$B$7:$B$26,MATCH(SUBSTITUTE(SUBSTITUTE(SUBSTITUTE(SUBSTITUTE("type:"&amp;B1738,"%","%25"),"~","%7E"),"*","%2A"),"?","%3F"),'Rules'!$G$7:$G$26,0))),"Unit mismatch",IF(IF(NOT(ISNUMBER(D1738)),TRUE,OR(D1738&lt;0,D1738&gt;999999999,ROUND(D1738,3)&lt;&gt;D1738)),"Invalid current reading",IF(AND(E1738&lt;&gt;"",IF(NOT(ISNUMBER(E1738)),TRUE,OR(E1738&lt;0,E1738&gt;999999999,ROUND(E1738,3)&lt;&gt;E1738))),"Invalid previous reading",IF(IF(NOT(ISNUMBER(F1738)),TRUE,OR(F1738&lt;0,F1738&gt;999999999,ROUND(F1738,3)&lt;&gt;F1738)),"Invalid last service",IF(AND(E1738&lt;&gt;"",D1738&lt;E1738),"Decreased reading",IF(F1738&gt;D1738,"Last service above current","")))))))))))))</x:f>
      </x:c>
      <x:c r="L1738" s="6" t="str">
        <x:f>IF(AND(NOT(COUNTA(A1738:F1738)=0),K1738=""),INDEX('Rules'!$C$7:$C$26,MATCH(SUBSTITUTE(SUBSTITUTE(SUBSTITUTE(SUBSTITUTE("type:"&amp;B1738,"%","%25"),"~","%7E"),"*","%2A"),"?","%3F"),'Rules'!$G$7:$G$26,0)),"")</x:f>
      </x:c>
      <x:c r="M1738" s="6" t="str">
        <x:f>IF(AND(NOT(COUNTA(A1738:F1738)=0),K1738=""),INDEX('Rules'!$D$7:$D$26,MATCH(SUBSTITUTE(SUBSTITUTE(SUBSTITUTE(SUBSTITUTE("type:"&amp;B1738,"%","%25"),"~","%7E"),"*","%2A"),"?","%3F"),'Rules'!$G$7:$G$26,0)),"")</x:f>
      </x:c>
      <x:c r="N1738" s="5" t="str">
        <x:f>IF(COUNTA(A1738:F1738)=0,"",SUBSTITUTE(SUBSTITUTE(SUBSTITUTE(SUBSTITUTE("id:"&amp;A1738,"%","%25"),"~","%7E"),"*","%2A"),"?","%3F"))</x:f>
      </x:c>
    </x:row>
    <x:row r="1739" ht="22" customHeight="1">
      <x:c r="A1739" s="3"/>
      <x:c r="B1739" s="3"/>
      <x:c r="C1739" s="3"/>
      <x:c r="D1739" s="4"/>
      <x:c r="E1739" s="4"/>
      <x:c r="F1739" s="4"/>
      <x:c r="G1739" s="5" t="str">
        <x:f>IF(COUNTA(A1739:F1739)=0,"",IF(K1739&lt;&gt;"","Review",IF(I1739&lt;0,"Overdue",IF(I1739=0,"Due now",IF(I1739&lt;=M1739,"Due soon","Not due")))))</x:f>
      </x:c>
      <x:c r="H1739" s="5" t="str">
        <x:f>IF(OR(COUNTA(A1739:F1739)=0,COUNTIFS('Rules'!$G$7:$G$26,"="&amp;(SUBSTITUTE(SUBSTITUTE(SUBSTITUTE(SUBSTITUTE("type:"&amp;B1739,"%","%25"),"~","%7E"),"*","%2A"),"?","%3F")))&lt;&gt;1),"",IF(OR(INDEX('Rules'!$B$7:$B$26,MATCH(SUBSTITUTE(SUBSTITUTE(SUBSTITUTE(SUBSTITUTE("type:"&amp;B1739,"%","%25"),"~","%7E"),"*","%2A"),"?","%3F"),'Rules'!$G$7:$G$26,0))="hours",INDEX('Rules'!$B$7:$B$26,MATCH(SUBSTITUTE(SUBSTITUTE(SUBSTITUTE(SUBSTITUTE("type:"&amp;B1739,"%","%25"),"~","%7E"),"*","%2A"),"?","%3F"),'Rules'!$G$7:$G$26,0))="km"),INDEX('Rules'!$B$7:$B$26,MATCH(SUBSTITUTE(SUBSTITUTE(SUBSTITUTE(SUBSTITUTE("type:"&amp;B1739,"%","%25"),"~","%7E"),"*","%2A"),"?","%3F"),'Rules'!$G$7:$G$26,0)),""))</x:f>
      </x:c>
      <x:c r="I1739" s="6" t="str">
        <x:f>IF(AND(NOT(COUNTA(A1739:F1739)=0),K1739=""),ROUND(J1739-D1739,3),"")</x:f>
      </x:c>
      <x:c r="J1739" s="6" t="str">
        <x:f>IF(AND(NOT(COUNTA(A1739:F1739)=0),K1739=""),ROUND(F1739+L1739,3),"")</x:f>
      </x:c>
      <x:c r="K1739" s="5" t="str">
        <x:f>IF(COUNTA(A1739:F1739)=0,"",IF(A1739="","Missing equipment ID",IF(COUNTIFS($N$8:$N$2007,"="&amp;N1739)&gt;1,"Duplicate equipment ID",IF(B1739="","Missing type",IF(COUNTIFS('Rules'!$G$7:$G$26,"="&amp;(SUBSTITUTE(SUBSTITUTE(SUBSTITUTE(SUBSTITUTE("type:"&amp;B1739,"%","%25"),"~","%7E"),"*","%2A"),"?","%3F")))=0,"Unknown type",IF(COUNTIFS('Rules'!$G$7:$G$26,"="&amp;(SUBSTITUTE(SUBSTITUTE(SUBSTITUTE(SUBSTITUTE("type:"&amp;B1739,"%","%25"),"~","%7E"),"*","%2A"),"?","%3F")))&gt;1,"Duplicate type",IF(INDEX('Rules'!$F$7:$F$26,MATCH(SUBSTITUTE(SUBSTITUTE(SUBSTITUTE(SUBSTITUTE("type:"&amp;B1739,"%","%25"),"~","%7E"),"*","%2A"),"?","%3F"),'Rules'!$G$7:$G$26,0))&lt;&gt;"",INDEX('Rules'!$F$7:$F$26,MATCH(SUBSTITUTE(SUBSTITUTE(SUBSTITUTE(SUBSTITUTE("type:"&amp;B1739,"%","%25"),"~","%7E"),"*","%2A"),"?","%3F"),'Rules'!$G$7:$G$26,0)),IF(AND(C1739&lt;&gt;"",C1739&lt;&gt;INDEX('Rules'!$B$7:$B$26,MATCH(SUBSTITUTE(SUBSTITUTE(SUBSTITUTE(SUBSTITUTE("type:"&amp;B1739,"%","%25"),"~","%7E"),"*","%2A"),"?","%3F"),'Rules'!$G$7:$G$26,0))),"Unit mismatch",IF(IF(NOT(ISNUMBER(D1739)),TRUE,OR(D1739&lt;0,D1739&gt;999999999,ROUND(D1739,3)&lt;&gt;D1739)),"Invalid current reading",IF(AND(E1739&lt;&gt;"",IF(NOT(ISNUMBER(E1739)),TRUE,OR(E1739&lt;0,E1739&gt;999999999,ROUND(E1739,3)&lt;&gt;E1739))),"Invalid previous reading",IF(IF(NOT(ISNUMBER(F1739)),TRUE,OR(F1739&lt;0,F1739&gt;999999999,ROUND(F1739,3)&lt;&gt;F1739)),"Invalid last service",IF(AND(E1739&lt;&gt;"",D1739&lt;E1739),"Decreased reading",IF(F1739&gt;D1739,"Last service above current","")))))))))))))</x:f>
      </x:c>
      <x:c r="L1739" s="6" t="str">
        <x:f>IF(AND(NOT(COUNTA(A1739:F1739)=0),K1739=""),INDEX('Rules'!$C$7:$C$26,MATCH(SUBSTITUTE(SUBSTITUTE(SUBSTITUTE(SUBSTITUTE("type:"&amp;B1739,"%","%25"),"~","%7E"),"*","%2A"),"?","%3F"),'Rules'!$G$7:$G$26,0)),"")</x:f>
      </x:c>
      <x:c r="M1739" s="6" t="str">
        <x:f>IF(AND(NOT(COUNTA(A1739:F1739)=0),K1739=""),INDEX('Rules'!$D$7:$D$26,MATCH(SUBSTITUTE(SUBSTITUTE(SUBSTITUTE(SUBSTITUTE("type:"&amp;B1739,"%","%25"),"~","%7E"),"*","%2A"),"?","%3F"),'Rules'!$G$7:$G$26,0)),"")</x:f>
      </x:c>
      <x:c r="N1739" s="5" t="str">
        <x:f>IF(COUNTA(A1739:F1739)=0,"",SUBSTITUTE(SUBSTITUTE(SUBSTITUTE(SUBSTITUTE("id:"&amp;A1739,"%","%25"),"~","%7E"),"*","%2A"),"?","%3F"))</x:f>
      </x:c>
    </x:row>
    <x:row r="1740" ht="22" customHeight="1">
      <x:c r="A1740" s="3"/>
      <x:c r="B1740" s="3"/>
      <x:c r="C1740" s="3"/>
      <x:c r="D1740" s="4"/>
      <x:c r="E1740" s="4"/>
      <x:c r="F1740" s="4"/>
      <x:c r="G1740" s="5" t="str">
        <x:f>IF(COUNTA(A1740:F1740)=0,"",IF(K1740&lt;&gt;"","Review",IF(I1740&lt;0,"Overdue",IF(I1740=0,"Due now",IF(I1740&lt;=M1740,"Due soon","Not due")))))</x:f>
      </x:c>
      <x:c r="H1740" s="5" t="str">
        <x:f>IF(OR(COUNTA(A1740:F1740)=0,COUNTIFS('Rules'!$G$7:$G$26,"="&amp;(SUBSTITUTE(SUBSTITUTE(SUBSTITUTE(SUBSTITUTE("type:"&amp;B1740,"%","%25"),"~","%7E"),"*","%2A"),"?","%3F")))&lt;&gt;1),"",IF(OR(INDEX('Rules'!$B$7:$B$26,MATCH(SUBSTITUTE(SUBSTITUTE(SUBSTITUTE(SUBSTITUTE("type:"&amp;B1740,"%","%25"),"~","%7E"),"*","%2A"),"?","%3F"),'Rules'!$G$7:$G$26,0))="hours",INDEX('Rules'!$B$7:$B$26,MATCH(SUBSTITUTE(SUBSTITUTE(SUBSTITUTE(SUBSTITUTE("type:"&amp;B1740,"%","%25"),"~","%7E"),"*","%2A"),"?","%3F"),'Rules'!$G$7:$G$26,0))="km"),INDEX('Rules'!$B$7:$B$26,MATCH(SUBSTITUTE(SUBSTITUTE(SUBSTITUTE(SUBSTITUTE("type:"&amp;B1740,"%","%25"),"~","%7E"),"*","%2A"),"?","%3F"),'Rules'!$G$7:$G$26,0)),""))</x:f>
      </x:c>
      <x:c r="I1740" s="6" t="str">
        <x:f>IF(AND(NOT(COUNTA(A1740:F1740)=0),K1740=""),ROUND(J1740-D1740,3),"")</x:f>
      </x:c>
      <x:c r="J1740" s="6" t="str">
        <x:f>IF(AND(NOT(COUNTA(A1740:F1740)=0),K1740=""),ROUND(F1740+L1740,3),"")</x:f>
      </x:c>
      <x:c r="K1740" s="5" t="str">
        <x:f>IF(COUNTA(A1740:F1740)=0,"",IF(A1740="","Missing equipment ID",IF(COUNTIFS($N$8:$N$2007,"="&amp;N1740)&gt;1,"Duplicate equipment ID",IF(B1740="","Missing type",IF(COUNTIFS('Rules'!$G$7:$G$26,"="&amp;(SUBSTITUTE(SUBSTITUTE(SUBSTITUTE(SUBSTITUTE("type:"&amp;B1740,"%","%25"),"~","%7E"),"*","%2A"),"?","%3F")))=0,"Unknown type",IF(COUNTIFS('Rules'!$G$7:$G$26,"="&amp;(SUBSTITUTE(SUBSTITUTE(SUBSTITUTE(SUBSTITUTE("type:"&amp;B1740,"%","%25"),"~","%7E"),"*","%2A"),"?","%3F")))&gt;1,"Duplicate type",IF(INDEX('Rules'!$F$7:$F$26,MATCH(SUBSTITUTE(SUBSTITUTE(SUBSTITUTE(SUBSTITUTE("type:"&amp;B1740,"%","%25"),"~","%7E"),"*","%2A"),"?","%3F"),'Rules'!$G$7:$G$26,0))&lt;&gt;"",INDEX('Rules'!$F$7:$F$26,MATCH(SUBSTITUTE(SUBSTITUTE(SUBSTITUTE(SUBSTITUTE("type:"&amp;B1740,"%","%25"),"~","%7E"),"*","%2A"),"?","%3F"),'Rules'!$G$7:$G$26,0)),IF(AND(C1740&lt;&gt;"",C1740&lt;&gt;INDEX('Rules'!$B$7:$B$26,MATCH(SUBSTITUTE(SUBSTITUTE(SUBSTITUTE(SUBSTITUTE("type:"&amp;B1740,"%","%25"),"~","%7E"),"*","%2A"),"?","%3F"),'Rules'!$G$7:$G$26,0))),"Unit mismatch",IF(IF(NOT(ISNUMBER(D1740)),TRUE,OR(D1740&lt;0,D1740&gt;999999999,ROUND(D1740,3)&lt;&gt;D1740)),"Invalid current reading",IF(AND(E1740&lt;&gt;"",IF(NOT(ISNUMBER(E1740)),TRUE,OR(E1740&lt;0,E1740&gt;999999999,ROUND(E1740,3)&lt;&gt;E1740))),"Invalid previous reading",IF(IF(NOT(ISNUMBER(F1740)),TRUE,OR(F1740&lt;0,F1740&gt;999999999,ROUND(F1740,3)&lt;&gt;F1740)),"Invalid last service",IF(AND(E1740&lt;&gt;"",D1740&lt;E1740),"Decreased reading",IF(F1740&gt;D1740,"Last service above current","")))))))))))))</x:f>
      </x:c>
      <x:c r="L1740" s="6" t="str">
        <x:f>IF(AND(NOT(COUNTA(A1740:F1740)=0),K1740=""),INDEX('Rules'!$C$7:$C$26,MATCH(SUBSTITUTE(SUBSTITUTE(SUBSTITUTE(SUBSTITUTE("type:"&amp;B1740,"%","%25"),"~","%7E"),"*","%2A"),"?","%3F"),'Rules'!$G$7:$G$26,0)),"")</x:f>
      </x:c>
      <x:c r="M1740" s="6" t="str">
        <x:f>IF(AND(NOT(COUNTA(A1740:F1740)=0),K1740=""),INDEX('Rules'!$D$7:$D$26,MATCH(SUBSTITUTE(SUBSTITUTE(SUBSTITUTE(SUBSTITUTE("type:"&amp;B1740,"%","%25"),"~","%7E"),"*","%2A"),"?","%3F"),'Rules'!$G$7:$G$26,0)),"")</x:f>
      </x:c>
      <x:c r="N1740" s="5" t="str">
        <x:f>IF(COUNTA(A1740:F1740)=0,"",SUBSTITUTE(SUBSTITUTE(SUBSTITUTE(SUBSTITUTE("id:"&amp;A1740,"%","%25"),"~","%7E"),"*","%2A"),"?","%3F"))</x:f>
      </x:c>
    </x:row>
    <x:row r="1741" ht="22" customHeight="1">
      <x:c r="A1741" s="3"/>
      <x:c r="B1741" s="3"/>
      <x:c r="C1741" s="3"/>
      <x:c r="D1741" s="4"/>
      <x:c r="E1741" s="4"/>
      <x:c r="F1741" s="4"/>
      <x:c r="G1741" s="5" t="str">
        <x:f>IF(COUNTA(A1741:F1741)=0,"",IF(K1741&lt;&gt;"","Review",IF(I1741&lt;0,"Overdue",IF(I1741=0,"Due now",IF(I1741&lt;=M1741,"Due soon","Not due")))))</x:f>
      </x:c>
      <x:c r="H1741" s="5" t="str">
        <x:f>IF(OR(COUNTA(A1741:F1741)=0,COUNTIFS('Rules'!$G$7:$G$26,"="&amp;(SUBSTITUTE(SUBSTITUTE(SUBSTITUTE(SUBSTITUTE("type:"&amp;B1741,"%","%25"),"~","%7E"),"*","%2A"),"?","%3F")))&lt;&gt;1),"",IF(OR(INDEX('Rules'!$B$7:$B$26,MATCH(SUBSTITUTE(SUBSTITUTE(SUBSTITUTE(SUBSTITUTE("type:"&amp;B1741,"%","%25"),"~","%7E"),"*","%2A"),"?","%3F"),'Rules'!$G$7:$G$26,0))="hours",INDEX('Rules'!$B$7:$B$26,MATCH(SUBSTITUTE(SUBSTITUTE(SUBSTITUTE(SUBSTITUTE("type:"&amp;B1741,"%","%25"),"~","%7E"),"*","%2A"),"?","%3F"),'Rules'!$G$7:$G$26,0))="km"),INDEX('Rules'!$B$7:$B$26,MATCH(SUBSTITUTE(SUBSTITUTE(SUBSTITUTE(SUBSTITUTE("type:"&amp;B1741,"%","%25"),"~","%7E"),"*","%2A"),"?","%3F"),'Rules'!$G$7:$G$26,0)),""))</x:f>
      </x:c>
      <x:c r="I1741" s="6" t="str">
        <x:f>IF(AND(NOT(COUNTA(A1741:F1741)=0),K1741=""),ROUND(J1741-D1741,3),"")</x:f>
      </x:c>
      <x:c r="J1741" s="6" t="str">
        <x:f>IF(AND(NOT(COUNTA(A1741:F1741)=0),K1741=""),ROUND(F1741+L1741,3),"")</x:f>
      </x:c>
      <x:c r="K1741" s="5" t="str">
        <x:f>IF(COUNTA(A1741:F1741)=0,"",IF(A1741="","Missing equipment ID",IF(COUNTIFS($N$8:$N$2007,"="&amp;N1741)&gt;1,"Duplicate equipment ID",IF(B1741="","Missing type",IF(COUNTIFS('Rules'!$G$7:$G$26,"="&amp;(SUBSTITUTE(SUBSTITUTE(SUBSTITUTE(SUBSTITUTE("type:"&amp;B1741,"%","%25"),"~","%7E"),"*","%2A"),"?","%3F")))=0,"Unknown type",IF(COUNTIFS('Rules'!$G$7:$G$26,"="&amp;(SUBSTITUTE(SUBSTITUTE(SUBSTITUTE(SUBSTITUTE("type:"&amp;B1741,"%","%25"),"~","%7E"),"*","%2A"),"?","%3F")))&gt;1,"Duplicate type",IF(INDEX('Rules'!$F$7:$F$26,MATCH(SUBSTITUTE(SUBSTITUTE(SUBSTITUTE(SUBSTITUTE("type:"&amp;B1741,"%","%25"),"~","%7E"),"*","%2A"),"?","%3F"),'Rules'!$G$7:$G$26,0))&lt;&gt;"",INDEX('Rules'!$F$7:$F$26,MATCH(SUBSTITUTE(SUBSTITUTE(SUBSTITUTE(SUBSTITUTE("type:"&amp;B1741,"%","%25"),"~","%7E"),"*","%2A"),"?","%3F"),'Rules'!$G$7:$G$26,0)),IF(AND(C1741&lt;&gt;"",C1741&lt;&gt;INDEX('Rules'!$B$7:$B$26,MATCH(SUBSTITUTE(SUBSTITUTE(SUBSTITUTE(SUBSTITUTE("type:"&amp;B1741,"%","%25"),"~","%7E"),"*","%2A"),"?","%3F"),'Rules'!$G$7:$G$26,0))),"Unit mismatch",IF(IF(NOT(ISNUMBER(D1741)),TRUE,OR(D1741&lt;0,D1741&gt;999999999,ROUND(D1741,3)&lt;&gt;D1741)),"Invalid current reading",IF(AND(E1741&lt;&gt;"",IF(NOT(ISNUMBER(E1741)),TRUE,OR(E1741&lt;0,E1741&gt;999999999,ROUND(E1741,3)&lt;&gt;E1741))),"Invalid previous reading",IF(IF(NOT(ISNUMBER(F1741)),TRUE,OR(F1741&lt;0,F1741&gt;999999999,ROUND(F1741,3)&lt;&gt;F1741)),"Invalid last service",IF(AND(E1741&lt;&gt;"",D1741&lt;E1741),"Decreased reading",IF(F1741&gt;D1741,"Last service above current","")))))))))))))</x:f>
      </x:c>
      <x:c r="L1741" s="6" t="str">
        <x:f>IF(AND(NOT(COUNTA(A1741:F1741)=0),K1741=""),INDEX('Rules'!$C$7:$C$26,MATCH(SUBSTITUTE(SUBSTITUTE(SUBSTITUTE(SUBSTITUTE("type:"&amp;B1741,"%","%25"),"~","%7E"),"*","%2A"),"?","%3F"),'Rules'!$G$7:$G$26,0)),"")</x:f>
      </x:c>
      <x:c r="M1741" s="6" t="str">
        <x:f>IF(AND(NOT(COUNTA(A1741:F1741)=0),K1741=""),INDEX('Rules'!$D$7:$D$26,MATCH(SUBSTITUTE(SUBSTITUTE(SUBSTITUTE(SUBSTITUTE("type:"&amp;B1741,"%","%25"),"~","%7E"),"*","%2A"),"?","%3F"),'Rules'!$G$7:$G$26,0)),"")</x:f>
      </x:c>
      <x:c r="N1741" s="5" t="str">
        <x:f>IF(COUNTA(A1741:F1741)=0,"",SUBSTITUTE(SUBSTITUTE(SUBSTITUTE(SUBSTITUTE("id:"&amp;A1741,"%","%25"),"~","%7E"),"*","%2A"),"?","%3F"))</x:f>
      </x:c>
    </x:row>
    <x:row r="1742" ht="22" customHeight="1">
      <x:c r="A1742" s="3"/>
      <x:c r="B1742" s="3"/>
      <x:c r="C1742" s="3"/>
      <x:c r="D1742" s="4"/>
      <x:c r="E1742" s="4"/>
      <x:c r="F1742" s="4"/>
      <x:c r="G1742" s="5" t="str">
        <x:f>IF(COUNTA(A1742:F1742)=0,"",IF(K1742&lt;&gt;"","Review",IF(I1742&lt;0,"Overdue",IF(I1742=0,"Due now",IF(I1742&lt;=M1742,"Due soon","Not due")))))</x:f>
      </x:c>
      <x:c r="H1742" s="5" t="str">
        <x:f>IF(OR(COUNTA(A1742:F1742)=0,COUNTIFS('Rules'!$G$7:$G$26,"="&amp;(SUBSTITUTE(SUBSTITUTE(SUBSTITUTE(SUBSTITUTE("type:"&amp;B1742,"%","%25"),"~","%7E"),"*","%2A"),"?","%3F")))&lt;&gt;1),"",IF(OR(INDEX('Rules'!$B$7:$B$26,MATCH(SUBSTITUTE(SUBSTITUTE(SUBSTITUTE(SUBSTITUTE("type:"&amp;B1742,"%","%25"),"~","%7E"),"*","%2A"),"?","%3F"),'Rules'!$G$7:$G$26,0))="hours",INDEX('Rules'!$B$7:$B$26,MATCH(SUBSTITUTE(SUBSTITUTE(SUBSTITUTE(SUBSTITUTE("type:"&amp;B1742,"%","%25"),"~","%7E"),"*","%2A"),"?","%3F"),'Rules'!$G$7:$G$26,0))="km"),INDEX('Rules'!$B$7:$B$26,MATCH(SUBSTITUTE(SUBSTITUTE(SUBSTITUTE(SUBSTITUTE("type:"&amp;B1742,"%","%25"),"~","%7E"),"*","%2A"),"?","%3F"),'Rules'!$G$7:$G$26,0)),""))</x:f>
      </x:c>
      <x:c r="I1742" s="6" t="str">
        <x:f>IF(AND(NOT(COUNTA(A1742:F1742)=0),K1742=""),ROUND(J1742-D1742,3),"")</x:f>
      </x:c>
      <x:c r="J1742" s="6" t="str">
        <x:f>IF(AND(NOT(COUNTA(A1742:F1742)=0),K1742=""),ROUND(F1742+L1742,3),"")</x:f>
      </x:c>
      <x:c r="K1742" s="5" t="str">
        <x:f>IF(COUNTA(A1742:F1742)=0,"",IF(A1742="","Missing equipment ID",IF(COUNTIFS($N$8:$N$2007,"="&amp;N1742)&gt;1,"Duplicate equipment ID",IF(B1742="","Missing type",IF(COUNTIFS('Rules'!$G$7:$G$26,"="&amp;(SUBSTITUTE(SUBSTITUTE(SUBSTITUTE(SUBSTITUTE("type:"&amp;B1742,"%","%25"),"~","%7E"),"*","%2A"),"?","%3F")))=0,"Unknown type",IF(COUNTIFS('Rules'!$G$7:$G$26,"="&amp;(SUBSTITUTE(SUBSTITUTE(SUBSTITUTE(SUBSTITUTE("type:"&amp;B1742,"%","%25"),"~","%7E"),"*","%2A"),"?","%3F")))&gt;1,"Duplicate type",IF(INDEX('Rules'!$F$7:$F$26,MATCH(SUBSTITUTE(SUBSTITUTE(SUBSTITUTE(SUBSTITUTE("type:"&amp;B1742,"%","%25"),"~","%7E"),"*","%2A"),"?","%3F"),'Rules'!$G$7:$G$26,0))&lt;&gt;"",INDEX('Rules'!$F$7:$F$26,MATCH(SUBSTITUTE(SUBSTITUTE(SUBSTITUTE(SUBSTITUTE("type:"&amp;B1742,"%","%25"),"~","%7E"),"*","%2A"),"?","%3F"),'Rules'!$G$7:$G$26,0)),IF(AND(C1742&lt;&gt;"",C1742&lt;&gt;INDEX('Rules'!$B$7:$B$26,MATCH(SUBSTITUTE(SUBSTITUTE(SUBSTITUTE(SUBSTITUTE("type:"&amp;B1742,"%","%25"),"~","%7E"),"*","%2A"),"?","%3F"),'Rules'!$G$7:$G$26,0))),"Unit mismatch",IF(IF(NOT(ISNUMBER(D1742)),TRUE,OR(D1742&lt;0,D1742&gt;999999999,ROUND(D1742,3)&lt;&gt;D1742)),"Invalid current reading",IF(AND(E1742&lt;&gt;"",IF(NOT(ISNUMBER(E1742)),TRUE,OR(E1742&lt;0,E1742&gt;999999999,ROUND(E1742,3)&lt;&gt;E1742))),"Invalid previous reading",IF(IF(NOT(ISNUMBER(F1742)),TRUE,OR(F1742&lt;0,F1742&gt;999999999,ROUND(F1742,3)&lt;&gt;F1742)),"Invalid last service",IF(AND(E1742&lt;&gt;"",D1742&lt;E1742),"Decreased reading",IF(F1742&gt;D1742,"Last service above current","")))))))))))))</x:f>
      </x:c>
      <x:c r="L1742" s="6" t="str">
        <x:f>IF(AND(NOT(COUNTA(A1742:F1742)=0),K1742=""),INDEX('Rules'!$C$7:$C$26,MATCH(SUBSTITUTE(SUBSTITUTE(SUBSTITUTE(SUBSTITUTE("type:"&amp;B1742,"%","%25"),"~","%7E"),"*","%2A"),"?","%3F"),'Rules'!$G$7:$G$26,0)),"")</x:f>
      </x:c>
      <x:c r="M1742" s="6" t="str">
        <x:f>IF(AND(NOT(COUNTA(A1742:F1742)=0),K1742=""),INDEX('Rules'!$D$7:$D$26,MATCH(SUBSTITUTE(SUBSTITUTE(SUBSTITUTE(SUBSTITUTE("type:"&amp;B1742,"%","%25"),"~","%7E"),"*","%2A"),"?","%3F"),'Rules'!$G$7:$G$26,0)),"")</x:f>
      </x:c>
      <x:c r="N1742" s="5" t="str">
        <x:f>IF(COUNTA(A1742:F1742)=0,"",SUBSTITUTE(SUBSTITUTE(SUBSTITUTE(SUBSTITUTE("id:"&amp;A1742,"%","%25"),"~","%7E"),"*","%2A"),"?","%3F"))</x:f>
      </x:c>
    </x:row>
    <x:row r="1743" ht="22" customHeight="1">
      <x:c r="A1743" s="3"/>
      <x:c r="B1743" s="3"/>
      <x:c r="C1743" s="3"/>
      <x:c r="D1743" s="4"/>
      <x:c r="E1743" s="4"/>
      <x:c r="F1743" s="4"/>
      <x:c r="G1743" s="5" t="str">
        <x:f>IF(COUNTA(A1743:F1743)=0,"",IF(K1743&lt;&gt;"","Review",IF(I1743&lt;0,"Overdue",IF(I1743=0,"Due now",IF(I1743&lt;=M1743,"Due soon","Not due")))))</x:f>
      </x:c>
      <x:c r="H1743" s="5" t="str">
        <x:f>IF(OR(COUNTA(A1743:F1743)=0,COUNTIFS('Rules'!$G$7:$G$26,"="&amp;(SUBSTITUTE(SUBSTITUTE(SUBSTITUTE(SUBSTITUTE("type:"&amp;B1743,"%","%25"),"~","%7E"),"*","%2A"),"?","%3F")))&lt;&gt;1),"",IF(OR(INDEX('Rules'!$B$7:$B$26,MATCH(SUBSTITUTE(SUBSTITUTE(SUBSTITUTE(SUBSTITUTE("type:"&amp;B1743,"%","%25"),"~","%7E"),"*","%2A"),"?","%3F"),'Rules'!$G$7:$G$26,0))="hours",INDEX('Rules'!$B$7:$B$26,MATCH(SUBSTITUTE(SUBSTITUTE(SUBSTITUTE(SUBSTITUTE("type:"&amp;B1743,"%","%25"),"~","%7E"),"*","%2A"),"?","%3F"),'Rules'!$G$7:$G$26,0))="km"),INDEX('Rules'!$B$7:$B$26,MATCH(SUBSTITUTE(SUBSTITUTE(SUBSTITUTE(SUBSTITUTE("type:"&amp;B1743,"%","%25"),"~","%7E"),"*","%2A"),"?","%3F"),'Rules'!$G$7:$G$26,0)),""))</x:f>
      </x:c>
      <x:c r="I1743" s="6" t="str">
        <x:f>IF(AND(NOT(COUNTA(A1743:F1743)=0),K1743=""),ROUND(J1743-D1743,3),"")</x:f>
      </x:c>
      <x:c r="J1743" s="6" t="str">
        <x:f>IF(AND(NOT(COUNTA(A1743:F1743)=0),K1743=""),ROUND(F1743+L1743,3),"")</x:f>
      </x:c>
      <x:c r="K1743" s="5" t="str">
        <x:f>IF(COUNTA(A1743:F1743)=0,"",IF(A1743="","Missing equipment ID",IF(COUNTIFS($N$8:$N$2007,"="&amp;N1743)&gt;1,"Duplicate equipment ID",IF(B1743="","Missing type",IF(COUNTIFS('Rules'!$G$7:$G$26,"="&amp;(SUBSTITUTE(SUBSTITUTE(SUBSTITUTE(SUBSTITUTE("type:"&amp;B1743,"%","%25"),"~","%7E"),"*","%2A"),"?","%3F")))=0,"Unknown type",IF(COUNTIFS('Rules'!$G$7:$G$26,"="&amp;(SUBSTITUTE(SUBSTITUTE(SUBSTITUTE(SUBSTITUTE("type:"&amp;B1743,"%","%25"),"~","%7E"),"*","%2A"),"?","%3F")))&gt;1,"Duplicate type",IF(INDEX('Rules'!$F$7:$F$26,MATCH(SUBSTITUTE(SUBSTITUTE(SUBSTITUTE(SUBSTITUTE("type:"&amp;B1743,"%","%25"),"~","%7E"),"*","%2A"),"?","%3F"),'Rules'!$G$7:$G$26,0))&lt;&gt;"",INDEX('Rules'!$F$7:$F$26,MATCH(SUBSTITUTE(SUBSTITUTE(SUBSTITUTE(SUBSTITUTE("type:"&amp;B1743,"%","%25"),"~","%7E"),"*","%2A"),"?","%3F"),'Rules'!$G$7:$G$26,0)),IF(AND(C1743&lt;&gt;"",C1743&lt;&gt;INDEX('Rules'!$B$7:$B$26,MATCH(SUBSTITUTE(SUBSTITUTE(SUBSTITUTE(SUBSTITUTE("type:"&amp;B1743,"%","%25"),"~","%7E"),"*","%2A"),"?","%3F"),'Rules'!$G$7:$G$26,0))),"Unit mismatch",IF(IF(NOT(ISNUMBER(D1743)),TRUE,OR(D1743&lt;0,D1743&gt;999999999,ROUND(D1743,3)&lt;&gt;D1743)),"Invalid current reading",IF(AND(E1743&lt;&gt;"",IF(NOT(ISNUMBER(E1743)),TRUE,OR(E1743&lt;0,E1743&gt;999999999,ROUND(E1743,3)&lt;&gt;E1743))),"Invalid previous reading",IF(IF(NOT(ISNUMBER(F1743)),TRUE,OR(F1743&lt;0,F1743&gt;999999999,ROUND(F1743,3)&lt;&gt;F1743)),"Invalid last service",IF(AND(E1743&lt;&gt;"",D1743&lt;E1743),"Decreased reading",IF(F1743&gt;D1743,"Last service above current","")))))))))))))</x:f>
      </x:c>
      <x:c r="L1743" s="6" t="str">
        <x:f>IF(AND(NOT(COUNTA(A1743:F1743)=0),K1743=""),INDEX('Rules'!$C$7:$C$26,MATCH(SUBSTITUTE(SUBSTITUTE(SUBSTITUTE(SUBSTITUTE("type:"&amp;B1743,"%","%25"),"~","%7E"),"*","%2A"),"?","%3F"),'Rules'!$G$7:$G$26,0)),"")</x:f>
      </x:c>
      <x:c r="M1743" s="6" t="str">
        <x:f>IF(AND(NOT(COUNTA(A1743:F1743)=0),K1743=""),INDEX('Rules'!$D$7:$D$26,MATCH(SUBSTITUTE(SUBSTITUTE(SUBSTITUTE(SUBSTITUTE("type:"&amp;B1743,"%","%25"),"~","%7E"),"*","%2A"),"?","%3F"),'Rules'!$G$7:$G$26,0)),"")</x:f>
      </x:c>
      <x:c r="N1743" s="5" t="str">
        <x:f>IF(COUNTA(A1743:F1743)=0,"",SUBSTITUTE(SUBSTITUTE(SUBSTITUTE(SUBSTITUTE("id:"&amp;A1743,"%","%25"),"~","%7E"),"*","%2A"),"?","%3F"))</x:f>
      </x:c>
    </x:row>
    <x:row r="1744" ht="22" customHeight="1">
      <x:c r="A1744" s="3"/>
      <x:c r="B1744" s="3"/>
      <x:c r="C1744" s="3"/>
      <x:c r="D1744" s="4"/>
      <x:c r="E1744" s="4"/>
      <x:c r="F1744" s="4"/>
      <x:c r="G1744" s="5" t="str">
        <x:f>IF(COUNTA(A1744:F1744)=0,"",IF(K1744&lt;&gt;"","Review",IF(I1744&lt;0,"Overdue",IF(I1744=0,"Due now",IF(I1744&lt;=M1744,"Due soon","Not due")))))</x:f>
      </x:c>
      <x:c r="H1744" s="5" t="str">
        <x:f>IF(OR(COUNTA(A1744:F1744)=0,COUNTIFS('Rules'!$G$7:$G$26,"="&amp;(SUBSTITUTE(SUBSTITUTE(SUBSTITUTE(SUBSTITUTE("type:"&amp;B1744,"%","%25"),"~","%7E"),"*","%2A"),"?","%3F")))&lt;&gt;1),"",IF(OR(INDEX('Rules'!$B$7:$B$26,MATCH(SUBSTITUTE(SUBSTITUTE(SUBSTITUTE(SUBSTITUTE("type:"&amp;B1744,"%","%25"),"~","%7E"),"*","%2A"),"?","%3F"),'Rules'!$G$7:$G$26,0))="hours",INDEX('Rules'!$B$7:$B$26,MATCH(SUBSTITUTE(SUBSTITUTE(SUBSTITUTE(SUBSTITUTE("type:"&amp;B1744,"%","%25"),"~","%7E"),"*","%2A"),"?","%3F"),'Rules'!$G$7:$G$26,0))="km"),INDEX('Rules'!$B$7:$B$26,MATCH(SUBSTITUTE(SUBSTITUTE(SUBSTITUTE(SUBSTITUTE("type:"&amp;B1744,"%","%25"),"~","%7E"),"*","%2A"),"?","%3F"),'Rules'!$G$7:$G$26,0)),""))</x:f>
      </x:c>
      <x:c r="I1744" s="6" t="str">
        <x:f>IF(AND(NOT(COUNTA(A1744:F1744)=0),K1744=""),ROUND(J1744-D1744,3),"")</x:f>
      </x:c>
      <x:c r="J1744" s="6" t="str">
        <x:f>IF(AND(NOT(COUNTA(A1744:F1744)=0),K1744=""),ROUND(F1744+L1744,3),"")</x:f>
      </x:c>
      <x:c r="K1744" s="5" t="str">
        <x:f>IF(COUNTA(A1744:F1744)=0,"",IF(A1744="","Missing equipment ID",IF(COUNTIFS($N$8:$N$2007,"="&amp;N1744)&gt;1,"Duplicate equipment ID",IF(B1744="","Missing type",IF(COUNTIFS('Rules'!$G$7:$G$26,"="&amp;(SUBSTITUTE(SUBSTITUTE(SUBSTITUTE(SUBSTITUTE("type:"&amp;B1744,"%","%25"),"~","%7E"),"*","%2A"),"?","%3F")))=0,"Unknown type",IF(COUNTIFS('Rules'!$G$7:$G$26,"="&amp;(SUBSTITUTE(SUBSTITUTE(SUBSTITUTE(SUBSTITUTE("type:"&amp;B1744,"%","%25"),"~","%7E"),"*","%2A"),"?","%3F")))&gt;1,"Duplicate type",IF(INDEX('Rules'!$F$7:$F$26,MATCH(SUBSTITUTE(SUBSTITUTE(SUBSTITUTE(SUBSTITUTE("type:"&amp;B1744,"%","%25"),"~","%7E"),"*","%2A"),"?","%3F"),'Rules'!$G$7:$G$26,0))&lt;&gt;"",INDEX('Rules'!$F$7:$F$26,MATCH(SUBSTITUTE(SUBSTITUTE(SUBSTITUTE(SUBSTITUTE("type:"&amp;B1744,"%","%25"),"~","%7E"),"*","%2A"),"?","%3F"),'Rules'!$G$7:$G$26,0)),IF(AND(C1744&lt;&gt;"",C1744&lt;&gt;INDEX('Rules'!$B$7:$B$26,MATCH(SUBSTITUTE(SUBSTITUTE(SUBSTITUTE(SUBSTITUTE("type:"&amp;B1744,"%","%25"),"~","%7E"),"*","%2A"),"?","%3F"),'Rules'!$G$7:$G$26,0))),"Unit mismatch",IF(IF(NOT(ISNUMBER(D1744)),TRUE,OR(D1744&lt;0,D1744&gt;999999999,ROUND(D1744,3)&lt;&gt;D1744)),"Invalid current reading",IF(AND(E1744&lt;&gt;"",IF(NOT(ISNUMBER(E1744)),TRUE,OR(E1744&lt;0,E1744&gt;999999999,ROUND(E1744,3)&lt;&gt;E1744))),"Invalid previous reading",IF(IF(NOT(ISNUMBER(F1744)),TRUE,OR(F1744&lt;0,F1744&gt;999999999,ROUND(F1744,3)&lt;&gt;F1744)),"Invalid last service",IF(AND(E1744&lt;&gt;"",D1744&lt;E1744),"Decreased reading",IF(F1744&gt;D1744,"Last service above current","")))))))))))))</x:f>
      </x:c>
      <x:c r="L1744" s="6" t="str">
        <x:f>IF(AND(NOT(COUNTA(A1744:F1744)=0),K1744=""),INDEX('Rules'!$C$7:$C$26,MATCH(SUBSTITUTE(SUBSTITUTE(SUBSTITUTE(SUBSTITUTE("type:"&amp;B1744,"%","%25"),"~","%7E"),"*","%2A"),"?","%3F"),'Rules'!$G$7:$G$26,0)),"")</x:f>
      </x:c>
      <x:c r="M1744" s="6" t="str">
        <x:f>IF(AND(NOT(COUNTA(A1744:F1744)=0),K1744=""),INDEX('Rules'!$D$7:$D$26,MATCH(SUBSTITUTE(SUBSTITUTE(SUBSTITUTE(SUBSTITUTE("type:"&amp;B1744,"%","%25"),"~","%7E"),"*","%2A"),"?","%3F"),'Rules'!$G$7:$G$26,0)),"")</x:f>
      </x:c>
      <x:c r="N1744" s="5" t="str">
        <x:f>IF(COUNTA(A1744:F1744)=0,"",SUBSTITUTE(SUBSTITUTE(SUBSTITUTE(SUBSTITUTE("id:"&amp;A1744,"%","%25"),"~","%7E"),"*","%2A"),"?","%3F"))</x:f>
      </x:c>
    </x:row>
    <x:row r="1745" ht="22" customHeight="1">
      <x:c r="A1745" s="3"/>
      <x:c r="B1745" s="3"/>
      <x:c r="C1745" s="3"/>
      <x:c r="D1745" s="4"/>
      <x:c r="E1745" s="4"/>
      <x:c r="F1745" s="4"/>
      <x:c r="G1745" s="5" t="str">
        <x:f>IF(COUNTA(A1745:F1745)=0,"",IF(K1745&lt;&gt;"","Review",IF(I1745&lt;0,"Overdue",IF(I1745=0,"Due now",IF(I1745&lt;=M1745,"Due soon","Not due")))))</x:f>
      </x:c>
      <x:c r="H1745" s="5" t="str">
        <x:f>IF(OR(COUNTA(A1745:F1745)=0,COUNTIFS('Rules'!$G$7:$G$26,"="&amp;(SUBSTITUTE(SUBSTITUTE(SUBSTITUTE(SUBSTITUTE("type:"&amp;B1745,"%","%25"),"~","%7E"),"*","%2A"),"?","%3F")))&lt;&gt;1),"",IF(OR(INDEX('Rules'!$B$7:$B$26,MATCH(SUBSTITUTE(SUBSTITUTE(SUBSTITUTE(SUBSTITUTE("type:"&amp;B1745,"%","%25"),"~","%7E"),"*","%2A"),"?","%3F"),'Rules'!$G$7:$G$26,0))="hours",INDEX('Rules'!$B$7:$B$26,MATCH(SUBSTITUTE(SUBSTITUTE(SUBSTITUTE(SUBSTITUTE("type:"&amp;B1745,"%","%25"),"~","%7E"),"*","%2A"),"?","%3F"),'Rules'!$G$7:$G$26,0))="km"),INDEX('Rules'!$B$7:$B$26,MATCH(SUBSTITUTE(SUBSTITUTE(SUBSTITUTE(SUBSTITUTE("type:"&amp;B1745,"%","%25"),"~","%7E"),"*","%2A"),"?","%3F"),'Rules'!$G$7:$G$26,0)),""))</x:f>
      </x:c>
      <x:c r="I1745" s="6" t="str">
        <x:f>IF(AND(NOT(COUNTA(A1745:F1745)=0),K1745=""),ROUND(J1745-D1745,3),"")</x:f>
      </x:c>
      <x:c r="J1745" s="6" t="str">
        <x:f>IF(AND(NOT(COUNTA(A1745:F1745)=0),K1745=""),ROUND(F1745+L1745,3),"")</x:f>
      </x:c>
      <x:c r="K1745" s="5" t="str">
        <x:f>IF(COUNTA(A1745:F1745)=0,"",IF(A1745="","Missing equipment ID",IF(COUNTIFS($N$8:$N$2007,"="&amp;N1745)&gt;1,"Duplicate equipment ID",IF(B1745="","Missing type",IF(COUNTIFS('Rules'!$G$7:$G$26,"="&amp;(SUBSTITUTE(SUBSTITUTE(SUBSTITUTE(SUBSTITUTE("type:"&amp;B1745,"%","%25"),"~","%7E"),"*","%2A"),"?","%3F")))=0,"Unknown type",IF(COUNTIFS('Rules'!$G$7:$G$26,"="&amp;(SUBSTITUTE(SUBSTITUTE(SUBSTITUTE(SUBSTITUTE("type:"&amp;B1745,"%","%25"),"~","%7E"),"*","%2A"),"?","%3F")))&gt;1,"Duplicate type",IF(INDEX('Rules'!$F$7:$F$26,MATCH(SUBSTITUTE(SUBSTITUTE(SUBSTITUTE(SUBSTITUTE("type:"&amp;B1745,"%","%25"),"~","%7E"),"*","%2A"),"?","%3F"),'Rules'!$G$7:$G$26,0))&lt;&gt;"",INDEX('Rules'!$F$7:$F$26,MATCH(SUBSTITUTE(SUBSTITUTE(SUBSTITUTE(SUBSTITUTE("type:"&amp;B1745,"%","%25"),"~","%7E"),"*","%2A"),"?","%3F"),'Rules'!$G$7:$G$26,0)),IF(AND(C1745&lt;&gt;"",C1745&lt;&gt;INDEX('Rules'!$B$7:$B$26,MATCH(SUBSTITUTE(SUBSTITUTE(SUBSTITUTE(SUBSTITUTE("type:"&amp;B1745,"%","%25"),"~","%7E"),"*","%2A"),"?","%3F"),'Rules'!$G$7:$G$26,0))),"Unit mismatch",IF(IF(NOT(ISNUMBER(D1745)),TRUE,OR(D1745&lt;0,D1745&gt;999999999,ROUND(D1745,3)&lt;&gt;D1745)),"Invalid current reading",IF(AND(E1745&lt;&gt;"",IF(NOT(ISNUMBER(E1745)),TRUE,OR(E1745&lt;0,E1745&gt;999999999,ROUND(E1745,3)&lt;&gt;E1745))),"Invalid previous reading",IF(IF(NOT(ISNUMBER(F1745)),TRUE,OR(F1745&lt;0,F1745&gt;999999999,ROUND(F1745,3)&lt;&gt;F1745)),"Invalid last service",IF(AND(E1745&lt;&gt;"",D1745&lt;E1745),"Decreased reading",IF(F1745&gt;D1745,"Last service above current","")))))))))))))</x:f>
      </x:c>
      <x:c r="L1745" s="6" t="str">
        <x:f>IF(AND(NOT(COUNTA(A1745:F1745)=0),K1745=""),INDEX('Rules'!$C$7:$C$26,MATCH(SUBSTITUTE(SUBSTITUTE(SUBSTITUTE(SUBSTITUTE("type:"&amp;B1745,"%","%25"),"~","%7E"),"*","%2A"),"?","%3F"),'Rules'!$G$7:$G$26,0)),"")</x:f>
      </x:c>
      <x:c r="M1745" s="6" t="str">
        <x:f>IF(AND(NOT(COUNTA(A1745:F1745)=0),K1745=""),INDEX('Rules'!$D$7:$D$26,MATCH(SUBSTITUTE(SUBSTITUTE(SUBSTITUTE(SUBSTITUTE("type:"&amp;B1745,"%","%25"),"~","%7E"),"*","%2A"),"?","%3F"),'Rules'!$G$7:$G$26,0)),"")</x:f>
      </x:c>
      <x:c r="N1745" s="5" t="str">
        <x:f>IF(COUNTA(A1745:F1745)=0,"",SUBSTITUTE(SUBSTITUTE(SUBSTITUTE(SUBSTITUTE("id:"&amp;A1745,"%","%25"),"~","%7E"),"*","%2A"),"?","%3F"))</x:f>
      </x:c>
    </x:row>
    <x:row r="1746" ht="22" customHeight="1">
      <x:c r="A1746" s="3"/>
      <x:c r="B1746" s="3"/>
      <x:c r="C1746" s="3"/>
      <x:c r="D1746" s="4"/>
      <x:c r="E1746" s="4"/>
      <x:c r="F1746" s="4"/>
      <x:c r="G1746" s="5" t="str">
        <x:f>IF(COUNTA(A1746:F1746)=0,"",IF(K1746&lt;&gt;"","Review",IF(I1746&lt;0,"Overdue",IF(I1746=0,"Due now",IF(I1746&lt;=M1746,"Due soon","Not due")))))</x:f>
      </x:c>
      <x:c r="H1746" s="5" t="str">
        <x:f>IF(OR(COUNTA(A1746:F1746)=0,COUNTIFS('Rules'!$G$7:$G$26,"="&amp;(SUBSTITUTE(SUBSTITUTE(SUBSTITUTE(SUBSTITUTE("type:"&amp;B1746,"%","%25"),"~","%7E"),"*","%2A"),"?","%3F")))&lt;&gt;1),"",IF(OR(INDEX('Rules'!$B$7:$B$26,MATCH(SUBSTITUTE(SUBSTITUTE(SUBSTITUTE(SUBSTITUTE("type:"&amp;B1746,"%","%25"),"~","%7E"),"*","%2A"),"?","%3F"),'Rules'!$G$7:$G$26,0))="hours",INDEX('Rules'!$B$7:$B$26,MATCH(SUBSTITUTE(SUBSTITUTE(SUBSTITUTE(SUBSTITUTE("type:"&amp;B1746,"%","%25"),"~","%7E"),"*","%2A"),"?","%3F"),'Rules'!$G$7:$G$26,0))="km"),INDEX('Rules'!$B$7:$B$26,MATCH(SUBSTITUTE(SUBSTITUTE(SUBSTITUTE(SUBSTITUTE("type:"&amp;B1746,"%","%25"),"~","%7E"),"*","%2A"),"?","%3F"),'Rules'!$G$7:$G$26,0)),""))</x:f>
      </x:c>
      <x:c r="I1746" s="6" t="str">
        <x:f>IF(AND(NOT(COUNTA(A1746:F1746)=0),K1746=""),ROUND(J1746-D1746,3),"")</x:f>
      </x:c>
      <x:c r="J1746" s="6" t="str">
        <x:f>IF(AND(NOT(COUNTA(A1746:F1746)=0),K1746=""),ROUND(F1746+L1746,3),"")</x:f>
      </x:c>
      <x:c r="K1746" s="5" t="str">
        <x:f>IF(COUNTA(A1746:F1746)=0,"",IF(A1746="","Missing equipment ID",IF(COUNTIFS($N$8:$N$2007,"="&amp;N1746)&gt;1,"Duplicate equipment ID",IF(B1746="","Missing type",IF(COUNTIFS('Rules'!$G$7:$G$26,"="&amp;(SUBSTITUTE(SUBSTITUTE(SUBSTITUTE(SUBSTITUTE("type:"&amp;B1746,"%","%25"),"~","%7E"),"*","%2A"),"?","%3F")))=0,"Unknown type",IF(COUNTIFS('Rules'!$G$7:$G$26,"="&amp;(SUBSTITUTE(SUBSTITUTE(SUBSTITUTE(SUBSTITUTE("type:"&amp;B1746,"%","%25"),"~","%7E"),"*","%2A"),"?","%3F")))&gt;1,"Duplicate type",IF(INDEX('Rules'!$F$7:$F$26,MATCH(SUBSTITUTE(SUBSTITUTE(SUBSTITUTE(SUBSTITUTE("type:"&amp;B1746,"%","%25"),"~","%7E"),"*","%2A"),"?","%3F"),'Rules'!$G$7:$G$26,0))&lt;&gt;"",INDEX('Rules'!$F$7:$F$26,MATCH(SUBSTITUTE(SUBSTITUTE(SUBSTITUTE(SUBSTITUTE("type:"&amp;B1746,"%","%25"),"~","%7E"),"*","%2A"),"?","%3F"),'Rules'!$G$7:$G$26,0)),IF(AND(C1746&lt;&gt;"",C1746&lt;&gt;INDEX('Rules'!$B$7:$B$26,MATCH(SUBSTITUTE(SUBSTITUTE(SUBSTITUTE(SUBSTITUTE("type:"&amp;B1746,"%","%25"),"~","%7E"),"*","%2A"),"?","%3F"),'Rules'!$G$7:$G$26,0))),"Unit mismatch",IF(IF(NOT(ISNUMBER(D1746)),TRUE,OR(D1746&lt;0,D1746&gt;999999999,ROUND(D1746,3)&lt;&gt;D1746)),"Invalid current reading",IF(AND(E1746&lt;&gt;"",IF(NOT(ISNUMBER(E1746)),TRUE,OR(E1746&lt;0,E1746&gt;999999999,ROUND(E1746,3)&lt;&gt;E1746))),"Invalid previous reading",IF(IF(NOT(ISNUMBER(F1746)),TRUE,OR(F1746&lt;0,F1746&gt;999999999,ROUND(F1746,3)&lt;&gt;F1746)),"Invalid last service",IF(AND(E1746&lt;&gt;"",D1746&lt;E1746),"Decreased reading",IF(F1746&gt;D1746,"Last service above current","")))))))))))))</x:f>
      </x:c>
      <x:c r="L1746" s="6" t="str">
        <x:f>IF(AND(NOT(COUNTA(A1746:F1746)=0),K1746=""),INDEX('Rules'!$C$7:$C$26,MATCH(SUBSTITUTE(SUBSTITUTE(SUBSTITUTE(SUBSTITUTE("type:"&amp;B1746,"%","%25"),"~","%7E"),"*","%2A"),"?","%3F"),'Rules'!$G$7:$G$26,0)),"")</x:f>
      </x:c>
      <x:c r="M1746" s="6" t="str">
        <x:f>IF(AND(NOT(COUNTA(A1746:F1746)=0),K1746=""),INDEX('Rules'!$D$7:$D$26,MATCH(SUBSTITUTE(SUBSTITUTE(SUBSTITUTE(SUBSTITUTE("type:"&amp;B1746,"%","%25"),"~","%7E"),"*","%2A"),"?","%3F"),'Rules'!$G$7:$G$26,0)),"")</x:f>
      </x:c>
      <x:c r="N1746" s="5" t="str">
        <x:f>IF(COUNTA(A1746:F1746)=0,"",SUBSTITUTE(SUBSTITUTE(SUBSTITUTE(SUBSTITUTE("id:"&amp;A1746,"%","%25"),"~","%7E"),"*","%2A"),"?","%3F"))</x:f>
      </x:c>
    </x:row>
    <x:row r="1747" ht="22" customHeight="1">
      <x:c r="A1747" s="3"/>
      <x:c r="B1747" s="3"/>
      <x:c r="C1747" s="3"/>
      <x:c r="D1747" s="4"/>
      <x:c r="E1747" s="4"/>
      <x:c r="F1747" s="4"/>
      <x:c r="G1747" s="5" t="str">
        <x:f>IF(COUNTA(A1747:F1747)=0,"",IF(K1747&lt;&gt;"","Review",IF(I1747&lt;0,"Overdue",IF(I1747=0,"Due now",IF(I1747&lt;=M1747,"Due soon","Not due")))))</x:f>
      </x:c>
      <x:c r="H1747" s="5" t="str">
        <x:f>IF(OR(COUNTA(A1747:F1747)=0,COUNTIFS('Rules'!$G$7:$G$26,"="&amp;(SUBSTITUTE(SUBSTITUTE(SUBSTITUTE(SUBSTITUTE("type:"&amp;B1747,"%","%25"),"~","%7E"),"*","%2A"),"?","%3F")))&lt;&gt;1),"",IF(OR(INDEX('Rules'!$B$7:$B$26,MATCH(SUBSTITUTE(SUBSTITUTE(SUBSTITUTE(SUBSTITUTE("type:"&amp;B1747,"%","%25"),"~","%7E"),"*","%2A"),"?","%3F"),'Rules'!$G$7:$G$26,0))="hours",INDEX('Rules'!$B$7:$B$26,MATCH(SUBSTITUTE(SUBSTITUTE(SUBSTITUTE(SUBSTITUTE("type:"&amp;B1747,"%","%25"),"~","%7E"),"*","%2A"),"?","%3F"),'Rules'!$G$7:$G$26,0))="km"),INDEX('Rules'!$B$7:$B$26,MATCH(SUBSTITUTE(SUBSTITUTE(SUBSTITUTE(SUBSTITUTE("type:"&amp;B1747,"%","%25"),"~","%7E"),"*","%2A"),"?","%3F"),'Rules'!$G$7:$G$26,0)),""))</x:f>
      </x:c>
      <x:c r="I1747" s="6" t="str">
        <x:f>IF(AND(NOT(COUNTA(A1747:F1747)=0),K1747=""),ROUND(J1747-D1747,3),"")</x:f>
      </x:c>
      <x:c r="J1747" s="6" t="str">
        <x:f>IF(AND(NOT(COUNTA(A1747:F1747)=0),K1747=""),ROUND(F1747+L1747,3),"")</x:f>
      </x:c>
      <x:c r="K1747" s="5" t="str">
        <x:f>IF(COUNTA(A1747:F1747)=0,"",IF(A1747="","Missing equipment ID",IF(COUNTIFS($N$8:$N$2007,"="&amp;N1747)&gt;1,"Duplicate equipment ID",IF(B1747="","Missing type",IF(COUNTIFS('Rules'!$G$7:$G$26,"="&amp;(SUBSTITUTE(SUBSTITUTE(SUBSTITUTE(SUBSTITUTE("type:"&amp;B1747,"%","%25"),"~","%7E"),"*","%2A"),"?","%3F")))=0,"Unknown type",IF(COUNTIFS('Rules'!$G$7:$G$26,"="&amp;(SUBSTITUTE(SUBSTITUTE(SUBSTITUTE(SUBSTITUTE("type:"&amp;B1747,"%","%25"),"~","%7E"),"*","%2A"),"?","%3F")))&gt;1,"Duplicate type",IF(INDEX('Rules'!$F$7:$F$26,MATCH(SUBSTITUTE(SUBSTITUTE(SUBSTITUTE(SUBSTITUTE("type:"&amp;B1747,"%","%25"),"~","%7E"),"*","%2A"),"?","%3F"),'Rules'!$G$7:$G$26,0))&lt;&gt;"",INDEX('Rules'!$F$7:$F$26,MATCH(SUBSTITUTE(SUBSTITUTE(SUBSTITUTE(SUBSTITUTE("type:"&amp;B1747,"%","%25"),"~","%7E"),"*","%2A"),"?","%3F"),'Rules'!$G$7:$G$26,0)),IF(AND(C1747&lt;&gt;"",C1747&lt;&gt;INDEX('Rules'!$B$7:$B$26,MATCH(SUBSTITUTE(SUBSTITUTE(SUBSTITUTE(SUBSTITUTE("type:"&amp;B1747,"%","%25"),"~","%7E"),"*","%2A"),"?","%3F"),'Rules'!$G$7:$G$26,0))),"Unit mismatch",IF(IF(NOT(ISNUMBER(D1747)),TRUE,OR(D1747&lt;0,D1747&gt;999999999,ROUND(D1747,3)&lt;&gt;D1747)),"Invalid current reading",IF(AND(E1747&lt;&gt;"",IF(NOT(ISNUMBER(E1747)),TRUE,OR(E1747&lt;0,E1747&gt;999999999,ROUND(E1747,3)&lt;&gt;E1747))),"Invalid previous reading",IF(IF(NOT(ISNUMBER(F1747)),TRUE,OR(F1747&lt;0,F1747&gt;999999999,ROUND(F1747,3)&lt;&gt;F1747)),"Invalid last service",IF(AND(E1747&lt;&gt;"",D1747&lt;E1747),"Decreased reading",IF(F1747&gt;D1747,"Last service above current","")))))))))))))</x:f>
      </x:c>
      <x:c r="L1747" s="6" t="str">
        <x:f>IF(AND(NOT(COUNTA(A1747:F1747)=0),K1747=""),INDEX('Rules'!$C$7:$C$26,MATCH(SUBSTITUTE(SUBSTITUTE(SUBSTITUTE(SUBSTITUTE("type:"&amp;B1747,"%","%25"),"~","%7E"),"*","%2A"),"?","%3F"),'Rules'!$G$7:$G$26,0)),"")</x:f>
      </x:c>
      <x:c r="M1747" s="6" t="str">
        <x:f>IF(AND(NOT(COUNTA(A1747:F1747)=0),K1747=""),INDEX('Rules'!$D$7:$D$26,MATCH(SUBSTITUTE(SUBSTITUTE(SUBSTITUTE(SUBSTITUTE("type:"&amp;B1747,"%","%25"),"~","%7E"),"*","%2A"),"?","%3F"),'Rules'!$G$7:$G$26,0)),"")</x:f>
      </x:c>
      <x:c r="N1747" s="5" t="str">
        <x:f>IF(COUNTA(A1747:F1747)=0,"",SUBSTITUTE(SUBSTITUTE(SUBSTITUTE(SUBSTITUTE("id:"&amp;A1747,"%","%25"),"~","%7E"),"*","%2A"),"?","%3F"))</x:f>
      </x:c>
    </x:row>
    <x:row r="1748" ht="22" customHeight="1">
      <x:c r="A1748" s="3"/>
      <x:c r="B1748" s="3"/>
      <x:c r="C1748" s="3"/>
      <x:c r="D1748" s="4"/>
      <x:c r="E1748" s="4"/>
      <x:c r="F1748" s="4"/>
      <x:c r="G1748" s="5" t="str">
        <x:f>IF(COUNTA(A1748:F1748)=0,"",IF(K1748&lt;&gt;"","Review",IF(I1748&lt;0,"Overdue",IF(I1748=0,"Due now",IF(I1748&lt;=M1748,"Due soon","Not due")))))</x:f>
      </x:c>
      <x:c r="H1748" s="5" t="str">
        <x:f>IF(OR(COUNTA(A1748:F1748)=0,COUNTIFS('Rules'!$G$7:$G$26,"="&amp;(SUBSTITUTE(SUBSTITUTE(SUBSTITUTE(SUBSTITUTE("type:"&amp;B1748,"%","%25"),"~","%7E"),"*","%2A"),"?","%3F")))&lt;&gt;1),"",IF(OR(INDEX('Rules'!$B$7:$B$26,MATCH(SUBSTITUTE(SUBSTITUTE(SUBSTITUTE(SUBSTITUTE("type:"&amp;B1748,"%","%25"),"~","%7E"),"*","%2A"),"?","%3F"),'Rules'!$G$7:$G$26,0))="hours",INDEX('Rules'!$B$7:$B$26,MATCH(SUBSTITUTE(SUBSTITUTE(SUBSTITUTE(SUBSTITUTE("type:"&amp;B1748,"%","%25"),"~","%7E"),"*","%2A"),"?","%3F"),'Rules'!$G$7:$G$26,0))="km"),INDEX('Rules'!$B$7:$B$26,MATCH(SUBSTITUTE(SUBSTITUTE(SUBSTITUTE(SUBSTITUTE("type:"&amp;B1748,"%","%25"),"~","%7E"),"*","%2A"),"?","%3F"),'Rules'!$G$7:$G$26,0)),""))</x:f>
      </x:c>
      <x:c r="I1748" s="6" t="str">
        <x:f>IF(AND(NOT(COUNTA(A1748:F1748)=0),K1748=""),ROUND(J1748-D1748,3),"")</x:f>
      </x:c>
      <x:c r="J1748" s="6" t="str">
        <x:f>IF(AND(NOT(COUNTA(A1748:F1748)=0),K1748=""),ROUND(F1748+L1748,3),"")</x:f>
      </x:c>
      <x:c r="K1748" s="5" t="str">
        <x:f>IF(COUNTA(A1748:F1748)=0,"",IF(A1748="","Missing equipment ID",IF(COUNTIFS($N$8:$N$2007,"="&amp;N1748)&gt;1,"Duplicate equipment ID",IF(B1748="","Missing type",IF(COUNTIFS('Rules'!$G$7:$G$26,"="&amp;(SUBSTITUTE(SUBSTITUTE(SUBSTITUTE(SUBSTITUTE("type:"&amp;B1748,"%","%25"),"~","%7E"),"*","%2A"),"?","%3F")))=0,"Unknown type",IF(COUNTIFS('Rules'!$G$7:$G$26,"="&amp;(SUBSTITUTE(SUBSTITUTE(SUBSTITUTE(SUBSTITUTE("type:"&amp;B1748,"%","%25"),"~","%7E"),"*","%2A"),"?","%3F")))&gt;1,"Duplicate type",IF(INDEX('Rules'!$F$7:$F$26,MATCH(SUBSTITUTE(SUBSTITUTE(SUBSTITUTE(SUBSTITUTE("type:"&amp;B1748,"%","%25"),"~","%7E"),"*","%2A"),"?","%3F"),'Rules'!$G$7:$G$26,0))&lt;&gt;"",INDEX('Rules'!$F$7:$F$26,MATCH(SUBSTITUTE(SUBSTITUTE(SUBSTITUTE(SUBSTITUTE("type:"&amp;B1748,"%","%25"),"~","%7E"),"*","%2A"),"?","%3F"),'Rules'!$G$7:$G$26,0)),IF(AND(C1748&lt;&gt;"",C1748&lt;&gt;INDEX('Rules'!$B$7:$B$26,MATCH(SUBSTITUTE(SUBSTITUTE(SUBSTITUTE(SUBSTITUTE("type:"&amp;B1748,"%","%25"),"~","%7E"),"*","%2A"),"?","%3F"),'Rules'!$G$7:$G$26,0))),"Unit mismatch",IF(IF(NOT(ISNUMBER(D1748)),TRUE,OR(D1748&lt;0,D1748&gt;999999999,ROUND(D1748,3)&lt;&gt;D1748)),"Invalid current reading",IF(AND(E1748&lt;&gt;"",IF(NOT(ISNUMBER(E1748)),TRUE,OR(E1748&lt;0,E1748&gt;999999999,ROUND(E1748,3)&lt;&gt;E1748))),"Invalid previous reading",IF(IF(NOT(ISNUMBER(F1748)),TRUE,OR(F1748&lt;0,F1748&gt;999999999,ROUND(F1748,3)&lt;&gt;F1748)),"Invalid last service",IF(AND(E1748&lt;&gt;"",D1748&lt;E1748),"Decreased reading",IF(F1748&gt;D1748,"Last service above current","")))))))))))))</x:f>
      </x:c>
      <x:c r="L1748" s="6" t="str">
        <x:f>IF(AND(NOT(COUNTA(A1748:F1748)=0),K1748=""),INDEX('Rules'!$C$7:$C$26,MATCH(SUBSTITUTE(SUBSTITUTE(SUBSTITUTE(SUBSTITUTE("type:"&amp;B1748,"%","%25"),"~","%7E"),"*","%2A"),"?","%3F"),'Rules'!$G$7:$G$26,0)),"")</x:f>
      </x:c>
      <x:c r="M1748" s="6" t="str">
        <x:f>IF(AND(NOT(COUNTA(A1748:F1748)=0),K1748=""),INDEX('Rules'!$D$7:$D$26,MATCH(SUBSTITUTE(SUBSTITUTE(SUBSTITUTE(SUBSTITUTE("type:"&amp;B1748,"%","%25"),"~","%7E"),"*","%2A"),"?","%3F"),'Rules'!$G$7:$G$26,0)),"")</x:f>
      </x:c>
      <x:c r="N1748" s="5" t="str">
        <x:f>IF(COUNTA(A1748:F1748)=0,"",SUBSTITUTE(SUBSTITUTE(SUBSTITUTE(SUBSTITUTE("id:"&amp;A1748,"%","%25"),"~","%7E"),"*","%2A"),"?","%3F"))</x:f>
      </x:c>
    </x:row>
    <x:row r="1749" ht="22" customHeight="1">
      <x:c r="A1749" s="3"/>
      <x:c r="B1749" s="3"/>
      <x:c r="C1749" s="3"/>
      <x:c r="D1749" s="4"/>
      <x:c r="E1749" s="4"/>
      <x:c r="F1749" s="4"/>
      <x:c r="G1749" s="5" t="str">
        <x:f>IF(COUNTA(A1749:F1749)=0,"",IF(K1749&lt;&gt;"","Review",IF(I1749&lt;0,"Overdue",IF(I1749=0,"Due now",IF(I1749&lt;=M1749,"Due soon","Not due")))))</x:f>
      </x:c>
      <x:c r="H1749" s="5" t="str">
        <x:f>IF(OR(COUNTA(A1749:F1749)=0,COUNTIFS('Rules'!$G$7:$G$26,"="&amp;(SUBSTITUTE(SUBSTITUTE(SUBSTITUTE(SUBSTITUTE("type:"&amp;B1749,"%","%25"),"~","%7E"),"*","%2A"),"?","%3F")))&lt;&gt;1),"",IF(OR(INDEX('Rules'!$B$7:$B$26,MATCH(SUBSTITUTE(SUBSTITUTE(SUBSTITUTE(SUBSTITUTE("type:"&amp;B1749,"%","%25"),"~","%7E"),"*","%2A"),"?","%3F"),'Rules'!$G$7:$G$26,0))="hours",INDEX('Rules'!$B$7:$B$26,MATCH(SUBSTITUTE(SUBSTITUTE(SUBSTITUTE(SUBSTITUTE("type:"&amp;B1749,"%","%25"),"~","%7E"),"*","%2A"),"?","%3F"),'Rules'!$G$7:$G$26,0))="km"),INDEX('Rules'!$B$7:$B$26,MATCH(SUBSTITUTE(SUBSTITUTE(SUBSTITUTE(SUBSTITUTE("type:"&amp;B1749,"%","%25"),"~","%7E"),"*","%2A"),"?","%3F"),'Rules'!$G$7:$G$26,0)),""))</x:f>
      </x:c>
      <x:c r="I1749" s="6" t="str">
        <x:f>IF(AND(NOT(COUNTA(A1749:F1749)=0),K1749=""),ROUND(J1749-D1749,3),"")</x:f>
      </x:c>
      <x:c r="J1749" s="6" t="str">
        <x:f>IF(AND(NOT(COUNTA(A1749:F1749)=0),K1749=""),ROUND(F1749+L1749,3),"")</x:f>
      </x:c>
      <x:c r="K1749" s="5" t="str">
        <x:f>IF(COUNTA(A1749:F1749)=0,"",IF(A1749="","Missing equipment ID",IF(COUNTIFS($N$8:$N$2007,"="&amp;N1749)&gt;1,"Duplicate equipment ID",IF(B1749="","Missing type",IF(COUNTIFS('Rules'!$G$7:$G$26,"="&amp;(SUBSTITUTE(SUBSTITUTE(SUBSTITUTE(SUBSTITUTE("type:"&amp;B1749,"%","%25"),"~","%7E"),"*","%2A"),"?","%3F")))=0,"Unknown type",IF(COUNTIFS('Rules'!$G$7:$G$26,"="&amp;(SUBSTITUTE(SUBSTITUTE(SUBSTITUTE(SUBSTITUTE("type:"&amp;B1749,"%","%25"),"~","%7E"),"*","%2A"),"?","%3F")))&gt;1,"Duplicate type",IF(INDEX('Rules'!$F$7:$F$26,MATCH(SUBSTITUTE(SUBSTITUTE(SUBSTITUTE(SUBSTITUTE("type:"&amp;B1749,"%","%25"),"~","%7E"),"*","%2A"),"?","%3F"),'Rules'!$G$7:$G$26,0))&lt;&gt;"",INDEX('Rules'!$F$7:$F$26,MATCH(SUBSTITUTE(SUBSTITUTE(SUBSTITUTE(SUBSTITUTE("type:"&amp;B1749,"%","%25"),"~","%7E"),"*","%2A"),"?","%3F"),'Rules'!$G$7:$G$26,0)),IF(AND(C1749&lt;&gt;"",C1749&lt;&gt;INDEX('Rules'!$B$7:$B$26,MATCH(SUBSTITUTE(SUBSTITUTE(SUBSTITUTE(SUBSTITUTE("type:"&amp;B1749,"%","%25"),"~","%7E"),"*","%2A"),"?","%3F"),'Rules'!$G$7:$G$26,0))),"Unit mismatch",IF(IF(NOT(ISNUMBER(D1749)),TRUE,OR(D1749&lt;0,D1749&gt;999999999,ROUND(D1749,3)&lt;&gt;D1749)),"Invalid current reading",IF(AND(E1749&lt;&gt;"",IF(NOT(ISNUMBER(E1749)),TRUE,OR(E1749&lt;0,E1749&gt;999999999,ROUND(E1749,3)&lt;&gt;E1749))),"Invalid previous reading",IF(IF(NOT(ISNUMBER(F1749)),TRUE,OR(F1749&lt;0,F1749&gt;999999999,ROUND(F1749,3)&lt;&gt;F1749)),"Invalid last service",IF(AND(E1749&lt;&gt;"",D1749&lt;E1749),"Decreased reading",IF(F1749&gt;D1749,"Last service above current","")))))))))))))</x:f>
      </x:c>
      <x:c r="L1749" s="6" t="str">
        <x:f>IF(AND(NOT(COUNTA(A1749:F1749)=0),K1749=""),INDEX('Rules'!$C$7:$C$26,MATCH(SUBSTITUTE(SUBSTITUTE(SUBSTITUTE(SUBSTITUTE("type:"&amp;B1749,"%","%25"),"~","%7E"),"*","%2A"),"?","%3F"),'Rules'!$G$7:$G$26,0)),"")</x:f>
      </x:c>
      <x:c r="M1749" s="6" t="str">
        <x:f>IF(AND(NOT(COUNTA(A1749:F1749)=0),K1749=""),INDEX('Rules'!$D$7:$D$26,MATCH(SUBSTITUTE(SUBSTITUTE(SUBSTITUTE(SUBSTITUTE("type:"&amp;B1749,"%","%25"),"~","%7E"),"*","%2A"),"?","%3F"),'Rules'!$G$7:$G$26,0)),"")</x:f>
      </x:c>
      <x:c r="N1749" s="5" t="str">
        <x:f>IF(COUNTA(A1749:F1749)=0,"",SUBSTITUTE(SUBSTITUTE(SUBSTITUTE(SUBSTITUTE("id:"&amp;A1749,"%","%25"),"~","%7E"),"*","%2A"),"?","%3F"))</x:f>
      </x:c>
    </x:row>
    <x:row r="1750" ht="22" customHeight="1">
      <x:c r="A1750" s="3"/>
      <x:c r="B1750" s="3"/>
      <x:c r="C1750" s="3"/>
      <x:c r="D1750" s="4"/>
      <x:c r="E1750" s="4"/>
      <x:c r="F1750" s="4"/>
      <x:c r="G1750" s="5" t="str">
        <x:f>IF(COUNTA(A1750:F1750)=0,"",IF(K1750&lt;&gt;"","Review",IF(I1750&lt;0,"Overdue",IF(I1750=0,"Due now",IF(I1750&lt;=M1750,"Due soon","Not due")))))</x:f>
      </x:c>
      <x:c r="H1750" s="5" t="str">
        <x:f>IF(OR(COUNTA(A1750:F1750)=0,COUNTIFS('Rules'!$G$7:$G$26,"="&amp;(SUBSTITUTE(SUBSTITUTE(SUBSTITUTE(SUBSTITUTE("type:"&amp;B1750,"%","%25"),"~","%7E"),"*","%2A"),"?","%3F")))&lt;&gt;1),"",IF(OR(INDEX('Rules'!$B$7:$B$26,MATCH(SUBSTITUTE(SUBSTITUTE(SUBSTITUTE(SUBSTITUTE("type:"&amp;B1750,"%","%25"),"~","%7E"),"*","%2A"),"?","%3F"),'Rules'!$G$7:$G$26,0))="hours",INDEX('Rules'!$B$7:$B$26,MATCH(SUBSTITUTE(SUBSTITUTE(SUBSTITUTE(SUBSTITUTE("type:"&amp;B1750,"%","%25"),"~","%7E"),"*","%2A"),"?","%3F"),'Rules'!$G$7:$G$26,0))="km"),INDEX('Rules'!$B$7:$B$26,MATCH(SUBSTITUTE(SUBSTITUTE(SUBSTITUTE(SUBSTITUTE("type:"&amp;B1750,"%","%25"),"~","%7E"),"*","%2A"),"?","%3F"),'Rules'!$G$7:$G$26,0)),""))</x:f>
      </x:c>
      <x:c r="I1750" s="6" t="str">
        <x:f>IF(AND(NOT(COUNTA(A1750:F1750)=0),K1750=""),ROUND(J1750-D1750,3),"")</x:f>
      </x:c>
      <x:c r="J1750" s="6" t="str">
        <x:f>IF(AND(NOT(COUNTA(A1750:F1750)=0),K1750=""),ROUND(F1750+L1750,3),"")</x:f>
      </x:c>
      <x:c r="K1750" s="5" t="str">
        <x:f>IF(COUNTA(A1750:F1750)=0,"",IF(A1750="","Missing equipment ID",IF(COUNTIFS($N$8:$N$2007,"="&amp;N1750)&gt;1,"Duplicate equipment ID",IF(B1750="","Missing type",IF(COUNTIFS('Rules'!$G$7:$G$26,"="&amp;(SUBSTITUTE(SUBSTITUTE(SUBSTITUTE(SUBSTITUTE("type:"&amp;B1750,"%","%25"),"~","%7E"),"*","%2A"),"?","%3F")))=0,"Unknown type",IF(COUNTIFS('Rules'!$G$7:$G$26,"="&amp;(SUBSTITUTE(SUBSTITUTE(SUBSTITUTE(SUBSTITUTE("type:"&amp;B1750,"%","%25"),"~","%7E"),"*","%2A"),"?","%3F")))&gt;1,"Duplicate type",IF(INDEX('Rules'!$F$7:$F$26,MATCH(SUBSTITUTE(SUBSTITUTE(SUBSTITUTE(SUBSTITUTE("type:"&amp;B1750,"%","%25"),"~","%7E"),"*","%2A"),"?","%3F"),'Rules'!$G$7:$G$26,0))&lt;&gt;"",INDEX('Rules'!$F$7:$F$26,MATCH(SUBSTITUTE(SUBSTITUTE(SUBSTITUTE(SUBSTITUTE("type:"&amp;B1750,"%","%25"),"~","%7E"),"*","%2A"),"?","%3F"),'Rules'!$G$7:$G$26,0)),IF(AND(C1750&lt;&gt;"",C1750&lt;&gt;INDEX('Rules'!$B$7:$B$26,MATCH(SUBSTITUTE(SUBSTITUTE(SUBSTITUTE(SUBSTITUTE("type:"&amp;B1750,"%","%25"),"~","%7E"),"*","%2A"),"?","%3F"),'Rules'!$G$7:$G$26,0))),"Unit mismatch",IF(IF(NOT(ISNUMBER(D1750)),TRUE,OR(D1750&lt;0,D1750&gt;999999999,ROUND(D1750,3)&lt;&gt;D1750)),"Invalid current reading",IF(AND(E1750&lt;&gt;"",IF(NOT(ISNUMBER(E1750)),TRUE,OR(E1750&lt;0,E1750&gt;999999999,ROUND(E1750,3)&lt;&gt;E1750))),"Invalid previous reading",IF(IF(NOT(ISNUMBER(F1750)),TRUE,OR(F1750&lt;0,F1750&gt;999999999,ROUND(F1750,3)&lt;&gt;F1750)),"Invalid last service",IF(AND(E1750&lt;&gt;"",D1750&lt;E1750),"Decreased reading",IF(F1750&gt;D1750,"Last service above current","")))))))))))))</x:f>
      </x:c>
      <x:c r="L1750" s="6" t="str">
        <x:f>IF(AND(NOT(COUNTA(A1750:F1750)=0),K1750=""),INDEX('Rules'!$C$7:$C$26,MATCH(SUBSTITUTE(SUBSTITUTE(SUBSTITUTE(SUBSTITUTE("type:"&amp;B1750,"%","%25"),"~","%7E"),"*","%2A"),"?","%3F"),'Rules'!$G$7:$G$26,0)),"")</x:f>
      </x:c>
      <x:c r="M1750" s="6" t="str">
        <x:f>IF(AND(NOT(COUNTA(A1750:F1750)=0),K1750=""),INDEX('Rules'!$D$7:$D$26,MATCH(SUBSTITUTE(SUBSTITUTE(SUBSTITUTE(SUBSTITUTE("type:"&amp;B1750,"%","%25"),"~","%7E"),"*","%2A"),"?","%3F"),'Rules'!$G$7:$G$26,0)),"")</x:f>
      </x:c>
      <x:c r="N1750" s="5" t="str">
        <x:f>IF(COUNTA(A1750:F1750)=0,"",SUBSTITUTE(SUBSTITUTE(SUBSTITUTE(SUBSTITUTE("id:"&amp;A1750,"%","%25"),"~","%7E"),"*","%2A"),"?","%3F"))</x:f>
      </x:c>
    </x:row>
    <x:row r="1751" ht="22" customHeight="1">
      <x:c r="A1751" s="3"/>
      <x:c r="B1751" s="3"/>
      <x:c r="C1751" s="3"/>
      <x:c r="D1751" s="4"/>
      <x:c r="E1751" s="4"/>
      <x:c r="F1751" s="4"/>
      <x:c r="G1751" s="5" t="str">
        <x:f>IF(COUNTA(A1751:F1751)=0,"",IF(K1751&lt;&gt;"","Review",IF(I1751&lt;0,"Overdue",IF(I1751=0,"Due now",IF(I1751&lt;=M1751,"Due soon","Not due")))))</x:f>
      </x:c>
      <x:c r="H1751" s="5" t="str">
        <x:f>IF(OR(COUNTA(A1751:F1751)=0,COUNTIFS('Rules'!$G$7:$G$26,"="&amp;(SUBSTITUTE(SUBSTITUTE(SUBSTITUTE(SUBSTITUTE("type:"&amp;B1751,"%","%25"),"~","%7E"),"*","%2A"),"?","%3F")))&lt;&gt;1),"",IF(OR(INDEX('Rules'!$B$7:$B$26,MATCH(SUBSTITUTE(SUBSTITUTE(SUBSTITUTE(SUBSTITUTE("type:"&amp;B1751,"%","%25"),"~","%7E"),"*","%2A"),"?","%3F"),'Rules'!$G$7:$G$26,0))="hours",INDEX('Rules'!$B$7:$B$26,MATCH(SUBSTITUTE(SUBSTITUTE(SUBSTITUTE(SUBSTITUTE("type:"&amp;B1751,"%","%25"),"~","%7E"),"*","%2A"),"?","%3F"),'Rules'!$G$7:$G$26,0))="km"),INDEX('Rules'!$B$7:$B$26,MATCH(SUBSTITUTE(SUBSTITUTE(SUBSTITUTE(SUBSTITUTE("type:"&amp;B1751,"%","%25"),"~","%7E"),"*","%2A"),"?","%3F"),'Rules'!$G$7:$G$26,0)),""))</x:f>
      </x:c>
      <x:c r="I1751" s="6" t="str">
        <x:f>IF(AND(NOT(COUNTA(A1751:F1751)=0),K1751=""),ROUND(J1751-D1751,3),"")</x:f>
      </x:c>
      <x:c r="J1751" s="6" t="str">
        <x:f>IF(AND(NOT(COUNTA(A1751:F1751)=0),K1751=""),ROUND(F1751+L1751,3),"")</x:f>
      </x:c>
      <x:c r="K1751" s="5" t="str">
        <x:f>IF(COUNTA(A1751:F1751)=0,"",IF(A1751="","Missing equipment ID",IF(COUNTIFS($N$8:$N$2007,"="&amp;N1751)&gt;1,"Duplicate equipment ID",IF(B1751="","Missing type",IF(COUNTIFS('Rules'!$G$7:$G$26,"="&amp;(SUBSTITUTE(SUBSTITUTE(SUBSTITUTE(SUBSTITUTE("type:"&amp;B1751,"%","%25"),"~","%7E"),"*","%2A"),"?","%3F")))=0,"Unknown type",IF(COUNTIFS('Rules'!$G$7:$G$26,"="&amp;(SUBSTITUTE(SUBSTITUTE(SUBSTITUTE(SUBSTITUTE("type:"&amp;B1751,"%","%25"),"~","%7E"),"*","%2A"),"?","%3F")))&gt;1,"Duplicate type",IF(INDEX('Rules'!$F$7:$F$26,MATCH(SUBSTITUTE(SUBSTITUTE(SUBSTITUTE(SUBSTITUTE("type:"&amp;B1751,"%","%25"),"~","%7E"),"*","%2A"),"?","%3F"),'Rules'!$G$7:$G$26,0))&lt;&gt;"",INDEX('Rules'!$F$7:$F$26,MATCH(SUBSTITUTE(SUBSTITUTE(SUBSTITUTE(SUBSTITUTE("type:"&amp;B1751,"%","%25"),"~","%7E"),"*","%2A"),"?","%3F"),'Rules'!$G$7:$G$26,0)),IF(AND(C1751&lt;&gt;"",C1751&lt;&gt;INDEX('Rules'!$B$7:$B$26,MATCH(SUBSTITUTE(SUBSTITUTE(SUBSTITUTE(SUBSTITUTE("type:"&amp;B1751,"%","%25"),"~","%7E"),"*","%2A"),"?","%3F"),'Rules'!$G$7:$G$26,0))),"Unit mismatch",IF(IF(NOT(ISNUMBER(D1751)),TRUE,OR(D1751&lt;0,D1751&gt;999999999,ROUND(D1751,3)&lt;&gt;D1751)),"Invalid current reading",IF(AND(E1751&lt;&gt;"",IF(NOT(ISNUMBER(E1751)),TRUE,OR(E1751&lt;0,E1751&gt;999999999,ROUND(E1751,3)&lt;&gt;E1751))),"Invalid previous reading",IF(IF(NOT(ISNUMBER(F1751)),TRUE,OR(F1751&lt;0,F1751&gt;999999999,ROUND(F1751,3)&lt;&gt;F1751)),"Invalid last service",IF(AND(E1751&lt;&gt;"",D1751&lt;E1751),"Decreased reading",IF(F1751&gt;D1751,"Last service above current","")))))))))))))</x:f>
      </x:c>
      <x:c r="L1751" s="6" t="str">
        <x:f>IF(AND(NOT(COUNTA(A1751:F1751)=0),K1751=""),INDEX('Rules'!$C$7:$C$26,MATCH(SUBSTITUTE(SUBSTITUTE(SUBSTITUTE(SUBSTITUTE("type:"&amp;B1751,"%","%25"),"~","%7E"),"*","%2A"),"?","%3F"),'Rules'!$G$7:$G$26,0)),"")</x:f>
      </x:c>
      <x:c r="M1751" s="6" t="str">
        <x:f>IF(AND(NOT(COUNTA(A1751:F1751)=0),K1751=""),INDEX('Rules'!$D$7:$D$26,MATCH(SUBSTITUTE(SUBSTITUTE(SUBSTITUTE(SUBSTITUTE("type:"&amp;B1751,"%","%25"),"~","%7E"),"*","%2A"),"?","%3F"),'Rules'!$G$7:$G$26,0)),"")</x:f>
      </x:c>
      <x:c r="N1751" s="5" t="str">
        <x:f>IF(COUNTA(A1751:F1751)=0,"",SUBSTITUTE(SUBSTITUTE(SUBSTITUTE(SUBSTITUTE("id:"&amp;A1751,"%","%25"),"~","%7E"),"*","%2A"),"?","%3F"))</x:f>
      </x:c>
    </x:row>
    <x:row r="1752" ht="22" customHeight="1">
      <x:c r="A1752" s="3"/>
      <x:c r="B1752" s="3"/>
      <x:c r="C1752" s="3"/>
      <x:c r="D1752" s="4"/>
      <x:c r="E1752" s="4"/>
      <x:c r="F1752" s="4"/>
      <x:c r="G1752" s="5" t="str">
        <x:f>IF(COUNTA(A1752:F1752)=0,"",IF(K1752&lt;&gt;"","Review",IF(I1752&lt;0,"Overdue",IF(I1752=0,"Due now",IF(I1752&lt;=M1752,"Due soon","Not due")))))</x:f>
      </x:c>
      <x:c r="H1752" s="5" t="str">
        <x:f>IF(OR(COUNTA(A1752:F1752)=0,COUNTIFS('Rules'!$G$7:$G$26,"="&amp;(SUBSTITUTE(SUBSTITUTE(SUBSTITUTE(SUBSTITUTE("type:"&amp;B1752,"%","%25"),"~","%7E"),"*","%2A"),"?","%3F")))&lt;&gt;1),"",IF(OR(INDEX('Rules'!$B$7:$B$26,MATCH(SUBSTITUTE(SUBSTITUTE(SUBSTITUTE(SUBSTITUTE("type:"&amp;B1752,"%","%25"),"~","%7E"),"*","%2A"),"?","%3F"),'Rules'!$G$7:$G$26,0))="hours",INDEX('Rules'!$B$7:$B$26,MATCH(SUBSTITUTE(SUBSTITUTE(SUBSTITUTE(SUBSTITUTE("type:"&amp;B1752,"%","%25"),"~","%7E"),"*","%2A"),"?","%3F"),'Rules'!$G$7:$G$26,0))="km"),INDEX('Rules'!$B$7:$B$26,MATCH(SUBSTITUTE(SUBSTITUTE(SUBSTITUTE(SUBSTITUTE("type:"&amp;B1752,"%","%25"),"~","%7E"),"*","%2A"),"?","%3F"),'Rules'!$G$7:$G$26,0)),""))</x:f>
      </x:c>
      <x:c r="I1752" s="6" t="str">
        <x:f>IF(AND(NOT(COUNTA(A1752:F1752)=0),K1752=""),ROUND(J1752-D1752,3),"")</x:f>
      </x:c>
      <x:c r="J1752" s="6" t="str">
        <x:f>IF(AND(NOT(COUNTA(A1752:F1752)=0),K1752=""),ROUND(F1752+L1752,3),"")</x:f>
      </x:c>
      <x:c r="K1752" s="5" t="str">
        <x:f>IF(COUNTA(A1752:F1752)=0,"",IF(A1752="","Missing equipment ID",IF(COUNTIFS($N$8:$N$2007,"="&amp;N1752)&gt;1,"Duplicate equipment ID",IF(B1752="","Missing type",IF(COUNTIFS('Rules'!$G$7:$G$26,"="&amp;(SUBSTITUTE(SUBSTITUTE(SUBSTITUTE(SUBSTITUTE("type:"&amp;B1752,"%","%25"),"~","%7E"),"*","%2A"),"?","%3F")))=0,"Unknown type",IF(COUNTIFS('Rules'!$G$7:$G$26,"="&amp;(SUBSTITUTE(SUBSTITUTE(SUBSTITUTE(SUBSTITUTE("type:"&amp;B1752,"%","%25"),"~","%7E"),"*","%2A"),"?","%3F")))&gt;1,"Duplicate type",IF(INDEX('Rules'!$F$7:$F$26,MATCH(SUBSTITUTE(SUBSTITUTE(SUBSTITUTE(SUBSTITUTE("type:"&amp;B1752,"%","%25"),"~","%7E"),"*","%2A"),"?","%3F"),'Rules'!$G$7:$G$26,0))&lt;&gt;"",INDEX('Rules'!$F$7:$F$26,MATCH(SUBSTITUTE(SUBSTITUTE(SUBSTITUTE(SUBSTITUTE("type:"&amp;B1752,"%","%25"),"~","%7E"),"*","%2A"),"?","%3F"),'Rules'!$G$7:$G$26,0)),IF(AND(C1752&lt;&gt;"",C1752&lt;&gt;INDEX('Rules'!$B$7:$B$26,MATCH(SUBSTITUTE(SUBSTITUTE(SUBSTITUTE(SUBSTITUTE("type:"&amp;B1752,"%","%25"),"~","%7E"),"*","%2A"),"?","%3F"),'Rules'!$G$7:$G$26,0))),"Unit mismatch",IF(IF(NOT(ISNUMBER(D1752)),TRUE,OR(D1752&lt;0,D1752&gt;999999999,ROUND(D1752,3)&lt;&gt;D1752)),"Invalid current reading",IF(AND(E1752&lt;&gt;"",IF(NOT(ISNUMBER(E1752)),TRUE,OR(E1752&lt;0,E1752&gt;999999999,ROUND(E1752,3)&lt;&gt;E1752))),"Invalid previous reading",IF(IF(NOT(ISNUMBER(F1752)),TRUE,OR(F1752&lt;0,F1752&gt;999999999,ROUND(F1752,3)&lt;&gt;F1752)),"Invalid last service",IF(AND(E1752&lt;&gt;"",D1752&lt;E1752),"Decreased reading",IF(F1752&gt;D1752,"Last service above current","")))))))))))))</x:f>
      </x:c>
      <x:c r="L1752" s="6" t="str">
        <x:f>IF(AND(NOT(COUNTA(A1752:F1752)=0),K1752=""),INDEX('Rules'!$C$7:$C$26,MATCH(SUBSTITUTE(SUBSTITUTE(SUBSTITUTE(SUBSTITUTE("type:"&amp;B1752,"%","%25"),"~","%7E"),"*","%2A"),"?","%3F"),'Rules'!$G$7:$G$26,0)),"")</x:f>
      </x:c>
      <x:c r="M1752" s="6" t="str">
        <x:f>IF(AND(NOT(COUNTA(A1752:F1752)=0),K1752=""),INDEX('Rules'!$D$7:$D$26,MATCH(SUBSTITUTE(SUBSTITUTE(SUBSTITUTE(SUBSTITUTE("type:"&amp;B1752,"%","%25"),"~","%7E"),"*","%2A"),"?","%3F"),'Rules'!$G$7:$G$26,0)),"")</x:f>
      </x:c>
      <x:c r="N1752" s="5" t="str">
        <x:f>IF(COUNTA(A1752:F1752)=0,"",SUBSTITUTE(SUBSTITUTE(SUBSTITUTE(SUBSTITUTE("id:"&amp;A1752,"%","%25"),"~","%7E"),"*","%2A"),"?","%3F"))</x:f>
      </x:c>
    </x:row>
    <x:row r="1753" ht="22" customHeight="1">
      <x:c r="A1753" s="3"/>
      <x:c r="B1753" s="3"/>
      <x:c r="C1753" s="3"/>
      <x:c r="D1753" s="4"/>
      <x:c r="E1753" s="4"/>
      <x:c r="F1753" s="4"/>
      <x:c r="G1753" s="5" t="str">
        <x:f>IF(COUNTA(A1753:F1753)=0,"",IF(K1753&lt;&gt;"","Review",IF(I1753&lt;0,"Overdue",IF(I1753=0,"Due now",IF(I1753&lt;=M1753,"Due soon","Not due")))))</x:f>
      </x:c>
      <x:c r="H1753" s="5" t="str">
        <x:f>IF(OR(COUNTA(A1753:F1753)=0,COUNTIFS('Rules'!$G$7:$G$26,"="&amp;(SUBSTITUTE(SUBSTITUTE(SUBSTITUTE(SUBSTITUTE("type:"&amp;B1753,"%","%25"),"~","%7E"),"*","%2A"),"?","%3F")))&lt;&gt;1),"",IF(OR(INDEX('Rules'!$B$7:$B$26,MATCH(SUBSTITUTE(SUBSTITUTE(SUBSTITUTE(SUBSTITUTE("type:"&amp;B1753,"%","%25"),"~","%7E"),"*","%2A"),"?","%3F"),'Rules'!$G$7:$G$26,0))="hours",INDEX('Rules'!$B$7:$B$26,MATCH(SUBSTITUTE(SUBSTITUTE(SUBSTITUTE(SUBSTITUTE("type:"&amp;B1753,"%","%25"),"~","%7E"),"*","%2A"),"?","%3F"),'Rules'!$G$7:$G$26,0))="km"),INDEX('Rules'!$B$7:$B$26,MATCH(SUBSTITUTE(SUBSTITUTE(SUBSTITUTE(SUBSTITUTE("type:"&amp;B1753,"%","%25"),"~","%7E"),"*","%2A"),"?","%3F"),'Rules'!$G$7:$G$26,0)),""))</x:f>
      </x:c>
      <x:c r="I1753" s="6" t="str">
        <x:f>IF(AND(NOT(COUNTA(A1753:F1753)=0),K1753=""),ROUND(J1753-D1753,3),"")</x:f>
      </x:c>
      <x:c r="J1753" s="6" t="str">
        <x:f>IF(AND(NOT(COUNTA(A1753:F1753)=0),K1753=""),ROUND(F1753+L1753,3),"")</x:f>
      </x:c>
      <x:c r="K1753" s="5" t="str">
        <x:f>IF(COUNTA(A1753:F1753)=0,"",IF(A1753="","Missing equipment ID",IF(COUNTIFS($N$8:$N$2007,"="&amp;N1753)&gt;1,"Duplicate equipment ID",IF(B1753="","Missing type",IF(COUNTIFS('Rules'!$G$7:$G$26,"="&amp;(SUBSTITUTE(SUBSTITUTE(SUBSTITUTE(SUBSTITUTE("type:"&amp;B1753,"%","%25"),"~","%7E"),"*","%2A"),"?","%3F")))=0,"Unknown type",IF(COUNTIFS('Rules'!$G$7:$G$26,"="&amp;(SUBSTITUTE(SUBSTITUTE(SUBSTITUTE(SUBSTITUTE("type:"&amp;B1753,"%","%25"),"~","%7E"),"*","%2A"),"?","%3F")))&gt;1,"Duplicate type",IF(INDEX('Rules'!$F$7:$F$26,MATCH(SUBSTITUTE(SUBSTITUTE(SUBSTITUTE(SUBSTITUTE("type:"&amp;B1753,"%","%25"),"~","%7E"),"*","%2A"),"?","%3F"),'Rules'!$G$7:$G$26,0))&lt;&gt;"",INDEX('Rules'!$F$7:$F$26,MATCH(SUBSTITUTE(SUBSTITUTE(SUBSTITUTE(SUBSTITUTE("type:"&amp;B1753,"%","%25"),"~","%7E"),"*","%2A"),"?","%3F"),'Rules'!$G$7:$G$26,0)),IF(AND(C1753&lt;&gt;"",C1753&lt;&gt;INDEX('Rules'!$B$7:$B$26,MATCH(SUBSTITUTE(SUBSTITUTE(SUBSTITUTE(SUBSTITUTE("type:"&amp;B1753,"%","%25"),"~","%7E"),"*","%2A"),"?","%3F"),'Rules'!$G$7:$G$26,0))),"Unit mismatch",IF(IF(NOT(ISNUMBER(D1753)),TRUE,OR(D1753&lt;0,D1753&gt;999999999,ROUND(D1753,3)&lt;&gt;D1753)),"Invalid current reading",IF(AND(E1753&lt;&gt;"",IF(NOT(ISNUMBER(E1753)),TRUE,OR(E1753&lt;0,E1753&gt;999999999,ROUND(E1753,3)&lt;&gt;E1753))),"Invalid previous reading",IF(IF(NOT(ISNUMBER(F1753)),TRUE,OR(F1753&lt;0,F1753&gt;999999999,ROUND(F1753,3)&lt;&gt;F1753)),"Invalid last service",IF(AND(E1753&lt;&gt;"",D1753&lt;E1753),"Decreased reading",IF(F1753&gt;D1753,"Last service above current","")))))))))))))</x:f>
      </x:c>
      <x:c r="L1753" s="6" t="str">
        <x:f>IF(AND(NOT(COUNTA(A1753:F1753)=0),K1753=""),INDEX('Rules'!$C$7:$C$26,MATCH(SUBSTITUTE(SUBSTITUTE(SUBSTITUTE(SUBSTITUTE("type:"&amp;B1753,"%","%25"),"~","%7E"),"*","%2A"),"?","%3F"),'Rules'!$G$7:$G$26,0)),"")</x:f>
      </x:c>
      <x:c r="M1753" s="6" t="str">
        <x:f>IF(AND(NOT(COUNTA(A1753:F1753)=0),K1753=""),INDEX('Rules'!$D$7:$D$26,MATCH(SUBSTITUTE(SUBSTITUTE(SUBSTITUTE(SUBSTITUTE("type:"&amp;B1753,"%","%25"),"~","%7E"),"*","%2A"),"?","%3F"),'Rules'!$G$7:$G$26,0)),"")</x:f>
      </x:c>
      <x:c r="N1753" s="5" t="str">
        <x:f>IF(COUNTA(A1753:F1753)=0,"",SUBSTITUTE(SUBSTITUTE(SUBSTITUTE(SUBSTITUTE("id:"&amp;A1753,"%","%25"),"~","%7E"),"*","%2A"),"?","%3F"))</x:f>
      </x:c>
    </x:row>
    <x:row r="1754" ht="22" customHeight="1">
      <x:c r="A1754" s="3"/>
      <x:c r="B1754" s="3"/>
      <x:c r="C1754" s="3"/>
      <x:c r="D1754" s="4"/>
      <x:c r="E1754" s="4"/>
      <x:c r="F1754" s="4"/>
      <x:c r="G1754" s="5" t="str">
        <x:f>IF(COUNTA(A1754:F1754)=0,"",IF(K1754&lt;&gt;"","Review",IF(I1754&lt;0,"Overdue",IF(I1754=0,"Due now",IF(I1754&lt;=M1754,"Due soon","Not due")))))</x:f>
      </x:c>
      <x:c r="H1754" s="5" t="str">
        <x:f>IF(OR(COUNTA(A1754:F1754)=0,COUNTIFS('Rules'!$G$7:$G$26,"="&amp;(SUBSTITUTE(SUBSTITUTE(SUBSTITUTE(SUBSTITUTE("type:"&amp;B1754,"%","%25"),"~","%7E"),"*","%2A"),"?","%3F")))&lt;&gt;1),"",IF(OR(INDEX('Rules'!$B$7:$B$26,MATCH(SUBSTITUTE(SUBSTITUTE(SUBSTITUTE(SUBSTITUTE("type:"&amp;B1754,"%","%25"),"~","%7E"),"*","%2A"),"?","%3F"),'Rules'!$G$7:$G$26,0))="hours",INDEX('Rules'!$B$7:$B$26,MATCH(SUBSTITUTE(SUBSTITUTE(SUBSTITUTE(SUBSTITUTE("type:"&amp;B1754,"%","%25"),"~","%7E"),"*","%2A"),"?","%3F"),'Rules'!$G$7:$G$26,0))="km"),INDEX('Rules'!$B$7:$B$26,MATCH(SUBSTITUTE(SUBSTITUTE(SUBSTITUTE(SUBSTITUTE("type:"&amp;B1754,"%","%25"),"~","%7E"),"*","%2A"),"?","%3F"),'Rules'!$G$7:$G$26,0)),""))</x:f>
      </x:c>
      <x:c r="I1754" s="6" t="str">
        <x:f>IF(AND(NOT(COUNTA(A1754:F1754)=0),K1754=""),ROUND(J1754-D1754,3),"")</x:f>
      </x:c>
      <x:c r="J1754" s="6" t="str">
        <x:f>IF(AND(NOT(COUNTA(A1754:F1754)=0),K1754=""),ROUND(F1754+L1754,3),"")</x:f>
      </x:c>
      <x:c r="K1754" s="5" t="str">
        <x:f>IF(COUNTA(A1754:F1754)=0,"",IF(A1754="","Missing equipment ID",IF(COUNTIFS($N$8:$N$2007,"="&amp;N1754)&gt;1,"Duplicate equipment ID",IF(B1754="","Missing type",IF(COUNTIFS('Rules'!$G$7:$G$26,"="&amp;(SUBSTITUTE(SUBSTITUTE(SUBSTITUTE(SUBSTITUTE("type:"&amp;B1754,"%","%25"),"~","%7E"),"*","%2A"),"?","%3F")))=0,"Unknown type",IF(COUNTIFS('Rules'!$G$7:$G$26,"="&amp;(SUBSTITUTE(SUBSTITUTE(SUBSTITUTE(SUBSTITUTE("type:"&amp;B1754,"%","%25"),"~","%7E"),"*","%2A"),"?","%3F")))&gt;1,"Duplicate type",IF(INDEX('Rules'!$F$7:$F$26,MATCH(SUBSTITUTE(SUBSTITUTE(SUBSTITUTE(SUBSTITUTE("type:"&amp;B1754,"%","%25"),"~","%7E"),"*","%2A"),"?","%3F"),'Rules'!$G$7:$G$26,0))&lt;&gt;"",INDEX('Rules'!$F$7:$F$26,MATCH(SUBSTITUTE(SUBSTITUTE(SUBSTITUTE(SUBSTITUTE("type:"&amp;B1754,"%","%25"),"~","%7E"),"*","%2A"),"?","%3F"),'Rules'!$G$7:$G$26,0)),IF(AND(C1754&lt;&gt;"",C1754&lt;&gt;INDEX('Rules'!$B$7:$B$26,MATCH(SUBSTITUTE(SUBSTITUTE(SUBSTITUTE(SUBSTITUTE("type:"&amp;B1754,"%","%25"),"~","%7E"),"*","%2A"),"?","%3F"),'Rules'!$G$7:$G$26,0))),"Unit mismatch",IF(IF(NOT(ISNUMBER(D1754)),TRUE,OR(D1754&lt;0,D1754&gt;999999999,ROUND(D1754,3)&lt;&gt;D1754)),"Invalid current reading",IF(AND(E1754&lt;&gt;"",IF(NOT(ISNUMBER(E1754)),TRUE,OR(E1754&lt;0,E1754&gt;999999999,ROUND(E1754,3)&lt;&gt;E1754))),"Invalid previous reading",IF(IF(NOT(ISNUMBER(F1754)),TRUE,OR(F1754&lt;0,F1754&gt;999999999,ROUND(F1754,3)&lt;&gt;F1754)),"Invalid last service",IF(AND(E1754&lt;&gt;"",D1754&lt;E1754),"Decreased reading",IF(F1754&gt;D1754,"Last service above current","")))))))))))))</x:f>
      </x:c>
      <x:c r="L1754" s="6" t="str">
        <x:f>IF(AND(NOT(COUNTA(A1754:F1754)=0),K1754=""),INDEX('Rules'!$C$7:$C$26,MATCH(SUBSTITUTE(SUBSTITUTE(SUBSTITUTE(SUBSTITUTE("type:"&amp;B1754,"%","%25"),"~","%7E"),"*","%2A"),"?","%3F"),'Rules'!$G$7:$G$26,0)),"")</x:f>
      </x:c>
      <x:c r="M1754" s="6" t="str">
        <x:f>IF(AND(NOT(COUNTA(A1754:F1754)=0),K1754=""),INDEX('Rules'!$D$7:$D$26,MATCH(SUBSTITUTE(SUBSTITUTE(SUBSTITUTE(SUBSTITUTE("type:"&amp;B1754,"%","%25"),"~","%7E"),"*","%2A"),"?","%3F"),'Rules'!$G$7:$G$26,0)),"")</x:f>
      </x:c>
      <x:c r="N1754" s="5" t="str">
        <x:f>IF(COUNTA(A1754:F1754)=0,"",SUBSTITUTE(SUBSTITUTE(SUBSTITUTE(SUBSTITUTE("id:"&amp;A1754,"%","%25"),"~","%7E"),"*","%2A"),"?","%3F"))</x:f>
      </x:c>
    </x:row>
    <x:row r="1755" ht="22" customHeight="1">
      <x:c r="A1755" s="3"/>
      <x:c r="B1755" s="3"/>
      <x:c r="C1755" s="3"/>
      <x:c r="D1755" s="4"/>
      <x:c r="E1755" s="4"/>
      <x:c r="F1755" s="4"/>
      <x:c r="G1755" s="5" t="str">
        <x:f>IF(COUNTA(A1755:F1755)=0,"",IF(K1755&lt;&gt;"","Review",IF(I1755&lt;0,"Overdue",IF(I1755=0,"Due now",IF(I1755&lt;=M1755,"Due soon","Not due")))))</x:f>
      </x:c>
      <x:c r="H1755" s="5" t="str">
        <x:f>IF(OR(COUNTA(A1755:F1755)=0,COUNTIFS('Rules'!$G$7:$G$26,"="&amp;(SUBSTITUTE(SUBSTITUTE(SUBSTITUTE(SUBSTITUTE("type:"&amp;B1755,"%","%25"),"~","%7E"),"*","%2A"),"?","%3F")))&lt;&gt;1),"",IF(OR(INDEX('Rules'!$B$7:$B$26,MATCH(SUBSTITUTE(SUBSTITUTE(SUBSTITUTE(SUBSTITUTE("type:"&amp;B1755,"%","%25"),"~","%7E"),"*","%2A"),"?","%3F"),'Rules'!$G$7:$G$26,0))="hours",INDEX('Rules'!$B$7:$B$26,MATCH(SUBSTITUTE(SUBSTITUTE(SUBSTITUTE(SUBSTITUTE("type:"&amp;B1755,"%","%25"),"~","%7E"),"*","%2A"),"?","%3F"),'Rules'!$G$7:$G$26,0))="km"),INDEX('Rules'!$B$7:$B$26,MATCH(SUBSTITUTE(SUBSTITUTE(SUBSTITUTE(SUBSTITUTE("type:"&amp;B1755,"%","%25"),"~","%7E"),"*","%2A"),"?","%3F"),'Rules'!$G$7:$G$26,0)),""))</x:f>
      </x:c>
      <x:c r="I1755" s="6" t="str">
        <x:f>IF(AND(NOT(COUNTA(A1755:F1755)=0),K1755=""),ROUND(J1755-D1755,3),"")</x:f>
      </x:c>
      <x:c r="J1755" s="6" t="str">
        <x:f>IF(AND(NOT(COUNTA(A1755:F1755)=0),K1755=""),ROUND(F1755+L1755,3),"")</x:f>
      </x:c>
      <x:c r="K1755" s="5" t="str">
        <x:f>IF(COUNTA(A1755:F1755)=0,"",IF(A1755="","Missing equipment ID",IF(COUNTIFS($N$8:$N$2007,"="&amp;N1755)&gt;1,"Duplicate equipment ID",IF(B1755="","Missing type",IF(COUNTIFS('Rules'!$G$7:$G$26,"="&amp;(SUBSTITUTE(SUBSTITUTE(SUBSTITUTE(SUBSTITUTE("type:"&amp;B1755,"%","%25"),"~","%7E"),"*","%2A"),"?","%3F")))=0,"Unknown type",IF(COUNTIFS('Rules'!$G$7:$G$26,"="&amp;(SUBSTITUTE(SUBSTITUTE(SUBSTITUTE(SUBSTITUTE("type:"&amp;B1755,"%","%25"),"~","%7E"),"*","%2A"),"?","%3F")))&gt;1,"Duplicate type",IF(INDEX('Rules'!$F$7:$F$26,MATCH(SUBSTITUTE(SUBSTITUTE(SUBSTITUTE(SUBSTITUTE("type:"&amp;B1755,"%","%25"),"~","%7E"),"*","%2A"),"?","%3F"),'Rules'!$G$7:$G$26,0))&lt;&gt;"",INDEX('Rules'!$F$7:$F$26,MATCH(SUBSTITUTE(SUBSTITUTE(SUBSTITUTE(SUBSTITUTE("type:"&amp;B1755,"%","%25"),"~","%7E"),"*","%2A"),"?","%3F"),'Rules'!$G$7:$G$26,0)),IF(AND(C1755&lt;&gt;"",C1755&lt;&gt;INDEX('Rules'!$B$7:$B$26,MATCH(SUBSTITUTE(SUBSTITUTE(SUBSTITUTE(SUBSTITUTE("type:"&amp;B1755,"%","%25"),"~","%7E"),"*","%2A"),"?","%3F"),'Rules'!$G$7:$G$26,0))),"Unit mismatch",IF(IF(NOT(ISNUMBER(D1755)),TRUE,OR(D1755&lt;0,D1755&gt;999999999,ROUND(D1755,3)&lt;&gt;D1755)),"Invalid current reading",IF(AND(E1755&lt;&gt;"",IF(NOT(ISNUMBER(E1755)),TRUE,OR(E1755&lt;0,E1755&gt;999999999,ROUND(E1755,3)&lt;&gt;E1755))),"Invalid previous reading",IF(IF(NOT(ISNUMBER(F1755)),TRUE,OR(F1755&lt;0,F1755&gt;999999999,ROUND(F1755,3)&lt;&gt;F1755)),"Invalid last service",IF(AND(E1755&lt;&gt;"",D1755&lt;E1755),"Decreased reading",IF(F1755&gt;D1755,"Last service above current","")))))))))))))</x:f>
      </x:c>
      <x:c r="L1755" s="6" t="str">
        <x:f>IF(AND(NOT(COUNTA(A1755:F1755)=0),K1755=""),INDEX('Rules'!$C$7:$C$26,MATCH(SUBSTITUTE(SUBSTITUTE(SUBSTITUTE(SUBSTITUTE("type:"&amp;B1755,"%","%25"),"~","%7E"),"*","%2A"),"?","%3F"),'Rules'!$G$7:$G$26,0)),"")</x:f>
      </x:c>
      <x:c r="M1755" s="6" t="str">
        <x:f>IF(AND(NOT(COUNTA(A1755:F1755)=0),K1755=""),INDEX('Rules'!$D$7:$D$26,MATCH(SUBSTITUTE(SUBSTITUTE(SUBSTITUTE(SUBSTITUTE("type:"&amp;B1755,"%","%25"),"~","%7E"),"*","%2A"),"?","%3F"),'Rules'!$G$7:$G$26,0)),"")</x:f>
      </x:c>
      <x:c r="N1755" s="5" t="str">
        <x:f>IF(COUNTA(A1755:F1755)=0,"",SUBSTITUTE(SUBSTITUTE(SUBSTITUTE(SUBSTITUTE("id:"&amp;A1755,"%","%25"),"~","%7E"),"*","%2A"),"?","%3F"))</x:f>
      </x:c>
    </x:row>
    <x:row r="1756" ht="22" customHeight="1">
      <x:c r="A1756" s="3"/>
      <x:c r="B1756" s="3"/>
      <x:c r="C1756" s="3"/>
      <x:c r="D1756" s="4"/>
      <x:c r="E1756" s="4"/>
      <x:c r="F1756" s="4"/>
      <x:c r="G1756" s="5" t="str">
        <x:f>IF(COUNTA(A1756:F1756)=0,"",IF(K1756&lt;&gt;"","Review",IF(I1756&lt;0,"Overdue",IF(I1756=0,"Due now",IF(I1756&lt;=M1756,"Due soon","Not due")))))</x:f>
      </x:c>
      <x:c r="H1756" s="5" t="str">
        <x:f>IF(OR(COUNTA(A1756:F1756)=0,COUNTIFS('Rules'!$G$7:$G$26,"="&amp;(SUBSTITUTE(SUBSTITUTE(SUBSTITUTE(SUBSTITUTE("type:"&amp;B1756,"%","%25"),"~","%7E"),"*","%2A"),"?","%3F")))&lt;&gt;1),"",IF(OR(INDEX('Rules'!$B$7:$B$26,MATCH(SUBSTITUTE(SUBSTITUTE(SUBSTITUTE(SUBSTITUTE("type:"&amp;B1756,"%","%25"),"~","%7E"),"*","%2A"),"?","%3F"),'Rules'!$G$7:$G$26,0))="hours",INDEX('Rules'!$B$7:$B$26,MATCH(SUBSTITUTE(SUBSTITUTE(SUBSTITUTE(SUBSTITUTE("type:"&amp;B1756,"%","%25"),"~","%7E"),"*","%2A"),"?","%3F"),'Rules'!$G$7:$G$26,0))="km"),INDEX('Rules'!$B$7:$B$26,MATCH(SUBSTITUTE(SUBSTITUTE(SUBSTITUTE(SUBSTITUTE("type:"&amp;B1756,"%","%25"),"~","%7E"),"*","%2A"),"?","%3F"),'Rules'!$G$7:$G$26,0)),""))</x:f>
      </x:c>
      <x:c r="I1756" s="6" t="str">
        <x:f>IF(AND(NOT(COUNTA(A1756:F1756)=0),K1756=""),ROUND(J1756-D1756,3),"")</x:f>
      </x:c>
      <x:c r="J1756" s="6" t="str">
        <x:f>IF(AND(NOT(COUNTA(A1756:F1756)=0),K1756=""),ROUND(F1756+L1756,3),"")</x:f>
      </x:c>
      <x:c r="K1756" s="5" t="str">
        <x:f>IF(COUNTA(A1756:F1756)=0,"",IF(A1756="","Missing equipment ID",IF(COUNTIFS($N$8:$N$2007,"="&amp;N1756)&gt;1,"Duplicate equipment ID",IF(B1756="","Missing type",IF(COUNTIFS('Rules'!$G$7:$G$26,"="&amp;(SUBSTITUTE(SUBSTITUTE(SUBSTITUTE(SUBSTITUTE("type:"&amp;B1756,"%","%25"),"~","%7E"),"*","%2A"),"?","%3F")))=0,"Unknown type",IF(COUNTIFS('Rules'!$G$7:$G$26,"="&amp;(SUBSTITUTE(SUBSTITUTE(SUBSTITUTE(SUBSTITUTE("type:"&amp;B1756,"%","%25"),"~","%7E"),"*","%2A"),"?","%3F")))&gt;1,"Duplicate type",IF(INDEX('Rules'!$F$7:$F$26,MATCH(SUBSTITUTE(SUBSTITUTE(SUBSTITUTE(SUBSTITUTE("type:"&amp;B1756,"%","%25"),"~","%7E"),"*","%2A"),"?","%3F"),'Rules'!$G$7:$G$26,0))&lt;&gt;"",INDEX('Rules'!$F$7:$F$26,MATCH(SUBSTITUTE(SUBSTITUTE(SUBSTITUTE(SUBSTITUTE("type:"&amp;B1756,"%","%25"),"~","%7E"),"*","%2A"),"?","%3F"),'Rules'!$G$7:$G$26,0)),IF(AND(C1756&lt;&gt;"",C1756&lt;&gt;INDEX('Rules'!$B$7:$B$26,MATCH(SUBSTITUTE(SUBSTITUTE(SUBSTITUTE(SUBSTITUTE("type:"&amp;B1756,"%","%25"),"~","%7E"),"*","%2A"),"?","%3F"),'Rules'!$G$7:$G$26,0))),"Unit mismatch",IF(IF(NOT(ISNUMBER(D1756)),TRUE,OR(D1756&lt;0,D1756&gt;999999999,ROUND(D1756,3)&lt;&gt;D1756)),"Invalid current reading",IF(AND(E1756&lt;&gt;"",IF(NOT(ISNUMBER(E1756)),TRUE,OR(E1756&lt;0,E1756&gt;999999999,ROUND(E1756,3)&lt;&gt;E1756))),"Invalid previous reading",IF(IF(NOT(ISNUMBER(F1756)),TRUE,OR(F1756&lt;0,F1756&gt;999999999,ROUND(F1756,3)&lt;&gt;F1756)),"Invalid last service",IF(AND(E1756&lt;&gt;"",D1756&lt;E1756),"Decreased reading",IF(F1756&gt;D1756,"Last service above current","")))))))))))))</x:f>
      </x:c>
      <x:c r="L1756" s="6" t="str">
        <x:f>IF(AND(NOT(COUNTA(A1756:F1756)=0),K1756=""),INDEX('Rules'!$C$7:$C$26,MATCH(SUBSTITUTE(SUBSTITUTE(SUBSTITUTE(SUBSTITUTE("type:"&amp;B1756,"%","%25"),"~","%7E"),"*","%2A"),"?","%3F"),'Rules'!$G$7:$G$26,0)),"")</x:f>
      </x:c>
      <x:c r="M1756" s="6" t="str">
        <x:f>IF(AND(NOT(COUNTA(A1756:F1756)=0),K1756=""),INDEX('Rules'!$D$7:$D$26,MATCH(SUBSTITUTE(SUBSTITUTE(SUBSTITUTE(SUBSTITUTE("type:"&amp;B1756,"%","%25"),"~","%7E"),"*","%2A"),"?","%3F"),'Rules'!$G$7:$G$26,0)),"")</x:f>
      </x:c>
      <x:c r="N1756" s="5" t="str">
        <x:f>IF(COUNTA(A1756:F1756)=0,"",SUBSTITUTE(SUBSTITUTE(SUBSTITUTE(SUBSTITUTE("id:"&amp;A1756,"%","%25"),"~","%7E"),"*","%2A"),"?","%3F"))</x:f>
      </x:c>
    </x:row>
    <x:row r="1757" ht="22" customHeight="1">
      <x:c r="A1757" s="3"/>
      <x:c r="B1757" s="3"/>
      <x:c r="C1757" s="3"/>
      <x:c r="D1757" s="4"/>
      <x:c r="E1757" s="4"/>
      <x:c r="F1757" s="4"/>
      <x:c r="G1757" s="5" t="str">
        <x:f>IF(COUNTA(A1757:F1757)=0,"",IF(K1757&lt;&gt;"","Review",IF(I1757&lt;0,"Overdue",IF(I1757=0,"Due now",IF(I1757&lt;=M1757,"Due soon","Not due")))))</x:f>
      </x:c>
      <x:c r="H1757" s="5" t="str">
        <x:f>IF(OR(COUNTA(A1757:F1757)=0,COUNTIFS('Rules'!$G$7:$G$26,"="&amp;(SUBSTITUTE(SUBSTITUTE(SUBSTITUTE(SUBSTITUTE("type:"&amp;B1757,"%","%25"),"~","%7E"),"*","%2A"),"?","%3F")))&lt;&gt;1),"",IF(OR(INDEX('Rules'!$B$7:$B$26,MATCH(SUBSTITUTE(SUBSTITUTE(SUBSTITUTE(SUBSTITUTE("type:"&amp;B1757,"%","%25"),"~","%7E"),"*","%2A"),"?","%3F"),'Rules'!$G$7:$G$26,0))="hours",INDEX('Rules'!$B$7:$B$26,MATCH(SUBSTITUTE(SUBSTITUTE(SUBSTITUTE(SUBSTITUTE("type:"&amp;B1757,"%","%25"),"~","%7E"),"*","%2A"),"?","%3F"),'Rules'!$G$7:$G$26,0))="km"),INDEX('Rules'!$B$7:$B$26,MATCH(SUBSTITUTE(SUBSTITUTE(SUBSTITUTE(SUBSTITUTE("type:"&amp;B1757,"%","%25"),"~","%7E"),"*","%2A"),"?","%3F"),'Rules'!$G$7:$G$26,0)),""))</x:f>
      </x:c>
      <x:c r="I1757" s="6" t="str">
        <x:f>IF(AND(NOT(COUNTA(A1757:F1757)=0),K1757=""),ROUND(J1757-D1757,3),"")</x:f>
      </x:c>
      <x:c r="J1757" s="6" t="str">
        <x:f>IF(AND(NOT(COUNTA(A1757:F1757)=0),K1757=""),ROUND(F1757+L1757,3),"")</x:f>
      </x:c>
      <x:c r="K1757" s="5" t="str">
        <x:f>IF(COUNTA(A1757:F1757)=0,"",IF(A1757="","Missing equipment ID",IF(COUNTIFS($N$8:$N$2007,"="&amp;N1757)&gt;1,"Duplicate equipment ID",IF(B1757="","Missing type",IF(COUNTIFS('Rules'!$G$7:$G$26,"="&amp;(SUBSTITUTE(SUBSTITUTE(SUBSTITUTE(SUBSTITUTE("type:"&amp;B1757,"%","%25"),"~","%7E"),"*","%2A"),"?","%3F")))=0,"Unknown type",IF(COUNTIFS('Rules'!$G$7:$G$26,"="&amp;(SUBSTITUTE(SUBSTITUTE(SUBSTITUTE(SUBSTITUTE("type:"&amp;B1757,"%","%25"),"~","%7E"),"*","%2A"),"?","%3F")))&gt;1,"Duplicate type",IF(INDEX('Rules'!$F$7:$F$26,MATCH(SUBSTITUTE(SUBSTITUTE(SUBSTITUTE(SUBSTITUTE("type:"&amp;B1757,"%","%25"),"~","%7E"),"*","%2A"),"?","%3F"),'Rules'!$G$7:$G$26,0))&lt;&gt;"",INDEX('Rules'!$F$7:$F$26,MATCH(SUBSTITUTE(SUBSTITUTE(SUBSTITUTE(SUBSTITUTE("type:"&amp;B1757,"%","%25"),"~","%7E"),"*","%2A"),"?","%3F"),'Rules'!$G$7:$G$26,0)),IF(AND(C1757&lt;&gt;"",C1757&lt;&gt;INDEX('Rules'!$B$7:$B$26,MATCH(SUBSTITUTE(SUBSTITUTE(SUBSTITUTE(SUBSTITUTE("type:"&amp;B1757,"%","%25"),"~","%7E"),"*","%2A"),"?","%3F"),'Rules'!$G$7:$G$26,0))),"Unit mismatch",IF(IF(NOT(ISNUMBER(D1757)),TRUE,OR(D1757&lt;0,D1757&gt;999999999,ROUND(D1757,3)&lt;&gt;D1757)),"Invalid current reading",IF(AND(E1757&lt;&gt;"",IF(NOT(ISNUMBER(E1757)),TRUE,OR(E1757&lt;0,E1757&gt;999999999,ROUND(E1757,3)&lt;&gt;E1757))),"Invalid previous reading",IF(IF(NOT(ISNUMBER(F1757)),TRUE,OR(F1757&lt;0,F1757&gt;999999999,ROUND(F1757,3)&lt;&gt;F1757)),"Invalid last service",IF(AND(E1757&lt;&gt;"",D1757&lt;E1757),"Decreased reading",IF(F1757&gt;D1757,"Last service above current","")))))))))))))</x:f>
      </x:c>
      <x:c r="L1757" s="6" t="str">
        <x:f>IF(AND(NOT(COUNTA(A1757:F1757)=0),K1757=""),INDEX('Rules'!$C$7:$C$26,MATCH(SUBSTITUTE(SUBSTITUTE(SUBSTITUTE(SUBSTITUTE("type:"&amp;B1757,"%","%25"),"~","%7E"),"*","%2A"),"?","%3F"),'Rules'!$G$7:$G$26,0)),"")</x:f>
      </x:c>
      <x:c r="M1757" s="6" t="str">
        <x:f>IF(AND(NOT(COUNTA(A1757:F1757)=0),K1757=""),INDEX('Rules'!$D$7:$D$26,MATCH(SUBSTITUTE(SUBSTITUTE(SUBSTITUTE(SUBSTITUTE("type:"&amp;B1757,"%","%25"),"~","%7E"),"*","%2A"),"?","%3F"),'Rules'!$G$7:$G$26,0)),"")</x:f>
      </x:c>
      <x:c r="N1757" s="5" t="str">
        <x:f>IF(COUNTA(A1757:F1757)=0,"",SUBSTITUTE(SUBSTITUTE(SUBSTITUTE(SUBSTITUTE("id:"&amp;A1757,"%","%25"),"~","%7E"),"*","%2A"),"?","%3F"))</x:f>
      </x:c>
    </x:row>
    <x:row r="1758" ht="22" customHeight="1">
      <x:c r="A1758" s="3"/>
      <x:c r="B1758" s="3"/>
      <x:c r="C1758" s="3"/>
      <x:c r="D1758" s="4"/>
      <x:c r="E1758" s="4"/>
      <x:c r="F1758" s="4"/>
      <x:c r="G1758" s="5" t="str">
        <x:f>IF(COUNTA(A1758:F1758)=0,"",IF(K1758&lt;&gt;"","Review",IF(I1758&lt;0,"Overdue",IF(I1758=0,"Due now",IF(I1758&lt;=M1758,"Due soon","Not due")))))</x:f>
      </x:c>
      <x:c r="H1758" s="5" t="str">
        <x:f>IF(OR(COUNTA(A1758:F1758)=0,COUNTIFS('Rules'!$G$7:$G$26,"="&amp;(SUBSTITUTE(SUBSTITUTE(SUBSTITUTE(SUBSTITUTE("type:"&amp;B1758,"%","%25"),"~","%7E"),"*","%2A"),"?","%3F")))&lt;&gt;1),"",IF(OR(INDEX('Rules'!$B$7:$B$26,MATCH(SUBSTITUTE(SUBSTITUTE(SUBSTITUTE(SUBSTITUTE("type:"&amp;B1758,"%","%25"),"~","%7E"),"*","%2A"),"?","%3F"),'Rules'!$G$7:$G$26,0))="hours",INDEX('Rules'!$B$7:$B$26,MATCH(SUBSTITUTE(SUBSTITUTE(SUBSTITUTE(SUBSTITUTE("type:"&amp;B1758,"%","%25"),"~","%7E"),"*","%2A"),"?","%3F"),'Rules'!$G$7:$G$26,0))="km"),INDEX('Rules'!$B$7:$B$26,MATCH(SUBSTITUTE(SUBSTITUTE(SUBSTITUTE(SUBSTITUTE("type:"&amp;B1758,"%","%25"),"~","%7E"),"*","%2A"),"?","%3F"),'Rules'!$G$7:$G$26,0)),""))</x:f>
      </x:c>
      <x:c r="I1758" s="6" t="str">
        <x:f>IF(AND(NOT(COUNTA(A1758:F1758)=0),K1758=""),ROUND(J1758-D1758,3),"")</x:f>
      </x:c>
      <x:c r="J1758" s="6" t="str">
        <x:f>IF(AND(NOT(COUNTA(A1758:F1758)=0),K1758=""),ROUND(F1758+L1758,3),"")</x:f>
      </x:c>
      <x:c r="K1758" s="5" t="str">
        <x:f>IF(COUNTA(A1758:F1758)=0,"",IF(A1758="","Missing equipment ID",IF(COUNTIFS($N$8:$N$2007,"="&amp;N1758)&gt;1,"Duplicate equipment ID",IF(B1758="","Missing type",IF(COUNTIFS('Rules'!$G$7:$G$26,"="&amp;(SUBSTITUTE(SUBSTITUTE(SUBSTITUTE(SUBSTITUTE("type:"&amp;B1758,"%","%25"),"~","%7E"),"*","%2A"),"?","%3F")))=0,"Unknown type",IF(COUNTIFS('Rules'!$G$7:$G$26,"="&amp;(SUBSTITUTE(SUBSTITUTE(SUBSTITUTE(SUBSTITUTE("type:"&amp;B1758,"%","%25"),"~","%7E"),"*","%2A"),"?","%3F")))&gt;1,"Duplicate type",IF(INDEX('Rules'!$F$7:$F$26,MATCH(SUBSTITUTE(SUBSTITUTE(SUBSTITUTE(SUBSTITUTE("type:"&amp;B1758,"%","%25"),"~","%7E"),"*","%2A"),"?","%3F"),'Rules'!$G$7:$G$26,0))&lt;&gt;"",INDEX('Rules'!$F$7:$F$26,MATCH(SUBSTITUTE(SUBSTITUTE(SUBSTITUTE(SUBSTITUTE("type:"&amp;B1758,"%","%25"),"~","%7E"),"*","%2A"),"?","%3F"),'Rules'!$G$7:$G$26,0)),IF(AND(C1758&lt;&gt;"",C1758&lt;&gt;INDEX('Rules'!$B$7:$B$26,MATCH(SUBSTITUTE(SUBSTITUTE(SUBSTITUTE(SUBSTITUTE("type:"&amp;B1758,"%","%25"),"~","%7E"),"*","%2A"),"?","%3F"),'Rules'!$G$7:$G$26,0))),"Unit mismatch",IF(IF(NOT(ISNUMBER(D1758)),TRUE,OR(D1758&lt;0,D1758&gt;999999999,ROUND(D1758,3)&lt;&gt;D1758)),"Invalid current reading",IF(AND(E1758&lt;&gt;"",IF(NOT(ISNUMBER(E1758)),TRUE,OR(E1758&lt;0,E1758&gt;999999999,ROUND(E1758,3)&lt;&gt;E1758))),"Invalid previous reading",IF(IF(NOT(ISNUMBER(F1758)),TRUE,OR(F1758&lt;0,F1758&gt;999999999,ROUND(F1758,3)&lt;&gt;F1758)),"Invalid last service",IF(AND(E1758&lt;&gt;"",D1758&lt;E1758),"Decreased reading",IF(F1758&gt;D1758,"Last service above current","")))))))))))))</x:f>
      </x:c>
      <x:c r="L1758" s="6" t="str">
        <x:f>IF(AND(NOT(COUNTA(A1758:F1758)=0),K1758=""),INDEX('Rules'!$C$7:$C$26,MATCH(SUBSTITUTE(SUBSTITUTE(SUBSTITUTE(SUBSTITUTE("type:"&amp;B1758,"%","%25"),"~","%7E"),"*","%2A"),"?","%3F"),'Rules'!$G$7:$G$26,0)),"")</x:f>
      </x:c>
      <x:c r="M1758" s="6" t="str">
        <x:f>IF(AND(NOT(COUNTA(A1758:F1758)=0),K1758=""),INDEX('Rules'!$D$7:$D$26,MATCH(SUBSTITUTE(SUBSTITUTE(SUBSTITUTE(SUBSTITUTE("type:"&amp;B1758,"%","%25"),"~","%7E"),"*","%2A"),"?","%3F"),'Rules'!$G$7:$G$26,0)),"")</x:f>
      </x:c>
      <x:c r="N1758" s="5" t="str">
        <x:f>IF(COUNTA(A1758:F1758)=0,"",SUBSTITUTE(SUBSTITUTE(SUBSTITUTE(SUBSTITUTE("id:"&amp;A1758,"%","%25"),"~","%7E"),"*","%2A"),"?","%3F"))</x:f>
      </x:c>
    </x:row>
    <x:row r="1759" ht="22" customHeight="1">
      <x:c r="A1759" s="3"/>
      <x:c r="B1759" s="3"/>
      <x:c r="C1759" s="3"/>
      <x:c r="D1759" s="4"/>
      <x:c r="E1759" s="4"/>
      <x:c r="F1759" s="4"/>
      <x:c r="G1759" s="5" t="str">
        <x:f>IF(COUNTA(A1759:F1759)=0,"",IF(K1759&lt;&gt;"","Review",IF(I1759&lt;0,"Overdue",IF(I1759=0,"Due now",IF(I1759&lt;=M1759,"Due soon","Not due")))))</x:f>
      </x:c>
      <x:c r="H1759" s="5" t="str">
        <x:f>IF(OR(COUNTA(A1759:F1759)=0,COUNTIFS('Rules'!$G$7:$G$26,"="&amp;(SUBSTITUTE(SUBSTITUTE(SUBSTITUTE(SUBSTITUTE("type:"&amp;B1759,"%","%25"),"~","%7E"),"*","%2A"),"?","%3F")))&lt;&gt;1),"",IF(OR(INDEX('Rules'!$B$7:$B$26,MATCH(SUBSTITUTE(SUBSTITUTE(SUBSTITUTE(SUBSTITUTE("type:"&amp;B1759,"%","%25"),"~","%7E"),"*","%2A"),"?","%3F"),'Rules'!$G$7:$G$26,0))="hours",INDEX('Rules'!$B$7:$B$26,MATCH(SUBSTITUTE(SUBSTITUTE(SUBSTITUTE(SUBSTITUTE("type:"&amp;B1759,"%","%25"),"~","%7E"),"*","%2A"),"?","%3F"),'Rules'!$G$7:$G$26,0))="km"),INDEX('Rules'!$B$7:$B$26,MATCH(SUBSTITUTE(SUBSTITUTE(SUBSTITUTE(SUBSTITUTE("type:"&amp;B1759,"%","%25"),"~","%7E"),"*","%2A"),"?","%3F"),'Rules'!$G$7:$G$26,0)),""))</x:f>
      </x:c>
      <x:c r="I1759" s="6" t="str">
        <x:f>IF(AND(NOT(COUNTA(A1759:F1759)=0),K1759=""),ROUND(J1759-D1759,3),"")</x:f>
      </x:c>
      <x:c r="J1759" s="6" t="str">
        <x:f>IF(AND(NOT(COUNTA(A1759:F1759)=0),K1759=""),ROUND(F1759+L1759,3),"")</x:f>
      </x:c>
      <x:c r="K1759" s="5" t="str">
        <x:f>IF(COUNTA(A1759:F1759)=0,"",IF(A1759="","Missing equipment ID",IF(COUNTIFS($N$8:$N$2007,"="&amp;N1759)&gt;1,"Duplicate equipment ID",IF(B1759="","Missing type",IF(COUNTIFS('Rules'!$G$7:$G$26,"="&amp;(SUBSTITUTE(SUBSTITUTE(SUBSTITUTE(SUBSTITUTE("type:"&amp;B1759,"%","%25"),"~","%7E"),"*","%2A"),"?","%3F")))=0,"Unknown type",IF(COUNTIFS('Rules'!$G$7:$G$26,"="&amp;(SUBSTITUTE(SUBSTITUTE(SUBSTITUTE(SUBSTITUTE("type:"&amp;B1759,"%","%25"),"~","%7E"),"*","%2A"),"?","%3F")))&gt;1,"Duplicate type",IF(INDEX('Rules'!$F$7:$F$26,MATCH(SUBSTITUTE(SUBSTITUTE(SUBSTITUTE(SUBSTITUTE("type:"&amp;B1759,"%","%25"),"~","%7E"),"*","%2A"),"?","%3F"),'Rules'!$G$7:$G$26,0))&lt;&gt;"",INDEX('Rules'!$F$7:$F$26,MATCH(SUBSTITUTE(SUBSTITUTE(SUBSTITUTE(SUBSTITUTE("type:"&amp;B1759,"%","%25"),"~","%7E"),"*","%2A"),"?","%3F"),'Rules'!$G$7:$G$26,0)),IF(AND(C1759&lt;&gt;"",C1759&lt;&gt;INDEX('Rules'!$B$7:$B$26,MATCH(SUBSTITUTE(SUBSTITUTE(SUBSTITUTE(SUBSTITUTE("type:"&amp;B1759,"%","%25"),"~","%7E"),"*","%2A"),"?","%3F"),'Rules'!$G$7:$G$26,0))),"Unit mismatch",IF(IF(NOT(ISNUMBER(D1759)),TRUE,OR(D1759&lt;0,D1759&gt;999999999,ROUND(D1759,3)&lt;&gt;D1759)),"Invalid current reading",IF(AND(E1759&lt;&gt;"",IF(NOT(ISNUMBER(E1759)),TRUE,OR(E1759&lt;0,E1759&gt;999999999,ROUND(E1759,3)&lt;&gt;E1759))),"Invalid previous reading",IF(IF(NOT(ISNUMBER(F1759)),TRUE,OR(F1759&lt;0,F1759&gt;999999999,ROUND(F1759,3)&lt;&gt;F1759)),"Invalid last service",IF(AND(E1759&lt;&gt;"",D1759&lt;E1759),"Decreased reading",IF(F1759&gt;D1759,"Last service above current","")))))))))))))</x:f>
      </x:c>
      <x:c r="L1759" s="6" t="str">
        <x:f>IF(AND(NOT(COUNTA(A1759:F1759)=0),K1759=""),INDEX('Rules'!$C$7:$C$26,MATCH(SUBSTITUTE(SUBSTITUTE(SUBSTITUTE(SUBSTITUTE("type:"&amp;B1759,"%","%25"),"~","%7E"),"*","%2A"),"?","%3F"),'Rules'!$G$7:$G$26,0)),"")</x:f>
      </x:c>
      <x:c r="M1759" s="6" t="str">
        <x:f>IF(AND(NOT(COUNTA(A1759:F1759)=0),K1759=""),INDEX('Rules'!$D$7:$D$26,MATCH(SUBSTITUTE(SUBSTITUTE(SUBSTITUTE(SUBSTITUTE("type:"&amp;B1759,"%","%25"),"~","%7E"),"*","%2A"),"?","%3F"),'Rules'!$G$7:$G$26,0)),"")</x:f>
      </x:c>
      <x:c r="N1759" s="5" t="str">
        <x:f>IF(COUNTA(A1759:F1759)=0,"",SUBSTITUTE(SUBSTITUTE(SUBSTITUTE(SUBSTITUTE("id:"&amp;A1759,"%","%25"),"~","%7E"),"*","%2A"),"?","%3F"))</x:f>
      </x:c>
    </x:row>
    <x:row r="1760" ht="22" customHeight="1">
      <x:c r="A1760" s="3"/>
      <x:c r="B1760" s="3"/>
      <x:c r="C1760" s="3"/>
      <x:c r="D1760" s="4"/>
      <x:c r="E1760" s="4"/>
      <x:c r="F1760" s="4"/>
      <x:c r="G1760" s="5" t="str">
        <x:f>IF(COUNTA(A1760:F1760)=0,"",IF(K1760&lt;&gt;"","Review",IF(I1760&lt;0,"Overdue",IF(I1760=0,"Due now",IF(I1760&lt;=M1760,"Due soon","Not due")))))</x:f>
      </x:c>
      <x:c r="H1760" s="5" t="str">
        <x:f>IF(OR(COUNTA(A1760:F1760)=0,COUNTIFS('Rules'!$G$7:$G$26,"="&amp;(SUBSTITUTE(SUBSTITUTE(SUBSTITUTE(SUBSTITUTE("type:"&amp;B1760,"%","%25"),"~","%7E"),"*","%2A"),"?","%3F")))&lt;&gt;1),"",IF(OR(INDEX('Rules'!$B$7:$B$26,MATCH(SUBSTITUTE(SUBSTITUTE(SUBSTITUTE(SUBSTITUTE("type:"&amp;B1760,"%","%25"),"~","%7E"),"*","%2A"),"?","%3F"),'Rules'!$G$7:$G$26,0))="hours",INDEX('Rules'!$B$7:$B$26,MATCH(SUBSTITUTE(SUBSTITUTE(SUBSTITUTE(SUBSTITUTE("type:"&amp;B1760,"%","%25"),"~","%7E"),"*","%2A"),"?","%3F"),'Rules'!$G$7:$G$26,0))="km"),INDEX('Rules'!$B$7:$B$26,MATCH(SUBSTITUTE(SUBSTITUTE(SUBSTITUTE(SUBSTITUTE("type:"&amp;B1760,"%","%25"),"~","%7E"),"*","%2A"),"?","%3F"),'Rules'!$G$7:$G$26,0)),""))</x:f>
      </x:c>
      <x:c r="I1760" s="6" t="str">
        <x:f>IF(AND(NOT(COUNTA(A1760:F1760)=0),K1760=""),ROUND(J1760-D1760,3),"")</x:f>
      </x:c>
      <x:c r="J1760" s="6" t="str">
        <x:f>IF(AND(NOT(COUNTA(A1760:F1760)=0),K1760=""),ROUND(F1760+L1760,3),"")</x:f>
      </x:c>
      <x:c r="K1760" s="5" t="str">
        <x:f>IF(COUNTA(A1760:F1760)=0,"",IF(A1760="","Missing equipment ID",IF(COUNTIFS($N$8:$N$2007,"="&amp;N1760)&gt;1,"Duplicate equipment ID",IF(B1760="","Missing type",IF(COUNTIFS('Rules'!$G$7:$G$26,"="&amp;(SUBSTITUTE(SUBSTITUTE(SUBSTITUTE(SUBSTITUTE("type:"&amp;B1760,"%","%25"),"~","%7E"),"*","%2A"),"?","%3F")))=0,"Unknown type",IF(COUNTIFS('Rules'!$G$7:$G$26,"="&amp;(SUBSTITUTE(SUBSTITUTE(SUBSTITUTE(SUBSTITUTE("type:"&amp;B1760,"%","%25"),"~","%7E"),"*","%2A"),"?","%3F")))&gt;1,"Duplicate type",IF(INDEX('Rules'!$F$7:$F$26,MATCH(SUBSTITUTE(SUBSTITUTE(SUBSTITUTE(SUBSTITUTE("type:"&amp;B1760,"%","%25"),"~","%7E"),"*","%2A"),"?","%3F"),'Rules'!$G$7:$G$26,0))&lt;&gt;"",INDEX('Rules'!$F$7:$F$26,MATCH(SUBSTITUTE(SUBSTITUTE(SUBSTITUTE(SUBSTITUTE("type:"&amp;B1760,"%","%25"),"~","%7E"),"*","%2A"),"?","%3F"),'Rules'!$G$7:$G$26,0)),IF(AND(C1760&lt;&gt;"",C1760&lt;&gt;INDEX('Rules'!$B$7:$B$26,MATCH(SUBSTITUTE(SUBSTITUTE(SUBSTITUTE(SUBSTITUTE("type:"&amp;B1760,"%","%25"),"~","%7E"),"*","%2A"),"?","%3F"),'Rules'!$G$7:$G$26,0))),"Unit mismatch",IF(IF(NOT(ISNUMBER(D1760)),TRUE,OR(D1760&lt;0,D1760&gt;999999999,ROUND(D1760,3)&lt;&gt;D1760)),"Invalid current reading",IF(AND(E1760&lt;&gt;"",IF(NOT(ISNUMBER(E1760)),TRUE,OR(E1760&lt;0,E1760&gt;999999999,ROUND(E1760,3)&lt;&gt;E1760))),"Invalid previous reading",IF(IF(NOT(ISNUMBER(F1760)),TRUE,OR(F1760&lt;0,F1760&gt;999999999,ROUND(F1760,3)&lt;&gt;F1760)),"Invalid last service",IF(AND(E1760&lt;&gt;"",D1760&lt;E1760),"Decreased reading",IF(F1760&gt;D1760,"Last service above current","")))))))))))))</x:f>
      </x:c>
      <x:c r="L1760" s="6" t="str">
        <x:f>IF(AND(NOT(COUNTA(A1760:F1760)=0),K1760=""),INDEX('Rules'!$C$7:$C$26,MATCH(SUBSTITUTE(SUBSTITUTE(SUBSTITUTE(SUBSTITUTE("type:"&amp;B1760,"%","%25"),"~","%7E"),"*","%2A"),"?","%3F"),'Rules'!$G$7:$G$26,0)),"")</x:f>
      </x:c>
      <x:c r="M1760" s="6" t="str">
        <x:f>IF(AND(NOT(COUNTA(A1760:F1760)=0),K1760=""),INDEX('Rules'!$D$7:$D$26,MATCH(SUBSTITUTE(SUBSTITUTE(SUBSTITUTE(SUBSTITUTE("type:"&amp;B1760,"%","%25"),"~","%7E"),"*","%2A"),"?","%3F"),'Rules'!$G$7:$G$26,0)),"")</x:f>
      </x:c>
      <x:c r="N1760" s="5" t="str">
        <x:f>IF(COUNTA(A1760:F1760)=0,"",SUBSTITUTE(SUBSTITUTE(SUBSTITUTE(SUBSTITUTE("id:"&amp;A1760,"%","%25"),"~","%7E"),"*","%2A"),"?","%3F"))</x:f>
      </x:c>
    </x:row>
    <x:row r="1761" ht="22" customHeight="1">
      <x:c r="A1761" s="3"/>
      <x:c r="B1761" s="3"/>
      <x:c r="C1761" s="3"/>
      <x:c r="D1761" s="4"/>
      <x:c r="E1761" s="4"/>
      <x:c r="F1761" s="4"/>
      <x:c r="G1761" s="5" t="str">
        <x:f>IF(COUNTA(A1761:F1761)=0,"",IF(K1761&lt;&gt;"","Review",IF(I1761&lt;0,"Overdue",IF(I1761=0,"Due now",IF(I1761&lt;=M1761,"Due soon","Not due")))))</x:f>
      </x:c>
      <x:c r="H1761" s="5" t="str">
        <x:f>IF(OR(COUNTA(A1761:F1761)=0,COUNTIFS('Rules'!$G$7:$G$26,"="&amp;(SUBSTITUTE(SUBSTITUTE(SUBSTITUTE(SUBSTITUTE("type:"&amp;B1761,"%","%25"),"~","%7E"),"*","%2A"),"?","%3F")))&lt;&gt;1),"",IF(OR(INDEX('Rules'!$B$7:$B$26,MATCH(SUBSTITUTE(SUBSTITUTE(SUBSTITUTE(SUBSTITUTE("type:"&amp;B1761,"%","%25"),"~","%7E"),"*","%2A"),"?","%3F"),'Rules'!$G$7:$G$26,0))="hours",INDEX('Rules'!$B$7:$B$26,MATCH(SUBSTITUTE(SUBSTITUTE(SUBSTITUTE(SUBSTITUTE("type:"&amp;B1761,"%","%25"),"~","%7E"),"*","%2A"),"?","%3F"),'Rules'!$G$7:$G$26,0))="km"),INDEX('Rules'!$B$7:$B$26,MATCH(SUBSTITUTE(SUBSTITUTE(SUBSTITUTE(SUBSTITUTE("type:"&amp;B1761,"%","%25"),"~","%7E"),"*","%2A"),"?","%3F"),'Rules'!$G$7:$G$26,0)),""))</x:f>
      </x:c>
      <x:c r="I1761" s="6" t="str">
        <x:f>IF(AND(NOT(COUNTA(A1761:F1761)=0),K1761=""),ROUND(J1761-D1761,3),"")</x:f>
      </x:c>
      <x:c r="J1761" s="6" t="str">
        <x:f>IF(AND(NOT(COUNTA(A1761:F1761)=0),K1761=""),ROUND(F1761+L1761,3),"")</x:f>
      </x:c>
      <x:c r="K1761" s="5" t="str">
        <x:f>IF(COUNTA(A1761:F1761)=0,"",IF(A1761="","Missing equipment ID",IF(COUNTIFS($N$8:$N$2007,"="&amp;N1761)&gt;1,"Duplicate equipment ID",IF(B1761="","Missing type",IF(COUNTIFS('Rules'!$G$7:$G$26,"="&amp;(SUBSTITUTE(SUBSTITUTE(SUBSTITUTE(SUBSTITUTE("type:"&amp;B1761,"%","%25"),"~","%7E"),"*","%2A"),"?","%3F")))=0,"Unknown type",IF(COUNTIFS('Rules'!$G$7:$G$26,"="&amp;(SUBSTITUTE(SUBSTITUTE(SUBSTITUTE(SUBSTITUTE("type:"&amp;B1761,"%","%25"),"~","%7E"),"*","%2A"),"?","%3F")))&gt;1,"Duplicate type",IF(INDEX('Rules'!$F$7:$F$26,MATCH(SUBSTITUTE(SUBSTITUTE(SUBSTITUTE(SUBSTITUTE("type:"&amp;B1761,"%","%25"),"~","%7E"),"*","%2A"),"?","%3F"),'Rules'!$G$7:$G$26,0))&lt;&gt;"",INDEX('Rules'!$F$7:$F$26,MATCH(SUBSTITUTE(SUBSTITUTE(SUBSTITUTE(SUBSTITUTE("type:"&amp;B1761,"%","%25"),"~","%7E"),"*","%2A"),"?","%3F"),'Rules'!$G$7:$G$26,0)),IF(AND(C1761&lt;&gt;"",C1761&lt;&gt;INDEX('Rules'!$B$7:$B$26,MATCH(SUBSTITUTE(SUBSTITUTE(SUBSTITUTE(SUBSTITUTE("type:"&amp;B1761,"%","%25"),"~","%7E"),"*","%2A"),"?","%3F"),'Rules'!$G$7:$G$26,0))),"Unit mismatch",IF(IF(NOT(ISNUMBER(D1761)),TRUE,OR(D1761&lt;0,D1761&gt;999999999,ROUND(D1761,3)&lt;&gt;D1761)),"Invalid current reading",IF(AND(E1761&lt;&gt;"",IF(NOT(ISNUMBER(E1761)),TRUE,OR(E1761&lt;0,E1761&gt;999999999,ROUND(E1761,3)&lt;&gt;E1761))),"Invalid previous reading",IF(IF(NOT(ISNUMBER(F1761)),TRUE,OR(F1761&lt;0,F1761&gt;999999999,ROUND(F1761,3)&lt;&gt;F1761)),"Invalid last service",IF(AND(E1761&lt;&gt;"",D1761&lt;E1761),"Decreased reading",IF(F1761&gt;D1761,"Last service above current","")))))))))))))</x:f>
      </x:c>
      <x:c r="L1761" s="6" t="str">
        <x:f>IF(AND(NOT(COUNTA(A1761:F1761)=0),K1761=""),INDEX('Rules'!$C$7:$C$26,MATCH(SUBSTITUTE(SUBSTITUTE(SUBSTITUTE(SUBSTITUTE("type:"&amp;B1761,"%","%25"),"~","%7E"),"*","%2A"),"?","%3F"),'Rules'!$G$7:$G$26,0)),"")</x:f>
      </x:c>
      <x:c r="M1761" s="6" t="str">
        <x:f>IF(AND(NOT(COUNTA(A1761:F1761)=0),K1761=""),INDEX('Rules'!$D$7:$D$26,MATCH(SUBSTITUTE(SUBSTITUTE(SUBSTITUTE(SUBSTITUTE("type:"&amp;B1761,"%","%25"),"~","%7E"),"*","%2A"),"?","%3F"),'Rules'!$G$7:$G$26,0)),"")</x:f>
      </x:c>
      <x:c r="N1761" s="5" t="str">
        <x:f>IF(COUNTA(A1761:F1761)=0,"",SUBSTITUTE(SUBSTITUTE(SUBSTITUTE(SUBSTITUTE("id:"&amp;A1761,"%","%25"),"~","%7E"),"*","%2A"),"?","%3F"))</x:f>
      </x:c>
    </x:row>
    <x:row r="1762" ht="22" customHeight="1">
      <x:c r="A1762" s="3"/>
      <x:c r="B1762" s="3"/>
      <x:c r="C1762" s="3"/>
      <x:c r="D1762" s="4"/>
      <x:c r="E1762" s="4"/>
      <x:c r="F1762" s="4"/>
      <x:c r="G1762" s="5" t="str">
        <x:f>IF(COUNTA(A1762:F1762)=0,"",IF(K1762&lt;&gt;"","Review",IF(I1762&lt;0,"Overdue",IF(I1762=0,"Due now",IF(I1762&lt;=M1762,"Due soon","Not due")))))</x:f>
      </x:c>
      <x:c r="H1762" s="5" t="str">
        <x:f>IF(OR(COUNTA(A1762:F1762)=0,COUNTIFS('Rules'!$G$7:$G$26,"="&amp;(SUBSTITUTE(SUBSTITUTE(SUBSTITUTE(SUBSTITUTE("type:"&amp;B1762,"%","%25"),"~","%7E"),"*","%2A"),"?","%3F")))&lt;&gt;1),"",IF(OR(INDEX('Rules'!$B$7:$B$26,MATCH(SUBSTITUTE(SUBSTITUTE(SUBSTITUTE(SUBSTITUTE("type:"&amp;B1762,"%","%25"),"~","%7E"),"*","%2A"),"?","%3F"),'Rules'!$G$7:$G$26,0))="hours",INDEX('Rules'!$B$7:$B$26,MATCH(SUBSTITUTE(SUBSTITUTE(SUBSTITUTE(SUBSTITUTE("type:"&amp;B1762,"%","%25"),"~","%7E"),"*","%2A"),"?","%3F"),'Rules'!$G$7:$G$26,0))="km"),INDEX('Rules'!$B$7:$B$26,MATCH(SUBSTITUTE(SUBSTITUTE(SUBSTITUTE(SUBSTITUTE("type:"&amp;B1762,"%","%25"),"~","%7E"),"*","%2A"),"?","%3F"),'Rules'!$G$7:$G$26,0)),""))</x:f>
      </x:c>
      <x:c r="I1762" s="6" t="str">
        <x:f>IF(AND(NOT(COUNTA(A1762:F1762)=0),K1762=""),ROUND(J1762-D1762,3),"")</x:f>
      </x:c>
      <x:c r="J1762" s="6" t="str">
        <x:f>IF(AND(NOT(COUNTA(A1762:F1762)=0),K1762=""),ROUND(F1762+L1762,3),"")</x:f>
      </x:c>
      <x:c r="K1762" s="5" t="str">
        <x:f>IF(COUNTA(A1762:F1762)=0,"",IF(A1762="","Missing equipment ID",IF(COUNTIFS($N$8:$N$2007,"="&amp;N1762)&gt;1,"Duplicate equipment ID",IF(B1762="","Missing type",IF(COUNTIFS('Rules'!$G$7:$G$26,"="&amp;(SUBSTITUTE(SUBSTITUTE(SUBSTITUTE(SUBSTITUTE("type:"&amp;B1762,"%","%25"),"~","%7E"),"*","%2A"),"?","%3F")))=0,"Unknown type",IF(COUNTIFS('Rules'!$G$7:$G$26,"="&amp;(SUBSTITUTE(SUBSTITUTE(SUBSTITUTE(SUBSTITUTE("type:"&amp;B1762,"%","%25"),"~","%7E"),"*","%2A"),"?","%3F")))&gt;1,"Duplicate type",IF(INDEX('Rules'!$F$7:$F$26,MATCH(SUBSTITUTE(SUBSTITUTE(SUBSTITUTE(SUBSTITUTE("type:"&amp;B1762,"%","%25"),"~","%7E"),"*","%2A"),"?","%3F"),'Rules'!$G$7:$G$26,0))&lt;&gt;"",INDEX('Rules'!$F$7:$F$26,MATCH(SUBSTITUTE(SUBSTITUTE(SUBSTITUTE(SUBSTITUTE("type:"&amp;B1762,"%","%25"),"~","%7E"),"*","%2A"),"?","%3F"),'Rules'!$G$7:$G$26,0)),IF(AND(C1762&lt;&gt;"",C1762&lt;&gt;INDEX('Rules'!$B$7:$B$26,MATCH(SUBSTITUTE(SUBSTITUTE(SUBSTITUTE(SUBSTITUTE("type:"&amp;B1762,"%","%25"),"~","%7E"),"*","%2A"),"?","%3F"),'Rules'!$G$7:$G$26,0))),"Unit mismatch",IF(IF(NOT(ISNUMBER(D1762)),TRUE,OR(D1762&lt;0,D1762&gt;999999999,ROUND(D1762,3)&lt;&gt;D1762)),"Invalid current reading",IF(AND(E1762&lt;&gt;"",IF(NOT(ISNUMBER(E1762)),TRUE,OR(E1762&lt;0,E1762&gt;999999999,ROUND(E1762,3)&lt;&gt;E1762))),"Invalid previous reading",IF(IF(NOT(ISNUMBER(F1762)),TRUE,OR(F1762&lt;0,F1762&gt;999999999,ROUND(F1762,3)&lt;&gt;F1762)),"Invalid last service",IF(AND(E1762&lt;&gt;"",D1762&lt;E1762),"Decreased reading",IF(F1762&gt;D1762,"Last service above current","")))))))))))))</x:f>
      </x:c>
      <x:c r="L1762" s="6" t="str">
        <x:f>IF(AND(NOT(COUNTA(A1762:F1762)=0),K1762=""),INDEX('Rules'!$C$7:$C$26,MATCH(SUBSTITUTE(SUBSTITUTE(SUBSTITUTE(SUBSTITUTE("type:"&amp;B1762,"%","%25"),"~","%7E"),"*","%2A"),"?","%3F"),'Rules'!$G$7:$G$26,0)),"")</x:f>
      </x:c>
      <x:c r="M1762" s="6" t="str">
        <x:f>IF(AND(NOT(COUNTA(A1762:F1762)=0),K1762=""),INDEX('Rules'!$D$7:$D$26,MATCH(SUBSTITUTE(SUBSTITUTE(SUBSTITUTE(SUBSTITUTE("type:"&amp;B1762,"%","%25"),"~","%7E"),"*","%2A"),"?","%3F"),'Rules'!$G$7:$G$26,0)),"")</x:f>
      </x:c>
      <x:c r="N1762" s="5" t="str">
        <x:f>IF(COUNTA(A1762:F1762)=0,"",SUBSTITUTE(SUBSTITUTE(SUBSTITUTE(SUBSTITUTE("id:"&amp;A1762,"%","%25"),"~","%7E"),"*","%2A"),"?","%3F"))</x:f>
      </x:c>
    </x:row>
    <x:row r="1763" ht="22" customHeight="1">
      <x:c r="A1763" s="3"/>
      <x:c r="B1763" s="3"/>
      <x:c r="C1763" s="3"/>
      <x:c r="D1763" s="4"/>
      <x:c r="E1763" s="4"/>
      <x:c r="F1763" s="4"/>
      <x:c r="G1763" s="5" t="str">
        <x:f>IF(COUNTA(A1763:F1763)=0,"",IF(K1763&lt;&gt;"","Review",IF(I1763&lt;0,"Overdue",IF(I1763=0,"Due now",IF(I1763&lt;=M1763,"Due soon","Not due")))))</x:f>
      </x:c>
      <x:c r="H1763" s="5" t="str">
        <x:f>IF(OR(COUNTA(A1763:F1763)=0,COUNTIFS('Rules'!$G$7:$G$26,"="&amp;(SUBSTITUTE(SUBSTITUTE(SUBSTITUTE(SUBSTITUTE("type:"&amp;B1763,"%","%25"),"~","%7E"),"*","%2A"),"?","%3F")))&lt;&gt;1),"",IF(OR(INDEX('Rules'!$B$7:$B$26,MATCH(SUBSTITUTE(SUBSTITUTE(SUBSTITUTE(SUBSTITUTE("type:"&amp;B1763,"%","%25"),"~","%7E"),"*","%2A"),"?","%3F"),'Rules'!$G$7:$G$26,0))="hours",INDEX('Rules'!$B$7:$B$26,MATCH(SUBSTITUTE(SUBSTITUTE(SUBSTITUTE(SUBSTITUTE("type:"&amp;B1763,"%","%25"),"~","%7E"),"*","%2A"),"?","%3F"),'Rules'!$G$7:$G$26,0))="km"),INDEX('Rules'!$B$7:$B$26,MATCH(SUBSTITUTE(SUBSTITUTE(SUBSTITUTE(SUBSTITUTE("type:"&amp;B1763,"%","%25"),"~","%7E"),"*","%2A"),"?","%3F"),'Rules'!$G$7:$G$26,0)),""))</x:f>
      </x:c>
      <x:c r="I1763" s="6" t="str">
        <x:f>IF(AND(NOT(COUNTA(A1763:F1763)=0),K1763=""),ROUND(J1763-D1763,3),"")</x:f>
      </x:c>
      <x:c r="J1763" s="6" t="str">
        <x:f>IF(AND(NOT(COUNTA(A1763:F1763)=0),K1763=""),ROUND(F1763+L1763,3),"")</x:f>
      </x:c>
      <x:c r="K1763" s="5" t="str">
        <x:f>IF(COUNTA(A1763:F1763)=0,"",IF(A1763="","Missing equipment ID",IF(COUNTIFS($N$8:$N$2007,"="&amp;N1763)&gt;1,"Duplicate equipment ID",IF(B1763="","Missing type",IF(COUNTIFS('Rules'!$G$7:$G$26,"="&amp;(SUBSTITUTE(SUBSTITUTE(SUBSTITUTE(SUBSTITUTE("type:"&amp;B1763,"%","%25"),"~","%7E"),"*","%2A"),"?","%3F")))=0,"Unknown type",IF(COUNTIFS('Rules'!$G$7:$G$26,"="&amp;(SUBSTITUTE(SUBSTITUTE(SUBSTITUTE(SUBSTITUTE("type:"&amp;B1763,"%","%25"),"~","%7E"),"*","%2A"),"?","%3F")))&gt;1,"Duplicate type",IF(INDEX('Rules'!$F$7:$F$26,MATCH(SUBSTITUTE(SUBSTITUTE(SUBSTITUTE(SUBSTITUTE("type:"&amp;B1763,"%","%25"),"~","%7E"),"*","%2A"),"?","%3F"),'Rules'!$G$7:$G$26,0))&lt;&gt;"",INDEX('Rules'!$F$7:$F$26,MATCH(SUBSTITUTE(SUBSTITUTE(SUBSTITUTE(SUBSTITUTE("type:"&amp;B1763,"%","%25"),"~","%7E"),"*","%2A"),"?","%3F"),'Rules'!$G$7:$G$26,0)),IF(AND(C1763&lt;&gt;"",C1763&lt;&gt;INDEX('Rules'!$B$7:$B$26,MATCH(SUBSTITUTE(SUBSTITUTE(SUBSTITUTE(SUBSTITUTE("type:"&amp;B1763,"%","%25"),"~","%7E"),"*","%2A"),"?","%3F"),'Rules'!$G$7:$G$26,0))),"Unit mismatch",IF(IF(NOT(ISNUMBER(D1763)),TRUE,OR(D1763&lt;0,D1763&gt;999999999,ROUND(D1763,3)&lt;&gt;D1763)),"Invalid current reading",IF(AND(E1763&lt;&gt;"",IF(NOT(ISNUMBER(E1763)),TRUE,OR(E1763&lt;0,E1763&gt;999999999,ROUND(E1763,3)&lt;&gt;E1763))),"Invalid previous reading",IF(IF(NOT(ISNUMBER(F1763)),TRUE,OR(F1763&lt;0,F1763&gt;999999999,ROUND(F1763,3)&lt;&gt;F1763)),"Invalid last service",IF(AND(E1763&lt;&gt;"",D1763&lt;E1763),"Decreased reading",IF(F1763&gt;D1763,"Last service above current","")))))))))))))</x:f>
      </x:c>
      <x:c r="L1763" s="6" t="str">
        <x:f>IF(AND(NOT(COUNTA(A1763:F1763)=0),K1763=""),INDEX('Rules'!$C$7:$C$26,MATCH(SUBSTITUTE(SUBSTITUTE(SUBSTITUTE(SUBSTITUTE("type:"&amp;B1763,"%","%25"),"~","%7E"),"*","%2A"),"?","%3F"),'Rules'!$G$7:$G$26,0)),"")</x:f>
      </x:c>
      <x:c r="M1763" s="6" t="str">
        <x:f>IF(AND(NOT(COUNTA(A1763:F1763)=0),K1763=""),INDEX('Rules'!$D$7:$D$26,MATCH(SUBSTITUTE(SUBSTITUTE(SUBSTITUTE(SUBSTITUTE("type:"&amp;B1763,"%","%25"),"~","%7E"),"*","%2A"),"?","%3F"),'Rules'!$G$7:$G$26,0)),"")</x:f>
      </x:c>
      <x:c r="N1763" s="5" t="str">
        <x:f>IF(COUNTA(A1763:F1763)=0,"",SUBSTITUTE(SUBSTITUTE(SUBSTITUTE(SUBSTITUTE("id:"&amp;A1763,"%","%25"),"~","%7E"),"*","%2A"),"?","%3F"))</x:f>
      </x:c>
    </x:row>
    <x:row r="1764" ht="22" customHeight="1">
      <x:c r="A1764" s="3"/>
      <x:c r="B1764" s="3"/>
      <x:c r="C1764" s="3"/>
      <x:c r="D1764" s="4"/>
      <x:c r="E1764" s="4"/>
      <x:c r="F1764" s="4"/>
      <x:c r="G1764" s="5" t="str">
        <x:f>IF(COUNTA(A1764:F1764)=0,"",IF(K1764&lt;&gt;"","Review",IF(I1764&lt;0,"Overdue",IF(I1764=0,"Due now",IF(I1764&lt;=M1764,"Due soon","Not due")))))</x:f>
      </x:c>
      <x:c r="H1764" s="5" t="str">
        <x:f>IF(OR(COUNTA(A1764:F1764)=0,COUNTIFS('Rules'!$G$7:$G$26,"="&amp;(SUBSTITUTE(SUBSTITUTE(SUBSTITUTE(SUBSTITUTE("type:"&amp;B1764,"%","%25"),"~","%7E"),"*","%2A"),"?","%3F")))&lt;&gt;1),"",IF(OR(INDEX('Rules'!$B$7:$B$26,MATCH(SUBSTITUTE(SUBSTITUTE(SUBSTITUTE(SUBSTITUTE("type:"&amp;B1764,"%","%25"),"~","%7E"),"*","%2A"),"?","%3F"),'Rules'!$G$7:$G$26,0))="hours",INDEX('Rules'!$B$7:$B$26,MATCH(SUBSTITUTE(SUBSTITUTE(SUBSTITUTE(SUBSTITUTE("type:"&amp;B1764,"%","%25"),"~","%7E"),"*","%2A"),"?","%3F"),'Rules'!$G$7:$G$26,0))="km"),INDEX('Rules'!$B$7:$B$26,MATCH(SUBSTITUTE(SUBSTITUTE(SUBSTITUTE(SUBSTITUTE("type:"&amp;B1764,"%","%25"),"~","%7E"),"*","%2A"),"?","%3F"),'Rules'!$G$7:$G$26,0)),""))</x:f>
      </x:c>
      <x:c r="I1764" s="6" t="str">
        <x:f>IF(AND(NOT(COUNTA(A1764:F1764)=0),K1764=""),ROUND(J1764-D1764,3),"")</x:f>
      </x:c>
      <x:c r="J1764" s="6" t="str">
        <x:f>IF(AND(NOT(COUNTA(A1764:F1764)=0),K1764=""),ROUND(F1764+L1764,3),"")</x:f>
      </x:c>
      <x:c r="K1764" s="5" t="str">
        <x:f>IF(COUNTA(A1764:F1764)=0,"",IF(A1764="","Missing equipment ID",IF(COUNTIFS($N$8:$N$2007,"="&amp;N1764)&gt;1,"Duplicate equipment ID",IF(B1764="","Missing type",IF(COUNTIFS('Rules'!$G$7:$G$26,"="&amp;(SUBSTITUTE(SUBSTITUTE(SUBSTITUTE(SUBSTITUTE("type:"&amp;B1764,"%","%25"),"~","%7E"),"*","%2A"),"?","%3F")))=0,"Unknown type",IF(COUNTIFS('Rules'!$G$7:$G$26,"="&amp;(SUBSTITUTE(SUBSTITUTE(SUBSTITUTE(SUBSTITUTE("type:"&amp;B1764,"%","%25"),"~","%7E"),"*","%2A"),"?","%3F")))&gt;1,"Duplicate type",IF(INDEX('Rules'!$F$7:$F$26,MATCH(SUBSTITUTE(SUBSTITUTE(SUBSTITUTE(SUBSTITUTE("type:"&amp;B1764,"%","%25"),"~","%7E"),"*","%2A"),"?","%3F"),'Rules'!$G$7:$G$26,0))&lt;&gt;"",INDEX('Rules'!$F$7:$F$26,MATCH(SUBSTITUTE(SUBSTITUTE(SUBSTITUTE(SUBSTITUTE("type:"&amp;B1764,"%","%25"),"~","%7E"),"*","%2A"),"?","%3F"),'Rules'!$G$7:$G$26,0)),IF(AND(C1764&lt;&gt;"",C1764&lt;&gt;INDEX('Rules'!$B$7:$B$26,MATCH(SUBSTITUTE(SUBSTITUTE(SUBSTITUTE(SUBSTITUTE("type:"&amp;B1764,"%","%25"),"~","%7E"),"*","%2A"),"?","%3F"),'Rules'!$G$7:$G$26,0))),"Unit mismatch",IF(IF(NOT(ISNUMBER(D1764)),TRUE,OR(D1764&lt;0,D1764&gt;999999999,ROUND(D1764,3)&lt;&gt;D1764)),"Invalid current reading",IF(AND(E1764&lt;&gt;"",IF(NOT(ISNUMBER(E1764)),TRUE,OR(E1764&lt;0,E1764&gt;999999999,ROUND(E1764,3)&lt;&gt;E1764))),"Invalid previous reading",IF(IF(NOT(ISNUMBER(F1764)),TRUE,OR(F1764&lt;0,F1764&gt;999999999,ROUND(F1764,3)&lt;&gt;F1764)),"Invalid last service",IF(AND(E1764&lt;&gt;"",D1764&lt;E1764),"Decreased reading",IF(F1764&gt;D1764,"Last service above current","")))))))))))))</x:f>
      </x:c>
      <x:c r="L1764" s="6" t="str">
        <x:f>IF(AND(NOT(COUNTA(A1764:F1764)=0),K1764=""),INDEX('Rules'!$C$7:$C$26,MATCH(SUBSTITUTE(SUBSTITUTE(SUBSTITUTE(SUBSTITUTE("type:"&amp;B1764,"%","%25"),"~","%7E"),"*","%2A"),"?","%3F"),'Rules'!$G$7:$G$26,0)),"")</x:f>
      </x:c>
      <x:c r="M1764" s="6" t="str">
        <x:f>IF(AND(NOT(COUNTA(A1764:F1764)=0),K1764=""),INDEX('Rules'!$D$7:$D$26,MATCH(SUBSTITUTE(SUBSTITUTE(SUBSTITUTE(SUBSTITUTE("type:"&amp;B1764,"%","%25"),"~","%7E"),"*","%2A"),"?","%3F"),'Rules'!$G$7:$G$26,0)),"")</x:f>
      </x:c>
      <x:c r="N1764" s="5" t="str">
        <x:f>IF(COUNTA(A1764:F1764)=0,"",SUBSTITUTE(SUBSTITUTE(SUBSTITUTE(SUBSTITUTE("id:"&amp;A1764,"%","%25"),"~","%7E"),"*","%2A"),"?","%3F"))</x:f>
      </x:c>
    </x:row>
    <x:row r="1765" ht="22" customHeight="1">
      <x:c r="A1765" s="3"/>
      <x:c r="B1765" s="3"/>
      <x:c r="C1765" s="3"/>
      <x:c r="D1765" s="4"/>
      <x:c r="E1765" s="4"/>
      <x:c r="F1765" s="4"/>
      <x:c r="G1765" s="5" t="str">
        <x:f>IF(COUNTA(A1765:F1765)=0,"",IF(K1765&lt;&gt;"","Review",IF(I1765&lt;0,"Overdue",IF(I1765=0,"Due now",IF(I1765&lt;=M1765,"Due soon","Not due")))))</x:f>
      </x:c>
      <x:c r="H1765" s="5" t="str">
        <x:f>IF(OR(COUNTA(A1765:F1765)=0,COUNTIFS('Rules'!$G$7:$G$26,"="&amp;(SUBSTITUTE(SUBSTITUTE(SUBSTITUTE(SUBSTITUTE("type:"&amp;B1765,"%","%25"),"~","%7E"),"*","%2A"),"?","%3F")))&lt;&gt;1),"",IF(OR(INDEX('Rules'!$B$7:$B$26,MATCH(SUBSTITUTE(SUBSTITUTE(SUBSTITUTE(SUBSTITUTE("type:"&amp;B1765,"%","%25"),"~","%7E"),"*","%2A"),"?","%3F"),'Rules'!$G$7:$G$26,0))="hours",INDEX('Rules'!$B$7:$B$26,MATCH(SUBSTITUTE(SUBSTITUTE(SUBSTITUTE(SUBSTITUTE("type:"&amp;B1765,"%","%25"),"~","%7E"),"*","%2A"),"?","%3F"),'Rules'!$G$7:$G$26,0))="km"),INDEX('Rules'!$B$7:$B$26,MATCH(SUBSTITUTE(SUBSTITUTE(SUBSTITUTE(SUBSTITUTE("type:"&amp;B1765,"%","%25"),"~","%7E"),"*","%2A"),"?","%3F"),'Rules'!$G$7:$G$26,0)),""))</x:f>
      </x:c>
      <x:c r="I1765" s="6" t="str">
        <x:f>IF(AND(NOT(COUNTA(A1765:F1765)=0),K1765=""),ROUND(J1765-D1765,3),"")</x:f>
      </x:c>
      <x:c r="J1765" s="6" t="str">
        <x:f>IF(AND(NOT(COUNTA(A1765:F1765)=0),K1765=""),ROUND(F1765+L1765,3),"")</x:f>
      </x:c>
      <x:c r="K1765" s="5" t="str">
        <x:f>IF(COUNTA(A1765:F1765)=0,"",IF(A1765="","Missing equipment ID",IF(COUNTIFS($N$8:$N$2007,"="&amp;N1765)&gt;1,"Duplicate equipment ID",IF(B1765="","Missing type",IF(COUNTIFS('Rules'!$G$7:$G$26,"="&amp;(SUBSTITUTE(SUBSTITUTE(SUBSTITUTE(SUBSTITUTE("type:"&amp;B1765,"%","%25"),"~","%7E"),"*","%2A"),"?","%3F")))=0,"Unknown type",IF(COUNTIFS('Rules'!$G$7:$G$26,"="&amp;(SUBSTITUTE(SUBSTITUTE(SUBSTITUTE(SUBSTITUTE("type:"&amp;B1765,"%","%25"),"~","%7E"),"*","%2A"),"?","%3F")))&gt;1,"Duplicate type",IF(INDEX('Rules'!$F$7:$F$26,MATCH(SUBSTITUTE(SUBSTITUTE(SUBSTITUTE(SUBSTITUTE("type:"&amp;B1765,"%","%25"),"~","%7E"),"*","%2A"),"?","%3F"),'Rules'!$G$7:$G$26,0))&lt;&gt;"",INDEX('Rules'!$F$7:$F$26,MATCH(SUBSTITUTE(SUBSTITUTE(SUBSTITUTE(SUBSTITUTE("type:"&amp;B1765,"%","%25"),"~","%7E"),"*","%2A"),"?","%3F"),'Rules'!$G$7:$G$26,0)),IF(AND(C1765&lt;&gt;"",C1765&lt;&gt;INDEX('Rules'!$B$7:$B$26,MATCH(SUBSTITUTE(SUBSTITUTE(SUBSTITUTE(SUBSTITUTE("type:"&amp;B1765,"%","%25"),"~","%7E"),"*","%2A"),"?","%3F"),'Rules'!$G$7:$G$26,0))),"Unit mismatch",IF(IF(NOT(ISNUMBER(D1765)),TRUE,OR(D1765&lt;0,D1765&gt;999999999,ROUND(D1765,3)&lt;&gt;D1765)),"Invalid current reading",IF(AND(E1765&lt;&gt;"",IF(NOT(ISNUMBER(E1765)),TRUE,OR(E1765&lt;0,E1765&gt;999999999,ROUND(E1765,3)&lt;&gt;E1765))),"Invalid previous reading",IF(IF(NOT(ISNUMBER(F1765)),TRUE,OR(F1765&lt;0,F1765&gt;999999999,ROUND(F1765,3)&lt;&gt;F1765)),"Invalid last service",IF(AND(E1765&lt;&gt;"",D1765&lt;E1765),"Decreased reading",IF(F1765&gt;D1765,"Last service above current","")))))))))))))</x:f>
      </x:c>
      <x:c r="L1765" s="6" t="str">
        <x:f>IF(AND(NOT(COUNTA(A1765:F1765)=0),K1765=""),INDEX('Rules'!$C$7:$C$26,MATCH(SUBSTITUTE(SUBSTITUTE(SUBSTITUTE(SUBSTITUTE("type:"&amp;B1765,"%","%25"),"~","%7E"),"*","%2A"),"?","%3F"),'Rules'!$G$7:$G$26,0)),"")</x:f>
      </x:c>
      <x:c r="M1765" s="6" t="str">
        <x:f>IF(AND(NOT(COUNTA(A1765:F1765)=0),K1765=""),INDEX('Rules'!$D$7:$D$26,MATCH(SUBSTITUTE(SUBSTITUTE(SUBSTITUTE(SUBSTITUTE("type:"&amp;B1765,"%","%25"),"~","%7E"),"*","%2A"),"?","%3F"),'Rules'!$G$7:$G$26,0)),"")</x:f>
      </x:c>
      <x:c r="N1765" s="5" t="str">
        <x:f>IF(COUNTA(A1765:F1765)=0,"",SUBSTITUTE(SUBSTITUTE(SUBSTITUTE(SUBSTITUTE("id:"&amp;A1765,"%","%25"),"~","%7E"),"*","%2A"),"?","%3F"))</x:f>
      </x:c>
    </x:row>
    <x:row r="1766" ht="22" customHeight="1">
      <x:c r="A1766" s="3"/>
      <x:c r="B1766" s="3"/>
      <x:c r="C1766" s="3"/>
      <x:c r="D1766" s="4"/>
      <x:c r="E1766" s="4"/>
      <x:c r="F1766" s="4"/>
      <x:c r="G1766" s="5" t="str">
        <x:f>IF(COUNTA(A1766:F1766)=0,"",IF(K1766&lt;&gt;"","Review",IF(I1766&lt;0,"Overdue",IF(I1766=0,"Due now",IF(I1766&lt;=M1766,"Due soon","Not due")))))</x:f>
      </x:c>
      <x:c r="H1766" s="5" t="str">
        <x:f>IF(OR(COUNTA(A1766:F1766)=0,COUNTIFS('Rules'!$G$7:$G$26,"="&amp;(SUBSTITUTE(SUBSTITUTE(SUBSTITUTE(SUBSTITUTE("type:"&amp;B1766,"%","%25"),"~","%7E"),"*","%2A"),"?","%3F")))&lt;&gt;1),"",IF(OR(INDEX('Rules'!$B$7:$B$26,MATCH(SUBSTITUTE(SUBSTITUTE(SUBSTITUTE(SUBSTITUTE("type:"&amp;B1766,"%","%25"),"~","%7E"),"*","%2A"),"?","%3F"),'Rules'!$G$7:$G$26,0))="hours",INDEX('Rules'!$B$7:$B$26,MATCH(SUBSTITUTE(SUBSTITUTE(SUBSTITUTE(SUBSTITUTE("type:"&amp;B1766,"%","%25"),"~","%7E"),"*","%2A"),"?","%3F"),'Rules'!$G$7:$G$26,0))="km"),INDEX('Rules'!$B$7:$B$26,MATCH(SUBSTITUTE(SUBSTITUTE(SUBSTITUTE(SUBSTITUTE("type:"&amp;B1766,"%","%25"),"~","%7E"),"*","%2A"),"?","%3F"),'Rules'!$G$7:$G$26,0)),""))</x:f>
      </x:c>
      <x:c r="I1766" s="6" t="str">
        <x:f>IF(AND(NOT(COUNTA(A1766:F1766)=0),K1766=""),ROUND(J1766-D1766,3),"")</x:f>
      </x:c>
      <x:c r="J1766" s="6" t="str">
        <x:f>IF(AND(NOT(COUNTA(A1766:F1766)=0),K1766=""),ROUND(F1766+L1766,3),"")</x:f>
      </x:c>
      <x:c r="K1766" s="5" t="str">
        <x:f>IF(COUNTA(A1766:F1766)=0,"",IF(A1766="","Missing equipment ID",IF(COUNTIFS($N$8:$N$2007,"="&amp;N1766)&gt;1,"Duplicate equipment ID",IF(B1766="","Missing type",IF(COUNTIFS('Rules'!$G$7:$G$26,"="&amp;(SUBSTITUTE(SUBSTITUTE(SUBSTITUTE(SUBSTITUTE("type:"&amp;B1766,"%","%25"),"~","%7E"),"*","%2A"),"?","%3F")))=0,"Unknown type",IF(COUNTIFS('Rules'!$G$7:$G$26,"="&amp;(SUBSTITUTE(SUBSTITUTE(SUBSTITUTE(SUBSTITUTE("type:"&amp;B1766,"%","%25"),"~","%7E"),"*","%2A"),"?","%3F")))&gt;1,"Duplicate type",IF(INDEX('Rules'!$F$7:$F$26,MATCH(SUBSTITUTE(SUBSTITUTE(SUBSTITUTE(SUBSTITUTE("type:"&amp;B1766,"%","%25"),"~","%7E"),"*","%2A"),"?","%3F"),'Rules'!$G$7:$G$26,0))&lt;&gt;"",INDEX('Rules'!$F$7:$F$26,MATCH(SUBSTITUTE(SUBSTITUTE(SUBSTITUTE(SUBSTITUTE("type:"&amp;B1766,"%","%25"),"~","%7E"),"*","%2A"),"?","%3F"),'Rules'!$G$7:$G$26,0)),IF(AND(C1766&lt;&gt;"",C1766&lt;&gt;INDEX('Rules'!$B$7:$B$26,MATCH(SUBSTITUTE(SUBSTITUTE(SUBSTITUTE(SUBSTITUTE("type:"&amp;B1766,"%","%25"),"~","%7E"),"*","%2A"),"?","%3F"),'Rules'!$G$7:$G$26,0))),"Unit mismatch",IF(IF(NOT(ISNUMBER(D1766)),TRUE,OR(D1766&lt;0,D1766&gt;999999999,ROUND(D1766,3)&lt;&gt;D1766)),"Invalid current reading",IF(AND(E1766&lt;&gt;"",IF(NOT(ISNUMBER(E1766)),TRUE,OR(E1766&lt;0,E1766&gt;999999999,ROUND(E1766,3)&lt;&gt;E1766))),"Invalid previous reading",IF(IF(NOT(ISNUMBER(F1766)),TRUE,OR(F1766&lt;0,F1766&gt;999999999,ROUND(F1766,3)&lt;&gt;F1766)),"Invalid last service",IF(AND(E1766&lt;&gt;"",D1766&lt;E1766),"Decreased reading",IF(F1766&gt;D1766,"Last service above current","")))))))))))))</x:f>
      </x:c>
      <x:c r="L1766" s="6" t="str">
        <x:f>IF(AND(NOT(COUNTA(A1766:F1766)=0),K1766=""),INDEX('Rules'!$C$7:$C$26,MATCH(SUBSTITUTE(SUBSTITUTE(SUBSTITUTE(SUBSTITUTE("type:"&amp;B1766,"%","%25"),"~","%7E"),"*","%2A"),"?","%3F"),'Rules'!$G$7:$G$26,0)),"")</x:f>
      </x:c>
      <x:c r="M1766" s="6" t="str">
        <x:f>IF(AND(NOT(COUNTA(A1766:F1766)=0),K1766=""),INDEX('Rules'!$D$7:$D$26,MATCH(SUBSTITUTE(SUBSTITUTE(SUBSTITUTE(SUBSTITUTE("type:"&amp;B1766,"%","%25"),"~","%7E"),"*","%2A"),"?","%3F"),'Rules'!$G$7:$G$26,0)),"")</x:f>
      </x:c>
      <x:c r="N1766" s="5" t="str">
        <x:f>IF(COUNTA(A1766:F1766)=0,"",SUBSTITUTE(SUBSTITUTE(SUBSTITUTE(SUBSTITUTE("id:"&amp;A1766,"%","%25"),"~","%7E"),"*","%2A"),"?","%3F"))</x:f>
      </x:c>
    </x:row>
    <x:row r="1767" ht="22" customHeight="1">
      <x:c r="A1767" s="3"/>
      <x:c r="B1767" s="3"/>
      <x:c r="C1767" s="3"/>
      <x:c r="D1767" s="4"/>
      <x:c r="E1767" s="4"/>
      <x:c r="F1767" s="4"/>
      <x:c r="G1767" s="5" t="str">
        <x:f>IF(COUNTA(A1767:F1767)=0,"",IF(K1767&lt;&gt;"","Review",IF(I1767&lt;0,"Overdue",IF(I1767=0,"Due now",IF(I1767&lt;=M1767,"Due soon","Not due")))))</x:f>
      </x:c>
      <x:c r="H1767" s="5" t="str">
        <x:f>IF(OR(COUNTA(A1767:F1767)=0,COUNTIFS('Rules'!$G$7:$G$26,"="&amp;(SUBSTITUTE(SUBSTITUTE(SUBSTITUTE(SUBSTITUTE("type:"&amp;B1767,"%","%25"),"~","%7E"),"*","%2A"),"?","%3F")))&lt;&gt;1),"",IF(OR(INDEX('Rules'!$B$7:$B$26,MATCH(SUBSTITUTE(SUBSTITUTE(SUBSTITUTE(SUBSTITUTE("type:"&amp;B1767,"%","%25"),"~","%7E"),"*","%2A"),"?","%3F"),'Rules'!$G$7:$G$26,0))="hours",INDEX('Rules'!$B$7:$B$26,MATCH(SUBSTITUTE(SUBSTITUTE(SUBSTITUTE(SUBSTITUTE("type:"&amp;B1767,"%","%25"),"~","%7E"),"*","%2A"),"?","%3F"),'Rules'!$G$7:$G$26,0))="km"),INDEX('Rules'!$B$7:$B$26,MATCH(SUBSTITUTE(SUBSTITUTE(SUBSTITUTE(SUBSTITUTE("type:"&amp;B1767,"%","%25"),"~","%7E"),"*","%2A"),"?","%3F"),'Rules'!$G$7:$G$26,0)),""))</x:f>
      </x:c>
      <x:c r="I1767" s="6" t="str">
        <x:f>IF(AND(NOT(COUNTA(A1767:F1767)=0),K1767=""),ROUND(J1767-D1767,3),"")</x:f>
      </x:c>
      <x:c r="J1767" s="6" t="str">
        <x:f>IF(AND(NOT(COUNTA(A1767:F1767)=0),K1767=""),ROUND(F1767+L1767,3),"")</x:f>
      </x:c>
      <x:c r="K1767" s="5" t="str">
        <x:f>IF(COUNTA(A1767:F1767)=0,"",IF(A1767="","Missing equipment ID",IF(COUNTIFS($N$8:$N$2007,"="&amp;N1767)&gt;1,"Duplicate equipment ID",IF(B1767="","Missing type",IF(COUNTIFS('Rules'!$G$7:$G$26,"="&amp;(SUBSTITUTE(SUBSTITUTE(SUBSTITUTE(SUBSTITUTE("type:"&amp;B1767,"%","%25"),"~","%7E"),"*","%2A"),"?","%3F")))=0,"Unknown type",IF(COUNTIFS('Rules'!$G$7:$G$26,"="&amp;(SUBSTITUTE(SUBSTITUTE(SUBSTITUTE(SUBSTITUTE("type:"&amp;B1767,"%","%25"),"~","%7E"),"*","%2A"),"?","%3F")))&gt;1,"Duplicate type",IF(INDEX('Rules'!$F$7:$F$26,MATCH(SUBSTITUTE(SUBSTITUTE(SUBSTITUTE(SUBSTITUTE("type:"&amp;B1767,"%","%25"),"~","%7E"),"*","%2A"),"?","%3F"),'Rules'!$G$7:$G$26,0))&lt;&gt;"",INDEX('Rules'!$F$7:$F$26,MATCH(SUBSTITUTE(SUBSTITUTE(SUBSTITUTE(SUBSTITUTE("type:"&amp;B1767,"%","%25"),"~","%7E"),"*","%2A"),"?","%3F"),'Rules'!$G$7:$G$26,0)),IF(AND(C1767&lt;&gt;"",C1767&lt;&gt;INDEX('Rules'!$B$7:$B$26,MATCH(SUBSTITUTE(SUBSTITUTE(SUBSTITUTE(SUBSTITUTE("type:"&amp;B1767,"%","%25"),"~","%7E"),"*","%2A"),"?","%3F"),'Rules'!$G$7:$G$26,0))),"Unit mismatch",IF(IF(NOT(ISNUMBER(D1767)),TRUE,OR(D1767&lt;0,D1767&gt;999999999,ROUND(D1767,3)&lt;&gt;D1767)),"Invalid current reading",IF(AND(E1767&lt;&gt;"",IF(NOT(ISNUMBER(E1767)),TRUE,OR(E1767&lt;0,E1767&gt;999999999,ROUND(E1767,3)&lt;&gt;E1767))),"Invalid previous reading",IF(IF(NOT(ISNUMBER(F1767)),TRUE,OR(F1767&lt;0,F1767&gt;999999999,ROUND(F1767,3)&lt;&gt;F1767)),"Invalid last service",IF(AND(E1767&lt;&gt;"",D1767&lt;E1767),"Decreased reading",IF(F1767&gt;D1767,"Last service above current","")))))))))))))</x:f>
      </x:c>
      <x:c r="L1767" s="6" t="str">
        <x:f>IF(AND(NOT(COUNTA(A1767:F1767)=0),K1767=""),INDEX('Rules'!$C$7:$C$26,MATCH(SUBSTITUTE(SUBSTITUTE(SUBSTITUTE(SUBSTITUTE("type:"&amp;B1767,"%","%25"),"~","%7E"),"*","%2A"),"?","%3F"),'Rules'!$G$7:$G$26,0)),"")</x:f>
      </x:c>
      <x:c r="M1767" s="6" t="str">
        <x:f>IF(AND(NOT(COUNTA(A1767:F1767)=0),K1767=""),INDEX('Rules'!$D$7:$D$26,MATCH(SUBSTITUTE(SUBSTITUTE(SUBSTITUTE(SUBSTITUTE("type:"&amp;B1767,"%","%25"),"~","%7E"),"*","%2A"),"?","%3F"),'Rules'!$G$7:$G$26,0)),"")</x:f>
      </x:c>
      <x:c r="N1767" s="5" t="str">
        <x:f>IF(COUNTA(A1767:F1767)=0,"",SUBSTITUTE(SUBSTITUTE(SUBSTITUTE(SUBSTITUTE("id:"&amp;A1767,"%","%25"),"~","%7E"),"*","%2A"),"?","%3F"))</x:f>
      </x:c>
    </x:row>
    <x:row r="1768" ht="22" customHeight="1">
      <x:c r="A1768" s="3"/>
      <x:c r="B1768" s="3"/>
      <x:c r="C1768" s="3"/>
      <x:c r="D1768" s="4"/>
      <x:c r="E1768" s="4"/>
      <x:c r="F1768" s="4"/>
      <x:c r="G1768" s="5" t="str">
        <x:f>IF(COUNTA(A1768:F1768)=0,"",IF(K1768&lt;&gt;"","Review",IF(I1768&lt;0,"Overdue",IF(I1768=0,"Due now",IF(I1768&lt;=M1768,"Due soon","Not due")))))</x:f>
      </x:c>
      <x:c r="H1768" s="5" t="str">
        <x:f>IF(OR(COUNTA(A1768:F1768)=0,COUNTIFS('Rules'!$G$7:$G$26,"="&amp;(SUBSTITUTE(SUBSTITUTE(SUBSTITUTE(SUBSTITUTE("type:"&amp;B1768,"%","%25"),"~","%7E"),"*","%2A"),"?","%3F")))&lt;&gt;1),"",IF(OR(INDEX('Rules'!$B$7:$B$26,MATCH(SUBSTITUTE(SUBSTITUTE(SUBSTITUTE(SUBSTITUTE("type:"&amp;B1768,"%","%25"),"~","%7E"),"*","%2A"),"?","%3F"),'Rules'!$G$7:$G$26,0))="hours",INDEX('Rules'!$B$7:$B$26,MATCH(SUBSTITUTE(SUBSTITUTE(SUBSTITUTE(SUBSTITUTE("type:"&amp;B1768,"%","%25"),"~","%7E"),"*","%2A"),"?","%3F"),'Rules'!$G$7:$G$26,0))="km"),INDEX('Rules'!$B$7:$B$26,MATCH(SUBSTITUTE(SUBSTITUTE(SUBSTITUTE(SUBSTITUTE("type:"&amp;B1768,"%","%25"),"~","%7E"),"*","%2A"),"?","%3F"),'Rules'!$G$7:$G$26,0)),""))</x:f>
      </x:c>
      <x:c r="I1768" s="6" t="str">
        <x:f>IF(AND(NOT(COUNTA(A1768:F1768)=0),K1768=""),ROUND(J1768-D1768,3),"")</x:f>
      </x:c>
      <x:c r="J1768" s="6" t="str">
        <x:f>IF(AND(NOT(COUNTA(A1768:F1768)=0),K1768=""),ROUND(F1768+L1768,3),"")</x:f>
      </x:c>
      <x:c r="K1768" s="5" t="str">
        <x:f>IF(COUNTA(A1768:F1768)=0,"",IF(A1768="","Missing equipment ID",IF(COUNTIFS($N$8:$N$2007,"="&amp;N1768)&gt;1,"Duplicate equipment ID",IF(B1768="","Missing type",IF(COUNTIFS('Rules'!$G$7:$G$26,"="&amp;(SUBSTITUTE(SUBSTITUTE(SUBSTITUTE(SUBSTITUTE("type:"&amp;B1768,"%","%25"),"~","%7E"),"*","%2A"),"?","%3F")))=0,"Unknown type",IF(COUNTIFS('Rules'!$G$7:$G$26,"="&amp;(SUBSTITUTE(SUBSTITUTE(SUBSTITUTE(SUBSTITUTE("type:"&amp;B1768,"%","%25"),"~","%7E"),"*","%2A"),"?","%3F")))&gt;1,"Duplicate type",IF(INDEX('Rules'!$F$7:$F$26,MATCH(SUBSTITUTE(SUBSTITUTE(SUBSTITUTE(SUBSTITUTE("type:"&amp;B1768,"%","%25"),"~","%7E"),"*","%2A"),"?","%3F"),'Rules'!$G$7:$G$26,0))&lt;&gt;"",INDEX('Rules'!$F$7:$F$26,MATCH(SUBSTITUTE(SUBSTITUTE(SUBSTITUTE(SUBSTITUTE("type:"&amp;B1768,"%","%25"),"~","%7E"),"*","%2A"),"?","%3F"),'Rules'!$G$7:$G$26,0)),IF(AND(C1768&lt;&gt;"",C1768&lt;&gt;INDEX('Rules'!$B$7:$B$26,MATCH(SUBSTITUTE(SUBSTITUTE(SUBSTITUTE(SUBSTITUTE("type:"&amp;B1768,"%","%25"),"~","%7E"),"*","%2A"),"?","%3F"),'Rules'!$G$7:$G$26,0))),"Unit mismatch",IF(IF(NOT(ISNUMBER(D1768)),TRUE,OR(D1768&lt;0,D1768&gt;999999999,ROUND(D1768,3)&lt;&gt;D1768)),"Invalid current reading",IF(AND(E1768&lt;&gt;"",IF(NOT(ISNUMBER(E1768)),TRUE,OR(E1768&lt;0,E1768&gt;999999999,ROUND(E1768,3)&lt;&gt;E1768))),"Invalid previous reading",IF(IF(NOT(ISNUMBER(F1768)),TRUE,OR(F1768&lt;0,F1768&gt;999999999,ROUND(F1768,3)&lt;&gt;F1768)),"Invalid last service",IF(AND(E1768&lt;&gt;"",D1768&lt;E1768),"Decreased reading",IF(F1768&gt;D1768,"Last service above current","")))))))))))))</x:f>
      </x:c>
      <x:c r="L1768" s="6" t="str">
        <x:f>IF(AND(NOT(COUNTA(A1768:F1768)=0),K1768=""),INDEX('Rules'!$C$7:$C$26,MATCH(SUBSTITUTE(SUBSTITUTE(SUBSTITUTE(SUBSTITUTE("type:"&amp;B1768,"%","%25"),"~","%7E"),"*","%2A"),"?","%3F"),'Rules'!$G$7:$G$26,0)),"")</x:f>
      </x:c>
      <x:c r="M1768" s="6" t="str">
        <x:f>IF(AND(NOT(COUNTA(A1768:F1768)=0),K1768=""),INDEX('Rules'!$D$7:$D$26,MATCH(SUBSTITUTE(SUBSTITUTE(SUBSTITUTE(SUBSTITUTE("type:"&amp;B1768,"%","%25"),"~","%7E"),"*","%2A"),"?","%3F"),'Rules'!$G$7:$G$26,0)),"")</x:f>
      </x:c>
      <x:c r="N1768" s="5" t="str">
        <x:f>IF(COUNTA(A1768:F1768)=0,"",SUBSTITUTE(SUBSTITUTE(SUBSTITUTE(SUBSTITUTE("id:"&amp;A1768,"%","%25"),"~","%7E"),"*","%2A"),"?","%3F"))</x:f>
      </x:c>
    </x:row>
    <x:row r="1769" ht="22" customHeight="1">
      <x:c r="A1769" s="3"/>
      <x:c r="B1769" s="3"/>
      <x:c r="C1769" s="3"/>
      <x:c r="D1769" s="4"/>
      <x:c r="E1769" s="4"/>
      <x:c r="F1769" s="4"/>
      <x:c r="G1769" s="5" t="str">
        <x:f>IF(COUNTA(A1769:F1769)=0,"",IF(K1769&lt;&gt;"","Review",IF(I1769&lt;0,"Overdue",IF(I1769=0,"Due now",IF(I1769&lt;=M1769,"Due soon","Not due")))))</x:f>
      </x:c>
      <x:c r="H1769" s="5" t="str">
        <x:f>IF(OR(COUNTA(A1769:F1769)=0,COUNTIFS('Rules'!$G$7:$G$26,"="&amp;(SUBSTITUTE(SUBSTITUTE(SUBSTITUTE(SUBSTITUTE("type:"&amp;B1769,"%","%25"),"~","%7E"),"*","%2A"),"?","%3F")))&lt;&gt;1),"",IF(OR(INDEX('Rules'!$B$7:$B$26,MATCH(SUBSTITUTE(SUBSTITUTE(SUBSTITUTE(SUBSTITUTE("type:"&amp;B1769,"%","%25"),"~","%7E"),"*","%2A"),"?","%3F"),'Rules'!$G$7:$G$26,0))="hours",INDEX('Rules'!$B$7:$B$26,MATCH(SUBSTITUTE(SUBSTITUTE(SUBSTITUTE(SUBSTITUTE("type:"&amp;B1769,"%","%25"),"~","%7E"),"*","%2A"),"?","%3F"),'Rules'!$G$7:$G$26,0))="km"),INDEX('Rules'!$B$7:$B$26,MATCH(SUBSTITUTE(SUBSTITUTE(SUBSTITUTE(SUBSTITUTE("type:"&amp;B1769,"%","%25"),"~","%7E"),"*","%2A"),"?","%3F"),'Rules'!$G$7:$G$26,0)),""))</x:f>
      </x:c>
      <x:c r="I1769" s="6" t="str">
        <x:f>IF(AND(NOT(COUNTA(A1769:F1769)=0),K1769=""),ROUND(J1769-D1769,3),"")</x:f>
      </x:c>
      <x:c r="J1769" s="6" t="str">
        <x:f>IF(AND(NOT(COUNTA(A1769:F1769)=0),K1769=""),ROUND(F1769+L1769,3),"")</x:f>
      </x:c>
      <x:c r="K1769" s="5" t="str">
        <x:f>IF(COUNTA(A1769:F1769)=0,"",IF(A1769="","Missing equipment ID",IF(COUNTIFS($N$8:$N$2007,"="&amp;N1769)&gt;1,"Duplicate equipment ID",IF(B1769="","Missing type",IF(COUNTIFS('Rules'!$G$7:$G$26,"="&amp;(SUBSTITUTE(SUBSTITUTE(SUBSTITUTE(SUBSTITUTE("type:"&amp;B1769,"%","%25"),"~","%7E"),"*","%2A"),"?","%3F")))=0,"Unknown type",IF(COUNTIFS('Rules'!$G$7:$G$26,"="&amp;(SUBSTITUTE(SUBSTITUTE(SUBSTITUTE(SUBSTITUTE("type:"&amp;B1769,"%","%25"),"~","%7E"),"*","%2A"),"?","%3F")))&gt;1,"Duplicate type",IF(INDEX('Rules'!$F$7:$F$26,MATCH(SUBSTITUTE(SUBSTITUTE(SUBSTITUTE(SUBSTITUTE("type:"&amp;B1769,"%","%25"),"~","%7E"),"*","%2A"),"?","%3F"),'Rules'!$G$7:$G$26,0))&lt;&gt;"",INDEX('Rules'!$F$7:$F$26,MATCH(SUBSTITUTE(SUBSTITUTE(SUBSTITUTE(SUBSTITUTE("type:"&amp;B1769,"%","%25"),"~","%7E"),"*","%2A"),"?","%3F"),'Rules'!$G$7:$G$26,0)),IF(AND(C1769&lt;&gt;"",C1769&lt;&gt;INDEX('Rules'!$B$7:$B$26,MATCH(SUBSTITUTE(SUBSTITUTE(SUBSTITUTE(SUBSTITUTE("type:"&amp;B1769,"%","%25"),"~","%7E"),"*","%2A"),"?","%3F"),'Rules'!$G$7:$G$26,0))),"Unit mismatch",IF(IF(NOT(ISNUMBER(D1769)),TRUE,OR(D1769&lt;0,D1769&gt;999999999,ROUND(D1769,3)&lt;&gt;D1769)),"Invalid current reading",IF(AND(E1769&lt;&gt;"",IF(NOT(ISNUMBER(E1769)),TRUE,OR(E1769&lt;0,E1769&gt;999999999,ROUND(E1769,3)&lt;&gt;E1769))),"Invalid previous reading",IF(IF(NOT(ISNUMBER(F1769)),TRUE,OR(F1769&lt;0,F1769&gt;999999999,ROUND(F1769,3)&lt;&gt;F1769)),"Invalid last service",IF(AND(E1769&lt;&gt;"",D1769&lt;E1769),"Decreased reading",IF(F1769&gt;D1769,"Last service above current","")))))))))))))</x:f>
      </x:c>
      <x:c r="L1769" s="6" t="str">
        <x:f>IF(AND(NOT(COUNTA(A1769:F1769)=0),K1769=""),INDEX('Rules'!$C$7:$C$26,MATCH(SUBSTITUTE(SUBSTITUTE(SUBSTITUTE(SUBSTITUTE("type:"&amp;B1769,"%","%25"),"~","%7E"),"*","%2A"),"?","%3F"),'Rules'!$G$7:$G$26,0)),"")</x:f>
      </x:c>
      <x:c r="M1769" s="6" t="str">
        <x:f>IF(AND(NOT(COUNTA(A1769:F1769)=0),K1769=""),INDEX('Rules'!$D$7:$D$26,MATCH(SUBSTITUTE(SUBSTITUTE(SUBSTITUTE(SUBSTITUTE("type:"&amp;B1769,"%","%25"),"~","%7E"),"*","%2A"),"?","%3F"),'Rules'!$G$7:$G$26,0)),"")</x:f>
      </x:c>
      <x:c r="N1769" s="5" t="str">
        <x:f>IF(COUNTA(A1769:F1769)=0,"",SUBSTITUTE(SUBSTITUTE(SUBSTITUTE(SUBSTITUTE("id:"&amp;A1769,"%","%25"),"~","%7E"),"*","%2A"),"?","%3F"))</x:f>
      </x:c>
    </x:row>
    <x:row r="1770" ht="22" customHeight="1">
      <x:c r="A1770" s="3"/>
      <x:c r="B1770" s="3"/>
      <x:c r="C1770" s="3"/>
      <x:c r="D1770" s="4"/>
      <x:c r="E1770" s="4"/>
      <x:c r="F1770" s="4"/>
      <x:c r="G1770" s="5" t="str">
        <x:f>IF(COUNTA(A1770:F1770)=0,"",IF(K1770&lt;&gt;"","Review",IF(I1770&lt;0,"Overdue",IF(I1770=0,"Due now",IF(I1770&lt;=M1770,"Due soon","Not due")))))</x:f>
      </x:c>
      <x:c r="H1770" s="5" t="str">
        <x:f>IF(OR(COUNTA(A1770:F1770)=0,COUNTIFS('Rules'!$G$7:$G$26,"="&amp;(SUBSTITUTE(SUBSTITUTE(SUBSTITUTE(SUBSTITUTE("type:"&amp;B1770,"%","%25"),"~","%7E"),"*","%2A"),"?","%3F")))&lt;&gt;1),"",IF(OR(INDEX('Rules'!$B$7:$B$26,MATCH(SUBSTITUTE(SUBSTITUTE(SUBSTITUTE(SUBSTITUTE("type:"&amp;B1770,"%","%25"),"~","%7E"),"*","%2A"),"?","%3F"),'Rules'!$G$7:$G$26,0))="hours",INDEX('Rules'!$B$7:$B$26,MATCH(SUBSTITUTE(SUBSTITUTE(SUBSTITUTE(SUBSTITUTE("type:"&amp;B1770,"%","%25"),"~","%7E"),"*","%2A"),"?","%3F"),'Rules'!$G$7:$G$26,0))="km"),INDEX('Rules'!$B$7:$B$26,MATCH(SUBSTITUTE(SUBSTITUTE(SUBSTITUTE(SUBSTITUTE("type:"&amp;B1770,"%","%25"),"~","%7E"),"*","%2A"),"?","%3F"),'Rules'!$G$7:$G$26,0)),""))</x:f>
      </x:c>
      <x:c r="I1770" s="6" t="str">
        <x:f>IF(AND(NOT(COUNTA(A1770:F1770)=0),K1770=""),ROUND(J1770-D1770,3),"")</x:f>
      </x:c>
      <x:c r="J1770" s="6" t="str">
        <x:f>IF(AND(NOT(COUNTA(A1770:F1770)=0),K1770=""),ROUND(F1770+L1770,3),"")</x:f>
      </x:c>
      <x:c r="K1770" s="5" t="str">
        <x:f>IF(COUNTA(A1770:F1770)=0,"",IF(A1770="","Missing equipment ID",IF(COUNTIFS($N$8:$N$2007,"="&amp;N1770)&gt;1,"Duplicate equipment ID",IF(B1770="","Missing type",IF(COUNTIFS('Rules'!$G$7:$G$26,"="&amp;(SUBSTITUTE(SUBSTITUTE(SUBSTITUTE(SUBSTITUTE("type:"&amp;B1770,"%","%25"),"~","%7E"),"*","%2A"),"?","%3F")))=0,"Unknown type",IF(COUNTIFS('Rules'!$G$7:$G$26,"="&amp;(SUBSTITUTE(SUBSTITUTE(SUBSTITUTE(SUBSTITUTE("type:"&amp;B1770,"%","%25"),"~","%7E"),"*","%2A"),"?","%3F")))&gt;1,"Duplicate type",IF(INDEX('Rules'!$F$7:$F$26,MATCH(SUBSTITUTE(SUBSTITUTE(SUBSTITUTE(SUBSTITUTE("type:"&amp;B1770,"%","%25"),"~","%7E"),"*","%2A"),"?","%3F"),'Rules'!$G$7:$G$26,0))&lt;&gt;"",INDEX('Rules'!$F$7:$F$26,MATCH(SUBSTITUTE(SUBSTITUTE(SUBSTITUTE(SUBSTITUTE("type:"&amp;B1770,"%","%25"),"~","%7E"),"*","%2A"),"?","%3F"),'Rules'!$G$7:$G$26,0)),IF(AND(C1770&lt;&gt;"",C1770&lt;&gt;INDEX('Rules'!$B$7:$B$26,MATCH(SUBSTITUTE(SUBSTITUTE(SUBSTITUTE(SUBSTITUTE("type:"&amp;B1770,"%","%25"),"~","%7E"),"*","%2A"),"?","%3F"),'Rules'!$G$7:$G$26,0))),"Unit mismatch",IF(IF(NOT(ISNUMBER(D1770)),TRUE,OR(D1770&lt;0,D1770&gt;999999999,ROUND(D1770,3)&lt;&gt;D1770)),"Invalid current reading",IF(AND(E1770&lt;&gt;"",IF(NOT(ISNUMBER(E1770)),TRUE,OR(E1770&lt;0,E1770&gt;999999999,ROUND(E1770,3)&lt;&gt;E1770))),"Invalid previous reading",IF(IF(NOT(ISNUMBER(F1770)),TRUE,OR(F1770&lt;0,F1770&gt;999999999,ROUND(F1770,3)&lt;&gt;F1770)),"Invalid last service",IF(AND(E1770&lt;&gt;"",D1770&lt;E1770),"Decreased reading",IF(F1770&gt;D1770,"Last service above current","")))))))))))))</x:f>
      </x:c>
      <x:c r="L1770" s="6" t="str">
        <x:f>IF(AND(NOT(COUNTA(A1770:F1770)=0),K1770=""),INDEX('Rules'!$C$7:$C$26,MATCH(SUBSTITUTE(SUBSTITUTE(SUBSTITUTE(SUBSTITUTE("type:"&amp;B1770,"%","%25"),"~","%7E"),"*","%2A"),"?","%3F"),'Rules'!$G$7:$G$26,0)),"")</x:f>
      </x:c>
      <x:c r="M1770" s="6" t="str">
        <x:f>IF(AND(NOT(COUNTA(A1770:F1770)=0),K1770=""),INDEX('Rules'!$D$7:$D$26,MATCH(SUBSTITUTE(SUBSTITUTE(SUBSTITUTE(SUBSTITUTE("type:"&amp;B1770,"%","%25"),"~","%7E"),"*","%2A"),"?","%3F"),'Rules'!$G$7:$G$26,0)),"")</x:f>
      </x:c>
      <x:c r="N1770" s="5" t="str">
        <x:f>IF(COUNTA(A1770:F1770)=0,"",SUBSTITUTE(SUBSTITUTE(SUBSTITUTE(SUBSTITUTE("id:"&amp;A1770,"%","%25"),"~","%7E"),"*","%2A"),"?","%3F"))</x:f>
      </x:c>
    </x:row>
    <x:row r="1771" ht="22" customHeight="1">
      <x:c r="A1771" s="3"/>
      <x:c r="B1771" s="3"/>
      <x:c r="C1771" s="3"/>
      <x:c r="D1771" s="4"/>
      <x:c r="E1771" s="4"/>
      <x:c r="F1771" s="4"/>
      <x:c r="G1771" s="5" t="str">
        <x:f>IF(COUNTA(A1771:F1771)=0,"",IF(K1771&lt;&gt;"","Review",IF(I1771&lt;0,"Overdue",IF(I1771=0,"Due now",IF(I1771&lt;=M1771,"Due soon","Not due")))))</x:f>
      </x:c>
      <x:c r="H1771" s="5" t="str">
        <x:f>IF(OR(COUNTA(A1771:F1771)=0,COUNTIFS('Rules'!$G$7:$G$26,"="&amp;(SUBSTITUTE(SUBSTITUTE(SUBSTITUTE(SUBSTITUTE("type:"&amp;B1771,"%","%25"),"~","%7E"),"*","%2A"),"?","%3F")))&lt;&gt;1),"",IF(OR(INDEX('Rules'!$B$7:$B$26,MATCH(SUBSTITUTE(SUBSTITUTE(SUBSTITUTE(SUBSTITUTE("type:"&amp;B1771,"%","%25"),"~","%7E"),"*","%2A"),"?","%3F"),'Rules'!$G$7:$G$26,0))="hours",INDEX('Rules'!$B$7:$B$26,MATCH(SUBSTITUTE(SUBSTITUTE(SUBSTITUTE(SUBSTITUTE("type:"&amp;B1771,"%","%25"),"~","%7E"),"*","%2A"),"?","%3F"),'Rules'!$G$7:$G$26,0))="km"),INDEX('Rules'!$B$7:$B$26,MATCH(SUBSTITUTE(SUBSTITUTE(SUBSTITUTE(SUBSTITUTE("type:"&amp;B1771,"%","%25"),"~","%7E"),"*","%2A"),"?","%3F"),'Rules'!$G$7:$G$26,0)),""))</x:f>
      </x:c>
      <x:c r="I1771" s="6" t="str">
        <x:f>IF(AND(NOT(COUNTA(A1771:F1771)=0),K1771=""),ROUND(J1771-D1771,3),"")</x:f>
      </x:c>
      <x:c r="J1771" s="6" t="str">
        <x:f>IF(AND(NOT(COUNTA(A1771:F1771)=0),K1771=""),ROUND(F1771+L1771,3),"")</x:f>
      </x:c>
      <x:c r="K1771" s="5" t="str">
        <x:f>IF(COUNTA(A1771:F1771)=0,"",IF(A1771="","Missing equipment ID",IF(COUNTIFS($N$8:$N$2007,"="&amp;N1771)&gt;1,"Duplicate equipment ID",IF(B1771="","Missing type",IF(COUNTIFS('Rules'!$G$7:$G$26,"="&amp;(SUBSTITUTE(SUBSTITUTE(SUBSTITUTE(SUBSTITUTE("type:"&amp;B1771,"%","%25"),"~","%7E"),"*","%2A"),"?","%3F")))=0,"Unknown type",IF(COUNTIFS('Rules'!$G$7:$G$26,"="&amp;(SUBSTITUTE(SUBSTITUTE(SUBSTITUTE(SUBSTITUTE("type:"&amp;B1771,"%","%25"),"~","%7E"),"*","%2A"),"?","%3F")))&gt;1,"Duplicate type",IF(INDEX('Rules'!$F$7:$F$26,MATCH(SUBSTITUTE(SUBSTITUTE(SUBSTITUTE(SUBSTITUTE("type:"&amp;B1771,"%","%25"),"~","%7E"),"*","%2A"),"?","%3F"),'Rules'!$G$7:$G$26,0))&lt;&gt;"",INDEX('Rules'!$F$7:$F$26,MATCH(SUBSTITUTE(SUBSTITUTE(SUBSTITUTE(SUBSTITUTE("type:"&amp;B1771,"%","%25"),"~","%7E"),"*","%2A"),"?","%3F"),'Rules'!$G$7:$G$26,0)),IF(AND(C1771&lt;&gt;"",C1771&lt;&gt;INDEX('Rules'!$B$7:$B$26,MATCH(SUBSTITUTE(SUBSTITUTE(SUBSTITUTE(SUBSTITUTE("type:"&amp;B1771,"%","%25"),"~","%7E"),"*","%2A"),"?","%3F"),'Rules'!$G$7:$G$26,0))),"Unit mismatch",IF(IF(NOT(ISNUMBER(D1771)),TRUE,OR(D1771&lt;0,D1771&gt;999999999,ROUND(D1771,3)&lt;&gt;D1771)),"Invalid current reading",IF(AND(E1771&lt;&gt;"",IF(NOT(ISNUMBER(E1771)),TRUE,OR(E1771&lt;0,E1771&gt;999999999,ROUND(E1771,3)&lt;&gt;E1771))),"Invalid previous reading",IF(IF(NOT(ISNUMBER(F1771)),TRUE,OR(F1771&lt;0,F1771&gt;999999999,ROUND(F1771,3)&lt;&gt;F1771)),"Invalid last service",IF(AND(E1771&lt;&gt;"",D1771&lt;E1771),"Decreased reading",IF(F1771&gt;D1771,"Last service above current","")))))))))))))</x:f>
      </x:c>
      <x:c r="L1771" s="6" t="str">
        <x:f>IF(AND(NOT(COUNTA(A1771:F1771)=0),K1771=""),INDEX('Rules'!$C$7:$C$26,MATCH(SUBSTITUTE(SUBSTITUTE(SUBSTITUTE(SUBSTITUTE("type:"&amp;B1771,"%","%25"),"~","%7E"),"*","%2A"),"?","%3F"),'Rules'!$G$7:$G$26,0)),"")</x:f>
      </x:c>
      <x:c r="M1771" s="6" t="str">
        <x:f>IF(AND(NOT(COUNTA(A1771:F1771)=0),K1771=""),INDEX('Rules'!$D$7:$D$26,MATCH(SUBSTITUTE(SUBSTITUTE(SUBSTITUTE(SUBSTITUTE("type:"&amp;B1771,"%","%25"),"~","%7E"),"*","%2A"),"?","%3F"),'Rules'!$G$7:$G$26,0)),"")</x:f>
      </x:c>
      <x:c r="N1771" s="5" t="str">
        <x:f>IF(COUNTA(A1771:F1771)=0,"",SUBSTITUTE(SUBSTITUTE(SUBSTITUTE(SUBSTITUTE("id:"&amp;A1771,"%","%25"),"~","%7E"),"*","%2A"),"?","%3F"))</x:f>
      </x:c>
    </x:row>
    <x:row r="1772" ht="22" customHeight="1">
      <x:c r="A1772" s="3"/>
      <x:c r="B1772" s="3"/>
      <x:c r="C1772" s="3"/>
      <x:c r="D1772" s="4"/>
      <x:c r="E1772" s="4"/>
      <x:c r="F1772" s="4"/>
      <x:c r="G1772" s="5" t="str">
        <x:f>IF(COUNTA(A1772:F1772)=0,"",IF(K1772&lt;&gt;"","Review",IF(I1772&lt;0,"Overdue",IF(I1772=0,"Due now",IF(I1772&lt;=M1772,"Due soon","Not due")))))</x:f>
      </x:c>
      <x:c r="H1772" s="5" t="str">
        <x:f>IF(OR(COUNTA(A1772:F1772)=0,COUNTIFS('Rules'!$G$7:$G$26,"="&amp;(SUBSTITUTE(SUBSTITUTE(SUBSTITUTE(SUBSTITUTE("type:"&amp;B1772,"%","%25"),"~","%7E"),"*","%2A"),"?","%3F")))&lt;&gt;1),"",IF(OR(INDEX('Rules'!$B$7:$B$26,MATCH(SUBSTITUTE(SUBSTITUTE(SUBSTITUTE(SUBSTITUTE("type:"&amp;B1772,"%","%25"),"~","%7E"),"*","%2A"),"?","%3F"),'Rules'!$G$7:$G$26,0))="hours",INDEX('Rules'!$B$7:$B$26,MATCH(SUBSTITUTE(SUBSTITUTE(SUBSTITUTE(SUBSTITUTE("type:"&amp;B1772,"%","%25"),"~","%7E"),"*","%2A"),"?","%3F"),'Rules'!$G$7:$G$26,0))="km"),INDEX('Rules'!$B$7:$B$26,MATCH(SUBSTITUTE(SUBSTITUTE(SUBSTITUTE(SUBSTITUTE("type:"&amp;B1772,"%","%25"),"~","%7E"),"*","%2A"),"?","%3F"),'Rules'!$G$7:$G$26,0)),""))</x:f>
      </x:c>
      <x:c r="I1772" s="6" t="str">
        <x:f>IF(AND(NOT(COUNTA(A1772:F1772)=0),K1772=""),ROUND(J1772-D1772,3),"")</x:f>
      </x:c>
      <x:c r="J1772" s="6" t="str">
        <x:f>IF(AND(NOT(COUNTA(A1772:F1772)=0),K1772=""),ROUND(F1772+L1772,3),"")</x:f>
      </x:c>
      <x:c r="K1772" s="5" t="str">
        <x:f>IF(COUNTA(A1772:F1772)=0,"",IF(A1772="","Missing equipment ID",IF(COUNTIFS($N$8:$N$2007,"="&amp;N1772)&gt;1,"Duplicate equipment ID",IF(B1772="","Missing type",IF(COUNTIFS('Rules'!$G$7:$G$26,"="&amp;(SUBSTITUTE(SUBSTITUTE(SUBSTITUTE(SUBSTITUTE("type:"&amp;B1772,"%","%25"),"~","%7E"),"*","%2A"),"?","%3F")))=0,"Unknown type",IF(COUNTIFS('Rules'!$G$7:$G$26,"="&amp;(SUBSTITUTE(SUBSTITUTE(SUBSTITUTE(SUBSTITUTE("type:"&amp;B1772,"%","%25"),"~","%7E"),"*","%2A"),"?","%3F")))&gt;1,"Duplicate type",IF(INDEX('Rules'!$F$7:$F$26,MATCH(SUBSTITUTE(SUBSTITUTE(SUBSTITUTE(SUBSTITUTE("type:"&amp;B1772,"%","%25"),"~","%7E"),"*","%2A"),"?","%3F"),'Rules'!$G$7:$G$26,0))&lt;&gt;"",INDEX('Rules'!$F$7:$F$26,MATCH(SUBSTITUTE(SUBSTITUTE(SUBSTITUTE(SUBSTITUTE("type:"&amp;B1772,"%","%25"),"~","%7E"),"*","%2A"),"?","%3F"),'Rules'!$G$7:$G$26,0)),IF(AND(C1772&lt;&gt;"",C1772&lt;&gt;INDEX('Rules'!$B$7:$B$26,MATCH(SUBSTITUTE(SUBSTITUTE(SUBSTITUTE(SUBSTITUTE("type:"&amp;B1772,"%","%25"),"~","%7E"),"*","%2A"),"?","%3F"),'Rules'!$G$7:$G$26,0))),"Unit mismatch",IF(IF(NOT(ISNUMBER(D1772)),TRUE,OR(D1772&lt;0,D1772&gt;999999999,ROUND(D1772,3)&lt;&gt;D1772)),"Invalid current reading",IF(AND(E1772&lt;&gt;"",IF(NOT(ISNUMBER(E1772)),TRUE,OR(E1772&lt;0,E1772&gt;999999999,ROUND(E1772,3)&lt;&gt;E1772))),"Invalid previous reading",IF(IF(NOT(ISNUMBER(F1772)),TRUE,OR(F1772&lt;0,F1772&gt;999999999,ROUND(F1772,3)&lt;&gt;F1772)),"Invalid last service",IF(AND(E1772&lt;&gt;"",D1772&lt;E1772),"Decreased reading",IF(F1772&gt;D1772,"Last service above current","")))))))))))))</x:f>
      </x:c>
      <x:c r="L1772" s="6" t="str">
        <x:f>IF(AND(NOT(COUNTA(A1772:F1772)=0),K1772=""),INDEX('Rules'!$C$7:$C$26,MATCH(SUBSTITUTE(SUBSTITUTE(SUBSTITUTE(SUBSTITUTE("type:"&amp;B1772,"%","%25"),"~","%7E"),"*","%2A"),"?","%3F"),'Rules'!$G$7:$G$26,0)),"")</x:f>
      </x:c>
      <x:c r="M1772" s="6" t="str">
        <x:f>IF(AND(NOT(COUNTA(A1772:F1772)=0),K1772=""),INDEX('Rules'!$D$7:$D$26,MATCH(SUBSTITUTE(SUBSTITUTE(SUBSTITUTE(SUBSTITUTE("type:"&amp;B1772,"%","%25"),"~","%7E"),"*","%2A"),"?","%3F"),'Rules'!$G$7:$G$26,0)),"")</x:f>
      </x:c>
      <x:c r="N1772" s="5" t="str">
        <x:f>IF(COUNTA(A1772:F1772)=0,"",SUBSTITUTE(SUBSTITUTE(SUBSTITUTE(SUBSTITUTE("id:"&amp;A1772,"%","%25"),"~","%7E"),"*","%2A"),"?","%3F"))</x:f>
      </x:c>
    </x:row>
    <x:row r="1773" ht="22" customHeight="1">
      <x:c r="A1773" s="3"/>
      <x:c r="B1773" s="3"/>
      <x:c r="C1773" s="3"/>
      <x:c r="D1773" s="4"/>
      <x:c r="E1773" s="4"/>
      <x:c r="F1773" s="4"/>
      <x:c r="G1773" s="5" t="str">
        <x:f>IF(COUNTA(A1773:F1773)=0,"",IF(K1773&lt;&gt;"","Review",IF(I1773&lt;0,"Overdue",IF(I1773=0,"Due now",IF(I1773&lt;=M1773,"Due soon","Not due")))))</x:f>
      </x:c>
      <x:c r="H1773" s="5" t="str">
        <x:f>IF(OR(COUNTA(A1773:F1773)=0,COUNTIFS('Rules'!$G$7:$G$26,"="&amp;(SUBSTITUTE(SUBSTITUTE(SUBSTITUTE(SUBSTITUTE("type:"&amp;B1773,"%","%25"),"~","%7E"),"*","%2A"),"?","%3F")))&lt;&gt;1),"",IF(OR(INDEX('Rules'!$B$7:$B$26,MATCH(SUBSTITUTE(SUBSTITUTE(SUBSTITUTE(SUBSTITUTE("type:"&amp;B1773,"%","%25"),"~","%7E"),"*","%2A"),"?","%3F"),'Rules'!$G$7:$G$26,0))="hours",INDEX('Rules'!$B$7:$B$26,MATCH(SUBSTITUTE(SUBSTITUTE(SUBSTITUTE(SUBSTITUTE("type:"&amp;B1773,"%","%25"),"~","%7E"),"*","%2A"),"?","%3F"),'Rules'!$G$7:$G$26,0))="km"),INDEX('Rules'!$B$7:$B$26,MATCH(SUBSTITUTE(SUBSTITUTE(SUBSTITUTE(SUBSTITUTE("type:"&amp;B1773,"%","%25"),"~","%7E"),"*","%2A"),"?","%3F"),'Rules'!$G$7:$G$26,0)),""))</x:f>
      </x:c>
      <x:c r="I1773" s="6" t="str">
        <x:f>IF(AND(NOT(COUNTA(A1773:F1773)=0),K1773=""),ROUND(J1773-D1773,3),"")</x:f>
      </x:c>
      <x:c r="J1773" s="6" t="str">
        <x:f>IF(AND(NOT(COUNTA(A1773:F1773)=0),K1773=""),ROUND(F1773+L1773,3),"")</x:f>
      </x:c>
      <x:c r="K1773" s="5" t="str">
        <x:f>IF(COUNTA(A1773:F1773)=0,"",IF(A1773="","Missing equipment ID",IF(COUNTIFS($N$8:$N$2007,"="&amp;N1773)&gt;1,"Duplicate equipment ID",IF(B1773="","Missing type",IF(COUNTIFS('Rules'!$G$7:$G$26,"="&amp;(SUBSTITUTE(SUBSTITUTE(SUBSTITUTE(SUBSTITUTE("type:"&amp;B1773,"%","%25"),"~","%7E"),"*","%2A"),"?","%3F")))=0,"Unknown type",IF(COUNTIFS('Rules'!$G$7:$G$26,"="&amp;(SUBSTITUTE(SUBSTITUTE(SUBSTITUTE(SUBSTITUTE("type:"&amp;B1773,"%","%25"),"~","%7E"),"*","%2A"),"?","%3F")))&gt;1,"Duplicate type",IF(INDEX('Rules'!$F$7:$F$26,MATCH(SUBSTITUTE(SUBSTITUTE(SUBSTITUTE(SUBSTITUTE("type:"&amp;B1773,"%","%25"),"~","%7E"),"*","%2A"),"?","%3F"),'Rules'!$G$7:$G$26,0))&lt;&gt;"",INDEX('Rules'!$F$7:$F$26,MATCH(SUBSTITUTE(SUBSTITUTE(SUBSTITUTE(SUBSTITUTE("type:"&amp;B1773,"%","%25"),"~","%7E"),"*","%2A"),"?","%3F"),'Rules'!$G$7:$G$26,0)),IF(AND(C1773&lt;&gt;"",C1773&lt;&gt;INDEX('Rules'!$B$7:$B$26,MATCH(SUBSTITUTE(SUBSTITUTE(SUBSTITUTE(SUBSTITUTE("type:"&amp;B1773,"%","%25"),"~","%7E"),"*","%2A"),"?","%3F"),'Rules'!$G$7:$G$26,0))),"Unit mismatch",IF(IF(NOT(ISNUMBER(D1773)),TRUE,OR(D1773&lt;0,D1773&gt;999999999,ROUND(D1773,3)&lt;&gt;D1773)),"Invalid current reading",IF(AND(E1773&lt;&gt;"",IF(NOT(ISNUMBER(E1773)),TRUE,OR(E1773&lt;0,E1773&gt;999999999,ROUND(E1773,3)&lt;&gt;E1773))),"Invalid previous reading",IF(IF(NOT(ISNUMBER(F1773)),TRUE,OR(F1773&lt;0,F1773&gt;999999999,ROUND(F1773,3)&lt;&gt;F1773)),"Invalid last service",IF(AND(E1773&lt;&gt;"",D1773&lt;E1773),"Decreased reading",IF(F1773&gt;D1773,"Last service above current","")))))))))))))</x:f>
      </x:c>
      <x:c r="L1773" s="6" t="str">
        <x:f>IF(AND(NOT(COUNTA(A1773:F1773)=0),K1773=""),INDEX('Rules'!$C$7:$C$26,MATCH(SUBSTITUTE(SUBSTITUTE(SUBSTITUTE(SUBSTITUTE("type:"&amp;B1773,"%","%25"),"~","%7E"),"*","%2A"),"?","%3F"),'Rules'!$G$7:$G$26,0)),"")</x:f>
      </x:c>
      <x:c r="M1773" s="6" t="str">
        <x:f>IF(AND(NOT(COUNTA(A1773:F1773)=0),K1773=""),INDEX('Rules'!$D$7:$D$26,MATCH(SUBSTITUTE(SUBSTITUTE(SUBSTITUTE(SUBSTITUTE("type:"&amp;B1773,"%","%25"),"~","%7E"),"*","%2A"),"?","%3F"),'Rules'!$G$7:$G$26,0)),"")</x:f>
      </x:c>
      <x:c r="N1773" s="5" t="str">
        <x:f>IF(COUNTA(A1773:F1773)=0,"",SUBSTITUTE(SUBSTITUTE(SUBSTITUTE(SUBSTITUTE("id:"&amp;A1773,"%","%25"),"~","%7E"),"*","%2A"),"?","%3F"))</x:f>
      </x:c>
    </x:row>
    <x:row r="1774" ht="22" customHeight="1">
      <x:c r="A1774" s="3"/>
      <x:c r="B1774" s="3"/>
      <x:c r="C1774" s="3"/>
      <x:c r="D1774" s="4"/>
      <x:c r="E1774" s="4"/>
      <x:c r="F1774" s="4"/>
      <x:c r="G1774" s="5" t="str">
        <x:f>IF(COUNTA(A1774:F1774)=0,"",IF(K1774&lt;&gt;"","Review",IF(I1774&lt;0,"Overdue",IF(I1774=0,"Due now",IF(I1774&lt;=M1774,"Due soon","Not due")))))</x:f>
      </x:c>
      <x:c r="H1774" s="5" t="str">
        <x:f>IF(OR(COUNTA(A1774:F1774)=0,COUNTIFS('Rules'!$G$7:$G$26,"="&amp;(SUBSTITUTE(SUBSTITUTE(SUBSTITUTE(SUBSTITUTE("type:"&amp;B1774,"%","%25"),"~","%7E"),"*","%2A"),"?","%3F")))&lt;&gt;1),"",IF(OR(INDEX('Rules'!$B$7:$B$26,MATCH(SUBSTITUTE(SUBSTITUTE(SUBSTITUTE(SUBSTITUTE("type:"&amp;B1774,"%","%25"),"~","%7E"),"*","%2A"),"?","%3F"),'Rules'!$G$7:$G$26,0))="hours",INDEX('Rules'!$B$7:$B$26,MATCH(SUBSTITUTE(SUBSTITUTE(SUBSTITUTE(SUBSTITUTE("type:"&amp;B1774,"%","%25"),"~","%7E"),"*","%2A"),"?","%3F"),'Rules'!$G$7:$G$26,0))="km"),INDEX('Rules'!$B$7:$B$26,MATCH(SUBSTITUTE(SUBSTITUTE(SUBSTITUTE(SUBSTITUTE("type:"&amp;B1774,"%","%25"),"~","%7E"),"*","%2A"),"?","%3F"),'Rules'!$G$7:$G$26,0)),""))</x:f>
      </x:c>
      <x:c r="I1774" s="6" t="str">
        <x:f>IF(AND(NOT(COUNTA(A1774:F1774)=0),K1774=""),ROUND(J1774-D1774,3),"")</x:f>
      </x:c>
      <x:c r="J1774" s="6" t="str">
        <x:f>IF(AND(NOT(COUNTA(A1774:F1774)=0),K1774=""),ROUND(F1774+L1774,3),"")</x:f>
      </x:c>
      <x:c r="K1774" s="5" t="str">
        <x:f>IF(COUNTA(A1774:F1774)=0,"",IF(A1774="","Missing equipment ID",IF(COUNTIFS($N$8:$N$2007,"="&amp;N1774)&gt;1,"Duplicate equipment ID",IF(B1774="","Missing type",IF(COUNTIFS('Rules'!$G$7:$G$26,"="&amp;(SUBSTITUTE(SUBSTITUTE(SUBSTITUTE(SUBSTITUTE("type:"&amp;B1774,"%","%25"),"~","%7E"),"*","%2A"),"?","%3F")))=0,"Unknown type",IF(COUNTIFS('Rules'!$G$7:$G$26,"="&amp;(SUBSTITUTE(SUBSTITUTE(SUBSTITUTE(SUBSTITUTE("type:"&amp;B1774,"%","%25"),"~","%7E"),"*","%2A"),"?","%3F")))&gt;1,"Duplicate type",IF(INDEX('Rules'!$F$7:$F$26,MATCH(SUBSTITUTE(SUBSTITUTE(SUBSTITUTE(SUBSTITUTE("type:"&amp;B1774,"%","%25"),"~","%7E"),"*","%2A"),"?","%3F"),'Rules'!$G$7:$G$26,0))&lt;&gt;"",INDEX('Rules'!$F$7:$F$26,MATCH(SUBSTITUTE(SUBSTITUTE(SUBSTITUTE(SUBSTITUTE("type:"&amp;B1774,"%","%25"),"~","%7E"),"*","%2A"),"?","%3F"),'Rules'!$G$7:$G$26,0)),IF(AND(C1774&lt;&gt;"",C1774&lt;&gt;INDEX('Rules'!$B$7:$B$26,MATCH(SUBSTITUTE(SUBSTITUTE(SUBSTITUTE(SUBSTITUTE("type:"&amp;B1774,"%","%25"),"~","%7E"),"*","%2A"),"?","%3F"),'Rules'!$G$7:$G$26,0))),"Unit mismatch",IF(IF(NOT(ISNUMBER(D1774)),TRUE,OR(D1774&lt;0,D1774&gt;999999999,ROUND(D1774,3)&lt;&gt;D1774)),"Invalid current reading",IF(AND(E1774&lt;&gt;"",IF(NOT(ISNUMBER(E1774)),TRUE,OR(E1774&lt;0,E1774&gt;999999999,ROUND(E1774,3)&lt;&gt;E1774))),"Invalid previous reading",IF(IF(NOT(ISNUMBER(F1774)),TRUE,OR(F1774&lt;0,F1774&gt;999999999,ROUND(F1774,3)&lt;&gt;F1774)),"Invalid last service",IF(AND(E1774&lt;&gt;"",D1774&lt;E1774),"Decreased reading",IF(F1774&gt;D1774,"Last service above current","")))))))))))))</x:f>
      </x:c>
      <x:c r="L1774" s="6" t="str">
        <x:f>IF(AND(NOT(COUNTA(A1774:F1774)=0),K1774=""),INDEX('Rules'!$C$7:$C$26,MATCH(SUBSTITUTE(SUBSTITUTE(SUBSTITUTE(SUBSTITUTE("type:"&amp;B1774,"%","%25"),"~","%7E"),"*","%2A"),"?","%3F"),'Rules'!$G$7:$G$26,0)),"")</x:f>
      </x:c>
      <x:c r="M1774" s="6" t="str">
        <x:f>IF(AND(NOT(COUNTA(A1774:F1774)=0),K1774=""),INDEX('Rules'!$D$7:$D$26,MATCH(SUBSTITUTE(SUBSTITUTE(SUBSTITUTE(SUBSTITUTE("type:"&amp;B1774,"%","%25"),"~","%7E"),"*","%2A"),"?","%3F"),'Rules'!$G$7:$G$26,0)),"")</x:f>
      </x:c>
      <x:c r="N1774" s="5" t="str">
        <x:f>IF(COUNTA(A1774:F1774)=0,"",SUBSTITUTE(SUBSTITUTE(SUBSTITUTE(SUBSTITUTE("id:"&amp;A1774,"%","%25"),"~","%7E"),"*","%2A"),"?","%3F"))</x:f>
      </x:c>
    </x:row>
    <x:row r="1775" ht="22" customHeight="1">
      <x:c r="A1775" s="3"/>
      <x:c r="B1775" s="3"/>
      <x:c r="C1775" s="3"/>
      <x:c r="D1775" s="4"/>
      <x:c r="E1775" s="4"/>
      <x:c r="F1775" s="4"/>
      <x:c r="G1775" s="5" t="str">
        <x:f>IF(COUNTA(A1775:F1775)=0,"",IF(K1775&lt;&gt;"","Review",IF(I1775&lt;0,"Overdue",IF(I1775=0,"Due now",IF(I1775&lt;=M1775,"Due soon","Not due")))))</x:f>
      </x:c>
      <x:c r="H1775" s="5" t="str">
        <x:f>IF(OR(COUNTA(A1775:F1775)=0,COUNTIFS('Rules'!$G$7:$G$26,"="&amp;(SUBSTITUTE(SUBSTITUTE(SUBSTITUTE(SUBSTITUTE("type:"&amp;B1775,"%","%25"),"~","%7E"),"*","%2A"),"?","%3F")))&lt;&gt;1),"",IF(OR(INDEX('Rules'!$B$7:$B$26,MATCH(SUBSTITUTE(SUBSTITUTE(SUBSTITUTE(SUBSTITUTE("type:"&amp;B1775,"%","%25"),"~","%7E"),"*","%2A"),"?","%3F"),'Rules'!$G$7:$G$26,0))="hours",INDEX('Rules'!$B$7:$B$26,MATCH(SUBSTITUTE(SUBSTITUTE(SUBSTITUTE(SUBSTITUTE("type:"&amp;B1775,"%","%25"),"~","%7E"),"*","%2A"),"?","%3F"),'Rules'!$G$7:$G$26,0))="km"),INDEX('Rules'!$B$7:$B$26,MATCH(SUBSTITUTE(SUBSTITUTE(SUBSTITUTE(SUBSTITUTE("type:"&amp;B1775,"%","%25"),"~","%7E"),"*","%2A"),"?","%3F"),'Rules'!$G$7:$G$26,0)),""))</x:f>
      </x:c>
      <x:c r="I1775" s="6" t="str">
        <x:f>IF(AND(NOT(COUNTA(A1775:F1775)=0),K1775=""),ROUND(J1775-D1775,3),"")</x:f>
      </x:c>
      <x:c r="J1775" s="6" t="str">
        <x:f>IF(AND(NOT(COUNTA(A1775:F1775)=0),K1775=""),ROUND(F1775+L1775,3),"")</x:f>
      </x:c>
      <x:c r="K1775" s="5" t="str">
        <x:f>IF(COUNTA(A1775:F1775)=0,"",IF(A1775="","Missing equipment ID",IF(COUNTIFS($N$8:$N$2007,"="&amp;N1775)&gt;1,"Duplicate equipment ID",IF(B1775="","Missing type",IF(COUNTIFS('Rules'!$G$7:$G$26,"="&amp;(SUBSTITUTE(SUBSTITUTE(SUBSTITUTE(SUBSTITUTE("type:"&amp;B1775,"%","%25"),"~","%7E"),"*","%2A"),"?","%3F")))=0,"Unknown type",IF(COUNTIFS('Rules'!$G$7:$G$26,"="&amp;(SUBSTITUTE(SUBSTITUTE(SUBSTITUTE(SUBSTITUTE("type:"&amp;B1775,"%","%25"),"~","%7E"),"*","%2A"),"?","%3F")))&gt;1,"Duplicate type",IF(INDEX('Rules'!$F$7:$F$26,MATCH(SUBSTITUTE(SUBSTITUTE(SUBSTITUTE(SUBSTITUTE("type:"&amp;B1775,"%","%25"),"~","%7E"),"*","%2A"),"?","%3F"),'Rules'!$G$7:$G$26,0))&lt;&gt;"",INDEX('Rules'!$F$7:$F$26,MATCH(SUBSTITUTE(SUBSTITUTE(SUBSTITUTE(SUBSTITUTE("type:"&amp;B1775,"%","%25"),"~","%7E"),"*","%2A"),"?","%3F"),'Rules'!$G$7:$G$26,0)),IF(AND(C1775&lt;&gt;"",C1775&lt;&gt;INDEX('Rules'!$B$7:$B$26,MATCH(SUBSTITUTE(SUBSTITUTE(SUBSTITUTE(SUBSTITUTE("type:"&amp;B1775,"%","%25"),"~","%7E"),"*","%2A"),"?","%3F"),'Rules'!$G$7:$G$26,0))),"Unit mismatch",IF(IF(NOT(ISNUMBER(D1775)),TRUE,OR(D1775&lt;0,D1775&gt;999999999,ROUND(D1775,3)&lt;&gt;D1775)),"Invalid current reading",IF(AND(E1775&lt;&gt;"",IF(NOT(ISNUMBER(E1775)),TRUE,OR(E1775&lt;0,E1775&gt;999999999,ROUND(E1775,3)&lt;&gt;E1775))),"Invalid previous reading",IF(IF(NOT(ISNUMBER(F1775)),TRUE,OR(F1775&lt;0,F1775&gt;999999999,ROUND(F1775,3)&lt;&gt;F1775)),"Invalid last service",IF(AND(E1775&lt;&gt;"",D1775&lt;E1775),"Decreased reading",IF(F1775&gt;D1775,"Last service above current","")))))))))))))</x:f>
      </x:c>
      <x:c r="L1775" s="6" t="str">
        <x:f>IF(AND(NOT(COUNTA(A1775:F1775)=0),K1775=""),INDEX('Rules'!$C$7:$C$26,MATCH(SUBSTITUTE(SUBSTITUTE(SUBSTITUTE(SUBSTITUTE("type:"&amp;B1775,"%","%25"),"~","%7E"),"*","%2A"),"?","%3F"),'Rules'!$G$7:$G$26,0)),"")</x:f>
      </x:c>
      <x:c r="M1775" s="6" t="str">
        <x:f>IF(AND(NOT(COUNTA(A1775:F1775)=0),K1775=""),INDEX('Rules'!$D$7:$D$26,MATCH(SUBSTITUTE(SUBSTITUTE(SUBSTITUTE(SUBSTITUTE("type:"&amp;B1775,"%","%25"),"~","%7E"),"*","%2A"),"?","%3F"),'Rules'!$G$7:$G$26,0)),"")</x:f>
      </x:c>
      <x:c r="N1775" s="5" t="str">
        <x:f>IF(COUNTA(A1775:F1775)=0,"",SUBSTITUTE(SUBSTITUTE(SUBSTITUTE(SUBSTITUTE("id:"&amp;A1775,"%","%25"),"~","%7E"),"*","%2A"),"?","%3F"))</x:f>
      </x:c>
    </x:row>
    <x:row r="1776" ht="22" customHeight="1">
      <x:c r="A1776" s="3"/>
      <x:c r="B1776" s="3"/>
      <x:c r="C1776" s="3"/>
      <x:c r="D1776" s="4"/>
      <x:c r="E1776" s="4"/>
      <x:c r="F1776" s="4"/>
      <x:c r="G1776" s="5" t="str">
        <x:f>IF(COUNTA(A1776:F1776)=0,"",IF(K1776&lt;&gt;"","Review",IF(I1776&lt;0,"Overdue",IF(I1776=0,"Due now",IF(I1776&lt;=M1776,"Due soon","Not due")))))</x:f>
      </x:c>
      <x:c r="H1776" s="5" t="str">
        <x:f>IF(OR(COUNTA(A1776:F1776)=0,COUNTIFS('Rules'!$G$7:$G$26,"="&amp;(SUBSTITUTE(SUBSTITUTE(SUBSTITUTE(SUBSTITUTE("type:"&amp;B1776,"%","%25"),"~","%7E"),"*","%2A"),"?","%3F")))&lt;&gt;1),"",IF(OR(INDEX('Rules'!$B$7:$B$26,MATCH(SUBSTITUTE(SUBSTITUTE(SUBSTITUTE(SUBSTITUTE("type:"&amp;B1776,"%","%25"),"~","%7E"),"*","%2A"),"?","%3F"),'Rules'!$G$7:$G$26,0))="hours",INDEX('Rules'!$B$7:$B$26,MATCH(SUBSTITUTE(SUBSTITUTE(SUBSTITUTE(SUBSTITUTE("type:"&amp;B1776,"%","%25"),"~","%7E"),"*","%2A"),"?","%3F"),'Rules'!$G$7:$G$26,0))="km"),INDEX('Rules'!$B$7:$B$26,MATCH(SUBSTITUTE(SUBSTITUTE(SUBSTITUTE(SUBSTITUTE("type:"&amp;B1776,"%","%25"),"~","%7E"),"*","%2A"),"?","%3F"),'Rules'!$G$7:$G$26,0)),""))</x:f>
      </x:c>
      <x:c r="I1776" s="6" t="str">
        <x:f>IF(AND(NOT(COUNTA(A1776:F1776)=0),K1776=""),ROUND(J1776-D1776,3),"")</x:f>
      </x:c>
      <x:c r="J1776" s="6" t="str">
        <x:f>IF(AND(NOT(COUNTA(A1776:F1776)=0),K1776=""),ROUND(F1776+L1776,3),"")</x:f>
      </x:c>
      <x:c r="K1776" s="5" t="str">
        <x:f>IF(COUNTA(A1776:F1776)=0,"",IF(A1776="","Missing equipment ID",IF(COUNTIFS($N$8:$N$2007,"="&amp;N1776)&gt;1,"Duplicate equipment ID",IF(B1776="","Missing type",IF(COUNTIFS('Rules'!$G$7:$G$26,"="&amp;(SUBSTITUTE(SUBSTITUTE(SUBSTITUTE(SUBSTITUTE("type:"&amp;B1776,"%","%25"),"~","%7E"),"*","%2A"),"?","%3F")))=0,"Unknown type",IF(COUNTIFS('Rules'!$G$7:$G$26,"="&amp;(SUBSTITUTE(SUBSTITUTE(SUBSTITUTE(SUBSTITUTE("type:"&amp;B1776,"%","%25"),"~","%7E"),"*","%2A"),"?","%3F")))&gt;1,"Duplicate type",IF(INDEX('Rules'!$F$7:$F$26,MATCH(SUBSTITUTE(SUBSTITUTE(SUBSTITUTE(SUBSTITUTE("type:"&amp;B1776,"%","%25"),"~","%7E"),"*","%2A"),"?","%3F"),'Rules'!$G$7:$G$26,0))&lt;&gt;"",INDEX('Rules'!$F$7:$F$26,MATCH(SUBSTITUTE(SUBSTITUTE(SUBSTITUTE(SUBSTITUTE("type:"&amp;B1776,"%","%25"),"~","%7E"),"*","%2A"),"?","%3F"),'Rules'!$G$7:$G$26,0)),IF(AND(C1776&lt;&gt;"",C1776&lt;&gt;INDEX('Rules'!$B$7:$B$26,MATCH(SUBSTITUTE(SUBSTITUTE(SUBSTITUTE(SUBSTITUTE("type:"&amp;B1776,"%","%25"),"~","%7E"),"*","%2A"),"?","%3F"),'Rules'!$G$7:$G$26,0))),"Unit mismatch",IF(IF(NOT(ISNUMBER(D1776)),TRUE,OR(D1776&lt;0,D1776&gt;999999999,ROUND(D1776,3)&lt;&gt;D1776)),"Invalid current reading",IF(AND(E1776&lt;&gt;"",IF(NOT(ISNUMBER(E1776)),TRUE,OR(E1776&lt;0,E1776&gt;999999999,ROUND(E1776,3)&lt;&gt;E1776))),"Invalid previous reading",IF(IF(NOT(ISNUMBER(F1776)),TRUE,OR(F1776&lt;0,F1776&gt;999999999,ROUND(F1776,3)&lt;&gt;F1776)),"Invalid last service",IF(AND(E1776&lt;&gt;"",D1776&lt;E1776),"Decreased reading",IF(F1776&gt;D1776,"Last service above current","")))))))))))))</x:f>
      </x:c>
      <x:c r="L1776" s="6" t="str">
        <x:f>IF(AND(NOT(COUNTA(A1776:F1776)=0),K1776=""),INDEX('Rules'!$C$7:$C$26,MATCH(SUBSTITUTE(SUBSTITUTE(SUBSTITUTE(SUBSTITUTE("type:"&amp;B1776,"%","%25"),"~","%7E"),"*","%2A"),"?","%3F"),'Rules'!$G$7:$G$26,0)),"")</x:f>
      </x:c>
      <x:c r="M1776" s="6" t="str">
        <x:f>IF(AND(NOT(COUNTA(A1776:F1776)=0),K1776=""),INDEX('Rules'!$D$7:$D$26,MATCH(SUBSTITUTE(SUBSTITUTE(SUBSTITUTE(SUBSTITUTE("type:"&amp;B1776,"%","%25"),"~","%7E"),"*","%2A"),"?","%3F"),'Rules'!$G$7:$G$26,0)),"")</x:f>
      </x:c>
      <x:c r="N1776" s="5" t="str">
        <x:f>IF(COUNTA(A1776:F1776)=0,"",SUBSTITUTE(SUBSTITUTE(SUBSTITUTE(SUBSTITUTE("id:"&amp;A1776,"%","%25"),"~","%7E"),"*","%2A"),"?","%3F"))</x:f>
      </x:c>
    </x:row>
    <x:row r="1777" ht="22" customHeight="1">
      <x:c r="A1777" s="3"/>
      <x:c r="B1777" s="3"/>
      <x:c r="C1777" s="3"/>
      <x:c r="D1777" s="4"/>
      <x:c r="E1777" s="4"/>
      <x:c r="F1777" s="4"/>
      <x:c r="G1777" s="5" t="str">
        <x:f>IF(COUNTA(A1777:F1777)=0,"",IF(K1777&lt;&gt;"","Review",IF(I1777&lt;0,"Overdue",IF(I1777=0,"Due now",IF(I1777&lt;=M1777,"Due soon","Not due")))))</x:f>
      </x:c>
      <x:c r="H1777" s="5" t="str">
        <x:f>IF(OR(COUNTA(A1777:F1777)=0,COUNTIFS('Rules'!$G$7:$G$26,"="&amp;(SUBSTITUTE(SUBSTITUTE(SUBSTITUTE(SUBSTITUTE("type:"&amp;B1777,"%","%25"),"~","%7E"),"*","%2A"),"?","%3F")))&lt;&gt;1),"",IF(OR(INDEX('Rules'!$B$7:$B$26,MATCH(SUBSTITUTE(SUBSTITUTE(SUBSTITUTE(SUBSTITUTE("type:"&amp;B1777,"%","%25"),"~","%7E"),"*","%2A"),"?","%3F"),'Rules'!$G$7:$G$26,0))="hours",INDEX('Rules'!$B$7:$B$26,MATCH(SUBSTITUTE(SUBSTITUTE(SUBSTITUTE(SUBSTITUTE("type:"&amp;B1777,"%","%25"),"~","%7E"),"*","%2A"),"?","%3F"),'Rules'!$G$7:$G$26,0))="km"),INDEX('Rules'!$B$7:$B$26,MATCH(SUBSTITUTE(SUBSTITUTE(SUBSTITUTE(SUBSTITUTE("type:"&amp;B1777,"%","%25"),"~","%7E"),"*","%2A"),"?","%3F"),'Rules'!$G$7:$G$26,0)),""))</x:f>
      </x:c>
      <x:c r="I1777" s="6" t="str">
        <x:f>IF(AND(NOT(COUNTA(A1777:F1777)=0),K1777=""),ROUND(J1777-D1777,3),"")</x:f>
      </x:c>
      <x:c r="J1777" s="6" t="str">
        <x:f>IF(AND(NOT(COUNTA(A1777:F1777)=0),K1777=""),ROUND(F1777+L1777,3),"")</x:f>
      </x:c>
      <x:c r="K1777" s="5" t="str">
        <x:f>IF(COUNTA(A1777:F1777)=0,"",IF(A1777="","Missing equipment ID",IF(COUNTIFS($N$8:$N$2007,"="&amp;N1777)&gt;1,"Duplicate equipment ID",IF(B1777="","Missing type",IF(COUNTIFS('Rules'!$G$7:$G$26,"="&amp;(SUBSTITUTE(SUBSTITUTE(SUBSTITUTE(SUBSTITUTE("type:"&amp;B1777,"%","%25"),"~","%7E"),"*","%2A"),"?","%3F")))=0,"Unknown type",IF(COUNTIFS('Rules'!$G$7:$G$26,"="&amp;(SUBSTITUTE(SUBSTITUTE(SUBSTITUTE(SUBSTITUTE("type:"&amp;B1777,"%","%25"),"~","%7E"),"*","%2A"),"?","%3F")))&gt;1,"Duplicate type",IF(INDEX('Rules'!$F$7:$F$26,MATCH(SUBSTITUTE(SUBSTITUTE(SUBSTITUTE(SUBSTITUTE("type:"&amp;B1777,"%","%25"),"~","%7E"),"*","%2A"),"?","%3F"),'Rules'!$G$7:$G$26,0))&lt;&gt;"",INDEX('Rules'!$F$7:$F$26,MATCH(SUBSTITUTE(SUBSTITUTE(SUBSTITUTE(SUBSTITUTE("type:"&amp;B1777,"%","%25"),"~","%7E"),"*","%2A"),"?","%3F"),'Rules'!$G$7:$G$26,0)),IF(AND(C1777&lt;&gt;"",C1777&lt;&gt;INDEX('Rules'!$B$7:$B$26,MATCH(SUBSTITUTE(SUBSTITUTE(SUBSTITUTE(SUBSTITUTE("type:"&amp;B1777,"%","%25"),"~","%7E"),"*","%2A"),"?","%3F"),'Rules'!$G$7:$G$26,0))),"Unit mismatch",IF(IF(NOT(ISNUMBER(D1777)),TRUE,OR(D1777&lt;0,D1777&gt;999999999,ROUND(D1777,3)&lt;&gt;D1777)),"Invalid current reading",IF(AND(E1777&lt;&gt;"",IF(NOT(ISNUMBER(E1777)),TRUE,OR(E1777&lt;0,E1777&gt;999999999,ROUND(E1777,3)&lt;&gt;E1777))),"Invalid previous reading",IF(IF(NOT(ISNUMBER(F1777)),TRUE,OR(F1777&lt;0,F1777&gt;999999999,ROUND(F1777,3)&lt;&gt;F1777)),"Invalid last service",IF(AND(E1777&lt;&gt;"",D1777&lt;E1777),"Decreased reading",IF(F1777&gt;D1777,"Last service above current","")))))))))))))</x:f>
      </x:c>
      <x:c r="L1777" s="6" t="str">
        <x:f>IF(AND(NOT(COUNTA(A1777:F1777)=0),K1777=""),INDEX('Rules'!$C$7:$C$26,MATCH(SUBSTITUTE(SUBSTITUTE(SUBSTITUTE(SUBSTITUTE("type:"&amp;B1777,"%","%25"),"~","%7E"),"*","%2A"),"?","%3F"),'Rules'!$G$7:$G$26,0)),"")</x:f>
      </x:c>
      <x:c r="M1777" s="6" t="str">
        <x:f>IF(AND(NOT(COUNTA(A1777:F1777)=0),K1777=""),INDEX('Rules'!$D$7:$D$26,MATCH(SUBSTITUTE(SUBSTITUTE(SUBSTITUTE(SUBSTITUTE("type:"&amp;B1777,"%","%25"),"~","%7E"),"*","%2A"),"?","%3F"),'Rules'!$G$7:$G$26,0)),"")</x:f>
      </x:c>
      <x:c r="N1777" s="5" t="str">
        <x:f>IF(COUNTA(A1777:F1777)=0,"",SUBSTITUTE(SUBSTITUTE(SUBSTITUTE(SUBSTITUTE("id:"&amp;A1777,"%","%25"),"~","%7E"),"*","%2A"),"?","%3F"))</x:f>
      </x:c>
    </x:row>
    <x:row r="1778" ht="22" customHeight="1">
      <x:c r="A1778" s="3"/>
      <x:c r="B1778" s="3"/>
      <x:c r="C1778" s="3"/>
      <x:c r="D1778" s="4"/>
      <x:c r="E1778" s="4"/>
      <x:c r="F1778" s="4"/>
      <x:c r="G1778" s="5" t="str">
        <x:f>IF(COUNTA(A1778:F1778)=0,"",IF(K1778&lt;&gt;"","Review",IF(I1778&lt;0,"Overdue",IF(I1778=0,"Due now",IF(I1778&lt;=M1778,"Due soon","Not due")))))</x:f>
      </x:c>
      <x:c r="H1778" s="5" t="str">
        <x:f>IF(OR(COUNTA(A1778:F1778)=0,COUNTIFS('Rules'!$G$7:$G$26,"="&amp;(SUBSTITUTE(SUBSTITUTE(SUBSTITUTE(SUBSTITUTE("type:"&amp;B1778,"%","%25"),"~","%7E"),"*","%2A"),"?","%3F")))&lt;&gt;1),"",IF(OR(INDEX('Rules'!$B$7:$B$26,MATCH(SUBSTITUTE(SUBSTITUTE(SUBSTITUTE(SUBSTITUTE("type:"&amp;B1778,"%","%25"),"~","%7E"),"*","%2A"),"?","%3F"),'Rules'!$G$7:$G$26,0))="hours",INDEX('Rules'!$B$7:$B$26,MATCH(SUBSTITUTE(SUBSTITUTE(SUBSTITUTE(SUBSTITUTE("type:"&amp;B1778,"%","%25"),"~","%7E"),"*","%2A"),"?","%3F"),'Rules'!$G$7:$G$26,0))="km"),INDEX('Rules'!$B$7:$B$26,MATCH(SUBSTITUTE(SUBSTITUTE(SUBSTITUTE(SUBSTITUTE("type:"&amp;B1778,"%","%25"),"~","%7E"),"*","%2A"),"?","%3F"),'Rules'!$G$7:$G$26,0)),""))</x:f>
      </x:c>
      <x:c r="I1778" s="6" t="str">
        <x:f>IF(AND(NOT(COUNTA(A1778:F1778)=0),K1778=""),ROUND(J1778-D1778,3),"")</x:f>
      </x:c>
      <x:c r="J1778" s="6" t="str">
        <x:f>IF(AND(NOT(COUNTA(A1778:F1778)=0),K1778=""),ROUND(F1778+L1778,3),"")</x:f>
      </x:c>
      <x:c r="K1778" s="5" t="str">
        <x:f>IF(COUNTA(A1778:F1778)=0,"",IF(A1778="","Missing equipment ID",IF(COUNTIFS($N$8:$N$2007,"="&amp;N1778)&gt;1,"Duplicate equipment ID",IF(B1778="","Missing type",IF(COUNTIFS('Rules'!$G$7:$G$26,"="&amp;(SUBSTITUTE(SUBSTITUTE(SUBSTITUTE(SUBSTITUTE("type:"&amp;B1778,"%","%25"),"~","%7E"),"*","%2A"),"?","%3F")))=0,"Unknown type",IF(COUNTIFS('Rules'!$G$7:$G$26,"="&amp;(SUBSTITUTE(SUBSTITUTE(SUBSTITUTE(SUBSTITUTE("type:"&amp;B1778,"%","%25"),"~","%7E"),"*","%2A"),"?","%3F")))&gt;1,"Duplicate type",IF(INDEX('Rules'!$F$7:$F$26,MATCH(SUBSTITUTE(SUBSTITUTE(SUBSTITUTE(SUBSTITUTE("type:"&amp;B1778,"%","%25"),"~","%7E"),"*","%2A"),"?","%3F"),'Rules'!$G$7:$G$26,0))&lt;&gt;"",INDEX('Rules'!$F$7:$F$26,MATCH(SUBSTITUTE(SUBSTITUTE(SUBSTITUTE(SUBSTITUTE("type:"&amp;B1778,"%","%25"),"~","%7E"),"*","%2A"),"?","%3F"),'Rules'!$G$7:$G$26,0)),IF(AND(C1778&lt;&gt;"",C1778&lt;&gt;INDEX('Rules'!$B$7:$B$26,MATCH(SUBSTITUTE(SUBSTITUTE(SUBSTITUTE(SUBSTITUTE("type:"&amp;B1778,"%","%25"),"~","%7E"),"*","%2A"),"?","%3F"),'Rules'!$G$7:$G$26,0))),"Unit mismatch",IF(IF(NOT(ISNUMBER(D1778)),TRUE,OR(D1778&lt;0,D1778&gt;999999999,ROUND(D1778,3)&lt;&gt;D1778)),"Invalid current reading",IF(AND(E1778&lt;&gt;"",IF(NOT(ISNUMBER(E1778)),TRUE,OR(E1778&lt;0,E1778&gt;999999999,ROUND(E1778,3)&lt;&gt;E1778))),"Invalid previous reading",IF(IF(NOT(ISNUMBER(F1778)),TRUE,OR(F1778&lt;0,F1778&gt;999999999,ROUND(F1778,3)&lt;&gt;F1778)),"Invalid last service",IF(AND(E1778&lt;&gt;"",D1778&lt;E1778),"Decreased reading",IF(F1778&gt;D1778,"Last service above current","")))))))))))))</x:f>
      </x:c>
      <x:c r="L1778" s="6" t="str">
        <x:f>IF(AND(NOT(COUNTA(A1778:F1778)=0),K1778=""),INDEX('Rules'!$C$7:$C$26,MATCH(SUBSTITUTE(SUBSTITUTE(SUBSTITUTE(SUBSTITUTE("type:"&amp;B1778,"%","%25"),"~","%7E"),"*","%2A"),"?","%3F"),'Rules'!$G$7:$G$26,0)),"")</x:f>
      </x:c>
      <x:c r="M1778" s="6" t="str">
        <x:f>IF(AND(NOT(COUNTA(A1778:F1778)=0),K1778=""),INDEX('Rules'!$D$7:$D$26,MATCH(SUBSTITUTE(SUBSTITUTE(SUBSTITUTE(SUBSTITUTE("type:"&amp;B1778,"%","%25"),"~","%7E"),"*","%2A"),"?","%3F"),'Rules'!$G$7:$G$26,0)),"")</x:f>
      </x:c>
      <x:c r="N1778" s="5" t="str">
        <x:f>IF(COUNTA(A1778:F1778)=0,"",SUBSTITUTE(SUBSTITUTE(SUBSTITUTE(SUBSTITUTE("id:"&amp;A1778,"%","%25"),"~","%7E"),"*","%2A"),"?","%3F"))</x:f>
      </x:c>
    </x:row>
    <x:row r="1779" ht="22" customHeight="1">
      <x:c r="A1779" s="3"/>
      <x:c r="B1779" s="3"/>
      <x:c r="C1779" s="3"/>
      <x:c r="D1779" s="4"/>
      <x:c r="E1779" s="4"/>
      <x:c r="F1779" s="4"/>
      <x:c r="G1779" s="5" t="str">
        <x:f>IF(COUNTA(A1779:F1779)=0,"",IF(K1779&lt;&gt;"","Review",IF(I1779&lt;0,"Overdue",IF(I1779=0,"Due now",IF(I1779&lt;=M1779,"Due soon","Not due")))))</x:f>
      </x:c>
      <x:c r="H1779" s="5" t="str">
        <x:f>IF(OR(COUNTA(A1779:F1779)=0,COUNTIFS('Rules'!$G$7:$G$26,"="&amp;(SUBSTITUTE(SUBSTITUTE(SUBSTITUTE(SUBSTITUTE("type:"&amp;B1779,"%","%25"),"~","%7E"),"*","%2A"),"?","%3F")))&lt;&gt;1),"",IF(OR(INDEX('Rules'!$B$7:$B$26,MATCH(SUBSTITUTE(SUBSTITUTE(SUBSTITUTE(SUBSTITUTE("type:"&amp;B1779,"%","%25"),"~","%7E"),"*","%2A"),"?","%3F"),'Rules'!$G$7:$G$26,0))="hours",INDEX('Rules'!$B$7:$B$26,MATCH(SUBSTITUTE(SUBSTITUTE(SUBSTITUTE(SUBSTITUTE("type:"&amp;B1779,"%","%25"),"~","%7E"),"*","%2A"),"?","%3F"),'Rules'!$G$7:$G$26,0))="km"),INDEX('Rules'!$B$7:$B$26,MATCH(SUBSTITUTE(SUBSTITUTE(SUBSTITUTE(SUBSTITUTE("type:"&amp;B1779,"%","%25"),"~","%7E"),"*","%2A"),"?","%3F"),'Rules'!$G$7:$G$26,0)),""))</x:f>
      </x:c>
      <x:c r="I1779" s="6" t="str">
        <x:f>IF(AND(NOT(COUNTA(A1779:F1779)=0),K1779=""),ROUND(J1779-D1779,3),"")</x:f>
      </x:c>
      <x:c r="J1779" s="6" t="str">
        <x:f>IF(AND(NOT(COUNTA(A1779:F1779)=0),K1779=""),ROUND(F1779+L1779,3),"")</x:f>
      </x:c>
      <x:c r="K1779" s="5" t="str">
        <x:f>IF(COUNTA(A1779:F1779)=0,"",IF(A1779="","Missing equipment ID",IF(COUNTIFS($N$8:$N$2007,"="&amp;N1779)&gt;1,"Duplicate equipment ID",IF(B1779="","Missing type",IF(COUNTIFS('Rules'!$G$7:$G$26,"="&amp;(SUBSTITUTE(SUBSTITUTE(SUBSTITUTE(SUBSTITUTE("type:"&amp;B1779,"%","%25"),"~","%7E"),"*","%2A"),"?","%3F")))=0,"Unknown type",IF(COUNTIFS('Rules'!$G$7:$G$26,"="&amp;(SUBSTITUTE(SUBSTITUTE(SUBSTITUTE(SUBSTITUTE("type:"&amp;B1779,"%","%25"),"~","%7E"),"*","%2A"),"?","%3F")))&gt;1,"Duplicate type",IF(INDEX('Rules'!$F$7:$F$26,MATCH(SUBSTITUTE(SUBSTITUTE(SUBSTITUTE(SUBSTITUTE("type:"&amp;B1779,"%","%25"),"~","%7E"),"*","%2A"),"?","%3F"),'Rules'!$G$7:$G$26,0))&lt;&gt;"",INDEX('Rules'!$F$7:$F$26,MATCH(SUBSTITUTE(SUBSTITUTE(SUBSTITUTE(SUBSTITUTE("type:"&amp;B1779,"%","%25"),"~","%7E"),"*","%2A"),"?","%3F"),'Rules'!$G$7:$G$26,0)),IF(AND(C1779&lt;&gt;"",C1779&lt;&gt;INDEX('Rules'!$B$7:$B$26,MATCH(SUBSTITUTE(SUBSTITUTE(SUBSTITUTE(SUBSTITUTE("type:"&amp;B1779,"%","%25"),"~","%7E"),"*","%2A"),"?","%3F"),'Rules'!$G$7:$G$26,0))),"Unit mismatch",IF(IF(NOT(ISNUMBER(D1779)),TRUE,OR(D1779&lt;0,D1779&gt;999999999,ROUND(D1779,3)&lt;&gt;D1779)),"Invalid current reading",IF(AND(E1779&lt;&gt;"",IF(NOT(ISNUMBER(E1779)),TRUE,OR(E1779&lt;0,E1779&gt;999999999,ROUND(E1779,3)&lt;&gt;E1779))),"Invalid previous reading",IF(IF(NOT(ISNUMBER(F1779)),TRUE,OR(F1779&lt;0,F1779&gt;999999999,ROUND(F1779,3)&lt;&gt;F1779)),"Invalid last service",IF(AND(E1779&lt;&gt;"",D1779&lt;E1779),"Decreased reading",IF(F1779&gt;D1779,"Last service above current","")))))))))))))</x:f>
      </x:c>
      <x:c r="L1779" s="6" t="str">
        <x:f>IF(AND(NOT(COUNTA(A1779:F1779)=0),K1779=""),INDEX('Rules'!$C$7:$C$26,MATCH(SUBSTITUTE(SUBSTITUTE(SUBSTITUTE(SUBSTITUTE("type:"&amp;B1779,"%","%25"),"~","%7E"),"*","%2A"),"?","%3F"),'Rules'!$G$7:$G$26,0)),"")</x:f>
      </x:c>
      <x:c r="M1779" s="6" t="str">
        <x:f>IF(AND(NOT(COUNTA(A1779:F1779)=0),K1779=""),INDEX('Rules'!$D$7:$D$26,MATCH(SUBSTITUTE(SUBSTITUTE(SUBSTITUTE(SUBSTITUTE("type:"&amp;B1779,"%","%25"),"~","%7E"),"*","%2A"),"?","%3F"),'Rules'!$G$7:$G$26,0)),"")</x:f>
      </x:c>
      <x:c r="N1779" s="5" t="str">
        <x:f>IF(COUNTA(A1779:F1779)=0,"",SUBSTITUTE(SUBSTITUTE(SUBSTITUTE(SUBSTITUTE("id:"&amp;A1779,"%","%25"),"~","%7E"),"*","%2A"),"?","%3F"))</x:f>
      </x:c>
    </x:row>
    <x:row r="1780" ht="22" customHeight="1">
      <x:c r="A1780" s="3"/>
      <x:c r="B1780" s="3"/>
      <x:c r="C1780" s="3"/>
      <x:c r="D1780" s="4"/>
      <x:c r="E1780" s="4"/>
      <x:c r="F1780" s="4"/>
      <x:c r="G1780" s="5" t="str">
        <x:f>IF(COUNTA(A1780:F1780)=0,"",IF(K1780&lt;&gt;"","Review",IF(I1780&lt;0,"Overdue",IF(I1780=0,"Due now",IF(I1780&lt;=M1780,"Due soon","Not due")))))</x:f>
      </x:c>
      <x:c r="H1780" s="5" t="str">
        <x:f>IF(OR(COUNTA(A1780:F1780)=0,COUNTIFS('Rules'!$G$7:$G$26,"="&amp;(SUBSTITUTE(SUBSTITUTE(SUBSTITUTE(SUBSTITUTE("type:"&amp;B1780,"%","%25"),"~","%7E"),"*","%2A"),"?","%3F")))&lt;&gt;1),"",IF(OR(INDEX('Rules'!$B$7:$B$26,MATCH(SUBSTITUTE(SUBSTITUTE(SUBSTITUTE(SUBSTITUTE("type:"&amp;B1780,"%","%25"),"~","%7E"),"*","%2A"),"?","%3F"),'Rules'!$G$7:$G$26,0))="hours",INDEX('Rules'!$B$7:$B$26,MATCH(SUBSTITUTE(SUBSTITUTE(SUBSTITUTE(SUBSTITUTE("type:"&amp;B1780,"%","%25"),"~","%7E"),"*","%2A"),"?","%3F"),'Rules'!$G$7:$G$26,0))="km"),INDEX('Rules'!$B$7:$B$26,MATCH(SUBSTITUTE(SUBSTITUTE(SUBSTITUTE(SUBSTITUTE("type:"&amp;B1780,"%","%25"),"~","%7E"),"*","%2A"),"?","%3F"),'Rules'!$G$7:$G$26,0)),""))</x:f>
      </x:c>
      <x:c r="I1780" s="6" t="str">
        <x:f>IF(AND(NOT(COUNTA(A1780:F1780)=0),K1780=""),ROUND(J1780-D1780,3),"")</x:f>
      </x:c>
      <x:c r="J1780" s="6" t="str">
        <x:f>IF(AND(NOT(COUNTA(A1780:F1780)=0),K1780=""),ROUND(F1780+L1780,3),"")</x:f>
      </x:c>
      <x:c r="K1780" s="5" t="str">
        <x:f>IF(COUNTA(A1780:F1780)=0,"",IF(A1780="","Missing equipment ID",IF(COUNTIFS($N$8:$N$2007,"="&amp;N1780)&gt;1,"Duplicate equipment ID",IF(B1780="","Missing type",IF(COUNTIFS('Rules'!$G$7:$G$26,"="&amp;(SUBSTITUTE(SUBSTITUTE(SUBSTITUTE(SUBSTITUTE("type:"&amp;B1780,"%","%25"),"~","%7E"),"*","%2A"),"?","%3F")))=0,"Unknown type",IF(COUNTIFS('Rules'!$G$7:$G$26,"="&amp;(SUBSTITUTE(SUBSTITUTE(SUBSTITUTE(SUBSTITUTE("type:"&amp;B1780,"%","%25"),"~","%7E"),"*","%2A"),"?","%3F")))&gt;1,"Duplicate type",IF(INDEX('Rules'!$F$7:$F$26,MATCH(SUBSTITUTE(SUBSTITUTE(SUBSTITUTE(SUBSTITUTE("type:"&amp;B1780,"%","%25"),"~","%7E"),"*","%2A"),"?","%3F"),'Rules'!$G$7:$G$26,0))&lt;&gt;"",INDEX('Rules'!$F$7:$F$26,MATCH(SUBSTITUTE(SUBSTITUTE(SUBSTITUTE(SUBSTITUTE("type:"&amp;B1780,"%","%25"),"~","%7E"),"*","%2A"),"?","%3F"),'Rules'!$G$7:$G$26,0)),IF(AND(C1780&lt;&gt;"",C1780&lt;&gt;INDEX('Rules'!$B$7:$B$26,MATCH(SUBSTITUTE(SUBSTITUTE(SUBSTITUTE(SUBSTITUTE("type:"&amp;B1780,"%","%25"),"~","%7E"),"*","%2A"),"?","%3F"),'Rules'!$G$7:$G$26,0))),"Unit mismatch",IF(IF(NOT(ISNUMBER(D1780)),TRUE,OR(D1780&lt;0,D1780&gt;999999999,ROUND(D1780,3)&lt;&gt;D1780)),"Invalid current reading",IF(AND(E1780&lt;&gt;"",IF(NOT(ISNUMBER(E1780)),TRUE,OR(E1780&lt;0,E1780&gt;999999999,ROUND(E1780,3)&lt;&gt;E1780))),"Invalid previous reading",IF(IF(NOT(ISNUMBER(F1780)),TRUE,OR(F1780&lt;0,F1780&gt;999999999,ROUND(F1780,3)&lt;&gt;F1780)),"Invalid last service",IF(AND(E1780&lt;&gt;"",D1780&lt;E1780),"Decreased reading",IF(F1780&gt;D1780,"Last service above current","")))))))))))))</x:f>
      </x:c>
      <x:c r="L1780" s="6" t="str">
        <x:f>IF(AND(NOT(COUNTA(A1780:F1780)=0),K1780=""),INDEX('Rules'!$C$7:$C$26,MATCH(SUBSTITUTE(SUBSTITUTE(SUBSTITUTE(SUBSTITUTE("type:"&amp;B1780,"%","%25"),"~","%7E"),"*","%2A"),"?","%3F"),'Rules'!$G$7:$G$26,0)),"")</x:f>
      </x:c>
      <x:c r="M1780" s="6" t="str">
        <x:f>IF(AND(NOT(COUNTA(A1780:F1780)=0),K1780=""),INDEX('Rules'!$D$7:$D$26,MATCH(SUBSTITUTE(SUBSTITUTE(SUBSTITUTE(SUBSTITUTE("type:"&amp;B1780,"%","%25"),"~","%7E"),"*","%2A"),"?","%3F"),'Rules'!$G$7:$G$26,0)),"")</x:f>
      </x:c>
      <x:c r="N1780" s="5" t="str">
        <x:f>IF(COUNTA(A1780:F1780)=0,"",SUBSTITUTE(SUBSTITUTE(SUBSTITUTE(SUBSTITUTE("id:"&amp;A1780,"%","%25"),"~","%7E"),"*","%2A"),"?","%3F"))</x:f>
      </x:c>
    </x:row>
    <x:row r="1781" ht="22" customHeight="1">
      <x:c r="A1781" s="3"/>
      <x:c r="B1781" s="3"/>
      <x:c r="C1781" s="3"/>
      <x:c r="D1781" s="4"/>
      <x:c r="E1781" s="4"/>
      <x:c r="F1781" s="4"/>
      <x:c r="G1781" s="5" t="str">
        <x:f>IF(COUNTA(A1781:F1781)=0,"",IF(K1781&lt;&gt;"","Review",IF(I1781&lt;0,"Overdue",IF(I1781=0,"Due now",IF(I1781&lt;=M1781,"Due soon","Not due")))))</x:f>
      </x:c>
      <x:c r="H1781" s="5" t="str">
        <x:f>IF(OR(COUNTA(A1781:F1781)=0,COUNTIFS('Rules'!$G$7:$G$26,"="&amp;(SUBSTITUTE(SUBSTITUTE(SUBSTITUTE(SUBSTITUTE("type:"&amp;B1781,"%","%25"),"~","%7E"),"*","%2A"),"?","%3F")))&lt;&gt;1),"",IF(OR(INDEX('Rules'!$B$7:$B$26,MATCH(SUBSTITUTE(SUBSTITUTE(SUBSTITUTE(SUBSTITUTE("type:"&amp;B1781,"%","%25"),"~","%7E"),"*","%2A"),"?","%3F"),'Rules'!$G$7:$G$26,0))="hours",INDEX('Rules'!$B$7:$B$26,MATCH(SUBSTITUTE(SUBSTITUTE(SUBSTITUTE(SUBSTITUTE("type:"&amp;B1781,"%","%25"),"~","%7E"),"*","%2A"),"?","%3F"),'Rules'!$G$7:$G$26,0))="km"),INDEX('Rules'!$B$7:$B$26,MATCH(SUBSTITUTE(SUBSTITUTE(SUBSTITUTE(SUBSTITUTE("type:"&amp;B1781,"%","%25"),"~","%7E"),"*","%2A"),"?","%3F"),'Rules'!$G$7:$G$26,0)),""))</x:f>
      </x:c>
      <x:c r="I1781" s="6" t="str">
        <x:f>IF(AND(NOT(COUNTA(A1781:F1781)=0),K1781=""),ROUND(J1781-D1781,3),"")</x:f>
      </x:c>
      <x:c r="J1781" s="6" t="str">
        <x:f>IF(AND(NOT(COUNTA(A1781:F1781)=0),K1781=""),ROUND(F1781+L1781,3),"")</x:f>
      </x:c>
      <x:c r="K1781" s="5" t="str">
        <x:f>IF(COUNTA(A1781:F1781)=0,"",IF(A1781="","Missing equipment ID",IF(COUNTIFS($N$8:$N$2007,"="&amp;N1781)&gt;1,"Duplicate equipment ID",IF(B1781="","Missing type",IF(COUNTIFS('Rules'!$G$7:$G$26,"="&amp;(SUBSTITUTE(SUBSTITUTE(SUBSTITUTE(SUBSTITUTE("type:"&amp;B1781,"%","%25"),"~","%7E"),"*","%2A"),"?","%3F")))=0,"Unknown type",IF(COUNTIFS('Rules'!$G$7:$G$26,"="&amp;(SUBSTITUTE(SUBSTITUTE(SUBSTITUTE(SUBSTITUTE("type:"&amp;B1781,"%","%25"),"~","%7E"),"*","%2A"),"?","%3F")))&gt;1,"Duplicate type",IF(INDEX('Rules'!$F$7:$F$26,MATCH(SUBSTITUTE(SUBSTITUTE(SUBSTITUTE(SUBSTITUTE("type:"&amp;B1781,"%","%25"),"~","%7E"),"*","%2A"),"?","%3F"),'Rules'!$G$7:$G$26,0))&lt;&gt;"",INDEX('Rules'!$F$7:$F$26,MATCH(SUBSTITUTE(SUBSTITUTE(SUBSTITUTE(SUBSTITUTE("type:"&amp;B1781,"%","%25"),"~","%7E"),"*","%2A"),"?","%3F"),'Rules'!$G$7:$G$26,0)),IF(AND(C1781&lt;&gt;"",C1781&lt;&gt;INDEX('Rules'!$B$7:$B$26,MATCH(SUBSTITUTE(SUBSTITUTE(SUBSTITUTE(SUBSTITUTE("type:"&amp;B1781,"%","%25"),"~","%7E"),"*","%2A"),"?","%3F"),'Rules'!$G$7:$G$26,0))),"Unit mismatch",IF(IF(NOT(ISNUMBER(D1781)),TRUE,OR(D1781&lt;0,D1781&gt;999999999,ROUND(D1781,3)&lt;&gt;D1781)),"Invalid current reading",IF(AND(E1781&lt;&gt;"",IF(NOT(ISNUMBER(E1781)),TRUE,OR(E1781&lt;0,E1781&gt;999999999,ROUND(E1781,3)&lt;&gt;E1781))),"Invalid previous reading",IF(IF(NOT(ISNUMBER(F1781)),TRUE,OR(F1781&lt;0,F1781&gt;999999999,ROUND(F1781,3)&lt;&gt;F1781)),"Invalid last service",IF(AND(E1781&lt;&gt;"",D1781&lt;E1781),"Decreased reading",IF(F1781&gt;D1781,"Last service above current","")))))))))))))</x:f>
      </x:c>
      <x:c r="L1781" s="6" t="str">
        <x:f>IF(AND(NOT(COUNTA(A1781:F1781)=0),K1781=""),INDEX('Rules'!$C$7:$C$26,MATCH(SUBSTITUTE(SUBSTITUTE(SUBSTITUTE(SUBSTITUTE("type:"&amp;B1781,"%","%25"),"~","%7E"),"*","%2A"),"?","%3F"),'Rules'!$G$7:$G$26,0)),"")</x:f>
      </x:c>
      <x:c r="M1781" s="6" t="str">
        <x:f>IF(AND(NOT(COUNTA(A1781:F1781)=0),K1781=""),INDEX('Rules'!$D$7:$D$26,MATCH(SUBSTITUTE(SUBSTITUTE(SUBSTITUTE(SUBSTITUTE("type:"&amp;B1781,"%","%25"),"~","%7E"),"*","%2A"),"?","%3F"),'Rules'!$G$7:$G$26,0)),"")</x:f>
      </x:c>
      <x:c r="N1781" s="5" t="str">
        <x:f>IF(COUNTA(A1781:F1781)=0,"",SUBSTITUTE(SUBSTITUTE(SUBSTITUTE(SUBSTITUTE("id:"&amp;A1781,"%","%25"),"~","%7E"),"*","%2A"),"?","%3F"))</x:f>
      </x:c>
    </x:row>
    <x:row r="1782" ht="22" customHeight="1">
      <x:c r="A1782" s="3"/>
      <x:c r="B1782" s="3"/>
      <x:c r="C1782" s="3"/>
      <x:c r="D1782" s="4"/>
      <x:c r="E1782" s="4"/>
      <x:c r="F1782" s="4"/>
      <x:c r="G1782" s="5" t="str">
        <x:f>IF(COUNTA(A1782:F1782)=0,"",IF(K1782&lt;&gt;"","Review",IF(I1782&lt;0,"Overdue",IF(I1782=0,"Due now",IF(I1782&lt;=M1782,"Due soon","Not due")))))</x:f>
      </x:c>
      <x:c r="H1782" s="5" t="str">
        <x:f>IF(OR(COUNTA(A1782:F1782)=0,COUNTIFS('Rules'!$G$7:$G$26,"="&amp;(SUBSTITUTE(SUBSTITUTE(SUBSTITUTE(SUBSTITUTE("type:"&amp;B1782,"%","%25"),"~","%7E"),"*","%2A"),"?","%3F")))&lt;&gt;1),"",IF(OR(INDEX('Rules'!$B$7:$B$26,MATCH(SUBSTITUTE(SUBSTITUTE(SUBSTITUTE(SUBSTITUTE("type:"&amp;B1782,"%","%25"),"~","%7E"),"*","%2A"),"?","%3F"),'Rules'!$G$7:$G$26,0))="hours",INDEX('Rules'!$B$7:$B$26,MATCH(SUBSTITUTE(SUBSTITUTE(SUBSTITUTE(SUBSTITUTE("type:"&amp;B1782,"%","%25"),"~","%7E"),"*","%2A"),"?","%3F"),'Rules'!$G$7:$G$26,0))="km"),INDEX('Rules'!$B$7:$B$26,MATCH(SUBSTITUTE(SUBSTITUTE(SUBSTITUTE(SUBSTITUTE("type:"&amp;B1782,"%","%25"),"~","%7E"),"*","%2A"),"?","%3F"),'Rules'!$G$7:$G$26,0)),""))</x:f>
      </x:c>
      <x:c r="I1782" s="6" t="str">
        <x:f>IF(AND(NOT(COUNTA(A1782:F1782)=0),K1782=""),ROUND(J1782-D1782,3),"")</x:f>
      </x:c>
      <x:c r="J1782" s="6" t="str">
        <x:f>IF(AND(NOT(COUNTA(A1782:F1782)=0),K1782=""),ROUND(F1782+L1782,3),"")</x:f>
      </x:c>
      <x:c r="K1782" s="5" t="str">
        <x:f>IF(COUNTA(A1782:F1782)=0,"",IF(A1782="","Missing equipment ID",IF(COUNTIFS($N$8:$N$2007,"="&amp;N1782)&gt;1,"Duplicate equipment ID",IF(B1782="","Missing type",IF(COUNTIFS('Rules'!$G$7:$G$26,"="&amp;(SUBSTITUTE(SUBSTITUTE(SUBSTITUTE(SUBSTITUTE("type:"&amp;B1782,"%","%25"),"~","%7E"),"*","%2A"),"?","%3F")))=0,"Unknown type",IF(COUNTIFS('Rules'!$G$7:$G$26,"="&amp;(SUBSTITUTE(SUBSTITUTE(SUBSTITUTE(SUBSTITUTE("type:"&amp;B1782,"%","%25"),"~","%7E"),"*","%2A"),"?","%3F")))&gt;1,"Duplicate type",IF(INDEX('Rules'!$F$7:$F$26,MATCH(SUBSTITUTE(SUBSTITUTE(SUBSTITUTE(SUBSTITUTE("type:"&amp;B1782,"%","%25"),"~","%7E"),"*","%2A"),"?","%3F"),'Rules'!$G$7:$G$26,0))&lt;&gt;"",INDEX('Rules'!$F$7:$F$26,MATCH(SUBSTITUTE(SUBSTITUTE(SUBSTITUTE(SUBSTITUTE("type:"&amp;B1782,"%","%25"),"~","%7E"),"*","%2A"),"?","%3F"),'Rules'!$G$7:$G$26,0)),IF(AND(C1782&lt;&gt;"",C1782&lt;&gt;INDEX('Rules'!$B$7:$B$26,MATCH(SUBSTITUTE(SUBSTITUTE(SUBSTITUTE(SUBSTITUTE("type:"&amp;B1782,"%","%25"),"~","%7E"),"*","%2A"),"?","%3F"),'Rules'!$G$7:$G$26,0))),"Unit mismatch",IF(IF(NOT(ISNUMBER(D1782)),TRUE,OR(D1782&lt;0,D1782&gt;999999999,ROUND(D1782,3)&lt;&gt;D1782)),"Invalid current reading",IF(AND(E1782&lt;&gt;"",IF(NOT(ISNUMBER(E1782)),TRUE,OR(E1782&lt;0,E1782&gt;999999999,ROUND(E1782,3)&lt;&gt;E1782))),"Invalid previous reading",IF(IF(NOT(ISNUMBER(F1782)),TRUE,OR(F1782&lt;0,F1782&gt;999999999,ROUND(F1782,3)&lt;&gt;F1782)),"Invalid last service",IF(AND(E1782&lt;&gt;"",D1782&lt;E1782),"Decreased reading",IF(F1782&gt;D1782,"Last service above current","")))))))))))))</x:f>
      </x:c>
      <x:c r="L1782" s="6" t="str">
        <x:f>IF(AND(NOT(COUNTA(A1782:F1782)=0),K1782=""),INDEX('Rules'!$C$7:$C$26,MATCH(SUBSTITUTE(SUBSTITUTE(SUBSTITUTE(SUBSTITUTE("type:"&amp;B1782,"%","%25"),"~","%7E"),"*","%2A"),"?","%3F"),'Rules'!$G$7:$G$26,0)),"")</x:f>
      </x:c>
      <x:c r="M1782" s="6" t="str">
        <x:f>IF(AND(NOT(COUNTA(A1782:F1782)=0),K1782=""),INDEX('Rules'!$D$7:$D$26,MATCH(SUBSTITUTE(SUBSTITUTE(SUBSTITUTE(SUBSTITUTE("type:"&amp;B1782,"%","%25"),"~","%7E"),"*","%2A"),"?","%3F"),'Rules'!$G$7:$G$26,0)),"")</x:f>
      </x:c>
      <x:c r="N1782" s="5" t="str">
        <x:f>IF(COUNTA(A1782:F1782)=0,"",SUBSTITUTE(SUBSTITUTE(SUBSTITUTE(SUBSTITUTE("id:"&amp;A1782,"%","%25"),"~","%7E"),"*","%2A"),"?","%3F"))</x:f>
      </x:c>
    </x:row>
    <x:row r="1783" ht="22" customHeight="1">
      <x:c r="A1783" s="3"/>
      <x:c r="B1783" s="3"/>
      <x:c r="C1783" s="3"/>
      <x:c r="D1783" s="4"/>
      <x:c r="E1783" s="4"/>
      <x:c r="F1783" s="4"/>
      <x:c r="G1783" s="5" t="str">
        <x:f>IF(COUNTA(A1783:F1783)=0,"",IF(K1783&lt;&gt;"","Review",IF(I1783&lt;0,"Overdue",IF(I1783=0,"Due now",IF(I1783&lt;=M1783,"Due soon","Not due")))))</x:f>
      </x:c>
      <x:c r="H1783" s="5" t="str">
        <x:f>IF(OR(COUNTA(A1783:F1783)=0,COUNTIFS('Rules'!$G$7:$G$26,"="&amp;(SUBSTITUTE(SUBSTITUTE(SUBSTITUTE(SUBSTITUTE("type:"&amp;B1783,"%","%25"),"~","%7E"),"*","%2A"),"?","%3F")))&lt;&gt;1),"",IF(OR(INDEX('Rules'!$B$7:$B$26,MATCH(SUBSTITUTE(SUBSTITUTE(SUBSTITUTE(SUBSTITUTE("type:"&amp;B1783,"%","%25"),"~","%7E"),"*","%2A"),"?","%3F"),'Rules'!$G$7:$G$26,0))="hours",INDEX('Rules'!$B$7:$B$26,MATCH(SUBSTITUTE(SUBSTITUTE(SUBSTITUTE(SUBSTITUTE("type:"&amp;B1783,"%","%25"),"~","%7E"),"*","%2A"),"?","%3F"),'Rules'!$G$7:$G$26,0))="km"),INDEX('Rules'!$B$7:$B$26,MATCH(SUBSTITUTE(SUBSTITUTE(SUBSTITUTE(SUBSTITUTE("type:"&amp;B1783,"%","%25"),"~","%7E"),"*","%2A"),"?","%3F"),'Rules'!$G$7:$G$26,0)),""))</x:f>
      </x:c>
      <x:c r="I1783" s="6" t="str">
        <x:f>IF(AND(NOT(COUNTA(A1783:F1783)=0),K1783=""),ROUND(J1783-D1783,3),"")</x:f>
      </x:c>
      <x:c r="J1783" s="6" t="str">
        <x:f>IF(AND(NOT(COUNTA(A1783:F1783)=0),K1783=""),ROUND(F1783+L1783,3),"")</x:f>
      </x:c>
      <x:c r="K1783" s="5" t="str">
        <x:f>IF(COUNTA(A1783:F1783)=0,"",IF(A1783="","Missing equipment ID",IF(COUNTIFS($N$8:$N$2007,"="&amp;N1783)&gt;1,"Duplicate equipment ID",IF(B1783="","Missing type",IF(COUNTIFS('Rules'!$G$7:$G$26,"="&amp;(SUBSTITUTE(SUBSTITUTE(SUBSTITUTE(SUBSTITUTE("type:"&amp;B1783,"%","%25"),"~","%7E"),"*","%2A"),"?","%3F")))=0,"Unknown type",IF(COUNTIFS('Rules'!$G$7:$G$26,"="&amp;(SUBSTITUTE(SUBSTITUTE(SUBSTITUTE(SUBSTITUTE("type:"&amp;B1783,"%","%25"),"~","%7E"),"*","%2A"),"?","%3F")))&gt;1,"Duplicate type",IF(INDEX('Rules'!$F$7:$F$26,MATCH(SUBSTITUTE(SUBSTITUTE(SUBSTITUTE(SUBSTITUTE("type:"&amp;B1783,"%","%25"),"~","%7E"),"*","%2A"),"?","%3F"),'Rules'!$G$7:$G$26,0))&lt;&gt;"",INDEX('Rules'!$F$7:$F$26,MATCH(SUBSTITUTE(SUBSTITUTE(SUBSTITUTE(SUBSTITUTE("type:"&amp;B1783,"%","%25"),"~","%7E"),"*","%2A"),"?","%3F"),'Rules'!$G$7:$G$26,0)),IF(AND(C1783&lt;&gt;"",C1783&lt;&gt;INDEX('Rules'!$B$7:$B$26,MATCH(SUBSTITUTE(SUBSTITUTE(SUBSTITUTE(SUBSTITUTE("type:"&amp;B1783,"%","%25"),"~","%7E"),"*","%2A"),"?","%3F"),'Rules'!$G$7:$G$26,0))),"Unit mismatch",IF(IF(NOT(ISNUMBER(D1783)),TRUE,OR(D1783&lt;0,D1783&gt;999999999,ROUND(D1783,3)&lt;&gt;D1783)),"Invalid current reading",IF(AND(E1783&lt;&gt;"",IF(NOT(ISNUMBER(E1783)),TRUE,OR(E1783&lt;0,E1783&gt;999999999,ROUND(E1783,3)&lt;&gt;E1783))),"Invalid previous reading",IF(IF(NOT(ISNUMBER(F1783)),TRUE,OR(F1783&lt;0,F1783&gt;999999999,ROUND(F1783,3)&lt;&gt;F1783)),"Invalid last service",IF(AND(E1783&lt;&gt;"",D1783&lt;E1783),"Decreased reading",IF(F1783&gt;D1783,"Last service above current","")))))))))))))</x:f>
      </x:c>
      <x:c r="L1783" s="6" t="str">
        <x:f>IF(AND(NOT(COUNTA(A1783:F1783)=0),K1783=""),INDEX('Rules'!$C$7:$C$26,MATCH(SUBSTITUTE(SUBSTITUTE(SUBSTITUTE(SUBSTITUTE("type:"&amp;B1783,"%","%25"),"~","%7E"),"*","%2A"),"?","%3F"),'Rules'!$G$7:$G$26,0)),"")</x:f>
      </x:c>
      <x:c r="M1783" s="6" t="str">
        <x:f>IF(AND(NOT(COUNTA(A1783:F1783)=0),K1783=""),INDEX('Rules'!$D$7:$D$26,MATCH(SUBSTITUTE(SUBSTITUTE(SUBSTITUTE(SUBSTITUTE("type:"&amp;B1783,"%","%25"),"~","%7E"),"*","%2A"),"?","%3F"),'Rules'!$G$7:$G$26,0)),"")</x:f>
      </x:c>
      <x:c r="N1783" s="5" t="str">
        <x:f>IF(COUNTA(A1783:F1783)=0,"",SUBSTITUTE(SUBSTITUTE(SUBSTITUTE(SUBSTITUTE("id:"&amp;A1783,"%","%25"),"~","%7E"),"*","%2A"),"?","%3F"))</x:f>
      </x:c>
    </x:row>
    <x:row r="1784" ht="22" customHeight="1">
      <x:c r="A1784" s="3"/>
      <x:c r="B1784" s="3"/>
      <x:c r="C1784" s="3"/>
      <x:c r="D1784" s="4"/>
      <x:c r="E1784" s="4"/>
      <x:c r="F1784" s="4"/>
      <x:c r="G1784" s="5" t="str">
        <x:f>IF(COUNTA(A1784:F1784)=0,"",IF(K1784&lt;&gt;"","Review",IF(I1784&lt;0,"Overdue",IF(I1784=0,"Due now",IF(I1784&lt;=M1784,"Due soon","Not due")))))</x:f>
      </x:c>
      <x:c r="H1784" s="5" t="str">
        <x:f>IF(OR(COUNTA(A1784:F1784)=0,COUNTIFS('Rules'!$G$7:$G$26,"="&amp;(SUBSTITUTE(SUBSTITUTE(SUBSTITUTE(SUBSTITUTE("type:"&amp;B1784,"%","%25"),"~","%7E"),"*","%2A"),"?","%3F")))&lt;&gt;1),"",IF(OR(INDEX('Rules'!$B$7:$B$26,MATCH(SUBSTITUTE(SUBSTITUTE(SUBSTITUTE(SUBSTITUTE("type:"&amp;B1784,"%","%25"),"~","%7E"),"*","%2A"),"?","%3F"),'Rules'!$G$7:$G$26,0))="hours",INDEX('Rules'!$B$7:$B$26,MATCH(SUBSTITUTE(SUBSTITUTE(SUBSTITUTE(SUBSTITUTE("type:"&amp;B1784,"%","%25"),"~","%7E"),"*","%2A"),"?","%3F"),'Rules'!$G$7:$G$26,0))="km"),INDEX('Rules'!$B$7:$B$26,MATCH(SUBSTITUTE(SUBSTITUTE(SUBSTITUTE(SUBSTITUTE("type:"&amp;B1784,"%","%25"),"~","%7E"),"*","%2A"),"?","%3F"),'Rules'!$G$7:$G$26,0)),""))</x:f>
      </x:c>
      <x:c r="I1784" s="6" t="str">
        <x:f>IF(AND(NOT(COUNTA(A1784:F1784)=0),K1784=""),ROUND(J1784-D1784,3),"")</x:f>
      </x:c>
      <x:c r="J1784" s="6" t="str">
        <x:f>IF(AND(NOT(COUNTA(A1784:F1784)=0),K1784=""),ROUND(F1784+L1784,3),"")</x:f>
      </x:c>
      <x:c r="K1784" s="5" t="str">
        <x:f>IF(COUNTA(A1784:F1784)=0,"",IF(A1784="","Missing equipment ID",IF(COUNTIFS($N$8:$N$2007,"="&amp;N1784)&gt;1,"Duplicate equipment ID",IF(B1784="","Missing type",IF(COUNTIFS('Rules'!$G$7:$G$26,"="&amp;(SUBSTITUTE(SUBSTITUTE(SUBSTITUTE(SUBSTITUTE("type:"&amp;B1784,"%","%25"),"~","%7E"),"*","%2A"),"?","%3F")))=0,"Unknown type",IF(COUNTIFS('Rules'!$G$7:$G$26,"="&amp;(SUBSTITUTE(SUBSTITUTE(SUBSTITUTE(SUBSTITUTE("type:"&amp;B1784,"%","%25"),"~","%7E"),"*","%2A"),"?","%3F")))&gt;1,"Duplicate type",IF(INDEX('Rules'!$F$7:$F$26,MATCH(SUBSTITUTE(SUBSTITUTE(SUBSTITUTE(SUBSTITUTE("type:"&amp;B1784,"%","%25"),"~","%7E"),"*","%2A"),"?","%3F"),'Rules'!$G$7:$G$26,0))&lt;&gt;"",INDEX('Rules'!$F$7:$F$26,MATCH(SUBSTITUTE(SUBSTITUTE(SUBSTITUTE(SUBSTITUTE("type:"&amp;B1784,"%","%25"),"~","%7E"),"*","%2A"),"?","%3F"),'Rules'!$G$7:$G$26,0)),IF(AND(C1784&lt;&gt;"",C1784&lt;&gt;INDEX('Rules'!$B$7:$B$26,MATCH(SUBSTITUTE(SUBSTITUTE(SUBSTITUTE(SUBSTITUTE("type:"&amp;B1784,"%","%25"),"~","%7E"),"*","%2A"),"?","%3F"),'Rules'!$G$7:$G$26,0))),"Unit mismatch",IF(IF(NOT(ISNUMBER(D1784)),TRUE,OR(D1784&lt;0,D1784&gt;999999999,ROUND(D1784,3)&lt;&gt;D1784)),"Invalid current reading",IF(AND(E1784&lt;&gt;"",IF(NOT(ISNUMBER(E1784)),TRUE,OR(E1784&lt;0,E1784&gt;999999999,ROUND(E1784,3)&lt;&gt;E1784))),"Invalid previous reading",IF(IF(NOT(ISNUMBER(F1784)),TRUE,OR(F1784&lt;0,F1784&gt;999999999,ROUND(F1784,3)&lt;&gt;F1784)),"Invalid last service",IF(AND(E1784&lt;&gt;"",D1784&lt;E1784),"Decreased reading",IF(F1784&gt;D1784,"Last service above current","")))))))))))))</x:f>
      </x:c>
      <x:c r="L1784" s="6" t="str">
        <x:f>IF(AND(NOT(COUNTA(A1784:F1784)=0),K1784=""),INDEX('Rules'!$C$7:$C$26,MATCH(SUBSTITUTE(SUBSTITUTE(SUBSTITUTE(SUBSTITUTE("type:"&amp;B1784,"%","%25"),"~","%7E"),"*","%2A"),"?","%3F"),'Rules'!$G$7:$G$26,0)),"")</x:f>
      </x:c>
      <x:c r="M1784" s="6" t="str">
        <x:f>IF(AND(NOT(COUNTA(A1784:F1784)=0),K1784=""),INDEX('Rules'!$D$7:$D$26,MATCH(SUBSTITUTE(SUBSTITUTE(SUBSTITUTE(SUBSTITUTE("type:"&amp;B1784,"%","%25"),"~","%7E"),"*","%2A"),"?","%3F"),'Rules'!$G$7:$G$26,0)),"")</x:f>
      </x:c>
      <x:c r="N1784" s="5" t="str">
        <x:f>IF(COUNTA(A1784:F1784)=0,"",SUBSTITUTE(SUBSTITUTE(SUBSTITUTE(SUBSTITUTE("id:"&amp;A1784,"%","%25"),"~","%7E"),"*","%2A"),"?","%3F"))</x:f>
      </x:c>
    </x:row>
    <x:row r="1785" ht="22" customHeight="1">
      <x:c r="A1785" s="3"/>
      <x:c r="B1785" s="3"/>
      <x:c r="C1785" s="3"/>
      <x:c r="D1785" s="4"/>
      <x:c r="E1785" s="4"/>
      <x:c r="F1785" s="4"/>
      <x:c r="G1785" s="5" t="str">
        <x:f>IF(COUNTA(A1785:F1785)=0,"",IF(K1785&lt;&gt;"","Review",IF(I1785&lt;0,"Overdue",IF(I1785=0,"Due now",IF(I1785&lt;=M1785,"Due soon","Not due")))))</x:f>
      </x:c>
      <x:c r="H1785" s="5" t="str">
        <x:f>IF(OR(COUNTA(A1785:F1785)=0,COUNTIFS('Rules'!$G$7:$G$26,"="&amp;(SUBSTITUTE(SUBSTITUTE(SUBSTITUTE(SUBSTITUTE("type:"&amp;B1785,"%","%25"),"~","%7E"),"*","%2A"),"?","%3F")))&lt;&gt;1),"",IF(OR(INDEX('Rules'!$B$7:$B$26,MATCH(SUBSTITUTE(SUBSTITUTE(SUBSTITUTE(SUBSTITUTE("type:"&amp;B1785,"%","%25"),"~","%7E"),"*","%2A"),"?","%3F"),'Rules'!$G$7:$G$26,0))="hours",INDEX('Rules'!$B$7:$B$26,MATCH(SUBSTITUTE(SUBSTITUTE(SUBSTITUTE(SUBSTITUTE("type:"&amp;B1785,"%","%25"),"~","%7E"),"*","%2A"),"?","%3F"),'Rules'!$G$7:$G$26,0))="km"),INDEX('Rules'!$B$7:$B$26,MATCH(SUBSTITUTE(SUBSTITUTE(SUBSTITUTE(SUBSTITUTE("type:"&amp;B1785,"%","%25"),"~","%7E"),"*","%2A"),"?","%3F"),'Rules'!$G$7:$G$26,0)),""))</x:f>
      </x:c>
      <x:c r="I1785" s="6" t="str">
        <x:f>IF(AND(NOT(COUNTA(A1785:F1785)=0),K1785=""),ROUND(J1785-D1785,3),"")</x:f>
      </x:c>
      <x:c r="J1785" s="6" t="str">
        <x:f>IF(AND(NOT(COUNTA(A1785:F1785)=0),K1785=""),ROUND(F1785+L1785,3),"")</x:f>
      </x:c>
      <x:c r="K1785" s="5" t="str">
        <x:f>IF(COUNTA(A1785:F1785)=0,"",IF(A1785="","Missing equipment ID",IF(COUNTIFS($N$8:$N$2007,"="&amp;N1785)&gt;1,"Duplicate equipment ID",IF(B1785="","Missing type",IF(COUNTIFS('Rules'!$G$7:$G$26,"="&amp;(SUBSTITUTE(SUBSTITUTE(SUBSTITUTE(SUBSTITUTE("type:"&amp;B1785,"%","%25"),"~","%7E"),"*","%2A"),"?","%3F")))=0,"Unknown type",IF(COUNTIFS('Rules'!$G$7:$G$26,"="&amp;(SUBSTITUTE(SUBSTITUTE(SUBSTITUTE(SUBSTITUTE("type:"&amp;B1785,"%","%25"),"~","%7E"),"*","%2A"),"?","%3F")))&gt;1,"Duplicate type",IF(INDEX('Rules'!$F$7:$F$26,MATCH(SUBSTITUTE(SUBSTITUTE(SUBSTITUTE(SUBSTITUTE("type:"&amp;B1785,"%","%25"),"~","%7E"),"*","%2A"),"?","%3F"),'Rules'!$G$7:$G$26,0))&lt;&gt;"",INDEX('Rules'!$F$7:$F$26,MATCH(SUBSTITUTE(SUBSTITUTE(SUBSTITUTE(SUBSTITUTE("type:"&amp;B1785,"%","%25"),"~","%7E"),"*","%2A"),"?","%3F"),'Rules'!$G$7:$G$26,0)),IF(AND(C1785&lt;&gt;"",C1785&lt;&gt;INDEX('Rules'!$B$7:$B$26,MATCH(SUBSTITUTE(SUBSTITUTE(SUBSTITUTE(SUBSTITUTE("type:"&amp;B1785,"%","%25"),"~","%7E"),"*","%2A"),"?","%3F"),'Rules'!$G$7:$G$26,0))),"Unit mismatch",IF(IF(NOT(ISNUMBER(D1785)),TRUE,OR(D1785&lt;0,D1785&gt;999999999,ROUND(D1785,3)&lt;&gt;D1785)),"Invalid current reading",IF(AND(E1785&lt;&gt;"",IF(NOT(ISNUMBER(E1785)),TRUE,OR(E1785&lt;0,E1785&gt;999999999,ROUND(E1785,3)&lt;&gt;E1785))),"Invalid previous reading",IF(IF(NOT(ISNUMBER(F1785)),TRUE,OR(F1785&lt;0,F1785&gt;999999999,ROUND(F1785,3)&lt;&gt;F1785)),"Invalid last service",IF(AND(E1785&lt;&gt;"",D1785&lt;E1785),"Decreased reading",IF(F1785&gt;D1785,"Last service above current","")))))))))))))</x:f>
      </x:c>
      <x:c r="L1785" s="6" t="str">
        <x:f>IF(AND(NOT(COUNTA(A1785:F1785)=0),K1785=""),INDEX('Rules'!$C$7:$C$26,MATCH(SUBSTITUTE(SUBSTITUTE(SUBSTITUTE(SUBSTITUTE("type:"&amp;B1785,"%","%25"),"~","%7E"),"*","%2A"),"?","%3F"),'Rules'!$G$7:$G$26,0)),"")</x:f>
      </x:c>
      <x:c r="M1785" s="6" t="str">
        <x:f>IF(AND(NOT(COUNTA(A1785:F1785)=0),K1785=""),INDEX('Rules'!$D$7:$D$26,MATCH(SUBSTITUTE(SUBSTITUTE(SUBSTITUTE(SUBSTITUTE("type:"&amp;B1785,"%","%25"),"~","%7E"),"*","%2A"),"?","%3F"),'Rules'!$G$7:$G$26,0)),"")</x:f>
      </x:c>
      <x:c r="N1785" s="5" t="str">
        <x:f>IF(COUNTA(A1785:F1785)=0,"",SUBSTITUTE(SUBSTITUTE(SUBSTITUTE(SUBSTITUTE("id:"&amp;A1785,"%","%25"),"~","%7E"),"*","%2A"),"?","%3F"))</x:f>
      </x:c>
    </x:row>
    <x:row r="1786" ht="22" customHeight="1">
      <x:c r="A1786" s="3"/>
      <x:c r="B1786" s="3"/>
      <x:c r="C1786" s="3"/>
      <x:c r="D1786" s="4"/>
      <x:c r="E1786" s="4"/>
      <x:c r="F1786" s="4"/>
      <x:c r="G1786" s="5" t="str">
        <x:f>IF(COUNTA(A1786:F1786)=0,"",IF(K1786&lt;&gt;"","Review",IF(I1786&lt;0,"Overdue",IF(I1786=0,"Due now",IF(I1786&lt;=M1786,"Due soon","Not due")))))</x:f>
      </x:c>
      <x:c r="H1786" s="5" t="str">
        <x:f>IF(OR(COUNTA(A1786:F1786)=0,COUNTIFS('Rules'!$G$7:$G$26,"="&amp;(SUBSTITUTE(SUBSTITUTE(SUBSTITUTE(SUBSTITUTE("type:"&amp;B1786,"%","%25"),"~","%7E"),"*","%2A"),"?","%3F")))&lt;&gt;1),"",IF(OR(INDEX('Rules'!$B$7:$B$26,MATCH(SUBSTITUTE(SUBSTITUTE(SUBSTITUTE(SUBSTITUTE("type:"&amp;B1786,"%","%25"),"~","%7E"),"*","%2A"),"?","%3F"),'Rules'!$G$7:$G$26,0))="hours",INDEX('Rules'!$B$7:$B$26,MATCH(SUBSTITUTE(SUBSTITUTE(SUBSTITUTE(SUBSTITUTE("type:"&amp;B1786,"%","%25"),"~","%7E"),"*","%2A"),"?","%3F"),'Rules'!$G$7:$G$26,0))="km"),INDEX('Rules'!$B$7:$B$26,MATCH(SUBSTITUTE(SUBSTITUTE(SUBSTITUTE(SUBSTITUTE("type:"&amp;B1786,"%","%25"),"~","%7E"),"*","%2A"),"?","%3F"),'Rules'!$G$7:$G$26,0)),""))</x:f>
      </x:c>
      <x:c r="I1786" s="6" t="str">
        <x:f>IF(AND(NOT(COUNTA(A1786:F1786)=0),K1786=""),ROUND(J1786-D1786,3),"")</x:f>
      </x:c>
      <x:c r="J1786" s="6" t="str">
        <x:f>IF(AND(NOT(COUNTA(A1786:F1786)=0),K1786=""),ROUND(F1786+L1786,3),"")</x:f>
      </x:c>
      <x:c r="K1786" s="5" t="str">
        <x:f>IF(COUNTA(A1786:F1786)=0,"",IF(A1786="","Missing equipment ID",IF(COUNTIFS($N$8:$N$2007,"="&amp;N1786)&gt;1,"Duplicate equipment ID",IF(B1786="","Missing type",IF(COUNTIFS('Rules'!$G$7:$G$26,"="&amp;(SUBSTITUTE(SUBSTITUTE(SUBSTITUTE(SUBSTITUTE("type:"&amp;B1786,"%","%25"),"~","%7E"),"*","%2A"),"?","%3F")))=0,"Unknown type",IF(COUNTIFS('Rules'!$G$7:$G$26,"="&amp;(SUBSTITUTE(SUBSTITUTE(SUBSTITUTE(SUBSTITUTE("type:"&amp;B1786,"%","%25"),"~","%7E"),"*","%2A"),"?","%3F")))&gt;1,"Duplicate type",IF(INDEX('Rules'!$F$7:$F$26,MATCH(SUBSTITUTE(SUBSTITUTE(SUBSTITUTE(SUBSTITUTE("type:"&amp;B1786,"%","%25"),"~","%7E"),"*","%2A"),"?","%3F"),'Rules'!$G$7:$G$26,0))&lt;&gt;"",INDEX('Rules'!$F$7:$F$26,MATCH(SUBSTITUTE(SUBSTITUTE(SUBSTITUTE(SUBSTITUTE("type:"&amp;B1786,"%","%25"),"~","%7E"),"*","%2A"),"?","%3F"),'Rules'!$G$7:$G$26,0)),IF(AND(C1786&lt;&gt;"",C1786&lt;&gt;INDEX('Rules'!$B$7:$B$26,MATCH(SUBSTITUTE(SUBSTITUTE(SUBSTITUTE(SUBSTITUTE("type:"&amp;B1786,"%","%25"),"~","%7E"),"*","%2A"),"?","%3F"),'Rules'!$G$7:$G$26,0))),"Unit mismatch",IF(IF(NOT(ISNUMBER(D1786)),TRUE,OR(D1786&lt;0,D1786&gt;999999999,ROUND(D1786,3)&lt;&gt;D1786)),"Invalid current reading",IF(AND(E1786&lt;&gt;"",IF(NOT(ISNUMBER(E1786)),TRUE,OR(E1786&lt;0,E1786&gt;999999999,ROUND(E1786,3)&lt;&gt;E1786))),"Invalid previous reading",IF(IF(NOT(ISNUMBER(F1786)),TRUE,OR(F1786&lt;0,F1786&gt;999999999,ROUND(F1786,3)&lt;&gt;F1786)),"Invalid last service",IF(AND(E1786&lt;&gt;"",D1786&lt;E1786),"Decreased reading",IF(F1786&gt;D1786,"Last service above current","")))))))))))))</x:f>
      </x:c>
      <x:c r="L1786" s="6" t="str">
        <x:f>IF(AND(NOT(COUNTA(A1786:F1786)=0),K1786=""),INDEX('Rules'!$C$7:$C$26,MATCH(SUBSTITUTE(SUBSTITUTE(SUBSTITUTE(SUBSTITUTE("type:"&amp;B1786,"%","%25"),"~","%7E"),"*","%2A"),"?","%3F"),'Rules'!$G$7:$G$26,0)),"")</x:f>
      </x:c>
      <x:c r="M1786" s="6" t="str">
        <x:f>IF(AND(NOT(COUNTA(A1786:F1786)=0),K1786=""),INDEX('Rules'!$D$7:$D$26,MATCH(SUBSTITUTE(SUBSTITUTE(SUBSTITUTE(SUBSTITUTE("type:"&amp;B1786,"%","%25"),"~","%7E"),"*","%2A"),"?","%3F"),'Rules'!$G$7:$G$26,0)),"")</x:f>
      </x:c>
      <x:c r="N1786" s="5" t="str">
        <x:f>IF(COUNTA(A1786:F1786)=0,"",SUBSTITUTE(SUBSTITUTE(SUBSTITUTE(SUBSTITUTE("id:"&amp;A1786,"%","%25"),"~","%7E"),"*","%2A"),"?","%3F"))</x:f>
      </x:c>
    </x:row>
    <x:row r="1787" ht="22" customHeight="1">
      <x:c r="A1787" s="3"/>
      <x:c r="B1787" s="3"/>
      <x:c r="C1787" s="3"/>
      <x:c r="D1787" s="4"/>
      <x:c r="E1787" s="4"/>
      <x:c r="F1787" s="4"/>
      <x:c r="G1787" s="5" t="str">
        <x:f>IF(COUNTA(A1787:F1787)=0,"",IF(K1787&lt;&gt;"","Review",IF(I1787&lt;0,"Overdue",IF(I1787=0,"Due now",IF(I1787&lt;=M1787,"Due soon","Not due")))))</x:f>
      </x:c>
      <x:c r="H1787" s="5" t="str">
        <x:f>IF(OR(COUNTA(A1787:F1787)=0,COUNTIFS('Rules'!$G$7:$G$26,"="&amp;(SUBSTITUTE(SUBSTITUTE(SUBSTITUTE(SUBSTITUTE("type:"&amp;B1787,"%","%25"),"~","%7E"),"*","%2A"),"?","%3F")))&lt;&gt;1),"",IF(OR(INDEX('Rules'!$B$7:$B$26,MATCH(SUBSTITUTE(SUBSTITUTE(SUBSTITUTE(SUBSTITUTE("type:"&amp;B1787,"%","%25"),"~","%7E"),"*","%2A"),"?","%3F"),'Rules'!$G$7:$G$26,0))="hours",INDEX('Rules'!$B$7:$B$26,MATCH(SUBSTITUTE(SUBSTITUTE(SUBSTITUTE(SUBSTITUTE("type:"&amp;B1787,"%","%25"),"~","%7E"),"*","%2A"),"?","%3F"),'Rules'!$G$7:$G$26,0))="km"),INDEX('Rules'!$B$7:$B$26,MATCH(SUBSTITUTE(SUBSTITUTE(SUBSTITUTE(SUBSTITUTE("type:"&amp;B1787,"%","%25"),"~","%7E"),"*","%2A"),"?","%3F"),'Rules'!$G$7:$G$26,0)),""))</x:f>
      </x:c>
      <x:c r="I1787" s="6" t="str">
        <x:f>IF(AND(NOT(COUNTA(A1787:F1787)=0),K1787=""),ROUND(J1787-D1787,3),"")</x:f>
      </x:c>
      <x:c r="J1787" s="6" t="str">
        <x:f>IF(AND(NOT(COUNTA(A1787:F1787)=0),K1787=""),ROUND(F1787+L1787,3),"")</x:f>
      </x:c>
      <x:c r="K1787" s="5" t="str">
        <x:f>IF(COUNTA(A1787:F1787)=0,"",IF(A1787="","Missing equipment ID",IF(COUNTIFS($N$8:$N$2007,"="&amp;N1787)&gt;1,"Duplicate equipment ID",IF(B1787="","Missing type",IF(COUNTIFS('Rules'!$G$7:$G$26,"="&amp;(SUBSTITUTE(SUBSTITUTE(SUBSTITUTE(SUBSTITUTE("type:"&amp;B1787,"%","%25"),"~","%7E"),"*","%2A"),"?","%3F")))=0,"Unknown type",IF(COUNTIFS('Rules'!$G$7:$G$26,"="&amp;(SUBSTITUTE(SUBSTITUTE(SUBSTITUTE(SUBSTITUTE("type:"&amp;B1787,"%","%25"),"~","%7E"),"*","%2A"),"?","%3F")))&gt;1,"Duplicate type",IF(INDEX('Rules'!$F$7:$F$26,MATCH(SUBSTITUTE(SUBSTITUTE(SUBSTITUTE(SUBSTITUTE("type:"&amp;B1787,"%","%25"),"~","%7E"),"*","%2A"),"?","%3F"),'Rules'!$G$7:$G$26,0))&lt;&gt;"",INDEX('Rules'!$F$7:$F$26,MATCH(SUBSTITUTE(SUBSTITUTE(SUBSTITUTE(SUBSTITUTE("type:"&amp;B1787,"%","%25"),"~","%7E"),"*","%2A"),"?","%3F"),'Rules'!$G$7:$G$26,0)),IF(AND(C1787&lt;&gt;"",C1787&lt;&gt;INDEX('Rules'!$B$7:$B$26,MATCH(SUBSTITUTE(SUBSTITUTE(SUBSTITUTE(SUBSTITUTE("type:"&amp;B1787,"%","%25"),"~","%7E"),"*","%2A"),"?","%3F"),'Rules'!$G$7:$G$26,0))),"Unit mismatch",IF(IF(NOT(ISNUMBER(D1787)),TRUE,OR(D1787&lt;0,D1787&gt;999999999,ROUND(D1787,3)&lt;&gt;D1787)),"Invalid current reading",IF(AND(E1787&lt;&gt;"",IF(NOT(ISNUMBER(E1787)),TRUE,OR(E1787&lt;0,E1787&gt;999999999,ROUND(E1787,3)&lt;&gt;E1787))),"Invalid previous reading",IF(IF(NOT(ISNUMBER(F1787)),TRUE,OR(F1787&lt;0,F1787&gt;999999999,ROUND(F1787,3)&lt;&gt;F1787)),"Invalid last service",IF(AND(E1787&lt;&gt;"",D1787&lt;E1787),"Decreased reading",IF(F1787&gt;D1787,"Last service above current","")))))))))))))</x:f>
      </x:c>
      <x:c r="L1787" s="6" t="str">
        <x:f>IF(AND(NOT(COUNTA(A1787:F1787)=0),K1787=""),INDEX('Rules'!$C$7:$C$26,MATCH(SUBSTITUTE(SUBSTITUTE(SUBSTITUTE(SUBSTITUTE("type:"&amp;B1787,"%","%25"),"~","%7E"),"*","%2A"),"?","%3F"),'Rules'!$G$7:$G$26,0)),"")</x:f>
      </x:c>
      <x:c r="M1787" s="6" t="str">
        <x:f>IF(AND(NOT(COUNTA(A1787:F1787)=0),K1787=""),INDEX('Rules'!$D$7:$D$26,MATCH(SUBSTITUTE(SUBSTITUTE(SUBSTITUTE(SUBSTITUTE("type:"&amp;B1787,"%","%25"),"~","%7E"),"*","%2A"),"?","%3F"),'Rules'!$G$7:$G$26,0)),"")</x:f>
      </x:c>
      <x:c r="N1787" s="5" t="str">
        <x:f>IF(COUNTA(A1787:F1787)=0,"",SUBSTITUTE(SUBSTITUTE(SUBSTITUTE(SUBSTITUTE("id:"&amp;A1787,"%","%25"),"~","%7E"),"*","%2A"),"?","%3F"))</x:f>
      </x:c>
    </x:row>
    <x:row r="1788" ht="22" customHeight="1">
      <x:c r="A1788" s="3"/>
      <x:c r="B1788" s="3"/>
      <x:c r="C1788" s="3"/>
      <x:c r="D1788" s="4"/>
      <x:c r="E1788" s="4"/>
      <x:c r="F1788" s="4"/>
      <x:c r="G1788" s="5" t="str">
        <x:f>IF(COUNTA(A1788:F1788)=0,"",IF(K1788&lt;&gt;"","Review",IF(I1788&lt;0,"Overdue",IF(I1788=0,"Due now",IF(I1788&lt;=M1788,"Due soon","Not due")))))</x:f>
      </x:c>
      <x:c r="H1788" s="5" t="str">
        <x:f>IF(OR(COUNTA(A1788:F1788)=0,COUNTIFS('Rules'!$G$7:$G$26,"="&amp;(SUBSTITUTE(SUBSTITUTE(SUBSTITUTE(SUBSTITUTE("type:"&amp;B1788,"%","%25"),"~","%7E"),"*","%2A"),"?","%3F")))&lt;&gt;1),"",IF(OR(INDEX('Rules'!$B$7:$B$26,MATCH(SUBSTITUTE(SUBSTITUTE(SUBSTITUTE(SUBSTITUTE("type:"&amp;B1788,"%","%25"),"~","%7E"),"*","%2A"),"?","%3F"),'Rules'!$G$7:$G$26,0))="hours",INDEX('Rules'!$B$7:$B$26,MATCH(SUBSTITUTE(SUBSTITUTE(SUBSTITUTE(SUBSTITUTE("type:"&amp;B1788,"%","%25"),"~","%7E"),"*","%2A"),"?","%3F"),'Rules'!$G$7:$G$26,0))="km"),INDEX('Rules'!$B$7:$B$26,MATCH(SUBSTITUTE(SUBSTITUTE(SUBSTITUTE(SUBSTITUTE("type:"&amp;B1788,"%","%25"),"~","%7E"),"*","%2A"),"?","%3F"),'Rules'!$G$7:$G$26,0)),""))</x:f>
      </x:c>
      <x:c r="I1788" s="6" t="str">
        <x:f>IF(AND(NOT(COUNTA(A1788:F1788)=0),K1788=""),ROUND(J1788-D1788,3),"")</x:f>
      </x:c>
      <x:c r="J1788" s="6" t="str">
        <x:f>IF(AND(NOT(COUNTA(A1788:F1788)=0),K1788=""),ROUND(F1788+L1788,3),"")</x:f>
      </x:c>
      <x:c r="K1788" s="5" t="str">
        <x:f>IF(COUNTA(A1788:F1788)=0,"",IF(A1788="","Missing equipment ID",IF(COUNTIFS($N$8:$N$2007,"="&amp;N1788)&gt;1,"Duplicate equipment ID",IF(B1788="","Missing type",IF(COUNTIFS('Rules'!$G$7:$G$26,"="&amp;(SUBSTITUTE(SUBSTITUTE(SUBSTITUTE(SUBSTITUTE("type:"&amp;B1788,"%","%25"),"~","%7E"),"*","%2A"),"?","%3F")))=0,"Unknown type",IF(COUNTIFS('Rules'!$G$7:$G$26,"="&amp;(SUBSTITUTE(SUBSTITUTE(SUBSTITUTE(SUBSTITUTE("type:"&amp;B1788,"%","%25"),"~","%7E"),"*","%2A"),"?","%3F")))&gt;1,"Duplicate type",IF(INDEX('Rules'!$F$7:$F$26,MATCH(SUBSTITUTE(SUBSTITUTE(SUBSTITUTE(SUBSTITUTE("type:"&amp;B1788,"%","%25"),"~","%7E"),"*","%2A"),"?","%3F"),'Rules'!$G$7:$G$26,0))&lt;&gt;"",INDEX('Rules'!$F$7:$F$26,MATCH(SUBSTITUTE(SUBSTITUTE(SUBSTITUTE(SUBSTITUTE("type:"&amp;B1788,"%","%25"),"~","%7E"),"*","%2A"),"?","%3F"),'Rules'!$G$7:$G$26,0)),IF(AND(C1788&lt;&gt;"",C1788&lt;&gt;INDEX('Rules'!$B$7:$B$26,MATCH(SUBSTITUTE(SUBSTITUTE(SUBSTITUTE(SUBSTITUTE("type:"&amp;B1788,"%","%25"),"~","%7E"),"*","%2A"),"?","%3F"),'Rules'!$G$7:$G$26,0))),"Unit mismatch",IF(IF(NOT(ISNUMBER(D1788)),TRUE,OR(D1788&lt;0,D1788&gt;999999999,ROUND(D1788,3)&lt;&gt;D1788)),"Invalid current reading",IF(AND(E1788&lt;&gt;"",IF(NOT(ISNUMBER(E1788)),TRUE,OR(E1788&lt;0,E1788&gt;999999999,ROUND(E1788,3)&lt;&gt;E1788))),"Invalid previous reading",IF(IF(NOT(ISNUMBER(F1788)),TRUE,OR(F1788&lt;0,F1788&gt;999999999,ROUND(F1788,3)&lt;&gt;F1788)),"Invalid last service",IF(AND(E1788&lt;&gt;"",D1788&lt;E1788),"Decreased reading",IF(F1788&gt;D1788,"Last service above current","")))))))))))))</x:f>
      </x:c>
      <x:c r="L1788" s="6" t="str">
        <x:f>IF(AND(NOT(COUNTA(A1788:F1788)=0),K1788=""),INDEX('Rules'!$C$7:$C$26,MATCH(SUBSTITUTE(SUBSTITUTE(SUBSTITUTE(SUBSTITUTE("type:"&amp;B1788,"%","%25"),"~","%7E"),"*","%2A"),"?","%3F"),'Rules'!$G$7:$G$26,0)),"")</x:f>
      </x:c>
      <x:c r="M1788" s="6" t="str">
        <x:f>IF(AND(NOT(COUNTA(A1788:F1788)=0),K1788=""),INDEX('Rules'!$D$7:$D$26,MATCH(SUBSTITUTE(SUBSTITUTE(SUBSTITUTE(SUBSTITUTE("type:"&amp;B1788,"%","%25"),"~","%7E"),"*","%2A"),"?","%3F"),'Rules'!$G$7:$G$26,0)),"")</x:f>
      </x:c>
      <x:c r="N1788" s="5" t="str">
        <x:f>IF(COUNTA(A1788:F1788)=0,"",SUBSTITUTE(SUBSTITUTE(SUBSTITUTE(SUBSTITUTE("id:"&amp;A1788,"%","%25"),"~","%7E"),"*","%2A"),"?","%3F"))</x:f>
      </x:c>
    </x:row>
    <x:row r="1789" ht="22" customHeight="1">
      <x:c r="A1789" s="3"/>
      <x:c r="B1789" s="3"/>
      <x:c r="C1789" s="3"/>
      <x:c r="D1789" s="4"/>
      <x:c r="E1789" s="4"/>
      <x:c r="F1789" s="4"/>
      <x:c r="G1789" s="5" t="str">
        <x:f>IF(COUNTA(A1789:F1789)=0,"",IF(K1789&lt;&gt;"","Review",IF(I1789&lt;0,"Overdue",IF(I1789=0,"Due now",IF(I1789&lt;=M1789,"Due soon","Not due")))))</x:f>
      </x:c>
      <x:c r="H1789" s="5" t="str">
        <x:f>IF(OR(COUNTA(A1789:F1789)=0,COUNTIFS('Rules'!$G$7:$G$26,"="&amp;(SUBSTITUTE(SUBSTITUTE(SUBSTITUTE(SUBSTITUTE("type:"&amp;B1789,"%","%25"),"~","%7E"),"*","%2A"),"?","%3F")))&lt;&gt;1),"",IF(OR(INDEX('Rules'!$B$7:$B$26,MATCH(SUBSTITUTE(SUBSTITUTE(SUBSTITUTE(SUBSTITUTE("type:"&amp;B1789,"%","%25"),"~","%7E"),"*","%2A"),"?","%3F"),'Rules'!$G$7:$G$26,0))="hours",INDEX('Rules'!$B$7:$B$26,MATCH(SUBSTITUTE(SUBSTITUTE(SUBSTITUTE(SUBSTITUTE("type:"&amp;B1789,"%","%25"),"~","%7E"),"*","%2A"),"?","%3F"),'Rules'!$G$7:$G$26,0))="km"),INDEX('Rules'!$B$7:$B$26,MATCH(SUBSTITUTE(SUBSTITUTE(SUBSTITUTE(SUBSTITUTE("type:"&amp;B1789,"%","%25"),"~","%7E"),"*","%2A"),"?","%3F"),'Rules'!$G$7:$G$26,0)),""))</x:f>
      </x:c>
      <x:c r="I1789" s="6" t="str">
        <x:f>IF(AND(NOT(COUNTA(A1789:F1789)=0),K1789=""),ROUND(J1789-D1789,3),"")</x:f>
      </x:c>
      <x:c r="J1789" s="6" t="str">
        <x:f>IF(AND(NOT(COUNTA(A1789:F1789)=0),K1789=""),ROUND(F1789+L1789,3),"")</x:f>
      </x:c>
      <x:c r="K1789" s="5" t="str">
        <x:f>IF(COUNTA(A1789:F1789)=0,"",IF(A1789="","Missing equipment ID",IF(COUNTIFS($N$8:$N$2007,"="&amp;N1789)&gt;1,"Duplicate equipment ID",IF(B1789="","Missing type",IF(COUNTIFS('Rules'!$G$7:$G$26,"="&amp;(SUBSTITUTE(SUBSTITUTE(SUBSTITUTE(SUBSTITUTE("type:"&amp;B1789,"%","%25"),"~","%7E"),"*","%2A"),"?","%3F")))=0,"Unknown type",IF(COUNTIFS('Rules'!$G$7:$G$26,"="&amp;(SUBSTITUTE(SUBSTITUTE(SUBSTITUTE(SUBSTITUTE("type:"&amp;B1789,"%","%25"),"~","%7E"),"*","%2A"),"?","%3F")))&gt;1,"Duplicate type",IF(INDEX('Rules'!$F$7:$F$26,MATCH(SUBSTITUTE(SUBSTITUTE(SUBSTITUTE(SUBSTITUTE("type:"&amp;B1789,"%","%25"),"~","%7E"),"*","%2A"),"?","%3F"),'Rules'!$G$7:$G$26,0))&lt;&gt;"",INDEX('Rules'!$F$7:$F$26,MATCH(SUBSTITUTE(SUBSTITUTE(SUBSTITUTE(SUBSTITUTE("type:"&amp;B1789,"%","%25"),"~","%7E"),"*","%2A"),"?","%3F"),'Rules'!$G$7:$G$26,0)),IF(AND(C1789&lt;&gt;"",C1789&lt;&gt;INDEX('Rules'!$B$7:$B$26,MATCH(SUBSTITUTE(SUBSTITUTE(SUBSTITUTE(SUBSTITUTE("type:"&amp;B1789,"%","%25"),"~","%7E"),"*","%2A"),"?","%3F"),'Rules'!$G$7:$G$26,0))),"Unit mismatch",IF(IF(NOT(ISNUMBER(D1789)),TRUE,OR(D1789&lt;0,D1789&gt;999999999,ROUND(D1789,3)&lt;&gt;D1789)),"Invalid current reading",IF(AND(E1789&lt;&gt;"",IF(NOT(ISNUMBER(E1789)),TRUE,OR(E1789&lt;0,E1789&gt;999999999,ROUND(E1789,3)&lt;&gt;E1789))),"Invalid previous reading",IF(IF(NOT(ISNUMBER(F1789)),TRUE,OR(F1789&lt;0,F1789&gt;999999999,ROUND(F1789,3)&lt;&gt;F1789)),"Invalid last service",IF(AND(E1789&lt;&gt;"",D1789&lt;E1789),"Decreased reading",IF(F1789&gt;D1789,"Last service above current","")))))))))))))</x:f>
      </x:c>
      <x:c r="L1789" s="6" t="str">
        <x:f>IF(AND(NOT(COUNTA(A1789:F1789)=0),K1789=""),INDEX('Rules'!$C$7:$C$26,MATCH(SUBSTITUTE(SUBSTITUTE(SUBSTITUTE(SUBSTITUTE("type:"&amp;B1789,"%","%25"),"~","%7E"),"*","%2A"),"?","%3F"),'Rules'!$G$7:$G$26,0)),"")</x:f>
      </x:c>
      <x:c r="M1789" s="6" t="str">
        <x:f>IF(AND(NOT(COUNTA(A1789:F1789)=0),K1789=""),INDEX('Rules'!$D$7:$D$26,MATCH(SUBSTITUTE(SUBSTITUTE(SUBSTITUTE(SUBSTITUTE("type:"&amp;B1789,"%","%25"),"~","%7E"),"*","%2A"),"?","%3F"),'Rules'!$G$7:$G$26,0)),"")</x:f>
      </x:c>
      <x:c r="N1789" s="5" t="str">
        <x:f>IF(COUNTA(A1789:F1789)=0,"",SUBSTITUTE(SUBSTITUTE(SUBSTITUTE(SUBSTITUTE("id:"&amp;A1789,"%","%25"),"~","%7E"),"*","%2A"),"?","%3F"))</x:f>
      </x:c>
    </x:row>
    <x:row r="1790" ht="22" customHeight="1">
      <x:c r="A1790" s="3"/>
      <x:c r="B1790" s="3"/>
      <x:c r="C1790" s="3"/>
      <x:c r="D1790" s="4"/>
      <x:c r="E1790" s="4"/>
      <x:c r="F1790" s="4"/>
      <x:c r="G1790" s="5" t="str">
        <x:f>IF(COUNTA(A1790:F1790)=0,"",IF(K1790&lt;&gt;"","Review",IF(I1790&lt;0,"Overdue",IF(I1790=0,"Due now",IF(I1790&lt;=M1790,"Due soon","Not due")))))</x:f>
      </x:c>
      <x:c r="H1790" s="5" t="str">
        <x:f>IF(OR(COUNTA(A1790:F1790)=0,COUNTIFS('Rules'!$G$7:$G$26,"="&amp;(SUBSTITUTE(SUBSTITUTE(SUBSTITUTE(SUBSTITUTE("type:"&amp;B1790,"%","%25"),"~","%7E"),"*","%2A"),"?","%3F")))&lt;&gt;1),"",IF(OR(INDEX('Rules'!$B$7:$B$26,MATCH(SUBSTITUTE(SUBSTITUTE(SUBSTITUTE(SUBSTITUTE("type:"&amp;B1790,"%","%25"),"~","%7E"),"*","%2A"),"?","%3F"),'Rules'!$G$7:$G$26,0))="hours",INDEX('Rules'!$B$7:$B$26,MATCH(SUBSTITUTE(SUBSTITUTE(SUBSTITUTE(SUBSTITUTE("type:"&amp;B1790,"%","%25"),"~","%7E"),"*","%2A"),"?","%3F"),'Rules'!$G$7:$G$26,0))="km"),INDEX('Rules'!$B$7:$B$26,MATCH(SUBSTITUTE(SUBSTITUTE(SUBSTITUTE(SUBSTITUTE("type:"&amp;B1790,"%","%25"),"~","%7E"),"*","%2A"),"?","%3F"),'Rules'!$G$7:$G$26,0)),""))</x:f>
      </x:c>
      <x:c r="I1790" s="6" t="str">
        <x:f>IF(AND(NOT(COUNTA(A1790:F1790)=0),K1790=""),ROUND(J1790-D1790,3),"")</x:f>
      </x:c>
      <x:c r="J1790" s="6" t="str">
        <x:f>IF(AND(NOT(COUNTA(A1790:F1790)=0),K1790=""),ROUND(F1790+L1790,3),"")</x:f>
      </x:c>
      <x:c r="K1790" s="5" t="str">
        <x:f>IF(COUNTA(A1790:F1790)=0,"",IF(A1790="","Missing equipment ID",IF(COUNTIFS($N$8:$N$2007,"="&amp;N1790)&gt;1,"Duplicate equipment ID",IF(B1790="","Missing type",IF(COUNTIFS('Rules'!$G$7:$G$26,"="&amp;(SUBSTITUTE(SUBSTITUTE(SUBSTITUTE(SUBSTITUTE("type:"&amp;B1790,"%","%25"),"~","%7E"),"*","%2A"),"?","%3F")))=0,"Unknown type",IF(COUNTIFS('Rules'!$G$7:$G$26,"="&amp;(SUBSTITUTE(SUBSTITUTE(SUBSTITUTE(SUBSTITUTE("type:"&amp;B1790,"%","%25"),"~","%7E"),"*","%2A"),"?","%3F")))&gt;1,"Duplicate type",IF(INDEX('Rules'!$F$7:$F$26,MATCH(SUBSTITUTE(SUBSTITUTE(SUBSTITUTE(SUBSTITUTE("type:"&amp;B1790,"%","%25"),"~","%7E"),"*","%2A"),"?","%3F"),'Rules'!$G$7:$G$26,0))&lt;&gt;"",INDEX('Rules'!$F$7:$F$26,MATCH(SUBSTITUTE(SUBSTITUTE(SUBSTITUTE(SUBSTITUTE("type:"&amp;B1790,"%","%25"),"~","%7E"),"*","%2A"),"?","%3F"),'Rules'!$G$7:$G$26,0)),IF(AND(C1790&lt;&gt;"",C1790&lt;&gt;INDEX('Rules'!$B$7:$B$26,MATCH(SUBSTITUTE(SUBSTITUTE(SUBSTITUTE(SUBSTITUTE("type:"&amp;B1790,"%","%25"),"~","%7E"),"*","%2A"),"?","%3F"),'Rules'!$G$7:$G$26,0))),"Unit mismatch",IF(IF(NOT(ISNUMBER(D1790)),TRUE,OR(D1790&lt;0,D1790&gt;999999999,ROUND(D1790,3)&lt;&gt;D1790)),"Invalid current reading",IF(AND(E1790&lt;&gt;"",IF(NOT(ISNUMBER(E1790)),TRUE,OR(E1790&lt;0,E1790&gt;999999999,ROUND(E1790,3)&lt;&gt;E1790))),"Invalid previous reading",IF(IF(NOT(ISNUMBER(F1790)),TRUE,OR(F1790&lt;0,F1790&gt;999999999,ROUND(F1790,3)&lt;&gt;F1790)),"Invalid last service",IF(AND(E1790&lt;&gt;"",D1790&lt;E1790),"Decreased reading",IF(F1790&gt;D1790,"Last service above current","")))))))))))))</x:f>
      </x:c>
      <x:c r="L1790" s="6" t="str">
        <x:f>IF(AND(NOT(COUNTA(A1790:F1790)=0),K1790=""),INDEX('Rules'!$C$7:$C$26,MATCH(SUBSTITUTE(SUBSTITUTE(SUBSTITUTE(SUBSTITUTE("type:"&amp;B1790,"%","%25"),"~","%7E"),"*","%2A"),"?","%3F"),'Rules'!$G$7:$G$26,0)),"")</x:f>
      </x:c>
      <x:c r="M1790" s="6" t="str">
        <x:f>IF(AND(NOT(COUNTA(A1790:F1790)=0),K1790=""),INDEX('Rules'!$D$7:$D$26,MATCH(SUBSTITUTE(SUBSTITUTE(SUBSTITUTE(SUBSTITUTE("type:"&amp;B1790,"%","%25"),"~","%7E"),"*","%2A"),"?","%3F"),'Rules'!$G$7:$G$26,0)),"")</x:f>
      </x:c>
      <x:c r="N1790" s="5" t="str">
        <x:f>IF(COUNTA(A1790:F1790)=0,"",SUBSTITUTE(SUBSTITUTE(SUBSTITUTE(SUBSTITUTE("id:"&amp;A1790,"%","%25"),"~","%7E"),"*","%2A"),"?","%3F"))</x:f>
      </x:c>
    </x:row>
    <x:row r="1791" ht="22" customHeight="1">
      <x:c r="A1791" s="3"/>
      <x:c r="B1791" s="3"/>
      <x:c r="C1791" s="3"/>
      <x:c r="D1791" s="4"/>
      <x:c r="E1791" s="4"/>
      <x:c r="F1791" s="4"/>
      <x:c r="G1791" s="5" t="str">
        <x:f>IF(COUNTA(A1791:F1791)=0,"",IF(K1791&lt;&gt;"","Review",IF(I1791&lt;0,"Overdue",IF(I1791=0,"Due now",IF(I1791&lt;=M1791,"Due soon","Not due")))))</x:f>
      </x:c>
      <x:c r="H1791" s="5" t="str">
        <x:f>IF(OR(COUNTA(A1791:F1791)=0,COUNTIFS('Rules'!$G$7:$G$26,"="&amp;(SUBSTITUTE(SUBSTITUTE(SUBSTITUTE(SUBSTITUTE("type:"&amp;B1791,"%","%25"),"~","%7E"),"*","%2A"),"?","%3F")))&lt;&gt;1),"",IF(OR(INDEX('Rules'!$B$7:$B$26,MATCH(SUBSTITUTE(SUBSTITUTE(SUBSTITUTE(SUBSTITUTE("type:"&amp;B1791,"%","%25"),"~","%7E"),"*","%2A"),"?","%3F"),'Rules'!$G$7:$G$26,0))="hours",INDEX('Rules'!$B$7:$B$26,MATCH(SUBSTITUTE(SUBSTITUTE(SUBSTITUTE(SUBSTITUTE("type:"&amp;B1791,"%","%25"),"~","%7E"),"*","%2A"),"?","%3F"),'Rules'!$G$7:$G$26,0))="km"),INDEX('Rules'!$B$7:$B$26,MATCH(SUBSTITUTE(SUBSTITUTE(SUBSTITUTE(SUBSTITUTE("type:"&amp;B1791,"%","%25"),"~","%7E"),"*","%2A"),"?","%3F"),'Rules'!$G$7:$G$26,0)),""))</x:f>
      </x:c>
      <x:c r="I1791" s="6" t="str">
        <x:f>IF(AND(NOT(COUNTA(A1791:F1791)=0),K1791=""),ROUND(J1791-D1791,3),"")</x:f>
      </x:c>
      <x:c r="J1791" s="6" t="str">
        <x:f>IF(AND(NOT(COUNTA(A1791:F1791)=0),K1791=""),ROUND(F1791+L1791,3),"")</x:f>
      </x:c>
      <x:c r="K1791" s="5" t="str">
        <x:f>IF(COUNTA(A1791:F1791)=0,"",IF(A1791="","Missing equipment ID",IF(COUNTIFS($N$8:$N$2007,"="&amp;N1791)&gt;1,"Duplicate equipment ID",IF(B1791="","Missing type",IF(COUNTIFS('Rules'!$G$7:$G$26,"="&amp;(SUBSTITUTE(SUBSTITUTE(SUBSTITUTE(SUBSTITUTE("type:"&amp;B1791,"%","%25"),"~","%7E"),"*","%2A"),"?","%3F")))=0,"Unknown type",IF(COUNTIFS('Rules'!$G$7:$G$26,"="&amp;(SUBSTITUTE(SUBSTITUTE(SUBSTITUTE(SUBSTITUTE("type:"&amp;B1791,"%","%25"),"~","%7E"),"*","%2A"),"?","%3F")))&gt;1,"Duplicate type",IF(INDEX('Rules'!$F$7:$F$26,MATCH(SUBSTITUTE(SUBSTITUTE(SUBSTITUTE(SUBSTITUTE("type:"&amp;B1791,"%","%25"),"~","%7E"),"*","%2A"),"?","%3F"),'Rules'!$G$7:$G$26,0))&lt;&gt;"",INDEX('Rules'!$F$7:$F$26,MATCH(SUBSTITUTE(SUBSTITUTE(SUBSTITUTE(SUBSTITUTE("type:"&amp;B1791,"%","%25"),"~","%7E"),"*","%2A"),"?","%3F"),'Rules'!$G$7:$G$26,0)),IF(AND(C1791&lt;&gt;"",C1791&lt;&gt;INDEX('Rules'!$B$7:$B$26,MATCH(SUBSTITUTE(SUBSTITUTE(SUBSTITUTE(SUBSTITUTE("type:"&amp;B1791,"%","%25"),"~","%7E"),"*","%2A"),"?","%3F"),'Rules'!$G$7:$G$26,0))),"Unit mismatch",IF(IF(NOT(ISNUMBER(D1791)),TRUE,OR(D1791&lt;0,D1791&gt;999999999,ROUND(D1791,3)&lt;&gt;D1791)),"Invalid current reading",IF(AND(E1791&lt;&gt;"",IF(NOT(ISNUMBER(E1791)),TRUE,OR(E1791&lt;0,E1791&gt;999999999,ROUND(E1791,3)&lt;&gt;E1791))),"Invalid previous reading",IF(IF(NOT(ISNUMBER(F1791)),TRUE,OR(F1791&lt;0,F1791&gt;999999999,ROUND(F1791,3)&lt;&gt;F1791)),"Invalid last service",IF(AND(E1791&lt;&gt;"",D1791&lt;E1791),"Decreased reading",IF(F1791&gt;D1791,"Last service above current","")))))))))))))</x:f>
      </x:c>
      <x:c r="L1791" s="6" t="str">
        <x:f>IF(AND(NOT(COUNTA(A1791:F1791)=0),K1791=""),INDEX('Rules'!$C$7:$C$26,MATCH(SUBSTITUTE(SUBSTITUTE(SUBSTITUTE(SUBSTITUTE("type:"&amp;B1791,"%","%25"),"~","%7E"),"*","%2A"),"?","%3F"),'Rules'!$G$7:$G$26,0)),"")</x:f>
      </x:c>
      <x:c r="M1791" s="6" t="str">
        <x:f>IF(AND(NOT(COUNTA(A1791:F1791)=0),K1791=""),INDEX('Rules'!$D$7:$D$26,MATCH(SUBSTITUTE(SUBSTITUTE(SUBSTITUTE(SUBSTITUTE("type:"&amp;B1791,"%","%25"),"~","%7E"),"*","%2A"),"?","%3F"),'Rules'!$G$7:$G$26,0)),"")</x:f>
      </x:c>
      <x:c r="N1791" s="5" t="str">
        <x:f>IF(COUNTA(A1791:F1791)=0,"",SUBSTITUTE(SUBSTITUTE(SUBSTITUTE(SUBSTITUTE("id:"&amp;A1791,"%","%25"),"~","%7E"),"*","%2A"),"?","%3F"))</x:f>
      </x:c>
    </x:row>
    <x:row r="1792" ht="22" customHeight="1">
      <x:c r="A1792" s="3"/>
      <x:c r="B1792" s="3"/>
      <x:c r="C1792" s="3"/>
      <x:c r="D1792" s="4"/>
      <x:c r="E1792" s="4"/>
      <x:c r="F1792" s="4"/>
      <x:c r="G1792" s="5" t="str">
        <x:f>IF(COUNTA(A1792:F1792)=0,"",IF(K1792&lt;&gt;"","Review",IF(I1792&lt;0,"Overdue",IF(I1792=0,"Due now",IF(I1792&lt;=M1792,"Due soon","Not due")))))</x:f>
      </x:c>
      <x:c r="H1792" s="5" t="str">
        <x:f>IF(OR(COUNTA(A1792:F1792)=0,COUNTIFS('Rules'!$G$7:$G$26,"="&amp;(SUBSTITUTE(SUBSTITUTE(SUBSTITUTE(SUBSTITUTE("type:"&amp;B1792,"%","%25"),"~","%7E"),"*","%2A"),"?","%3F")))&lt;&gt;1),"",IF(OR(INDEX('Rules'!$B$7:$B$26,MATCH(SUBSTITUTE(SUBSTITUTE(SUBSTITUTE(SUBSTITUTE("type:"&amp;B1792,"%","%25"),"~","%7E"),"*","%2A"),"?","%3F"),'Rules'!$G$7:$G$26,0))="hours",INDEX('Rules'!$B$7:$B$26,MATCH(SUBSTITUTE(SUBSTITUTE(SUBSTITUTE(SUBSTITUTE("type:"&amp;B1792,"%","%25"),"~","%7E"),"*","%2A"),"?","%3F"),'Rules'!$G$7:$G$26,0))="km"),INDEX('Rules'!$B$7:$B$26,MATCH(SUBSTITUTE(SUBSTITUTE(SUBSTITUTE(SUBSTITUTE("type:"&amp;B1792,"%","%25"),"~","%7E"),"*","%2A"),"?","%3F"),'Rules'!$G$7:$G$26,0)),""))</x:f>
      </x:c>
      <x:c r="I1792" s="6" t="str">
        <x:f>IF(AND(NOT(COUNTA(A1792:F1792)=0),K1792=""),ROUND(J1792-D1792,3),"")</x:f>
      </x:c>
      <x:c r="J1792" s="6" t="str">
        <x:f>IF(AND(NOT(COUNTA(A1792:F1792)=0),K1792=""),ROUND(F1792+L1792,3),"")</x:f>
      </x:c>
      <x:c r="K1792" s="5" t="str">
        <x:f>IF(COUNTA(A1792:F1792)=0,"",IF(A1792="","Missing equipment ID",IF(COUNTIFS($N$8:$N$2007,"="&amp;N1792)&gt;1,"Duplicate equipment ID",IF(B1792="","Missing type",IF(COUNTIFS('Rules'!$G$7:$G$26,"="&amp;(SUBSTITUTE(SUBSTITUTE(SUBSTITUTE(SUBSTITUTE("type:"&amp;B1792,"%","%25"),"~","%7E"),"*","%2A"),"?","%3F")))=0,"Unknown type",IF(COUNTIFS('Rules'!$G$7:$G$26,"="&amp;(SUBSTITUTE(SUBSTITUTE(SUBSTITUTE(SUBSTITUTE("type:"&amp;B1792,"%","%25"),"~","%7E"),"*","%2A"),"?","%3F")))&gt;1,"Duplicate type",IF(INDEX('Rules'!$F$7:$F$26,MATCH(SUBSTITUTE(SUBSTITUTE(SUBSTITUTE(SUBSTITUTE("type:"&amp;B1792,"%","%25"),"~","%7E"),"*","%2A"),"?","%3F"),'Rules'!$G$7:$G$26,0))&lt;&gt;"",INDEX('Rules'!$F$7:$F$26,MATCH(SUBSTITUTE(SUBSTITUTE(SUBSTITUTE(SUBSTITUTE("type:"&amp;B1792,"%","%25"),"~","%7E"),"*","%2A"),"?","%3F"),'Rules'!$G$7:$G$26,0)),IF(AND(C1792&lt;&gt;"",C1792&lt;&gt;INDEX('Rules'!$B$7:$B$26,MATCH(SUBSTITUTE(SUBSTITUTE(SUBSTITUTE(SUBSTITUTE("type:"&amp;B1792,"%","%25"),"~","%7E"),"*","%2A"),"?","%3F"),'Rules'!$G$7:$G$26,0))),"Unit mismatch",IF(IF(NOT(ISNUMBER(D1792)),TRUE,OR(D1792&lt;0,D1792&gt;999999999,ROUND(D1792,3)&lt;&gt;D1792)),"Invalid current reading",IF(AND(E1792&lt;&gt;"",IF(NOT(ISNUMBER(E1792)),TRUE,OR(E1792&lt;0,E1792&gt;999999999,ROUND(E1792,3)&lt;&gt;E1792))),"Invalid previous reading",IF(IF(NOT(ISNUMBER(F1792)),TRUE,OR(F1792&lt;0,F1792&gt;999999999,ROUND(F1792,3)&lt;&gt;F1792)),"Invalid last service",IF(AND(E1792&lt;&gt;"",D1792&lt;E1792),"Decreased reading",IF(F1792&gt;D1792,"Last service above current","")))))))))))))</x:f>
      </x:c>
      <x:c r="L1792" s="6" t="str">
        <x:f>IF(AND(NOT(COUNTA(A1792:F1792)=0),K1792=""),INDEX('Rules'!$C$7:$C$26,MATCH(SUBSTITUTE(SUBSTITUTE(SUBSTITUTE(SUBSTITUTE("type:"&amp;B1792,"%","%25"),"~","%7E"),"*","%2A"),"?","%3F"),'Rules'!$G$7:$G$26,0)),"")</x:f>
      </x:c>
      <x:c r="M1792" s="6" t="str">
        <x:f>IF(AND(NOT(COUNTA(A1792:F1792)=0),K1792=""),INDEX('Rules'!$D$7:$D$26,MATCH(SUBSTITUTE(SUBSTITUTE(SUBSTITUTE(SUBSTITUTE("type:"&amp;B1792,"%","%25"),"~","%7E"),"*","%2A"),"?","%3F"),'Rules'!$G$7:$G$26,0)),"")</x:f>
      </x:c>
      <x:c r="N1792" s="5" t="str">
        <x:f>IF(COUNTA(A1792:F1792)=0,"",SUBSTITUTE(SUBSTITUTE(SUBSTITUTE(SUBSTITUTE("id:"&amp;A1792,"%","%25"),"~","%7E"),"*","%2A"),"?","%3F"))</x:f>
      </x:c>
    </x:row>
    <x:row r="1793" ht="22" customHeight="1">
      <x:c r="A1793" s="3"/>
      <x:c r="B1793" s="3"/>
      <x:c r="C1793" s="3"/>
      <x:c r="D1793" s="4"/>
      <x:c r="E1793" s="4"/>
      <x:c r="F1793" s="4"/>
      <x:c r="G1793" s="5" t="str">
        <x:f>IF(COUNTA(A1793:F1793)=0,"",IF(K1793&lt;&gt;"","Review",IF(I1793&lt;0,"Overdue",IF(I1793=0,"Due now",IF(I1793&lt;=M1793,"Due soon","Not due")))))</x:f>
      </x:c>
      <x:c r="H1793" s="5" t="str">
        <x:f>IF(OR(COUNTA(A1793:F1793)=0,COUNTIFS('Rules'!$G$7:$G$26,"="&amp;(SUBSTITUTE(SUBSTITUTE(SUBSTITUTE(SUBSTITUTE("type:"&amp;B1793,"%","%25"),"~","%7E"),"*","%2A"),"?","%3F")))&lt;&gt;1),"",IF(OR(INDEX('Rules'!$B$7:$B$26,MATCH(SUBSTITUTE(SUBSTITUTE(SUBSTITUTE(SUBSTITUTE("type:"&amp;B1793,"%","%25"),"~","%7E"),"*","%2A"),"?","%3F"),'Rules'!$G$7:$G$26,0))="hours",INDEX('Rules'!$B$7:$B$26,MATCH(SUBSTITUTE(SUBSTITUTE(SUBSTITUTE(SUBSTITUTE("type:"&amp;B1793,"%","%25"),"~","%7E"),"*","%2A"),"?","%3F"),'Rules'!$G$7:$G$26,0))="km"),INDEX('Rules'!$B$7:$B$26,MATCH(SUBSTITUTE(SUBSTITUTE(SUBSTITUTE(SUBSTITUTE("type:"&amp;B1793,"%","%25"),"~","%7E"),"*","%2A"),"?","%3F"),'Rules'!$G$7:$G$26,0)),""))</x:f>
      </x:c>
      <x:c r="I1793" s="6" t="str">
        <x:f>IF(AND(NOT(COUNTA(A1793:F1793)=0),K1793=""),ROUND(J1793-D1793,3),"")</x:f>
      </x:c>
      <x:c r="J1793" s="6" t="str">
        <x:f>IF(AND(NOT(COUNTA(A1793:F1793)=0),K1793=""),ROUND(F1793+L1793,3),"")</x:f>
      </x:c>
      <x:c r="K1793" s="5" t="str">
        <x:f>IF(COUNTA(A1793:F1793)=0,"",IF(A1793="","Missing equipment ID",IF(COUNTIFS($N$8:$N$2007,"="&amp;N1793)&gt;1,"Duplicate equipment ID",IF(B1793="","Missing type",IF(COUNTIFS('Rules'!$G$7:$G$26,"="&amp;(SUBSTITUTE(SUBSTITUTE(SUBSTITUTE(SUBSTITUTE("type:"&amp;B1793,"%","%25"),"~","%7E"),"*","%2A"),"?","%3F")))=0,"Unknown type",IF(COUNTIFS('Rules'!$G$7:$G$26,"="&amp;(SUBSTITUTE(SUBSTITUTE(SUBSTITUTE(SUBSTITUTE("type:"&amp;B1793,"%","%25"),"~","%7E"),"*","%2A"),"?","%3F")))&gt;1,"Duplicate type",IF(INDEX('Rules'!$F$7:$F$26,MATCH(SUBSTITUTE(SUBSTITUTE(SUBSTITUTE(SUBSTITUTE("type:"&amp;B1793,"%","%25"),"~","%7E"),"*","%2A"),"?","%3F"),'Rules'!$G$7:$G$26,0))&lt;&gt;"",INDEX('Rules'!$F$7:$F$26,MATCH(SUBSTITUTE(SUBSTITUTE(SUBSTITUTE(SUBSTITUTE("type:"&amp;B1793,"%","%25"),"~","%7E"),"*","%2A"),"?","%3F"),'Rules'!$G$7:$G$26,0)),IF(AND(C1793&lt;&gt;"",C1793&lt;&gt;INDEX('Rules'!$B$7:$B$26,MATCH(SUBSTITUTE(SUBSTITUTE(SUBSTITUTE(SUBSTITUTE("type:"&amp;B1793,"%","%25"),"~","%7E"),"*","%2A"),"?","%3F"),'Rules'!$G$7:$G$26,0))),"Unit mismatch",IF(IF(NOT(ISNUMBER(D1793)),TRUE,OR(D1793&lt;0,D1793&gt;999999999,ROUND(D1793,3)&lt;&gt;D1793)),"Invalid current reading",IF(AND(E1793&lt;&gt;"",IF(NOT(ISNUMBER(E1793)),TRUE,OR(E1793&lt;0,E1793&gt;999999999,ROUND(E1793,3)&lt;&gt;E1793))),"Invalid previous reading",IF(IF(NOT(ISNUMBER(F1793)),TRUE,OR(F1793&lt;0,F1793&gt;999999999,ROUND(F1793,3)&lt;&gt;F1793)),"Invalid last service",IF(AND(E1793&lt;&gt;"",D1793&lt;E1793),"Decreased reading",IF(F1793&gt;D1793,"Last service above current","")))))))))))))</x:f>
      </x:c>
      <x:c r="L1793" s="6" t="str">
        <x:f>IF(AND(NOT(COUNTA(A1793:F1793)=0),K1793=""),INDEX('Rules'!$C$7:$C$26,MATCH(SUBSTITUTE(SUBSTITUTE(SUBSTITUTE(SUBSTITUTE("type:"&amp;B1793,"%","%25"),"~","%7E"),"*","%2A"),"?","%3F"),'Rules'!$G$7:$G$26,0)),"")</x:f>
      </x:c>
      <x:c r="M1793" s="6" t="str">
        <x:f>IF(AND(NOT(COUNTA(A1793:F1793)=0),K1793=""),INDEX('Rules'!$D$7:$D$26,MATCH(SUBSTITUTE(SUBSTITUTE(SUBSTITUTE(SUBSTITUTE("type:"&amp;B1793,"%","%25"),"~","%7E"),"*","%2A"),"?","%3F"),'Rules'!$G$7:$G$26,0)),"")</x:f>
      </x:c>
      <x:c r="N1793" s="5" t="str">
        <x:f>IF(COUNTA(A1793:F1793)=0,"",SUBSTITUTE(SUBSTITUTE(SUBSTITUTE(SUBSTITUTE("id:"&amp;A1793,"%","%25"),"~","%7E"),"*","%2A"),"?","%3F"))</x:f>
      </x:c>
    </x:row>
    <x:row r="1794" ht="22" customHeight="1">
      <x:c r="A1794" s="3"/>
      <x:c r="B1794" s="3"/>
      <x:c r="C1794" s="3"/>
      <x:c r="D1794" s="4"/>
      <x:c r="E1794" s="4"/>
      <x:c r="F1794" s="4"/>
      <x:c r="G1794" s="5" t="str">
        <x:f>IF(COUNTA(A1794:F1794)=0,"",IF(K1794&lt;&gt;"","Review",IF(I1794&lt;0,"Overdue",IF(I1794=0,"Due now",IF(I1794&lt;=M1794,"Due soon","Not due")))))</x:f>
      </x:c>
      <x:c r="H1794" s="5" t="str">
        <x:f>IF(OR(COUNTA(A1794:F1794)=0,COUNTIFS('Rules'!$G$7:$G$26,"="&amp;(SUBSTITUTE(SUBSTITUTE(SUBSTITUTE(SUBSTITUTE("type:"&amp;B1794,"%","%25"),"~","%7E"),"*","%2A"),"?","%3F")))&lt;&gt;1),"",IF(OR(INDEX('Rules'!$B$7:$B$26,MATCH(SUBSTITUTE(SUBSTITUTE(SUBSTITUTE(SUBSTITUTE("type:"&amp;B1794,"%","%25"),"~","%7E"),"*","%2A"),"?","%3F"),'Rules'!$G$7:$G$26,0))="hours",INDEX('Rules'!$B$7:$B$26,MATCH(SUBSTITUTE(SUBSTITUTE(SUBSTITUTE(SUBSTITUTE("type:"&amp;B1794,"%","%25"),"~","%7E"),"*","%2A"),"?","%3F"),'Rules'!$G$7:$G$26,0))="km"),INDEX('Rules'!$B$7:$B$26,MATCH(SUBSTITUTE(SUBSTITUTE(SUBSTITUTE(SUBSTITUTE("type:"&amp;B1794,"%","%25"),"~","%7E"),"*","%2A"),"?","%3F"),'Rules'!$G$7:$G$26,0)),""))</x:f>
      </x:c>
      <x:c r="I1794" s="6" t="str">
        <x:f>IF(AND(NOT(COUNTA(A1794:F1794)=0),K1794=""),ROUND(J1794-D1794,3),"")</x:f>
      </x:c>
      <x:c r="J1794" s="6" t="str">
        <x:f>IF(AND(NOT(COUNTA(A1794:F1794)=0),K1794=""),ROUND(F1794+L1794,3),"")</x:f>
      </x:c>
      <x:c r="K1794" s="5" t="str">
        <x:f>IF(COUNTA(A1794:F1794)=0,"",IF(A1794="","Missing equipment ID",IF(COUNTIFS($N$8:$N$2007,"="&amp;N1794)&gt;1,"Duplicate equipment ID",IF(B1794="","Missing type",IF(COUNTIFS('Rules'!$G$7:$G$26,"="&amp;(SUBSTITUTE(SUBSTITUTE(SUBSTITUTE(SUBSTITUTE("type:"&amp;B1794,"%","%25"),"~","%7E"),"*","%2A"),"?","%3F")))=0,"Unknown type",IF(COUNTIFS('Rules'!$G$7:$G$26,"="&amp;(SUBSTITUTE(SUBSTITUTE(SUBSTITUTE(SUBSTITUTE("type:"&amp;B1794,"%","%25"),"~","%7E"),"*","%2A"),"?","%3F")))&gt;1,"Duplicate type",IF(INDEX('Rules'!$F$7:$F$26,MATCH(SUBSTITUTE(SUBSTITUTE(SUBSTITUTE(SUBSTITUTE("type:"&amp;B1794,"%","%25"),"~","%7E"),"*","%2A"),"?","%3F"),'Rules'!$G$7:$G$26,0))&lt;&gt;"",INDEX('Rules'!$F$7:$F$26,MATCH(SUBSTITUTE(SUBSTITUTE(SUBSTITUTE(SUBSTITUTE("type:"&amp;B1794,"%","%25"),"~","%7E"),"*","%2A"),"?","%3F"),'Rules'!$G$7:$G$26,0)),IF(AND(C1794&lt;&gt;"",C1794&lt;&gt;INDEX('Rules'!$B$7:$B$26,MATCH(SUBSTITUTE(SUBSTITUTE(SUBSTITUTE(SUBSTITUTE("type:"&amp;B1794,"%","%25"),"~","%7E"),"*","%2A"),"?","%3F"),'Rules'!$G$7:$G$26,0))),"Unit mismatch",IF(IF(NOT(ISNUMBER(D1794)),TRUE,OR(D1794&lt;0,D1794&gt;999999999,ROUND(D1794,3)&lt;&gt;D1794)),"Invalid current reading",IF(AND(E1794&lt;&gt;"",IF(NOT(ISNUMBER(E1794)),TRUE,OR(E1794&lt;0,E1794&gt;999999999,ROUND(E1794,3)&lt;&gt;E1794))),"Invalid previous reading",IF(IF(NOT(ISNUMBER(F1794)),TRUE,OR(F1794&lt;0,F1794&gt;999999999,ROUND(F1794,3)&lt;&gt;F1794)),"Invalid last service",IF(AND(E1794&lt;&gt;"",D1794&lt;E1794),"Decreased reading",IF(F1794&gt;D1794,"Last service above current","")))))))))))))</x:f>
      </x:c>
      <x:c r="L1794" s="6" t="str">
        <x:f>IF(AND(NOT(COUNTA(A1794:F1794)=0),K1794=""),INDEX('Rules'!$C$7:$C$26,MATCH(SUBSTITUTE(SUBSTITUTE(SUBSTITUTE(SUBSTITUTE("type:"&amp;B1794,"%","%25"),"~","%7E"),"*","%2A"),"?","%3F"),'Rules'!$G$7:$G$26,0)),"")</x:f>
      </x:c>
      <x:c r="M1794" s="6" t="str">
        <x:f>IF(AND(NOT(COUNTA(A1794:F1794)=0),K1794=""),INDEX('Rules'!$D$7:$D$26,MATCH(SUBSTITUTE(SUBSTITUTE(SUBSTITUTE(SUBSTITUTE("type:"&amp;B1794,"%","%25"),"~","%7E"),"*","%2A"),"?","%3F"),'Rules'!$G$7:$G$26,0)),"")</x:f>
      </x:c>
      <x:c r="N1794" s="5" t="str">
        <x:f>IF(COUNTA(A1794:F1794)=0,"",SUBSTITUTE(SUBSTITUTE(SUBSTITUTE(SUBSTITUTE("id:"&amp;A1794,"%","%25"),"~","%7E"),"*","%2A"),"?","%3F"))</x:f>
      </x:c>
    </x:row>
    <x:row r="1795" ht="22" customHeight="1">
      <x:c r="A1795" s="3"/>
      <x:c r="B1795" s="3"/>
      <x:c r="C1795" s="3"/>
      <x:c r="D1795" s="4"/>
      <x:c r="E1795" s="4"/>
      <x:c r="F1795" s="4"/>
      <x:c r="G1795" s="5" t="str">
        <x:f>IF(COUNTA(A1795:F1795)=0,"",IF(K1795&lt;&gt;"","Review",IF(I1795&lt;0,"Overdue",IF(I1795=0,"Due now",IF(I1795&lt;=M1795,"Due soon","Not due")))))</x:f>
      </x:c>
      <x:c r="H1795" s="5" t="str">
        <x:f>IF(OR(COUNTA(A1795:F1795)=0,COUNTIFS('Rules'!$G$7:$G$26,"="&amp;(SUBSTITUTE(SUBSTITUTE(SUBSTITUTE(SUBSTITUTE("type:"&amp;B1795,"%","%25"),"~","%7E"),"*","%2A"),"?","%3F")))&lt;&gt;1),"",IF(OR(INDEX('Rules'!$B$7:$B$26,MATCH(SUBSTITUTE(SUBSTITUTE(SUBSTITUTE(SUBSTITUTE("type:"&amp;B1795,"%","%25"),"~","%7E"),"*","%2A"),"?","%3F"),'Rules'!$G$7:$G$26,0))="hours",INDEX('Rules'!$B$7:$B$26,MATCH(SUBSTITUTE(SUBSTITUTE(SUBSTITUTE(SUBSTITUTE("type:"&amp;B1795,"%","%25"),"~","%7E"),"*","%2A"),"?","%3F"),'Rules'!$G$7:$G$26,0))="km"),INDEX('Rules'!$B$7:$B$26,MATCH(SUBSTITUTE(SUBSTITUTE(SUBSTITUTE(SUBSTITUTE("type:"&amp;B1795,"%","%25"),"~","%7E"),"*","%2A"),"?","%3F"),'Rules'!$G$7:$G$26,0)),""))</x:f>
      </x:c>
      <x:c r="I1795" s="6" t="str">
        <x:f>IF(AND(NOT(COUNTA(A1795:F1795)=0),K1795=""),ROUND(J1795-D1795,3),"")</x:f>
      </x:c>
      <x:c r="J1795" s="6" t="str">
        <x:f>IF(AND(NOT(COUNTA(A1795:F1795)=0),K1795=""),ROUND(F1795+L1795,3),"")</x:f>
      </x:c>
      <x:c r="K1795" s="5" t="str">
        <x:f>IF(COUNTA(A1795:F1795)=0,"",IF(A1795="","Missing equipment ID",IF(COUNTIFS($N$8:$N$2007,"="&amp;N1795)&gt;1,"Duplicate equipment ID",IF(B1795="","Missing type",IF(COUNTIFS('Rules'!$G$7:$G$26,"="&amp;(SUBSTITUTE(SUBSTITUTE(SUBSTITUTE(SUBSTITUTE("type:"&amp;B1795,"%","%25"),"~","%7E"),"*","%2A"),"?","%3F")))=0,"Unknown type",IF(COUNTIFS('Rules'!$G$7:$G$26,"="&amp;(SUBSTITUTE(SUBSTITUTE(SUBSTITUTE(SUBSTITUTE("type:"&amp;B1795,"%","%25"),"~","%7E"),"*","%2A"),"?","%3F")))&gt;1,"Duplicate type",IF(INDEX('Rules'!$F$7:$F$26,MATCH(SUBSTITUTE(SUBSTITUTE(SUBSTITUTE(SUBSTITUTE("type:"&amp;B1795,"%","%25"),"~","%7E"),"*","%2A"),"?","%3F"),'Rules'!$G$7:$G$26,0))&lt;&gt;"",INDEX('Rules'!$F$7:$F$26,MATCH(SUBSTITUTE(SUBSTITUTE(SUBSTITUTE(SUBSTITUTE("type:"&amp;B1795,"%","%25"),"~","%7E"),"*","%2A"),"?","%3F"),'Rules'!$G$7:$G$26,0)),IF(AND(C1795&lt;&gt;"",C1795&lt;&gt;INDEX('Rules'!$B$7:$B$26,MATCH(SUBSTITUTE(SUBSTITUTE(SUBSTITUTE(SUBSTITUTE("type:"&amp;B1795,"%","%25"),"~","%7E"),"*","%2A"),"?","%3F"),'Rules'!$G$7:$G$26,0))),"Unit mismatch",IF(IF(NOT(ISNUMBER(D1795)),TRUE,OR(D1795&lt;0,D1795&gt;999999999,ROUND(D1795,3)&lt;&gt;D1795)),"Invalid current reading",IF(AND(E1795&lt;&gt;"",IF(NOT(ISNUMBER(E1795)),TRUE,OR(E1795&lt;0,E1795&gt;999999999,ROUND(E1795,3)&lt;&gt;E1795))),"Invalid previous reading",IF(IF(NOT(ISNUMBER(F1795)),TRUE,OR(F1795&lt;0,F1795&gt;999999999,ROUND(F1795,3)&lt;&gt;F1795)),"Invalid last service",IF(AND(E1795&lt;&gt;"",D1795&lt;E1795),"Decreased reading",IF(F1795&gt;D1795,"Last service above current","")))))))))))))</x:f>
      </x:c>
      <x:c r="L1795" s="6" t="str">
        <x:f>IF(AND(NOT(COUNTA(A1795:F1795)=0),K1795=""),INDEX('Rules'!$C$7:$C$26,MATCH(SUBSTITUTE(SUBSTITUTE(SUBSTITUTE(SUBSTITUTE("type:"&amp;B1795,"%","%25"),"~","%7E"),"*","%2A"),"?","%3F"),'Rules'!$G$7:$G$26,0)),"")</x:f>
      </x:c>
      <x:c r="M1795" s="6" t="str">
        <x:f>IF(AND(NOT(COUNTA(A1795:F1795)=0),K1795=""),INDEX('Rules'!$D$7:$D$26,MATCH(SUBSTITUTE(SUBSTITUTE(SUBSTITUTE(SUBSTITUTE("type:"&amp;B1795,"%","%25"),"~","%7E"),"*","%2A"),"?","%3F"),'Rules'!$G$7:$G$26,0)),"")</x:f>
      </x:c>
      <x:c r="N1795" s="5" t="str">
        <x:f>IF(COUNTA(A1795:F1795)=0,"",SUBSTITUTE(SUBSTITUTE(SUBSTITUTE(SUBSTITUTE("id:"&amp;A1795,"%","%25"),"~","%7E"),"*","%2A"),"?","%3F"))</x:f>
      </x:c>
    </x:row>
    <x:row r="1796" ht="22" customHeight="1">
      <x:c r="A1796" s="3"/>
      <x:c r="B1796" s="3"/>
      <x:c r="C1796" s="3"/>
      <x:c r="D1796" s="4"/>
      <x:c r="E1796" s="4"/>
      <x:c r="F1796" s="4"/>
      <x:c r="G1796" s="5" t="str">
        <x:f>IF(COUNTA(A1796:F1796)=0,"",IF(K1796&lt;&gt;"","Review",IF(I1796&lt;0,"Overdue",IF(I1796=0,"Due now",IF(I1796&lt;=M1796,"Due soon","Not due")))))</x:f>
      </x:c>
      <x:c r="H1796" s="5" t="str">
        <x:f>IF(OR(COUNTA(A1796:F1796)=0,COUNTIFS('Rules'!$G$7:$G$26,"="&amp;(SUBSTITUTE(SUBSTITUTE(SUBSTITUTE(SUBSTITUTE("type:"&amp;B1796,"%","%25"),"~","%7E"),"*","%2A"),"?","%3F")))&lt;&gt;1),"",IF(OR(INDEX('Rules'!$B$7:$B$26,MATCH(SUBSTITUTE(SUBSTITUTE(SUBSTITUTE(SUBSTITUTE("type:"&amp;B1796,"%","%25"),"~","%7E"),"*","%2A"),"?","%3F"),'Rules'!$G$7:$G$26,0))="hours",INDEX('Rules'!$B$7:$B$26,MATCH(SUBSTITUTE(SUBSTITUTE(SUBSTITUTE(SUBSTITUTE("type:"&amp;B1796,"%","%25"),"~","%7E"),"*","%2A"),"?","%3F"),'Rules'!$G$7:$G$26,0))="km"),INDEX('Rules'!$B$7:$B$26,MATCH(SUBSTITUTE(SUBSTITUTE(SUBSTITUTE(SUBSTITUTE("type:"&amp;B1796,"%","%25"),"~","%7E"),"*","%2A"),"?","%3F"),'Rules'!$G$7:$G$26,0)),""))</x:f>
      </x:c>
      <x:c r="I1796" s="6" t="str">
        <x:f>IF(AND(NOT(COUNTA(A1796:F1796)=0),K1796=""),ROUND(J1796-D1796,3),"")</x:f>
      </x:c>
      <x:c r="J1796" s="6" t="str">
        <x:f>IF(AND(NOT(COUNTA(A1796:F1796)=0),K1796=""),ROUND(F1796+L1796,3),"")</x:f>
      </x:c>
      <x:c r="K1796" s="5" t="str">
        <x:f>IF(COUNTA(A1796:F1796)=0,"",IF(A1796="","Missing equipment ID",IF(COUNTIFS($N$8:$N$2007,"="&amp;N1796)&gt;1,"Duplicate equipment ID",IF(B1796="","Missing type",IF(COUNTIFS('Rules'!$G$7:$G$26,"="&amp;(SUBSTITUTE(SUBSTITUTE(SUBSTITUTE(SUBSTITUTE("type:"&amp;B1796,"%","%25"),"~","%7E"),"*","%2A"),"?","%3F")))=0,"Unknown type",IF(COUNTIFS('Rules'!$G$7:$G$26,"="&amp;(SUBSTITUTE(SUBSTITUTE(SUBSTITUTE(SUBSTITUTE("type:"&amp;B1796,"%","%25"),"~","%7E"),"*","%2A"),"?","%3F")))&gt;1,"Duplicate type",IF(INDEX('Rules'!$F$7:$F$26,MATCH(SUBSTITUTE(SUBSTITUTE(SUBSTITUTE(SUBSTITUTE("type:"&amp;B1796,"%","%25"),"~","%7E"),"*","%2A"),"?","%3F"),'Rules'!$G$7:$G$26,0))&lt;&gt;"",INDEX('Rules'!$F$7:$F$26,MATCH(SUBSTITUTE(SUBSTITUTE(SUBSTITUTE(SUBSTITUTE("type:"&amp;B1796,"%","%25"),"~","%7E"),"*","%2A"),"?","%3F"),'Rules'!$G$7:$G$26,0)),IF(AND(C1796&lt;&gt;"",C1796&lt;&gt;INDEX('Rules'!$B$7:$B$26,MATCH(SUBSTITUTE(SUBSTITUTE(SUBSTITUTE(SUBSTITUTE("type:"&amp;B1796,"%","%25"),"~","%7E"),"*","%2A"),"?","%3F"),'Rules'!$G$7:$G$26,0))),"Unit mismatch",IF(IF(NOT(ISNUMBER(D1796)),TRUE,OR(D1796&lt;0,D1796&gt;999999999,ROUND(D1796,3)&lt;&gt;D1796)),"Invalid current reading",IF(AND(E1796&lt;&gt;"",IF(NOT(ISNUMBER(E1796)),TRUE,OR(E1796&lt;0,E1796&gt;999999999,ROUND(E1796,3)&lt;&gt;E1796))),"Invalid previous reading",IF(IF(NOT(ISNUMBER(F1796)),TRUE,OR(F1796&lt;0,F1796&gt;999999999,ROUND(F1796,3)&lt;&gt;F1796)),"Invalid last service",IF(AND(E1796&lt;&gt;"",D1796&lt;E1796),"Decreased reading",IF(F1796&gt;D1796,"Last service above current","")))))))))))))</x:f>
      </x:c>
      <x:c r="L1796" s="6" t="str">
        <x:f>IF(AND(NOT(COUNTA(A1796:F1796)=0),K1796=""),INDEX('Rules'!$C$7:$C$26,MATCH(SUBSTITUTE(SUBSTITUTE(SUBSTITUTE(SUBSTITUTE("type:"&amp;B1796,"%","%25"),"~","%7E"),"*","%2A"),"?","%3F"),'Rules'!$G$7:$G$26,0)),"")</x:f>
      </x:c>
      <x:c r="M1796" s="6" t="str">
        <x:f>IF(AND(NOT(COUNTA(A1796:F1796)=0),K1796=""),INDEX('Rules'!$D$7:$D$26,MATCH(SUBSTITUTE(SUBSTITUTE(SUBSTITUTE(SUBSTITUTE("type:"&amp;B1796,"%","%25"),"~","%7E"),"*","%2A"),"?","%3F"),'Rules'!$G$7:$G$26,0)),"")</x:f>
      </x:c>
      <x:c r="N1796" s="5" t="str">
        <x:f>IF(COUNTA(A1796:F1796)=0,"",SUBSTITUTE(SUBSTITUTE(SUBSTITUTE(SUBSTITUTE("id:"&amp;A1796,"%","%25"),"~","%7E"),"*","%2A"),"?","%3F"))</x:f>
      </x:c>
    </x:row>
    <x:row r="1797" ht="22" customHeight="1">
      <x:c r="A1797" s="3"/>
      <x:c r="B1797" s="3"/>
      <x:c r="C1797" s="3"/>
      <x:c r="D1797" s="4"/>
      <x:c r="E1797" s="4"/>
      <x:c r="F1797" s="4"/>
      <x:c r="G1797" s="5" t="str">
        <x:f>IF(COUNTA(A1797:F1797)=0,"",IF(K1797&lt;&gt;"","Review",IF(I1797&lt;0,"Overdue",IF(I1797=0,"Due now",IF(I1797&lt;=M1797,"Due soon","Not due")))))</x:f>
      </x:c>
      <x:c r="H1797" s="5" t="str">
        <x:f>IF(OR(COUNTA(A1797:F1797)=0,COUNTIFS('Rules'!$G$7:$G$26,"="&amp;(SUBSTITUTE(SUBSTITUTE(SUBSTITUTE(SUBSTITUTE("type:"&amp;B1797,"%","%25"),"~","%7E"),"*","%2A"),"?","%3F")))&lt;&gt;1),"",IF(OR(INDEX('Rules'!$B$7:$B$26,MATCH(SUBSTITUTE(SUBSTITUTE(SUBSTITUTE(SUBSTITUTE("type:"&amp;B1797,"%","%25"),"~","%7E"),"*","%2A"),"?","%3F"),'Rules'!$G$7:$G$26,0))="hours",INDEX('Rules'!$B$7:$B$26,MATCH(SUBSTITUTE(SUBSTITUTE(SUBSTITUTE(SUBSTITUTE("type:"&amp;B1797,"%","%25"),"~","%7E"),"*","%2A"),"?","%3F"),'Rules'!$G$7:$G$26,0))="km"),INDEX('Rules'!$B$7:$B$26,MATCH(SUBSTITUTE(SUBSTITUTE(SUBSTITUTE(SUBSTITUTE("type:"&amp;B1797,"%","%25"),"~","%7E"),"*","%2A"),"?","%3F"),'Rules'!$G$7:$G$26,0)),""))</x:f>
      </x:c>
      <x:c r="I1797" s="6" t="str">
        <x:f>IF(AND(NOT(COUNTA(A1797:F1797)=0),K1797=""),ROUND(J1797-D1797,3),"")</x:f>
      </x:c>
      <x:c r="J1797" s="6" t="str">
        <x:f>IF(AND(NOT(COUNTA(A1797:F1797)=0),K1797=""),ROUND(F1797+L1797,3),"")</x:f>
      </x:c>
      <x:c r="K1797" s="5" t="str">
        <x:f>IF(COUNTA(A1797:F1797)=0,"",IF(A1797="","Missing equipment ID",IF(COUNTIFS($N$8:$N$2007,"="&amp;N1797)&gt;1,"Duplicate equipment ID",IF(B1797="","Missing type",IF(COUNTIFS('Rules'!$G$7:$G$26,"="&amp;(SUBSTITUTE(SUBSTITUTE(SUBSTITUTE(SUBSTITUTE("type:"&amp;B1797,"%","%25"),"~","%7E"),"*","%2A"),"?","%3F")))=0,"Unknown type",IF(COUNTIFS('Rules'!$G$7:$G$26,"="&amp;(SUBSTITUTE(SUBSTITUTE(SUBSTITUTE(SUBSTITUTE("type:"&amp;B1797,"%","%25"),"~","%7E"),"*","%2A"),"?","%3F")))&gt;1,"Duplicate type",IF(INDEX('Rules'!$F$7:$F$26,MATCH(SUBSTITUTE(SUBSTITUTE(SUBSTITUTE(SUBSTITUTE("type:"&amp;B1797,"%","%25"),"~","%7E"),"*","%2A"),"?","%3F"),'Rules'!$G$7:$G$26,0))&lt;&gt;"",INDEX('Rules'!$F$7:$F$26,MATCH(SUBSTITUTE(SUBSTITUTE(SUBSTITUTE(SUBSTITUTE("type:"&amp;B1797,"%","%25"),"~","%7E"),"*","%2A"),"?","%3F"),'Rules'!$G$7:$G$26,0)),IF(AND(C1797&lt;&gt;"",C1797&lt;&gt;INDEX('Rules'!$B$7:$B$26,MATCH(SUBSTITUTE(SUBSTITUTE(SUBSTITUTE(SUBSTITUTE("type:"&amp;B1797,"%","%25"),"~","%7E"),"*","%2A"),"?","%3F"),'Rules'!$G$7:$G$26,0))),"Unit mismatch",IF(IF(NOT(ISNUMBER(D1797)),TRUE,OR(D1797&lt;0,D1797&gt;999999999,ROUND(D1797,3)&lt;&gt;D1797)),"Invalid current reading",IF(AND(E1797&lt;&gt;"",IF(NOT(ISNUMBER(E1797)),TRUE,OR(E1797&lt;0,E1797&gt;999999999,ROUND(E1797,3)&lt;&gt;E1797))),"Invalid previous reading",IF(IF(NOT(ISNUMBER(F1797)),TRUE,OR(F1797&lt;0,F1797&gt;999999999,ROUND(F1797,3)&lt;&gt;F1797)),"Invalid last service",IF(AND(E1797&lt;&gt;"",D1797&lt;E1797),"Decreased reading",IF(F1797&gt;D1797,"Last service above current","")))))))))))))</x:f>
      </x:c>
      <x:c r="L1797" s="6" t="str">
        <x:f>IF(AND(NOT(COUNTA(A1797:F1797)=0),K1797=""),INDEX('Rules'!$C$7:$C$26,MATCH(SUBSTITUTE(SUBSTITUTE(SUBSTITUTE(SUBSTITUTE("type:"&amp;B1797,"%","%25"),"~","%7E"),"*","%2A"),"?","%3F"),'Rules'!$G$7:$G$26,0)),"")</x:f>
      </x:c>
      <x:c r="M1797" s="6" t="str">
        <x:f>IF(AND(NOT(COUNTA(A1797:F1797)=0),K1797=""),INDEX('Rules'!$D$7:$D$26,MATCH(SUBSTITUTE(SUBSTITUTE(SUBSTITUTE(SUBSTITUTE("type:"&amp;B1797,"%","%25"),"~","%7E"),"*","%2A"),"?","%3F"),'Rules'!$G$7:$G$26,0)),"")</x:f>
      </x:c>
      <x:c r="N1797" s="5" t="str">
        <x:f>IF(COUNTA(A1797:F1797)=0,"",SUBSTITUTE(SUBSTITUTE(SUBSTITUTE(SUBSTITUTE("id:"&amp;A1797,"%","%25"),"~","%7E"),"*","%2A"),"?","%3F"))</x:f>
      </x:c>
    </x:row>
    <x:row r="1798" ht="22" customHeight="1">
      <x:c r="A1798" s="3"/>
      <x:c r="B1798" s="3"/>
      <x:c r="C1798" s="3"/>
      <x:c r="D1798" s="4"/>
      <x:c r="E1798" s="4"/>
      <x:c r="F1798" s="4"/>
      <x:c r="G1798" s="5" t="str">
        <x:f>IF(COUNTA(A1798:F1798)=0,"",IF(K1798&lt;&gt;"","Review",IF(I1798&lt;0,"Overdue",IF(I1798=0,"Due now",IF(I1798&lt;=M1798,"Due soon","Not due")))))</x:f>
      </x:c>
      <x:c r="H1798" s="5" t="str">
        <x:f>IF(OR(COUNTA(A1798:F1798)=0,COUNTIFS('Rules'!$G$7:$G$26,"="&amp;(SUBSTITUTE(SUBSTITUTE(SUBSTITUTE(SUBSTITUTE("type:"&amp;B1798,"%","%25"),"~","%7E"),"*","%2A"),"?","%3F")))&lt;&gt;1),"",IF(OR(INDEX('Rules'!$B$7:$B$26,MATCH(SUBSTITUTE(SUBSTITUTE(SUBSTITUTE(SUBSTITUTE("type:"&amp;B1798,"%","%25"),"~","%7E"),"*","%2A"),"?","%3F"),'Rules'!$G$7:$G$26,0))="hours",INDEX('Rules'!$B$7:$B$26,MATCH(SUBSTITUTE(SUBSTITUTE(SUBSTITUTE(SUBSTITUTE("type:"&amp;B1798,"%","%25"),"~","%7E"),"*","%2A"),"?","%3F"),'Rules'!$G$7:$G$26,0))="km"),INDEX('Rules'!$B$7:$B$26,MATCH(SUBSTITUTE(SUBSTITUTE(SUBSTITUTE(SUBSTITUTE("type:"&amp;B1798,"%","%25"),"~","%7E"),"*","%2A"),"?","%3F"),'Rules'!$G$7:$G$26,0)),""))</x:f>
      </x:c>
      <x:c r="I1798" s="6" t="str">
        <x:f>IF(AND(NOT(COUNTA(A1798:F1798)=0),K1798=""),ROUND(J1798-D1798,3),"")</x:f>
      </x:c>
      <x:c r="J1798" s="6" t="str">
        <x:f>IF(AND(NOT(COUNTA(A1798:F1798)=0),K1798=""),ROUND(F1798+L1798,3),"")</x:f>
      </x:c>
      <x:c r="K1798" s="5" t="str">
        <x:f>IF(COUNTA(A1798:F1798)=0,"",IF(A1798="","Missing equipment ID",IF(COUNTIFS($N$8:$N$2007,"="&amp;N1798)&gt;1,"Duplicate equipment ID",IF(B1798="","Missing type",IF(COUNTIFS('Rules'!$G$7:$G$26,"="&amp;(SUBSTITUTE(SUBSTITUTE(SUBSTITUTE(SUBSTITUTE("type:"&amp;B1798,"%","%25"),"~","%7E"),"*","%2A"),"?","%3F")))=0,"Unknown type",IF(COUNTIFS('Rules'!$G$7:$G$26,"="&amp;(SUBSTITUTE(SUBSTITUTE(SUBSTITUTE(SUBSTITUTE("type:"&amp;B1798,"%","%25"),"~","%7E"),"*","%2A"),"?","%3F")))&gt;1,"Duplicate type",IF(INDEX('Rules'!$F$7:$F$26,MATCH(SUBSTITUTE(SUBSTITUTE(SUBSTITUTE(SUBSTITUTE("type:"&amp;B1798,"%","%25"),"~","%7E"),"*","%2A"),"?","%3F"),'Rules'!$G$7:$G$26,0))&lt;&gt;"",INDEX('Rules'!$F$7:$F$26,MATCH(SUBSTITUTE(SUBSTITUTE(SUBSTITUTE(SUBSTITUTE("type:"&amp;B1798,"%","%25"),"~","%7E"),"*","%2A"),"?","%3F"),'Rules'!$G$7:$G$26,0)),IF(AND(C1798&lt;&gt;"",C1798&lt;&gt;INDEX('Rules'!$B$7:$B$26,MATCH(SUBSTITUTE(SUBSTITUTE(SUBSTITUTE(SUBSTITUTE("type:"&amp;B1798,"%","%25"),"~","%7E"),"*","%2A"),"?","%3F"),'Rules'!$G$7:$G$26,0))),"Unit mismatch",IF(IF(NOT(ISNUMBER(D1798)),TRUE,OR(D1798&lt;0,D1798&gt;999999999,ROUND(D1798,3)&lt;&gt;D1798)),"Invalid current reading",IF(AND(E1798&lt;&gt;"",IF(NOT(ISNUMBER(E1798)),TRUE,OR(E1798&lt;0,E1798&gt;999999999,ROUND(E1798,3)&lt;&gt;E1798))),"Invalid previous reading",IF(IF(NOT(ISNUMBER(F1798)),TRUE,OR(F1798&lt;0,F1798&gt;999999999,ROUND(F1798,3)&lt;&gt;F1798)),"Invalid last service",IF(AND(E1798&lt;&gt;"",D1798&lt;E1798),"Decreased reading",IF(F1798&gt;D1798,"Last service above current","")))))))))))))</x:f>
      </x:c>
      <x:c r="L1798" s="6" t="str">
        <x:f>IF(AND(NOT(COUNTA(A1798:F1798)=0),K1798=""),INDEX('Rules'!$C$7:$C$26,MATCH(SUBSTITUTE(SUBSTITUTE(SUBSTITUTE(SUBSTITUTE("type:"&amp;B1798,"%","%25"),"~","%7E"),"*","%2A"),"?","%3F"),'Rules'!$G$7:$G$26,0)),"")</x:f>
      </x:c>
      <x:c r="M1798" s="6" t="str">
        <x:f>IF(AND(NOT(COUNTA(A1798:F1798)=0),K1798=""),INDEX('Rules'!$D$7:$D$26,MATCH(SUBSTITUTE(SUBSTITUTE(SUBSTITUTE(SUBSTITUTE("type:"&amp;B1798,"%","%25"),"~","%7E"),"*","%2A"),"?","%3F"),'Rules'!$G$7:$G$26,0)),"")</x:f>
      </x:c>
      <x:c r="N1798" s="5" t="str">
        <x:f>IF(COUNTA(A1798:F1798)=0,"",SUBSTITUTE(SUBSTITUTE(SUBSTITUTE(SUBSTITUTE("id:"&amp;A1798,"%","%25"),"~","%7E"),"*","%2A"),"?","%3F"))</x:f>
      </x:c>
    </x:row>
    <x:row r="1799" ht="22" customHeight="1">
      <x:c r="A1799" s="3"/>
      <x:c r="B1799" s="3"/>
      <x:c r="C1799" s="3"/>
      <x:c r="D1799" s="4"/>
      <x:c r="E1799" s="4"/>
      <x:c r="F1799" s="4"/>
      <x:c r="G1799" s="5" t="str">
        <x:f>IF(COUNTA(A1799:F1799)=0,"",IF(K1799&lt;&gt;"","Review",IF(I1799&lt;0,"Overdue",IF(I1799=0,"Due now",IF(I1799&lt;=M1799,"Due soon","Not due")))))</x:f>
      </x:c>
      <x:c r="H1799" s="5" t="str">
        <x:f>IF(OR(COUNTA(A1799:F1799)=0,COUNTIFS('Rules'!$G$7:$G$26,"="&amp;(SUBSTITUTE(SUBSTITUTE(SUBSTITUTE(SUBSTITUTE("type:"&amp;B1799,"%","%25"),"~","%7E"),"*","%2A"),"?","%3F")))&lt;&gt;1),"",IF(OR(INDEX('Rules'!$B$7:$B$26,MATCH(SUBSTITUTE(SUBSTITUTE(SUBSTITUTE(SUBSTITUTE("type:"&amp;B1799,"%","%25"),"~","%7E"),"*","%2A"),"?","%3F"),'Rules'!$G$7:$G$26,0))="hours",INDEX('Rules'!$B$7:$B$26,MATCH(SUBSTITUTE(SUBSTITUTE(SUBSTITUTE(SUBSTITUTE("type:"&amp;B1799,"%","%25"),"~","%7E"),"*","%2A"),"?","%3F"),'Rules'!$G$7:$G$26,0))="km"),INDEX('Rules'!$B$7:$B$26,MATCH(SUBSTITUTE(SUBSTITUTE(SUBSTITUTE(SUBSTITUTE("type:"&amp;B1799,"%","%25"),"~","%7E"),"*","%2A"),"?","%3F"),'Rules'!$G$7:$G$26,0)),""))</x:f>
      </x:c>
      <x:c r="I1799" s="6" t="str">
        <x:f>IF(AND(NOT(COUNTA(A1799:F1799)=0),K1799=""),ROUND(J1799-D1799,3),"")</x:f>
      </x:c>
      <x:c r="J1799" s="6" t="str">
        <x:f>IF(AND(NOT(COUNTA(A1799:F1799)=0),K1799=""),ROUND(F1799+L1799,3),"")</x:f>
      </x:c>
      <x:c r="K1799" s="5" t="str">
        <x:f>IF(COUNTA(A1799:F1799)=0,"",IF(A1799="","Missing equipment ID",IF(COUNTIFS($N$8:$N$2007,"="&amp;N1799)&gt;1,"Duplicate equipment ID",IF(B1799="","Missing type",IF(COUNTIFS('Rules'!$G$7:$G$26,"="&amp;(SUBSTITUTE(SUBSTITUTE(SUBSTITUTE(SUBSTITUTE("type:"&amp;B1799,"%","%25"),"~","%7E"),"*","%2A"),"?","%3F")))=0,"Unknown type",IF(COUNTIFS('Rules'!$G$7:$G$26,"="&amp;(SUBSTITUTE(SUBSTITUTE(SUBSTITUTE(SUBSTITUTE("type:"&amp;B1799,"%","%25"),"~","%7E"),"*","%2A"),"?","%3F")))&gt;1,"Duplicate type",IF(INDEX('Rules'!$F$7:$F$26,MATCH(SUBSTITUTE(SUBSTITUTE(SUBSTITUTE(SUBSTITUTE("type:"&amp;B1799,"%","%25"),"~","%7E"),"*","%2A"),"?","%3F"),'Rules'!$G$7:$G$26,0))&lt;&gt;"",INDEX('Rules'!$F$7:$F$26,MATCH(SUBSTITUTE(SUBSTITUTE(SUBSTITUTE(SUBSTITUTE("type:"&amp;B1799,"%","%25"),"~","%7E"),"*","%2A"),"?","%3F"),'Rules'!$G$7:$G$26,0)),IF(AND(C1799&lt;&gt;"",C1799&lt;&gt;INDEX('Rules'!$B$7:$B$26,MATCH(SUBSTITUTE(SUBSTITUTE(SUBSTITUTE(SUBSTITUTE("type:"&amp;B1799,"%","%25"),"~","%7E"),"*","%2A"),"?","%3F"),'Rules'!$G$7:$G$26,0))),"Unit mismatch",IF(IF(NOT(ISNUMBER(D1799)),TRUE,OR(D1799&lt;0,D1799&gt;999999999,ROUND(D1799,3)&lt;&gt;D1799)),"Invalid current reading",IF(AND(E1799&lt;&gt;"",IF(NOT(ISNUMBER(E1799)),TRUE,OR(E1799&lt;0,E1799&gt;999999999,ROUND(E1799,3)&lt;&gt;E1799))),"Invalid previous reading",IF(IF(NOT(ISNUMBER(F1799)),TRUE,OR(F1799&lt;0,F1799&gt;999999999,ROUND(F1799,3)&lt;&gt;F1799)),"Invalid last service",IF(AND(E1799&lt;&gt;"",D1799&lt;E1799),"Decreased reading",IF(F1799&gt;D1799,"Last service above current","")))))))))))))</x:f>
      </x:c>
      <x:c r="L1799" s="6" t="str">
        <x:f>IF(AND(NOT(COUNTA(A1799:F1799)=0),K1799=""),INDEX('Rules'!$C$7:$C$26,MATCH(SUBSTITUTE(SUBSTITUTE(SUBSTITUTE(SUBSTITUTE("type:"&amp;B1799,"%","%25"),"~","%7E"),"*","%2A"),"?","%3F"),'Rules'!$G$7:$G$26,0)),"")</x:f>
      </x:c>
      <x:c r="M1799" s="6" t="str">
        <x:f>IF(AND(NOT(COUNTA(A1799:F1799)=0),K1799=""),INDEX('Rules'!$D$7:$D$26,MATCH(SUBSTITUTE(SUBSTITUTE(SUBSTITUTE(SUBSTITUTE("type:"&amp;B1799,"%","%25"),"~","%7E"),"*","%2A"),"?","%3F"),'Rules'!$G$7:$G$26,0)),"")</x:f>
      </x:c>
      <x:c r="N1799" s="5" t="str">
        <x:f>IF(COUNTA(A1799:F1799)=0,"",SUBSTITUTE(SUBSTITUTE(SUBSTITUTE(SUBSTITUTE("id:"&amp;A1799,"%","%25"),"~","%7E"),"*","%2A"),"?","%3F"))</x:f>
      </x:c>
    </x:row>
    <x:row r="1800" ht="22" customHeight="1">
      <x:c r="A1800" s="3"/>
      <x:c r="B1800" s="3"/>
      <x:c r="C1800" s="3"/>
      <x:c r="D1800" s="4"/>
      <x:c r="E1800" s="4"/>
      <x:c r="F1800" s="4"/>
      <x:c r="G1800" s="5" t="str">
        <x:f>IF(COUNTA(A1800:F1800)=0,"",IF(K1800&lt;&gt;"","Review",IF(I1800&lt;0,"Overdue",IF(I1800=0,"Due now",IF(I1800&lt;=M1800,"Due soon","Not due")))))</x:f>
      </x:c>
      <x:c r="H1800" s="5" t="str">
        <x:f>IF(OR(COUNTA(A1800:F1800)=0,COUNTIFS('Rules'!$G$7:$G$26,"="&amp;(SUBSTITUTE(SUBSTITUTE(SUBSTITUTE(SUBSTITUTE("type:"&amp;B1800,"%","%25"),"~","%7E"),"*","%2A"),"?","%3F")))&lt;&gt;1),"",IF(OR(INDEX('Rules'!$B$7:$B$26,MATCH(SUBSTITUTE(SUBSTITUTE(SUBSTITUTE(SUBSTITUTE("type:"&amp;B1800,"%","%25"),"~","%7E"),"*","%2A"),"?","%3F"),'Rules'!$G$7:$G$26,0))="hours",INDEX('Rules'!$B$7:$B$26,MATCH(SUBSTITUTE(SUBSTITUTE(SUBSTITUTE(SUBSTITUTE("type:"&amp;B1800,"%","%25"),"~","%7E"),"*","%2A"),"?","%3F"),'Rules'!$G$7:$G$26,0))="km"),INDEX('Rules'!$B$7:$B$26,MATCH(SUBSTITUTE(SUBSTITUTE(SUBSTITUTE(SUBSTITUTE("type:"&amp;B1800,"%","%25"),"~","%7E"),"*","%2A"),"?","%3F"),'Rules'!$G$7:$G$26,0)),""))</x:f>
      </x:c>
      <x:c r="I1800" s="6" t="str">
        <x:f>IF(AND(NOT(COUNTA(A1800:F1800)=0),K1800=""),ROUND(J1800-D1800,3),"")</x:f>
      </x:c>
      <x:c r="J1800" s="6" t="str">
        <x:f>IF(AND(NOT(COUNTA(A1800:F1800)=0),K1800=""),ROUND(F1800+L1800,3),"")</x:f>
      </x:c>
      <x:c r="K1800" s="5" t="str">
        <x:f>IF(COUNTA(A1800:F1800)=0,"",IF(A1800="","Missing equipment ID",IF(COUNTIFS($N$8:$N$2007,"="&amp;N1800)&gt;1,"Duplicate equipment ID",IF(B1800="","Missing type",IF(COUNTIFS('Rules'!$G$7:$G$26,"="&amp;(SUBSTITUTE(SUBSTITUTE(SUBSTITUTE(SUBSTITUTE("type:"&amp;B1800,"%","%25"),"~","%7E"),"*","%2A"),"?","%3F")))=0,"Unknown type",IF(COUNTIFS('Rules'!$G$7:$G$26,"="&amp;(SUBSTITUTE(SUBSTITUTE(SUBSTITUTE(SUBSTITUTE("type:"&amp;B1800,"%","%25"),"~","%7E"),"*","%2A"),"?","%3F")))&gt;1,"Duplicate type",IF(INDEX('Rules'!$F$7:$F$26,MATCH(SUBSTITUTE(SUBSTITUTE(SUBSTITUTE(SUBSTITUTE("type:"&amp;B1800,"%","%25"),"~","%7E"),"*","%2A"),"?","%3F"),'Rules'!$G$7:$G$26,0))&lt;&gt;"",INDEX('Rules'!$F$7:$F$26,MATCH(SUBSTITUTE(SUBSTITUTE(SUBSTITUTE(SUBSTITUTE("type:"&amp;B1800,"%","%25"),"~","%7E"),"*","%2A"),"?","%3F"),'Rules'!$G$7:$G$26,0)),IF(AND(C1800&lt;&gt;"",C1800&lt;&gt;INDEX('Rules'!$B$7:$B$26,MATCH(SUBSTITUTE(SUBSTITUTE(SUBSTITUTE(SUBSTITUTE("type:"&amp;B1800,"%","%25"),"~","%7E"),"*","%2A"),"?","%3F"),'Rules'!$G$7:$G$26,0))),"Unit mismatch",IF(IF(NOT(ISNUMBER(D1800)),TRUE,OR(D1800&lt;0,D1800&gt;999999999,ROUND(D1800,3)&lt;&gt;D1800)),"Invalid current reading",IF(AND(E1800&lt;&gt;"",IF(NOT(ISNUMBER(E1800)),TRUE,OR(E1800&lt;0,E1800&gt;999999999,ROUND(E1800,3)&lt;&gt;E1800))),"Invalid previous reading",IF(IF(NOT(ISNUMBER(F1800)),TRUE,OR(F1800&lt;0,F1800&gt;999999999,ROUND(F1800,3)&lt;&gt;F1800)),"Invalid last service",IF(AND(E1800&lt;&gt;"",D1800&lt;E1800),"Decreased reading",IF(F1800&gt;D1800,"Last service above current","")))))))))))))</x:f>
      </x:c>
      <x:c r="L1800" s="6" t="str">
        <x:f>IF(AND(NOT(COUNTA(A1800:F1800)=0),K1800=""),INDEX('Rules'!$C$7:$C$26,MATCH(SUBSTITUTE(SUBSTITUTE(SUBSTITUTE(SUBSTITUTE("type:"&amp;B1800,"%","%25"),"~","%7E"),"*","%2A"),"?","%3F"),'Rules'!$G$7:$G$26,0)),"")</x:f>
      </x:c>
      <x:c r="M1800" s="6" t="str">
        <x:f>IF(AND(NOT(COUNTA(A1800:F1800)=0),K1800=""),INDEX('Rules'!$D$7:$D$26,MATCH(SUBSTITUTE(SUBSTITUTE(SUBSTITUTE(SUBSTITUTE("type:"&amp;B1800,"%","%25"),"~","%7E"),"*","%2A"),"?","%3F"),'Rules'!$G$7:$G$26,0)),"")</x:f>
      </x:c>
      <x:c r="N1800" s="5" t="str">
        <x:f>IF(COUNTA(A1800:F1800)=0,"",SUBSTITUTE(SUBSTITUTE(SUBSTITUTE(SUBSTITUTE("id:"&amp;A1800,"%","%25"),"~","%7E"),"*","%2A"),"?","%3F"))</x:f>
      </x:c>
    </x:row>
    <x:row r="1801" ht="22" customHeight="1">
      <x:c r="A1801" s="3"/>
      <x:c r="B1801" s="3"/>
      <x:c r="C1801" s="3"/>
      <x:c r="D1801" s="4"/>
      <x:c r="E1801" s="4"/>
      <x:c r="F1801" s="4"/>
      <x:c r="G1801" s="5" t="str">
        <x:f>IF(COUNTA(A1801:F1801)=0,"",IF(K1801&lt;&gt;"","Review",IF(I1801&lt;0,"Overdue",IF(I1801=0,"Due now",IF(I1801&lt;=M1801,"Due soon","Not due")))))</x:f>
      </x:c>
      <x:c r="H1801" s="5" t="str">
        <x:f>IF(OR(COUNTA(A1801:F1801)=0,COUNTIFS('Rules'!$G$7:$G$26,"="&amp;(SUBSTITUTE(SUBSTITUTE(SUBSTITUTE(SUBSTITUTE("type:"&amp;B1801,"%","%25"),"~","%7E"),"*","%2A"),"?","%3F")))&lt;&gt;1),"",IF(OR(INDEX('Rules'!$B$7:$B$26,MATCH(SUBSTITUTE(SUBSTITUTE(SUBSTITUTE(SUBSTITUTE("type:"&amp;B1801,"%","%25"),"~","%7E"),"*","%2A"),"?","%3F"),'Rules'!$G$7:$G$26,0))="hours",INDEX('Rules'!$B$7:$B$26,MATCH(SUBSTITUTE(SUBSTITUTE(SUBSTITUTE(SUBSTITUTE("type:"&amp;B1801,"%","%25"),"~","%7E"),"*","%2A"),"?","%3F"),'Rules'!$G$7:$G$26,0))="km"),INDEX('Rules'!$B$7:$B$26,MATCH(SUBSTITUTE(SUBSTITUTE(SUBSTITUTE(SUBSTITUTE("type:"&amp;B1801,"%","%25"),"~","%7E"),"*","%2A"),"?","%3F"),'Rules'!$G$7:$G$26,0)),""))</x:f>
      </x:c>
      <x:c r="I1801" s="6" t="str">
        <x:f>IF(AND(NOT(COUNTA(A1801:F1801)=0),K1801=""),ROUND(J1801-D1801,3),"")</x:f>
      </x:c>
      <x:c r="J1801" s="6" t="str">
        <x:f>IF(AND(NOT(COUNTA(A1801:F1801)=0),K1801=""),ROUND(F1801+L1801,3),"")</x:f>
      </x:c>
      <x:c r="K1801" s="5" t="str">
        <x:f>IF(COUNTA(A1801:F1801)=0,"",IF(A1801="","Missing equipment ID",IF(COUNTIFS($N$8:$N$2007,"="&amp;N1801)&gt;1,"Duplicate equipment ID",IF(B1801="","Missing type",IF(COUNTIFS('Rules'!$G$7:$G$26,"="&amp;(SUBSTITUTE(SUBSTITUTE(SUBSTITUTE(SUBSTITUTE("type:"&amp;B1801,"%","%25"),"~","%7E"),"*","%2A"),"?","%3F")))=0,"Unknown type",IF(COUNTIFS('Rules'!$G$7:$G$26,"="&amp;(SUBSTITUTE(SUBSTITUTE(SUBSTITUTE(SUBSTITUTE("type:"&amp;B1801,"%","%25"),"~","%7E"),"*","%2A"),"?","%3F")))&gt;1,"Duplicate type",IF(INDEX('Rules'!$F$7:$F$26,MATCH(SUBSTITUTE(SUBSTITUTE(SUBSTITUTE(SUBSTITUTE("type:"&amp;B1801,"%","%25"),"~","%7E"),"*","%2A"),"?","%3F"),'Rules'!$G$7:$G$26,0))&lt;&gt;"",INDEX('Rules'!$F$7:$F$26,MATCH(SUBSTITUTE(SUBSTITUTE(SUBSTITUTE(SUBSTITUTE("type:"&amp;B1801,"%","%25"),"~","%7E"),"*","%2A"),"?","%3F"),'Rules'!$G$7:$G$26,0)),IF(AND(C1801&lt;&gt;"",C1801&lt;&gt;INDEX('Rules'!$B$7:$B$26,MATCH(SUBSTITUTE(SUBSTITUTE(SUBSTITUTE(SUBSTITUTE("type:"&amp;B1801,"%","%25"),"~","%7E"),"*","%2A"),"?","%3F"),'Rules'!$G$7:$G$26,0))),"Unit mismatch",IF(IF(NOT(ISNUMBER(D1801)),TRUE,OR(D1801&lt;0,D1801&gt;999999999,ROUND(D1801,3)&lt;&gt;D1801)),"Invalid current reading",IF(AND(E1801&lt;&gt;"",IF(NOT(ISNUMBER(E1801)),TRUE,OR(E1801&lt;0,E1801&gt;999999999,ROUND(E1801,3)&lt;&gt;E1801))),"Invalid previous reading",IF(IF(NOT(ISNUMBER(F1801)),TRUE,OR(F1801&lt;0,F1801&gt;999999999,ROUND(F1801,3)&lt;&gt;F1801)),"Invalid last service",IF(AND(E1801&lt;&gt;"",D1801&lt;E1801),"Decreased reading",IF(F1801&gt;D1801,"Last service above current","")))))))))))))</x:f>
      </x:c>
      <x:c r="L1801" s="6" t="str">
        <x:f>IF(AND(NOT(COUNTA(A1801:F1801)=0),K1801=""),INDEX('Rules'!$C$7:$C$26,MATCH(SUBSTITUTE(SUBSTITUTE(SUBSTITUTE(SUBSTITUTE("type:"&amp;B1801,"%","%25"),"~","%7E"),"*","%2A"),"?","%3F"),'Rules'!$G$7:$G$26,0)),"")</x:f>
      </x:c>
      <x:c r="M1801" s="6" t="str">
        <x:f>IF(AND(NOT(COUNTA(A1801:F1801)=0),K1801=""),INDEX('Rules'!$D$7:$D$26,MATCH(SUBSTITUTE(SUBSTITUTE(SUBSTITUTE(SUBSTITUTE("type:"&amp;B1801,"%","%25"),"~","%7E"),"*","%2A"),"?","%3F"),'Rules'!$G$7:$G$26,0)),"")</x:f>
      </x:c>
      <x:c r="N1801" s="5" t="str">
        <x:f>IF(COUNTA(A1801:F1801)=0,"",SUBSTITUTE(SUBSTITUTE(SUBSTITUTE(SUBSTITUTE("id:"&amp;A1801,"%","%25"),"~","%7E"),"*","%2A"),"?","%3F"))</x:f>
      </x:c>
    </x:row>
    <x:row r="1802" ht="22" customHeight="1">
      <x:c r="A1802" s="3"/>
      <x:c r="B1802" s="3"/>
      <x:c r="C1802" s="3"/>
      <x:c r="D1802" s="4"/>
      <x:c r="E1802" s="4"/>
      <x:c r="F1802" s="4"/>
      <x:c r="G1802" s="5" t="str">
        <x:f>IF(COUNTA(A1802:F1802)=0,"",IF(K1802&lt;&gt;"","Review",IF(I1802&lt;0,"Overdue",IF(I1802=0,"Due now",IF(I1802&lt;=M1802,"Due soon","Not due")))))</x:f>
      </x:c>
      <x:c r="H1802" s="5" t="str">
        <x:f>IF(OR(COUNTA(A1802:F1802)=0,COUNTIFS('Rules'!$G$7:$G$26,"="&amp;(SUBSTITUTE(SUBSTITUTE(SUBSTITUTE(SUBSTITUTE("type:"&amp;B1802,"%","%25"),"~","%7E"),"*","%2A"),"?","%3F")))&lt;&gt;1),"",IF(OR(INDEX('Rules'!$B$7:$B$26,MATCH(SUBSTITUTE(SUBSTITUTE(SUBSTITUTE(SUBSTITUTE("type:"&amp;B1802,"%","%25"),"~","%7E"),"*","%2A"),"?","%3F"),'Rules'!$G$7:$G$26,0))="hours",INDEX('Rules'!$B$7:$B$26,MATCH(SUBSTITUTE(SUBSTITUTE(SUBSTITUTE(SUBSTITUTE("type:"&amp;B1802,"%","%25"),"~","%7E"),"*","%2A"),"?","%3F"),'Rules'!$G$7:$G$26,0))="km"),INDEX('Rules'!$B$7:$B$26,MATCH(SUBSTITUTE(SUBSTITUTE(SUBSTITUTE(SUBSTITUTE("type:"&amp;B1802,"%","%25"),"~","%7E"),"*","%2A"),"?","%3F"),'Rules'!$G$7:$G$26,0)),""))</x:f>
      </x:c>
      <x:c r="I1802" s="6" t="str">
        <x:f>IF(AND(NOT(COUNTA(A1802:F1802)=0),K1802=""),ROUND(J1802-D1802,3),"")</x:f>
      </x:c>
      <x:c r="J1802" s="6" t="str">
        <x:f>IF(AND(NOT(COUNTA(A1802:F1802)=0),K1802=""),ROUND(F1802+L1802,3),"")</x:f>
      </x:c>
      <x:c r="K1802" s="5" t="str">
        <x:f>IF(COUNTA(A1802:F1802)=0,"",IF(A1802="","Missing equipment ID",IF(COUNTIFS($N$8:$N$2007,"="&amp;N1802)&gt;1,"Duplicate equipment ID",IF(B1802="","Missing type",IF(COUNTIFS('Rules'!$G$7:$G$26,"="&amp;(SUBSTITUTE(SUBSTITUTE(SUBSTITUTE(SUBSTITUTE("type:"&amp;B1802,"%","%25"),"~","%7E"),"*","%2A"),"?","%3F")))=0,"Unknown type",IF(COUNTIFS('Rules'!$G$7:$G$26,"="&amp;(SUBSTITUTE(SUBSTITUTE(SUBSTITUTE(SUBSTITUTE("type:"&amp;B1802,"%","%25"),"~","%7E"),"*","%2A"),"?","%3F")))&gt;1,"Duplicate type",IF(INDEX('Rules'!$F$7:$F$26,MATCH(SUBSTITUTE(SUBSTITUTE(SUBSTITUTE(SUBSTITUTE("type:"&amp;B1802,"%","%25"),"~","%7E"),"*","%2A"),"?","%3F"),'Rules'!$G$7:$G$26,0))&lt;&gt;"",INDEX('Rules'!$F$7:$F$26,MATCH(SUBSTITUTE(SUBSTITUTE(SUBSTITUTE(SUBSTITUTE("type:"&amp;B1802,"%","%25"),"~","%7E"),"*","%2A"),"?","%3F"),'Rules'!$G$7:$G$26,0)),IF(AND(C1802&lt;&gt;"",C1802&lt;&gt;INDEX('Rules'!$B$7:$B$26,MATCH(SUBSTITUTE(SUBSTITUTE(SUBSTITUTE(SUBSTITUTE("type:"&amp;B1802,"%","%25"),"~","%7E"),"*","%2A"),"?","%3F"),'Rules'!$G$7:$G$26,0))),"Unit mismatch",IF(IF(NOT(ISNUMBER(D1802)),TRUE,OR(D1802&lt;0,D1802&gt;999999999,ROUND(D1802,3)&lt;&gt;D1802)),"Invalid current reading",IF(AND(E1802&lt;&gt;"",IF(NOT(ISNUMBER(E1802)),TRUE,OR(E1802&lt;0,E1802&gt;999999999,ROUND(E1802,3)&lt;&gt;E1802))),"Invalid previous reading",IF(IF(NOT(ISNUMBER(F1802)),TRUE,OR(F1802&lt;0,F1802&gt;999999999,ROUND(F1802,3)&lt;&gt;F1802)),"Invalid last service",IF(AND(E1802&lt;&gt;"",D1802&lt;E1802),"Decreased reading",IF(F1802&gt;D1802,"Last service above current","")))))))))))))</x:f>
      </x:c>
      <x:c r="L1802" s="6" t="str">
        <x:f>IF(AND(NOT(COUNTA(A1802:F1802)=0),K1802=""),INDEX('Rules'!$C$7:$C$26,MATCH(SUBSTITUTE(SUBSTITUTE(SUBSTITUTE(SUBSTITUTE("type:"&amp;B1802,"%","%25"),"~","%7E"),"*","%2A"),"?","%3F"),'Rules'!$G$7:$G$26,0)),"")</x:f>
      </x:c>
      <x:c r="M1802" s="6" t="str">
        <x:f>IF(AND(NOT(COUNTA(A1802:F1802)=0),K1802=""),INDEX('Rules'!$D$7:$D$26,MATCH(SUBSTITUTE(SUBSTITUTE(SUBSTITUTE(SUBSTITUTE("type:"&amp;B1802,"%","%25"),"~","%7E"),"*","%2A"),"?","%3F"),'Rules'!$G$7:$G$26,0)),"")</x:f>
      </x:c>
      <x:c r="N1802" s="5" t="str">
        <x:f>IF(COUNTA(A1802:F1802)=0,"",SUBSTITUTE(SUBSTITUTE(SUBSTITUTE(SUBSTITUTE("id:"&amp;A1802,"%","%25"),"~","%7E"),"*","%2A"),"?","%3F"))</x:f>
      </x:c>
    </x:row>
    <x:row r="1803" ht="22" customHeight="1">
      <x:c r="A1803" s="3"/>
      <x:c r="B1803" s="3"/>
      <x:c r="C1803" s="3"/>
      <x:c r="D1803" s="4"/>
      <x:c r="E1803" s="4"/>
      <x:c r="F1803" s="4"/>
      <x:c r="G1803" s="5" t="str">
        <x:f>IF(COUNTA(A1803:F1803)=0,"",IF(K1803&lt;&gt;"","Review",IF(I1803&lt;0,"Overdue",IF(I1803=0,"Due now",IF(I1803&lt;=M1803,"Due soon","Not due")))))</x:f>
      </x:c>
      <x:c r="H1803" s="5" t="str">
        <x:f>IF(OR(COUNTA(A1803:F1803)=0,COUNTIFS('Rules'!$G$7:$G$26,"="&amp;(SUBSTITUTE(SUBSTITUTE(SUBSTITUTE(SUBSTITUTE("type:"&amp;B1803,"%","%25"),"~","%7E"),"*","%2A"),"?","%3F")))&lt;&gt;1),"",IF(OR(INDEX('Rules'!$B$7:$B$26,MATCH(SUBSTITUTE(SUBSTITUTE(SUBSTITUTE(SUBSTITUTE("type:"&amp;B1803,"%","%25"),"~","%7E"),"*","%2A"),"?","%3F"),'Rules'!$G$7:$G$26,0))="hours",INDEX('Rules'!$B$7:$B$26,MATCH(SUBSTITUTE(SUBSTITUTE(SUBSTITUTE(SUBSTITUTE("type:"&amp;B1803,"%","%25"),"~","%7E"),"*","%2A"),"?","%3F"),'Rules'!$G$7:$G$26,0))="km"),INDEX('Rules'!$B$7:$B$26,MATCH(SUBSTITUTE(SUBSTITUTE(SUBSTITUTE(SUBSTITUTE("type:"&amp;B1803,"%","%25"),"~","%7E"),"*","%2A"),"?","%3F"),'Rules'!$G$7:$G$26,0)),""))</x:f>
      </x:c>
      <x:c r="I1803" s="6" t="str">
        <x:f>IF(AND(NOT(COUNTA(A1803:F1803)=0),K1803=""),ROUND(J1803-D1803,3),"")</x:f>
      </x:c>
      <x:c r="J1803" s="6" t="str">
        <x:f>IF(AND(NOT(COUNTA(A1803:F1803)=0),K1803=""),ROUND(F1803+L1803,3),"")</x:f>
      </x:c>
      <x:c r="K1803" s="5" t="str">
        <x:f>IF(COUNTA(A1803:F1803)=0,"",IF(A1803="","Missing equipment ID",IF(COUNTIFS($N$8:$N$2007,"="&amp;N1803)&gt;1,"Duplicate equipment ID",IF(B1803="","Missing type",IF(COUNTIFS('Rules'!$G$7:$G$26,"="&amp;(SUBSTITUTE(SUBSTITUTE(SUBSTITUTE(SUBSTITUTE("type:"&amp;B1803,"%","%25"),"~","%7E"),"*","%2A"),"?","%3F")))=0,"Unknown type",IF(COUNTIFS('Rules'!$G$7:$G$26,"="&amp;(SUBSTITUTE(SUBSTITUTE(SUBSTITUTE(SUBSTITUTE("type:"&amp;B1803,"%","%25"),"~","%7E"),"*","%2A"),"?","%3F")))&gt;1,"Duplicate type",IF(INDEX('Rules'!$F$7:$F$26,MATCH(SUBSTITUTE(SUBSTITUTE(SUBSTITUTE(SUBSTITUTE("type:"&amp;B1803,"%","%25"),"~","%7E"),"*","%2A"),"?","%3F"),'Rules'!$G$7:$G$26,0))&lt;&gt;"",INDEX('Rules'!$F$7:$F$26,MATCH(SUBSTITUTE(SUBSTITUTE(SUBSTITUTE(SUBSTITUTE("type:"&amp;B1803,"%","%25"),"~","%7E"),"*","%2A"),"?","%3F"),'Rules'!$G$7:$G$26,0)),IF(AND(C1803&lt;&gt;"",C1803&lt;&gt;INDEX('Rules'!$B$7:$B$26,MATCH(SUBSTITUTE(SUBSTITUTE(SUBSTITUTE(SUBSTITUTE("type:"&amp;B1803,"%","%25"),"~","%7E"),"*","%2A"),"?","%3F"),'Rules'!$G$7:$G$26,0))),"Unit mismatch",IF(IF(NOT(ISNUMBER(D1803)),TRUE,OR(D1803&lt;0,D1803&gt;999999999,ROUND(D1803,3)&lt;&gt;D1803)),"Invalid current reading",IF(AND(E1803&lt;&gt;"",IF(NOT(ISNUMBER(E1803)),TRUE,OR(E1803&lt;0,E1803&gt;999999999,ROUND(E1803,3)&lt;&gt;E1803))),"Invalid previous reading",IF(IF(NOT(ISNUMBER(F1803)),TRUE,OR(F1803&lt;0,F1803&gt;999999999,ROUND(F1803,3)&lt;&gt;F1803)),"Invalid last service",IF(AND(E1803&lt;&gt;"",D1803&lt;E1803),"Decreased reading",IF(F1803&gt;D1803,"Last service above current","")))))))))))))</x:f>
      </x:c>
      <x:c r="L1803" s="6" t="str">
        <x:f>IF(AND(NOT(COUNTA(A1803:F1803)=0),K1803=""),INDEX('Rules'!$C$7:$C$26,MATCH(SUBSTITUTE(SUBSTITUTE(SUBSTITUTE(SUBSTITUTE("type:"&amp;B1803,"%","%25"),"~","%7E"),"*","%2A"),"?","%3F"),'Rules'!$G$7:$G$26,0)),"")</x:f>
      </x:c>
      <x:c r="M1803" s="6" t="str">
        <x:f>IF(AND(NOT(COUNTA(A1803:F1803)=0),K1803=""),INDEX('Rules'!$D$7:$D$26,MATCH(SUBSTITUTE(SUBSTITUTE(SUBSTITUTE(SUBSTITUTE("type:"&amp;B1803,"%","%25"),"~","%7E"),"*","%2A"),"?","%3F"),'Rules'!$G$7:$G$26,0)),"")</x:f>
      </x:c>
      <x:c r="N1803" s="5" t="str">
        <x:f>IF(COUNTA(A1803:F1803)=0,"",SUBSTITUTE(SUBSTITUTE(SUBSTITUTE(SUBSTITUTE("id:"&amp;A1803,"%","%25"),"~","%7E"),"*","%2A"),"?","%3F"))</x:f>
      </x:c>
    </x:row>
    <x:row r="1804" ht="22" customHeight="1">
      <x:c r="A1804" s="3"/>
      <x:c r="B1804" s="3"/>
      <x:c r="C1804" s="3"/>
      <x:c r="D1804" s="4"/>
      <x:c r="E1804" s="4"/>
      <x:c r="F1804" s="4"/>
      <x:c r="G1804" s="5" t="str">
        <x:f>IF(COUNTA(A1804:F1804)=0,"",IF(K1804&lt;&gt;"","Review",IF(I1804&lt;0,"Overdue",IF(I1804=0,"Due now",IF(I1804&lt;=M1804,"Due soon","Not due")))))</x:f>
      </x:c>
      <x:c r="H1804" s="5" t="str">
        <x:f>IF(OR(COUNTA(A1804:F1804)=0,COUNTIFS('Rules'!$G$7:$G$26,"="&amp;(SUBSTITUTE(SUBSTITUTE(SUBSTITUTE(SUBSTITUTE("type:"&amp;B1804,"%","%25"),"~","%7E"),"*","%2A"),"?","%3F")))&lt;&gt;1),"",IF(OR(INDEX('Rules'!$B$7:$B$26,MATCH(SUBSTITUTE(SUBSTITUTE(SUBSTITUTE(SUBSTITUTE("type:"&amp;B1804,"%","%25"),"~","%7E"),"*","%2A"),"?","%3F"),'Rules'!$G$7:$G$26,0))="hours",INDEX('Rules'!$B$7:$B$26,MATCH(SUBSTITUTE(SUBSTITUTE(SUBSTITUTE(SUBSTITUTE("type:"&amp;B1804,"%","%25"),"~","%7E"),"*","%2A"),"?","%3F"),'Rules'!$G$7:$G$26,0))="km"),INDEX('Rules'!$B$7:$B$26,MATCH(SUBSTITUTE(SUBSTITUTE(SUBSTITUTE(SUBSTITUTE("type:"&amp;B1804,"%","%25"),"~","%7E"),"*","%2A"),"?","%3F"),'Rules'!$G$7:$G$26,0)),""))</x:f>
      </x:c>
      <x:c r="I1804" s="6" t="str">
        <x:f>IF(AND(NOT(COUNTA(A1804:F1804)=0),K1804=""),ROUND(J1804-D1804,3),"")</x:f>
      </x:c>
      <x:c r="J1804" s="6" t="str">
        <x:f>IF(AND(NOT(COUNTA(A1804:F1804)=0),K1804=""),ROUND(F1804+L1804,3),"")</x:f>
      </x:c>
      <x:c r="K1804" s="5" t="str">
        <x:f>IF(COUNTA(A1804:F1804)=0,"",IF(A1804="","Missing equipment ID",IF(COUNTIFS($N$8:$N$2007,"="&amp;N1804)&gt;1,"Duplicate equipment ID",IF(B1804="","Missing type",IF(COUNTIFS('Rules'!$G$7:$G$26,"="&amp;(SUBSTITUTE(SUBSTITUTE(SUBSTITUTE(SUBSTITUTE("type:"&amp;B1804,"%","%25"),"~","%7E"),"*","%2A"),"?","%3F")))=0,"Unknown type",IF(COUNTIFS('Rules'!$G$7:$G$26,"="&amp;(SUBSTITUTE(SUBSTITUTE(SUBSTITUTE(SUBSTITUTE("type:"&amp;B1804,"%","%25"),"~","%7E"),"*","%2A"),"?","%3F")))&gt;1,"Duplicate type",IF(INDEX('Rules'!$F$7:$F$26,MATCH(SUBSTITUTE(SUBSTITUTE(SUBSTITUTE(SUBSTITUTE("type:"&amp;B1804,"%","%25"),"~","%7E"),"*","%2A"),"?","%3F"),'Rules'!$G$7:$G$26,0))&lt;&gt;"",INDEX('Rules'!$F$7:$F$26,MATCH(SUBSTITUTE(SUBSTITUTE(SUBSTITUTE(SUBSTITUTE("type:"&amp;B1804,"%","%25"),"~","%7E"),"*","%2A"),"?","%3F"),'Rules'!$G$7:$G$26,0)),IF(AND(C1804&lt;&gt;"",C1804&lt;&gt;INDEX('Rules'!$B$7:$B$26,MATCH(SUBSTITUTE(SUBSTITUTE(SUBSTITUTE(SUBSTITUTE("type:"&amp;B1804,"%","%25"),"~","%7E"),"*","%2A"),"?","%3F"),'Rules'!$G$7:$G$26,0))),"Unit mismatch",IF(IF(NOT(ISNUMBER(D1804)),TRUE,OR(D1804&lt;0,D1804&gt;999999999,ROUND(D1804,3)&lt;&gt;D1804)),"Invalid current reading",IF(AND(E1804&lt;&gt;"",IF(NOT(ISNUMBER(E1804)),TRUE,OR(E1804&lt;0,E1804&gt;999999999,ROUND(E1804,3)&lt;&gt;E1804))),"Invalid previous reading",IF(IF(NOT(ISNUMBER(F1804)),TRUE,OR(F1804&lt;0,F1804&gt;999999999,ROUND(F1804,3)&lt;&gt;F1804)),"Invalid last service",IF(AND(E1804&lt;&gt;"",D1804&lt;E1804),"Decreased reading",IF(F1804&gt;D1804,"Last service above current","")))))))))))))</x:f>
      </x:c>
      <x:c r="L1804" s="6" t="str">
        <x:f>IF(AND(NOT(COUNTA(A1804:F1804)=0),K1804=""),INDEX('Rules'!$C$7:$C$26,MATCH(SUBSTITUTE(SUBSTITUTE(SUBSTITUTE(SUBSTITUTE("type:"&amp;B1804,"%","%25"),"~","%7E"),"*","%2A"),"?","%3F"),'Rules'!$G$7:$G$26,0)),"")</x:f>
      </x:c>
      <x:c r="M1804" s="6" t="str">
        <x:f>IF(AND(NOT(COUNTA(A1804:F1804)=0),K1804=""),INDEX('Rules'!$D$7:$D$26,MATCH(SUBSTITUTE(SUBSTITUTE(SUBSTITUTE(SUBSTITUTE("type:"&amp;B1804,"%","%25"),"~","%7E"),"*","%2A"),"?","%3F"),'Rules'!$G$7:$G$26,0)),"")</x:f>
      </x:c>
      <x:c r="N1804" s="5" t="str">
        <x:f>IF(COUNTA(A1804:F1804)=0,"",SUBSTITUTE(SUBSTITUTE(SUBSTITUTE(SUBSTITUTE("id:"&amp;A1804,"%","%25"),"~","%7E"),"*","%2A"),"?","%3F"))</x:f>
      </x:c>
    </x:row>
    <x:row r="1805" ht="22" customHeight="1">
      <x:c r="A1805" s="3"/>
      <x:c r="B1805" s="3"/>
      <x:c r="C1805" s="3"/>
      <x:c r="D1805" s="4"/>
      <x:c r="E1805" s="4"/>
      <x:c r="F1805" s="4"/>
      <x:c r="G1805" s="5" t="str">
        <x:f>IF(COUNTA(A1805:F1805)=0,"",IF(K1805&lt;&gt;"","Review",IF(I1805&lt;0,"Overdue",IF(I1805=0,"Due now",IF(I1805&lt;=M1805,"Due soon","Not due")))))</x:f>
      </x:c>
      <x:c r="H1805" s="5" t="str">
        <x:f>IF(OR(COUNTA(A1805:F1805)=0,COUNTIFS('Rules'!$G$7:$G$26,"="&amp;(SUBSTITUTE(SUBSTITUTE(SUBSTITUTE(SUBSTITUTE("type:"&amp;B1805,"%","%25"),"~","%7E"),"*","%2A"),"?","%3F")))&lt;&gt;1),"",IF(OR(INDEX('Rules'!$B$7:$B$26,MATCH(SUBSTITUTE(SUBSTITUTE(SUBSTITUTE(SUBSTITUTE("type:"&amp;B1805,"%","%25"),"~","%7E"),"*","%2A"),"?","%3F"),'Rules'!$G$7:$G$26,0))="hours",INDEX('Rules'!$B$7:$B$26,MATCH(SUBSTITUTE(SUBSTITUTE(SUBSTITUTE(SUBSTITUTE("type:"&amp;B1805,"%","%25"),"~","%7E"),"*","%2A"),"?","%3F"),'Rules'!$G$7:$G$26,0))="km"),INDEX('Rules'!$B$7:$B$26,MATCH(SUBSTITUTE(SUBSTITUTE(SUBSTITUTE(SUBSTITUTE("type:"&amp;B1805,"%","%25"),"~","%7E"),"*","%2A"),"?","%3F"),'Rules'!$G$7:$G$26,0)),""))</x:f>
      </x:c>
      <x:c r="I1805" s="6" t="str">
        <x:f>IF(AND(NOT(COUNTA(A1805:F1805)=0),K1805=""),ROUND(J1805-D1805,3),"")</x:f>
      </x:c>
      <x:c r="J1805" s="6" t="str">
        <x:f>IF(AND(NOT(COUNTA(A1805:F1805)=0),K1805=""),ROUND(F1805+L1805,3),"")</x:f>
      </x:c>
      <x:c r="K1805" s="5" t="str">
        <x:f>IF(COUNTA(A1805:F1805)=0,"",IF(A1805="","Missing equipment ID",IF(COUNTIFS($N$8:$N$2007,"="&amp;N1805)&gt;1,"Duplicate equipment ID",IF(B1805="","Missing type",IF(COUNTIFS('Rules'!$G$7:$G$26,"="&amp;(SUBSTITUTE(SUBSTITUTE(SUBSTITUTE(SUBSTITUTE("type:"&amp;B1805,"%","%25"),"~","%7E"),"*","%2A"),"?","%3F")))=0,"Unknown type",IF(COUNTIFS('Rules'!$G$7:$G$26,"="&amp;(SUBSTITUTE(SUBSTITUTE(SUBSTITUTE(SUBSTITUTE("type:"&amp;B1805,"%","%25"),"~","%7E"),"*","%2A"),"?","%3F")))&gt;1,"Duplicate type",IF(INDEX('Rules'!$F$7:$F$26,MATCH(SUBSTITUTE(SUBSTITUTE(SUBSTITUTE(SUBSTITUTE("type:"&amp;B1805,"%","%25"),"~","%7E"),"*","%2A"),"?","%3F"),'Rules'!$G$7:$G$26,0))&lt;&gt;"",INDEX('Rules'!$F$7:$F$26,MATCH(SUBSTITUTE(SUBSTITUTE(SUBSTITUTE(SUBSTITUTE("type:"&amp;B1805,"%","%25"),"~","%7E"),"*","%2A"),"?","%3F"),'Rules'!$G$7:$G$26,0)),IF(AND(C1805&lt;&gt;"",C1805&lt;&gt;INDEX('Rules'!$B$7:$B$26,MATCH(SUBSTITUTE(SUBSTITUTE(SUBSTITUTE(SUBSTITUTE("type:"&amp;B1805,"%","%25"),"~","%7E"),"*","%2A"),"?","%3F"),'Rules'!$G$7:$G$26,0))),"Unit mismatch",IF(IF(NOT(ISNUMBER(D1805)),TRUE,OR(D1805&lt;0,D1805&gt;999999999,ROUND(D1805,3)&lt;&gt;D1805)),"Invalid current reading",IF(AND(E1805&lt;&gt;"",IF(NOT(ISNUMBER(E1805)),TRUE,OR(E1805&lt;0,E1805&gt;999999999,ROUND(E1805,3)&lt;&gt;E1805))),"Invalid previous reading",IF(IF(NOT(ISNUMBER(F1805)),TRUE,OR(F1805&lt;0,F1805&gt;999999999,ROUND(F1805,3)&lt;&gt;F1805)),"Invalid last service",IF(AND(E1805&lt;&gt;"",D1805&lt;E1805),"Decreased reading",IF(F1805&gt;D1805,"Last service above current","")))))))))))))</x:f>
      </x:c>
      <x:c r="L1805" s="6" t="str">
        <x:f>IF(AND(NOT(COUNTA(A1805:F1805)=0),K1805=""),INDEX('Rules'!$C$7:$C$26,MATCH(SUBSTITUTE(SUBSTITUTE(SUBSTITUTE(SUBSTITUTE("type:"&amp;B1805,"%","%25"),"~","%7E"),"*","%2A"),"?","%3F"),'Rules'!$G$7:$G$26,0)),"")</x:f>
      </x:c>
      <x:c r="M1805" s="6" t="str">
        <x:f>IF(AND(NOT(COUNTA(A1805:F1805)=0),K1805=""),INDEX('Rules'!$D$7:$D$26,MATCH(SUBSTITUTE(SUBSTITUTE(SUBSTITUTE(SUBSTITUTE("type:"&amp;B1805,"%","%25"),"~","%7E"),"*","%2A"),"?","%3F"),'Rules'!$G$7:$G$26,0)),"")</x:f>
      </x:c>
      <x:c r="N1805" s="5" t="str">
        <x:f>IF(COUNTA(A1805:F1805)=0,"",SUBSTITUTE(SUBSTITUTE(SUBSTITUTE(SUBSTITUTE("id:"&amp;A1805,"%","%25"),"~","%7E"),"*","%2A"),"?","%3F"))</x:f>
      </x:c>
    </x:row>
    <x:row r="1806" ht="22" customHeight="1">
      <x:c r="A1806" s="3"/>
      <x:c r="B1806" s="3"/>
      <x:c r="C1806" s="3"/>
      <x:c r="D1806" s="4"/>
      <x:c r="E1806" s="4"/>
      <x:c r="F1806" s="4"/>
      <x:c r="G1806" s="5" t="str">
        <x:f>IF(COUNTA(A1806:F1806)=0,"",IF(K1806&lt;&gt;"","Review",IF(I1806&lt;0,"Overdue",IF(I1806=0,"Due now",IF(I1806&lt;=M1806,"Due soon","Not due")))))</x:f>
      </x:c>
      <x:c r="H1806" s="5" t="str">
        <x:f>IF(OR(COUNTA(A1806:F1806)=0,COUNTIFS('Rules'!$G$7:$G$26,"="&amp;(SUBSTITUTE(SUBSTITUTE(SUBSTITUTE(SUBSTITUTE("type:"&amp;B1806,"%","%25"),"~","%7E"),"*","%2A"),"?","%3F")))&lt;&gt;1),"",IF(OR(INDEX('Rules'!$B$7:$B$26,MATCH(SUBSTITUTE(SUBSTITUTE(SUBSTITUTE(SUBSTITUTE("type:"&amp;B1806,"%","%25"),"~","%7E"),"*","%2A"),"?","%3F"),'Rules'!$G$7:$G$26,0))="hours",INDEX('Rules'!$B$7:$B$26,MATCH(SUBSTITUTE(SUBSTITUTE(SUBSTITUTE(SUBSTITUTE("type:"&amp;B1806,"%","%25"),"~","%7E"),"*","%2A"),"?","%3F"),'Rules'!$G$7:$G$26,0))="km"),INDEX('Rules'!$B$7:$B$26,MATCH(SUBSTITUTE(SUBSTITUTE(SUBSTITUTE(SUBSTITUTE("type:"&amp;B1806,"%","%25"),"~","%7E"),"*","%2A"),"?","%3F"),'Rules'!$G$7:$G$26,0)),""))</x:f>
      </x:c>
      <x:c r="I1806" s="6" t="str">
        <x:f>IF(AND(NOT(COUNTA(A1806:F1806)=0),K1806=""),ROUND(J1806-D1806,3),"")</x:f>
      </x:c>
      <x:c r="J1806" s="6" t="str">
        <x:f>IF(AND(NOT(COUNTA(A1806:F1806)=0),K1806=""),ROUND(F1806+L1806,3),"")</x:f>
      </x:c>
      <x:c r="K1806" s="5" t="str">
        <x:f>IF(COUNTA(A1806:F1806)=0,"",IF(A1806="","Missing equipment ID",IF(COUNTIFS($N$8:$N$2007,"="&amp;N1806)&gt;1,"Duplicate equipment ID",IF(B1806="","Missing type",IF(COUNTIFS('Rules'!$G$7:$G$26,"="&amp;(SUBSTITUTE(SUBSTITUTE(SUBSTITUTE(SUBSTITUTE("type:"&amp;B1806,"%","%25"),"~","%7E"),"*","%2A"),"?","%3F")))=0,"Unknown type",IF(COUNTIFS('Rules'!$G$7:$G$26,"="&amp;(SUBSTITUTE(SUBSTITUTE(SUBSTITUTE(SUBSTITUTE("type:"&amp;B1806,"%","%25"),"~","%7E"),"*","%2A"),"?","%3F")))&gt;1,"Duplicate type",IF(INDEX('Rules'!$F$7:$F$26,MATCH(SUBSTITUTE(SUBSTITUTE(SUBSTITUTE(SUBSTITUTE("type:"&amp;B1806,"%","%25"),"~","%7E"),"*","%2A"),"?","%3F"),'Rules'!$G$7:$G$26,0))&lt;&gt;"",INDEX('Rules'!$F$7:$F$26,MATCH(SUBSTITUTE(SUBSTITUTE(SUBSTITUTE(SUBSTITUTE("type:"&amp;B1806,"%","%25"),"~","%7E"),"*","%2A"),"?","%3F"),'Rules'!$G$7:$G$26,0)),IF(AND(C1806&lt;&gt;"",C1806&lt;&gt;INDEX('Rules'!$B$7:$B$26,MATCH(SUBSTITUTE(SUBSTITUTE(SUBSTITUTE(SUBSTITUTE("type:"&amp;B1806,"%","%25"),"~","%7E"),"*","%2A"),"?","%3F"),'Rules'!$G$7:$G$26,0))),"Unit mismatch",IF(IF(NOT(ISNUMBER(D1806)),TRUE,OR(D1806&lt;0,D1806&gt;999999999,ROUND(D1806,3)&lt;&gt;D1806)),"Invalid current reading",IF(AND(E1806&lt;&gt;"",IF(NOT(ISNUMBER(E1806)),TRUE,OR(E1806&lt;0,E1806&gt;999999999,ROUND(E1806,3)&lt;&gt;E1806))),"Invalid previous reading",IF(IF(NOT(ISNUMBER(F1806)),TRUE,OR(F1806&lt;0,F1806&gt;999999999,ROUND(F1806,3)&lt;&gt;F1806)),"Invalid last service",IF(AND(E1806&lt;&gt;"",D1806&lt;E1806),"Decreased reading",IF(F1806&gt;D1806,"Last service above current","")))))))))))))</x:f>
      </x:c>
      <x:c r="L1806" s="6" t="str">
        <x:f>IF(AND(NOT(COUNTA(A1806:F1806)=0),K1806=""),INDEX('Rules'!$C$7:$C$26,MATCH(SUBSTITUTE(SUBSTITUTE(SUBSTITUTE(SUBSTITUTE("type:"&amp;B1806,"%","%25"),"~","%7E"),"*","%2A"),"?","%3F"),'Rules'!$G$7:$G$26,0)),"")</x:f>
      </x:c>
      <x:c r="M1806" s="6" t="str">
        <x:f>IF(AND(NOT(COUNTA(A1806:F1806)=0),K1806=""),INDEX('Rules'!$D$7:$D$26,MATCH(SUBSTITUTE(SUBSTITUTE(SUBSTITUTE(SUBSTITUTE("type:"&amp;B1806,"%","%25"),"~","%7E"),"*","%2A"),"?","%3F"),'Rules'!$G$7:$G$26,0)),"")</x:f>
      </x:c>
      <x:c r="N1806" s="5" t="str">
        <x:f>IF(COUNTA(A1806:F1806)=0,"",SUBSTITUTE(SUBSTITUTE(SUBSTITUTE(SUBSTITUTE("id:"&amp;A1806,"%","%25"),"~","%7E"),"*","%2A"),"?","%3F"))</x:f>
      </x:c>
    </x:row>
    <x:row r="1807" ht="22" customHeight="1">
      <x:c r="A1807" s="3"/>
      <x:c r="B1807" s="3"/>
      <x:c r="C1807" s="3"/>
      <x:c r="D1807" s="4"/>
      <x:c r="E1807" s="4"/>
      <x:c r="F1807" s="4"/>
      <x:c r="G1807" s="5" t="str">
        <x:f>IF(COUNTA(A1807:F1807)=0,"",IF(K1807&lt;&gt;"","Review",IF(I1807&lt;0,"Overdue",IF(I1807=0,"Due now",IF(I1807&lt;=M1807,"Due soon","Not due")))))</x:f>
      </x:c>
      <x:c r="H1807" s="5" t="str">
        <x:f>IF(OR(COUNTA(A1807:F1807)=0,COUNTIFS('Rules'!$G$7:$G$26,"="&amp;(SUBSTITUTE(SUBSTITUTE(SUBSTITUTE(SUBSTITUTE("type:"&amp;B1807,"%","%25"),"~","%7E"),"*","%2A"),"?","%3F")))&lt;&gt;1),"",IF(OR(INDEX('Rules'!$B$7:$B$26,MATCH(SUBSTITUTE(SUBSTITUTE(SUBSTITUTE(SUBSTITUTE("type:"&amp;B1807,"%","%25"),"~","%7E"),"*","%2A"),"?","%3F"),'Rules'!$G$7:$G$26,0))="hours",INDEX('Rules'!$B$7:$B$26,MATCH(SUBSTITUTE(SUBSTITUTE(SUBSTITUTE(SUBSTITUTE("type:"&amp;B1807,"%","%25"),"~","%7E"),"*","%2A"),"?","%3F"),'Rules'!$G$7:$G$26,0))="km"),INDEX('Rules'!$B$7:$B$26,MATCH(SUBSTITUTE(SUBSTITUTE(SUBSTITUTE(SUBSTITUTE("type:"&amp;B1807,"%","%25"),"~","%7E"),"*","%2A"),"?","%3F"),'Rules'!$G$7:$G$26,0)),""))</x:f>
      </x:c>
      <x:c r="I1807" s="6" t="str">
        <x:f>IF(AND(NOT(COUNTA(A1807:F1807)=0),K1807=""),ROUND(J1807-D1807,3),"")</x:f>
      </x:c>
      <x:c r="J1807" s="6" t="str">
        <x:f>IF(AND(NOT(COUNTA(A1807:F1807)=0),K1807=""),ROUND(F1807+L1807,3),"")</x:f>
      </x:c>
      <x:c r="K1807" s="5" t="str">
        <x:f>IF(COUNTA(A1807:F1807)=0,"",IF(A1807="","Missing equipment ID",IF(COUNTIFS($N$8:$N$2007,"="&amp;N1807)&gt;1,"Duplicate equipment ID",IF(B1807="","Missing type",IF(COUNTIFS('Rules'!$G$7:$G$26,"="&amp;(SUBSTITUTE(SUBSTITUTE(SUBSTITUTE(SUBSTITUTE("type:"&amp;B1807,"%","%25"),"~","%7E"),"*","%2A"),"?","%3F")))=0,"Unknown type",IF(COUNTIFS('Rules'!$G$7:$G$26,"="&amp;(SUBSTITUTE(SUBSTITUTE(SUBSTITUTE(SUBSTITUTE("type:"&amp;B1807,"%","%25"),"~","%7E"),"*","%2A"),"?","%3F")))&gt;1,"Duplicate type",IF(INDEX('Rules'!$F$7:$F$26,MATCH(SUBSTITUTE(SUBSTITUTE(SUBSTITUTE(SUBSTITUTE("type:"&amp;B1807,"%","%25"),"~","%7E"),"*","%2A"),"?","%3F"),'Rules'!$G$7:$G$26,0))&lt;&gt;"",INDEX('Rules'!$F$7:$F$26,MATCH(SUBSTITUTE(SUBSTITUTE(SUBSTITUTE(SUBSTITUTE("type:"&amp;B1807,"%","%25"),"~","%7E"),"*","%2A"),"?","%3F"),'Rules'!$G$7:$G$26,0)),IF(AND(C1807&lt;&gt;"",C1807&lt;&gt;INDEX('Rules'!$B$7:$B$26,MATCH(SUBSTITUTE(SUBSTITUTE(SUBSTITUTE(SUBSTITUTE("type:"&amp;B1807,"%","%25"),"~","%7E"),"*","%2A"),"?","%3F"),'Rules'!$G$7:$G$26,0))),"Unit mismatch",IF(IF(NOT(ISNUMBER(D1807)),TRUE,OR(D1807&lt;0,D1807&gt;999999999,ROUND(D1807,3)&lt;&gt;D1807)),"Invalid current reading",IF(AND(E1807&lt;&gt;"",IF(NOT(ISNUMBER(E1807)),TRUE,OR(E1807&lt;0,E1807&gt;999999999,ROUND(E1807,3)&lt;&gt;E1807))),"Invalid previous reading",IF(IF(NOT(ISNUMBER(F1807)),TRUE,OR(F1807&lt;0,F1807&gt;999999999,ROUND(F1807,3)&lt;&gt;F1807)),"Invalid last service",IF(AND(E1807&lt;&gt;"",D1807&lt;E1807),"Decreased reading",IF(F1807&gt;D1807,"Last service above current","")))))))))))))</x:f>
      </x:c>
      <x:c r="L1807" s="6" t="str">
        <x:f>IF(AND(NOT(COUNTA(A1807:F1807)=0),K1807=""),INDEX('Rules'!$C$7:$C$26,MATCH(SUBSTITUTE(SUBSTITUTE(SUBSTITUTE(SUBSTITUTE("type:"&amp;B1807,"%","%25"),"~","%7E"),"*","%2A"),"?","%3F"),'Rules'!$G$7:$G$26,0)),"")</x:f>
      </x:c>
      <x:c r="M1807" s="6" t="str">
        <x:f>IF(AND(NOT(COUNTA(A1807:F1807)=0),K1807=""),INDEX('Rules'!$D$7:$D$26,MATCH(SUBSTITUTE(SUBSTITUTE(SUBSTITUTE(SUBSTITUTE("type:"&amp;B1807,"%","%25"),"~","%7E"),"*","%2A"),"?","%3F"),'Rules'!$G$7:$G$26,0)),"")</x:f>
      </x:c>
      <x:c r="N1807" s="5" t="str">
        <x:f>IF(COUNTA(A1807:F1807)=0,"",SUBSTITUTE(SUBSTITUTE(SUBSTITUTE(SUBSTITUTE("id:"&amp;A1807,"%","%25"),"~","%7E"),"*","%2A"),"?","%3F"))</x:f>
      </x:c>
    </x:row>
    <x:row r="1808" ht="22" customHeight="1">
      <x:c r="A1808" s="3"/>
      <x:c r="B1808" s="3"/>
      <x:c r="C1808" s="3"/>
      <x:c r="D1808" s="4"/>
      <x:c r="E1808" s="4"/>
      <x:c r="F1808" s="4"/>
      <x:c r="G1808" s="5" t="str">
        <x:f>IF(COUNTA(A1808:F1808)=0,"",IF(K1808&lt;&gt;"","Review",IF(I1808&lt;0,"Overdue",IF(I1808=0,"Due now",IF(I1808&lt;=M1808,"Due soon","Not due")))))</x:f>
      </x:c>
      <x:c r="H1808" s="5" t="str">
        <x:f>IF(OR(COUNTA(A1808:F1808)=0,COUNTIFS('Rules'!$G$7:$G$26,"="&amp;(SUBSTITUTE(SUBSTITUTE(SUBSTITUTE(SUBSTITUTE("type:"&amp;B1808,"%","%25"),"~","%7E"),"*","%2A"),"?","%3F")))&lt;&gt;1),"",IF(OR(INDEX('Rules'!$B$7:$B$26,MATCH(SUBSTITUTE(SUBSTITUTE(SUBSTITUTE(SUBSTITUTE("type:"&amp;B1808,"%","%25"),"~","%7E"),"*","%2A"),"?","%3F"),'Rules'!$G$7:$G$26,0))="hours",INDEX('Rules'!$B$7:$B$26,MATCH(SUBSTITUTE(SUBSTITUTE(SUBSTITUTE(SUBSTITUTE("type:"&amp;B1808,"%","%25"),"~","%7E"),"*","%2A"),"?","%3F"),'Rules'!$G$7:$G$26,0))="km"),INDEX('Rules'!$B$7:$B$26,MATCH(SUBSTITUTE(SUBSTITUTE(SUBSTITUTE(SUBSTITUTE("type:"&amp;B1808,"%","%25"),"~","%7E"),"*","%2A"),"?","%3F"),'Rules'!$G$7:$G$26,0)),""))</x:f>
      </x:c>
      <x:c r="I1808" s="6" t="str">
        <x:f>IF(AND(NOT(COUNTA(A1808:F1808)=0),K1808=""),ROUND(J1808-D1808,3),"")</x:f>
      </x:c>
      <x:c r="J1808" s="6" t="str">
        <x:f>IF(AND(NOT(COUNTA(A1808:F1808)=0),K1808=""),ROUND(F1808+L1808,3),"")</x:f>
      </x:c>
      <x:c r="K1808" s="5" t="str">
        <x:f>IF(COUNTA(A1808:F1808)=0,"",IF(A1808="","Missing equipment ID",IF(COUNTIFS($N$8:$N$2007,"="&amp;N1808)&gt;1,"Duplicate equipment ID",IF(B1808="","Missing type",IF(COUNTIFS('Rules'!$G$7:$G$26,"="&amp;(SUBSTITUTE(SUBSTITUTE(SUBSTITUTE(SUBSTITUTE("type:"&amp;B1808,"%","%25"),"~","%7E"),"*","%2A"),"?","%3F")))=0,"Unknown type",IF(COUNTIFS('Rules'!$G$7:$G$26,"="&amp;(SUBSTITUTE(SUBSTITUTE(SUBSTITUTE(SUBSTITUTE("type:"&amp;B1808,"%","%25"),"~","%7E"),"*","%2A"),"?","%3F")))&gt;1,"Duplicate type",IF(INDEX('Rules'!$F$7:$F$26,MATCH(SUBSTITUTE(SUBSTITUTE(SUBSTITUTE(SUBSTITUTE("type:"&amp;B1808,"%","%25"),"~","%7E"),"*","%2A"),"?","%3F"),'Rules'!$G$7:$G$26,0))&lt;&gt;"",INDEX('Rules'!$F$7:$F$26,MATCH(SUBSTITUTE(SUBSTITUTE(SUBSTITUTE(SUBSTITUTE("type:"&amp;B1808,"%","%25"),"~","%7E"),"*","%2A"),"?","%3F"),'Rules'!$G$7:$G$26,0)),IF(AND(C1808&lt;&gt;"",C1808&lt;&gt;INDEX('Rules'!$B$7:$B$26,MATCH(SUBSTITUTE(SUBSTITUTE(SUBSTITUTE(SUBSTITUTE("type:"&amp;B1808,"%","%25"),"~","%7E"),"*","%2A"),"?","%3F"),'Rules'!$G$7:$G$26,0))),"Unit mismatch",IF(IF(NOT(ISNUMBER(D1808)),TRUE,OR(D1808&lt;0,D1808&gt;999999999,ROUND(D1808,3)&lt;&gt;D1808)),"Invalid current reading",IF(AND(E1808&lt;&gt;"",IF(NOT(ISNUMBER(E1808)),TRUE,OR(E1808&lt;0,E1808&gt;999999999,ROUND(E1808,3)&lt;&gt;E1808))),"Invalid previous reading",IF(IF(NOT(ISNUMBER(F1808)),TRUE,OR(F1808&lt;0,F1808&gt;999999999,ROUND(F1808,3)&lt;&gt;F1808)),"Invalid last service",IF(AND(E1808&lt;&gt;"",D1808&lt;E1808),"Decreased reading",IF(F1808&gt;D1808,"Last service above current","")))))))))))))</x:f>
      </x:c>
      <x:c r="L1808" s="6" t="str">
        <x:f>IF(AND(NOT(COUNTA(A1808:F1808)=0),K1808=""),INDEX('Rules'!$C$7:$C$26,MATCH(SUBSTITUTE(SUBSTITUTE(SUBSTITUTE(SUBSTITUTE("type:"&amp;B1808,"%","%25"),"~","%7E"),"*","%2A"),"?","%3F"),'Rules'!$G$7:$G$26,0)),"")</x:f>
      </x:c>
      <x:c r="M1808" s="6" t="str">
        <x:f>IF(AND(NOT(COUNTA(A1808:F1808)=0),K1808=""),INDEX('Rules'!$D$7:$D$26,MATCH(SUBSTITUTE(SUBSTITUTE(SUBSTITUTE(SUBSTITUTE("type:"&amp;B1808,"%","%25"),"~","%7E"),"*","%2A"),"?","%3F"),'Rules'!$G$7:$G$26,0)),"")</x:f>
      </x:c>
      <x:c r="N1808" s="5" t="str">
        <x:f>IF(COUNTA(A1808:F1808)=0,"",SUBSTITUTE(SUBSTITUTE(SUBSTITUTE(SUBSTITUTE("id:"&amp;A1808,"%","%25"),"~","%7E"),"*","%2A"),"?","%3F"))</x:f>
      </x:c>
    </x:row>
    <x:row r="1809" ht="22" customHeight="1">
      <x:c r="A1809" s="3"/>
      <x:c r="B1809" s="3"/>
      <x:c r="C1809" s="3"/>
      <x:c r="D1809" s="4"/>
      <x:c r="E1809" s="4"/>
      <x:c r="F1809" s="4"/>
      <x:c r="G1809" s="5" t="str">
        <x:f>IF(COUNTA(A1809:F1809)=0,"",IF(K1809&lt;&gt;"","Review",IF(I1809&lt;0,"Overdue",IF(I1809=0,"Due now",IF(I1809&lt;=M1809,"Due soon","Not due")))))</x:f>
      </x:c>
      <x:c r="H1809" s="5" t="str">
        <x:f>IF(OR(COUNTA(A1809:F1809)=0,COUNTIFS('Rules'!$G$7:$G$26,"="&amp;(SUBSTITUTE(SUBSTITUTE(SUBSTITUTE(SUBSTITUTE("type:"&amp;B1809,"%","%25"),"~","%7E"),"*","%2A"),"?","%3F")))&lt;&gt;1),"",IF(OR(INDEX('Rules'!$B$7:$B$26,MATCH(SUBSTITUTE(SUBSTITUTE(SUBSTITUTE(SUBSTITUTE("type:"&amp;B1809,"%","%25"),"~","%7E"),"*","%2A"),"?","%3F"),'Rules'!$G$7:$G$26,0))="hours",INDEX('Rules'!$B$7:$B$26,MATCH(SUBSTITUTE(SUBSTITUTE(SUBSTITUTE(SUBSTITUTE("type:"&amp;B1809,"%","%25"),"~","%7E"),"*","%2A"),"?","%3F"),'Rules'!$G$7:$G$26,0))="km"),INDEX('Rules'!$B$7:$B$26,MATCH(SUBSTITUTE(SUBSTITUTE(SUBSTITUTE(SUBSTITUTE("type:"&amp;B1809,"%","%25"),"~","%7E"),"*","%2A"),"?","%3F"),'Rules'!$G$7:$G$26,0)),""))</x:f>
      </x:c>
      <x:c r="I1809" s="6" t="str">
        <x:f>IF(AND(NOT(COUNTA(A1809:F1809)=0),K1809=""),ROUND(J1809-D1809,3),"")</x:f>
      </x:c>
      <x:c r="J1809" s="6" t="str">
        <x:f>IF(AND(NOT(COUNTA(A1809:F1809)=0),K1809=""),ROUND(F1809+L1809,3),"")</x:f>
      </x:c>
      <x:c r="K1809" s="5" t="str">
        <x:f>IF(COUNTA(A1809:F1809)=0,"",IF(A1809="","Missing equipment ID",IF(COUNTIFS($N$8:$N$2007,"="&amp;N1809)&gt;1,"Duplicate equipment ID",IF(B1809="","Missing type",IF(COUNTIFS('Rules'!$G$7:$G$26,"="&amp;(SUBSTITUTE(SUBSTITUTE(SUBSTITUTE(SUBSTITUTE("type:"&amp;B1809,"%","%25"),"~","%7E"),"*","%2A"),"?","%3F")))=0,"Unknown type",IF(COUNTIFS('Rules'!$G$7:$G$26,"="&amp;(SUBSTITUTE(SUBSTITUTE(SUBSTITUTE(SUBSTITUTE("type:"&amp;B1809,"%","%25"),"~","%7E"),"*","%2A"),"?","%3F")))&gt;1,"Duplicate type",IF(INDEX('Rules'!$F$7:$F$26,MATCH(SUBSTITUTE(SUBSTITUTE(SUBSTITUTE(SUBSTITUTE("type:"&amp;B1809,"%","%25"),"~","%7E"),"*","%2A"),"?","%3F"),'Rules'!$G$7:$G$26,0))&lt;&gt;"",INDEX('Rules'!$F$7:$F$26,MATCH(SUBSTITUTE(SUBSTITUTE(SUBSTITUTE(SUBSTITUTE("type:"&amp;B1809,"%","%25"),"~","%7E"),"*","%2A"),"?","%3F"),'Rules'!$G$7:$G$26,0)),IF(AND(C1809&lt;&gt;"",C1809&lt;&gt;INDEX('Rules'!$B$7:$B$26,MATCH(SUBSTITUTE(SUBSTITUTE(SUBSTITUTE(SUBSTITUTE("type:"&amp;B1809,"%","%25"),"~","%7E"),"*","%2A"),"?","%3F"),'Rules'!$G$7:$G$26,0))),"Unit mismatch",IF(IF(NOT(ISNUMBER(D1809)),TRUE,OR(D1809&lt;0,D1809&gt;999999999,ROUND(D1809,3)&lt;&gt;D1809)),"Invalid current reading",IF(AND(E1809&lt;&gt;"",IF(NOT(ISNUMBER(E1809)),TRUE,OR(E1809&lt;0,E1809&gt;999999999,ROUND(E1809,3)&lt;&gt;E1809))),"Invalid previous reading",IF(IF(NOT(ISNUMBER(F1809)),TRUE,OR(F1809&lt;0,F1809&gt;999999999,ROUND(F1809,3)&lt;&gt;F1809)),"Invalid last service",IF(AND(E1809&lt;&gt;"",D1809&lt;E1809),"Decreased reading",IF(F1809&gt;D1809,"Last service above current","")))))))))))))</x:f>
      </x:c>
      <x:c r="L1809" s="6" t="str">
        <x:f>IF(AND(NOT(COUNTA(A1809:F1809)=0),K1809=""),INDEX('Rules'!$C$7:$C$26,MATCH(SUBSTITUTE(SUBSTITUTE(SUBSTITUTE(SUBSTITUTE("type:"&amp;B1809,"%","%25"),"~","%7E"),"*","%2A"),"?","%3F"),'Rules'!$G$7:$G$26,0)),"")</x:f>
      </x:c>
      <x:c r="M1809" s="6" t="str">
        <x:f>IF(AND(NOT(COUNTA(A1809:F1809)=0),K1809=""),INDEX('Rules'!$D$7:$D$26,MATCH(SUBSTITUTE(SUBSTITUTE(SUBSTITUTE(SUBSTITUTE("type:"&amp;B1809,"%","%25"),"~","%7E"),"*","%2A"),"?","%3F"),'Rules'!$G$7:$G$26,0)),"")</x:f>
      </x:c>
      <x:c r="N1809" s="5" t="str">
        <x:f>IF(COUNTA(A1809:F1809)=0,"",SUBSTITUTE(SUBSTITUTE(SUBSTITUTE(SUBSTITUTE("id:"&amp;A1809,"%","%25"),"~","%7E"),"*","%2A"),"?","%3F"))</x:f>
      </x:c>
    </x:row>
    <x:row r="1810" ht="22" customHeight="1">
      <x:c r="A1810" s="3"/>
      <x:c r="B1810" s="3"/>
      <x:c r="C1810" s="3"/>
      <x:c r="D1810" s="4"/>
      <x:c r="E1810" s="4"/>
      <x:c r="F1810" s="4"/>
      <x:c r="G1810" s="5" t="str">
        <x:f>IF(COUNTA(A1810:F1810)=0,"",IF(K1810&lt;&gt;"","Review",IF(I1810&lt;0,"Overdue",IF(I1810=0,"Due now",IF(I1810&lt;=M1810,"Due soon","Not due")))))</x:f>
      </x:c>
      <x:c r="H1810" s="5" t="str">
        <x:f>IF(OR(COUNTA(A1810:F1810)=0,COUNTIFS('Rules'!$G$7:$G$26,"="&amp;(SUBSTITUTE(SUBSTITUTE(SUBSTITUTE(SUBSTITUTE("type:"&amp;B1810,"%","%25"),"~","%7E"),"*","%2A"),"?","%3F")))&lt;&gt;1),"",IF(OR(INDEX('Rules'!$B$7:$B$26,MATCH(SUBSTITUTE(SUBSTITUTE(SUBSTITUTE(SUBSTITUTE("type:"&amp;B1810,"%","%25"),"~","%7E"),"*","%2A"),"?","%3F"),'Rules'!$G$7:$G$26,0))="hours",INDEX('Rules'!$B$7:$B$26,MATCH(SUBSTITUTE(SUBSTITUTE(SUBSTITUTE(SUBSTITUTE("type:"&amp;B1810,"%","%25"),"~","%7E"),"*","%2A"),"?","%3F"),'Rules'!$G$7:$G$26,0))="km"),INDEX('Rules'!$B$7:$B$26,MATCH(SUBSTITUTE(SUBSTITUTE(SUBSTITUTE(SUBSTITUTE("type:"&amp;B1810,"%","%25"),"~","%7E"),"*","%2A"),"?","%3F"),'Rules'!$G$7:$G$26,0)),""))</x:f>
      </x:c>
      <x:c r="I1810" s="6" t="str">
        <x:f>IF(AND(NOT(COUNTA(A1810:F1810)=0),K1810=""),ROUND(J1810-D1810,3),"")</x:f>
      </x:c>
      <x:c r="J1810" s="6" t="str">
        <x:f>IF(AND(NOT(COUNTA(A1810:F1810)=0),K1810=""),ROUND(F1810+L1810,3),"")</x:f>
      </x:c>
      <x:c r="K1810" s="5" t="str">
        <x:f>IF(COUNTA(A1810:F1810)=0,"",IF(A1810="","Missing equipment ID",IF(COUNTIFS($N$8:$N$2007,"="&amp;N1810)&gt;1,"Duplicate equipment ID",IF(B1810="","Missing type",IF(COUNTIFS('Rules'!$G$7:$G$26,"="&amp;(SUBSTITUTE(SUBSTITUTE(SUBSTITUTE(SUBSTITUTE("type:"&amp;B1810,"%","%25"),"~","%7E"),"*","%2A"),"?","%3F")))=0,"Unknown type",IF(COUNTIFS('Rules'!$G$7:$G$26,"="&amp;(SUBSTITUTE(SUBSTITUTE(SUBSTITUTE(SUBSTITUTE("type:"&amp;B1810,"%","%25"),"~","%7E"),"*","%2A"),"?","%3F")))&gt;1,"Duplicate type",IF(INDEX('Rules'!$F$7:$F$26,MATCH(SUBSTITUTE(SUBSTITUTE(SUBSTITUTE(SUBSTITUTE("type:"&amp;B1810,"%","%25"),"~","%7E"),"*","%2A"),"?","%3F"),'Rules'!$G$7:$G$26,0))&lt;&gt;"",INDEX('Rules'!$F$7:$F$26,MATCH(SUBSTITUTE(SUBSTITUTE(SUBSTITUTE(SUBSTITUTE("type:"&amp;B1810,"%","%25"),"~","%7E"),"*","%2A"),"?","%3F"),'Rules'!$G$7:$G$26,0)),IF(AND(C1810&lt;&gt;"",C1810&lt;&gt;INDEX('Rules'!$B$7:$B$26,MATCH(SUBSTITUTE(SUBSTITUTE(SUBSTITUTE(SUBSTITUTE("type:"&amp;B1810,"%","%25"),"~","%7E"),"*","%2A"),"?","%3F"),'Rules'!$G$7:$G$26,0))),"Unit mismatch",IF(IF(NOT(ISNUMBER(D1810)),TRUE,OR(D1810&lt;0,D1810&gt;999999999,ROUND(D1810,3)&lt;&gt;D1810)),"Invalid current reading",IF(AND(E1810&lt;&gt;"",IF(NOT(ISNUMBER(E1810)),TRUE,OR(E1810&lt;0,E1810&gt;999999999,ROUND(E1810,3)&lt;&gt;E1810))),"Invalid previous reading",IF(IF(NOT(ISNUMBER(F1810)),TRUE,OR(F1810&lt;0,F1810&gt;999999999,ROUND(F1810,3)&lt;&gt;F1810)),"Invalid last service",IF(AND(E1810&lt;&gt;"",D1810&lt;E1810),"Decreased reading",IF(F1810&gt;D1810,"Last service above current","")))))))))))))</x:f>
      </x:c>
      <x:c r="L1810" s="6" t="str">
        <x:f>IF(AND(NOT(COUNTA(A1810:F1810)=0),K1810=""),INDEX('Rules'!$C$7:$C$26,MATCH(SUBSTITUTE(SUBSTITUTE(SUBSTITUTE(SUBSTITUTE("type:"&amp;B1810,"%","%25"),"~","%7E"),"*","%2A"),"?","%3F"),'Rules'!$G$7:$G$26,0)),"")</x:f>
      </x:c>
      <x:c r="M1810" s="6" t="str">
        <x:f>IF(AND(NOT(COUNTA(A1810:F1810)=0),K1810=""),INDEX('Rules'!$D$7:$D$26,MATCH(SUBSTITUTE(SUBSTITUTE(SUBSTITUTE(SUBSTITUTE("type:"&amp;B1810,"%","%25"),"~","%7E"),"*","%2A"),"?","%3F"),'Rules'!$G$7:$G$26,0)),"")</x:f>
      </x:c>
      <x:c r="N1810" s="5" t="str">
        <x:f>IF(COUNTA(A1810:F1810)=0,"",SUBSTITUTE(SUBSTITUTE(SUBSTITUTE(SUBSTITUTE("id:"&amp;A1810,"%","%25"),"~","%7E"),"*","%2A"),"?","%3F"))</x:f>
      </x:c>
    </x:row>
    <x:row r="1811" ht="22" customHeight="1">
      <x:c r="A1811" s="3"/>
      <x:c r="B1811" s="3"/>
      <x:c r="C1811" s="3"/>
      <x:c r="D1811" s="4"/>
      <x:c r="E1811" s="4"/>
      <x:c r="F1811" s="4"/>
      <x:c r="G1811" s="5" t="str">
        <x:f>IF(COUNTA(A1811:F1811)=0,"",IF(K1811&lt;&gt;"","Review",IF(I1811&lt;0,"Overdue",IF(I1811=0,"Due now",IF(I1811&lt;=M1811,"Due soon","Not due")))))</x:f>
      </x:c>
      <x:c r="H1811" s="5" t="str">
        <x:f>IF(OR(COUNTA(A1811:F1811)=0,COUNTIFS('Rules'!$G$7:$G$26,"="&amp;(SUBSTITUTE(SUBSTITUTE(SUBSTITUTE(SUBSTITUTE("type:"&amp;B1811,"%","%25"),"~","%7E"),"*","%2A"),"?","%3F")))&lt;&gt;1),"",IF(OR(INDEX('Rules'!$B$7:$B$26,MATCH(SUBSTITUTE(SUBSTITUTE(SUBSTITUTE(SUBSTITUTE("type:"&amp;B1811,"%","%25"),"~","%7E"),"*","%2A"),"?","%3F"),'Rules'!$G$7:$G$26,0))="hours",INDEX('Rules'!$B$7:$B$26,MATCH(SUBSTITUTE(SUBSTITUTE(SUBSTITUTE(SUBSTITUTE("type:"&amp;B1811,"%","%25"),"~","%7E"),"*","%2A"),"?","%3F"),'Rules'!$G$7:$G$26,0))="km"),INDEX('Rules'!$B$7:$B$26,MATCH(SUBSTITUTE(SUBSTITUTE(SUBSTITUTE(SUBSTITUTE("type:"&amp;B1811,"%","%25"),"~","%7E"),"*","%2A"),"?","%3F"),'Rules'!$G$7:$G$26,0)),""))</x:f>
      </x:c>
      <x:c r="I1811" s="6" t="str">
        <x:f>IF(AND(NOT(COUNTA(A1811:F1811)=0),K1811=""),ROUND(J1811-D1811,3),"")</x:f>
      </x:c>
      <x:c r="J1811" s="6" t="str">
        <x:f>IF(AND(NOT(COUNTA(A1811:F1811)=0),K1811=""),ROUND(F1811+L1811,3),"")</x:f>
      </x:c>
      <x:c r="K1811" s="5" t="str">
        <x:f>IF(COUNTA(A1811:F1811)=0,"",IF(A1811="","Missing equipment ID",IF(COUNTIFS($N$8:$N$2007,"="&amp;N1811)&gt;1,"Duplicate equipment ID",IF(B1811="","Missing type",IF(COUNTIFS('Rules'!$G$7:$G$26,"="&amp;(SUBSTITUTE(SUBSTITUTE(SUBSTITUTE(SUBSTITUTE("type:"&amp;B1811,"%","%25"),"~","%7E"),"*","%2A"),"?","%3F")))=0,"Unknown type",IF(COUNTIFS('Rules'!$G$7:$G$26,"="&amp;(SUBSTITUTE(SUBSTITUTE(SUBSTITUTE(SUBSTITUTE("type:"&amp;B1811,"%","%25"),"~","%7E"),"*","%2A"),"?","%3F")))&gt;1,"Duplicate type",IF(INDEX('Rules'!$F$7:$F$26,MATCH(SUBSTITUTE(SUBSTITUTE(SUBSTITUTE(SUBSTITUTE("type:"&amp;B1811,"%","%25"),"~","%7E"),"*","%2A"),"?","%3F"),'Rules'!$G$7:$G$26,0))&lt;&gt;"",INDEX('Rules'!$F$7:$F$26,MATCH(SUBSTITUTE(SUBSTITUTE(SUBSTITUTE(SUBSTITUTE("type:"&amp;B1811,"%","%25"),"~","%7E"),"*","%2A"),"?","%3F"),'Rules'!$G$7:$G$26,0)),IF(AND(C1811&lt;&gt;"",C1811&lt;&gt;INDEX('Rules'!$B$7:$B$26,MATCH(SUBSTITUTE(SUBSTITUTE(SUBSTITUTE(SUBSTITUTE("type:"&amp;B1811,"%","%25"),"~","%7E"),"*","%2A"),"?","%3F"),'Rules'!$G$7:$G$26,0))),"Unit mismatch",IF(IF(NOT(ISNUMBER(D1811)),TRUE,OR(D1811&lt;0,D1811&gt;999999999,ROUND(D1811,3)&lt;&gt;D1811)),"Invalid current reading",IF(AND(E1811&lt;&gt;"",IF(NOT(ISNUMBER(E1811)),TRUE,OR(E1811&lt;0,E1811&gt;999999999,ROUND(E1811,3)&lt;&gt;E1811))),"Invalid previous reading",IF(IF(NOT(ISNUMBER(F1811)),TRUE,OR(F1811&lt;0,F1811&gt;999999999,ROUND(F1811,3)&lt;&gt;F1811)),"Invalid last service",IF(AND(E1811&lt;&gt;"",D1811&lt;E1811),"Decreased reading",IF(F1811&gt;D1811,"Last service above current","")))))))))))))</x:f>
      </x:c>
      <x:c r="L1811" s="6" t="str">
        <x:f>IF(AND(NOT(COUNTA(A1811:F1811)=0),K1811=""),INDEX('Rules'!$C$7:$C$26,MATCH(SUBSTITUTE(SUBSTITUTE(SUBSTITUTE(SUBSTITUTE("type:"&amp;B1811,"%","%25"),"~","%7E"),"*","%2A"),"?","%3F"),'Rules'!$G$7:$G$26,0)),"")</x:f>
      </x:c>
      <x:c r="M1811" s="6" t="str">
        <x:f>IF(AND(NOT(COUNTA(A1811:F1811)=0),K1811=""),INDEX('Rules'!$D$7:$D$26,MATCH(SUBSTITUTE(SUBSTITUTE(SUBSTITUTE(SUBSTITUTE("type:"&amp;B1811,"%","%25"),"~","%7E"),"*","%2A"),"?","%3F"),'Rules'!$G$7:$G$26,0)),"")</x:f>
      </x:c>
      <x:c r="N1811" s="5" t="str">
        <x:f>IF(COUNTA(A1811:F1811)=0,"",SUBSTITUTE(SUBSTITUTE(SUBSTITUTE(SUBSTITUTE("id:"&amp;A1811,"%","%25"),"~","%7E"),"*","%2A"),"?","%3F"))</x:f>
      </x:c>
    </x:row>
    <x:row r="1812" ht="22" customHeight="1">
      <x:c r="A1812" s="3"/>
      <x:c r="B1812" s="3"/>
      <x:c r="C1812" s="3"/>
      <x:c r="D1812" s="4"/>
      <x:c r="E1812" s="4"/>
      <x:c r="F1812" s="4"/>
      <x:c r="G1812" s="5" t="str">
        <x:f>IF(COUNTA(A1812:F1812)=0,"",IF(K1812&lt;&gt;"","Review",IF(I1812&lt;0,"Overdue",IF(I1812=0,"Due now",IF(I1812&lt;=M1812,"Due soon","Not due")))))</x:f>
      </x:c>
      <x:c r="H1812" s="5" t="str">
        <x:f>IF(OR(COUNTA(A1812:F1812)=0,COUNTIFS('Rules'!$G$7:$G$26,"="&amp;(SUBSTITUTE(SUBSTITUTE(SUBSTITUTE(SUBSTITUTE("type:"&amp;B1812,"%","%25"),"~","%7E"),"*","%2A"),"?","%3F")))&lt;&gt;1),"",IF(OR(INDEX('Rules'!$B$7:$B$26,MATCH(SUBSTITUTE(SUBSTITUTE(SUBSTITUTE(SUBSTITUTE("type:"&amp;B1812,"%","%25"),"~","%7E"),"*","%2A"),"?","%3F"),'Rules'!$G$7:$G$26,0))="hours",INDEX('Rules'!$B$7:$B$26,MATCH(SUBSTITUTE(SUBSTITUTE(SUBSTITUTE(SUBSTITUTE("type:"&amp;B1812,"%","%25"),"~","%7E"),"*","%2A"),"?","%3F"),'Rules'!$G$7:$G$26,0))="km"),INDEX('Rules'!$B$7:$B$26,MATCH(SUBSTITUTE(SUBSTITUTE(SUBSTITUTE(SUBSTITUTE("type:"&amp;B1812,"%","%25"),"~","%7E"),"*","%2A"),"?","%3F"),'Rules'!$G$7:$G$26,0)),""))</x:f>
      </x:c>
      <x:c r="I1812" s="6" t="str">
        <x:f>IF(AND(NOT(COUNTA(A1812:F1812)=0),K1812=""),ROUND(J1812-D1812,3),"")</x:f>
      </x:c>
      <x:c r="J1812" s="6" t="str">
        <x:f>IF(AND(NOT(COUNTA(A1812:F1812)=0),K1812=""),ROUND(F1812+L1812,3),"")</x:f>
      </x:c>
      <x:c r="K1812" s="5" t="str">
        <x:f>IF(COUNTA(A1812:F1812)=0,"",IF(A1812="","Missing equipment ID",IF(COUNTIFS($N$8:$N$2007,"="&amp;N1812)&gt;1,"Duplicate equipment ID",IF(B1812="","Missing type",IF(COUNTIFS('Rules'!$G$7:$G$26,"="&amp;(SUBSTITUTE(SUBSTITUTE(SUBSTITUTE(SUBSTITUTE("type:"&amp;B1812,"%","%25"),"~","%7E"),"*","%2A"),"?","%3F")))=0,"Unknown type",IF(COUNTIFS('Rules'!$G$7:$G$26,"="&amp;(SUBSTITUTE(SUBSTITUTE(SUBSTITUTE(SUBSTITUTE("type:"&amp;B1812,"%","%25"),"~","%7E"),"*","%2A"),"?","%3F")))&gt;1,"Duplicate type",IF(INDEX('Rules'!$F$7:$F$26,MATCH(SUBSTITUTE(SUBSTITUTE(SUBSTITUTE(SUBSTITUTE("type:"&amp;B1812,"%","%25"),"~","%7E"),"*","%2A"),"?","%3F"),'Rules'!$G$7:$G$26,0))&lt;&gt;"",INDEX('Rules'!$F$7:$F$26,MATCH(SUBSTITUTE(SUBSTITUTE(SUBSTITUTE(SUBSTITUTE("type:"&amp;B1812,"%","%25"),"~","%7E"),"*","%2A"),"?","%3F"),'Rules'!$G$7:$G$26,0)),IF(AND(C1812&lt;&gt;"",C1812&lt;&gt;INDEX('Rules'!$B$7:$B$26,MATCH(SUBSTITUTE(SUBSTITUTE(SUBSTITUTE(SUBSTITUTE("type:"&amp;B1812,"%","%25"),"~","%7E"),"*","%2A"),"?","%3F"),'Rules'!$G$7:$G$26,0))),"Unit mismatch",IF(IF(NOT(ISNUMBER(D1812)),TRUE,OR(D1812&lt;0,D1812&gt;999999999,ROUND(D1812,3)&lt;&gt;D1812)),"Invalid current reading",IF(AND(E1812&lt;&gt;"",IF(NOT(ISNUMBER(E1812)),TRUE,OR(E1812&lt;0,E1812&gt;999999999,ROUND(E1812,3)&lt;&gt;E1812))),"Invalid previous reading",IF(IF(NOT(ISNUMBER(F1812)),TRUE,OR(F1812&lt;0,F1812&gt;999999999,ROUND(F1812,3)&lt;&gt;F1812)),"Invalid last service",IF(AND(E1812&lt;&gt;"",D1812&lt;E1812),"Decreased reading",IF(F1812&gt;D1812,"Last service above current","")))))))))))))</x:f>
      </x:c>
      <x:c r="L1812" s="6" t="str">
        <x:f>IF(AND(NOT(COUNTA(A1812:F1812)=0),K1812=""),INDEX('Rules'!$C$7:$C$26,MATCH(SUBSTITUTE(SUBSTITUTE(SUBSTITUTE(SUBSTITUTE("type:"&amp;B1812,"%","%25"),"~","%7E"),"*","%2A"),"?","%3F"),'Rules'!$G$7:$G$26,0)),"")</x:f>
      </x:c>
      <x:c r="M1812" s="6" t="str">
        <x:f>IF(AND(NOT(COUNTA(A1812:F1812)=0),K1812=""),INDEX('Rules'!$D$7:$D$26,MATCH(SUBSTITUTE(SUBSTITUTE(SUBSTITUTE(SUBSTITUTE("type:"&amp;B1812,"%","%25"),"~","%7E"),"*","%2A"),"?","%3F"),'Rules'!$G$7:$G$26,0)),"")</x:f>
      </x:c>
      <x:c r="N1812" s="5" t="str">
        <x:f>IF(COUNTA(A1812:F1812)=0,"",SUBSTITUTE(SUBSTITUTE(SUBSTITUTE(SUBSTITUTE("id:"&amp;A1812,"%","%25"),"~","%7E"),"*","%2A"),"?","%3F"))</x:f>
      </x:c>
    </x:row>
    <x:row r="1813" ht="22" customHeight="1">
      <x:c r="A1813" s="3"/>
      <x:c r="B1813" s="3"/>
      <x:c r="C1813" s="3"/>
      <x:c r="D1813" s="4"/>
      <x:c r="E1813" s="4"/>
      <x:c r="F1813" s="4"/>
      <x:c r="G1813" s="5" t="str">
        <x:f>IF(COUNTA(A1813:F1813)=0,"",IF(K1813&lt;&gt;"","Review",IF(I1813&lt;0,"Overdue",IF(I1813=0,"Due now",IF(I1813&lt;=M1813,"Due soon","Not due")))))</x:f>
      </x:c>
      <x:c r="H1813" s="5" t="str">
        <x:f>IF(OR(COUNTA(A1813:F1813)=0,COUNTIFS('Rules'!$G$7:$G$26,"="&amp;(SUBSTITUTE(SUBSTITUTE(SUBSTITUTE(SUBSTITUTE("type:"&amp;B1813,"%","%25"),"~","%7E"),"*","%2A"),"?","%3F")))&lt;&gt;1),"",IF(OR(INDEX('Rules'!$B$7:$B$26,MATCH(SUBSTITUTE(SUBSTITUTE(SUBSTITUTE(SUBSTITUTE("type:"&amp;B1813,"%","%25"),"~","%7E"),"*","%2A"),"?","%3F"),'Rules'!$G$7:$G$26,0))="hours",INDEX('Rules'!$B$7:$B$26,MATCH(SUBSTITUTE(SUBSTITUTE(SUBSTITUTE(SUBSTITUTE("type:"&amp;B1813,"%","%25"),"~","%7E"),"*","%2A"),"?","%3F"),'Rules'!$G$7:$G$26,0))="km"),INDEX('Rules'!$B$7:$B$26,MATCH(SUBSTITUTE(SUBSTITUTE(SUBSTITUTE(SUBSTITUTE("type:"&amp;B1813,"%","%25"),"~","%7E"),"*","%2A"),"?","%3F"),'Rules'!$G$7:$G$26,0)),""))</x:f>
      </x:c>
      <x:c r="I1813" s="6" t="str">
        <x:f>IF(AND(NOT(COUNTA(A1813:F1813)=0),K1813=""),ROUND(J1813-D1813,3),"")</x:f>
      </x:c>
      <x:c r="J1813" s="6" t="str">
        <x:f>IF(AND(NOT(COUNTA(A1813:F1813)=0),K1813=""),ROUND(F1813+L1813,3),"")</x:f>
      </x:c>
      <x:c r="K1813" s="5" t="str">
        <x:f>IF(COUNTA(A1813:F1813)=0,"",IF(A1813="","Missing equipment ID",IF(COUNTIFS($N$8:$N$2007,"="&amp;N1813)&gt;1,"Duplicate equipment ID",IF(B1813="","Missing type",IF(COUNTIFS('Rules'!$G$7:$G$26,"="&amp;(SUBSTITUTE(SUBSTITUTE(SUBSTITUTE(SUBSTITUTE("type:"&amp;B1813,"%","%25"),"~","%7E"),"*","%2A"),"?","%3F")))=0,"Unknown type",IF(COUNTIFS('Rules'!$G$7:$G$26,"="&amp;(SUBSTITUTE(SUBSTITUTE(SUBSTITUTE(SUBSTITUTE("type:"&amp;B1813,"%","%25"),"~","%7E"),"*","%2A"),"?","%3F")))&gt;1,"Duplicate type",IF(INDEX('Rules'!$F$7:$F$26,MATCH(SUBSTITUTE(SUBSTITUTE(SUBSTITUTE(SUBSTITUTE("type:"&amp;B1813,"%","%25"),"~","%7E"),"*","%2A"),"?","%3F"),'Rules'!$G$7:$G$26,0))&lt;&gt;"",INDEX('Rules'!$F$7:$F$26,MATCH(SUBSTITUTE(SUBSTITUTE(SUBSTITUTE(SUBSTITUTE("type:"&amp;B1813,"%","%25"),"~","%7E"),"*","%2A"),"?","%3F"),'Rules'!$G$7:$G$26,0)),IF(AND(C1813&lt;&gt;"",C1813&lt;&gt;INDEX('Rules'!$B$7:$B$26,MATCH(SUBSTITUTE(SUBSTITUTE(SUBSTITUTE(SUBSTITUTE("type:"&amp;B1813,"%","%25"),"~","%7E"),"*","%2A"),"?","%3F"),'Rules'!$G$7:$G$26,0))),"Unit mismatch",IF(IF(NOT(ISNUMBER(D1813)),TRUE,OR(D1813&lt;0,D1813&gt;999999999,ROUND(D1813,3)&lt;&gt;D1813)),"Invalid current reading",IF(AND(E1813&lt;&gt;"",IF(NOT(ISNUMBER(E1813)),TRUE,OR(E1813&lt;0,E1813&gt;999999999,ROUND(E1813,3)&lt;&gt;E1813))),"Invalid previous reading",IF(IF(NOT(ISNUMBER(F1813)),TRUE,OR(F1813&lt;0,F1813&gt;999999999,ROUND(F1813,3)&lt;&gt;F1813)),"Invalid last service",IF(AND(E1813&lt;&gt;"",D1813&lt;E1813),"Decreased reading",IF(F1813&gt;D1813,"Last service above current","")))))))))))))</x:f>
      </x:c>
      <x:c r="L1813" s="6" t="str">
        <x:f>IF(AND(NOT(COUNTA(A1813:F1813)=0),K1813=""),INDEX('Rules'!$C$7:$C$26,MATCH(SUBSTITUTE(SUBSTITUTE(SUBSTITUTE(SUBSTITUTE("type:"&amp;B1813,"%","%25"),"~","%7E"),"*","%2A"),"?","%3F"),'Rules'!$G$7:$G$26,0)),"")</x:f>
      </x:c>
      <x:c r="M1813" s="6" t="str">
        <x:f>IF(AND(NOT(COUNTA(A1813:F1813)=0),K1813=""),INDEX('Rules'!$D$7:$D$26,MATCH(SUBSTITUTE(SUBSTITUTE(SUBSTITUTE(SUBSTITUTE("type:"&amp;B1813,"%","%25"),"~","%7E"),"*","%2A"),"?","%3F"),'Rules'!$G$7:$G$26,0)),"")</x:f>
      </x:c>
      <x:c r="N1813" s="5" t="str">
        <x:f>IF(COUNTA(A1813:F1813)=0,"",SUBSTITUTE(SUBSTITUTE(SUBSTITUTE(SUBSTITUTE("id:"&amp;A1813,"%","%25"),"~","%7E"),"*","%2A"),"?","%3F"))</x:f>
      </x:c>
    </x:row>
    <x:row r="1814" ht="22" customHeight="1">
      <x:c r="A1814" s="3"/>
      <x:c r="B1814" s="3"/>
      <x:c r="C1814" s="3"/>
      <x:c r="D1814" s="4"/>
      <x:c r="E1814" s="4"/>
      <x:c r="F1814" s="4"/>
      <x:c r="G1814" s="5" t="str">
        <x:f>IF(COUNTA(A1814:F1814)=0,"",IF(K1814&lt;&gt;"","Review",IF(I1814&lt;0,"Overdue",IF(I1814=0,"Due now",IF(I1814&lt;=M1814,"Due soon","Not due")))))</x:f>
      </x:c>
      <x:c r="H1814" s="5" t="str">
        <x:f>IF(OR(COUNTA(A1814:F1814)=0,COUNTIFS('Rules'!$G$7:$G$26,"="&amp;(SUBSTITUTE(SUBSTITUTE(SUBSTITUTE(SUBSTITUTE("type:"&amp;B1814,"%","%25"),"~","%7E"),"*","%2A"),"?","%3F")))&lt;&gt;1),"",IF(OR(INDEX('Rules'!$B$7:$B$26,MATCH(SUBSTITUTE(SUBSTITUTE(SUBSTITUTE(SUBSTITUTE("type:"&amp;B1814,"%","%25"),"~","%7E"),"*","%2A"),"?","%3F"),'Rules'!$G$7:$G$26,0))="hours",INDEX('Rules'!$B$7:$B$26,MATCH(SUBSTITUTE(SUBSTITUTE(SUBSTITUTE(SUBSTITUTE("type:"&amp;B1814,"%","%25"),"~","%7E"),"*","%2A"),"?","%3F"),'Rules'!$G$7:$G$26,0))="km"),INDEX('Rules'!$B$7:$B$26,MATCH(SUBSTITUTE(SUBSTITUTE(SUBSTITUTE(SUBSTITUTE("type:"&amp;B1814,"%","%25"),"~","%7E"),"*","%2A"),"?","%3F"),'Rules'!$G$7:$G$26,0)),""))</x:f>
      </x:c>
      <x:c r="I1814" s="6" t="str">
        <x:f>IF(AND(NOT(COUNTA(A1814:F1814)=0),K1814=""),ROUND(J1814-D1814,3),"")</x:f>
      </x:c>
      <x:c r="J1814" s="6" t="str">
        <x:f>IF(AND(NOT(COUNTA(A1814:F1814)=0),K1814=""),ROUND(F1814+L1814,3),"")</x:f>
      </x:c>
      <x:c r="K1814" s="5" t="str">
        <x:f>IF(COUNTA(A1814:F1814)=0,"",IF(A1814="","Missing equipment ID",IF(COUNTIFS($N$8:$N$2007,"="&amp;N1814)&gt;1,"Duplicate equipment ID",IF(B1814="","Missing type",IF(COUNTIFS('Rules'!$G$7:$G$26,"="&amp;(SUBSTITUTE(SUBSTITUTE(SUBSTITUTE(SUBSTITUTE("type:"&amp;B1814,"%","%25"),"~","%7E"),"*","%2A"),"?","%3F")))=0,"Unknown type",IF(COUNTIFS('Rules'!$G$7:$G$26,"="&amp;(SUBSTITUTE(SUBSTITUTE(SUBSTITUTE(SUBSTITUTE("type:"&amp;B1814,"%","%25"),"~","%7E"),"*","%2A"),"?","%3F")))&gt;1,"Duplicate type",IF(INDEX('Rules'!$F$7:$F$26,MATCH(SUBSTITUTE(SUBSTITUTE(SUBSTITUTE(SUBSTITUTE("type:"&amp;B1814,"%","%25"),"~","%7E"),"*","%2A"),"?","%3F"),'Rules'!$G$7:$G$26,0))&lt;&gt;"",INDEX('Rules'!$F$7:$F$26,MATCH(SUBSTITUTE(SUBSTITUTE(SUBSTITUTE(SUBSTITUTE("type:"&amp;B1814,"%","%25"),"~","%7E"),"*","%2A"),"?","%3F"),'Rules'!$G$7:$G$26,0)),IF(AND(C1814&lt;&gt;"",C1814&lt;&gt;INDEX('Rules'!$B$7:$B$26,MATCH(SUBSTITUTE(SUBSTITUTE(SUBSTITUTE(SUBSTITUTE("type:"&amp;B1814,"%","%25"),"~","%7E"),"*","%2A"),"?","%3F"),'Rules'!$G$7:$G$26,0))),"Unit mismatch",IF(IF(NOT(ISNUMBER(D1814)),TRUE,OR(D1814&lt;0,D1814&gt;999999999,ROUND(D1814,3)&lt;&gt;D1814)),"Invalid current reading",IF(AND(E1814&lt;&gt;"",IF(NOT(ISNUMBER(E1814)),TRUE,OR(E1814&lt;0,E1814&gt;999999999,ROUND(E1814,3)&lt;&gt;E1814))),"Invalid previous reading",IF(IF(NOT(ISNUMBER(F1814)),TRUE,OR(F1814&lt;0,F1814&gt;999999999,ROUND(F1814,3)&lt;&gt;F1814)),"Invalid last service",IF(AND(E1814&lt;&gt;"",D1814&lt;E1814),"Decreased reading",IF(F1814&gt;D1814,"Last service above current","")))))))))))))</x:f>
      </x:c>
      <x:c r="L1814" s="6" t="str">
        <x:f>IF(AND(NOT(COUNTA(A1814:F1814)=0),K1814=""),INDEX('Rules'!$C$7:$C$26,MATCH(SUBSTITUTE(SUBSTITUTE(SUBSTITUTE(SUBSTITUTE("type:"&amp;B1814,"%","%25"),"~","%7E"),"*","%2A"),"?","%3F"),'Rules'!$G$7:$G$26,0)),"")</x:f>
      </x:c>
      <x:c r="M1814" s="6" t="str">
        <x:f>IF(AND(NOT(COUNTA(A1814:F1814)=0),K1814=""),INDEX('Rules'!$D$7:$D$26,MATCH(SUBSTITUTE(SUBSTITUTE(SUBSTITUTE(SUBSTITUTE("type:"&amp;B1814,"%","%25"),"~","%7E"),"*","%2A"),"?","%3F"),'Rules'!$G$7:$G$26,0)),"")</x:f>
      </x:c>
      <x:c r="N1814" s="5" t="str">
        <x:f>IF(COUNTA(A1814:F1814)=0,"",SUBSTITUTE(SUBSTITUTE(SUBSTITUTE(SUBSTITUTE("id:"&amp;A1814,"%","%25"),"~","%7E"),"*","%2A"),"?","%3F"))</x:f>
      </x:c>
    </x:row>
    <x:row r="1815" ht="22" customHeight="1">
      <x:c r="A1815" s="3"/>
      <x:c r="B1815" s="3"/>
      <x:c r="C1815" s="3"/>
      <x:c r="D1815" s="4"/>
      <x:c r="E1815" s="4"/>
      <x:c r="F1815" s="4"/>
      <x:c r="G1815" s="5" t="str">
        <x:f>IF(COUNTA(A1815:F1815)=0,"",IF(K1815&lt;&gt;"","Review",IF(I1815&lt;0,"Overdue",IF(I1815=0,"Due now",IF(I1815&lt;=M1815,"Due soon","Not due")))))</x:f>
      </x:c>
      <x:c r="H1815" s="5" t="str">
        <x:f>IF(OR(COUNTA(A1815:F1815)=0,COUNTIFS('Rules'!$G$7:$G$26,"="&amp;(SUBSTITUTE(SUBSTITUTE(SUBSTITUTE(SUBSTITUTE("type:"&amp;B1815,"%","%25"),"~","%7E"),"*","%2A"),"?","%3F")))&lt;&gt;1),"",IF(OR(INDEX('Rules'!$B$7:$B$26,MATCH(SUBSTITUTE(SUBSTITUTE(SUBSTITUTE(SUBSTITUTE("type:"&amp;B1815,"%","%25"),"~","%7E"),"*","%2A"),"?","%3F"),'Rules'!$G$7:$G$26,0))="hours",INDEX('Rules'!$B$7:$B$26,MATCH(SUBSTITUTE(SUBSTITUTE(SUBSTITUTE(SUBSTITUTE("type:"&amp;B1815,"%","%25"),"~","%7E"),"*","%2A"),"?","%3F"),'Rules'!$G$7:$G$26,0))="km"),INDEX('Rules'!$B$7:$B$26,MATCH(SUBSTITUTE(SUBSTITUTE(SUBSTITUTE(SUBSTITUTE("type:"&amp;B1815,"%","%25"),"~","%7E"),"*","%2A"),"?","%3F"),'Rules'!$G$7:$G$26,0)),""))</x:f>
      </x:c>
      <x:c r="I1815" s="6" t="str">
        <x:f>IF(AND(NOT(COUNTA(A1815:F1815)=0),K1815=""),ROUND(J1815-D1815,3),"")</x:f>
      </x:c>
      <x:c r="J1815" s="6" t="str">
        <x:f>IF(AND(NOT(COUNTA(A1815:F1815)=0),K1815=""),ROUND(F1815+L1815,3),"")</x:f>
      </x:c>
      <x:c r="K1815" s="5" t="str">
        <x:f>IF(COUNTA(A1815:F1815)=0,"",IF(A1815="","Missing equipment ID",IF(COUNTIFS($N$8:$N$2007,"="&amp;N1815)&gt;1,"Duplicate equipment ID",IF(B1815="","Missing type",IF(COUNTIFS('Rules'!$G$7:$G$26,"="&amp;(SUBSTITUTE(SUBSTITUTE(SUBSTITUTE(SUBSTITUTE("type:"&amp;B1815,"%","%25"),"~","%7E"),"*","%2A"),"?","%3F")))=0,"Unknown type",IF(COUNTIFS('Rules'!$G$7:$G$26,"="&amp;(SUBSTITUTE(SUBSTITUTE(SUBSTITUTE(SUBSTITUTE("type:"&amp;B1815,"%","%25"),"~","%7E"),"*","%2A"),"?","%3F")))&gt;1,"Duplicate type",IF(INDEX('Rules'!$F$7:$F$26,MATCH(SUBSTITUTE(SUBSTITUTE(SUBSTITUTE(SUBSTITUTE("type:"&amp;B1815,"%","%25"),"~","%7E"),"*","%2A"),"?","%3F"),'Rules'!$G$7:$G$26,0))&lt;&gt;"",INDEX('Rules'!$F$7:$F$26,MATCH(SUBSTITUTE(SUBSTITUTE(SUBSTITUTE(SUBSTITUTE("type:"&amp;B1815,"%","%25"),"~","%7E"),"*","%2A"),"?","%3F"),'Rules'!$G$7:$G$26,0)),IF(AND(C1815&lt;&gt;"",C1815&lt;&gt;INDEX('Rules'!$B$7:$B$26,MATCH(SUBSTITUTE(SUBSTITUTE(SUBSTITUTE(SUBSTITUTE("type:"&amp;B1815,"%","%25"),"~","%7E"),"*","%2A"),"?","%3F"),'Rules'!$G$7:$G$26,0))),"Unit mismatch",IF(IF(NOT(ISNUMBER(D1815)),TRUE,OR(D1815&lt;0,D1815&gt;999999999,ROUND(D1815,3)&lt;&gt;D1815)),"Invalid current reading",IF(AND(E1815&lt;&gt;"",IF(NOT(ISNUMBER(E1815)),TRUE,OR(E1815&lt;0,E1815&gt;999999999,ROUND(E1815,3)&lt;&gt;E1815))),"Invalid previous reading",IF(IF(NOT(ISNUMBER(F1815)),TRUE,OR(F1815&lt;0,F1815&gt;999999999,ROUND(F1815,3)&lt;&gt;F1815)),"Invalid last service",IF(AND(E1815&lt;&gt;"",D1815&lt;E1815),"Decreased reading",IF(F1815&gt;D1815,"Last service above current","")))))))))))))</x:f>
      </x:c>
      <x:c r="L1815" s="6" t="str">
        <x:f>IF(AND(NOT(COUNTA(A1815:F1815)=0),K1815=""),INDEX('Rules'!$C$7:$C$26,MATCH(SUBSTITUTE(SUBSTITUTE(SUBSTITUTE(SUBSTITUTE("type:"&amp;B1815,"%","%25"),"~","%7E"),"*","%2A"),"?","%3F"),'Rules'!$G$7:$G$26,0)),"")</x:f>
      </x:c>
      <x:c r="M1815" s="6" t="str">
        <x:f>IF(AND(NOT(COUNTA(A1815:F1815)=0),K1815=""),INDEX('Rules'!$D$7:$D$26,MATCH(SUBSTITUTE(SUBSTITUTE(SUBSTITUTE(SUBSTITUTE("type:"&amp;B1815,"%","%25"),"~","%7E"),"*","%2A"),"?","%3F"),'Rules'!$G$7:$G$26,0)),"")</x:f>
      </x:c>
      <x:c r="N1815" s="5" t="str">
        <x:f>IF(COUNTA(A1815:F1815)=0,"",SUBSTITUTE(SUBSTITUTE(SUBSTITUTE(SUBSTITUTE("id:"&amp;A1815,"%","%25"),"~","%7E"),"*","%2A"),"?","%3F"))</x:f>
      </x:c>
    </x:row>
    <x:row r="1816" ht="22" customHeight="1">
      <x:c r="A1816" s="3"/>
      <x:c r="B1816" s="3"/>
      <x:c r="C1816" s="3"/>
      <x:c r="D1816" s="4"/>
      <x:c r="E1816" s="4"/>
      <x:c r="F1816" s="4"/>
      <x:c r="G1816" s="5" t="str">
        <x:f>IF(COUNTA(A1816:F1816)=0,"",IF(K1816&lt;&gt;"","Review",IF(I1816&lt;0,"Overdue",IF(I1816=0,"Due now",IF(I1816&lt;=M1816,"Due soon","Not due")))))</x:f>
      </x:c>
      <x:c r="H1816" s="5" t="str">
        <x:f>IF(OR(COUNTA(A1816:F1816)=0,COUNTIFS('Rules'!$G$7:$G$26,"="&amp;(SUBSTITUTE(SUBSTITUTE(SUBSTITUTE(SUBSTITUTE("type:"&amp;B1816,"%","%25"),"~","%7E"),"*","%2A"),"?","%3F")))&lt;&gt;1),"",IF(OR(INDEX('Rules'!$B$7:$B$26,MATCH(SUBSTITUTE(SUBSTITUTE(SUBSTITUTE(SUBSTITUTE("type:"&amp;B1816,"%","%25"),"~","%7E"),"*","%2A"),"?","%3F"),'Rules'!$G$7:$G$26,0))="hours",INDEX('Rules'!$B$7:$B$26,MATCH(SUBSTITUTE(SUBSTITUTE(SUBSTITUTE(SUBSTITUTE("type:"&amp;B1816,"%","%25"),"~","%7E"),"*","%2A"),"?","%3F"),'Rules'!$G$7:$G$26,0))="km"),INDEX('Rules'!$B$7:$B$26,MATCH(SUBSTITUTE(SUBSTITUTE(SUBSTITUTE(SUBSTITUTE("type:"&amp;B1816,"%","%25"),"~","%7E"),"*","%2A"),"?","%3F"),'Rules'!$G$7:$G$26,0)),""))</x:f>
      </x:c>
      <x:c r="I1816" s="6" t="str">
        <x:f>IF(AND(NOT(COUNTA(A1816:F1816)=0),K1816=""),ROUND(J1816-D1816,3),"")</x:f>
      </x:c>
      <x:c r="J1816" s="6" t="str">
        <x:f>IF(AND(NOT(COUNTA(A1816:F1816)=0),K1816=""),ROUND(F1816+L1816,3),"")</x:f>
      </x:c>
      <x:c r="K1816" s="5" t="str">
        <x:f>IF(COUNTA(A1816:F1816)=0,"",IF(A1816="","Missing equipment ID",IF(COUNTIFS($N$8:$N$2007,"="&amp;N1816)&gt;1,"Duplicate equipment ID",IF(B1816="","Missing type",IF(COUNTIFS('Rules'!$G$7:$G$26,"="&amp;(SUBSTITUTE(SUBSTITUTE(SUBSTITUTE(SUBSTITUTE("type:"&amp;B1816,"%","%25"),"~","%7E"),"*","%2A"),"?","%3F")))=0,"Unknown type",IF(COUNTIFS('Rules'!$G$7:$G$26,"="&amp;(SUBSTITUTE(SUBSTITUTE(SUBSTITUTE(SUBSTITUTE("type:"&amp;B1816,"%","%25"),"~","%7E"),"*","%2A"),"?","%3F")))&gt;1,"Duplicate type",IF(INDEX('Rules'!$F$7:$F$26,MATCH(SUBSTITUTE(SUBSTITUTE(SUBSTITUTE(SUBSTITUTE("type:"&amp;B1816,"%","%25"),"~","%7E"),"*","%2A"),"?","%3F"),'Rules'!$G$7:$G$26,0))&lt;&gt;"",INDEX('Rules'!$F$7:$F$26,MATCH(SUBSTITUTE(SUBSTITUTE(SUBSTITUTE(SUBSTITUTE("type:"&amp;B1816,"%","%25"),"~","%7E"),"*","%2A"),"?","%3F"),'Rules'!$G$7:$G$26,0)),IF(AND(C1816&lt;&gt;"",C1816&lt;&gt;INDEX('Rules'!$B$7:$B$26,MATCH(SUBSTITUTE(SUBSTITUTE(SUBSTITUTE(SUBSTITUTE("type:"&amp;B1816,"%","%25"),"~","%7E"),"*","%2A"),"?","%3F"),'Rules'!$G$7:$G$26,0))),"Unit mismatch",IF(IF(NOT(ISNUMBER(D1816)),TRUE,OR(D1816&lt;0,D1816&gt;999999999,ROUND(D1816,3)&lt;&gt;D1816)),"Invalid current reading",IF(AND(E1816&lt;&gt;"",IF(NOT(ISNUMBER(E1816)),TRUE,OR(E1816&lt;0,E1816&gt;999999999,ROUND(E1816,3)&lt;&gt;E1816))),"Invalid previous reading",IF(IF(NOT(ISNUMBER(F1816)),TRUE,OR(F1816&lt;0,F1816&gt;999999999,ROUND(F1816,3)&lt;&gt;F1816)),"Invalid last service",IF(AND(E1816&lt;&gt;"",D1816&lt;E1816),"Decreased reading",IF(F1816&gt;D1816,"Last service above current","")))))))))))))</x:f>
      </x:c>
      <x:c r="L1816" s="6" t="str">
        <x:f>IF(AND(NOT(COUNTA(A1816:F1816)=0),K1816=""),INDEX('Rules'!$C$7:$C$26,MATCH(SUBSTITUTE(SUBSTITUTE(SUBSTITUTE(SUBSTITUTE("type:"&amp;B1816,"%","%25"),"~","%7E"),"*","%2A"),"?","%3F"),'Rules'!$G$7:$G$26,0)),"")</x:f>
      </x:c>
      <x:c r="M1816" s="6" t="str">
        <x:f>IF(AND(NOT(COUNTA(A1816:F1816)=0),K1816=""),INDEX('Rules'!$D$7:$D$26,MATCH(SUBSTITUTE(SUBSTITUTE(SUBSTITUTE(SUBSTITUTE("type:"&amp;B1816,"%","%25"),"~","%7E"),"*","%2A"),"?","%3F"),'Rules'!$G$7:$G$26,0)),"")</x:f>
      </x:c>
      <x:c r="N1816" s="5" t="str">
        <x:f>IF(COUNTA(A1816:F1816)=0,"",SUBSTITUTE(SUBSTITUTE(SUBSTITUTE(SUBSTITUTE("id:"&amp;A1816,"%","%25"),"~","%7E"),"*","%2A"),"?","%3F"))</x:f>
      </x:c>
    </x:row>
    <x:row r="1817" ht="22" customHeight="1">
      <x:c r="A1817" s="3"/>
      <x:c r="B1817" s="3"/>
      <x:c r="C1817" s="3"/>
      <x:c r="D1817" s="4"/>
      <x:c r="E1817" s="4"/>
      <x:c r="F1817" s="4"/>
      <x:c r="G1817" s="5" t="str">
        <x:f>IF(COUNTA(A1817:F1817)=0,"",IF(K1817&lt;&gt;"","Review",IF(I1817&lt;0,"Overdue",IF(I1817=0,"Due now",IF(I1817&lt;=M1817,"Due soon","Not due")))))</x:f>
      </x:c>
      <x:c r="H1817" s="5" t="str">
        <x:f>IF(OR(COUNTA(A1817:F1817)=0,COUNTIFS('Rules'!$G$7:$G$26,"="&amp;(SUBSTITUTE(SUBSTITUTE(SUBSTITUTE(SUBSTITUTE("type:"&amp;B1817,"%","%25"),"~","%7E"),"*","%2A"),"?","%3F")))&lt;&gt;1),"",IF(OR(INDEX('Rules'!$B$7:$B$26,MATCH(SUBSTITUTE(SUBSTITUTE(SUBSTITUTE(SUBSTITUTE("type:"&amp;B1817,"%","%25"),"~","%7E"),"*","%2A"),"?","%3F"),'Rules'!$G$7:$G$26,0))="hours",INDEX('Rules'!$B$7:$B$26,MATCH(SUBSTITUTE(SUBSTITUTE(SUBSTITUTE(SUBSTITUTE("type:"&amp;B1817,"%","%25"),"~","%7E"),"*","%2A"),"?","%3F"),'Rules'!$G$7:$G$26,0))="km"),INDEX('Rules'!$B$7:$B$26,MATCH(SUBSTITUTE(SUBSTITUTE(SUBSTITUTE(SUBSTITUTE("type:"&amp;B1817,"%","%25"),"~","%7E"),"*","%2A"),"?","%3F"),'Rules'!$G$7:$G$26,0)),""))</x:f>
      </x:c>
      <x:c r="I1817" s="6" t="str">
        <x:f>IF(AND(NOT(COUNTA(A1817:F1817)=0),K1817=""),ROUND(J1817-D1817,3),"")</x:f>
      </x:c>
      <x:c r="J1817" s="6" t="str">
        <x:f>IF(AND(NOT(COUNTA(A1817:F1817)=0),K1817=""),ROUND(F1817+L1817,3),"")</x:f>
      </x:c>
      <x:c r="K1817" s="5" t="str">
        <x:f>IF(COUNTA(A1817:F1817)=0,"",IF(A1817="","Missing equipment ID",IF(COUNTIFS($N$8:$N$2007,"="&amp;N1817)&gt;1,"Duplicate equipment ID",IF(B1817="","Missing type",IF(COUNTIFS('Rules'!$G$7:$G$26,"="&amp;(SUBSTITUTE(SUBSTITUTE(SUBSTITUTE(SUBSTITUTE("type:"&amp;B1817,"%","%25"),"~","%7E"),"*","%2A"),"?","%3F")))=0,"Unknown type",IF(COUNTIFS('Rules'!$G$7:$G$26,"="&amp;(SUBSTITUTE(SUBSTITUTE(SUBSTITUTE(SUBSTITUTE("type:"&amp;B1817,"%","%25"),"~","%7E"),"*","%2A"),"?","%3F")))&gt;1,"Duplicate type",IF(INDEX('Rules'!$F$7:$F$26,MATCH(SUBSTITUTE(SUBSTITUTE(SUBSTITUTE(SUBSTITUTE("type:"&amp;B1817,"%","%25"),"~","%7E"),"*","%2A"),"?","%3F"),'Rules'!$G$7:$G$26,0))&lt;&gt;"",INDEX('Rules'!$F$7:$F$26,MATCH(SUBSTITUTE(SUBSTITUTE(SUBSTITUTE(SUBSTITUTE("type:"&amp;B1817,"%","%25"),"~","%7E"),"*","%2A"),"?","%3F"),'Rules'!$G$7:$G$26,0)),IF(AND(C1817&lt;&gt;"",C1817&lt;&gt;INDEX('Rules'!$B$7:$B$26,MATCH(SUBSTITUTE(SUBSTITUTE(SUBSTITUTE(SUBSTITUTE("type:"&amp;B1817,"%","%25"),"~","%7E"),"*","%2A"),"?","%3F"),'Rules'!$G$7:$G$26,0))),"Unit mismatch",IF(IF(NOT(ISNUMBER(D1817)),TRUE,OR(D1817&lt;0,D1817&gt;999999999,ROUND(D1817,3)&lt;&gt;D1817)),"Invalid current reading",IF(AND(E1817&lt;&gt;"",IF(NOT(ISNUMBER(E1817)),TRUE,OR(E1817&lt;0,E1817&gt;999999999,ROUND(E1817,3)&lt;&gt;E1817))),"Invalid previous reading",IF(IF(NOT(ISNUMBER(F1817)),TRUE,OR(F1817&lt;0,F1817&gt;999999999,ROUND(F1817,3)&lt;&gt;F1817)),"Invalid last service",IF(AND(E1817&lt;&gt;"",D1817&lt;E1817),"Decreased reading",IF(F1817&gt;D1817,"Last service above current","")))))))))))))</x:f>
      </x:c>
      <x:c r="L1817" s="6" t="str">
        <x:f>IF(AND(NOT(COUNTA(A1817:F1817)=0),K1817=""),INDEX('Rules'!$C$7:$C$26,MATCH(SUBSTITUTE(SUBSTITUTE(SUBSTITUTE(SUBSTITUTE("type:"&amp;B1817,"%","%25"),"~","%7E"),"*","%2A"),"?","%3F"),'Rules'!$G$7:$G$26,0)),"")</x:f>
      </x:c>
      <x:c r="M1817" s="6" t="str">
        <x:f>IF(AND(NOT(COUNTA(A1817:F1817)=0),K1817=""),INDEX('Rules'!$D$7:$D$26,MATCH(SUBSTITUTE(SUBSTITUTE(SUBSTITUTE(SUBSTITUTE("type:"&amp;B1817,"%","%25"),"~","%7E"),"*","%2A"),"?","%3F"),'Rules'!$G$7:$G$26,0)),"")</x:f>
      </x:c>
      <x:c r="N1817" s="5" t="str">
        <x:f>IF(COUNTA(A1817:F1817)=0,"",SUBSTITUTE(SUBSTITUTE(SUBSTITUTE(SUBSTITUTE("id:"&amp;A1817,"%","%25"),"~","%7E"),"*","%2A"),"?","%3F"))</x:f>
      </x:c>
    </x:row>
    <x:row r="1818" ht="22" customHeight="1">
      <x:c r="A1818" s="3"/>
      <x:c r="B1818" s="3"/>
      <x:c r="C1818" s="3"/>
      <x:c r="D1818" s="4"/>
      <x:c r="E1818" s="4"/>
      <x:c r="F1818" s="4"/>
      <x:c r="G1818" s="5" t="str">
        <x:f>IF(COUNTA(A1818:F1818)=0,"",IF(K1818&lt;&gt;"","Review",IF(I1818&lt;0,"Overdue",IF(I1818=0,"Due now",IF(I1818&lt;=M1818,"Due soon","Not due")))))</x:f>
      </x:c>
      <x:c r="H1818" s="5" t="str">
        <x:f>IF(OR(COUNTA(A1818:F1818)=0,COUNTIFS('Rules'!$G$7:$G$26,"="&amp;(SUBSTITUTE(SUBSTITUTE(SUBSTITUTE(SUBSTITUTE("type:"&amp;B1818,"%","%25"),"~","%7E"),"*","%2A"),"?","%3F")))&lt;&gt;1),"",IF(OR(INDEX('Rules'!$B$7:$B$26,MATCH(SUBSTITUTE(SUBSTITUTE(SUBSTITUTE(SUBSTITUTE("type:"&amp;B1818,"%","%25"),"~","%7E"),"*","%2A"),"?","%3F"),'Rules'!$G$7:$G$26,0))="hours",INDEX('Rules'!$B$7:$B$26,MATCH(SUBSTITUTE(SUBSTITUTE(SUBSTITUTE(SUBSTITUTE("type:"&amp;B1818,"%","%25"),"~","%7E"),"*","%2A"),"?","%3F"),'Rules'!$G$7:$G$26,0))="km"),INDEX('Rules'!$B$7:$B$26,MATCH(SUBSTITUTE(SUBSTITUTE(SUBSTITUTE(SUBSTITUTE("type:"&amp;B1818,"%","%25"),"~","%7E"),"*","%2A"),"?","%3F"),'Rules'!$G$7:$G$26,0)),""))</x:f>
      </x:c>
      <x:c r="I1818" s="6" t="str">
        <x:f>IF(AND(NOT(COUNTA(A1818:F1818)=0),K1818=""),ROUND(J1818-D1818,3),"")</x:f>
      </x:c>
      <x:c r="J1818" s="6" t="str">
        <x:f>IF(AND(NOT(COUNTA(A1818:F1818)=0),K1818=""),ROUND(F1818+L1818,3),"")</x:f>
      </x:c>
      <x:c r="K1818" s="5" t="str">
        <x:f>IF(COUNTA(A1818:F1818)=0,"",IF(A1818="","Missing equipment ID",IF(COUNTIFS($N$8:$N$2007,"="&amp;N1818)&gt;1,"Duplicate equipment ID",IF(B1818="","Missing type",IF(COUNTIFS('Rules'!$G$7:$G$26,"="&amp;(SUBSTITUTE(SUBSTITUTE(SUBSTITUTE(SUBSTITUTE("type:"&amp;B1818,"%","%25"),"~","%7E"),"*","%2A"),"?","%3F")))=0,"Unknown type",IF(COUNTIFS('Rules'!$G$7:$G$26,"="&amp;(SUBSTITUTE(SUBSTITUTE(SUBSTITUTE(SUBSTITUTE("type:"&amp;B1818,"%","%25"),"~","%7E"),"*","%2A"),"?","%3F")))&gt;1,"Duplicate type",IF(INDEX('Rules'!$F$7:$F$26,MATCH(SUBSTITUTE(SUBSTITUTE(SUBSTITUTE(SUBSTITUTE("type:"&amp;B1818,"%","%25"),"~","%7E"),"*","%2A"),"?","%3F"),'Rules'!$G$7:$G$26,0))&lt;&gt;"",INDEX('Rules'!$F$7:$F$26,MATCH(SUBSTITUTE(SUBSTITUTE(SUBSTITUTE(SUBSTITUTE("type:"&amp;B1818,"%","%25"),"~","%7E"),"*","%2A"),"?","%3F"),'Rules'!$G$7:$G$26,0)),IF(AND(C1818&lt;&gt;"",C1818&lt;&gt;INDEX('Rules'!$B$7:$B$26,MATCH(SUBSTITUTE(SUBSTITUTE(SUBSTITUTE(SUBSTITUTE("type:"&amp;B1818,"%","%25"),"~","%7E"),"*","%2A"),"?","%3F"),'Rules'!$G$7:$G$26,0))),"Unit mismatch",IF(IF(NOT(ISNUMBER(D1818)),TRUE,OR(D1818&lt;0,D1818&gt;999999999,ROUND(D1818,3)&lt;&gt;D1818)),"Invalid current reading",IF(AND(E1818&lt;&gt;"",IF(NOT(ISNUMBER(E1818)),TRUE,OR(E1818&lt;0,E1818&gt;999999999,ROUND(E1818,3)&lt;&gt;E1818))),"Invalid previous reading",IF(IF(NOT(ISNUMBER(F1818)),TRUE,OR(F1818&lt;0,F1818&gt;999999999,ROUND(F1818,3)&lt;&gt;F1818)),"Invalid last service",IF(AND(E1818&lt;&gt;"",D1818&lt;E1818),"Decreased reading",IF(F1818&gt;D1818,"Last service above current","")))))))))))))</x:f>
      </x:c>
      <x:c r="L1818" s="6" t="str">
        <x:f>IF(AND(NOT(COUNTA(A1818:F1818)=0),K1818=""),INDEX('Rules'!$C$7:$C$26,MATCH(SUBSTITUTE(SUBSTITUTE(SUBSTITUTE(SUBSTITUTE("type:"&amp;B1818,"%","%25"),"~","%7E"),"*","%2A"),"?","%3F"),'Rules'!$G$7:$G$26,0)),"")</x:f>
      </x:c>
      <x:c r="M1818" s="6" t="str">
        <x:f>IF(AND(NOT(COUNTA(A1818:F1818)=0),K1818=""),INDEX('Rules'!$D$7:$D$26,MATCH(SUBSTITUTE(SUBSTITUTE(SUBSTITUTE(SUBSTITUTE("type:"&amp;B1818,"%","%25"),"~","%7E"),"*","%2A"),"?","%3F"),'Rules'!$G$7:$G$26,0)),"")</x:f>
      </x:c>
      <x:c r="N1818" s="5" t="str">
        <x:f>IF(COUNTA(A1818:F1818)=0,"",SUBSTITUTE(SUBSTITUTE(SUBSTITUTE(SUBSTITUTE("id:"&amp;A1818,"%","%25"),"~","%7E"),"*","%2A"),"?","%3F"))</x:f>
      </x:c>
    </x:row>
    <x:row r="1819" ht="22" customHeight="1">
      <x:c r="A1819" s="3"/>
      <x:c r="B1819" s="3"/>
      <x:c r="C1819" s="3"/>
      <x:c r="D1819" s="4"/>
      <x:c r="E1819" s="4"/>
      <x:c r="F1819" s="4"/>
      <x:c r="G1819" s="5" t="str">
        <x:f>IF(COUNTA(A1819:F1819)=0,"",IF(K1819&lt;&gt;"","Review",IF(I1819&lt;0,"Overdue",IF(I1819=0,"Due now",IF(I1819&lt;=M1819,"Due soon","Not due")))))</x:f>
      </x:c>
      <x:c r="H1819" s="5" t="str">
        <x:f>IF(OR(COUNTA(A1819:F1819)=0,COUNTIFS('Rules'!$G$7:$G$26,"="&amp;(SUBSTITUTE(SUBSTITUTE(SUBSTITUTE(SUBSTITUTE("type:"&amp;B1819,"%","%25"),"~","%7E"),"*","%2A"),"?","%3F")))&lt;&gt;1),"",IF(OR(INDEX('Rules'!$B$7:$B$26,MATCH(SUBSTITUTE(SUBSTITUTE(SUBSTITUTE(SUBSTITUTE("type:"&amp;B1819,"%","%25"),"~","%7E"),"*","%2A"),"?","%3F"),'Rules'!$G$7:$G$26,0))="hours",INDEX('Rules'!$B$7:$B$26,MATCH(SUBSTITUTE(SUBSTITUTE(SUBSTITUTE(SUBSTITUTE("type:"&amp;B1819,"%","%25"),"~","%7E"),"*","%2A"),"?","%3F"),'Rules'!$G$7:$G$26,0))="km"),INDEX('Rules'!$B$7:$B$26,MATCH(SUBSTITUTE(SUBSTITUTE(SUBSTITUTE(SUBSTITUTE("type:"&amp;B1819,"%","%25"),"~","%7E"),"*","%2A"),"?","%3F"),'Rules'!$G$7:$G$26,0)),""))</x:f>
      </x:c>
      <x:c r="I1819" s="6" t="str">
        <x:f>IF(AND(NOT(COUNTA(A1819:F1819)=0),K1819=""),ROUND(J1819-D1819,3),"")</x:f>
      </x:c>
      <x:c r="J1819" s="6" t="str">
        <x:f>IF(AND(NOT(COUNTA(A1819:F1819)=0),K1819=""),ROUND(F1819+L1819,3),"")</x:f>
      </x:c>
      <x:c r="K1819" s="5" t="str">
        <x:f>IF(COUNTA(A1819:F1819)=0,"",IF(A1819="","Missing equipment ID",IF(COUNTIFS($N$8:$N$2007,"="&amp;N1819)&gt;1,"Duplicate equipment ID",IF(B1819="","Missing type",IF(COUNTIFS('Rules'!$G$7:$G$26,"="&amp;(SUBSTITUTE(SUBSTITUTE(SUBSTITUTE(SUBSTITUTE("type:"&amp;B1819,"%","%25"),"~","%7E"),"*","%2A"),"?","%3F")))=0,"Unknown type",IF(COUNTIFS('Rules'!$G$7:$G$26,"="&amp;(SUBSTITUTE(SUBSTITUTE(SUBSTITUTE(SUBSTITUTE("type:"&amp;B1819,"%","%25"),"~","%7E"),"*","%2A"),"?","%3F")))&gt;1,"Duplicate type",IF(INDEX('Rules'!$F$7:$F$26,MATCH(SUBSTITUTE(SUBSTITUTE(SUBSTITUTE(SUBSTITUTE("type:"&amp;B1819,"%","%25"),"~","%7E"),"*","%2A"),"?","%3F"),'Rules'!$G$7:$G$26,0))&lt;&gt;"",INDEX('Rules'!$F$7:$F$26,MATCH(SUBSTITUTE(SUBSTITUTE(SUBSTITUTE(SUBSTITUTE("type:"&amp;B1819,"%","%25"),"~","%7E"),"*","%2A"),"?","%3F"),'Rules'!$G$7:$G$26,0)),IF(AND(C1819&lt;&gt;"",C1819&lt;&gt;INDEX('Rules'!$B$7:$B$26,MATCH(SUBSTITUTE(SUBSTITUTE(SUBSTITUTE(SUBSTITUTE("type:"&amp;B1819,"%","%25"),"~","%7E"),"*","%2A"),"?","%3F"),'Rules'!$G$7:$G$26,0))),"Unit mismatch",IF(IF(NOT(ISNUMBER(D1819)),TRUE,OR(D1819&lt;0,D1819&gt;999999999,ROUND(D1819,3)&lt;&gt;D1819)),"Invalid current reading",IF(AND(E1819&lt;&gt;"",IF(NOT(ISNUMBER(E1819)),TRUE,OR(E1819&lt;0,E1819&gt;999999999,ROUND(E1819,3)&lt;&gt;E1819))),"Invalid previous reading",IF(IF(NOT(ISNUMBER(F1819)),TRUE,OR(F1819&lt;0,F1819&gt;999999999,ROUND(F1819,3)&lt;&gt;F1819)),"Invalid last service",IF(AND(E1819&lt;&gt;"",D1819&lt;E1819),"Decreased reading",IF(F1819&gt;D1819,"Last service above current","")))))))))))))</x:f>
      </x:c>
      <x:c r="L1819" s="6" t="str">
        <x:f>IF(AND(NOT(COUNTA(A1819:F1819)=0),K1819=""),INDEX('Rules'!$C$7:$C$26,MATCH(SUBSTITUTE(SUBSTITUTE(SUBSTITUTE(SUBSTITUTE("type:"&amp;B1819,"%","%25"),"~","%7E"),"*","%2A"),"?","%3F"),'Rules'!$G$7:$G$26,0)),"")</x:f>
      </x:c>
      <x:c r="M1819" s="6" t="str">
        <x:f>IF(AND(NOT(COUNTA(A1819:F1819)=0),K1819=""),INDEX('Rules'!$D$7:$D$26,MATCH(SUBSTITUTE(SUBSTITUTE(SUBSTITUTE(SUBSTITUTE("type:"&amp;B1819,"%","%25"),"~","%7E"),"*","%2A"),"?","%3F"),'Rules'!$G$7:$G$26,0)),"")</x:f>
      </x:c>
      <x:c r="N1819" s="5" t="str">
        <x:f>IF(COUNTA(A1819:F1819)=0,"",SUBSTITUTE(SUBSTITUTE(SUBSTITUTE(SUBSTITUTE("id:"&amp;A1819,"%","%25"),"~","%7E"),"*","%2A"),"?","%3F"))</x:f>
      </x:c>
    </x:row>
    <x:row r="1820" ht="22" customHeight="1">
      <x:c r="A1820" s="3"/>
      <x:c r="B1820" s="3"/>
      <x:c r="C1820" s="3"/>
      <x:c r="D1820" s="4"/>
      <x:c r="E1820" s="4"/>
      <x:c r="F1820" s="4"/>
      <x:c r="G1820" s="5" t="str">
        <x:f>IF(COUNTA(A1820:F1820)=0,"",IF(K1820&lt;&gt;"","Review",IF(I1820&lt;0,"Overdue",IF(I1820=0,"Due now",IF(I1820&lt;=M1820,"Due soon","Not due")))))</x:f>
      </x:c>
      <x:c r="H1820" s="5" t="str">
        <x:f>IF(OR(COUNTA(A1820:F1820)=0,COUNTIFS('Rules'!$G$7:$G$26,"="&amp;(SUBSTITUTE(SUBSTITUTE(SUBSTITUTE(SUBSTITUTE("type:"&amp;B1820,"%","%25"),"~","%7E"),"*","%2A"),"?","%3F")))&lt;&gt;1),"",IF(OR(INDEX('Rules'!$B$7:$B$26,MATCH(SUBSTITUTE(SUBSTITUTE(SUBSTITUTE(SUBSTITUTE("type:"&amp;B1820,"%","%25"),"~","%7E"),"*","%2A"),"?","%3F"),'Rules'!$G$7:$G$26,0))="hours",INDEX('Rules'!$B$7:$B$26,MATCH(SUBSTITUTE(SUBSTITUTE(SUBSTITUTE(SUBSTITUTE("type:"&amp;B1820,"%","%25"),"~","%7E"),"*","%2A"),"?","%3F"),'Rules'!$G$7:$G$26,0))="km"),INDEX('Rules'!$B$7:$B$26,MATCH(SUBSTITUTE(SUBSTITUTE(SUBSTITUTE(SUBSTITUTE("type:"&amp;B1820,"%","%25"),"~","%7E"),"*","%2A"),"?","%3F"),'Rules'!$G$7:$G$26,0)),""))</x:f>
      </x:c>
      <x:c r="I1820" s="6" t="str">
        <x:f>IF(AND(NOT(COUNTA(A1820:F1820)=0),K1820=""),ROUND(J1820-D1820,3),"")</x:f>
      </x:c>
      <x:c r="J1820" s="6" t="str">
        <x:f>IF(AND(NOT(COUNTA(A1820:F1820)=0),K1820=""),ROUND(F1820+L1820,3),"")</x:f>
      </x:c>
      <x:c r="K1820" s="5" t="str">
        <x:f>IF(COUNTA(A1820:F1820)=0,"",IF(A1820="","Missing equipment ID",IF(COUNTIFS($N$8:$N$2007,"="&amp;N1820)&gt;1,"Duplicate equipment ID",IF(B1820="","Missing type",IF(COUNTIFS('Rules'!$G$7:$G$26,"="&amp;(SUBSTITUTE(SUBSTITUTE(SUBSTITUTE(SUBSTITUTE("type:"&amp;B1820,"%","%25"),"~","%7E"),"*","%2A"),"?","%3F")))=0,"Unknown type",IF(COUNTIFS('Rules'!$G$7:$G$26,"="&amp;(SUBSTITUTE(SUBSTITUTE(SUBSTITUTE(SUBSTITUTE("type:"&amp;B1820,"%","%25"),"~","%7E"),"*","%2A"),"?","%3F")))&gt;1,"Duplicate type",IF(INDEX('Rules'!$F$7:$F$26,MATCH(SUBSTITUTE(SUBSTITUTE(SUBSTITUTE(SUBSTITUTE("type:"&amp;B1820,"%","%25"),"~","%7E"),"*","%2A"),"?","%3F"),'Rules'!$G$7:$G$26,0))&lt;&gt;"",INDEX('Rules'!$F$7:$F$26,MATCH(SUBSTITUTE(SUBSTITUTE(SUBSTITUTE(SUBSTITUTE("type:"&amp;B1820,"%","%25"),"~","%7E"),"*","%2A"),"?","%3F"),'Rules'!$G$7:$G$26,0)),IF(AND(C1820&lt;&gt;"",C1820&lt;&gt;INDEX('Rules'!$B$7:$B$26,MATCH(SUBSTITUTE(SUBSTITUTE(SUBSTITUTE(SUBSTITUTE("type:"&amp;B1820,"%","%25"),"~","%7E"),"*","%2A"),"?","%3F"),'Rules'!$G$7:$G$26,0))),"Unit mismatch",IF(IF(NOT(ISNUMBER(D1820)),TRUE,OR(D1820&lt;0,D1820&gt;999999999,ROUND(D1820,3)&lt;&gt;D1820)),"Invalid current reading",IF(AND(E1820&lt;&gt;"",IF(NOT(ISNUMBER(E1820)),TRUE,OR(E1820&lt;0,E1820&gt;999999999,ROUND(E1820,3)&lt;&gt;E1820))),"Invalid previous reading",IF(IF(NOT(ISNUMBER(F1820)),TRUE,OR(F1820&lt;0,F1820&gt;999999999,ROUND(F1820,3)&lt;&gt;F1820)),"Invalid last service",IF(AND(E1820&lt;&gt;"",D1820&lt;E1820),"Decreased reading",IF(F1820&gt;D1820,"Last service above current","")))))))))))))</x:f>
      </x:c>
      <x:c r="L1820" s="6" t="str">
        <x:f>IF(AND(NOT(COUNTA(A1820:F1820)=0),K1820=""),INDEX('Rules'!$C$7:$C$26,MATCH(SUBSTITUTE(SUBSTITUTE(SUBSTITUTE(SUBSTITUTE("type:"&amp;B1820,"%","%25"),"~","%7E"),"*","%2A"),"?","%3F"),'Rules'!$G$7:$G$26,0)),"")</x:f>
      </x:c>
      <x:c r="M1820" s="6" t="str">
        <x:f>IF(AND(NOT(COUNTA(A1820:F1820)=0),K1820=""),INDEX('Rules'!$D$7:$D$26,MATCH(SUBSTITUTE(SUBSTITUTE(SUBSTITUTE(SUBSTITUTE("type:"&amp;B1820,"%","%25"),"~","%7E"),"*","%2A"),"?","%3F"),'Rules'!$G$7:$G$26,0)),"")</x:f>
      </x:c>
      <x:c r="N1820" s="5" t="str">
        <x:f>IF(COUNTA(A1820:F1820)=0,"",SUBSTITUTE(SUBSTITUTE(SUBSTITUTE(SUBSTITUTE("id:"&amp;A1820,"%","%25"),"~","%7E"),"*","%2A"),"?","%3F"))</x:f>
      </x:c>
    </x:row>
    <x:row r="1821" ht="22" customHeight="1">
      <x:c r="A1821" s="3"/>
      <x:c r="B1821" s="3"/>
      <x:c r="C1821" s="3"/>
      <x:c r="D1821" s="4"/>
      <x:c r="E1821" s="4"/>
      <x:c r="F1821" s="4"/>
      <x:c r="G1821" s="5" t="str">
        <x:f>IF(COUNTA(A1821:F1821)=0,"",IF(K1821&lt;&gt;"","Review",IF(I1821&lt;0,"Overdue",IF(I1821=0,"Due now",IF(I1821&lt;=M1821,"Due soon","Not due")))))</x:f>
      </x:c>
      <x:c r="H1821" s="5" t="str">
        <x:f>IF(OR(COUNTA(A1821:F1821)=0,COUNTIFS('Rules'!$G$7:$G$26,"="&amp;(SUBSTITUTE(SUBSTITUTE(SUBSTITUTE(SUBSTITUTE("type:"&amp;B1821,"%","%25"),"~","%7E"),"*","%2A"),"?","%3F")))&lt;&gt;1),"",IF(OR(INDEX('Rules'!$B$7:$B$26,MATCH(SUBSTITUTE(SUBSTITUTE(SUBSTITUTE(SUBSTITUTE("type:"&amp;B1821,"%","%25"),"~","%7E"),"*","%2A"),"?","%3F"),'Rules'!$G$7:$G$26,0))="hours",INDEX('Rules'!$B$7:$B$26,MATCH(SUBSTITUTE(SUBSTITUTE(SUBSTITUTE(SUBSTITUTE("type:"&amp;B1821,"%","%25"),"~","%7E"),"*","%2A"),"?","%3F"),'Rules'!$G$7:$G$26,0))="km"),INDEX('Rules'!$B$7:$B$26,MATCH(SUBSTITUTE(SUBSTITUTE(SUBSTITUTE(SUBSTITUTE("type:"&amp;B1821,"%","%25"),"~","%7E"),"*","%2A"),"?","%3F"),'Rules'!$G$7:$G$26,0)),""))</x:f>
      </x:c>
      <x:c r="I1821" s="6" t="str">
        <x:f>IF(AND(NOT(COUNTA(A1821:F1821)=0),K1821=""),ROUND(J1821-D1821,3),"")</x:f>
      </x:c>
      <x:c r="J1821" s="6" t="str">
        <x:f>IF(AND(NOT(COUNTA(A1821:F1821)=0),K1821=""),ROUND(F1821+L1821,3),"")</x:f>
      </x:c>
      <x:c r="K1821" s="5" t="str">
        <x:f>IF(COUNTA(A1821:F1821)=0,"",IF(A1821="","Missing equipment ID",IF(COUNTIFS($N$8:$N$2007,"="&amp;N1821)&gt;1,"Duplicate equipment ID",IF(B1821="","Missing type",IF(COUNTIFS('Rules'!$G$7:$G$26,"="&amp;(SUBSTITUTE(SUBSTITUTE(SUBSTITUTE(SUBSTITUTE("type:"&amp;B1821,"%","%25"),"~","%7E"),"*","%2A"),"?","%3F")))=0,"Unknown type",IF(COUNTIFS('Rules'!$G$7:$G$26,"="&amp;(SUBSTITUTE(SUBSTITUTE(SUBSTITUTE(SUBSTITUTE("type:"&amp;B1821,"%","%25"),"~","%7E"),"*","%2A"),"?","%3F")))&gt;1,"Duplicate type",IF(INDEX('Rules'!$F$7:$F$26,MATCH(SUBSTITUTE(SUBSTITUTE(SUBSTITUTE(SUBSTITUTE("type:"&amp;B1821,"%","%25"),"~","%7E"),"*","%2A"),"?","%3F"),'Rules'!$G$7:$G$26,0))&lt;&gt;"",INDEX('Rules'!$F$7:$F$26,MATCH(SUBSTITUTE(SUBSTITUTE(SUBSTITUTE(SUBSTITUTE("type:"&amp;B1821,"%","%25"),"~","%7E"),"*","%2A"),"?","%3F"),'Rules'!$G$7:$G$26,0)),IF(AND(C1821&lt;&gt;"",C1821&lt;&gt;INDEX('Rules'!$B$7:$B$26,MATCH(SUBSTITUTE(SUBSTITUTE(SUBSTITUTE(SUBSTITUTE("type:"&amp;B1821,"%","%25"),"~","%7E"),"*","%2A"),"?","%3F"),'Rules'!$G$7:$G$26,0))),"Unit mismatch",IF(IF(NOT(ISNUMBER(D1821)),TRUE,OR(D1821&lt;0,D1821&gt;999999999,ROUND(D1821,3)&lt;&gt;D1821)),"Invalid current reading",IF(AND(E1821&lt;&gt;"",IF(NOT(ISNUMBER(E1821)),TRUE,OR(E1821&lt;0,E1821&gt;999999999,ROUND(E1821,3)&lt;&gt;E1821))),"Invalid previous reading",IF(IF(NOT(ISNUMBER(F1821)),TRUE,OR(F1821&lt;0,F1821&gt;999999999,ROUND(F1821,3)&lt;&gt;F1821)),"Invalid last service",IF(AND(E1821&lt;&gt;"",D1821&lt;E1821),"Decreased reading",IF(F1821&gt;D1821,"Last service above current","")))))))))))))</x:f>
      </x:c>
      <x:c r="L1821" s="6" t="str">
        <x:f>IF(AND(NOT(COUNTA(A1821:F1821)=0),K1821=""),INDEX('Rules'!$C$7:$C$26,MATCH(SUBSTITUTE(SUBSTITUTE(SUBSTITUTE(SUBSTITUTE("type:"&amp;B1821,"%","%25"),"~","%7E"),"*","%2A"),"?","%3F"),'Rules'!$G$7:$G$26,0)),"")</x:f>
      </x:c>
      <x:c r="M1821" s="6" t="str">
        <x:f>IF(AND(NOT(COUNTA(A1821:F1821)=0),K1821=""),INDEX('Rules'!$D$7:$D$26,MATCH(SUBSTITUTE(SUBSTITUTE(SUBSTITUTE(SUBSTITUTE("type:"&amp;B1821,"%","%25"),"~","%7E"),"*","%2A"),"?","%3F"),'Rules'!$G$7:$G$26,0)),"")</x:f>
      </x:c>
      <x:c r="N1821" s="5" t="str">
        <x:f>IF(COUNTA(A1821:F1821)=0,"",SUBSTITUTE(SUBSTITUTE(SUBSTITUTE(SUBSTITUTE("id:"&amp;A1821,"%","%25"),"~","%7E"),"*","%2A"),"?","%3F"))</x:f>
      </x:c>
    </x:row>
    <x:row r="1822" ht="22" customHeight="1">
      <x:c r="A1822" s="3"/>
      <x:c r="B1822" s="3"/>
      <x:c r="C1822" s="3"/>
      <x:c r="D1822" s="4"/>
      <x:c r="E1822" s="4"/>
      <x:c r="F1822" s="4"/>
      <x:c r="G1822" s="5" t="str">
        <x:f>IF(COUNTA(A1822:F1822)=0,"",IF(K1822&lt;&gt;"","Review",IF(I1822&lt;0,"Overdue",IF(I1822=0,"Due now",IF(I1822&lt;=M1822,"Due soon","Not due")))))</x:f>
      </x:c>
      <x:c r="H1822" s="5" t="str">
        <x:f>IF(OR(COUNTA(A1822:F1822)=0,COUNTIFS('Rules'!$G$7:$G$26,"="&amp;(SUBSTITUTE(SUBSTITUTE(SUBSTITUTE(SUBSTITUTE("type:"&amp;B1822,"%","%25"),"~","%7E"),"*","%2A"),"?","%3F")))&lt;&gt;1),"",IF(OR(INDEX('Rules'!$B$7:$B$26,MATCH(SUBSTITUTE(SUBSTITUTE(SUBSTITUTE(SUBSTITUTE("type:"&amp;B1822,"%","%25"),"~","%7E"),"*","%2A"),"?","%3F"),'Rules'!$G$7:$G$26,0))="hours",INDEX('Rules'!$B$7:$B$26,MATCH(SUBSTITUTE(SUBSTITUTE(SUBSTITUTE(SUBSTITUTE("type:"&amp;B1822,"%","%25"),"~","%7E"),"*","%2A"),"?","%3F"),'Rules'!$G$7:$G$26,0))="km"),INDEX('Rules'!$B$7:$B$26,MATCH(SUBSTITUTE(SUBSTITUTE(SUBSTITUTE(SUBSTITUTE("type:"&amp;B1822,"%","%25"),"~","%7E"),"*","%2A"),"?","%3F"),'Rules'!$G$7:$G$26,0)),""))</x:f>
      </x:c>
      <x:c r="I1822" s="6" t="str">
        <x:f>IF(AND(NOT(COUNTA(A1822:F1822)=0),K1822=""),ROUND(J1822-D1822,3),"")</x:f>
      </x:c>
      <x:c r="J1822" s="6" t="str">
        <x:f>IF(AND(NOT(COUNTA(A1822:F1822)=0),K1822=""),ROUND(F1822+L1822,3),"")</x:f>
      </x:c>
      <x:c r="K1822" s="5" t="str">
        <x:f>IF(COUNTA(A1822:F1822)=0,"",IF(A1822="","Missing equipment ID",IF(COUNTIFS($N$8:$N$2007,"="&amp;N1822)&gt;1,"Duplicate equipment ID",IF(B1822="","Missing type",IF(COUNTIFS('Rules'!$G$7:$G$26,"="&amp;(SUBSTITUTE(SUBSTITUTE(SUBSTITUTE(SUBSTITUTE("type:"&amp;B1822,"%","%25"),"~","%7E"),"*","%2A"),"?","%3F")))=0,"Unknown type",IF(COUNTIFS('Rules'!$G$7:$G$26,"="&amp;(SUBSTITUTE(SUBSTITUTE(SUBSTITUTE(SUBSTITUTE("type:"&amp;B1822,"%","%25"),"~","%7E"),"*","%2A"),"?","%3F")))&gt;1,"Duplicate type",IF(INDEX('Rules'!$F$7:$F$26,MATCH(SUBSTITUTE(SUBSTITUTE(SUBSTITUTE(SUBSTITUTE("type:"&amp;B1822,"%","%25"),"~","%7E"),"*","%2A"),"?","%3F"),'Rules'!$G$7:$G$26,0))&lt;&gt;"",INDEX('Rules'!$F$7:$F$26,MATCH(SUBSTITUTE(SUBSTITUTE(SUBSTITUTE(SUBSTITUTE("type:"&amp;B1822,"%","%25"),"~","%7E"),"*","%2A"),"?","%3F"),'Rules'!$G$7:$G$26,0)),IF(AND(C1822&lt;&gt;"",C1822&lt;&gt;INDEX('Rules'!$B$7:$B$26,MATCH(SUBSTITUTE(SUBSTITUTE(SUBSTITUTE(SUBSTITUTE("type:"&amp;B1822,"%","%25"),"~","%7E"),"*","%2A"),"?","%3F"),'Rules'!$G$7:$G$26,0))),"Unit mismatch",IF(IF(NOT(ISNUMBER(D1822)),TRUE,OR(D1822&lt;0,D1822&gt;999999999,ROUND(D1822,3)&lt;&gt;D1822)),"Invalid current reading",IF(AND(E1822&lt;&gt;"",IF(NOT(ISNUMBER(E1822)),TRUE,OR(E1822&lt;0,E1822&gt;999999999,ROUND(E1822,3)&lt;&gt;E1822))),"Invalid previous reading",IF(IF(NOT(ISNUMBER(F1822)),TRUE,OR(F1822&lt;0,F1822&gt;999999999,ROUND(F1822,3)&lt;&gt;F1822)),"Invalid last service",IF(AND(E1822&lt;&gt;"",D1822&lt;E1822),"Decreased reading",IF(F1822&gt;D1822,"Last service above current","")))))))))))))</x:f>
      </x:c>
      <x:c r="L1822" s="6" t="str">
        <x:f>IF(AND(NOT(COUNTA(A1822:F1822)=0),K1822=""),INDEX('Rules'!$C$7:$C$26,MATCH(SUBSTITUTE(SUBSTITUTE(SUBSTITUTE(SUBSTITUTE("type:"&amp;B1822,"%","%25"),"~","%7E"),"*","%2A"),"?","%3F"),'Rules'!$G$7:$G$26,0)),"")</x:f>
      </x:c>
      <x:c r="M1822" s="6" t="str">
        <x:f>IF(AND(NOT(COUNTA(A1822:F1822)=0),K1822=""),INDEX('Rules'!$D$7:$D$26,MATCH(SUBSTITUTE(SUBSTITUTE(SUBSTITUTE(SUBSTITUTE("type:"&amp;B1822,"%","%25"),"~","%7E"),"*","%2A"),"?","%3F"),'Rules'!$G$7:$G$26,0)),"")</x:f>
      </x:c>
      <x:c r="N1822" s="5" t="str">
        <x:f>IF(COUNTA(A1822:F1822)=0,"",SUBSTITUTE(SUBSTITUTE(SUBSTITUTE(SUBSTITUTE("id:"&amp;A1822,"%","%25"),"~","%7E"),"*","%2A"),"?","%3F"))</x:f>
      </x:c>
    </x:row>
    <x:row r="1823" ht="22" customHeight="1">
      <x:c r="A1823" s="3"/>
      <x:c r="B1823" s="3"/>
      <x:c r="C1823" s="3"/>
      <x:c r="D1823" s="4"/>
      <x:c r="E1823" s="4"/>
      <x:c r="F1823" s="4"/>
      <x:c r="G1823" s="5" t="str">
        <x:f>IF(COUNTA(A1823:F1823)=0,"",IF(K1823&lt;&gt;"","Review",IF(I1823&lt;0,"Overdue",IF(I1823=0,"Due now",IF(I1823&lt;=M1823,"Due soon","Not due")))))</x:f>
      </x:c>
      <x:c r="H1823" s="5" t="str">
        <x:f>IF(OR(COUNTA(A1823:F1823)=0,COUNTIFS('Rules'!$G$7:$G$26,"="&amp;(SUBSTITUTE(SUBSTITUTE(SUBSTITUTE(SUBSTITUTE("type:"&amp;B1823,"%","%25"),"~","%7E"),"*","%2A"),"?","%3F")))&lt;&gt;1),"",IF(OR(INDEX('Rules'!$B$7:$B$26,MATCH(SUBSTITUTE(SUBSTITUTE(SUBSTITUTE(SUBSTITUTE("type:"&amp;B1823,"%","%25"),"~","%7E"),"*","%2A"),"?","%3F"),'Rules'!$G$7:$G$26,0))="hours",INDEX('Rules'!$B$7:$B$26,MATCH(SUBSTITUTE(SUBSTITUTE(SUBSTITUTE(SUBSTITUTE("type:"&amp;B1823,"%","%25"),"~","%7E"),"*","%2A"),"?","%3F"),'Rules'!$G$7:$G$26,0))="km"),INDEX('Rules'!$B$7:$B$26,MATCH(SUBSTITUTE(SUBSTITUTE(SUBSTITUTE(SUBSTITUTE("type:"&amp;B1823,"%","%25"),"~","%7E"),"*","%2A"),"?","%3F"),'Rules'!$G$7:$G$26,0)),""))</x:f>
      </x:c>
      <x:c r="I1823" s="6" t="str">
        <x:f>IF(AND(NOT(COUNTA(A1823:F1823)=0),K1823=""),ROUND(J1823-D1823,3),"")</x:f>
      </x:c>
      <x:c r="J1823" s="6" t="str">
        <x:f>IF(AND(NOT(COUNTA(A1823:F1823)=0),K1823=""),ROUND(F1823+L1823,3),"")</x:f>
      </x:c>
      <x:c r="K1823" s="5" t="str">
        <x:f>IF(COUNTA(A1823:F1823)=0,"",IF(A1823="","Missing equipment ID",IF(COUNTIFS($N$8:$N$2007,"="&amp;N1823)&gt;1,"Duplicate equipment ID",IF(B1823="","Missing type",IF(COUNTIFS('Rules'!$G$7:$G$26,"="&amp;(SUBSTITUTE(SUBSTITUTE(SUBSTITUTE(SUBSTITUTE("type:"&amp;B1823,"%","%25"),"~","%7E"),"*","%2A"),"?","%3F")))=0,"Unknown type",IF(COUNTIFS('Rules'!$G$7:$G$26,"="&amp;(SUBSTITUTE(SUBSTITUTE(SUBSTITUTE(SUBSTITUTE("type:"&amp;B1823,"%","%25"),"~","%7E"),"*","%2A"),"?","%3F")))&gt;1,"Duplicate type",IF(INDEX('Rules'!$F$7:$F$26,MATCH(SUBSTITUTE(SUBSTITUTE(SUBSTITUTE(SUBSTITUTE("type:"&amp;B1823,"%","%25"),"~","%7E"),"*","%2A"),"?","%3F"),'Rules'!$G$7:$G$26,0))&lt;&gt;"",INDEX('Rules'!$F$7:$F$26,MATCH(SUBSTITUTE(SUBSTITUTE(SUBSTITUTE(SUBSTITUTE("type:"&amp;B1823,"%","%25"),"~","%7E"),"*","%2A"),"?","%3F"),'Rules'!$G$7:$G$26,0)),IF(AND(C1823&lt;&gt;"",C1823&lt;&gt;INDEX('Rules'!$B$7:$B$26,MATCH(SUBSTITUTE(SUBSTITUTE(SUBSTITUTE(SUBSTITUTE("type:"&amp;B1823,"%","%25"),"~","%7E"),"*","%2A"),"?","%3F"),'Rules'!$G$7:$G$26,0))),"Unit mismatch",IF(IF(NOT(ISNUMBER(D1823)),TRUE,OR(D1823&lt;0,D1823&gt;999999999,ROUND(D1823,3)&lt;&gt;D1823)),"Invalid current reading",IF(AND(E1823&lt;&gt;"",IF(NOT(ISNUMBER(E1823)),TRUE,OR(E1823&lt;0,E1823&gt;999999999,ROUND(E1823,3)&lt;&gt;E1823))),"Invalid previous reading",IF(IF(NOT(ISNUMBER(F1823)),TRUE,OR(F1823&lt;0,F1823&gt;999999999,ROUND(F1823,3)&lt;&gt;F1823)),"Invalid last service",IF(AND(E1823&lt;&gt;"",D1823&lt;E1823),"Decreased reading",IF(F1823&gt;D1823,"Last service above current","")))))))))))))</x:f>
      </x:c>
      <x:c r="L1823" s="6" t="str">
        <x:f>IF(AND(NOT(COUNTA(A1823:F1823)=0),K1823=""),INDEX('Rules'!$C$7:$C$26,MATCH(SUBSTITUTE(SUBSTITUTE(SUBSTITUTE(SUBSTITUTE("type:"&amp;B1823,"%","%25"),"~","%7E"),"*","%2A"),"?","%3F"),'Rules'!$G$7:$G$26,0)),"")</x:f>
      </x:c>
      <x:c r="M1823" s="6" t="str">
        <x:f>IF(AND(NOT(COUNTA(A1823:F1823)=0),K1823=""),INDEX('Rules'!$D$7:$D$26,MATCH(SUBSTITUTE(SUBSTITUTE(SUBSTITUTE(SUBSTITUTE("type:"&amp;B1823,"%","%25"),"~","%7E"),"*","%2A"),"?","%3F"),'Rules'!$G$7:$G$26,0)),"")</x:f>
      </x:c>
      <x:c r="N1823" s="5" t="str">
        <x:f>IF(COUNTA(A1823:F1823)=0,"",SUBSTITUTE(SUBSTITUTE(SUBSTITUTE(SUBSTITUTE("id:"&amp;A1823,"%","%25"),"~","%7E"),"*","%2A"),"?","%3F"))</x:f>
      </x:c>
    </x:row>
    <x:row r="1824" ht="22" customHeight="1">
      <x:c r="A1824" s="3"/>
      <x:c r="B1824" s="3"/>
      <x:c r="C1824" s="3"/>
      <x:c r="D1824" s="4"/>
      <x:c r="E1824" s="4"/>
      <x:c r="F1824" s="4"/>
      <x:c r="G1824" s="5" t="str">
        <x:f>IF(COUNTA(A1824:F1824)=0,"",IF(K1824&lt;&gt;"","Review",IF(I1824&lt;0,"Overdue",IF(I1824=0,"Due now",IF(I1824&lt;=M1824,"Due soon","Not due")))))</x:f>
      </x:c>
      <x:c r="H1824" s="5" t="str">
        <x:f>IF(OR(COUNTA(A1824:F1824)=0,COUNTIFS('Rules'!$G$7:$G$26,"="&amp;(SUBSTITUTE(SUBSTITUTE(SUBSTITUTE(SUBSTITUTE("type:"&amp;B1824,"%","%25"),"~","%7E"),"*","%2A"),"?","%3F")))&lt;&gt;1),"",IF(OR(INDEX('Rules'!$B$7:$B$26,MATCH(SUBSTITUTE(SUBSTITUTE(SUBSTITUTE(SUBSTITUTE("type:"&amp;B1824,"%","%25"),"~","%7E"),"*","%2A"),"?","%3F"),'Rules'!$G$7:$G$26,0))="hours",INDEX('Rules'!$B$7:$B$26,MATCH(SUBSTITUTE(SUBSTITUTE(SUBSTITUTE(SUBSTITUTE("type:"&amp;B1824,"%","%25"),"~","%7E"),"*","%2A"),"?","%3F"),'Rules'!$G$7:$G$26,0))="km"),INDEX('Rules'!$B$7:$B$26,MATCH(SUBSTITUTE(SUBSTITUTE(SUBSTITUTE(SUBSTITUTE("type:"&amp;B1824,"%","%25"),"~","%7E"),"*","%2A"),"?","%3F"),'Rules'!$G$7:$G$26,0)),""))</x:f>
      </x:c>
      <x:c r="I1824" s="6" t="str">
        <x:f>IF(AND(NOT(COUNTA(A1824:F1824)=0),K1824=""),ROUND(J1824-D1824,3),"")</x:f>
      </x:c>
      <x:c r="J1824" s="6" t="str">
        <x:f>IF(AND(NOT(COUNTA(A1824:F1824)=0),K1824=""),ROUND(F1824+L1824,3),"")</x:f>
      </x:c>
      <x:c r="K1824" s="5" t="str">
        <x:f>IF(COUNTA(A1824:F1824)=0,"",IF(A1824="","Missing equipment ID",IF(COUNTIFS($N$8:$N$2007,"="&amp;N1824)&gt;1,"Duplicate equipment ID",IF(B1824="","Missing type",IF(COUNTIFS('Rules'!$G$7:$G$26,"="&amp;(SUBSTITUTE(SUBSTITUTE(SUBSTITUTE(SUBSTITUTE("type:"&amp;B1824,"%","%25"),"~","%7E"),"*","%2A"),"?","%3F")))=0,"Unknown type",IF(COUNTIFS('Rules'!$G$7:$G$26,"="&amp;(SUBSTITUTE(SUBSTITUTE(SUBSTITUTE(SUBSTITUTE("type:"&amp;B1824,"%","%25"),"~","%7E"),"*","%2A"),"?","%3F")))&gt;1,"Duplicate type",IF(INDEX('Rules'!$F$7:$F$26,MATCH(SUBSTITUTE(SUBSTITUTE(SUBSTITUTE(SUBSTITUTE("type:"&amp;B1824,"%","%25"),"~","%7E"),"*","%2A"),"?","%3F"),'Rules'!$G$7:$G$26,0))&lt;&gt;"",INDEX('Rules'!$F$7:$F$26,MATCH(SUBSTITUTE(SUBSTITUTE(SUBSTITUTE(SUBSTITUTE("type:"&amp;B1824,"%","%25"),"~","%7E"),"*","%2A"),"?","%3F"),'Rules'!$G$7:$G$26,0)),IF(AND(C1824&lt;&gt;"",C1824&lt;&gt;INDEX('Rules'!$B$7:$B$26,MATCH(SUBSTITUTE(SUBSTITUTE(SUBSTITUTE(SUBSTITUTE("type:"&amp;B1824,"%","%25"),"~","%7E"),"*","%2A"),"?","%3F"),'Rules'!$G$7:$G$26,0))),"Unit mismatch",IF(IF(NOT(ISNUMBER(D1824)),TRUE,OR(D1824&lt;0,D1824&gt;999999999,ROUND(D1824,3)&lt;&gt;D1824)),"Invalid current reading",IF(AND(E1824&lt;&gt;"",IF(NOT(ISNUMBER(E1824)),TRUE,OR(E1824&lt;0,E1824&gt;999999999,ROUND(E1824,3)&lt;&gt;E1824))),"Invalid previous reading",IF(IF(NOT(ISNUMBER(F1824)),TRUE,OR(F1824&lt;0,F1824&gt;999999999,ROUND(F1824,3)&lt;&gt;F1824)),"Invalid last service",IF(AND(E1824&lt;&gt;"",D1824&lt;E1824),"Decreased reading",IF(F1824&gt;D1824,"Last service above current","")))))))))))))</x:f>
      </x:c>
      <x:c r="L1824" s="6" t="str">
        <x:f>IF(AND(NOT(COUNTA(A1824:F1824)=0),K1824=""),INDEX('Rules'!$C$7:$C$26,MATCH(SUBSTITUTE(SUBSTITUTE(SUBSTITUTE(SUBSTITUTE("type:"&amp;B1824,"%","%25"),"~","%7E"),"*","%2A"),"?","%3F"),'Rules'!$G$7:$G$26,0)),"")</x:f>
      </x:c>
      <x:c r="M1824" s="6" t="str">
        <x:f>IF(AND(NOT(COUNTA(A1824:F1824)=0),K1824=""),INDEX('Rules'!$D$7:$D$26,MATCH(SUBSTITUTE(SUBSTITUTE(SUBSTITUTE(SUBSTITUTE("type:"&amp;B1824,"%","%25"),"~","%7E"),"*","%2A"),"?","%3F"),'Rules'!$G$7:$G$26,0)),"")</x:f>
      </x:c>
      <x:c r="N1824" s="5" t="str">
        <x:f>IF(COUNTA(A1824:F1824)=0,"",SUBSTITUTE(SUBSTITUTE(SUBSTITUTE(SUBSTITUTE("id:"&amp;A1824,"%","%25"),"~","%7E"),"*","%2A"),"?","%3F"))</x:f>
      </x:c>
    </x:row>
    <x:row r="1825" ht="22" customHeight="1">
      <x:c r="A1825" s="3"/>
      <x:c r="B1825" s="3"/>
      <x:c r="C1825" s="3"/>
      <x:c r="D1825" s="4"/>
      <x:c r="E1825" s="4"/>
      <x:c r="F1825" s="4"/>
      <x:c r="G1825" s="5" t="str">
        <x:f>IF(COUNTA(A1825:F1825)=0,"",IF(K1825&lt;&gt;"","Review",IF(I1825&lt;0,"Overdue",IF(I1825=0,"Due now",IF(I1825&lt;=M1825,"Due soon","Not due")))))</x:f>
      </x:c>
      <x:c r="H1825" s="5" t="str">
        <x:f>IF(OR(COUNTA(A1825:F1825)=0,COUNTIFS('Rules'!$G$7:$G$26,"="&amp;(SUBSTITUTE(SUBSTITUTE(SUBSTITUTE(SUBSTITUTE("type:"&amp;B1825,"%","%25"),"~","%7E"),"*","%2A"),"?","%3F")))&lt;&gt;1),"",IF(OR(INDEX('Rules'!$B$7:$B$26,MATCH(SUBSTITUTE(SUBSTITUTE(SUBSTITUTE(SUBSTITUTE("type:"&amp;B1825,"%","%25"),"~","%7E"),"*","%2A"),"?","%3F"),'Rules'!$G$7:$G$26,0))="hours",INDEX('Rules'!$B$7:$B$26,MATCH(SUBSTITUTE(SUBSTITUTE(SUBSTITUTE(SUBSTITUTE("type:"&amp;B1825,"%","%25"),"~","%7E"),"*","%2A"),"?","%3F"),'Rules'!$G$7:$G$26,0))="km"),INDEX('Rules'!$B$7:$B$26,MATCH(SUBSTITUTE(SUBSTITUTE(SUBSTITUTE(SUBSTITUTE("type:"&amp;B1825,"%","%25"),"~","%7E"),"*","%2A"),"?","%3F"),'Rules'!$G$7:$G$26,0)),""))</x:f>
      </x:c>
      <x:c r="I1825" s="6" t="str">
        <x:f>IF(AND(NOT(COUNTA(A1825:F1825)=0),K1825=""),ROUND(J1825-D1825,3),"")</x:f>
      </x:c>
      <x:c r="J1825" s="6" t="str">
        <x:f>IF(AND(NOT(COUNTA(A1825:F1825)=0),K1825=""),ROUND(F1825+L1825,3),"")</x:f>
      </x:c>
      <x:c r="K1825" s="5" t="str">
        <x:f>IF(COUNTA(A1825:F1825)=0,"",IF(A1825="","Missing equipment ID",IF(COUNTIFS($N$8:$N$2007,"="&amp;N1825)&gt;1,"Duplicate equipment ID",IF(B1825="","Missing type",IF(COUNTIFS('Rules'!$G$7:$G$26,"="&amp;(SUBSTITUTE(SUBSTITUTE(SUBSTITUTE(SUBSTITUTE("type:"&amp;B1825,"%","%25"),"~","%7E"),"*","%2A"),"?","%3F")))=0,"Unknown type",IF(COUNTIFS('Rules'!$G$7:$G$26,"="&amp;(SUBSTITUTE(SUBSTITUTE(SUBSTITUTE(SUBSTITUTE("type:"&amp;B1825,"%","%25"),"~","%7E"),"*","%2A"),"?","%3F")))&gt;1,"Duplicate type",IF(INDEX('Rules'!$F$7:$F$26,MATCH(SUBSTITUTE(SUBSTITUTE(SUBSTITUTE(SUBSTITUTE("type:"&amp;B1825,"%","%25"),"~","%7E"),"*","%2A"),"?","%3F"),'Rules'!$G$7:$G$26,0))&lt;&gt;"",INDEX('Rules'!$F$7:$F$26,MATCH(SUBSTITUTE(SUBSTITUTE(SUBSTITUTE(SUBSTITUTE("type:"&amp;B1825,"%","%25"),"~","%7E"),"*","%2A"),"?","%3F"),'Rules'!$G$7:$G$26,0)),IF(AND(C1825&lt;&gt;"",C1825&lt;&gt;INDEX('Rules'!$B$7:$B$26,MATCH(SUBSTITUTE(SUBSTITUTE(SUBSTITUTE(SUBSTITUTE("type:"&amp;B1825,"%","%25"),"~","%7E"),"*","%2A"),"?","%3F"),'Rules'!$G$7:$G$26,0))),"Unit mismatch",IF(IF(NOT(ISNUMBER(D1825)),TRUE,OR(D1825&lt;0,D1825&gt;999999999,ROUND(D1825,3)&lt;&gt;D1825)),"Invalid current reading",IF(AND(E1825&lt;&gt;"",IF(NOT(ISNUMBER(E1825)),TRUE,OR(E1825&lt;0,E1825&gt;999999999,ROUND(E1825,3)&lt;&gt;E1825))),"Invalid previous reading",IF(IF(NOT(ISNUMBER(F1825)),TRUE,OR(F1825&lt;0,F1825&gt;999999999,ROUND(F1825,3)&lt;&gt;F1825)),"Invalid last service",IF(AND(E1825&lt;&gt;"",D1825&lt;E1825),"Decreased reading",IF(F1825&gt;D1825,"Last service above current","")))))))))))))</x:f>
      </x:c>
      <x:c r="L1825" s="6" t="str">
        <x:f>IF(AND(NOT(COUNTA(A1825:F1825)=0),K1825=""),INDEX('Rules'!$C$7:$C$26,MATCH(SUBSTITUTE(SUBSTITUTE(SUBSTITUTE(SUBSTITUTE("type:"&amp;B1825,"%","%25"),"~","%7E"),"*","%2A"),"?","%3F"),'Rules'!$G$7:$G$26,0)),"")</x:f>
      </x:c>
      <x:c r="M1825" s="6" t="str">
        <x:f>IF(AND(NOT(COUNTA(A1825:F1825)=0),K1825=""),INDEX('Rules'!$D$7:$D$26,MATCH(SUBSTITUTE(SUBSTITUTE(SUBSTITUTE(SUBSTITUTE("type:"&amp;B1825,"%","%25"),"~","%7E"),"*","%2A"),"?","%3F"),'Rules'!$G$7:$G$26,0)),"")</x:f>
      </x:c>
      <x:c r="N1825" s="5" t="str">
        <x:f>IF(COUNTA(A1825:F1825)=0,"",SUBSTITUTE(SUBSTITUTE(SUBSTITUTE(SUBSTITUTE("id:"&amp;A1825,"%","%25"),"~","%7E"),"*","%2A"),"?","%3F"))</x:f>
      </x:c>
    </x:row>
    <x:row r="1826" ht="22" customHeight="1">
      <x:c r="A1826" s="3"/>
      <x:c r="B1826" s="3"/>
      <x:c r="C1826" s="3"/>
      <x:c r="D1826" s="4"/>
      <x:c r="E1826" s="4"/>
      <x:c r="F1826" s="4"/>
      <x:c r="G1826" s="5" t="str">
        <x:f>IF(COUNTA(A1826:F1826)=0,"",IF(K1826&lt;&gt;"","Review",IF(I1826&lt;0,"Overdue",IF(I1826=0,"Due now",IF(I1826&lt;=M1826,"Due soon","Not due")))))</x:f>
      </x:c>
      <x:c r="H1826" s="5" t="str">
        <x:f>IF(OR(COUNTA(A1826:F1826)=0,COUNTIFS('Rules'!$G$7:$G$26,"="&amp;(SUBSTITUTE(SUBSTITUTE(SUBSTITUTE(SUBSTITUTE("type:"&amp;B1826,"%","%25"),"~","%7E"),"*","%2A"),"?","%3F")))&lt;&gt;1),"",IF(OR(INDEX('Rules'!$B$7:$B$26,MATCH(SUBSTITUTE(SUBSTITUTE(SUBSTITUTE(SUBSTITUTE("type:"&amp;B1826,"%","%25"),"~","%7E"),"*","%2A"),"?","%3F"),'Rules'!$G$7:$G$26,0))="hours",INDEX('Rules'!$B$7:$B$26,MATCH(SUBSTITUTE(SUBSTITUTE(SUBSTITUTE(SUBSTITUTE("type:"&amp;B1826,"%","%25"),"~","%7E"),"*","%2A"),"?","%3F"),'Rules'!$G$7:$G$26,0))="km"),INDEX('Rules'!$B$7:$B$26,MATCH(SUBSTITUTE(SUBSTITUTE(SUBSTITUTE(SUBSTITUTE("type:"&amp;B1826,"%","%25"),"~","%7E"),"*","%2A"),"?","%3F"),'Rules'!$G$7:$G$26,0)),""))</x:f>
      </x:c>
      <x:c r="I1826" s="6" t="str">
        <x:f>IF(AND(NOT(COUNTA(A1826:F1826)=0),K1826=""),ROUND(J1826-D1826,3),"")</x:f>
      </x:c>
      <x:c r="J1826" s="6" t="str">
        <x:f>IF(AND(NOT(COUNTA(A1826:F1826)=0),K1826=""),ROUND(F1826+L1826,3),"")</x:f>
      </x:c>
      <x:c r="K1826" s="5" t="str">
        <x:f>IF(COUNTA(A1826:F1826)=0,"",IF(A1826="","Missing equipment ID",IF(COUNTIFS($N$8:$N$2007,"="&amp;N1826)&gt;1,"Duplicate equipment ID",IF(B1826="","Missing type",IF(COUNTIFS('Rules'!$G$7:$G$26,"="&amp;(SUBSTITUTE(SUBSTITUTE(SUBSTITUTE(SUBSTITUTE("type:"&amp;B1826,"%","%25"),"~","%7E"),"*","%2A"),"?","%3F")))=0,"Unknown type",IF(COUNTIFS('Rules'!$G$7:$G$26,"="&amp;(SUBSTITUTE(SUBSTITUTE(SUBSTITUTE(SUBSTITUTE("type:"&amp;B1826,"%","%25"),"~","%7E"),"*","%2A"),"?","%3F")))&gt;1,"Duplicate type",IF(INDEX('Rules'!$F$7:$F$26,MATCH(SUBSTITUTE(SUBSTITUTE(SUBSTITUTE(SUBSTITUTE("type:"&amp;B1826,"%","%25"),"~","%7E"),"*","%2A"),"?","%3F"),'Rules'!$G$7:$G$26,0))&lt;&gt;"",INDEX('Rules'!$F$7:$F$26,MATCH(SUBSTITUTE(SUBSTITUTE(SUBSTITUTE(SUBSTITUTE("type:"&amp;B1826,"%","%25"),"~","%7E"),"*","%2A"),"?","%3F"),'Rules'!$G$7:$G$26,0)),IF(AND(C1826&lt;&gt;"",C1826&lt;&gt;INDEX('Rules'!$B$7:$B$26,MATCH(SUBSTITUTE(SUBSTITUTE(SUBSTITUTE(SUBSTITUTE("type:"&amp;B1826,"%","%25"),"~","%7E"),"*","%2A"),"?","%3F"),'Rules'!$G$7:$G$26,0))),"Unit mismatch",IF(IF(NOT(ISNUMBER(D1826)),TRUE,OR(D1826&lt;0,D1826&gt;999999999,ROUND(D1826,3)&lt;&gt;D1826)),"Invalid current reading",IF(AND(E1826&lt;&gt;"",IF(NOT(ISNUMBER(E1826)),TRUE,OR(E1826&lt;0,E1826&gt;999999999,ROUND(E1826,3)&lt;&gt;E1826))),"Invalid previous reading",IF(IF(NOT(ISNUMBER(F1826)),TRUE,OR(F1826&lt;0,F1826&gt;999999999,ROUND(F1826,3)&lt;&gt;F1826)),"Invalid last service",IF(AND(E1826&lt;&gt;"",D1826&lt;E1826),"Decreased reading",IF(F1826&gt;D1826,"Last service above current","")))))))))))))</x:f>
      </x:c>
      <x:c r="L1826" s="6" t="str">
        <x:f>IF(AND(NOT(COUNTA(A1826:F1826)=0),K1826=""),INDEX('Rules'!$C$7:$C$26,MATCH(SUBSTITUTE(SUBSTITUTE(SUBSTITUTE(SUBSTITUTE("type:"&amp;B1826,"%","%25"),"~","%7E"),"*","%2A"),"?","%3F"),'Rules'!$G$7:$G$26,0)),"")</x:f>
      </x:c>
      <x:c r="M1826" s="6" t="str">
        <x:f>IF(AND(NOT(COUNTA(A1826:F1826)=0),K1826=""),INDEX('Rules'!$D$7:$D$26,MATCH(SUBSTITUTE(SUBSTITUTE(SUBSTITUTE(SUBSTITUTE("type:"&amp;B1826,"%","%25"),"~","%7E"),"*","%2A"),"?","%3F"),'Rules'!$G$7:$G$26,0)),"")</x:f>
      </x:c>
      <x:c r="N1826" s="5" t="str">
        <x:f>IF(COUNTA(A1826:F1826)=0,"",SUBSTITUTE(SUBSTITUTE(SUBSTITUTE(SUBSTITUTE("id:"&amp;A1826,"%","%25"),"~","%7E"),"*","%2A"),"?","%3F"))</x:f>
      </x:c>
    </x:row>
    <x:row r="1827" ht="22" customHeight="1">
      <x:c r="A1827" s="3"/>
      <x:c r="B1827" s="3"/>
      <x:c r="C1827" s="3"/>
      <x:c r="D1827" s="4"/>
      <x:c r="E1827" s="4"/>
      <x:c r="F1827" s="4"/>
      <x:c r="G1827" s="5" t="str">
        <x:f>IF(COUNTA(A1827:F1827)=0,"",IF(K1827&lt;&gt;"","Review",IF(I1827&lt;0,"Overdue",IF(I1827=0,"Due now",IF(I1827&lt;=M1827,"Due soon","Not due")))))</x:f>
      </x:c>
      <x:c r="H1827" s="5" t="str">
        <x:f>IF(OR(COUNTA(A1827:F1827)=0,COUNTIFS('Rules'!$G$7:$G$26,"="&amp;(SUBSTITUTE(SUBSTITUTE(SUBSTITUTE(SUBSTITUTE("type:"&amp;B1827,"%","%25"),"~","%7E"),"*","%2A"),"?","%3F")))&lt;&gt;1),"",IF(OR(INDEX('Rules'!$B$7:$B$26,MATCH(SUBSTITUTE(SUBSTITUTE(SUBSTITUTE(SUBSTITUTE("type:"&amp;B1827,"%","%25"),"~","%7E"),"*","%2A"),"?","%3F"),'Rules'!$G$7:$G$26,0))="hours",INDEX('Rules'!$B$7:$B$26,MATCH(SUBSTITUTE(SUBSTITUTE(SUBSTITUTE(SUBSTITUTE("type:"&amp;B1827,"%","%25"),"~","%7E"),"*","%2A"),"?","%3F"),'Rules'!$G$7:$G$26,0))="km"),INDEX('Rules'!$B$7:$B$26,MATCH(SUBSTITUTE(SUBSTITUTE(SUBSTITUTE(SUBSTITUTE("type:"&amp;B1827,"%","%25"),"~","%7E"),"*","%2A"),"?","%3F"),'Rules'!$G$7:$G$26,0)),""))</x:f>
      </x:c>
      <x:c r="I1827" s="6" t="str">
        <x:f>IF(AND(NOT(COUNTA(A1827:F1827)=0),K1827=""),ROUND(J1827-D1827,3),"")</x:f>
      </x:c>
      <x:c r="J1827" s="6" t="str">
        <x:f>IF(AND(NOT(COUNTA(A1827:F1827)=0),K1827=""),ROUND(F1827+L1827,3),"")</x:f>
      </x:c>
      <x:c r="K1827" s="5" t="str">
        <x:f>IF(COUNTA(A1827:F1827)=0,"",IF(A1827="","Missing equipment ID",IF(COUNTIFS($N$8:$N$2007,"="&amp;N1827)&gt;1,"Duplicate equipment ID",IF(B1827="","Missing type",IF(COUNTIFS('Rules'!$G$7:$G$26,"="&amp;(SUBSTITUTE(SUBSTITUTE(SUBSTITUTE(SUBSTITUTE("type:"&amp;B1827,"%","%25"),"~","%7E"),"*","%2A"),"?","%3F")))=0,"Unknown type",IF(COUNTIFS('Rules'!$G$7:$G$26,"="&amp;(SUBSTITUTE(SUBSTITUTE(SUBSTITUTE(SUBSTITUTE("type:"&amp;B1827,"%","%25"),"~","%7E"),"*","%2A"),"?","%3F")))&gt;1,"Duplicate type",IF(INDEX('Rules'!$F$7:$F$26,MATCH(SUBSTITUTE(SUBSTITUTE(SUBSTITUTE(SUBSTITUTE("type:"&amp;B1827,"%","%25"),"~","%7E"),"*","%2A"),"?","%3F"),'Rules'!$G$7:$G$26,0))&lt;&gt;"",INDEX('Rules'!$F$7:$F$26,MATCH(SUBSTITUTE(SUBSTITUTE(SUBSTITUTE(SUBSTITUTE("type:"&amp;B1827,"%","%25"),"~","%7E"),"*","%2A"),"?","%3F"),'Rules'!$G$7:$G$26,0)),IF(AND(C1827&lt;&gt;"",C1827&lt;&gt;INDEX('Rules'!$B$7:$B$26,MATCH(SUBSTITUTE(SUBSTITUTE(SUBSTITUTE(SUBSTITUTE("type:"&amp;B1827,"%","%25"),"~","%7E"),"*","%2A"),"?","%3F"),'Rules'!$G$7:$G$26,0))),"Unit mismatch",IF(IF(NOT(ISNUMBER(D1827)),TRUE,OR(D1827&lt;0,D1827&gt;999999999,ROUND(D1827,3)&lt;&gt;D1827)),"Invalid current reading",IF(AND(E1827&lt;&gt;"",IF(NOT(ISNUMBER(E1827)),TRUE,OR(E1827&lt;0,E1827&gt;999999999,ROUND(E1827,3)&lt;&gt;E1827))),"Invalid previous reading",IF(IF(NOT(ISNUMBER(F1827)),TRUE,OR(F1827&lt;0,F1827&gt;999999999,ROUND(F1827,3)&lt;&gt;F1827)),"Invalid last service",IF(AND(E1827&lt;&gt;"",D1827&lt;E1827),"Decreased reading",IF(F1827&gt;D1827,"Last service above current","")))))))))))))</x:f>
      </x:c>
      <x:c r="L1827" s="6" t="str">
        <x:f>IF(AND(NOT(COUNTA(A1827:F1827)=0),K1827=""),INDEX('Rules'!$C$7:$C$26,MATCH(SUBSTITUTE(SUBSTITUTE(SUBSTITUTE(SUBSTITUTE("type:"&amp;B1827,"%","%25"),"~","%7E"),"*","%2A"),"?","%3F"),'Rules'!$G$7:$G$26,0)),"")</x:f>
      </x:c>
      <x:c r="M1827" s="6" t="str">
        <x:f>IF(AND(NOT(COUNTA(A1827:F1827)=0),K1827=""),INDEX('Rules'!$D$7:$D$26,MATCH(SUBSTITUTE(SUBSTITUTE(SUBSTITUTE(SUBSTITUTE("type:"&amp;B1827,"%","%25"),"~","%7E"),"*","%2A"),"?","%3F"),'Rules'!$G$7:$G$26,0)),"")</x:f>
      </x:c>
      <x:c r="N1827" s="5" t="str">
        <x:f>IF(COUNTA(A1827:F1827)=0,"",SUBSTITUTE(SUBSTITUTE(SUBSTITUTE(SUBSTITUTE("id:"&amp;A1827,"%","%25"),"~","%7E"),"*","%2A"),"?","%3F"))</x:f>
      </x:c>
    </x:row>
    <x:row r="1828" ht="22" customHeight="1">
      <x:c r="A1828" s="3"/>
      <x:c r="B1828" s="3"/>
      <x:c r="C1828" s="3"/>
      <x:c r="D1828" s="4"/>
      <x:c r="E1828" s="4"/>
      <x:c r="F1828" s="4"/>
      <x:c r="G1828" s="5" t="str">
        <x:f>IF(COUNTA(A1828:F1828)=0,"",IF(K1828&lt;&gt;"","Review",IF(I1828&lt;0,"Overdue",IF(I1828=0,"Due now",IF(I1828&lt;=M1828,"Due soon","Not due")))))</x:f>
      </x:c>
      <x:c r="H1828" s="5" t="str">
        <x:f>IF(OR(COUNTA(A1828:F1828)=0,COUNTIFS('Rules'!$G$7:$G$26,"="&amp;(SUBSTITUTE(SUBSTITUTE(SUBSTITUTE(SUBSTITUTE("type:"&amp;B1828,"%","%25"),"~","%7E"),"*","%2A"),"?","%3F")))&lt;&gt;1),"",IF(OR(INDEX('Rules'!$B$7:$B$26,MATCH(SUBSTITUTE(SUBSTITUTE(SUBSTITUTE(SUBSTITUTE("type:"&amp;B1828,"%","%25"),"~","%7E"),"*","%2A"),"?","%3F"),'Rules'!$G$7:$G$26,0))="hours",INDEX('Rules'!$B$7:$B$26,MATCH(SUBSTITUTE(SUBSTITUTE(SUBSTITUTE(SUBSTITUTE("type:"&amp;B1828,"%","%25"),"~","%7E"),"*","%2A"),"?","%3F"),'Rules'!$G$7:$G$26,0))="km"),INDEX('Rules'!$B$7:$B$26,MATCH(SUBSTITUTE(SUBSTITUTE(SUBSTITUTE(SUBSTITUTE("type:"&amp;B1828,"%","%25"),"~","%7E"),"*","%2A"),"?","%3F"),'Rules'!$G$7:$G$26,0)),""))</x:f>
      </x:c>
      <x:c r="I1828" s="6" t="str">
        <x:f>IF(AND(NOT(COUNTA(A1828:F1828)=0),K1828=""),ROUND(J1828-D1828,3),"")</x:f>
      </x:c>
      <x:c r="J1828" s="6" t="str">
        <x:f>IF(AND(NOT(COUNTA(A1828:F1828)=0),K1828=""),ROUND(F1828+L1828,3),"")</x:f>
      </x:c>
      <x:c r="K1828" s="5" t="str">
        <x:f>IF(COUNTA(A1828:F1828)=0,"",IF(A1828="","Missing equipment ID",IF(COUNTIFS($N$8:$N$2007,"="&amp;N1828)&gt;1,"Duplicate equipment ID",IF(B1828="","Missing type",IF(COUNTIFS('Rules'!$G$7:$G$26,"="&amp;(SUBSTITUTE(SUBSTITUTE(SUBSTITUTE(SUBSTITUTE("type:"&amp;B1828,"%","%25"),"~","%7E"),"*","%2A"),"?","%3F")))=0,"Unknown type",IF(COUNTIFS('Rules'!$G$7:$G$26,"="&amp;(SUBSTITUTE(SUBSTITUTE(SUBSTITUTE(SUBSTITUTE("type:"&amp;B1828,"%","%25"),"~","%7E"),"*","%2A"),"?","%3F")))&gt;1,"Duplicate type",IF(INDEX('Rules'!$F$7:$F$26,MATCH(SUBSTITUTE(SUBSTITUTE(SUBSTITUTE(SUBSTITUTE("type:"&amp;B1828,"%","%25"),"~","%7E"),"*","%2A"),"?","%3F"),'Rules'!$G$7:$G$26,0))&lt;&gt;"",INDEX('Rules'!$F$7:$F$26,MATCH(SUBSTITUTE(SUBSTITUTE(SUBSTITUTE(SUBSTITUTE("type:"&amp;B1828,"%","%25"),"~","%7E"),"*","%2A"),"?","%3F"),'Rules'!$G$7:$G$26,0)),IF(AND(C1828&lt;&gt;"",C1828&lt;&gt;INDEX('Rules'!$B$7:$B$26,MATCH(SUBSTITUTE(SUBSTITUTE(SUBSTITUTE(SUBSTITUTE("type:"&amp;B1828,"%","%25"),"~","%7E"),"*","%2A"),"?","%3F"),'Rules'!$G$7:$G$26,0))),"Unit mismatch",IF(IF(NOT(ISNUMBER(D1828)),TRUE,OR(D1828&lt;0,D1828&gt;999999999,ROUND(D1828,3)&lt;&gt;D1828)),"Invalid current reading",IF(AND(E1828&lt;&gt;"",IF(NOT(ISNUMBER(E1828)),TRUE,OR(E1828&lt;0,E1828&gt;999999999,ROUND(E1828,3)&lt;&gt;E1828))),"Invalid previous reading",IF(IF(NOT(ISNUMBER(F1828)),TRUE,OR(F1828&lt;0,F1828&gt;999999999,ROUND(F1828,3)&lt;&gt;F1828)),"Invalid last service",IF(AND(E1828&lt;&gt;"",D1828&lt;E1828),"Decreased reading",IF(F1828&gt;D1828,"Last service above current","")))))))))))))</x:f>
      </x:c>
      <x:c r="L1828" s="6" t="str">
        <x:f>IF(AND(NOT(COUNTA(A1828:F1828)=0),K1828=""),INDEX('Rules'!$C$7:$C$26,MATCH(SUBSTITUTE(SUBSTITUTE(SUBSTITUTE(SUBSTITUTE("type:"&amp;B1828,"%","%25"),"~","%7E"),"*","%2A"),"?","%3F"),'Rules'!$G$7:$G$26,0)),"")</x:f>
      </x:c>
      <x:c r="M1828" s="6" t="str">
        <x:f>IF(AND(NOT(COUNTA(A1828:F1828)=0),K1828=""),INDEX('Rules'!$D$7:$D$26,MATCH(SUBSTITUTE(SUBSTITUTE(SUBSTITUTE(SUBSTITUTE("type:"&amp;B1828,"%","%25"),"~","%7E"),"*","%2A"),"?","%3F"),'Rules'!$G$7:$G$26,0)),"")</x:f>
      </x:c>
      <x:c r="N1828" s="5" t="str">
        <x:f>IF(COUNTA(A1828:F1828)=0,"",SUBSTITUTE(SUBSTITUTE(SUBSTITUTE(SUBSTITUTE("id:"&amp;A1828,"%","%25"),"~","%7E"),"*","%2A"),"?","%3F"))</x:f>
      </x:c>
    </x:row>
    <x:row r="1829" ht="22" customHeight="1">
      <x:c r="A1829" s="3"/>
      <x:c r="B1829" s="3"/>
      <x:c r="C1829" s="3"/>
      <x:c r="D1829" s="4"/>
      <x:c r="E1829" s="4"/>
      <x:c r="F1829" s="4"/>
      <x:c r="G1829" s="5" t="str">
        <x:f>IF(COUNTA(A1829:F1829)=0,"",IF(K1829&lt;&gt;"","Review",IF(I1829&lt;0,"Overdue",IF(I1829=0,"Due now",IF(I1829&lt;=M1829,"Due soon","Not due")))))</x:f>
      </x:c>
      <x:c r="H1829" s="5" t="str">
        <x:f>IF(OR(COUNTA(A1829:F1829)=0,COUNTIFS('Rules'!$G$7:$G$26,"="&amp;(SUBSTITUTE(SUBSTITUTE(SUBSTITUTE(SUBSTITUTE("type:"&amp;B1829,"%","%25"),"~","%7E"),"*","%2A"),"?","%3F")))&lt;&gt;1),"",IF(OR(INDEX('Rules'!$B$7:$B$26,MATCH(SUBSTITUTE(SUBSTITUTE(SUBSTITUTE(SUBSTITUTE("type:"&amp;B1829,"%","%25"),"~","%7E"),"*","%2A"),"?","%3F"),'Rules'!$G$7:$G$26,0))="hours",INDEX('Rules'!$B$7:$B$26,MATCH(SUBSTITUTE(SUBSTITUTE(SUBSTITUTE(SUBSTITUTE("type:"&amp;B1829,"%","%25"),"~","%7E"),"*","%2A"),"?","%3F"),'Rules'!$G$7:$G$26,0))="km"),INDEX('Rules'!$B$7:$B$26,MATCH(SUBSTITUTE(SUBSTITUTE(SUBSTITUTE(SUBSTITUTE("type:"&amp;B1829,"%","%25"),"~","%7E"),"*","%2A"),"?","%3F"),'Rules'!$G$7:$G$26,0)),""))</x:f>
      </x:c>
      <x:c r="I1829" s="6" t="str">
        <x:f>IF(AND(NOT(COUNTA(A1829:F1829)=0),K1829=""),ROUND(J1829-D1829,3),"")</x:f>
      </x:c>
      <x:c r="J1829" s="6" t="str">
        <x:f>IF(AND(NOT(COUNTA(A1829:F1829)=0),K1829=""),ROUND(F1829+L1829,3),"")</x:f>
      </x:c>
      <x:c r="K1829" s="5" t="str">
        <x:f>IF(COUNTA(A1829:F1829)=0,"",IF(A1829="","Missing equipment ID",IF(COUNTIFS($N$8:$N$2007,"="&amp;N1829)&gt;1,"Duplicate equipment ID",IF(B1829="","Missing type",IF(COUNTIFS('Rules'!$G$7:$G$26,"="&amp;(SUBSTITUTE(SUBSTITUTE(SUBSTITUTE(SUBSTITUTE("type:"&amp;B1829,"%","%25"),"~","%7E"),"*","%2A"),"?","%3F")))=0,"Unknown type",IF(COUNTIFS('Rules'!$G$7:$G$26,"="&amp;(SUBSTITUTE(SUBSTITUTE(SUBSTITUTE(SUBSTITUTE("type:"&amp;B1829,"%","%25"),"~","%7E"),"*","%2A"),"?","%3F")))&gt;1,"Duplicate type",IF(INDEX('Rules'!$F$7:$F$26,MATCH(SUBSTITUTE(SUBSTITUTE(SUBSTITUTE(SUBSTITUTE("type:"&amp;B1829,"%","%25"),"~","%7E"),"*","%2A"),"?","%3F"),'Rules'!$G$7:$G$26,0))&lt;&gt;"",INDEX('Rules'!$F$7:$F$26,MATCH(SUBSTITUTE(SUBSTITUTE(SUBSTITUTE(SUBSTITUTE("type:"&amp;B1829,"%","%25"),"~","%7E"),"*","%2A"),"?","%3F"),'Rules'!$G$7:$G$26,0)),IF(AND(C1829&lt;&gt;"",C1829&lt;&gt;INDEX('Rules'!$B$7:$B$26,MATCH(SUBSTITUTE(SUBSTITUTE(SUBSTITUTE(SUBSTITUTE("type:"&amp;B1829,"%","%25"),"~","%7E"),"*","%2A"),"?","%3F"),'Rules'!$G$7:$G$26,0))),"Unit mismatch",IF(IF(NOT(ISNUMBER(D1829)),TRUE,OR(D1829&lt;0,D1829&gt;999999999,ROUND(D1829,3)&lt;&gt;D1829)),"Invalid current reading",IF(AND(E1829&lt;&gt;"",IF(NOT(ISNUMBER(E1829)),TRUE,OR(E1829&lt;0,E1829&gt;999999999,ROUND(E1829,3)&lt;&gt;E1829))),"Invalid previous reading",IF(IF(NOT(ISNUMBER(F1829)),TRUE,OR(F1829&lt;0,F1829&gt;999999999,ROUND(F1829,3)&lt;&gt;F1829)),"Invalid last service",IF(AND(E1829&lt;&gt;"",D1829&lt;E1829),"Decreased reading",IF(F1829&gt;D1829,"Last service above current","")))))))))))))</x:f>
      </x:c>
      <x:c r="L1829" s="6" t="str">
        <x:f>IF(AND(NOT(COUNTA(A1829:F1829)=0),K1829=""),INDEX('Rules'!$C$7:$C$26,MATCH(SUBSTITUTE(SUBSTITUTE(SUBSTITUTE(SUBSTITUTE("type:"&amp;B1829,"%","%25"),"~","%7E"),"*","%2A"),"?","%3F"),'Rules'!$G$7:$G$26,0)),"")</x:f>
      </x:c>
      <x:c r="M1829" s="6" t="str">
        <x:f>IF(AND(NOT(COUNTA(A1829:F1829)=0),K1829=""),INDEX('Rules'!$D$7:$D$26,MATCH(SUBSTITUTE(SUBSTITUTE(SUBSTITUTE(SUBSTITUTE("type:"&amp;B1829,"%","%25"),"~","%7E"),"*","%2A"),"?","%3F"),'Rules'!$G$7:$G$26,0)),"")</x:f>
      </x:c>
      <x:c r="N1829" s="5" t="str">
        <x:f>IF(COUNTA(A1829:F1829)=0,"",SUBSTITUTE(SUBSTITUTE(SUBSTITUTE(SUBSTITUTE("id:"&amp;A1829,"%","%25"),"~","%7E"),"*","%2A"),"?","%3F"))</x:f>
      </x:c>
    </x:row>
    <x:row r="1830" ht="22" customHeight="1">
      <x:c r="A1830" s="3"/>
      <x:c r="B1830" s="3"/>
      <x:c r="C1830" s="3"/>
      <x:c r="D1830" s="4"/>
      <x:c r="E1830" s="4"/>
      <x:c r="F1830" s="4"/>
      <x:c r="G1830" s="5" t="str">
        <x:f>IF(COUNTA(A1830:F1830)=0,"",IF(K1830&lt;&gt;"","Review",IF(I1830&lt;0,"Overdue",IF(I1830=0,"Due now",IF(I1830&lt;=M1830,"Due soon","Not due")))))</x:f>
      </x:c>
      <x:c r="H1830" s="5" t="str">
        <x:f>IF(OR(COUNTA(A1830:F1830)=0,COUNTIFS('Rules'!$G$7:$G$26,"="&amp;(SUBSTITUTE(SUBSTITUTE(SUBSTITUTE(SUBSTITUTE("type:"&amp;B1830,"%","%25"),"~","%7E"),"*","%2A"),"?","%3F")))&lt;&gt;1),"",IF(OR(INDEX('Rules'!$B$7:$B$26,MATCH(SUBSTITUTE(SUBSTITUTE(SUBSTITUTE(SUBSTITUTE("type:"&amp;B1830,"%","%25"),"~","%7E"),"*","%2A"),"?","%3F"),'Rules'!$G$7:$G$26,0))="hours",INDEX('Rules'!$B$7:$B$26,MATCH(SUBSTITUTE(SUBSTITUTE(SUBSTITUTE(SUBSTITUTE("type:"&amp;B1830,"%","%25"),"~","%7E"),"*","%2A"),"?","%3F"),'Rules'!$G$7:$G$26,0))="km"),INDEX('Rules'!$B$7:$B$26,MATCH(SUBSTITUTE(SUBSTITUTE(SUBSTITUTE(SUBSTITUTE("type:"&amp;B1830,"%","%25"),"~","%7E"),"*","%2A"),"?","%3F"),'Rules'!$G$7:$G$26,0)),""))</x:f>
      </x:c>
      <x:c r="I1830" s="6" t="str">
        <x:f>IF(AND(NOT(COUNTA(A1830:F1830)=0),K1830=""),ROUND(J1830-D1830,3),"")</x:f>
      </x:c>
      <x:c r="J1830" s="6" t="str">
        <x:f>IF(AND(NOT(COUNTA(A1830:F1830)=0),K1830=""),ROUND(F1830+L1830,3),"")</x:f>
      </x:c>
      <x:c r="K1830" s="5" t="str">
        <x:f>IF(COUNTA(A1830:F1830)=0,"",IF(A1830="","Missing equipment ID",IF(COUNTIFS($N$8:$N$2007,"="&amp;N1830)&gt;1,"Duplicate equipment ID",IF(B1830="","Missing type",IF(COUNTIFS('Rules'!$G$7:$G$26,"="&amp;(SUBSTITUTE(SUBSTITUTE(SUBSTITUTE(SUBSTITUTE("type:"&amp;B1830,"%","%25"),"~","%7E"),"*","%2A"),"?","%3F")))=0,"Unknown type",IF(COUNTIFS('Rules'!$G$7:$G$26,"="&amp;(SUBSTITUTE(SUBSTITUTE(SUBSTITUTE(SUBSTITUTE("type:"&amp;B1830,"%","%25"),"~","%7E"),"*","%2A"),"?","%3F")))&gt;1,"Duplicate type",IF(INDEX('Rules'!$F$7:$F$26,MATCH(SUBSTITUTE(SUBSTITUTE(SUBSTITUTE(SUBSTITUTE("type:"&amp;B1830,"%","%25"),"~","%7E"),"*","%2A"),"?","%3F"),'Rules'!$G$7:$G$26,0))&lt;&gt;"",INDEX('Rules'!$F$7:$F$26,MATCH(SUBSTITUTE(SUBSTITUTE(SUBSTITUTE(SUBSTITUTE("type:"&amp;B1830,"%","%25"),"~","%7E"),"*","%2A"),"?","%3F"),'Rules'!$G$7:$G$26,0)),IF(AND(C1830&lt;&gt;"",C1830&lt;&gt;INDEX('Rules'!$B$7:$B$26,MATCH(SUBSTITUTE(SUBSTITUTE(SUBSTITUTE(SUBSTITUTE("type:"&amp;B1830,"%","%25"),"~","%7E"),"*","%2A"),"?","%3F"),'Rules'!$G$7:$G$26,0))),"Unit mismatch",IF(IF(NOT(ISNUMBER(D1830)),TRUE,OR(D1830&lt;0,D1830&gt;999999999,ROUND(D1830,3)&lt;&gt;D1830)),"Invalid current reading",IF(AND(E1830&lt;&gt;"",IF(NOT(ISNUMBER(E1830)),TRUE,OR(E1830&lt;0,E1830&gt;999999999,ROUND(E1830,3)&lt;&gt;E1830))),"Invalid previous reading",IF(IF(NOT(ISNUMBER(F1830)),TRUE,OR(F1830&lt;0,F1830&gt;999999999,ROUND(F1830,3)&lt;&gt;F1830)),"Invalid last service",IF(AND(E1830&lt;&gt;"",D1830&lt;E1830),"Decreased reading",IF(F1830&gt;D1830,"Last service above current","")))))))))))))</x:f>
      </x:c>
      <x:c r="L1830" s="6" t="str">
        <x:f>IF(AND(NOT(COUNTA(A1830:F1830)=0),K1830=""),INDEX('Rules'!$C$7:$C$26,MATCH(SUBSTITUTE(SUBSTITUTE(SUBSTITUTE(SUBSTITUTE("type:"&amp;B1830,"%","%25"),"~","%7E"),"*","%2A"),"?","%3F"),'Rules'!$G$7:$G$26,0)),"")</x:f>
      </x:c>
      <x:c r="M1830" s="6" t="str">
        <x:f>IF(AND(NOT(COUNTA(A1830:F1830)=0),K1830=""),INDEX('Rules'!$D$7:$D$26,MATCH(SUBSTITUTE(SUBSTITUTE(SUBSTITUTE(SUBSTITUTE("type:"&amp;B1830,"%","%25"),"~","%7E"),"*","%2A"),"?","%3F"),'Rules'!$G$7:$G$26,0)),"")</x:f>
      </x:c>
      <x:c r="N1830" s="5" t="str">
        <x:f>IF(COUNTA(A1830:F1830)=0,"",SUBSTITUTE(SUBSTITUTE(SUBSTITUTE(SUBSTITUTE("id:"&amp;A1830,"%","%25"),"~","%7E"),"*","%2A"),"?","%3F"))</x:f>
      </x:c>
    </x:row>
    <x:row r="1831" ht="22" customHeight="1">
      <x:c r="A1831" s="3"/>
      <x:c r="B1831" s="3"/>
      <x:c r="C1831" s="3"/>
      <x:c r="D1831" s="4"/>
      <x:c r="E1831" s="4"/>
      <x:c r="F1831" s="4"/>
      <x:c r="G1831" s="5" t="str">
        <x:f>IF(COUNTA(A1831:F1831)=0,"",IF(K1831&lt;&gt;"","Review",IF(I1831&lt;0,"Overdue",IF(I1831=0,"Due now",IF(I1831&lt;=M1831,"Due soon","Not due")))))</x:f>
      </x:c>
      <x:c r="H1831" s="5" t="str">
        <x:f>IF(OR(COUNTA(A1831:F1831)=0,COUNTIFS('Rules'!$G$7:$G$26,"="&amp;(SUBSTITUTE(SUBSTITUTE(SUBSTITUTE(SUBSTITUTE("type:"&amp;B1831,"%","%25"),"~","%7E"),"*","%2A"),"?","%3F")))&lt;&gt;1),"",IF(OR(INDEX('Rules'!$B$7:$B$26,MATCH(SUBSTITUTE(SUBSTITUTE(SUBSTITUTE(SUBSTITUTE("type:"&amp;B1831,"%","%25"),"~","%7E"),"*","%2A"),"?","%3F"),'Rules'!$G$7:$G$26,0))="hours",INDEX('Rules'!$B$7:$B$26,MATCH(SUBSTITUTE(SUBSTITUTE(SUBSTITUTE(SUBSTITUTE("type:"&amp;B1831,"%","%25"),"~","%7E"),"*","%2A"),"?","%3F"),'Rules'!$G$7:$G$26,0))="km"),INDEX('Rules'!$B$7:$B$26,MATCH(SUBSTITUTE(SUBSTITUTE(SUBSTITUTE(SUBSTITUTE("type:"&amp;B1831,"%","%25"),"~","%7E"),"*","%2A"),"?","%3F"),'Rules'!$G$7:$G$26,0)),""))</x:f>
      </x:c>
      <x:c r="I1831" s="6" t="str">
        <x:f>IF(AND(NOT(COUNTA(A1831:F1831)=0),K1831=""),ROUND(J1831-D1831,3),"")</x:f>
      </x:c>
      <x:c r="J1831" s="6" t="str">
        <x:f>IF(AND(NOT(COUNTA(A1831:F1831)=0),K1831=""),ROUND(F1831+L1831,3),"")</x:f>
      </x:c>
      <x:c r="K1831" s="5" t="str">
        <x:f>IF(COUNTA(A1831:F1831)=0,"",IF(A1831="","Missing equipment ID",IF(COUNTIFS($N$8:$N$2007,"="&amp;N1831)&gt;1,"Duplicate equipment ID",IF(B1831="","Missing type",IF(COUNTIFS('Rules'!$G$7:$G$26,"="&amp;(SUBSTITUTE(SUBSTITUTE(SUBSTITUTE(SUBSTITUTE("type:"&amp;B1831,"%","%25"),"~","%7E"),"*","%2A"),"?","%3F")))=0,"Unknown type",IF(COUNTIFS('Rules'!$G$7:$G$26,"="&amp;(SUBSTITUTE(SUBSTITUTE(SUBSTITUTE(SUBSTITUTE("type:"&amp;B1831,"%","%25"),"~","%7E"),"*","%2A"),"?","%3F")))&gt;1,"Duplicate type",IF(INDEX('Rules'!$F$7:$F$26,MATCH(SUBSTITUTE(SUBSTITUTE(SUBSTITUTE(SUBSTITUTE("type:"&amp;B1831,"%","%25"),"~","%7E"),"*","%2A"),"?","%3F"),'Rules'!$G$7:$G$26,0))&lt;&gt;"",INDEX('Rules'!$F$7:$F$26,MATCH(SUBSTITUTE(SUBSTITUTE(SUBSTITUTE(SUBSTITUTE("type:"&amp;B1831,"%","%25"),"~","%7E"),"*","%2A"),"?","%3F"),'Rules'!$G$7:$G$26,0)),IF(AND(C1831&lt;&gt;"",C1831&lt;&gt;INDEX('Rules'!$B$7:$B$26,MATCH(SUBSTITUTE(SUBSTITUTE(SUBSTITUTE(SUBSTITUTE("type:"&amp;B1831,"%","%25"),"~","%7E"),"*","%2A"),"?","%3F"),'Rules'!$G$7:$G$26,0))),"Unit mismatch",IF(IF(NOT(ISNUMBER(D1831)),TRUE,OR(D1831&lt;0,D1831&gt;999999999,ROUND(D1831,3)&lt;&gt;D1831)),"Invalid current reading",IF(AND(E1831&lt;&gt;"",IF(NOT(ISNUMBER(E1831)),TRUE,OR(E1831&lt;0,E1831&gt;999999999,ROUND(E1831,3)&lt;&gt;E1831))),"Invalid previous reading",IF(IF(NOT(ISNUMBER(F1831)),TRUE,OR(F1831&lt;0,F1831&gt;999999999,ROUND(F1831,3)&lt;&gt;F1831)),"Invalid last service",IF(AND(E1831&lt;&gt;"",D1831&lt;E1831),"Decreased reading",IF(F1831&gt;D1831,"Last service above current","")))))))))))))</x:f>
      </x:c>
      <x:c r="L1831" s="6" t="str">
        <x:f>IF(AND(NOT(COUNTA(A1831:F1831)=0),K1831=""),INDEX('Rules'!$C$7:$C$26,MATCH(SUBSTITUTE(SUBSTITUTE(SUBSTITUTE(SUBSTITUTE("type:"&amp;B1831,"%","%25"),"~","%7E"),"*","%2A"),"?","%3F"),'Rules'!$G$7:$G$26,0)),"")</x:f>
      </x:c>
      <x:c r="M1831" s="6" t="str">
        <x:f>IF(AND(NOT(COUNTA(A1831:F1831)=0),K1831=""),INDEX('Rules'!$D$7:$D$26,MATCH(SUBSTITUTE(SUBSTITUTE(SUBSTITUTE(SUBSTITUTE("type:"&amp;B1831,"%","%25"),"~","%7E"),"*","%2A"),"?","%3F"),'Rules'!$G$7:$G$26,0)),"")</x:f>
      </x:c>
      <x:c r="N1831" s="5" t="str">
        <x:f>IF(COUNTA(A1831:F1831)=0,"",SUBSTITUTE(SUBSTITUTE(SUBSTITUTE(SUBSTITUTE("id:"&amp;A1831,"%","%25"),"~","%7E"),"*","%2A"),"?","%3F"))</x:f>
      </x:c>
    </x:row>
    <x:row r="1832" ht="22" customHeight="1">
      <x:c r="A1832" s="3"/>
      <x:c r="B1832" s="3"/>
      <x:c r="C1832" s="3"/>
      <x:c r="D1832" s="4"/>
      <x:c r="E1832" s="4"/>
      <x:c r="F1832" s="4"/>
      <x:c r="G1832" s="5" t="str">
        <x:f>IF(COUNTA(A1832:F1832)=0,"",IF(K1832&lt;&gt;"","Review",IF(I1832&lt;0,"Overdue",IF(I1832=0,"Due now",IF(I1832&lt;=M1832,"Due soon","Not due")))))</x:f>
      </x:c>
      <x:c r="H1832" s="5" t="str">
        <x:f>IF(OR(COUNTA(A1832:F1832)=0,COUNTIFS('Rules'!$G$7:$G$26,"="&amp;(SUBSTITUTE(SUBSTITUTE(SUBSTITUTE(SUBSTITUTE("type:"&amp;B1832,"%","%25"),"~","%7E"),"*","%2A"),"?","%3F")))&lt;&gt;1),"",IF(OR(INDEX('Rules'!$B$7:$B$26,MATCH(SUBSTITUTE(SUBSTITUTE(SUBSTITUTE(SUBSTITUTE("type:"&amp;B1832,"%","%25"),"~","%7E"),"*","%2A"),"?","%3F"),'Rules'!$G$7:$G$26,0))="hours",INDEX('Rules'!$B$7:$B$26,MATCH(SUBSTITUTE(SUBSTITUTE(SUBSTITUTE(SUBSTITUTE("type:"&amp;B1832,"%","%25"),"~","%7E"),"*","%2A"),"?","%3F"),'Rules'!$G$7:$G$26,0))="km"),INDEX('Rules'!$B$7:$B$26,MATCH(SUBSTITUTE(SUBSTITUTE(SUBSTITUTE(SUBSTITUTE("type:"&amp;B1832,"%","%25"),"~","%7E"),"*","%2A"),"?","%3F"),'Rules'!$G$7:$G$26,0)),""))</x:f>
      </x:c>
      <x:c r="I1832" s="6" t="str">
        <x:f>IF(AND(NOT(COUNTA(A1832:F1832)=0),K1832=""),ROUND(J1832-D1832,3),"")</x:f>
      </x:c>
      <x:c r="J1832" s="6" t="str">
        <x:f>IF(AND(NOT(COUNTA(A1832:F1832)=0),K1832=""),ROUND(F1832+L1832,3),"")</x:f>
      </x:c>
      <x:c r="K1832" s="5" t="str">
        <x:f>IF(COUNTA(A1832:F1832)=0,"",IF(A1832="","Missing equipment ID",IF(COUNTIFS($N$8:$N$2007,"="&amp;N1832)&gt;1,"Duplicate equipment ID",IF(B1832="","Missing type",IF(COUNTIFS('Rules'!$G$7:$G$26,"="&amp;(SUBSTITUTE(SUBSTITUTE(SUBSTITUTE(SUBSTITUTE("type:"&amp;B1832,"%","%25"),"~","%7E"),"*","%2A"),"?","%3F")))=0,"Unknown type",IF(COUNTIFS('Rules'!$G$7:$G$26,"="&amp;(SUBSTITUTE(SUBSTITUTE(SUBSTITUTE(SUBSTITUTE("type:"&amp;B1832,"%","%25"),"~","%7E"),"*","%2A"),"?","%3F")))&gt;1,"Duplicate type",IF(INDEX('Rules'!$F$7:$F$26,MATCH(SUBSTITUTE(SUBSTITUTE(SUBSTITUTE(SUBSTITUTE("type:"&amp;B1832,"%","%25"),"~","%7E"),"*","%2A"),"?","%3F"),'Rules'!$G$7:$G$26,0))&lt;&gt;"",INDEX('Rules'!$F$7:$F$26,MATCH(SUBSTITUTE(SUBSTITUTE(SUBSTITUTE(SUBSTITUTE("type:"&amp;B1832,"%","%25"),"~","%7E"),"*","%2A"),"?","%3F"),'Rules'!$G$7:$G$26,0)),IF(AND(C1832&lt;&gt;"",C1832&lt;&gt;INDEX('Rules'!$B$7:$B$26,MATCH(SUBSTITUTE(SUBSTITUTE(SUBSTITUTE(SUBSTITUTE("type:"&amp;B1832,"%","%25"),"~","%7E"),"*","%2A"),"?","%3F"),'Rules'!$G$7:$G$26,0))),"Unit mismatch",IF(IF(NOT(ISNUMBER(D1832)),TRUE,OR(D1832&lt;0,D1832&gt;999999999,ROUND(D1832,3)&lt;&gt;D1832)),"Invalid current reading",IF(AND(E1832&lt;&gt;"",IF(NOT(ISNUMBER(E1832)),TRUE,OR(E1832&lt;0,E1832&gt;999999999,ROUND(E1832,3)&lt;&gt;E1832))),"Invalid previous reading",IF(IF(NOT(ISNUMBER(F1832)),TRUE,OR(F1832&lt;0,F1832&gt;999999999,ROUND(F1832,3)&lt;&gt;F1832)),"Invalid last service",IF(AND(E1832&lt;&gt;"",D1832&lt;E1832),"Decreased reading",IF(F1832&gt;D1832,"Last service above current","")))))))))))))</x:f>
      </x:c>
      <x:c r="L1832" s="6" t="str">
        <x:f>IF(AND(NOT(COUNTA(A1832:F1832)=0),K1832=""),INDEX('Rules'!$C$7:$C$26,MATCH(SUBSTITUTE(SUBSTITUTE(SUBSTITUTE(SUBSTITUTE("type:"&amp;B1832,"%","%25"),"~","%7E"),"*","%2A"),"?","%3F"),'Rules'!$G$7:$G$26,0)),"")</x:f>
      </x:c>
      <x:c r="M1832" s="6" t="str">
        <x:f>IF(AND(NOT(COUNTA(A1832:F1832)=0),K1832=""),INDEX('Rules'!$D$7:$D$26,MATCH(SUBSTITUTE(SUBSTITUTE(SUBSTITUTE(SUBSTITUTE("type:"&amp;B1832,"%","%25"),"~","%7E"),"*","%2A"),"?","%3F"),'Rules'!$G$7:$G$26,0)),"")</x:f>
      </x:c>
      <x:c r="N1832" s="5" t="str">
        <x:f>IF(COUNTA(A1832:F1832)=0,"",SUBSTITUTE(SUBSTITUTE(SUBSTITUTE(SUBSTITUTE("id:"&amp;A1832,"%","%25"),"~","%7E"),"*","%2A"),"?","%3F"))</x:f>
      </x:c>
    </x:row>
    <x:row r="1833" ht="22" customHeight="1">
      <x:c r="A1833" s="3"/>
      <x:c r="B1833" s="3"/>
      <x:c r="C1833" s="3"/>
      <x:c r="D1833" s="4"/>
      <x:c r="E1833" s="4"/>
      <x:c r="F1833" s="4"/>
      <x:c r="G1833" s="5" t="str">
        <x:f>IF(COUNTA(A1833:F1833)=0,"",IF(K1833&lt;&gt;"","Review",IF(I1833&lt;0,"Overdue",IF(I1833=0,"Due now",IF(I1833&lt;=M1833,"Due soon","Not due")))))</x:f>
      </x:c>
      <x:c r="H1833" s="5" t="str">
        <x:f>IF(OR(COUNTA(A1833:F1833)=0,COUNTIFS('Rules'!$G$7:$G$26,"="&amp;(SUBSTITUTE(SUBSTITUTE(SUBSTITUTE(SUBSTITUTE("type:"&amp;B1833,"%","%25"),"~","%7E"),"*","%2A"),"?","%3F")))&lt;&gt;1),"",IF(OR(INDEX('Rules'!$B$7:$B$26,MATCH(SUBSTITUTE(SUBSTITUTE(SUBSTITUTE(SUBSTITUTE("type:"&amp;B1833,"%","%25"),"~","%7E"),"*","%2A"),"?","%3F"),'Rules'!$G$7:$G$26,0))="hours",INDEX('Rules'!$B$7:$B$26,MATCH(SUBSTITUTE(SUBSTITUTE(SUBSTITUTE(SUBSTITUTE("type:"&amp;B1833,"%","%25"),"~","%7E"),"*","%2A"),"?","%3F"),'Rules'!$G$7:$G$26,0))="km"),INDEX('Rules'!$B$7:$B$26,MATCH(SUBSTITUTE(SUBSTITUTE(SUBSTITUTE(SUBSTITUTE("type:"&amp;B1833,"%","%25"),"~","%7E"),"*","%2A"),"?","%3F"),'Rules'!$G$7:$G$26,0)),""))</x:f>
      </x:c>
      <x:c r="I1833" s="6" t="str">
        <x:f>IF(AND(NOT(COUNTA(A1833:F1833)=0),K1833=""),ROUND(J1833-D1833,3),"")</x:f>
      </x:c>
      <x:c r="J1833" s="6" t="str">
        <x:f>IF(AND(NOT(COUNTA(A1833:F1833)=0),K1833=""),ROUND(F1833+L1833,3),"")</x:f>
      </x:c>
      <x:c r="K1833" s="5" t="str">
        <x:f>IF(COUNTA(A1833:F1833)=0,"",IF(A1833="","Missing equipment ID",IF(COUNTIFS($N$8:$N$2007,"="&amp;N1833)&gt;1,"Duplicate equipment ID",IF(B1833="","Missing type",IF(COUNTIFS('Rules'!$G$7:$G$26,"="&amp;(SUBSTITUTE(SUBSTITUTE(SUBSTITUTE(SUBSTITUTE("type:"&amp;B1833,"%","%25"),"~","%7E"),"*","%2A"),"?","%3F")))=0,"Unknown type",IF(COUNTIFS('Rules'!$G$7:$G$26,"="&amp;(SUBSTITUTE(SUBSTITUTE(SUBSTITUTE(SUBSTITUTE("type:"&amp;B1833,"%","%25"),"~","%7E"),"*","%2A"),"?","%3F")))&gt;1,"Duplicate type",IF(INDEX('Rules'!$F$7:$F$26,MATCH(SUBSTITUTE(SUBSTITUTE(SUBSTITUTE(SUBSTITUTE("type:"&amp;B1833,"%","%25"),"~","%7E"),"*","%2A"),"?","%3F"),'Rules'!$G$7:$G$26,0))&lt;&gt;"",INDEX('Rules'!$F$7:$F$26,MATCH(SUBSTITUTE(SUBSTITUTE(SUBSTITUTE(SUBSTITUTE("type:"&amp;B1833,"%","%25"),"~","%7E"),"*","%2A"),"?","%3F"),'Rules'!$G$7:$G$26,0)),IF(AND(C1833&lt;&gt;"",C1833&lt;&gt;INDEX('Rules'!$B$7:$B$26,MATCH(SUBSTITUTE(SUBSTITUTE(SUBSTITUTE(SUBSTITUTE("type:"&amp;B1833,"%","%25"),"~","%7E"),"*","%2A"),"?","%3F"),'Rules'!$G$7:$G$26,0))),"Unit mismatch",IF(IF(NOT(ISNUMBER(D1833)),TRUE,OR(D1833&lt;0,D1833&gt;999999999,ROUND(D1833,3)&lt;&gt;D1833)),"Invalid current reading",IF(AND(E1833&lt;&gt;"",IF(NOT(ISNUMBER(E1833)),TRUE,OR(E1833&lt;0,E1833&gt;999999999,ROUND(E1833,3)&lt;&gt;E1833))),"Invalid previous reading",IF(IF(NOT(ISNUMBER(F1833)),TRUE,OR(F1833&lt;0,F1833&gt;999999999,ROUND(F1833,3)&lt;&gt;F1833)),"Invalid last service",IF(AND(E1833&lt;&gt;"",D1833&lt;E1833),"Decreased reading",IF(F1833&gt;D1833,"Last service above current","")))))))))))))</x:f>
      </x:c>
      <x:c r="L1833" s="6" t="str">
        <x:f>IF(AND(NOT(COUNTA(A1833:F1833)=0),K1833=""),INDEX('Rules'!$C$7:$C$26,MATCH(SUBSTITUTE(SUBSTITUTE(SUBSTITUTE(SUBSTITUTE("type:"&amp;B1833,"%","%25"),"~","%7E"),"*","%2A"),"?","%3F"),'Rules'!$G$7:$G$26,0)),"")</x:f>
      </x:c>
      <x:c r="M1833" s="6" t="str">
        <x:f>IF(AND(NOT(COUNTA(A1833:F1833)=0),K1833=""),INDEX('Rules'!$D$7:$D$26,MATCH(SUBSTITUTE(SUBSTITUTE(SUBSTITUTE(SUBSTITUTE("type:"&amp;B1833,"%","%25"),"~","%7E"),"*","%2A"),"?","%3F"),'Rules'!$G$7:$G$26,0)),"")</x:f>
      </x:c>
      <x:c r="N1833" s="5" t="str">
        <x:f>IF(COUNTA(A1833:F1833)=0,"",SUBSTITUTE(SUBSTITUTE(SUBSTITUTE(SUBSTITUTE("id:"&amp;A1833,"%","%25"),"~","%7E"),"*","%2A"),"?","%3F"))</x:f>
      </x:c>
    </x:row>
    <x:row r="1834" ht="22" customHeight="1">
      <x:c r="A1834" s="3"/>
      <x:c r="B1834" s="3"/>
      <x:c r="C1834" s="3"/>
      <x:c r="D1834" s="4"/>
      <x:c r="E1834" s="4"/>
      <x:c r="F1834" s="4"/>
      <x:c r="G1834" s="5" t="str">
        <x:f>IF(COUNTA(A1834:F1834)=0,"",IF(K1834&lt;&gt;"","Review",IF(I1834&lt;0,"Overdue",IF(I1834=0,"Due now",IF(I1834&lt;=M1834,"Due soon","Not due")))))</x:f>
      </x:c>
      <x:c r="H1834" s="5" t="str">
        <x:f>IF(OR(COUNTA(A1834:F1834)=0,COUNTIFS('Rules'!$G$7:$G$26,"="&amp;(SUBSTITUTE(SUBSTITUTE(SUBSTITUTE(SUBSTITUTE("type:"&amp;B1834,"%","%25"),"~","%7E"),"*","%2A"),"?","%3F")))&lt;&gt;1),"",IF(OR(INDEX('Rules'!$B$7:$B$26,MATCH(SUBSTITUTE(SUBSTITUTE(SUBSTITUTE(SUBSTITUTE("type:"&amp;B1834,"%","%25"),"~","%7E"),"*","%2A"),"?","%3F"),'Rules'!$G$7:$G$26,0))="hours",INDEX('Rules'!$B$7:$B$26,MATCH(SUBSTITUTE(SUBSTITUTE(SUBSTITUTE(SUBSTITUTE("type:"&amp;B1834,"%","%25"),"~","%7E"),"*","%2A"),"?","%3F"),'Rules'!$G$7:$G$26,0))="km"),INDEX('Rules'!$B$7:$B$26,MATCH(SUBSTITUTE(SUBSTITUTE(SUBSTITUTE(SUBSTITUTE("type:"&amp;B1834,"%","%25"),"~","%7E"),"*","%2A"),"?","%3F"),'Rules'!$G$7:$G$26,0)),""))</x:f>
      </x:c>
      <x:c r="I1834" s="6" t="str">
        <x:f>IF(AND(NOT(COUNTA(A1834:F1834)=0),K1834=""),ROUND(J1834-D1834,3),"")</x:f>
      </x:c>
      <x:c r="J1834" s="6" t="str">
        <x:f>IF(AND(NOT(COUNTA(A1834:F1834)=0),K1834=""),ROUND(F1834+L1834,3),"")</x:f>
      </x:c>
      <x:c r="K1834" s="5" t="str">
        <x:f>IF(COUNTA(A1834:F1834)=0,"",IF(A1834="","Missing equipment ID",IF(COUNTIFS($N$8:$N$2007,"="&amp;N1834)&gt;1,"Duplicate equipment ID",IF(B1834="","Missing type",IF(COUNTIFS('Rules'!$G$7:$G$26,"="&amp;(SUBSTITUTE(SUBSTITUTE(SUBSTITUTE(SUBSTITUTE("type:"&amp;B1834,"%","%25"),"~","%7E"),"*","%2A"),"?","%3F")))=0,"Unknown type",IF(COUNTIFS('Rules'!$G$7:$G$26,"="&amp;(SUBSTITUTE(SUBSTITUTE(SUBSTITUTE(SUBSTITUTE("type:"&amp;B1834,"%","%25"),"~","%7E"),"*","%2A"),"?","%3F")))&gt;1,"Duplicate type",IF(INDEX('Rules'!$F$7:$F$26,MATCH(SUBSTITUTE(SUBSTITUTE(SUBSTITUTE(SUBSTITUTE("type:"&amp;B1834,"%","%25"),"~","%7E"),"*","%2A"),"?","%3F"),'Rules'!$G$7:$G$26,0))&lt;&gt;"",INDEX('Rules'!$F$7:$F$26,MATCH(SUBSTITUTE(SUBSTITUTE(SUBSTITUTE(SUBSTITUTE("type:"&amp;B1834,"%","%25"),"~","%7E"),"*","%2A"),"?","%3F"),'Rules'!$G$7:$G$26,0)),IF(AND(C1834&lt;&gt;"",C1834&lt;&gt;INDEX('Rules'!$B$7:$B$26,MATCH(SUBSTITUTE(SUBSTITUTE(SUBSTITUTE(SUBSTITUTE("type:"&amp;B1834,"%","%25"),"~","%7E"),"*","%2A"),"?","%3F"),'Rules'!$G$7:$G$26,0))),"Unit mismatch",IF(IF(NOT(ISNUMBER(D1834)),TRUE,OR(D1834&lt;0,D1834&gt;999999999,ROUND(D1834,3)&lt;&gt;D1834)),"Invalid current reading",IF(AND(E1834&lt;&gt;"",IF(NOT(ISNUMBER(E1834)),TRUE,OR(E1834&lt;0,E1834&gt;999999999,ROUND(E1834,3)&lt;&gt;E1834))),"Invalid previous reading",IF(IF(NOT(ISNUMBER(F1834)),TRUE,OR(F1834&lt;0,F1834&gt;999999999,ROUND(F1834,3)&lt;&gt;F1834)),"Invalid last service",IF(AND(E1834&lt;&gt;"",D1834&lt;E1834),"Decreased reading",IF(F1834&gt;D1834,"Last service above current","")))))))))))))</x:f>
      </x:c>
      <x:c r="L1834" s="6" t="str">
        <x:f>IF(AND(NOT(COUNTA(A1834:F1834)=0),K1834=""),INDEX('Rules'!$C$7:$C$26,MATCH(SUBSTITUTE(SUBSTITUTE(SUBSTITUTE(SUBSTITUTE("type:"&amp;B1834,"%","%25"),"~","%7E"),"*","%2A"),"?","%3F"),'Rules'!$G$7:$G$26,0)),"")</x:f>
      </x:c>
      <x:c r="M1834" s="6" t="str">
        <x:f>IF(AND(NOT(COUNTA(A1834:F1834)=0),K1834=""),INDEX('Rules'!$D$7:$D$26,MATCH(SUBSTITUTE(SUBSTITUTE(SUBSTITUTE(SUBSTITUTE("type:"&amp;B1834,"%","%25"),"~","%7E"),"*","%2A"),"?","%3F"),'Rules'!$G$7:$G$26,0)),"")</x:f>
      </x:c>
      <x:c r="N1834" s="5" t="str">
        <x:f>IF(COUNTA(A1834:F1834)=0,"",SUBSTITUTE(SUBSTITUTE(SUBSTITUTE(SUBSTITUTE("id:"&amp;A1834,"%","%25"),"~","%7E"),"*","%2A"),"?","%3F"))</x:f>
      </x:c>
    </x:row>
    <x:row r="1835" ht="22" customHeight="1">
      <x:c r="A1835" s="3"/>
      <x:c r="B1835" s="3"/>
      <x:c r="C1835" s="3"/>
      <x:c r="D1835" s="4"/>
      <x:c r="E1835" s="4"/>
      <x:c r="F1835" s="4"/>
      <x:c r="G1835" s="5" t="str">
        <x:f>IF(COUNTA(A1835:F1835)=0,"",IF(K1835&lt;&gt;"","Review",IF(I1835&lt;0,"Overdue",IF(I1835=0,"Due now",IF(I1835&lt;=M1835,"Due soon","Not due")))))</x:f>
      </x:c>
      <x:c r="H1835" s="5" t="str">
        <x:f>IF(OR(COUNTA(A1835:F1835)=0,COUNTIFS('Rules'!$G$7:$G$26,"="&amp;(SUBSTITUTE(SUBSTITUTE(SUBSTITUTE(SUBSTITUTE("type:"&amp;B1835,"%","%25"),"~","%7E"),"*","%2A"),"?","%3F")))&lt;&gt;1),"",IF(OR(INDEX('Rules'!$B$7:$B$26,MATCH(SUBSTITUTE(SUBSTITUTE(SUBSTITUTE(SUBSTITUTE("type:"&amp;B1835,"%","%25"),"~","%7E"),"*","%2A"),"?","%3F"),'Rules'!$G$7:$G$26,0))="hours",INDEX('Rules'!$B$7:$B$26,MATCH(SUBSTITUTE(SUBSTITUTE(SUBSTITUTE(SUBSTITUTE("type:"&amp;B1835,"%","%25"),"~","%7E"),"*","%2A"),"?","%3F"),'Rules'!$G$7:$G$26,0))="km"),INDEX('Rules'!$B$7:$B$26,MATCH(SUBSTITUTE(SUBSTITUTE(SUBSTITUTE(SUBSTITUTE("type:"&amp;B1835,"%","%25"),"~","%7E"),"*","%2A"),"?","%3F"),'Rules'!$G$7:$G$26,0)),""))</x:f>
      </x:c>
      <x:c r="I1835" s="6" t="str">
        <x:f>IF(AND(NOT(COUNTA(A1835:F1835)=0),K1835=""),ROUND(J1835-D1835,3),"")</x:f>
      </x:c>
      <x:c r="J1835" s="6" t="str">
        <x:f>IF(AND(NOT(COUNTA(A1835:F1835)=0),K1835=""),ROUND(F1835+L1835,3),"")</x:f>
      </x:c>
      <x:c r="K1835" s="5" t="str">
        <x:f>IF(COUNTA(A1835:F1835)=0,"",IF(A1835="","Missing equipment ID",IF(COUNTIFS($N$8:$N$2007,"="&amp;N1835)&gt;1,"Duplicate equipment ID",IF(B1835="","Missing type",IF(COUNTIFS('Rules'!$G$7:$G$26,"="&amp;(SUBSTITUTE(SUBSTITUTE(SUBSTITUTE(SUBSTITUTE("type:"&amp;B1835,"%","%25"),"~","%7E"),"*","%2A"),"?","%3F")))=0,"Unknown type",IF(COUNTIFS('Rules'!$G$7:$G$26,"="&amp;(SUBSTITUTE(SUBSTITUTE(SUBSTITUTE(SUBSTITUTE("type:"&amp;B1835,"%","%25"),"~","%7E"),"*","%2A"),"?","%3F")))&gt;1,"Duplicate type",IF(INDEX('Rules'!$F$7:$F$26,MATCH(SUBSTITUTE(SUBSTITUTE(SUBSTITUTE(SUBSTITUTE("type:"&amp;B1835,"%","%25"),"~","%7E"),"*","%2A"),"?","%3F"),'Rules'!$G$7:$G$26,0))&lt;&gt;"",INDEX('Rules'!$F$7:$F$26,MATCH(SUBSTITUTE(SUBSTITUTE(SUBSTITUTE(SUBSTITUTE("type:"&amp;B1835,"%","%25"),"~","%7E"),"*","%2A"),"?","%3F"),'Rules'!$G$7:$G$26,0)),IF(AND(C1835&lt;&gt;"",C1835&lt;&gt;INDEX('Rules'!$B$7:$B$26,MATCH(SUBSTITUTE(SUBSTITUTE(SUBSTITUTE(SUBSTITUTE("type:"&amp;B1835,"%","%25"),"~","%7E"),"*","%2A"),"?","%3F"),'Rules'!$G$7:$G$26,0))),"Unit mismatch",IF(IF(NOT(ISNUMBER(D1835)),TRUE,OR(D1835&lt;0,D1835&gt;999999999,ROUND(D1835,3)&lt;&gt;D1835)),"Invalid current reading",IF(AND(E1835&lt;&gt;"",IF(NOT(ISNUMBER(E1835)),TRUE,OR(E1835&lt;0,E1835&gt;999999999,ROUND(E1835,3)&lt;&gt;E1835))),"Invalid previous reading",IF(IF(NOT(ISNUMBER(F1835)),TRUE,OR(F1835&lt;0,F1835&gt;999999999,ROUND(F1835,3)&lt;&gt;F1835)),"Invalid last service",IF(AND(E1835&lt;&gt;"",D1835&lt;E1835),"Decreased reading",IF(F1835&gt;D1835,"Last service above current","")))))))))))))</x:f>
      </x:c>
      <x:c r="L1835" s="6" t="str">
        <x:f>IF(AND(NOT(COUNTA(A1835:F1835)=0),K1835=""),INDEX('Rules'!$C$7:$C$26,MATCH(SUBSTITUTE(SUBSTITUTE(SUBSTITUTE(SUBSTITUTE("type:"&amp;B1835,"%","%25"),"~","%7E"),"*","%2A"),"?","%3F"),'Rules'!$G$7:$G$26,0)),"")</x:f>
      </x:c>
      <x:c r="M1835" s="6" t="str">
        <x:f>IF(AND(NOT(COUNTA(A1835:F1835)=0),K1835=""),INDEX('Rules'!$D$7:$D$26,MATCH(SUBSTITUTE(SUBSTITUTE(SUBSTITUTE(SUBSTITUTE("type:"&amp;B1835,"%","%25"),"~","%7E"),"*","%2A"),"?","%3F"),'Rules'!$G$7:$G$26,0)),"")</x:f>
      </x:c>
      <x:c r="N1835" s="5" t="str">
        <x:f>IF(COUNTA(A1835:F1835)=0,"",SUBSTITUTE(SUBSTITUTE(SUBSTITUTE(SUBSTITUTE("id:"&amp;A1835,"%","%25"),"~","%7E"),"*","%2A"),"?","%3F"))</x:f>
      </x:c>
    </x:row>
    <x:row r="1836" ht="22" customHeight="1">
      <x:c r="A1836" s="3"/>
      <x:c r="B1836" s="3"/>
      <x:c r="C1836" s="3"/>
      <x:c r="D1836" s="4"/>
      <x:c r="E1836" s="4"/>
      <x:c r="F1836" s="4"/>
      <x:c r="G1836" s="5" t="str">
        <x:f>IF(COUNTA(A1836:F1836)=0,"",IF(K1836&lt;&gt;"","Review",IF(I1836&lt;0,"Overdue",IF(I1836=0,"Due now",IF(I1836&lt;=M1836,"Due soon","Not due")))))</x:f>
      </x:c>
      <x:c r="H1836" s="5" t="str">
        <x:f>IF(OR(COUNTA(A1836:F1836)=0,COUNTIFS('Rules'!$G$7:$G$26,"="&amp;(SUBSTITUTE(SUBSTITUTE(SUBSTITUTE(SUBSTITUTE("type:"&amp;B1836,"%","%25"),"~","%7E"),"*","%2A"),"?","%3F")))&lt;&gt;1),"",IF(OR(INDEX('Rules'!$B$7:$B$26,MATCH(SUBSTITUTE(SUBSTITUTE(SUBSTITUTE(SUBSTITUTE("type:"&amp;B1836,"%","%25"),"~","%7E"),"*","%2A"),"?","%3F"),'Rules'!$G$7:$G$26,0))="hours",INDEX('Rules'!$B$7:$B$26,MATCH(SUBSTITUTE(SUBSTITUTE(SUBSTITUTE(SUBSTITUTE("type:"&amp;B1836,"%","%25"),"~","%7E"),"*","%2A"),"?","%3F"),'Rules'!$G$7:$G$26,0))="km"),INDEX('Rules'!$B$7:$B$26,MATCH(SUBSTITUTE(SUBSTITUTE(SUBSTITUTE(SUBSTITUTE("type:"&amp;B1836,"%","%25"),"~","%7E"),"*","%2A"),"?","%3F"),'Rules'!$G$7:$G$26,0)),""))</x:f>
      </x:c>
      <x:c r="I1836" s="6" t="str">
        <x:f>IF(AND(NOT(COUNTA(A1836:F1836)=0),K1836=""),ROUND(J1836-D1836,3),"")</x:f>
      </x:c>
      <x:c r="J1836" s="6" t="str">
        <x:f>IF(AND(NOT(COUNTA(A1836:F1836)=0),K1836=""),ROUND(F1836+L1836,3),"")</x:f>
      </x:c>
      <x:c r="K1836" s="5" t="str">
        <x:f>IF(COUNTA(A1836:F1836)=0,"",IF(A1836="","Missing equipment ID",IF(COUNTIFS($N$8:$N$2007,"="&amp;N1836)&gt;1,"Duplicate equipment ID",IF(B1836="","Missing type",IF(COUNTIFS('Rules'!$G$7:$G$26,"="&amp;(SUBSTITUTE(SUBSTITUTE(SUBSTITUTE(SUBSTITUTE("type:"&amp;B1836,"%","%25"),"~","%7E"),"*","%2A"),"?","%3F")))=0,"Unknown type",IF(COUNTIFS('Rules'!$G$7:$G$26,"="&amp;(SUBSTITUTE(SUBSTITUTE(SUBSTITUTE(SUBSTITUTE("type:"&amp;B1836,"%","%25"),"~","%7E"),"*","%2A"),"?","%3F")))&gt;1,"Duplicate type",IF(INDEX('Rules'!$F$7:$F$26,MATCH(SUBSTITUTE(SUBSTITUTE(SUBSTITUTE(SUBSTITUTE("type:"&amp;B1836,"%","%25"),"~","%7E"),"*","%2A"),"?","%3F"),'Rules'!$G$7:$G$26,0))&lt;&gt;"",INDEX('Rules'!$F$7:$F$26,MATCH(SUBSTITUTE(SUBSTITUTE(SUBSTITUTE(SUBSTITUTE("type:"&amp;B1836,"%","%25"),"~","%7E"),"*","%2A"),"?","%3F"),'Rules'!$G$7:$G$26,0)),IF(AND(C1836&lt;&gt;"",C1836&lt;&gt;INDEX('Rules'!$B$7:$B$26,MATCH(SUBSTITUTE(SUBSTITUTE(SUBSTITUTE(SUBSTITUTE("type:"&amp;B1836,"%","%25"),"~","%7E"),"*","%2A"),"?","%3F"),'Rules'!$G$7:$G$26,0))),"Unit mismatch",IF(IF(NOT(ISNUMBER(D1836)),TRUE,OR(D1836&lt;0,D1836&gt;999999999,ROUND(D1836,3)&lt;&gt;D1836)),"Invalid current reading",IF(AND(E1836&lt;&gt;"",IF(NOT(ISNUMBER(E1836)),TRUE,OR(E1836&lt;0,E1836&gt;999999999,ROUND(E1836,3)&lt;&gt;E1836))),"Invalid previous reading",IF(IF(NOT(ISNUMBER(F1836)),TRUE,OR(F1836&lt;0,F1836&gt;999999999,ROUND(F1836,3)&lt;&gt;F1836)),"Invalid last service",IF(AND(E1836&lt;&gt;"",D1836&lt;E1836),"Decreased reading",IF(F1836&gt;D1836,"Last service above current","")))))))))))))</x:f>
      </x:c>
      <x:c r="L1836" s="6" t="str">
        <x:f>IF(AND(NOT(COUNTA(A1836:F1836)=0),K1836=""),INDEX('Rules'!$C$7:$C$26,MATCH(SUBSTITUTE(SUBSTITUTE(SUBSTITUTE(SUBSTITUTE("type:"&amp;B1836,"%","%25"),"~","%7E"),"*","%2A"),"?","%3F"),'Rules'!$G$7:$G$26,0)),"")</x:f>
      </x:c>
      <x:c r="M1836" s="6" t="str">
        <x:f>IF(AND(NOT(COUNTA(A1836:F1836)=0),K1836=""),INDEX('Rules'!$D$7:$D$26,MATCH(SUBSTITUTE(SUBSTITUTE(SUBSTITUTE(SUBSTITUTE("type:"&amp;B1836,"%","%25"),"~","%7E"),"*","%2A"),"?","%3F"),'Rules'!$G$7:$G$26,0)),"")</x:f>
      </x:c>
      <x:c r="N1836" s="5" t="str">
        <x:f>IF(COUNTA(A1836:F1836)=0,"",SUBSTITUTE(SUBSTITUTE(SUBSTITUTE(SUBSTITUTE("id:"&amp;A1836,"%","%25"),"~","%7E"),"*","%2A"),"?","%3F"))</x:f>
      </x:c>
    </x:row>
    <x:row r="1837" ht="22" customHeight="1">
      <x:c r="A1837" s="3"/>
      <x:c r="B1837" s="3"/>
      <x:c r="C1837" s="3"/>
      <x:c r="D1837" s="4"/>
      <x:c r="E1837" s="4"/>
      <x:c r="F1837" s="4"/>
      <x:c r="G1837" s="5" t="str">
        <x:f>IF(COUNTA(A1837:F1837)=0,"",IF(K1837&lt;&gt;"","Review",IF(I1837&lt;0,"Overdue",IF(I1837=0,"Due now",IF(I1837&lt;=M1837,"Due soon","Not due")))))</x:f>
      </x:c>
      <x:c r="H1837" s="5" t="str">
        <x:f>IF(OR(COUNTA(A1837:F1837)=0,COUNTIFS('Rules'!$G$7:$G$26,"="&amp;(SUBSTITUTE(SUBSTITUTE(SUBSTITUTE(SUBSTITUTE("type:"&amp;B1837,"%","%25"),"~","%7E"),"*","%2A"),"?","%3F")))&lt;&gt;1),"",IF(OR(INDEX('Rules'!$B$7:$B$26,MATCH(SUBSTITUTE(SUBSTITUTE(SUBSTITUTE(SUBSTITUTE("type:"&amp;B1837,"%","%25"),"~","%7E"),"*","%2A"),"?","%3F"),'Rules'!$G$7:$G$26,0))="hours",INDEX('Rules'!$B$7:$B$26,MATCH(SUBSTITUTE(SUBSTITUTE(SUBSTITUTE(SUBSTITUTE("type:"&amp;B1837,"%","%25"),"~","%7E"),"*","%2A"),"?","%3F"),'Rules'!$G$7:$G$26,0))="km"),INDEX('Rules'!$B$7:$B$26,MATCH(SUBSTITUTE(SUBSTITUTE(SUBSTITUTE(SUBSTITUTE("type:"&amp;B1837,"%","%25"),"~","%7E"),"*","%2A"),"?","%3F"),'Rules'!$G$7:$G$26,0)),""))</x:f>
      </x:c>
      <x:c r="I1837" s="6" t="str">
        <x:f>IF(AND(NOT(COUNTA(A1837:F1837)=0),K1837=""),ROUND(J1837-D1837,3),"")</x:f>
      </x:c>
      <x:c r="J1837" s="6" t="str">
        <x:f>IF(AND(NOT(COUNTA(A1837:F1837)=0),K1837=""),ROUND(F1837+L1837,3),"")</x:f>
      </x:c>
      <x:c r="K1837" s="5" t="str">
        <x:f>IF(COUNTA(A1837:F1837)=0,"",IF(A1837="","Missing equipment ID",IF(COUNTIFS($N$8:$N$2007,"="&amp;N1837)&gt;1,"Duplicate equipment ID",IF(B1837="","Missing type",IF(COUNTIFS('Rules'!$G$7:$G$26,"="&amp;(SUBSTITUTE(SUBSTITUTE(SUBSTITUTE(SUBSTITUTE("type:"&amp;B1837,"%","%25"),"~","%7E"),"*","%2A"),"?","%3F")))=0,"Unknown type",IF(COUNTIFS('Rules'!$G$7:$G$26,"="&amp;(SUBSTITUTE(SUBSTITUTE(SUBSTITUTE(SUBSTITUTE("type:"&amp;B1837,"%","%25"),"~","%7E"),"*","%2A"),"?","%3F")))&gt;1,"Duplicate type",IF(INDEX('Rules'!$F$7:$F$26,MATCH(SUBSTITUTE(SUBSTITUTE(SUBSTITUTE(SUBSTITUTE("type:"&amp;B1837,"%","%25"),"~","%7E"),"*","%2A"),"?","%3F"),'Rules'!$G$7:$G$26,0))&lt;&gt;"",INDEX('Rules'!$F$7:$F$26,MATCH(SUBSTITUTE(SUBSTITUTE(SUBSTITUTE(SUBSTITUTE("type:"&amp;B1837,"%","%25"),"~","%7E"),"*","%2A"),"?","%3F"),'Rules'!$G$7:$G$26,0)),IF(AND(C1837&lt;&gt;"",C1837&lt;&gt;INDEX('Rules'!$B$7:$B$26,MATCH(SUBSTITUTE(SUBSTITUTE(SUBSTITUTE(SUBSTITUTE("type:"&amp;B1837,"%","%25"),"~","%7E"),"*","%2A"),"?","%3F"),'Rules'!$G$7:$G$26,0))),"Unit mismatch",IF(IF(NOT(ISNUMBER(D1837)),TRUE,OR(D1837&lt;0,D1837&gt;999999999,ROUND(D1837,3)&lt;&gt;D1837)),"Invalid current reading",IF(AND(E1837&lt;&gt;"",IF(NOT(ISNUMBER(E1837)),TRUE,OR(E1837&lt;0,E1837&gt;999999999,ROUND(E1837,3)&lt;&gt;E1837))),"Invalid previous reading",IF(IF(NOT(ISNUMBER(F1837)),TRUE,OR(F1837&lt;0,F1837&gt;999999999,ROUND(F1837,3)&lt;&gt;F1837)),"Invalid last service",IF(AND(E1837&lt;&gt;"",D1837&lt;E1837),"Decreased reading",IF(F1837&gt;D1837,"Last service above current","")))))))))))))</x:f>
      </x:c>
      <x:c r="L1837" s="6" t="str">
        <x:f>IF(AND(NOT(COUNTA(A1837:F1837)=0),K1837=""),INDEX('Rules'!$C$7:$C$26,MATCH(SUBSTITUTE(SUBSTITUTE(SUBSTITUTE(SUBSTITUTE("type:"&amp;B1837,"%","%25"),"~","%7E"),"*","%2A"),"?","%3F"),'Rules'!$G$7:$G$26,0)),"")</x:f>
      </x:c>
      <x:c r="M1837" s="6" t="str">
        <x:f>IF(AND(NOT(COUNTA(A1837:F1837)=0),K1837=""),INDEX('Rules'!$D$7:$D$26,MATCH(SUBSTITUTE(SUBSTITUTE(SUBSTITUTE(SUBSTITUTE("type:"&amp;B1837,"%","%25"),"~","%7E"),"*","%2A"),"?","%3F"),'Rules'!$G$7:$G$26,0)),"")</x:f>
      </x:c>
      <x:c r="N1837" s="5" t="str">
        <x:f>IF(COUNTA(A1837:F1837)=0,"",SUBSTITUTE(SUBSTITUTE(SUBSTITUTE(SUBSTITUTE("id:"&amp;A1837,"%","%25"),"~","%7E"),"*","%2A"),"?","%3F"))</x:f>
      </x:c>
    </x:row>
    <x:row r="1838" ht="22" customHeight="1">
      <x:c r="A1838" s="3"/>
      <x:c r="B1838" s="3"/>
      <x:c r="C1838" s="3"/>
      <x:c r="D1838" s="4"/>
      <x:c r="E1838" s="4"/>
      <x:c r="F1838" s="4"/>
      <x:c r="G1838" s="5" t="str">
        <x:f>IF(COUNTA(A1838:F1838)=0,"",IF(K1838&lt;&gt;"","Review",IF(I1838&lt;0,"Overdue",IF(I1838=0,"Due now",IF(I1838&lt;=M1838,"Due soon","Not due")))))</x:f>
      </x:c>
      <x:c r="H1838" s="5" t="str">
        <x:f>IF(OR(COUNTA(A1838:F1838)=0,COUNTIFS('Rules'!$G$7:$G$26,"="&amp;(SUBSTITUTE(SUBSTITUTE(SUBSTITUTE(SUBSTITUTE("type:"&amp;B1838,"%","%25"),"~","%7E"),"*","%2A"),"?","%3F")))&lt;&gt;1),"",IF(OR(INDEX('Rules'!$B$7:$B$26,MATCH(SUBSTITUTE(SUBSTITUTE(SUBSTITUTE(SUBSTITUTE("type:"&amp;B1838,"%","%25"),"~","%7E"),"*","%2A"),"?","%3F"),'Rules'!$G$7:$G$26,0))="hours",INDEX('Rules'!$B$7:$B$26,MATCH(SUBSTITUTE(SUBSTITUTE(SUBSTITUTE(SUBSTITUTE("type:"&amp;B1838,"%","%25"),"~","%7E"),"*","%2A"),"?","%3F"),'Rules'!$G$7:$G$26,0))="km"),INDEX('Rules'!$B$7:$B$26,MATCH(SUBSTITUTE(SUBSTITUTE(SUBSTITUTE(SUBSTITUTE("type:"&amp;B1838,"%","%25"),"~","%7E"),"*","%2A"),"?","%3F"),'Rules'!$G$7:$G$26,0)),""))</x:f>
      </x:c>
      <x:c r="I1838" s="6" t="str">
        <x:f>IF(AND(NOT(COUNTA(A1838:F1838)=0),K1838=""),ROUND(J1838-D1838,3),"")</x:f>
      </x:c>
      <x:c r="J1838" s="6" t="str">
        <x:f>IF(AND(NOT(COUNTA(A1838:F1838)=0),K1838=""),ROUND(F1838+L1838,3),"")</x:f>
      </x:c>
      <x:c r="K1838" s="5" t="str">
        <x:f>IF(COUNTA(A1838:F1838)=0,"",IF(A1838="","Missing equipment ID",IF(COUNTIFS($N$8:$N$2007,"="&amp;N1838)&gt;1,"Duplicate equipment ID",IF(B1838="","Missing type",IF(COUNTIFS('Rules'!$G$7:$G$26,"="&amp;(SUBSTITUTE(SUBSTITUTE(SUBSTITUTE(SUBSTITUTE("type:"&amp;B1838,"%","%25"),"~","%7E"),"*","%2A"),"?","%3F")))=0,"Unknown type",IF(COUNTIFS('Rules'!$G$7:$G$26,"="&amp;(SUBSTITUTE(SUBSTITUTE(SUBSTITUTE(SUBSTITUTE("type:"&amp;B1838,"%","%25"),"~","%7E"),"*","%2A"),"?","%3F")))&gt;1,"Duplicate type",IF(INDEX('Rules'!$F$7:$F$26,MATCH(SUBSTITUTE(SUBSTITUTE(SUBSTITUTE(SUBSTITUTE("type:"&amp;B1838,"%","%25"),"~","%7E"),"*","%2A"),"?","%3F"),'Rules'!$G$7:$G$26,0))&lt;&gt;"",INDEX('Rules'!$F$7:$F$26,MATCH(SUBSTITUTE(SUBSTITUTE(SUBSTITUTE(SUBSTITUTE("type:"&amp;B1838,"%","%25"),"~","%7E"),"*","%2A"),"?","%3F"),'Rules'!$G$7:$G$26,0)),IF(AND(C1838&lt;&gt;"",C1838&lt;&gt;INDEX('Rules'!$B$7:$B$26,MATCH(SUBSTITUTE(SUBSTITUTE(SUBSTITUTE(SUBSTITUTE("type:"&amp;B1838,"%","%25"),"~","%7E"),"*","%2A"),"?","%3F"),'Rules'!$G$7:$G$26,0))),"Unit mismatch",IF(IF(NOT(ISNUMBER(D1838)),TRUE,OR(D1838&lt;0,D1838&gt;999999999,ROUND(D1838,3)&lt;&gt;D1838)),"Invalid current reading",IF(AND(E1838&lt;&gt;"",IF(NOT(ISNUMBER(E1838)),TRUE,OR(E1838&lt;0,E1838&gt;999999999,ROUND(E1838,3)&lt;&gt;E1838))),"Invalid previous reading",IF(IF(NOT(ISNUMBER(F1838)),TRUE,OR(F1838&lt;0,F1838&gt;999999999,ROUND(F1838,3)&lt;&gt;F1838)),"Invalid last service",IF(AND(E1838&lt;&gt;"",D1838&lt;E1838),"Decreased reading",IF(F1838&gt;D1838,"Last service above current","")))))))))))))</x:f>
      </x:c>
      <x:c r="L1838" s="6" t="str">
        <x:f>IF(AND(NOT(COUNTA(A1838:F1838)=0),K1838=""),INDEX('Rules'!$C$7:$C$26,MATCH(SUBSTITUTE(SUBSTITUTE(SUBSTITUTE(SUBSTITUTE("type:"&amp;B1838,"%","%25"),"~","%7E"),"*","%2A"),"?","%3F"),'Rules'!$G$7:$G$26,0)),"")</x:f>
      </x:c>
      <x:c r="M1838" s="6" t="str">
        <x:f>IF(AND(NOT(COUNTA(A1838:F1838)=0),K1838=""),INDEX('Rules'!$D$7:$D$26,MATCH(SUBSTITUTE(SUBSTITUTE(SUBSTITUTE(SUBSTITUTE("type:"&amp;B1838,"%","%25"),"~","%7E"),"*","%2A"),"?","%3F"),'Rules'!$G$7:$G$26,0)),"")</x:f>
      </x:c>
      <x:c r="N1838" s="5" t="str">
        <x:f>IF(COUNTA(A1838:F1838)=0,"",SUBSTITUTE(SUBSTITUTE(SUBSTITUTE(SUBSTITUTE("id:"&amp;A1838,"%","%25"),"~","%7E"),"*","%2A"),"?","%3F"))</x:f>
      </x:c>
    </x:row>
    <x:row r="1839" ht="22" customHeight="1">
      <x:c r="A1839" s="3"/>
      <x:c r="B1839" s="3"/>
      <x:c r="C1839" s="3"/>
      <x:c r="D1839" s="4"/>
      <x:c r="E1839" s="4"/>
      <x:c r="F1839" s="4"/>
      <x:c r="G1839" s="5" t="str">
        <x:f>IF(COUNTA(A1839:F1839)=0,"",IF(K1839&lt;&gt;"","Review",IF(I1839&lt;0,"Overdue",IF(I1839=0,"Due now",IF(I1839&lt;=M1839,"Due soon","Not due")))))</x:f>
      </x:c>
      <x:c r="H1839" s="5" t="str">
        <x:f>IF(OR(COUNTA(A1839:F1839)=0,COUNTIFS('Rules'!$G$7:$G$26,"="&amp;(SUBSTITUTE(SUBSTITUTE(SUBSTITUTE(SUBSTITUTE("type:"&amp;B1839,"%","%25"),"~","%7E"),"*","%2A"),"?","%3F")))&lt;&gt;1),"",IF(OR(INDEX('Rules'!$B$7:$B$26,MATCH(SUBSTITUTE(SUBSTITUTE(SUBSTITUTE(SUBSTITUTE("type:"&amp;B1839,"%","%25"),"~","%7E"),"*","%2A"),"?","%3F"),'Rules'!$G$7:$G$26,0))="hours",INDEX('Rules'!$B$7:$B$26,MATCH(SUBSTITUTE(SUBSTITUTE(SUBSTITUTE(SUBSTITUTE("type:"&amp;B1839,"%","%25"),"~","%7E"),"*","%2A"),"?","%3F"),'Rules'!$G$7:$G$26,0))="km"),INDEX('Rules'!$B$7:$B$26,MATCH(SUBSTITUTE(SUBSTITUTE(SUBSTITUTE(SUBSTITUTE("type:"&amp;B1839,"%","%25"),"~","%7E"),"*","%2A"),"?","%3F"),'Rules'!$G$7:$G$26,0)),""))</x:f>
      </x:c>
      <x:c r="I1839" s="6" t="str">
        <x:f>IF(AND(NOT(COUNTA(A1839:F1839)=0),K1839=""),ROUND(J1839-D1839,3),"")</x:f>
      </x:c>
      <x:c r="J1839" s="6" t="str">
        <x:f>IF(AND(NOT(COUNTA(A1839:F1839)=0),K1839=""),ROUND(F1839+L1839,3),"")</x:f>
      </x:c>
      <x:c r="K1839" s="5" t="str">
        <x:f>IF(COUNTA(A1839:F1839)=0,"",IF(A1839="","Missing equipment ID",IF(COUNTIFS($N$8:$N$2007,"="&amp;N1839)&gt;1,"Duplicate equipment ID",IF(B1839="","Missing type",IF(COUNTIFS('Rules'!$G$7:$G$26,"="&amp;(SUBSTITUTE(SUBSTITUTE(SUBSTITUTE(SUBSTITUTE("type:"&amp;B1839,"%","%25"),"~","%7E"),"*","%2A"),"?","%3F")))=0,"Unknown type",IF(COUNTIFS('Rules'!$G$7:$G$26,"="&amp;(SUBSTITUTE(SUBSTITUTE(SUBSTITUTE(SUBSTITUTE("type:"&amp;B1839,"%","%25"),"~","%7E"),"*","%2A"),"?","%3F")))&gt;1,"Duplicate type",IF(INDEX('Rules'!$F$7:$F$26,MATCH(SUBSTITUTE(SUBSTITUTE(SUBSTITUTE(SUBSTITUTE("type:"&amp;B1839,"%","%25"),"~","%7E"),"*","%2A"),"?","%3F"),'Rules'!$G$7:$G$26,0))&lt;&gt;"",INDEX('Rules'!$F$7:$F$26,MATCH(SUBSTITUTE(SUBSTITUTE(SUBSTITUTE(SUBSTITUTE("type:"&amp;B1839,"%","%25"),"~","%7E"),"*","%2A"),"?","%3F"),'Rules'!$G$7:$G$26,0)),IF(AND(C1839&lt;&gt;"",C1839&lt;&gt;INDEX('Rules'!$B$7:$B$26,MATCH(SUBSTITUTE(SUBSTITUTE(SUBSTITUTE(SUBSTITUTE("type:"&amp;B1839,"%","%25"),"~","%7E"),"*","%2A"),"?","%3F"),'Rules'!$G$7:$G$26,0))),"Unit mismatch",IF(IF(NOT(ISNUMBER(D1839)),TRUE,OR(D1839&lt;0,D1839&gt;999999999,ROUND(D1839,3)&lt;&gt;D1839)),"Invalid current reading",IF(AND(E1839&lt;&gt;"",IF(NOT(ISNUMBER(E1839)),TRUE,OR(E1839&lt;0,E1839&gt;999999999,ROUND(E1839,3)&lt;&gt;E1839))),"Invalid previous reading",IF(IF(NOT(ISNUMBER(F1839)),TRUE,OR(F1839&lt;0,F1839&gt;999999999,ROUND(F1839,3)&lt;&gt;F1839)),"Invalid last service",IF(AND(E1839&lt;&gt;"",D1839&lt;E1839),"Decreased reading",IF(F1839&gt;D1839,"Last service above current","")))))))))))))</x:f>
      </x:c>
      <x:c r="L1839" s="6" t="str">
        <x:f>IF(AND(NOT(COUNTA(A1839:F1839)=0),K1839=""),INDEX('Rules'!$C$7:$C$26,MATCH(SUBSTITUTE(SUBSTITUTE(SUBSTITUTE(SUBSTITUTE("type:"&amp;B1839,"%","%25"),"~","%7E"),"*","%2A"),"?","%3F"),'Rules'!$G$7:$G$26,0)),"")</x:f>
      </x:c>
      <x:c r="M1839" s="6" t="str">
        <x:f>IF(AND(NOT(COUNTA(A1839:F1839)=0),K1839=""),INDEX('Rules'!$D$7:$D$26,MATCH(SUBSTITUTE(SUBSTITUTE(SUBSTITUTE(SUBSTITUTE("type:"&amp;B1839,"%","%25"),"~","%7E"),"*","%2A"),"?","%3F"),'Rules'!$G$7:$G$26,0)),"")</x:f>
      </x:c>
      <x:c r="N1839" s="5" t="str">
        <x:f>IF(COUNTA(A1839:F1839)=0,"",SUBSTITUTE(SUBSTITUTE(SUBSTITUTE(SUBSTITUTE("id:"&amp;A1839,"%","%25"),"~","%7E"),"*","%2A"),"?","%3F"))</x:f>
      </x:c>
    </x:row>
    <x:row r="1840" ht="22" customHeight="1">
      <x:c r="A1840" s="3"/>
      <x:c r="B1840" s="3"/>
      <x:c r="C1840" s="3"/>
      <x:c r="D1840" s="4"/>
      <x:c r="E1840" s="4"/>
      <x:c r="F1840" s="4"/>
      <x:c r="G1840" s="5" t="str">
        <x:f>IF(COUNTA(A1840:F1840)=0,"",IF(K1840&lt;&gt;"","Review",IF(I1840&lt;0,"Overdue",IF(I1840=0,"Due now",IF(I1840&lt;=M1840,"Due soon","Not due")))))</x:f>
      </x:c>
      <x:c r="H1840" s="5" t="str">
        <x:f>IF(OR(COUNTA(A1840:F1840)=0,COUNTIFS('Rules'!$G$7:$G$26,"="&amp;(SUBSTITUTE(SUBSTITUTE(SUBSTITUTE(SUBSTITUTE("type:"&amp;B1840,"%","%25"),"~","%7E"),"*","%2A"),"?","%3F")))&lt;&gt;1),"",IF(OR(INDEX('Rules'!$B$7:$B$26,MATCH(SUBSTITUTE(SUBSTITUTE(SUBSTITUTE(SUBSTITUTE("type:"&amp;B1840,"%","%25"),"~","%7E"),"*","%2A"),"?","%3F"),'Rules'!$G$7:$G$26,0))="hours",INDEX('Rules'!$B$7:$B$26,MATCH(SUBSTITUTE(SUBSTITUTE(SUBSTITUTE(SUBSTITUTE("type:"&amp;B1840,"%","%25"),"~","%7E"),"*","%2A"),"?","%3F"),'Rules'!$G$7:$G$26,0))="km"),INDEX('Rules'!$B$7:$B$26,MATCH(SUBSTITUTE(SUBSTITUTE(SUBSTITUTE(SUBSTITUTE("type:"&amp;B1840,"%","%25"),"~","%7E"),"*","%2A"),"?","%3F"),'Rules'!$G$7:$G$26,0)),""))</x:f>
      </x:c>
      <x:c r="I1840" s="6" t="str">
        <x:f>IF(AND(NOT(COUNTA(A1840:F1840)=0),K1840=""),ROUND(J1840-D1840,3),"")</x:f>
      </x:c>
      <x:c r="J1840" s="6" t="str">
        <x:f>IF(AND(NOT(COUNTA(A1840:F1840)=0),K1840=""),ROUND(F1840+L1840,3),"")</x:f>
      </x:c>
      <x:c r="K1840" s="5" t="str">
        <x:f>IF(COUNTA(A1840:F1840)=0,"",IF(A1840="","Missing equipment ID",IF(COUNTIFS($N$8:$N$2007,"="&amp;N1840)&gt;1,"Duplicate equipment ID",IF(B1840="","Missing type",IF(COUNTIFS('Rules'!$G$7:$G$26,"="&amp;(SUBSTITUTE(SUBSTITUTE(SUBSTITUTE(SUBSTITUTE("type:"&amp;B1840,"%","%25"),"~","%7E"),"*","%2A"),"?","%3F")))=0,"Unknown type",IF(COUNTIFS('Rules'!$G$7:$G$26,"="&amp;(SUBSTITUTE(SUBSTITUTE(SUBSTITUTE(SUBSTITUTE("type:"&amp;B1840,"%","%25"),"~","%7E"),"*","%2A"),"?","%3F")))&gt;1,"Duplicate type",IF(INDEX('Rules'!$F$7:$F$26,MATCH(SUBSTITUTE(SUBSTITUTE(SUBSTITUTE(SUBSTITUTE("type:"&amp;B1840,"%","%25"),"~","%7E"),"*","%2A"),"?","%3F"),'Rules'!$G$7:$G$26,0))&lt;&gt;"",INDEX('Rules'!$F$7:$F$26,MATCH(SUBSTITUTE(SUBSTITUTE(SUBSTITUTE(SUBSTITUTE("type:"&amp;B1840,"%","%25"),"~","%7E"),"*","%2A"),"?","%3F"),'Rules'!$G$7:$G$26,0)),IF(AND(C1840&lt;&gt;"",C1840&lt;&gt;INDEX('Rules'!$B$7:$B$26,MATCH(SUBSTITUTE(SUBSTITUTE(SUBSTITUTE(SUBSTITUTE("type:"&amp;B1840,"%","%25"),"~","%7E"),"*","%2A"),"?","%3F"),'Rules'!$G$7:$G$26,0))),"Unit mismatch",IF(IF(NOT(ISNUMBER(D1840)),TRUE,OR(D1840&lt;0,D1840&gt;999999999,ROUND(D1840,3)&lt;&gt;D1840)),"Invalid current reading",IF(AND(E1840&lt;&gt;"",IF(NOT(ISNUMBER(E1840)),TRUE,OR(E1840&lt;0,E1840&gt;999999999,ROUND(E1840,3)&lt;&gt;E1840))),"Invalid previous reading",IF(IF(NOT(ISNUMBER(F1840)),TRUE,OR(F1840&lt;0,F1840&gt;999999999,ROUND(F1840,3)&lt;&gt;F1840)),"Invalid last service",IF(AND(E1840&lt;&gt;"",D1840&lt;E1840),"Decreased reading",IF(F1840&gt;D1840,"Last service above current","")))))))))))))</x:f>
      </x:c>
      <x:c r="L1840" s="6" t="str">
        <x:f>IF(AND(NOT(COUNTA(A1840:F1840)=0),K1840=""),INDEX('Rules'!$C$7:$C$26,MATCH(SUBSTITUTE(SUBSTITUTE(SUBSTITUTE(SUBSTITUTE("type:"&amp;B1840,"%","%25"),"~","%7E"),"*","%2A"),"?","%3F"),'Rules'!$G$7:$G$26,0)),"")</x:f>
      </x:c>
      <x:c r="M1840" s="6" t="str">
        <x:f>IF(AND(NOT(COUNTA(A1840:F1840)=0),K1840=""),INDEX('Rules'!$D$7:$D$26,MATCH(SUBSTITUTE(SUBSTITUTE(SUBSTITUTE(SUBSTITUTE("type:"&amp;B1840,"%","%25"),"~","%7E"),"*","%2A"),"?","%3F"),'Rules'!$G$7:$G$26,0)),"")</x:f>
      </x:c>
      <x:c r="N1840" s="5" t="str">
        <x:f>IF(COUNTA(A1840:F1840)=0,"",SUBSTITUTE(SUBSTITUTE(SUBSTITUTE(SUBSTITUTE("id:"&amp;A1840,"%","%25"),"~","%7E"),"*","%2A"),"?","%3F"))</x:f>
      </x:c>
    </x:row>
    <x:row r="1841" ht="22" customHeight="1">
      <x:c r="A1841" s="3"/>
      <x:c r="B1841" s="3"/>
      <x:c r="C1841" s="3"/>
      <x:c r="D1841" s="4"/>
      <x:c r="E1841" s="4"/>
      <x:c r="F1841" s="4"/>
      <x:c r="G1841" s="5" t="str">
        <x:f>IF(COUNTA(A1841:F1841)=0,"",IF(K1841&lt;&gt;"","Review",IF(I1841&lt;0,"Overdue",IF(I1841=0,"Due now",IF(I1841&lt;=M1841,"Due soon","Not due")))))</x:f>
      </x:c>
      <x:c r="H1841" s="5" t="str">
        <x:f>IF(OR(COUNTA(A1841:F1841)=0,COUNTIFS('Rules'!$G$7:$G$26,"="&amp;(SUBSTITUTE(SUBSTITUTE(SUBSTITUTE(SUBSTITUTE("type:"&amp;B1841,"%","%25"),"~","%7E"),"*","%2A"),"?","%3F")))&lt;&gt;1),"",IF(OR(INDEX('Rules'!$B$7:$B$26,MATCH(SUBSTITUTE(SUBSTITUTE(SUBSTITUTE(SUBSTITUTE("type:"&amp;B1841,"%","%25"),"~","%7E"),"*","%2A"),"?","%3F"),'Rules'!$G$7:$G$26,0))="hours",INDEX('Rules'!$B$7:$B$26,MATCH(SUBSTITUTE(SUBSTITUTE(SUBSTITUTE(SUBSTITUTE("type:"&amp;B1841,"%","%25"),"~","%7E"),"*","%2A"),"?","%3F"),'Rules'!$G$7:$G$26,0))="km"),INDEX('Rules'!$B$7:$B$26,MATCH(SUBSTITUTE(SUBSTITUTE(SUBSTITUTE(SUBSTITUTE("type:"&amp;B1841,"%","%25"),"~","%7E"),"*","%2A"),"?","%3F"),'Rules'!$G$7:$G$26,0)),""))</x:f>
      </x:c>
      <x:c r="I1841" s="6" t="str">
        <x:f>IF(AND(NOT(COUNTA(A1841:F1841)=0),K1841=""),ROUND(J1841-D1841,3),"")</x:f>
      </x:c>
      <x:c r="J1841" s="6" t="str">
        <x:f>IF(AND(NOT(COUNTA(A1841:F1841)=0),K1841=""),ROUND(F1841+L1841,3),"")</x:f>
      </x:c>
      <x:c r="K1841" s="5" t="str">
        <x:f>IF(COUNTA(A1841:F1841)=0,"",IF(A1841="","Missing equipment ID",IF(COUNTIFS($N$8:$N$2007,"="&amp;N1841)&gt;1,"Duplicate equipment ID",IF(B1841="","Missing type",IF(COUNTIFS('Rules'!$G$7:$G$26,"="&amp;(SUBSTITUTE(SUBSTITUTE(SUBSTITUTE(SUBSTITUTE("type:"&amp;B1841,"%","%25"),"~","%7E"),"*","%2A"),"?","%3F")))=0,"Unknown type",IF(COUNTIFS('Rules'!$G$7:$G$26,"="&amp;(SUBSTITUTE(SUBSTITUTE(SUBSTITUTE(SUBSTITUTE("type:"&amp;B1841,"%","%25"),"~","%7E"),"*","%2A"),"?","%3F")))&gt;1,"Duplicate type",IF(INDEX('Rules'!$F$7:$F$26,MATCH(SUBSTITUTE(SUBSTITUTE(SUBSTITUTE(SUBSTITUTE("type:"&amp;B1841,"%","%25"),"~","%7E"),"*","%2A"),"?","%3F"),'Rules'!$G$7:$G$26,0))&lt;&gt;"",INDEX('Rules'!$F$7:$F$26,MATCH(SUBSTITUTE(SUBSTITUTE(SUBSTITUTE(SUBSTITUTE("type:"&amp;B1841,"%","%25"),"~","%7E"),"*","%2A"),"?","%3F"),'Rules'!$G$7:$G$26,0)),IF(AND(C1841&lt;&gt;"",C1841&lt;&gt;INDEX('Rules'!$B$7:$B$26,MATCH(SUBSTITUTE(SUBSTITUTE(SUBSTITUTE(SUBSTITUTE("type:"&amp;B1841,"%","%25"),"~","%7E"),"*","%2A"),"?","%3F"),'Rules'!$G$7:$G$26,0))),"Unit mismatch",IF(IF(NOT(ISNUMBER(D1841)),TRUE,OR(D1841&lt;0,D1841&gt;999999999,ROUND(D1841,3)&lt;&gt;D1841)),"Invalid current reading",IF(AND(E1841&lt;&gt;"",IF(NOT(ISNUMBER(E1841)),TRUE,OR(E1841&lt;0,E1841&gt;999999999,ROUND(E1841,3)&lt;&gt;E1841))),"Invalid previous reading",IF(IF(NOT(ISNUMBER(F1841)),TRUE,OR(F1841&lt;0,F1841&gt;999999999,ROUND(F1841,3)&lt;&gt;F1841)),"Invalid last service",IF(AND(E1841&lt;&gt;"",D1841&lt;E1841),"Decreased reading",IF(F1841&gt;D1841,"Last service above current","")))))))))))))</x:f>
      </x:c>
      <x:c r="L1841" s="6" t="str">
        <x:f>IF(AND(NOT(COUNTA(A1841:F1841)=0),K1841=""),INDEX('Rules'!$C$7:$C$26,MATCH(SUBSTITUTE(SUBSTITUTE(SUBSTITUTE(SUBSTITUTE("type:"&amp;B1841,"%","%25"),"~","%7E"),"*","%2A"),"?","%3F"),'Rules'!$G$7:$G$26,0)),"")</x:f>
      </x:c>
      <x:c r="M1841" s="6" t="str">
        <x:f>IF(AND(NOT(COUNTA(A1841:F1841)=0),K1841=""),INDEX('Rules'!$D$7:$D$26,MATCH(SUBSTITUTE(SUBSTITUTE(SUBSTITUTE(SUBSTITUTE("type:"&amp;B1841,"%","%25"),"~","%7E"),"*","%2A"),"?","%3F"),'Rules'!$G$7:$G$26,0)),"")</x:f>
      </x:c>
      <x:c r="N1841" s="5" t="str">
        <x:f>IF(COUNTA(A1841:F1841)=0,"",SUBSTITUTE(SUBSTITUTE(SUBSTITUTE(SUBSTITUTE("id:"&amp;A1841,"%","%25"),"~","%7E"),"*","%2A"),"?","%3F"))</x:f>
      </x:c>
    </x:row>
    <x:row r="1842" ht="22" customHeight="1">
      <x:c r="A1842" s="3"/>
      <x:c r="B1842" s="3"/>
      <x:c r="C1842" s="3"/>
      <x:c r="D1842" s="4"/>
      <x:c r="E1842" s="4"/>
      <x:c r="F1842" s="4"/>
      <x:c r="G1842" s="5" t="str">
        <x:f>IF(COUNTA(A1842:F1842)=0,"",IF(K1842&lt;&gt;"","Review",IF(I1842&lt;0,"Overdue",IF(I1842=0,"Due now",IF(I1842&lt;=M1842,"Due soon","Not due")))))</x:f>
      </x:c>
      <x:c r="H1842" s="5" t="str">
        <x:f>IF(OR(COUNTA(A1842:F1842)=0,COUNTIFS('Rules'!$G$7:$G$26,"="&amp;(SUBSTITUTE(SUBSTITUTE(SUBSTITUTE(SUBSTITUTE("type:"&amp;B1842,"%","%25"),"~","%7E"),"*","%2A"),"?","%3F")))&lt;&gt;1),"",IF(OR(INDEX('Rules'!$B$7:$B$26,MATCH(SUBSTITUTE(SUBSTITUTE(SUBSTITUTE(SUBSTITUTE("type:"&amp;B1842,"%","%25"),"~","%7E"),"*","%2A"),"?","%3F"),'Rules'!$G$7:$G$26,0))="hours",INDEX('Rules'!$B$7:$B$26,MATCH(SUBSTITUTE(SUBSTITUTE(SUBSTITUTE(SUBSTITUTE("type:"&amp;B1842,"%","%25"),"~","%7E"),"*","%2A"),"?","%3F"),'Rules'!$G$7:$G$26,0))="km"),INDEX('Rules'!$B$7:$B$26,MATCH(SUBSTITUTE(SUBSTITUTE(SUBSTITUTE(SUBSTITUTE("type:"&amp;B1842,"%","%25"),"~","%7E"),"*","%2A"),"?","%3F"),'Rules'!$G$7:$G$26,0)),""))</x:f>
      </x:c>
      <x:c r="I1842" s="6" t="str">
        <x:f>IF(AND(NOT(COUNTA(A1842:F1842)=0),K1842=""),ROUND(J1842-D1842,3),"")</x:f>
      </x:c>
      <x:c r="J1842" s="6" t="str">
        <x:f>IF(AND(NOT(COUNTA(A1842:F1842)=0),K1842=""),ROUND(F1842+L1842,3),"")</x:f>
      </x:c>
      <x:c r="K1842" s="5" t="str">
        <x:f>IF(COUNTA(A1842:F1842)=0,"",IF(A1842="","Missing equipment ID",IF(COUNTIFS($N$8:$N$2007,"="&amp;N1842)&gt;1,"Duplicate equipment ID",IF(B1842="","Missing type",IF(COUNTIFS('Rules'!$G$7:$G$26,"="&amp;(SUBSTITUTE(SUBSTITUTE(SUBSTITUTE(SUBSTITUTE("type:"&amp;B1842,"%","%25"),"~","%7E"),"*","%2A"),"?","%3F")))=0,"Unknown type",IF(COUNTIFS('Rules'!$G$7:$G$26,"="&amp;(SUBSTITUTE(SUBSTITUTE(SUBSTITUTE(SUBSTITUTE("type:"&amp;B1842,"%","%25"),"~","%7E"),"*","%2A"),"?","%3F")))&gt;1,"Duplicate type",IF(INDEX('Rules'!$F$7:$F$26,MATCH(SUBSTITUTE(SUBSTITUTE(SUBSTITUTE(SUBSTITUTE("type:"&amp;B1842,"%","%25"),"~","%7E"),"*","%2A"),"?","%3F"),'Rules'!$G$7:$G$26,0))&lt;&gt;"",INDEX('Rules'!$F$7:$F$26,MATCH(SUBSTITUTE(SUBSTITUTE(SUBSTITUTE(SUBSTITUTE("type:"&amp;B1842,"%","%25"),"~","%7E"),"*","%2A"),"?","%3F"),'Rules'!$G$7:$G$26,0)),IF(AND(C1842&lt;&gt;"",C1842&lt;&gt;INDEX('Rules'!$B$7:$B$26,MATCH(SUBSTITUTE(SUBSTITUTE(SUBSTITUTE(SUBSTITUTE("type:"&amp;B1842,"%","%25"),"~","%7E"),"*","%2A"),"?","%3F"),'Rules'!$G$7:$G$26,0))),"Unit mismatch",IF(IF(NOT(ISNUMBER(D1842)),TRUE,OR(D1842&lt;0,D1842&gt;999999999,ROUND(D1842,3)&lt;&gt;D1842)),"Invalid current reading",IF(AND(E1842&lt;&gt;"",IF(NOT(ISNUMBER(E1842)),TRUE,OR(E1842&lt;0,E1842&gt;999999999,ROUND(E1842,3)&lt;&gt;E1842))),"Invalid previous reading",IF(IF(NOT(ISNUMBER(F1842)),TRUE,OR(F1842&lt;0,F1842&gt;999999999,ROUND(F1842,3)&lt;&gt;F1842)),"Invalid last service",IF(AND(E1842&lt;&gt;"",D1842&lt;E1842),"Decreased reading",IF(F1842&gt;D1842,"Last service above current","")))))))))))))</x:f>
      </x:c>
      <x:c r="L1842" s="6" t="str">
        <x:f>IF(AND(NOT(COUNTA(A1842:F1842)=0),K1842=""),INDEX('Rules'!$C$7:$C$26,MATCH(SUBSTITUTE(SUBSTITUTE(SUBSTITUTE(SUBSTITUTE("type:"&amp;B1842,"%","%25"),"~","%7E"),"*","%2A"),"?","%3F"),'Rules'!$G$7:$G$26,0)),"")</x:f>
      </x:c>
      <x:c r="M1842" s="6" t="str">
        <x:f>IF(AND(NOT(COUNTA(A1842:F1842)=0),K1842=""),INDEX('Rules'!$D$7:$D$26,MATCH(SUBSTITUTE(SUBSTITUTE(SUBSTITUTE(SUBSTITUTE("type:"&amp;B1842,"%","%25"),"~","%7E"),"*","%2A"),"?","%3F"),'Rules'!$G$7:$G$26,0)),"")</x:f>
      </x:c>
      <x:c r="N1842" s="5" t="str">
        <x:f>IF(COUNTA(A1842:F1842)=0,"",SUBSTITUTE(SUBSTITUTE(SUBSTITUTE(SUBSTITUTE("id:"&amp;A1842,"%","%25"),"~","%7E"),"*","%2A"),"?","%3F"))</x:f>
      </x:c>
    </x:row>
    <x:row r="1843" ht="22" customHeight="1">
      <x:c r="A1843" s="3"/>
      <x:c r="B1843" s="3"/>
      <x:c r="C1843" s="3"/>
      <x:c r="D1843" s="4"/>
      <x:c r="E1843" s="4"/>
      <x:c r="F1843" s="4"/>
      <x:c r="G1843" s="5" t="str">
        <x:f>IF(COUNTA(A1843:F1843)=0,"",IF(K1843&lt;&gt;"","Review",IF(I1843&lt;0,"Overdue",IF(I1843=0,"Due now",IF(I1843&lt;=M1843,"Due soon","Not due")))))</x:f>
      </x:c>
      <x:c r="H1843" s="5" t="str">
        <x:f>IF(OR(COUNTA(A1843:F1843)=0,COUNTIFS('Rules'!$G$7:$G$26,"="&amp;(SUBSTITUTE(SUBSTITUTE(SUBSTITUTE(SUBSTITUTE("type:"&amp;B1843,"%","%25"),"~","%7E"),"*","%2A"),"?","%3F")))&lt;&gt;1),"",IF(OR(INDEX('Rules'!$B$7:$B$26,MATCH(SUBSTITUTE(SUBSTITUTE(SUBSTITUTE(SUBSTITUTE("type:"&amp;B1843,"%","%25"),"~","%7E"),"*","%2A"),"?","%3F"),'Rules'!$G$7:$G$26,0))="hours",INDEX('Rules'!$B$7:$B$26,MATCH(SUBSTITUTE(SUBSTITUTE(SUBSTITUTE(SUBSTITUTE("type:"&amp;B1843,"%","%25"),"~","%7E"),"*","%2A"),"?","%3F"),'Rules'!$G$7:$G$26,0))="km"),INDEX('Rules'!$B$7:$B$26,MATCH(SUBSTITUTE(SUBSTITUTE(SUBSTITUTE(SUBSTITUTE("type:"&amp;B1843,"%","%25"),"~","%7E"),"*","%2A"),"?","%3F"),'Rules'!$G$7:$G$26,0)),""))</x:f>
      </x:c>
      <x:c r="I1843" s="6" t="str">
        <x:f>IF(AND(NOT(COUNTA(A1843:F1843)=0),K1843=""),ROUND(J1843-D1843,3),"")</x:f>
      </x:c>
      <x:c r="J1843" s="6" t="str">
        <x:f>IF(AND(NOT(COUNTA(A1843:F1843)=0),K1843=""),ROUND(F1843+L1843,3),"")</x:f>
      </x:c>
      <x:c r="K1843" s="5" t="str">
        <x:f>IF(COUNTA(A1843:F1843)=0,"",IF(A1843="","Missing equipment ID",IF(COUNTIFS($N$8:$N$2007,"="&amp;N1843)&gt;1,"Duplicate equipment ID",IF(B1843="","Missing type",IF(COUNTIFS('Rules'!$G$7:$G$26,"="&amp;(SUBSTITUTE(SUBSTITUTE(SUBSTITUTE(SUBSTITUTE("type:"&amp;B1843,"%","%25"),"~","%7E"),"*","%2A"),"?","%3F")))=0,"Unknown type",IF(COUNTIFS('Rules'!$G$7:$G$26,"="&amp;(SUBSTITUTE(SUBSTITUTE(SUBSTITUTE(SUBSTITUTE("type:"&amp;B1843,"%","%25"),"~","%7E"),"*","%2A"),"?","%3F")))&gt;1,"Duplicate type",IF(INDEX('Rules'!$F$7:$F$26,MATCH(SUBSTITUTE(SUBSTITUTE(SUBSTITUTE(SUBSTITUTE("type:"&amp;B1843,"%","%25"),"~","%7E"),"*","%2A"),"?","%3F"),'Rules'!$G$7:$G$26,0))&lt;&gt;"",INDEX('Rules'!$F$7:$F$26,MATCH(SUBSTITUTE(SUBSTITUTE(SUBSTITUTE(SUBSTITUTE("type:"&amp;B1843,"%","%25"),"~","%7E"),"*","%2A"),"?","%3F"),'Rules'!$G$7:$G$26,0)),IF(AND(C1843&lt;&gt;"",C1843&lt;&gt;INDEX('Rules'!$B$7:$B$26,MATCH(SUBSTITUTE(SUBSTITUTE(SUBSTITUTE(SUBSTITUTE("type:"&amp;B1843,"%","%25"),"~","%7E"),"*","%2A"),"?","%3F"),'Rules'!$G$7:$G$26,0))),"Unit mismatch",IF(IF(NOT(ISNUMBER(D1843)),TRUE,OR(D1843&lt;0,D1843&gt;999999999,ROUND(D1843,3)&lt;&gt;D1843)),"Invalid current reading",IF(AND(E1843&lt;&gt;"",IF(NOT(ISNUMBER(E1843)),TRUE,OR(E1843&lt;0,E1843&gt;999999999,ROUND(E1843,3)&lt;&gt;E1843))),"Invalid previous reading",IF(IF(NOT(ISNUMBER(F1843)),TRUE,OR(F1843&lt;0,F1843&gt;999999999,ROUND(F1843,3)&lt;&gt;F1843)),"Invalid last service",IF(AND(E1843&lt;&gt;"",D1843&lt;E1843),"Decreased reading",IF(F1843&gt;D1843,"Last service above current","")))))))))))))</x:f>
      </x:c>
      <x:c r="L1843" s="6" t="str">
        <x:f>IF(AND(NOT(COUNTA(A1843:F1843)=0),K1843=""),INDEX('Rules'!$C$7:$C$26,MATCH(SUBSTITUTE(SUBSTITUTE(SUBSTITUTE(SUBSTITUTE("type:"&amp;B1843,"%","%25"),"~","%7E"),"*","%2A"),"?","%3F"),'Rules'!$G$7:$G$26,0)),"")</x:f>
      </x:c>
      <x:c r="M1843" s="6" t="str">
        <x:f>IF(AND(NOT(COUNTA(A1843:F1843)=0),K1843=""),INDEX('Rules'!$D$7:$D$26,MATCH(SUBSTITUTE(SUBSTITUTE(SUBSTITUTE(SUBSTITUTE("type:"&amp;B1843,"%","%25"),"~","%7E"),"*","%2A"),"?","%3F"),'Rules'!$G$7:$G$26,0)),"")</x:f>
      </x:c>
      <x:c r="N1843" s="5" t="str">
        <x:f>IF(COUNTA(A1843:F1843)=0,"",SUBSTITUTE(SUBSTITUTE(SUBSTITUTE(SUBSTITUTE("id:"&amp;A1843,"%","%25"),"~","%7E"),"*","%2A"),"?","%3F"))</x:f>
      </x:c>
    </x:row>
    <x:row r="1844" ht="22" customHeight="1">
      <x:c r="A1844" s="3"/>
      <x:c r="B1844" s="3"/>
      <x:c r="C1844" s="3"/>
      <x:c r="D1844" s="4"/>
      <x:c r="E1844" s="4"/>
      <x:c r="F1844" s="4"/>
      <x:c r="G1844" s="5" t="str">
        <x:f>IF(COUNTA(A1844:F1844)=0,"",IF(K1844&lt;&gt;"","Review",IF(I1844&lt;0,"Overdue",IF(I1844=0,"Due now",IF(I1844&lt;=M1844,"Due soon","Not due")))))</x:f>
      </x:c>
      <x:c r="H1844" s="5" t="str">
        <x:f>IF(OR(COUNTA(A1844:F1844)=0,COUNTIFS('Rules'!$G$7:$G$26,"="&amp;(SUBSTITUTE(SUBSTITUTE(SUBSTITUTE(SUBSTITUTE("type:"&amp;B1844,"%","%25"),"~","%7E"),"*","%2A"),"?","%3F")))&lt;&gt;1),"",IF(OR(INDEX('Rules'!$B$7:$B$26,MATCH(SUBSTITUTE(SUBSTITUTE(SUBSTITUTE(SUBSTITUTE("type:"&amp;B1844,"%","%25"),"~","%7E"),"*","%2A"),"?","%3F"),'Rules'!$G$7:$G$26,0))="hours",INDEX('Rules'!$B$7:$B$26,MATCH(SUBSTITUTE(SUBSTITUTE(SUBSTITUTE(SUBSTITUTE("type:"&amp;B1844,"%","%25"),"~","%7E"),"*","%2A"),"?","%3F"),'Rules'!$G$7:$G$26,0))="km"),INDEX('Rules'!$B$7:$B$26,MATCH(SUBSTITUTE(SUBSTITUTE(SUBSTITUTE(SUBSTITUTE("type:"&amp;B1844,"%","%25"),"~","%7E"),"*","%2A"),"?","%3F"),'Rules'!$G$7:$G$26,0)),""))</x:f>
      </x:c>
      <x:c r="I1844" s="6" t="str">
        <x:f>IF(AND(NOT(COUNTA(A1844:F1844)=0),K1844=""),ROUND(J1844-D1844,3),"")</x:f>
      </x:c>
      <x:c r="J1844" s="6" t="str">
        <x:f>IF(AND(NOT(COUNTA(A1844:F1844)=0),K1844=""),ROUND(F1844+L1844,3),"")</x:f>
      </x:c>
      <x:c r="K1844" s="5" t="str">
        <x:f>IF(COUNTA(A1844:F1844)=0,"",IF(A1844="","Missing equipment ID",IF(COUNTIFS($N$8:$N$2007,"="&amp;N1844)&gt;1,"Duplicate equipment ID",IF(B1844="","Missing type",IF(COUNTIFS('Rules'!$G$7:$G$26,"="&amp;(SUBSTITUTE(SUBSTITUTE(SUBSTITUTE(SUBSTITUTE("type:"&amp;B1844,"%","%25"),"~","%7E"),"*","%2A"),"?","%3F")))=0,"Unknown type",IF(COUNTIFS('Rules'!$G$7:$G$26,"="&amp;(SUBSTITUTE(SUBSTITUTE(SUBSTITUTE(SUBSTITUTE("type:"&amp;B1844,"%","%25"),"~","%7E"),"*","%2A"),"?","%3F")))&gt;1,"Duplicate type",IF(INDEX('Rules'!$F$7:$F$26,MATCH(SUBSTITUTE(SUBSTITUTE(SUBSTITUTE(SUBSTITUTE("type:"&amp;B1844,"%","%25"),"~","%7E"),"*","%2A"),"?","%3F"),'Rules'!$G$7:$G$26,0))&lt;&gt;"",INDEX('Rules'!$F$7:$F$26,MATCH(SUBSTITUTE(SUBSTITUTE(SUBSTITUTE(SUBSTITUTE("type:"&amp;B1844,"%","%25"),"~","%7E"),"*","%2A"),"?","%3F"),'Rules'!$G$7:$G$26,0)),IF(AND(C1844&lt;&gt;"",C1844&lt;&gt;INDEX('Rules'!$B$7:$B$26,MATCH(SUBSTITUTE(SUBSTITUTE(SUBSTITUTE(SUBSTITUTE("type:"&amp;B1844,"%","%25"),"~","%7E"),"*","%2A"),"?","%3F"),'Rules'!$G$7:$G$26,0))),"Unit mismatch",IF(IF(NOT(ISNUMBER(D1844)),TRUE,OR(D1844&lt;0,D1844&gt;999999999,ROUND(D1844,3)&lt;&gt;D1844)),"Invalid current reading",IF(AND(E1844&lt;&gt;"",IF(NOT(ISNUMBER(E1844)),TRUE,OR(E1844&lt;0,E1844&gt;999999999,ROUND(E1844,3)&lt;&gt;E1844))),"Invalid previous reading",IF(IF(NOT(ISNUMBER(F1844)),TRUE,OR(F1844&lt;0,F1844&gt;999999999,ROUND(F1844,3)&lt;&gt;F1844)),"Invalid last service",IF(AND(E1844&lt;&gt;"",D1844&lt;E1844),"Decreased reading",IF(F1844&gt;D1844,"Last service above current","")))))))))))))</x:f>
      </x:c>
      <x:c r="L1844" s="6" t="str">
        <x:f>IF(AND(NOT(COUNTA(A1844:F1844)=0),K1844=""),INDEX('Rules'!$C$7:$C$26,MATCH(SUBSTITUTE(SUBSTITUTE(SUBSTITUTE(SUBSTITUTE("type:"&amp;B1844,"%","%25"),"~","%7E"),"*","%2A"),"?","%3F"),'Rules'!$G$7:$G$26,0)),"")</x:f>
      </x:c>
      <x:c r="M1844" s="6" t="str">
        <x:f>IF(AND(NOT(COUNTA(A1844:F1844)=0),K1844=""),INDEX('Rules'!$D$7:$D$26,MATCH(SUBSTITUTE(SUBSTITUTE(SUBSTITUTE(SUBSTITUTE("type:"&amp;B1844,"%","%25"),"~","%7E"),"*","%2A"),"?","%3F"),'Rules'!$G$7:$G$26,0)),"")</x:f>
      </x:c>
      <x:c r="N1844" s="5" t="str">
        <x:f>IF(COUNTA(A1844:F1844)=0,"",SUBSTITUTE(SUBSTITUTE(SUBSTITUTE(SUBSTITUTE("id:"&amp;A1844,"%","%25"),"~","%7E"),"*","%2A"),"?","%3F"))</x:f>
      </x:c>
    </x:row>
    <x:row r="1845" ht="22" customHeight="1">
      <x:c r="A1845" s="3"/>
      <x:c r="B1845" s="3"/>
      <x:c r="C1845" s="3"/>
      <x:c r="D1845" s="4"/>
      <x:c r="E1845" s="4"/>
      <x:c r="F1845" s="4"/>
      <x:c r="G1845" s="5" t="str">
        <x:f>IF(COUNTA(A1845:F1845)=0,"",IF(K1845&lt;&gt;"","Review",IF(I1845&lt;0,"Overdue",IF(I1845=0,"Due now",IF(I1845&lt;=M1845,"Due soon","Not due")))))</x:f>
      </x:c>
      <x:c r="H1845" s="5" t="str">
        <x:f>IF(OR(COUNTA(A1845:F1845)=0,COUNTIFS('Rules'!$G$7:$G$26,"="&amp;(SUBSTITUTE(SUBSTITUTE(SUBSTITUTE(SUBSTITUTE("type:"&amp;B1845,"%","%25"),"~","%7E"),"*","%2A"),"?","%3F")))&lt;&gt;1),"",IF(OR(INDEX('Rules'!$B$7:$B$26,MATCH(SUBSTITUTE(SUBSTITUTE(SUBSTITUTE(SUBSTITUTE("type:"&amp;B1845,"%","%25"),"~","%7E"),"*","%2A"),"?","%3F"),'Rules'!$G$7:$G$26,0))="hours",INDEX('Rules'!$B$7:$B$26,MATCH(SUBSTITUTE(SUBSTITUTE(SUBSTITUTE(SUBSTITUTE("type:"&amp;B1845,"%","%25"),"~","%7E"),"*","%2A"),"?","%3F"),'Rules'!$G$7:$G$26,0))="km"),INDEX('Rules'!$B$7:$B$26,MATCH(SUBSTITUTE(SUBSTITUTE(SUBSTITUTE(SUBSTITUTE("type:"&amp;B1845,"%","%25"),"~","%7E"),"*","%2A"),"?","%3F"),'Rules'!$G$7:$G$26,0)),""))</x:f>
      </x:c>
      <x:c r="I1845" s="6" t="str">
        <x:f>IF(AND(NOT(COUNTA(A1845:F1845)=0),K1845=""),ROUND(J1845-D1845,3),"")</x:f>
      </x:c>
      <x:c r="J1845" s="6" t="str">
        <x:f>IF(AND(NOT(COUNTA(A1845:F1845)=0),K1845=""),ROUND(F1845+L1845,3),"")</x:f>
      </x:c>
      <x:c r="K1845" s="5" t="str">
        <x:f>IF(COUNTA(A1845:F1845)=0,"",IF(A1845="","Missing equipment ID",IF(COUNTIFS($N$8:$N$2007,"="&amp;N1845)&gt;1,"Duplicate equipment ID",IF(B1845="","Missing type",IF(COUNTIFS('Rules'!$G$7:$G$26,"="&amp;(SUBSTITUTE(SUBSTITUTE(SUBSTITUTE(SUBSTITUTE("type:"&amp;B1845,"%","%25"),"~","%7E"),"*","%2A"),"?","%3F")))=0,"Unknown type",IF(COUNTIFS('Rules'!$G$7:$G$26,"="&amp;(SUBSTITUTE(SUBSTITUTE(SUBSTITUTE(SUBSTITUTE("type:"&amp;B1845,"%","%25"),"~","%7E"),"*","%2A"),"?","%3F")))&gt;1,"Duplicate type",IF(INDEX('Rules'!$F$7:$F$26,MATCH(SUBSTITUTE(SUBSTITUTE(SUBSTITUTE(SUBSTITUTE("type:"&amp;B1845,"%","%25"),"~","%7E"),"*","%2A"),"?","%3F"),'Rules'!$G$7:$G$26,0))&lt;&gt;"",INDEX('Rules'!$F$7:$F$26,MATCH(SUBSTITUTE(SUBSTITUTE(SUBSTITUTE(SUBSTITUTE("type:"&amp;B1845,"%","%25"),"~","%7E"),"*","%2A"),"?","%3F"),'Rules'!$G$7:$G$26,0)),IF(AND(C1845&lt;&gt;"",C1845&lt;&gt;INDEX('Rules'!$B$7:$B$26,MATCH(SUBSTITUTE(SUBSTITUTE(SUBSTITUTE(SUBSTITUTE("type:"&amp;B1845,"%","%25"),"~","%7E"),"*","%2A"),"?","%3F"),'Rules'!$G$7:$G$26,0))),"Unit mismatch",IF(IF(NOT(ISNUMBER(D1845)),TRUE,OR(D1845&lt;0,D1845&gt;999999999,ROUND(D1845,3)&lt;&gt;D1845)),"Invalid current reading",IF(AND(E1845&lt;&gt;"",IF(NOT(ISNUMBER(E1845)),TRUE,OR(E1845&lt;0,E1845&gt;999999999,ROUND(E1845,3)&lt;&gt;E1845))),"Invalid previous reading",IF(IF(NOT(ISNUMBER(F1845)),TRUE,OR(F1845&lt;0,F1845&gt;999999999,ROUND(F1845,3)&lt;&gt;F1845)),"Invalid last service",IF(AND(E1845&lt;&gt;"",D1845&lt;E1845),"Decreased reading",IF(F1845&gt;D1845,"Last service above current","")))))))))))))</x:f>
      </x:c>
      <x:c r="L1845" s="6" t="str">
        <x:f>IF(AND(NOT(COUNTA(A1845:F1845)=0),K1845=""),INDEX('Rules'!$C$7:$C$26,MATCH(SUBSTITUTE(SUBSTITUTE(SUBSTITUTE(SUBSTITUTE("type:"&amp;B1845,"%","%25"),"~","%7E"),"*","%2A"),"?","%3F"),'Rules'!$G$7:$G$26,0)),"")</x:f>
      </x:c>
      <x:c r="M1845" s="6" t="str">
        <x:f>IF(AND(NOT(COUNTA(A1845:F1845)=0),K1845=""),INDEX('Rules'!$D$7:$D$26,MATCH(SUBSTITUTE(SUBSTITUTE(SUBSTITUTE(SUBSTITUTE("type:"&amp;B1845,"%","%25"),"~","%7E"),"*","%2A"),"?","%3F"),'Rules'!$G$7:$G$26,0)),"")</x:f>
      </x:c>
      <x:c r="N1845" s="5" t="str">
        <x:f>IF(COUNTA(A1845:F1845)=0,"",SUBSTITUTE(SUBSTITUTE(SUBSTITUTE(SUBSTITUTE("id:"&amp;A1845,"%","%25"),"~","%7E"),"*","%2A"),"?","%3F"))</x:f>
      </x:c>
    </x:row>
    <x:row r="1846" ht="22" customHeight="1">
      <x:c r="A1846" s="3"/>
      <x:c r="B1846" s="3"/>
      <x:c r="C1846" s="3"/>
      <x:c r="D1846" s="4"/>
      <x:c r="E1846" s="4"/>
      <x:c r="F1846" s="4"/>
      <x:c r="G1846" s="5" t="str">
        <x:f>IF(COUNTA(A1846:F1846)=0,"",IF(K1846&lt;&gt;"","Review",IF(I1846&lt;0,"Overdue",IF(I1846=0,"Due now",IF(I1846&lt;=M1846,"Due soon","Not due")))))</x:f>
      </x:c>
      <x:c r="H1846" s="5" t="str">
        <x:f>IF(OR(COUNTA(A1846:F1846)=0,COUNTIFS('Rules'!$G$7:$G$26,"="&amp;(SUBSTITUTE(SUBSTITUTE(SUBSTITUTE(SUBSTITUTE("type:"&amp;B1846,"%","%25"),"~","%7E"),"*","%2A"),"?","%3F")))&lt;&gt;1),"",IF(OR(INDEX('Rules'!$B$7:$B$26,MATCH(SUBSTITUTE(SUBSTITUTE(SUBSTITUTE(SUBSTITUTE("type:"&amp;B1846,"%","%25"),"~","%7E"),"*","%2A"),"?","%3F"),'Rules'!$G$7:$G$26,0))="hours",INDEX('Rules'!$B$7:$B$26,MATCH(SUBSTITUTE(SUBSTITUTE(SUBSTITUTE(SUBSTITUTE("type:"&amp;B1846,"%","%25"),"~","%7E"),"*","%2A"),"?","%3F"),'Rules'!$G$7:$G$26,0))="km"),INDEX('Rules'!$B$7:$B$26,MATCH(SUBSTITUTE(SUBSTITUTE(SUBSTITUTE(SUBSTITUTE("type:"&amp;B1846,"%","%25"),"~","%7E"),"*","%2A"),"?","%3F"),'Rules'!$G$7:$G$26,0)),""))</x:f>
      </x:c>
      <x:c r="I1846" s="6" t="str">
        <x:f>IF(AND(NOT(COUNTA(A1846:F1846)=0),K1846=""),ROUND(J1846-D1846,3),"")</x:f>
      </x:c>
      <x:c r="J1846" s="6" t="str">
        <x:f>IF(AND(NOT(COUNTA(A1846:F1846)=0),K1846=""),ROUND(F1846+L1846,3),"")</x:f>
      </x:c>
      <x:c r="K1846" s="5" t="str">
        <x:f>IF(COUNTA(A1846:F1846)=0,"",IF(A1846="","Missing equipment ID",IF(COUNTIFS($N$8:$N$2007,"="&amp;N1846)&gt;1,"Duplicate equipment ID",IF(B1846="","Missing type",IF(COUNTIFS('Rules'!$G$7:$G$26,"="&amp;(SUBSTITUTE(SUBSTITUTE(SUBSTITUTE(SUBSTITUTE("type:"&amp;B1846,"%","%25"),"~","%7E"),"*","%2A"),"?","%3F")))=0,"Unknown type",IF(COUNTIFS('Rules'!$G$7:$G$26,"="&amp;(SUBSTITUTE(SUBSTITUTE(SUBSTITUTE(SUBSTITUTE("type:"&amp;B1846,"%","%25"),"~","%7E"),"*","%2A"),"?","%3F")))&gt;1,"Duplicate type",IF(INDEX('Rules'!$F$7:$F$26,MATCH(SUBSTITUTE(SUBSTITUTE(SUBSTITUTE(SUBSTITUTE("type:"&amp;B1846,"%","%25"),"~","%7E"),"*","%2A"),"?","%3F"),'Rules'!$G$7:$G$26,0))&lt;&gt;"",INDEX('Rules'!$F$7:$F$26,MATCH(SUBSTITUTE(SUBSTITUTE(SUBSTITUTE(SUBSTITUTE("type:"&amp;B1846,"%","%25"),"~","%7E"),"*","%2A"),"?","%3F"),'Rules'!$G$7:$G$26,0)),IF(AND(C1846&lt;&gt;"",C1846&lt;&gt;INDEX('Rules'!$B$7:$B$26,MATCH(SUBSTITUTE(SUBSTITUTE(SUBSTITUTE(SUBSTITUTE("type:"&amp;B1846,"%","%25"),"~","%7E"),"*","%2A"),"?","%3F"),'Rules'!$G$7:$G$26,0))),"Unit mismatch",IF(IF(NOT(ISNUMBER(D1846)),TRUE,OR(D1846&lt;0,D1846&gt;999999999,ROUND(D1846,3)&lt;&gt;D1846)),"Invalid current reading",IF(AND(E1846&lt;&gt;"",IF(NOT(ISNUMBER(E1846)),TRUE,OR(E1846&lt;0,E1846&gt;999999999,ROUND(E1846,3)&lt;&gt;E1846))),"Invalid previous reading",IF(IF(NOT(ISNUMBER(F1846)),TRUE,OR(F1846&lt;0,F1846&gt;999999999,ROUND(F1846,3)&lt;&gt;F1846)),"Invalid last service",IF(AND(E1846&lt;&gt;"",D1846&lt;E1846),"Decreased reading",IF(F1846&gt;D1846,"Last service above current","")))))))))))))</x:f>
      </x:c>
      <x:c r="L1846" s="6" t="str">
        <x:f>IF(AND(NOT(COUNTA(A1846:F1846)=0),K1846=""),INDEX('Rules'!$C$7:$C$26,MATCH(SUBSTITUTE(SUBSTITUTE(SUBSTITUTE(SUBSTITUTE("type:"&amp;B1846,"%","%25"),"~","%7E"),"*","%2A"),"?","%3F"),'Rules'!$G$7:$G$26,0)),"")</x:f>
      </x:c>
      <x:c r="M1846" s="6" t="str">
        <x:f>IF(AND(NOT(COUNTA(A1846:F1846)=0),K1846=""),INDEX('Rules'!$D$7:$D$26,MATCH(SUBSTITUTE(SUBSTITUTE(SUBSTITUTE(SUBSTITUTE("type:"&amp;B1846,"%","%25"),"~","%7E"),"*","%2A"),"?","%3F"),'Rules'!$G$7:$G$26,0)),"")</x:f>
      </x:c>
      <x:c r="N1846" s="5" t="str">
        <x:f>IF(COUNTA(A1846:F1846)=0,"",SUBSTITUTE(SUBSTITUTE(SUBSTITUTE(SUBSTITUTE("id:"&amp;A1846,"%","%25"),"~","%7E"),"*","%2A"),"?","%3F"))</x:f>
      </x:c>
    </x:row>
    <x:row r="1847" ht="22" customHeight="1">
      <x:c r="A1847" s="3"/>
      <x:c r="B1847" s="3"/>
      <x:c r="C1847" s="3"/>
      <x:c r="D1847" s="4"/>
      <x:c r="E1847" s="4"/>
      <x:c r="F1847" s="4"/>
      <x:c r="G1847" s="5" t="str">
        <x:f>IF(COUNTA(A1847:F1847)=0,"",IF(K1847&lt;&gt;"","Review",IF(I1847&lt;0,"Overdue",IF(I1847=0,"Due now",IF(I1847&lt;=M1847,"Due soon","Not due")))))</x:f>
      </x:c>
      <x:c r="H1847" s="5" t="str">
        <x:f>IF(OR(COUNTA(A1847:F1847)=0,COUNTIFS('Rules'!$G$7:$G$26,"="&amp;(SUBSTITUTE(SUBSTITUTE(SUBSTITUTE(SUBSTITUTE("type:"&amp;B1847,"%","%25"),"~","%7E"),"*","%2A"),"?","%3F")))&lt;&gt;1),"",IF(OR(INDEX('Rules'!$B$7:$B$26,MATCH(SUBSTITUTE(SUBSTITUTE(SUBSTITUTE(SUBSTITUTE("type:"&amp;B1847,"%","%25"),"~","%7E"),"*","%2A"),"?","%3F"),'Rules'!$G$7:$G$26,0))="hours",INDEX('Rules'!$B$7:$B$26,MATCH(SUBSTITUTE(SUBSTITUTE(SUBSTITUTE(SUBSTITUTE("type:"&amp;B1847,"%","%25"),"~","%7E"),"*","%2A"),"?","%3F"),'Rules'!$G$7:$G$26,0))="km"),INDEX('Rules'!$B$7:$B$26,MATCH(SUBSTITUTE(SUBSTITUTE(SUBSTITUTE(SUBSTITUTE("type:"&amp;B1847,"%","%25"),"~","%7E"),"*","%2A"),"?","%3F"),'Rules'!$G$7:$G$26,0)),""))</x:f>
      </x:c>
      <x:c r="I1847" s="6" t="str">
        <x:f>IF(AND(NOT(COUNTA(A1847:F1847)=0),K1847=""),ROUND(J1847-D1847,3),"")</x:f>
      </x:c>
      <x:c r="J1847" s="6" t="str">
        <x:f>IF(AND(NOT(COUNTA(A1847:F1847)=0),K1847=""),ROUND(F1847+L1847,3),"")</x:f>
      </x:c>
      <x:c r="K1847" s="5" t="str">
        <x:f>IF(COUNTA(A1847:F1847)=0,"",IF(A1847="","Missing equipment ID",IF(COUNTIFS($N$8:$N$2007,"="&amp;N1847)&gt;1,"Duplicate equipment ID",IF(B1847="","Missing type",IF(COUNTIFS('Rules'!$G$7:$G$26,"="&amp;(SUBSTITUTE(SUBSTITUTE(SUBSTITUTE(SUBSTITUTE("type:"&amp;B1847,"%","%25"),"~","%7E"),"*","%2A"),"?","%3F")))=0,"Unknown type",IF(COUNTIFS('Rules'!$G$7:$G$26,"="&amp;(SUBSTITUTE(SUBSTITUTE(SUBSTITUTE(SUBSTITUTE("type:"&amp;B1847,"%","%25"),"~","%7E"),"*","%2A"),"?","%3F")))&gt;1,"Duplicate type",IF(INDEX('Rules'!$F$7:$F$26,MATCH(SUBSTITUTE(SUBSTITUTE(SUBSTITUTE(SUBSTITUTE("type:"&amp;B1847,"%","%25"),"~","%7E"),"*","%2A"),"?","%3F"),'Rules'!$G$7:$G$26,0))&lt;&gt;"",INDEX('Rules'!$F$7:$F$26,MATCH(SUBSTITUTE(SUBSTITUTE(SUBSTITUTE(SUBSTITUTE("type:"&amp;B1847,"%","%25"),"~","%7E"),"*","%2A"),"?","%3F"),'Rules'!$G$7:$G$26,0)),IF(AND(C1847&lt;&gt;"",C1847&lt;&gt;INDEX('Rules'!$B$7:$B$26,MATCH(SUBSTITUTE(SUBSTITUTE(SUBSTITUTE(SUBSTITUTE("type:"&amp;B1847,"%","%25"),"~","%7E"),"*","%2A"),"?","%3F"),'Rules'!$G$7:$G$26,0))),"Unit mismatch",IF(IF(NOT(ISNUMBER(D1847)),TRUE,OR(D1847&lt;0,D1847&gt;999999999,ROUND(D1847,3)&lt;&gt;D1847)),"Invalid current reading",IF(AND(E1847&lt;&gt;"",IF(NOT(ISNUMBER(E1847)),TRUE,OR(E1847&lt;0,E1847&gt;999999999,ROUND(E1847,3)&lt;&gt;E1847))),"Invalid previous reading",IF(IF(NOT(ISNUMBER(F1847)),TRUE,OR(F1847&lt;0,F1847&gt;999999999,ROUND(F1847,3)&lt;&gt;F1847)),"Invalid last service",IF(AND(E1847&lt;&gt;"",D1847&lt;E1847),"Decreased reading",IF(F1847&gt;D1847,"Last service above current","")))))))))))))</x:f>
      </x:c>
      <x:c r="L1847" s="6" t="str">
        <x:f>IF(AND(NOT(COUNTA(A1847:F1847)=0),K1847=""),INDEX('Rules'!$C$7:$C$26,MATCH(SUBSTITUTE(SUBSTITUTE(SUBSTITUTE(SUBSTITUTE("type:"&amp;B1847,"%","%25"),"~","%7E"),"*","%2A"),"?","%3F"),'Rules'!$G$7:$G$26,0)),"")</x:f>
      </x:c>
      <x:c r="M1847" s="6" t="str">
        <x:f>IF(AND(NOT(COUNTA(A1847:F1847)=0),K1847=""),INDEX('Rules'!$D$7:$D$26,MATCH(SUBSTITUTE(SUBSTITUTE(SUBSTITUTE(SUBSTITUTE("type:"&amp;B1847,"%","%25"),"~","%7E"),"*","%2A"),"?","%3F"),'Rules'!$G$7:$G$26,0)),"")</x:f>
      </x:c>
      <x:c r="N1847" s="5" t="str">
        <x:f>IF(COUNTA(A1847:F1847)=0,"",SUBSTITUTE(SUBSTITUTE(SUBSTITUTE(SUBSTITUTE("id:"&amp;A1847,"%","%25"),"~","%7E"),"*","%2A"),"?","%3F"))</x:f>
      </x:c>
    </x:row>
    <x:row r="1848" ht="22" customHeight="1">
      <x:c r="A1848" s="3"/>
      <x:c r="B1848" s="3"/>
      <x:c r="C1848" s="3"/>
      <x:c r="D1848" s="4"/>
      <x:c r="E1848" s="4"/>
      <x:c r="F1848" s="4"/>
      <x:c r="G1848" s="5" t="str">
        <x:f>IF(COUNTA(A1848:F1848)=0,"",IF(K1848&lt;&gt;"","Review",IF(I1848&lt;0,"Overdue",IF(I1848=0,"Due now",IF(I1848&lt;=M1848,"Due soon","Not due")))))</x:f>
      </x:c>
      <x:c r="H1848" s="5" t="str">
        <x:f>IF(OR(COUNTA(A1848:F1848)=0,COUNTIFS('Rules'!$G$7:$G$26,"="&amp;(SUBSTITUTE(SUBSTITUTE(SUBSTITUTE(SUBSTITUTE("type:"&amp;B1848,"%","%25"),"~","%7E"),"*","%2A"),"?","%3F")))&lt;&gt;1),"",IF(OR(INDEX('Rules'!$B$7:$B$26,MATCH(SUBSTITUTE(SUBSTITUTE(SUBSTITUTE(SUBSTITUTE("type:"&amp;B1848,"%","%25"),"~","%7E"),"*","%2A"),"?","%3F"),'Rules'!$G$7:$G$26,0))="hours",INDEX('Rules'!$B$7:$B$26,MATCH(SUBSTITUTE(SUBSTITUTE(SUBSTITUTE(SUBSTITUTE("type:"&amp;B1848,"%","%25"),"~","%7E"),"*","%2A"),"?","%3F"),'Rules'!$G$7:$G$26,0))="km"),INDEX('Rules'!$B$7:$B$26,MATCH(SUBSTITUTE(SUBSTITUTE(SUBSTITUTE(SUBSTITUTE("type:"&amp;B1848,"%","%25"),"~","%7E"),"*","%2A"),"?","%3F"),'Rules'!$G$7:$G$26,0)),""))</x:f>
      </x:c>
      <x:c r="I1848" s="6" t="str">
        <x:f>IF(AND(NOT(COUNTA(A1848:F1848)=0),K1848=""),ROUND(J1848-D1848,3),"")</x:f>
      </x:c>
      <x:c r="J1848" s="6" t="str">
        <x:f>IF(AND(NOT(COUNTA(A1848:F1848)=0),K1848=""),ROUND(F1848+L1848,3),"")</x:f>
      </x:c>
      <x:c r="K1848" s="5" t="str">
        <x:f>IF(COUNTA(A1848:F1848)=0,"",IF(A1848="","Missing equipment ID",IF(COUNTIFS($N$8:$N$2007,"="&amp;N1848)&gt;1,"Duplicate equipment ID",IF(B1848="","Missing type",IF(COUNTIFS('Rules'!$G$7:$G$26,"="&amp;(SUBSTITUTE(SUBSTITUTE(SUBSTITUTE(SUBSTITUTE("type:"&amp;B1848,"%","%25"),"~","%7E"),"*","%2A"),"?","%3F")))=0,"Unknown type",IF(COUNTIFS('Rules'!$G$7:$G$26,"="&amp;(SUBSTITUTE(SUBSTITUTE(SUBSTITUTE(SUBSTITUTE("type:"&amp;B1848,"%","%25"),"~","%7E"),"*","%2A"),"?","%3F")))&gt;1,"Duplicate type",IF(INDEX('Rules'!$F$7:$F$26,MATCH(SUBSTITUTE(SUBSTITUTE(SUBSTITUTE(SUBSTITUTE("type:"&amp;B1848,"%","%25"),"~","%7E"),"*","%2A"),"?","%3F"),'Rules'!$G$7:$G$26,0))&lt;&gt;"",INDEX('Rules'!$F$7:$F$26,MATCH(SUBSTITUTE(SUBSTITUTE(SUBSTITUTE(SUBSTITUTE("type:"&amp;B1848,"%","%25"),"~","%7E"),"*","%2A"),"?","%3F"),'Rules'!$G$7:$G$26,0)),IF(AND(C1848&lt;&gt;"",C1848&lt;&gt;INDEX('Rules'!$B$7:$B$26,MATCH(SUBSTITUTE(SUBSTITUTE(SUBSTITUTE(SUBSTITUTE("type:"&amp;B1848,"%","%25"),"~","%7E"),"*","%2A"),"?","%3F"),'Rules'!$G$7:$G$26,0))),"Unit mismatch",IF(IF(NOT(ISNUMBER(D1848)),TRUE,OR(D1848&lt;0,D1848&gt;999999999,ROUND(D1848,3)&lt;&gt;D1848)),"Invalid current reading",IF(AND(E1848&lt;&gt;"",IF(NOT(ISNUMBER(E1848)),TRUE,OR(E1848&lt;0,E1848&gt;999999999,ROUND(E1848,3)&lt;&gt;E1848))),"Invalid previous reading",IF(IF(NOT(ISNUMBER(F1848)),TRUE,OR(F1848&lt;0,F1848&gt;999999999,ROUND(F1848,3)&lt;&gt;F1848)),"Invalid last service",IF(AND(E1848&lt;&gt;"",D1848&lt;E1848),"Decreased reading",IF(F1848&gt;D1848,"Last service above current","")))))))))))))</x:f>
      </x:c>
      <x:c r="L1848" s="6" t="str">
        <x:f>IF(AND(NOT(COUNTA(A1848:F1848)=0),K1848=""),INDEX('Rules'!$C$7:$C$26,MATCH(SUBSTITUTE(SUBSTITUTE(SUBSTITUTE(SUBSTITUTE("type:"&amp;B1848,"%","%25"),"~","%7E"),"*","%2A"),"?","%3F"),'Rules'!$G$7:$G$26,0)),"")</x:f>
      </x:c>
      <x:c r="M1848" s="6" t="str">
        <x:f>IF(AND(NOT(COUNTA(A1848:F1848)=0),K1848=""),INDEX('Rules'!$D$7:$D$26,MATCH(SUBSTITUTE(SUBSTITUTE(SUBSTITUTE(SUBSTITUTE("type:"&amp;B1848,"%","%25"),"~","%7E"),"*","%2A"),"?","%3F"),'Rules'!$G$7:$G$26,0)),"")</x:f>
      </x:c>
      <x:c r="N1848" s="5" t="str">
        <x:f>IF(COUNTA(A1848:F1848)=0,"",SUBSTITUTE(SUBSTITUTE(SUBSTITUTE(SUBSTITUTE("id:"&amp;A1848,"%","%25"),"~","%7E"),"*","%2A"),"?","%3F"))</x:f>
      </x:c>
    </x:row>
    <x:row r="1849" ht="22" customHeight="1">
      <x:c r="A1849" s="3"/>
      <x:c r="B1849" s="3"/>
      <x:c r="C1849" s="3"/>
      <x:c r="D1849" s="4"/>
      <x:c r="E1849" s="4"/>
      <x:c r="F1849" s="4"/>
      <x:c r="G1849" s="5" t="str">
        <x:f>IF(COUNTA(A1849:F1849)=0,"",IF(K1849&lt;&gt;"","Review",IF(I1849&lt;0,"Overdue",IF(I1849=0,"Due now",IF(I1849&lt;=M1849,"Due soon","Not due")))))</x:f>
      </x:c>
      <x:c r="H1849" s="5" t="str">
        <x:f>IF(OR(COUNTA(A1849:F1849)=0,COUNTIFS('Rules'!$G$7:$G$26,"="&amp;(SUBSTITUTE(SUBSTITUTE(SUBSTITUTE(SUBSTITUTE("type:"&amp;B1849,"%","%25"),"~","%7E"),"*","%2A"),"?","%3F")))&lt;&gt;1),"",IF(OR(INDEX('Rules'!$B$7:$B$26,MATCH(SUBSTITUTE(SUBSTITUTE(SUBSTITUTE(SUBSTITUTE("type:"&amp;B1849,"%","%25"),"~","%7E"),"*","%2A"),"?","%3F"),'Rules'!$G$7:$G$26,0))="hours",INDEX('Rules'!$B$7:$B$26,MATCH(SUBSTITUTE(SUBSTITUTE(SUBSTITUTE(SUBSTITUTE("type:"&amp;B1849,"%","%25"),"~","%7E"),"*","%2A"),"?","%3F"),'Rules'!$G$7:$G$26,0))="km"),INDEX('Rules'!$B$7:$B$26,MATCH(SUBSTITUTE(SUBSTITUTE(SUBSTITUTE(SUBSTITUTE("type:"&amp;B1849,"%","%25"),"~","%7E"),"*","%2A"),"?","%3F"),'Rules'!$G$7:$G$26,0)),""))</x:f>
      </x:c>
      <x:c r="I1849" s="6" t="str">
        <x:f>IF(AND(NOT(COUNTA(A1849:F1849)=0),K1849=""),ROUND(J1849-D1849,3),"")</x:f>
      </x:c>
      <x:c r="J1849" s="6" t="str">
        <x:f>IF(AND(NOT(COUNTA(A1849:F1849)=0),K1849=""),ROUND(F1849+L1849,3),"")</x:f>
      </x:c>
      <x:c r="K1849" s="5" t="str">
        <x:f>IF(COUNTA(A1849:F1849)=0,"",IF(A1849="","Missing equipment ID",IF(COUNTIFS($N$8:$N$2007,"="&amp;N1849)&gt;1,"Duplicate equipment ID",IF(B1849="","Missing type",IF(COUNTIFS('Rules'!$G$7:$G$26,"="&amp;(SUBSTITUTE(SUBSTITUTE(SUBSTITUTE(SUBSTITUTE("type:"&amp;B1849,"%","%25"),"~","%7E"),"*","%2A"),"?","%3F")))=0,"Unknown type",IF(COUNTIFS('Rules'!$G$7:$G$26,"="&amp;(SUBSTITUTE(SUBSTITUTE(SUBSTITUTE(SUBSTITUTE("type:"&amp;B1849,"%","%25"),"~","%7E"),"*","%2A"),"?","%3F")))&gt;1,"Duplicate type",IF(INDEX('Rules'!$F$7:$F$26,MATCH(SUBSTITUTE(SUBSTITUTE(SUBSTITUTE(SUBSTITUTE("type:"&amp;B1849,"%","%25"),"~","%7E"),"*","%2A"),"?","%3F"),'Rules'!$G$7:$G$26,0))&lt;&gt;"",INDEX('Rules'!$F$7:$F$26,MATCH(SUBSTITUTE(SUBSTITUTE(SUBSTITUTE(SUBSTITUTE("type:"&amp;B1849,"%","%25"),"~","%7E"),"*","%2A"),"?","%3F"),'Rules'!$G$7:$G$26,0)),IF(AND(C1849&lt;&gt;"",C1849&lt;&gt;INDEX('Rules'!$B$7:$B$26,MATCH(SUBSTITUTE(SUBSTITUTE(SUBSTITUTE(SUBSTITUTE("type:"&amp;B1849,"%","%25"),"~","%7E"),"*","%2A"),"?","%3F"),'Rules'!$G$7:$G$26,0))),"Unit mismatch",IF(IF(NOT(ISNUMBER(D1849)),TRUE,OR(D1849&lt;0,D1849&gt;999999999,ROUND(D1849,3)&lt;&gt;D1849)),"Invalid current reading",IF(AND(E1849&lt;&gt;"",IF(NOT(ISNUMBER(E1849)),TRUE,OR(E1849&lt;0,E1849&gt;999999999,ROUND(E1849,3)&lt;&gt;E1849))),"Invalid previous reading",IF(IF(NOT(ISNUMBER(F1849)),TRUE,OR(F1849&lt;0,F1849&gt;999999999,ROUND(F1849,3)&lt;&gt;F1849)),"Invalid last service",IF(AND(E1849&lt;&gt;"",D1849&lt;E1849),"Decreased reading",IF(F1849&gt;D1849,"Last service above current","")))))))))))))</x:f>
      </x:c>
      <x:c r="L1849" s="6" t="str">
        <x:f>IF(AND(NOT(COUNTA(A1849:F1849)=0),K1849=""),INDEX('Rules'!$C$7:$C$26,MATCH(SUBSTITUTE(SUBSTITUTE(SUBSTITUTE(SUBSTITUTE("type:"&amp;B1849,"%","%25"),"~","%7E"),"*","%2A"),"?","%3F"),'Rules'!$G$7:$G$26,0)),"")</x:f>
      </x:c>
      <x:c r="M1849" s="6" t="str">
        <x:f>IF(AND(NOT(COUNTA(A1849:F1849)=0),K1849=""),INDEX('Rules'!$D$7:$D$26,MATCH(SUBSTITUTE(SUBSTITUTE(SUBSTITUTE(SUBSTITUTE("type:"&amp;B1849,"%","%25"),"~","%7E"),"*","%2A"),"?","%3F"),'Rules'!$G$7:$G$26,0)),"")</x:f>
      </x:c>
      <x:c r="N1849" s="5" t="str">
        <x:f>IF(COUNTA(A1849:F1849)=0,"",SUBSTITUTE(SUBSTITUTE(SUBSTITUTE(SUBSTITUTE("id:"&amp;A1849,"%","%25"),"~","%7E"),"*","%2A"),"?","%3F"))</x:f>
      </x:c>
    </x:row>
    <x:row r="1850" ht="22" customHeight="1">
      <x:c r="A1850" s="3"/>
      <x:c r="B1850" s="3"/>
      <x:c r="C1850" s="3"/>
      <x:c r="D1850" s="4"/>
      <x:c r="E1850" s="4"/>
      <x:c r="F1850" s="4"/>
      <x:c r="G1850" s="5" t="str">
        <x:f>IF(COUNTA(A1850:F1850)=0,"",IF(K1850&lt;&gt;"","Review",IF(I1850&lt;0,"Overdue",IF(I1850=0,"Due now",IF(I1850&lt;=M1850,"Due soon","Not due")))))</x:f>
      </x:c>
      <x:c r="H1850" s="5" t="str">
        <x:f>IF(OR(COUNTA(A1850:F1850)=0,COUNTIFS('Rules'!$G$7:$G$26,"="&amp;(SUBSTITUTE(SUBSTITUTE(SUBSTITUTE(SUBSTITUTE("type:"&amp;B1850,"%","%25"),"~","%7E"),"*","%2A"),"?","%3F")))&lt;&gt;1),"",IF(OR(INDEX('Rules'!$B$7:$B$26,MATCH(SUBSTITUTE(SUBSTITUTE(SUBSTITUTE(SUBSTITUTE("type:"&amp;B1850,"%","%25"),"~","%7E"),"*","%2A"),"?","%3F"),'Rules'!$G$7:$G$26,0))="hours",INDEX('Rules'!$B$7:$B$26,MATCH(SUBSTITUTE(SUBSTITUTE(SUBSTITUTE(SUBSTITUTE("type:"&amp;B1850,"%","%25"),"~","%7E"),"*","%2A"),"?","%3F"),'Rules'!$G$7:$G$26,0))="km"),INDEX('Rules'!$B$7:$B$26,MATCH(SUBSTITUTE(SUBSTITUTE(SUBSTITUTE(SUBSTITUTE("type:"&amp;B1850,"%","%25"),"~","%7E"),"*","%2A"),"?","%3F"),'Rules'!$G$7:$G$26,0)),""))</x:f>
      </x:c>
      <x:c r="I1850" s="6" t="str">
        <x:f>IF(AND(NOT(COUNTA(A1850:F1850)=0),K1850=""),ROUND(J1850-D1850,3),"")</x:f>
      </x:c>
      <x:c r="J1850" s="6" t="str">
        <x:f>IF(AND(NOT(COUNTA(A1850:F1850)=0),K1850=""),ROUND(F1850+L1850,3),"")</x:f>
      </x:c>
      <x:c r="K1850" s="5" t="str">
        <x:f>IF(COUNTA(A1850:F1850)=0,"",IF(A1850="","Missing equipment ID",IF(COUNTIFS($N$8:$N$2007,"="&amp;N1850)&gt;1,"Duplicate equipment ID",IF(B1850="","Missing type",IF(COUNTIFS('Rules'!$G$7:$G$26,"="&amp;(SUBSTITUTE(SUBSTITUTE(SUBSTITUTE(SUBSTITUTE("type:"&amp;B1850,"%","%25"),"~","%7E"),"*","%2A"),"?","%3F")))=0,"Unknown type",IF(COUNTIFS('Rules'!$G$7:$G$26,"="&amp;(SUBSTITUTE(SUBSTITUTE(SUBSTITUTE(SUBSTITUTE("type:"&amp;B1850,"%","%25"),"~","%7E"),"*","%2A"),"?","%3F")))&gt;1,"Duplicate type",IF(INDEX('Rules'!$F$7:$F$26,MATCH(SUBSTITUTE(SUBSTITUTE(SUBSTITUTE(SUBSTITUTE("type:"&amp;B1850,"%","%25"),"~","%7E"),"*","%2A"),"?","%3F"),'Rules'!$G$7:$G$26,0))&lt;&gt;"",INDEX('Rules'!$F$7:$F$26,MATCH(SUBSTITUTE(SUBSTITUTE(SUBSTITUTE(SUBSTITUTE("type:"&amp;B1850,"%","%25"),"~","%7E"),"*","%2A"),"?","%3F"),'Rules'!$G$7:$G$26,0)),IF(AND(C1850&lt;&gt;"",C1850&lt;&gt;INDEX('Rules'!$B$7:$B$26,MATCH(SUBSTITUTE(SUBSTITUTE(SUBSTITUTE(SUBSTITUTE("type:"&amp;B1850,"%","%25"),"~","%7E"),"*","%2A"),"?","%3F"),'Rules'!$G$7:$G$26,0))),"Unit mismatch",IF(IF(NOT(ISNUMBER(D1850)),TRUE,OR(D1850&lt;0,D1850&gt;999999999,ROUND(D1850,3)&lt;&gt;D1850)),"Invalid current reading",IF(AND(E1850&lt;&gt;"",IF(NOT(ISNUMBER(E1850)),TRUE,OR(E1850&lt;0,E1850&gt;999999999,ROUND(E1850,3)&lt;&gt;E1850))),"Invalid previous reading",IF(IF(NOT(ISNUMBER(F1850)),TRUE,OR(F1850&lt;0,F1850&gt;999999999,ROUND(F1850,3)&lt;&gt;F1850)),"Invalid last service",IF(AND(E1850&lt;&gt;"",D1850&lt;E1850),"Decreased reading",IF(F1850&gt;D1850,"Last service above current","")))))))))))))</x:f>
      </x:c>
      <x:c r="L1850" s="6" t="str">
        <x:f>IF(AND(NOT(COUNTA(A1850:F1850)=0),K1850=""),INDEX('Rules'!$C$7:$C$26,MATCH(SUBSTITUTE(SUBSTITUTE(SUBSTITUTE(SUBSTITUTE("type:"&amp;B1850,"%","%25"),"~","%7E"),"*","%2A"),"?","%3F"),'Rules'!$G$7:$G$26,0)),"")</x:f>
      </x:c>
      <x:c r="M1850" s="6" t="str">
        <x:f>IF(AND(NOT(COUNTA(A1850:F1850)=0),K1850=""),INDEX('Rules'!$D$7:$D$26,MATCH(SUBSTITUTE(SUBSTITUTE(SUBSTITUTE(SUBSTITUTE("type:"&amp;B1850,"%","%25"),"~","%7E"),"*","%2A"),"?","%3F"),'Rules'!$G$7:$G$26,0)),"")</x:f>
      </x:c>
      <x:c r="N1850" s="5" t="str">
        <x:f>IF(COUNTA(A1850:F1850)=0,"",SUBSTITUTE(SUBSTITUTE(SUBSTITUTE(SUBSTITUTE("id:"&amp;A1850,"%","%25"),"~","%7E"),"*","%2A"),"?","%3F"))</x:f>
      </x:c>
    </x:row>
    <x:row r="1851" ht="22" customHeight="1">
      <x:c r="A1851" s="3"/>
      <x:c r="B1851" s="3"/>
      <x:c r="C1851" s="3"/>
      <x:c r="D1851" s="4"/>
      <x:c r="E1851" s="4"/>
      <x:c r="F1851" s="4"/>
      <x:c r="G1851" s="5" t="str">
        <x:f>IF(COUNTA(A1851:F1851)=0,"",IF(K1851&lt;&gt;"","Review",IF(I1851&lt;0,"Overdue",IF(I1851=0,"Due now",IF(I1851&lt;=M1851,"Due soon","Not due")))))</x:f>
      </x:c>
      <x:c r="H1851" s="5" t="str">
        <x:f>IF(OR(COUNTA(A1851:F1851)=0,COUNTIFS('Rules'!$G$7:$G$26,"="&amp;(SUBSTITUTE(SUBSTITUTE(SUBSTITUTE(SUBSTITUTE("type:"&amp;B1851,"%","%25"),"~","%7E"),"*","%2A"),"?","%3F")))&lt;&gt;1),"",IF(OR(INDEX('Rules'!$B$7:$B$26,MATCH(SUBSTITUTE(SUBSTITUTE(SUBSTITUTE(SUBSTITUTE("type:"&amp;B1851,"%","%25"),"~","%7E"),"*","%2A"),"?","%3F"),'Rules'!$G$7:$G$26,0))="hours",INDEX('Rules'!$B$7:$B$26,MATCH(SUBSTITUTE(SUBSTITUTE(SUBSTITUTE(SUBSTITUTE("type:"&amp;B1851,"%","%25"),"~","%7E"),"*","%2A"),"?","%3F"),'Rules'!$G$7:$G$26,0))="km"),INDEX('Rules'!$B$7:$B$26,MATCH(SUBSTITUTE(SUBSTITUTE(SUBSTITUTE(SUBSTITUTE("type:"&amp;B1851,"%","%25"),"~","%7E"),"*","%2A"),"?","%3F"),'Rules'!$G$7:$G$26,0)),""))</x:f>
      </x:c>
      <x:c r="I1851" s="6" t="str">
        <x:f>IF(AND(NOT(COUNTA(A1851:F1851)=0),K1851=""),ROUND(J1851-D1851,3),"")</x:f>
      </x:c>
      <x:c r="J1851" s="6" t="str">
        <x:f>IF(AND(NOT(COUNTA(A1851:F1851)=0),K1851=""),ROUND(F1851+L1851,3),"")</x:f>
      </x:c>
      <x:c r="K1851" s="5" t="str">
        <x:f>IF(COUNTA(A1851:F1851)=0,"",IF(A1851="","Missing equipment ID",IF(COUNTIFS($N$8:$N$2007,"="&amp;N1851)&gt;1,"Duplicate equipment ID",IF(B1851="","Missing type",IF(COUNTIFS('Rules'!$G$7:$G$26,"="&amp;(SUBSTITUTE(SUBSTITUTE(SUBSTITUTE(SUBSTITUTE("type:"&amp;B1851,"%","%25"),"~","%7E"),"*","%2A"),"?","%3F")))=0,"Unknown type",IF(COUNTIFS('Rules'!$G$7:$G$26,"="&amp;(SUBSTITUTE(SUBSTITUTE(SUBSTITUTE(SUBSTITUTE("type:"&amp;B1851,"%","%25"),"~","%7E"),"*","%2A"),"?","%3F")))&gt;1,"Duplicate type",IF(INDEX('Rules'!$F$7:$F$26,MATCH(SUBSTITUTE(SUBSTITUTE(SUBSTITUTE(SUBSTITUTE("type:"&amp;B1851,"%","%25"),"~","%7E"),"*","%2A"),"?","%3F"),'Rules'!$G$7:$G$26,0))&lt;&gt;"",INDEX('Rules'!$F$7:$F$26,MATCH(SUBSTITUTE(SUBSTITUTE(SUBSTITUTE(SUBSTITUTE("type:"&amp;B1851,"%","%25"),"~","%7E"),"*","%2A"),"?","%3F"),'Rules'!$G$7:$G$26,0)),IF(AND(C1851&lt;&gt;"",C1851&lt;&gt;INDEX('Rules'!$B$7:$B$26,MATCH(SUBSTITUTE(SUBSTITUTE(SUBSTITUTE(SUBSTITUTE("type:"&amp;B1851,"%","%25"),"~","%7E"),"*","%2A"),"?","%3F"),'Rules'!$G$7:$G$26,0))),"Unit mismatch",IF(IF(NOT(ISNUMBER(D1851)),TRUE,OR(D1851&lt;0,D1851&gt;999999999,ROUND(D1851,3)&lt;&gt;D1851)),"Invalid current reading",IF(AND(E1851&lt;&gt;"",IF(NOT(ISNUMBER(E1851)),TRUE,OR(E1851&lt;0,E1851&gt;999999999,ROUND(E1851,3)&lt;&gt;E1851))),"Invalid previous reading",IF(IF(NOT(ISNUMBER(F1851)),TRUE,OR(F1851&lt;0,F1851&gt;999999999,ROUND(F1851,3)&lt;&gt;F1851)),"Invalid last service",IF(AND(E1851&lt;&gt;"",D1851&lt;E1851),"Decreased reading",IF(F1851&gt;D1851,"Last service above current","")))))))))))))</x:f>
      </x:c>
      <x:c r="L1851" s="6" t="str">
        <x:f>IF(AND(NOT(COUNTA(A1851:F1851)=0),K1851=""),INDEX('Rules'!$C$7:$C$26,MATCH(SUBSTITUTE(SUBSTITUTE(SUBSTITUTE(SUBSTITUTE("type:"&amp;B1851,"%","%25"),"~","%7E"),"*","%2A"),"?","%3F"),'Rules'!$G$7:$G$26,0)),"")</x:f>
      </x:c>
      <x:c r="M1851" s="6" t="str">
        <x:f>IF(AND(NOT(COUNTA(A1851:F1851)=0),K1851=""),INDEX('Rules'!$D$7:$D$26,MATCH(SUBSTITUTE(SUBSTITUTE(SUBSTITUTE(SUBSTITUTE("type:"&amp;B1851,"%","%25"),"~","%7E"),"*","%2A"),"?","%3F"),'Rules'!$G$7:$G$26,0)),"")</x:f>
      </x:c>
      <x:c r="N1851" s="5" t="str">
        <x:f>IF(COUNTA(A1851:F1851)=0,"",SUBSTITUTE(SUBSTITUTE(SUBSTITUTE(SUBSTITUTE("id:"&amp;A1851,"%","%25"),"~","%7E"),"*","%2A"),"?","%3F"))</x:f>
      </x:c>
    </x:row>
    <x:row r="1852" ht="22" customHeight="1">
      <x:c r="A1852" s="3"/>
      <x:c r="B1852" s="3"/>
      <x:c r="C1852" s="3"/>
      <x:c r="D1852" s="4"/>
      <x:c r="E1852" s="4"/>
      <x:c r="F1852" s="4"/>
      <x:c r="G1852" s="5" t="str">
        <x:f>IF(COUNTA(A1852:F1852)=0,"",IF(K1852&lt;&gt;"","Review",IF(I1852&lt;0,"Overdue",IF(I1852=0,"Due now",IF(I1852&lt;=M1852,"Due soon","Not due")))))</x:f>
      </x:c>
      <x:c r="H1852" s="5" t="str">
        <x:f>IF(OR(COUNTA(A1852:F1852)=0,COUNTIFS('Rules'!$G$7:$G$26,"="&amp;(SUBSTITUTE(SUBSTITUTE(SUBSTITUTE(SUBSTITUTE("type:"&amp;B1852,"%","%25"),"~","%7E"),"*","%2A"),"?","%3F")))&lt;&gt;1),"",IF(OR(INDEX('Rules'!$B$7:$B$26,MATCH(SUBSTITUTE(SUBSTITUTE(SUBSTITUTE(SUBSTITUTE("type:"&amp;B1852,"%","%25"),"~","%7E"),"*","%2A"),"?","%3F"),'Rules'!$G$7:$G$26,0))="hours",INDEX('Rules'!$B$7:$B$26,MATCH(SUBSTITUTE(SUBSTITUTE(SUBSTITUTE(SUBSTITUTE("type:"&amp;B1852,"%","%25"),"~","%7E"),"*","%2A"),"?","%3F"),'Rules'!$G$7:$G$26,0))="km"),INDEX('Rules'!$B$7:$B$26,MATCH(SUBSTITUTE(SUBSTITUTE(SUBSTITUTE(SUBSTITUTE("type:"&amp;B1852,"%","%25"),"~","%7E"),"*","%2A"),"?","%3F"),'Rules'!$G$7:$G$26,0)),""))</x:f>
      </x:c>
      <x:c r="I1852" s="6" t="str">
        <x:f>IF(AND(NOT(COUNTA(A1852:F1852)=0),K1852=""),ROUND(J1852-D1852,3),"")</x:f>
      </x:c>
      <x:c r="J1852" s="6" t="str">
        <x:f>IF(AND(NOT(COUNTA(A1852:F1852)=0),K1852=""),ROUND(F1852+L1852,3),"")</x:f>
      </x:c>
      <x:c r="K1852" s="5" t="str">
        <x:f>IF(COUNTA(A1852:F1852)=0,"",IF(A1852="","Missing equipment ID",IF(COUNTIFS($N$8:$N$2007,"="&amp;N1852)&gt;1,"Duplicate equipment ID",IF(B1852="","Missing type",IF(COUNTIFS('Rules'!$G$7:$G$26,"="&amp;(SUBSTITUTE(SUBSTITUTE(SUBSTITUTE(SUBSTITUTE("type:"&amp;B1852,"%","%25"),"~","%7E"),"*","%2A"),"?","%3F")))=0,"Unknown type",IF(COUNTIFS('Rules'!$G$7:$G$26,"="&amp;(SUBSTITUTE(SUBSTITUTE(SUBSTITUTE(SUBSTITUTE("type:"&amp;B1852,"%","%25"),"~","%7E"),"*","%2A"),"?","%3F")))&gt;1,"Duplicate type",IF(INDEX('Rules'!$F$7:$F$26,MATCH(SUBSTITUTE(SUBSTITUTE(SUBSTITUTE(SUBSTITUTE("type:"&amp;B1852,"%","%25"),"~","%7E"),"*","%2A"),"?","%3F"),'Rules'!$G$7:$G$26,0))&lt;&gt;"",INDEX('Rules'!$F$7:$F$26,MATCH(SUBSTITUTE(SUBSTITUTE(SUBSTITUTE(SUBSTITUTE("type:"&amp;B1852,"%","%25"),"~","%7E"),"*","%2A"),"?","%3F"),'Rules'!$G$7:$G$26,0)),IF(AND(C1852&lt;&gt;"",C1852&lt;&gt;INDEX('Rules'!$B$7:$B$26,MATCH(SUBSTITUTE(SUBSTITUTE(SUBSTITUTE(SUBSTITUTE("type:"&amp;B1852,"%","%25"),"~","%7E"),"*","%2A"),"?","%3F"),'Rules'!$G$7:$G$26,0))),"Unit mismatch",IF(IF(NOT(ISNUMBER(D1852)),TRUE,OR(D1852&lt;0,D1852&gt;999999999,ROUND(D1852,3)&lt;&gt;D1852)),"Invalid current reading",IF(AND(E1852&lt;&gt;"",IF(NOT(ISNUMBER(E1852)),TRUE,OR(E1852&lt;0,E1852&gt;999999999,ROUND(E1852,3)&lt;&gt;E1852))),"Invalid previous reading",IF(IF(NOT(ISNUMBER(F1852)),TRUE,OR(F1852&lt;0,F1852&gt;999999999,ROUND(F1852,3)&lt;&gt;F1852)),"Invalid last service",IF(AND(E1852&lt;&gt;"",D1852&lt;E1852),"Decreased reading",IF(F1852&gt;D1852,"Last service above current","")))))))))))))</x:f>
      </x:c>
      <x:c r="L1852" s="6" t="str">
        <x:f>IF(AND(NOT(COUNTA(A1852:F1852)=0),K1852=""),INDEX('Rules'!$C$7:$C$26,MATCH(SUBSTITUTE(SUBSTITUTE(SUBSTITUTE(SUBSTITUTE("type:"&amp;B1852,"%","%25"),"~","%7E"),"*","%2A"),"?","%3F"),'Rules'!$G$7:$G$26,0)),"")</x:f>
      </x:c>
      <x:c r="M1852" s="6" t="str">
        <x:f>IF(AND(NOT(COUNTA(A1852:F1852)=0),K1852=""),INDEX('Rules'!$D$7:$D$26,MATCH(SUBSTITUTE(SUBSTITUTE(SUBSTITUTE(SUBSTITUTE("type:"&amp;B1852,"%","%25"),"~","%7E"),"*","%2A"),"?","%3F"),'Rules'!$G$7:$G$26,0)),"")</x:f>
      </x:c>
      <x:c r="N1852" s="5" t="str">
        <x:f>IF(COUNTA(A1852:F1852)=0,"",SUBSTITUTE(SUBSTITUTE(SUBSTITUTE(SUBSTITUTE("id:"&amp;A1852,"%","%25"),"~","%7E"),"*","%2A"),"?","%3F"))</x:f>
      </x:c>
    </x:row>
    <x:row r="1853" ht="22" customHeight="1">
      <x:c r="A1853" s="3"/>
      <x:c r="B1853" s="3"/>
      <x:c r="C1853" s="3"/>
      <x:c r="D1853" s="4"/>
      <x:c r="E1853" s="4"/>
      <x:c r="F1853" s="4"/>
      <x:c r="G1853" s="5" t="str">
        <x:f>IF(COUNTA(A1853:F1853)=0,"",IF(K1853&lt;&gt;"","Review",IF(I1853&lt;0,"Overdue",IF(I1853=0,"Due now",IF(I1853&lt;=M1853,"Due soon","Not due")))))</x:f>
      </x:c>
      <x:c r="H1853" s="5" t="str">
        <x:f>IF(OR(COUNTA(A1853:F1853)=0,COUNTIFS('Rules'!$G$7:$G$26,"="&amp;(SUBSTITUTE(SUBSTITUTE(SUBSTITUTE(SUBSTITUTE("type:"&amp;B1853,"%","%25"),"~","%7E"),"*","%2A"),"?","%3F")))&lt;&gt;1),"",IF(OR(INDEX('Rules'!$B$7:$B$26,MATCH(SUBSTITUTE(SUBSTITUTE(SUBSTITUTE(SUBSTITUTE("type:"&amp;B1853,"%","%25"),"~","%7E"),"*","%2A"),"?","%3F"),'Rules'!$G$7:$G$26,0))="hours",INDEX('Rules'!$B$7:$B$26,MATCH(SUBSTITUTE(SUBSTITUTE(SUBSTITUTE(SUBSTITUTE("type:"&amp;B1853,"%","%25"),"~","%7E"),"*","%2A"),"?","%3F"),'Rules'!$G$7:$G$26,0))="km"),INDEX('Rules'!$B$7:$B$26,MATCH(SUBSTITUTE(SUBSTITUTE(SUBSTITUTE(SUBSTITUTE("type:"&amp;B1853,"%","%25"),"~","%7E"),"*","%2A"),"?","%3F"),'Rules'!$G$7:$G$26,0)),""))</x:f>
      </x:c>
      <x:c r="I1853" s="6" t="str">
        <x:f>IF(AND(NOT(COUNTA(A1853:F1853)=0),K1853=""),ROUND(J1853-D1853,3),"")</x:f>
      </x:c>
      <x:c r="J1853" s="6" t="str">
        <x:f>IF(AND(NOT(COUNTA(A1853:F1853)=0),K1853=""),ROUND(F1853+L1853,3),"")</x:f>
      </x:c>
      <x:c r="K1853" s="5" t="str">
        <x:f>IF(COUNTA(A1853:F1853)=0,"",IF(A1853="","Missing equipment ID",IF(COUNTIFS($N$8:$N$2007,"="&amp;N1853)&gt;1,"Duplicate equipment ID",IF(B1853="","Missing type",IF(COUNTIFS('Rules'!$G$7:$G$26,"="&amp;(SUBSTITUTE(SUBSTITUTE(SUBSTITUTE(SUBSTITUTE("type:"&amp;B1853,"%","%25"),"~","%7E"),"*","%2A"),"?","%3F")))=0,"Unknown type",IF(COUNTIFS('Rules'!$G$7:$G$26,"="&amp;(SUBSTITUTE(SUBSTITUTE(SUBSTITUTE(SUBSTITUTE("type:"&amp;B1853,"%","%25"),"~","%7E"),"*","%2A"),"?","%3F")))&gt;1,"Duplicate type",IF(INDEX('Rules'!$F$7:$F$26,MATCH(SUBSTITUTE(SUBSTITUTE(SUBSTITUTE(SUBSTITUTE("type:"&amp;B1853,"%","%25"),"~","%7E"),"*","%2A"),"?","%3F"),'Rules'!$G$7:$G$26,0))&lt;&gt;"",INDEX('Rules'!$F$7:$F$26,MATCH(SUBSTITUTE(SUBSTITUTE(SUBSTITUTE(SUBSTITUTE("type:"&amp;B1853,"%","%25"),"~","%7E"),"*","%2A"),"?","%3F"),'Rules'!$G$7:$G$26,0)),IF(AND(C1853&lt;&gt;"",C1853&lt;&gt;INDEX('Rules'!$B$7:$B$26,MATCH(SUBSTITUTE(SUBSTITUTE(SUBSTITUTE(SUBSTITUTE("type:"&amp;B1853,"%","%25"),"~","%7E"),"*","%2A"),"?","%3F"),'Rules'!$G$7:$G$26,0))),"Unit mismatch",IF(IF(NOT(ISNUMBER(D1853)),TRUE,OR(D1853&lt;0,D1853&gt;999999999,ROUND(D1853,3)&lt;&gt;D1853)),"Invalid current reading",IF(AND(E1853&lt;&gt;"",IF(NOT(ISNUMBER(E1853)),TRUE,OR(E1853&lt;0,E1853&gt;999999999,ROUND(E1853,3)&lt;&gt;E1853))),"Invalid previous reading",IF(IF(NOT(ISNUMBER(F1853)),TRUE,OR(F1853&lt;0,F1853&gt;999999999,ROUND(F1853,3)&lt;&gt;F1853)),"Invalid last service",IF(AND(E1853&lt;&gt;"",D1853&lt;E1853),"Decreased reading",IF(F1853&gt;D1853,"Last service above current","")))))))))))))</x:f>
      </x:c>
      <x:c r="L1853" s="6" t="str">
        <x:f>IF(AND(NOT(COUNTA(A1853:F1853)=0),K1853=""),INDEX('Rules'!$C$7:$C$26,MATCH(SUBSTITUTE(SUBSTITUTE(SUBSTITUTE(SUBSTITUTE("type:"&amp;B1853,"%","%25"),"~","%7E"),"*","%2A"),"?","%3F"),'Rules'!$G$7:$G$26,0)),"")</x:f>
      </x:c>
      <x:c r="M1853" s="6" t="str">
        <x:f>IF(AND(NOT(COUNTA(A1853:F1853)=0),K1853=""),INDEX('Rules'!$D$7:$D$26,MATCH(SUBSTITUTE(SUBSTITUTE(SUBSTITUTE(SUBSTITUTE("type:"&amp;B1853,"%","%25"),"~","%7E"),"*","%2A"),"?","%3F"),'Rules'!$G$7:$G$26,0)),"")</x:f>
      </x:c>
      <x:c r="N1853" s="5" t="str">
        <x:f>IF(COUNTA(A1853:F1853)=0,"",SUBSTITUTE(SUBSTITUTE(SUBSTITUTE(SUBSTITUTE("id:"&amp;A1853,"%","%25"),"~","%7E"),"*","%2A"),"?","%3F"))</x:f>
      </x:c>
    </x:row>
    <x:row r="1854" ht="22" customHeight="1">
      <x:c r="A1854" s="3"/>
      <x:c r="B1854" s="3"/>
      <x:c r="C1854" s="3"/>
      <x:c r="D1854" s="4"/>
      <x:c r="E1854" s="4"/>
      <x:c r="F1854" s="4"/>
      <x:c r="G1854" s="5" t="str">
        <x:f>IF(COUNTA(A1854:F1854)=0,"",IF(K1854&lt;&gt;"","Review",IF(I1854&lt;0,"Overdue",IF(I1854=0,"Due now",IF(I1854&lt;=M1854,"Due soon","Not due")))))</x:f>
      </x:c>
      <x:c r="H1854" s="5" t="str">
        <x:f>IF(OR(COUNTA(A1854:F1854)=0,COUNTIFS('Rules'!$G$7:$G$26,"="&amp;(SUBSTITUTE(SUBSTITUTE(SUBSTITUTE(SUBSTITUTE("type:"&amp;B1854,"%","%25"),"~","%7E"),"*","%2A"),"?","%3F")))&lt;&gt;1),"",IF(OR(INDEX('Rules'!$B$7:$B$26,MATCH(SUBSTITUTE(SUBSTITUTE(SUBSTITUTE(SUBSTITUTE("type:"&amp;B1854,"%","%25"),"~","%7E"),"*","%2A"),"?","%3F"),'Rules'!$G$7:$G$26,0))="hours",INDEX('Rules'!$B$7:$B$26,MATCH(SUBSTITUTE(SUBSTITUTE(SUBSTITUTE(SUBSTITUTE("type:"&amp;B1854,"%","%25"),"~","%7E"),"*","%2A"),"?","%3F"),'Rules'!$G$7:$G$26,0))="km"),INDEX('Rules'!$B$7:$B$26,MATCH(SUBSTITUTE(SUBSTITUTE(SUBSTITUTE(SUBSTITUTE("type:"&amp;B1854,"%","%25"),"~","%7E"),"*","%2A"),"?","%3F"),'Rules'!$G$7:$G$26,0)),""))</x:f>
      </x:c>
      <x:c r="I1854" s="6" t="str">
        <x:f>IF(AND(NOT(COUNTA(A1854:F1854)=0),K1854=""),ROUND(J1854-D1854,3),"")</x:f>
      </x:c>
      <x:c r="J1854" s="6" t="str">
        <x:f>IF(AND(NOT(COUNTA(A1854:F1854)=0),K1854=""),ROUND(F1854+L1854,3),"")</x:f>
      </x:c>
      <x:c r="K1854" s="5" t="str">
        <x:f>IF(COUNTA(A1854:F1854)=0,"",IF(A1854="","Missing equipment ID",IF(COUNTIFS($N$8:$N$2007,"="&amp;N1854)&gt;1,"Duplicate equipment ID",IF(B1854="","Missing type",IF(COUNTIFS('Rules'!$G$7:$G$26,"="&amp;(SUBSTITUTE(SUBSTITUTE(SUBSTITUTE(SUBSTITUTE("type:"&amp;B1854,"%","%25"),"~","%7E"),"*","%2A"),"?","%3F")))=0,"Unknown type",IF(COUNTIFS('Rules'!$G$7:$G$26,"="&amp;(SUBSTITUTE(SUBSTITUTE(SUBSTITUTE(SUBSTITUTE("type:"&amp;B1854,"%","%25"),"~","%7E"),"*","%2A"),"?","%3F")))&gt;1,"Duplicate type",IF(INDEX('Rules'!$F$7:$F$26,MATCH(SUBSTITUTE(SUBSTITUTE(SUBSTITUTE(SUBSTITUTE("type:"&amp;B1854,"%","%25"),"~","%7E"),"*","%2A"),"?","%3F"),'Rules'!$G$7:$G$26,0))&lt;&gt;"",INDEX('Rules'!$F$7:$F$26,MATCH(SUBSTITUTE(SUBSTITUTE(SUBSTITUTE(SUBSTITUTE("type:"&amp;B1854,"%","%25"),"~","%7E"),"*","%2A"),"?","%3F"),'Rules'!$G$7:$G$26,0)),IF(AND(C1854&lt;&gt;"",C1854&lt;&gt;INDEX('Rules'!$B$7:$B$26,MATCH(SUBSTITUTE(SUBSTITUTE(SUBSTITUTE(SUBSTITUTE("type:"&amp;B1854,"%","%25"),"~","%7E"),"*","%2A"),"?","%3F"),'Rules'!$G$7:$G$26,0))),"Unit mismatch",IF(IF(NOT(ISNUMBER(D1854)),TRUE,OR(D1854&lt;0,D1854&gt;999999999,ROUND(D1854,3)&lt;&gt;D1854)),"Invalid current reading",IF(AND(E1854&lt;&gt;"",IF(NOT(ISNUMBER(E1854)),TRUE,OR(E1854&lt;0,E1854&gt;999999999,ROUND(E1854,3)&lt;&gt;E1854))),"Invalid previous reading",IF(IF(NOT(ISNUMBER(F1854)),TRUE,OR(F1854&lt;0,F1854&gt;999999999,ROUND(F1854,3)&lt;&gt;F1854)),"Invalid last service",IF(AND(E1854&lt;&gt;"",D1854&lt;E1854),"Decreased reading",IF(F1854&gt;D1854,"Last service above current","")))))))))))))</x:f>
      </x:c>
      <x:c r="L1854" s="6" t="str">
        <x:f>IF(AND(NOT(COUNTA(A1854:F1854)=0),K1854=""),INDEX('Rules'!$C$7:$C$26,MATCH(SUBSTITUTE(SUBSTITUTE(SUBSTITUTE(SUBSTITUTE("type:"&amp;B1854,"%","%25"),"~","%7E"),"*","%2A"),"?","%3F"),'Rules'!$G$7:$G$26,0)),"")</x:f>
      </x:c>
      <x:c r="M1854" s="6" t="str">
        <x:f>IF(AND(NOT(COUNTA(A1854:F1854)=0),K1854=""),INDEX('Rules'!$D$7:$D$26,MATCH(SUBSTITUTE(SUBSTITUTE(SUBSTITUTE(SUBSTITUTE("type:"&amp;B1854,"%","%25"),"~","%7E"),"*","%2A"),"?","%3F"),'Rules'!$G$7:$G$26,0)),"")</x:f>
      </x:c>
      <x:c r="N1854" s="5" t="str">
        <x:f>IF(COUNTA(A1854:F1854)=0,"",SUBSTITUTE(SUBSTITUTE(SUBSTITUTE(SUBSTITUTE("id:"&amp;A1854,"%","%25"),"~","%7E"),"*","%2A"),"?","%3F"))</x:f>
      </x:c>
    </x:row>
    <x:row r="1855" ht="22" customHeight="1">
      <x:c r="A1855" s="3"/>
      <x:c r="B1855" s="3"/>
      <x:c r="C1855" s="3"/>
      <x:c r="D1855" s="4"/>
      <x:c r="E1855" s="4"/>
      <x:c r="F1855" s="4"/>
      <x:c r="G1855" s="5" t="str">
        <x:f>IF(COUNTA(A1855:F1855)=0,"",IF(K1855&lt;&gt;"","Review",IF(I1855&lt;0,"Overdue",IF(I1855=0,"Due now",IF(I1855&lt;=M1855,"Due soon","Not due")))))</x:f>
      </x:c>
      <x:c r="H1855" s="5" t="str">
        <x:f>IF(OR(COUNTA(A1855:F1855)=0,COUNTIFS('Rules'!$G$7:$G$26,"="&amp;(SUBSTITUTE(SUBSTITUTE(SUBSTITUTE(SUBSTITUTE("type:"&amp;B1855,"%","%25"),"~","%7E"),"*","%2A"),"?","%3F")))&lt;&gt;1),"",IF(OR(INDEX('Rules'!$B$7:$B$26,MATCH(SUBSTITUTE(SUBSTITUTE(SUBSTITUTE(SUBSTITUTE("type:"&amp;B1855,"%","%25"),"~","%7E"),"*","%2A"),"?","%3F"),'Rules'!$G$7:$G$26,0))="hours",INDEX('Rules'!$B$7:$B$26,MATCH(SUBSTITUTE(SUBSTITUTE(SUBSTITUTE(SUBSTITUTE("type:"&amp;B1855,"%","%25"),"~","%7E"),"*","%2A"),"?","%3F"),'Rules'!$G$7:$G$26,0))="km"),INDEX('Rules'!$B$7:$B$26,MATCH(SUBSTITUTE(SUBSTITUTE(SUBSTITUTE(SUBSTITUTE("type:"&amp;B1855,"%","%25"),"~","%7E"),"*","%2A"),"?","%3F"),'Rules'!$G$7:$G$26,0)),""))</x:f>
      </x:c>
      <x:c r="I1855" s="6" t="str">
        <x:f>IF(AND(NOT(COUNTA(A1855:F1855)=0),K1855=""),ROUND(J1855-D1855,3),"")</x:f>
      </x:c>
      <x:c r="J1855" s="6" t="str">
        <x:f>IF(AND(NOT(COUNTA(A1855:F1855)=0),K1855=""),ROUND(F1855+L1855,3),"")</x:f>
      </x:c>
      <x:c r="K1855" s="5" t="str">
        <x:f>IF(COUNTA(A1855:F1855)=0,"",IF(A1855="","Missing equipment ID",IF(COUNTIFS($N$8:$N$2007,"="&amp;N1855)&gt;1,"Duplicate equipment ID",IF(B1855="","Missing type",IF(COUNTIFS('Rules'!$G$7:$G$26,"="&amp;(SUBSTITUTE(SUBSTITUTE(SUBSTITUTE(SUBSTITUTE("type:"&amp;B1855,"%","%25"),"~","%7E"),"*","%2A"),"?","%3F")))=0,"Unknown type",IF(COUNTIFS('Rules'!$G$7:$G$26,"="&amp;(SUBSTITUTE(SUBSTITUTE(SUBSTITUTE(SUBSTITUTE("type:"&amp;B1855,"%","%25"),"~","%7E"),"*","%2A"),"?","%3F")))&gt;1,"Duplicate type",IF(INDEX('Rules'!$F$7:$F$26,MATCH(SUBSTITUTE(SUBSTITUTE(SUBSTITUTE(SUBSTITUTE("type:"&amp;B1855,"%","%25"),"~","%7E"),"*","%2A"),"?","%3F"),'Rules'!$G$7:$G$26,0))&lt;&gt;"",INDEX('Rules'!$F$7:$F$26,MATCH(SUBSTITUTE(SUBSTITUTE(SUBSTITUTE(SUBSTITUTE("type:"&amp;B1855,"%","%25"),"~","%7E"),"*","%2A"),"?","%3F"),'Rules'!$G$7:$G$26,0)),IF(AND(C1855&lt;&gt;"",C1855&lt;&gt;INDEX('Rules'!$B$7:$B$26,MATCH(SUBSTITUTE(SUBSTITUTE(SUBSTITUTE(SUBSTITUTE("type:"&amp;B1855,"%","%25"),"~","%7E"),"*","%2A"),"?","%3F"),'Rules'!$G$7:$G$26,0))),"Unit mismatch",IF(IF(NOT(ISNUMBER(D1855)),TRUE,OR(D1855&lt;0,D1855&gt;999999999,ROUND(D1855,3)&lt;&gt;D1855)),"Invalid current reading",IF(AND(E1855&lt;&gt;"",IF(NOT(ISNUMBER(E1855)),TRUE,OR(E1855&lt;0,E1855&gt;999999999,ROUND(E1855,3)&lt;&gt;E1855))),"Invalid previous reading",IF(IF(NOT(ISNUMBER(F1855)),TRUE,OR(F1855&lt;0,F1855&gt;999999999,ROUND(F1855,3)&lt;&gt;F1855)),"Invalid last service",IF(AND(E1855&lt;&gt;"",D1855&lt;E1855),"Decreased reading",IF(F1855&gt;D1855,"Last service above current","")))))))))))))</x:f>
      </x:c>
      <x:c r="L1855" s="6" t="str">
        <x:f>IF(AND(NOT(COUNTA(A1855:F1855)=0),K1855=""),INDEX('Rules'!$C$7:$C$26,MATCH(SUBSTITUTE(SUBSTITUTE(SUBSTITUTE(SUBSTITUTE("type:"&amp;B1855,"%","%25"),"~","%7E"),"*","%2A"),"?","%3F"),'Rules'!$G$7:$G$26,0)),"")</x:f>
      </x:c>
      <x:c r="M1855" s="6" t="str">
        <x:f>IF(AND(NOT(COUNTA(A1855:F1855)=0),K1855=""),INDEX('Rules'!$D$7:$D$26,MATCH(SUBSTITUTE(SUBSTITUTE(SUBSTITUTE(SUBSTITUTE("type:"&amp;B1855,"%","%25"),"~","%7E"),"*","%2A"),"?","%3F"),'Rules'!$G$7:$G$26,0)),"")</x:f>
      </x:c>
      <x:c r="N1855" s="5" t="str">
        <x:f>IF(COUNTA(A1855:F1855)=0,"",SUBSTITUTE(SUBSTITUTE(SUBSTITUTE(SUBSTITUTE("id:"&amp;A1855,"%","%25"),"~","%7E"),"*","%2A"),"?","%3F"))</x:f>
      </x:c>
    </x:row>
    <x:row r="1856" ht="22" customHeight="1">
      <x:c r="A1856" s="3"/>
      <x:c r="B1856" s="3"/>
      <x:c r="C1856" s="3"/>
      <x:c r="D1856" s="4"/>
      <x:c r="E1856" s="4"/>
      <x:c r="F1856" s="4"/>
      <x:c r="G1856" s="5" t="str">
        <x:f>IF(COUNTA(A1856:F1856)=0,"",IF(K1856&lt;&gt;"","Review",IF(I1856&lt;0,"Overdue",IF(I1856=0,"Due now",IF(I1856&lt;=M1856,"Due soon","Not due")))))</x:f>
      </x:c>
      <x:c r="H1856" s="5" t="str">
        <x:f>IF(OR(COUNTA(A1856:F1856)=0,COUNTIFS('Rules'!$G$7:$G$26,"="&amp;(SUBSTITUTE(SUBSTITUTE(SUBSTITUTE(SUBSTITUTE("type:"&amp;B1856,"%","%25"),"~","%7E"),"*","%2A"),"?","%3F")))&lt;&gt;1),"",IF(OR(INDEX('Rules'!$B$7:$B$26,MATCH(SUBSTITUTE(SUBSTITUTE(SUBSTITUTE(SUBSTITUTE("type:"&amp;B1856,"%","%25"),"~","%7E"),"*","%2A"),"?","%3F"),'Rules'!$G$7:$G$26,0))="hours",INDEX('Rules'!$B$7:$B$26,MATCH(SUBSTITUTE(SUBSTITUTE(SUBSTITUTE(SUBSTITUTE("type:"&amp;B1856,"%","%25"),"~","%7E"),"*","%2A"),"?","%3F"),'Rules'!$G$7:$G$26,0))="km"),INDEX('Rules'!$B$7:$B$26,MATCH(SUBSTITUTE(SUBSTITUTE(SUBSTITUTE(SUBSTITUTE("type:"&amp;B1856,"%","%25"),"~","%7E"),"*","%2A"),"?","%3F"),'Rules'!$G$7:$G$26,0)),""))</x:f>
      </x:c>
      <x:c r="I1856" s="6" t="str">
        <x:f>IF(AND(NOT(COUNTA(A1856:F1856)=0),K1856=""),ROUND(J1856-D1856,3),"")</x:f>
      </x:c>
      <x:c r="J1856" s="6" t="str">
        <x:f>IF(AND(NOT(COUNTA(A1856:F1856)=0),K1856=""),ROUND(F1856+L1856,3),"")</x:f>
      </x:c>
      <x:c r="K1856" s="5" t="str">
        <x:f>IF(COUNTA(A1856:F1856)=0,"",IF(A1856="","Missing equipment ID",IF(COUNTIFS($N$8:$N$2007,"="&amp;N1856)&gt;1,"Duplicate equipment ID",IF(B1856="","Missing type",IF(COUNTIFS('Rules'!$G$7:$G$26,"="&amp;(SUBSTITUTE(SUBSTITUTE(SUBSTITUTE(SUBSTITUTE("type:"&amp;B1856,"%","%25"),"~","%7E"),"*","%2A"),"?","%3F")))=0,"Unknown type",IF(COUNTIFS('Rules'!$G$7:$G$26,"="&amp;(SUBSTITUTE(SUBSTITUTE(SUBSTITUTE(SUBSTITUTE("type:"&amp;B1856,"%","%25"),"~","%7E"),"*","%2A"),"?","%3F")))&gt;1,"Duplicate type",IF(INDEX('Rules'!$F$7:$F$26,MATCH(SUBSTITUTE(SUBSTITUTE(SUBSTITUTE(SUBSTITUTE("type:"&amp;B1856,"%","%25"),"~","%7E"),"*","%2A"),"?","%3F"),'Rules'!$G$7:$G$26,0))&lt;&gt;"",INDEX('Rules'!$F$7:$F$26,MATCH(SUBSTITUTE(SUBSTITUTE(SUBSTITUTE(SUBSTITUTE("type:"&amp;B1856,"%","%25"),"~","%7E"),"*","%2A"),"?","%3F"),'Rules'!$G$7:$G$26,0)),IF(AND(C1856&lt;&gt;"",C1856&lt;&gt;INDEX('Rules'!$B$7:$B$26,MATCH(SUBSTITUTE(SUBSTITUTE(SUBSTITUTE(SUBSTITUTE("type:"&amp;B1856,"%","%25"),"~","%7E"),"*","%2A"),"?","%3F"),'Rules'!$G$7:$G$26,0))),"Unit mismatch",IF(IF(NOT(ISNUMBER(D1856)),TRUE,OR(D1856&lt;0,D1856&gt;999999999,ROUND(D1856,3)&lt;&gt;D1856)),"Invalid current reading",IF(AND(E1856&lt;&gt;"",IF(NOT(ISNUMBER(E1856)),TRUE,OR(E1856&lt;0,E1856&gt;999999999,ROUND(E1856,3)&lt;&gt;E1856))),"Invalid previous reading",IF(IF(NOT(ISNUMBER(F1856)),TRUE,OR(F1856&lt;0,F1856&gt;999999999,ROUND(F1856,3)&lt;&gt;F1856)),"Invalid last service",IF(AND(E1856&lt;&gt;"",D1856&lt;E1856),"Decreased reading",IF(F1856&gt;D1856,"Last service above current","")))))))))))))</x:f>
      </x:c>
      <x:c r="L1856" s="6" t="str">
        <x:f>IF(AND(NOT(COUNTA(A1856:F1856)=0),K1856=""),INDEX('Rules'!$C$7:$C$26,MATCH(SUBSTITUTE(SUBSTITUTE(SUBSTITUTE(SUBSTITUTE("type:"&amp;B1856,"%","%25"),"~","%7E"),"*","%2A"),"?","%3F"),'Rules'!$G$7:$G$26,0)),"")</x:f>
      </x:c>
      <x:c r="M1856" s="6" t="str">
        <x:f>IF(AND(NOT(COUNTA(A1856:F1856)=0),K1856=""),INDEX('Rules'!$D$7:$D$26,MATCH(SUBSTITUTE(SUBSTITUTE(SUBSTITUTE(SUBSTITUTE("type:"&amp;B1856,"%","%25"),"~","%7E"),"*","%2A"),"?","%3F"),'Rules'!$G$7:$G$26,0)),"")</x:f>
      </x:c>
      <x:c r="N1856" s="5" t="str">
        <x:f>IF(COUNTA(A1856:F1856)=0,"",SUBSTITUTE(SUBSTITUTE(SUBSTITUTE(SUBSTITUTE("id:"&amp;A1856,"%","%25"),"~","%7E"),"*","%2A"),"?","%3F"))</x:f>
      </x:c>
    </x:row>
    <x:row r="1857" ht="22" customHeight="1">
      <x:c r="A1857" s="3"/>
      <x:c r="B1857" s="3"/>
      <x:c r="C1857" s="3"/>
      <x:c r="D1857" s="4"/>
      <x:c r="E1857" s="4"/>
      <x:c r="F1857" s="4"/>
      <x:c r="G1857" s="5" t="str">
        <x:f>IF(COUNTA(A1857:F1857)=0,"",IF(K1857&lt;&gt;"","Review",IF(I1857&lt;0,"Overdue",IF(I1857=0,"Due now",IF(I1857&lt;=M1857,"Due soon","Not due")))))</x:f>
      </x:c>
      <x:c r="H1857" s="5" t="str">
        <x:f>IF(OR(COUNTA(A1857:F1857)=0,COUNTIFS('Rules'!$G$7:$G$26,"="&amp;(SUBSTITUTE(SUBSTITUTE(SUBSTITUTE(SUBSTITUTE("type:"&amp;B1857,"%","%25"),"~","%7E"),"*","%2A"),"?","%3F")))&lt;&gt;1),"",IF(OR(INDEX('Rules'!$B$7:$B$26,MATCH(SUBSTITUTE(SUBSTITUTE(SUBSTITUTE(SUBSTITUTE("type:"&amp;B1857,"%","%25"),"~","%7E"),"*","%2A"),"?","%3F"),'Rules'!$G$7:$G$26,0))="hours",INDEX('Rules'!$B$7:$B$26,MATCH(SUBSTITUTE(SUBSTITUTE(SUBSTITUTE(SUBSTITUTE("type:"&amp;B1857,"%","%25"),"~","%7E"),"*","%2A"),"?","%3F"),'Rules'!$G$7:$G$26,0))="km"),INDEX('Rules'!$B$7:$B$26,MATCH(SUBSTITUTE(SUBSTITUTE(SUBSTITUTE(SUBSTITUTE("type:"&amp;B1857,"%","%25"),"~","%7E"),"*","%2A"),"?","%3F"),'Rules'!$G$7:$G$26,0)),""))</x:f>
      </x:c>
      <x:c r="I1857" s="6" t="str">
        <x:f>IF(AND(NOT(COUNTA(A1857:F1857)=0),K1857=""),ROUND(J1857-D1857,3),"")</x:f>
      </x:c>
      <x:c r="J1857" s="6" t="str">
        <x:f>IF(AND(NOT(COUNTA(A1857:F1857)=0),K1857=""),ROUND(F1857+L1857,3),"")</x:f>
      </x:c>
      <x:c r="K1857" s="5" t="str">
        <x:f>IF(COUNTA(A1857:F1857)=0,"",IF(A1857="","Missing equipment ID",IF(COUNTIFS($N$8:$N$2007,"="&amp;N1857)&gt;1,"Duplicate equipment ID",IF(B1857="","Missing type",IF(COUNTIFS('Rules'!$G$7:$G$26,"="&amp;(SUBSTITUTE(SUBSTITUTE(SUBSTITUTE(SUBSTITUTE("type:"&amp;B1857,"%","%25"),"~","%7E"),"*","%2A"),"?","%3F")))=0,"Unknown type",IF(COUNTIFS('Rules'!$G$7:$G$26,"="&amp;(SUBSTITUTE(SUBSTITUTE(SUBSTITUTE(SUBSTITUTE("type:"&amp;B1857,"%","%25"),"~","%7E"),"*","%2A"),"?","%3F")))&gt;1,"Duplicate type",IF(INDEX('Rules'!$F$7:$F$26,MATCH(SUBSTITUTE(SUBSTITUTE(SUBSTITUTE(SUBSTITUTE("type:"&amp;B1857,"%","%25"),"~","%7E"),"*","%2A"),"?","%3F"),'Rules'!$G$7:$G$26,0))&lt;&gt;"",INDEX('Rules'!$F$7:$F$26,MATCH(SUBSTITUTE(SUBSTITUTE(SUBSTITUTE(SUBSTITUTE("type:"&amp;B1857,"%","%25"),"~","%7E"),"*","%2A"),"?","%3F"),'Rules'!$G$7:$G$26,0)),IF(AND(C1857&lt;&gt;"",C1857&lt;&gt;INDEX('Rules'!$B$7:$B$26,MATCH(SUBSTITUTE(SUBSTITUTE(SUBSTITUTE(SUBSTITUTE("type:"&amp;B1857,"%","%25"),"~","%7E"),"*","%2A"),"?","%3F"),'Rules'!$G$7:$G$26,0))),"Unit mismatch",IF(IF(NOT(ISNUMBER(D1857)),TRUE,OR(D1857&lt;0,D1857&gt;999999999,ROUND(D1857,3)&lt;&gt;D1857)),"Invalid current reading",IF(AND(E1857&lt;&gt;"",IF(NOT(ISNUMBER(E1857)),TRUE,OR(E1857&lt;0,E1857&gt;999999999,ROUND(E1857,3)&lt;&gt;E1857))),"Invalid previous reading",IF(IF(NOT(ISNUMBER(F1857)),TRUE,OR(F1857&lt;0,F1857&gt;999999999,ROUND(F1857,3)&lt;&gt;F1857)),"Invalid last service",IF(AND(E1857&lt;&gt;"",D1857&lt;E1857),"Decreased reading",IF(F1857&gt;D1857,"Last service above current","")))))))))))))</x:f>
      </x:c>
      <x:c r="L1857" s="6" t="str">
        <x:f>IF(AND(NOT(COUNTA(A1857:F1857)=0),K1857=""),INDEX('Rules'!$C$7:$C$26,MATCH(SUBSTITUTE(SUBSTITUTE(SUBSTITUTE(SUBSTITUTE("type:"&amp;B1857,"%","%25"),"~","%7E"),"*","%2A"),"?","%3F"),'Rules'!$G$7:$G$26,0)),"")</x:f>
      </x:c>
      <x:c r="M1857" s="6" t="str">
        <x:f>IF(AND(NOT(COUNTA(A1857:F1857)=0),K1857=""),INDEX('Rules'!$D$7:$D$26,MATCH(SUBSTITUTE(SUBSTITUTE(SUBSTITUTE(SUBSTITUTE("type:"&amp;B1857,"%","%25"),"~","%7E"),"*","%2A"),"?","%3F"),'Rules'!$G$7:$G$26,0)),"")</x:f>
      </x:c>
      <x:c r="N1857" s="5" t="str">
        <x:f>IF(COUNTA(A1857:F1857)=0,"",SUBSTITUTE(SUBSTITUTE(SUBSTITUTE(SUBSTITUTE("id:"&amp;A1857,"%","%25"),"~","%7E"),"*","%2A"),"?","%3F"))</x:f>
      </x:c>
    </x:row>
    <x:row r="1858" ht="22" customHeight="1">
      <x:c r="A1858" s="3"/>
      <x:c r="B1858" s="3"/>
      <x:c r="C1858" s="3"/>
      <x:c r="D1858" s="4"/>
      <x:c r="E1858" s="4"/>
      <x:c r="F1858" s="4"/>
      <x:c r="G1858" s="5" t="str">
        <x:f>IF(COUNTA(A1858:F1858)=0,"",IF(K1858&lt;&gt;"","Review",IF(I1858&lt;0,"Overdue",IF(I1858=0,"Due now",IF(I1858&lt;=M1858,"Due soon","Not due")))))</x:f>
      </x:c>
      <x:c r="H1858" s="5" t="str">
        <x:f>IF(OR(COUNTA(A1858:F1858)=0,COUNTIFS('Rules'!$G$7:$G$26,"="&amp;(SUBSTITUTE(SUBSTITUTE(SUBSTITUTE(SUBSTITUTE("type:"&amp;B1858,"%","%25"),"~","%7E"),"*","%2A"),"?","%3F")))&lt;&gt;1),"",IF(OR(INDEX('Rules'!$B$7:$B$26,MATCH(SUBSTITUTE(SUBSTITUTE(SUBSTITUTE(SUBSTITUTE("type:"&amp;B1858,"%","%25"),"~","%7E"),"*","%2A"),"?","%3F"),'Rules'!$G$7:$G$26,0))="hours",INDEX('Rules'!$B$7:$B$26,MATCH(SUBSTITUTE(SUBSTITUTE(SUBSTITUTE(SUBSTITUTE("type:"&amp;B1858,"%","%25"),"~","%7E"),"*","%2A"),"?","%3F"),'Rules'!$G$7:$G$26,0))="km"),INDEX('Rules'!$B$7:$B$26,MATCH(SUBSTITUTE(SUBSTITUTE(SUBSTITUTE(SUBSTITUTE("type:"&amp;B1858,"%","%25"),"~","%7E"),"*","%2A"),"?","%3F"),'Rules'!$G$7:$G$26,0)),""))</x:f>
      </x:c>
      <x:c r="I1858" s="6" t="str">
        <x:f>IF(AND(NOT(COUNTA(A1858:F1858)=0),K1858=""),ROUND(J1858-D1858,3),"")</x:f>
      </x:c>
      <x:c r="J1858" s="6" t="str">
        <x:f>IF(AND(NOT(COUNTA(A1858:F1858)=0),K1858=""),ROUND(F1858+L1858,3),"")</x:f>
      </x:c>
      <x:c r="K1858" s="5" t="str">
        <x:f>IF(COUNTA(A1858:F1858)=0,"",IF(A1858="","Missing equipment ID",IF(COUNTIFS($N$8:$N$2007,"="&amp;N1858)&gt;1,"Duplicate equipment ID",IF(B1858="","Missing type",IF(COUNTIFS('Rules'!$G$7:$G$26,"="&amp;(SUBSTITUTE(SUBSTITUTE(SUBSTITUTE(SUBSTITUTE("type:"&amp;B1858,"%","%25"),"~","%7E"),"*","%2A"),"?","%3F")))=0,"Unknown type",IF(COUNTIFS('Rules'!$G$7:$G$26,"="&amp;(SUBSTITUTE(SUBSTITUTE(SUBSTITUTE(SUBSTITUTE("type:"&amp;B1858,"%","%25"),"~","%7E"),"*","%2A"),"?","%3F")))&gt;1,"Duplicate type",IF(INDEX('Rules'!$F$7:$F$26,MATCH(SUBSTITUTE(SUBSTITUTE(SUBSTITUTE(SUBSTITUTE("type:"&amp;B1858,"%","%25"),"~","%7E"),"*","%2A"),"?","%3F"),'Rules'!$G$7:$G$26,0))&lt;&gt;"",INDEX('Rules'!$F$7:$F$26,MATCH(SUBSTITUTE(SUBSTITUTE(SUBSTITUTE(SUBSTITUTE("type:"&amp;B1858,"%","%25"),"~","%7E"),"*","%2A"),"?","%3F"),'Rules'!$G$7:$G$26,0)),IF(AND(C1858&lt;&gt;"",C1858&lt;&gt;INDEX('Rules'!$B$7:$B$26,MATCH(SUBSTITUTE(SUBSTITUTE(SUBSTITUTE(SUBSTITUTE("type:"&amp;B1858,"%","%25"),"~","%7E"),"*","%2A"),"?","%3F"),'Rules'!$G$7:$G$26,0))),"Unit mismatch",IF(IF(NOT(ISNUMBER(D1858)),TRUE,OR(D1858&lt;0,D1858&gt;999999999,ROUND(D1858,3)&lt;&gt;D1858)),"Invalid current reading",IF(AND(E1858&lt;&gt;"",IF(NOT(ISNUMBER(E1858)),TRUE,OR(E1858&lt;0,E1858&gt;999999999,ROUND(E1858,3)&lt;&gt;E1858))),"Invalid previous reading",IF(IF(NOT(ISNUMBER(F1858)),TRUE,OR(F1858&lt;0,F1858&gt;999999999,ROUND(F1858,3)&lt;&gt;F1858)),"Invalid last service",IF(AND(E1858&lt;&gt;"",D1858&lt;E1858),"Decreased reading",IF(F1858&gt;D1858,"Last service above current","")))))))))))))</x:f>
      </x:c>
      <x:c r="L1858" s="6" t="str">
        <x:f>IF(AND(NOT(COUNTA(A1858:F1858)=0),K1858=""),INDEX('Rules'!$C$7:$C$26,MATCH(SUBSTITUTE(SUBSTITUTE(SUBSTITUTE(SUBSTITUTE("type:"&amp;B1858,"%","%25"),"~","%7E"),"*","%2A"),"?","%3F"),'Rules'!$G$7:$G$26,0)),"")</x:f>
      </x:c>
      <x:c r="M1858" s="6" t="str">
        <x:f>IF(AND(NOT(COUNTA(A1858:F1858)=0),K1858=""),INDEX('Rules'!$D$7:$D$26,MATCH(SUBSTITUTE(SUBSTITUTE(SUBSTITUTE(SUBSTITUTE("type:"&amp;B1858,"%","%25"),"~","%7E"),"*","%2A"),"?","%3F"),'Rules'!$G$7:$G$26,0)),"")</x:f>
      </x:c>
      <x:c r="N1858" s="5" t="str">
        <x:f>IF(COUNTA(A1858:F1858)=0,"",SUBSTITUTE(SUBSTITUTE(SUBSTITUTE(SUBSTITUTE("id:"&amp;A1858,"%","%25"),"~","%7E"),"*","%2A"),"?","%3F"))</x:f>
      </x:c>
    </x:row>
    <x:row r="1859" ht="22" customHeight="1">
      <x:c r="A1859" s="3"/>
      <x:c r="B1859" s="3"/>
      <x:c r="C1859" s="3"/>
      <x:c r="D1859" s="4"/>
      <x:c r="E1859" s="4"/>
      <x:c r="F1859" s="4"/>
      <x:c r="G1859" s="5" t="str">
        <x:f>IF(COUNTA(A1859:F1859)=0,"",IF(K1859&lt;&gt;"","Review",IF(I1859&lt;0,"Overdue",IF(I1859=0,"Due now",IF(I1859&lt;=M1859,"Due soon","Not due")))))</x:f>
      </x:c>
      <x:c r="H1859" s="5" t="str">
        <x:f>IF(OR(COUNTA(A1859:F1859)=0,COUNTIFS('Rules'!$G$7:$G$26,"="&amp;(SUBSTITUTE(SUBSTITUTE(SUBSTITUTE(SUBSTITUTE("type:"&amp;B1859,"%","%25"),"~","%7E"),"*","%2A"),"?","%3F")))&lt;&gt;1),"",IF(OR(INDEX('Rules'!$B$7:$B$26,MATCH(SUBSTITUTE(SUBSTITUTE(SUBSTITUTE(SUBSTITUTE("type:"&amp;B1859,"%","%25"),"~","%7E"),"*","%2A"),"?","%3F"),'Rules'!$G$7:$G$26,0))="hours",INDEX('Rules'!$B$7:$B$26,MATCH(SUBSTITUTE(SUBSTITUTE(SUBSTITUTE(SUBSTITUTE("type:"&amp;B1859,"%","%25"),"~","%7E"),"*","%2A"),"?","%3F"),'Rules'!$G$7:$G$26,0))="km"),INDEX('Rules'!$B$7:$B$26,MATCH(SUBSTITUTE(SUBSTITUTE(SUBSTITUTE(SUBSTITUTE("type:"&amp;B1859,"%","%25"),"~","%7E"),"*","%2A"),"?","%3F"),'Rules'!$G$7:$G$26,0)),""))</x:f>
      </x:c>
      <x:c r="I1859" s="6" t="str">
        <x:f>IF(AND(NOT(COUNTA(A1859:F1859)=0),K1859=""),ROUND(J1859-D1859,3),"")</x:f>
      </x:c>
      <x:c r="J1859" s="6" t="str">
        <x:f>IF(AND(NOT(COUNTA(A1859:F1859)=0),K1859=""),ROUND(F1859+L1859,3),"")</x:f>
      </x:c>
      <x:c r="K1859" s="5" t="str">
        <x:f>IF(COUNTA(A1859:F1859)=0,"",IF(A1859="","Missing equipment ID",IF(COUNTIFS($N$8:$N$2007,"="&amp;N1859)&gt;1,"Duplicate equipment ID",IF(B1859="","Missing type",IF(COUNTIFS('Rules'!$G$7:$G$26,"="&amp;(SUBSTITUTE(SUBSTITUTE(SUBSTITUTE(SUBSTITUTE("type:"&amp;B1859,"%","%25"),"~","%7E"),"*","%2A"),"?","%3F")))=0,"Unknown type",IF(COUNTIFS('Rules'!$G$7:$G$26,"="&amp;(SUBSTITUTE(SUBSTITUTE(SUBSTITUTE(SUBSTITUTE("type:"&amp;B1859,"%","%25"),"~","%7E"),"*","%2A"),"?","%3F")))&gt;1,"Duplicate type",IF(INDEX('Rules'!$F$7:$F$26,MATCH(SUBSTITUTE(SUBSTITUTE(SUBSTITUTE(SUBSTITUTE("type:"&amp;B1859,"%","%25"),"~","%7E"),"*","%2A"),"?","%3F"),'Rules'!$G$7:$G$26,0))&lt;&gt;"",INDEX('Rules'!$F$7:$F$26,MATCH(SUBSTITUTE(SUBSTITUTE(SUBSTITUTE(SUBSTITUTE("type:"&amp;B1859,"%","%25"),"~","%7E"),"*","%2A"),"?","%3F"),'Rules'!$G$7:$G$26,0)),IF(AND(C1859&lt;&gt;"",C1859&lt;&gt;INDEX('Rules'!$B$7:$B$26,MATCH(SUBSTITUTE(SUBSTITUTE(SUBSTITUTE(SUBSTITUTE("type:"&amp;B1859,"%","%25"),"~","%7E"),"*","%2A"),"?","%3F"),'Rules'!$G$7:$G$26,0))),"Unit mismatch",IF(IF(NOT(ISNUMBER(D1859)),TRUE,OR(D1859&lt;0,D1859&gt;999999999,ROUND(D1859,3)&lt;&gt;D1859)),"Invalid current reading",IF(AND(E1859&lt;&gt;"",IF(NOT(ISNUMBER(E1859)),TRUE,OR(E1859&lt;0,E1859&gt;999999999,ROUND(E1859,3)&lt;&gt;E1859))),"Invalid previous reading",IF(IF(NOT(ISNUMBER(F1859)),TRUE,OR(F1859&lt;0,F1859&gt;999999999,ROUND(F1859,3)&lt;&gt;F1859)),"Invalid last service",IF(AND(E1859&lt;&gt;"",D1859&lt;E1859),"Decreased reading",IF(F1859&gt;D1859,"Last service above current","")))))))))))))</x:f>
      </x:c>
      <x:c r="L1859" s="6" t="str">
        <x:f>IF(AND(NOT(COUNTA(A1859:F1859)=0),K1859=""),INDEX('Rules'!$C$7:$C$26,MATCH(SUBSTITUTE(SUBSTITUTE(SUBSTITUTE(SUBSTITUTE("type:"&amp;B1859,"%","%25"),"~","%7E"),"*","%2A"),"?","%3F"),'Rules'!$G$7:$G$26,0)),"")</x:f>
      </x:c>
      <x:c r="M1859" s="6" t="str">
        <x:f>IF(AND(NOT(COUNTA(A1859:F1859)=0),K1859=""),INDEX('Rules'!$D$7:$D$26,MATCH(SUBSTITUTE(SUBSTITUTE(SUBSTITUTE(SUBSTITUTE("type:"&amp;B1859,"%","%25"),"~","%7E"),"*","%2A"),"?","%3F"),'Rules'!$G$7:$G$26,0)),"")</x:f>
      </x:c>
      <x:c r="N1859" s="5" t="str">
        <x:f>IF(COUNTA(A1859:F1859)=0,"",SUBSTITUTE(SUBSTITUTE(SUBSTITUTE(SUBSTITUTE("id:"&amp;A1859,"%","%25"),"~","%7E"),"*","%2A"),"?","%3F"))</x:f>
      </x:c>
    </x:row>
    <x:row r="1860" ht="22" customHeight="1">
      <x:c r="A1860" s="3"/>
      <x:c r="B1860" s="3"/>
      <x:c r="C1860" s="3"/>
      <x:c r="D1860" s="4"/>
      <x:c r="E1860" s="4"/>
      <x:c r="F1860" s="4"/>
      <x:c r="G1860" s="5" t="str">
        <x:f>IF(COUNTA(A1860:F1860)=0,"",IF(K1860&lt;&gt;"","Review",IF(I1860&lt;0,"Overdue",IF(I1860=0,"Due now",IF(I1860&lt;=M1860,"Due soon","Not due")))))</x:f>
      </x:c>
      <x:c r="H1860" s="5" t="str">
        <x:f>IF(OR(COUNTA(A1860:F1860)=0,COUNTIFS('Rules'!$G$7:$G$26,"="&amp;(SUBSTITUTE(SUBSTITUTE(SUBSTITUTE(SUBSTITUTE("type:"&amp;B1860,"%","%25"),"~","%7E"),"*","%2A"),"?","%3F")))&lt;&gt;1),"",IF(OR(INDEX('Rules'!$B$7:$B$26,MATCH(SUBSTITUTE(SUBSTITUTE(SUBSTITUTE(SUBSTITUTE("type:"&amp;B1860,"%","%25"),"~","%7E"),"*","%2A"),"?","%3F"),'Rules'!$G$7:$G$26,0))="hours",INDEX('Rules'!$B$7:$B$26,MATCH(SUBSTITUTE(SUBSTITUTE(SUBSTITUTE(SUBSTITUTE("type:"&amp;B1860,"%","%25"),"~","%7E"),"*","%2A"),"?","%3F"),'Rules'!$G$7:$G$26,0))="km"),INDEX('Rules'!$B$7:$B$26,MATCH(SUBSTITUTE(SUBSTITUTE(SUBSTITUTE(SUBSTITUTE("type:"&amp;B1860,"%","%25"),"~","%7E"),"*","%2A"),"?","%3F"),'Rules'!$G$7:$G$26,0)),""))</x:f>
      </x:c>
      <x:c r="I1860" s="6" t="str">
        <x:f>IF(AND(NOT(COUNTA(A1860:F1860)=0),K1860=""),ROUND(J1860-D1860,3),"")</x:f>
      </x:c>
      <x:c r="J1860" s="6" t="str">
        <x:f>IF(AND(NOT(COUNTA(A1860:F1860)=0),K1860=""),ROUND(F1860+L1860,3),"")</x:f>
      </x:c>
      <x:c r="K1860" s="5" t="str">
        <x:f>IF(COUNTA(A1860:F1860)=0,"",IF(A1860="","Missing equipment ID",IF(COUNTIFS($N$8:$N$2007,"="&amp;N1860)&gt;1,"Duplicate equipment ID",IF(B1860="","Missing type",IF(COUNTIFS('Rules'!$G$7:$G$26,"="&amp;(SUBSTITUTE(SUBSTITUTE(SUBSTITUTE(SUBSTITUTE("type:"&amp;B1860,"%","%25"),"~","%7E"),"*","%2A"),"?","%3F")))=0,"Unknown type",IF(COUNTIFS('Rules'!$G$7:$G$26,"="&amp;(SUBSTITUTE(SUBSTITUTE(SUBSTITUTE(SUBSTITUTE("type:"&amp;B1860,"%","%25"),"~","%7E"),"*","%2A"),"?","%3F")))&gt;1,"Duplicate type",IF(INDEX('Rules'!$F$7:$F$26,MATCH(SUBSTITUTE(SUBSTITUTE(SUBSTITUTE(SUBSTITUTE("type:"&amp;B1860,"%","%25"),"~","%7E"),"*","%2A"),"?","%3F"),'Rules'!$G$7:$G$26,0))&lt;&gt;"",INDEX('Rules'!$F$7:$F$26,MATCH(SUBSTITUTE(SUBSTITUTE(SUBSTITUTE(SUBSTITUTE("type:"&amp;B1860,"%","%25"),"~","%7E"),"*","%2A"),"?","%3F"),'Rules'!$G$7:$G$26,0)),IF(AND(C1860&lt;&gt;"",C1860&lt;&gt;INDEX('Rules'!$B$7:$B$26,MATCH(SUBSTITUTE(SUBSTITUTE(SUBSTITUTE(SUBSTITUTE("type:"&amp;B1860,"%","%25"),"~","%7E"),"*","%2A"),"?","%3F"),'Rules'!$G$7:$G$26,0))),"Unit mismatch",IF(IF(NOT(ISNUMBER(D1860)),TRUE,OR(D1860&lt;0,D1860&gt;999999999,ROUND(D1860,3)&lt;&gt;D1860)),"Invalid current reading",IF(AND(E1860&lt;&gt;"",IF(NOT(ISNUMBER(E1860)),TRUE,OR(E1860&lt;0,E1860&gt;999999999,ROUND(E1860,3)&lt;&gt;E1860))),"Invalid previous reading",IF(IF(NOT(ISNUMBER(F1860)),TRUE,OR(F1860&lt;0,F1860&gt;999999999,ROUND(F1860,3)&lt;&gt;F1860)),"Invalid last service",IF(AND(E1860&lt;&gt;"",D1860&lt;E1860),"Decreased reading",IF(F1860&gt;D1860,"Last service above current","")))))))))))))</x:f>
      </x:c>
      <x:c r="L1860" s="6" t="str">
        <x:f>IF(AND(NOT(COUNTA(A1860:F1860)=0),K1860=""),INDEX('Rules'!$C$7:$C$26,MATCH(SUBSTITUTE(SUBSTITUTE(SUBSTITUTE(SUBSTITUTE("type:"&amp;B1860,"%","%25"),"~","%7E"),"*","%2A"),"?","%3F"),'Rules'!$G$7:$G$26,0)),"")</x:f>
      </x:c>
      <x:c r="M1860" s="6" t="str">
        <x:f>IF(AND(NOT(COUNTA(A1860:F1860)=0),K1860=""),INDEX('Rules'!$D$7:$D$26,MATCH(SUBSTITUTE(SUBSTITUTE(SUBSTITUTE(SUBSTITUTE("type:"&amp;B1860,"%","%25"),"~","%7E"),"*","%2A"),"?","%3F"),'Rules'!$G$7:$G$26,0)),"")</x:f>
      </x:c>
      <x:c r="N1860" s="5" t="str">
        <x:f>IF(COUNTA(A1860:F1860)=0,"",SUBSTITUTE(SUBSTITUTE(SUBSTITUTE(SUBSTITUTE("id:"&amp;A1860,"%","%25"),"~","%7E"),"*","%2A"),"?","%3F"))</x:f>
      </x:c>
    </x:row>
    <x:row r="1861" ht="22" customHeight="1">
      <x:c r="A1861" s="3"/>
      <x:c r="B1861" s="3"/>
      <x:c r="C1861" s="3"/>
      <x:c r="D1861" s="4"/>
      <x:c r="E1861" s="4"/>
      <x:c r="F1861" s="4"/>
      <x:c r="G1861" s="5" t="str">
        <x:f>IF(COUNTA(A1861:F1861)=0,"",IF(K1861&lt;&gt;"","Review",IF(I1861&lt;0,"Overdue",IF(I1861=0,"Due now",IF(I1861&lt;=M1861,"Due soon","Not due")))))</x:f>
      </x:c>
      <x:c r="H1861" s="5" t="str">
        <x:f>IF(OR(COUNTA(A1861:F1861)=0,COUNTIFS('Rules'!$G$7:$G$26,"="&amp;(SUBSTITUTE(SUBSTITUTE(SUBSTITUTE(SUBSTITUTE("type:"&amp;B1861,"%","%25"),"~","%7E"),"*","%2A"),"?","%3F")))&lt;&gt;1),"",IF(OR(INDEX('Rules'!$B$7:$B$26,MATCH(SUBSTITUTE(SUBSTITUTE(SUBSTITUTE(SUBSTITUTE("type:"&amp;B1861,"%","%25"),"~","%7E"),"*","%2A"),"?","%3F"),'Rules'!$G$7:$G$26,0))="hours",INDEX('Rules'!$B$7:$B$26,MATCH(SUBSTITUTE(SUBSTITUTE(SUBSTITUTE(SUBSTITUTE("type:"&amp;B1861,"%","%25"),"~","%7E"),"*","%2A"),"?","%3F"),'Rules'!$G$7:$G$26,0))="km"),INDEX('Rules'!$B$7:$B$26,MATCH(SUBSTITUTE(SUBSTITUTE(SUBSTITUTE(SUBSTITUTE("type:"&amp;B1861,"%","%25"),"~","%7E"),"*","%2A"),"?","%3F"),'Rules'!$G$7:$G$26,0)),""))</x:f>
      </x:c>
      <x:c r="I1861" s="6" t="str">
        <x:f>IF(AND(NOT(COUNTA(A1861:F1861)=0),K1861=""),ROUND(J1861-D1861,3),"")</x:f>
      </x:c>
      <x:c r="J1861" s="6" t="str">
        <x:f>IF(AND(NOT(COUNTA(A1861:F1861)=0),K1861=""),ROUND(F1861+L1861,3),"")</x:f>
      </x:c>
      <x:c r="K1861" s="5" t="str">
        <x:f>IF(COUNTA(A1861:F1861)=0,"",IF(A1861="","Missing equipment ID",IF(COUNTIFS($N$8:$N$2007,"="&amp;N1861)&gt;1,"Duplicate equipment ID",IF(B1861="","Missing type",IF(COUNTIFS('Rules'!$G$7:$G$26,"="&amp;(SUBSTITUTE(SUBSTITUTE(SUBSTITUTE(SUBSTITUTE("type:"&amp;B1861,"%","%25"),"~","%7E"),"*","%2A"),"?","%3F")))=0,"Unknown type",IF(COUNTIFS('Rules'!$G$7:$G$26,"="&amp;(SUBSTITUTE(SUBSTITUTE(SUBSTITUTE(SUBSTITUTE("type:"&amp;B1861,"%","%25"),"~","%7E"),"*","%2A"),"?","%3F")))&gt;1,"Duplicate type",IF(INDEX('Rules'!$F$7:$F$26,MATCH(SUBSTITUTE(SUBSTITUTE(SUBSTITUTE(SUBSTITUTE("type:"&amp;B1861,"%","%25"),"~","%7E"),"*","%2A"),"?","%3F"),'Rules'!$G$7:$G$26,0))&lt;&gt;"",INDEX('Rules'!$F$7:$F$26,MATCH(SUBSTITUTE(SUBSTITUTE(SUBSTITUTE(SUBSTITUTE("type:"&amp;B1861,"%","%25"),"~","%7E"),"*","%2A"),"?","%3F"),'Rules'!$G$7:$G$26,0)),IF(AND(C1861&lt;&gt;"",C1861&lt;&gt;INDEX('Rules'!$B$7:$B$26,MATCH(SUBSTITUTE(SUBSTITUTE(SUBSTITUTE(SUBSTITUTE("type:"&amp;B1861,"%","%25"),"~","%7E"),"*","%2A"),"?","%3F"),'Rules'!$G$7:$G$26,0))),"Unit mismatch",IF(IF(NOT(ISNUMBER(D1861)),TRUE,OR(D1861&lt;0,D1861&gt;999999999,ROUND(D1861,3)&lt;&gt;D1861)),"Invalid current reading",IF(AND(E1861&lt;&gt;"",IF(NOT(ISNUMBER(E1861)),TRUE,OR(E1861&lt;0,E1861&gt;999999999,ROUND(E1861,3)&lt;&gt;E1861))),"Invalid previous reading",IF(IF(NOT(ISNUMBER(F1861)),TRUE,OR(F1861&lt;0,F1861&gt;999999999,ROUND(F1861,3)&lt;&gt;F1861)),"Invalid last service",IF(AND(E1861&lt;&gt;"",D1861&lt;E1861),"Decreased reading",IF(F1861&gt;D1861,"Last service above current","")))))))))))))</x:f>
      </x:c>
      <x:c r="L1861" s="6" t="str">
        <x:f>IF(AND(NOT(COUNTA(A1861:F1861)=0),K1861=""),INDEX('Rules'!$C$7:$C$26,MATCH(SUBSTITUTE(SUBSTITUTE(SUBSTITUTE(SUBSTITUTE("type:"&amp;B1861,"%","%25"),"~","%7E"),"*","%2A"),"?","%3F"),'Rules'!$G$7:$G$26,0)),"")</x:f>
      </x:c>
      <x:c r="M1861" s="6" t="str">
        <x:f>IF(AND(NOT(COUNTA(A1861:F1861)=0),K1861=""),INDEX('Rules'!$D$7:$D$26,MATCH(SUBSTITUTE(SUBSTITUTE(SUBSTITUTE(SUBSTITUTE("type:"&amp;B1861,"%","%25"),"~","%7E"),"*","%2A"),"?","%3F"),'Rules'!$G$7:$G$26,0)),"")</x:f>
      </x:c>
      <x:c r="N1861" s="5" t="str">
        <x:f>IF(COUNTA(A1861:F1861)=0,"",SUBSTITUTE(SUBSTITUTE(SUBSTITUTE(SUBSTITUTE("id:"&amp;A1861,"%","%25"),"~","%7E"),"*","%2A"),"?","%3F"))</x:f>
      </x:c>
    </x:row>
    <x:row r="1862" ht="22" customHeight="1">
      <x:c r="A1862" s="3"/>
      <x:c r="B1862" s="3"/>
      <x:c r="C1862" s="3"/>
      <x:c r="D1862" s="4"/>
      <x:c r="E1862" s="4"/>
      <x:c r="F1862" s="4"/>
      <x:c r="G1862" s="5" t="str">
        <x:f>IF(COUNTA(A1862:F1862)=0,"",IF(K1862&lt;&gt;"","Review",IF(I1862&lt;0,"Overdue",IF(I1862=0,"Due now",IF(I1862&lt;=M1862,"Due soon","Not due")))))</x:f>
      </x:c>
      <x:c r="H1862" s="5" t="str">
        <x:f>IF(OR(COUNTA(A1862:F1862)=0,COUNTIFS('Rules'!$G$7:$G$26,"="&amp;(SUBSTITUTE(SUBSTITUTE(SUBSTITUTE(SUBSTITUTE("type:"&amp;B1862,"%","%25"),"~","%7E"),"*","%2A"),"?","%3F")))&lt;&gt;1),"",IF(OR(INDEX('Rules'!$B$7:$B$26,MATCH(SUBSTITUTE(SUBSTITUTE(SUBSTITUTE(SUBSTITUTE("type:"&amp;B1862,"%","%25"),"~","%7E"),"*","%2A"),"?","%3F"),'Rules'!$G$7:$G$26,0))="hours",INDEX('Rules'!$B$7:$B$26,MATCH(SUBSTITUTE(SUBSTITUTE(SUBSTITUTE(SUBSTITUTE("type:"&amp;B1862,"%","%25"),"~","%7E"),"*","%2A"),"?","%3F"),'Rules'!$G$7:$G$26,0))="km"),INDEX('Rules'!$B$7:$B$26,MATCH(SUBSTITUTE(SUBSTITUTE(SUBSTITUTE(SUBSTITUTE("type:"&amp;B1862,"%","%25"),"~","%7E"),"*","%2A"),"?","%3F"),'Rules'!$G$7:$G$26,0)),""))</x:f>
      </x:c>
      <x:c r="I1862" s="6" t="str">
        <x:f>IF(AND(NOT(COUNTA(A1862:F1862)=0),K1862=""),ROUND(J1862-D1862,3),"")</x:f>
      </x:c>
      <x:c r="J1862" s="6" t="str">
        <x:f>IF(AND(NOT(COUNTA(A1862:F1862)=0),K1862=""),ROUND(F1862+L1862,3),"")</x:f>
      </x:c>
      <x:c r="K1862" s="5" t="str">
        <x:f>IF(COUNTA(A1862:F1862)=0,"",IF(A1862="","Missing equipment ID",IF(COUNTIFS($N$8:$N$2007,"="&amp;N1862)&gt;1,"Duplicate equipment ID",IF(B1862="","Missing type",IF(COUNTIFS('Rules'!$G$7:$G$26,"="&amp;(SUBSTITUTE(SUBSTITUTE(SUBSTITUTE(SUBSTITUTE("type:"&amp;B1862,"%","%25"),"~","%7E"),"*","%2A"),"?","%3F")))=0,"Unknown type",IF(COUNTIFS('Rules'!$G$7:$G$26,"="&amp;(SUBSTITUTE(SUBSTITUTE(SUBSTITUTE(SUBSTITUTE("type:"&amp;B1862,"%","%25"),"~","%7E"),"*","%2A"),"?","%3F")))&gt;1,"Duplicate type",IF(INDEX('Rules'!$F$7:$F$26,MATCH(SUBSTITUTE(SUBSTITUTE(SUBSTITUTE(SUBSTITUTE("type:"&amp;B1862,"%","%25"),"~","%7E"),"*","%2A"),"?","%3F"),'Rules'!$G$7:$G$26,0))&lt;&gt;"",INDEX('Rules'!$F$7:$F$26,MATCH(SUBSTITUTE(SUBSTITUTE(SUBSTITUTE(SUBSTITUTE("type:"&amp;B1862,"%","%25"),"~","%7E"),"*","%2A"),"?","%3F"),'Rules'!$G$7:$G$26,0)),IF(AND(C1862&lt;&gt;"",C1862&lt;&gt;INDEX('Rules'!$B$7:$B$26,MATCH(SUBSTITUTE(SUBSTITUTE(SUBSTITUTE(SUBSTITUTE("type:"&amp;B1862,"%","%25"),"~","%7E"),"*","%2A"),"?","%3F"),'Rules'!$G$7:$G$26,0))),"Unit mismatch",IF(IF(NOT(ISNUMBER(D1862)),TRUE,OR(D1862&lt;0,D1862&gt;999999999,ROUND(D1862,3)&lt;&gt;D1862)),"Invalid current reading",IF(AND(E1862&lt;&gt;"",IF(NOT(ISNUMBER(E1862)),TRUE,OR(E1862&lt;0,E1862&gt;999999999,ROUND(E1862,3)&lt;&gt;E1862))),"Invalid previous reading",IF(IF(NOT(ISNUMBER(F1862)),TRUE,OR(F1862&lt;0,F1862&gt;999999999,ROUND(F1862,3)&lt;&gt;F1862)),"Invalid last service",IF(AND(E1862&lt;&gt;"",D1862&lt;E1862),"Decreased reading",IF(F1862&gt;D1862,"Last service above current","")))))))))))))</x:f>
      </x:c>
      <x:c r="L1862" s="6" t="str">
        <x:f>IF(AND(NOT(COUNTA(A1862:F1862)=0),K1862=""),INDEX('Rules'!$C$7:$C$26,MATCH(SUBSTITUTE(SUBSTITUTE(SUBSTITUTE(SUBSTITUTE("type:"&amp;B1862,"%","%25"),"~","%7E"),"*","%2A"),"?","%3F"),'Rules'!$G$7:$G$26,0)),"")</x:f>
      </x:c>
      <x:c r="M1862" s="6" t="str">
        <x:f>IF(AND(NOT(COUNTA(A1862:F1862)=0),K1862=""),INDEX('Rules'!$D$7:$D$26,MATCH(SUBSTITUTE(SUBSTITUTE(SUBSTITUTE(SUBSTITUTE("type:"&amp;B1862,"%","%25"),"~","%7E"),"*","%2A"),"?","%3F"),'Rules'!$G$7:$G$26,0)),"")</x:f>
      </x:c>
      <x:c r="N1862" s="5" t="str">
        <x:f>IF(COUNTA(A1862:F1862)=0,"",SUBSTITUTE(SUBSTITUTE(SUBSTITUTE(SUBSTITUTE("id:"&amp;A1862,"%","%25"),"~","%7E"),"*","%2A"),"?","%3F"))</x:f>
      </x:c>
    </x:row>
    <x:row r="1863" ht="22" customHeight="1">
      <x:c r="A1863" s="3"/>
      <x:c r="B1863" s="3"/>
      <x:c r="C1863" s="3"/>
      <x:c r="D1863" s="4"/>
      <x:c r="E1863" s="4"/>
      <x:c r="F1863" s="4"/>
      <x:c r="G1863" s="5" t="str">
        <x:f>IF(COUNTA(A1863:F1863)=0,"",IF(K1863&lt;&gt;"","Review",IF(I1863&lt;0,"Overdue",IF(I1863=0,"Due now",IF(I1863&lt;=M1863,"Due soon","Not due")))))</x:f>
      </x:c>
      <x:c r="H1863" s="5" t="str">
        <x:f>IF(OR(COUNTA(A1863:F1863)=0,COUNTIFS('Rules'!$G$7:$G$26,"="&amp;(SUBSTITUTE(SUBSTITUTE(SUBSTITUTE(SUBSTITUTE("type:"&amp;B1863,"%","%25"),"~","%7E"),"*","%2A"),"?","%3F")))&lt;&gt;1),"",IF(OR(INDEX('Rules'!$B$7:$B$26,MATCH(SUBSTITUTE(SUBSTITUTE(SUBSTITUTE(SUBSTITUTE("type:"&amp;B1863,"%","%25"),"~","%7E"),"*","%2A"),"?","%3F"),'Rules'!$G$7:$G$26,0))="hours",INDEX('Rules'!$B$7:$B$26,MATCH(SUBSTITUTE(SUBSTITUTE(SUBSTITUTE(SUBSTITUTE("type:"&amp;B1863,"%","%25"),"~","%7E"),"*","%2A"),"?","%3F"),'Rules'!$G$7:$G$26,0))="km"),INDEX('Rules'!$B$7:$B$26,MATCH(SUBSTITUTE(SUBSTITUTE(SUBSTITUTE(SUBSTITUTE("type:"&amp;B1863,"%","%25"),"~","%7E"),"*","%2A"),"?","%3F"),'Rules'!$G$7:$G$26,0)),""))</x:f>
      </x:c>
      <x:c r="I1863" s="6" t="str">
        <x:f>IF(AND(NOT(COUNTA(A1863:F1863)=0),K1863=""),ROUND(J1863-D1863,3),"")</x:f>
      </x:c>
      <x:c r="J1863" s="6" t="str">
        <x:f>IF(AND(NOT(COUNTA(A1863:F1863)=0),K1863=""),ROUND(F1863+L1863,3),"")</x:f>
      </x:c>
      <x:c r="K1863" s="5" t="str">
        <x:f>IF(COUNTA(A1863:F1863)=0,"",IF(A1863="","Missing equipment ID",IF(COUNTIFS($N$8:$N$2007,"="&amp;N1863)&gt;1,"Duplicate equipment ID",IF(B1863="","Missing type",IF(COUNTIFS('Rules'!$G$7:$G$26,"="&amp;(SUBSTITUTE(SUBSTITUTE(SUBSTITUTE(SUBSTITUTE("type:"&amp;B1863,"%","%25"),"~","%7E"),"*","%2A"),"?","%3F")))=0,"Unknown type",IF(COUNTIFS('Rules'!$G$7:$G$26,"="&amp;(SUBSTITUTE(SUBSTITUTE(SUBSTITUTE(SUBSTITUTE("type:"&amp;B1863,"%","%25"),"~","%7E"),"*","%2A"),"?","%3F")))&gt;1,"Duplicate type",IF(INDEX('Rules'!$F$7:$F$26,MATCH(SUBSTITUTE(SUBSTITUTE(SUBSTITUTE(SUBSTITUTE("type:"&amp;B1863,"%","%25"),"~","%7E"),"*","%2A"),"?","%3F"),'Rules'!$G$7:$G$26,0))&lt;&gt;"",INDEX('Rules'!$F$7:$F$26,MATCH(SUBSTITUTE(SUBSTITUTE(SUBSTITUTE(SUBSTITUTE("type:"&amp;B1863,"%","%25"),"~","%7E"),"*","%2A"),"?","%3F"),'Rules'!$G$7:$G$26,0)),IF(AND(C1863&lt;&gt;"",C1863&lt;&gt;INDEX('Rules'!$B$7:$B$26,MATCH(SUBSTITUTE(SUBSTITUTE(SUBSTITUTE(SUBSTITUTE("type:"&amp;B1863,"%","%25"),"~","%7E"),"*","%2A"),"?","%3F"),'Rules'!$G$7:$G$26,0))),"Unit mismatch",IF(IF(NOT(ISNUMBER(D1863)),TRUE,OR(D1863&lt;0,D1863&gt;999999999,ROUND(D1863,3)&lt;&gt;D1863)),"Invalid current reading",IF(AND(E1863&lt;&gt;"",IF(NOT(ISNUMBER(E1863)),TRUE,OR(E1863&lt;0,E1863&gt;999999999,ROUND(E1863,3)&lt;&gt;E1863))),"Invalid previous reading",IF(IF(NOT(ISNUMBER(F1863)),TRUE,OR(F1863&lt;0,F1863&gt;999999999,ROUND(F1863,3)&lt;&gt;F1863)),"Invalid last service",IF(AND(E1863&lt;&gt;"",D1863&lt;E1863),"Decreased reading",IF(F1863&gt;D1863,"Last service above current","")))))))))))))</x:f>
      </x:c>
      <x:c r="L1863" s="6" t="str">
        <x:f>IF(AND(NOT(COUNTA(A1863:F1863)=0),K1863=""),INDEX('Rules'!$C$7:$C$26,MATCH(SUBSTITUTE(SUBSTITUTE(SUBSTITUTE(SUBSTITUTE("type:"&amp;B1863,"%","%25"),"~","%7E"),"*","%2A"),"?","%3F"),'Rules'!$G$7:$G$26,0)),"")</x:f>
      </x:c>
      <x:c r="M1863" s="6" t="str">
        <x:f>IF(AND(NOT(COUNTA(A1863:F1863)=0),K1863=""),INDEX('Rules'!$D$7:$D$26,MATCH(SUBSTITUTE(SUBSTITUTE(SUBSTITUTE(SUBSTITUTE("type:"&amp;B1863,"%","%25"),"~","%7E"),"*","%2A"),"?","%3F"),'Rules'!$G$7:$G$26,0)),"")</x:f>
      </x:c>
      <x:c r="N1863" s="5" t="str">
        <x:f>IF(COUNTA(A1863:F1863)=0,"",SUBSTITUTE(SUBSTITUTE(SUBSTITUTE(SUBSTITUTE("id:"&amp;A1863,"%","%25"),"~","%7E"),"*","%2A"),"?","%3F"))</x:f>
      </x:c>
    </x:row>
    <x:row r="1864" ht="22" customHeight="1">
      <x:c r="A1864" s="3"/>
      <x:c r="B1864" s="3"/>
      <x:c r="C1864" s="3"/>
      <x:c r="D1864" s="4"/>
      <x:c r="E1864" s="4"/>
      <x:c r="F1864" s="4"/>
      <x:c r="G1864" s="5" t="str">
        <x:f>IF(COUNTA(A1864:F1864)=0,"",IF(K1864&lt;&gt;"","Review",IF(I1864&lt;0,"Overdue",IF(I1864=0,"Due now",IF(I1864&lt;=M1864,"Due soon","Not due")))))</x:f>
      </x:c>
      <x:c r="H1864" s="5" t="str">
        <x:f>IF(OR(COUNTA(A1864:F1864)=0,COUNTIFS('Rules'!$G$7:$G$26,"="&amp;(SUBSTITUTE(SUBSTITUTE(SUBSTITUTE(SUBSTITUTE("type:"&amp;B1864,"%","%25"),"~","%7E"),"*","%2A"),"?","%3F")))&lt;&gt;1),"",IF(OR(INDEX('Rules'!$B$7:$B$26,MATCH(SUBSTITUTE(SUBSTITUTE(SUBSTITUTE(SUBSTITUTE("type:"&amp;B1864,"%","%25"),"~","%7E"),"*","%2A"),"?","%3F"),'Rules'!$G$7:$G$26,0))="hours",INDEX('Rules'!$B$7:$B$26,MATCH(SUBSTITUTE(SUBSTITUTE(SUBSTITUTE(SUBSTITUTE("type:"&amp;B1864,"%","%25"),"~","%7E"),"*","%2A"),"?","%3F"),'Rules'!$G$7:$G$26,0))="km"),INDEX('Rules'!$B$7:$B$26,MATCH(SUBSTITUTE(SUBSTITUTE(SUBSTITUTE(SUBSTITUTE("type:"&amp;B1864,"%","%25"),"~","%7E"),"*","%2A"),"?","%3F"),'Rules'!$G$7:$G$26,0)),""))</x:f>
      </x:c>
      <x:c r="I1864" s="6" t="str">
        <x:f>IF(AND(NOT(COUNTA(A1864:F1864)=0),K1864=""),ROUND(J1864-D1864,3),"")</x:f>
      </x:c>
      <x:c r="J1864" s="6" t="str">
        <x:f>IF(AND(NOT(COUNTA(A1864:F1864)=0),K1864=""),ROUND(F1864+L1864,3),"")</x:f>
      </x:c>
      <x:c r="K1864" s="5" t="str">
        <x:f>IF(COUNTA(A1864:F1864)=0,"",IF(A1864="","Missing equipment ID",IF(COUNTIFS($N$8:$N$2007,"="&amp;N1864)&gt;1,"Duplicate equipment ID",IF(B1864="","Missing type",IF(COUNTIFS('Rules'!$G$7:$G$26,"="&amp;(SUBSTITUTE(SUBSTITUTE(SUBSTITUTE(SUBSTITUTE("type:"&amp;B1864,"%","%25"),"~","%7E"),"*","%2A"),"?","%3F")))=0,"Unknown type",IF(COUNTIFS('Rules'!$G$7:$G$26,"="&amp;(SUBSTITUTE(SUBSTITUTE(SUBSTITUTE(SUBSTITUTE("type:"&amp;B1864,"%","%25"),"~","%7E"),"*","%2A"),"?","%3F")))&gt;1,"Duplicate type",IF(INDEX('Rules'!$F$7:$F$26,MATCH(SUBSTITUTE(SUBSTITUTE(SUBSTITUTE(SUBSTITUTE("type:"&amp;B1864,"%","%25"),"~","%7E"),"*","%2A"),"?","%3F"),'Rules'!$G$7:$G$26,0))&lt;&gt;"",INDEX('Rules'!$F$7:$F$26,MATCH(SUBSTITUTE(SUBSTITUTE(SUBSTITUTE(SUBSTITUTE("type:"&amp;B1864,"%","%25"),"~","%7E"),"*","%2A"),"?","%3F"),'Rules'!$G$7:$G$26,0)),IF(AND(C1864&lt;&gt;"",C1864&lt;&gt;INDEX('Rules'!$B$7:$B$26,MATCH(SUBSTITUTE(SUBSTITUTE(SUBSTITUTE(SUBSTITUTE("type:"&amp;B1864,"%","%25"),"~","%7E"),"*","%2A"),"?","%3F"),'Rules'!$G$7:$G$26,0))),"Unit mismatch",IF(IF(NOT(ISNUMBER(D1864)),TRUE,OR(D1864&lt;0,D1864&gt;999999999,ROUND(D1864,3)&lt;&gt;D1864)),"Invalid current reading",IF(AND(E1864&lt;&gt;"",IF(NOT(ISNUMBER(E1864)),TRUE,OR(E1864&lt;0,E1864&gt;999999999,ROUND(E1864,3)&lt;&gt;E1864))),"Invalid previous reading",IF(IF(NOT(ISNUMBER(F1864)),TRUE,OR(F1864&lt;0,F1864&gt;999999999,ROUND(F1864,3)&lt;&gt;F1864)),"Invalid last service",IF(AND(E1864&lt;&gt;"",D1864&lt;E1864),"Decreased reading",IF(F1864&gt;D1864,"Last service above current","")))))))))))))</x:f>
      </x:c>
      <x:c r="L1864" s="6" t="str">
        <x:f>IF(AND(NOT(COUNTA(A1864:F1864)=0),K1864=""),INDEX('Rules'!$C$7:$C$26,MATCH(SUBSTITUTE(SUBSTITUTE(SUBSTITUTE(SUBSTITUTE("type:"&amp;B1864,"%","%25"),"~","%7E"),"*","%2A"),"?","%3F"),'Rules'!$G$7:$G$26,0)),"")</x:f>
      </x:c>
      <x:c r="M1864" s="6" t="str">
        <x:f>IF(AND(NOT(COUNTA(A1864:F1864)=0),K1864=""),INDEX('Rules'!$D$7:$D$26,MATCH(SUBSTITUTE(SUBSTITUTE(SUBSTITUTE(SUBSTITUTE("type:"&amp;B1864,"%","%25"),"~","%7E"),"*","%2A"),"?","%3F"),'Rules'!$G$7:$G$26,0)),"")</x:f>
      </x:c>
      <x:c r="N1864" s="5" t="str">
        <x:f>IF(COUNTA(A1864:F1864)=0,"",SUBSTITUTE(SUBSTITUTE(SUBSTITUTE(SUBSTITUTE("id:"&amp;A1864,"%","%25"),"~","%7E"),"*","%2A"),"?","%3F"))</x:f>
      </x:c>
    </x:row>
    <x:row r="1865" ht="22" customHeight="1">
      <x:c r="A1865" s="3"/>
      <x:c r="B1865" s="3"/>
      <x:c r="C1865" s="3"/>
      <x:c r="D1865" s="4"/>
      <x:c r="E1865" s="4"/>
      <x:c r="F1865" s="4"/>
      <x:c r="G1865" s="5" t="str">
        <x:f>IF(COUNTA(A1865:F1865)=0,"",IF(K1865&lt;&gt;"","Review",IF(I1865&lt;0,"Overdue",IF(I1865=0,"Due now",IF(I1865&lt;=M1865,"Due soon","Not due")))))</x:f>
      </x:c>
      <x:c r="H1865" s="5" t="str">
        <x:f>IF(OR(COUNTA(A1865:F1865)=0,COUNTIFS('Rules'!$G$7:$G$26,"="&amp;(SUBSTITUTE(SUBSTITUTE(SUBSTITUTE(SUBSTITUTE("type:"&amp;B1865,"%","%25"),"~","%7E"),"*","%2A"),"?","%3F")))&lt;&gt;1),"",IF(OR(INDEX('Rules'!$B$7:$B$26,MATCH(SUBSTITUTE(SUBSTITUTE(SUBSTITUTE(SUBSTITUTE("type:"&amp;B1865,"%","%25"),"~","%7E"),"*","%2A"),"?","%3F"),'Rules'!$G$7:$G$26,0))="hours",INDEX('Rules'!$B$7:$B$26,MATCH(SUBSTITUTE(SUBSTITUTE(SUBSTITUTE(SUBSTITUTE("type:"&amp;B1865,"%","%25"),"~","%7E"),"*","%2A"),"?","%3F"),'Rules'!$G$7:$G$26,0))="km"),INDEX('Rules'!$B$7:$B$26,MATCH(SUBSTITUTE(SUBSTITUTE(SUBSTITUTE(SUBSTITUTE("type:"&amp;B1865,"%","%25"),"~","%7E"),"*","%2A"),"?","%3F"),'Rules'!$G$7:$G$26,0)),""))</x:f>
      </x:c>
      <x:c r="I1865" s="6" t="str">
        <x:f>IF(AND(NOT(COUNTA(A1865:F1865)=0),K1865=""),ROUND(J1865-D1865,3),"")</x:f>
      </x:c>
      <x:c r="J1865" s="6" t="str">
        <x:f>IF(AND(NOT(COUNTA(A1865:F1865)=0),K1865=""),ROUND(F1865+L1865,3),"")</x:f>
      </x:c>
      <x:c r="K1865" s="5" t="str">
        <x:f>IF(COUNTA(A1865:F1865)=0,"",IF(A1865="","Missing equipment ID",IF(COUNTIFS($N$8:$N$2007,"="&amp;N1865)&gt;1,"Duplicate equipment ID",IF(B1865="","Missing type",IF(COUNTIFS('Rules'!$G$7:$G$26,"="&amp;(SUBSTITUTE(SUBSTITUTE(SUBSTITUTE(SUBSTITUTE("type:"&amp;B1865,"%","%25"),"~","%7E"),"*","%2A"),"?","%3F")))=0,"Unknown type",IF(COUNTIFS('Rules'!$G$7:$G$26,"="&amp;(SUBSTITUTE(SUBSTITUTE(SUBSTITUTE(SUBSTITUTE("type:"&amp;B1865,"%","%25"),"~","%7E"),"*","%2A"),"?","%3F")))&gt;1,"Duplicate type",IF(INDEX('Rules'!$F$7:$F$26,MATCH(SUBSTITUTE(SUBSTITUTE(SUBSTITUTE(SUBSTITUTE("type:"&amp;B1865,"%","%25"),"~","%7E"),"*","%2A"),"?","%3F"),'Rules'!$G$7:$G$26,0))&lt;&gt;"",INDEX('Rules'!$F$7:$F$26,MATCH(SUBSTITUTE(SUBSTITUTE(SUBSTITUTE(SUBSTITUTE("type:"&amp;B1865,"%","%25"),"~","%7E"),"*","%2A"),"?","%3F"),'Rules'!$G$7:$G$26,0)),IF(AND(C1865&lt;&gt;"",C1865&lt;&gt;INDEX('Rules'!$B$7:$B$26,MATCH(SUBSTITUTE(SUBSTITUTE(SUBSTITUTE(SUBSTITUTE("type:"&amp;B1865,"%","%25"),"~","%7E"),"*","%2A"),"?","%3F"),'Rules'!$G$7:$G$26,0))),"Unit mismatch",IF(IF(NOT(ISNUMBER(D1865)),TRUE,OR(D1865&lt;0,D1865&gt;999999999,ROUND(D1865,3)&lt;&gt;D1865)),"Invalid current reading",IF(AND(E1865&lt;&gt;"",IF(NOT(ISNUMBER(E1865)),TRUE,OR(E1865&lt;0,E1865&gt;999999999,ROUND(E1865,3)&lt;&gt;E1865))),"Invalid previous reading",IF(IF(NOT(ISNUMBER(F1865)),TRUE,OR(F1865&lt;0,F1865&gt;999999999,ROUND(F1865,3)&lt;&gt;F1865)),"Invalid last service",IF(AND(E1865&lt;&gt;"",D1865&lt;E1865),"Decreased reading",IF(F1865&gt;D1865,"Last service above current","")))))))))))))</x:f>
      </x:c>
      <x:c r="L1865" s="6" t="str">
        <x:f>IF(AND(NOT(COUNTA(A1865:F1865)=0),K1865=""),INDEX('Rules'!$C$7:$C$26,MATCH(SUBSTITUTE(SUBSTITUTE(SUBSTITUTE(SUBSTITUTE("type:"&amp;B1865,"%","%25"),"~","%7E"),"*","%2A"),"?","%3F"),'Rules'!$G$7:$G$26,0)),"")</x:f>
      </x:c>
      <x:c r="M1865" s="6" t="str">
        <x:f>IF(AND(NOT(COUNTA(A1865:F1865)=0),K1865=""),INDEX('Rules'!$D$7:$D$26,MATCH(SUBSTITUTE(SUBSTITUTE(SUBSTITUTE(SUBSTITUTE("type:"&amp;B1865,"%","%25"),"~","%7E"),"*","%2A"),"?","%3F"),'Rules'!$G$7:$G$26,0)),"")</x:f>
      </x:c>
      <x:c r="N1865" s="5" t="str">
        <x:f>IF(COUNTA(A1865:F1865)=0,"",SUBSTITUTE(SUBSTITUTE(SUBSTITUTE(SUBSTITUTE("id:"&amp;A1865,"%","%25"),"~","%7E"),"*","%2A"),"?","%3F"))</x:f>
      </x:c>
    </x:row>
    <x:row r="1866" ht="22" customHeight="1">
      <x:c r="A1866" s="3"/>
      <x:c r="B1866" s="3"/>
      <x:c r="C1866" s="3"/>
      <x:c r="D1866" s="4"/>
      <x:c r="E1866" s="4"/>
      <x:c r="F1866" s="4"/>
      <x:c r="G1866" s="5" t="str">
        <x:f>IF(COUNTA(A1866:F1866)=0,"",IF(K1866&lt;&gt;"","Review",IF(I1866&lt;0,"Overdue",IF(I1866=0,"Due now",IF(I1866&lt;=M1866,"Due soon","Not due")))))</x:f>
      </x:c>
      <x:c r="H1866" s="5" t="str">
        <x:f>IF(OR(COUNTA(A1866:F1866)=0,COUNTIFS('Rules'!$G$7:$G$26,"="&amp;(SUBSTITUTE(SUBSTITUTE(SUBSTITUTE(SUBSTITUTE("type:"&amp;B1866,"%","%25"),"~","%7E"),"*","%2A"),"?","%3F")))&lt;&gt;1),"",IF(OR(INDEX('Rules'!$B$7:$B$26,MATCH(SUBSTITUTE(SUBSTITUTE(SUBSTITUTE(SUBSTITUTE("type:"&amp;B1866,"%","%25"),"~","%7E"),"*","%2A"),"?","%3F"),'Rules'!$G$7:$G$26,0))="hours",INDEX('Rules'!$B$7:$B$26,MATCH(SUBSTITUTE(SUBSTITUTE(SUBSTITUTE(SUBSTITUTE("type:"&amp;B1866,"%","%25"),"~","%7E"),"*","%2A"),"?","%3F"),'Rules'!$G$7:$G$26,0))="km"),INDEX('Rules'!$B$7:$B$26,MATCH(SUBSTITUTE(SUBSTITUTE(SUBSTITUTE(SUBSTITUTE("type:"&amp;B1866,"%","%25"),"~","%7E"),"*","%2A"),"?","%3F"),'Rules'!$G$7:$G$26,0)),""))</x:f>
      </x:c>
      <x:c r="I1866" s="6" t="str">
        <x:f>IF(AND(NOT(COUNTA(A1866:F1866)=0),K1866=""),ROUND(J1866-D1866,3),"")</x:f>
      </x:c>
      <x:c r="J1866" s="6" t="str">
        <x:f>IF(AND(NOT(COUNTA(A1866:F1866)=0),K1866=""),ROUND(F1866+L1866,3),"")</x:f>
      </x:c>
      <x:c r="K1866" s="5" t="str">
        <x:f>IF(COUNTA(A1866:F1866)=0,"",IF(A1866="","Missing equipment ID",IF(COUNTIFS($N$8:$N$2007,"="&amp;N1866)&gt;1,"Duplicate equipment ID",IF(B1866="","Missing type",IF(COUNTIFS('Rules'!$G$7:$G$26,"="&amp;(SUBSTITUTE(SUBSTITUTE(SUBSTITUTE(SUBSTITUTE("type:"&amp;B1866,"%","%25"),"~","%7E"),"*","%2A"),"?","%3F")))=0,"Unknown type",IF(COUNTIFS('Rules'!$G$7:$G$26,"="&amp;(SUBSTITUTE(SUBSTITUTE(SUBSTITUTE(SUBSTITUTE("type:"&amp;B1866,"%","%25"),"~","%7E"),"*","%2A"),"?","%3F")))&gt;1,"Duplicate type",IF(INDEX('Rules'!$F$7:$F$26,MATCH(SUBSTITUTE(SUBSTITUTE(SUBSTITUTE(SUBSTITUTE("type:"&amp;B1866,"%","%25"),"~","%7E"),"*","%2A"),"?","%3F"),'Rules'!$G$7:$G$26,0))&lt;&gt;"",INDEX('Rules'!$F$7:$F$26,MATCH(SUBSTITUTE(SUBSTITUTE(SUBSTITUTE(SUBSTITUTE("type:"&amp;B1866,"%","%25"),"~","%7E"),"*","%2A"),"?","%3F"),'Rules'!$G$7:$G$26,0)),IF(AND(C1866&lt;&gt;"",C1866&lt;&gt;INDEX('Rules'!$B$7:$B$26,MATCH(SUBSTITUTE(SUBSTITUTE(SUBSTITUTE(SUBSTITUTE("type:"&amp;B1866,"%","%25"),"~","%7E"),"*","%2A"),"?","%3F"),'Rules'!$G$7:$G$26,0))),"Unit mismatch",IF(IF(NOT(ISNUMBER(D1866)),TRUE,OR(D1866&lt;0,D1866&gt;999999999,ROUND(D1866,3)&lt;&gt;D1866)),"Invalid current reading",IF(AND(E1866&lt;&gt;"",IF(NOT(ISNUMBER(E1866)),TRUE,OR(E1866&lt;0,E1866&gt;999999999,ROUND(E1866,3)&lt;&gt;E1866))),"Invalid previous reading",IF(IF(NOT(ISNUMBER(F1866)),TRUE,OR(F1866&lt;0,F1866&gt;999999999,ROUND(F1866,3)&lt;&gt;F1866)),"Invalid last service",IF(AND(E1866&lt;&gt;"",D1866&lt;E1866),"Decreased reading",IF(F1866&gt;D1866,"Last service above current","")))))))))))))</x:f>
      </x:c>
      <x:c r="L1866" s="6" t="str">
        <x:f>IF(AND(NOT(COUNTA(A1866:F1866)=0),K1866=""),INDEX('Rules'!$C$7:$C$26,MATCH(SUBSTITUTE(SUBSTITUTE(SUBSTITUTE(SUBSTITUTE("type:"&amp;B1866,"%","%25"),"~","%7E"),"*","%2A"),"?","%3F"),'Rules'!$G$7:$G$26,0)),"")</x:f>
      </x:c>
      <x:c r="M1866" s="6" t="str">
        <x:f>IF(AND(NOT(COUNTA(A1866:F1866)=0),K1866=""),INDEX('Rules'!$D$7:$D$26,MATCH(SUBSTITUTE(SUBSTITUTE(SUBSTITUTE(SUBSTITUTE("type:"&amp;B1866,"%","%25"),"~","%7E"),"*","%2A"),"?","%3F"),'Rules'!$G$7:$G$26,0)),"")</x:f>
      </x:c>
      <x:c r="N1866" s="5" t="str">
        <x:f>IF(COUNTA(A1866:F1866)=0,"",SUBSTITUTE(SUBSTITUTE(SUBSTITUTE(SUBSTITUTE("id:"&amp;A1866,"%","%25"),"~","%7E"),"*","%2A"),"?","%3F"))</x:f>
      </x:c>
    </x:row>
    <x:row r="1867" ht="22" customHeight="1">
      <x:c r="A1867" s="3"/>
      <x:c r="B1867" s="3"/>
      <x:c r="C1867" s="3"/>
      <x:c r="D1867" s="4"/>
      <x:c r="E1867" s="4"/>
      <x:c r="F1867" s="4"/>
      <x:c r="G1867" s="5" t="str">
        <x:f>IF(COUNTA(A1867:F1867)=0,"",IF(K1867&lt;&gt;"","Review",IF(I1867&lt;0,"Overdue",IF(I1867=0,"Due now",IF(I1867&lt;=M1867,"Due soon","Not due")))))</x:f>
      </x:c>
      <x:c r="H1867" s="5" t="str">
        <x:f>IF(OR(COUNTA(A1867:F1867)=0,COUNTIFS('Rules'!$G$7:$G$26,"="&amp;(SUBSTITUTE(SUBSTITUTE(SUBSTITUTE(SUBSTITUTE("type:"&amp;B1867,"%","%25"),"~","%7E"),"*","%2A"),"?","%3F")))&lt;&gt;1),"",IF(OR(INDEX('Rules'!$B$7:$B$26,MATCH(SUBSTITUTE(SUBSTITUTE(SUBSTITUTE(SUBSTITUTE("type:"&amp;B1867,"%","%25"),"~","%7E"),"*","%2A"),"?","%3F"),'Rules'!$G$7:$G$26,0))="hours",INDEX('Rules'!$B$7:$B$26,MATCH(SUBSTITUTE(SUBSTITUTE(SUBSTITUTE(SUBSTITUTE("type:"&amp;B1867,"%","%25"),"~","%7E"),"*","%2A"),"?","%3F"),'Rules'!$G$7:$G$26,0))="km"),INDEX('Rules'!$B$7:$B$26,MATCH(SUBSTITUTE(SUBSTITUTE(SUBSTITUTE(SUBSTITUTE("type:"&amp;B1867,"%","%25"),"~","%7E"),"*","%2A"),"?","%3F"),'Rules'!$G$7:$G$26,0)),""))</x:f>
      </x:c>
      <x:c r="I1867" s="6" t="str">
        <x:f>IF(AND(NOT(COUNTA(A1867:F1867)=0),K1867=""),ROUND(J1867-D1867,3),"")</x:f>
      </x:c>
      <x:c r="J1867" s="6" t="str">
        <x:f>IF(AND(NOT(COUNTA(A1867:F1867)=0),K1867=""),ROUND(F1867+L1867,3),"")</x:f>
      </x:c>
      <x:c r="K1867" s="5" t="str">
        <x:f>IF(COUNTA(A1867:F1867)=0,"",IF(A1867="","Missing equipment ID",IF(COUNTIFS($N$8:$N$2007,"="&amp;N1867)&gt;1,"Duplicate equipment ID",IF(B1867="","Missing type",IF(COUNTIFS('Rules'!$G$7:$G$26,"="&amp;(SUBSTITUTE(SUBSTITUTE(SUBSTITUTE(SUBSTITUTE("type:"&amp;B1867,"%","%25"),"~","%7E"),"*","%2A"),"?","%3F")))=0,"Unknown type",IF(COUNTIFS('Rules'!$G$7:$G$26,"="&amp;(SUBSTITUTE(SUBSTITUTE(SUBSTITUTE(SUBSTITUTE("type:"&amp;B1867,"%","%25"),"~","%7E"),"*","%2A"),"?","%3F")))&gt;1,"Duplicate type",IF(INDEX('Rules'!$F$7:$F$26,MATCH(SUBSTITUTE(SUBSTITUTE(SUBSTITUTE(SUBSTITUTE("type:"&amp;B1867,"%","%25"),"~","%7E"),"*","%2A"),"?","%3F"),'Rules'!$G$7:$G$26,0))&lt;&gt;"",INDEX('Rules'!$F$7:$F$26,MATCH(SUBSTITUTE(SUBSTITUTE(SUBSTITUTE(SUBSTITUTE("type:"&amp;B1867,"%","%25"),"~","%7E"),"*","%2A"),"?","%3F"),'Rules'!$G$7:$G$26,0)),IF(AND(C1867&lt;&gt;"",C1867&lt;&gt;INDEX('Rules'!$B$7:$B$26,MATCH(SUBSTITUTE(SUBSTITUTE(SUBSTITUTE(SUBSTITUTE("type:"&amp;B1867,"%","%25"),"~","%7E"),"*","%2A"),"?","%3F"),'Rules'!$G$7:$G$26,0))),"Unit mismatch",IF(IF(NOT(ISNUMBER(D1867)),TRUE,OR(D1867&lt;0,D1867&gt;999999999,ROUND(D1867,3)&lt;&gt;D1867)),"Invalid current reading",IF(AND(E1867&lt;&gt;"",IF(NOT(ISNUMBER(E1867)),TRUE,OR(E1867&lt;0,E1867&gt;999999999,ROUND(E1867,3)&lt;&gt;E1867))),"Invalid previous reading",IF(IF(NOT(ISNUMBER(F1867)),TRUE,OR(F1867&lt;0,F1867&gt;999999999,ROUND(F1867,3)&lt;&gt;F1867)),"Invalid last service",IF(AND(E1867&lt;&gt;"",D1867&lt;E1867),"Decreased reading",IF(F1867&gt;D1867,"Last service above current","")))))))))))))</x:f>
      </x:c>
      <x:c r="L1867" s="6" t="str">
        <x:f>IF(AND(NOT(COUNTA(A1867:F1867)=0),K1867=""),INDEX('Rules'!$C$7:$C$26,MATCH(SUBSTITUTE(SUBSTITUTE(SUBSTITUTE(SUBSTITUTE("type:"&amp;B1867,"%","%25"),"~","%7E"),"*","%2A"),"?","%3F"),'Rules'!$G$7:$G$26,0)),"")</x:f>
      </x:c>
      <x:c r="M1867" s="6" t="str">
        <x:f>IF(AND(NOT(COUNTA(A1867:F1867)=0),K1867=""),INDEX('Rules'!$D$7:$D$26,MATCH(SUBSTITUTE(SUBSTITUTE(SUBSTITUTE(SUBSTITUTE("type:"&amp;B1867,"%","%25"),"~","%7E"),"*","%2A"),"?","%3F"),'Rules'!$G$7:$G$26,0)),"")</x:f>
      </x:c>
      <x:c r="N1867" s="5" t="str">
        <x:f>IF(COUNTA(A1867:F1867)=0,"",SUBSTITUTE(SUBSTITUTE(SUBSTITUTE(SUBSTITUTE("id:"&amp;A1867,"%","%25"),"~","%7E"),"*","%2A"),"?","%3F"))</x:f>
      </x:c>
    </x:row>
    <x:row r="1868" ht="22" customHeight="1">
      <x:c r="A1868" s="3"/>
      <x:c r="B1868" s="3"/>
      <x:c r="C1868" s="3"/>
      <x:c r="D1868" s="4"/>
      <x:c r="E1868" s="4"/>
      <x:c r="F1868" s="4"/>
      <x:c r="G1868" s="5" t="str">
        <x:f>IF(COUNTA(A1868:F1868)=0,"",IF(K1868&lt;&gt;"","Review",IF(I1868&lt;0,"Overdue",IF(I1868=0,"Due now",IF(I1868&lt;=M1868,"Due soon","Not due")))))</x:f>
      </x:c>
      <x:c r="H1868" s="5" t="str">
        <x:f>IF(OR(COUNTA(A1868:F1868)=0,COUNTIFS('Rules'!$G$7:$G$26,"="&amp;(SUBSTITUTE(SUBSTITUTE(SUBSTITUTE(SUBSTITUTE("type:"&amp;B1868,"%","%25"),"~","%7E"),"*","%2A"),"?","%3F")))&lt;&gt;1),"",IF(OR(INDEX('Rules'!$B$7:$B$26,MATCH(SUBSTITUTE(SUBSTITUTE(SUBSTITUTE(SUBSTITUTE("type:"&amp;B1868,"%","%25"),"~","%7E"),"*","%2A"),"?","%3F"),'Rules'!$G$7:$G$26,0))="hours",INDEX('Rules'!$B$7:$B$26,MATCH(SUBSTITUTE(SUBSTITUTE(SUBSTITUTE(SUBSTITUTE("type:"&amp;B1868,"%","%25"),"~","%7E"),"*","%2A"),"?","%3F"),'Rules'!$G$7:$G$26,0))="km"),INDEX('Rules'!$B$7:$B$26,MATCH(SUBSTITUTE(SUBSTITUTE(SUBSTITUTE(SUBSTITUTE("type:"&amp;B1868,"%","%25"),"~","%7E"),"*","%2A"),"?","%3F"),'Rules'!$G$7:$G$26,0)),""))</x:f>
      </x:c>
      <x:c r="I1868" s="6" t="str">
        <x:f>IF(AND(NOT(COUNTA(A1868:F1868)=0),K1868=""),ROUND(J1868-D1868,3),"")</x:f>
      </x:c>
      <x:c r="J1868" s="6" t="str">
        <x:f>IF(AND(NOT(COUNTA(A1868:F1868)=0),K1868=""),ROUND(F1868+L1868,3),"")</x:f>
      </x:c>
      <x:c r="K1868" s="5" t="str">
        <x:f>IF(COUNTA(A1868:F1868)=0,"",IF(A1868="","Missing equipment ID",IF(COUNTIFS($N$8:$N$2007,"="&amp;N1868)&gt;1,"Duplicate equipment ID",IF(B1868="","Missing type",IF(COUNTIFS('Rules'!$G$7:$G$26,"="&amp;(SUBSTITUTE(SUBSTITUTE(SUBSTITUTE(SUBSTITUTE("type:"&amp;B1868,"%","%25"),"~","%7E"),"*","%2A"),"?","%3F")))=0,"Unknown type",IF(COUNTIFS('Rules'!$G$7:$G$26,"="&amp;(SUBSTITUTE(SUBSTITUTE(SUBSTITUTE(SUBSTITUTE("type:"&amp;B1868,"%","%25"),"~","%7E"),"*","%2A"),"?","%3F")))&gt;1,"Duplicate type",IF(INDEX('Rules'!$F$7:$F$26,MATCH(SUBSTITUTE(SUBSTITUTE(SUBSTITUTE(SUBSTITUTE("type:"&amp;B1868,"%","%25"),"~","%7E"),"*","%2A"),"?","%3F"),'Rules'!$G$7:$G$26,0))&lt;&gt;"",INDEX('Rules'!$F$7:$F$26,MATCH(SUBSTITUTE(SUBSTITUTE(SUBSTITUTE(SUBSTITUTE("type:"&amp;B1868,"%","%25"),"~","%7E"),"*","%2A"),"?","%3F"),'Rules'!$G$7:$G$26,0)),IF(AND(C1868&lt;&gt;"",C1868&lt;&gt;INDEX('Rules'!$B$7:$B$26,MATCH(SUBSTITUTE(SUBSTITUTE(SUBSTITUTE(SUBSTITUTE("type:"&amp;B1868,"%","%25"),"~","%7E"),"*","%2A"),"?","%3F"),'Rules'!$G$7:$G$26,0))),"Unit mismatch",IF(IF(NOT(ISNUMBER(D1868)),TRUE,OR(D1868&lt;0,D1868&gt;999999999,ROUND(D1868,3)&lt;&gt;D1868)),"Invalid current reading",IF(AND(E1868&lt;&gt;"",IF(NOT(ISNUMBER(E1868)),TRUE,OR(E1868&lt;0,E1868&gt;999999999,ROUND(E1868,3)&lt;&gt;E1868))),"Invalid previous reading",IF(IF(NOT(ISNUMBER(F1868)),TRUE,OR(F1868&lt;0,F1868&gt;999999999,ROUND(F1868,3)&lt;&gt;F1868)),"Invalid last service",IF(AND(E1868&lt;&gt;"",D1868&lt;E1868),"Decreased reading",IF(F1868&gt;D1868,"Last service above current","")))))))))))))</x:f>
      </x:c>
      <x:c r="L1868" s="6" t="str">
        <x:f>IF(AND(NOT(COUNTA(A1868:F1868)=0),K1868=""),INDEX('Rules'!$C$7:$C$26,MATCH(SUBSTITUTE(SUBSTITUTE(SUBSTITUTE(SUBSTITUTE("type:"&amp;B1868,"%","%25"),"~","%7E"),"*","%2A"),"?","%3F"),'Rules'!$G$7:$G$26,0)),"")</x:f>
      </x:c>
      <x:c r="M1868" s="6" t="str">
        <x:f>IF(AND(NOT(COUNTA(A1868:F1868)=0),K1868=""),INDEX('Rules'!$D$7:$D$26,MATCH(SUBSTITUTE(SUBSTITUTE(SUBSTITUTE(SUBSTITUTE("type:"&amp;B1868,"%","%25"),"~","%7E"),"*","%2A"),"?","%3F"),'Rules'!$G$7:$G$26,0)),"")</x:f>
      </x:c>
      <x:c r="N1868" s="5" t="str">
        <x:f>IF(COUNTA(A1868:F1868)=0,"",SUBSTITUTE(SUBSTITUTE(SUBSTITUTE(SUBSTITUTE("id:"&amp;A1868,"%","%25"),"~","%7E"),"*","%2A"),"?","%3F"))</x:f>
      </x:c>
    </x:row>
    <x:row r="1869" ht="22" customHeight="1">
      <x:c r="A1869" s="3"/>
      <x:c r="B1869" s="3"/>
      <x:c r="C1869" s="3"/>
      <x:c r="D1869" s="4"/>
      <x:c r="E1869" s="4"/>
      <x:c r="F1869" s="4"/>
      <x:c r="G1869" s="5" t="str">
        <x:f>IF(COUNTA(A1869:F1869)=0,"",IF(K1869&lt;&gt;"","Review",IF(I1869&lt;0,"Overdue",IF(I1869=0,"Due now",IF(I1869&lt;=M1869,"Due soon","Not due")))))</x:f>
      </x:c>
      <x:c r="H1869" s="5" t="str">
        <x:f>IF(OR(COUNTA(A1869:F1869)=0,COUNTIFS('Rules'!$G$7:$G$26,"="&amp;(SUBSTITUTE(SUBSTITUTE(SUBSTITUTE(SUBSTITUTE("type:"&amp;B1869,"%","%25"),"~","%7E"),"*","%2A"),"?","%3F")))&lt;&gt;1),"",IF(OR(INDEX('Rules'!$B$7:$B$26,MATCH(SUBSTITUTE(SUBSTITUTE(SUBSTITUTE(SUBSTITUTE("type:"&amp;B1869,"%","%25"),"~","%7E"),"*","%2A"),"?","%3F"),'Rules'!$G$7:$G$26,0))="hours",INDEX('Rules'!$B$7:$B$26,MATCH(SUBSTITUTE(SUBSTITUTE(SUBSTITUTE(SUBSTITUTE("type:"&amp;B1869,"%","%25"),"~","%7E"),"*","%2A"),"?","%3F"),'Rules'!$G$7:$G$26,0))="km"),INDEX('Rules'!$B$7:$B$26,MATCH(SUBSTITUTE(SUBSTITUTE(SUBSTITUTE(SUBSTITUTE("type:"&amp;B1869,"%","%25"),"~","%7E"),"*","%2A"),"?","%3F"),'Rules'!$G$7:$G$26,0)),""))</x:f>
      </x:c>
      <x:c r="I1869" s="6" t="str">
        <x:f>IF(AND(NOT(COUNTA(A1869:F1869)=0),K1869=""),ROUND(J1869-D1869,3),"")</x:f>
      </x:c>
      <x:c r="J1869" s="6" t="str">
        <x:f>IF(AND(NOT(COUNTA(A1869:F1869)=0),K1869=""),ROUND(F1869+L1869,3),"")</x:f>
      </x:c>
      <x:c r="K1869" s="5" t="str">
        <x:f>IF(COUNTA(A1869:F1869)=0,"",IF(A1869="","Missing equipment ID",IF(COUNTIFS($N$8:$N$2007,"="&amp;N1869)&gt;1,"Duplicate equipment ID",IF(B1869="","Missing type",IF(COUNTIFS('Rules'!$G$7:$G$26,"="&amp;(SUBSTITUTE(SUBSTITUTE(SUBSTITUTE(SUBSTITUTE("type:"&amp;B1869,"%","%25"),"~","%7E"),"*","%2A"),"?","%3F")))=0,"Unknown type",IF(COUNTIFS('Rules'!$G$7:$G$26,"="&amp;(SUBSTITUTE(SUBSTITUTE(SUBSTITUTE(SUBSTITUTE("type:"&amp;B1869,"%","%25"),"~","%7E"),"*","%2A"),"?","%3F")))&gt;1,"Duplicate type",IF(INDEX('Rules'!$F$7:$F$26,MATCH(SUBSTITUTE(SUBSTITUTE(SUBSTITUTE(SUBSTITUTE("type:"&amp;B1869,"%","%25"),"~","%7E"),"*","%2A"),"?","%3F"),'Rules'!$G$7:$G$26,0))&lt;&gt;"",INDEX('Rules'!$F$7:$F$26,MATCH(SUBSTITUTE(SUBSTITUTE(SUBSTITUTE(SUBSTITUTE("type:"&amp;B1869,"%","%25"),"~","%7E"),"*","%2A"),"?","%3F"),'Rules'!$G$7:$G$26,0)),IF(AND(C1869&lt;&gt;"",C1869&lt;&gt;INDEX('Rules'!$B$7:$B$26,MATCH(SUBSTITUTE(SUBSTITUTE(SUBSTITUTE(SUBSTITUTE("type:"&amp;B1869,"%","%25"),"~","%7E"),"*","%2A"),"?","%3F"),'Rules'!$G$7:$G$26,0))),"Unit mismatch",IF(IF(NOT(ISNUMBER(D1869)),TRUE,OR(D1869&lt;0,D1869&gt;999999999,ROUND(D1869,3)&lt;&gt;D1869)),"Invalid current reading",IF(AND(E1869&lt;&gt;"",IF(NOT(ISNUMBER(E1869)),TRUE,OR(E1869&lt;0,E1869&gt;999999999,ROUND(E1869,3)&lt;&gt;E1869))),"Invalid previous reading",IF(IF(NOT(ISNUMBER(F1869)),TRUE,OR(F1869&lt;0,F1869&gt;999999999,ROUND(F1869,3)&lt;&gt;F1869)),"Invalid last service",IF(AND(E1869&lt;&gt;"",D1869&lt;E1869),"Decreased reading",IF(F1869&gt;D1869,"Last service above current","")))))))))))))</x:f>
      </x:c>
      <x:c r="L1869" s="6" t="str">
        <x:f>IF(AND(NOT(COUNTA(A1869:F1869)=0),K1869=""),INDEX('Rules'!$C$7:$C$26,MATCH(SUBSTITUTE(SUBSTITUTE(SUBSTITUTE(SUBSTITUTE("type:"&amp;B1869,"%","%25"),"~","%7E"),"*","%2A"),"?","%3F"),'Rules'!$G$7:$G$26,0)),"")</x:f>
      </x:c>
      <x:c r="M1869" s="6" t="str">
        <x:f>IF(AND(NOT(COUNTA(A1869:F1869)=0),K1869=""),INDEX('Rules'!$D$7:$D$26,MATCH(SUBSTITUTE(SUBSTITUTE(SUBSTITUTE(SUBSTITUTE("type:"&amp;B1869,"%","%25"),"~","%7E"),"*","%2A"),"?","%3F"),'Rules'!$G$7:$G$26,0)),"")</x:f>
      </x:c>
      <x:c r="N1869" s="5" t="str">
        <x:f>IF(COUNTA(A1869:F1869)=0,"",SUBSTITUTE(SUBSTITUTE(SUBSTITUTE(SUBSTITUTE("id:"&amp;A1869,"%","%25"),"~","%7E"),"*","%2A"),"?","%3F"))</x:f>
      </x:c>
    </x:row>
    <x:row r="1870" ht="22" customHeight="1">
      <x:c r="A1870" s="3"/>
      <x:c r="B1870" s="3"/>
      <x:c r="C1870" s="3"/>
      <x:c r="D1870" s="4"/>
      <x:c r="E1870" s="4"/>
      <x:c r="F1870" s="4"/>
      <x:c r="G1870" s="5" t="str">
        <x:f>IF(COUNTA(A1870:F1870)=0,"",IF(K1870&lt;&gt;"","Review",IF(I1870&lt;0,"Overdue",IF(I1870=0,"Due now",IF(I1870&lt;=M1870,"Due soon","Not due")))))</x:f>
      </x:c>
      <x:c r="H1870" s="5" t="str">
        <x:f>IF(OR(COUNTA(A1870:F1870)=0,COUNTIFS('Rules'!$G$7:$G$26,"="&amp;(SUBSTITUTE(SUBSTITUTE(SUBSTITUTE(SUBSTITUTE("type:"&amp;B1870,"%","%25"),"~","%7E"),"*","%2A"),"?","%3F")))&lt;&gt;1),"",IF(OR(INDEX('Rules'!$B$7:$B$26,MATCH(SUBSTITUTE(SUBSTITUTE(SUBSTITUTE(SUBSTITUTE("type:"&amp;B1870,"%","%25"),"~","%7E"),"*","%2A"),"?","%3F"),'Rules'!$G$7:$G$26,0))="hours",INDEX('Rules'!$B$7:$B$26,MATCH(SUBSTITUTE(SUBSTITUTE(SUBSTITUTE(SUBSTITUTE("type:"&amp;B1870,"%","%25"),"~","%7E"),"*","%2A"),"?","%3F"),'Rules'!$G$7:$G$26,0))="km"),INDEX('Rules'!$B$7:$B$26,MATCH(SUBSTITUTE(SUBSTITUTE(SUBSTITUTE(SUBSTITUTE("type:"&amp;B1870,"%","%25"),"~","%7E"),"*","%2A"),"?","%3F"),'Rules'!$G$7:$G$26,0)),""))</x:f>
      </x:c>
      <x:c r="I1870" s="6" t="str">
        <x:f>IF(AND(NOT(COUNTA(A1870:F1870)=0),K1870=""),ROUND(J1870-D1870,3),"")</x:f>
      </x:c>
      <x:c r="J1870" s="6" t="str">
        <x:f>IF(AND(NOT(COUNTA(A1870:F1870)=0),K1870=""),ROUND(F1870+L1870,3),"")</x:f>
      </x:c>
      <x:c r="K1870" s="5" t="str">
        <x:f>IF(COUNTA(A1870:F1870)=0,"",IF(A1870="","Missing equipment ID",IF(COUNTIFS($N$8:$N$2007,"="&amp;N1870)&gt;1,"Duplicate equipment ID",IF(B1870="","Missing type",IF(COUNTIFS('Rules'!$G$7:$G$26,"="&amp;(SUBSTITUTE(SUBSTITUTE(SUBSTITUTE(SUBSTITUTE("type:"&amp;B1870,"%","%25"),"~","%7E"),"*","%2A"),"?","%3F")))=0,"Unknown type",IF(COUNTIFS('Rules'!$G$7:$G$26,"="&amp;(SUBSTITUTE(SUBSTITUTE(SUBSTITUTE(SUBSTITUTE("type:"&amp;B1870,"%","%25"),"~","%7E"),"*","%2A"),"?","%3F")))&gt;1,"Duplicate type",IF(INDEX('Rules'!$F$7:$F$26,MATCH(SUBSTITUTE(SUBSTITUTE(SUBSTITUTE(SUBSTITUTE("type:"&amp;B1870,"%","%25"),"~","%7E"),"*","%2A"),"?","%3F"),'Rules'!$G$7:$G$26,0))&lt;&gt;"",INDEX('Rules'!$F$7:$F$26,MATCH(SUBSTITUTE(SUBSTITUTE(SUBSTITUTE(SUBSTITUTE("type:"&amp;B1870,"%","%25"),"~","%7E"),"*","%2A"),"?","%3F"),'Rules'!$G$7:$G$26,0)),IF(AND(C1870&lt;&gt;"",C1870&lt;&gt;INDEX('Rules'!$B$7:$B$26,MATCH(SUBSTITUTE(SUBSTITUTE(SUBSTITUTE(SUBSTITUTE("type:"&amp;B1870,"%","%25"),"~","%7E"),"*","%2A"),"?","%3F"),'Rules'!$G$7:$G$26,0))),"Unit mismatch",IF(IF(NOT(ISNUMBER(D1870)),TRUE,OR(D1870&lt;0,D1870&gt;999999999,ROUND(D1870,3)&lt;&gt;D1870)),"Invalid current reading",IF(AND(E1870&lt;&gt;"",IF(NOT(ISNUMBER(E1870)),TRUE,OR(E1870&lt;0,E1870&gt;999999999,ROUND(E1870,3)&lt;&gt;E1870))),"Invalid previous reading",IF(IF(NOT(ISNUMBER(F1870)),TRUE,OR(F1870&lt;0,F1870&gt;999999999,ROUND(F1870,3)&lt;&gt;F1870)),"Invalid last service",IF(AND(E1870&lt;&gt;"",D1870&lt;E1870),"Decreased reading",IF(F1870&gt;D1870,"Last service above current","")))))))))))))</x:f>
      </x:c>
      <x:c r="L1870" s="6" t="str">
        <x:f>IF(AND(NOT(COUNTA(A1870:F1870)=0),K1870=""),INDEX('Rules'!$C$7:$C$26,MATCH(SUBSTITUTE(SUBSTITUTE(SUBSTITUTE(SUBSTITUTE("type:"&amp;B1870,"%","%25"),"~","%7E"),"*","%2A"),"?","%3F"),'Rules'!$G$7:$G$26,0)),"")</x:f>
      </x:c>
      <x:c r="M1870" s="6" t="str">
        <x:f>IF(AND(NOT(COUNTA(A1870:F1870)=0),K1870=""),INDEX('Rules'!$D$7:$D$26,MATCH(SUBSTITUTE(SUBSTITUTE(SUBSTITUTE(SUBSTITUTE("type:"&amp;B1870,"%","%25"),"~","%7E"),"*","%2A"),"?","%3F"),'Rules'!$G$7:$G$26,0)),"")</x:f>
      </x:c>
      <x:c r="N1870" s="5" t="str">
        <x:f>IF(COUNTA(A1870:F1870)=0,"",SUBSTITUTE(SUBSTITUTE(SUBSTITUTE(SUBSTITUTE("id:"&amp;A1870,"%","%25"),"~","%7E"),"*","%2A"),"?","%3F"))</x:f>
      </x:c>
    </x:row>
    <x:row r="1871" ht="22" customHeight="1">
      <x:c r="A1871" s="3"/>
      <x:c r="B1871" s="3"/>
      <x:c r="C1871" s="3"/>
      <x:c r="D1871" s="4"/>
      <x:c r="E1871" s="4"/>
      <x:c r="F1871" s="4"/>
      <x:c r="G1871" s="5" t="str">
        <x:f>IF(COUNTA(A1871:F1871)=0,"",IF(K1871&lt;&gt;"","Review",IF(I1871&lt;0,"Overdue",IF(I1871=0,"Due now",IF(I1871&lt;=M1871,"Due soon","Not due")))))</x:f>
      </x:c>
      <x:c r="H1871" s="5" t="str">
        <x:f>IF(OR(COUNTA(A1871:F1871)=0,COUNTIFS('Rules'!$G$7:$G$26,"="&amp;(SUBSTITUTE(SUBSTITUTE(SUBSTITUTE(SUBSTITUTE("type:"&amp;B1871,"%","%25"),"~","%7E"),"*","%2A"),"?","%3F")))&lt;&gt;1),"",IF(OR(INDEX('Rules'!$B$7:$B$26,MATCH(SUBSTITUTE(SUBSTITUTE(SUBSTITUTE(SUBSTITUTE("type:"&amp;B1871,"%","%25"),"~","%7E"),"*","%2A"),"?","%3F"),'Rules'!$G$7:$G$26,0))="hours",INDEX('Rules'!$B$7:$B$26,MATCH(SUBSTITUTE(SUBSTITUTE(SUBSTITUTE(SUBSTITUTE("type:"&amp;B1871,"%","%25"),"~","%7E"),"*","%2A"),"?","%3F"),'Rules'!$G$7:$G$26,0))="km"),INDEX('Rules'!$B$7:$B$26,MATCH(SUBSTITUTE(SUBSTITUTE(SUBSTITUTE(SUBSTITUTE("type:"&amp;B1871,"%","%25"),"~","%7E"),"*","%2A"),"?","%3F"),'Rules'!$G$7:$G$26,0)),""))</x:f>
      </x:c>
      <x:c r="I1871" s="6" t="str">
        <x:f>IF(AND(NOT(COUNTA(A1871:F1871)=0),K1871=""),ROUND(J1871-D1871,3),"")</x:f>
      </x:c>
      <x:c r="J1871" s="6" t="str">
        <x:f>IF(AND(NOT(COUNTA(A1871:F1871)=0),K1871=""),ROUND(F1871+L1871,3),"")</x:f>
      </x:c>
      <x:c r="K1871" s="5" t="str">
        <x:f>IF(COUNTA(A1871:F1871)=0,"",IF(A1871="","Missing equipment ID",IF(COUNTIFS($N$8:$N$2007,"="&amp;N1871)&gt;1,"Duplicate equipment ID",IF(B1871="","Missing type",IF(COUNTIFS('Rules'!$G$7:$G$26,"="&amp;(SUBSTITUTE(SUBSTITUTE(SUBSTITUTE(SUBSTITUTE("type:"&amp;B1871,"%","%25"),"~","%7E"),"*","%2A"),"?","%3F")))=0,"Unknown type",IF(COUNTIFS('Rules'!$G$7:$G$26,"="&amp;(SUBSTITUTE(SUBSTITUTE(SUBSTITUTE(SUBSTITUTE("type:"&amp;B1871,"%","%25"),"~","%7E"),"*","%2A"),"?","%3F")))&gt;1,"Duplicate type",IF(INDEX('Rules'!$F$7:$F$26,MATCH(SUBSTITUTE(SUBSTITUTE(SUBSTITUTE(SUBSTITUTE("type:"&amp;B1871,"%","%25"),"~","%7E"),"*","%2A"),"?","%3F"),'Rules'!$G$7:$G$26,0))&lt;&gt;"",INDEX('Rules'!$F$7:$F$26,MATCH(SUBSTITUTE(SUBSTITUTE(SUBSTITUTE(SUBSTITUTE("type:"&amp;B1871,"%","%25"),"~","%7E"),"*","%2A"),"?","%3F"),'Rules'!$G$7:$G$26,0)),IF(AND(C1871&lt;&gt;"",C1871&lt;&gt;INDEX('Rules'!$B$7:$B$26,MATCH(SUBSTITUTE(SUBSTITUTE(SUBSTITUTE(SUBSTITUTE("type:"&amp;B1871,"%","%25"),"~","%7E"),"*","%2A"),"?","%3F"),'Rules'!$G$7:$G$26,0))),"Unit mismatch",IF(IF(NOT(ISNUMBER(D1871)),TRUE,OR(D1871&lt;0,D1871&gt;999999999,ROUND(D1871,3)&lt;&gt;D1871)),"Invalid current reading",IF(AND(E1871&lt;&gt;"",IF(NOT(ISNUMBER(E1871)),TRUE,OR(E1871&lt;0,E1871&gt;999999999,ROUND(E1871,3)&lt;&gt;E1871))),"Invalid previous reading",IF(IF(NOT(ISNUMBER(F1871)),TRUE,OR(F1871&lt;0,F1871&gt;999999999,ROUND(F1871,3)&lt;&gt;F1871)),"Invalid last service",IF(AND(E1871&lt;&gt;"",D1871&lt;E1871),"Decreased reading",IF(F1871&gt;D1871,"Last service above current","")))))))))))))</x:f>
      </x:c>
      <x:c r="L1871" s="6" t="str">
        <x:f>IF(AND(NOT(COUNTA(A1871:F1871)=0),K1871=""),INDEX('Rules'!$C$7:$C$26,MATCH(SUBSTITUTE(SUBSTITUTE(SUBSTITUTE(SUBSTITUTE("type:"&amp;B1871,"%","%25"),"~","%7E"),"*","%2A"),"?","%3F"),'Rules'!$G$7:$G$26,0)),"")</x:f>
      </x:c>
      <x:c r="M1871" s="6" t="str">
        <x:f>IF(AND(NOT(COUNTA(A1871:F1871)=0),K1871=""),INDEX('Rules'!$D$7:$D$26,MATCH(SUBSTITUTE(SUBSTITUTE(SUBSTITUTE(SUBSTITUTE("type:"&amp;B1871,"%","%25"),"~","%7E"),"*","%2A"),"?","%3F"),'Rules'!$G$7:$G$26,0)),"")</x:f>
      </x:c>
      <x:c r="N1871" s="5" t="str">
        <x:f>IF(COUNTA(A1871:F1871)=0,"",SUBSTITUTE(SUBSTITUTE(SUBSTITUTE(SUBSTITUTE("id:"&amp;A1871,"%","%25"),"~","%7E"),"*","%2A"),"?","%3F"))</x:f>
      </x:c>
    </x:row>
    <x:row r="1872" ht="22" customHeight="1">
      <x:c r="A1872" s="3"/>
      <x:c r="B1872" s="3"/>
      <x:c r="C1872" s="3"/>
      <x:c r="D1872" s="4"/>
      <x:c r="E1872" s="4"/>
      <x:c r="F1872" s="4"/>
      <x:c r="G1872" s="5" t="str">
        <x:f>IF(COUNTA(A1872:F1872)=0,"",IF(K1872&lt;&gt;"","Review",IF(I1872&lt;0,"Overdue",IF(I1872=0,"Due now",IF(I1872&lt;=M1872,"Due soon","Not due")))))</x:f>
      </x:c>
      <x:c r="H1872" s="5" t="str">
        <x:f>IF(OR(COUNTA(A1872:F1872)=0,COUNTIFS('Rules'!$G$7:$G$26,"="&amp;(SUBSTITUTE(SUBSTITUTE(SUBSTITUTE(SUBSTITUTE("type:"&amp;B1872,"%","%25"),"~","%7E"),"*","%2A"),"?","%3F")))&lt;&gt;1),"",IF(OR(INDEX('Rules'!$B$7:$B$26,MATCH(SUBSTITUTE(SUBSTITUTE(SUBSTITUTE(SUBSTITUTE("type:"&amp;B1872,"%","%25"),"~","%7E"),"*","%2A"),"?","%3F"),'Rules'!$G$7:$G$26,0))="hours",INDEX('Rules'!$B$7:$B$26,MATCH(SUBSTITUTE(SUBSTITUTE(SUBSTITUTE(SUBSTITUTE("type:"&amp;B1872,"%","%25"),"~","%7E"),"*","%2A"),"?","%3F"),'Rules'!$G$7:$G$26,0))="km"),INDEX('Rules'!$B$7:$B$26,MATCH(SUBSTITUTE(SUBSTITUTE(SUBSTITUTE(SUBSTITUTE("type:"&amp;B1872,"%","%25"),"~","%7E"),"*","%2A"),"?","%3F"),'Rules'!$G$7:$G$26,0)),""))</x:f>
      </x:c>
      <x:c r="I1872" s="6" t="str">
        <x:f>IF(AND(NOT(COUNTA(A1872:F1872)=0),K1872=""),ROUND(J1872-D1872,3),"")</x:f>
      </x:c>
      <x:c r="J1872" s="6" t="str">
        <x:f>IF(AND(NOT(COUNTA(A1872:F1872)=0),K1872=""),ROUND(F1872+L1872,3),"")</x:f>
      </x:c>
      <x:c r="K1872" s="5" t="str">
        <x:f>IF(COUNTA(A1872:F1872)=0,"",IF(A1872="","Missing equipment ID",IF(COUNTIFS($N$8:$N$2007,"="&amp;N1872)&gt;1,"Duplicate equipment ID",IF(B1872="","Missing type",IF(COUNTIFS('Rules'!$G$7:$G$26,"="&amp;(SUBSTITUTE(SUBSTITUTE(SUBSTITUTE(SUBSTITUTE("type:"&amp;B1872,"%","%25"),"~","%7E"),"*","%2A"),"?","%3F")))=0,"Unknown type",IF(COUNTIFS('Rules'!$G$7:$G$26,"="&amp;(SUBSTITUTE(SUBSTITUTE(SUBSTITUTE(SUBSTITUTE("type:"&amp;B1872,"%","%25"),"~","%7E"),"*","%2A"),"?","%3F")))&gt;1,"Duplicate type",IF(INDEX('Rules'!$F$7:$F$26,MATCH(SUBSTITUTE(SUBSTITUTE(SUBSTITUTE(SUBSTITUTE("type:"&amp;B1872,"%","%25"),"~","%7E"),"*","%2A"),"?","%3F"),'Rules'!$G$7:$G$26,0))&lt;&gt;"",INDEX('Rules'!$F$7:$F$26,MATCH(SUBSTITUTE(SUBSTITUTE(SUBSTITUTE(SUBSTITUTE("type:"&amp;B1872,"%","%25"),"~","%7E"),"*","%2A"),"?","%3F"),'Rules'!$G$7:$G$26,0)),IF(AND(C1872&lt;&gt;"",C1872&lt;&gt;INDEX('Rules'!$B$7:$B$26,MATCH(SUBSTITUTE(SUBSTITUTE(SUBSTITUTE(SUBSTITUTE("type:"&amp;B1872,"%","%25"),"~","%7E"),"*","%2A"),"?","%3F"),'Rules'!$G$7:$G$26,0))),"Unit mismatch",IF(IF(NOT(ISNUMBER(D1872)),TRUE,OR(D1872&lt;0,D1872&gt;999999999,ROUND(D1872,3)&lt;&gt;D1872)),"Invalid current reading",IF(AND(E1872&lt;&gt;"",IF(NOT(ISNUMBER(E1872)),TRUE,OR(E1872&lt;0,E1872&gt;999999999,ROUND(E1872,3)&lt;&gt;E1872))),"Invalid previous reading",IF(IF(NOT(ISNUMBER(F1872)),TRUE,OR(F1872&lt;0,F1872&gt;999999999,ROUND(F1872,3)&lt;&gt;F1872)),"Invalid last service",IF(AND(E1872&lt;&gt;"",D1872&lt;E1872),"Decreased reading",IF(F1872&gt;D1872,"Last service above current","")))))))))))))</x:f>
      </x:c>
      <x:c r="L1872" s="6" t="str">
        <x:f>IF(AND(NOT(COUNTA(A1872:F1872)=0),K1872=""),INDEX('Rules'!$C$7:$C$26,MATCH(SUBSTITUTE(SUBSTITUTE(SUBSTITUTE(SUBSTITUTE("type:"&amp;B1872,"%","%25"),"~","%7E"),"*","%2A"),"?","%3F"),'Rules'!$G$7:$G$26,0)),"")</x:f>
      </x:c>
      <x:c r="M1872" s="6" t="str">
        <x:f>IF(AND(NOT(COUNTA(A1872:F1872)=0),K1872=""),INDEX('Rules'!$D$7:$D$26,MATCH(SUBSTITUTE(SUBSTITUTE(SUBSTITUTE(SUBSTITUTE("type:"&amp;B1872,"%","%25"),"~","%7E"),"*","%2A"),"?","%3F"),'Rules'!$G$7:$G$26,0)),"")</x:f>
      </x:c>
      <x:c r="N1872" s="5" t="str">
        <x:f>IF(COUNTA(A1872:F1872)=0,"",SUBSTITUTE(SUBSTITUTE(SUBSTITUTE(SUBSTITUTE("id:"&amp;A1872,"%","%25"),"~","%7E"),"*","%2A"),"?","%3F"))</x:f>
      </x:c>
    </x:row>
    <x:row r="1873" ht="22" customHeight="1">
      <x:c r="A1873" s="3"/>
      <x:c r="B1873" s="3"/>
      <x:c r="C1873" s="3"/>
      <x:c r="D1873" s="4"/>
      <x:c r="E1873" s="4"/>
      <x:c r="F1873" s="4"/>
      <x:c r="G1873" s="5" t="str">
        <x:f>IF(COUNTA(A1873:F1873)=0,"",IF(K1873&lt;&gt;"","Review",IF(I1873&lt;0,"Overdue",IF(I1873=0,"Due now",IF(I1873&lt;=M1873,"Due soon","Not due")))))</x:f>
      </x:c>
      <x:c r="H1873" s="5" t="str">
        <x:f>IF(OR(COUNTA(A1873:F1873)=0,COUNTIFS('Rules'!$G$7:$G$26,"="&amp;(SUBSTITUTE(SUBSTITUTE(SUBSTITUTE(SUBSTITUTE("type:"&amp;B1873,"%","%25"),"~","%7E"),"*","%2A"),"?","%3F")))&lt;&gt;1),"",IF(OR(INDEX('Rules'!$B$7:$B$26,MATCH(SUBSTITUTE(SUBSTITUTE(SUBSTITUTE(SUBSTITUTE("type:"&amp;B1873,"%","%25"),"~","%7E"),"*","%2A"),"?","%3F"),'Rules'!$G$7:$G$26,0))="hours",INDEX('Rules'!$B$7:$B$26,MATCH(SUBSTITUTE(SUBSTITUTE(SUBSTITUTE(SUBSTITUTE("type:"&amp;B1873,"%","%25"),"~","%7E"),"*","%2A"),"?","%3F"),'Rules'!$G$7:$G$26,0))="km"),INDEX('Rules'!$B$7:$B$26,MATCH(SUBSTITUTE(SUBSTITUTE(SUBSTITUTE(SUBSTITUTE("type:"&amp;B1873,"%","%25"),"~","%7E"),"*","%2A"),"?","%3F"),'Rules'!$G$7:$G$26,0)),""))</x:f>
      </x:c>
      <x:c r="I1873" s="6" t="str">
        <x:f>IF(AND(NOT(COUNTA(A1873:F1873)=0),K1873=""),ROUND(J1873-D1873,3),"")</x:f>
      </x:c>
      <x:c r="J1873" s="6" t="str">
        <x:f>IF(AND(NOT(COUNTA(A1873:F1873)=0),K1873=""),ROUND(F1873+L1873,3),"")</x:f>
      </x:c>
      <x:c r="K1873" s="5" t="str">
        <x:f>IF(COUNTA(A1873:F1873)=0,"",IF(A1873="","Missing equipment ID",IF(COUNTIFS($N$8:$N$2007,"="&amp;N1873)&gt;1,"Duplicate equipment ID",IF(B1873="","Missing type",IF(COUNTIFS('Rules'!$G$7:$G$26,"="&amp;(SUBSTITUTE(SUBSTITUTE(SUBSTITUTE(SUBSTITUTE("type:"&amp;B1873,"%","%25"),"~","%7E"),"*","%2A"),"?","%3F")))=0,"Unknown type",IF(COUNTIFS('Rules'!$G$7:$G$26,"="&amp;(SUBSTITUTE(SUBSTITUTE(SUBSTITUTE(SUBSTITUTE("type:"&amp;B1873,"%","%25"),"~","%7E"),"*","%2A"),"?","%3F")))&gt;1,"Duplicate type",IF(INDEX('Rules'!$F$7:$F$26,MATCH(SUBSTITUTE(SUBSTITUTE(SUBSTITUTE(SUBSTITUTE("type:"&amp;B1873,"%","%25"),"~","%7E"),"*","%2A"),"?","%3F"),'Rules'!$G$7:$G$26,0))&lt;&gt;"",INDEX('Rules'!$F$7:$F$26,MATCH(SUBSTITUTE(SUBSTITUTE(SUBSTITUTE(SUBSTITUTE("type:"&amp;B1873,"%","%25"),"~","%7E"),"*","%2A"),"?","%3F"),'Rules'!$G$7:$G$26,0)),IF(AND(C1873&lt;&gt;"",C1873&lt;&gt;INDEX('Rules'!$B$7:$B$26,MATCH(SUBSTITUTE(SUBSTITUTE(SUBSTITUTE(SUBSTITUTE("type:"&amp;B1873,"%","%25"),"~","%7E"),"*","%2A"),"?","%3F"),'Rules'!$G$7:$G$26,0))),"Unit mismatch",IF(IF(NOT(ISNUMBER(D1873)),TRUE,OR(D1873&lt;0,D1873&gt;999999999,ROUND(D1873,3)&lt;&gt;D1873)),"Invalid current reading",IF(AND(E1873&lt;&gt;"",IF(NOT(ISNUMBER(E1873)),TRUE,OR(E1873&lt;0,E1873&gt;999999999,ROUND(E1873,3)&lt;&gt;E1873))),"Invalid previous reading",IF(IF(NOT(ISNUMBER(F1873)),TRUE,OR(F1873&lt;0,F1873&gt;999999999,ROUND(F1873,3)&lt;&gt;F1873)),"Invalid last service",IF(AND(E1873&lt;&gt;"",D1873&lt;E1873),"Decreased reading",IF(F1873&gt;D1873,"Last service above current","")))))))))))))</x:f>
      </x:c>
      <x:c r="L1873" s="6" t="str">
        <x:f>IF(AND(NOT(COUNTA(A1873:F1873)=0),K1873=""),INDEX('Rules'!$C$7:$C$26,MATCH(SUBSTITUTE(SUBSTITUTE(SUBSTITUTE(SUBSTITUTE("type:"&amp;B1873,"%","%25"),"~","%7E"),"*","%2A"),"?","%3F"),'Rules'!$G$7:$G$26,0)),"")</x:f>
      </x:c>
      <x:c r="M1873" s="6" t="str">
        <x:f>IF(AND(NOT(COUNTA(A1873:F1873)=0),K1873=""),INDEX('Rules'!$D$7:$D$26,MATCH(SUBSTITUTE(SUBSTITUTE(SUBSTITUTE(SUBSTITUTE("type:"&amp;B1873,"%","%25"),"~","%7E"),"*","%2A"),"?","%3F"),'Rules'!$G$7:$G$26,0)),"")</x:f>
      </x:c>
      <x:c r="N1873" s="5" t="str">
        <x:f>IF(COUNTA(A1873:F1873)=0,"",SUBSTITUTE(SUBSTITUTE(SUBSTITUTE(SUBSTITUTE("id:"&amp;A1873,"%","%25"),"~","%7E"),"*","%2A"),"?","%3F"))</x:f>
      </x:c>
    </x:row>
    <x:row r="1874" ht="22" customHeight="1">
      <x:c r="A1874" s="3"/>
      <x:c r="B1874" s="3"/>
      <x:c r="C1874" s="3"/>
      <x:c r="D1874" s="4"/>
      <x:c r="E1874" s="4"/>
      <x:c r="F1874" s="4"/>
      <x:c r="G1874" s="5" t="str">
        <x:f>IF(COUNTA(A1874:F1874)=0,"",IF(K1874&lt;&gt;"","Review",IF(I1874&lt;0,"Overdue",IF(I1874=0,"Due now",IF(I1874&lt;=M1874,"Due soon","Not due")))))</x:f>
      </x:c>
      <x:c r="H1874" s="5" t="str">
        <x:f>IF(OR(COUNTA(A1874:F1874)=0,COUNTIFS('Rules'!$G$7:$G$26,"="&amp;(SUBSTITUTE(SUBSTITUTE(SUBSTITUTE(SUBSTITUTE("type:"&amp;B1874,"%","%25"),"~","%7E"),"*","%2A"),"?","%3F")))&lt;&gt;1),"",IF(OR(INDEX('Rules'!$B$7:$B$26,MATCH(SUBSTITUTE(SUBSTITUTE(SUBSTITUTE(SUBSTITUTE("type:"&amp;B1874,"%","%25"),"~","%7E"),"*","%2A"),"?","%3F"),'Rules'!$G$7:$G$26,0))="hours",INDEX('Rules'!$B$7:$B$26,MATCH(SUBSTITUTE(SUBSTITUTE(SUBSTITUTE(SUBSTITUTE("type:"&amp;B1874,"%","%25"),"~","%7E"),"*","%2A"),"?","%3F"),'Rules'!$G$7:$G$26,0))="km"),INDEX('Rules'!$B$7:$B$26,MATCH(SUBSTITUTE(SUBSTITUTE(SUBSTITUTE(SUBSTITUTE("type:"&amp;B1874,"%","%25"),"~","%7E"),"*","%2A"),"?","%3F"),'Rules'!$G$7:$G$26,0)),""))</x:f>
      </x:c>
      <x:c r="I1874" s="6" t="str">
        <x:f>IF(AND(NOT(COUNTA(A1874:F1874)=0),K1874=""),ROUND(J1874-D1874,3),"")</x:f>
      </x:c>
      <x:c r="J1874" s="6" t="str">
        <x:f>IF(AND(NOT(COUNTA(A1874:F1874)=0),K1874=""),ROUND(F1874+L1874,3),"")</x:f>
      </x:c>
      <x:c r="K1874" s="5" t="str">
        <x:f>IF(COUNTA(A1874:F1874)=0,"",IF(A1874="","Missing equipment ID",IF(COUNTIFS($N$8:$N$2007,"="&amp;N1874)&gt;1,"Duplicate equipment ID",IF(B1874="","Missing type",IF(COUNTIFS('Rules'!$G$7:$G$26,"="&amp;(SUBSTITUTE(SUBSTITUTE(SUBSTITUTE(SUBSTITUTE("type:"&amp;B1874,"%","%25"),"~","%7E"),"*","%2A"),"?","%3F")))=0,"Unknown type",IF(COUNTIFS('Rules'!$G$7:$G$26,"="&amp;(SUBSTITUTE(SUBSTITUTE(SUBSTITUTE(SUBSTITUTE("type:"&amp;B1874,"%","%25"),"~","%7E"),"*","%2A"),"?","%3F")))&gt;1,"Duplicate type",IF(INDEX('Rules'!$F$7:$F$26,MATCH(SUBSTITUTE(SUBSTITUTE(SUBSTITUTE(SUBSTITUTE("type:"&amp;B1874,"%","%25"),"~","%7E"),"*","%2A"),"?","%3F"),'Rules'!$G$7:$G$26,0))&lt;&gt;"",INDEX('Rules'!$F$7:$F$26,MATCH(SUBSTITUTE(SUBSTITUTE(SUBSTITUTE(SUBSTITUTE("type:"&amp;B1874,"%","%25"),"~","%7E"),"*","%2A"),"?","%3F"),'Rules'!$G$7:$G$26,0)),IF(AND(C1874&lt;&gt;"",C1874&lt;&gt;INDEX('Rules'!$B$7:$B$26,MATCH(SUBSTITUTE(SUBSTITUTE(SUBSTITUTE(SUBSTITUTE("type:"&amp;B1874,"%","%25"),"~","%7E"),"*","%2A"),"?","%3F"),'Rules'!$G$7:$G$26,0))),"Unit mismatch",IF(IF(NOT(ISNUMBER(D1874)),TRUE,OR(D1874&lt;0,D1874&gt;999999999,ROUND(D1874,3)&lt;&gt;D1874)),"Invalid current reading",IF(AND(E1874&lt;&gt;"",IF(NOT(ISNUMBER(E1874)),TRUE,OR(E1874&lt;0,E1874&gt;999999999,ROUND(E1874,3)&lt;&gt;E1874))),"Invalid previous reading",IF(IF(NOT(ISNUMBER(F1874)),TRUE,OR(F1874&lt;0,F1874&gt;999999999,ROUND(F1874,3)&lt;&gt;F1874)),"Invalid last service",IF(AND(E1874&lt;&gt;"",D1874&lt;E1874),"Decreased reading",IF(F1874&gt;D1874,"Last service above current","")))))))))))))</x:f>
      </x:c>
      <x:c r="L1874" s="6" t="str">
        <x:f>IF(AND(NOT(COUNTA(A1874:F1874)=0),K1874=""),INDEX('Rules'!$C$7:$C$26,MATCH(SUBSTITUTE(SUBSTITUTE(SUBSTITUTE(SUBSTITUTE("type:"&amp;B1874,"%","%25"),"~","%7E"),"*","%2A"),"?","%3F"),'Rules'!$G$7:$G$26,0)),"")</x:f>
      </x:c>
      <x:c r="M1874" s="6" t="str">
        <x:f>IF(AND(NOT(COUNTA(A1874:F1874)=0),K1874=""),INDEX('Rules'!$D$7:$D$26,MATCH(SUBSTITUTE(SUBSTITUTE(SUBSTITUTE(SUBSTITUTE("type:"&amp;B1874,"%","%25"),"~","%7E"),"*","%2A"),"?","%3F"),'Rules'!$G$7:$G$26,0)),"")</x:f>
      </x:c>
      <x:c r="N1874" s="5" t="str">
        <x:f>IF(COUNTA(A1874:F1874)=0,"",SUBSTITUTE(SUBSTITUTE(SUBSTITUTE(SUBSTITUTE("id:"&amp;A1874,"%","%25"),"~","%7E"),"*","%2A"),"?","%3F"))</x:f>
      </x:c>
    </x:row>
    <x:row r="1875" ht="22" customHeight="1">
      <x:c r="A1875" s="3"/>
      <x:c r="B1875" s="3"/>
      <x:c r="C1875" s="3"/>
      <x:c r="D1875" s="4"/>
      <x:c r="E1875" s="4"/>
      <x:c r="F1875" s="4"/>
      <x:c r="G1875" s="5" t="str">
        <x:f>IF(COUNTA(A1875:F1875)=0,"",IF(K1875&lt;&gt;"","Review",IF(I1875&lt;0,"Overdue",IF(I1875=0,"Due now",IF(I1875&lt;=M1875,"Due soon","Not due")))))</x:f>
      </x:c>
      <x:c r="H1875" s="5" t="str">
        <x:f>IF(OR(COUNTA(A1875:F1875)=0,COUNTIFS('Rules'!$G$7:$G$26,"="&amp;(SUBSTITUTE(SUBSTITUTE(SUBSTITUTE(SUBSTITUTE("type:"&amp;B1875,"%","%25"),"~","%7E"),"*","%2A"),"?","%3F")))&lt;&gt;1),"",IF(OR(INDEX('Rules'!$B$7:$B$26,MATCH(SUBSTITUTE(SUBSTITUTE(SUBSTITUTE(SUBSTITUTE("type:"&amp;B1875,"%","%25"),"~","%7E"),"*","%2A"),"?","%3F"),'Rules'!$G$7:$G$26,0))="hours",INDEX('Rules'!$B$7:$B$26,MATCH(SUBSTITUTE(SUBSTITUTE(SUBSTITUTE(SUBSTITUTE("type:"&amp;B1875,"%","%25"),"~","%7E"),"*","%2A"),"?","%3F"),'Rules'!$G$7:$G$26,0))="km"),INDEX('Rules'!$B$7:$B$26,MATCH(SUBSTITUTE(SUBSTITUTE(SUBSTITUTE(SUBSTITUTE("type:"&amp;B1875,"%","%25"),"~","%7E"),"*","%2A"),"?","%3F"),'Rules'!$G$7:$G$26,0)),""))</x:f>
      </x:c>
      <x:c r="I1875" s="6" t="str">
        <x:f>IF(AND(NOT(COUNTA(A1875:F1875)=0),K1875=""),ROUND(J1875-D1875,3),"")</x:f>
      </x:c>
      <x:c r="J1875" s="6" t="str">
        <x:f>IF(AND(NOT(COUNTA(A1875:F1875)=0),K1875=""),ROUND(F1875+L1875,3),"")</x:f>
      </x:c>
      <x:c r="K1875" s="5" t="str">
        <x:f>IF(COUNTA(A1875:F1875)=0,"",IF(A1875="","Missing equipment ID",IF(COUNTIFS($N$8:$N$2007,"="&amp;N1875)&gt;1,"Duplicate equipment ID",IF(B1875="","Missing type",IF(COUNTIFS('Rules'!$G$7:$G$26,"="&amp;(SUBSTITUTE(SUBSTITUTE(SUBSTITUTE(SUBSTITUTE("type:"&amp;B1875,"%","%25"),"~","%7E"),"*","%2A"),"?","%3F")))=0,"Unknown type",IF(COUNTIFS('Rules'!$G$7:$G$26,"="&amp;(SUBSTITUTE(SUBSTITUTE(SUBSTITUTE(SUBSTITUTE("type:"&amp;B1875,"%","%25"),"~","%7E"),"*","%2A"),"?","%3F")))&gt;1,"Duplicate type",IF(INDEX('Rules'!$F$7:$F$26,MATCH(SUBSTITUTE(SUBSTITUTE(SUBSTITUTE(SUBSTITUTE("type:"&amp;B1875,"%","%25"),"~","%7E"),"*","%2A"),"?","%3F"),'Rules'!$G$7:$G$26,0))&lt;&gt;"",INDEX('Rules'!$F$7:$F$26,MATCH(SUBSTITUTE(SUBSTITUTE(SUBSTITUTE(SUBSTITUTE("type:"&amp;B1875,"%","%25"),"~","%7E"),"*","%2A"),"?","%3F"),'Rules'!$G$7:$G$26,0)),IF(AND(C1875&lt;&gt;"",C1875&lt;&gt;INDEX('Rules'!$B$7:$B$26,MATCH(SUBSTITUTE(SUBSTITUTE(SUBSTITUTE(SUBSTITUTE("type:"&amp;B1875,"%","%25"),"~","%7E"),"*","%2A"),"?","%3F"),'Rules'!$G$7:$G$26,0))),"Unit mismatch",IF(IF(NOT(ISNUMBER(D1875)),TRUE,OR(D1875&lt;0,D1875&gt;999999999,ROUND(D1875,3)&lt;&gt;D1875)),"Invalid current reading",IF(AND(E1875&lt;&gt;"",IF(NOT(ISNUMBER(E1875)),TRUE,OR(E1875&lt;0,E1875&gt;999999999,ROUND(E1875,3)&lt;&gt;E1875))),"Invalid previous reading",IF(IF(NOT(ISNUMBER(F1875)),TRUE,OR(F1875&lt;0,F1875&gt;999999999,ROUND(F1875,3)&lt;&gt;F1875)),"Invalid last service",IF(AND(E1875&lt;&gt;"",D1875&lt;E1875),"Decreased reading",IF(F1875&gt;D1875,"Last service above current","")))))))))))))</x:f>
      </x:c>
      <x:c r="L1875" s="6" t="str">
        <x:f>IF(AND(NOT(COUNTA(A1875:F1875)=0),K1875=""),INDEX('Rules'!$C$7:$C$26,MATCH(SUBSTITUTE(SUBSTITUTE(SUBSTITUTE(SUBSTITUTE("type:"&amp;B1875,"%","%25"),"~","%7E"),"*","%2A"),"?","%3F"),'Rules'!$G$7:$G$26,0)),"")</x:f>
      </x:c>
      <x:c r="M1875" s="6" t="str">
        <x:f>IF(AND(NOT(COUNTA(A1875:F1875)=0),K1875=""),INDEX('Rules'!$D$7:$D$26,MATCH(SUBSTITUTE(SUBSTITUTE(SUBSTITUTE(SUBSTITUTE("type:"&amp;B1875,"%","%25"),"~","%7E"),"*","%2A"),"?","%3F"),'Rules'!$G$7:$G$26,0)),"")</x:f>
      </x:c>
      <x:c r="N1875" s="5" t="str">
        <x:f>IF(COUNTA(A1875:F1875)=0,"",SUBSTITUTE(SUBSTITUTE(SUBSTITUTE(SUBSTITUTE("id:"&amp;A1875,"%","%25"),"~","%7E"),"*","%2A"),"?","%3F"))</x:f>
      </x:c>
    </x:row>
    <x:row r="1876" ht="22" customHeight="1">
      <x:c r="A1876" s="3"/>
      <x:c r="B1876" s="3"/>
      <x:c r="C1876" s="3"/>
      <x:c r="D1876" s="4"/>
      <x:c r="E1876" s="4"/>
      <x:c r="F1876" s="4"/>
      <x:c r="G1876" s="5" t="str">
        <x:f>IF(COUNTA(A1876:F1876)=0,"",IF(K1876&lt;&gt;"","Review",IF(I1876&lt;0,"Overdue",IF(I1876=0,"Due now",IF(I1876&lt;=M1876,"Due soon","Not due")))))</x:f>
      </x:c>
      <x:c r="H1876" s="5" t="str">
        <x:f>IF(OR(COUNTA(A1876:F1876)=0,COUNTIFS('Rules'!$G$7:$G$26,"="&amp;(SUBSTITUTE(SUBSTITUTE(SUBSTITUTE(SUBSTITUTE("type:"&amp;B1876,"%","%25"),"~","%7E"),"*","%2A"),"?","%3F")))&lt;&gt;1),"",IF(OR(INDEX('Rules'!$B$7:$B$26,MATCH(SUBSTITUTE(SUBSTITUTE(SUBSTITUTE(SUBSTITUTE("type:"&amp;B1876,"%","%25"),"~","%7E"),"*","%2A"),"?","%3F"),'Rules'!$G$7:$G$26,0))="hours",INDEX('Rules'!$B$7:$B$26,MATCH(SUBSTITUTE(SUBSTITUTE(SUBSTITUTE(SUBSTITUTE("type:"&amp;B1876,"%","%25"),"~","%7E"),"*","%2A"),"?","%3F"),'Rules'!$G$7:$G$26,0))="km"),INDEX('Rules'!$B$7:$B$26,MATCH(SUBSTITUTE(SUBSTITUTE(SUBSTITUTE(SUBSTITUTE("type:"&amp;B1876,"%","%25"),"~","%7E"),"*","%2A"),"?","%3F"),'Rules'!$G$7:$G$26,0)),""))</x:f>
      </x:c>
      <x:c r="I1876" s="6" t="str">
        <x:f>IF(AND(NOT(COUNTA(A1876:F1876)=0),K1876=""),ROUND(J1876-D1876,3),"")</x:f>
      </x:c>
      <x:c r="J1876" s="6" t="str">
        <x:f>IF(AND(NOT(COUNTA(A1876:F1876)=0),K1876=""),ROUND(F1876+L1876,3),"")</x:f>
      </x:c>
      <x:c r="K1876" s="5" t="str">
        <x:f>IF(COUNTA(A1876:F1876)=0,"",IF(A1876="","Missing equipment ID",IF(COUNTIFS($N$8:$N$2007,"="&amp;N1876)&gt;1,"Duplicate equipment ID",IF(B1876="","Missing type",IF(COUNTIFS('Rules'!$G$7:$G$26,"="&amp;(SUBSTITUTE(SUBSTITUTE(SUBSTITUTE(SUBSTITUTE("type:"&amp;B1876,"%","%25"),"~","%7E"),"*","%2A"),"?","%3F")))=0,"Unknown type",IF(COUNTIFS('Rules'!$G$7:$G$26,"="&amp;(SUBSTITUTE(SUBSTITUTE(SUBSTITUTE(SUBSTITUTE("type:"&amp;B1876,"%","%25"),"~","%7E"),"*","%2A"),"?","%3F")))&gt;1,"Duplicate type",IF(INDEX('Rules'!$F$7:$F$26,MATCH(SUBSTITUTE(SUBSTITUTE(SUBSTITUTE(SUBSTITUTE("type:"&amp;B1876,"%","%25"),"~","%7E"),"*","%2A"),"?","%3F"),'Rules'!$G$7:$G$26,0))&lt;&gt;"",INDEX('Rules'!$F$7:$F$26,MATCH(SUBSTITUTE(SUBSTITUTE(SUBSTITUTE(SUBSTITUTE("type:"&amp;B1876,"%","%25"),"~","%7E"),"*","%2A"),"?","%3F"),'Rules'!$G$7:$G$26,0)),IF(AND(C1876&lt;&gt;"",C1876&lt;&gt;INDEX('Rules'!$B$7:$B$26,MATCH(SUBSTITUTE(SUBSTITUTE(SUBSTITUTE(SUBSTITUTE("type:"&amp;B1876,"%","%25"),"~","%7E"),"*","%2A"),"?","%3F"),'Rules'!$G$7:$G$26,0))),"Unit mismatch",IF(IF(NOT(ISNUMBER(D1876)),TRUE,OR(D1876&lt;0,D1876&gt;999999999,ROUND(D1876,3)&lt;&gt;D1876)),"Invalid current reading",IF(AND(E1876&lt;&gt;"",IF(NOT(ISNUMBER(E1876)),TRUE,OR(E1876&lt;0,E1876&gt;999999999,ROUND(E1876,3)&lt;&gt;E1876))),"Invalid previous reading",IF(IF(NOT(ISNUMBER(F1876)),TRUE,OR(F1876&lt;0,F1876&gt;999999999,ROUND(F1876,3)&lt;&gt;F1876)),"Invalid last service",IF(AND(E1876&lt;&gt;"",D1876&lt;E1876),"Decreased reading",IF(F1876&gt;D1876,"Last service above current","")))))))))))))</x:f>
      </x:c>
      <x:c r="L1876" s="6" t="str">
        <x:f>IF(AND(NOT(COUNTA(A1876:F1876)=0),K1876=""),INDEX('Rules'!$C$7:$C$26,MATCH(SUBSTITUTE(SUBSTITUTE(SUBSTITUTE(SUBSTITUTE("type:"&amp;B1876,"%","%25"),"~","%7E"),"*","%2A"),"?","%3F"),'Rules'!$G$7:$G$26,0)),"")</x:f>
      </x:c>
      <x:c r="M1876" s="6" t="str">
        <x:f>IF(AND(NOT(COUNTA(A1876:F1876)=0),K1876=""),INDEX('Rules'!$D$7:$D$26,MATCH(SUBSTITUTE(SUBSTITUTE(SUBSTITUTE(SUBSTITUTE("type:"&amp;B1876,"%","%25"),"~","%7E"),"*","%2A"),"?","%3F"),'Rules'!$G$7:$G$26,0)),"")</x:f>
      </x:c>
      <x:c r="N1876" s="5" t="str">
        <x:f>IF(COUNTA(A1876:F1876)=0,"",SUBSTITUTE(SUBSTITUTE(SUBSTITUTE(SUBSTITUTE("id:"&amp;A1876,"%","%25"),"~","%7E"),"*","%2A"),"?","%3F"))</x:f>
      </x:c>
    </x:row>
    <x:row r="1877" ht="22" customHeight="1">
      <x:c r="A1877" s="3"/>
      <x:c r="B1877" s="3"/>
      <x:c r="C1877" s="3"/>
      <x:c r="D1877" s="4"/>
      <x:c r="E1877" s="4"/>
      <x:c r="F1877" s="4"/>
      <x:c r="G1877" s="5" t="str">
        <x:f>IF(COUNTA(A1877:F1877)=0,"",IF(K1877&lt;&gt;"","Review",IF(I1877&lt;0,"Overdue",IF(I1877=0,"Due now",IF(I1877&lt;=M1877,"Due soon","Not due")))))</x:f>
      </x:c>
      <x:c r="H1877" s="5" t="str">
        <x:f>IF(OR(COUNTA(A1877:F1877)=0,COUNTIFS('Rules'!$G$7:$G$26,"="&amp;(SUBSTITUTE(SUBSTITUTE(SUBSTITUTE(SUBSTITUTE("type:"&amp;B1877,"%","%25"),"~","%7E"),"*","%2A"),"?","%3F")))&lt;&gt;1),"",IF(OR(INDEX('Rules'!$B$7:$B$26,MATCH(SUBSTITUTE(SUBSTITUTE(SUBSTITUTE(SUBSTITUTE("type:"&amp;B1877,"%","%25"),"~","%7E"),"*","%2A"),"?","%3F"),'Rules'!$G$7:$G$26,0))="hours",INDEX('Rules'!$B$7:$B$26,MATCH(SUBSTITUTE(SUBSTITUTE(SUBSTITUTE(SUBSTITUTE("type:"&amp;B1877,"%","%25"),"~","%7E"),"*","%2A"),"?","%3F"),'Rules'!$G$7:$G$26,0))="km"),INDEX('Rules'!$B$7:$B$26,MATCH(SUBSTITUTE(SUBSTITUTE(SUBSTITUTE(SUBSTITUTE("type:"&amp;B1877,"%","%25"),"~","%7E"),"*","%2A"),"?","%3F"),'Rules'!$G$7:$G$26,0)),""))</x:f>
      </x:c>
      <x:c r="I1877" s="6" t="str">
        <x:f>IF(AND(NOT(COUNTA(A1877:F1877)=0),K1877=""),ROUND(J1877-D1877,3),"")</x:f>
      </x:c>
      <x:c r="J1877" s="6" t="str">
        <x:f>IF(AND(NOT(COUNTA(A1877:F1877)=0),K1877=""),ROUND(F1877+L1877,3),"")</x:f>
      </x:c>
      <x:c r="K1877" s="5" t="str">
        <x:f>IF(COUNTA(A1877:F1877)=0,"",IF(A1877="","Missing equipment ID",IF(COUNTIFS($N$8:$N$2007,"="&amp;N1877)&gt;1,"Duplicate equipment ID",IF(B1877="","Missing type",IF(COUNTIFS('Rules'!$G$7:$G$26,"="&amp;(SUBSTITUTE(SUBSTITUTE(SUBSTITUTE(SUBSTITUTE("type:"&amp;B1877,"%","%25"),"~","%7E"),"*","%2A"),"?","%3F")))=0,"Unknown type",IF(COUNTIFS('Rules'!$G$7:$G$26,"="&amp;(SUBSTITUTE(SUBSTITUTE(SUBSTITUTE(SUBSTITUTE("type:"&amp;B1877,"%","%25"),"~","%7E"),"*","%2A"),"?","%3F")))&gt;1,"Duplicate type",IF(INDEX('Rules'!$F$7:$F$26,MATCH(SUBSTITUTE(SUBSTITUTE(SUBSTITUTE(SUBSTITUTE("type:"&amp;B1877,"%","%25"),"~","%7E"),"*","%2A"),"?","%3F"),'Rules'!$G$7:$G$26,0))&lt;&gt;"",INDEX('Rules'!$F$7:$F$26,MATCH(SUBSTITUTE(SUBSTITUTE(SUBSTITUTE(SUBSTITUTE("type:"&amp;B1877,"%","%25"),"~","%7E"),"*","%2A"),"?","%3F"),'Rules'!$G$7:$G$26,0)),IF(AND(C1877&lt;&gt;"",C1877&lt;&gt;INDEX('Rules'!$B$7:$B$26,MATCH(SUBSTITUTE(SUBSTITUTE(SUBSTITUTE(SUBSTITUTE("type:"&amp;B1877,"%","%25"),"~","%7E"),"*","%2A"),"?","%3F"),'Rules'!$G$7:$G$26,0))),"Unit mismatch",IF(IF(NOT(ISNUMBER(D1877)),TRUE,OR(D1877&lt;0,D1877&gt;999999999,ROUND(D1877,3)&lt;&gt;D1877)),"Invalid current reading",IF(AND(E1877&lt;&gt;"",IF(NOT(ISNUMBER(E1877)),TRUE,OR(E1877&lt;0,E1877&gt;999999999,ROUND(E1877,3)&lt;&gt;E1877))),"Invalid previous reading",IF(IF(NOT(ISNUMBER(F1877)),TRUE,OR(F1877&lt;0,F1877&gt;999999999,ROUND(F1877,3)&lt;&gt;F1877)),"Invalid last service",IF(AND(E1877&lt;&gt;"",D1877&lt;E1877),"Decreased reading",IF(F1877&gt;D1877,"Last service above current","")))))))))))))</x:f>
      </x:c>
      <x:c r="L1877" s="6" t="str">
        <x:f>IF(AND(NOT(COUNTA(A1877:F1877)=0),K1877=""),INDEX('Rules'!$C$7:$C$26,MATCH(SUBSTITUTE(SUBSTITUTE(SUBSTITUTE(SUBSTITUTE("type:"&amp;B1877,"%","%25"),"~","%7E"),"*","%2A"),"?","%3F"),'Rules'!$G$7:$G$26,0)),"")</x:f>
      </x:c>
      <x:c r="M1877" s="6" t="str">
        <x:f>IF(AND(NOT(COUNTA(A1877:F1877)=0),K1877=""),INDEX('Rules'!$D$7:$D$26,MATCH(SUBSTITUTE(SUBSTITUTE(SUBSTITUTE(SUBSTITUTE("type:"&amp;B1877,"%","%25"),"~","%7E"),"*","%2A"),"?","%3F"),'Rules'!$G$7:$G$26,0)),"")</x:f>
      </x:c>
      <x:c r="N1877" s="5" t="str">
        <x:f>IF(COUNTA(A1877:F1877)=0,"",SUBSTITUTE(SUBSTITUTE(SUBSTITUTE(SUBSTITUTE("id:"&amp;A1877,"%","%25"),"~","%7E"),"*","%2A"),"?","%3F"))</x:f>
      </x:c>
    </x:row>
    <x:row r="1878" ht="22" customHeight="1">
      <x:c r="A1878" s="3"/>
      <x:c r="B1878" s="3"/>
      <x:c r="C1878" s="3"/>
      <x:c r="D1878" s="4"/>
      <x:c r="E1878" s="4"/>
      <x:c r="F1878" s="4"/>
      <x:c r="G1878" s="5" t="str">
        <x:f>IF(COUNTA(A1878:F1878)=0,"",IF(K1878&lt;&gt;"","Review",IF(I1878&lt;0,"Overdue",IF(I1878=0,"Due now",IF(I1878&lt;=M1878,"Due soon","Not due")))))</x:f>
      </x:c>
      <x:c r="H1878" s="5" t="str">
        <x:f>IF(OR(COUNTA(A1878:F1878)=0,COUNTIFS('Rules'!$G$7:$G$26,"="&amp;(SUBSTITUTE(SUBSTITUTE(SUBSTITUTE(SUBSTITUTE("type:"&amp;B1878,"%","%25"),"~","%7E"),"*","%2A"),"?","%3F")))&lt;&gt;1),"",IF(OR(INDEX('Rules'!$B$7:$B$26,MATCH(SUBSTITUTE(SUBSTITUTE(SUBSTITUTE(SUBSTITUTE("type:"&amp;B1878,"%","%25"),"~","%7E"),"*","%2A"),"?","%3F"),'Rules'!$G$7:$G$26,0))="hours",INDEX('Rules'!$B$7:$B$26,MATCH(SUBSTITUTE(SUBSTITUTE(SUBSTITUTE(SUBSTITUTE("type:"&amp;B1878,"%","%25"),"~","%7E"),"*","%2A"),"?","%3F"),'Rules'!$G$7:$G$26,0))="km"),INDEX('Rules'!$B$7:$B$26,MATCH(SUBSTITUTE(SUBSTITUTE(SUBSTITUTE(SUBSTITUTE("type:"&amp;B1878,"%","%25"),"~","%7E"),"*","%2A"),"?","%3F"),'Rules'!$G$7:$G$26,0)),""))</x:f>
      </x:c>
      <x:c r="I1878" s="6" t="str">
        <x:f>IF(AND(NOT(COUNTA(A1878:F1878)=0),K1878=""),ROUND(J1878-D1878,3),"")</x:f>
      </x:c>
      <x:c r="J1878" s="6" t="str">
        <x:f>IF(AND(NOT(COUNTA(A1878:F1878)=0),K1878=""),ROUND(F1878+L1878,3),"")</x:f>
      </x:c>
      <x:c r="K1878" s="5" t="str">
        <x:f>IF(COUNTA(A1878:F1878)=0,"",IF(A1878="","Missing equipment ID",IF(COUNTIFS($N$8:$N$2007,"="&amp;N1878)&gt;1,"Duplicate equipment ID",IF(B1878="","Missing type",IF(COUNTIFS('Rules'!$G$7:$G$26,"="&amp;(SUBSTITUTE(SUBSTITUTE(SUBSTITUTE(SUBSTITUTE("type:"&amp;B1878,"%","%25"),"~","%7E"),"*","%2A"),"?","%3F")))=0,"Unknown type",IF(COUNTIFS('Rules'!$G$7:$G$26,"="&amp;(SUBSTITUTE(SUBSTITUTE(SUBSTITUTE(SUBSTITUTE("type:"&amp;B1878,"%","%25"),"~","%7E"),"*","%2A"),"?","%3F")))&gt;1,"Duplicate type",IF(INDEX('Rules'!$F$7:$F$26,MATCH(SUBSTITUTE(SUBSTITUTE(SUBSTITUTE(SUBSTITUTE("type:"&amp;B1878,"%","%25"),"~","%7E"),"*","%2A"),"?","%3F"),'Rules'!$G$7:$G$26,0))&lt;&gt;"",INDEX('Rules'!$F$7:$F$26,MATCH(SUBSTITUTE(SUBSTITUTE(SUBSTITUTE(SUBSTITUTE("type:"&amp;B1878,"%","%25"),"~","%7E"),"*","%2A"),"?","%3F"),'Rules'!$G$7:$G$26,0)),IF(AND(C1878&lt;&gt;"",C1878&lt;&gt;INDEX('Rules'!$B$7:$B$26,MATCH(SUBSTITUTE(SUBSTITUTE(SUBSTITUTE(SUBSTITUTE("type:"&amp;B1878,"%","%25"),"~","%7E"),"*","%2A"),"?","%3F"),'Rules'!$G$7:$G$26,0))),"Unit mismatch",IF(IF(NOT(ISNUMBER(D1878)),TRUE,OR(D1878&lt;0,D1878&gt;999999999,ROUND(D1878,3)&lt;&gt;D1878)),"Invalid current reading",IF(AND(E1878&lt;&gt;"",IF(NOT(ISNUMBER(E1878)),TRUE,OR(E1878&lt;0,E1878&gt;999999999,ROUND(E1878,3)&lt;&gt;E1878))),"Invalid previous reading",IF(IF(NOT(ISNUMBER(F1878)),TRUE,OR(F1878&lt;0,F1878&gt;999999999,ROUND(F1878,3)&lt;&gt;F1878)),"Invalid last service",IF(AND(E1878&lt;&gt;"",D1878&lt;E1878),"Decreased reading",IF(F1878&gt;D1878,"Last service above current","")))))))))))))</x:f>
      </x:c>
      <x:c r="L1878" s="6" t="str">
        <x:f>IF(AND(NOT(COUNTA(A1878:F1878)=0),K1878=""),INDEX('Rules'!$C$7:$C$26,MATCH(SUBSTITUTE(SUBSTITUTE(SUBSTITUTE(SUBSTITUTE("type:"&amp;B1878,"%","%25"),"~","%7E"),"*","%2A"),"?","%3F"),'Rules'!$G$7:$G$26,0)),"")</x:f>
      </x:c>
      <x:c r="M1878" s="6" t="str">
        <x:f>IF(AND(NOT(COUNTA(A1878:F1878)=0),K1878=""),INDEX('Rules'!$D$7:$D$26,MATCH(SUBSTITUTE(SUBSTITUTE(SUBSTITUTE(SUBSTITUTE("type:"&amp;B1878,"%","%25"),"~","%7E"),"*","%2A"),"?","%3F"),'Rules'!$G$7:$G$26,0)),"")</x:f>
      </x:c>
      <x:c r="N1878" s="5" t="str">
        <x:f>IF(COUNTA(A1878:F1878)=0,"",SUBSTITUTE(SUBSTITUTE(SUBSTITUTE(SUBSTITUTE("id:"&amp;A1878,"%","%25"),"~","%7E"),"*","%2A"),"?","%3F"))</x:f>
      </x:c>
    </x:row>
    <x:row r="1879" ht="22" customHeight="1">
      <x:c r="A1879" s="3"/>
      <x:c r="B1879" s="3"/>
      <x:c r="C1879" s="3"/>
      <x:c r="D1879" s="4"/>
      <x:c r="E1879" s="4"/>
      <x:c r="F1879" s="4"/>
      <x:c r="G1879" s="5" t="str">
        <x:f>IF(COUNTA(A1879:F1879)=0,"",IF(K1879&lt;&gt;"","Review",IF(I1879&lt;0,"Overdue",IF(I1879=0,"Due now",IF(I1879&lt;=M1879,"Due soon","Not due")))))</x:f>
      </x:c>
      <x:c r="H1879" s="5" t="str">
        <x:f>IF(OR(COUNTA(A1879:F1879)=0,COUNTIFS('Rules'!$G$7:$G$26,"="&amp;(SUBSTITUTE(SUBSTITUTE(SUBSTITUTE(SUBSTITUTE("type:"&amp;B1879,"%","%25"),"~","%7E"),"*","%2A"),"?","%3F")))&lt;&gt;1),"",IF(OR(INDEX('Rules'!$B$7:$B$26,MATCH(SUBSTITUTE(SUBSTITUTE(SUBSTITUTE(SUBSTITUTE("type:"&amp;B1879,"%","%25"),"~","%7E"),"*","%2A"),"?","%3F"),'Rules'!$G$7:$G$26,0))="hours",INDEX('Rules'!$B$7:$B$26,MATCH(SUBSTITUTE(SUBSTITUTE(SUBSTITUTE(SUBSTITUTE("type:"&amp;B1879,"%","%25"),"~","%7E"),"*","%2A"),"?","%3F"),'Rules'!$G$7:$G$26,0))="km"),INDEX('Rules'!$B$7:$B$26,MATCH(SUBSTITUTE(SUBSTITUTE(SUBSTITUTE(SUBSTITUTE("type:"&amp;B1879,"%","%25"),"~","%7E"),"*","%2A"),"?","%3F"),'Rules'!$G$7:$G$26,0)),""))</x:f>
      </x:c>
      <x:c r="I1879" s="6" t="str">
        <x:f>IF(AND(NOT(COUNTA(A1879:F1879)=0),K1879=""),ROUND(J1879-D1879,3),"")</x:f>
      </x:c>
      <x:c r="J1879" s="6" t="str">
        <x:f>IF(AND(NOT(COUNTA(A1879:F1879)=0),K1879=""),ROUND(F1879+L1879,3),"")</x:f>
      </x:c>
      <x:c r="K1879" s="5" t="str">
        <x:f>IF(COUNTA(A1879:F1879)=0,"",IF(A1879="","Missing equipment ID",IF(COUNTIFS($N$8:$N$2007,"="&amp;N1879)&gt;1,"Duplicate equipment ID",IF(B1879="","Missing type",IF(COUNTIFS('Rules'!$G$7:$G$26,"="&amp;(SUBSTITUTE(SUBSTITUTE(SUBSTITUTE(SUBSTITUTE("type:"&amp;B1879,"%","%25"),"~","%7E"),"*","%2A"),"?","%3F")))=0,"Unknown type",IF(COUNTIFS('Rules'!$G$7:$G$26,"="&amp;(SUBSTITUTE(SUBSTITUTE(SUBSTITUTE(SUBSTITUTE("type:"&amp;B1879,"%","%25"),"~","%7E"),"*","%2A"),"?","%3F")))&gt;1,"Duplicate type",IF(INDEX('Rules'!$F$7:$F$26,MATCH(SUBSTITUTE(SUBSTITUTE(SUBSTITUTE(SUBSTITUTE("type:"&amp;B1879,"%","%25"),"~","%7E"),"*","%2A"),"?","%3F"),'Rules'!$G$7:$G$26,0))&lt;&gt;"",INDEX('Rules'!$F$7:$F$26,MATCH(SUBSTITUTE(SUBSTITUTE(SUBSTITUTE(SUBSTITUTE("type:"&amp;B1879,"%","%25"),"~","%7E"),"*","%2A"),"?","%3F"),'Rules'!$G$7:$G$26,0)),IF(AND(C1879&lt;&gt;"",C1879&lt;&gt;INDEX('Rules'!$B$7:$B$26,MATCH(SUBSTITUTE(SUBSTITUTE(SUBSTITUTE(SUBSTITUTE("type:"&amp;B1879,"%","%25"),"~","%7E"),"*","%2A"),"?","%3F"),'Rules'!$G$7:$G$26,0))),"Unit mismatch",IF(IF(NOT(ISNUMBER(D1879)),TRUE,OR(D1879&lt;0,D1879&gt;999999999,ROUND(D1879,3)&lt;&gt;D1879)),"Invalid current reading",IF(AND(E1879&lt;&gt;"",IF(NOT(ISNUMBER(E1879)),TRUE,OR(E1879&lt;0,E1879&gt;999999999,ROUND(E1879,3)&lt;&gt;E1879))),"Invalid previous reading",IF(IF(NOT(ISNUMBER(F1879)),TRUE,OR(F1879&lt;0,F1879&gt;999999999,ROUND(F1879,3)&lt;&gt;F1879)),"Invalid last service",IF(AND(E1879&lt;&gt;"",D1879&lt;E1879),"Decreased reading",IF(F1879&gt;D1879,"Last service above current","")))))))))))))</x:f>
      </x:c>
      <x:c r="L1879" s="6" t="str">
        <x:f>IF(AND(NOT(COUNTA(A1879:F1879)=0),K1879=""),INDEX('Rules'!$C$7:$C$26,MATCH(SUBSTITUTE(SUBSTITUTE(SUBSTITUTE(SUBSTITUTE("type:"&amp;B1879,"%","%25"),"~","%7E"),"*","%2A"),"?","%3F"),'Rules'!$G$7:$G$26,0)),"")</x:f>
      </x:c>
      <x:c r="M1879" s="6" t="str">
        <x:f>IF(AND(NOT(COUNTA(A1879:F1879)=0),K1879=""),INDEX('Rules'!$D$7:$D$26,MATCH(SUBSTITUTE(SUBSTITUTE(SUBSTITUTE(SUBSTITUTE("type:"&amp;B1879,"%","%25"),"~","%7E"),"*","%2A"),"?","%3F"),'Rules'!$G$7:$G$26,0)),"")</x:f>
      </x:c>
      <x:c r="N1879" s="5" t="str">
        <x:f>IF(COUNTA(A1879:F1879)=0,"",SUBSTITUTE(SUBSTITUTE(SUBSTITUTE(SUBSTITUTE("id:"&amp;A1879,"%","%25"),"~","%7E"),"*","%2A"),"?","%3F"))</x:f>
      </x:c>
    </x:row>
    <x:row r="1880" ht="22" customHeight="1">
      <x:c r="A1880" s="3"/>
      <x:c r="B1880" s="3"/>
      <x:c r="C1880" s="3"/>
      <x:c r="D1880" s="4"/>
      <x:c r="E1880" s="4"/>
      <x:c r="F1880" s="4"/>
      <x:c r="G1880" s="5" t="str">
        <x:f>IF(COUNTA(A1880:F1880)=0,"",IF(K1880&lt;&gt;"","Review",IF(I1880&lt;0,"Overdue",IF(I1880=0,"Due now",IF(I1880&lt;=M1880,"Due soon","Not due")))))</x:f>
      </x:c>
      <x:c r="H1880" s="5" t="str">
        <x:f>IF(OR(COUNTA(A1880:F1880)=0,COUNTIFS('Rules'!$G$7:$G$26,"="&amp;(SUBSTITUTE(SUBSTITUTE(SUBSTITUTE(SUBSTITUTE("type:"&amp;B1880,"%","%25"),"~","%7E"),"*","%2A"),"?","%3F")))&lt;&gt;1),"",IF(OR(INDEX('Rules'!$B$7:$B$26,MATCH(SUBSTITUTE(SUBSTITUTE(SUBSTITUTE(SUBSTITUTE("type:"&amp;B1880,"%","%25"),"~","%7E"),"*","%2A"),"?","%3F"),'Rules'!$G$7:$G$26,0))="hours",INDEX('Rules'!$B$7:$B$26,MATCH(SUBSTITUTE(SUBSTITUTE(SUBSTITUTE(SUBSTITUTE("type:"&amp;B1880,"%","%25"),"~","%7E"),"*","%2A"),"?","%3F"),'Rules'!$G$7:$G$26,0))="km"),INDEX('Rules'!$B$7:$B$26,MATCH(SUBSTITUTE(SUBSTITUTE(SUBSTITUTE(SUBSTITUTE("type:"&amp;B1880,"%","%25"),"~","%7E"),"*","%2A"),"?","%3F"),'Rules'!$G$7:$G$26,0)),""))</x:f>
      </x:c>
      <x:c r="I1880" s="6" t="str">
        <x:f>IF(AND(NOT(COUNTA(A1880:F1880)=0),K1880=""),ROUND(J1880-D1880,3),"")</x:f>
      </x:c>
      <x:c r="J1880" s="6" t="str">
        <x:f>IF(AND(NOT(COUNTA(A1880:F1880)=0),K1880=""),ROUND(F1880+L1880,3),"")</x:f>
      </x:c>
      <x:c r="K1880" s="5" t="str">
        <x:f>IF(COUNTA(A1880:F1880)=0,"",IF(A1880="","Missing equipment ID",IF(COUNTIFS($N$8:$N$2007,"="&amp;N1880)&gt;1,"Duplicate equipment ID",IF(B1880="","Missing type",IF(COUNTIFS('Rules'!$G$7:$G$26,"="&amp;(SUBSTITUTE(SUBSTITUTE(SUBSTITUTE(SUBSTITUTE("type:"&amp;B1880,"%","%25"),"~","%7E"),"*","%2A"),"?","%3F")))=0,"Unknown type",IF(COUNTIFS('Rules'!$G$7:$G$26,"="&amp;(SUBSTITUTE(SUBSTITUTE(SUBSTITUTE(SUBSTITUTE("type:"&amp;B1880,"%","%25"),"~","%7E"),"*","%2A"),"?","%3F")))&gt;1,"Duplicate type",IF(INDEX('Rules'!$F$7:$F$26,MATCH(SUBSTITUTE(SUBSTITUTE(SUBSTITUTE(SUBSTITUTE("type:"&amp;B1880,"%","%25"),"~","%7E"),"*","%2A"),"?","%3F"),'Rules'!$G$7:$G$26,0))&lt;&gt;"",INDEX('Rules'!$F$7:$F$26,MATCH(SUBSTITUTE(SUBSTITUTE(SUBSTITUTE(SUBSTITUTE("type:"&amp;B1880,"%","%25"),"~","%7E"),"*","%2A"),"?","%3F"),'Rules'!$G$7:$G$26,0)),IF(AND(C1880&lt;&gt;"",C1880&lt;&gt;INDEX('Rules'!$B$7:$B$26,MATCH(SUBSTITUTE(SUBSTITUTE(SUBSTITUTE(SUBSTITUTE("type:"&amp;B1880,"%","%25"),"~","%7E"),"*","%2A"),"?","%3F"),'Rules'!$G$7:$G$26,0))),"Unit mismatch",IF(IF(NOT(ISNUMBER(D1880)),TRUE,OR(D1880&lt;0,D1880&gt;999999999,ROUND(D1880,3)&lt;&gt;D1880)),"Invalid current reading",IF(AND(E1880&lt;&gt;"",IF(NOT(ISNUMBER(E1880)),TRUE,OR(E1880&lt;0,E1880&gt;999999999,ROUND(E1880,3)&lt;&gt;E1880))),"Invalid previous reading",IF(IF(NOT(ISNUMBER(F1880)),TRUE,OR(F1880&lt;0,F1880&gt;999999999,ROUND(F1880,3)&lt;&gt;F1880)),"Invalid last service",IF(AND(E1880&lt;&gt;"",D1880&lt;E1880),"Decreased reading",IF(F1880&gt;D1880,"Last service above current","")))))))))))))</x:f>
      </x:c>
      <x:c r="L1880" s="6" t="str">
        <x:f>IF(AND(NOT(COUNTA(A1880:F1880)=0),K1880=""),INDEX('Rules'!$C$7:$C$26,MATCH(SUBSTITUTE(SUBSTITUTE(SUBSTITUTE(SUBSTITUTE("type:"&amp;B1880,"%","%25"),"~","%7E"),"*","%2A"),"?","%3F"),'Rules'!$G$7:$G$26,0)),"")</x:f>
      </x:c>
      <x:c r="M1880" s="6" t="str">
        <x:f>IF(AND(NOT(COUNTA(A1880:F1880)=0),K1880=""),INDEX('Rules'!$D$7:$D$26,MATCH(SUBSTITUTE(SUBSTITUTE(SUBSTITUTE(SUBSTITUTE("type:"&amp;B1880,"%","%25"),"~","%7E"),"*","%2A"),"?","%3F"),'Rules'!$G$7:$G$26,0)),"")</x:f>
      </x:c>
      <x:c r="N1880" s="5" t="str">
        <x:f>IF(COUNTA(A1880:F1880)=0,"",SUBSTITUTE(SUBSTITUTE(SUBSTITUTE(SUBSTITUTE("id:"&amp;A1880,"%","%25"),"~","%7E"),"*","%2A"),"?","%3F"))</x:f>
      </x:c>
    </x:row>
    <x:row r="1881" ht="22" customHeight="1">
      <x:c r="A1881" s="3"/>
      <x:c r="B1881" s="3"/>
      <x:c r="C1881" s="3"/>
      <x:c r="D1881" s="4"/>
      <x:c r="E1881" s="4"/>
      <x:c r="F1881" s="4"/>
      <x:c r="G1881" s="5" t="str">
        <x:f>IF(COUNTA(A1881:F1881)=0,"",IF(K1881&lt;&gt;"","Review",IF(I1881&lt;0,"Overdue",IF(I1881=0,"Due now",IF(I1881&lt;=M1881,"Due soon","Not due")))))</x:f>
      </x:c>
      <x:c r="H1881" s="5" t="str">
        <x:f>IF(OR(COUNTA(A1881:F1881)=0,COUNTIFS('Rules'!$G$7:$G$26,"="&amp;(SUBSTITUTE(SUBSTITUTE(SUBSTITUTE(SUBSTITUTE("type:"&amp;B1881,"%","%25"),"~","%7E"),"*","%2A"),"?","%3F")))&lt;&gt;1),"",IF(OR(INDEX('Rules'!$B$7:$B$26,MATCH(SUBSTITUTE(SUBSTITUTE(SUBSTITUTE(SUBSTITUTE("type:"&amp;B1881,"%","%25"),"~","%7E"),"*","%2A"),"?","%3F"),'Rules'!$G$7:$G$26,0))="hours",INDEX('Rules'!$B$7:$B$26,MATCH(SUBSTITUTE(SUBSTITUTE(SUBSTITUTE(SUBSTITUTE("type:"&amp;B1881,"%","%25"),"~","%7E"),"*","%2A"),"?","%3F"),'Rules'!$G$7:$G$26,0))="km"),INDEX('Rules'!$B$7:$B$26,MATCH(SUBSTITUTE(SUBSTITUTE(SUBSTITUTE(SUBSTITUTE("type:"&amp;B1881,"%","%25"),"~","%7E"),"*","%2A"),"?","%3F"),'Rules'!$G$7:$G$26,0)),""))</x:f>
      </x:c>
      <x:c r="I1881" s="6" t="str">
        <x:f>IF(AND(NOT(COUNTA(A1881:F1881)=0),K1881=""),ROUND(J1881-D1881,3),"")</x:f>
      </x:c>
      <x:c r="J1881" s="6" t="str">
        <x:f>IF(AND(NOT(COUNTA(A1881:F1881)=0),K1881=""),ROUND(F1881+L1881,3),"")</x:f>
      </x:c>
      <x:c r="K1881" s="5" t="str">
        <x:f>IF(COUNTA(A1881:F1881)=0,"",IF(A1881="","Missing equipment ID",IF(COUNTIFS($N$8:$N$2007,"="&amp;N1881)&gt;1,"Duplicate equipment ID",IF(B1881="","Missing type",IF(COUNTIFS('Rules'!$G$7:$G$26,"="&amp;(SUBSTITUTE(SUBSTITUTE(SUBSTITUTE(SUBSTITUTE("type:"&amp;B1881,"%","%25"),"~","%7E"),"*","%2A"),"?","%3F")))=0,"Unknown type",IF(COUNTIFS('Rules'!$G$7:$G$26,"="&amp;(SUBSTITUTE(SUBSTITUTE(SUBSTITUTE(SUBSTITUTE("type:"&amp;B1881,"%","%25"),"~","%7E"),"*","%2A"),"?","%3F")))&gt;1,"Duplicate type",IF(INDEX('Rules'!$F$7:$F$26,MATCH(SUBSTITUTE(SUBSTITUTE(SUBSTITUTE(SUBSTITUTE("type:"&amp;B1881,"%","%25"),"~","%7E"),"*","%2A"),"?","%3F"),'Rules'!$G$7:$G$26,0))&lt;&gt;"",INDEX('Rules'!$F$7:$F$26,MATCH(SUBSTITUTE(SUBSTITUTE(SUBSTITUTE(SUBSTITUTE("type:"&amp;B1881,"%","%25"),"~","%7E"),"*","%2A"),"?","%3F"),'Rules'!$G$7:$G$26,0)),IF(AND(C1881&lt;&gt;"",C1881&lt;&gt;INDEX('Rules'!$B$7:$B$26,MATCH(SUBSTITUTE(SUBSTITUTE(SUBSTITUTE(SUBSTITUTE("type:"&amp;B1881,"%","%25"),"~","%7E"),"*","%2A"),"?","%3F"),'Rules'!$G$7:$G$26,0))),"Unit mismatch",IF(IF(NOT(ISNUMBER(D1881)),TRUE,OR(D1881&lt;0,D1881&gt;999999999,ROUND(D1881,3)&lt;&gt;D1881)),"Invalid current reading",IF(AND(E1881&lt;&gt;"",IF(NOT(ISNUMBER(E1881)),TRUE,OR(E1881&lt;0,E1881&gt;999999999,ROUND(E1881,3)&lt;&gt;E1881))),"Invalid previous reading",IF(IF(NOT(ISNUMBER(F1881)),TRUE,OR(F1881&lt;0,F1881&gt;999999999,ROUND(F1881,3)&lt;&gt;F1881)),"Invalid last service",IF(AND(E1881&lt;&gt;"",D1881&lt;E1881),"Decreased reading",IF(F1881&gt;D1881,"Last service above current","")))))))))))))</x:f>
      </x:c>
      <x:c r="L1881" s="6" t="str">
        <x:f>IF(AND(NOT(COUNTA(A1881:F1881)=0),K1881=""),INDEX('Rules'!$C$7:$C$26,MATCH(SUBSTITUTE(SUBSTITUTE(SUBSTITUTE(SUBSTITUTE("type:"&amp;B1881,"%","%25"),"~","%7E"),"*","%2A"),"?","%3F"),'Rules'!$G$7:$G$26,0)),"")</x:f>
      </x:c>
      <x:c r="M1881" s="6" t="str">
        <x:f>IF(AND(NOT(COUNTA(A1881:F1881)=0),K1881=""),INDEX('Rules'!$D$7:$D$26,MATCH(SUBSTITUTE(SUBSTITUTE(SUBSTITUTE(SUBSTITUTE("type:"&amp;B1881,"%","%25"),"~","%7E"),"*","%2A"),"?","%3F"),'Rules'!$G$7:$G$26,0)),"")</x:f>
      </x:c>
      <x:c r="N1881" s="5" t="str">
        <x:f>IF(COUNTA(A1881:F1881)=0,"",SUBSTITUTE(SUBSTITUTE(SUBSTITUTE(SUBSTITUTE("id:"&amp;A1881,"%","%25"),"~","%7E"),"*","%2A"),"?","%3F"))</x:f>
      </x:c>
    </x:row>
    <x:row r="1882" ht="22" customHeight="1">
      <x:c r="A1882" s="3"/>
      <x:c r="B1882" s="3"/>
      <x:c r="C1882" s="3"/>
      <x:c r="D1882" s="4"/>
      <x:c r="E1882" s="4"/>
      <x:c r="F1882" s="4"/>
      <x:c r="G1882" s="5" t="str">
        <x:f>IF(COUNTA(A1882:F1882)=0,"",IF(K1882&lt;&gt;"","Review",IF(I1882&lt;0,"Overdue",IF(I1882=0,"Due now",IF(I1882&lt;=M1882,"Due soon","Not due")))))</x:f>
      </x:c>
      <x:c r="H1882" s="5" t="str">
        <x:f>IF(OR(COUNTA(A1882:F1882)=0,COUNTIFS('Rules'!$G$7:$G$26,"="&amp;(SUBSTITUTE(SUBSTITUTE(SUBSTITUTE(SUBSTITUTE("type:"&amp;B1882,"%","%25"),"~","%7E"),"*","%2A"),"?","%3F")))&lt;&gt;1),"",IF(OR(INDEX('Rules'!$B$7:$B$26,MATCH(SUBSTITUTE(SUBSTITUTE(SUBSTITUTE(SUBSTITUTE("type:"&amp;B1882,"%","%25"),"~","%7E"),"*","%2A"),"?","%3F"),'Rules'!$G$7:$G$26,0))="hours",INDEX('Rules'!$B$7:$B$26,MATCH(SUBSTITUTE(SUBSTITUTE(SUBSTITUTE(SUBSTITUTE("type:"&amp;B1882,"%","%25"),"~","%7E"),"*","%2A"),"?","%3F"),'Rules'!$G$7:$G$26,0))="km"),INDEX('Rules'!$B$7:$B$26,MATCH(SUBSTITUTE(SUBSTITUTE(SUBSTITUTE(SUBSTITUTE("type:"&amp;B1882,"%","%25"),"~","%7E"),"*","%2A"),"?","%3F"),'Rules'!$G$7:$G$26,0)),""))</x:f>
      </x:c>
      <x:c r="I1882" s="6" t="str">
        <x:f>IF(AND(NOT(COUNTA(A1882:F1882)=0),K1882=""),ROUND(J1882-D1882,3),"")</x:f>
      </x:c>
      <x:c r="J1882" s="6" t="str">
        <x:f>IF(AND(NOT(COUNTA(A1882:F1882)=0),K1882=""),ROUND(F1882+L1882,3),"")</x:f>
      </x:c>
      <x:c r="K1882" s="5" t="str">
        <x:f>IF(COUNTA(A1882:F1882)=0,"",IF(A1882="","Missing equipment ID",IF(COUNTIFS($N$8:$N$2007,"="&amp;N1882)&gt;1,"Duplicate equipment ID",IF(B1882="","Missing type",IF(COUNTIFS('Rules'!$G$7:$G$26,"="&amp;(SUBSTITUTE(SUBSTITUTE(SUBSTITUTE(SUBSTITUTE("type:"&amp;B1882,"%","%25"),"~","%7E"),"*","%2A"),"?","%3F")))=0,"Unknown type",IF(COUNTIFS('Rules'!$G$7:$G$26,"="&amp;(SUBSTITUTE(SUBSTITUTE(SUBSTITUTE(SUBSTITUTE("type:"&amp;B1882,"%","%25"),"~","%7E"),"*","%2A"),"?","%3F")))&gt;1,"Duplicate type",IF(INDEX('Rules'!$F$7:$F$26,MATCH(SUBSTITUTE(SUBSTITUTE(SUBSTITUTE(SUBSTITUTE("type:"&amp;B1882,"%","%25"),"~","%7E"),"*","%2A"),"?","%3F"),'Rules'!$G$7:$G$26,0))&lt;&gt;"",INDEX('Rules'!$F$7:$F$26,MATCH(SUBSTITUTE(SUBSTITUTE(SUBSTITUTE(SUBSTITUTE("type:"&amp;B1882,"%","%25"),"~","%7E"),"*","%2A"),"?","%3F"),'Rules'!$G$7:$G$26,0)),IF(AND(C1882&lt;&gt;"",C1882&lt;&gt;INDEX('Rules'!$B$7:$B$26,MATCH(SUBSTITUTE(SUBSTITUTE(SUBSTITUTE(SUBSTITUTE("type:"&amp;B1882,"%","%25"),"~","%7E"),"*","%2A"),"?","%3F"),'Rules'!$G$7:$G$26,0))),"Unit mismatch",IF(IF(NOT(ISNUMBER(D1882)),TRUE,OR(D1882&lt;0,D1882&gt;999999999,ROUND(D1882,3)&lt;&gt;D1882)),"Invalid current reading",IF(AND(E1882&lt;&gt;"",IF(NOT(ISNUMBER(E1882)),TRUE,OR(E1882&lt;0,E1882&gt;999999999,ROUND(E1882,3)&lt;&gt;E1882))),"Invalid previous reading",IF(IF(NOT(ISNUMBER(F1882)),TRUE,OR(F1882&lt;0,F1882&gt;999999999,ROUND(F1882,3)&lt;&gt;F1882)),"Invalid last service",IF(AND(E1882&lt;&gt;"",D1882&lt;E1882),"Decreased reading",IF(F1882&gt;D1882,"Last service above current","")))))))))))))</x:f>
      </x:c>
      <x:c r="L1882" s="6" t="str">
        <x:f>IF(AND(NOT(COUNTA(A1882:F1882)=0),K1882=""),INDEX('Rules'!$C$7:$C$26,MATCH(SUBSTITUTE(SUBSTITUTE(SUBSTITUTE(SUBSTITUTE("type:"&amp;B1882,"%","%25"),"~","%7E"),"*","%2A"),"?","%3F"),'Rules'!$G$7:$G$26,0)),"")</x:f>
      </x:c>
      <x:c r="M1882" s="6" t="str">
        <x:f>IF(AND(NOT(COUNTA(A1882:F1882)=0),K1882=""),INDEX('Rules'!$D$7:$D$26,MATCH(SUBSTITUTE(SUBSTITUTE(SUBSTITUTE(SUBSTITUTE("type:"&amp;B1882,"%","%25"),"~","%7E"),"*","%2A"),"?","%3F"),'Rules'!$G$7:$G$26,0)),"")</x:f>
      </x:c>
      <x:c r="N1882" s="5" t="str">
        <x:f>IF(COUNTA(A1882:F1882)=0,"",SUBSTITUTE(SUBSTITUTE(SUBSTITUTE(SUBSTITUTE("id:"&amp;A1882,"%","%25"),"~","%7E"),"*","%2A"),"?","%3F"))</x:f>
      </x:c>
    </x:row>
    <x:row r="1883" ht="22" customHeight="1">
      <x:c r="A1883" s="3"/>
      <x:c r="B1883" s="3"/>
      <x:c r="C1883" s="3"/>
      <x:c r="D1883" s="4"/>
      <x:c r="E1883" s="4"/>
      <x:c r="F1883" s="4"/>
      <x:c r="G1883" s="5" t="str">
        <x:f>IF(COUNTA(A1883:F1883)=0,"",IF(K1883&lt;&gt;"","Review",IF(I1883&lt;0,"Overdue",IF(I1883=0,"Due now",IF(I1883&lt;=M1883,"Due soon","Not due")))))</x:f>
      </x:c>
      <x:c r="H1883" s="5" t="str">
        <x:f>IF(OR(COUNTA(A1883:F1883)=0,COUNTIFS('Rules'!$G$7:$G$26,"="&amp;(SUBSTITUTE(SUBSTITUTE(SUBSTITUTE(SUBSTITUTE("type:"&amp;B1883,"%","%25"),"~","%7E"),"*","%2A"),"?","%3F")))&lt;&gt;1),"",IF(OR(INDEX('Rules'!$B$7:$B$26,MATCH(SUBSTITUTE(SUBSTITUTE(SUBSTITUTE(SUBSTITUTE("type:"&amp;B1883,"%","%25"),"~","%7E"),"*","%2A"),"?","%3F"),'Rules'!$G$7:$G$26,0))="hours",INDEX('Rules'!$B$7:$B$26,MATCH(SUBSTITUTE(SUBSTITUTE(SUBSTITUTE(SUBSTITUTE("type:"&amp;B1883,"%","%25"),"~","%7E"),"*","%2A"),"?","%3F"),'Rules'!$G$7:$G$26,0))="km"),INDEX('Rules'!$B$7:$B$26,MATCH(SUBSTITUTE(SUBSTITUTE(SUBSTITUTE(SUBSTITUTE("type:"&amp;B1883,"%","%25"),"~","%7E"),"*","%2A"),"?","%3F"),'Rules'!$G$7:$G$26,0)),""))</x:f>
      </x:c>
      <x:c r="I1883" s="6" t="str">
        <x:f>IF(AND(NOT(COUNTA(A1883:F1883)=0),K1883=""),ROUND(J1883-D1883,3),"")</x:f>
      </x:c>
      <x:c r="J1883" s="6" t="str">
        <x:f>IF(AND(NOT(COUNTA(A1883:F1883)=0),K1883=""),ROUND(F1883+L1883,3),"")</x:f>
      </x:c>
      <x:c r="K1883" s="5" t="str">
        <x:f>IF(COUNTA(A1883:F1883)=0,"",IF(A1883="","Missing equipment ID",IF(COUNTIFS($N$8:$N$2007,"="&amp;N1883)&gt;1,"Duplicate equipment ID",IF(B1883="","Missing type",IF(COUNTIFS('Rules'!$G$7:$G$26,"="&amp;(SUBSTITUTE(SUBSTITUTE(SUBSTITUTE(SUBSTITUTE("type:"&amp;B1883,"%","%25"),"~","%7E"),"*","%2A"),"?","%3F")))=0,"Unknown type",IF(COUNTIFS('Rules'!$G$7:$G$26,"="&amp;(SUBSTITUTE(SUBSTITUTE(SUBSTITUTE(SUBSTITUTE("type:"&amp;B1883,"%","%25"),"~","%7E"),"*","%2A"),"?","%3F")))&gt;1,"Duplicate type",IF(INDEX('Rules'!$F$7:$F$26,MATCH(SUBSTITUTE(SUBSTITUTE(SUBSTITUTE(SUBSTITUTE("type:"&amp;B1883,"%","%25"),"~","%7E"),"*","%2A"),"?","%3F"),'Rules'!$G$7:$G$26,0))&lt;&gt;"",INDEX('Rules'!$F$7:$F$26,MATCH(SUBSTITUTE(SUBSTITUTE(SUBSTITUTE(SUBSTITUTE("type:"&amp;B1883,"%","%25"),"~","%7E"),"*","%2A"),"?","%3F"),'Rules'!$G$7:$G$26,0)),IF(AND(C1883&lt;&gt;"",C1883&lt;&gt;INDEX('Rules'!$B$7:$B$26,MATCH(SUBSTITUTE(SUBSTITUTE(SUBSTITUTE(SUBSTITUTE("type:"&amp;B1883,"%","%25"),"~","%7E"),"*","%2A"),"?","%3F"),'Rules'!$G$7:$G$26,0))),"Unit mismatch",IF(IF(NOT(ISNUMBER(D1883)),TRUE,OR(D1883&lt;0,D1883&gt;999999999,ROUND(D1883,3)&lt;&gt;D1883)),"Invalid current reading",IF(AND(E1883&lt;&gt;"",IF(NOT(ISNUMBER(E1883)),TRUE,OR(E1883&lt;0,E1883&gt;999999999,ROUND(E1883,3)&lt;&gt;E1883))),"Invalid previous reading",IF(IF(NOT(ISNUMBER(F1883)),TRUE,OR(F1883&lt;0,F1883&gt;999999999,ROUND(F1883,3)&lt;&gt;F1883)),"Invalid last service",IF(AND(E1883&lt;&gt;"",D1883&lt;E1883),"Decreased reading",IF(F1883&gt;D1883,"Last service above current","")))))))))))))</x:f>
      </x:c>
      <x:c r="L1883" s="6" t="str">
        <x:f>IF(AND(NOT(COUNTA(A1883:F1883)=0),K1883=""),INDEX('Rules'!$C$7:$C$26,MATCH(SUBSTITUTE(SUBSTITUTE(SUBSTITUTE(SUBSTITUTE("type:"&amp;B1883,"%","%25"),"~","%7E"),"*","%2A"),"?","%3F"),'Rules'!$G$7:$G$26,0)),"")</x:f>
      </x:c>
      <x:c r="M1883" s="6" t="str">
        <x:f>IF(AND(NOT(COUNTA(A1883:F1883)=0),K1883=""),INDEX('Rules'!$D$7:$D$26,MATCH(SUBSTITUTE(SUBSTITUTE(SUBSTITUTE(SUBSTITUTE("type:"&amp;B1883,"%","%25"),"~","%7E"),"*","%2A"),"?","%3F"),'Rules'!$G$7:$G$26,0)),"")</x:f>
      </x:c>
      <x:c r="N1883" s="5" t="str">
        <x:f>IF(COUNTA(A1883:F1883)=0,"",SUBSTITUTE(SUBSTITUTE(SUBSTITUTE(SUBSTITUTE("id:"&amp;A1883,"%","%25"),"~","%7E"),"*","%2A"),"?","%3F"))</x:f>
      </x:c>
    </x:row>
    <x:row r="1884" ht="22" customHeight="1">
      <x:c r="A1884" s="3"/>
      <x:c r="B1884" s="3"/>
      <x:c r="C1884" s="3"/>
      <x:c r="D1884" s="4"/>
      <x:c r="E1884" s="4"/>
      <x:c r="F1884" s="4"/>
      <x:c r="G1884" s="5" t="str">
        <x:f>IF(COUNTA(A1884:F1884)=0,"",IF(K1884&lt;&gt;"","Review",IF(I1884&lt;0,"Overdue",IF(I1884=0,"Due now",IF(I1884&lt;=M1884,"Due soon","Not due")))))</x:f>
      </x:c>
      <x:c r="H1884" s="5" t="str">
        <x:f>IF(OR(COUNTA(A1884:F1884)=0,COUNTIFS('Rules'!$G$7:$G$26,"="&amp;(SUBSTITUTE(SUBSTITUTE(SUBSTITUTE(SUBSTITUTE("type:"&amp;B1884,"%","%25"),"~","%7E"),"*","%2A"),"?","%3F")))&lt;&gt;1),"",IF(OR(INDEX('Rules'!$B$7:$B$26,MATCH(SUBSTITUTE(SUBSTITUTE(SUBSTITUTE(SUBSTITUTE("type:"&amp;B1884,"%","%25"),"~","%7E"),"*","%2A"),"?","%3F"),'Rules'!$G$7:$G$26,0))="hours",INDEX('Rules'!$B$7:$B$26,MATCH(SUBSTITUTE(SUBSTITUTE(SUBSTITUTE(SUBSTITUTE("type:"&amp;B1884,"%","%25"),"~","%7E"),"*","%2A"),"?","%3F"),'Rules'!$G$7:$G$26,0))="km"),INDEX('Rules'!$B$7:$B$26,MATCH(SUBSTITUTE(SUBSTITUTE(SUBSTITUTE(SUBSTITUTE("type:"&amp;B1884,"%","%25"),"~","%7E"),"*","%2A"),"?","%3F"),'Rules'!$G$7:$G$26,0)),""))</x:f>
      </x:c>
      <x:c r="I1884" s="6" t="str">
        <x:f>IF(AND(NOT(COUNTA(A1884:F1884)=0),K1884=""),ROUND(J1884-D1884,3),"")</x:f>
      </x:c>
      <x:c r="J1884" s="6" t="str">
        <x:f>IF(AND(NOT(COUNTA(A1884:F1884)=0),K1884=""),ROUND(F1884+L1884,3),"")</x:f>
      </x:c>
      <x:c r="K1884" s="5" t="str">
        <x:f>IF(COUNTA(A1884:F1884)=0,"",IF(A1884="","Missing equipment ID",IF(COUNTIFS($N$8:$N$2007,"="&amp;N1884)&gt;1,"Duplicate equipment ID",IF(B1884="","Missing type",IF(COUNTIFS('Rules'!$G$7:$G$26,"="&amp;(SUBSTITUTE(SUBSTITUTE(SUBSTITUTE(SUBSTITUTE("type:"&amp;B1884,"%","%25"),"~","%7E"),"*","%2A"),"?","%3F")))=0,"Unknown type",IF(COUNTIFS('Rules'!$G$7:$G$26,"="&amp;(SUBSTITUTE(SUBSTITUTE(SUBSTITUTE(SUBSTITUTE("type:"&amp;B1884,"%","%25"),"~","%7E"),"*","%2A"),"?","%3F")))&gt;1,"Duplicate type",IF(INDEX('Rules'!$F$7:$F$26,MATCH(SUBSTITUTE(SUBSTITUTE(SUBSTITUTE(SUBSTITUTE("type:"&amp;B1884,"%","%25"),"~","%7E"),"*","%2A"),"?","%3F"),'Rules'!$G$7:$G$26,0))&lt;&gt;"",INDEX('Rules'!$F$7:$F$26,MATCH(SUBSTITUTE(SUBSTITUTE(SUBSTITUTE(SUBSTITUTE("type:"&amp;B1884,"%","%25"),"~","%7E"),"*","%2A"),"?","%3F"),'Rules'!$G$7:$G$26,0)),IF(AND(C1884&lt;&gt;"",C1884&lt;&gt;INDEX('Rules'!$B$7:$B$26,MATCH(SUBSTITUTE(SUBSTITUTE(SUBSTITUTE(SUBSTITUTE("type:"&amp;B1884,"%","%25"),"~","%7E"),"*","%2A"),"?","%3F"),'Rules'!$G$7:$G$26,0))),"Unit mismatch",IF(IF(NOT(ISNUMBER(D1884)),TRUE,OR(D1884&lt;0,D1884&gt;999999999,ROUND(D1884,3)&lt;&gt;D1884)),"Invalid current reading",IF(AND(E1884&lt;&gt;"",IF(NOT(ISNUMBER(E1884)),TRUE,OR(E1884&lt;0,E1884&gt;999999999,ROUND(E1884,3)&lt;&gt;E1884))),"Invalid previous reading",IF(IF(NOT(ISNUMBER(F1884)),TRUE,OR(F1884&lt;0,F1884&gt;999999999,ROUND(F1884,3)&lt;&gt;F1884)),"Invalid last service",IF(AND(E1884&lt;&gt;"",D1884&lt;E1884),"Decreased reading",IF(F1884&gt;D1884,"Last service above current","")))))))))))))</x:f>
      </x:c>
      <x:c r="L1884" s="6" t="str">
        <x:f>IF(AND(NOT(COUNTA(A1884:F1884)=0),K1884=""),INDEX('Rules'!$C$7:$C$26,MATCH(SUBSTITUTE(SUBSTITUTE(SUBSTITUTE(SUBSTITUTE("type:"&amp;B1884,"%","%25"),"~","%7E"),"*","%2A"),"?","%3F"),'Rules'!$G$7:$G$26,0)),"")</x:f>
      </x:c>
      <x:c r="M1884" s="6" t="str">
        <x:f>IF(AND(NOT(COUNTA(A1884:F1884)=0),K1884=""),INDEX('Rules'!$D$7:$D$26,MATCH(SUBSTITUTE(SUBSTITUTE(SUBSTITUTE(SUBSTITUTE("type:"&amp;B1884,"%","%25"),"~","%7E"),"*","%2A"),"?","%3F"),'Rules'!$G$7:$G$26,0)),"")</x:f>
      </x:c>
      <x:c r="N1884" s="5" t="str">
        <x:f>IF(COUNTA(A1884:F1884)=0,"",SUBSTITUTE(SUBSTITUTE(SUBSTITUTE(SUBSTITUTE("id:"&amp;A1884,"%","%25"),"~","%7E"),"*","%2A"),"?","%3F"))</x:f>
      </x:c>
    </x:row>
    <x:row r="1885" ht="22" customHeight="1">
      <x:c r="A1885" s="3"/>
      <x:c r="B1885" s="3"/>
      <x:c r="C1885" s="3"/>
      <x:c r="D1885" s="4"/>
      <x:c r="E1885" s="4"/>
      <x:c r="F1885" s="4"/>
      <x:c r="G1885" s="5" t="str">
        <x:f>IF(COUNTA(A1885:F1885)=0,"",IF(K1885&lt;&gt;"","Review",IF(I1885&lt;0,"Overdue",IF(I1885=0,"Due now",IF(I1885&lt;=M1885,"Due soon","Not due")))))</x:f>
      </x:c>
      <x:c r="H1885" s="5" t="str">
        <x:f>IF(OR(COUNTA(A1885:F1885)=0,COUNTIFS('Rules'!$G$7:$G$26,"="&amp;(SUBSTITUTE(SUBSTITUTE(SUBSTITUTE(SUBSTITUTE("type:"&amp;B1885,"%","%25"),"~","%7E"),"*","%2A"),"?","%3F")))&lt;&gt;1),"",IF(OR(INDEX('Rules'!$B$7:$B$26,MATCH(SUBSTITUTE(SUBSTITUTE(SUBSTITUTE(SUBSTITUTE("type:"&amp;B1885,"%","%25"),"~","%7E"),"*","%2A"),"?","%3F"),'Rules'!$G$7:$G$26,0))="hours",INDEX('Rules'!$B$7:$B$26,MATCH(SUBSTITUTE(SUBSTITUTE(SUBSTITUTE(SUBSTITUTE("type:"&amp;B1885,"%","%25"),"~","%7E"),"*","%2A"),"?","%3F"),'Rules'!$G$7:$G$26,0))="km"),INDEX('Rules'!$B$7:$B$26,MATCH(SUBSTITUTE(SUBSTITUTE(SUBSTITUTE(SUBSTITUTE("type:"&amp;B1885,"%","%25"),"~","%7E"),"*","%2A"),"?","%3F"),'Rules'!$G$7:$G$26,0)),""))</x:f>
      </x:c>
      <x:c r="I1885" s="6" t="str">
        <x:f>IF(AND(NOT(COUNTA(A1885:F1885)=0),K1885=""),ROUND(J1885-D1885,3),"")</x:f>
      </x:c>
      <x:c r="J1885" s="6" t="str">
        <x:f>IF(AND(NOT(COUNTA(A1885:F1885)=0),K1885=""),ROUND(F1885+L1885,3),"")</x:f>
      </x:c>
      <x:c r="K1885" s="5" t="str">
        <x:f>IF(COUNTA(A1885:F1885)=0,"",IF(A1885="","Missing equipment ID",IF(COUNTIFS($N$8:$N$2007,"="&amp;N1885)&gt;1,"Duplicate equipment ID",IF(B1885="","Missing type",IF(COUNTIFS('Rules'!$G$7:$G$26,"="&amp;(SUBSTITUTE(SUBSTITUTE(SUBSTITUTE(SUBSTITUTE("type:"&amp;B1885,"%","%25"),"~","%7E"),"*","%2A"),"?","%3F")))=0,"Unknown type",IF(COUNTIFS('Rules'!$G$7:$G$26,"="&amp;(SUBSTITUTE(SUBSTITUTE(SUBSTITUTE(SUBSTITUTE("type:"&amp;B1885,"%","%25"),"~","%7E"),"*","%2A"),"?","%3F")))&gt;1,"Duplicate type",IF(INDEX('Rules'!$F$7:$F$26,MATCH(SUBSTITUTE(SUBSTITUTE(SUBSTITUTE(SUBSTITUTE("type:"&amp;B1885,"%","%25"),"~","%7E"),"*","%2A"),"?","%3F"),'Rules'!$G$7:$G$26,0))&lt;&gt;"",INDEX('Rules'!$F$7:$F$26,MATCH(SUBSTITUTE(SUBSTITUTE(SUBSTITUTE(SUBSTITUTE("type:"&amp;B1885,"%","%25"),"~","%7E"),"*","%2A"),"?","%3F"),'Rules'!$G$7:$G$26,0)),IF(AND(C1885&lt;&gt;"",C1885&lt;&gt;INDEX('Rules'!$B$7:$B$26,MATCH(SUBSTITUTE(SUBSTITUTE(SUBSTITUTE(SUBSTITUTE("type:"&amp;B1885,"%","%25"),"~","%7E"),"*","%2A"),"?","%3F"),'Rules'!$G$7:$G$26,0))),"Unit mismatch",IF(IF(NOT(ISNUMBER(D1885)),TRUE,OR(D1885&lt;0,D1885&gt;999999999,ROUND(D1885,3)&lt;&gt;D1885)),"Invalid current reading",IF(AND(E1885&lt;&gt;"",IF(NOT(ISNUMBER(E1885)),TRUE,OR(E1885&lt;0,E1885&gt;999999999,ROUND(E1885,3)&lt;&gt;E1885))),"Invalid previous reading",IF(IF(NOT(ISNUMBER(F1885)),TRUE,OR(F1885&lt;0,F1885&gt;999999999,ROUND(F1885,3)&lt;&gt;F1885)),"Invalid last service",IF(AND(E1885&lt;&gt;"",D1885&lt;E1885),"Decreased reading",IF(F1885&gt;D1885,"Last service above current","")))))))))))))</x:f>
      </x:c>
      <x:c r="L1885" s="6" t="str">
        <x:f>IF(AND(NOT(COUNTA(A1885:F1885)=0),K1885=""),INDEX('Rules'!$C$7:$C$26,MATCH(SUBSTITUTE(SUBSTITUTE(SUBSTITUTE(SUBSTITUTE("type:"&amp;B1885,"%","%25"),"~","%7E"),"*","%2A"),"?","%3F"),'Rules'!$G$7:$G$26,0)),"")</x:f>
      </x:c>
      <x:c r="M1885" s="6" t="str">
        <x:f>IF(AND(NOT(COUNTA(A1885:F1885)=0),K1885=""),INDEX('Rules'!$D$7:$D$26,MATCH(SUBSTITUTE(SUBSTITUTE(SUBSTITUTE(SUBSTITUTE("type:"&amp;B1885,"%","%25"),"~","%7E"),"*","%2A"),"?","%3F"),'Rules'!$G$7:$G$26,0)),"")</x:f>
      </x:c>
      <x:c r="N1885" s="5" t="str">
        <x:f>IF(COUNTA(A1885:F1885)=0,"",SUBSTITUTE(SUBSTITUTE(SUBSTITUTE(SUBSTITUTE("id:"&amp;A1885,"%","%25"),"~","%7E"),"*","%2A"),"?","%3F"))</x:f>
      </x:c>
    </x:row>
    <x:row r="1886" ht="22" customHeight="1">
      <x:c r="A1886" s="3"/>
      <x:c r="B1886" s="3"/>
      <x:c r="C1886" s="3"/>
      <x:c r="D1886" s="4"/>
      <x:c r="E1886" s="4"/>
      <x:c r="F1886" s="4"/>
      <x:c r="G1886" s="5" t="str">
        <x:f>IF(COUNTA(A1886:F1886)=0,"",IF(K1886&lt;&gt;"","Review",IF(I1886&lt;0,"Overdue",IF(I1886=0,"Due now",IF(I1886&lt;=M1886,"Due soon","Not due")))))</x:f>
      </x:c>
      <x:c r="H1886" s="5" t="str">
        <x:f>IF(OR(COUNTA(A1886:F1886)=0,COUNTIFS('Rules'!$G$7:$G$26,"="&amp;(SUBSTITUTE(SUBSTITUTE(SUBSTITUTE(SUBSTITUTE("type:"&amp;B1886,"%","%25"),"~","%7E"),"*","%2A"),"?","%3F")))&lt;&gt;1),"",IF(OR(INDEX('Rules'!$B$7:$B$26,MATCH(SUBSTITUTE(SUBSTITUTE(SUBSTITUTE(SUBSTITUTE("type:"&amp;B1886,"%","%25"),"~","%7E"),"*","%2A"),"?","%3F"),'Rules'!$G$7:$G$26,0))="hours",INDEX('Rules'!$B$7:$B$26,MATCH(SUBSTITUTE(SUBSTITUTE(SUBSTITUTE(SUBSTITUTE("type:"&amp;B1886,"%","%25"),"~","%7E"),"*","%2A"),"?","%3F"),'Rules'!$G$7:$G$26,0))="km"),INDEX('Rules'!$B$7:$B$26,MATCH(SUBSTITUTE(SUBSTITUTE(SUBSTITUTE(SUBSTITUTE("type:"&amp;B1886,"%","%25"),"~","%7E"),"*","%2A"),"?","%3F"),'Rules'!$G$7:$G$26,0)),""))</x:f>
      </x:c>
      <x:c r="I1886" s="6" t="str">
        <x:f>IF(AND(NOT(COUNTA(A1886:F1886)=0),K1886=""),ROUND(J1886-D1886,3),"")</x:f>
      </x:c>
      <x:c r="J1886" s="6" t="str">
        <x:f>IF(AND(NOT(COUNTA(A1886:F1886)=0),K1886=""),ROUND(F1886+L1886,3),"")</x:f>
      </x:c>
      <x:c r="K1886" s="5" t="str">
        <x:f>IF(COUNTA(A1886:F1886)=0,"",IF(A1886="","Missing equipment ID",IF(COUNTIFS($N$8:$N$2007,"="&amp;N1886)&gt;1,"Duplicate equipment ID",IF(B1886="","Missing type",IF(COUNTIFS('Rules'!$G$7:$G$26,"="&amp;(SUBSTITUTE(SUBSTITUTE(SUBSTITUTE(SUBSTITUTE("type:"&amp;B1886,"%","%25"),"~","%7E"),"*","%2A"),"?","%3F")))=0,"Unknown type",IF(COUNTIFS('Rules'!$G$7:$G$26,"="&amp;(SUBSTITUTE(SUBSTITUTE(SUBSTITUTE(SUBSTITUTE("type:"&amp;B1886,"%","%25"),"~","%7E"),"*","%2A"),"?","%3F")))&gt;1,"Duplicate type",IF(INDEX('Rules'!$F$7:$F$26,MATCH(SUBSTITUTE(SUBSTITUTE(SUBSTITUTE(SUBSTITUTE("type:"&amp;B1886,"%","%25"),"~","%7E"),"*","%2A"),"?","%3F"),'Rules'!$G$7:$G$26,0))&lt;&gt;"",INDEX('Rules'!$F$7:$F$26,MATCH(SUBSTITUTE(SUBSTITUTE(SUBSTITUTE(SUBSTITUTE("type:"&amp;B1886,"%","%25"),"~","%7E"),"*","%2A"),"?","%3F"),'Rules'!$G$7:$G$26,0)),IF(AND(C1886&lt;&gt;"",C1886&lt;&gt;INDEX('Rules'!$B$7:$B$26,MATCH(SUBSTITUTE(SUBSTITUTE(SUBSTITUTE(SUBSTITUTE("type:"&amp;B1886,"%","%25"),"~","%7E"),"*","%2A"),"?","%3F"),'Rules'!$G$7:$G$26,0))),"Unit mismatch",IF(IF(NOT(ISNUMBER(D1886)),TRUE,OR(D1886&lt;0,D1886&gt;999999999,ROUND(D1886,3)&lt;&gt;D1886)),"Invalid current reading",IF(AND(E1886&lt;&gt;"",IF(NOT(ISNUMBER(E1886)),TRUE,OR(E1886&lt;0,E1886&gt;999999999,ROUND(E1886,3)&lt;&gt;E1886))),"Invalid previous reading",IF(IF(NOT(ISNUMBER(F1886)),TRUE,OR(F1886&lt;0,F1886&gt;999999999,ROUND(F1886,3)&lt;&gt;F1886)),"Invalid last service",IF(AND(E1886&lt;&gt;"",D1886&lt;E1886),"Decreased reading",IF(F1886&gt;D1886,"Last service above current","")))))))))))))</x:f>
      </x:c>
      <x:c r="L1886" s="6" t="str">
        <x:f>IF(AND(NOT(COUNTA(A1886:F1886)=0),K1886=""),INDEX('Rules'!$C$7:$C$26,MATCH(SUBSTITUTE(SUBSTITUTE(SUBSTITUTE(SUBSTITUTE("type:"&amp;B1886,"%","%25"),"~","%7E"),"*","%2A"),"?","%3F"),'Rules'!$G$7:$G$26,0)),"")</x:f>
      </x:c>
      <x:c r="M1886" s="6" t="str">
        <x:f>IF(AND(NOT(COUNTA(A1886:F1886)=0),K1886=""),INDEX('Rules'!$D$7:$D$26,MATCH(SUBSTITUTE(SUBSTITUTE(SUBSTITUTE(SUBSTITUTE("type:"&amp;B1886,"%","%25"),"~","%7E"),"*","%2A"),"?","%3F"),'Rules'!$G$7:$G$26,0)),"")</x:f>
      </x:c>
      <x:c r="N1886" s="5" t="str">
        <x:f>IF(COUNTA(A1886:F1886)=0,"",SUBSTITUTE(SUBSTITUTE(SUBSTITUTE(SUBSTITUTE("id:"&amp;A1886,"%","%25"),"~","%7E"),"*","%2A"),"?","%3F"))</x:f>
      </x:c>
    </x:row>
    <x:row r="1887" ht="22" customHeight="1">
      <x:c r="A1887" s="3"/>
      <x:c r="B1887" s="3"/>
      <x:c r="C1887" s="3"/>
      <x:c r="D1887" s="4"/>
      <x:c r="E1887" s="4"/>
      <x:c r="F1887" s="4"/>
      <x:c r="G1887" s="5" t="str">
        <x:f>IF(COUNTA(A1887:F1887)=0,"",IF(K1887&lt;&gt;"","Review",IF(I1887&lt;0,"Overdue",IF(I1887=0,"Due now",IF(I1887&lt;=M1887,"Due soon","Not due")))))</x:f>
      </x:c>
      <x:c r="H1887" s="5" t="str">
        <x:f>IF(OR(COUNTA(A1887:F1887)=0,COUNTIFS('Rules'!$G$7:$G$26,"="&amp;(SUBSTITUTE(SUBSTITUTE(SUBSTITUTE(SUBSTITUTE("type:"&amp;B1887,"%","%25"),"~","%7E"),"*","%2A"),"?","%3F")))&lt;&gt;1),"",IF(OR(INDEX('Rules'!$B$7:$B$26,MATCH(SUBSTITUTE(SUBSTITUTE(SUBSTITUTE(SUBSTITUTE("type:"&amp;B1887,"%","%25"),"~","%7E"),"*","%2A"),"?","%3F"),'Rules'!$G$7:$G$26,0))="hours",INDEX('Rules'!$B$7:$B$26,MATCH(SUBSTITUTE(SUBSTITUTE(SUBSTITUTE(SUBSTITUTE("type:"&amp;B1887,"%","%25"),"~","%7E"),"*","%2A"),"?","%3F"),'Rules'!$G$7:$G$26,0))="km"),INDEX('Rules'!$B$7:$B$26,MATCH(SUBSTITUTE(SUBSTITUTE(SUBSTITUTE(SUBSTITUTE("type:"&amp;B1887,"%","%25"),"~","%7E"),"*","%2A"),"?","%3F"),'Rules'!$G$7:$G$26,0)),""))</x:f>
      </x:c>
      <x:c r="I1887" s="6" t="str">
        <x:f>IF(AND(NOT(COUNTA(A1887:F1887)=0),K1887=""),ROUND(J1887-D1887,3),"")</x:f>
      </x:c>
      <x:c r="J1887" s="6" t="str">
        <x:f>IF(AND(NOT(COUNTA(A1887:F1887)=0),K1887=""),ROUND(F1887+L1887,3),"")</x:f>
      </x:c>
      <x:c r="K1887" s="5" t="str">
        <x:f>IF(COUNTA(A1887:F1887)=0,"",IF(A1887="","Missing equipment ID",IF(COUNTIFS($N$8:$N$2007,"="&amp;N1887)&gt;1,"Duplicate equipment ID",IF(B1887="","Missing type",IF(COUNTIFS('Rules'!$G$7:$G$26,"="&amp;(SUBSTITUTE(SUBSTITUTE(SUBSTITUTE(SUBSTITUTE("type:"&amp;B1887,"%","%25"),"~","%7E"),"*","%2A"),"?","%3F")))=0,"Unknown type",IF(COUNTIFS('Rules'!$G$7:$G$26,"="&amp;(SUBSTITUTE(SUBSTITUTE(SUBSTITUTE(SUBSTITUTE("type:"&amp;B1887,"%","%25"),"~","%7E"),"*","%2A"),"?","%3F")))&gt;1,"Duplicate type",IF(INDEX('Rules'!$F$7:$F$26,MATCH(SUBSTITUTE(SUBSTITUTE(SUBSTITUTE(SUBSTITUTE("type:"&amp;B1887,"%","%25"),"~","%7E"),"*","%2A"),"?","%3F"),'Rules'!$G$7:$G$26,0))&lt;&gt;"",INDEX('Rules'!$F$7:$F$26,MATCH(SUBSTITUTE(SUBSTITUTE(SUBSTITUTE(SUBSTITUTE("type:"&amp;B1887,"%","%25"),"~","%7E"),"*","%2A"),"?","%3F"),'Rules'!$G$7:$G$26,0)),IF(AND(C1887&lt;&gt;"",C1887&lt;&gt;INDEX('Rules'!$B$7:$B$26,MATCH(SUBSTITUTE(SUBSTITUTE(SUBSTITUTE(SUBSTITUTE("type:"&amp;B1887,"%","%25"),"~","%7E"),"*","%2A"),"?","%3F"),'Rules'!$G$7:$G$26,0))),"Unit mismatch",IF(IF(NOT(ISNUMBER(D1887)),TRUE,OR(D1887&lt;0,D1887&gt;999999999,ROUND(D1887,3)&lt;&gt;D1887)),"Invalid current reading",IF(AND(E1887&lt;&gt;"",IF(NOT(ISNUMBER(E1887)),TRUE,OR(E1887&lt;0,E1887&gt;999999999,ROUND(E1887,3)&lt;&gt;E1887))),"Invalid previous reading",IF(IF(NOT(ISNUMBER(F1887)),TRUE,OR(F1887&lt;0,F1887&gt;999999999,ROUND(F1887,3)&lt;&gt;F1887)),"Invalid last service",IF(AND(E1887&lt;&gt;"",D1887&lt;E1887),"Decreased reading",IF(F1887&gt;D1887,"Last service above current","")))))))))))))</x:f>
      </x:c>
      <x:c r="L1887" s="6" t="str">
        <x:f>IF(AND(NOT(COUNTA(A1887:F1887)=0),K1887=""),INDEX('Rules'!$C$7:$C$26,MATCH(SUBSTITUTE(SUBSTITUTE(SUBSTITUTE(SUBSTITUTE("type:"&amp;B1887,"%","%25"),"~","%7E"),"*","%2A"),"?","%3F"),'Rules'!$G$7:$G$26,0)),"")</x:f>
      </x:c>
      <x:c r="M1887" s="6" t="str">
        <x:f>IF(AND(NOT(COUNTA(A1887:F1887)=0),K1887=""),INDEX('Rules'!$D$7:$D$26,MATCH(SUBSTITUTE(SUBSTITUTE(SUBSTITUTE(SUBSTITUTE("type:"&amp;B1887,"%","%25"),"~","%7E"),"*","%2A"),"?","%3F"),'Rules'!$G$7:$G$26,0)),"")</x:f>
      </x:c>
      <x:c r="N1887" s="5" t="str">
        <x:f>IF(COUNTA(A1887:F1887)=0,"",SUBSTITUTE(SUBSTITUTE(SUBSTITUTE(SUBSTITUTE("id:"&amp;A1887,"%","%25"),"~","%7E"),"*","%2A"),"?","%3F"))</x:f>
      </x:c>
    </x:row>
    <x:row r="1888" ht="22" customHeight="1">
      <x:c r="A1888" s="3"/>
      <x:c r="B1888" s="3"/>
      <x:c r="C1888" s="3"/>
      <x:c r="D1888" s="4"/>
      <x:c r="E1888" s="4"/>
      <x:c r="F1888" s="4"/>
      <x:c r="G1888" s="5" t="str">
        <x:f>IF(COUNTA(A1888:F1888)=0,"",IF(K1888&lt;&gt;"","Review",IF(I1888&lt;0,"Overdue",IF(I1888=0,"Due now",IF(I1888&lt;=M1888,"Due soon","Not due")))))</x:f>
      </x:c>
      <x:c r="H1888" s="5" t="str">
        <x:f>IF(OR(COUNTA(A1888:F1888)=0,COUNTIFS('Rules'!$G$7:$G$26,"="&amp;(SUBSTITUTE(SUBSTITUTE(SUBSTITUTE(SUBSTITUTE("type:"&amp;B1888,"%","%25"),"~","%7E"),"*","%2A"),"?","%3F")))&lt;&gt;1),"",IF(OR(INDEX('Rules'!$B$7:$B$26,MATCH(SUBSTITUTE(SUBSTITUTE(SUBSTITUTE(SUBSTITUTE("type:"&amp;B1888,"%","%25"),"~","%7E"),"*","%2A"),"?","%3F"),'Rules'!$G$7:$G$26,0))="hours",INDEX('Rules'!$B$7:$B$26,MATCH(SUBSTITUTE(SUBSTITUTE(SUBSTITUTE(SUBSTITUTE("type:"&amp;B1888,"%","%25"),"~","%7E"),"*","%2A"),"?","%3F"),'Rules'!$G$7:$G$26,0))="km"),INDEX('Rules'!$B$7:$B$26,MATCH(SUBSTITUTE(SUBSTITUTE(SUBSTITUTE(SUBSTITUTE("type:"&amp;B1888,"%","%25"),"~","%7E"),"*","%2A"),"?","%3F"),'Rules'!$G$7:$G$26,0)),""))</x:f>
      </x:c>
      <x:c r="I1888" s="6" t="str">
        <x:f>IF(AND(NOT(COUNTA(A1888:F1888)=0),K1888=""),ROUND(J1888-D1888,3),"")</x:f>
      </x:c>
      <x:c r="J1888" s="6" t="str">
        <x:f>IF(AND(NOT(COUNTA(A1888:F1888)=0),K1888=""),ROUND(F1888+L1888,3),"")</x:f>
      </x:c>
      <x:c r="K1888" s="5" t="str">
        <x:f>IF(COUNTA(A1888:F1888)=0,"",IF(A1888="","Missing equipment ID",IF(COUNTIFS($N$8:$N$2007,"="&amp;N1888)&gt;1,"Duplicate equipment ID",IF(B1888="","Missing type",IF(COUNTIFS('Rules'!$G$7:$G$26,"="&amp;(SUBSTITUTE(SUBSTITUTE(SUBSTITUTE(SUBSTITUTE("type:"&amp;B1888,"%","%25"),"~","%7E"),"*","%2A"),"?","%3F")))=0,"Unknown type",IF(COUNTIFS('Rules'!$G$7:$G$26,"="&amp;(SUBSTITUTE(SUBSTITUTE(SUBSTITUTE(SUBSTITUTE("type:"&amp;B1888,"%","%25"),"~","%7E"),"*","%2A"),"?","%3F")))&gt;1,"Duplicate type",IF(INDEX('Rules'!$F$7:$F$26,MATCH(SUBSTITUTE(SUBSTITUTE(SUBSTITUTE(SUBSTITUTE("type:"&amp;B1888,"%","%25"),"~","%7E"),"*","%2A"),"?","%3F"),'Rules'!$G$7:$G$26,0))&lt;&gt;"",INDEX('Rules'!$F$7:$F$26,MATCH(SUBSTITUTE(SUBSTITUTE(SUBSTITUTE(SUBSTITUTE("type:"&amp;B1888,"%","%25"),"~","%7E"),"*","%2A"),"?","%3F"),'Rules'!$G$7:$G$26,0)),IF(AND(C1888&lt;&gt;"",C1888&lt;&gt;INDEX('Rules'!$B$7:$B$26,MATCH(SUBSTITUTE(SUBSTITUTE(SUBSTITUTE(SUBSTITUTE("type:"&amp;B1888,"%","%25"),"~","%7E"),"*","%2A"),"?","%3F"),'Rules'!$G$7:$G$26,0))),"Unit mismatch",IF(IF(NOT(ISNUMBER(D1888)),TRUE,OR(D1888&lt;0,D1888&gt;999999999,ROUND(D1888,3)&lt;&gt;D1888)),"Invalid current reading",IF(AND(E1888&lt;&gt;"",IF(NOT(ISNUMBER(E1888)),TRUE,OR(E1888&lt;0,E1888&gt;999999999,ROUND(E1888,3)&lt;&gt;E1888))),"Invalid previous reading",IF(IF(NOT(ISNUMBER(F1888)),TRUE,OR(F1888&lt;0,F1888&gt;999999999,ROUND(F1888,3)&lt;&gt;F1888)),"Invalid last service",IF(AND(E1888&lt;&gt;"",D1888&lt;E1888),"Decreased reading",IF(F1888&gt;D1888,"Last service above current","")))))))))))))</x:f>
      </x:c>
      <x:c r="L1888" s="6" t="str">
        <x:f>IF(AND(NOT(COUNTA(A1888:F1888)=0),K1888=""),INDEX('Rules'!$C$7:$C$26,MATCH(SUBSTITUTE(SUBSTITUTE(SUBSTITUTE(SUBSTITUTE("type:"&amp;B1888,"%","%25"),"~","%7E"),"*","%2A"),"?","%3F"),'Rules'!$G$7:$G$26,0)),"")</x:f>
      </x:c>
      <x:c r="M1888" s="6" t="str">
        <x:f>IF(AND(NOT(COUNTA(A1888:F1888)=0),K1888=""),INDEX('Rules'!$D$7:$D$26,MATCH(SUBSTITUTE(SUBSTITUTE(SUBSTITUTE(SUBSTITUTE("type:"&amp;B1888,"%","%25"),"~","%7E"),"*","%2A"),"?","%3F"),'Rules'!$G$7:$G$26,0)),"")</x:f>
      </x:c>
      <x:c r="N1888" s="5" t="str">
        <x:f>IF(COUNTA(A1888:F1888)=0,"",SUBSTITUTE(SUBSTITUTE(SUBSTITUTE(SUBSTITUTE("id:"&amp;A1888,"%","%25"),"~","%7E"),"*","%2A"),"?","%3F"))</x:f>
      </x:c>
    </x:row>
    <x:row r="1889" ht="22" customHeight="1">
      <x:c r="A1889" s="3"/>
      <x:c r="B1889" s="3"/>
      <x:c r="C1889" s="3"/>
      <x:c r="D1889" s="4"/>
      <x:c r="E1889" s="4"/>
      <x:c r="F1889" s="4"/>
      <x:c r="G1889" s="5" t="str">
        <x:f>IF(COUNTA(A1889:F1889)=0,"",IF(K1889&lt;&gt;"","Review",IF(I1889&lt;0,"Overdue",IF(I1889=0,"Due now",IF(I1889&lt;=M1889,"Due soon","Not due")))))</x:f>
      </x:c>
      <x:c r="H1889" s="5" t="str">
        <x:f>IF(OR(COUNTA(A1889:F1889)=0,COUNTIFS('Rules'!$G$7:$G$26,"="&amp;(SUBSTITUTE(SUBSTITUTE(SUBSTITUTE(SUBSTITUTE("type:"&amp;B1889,"%","%25"),"~","%7E"),"*","%2A"),"?","%3F")))&lt;&gt;1),"",IF(OR(INDEX('Rules'!$B$7:$B$26,MATCH(SUBSTITUTE(SUBSTITUTE(SUBSTITUTE(SUBSTITUTE("type:"&amp;B1889,"%","%25"),"~","%7E"),"*","%2A"),"?","%3F"),'Rules'!$G$7:$G$26,0))="hours",INDEX('Rules'!$B$7:$B$26,MATCH(SUBSTITUTE(SUBSTITUTE(SUBSTITUTE(SUBSTITUTE("type:"&amp;B1889,"%","%25"),"~","%7E"),"*","%2A"),"?","%3F"),'Rules'!$G$7:$G$26,0))="km"),INDEX('Rules'!$B$7:$B$26,MATCH(SUBSTITUTE(SUBSTITUTE(SUBSTITUTE(SUBSTITUTE("type:"&amp;B1889,"%","%25"),"~","%7E"),"*","%2A"),"?","%3F"),'Rules'!$G$7:$G$26,0)),""))</x:f>
      </x:c>
      <x:c r="I1889" s="6" t="str">
        <x:f>IF(AND(NOT(COUNTA(A1889:F1889)=0),K1889=""),ROUND(J1889-D1889,3),"")</x:f>
      </x:c>
      <x:c r="J1889" s="6" t="str">
        <x:f>IF(AND(NOT(COUNTA(A1889:F1889)=0),K1889=""),ROUND(F1889+L1889,3),"")</x:f>
      </x:c>
      <x:c r="K1889" s="5" t="str">
        <x:f>IF(COUNTA(A1889:F1889)=0,"",IF(A1889="","Missing equipment ID",IF(COUNTIFS($N$8:$N$2007,"="&amp;N1889)&gt;1,"Duplicate equipment ID",IF(B1889="","Missing type",IF(COUNTIFS('Rules'!$G$7:$G$26,"="&amp;(SUBSTITUTE(SUBSTITUTE(SUBSTITUTE(SUBSTITUTE("type:"&amp;B1889,"%","%25"),"~","%7E"),"*","%2A"),"?","%3F")))=0,"Unknown type",IF(COUNTIFS('Rules'!$G$7:$G$26,"="&amp;(SUBSTITUTE(SUBSTITUTE(SUBSTITUTE(SUBSTITUTE("type:"&amp;B1889,"%","%25"),"~","%7E"),"*","%2A"),"?","%3F")))&gt;1,"Duplicate type",IF(INDEX('Rules'!$F$7:$F$26,MATCH(SUBSTITUTE(SUBSTITUTE(SUBSTITUTE(SUBSTITUTE("type:"&amp;B1889,"%","%25"),"~","%7E"),"*","%2A"),"?","%3F"),'Rules'!$G$7:$G$26,0))&lt;&gt;"",INDEX('Rules'!$F$7:$F$26,MATCH(SUBSTITUTE(SUBSTITUTE(SUBSTITUTE(SUBSTITUTE("type:"&amp;B1889,"%","%25"),"~","%7E"),"*","%2A"),"?","%3F"),'Rules'!$G$7:$G$26,0)),IF(AND(C1889&lt;&gt;"",C1889&lt;&gt;INDEX('Rules'!$B$7:$B$26,MATCH(SUBSTITUTE(SUBSTITUTE(SUBSTITUTE(SUBSTITUTE("type:"&amp;B1889,"%","%25"),"~","%7E"),"*","%2A"),"?","%3F"),'Rules'!$G$7:$G$26,0))),"Unit mismatch",IF(IF(NOT(ISNUMBER(D1889)),TRUE,OR(D1889&lt;0,D1889&gt;999999999,ROUND(D1889,3)&lt;&gt;D1889)),"Invalid current reading",IF(AND(E1889&lt;&gt;"",IF(NOT(ISNUMBER(E1889)),TRUE,OR(E1889&lt;0,E1889&gt;999999999,ROUND(E1889,3)&lt;&gt;E1889))),"Invalid previous reading",IF(IF(NOT(ISNUMBER(F1889)),TRUE,OR(F1889&lt;0,F1889&gt;999999999,ROUND(F1889,3)&lt;&gt;F1889)),"Invalid last service",IF(AND(E1889&lt;&gt;"",D1889&lt;E1889),"Decreased reading",IF(F1889&gt;D1889,"Last service above current","")))))))))))))</x:f>
      </x:c>
      <x:c r="L1889" s="6" t="str">
        <x:f>IF(AND(NOT(COUNTA(A1889:F1889)=0),K1889=""),INDEX('Rules'!$C$7:$C$26,MATCH(SUBSTITUTE(SUBSTITUTE(SUBSTITUTE(SUBSTITUTE("type:"&amp;B1889,"%","%25"),"~","%7E"),"*","%2A"),"?","%3F"),'Rules'!$G$7:$G$26,0)),"")</x:f>
      </x:c>
      <x:c r="M1889" s="6" t="str">
        <x:f>IF(AND(NOT(COUNTA(A1889:F1889)=0),K1889=""),INDEX('Rules'!$D$7:$D$26,MATCH(SUBSTITUTE(SUBSTITUTE(SUBSTITUTE(SUBSTITUTE("type:"&amp;B1889,"%","%25"),"~","%7E"),"*","%2A"),"?","%3F"),'Rules'!$G$7:$G$26,0)),"")</x:f>
      </x:c>
      <x:c r="N1889" s="5" t="str">
        <x:f>IF(COUNTA(A1889:F1889)=0,"",SUBSTITUTE(SUBSTITUTE(SUBSTITUTE(SUBSTITUTE("id:"&amp;A1889,"%","%25"),"~","%7E"),"*","%2A"),"?","%3F"))</x:f>
      </x:c>
    </x:row>
    <x:row r="1890" ht="22" customHeight="1">
      <x:c r="A1890" s="3"/>
      <x:c r="B1890" s="3"/>
      <x:c r="C1890" s="3"/>
      <x:c r="D1890" s="4"/>
      <x:c r="E1890" s="4"/>
      <x:c r="F1890" s="4"/>
      <x:c r="G1890" s="5" t="str">
        <x:f>IF(COUNTA(A1890:F1890)=0,"",IF(K1890&lt;&gt;"","Review",IF(I1890&lt;0,"Overdue",IF(I1890=0,"Due now",IF(I1890&lt;=M1890,"Due soon","Not due")))))</x:f>
      </x:c>
      <x:c r="H1890" s="5" t="str">
        <x:f>IF(OR(COUNTA(A1890:F1890)=0,COUNTIFS('Rules'!$G$7:$G$26,"="&amp;(SUBSTITUTE(SUBSTITUTE(SUBSTITUTE(SUBSTITUTE("type:"&amp;B1890,"%","%25"),"~","%7E"),"*","%2A"),"?","%3F")))&lt;&gt;1),"",IF(OR(INDEX('Rules'!$B$7:$B$26,MATCH(SUBSTITUTE(SUBSTITUTE(SUBSTITUTE(SUBSTITUTE("type:"&amp;B1890,"%","%25"),"~","%7E"),"*","%2A"),"?","%3F"),'Rules'!$G$7:$G$26,0))="hours",INDEX('Rules'!$B$7:$B$26,MATCH(SUBSTITUTE(SUBSTITUTE(SUBSTITUTE(SUBSTITUTE("type:"&amp;B1890,"%","%25"),"~","%7E"),"*","%2A"),"?","%3F"),'Rules'!$G$7:$G$26,0))="km"),INDEX('Rules'!$B$7:$B$26,MATCH(SUBSTITUTE(SUBSTITUTE(SUBSTITUTE(SUBSTITUTE("type:"&amp;B1890,"%","%25"),"~","%7E"),"*","%2A"),"?","%3F"),'Rules'!$G$7:$G$26,0)),""))</x:f>
      </x:c>
      <x:c r="I1890" s="6" t="str">
        <x:f>IF(AND(NOT(COUNTA(A1890:F1890)=0),K1890=""),ROUND(J1890-D1890,3),"")</x:f>
      </x:c>
      <x:c r="J1890" s="6" t="str">
        <x:f>IF(AND(NOT(COUNTA(A1890:F1890)=0),K1890=""),ROUND(F1890+L1890,3),"")</x:f>
      </x:c>
      <x:c r="K1890" s="5" t="str">
        <x:f>IF(COUNTA(A1890:F1890)=0,"",IF(A1890="","Missing equipment ID",IF(COUNTIFS($N$8:$N$2007,"="&amp;N1890)&gt;1,"Duplicate equipment ID",IF(B1890="","Missing type",IF(COUNTIFS('Rules'!$G$7:$G$26,"="&amp;(SUBSTITUTE(SUBSTITUTE(SUBSTITUTE(SUBSTITUTE("type:"&amp;B1890,"%","%25"),"~","%7E"),"*","%2A"),"?","%3F")))=0,"Unknown type",IF(COUNTIFS('Rules'!$G$7:$G$26,"="&amp;(SUBSTITUTE(SUBSTITUTE(SUBSTITUTE(SUBSTITUTE("type:"&amp;B1890,"%","%25"),"~","%7E"),"*","%2A"),"?","%3F")))&gt;1,"Duplicate type",IF(INDEX('Rules'!$F$7:$F$26,MATCH(SUBSTITUTE(SUBSTITUTE(SUBSTITUTE(SUBSTITUTE("type:"&amp;B1890,"%","%25"),"~","%7E"),"*","%2A"),"?","%3F"),'Rules'!$G$7:$G$26,0))&lt;&gt;"",INDEX('Rules'!$F$7:$F$26,MATCH(SUBSTITUTE(SUBSTITUTE(SUBSTITUTE(SUBSTITUTE("type:"&amp;B1890,"%","%25"),"~","%7E"),"*","%2A"),"?","%3F"),'Rules'!$G$7:$G$26,0)),IF(AND(C1890&lt;&gt;"",C1890&lt;&gt;INDEX('Rules'!$B$7:$B$26,MATCH(SUBSTITUTE(SUBSTITUTE(SUBSTITUTE(SUBSTITUTE("type:"&amp;B1890,"%","%25"),"~","%7E"),"*","%2A"),"?","%3F"),'Rules'!$G$7:$G$26,0))),"Unit mismatch",IF(IF(NOT(ISNUMBER(D1890)),TRUE,OR(D1890&lt;0,D1890&gt;999999999,ROUND(D1890,3)&lt;&gt;D1890)),"Invalid current reading",IF(AND(E1890&lt;&gt;"",IF(NOT(ISNUMBER(E1890)),TRUE,OR(E1890&lt;0,E1890&gt;999999999,ROUND(E1890,3)&lt;&gt;E1890))),"Invalid previous reading",IF(IF(NOT(ISNUMBER(F1890)),TRUE,OR(F1890&lt;0,F1890&gt;999999999,ROUND(F1890,3)&lt;&gt;F1890)),"Invalid last service",IF(AND(E1890&lt;&gt;"",D1890&lt;E1890),"Decreased reading",IF(F1890&gt;D1890,"Last service above current","")))))))))))))</x:f>
      </x:c>
      <x:c r="L1890" s="6" t="str">
        <x:f>IF(AND(NOT(COUNTA(A1890:F1890)=0),K1890=""),INDEX('Rules'!$C$7:$C$26,MATCH(SUBSTITUTE(SUBSTITUTE(SUBSTITUTE(SUBSTITUTE("type:"&amp;B1890,"%","%25"),"~","%7E"),"*","%2A"),"?","%3F"),'Rules'!$G$7:$G$26,0)),"")</x:f>
      </x:c>
      <x:c r="M1890" s="6" t="str">
        <x:f>IF(AND(NOT(COUNTA(A1890:F1890)=0),K1890=""),INDEX('Rules'!$D$7:$D$26,MATCH(SUBSTITUTE(SUBSTITUTE(SUBSTITUTE(SUBSTITUTE("type:"&amp;B1890,"%","%25"),"~","%7E"),"*","%2A"),"?","%3F"),'Rules'!$G$7:$G$26,0)),"")</x:f>
      </x:c>
      <x:c r="N1890" s="5" t="str">
        <x:f>IF(COUNTA(A1890:F1890)=0,"",SUBSTITUTE(SUBSTITUTE(SUBSTITUTE(SUBSTITUTE("id:"&amp;A1890,"%","%25"),"~","%7E"),"*","%2A"),"?","%3F"))</x:f>
      </x:c>
    </x:row>
    <x:row r="1891" ht="22" customHeight="1">
      <x:c r="A1891" s="3"/>
      <x:c r="B1891" s="3"/>
      <x:c r="C1891" s="3"/>
      <x:c r="D1891" s="4"/>
      <x:c r="E1891" s="4"/>
      <x:c r="F1891" s="4"/>
      <x:c r="G1891" s="5" t="str">
        <x:f>IF(COUNTA(A1891:F1891)=0,"",IF(K1891&lt;&gt;"","Review",IF(I1891&lt;0,"Overdue",IF(I1891=0,"Due now",IF(I1891&lt;=M1891,"Due soon","Not due")))))</x:f>
      </x:c>
      <x:c r="H1891" s="5" t="str">
        <x:f>IF(OR(COUNTA(A1891:F1891)=0,COUNTIFS('Rules'!$G$7:$G$26,"="&amp;(SUBSTITUTE(SUBSTITUTE(SUBSTITUTE(SUBSTITUTE("type:"&amp;B1891,"%","%25"),"~","%7E"),"*","%2A"),"?","%3F")))&lt;&gt;1),"",IF(OR(INDEX('Rules'!$B$7:$B$26,MATCH(SUBSTITUTE(SUBSTITUTE(SUBSTITUTE(SUBSTITUTE("type:"&amp;B1891,"%","%25"),"~","%7E"),"*","%2A"),"?","%3F"),'Rules'!$G$7:$G$26,0))="hours",INDEX('Rules'!$B$7:$B$26,MATCH(SUBSTITUTE(SUBSTITUTE(SUBSTITUTE(SUBSTITUTE("type:"&amp;B1891,"%","%25"),"~","%7E"),"*","%2A"),"?","%3F"),'Rules'!$G$7:$G$26,0))="km"),INDEX('Rules'!$B$7:$B$26,MATCH(SUBSTITUTE(SUBSTITUTE(SUBSTITUTE(SUBSTITUTE("type:"&amp;B1891,"%","%25"),"~","%7E"),"*","%2A"),"?","%3F"),'Rules'!$G$7:$G$26,0)),""))</x:f>
      </x:c>
      <x:c r="I1891" s="6" t="str">
        <x:f>IF(AND(NOT(COUNTA(A1891:F1891)=0),K1891=""),ROUND(J1891-D1891,3),"")</x:f>
      </x:c>
      <x:c r="J1891" s="6" t="str">
        <x:f>IF(AND(NOT(COUNTA(A1891:F1891)=0),K1891=""),ROUND(F1891+L1891,3),"")</x:f>
      </x:c>
      <x:c r="K1891" s="5" t="str">
        <x:f>IF(COUNTA(A1891:F1891)=0,"",IF(A1891="","Missing equipment ID",IF(COUNTIFS($N$8:$N$2007,"="&amp;N1891)&gt;1,"Duplicate equipment ID",IF(B1891="","Missing type",IF(COUNTIFS('Rules'!$G$7:$G$26,"="&amp;(SUBSTITUTE(SUBSTITUTE(SUBSTITUTE(SUBSTITUTE("type:"&amp;B1891,"%","%25"),"~","%7E"),"*","%2A"),"?","%3F")))=0,"Unknown type",IF(COUNTIFS('Rules'!$G$7:$G$26,"="&amp;(SUBSTITUTE(SUBSTITUTE(SUBSTITUTE(SUBSTITUTE("type:"&amp;B1891,"%","%25"),"~","%7E"),"*","%2A"),"?","%3F")))&gt;1,"Duplicate type",IF(INDEX('Rules'!$F$7:$F$26,MATCH(SUBSTITUTE(SUBSTITUTE(SUBSTITUTE(SUBSTITUTE("type:"&amp;B1891,"%","%25"),"~","%7E"),"*","%2A"),"?","%3F"),'Rules'!$G$7:$G$26,0))&lt;&gt;"",INDEX('Rules'!$F$7:$F$26,MATCH(SUBSTITUTE(SUBSTITUTE(SUBSTITUTE(SUBSTITUTE("type:"&amp;B1891,"%","%25"),"~","%7E"),"*","%2A"),"?","%3F"),'Rules'!$G$7:$G$26,0)),IF(AND(C1891&lt;&gt;"",C1891&lt;&gt;INDEX('Rules'!$B$7:$B$26,MATCH(SUBSTITUTE(SUBSTITUTE(SUBSTITUTE(SUBSTITUTE("type:"&amp;B1891,"%","%25"),"~","%7E"),"*","%2A"),"?","%3F"),'Rules'!$G$7:$G$26,0))),"Unit mismatch",IF(IF(NOT(ISNUMBER(D1891)),TRUE,OR(D1891&lt;0,D1891&gt;999999999,ROUND(D1891,3)&lt;&gt;D1891)),"Invalid current reading",IF(AND(E1891&lt;&gt;"",IF(NOT(ISNUMBER(E1891)),TRUE,OR(E1891&lt;0,E1891&gt;999999999,ROUND(E1891,3)&lt;&gt;E1891))),"Invalid previous reading",IF(IF(NOT(ISNUMBER(F1891)),TRUE,OR(F1891&lt;0,F1891&gt;999999999,ROUND(F1891,3)&lt;&gt;F1891)),"Invalid last service",IF(AND(E1891&lt;&gt;"",D1891&lt;E1891),"Decreased reading",IF(F1891&gt;D1891,"Last service above current","")))))))))))))</x:f>
      </x:c>
      <x:c r="L1891" s="6" t="str">
        <x:f>IF(AND(NOT(COUNTA(A1891:F1891)=0),K1891=""),INDEX('Rules'!$C$7:$C$26,MATCH(SUBSTITUTE(SUBSTITUTE(SUBSTITUTE(SUBSTITUTE("type:"&amp;B1891,"%","%25"),"~","%7E"),"*","%2A"),"?","%3F"),'Rules'!$G$7:$G$26,0)),"")</x:f>
      </x:c>
      <x:c r="M1891" s="6" t="str">
        <x:f>IF(AND(NOT(COUNTA(A1891:F1891)=0),K1891=""),INDEX('Rules'!$D$7:$D$26,MATCH(SUBSTITUTE(SUBSTITUTE(SUBSTITUTE(SUBSTITUTE("type:"&amp;B1891,"%","%25"),"~","%7E"),"*","%2A"),"?","%3F"),'Rules'!$G$7:$G$26,0)),"")</x:f>
      </x:c>
      <x:c r="N1891" s="5" t="str">
        <x:f>IF(COUNTA(A1891:F1891)=0,"",SUBSTITUTE(SUBSTITUTE(SUBSTITUTE(SUBSTITUTE("id:"&amp;A1891,"%","%25"),"~","%7E"),"*","%2A"),"?","%3F"))</x:f>
      </x:c>
    </x:row>
    <x:row r="1892" ht="22" customHeight="1">
      <x:c r="A1892" s="3"/>
      <x:c r="B1892" s="3"/>
      <x:c r="C1892" s="3"/>
      <x:c r="D1892" s="4"/>
      <x:c r="E1892" s="4"/>
      <x:c r="F1892" s="4"/>
      <x:c r="G1892" s="5" t="str">
        <x:f>IF(COUNTA(A1892:F1892)=0,"",IF(K1892&lt;&gt;"","Review",IF(I1892&lt;0,"Overdue",IF(I1892=0,"Due now",IF(I1892&lt;=M1892,"Due soon","Not due")))))</x:f>
      </x:c>
      <x:c r="H1892" s="5" t="str">
        <x:f>IF(OR(COUNTA(A1892:F1892)=0,COUNTIFS('Rules'!$G$7:$G$26,"="&amp;(SUBSTITUTE(SUBSTITUTE(SUBSTITUTE(SUBSTITUTE("type:"&amp;B1892,"%","%25"),"~","%7E"),"*","%2A"),"?","%3F")))&lt;&gt;1),"",IF(OR(INDEX('Rules'!$B$7:$B$26,MATCH(SUBSTITUTE(SUBSTITUTE(SUBSTITUTE(SUBSTITUTE("type:"&amp;B1892,"%","%25"),"~","%7E"),"*","%2A"),"?","%3F"),'Rules'!$G$7:$G$26,0))="hours",INDEX('Rules'!$B$7:$B$26,MATCH(SUBSTITUTE(SUBSTITUTE(SUBSTITUTE(SUBSTITUTE("type:"&amp;B1892,"%","%25"),"~","%7E"),"*","%2A"),"?","%3F"),'Rules'!$G$7:$G$26,0))="km"),INDEX('Rules'!$B$7:$B$26,MATCH(SUBSTITUTE(SUBSTITUTE(SUBSTITUTE(SUBSTITUTE("type:"&amp;B1892,"%","%25"),"~","%7E"),"*","%2A"),"?","%3F"),'Rules'!$G$7:$G$26,0)),""))</x:f>
      </x:c>
      <x:c r="I1892" s="6" t="str">
        <x:f>IF(AND(NOT(COUNTA(A1892:F1892)=0),K1892=""),ROUND(J1892-D1892,3),"")</x:f>
      </x:c>
      <x:c r="J1892" s="6" t="str">
        <x:f>IF(AND(NOT(COUNTA(A1892:F1892)=0),K1892=""),ROUND(F1892+L1892,3),"")</x:f>
      </x:c>
      <x:c r="K1892" s="5" t="str">
        <x:f>IF(COUNTA(A1892:F1892)=0,"",IF(A1892="","Missing equipment ID",IF(COUNTIFS($N$8:$N$2007,"="&amp;N1892)&gt;1,"Duplicate equipment ID",IF(B1892="","Missing type",IF(COUNTIFS('Rules'!$G$7:$G$26,"="&amp;(SUBSTITUTE(SUBSTITUTE(SUBSTITUTE(SUBSTITUTE("type:"&amp;B1892,"%","%25"),"~","%7E"),"*","%2A"),"?","%3F")))=0,"Unknown type",IF(COUNTIFS('Rules'!$G$7:$G$26,"="&amp;(SUBSTITUTE(SUBSTITUTE(SUBSTITUTE(SUBSTITUTE("type:"&amp;B1892,"%","%25"),"~","%7E"),"*","%2A"),"?","%3F")))&gt;1,"Duplicate type",IF(INDEX('Rules'!$F$7:$F$26,MATCH(SUBSTITUTE(SUBSTITUTE(SUBSTITUTE(SUBSTITUTE("type:"&amp;B1892,"%","%25"),"~","%7E"),"*","%2A"),"?","%3F"),'Rules'!$G$7:$G$26,0))&lt;&gt;"",INDEX('Rules'!$F$7:$F$26,MATCH(SUBSTITUTE(SUBSTITUTE(SUBSTITUTE(SUBSTITUTE("type:"&amp;B1892,"%","%25"),"~","%7E"),"*","%2A"),"?","%3F"),'Rules'!$G$7:$G$26,0)),IF(AND(C1892&lt;&gt;"",C1892&lt;&gt;INDEX('Rules'!$B$7:$B$26,MATCH(SUBSTITUTE(SUBSTITUTE(SUBSTITUTE(SUBSTITUTE("type:"&amp;B1892,"%","%25"),"~","%7E"),"*","%2A"),"?","%3F"),'Rules'!$G$7:$G$26,0))),"Unit mismatch",IF(IF(NOT(ISNUMBER(D1892)),TRUE,OR(D1892&lt;0,D1892&gt;999999999,ROUND(D1892,3)&lt;&gt;D1892)),"Invalid current reading",IF(AND(E1892&lt;&gt;"",IF(NOT(ISNUMBER(E1892)),TRUE,OR(E1892&lt;0,E1892&gt;999999999,ROUND(E1892,3)&lt;&gt;E1892))),"Invalid previous reading",IF(IF(NOT(ISNUMBER(F1892)),TRUE,OR(F1892&lt;0,F1892&gt;999999999,ROUND(F1892,3)&lt;&gt;F1892)),"Invalid last service",IF(AND(E1892&lt;&gt;"",D1892&lt;E1892),"Decreased reading",IF(F1892&gt;D1892,"Last service above current","")))))))))))))</x:f>
      </x:c>
      <x:c r="L1892" s="6" t="str">
        <x:f>IF(AND(NOT(COUNTA(A1892:F1892)=0),K1892=""),INDEX('Rules'!$C$7:$C$26,MATCH(SUBSTITUTE(SUBSTITUTE(SUBSTITUTE(SUBSTITUTE("type:"&amp;B1892,"%","%25"),"~","%7E"),"*","%2A"),"?","%3F"),'Rules'!$G$7:$G$26,0)),"")</x:f>
      </x:c>
      <x:c r="M1892" s="6" t="str">
        <x:f>IF(AND(NOT(COUNTA(A1892:F1892)=0),K1892=""),INDEX('Rules'!$D$7:$D$26,MATCH(SUBSTITUTE(SUBSTITUTE(SUBSTITUTE(SUBSTITUTE("type:"&amp;B1892,"%","%25"),"~","%7E"),"*","%2A"),"?","%3F"),'Rules'!$G$7:$G$26,0)),"")</x:f>
      </x:c>
      <x:c r="N1892" s="5" t="str">
        <x:f>IF(COUNTA(A1892:F1892)=0,"",SUBSTITUTE(SUBSTITUTE(SUBSTITUTE(SUBSTITUTE("id:"&amp;A1892,"%","%25"),"~","%7E"),"*","%2A"),"?","%3F"))</x:f>
      </x:c>
    </x:row>
    <x:row r="1893" ht="22" customHeight="1">
      <x:c r="A1893" s="3"/>
      <x:c r="B1893" s="3"/>
      <x:c r="C1893" s="3"/>
      <x:c r="D1893" s="4"/>
      <x:c r="E1893" s="4"/>
      <x:c r="F1893" s="4"/>
      <x:c r="G1893" s="5" t="str">
        <x:f>IF(COUNTA(A1893:F1893)=0,"",IF(K1893&lt;&gt;"","Review",IF(I1893&lt;0,"Overdue",IF(I1893=0,"Due now",IF(I1893&lt;=M1893,"Due soon","Not due")))))</x:f>
      </x:c>
      <x:c r="H1893" s="5" t="str">
        <x:f>IF(OR(COUNTA(A1893:F1893)=0,COUNTIFS('Rules'!$G$7:$G$26,"="&amp;(SUBSTITUTE(SUBSTITUTE(SUBSTITUTE(SUBSTITUTE("type:"&amp;B1893,"%","%25"),"~","%7E"),"*","%2A"),"?","%3F")))&lt;&gt;1),"",IF(OR(INDEX('Rules'!$B$7:$B$26,MATCH(SUBSTITUTE(SUBSTITUTE(SUBSTITUTE(SUBSTITUTE("type:"&amp;B1893,"%","%25"),"~","%7E"),"*","%2A"),"?","%3F"),'Rules'!$G$7:$G$26,0))="hours",INDEX('Rules'!$B$7:$B$26,MATCH(SUBSTITUTE(SUBSTITUTE(SUBSTITUTE(SUBSTITUTE("type:"&amp;B1893,"%","%25"),"~","%7E"),"*","%2A"),"?","%3F"),'Rules'!$G$7:$G$26,0))="km"),INDEX('Rules'!$B$7:$B$26,MATCH(SUBSTITUTE(SUBSTITUTE(SUBSTITUTE(SUBSTITUTE("type:"&amp;B1893,"%","%25"),"~","%7E"),"*","%2A"),"?","%3F"),'Rules'!$G$7:$G$26,0)),""))</x:f>
      </x:c>
      <x:c r="I1893" s="6" t="str">
        <x:f>IF(AND(NOT(COUNTA(A1893:F1893)=0),K1893=""),ROUND(J1893-D1893,3),"")</x:f>
      </x:c>
      <x:c r="J1893" s="6" t="str">
        <x:f>IF(AND(NOT(COUNTA(A1893:F1893)=0),K1893=""),ROUND(F1893+L1893,3),"")</x:f>
      </x:c>
      <x:c r="K1893" s="5" t="str">
        <x:f>IF(COUNTA(A1893:F1893)=0,"",IF(A1893="","Missing equipment ID",IF(COUNTIFS($N$8:$N$2007,"="&amp;N1893)&gt;1,"Duplicate equipment ID",IF(B1893="","Missing type",IF(COUNTIFS('Rules'!$G$7:$G$26,"="&amp;(SUBSTITUTE(SUBSTITUTE(SUBSTITUTE(SUBSTITUTE("type:"&amp;B1893,"%","%25"),"~","%7E"),"*","%2A"),"?","%3F")))=0,"Unknown type",IF(COUNTIFS('Rules'!$G$7:$G$26,"="&amp;(SUBSTITUTE(SUBSTITUTE(SUBSTITUTE(SUBSTITUTE("type:"&amp;B1893,"%","%25"),"~","%7E"),"*","%2A"),"?","%3F")))&gt;1,"Duplicate type",IF(INDEX('Rules'!$F$7:$F$26,MATCH(SUBSTITUTE(SUBSTITUTE(SUBSTITUTE(SUBSTITUTE("type:"&amp;B1893,"%","%25"),"~","%7E"),"*","%2A"),"?","%3F"),'Rules'!$G$7:$G$26,0))&lt;&gt;"",INDEX('Rules'!$F$7:$F$26,MATCH(SUBSTITUTE(SUBSTITUTE(SUBSTITUTE(SUBSTITUTE("type:"&amp;B1893,"%","%25"),"~","%7E"),"*","%2A"),"?","%3F"),'Rules'!$G$7:$G$26,0)),IF(AND(C1893&lt;&gt;"",C1893&lt;&gt;INDEX('Rules'!$B$7:$B$26,MATCH(SUBSTITUTE(SUBSTITUTE(SUBSTITUTE(SUBSTITUTE("type:"&amp;B1893,"%","%25"),"~","%7E"),"*","%2A"),"?","%3F"),'Rules'!$G$7:$G$26,0))),"Unit mismatch",IF(IF(NOT(ISNUMBER(D1893)),TRUE,OR(D1893&lt;0,D1893&gt;999999999,ROUND(D1893,3)&lt;&gt;D1893)),"Invalid current reading",IF(AND(E1893&lt;&gt;"",IF(NOT(ISNUMBER(E1893)),TRUE,OR(E1893&lt;0,E1893&gt;999999999,ROUND(E1893,3)&lt;&gt;E1893))),"Invalid previous reading",IF(IF(NOT(ISNUMBER(F1893)),TRUE,OR(F1893&lt;0,F1893&gt;999999999,ROUND(F1893,3)&lt;&gt;F1893)),"Invalid last service",IF(AND(E1893&lt;&gt;"",D1893&lt;E1893),"Decreased reading",IF(F1893&gt;D1893,"Last service above current","")))))))))))))</x:f>
      </x:c>
      <x:c r="L1893" s="6" t="str">
        <x:f>IF(AND(NOT(COUNTA(A1893:F1893)=0),K1893=""),INDEX('Rules'!$C$7:$C$26,MATCH(SUBSTITUTE(SUBSTITUTE(SUBSTITUTE(SUBSTITUTE("type:"&amp;B1893,"%","%25"),"~","%7E"),"*","%2A"),"?","%3F"),'Rules'!$G$7:$G$26,0)),"")</x:f>
      </x:c>
      <x:c r="M1893" s="6" t="str">
        <x:f>IF(AND(NOT(COUNTA(A1893:F1893)=0),K1893=""),INDEX('Rules'!$D$7:$D$26,MATCH(SUBSTITUTE(SUBSTITUTE(SUBSTITUTE(SUBSTITUTE("type:"&amp;B1893,"%","%25"),"~","%7E"),"*","%2A"),"?","%3F"),'Rules'!$G$7:$G$26,0)),"")</x:f>
      </x:c>
      <x:c r="N1893" s="5" t="str">
        <x:f>IF(COUNTA(A1893:F1893)=0,"",SUBSTITUTE(SUBSTITUTE(SUBSTITUTE(SUBSTITUTE("id:"&amp;A1893,"%","%25"),"~","%7E"),"*","%2A"),"?","%3F"))</x:f>
      </x:c>
    </x:row>
    <x:row r="1894" ht="22" customHeight="1">
      <x:c r="A1894" s="3"/>
      <x:c r="B1894" s="3"/>
      <x:c r="C1894" s="3"/>
      <x:c r="D1894" s="4"/>
      <x:c r="E1894" s="4"/>
      <x:c r="F1894" s="4"/>
      <x:c r="G1894" s="5" t="str">
        <x:f>IF(COUNTA(A1894:F1894)=0,"",IF(K1894&lt;&gt;"","Review",IF(I1894&lt;0,"Overdue",IF(I1894=0,"Due now",IF(I1894&lt;=M1894,"Due soon","Not due")))))</x:f>
      </x:c>
      <x:c r="H1894" s="5" t="str">
        <x:f>IF(OR(COUNTA(A1894:F1894)=0,COUNTIFS('Rules'!$G$7:$G$26,"="&amp;(SUBSTITUTE(SUBSTITUTE(SUBSTITUTE(SUBSTITUTE("type:"&amp;B1894,"%","%25"),"~","%7E"),"*","%2A"),"?","%3F")))&lt;&gt;1),"",IF(OR(INDEX('Rules'!$B$7:$B$26,MATCH(SUBSTITUTE(SUBSTITUTE(SUBSTITUTE(SUBSTITUTE("type:"&amp;B1894,"%","%25"),"~","%7E"),"*","%2A"),"?","%3F"),'Rules'!$G$7:$G$26,0))="hours",INDEX('Rules'!$B$7:$B$26,MATCH(SUBSTITUTE(SUBSTITUTE(SUBSTITUTE(SUBSTITUTE("type:"&amp;B1894,"%","%25"),"~","%7E"),"*","%2A"),"?","%3F"),'Rules'!$G$7:$G$26,0))="km"),INDEX('Rules'!$B$7:$B$26,MATCH(SUBSTITUTE(SUBSTITUTE(SUBSTITUTE(SUBSTITUTE("type:"&amp;B1894,"%","%25"),"~","%7E"),"*","%2A"),"?","%3F"),'Rules'!$G$7:$G$26,0)),""))</x:f>
      </x:c>
      <x:c r="I1894" s="6" t="str">
        <x:f>IF(AND(NOT(COUNTA(A1894:F1894)=0),K1894=""),ROUND(J1894-D1894,3),"")</x:f>
      </x:c>
      <x:c r="J1894" s="6" t="str">
        <x:f>IF(AND(NOT(COUNTA(A1894:F1894)=0),K1894=""),ROUND(F1894+L1894,3),"")</x:f>
      </x:c>
      <x:c r="K1894" s="5" t="str">
        <x:f>IF(COUNTA(A1894:F1894)=0,"",IF(A1894="","Missing equipment ID",IF(COUNTIFS($N$8:$N$2007,"="&amp;N1894)&gt;1,"Duplicate equipment ID",IF(B1894="","Missing type",IF(COUNTIFS('Rules'!$G$7:$G$26,"="&amp;(SUBSTITUTE(SUBSTITUTE(SUBSTITUTE(SUBSTITUTE("type:"&amp;B1894,"%","%25"),"~","%7E"),"*","%2A"),"?","%3F")))=0,"Unknown type",IF(COUNTIFS('Rules'!$G$7:$G$26,"="&amp;(SUBSTITUTE(SUBSTITUTE(SUBSTITUTE(SUBSTITUTE("type:"&amp;B1894,"%","%25"),"~","%7E"),"*","%2A"),"?","%3F")))&gt;1,"Duplicate type",IF(INDEX('Rules'!$F$7:$F$26,MATCH(SUBSTITUTE(SUBSTITUTE(SUBSTITUTE(SUBSTITUTE("type:"&amp;B1894,"%","%25"),"~","%7E"),"*","%2A"),"?","%3F"),'Rules'!$G$7:$G$26,0))&lt;&gt;"",INDEX('Rules'!$F$7:$F$26,MATCH(SUBSTITUTE(SUBSTITUTE(SUBSTITUTE(SUBSTITUTE("type:"&amp;B1894,"%","%25"),"~","%7E"),"*","%2A"),"?","%3F"),'Rules'!$G$7:$G$26,0)),IF(AND(C1894&lt;&gt;"",C1894&lt;&gt;INDEX('Rules'!$B$7:$B$26,MATCH(SUBSTITUTE(SUBSTITUTE(SUBSTITUTE(SUBSTITUTE("type:"&amp;B1894,"%","%25"),"~","%7E"),"*","%2A"),"?","%3F"),'Rules'!$G$7:$G$26,0))),"Unit mismatch",IF(IF(NOT(ISNUMBER(D1894)),TRUE,OR(D1894&lt;0,D1894&gt;999999999,ROUND(D1894,3)&lt;&gt;D1894)),"Invalid current reading",IF(AND(E1894&lt;&gt;"",IF(NOT(ISNUMBER(E1894)),TRUE,OR(E1894&lt;0,E1894&gt;999999999,ROUND(E1894,3)&lt;&gt;E1894))),"Invalid previous reading",IF(IF(NOT(ISNUMBER(F1894)),TRUE,OR(F1894&lt;0,F1894&gt;999999999,ROUND(F1894,3)&lt;&gt;F1894)),"Invalid last service",IF(AND(E1894&lt;&gt;"",D1894&lt;E1894),"Decreased reading",IF(F1894&gt;D1894,"Last service above current","")))))))))))))</x:f>
      </x:c>
      <x:c r="L1894" s="6" t="str">
        <x:f>IF(AND(NOT(COUNTA(A1894:F1894)=0),K1894=""),INDEX('Rules'!$C$7:$C$26,MATCH(SUBSTITUTE(SUBSTITUTE(SUBSTITUTE(SUBSTITUTE("type:"&amp;B1894,"%","%25"),"~","%7E"),"*","%2A"),"?","%3F"),'Rules'!$G$7:$G$26,0)),"")</x:f>
      </x:c>
      <x:c r="M1894" s="6" t="str">
        <x:f>IF(AND(NOT(COUNTA(A1894:F1894)=0),K1894=""),INDEX('Rules'!$D$7:$D$26,MATCH(SUBSTITUTE(SUBSTITUTE(SUBSTITUTE(SUBSTITUTE("type:"&amp;B1894,"%","%25"),"~","%7E"),"*","%2A"),"?","%3F"),'Rules'!$G$7:$G$26,0)),"")</x:f>
      </x:c>
      <x:c r="N1894" s="5" t="str">
        <x:f>IF(COUNTA(A1894:F1894)=0,"",SUBSTITUTE(SUBSTITUTE(SUBSTITUTE(SUBSTITUTE("id:"&amp;A1894,"%","%25"),"~","%7E"),"*","%2A"),"?","%3F"))</x:f>
      </x:c>
    </x:row>
    <x:row r="1895" ht="22" customHeight="1">
      <x:c r="A1895" s="3"/>
      <x:c r="B1895" s="3"/>
      <x:c r="C1895" s="3"/>
      <x:c r="D1895" s="4"/>
      <x:c r="E1895" s="4"/>
      <x:c r="F1895" s="4"/>
      <x:c r="G1895" s="5" t="str">
        <x:f>IF(COUNTA(A1895:F1895)=0,"",IF(K1895&lt;&gt;"","Review",IF(I1895&lt;0,"Overdue",IF(I1895=0,"Due now",IF(I1895&lt;=M1895,"Due soon","Not due")))))</x:f>
      </x:c>
      <x:c r="H1895" s="5" t="str">
        <x:f>IF(OR(COUNTA(A1895:F1895)=0,COUNTIFS('Rules'!$G$7:$G$26,"="&amp;(SUBSTITUTE(SUBSTITUTE(SUBSTITUTE(SUBSTITUTE("type:"&amp;B1895,"%","%25"),"~","%7E"),"*","%2A"),"?","%3F")))&lt;&gt;1),"",IF(OR(INDEX('Rules'!$B$7:$B$26,MATCH(SUBSTITUTE(SUBSTITUTE(SUBSTITUTE(SUBSTITUTE("type:"&amp;B1895,"%","%25"),"~","%7E"),"*","%2A"),"?","%3F"),'Rules'!$G$7:$G$26,0))="hours",INDEX('Rules'!$B$7:$B$26,MATCH(SUBSTITUTE(SUBSTITUTE(SUBSTITUTE(SUBSTITUTE("type:"&amp;B1895,"%","%25"),"~","%7E"),"*","%2A"),"?","%3F"),'Rules'!$G$7:$G$26,0))="km"),INDEX('Rules'!$B$7:$B$26,MATCH(SUBSTITUTE(SUBSTITUTE(SUBSTITUTE(SUBSTITUTE("type:"&amp;B1895,"%","%25"),"~","%7E"),"*","%2A"),"?","%3F"),'Rules'!$G$7:$G$26,0)),""))</x:f>
      </x:c>
      <x:c r="I1895" s="6" t="str">
        <x:f>IF(AND(NOT(COUNTA(A1895:F1895)=0),K1895=""),ROUND(J1895-D1895,3),"")</x:f>
      </x:c>
      <x:c r="J1895" s="6" t="str">
        <x:f>IF(AND(NOT(COUNTA(A1895:F1895)=0),K1895=""),ROUND(F1895+L1895,3),"")</x:f>
      </x:c>
      <x:c r="K1895" s="5" t="str">
        <x:f>IF(COUNTA(A1895:F1895)=0,"",IF(A1895="","Missing equipment ID",IF(COUNTIFS($N$8:$N$2007,"="&amp;N1895)&gt;1,"Duplicate equipment ID",IF(B1895="","Missing type",IF(COUNTIFS('Rules'!$G$7:$G$26,"="&amp;(SUBSTITUTE(SUBSTITUTE(SUBSTITUTE(SUBSTITUTE("type:"&amp;B1895,"%","%25"),"~","%7E"),"*","%2A"),"?","%3F")))=0,"Unknown type",IF(COUNTIFS('Rules'!$G$7:$G$26,"="&amp;(SUBSTITUTE(SUBSTITUTE(SUBSTITUTE(SUBSTITUTE("type:"&amp;B1895,"%","%25"),"~","%7E"),"*","%2A"),"?","%3F")))&gt;1,"Duplicate type",IF(INDEX('Rules'!$F$7:$F$26,MATCH(SUBSTITUTE(SUBSTITUTE(SUBSTITUTE(SUBSTITUTE("type:"&amp;B1895,"%","%25"),"~","%7E"),"*","%2A"),"?","%3F"),'Rules'!$G$7:$G$26,0))&lt;&gt;"",INDEX('Rules'!$F$7:$F$26,MATCH(SUBSTITUTE(SUBSTITUTE(SUBSTITUTE(SUBSTITUTE("type:"&amp;B1895,"%","%25"),"~","%7E"),"*","%2A"),"?","%3F"),'Rules'!$G$7:$G$26,0)),IF(AND(C1895&lt;&gt;"",C1895&lt;&gt;INDEX('Rules'!$B$7:$B$26,MATCH(SUBSTITUTE(SUBSTITUTE(SUBSTITUTE(SUBSTITUTE("type:"&amp;B1895,"%","%25"),"~","%7E"),"*","%2A"),"?","%3F"),'Rules'!$G$7:$G$26,0))),"Unit mismatch",IF(IF(NOT(ISNUMBER(D1895)),TRUE,OR(D1895&lt;0,D1895&gt;999999999,ROUND(D1895,3)&lt;&gt;D1895)),"Invalid current reading",IF(AND(E1895&lt;&gt;"",IF(NOT(ISNUMBER(E1895)),TRUE,OR(E1895&lt;0,E1895&gt;999999999,ROUND(E1895,3)&lt;&gt;E1895))),"Invalid previous reading",IF(IF(NOT(ISNUMBER(F1895)),TRUE,OR(F1895&lt;0,F1895&gt;999999999,ROUND(F1895,3)&lt;&gt;F1895)),"Invalid last service",IF(AND(E1895&lt;&gt;"",D1895&lt;E1895),"Decreased reading",IF(F1895&gt;D1895,"Last service above current","")))))))))))))</x:f>
      </x:c>
      <x:c r="L1895" s="6" t="str">
        <x:f>IF(AND(NOT(COUNTA(A1895:F1895)=0),K1895=""),INDEX('Rules'!$C$7:$C$26,MATCH(SUBSTITUTE(SUBSTITUTE(SUBSTITUTE(SUBSTITUTE("type:"&amp;B1895,"%","%25"),"~","%7E"),"*","%2A"),"?","%3F"),'Rules'!$G$7:$G$26,0)),"")</x:f>
      </x:c>
      <x:c r="M1895" s="6" t="str">
        <x:f>IF(AND(NOT(COUNTA(A1895:F1895)=0),K1895=""),INDEX('Rules'!$D$7:$D$26,MATCH(SUBSTITUTE(SUBSTITUTE(SUBSTITUTE(SUBSTITUTE("type:"&amp;B1895,"%","%25"),"~","%7E"),"*","%2A"),"?","%3F"),'Rules'!$G$7:$G$26,0)),"")</x:f>
      </x:c>
      <x:c r="N1895" s="5" t="str">
        <x:f>IF(COUNTA(A1895:F1895)=0,"",SUBSTITUTE(SUBSTITUTE(SUBSTITUTE(SUBSTITUTE("id:"&amp;A1895,"%","%25"),"~","%7E"),"*","%2A"),"?","%3F"))</x:f>
      </x:c>
    </x:row>
    <x:row r="1896" ht="22" customHeight="1">
      <x:c r="A1896" s="3"/>
      <x:c r="B1896" s="3"/>
      <x:c r="C1896" s="3"/>
      <x:c r="D1896" s="4"/>
      <x:c r="E1896" s="4"/>
      <x:c r="F1896" s="4"/>
      <x:c r="G1896" s="5" t="str">
        <x:f>IF(COUNTA(A1896:F1896)=0,"",IF(K1896&lt;&gt;"","Review",IF(I1896&lt;0,"Overdue",IF(I1896=0,"Due now",IF(I1896&lt;=M1896,"Due soon","Not due")))))</x:f>
      </x:c>
      <x:c r="H1896" s="5" t="str">
        <x:f>IF(OR(COUNTA(A1896:F1896)=0,COUNTIFS('Rules'!$G$7:$G$26,"="&amp;(SUBSTITUTE(SUBSTITUTE(SUBSTITUTE(SUBSTITUTE("type:"&amp;B1896,"%","%25"),"~","%7E"),"*","%2A"),"?","%3F")))&lt;&gt;1),"",IF(OR(INDEX('Rules'!$B$7:$B$26,MATCH(SUBSTITUTE(SUBSTITUTE(SUBSTITUTE(SUBSTITUTE("type:"&amp;B1896,"%","%25"),"~","%7E"),"*","%2A"),"?","%3F"),'Rules'!$G$7:$G$26,0))="hours",INDEX('Rules'!$B$7:$B$26,MATCH(SUBSTITUTE(SUBSTITUTE(SUBSTITUTE(SUBSTITUTE("type:"&amp;B1896,"%","%25"),"~","%7E"),"*","%2A"),"?","%3F"),'Rules'!$G$7:$G$26,0))="km"),INDEX('Rules'!$B$7:$B$26,MATCH(SUBSTITUTE(SUBSTITUTE(SUBSTITUTE(SUBSTITUTE("type:"&amp;B1896,"%","%25"),"~","%7E"),"*","%2A"),"?","%3F"),'Rules'!$G$7:$G$26,0)),""))</x:f>
      </x:c>
      <x:c r="I1896" s="6" t="str">
        <x:f>IF(AND(NOT(COUNTA(A1896:F1896)=0),K1896=""),ROUND(J1896-D1896,3),"")</x:f>
      </x:c>
      <x:c r="J1896" s="6" t="str">
        <x:f>IF(AND(NOT(COUNTA(A1896:F1896)=0),K1896=""),ROUND(F1896+L1896,3),"")</x:f>
      </x:c>
      <x:c r="K1896" s="5" t="str">
        <x:f>IF(COUNTA(A1896:F1896)=0,"",IF(A1896="","Missing equipment ID",IF(COUNTIFS($N$8:$N$2007,"="&amp;N1896)&gt;1,"Duplicate equipment ID",IF(B1896="","Missing type",IF(COUNTIFS('Rules'!$G$7:$G$26,"="&amp;(SUBSTITUTE(SUBSTITUTE(SUBSTITUTE(SUBSTITUTE("type:"&amp;B1896,"%","%25"),"~","%7E"),"*","%2A"),"?","%3F")))=0,"Unknown type",IF(COUNTIFS('Rules'!$G$7:$G$26,"="&amp;(SUBSTITUTE(SUBSTITUTE(SUBSTITUTE(SUBSTITUTE("type:"&amp;B1896,"%","%25"),"~","%7E"),"*","%2A"),"?","%3F")))&gt;1,"Duplicate type",IF(INDEX('Rules'!$F$7:$F$26,MATCH(SUBSTITUTE(SUBSTITUTE(SUBSTITUTE(SUBSTITUTE("type:"&amp;B1896,"%","%25"),"~","%7E"),"*","%2A"),"?","%3F"),'Rules'!$G$7:$G$26,0))&lt;&gt;"",INDEX('Rules'!$F$7:$F$26,MATCH(SUBSTITUTE(SUBSTITUTE(SUBSTITUTE(SUBSTITUTE("type:"&amp;B1896,"%","%25"),"~","%7E"),"*","%2A"),"?","%3F"),'Rules'!$G$7:$G$26,0)),IF(AND(C1896&lt;&gt;"",C1896&lt;&gt;INDEX('Rules'!$B$7:$B$26,MATCH(SUBSTITUTE(SUBSTITUTE(SUBSTITUTE(SUBSTITUTE("type:"&amp;B1896,"%","%25"),"~","%7E"),"*","%2A"),"?","%3F"),'Rules'!$G$7:$G$26,0))),"Unit mismatch",IF(IF(NOT(ISNUMBER(D1896)),TRUE,OR(D1896&lt;0,D1896&gt;999999999,ROUND(D1896,3)&lt;&gt;D1896)),"Invalid current reading",IF(AND(E1896&lt;&gt;"",IF(NOT(ISNUMBER(E1896)),TRUE,OR(E1896&lt;0,E1896&gt;999999999,ROUND(E1896,3)&lt;&gt;E1896))),"Invalid previous reading",IF(IF(NOT(ISNUMBER(F1896)),TRUE,OR(F1896&lt;0,F1896&gt;999999999,ROUND(F1896,3)&lt;&gt;F1896)),"Invalid last service",IF(AND(E1896&lt;&gt;"",D1896&lt;E1896),"Decreased reading",IF(F1896&gt;D1896,"Last service above current","")))))))))))))</x:f>
      </x:c>
      <x:c r="L1896" s="6" t="str">
        <x:f>IF(AND(NOT(COUNTA(A1896:F1896)=0),K1896=""),INDEX('Rules'!$C$7:$C$26,MATCH(SUBSTITUTE(SUBSTITUTE(SUBSTITUTE(SUBSTITUTE("type:"&amp;B1896,"%","%25"),"~","%7E"),"*","%2A"),"?","%3F"),'Rules'!$G$7:$G$26,0)),"")</x:f>
      </x:c>
      <x:c r="M1896" s="6" t="str">
        <x:f>IF(AND(NOT(COUNTA(A1896:F1896)=0),K1896=""),INDEX('Rules'!$D$7:$D$26,MATCH(SUBSTITUTE(SUBSTITUTE(SUBSTITUTE(SUBSTITUTE("type:"&amp;B1896,"%","%25"),"~","%7E"),"*","%2A"),"?","%3F"),'Rules'!$G$7:$G$26,0)),"")</x:f>
      </x:c>
      <x:c r="N1896" s="5" t="str">
        <x:f>IF(COUNTA(A1896:F1896)=0,"",SUBSTITUTE(SUBSTITUTE(SUBSTITUTE(SUBSTITUTE("id:"&amp;A1896,"%","%25"),"~","%7E"),"*","%2A"),"?","%3F"))</x:f>
      </x:c>
    </x:row>
    <x:row r="1897" ht="22" customHeight="1">
      <x:c r="A1897" s="3"/>
      <x:c r="B1897" s="3"/>
      <x:c r="C1897" s="3"/>
      <x:c r="D1897" s="4"/>
      <x:c r="E1897" s="4"/>
      <x:c r="F1897" s="4"/>
      <x:c r="G1897" s="5" t="str">
        <x:f>IF(COUNTA(A1897:F1897)=0,"",IF(K1897&lt;&gt;"","Review",IF(I1897&lt;0,"Overdue",IF(I1897=0,"Due now",IF(I1897&lt;=M1897,"Due soon","Not due")))))</x:f>
      </x:c>
      <x:c r="H1897" s="5" t="str">
        <x:f>IF(OR(COUNTA(A1897:F1897)=0,COUNTIFS('Rules'!$G$7:$G$26,"="&amp;(SUBSTITUTE(SUBSTITUTE(SUBSTITUTE(SUBSTITUTE("type:"&amp;B1897,"%","%25"),"~","%7E"),"*","%2A"),"?","%3F")))&lt;&gt;1),"",IF(OR(INDEX('Rules'!$B$7:$B$26,MATCH(SUBSTITUTE(SUBSTITUTE(SUBSTITUTE(SUBSTITUTE("type:"&amp;B1897,"%","%25"),"~","%7E"),"*","%2A"),"?","%3F"),'Rules'!$G$7:$G$26,0))="hours",INDEX('Rules'!$B$7:$B$26,MATCH(SUBSTITUTE(SUBSTITUTE(SUBSTITUTE(SUBSTITUTE("type:"&amp;B1897,"%","%25"),"~","%7E"),"*","%2A"),"?","%3F"),'Rules'!$G$7:$G$26,0))="km"),INDEX('Rules'!$B$7:$B$26,MATCH(SUBSTITUTE(SUBSTITUTE(SUBSTITUTE(SUBSTITUTE("type:"&amp;B1897,"%","%25"),"~","%7E"),"*","%2A"),"?","%3F"),'Rules'!$G$7:$G$26,0)),""))</x:f>
      </x:c>
      <x:c r="I1897" s="6" t="str">
        <x:f>IF(AND(NOT(COUNTA(A1897:F1897)=0),K1897=""),ROUND(J1897-D1897,3),"")</x:f>
      </x:c>
      <x:c r="J1897" s="6" t="str">
        <x:f>IF(AND(NOT(COUNTA(A1897:F1897)=0),K1897=""),ROUND(F1897+L1897,3),"")</x:f>
      </x:c>
      <x:c r="K1897" s="5" t="str">
        <x:f>IF(COUNTA(A1897:F1897)=0,"",IF(A1897="","Missing equipment ID",IF(COUNTIFS($N$8:$N$2007,"="&amp;N1897)&gt;1,"Duplicate equipment ID",IF(B1897="","Missing type",IF(COUNTIFS('Rules'!$G$7:$G$26,"="&amp;(SUBSTITUTE(SUBSTITUTE(SUBSTITUTE(SUBSTITUTE("type:"&amp;B1897,"%","%25"),"~","%7E"),"*","%2A"),"?","%3F")))=0,"Unknown type",IF(COUNTIFS('Rules'!$G$7:$G$26,"="&amp;(SUBSTITUTE(SUBSTITUTE(SUBSTITUTE(SUBSTITUTE("type:"&amp;B1897,"%","%25"),"~","%7E"),"*","%2A"),"?","%3F")))&gt;1,"Duplicate type",IF(INDEX('Rules'!$F$7:$F$26,MATCH(SUBSTITUTE(SUBSTITUTE(SUBSTITUTE(SUBSTITUTE("type:"&amp;B1897,"%","%25"),"~","%7E"),"*","%2A"),"?","%3F"),'Rules'!$G$7:$G$26,0))&lt;&gt;"",INDEX('Rules'!$F$7:$F$26,MATCH(SUBSTITUTE(SUBSTITUTE(SUBSTITUTE(SUBSTITUTE("type:"&amp;B1897,"%","%25"),"~","%7E"),"*","%2A"),"?","%3F"),'Rules'!$G$7:$G$26,0)),IF(AND(C1897&lt;&gt;"",C1897&lt;&gt;INDEX('Rules'!$B$7:$B$26,MATCH(SUBSTITUTE(SUBSTITUTE(SUBSTITUTE(SUBSTITUTE("type:"&amp;B1897,"%","%25"),"~","%7E"),"*","%2A"),"?","%3F"),'Rules'!$G$7:$G$26,0))),"Unit mismatch",IF(IF(NOT(ISNUMBER(D1897)),TRUE,OR(D1897&lt;0,D1897&gt;999999999,ROUND(D1897,3)&lt;&gt;D1897)),"Invalid current reading",IF(AND(E1897&lt;&gt;"",IF(NOT(ISNUMBER(E1897)),TRUE,OR(E1897&lt;0,E1897&gt;999999999,ROUND(E1897,3)&lt;&gt;E1897))),"Invalid previous reading",IF(IF(NOT(ISNUMBER(F1897)),TRUE,OR(F1897&lt;0,F1897&gt;999999999,ROUND(F1897,3)&lt;&gt;F1897)),"Invalid last service",IF(AND(E1897&lt;&gt;"",D1897&lt;E1897),"Decreased reading",IF(F1897&gt;D1897,"Last service above current","")))))))))))))</x:f>
      </x:c>
      <x:c r="L1897" s="6" t="str">
        <x:f>IF(AND(NOT(COUNTA(A1897:F1897)=0),K1897=""),INDEX('Rules'!$C$7:$C$26,MATCH(SUBSTITUTE(SUBSTITUTE(SUBSTITUTE(SUBSTITUTE("type:"&amp;B1897,"%","%25"),"~","%7E"),"*","%2A"),"?","%3F"),'Rules'!$G$7:$G$26,0)),"")</x:f>
      </x:c>
      <x:c r="M1897" s="6" t="str">
        <x:f>IF(AND(NOT(COUNTA(A1897:F1897)=0),K1897=""),INDEX('Rules'!$D$7:$D$26,MATCH(SUBSTITUTE(SUBSTITUTE(SUBSTITUTE(SUBSTITUTE("type:"&amp;B1897,"%","%25"),"~","%7E"),"*","%2A"),"?","%3F"),'Rules'!$G$7:$G$26,0)),"")</x:f>
      </x:c>
      <x:c r="N1897" s="5" t="str">
        <x:f>IF(COUNTA(A1897:F1897)=0,"",SUBSTITUTE(SUBSTITUTE(SUBSTITUTE(SUBSTITUTE("id:"&amp;A1897,"%","%25"),"~","%7E"),"*","%2A"),"?","%3F"))</x:f>
      </x:c>
    </x:row>
    <x:row r="1898" ht="22" customHeight="1">
      <x:c r="A1898" s="3"/>
      <x:c r="B1898" s="3"/>
      <x:c r="C1898" s="3"/>
      <x:c r="D1898" s="4"/>
      <x:c r="E1898" s="4"/>
      <x:c r="F1898" s="4"/>
      <x:c r="G1898" s="5" t="str">
        <x:f>IF(COUNTA(A1898:F1898)=0,"",IF(K1898&lt;&gt;"","Review",IF(I1898&lt;0,"Overdue",IF(I1898=0,"Due now",IF(I1898&lt;=M1898,"Due soon","Not due")))))</x:f>
      </x:c>
      <x:c r="H1898" s="5" t="str">
        <x:f>IF(OR(COUNTA(A1898:F1898)=0,COUNTIFS('Rules'!$G$7:$G$26,"="&amp;(SUBSTITUTE(SUBSTITUTE(SUBSTITUTE(SUBSTITUTE("type:"&amp;B1898,"%","%25"),"~","%7E"),"*","%2A"),"?","%3F")))&lt;&gt;1),"",IF(OR(INDEX('Rules'!$B$7:$B$26,MATCH(SUBSTITUTE(SUBSTITUTE(SUBSTITUTE(SUBSTITUTE("type:"&amp;B1898,"%","%25"),"~","%7E"),"*","%2A"),"?","%3F"),'Rules'!$G$7:$G$26,0))="hours",INDEX('Rules'!$B$7:$B$26,MATCH(SUBSTITUTE(SUBSTITUTE(SUBSTITUTE(SUBSTITUTE("type:"&amp;B1898,"%","%25"),"~","%7E"),"*","%2A"),"?","%3F"),'Rules'!$G$7:$G$26,0))="km"),INDEX('Rules'!$B$7:$B$26,MATCH(SUBSTITUTE(SUBSTITUTE(SUBSTITUTE(SUBSTITUTE("type:"&amp;B1898,"%","%25"),"~","%7E"),"*","%2A"),"?","%3F"),'Rules'!$G$7:$G$26,0)),""))</x:f>
      </x:c>
      <x:c r="I1898" s="6" t="str">
        <x:f>IF(AND(NOT(COUNTA(A1898:F1898)=0),K1898=""),ROUND(J1898-D1898,3),"")</x:f>
      </x:c>
      <x:c r="J1898" s="6" t="str">
        <x:f>IF(AND(NOT(COUNTA(A1898:F1898)=0),K1898=""),ROUND(F1898+L1898,3),"")</x:f>
      </x:c>
      <x:c r="K1898" s="5" t="str">
        <x:f>IF(COUNTA(A1898:F1898)=0,"",IF(A1898="","Missing equipment ID",IF(COUNTIFS($N$8:$N$2007,"="&amp;N1898)&gt;1,"Duplicate equipment ID",IF(B1898="","Missing type",IF(COUNTIFS('Rules'!$G$7:$G$26,"="&amp;(SUBSTITUTE(SUBSTITUTE(SUBSTITUTE(SUBSTITUTE("type:"&amp;B1898,"%","%25"),"~","%7E"),"*","%2A"),"?","%3F")))=0,"Unknown type",IF(COUNTIFS('Rules'!$G$7:$G$26,"="&amp;(SUBSTITUTE(SUBSTITUTE(SUBSTITUTE(SUBSTITUTE("type:"&amp;B1898,"%","%25"),"~","%7E"),"*","%2A"),"?","%3F")))&gt;1,"Duplicate type",IF(INDEX('Rules'!$F$7:$F$26,MATCH(SUBSTITUTE(SUBSTITUTE(SUBSTITUTE(SUBSTITUTE("type:"&amp;B1898,"%","%25"),"~","%7E"),"*","%2A"),"?","%3F"),'Rules'!$G$7:$G$26,0))&lt;&gt;"",INDEX('Rules'!$F$7:$F$26,MATCH(SUBSTITUTE(SUBSTITUTE(SUBSTITUTE(SUBSTITUTE("type:"&amp;B1898,"%","%25"),"~","%7E"),"*","%2A"),"?","%3F"),'Rules'!$G$7:$G$26,0)),IF(AND(C1898&lt;&gt;"",C1898&lt;&gt;INDEX('Rules'!$B$7:$B$26,MATCH(SUBSTITUTE(SUBSTITUTE(SUBSTITUTE(SUBSTITUTE("type:"&amp;B1898,"%","%25"),"~","%7E"),"*","%2A"),"?","%3F"),'Rules'!$G$7:$G$26,0))),"Unit mismatch",IF(IF(NOT(ISNUMBER(D1898)),TRUE,OR(D1898&lt;0,D1898&gt;999999999,ROUND(D1898,3)&lt;&gt;D1898)),"Invalid current reading",IF(AND(E1898&lt;&gt;"",IF(NOT(ISNUMBER(E1898)),TRUE,OR(E1898&lt;0,E1898&gt;999999999,ROUND(E1898,3)&lt;&gt;E1898))),"Invalid previous reading",IF(IF(NOT(ISNUMBER(F1898)),TRUE,OR(F1898&lt;0,F1898&gt;999999999,ROUND(F1898,3)&lt;&gt;F1898)),"Invalid last service",IF(AND(E1898&lt;&gt;"",D1898&lt;E1898),"Decreased reading",IF(F1898&gt;D1898,"Last service above current","")))))))))))))</x:f>
      </x:c>
      <x:c r="L1898" s="6" t="str">
        <x:f>IF(AND(NOT(COUNTA(A1898:F1898)=0),K1898=""),INDEX('Rules'!$C$7:$C$26,MATCH(SUBSTITUTE(SUBSTITUTE(SUBSTITUTE(SUBSTITUTE("type:"&amp;B1898,"%","%25"),"~","%7E"),"*","%2A"),"?","%3F"),'Rules'!$G$7:$G$26,0)),"")</x:f>
      </x:c>
      <x:c r="M1898" s="6" t="str">
        <x:f>IF(AND(NOT(COUNTA(A1898:F1898)=0),K1898=""),INDEX('Rules'!$D$7:$D$26,MATCH(SUBSTITUTE(SUBSTITUTE(SUBSTITUTE(SUBSTITUTE("type:"&amp;B1898,"%","%25"),"~","%7E"),"*","%2A"),"?","%3F"),'Rules'!$G$7:$G$26,0)),"")</x:f>
      </x:c>
      <x:c r="N1898" s="5" t="str">
        <x:f>IF(COUNTA(A1898:F1898)=0,"",SUBSTITUTE(SUBSTITUTE(SUBSTITUTE(SUBSTITUTE("id:"&amp;A1898,"%","%25"),"~","%7E"),"*","%2A"),"?","%3F"))</x:f>
      </x:c>
    </x:row>
    <x:row r="1899" ht="22" customHeight="1">
      <x:c r="A1899" s="3"/>
      <x:c r="B1899" s="3"/>
      <x:c r="C1899" s="3"/>
      <x:c r="D1899" s="4"/>
      <x:c r="E1899" s="4"/>
      <x:c r="F1899" s="4"/>
      <x:c r="G1899" s="5" t="str">
        <x:f>IF(COUNTA(A1899:F1899)=0,"",IF(K1899&lt;&gt;"","Review",IF(I1899&lt;0,"Overdue",IF(I1899=0,"Due now",IF(I1899&lt;=M1899,"Due soon","Not due")))))</x:f>
      </x:c>
      <x:c r="H1899" s="5" t="str">
        <x:f>IF(OR(COUNTA(A1899:F1899)=0,COUNTIFS('Rules'!$G$7:$G$26,"="&amp;(SUBSTITUTE(SUBSTITUTE(SUBSTITUTE(SUBSTITUTE("type:"&amp;B1899,"%","%25"),"~","%7E"),"*","%2A"),"?","%3F")))&lt;&gt;1),"",IF(OR(INDEX('Rules'!$B$7:$B$26,MATCH(SUBSTITUTE(SUBSTITUTE(SUBSTITUTE(SUBSTITUTE("type:"&amp;B1899,"%","%25"),"~","%7E"),"*","%2A"),"?","%3F"),'Rules'!$G$7:$G$26,0))="hours",INDEX('Rules'!$B$7:$B$26,MATCH(SUBSTITUTE(SUBSTITUTE(SUBSTITUTE(SUBSTITUTE("type:"&amp;B1899,"%","%25"),"~","%7E"),"*","%2A"),"?","%3F"),'Rules'!$G$7:$G$26,0))="km"),INDEX('Rules'!$B$7:$B$26,MATCH(SUBSTITUTE(SUBSTITUTE(SUBSTITUTE(SUBSTITUTE("type:"&amp;B1899,"%","%25"),"~","%7E"),"*","%2A"),"?","%3F"),'Rules'!$G$7:$G$26,0)),""))</x:f>
      </x:c>
      <x:c r="I1899" s="6" t="str">
        <x:f>IF(AND(NOT(COUNTA(A1899:F1899)=0),K1899=""),ROUND(J1899-D1899,3),"")</x:f>
      </x:c>
      <x:c r="J1899" s="6" t="str">
        <x:f>IF(AND(NOT(COUNTA(A1899:F1899)=0),K1899=""),ROUND(F1899+L1899,3),"")</x:f>
      </x:c>
      <x:c r="K1899" s="5" t="str">
        <x:f>IF(COUNTA(A1899:F1899)=0,"",IF(A1899="","Missing equipment ID",IF(COUNTIFS($N$8:$N$2007,"="&amp;N1899)&gt;1,"Duplicate equipment ID",IF(B1899="","Missing type",IF(COUNTIFS('Rules'!$G$7:$G$26,"="&amp;(SUBSTITUTE(SUBSTITUTE(SUBSTITUTE(SUBSTITUTE("type:"&amp;B1899,"%","%25"),"~","%7E"),"*","%2A"),"?","%3F")))=0,"Unknown type",IF(COUNTIFS('Rules'!$G$7:$G$26,"="&amp;(SUBSTITUTE(SUBSTITUTE(SUBSTITUTE(SUBSTITUTE("type:"&amp;B1899,"%","%25"),"~","%7E"),"*","%2A"),"?","%3F")))&gt;1,"Duplicate type",IF(INDEX('Rules'!$F$7:$F$26,MATCH(SUBSTITUTE(SUBSTITUTE(SUBSTITUTE(SUBSTITUTE("type:"&amp;B1899,"%","%25"),"~","%7E"),"*","%2A"),"?","%3F"),'Rules'!$G$7:$G$26,0))&lt;&gt;"",INDEX('Rules'!$F$7:$F$26,MATCH(SUBSTITUTE(SUBSTITUTE(SUBSTITUTE(SUBSTITUTE("type:"&amp;B1899,"%","%25"),"~","%7E"),"*","%2A"),"?","%3F"),'Rules'!$G$7:$G$26,0)),IF(AND(C1899&lt;&gt;"",C1899&lt;&gt;INDEX('Rules'!$B$7:$B$26,MATCH(SUBSTITUTE(SUBSTITUTE(SUBSTITUTE(SUBSTITUTE("type:"&amp;B1899,"%","%25"),"~","%7E"),"*","%2A"),"?","%3F"),'Rules'!$G$7:$G$26,0))),"Unit mismatch",IF(IF(NOT(ISNUMBER(D1899)),TRUE,OR(D1899&lt;0,D1899&gt;999999999,ROUND(D1899,3)&lt;&gt;D1899)),"Invalid current reading",IF(AND(E1899&lt;&gt;"",IF(NOT(ISNUMBER(E1899)),TRUE,OR(E1899&lt;0,E1899&gt;999999999,ROUND(E1899,3)&lt;&gt;E1899))),"Invalid previous reading",IF(IF(NOT(ISNUMBER(F1899)),TRUE,OR(F1899&lt;0,F1899&gt;999999999,ROUND(F1899,3)&lt;&gt;F1899)),"Invalid last service",IF(AND(E1899&lt;&gt;"",D1899&lt;E1899),"Decreased reading",IF(F1899&gt;D1899,"Last service above current","")))))))))))))</x:f>
      </x:c>
      <x:c r="L1899" s="6" t="str">
        <x:f>IF(AND(NOT(COUNTA(A1899:F1899)=0),K1899=""),INDEX('Rules'!$C$7:$C$26,MATCH(SUBSTITUTE(SUBSTITUTE(SUBSTITUTE(SUBSTITUTE("type:"&amp;B1899,"%","%25"),"~","%7E"),"*","%2A"),"?","%3F"),'Rules'!$G$7:$G$26,0)),"")</x:f>
      </x:c>
      <x:c r="M1899" s="6" t="str">
        <x:f>IF(AND(NOT(COUNTA(A1899:F1899)=0),K1899=""),INDEX('Rules'!$D$7:$D$26,MATCH(SUBSTITUTE(SUBSTITUTE(SUBSTITUTE(SUBSTITUTE("type:"&amp;B1899,"%","%25"),"~","%7E"),"*","%2A"),"?","%3F"),'Rules'!$G$7:$G$26,0)),"")</x:f>
      </x:c>
      <x:c r="N1899" s="5" t="str">
        <x:f>IF(COUNTA(A1899:F1899)=0,"",SUBSTITUTE(SUBSTITUTE(SUBSTITUTE(SUBSTITUTE("id:"&amp;A1899,"%","%25"),"~","%7E"),"*","%2A"),"?","%3F"))</x:f>
      </x:c>
    </x:row>
    <x:row r="1900" ht="22" customHeight="1">
      <x:c r="A1900" s="3"/>
      <x:c r="B1900" s="3"/>
      <x:c r="C1900" s="3"/>
      <x:c r="D1900" s="4"/>
      <x:c r="E1900" s="4"/>
      <x:c r="F1900" s="4"/>
      <x:c r="G1900" s="5" t="str">
        <x:f>IF(COUNTA(A1900:F1900)=0,"",IF(K1900&lt;&gt;"","Review",IF(I1900&lt;0,"Overdue",IF(I1900=0,"Due now",IF(I1900&lt;=M1900,"Due soon","Not due")))))</x:f>
      </x:c>
      <x:c r="H1900" s="5" t="str">
        <x:f>IF(OR(COUNTA(A1900:F1900)=0,COUNTIFS('Rules'!$G$7:$G$26,"="&amp;(SUBSTITUTE(SUBSTITUTE(SUBSTITUTE(SUBSTITUTE("type:"&amp;B1900,"%","%25"),"~","%7E"),"*","%2A"),"?","%3F")))&lt;&gt;1),"",IF(OR(INDEX('Rules'!$B$7:$B$26,MATCH(SUBSTITUTE(SUBSTITUTE(SUBSTITUTE(SUBSTITUTE("type:"&amp;B1900,"%","%25"),"~","%7E"),"*","%2A"),"?","%3F"),'Rules'!$G$7:$G$26,0))="hours",INDEX('Rules'!$B$7:$B$26,MATCH(SUBSTITUTE(SUBSTITUTE(SUBSTITUTE(SUBSTITUTE("type:"&amp;B1900,"%","%25"),"~","%7E"),"*","%2A"),"?","%3F"),'Rules'!$G$7:$G$26,0))="km"),INDEX('Rules'!$B$7:$B$26,MATCH(SUBSTITUTE(SUBSTITUTE(SUBSTITUTE(SUBSTITUTE("type:"&amp;B1900,"%","%25"),"~","%7E"),"*","%2A"),"?","%3F"),'Rules'!$G$7:$G$26,0)),""))</x:f>
      </x:c>
      <x:c r="I1900" s="6" t="str">
        <x:f>IF(AND(NOT(COUNTA(A1900:F1900)=0),K1900=""),ROUND(J1900-D1900,3),"")</x:f>
      </x:c>
      <x:c r="J1900" s="6" t="str">
        <x:f>IF(AND(NOT(COUNTA(A1900:F1900)=0),K1900=""),ROUND(F1900+L1900,3),"")</x:f>
      </x:c>
      <x:c r="K1900" s="5" t="str">
        <x:f>IF(COUNTA(A1900:F1900)=0,"",IF(A1900="","Missing equipment ID",IF(COUNTIFS($N$8:$N$2007,"="&amp;N1900)&gt;1,"Duplicate equipment ID",IF(B1900="","Missing type",IF(COUNTIFS('Rules'!$G$7:$G$26,"="&amp;(SUBSTITUTE(SUBSTITUTE(SUBSTITUTE(SUBSTITUTE("type:"&amp;B1900,"%","%25"),"~","%7E"),"*","%2A"),"?","%3F")))=0,"Unknown type",IF(COUNTIFS('Rules'!$G$7:$G$26,"="&amp;(SUBSTITUTE(SUBSTITUTE(SUBSTITUTE(SUBSTITUTE("type:"&amp;B1900,"%","%25"),"~","%7E"),"*","%2A"),"?","%3F")))&gt;1,"Duplicate type",IF(INDEX('Rules'!$F$7:$F$26,MATCH(SUBSTITUTE(SUBSTITUTE(SUBSTITUTE(SUBSTITUTE("type:"&amp;B1900,"%","%25"),"~","%7E"),"*","%2A"),"?","%3F"),'Rules'!$G$7:$G$26,0))&lt;&gt;"",INDEX('Rules'!$F$7:$F$26,MATCH(SUBSTITUTE(SUBSTITUTE(SUBSTITUTE(SUBSTITUTE("type:"&amp;B1900,"%","%25"),"~","%7E"),"*","%2A"),"?","%3F"),'Rules'!$G$7:$G$26,0)),IF(AND(C1900&lt;&gt;"",C1900&lt;&gt;INDEX('Rules'!$B$7:$B$26,MATCH(SUBSTITUTE(SUBSTITUTE(SUBSTITUTE(SUBSTITUTE("type:"&amp;B1900,"%","%25"),"~","%7E"),"*","%2A"),"?","%3F"),'Rules'!$G$7:$G$26,0))),"Unit mismatch",IF(IF(NOT(ISNUMBER(D1900)),TRUE,OR(D1900&lt;0,D1900&gt;999999999,ROUND(D1900,3)&lt;&gt;D1900)),"Invalid current reading",IF(AND(E1900&lt;&gt;"",IF(NOT(ISNUMBER(E1900)),TRUE,OR(E1900&lt;0,E1900&gt;999999999,ROUND(E1900,3)&lt;&gt;E1900))),"Invalid previous reading",IF(IF(NOT(ISNUMBER(F1900)),TRUE,OR(F1900&lt;0,F1900&gt;999999999,ROUND(F1900,3)&lt;&gt;F1900)),"Invalid last service",IF(AND(E1900&lt;&gt;"",D1900&lt;E1900),"Decreased reading",IF(F1900&gt;D1900,"Last service above current","")))))))))))))</x:f>
      </x:c>
      <x:c r="L1900" s="6" t="str">
        <x:f>IF(AND(NOT(COUNTA(A1900:F1900)=0),K1900=""),INDEX('Rules'!$C$7:$C$26,MATCH(SUBSTITUTE(SUBSTITUTE(SUBSTITUTE(SUBSTITUTE("type:"&amp;B1900,"%","%25"),"~","%7E"),"*","%2A"),"?","%3F"),'Rules'!$G$7:$G$26,0)),"")</x:f>
      </x:c>
      <x:c r="M1900" s="6" t="str">
        <x:f>IF(AND(NOT(COUNTA(A1900:F1900)=0),K1900=""),INDEX('Rules'!$D$7:$D$26,MATCH(SUBSTITUTE(SUBSTITUTE(SUBSTITUTE(SUBSTITUTE("type:"&amp;B1900,"%","%25"),"~","%7E"),"*","%2A"),"?","%3F"),'Rules'!$G$7:$G$26,0)),"")</x:f>
      </x:c>
      <x:c r="N1900" s="5" t="str">
        <x:f>IF(COUNTA(A1900:F1900)=0,"",SUBSTITUTE(SUBSTITUTE(SUBSTITUTE(SUBSTITUTE("id:"&amp;A1900,"%","%25"),"~","%7E"),"*","%2A"),"?","%3F"))</x:f>
      </x:c>
    </x:row>
    <x:row r="1901" ht="22" customHeight="1">
      <x:c r="A1901" s="3"/>
      <x:c r="B1901" s="3"/>
      <x:c r="C1901" s="3"/>
      <x:c r="D1901" s="4"/>
      <x:c r="E1901" s="4"/>
      <x:c r="F1901" s="4"/>
      <x:c r="G1901" s="5" t="str">
        <x:f>IF(COUNTA(A1901:F1901)=0,"",IF(K1901&lt;&gt;"","Review",IF(I1901&lt;0,"Overdue",IF(I1901=0,"Due now",IF(I1901&lt;=M1901,"Due soon","Not due")))))</x:f>
      </x:c>
      <x:c r="H1901" s="5" t="str">
        <x:f>IF(OR(COUNTA(A1901:F1901)=0,COUNTIFS('Rules'!$G$7:$G$26,"="&amp;(SUBSTITUTE(SUBSTITUTE(SUBSTITUTE(SUBSTITUTE("type:"&amp;B1901,"%","%25"),"~","%7E"),"*","%2A"),"?","%3F")))&lt;&gt;1),"",IF(OR(INDEX('Rules'!$B$7:$B$26,MATCH(SUBSTITUTE(SUBSTITUTE(SUBSTITUTE(SUBSTITUTE("type:"&amp;B1901,"%","%25"),"~","%7E"),"*","%2A"),"?","%3F"),'Rules'!$G$7:$G$26,0))="hours",INDEX('Rules'!$B$7:$B$26,MATCH(SUBSTITUTE(SUBSTITUTE(SUBSTITUTE(SUBSTITUTE("type:"&amp;B1901,"%","%25"),"~","%7E"),"*","%2A"),"?","%3F"),'Rules'!$G$7:$G$26,0))="km"),INDEX('Rules'!$B$7:$B$26,MATCH(SUBSTITUTE(SUBSTITUTE(SUBSTITUTE(SUBSTITUTE("type:"&amp;B1901,"%","%25"),"~","%7E"),"*","%2A"),"?","%3F"),'Rules'!$G$7:$G$26,0)),""))</x:f>
      </x:c>
      <x:c r="I1901" s="6" t="str">
        <x:f>IF(AND(NOT(COUNTA(A1901:F1901)=0),K1901=""),ROUND(J1901-D1901,3),"")</x:f>
      </x:c>
      <x:c r="J1901" s="6" t="str">
        <x:f>IF(AND(NOT(COUNTA(A1901:F1901)=0),K1901=""),ROUND(F1901+L1901,3),"")</x:f>
      </x:c>
      <x:c r="K1901" s="5" t="str">
        <x:f>IF(COUNTA(A1901:F1901)=0,"",IF(A1901="","Missing equipment ID",IF(COUNTIFS($N$8:$N$2007,"="&amp;N1901)&gt;1,"Duplicate equipment ID",IF(B1901="","Missing type",IF(COUNTIFS('Rules'!$G$7:$G$26,"="&amp;(SUBSTITUTE(SUBSTITUTE(SUBSTITUTE(SUBSTITUTE("type:"&amp;B1901,"%","%25"),"~","%7E"),"*","%2A"),"?","%3F")))=0,"Unknown type",IF(COUNTIFS('Rules'!$G$7:$G$26,"="&amp;(SUBSTITUTE(SUBSTITUTE(SUBSTITUTE(SUBSTITUTE("type:"&amp;B1901,"%","%25"),"~","%7E"),"*","%2A"),"?","%3F")))&gt;1,"Duplicate type",IF(INDEX('Rules'!$F$7:$F$26,MATCH(SUBSTITUTE(SUBSTITUTE(SUBSTITUTE(SUBSTITUTE("type:"&amp;B1901,"%","%25"),"~","%7E"),"*","%2A"),"?","%3F"),'Rules'!$G$7:$G$26,0))&lt;&gt;"",INDEX('Rules'!$F$7:$F$26,MATCH(SUBSTITUTE(SUBSTITUTE(SUBSTITUTE(SUBSTITUTE("type:"&amp;B1901,"%","%25"),"~","%7E"),"*","%2A"),"?","%3F"),'Rules'!$G$7:$G$26,0)),IF(AND(C1901&lt;&gt;"",C1901&lt;&gt;INDEX('Rules'!$B$7:$B$26,MATCH(SUBSTITUTE(SUBSTITUTE(SUBSTITUTE(SUBSTITUTE("type:"&amp;B1901,"%","%25"),"~","%7E"),"*","%2A"),"?","%3F"),'Rules'!$G$7:$G$26,0))),"Unit mismatch",IF(IF(NOT(ISNUMBER(D1901)),TRUE,OR(D1901&lt;0,D1901&gt;999999999,ROUND(D1901,3)&lt;&gt;D1901)),"Invalid current reading",IF(AND(E1901&lt;&gt;"",IF(NOT(ISNUMBER(E1901)),TRUE,OR(E1901&lt;0,E1901&gt;999999999,ROUND(E1901,3)&lt;&gt;E1901))),"Invalid previous reading",IF(IF(NOT(ISNUMBER(F1901)),TRUE,OR(F1901&lt;0,F1901&gt;999999999,ROUND(F1901,3)&lt;&gt;F1901)),"Invalid last service",IF(AND(E1901&lt;&gt;"",D1901&lt;E1901),"Decreased reading",IF(F1901&gt;D1901,"Last service above current","")))))))))))))</x:f>
      </x:c>
      <x:c r="L1901" s="6" t="str">
        <x:f>IF(AND(NOT(COUNTA(A1901:F1901)=0),K1901=""),INDEX('Rules'!$C$7:$C$26,MATCH(SUBSTITUTE(SUBSTITUTE(SUBSTITUTE(SUBSTITUTE("type:"&amp;B1901,"%","%25"),"~","%7E"),"*","%2A"),"?","%3F"),'Rules'!$G$7:$G$26,0)),"")</x:f>
      </x:c>
      <x:c r="M1901" s="6" t="str">
        <x:f>IF(AND(NOT(COUNTA(A1901:F1901)=0),K1901=""),INDEX('Rules'!$D$7:$D$26,MATCH(SUBSTITUTE(SUBSTITUTE(SUBSTITUTE(SUBSTITUTE("type:"&amp;B1901,"%","%25"),"~","%7E"),"*","%2A"),"?","%3F"),'Rules'!$G$7:$G$26,0)),"")</x:f>
      </x:c>
      <x:c r="N1901" s="5" t="str">
        <x:f>IF(COUNTA(A1901:F1901)=0,"",SUBSTITUTE(SUBSTITUTE(SUBSTITUTE(SUBSTITUTE("id:"&amp;A1901,"%","%25"),"~","%7E"),"*","%2A"),"?","%3F"))</x:f>
      </x:c>
    </x:row>
    <x:row r="1902" ht="22" customHeight="1">
      <x:c r="A1902" s="3"/>
      <x:c r="B1902" s="3"/>
      <x:c r="C1902" s="3"/>
      <x:c r="D1902" s="4"/>
      <x:c r="E1902" s="4"/>
      <x:c r="F1902" s="4"/>
      <x:c r="G1902" s="5" t="str">
        <x:f>IF(COUNTA(A1902:F1902)=0,"",IF(K1902&lt;&gt;"","Review",IF(I1902&lt;0,"Overdue",IF(I1902=0,"Due now",IF(I1902&lt;=M1902,"Due soon","Not due")))))</x:f>
      </x:c>
      <x:c r="H1902" s="5" t="str">
        <x:f>IF(OR(COUNTA(A1902:F1902)=0,COUNTIFS('Rules'!$G$7:$G$26,"="&amp;(SUBSTITUTE(SUBSTITUTE(SUBSTITUTE(SUBSTITUTE("type:"&amp;B1902,"%","%25"),"~","%7E"),"*","%2A"),"?","%3F")))&lt;&gt;1),"",IF(OR(INDEX('Rules'!$B$7:$B$26,MATCH(SUBSTITUTE(SUBSTITUTE(SUBSTITUTE(SUBSTITUTE("type:"&amp;B1902,"%","%25"),"~","%7E"),"*","%2A"),"?","%3F"),'Rules'!$G$7:$G$26,0))="hours",INDEX('Rules'!$B$7:$B$26,MATCH(SUBSTITUTE(SUBSTITUTE(SUBSTITUTE(SUBSTITUTE("type:"&amp;B1902,"%","%25"),"~","%7E"),"*","%2A"),"?","%3F"),'Rules'!$G$7:$G$26,0))="km"),INDEX('Rules'!$B$7:$B$26,MATCH(SUBSTITUTE(SUBSTITUTE(SUBSTITUTE(SUBSTITUTE("type:"&amp;B1902,"%","%25"),"~","%7E"),"*","%2A"),"?","%3F"),'Rules'!$G$7:$G$26,0)),""))</x:f>
      </x:c>
      <x:c r="I1902" s="6" t="str">
        <x:f>IF(AND(NOT(COUNTA(A1902:F1902)=0),K1902=""),ROUND(J1902-D1902,3),"")</x:f>
      </x:c>
      <x:c r="J1902" s="6" t="str">
        <x:f>IF(AND(NOT(COUNTA(A1902:F1902)=0),K1902=""),ROUND(F1902+L1902,3),"")</x:f>
      </x:c>
      <x:c r="K1902" s="5" t="str">
        <x:f>IF(COUNTA(A1902:F1902)=0,"",IF(A1902="","Missing equipment ID",IF(COUNTIFS($N$8:$N$2007,"="&amp;N1902)&gt;1,"Duplicate equipment ID",IF(B1902="","Missing type",IF(COUNTIFS('Rules'!$G$7:$G$26,"="&amp;(SUBSTITUTE(SUBSTITUTE(SUBSTITUTE(SUBSTITUTE("type:"&amp;B1902,"%","%25"),"~","%7E"),"*","%2A"),"?","%3F")))=0,"Unknown type",IF(COUNTIFS('Rules'!$G$7:$G$26,"="&amp;(SUBSTITUTE(SUBSTITUTE(SUBSTITUTE(SUBSTITUTE("type:"&amp;B1902,"%","%25"),"~","%7E"),"*","%2A"),"?","%3F")))&gt;1,"Duplicate type",IF(INDEX('Rules'!$F$7:$F$26,MATCH(SUBSTITUTE(SUBSTITUTE(SUBSTITUTE(SUBSTITUTE("type:"&amp;B1902,"%","%25"),"~","%7E"),"*","%2A"),"?","%3F"),'Rules'!$G$7:$G$26,0))&lt;&gt;"",INDEX('Rules'!$F$7:$F$26,MATCH(SUBSTITUTE(SUBSTITUTE(SUBSTITUTE(SUBSTITUTE("type:"&amp;B1902,"%","%25"),"~","%7E"),"*","%2A"),"?","%3F"),'Rules'!$G$7:$G$26,0)),IF(AND(C1902&lt;&gt;"",C1902&lt;&gt;INDEX('Rules'!$B$7:$B$26,MATCH(SUBSTITUTE(SUBSTITUTE(SUBSTITUTE(SUBSTITUTE("type:"&amp;B1902,"%","%25"),"~","%7E"),"*","%2A"),"?","%3F"),'Rules'!$G$7:$G$26,0))),"Unit mismatch",IF(IF(NOT(ISNUMBER(D1902)),TRUE,OR(D1902&lt;0,D1902&gt;999999999,ROUND(D1902,3)&lt;&gt;D1902)),"Invalid current reading",IF(AND(E1902&lt;&gt;"",IF(NOT(ISNUMBER(E1902)),TRUE,OR(E1902&lt;0,E1902&gt;999999999,ROUND(E1902,3)&lt;&gt;E1902))),"Invalid previous reading",IF(IF(NOT(ISNUMBER(F1902)),TRUE,OR(F1902&lt;0,F1902&gt;999999999,ROUND(F1902,3)&lt;&gt;F1902)),"Invalid last service",IF(AND(E1902&lt;&gt;"",D1902&lt;E1902),"Decreased reading",IF(F1902&gt;D1902,"Last service above current","")))))))))))))</x:f>
      </x:c>
      <x:c r="L1902" s="6" t="str">
        <x:f>IF(AND(NOT(COUNTA(A1902:F1902)=0),K1902=""),INDEX('Rules'!$C$7:$C$26,MATCH(SUBSTITUTE(SUBSTITUTE(SUBSTITUTE(SUBSTITUTE("type:"&amp;B1902,"%","%25"),"~","%7E"),"*","%2A"),"?","%3F"),'Rules'!$G$7:$G$26,0)),"")</x:f>
      </x:c>
      <x:c r="M1902" s="6" t="str">
        <x:f>IF(AND(NOT(COUNTA(A1902:F1902)=0),K1902=""),INDEX('Rules'!$D$7:$D$26,MATCH(SUBSTITUTE(SUBSTITUTE(SUBSTITUTE(SUBSTITUTE("type:"&amp;B1902,"%","%25"),"~","%7E"),"*","%2A"),"?","%3F"),'Rules'!$G$7:$G$26,0)),"")</x:f>
      </x:c>
      <x:c r="N1902" s="5" t="str">
        <x:f>IF(COUNTA(A1902:F1902)=0,"",SUBSTITUTE(SUBSTITUTE(SUBSTITUTE(SUBSTITUTE("id:"&amp;A1902,"%","%25"),"~","%7E"),"*","%2A"),"?","%3F"))</x:f>
      </x:c>
    </x:row>
    <x:row r="1903" ht="22" customHeight="1">
      <x:c r="A1903" s="3"/>
      <x:c r="B1903" s="3"/>
      <x:c r="C1903" s="3"/>
      <x:c r="D1903" s="4"/>
      <x:c r="E1903" s="4"/>
      <x:c r="F1903" s="4"/>
      <x:c r="G1903" s="5" t="str">
        <x:f>IF(COUNTA(A1903:F1903)=0,"",IF(K1903&lt;&gt;"","Review",IF(I1903&lt;0,"Overdue",IF(I1903=0,"Due now",IF(I1903&lt;=M1903,"Due soon","Not due")))))</x:f>
      </x:c>
      <x:c r="H1903" s="5" t="str">
        <x:f>IF(OR(COUNTA(A1903:F1903)=0,COUNTIFS('Rules'!$G$7:$G$26,"="&amp;(SUBSTITUTE(SUBSTITUTE(SUBSTITUTE(SUBSTITUTE("type:"&amp;B1903,"%","%25"),"~","%7E"),"*","%2A"),"?","%3F")))&lt;&gt;1),"",IF(OR(INDEX('Rules'!$B$7:$B$26,MATCH(SUBSTITUTE(SUBSTITUTE(SUBSTITUTE(SUBSTITUTE("type:"&amp;B1903,"%","%25"),"~","%7E"),"*","%2A"),"?","%3F"),'Rules'!$G$7:$G$26,0))="hours",INDEX('Rules'!$B$7:$B$26,MATCH(SUBSTITUTE(SUBSTITUTE(SUBSTITUTE(SUBSTITUTE("type:"&amp;B1903,"%","%25"),"~","%7E"),"*","%2A"),"?","%3F"),'Rules'!$G$7:$G$26,0))="km"),INDEX('Rules'!$B$7:$B$26,MATCH(SUBSTITUTE(SUBSTITUTE(SUBSTITUTE(SUBSTITUTE("type:"&amp;B1903,"%","%25"),"~","%7E"),"*","%2A"),"?","%3F"),'Rules'!$G$7:$G$26,0)),""))</x:f>
      </x:c>
      <x:c r="I1903" s="6" t="str">
        <x:f>IF(AND(NOT(COUNTA(A1903:F1903)=0),K1903=""),ROUND(J1903-D1903,3),"")</x:f>
      </x:c>
      <x:c r="J1903" s="6" t="str">
        <x:f>IF(AND(NOT(COUNTA(A1903:F1903)=0),K1903=""),ROUND(F1903+L1903,3),"")</x:f>
      </x:c>
      <x:c r="K1903" s="5" t="str">
        <x:f>IF(COUNTA(A1903:F1903)=0,"",IF(A1903="","Missing equipment ID",IF(COUNTIFS($N$8:$N$2007,"="&amp;N1903)&gt;1,"Duplicate equipment ID",IF(B1903="","Missing type",IF(COUNTIFS('Rules'!$G$7:$G$26,"="&amp;(SUBSTITUTE(SUBSTITUTE(SUBSTITUTE(SUBSTITUTE("type:"&amp;B1903,"%","%25"),"~","%7E"),"*","%2A"),"?","%3F")))=0,"Unknown type",IF(COUNTIFS('Rules'!$G$7:$G$26,"="&amp;(SUBSTITUTE(SUBSTITUTE(SUBSTITUTE(SUBSTITUTE("type:"&amp;B1903,"%","%25"),"~","%7E"),"*","%2A"),"?","%3F")))&gt;1,"Duplicate type",IF(INDEX('Rules'!$F$7:$F$26,MATCH(SUBSTITUTE(SUBSTITUTE(SUBSTITUTE(SUBSTITUTE("type:"&amp;B1903,"%","%25"),"~","%7E"),"*","%2A"),"?","%3F"),'Rules'!$G$7:$G$26,0))&lt;&gt;"",INDEX('Rules'!$F$7:$F$26,MATCH(SUBSTITUTE(SUBSTITUTE(SUBSTITUTE(SUBSTITUTE("type:"&amp;B1903,"%","%25"),"~","%7E"),"*","%2A"),"?","%3F"),'Rules'!$G$7:$G$26,0)),IF(AND(C1903&lt;&gt;"",C1903&lt;&gt;INDEX('Rules'!$B$7:$B$26,MATCH(SUBSTITUTE(SUBSTITUTE(SUBSTITUTE(SUBSTITUTE("type:"&amp;B1903,"%","%25"),"~","%7E"),"*","%2A"),"?","%3F"),'Rules'!$G$7:$G$26,0))),"Unit mismatch",IF(IF(NOT(ISNUMBER(D1903)),TRUE,OR(D1903&lt;0,D1903&gt;999999999,ROUND(D1903,3)&lt;&gt;D1903)),"Invalid current reading",IF(AND(E1903&lt;&gt;"",IF(NOT(ISNUMBER(E1903)),TRUE,OR(E1903&lt;0,E1903&gt;999999999,ROUND(E1903,3)&lt;&gt;E1903))),"Invalid previous reading",IF(IF(NOT(ISNUMBER(F1903)),TRUE,OR(F1903&lt;0,F1903&gt;999999999,ROUND(F1903,3)&lt;&gt;F1903)),"Invalid last service",IF(AND(E1903&lt;&gt;"",D1903&lt;E1903),"Decreased reading",IF(F1903&gt;D1903,"Last service above current","")))))))))))))</x:f>
      </x:c>
      <x:c r="L1903" s="6" t="str">
        <x:f>IF(AND(NOT(COUNTA(A1903:F1903)=0),K1903=""),INDEX('Rules'!$C$7:$C$26,MATCH(SUBSTITUTE(SUBSTITUTE(SUBSTITUTE(SUBSTITUTE("type:"&amp;B1903,"%","%25"),"~","%7E"),"*","%2A"),"?","%3F"),'Rules'!$G$7:$G$26,0)),"")</x:f>
      </x:c>
      <x:c r="M1903" s="6" t="str">
        <x:f>IF(AND(NOT(COUNTA(A1903:F1903)=0),K1903=""),INDEX('Rules'!$D$7:$D$26,MATCH(SUBSTITUTE(SUBSTITUTE(SUBSTITUTE(SUBSTITUTE("type:"&amp;B1903,"%","%25"),"~","%7E"),"*","%2A"),"?","%3F"),'Rules'!$G$7:$G$26,0)),"")</x:f>
      </x:c>
      <x:c r="N1903" s="5" t="str">
        <x:f>IF(COUNTA(A1903:F1903)=0,"",SUBSTITUTE(SUBSTITUTE(SUBSTITUTE(SUBSTITUTE("id:"&amp;A1903,"%","%25"),"~","%7E"),"*","%2A"),"?","%3F"))</x:f>
      </x:c>
    </x:row>
    <x:row r="1904" ht="22" customHeight="1">
      <x:c r="A1904" s="3"/>
      <x:c r="B1904" s="3"/>
      <x:c r="C1904" s="3"/>
      <x:c r="D1904" s="4"/>
      <x:c r="E1904" s="4"/>
      <x:c r="F1904" s="4"/>
      <x:c r="G1904" s="5" t="str">
        <x:f>IF(COUNTA(A1904:F1904)=0,"",IF(K1904&lt;&gt;"","Review",IF(I1904&lt;0,"Overdue",IF(I1904=0,"Due now",IF(I1904&lt;=M1904,"Due soon","Not due")))))</x:f>
      </x:c>
      <x:c r="H1904" s="5" t="str">
        <x:f>IF(OR(COUNTA(A1904:F1904)=0,COUNTIFS('Rules'!$G$7:$G$26,"="&amp;(SUBSTITUTE(SUBSTITUTE(SUBSTITUTE(SUBSTITUTE("type:"&amp;B1904,"%","%25"),"~","%7E"),"*","%2A"),"?","%3F")))&lt;&gt;1),"",IF(OR(INDEX('Rules'!$B$7:$B$26,MATCH(SUBSTITUTE(SUBSTITUTE(SUBSTITUTE(SUBSTITUTE("type:"&amp;B1904,"%","%25"),"~","%7E"),"*","%2A"),"?","%3F"),'Rules'!$G$7:$G$26,0))="hours",INDEX('Rules'!$B$7:$B$26,MATCH(SUBSTITUTE(SUBSTITUTE(SUBSTITUTE(SUBSTITUTE("type:"&amp;B1904,"%","%25"),"~","%7E"),"*","%2A"),"?","%3F"),'Rules'!$G$7:$G$26,0))="km"),INDEX('Rules'!$B$7:$B$26,MATCH(SUBSTITUTE(SUBSTITUTE(SUBSTITUTE(SUBSTITUTE("type:"&amp;B1904,"%","%25"),"~","%7E"),"*","%2A"),"?","%3F"),'Rules'!$G$7:$G$26,0)),""))</x:f>
      </x:c>
      <x:c r="I1904" s="6" t="str">
        <x:f>IF(AND(NOT(COUNTA(A1904:F1904)=0),K1904=""),ROUND(J1904-D1904,3),"")</x:f>
      </x:c>
      <x:c r="J1904" s="6" t="str">
        <x:f>IF(AND(NOT(COUNTA(A1904:F1904)=0),K1904=""),ROUND(F1904+L1904,3),"")</x:f>
      </x:c>
      <x:c r="K1904" s="5" t="str">
        <x:f>IF(COUNTA(A1904:F1904)=0,"",IF(A1904="","Missing equipment ID",IF(COUNTIFS($N$8:$N$2007,"="&amp;N1904)&gt;1,"Duplicate equipment ID",IF(B1904="","Missing type",IF(COUNTIFS('Rules'!$G$7:$G$26,"="&amp;(SUBSTITUTE(SUBSTITUTE(SUBSTITUTE(SUBSTITUTE("type:"&amp;B1904,"%","%25"),"~","%7E"),"*","%2A"),"?","%3F")))=0,"Unknown type",IF(COUNTIFS('Rules'!$G$7:$G$26,"="&amp;(SUBSTITUTE(SUBSTITUTE(SUBSTITUTE(SUBSTITUTE("type:"&amp;B1904,"%","%25"),"~","%7E"),"*","%2A"),"?","%3F")))&gt;1,"Duplicate type",IF(INDEX('Rules'!$F$7:$F$26,MATCH(SUBSTITUTE(SUBSTITUTE(SUBSTITUTE(SUBSTITUTE("type:"&amp;B1904,"%","%25"),"~","%7E"),"*","%2A"),"?","%3F"),'Rules'!$G$7:$G$26,0))&lt;&gt;"",INDEX('Rules'!$F$7:$F$26,MATCH(SUBSTITUTE(SUBSTITUTE(SUBSTITUTE(SUBSTITUTE("type:"&amp;B1904,"%","%25"),"~","%7E"),"*","%2A"),"?","%3F"),'Rules'!$G$7:$G$26,0)),IF(AND(C1904&lt;&gt;"",C1904&lt;&gt;INDEX('Rules'!$B$7:$B$26,MATCH(SUBSTITUTE(SUBSTITUTE(SUBSTITUTE(SUBSTITUTE("type:"&amp;B1904,"%","%25"),"~","%7E"),"*","%2A"),"?","%3F"),'Rules'!$G$7:$G$26,0))),"Unit mismatch",IF(IF(NOT(ISNUMBER(D1904)),TRUE,OR(D1904&lt;0,D1904&gt;999999999,ROUND(D1904,3)&lt;&gt;D1904)),"Invalid current reading",IF(AND(E1904&lt;&gt;"",IF(NOT(ISNUMBER(E1904)),TRUE,OR(E1904&lt;0,E1904&gt;999999999,ROUND(E1904,3)&lt;&gt;E1904))),"Invalid previous reading",IF(IF(NOT(ISNUMBER(F1904)),TRUE,OR(F1904&lt;0,F1904&gt;999999999,ROUND(F1904,3)&lt;&gt;F1904)),"Invalid last service",IF(AND(E1904&lt;&gt;"",D1904&lt;E1904),"Decreased reading",IF(F1904&gt;D1904,"Last service above current","")))))))))))))</x:f>
      </x:c>
      <x:c r="L1904" s="6" t="str">
        <x:f>IF(AND(NOT(COUNTA(A1904:F1904)=0),K1904=""),INDEX('Rules'!$C$7:$C$26,MATCH(SUBSTITUTE(SUBSTITUTE(SUBSTITUTE(SUBSTITUTE("type:"&amp;B1904,"%","%25"),"~","%7E"),"*","%2A"),"?","%3F"),'Rules'!$G$7:$G$26,0)),"")</x:f>
      </x:c>
      <x:c r="M1904" s="6" t="str">
        <x:f>IF(AND(NOT(COUNTA(A1904:F1904)=0),K1904=""),INDEX('Rules'!$D$7:$D$26,MATCH(SUBSTITUTE(SUBSTITUTE(SUBSTITUTE(SUBSTITUTE("type:"&amp;B1904,"%","%25"),"~","%7E"),"*","%2A"),"?","%3F"),'Rules'!$G$7:$G$26,0)),"")</x:f>
      </x:c>
      <x:c r="N1904" s="5" t="str">
        <x:f>IF(COUNTA(A1904:F1904)=0,"",SUBSTITUTE(SUBSTITUTE(SUBSTITUTE(SUBSTITUTE("id:"&amp;A1904,"%","%25"),"~","%7E"),"*","%2A"),"?","%3F"))</x:f>
      </x:c>
    </x:row>
    <x:row r="1905" ht="22" customHeight="1">
      <x:c r="A1905" s="3"/>
      <x:c r="B1905" s="3"/>
      <x:c r="C1905" s="3"/>
      <x:c r="D1905" s="4"/>
      <x:c r="E1905" s="4"/>
      <x:c r="F1905" s="4"/>
      <x:c r="G1905" s="5" t="str">
        <x:f>IF(COUNTA(A1905:F1905)=0,"",IF(K1905&lt;&gt;"","Review",IF(I1905&lt;0,"Overdue",IF(I1905=0,"Due now",IF(I1905&lt;=M1905,"Due soon","Not due")))))</x:f>
      </x:c>
      <x:c r="H1905" s="5" t="str">
        <x:f>IF(OR(COUNTA(A1905:F1905)=0,COUNTIFS('Rules'!$G$7:$G$26,"="&amp;(SUBSTITUTE(SUBSTITUTE(SUBSTITUTE(SUBSTITUTE("type:"&amp;B1905,"%","%25"),"~","%7E"),"*","%2A"),"?","%3F")))&lt;&gt;1),"",IF(OR(INDEX('Rules'!$B$7:$B$26,MATCH(SUBSTITUTE(SUBSTITUTE(SUBSTITUTE(SUBSTITUTE("type:"&amp;B1905,"%","%25"),"~","%7E"),"*","%2A"),"?","%3F"),'Rules'!$G$7:$G$26,0))="hours",INDEX('Rules'!$B$7:$B$26,MATCH(SUBSTITUTE(SUBSTITUTE(SUBSTITUTE(SUBSTITUTE("type:"&amp;B1905,"%","%25"),"~","%7E"),"*","%2A"),"?","%3F"),'Rules'!$G$7:$G$26,0))="km"),INDEX('Rules'!$B$7:$B$26,MATCH(SUBSTITUTE(SUBSTITUTE(SUBSTITUTE(SUBSTITUTE("type:"&amp;B1905,"%","%25"),"~","%7E"),"*","%2A"),"?","%3F"),'Rules'!$G$7:$G$26,0)),""))</x:f>
      </x:c>
      <x:c r="I1905" s="6" t="str">
        <x:f>IF(AND(NOT(COUNTA(A1905:F1905)=0),K1905=""),ROUND(J1905-D1905,3),"")</x:f>
      </x:c>
      <x:c r="J1905" s="6" t="str">
        <x:f>IF(AND(NOT(COUNTA(A1905:F1905)=0),K1905=""),ROUND(F1905+L1905,3),"")</x:f>
      </x:c>
      <x:c r="K1905" s="5" t="str">
        <x:f>IF(COUNTA(A1905:F1905)=0,"",IF(A1905="","Missing equipment ID",IF(COUNTIFS($N$8:$N$2007,"="&amp;N1905)&gt;1,"Duplicate equipment ID",IF(B1905="","Missing type",IF(COUNTIFS('Rules'!$G$7:$G$26,"="&amp;(SUBSTITUTE(SUBSTITUTE(SUBSTITUTE(SUBSTITUTE("type:"&amp;B1905,"%","%25"),"~","%7E"),"*","%2A"),"?","%3F")))=0,"Unknown type",IF(COUNTIFS('Rules'!$G$7:$G$26,"="&amp;(SUBSTITUTE(SUBSTITUTE(SUBSTITUTE(SUBSTITUTE("type:"&amp;B1905,"%","%25"),"~","%7E"),"*","%2A"),"?","%3F")))&gt;1,"Duplicate type",IF(INDEX('Rules'!$F$7:$F$26,MATCH(SUBSTITUTE(SUBSTITUTE(SUBSTITUTE(SUBSTITUTE("type:"&amp;B1905,"%","%25"),"~","%7E"),"*","%2A"),"?","%3F"),'Rules'!$G$7:$G$26,0))&lt;&gt;"",INDEX('Rules'!$F$7:$F$26,MATCH(SUBSTITUTE(SUBSTITUTE(SUBSTITUTE(SUBSTITUTE("type:"&amp;B1905,"%","%25"),"~","%7E"),"*","%2A"),"?","%3F"),'Rules'!$G$7:$G$26,0)),IF(AND(C1905&lt;&gt;"",C1905&lt;&gt;INDEX('Rules'!$B$7:$B$26,MATCH(SUBSTITUTE(SUBSTITUTE(SUBSTITUTE(SUBSTITUTE("type:"&amp;B1905,"%","%25"),"~","%7E"),"*","%2A"),"?","%3F"),'Rules'!$G$7:$G$26,0))),"Unit mismatch",IF(IF(NOT(ISNUMBER(D1905)),TRUE,OR(D1905&lt;0,D1905&gt;999999999,ROUND(D1905,3)&lt;&gt;D1905)),"Invalid current reading",IF(AND(E1905&lt;&gt;"",IF(NOT(ISNUMBER(E1905)),TRUE,OR(E1905&lt;0,E1905&gt;999999999,ROUND(E1905,3)&lt;&gt;E1905))),"Invalid previous reading",IF(IF(NOT(ISNUMBER(F1905)),TRUE,OR(F1905&lt;0,F1905&gt;999999999,ROUND(F1905,3)&lt;&gt;F1905)),"Invalid last service",IF(AND(E1905&lt;&gt;"",D1905&lt;E1905),"Decreased reading",IF(F1905&gt;D1905,"Last service above current","")))))))))))))</x:f>
      </x:c>
      <x:c r="L1905" s="6" t="str">
        <x:f>IF(AND(NOT(COUNTA(A1905:F1905)=0),K1905=""),INDEX('Rules'!$C$7:$C$26,MATCH(SUBSTITUTE(SUBSTITUTE(SUBSTITUTE(SUBSTITUTE("type:"&amp;B1905,"%","%25"),"~","%7E"),"*","%2A"),"?","%3F"),'Rules'!$G$7:$G$26,0)),"")</x:f>
      </x:c>
      <x:c r="M1905" s="6" t="str">
        <x:f>IF(AND(NOT(COUNTA(A1905:F1905)=0),K1905=""),INDEX('Rules'!$D$7:$D$26,MATCH(SUBSTITUTE(SUBSTITUTE(SUBSTITUTE(SUBSTITUTE("type:"&amp;B1905,"%","%25"),"~","%7E"),"*","%2A"),"?","%3F"),'Rules'!$G$7:$G$26,0)),"")</x:f>
      </x:c>
      <x:c r="N1905" s="5" t="str">
        <x:f>IF(COUNTA(A1905:F1905)=0,"",SUBSTITUTE(SUBSTITUTE(SUBSTITUTE(SUBSTITUTE("id:"&amp;A1905,"%","%25"),"~","%7E"),"*","%2A"),"?","%3F"))</x:f>
      </x:c>
    </x:row>
    <x:row r="1906" ht="22" customHeight="1">
      <x:c r="A1906" s="3"/>
      <x:c r="B1906" s="3"/>
      <x:c r="C1906" s="3"/>
      <x:c r="D1906" s="4"/>
      <x:c r="E1906" s="4"/>
      <x:c r="F1906" s="4"/>
      <x:c r="G1906" s="5" t="str">
        <x:f>IF(COUNTA(A1906:F1906)=0,"",IF(K1906&lt;&gt;"","Review",IF(I1906&lt;0,"Overdue",IF(I1906=0,"Due now",IF(I1906&lt;=M1906,"Due soon","Not due")))))</x:f>
      </x:c>
      <x:c r="H1906" s="5" t="str">
        <x:f>IF(OR(COUNTA(A1906:F1906)=0,COUNTIFS('Rules'!$G$7:$G$26,"="&amp;(SUBSTITUTE(SUBSTITUTE(SUBSTITUTE(SUBSTITUTE("type:"&amp;B1906,"%","%25"),"~","%7E"),"*","%2A"),"?","%3F")))&lt;&gt;1),"",IF(OR(INDEX('Rules'!$B$7:$B$26,MATCH(SUBSTITUTE(SUBSTITUTE(SUBSTITUTE(SUBSTITUTE("type:"&amp;B1906,"%","%25"),"~","%7E"),"*","%2A"),"?","%3F"),'Rules'!$G$7:$G$26,0))="hours",INDEX('Rules'!$B$7:$B$26,MATCH(SUBSTITUTE(SUBSTITUTE(SUBSTITUTE(SUBSTITUTE("type:"&amp;B1906,"%","%25"),"~","%7E"),"*","%2A"),"?","%3F"),'Rules'!$G$7:$G$26,0))="km"),INDEX('Rules'!$B$7:$B$26,MATCH(SUBSTITUTE(SUBSTITUTE(SUBSTITUTE(SUBSTITUTE("type:"&amp;B1906,"%","%25"),"~","%7E"),"*","%2A"),"?","%3F"),'Rules'!$G$7:$G$26,0)),""))</x:f>
      </x:c>
      <x:c r="I1906" s="6" t="str">
        <x:f>IF(AND(NOT(COUNTA(A1906:F1906)=0),K1906=""),ROUND(J1906-D1906,3),"")</x:f>
      </x:c>
      <x:c r="J1906" s="6" t="str">
        <x:f>IF(AND(NOT(COUNTA(A1906:F1906)=0),K1906=""),ROUND(F1906+L1906,3),"")</x:f>
      </x:c>
      <x:c r="K1906" s="5" t="str">
        <x:f>IF(COUNTA(A1906:F1906)=0,"",IF(A1906="","Missing equipment ID",IF(COUNTIFS($N$8:$N$2007,"="&amp;N1906)&gt;1,"Duplicate equipment ID",IF(B1906="","Missing type",IF(COUNTIFS('Rules'!$G$7:$G$26,"="&amp;(SUBSTITUTE(SUBSTITUTE(SUBSTITUTE(SUBSTITUTE("type:"&amp;B1906,"%","%25"),"~","%7E"),"*","%2A"),"?","%3F")))=0,"Unknown type",IF(COUNTIFS('Rules'!$G$7:$G$26,"="&amp;(SUBSTITUTE(SUBSTITUTE(SUBSTITUTE(SUBSTITUTE("type:"&amp;B1906,"%","%25"),"~","%7E"),"*","%2A"),"?","%3F")))&gt;1,"Duplicate type",IF(INDEX('Rules'!$F$7:$F$26,MATCH(SUBSTITUTE(SUBSTITUTE(SUBSTITUTE(SUBSTITUTE("type:"&amp;B1906,"%","%25"),"~","%7E"),"*","%2A"),"?","%3F"),'Rules'!$G$7:$G$26,0))&lt;&gt;"",INDEX('Rules'!$F$7:$F$26,MATCH(SUBSTITUTE(SUBSTITUTE(SUBSTITUTE(SUBSTITUTE("type:"&amp;B1906,"%","%25"),"~","%7E"),"*","%2A"),"?","%3F"),'Rules'!$G$7:$G$26,0)),IF(AND(C1906&lt;&gt;"",C1906&lt;&gt;INDEX('Rules'!$B$7:$B$26,MATCH(SUBSTITUTE(SUBSTITUTE(SUBSTITUTE(SUBSTITUTE("type:"&amp;B1906,"%","%25"),"~","%7E"),"*","%2A"),"?","%3F"),'Rules'!$G$7:$G$26,0))),"Unit mismatch",IF(IF(NOT(ISNUMBER(D1906)),TRUE,OR(D1906&lt;0,D1906&gt;999999999,ROUND(D1906,3)&lt;&gt;D1906)),"Invalid current reading",IF(AND(E1906&lt;&gt;"",IF(NOT(ISNUMBER(E1906)),TRUE,OR(E1906&lt;0,E1906&gt;999999999,ROUND(E1906,3)&lt;&gt;E1906))),"Invalid previous reading",IF(IF(NOT(ISNUMBER(F1906)),TRUE,OR(F1906&lt;0,F1906&gt;999999999,ROUND(F1906,3)&lt;&gt;F1906)),"Invalid last service",IF(AND(E1906&lt;&gt;"",D1906&lt;E1906),"Decreased reading",IF(F1906&gt;D1906,"Last service above current","")))))))))))))</x:f>
      </x:c>
      <x:c r="L1906" s="6" t="str">
        <x:f>IF(AND(NOT(COUNTA(A1906:F1906)=0),K1906=""),INDEX('Rules'!$C$7:$C$26,MATCH(SUBSTITUTE(SUBSTITUTE(SUBSTITUTE(SUBSTITUTE("type:"&amp;B1906,"%","%25"),"~","%7E"),"*","%2A"),"?","%3F"),'Rules'!$G$7:$G$26,0)),"")</x:f>
      </x:c>
      <x:c r="M1906" s="6" t="str">
        <x:f>IF(AND(NOT(COUNTA(A1906:F1906)=0),K1906=""),INDEX('Rules'!$D$7:$D$26,MATCH(SUBSTITUTE(SUBSTITUTE(SUBSTITUTE(SUBSTITUTE("type:"&amp;B1906,"%","%25"),"~","%7E"),"*","%2A"),"?","%3F"),'Rules'!$G$7:$G$26,0)),"")</x:f>
      </x:c>
      <x:c r="N1906" s="5" t="str">
        <x:f>IF(COUNTA(A1906:F1906)=0,"",SUBSTITUTE(SUBSTITUTE(SUBSTITUTE(SUBSTITUTE("id:"&amp;A1906,"%","%25"),"~","%7E"),"*","%2A"),"?","%3F"))</x:f>
      </x:c>
    </x:row>
    <x:row r="1907" ht="22" customHeight="1">
      <x:c r="A1907" s="3"/>
      <x:c r="B1907" s="3"/>
      <x:c r="C1907" s="3"/>
      <x:c r="D1907" s="4"/>
      <x:c r="E1907" s="4"/>
      <x:c r="F1907" s="4"/>
      <x:c r="G1907" s="5" t="str">
        <x:f>IF(COUNTA(A1907:F1907)=0,"",IF(K1907&lt;&gt;"","Review",IF(I1907&lt;0,"Overdue",IF(I1907=0,"Due now",IF(I1907&lt;=M1907,"Due soon","Not due")))))</x:f>
      </x:c>
      <x:c r="H1907" s="5" t="str">
        <x:f>IF(OR(COUNTA(A1907:F1907)=0,COUNTIFS('Rules'!$G$7:$G$26,"="&amp;(SUBSTITUTE(SUBSTITUTE(SUBSTITUTE(SUBSTITUTE("type:"&amp;B1907,"%","%25"),"~","%7E"),"*","%2A"),"?","%3F")))&lt;&gt;1),"",IF(OR(INDEX('Rules'!$B$7:$B$26,MATCH(SUBSTITUTE(SUBSTITUTE(SUBSTITUTE(SUBSTITUTE("type:"&amp;B1907,"%","%25"),"~","%7E"),"*","%2A"),"?","%3F"),'Rules'!$G$7:$G$26,0))="hours",INDEX('Rules'!$B$7:$B$26,MATCH(SUBSTITUTE(SUBSTITUTE(SUBSTITUTE(SUBSTITUTE("type:"&amp;B1907,"%","%25"),"~","%7E"),"*","%2A"),"?","%3F"),'Rules'!$G$7:$G$26,0))="km"),INDEX('Rules'!$B$7:$B$26,MATCH(SUBSTITUTE(SUBSTITUTE(SUBSTITUTE(SUBSTITUTE("type:"&amp;B1907,"%","%25"),"~","%7E"),"*","%2A"),"?","%3F"),'Rules'!$G$7:$G$26,0)),""))</x:f>
      </x:c>
      <x:c r="I1907" s="6" t="str">
        <x:f>IF(AND(NOT(COUNTA(A1907:F1907)=0),K1907=""),ROUND(J1907-D1907,3),"")</x:f>
      </x:c>
      <x:c r="J1907" s="6" t="str">
        <x:f>IF(AND(NOT(COUNTA(A1907:F1907)=0),K1907=""),ROUND(F1907+L1907,3),"")</x:f>
      </x:c>
      <x:c r="K1907" s="5" t="str">
        <x:f>IF(COUNTA(A1907:F1907)=0,"",IF(A1907="","Missing equipment ID",IF(COUNTIFS($N$8:$N$2007,"="&amp;N1907)&gt;1,"Duplicate equipment ID",IF(B1907="","Missing type",IF(COUNTIFS('Rules'!$G$7:$G$26,"="&amp;(SUBSTITUTE(SUBSTITUTE(SUBSTITUTE(SUBSTITUTE("type:"&amp;B1907,"%","%25"),"~","%7E"),"*","%2A"),"?","%3F")))=0,"Unknown type",IF(COUNTIFS('Rules'!$G$7:$G$26,"="&amp;(SUBSTITUTE(SUBSTITUTE(SUBSTITUTE(SUBSTITUTE("type:"&amp;B1907,"%","%25"),"~","%7E"),"*","%2A"),"?","%3F")))&gt;1,"Duplicate type",IF(INDEX('Rules'!$F$7:$F$26,MATCH(SUBSTITUTE(SUBSTITUTE(SUBSTITUTE(SUBSTITUTE("type:"&amp;B1907,"%","%25"),"~","%7E"),"*","%2A"),"?","%3F"),'Rules'!$G$7:$G$26,0))&lt;&gt;"",INDEX('Rules'!$F$7:$F$26,MATCH(SUBSTITUTE(SUBSTITUTE(SUBSTITUTE(SUBSTITUTE("type:"&amp;B1907,"%","%25"),"~","%7E"),"*","%2A"),"?","%3F"),'Rules'!$G$7:$G$26,0)),IF(AND(C1907&lt;&gt;"",C1907&lt;&gt;INDEX('Rules'!$B$7:$B$26,MATCH(SUBSTITUTE(SUBSTITUTE(SUBSTITUTE(SUBSTITUTE("type:"&amp;B1907,"%","%25"),"~","%7E"),"*","%2A"),"?","%3F"),'Rules'!$G$7:$G$26,0))),"Unit mismatch",IF(IF(NOT(ISNUMBER(D1907)),TRUE,OR(D1907&lt;0,D1907&gt;999999999,ROUND(D1907,3)&lt;&gt;D1907)),"Invalid current reading",IF(AND(E1907&lt;&gt;"",IF(NOT(ISNUMBER(E1907)),TRUE,OR(E1907&lt;0,E1907&gt;999999999,ROUND(E1907,3)&lt;&gt;E1907))),"Invalid previous reading",IF(IF(NOT(ISNUMBER(F1907)),TRUE,OR(F1907&lt;0,F1907&gt;999999999,ROUND(F1907,3)&lt;&gt;F1907)),"Invalid last service",IF(AND(E1907&lt;&gt;"",D1907&lt;E1907),"Decreased reading",IF(F1907&gt;D1907,"Last service above current","")))))))))))))</x:f>
      </x:c>
      <x:c r="L1907" s="6" t="str">
        <x:f>IF(AND(NOT(COUNTA(A1907:F1907)=0),K1907=""),INDEX('Rules'!$C$7:$C$26,MATCH(SUBSTITUTE(SUBSTITUTE(SUBSTITUTE(SUBSTITUTE("type:"&amp;B1907,"%","%25"),"~","%7E"),"*","%2A"),"?","%3F"),'Rules'!$G$7:$G$26,0)),"")</x:f>
      </x:c>
      <x:c r="M1907" s="6" t="str">
        <x:f>IF(AND(NOT(COUNTA(A1907:F1907)=0),K1907=""),INDEX('Rules'!$D$7:$D$26,MATCH(SUBSTITUTE(SUBSTITUTE(SUBSTITUTE(SUBSTITUTE("type:"&amp;B1907,"%","%25"),"~","%7E"),"*","%2A"),"?","%3F"),'Rules'!$G$7:$G$26,0)),"")</x:f>
      </x:c>
      <x:c r="N1907" s="5" t="str">
        <x:f>IF(COUNTA(A1907:F1907)=0,"",SUBSTITUTE(SUBSTITUTE(SUBSTITUTE(SUBSTITUTE("id:"&amp;A1907,"%","%25"),"~","%7E"),"*","%2A"),"?","%3F"))</x:f>
      </x:c>
    </x:row>
    <x:row r="1908" ht="22" customHeight="1">
      <x:c r="A1908" s="3"/>
      <x:c r="B1908" s="3"/>
      <x:c r="C1908" s="3"/>
      <x:c r="D1908" s="4"/>
      <x:c r="E1908" s="4"/>
      <x:c r="F1908" s="4"/>
      <x:c r="G1908" s="5" t="str">
        <x:f>IF(COUNTA(A1908:F1908)=0,"",IF(K1908&lt;&gt;"","Review",IF(I1908&lt;0,"Overdue",IF(I1908=0,"Due now",IF(I1908&lt;=M1908,"Due soon","Not due")))))</x:f>
      </x:c>
      <x:c r="H1908" s="5" t="str">
        <x:f>IF(OR(COUNTA(A1908:F1908)=0,COUNTIFS('Rules'!$G$7:$G$26,"="&amp;(SUBSTITUTE(SUBSTITUTE(SUBSTITUTE(SUBSTITUTE("type:"&amp;B1908,"%","%25"),"~","%7E"),"*","%2A"),"?","%3F")))&lt;&gt;1),"",IF(OR(INDEX('Rules'!$B$7:$B$26,MATCH(SUBSTITUTE(SUBSTITUTE(SUBSTITUTE(SUBSTITUTE("type:"&amp;B1908,"%","%25"),"~","%7E"),"*","%2A"),"?","%3F"),'Rules'!$G$7:$G$26,0))="hours",INDEX('Rules'!$B$7:$B$26,MATCH(SUBSTITUTE(SUBSTITUTE(SUBSTITUTE(SUBSTITUTE("type:"&amp;B1908,"%","%25"),"~","%7E"),"*","%2A"),"?","%3F"),'Rules'!$G$7:$G$26,0))="km"),INDEX('Rules'!$B$7:$B$26,MATCH(SUBSTITUTE(SUBSTITUTE(SUBSTITUTE(SUBSTITUTE("type:"&amp;B1908,"%","%25"),"~","%7E"),"*","%2A"),"?","%3F"),'Rules'!$G$7:$G$26,0)),""))</x:f>
      </x:c>
      <x:c r="I1908" s="6" t="str">
        <x:f>IF(AND(NOT(COUNTA(A1908:F1908)=0),K1908=""),ROUND(J1908-D1908,3),"")</x:f>
      </x:c>
      <x:c r="J1908" s="6" t="str">
        <x:f>IF(AND(NOT(COUNTA(A1908:F1908)=0),K1908=""),ROUND(F1908+L1908,3),"")</x:f>
      </x:c>
      <x:c r="K1908" s="5" t="str">
        <x:f>IF(COUNTA(A1908:F1908)=0,"",IF(A1908="","Missing equipment ID",IF(COUNTIFS($N$8:$N$2007,"="&amp;N1908)&gt;1,"Duplicate equipment ID",IF(B1908="","Missing type",IF(COUNTIFS('Rules'!$G$7:$G$26,"="&amp;(SUBSTITUTE(SUBSTITUTE(SUBSTITUTE(SUBSTITUTE("type:"&amp;B1908,"%","%25"),"~","%7E"),"*","%2A"),"?","%3F")))=0,"Unknown type",IF(COUNTIFS('Rules'!$G$7:$G$26,"="&amp;(SUBSTITUTE(SUBSTITUTE(SUBSTITUTE(SUBSTITUTE("type:"&amp;B1908,"%","%25"),"~","%7E"),"*","%2A"),"?","%3F")))&gt;1,"Duplicate type",IF(INDEX('Rules'!$F$7:$F$26,MATCH(SUBSTITUTE(SUBSTITUTE(SUBSTITUTE(SUBSTITUTE("type:"&amp;B1908,"%","%25"),"~","%7E"),"*","%2A"),"?","%3F"),'Rules'!$G$7:$G$26,0))&lt;&gt;"",INDEX('Rules'!$F$7:$F$26,MATCH(SUBSTITUTE(SUBSTITUTE(SUBSTITUTE(SUBSTITUTE("type:"&amp;B1908,"%","%25"),"~","%7E"),"*","%2A"),"?","%3F"),'Rules'!$G$7:$G$26,0)),IF(AND(C1908&lt;&gt;"",C1908&lt;&gt;INDEX('Rules'!$B$7:$B$26,MATCH(SUBSTITUTE(SUBSTITUTE(SUBSTITUTE(SUBSTITUTE("type:"&amp;B1908,"%","%25"),"~","%7E"),"*","%2A"),"?","%3F"),'Rules'!$G$7:$G$26,0))),"Unit mismatch",IF(IF(NOT(ISNUMBER(D1908)),TRUE,OR(D1908&lt;0,D1908&gt;999999999,ROUND(D1908,3)&lt;&gt;D1908)),"Invalid current reading",IF(AND(E1908&lt;&gt;"",IF(NOT(ISNUMBER(E1908)),TRUE,OR(E1908&lt;0,E1908&gt;999999999,ROUND(E1908,3)&lt;&gt;E1908))),"Invalid previous reading",IF(IF(NOT(ISNUMBER(F1908)),TRUE,OR(F1908&lt;0,F1908&gt;999999999,ROUND(F1908,3)&lt;&gt;F1908)),"Invalid last service",IF(AND(E1908&lt;&gt;"",D1908&lt;E1908),"Decreased reading",IF(F1908&gt;D1908,"Last service above current","")))))))))))))</x:f>
      </x:c>
      <x:c r="L1908" s="6" t="str">
        <x:f>IF(AND(NOT(COUNTA(A1908:F1908)=0),K1908=""),INDEX('Rules'!$C$7:$C$26,MATCH(SUBSTITUTE(SUBSTITUTE(SUBSTITUTE(SUBSTITUTE("type:"&amp;B1908,"%","%25"),"~","%7E"),"*","%2A"),"?","%3F"),'Rules'!$G$7:$G$26,0)),"")</x:f>
      </x:c>
      <x:c r="M1908" s="6" t="str">
        <x:f>IF(AND(NOT(COUNTA(A1908:F1908)=0),K1908=""),INDEX('Rules'!$D$7:$D$26,MATCH(SUBSTITUTE(SUBSTITUTE(SUBSTITUTE(SUBSTITUTE("type:"&amp;B1908,"%","%25"),"~","%7E"),"*","%2A"),"?","%3F"),'Rules'!$G$7:$G$26,0)),"")</x:f>
      </x:c>
      <x:c r="N1908" s="5" t="str">
        <x:f>IF(COUNTA(A1908:F1908)=0,"",SUBSTITUTE(SUBSTITUTE(SUBSTITUTE(SUBSTITUTE("id:"&amp;A1908,"%","%25"),"~","%7E"),"*","%2A"),"?","%3F"))</x:f>
      </x:c>
    </x:row>
    <x:row r="1909" ht="22" customHeight="1">
      <x:c r="A1909" s="3"/>
      <x:c r="B1909" s="3"/>
      <x:c r="C1909" s="3"/>
      <x:c r="D1909" s="4"/>
      <x:c r="E1909" s="4"/>
      <x:c r="F1909" s="4"/>
      <x:c r="G1909" s="5" t="str">
        <x:f>IF(COUNTA(A1909:F1909)=0,"",IF(K1909&lt;&gt;"","Review",IF(I1909&lt;0,"Overdue",IF(I1909=0,"Due now",IF(I1909&lt;=M1909,"Due soon","Not due")))))</x:f>
      </x:c>
      <x:c r="H1909" s="5" t="str">
        <x:f>IF(OR(COUNTA(A1909:F1909)=0,COUNTIFS('Rules'!$G$7:$G$26,"="&amp;(SUBSTITUTE(SUBSTITUTE(SUBSTITUTE(SUBSTITUTE("type:"&amp;B1909,"%","%25"),"~","%7E"),"*","%2A"),"?","%3F")))&lt;&gt;1),"",IF(OR(INDEX('Rules'!$B$7:$B$26,MATCH(SUBSTITUTE(SUBSTITUTE(SUBSTITUTE(SUBSTITUTE("type:"&amp;B1909,"%","%25"),"~","%7E"),"*","%2A"),"?","%3F"),'Rules'!$G$7:$G$26,0))="hours",INDEX('Rules'!$B$7:$B$26,MATCH(SUBSTITUTE(SUBSTITUTE(SUBSTITUTE(SUBSTITUTE("type:"&amp;B1909,"%","%25"),"~","%7E"),"*","%2A"),"?","%3F"),'Rules'!$G$7:$G$26,0))="km"),INDEX('Rules'!$B$7:$B$26,MATCH(SUBSTITUTE(SUBSTITUTE(SUBSTITUTE(SUBSTITUTE("type:"&amp;B1909,"%","%25"),"~","%7E"),"*","%2A"),"?","%3F"),'Rules'!$G$7:$G$26,0)),""))</x:f>
      </x:c>
      <x:c r="I1909" s="6" t="str">
        <x:f>IF(AND(NOT(COUNTA(A1909:F1909)=0),K1909=""),ROUND(J1909-D1909,3),"")</x:f>
      </x:c>
      <x:c r="J1909" s="6" t="str">
        <x:f>IF(AND(NOT(COUNTA(A1909:F1909)=0),K1909=""),ROUND(F1909+L1909,3),"")</x:f>
      </x:c>
      <x:c r="K1909" s="5" t="str">
        <x:f>IF(COUNTA(A1909:F1909)=0,"",IF(A1909="","Missing equipment ID",IF(COUNTIFS($N$8:$N$2007,"="&amp;N1909)&gt;1,"Duplicate equipment ID",IF(B1909="","Missing type",IF(COUNTIFS('Rules'!$G$7:$G$26,"="&amp;(SUBSTITUTE(SUBSTITUTE(SUBSTITUTE(SUBSTITUTE("type:"&amp;B1909,"%","%25"),"~","%7E"),"*","%2A"),"?","%3F")))=0,"Unknown type",IF(COUNTIFS('Rules'!$G$7:$G$26,"="&amp;(SUBSTITUTE(SUBSTITUTE(SUBSTITUTE(SUBSTITUTE("type:"&amp;B1909,"%","%25"),"~","%7E"),"*","%2A"),"?","%3F")))&gt;1,"Duplicate type",IF(INDEX('Rules'!$F$7:$F$26,MATCH(SUBSTITUTE(SUBSTITUTE(SUBSTITUTE(SUBSTITUTE("type:"&amp;B1909,"%","%25"),"~","%7E"),"*","%2A"),"?","%3F"),'Rules'!$G$7:$G$26,0))&lt;&gt;"",INDEX('Rules'!$F$7:$F$26,MATCH(SUBSTITUTE(SUBSTITUTE(SUBSTITUTE(SUBSTITUTE("type:"&amp;B1909,"%","%25"),"~","%7E"),"*","%2A"),"?","%3F"),'Rules'!$G$7:$G$26,0)),IF(AND(C1909&lt;&gt;"",C1909&lt;&gt;INDEX('Rules'!$B$7:$B$26,MATCH(SUBSTITUTE(SUBSTITUTE(SUBSTITUTE(SUBSTITUTE("type:"&amp;B1909,"%","%25"),"~","%7E"),"*","%2A"),"?","%3F"),'Rules'!$G$7:$G$26,0))),"Unit mismatch",IF(IF(NOT(ISNUMBER(D1909)),TRUE,OR(D1909&lt;0,D1909&gt;999999999,ROUND(D1909,3)&lt;&gt;D1909)),"Invalid current reading",IF(AND(E1909&lt;&gt;"",IF(NOT(ISNUMBER(E1909)),TRUE,OR(E1909&lt;0,E1909&gt;999999999,ROUND(E1909,3)&lt;&gt;E1909))),"Invalid previous reading",IF(IF(NOT(ISNUMBER(F1909)),TRUE,OR(F1909&lt;0,F1909&gt;999999999,ROUND(F1909,3)&lt;&gt;F1909)),"Invalid last service",IF(AND(E1909&lt;&gt;"",D1909&lt;E1909),"Decreased reading",IF(F1909&gt;D1909,"Last service above current","")))))))))))))</x:f>
      </x:c>
      <x:c r="L1909" s="6" t="str">
        <x:f>IF(AND(NOT(COUNTA(A1909:F1909)=0),K1909=""),INDEX('Rules'!$C$7:$C$26,MATCH(SUBSTITUTE(SUBSTITUTE(SUBSTITUTE(SUBSTITUTE("type:"&amp;B1909,"%","%25"),"~","%7E"),"*","%2A"),"?","%3F"),'Rules'!$G$7:$G$26,0)),"")</x:f>
      </x:c>
      <x:c r="M1909" s="6" t="str">
        <x:f>IF(AND(NOT(COUNTA(A1909:F1909)=0),K1909=""),INDEX('Rules'!$D$7:$D$26,MATCH(SUBSTITUTE(SUBSTITUTE(SUBSTITUTE(SUBSTITUTE("type:"&amp;B1909,"%","%25"),"~","%7E"),"*","%2A"),"?","%3F"),'Rules'!$G$7:$G$26,0)),"")</x:f>
      </x:c>
      <x:c r="N1909" s="5" t="str">
        <x:f>IF(COUNTA(A1909:F1909)=0,"",SUBSTITUTE(SUBSTITUTE(SUBSTITUTE(SUBSTITUTE("id:"&amp;A1909,"%","%25"),"~","%7E"),"*","%2A"),"?","%3F"))</x:f>
      </x:c>
    </x:row>
    <x:row r="1910" ht="22" customHeight="1">
      <x:c r="A1910" s="3"/>
      <x:c r="B1910" s="3"/>
      <x:c r="C1910" s="3"/>
      <x:c r="D1910" s="4"/>
      <x:c r="E1910" s="4"/>
      <x:c r="F1910" s="4"/>
      <x:c r="G1910" s="5" t="str">
        <x:f>IF(COUNTA(A1910:F1910)=0,"",IF(K1910&lt;&gt;"","Review",IF(I1910&lt;0,"Overdue",IF(I1910=0,"Due now",IF(I1910&lt;=M1910,"Due soon","Not due")))))</x:f>
      </x:c>
      <x:c r="H1910" s="5" t="str">
        <x:f>IF(OR(COUNTA(A1910:F1910)=0,COUNTIFS('Rules'!$G$7:$G$26,"="&amp;(SUBSTITUTE(SUBSTITUTE(SUBSTITUTE(SUBSTITUTE("type:"&amp;B1910,"%","%25"),"~","%7E"),"*","%2A"),"?","%3F")))&lt;&gt;1),"",IF(OR(INDEX('Rules'!$B$7:$B$26,MATCH(SUBSTITUTE(SUBSTITUTE(SUBSTITUTE(SUBSTITUTE("type:"&amp;B1910,"%","%25"),"~","%7E"),"*","%2A"),"?","%3F"),'Rules'!$G$7:$G$26,0))="hours",INDEX('Rules'!$B$7:$B$26,MATCH(SUBSTITUTE(SUBSTITUTE(SUBSTITUTE(SUBSTITUTE("type:"&amp;B1910,"%","%25"),"~","%7E"),"*","%2A"),"?","%3F"),'Rules'!$G$7:$G$26,0))="km"),INDEX('Rules'!$B$7:$B$26,MATCH(SUBSTITUTE(SUBSTITUTE(SUBSTITUTE(SUBSTITUTE("type:"&amp;B1910,"%","%25"),"~","%7E"),"*","%2A"),"?","%3F"),'Rules'!$G$7:$G$26,0)),""))</x:f>
      </x:c>
      <x:c r="I1910" s="6" t="str">
        <x:f>IF(AND(NOT(COUNTA(A1910:F1910)=0),K1910=""),ROUND(J1910-D1910,3),"")</x:f>
      </x:c>
      <x:c r="J1910" s="6" t="str">
        <x:f>IF(AND(NOT(COUNTA(A1910:F1910)=0),K1910=""),ROUND(F1910+L1910,3),"")</x:f>
      </x:c>
      <x:c r="K1910" s="5" t="str">
        <x:f>IF(COUNTA(A1910:F1910)=0,"",IF(A1910="","Missing equipment ID",IF(COUNTIFS($N$8:$N$2007,"="&amp;N1910)&gt;1,"Duplicate equipment ID",IF(B1910="","Missing type",IF(COUNTIFS('Rules'!$G$7:$G$26,"="&amp;(SUBSTITUTE(SUBSTITUTE(SUBSTITUTE(SUBSTITUTE("type:"&amp;B1910,"%","%25"),"~","%7E"),"*","%2A"),"?","%3F")))=0,"Unknown type",IF(COUNTIFS('Rules'!$G$7:$G$26,"="&amp;(SUBSTITUTE(SUBSTITUTE(SUBSTITUTE(SUBSTITUTE("type:"&amp;B1910,"%","%25"),"~","%7E"),"*","%2A"),"?","%3F")))&gt;1,"Duplicate type",IF(INDEX('Rules'!$F$7:$F$26,MATCH(SUBSTITUTE(SUBSTITUTE(SUBSTITUTE(SUBSTITUTE("type:"&amp;B1910,"%","%25"),"~","%7E"),"*","%2A"),"?","%3F"),'Rules'!$G$7:$G$26,0))&lt;&gt;"",INDEX('Rules'!$F$7:$F$26,MATCH(SUBSTITUTE(SUBSTITUTE(SUBSTITUTE(SUBSTITUTE("type:"&amp;B1910,"%","%25"),"~","%7E"),"*","%2A"),"?","%3F"),'Rules'!$G$7:$G$26,0)),IF(AND(C1910&lt;&gt;"",C1910&lt;&gt;INDEX('Rules'!$B$7:$B$26,MATCH(SUBSTITUTE(SUBSTITUTE(SUBSTITUTE(SUBSTITUTE("type:"&amp;B1910,"%","%25"),"~","%7E"),"*","%2A"),"?","%3F"),'Rules'!$G$7:$G$26,0))),"Unit mismatch",IF(IF(NOT(ISNUMBER(D1910)),TRUE,OR(D1910&lt;0,D1910&gt;999999999,ROUND(D1910,3)&lt;&gt;D1910)),"Invalid current reading",IF(AND(E1910&lt;&gt;"",IF(NOT(ISNUMBER(E1910)),TRUE,OR(E1910&lt;0,E1910&gt;999999999,ROUND(E1910,3)&lt;&gt;E1910))),"Invalid previous reading",IF(IF(NOT(ISNUMBER(F1910)),TRUE,OR(F1910&lt;0,F1910&gt;999999999,ROUND(F1910,3)&lt;&gt;F1910)),"Invalid last service",IF(AND(E1910&lt;&gt;"",D1910&lt;E1910),"Decreased reading",IF(F1910&gt;D1910,"Last service above current","")))))))))))))</x:f>
      </x:c>
      <x:c r="L1910" s="6" t="str">
        <x:f>IF(AND(NOT(COUNTA(A1910:F1910)=0),K1910=""),INDEX('Rules'!$C$7:$C$26,MATCH(SUBSTITUTE(SUBSTITUTE(SUBSTITUTE(SUBSTITUTE("type:"&amp;B1910,"%","%25"),"~","%7E"),"*","%2A"),"?","%3F"),'Rules'!$G$7:$G$26,0)),"")</x:f>
      </x:c>
      <x:c r="M1910" s="6" t="str">
        <x:f>IF(AND(NOT(COUNTA(A1910:F1910)=0),K1910=""),INDEX('Rules'!$D$7:$D$26,MATCH(SUBSTITUTE(SUBSTITUTE(SUBSTITUTE(SUBSTITUTE("type:"&amp;B1910,"%","%25"),"~","%7E"),"*","%2A"),"?","%3F"),'Rules'!$G$7:$G$26,0)),"")</x:f>
      </x:c>
      <x:c r="N1910" s="5" t="str">
        <x:f>IF(COUNTA(A1910:F1910)=0,"",SUBSTITUTE(SUBSTITUTE(SUBSTITUTE(SUBSTITUTE("id:"&amp;A1910,"%","%25"),"~","%7E"),"*","%2A"),"?","%3F"))</x:f>
      </x:c>
    </x:row>
    <x:row r="1911" ht="22" customHeight="1">
      <x:c r="A1911" s="3"/>
      <x:c r="B1911" s="3"/>
      <x:c r="C1911" s="3"/>
      <x:c r="D1911" s="4"/>
      <x:c r="E1911" s="4"/>
      <x:c r="F1911" s="4"/>
      <x:c r="G1911" s="5" t="str">
        <x:f>IF(COUNTA(A1911:F1911)=0,"",IF(K1911&lt;&gt;"","Review",IF(I1911&lt;0,"Overdue",IF(I1911=0,"Due now",IF(I1911&lt;=M1911,"Due soon","Not due")))))</x:f>
      </x:c>
      <x:c r="H1911" s="5" t="str">
        <x:f>IF(OR(COUNTA(A1911:F1911)=0,COUNTIFS('Rules'!$G$7:$G$26,"="&amp;(SUBSTITUTE(SUBSTITUTE(SUBSTITUTE(SUBSTITUTE("type:"&amp;B1911,"%","%25"),"~","%7E"),"*","%2A"),"?","%3F")))&lt;&gt;1),"",IF(OR(INDEX('Rules'!$B$7:$B$26,MATCH(SUBSTITUTE(SUBSTITUTE(SUBSTITUTE(SUBSTITUTE("type:"&amp;B1911,"%","%25"),"~","%7E"),"*","%2A"),"?","%3F"),'Rules'!$G$7:$G$26,0))="hours",INDEX('Rules'!$B$7:$B$26,MATCH(SUBSTITUTE(SUBSTITUTE(SUBSTITUTE(SUBSTITUTE("type:"&amp;B1911,"%","%25"),"~","%7E"),"*","%2A"),"?","%3F"),'Rules'!$G$7:$G$26,0))="km"),INDEX('Rules'!$B$7:$B$26,MATCH(SUBSTITUTE(SUBSTITUTE(SUBSTITUTE(SUBSTITUTE("type:"&amp;B1911,"%","%25"),"~","%7E"),"*","%2A"),"?","%3F"),'Rules'!$G$7:$G$26,0)),""))</x:f>
      </x:c>
      <x:c r="I1911" s="6" t="str">
        <x:f>IF(AND(NOT(COUNTA(A1911:F1911)=0),K1911=""),ROUND(J1911-D1911,3),"")</x:f>
      </x:c>
      <x:c r="J1911" s="6" t="str">
        <x:f>IF(AND(NOT(COUNTA(A1911:F1911)=0),K1911=""),ROUND(F1911+L1911,3),"")</x:f>
      </x:c>
      <x:c r="K1911" s="5" t="str">
        <x:f>IF(COUNTA(A1911:F1911)=0,"",IF(A1911="","Missing equipment ID",IF(COUNTIFS($N$8:$N$2007,"="&amp;N1911)&gt;1,"Duplicate equipment ID",IF(B1911="","Missing type",IF(COUNTIFS('Rules'!$G$7:$G$26,"="&amp;(SUBSTITUTE(SUBSTITUTE(SUBSTITUTE(SUBSTITUTE("type:"&amp;B1911,"%","%25"),"~","%7E"),"*","%2A"),"?","%3F")))=0,"Unknown type",IF(COUNTIFS('Rules'!$G$7:$G$26,"="&amp;(SUBSTITUTE(SUBSTITUTE(SUBSTITUTE(SUBSTITUTE("type:"&amp;B1911,"%","%25"),"~","%7E"),"*","%2A"),"?","%3F")))&gt;1,"Duplicate type",IF(INDEX('Rules'!$F$7:$F$26,MATCH(SUBSTITUTE(SUBSTITUTE(SUBSTITUTE(SUBSTITUTE("type:"&amp;B1911,"%","%25"),"~","%7E"),"*","%2A"),"?","%3F"),'Rules'!$G$7:$G$26,0))&lt;&gt;"",INDEX('Rules'!$F$7:$F$26,MATCH(SUBSTITUTE(SUBSTITUTE(SUBSTITUTE(SUBSTITUTE("type:"&amp;B1911,"%","%25"),"~","%7E"),"*","%2A"),"?","%3F"),'Rules'!$G$7:$G$26,0)),IF(AND(C1911&lt;&gt;"",C1911&lt;&gt;INDEX('Rules'!$B$7:$B$26,MATCH(SUBSTITUTE(SUBSTITUTE(SUBSTITUTE(SUBSTITUTE("type:"&amp;B1911,"%","%25"),"~","%7E"),"*","%2A"),"?","%3F"),'Rules'!$G$7:$G$26,0))),"Unit mismatch",IF(IF(NOT(ISNUMBER(D1911)),TRUE,OR(D1911&lt;0,D1911&gt;999999999,ROUND(D1911,3)&lt;&gt;D1911)),"Invalid current reading",IF(AND(E1911&lt;&gt;"",IF(NOT(ISNUMBER(E1911)),TRUE,OR(E1911&lt;0,E1911&gt;999999999,ROUND(E1911,3)&lt;&gt;E1911))),"Invalid previous reading",IF(IF(NOT(ISNUMBER(F1911)),TRUE,OR(F1911&lt;0,F1911&gt;999999999,ROUND(F1911,3)&lt;&gt;F1911)),"Invalid last service",IF(AND(E1911&lt;&gt;"",D1911&lt;E1911),"Decreased reading",IF(F1911&gt;D1911,"Last service above current","")))))))))))))</x:f>
      </x:c>
      <x:c r="L1911" s="6" t="str">
        <x:f>IF(AND(NOT(COUNTA(A1911:F1911)=0),K1911=""),INDEX('Rules'!$C$7:$C$26,MATCH(SUBSTITUTE(SUBSTITUTE(SUBSTITUTE(SUBSTITUTE("type:"&amp;B1911,"%","%25"),"~","%7E"),"*","%2A"),"?","%3F"),'Rules'!$G$7:$G$26,0)),"")</x:f>
      </x:c>
      <x:c r="M1911" s="6" t="str">
        <x:f>IF(AND(NOT(COUNTA(A1911:F1911)=0),K1911=""),INDEX('Rules'!$D$7:$D$26,MATCH(SUBSTITUTE(SUBSTITUTE(SUBSTITUTE(SUBSTITUTE("type:"&amp;B1911,"%","%25"),"~","%7E"),"*","%2A"),"?","%3F"),'Rules'!$G$7:$G$26,0)),"")</x:f>
      </x:c>
      <x:c r="N1911" s="5" t="str">
        <x:f>IF(COUNTA(A1911:F1911)=0,"",SUBSTITUTE(SUBSTITUTE(SUBSTITUTE(SUBSTITUTE("id:"&amp;A1911,"%","%25"),"~","%7E"),"*","%2A"),"?","%3F"))</x:f>
      </x:c>
    </x:row>
    <x:row r="1912" ht="22" customHeight="1">
      <x:c r="A1912" s="3"/>
      <x:c r="B1912" s="3"/>
      <x:c r="C1912" s="3"/>
      <x:c r="D1912" s="4"/>
      <x:c r="E1912" s="4"/>
      <x:c r="F1912" s="4"/>
      <x:c r="G1912" s="5" t="str">
        <x:f>IF(COUNTA(A1912:F1912)=0,"",IF(K1912&lt;&gt;"","Review",IF(I1912&lt;0,"Overdue",IF(I1912=0,"Due now",IF(I1912&lt;=M1912,"Due soon","Not due")))))</x:f>
      </x:c>
      <x:c r="H1912" s="5" t="str">
        <x:f>IF(OR(COUNTA(A1912:F1912)=0,COUNTIFS('Rules'!$G$7:$G$26,"="&amp;(SUBSTITUTE(SUBSTITUTE(SUBSTITUTE(SUBSTITUTE("type:"&amp;B1912,"%","%25"),"~","%7E"),"*","%2A"),"?","%3F")))&lt;&gt;1),"",IF(OR(INDEX('Rules'!$B$7:$B$26,MATCH(SUBSTITUTE(SUBSTITUTE(SUBSTITUTE(SUBSTITUTE("type:"&amp;B1912,"%","%25"),"~","%7E"),"*","%2A"),"?","%3F"),'Rules'!$G$7:$G$26,0))="hours",INDEX('Rules'!$B$7:$B$26,MATCH(SUBSTITUTE(SUBSTITUTE(SUBSTITUTE(SUBSTITUTE("type:"&amp;B1912,"%","%25"),"~","%7E"),"*","%2A"),"?","%3F"),'Rules'!$G$7:$G$26,0))="km"),INDEX('Rules'!$B$7:$B$26,MATCH(SUBSTITUTE(SUBSTITUTE(SUBSTITUTE(SUBSTITUTE("type:"&amp;B1912,"%","%25"),"~","%7E"),"*","%2A"),"?","%3F"),'Rules'!$G$7:$G$26,0)),""))</x:f>
      </x:c>
      <x:c r="I1912" s="6" t="str">
        <x:f>IF(AND(NOT(COUNTA(A1912:F1912)=0),K1912=""),ROUND(J1912-D1912,3),"")</x:f>
      </x:c>
      <x:c r="J1912" s="6" t="str">
        <x:f>IF(AND(NOT(COUNTA(A1912:F1912)=0),K1912=""),ROUND(F1912+L1912,3),"")</x:f>
      </x:c>
      <x:c r="K1912" s="5" t="str">
        <x:f>IF(COUNTA(A1912:F1912)=0,"",IF(A1912="","Missing equipment ID",IF(COUNTIFS($N$8:$N$2007,"="&amp;N1912)&gt;1,"Duplicate equipment ID",IF(B1912="","Missing type",IF(COUNTIFS('Rules'!$G$7:$G$26,"="&amp;(SUBSTITUTE(SUBSTITUTE(SUBSTITUTE(SUBSTITUTE("type:"&amp;B1912,"%","%25"),"~","%7E"),"*","%2A"),"?","%3F")))=0,"Unknown type",IF(COUNTIFS('Rules'!$G$7:$G$26,"="&amp;(SUBSTITUTE(SUBSTITUTE(SUBSTITUTE(SUBSTITUTE("type:"&amp;B1912,"%","%25"),"~","%7E"),"*","%2A"),"?","%3F")))&gt;1,"Duplicate type",IF(INDEX('Rules'!$F$7:$F$26,MATCH(SUBSTITUTE(SUBSTITUTE(SUBSTITUTE(SUBSTITUTE("type:"&amp;B1912,"%","%25"),"~","%7E"),"*","%2A"),"?","%3F"),'Rules'!$G$7:$G$26,0))&lt;&gt;"",INDEX('Rules'!$F$7:$F$26,MATCH(SUBSTITUTE(SUBSTITUTE(SUBSTITUTE(SUBSTITUTE("type:"&amp;B1912,"%","%25"),"~","%7E"),"*","%2A"),"?","%3F"),'Rules'!$G$7:$G$26,0)),IF(AND(C1912&lt;&gt;"",C1912&lt;&gt;INDEX('Rules'!$B$7:$B$26,MATCH(SUBSTITUTE(SUBSTITUTE(SUBSTITUTE(SUBSTITUTE("type:"&amp;B1912,"%","%25"),"~","%7E"),"*","%2A"),"?","%3F"),'Rules'!$G$7:$G$26,0))),"Unit mismatch",IF(IF(NOT(ISNUMBER(D1912)),TRUE,OR(D1912&lt;0,D1912&gt;999999999,ROUND(D1912,3)&lt;&gt;D1912)),"Invalid current reading",IF(AND(E1912&lt;&gt;"",IF(NOT(ISNUMBER(E1912)),TRUE,OR(E1912&lt;0,E1912&gt;999999999,ROUND(E1912,3)&lt;&gt;E1912))),"Invalid previous reading",IF(IF(NOT(ISNUMBER(F1912)),TRUE,OR(F1912&lt;0,F1912&gt;999999999,ROUND(F1912,3)&lt;&gt;F1912)),"Invalid last service",IF(AND(E1912&lt;&gt;"",D1912&lt;E1912),"Decreased reading",IF(F1912&gt;D1912,"Last service above current","")))))))))))))</x:f>
      </x:c>
      <x:c r="L1912" s="6" t="str">
        <x:f>IF(AND(NOT(COUNTA(A1912:F1912)=0),K1912=""),INDEX('Rules'!$C$7:$C$26,MATCH(SUBSTITUTE(SUBSTITUTE(SUBSTITUTE(SUBSTITUTE("type:"&amp;B1912,"%","%25"),"~","%7E"),"*","%2A"),"?","%3F"),'Rules'!$G$7:$G$26,0)),"")</x:f>
      </x:c>
      <x:c r="M1912" s="6" t="str">
        <x:f>IF(AND(NOT(COUNTA(A1912:F1912)=0),K1912=""),INDEX('Rules'!$D$7:$D$26,MATCH(SUBSTITUTE(SUBSTITUTE(SUBSTITUTE(SUBSTITUTE("type:"&amp;B1912,"%","%25"),"~","%7E"),"*","%2A"),"?","%3F"),'Rules'!$G$7:$G$26,0)),"")</x:f>
      </x:c>
      <x:c r="N1912" s="5" t="str">
        <x:f>IF(COUNTA(A1912:F1912)=0,"",SUBSTITUTE(SUBSTITUTE(SUBSTITUTE(SUBSTITUTE("id:"&amp;A1912,"%","%25"),"~","%7E"),"*","%2A"),"?","%3F"))</x:f>
      </x:c>
    </x:row>
    <x:row r="1913" ht="22" customHeight="1">
      <x:c r="A1913" s="3"/>
      <x:c r="B1913" s="3"/>
      <x:c r="C1913" s="3"/>
      <x:c r="D1913" s="4"/>
      <x:c r="E1913" s="4"/>
      <x:c r="F1913" s="4"/>
      <x:c r="G1913" s="5" t="str">
        <x:f>IF(COUNTA(A1913:F1913)=0,"",IF(K1913&lt;&gt;"","Review",IF(I1913&lt;0,"Overdue",IF(I1913=0,"Due now",IF(I1913&lt;=M1913,"Due soon","Not due")))))</x:f>
      </x:c>
      <x:c r="H1913" s="5" t="str">
        <x:f>IF(OR(COUNTA(A1913:F1913)=0,COUNTIFS('Rules'!$G$7:$G$26,"="&amp;(SUBSTITUTE(SUBSTITUTE(SUBSTITUTE(SUBSTITUTE("type:"&amp;B1913,"%","%25"),"~","%7E"),"*","%2A"),"?","%3F")))&lt;&gt;1),"",IF(OR(INDEX('Rules'!$B$7:$B$26,MATCH(SUBSTITUTE(SUBSTITUTE(SUBSTITUTE(SUBSTITUTE("type:"&amp;B1913,"%","%25"),"~","%7E"),"*","%2A"),"?","%3F"),'Rules'!$G$7:$G$26,0))="hours",INDEX('Rules'!$B$7:$B$26,MATCH(SUBSTITUTE(SUBSTITUTE(SUBSTITUTE(SUBSTITUTE("type:"&amp;B1913,"%","%25"),"~","%7E"),"*","%2A"),"?","%3F"),'Rules'!$G$7:$G$26,0))="km"),INDEX('Rules'!$B$7:$B$26,MATCH(SUBSTITUTE(SUBSTITUTE(SUBSTITUTE(SUBSTITUTE("type:"&amp;B1913,"%","%25"),"~","%7E"),"*","%2A"),"?","%3F"),'Rules'!$G$7:$G$26,0)),""))</x:f>
      </x:c>
      <x:c r="I1913" s="6" t="str">
        <x:f>IF(AND(NOT(COUNTA(A1913:F1913)=0),K1913=""),ROUND(J1913-D1913,3),"")</x:f>
      </x:c>
      <x:c r="J1913" s="6" t="str">
        <x:f>IF(AND(NOT(COUNTA(A1913:F1913)=0),K1913=""),ROUND(F1913+L1913,3),"")</x:f>
      </x:c>
      <x:c r="K1913" s="5" t="str">
        <x:f>IF(COUNTA(A1913:F1913)=0,"",IF(A1913="","Missing equipment ID",IF(COUNTIFS($N$8:$N$2007,"="&amp;N1913)&gt;1,"Duplicate equipment ID",IF(B1913="","Missing type",IF(COUNTIFS('Rules'!$G$7:$G$26,"="&amp;(SUBSTITUTE(SUBSTITUTE(SUBSTITUTE(SUBSTITUTE("type:"&amp;B1913,"%","%25"),"~","%7E"),"*","%2A"),"?","%3F")))=0,"Unknown type",IF(COUNTIFS('Rules'!$G$7:$G$26,"="&amp;(SUBSTITUTE(SUBSTITUTE(SUBSTITUTE(SUBSTITUTE("type:"&amp;B1913,"%","%25"),"~","%7E"),"*","%2A"),"?","%3F")))&gt;1,"Duplicate type",IF(INDEX('Rules'!$F$7:$F$26,MATCH(SUBSTITUTE(SUBSTITUTE(SUBSTITUTE(SUBSTITUTE("type:"&amp;B1913,"%","%25"),"~","%7E"),"*","%2A"),"?","%3F"),'Rules'!$G$7:$G$26,0))&lt;&gt;"",INDEX('Rules'!$F$7:$F$26,MATCH(SUBSTITUTE(SUBSTITUTE(SUBSTITUTE(SUBSTITUTE("type:"&amp;B1913,"%","%25"),"~","%7E"),"*","%2A"),"?","%3F"),'Rules'!$G$7:$G$26,0)),IF(AND(C1913&lt;&gt;"",C1913&lt;&gt;INDEX('Rules'!$B$7:$B$26,MATCH(SUBSTITUTE(SUBSTITUTE(SUBSTITUTE(SUBSTITUTE("type:"&amp;B1913,"%","%25"),"~","%7E"),"*","%2A"),"?","%3F"),'Rules'!$G$7:$G$26,0))),"Unit mismatch",IF(IF(NOT(ISNUMBER(D1913)),TRUE,OR(D1913&lt;0,D1913&gt;999999999,ROUND(D1913,3)&lt;&gt;D1913)),"Invalid current reading",IF(AND(E1913&lt;&gt;"",IF(NOT(ISNUMBER(E1913)),TRUE,OR(E1913&lt;0,E1913&gt;999999999,ROUND(E1913,3)&lt;&gt;E1913))),"Invalid previous reading",IF(IF(NOT(ISNUMBER(F1913)),TRUE,OR(F1913&lt;0,F1913&gt;999999999,ROUND(F1913,3)&lt;&gt;F1913)),"Invalid last service",IF(AND(E1913&lt;&gt;"",D1913&lt;E1913),"Decreased reading",IF(F1913&gt;D1913,"Last service above current","")))))))))))))</x:f>
      </x:c>
      <x:c r="L1913" s="6" t="str">
        <x:f>IF(AND(NOT(COUNTA(A1913:F1913)=0),K1913=""),INDEX('Rules'!$C$7:$C$26,MATCH(SUBSTITUTE(SUBSTITUTE(SUBSTITUTE(SUBSTITUTE("type:"&amp;B1913,"%","%25"),"~","%7E"),"*","%2A"),"?","%3F"),'Rules'!$G$7:$G$26,0)),"")</x:f>
      </x:c>
      <x:c r="M1913" s="6" t="str">
        <x:f>IF(AND(NOT(COUNTA(A1913:F1913)=0),K1913=""),INDEX('Rules'!$D$7:$D$26,MATCH(SUBSTITUTE(SUBSTITUTE(SUBSTITUTE(SUBSTITUTE("type:"&amp;B1913,"%","%25"),"~","%7E"),"*","%2A"),"?","%3F"),'Rules'!$G$7:$G$26,0)),"")</x:f>
      </x:c>
      <x:c r="N1913" s="5" t="str">
        <x:f>IF(COUNTA(A1913:F1913)=0,"",SUBSTITUTE(SUBSTITUTE(SUBSTITUTE(SUBSTITUTE("id:"&amp;A1913,"%","%25"),"~","%7E"),"*","%2A"),"?","%3F"))</x:f>
      </x:c>
    </x:row>
    <x:row r="1914" ht="22" customHeight="1">
      <x:c r="A1914" s="3"/>
      <x:c r="B1914" s="3"/>
      <x:c r="C1914" s="3"/>
      <x:c r="D1914" s="4"/>
      <x:c r="E1914" s="4"/>
      <x:c r="F1914" s="4"/>
      <x:c r="G1914" s="5" t="str">
        <x:f>IF(COUNTA(A1914:F1914)=0,"",IF(K1914&lt;&gt;"","Review",IF(I1914&lt;0,"Overdue",IF(I1914=0,"Due now",IF(I1914&lt;=M1914,"Due soon","Not due")))))</x:f>
      </x:c>
      <x:c r="H1914" s="5" t="str">
        <x:f>IF(OR(COUNTA(A1914:F1914)=0,COUNTIFS('Rules'!$G$7:$G$26,"="&amp;(SUBSTITUTE(SUBSTITUTE(SUBSTITUTE(SUBSTITUTE("type:"&amp;B1914,"%","%25"),"~","%7E"),"*","%2A"),"?","%3F")))&lt;&gt;1),"",IF(OR(INDEX('Rules'!$B$7:$B$26,MATCH(SUBSTITUTE(SUBSTITUTE(SUBSTITUTE(SUBSTITUTE("type:"&amp;B1914,"%","%25"),"~","%7E"),"*","%2A"),"?","%3F"),'Rules'!$G$7:$G$26,0))="hours",INDEX('Rules'!$B$7:$B$26,MATCH(SUBSTITUTE(SUBSTITUTE(SUBSTITUTE(SUBSTITUTE("type:"&amp;B1914,"%","%25"),"~","%7E"),"*","%2A"),"?","%3F"),'Rules'!$G$7:$G$26,0))="km"),INDEX('Rules'!$B$7:$B$26,MATCH(SUBSTITUTE(SUBSTITUTE(SUBSTITUTE(SUBSTITUTE("type:"&amp;B1914,"%","%25"),"~","%7E"),"*","%2A"),"?","%3F"),'Rules'!$G$7:$G$26,0)),""))</x:f>
      </x:c>
      <x:c r="I1914" s="6" t="str">
        <x:f>IF(AND(NOT(COUNTA(A1914:F1914)=0),K1914=""),ROUND(J1914-D1914,3),"")</x:f>
      </x:c>
      <x:c r="J1914" s="6" t="str">
        <x:f>IF(AND(NOT(COUNTA(A1914:F1914)=0),K1914=""),ROUND(F1914+L1914,3),"")</x:f>
      </x:c>
      <x:c r="K1914" s="5" t="str">
        <x:f>IF(COUNTA(A1914:F1914)=0,"",IF(A1914="","Missing equipment ID",IF(COUNTIFS($N$8:$N$2007,"="&amp;N1914)&gt;1,"Duplicate equipment ID",IF(B1914="","Missing type",IF(COUNTIFS('Rules'!$G$7:$G$26,"="&amp;(SUBSTITUTE(SUBSTITUTE(SUBSTITUTE(SUBSTITUTE("type:"&amp;B1914,"%","%25"),"~","%7E"),"*","%2A"),"?","%3F")))=0,"Unknown type",IF(COUNTIFS('Rules'!$G$7:$G$26,"="&amp;(SUBSTITUTE(SUBSTITUTE(SUBSTITUTE(SUBSTITUTE("type:"&amp;B1914,"%","%25"),"~","%7E"),"*","%2A"),"?","%3F")))&gt;1,"Duplicate type",IF(INDEX('Rules'!$F$7:$F$26,MATCH(SUBSTITUTE(SUBSTITUTE(SUBSTITUTE(SUBSTITUTE("type:"&amp;B1914,"%","%25"),"~","%7E"),"*","%2A"),"?","%3F"),'Rules'!$G$7:$G$26,0))&lt;&gt;"",INDEX('Rules'!$F$7:$F$26,MATCH(SUBSTITUTE(SUBSTITUTE(SUBSTITUTE(SUBSTITUTE("type:"&amp;B1914,"%","%25"),"~","%7E"),"*","%2A"),"?","%3F"),'Rules'!$G$7:$G$26,0)),IF(AND(C1914&lt;&gt;"",C1914&lt;&gt;INDEX('Rules'!$B$7:$B$26,MATCH(SUBSTITUTE(SUBSTITUTE(SUBSTITUTE(SUBSTITUTE("type:"&amp;B1914,"%","%25"),"~","%7E"),"*","%2A"),"?","%3F"),'Rules'!$G$7:$G$26,0))),"Unit mismatch",IF(IF(NOT(ISNUMBER(D1914)),TRUE,OR(D1914&lt;0,D1914&gt;999999999,ROUND(D1914,3)&lt;&gt;D1914)),"Invalid current reading",IF(AND(E1914&lt;&gt;"",IF(NOT(ISNUMBER(E1914)),TRUE,OR(E1914&lt;0,E1914&gt;999999999,ROUND(E1914,3)&lt;&gt;E1914))),"Invalid previous reading",IF(IF(NOT(ISNUMBER(F1914)),TRUE,OR(F1914&lt;0,F1914&gt;999999999,ROUND(F1914,3)&lt;&gt;F1914)),"Invalid last service",IF(AND(E1914&lt;&gt;"",D1914&lt;E1914),"Decreased reading",IF(F1914&gt;D1914,"Last service above current","")))))))))))))</x:f>
      </x:c>
      <x:c r="L1914" s="6" t="str">
        <x:f>IF(AND(NOT(COUNTA(A1914:F1914)=0),K1914=""),INDEX('Rules'!$C$7:$C$26,MATCH(SUBSTITUTE(SUBSTITUTE(SUBSTITUTE(SUBSTITUTE("type:"&amp;B1914,"%","%25"),"~","%7E"),"*","%2A"),"?","%3F"),'Rules'!$G$7:$G$26,0)),"")</x:f>
      </x:c>
      <x:c r="M1914" s="6" t="str">
        <x:f>IF(AND(NOT(COUNTA(A1914:F1914)=0),K1914=""),INDEX('Rules'!$D$7:$D$26,MATCH(SUBSTITUTE(SUBSTITUTE(SUBSTITUTE(SUBSTITUTE("type:"&amp;B1914,"%","%25"),"~","%7E"),"*","%2A"),"?","%3F"),'Rules'!$G$7:$G$26,0)),"")</x:f>
      </x:c>
      <x:c r="N1914" s="5" t="str">
        <x:f>IF(COUNTA(A1914:F1914)=0,"",SUBSTITUTE(SUBSTITUTE(SUBSTITUTE(SUBSTITUTE("id:"&amp;A1914,"%","%25"),"~","%7E"),"*","%2A"),"?","%3F"))</x:f>
      </x:c>
    </x:row>
    <x:row r="1915" ht="22" customHeight="1">
      <x:c r="A1915" s="3"/>
      <x:c r="B1915" s="3"/>
      <x:c r="C1915" s="3"/>
      <x:c r="D1915" s="4"/>
      <x:c r="E1915" s="4"/>
      <x:c r="F1915" s="4"/>
      <x:c r="G1915" s="5" t="str">
        <x:f>IF(COUNTA(A1915:F1915)=0,"",IF(K1915&lt;&gt;"","Review",IF(I1915&lt;0,"Overdue",IF(I1915=0,"Due now",IF(I1915&lt;=M1915,"Due soon","Not due")))))</x:f>
      </x:c>
      <x:c r="H1915" s="5" t="str">
        <x:f>IF(OR(COUNTA(A1915:F1915)=0,COUNTIFS('Rules'!$G$7:$G$26,"="&amp;(SUBSTITUTE(SUBSTITUTE(SUBSTITUTE(SUBSTITUTE("type:"&amp;B1915,"%","%25"),"~","%7E"),"*","%2A"),"?","%3F")))&lt;&gt;1),"",IF(OR(INDEX('Rules'!$B$7:$B$26,MATCH(SUBSTITUTE(SUBSTITUTE(SUBSTITUTE(SUBSTITUTE("type:"&amp;B1915,"%","%25"),"~","%7E"),"*","%2A"),"?","%3F"),'Rules'!$G$7:$G$26,0))="hours",INDEX('Rules'!$B$7:$B$26,MATCH(SUBSTITUTE(SUBSTITUTE(SUBSTITUTE(SUBSTITUTE("type:"&amp;B1915,"%","%25"),"~","%7E"),"*","%2A"),"?","%3F"),'Rules'!$G$7:$G$26,0))="km"),INDEX('Rules'!$B$7:$B$26,MATCH(SUBSTITUTE(SUBSTITUTE(SUBSTITUTE(SUBSTITUTE("type:"&amp;B1915,"%","%25"),"~","%7E"),"*","%2A"),"?","%3F"),'Rules'!$G$7:$G$26,0)),""))</x:f>
      </x:c>
      <x:c r="I1915" s="6" t="str">
        <x:f>IF(AND(NOT(COUNTA(A1915:F1915)=0),K1915=""),ROUND(J1915-D1915,3),"")</x:f>
      </x:c>
      <x:c r="J1915" s="6" t="str">
        <x:f>IF(AND(NOT(COUNTA(A1915:F1915)=0),K1915=""),ROUND(F1915+L1915,3),"")</x:f>
      </x:c>
      <x:c r="K1915" s="5" t="str">
        <x:f>IF(COUNTA(A1915:F1915)=0,"",IF(A1915="","Missing equipment ID",IF(COUNTIFS($N$8:$N$2007,"="&amp;N1915)&gt;1,"Duplicate equipment ID",IF(B1915="","Missing type",IF(COUNTIFS('Rules'!$G$7:$G$26,"="&amp;(SUBSTITUTE(SUBSTITUTE(SUBSTITUTE(SUBSTITUTE("type:"&amp;B1915,"%","%25"),"~","%7E"),"*","%2A"),"?","%3F")))=0,"Unknown type",IF(COUNTIFS('Rules'!$G$7:$G$26,"="&amp;(SUBSTITUTE(SUBSTITUTE(SUBSTITUTE(SUBSTITUTE("type:"&amp;B1915,"%","%25"),"~","%7E"),"*","%2A"),"?","%3F")))&gt;1,"Duplicate type",IF(INDEX('Rules'!$F$7:$F$26,MATCH(SUBSTITUTE(SUBSTITUTE(SUBSTITUTE(SUBSTITUTE("type:"&amp;B1915,"%","%25"),"~","%7E"),"*","%2A"),"?","%3F"),'Rules'!$G$7:$G$26,0))&lt;&gt;"",INDEX('Rules'!$F$7:$F$26,MATCH(SUBSTITUTE(SUBSTITUTE(SUBSTITUTE(SUBSTITUTE("type:"&amp;B1915,"%","%25"),"~","%7E"),"*","%2A"),"?","%3F"),'Rules'!$G$7:$G$26,0)),IF(AND(C1915&lt;&gt;"",C1915&lt;&gt;INDEX('Rules'!$B$7:$B$26,MATCH(SUBSTITUTE(SUBSTITUTE(SUBSTITUTE(SUBSTITUTE("type:"&amp;B1915,"%","%25"),"~","%7E"),"*","%2A"),"?","%3F"),'Rules'!$G$7:$G$26,0))),"Unit mismatch",IF(IF(NOT(ISNUMBER(D1915)),TRUE,OR(D1915&lt;0,D1915&gt;999999999,ROUND(D1915,3)&lt;&gt;D1915)),"Invalid current reading",IF(AND(E1915&lt;&gt;"",IF(NOT(ISNUMBER(E1915)),TRUE,OR(E1915&lt;0,E1915&gt;999999999,ROUND(E1915,3)&lt;&gt;E1915))),"Invalid previous reading",IF(IF(NOT(ISNUMBER(F1915)),TRUE,OR(F1915&lt;0,F1915&gt;999999999,ROUND(F1915,3)&lt;&gt;F1915)),"Invalid last service",IF(AND(E1915&lt;&gt;"",D1915&lt;E1915),"Decreased reading",IF(F1915&gt;D1915,"Last service above current","")))))))))))))</x:f>
      </x:c>
      <x:c r="L1915" s="6" t="str">
        <x:f>IF(AND(NOT(COUNTA(A1915:F1915)=0),K1915=""),INDEX('Rules'!$C$7:$C$26,MATCH(SUBSTITUTE(SUBSTITUTE(SUBSTITUTE(SUBSTITUTE("type:"&amp;B1915,"%","%25"),"~","%7E"),"*","%2A"),"?","%3F"),'Rules'!$G$7:$G$26,0)),"")</x:f>
      </x:c>
      <x:c r="M1915" s="6" t="str">
        <x:f>IF(AND(NOT(COUNTA(A1915:F1915)=0),K1915=""),INDEX('Rules'!$D$7:$D$26,MATCH(SUBSTITUTE(SUBSTITUTE(SUBSTITUTE(SUBSTITUTE("type:"&amp;B1915,"%","%25"),"~","%7E"),"*","%2A"),"?","%3F"),'Rules'!$G$7:$G$26,0)),"")</x:f>
      </x:c>
      <x:c r="N1915" s="5" t="str">
        <x:f>IF(COUNTA(A1915:F1915)=0,"",SUBSTITUTE(SUBSTITUTE(SUBSTITUTE(SUBSTITUTE("id:"&amp;A1915,"%","%25"),"~","%7E"),"*","%2A"),"?","%3F"))</x:f>
      </x:c>
    </x:row>
    <x:row r="1916" ht="22" customHeight="1">
      <x:c r="A1916" s="3"/>
      <x:c r="B1916" s="3"/>
      <x:c r="C1916" s="3"/>
      <x:c r="D1916" s="4"/>
      <x:c r="E1916" s="4"/>
      <x:c r="F1916" s="4"/>
      <x:c r="G1916" s="5" t="str">
        <x:f>IF(COUNTA(A1916:F1916)=0,"",IF(K1916&lt;&gt;"","Review",IF(I1916&lt;0,"Overdue",IF(I1916=0,"Due now",IF(I1916&lt;=M1916,"Due soon","Not due")))))</x:f>
      </x:c>
      <x:c r="H1916" s="5" t="str">
        <x:f>IF(OR(COUNTA(A1916:F1916)=0,COUNTIFS('Rules'!$G$7:$G$26,"="&amp;(SUBSTITUTE(SUBSTITUTE(SUBSTITUTE(SUBSTITUTE("type:"&amp;B1916,"%","%25"),"~","%7E"),"*","%2A"),"?","%3F")))&lt;&gt;1),"",IF(OR(INDEX('Rules'!$B$7:$B$26,MATCH(SUBSTITUTE(SUBSTITUTE(SUBSTITUTE(SUBSTITUTE("type:"&amp;B1916,"%","%25"),"~","%7E"),"*","%2A"),"?","%3F"),'Rules'!$G$7:$G$26,0))="hours",INDEX('Rules'!$B$7:$B$26,MATCH(SUBSTITUTE(SUBSTITUTE(SUBSTITUTE(SUBSTITUTE("type:"&amp;B1916,"%","%25"),"~","%7E"),"*","%2A"),"?","%3F"),'Rules'!$G$7:$G$26,0))="km"),INDEX('Rules'!$B$7:$B$26,MATCH(SUBSTITUTE(SUBSTITUTE(SUBSTITUTE(SUBSTITUTE("type:"&amp;B1916,"%","%25"),"~","%7E"),"*","%2A"),"?","%3F"),'Rules'!$G$7:$G$26,0)),""))</x:f>
      </x:c>
      <x:c r="I1916" s="6" t="str">
        <x:f>IF(AND(NOT(COUNTA(A1916:F1916)=0),K1916=""),ROUND(J1916-D1916,3),"")</x:f>
      </x:c>
      <x:c r="J1916" s="6" t="str">
        <x:f>IF(AND(NOT(COUNTA(A1916:F1916)=0),K1916=""),ROUND(F1916+L1916,3),"")</x:f>
      </x:c>
      <x:c r="K1916" s="5" t="str">
        <x:f>IF(COUNTA(A1916:F1916)=0,"",IF(A1916="","Missing equipment ID",IF(COUNTIFS($N$8:$N$2007,"="&amp;N1916)&gt;1,"Duplicate equipment ID",IF(B1916="","Missing type",IF(COUNTIFS('Rules'!$G$7:$G$26,"="&amp;(SUBSTITUTE(SUBSTITUTE(SUBSTITUTE(SUBSTITUTE("type:"&amp;B1916,"%","%25"),"~","%7E"),"*","%2A"),"?","%3F")))=0,"Unknown type",IF(COUNTIFS('Rules'!$G$7:$G$26,"="&amp;(SUBSTITUTE(SUBSTITUTE(SUBSTITUTE(SUBSTITUTE("type:"&amp;B1916,"%","%25"),"~","%7E"),"*","%2A"),"?","%3F")))&gt;1,"Duplicate type",IF(INDEX('Rules'!$F$7:$F$26,MATCH(SUBSTITUTE(SUBSTITUTE(SUBSTITUTE(SUBSTITUTE("type:"&amp;B1916,"%","%25"),"~","%7E"),"*","%2A"),"?","%3F"),'Rules'!$G$7:$G$26,0))&lt;&gt;"",INDEX('Rules'!$F$7:$F$26,MATCH(SUBSTITUTE(SUBSTITUTE(SUBSTITUTE(SUBSTITUTE("type:"&amp;B1916,"%","%25"),"~","%7E"),"*","%2A"),"?","%3F"),'Rules'!$G$7:$G$26,0)),IF(AND(C1916&lt;&gt;"",C1916&lt;&gt;INDEX('Rules'!$B$7:$B$26,MATCH(SUBSTITUTE(SUBSTITUTE(SUBSTITUTE(SUBSTITUTE("type:"&amp;B1916,"%","%25"),"~","%7E"),"*","%2A"),"?","%3F"),'Rules'!$G$7:$G$26,0))),"Unit mismatch",IF(IF(NOT(ISNUMBER(D1916)),TRUE,OR(D1916&lt;0,D1916&gt;999999999,ROUND(D1916,3)&lt;&gt;D1916)),"Invalid current reading",IF(AND(E1916&lt;&gt;"",IF(NOT(ISNUMBER(E1916)),TRUE,OR(E1916&lt;0,E1916&gt;999999999,ROUND(E1916,3)&lt;&gt;E1916))),"Invalid previous reading",IF(IF(NOT(ISNUMBER(F1916)),TRUE,OR(F1916&lt;0,F1916&gt;999999999,ROUND(F1916,3)&lt;&gt;F1916)),"Invalid last service",IF(AND(E1916&lt;&gt;"",D1916&lt;E1916),"Decreased reading",IF(F1916&gt;D1916,"Last service above current","")))))))))))))</x:f>
      </x:c>
      <x:c r="L1916" s="6" t="str">
        <x:f>IF(AND(NOT(COUNTA(A1916:F1916)=0),K1916=""),INDEX('Rules'!$C$7:$C$26,MATCH(SUBSTITUTE(SUBSTITUTE(SUBSTITUTE(SUBSTITUTE("type:"&amp;B1916,"%","%25"),"~","%7E"),"*","%2A"),"?","%3F"),'Rules'!$G$7:$G$26,0)),"")</x:f>
      </x:c>
      <x:c r="M1916" s="6" t="str">
        <x:f>IF(AND(NOT(COUNTA(A1916:F1916)=0),K1916=""),INDEX('Rules'!$D$7:$D$26,MATCH(SUBSTITUTE(SUBSTITUTE(SUBSTITUTE(SUBSTITUTE("type:"&amp;B1916,"%","%25"),"~","%7E"),"*","%2A"),"?","%3F"),'Rules'!$G$7:$G$26,0)),"")</x:f>
      </x:c>
      <x:c r="N1916" s="5" t="str">
        <x:f>IF(COUNTA(A1916:F1916)=0,"",SUBSTITUTE(SUBSTITUTE(SUBSTITUTE(SUBSTITUTE("id:"&amp;A1916,"%","%25"),"~","%7E"),"*","%2A"),"?","%3F"))</x:f>
      </x:c>
    </x:row>
    <x:row r="1917" ht="22" customHeight="1">
      <x:c r="A1917" s="3"/>
      <x:c r="B1917" s="3"/>
      <x:c r="C1917" s="3"/>
      <x:c r="D1917" s="4"/>
      <x:c r="E1917" s="4"/>
      <x:c r="F1917" s="4"/>
      <x:c r="G1917" s="5" t="str">
        <x:f>IF(COUNTA(A1917:F1917)=0,"",IF(K1917&lt;&gt;"","Review",IF(I1917&lt;0,"Overdue",IF(I1917=0,"Due now",IF(I1917&lt;=M1917,"Due soon","Not due")))))</x:f>
      </x:c>
      <x:c r="H1917" s="5" t="str">
        <x:f>IF(OR(COUNTA(A1917:F1917)=0,COUNTIFS('Rules'!$G$7:$G$26,"="&amp;(SUBSTITUTE(SUBSTITUTE(SUBSTITUTE(SUBSTITUTE("type:"&amp;B1917,"%","%25"),"~","%7E"),"*","%2A"),"?","%3F")))&lt;&gt;1),"",IF(OR(INDEX('Rules'!$B$7:$B$26,MATCH(SUBSTITUTE(SUBSTITUTE(SUBSTITUTE(SUBSTITUTE("type:"&amp;B1917,"%","%25"),"~","%7E"),"*","%2A"),"?","%3F"),'Rules'!$G$7:$G$26,0))="hours",INDEX('Rules'!$B$7:$B$26,MATCH(SUBSTITUTE(SUBSTITUTE(SUBSTITUTE(SUBSTITUTE("type:"&amp;B1917,"%","%25"),"~","%7E"),"*","%2A"),"?","%3F"),'Rules'!$G$7:$G$26,0))="km"),INDEX('Rules'!$B$7:$B$26,MATCH(SUBSTITUTE(SUBSTITUTE(SUBSTITUTE(SUBSTITUTE("type:"&amp;B1917,"%","%25"),"~","%7E"),"*","%2A"),"?","%3F"),'Rules'!$G$7:$G$26,0)),""))</x:f>
      </x:c>
      <x:c r="I1917" s="6" t="str">
        <x:f>IF(AND(NOT(COUNTA(A1917:F1917)=0),K1917=""),ROUND(J1917-D1917,3),"")</x:f>
      </x:c>
      <x:c r="J1917" s="6" t="str">
        <x:f>IF(AND(NOT(COUNTA(A1917:F1917)=0),K1917=""),ROUND(F1917+L1917,3),"")</x:f>
      </x:c>
      <x:c r="K1917" s="5" t="str">
        <x:f>IF(COUNTA(A1917:F1917)=0,"",IF(A1917="","Missing equipment ID",IF(COUNTIFS($N$8:$N$2007,"="&amp;N1917)&gt;1,"Duplicate equipment ID",IF(B1917="","Missing type",IF(COUNTIFS('Rules'!$G$7:$G$26,"="&amp;(SUBSTITUTE(SUBSTITUTE(SUBSTITUTE(SUBSTITUTE("type:"&amp;B1917,"%","%25"),"~","%7E"),"*","%2A"),"?","%3F")))=0,"Unknown type",IF(COUNTIFS('Rules'!$G$7:$G$26,"="&amp;(SUBSTITUTE(SUBSTITUTE(SUBSTITUTE(SUBSTITUTE("type:"&amp;B1917,"%","%25"),"~","%7E"),"*","%2A"),"?","%3F")))&gt;1,"Duplicate type",IF(INDEX('Rules'!$F$7:$F$26,MATCH(SUBSTITUTE(SUBSTITUTE(SUBSTITUTE(SUBSTITUTE("type:"&amp;B1917,"%","%25"),"~","%7E"),"*","%2A"),"?","%3F"),'Rules'!$G$7:$G$26,0))&lt;&gt;"",INDEX('Rules'!$F$7:$F$26,MATCH(SUBSTITUTE(SUBSTITUTE(SUBSTITUTE(SUBSTITUTE("type:"&amp;B1917,"%","%25"),"~","%7E"),"*","%2A"),"?","%3F"),'Rules'!$G$7:$G$26,0)),IF(AND(C1917&lt;&gt;"",C1917&lt;&gt;INDEX('Rules'!$B$7:$B$26,MATCH(SUBSTITUTE(SUBSTITUTE(SUBSTITUTE(SUBSTITUTE("type:"&amp;B1917,"%","%25"),"~","%7E"),"*","%2A"),"?","%3F"),'Rules'!$G$7:$G$26,0))),"Unit mismatch",IF(IF(NOT(ISNUMBER(D1917)),TRUE,OR(D1917&lt;0,D1917&gt;999999999,ROUND(D1917,3)&lt;&gt;D1917)),"Invalid current reading",IF(AND(E1917&lt;&gt;"",IF(NOT(ISNUMBER(E1917)),TRUE,OR(E1917&lt;0,E1917&gt;999999999,ROUND(E1917,3)&lt;&gt;E1917))),"Invalid previous reading",IF(IF(NOT(ISNUMBER(F1917)),TRUE,OR(F1917&lt;0,F1917&gt;999999999,ROUND(F1917,3)&lt;&gt;F1917)),"Invalid last service",IF(AND(E1917&lt;&gt;"",D1917&lt;E1917),"Decreased reading",IF(F1917&gt;D1917,"Last service above current","")))))))))))))</x:f>
      </x:c>
      <x:c r="L1917" s="6" t="str">
        <x:f>IF(AND(NOT(COUNTA(A1917:F1917)=0),K1917=""),INDEX('Rules'!$C$7:$C$26,MATCH(SUBSTITUTE(SUBSTITUTE(SUBSTITUTE(SUBSTITUTE("type:"&amp;B1917,"%","%25"),"~","%7E"),"*","%2A"),"?","%3F"),'Rules'!$G$7:$G$26,0)),"")</x:f>
      </x:c>
      <x:c r="M1917" s="6" t="str">
        <x:f>IF(AND(NOT(COUNTA(A1917:F1917)=0),K1917=""),INDEX('Rules'!$D$7:$D$26,MATCH(SUBSTITUTE(SUBSTITUTE(SUBSTITUTE(SUBSTITUTE("type:"&amp;B1917,"%","%25"),"~","%7E"),"*","%2A"),"?","%3F"),'Rules'!$G$7:$G$26,0)),"")</x:f>
      </x:c>
      <x:c r="N1917" s="5" t="str">
        <x:f>IF(COUNTA(A1917:F1917)=0,"",SUBSTITUTE(SUBSTITUTE(SUBSTITUTE(SUBSTITUTE("id:"&amp;A1917,"%","%25"),"~","%7E"),"*","%2A"),"?","%3F"))</x:f>
      </x:c>
    </x:row>
    <x:row r="1918" ht="22" customHeight="1">
      <x:c r="A1918" s="3"/>
      <x:c r="B1918" s="3"/>
      <x:c r="C1918" s="3"/>
      <x:c r="D1918" s="4"/>
      <x:c r="E1918" s="4"/>
      <x:c r="F1918" s="4"/>
      <x:c r="G1918" s="5" t="str">
        <x:f>IF(COUNTA(A1918:F1918)=0,"",IF(K1918&lt;&gt;"","Review",IF(I1918&lt;0,"Overdue",IF(I1918=0,"Due now",IF(I1918&lt;=M1918,"Due soon","Not due")))))</x:f>
      </x:c>
      <x:c r="H1918" s="5" t="str">
        <x:f>IF(OR(COUNTA(A1918:F1918)=0,COUNTIFS('Rules'!$G$7:$G$26,"="&amp;(SUBSTITUTE(SUBSTITUTE(SUBSTITUTE(SUBSTITUTE("type:"&amp;B1918,"%","%25"),"~","%7E"),"*","%2A"),"?","%3F")))&lt;&gt;1),"",IF(OR(INDEX('Rules'!$B$7:$B$26,MATCH(SUBSTITUTE(SUBSTITUTE(SUBSTITUTE(SUBSTITUTE("type:"&amp;B1918,"%","%25"),"~","%7E"),"*","%2A"),"?","%3F"),'Rules'!$G$7:$G$26,0))="hours",INDEX('Rules'!$B$7:$B$26,MATCH(SUBSTITUTE(SUBSTITUTE(SUBSTITUTE(SUBSTITUTE("type:"&amp;B1918,"%","%25"),"~","%7E"),"*","%2A"),"?","%3F"),'Rules'!$G$7:$G$26,0))="km"),INDEX('Rules'!$B$7:$B$26,MATCH(SUBSTITUTE(SUBSTITUTE(SUBSTITUTE(SUBSTITUTE("type:"&amp;B1918,"%","%25"),"~","%7E"),"*","%2A"),"?","%3F"),'Rules'!$G$7:$G$26,0)),""))</x:f>
      </x:c>
      <x:c r="I1918" s="6" t="str">
        <x:f>IF(AND(NOT(COUNTA(A1918:F1918)=0),K1918=""),ROUND(J1918-D1918,3),"")</x:f>
      </x:c>
      <x:c r="J1918" s="6" t="str">
        <x:f>IF(AND(NOT(COUNTA(A1918:F1918)=0),K1918=""),ROUND(F1918+L1918,3),"")</x:f>
      </x:c>
      <x:c r="K1918" s="5" t="str">
        <x:f>IF(COUNTA(A1918:F1918)=0,"",IF(A1918="","Missing equipment ID",IF(COUNTIFS($N$8:$N$2007,"="&amp;N1918)&gt;1,"Duplicate equipment ID",IF(B1918="","Missing type",IF(COUNTIFS('Rules'!$G$7:$G$26,"="&amp;(SUBSTITUTE(SUBSTITUTE(SUBSTITUTE(SUBSTITUTE("type:"&amp;B1918,"%","%25"),"~","%7E"),"*","%2A"),"?","%3F")))=0,"Unknown type",IF(COUNTIFS('Rules'!$G$7:$G$26,"="&amp;(SUBSTITUTE(SUBSTITUTE(SUBSTITUTE(SUBSTITUTE("type:"&amp;B1918,"%","%25"),"~","%7E"),"*","%2A"),"?","%3F")))&gt;1,"Duplicate type",IF(INDEX('Rules'!$F$7:$F$26,MATCH(SUBSTITUTE(SUBSTITUTE(SUBSTITUTE(SUBSTITUTE("type:"&amp;B1918,"%","%25"),"~","%7E"),"*","%2A"),"?","%3F"),'Rules'!$G$7:$G$26,0))&lt;&gt;"",INDEX('Rules'!$F$7:$F$26,MATCH(SUBSTITUTE(SUBSTITUTE(SUBSTITUTE(SUBSTITUTE("type:"&amp;B1918,"%","%25"),"~","%7E"),"*","%2A"),"?","%3F"),'Rules'!$G$7:$G$26,0)),IF(AND(C1918&lt;&gt;"",C1918&lt;&gt;INDEX('Rules'!$B$7:$B$26,MATCH(SUBSTITUTE(SUBSTITUTE(SUBSTITUTE(SUBSTITUTE("type:"&amp;B1918,"%","%25"),"~","%7E"),"*","%2A"),"?","%3F"),'Rules'!$G$7:$G$26,0))),"Unit mismatch",IF(IF(NOT(ISNUMBER(D1918)),TRUE,OR(D1918&lt;0,D1918&gt;999999999,ROUND(D1918,3)&lt;&gt;D1918)),"Invalid current reading",IF(AND(E1918&lt;&gt;"",IF(NOT(ISNUMBER(E1918)),TRUE,OR(E1918&lt;0,E1918&gt;999999999,ROUND(E1918,3)&lt;&gt;E1918))),"Invalid previous reading",IF(IF(NOT(ISNUMBER(F1918)),TRUE,OR(F1918&lt;0,F1918&gt;999999999,ROUND(F1918,3)&lt;&gt;F1918)),"Invalid last service",IF(AND(E1918&lt;&gt;"",D1918&lt;E1918),"Decreased reading",IF(F1918&gt;D1918,"Last service above current","")))))))))))))</x:f>
      </x:c>
      <x:c r="L1918" s="6" t="str">
        <x:f>IF(AND(NOT(COUNTA(A1918:F1918)=0),K1918=""),INDEX('Rules'!$C$7:$C$26,MATCH(SUBSTITUTE(SUBSTITUTE(SUBSTITUTE(SUBSTITUTE("type:"&amp;B1918,"%","%25"),"~","%7E"),"*","%2A"),"?","%3F"),'Rules'!$G$7:$G$26,0)),"")</x:f>
      </x:c>
      <x:c r="M1918" s="6" t="str">
        <x:f>IF(AND(NOT(COUNTA(A1918:F1918)=0),K1918=""),INDEX('Rules'!$D$7:$D$26,MATCH(SUBSTITUTE(SUBSTITUTE(SUBSTITUTE(SUBSTITUTE("type:"&amp;B1918,"%","%25"),"~","%7E"),"*","%2A"),"?","%3F"),'Rules'!$G$7:$G$26,0)),"")</x:f>
      </x:c>
      <x:c r="N1918" s="5" t="str">
        <x:f>IF(COUNTA(A1918:F1918)=0,"",SUBSTITUTE(SUBSTITUTE(SUBSTITUTE(SUBSTITUTE("id:"&amp;A1918,"%","%25"),"~","%7E"),"*","%2A"),"?","%3F"))</x:f>
      </x:c>
    </x:row>
    <x:row r="1919" ht="22" customHeight="1">
      <x:c r="A1919" s="3"/>
      <x:c r="B1919" s="3"/>
      <x:c r="C1919" s="3"/>
      <x:c r="D1919" s="4"/>
      <x:c r="E1919" s="4"/>
      <x:c r="F1919" s="4"/>
      <x:c r="G1919" s="5" t="str">
        <x:f>IF(COUNTA(A1919:F1919)=0,"",IF(K1919&lt;&gt;"","Review",IF(I1919&lt;0,"Overdue",IF(I1919=0,"Due now",IF(I1919&lt;=M1919,"Due soon","Not due")))))</x:f>
      </x:c>
      <x:c r="H1919" s="5" t="str">
        <x:f>IF(OR(COUNTA(A1919:F1919)=0,COUNTIFS('Rules'!$G$7:$G$26,"="&amp;(SUBSTITUTE(SUBSTITUTE(SUBSTITUTE(SUBSTITUTE("type:"&amp;B1919,"%","%25"),"~","%7E"),"*","%2A"),"?","%3F")))&lt;&gt;1),"",IF(OR(INDEX('Rules'!$B$7:$B$26,MATCH(SUBSTITUTE(SUBSTITUTE(SUBSTITUTE(SUBSTITUTE("type:"&amp;B1919,"%","%25"),"~","%7E"),"*","%2A"),"?","%3F"),'Rules'!$G$7:$G$26,0))="hours",INDEX('Rules'!$B$7:$B$26,MATCH(SUBSTITUTE(SUBSTITUTE(SUBSTITUTE(SUBSTITUTE("type:"&amp;B1919,"%","%25"),"~","%7E"),"*","%2A"),"?","%3F"),'Rules'!$G$7:$G$26,0))="km"),INDEX('Rules'!$B$7:$B$26,MATCH(SUBSTITUTE(SUBSTITUTE(SUBSTITUTE(SUBSTITUTE("type:"&amp;B1919,"%","%25"),"~","%7E"),"*","%2A"),"?","%3F"),'Rules'!$G$7:$G$26,0)),""))</x:f>
      </x:c>
      <x:c r="I1919" s="6" t="str">
        <x:f>IF(AND(NOT(COUNTA(A1919:F1919)=0),K1919=""),ROUND(J1919-D1919,3),"")</x:f>
      </x:c>
      <x:c r="J1919" s="6" t="str">
        <x:f>IF(AND(NOT(COUNTA(A1919:F1919)=0),K1919=""),ROUND(F1919+L1919,3),"")</x:f>
      </x:c>
      <x:c r="K1919" s="5" t="str">
        <x:f>IF(COUNTA(A1919:F1919)=0,"",IF(A1919="","Missing equipment ID",IF(COUNTIFS($N$8:$N$2007,"="&amp;N1919)&gt;1,"Duplicate equipment ID",IF(B1919="","Missing type",IF(COUNTIFS('Rules'!$G$7:$G$26,"="&amp;(SUBSTITUTE(SUBSTITUTE(SUBSTITUTE(SUBSTITUTE("type:"&amp;B1919,"%","%25"),"~","%7E"),"*","%2A"),"?","%3F")))=0,"Unknown type",IF(COUNTIFS('Rules'!$G$7:$G$26,"="&amp;(SUBSTITUTE(SUBSTITUTE(SUBSTITUTE(SUBSTITUTE("type:"&amp;B1919,"%","%25"),"~","%7E"),"*","%2A"),"?","%3F")))&gt;1,"Duplicate type",IF(INDEX('Rules'!$F$7:$F$26,MATCH(SUBSTITUTE(SUBSTITUTE(SUBSTITUTE(SUBSTITUTE("type:"&amp;B1919,"%","%25"),"~","%7E"),"*","%2A"),"?","%3F"),'Rules'!$G$7:$G$26,0))&lt;&gt;"",INDEX('Rules'!$F$7:$F$26,MATCH(SUBSTITUTE(SUBSTITUTE(SUBSTITUTE(SUBSTITUTE("type:"&amp;B1919,"%","%25"),"~","%7E"),"*","%2A"),"?","%3F"),'Rules'!$G$7:$G$26,0)),IF(AND(C1919&lt;&gt;"",C1919&lt;&gt;INDEX('Rules'!$B$7:$B$26,MATCH(SUBSTITUTE(SUBSTITUTE(SUBSTITUTE(SUBSTITUTE("type:"&amp;B1919,"%","%25"),"~","%7E"),"*","%2A"),"?","%3F"),'Rules'!$G$7:$G$26,0))),"Unit mismatch",IF(IF(NOT(ISNUMBER(D1919)),TRUE,OR(D1919&lt;0,D1919&gt;999999999,ROUND(D1919,3)&lt;&gt;D1919)),"Invalid current reading",IF(AND(E1919&lt;&gt;"",IF(NOT(ISNUMBER(E1919)),TRUE,OR(E1919&lt;0,E1919&gt;999999999,ROUND(E1919,3)&lt;&gt;E1919))),"Invalid previous reading",IF(IF(NOT(ISNUMBER(F1919)),TRUE,OR(F1919&lt;0,F1919&gt;999999999,ROUND(F1919,3)&lt;&gt;F1919)),"Invalid last service",IF(AND(E1919&lt;&gt;"",D1919&lt;E1919),"Decreased reading",IF(F1919&gt;D1919,"Last service above current","")))))))))))))</x:f>
      </x:c>
      <x:c r="L1919" s="6" t="str">
        <x:f>IF(AND(NOT(COUNTA(A1919:F1919)=0),K1919=""),INDEX('Rules'!$C$7:$C$26,MATCH(SUBSTITUTE(SUBSTITUTE(SUBSTITUTE(SUBSTITUTE("type:"&amp;B1919,"%","%25"),"~","%7E"),"*","%2A"),"?","%3F"),'Rules'!$G$7:$G$26,0)),"")</x:f>
      </x:c>
      <x:c r="M1919" s="6" t="str">
        <x:f>IF(AND(NOT(COUNTA(A1919:F1919)=0),K1919=""),INDEX('Rules'!$D$7:$D$26,MATCH(SUBSTITUTE(SUBSTITUTE(SUBSTITUTE(SUBSTITUTE("type:"&amp;B1919,"%","%25"),"~","%7E"),"*","%2A"),"?","%3F"),'Rules'!$G$7:$G$26,0)),"")</x:f>
      </x:c>
      <x:c r="N1919" s="5" t="str">
        <x:f>IF(COUNTA(A1919:F1919)=0,"",SUBSTITUTE(SUBSTITUTE(SUBSTITUTE(SUBSTITUTE("id:"&amp;A1919,"%","%25"),"~","%7E"),"*","%2A"),"?","%3F"))</x:f>
      </x:c>
    </x:row>
    <x:row r="1920" ht="22" customHeight="1">
      <x:c r="A1920" s="3"/>
      <x:c r="B1920" s="3"/>
      <x:c r="C1920" s="3"/>
      <x:c r="D1920" s="4"/>
      <x:c r="E1920" s="4"/>
      <x:c r="F1920" s="4"/>
      <x:c r="G1920" s="5" t="str">
        <x:f>IF(COUNTA(A1920:F1920)=0,"",IF(K1920&lt;&gt;"","Review",IF(I1920&lt;0,"Overdue",IF(I1920=0,"Due now",IF(I1920&lt;=M1920,"Due soon","Not due")))))</x:f>
      </x:c>
      <x:c r="H1920" s="5" t="str">
        <x:f>IF(OR(COUNTA(A1920:F1920)=0,COUNTIFS('Rules'!$G$7:$G$26,"="&amp;(SUBSTITUTE(SUBSTITUTE(SUBSTITUTE(SUBSTITUTE("type:"&amp;B1920,"%","%25"),"~","%7E"),"*","%2A"),"?","%3F")))&lt;&gt;1),"",IF(OR(INDEX('Rules'!$B$7:$B$26,MATCH(SUBSTITUTE(SUBSTITUTE(SUBSTITUTE(SUBSTITUTE("type:"&amp;B1920,"%","%25"),"~","%7E"),"*","%2A"),"?","%3F"),'Rules'!$G$7:$G$26,0))="hours",INDEX('Rules'!$B$7:$B$26,MATCH(SUBSTITUTE(SUBSTITUTE(SUBSTITUTE(SUBSTITUTE("type:"&amp;B1920,"%","%25"),"~","%7E"),"*","%2A"),"?","%3F"),'Rules'!$G$7:$G$26,0))="km"),INDEX('Rules'!$B$7:$B$26,MATCH(SUBSTITUTE(SUBSTITUTE(SUBSTITUTE(SUBSTITUTE("type:"&amp;B1920,"%","%25"),"~","%7E"),"*","%2A"),"?","%3F"),'Rules'!$G$7:$G$26,0)),""))</x:f>
      </x:c>
      <x:c r="I1920" s="6" t="str">
        <x:f>IF(AND(NOT(COUNTA(A1920:F1920)=0),K1920=""),ROUND(J1920-D1920,3),"")</x:f>
      </x:c>
      <x:c r="J1920" s="6" t="str">
        <x:f>IF(AND(NOT(COUNTA(A1920:F1920)=0),K1920=""),ROUND(F1920+L1920,3),"")</x:f>
      </x:c>
      <x:c r="K1920" s="5" t="str">
        <x:f>IF(COUNTA(A1920:F1920)=0,"",IF(A1920="","Missing equipment ID",IF(COUNTIFS($N$8:$N$2007,"="&amp;N1920)&gt;1,"Duplicate equipment ID",IF(B1920="","Missing type",IF(COUNTIFS('Rules'!$G$7:$G$26,"="&amp;(SUBSTITUTE(SUBSTITUTE(SUBSTITUTE(SUBSTITUTE("type:"&amp;B1920,"%","%25"),"~","%7E"),"*","%2A"),"?","%3F")))=0,"Unknown type",IF(COUNTIFS('Rules'!$G$7:$G$26,"="&amp;(SUBSTITUTE(SUBSTITUTE(SUBSTITUTE(SUBSTITUTE("type:"&amp;B1920,"%","%25"),"~","%7E"),"*","%2A"),"?","%3F")))&gt;1,"Duplicate type",IF(INDEX('Rules'!$F$7:$F$26,MATCH(SUBSTITUTE(SUBSTITUTE(SUBSTITUTE(SUBSTITUTE("type:"&amp;B1920,"%","%25"),"~","%7E"),"*","%2A"),"?","%3F"),'Rules'!$G$7:$G$26,0))&lt;&gt;"",INDEX('Rules'!$F$7:$F$26,MATCH(SUBSTITUTE(SUBSTITUTE(SUBSTITUTE(SUBSTITUTE("type:"&amp;B1920,"%","%25"),"~","%7E"),"*","%2A"),"?","%3F"),'Rules'!$G$7:$G$26,0)),IF(AND(C1920&lt;&gt;"",C1920&lt;&gt;INDEX('Rules'!$B$7:$B$26,MATCH(SUBSTITUTE(SUBSTITUTE(SUBSTITUTE(SUBSTITUTE("type:"&amp;B1920,"%","%25"),"~","%7E"),"*","%2A"),"?","%3F"),'Rules'!$G$7:$G$26,0))),"Unit mismatch",IF(IF(NOT(ISNUMBER(D1920)),TRUE,OR(D1920&lt;0,D1920&gt;999999999,ROUND(D1920,3)&lt;&gt;D1920)),"Invalid current reading",IF(AND(E1920&lt;&gt;"",IF(NOT(ISNUMBER(E1920)),TRUE,OR(E1920&lt;0,E1920&gt;999999999,ROUND(E1920,3)&lt;&gt;E1920))),"Invalid previous reading",IF(IF(NOT(ISNUMBER(F1920)),TRUE,OR(F1920&lt;0,F1920&gt;999999999,ROUND(F1920,3)&lt;&gt;F1920)),"Invalid last service",IF(AND(E1920&lt;&gt;"",D1920&lt;E1920),"Decreased reading",IF(F1920&gt;D1920,"Last service above current","")))))))))))))</x:f>
      </x:c>
      <x:c r="L1920" s="6" t="str">
        <x:f>IF(AND(NOT(COUNTA(A1920:F1920)=0),K1920=""),INDEX('Rules'!$C$7:$C$26,MATCH(SUBSTITUTE(SUBSTITUTE(SUBSTITUTE(SUBSTITUTE("type:"&amp;B1920,"%","%25"),"~","%7E"),"*","%2A"),"?","%3F"),'Rules'!$G$7:$G$26,0)),"")</x:f>
      </x:c>
      <x:c r="M1920" s="6" t="str">
        <x:f>IF(AND(NOT(COUNTA(A1920:F1920)=0),K1920=""),INDEX('Rules'!$D$7:$D$26,MATCH(SUBSTITUTE(SUBSTITUTE(SUBSTITUTE(SUBSTITUTE("type:"&amp;B1920,"%","%25"),"~","%7E"),"*","%2A"),"?","%3F"),'Rules'!$G$7:$G$26,0)),"")</x:f>
      </x:c>
      <x:c r="N1920" s="5" t="str">
        <x:f>IF(COUNTA(A1920:F1920)=0,"",SUBSTITUTE(SUBSTITUTE(SUBSTITUTE(SUBSTITUTE("id:"&amp;A1920,"%","%25"),"~","%7E"),"*","%2A"),"?","%3F"))</x:f>
      </x:c>
    </x:row>
    <x:row r="1921" ht="22" customHeight="1">
      <x:c r="A1921" s="3"/>
      <x:c r="B1921" s="3"/>
      <x:c r="C1921" s="3"/>
      <x:c r="D1921" s="4"/>
      <x:c r="E1921" s="4"/>
      <x:c r="F1921" s="4"/>
      <x:c r="G1921" s="5" t="str">
        <x:f>IF(COUNTA(A1921:F1921)=0,"",IF(K1921&lt;&gt;"","Review",IF(I1921&lt;0,"Overdue",IF(I1921=0,"Due now",IF(I1921&lt;=M1921,"Due soon","Not due")))))</x:f>
      </x:c>
      <x:c r="H1921" s="5" t="str">
        <x:f>IF(OR(COUNTA(A1921:F1921)=0,COUNTIFS('Rules'!$G$7:$G$26,"="&amp;(SUBSTITUTE(SUBSTITUTE(SUBSTITUTE(SUBSTITUTE("type:"&amp;B1921,"%","%25"),"~","%7E"),"*","%2A"),"?","%3F")))&lt;&gt;1),"",IF(OR(INDEX('Rules'!$B$7:$B$26,MATCH(SUBSTITUTE(SUBSTITUTE(SUBSTITUTE(SUBSTITUTE("type:"&amp;B1921,"%","%25"),"~","%7E"),"*","%2A"),"?","%3F"),'Rules'!$G$7:$G$26,0))="hours",INDEX('Rules'!$B$7:$B$26,MATCH(SUBSTITUTE(SUBSTITUTE(SUBSTITUTE(SUBSTITUTE("type:"&amp;B1921,"%","%25"),"~","%7E"),"*","%2A"),"?","%3F"),'Rules'!$G$7:$G$26,0))="km"),INDEX('Rules'!$B$7:$B$26,MATCH(SUBSTITUTE(SUBSTITUTE(SUBSTITUTE(SUBSTITUTE("type:"&amp;B1921,"%","%25"),"~","%7E"),"*","%2A"),"?","%3F"),'Rules'!$G$7:$G$26,0)),""))</x:f>
      </x:c>
      <x:c r="I1921" s="6" t="str">
        <x:f>IF(AND(NOT(COUNTA(A1921:F1921)=0),K1921=""),ROUND(J1921-D1921,3),"")</x:f>
      </x:c>
      <x:c r="J1921" s="6" t="str">
        <x:f>IF(AND(NOT(COUNTA(A1921:F1921)=0),K1921=""),ROUND(F1921+L1921,3),"")</x:f>
      </x:c>
      <x:c r="K1921" s="5" t="str">
        <x:f>IF(COUNTA(A1921:F1921)=0,"",IF(A1921="","Missing equipment ID",IF(COUNTIFS($N$8:$N$2007,"="&amp;N1921)&gt;1,"Duplicate equipment ID",IF(B1921="","Missing type",IF(COUNTIFS('Rules'!$G$7:$G$26,"="&amp;(SUBSTITUTE(SUBSTITUTE(SUBSTITUTE(SUBSTITUTE("type:"&amp;B1921,"%","%25"),"~","%7E"),"*","%2A"),"?","%3F")))=0,"Unknown type",IF(COUNTIFS('Rules'!$G$7:$G$26,"="&amp;(SUBSTITUTE(SUBSTITUTE(SUBSTITUTE(SUBSTITUTE("type:"&amp;B1921,"%","%25"),"~","%7E"),"*","%2A"),"?","%3F")))&gt;1,"Duplicate type",IF(INDEX('Rules'!$F$7:$F$26,MATCH(SUBSTITUTE(SUBSTITUTE(SUBSTITUTE(SUBSTITUTE("type:"&amp;B1921,"%","%25"),"~","%7E"),"*","%2A"),"?","%3F"),'Rules'!$G$7:$G$26,0))&lt;&gt;"",INDEX('Rules'!$F$7:$F$26,MATCH(SUBSTITUTE(SUBSTITUTE(SUBSTITUTE(SUBSTITUTE("type:"&amp;B1921,"%","%25"),"~","%7E"),"*","%2A"),"?","%3F"),'Rules'!$G$7:$G$26,0)),IF(AND(C1921&lt;&gt;"",C1921&lt;&gt;INDEX('Rules'!$B$7:$B$26,MATCH(SUBSTITUTE(SUBSTITUTE(SUBSTITUTE(SUBSTITUTE("type:"&amp;B1921,"%","%25"),"~","%7E"),"*","%2A"),"?","%3F"),'Rules'!$G$7:$G$26,0))),"Unit mismatch",IF(IF(NOT(ISNUMBER(D1921)),TRUE,OR(D1921&lt;0,D1921&gt;999999999,ROUND(D1921,3)&lt;&gt;D1921)),"Invalid current reading",IF(AND(E1921&lt;&gt;"",IF(NOT(ISNUMBER(E1921)),TRUE,OR(E1921&lt;0,E1921&gt;999999999,ROUND(E1921,3)&lt;&gt;E1921))),"Invalid previous reading",IF(IF(NOT(ISNUMBER(F1921)),TRUE,OR(F1921&lt;0,F1921&gt;999999999,ROUND(F1921,3)&lt;&gt;F1921)),"Invalid last service",IF(AND(E1921&lt;&gt;"",D1921&lt;E1921),"Decreased reading",IF(F1921&gt;D1921,"Last service above current","")))))))))))))</x:f>
      </x:c>
      <x:c r="L1921" s="6" t="str">
        <x:f>IF(AND(NOT(COUNTA(A1921:F1921)=0),K1921=""),INDEX('Rules'!$C$7:$C$26,MATCH(SUBSTITUTE(SUBSTITUTE(SUBSTITUTE(SUBSTITUTE("type:"&amp;B1921,"%","%25"),"~","%7E"),"*","%2A"),"?","%3F"),'Rules'!$G$7:$G$26,0)),"")</x:f>
      </x:c>
      <x:c r="M1921" s="6" t="str">
        <x:f>IF(AND(NOT(COUNTA(A1921:F1921)=0),K1921=""),INDEX('Rules'!$D$7:$D$26,MATCH(SUBSTITUTE(SUBSTITUTE(SUBSTITUTE(SUBSTITUTE("type:"&amp;B1921,"%","%25"),"~","%7E"),"*","%2A"),"?","%3F"),'Rules'!$G$7:$G$26,0)),"")</x:f>
      </x:c>
      <x:c r="N1921" s="5" t="str">
        <x:f>IF(COUNTA(A1921:F1921)=0,"",SUBSTITUTE(SUBSTITUTE(SUBSTITUTE(SUBSTITUTE("id:"&amp;A1921,"%","%25"),"~","%7E"),"*","%2A"),"?","%3F"))</x:f>
      </x:c>
    </x:row>
    <x:row r="1922" ht="22" customHeight="1">
      <x:c r="A1922" s="3"/>
      <x:c r="B1922" s="3"/>
      <x:c r="C1922" s="3"/>
      <x:c r="D1922" s="4"/>
      <x:c r="E1922" s="4"/>
      <x:c r="F1922" s="4"/>
      <x:c r="G1922" s="5" t="str">
        <x:f>IF(COUNTA(A1922:F1922)=0,"",IF(K1922&lt;&gt;"","Review",IF(I1922&lt;0,"Overdue",IF(I1922=0,"Due now",IF(I1922&lt;=M1922,"Due soon","Not due")))))</x:f>
      </x:c>
      <x:c r="H1922" s="5" t="str">
        <x:f>IF(OR(COUNTA(A1922:F1922)=0,COUNTIFS('Rules'!$G$7:$G$26,"="&amp;(SUBSTITUTE(SUBSTITUTE(SUBSTITUTE(SUBSTITUTE("type:"&amp;B1922,"%","%25"),"~","%7E"),"*","%2A"),"?","%3F")))&lt;&gt;1),"",IF(OR(INDEX('Rules'!$B$7:$B$26,MATCH(SUBSTITUTE(SUBSTITUTE(SUBSTITUTE(SUBSTITUTE("type:"&amp;B1922,"%","%25"),"~","%7E"),"*","%2A"),"?","%3F"),'Rules'!$G$7:$G$26,0))="hours",INDEX('Rules'!$B$7:$B$26,MATCH(SUBSTITUTE(SUBSTITUTE(SUBSTITUTE(SUBSTITUTE("type:"&amp;B1922,"%","%25"),"~","%7E"),"*","%2A"),"?","%3F"),'Rules'!$G$7:$G$26,0))="km"),INDEX('Rules'!$B$7:$B$26,MATCH(SUBSTITUTE(SUBSTITUTE(SUBSTITUTE(SUBSTITUTE("type:"&amp;B1922,"%","%25"),"~","%7E"),"*","%2A"),"?","%3F"),'Rules'!$G$7:$G$26,0)),""))</x:f>
      </x:c>
      <x:c r="I1922" s="6" t="str">
        <x:f>IF(AND(NOT(COUNTA(A1922:F1922)=0),K1922=""),ROUND(J1922-D1922,3),"")</x:f>
      </x:c>
      <x:c r="J1922" s="6" t="str">
        <x:f>IF(AND(NOT(COUNTA(A1922:F1922)=0),K1922=""),ROUND(F1922+L1922,3),"")</x:f>
      </x:c>
      <x:c r="K1922" s="5" t="str">
        <x:f>IF(COUNTA(A1922:F1922)=0,"",IF(A1922="","Missing equipment ID",IF(COUNTIFS($N$8:$N$2007,"="&amp;N1922)&gt;1,"Duplicate equipment ID",IF(B1922="","Missing type",IF(COUNTIFS('Rules'!$G$7:$G$26,"="&amp;(SUBSTITUTE(SUBSTITUTE(SUBSTITUTE(SUBSTITUTE("type:"&amp;B1922,"%","%25"),"~","%7E"),"*","%2A"),"?","%3F")))=0,"Unknown type",IF(COUNTIFS('Rules'!$G$7:$G$26,"="&amp;(SUBSTITUTE(SUBSTITUTE(SUBSTITUTE(SUBSTITUTE("type:"&amp;B1922,"%","%25"),"~","%7E"),"*","%2A"),"?","%3F")))&gt;1,"Duplicate type",IF(INDEX('Rules'!$F$7:$F$26,MATCH(SUBSTITUTE(SUBSTITUTE(SUBSTITUTE(SUBSTITUTE("type:"&amp;B1922,"%","%25"),"~","%7E"),"*","%2A"),"?","%3F"),'Rules'!$G$7:$G$26,0))&lt;&gt;"",INDEX('Rules'!$F$7:$F$26,MATCH(SUBSTITUTE(SUBSTITUTE(SUBSTITUTE(SUBSTITUTE("type:"&amp;B1922,"%","%25"),"~","%7E"),"*","%2A"),"?","%3F"),'Rules'!$G$7:$G$26,0)),IF(AND(C1922&lt;&gt;"",C1922&lt;&gt;INDEX('Rules'!$B$7:$B$26,MATCH(SUBSTITUTE(SUBSTITUTE(SUBSTITUTE(SUBSTITUTE("type:"&amp;B1922,"%","%25"),"~","%7E"),"*","%2A"),"?","%3F"),'Rules'!$G$7:$G$26,0))),"Unit mismatch",IF(IF(NOT(ISNUMBER(D1922)),TRUE,OR(D1922&lt;0,D1922&gt;999999999,ROUND(D1922,3)&lt;&gt;D1922)),"Invalid current reading",IF(AND(E1922&lt;&gt;"",IF(NOT(ISNUMBER(E1922)),TRUE,OR(E1922&lt;0,E1922&gt;999999999,ROUND(E1922,3)&lt;&gt;E1922))),"Invalid previous reading",IF(IF(NOT(ISNUMBER(F1922)),TRUE,OR(F1922&lt;0,F1922&gt;999999999,ROUND(F1922,3)&lt;&gt;F1922)),"Invalid last service",IF(AND(E1922&lt;&gt;"",D1922&lt;E1922),"Decreased reading",IF(F1922&gt;D1922,"Last service above current","")))))))))))))</x:f>
      </x:c>
      <x:c r="L1922" s="6" t="str">
        <x:f>IF(AND(NOT(COUNTA(A1922:F1922)=0),K1922=""),INDEX('Rules'!$C$7:$C$26,MATCH(SUBSTITUTE(SUBSTITUTE(SUBSTITUTE(SUBSTITUTE("type:"&amp;B1922,"%","%25"),"~","%7E"),"*","%2A"),"?","%3F"),'Rules'!$G$7:$G$26,0)),"")</x:f>
      </x:c>
      <x:c r="M1922" s="6" t="str">
        <x:f>IF(AND(NOT(COUNTA(A1922:F1922)=0),K1922=""),INDEX('Rules'!$D$7:$D$26,MATCH(SUBSTITUTE(SUBSTITUTE(SUBSTITUTE(SUBSTITUTE("type:"&amp;B1922,"%","%25"),"~","%7E"),"*","%2A"),"?","%3F"),'Rules'!$G$7:$G$26,0)),"")</x:f>
      </x:c>
      <x:c r="N1922" s="5" t="str">
        <x:f>IF(COUNTA(A1922:F1922)=0,"",SUBSTITUTE(SUBSTITUTE(SUBSTITUTE(SUBSTITUTE("id:"&amp;A1922,"%","%25"),"~","%7E"),"*","%2A"),"?","%3F"))</x:f>
      </x:c>
    </x:row>
    <x:row r="1923" ht="22" customHeight="1">
      <x:c r="A1923" s="3"/>
      <x:c r="B1923" s="3"/>
      <x:c r="C1923" s="3"/>
      <x:c r="D1923" s="4"/>
      <x:c r="E1923" s="4"/>
      <x:c r="F1923" s="4"/>
      <x:c r="G1923" s="5" t="str">
        <x:f>IF(COUNTA(A1923:F1923)=0,"",IF(K1923&lt;&gt;"","Review",IF(I1923&lt;0,"Overdue",IF(I1923=0,"Due now",IF(I1923&lt;=M1923,"Due soon","Not due")))))</x:f>
      </x:c>
      <x:c r="H1923" s="5" t="str">
        <x:f>IF(OR(COUNTA(A1923:F1923)=0,COUNTIFS('Rules'!$G$7:$G$26,"="&amp;(SUBSTITUTE(SUBSTITUTE(SUBSTITUTE(SUBSTITUTE("type:"&amp;B1923,"%","%25"),"~","%7E"),"*","%2A"),"?","%3F")))&lt;&gt;1),"",IF(OR(INDEX('Rules'!$B$7:$B$26,MATCH(SUBSTITUTE(SUBSTITUTE(SUBSTITUTE(SUBSTITUTE("type:"&amp;B1923,"%","%25"),"~","%7E"),"*","%2A"),"?","%3F"),'Rules'!$G$7:$G$26,0))="hours",INDEX('Rules'!$B$7:$B$26,MATCH(SUBSTITUTE(SUBSTITUTE(SUBSTITUTE(SUBSTITUTE("type:"&amp;B1923,"%","%25"),"~","%7E"),"*","%2A"),"?","%3F"),'Rules'!$G$7:$G$26,0))="km"),INDEX('Rules'!$B$7:$B$26,MATCH(SUBSTITUTE(SUBSTITUTE(SUBSTITUTE(SUBSTITUTE("type:"&amp;B1923,"%","%25"),"~","%7E"),"*","%2A"),"?","%3F"),'Rules'!$G$7:$G$26,0)),""))</x:f>
      </x:c>
      <x:c r="I1923" s="6" t="str">
        <x:f>IF(AND(NOT(COUNTA(A1923:F1923)=0),K1923=""),ROUND(J1923-D1923,3),"")</x:f>
      </x:c>
      <x:c r="J1923" s="6" t="str">
        <x:f>IF(AND(NOT(COUNTA(A1923:F1923)=0),K1923=""),ROUND(F1923+L1923,3),"")</x:f>
      </x:c>
      <x:c r="K1923" s="5" t="str">
        <x:f>IF(COUNTA(A1923:F1923)=0,"",IF(A1923="","Missing equipment ID",IF(COUNTIFS($N$8:$N$2007,"="&amp;N1923)&gt;1,"Duplicate equipment ID",IF(B1923="","Missing type",IF(COUNTIFS('Rules'!$G$7:$G$26,"="&amp;(SUBSTITUTE(SUBSTITUTE(SUBSTITUTE(SUBSTITUTE("type:"&amp;B1923,"%","%25"),"~","%7E"),"*","%2A"),"?","%3F")))=0,"Unknown type",IF(COUNTIFS('Rules'!$G$7:$G$26,"="&amp;(SUBSTITUTE(SUBSTITUTE(SUBSTITUTE(SUBSTITUTE("type:"&amp;B1923,"%","%25"),"~","%7E"),"*","%2A"),"?","%3F")))&gt;1,"Duplicate type",IF(INDEX('Rules'!$F$7:$F$26,MATCH(SUBSTITUTE(SUBSTITUTE(SUBSTITUTE(SUBSTITUTE("type:"&amp;B1923,"%","%25"),"~","%7E"),"*","%2A"),"?","%3F"),'Rules'!$G$7:$G$26,0))&lt;&gt;"",INDEX('Rules'!$F$7:$F$26,MATCH(SUBSTITUTE(SUBSTITUTE(SUBSTITUTE(SUBSTITUTE("type:"&amp;B1923,"%","%25"),"~","%7E"),"*","%2A"),"?","%3F"),'Rules'!$G$7:$G$26,0)),IF(AND(C1923&lt;&gt;"",C1923&lt;&gt;INDEX('Rules'!$B$7:$B$26,MATCH(SUBSTITUTE(SUBSTITUTE(SUBSTITUTE(SUBSTITUTE("type:"&amp;B1923,"%","%25"),"~","%7E"),"*","%2A"),"?","%3F"),'Rules'!$G$7:$G$26,0))),"Unit mismatch",IF(IF(NOT(ISNUMBER(D1923)),TRUE,OR(D1923&lt;0,D1923&gt;999999999,ROUND(D1923,3)&lt;&gt;D1923)),"Invalid current reading",IF(AND(E1923&lt;&gt;"",IF(NOT(ISNUMBER(E1923)),TRUE,OR(E1923&lt;0,E1923&gt;999999999,ROUND(E1923,3)&lt;&gt;E1923))),"Invalid previous reading",IF(IF(NOT(ISNUMBER(F1923)),TRUE,OR(F1923&lt;0,F1923&gt;999999999,ROUND(F1923,3)&lt;&gt;F1923)),"Invalid last service",IF(AND(E1923&lt;&gt;"",D1923&lt;E1923),"Decreased reading",IF(F1923&gt;D1923,"Last service above current","")))))))))))))</x:f>
      </x:c>
      <x:c r="L1923" s="6" t="str">
        <x:f>IF(AND(NOT(COUNTA(A1923:F1923)=0),K1923=""),INDEX('Rules'!$C$7:$C$26,MATCH(SUBSTITUTE(SUBSTITUTE(SUBSTITUTE(SUBSTITUTE("type:"&amp;B1923,"%","%25"),"~","%7E"),"*","%2A"),"?","%3F"),'Rules'!$G$7:$G$26,0)),"")</x:f>
      </x:c>
      <x:c r="M1923" s="6" t="str">
        <x:f>IF(AND(NOT(COUNTA(A1923:F1923)=0),K1923=""),INDEX('Rules'!$D$7:$D$26,MATCH(SUBSTITUTE(SUBSTITUTE(SUBSTITUTE(SUBSTITUTE("type:"&amp;B1923,"%","%25"),"~","%7E"),"*","%2A"),"?","%3F"),'Rules'!$G$7:$G$26,0)),"")</x:f>
      </x:c>
      <x:c r="N1923" s="5" t="str">
        <x:f>IF(COUNTA(A1923:F1923)=0,"",SUBSTITUTE(SUBSTITUTE(SUBSTITUTE(SUBSTITUTE("id:"&amp;A1923,"%","%25"),"~","%7E"),"*","%2A"),"?","%3F"))</x:f>
      </x:c>
    </x:row>
    <x:row r="1924" ht="22" customHeight="1">
      <x:c r="A1924" s="3"/>
      <x:c r="B1924" s="3"/>
      <x:c r="C1924" s="3"/>
      <x:c r="D1924" s="4"/>
      <x:c r="E1924" s="4"/>
      <x:c r="F1924" s="4"/>
      <x:c r="G1924" s="5" t="str">
        <x:f>IF(COUNTA(A1924:F1924)=0,"",IF(K1924&lt;&gt;"","Review",IF(I1924&lt;0,"Overdue",IF(I1924=0,"Due now",IF(I1924&lt;=M1924,"Due soon","Not due")))))</x:f>
      </x:c>
      <x:c r="H1924" s="5" t="str">
        <x:f>IF(OR(COUNTA(A1924:F1924)=0,COUNTIFS('Rules'!$G$7:$G$26,"="&amp;(SUBSTITUTE(SUBSTITUTE(SUBSTITUTE(SUBSTITUTE("type:"&amp;B1924,"%","%25"),"~","%7E"),"*","%2A"),"?","%3F")))&lt;&gt;1),"",IF(OR(INDEX('Rules'!$B$7:$B$26,MATCH(SUBSTITUTE(SUBSTITUTE(SUBSTITUTE(SUBSTITUTE("type:"&amp;B1924,"%","%25"),"~","%7E"),"*","%2A"),"?","%3F"),'Rules'!$G$7:$G$26,0))="hours",INDEX('Rules'!$B$7:$B$26,MATCH(SUBSTITUTE(SUBSTITUTE(SUBSTITUTE(SUBSTITUTE("type:"&amp;B1924,"%","%25"),"~","%7E"),"*","%2A"),"?","%3F"),'Rules'!$G$7:$G$26,0))="km"),INDEX('Rules'!$B$7:$B$26,MATCH(SUBSTITUTE(SUBSTITUTE(SUBSTITUTE(SUBSTITUTE("type:"&amp;B1924,"%","%25"),"~","%7E"),"*","%2A"),"?","%3F"),'Rules'!$G$7:$G$26,0)),""))</x:f>
      </x:c>
      <x:c r="I1924" s="6" t="str">
        <x:f>IF(AND(NOT(COUNTA(A1924:F1924)=0),K1924=""),ROUND(J1924-D1924,3),"")</x:f>
      </x:c>
      <x:c r="J1924" s="6" t="str">
        <x:f>IF(AND(NOT(COUNTA(A1924:F1924)=0),K1924=""),ROUND(F1924+L1924,3),"")</x:f>
      </x:c>
      <x:c r="K1924" s="5" t="str">
        <x:f>IF(COUNTA(A1924:F1924)=0,"",IF(A1924="","Missing equipment ID",IF(COUNTIFS($N$8:$N$2007,"="&amp;N1924)&gt;1,"Duplicate equipment ID",IF(B1924="","Missing type",IF(COUNTIFS('Rules'!$G$7:$G$26,"="&amp;(SUBSTITUTE(SUBSTITUTE(SUBSTITUTE(SUBSTITUTE("type:"&amp;B1924,"%","%25"),"~","%7E"),"*","%2A"),"?","%3F")))=0,"Unknown type",IF(COUNTIFS('Rules'!$G$7:$G$26,"="&amp;(SUBSTITUTE(SUBSTITUTE(SUBSTITUTE(SUBSTITUTE("type:"&amp;B1924,"%","%25"),"~","%7E"),"*","%2A"),"?","%3F")))&gt;1,"Duplicate type",IF(INDEX('Rules'!$F$7:$F$26,MATCH(SUBSTITUTE(SUBSTITUTE(SUBSTITUTE(SUBSTITUTE("type:"&amp;B1924,"%","%25"),"~","%7E"),"*","%2A"),"?","%3F"),'Rules'!$G$7:$G$26,0))&lt;&gt;"",INDEX('Rules'!$F$7:$F$26,MATCH(SUBSTITUTE(SUBSTITUTE(SUBSTITUTE(SUBSTITUTE("type:"&amp;B1924,"%","%25"),"~","%7E"),"*","%2A"),"?","%3F"),'Rules'!$G$7:$G$26,0)),IF(AND(C1924&lt;&gt;"",C1924&lt;&gt;INDEX('Rules'!$B$7:$B$26,MATCH(SUBSTITUTE(SUBSTITUTE(SUBSTITUTE(SUBSTITUTE("type:"&amp;B1924,"%","%25"),"~","%7E"),"*","%2A"),"?","%3F"),'Rules'!$G$7:$G$26,0))),"Unit mismatch",IF(IF(NOT(ISNUMBER(D1924)),TRUE,OR(D1924&lt;0,D1924&gt;999999999,ROUND(D1924,3)&lt;&gt;D1924)),"Invalid current reading",IF(AND(E1924&lt;&gt;"",IF(NOT(ISNUMBER(E1924)),TRUE,OR(E1924&lt;0,E1924&gt;999999999,ROUND(E1924,3)&lt;&gt;E1924))),"Invalid previous reading",IF(IF(NOT(ISNUMBER(F1924)),TRUE,OR(F1924&lt;0,F1924&gt;999999999,ROUND(F1924,3)&lt;&gt;F1924)),"Invalid last service",IF(AND(E1924&lt;&gt;"",D1924&lt;E1924),"Decreased reading",IF(F1924&gt;D1924,"Last service above current","")))))))))))))</x:f>
      </x:c>
      <x:c r="L1924" s="6" t="str">
        <x:f>IF(AND(NOT(COUNTA(A1924:F1924)=0),K1924=""),INDEX('Rules'!$C$7:$C$26,MATCH(SUBSTITUTE(SUBSTITUTE(SUBSTITUTE(SUBSTITUTE("type:"&amp;B1924,"%","%25"),"~","%7E"),"*","%2A"),"?","%3F"),'Rules'!$G$7:$G$26,0)),"")</x:f>
      </x:c>
      <x:c r="M1924" s="6" t="str">
        <x:f>IF(AND(NOT(COUNTA(A1924:F1924)=0),K1924=""),INDEX('Rules'!$D$7:$D$26,MATCH(SUBSTITUTE(SUBSTITUTE(SUBSTITUTE(SUBSTITUTE("type:"&amp;B1924,"%","%25"),"~","%7E"),"*","%2A"),"?","%3F"),'Rules'!$G$7:$G$26,0)),"")</x:f>
      </x:c>
      <x:c r="N1924" s="5" t="str">
        <x:f>IF(COUNTA(A1924:F1924)=0,"",SUBSTITUTE(SUBSTITUTE(SUBSTITUTE(SUBSTITUTE("id:"&amp;A1924,"%","%25"),"~","%7E"),"*","%2A"),"?","%3F"))</x:f>
      </x:c>
    </x:row>
    <x:row r="1925" ht="22" customHeight="1">
      <x:c r="A1925" s="3"/>
      <x:c r="B1925" s="3"/>
      <x:c r="C1925" s="3"/>
      <x:c r="D1925" s="4"/>
      <x:c r="E1925" s="4"/>
      <x:c r="F1925" s="4"/>
      <x:c r="G1925" s="5" t="str">
        <x:f>IF(COUNTA(A1925:F1925)=0,"",IF(K1925&lt;&gt;"","Review",IF(I1925&lt;0,"Overdue",IF(I1925=0,"Due now",IF(I1925&lt;=M1925,"Due soon","Not due")))))</x:f>
      </x:c>
      <x:c r="H1925" s="5" t="str">
        <x:f>IF(OR(COUNTA(A1925:F1925)=0,COUNTIFS('Rules'!$G$7:$G$26,"="&amp;(SUBSTITUTE(SUBSTITUTE(SUBSTITUTE(SUBSTITUTE("type:"&amp;B1925,"%","%25"),"~","%7E"),"*","%2A"),"?","%3F")))&lt;&gt;1),"",IF(OR(INDEX('Rules'!$B$7:$B$26,MATCH(SUBSTITUTE(SUBSTITUTE(SUBSTITUTE(SUBSTITUTE("type:"&amp;B1925,"%","%25"),"~","%7E"),"*","%2A"),"?","%3F"),'Rules'!$G$7:$G$26,0))="hours",INDEX('Rules'!$B$7:$B$26,MATCH(SUBSTITUTE(SUBSTITUTE(SUBSTITUTE(SUBSTITUTE("type:"&amp;B1925,"%","%25"),"~","%7E"),"*","%2A"),"?","%3F"),'Rules'!$G$7:$G$26,0))="km"),INDEX('Rules'!$B$7:$B$26,MATCH(SUBSTITUTE(SUBSTITUTE(SUBSTITUTE(SUBSTITUTE("type:"&amp;B1925,"%","%25"),"~","%7E"),"*","%2A"),"?","%3F"),'Rules'!$G$7:$G$26,0)),""))</x:f>
      </x:c>
      <x:c r="I1925" s="6" t="str">
        <x:f>IF(AND(NOT(COUNTA(A1925:F1925)=0),K1925=""),ROUND(J1925-D1925,3),"")</x:f>
      </x:c>
      <x:c r="J1925" s="6" t="str">
        <x:f>IF(AND(NOT(COUNTA(A1925:F1925)=0),K1925=""),ROUND(F1925+L1925,3),"")</x:f>
      </x:c>
      <x:c r="K1925" s="5" t="str">
        <x:f>IF(COUNTA(A1925:F1925)=0,"",IF(A1925="","Missing equipment ID",IF(COUNTIFS($N$8:$N$2007,"="&amp;N1925)&gt;1,"Duplicate equipment ID",IF(B1925="","Missing type",IF(COUNTIFS('Rules'!$G$7:$G$26,"="&amp;(SUBSTITUTE(SUBSTITUTE(SUBSTITUTE(SUBSTITUTE("type:"&amp;B1925,"%","%25"),"~","%7E"),"*","%2A"),"?","%3F")))=0,"Unknown type",IF(COUNTIFS('Rules'!$G$7:$G$26,"="&amp;(SUBSTITUTE(SUBSTITUTE(SUBSTITUTE(SUBSTITUTE("type:"&amp;B1925,"%","%25"),"~","%7E"),"*","%2A"),"?","%3F")))&gt;1,"Duplicate type",IF(INDEX('Rules'!$F$7:$F$26,MATCH(SUBSTITUTE(SUBSTITUTE(SUBSTITUTE(SUBSTITUTE("type:"&amp;B1925,"%","%25"),"~","%7E"),"*","%2A"),"?","%3F"),'Rules'!$G$7:$G$26,0))&lt;&gt;"",INDEX('Rules'!$F$7:$F$26,MATCH(SUBSTITUTE(SUBSTITUTE(SUBSTITUTE(SUBSTITUTE("type:"&amp;B1925,"%","%25"),"~","%7E"),"*","%2A"),"?","%3F"),'Rules'!$G$7:$G$26,0)),IF(AND(C1925&lt;&gt;"",C1925&lt;&gt;INDEX('Rules'!$B$7:$B$26,MATCH(SUBSTITUTE(SUBSTITUTE(SUBSTITUTE(SUBSTITUTE("type:"&amp;B1925,"%","%25"),"~","%7E"),"*","%2A"),"?","%3F"),'Rules'!$G$7:$G$26,0))),"Unit mismatch",IF(IF(NOT(ISNUMBER(D1925)),TRUE,OR(D1925&lt;0,D1925&gt;999999999,ROUND(D1925,3)&lt;&gt;D1925)),"Invalid current reading",IF(AND(E1925&lt;&gt;"",IF(NOT(ISNUMBER(E1925)),TRUE,OR(E1925&lt;0,E1925&gt;999999999,ROUND(E1925,3)&lt;&gt;E1925))),"Invalid previous reading",IF(IF(NOT(ISNUMBER(F1925)),TRUE,OR(F1925&lt;0,F1925&gt;999999999,ROUND(F1925,3)&lt;&gt;F1925)),"Invalid last service",IF(AND(E1925&lt;&gt;"",D1925&lt;E1925),"Decreased reading",IF(F1925&gt;D1925,"Last service above current","")))))))))))))</x:f>
      </x:c>
      <x:c r="L1925" s="6" t="str">
        <x:f>IF(AND(NOT(COUNTA(A1925:F1925)=0),K1925=""),INDEX('Rules'!$C$7:$C$26,MATCH(SUBSTITUTE(SUBSTITUTE(SUBSTITUTE(SUBSTITUTE("type:"&amp;B1925,"%","%25"),"~","%7E"),"*","%2A"),"?","%3F"),'Rules'!$G$7:$G$26,0)),"")</x:f>
      </x:c>
      <x:c r="M1925" s="6" t="str">
        <x:f>IF(AND(NOT(COUNTA(A1925:F1925)=0),K1925=""),INDEX('Rules'!$D$7:$D$26,MATCH(SUBSTITUTE(SUBSTITUTE(SUBSTITUTE(SUBSTITUTE("type:"&amp;B1925,"%","%25"),"~","%7E"),"*","%2A"),"?","%3F"),'Rules'!$G$7:$G$26,0)),"")</x:f>
      </x:c>
      <x:c r="N1925" s="5" t="str">
        <x:f>IF(COUNTA(A1925:F1925)=0,"",SUBSTITUTE(SUBSTITUTE(SUBSTITUTE(SUBSTITUTE("id:"&amp;A1925,"%","%25"),"~","%7E"),"*","%2A"),"?","%3F"))</x:f>
      </x:c>
    </x:row>
    <x:row r="1926" ht="22" customHeight="1">
      <x:c r="A1926" s="3"/>
      <x:c r="B1926" s="3"/>
      <x:c r="C1926" s="3"/>
      <x:c r="D1926" s="4"/>
      <x:c r="E1926" s="4"/>
      <x:c r="F1926" s="4"/>
      <x:c r="G1926" s="5" t="str">
        <x:f>IF(COUNTA(A1926:F1926)=0,"",IF(K1926&lt;&gt;"","Review",IF(I1926&lt;0,"Overdue",IF(I1926=0,"Due now",IF(I1926&lt;=M1926,"Due soon","Not due")))))</x:f>
      </x:c>
      <x:c r="H1926" s="5" t="str">
        <x:f>IF(OR(COUNTA(A1926:F1926)=0,COUNTIFS('Rules'!$G$7:$G$26,"="&amp;(SUBSTITUTE(SUBSTITUTE(SUBSTITUTE(SUBSTITUTE("type:"&amp;B1926,"%","%25"),"~","%7E"),"*","%2A"),"?","%3F")))&lt;&gt;1),"",IF(OR(INDEX('Rules'!$B$7:$B$26,MATCH(SUBSTITUTE(SUBSTITUTE(SUBSTITUTE(SUBSTITUTE("type:"&amp;B1926,"%","%25"),"~","%7E"),"*","%2A"),"?","%3F"),'Rules'!$G$7:$G$26,0))="hours",INDEX('Rules'!$B$7:$B$26,MATCH(SUBSTITUTE(SUBSTITUTE(SUBSTITUTE(SUBSTITUTE("type:"&amp;B1926,"%","%25"),"~","%7E"),"*","%2A"),"?","%3F"),'Rules'!$G$7:$G$26,0))="km"),INDEX('Rules'!$B$7:$B$26,MATCH(SUBSTITUTE(SUBSTITUTE(SUBSTITUTE(SUBSTITUTE("type:"&amp;B1926,"%","%25"),"~","%7E"),"*","%2A"),"?","%3F"),'Rules'!$G$7:$G$26,0)),""))</x:f>
      </x:c>
      <x:c r="I1926" s="6" t="str">
        <x:f>IF(AND(NOT(COUNTA(A1926:F1926)=0),K1926=""),ROUND(J1926-D1926,3),"")</x:f>
      </x:c>
      <x:c r="J1926" s="6" t="str">
        <x:f>IF(AND(NOT(COUNTA(A1926:F1926)=0),K1926=""),ROUND(F1926+L1926,3),"")</x:f>
      </x:c>
      <x:c r="K1926" s="5" t="str">
        <x:f>IF(COUNTA(A1926:F1926)=0,"",IF(A1926="","Missing equipment ID",IF(COUNTIFS($N$8:$N$2007,"="&amp;N1926)&gt;1,"Duplicate equipment ID",IF(B1926="","Missing type",IF(COUNTIFS('Rules'!$G$7:$G$26,"="&amp;(SUBSTITUTE(SUBSTITUTE(SUBSTITUTE(SUBSTITUTE("type:"&amp;B1926,"%","%25"),"~","%7E"),"*","%2A"),"?","%3F")))=0,"Unknown type",IF(COUNTIFS('Rules'!$G$7:$G$26,"="&amp;(SUBSTITUTE(SUBSTITUTE(SUBSTITUTE(SUBSTITUTE("type:"&amp;B1926,"%","%25"),"~","%7E"),"*","%2A"),"?","%3F")))&gt;1,"Duplicate type",IF(INDEX('Rules'!$F$7:$F$26,MATCH(SUBSTITUTE(SUBSTITUTE(SUBSTITUTE(SUBSTITUTE("type:"&amp;B1926,"%","%25"),"~","%7E"),"*","%2A"),"?","%3F"),'Rules'!$G$7:$G$26,0))&lt;&gt;"",INDEX('Rules'!$F$7:$F$26,MATCH(SUBSTITUTE(SUBSTITUTE(SUBSTITUTE(SUBSTITUTE("type:"&amp;B1926,"%","%25"),"~","%7E"),"*","%2A"),"?","%3F"),'Rules'!$G$7:$G$26,0)),IF(AND(C1926&lt;&gt;"",C1926&lt;&gt;INDEX('Rules'!$B$7:$B$26,MATCH(SUBSTITUTE(SUBSTITUTE(SUBSTITUTE(SUBSTITUTE("type:"&amp;B1926,"%","%25"),"~","%7E"),"*","%2A"),"?","%3F"),'Rules'!$G$7:$G$26,0))),"Unit mismatch",IF(IF(NOT(ISNUMBER(D1926)),TRUE,OR(D1926&lt;0,D1926&gt;999999999,ROUND(D1926,3)&lt;&gt;D1926)),"Invalid current reading",IF(AND(E1926&lt;&gt;"",IF(NOT(ISNUMBER(E1926)),TRUE,OR(E1926&lt;0,E1926&gt;999999999,ROUND(E1926,3)&lt;&gt;E1926))),"Invalid previous reading",IF(IF(NOT(ISNUMBER(F1926)),TRUE,OR(F1926&lt;0,F1926&gt;999999999,ROUND(F1926,3)&lt;&gt;F1926)),"Invalid last service",IF(AND(E1926&lt;&gt;"",D1926&lt;E1926),"Decreased reading",IF(F1926&gt;D1926,"Last service above current","")))))))))))))</x:f>
      </x:c>
      <x:c r="L1926" s="6" t="str">
        <x:f>IF(AND(NOT(COUNTA(A1926:F1926)=0),K1926=""),INDEX('Rules'!$C$7:$C$26,MATCH(SUBSTITUTE(SUBSTITUTE(SUBSTITUTE(SUBSTITUTE("type:"&amp;B1926,"%","%25"),"~","%7E"),"*","%2A"),"?","%3F"),'Rules'!$G$7:$G$26,0)),"")</x:f>
      </x:c>
      <x:c r="M1926" s="6" t="str">
        <x:f>IF(AND(NOT(COUNTA(A1926:F1926)=0),K1926=""),INDEX('Rules'!$D$7:$D$26,MATCH(SUBSTITUTE(SUBSTITUTE(SUBSTITUTE(SUBSTITUTE("type:"&amp;B1926,"%","%25"),"~","%7E"),"*","%2A"),"?","%3F"),'Rules'!$G$7:$G$26,0)),"")</x:f>
      </x:c>
      <x:c r="N1926" s="5" t="str">
        <x:f>IF(COUNTA(A1926:F1926)=0,"",SUBSTITUTE(SUBSTITUTE(SUBSTITUTE(SUBSTITUTE("id:"&amp;A1926,"%","%25"),"~","%7E"),"*","%2A"),"?","%3F"))</x:f>
      </x:c>
    </x:row>
    <x:row r="1927" ht="22" customHeight="1">
      <x:c r="A1927" s="3"/>
      <x:c r="B1927" s="3"/>
      <x:c r="C1927" s="3"/>
      <x:c r="D1927" s="4"/>
      <x:c r="E1927" s="4"/>
      <x:c r="F1927" s="4"/>
      <x:c r="G1927" s="5" t="str">
        <x:f>IF(COUNTA(A1927:F1927)=0,"",IF(K1927&lt;&gt;"","Review",IF(I1927&lt;0,"Overdue",IF(I1927=0,"Due now",IF(I1927&lt;=M1927,"Due soon","Not due")))))</x:f>
      </x:c>
      <x:c r="H1927" s="5" t="str">
        <x:f>IF(OR(COUNTA(A1927:F1927)=0,COUNTIFS('Rules'!$G$7:$G$26,"="&amp;(SUBSTITUTE(SUBSTITUTE(SUBSTITUTE(SUBSTITUTE("type:"&amp;B1927,"%","%25"),"~","%7E"),"*","%2A"),"?","%3F")))&lt;&gt;1),"",IF(OR(INDEX('Rules'!$B$7:$B$26,MATCH(SUBSTITUTE(SUBSTITUTE(SUBSTITUTE(SUBSTITUTE("type:"&amp;B1927,"%","%25"),"~","%7E"),"*","%2A"),"?","%3F"),'Rules'!$G$7:$G$26,0))="hours",INDEX('Rules'!$B$7:$B$26,MATCH(SUBSTITUTE(SUBSTITUTE(SUBSTITUTE(SUBSTITUTE("type:"&amp;B1927,"%","%25"),"~","%7E"),"*","%2A"),"?","%3F"),'Rules'!$G$7:$G$26,0))="km"),INDEX('Rules'!$B$7:$B$26,MATCH(SUBSTITUTE(SUBSTITUTE(SUBSTITUTE(SUBSTITUTE("type:"&amp;B1927,"%","%25"),"~","%7E"),"*","%2A"),"?","%3F"),'Rules'!$G$7:$G$26,0)),""))</x:f>
      </x:c>
      <x:c r="I1927" s="6" t="str">
        <x:f>IF(AND(NOT(COUNTA(A1927:F1927)=0),K1927=""),ROUND(J1927-D1927,3),"")</x:f>
      </x:c>
      <x:c r="J1927" s="6" t="str">
        <x:f>IF(AND(NOT(COUNTA(A1927:F1927)=0),K1927=""),ROUND(F1927+L1927,3),"")</x:f>
      </x:c>
      <x:c r="K1927" s="5" t="str">
        <x:f>IF(COUNTA(A1927:F1927)=0,"",IF(A1927="","Missing equipment ID",IF(COUNTIFS($N$8:$N$2007,"="&amp;N1927)&gt;1,"Duplicate equipment ID",IF(B1927="","Missing type",IF(COUNTIFS('Rules'!$G$7:$G$26,"="&amp;(SUBSTITUTE(SUBSTITUTE(SUBSTITUTE(SUBSTITUTE("type:"&amp;B1927,"%","%25"),"~","%7E"),"*","%2A"),"?","%3F")))=0,"Unknown type",IF(COUNTIFS('Rules'!$G$7:$G$26,"="&amp;(SUBSTITUTE(SUBSTITUTE(SUBSTITUTE(SUBSTITUTE("type:"&amp;B1927,"%","%25"),"~","%7E"),"*","%2A"),"?","%3F")))&gt;1,"Duplicate type",IF(INDEX('Rules'!$F$7:$F$26,MATCH(SUBSTITUTE(SUBSTITUTE(SUBSTITUTE(SUBSTITUTE("type:"&amp;B1927,"%","%25"),"~","%7E"),"*","%2A"),"?","%3F"),'Rules'!$G$7:$G$26,0))&lt;&gt;"",INDEX('Rules'!$F$7:$F$26,MATCH(SUBSTITUTE(SUBSTITUTE(SUBSTITUTE(SUBSTITUTE("type:"&amp;B1927,"%","%25"),"~","%7E"),"*","%2A"),"?","%3F"),'Rules'!$G$7:$G$26,0)),IF(AND(C1927&lt;&gt;"",C1927&lt;&gt;INDEX('Rules'!$B$7:$B$26,MATCH(SUBSTITUTE(SUBSTITUTE(SUBSTITUTE(SUBSTITUTE("type:"&amp;B1927,"%","%25"),"~","%7E"),"*","%2A"),"?","%3F"),'Rules'!$G$7:$G$26,0))),"Unit mismatch",IF(IF(NOT(ISNUMBER(D1927)),TRUE,OR(D1927&lt;0,D1927&gt;999999999,ROUND(D1927,3)&lt;&gt;D1927)),"Invalid current reading",IF(AND(E1927&lt;&gt;"",IF(NOT(ISNUMBER(E1927)),TRUE,OR(E1927&lt;0,E1927&gt;999999999,ROUND(E1927,3)&lt;&gt;E1927))),"Invalid previous reading",IF(IF(NOT(ISNUMBER(F1927)),TRUE,OR(F1927&lt;0,F1927&gt;999999999,ROUND(F1927,3)&lt;&gt;F1927)),"Invalid last service",IF(AND(E1927&lt;&gt;"",D1927&lt;E1927),"Decreased reading",IF(F1927&gt;D1927,"Last service above current","")))))))))))))</x:f>
      </x:c>
      <x:c r="L1927" s="6" t="str">
        <x:f>IF(AND(NOT(COUNTA(A1927:F1927)=0),K1927=""),INDEX('Rules'!$C$7:$C$26,MATCH(SUBSTITUTE(SUBSTITUTE(SUBSTITUTE(SUBSTITUTE("type:"&amp;B1927,"%","%25"),"~","%7E"),"*","%2A"),"?","%3F"),'Rules'!$G$7:$G$26,0)),"")</x:f>
      </x:c>
      <x:c r="M1927" s="6" t="str">
        <x:f>IF(AND(NOT(COUNTA(A1927:F1927)=0),K1927=""),INDEX('Rules'!$D$7:$D$26,MATCH(SUBSTITUTE(SUBSTITUTE(SUBSTITUTE(SUBSTITUTE("type:"&amp;B1927,"%","%25"),"~","%7E"),"*","%2A"),"?","%3F"),'Rules'!$G$7:$G$26,0)),"")</x:f>
      </x:c>
      <x:c r="N1927" s="5" t="str">
        <x:f>IF(COUNTA(A1927:F1927)=0,"",SUBSTITUTE(SUBSTITUTE(SUBSTITUTE(SUBSTITUTE("id:"&amp;A1927,"%","%25"),"~","%7E"),"*","%2A"),"?","%3F"))</x:f>
      </x:c>
    </x:row>
    <x:row r="1928" ht="22" customHeight="1">
      <x:c r="A1928" s="3"/>
      <x:c r="B1928" s="3"/>
      <x:c r="C1928" s="3"/>
      <x:c r="D1928" s="4"/>
      <x:c r="E1928" s="4"/>
      <x:c r="F1928" s="4"/>
      <x:c r="G1928" s="5" t="str">
        <x:f>IF(COUNTA(A1928:F1928)=0,"",IF(K1928&lt;&gt;"","Review",IF(I1928&lt;0,"Overdue",IF(I1928=0,"Due now",IF(I1928&lt;=M1928,"Due soon","Not due")))))</x:f>
      </x:c>
      <x:c r="H1928" s="5" t="str">
        <x:f>IF(OR(COUNTA(A1928:F1928)=0,COUNTIFS('Rules'!$G$7:$G$26,"="&amp;(SUBSTITUTE(SUBSTITUTE(SUBSTITUTE(SUBSTITUTE("type:"&amp;B1928,"%","%25"),"~","%7E"),"*","%2A"),"?","%3F")))&lt;&gt;1),"",IF(OR(INDEX('Rules'!$B$7:$B$26,MATCH(SUBSTITUTE(SUBSTITUTE(SUBSTITUTE(SUBSTITUTE("type:"&amp;B1928,"%","%25"),"~","%7E"),"*","%2A"),"?","%3F"),'Rules'!$G$7:$G$26,0))="hours",INDEX('Rules'!$B$7:$B$26,MATCH(SUBSTITUTE(SUBSTITUTE(SUBSTITUTE(SUBSTITUTE("type:"&amp;B1928,"%","%25"),"~","%7E"),"*","%2A"),"?","%3F"),'Rules'!$G$7:$G$26,0))="km"),INDEX('Rules'!$B$7:$B$26,MATCH(SUBSTITUTE(SUBSTITUTE(SUBSTITUTE(SUBSTITUTE("type:"&amp;B1928,"%","%25"),"~","%7E"),"*","%2A"),"?","%3F"),'Rules'!$G$7:$G$26,0)),""))</x:f>
      </x:c>
      <x:c r="I1928" s="6" t="str">
        <x:f>IF(AND(NOT(COUNTA(A1928:F1928)=0),K1928=""),ROUND(J1928-D1928,3),"")</x:f>
      </x:c>
      <x:c r="J1928" s="6" t="str">
        <x:f>IF(AND(NOT(COUNTA(A1928:F1928)=0),K1928=""),ROUND(F1928+L1928,3),"")</x:f>
      </x:c>
      <x:c r="K1928" s="5" t="str">
        <x:f>IF(COUNTA(A1928:F1928)=0,"",IF(A1928="","Missing equipment ID",IF(COUNTIFS($N$8:$N$2007,"="&amp;N1928)&gt;1,"Duplicate equipment ID",IF(B1928="","Missing type",IF(COUNTIFS('Rules'!$G$7:$G$26,"="&amp;(SUBSTITUTE(SUBSTITUTE(SUBSTITUTE(SUBSTITUTE("type:"&amp;B1928,"%","%25"),"~","%7E"),"*","%2A"),"?","%3F")))=0,"Unknown type",IF(COUNTIFS('Rules'!$G$7:$G$26,"="&amp;(SUBSTITUTE(SUBSTITUTE(SUBSTITUTE(SUBSTITUTE("type:"&amp;B1928,"%","%25"),"~","%7E"),"*","%2A"),"?","%3F")))&gt;1,"Duplicate type",IF(INDEX('Rules'!$F$7:$F$26,MATCH(SUBSTITUTE(SUBSTITUTE(SUBSTITUTE(SUBSTITUTE("type:"&amp;B1928,"%","%25"),"~","%7E"),"*","%2A"),"?","%3F"),'Rules'!$G$7:$G$26,0))&lt;&gt;"",INDEX('Rules'!$F$7:$F$26,MATCH(SUBSTITUTE(SUBSTITUTE(SUBSTITUTE(SUBSTITUTE("type:"&amp;B1928,"%","%25"),"~","%7E"),"*","%2A"),"?","%3F"),'Rules'!$G$7:$G$26,0)),IF(AND(C1928&lt;&gt;"",C1928&lt;&gt;INDEX('Rules'!$B$7:$B$26,MATCH(SUBSTITUTE(SUBSTITUTE(SUBSTITUTE(SUBSTITUTE("type:"&amp;B1928,"%","%25"),"~","%7E"),"*","%2A"),"?","%3F"),'Rules'!$G$7:$G$26,0))),"Unit mismatch",IF(IF(NOT(ISNUMBER(D1928)),TRUE,OR(D1928&lt;0,D1928&gt;999999999,ROUND(D1928,3)&lt;&gt;D1928)),"Invalid current reading",IF(AND(E1928&lt;&gt;"",IF(NOT(ISNUMBER(E1928)),TRUE,OR(E1928&lt;0,E1928&gt;999999999,ROUND(E1928,3)&lt;&gt;E1928))),"Invalid previous reading",IF(IF(NOT(ISNUMBER(F1928)),TRUE,OR(F1928&lt;0,F1928&gt;999999999,ROUND(F1928,3)&lt;&gt;F1928)),"Invalid last service",IF(AND(E1928&lt;&gt;"",D1928&lt;E1928),"Decreased reading",IF(F1928&gt;D1928,"Last service above current","")))))))))))))</x:f>
      </x:c>
      <x:c r="L1928" s="6" t="str">
        <x:f>IF(AND(NOT(COUNTA(A1928:F1928)=0),K1928=""),INDEX('Rules'!$C$7:$C$26,MATCH(SUBSTITUTE(SUBSTITUTE(SUBSTITUTE(SUBSTITUTE("type:"&amp;B1928,"%","%25"),"~","%7E"),"*","%2A"),"?","%3F"),'Rules'!$G$7:$G$26,0)),"")</x:f>
      </x:c>
      <x:c r="M1928" s="6" t="str">
        <x:f>IF(AND(NOT(COUNTA(A1928:F1928)=0),K1928=""),INDEX('Rules'!$D$7:$D$26,MATCH(SUBSTITUTE(SUBSTITUTE(SUBSTITUTE(SUBSTITUTE("type:"&amp;B1928,"%","%25"),"~","%7E"),"*","%2A"),"?","%3F"),'Rules'!$G$7:$G$26,0)),"")</x:f>
      </x:c>
      <x:c r="N1928" s="5" t="str">
        <x:f>IF(COUNTA(A1928:F1928)=0,"",SUBSTITUTE(SUBSTITUTE(SUBSTITUTE(SUBSTITUTE("id:"&amp;A1928,"%","%25"),"~","%7E"),"*","%2A"),"?","%3F"))</x:f>
      </x:c>
    </x:row>
    <x:row r="1929" ht="22" customHeight="1">
      <x:c r="A1929" s="3"/>
      <x:c r="B1929" s="3"/>
      <x:c r="C1929" s="3"/>
      <x:c r="D1929" s="4"/>
      <x:c r="E1929" s="4"/>
      <x:c r="F1929" s="4"/>
      <x:c r="G1929" s="5" t="str">
        <x:f>IF(COUNTA(A1929:F1929)=0,"",IF(K1929&lt;&gt;"","Review",IF(I1929&lt;0,"Overdue",IF(I1929=0,"Due now",IF(I1929&lt;=M1929,"Due soon","Not due")))))</x:f>
      </x:c>
      <x:c r="H1929" s="5" t="str">
        <x:f>IF(OR(COUNTA(A1929:F1929)=0,COUNTIFS('Rules'!$G$7:$G$26,"="&amp;(SUBSTITUTE(SUBSTITUTE(SUBSTITUTE(SUBSTITUTE("type:"&amp;B1929,"%","%25"),"~","%7E"),"*","%2A"),"?","%3F")))&lt;&gt;1),"",IF(OR(INDEX('Rules'!$B$7:$B$26,MATCH(SUBSTITUTE(SUBSTITUTE(SUBSTITUTE(SUBSTITUTE("type:"&amp;B1929,"%","%25"),"~","%7E"),"*","%2A"),"?","%3F"),'Rules'!$G$7:$G$26,0))="hours",INDEX('Rules'!$B$7:$B$26,MATCH(SUBSTITUTE(SUBSTITUTE(SUBSTITUTE(SUBSTITUTE("type:"&amp;B1929,"%","%25"),"~","%7E"),"*","%2A"),"?","%3F"),'Rules'!$G$7:$G$26,0))="km"),INDEX('Rules'!$B$7:$B$26,MATCH(SUBSTITUTE(SUBSTITUTE(SUBSTITUTE(SUBSTITUTE("type:"&amp;B1929,"%","%25"),"~","%7E"),"*","%2A"),"?","%3F"),'Rules'!$G$7:$G$26,0)),""))</x:f>
      </x:c>
      <x:c r="I1929" s="6" t="str">
        <x:f>IF(AND(NOT(COUNTA(A1929:F1929)=0),K1929=""),ROUND(J1929-D1929,3),"")</x:f>
      </x:c>
      <x:c r="J1929" s="6" t="str">
        <x:f>IF(AND(NOT(COUNTA(A1929:F1929)=0),K1929=""),ROUND(F1929+L1929,3),"")</x:f>
      </x:c>
      <x:c r="K1929" s="5" t="str">
        <x:f>IF(COUNTA(A1929:F1929)=0,"",IF(A1929="","Missing equipment ID",IF(COUNTIFS($N$8:$N$2007,"="&amp;N1929)&gt;1,"Duplicate equipment ID",IF(B1929="","Missing type",IF(COUNTIFS('Rules'!$G$7:$G$26,"="&amp;(SUBSTITUTE(SUBSTITUTE(SUBSTITUTE(SUBSTITUTE("type:"&amp;B1929,"%","%25"),"~","%7E"),"*","%2A"),"?","%3F")))=0,"Unknown type",IF(COUNTIFS('Rules'!$G$7:$G$26,"="&amp;(SUBSTITUTE(SUBSTITUTE(SUBSTITUTE(SUBSTITUTE("type:"&amp;B1929,"%","%25"),"~","%7E"),"*","%2A"),"?","%3F")))&gt;1,"Duplicate type",IF(INDEX('Rules'!$F$7:$F$26,MATCH(SUBSTITUTE(SUBSTITUTE(SUBSTITUTE(SUBSTITUTE("type:"&amp;B1929,"%","%25"),"~","%7E"),"*","%2A"),"?","%3F"),'Rules'!$G$7:$G$26,0))&lt;&gt;"",INDEX('Rules'!$F$7:$F$26,MATCH(SUBSTITUTE(SUBSTITUTE(SUBSTITUTE(SUBSTITUTE("type:"&amp;B1929,"%","%25"),"~","%7E"),"*","%2A"),"?","%3F"),'Rules'!$G$7:$G$26,0)),IF(AND(C1929&lt;&gt;"",C1929&lt;&gt;INDEX('Rules'!$B$7:$B$26,MATCH(SUBSTITUTE(SUBSTITUTE(SUBSTITUTE(SUBSTITUTE("type:"&amp;B1929,"%","%25"),"~","%7E"),"*","%2A"),"?","%3F"),'Rules'!$G$7:$G$26,0))),"Unit mismatch",IF(IF(NOT(ISNUMBER(D1929)),TRUE,OR(D1929&lt;0,D1929&gt;999999999,ROUND(D1929,3)&lt;&gt;D1929)),"Invalid current reading",IF(AND(E1929&lt;&gt;"",IF(NOT(ISNUMBER(E1929)),TRUE,OR(E1929&lt;0,E1929&gt;999999999,ROUND(E1929,3)&lt;&gt;E1929))),"Invalid previous reading",IF(IF(NOT(ISNUMBER(F1929)),TRUE,OR(F1929&lt;0,F1929&gt;999999999,ROUND(F1929,3)&lt;&gt;F1929)),"Invalid last service",IF(AND(E1929&lt;&gt;"",D1929&lt;E1929),"Decreased reading",IF(F1929&gt;D1929,"Last service above current","")))))))))))))</x:f>
      </x:c>
      <x:c r="L1929" s="6" t="str">
        <x:f>IF(AND(NOT(COUNTA(A1929:F1929)=0),K1929=""),INDEX('Rules'!$C$7:$C$26,MATCH(SUBSTITUTE(SUBSTITUTE(SUBSTITUTE(SUBSTITUTE("type:"&amp;B1929,"%","%25"),"~","%7E"),"*","%2A"),"?","%3F"),'Rules'!$G$7:$G$26,0)),"")</x:f>
      </x:c>
      <x:c r="M1929" s="6" t="str">
        <x:f>IF(AND(NOT(COUNTA(A1929:F1929)=0),K1929=""),INDEX('Rules'!$D$7:$D$26,MATCH(SUBSTITUTE(SUBSTITUTE(SUBSTITUTE(SUBSTITUTE("type:"&amp;B1929,"%","%25"),"~","%7E"),"*","%2A"),"?","%3F"),'Rules'!$G$7:$G$26,0)),"")</x:f>
      </x:c>
      <x:c r="N1929" s="5" t="str">
        <x:f>IF(COUNTA(A1929:F1929)=0,"",SUBSTITUTE(SUBSTITUTE(SUBSTITUTE(SUBSTITUTE("id:"&amp;A1929,"%","%25"),"~","%7E"),"*","%2A"),"?","%3F"))</x:f>
      </x:c>
    </x:row>
    <x:row r="1930" ht="22" customHeight="1">
      <x:c r="A1930" s="3"/>
      <x:c r="B1930" s="3"/>
      <x:c r="C1930" s="3"/>
      <x:c r="D1930" s="4"/>
      <x:c r="E1930" s="4"/>
      <x:c r="F1930" s="4"/>
      <x:c r="G1930" s="5" t="str">
        <x:f>IF(COUNTA(A1930:F1930)=0,"",IF(K1930&lt;&gt;"","Review",IF(I1930&lt;0,"Overdue",IF(I1930=0,"Due now",IF(I1930&lt;=M1930,"Due soon","Not due")))))</x:f>
      </x:c>
      <x:c r="H1930" s="5" t="str">
        <x:f>IF(OR(COUNTA(A1930:F1930)=0,COUNTIFS('Rules'!$G$7:$G$26,"="&amp;(SUBSTITUTE(SUBSTITUTE(SUBSTITUTE(SUBSTITUTE("type:"&amp;B1930,"%","%25"),"~","%7E"),"*","%2A"),"?","%3F")))&lt;&gt;1),"",IF(OR(INDEX('Rules'!$B$7:$B$26,MATCH(SUBSTITUTE(SUBSTITUTE(SUBSTITUTE(SUBSTITUTE("type:"&amp;B1930,"%","%25"),"~","%7E"),"*","%2A"),"?","%3F"),'Rules'!$G$7:$G$26,0))="hours",INDEX('Rules'!$B$7:$B$26,MATCH(SUBSTITUTE(SUBSTITUTE(SUBSTITUTE(SUBSTITUTE("type:"&amp;B1930,"%","%25"),"~","%7E"),"*","%2A"),"?","%3F"),'Rules'!$G$7:$G$26,0))="km"),INDEX('Rules'!$B$7:$B$26,MATCH(SUBSTITUTE(SUBSTITUTE(SUBSTITUTE(SUBSTITUTE("type:"&amp;B1930,"%","%25"),"~","%7E"),"*","%2A"),"?","%3F"),'Rules'!$G$7:$G$26,0)),""))</x:f>
      </x:c>
      <x:c r="I1930" s="6" t="str">
        <x:f>IF(AND(NOT(COUNTA(A1930:F1930)=0),K1930=""),ROUND(J1930-D1930,3),"")</x:f>
      </x:c>
      <x:c r="J1930" s="6" t="str">
        <x:f>IF(AND(NOT(COUNTA(A1930:F1930)=0),K1930=""),ROUND(F1930+L1930,3),"")</x:f>
      </x:c>
      <x:c r="K1930" s="5" t="str">
        <x:f>IF(COUNTA(A1930:F1930)=0,"",IF(A1930="","Missing equipment ID",IF(COUNTIFS($N$8:$N$2007,"="&amp;N1930)&gt;1,"Duplicate equipment ID",IF(B1930="","Missing type",IF(COUNTIFS('Rules'!$G$7:$G$26,"="&amp;(SUBSTITUTE(SUBSTITUTE(SUBSTITUTE(SUBSTITUTE("type:"&amp;B1930,"%","%25"),"~","%7E"),"*","%2A"),"?","%3F")))=0,"Unknown type",IF(COUNTIFS('Rules'!$G$7:$G$26,"="&amp;(SUBSTITUTE(SUBSTITUTE(SUBSTITUTE(SUBSTITUTE("type:"&amp;B1930,"%","%25"),"~","%7E"),"*","%2A"),"?","%3F")))&gt;1,"Duplicate type",IF(INDEX('Rules'!$F$7:$F$26,MATCH(SUBSTITUTE(SUBSTITUTE(SUBSTITUTE(SUBSTITUTE("type:"&amp;B1930,"%","%25"),"~","%7E"),"*","%2A"),"?","%3F"),'Rules'!$G$7:$G$26,0))&lt;&gt;"",INDEX('Rules'!$F$7:$F$26,MATCH(SUBSTITUTE(SUBSTITUTE(SUBSTITUTE(SUBSTITUTE("type:"&amp;B1930,"%","%25"),"~","%7E"),"*","%2A"),"?","%3F"),'Rules'!$G$7:$G$26,0)),IF(AND(C1930&lt;&gt;"",C1930&lt;&gt;INDEX('Rules'!$B$7:$B$26,MATCH(SUBSTITUTE(SUBSTITUTE(SUBSTITUTE(SUBSTITUTE("type:"&amp;B1930,"%","%25"),"~","%7E"),"*","%2A"),"?","%3F"),'Rules'!$G$7:$G$26,0))),"Unit mismatch",IF(IF(NOT(ISNUMBER(D1930)),TRUE,OR(D1930&lt;0,D1930&gt;999999999,ROUND(D1930,3)&lt;&gt;D1930)),"Invalid current reading",IF(AND(E1930&lt;&gt;"",IF(NOT(ISNUMBER(E1930)),TRUE,OR(E1930&lt;0,E1930&gt;999999999,ROUND(E1930,3)&lt;&gt;E1930))),"Invalid previous reading",IF(IF(NOT(ISNUMBER(F1930)),TRUE,OR(F1930&lt;0,F1930&gt;999999999,ROUND(F1930,3)&lt;&gt;F1930)),"Invalid last service",IF(AND(E1930&lt;&gt;"",D1930&lt;E1930),"Decreased reading",IF(F1930&gt;D1930,"Last service above current","")))))))))))))</x:f>
      </x:c>
      <x:c r="L1930" s="6" t="str">
        <x:f>IF(AND(NOT(COUNTA(A1930:F1930)=0),K1930=""),INDEX('Rules'!$C$7:$C$26,MATCH(SUBSTITUTE(SUBSTITUTE(SUBSTITUTE(SUBSTITUTE("type:"&amp;B1930,"%","%25"),"~","%7E"),"*","%2A"),"?","%3F"),'Rules'!$G$7:$G$26,0)),"")</x:f>
      </x:c>
      <x:c r="M1930" s="6" t="str">
        <x:f>IF(AND(NOT(COUNTA(A1930:F1930)=0),K1930=""),INDEX('Rules'!$D$7:$D$26,MATCH(SUBSTITUTE(SUBSTITUTE(SUBSTITUTE(SUBSTITUTE("type:"&amp;B1930,"%","%25"),"~","%7E"),"*","%2A"),"?","%3F"),'Rules'!$G$7:$G$26,0)),"")</x:f>
      </x:c>
      <x:c r="N1930" s="5" t="str">
        <x:f>IF(COUNTA(A1930:F1930)=0,"",SUBSTITUTE(SUBSTITUTE(SUBSTITUTE(SUBSTITUTE("id:"&amp;A1930,"%","%25"),"~","%7E"),"*","%2A"),"?","%3F"))</x:f>
      </x:c>
    </x:row>
    <x:row r="1931" ht="22" customHeight="1">
      <x:c r="A1931" s="3"/>
      <x:c r="B1931" s="3"/>
      <x:c r="C1931" s="3"/>
      <x:c r="D1931" s="4"/>
      <x:c r="E1931" s="4"/>
      <x:c r="F1931" s="4"/>
      <x:c r="G1931" s="5" t="str">
        <x:f>IF(COUNTA(A1931:F1931)=0,"",IF(K1931&lt;&gt;"","Review",IF(I1931&lt;0,"Overdue",IF(I1931=0,"Due now",IF(I1931&lt;=M1931,"Due soon","Not due")))))</x:f>
      </x:c>
      <x:c r="H1931" s="5" t="str">
        <x:f>IF(OR(COUNTA(A1931:F1931)=0,COUNTIFS('Rules'!$G$7:$G$26,"="&amp;(SUBSTITUTE(SUBSTITUTE(SUBSTITUTE(SUBSTITUTE("type:"&amp;B1931,"%","%25"),"~","%7E"),"*","%2A"),"?","%3F")))&lt;&gt;1),"",IF(OR(INDEX('Rules'!$B$7:$B$26,MATCH(SUBSTITUTE(SUBSTITUTE(SUBSTITUTE(SUBSTITUTE("type:"&amp;B1931,"%","%25"),"~","%7E"),"*","%2A"),"?","%3F"),'Rules'!$G$7:$G$26,0))="hours",INDEX('Rules'!$B$7:$B$26,MATCH(SUBSTITUTE(SUBSTITUTE(SUBSTITUTE(SUBSTITUTE("type:"&amp;B1931,"%","%25"),"~","%7E"),"*","%2A"),"?","%3F"),'Rules'!$G$7:$G$26,0))="km"),INDEX('Rules'!$B$7:$B$26,MATCH(SUBSTITUTE(SUBSTITUTE(SUBSTITUTE(SUBSTITUTE("type:"&amp;B1931,"%","%25"),"~","%7E"),"*","%2A"),"?","%3F"),'Rules'!$G$7:$G$26,0)),""))</x:f>
      </x:c>
      <x:c r="I1931" s="6" t="str">
        <x:f>IF(AND(NOT(COUNTA(A1931:F1931)=0),K1931=""),ROUND(J1931-D1931,3),"")</x:f>
      </x:c>
      <x:c r="J1931" s="6" t="str">
        <x:f>IF(AND(NOT(COUNTA(A1931:F1931)=0),K1931=""),ROUND(F1931+L1931,3),"")</x:f>
      </x:c>
      <x:c r="K1931" s="5" t="str">
        <x:f>IF(COUNTA(A1931:F1931)=0,"",IF(A1931="","Missing equipment ID",IF(COUNTIFS($N$8:$N$2007,"="&amp;N1931)&gt;1,"Duplicate equipment ID",IF(B1931="","Missing type",IF(COUNTIFS('Rules'!$G$7:$G$26,"="&amp;(SUBSTITUTE(SUBSTITUTE(SUBSTITUTE(SUBSTITUTE("type:"&amp;B1931,"%","%25"),"~","%7E"),"*","%2A"),"?","%3F")))=0,"Unknown type",IF(COUNTIFS('Rules'!$G$7:$G$26,"="&amp;(SUBSTITUTE(SUBSTITUTE(SUBSTITUTE(SUBSTITUTE("type:"&amp;B1931,"%","%25"),"~","%7E"),"*","%2A"),"?","%3F")))&gt;1,"Duplicate type",IF(INDEX('Rules'!$F$7:$F$26,MATCH(SUBSTITUTE(SUBSTITUTE(SUBSTITUTE(SUBSTITUTE("type:"&amp;B1931,"%","%25"),"~","%7E"),"*","%2A"),"?","%3F"),'Rules'!$G$7:$G$26,0))&lt;&gt;"",INDEX('Rules'!$F$7:$F$26,MATCH(SUBSTITUTE(SUBSTITUTE(SUBSTITUTE(SUBSTITUTE("type:"&amp;B1931,"%","%25"),"~","%7E"),"*","%2A"),"?","%3F"),'Rules'!$G$7:$G$26,0)),IF(AND(C1931&lt;&gt;"",C1931&lt;&gt;INDEX('Rules'!$B$7:$B$26,MATCH(SUBSTITUTE(SUBSTITUTE(SUBSTITUTE(SUBSTITUTE("type:"&amp;B1931,"%","%25"),"~","%7E"),"*","%2A"),"?","%3F"),'Rules'!$G$7:$G$26,0))),"Unit mismatch",IF(IF(NOT(ISNUMBER(D1931)),TRUE,OR(D1931&lt;0,D1931&gt;999999999,ROUND(D1931,3)&lt;&gt;D1931)),"Invalid current reading",IF(AND(E1931&lt;&gt;"",IF(NOT(ISNUMBER(E1931)),TRUE,OR(E1931&lt;0,E1931&gt;999999999,ROUND(E1931,3)&lt;&gt;E1931))),"Invalid previous reading",IF(IF(NOT(ISNUMBER(F1931)),TRUE,OR(F1931&lt;0,F1931&gt;999999999,ROUND(F1931,3)&lt;&gt;F1931)),"Invalid last service",IF(AND(E1931&lt;&gt;"",D1931&lt;E1931),"Decreased reading",IF(F1931&gt;D1931,"Last service above current","")))))))))))))</x:f>
      </x:c>
      <x:c r="L1931" s="6" t="str">
        <x:f>IF(AND(NOT(COUNTA(A1931:F1931)=0),K1931=""),INDEX('Rules'!$C$7:$C$26,MATCH(SUBSTITUTE(SUBSTITUTE(SUBSTITUTE(SUBSTITUTE("type:"&amp;B1931,"%","%25"),"~","%7E"),"*","%2A"),"?","%3F"),'Rules'!$G$7:$G$26,0)),"")</x:f>
      </x:c>
      <x:c r="M1931" s="6" t="str">
        <x:f>IF(AND(NOT(COUNTA(A1931:F1931)=0),K1931=""),INDEX('Rules'!$D$7:$D$26,MATCH(SUBSTITUTE(SUBSTITUTE(SUBSTITUTE(SUBSTITUTE("type:"&amp;B1931,"%","%25"),"~","%7E"),"*","%2A"),"?","%3F"),'Rules'!$G$7:$G$26,0)),"")</x:f>
      </x:c>
      <x:c r="N1931" s="5" t="str">
        <x:f>IF(COUNTA(A1931:F1931)=0,"",SUBSTITUTE(SUBSTITUTE(SUBSTITUTE(SUBSTITUTE("id:"&amp;A1931,"%","%25"),"~","%7E"),"*","%2A"),"?","%3F"))</x:f>
      </x:c>
    </x:row>
    <x:row r="1932" ht="22" customHeight="1">
      <x:c r="A1932" s="3"/>
      <x:c r="B1932" s="3"/>
      <x:c r="C1932" s="3"/>
      <x:c r="D1932" s="4"/>
      <x:c r="E1932" s="4"/>
      <x:c r="F1932" s="4"/>
      <x:c r="G1932" s="5" t="str">
        <x:f>IF(COUNTA(A1932:F1932)=0,"",IF(K1932&lt;&gt;"","Review",IF(I1932&lt;0,"Overdue",IF(I1932=0,"Due now",IF(I1932&lt;=M1932,"Due soon","Not due")))))</x:f>
      </x:c>
      <x:c r="H1932" s="5" t="str">
        <x:f>IF(OR(COUNTA(A1932:F1932)=0,COUNTIFS('Rules'!$G$7:$G$26,"="&amp;(SUBSTITUTE(SUBSTITUTE(SUBSTITUTE(SUBSTITUTE("type:"&amp;B1932,"%","%25"),"~","%7E"),"*","%2A"),"?","%3F")))&lt;&gt;1),"",IF(OR(INDEX('Rules'!$B$7:$B$26,MATCH(SUBSTITUTE(SUBSTITUTE(SUBSTITUTE(SUBSTITUTE("type:"&amp;B1932,"%","%25"),"~","%7E"),"*","%2A"),"?","%3F"),'Rules'!$G$7:$G$26,0))="hours",INDEX('Rules'!$B$7:$B$26,MATCH(SUBSTITUTE(SUBSTITUTE(SUBSTITUTE(SUBSTITUTE("type:"&amp;B1932,"%","%25"),"~","%7E"),"*","%2A"),"?","%3F"),'Rules'!$G$7:$G$26,0))="km"),INDEX('Rules'!$B$7:$B$26,MATCH(SUBSTITUTE(SUBSTITUTE(SUBSTITUTE(SUBSTITUTE("type:"&amp;B1932,"%","%25"),"~","%7E"),"*","%2A"),"?","%3F"),'Rules'!$G$7:$G$26,0)),""))</x:f>
      </x:c>
      <x:c r="I1932" s="6" t="str">
        <x:f>IF(AND(NOT(COUNTA(A1932:F1932)=0),K1932=""),ROUND(J1932-D1932,3),"")</x:f>
      </x:c>
      <x:c r="J1932" s="6" t="str">
        <x:f>IF(AND(NOT(COUNTA(A1932:F1932)=0),K1932=""),ROUND(F1932+L1932,3),"")</x:f>
      </x:c>
      <x:c r="K1932" s="5" t="str">
        <x:f>IF(COUNTA(A1932:F1932)=0,"",IF(A1932="","Missing equipment ID",IF(COUNTIFS($N$8:$N$2007,"="&amp;N1932)&gt;1,"Duplicate equipment ID",IF(B1932="","Missing type",IF(COUNTIFS('Rules'!$G$7:$G$26,"="&amp;(SUBSTITUTE(SUBSTITUTE(SUBSTITUTE(SUBSTITUTE("type:"&amp;B1932,"%","%25"),"~","%7E"),"*","%2A"),"?","%3F")))=0,"Unknown type",IF(COUNTIFS('Rules'!$G$7:$G$26,"="&amp;(SUBSTITUTE(SUBSTITUTE(SUBSTITUTE(SUBSTITUTE("type:"&amp;B1932,"%","%25"),"~","%7E"),"*","%2A"),"?","%3F")))&gt;1,"Duplicate type",IF(INDEX('Rules'!$F$7:$F$26,MATCH(SUBSTITUTE(SUBSTITUTE(SUBSTITUTE(SUBSTITUTE("type:"&amp;B1932,"%","%25"),"~","%7E"),"*","%2A"),"?","%3F"),'Rules'!$G$7:$G$26,0))&lt;&gt;"",INDEX('Rules'!$F$7:$F$26,MATCH(SUBSTITUTE(SUBSTITUTE(SUBSTITUTE(SUBSTITUTE("type:"&amp;B1932,"%","%25"),"~","%7E"),"*","%2A"),"?","%3F"),'Rules'!$G$7:$G$26,0)),IF(AND(C1932&lt;&gt;"",C1932&lt;&gt;INDEX('Rules'!$B$7:$B$26,MATCH(SUBSTITUTE(SUBSTITUTE(SUBSTITUTE(SUBSTITUTE("type:"&amp;B1932,"%","%25"),"~","%7E"),"*","%2A"),"?","%3F"),'Rules'!$G$7:$G$26,0))),"Unit mismatch",IF(IF(NOT(ISNUMBER(D1932)),TRUE,OR(D1932&lt;0,D1932&gt;999999999,ROUND(D1932,3)&lt;&gt;D1932)),"Invalid current reading",IF(AND(E1932&lt;&gt;"",IF(NOT(ISNUMBER(E1932)),TRUE,OR(E1932&lt;0,E1932&gt;999999999,ROUND(E1932,3)&lt;&gt;E1932))),"Invalid previous reading",IF(IF(NOT(ISNUMBER(F1932)),TRUE,OR(F1932&lt;0,F1932&gt;999999999,ROUND(F1932,3)&lt;&gt;F1932)),"Invalid last service",IF(AND(E1932&lt;&gt;"",D1932&lt;E1932),"Decreased reading",IF(F1932&gt;D1932,"Last service above current","")))))))))))))</x:f>
      </x:c>
      <x:c r="L1932" s="6" t="str">
        <x:f>IF(AND(NOT(COUNTA(A1932:F1932)=0),K1932=""),INDEX('Rules'!$C$7:$C$26,MATCH(SUBSTITUTE(SUBSTITUTE(SUBSTITUTE(SUBSTITUTE("type:"&amp;B1932,"%","%25"),"~","%7E"),"*","%2A"),"?","%3F"),'Rules'!$G$7:$G$26,0)),"")</x:f>
      </x:c>
      <x:c r="M1932" s="6" t="str">
        <x:f>IF(AND(NOT(COUNTA(A1932:F1932)=0),K1932=""),INDEX('Rules'!$D$7:$D$26,MATCH(SUBSTITUTE(SUBSTITUTE(SUBSTITUTE(SUBSTITUTE("type:"&amp;B1932,"%","%25"),"~","%7E"),"*","%2A"),"?","%3F"),'Rules'!$G$7:$G$26,0)),"")</x:f>
      </x:c>
      <x:c r="N1932" s="5" t="str">
        <x:f>IF(COUNTA(A1932:F1932)=0,"",SUBSTITUTE(SUBSTITUTE(SUBSTITUTE(SUBSTITUTE("id:"&amp;A1932,"%","%25"),"~","%7E"),"*","%2A"),"?","%3F"))</x:f>
      </x:c>
    </x:row>
    <x:row r="1933" ht="22" customHeight="1">
      <x:c r="A1933" s="3"/>
      <x:c r="B1933" s="3"/>
      <x:c r="C1933" s="3"/>
      <x:c r="D1933" s="4"/>
      <x:c r="E1933" s="4"/>
      <x:c r="F1933" s="4"/>
      <x:c r="G1933" s="5" t="str">
        <x:f>IF(COUNTA(A1933:F1933)=0,"",IF(K1933&lt;&gt;"","Review",IF(I1933&lt;0,"Overdue",IF(I1933=0,"Due now",IF(I1933&lt;=M1933,"Due soon","Not due")))))</x:f>
      </x:c>
      <x:c r="H1933" s="5" t="str">
        <x:f>IF(OR(COUNTA(A1933:F1933)=0,COUNTIFS('Rules'!$G$7:$G$26,"="&amp;(SUBSTITUTE(SUBSTITUTE(SUBSTITUTE(SUBSTITUTE("type:"&amp;B1933,"%","%25"),"~","%7E"),"*","%2A"),"?","%3F")))&lt;&gt;1),"",IF(OR(INDEX('Rules'!$B$7:$B$26,MATCH(SUBSTITUTE(SUBSTITUTE(SUBSTITUTE(SUBSTITUTE("type:"&amp;B1933,"%","%25"),"~","%7E"),"*","%2A"),"?","%3F"),'Rules'!$G$7:$G$26,0))="hours",INDEX('Rules'!$B$7:$B$26,MATCH(SUBSTITUTE(SUBSTITUTE(SUBSTITUTE(SUBSTITUTE("type:"&amp;B1933,"%","%25"),"~","%7E"),"*","%2A"),"?","%3F"),'Rules'!$G$7:$G$26,0))="km"),INDEX('Rules'!$B$7:$B$26,MATCH(SUBSTITUTE(SUBSTITUTE(SUBSTITUTE(SUBSTITUTE("type:"&amp;B1933,"%","%25"),"~","%7E"),"*","%2A"),"?","%3F"),'Rules'!$G$7:$G$26,0)),""))</x:f>
      </x:c>
      <x:c r="I1933" s="6" t="str">
        <x:f>IF(AND(NOT(COUNTA(A1933:F1933)=0),K1933=""),ROUND(J1933-D1933,3),"")</x:f>
      </x:c>
      <x:c r="J1933" s="6" t="str">
        <x:f>IF(AND(NOT(COUNTA(A1933:F1933)=0),K1933=""),ROUND(F1933+L1933,3),"")</x:f>
      </x:c>
      <x:c r="K1933" s="5" t="str">
        <x:f>IF(COUNTA(A1933:F1933)=0,"",IF(A1933="","Missing equipment ID",IF(COUNTIFS($N$8:$N$2007,"="&amp;N1933)&gt;1,"Duplicate equipment ID",IF(B1933="","Missing type",IF(COUNTIFS('Rules'!$G$7:$G$26,"="&amp;(SUBSTITUTE(SUBSTITUTE(SUBSTITUTE(SUBSTITUTE("type:"&amp;B1933,"%","%25"),"~","%7E"),"*","%2A"),"?","%3F")))=0,"Unknown type",IF(COUNTIFS('Rules'!$G$7:$G$26,"="&amp;(SUBSTITUTE(SUBSTITUTE(SUBSTITUTE(SUBSTITUTE("type:"&amp;B1933,"%","%25"),"~","%7E"),"*","%2A"),"?","%3F")))&gt;1,"Duplicate type",IF(INDEX('Rules'!$F$7:$F$26,MATCH(SUBSTITUTE(SUBSTITUTE(SUBSTITUTE(SUBSTITUTE("type:"&amp;B1933,"%","%25"),"~","%7E"),"*","%2A"),"?","%3F"),'Rules'!$G$7:$G$26,0))&lt;&gt;"",INDEX('Rules'!$F$7:$F$26,MATCH(SUBSTITUTE(SUBSTITUTE(SUBSTITUTE(SUBSTITUTE("type:"&amp;B1933,"%","%25"),"~","%7E"),"*","%2A"),"?","%3F"),'Rules'!$G$7:$G$26,0)),IF(AND(C1933&lt;&gt;"",C1933&lt;&gt;INDEX('Rules'!$B$7:$B$26,MATCH(SUBSTITUTE(SUBSTITUTE(SUBSTITUTE(SUBSTITUTE("type:"&amp;B1933,"%","%25"),"~","%7E"),"*","%2A"),"?","%3F"),'Rules'!$G$7:$G$26,0))),"Unit mismatch",IF(IF(NOT(ISNUMBER(D1933)),TRUE,OR(D1933&lt;0,D1933&gt;999999999,ROUND(D1933,3)&lt;&gt;D1933)),"Invalid current reading",IF(AND(E1933&lt;&gt;"",IF(NOT(ISNUMBER(E1933)),TRUE,OR(E1933&lt;0,E1933&gt;999999999,ROUND(E1933,3)&lt;&gt;E1933))),"Invalid previous reading",IF(IF(NOT(ISNUMBER(F1933)),TRUE,OR(F1933&lt;0,F1933&gt;999999999,ROUND(F1933,3)&lt;&gt;F1933)),"Invalid last service",IF(AND(E1933&lt;&gt;"",D1933&lt;E1933),"Decreased reading",IF(F1933&gt;D1933,"Last service above current","")))))))))))))</x:f>
      </x:c>
      <x:c r="L1933" s="6" t="str">
        <x:f>IF(AND(NOT(COUNTA(A1933:F1933)=0),K1933=""),INDEX('Rules'!$C$7:$C$26,MATCH(SUBSTITUTE(SUBSTITUTE(SUBSTITUTE(SUBSTITUTE("type:"&amp;B1933,"%","%25"),"~","%7E"),"*","%2A"),"?","%3F"),'Rules'!$G$7:$G$26,0)),"")</x:f>
      </x:c>
      <x:c r="M1933" s="6" t="str">
        <x:f>IF(AND(NOT(COUNTA(A1933:F1933)=0),K1933=""),INDEX('Rules'!$D$7:$D$26,MATCH(SUBSTITUTE(SUBSTITUTE(SUBSTITUTE(SUBSTITUTE("type:"&amp;B1933,"%","%25"),"~","%7E"),"*","%2A"),"?","%3F"),'Rules'!$G$7:$G$26,0)),"")</x:f>
      </x:c>
      <x:c r="N1933" s="5" t="str">
        <x:f>IF(COUNTA(A1933:F1933)=0,"",SUBSTITUTE(SUBSTITUTE(SUBSTITUTE(SUBSTITUTE("id:"&amp;A1933,"%","%25"),"~","%7E"),"*","%2A"),"?","%3F"))</x:f>
      </x:c>
    </x:row>
    <x:row r="1934" ht="22" customHeight="1">
      <x:c r="A1934" s="3"/>
      <x:c r="B1934" s="3"/>
      <x:c r="C1934" s="3"/>
      <x:c r="D1934" s="4"/>
      <x:c r="E1934" s="4"/>
      <x:c r="F1934" s="4"/>
      <x:c r="G1934" s="5" t="str">
        <x:f>IF(COUNTA(A1934:F1934)=0,"",IF(K1934&lt;&gt;"","Review",IF(I1934&lt;0,"Overdue",IF(I1934=0,"Due now",IF(I1934&lt;=M1934,"Due soon","Not due")))))</x:f>
      </x:c>
      <x:c r="H1934" s="5" t="str">
        <x:f>IF(OR(COUNTA(A1934:F1934)=0,COUNTIFS('Rules'!$G$7:$G$26,"="&amp;(SUBSTITUTE(SUBSTITUTE(SUBSTITUTE(SUBSTITUTE("type:"&amp;B1934,"%","%25"),"~","%7E"),"*","%2A"),"?","%3F")))&lt;&gt;1),"",IF(OR(INDEX('Rules'!$B$7:$B$26,MATCH(SUBSTITUTE(SUBSTITUTE(SUBSTITUTE(SUBSTITUTE("type:"&amp;B1934,"%","%25"),"~","%7E"),"*","%2A"),"?","%3F"),'Rules'!$G$7:$G$26,0))="hours",INDEX('Rules'!$B$7:$B$26,MATCH(SUBSTITUTE(SUBSTITUTE(SUBSTITUTE(SUBSTITUTE("type:"&amp;B1934,"%","%25"),"~","%7E"),"*","%2A"),"?","%3F"),'Rules'!$G$7:$G$26,0))="km"),INDEX('Rules'!$B$7:$B$26,MATCH(SUBSTITUTE(SUBSTITUTE(SUBSTITUTE(SUBSTITUTE("type:"&amp;B1934,"%","%25"),"~","%7E"),"*","%2A"),"?","%3F"),'Rules'!$G$7:$G$26,0)),""))</x:f>
      </x:c>
      <x:c r="I1934" s="6" t="str">
        <x:f>IF(AND(NOT(COUNTA(A1934:F1934)=0),K1934=""),ROUND(J1934-D1934,3),"")</x:f>
      </x:c>
      <x:c r="J1934" s="6" t="str">
        <x:f>IF(AND(NOT(COUNTA(A1934:F1934)=0),K1934=""),ROUND(F1934+L1934,3),"")</x:f>
      </x:c>
      <x:c r="K1934" s="5" t="str">
        <x:f>IF(COUNTA(A1934:F1934)=0,"",IF(A1934="","Missing equipment ID",IF(COUNTIFS($N$8:$N$2007,"="&amp;N1934)&gt;1,"Duplicate equipment ID",IF(B1934="","Missing type",IF(COUNTIFS('Rules'!$G$7:$G$26,"="&amp;(SUBSTITUTE(SUBSTITUTE(SUBSTITUTE(SUBSTITUTE("type:"&amp;B1934,"%","%25"),"~","%7E"),"*","%2A"),"?","%3F")))=0,"Unknown type",IF(COUNTIFS('Rules'!$G$7:$G$26,"="&amp;(SUBSTITUTE(SUBSTITUTE(SUBSTITUTE(SUBSTITUTE("type:"&amp;B1934,"%","%25"),"~","%7E"),"*","%2A"),"?","%3F")))&gt;1,"Duplicate type",IF(INDEX('Rules'!$F$7:$F$26,MATCH(SUBSTITUTE(SUBSTITUTE(SUBSTITUTE(SUBSTITUTE("type:"&amp;B1934,"%","%25"),"~","%7E"),"*","%2A"),"?","%3F"),'Rules'!$G$7:$G$26,0))&lt;&gt;"",INDEX('Rules'!$F$7:$F$26,MATCH(SUBSTITUTE(SUBSTITUTE(SUBSTITUTE(SUBSTITUTE("type:"&amp;B1934,"%","%25"),"~","%7E"),"*","%2A"),"?","%3F"),'Rules'!$G$7:$G$26,0)),IF(AND(C1934&lt;&gt;"",C1934&lt;&gt;INDEX('Rules'!$B$7:$B$26,MATCH(SUBSTITUTE(SUBSTITUTE(SUBSTITUTE(SUBSTITUTE("type:"&amp;B1934,"%","%25"),"~","%7E"),"*","%2A"),"?","%3F"),'Rules'!$G$7:$G$26,0))),"Unit mismatch",IF(IF(NOT(ISNUMBER(D1934)),TRUE,OR(D1934&lt;0,D1934&gt;999999999,ROUND(D1934,3)&lt;&gt;D1934)),"Invalid current reading",IF(AND(E1934&lt;&gt;"",IF(NOT(ISNUMBER(E1934)),TRUE,OR(E1934&lt;0,E1934&gt;999999999,ROUND(E1934,3)&lt;&gt;E1934))),"Invalid previous reading",IF(IF(NOT(ISNUMBER(F1934)),TRUE,OR(F1934&lt;0,F1934&gt;999999999,ROUND(F1934,3)&lt;&gt;F1934)),"Invalid last service",IF(AND(E1934&lt;&gt;"",D1934&lt;E1934),"Decreased reading",IF(F1934&gt;D1934,"Last service above current","")))))))))))))</x:f>
      </x:c>
      <x:c r="L1934" s="6" t="str">
        <x:f>IF(AND(NOT(COUNTA(A1934:F1934)=0),K1934=""),INDEX('Rules'!$C$7:$C$26,MATCH(SUBSTITUTE(SUBSTITUTE(SUBSTITUTE(SUBSTITUTE("type:"&amp;B1934,"%","%25"),"~","%7E"),"*","%2A"),"?","%3F"),'Rules'!$G$7:$G$26,0)),"")</x:f>
      </x:c>
      <x:c r="M1934" s="6" t="str">
        <x:f>IF(AND(NOT(COUNTA(A1934:F1934)=0),K1934=""),INDEX('Rules'!$D$7:$D$26,MATCH(SUBSTITUTE(SUBSTITUTE(SUBSTITUTE(SUBSTITUTE("type:"&amp;B1934,"%","%25"),"~","%7E"),"*","%2A"),"?","%3F"),'Rules'!$G$7:$G$26,0)),"")</x:f>
      </x:c>
      <x:c r="N1934" s="5" t="str">
        <x:f>IF(COUNTA(A1934:F1934)=0,"",SUBSTITUTE(SUBSTITUTE(SUBSTITUTE(SUBSTITUTE("id:"&amp;A1934,"%","%25"),"~","%7E"),"*","%2A"),"?","%3F"))</x:f>
      </x:c>
    </x:row>
    <x:row r="1935" ht="22" customHeight="1">
      <x:c r="A1935" s="3"/>
      <x:c r="B1935" s="3"/>
      <x:c r="C1935" s="3"/>
      <x:c r="D1935" s="4"/>
      <x:c r="E1935" s="4"/>
      <x:c r="F1935" s="4"/>
      <x:c r="G1935" s="5" t="str">
        <x:f>IF(COUNTA(A1935:F1935)=0,"",IF(K1935&lt;&gt;"","Review",IF(I1935&lt;0,"Overdue",IF(I1935=0,"Due now",IF(I1935&lt;=M1935,"Due soon","Not due")))))</x:f>
      </x:c>
      <x:c r="H1935" s="5" t="str">
        <x:f>IF(OR(COUNTA(A1935:F1935)=0,COUNTIFS('Rules'!$G$7:$G$26,"="&amp;(SUBSTITUTE(SUBSTITUTE(SUBSTITUTE(SUBSTITUTE("type:"&amp;B1935,"%","%25"),"~","%7E"),"*","%2A"),"?","%3F")))&lt;&gt;1),"",IF(OR(INDEX('Rules'!$B$7:$B$26,MATCH(SUBSTITUTE(SUBSTITUTE(SUBSTITUTE(SUBSTITUTE("type:"&amp;B1935,"%","%25"),"~","%7E"),"*","%2A"),"?","%3F"),'Rules'!$G$7:$G$26,0))="hours",INDEX('Rules'!$B$7:$B$26,MATCH(SUBSTITUTE(SUBSTITUTE(SUBSTITUTE(SUBSTITUTE("type:"&amp;B1935,"%","%25"),"~","%7E"),"*","%2A"),"?","%3F"),'Rules'!$G$7:$G$26,0))="km"),INDEX('Rules'!$B$7:$B$26,MATCH(SUBSTITUTE(SUBSTITUTE(SUBSTITUTE(SUBSTITUTE("type:"&amp;B1935,"%","%25"),"~","%7E"),"*","%2A"),"?","%3F"),'Rules'!$G$7:$G$26,0)),""))</x:f>
      </x:c>
      <x:c r="I1935" s="6" t="str">
        <x:f>IF(AND(NOT(COUNTA(A1935:F1935)=0),K1935=""),ROUND(J1935-D1935,3),"")</x:f>
      </x:c>
      <x:c r="J1935" s="6" t="str">
        <x:f>IF(AND(NOT(COUNTA(A1935:F1935)=0),K1935=""),ROUND(F1935+L1935,3),"")</x:f>
      </x:c>
      <x:c r="K1935" s="5" t="str">
        <x:f>IF(COUNTA(A1935:F1935)=0,"",IF(A1935="","Missing equipment ID",IF(COUNTIFS($N$8:$N$2007,"="&amp;N1935)&gt;1,"Duplicate equipment ID",IF(B1935="","Missing type",IF(COUNTIFS('Rules'!$G$7:$G$26,"="&amp;(SUBSTITUTE(SUBSTITUTE(SUBSTITUTE(SUBSTITUTE("type:"&amp;B1935,"%","%25"),"~","%7E"),"*","%2A"),"?","%3F")))=0,"Unknown type",IF(COUNTIFS('Rules'!$G$7:$G$26,"="&amp;(SUBSTITUTE(SUBSTITUTE(SUBSTITUTE(SUBSTITUTE("type:"&amp;B1935,"%","%25"),"~","%7E"),"*","%2A"),"?","%3F")))&gt;1,"Duplicate type",IF(INDEX('Rules'!$F$7:$F$26,MATCH(SUBSTITUTE(SUBSTITUTE(SUBSTITUTE(SUBSTITUTE("type:"&amp;B1935,"%","%25"),"~","%7E"),"*","%2A"),"?","%3F"),'Rules'!$G$7:$G$26,0))&lt;&gt;"",INDEX('Rules'!$F$7:$F$26,MATCH(SUBSTITUTE(SUBSTITUTE(SUBSTITUTE(SUBSTITUTE("type:"&amp;B1935,"%","%25"),"~","%7E"),"*","%2A"),"?","%3F"),'Rules'!$G$7:$G$26,0)),IF(AND(C1935&lt;&gt;"",C1935&lt;&gt;INDEX('Rules'!$B$7:$B$26,MATCH(SUBSTITUTE(SUBSTITUTE(SUBSTITUTE(SUBSTITUTE("type:"&amp;B1935,"%","%25"),"~","%7E"),"*","%2A"),"?","%3F"),'Rules'!$G$7:$G$26,0))),"Unit mismatch",IF(IF(NOT(ISNUMBER(D1935)),TRUE,OR(D1935&lt;0,D1935&gt;999999999,ROUND(D1935,3)&lt;&gt;D1935)),"Invalid current reading",IF(AND(E1935&lt;&gt;"",IF(NOT(ISNUMBER(E1935)),TRUE,OR(E1935&lt;0,E1935&gt;999999999,ROUND(E1935,3)&lt;&gt;E1935))),"Invalid previous reading",IF(IF(NOT(ISNUMBER(F1935)),TRUE,OR(F1935&lt;0,F1935&gt;999999999,ROUND(F1935,3)&lt;&gt;F1935)),"Invalid last service",IF(AND(E1935&lt;&gt;"",D1935&lt;E1935),"Decreased reading",IF(F1935&gt;D1935,"Last service above current","")))))))))))))</x:f>
      </x:c>
      <x:c r="L1935" s="6" t="str">
        <x:f>IF(AND(NOT(COUNTA(A1935:F1935)=0),K1935=""),INDEX('Rules'!$C$7:$C$26,MATCH(SUBSTITUTE(SUBSTITUTE(SUBSTITUTE(SUBSTITUTE("type:"&amp;B1935,"%","%25"),"~","%7E"),"*","%2A"),"?","%3F"),'Rules'!$G$7:$G$26,0)),"")</x:f>
      </x:c>
      <x:c r="M1935" s="6" t="str">
        <x:f>IF(AND(NOT(COUNTA(A1935:F1935)=0),K1935=""),INDEX('Rules'!$D$7:$D$26,MATCH(SUBSTITUTE(SUBSTITUTE(SUBSTITUTE(SUBSTITUTE("type:"&amp;B1935,"%","%25"),"~","%7E"),"*","%2A"),"?","%3F"),'Rules'!$G$7:$G$26,0)),"")</x:f>
      </x:c>
      <x:c r="N1935" s="5" t="str">
        <x:f>IF(COUNTA(A1935:F1935)=0,"",SUBSTITUTE(SUBSTITUTE(SUBSTITUTE(SUBSTITUTE("id:"&amp;A1935,"%","%25"),"~","%7E"),"*","%2A"),"?","%3F"))</x:f>
      </x:c>
    </x:row>
    <x:row r="1936" ht="22" customHeight="1">
      <x:c r="A1936" s="3"/>
      <x:c r="B1936" s="3"/>
      <x:c r="C1936" s="3"/>
      <x:c r="D1936" s="4"/>
      <x:c r="E1936" s="4"/>
      <x:c r="F1936" s="4"/>
      <x:c r="G1936" s="5" t="str">
        <x:f>IF(COUNTA(A1936:F1936)=0,"",IF(K1936&lt;&gt;"","Review",IF(I1936&lt;0,"Overdue",IF(I1936=0,"Due now",IF(I1936&lt;=M1936,"Due soon","Not due")))))</x:f>
      </x:c>
      <x:c r="H1936" s="5" t="str">
        <x:f>IF(OR(COUNTA(A1936:F1936)=0,COUNTIFS('Rules'!$G$7:$G$26,"="&amp;(SUBSTITUTE(SUBSTITUTE(SUBSTITUTE(SUBSTITUTE("type:"&amp;B1936,"%","%25"),"~","%7E"),"*","%2A"),"?","%3F")))&lt;&gt;1),"",IF(OR(INDEX('Rules'!$B$7:$B$26,MATCH(SUBSTITUTE(SUBSTITUTE(SUBSTITUTE(SUBSTITUTE("type:"&amp;B1936,"%","%25"),"~","%7E"),"*","%2A"),"?","%3F"),'Rules'!$G$7:$G$26,0))="hours",INDEX('Rules'!$B$7:$B$26,MATCH(SUBSTITUTE(SUBSTITUTE(SUBSTITUTE(SUBSTITUTE("type:"&amp;B1936,"%","%25"),"~","%7E"),"*","%2A"),"?","%3F"),'Rules'!$G$7:$G$26,0))="km"),INDEX('Rules'!$B$7:$B$26,MATCH(SUBSTITUTE(SUBSTITUTE(SUBSTITUTE(SUBSTITUTE("type:"&amp;B1936,"%","%25"),"~","%7E"),"*","%2A"),"?","%3F"),'Rules'!$G$7:$G$26,0)),""))</x:f>
      </x:c>
      <x:c r="I1936" s="6" t="str">
        <x:f>IF(AND(NOT(COUNTA(A1936:F1936)=0),K1936=""),ROUND(J1936-D1936,3),"")</x:f>
      </x:c>
      <x:c r="J1936" s="6" t="str">
        <x:f>IF(AND(NOT(COUNTA(A1936:F1936)=0),K1936=""),ROUND(F1936+L1936,3),"")</x:f>
      </x:c>
      <x:c r="K1936" s="5" t="str">
        <x:f>IF(COUNTA(A1936:F1936)=0,"",IF(A1936="","Missing equipment ID",IF(COUNTIFS($N$8:$N$2007,"="&amp;N1936)&gt;1,"Duplicate equipment ID",IF(B1936="","Missing type",IF(COUNTIFS('Rules'!$G$7:$G$26,"="&amp;(SUBSTITUTE(SUBSTITUTE(SUBSTITUTE(SUBSTITUTE("type:"&amp;B1936,"%","%25"),"~","%7E"),"*","%2A"),"?","%3F")))=0,"Unknown type",IF(COUNTIFS('Rules'!$G$7:$G$26,"="&amp;(SUBSTITUTE(SUBSTITUTE(SUBSTITUTE(SUBSTITUTE("type:"&amp;B1936,"%","%25"),"~","%7E"),"*","%2A"),"?","%3F")))&gt;1,"Duplicate type",IF(INDEX('Rules'!$F$7:$F$26,MATCH(SUBSTITUTE(SUBSTITUTE(SUBSTITUTE(SUBSTITUTE("type:"&amp;B1936,"%","%25"),"~","%7E"),"*","%2A"),"?","%3F"),'Rules'!$G$7:$G$26,0))&lt;&gt;"",INDEX('Rules'!$F$7:$F$26,MATCH(SUBSTITUTE(SUBSTITUTE(SUBSTITUTE(SUBSTITUTE("type:"&amp;B1936,"%","%25"),"~","%7E"),"*","%2A"),"?","%3F"),'Rules'!$G$7:$G$26,0)),IF(AND(C1936&lt;&gt;"",C1936&lt;&gt;INDEX('Rules'!$B$7:$B$26,MATCH(SUBSTITUTE(SUBSTITUTE(SUBSTITUTE(SUBSTITUTE("type:"&amp;B1936,"%","%25"),"~","%7E"),"*","%2A"),"?","%3F"),'Rules'!$G$7:$G$26,0))),"Unit mismatch",IF(IF(NOT(ISNUMBER(D1936)),TRUE,OR(D1936&lt;0,D1936&gt;999999999,ROUND(D1936,3)&lt;&gt;D1936)),"Invalid current reading",IF(AND(E1936&lt;&gt;"",IF(NOT(ISNUMBER(E1936)),TRUE,OR(E1936&lt;0,E1936&gt;999999999,ROUND(E1936,3)&lt;&gt;E1936))),"Invalid previous reading",IF(IF(NOT(ISNUMBER(F1936)),TRUE,OR(F1936&lt;0,F1936&gt;999999999,ROUND(F1936,3)&lt;&gt;F1936)),"Invalid last service",IF(AND(E1936&lt;&gt;"",D1936&lt;E1936),"Decreased reading",IF(F1936&gt;D1936,"Last service above current","")))))))))))))</x:f>
      </x:c>
      <x:c r="L1936" s="6" t="str">
        <x:f>IF(AND(NOT(COUNTA(A1936:F1936)=0),K1936=""),INDEX('Rules'!$C$7:$C$26,MATCH(SUBSTITUTE(SUBSTITUTE(SUBSTITUTE(SUBSTITUTE("type:"&amp;B1936,"%","%25"),"~","%7E"),"*","%2A"),"?","%3F"),'Rules'!$G$7:$G$26,0)),"")</x:f>
      </x:c>
      <x:c r="M1936" s="6" t="str">
        <x:f>IF(AND(NOT(COUNTA(A1936:F1936)=0),K1936=""),INDEX('Rules'!$D$7:$D$26,MATCH(SUBSTITUTE(SUBSTITUTE(SUBSTITUTE(SUBSTITUTE("type:"&amp;B1936,"%","%25"),"~","%7E"),"*","%2A"),"?","%3F"),'Rules'!$G$7:$G$26,0)),"")</x:f>
      </x:c>
      <x:c r="N1936" s="5" t="str">
        <x:f>IF(COUNTA(A1936:F1936)=0,"",SUBSTITUTE(SUBSTITUTE(SUBSTITUTE(SUBSTITUTE("id:"&amp;A1936,"%","%25"),"~","%7E"),"*","%2A"),"?","%3F"))</x:f>
      </x:c>
    </x:row>
    <x:row r="1937" ht="22" customHeight="1">
      <x:c r="A1937" s="3"/>
      <x:c r="B1937" s="3"/>
      <x:c r="C1937" s="3"/>
      <x:c r="D1937" s="4"/>
      <x:c r="E1937" s="4"/>
      <x:c r="F1937" s="4"/>
      <x:c r="G1937" s="5" t="str">
        <x:f>IF(COUNTA(A1937:F1937)=0,"",IF(K1937&lt;&gt;"","Review",IF(I1937&lt;0,"Overdue",IF(I1937=0,"Due now",IF(I1937&lt;=M1937,"Due soon","Not due")))))</x:f>
      </x:c>
      <x:c r="H1937" s="5" t="str">
        <x:f>IF(OR(COUNTA(A1937:F1937)=0,COUNTIFS('Rules'!$G$7:$G$26,"="&amp;(SUBSTITUTE(SUBSTITUTE(SUBSTITUTE(SUBSTITUTE("type:"&amp;B1937,"%","%25"),"~","%7E"),"*","%2A"),"?","%3F")))&lt;&gt;1),"",IF(OR(INDEX('Rules'!$B$7:$B$26,MATCH(SUBSTITUTE(SUBSTITUTE(SUBSTITUTE(SUBSTITUTE("type:"&amp;B1937,"%","%25"),"~","%7E"),"*","%2A"),"?","%3F"),'Rules'!$G$7:$G$26,0))="hours",INDEX('Rules'!$B$7:$B$26,MATCH(SUBSTITUTE(SUBSTITUTE(SUBSTITUTE(SUBSTITUTE("type:"&amp;B1937,"%","%25"),"~","%7E"),"*","%2A"),"?","%3F"),'Rules'!$G$7:$G$26,0))="km"),INDEX('Rules'!$B$7:$B$26,MATCH(SUBSTITUTE(SUBSTITUTE(SUBSTITUTE(SUBSTITUTE("type:"&amp;B1937,"%","%25"),"~","%7E"),"*","%2A"),"?","%3F"),'Rules'!$G$7:$G$26,0)),""))</x:f>
      </x:c>
      <x:c r="I1937" s="6" t="str">
        <x:f>IF(AND(NOT(COUNTA(A1937:F1937)=0),K1937=""),ROUND(J1937-D1937,3),"")</x:f>
      </x:c>
      <x:c r="J1937" s="6" t="str">
        <x:f>IF(AND(NOT(COUNTA(A1937:F1937)=0),K1937=""),ROUND(F1937+L1937,3),"")</x:f>
      </x:c>
      <x:c r="K1937" s="5" t="str">
        <x:f>IF(COUNTA(A1937:F1937)=0,"",IF(A1937="","Missing equipment ID",IF(COUNTIFS($N$8:$N$2007,"="&amp;N1937)&gt;1,"Duplicate equipment ID",IF(B1937="","Missing type",IF(COUNTIFS('Rules'!$G$7:$G$26,"="&amp;(SUBSTITUTE(SUBSTITUTE(SUBSTITUTE(SUBSTITUTE("type:"&amp;B1937,"%","%25"),"~","%7E"),"*","%2A"),"?","%3F")))=0,"Unknown type",IF(COUNTIFS('Rules'!$G$7:$G$26,"="&amp;(SUBSTITUTE(SUBSTITUTE(SUBSTITUTE(SUBSTITUTE("type:"&amp;B1937,"%","%25"),"~","%7E"),"*","%2A"),"?","%3F")))&gt;1,"Duplicate type",IF(INDEX('Rules'!$F$7:$F$26,MATCH(SUBSTITUTE(SUBSTITUTE(SUBSTITUTE(SUBSTITUTE("type:"&amp;B1937,"%","%25"),"~","%7E"),"*","%2A"),"?","%3F"),'Rules'!$G$7:$G$26,0))&lt;&gt;"",INDEX('Rules'!$F$7:$F$26,MATCH(SUBSTITUTE(SUBSTITUTE(SUBSTITUTE(SUBSTITUTE("type:"&amp;B1937,"%","%25"),"~","%7E"),"*","%2A"),"?","%3F"),'Rules'!$G$7:$G$26,0)),IF(AND(C1937&lt;&gt;"",C1937&lt;&gt;INDEX('Rules'!$B$7:$B$26,MATCH(SUBSTITUTE(SUBSTITUTE(SUBSTITUTE(SUBSTITUTE("type:"&amp;B1937,"%","%25"),"~","%7E"),"*","%2A"),"?","%3F"),'Rules'!$G$7:$G$26,0))),"Unit mismatch",IF(IF(NOT(ISNUMBER(D1937)),TRUE,OR(D1937&lt;0,D1937&gt;999999999,ROUND(D1937,3)&lt;&gt;D1937)),"Invalid current reading",IF(AND(E1937&lt;&gt;"",IF(NOT(ISNUMBER(E1937)),TRUE,OR(E1937&lt;0,E1937&gt;999999999,ROUND(E1937,3)&lt;&gt;E1937))),"Invalid previous reading",IF(IF(NOT(ISNUMBER(F1937)),TRUE,OR(F1937&lt;0,F1937&gt;999999999,ROUND(F1937,3)&lt;&gt;F1937)),"Invalid last service",IF(AND(E1937&lt;&gt;"",D1937&lt;E1937),"Decreased reading",IF(F1937&gt;D1937,"Last service above current","")))))))))))))</x:f>
      </x:c>
      <x:c r="L1937" s="6" t="str">
        <x:f>IF(AND(NOT(COUNTA(A1937:F1937)=0),K1937=""),INDEX('Rules'!$C$7:$C$26,MATCH(SUBSTITUTE(SUBSTITUTE(SUBSTITUTE(SUBSTITUTE("type:"&amp;B1937,"%","%25"),"~","%7E"),"*","%2A"),"?","%3F"),'Rules'!$G$7:$G$26,0)),"")</x:f>
      </x:c>
      <x:c r="M1937" s="6" t="str">
        <x:f>IF(AND(NOT(COUNTA(A1937:F1937)=0),K1937=""),INDEX('Rules'!$D$7:$D$26,MATCH(SUBSTITUTE(SUBSTITUTE(SUBSTITUTE(SUBSTITUTE("type:"&amp;B1937,"%","%25"),"~","%7E"),"*","%2A"),"?","%3F"),'Rules'!$G$7:$G$26,0)),"")</x:f>
      </x:c>
      <x:c r="N1937" s="5" t="str">
        <x:f>IF(COUNTA(A1937:F1937)=0,"",SUBSTITUTE(SUBSTITUTE(SUBSTITUTE(SUBSTITUTE("id:"&amp;A1937,"%","%25"),"~","%7E"),"*","%2A"),"?","%3F"))</x:f>
      </x:c>
    </x:row>
    <x:row r="1938" ht="22" customHeight="1">
      <x:c r="A1938" s="3"/>
      <x:c r="B1938" s="3"/>
      <x:c r="C1938" s="3"/>
      <x:c r="D1938" s="4"/>
      <x:c r="E1938" s="4"/>
      <x:c r="F1938" s="4"/>
      <x:c r="G1938" s="5" t="str">
        <x:f>IF(COUNTA(A1938:F1938)=0,"",IF(K1938&lt;&gt;"","Review",IF(I1938&lt;0,"Overdue",IF(I1938=0,"Due now",IF(I1938&lt;=M1938,"Due soon","Not due")))))</x:f>
      </x:c>
      <x:c r="H1938" s="5" t="str">
        <x:f>IF(OR(COUNTA(A1938:F1938)=0,COUNTIFS('Rules'!$G$7:$G$26,"="&amp;(SUBSTITUTE(SUBSTITUTE(SUBSTITUTE(SUBSTITUTE("type:"&amp;B1938,"%","%25"),"~","%7E"),"*","%2A"),"?","%3F")))&lt;&gt;1),"",IF(OR(INDEX('Rules'!$B$7:$B$26,MATCH(SUBSTITUTE(SUBSTITUTE(SUBSTITUTE(SUBSTITUTE("type:"&amp;B1938,"%","%25"),"~","%7E"),"*","%2A"),"?","%3F"),'Rules'!$G$7:$G$26,0))="hours",INDEX('Rules'!$B$7:$B$26,MATCH(SUBSTITUTE(SUBSTITUTE(SUBSTITUTE(SUBSTITUTE("type:"&amp;B1938,"%","%25"),"~","%7E"),"*","%2A"),"?","%3F"),'Rules'!$G$7:$G$26,0))="km"),INDEX('Rules'!$B$7:$B$26,MATCH(SUBSTITUTE(SUBSTITUTE(SUBSTITUTE(SUBSTITUTE("type:"&amp;B1938,"%","%25"),"~","%7E"),"*","%2A"),"?","%3F"),'Rules'!$G$7:$G$26,0)),""))</x:f>
      </x:c>
      <x:c r="I1938" s="6" t="str">
        <x:f>IF(AND(NOT(COUNTA(A1938:F1938)=0),K1938=""),ROUND(J1938-D1938,3),"")</x:f>
      </x:c>
      <x:c r="J1938" s="6" t="str">
        <x:f>IF(AND(NOT(COUNTA(A1938:F1938)=0),K1938=""),ROUND(F1938+L1938,3),"")</x:f>
      </x:c>
      <x:c r="K1938" s="5" t="str">
        <x:f>IF(COUNTA(A1938:F1938)=0,"",IF(A1938="","Missing equipment ID",IF(COUNTIFS($N$8:$N$2007,"="&amp;N1938)&gt;1,"Duplicate equipment ID",IF(B1938="","Missing type",IF(COUNTIFS('Rules'!$G$7:$G$26,"="&amp;(SUBSTITUTE(SUBSTITUTE(SUBSTITUTE(SUBSTITUTE("type:"&amp;B1938,"%","%25"),"~","%7E"),"*","%2A"),"?","%3F")))=0,"Unknown type",IF(COUNTIFS('Rules'!$G$7:$G$26,"="&amp;(SUBSTITUTE(SUBSTITUTE(SUBSTITUTE(SUBSTITUTE("type:"&amp;B1938,"%","%25"),"~","%7E"),"*","%2A"),"?","%3F")))&gt;1,"Duplicate type",IF(INDEX('Rules'!$F$7:$F$26,MATCH(SUBSTITUTE(SUBSTITUTE(SUBSTITUTE(SUBSTITUTE("type:"&amp;B1938,"%","%25"),"~","%7E"),"*","%2A"),"?","%3F"),'Rules'!$G$7:$G$26,0))&lt;&gt;"",INDEX('Rules'!$F$7:$F$26,MATCH(SUBSTITUTE(SUBSTITUTE(SUBSTITUTE(SUBSTITUTE("type:"&amp;B1938,"%","%25"),"~","%7E"),"*","%2A"),"?","%3F"),'Rules'!$G$7:$G$26,0)),IF(AND(C1938&lt;&gt;"",C1938&lt;&gt;INDEX('Rules'!$B$7:$B$26,MATCH(SUBSTITUTE(SUBSTITUTE(SUBSTITUTE(SUBSTITUTE("type:"&amp;B1938,"%","%25"),"~","%7E"),"*","%2A"),"?","%3F"),'Rules'!$G$7:$G$26,0))),"Unit mismatch",IF(IF(NOT(ISNUMBER(D1938)),TRUE,OR(D1938&lt;0,D1938&gt;999999999,ROUND(D1938,3)&lt;&gt;D1938)),"Invalid current reading",IF(AND(E1938&lt;&gt;"",IF(NOT(ISNUMBER(E1938)),TRUE,OR(E1938&lt;0,E1938&gt;999999999,ROUND(E1938,3)&lt;&gt;E1938))),"Invalid previous reading",IF(IF(NOT(ISNUMBER(F1938)),TRUE,OR(F1938&lt;0,F1938&gt;999999999,ROUND(F1938,3)&lt;&gt;F1938)),"Invalid last service",IF(AND(E1938&lt;&gt;"",D1938&lt;E1938),"Decreased reading",IF(F1938&gt;D1938,"Last service above current","")))))))))))))</x:f>
      </x:c>
      <x:c r="L1938" s="6" t="str">
        <x:f>IF(AND(NOT(COUNTA(A1938:F1938)=0),K1938=""),INDEX('Rules'!$C$7:$C$26,MATCH(SUBSTITUTE(SUBSTITUTE(SUBSTITUTE(SUBSTITUTE("type:"&amp;B1938,"%","%25"),"~","%7E"),"*","%2A"),"?","%3F"),'Rules'!$G$7:$G$26,0)),"")</x:f>
      </x:c>
      <x:c r="M1938" s="6" t="str">
        <x:f>IF(AND(NOT(COUNTA(A1938:F1938)=0),K1938=""),INDEX('Rules'!$D$7:$D$26,MATCH(SUBSTITUTE(SUBSTITUTE(SUBSTITUTE(SUBSTITUTE("type:"&amp;B1938,"%","%25"),"~","%7E"),"*","%2A"),"?","%3F"),'Rules'!$G$7:$G$26,0)),"")</x:f>
      </x:c>
      <x:c r="N1938" s="5" t="str">
        <x:f>IF(COUNTA(A1938:F1938)=0,"",SUBSTITUTE(SUBSTITUTE(SUBSTITUTE(SUBSTITUTE("id:"&amp;A1938,"%","%25"),"~","%7E"),"*","%2A"),"?","%3F"))</x:f>
      </x:c>
    </x:row>
    <x:row r="1939" ht="22" customHeight="1">
      <x:c r="A1939" s="3"/>
      <x:c r="B1939" s="3"/>
      <x:c r="C1939" s="3"/>
      <x:c r="D1939" s="4"/>
      <x:c r="E1939" s="4"/>
      <x:c r="F1939" s="4"/>
      <x:c r="G1939" s="5" t="str">
        <x:f>IF(COUNTA(A1939:F1939)=0,"",IF(K1939&lt;&gt;"","Review",IF(I1939&lt;0,"Overdue",IF(I1939=0,"Due now",IF(I1939&lt;=M1939,"Due soon","Not due")))))</x:f>
      </x:c>
      <x:c r="H1939" s="5" t="str">
        <x:f>IF(OR(COUNTA(A1939:F1939)=0,COUNTIFS('Rules'!$G$7:$G$26,"="&amp;(SUBSTITUTE(SUBSTITUTE(SUBSTITUTE(SUBSTITUTE("type:"&amp;B1939,"%","%25"),"~","%7E"),"*","%2A"),"?","%3F")))&lt;&gt;1),"",IF(OR(INDEX('Rules'!$B$7:$B$26,MATCH(SUBSTITUTE(SUBSTITUTE(SUBSTITUTE(SUBSTITUTE("type:"&amp;B1939,"%","%25"),"~","%7E"),"*","%2A"),"?","%3F"),'Rules'!$G$7:$G$26,0))="hours",INDEX('Rules'!$B$7:$B$26,MATCH(SUBSTITUTE(SUBSTITUTE(SUBSTITUTE(SUBSTITUTE("type:"&amp;B1939,"%","%25"),"~","%7E"),"*","%2A"),"?","%3F"),'Rules'!$G$7:$G$26,0))="km"),INDEX('Rules'!$B$7:$B$26,MATCH(SUBSTITUTE(SUBSTITUTE(SUBSTITUTE(SUBSTITUTE("type:"&amp;B1939,"%","%25"),"~","%7E"),"*","%2A"),"?","%3F"),'Rules'!$G$7:$G$26,0)),""))</x:f>
      </x:c>
      <x:c r="I1939" s="6" t="str">
        <x:f>IF(AND(NOT(COUNTA(A1939:F1939)=0),K1939=""),ROUND(J1939-D1939,3),"")</x:f>
      </x:c>
      <x:c r="J1939" s="6" t="str">
        <x:f>IF(AND(NOT(COUNTA(A1939:F1939)=0),K1939=""),ROUND(F1939+L1939,3),"")</x:f>
      </x:c>
      <x:c r="K1939" s="5" t="str">
        <x:f>IF(COUNTA(A1939:F1939)=0,"",IF(A1939="","Missing equipment ID",IF(COUNTIFS($N$8:$N$2007,"="&amp;N1939)&gt;1,"Duplicate equipment ID",IF(B1939="","Missing type",IF(COUNTIFS('Rules'!$G$7:$G$26,"="&amp;(SUBSTITUTE(SUBSTITUTE(SUBSTITUTE(SUBSTITUTE("type:"&amp;B1939,"%","%25"),"~","%7E"),"*","%2A"),"?","%3F")))=0,"Unknown type",IF(COUNTIFS('Rules'!$G$7:$G$26,"="&amp;(SUBSTITUTE(SUBSTITUTE(SUBSTITUTE(SUBSTITUTE("type:"&amp;B1939,"%","%25"),"~","%7E"),"*","%2A"),"?","%3F")))&gt;1,"Duplicate type",IF(INDEX('Rules'!$F$7:$F$26,MATCH(SUBSTITUTE(SUBSTITUTE(SUBSTITUTE(SUBSTITUTE("type:"&amp;B1939,"%","%25"),"~","%7E"),"*","%2A"),"?","%3F"),'Rules'!$G$7:$G$26,0))&lt;&gt;"",INDEX('Rules'!$F$7:$F$26,MATCH(SUBSTITUTE(SUBSTITUTE(SUBSTITUTE(SUBSTITUTE("type:"&amp;B1939,"%","%25"),"~","%7E"),"*","%2A"),"?","%3F"),'Rules'!$G$7:$G$26,0)),IF(AND(C1939&lt;&gt;"",C1939&lt;&gt;INDEX('Rules'!$B$7:$B$26,MATCH(SUBSTITUTE(SUBSTITUTE(SUBSTITUTE(SUBSTITUTE("type:"&amp;B1939,"%","%25"),"~","%7E"),"*","%2A"),"?","%3F"),'Rules'!$G$7:$G$26,0))),"Unit mismatch",IF(IF(NOT(ISNUMBER(D1939)),TRUE,OR(D1939&lt;0,D1939&gt;999999999,ROUND(D1939,3)&lt;&gt;D1939)),"Invalid current reading",IF(AND(E1939&lt;&gt;"",IF(NOT(ISNUMBER(E1939)),TRUE,OR(E1939&lt;0,E1939&gt;999999999,ROUND(E1939,3)&lt;&gt;E1939))),"Invalid previous reading",IF(IF(NOT(ISNUMBER(F1939)),TRUE,OR(F1939&lt;0,F1939&gt;999999999,ROUND(F1939,3)&lt;&gt;F1939)),"Invalid last service",IF(AND(E1939&lt;&gt;"",D1939&lt;E1939),"Decreased reading",IF(F1939&gt;D1939,"Last service above current","")))))))))))))</x:f>
      </x:c>
      <x:c r="L1939" s="6" t="str">
        <x:f>IF(AND(NOT(COUNTA(A1939:F1939)=0),K1939=""),INDEX('Rules'!$C$7:$C$26,MATCH(SUBSTITUTE(SUBSTITUTE(SUBSTITUTE(SUBSTITUTE("type:"&amp;B1939,"%","%25"),"~","%7E"),"*","%2A"),"?","%3F"),'Rules'!$G$7:$G$26,0)),"")</x:f>
      </x:c>
      <x:c r="M1939" s="6" t="str">
        <x:f>IF(AND(NOT(COUNTA(A1939:F1939)=0),K1939=""),INDEX('Rules'!$D$7:$D$26,MATCH(SUBSTITUTE(SUBSTITUTE(SUBSTITUTE(SUBSTITUTE("type:"&amp;B1939,"%","%25"),"~","%7E"),"*","%2A"),"?","%3F"),'Rules'!$G$7:$G$26,0)),"")</x:f>
      </x:c>
      <x:c r="N1939" s="5" t="str">
        <x:f>IF(COUNTA(A1939:F1939)=0,"",SUBSTITUTE(SUBSTITUTE(SUBSTITUTE(SUBSTITUTE("id:"&amp;A1939,"%","%25"),"~","%7E"),"*","%2A"),"?","%3F"))</x:f>
      </x:c>
    </x:row>
    <x:row r="1940" ht="22" customHeight="1">
      <x:c r="A1940" s="3"/>
      <x:c r="B1940" s="3"/>
      <x:c r="C1940" s="3"/>
      <x:c r="D1940" s="4"/>
      <x:c r="E1940" s="4"/>
      <x:c r="F1940" s="4"/>
      <x:c r="G1940" s="5" t="str">
        <x:f>IF(COUNTA(A1940:F1940)=0,"",IF(K1940&lt;&gt;"","Review",IF(I1940&lt;0,"Overdue",IF(I1940=0,"Due now",IF(I1940&lt;=M1940,"Due soon","Not due")))))</x:f>
      </x:c>
      <x:c r="H1940" s="5" t="str">
        <x:f>IF(OR(COUNTA(A1940:F1940)=0,COUNTIFS('Rules'!$G$7:$G$26,"="&amp;(SUBSTITUTE(SUBSTITUTE(SUBSTITUTE(SUBSTITUTE("type:"&amp;B1940,"%","%25"),"~","%7E"),"*","%2A"),"?","%3F")))&lt;&gt;1),"",IF(OR(INDEX('Rules'!$B$7:$B$26,MATCH(SUBSTITUTE(SUBSTITUTE(SUBSTITUTE(SUBSTITUTE("type:"&amp;B1940,"%","%25"),"~","%7E"),"*","%2A"),"?","%3F"),'Rules'!$G$7:$G$26,0))="hours",INDEX('Rules'!$B$7:$B$26,MATCH(SUBSTITUTE(SUBSTITUTE(SUBSTITUTE(SUBSTITUTE("type:"&amp;B1940,"%","%25"),"~","%7E"),"*","%2A"),"?","%3F"),'Rules'!$G$7:$G$26,0))="km"),INDEX('Rules'!$B$7:$B$26,MATCH(SUBSTITUTE(SUBSTITUTE(SUBSTITUTE(SUBSTITUTE("type:"&amp;B1940,"%","%25"),"~","%7E"),"*","%2A"),"?","%3F"),'Rules'!$G$7:$G$26,0)),""))</x:f>
      </x:c>
      <x:c r="I1940" s="6" t="str">
        <x:f>IF(AND(NOT(COUNTA(A1940:F1940)=0),K1940=""),ROUND(J1940-D1940,3),"")</x:f>
      </x:c>
      <x:c r="J1940" s="6" t="str">
        <x:f>IF(AND(NOT(COUNTA(A1940:F1940)=0),K1940=""),ROUND(F1940+L1940,3),"")</x:f>
      </x:c>
      <x:c r="K1940" s="5" t="str">
        <x:f>IF(COUNTA(A1940:F1940)=0,"",IF(A1940="","Missing equipment ID",IF(COUNTIFS($N$8:$N$2007,"="&amp;N1940)&gt;1,"Duplicate equipment ID",IF(B1940="","Missing type",IF(COUNTIFS('Rules'!$G$7:$G$26,"="&amp;(SUBSTITUTE(SUBSTITUTE(SUBSTITUTE(SUBSTITUTE("type:"&amp;B1940,"%","%25"),"~","%7E"),"*","%2A"),"?","%3F")))=0,"Unknown type",IF(COUNTIFS('Rules'!$G$7:$G$26,"="&amp;(SUBSTITUTE(SUBSTITUTE(SUBSTITUTE(SUBSTITUTE("type:"&amp;B1940,"%","%25"),"~","%7E"),"*","%2A"),"?","%3F")))&gt;1,"Duplicate type",IF(INDEX('Rules'!$F$7:$F$26,MATCH(SUBSTITUTE(SUBSTITUTE(SUBSTITUTE(SUBSTITUTE("type:"&amp;B1940,"%","%25"),"~","%7E"),"*","%2A"),"?","%3F"),'Rules'!$G$7:$G$26,0))&lt;&gt;"",INDEX('Rules'!$F$7:$F$26,MATCH(SUBSTITUTE(SUBSTITUTE(SUBSTITUTE(SUBSTITUTE("type:"&amp;B1940,"%","%25"),"~","%7E"),"*","%2A"),"?","%3F"),'Rules'!$G$7:$G$26,0)),IF(AND(C1940&lt;&gt;"",C1940&lt;&gt;INDEX('Rules'!$B$7:$B$26,MATCH(SUBSTITUTE(SUBSTITUTE(SUBSTITUTE(SUBSTITUTE("type:"&amp;B1940,"%","%25"),"~","%7E"),"*","%2A"),"?","%3F"),'Rules'!$G$7:$G$26,0))),"Unit mismatch",IF(IF(NOT(ISNUMBER(D1940)),TRUE,OR(D1940&lt;0,D1940&gt;999999999,ROUND(D1940,3)&lt;&gt;D1940)),"Invalid current reading",IF(AND(E1940&lt;&gt;"",IF(NOT(ISNUMBER(E1940)),TRUE,OR(E1940&lt;0,E1940&gt;999999999,ROUND(E1940,3)&lt;&gt;E1940))),"Invalid previous reading",IF(IF(NOT(ISNUMBER(F1940)),TRUE,OR(F1940&lt;0,F1940&gt;999999999,ROUND(F1940,3)&lt;&gt;F1940)),"Invalid last service",IF(AND(E1940&lt;&gt;"",D1940&lt;E1940),"Decreased reading",IF(F1940&gt;D1940,"Last service above current","")))))))))))))</x:f>
      </x:c>
      <x:c r="L1940" s="6" t="str">
        <x:f>IF(AND(NOT(COUNTA(A1940:F1940)=0),K1940=""),INDEX('Rules'!$C$7:$C$26,MATCH(SUBSTITUTE(SUBSTITUTE(SUBSTITUTE(SUBSTITUTE("type:"&amp;B1940,"%","%25"),"~","%7E"),"*","%2A"),"?","%3F"),'Rules'!$G$7:$G$26,0)),"")</x:f>
      </x:c>
      <x:c r="M1940" s="6" t="str">
        <x:f>IF(AND(NOT(COUNTA(A1940:F1940)=0),K1940=""),INDEX('Rules'!$D$7:$D$26,MATCH(SUBSTITUTE(SUBSTITUTE(SUBSTITUTE(SUBSTITUTE("type:"&amp;B1940,"%","%25"),"~","%7E"),"*","%2A"),"?","%3F"),'Rules'!$G$7:$G$26,0)),"")</x:f>
      </x:c>
      <x:c r="N1940" s="5" t="str">
        <x:f>IF(COUNTA(A1940:F1940)=0,"",SUBSTITUTE(SUBSTITUTE(SUBSTITUTE(SUBSTITUTE("id:"&amp;A1940,"%","%25"),"~","%7E"),"*","%2A"),"?","%3F"))</x:f>
      </x:c>
    </x:row>
    <x:row r="1941" ht="22" customHeight="1">
      <x:c r="A1941" s="3"/>
      <x:c r="B1941" s="3"/>
      <x:c r="C1941" s="3"/>
      <x:c r="D1941" s="4"/>
      <x:c r="E1941" s="4"/>
      <x:c r="F1941" s="4"/>
      <x:c r="G1941" s="5" t="str">
        <x:f>IF(COUNTA(A1941:F1941)=0,"",IF(K1941&lt;&gt;"","Review",IF(I1941&lt;0,"Overdue",IF(I1941=0,"Due now",IF(I1941&lt;=M1941,"Due soon","Not due")))))</x:f>
      </x:c>
      <x:c r="H1941" s="5" t="str">
        <x:f>IF(OR(COUNTA(A1941:F1941)=0,COUNTIFS('Rules'!$G$7:$G$26,"="&amp;(SUBSTITUTE(SUBSTITUTE(SUBSTITUTE(SUBSTITUTE("type:"&amp;B1941,"%","%25"),"~","%7E"),"*","%2A"),"?","%3F")))&lt;&gt;1),"",IF(OR(INDEX('Rules'!$B$7:$B$26,MATCH(SUBSTITUTE(SUBSTITUTE(SUBSTITUTE(SUBSTITUTE("type:"&amp;B1941,"%","%25"),"~","%7E"),"*","%2A"),"?","%3F"),'Rules'!$G$7:$G$26,0))="hours",INDEX('Rules'!$B$7:$B$26,MATCH(SUBSTITUTE(SUBSTITUTE(SUBSTITUTE(SUBSTITUTE("type:"&amp;B1941,"%","%25"),"~","%7E"),"*","%2A"),"?","%3F"),'Rules'!$G$7:$G$26,0))="km"),INDEX('Rules'!$B$7:$B$26,MATCH(SUBSTITUTE(SUBSTITUTE(SUBSTITUTE(SUBSTITUTE("type:"&amp;B1941,"%","%25"),"~","%7E"),"*","%2A"),"?","%3F"),'Rules'!$G$7:$G$26,0)),""))</x:f>
      </x:c>
      <x:c r="I1941" s="6" t="str">
        <x:f>IF(AND(NOT(COUNTA(A1941:F1941)=0),K1941=""),ROUND(J1941-D1941,3),"")</x:f>
      </x:c>
      <x:c r="J1941" s="6" t="str">
        <x:f>IF(AND(NOT(COUNTA(A1941:F1941)=0),K1941=""),ROUND(F1941+L1941,3),"")</x:f>
      </x:c>
      <x:c r="K1941" s="5" t="str">
        <x:f>IF(COUNTA(A1941:F1941)=0,"",IF(A1941="","Missing equipment ID",IF(COUNTIFS($N$8:$N$2007,"="&amp;N1941)&gt;1,"Duplicate equipment ID",IF(B1941="","Missing type",IF(COUNTIFS('Rules'!$G$7:$G$26,"="&amp;(SUBSTITUTE(SUBSTITUTE(SUBSTITUTE(SUBSTITUTE("type:"&amp;B1941,"%","%25"),"~","%7E"),"*","%2A"),"?","%3F")))=0,"Unknown type",IF(COUNTIFS('Rules'!$G$7:$G$26,"="&amp;(SUBSTITUTE(SUBSTITUTE(SUBSTITUTE(SUBSTITUTE("type:"&amp;B1941,"%","%25"),"~","%7E"),"*","%2A"),"?","%3F")))&gt;1,"Duplicate type",IF(INDEX('Rules'!$F$7:$F$26,MATCH(SUBSTITUTE(SUBSTITUTE(SUBSTITUTE(SUBSTITUTE("type:"&amp;B1941,"%","%25"),"~","%7E"),"*","%2A"),"?","%3F"),'Rules'!$G$7:$G$26,0))&lt;&gt;"",INDEX('Rules'!$F$7:$F$26,MATCH(SUBSTITUTE(SUBSTITUTE(SUBSTITUTE(SUBSTITUTE("type:"&amp;B1941,"%","%25"),"~","%7E"),"*","%2A"),"?","%3F"),'Rules'!$G$7:$G$26,0)),IF(AND(C1941&lt;&gt;"",C1941&lt;&gt;INDEX('Rules'!$B$7:$B$26,MATCH(SUBSTITUTE(SUBSTITUTE(SUBSTITUTE(SUBSTITUTE("type:"&amp;B1941,"%","%25"),"~","%7E"),"*","%2A"),"?","%3F"),'Rules'!$G$7:$G$26,0))),"Unit mismatch",IF(IF(NOT(ISNUMBER(D1941)),TRUE,OR(D1941&lt;0,D1941&gt;999999999,ROUND(D1941,3)&lt;&gt;D1941)),"Invalid current reading",IF(AND(E1941&lt;&gt;"",IF(NOT(ISNUMBER(E1941)),TRUE,OR(E1941&lt;0,E1941&gt;999999999,ROUND(E1941,3)&lt;&gt;E1941))),"Invalid previous reading",IF(IF(NOT(ISNUMBER(F1941)),TRUE,OR(F1941&lt;0,F1941&gt;999999999,ROUND(F1941,3)&lt;&gt;F1941)),"Invalid last service",IF(AND(E1941&lt;&gt;"",D1941&lt;E1941),"Decreased reading",IF(F1941&gt;D1941,"Last service above current","")))))))))))))</x:f>
      </x:c>
      <x:c r="L1941" s="6" t="str">
        <x:f>IF(AND(NOT(COUNTA(A1941:F1941)=0),K1941=""),INDEX('Rules'!$C$7:$C$26,MATCH(SUBSTITUTE(SUBSTITUTE(SUBSTITUTE(SUBSTITUTE("type:"&amp;B1941,"%","%25"),"~","%7E"),"*","%2A"),"?","%3F"),'Rules'!$G$7:$G$26,0)),"")</x:f>
      </x:c>
      <x:c r="M1941" s="6" t="str">
        <x:f>IF(AND(NOT(COUNTA(A1941:F1941)=0),K1941=""),INDEX('Rules'!$D$7:$D$26,MATCH(SUBSTITUTE(SUBSTITUTE(SUBSTITUTE(SUBSTITUTE("type:"&amp;B1941,"%","%25"),"~","%7E"),"*","%2A"),"?","%3F"),'Rules'!$G$7:$G$26,0)),"")</x:f>
      </x:c>
      <x:c r="N1941" s="5" t="str">
        <x:f>IF(COUNTA(A1941:F1941)=0,"",SUBSTITUTE(SUBSTITUTE(SUBSTITUTE(SUBSTITUTE("id:"&amp;A1941,"%","%25"),"~","%7E"),"*","%2A"),"?","%3F"))</x:f>
      </x:c>
    </x:row>
    <x:row r="1942" ht="22" customHeight="1">
      <x:c r="A1942" s="3"/>
      <x:c r="B1942" s="3"/>
      <x:c r="C1942" s="3"/>
      <x:c r="D1942" s="4"/>
      <x:c r="E1942" s="4"/>
      <x:c r="F1942" s="4"/>
      <x:c r="G1942" s="5" t="str">
        <x:f>IF(COUNTA(A1942:F1942)=0,"",IF(K1942&lt;&gt;"","Review",IF(I1942&lt;0,"Overdue",IF(I1942=0,"Due now",IF(I1942&lt;=M1942,"Due soon","Not due")))))</x:f>
      </x:c>
      <x:c r="H1942" s="5" t="str">
        <x:f>IF(OR(COUNTA(A1942:F1942)=0,COUNTIFS('Rules'!$G$7:$G$26,"="&amp;(SUBSTITUTE(SUBSTITUTE(SUBSTITUTE(SUBSTITUTE("type:"&amp;B1942,"%","%25"),"~","%7E"),"*","%2A"),"?","%3F")))&lt;&gt;1),"",IF(OR(INDEX('Rules'!$B$7:$B$26,MATCH(SUBSTITUTE(SUBSTITUTE(SUBSTITUTE(SUBSTITUTE("type:"&amp;B1942,"%","%25"),"~","%7E"),"*","%2A"),"?","%3F"),'Rules'!$G$7:$G$26,0))="hours",INDEX('Rules'!$B$7:$B$26,MATCH(SUBSTITUTE(SUBSTITUTE(SUBSTITUTE(SUBSTITUTE("type:"&amp;B1942,"%","%25"),"~","%7E"),"*","%2A"),"?","%3F"),'Rules'!$G$7:$G$26,0))="km"),INDEX('Rules'!$B$7:$B$26,MATCH(SUBSTITUTE(SUBSTITUTE(SUBSTITUTE(SUBSTITUTE("type:"&amp;B1942,"%","%25"),"~","%7E"),"*","%2A"),"?","%3F"),'Rules'!$G$7:$G$26,0)),""))</x:f>
      </x:c>
      <x:c r="I1942" s="6" t="str">
        <x:f>IF(AND(NOT(COUNTA(A1942:F1942)=0),K1942=""),ROUND(J1942-D1942,3),"")</x:f>
      </x:c>
      <x:c r="J1942" s="6" t="str">
        <x:f>IF(AND(NOT(COUNTA(A1942:F1942)=0),K1942=""),ROUND(F1942+L1942,3),"")</x:f>
      </x:c>
      <x:c r="K1942" s="5" t="str">
        <x:f>IF(COUNTA(A1942:F1942)=0,"",IF(A1942="","Missing equipment ID",IF(COUNTIFS($N$8:$N$2007,"="&amp;N1942)&gt;1,"Duplicate equipment ID",IF(B1942="","Missing type",IF(COUNTIFS('Rules'!$G$7:$G$26,"="&amp;(SUBSTITUTE(SUBSTITUTE(SUBSTITUTE(SUBSTITUTE("type:"&amp;B1942,"%","%25"),"~","%7E"),"*","%2A"),"?","%3F")))=0,"Unknown type",IF(COUNTIFS('Rules'!$G$7:$G$26,"="&amp;(SUBSTITUTE(SUBSTITUTE(SUBSTITUTE(SUBSTITUTE("type:"&amp;B1942,"%","%25"),"~","%7E"),"*","%2A"),"?","%3F")))&gt;1,"Duplicate type",IF(INDEX('Rules'!$F$7:$F$26,MATCH(SUBSTITUTE(SUBSTITUTE(SUBSTITUTE(SUBSTITUTE("type:"&amp;B1942,"%","%25"),"~","%7E"),"*","%2A"),"?","%3F"),'Rules'!$G$7:$G$26,0))&lt;&gt;"",INDEX('Rules'!$F$7:$F$26,MATCH(SUBSTITUTE(SUBSTITUTE(SUBSTITUTE(SUBSTITUTE("type:"&amp;B1942,"%","%25"),"~","%7E"),"*","%2A"),"?","%3F"),'Rules'!$G$7:$G$26,0)),IF(AND(C1942&lt;&gt;"",C1942&lt;&gt;INDEX('Rules'!$B$7:$B$26,MATCH(SUBSTITUTE(SUBSTITUTE(SUBSTITUTE(SUBSTITUTE("type:"&amp;B1942,"%","%25"),"~","%7E"),"*","%2A"),"?","%3F"),'Rules'!$G$7:$G$26,0))),"Unit mismatch",IF(IF(NOT(ISNUMBER(D1942)),TRUE,OR(D1942&lt;0,D1942&gt;999999999,ROUND(D1942,3)&lt;&gt;D1942)),"Invalid current reading",IF(AND(E1942&lt;&gt;"",IF(NOT(ISNUMBER(E1942)),TRUE,OR(E1942&lt;0,E1942&gt;999999999,ROUND(E1942,3)&lt;&gt;E1942))),"Invalid previous reading",IF(IF(NOT(ISNUMBER(F1942)),TRUE,OR(F1942&lt;0,F1942&gt;999999999,ROUND(F1942,3)&lt;&gt;F1942)),"Invalid last service",IF(AND(E1942&lt;&gt;"",D1942&lt;E1942),"Decreased reading",IF(F1942&gt;D1942,"Last service above current","")))))))))))))</x:f>
      </x:c>
      <x:c r="L1942" s="6" t="str">
        <x:f>IF(AND(NOT(COUNTA(A1942:F1942)=0),K1942=""),INDEX('Rules'!$C$7:$C$26,MATCH(SUBSTITUTE(SUBSTITUTE(SUBSTITUTE(SUBSTITUTE("type:"&amp;B1942,"%","%25"),"~","%7E"),"*","%2A"),"?","%3F"),'Rules'!$G$7:$G$26,0)),"")</x:f>
      </x:c>
      <x:c r="M1942" s="6" t="str">
        <x:f>IF(AND(NOT(COUNTA(A1942:F1942)=0),K1942=""),INDEX('Rules'!$D$7:$D$26,MATCH(SUBSTITUTE(SUBSTITUTE(SUBSTITUTE(SUBSTITUTE("type:"&amp;B1942,"%","%25"),"~","%7E"),"*","%2A"),"?","%3F"),'Rules'!$G$7:$G$26,0)),"")</x:f>
      </x:c>
      <x:c r="N1942" s="5" t="str">
        <x:f>IF(COUNTA(A1942:F1942)=0,"",SUBSTITUTE(SUBSTITUTE(SUBSTITUTE(SUBSTITUTE("id:"&amp;A1942,"%","%25"),"~","%7E"),"*","%2A"),"?","%3F"))</x:f>
      </x:c>
    </x:row>
    <x:row r="1943" ht="22" customHeight="1">
      <x:c r="A1943" s="3"/>
      <x:c r="B1943" s="3"/>
      <x:c r="C1943" s="3"/>
      <x:c r="D1943" s="4"/>
      <x:c r="E1943" s="4"/>
      <x:c r="F1943" s="4"/>
      <x:c r="G1943" s="5" t="str">
        <x:f>IF(COUNTA(A1943:F1943)=0,"",IF(K1943&lt;&gt;"","Review",IF(I1943&lt;0,"Overdue",IF(I1943=0,"Due now",IF(I1943&lt;=M1943,"Due soon","Not due")))))</x:f>
      </x:c>
      <x:c r="H1943" s="5" t="str">
        <x:f>IF(OR(COUNTA(A1943:F1943)=0,COUNTIFS('Rules'!$G$7:$G$26,"="&amp;(SUBSTITUTE(SUBSTITUTE(SUBSTITUTE(SUBSTITUTE("type:"&amp;B1943,"%","%25"),"~","%7E"),"*","%2A"),"?","%3F")))&lt;&gt;1),"",IF(OR(INDEX('Rules'!$B$7:$B$26,MATCH(SUBSTITUTE(SUBSTITUTE(SUBSTITUTE(SUBSTITUTE("type:"&amp;B1943,"%","%25"),"~","%7E"),"*","%2A"),"?","%3F"),'Rules'!$G$7:$G$26,0))="hours",INDEX('Rules'!$B$7:$B$26,MATCH(SUBSTITUTE(SUBSTITUTE(SUBSTITUTE(SUBSTITUTE("type:"&amp;B1943,"%","%25"),"~","%7E"),"*","%2A"),"?","%3F"),'Rules'!$G$7:$G$26,0))="km"),INDEX('Rules'!$B$7:$B$26,MATCH(SUBSTITUTE(SUBSTITUTE(SUBSTITUTE(SUBSTITUTE("type:"&amp;B1943,"%","%25"),"~","%7E"),"*","%2A"),"?","%3F"),'Rules'!$G$7:$G$26,0)),""))</x:f>
      </x:c>
      <x:c r="I1943" s="6" t="str">
        <x:f>IF(AND(NOT(COUNTA(A1943:F1943)=0),K1943=""),ROUND(J1943-D1943,3),"")</x:f>
      </x:c>
      <x:c r="J1943" s="6" t="str">
        <x:f>IF(AND(NOT(COUNTA(A1943:F1943)=0),K1943=""),ROUND(F1943+L1943,3),"")</x:f>
      </x:c>
      <x:c r="K1943" s="5" t="str">
        <x:f>IF(COUNTA(A1943:F1943)=0,"",IF(A1943="","Missing equipment ID",IF(COUNTIFS($N$8:$N$2007,"="&amp;N1943)&gt;1,"Duplicate equipment ID",IF(B1943="","Missing type",IF(COUNTIFS('Rules'!$G$7:$G$26,"="&amp;(SUBSTITUTE(SUBSTITUTE(SUBSTITUTE(SUBSTITUTE("type:"&amp;B1943,"%","%25"),"~","%7E"),"*","%2A"),"?","%3F")))=0,"Unknown type",IF(COUNTIFS('Rules'!$G$7:$G$26,"="&amp;(SUBSTITUTE(SUBSTITUTE(SUBSTITUTE(SUBSTITUTE("type:"&amp;B1943,"%","%25"),"~","%7E"),"*","%2A"),"?","%3F")))&gt;1,"Duplicate type",IF(INDEX('Rules'!$F$7:$F$26,MATCH(SUBSTITUTE(SUBSTITUTE(SUBSTITUTE(SUBSTITUTE("type:"&amp;B1943,"%","%25"),"~","%7E"),"*","%2A"),"?","%3F"),'Rules'!$G$7:$G$26,0))&lt;&gt;"",INDEX('Rules'!$F$7:$F$26,MATCH(SUBSTITUTE(SUBSTITUTE(SUBSTITUTE(SUBSTITUTE("type:"&amp;B1943,"%","%25"),"~","%7E"),"*","%2A"),"?","%3F"),'Rules'!$G$7:$G$26,0)),IF(AND(C1943&lt;&gt;"",C1943&lt;&gt;INDEX('Rules'!$B$7:$B$26,MATCH(SUBSTITUTE(SUBSTITUTE(SUBSTITUTE(SUBSTITUTE("type:"&amp;B1943,"%","%25"),"~","%7E"),"*","%2A"),"?","%3F"),'Rules'!$G$7:$G$26,0))),"Unit mismatch",IF(IF(NOT(ISNUMBER(D1943)),TRUE,OR(D1943&lt;0,D1943&gt;999999999,ROUND(D1943,3)&lt;&gt;D1943)),"Invalid current reading",IF(AND(E1943&lt;&gt;"",IF(NOT(ISNUMBER(E1943)),TRUE,OR(E1943&lt;0,E1943&gt;999999999,ROUND(E1943,3)&lt;&gt;E1943))),"Invalid previous reading",IF(IF(NOT(ISNUMBER(F1943)),TRUE,OR(F1943&lt;0,F1943&gt;999999999,ROUND(F1943,3)&lt;&gt;F1943)),"Invalid last service",IF(AND(E1943&lt;&gt;"",D1943&lt;E1943),"Decreased reading",IF(F1943&gt;D1943,"Last service above current","")))))))))))))</x:f>
      </x:c>
      <x:c r="L1943" s="6" t="str">
        <x:f>IF(AND(NOT(COUNTA(A1943:F1943)=0),K1943=""),INDEX('Rules'!$C$7:$C$26,MATCH(SUBSTITUTE(SUBSTITUTE(SUBSTITUTE(SUBSTITUTE("type:"&amp;B1943,"%","%25"),"~","%7E"),"*","%2A"),"?","%3F"),'Rules'!$G$7:$G$26,0)),"")</x:f>
      </x:c>
      <x:c r="M1943" s="6" t="str">
        <x:f>IF(AND(NOT(COUNTA(A1943:F1943)=0),K1943=""),INDEX('Rules'!$D$7:$D$26,MATCH(SUBSTITUTE(SUBSTITUTE(SUBSTITUTE(SUBSTITUTE("type:"&amp;B1943,"%","%25"),"~","%7E"),"*","%2A"),"?","%3F"),'Rules'!$G$7:$G$26,0)),"")</x:f>
      </x:c>
      <x:c r="N1943" s="5" t="str">
        <x:f>IF(COUNTA(A1943:F1943)=0,"",SUBSTITUTE(SUBSTITUTE(SUBSTITUTE(SUBSTITUTE("id:"&amp;A1943,"%","%25"),"~","%7E"),"*","%2A"),"?","%3F"))</x:f>
      </x:c>
    </x:row>
    <x:row r="1944" ht="22" customHeight="1">
      <x:c r="A1944" s="3"/>
      <x:c r="B1944" s="3"/>
      <x:c r="C1944" s="3"/>
      <x:c r="D1944" s="4"/>
      <x:c r="E1944" s="4"/>
      <x:c r="F1944" s="4"/>
      <x:c r="G1944" s="5" t="str">
        <x:f>IF(COUNTA(A1944:F1944)=0,"",IF(K1944&lt;&gt;"","Review",IF(I1944&lt;0,"Overdue",IF(I1944=0,"Due now",IF(I1944&lt;=M1944,"Due soon","Not due")))))</x:f>
      </x:c>
      <x:c r="H1944" s="5" t="str">
        <x:f>IF(OR(COUNTA(A1944:F1944)=0,COUNTIFS('Rules'!$G$7:$G$26,"="&amp;(SUBSTITUTE(SUBSTITUTE(SUBSTITUTE(SUBSTITUTE("type:"&amp;B1944,"%","%25"),"~","%7E"),"*","%2A"),"?","%3F")))&lt;&gt;1),"",IF(OR(INDEX('Rules'!$B$7:$B$26,MATCH(SUBSTITUTE(SUBSTITUTE(SUBSTITUTE(SUBSTITUTE("type:"&amp;B1944,"%","%25"),"~","%7E"),"*","%2A"),"?","%3F"),'Rules'!$G$7:$G$26,0))="hours",INDEX('Rules'!$B$7:$B$26,MATCH(SUBSTITUTE(SUBSTITUTE(SUBSTITUTE(SUBSTITUTE("type:"&amp;B1944,"%","%25"),"~","%7E"),"*","%2A"),"?","%3F"),'Rules'!$G$7:$G$26,0))="km"),INDEX('Rules'!$B$7:$B$26,MATCH(SUBSTITUTE(SUBSTITUTE(SUBSTITUTE(SUBSTITUTE("type:"&amp;B1944,"%","%25"),"~","%7E"),"*","%2A"),"?","%3F"),'Rules'!$G$7:$G$26,0)),""))</x:f>
      </x:c>
      <x:c r="I1944" s="6" t="str">
        <x:f>IF(AND(NOT(COUNTA(A1944:F1944)=0),K1944=""),ROUND(J1944-D1944,3),"")</x:f>
      </x:c>
      <x:c r="J1944" s="6" t="str">
        <x:f>IF(AND(NOT(COUNTA(A1944:F1944)=0),K1944=""),ROUND(F1944+L1944,3),"")</x:f>
      </x:c>
      <x:c r="K1944" s="5" t="str">
        <x:f>IF(COUNTA(A1944:F1944)=0,"",IF(A1944="","Missing equipment ID",IF(COUNTIFS($N$8:$N$2007,"="&amp;N1944)&gt;1,"Duplicate equipment ID",IF(B1944="","Missing type",IF(COUNTIFS('Rules'!$G$7:$G$26,"="&amp;(SUBSTITUTE(SUBSTITUTE(SUBSTITUTE(SUBSTITUTE("type:"&amp;B1944,"%","%25"),"~","%7E"),"*","%2A"),"?","%3F")))=0,"Unknown type",IF(COUNTIFS('Rules'!$G$7:$G$26,"="&amp;(SUBSTITUTE(SUBSTITUTE(SUBSTITUTE(SUBSTITUTE("type:"&amp;B1944,"%","%25"),"~","%7E"),"*","%2A"),"?","%3F")))&gt;1,"Duplicate type",IF(INDEX('Rules'!$F$7:$F$26,MATCH(SUBSTITUTE(SUBSTITUTE(SUBSTITUTE(SUBSTITUTE("type:"&amp;B1944,"%","%25"),"~","%7E"),"*","%2A"),"?","%3F"),'Rules'!$G$7:$G$26,0))&lt;&gt;"",INDEX('Rules'!$F$7:$F$26,MATCH(SUBSTITUTE(SUBSTITUTE(SUBSTITUTE(SUBSTITUTE("type:"&amp;B1944,"%","%25"),"~","%7E"),"*","%2A"),"?","%3F"),'Rules'!$G$7:$G$26,0)),IF(AND(C1944&lt;&gt;"",C1944&lt;&gt;INDEX('Rules'!$B$7:$B$26,MATCH(SUBSTITUTE(SUBSTITUTE(SUBSTITUTE(SUBSTITUTE("type:"&amp;B1944,"%","%25"),"~","%7E"),"*","%2A"),"?","%3F"),'Rules'!$G$7:$G$26,0))),"Unit mismatch",IF(IF(NOT(ISNUMBER(D1944)),TRUE,OR(D1944&lt;0,D1944&gt;999999999,ROUND(D1944,3)&lt;&gt;D1944)),"Invalid current reading",IF(AND(E1944&lt;&gt;"",IF(NOT(ISNUMBER(E1944)),TRUE,OR(E1944&lt;0,E1944&gt;999999999,ROUND(E1944,3)&lt;&gt;E1944))),"Invalid previous reading",IF(IF(NOT(ISNUMBER(F1944)),TRUE,OR(F1944&lt;0,F1944&gt;999999999,ROUND(F1944,3)&lt;&gt;F1944)),"Invalid last service",IF(AND(E1944&lt;&gt;"",D1944&lt;E1944),"Decreased reading",IF(F1944&gt;D1944,"Last service above current","")))))))))))))</x:f>
      </x:c>
      <x:c r="L1944" s="6" t="str">
        <x:f>IF(AND(NOT(COUNTA(A1944:F1944)=0),K1944=""),INDEX('Rules'!$C$7:$C$26,MATCH(SUBSTITUTE(SUBSTITUTE(SUBSTITUTE(SUBSTITUTE("type:"&amp;B1944,"%","%25"),"~","%7E"),"*","%2A"),"?","%3F"),'Rules'!$G$7:$G$26,0)),"")</x:f>
      </x:c>
      <x:c r="M1944" s="6" t="str">
        <x:f>IF(AND(NOT(COUNTA(A1944:F1944)=0),K1944=""),INDEX('Rules'!$D$7:$D$26,MATCH(SUBSTITUTE(SUBSTITUTE(SUBSTITUTE(SUBSTITUTE("type:"&amp;B1944,"%","%25"),"~","%7E"),"*","%2A"),"?","%3F"),'Rules'!$G$7:$G$26,0)),"")</x:f>
      </x:c>
      <x:c r="N1944" s="5" t="str">
        <x:f>IF(COUNTA(A1944:F1944)=0,"",SUBSTITUTE(SUBSTITUTE(SUBSTITUTE(SUBSTITUTE("id:"&amp;A1944,"%","%25"),"~","%7E"),"*","%2A"),"?","%3F"))</x:f>
      </x:c>
    </x:row>
    <x:row r="1945" ht="22" customHeight="1">
      <x:c r="A1945" s="3"/>
      <x:c r="B1945" s="3"/>
      <x:c r="C1945" s="3"/>
      <x:c r="D1945" s="4"/>
      <x:c r="E1945" s="4"/>
      <x:c r="F1945" s="4"/>
      <x:c r="G1945" s="5" t="str">
        <x:f>IF(COUNTA(A1945:F1945)=0,"",IF(K1945&lt;&gt;"","Review",IF(I1945&lt;0,"Overdue",IF(I1945=0,"Due now",IF(I1945&lt;=M1945,"Due soon","Not due")))))</x:f>
      </x:c>
      <x:c r="H1945" s="5" t="str">
        <x:f>IF(OR(COUNTA(A1945:F1945)=0,COUNTIFS('Rules'!$G$7:$G$26,"="&amp;(SUBSTITUTE(SUBSTITUTE(SUBSTITUTE(SUBSTITUTE("type:"&amp;B1945,"%","%25"),"~","%7E"),"*","%2A"),"?","%3F")))&lt;&gt;1),"",IF(OR(INDEX('Rules'!$B$7:$B$26,MATCH(SUBSTITUTE(SUBSTITUTE(SUBSTITUTE(SUBSTITUTE("type:"&amp;B1945,"%","%25"),"~","%7E"),"*","%2A"),"?","%3F"),'Rules'!$G$7:$G$26,0))="hours",INDEX('Rules'!$B$7:$B$26,MATCH(SUBSTITUTE(SUBSTITUTE(SUBSTITUTE(SUBSTITUTE("type:"&amp;B1945,"%","%25"),"~","%7E"),"*","%2A"),"?","%3F"),'Rules'!$G$7:$G$26,0))="km"),INDEX('Rules'!$B$7:$B$26,MATCH(SUBSTITUTE(SUBSTITUTE(SUBSTITUTE(SUBSTITUTE("type:"&amp;B1945,"%","%25"),"~","%7E"),"*","%2A"),"?","%3F"),'Rules'!$G$7:$G$26,0)),""))</x:f>
      </x:c>
      <x:c r="I1945" s="6" t="str">
        <x:f>IF(AND(NOT(COUNTA(A1945:F1945)=0),K1945=""),ROUND(J1945-D1945,3),"")</x:f>
      </x:c>
      <x:c r="J1945" s="6" t="str">
        <x:f>IF(AND(NOT(COUNTA(A1945:F1945)=0),K1945=""),ROUND(F1945+L1945,3),"")</x:f>
      </x:c>
      <x:c r="K1945" s="5" t="str">
        <x:f>IF(COUNTA(A1945:F1945)=0,"",IF(A1945="","Missing equipment ID",IF(COUNTIFS($N$8:$N$2007,"="&amp;N1945)&gt;1,"Duplicate equipment ID",IF(B1945="","Missing type",IF(COUNTIFS('Rules'!$G$7:$G$26,"="&amp;(SUBSTITUTE(SUBSTITUTE(SUBSTITUTE(SUBSTITUTE("type:"&amp;B1945,"%","%25"),"~","%7E"),"*","%2A"),"?","%3F")))=0,"Unknown type",IF(COUNTIFS('Rules'!$G$7:$G$26,"="&amp;(SUBSTITUTE(SUBSTITUTE(SUBSTITUTE(SUBSTITUTE("type:"&amp;B1945,"%","%25"),"~","%7E"),"*","%2A"),"?","%3F")))&gt;1,"Duplicate type",IF(INDEX('Rules'!$F$7:$F$26,MATCH(SUBSTITUTE(SUBSTITUTE(SUBSTITUTE(SUBSTITUTE("type:"&amp;B1945,"%","%25"),"~","%7E"),"*","%2A"),"?","%3F"),'Rules'!$G$7:$G$26,0))&lt;&gt;"",INDEX('Rules'!$F$7:$F$26,MATCH(SUBSTITUTE(SUBSTITUTE(SUBSTITUTE(SUBSTITUTE("type:"&amp;B1945,"%","%25"),"~","%7E"),"*","%2A"),"?","%3F"),'Rules'!$G$7:$G$26,0)),IF(AND(C1945&lt;&gt;"",C1945&lt;&gt;INDEX('Rules'!$B$7:$B$26,MATCH(SUBSTITUTE(SUBSTITUTE(SUBSTITUTE(SUBSTITUTE("type:"&amp;B1945,"%","%25"),"~","%7E"),"*","%2A"),"?","%3F"),'Rules'!$G$7:$G$26,0))),"Unit mismatch",IF(IF(NOT(ISNUMBER(D1945)),TRUE,OR(D1945&lt;0,D1945&gt;999999999,ROUND(D1945,3)&lt;&gt;D1945)),"Invalid current reading",IF(AND(E1945&lt;&gt;"",IF(NOT(ISNUMBER(E1945)),TRUE,OR(E1945&lt;0,E1945&gt;999999999,ROUND(E1945,3)&lt;&gt;E1945))),"Invalid previous reading",IF(IF(NOT(ISNUMBER(F1945)),TRUE,OR(F1945&lt;0,F1945&gt;999999999,ROUND(F1945,3)&lt;&gt;F1945)),"Invalid last service",IF(AND(E1945&lt;&gt;"",D1945&lt;E1945),"Decreased reading",IF(F1945&gt;D1945,"Last service above current","")))))))))))))</x:f>
      </x:c>
      <x:c r="L1945" s="6" t="str">
        <x:f>IF(AND(NOT(COUNTA(A1945:F1945)=0),K1945=""),INDEX('Rules'!$C$7:$C$26,MATCH(SUBSTITUTE(SUBSTITUTE(SUBSTITUTE(SUBSTITUTE("type:"&amp;B1945,"%","%25"),"~","%7E"),"*","%2A"),"?","%3F"),'Rules'!$G$7:$G$26,0)),"")</x:f>
      </x:c>
      <x:c r="M1945" s="6" t="str">
        <x:f>IF(AND(NOT(COUNTA(A1945:F1945)=0),K1945=""),INDEX('Rules'!$D$7:$D$26,MATCH(SUBSTITUTE(SUBSTITUTE(SUBSTITUTE(SUBSTITUTE("type:"&amp;B1945,"%","%25"),"~","%7E"),"*","%2A"),"?","%3F"),'Rules'!$G$7:$G$26,0)),"")</x:f>
      </x:c>
      <x:c r="N1945" s="5" t="str">
        <x:f>IF(COUNTA(A1945:F1945)=0,"",SUBSTITUTE(SUBSTITUTE(SUBSTITUTE(SUBSTITUTE("id:"&amp;A1945,"%","%25"),"~","%7E"),"*","%2A"),"?","%3F"))</x:f>
      </x:c>
    </x:row>
    <x:row r="1946" ht="22" customHeight="1">
      <x:c r="A1946" s="3"/>
      <x:c r="B1946" s="3"/>
      <x:c r="C1946" s="3"/>
      <x:c r="D1946" s="4"/>
      <x:c r="E1946" s="4"/>
      <x:c r="F1946" s="4"/>
      <x:c r="G1946" s="5" t="str">
        <x:f>IF(COUNTA(A1946:F1946)=0,"",IF(K1946&lt;&gt;"","Review",IF(I1946&lt;0,"Overdue",IF(I1946=0,"Due now",IF(I1946&lt;=M1946,"Due soon","Not due")))))</x:f>
      </x:c>
      <x:c r="H1946" s="5" t="str">
        <x:f>IF(OR(COUNTA(A1946:F1946)=0,COUNTIFS('Rules'!$G$7:$G$26,"="&amp;(SUBSTITUTE(SUBSTITUTE(SUBSTITUTE(SUBSTITUTE("type:"&amp;B1946,"%","%25"),"~","%7E"),"*","%2A"),"?","%3F")))&lt;&gt;1),"",IF(OR(INDEX('Rules'!$B$7:$B$26,MATCH(SUBSTITUTE(SUBSTITUTE(SUBSTITUTE(SUBSTITUTE("type:"&amp;B1946,"%","%25"),"~","%7E"),"*","%2A"),"?","%3F"),'Rules'!$G$7:$G$26,0))="hours",INDEX('Rules'!$B$7:$B$26,MATCH(SUBSTITUTE(SUBSTITUTE(SUBSTITUTE(SUBSTITUTE("type:"&amp;B1946,"%","%25"),"~","%7E"),"*","%2A"),"?","%3F"),'Rules'!$G$7:$G$26,0))="km"),INDEX('Rules'!$B$7:$B$26,MATCH(SUBSTITUTE(SUBSTITUTE(SUBSTITUTE(SUBSTITUTE("type:"&amp;B1946,"%","%25"),"~","%7E"),"*","%2A"),"?","%3F"),'Rules'!$G$7:$G$26,0)),""))</x:f>
      </x:c>
      <x:c r="I1946" s="6" t="str">
        <x:f>IF(AND(NOT(COUNTA(A1946:F1946)=0),K1946=""),ROUND(J1946-D1946,3),"")</x:f>
      </x:c>
      <x:c r="J1946" s="6" t="str">
        <x:f>IF(AND(NOT(COUNTA(A1946:F1946)=0),K1946=""),ROUND(F1946+L1946,3),"")</x:f>
      </x:c>
      <x:c r="K1946" s="5" t="str">
        <x:f>IF(COUNTA(A1946:F1946)=0,"",IF(A1946="","Missing equipment ID",IF(COUNTIFS($N$8:$N$2007,"="&amp;N1946)&gt;1,"Duplicate equipment ID",IF(B1946="","Missing type",IF(COUNTIFS('Rules'!$G$7:$G$26,"="&amp;(SUBSTITUTE(SUBSTITUTE(SUBSTITUTE(SUBSTITUTE("type:"&amp;B1946,"%","%25"),"~","%7E"),"*","%2A"),"?","%3F")))=0,"Unknown type",IF(COUNTIFS('Rules'!$G$7:$G$26,"="&amp;(SUBSTITUTE(SUBSTITUTE(SUBSTITUTE(SUBSTITUTE("type:"&amp;B1946,"%","%25"),"~","%7E"),"*","%2A"),"?","%3F")))&gt;1,"Duplicate type",IF(INDEX('Rules'!$F$7:$F$26,MATCH(SUBSTITUTE(SUBSTITUTE(SUBSTITUTE(SUBSTITUTE("type:"&amp;B1946,"%","%25"),"~","%7E"),"*","%2A"),"?","%3F"),'Rules'!$G$7:$G$26,0))&lt;&gt;"",INDEX('Rules'!$F$7:$F$26,MATCH(SUBSTITUTE(SUBSTITUTE(SUBSTITUTE(SUBSTITUTE("type:"&amp;B1946,"%","%25"),"~","%7E"),"*","%2A"),"?","%3F"),'Rules'!$G$7:$G$26,0)),IF(AND(C1946&lt;&gt;"",C1946&lt;&gt;INDEX('Rules'!$B$7:$B$26,MATCH(SUBSTITUTE(SUBSTITUTE(SUBSTITUTE(SUBSTITUTE("type:"&amp;B1946,"%","%25"),"~","%7E"),"*","%2A"),"?","%3F"),'Rules'!$G$7:$G$26,0))),"Unit mismatch",IF(IF(NOT(ISNUMBER(D1946)),TRUE,OR(D1946&lt;0,D1946&gt;999999999,ROUND(D1946,3)&lt;&gt;D1946)),"Invalid current reading",IF(AND(E1946&lt;&gt;"",IF(NOT(ISNUMBER(E1946)),TRUE,OR(E1946&lt;0,E1946&gt;999999999,ROUND(E1946,3)&lt;&gt;E1946))),"Invalid previous reading",IF(IF(NOT(ISNUMBER(F1946)),TRUE,OR(F1946&lt;0,F1946&gt;999999999,ROUND(F1946,3)&lt;&gt;F1946)),"Invalid last service",IF(AND(E1946&lt;&gt;"",D1946&lt;E1946),"Decreased reading",IF(F1946&gt;D1946,"Last service above current","")))))))))))))</x:f>
      </x:c>
      <x:c r="L1946" s="6" t="str">
        <x:f>IF(AND(NOT(COUNTA(A1946:F1946)=0),K1946=""),INDEX('Rules'!$C$7:$C$26,MATCH(SUBSTITUTE(SUBSTITUTE(SUBSTITUTE(SUBSTITUTE("type:"&amp;B1946,"%","%25"),"~","%7E"),"*","%2A"),"?","%3F"),'Rules'!$G$7:$G$26,0)),"")</x:f>
      </x:c>
      <x:c r="M1946" s="6" t="str">
        <x:f>IF(AND(NOT(COUNTA(A1946:F1946)=0),K1946=""),INDEX('Rules'!$D$7:$D$26,MATCH(SUBSTITUTE(SUBSTITUTE(SUBSTITUTE(SUBSTITUTE("type:"&amp;B1946,"%","%25"),"~","%7E"),"*","%2A"),"?","%3F"),'Rules'!$G$7:$G$26,0)),"")</x:f>
      </x:c>
      <x:c r="N1946" s="5" t="str">
        <x:f>IF(COUNTA(A1946:F1946)=0,"",SUBSTITUTE(SUBSTITUTE(SUBSTITUTE(SUBSTITUTE("id:"&amp;A1946,"%","%25"),"~","%7E"),"*","%2A"),"?","%3F"))</x:f>
      </x:c>
    </x:row>
    <x:row r="1947" ht="22" customHeight="1">
      <x:c r="A1947" s="3"/>
      <x:c r="B1947" s="3"/>
      <x:c r="C1947" s="3"/>
      <x:c r="D1947" s="4"/>
      <x:c r="E1947" s="4"/>
      <x:c r="F1947" s="4"/>
      <x:c r="G1947" s="5" t="str">
        <x:f>IF(COUNTA(A1947:F1947)=0,"",IF(K1947&lt;&gt;"","Review",IF(I1947&lt;0,"Overdue",IF(I1947=0,"Due now",IF(I1947&lt;=M1947,"Due soon","Not due")))))</x:f>
      </x:c>
      <x:c r="H1947" s="5" t="str">
        <x:f>IF(OR(COUNTA(A1947:F1947)=0,COUNTIFS('Rules'!$G$7:$G$26,"="&amp;(SUBSTITUTE(SUBSTITUTE(SUBSTITUTE(SUBSTITUTE("type:"&amp;B1947,"%","%25"),"~","%7E"),"*","%2A"),"?","%3F")))&lt;&gt;1),"",IF(OR(INDEX('Rules'!$B$7:$B$26,MATCH(SUBSTITUTE(SUBSTITUTE(SUBSTITUTE(SUBSTITUTE("type:"&amp;B1947,"%","%25"),"~","%7E"),"*","%2A"),"?","%3F"),'Rules'!$G$7:$G$26,0))="hours",INDEX('Rules'!$B$7:$B$26,MATCH(SUBSTITUTE(SUBSTITUTE(SUBSTITUTE(SUBSTITUTE("type:"&amp;B1947,"%","%25"),"~","%7E"),"*","%2A"),"?","%3F"),'Rules'!$G$7:$G$26,0))="km"),INDEX('Rules'!$B$7:$B$26,MATCH(SUBSTITUTE(SUBSTITUTE(SUBSTITUTE(SUBSTITUTE("type:"&amp;B1947,"%","%25"),"~","%7E"),"*","%2A"),"?","%3F"),'Rules'!$G$7:$G$26,0)),""))</x:f>
      </x:c>
      <x:c r="I1947" s="6" t="str">
        <x:f>IF(AND(NOT(COUNTA(A1947:F1947)=0),K1947=""),ROUND(J1947-D1947,3),"")</x:f>
      </x:c>
      <x:c r="J1947" s="6" t="str">
        <x:f>IF(AND(NOT(COUNTA(A1947:F1947)=0),K1947=""),ROUND(F1947+L1947,3),"")</x:f>
      </x:c>
      <x:c r="K1947" s="5" t="str">
        <x:f>IF(COUNTA(A1947:F1947)=0,"",IF(A1947="","Missing equipment ID",IF(COUNTIFS($N$8:$N$2007,"="&amp;N1947)&gt;1,"Duplicate equipment ID",IF(B1947="","Missing type",IF(COUNTIFS('Rules'!$G$7:$G$26,"="&amp;(SUBSTITUTE(SUBSTITUTE(SUBSTITUTE(SUBSTITUTE("type:"&amp;B1947,"%","%25"),"~","%7E"),"*","%2A"),"?","%3F")))=0,"Unknown type",IF(COUNTIFS('Rules'!$G$7:$G$26,"="&amp;(SUBSTITUTE(SUBSTITUTE(SUBSTITUTE(SUBSTITUTE("type:"&amp;B1947,"%","%25"),"~","%7E"),"*","%2A"),"?","%3F")))&gt;1,"Duplicate type",IF(INDEX('Rules'!$F$7:$F$26,MATCH(SUBSTITUTE(SUBSTITUTE(SUBSTITUTE(SUBSTITUTE("type:"&amp;B1947,"%","%25"),"~","%7E"),"*","%2A"),"?","%3F"),'Rules'!$G$7:$G$26,0))&lt;&gt;"",INDEX('Rules'!$F$7:$F$26,MATCH(SUBSTITUTE(SUBSTITUTE(SUBSTITUTE(SUBSTITUTE("type:"&amp;B1947,"%","%25"),"~","%7E"),"*","%2A"),"?","%3F"),'Rules'!$G$7:$G$26,0)),IF(AND(C1947&lt;&gt;"",C1947&lt;&gt;INDEX('Rules'!$B$7:$B$26,MATCH(SUBSTITUTE(SUBSTITUTE(SUBSTITUTE(SUBSTITUTE("type:"&amp;B1947,"%","%25"),"~","%7E"),"*","%2A"),"?","%3F"),'Rules'!$G$7:$G$26,0))),"Unit mismatch",IF(IF(NOT(ISNUMBER(D1947)),TRUE,OR(D1947&lt;0,D1947&gt;999999999,ROUND(D1947,3)&lt;&gt;D1947)),"Invalid current reading",IF(AND(E1947&lt;&gt;"",IF(NOT(ISNUMBER(E1947)),TRUE,OR(E1947&lt;0,E1947&gt;999999999,ROUND(E1947,3)&lt;&gt;E1947))),"Invalid previous reading",IF(IF(NOT(ISNUMBER(F1947)),TRUE,OR(F1947&lt;0,F1947&gt;999999999,ROUND(F1947,3)&lt;&gt;F1947)),"Invalid last service",IF(AND(E1947&lt;&gt;"",D1947&lt;E1947),"Decreased reading",IF(F1947&gt;D1947,"Last service above current","")))))))))))))</x:f>
      </x:c>
      <x:c r="L1947" s="6" t="str">
        <x:f>IF(AND(NOT(COUNTA(A1947:F1947)=0),K1947=""),INDEX('Rules'!$C$7:$C$26,MATCH(SUBSTITUTE(SUBSTITUTE(SUBSTITUTE(SUBSTITUTE("type:"&amp;B1947,"%","%25"),"~","%7E"),"*","%2A"),"?","%3F"),'Rules'!$G$7:$G$26,0)),"")</x:f>
      </x:c>
      <x:c r="M1947" s="6" t="str">
        <x:f>IF(AND(NOT(COUNTA(A1947:F1947)=0),K1947=""),INDEX('Rules'!$D$7:$D$26,MATCH(SUBSTITUTE(SUBSTITUTE(SUBSTITUTE(SUBSTITUTE("type:"&amp;B1947,"%","%25"),"~","%7E"),"*","%2A"),"?","%3F"),'Rules'!$G$7:$G$26,0)),"")</x:f>
      </x:c>
      <x:c r="N1947" s="5" t="str">
        <x:f>IF(COUNTA(A1947:F1947)=0,"",SUBSTITUTE(SUBSTITUTE(SUBSTITUTE(SUBSTITUTE("id:"&amp;A1947,"%","%25"),"~","%7E"),"*","%2A"),"?","%3F"))</x:f>
      </x:c>
    </x:row>
    <x:row r="1948" ht="22" customHeight="1">
      <x:c r="A1948" s="3"/>
      <x:c r="B1948" s="3"/>
      <x:c r="C1948" s="3"/>
      <x:c r="D1948" s="4"/>
      <x:c r="E1948" s="4"/>
      <x:c r="F1948" s="4"/>
      <x:c r="G1948" s="5" t="str">
        <x:f>IF(COUNTA(A1948:F1948)=0,"",IF(K1948&lt;&gt;"","Review",IF(I1948&lt;0,"Overdue",IF(I1948=0,"Due now",IF(I1948&lt;=M1948,"Due soon","Not due")))))</x:f>
      </x:c>
      <x:c r="H1948" s="5" t="str">
        <x:f>IF(OR(COUNTA(A1948:F1948)=0,COUNTIFS('Rules'!$G$7:$G$26,"="&amp;(SUBSTITUTE(SUBSTITUTE(SUBSTITUTE(SUBSTITUTE("type:"&amp;B1948,"%","%25"),"~","%7E"),"*","%2A"),"?","%3F")))&lt;&gt;1),"",IF(OR(INDEX('Rules'!$B$7:$B$26,MATCH(SUBSTITUTE(SUBSTITUTE(SUBSTITUTE(SUBSTITUTE("type:"&amp;B1948,"%","%25"),"~","%7E"),"*","%2A"),"?","%3F"),'Rules'!$G$7:$G$26,0))="hours",INDEX('Rules'!$B$7:$B$26,MATCH(SUBSTITUTE(SUBSTITUTE(SUBSTITUTE(SUBSTITUTE("type:"&amp;B1948,"%","%25"),"~","%7E"),"*","%2A"),"?","%3F"),'Rules'!$G$7:$G$26,0))="km"),INDEX('Rules'!$B$7:$B$26,MATCH(SUBSTITUTE(SUBSTITUTE(SUBSTITUTE(SUBSTITUTE("type:"&amp;B1948,"%","%25"),"~","%7E"),"*","%2A"),"?","%3F"),'Rules'!$G$7:$G$26,0)),""))</x:f>
      </x:c>
      <x:c r="I1948" s="6" t="str">
        <x:f>IF(AND(NOT(COUNTA(A1948:F1948)=0),K1948=""),ROUND(J1948-D1948,3),"")</x:f>
      </x:c>
      <x:c r="J1948" s="6" t="str">
        <x:f>IF(AND(NOT(COUNTA(A1948:F1948)=0),K1948=""),ROUND(F1948+L1948,3),"")</x:f>
      </x:c>
      <x:c r="K1948" s="5" t="str">
        <x:f>IF(COUNTA(A1948:F1948)=0,"",IF(A1948="","Missing equipment ID",IF(COUNTIFS($N$8:$N$2007,"="&amp;N1948)&gt;1,"Duplicate equipment ID",IF(B1948="","Missing type",IF(COUNTIFS('Rules'!$G$7:$G$26,"="&amp;(SUBSTITUTE(SUBSTITUTE(SUBSTITUTE(SUBSTITUTE("type:"&amp;B1948,"%","%25"),"~","%7E"),"*","%2A"),"?","%3F")))=0,"Unknown type",IF(COUNTIFS('Rules'!$G$7:$G$26,"="&amp;(SUBSTITUTE(SUBSTITUTE(SUBSTITUTE(SUBSTITUTE("type:"&amp;B1948,"%","%25"),"~","%7E"),"*","%2A"),"?","%3F")))&gt;1,"Duplicate type",IF(INDEX('Rules'!$F$7:$F$26,MATCH(SUBSTITUTE(SUBSTITUTE(SUBSTITUTE(SUBSTITUTE("type:"&amp;B1948,"%","%25"),"~","%7E"),"*","%2A"),"?","%3F"),'Rules'!$G$7:$G$26,0))&lt;&gt;"",INDEX('Rules'!$F$7:$F$26,MATCH(SUBSTITUTE(SUBSTITUTE(SUBSTITUTE(SUBSTITUTE("type:"&amp;B1948,"%","%25"),"~","%7E"),"*","%2A"),"?","%3F"),'Rules'!$G$7:$G$26,0)),IF(AND(C1948&lt;&gt;"",C1948&lt;&gt;INDEX('Rules'!$B$7:$B$26,MATCH(SUBSTITUTE(SUBSTITUTE(SUBSTITUTE(SUBSTITUTE("type:"&amp;B1948,"%","%25"),"~","%7E"),"*","%2A"),"?","%3F"),'Rules'!$G$7:$G$26,0))),"Unit mismatch",IF(IF(NOT(ISNUMBER(D1948)),TRUE,OR(D1948&lt;0,D1948&gt;999999999,ROUND(D1948,3)&lt;&gt;D1948)),"Invalid current reading",IF(AND(E1948&lt;&gt;"",IF(NOT(ISNUMBER(E1948)),TRUE,OR(E1948&lt;0,E1948&gt;999999999,ROUND(E1948,3)&lt;&gt;E1948))),"Invalid previous reading",IF(IF(NOT(ISNUMBER(F1948)),TRUE,OR(F1948&lt;0,F1948&gt;999999999,ROUND(F1948,3)&lt;&gt;F1948)),"Invalid last service",IF(AND(E1948&lt;&gt;"",D1948&lt;E1948),"Decreased reading",IF(F1948&gt;D1948,"Last service above current","")))))))))))))</x:f>
      </x:c>
      <x:c r="L1948" s="6" t="str">
        <x:f>IF(AND(NOT(COUNTA(A1948:F1948)=0),K1948=""),INDEX('Rules'!$C$7:$C$26,MATCH(SUBSTITUTE(SUBSTITUTE(SUBSTITUTE(SUBSTITUTE("type:"&amp;B1948,"%","%25"),"~","%7E"),"*","%2A"),"?","%3F"),'Rules'!$G$7:$G$26,0)),"")</x:f>
      </x:c>
      <x:c r="M1948" s="6" t="str">
        <x:f>IF(AND(NOT(COUNTA(A1948:F1948)=0),K1948=""),INDEX('Rules'!$D$7:$D$26,MATCH(SUBSTITUTE(SUBSTITUTE(SUBSTITUTE(SUBSTITUTE("type:"&amp;B1948,"%","%25"),"~","%7E"),"*","%2A"),"?","%3F"),'Rules'!$G$7:$G$26,0)),"")</x:f>
      </x:c>
      <x:c r="N1948" s="5" t="str">
        <x:f>IF(COUNTA(A1948:F1948)=0,"",SUBSTITUTE(SUBSTITUTE(SUBSTITUTE(SUBSTITUTE("id:"&amp;A1948,"%","%25"),"~","%7E"),"*","%2A"),"?","%3F"))</x:f>
      </x:c>
    </x:row>
    <x:row r="1949" ht="22" customHeight="1">
      <x:c r="A1949" s="3"/>
      <x:c r="B1949" s="3"/>
      <x:c r="C1949" s="3"/>
      <x:c r="D1949" s="4"/>
      <x:c r="E1949" s="4"/>
      <x:c r="F1949" s="4"/>
      <x:c r="G1949" s="5" t="str">
        <x:f>IF(COUNTA(A1949:F1949)=0,"",IF(K1949&lt;&gt;"","Review",IF(I1949&lt;0,"Overdue",IF(I1949=0,"Due now",IF(I1949&lt;=M1949,"Due soon","Not due")))))</x:f>
      </x:c>
      <x:c r="H1949" s="5" t="str">
        <x:f>IF(OR(COUNTA(A1949:F1949)=0,COUNTIFS('Rules'!$G$7:$G$26,"="&amp;(SUBSTITUTE(SUBSTITUTE(SUBSTITUTE(SUBSTITUTE("type:"&amp;B1949,"%","%25"),"~","%7E"),"*","%2A"),"?","%3F")))&lt;&gt;1),"",IF(OR(INDEX('Rules'!$B$7:$B$26,MATCH(SUBSTITUTE(SUBSTITUTE(SUBSTITUTE(SUBSTITUTE("type:"&amp;B1949,"%","%25"),"~","%7E"),"*","%2A"),"?","%3F"),'Rules'!$G$7:$G$26,0))="hours",INDEX('Rules'!$B$7:$B$26,MATCH(SUBSTITUTE(SUBSTITUTE(SUBSTITUTE(SUBSTITUTE("type:"&amp;B1949,"%","%25"),"~","%7E"),"*","%2A"),"?","%3F"),'Rules'!$G$7:$G$26,0))="km"),INDEX('Rules'!$B$7:$B$26,MATCH(SUBSTITUTE(SUBSTITUTE(SUBSTITUTE(SUBSTITUTE("type:"&amp;B1949,"%","%25"),"~","%7E"),"*","%2A"),"?","%3F"),'Rules'!$G$7:$G$26,0)),""))</x:f>
      </x:c>
      <x:c r="I1949" s="6" t="str">
        <x:f>IF(AND(NOT(COUNTA(A1949:F1949)=0),K1949=""),ROUND(J1949-D1949,3),"")</x:f>
      </x:c>
      <x:c r="J1949" s="6" t="str">
        <x:f>IF(AND(NOT(COUNTA(A1949:F1949)=0),K1949=""),ROUND(F1949+L1949,3),"")</x:f>
      </x:c>
      <x:c r="K1949" s="5" t="str">
        <x:f>IF(COUNTA(A1949:F1949)=0,"",IF(A1949="","Missing equipment ID",IF(COUNTIFS($N$8:$N$2007,"="&amp;N1949)&gt;1,"Duplicate equipment ID",IF(B1949="","Missing type",IF(COUNTIFS('Rules'!$G$7:$G$26,"="&amp;(SUBSTITUTE(SUBSTITUTE(SUBSTITUTE(SUBSTITUTE("type:"&amp;B1949,"%","%25"),"~","%7E"),"*","%2A"),"?","%3F")))=0,"Unknown type",IF(COUNTIFS('Rules'!$G$7:$G$26,"="&amp;(SUBSTITUTE(SUBSTITUTE(SUBSTITUTE(SUBSTITUTE("type:"&amp;B1949,"%","%25"),"~","%7E"),"*","%2A"),"?","%3F")))&gt;1,"Duplicate type",IF(INDEX('Rules'!$F$7:$F$26,MATCH(SUBSTITUTE(SUBSTITUTE(SUBSTITUTE(SUBSTITUTE("type:"&amp;B1949,"%","%25"),"~","%7E"),"*","%2A"),"?","%3F"),'Rules'!$G$7:$G$26,0))&lt;&gt;"",INDEX('Rules'!$F$7:$F$26,MATCH(SUBSTITUTE(SUBSTITUTE(SUBSTITUTE(SUBSTITUTE("type:"&amp;B1949,"%","%25"),"~","%7E"),"*","%2A"),"?","%3F"),'Rules'!$G$7:$G$26,0)),IF(AND(C1949&lt;&gt;"",C1949&lt;&gt;INDEX('Rules'!$B$7:$B$26,MATCH(SUBSTITUTE(SUBSTITUTE(SUBSTITUTE(SUBSTITUTE("type:"&amp;B1949,"%","%25"),"~","%7E"),"*","%2A"),"?","%3F"),'Rules'!$G$7:$G$26,0))),"Unit mismatch",IF(IF(NOT(ISNUMBER(D1949)),TRUE,OR(D1949&lt;0,D1949&gt;999999999,ROUND(D1949,3)&lt;&gt;D1949)),"Invalid current reading",IF(AND(E1949&lt;&gt;"",IF(NOT(ISNUMBER(E1949)),TRUE,OR(E1949&lt;0,E1949&gt;999999999,ROUND(E1949,3)&lt;&gt;E1949))),"Invalid previous reading",IF(IF(NOT(ISNUMBER(F1949)),TRUE,OR(F1949&lt;0,F1949&gt;999999999,ROUND(F1949,3)&lt;&gt;F1949)),"Invalid last service",IF(AND(E1949&lt;&gt;"",D1949&lt;E1949),"Decreased reading",IF(F1949&gt;D1949,"Last service above current","")))))))))))))</x:f>
      </x:c>
      <x:c r="L1949" s="6" t="str">
        <x:f>IF(AND(NOT(COUNTA(A1949:F1949)=0),K1949=""),INDEX('Rules'!$C$7:$C$26,MATCH(SUBSTITUTE(SUBSTITUTE(SUBSTITUTE(SUBSTITUTE("type:"&amp;B1949,"%","%25"),"~","%7E"),"*","%2A"),"?","%3F"),'Rules'!$G$7:$G$26,0)),"")</x:f>
      </x:c>
      <x:c r="M1949" s="6" t="str">
        <x:f>IF(AND(NOT(COUNTA(A1949:F1949)=0),K1949=""),INDEX('Rules'!$D$7:$D$26,MATCH(SUBSTITUTE(SUBSTITUTE(SUBSTITUTE(SUBSTITUTE("type:"&amp;B1949,"%","%25"),"~","%7E"),"*","%2A"),"?","%3F"),'Rules'!$G$7:$G$26,0)),"")</x:f>
      </x:c>
      <x:c r="N1949" s="5" t="str">
        <x:f>IF(COUNTA(A1949:F1949)=0,"",SUBSTITUTE(SUBSTITUTE(SUBSTITUTE(SUBSTITUTE("id:"&amp;A1949,"%","%25"),"~","%7E"),"*","%2A"),"?","%3F"))</x:f>
      </x:c>
    </x:row>
    <x:row r="1950" ht="22" customHeight="1">
      <x:c r="A1950" s="3"/>
      <x:c r="B1950" s="3"/>
      <x:c r="C1950" s="3"/>
      <x:c r="D1950" s="4"/>
      <x:c r="E1950" s="4"/>
      <x:c r="F1950" s="4"/>
      <x:c r="G1950" s="5" t="str">
        <x:f>IF(COUNTA(A1950:F1950)=0,"",IF(K1950&lt;&gt;"","Review",IF(I1950&lt;0,"Overdue",IF(I1950=0,"Due now",IF(I1950&lt;=M1950,"Due soon","Not due")))))</x:f>
      </x:c>
      <x:c r="H1950" s="5" t="str">
        <x:f>IF(OR(COUNTA(A1950:F1950)=0,COUNTIFS('Rules'!$G$7:$G$26,"="&amp;(SUBSTITUTE(SUBSTITUTE(SUBSTITUTE(SUBSTITUTE("type:"&amp;B1950,"%","%25"),"~","%7E"),"*","%2A"),"?","%3F")))&lt;&gt;1),"",IF(OR(INDEX('Rules'!$B$7:$B$26,MATCH(SUBSTITUTE(SUBSTITUTE(SUBSTITUTE(SUBSTITUTE("type:"&amp;B1950,"%","%25"),"~","%7E"),"*","%2A"),"?","%3F"),'Rules'!$G$7:$G$26,0))="hours",INDEX('Rules'!$B$7:$B$26,MATCH(SUBSTITUTE(SUBSTITUTE(SUBSTITUTE(SUBSTITUTE("type:"&amp;B1950,"%","%25"),"~","%7E"),"*","%2A"),"?","%3F"),'Rules'!$G$7:$G$26,0))="km"),INDEX('Rules'!$B$7:$B$26,MATCH(SUBSTITUTE(SUBSTITUTE(SUBSTITUTE(SUBSTITUTE("type:"&amp;B1950,"%","%25"),"~","%7E"),"*","%2A"),"?","%3F"),'Rules'!$G$7:$G$26,0)),""))</x:f>
      </x:c>
      <x:c r="I1950" s="6" t="str">
        <x:f>IF(AND(NOT(COUNTA(A1950:F1950)=0),K1950=""),ROUND(J1950-D1950,3),"")</x:f>
      </x:c>
      <x:c r="J1950" s="6" t="str">
        <x:f>IF(AND(NOT(COUNTA(A1950:F1950)=0),K1950=""),ROUND(F1950+L1950,3),"")</x:f>
      </x:c>
      <x:c r="K1950" s="5" t="str">
        <x:f>IF(COUNTA(A1950:F1950)=0,"",IF(A1950="","Missing equipment ID",IF(COUNTIFS($N$8:$N$2007,"="&amp;N1950)&gt;1,"Duplicate equipment ID",IF(B1950="","Missing type",IF(COUNTIFS('Rules'!$G$7:$G$26,"="&amp;(SUBSTITUTE(SUBSTITUTE(SUBSTITUTE(SUBSTITUTE("type:"&amp;B1950,"%","%25"),"~","%7E"),"*","%2A"),"?","%3F")))=0,"Unknown type",IF(COUNTIFS('Rules'!$G$7:$G$26,"="&amp;(SUBSTITUTE(SUBSTITUTE(SUBSTITUTE(SUBSTITUTE("type:"&amp;B1950,"%","%25"),"~","%7E"),"*","%2A"),"?","%3F")))&gt;1,"Duplicate type",IF(INDEX('Rules'!$F$7:$F$26,MATCH(SUBSTITUTE(SUBSTITUTE(SUBSTITUTE(SUBSTITUTE("type:"&amp;B1950,"%","%25"),"~","%7E"),"*","%2A"),"?","%3F"),'Rules'!$G$7:$G$26,0))&lt;&gt;"",INDEX('Rules'!$F$7:$F$26,MATCH(SUBSTITUTE(SUBSTITUTE(SUBSTITUTE(SUBSTITUTE("type:"&amp;B1950,"%","%25"),"~","%7E"),"*","%2A"),"?","%3F"),'Rules'!$G$7:$G$26,0)),IF(AND(C1950&lt;&gt;"",C1950&lt;&gt;INDEX('Rules'!$B$7:$B$26,MATCH(SUBSTITUTE(SUBSTITUTE(SUBSTITUTE(SUBSTITUTE("type:"&amp;B1950,"%","%25"),"~","%7E"),"*","%2A"),"?","%3F"),'Rules'!$G$7:$G$26,0))),"Unit mismatch",IF(IF(NOT(ISNUMBER(D1950)),TRUE,OR(D1950&lt;0,D1950&gt;999999999,ROUND(D1950,3)&lt;&gt;D1950)),"Invalid current reading",IF(AND(E1950&lt;&gt;"",IF(NOT(ISNUMBER(E1950)),TRUE,OR(E1950&lt;0,E1950&gt;999999999,ROUND(E1950,3)&lt;&gt;E1950))),"Invalid previous reading",IF(IF(NOT(ISNUMBER(F1950)),TRUE,OR(F1950&lt;0,F1950&gt;999999999,ROUND(F1950,3)&lt;&gt;F1950)),"Invalid last service",IF(AND(E1950&lt;&gt;"",D1950&lt;E1950),"Decreased reading",IF(F1950&gt;D1950,"Last service above current","")))))))))))))</x:f>
      </x:c>
      <x:c r="L1950" s="6" t="str">
        <x:f>IF(AND(NOT(COUNTA(A1950:F1950)=0),K1950=""),INDEX('Rules'!$C$7:$C$26,MATCH(SUBSTITUTE(SUBSTITUTE(SUBSTITUTE(SUBSTITUTE("type:"&amp;B1950,"%","%25"),"~","%7E"),"*","%2A"),"?","%3F"),'Rules'!$G$7:$G$26,0)),"")</x:f>
      </x:c>
      <x:c r="M1950" s="6" t="str">
        <x:f>IF(AND(NOT(COUNTA(A1950:F1950)=0),K1950=""),INDEX('Rules'!$D$7:$D$26,MATCH(SUBSTITUTE(SUBSTITUTE(SUBSTITUTE(SUBSTITUTE("type:"&amp;B1950,"%","%25"),"~","%7E"),"*","%2A"),"?","%3F"),'Rules'!$G$7:$G$26,0)),"")</x:f>
      </x:c>
      <x:c r="N1950" s="5" t="str">
        <x:f>IF(COUNTA(A1950:F1950)=0,"",SUBSTITUTE(SUBSTITUTE(SUBSTITUTE(SUBSTITUTE("id:"&amp;A1950,"%","%25"),"~","%7E"),"*","%2A"),"?","%3F"))</x:f>
      </x:c>
    </x:row>
    <x:row r="1951" ht="22" customHeight="1">
      <x:c r="A1951" s="3"/>
      <x:c r="B1951" s="3"/>
      <x:c r="C1951" s="3"/>
      <x:c r="D1951" s="4"/>
      <x:c r="E1951" s="4"/>
      <x:c r="F1951" s="4"/>
      <x:c r="G1951" s="5" t="str">
        <x:f>IF(COUNTA(A1951:F1951)=0,"",IF(K1951&lt;&gt;"","Review",IF(I1951&lt;0,"Overdue",IF(I1951=0,"Due now",IF(I1951&lt;=M1951,"Due soon","Not due")))))</x:f>
      </x:c>
      <x:c r="H1951" s="5" t="str">
        <x:f>IF(OR(COUNTA(A1951:F1951)=0,COUNTIFS('Rules'!$G$7:$G$26,"="&amp;(SUBSTITUTE(SUBSTITUTE(SUBSTITUTE(SUBSTITUTE("type:"&amp;B1951,"%","%25"),"~","%7E"),"*","%2A"),"?","%3F")))&lt;&gt;1),"",IF(OR(INDEX('Rules'!$B$7:$B$26,MATCH(SUBSTITUTE(SUBSTITUTE(SUBSTITUTE(SUBSTITUTE("type:"&amp;B1951,"%","%25"),"~","%7E"),"*","%2A"),"?","%3F"),'Rules'!$G$7:$G$26,0))="hours",INDEX('Rules'!$B$7:$B$26,MATCH(SUBSTITUTE(SUBSTITUTE(SUBSTITUTE(SUBSTITUTE("type:"&amp;B1951,"%","%25"),"~","%7E"),"*","%2A"),"?","%3F"),'Rules'!$G$7:$G$26,0))="km"),INDEX('Rules'!$B$7:$B$26,MATCH(SUBSTITUTE(SUBSTITUTE(SUBSTITUTE(SUBSTITUTE("type:"&amp;B1951,"%","%25"),"~","%7E"),"*","%2A"),"?","%3F"),'Rules'!$G$7:$G$26,0)),""))</x:f>
      </x:c>
      <x:c r="I1951" s="6" t="str">
        <x:f>IF(AND(NOT(COUNTA(A1951:F1951)=0),K1951=""),ROUND(J1951-D1951,3),"")</x:f>
      </x:c>
      <x:c r="J1951" s="6" t="str">
        <x:f>IF(AND(NOT(COUNTA(A1951:F1951)=0),K1951=""),ROUND(F1951+L1951,3),"")</x:f>
      </x:c>
      <x:c r="K1951" s="5" t="str">
        <x:f>IF(COUNTA(A1951:F1951)=0,"",IF(A1951="","Missing equipment ID",IF(COUNTIFS($N$8:$N$2007,"="&amp;N1951)&gt;1,"Duplicate equipment ID",IF(B1951="","Missing type",IF(COUNTIFS('Rules'!$G$7:$G$26,"="&amp;(SUBSTITUTE(SUBSTITUTE(SUBSTITUTE(SUBSTITUTE("type:"&amp;B1951,"%","%25"),"~","%7E"),"*","%2A"),"?","%3F")))=0,"Unknown type",IF(COUNTIFS('Rules'!$G$7:$G$26,"="&amp;(SUBSTITUTE(SUBSTITUTE(SUBSTITUTE(SUBSTITUTE("type:"&amp;B1951,"%","%25"),"~","%7E"),"*","%2A"),"?","%3F")))&gt;1,"Duplicate type",IF(INDEX('Rules'!$F$7:$F$26,MATCH(SUBSTITUTE(SUBSTITUTE(SUBSTITUTE(SUBSTITUTE("type:"&amp;B1951,"%","%25"),"~","%7E"),"*","%2A"),"?","%3F"),'Rules'!$G$7:$G$26,0))&lt;&gt;"",INDEX('Rules'!$F$7:$F$26,MATCH(SUBSTITUTE(SUBSTITUTE(SUBSTITUTE(SUBSTITUTE("type:"&amp;B1951,"%","%25"),"~","%7E"),"*","%2A"),"?","%3F"),'Rules'!$G$7:$G$26,0)),IF(AND(C1951&lt;&gt;"",C1951&lt;&gt;INDEX('Rules'!$B$7:$B$26,MATCH(SUBSTITUTE(SUBSTITUTE(SUBSTITUTE(SUBSTITUTE("type:"&amp;B1951,"%","%25"),"~","%7E"),"*","%2A"),"?","%3F"),'Rules'!$G$7:$G$26,0))),"Unit mismatch",IF(IF(NOT(ISNUMBER(D1951)),TRUE,OR(D1951&lt;0,D1951&gt;999999999,ROUND(D1951,3)&lt;&gt;D1951)),"Invalid current reading",IF(AND(E1951&lt;&gt;"",IF(NOT(ISNUMBER(E1951)),TRUE,OR(E1951&lt;0,E1951&gt;999999999,ROUND(E1951,3)&lt;&gt;E1951))),"Invalid previous reading",IF(IF(NOT(ISNUMBER(F1951)),TRUE,OR(F1951&lt;0,F1951&gt;999999999,ROUND(F1951,3)&lt;&gt;F1951)),"Invalid last service",IF(AND(E1951&lt;&gt;"",D1951&lt;E1951),"Decreased reading",IF(F1951&gt;D1951,"Last service above current","")))))))))))))</x:f>
      </x:c>
      <x:c r="L1951" s="6" t="str">
        <x:f>IF(AND(NOT(COUNTA(A1951:F1951)=0),K1951=""),INDEX('Rules'!$C$7:$C$26,MATCH(SUBSTITUTE(SUBSTITUTE(SUBSTITUTE(SUBSTITUTE("type:"&amp;B1951,"%","%25"),"~","%7E"),"*","%2A"),"?","%3F"),'Rules'!$G$7:$G$26,0)),"")</x:f>
      </x:c>
      <x:c r="M1951" s="6" t="str">
        <x:f>IF(AND(NOT(COUNTA(A1951:F1951)=0),K1951=""),INDEX('Rules'!$D$7:$D$26,MATCH(SUBSTITUTE(SUBSTITUTE(SUBSTITUTE(SUBSTITUTE("type:"&amp;B1951,"%","%25"),"~","%7E"),"*","%2A"),"?","%3F"),'Rules'!$G$7:$G$26,0)),"")</x:f>
      </x:c>
      <x:c r="N1951" s="5" t="str">
        <x:f>IF(COUNTA(A1951:F1951)=0,"",SUBSTITUTE(SUBSTITUTE(SUBSTITUTE(SUBSTITUTE("id:"&amp;A1951,"%","%25"),"~","%7E"),"*","%2A"),"?","%3F"))</x:f>
      </x:c>
    </x:row>
    <x:row r="1952" ht="22" customHeight="1">
      <x:c r="A1952" s="3"/>
      <x:c r="B1952" s="3"/>
      <x:c r="C1952" s="3"/>
      <x:c r="D1952" s="4"/>
      <x:c r="E1952" s="4"/>
      <x:c r="F1952" s="4"/>
      <x:c r="G1952" s="5" t="str">
        <x:f>IF(COUNTA(A1952:F1952)=0,"",IF(K1952&lt;&gt;"","Review",IF(I1952&lt;0,"Overdue",IF(I1952=0,"Due now",IF(I1952&lt;=M1952,"Due soon","Not due")))))</x:f>
      </x:c>
      <x:c r="H1952" s="5" t="str">
        <x:f>IF(OR(COUNTA(A1952:F1952)=0,COUNTIFS('Rules'!$G$7:$G$26,"="&amp;(SUBSTITUTE(SUBSTITUTE(SUBSTITUTE(SUBSTITUTE("type:"&amp;B1952,"%","%25"),"~","%7E"),"*","%2A"),"?","%3F")))&lt;&gt;1),"",IF(OR(INDEX('Rules'!$B$7:$B$26,MATCH(SUBSTITUTE(SUBSTITUTE(SUBSTITUTE(SUBSTITUTE("type:"&amp;B1952,"%","%25"),"~","%7E"),"*","%2A"),"?","%3F"),'Rules'!$G$7:$G$26,0))="hours",INDEX('Rules'!$B$7:$B$26,MATCH(SUBSTITUTE(SUBSTITUTE(SUBSTITUTE(SUBSTITUTE("type:"&amp;B1952,"%","%25"),"~","%7E"),"*","%2A"),"?","%3F"),'Rules'!$G$7:$G$26,0))="km"),INDEX('Rules'!$B$7:$B$26,MATCH(SUBSTITUTE(SUBSTITUTE(SUBSTITUTE(SUBSTITUTE("type:"&amp;B1952,"%","%25"),"~","%7E"),"*","%2A"),"?","%3F"),'Rules'!$G$7:$G$26,0)),""))</x:f>
      </x:c>
      <x:c r="I1952" s="6" t="str">
        <x:f>IF(AND(NOT(COUNTA(A1952:F1952)=0),K1952=""),ROUND(J1952-D1952,3),"")</x:f>
      </x:c>
      <x:c r="J1952" s="6" t="str">
        <x:f>IF(AND(NOT(COUNTA(A1952:F1952)=0),K1952=""),ROUND(F1952+L1952,3),"")</x:f>
      </x:c>
      <x:c r="K1952" s="5" t="str">
        <x:f>IF(COUNTA(A1952:F1952)=0,"",IF(A1952="","Missing equipment ID",IF(COUNTIFS($N$8:$N$2007,"="&amp;N1952)&gt;1,"Duplicate equipment ID",IF(B1952="","Missing type",IF(COUNTIFS('Rules'!$G$7:$G$26,"="&amp;(SUBSTITUTE(SUBSTITUTE(SUBSTITUTE(SUBSTITUTE("type:"&amp;B1952,"%","%25"),"~","%7E"),"*","%2A"),"?","%3F")))=0,"Unknown type",IF(COUNTIFS('Rules'!$G$7:$G$26,"="&amp;(SUBSTITUTE(SUBSTITUTE(SUBSTITUTE(SUBSTITUTE("type:"&amp;B1952,"%","%25"),"~","%7E"),"*","%2A"),"?","%3F")))&gt;1,"Duplicate type",IF(INDEX('Rules'!$F$7:$F$26,MATCH(SUBSTITUTE(SUBSTITUTE(SUBSTITUTE(SUBSTITUTE("type:"&amp;B1952,"%","%25"),"~","%7E"),"*","%2A"),"?","%3F"),'Rules'!$G$7:$G$26,0))&lt;&gt;"",INDEX('Rules'!$F$7:$F$26,MATCH(SUBSTITUTE(SUBSTITUTE(SUBSTITUTE(SUBSTITUTE("type:"&amp;B1952,"%","%25"),"~","%7E"),"*","%2A"),"?","%3F"),'Rules'!$G$7:$G$26,0)),IF(AND(C1952&lt;&gt;"",C1952&lt;&gt;INDEX('Rules'!$B$7:$B$26,MATCH(SUBSTITUTE(SUBSTITUTE(SUBSTITUTE(SUBSTITUTE("type:"&amp;B1952,"%","%25"),"~","%7E"),"*","%2A"),"?","%3F"),'Rules'!$G$7:$G$26,0))),"Unit mismatch",IF(IF(NOT(ISNUMBER(D1952)),TRUE,OR(D1952&lt;0,D1952&gt;999999999,ROUND(D1952,3)&lt;&gt;D1952)),"Invalid current reading",IF(AND(E1952&lt;&gt;"",IF(NOT(ISNUMBER(E1952)),TRUE,OR(E1952&lt;0,E1952&gt;999999999,ROUND(E1952,3)&lt;&gt;E1952))),"Invalid previous reading",IF(IF(NOT(ISNUMBER(F1952)),TRUE,OR(F1952&lt;0,F1952&gt;999999999,ROUND(F1952,3)&lt;&gt;F1952)),"Invalid last service",IF(AND(E1952&lt;&gt;"",D1952&lt;E1952),"Decreased reading",IF(F1952&gt;D1952,"Last service above current","")))))))))))))</x:f>
      </x:c>
      <x:c r="L1952" s="6" t="str">
        <x:f>IF(AND(NOT(COUNTA(A1952:F1952)=0),K1952=""),INDEX('Rules'!$C$7:$C$26,MATCH(SUBSTITUTE(SUBSTITUTE(SUBSTITUTE(SUBSTITUTE("type:"&amp;B1952,"%","%25"),"~","%7E"),"*","%2A"),"?","%3F"),'Rules'!$G$7:$G$26,0)),"")</x:f>
      </x:c>
      <x:c r="M1952" s="6" t="str">
        <x:f>IF(AND(NOT(COUNTA(A1952:F1952)=0),K1952=""),INDEX('Rules'!$D$7:$D$26,MATCH(SUBSTITUTE(SUBSTITUTE(SUBSTITUTE(SUBSTITUTE("type:"&amp;B1952,"%","%25"),"~","%7E"),"*","%2A"),"?","%3F"),'Rules'!$G$7:$G$26,0)),"")</x:f>
      </x:c>
      <x:c r="N1952" s="5" t="str">
        <x:f>IF(COUNTA(A1952:F1952)=0,"",SUBSTITUTE(SUBSTITUTE(SUBSTITUTE(SUBSTITUTE("id:"&amp;A1952,"%","%25"),"~","%7E"),"*","%2A"),"?","%3F"))</x:f>
      </x:c>
    </x:row>
    <x:row r="1953" ht="22" customHeight="1">
      <x:c r="A1953" s="3"/>
      <x:c r="B1953" s="3"/>
      <x:c r="C1953" s="3"/>
      <x:c r="D1953" s="4"/>
      <x:c r="E1953" s="4"/>
      <x:c r="F1953" s="4"/>
      <x:c r="G1953" s="5" t="str">
        <x:f>IF(COUNTA(A1953:F1953)=0,"",IF(K1953&lt;&gt;"","Review",IF(I1953&lt;0,"Overdue",IF(I1953=0,"Due now",IF(I1953&lt;=M1953,"Due soon","Not due")))))</x:f>
      </x:c>
      <x:c r="H1953" s="5" t="str">
        <x:f>IF(OR(COUNTA(A1953:F1953)=0,COUNTIFS('Rules'!$G$7:$G$26,"="&amp;(SUBSTITUTE(SUBSTITUTE(SUBSTITUTE(SUBSTITUTE("type:"&amp;B1953,"%","%25"),"~","%7E"),"*","%2A"),"?","%3F")))&lt;&gt;1),"",IF(OR(INDEX('Rules'!$B$7:$B$26,MATCH(SUBSTITUTE(SUBSTITUTE(SUBSTITUTE(SUBSTITUTE("type:"&amp;B1953,"%","%25"),"~","%7E"),"*","%2A"),"?","%3F"),'Rules'!$G$7:$G$26,0))="hours",INDEX('Rules'!$B$7:$B$26,MATCH(SUBSTITUTE(SUBSTITUTE(SUBSTITUTE(SUBSTITUTE("type:"&amp;B1953,"%","%25"),"~","%7E"),"*","%2A"),"?","%3F"),'Rules'!$G$7:$G$26,0))="km"),INDEX('Rules'!$B$7:$B$26,MATCH(SUBSTITUTE(SUBSTITUTE(SUBSTITUTE(SUBSTITUTE("type:"&amp;B1953,"%","%25"),"~","%7E"),"*","%2A"),"?","%3F"),'Rules'!$G$7:$G$26,0)),""))</x:f>
      </x:c>
      <x:c r="I1953" s="6" t="str">
        <x:f>IF(AND(NOT(COUNTA(A1953:F1953)=0),K1953=""),ROUND(J1953-D1953,3),"")</x:f>
      </x:c>
      <x:c r="J1953" s="6" t="str">
        <x:f>IF(AND(NOT(COUNTA(A1953:F1953)=0),K1953=""),ROUND(F1953+L1953,3),"")</x:f>
      </x:c>
      <x:c r="K1953" s="5" t="str">
        <x:f>IF(COUNTA(A1953:F1953)=0,"",IF(A1953="","Missing equipment ID",IF(COUNTIFS($N$8:$N$2007,"="&amp;N1953)&gt;1,"Duplicate equipment ID",IF(B1953="","Missing type",IF(COUNTIFS('Rules'!$G$7:$G$26,"="&amp;(SUBSTITUTE(SUBSTITUTE(SUBSTITUTE(SUBSTITUTE("type:"&amp;B1953,"%","%25"),"~","%7E"),"*","%2A"),"?","%3F")))=0,"Unknown type",IF(COUNTIFS('Rules'!$G$7:$G$26,"="&amp;(SUBSTITUTE(SUBSTITUTE(SUBSTITUTE(SUBSTITUTE("type:"&amp;B1953,"%","%25"),"~","%7E"),"*","%2A"),"?","%3F")))&gt;1,"Duplicate type",IF(INDEX('Rules'!$F$7:$F$26,MATCH(SUBSTITUTE(SUBSTITUTE(SUBSTITUTE(SUBSTITUTE("type:"&amp;B1953,"%","%25"),"~","%7E"),"*","%2A"),"?","%3F"),'Rules'!$G$7:$G$26,0))&lt;&gt;"",INDEX('Rules'!$F$7:$F$26,MATCH(SUBSTITUTE(SUBSTITUTE(SUBSTITUTE(SUBSTITUTE("type:"&amp;B1953,"%","%25"),"~","%7E"),"*","%2A"),"?","%3F"),'Rules'!$G$7:$G$26,0)),IF(AND(C1953&lt;&gt;"",C1953&lt;&gt;INDEX('Rules'!$B$7:$B$26,MATCH(SUBSTITUTE(SUBSTITUTE(SUBSTITUTE(SUBSTITUTE("type:"&amp;B1953,"%","%25"),"~","%7E"),"*","%2A"),"?","%3F"),'Rules'!$G$7:$G$26,0))),"Unit mismatch",IF(IF(NOT(ISNUMBER(D1953)),TRUE,OR(D1953&lt;0,D1953&gt;999999999,ROUND(D1953,3)&lt;&gt;D1953)),"Invalid current reading",IF(AND(E1953&lt;&gt;"",IF(NOT(ISNUMBER(E1953)),TRUE,OR(E1953&lt;0,E1953&gt;999999999,ROUND(E1953,3)&lt;&gt;E1953))),"Invalid previous reading",IF(IF(NOT(ISNUMBER(F1953)),TRUE,OR(F1953&lt;0,F1953&gt;999999999,ROUND(F1953,3)&lt;&gt;F1953)),"Invalid last service",IF(AND(E1953&lt;&gt;"",D1953&lt;E1953),"Decreased reading",IF(F1953&gt;D1953,"Last service above current","")))))))))))))</x:f>
      </x:c>
      <x:c r="L1953" s="6" t="str">
        <x:f>IF(AND(NOT(COUNTA(A1953:F1953)=0),K1953=""),INDEX('Rules'!$C$7:$C$26,MATCH(SUBSTITUTE(SUBSTITUTE(SUBSTITUTE(SUBSTITUTE("type:"&amp;B1953,"%","%25"),"~","%7E"),"*","%2A"),"?","%3F"),'Rules'!$G$7:$G$26,0)),"")</x:f>
      </x:c>
      <x:c r="M1953" s="6" t="str">
        <x:f>IF(AND(NOT(COUNTA(A1953:F1953)=0),K1953=""),INDEX('Rules'!$D$7:$D$26,MATCH(SUBSTITUTE(SUBSTITUTE(SUBSTITUTE(SUBSTITUTE("type:"&amp;B1953,"%","%25"),"~","%7E"),"*","%2A"),"?","%3F"),'Rules'!$G$7:$G$26,0)),"")</x:f>
      </x:c>
      <x:c r="N1953" s="5" t="str">
        <x:f>IF(COUNTA(A1953:F1953)=0,"",SUBSTITUTE(SUBSTITUTE(SUBSTITUTE(SUBSTITUTE("id:"&amp;A1953,"%","%25"),"~","%7E"),"*","%2A"),"?","%3F"))</x:f>
      </x:c>
    </x:row>
    <x:row r="1954" ht="22" customHeight="1">
      <x:c r="A1954" s="3"/>
      <x:c r="B1954" s="3"/>
      <x:c r="C1954" s="3"/>
      <x:c r="D1954" s="4"/>
      <x:c r="E1954" s="4"/>
      <x:c r="F1954" s="4"/>
      <x:c r="G1954" s="5" t="str">
        <x:f>IF(COUNTA(A1954:F1954)=0,"",IF(K1954&lt;&gt;"","Review",IF(I1954&lt;0,"Overdue",IF(I1954=0,"Due now",IF(I1954&lt;=M1954,"Due soon","Not due")))))</x:f>
      </x:c>
      <x:c r="H1954" s="5" t="str">
        <x:f>IF(OR(COUNTA(A1954:F1954)=0,COUNTIFS('Rules'!$G$7:$G$26,"="&amp;(SUBSTITUTE(SUBSTITUTE(SUBSTITUTE(SUBSTITUTE("type:"&amp;B1954,"%","%25"),"~","%7E"),"*","%2A"),"?","%3F")))&lt;&gt;1),"",IF(OR(INDEX('Rules'!$B$7:$B$26,MATCH(SUBSTITUTE(SUBSTITUTE(SUBSTITUTE(SUBSTITUTE("type:"&amp;B1954,"%","%25"),"~","%7E"),"*","%2A"),"?","%3F"),'Rules'!$G$7:$G$26,0))="hours",INDEX('Rules'!$B$7:$B$26,MATCH(SUBSTITUTE(SUBSTITUTE(SUBSTITUTE(SUBSTITUTE("type:"&amp;B1954,"%","%25"),"~","%7E"),"*","%2A"),"?","%3F"),'Rules'!$G$7:$G$26,0))="km"),INDEX('Rules'!$B$7:$B$26,MATCH(SUBSTITUTE(SUBSTITUTE(SUBSTITUTE(SUBSTITUTE("type:"&amp;B1954,"%","%25"),"~","%7E"),"*","%2A"),"?","%3F"),'Rules'!$G$7:$G$26,0)),""))</x:f>
      </x:c>
      <x:c r="I1954" s="6" t="str">
        <x:f>IF(AND(NOT(COUNTA(A1954:F1954)=0),K1954=""),ROUND(J1954-D1954,3),"")</x:f>
      </x:c>
      <x:c r="J1954" s="6" t="str">
        <x:f>IF(AND(NOT(COUNTA(A1954:F1954)=0),K1954=""),ROUND(F1954+L1954,3),"")</x:f>
      </x:c>
      <x:c r="K1954" s="5" t="str">
        <x:f>IF(COUNTA(A1954:F1954)=0,"",IF(A1954="","Missing equipment ID",IF(COUNTIFS($N$8:$N$2007,"="&amp;N1954)&gt;1,"Duplicate equipment ID",IF(B1954="","Missing type",IF(COUNTIFS('Rules'!$G$7:$G$26,"="&amp;(SUBSTITUTE(SUBSTITUTE(SUBSTITUTE(SUBSTITUTE("type:"&amp;B1954,"%","%25"),"~","%7E"),"*","%2A"),"?","%3F")))=0,"Unknown type",IF(COUNTIFS('Rules'!$G$7:$G$26,"="&amp;(SUBSTITUTE(SUBSTITUTE(SUBSTITUTE(SUBSTITUTE("type:"&amp;B1954,"%","%25"),"~","%7E"),"*","%2A"),"?","%3F")))&gt;1,"Duplicate type",IF(INDEX('Rules'!$F$7:$F$26,MATCH(SUBSTITUTE(SUBSTITUTE(SUBSTITUTE(SUBSTITUTE("type:"&amp;B1954,"%","%25"),"~","%7E"),"*","%2A"),"?","%3F"),'Rules'!$G$7:$G$26,0))&lt;&gt;"",INDEX('Rules'!$F$7:$F$26,MATCH(SUBSTITUTE(SUBSTITUTE(SUBSTITUTE(SUBSTITUTE("type:"&amp;B1954,"%","%25"),"~","%7E"),"*","%2A"),"?","%3F"),'Rules'!$G$7:$G$26,0)),IF(AND(C1954&lt;&gt;"",C1954&lt;&gt;INDEX('Rules'!$B$7:$B$26,MATCH(SUBSTITUTE(SUBSTITUTE(SUBSTITUTE(SUBSTITUTE("type:"&amp;B1954,"%","%25"),"~","%7E"),"*","%2A"),"?","%3F"),'Rules'!$G$7:$G$26,0))),"Unit mismatch",IF(IF(NOT(ISNUMBER(D1954)),TRUE,OR(D1954&lt;0,D1954&gt;999999999,ROUND(D1954,3)&lt;&gt;D1954)),"Invalid current reading",IF(AND(E1954&lt;&gt;"",IF(NOT(ISNUMBER(E1954)),TRUE,OR(E1954&lt;0,E1954&gt;999999999,ROUND(E1954,3)&lt;&gt;E1954))),"Invalid previous reading",IF(IF(NOT(ISNUMBER(F1954)),TRUE,OR(F1954&lt;0,F1954&gt;999999999,ROUND(F1954,3)&lt;&gt;F1954)),"Invalid last service",IF(AND(E1954&lt;&gt;"",D1954&lt;E1954),"Decreased reading",IF(F1954&gt;D1954,"Last service above current","")))))))))))))</x:f>
      </x:c>
      <x:c r="L1954" s="6" t="str">
        <x:f>IF(AND(NOT(COUNTA(A1954:F1954)=0),K1954=""),INDEX('Rules'!$C$7:$C$26,MATCH(SUBSTITUTE(SUBSTITUTE(SUBSTITUTE(SUBSTITUTE("type:"&amp;B1954,"%","%25"),"~","%7E"),"*","%2A"),"?","%3F"),'Rules'!$G$7:$G$26,0)),"")</x:f>
      </x:c>
      <x:c r="M1954" s="6" t="str">
        <x:f>IF(AND(NOT(COUNTA(A1954:F1954)=0),K1954=""),INDEX('Rules'!$D$7:$D$26,MATCH(SUBSTITUTE(SUBSTITUTE(SUBSTITUTE(SUBSTITUTE("type:"&amp;B1954,"%","%25"),"~","%7E"),"*","%2A"),"?","%3F"),'Rules'!$G$7:$G$26,0)),"")</x:f>
      </x:c>
      <x:c r="N1954" s="5" t="str">
        <x:f>IF(COUNTA(A1954:F1954)=0,"",SUBSTITUTE(SUBSTITUTE(SUBSTITUTE(SUBSTITUTE("id:"&amp;A1954,"%","%25"),"~","%7E"),"*","%2A"),"?","%3F"))</x:f>
      </x:c>
    </x:row>
    <x:row r="1955" ht="22" customHeight="1">
      <x:c r="A1955" s="3"/>
      <x:c r="B1955" s="3"/>
      <x:c r="C1955" s="3"/>
      <x:c r="D1955" s="4"/>
      <x:c r="E1955" s="4"/>
      <x:c r="F1955" s="4"/>
      <x:c r="G1955" s="5" t="str">
        <x:f>IF(COUNTA(A1955:F1955)=0,"",IF(K1955&lt;&gt;"","Review",IF(I1955&lt;0,"Overdue",IF(I1955=0,"Due now",IF(I1955&lt;=M1955,"Due soon","Not due")))))</x:f>
      </x:c>
      <x:c r="H1955" s="5" t="str">
        <x:f>IF(OR(COUNTA(A1955:F1955)=0,COUNTIFS('Rules'!$G$7:$G$26,"="&amp;(SUBSTITUTE(SUBSTITUTE(SUBSTITUTE(SUBSTITUTE("type:"&amp;B1955,"%","%25"),"~","%7E"),"*","%2A"),"?","%3F")))&lt;&gt;1),"",IF(OR(INDEX('Rules'!$B$7:$B$26,MATCH(SUBSTITUTE(SUBSTITUTE(SUBSTITUTE(SUBSTITUTE("type:"&amp;B1955,"%","%25"),"~","%7E"),"*","%2A"),"?","%3F"),'Rules'!$G$7:$G$26,0))="hours",INDEX('Rules'!$B$7:$B$26,MATCH(SUBSTITUTE(SUBSTITUTE(SUBSTITUTE(SUBSTITUTE("type:"&amp;B1955,"%","%25"),"~","%7E"),"*","%2A"),"?","%3F"),'Rules'!$G$7:$G$26,0))="km"),INDEX('Rules'!$B$7:$B$26,MATCH(SUBSTITUTE(SUBSTITUTE(SUBSTITUTE(SUBSTITUTE("type:"&amp;B1955,"%","%25"),"~","%7E"),"*","%2A"),"?","%3F"),'Rules'!$G$7:$G$26,0)),""))</x:f>
      </x:c>
      <x:c r="I1955" s="6" t="str">
        <x:f>IF(AND(NOT(COUNTA(A1955:F1955)=0),K1955=""),ROUND(J1955-D1955,3),"")</x:f>
      </x:c>
      <x:c r="J1955" s="6" t="str">
        <x:f>IF(AND(NOT(COUNTA(A1955:F1955)=0),K1955=""),ROUND(F1955+L1955,3),"")</x:f>
      </x:c>
      <x:c r="K1955" s="5" t="str">
        <x:f>IF(COUNTA(A1955:F1955)=0,"",IF(A1955="","Missing equipment ID",IF(COUNTIFS($N$8:$N$2007,"="&amp;N1955)&gt;1,"Duplicate equipment ID",IF(B1955="","Missing type",IF(COUNTIFS('Rules'!$G$7:$G$26,"="&amp;(SUBSTITUTE(SUBSTITUTE(SUBSTITUTE(SUBSTITUTE("type:"&amp;B1955,"%","%25"),"~","%7E"),"*","%2A"),"?","%3F")))=0,"Unknown type",IF(COUNTIFS('Rules'!$G$7:$G$26,"="&amp;(SUBSTITUTE(SUBSTITUTE(SUBSTITUTE(SUBSTITUTE("type:"&amp;B1955,"%","%25"),"~","%7E"),"*","%2A"),"?","%3F")))&gt;1,"Duplicate type",IF(INDEX('Rules'!$F$7:$F$26,MATCH(SUBSTITUTE(SUBSTITUTE(SUBSTITUTE(SUBSTITUTE("type:"&amp;B1955,"%","%25"),"~","%7E"),"*","%2A"),"?","%3F"),'Rules'!$G$7:$G$26,0))&lt;&gt;"",INDEX('Rules'!$F$7:$F$26,MATCH(SUBSTITUTE(SUBSTITUTE(SUBSTITUTE(SUBSTITUTE("type:"&amp;B1955,"%","%25"),"~","%7E"),"*","%2A"),"?","%3F"),'Rules'!$G$7:$G$26,0)),IF(AND(C1955&lt;&gt;"",C1955&lt;&gt;INDEX('Rules'!$B$7:$B$26,MATCH(SUBSTITUTE(SUBSTITUTE(SUBSTITUTE(SUBSTITUTE("type:"&amp;B1955,"%","%25"),"~","%7E"),"*","%2A"),"?","%3F"),'Rules'!$G$7:$G$26,0))),"Unit mismatch",IF(IF(NOT(ISNUMBER(D1955)),TRUE,OR(D1955&lt;0,D1955&gt;999999999,ROUND(D1955,3)&lt;&gt;D1955)),"Invalid current reading",IF(AND(E1955&lt;&gt;"",IF(NOT(ISNUMBER(E1955)),TRUE,OR(E1955&lt;0,E1955&gt;999999999,ROUND(E1955,3)&lt;&gt;E1955))),"Invalid previous reading",IF(IF(NOT(ISNUMBER(F1955)),TRUE,OR(F1955&lt;0,F1955&gt;999999999,ROUND(F1955,3)&lt;&gt;F1955)),"Invalid last service",IF(AND(E1955&lt;&gt;"",D1955&lt;E1955),"Decreased reading",IF(F1955&gt;D1955,"Last service above current","")))))))))))))</x:f>
      </x:c>
      <x:c r="L1955" s="6" t="str">
        <x:f>IF(AND(NOT(COUNTA(A1955:F1955)=0),K1955=""),INDEX('Rules'!$C$7:$C$26,MATCH(SUBSTITUTE(SUBSTITUTE(SUBSTITUTE(SUBSTITUTE("type:"&amp;B1955,"%","%25"),"~","%7E"),"*","%2A"),"?","%3F"),'Rules'!$G$7:$G$26,0)),"")</x:f>
      </x:c>
      <x:c r="M1955" s="6" t="str">
        <x:f>IF(AND(NOT(COUNTA(A1955:F1955)=0),K1955=""),INDEX('Rules'!$D$7:$D$26,MATCH(SUBSTITUTE(SUBSTITUTE(SUBSTITUTE(SUBSTITUTE("type:"&amp;B1955,"%","%25"),"~","%7E"),"*","%2A"),"?","%3F"),'Rules'!$G$7:$G$26,0)),"")</x:f>
      </x:c>
      <x:c r="N1955" s="5" t="str">
        <x:f>IF(COUNTA(A1955:F1955)=0,"",SUBSTITUTE(SUBSTITUTE(SUBSTITUTE(SUBSTITUTE("id:"&amp;A1955,"%","%25"),"~","%7E"),"*","%2A"),"?","%3F"))</x:f>
      </x:c>
    </x:row>
    <x:row r="1956" ht="22" customHeight="1">
      <x:c r="A1956" s="3"/>
      <x:c r="B1956" s="3"/>
      <x:c r="C1956" s="3"/>
      <x:c r="D1956" s="4"/>
      <x:c r="E1956" s="4"/>
      <x:c r="F1956" s="4"/>
      <x:c r="G1956" s="5" t="str">
        <x:f>IF(COUNTA(A1956:F1956)=0,"",IF(K1956&lt;&gt;"","Review",IF(I1956&lt;0,"Overdue",IF(I1956=0,"Due now",IF(I1956&lt;=M1956,"Due soon","Not due")))))</x:f>
      </x:c>
      <x:c r="H1956" s="5" t="str">
        <x:f>IF(OR(COUNTA(A1956:F1956)=0,COUNTIFS('Rules'!$G$7:$G$26,"="&amp;(SUBSTITUTE(SUBSTITUTE(SUBSTITUTE(SUBSTITUTE("type:"&amp;B1956,"%","%25"),"~","%7E"),"*","%2A"),"?","%3F")))&lt;&gt;1),"",IF(OR(INDEX('Rules'!$B$7:$B$26,MATCH(SUBSTITUTE(SUBSTITUTE(SUBSTITUTE(SUBSTITUTE("type:"&amp;B1956,"%","%25"),"~","%7E"),"*","%2A"),"?","%3F"),'Rules'!$G$7:$G$26,0))="hours",INDEX('Rules'!$B$7:$B$26,MATCH(SUBSTITUTE(SUBSTITUTE(SUBSTITUTE(SUBSTITUTE("type:"&amp;B1956,"%","%25"),"~","%7E"),"*","%2A"),"?","%3F"),'Rules'!$G$7:$G$26,0))="km"),INDEX('Rules'!$B$7:$B$26,MATCH(SUBSTITUTE(SUBSTITUTE(SUBSTITUTE(SUBSTITUTE("type:"&amp;B1956,"%","%25"),"~","%7E"),"*","%2A"),"?","%3F"),'Rules'!$G$7:$G$26,0)),""))</x:f>
      </x:c>
      <x:c r="I1956" s="6" t="str">
        <x:f>IF(AND(NOT(COUNTA(A1956:F1956)=0),K1956=""),ROUND(J1956-D1956,3),"")</x:f>
      </x:c>
      <x:c r="J1956" s="6" t="str">
        <x:f>IF(AND(NOT(COUNTA(A1956:F1956)=0),K1956=""),ROUND(F1956+L1956,3),"")</x:f>
      </x:c>
      <x:c r="K1956" s="5" t="str">
        <x:f>IF(COUNTA(A1956:F1956)=0,"",IF(A1956="","Missing equipment ID",IF(COUNTIFS($N$8:$N$2007,"="&amp;N1956)&gt;1,"Duplicate equipment ID",IF(B1956="","Missing type",IF(COUNTIFS('Rules'!$G$7:$G$26,"="&amp;(SUBSTITUTE(SUBSTITUTE(SUBSTITUTE(SUBSTITUTE("type:"&amp;B1956,"%","%25"),"~","%7E"),"*","%2A"),"?","%3F")))=0,"Unknown type",IF(COUNTIFS('Rules'!$G$7:$G$26,"="&amp;(SUBSTITUTE(SUBSTITUTE(SUBSTITUTE(SUBSTITUTE("type:"&amp;B1956,"%","%25"),"~","%7E"),"*","%2A"),"?","%3F")))&gt;1,"Duplicate type",IF(INDEX('Rules'!$F$7:$F$26,MATCH(SUBSTITUTE(SUBSTITUTE(SUBSTITUTE(SUBSTITUTE("type:"&amp;B1956,"%","%25"),"~","%7E"),"*","%2A"),"?","%3F"),'Rules'!$G$7:$G$26,0))&lt;&gt;"",INDEX('Rules'!$F$7:$F$26,MATCH(SUBSTITUTE(SUBSTITUTE(SUBSTITUTE(SUBSTITUTE("type:"&amp;B1956,"%","%25"),"~","%7E"),"*","%2A"),"?","%3F"),'Rules'!$G$7:$G$26,0)),IF(AND(C1956&lt;&gt;"",C1956&lt;&gt;INDEX('Rules'!$B$7:$B$26,MATCH(SUBSTITUTE(SUBSTITUTE(SUBSTITUTE(SUBSTITUTE("type:"&amp;B1956,"%","%25"),"~","%7E"),"*","%2A"),"?","%3F"),'Rules'!$G$7:$G$26,0))),"Unit mismatch",IF(IF(NOT(ISNUMBER(D1956)),TRUE,OR(D1956&lt;0,D1956&gt;999999999,ROUND(D1956,3)&lt;&gt;D1956)),"Invalid current reading",IF(AND(E1956&lt;&gt;"",IF(NOT(ISNUMBER(E1956)),TRUE,OR(E1956&lt;0,E1956&gt;999999999,ROUND(E1956,3)&lt;&gt;E1956))),"Invalid previous reading",IF(IF(NOT(ISNUMBER(F1956)),TRUE,OR(F1956&lt;0,F1956&gt;999999999,ROUND(F1956,3)&lt;&gt;F1956)),"Invalid last service",IF(AND(E1956&lt;&gt;"",D1956&lt;E1956),"Decreased reading",IF(F1956&gt;D1956,"Last service above current","")))))))))))))</x:f>
      </x:c>
      <x:c r="L1956" s="6" t="str">
        <x:f>IF(AND(NOT(COUNTA(A1956:F1956)=0),K1956=""),INDEX('Rules'!$C$7:$C$26,MATCH(SUBSTITUTE(SUBSTITUTE(SUBSTITUTE(SUBSTITUTE("type:"&amp;B1956,"%","%25"),"~","%7E"),"*","%2A"),"?","%3F"),'Rules'!$G$7:$G$26,0)),"")</x:f>
      </x:c>
      <x:c r="M1956" s="6" t="str">
        <x:f>IF(AND(NOT(COUNTA(A1956:F1956)=0),K1956=""),INDEX('Rules'!$D$7:$D$26,MATCH(SUBSTITUTE(SUBSTITUTE(SUBSTITUTE(SUBSTITUTE("type:"&amp;B1956,"%","%25"),"~","%7E"),"*","%2A"),"?","%3F"),'Rules'!$G$7:$G$26,0)),"")</x:f>
      </x:c>
      <x:c r="N1956" s="5" t="str">
        <x:f>IF(COUNTA(A1956:F1956)=0,"",SUBSTITUTE(SUBSTITUTE(SUBSTITUTE(SUBSTITUTE("id:"&amp;A1956,"%","%25"),"~","%7E"),"*","%2A"),"?","%3F"))</x:f>
      </x:c>
    </x:row>
    <x:row r="1957" ht="22" customHeight="1">
      <x:c r="A1957" s="3"/>
      <x:c r="B1957" s="3"/>
      <x:c r="C1957" s="3"/>
      <x:c r="D1957" s="4"/>
      <x:c r="E1957" s="4"/>
      <x:c r="F1957" s="4"/>
      <x:c r="G1957" s="5" t="str">
        <x:f>IF(COUNTA(A1957:F1957)=0,"",IF(K1957&lt;&gt;"","Review",IF(I1957&lt;0,"Overdue",IF(I1957=0,"Due now",IF(I1957&lt;=M1957,"Due soon","Not due")))))</x:f>
      </x:c>
      <x:c r="H1957" s="5" t="str">
        <x:f>IF(OR(COUNTA(A1957:F1957)=0,COUNTIFS('Rules'!$G$7:$G$26,"="&amp;(SUBSTITUTE(SUBSTITUTE(SUBSTITUTE(SUBSTITUTE("type:"&amp;B1957,"%","%25"),"~","%7E"),"*","%2A"),"?","%3F")))&lt;&gt;1),"",IF(OR(INDEX('Rules'!$B$7:$B$26,MATCH(SUBSTITUTE(SUBSTITUTE(SUBSTITUTE(SUBSTITUTE("type:"&amp;B1957,"%","%25"),"~","%7E"),"*","%2A"),"?","%3F"),'Rules'!$G$7:$G$26,0))="hours",INDEX('Rules'!$B$7:$B$26,MATCH(SUBSTITUTE(SUBSTITUTE(SUBSTITUTE(SUBSTITUTE("type:"&amp;B1957,"%","%25"),"~","%7E"),"*","%2A"),"?","%3F"),'Rules'!$G$7:$G$26,0))="km"),INDEX('Rules'!$B$7:$B$26,MATCH(SUBSTITUTE(SUBSTITUTE(SUBSTITUTE(SUBSTITUTE("type:"&amp;B1957,"%","%25"),"~","%7E"),"*","%2A"),"?","%3F"),'Rules'!$G$7:$G$26,0)),""))</x:f>
      </x:c>
      <x:c r="I1957" s="6" t="str">
        <x:f>IF(AND(NOT(COUNTA(A1957:F1957)=0),K1957=""),ROUND(J1957-D1957,3),"")</x:f>
      </x:c>
      <x:c r="J1957" s="6" t="str">
        <x:f>IF(AND(NOT(COUNTA(A1957:F1957)=0),K1957=""),ROUND(F1957+L1957,3),"")</x:f>
      </x:c>
      <x:c r="K1957" s="5" t="str">
        <x:f>IF(COUNTA(A1957:F1957)=0,"",IF(A1957="","Missing equipment ID",IF(COUNTIFS($N$8:$N$2007,"="&amp;N1957)&gt;1,"Duplicate equipment ID",IF(B1957="","Missing type",IF(COUNTIFS('Rules'!$G$7:$G$26,"="&amp;(SUBSTITUTE(SUBSTITUTE(SUBSTITUTE(SUBSTITUTE("type:"&amp;B1957,"%","%25"),"~","%7E"),"*","%2A"),"?","%3F")))=0,"Unknown type",IF(COUNTIFS('Rules'!$G$7:$G$26,"="&amp;(SUBSTITUTE(SUBSTITUTE(SUBSTITUTE(SUBSTITUTE("type:"&amp;B1957,"%","%25"),"~","%7E"),"*","%2A"),"?","%3F")))&gt;1,"Duplicate type",IF(INDEX('Rules'!$F$7:$F$26,MATCH(SUBSTITUTE(SUBSTITUTE(SUBSTITUTE(SUBSTITUTE("type:"&amp;B1957,"%","%25"),"~","%7E"),"*","%2A"),"?","%3F"),'Rules'!$G$7:$G$26,0))&lt;&gt;"",INDEX('Rules'!$F$7:$F$26,MATCH(SUBSTITUTE(SUBSTITUTE(SUBSTITUTE(SUBSTITUTE("type:"&amp;B1957,"%","%25"),"~","%7E"),"*","%2A"),"?","%3F"),'Rules'!$G$7:$G$26,0)),IF(AND(C1957&lt;&gt;"",C1957&lt;&gt;INDEX('Rules'!$B$7:$B$26,MATCH(SUBSTITUTE(SUBSTITUTE(SUBSTITUTE(SUBSTITUTE("type:"&amp;B1957,"%","%25"),"~","%7E"),"*","%2A"),"?","%3F"),'Rules'!$G$7:$G$26,0))),"Unit mismatch",IF(IF(NOT(ISNUMBER(D1957)),TRUE,OR(D1957&lt;0,D1957&gt;999999999,ROUND(D1957,3)&lt;&gt;D1957)),"Invalid current reading",IF(AND(E1957&lt;&gt;"",IF(NOT(ISNUMBER(E1957)),TRUE,OR(E1957&lt;0,E1957&gt;999999999,ROUND(E1957,3)&lt;&gt;E1957))),"Invalid previous reading",IF(IF(NOT(ISNUMBER(F1957)),TRUE,OR(F1957&lt;0,F1957&gt;999999999,ROUND(F1957,3)&lt;&gt;F1957)),"Invalid last service",IF(AND(E1957&lt;&gt;"",D1957&lt;E1957),"Decreased reading",IF(F1957&gt;D1957,"Last service above current","")))))))))))))</x:f>
      </x:c>
      <x:c r="L1957" s="6" t="str">
        <x:f>IF(AND(NOT(COUNTA(A1957:F1957)=0),K1957=""),INDEX('Rules'!$C$7:$C$26,MATCH(SUBSTITUTE(SUBSTITUTE(SUBSTITUTE(SUBSTITUTE("type:"&amp;B1957,"%","%25"),"~","%7E"),"*","%2A"),"?","%3F"),'Rules'!$G$7:$G$26,0)),"")</x:f>
      </x:c>
      <x:c r="M1957" s="6" t="str">
        <x:f>IF(AND(NOT(COUNTA(A1957:F1957)=0),K1957=""),INDEX('Rules'!$D$7:$D$26,MATCH(SUBSTITUTE(SUBSTITUTE(SUBSTITUTE(SUBSTITUTE("type:"&amp;B1957,"%","%25"),"~","%7E"),"*","%2A"),"?","%3F"),'Rules'!$G$7:$G$26,0)),"")</x:f>
      </x:c>
      <x:c r="N1957" s="5" t="str">
        <x:f>IF(COUNTA(A1957:F1957)=0,"",SUBSTITUTE(SUBSTITUTE(SUBSTITUTE(SUBSTITUTE("id:"&amp;A1957,"%","%25"),"~","%7E"),"*","%2A"),"?","%3F"))</x:f>
      </x:c>
    </x:row>
    <x:row r="1958" ht="22" customHeight="1">
      <x:c r="A1958" s="3"/>
      <x:c r="B1958" s="3"/>
      <x:c r="C1958" s="3"/>
      <x:c r="D1958" s="4"/>
      <x:c r="E1958" s="4"/>
      <x:c r="F1958" s="4"/>
      <x:c r="G1958" s="5" t="str">
        <x:f>IF(COUNTA(A1958:F1958)=0,"",IF(K1958&lt;&gt;"","Review",IF(I1958&lt;0,"Overdue",IF(I1958=0,"Due now",IF(I1958&lt;=M1958,"Due soon","Not due")))))</x:f>
      </x:c>
      <x:c r="H1958" s="5" t="str">
        <x:f>IF(OR(COUNTA(A1958:F1958)=0,COUNTIFS('Rules'!$G$7:$G$26,"="&amp;(SUBSTITUTE(SUBSTITUTE(SUBSTITUTE(SUBSTITUTE("type:"&amp;B1958,"%","%25"),"~","%7E"),"*","%2A"),"?","%3F")))&lt;&gt;1),"",IF(OR(INDEX('Rules'!$B$7:$B$26,MATCH(SUBSTITUTE(SUBSTITUTE(SUBSTITUTE(SUBSTITUTE("type:"&amp;B1958,"%","%25"),"~","%7E"),"*","%2A"),"?","%3F"),'Rules'!$G$7:$G$26,0))="hours",INDEX('Rules'!$B$7:$B$26,MATCH(SUBSTITUTE(SUBSTITUTE(SUBSTITUTE(SUBSTITUTE("type:"&amp;B1958,"%","%25"),"~","%7E"),"*","%2A"),"?","%3F"),'Rules'!$G$7:$G$26,0))="km"),INDEX('Rules'!$B$7:$B$26,MATCH(SUBSTITUTE(SUBSTITUTE(SUBSTITUTE(SUBSTITUTE("type:"&amp;B1958,"%","%25"),"~","%7E"),"*","%2A"),"?","%3F"),'Rules'!$G$7:$G$26,0)),""))</x:f>
      </x:c>
      <x:c r="I1958" s="6" t="str">
        <x:f>IF(AND(NOT(COUNTA(A1958:F1958)=0),K1958=""),ROUND(J1958-D1958,3),"")</x:f>
      </x:c>
      <x:c r="J1958" s="6" t="str">
        <x:f>IF(AND(NOT(COUNTA(A1958:F1958)=0),K1958=""),ROUND(F1958+L1958,3),"")</x:f>
      </x:c>
      <x:c r="K1958" s="5" t="str">
        <x:f>IF(COUNTA(A1958:F1958)=0,"",IF(A1958="","Missing equipment ID",IF(COUNTIFS($N$8:$N$2007,"="&amp;N1958)&gt;1,"Duplicate equipment ID",IF(B1958="","Missing type",IF(COUNTIFS('Rules'!$G$7:$G$26,"="&amp;(SUBSTITUTE(SUBSTITUTE(SUBSTITUTE(SUBSTITUTE("type:"&amp;B1958,"%","%25"),"~","%7E"),"*","%2A"),"?","%3F")))=0,"Unknown type",IF(COUNTIFS('Rules'!$G$7:$G$26,"="&amp;(SUBSTITUTE(SUBSTITUTE(SUBSTITUTE(SUBSTITUTE("type:"&amp;B1958,"%","%25"),"~","%7E"),"*","%2A"),"?","%3F")))&gt;1,"Duplicate type",IF(INDEX('Rules'!$F$7:$F$26,MATCH(SUBSTITUTE(SUBSTITUTE(SUBSTITUTE(SUBSTITUTE("type:"&amp;B1958,"%","%25"),"~","%7E"),"*","%2A"),"?","%3F"),'Rules'!$G$7:$G$26,0))&lt;&gt;"",INDEX('Rules'!$F$7:$F$26,MATCH(SUBSTITUTE(SUBSTITUTE(SUBSTITUTE(SUBSTITUTE("type:"&amp;B1958,"%","%25"),"~","%7E"),"*","%2A"),"?","%3F"),'Rules'!$G$7:$G$26,0)),IF(AND(C1958&lt;&gt;"",C1958&lt;&gt;INDEX('Rules'!$B$7:$B$26,MATCH(SUBSTITUTE(SUBSTITUTE(SUBSTITUTE(SUBSTITUTE("type:"&amp;B1958,"%","%25"),"~","%7E"),"*","%2A"),"?","%3F"),'Rules'!$G$7:$G$26,0))),"Unit mismatch",IF(IF(NOT(ISNUMBER(D1958)),TRUE,OR(D1958&lt;0,D1958&gt;999999999,ROUND(D1958,3)&lt;&gt;D1958)),"Invalid current reading",IF(AND(E1958&lt;&gt;"",IF(NOT(ISNUMBER(E1958)),TRUE,OR(E1958&lt;0,E1958&gt;999999999,ROUND(E1958,3)&lt;&gt;E1958))),"Invalid previous reading",IF(IF(NOT(ISNUMBER(F1958)),TRUE,OR(F1958&lt;0,F1958&gt;999999999,ROUND(F1958,3)&lt;&gt;F1958)),"Invalid last service",IF(AND(E1958&lt;&gt;"",D1958&lt;E1958),"Decreased reading",IF(F1958&gt;D1958,"Last service above current","")))))))))))))</x:f>
      </x:c>
      <x:c r="L1958" s="6" t="str">
        <x:f>IF(AND(NOT(COUNTA(A1958:F1958)=0),K1958=""),INDEX('Rules'!$C$7:$C$26,MATCH(SUBSTITUTE(SUBSTITUTE(SUBSTITUTE(SUBSTITUTE("type:"&amp;B1958,"%","%25"),"~","%7E"),"*","%2A"),"?","%3F"),'Rules'!$G$7:$G$26,0)),"")</x:f>
      </x:c>
      <x:c r="M1958" s="6" t="str">
        <x:f>IF(AND(NOT(COUNTA(A1958:F1958)=0),K1958=""),INDEX('Rules'!$D$7:$D$26,MATCH(SUBSTITUTE(SUBSTITUTE(SUBSTITUTE(SUBSTITUTE("type:"&amp;B1958,"%","%25"),"~","%7E"),"*","%2A"),"?","%3F"),'Rules'!$G$7:$G$26,0)),"")</x:f>
      </x:c>
      <x:c r="N1958" s="5" t="str">
        <x:f>IF(COUNTA(A1958:F1958)=0,"",SUBSTITUTE(SUBSTITUTE(SUBSTITUTE(SUBSTITUTE("id:"&amp;A1958,"%","%25"),"~","%7E"),"*","%2A"),"?","%3F"))</x:f>
      </x:c>
    </x:row>
    <x:row r="1959" ht="22" customHeight="1">
      <x:c r="A1959" s="3"/>
      <x:c r="B1959" s="3"/>
      <x:c r="C1959" s="3"/>
      <x:c r="D1959" s="4"/>
      <x:c r="E1959" s="4"/>
      <x:c r="F1959" s="4"/>
      <x:c r="G1959" s="5" t="str">
        <x:f>IF(COUNTA(A1959:F1959)=0,"",IF(K1959&lt;&gt;"","Review",IF(I1959&lt;0,"Overdue",IF(I1959=0,"Due now",IF(I1959&lt;=M1959,"Due soon","Not due")))))</x:f>
      </x:c>
      <x:c r="H1959" s="5" t="str">
        <x:f>IF(OR(COUNTA(A1959:F1959)=0,COUNTIFS('Rules'!$G$7:$G$26,"="&amp;(SUBSTITUTE(SUBSTITUTE(SUBSTITUTE(SUBSTITUTE("type:"&amp;B1959,"%","%25"),"~","%7E"),"*","%2A"),"?","%3F")))&lt;&gt;1),"",IF(OR(INDEX('Rules'!$B$7:$B$26,MATCH(SUBSTITUTE(SUBSTITUTE(SUBSTITUTE(SUBSTITUTE("type:"&amp;B1959,"%","%25"),"~","%7E"),"*","%2A"),"?","%3F"),'Rules'!$G$7:$G$26,0))="hours",INDEX('Rules'!$B$7:$B$26,MATCH(SUBSTITUTE(SUBSTITUTE(SUBSTITUTE(SUBSTITUTE("type:"&amp;B1959,"%","%25"),"~","%7E"),"*","%2A"),"?","%3F"),'Rules'!$G$7:$G$26,0))="km"),INDEX('Rules'!$B$7:$B$26,MATCH(SUBSTITUTE(SUBSTITUTE(SUBSTITUTE(SUBSTITUTE("type:"&amp;B1959,"%","%25"),"~","%7E"),"*","%2A"),"?","%3F"),'Rules'!$G$7:$G$26,0)),""))</x:f>
      </x:c>
      <x:c r="I1959" s="6" t="str">
        <x:f>IF(AND(NOT(COUNTA(A1959:F1959)=0),K1959=""),ROUND(J1959-D1959,3),"")</x:f>
      </x:c>
      <x:c r="J1959" s="6" t="str">
        <x:f>IF(AND(NOT(COUNTA(A1959:F1959)=0),K1959=""),ROUND(F1959+L1959,3),"")</x:f>
      </x:c>
      <x:c r="K1959" s="5" t="str">
        <x:f>IF(COUNTA(A1959:F1959)=0,"",IF(A1959="","Missing equipment ID",IF(COUNTIFS($N$8:$N$2007,"="&amp;N1959)&gt;1,"Duplicate equipment ID",IF(B1959="","Missing type",IF(COUNTIFS('Rules'!$G$7:$G$26,"="&amp;(SUBSTITUTE(SUBSTITUTE(SUBSTITUTE(SUBSTITUTE("type:"&amp;B1959,"%","%25"),"~","%7E"),"*","%2A"),"?","%3F")))=0,"Unknown type",IF(COUNTIFS('Rules'!$G$7:$G$26,"="&amp;(SUBSTITUTE(SUBSTITUTE(SUBSTITUTE(SUBSTITUTE("type:"&amp;B1959,"%","%25"),"~","%7E"),"*","%2A"),"?","%3F")))&gt;1,"Duplicate type",IF(INDEX('Rules'!$F$7:$F$26,MATCH(SUBSTITUTE(SUBSTITUTE(SUBSTITUTE(SUBSTITUTE("type:"&amp;B1959,"%","%25"),"~","%7E"),"*","%2A"),"?","%3F"),'Rules'!$G$7:$G$26,0))&lt;&gt;"",INDEX('Rules'!$F$7:$F$26,MATCH(SUBSTITUTE(SUBSTITUTE(SUBSTITUTE(SUBSTITUTE("type:"&amp;B1959,"%","%25"),"~","%7E"),"*","%2A"),"?","%3F"),'Rules'!$G$7:$G$26,0)),IF(AND(C1959&lt;&gt;"",C1959&lt;&gt;INDEX('Rules'!$B$7:$B$26,MATCH(SUBSTITUTE(SUBSTITUTE(SUBSTITUTE(SUBSTITUTE("type:"&amp;B1959,"%","%25"),"~","%7E"),"*","%2A"),"?","%3F"),'Rules'!$G$7:$G$26,0))),"Unit mismatch",IF(IF(NOT(ISNUMBER(D1959)),TRUE,OR(D1959&lt;0,D1959&gt;999999999,ROUND(D1959,3)&lt;&gt;D1959)),"Invalid current reading",IF(AND(E1959&lt;&gt;"",IF(NOT(ISNUMBER(E1959)),TRUE,OR(E1959&lt;0,E1959&gt;999999999,ROUND(E1959,3)&lt;&gt;E1959))),"Invalid previous reading",IF(IF(NOT(ISNUMBER(F1959)),TRUE,OR(F1959&lt;0,F1959&gt;999999999,ROUND(F1959,3)&lt;&gt;F1959)),"Invalid last service",IF(AND(E1959&lt;&gt;"",D1959&lt;E1959),"Decreased reading",IF(F1959&gt;D1959,"Last service above current","")))))))))))))</x:f>
      </x:c>
      <x:c r="L1959" s="6" t="str">
        <x:f>IF(AND(NOT(COUNTA(A1959:F1959)=0),K1959=""),INDEX('Rules'!$C$7:$C$26,MATCH(SUBSTITUTE(SUBSTITUTE(SUBSTITUTE(SUBSTITUTE("type:"&amp;B1959,"%","%25"),"~","%7E"),"*","%2A"),"?","%3F"),'Rules'!$G$7:$G$26,0)),"")</x:f>
      </x:c>
      <x:c r="M1959" s="6" t="str">
        <x:f>IF(AND(NOT(COUNTA(A1959:F1959)=0),K1959=""),INDEX('Rules'!$D$7:$D$26,MATCH(SUBSTITUTE(SUBSTITUTE(SUBSTITUTE(SUBSTITUTE("type:"&amp;B1959,"%","%25"),"~","%7E"),"*","%2A"),"?","%3F"),'Rules'!$G$7:$G$26,0)),"")</x:f>
      </x:c>
      <x:c r="N1959" s="5" t="str">
        <x:f>IF(COUNTA(A1959:F1959)=0,"",SUBSTITUTE(SUBSTITUTE(SUBSTITUTE(SUBSTITUTE("id:"&amp;A1959,"%","%25"),"~","%7E"),"*","%2A"),"?","%3F"))</x:f>
      </x:c>
    </x:row>
    <x:row r="1960" ht="22" customHeight="1">
      <x:c r="A1960" s="3"/>
      <x:c r="B1960" s="3"/>
      <x:c r="C1960" s="3"/>
      <x:c r="D1960" s="4"/>
      <x:c r="E1960" s="4"/>
      <x:c r="F1960" s="4"/>
      <x:c r="G1960" s="5" t="str">
        <x:f>IF(COUNTA(A1960:F1960)=0,"",IF(K1960&lt;&gt;"","Review",IF(I1960&lt;0,"Overdue",IF(I1960=0,"Due now",IF(I1960&lt;=M1960,"Due soon","Not due")))))</x:f>
      </x:c>
      <x:c r="H1960" s="5" t="str">
        <x:f>IF(OR(COUNTA(A1960:F1960)=0,COUNTIFS('Rules'!$G$7:$G$26,"="&amp;(SUBSTITUTE(SUBSTITUTE(SUBSTITUTE(SUBSTITUTE("type:"&amp;B1960,"%","%25"),"~","%7E"),"*","%2A"),"?","%3F")))&lt;&gt;1),"",IF(OR(INDEX('Rules'!$B$7:$B$26,MATCH(SUBSTITUTE(SUBSTITUTE(SUBSTITUTE(SUBSTITUTE("type:"&amp;B1960,"%","%25"),"~","%7E"),"*","%2A"),"?","%3F"),'Rules'!$G$7:$G$26,0))="hours",INDEX('Rules'!$B$7:$B$26,MATCH(SUBSTITUTE(SUBSTITUTE(SUBSTITUTE(SUBSTITUTE("type:"&amp;B1960,"%","%25"),"~","%7E"),"*","%2A"),"?","%3F"),'Rules'!$G$7:$G$26,0))="km"),INDEX('Rules'!$B$7:$B$26,MATCH(SUBSTITUTE(SUBSTITUTE(SUBSTITUTE(SUBSTITUTE("type:"&amp;B1960,"%","%25"),"~","%7E"),"*","%2A"),"?","%3F"),'Rules'!$G$7:$G$26,0)),""))</x:f>
      </x:c>
      <x:c r="I1960" s="6" t="str">
        <x:f>IF(AND(NOT(COUNTA(A1960:F1960)=0),K1960=""),ROUND(J1960-D1960,3),"")</x:f>
      </x:c>
      <x:c r="J1960" s="6" t="str">
        <x:f>IF(AND(NOT(COUNTA(A1960:F1960)=0),K1960=""),ROUND(F1960+L1960,3),"")</x:f>
      </x:c>
      <x:c r="K1960" s="5" t="str">
        <x:f>IF(COUNTA(A1960:F1960)=0,"",IF(A1960="","Missing equipment ID",IF(COUNTIFS($N$8:$N$2007,"="&amp;N1960)&gt;1,"Duplicate equipment ID",IF(B1960="","Missing type",IF(COUNTIFS('Rules'!$G$7:$G$26,"="&amp;(SUBSTITUTE(SUBSTITUTE(SUBSTITUTE(SUBSTITUTE("type:"&amp;B1960,"%","%25"),"~","%7E"),"*","%2A"),"?","%3F")))=0,"Unknown type",IF(COUNTIFS('Rules'!$G$7:$G$26,"="&amp;(SUBSTITUTE(SUBSTITUTE(SUBSTITUTE(SUBSTITUTE("type:"&amp;B1960,"%","%25"),"~","%7E"),"*","%2A"),"?","%3F")))&gt;1,"Duplicate type",IF(INDEX('Rules'!$F$7:$F$26,MATCH(SUBSTITUTE(SUBSTITUTE(SUBSTITUTE(SUBSTITUTE("type:"&amp;B1960,"%","%25"),"~","%7E"),"*","%2A"),"?","%3F"),'Rules'!$G$7:$G$26,0))&lt;&gt;"",INDEX('Rules'!$F$7:$F$26,MATCH(SUBSTITUTE(SUBSTITUTE(SUBSTITUTE(SUBSTITUTE("type:"&amp;B1960,"%","%25"),"~","%7E"),"*","%2A"),"?","%3F"),'Rules'!$G$7:$G$26,0)),IF(AND(C1960&lt;&gt;"",C1960&lt;&gt;INDEX('Rules'!$B$7:$B$26,MATCH(SUBSTITUTE(SUBSTITUTE(SUBSTITUTE(SUBSTITUTE("type:"&amp;B1960,"%","%25"),"~","%7E"),"*","%2A"),"?","%3F"),'Rules'!$G$7:$G$26,0))),"Unit mismatch",IF(IF(NOT(ISNUMBER(D1960)),TRUE,OR(D1960&lt;0,D1960&gt;999999999,ROUND(D1960,3)&lt;&gt;D1960)),"Invalid current reading",IF(AND(E1960&lt;&gt;"",IF(NOT(ISNUMBER(E1960)),TRUE,OR(E1960&lt;0,E1960&gt;999999999,ROUND(E1960,3)&lt;&gt;E1960))),"Invalid previous reading",IF(IF(NOT(ISNUMBER(F1960)),TRUE,OR(F1960&lt;0,F1960&gt;999999999,ROUND(F1960,3)&lt;&gt;F1960)),"Invalid last service",IF(AND(E1960&lt;&gt;"",D1960&lt;E1960),"Decreased reading",IF(F1960&gt;D1960,"Last service above current","")))))))))))))</x:f>
      </x:c>
      <x:c r="L1960" s="6" t="str">
        <x:f>IF(AND(NOT(COUNTA(A1960:F1960)=0),K1960=""),INDEX('Rules'!$C$7:$C$26,MATCH(SUBSTITUTE(SUBSTITUTE(SUBSTITUTE(SUBSTITUTE("type:"&amp;B1960,"%","%25"),"~","%7E"),"*","%2A"),"?","%3F"),'Rules'!$G$7:$G$26,0)),"")</x:f>
      </x:c>
      <x:c r="M1960" s="6" t="str">
        <x:f>IF(AND(NOT(COUNTA(A1960:F1960)=0),K1960=""),INDEX('Rules'!$D$7:$D$26,MATCH(SUBSTITUTE(SUBSTITUTE(SUBSTITUTE(SUBSTITUTE("type:"&amp;B1960,"%","%25"),"~","%7E"),"*","%2A"),"?","%3F"),'Rules'!$G$7:$G$26,0)),"")</x:f>
      </x:c>
      <x:c r="N1960" s="5" t="str">
        <x:f>IF(COUNTA(A1960:F1960)=0,"",SUBSTITUTE(SUBSTITUTE(SUBSTITUTE(SUBSTITUTE("id:"&amp;A1960,"%","%25"),"~","%7E"),"*","%2A"),"?","%3F"))</x:f>
      </x:c>
    </x:row>
    <x:row r="1961" ht="22" customHeight="1">
      <x:c r="A1961" s="3"/>
      <x:c r="B1961" s="3"/>
      <x:c r="C1961" s="3"/>
      <x:c r="D1961" s="4"/>
      <x:c r="E1961" s="4"/>
      <x:c r="F1961" s="4"/>
      <x:c r="G1961" s="5" t="str">
        <x:f>IF(COUNTA(A1961:F1961)=0,"",IF(K1961&lt;&gt;"","Review",IF(I1961&lt;0,"Overdue",IF(I1961=0,"Due now",IF(I1961&lt;=M1961,"Due soon","Not due")))))</x:f>
      </x:c>
      <x:c r="H1961" s="5" t="str">
        <x:f>IF(OR(COUNTA(A1961:F1961)=0,COUNTIFS('Rules'!$G$7:$G$26,"="&amp;(SUBSTITUTE(SUBSTITUTE(SUBSTITUTE(SUBSTITUTE("type:"&amp;B1961,"%","%25"),"~","%7E"),"*","%2A"),"?","%3F")))&lt;&gt;1),"",IF(OR(INDEX('Rules'!$B$7:$B$26,MATCH(SUBSTITUTE(SUBSTITUTE(SUBSTITUTE(SUBSTITUTE("type:"&amp;B1961,"%","%25"),"~","%7E"),"*","%2A"),"?","%3F"),'Rules'!$G$7:$G$26,0))="hours",INDEX('Rules'!$B$7:$B$26,MATCH(SUBSTITUTE(SUBSTITUTE(SUBSTITUTE(SUBSTITUTE("type:"&amp;B1961,"%","%25"),"~","%7E"),"*","%2A"),"?","%3F"),'Rules'!$G$7:$G$26,0))="km"),INDEX('Rules'!$B$7:$B$26,MATCH(SUBSTITUTE(SUBSTITUTE(SUBSTITUTE(SUBSTITUTE("type:"&amp;B1961,"%","%25"),"~","%7E"),"*","%2A"),"?","%3F"),'Rules'!$G$7:$G$26,0)),""))</x:f>
      </x:c>
      <x:c r="I1961" s="6" t="str">
        <x:f>IF(AND(NOT(COUNTA(A1961:F1961)=0),K1961=""),ROUND(J1961-D1961,3),"")</x:f>
      </x:c>
      <x:c r="J1961" s="6" t="str">
        <x:f>IF(AND(NOT(COUNTA(A1961:F1961)=0),K1961=""),ROUND(F1961+L1961,3),"")</x:f>
      </x:c>
      <x:c r="K1961" s="5" t="str">
        <x:f>IF(COUNTA(A1961:F1961)=0,"",IF(A1961="","Missing equipment ID",IF(COUNTIFS($N$8:$N$2007,"="&amp;N1961)&gt;1,"Duplicate equipment ID",IF(B1961="","Missing type",IF(COUNTIFS('Rules'!$G$7:$G$26,"="&amp;(SUBSTITUTE(SUBSTITUTE(SUBSTITUTE(SUBSTITUTE("type:"&amp;B1961,"%","%25"),"~","%7E"),"*","%2A"),"?","%3F")))=0,"Unknown type",IF(COUNTIFS('Rules'!$G$7:$G$26,"="&amp;(SUBSTITUTE(SUBSTITUTE(SUBSTITUTE(SUBSTITUTE("type:"&amp;B1961,"%","%25"),"~","%7E"),"*","%2A"),"?","%3F")))&gt;1,"Duplicate type",IF(INDEX('Rules'!$F$7:$F$26,MATCH(SUBSTITUTE(SUBSTITUTE(SUBSTITUTE(SUBSTITUTE("type:"&amp;B1961,"%","%25"),"~","%7E"),"*","%2A"),"?","%3F"),'Rules'!$G$7:$G$26,0))&lt;&gt;"",INDEX('Rules'!$F$7:$F$26,MATCH(SUBSTITUTE(SUBSTITUTE(SUBSTITUTE(SUBSTITUTE("type:"&amp;B1961,"%","%25"),"~","%7E"),"*","%2A"),"?","%3F"),'Rules'!$G$7:$G$26,0)),IF(AND(C1961&lt;&gt;"",C1961&lt;&gt;INDEX('Rules'!$B$7:$B$26,MATCH(SUBSTITUTE(SUBSTITUTE(SUBSTITUTE(SUBSTITUTE("type:"&amp;B1961,"%","%25"),"~","%7E"),"*","%2A"),"?","%3F"),'Rules'!$G$7:$G$26,0))),"Unit mismatch",IF(IF(NOT(ISNUMBER(D1961)),TRUE,OR(D1961&lt;0,D1961&gt;999999999,ROUND(D1961,3)&lt;&gt;D1961)),"Invalid current reading",IF(AND(E1961&lt;&gt;"",IF(NOT(ISNUMBER(E1961)),TRUE,OR(E1961&lt;0,E1961&gt;999999999,ROUND(E1961,3)&lt;&gt;E1961))),"Invalid previous reading",IF(IF(NOT(ISNUMBER(F1961)),TRUE,OR(F1961&lt;0,F1961&gt;999999999,ROUND(F1961,3)&lt;&gt;F1961)),"Invalid last service",IF(AND(E1961&lt;&gt;"",D1961&lt;E1961),"Decreased reading",IF(F1961&gt;D1961,"Last service above current","")))))))))))))</x:f>
      </x:c>
      <x:c r="L1961" s="6" t="str">
        <x:f>IF(AND(NOT(COUNTA(A1961:F1961)=0),K1961=""),INDEX('Rules'!$C$7:$C$26,MATCH(SUBSTITUTE(SUBSTITUTE(SUBSTITUTE(SUBSTITUTE("type:"&amp;B1961,"%","%25"),"~","%7E"),"*","%2A"),"?","%3F"),'Rules'!$G$7:$G$26,0)),"")</x:f>
      </x:c>
      <x:c r="M1961" s="6" t="str">
        <x:f>IF(AND(NOT(COUNTA(A1961:F1961)=0),K1961=""),INDEX('Rules'!$D$7:$D$26,MATCH(SUBSTITUTE(SUBSTITUTE(SUBSTITUTE(SUBSTITUTE("type:"&amp;B1961,"%","%25"),"~","%7E"),"*","%2A"),"?","%3F"),'Rules'!$G$7:$G$26,0)),"")</x:f>
      </x:c>
      <x:c r="N1961" s="5" t="str">
        <x:f>IF(COUNTA(A1961:F1961)=0,"",SUBSTITUTE(SUBSTITUTE(SUBSTITUTE(SUBSTITUTE("id:"&amp;A1961,"%","%25"),"~","%7E"),"*","%2A"),"?","%3F"))</x:f>
      </x:c>
    </x:row>
    <x:row r="1962" ht="22" customHeight="1">
      <x:c r="A1962" s="3"/>
      <x:c r="B1962" s="3"/>
      <x:c r="C1962" s="3"/>
      <x:c r="D1962" s="4"/>
      <x:c r="E1962" s="4"/>
      <x:c r="F1962" s="4"/>
      <x:c r="G1962" s="5" t="str">
        <x:f>IF(COUNTA(A1962:F1962)=0,"",IF(K1962&lt;&gt;"","Review",IF(I1962&lt;0,"Overdue",IF(I1962=0,"Due now",IF(I1962&lt;=M1962,"Due soon","Not due")))))</x:f>
      </x:c>
      <x:c r="H1962" s="5" t="str">
        <x:f>IF(OR(COUNTA(A1962:F1962)=0,COUNTIFS('Rules'!$G$7:$G$26,"="&amp;(SUBSTITUTE(SUBSTITUTE(SUBSTITUTE(SUBSTITUTE("type:"&amp;B1962,"%","%25"),"~","%7E"),"*","%2A"),"?","%3F")))&lt;&gt;1),"",IF(OR(INDEX('Rules'!$B$7:$B$26,MATCH(SUBSTITUTE(SUBSTITUTE(SUBSTITUTE(SUBSTITUTE("type:"&amp;B1962,"%","%25"),"~","%7E"),"*","%2A"),"?","%3F"),'Rules'!$G$7:$G$26,0))="hours",INDEX('Rules'!$B$7:$B$26,MATCH(SUBSTITUTE(SUBSTITUTE(SUBSTITUTE(SUBSTITUTE("type:"&amp;B1962,"%","%25"),"~","%7E"),"*","%2A"),"?","%3F"),'Rules'!$G$7:$G$26,0))="km"),INDEX('Rules'!$B$7:$B$26,MATCH(SUBSTITUTE(SUBSTITUTE(SUBSTITUTE(SUBSTITUTE("type:"&amp;B1962,"%","%25"),"~","%7E"),"*","%2A"),"?","%3F"),'Rules'!$G$7:$G$26,0)),""))</x:f>
      </x:c>
      <x:c r="I1962" s="6" t="str">
        <x:f>IF(AND(NOT(COUNTA(A1962:F1962)=0),K1962=""),ROUND(J1962-D1962,3),"")</x:f>
      </x:c>
      <x:c r="J1962" s="6" t="str">
        <x:f>IF(AND(NOT(COUNTA(A1962:F1962)=0),K1962=""),ROUND(F1962+L1962,3),"")</x:f>
      </x:c>
      <x:c r="K1962" s="5" t="str">
        <x:f>IF(COUNTA(A1962:F1962)=0,"",IF(A1962="","Missing equipment ID",IF(COUNTIFS($N$8:$N$2007,"="&amp;N1962)&gt;1,"Duplicate equipment ID",IF(B1962="","Missing type",IF(COUNTIFS('Rules'!$G$7:$G$26,"="&amp;(SUBSTITUTE(SUBSTITUTE(SUBSTITUTE(SUBSTITUTE("type:"&amp;B1962,"%","%25"),"~","%7E"),"*","%2A"),"?","%3F")))=0,"Unknown type",IF(COUNTIFS('Rules'!$G$7:$G$26,"="&amp;(SUBSTITUTE(SUBSTITUTE(SUBSTITUTE(SUBSTITUTE("type:"&amp;B1962,"%","%25"),"~","%7E"),"*","%2A"),"?","%3F")))&gt;1,"Duplicate type",IF(INDEX('Rules'!$F$7:$F$26,MATCH(SUBSTITUTE(SUBSTITUTE(SUBSTITUTE(SUBSTITUTE("type:"&amp;B1962,"%","%25"),"~","%7E"),"*","%2A"),"?","%3F"),'Rules'!$G$7:$G$26,0))&lt;&gt;"",INDEX('Rules'!$F$7:$F$26,MATCH(SUBSTITUTE(SUBSTITUTE(SUBSTITUTE(SUBSTITUTE("type:"&amp;B1962,"%","%25"),"~","%7E"),"*","%2A"),"?","%3F"),'Rules'!$G$7:$G$26,0)),IF(AND(C1962&lt;&gt;"",C1962&lt;&gt;INDEX('Rules'!$B$7:$B$26,MATCH(SUBSTITUTE(SUBSTITUTE(SUBSTITUTE(SUBSTITUTE("type:"&amp;B1962,"%","%25"),"~","%7E"),"*","%2A"),"?","%3F"),'Rules'!$G$7:$G$26,0))),"Unit mismatch",IF(IF(NOT(ISNUMBER(D1962)),TRUE,OR(D1962&lt;0,D1962&gt;999999999,ROUND(D1962,3)&lt;&gt;D1962)),"Invalid current reading",IF(AND(E1962&lt;&gt;"",IF(NOT(ISNUMBER(E1962)),TRUE,OR(E1962&lt;0,E1962&gt;999999999,ROUND(E1962,3)&lt;&gt;E1962))),"Invalid previous reading",IF(IF(NOT(ISNUMBER(F1962)),TRUE,OR(F1962&lt;0,F1962&gt;999999999,ROUND(F1962,3)&lt;&gt;F1962)),"Invalid last service",IF(AND(E1962&lt;&gt;"",D1962&lt;E1962),"Decreased reading",IF(F1962&gt;D1962,"Last service above current","")))))))))))))</x:f>
      </x:c>
      <x:c r="L1962" s="6" t="str">
        <x:f>IF(AND(NOT(COUNTA(A1962:F1962)=0),K1962=""),INDEX('Rules'!$C$7:$C$26,MATCH(SUBSTITUTE(SUBSTITUTE(SUBSTITUTE(SUBSTITUTE("type:"&amp;B1962,"%","%25"),"~","%7E"),"*","%2A"),"?","%3F"),'Rules'!$G$7:$G$26,0)),"")</x:f>
      </x:c>
      <x:c r="M1962" s="6" t="str">
        <x:f>IF(AND(NOT(COUNTA(A1962:F1962)=0),K1962=""),INDEX('Rules'!$D$7:$D$26,MATCH(SUBSTITUTE(SUBSTITUTE(SUBSTITUTE(SUBSTITUTE("type:"&amp;B1962,"%","%25"),"~","%7E"),"*","%2A"),"?","%3F"),'Rules'!$G$7:$G$26,0)),"")</x:f>
      </x:c>
      <x:c r="N1962" s="5" t="str">
        <x:f>IF(COUNTA(A1962:F1962)=0,"",SUBSTITUTE(SUBSTITUTE(SUBSTITUTE(SUBSTITUTE("id:"&amp;A1962,"%","%25"),"~","%7E"),"*","%2A"),"?","%3F"))</x:f>
      </x:c>
    </x:row>
    <x:row r="1963" ht="22" customHeight="1">
      <x:c r="A1963" s="3"/>
      <x:c r="B1963" s="3"/>
      <x:c r="C1963" s="3"/>
      <x:c r="D1963" s="4"/>
      <x:c r="E1963" s="4"/>
      <x:c r="F1963" s="4"/>
      <x:c r="G1963" s="5" t="str">
        <x:f>IF(COUNTA(A1963:F1963)=0,"",IF(K1963&lt;&gt;"","Review",IF(I1963&lt;0,"Overdue",IF(I1963=0,"Due now",IF(I1963&lt;=M1963,"Due soon","Not due")))))</x:f>
      </x:c>
      <x:c r="H1963" s="5" t="str">
        <x:f>IF(OR(COUNTA(A1963:F1963)=0,COUNTIFS('Rules'!$G$7:$G$26,"="&amp;(SUBSTITUTE(SUBSTITUTE(SUBSTITUTE(SUBSTITUTE("type:"&amp;B1963,"%","%25"),"~","%7E"),"*","%2A"),"?","%3F")))&lt;&gt;1),"",IF(OR(INDEX('Rules'!$B$7:$B$26,MATCH(SUBSTITUTE(SUBSTITUTE(SUBSTITUTE(SUBSTITUTE("type:"&amp;B1963,"%","%25"),"~","%7E"),"*","%2A"),"?","%3F"),'Rules'!$G$7:$G$26,0))="hours",INDEX('Rules'!$B$7:$B$26,MATCH(SUBSTITUTE(SUBSTITUTE(SUBSTITUTE(SUBSTITUTE("type:"&amp;B1963,"%","%25"),"~","%7E"),"*","%2A"),"?","%3F"),'Rules'!$G$7:$G$26,0))="km"),INDEX('Rules'!$B$7:$B$26,MATCH(SUBSTITUTE(SUBSTITUTE(SUBSTITUTE(SUBSTITUTE("type:"&amp;B1963,"%","%25"),"~","%7E"),"*","%2A"),"?","%3F"),'Rules'!$G$7:$G$26,0)),""))</x:f>
      </x:c>
      <x:c r="I1963" s="6" t="str">
        <x:f>IF(AND(NOT(COUNTA(A1963:F1963)=0),K1963=""),ROUND(J1963-D1963,3),"")</x:f>
      </x:c>
      <x:c r="J1963" s="6" t="str">
        <x:f>IF(AND(NOT(COUNTA(A1963:F1963)=0),K1963=""),ROUND(F1963+L1963,3),"")</x:f>
      </x:c>
      <x:c r="K1963" s="5" t="str">
        <x:f>IF(COUNTA(A1963:F1963)=0,"",IF(A1963="","Missing equipment ID",IF(COUNTIFS($N$8:$N$2007,"="&amp;N1963)&gt;1,"Duplicate equipment ID",IF(B1963="","Missing type",IF(COUNTIFS('Rules'!$G$7:$G$26,"="&amp;(SUBSTITUTE(SUBSTITUTE(SUBSTITUTE(SUBSTITUTE("type:"&amp;B1963,"%","%25"),"~","%7E"),"*","%2A"),"?","%3F")))=0,"Unknown type",IF(COUNTIFS('Rules'!$G$7:$G$26,"="&amp;(SUBSTITUTE(SUBSTITUTE(SUBSTITUTE(SUBSTITUTE("type:"&amp;B1963,"%","%25"),"~","%7E"),"*","%2A"),"?","%3F")))&gt;1,"Duplicate type",IF(INDEX('Rules'!$F$7:$F$26,MATCH(SUBSTITUTE(SUBSTITUTE(SUBSTITUTE(SUBSTITUTE("type:"&amp;B1963,"%","%25"),"~","%7E"),"*","%2A"),"?","%3F"),'Rules'!$G$7:$G$26,0))&lt;&gt;"",INDEX('Rules'!$F$7:$F$26,MATCH(SUBSTITUTE(SUBSTITUTE(SUBSTITUTE(SUBSTITUTE("type:"&amp;B1963,"%","%25"),"~","%7E"),"*","%2A"),"?","%3F"),'Rules'!$G$7:$G$26,0)),IF(AND(C1963&lt;&gt;"",C1963&lt;&gt;INDEX('Rules'!$B$7:$B$26,MATCH(SUBSTITUTE(SUBSTITUTE(SUBSTITUTE(SUBSTITUTE("type:"&amp;B1963,"%","%25"),"~","%7E"),"*","%2A"),"?","%3F"),'Rules'!$G$7:$G$26,0))),"Unit mismatch",IF(IF(NOT(ISNUMBER(D1963)),TRUE,OR(D1963&lt;0,D1963&gt;999999999,ROUND(D1963,3)&lt;&gt;D1963)),"Invalid current reading",IF(AND(E1963&lt;&gt;"",IF(NOT(ISNUMBER(E1963)),TRUE,OR(E1963&lt;0,E1963&gt;999999999,ROUND(E1963,3)&lt;&gt;E1963))),"Invalid previous reading",IF(IF(NOT(ISNUMBER(F1963)),TRUE,OR(F1963&lt;0,F1963&gt;999999999,ROUND(F1963,3)&lt;&gt;F1963)),"Invalid last service",IF(AND(E1963&lt;&gt;"",D1963&lt;E1963),"Decreased reading",IF(F1963&gt;D1963,"Last service above current","")))))))))))))</x:f>
      </x:c>
      <x:c r="L1963" s="6" t="str">
        <x:f>IF(AND(NOT(COUNTA(A1963:F1963)=0),K1963=""),INDEX('Rules'!$C$7:$C$26,MATCH(SUBSTITUTE(SUBSTITUTE(SUBSTITUTE(SUBSTITUTE("type:"&amp;B1963,"%","%25"),"~","%7E"),"*","%2A"),"?","%3F"),'Rules'!$G$7:$G$26,0)),"")</x:f>
      </x:c>
      <x:c r="M1963" s="6" t="str">
        <x:f>IF(AND(NOT(COUNTA(A1963:F1963)=0),K1963=""),INDEX('Rules'!$D$7:$D$26,MATCH(SUBSTITUTE(SUBSTITUTE(SUBSTITUTE(SUBSTITUTE("type:"&amp;B1963,"%","%25"),"~","%7E"),"*","%2A"),"?","%3F"),'Rules'!$G$7:$G$26,0)),"")</x:f>
      </x:c>
      <x:c r="N1963" s="5" t="str">
        <x:f>IF(COUNTA(A1963:F1963)=0,"",SUBSTITUTE(SUBSTITUTE(SUBSTITUTE(SUBSTITUTE("id:"&amp;A1963,"%","%25"),"~","%7E"),"*","%2A"),"?","%3F"))</x:f>
      </x:c>
    </x:row>
    <x:row r="1964" ht="22" customHeight="1">
      <x:c r="A1964" s="3"/>
      <x:c r="B1964" s="3"/>
      <x:c r="C1964" s="3"/>
      <x:c r="D1964" s="4"/>
      <x:c r="E1964" s="4"/>
      <x:c r="F1964" s="4"/>
      <x:c r="G1964" s="5" t="str">
        <x:f>IF(COUNTA(A1964:F1964)=0,"",IF(K1964&lt;&gt;"","Review",IF(I1964&lt;0,"Overdue",IF(I1964=0,"Due now",IF(I1964&lt;=M1964,"Due soon","Not due")))))</x:f>
      </x:c>
      <x:c r="H1964" s="5" t="str">
        <x:f>IF(OR(COUNTA(A1964:F1964)=0,COUNTIFS('Rules'!$G$7:$G$26,"="&amp;(SUBSTITUTE(SUBSTITUTE(SUBSTITUTE(SUBSTITUTE("type:"&amp;B1964,"%","%25"),"~","%7E"),"*","%2A"),"?","%3F")))&lt;&gt;1),"",IF(OR(INDEX('Rules'!$B$7:$B$26,MATCH(SUBSTITUTE(SUBSTITUTE(SUBSTITUTE(SUBSTITUTE("type:"&amp;B1964,"%","%25"),"~","%7E"),"*","%2A"),"?","%3F"),'Rules'!$G$7:$G$26,0))="hours",INDEX('Rules'!$B$7:$B$26,MATCH(SUBSTITUTE(SUBSTITUTE(SUBSTITUTE(SUBSTITUTE("type:"&amp;B1964,"%","%25"),"~","%7E"),"*","%2A"),"?","%3F"),'Rules'!$G$7:$G$26,0))="km"),INDEX('Rules'!$B$7:$B$26,MATCH(SUBSTITUTE(SUBSTITUTE(SUBSTITUTE(SUBSTITUTE("type:"&amp;B1964,"%","%25"),"~","%7E"),"*","%2A"),"?","%3F"),'Rules'!$G$7:$G$26,0)),""))</x:f>
      </x:c>
      <x:c r="I1964" s="6" t="str">
        <x:f>IF(AND(NOT(COUNTA(A1964:F1964)=0),K1964=""),ROUND(J1964-D1964,3),"")</x:f>
      </x:c>
      <x:c r="J1964" s="6" t="str">
        <x:f>IF(AND(NOT(COUNTA(A1964:F1964)=0),K1964=""),ROUND(F1964+L1964,3),"")</x:f>
      </x:c>
      <x:c r="K1964" s="5" t="str">
        <x:f>IF(COUNTA(A1964:F1964)=0,"",IF(A1964="","Missing equipment ID",IF(COUNTIFS($N$8:$N$2007,"="&amp;N1964)&gt;1,"Duplicate equipment ID",IF(B1964="","Missing type",IF(COUNTIFS('Rules'!$G$7:$G$26,"="&amp;(SUBSTITUTE(SUBSTITUTE(SUBSTITUTE(SUBSTITUTE("type:"&amp;B1964,"%","%25"),"~","%7E"),"*","%2A"),"?","%3F")))=0,"Unknown type",IF(COUNTIFS('Rules'!$G$7:$G$26,"="&amp;(SUBSTITUTE(SUBSTITUTE(SUBSTITUTE(SUBSTITUTE("type:"&amp;B1964,"%","%25"),"~","%7E"),"*","%2A"),"?","%3F")))&gt;1,"Duplicate type",IF(INDEX('Rules'!$F$7:$F$26,MATCH(SUBSTITUTE(SUBSTITUTE(SUBSTITUTE(SUBSTITUTE("type:"&amp;B1964,"%","%25"),"~","%7E"),"*","%2A"),"?","%3F"),'Rules'!$G$7:$G$26,0))&lt;&gt;"",INDEX('Rules'!$F$7:$F$26,MATCH(SUBSTITUTE(SUBSTITUTE(SUBSTITUTE(SUBSTITUTE("type:"&amp;B1964,"%","%25"),"~","%7E"),"*","%2A"),"?","%3F"),'Rules'!$G$7:$G$26,0)),IF(AND(C1964&lt;&gt;"",C1964&lt;&gt;INDEX('Rules'!$B$7:$B$26,MATCH(SUBSTITUTE(SUBSTITUTE(SUBSTITUTE(SUBSTITUTE("type:"&amp;B1964,"%","%25"),"~","%7E"),"*","%2A"),"?","%3F"),'Rules'!$G$7:$G$26,0))),"Unit mismatch",IF(IF(NOT(ISNUMBER(D1964)),TRUE,OR(D1964&lt;0,D1964&gt;999999999,ROUND(D1964,3)&lt;&gt;D1964)),"Invalid current reading",IF(AND(E1964&lt;&gt;"",IF(NOT(ISNUMBER(E1964)),TRUE,OR(E1964&lt;0,E1964&gt;999999999,ROUND(E1964,3)&lt;&gt;E1964))),"Invalid previous reading",IF(IF(NOT(ISNUMBER(F1964)),TRUE,OR(F1964&lt;0,F1964&gt;999999999,ROUND(F1964,3)&lt;&gt;F1964)),"Invalid last service",IF(AND(E1964&lt;&gt;"",D1964&lt;E1964),"Decreased reading",IF(F1964&gt;D1964,"Last service above current","")))))))))))))</x:f>
      </x:c>
      <x:c r="L1964" s="6" t="str">
        <x:f>IF(AND(NOT(COUNTA(A1964:F1964)=0),K1964=""),INDEX('Rules'!$C$7:$C$26,MATCH(SUBSTITUTE(SUBSTITUTE(SUBSTITUTE(SUBSTITUTE("type:"&amp;B1964,"%","%25"),"~","%7E"),"*","%2A"),"?","%3F"),'Rules'!$G$7:$G$26,0)),"")</x:f>
      </x:c>
      <x:c r="M1964" s="6" t="str">
        <x:f>IF(AND(NOT(COUNTA(A1964:F1964)=0),K1964=""),INDEX('Rules'!$D$7:$D$26,MATCH(SUBSTITUTE(SUBSTITUTE(SUBSTITUTE(SUBSTITUTE("type:"&amp;B1964,"%","%25"),"~","%7E"),"*","%2A"),"?","%3F"),'Rules'!$G$7:$G$26,0)),"")</x:f>
      </x:c>
      <x:c r="N1964" s="5" t="str">
        <x:f>IF(COUNTA(A1964:F1964)=0,"",SUBSTITUTE(SUBSTITUTE(SUBSTITUTE(SUBSTITUTE("id:"&amp;A1964,"%","%25"),"~","%7E"),"*","%2A"),"?","%3F"))</x:f>
      </x:c>
    </x:row>
    <x:row r="1965" ht="22" customHeight="1">
      <x:c r="A1965" s="3"/>
      <x:c r="B1965" s="3"/>
      <x:c r="C1965" s="3"/>
      <x:c r="D1965" s="4"/>
      <x:c r="E1965" s="4"/>
      <x:c r="F1965" s="4"/>
      <x:c r="G1965" s="5" t="str">
        <x:f>IF(COUNTA(A1965:F1965)=0,"",IF(K1965&lt;&gt;"","Review",IF(I1965&lt;0,"Overdue",IF(I1965=0,"Due now",IF(I1965&lt;=M1965,"Due soon","Not due")))))</x:f>
      </x:c>
      <x:c r="H1965" s="5" t="str">
        <x:f>IF(OR(COUNTA(A1965:F1965)=0,COUNTIFS('Rules'!$G$7:$G$26,"="&amp;(SUBSTITUTE(SUBSTITUTE(SUBSTITUTE(SUBSTITUTE("type:"&amp;B1965,"%","%25"),"~","%7E"),"*","%2A"),"?","%3F")))&lt;&gt;1),"",IF(OR(INDEX('Rules'!$B$7:$B$26,MATCH(SUBSTITUTE(SUBSTITUTE(SUBSTITUTE(SUBSTITUTE("type:"&amp;B1965,"%","%25"),"~","%7E"),"*","%2A"),"?","%3F"),'Rules'!$G$7:$G$26,0))="hours",INDEX('Rules'!$B$7:$B$26,MATCH(SUBSTITUTE(SUBSTITUTE(SUBSTITUTE(SUBSTITUTE("type:"&amp;B1965,"%","%25"),"~","%7E"),"*","%2A"),"?","%3F"),'Rules'!$G$7:$G$26,0))="km"),INDEX('Rules'!$B$7:$B$26,MATCH(SUBSTITUTE(SUBSTITUTE(SUBSTITUTE(SUBSTITUTE("type:"&amp;B1965,"%","%25"),"~","%7E"),"*","%2A"),"?","%3F"),'Rules'!$G$7:$G$26,0)),""))</x:f>
      </x:c>
      <x:c r="I1965" s="6" t="str">
        <x:f>IF(AND(NOT(COUNTA(A1965:F1965)=0),K1965=""),ROUND(J1965-D1965,3),"")</x:f>
      </x:c>
      <x:c r="J1965" s="6" t="str">
        <x:f>IF(AND(NOT(COUNTA(A1965:F1965)=0),K1965=""),ROUND(F1965+L1965,3),"")</x:f>
      </x:c>
      <x:c r="K1965" s="5" t="str">
        <x:f>IF(COUNTA(A1965:F1965)=0,"",IF(A1965="","Missing equipment ID",IF(COUNTIFS($N$8:$N$2007,"="&amp;N1965)&gt;1,"Duplicate equipment ID",IF(B1965="","Missing type",IF(COUNTIFS('Rules'!$G$7:$G$26,"="&amp;(SUBSTITUTE(SUBSTITUTE(SUBSTITUTE(SUBSTITUTE("type:"&amp;B1965,"%","%25"),"~","%7E"),"*","%2A"),"?","%3F")))=0,"Unknown type",IF(COUNTIFS('Rules'!$G$7:$G$26,"="&amp;(SUBSTITUTE(SUBSTITUTE(SUBSTITUTE(SUBSTITUTE("type:"&amp;B1965,"%","%25"),"~","%7E"),"*","%2A"),"?","%3F")))&gt;1,"Duplicate type",IF(INDEX('Rules'!$F$7:$F$26,MATCH(SUBSTITUTE(SUBSTITUTE(SUBSTITUTE(SUBSTITUTE("type:"&amp;B1965,"%","%25"),"~","%7E"),"*","%2A"),"?","%3F"),'Rules'!$G$7:$G$26,0))&lt;&gt;"",INDEX('Rules'!$F$7:$F$26,MATCH(SUBSTITUTE(SUBSTITUTE(SUBSTITUTE(SUBSTITUTE("type:"&amp;B1965,"%","%25"),"~","%7E"),"*","%2A"),"?","%3F"),'Rules'!$G$7:$G$26,0)),IF(AND(C1965&lt;&gt;"",C1965&lt;&gt;INDEX('Rules'!$B$7:$B$26,MATCH(SUBSTITUTE(SUBSTITUTE(SUBSTITUTE(SUBSTITUTE("type:"&amp;B1965,"%","%25"),"~","%7E"),"*","%2A"),"?","%3F"),'Rules'!$G$7:$G$26,0))),"Unit mismatch",IF(IF(NOT(ISNUMBER(D1965)),TRUE,OR(D1965&lt;0,D1965&gt;999999999,ROUND(D1965,3)&lt;&gt;D1965)),"Invalid current reading",IF(AND(E1965&lt;&gt;"",IF(NOT(ISNUMBER(E1965)),TRUE,OR(E1965&lt;0,E1965&gt;999999999,ROUND(E1965,3)&lt;&gt;E1965))),"Invalid previous reading",IF(IF(NOT(ISNUMBER(F1965)),TRUE,OR(F1965&lt;0,F1965&gt;999999999,ROUND(F1965,3)&lt;&gt;F1965)),"Invalid last service",IF(AND(E1965&lt;&gt;"",D1965&lt;E1965),"Decreased reading",IF(F1965&gt;D1965,"Last service above current","")))))))))))))</x:f>
      </x:c>
      <x:c r="L1965" s="6" t="str">
        <x:f>IF(AND(NOT(COUNTA(A1965:F1965)=0),K1965=""),INDEX('Rules'!$C$7:$C$26,MATCH(SUBSTITUTE(SUBSTITUTE(SUBSTITUTE(SUBSTITUTE("type:"&amp;B1965,"%","%25"),"~","%7E"),"*","%2A"),"?","%3F"),'Rules'!$G$7:$G$26,0)),"")</x:f>
      </x:c>
      <x:c r="M1965" s="6" t="str">
        <x:f>IF(AND(NOT(COUNTA(A1965:F1965)=0),K1965=""),INDEX('Rules'!$D$7:$D$26,MATCH(SUBSTITUTE(SUBSTITUTE(SUBSTITUTE(SUBSTITUTE("type:"&amp;B1965,"%","%25"),"~","%7E"),"*","%2A"),"?","%3F"),'Rules'!$G$7:$G$26,0)),"")</x:f>
      </x:c>
      <x:c r="N1965" s="5" t="str">
        <x:f>IF(COUNTA(A1965:F1965)=0,"",SUBSTITUTE(SUBSTITUTE(SUBSTITUTE(SUBSTITUTE("id:"&amp;A1965,"%","%25"),"~","%7E"),"*","%2A"),"?","%3F"))</x:f>
      </x:c>
    </x:row>
    <x:row r="1966" ht="22" customHeight="1">
      <x:c r="A1966" s="3"/>
      <x:c r="B1966" s="3"/>
      <x:c r="C1966" s="3"/>
      <x:c r="D1966" s="4"/>
      <x:c r="E1966" s="4"/>
      <x:c r="F1966" s="4"/>
      <x:c r="G1966" s="5" t="str">
        <x:f>IF(COUNTA(A1966:F1966)=0,"",IF(K1966&lt;&gt;"","Review",IF(I1966&lt;0,"Overdue",IF(I1966=0,"Due now",IF(I1966&lt;=M1966,"Due soon","Not due")))))</x:f>
      </x:c>
      <x:c r="H1966" s="5" t="str">
        <x:f>IF(OR(COUNTA(A1966:F1966)=0,COUNTIFS('Rules'!$G$7:$G$26,"="&amp;(SUBSTITUTE(SUBSTITUTE(SUBSTITUTE(SUBSTITUTE("type:"&amp;B1966,"%","%25"),"~","%7E"),"*","%2A"),"?","%3F")))&lt;&gt;1),"",IF(OR(INDEX('Rules'!$B$7:$B$26,MATCH(SUBSTITUTE(SUBSTITUTE(SUBSTITUTE(SUBSTITUTE("type:"&amp;B1966,"%","%25"),"~","%7E"),"*","%2A"),"?","%3F"),'Rules'!$G$7:$G$26,0))="hours",INDEX('Rules'!$B$7:$B$26,MATCH(SUBSTITUTE(SUBSTITUTE(SUBSTITUTE(SUBSTITUTE("type:"&amp;B1966,"%","%25"),"~","%7E"),"*","%2A"),"?","%3F"),'Rules'!$G$7:$G$26,0))="km"),INDEX('Rules'!$B$7:$B$26,MATCH(SUBSTITUTE(SUBSTITUTE(SUBSTITUTE(SUBSTITUTE("type:"&amp;B1966,"%","%25"),"~","%7E"),"*","%2A"),"?","%3F"),'Rules'!$G$7:$G$26,0)),""))</x:f>
      </x:c>
      <x:c r="I1966" s="6" t="str">
        <x:f>IF(AND(NOT(COUNTA(A1966:F1966)=0),K1966=""),ROUND(J1966-D1966,3),"")</x:f>
      </x:c>
      <x:c r="J1966" s="6" t="str">
        <x:f>IF(AND(NOT(COUNTA(A1966:F1966)=0),K1966=""),ROUND(F1966+L1966,3),"")</x:f>
      </x:c>
      <x:c r="K1966" s="5" t="str">
        <x:f>IF(COUNTA(A1966:F1966)=0,"",IF(A1966="","Missing equipment ID",IF(COUNTIFS($N$8:$N$2007,"="&amp;N1966)&gt;1,"Duplicate equipment ID",IF(B1966="","Missing type",IF(COUNTIFS('Rules'!$G$7:$G$26,"="&amp;(SUBSTITUTE(SUBSTITUTE(SUBSTITUTE(SUBSTITUTE("type:"&amp;B1966,"%","%25"),"~","%7E"),"*","%2A"),"?","%3F")))=0,"Unknown type",IF(COUNTIFS('Rules'!$G$7:$G$26,"="&amp;(SUBSTITUTE(SUBSTITUTE(SUBSTITUTE(SUBSTITUTE("type:"&amp;B1966,"%","%25"),"~","%7E"),"*","%2A"),"?","%3F")))&gt;1,"Duplicate type",IF(INDEX('Rules'!$F$7:$F$26,MATCH(SUBSTITUTE(SUBSTITUTE(SUBSTITUTE(SUBSTITUTE("type:"&amp;B1966,"%","%25"),"~","%7E"),"*","%2A"),"?","%3F"),'Rules'!$G$7:$G$26,0))&lt;&gt;"",INDEX('Rules'!$F$7:$F$26,MATCH(SUBSTITUTE(SUBSTITUTE(SUBSTITUTE(SUBSTITUTE("type:"&amp;B1966,"%","%25"),"~","%7E"),"*","%2A"),"?","%3F"),'Rules'!$G$7:$G$26,0)),IF(AND(C1966&lt;&gt;"",C1966&lt;&gt;INDEX('Rules'!$B$7:$B$26,MATCH(SUBSTITUTE(SUBSTITUTE(SUBSTITUTE(SUBSTITUTE("type:"&amp;B1966,"%","%25"),"~","%7E"),"*","%2A"),"?","%3F"),'Rules'!$G$7:$G$26,0))),"Unit mismatch",IF(IF(NOT(ISNUMBER(D1966)),TRUE,OR(D1966&lt;0,D1966&gt;999999999,ROUND(D1966,3)&lt;&gt;D1966)),"Invalid current reading",IF(AND(E1966&lt;&gt;"",IF(NOT(ISNUMBER(E1966)),TRUE,OR(E1966&lt;0,E1966&gt;999999999,ROUND(E1966,3)&lt;&gt;E1966))),"Invalid previous reading",IF(IF(NOT(ISNUMBER(F1966)),TRUE,OR(F1966&lt;0,F1966&gt;999999999,ROUND(F1966,3)&lt;&gt;F1966)),"Invalid last service",IF(AND(E1966&lt;&gt;"",D1966&lt;E1966),"Decreased reading",IF(F1966&gt;D1966,"Last service above current","")))))))))))))</x:f>
      </x:c>
      <x:c r="L1966" s="6" t="str">
        <x:f>IF(AND(NOT(COUNTA(A1966:F1966)=0),K1966=""),INDEX('Rules'!$C$7:$C$26,MATCH(SUBSTITUTE(SUBSTITUTE(SUBSTITUTE(SUBSTITUTE("type:"&amp;B1966,"%","%25"),"~","%7E"),"*","%2A"),"?","%3F"),'Rules'!$G$7:$G$26,0)),"")</x:f>
      </x:c>
      <x:c r="M1966" s="6" t="str">
        <x:f>IF(AND(NOT(COUNTA(A1966:F1966)=0),K1966=""),INDEX('Rules'!$D$7:$D$26,MATCH(SUBSTITUTE(SUBSTITUTE(SUBSTITUTE(SUBSTITUTE("type:"&amp;B1966,"%","%25"),"~","%7E"),"*","%2A"),"?","%3F"),'Rules'!$G$7:$G$26,0)),"")</x:f>
      </x:c>
      <x:c r="N1966" s="5" t="str">
        <x:f>IF(COUNTA(A1966:F1966)=0,"",SUBSTITUTE(SUBSTITUTE(SUBSTITUTE(SUBSTITUTE("id:"&amp;A1966,"%","%25"),"~","%7E"),"*","%2A"),"?","%3F"))</x:f>
      </x:c>
    </x:row>
    <x:row r="1967" ht="22" customHeight="1">
      <x:c r="A1967" s="3"/>
      <x:c r="B1967" s="3"/>
      <x:c r="C1967" s="3"/>
      <x:c r="D1967" s="4"/>
      <x:c r="E1967" s="4"/>
      <x:c r="F1967" s="4"/>
      <x:c r="G1967" s="5" t="str">
        <x:f>IF(COUNTA(A1967:F1967)=0,"",IF(K1967&lt;&gt;"","Review",IF(I1967&lt;0,"Overdue",IF(I1967=0,"Due now",IF(I1967&lt;=M1967,"Due soon","Not due")))))</x:f>
      </x:c>
      <x:c r="H1967" s="5" t="str">
        <x:f>IF(OR(COUNTA(A1967:F1967)=0,COUNTIFS('Rules'!$G$7:$G$26,"="&amp;(SUBSTITUTE(SUBSTITUTE(SUBSTITUTE(SUBSTITUTE("type:"&amp;B1967,"%","%25"),"~","%7E"),"*","%2A"),"?","%3F")))&lt;&gt;1),"",IF(OR(INDEX('Rules'!$B$7:$B$26,MATCH(SUBSTITUTE(SUBSTITUTE(SUBSTITUTE(SUBSTITUTE("type:"&amp;B1967,"%","%25"),"~","%7E"),"*","%2A"),"?","%3F"),'Rules'!$G$7:$G$26,0))="hours",INDEX('Rules'!$B$7:$B$26,MATCH(SUBSTITUTE(SUBSTITUTE(SUBSTITUTE(SUBSTITUTE("type:"&amp;B1967,"%","%25"),"~","%7E"),"*","%2A"),"?","%3F"),'Rules'!$G$7:$G$26,0))="km"),INDEX('Rules'!$B$7:$B$26,MATCH(SUBSTITUTE(SUBSTITUTE(SUBSTITUTE(SUBSTITUTE("type:"&amp;B1967,"%","%25"),"~","%7E"),"*","%2A"),"?","%3F"),'Rules'!$G$7:$G$26,0)),""))</x:f>
      </x:c>
      <x:c r="I1967" s="6" t="str">
        <x:f>IF(AND(NOT(COUNTA(A1967:F1967)=0),K1967=""),ROUND(J1967-D1967,3),"")</x:f>
      </x:c>
      <x:c r="J1967" s="6" t="str">
        <x:f>IF(AND(NOT(COUNTA(A1967:F1967)=0),K1967=""),ROUND(F1967+L1967,3),"")</x:f>
      </x:c>
      <x:c r="K1967" s="5" t="str">
        <x:f>IF(COUNTA(A1967:F1967)=0,"",IF(A1967="","Missing equipment ID",IF(COUNTIFS($N$8:$N$2007,"="&amp;N1967)&gt;1,"Duplicate equipment ID",IF(B1967="","Missing type",IF(COUNTIFS('Rules'!$G$7:$G$26,"="&amp;(SUBSTITUTE(SUBSTITUTE(SUBSTITUTE(SUBSTITUTE("type:"&amp;B1967,"%","%25"),"~","%7E"),"*","%2A"),"?","%3F")))=0,"Unknown type",IF(COUNTIFS('Rules'!$G$7:$G$26,"="&amp;(SUBSTITUTE(SUBSTITUTE(SUBSTITUTE(SUBSTITUTE("type:"&amp;B1967,"%","%25"),"~","%7E"),"*","%2A"),"?","%3F")))&gt;1,"Duplicate type",IF(INDEX('Rules'!$F$7:$F$26,MATCH(SUBSTITUTE(SUBSTITUTE(SUBSTITUTE(SUBSTITUTE("type:"&amp;B1967,"%","%25"),"~","%7E"),"*","%2A"),"?","%3F"),'Rules'!$G$7:$G$26,0))&lt;&gt;"",INDEX('Rules'!$F$7:$F$26,MATCH(SUBSTITUTE(SUBSTITUTE(SUBSTITUTE(SUBSTITUTE("type:"&amp;B1967,"%","%25"),"~","%7E"),"*","%2A"),"?","%3F"),'Rules'!$G$7:$G$26,0)),IF(AND(C1967&lt;&gt;"",C1967&lt;&gt;INDEX('Rules'!$B$7:$B$26,MATCH(SUBSTITUTE(SUBSTITUTE(SUBSTITUTE(SUBSTITUTE("type:"&amp;B1967,"%","%25"),"~","%7E"),"*","%2A"),"?","%3F"),'Rules'!$G$7:$G$26,0))),"Unit mismatch",IF(IF(NOT(ISNUMBER(D1967)),TRUE,OR(D1967&lt;0,D1967&gt;999999999,ROUND(D1967,3)&lt;&gt;D1967)),"Invalid current reading",IF(AND(E1967&lt;&gt;"",IF(NOT(ISNUMBER(E1967)),TRUE,OR(E1967&lt;0,E1967&gt;999999999,ROUND(E1967,3)&lt;&gt;E1967))),"Invalid previous reading",IF(IF(NOT(ISNUMBER(F1967)),TRUE,OR(F1967&lt;0,F1967&gt;999999999,ROUND(F1967,3)&lt;&gt;F1967)),"Invalid last service",IF(AND(E1967&lt;&gt;"",D1967&lt;E1967),"Decreased reading",IF(F1967&gt;D1967,"Last service above current","")))))))))))))</x:f>
      </x:c>
      <x:c r="L1967" s="6" t="str">
        <x:f>IF(AND(NOT(COUNTA(A1967:F1967)=0),K1967=""),INDEX('Rules'!$C$7:$C$26,MATCH(SUBSTITUTE(SUBSTITUTE(SUBSTITUTE(SUBSTITUTE("type:"&amp;B1967,"%","%25"),"~","%7E"),"*","%2A"),"?","%3F"),'Rules'!$G$7:$G$26,0)),"")</x:f>
      </x:c>
      <x:c r="M1967" s="6" t="str">
        <x:f>IF(AND(NOT(COUNTA(A1967:F1967)=0),K1967=""),INDEX('Rules'!$D$7:$D$26,MATCH(SUBSTITUTE(SUBSTITUTE(SUBSTITUTE(SUBSTITUTE("type:"&amp;B1967,"%","%25"),"~","%7E"),"*","%2A"),"?","%3F"),'Rules'!$G$7:$G$26,0)),"")</x:f>
      </x:c>
      <x:c r="N1967" s="5" t="str">
        <x:f>IF(COUNTA(A1967:F1967)=0,"",SUBSTITUTE(SUBSTITUTE(SUBSTITUTE(SUBSTITUTE("id:"&amp;A1967,"%","%25"),"~","%7E"),"*","%2A"),"?","%3F"))</x:f>
      </x:c>
    </x:row>
    <x:row r="1968" ht="22" customHeight="1">
      <x:c r="A1968" s="3"/>
      <x:c r="B1968" s="3"/>
      <x:c r="C1968" s="3"/>
      <x:c r="D1968" s="4"/>
      <x:c r="E1968" s="4"/>
      <x:c r="F1968" s="4"/>
      <x:c r="G1968" s="5" t="str">
        <x:f>IF(COUNTA(A1968:F1968)=0,"",IF(K1968&lt;&gt;"","Review",IF(I1968&lt;0,"Overdue",IF(I1968=0,"Due now",IF(I1968&lt;=M1968,"Due soon","Not due")))))</x:f>
      </x:c>
      <x:c r="H1968" s="5" t="str">
        <x:f>IF(OR(COUNTA(A1968:F1968)=0,COUNTIFS('Rules'!$G$7:$G$26,"="&amp;(SUBSTITUTE(SUBSTITUTE(SUBSTITUTE(SUBSTITUTE("type:"&amp;B1968,"%","%25"),"~","%7E"),"*","%2A"),"?","%3F")))&lt;&gt;1),"",IF(OR(INDEX('Rules'!$B$7:$B$26,MATCH(SUBSTITUTE(SUBSTITUTE(SUBSTITUTE(SUBSTITUTE("type:"&amp;B1968,"%","%25"),"~","%7E"),"*","%2A"),"?","%3F"),'Rules'!$G$7:$G$26,0))="hours",INDEX('Rules'!$B$7:$B$26,MATCH(SUBSTITUTE(SUBSTITUTE(SUBSTITUTE(SUBSTITUTE("type:"&amp;B1968,"%","%25"),"~","%7E"),"*","%2A"),"?","%3F"),'Rules'!$G$7:$G$26,0))="km"),INDEX('Rules'!$B$7:$B$26,MATCH(SUBSTITUTE(SUBSTITUTE(SUBSTITUTE(SUBSTITUTE("type:"&amp;B1968,"%","%25"),"~","%7E"),"*","%2A"),"?","%3F"),'Rules'!$G$7:$G$26,0)),""))</x:f>
      </x:c>
      <x:c r="I1968" s="6" t="str">
        <x:f>IF(AND(NOT(COUNTA(A1968:F1968)=0),K1968=""),ROUND(J1968-D1968,3),"")</x:f>
      </x:c>
      <x:c r="J1968" s="6" t="str">
        <x:f>IF(AND(NOT(COUNTA(A1968:F1968)=0),K1968=""),ROUND(F1968+L1968,3),"")</x:f>
      </x:c>
      <x:c r="K1968" s="5" t="str">
        <x:f>IF(COUNTA(A1968:F1968)=0,"",IF(A1968="","Missing equipment ID",IF(COUNTIFS($N$8:$N$2007,"="&amp;N1968)&gt;1,"Duplicate equipment ID",IF(B1968="","Missing type",IF(COUNTIFS('Rules'!$G$7:$G$26,"="&amp;(SUBSTITUTE(SUBSTITUTE(SUBSTITUTE(SUBSTITUTE("type:"&amp;B1968,"%","%25"),"~","%7E"),"*","%2A"),"?","%3F")))=0,"Unknown type",IF(COUNTIFS('Rules'!$G$7:$G$26,"="&amp;(SUBSTITUTE(SUBSTITUTE(SUBSTITUTE(SUBSTITUTE("type:"&amp;B1968,"%","%25"),"~","%7E"),"*","%2A"),"?","%3F")))&gt;1,"Duplicate type",IF(INDEX('Rules'!$F$7:$F$26,MATCH(SUBSTITUTE(SUBSTITUTE(SUBSTITUTE(SUBSTITUTE("type:"&amp;B1968,"%","%25"),"~","%7E"),"*","%2A"),"?","%3F"),'Rules'!$G$7:$G$26,0))&lt;&gt;"",INDEX('Rules'!$F$7:$F$26,MATCH(SUBSTITUTE(SUBSTITUTE(SUBSTITUTE(SUBSTITUTE("type:"&amp;B1968,"%","%25"),"~","%7E"),"*","%2A"),"?","%3F"),'Rules'!$G$7:$G$26,0)),IF(AND(C1968&lt;&gt;"",C1968&lt;&gt;INDEX('Rules'!$B$7:$B$26,MATCH(SUBSTITUTE(SUBSTITUTE(SUBSTITUTE(SUBSTITUTE("type:"&amp;B1968,"%","%25"),"~","%7E"),"*","%2A"),"?","%3F"),'Rules'!$G$7:$G$26,0))),"Unit mismatch",IF(IF(NOT(ISNUMBER(D1968)),TRUE,OR(D1968&lt;0,D1968&gt;999999999,ROUND(D1968,3)&lt;&gt;D1968)),"Invalid current reading",IF(AND(E1968&lt;&gt;"",IF(NOT(ISNUMBER(E1968)),TRUE,OR(E1968&lt;0,E1968&gt;999999999,ROUND(E1968,3)&lt;&gt;E1968))),"Invalid previous reading",IF(IF(NOT(ISNUMBER(F1968)),TRUE,OR(F1968&lt;0,F1968&gt;999999999,ROUND(F1968,3)&lt;&gt;F1968)),"Invalid last service",IF(AND(E1968&lt;&gt;"",D1968&lt;E1968),"Decreased reading",IF(F1968&gt;D1968,"Last service above current","")))))))))))))</x:f>
      </x:c>
      <x:c r="L1968" s="6" t="str">
        <x:f>IF(AND(NOT(COUNTA(A1968:F1968)=0),K1968=""),INDEX('Rules'!$C$7:$C$26,MATCH(SUBSTITUTE(SUBSTITUTE(SUBSTITUTE(SUBSTITUTE("type:"&amp;B1968,"%","%25"),"~","%7E"),"*","%2A"),"?","%3F"),'Rules'!$G$7:$G$26,0)),"")</x:f>
      </x:c>
      <x:c r="M1968" s="6" t="str">
        <x:f>IF(AND(NOT(COUNTA(A1968:F1968)=0),K1968=""),INDEX('Rules'!$D$7:$D$26,MATCH(SUBSTITUTE(SUBSTITUTE(SUBSTITUTE(SUBSTITUTE("type:"&amp;B1968,"%","%25"),"~","%7E"),"*","%2A"),"?","%3F"),'Rules'!$G$7:$G$26,0)),"")</x:f>
      </x:c>
      <x:c r="N1968" s="5" t="str">
        <x:f>IF(COUNTA(A1968:F1968)=0,"",SUBSTITUTE(SUBSTITUTE(SUBSTITUTE(SUBSTITUTE("id:"&amp;A1968,"%","%25"),"~","%7E"),"*","%2A"),"?","%3F"))</x:f>
      </x:c>
    </x:row>
    <x:row r="1969" ht="22" customHeight="1">
      <x:c r="A1969" s="3"/>
      <x:c r="B1969" s="3"/>
      <x:c r="C1969" s="3"/>
      <x:c r="D1969" s="4"/>
      <x:c r="E1969" s="4"/>
      <x:c r="F1969" s="4"/>
      <x:c r="G1969" s="5" t="str">
        <x:f>IF(COUNTA(A1969:F1969)=0,"",IF(K1969&lt;&gt;"","Review",IF(I1969&lt;0,"Overdue",IF(I1969=0,"Due now",IF(I1969&lt;=M1969,"Due soon","Not due")))))</x:f>
      </x:c>
      <x:c r="H1969" s="5" t="str">
        <x:f>IF(OR(COUNTA(A1969:F1969)=0,COUNTIFS('Rules'!$G$7:$G$26,"="&amp;(SUBSTITUTE(SUBSTITUTE(SUBSTITUTE(SUBSTITUTE("type:"&amp;B1969,"%","%25"),"~","%7E"),"*","%2A"),"?","%3F")))&lt;&gt;1),"",IF(OR(INDEX('Rules'!$B$7:$B$26,MATCH(SUBSTITUTE(SUBSTITUTE(SUBSTITUTE(SUBSTITUTE("type:"&amp;B1969,"%","%25"),"~","%7E"),"*","%2A"),"?","%3F"),'Rules'!$G$7:$G$26,0))="hours",INDEX('Rules'!$B$7:$B$26,MATCH(SUBSTITUTE(SUBSTITUTE(SUBSTITUTE(SUBSTITUTE("type:"&amp;B1969,"%","%25"),"~","%7E"),"*","%2A"),"?","%3F"),'Rules'!$G$7:$G$26,0))="km"),INDEX('Rules'!$B$7:$B$26,MATCH(SUBSTITUTE(SUBSTITUTE(SUBSTITUTE(SUBSTITUTE("type:"&amp;B1969,"%","%25"),"~","%7E"),"*","%2A"),"?","%3F"),'Rules'!$G$7:$G$26,0)),""))</x:f>
      </x:c>
      <x:c r="I1969" s="6" t="str">
        <x:f>IF(AND(NOT(COUNTA(A1969:F1969)=0),K1969=""),ROUND(J1969-D1969,3),"")</x:f>
      </x:c>
      <x:c r="J1969" s="6" t="str">
        <x:f>IF(AND(NOT(COUNTA(A1969:F1969)=0),K1969=""),ROUND(F1969+L1969,3),"")</x:f>
      </x:c>
      <x:c r="K1969" s="5" t="str">
        <x:f>IF(COUNTA(A1969:F1969)=0,"",IF(A1969="","Missing equipment ID",IF(COUNTIFS($N$8:$N$2007,"="&amp;N1969)&gt;1,"Duplicate equipment ID",IF(B1969="","Missing type",IF(COUNTIFS('Rules'!$G$7:$G$26,"="&amp;(SUBSTITUTE(SUBSTITUTE(SUBSTITUTE(SUBSTITUTE("type:"&amp;B1969,"%","%25"),"~","%7E"),"*","%2A"),"?","%3F")))=0,"Unknown type",IF(COUNTIFS('Rules'!$G$7:$G$26,"="&amp;(SUBSTITUTE(SUBSTITUTE(SUBSTITUTE(SUBSTITUTE("type:"&amp;B1969,"%","%25"),"~","%7E"),"*","%2A"),"?","%3F")))&gt;1,"Duplicate type",IF(INDEX('Rules'!$F$7:$F$26,MATCH(SUBSTITUTE(SUBSTITUTE(SUBSTITUTE(SUBSTITUTE("type:"&amp;B1969,"%","%25"),"~","%7E"),"*","%2A"),"?","%3F"),'Rules'!$G$7:$G$26,0))&lt;&gt;"",INDEX('Rules'!$F$7:$F$26,MATCH(SUBSTITUTE(SUBSTITUTE(SUBSTITUTE(SUBSTITUTE("type:"&amp;B1969,"%","%25"),"~","%7E"),"*","%2A"),"?","%3F"),'Rules'!$G$7:$G$26,0)),IF(AND(C1969&lt;&gt;"",C1969&lt;&gt;INDEX('Rules'!$B$7:$B$26,MATCH(SUBSTITUTE(SUBSTITUTE(SUBSTITUTE(SUBSTITUTE("type:"&amp;B1969,"%","%25"),"~","%7E"),"*","%2A"),"?","%3F"),'Rules'!$G$7:$G$26,0))),"Unit mismatch",IF(IF(NOT(ISNUMBER(D1969)),TRUE,OR(D1969&lt;0,D1969&gt;999999999,ROUND(D1969,3)&lt;&gt;D1969)),"Invalid current reading",IF(AND(E1969&lt;&gt;"",IF(NOT(ISNUMBER(E1969)),TRUE,OR(E1969&lt;0,E1969&gt;999999999,ROUND(E1969,3)&lt;&gt;E1969))),"Invalid previous reading",IF(IF(NOT(ISNUMBER(F1969)),TRUE,OR(F1969&lt;0,F1969&gt;999999999,ROUND(F1969,3)&lt;&gt;F1969)),"Invalid last service",IF(AND(E1969&lt;&gt;"",D1969&lt;E1969),"Decreased reading",IF(F1969&gt;D1969,"Last service above current","")))))))))))))</x:f>
      </x:c>
      <x:c r="L1969" s="6" t="str">
        <x:f>IF(AND(NOT(COUNTA(A1969:F1969)=0),K1969=""),INDEX('Rules'!$C$7:$C$26,MATCH(SUBSTITUTE(SUBSTITUTE(SUBSTITUTE(SUBSTITUTE("type:"&amp;B1969,"%","%25"),"~","%7E"),"*","%2A"),"?","%3F"),'Rules'!$G$7:$G$26,0)),"")</x:f>
      </x:c>
      <x:c r="M1969" s="6" t="str">
        <x:f>IF(AND(NOT(COUNTA(A1969:F1969)=0),K1969=""),INDEX('Rules'!$D$7:$D$26,MATCH(SUBSTITUTE(SUBSTITUTE(SUBSTITUTE(SUBSTITUTE("type:"&amp;B1969,"%","%25"),"~","%7E"),"*","%2A"),"?","%3F"),'Rules'!$G$7:$G$26,0)),"")</x:f>
      </x:c>
      <x:c r="N1969" s="5" t="str">
        <x:f>IF(COUNTA(A1969:F1969)=0,"",SUBSTITUTE(SUBSTITUTE(SUBSTITUTE(SUBSTITUTE("id:"&amp;A1969,"%","%25"),"~","%7E"),"*","%2A"),"?","%3F"))</x:f>
      </x:c>
    </x:row>
    <x:row r="1970" ht="22" customHeight="1">
      <x:c r="A1970" s="3"/>
      <x:c r="B1970" s="3"/>
      <x:c r="C1970" s="3"/>
      <x:c r="D1970" s="4"/>
      <x:c r="E1970" s="4"/>
      <x:c r="F1970" s="4"/>
      <x:c r="G1970" s="5" t="str">
        <x:f>IF(COUNTA(A1970:F1970)=0,"",IF(K1970&lt;&gt;"","Review",IF(I1970&lt;0,"Overdue",IF(I1970=0,"Due now",IF(I1970&lt;=M1970,"Due soon","Not due")))))</x:f>
      </x:c>
      <x:c r="H1970" s="5" t="str">
        <x:f>IF(OR(COUNTA(A1970:F1970)=0,COUNTIFS('Rules'!$G$7:$G$26,"="&amp;(SUBSTITUTE(SUBSTITUTE(SUBSTITUTE(SUBSTITUTE("type:"&amp;B1970,"%","%25"),"~","%7E"),"*","%2A"),"?","%3F")))&lt;&gt;1),"",IF(OR(INDEX('Rules'!$B$7:$B$26,MATCH(SUBSTITUTE(SUBSTITUTE(SUBSTITUTE(SUBSTITUTE("type:"&amp;B1970,"%","%25"),"~","%7E"),"*","%2A"),"?","%3F"),'Rules'!$G$7:$G$26,0))="hours",INDEX('Rules'!$B$7:$B$26,MATCH(SUBSTITUTE(SUBSTITUTE(SUBSTITUTE(SUBSTITUTE("type:"&amp;B1970,"%","%25"),"~","%7E"),"*","%2A"),"?","%3F"),'Rules'!$G$7:$G$26,0))="km"),INDEX('Rules'!$B$7:$B$26,MATCH(SUBSTITUTE(SUBSTITUTE(SUBSTITUTE(SUBSTITUTE("type:"&amp;B1970,"%","%25"),"~","%7E"),"*","%2A"),"?","%3F"),'Rules'!$G$7:$G$26,0)),""))</x:f>
      </x:c>
      <x:c r="I1970" s="6" t="str">
        <x:f>IF(AND(NOT(COUNTA(A1970:F1970)=0),K1970=""),ROUND(J1970-D1970,3),"")</x:f>
      </x:c>
      <x:c r="J1970" s="6" t="str">
        <x:f>IF(AND(NOT(COUNTA(A1970:F1970)=0),K1970=""),ROUND(F1970+L1970,3),"")</x:f>
      </x:c>
      <x:c r="K1970" s="5" t="str">
        <x:f>IF(COUNTA(A1970:F1970)=0,"",IF(A1970="","Missing equipment ID",IF(COUNTIFS($N$8:$N$2007,"="&amp;N1970)&gt;1,"Duplicate equipment ID",IF(B1970="","Missing type",IF(COUNTIFS('Rules'!$G$7:$G$26,"="&amp;(SUBSTITUTE(SUBSTITUTE(SUBSTITUTE(SUBSTITUTE("type:"&amp;B1970,"%","%25"),"~","%7E"),"*","%2A"),"?","%3F")))=0,"Unknown type",IF(COUNTIFS('Rules'!$G$7:$G$26,"="&amp;(SUBSTITUTE(SUBSTITUTE(SUBSTITUTE(SUBSTITUTE("type:"&amp;B1970,"%","%25"),"~","%7E"),"*","%2A"),"?","%3F")))&gt;1,"Duplicate type",IF(INDEX('Rules'!$F$7:$F$26,MATCH(SUBSTITUTE(SUBSTITUTE(SUBSTITUTE(SUBSTITUTE("type:"&amp;B1970,"%","%25"),"~","%7E"),"*","%2A"),"?","%3F"),'Rules'!$G$7:$G$26,0))&lt;&gt;"",INDEX('Rules'!$F$7:$F$26,MATCH(SUBSTITUTE(SUBSTITUTE(SUBSTITUTE(SUBSTITUTE("type:"&amp;B1970,"%","%25"),"~","%7E"),"*","%2A"),"?","%3F"),'Rules'!$G$7:$G$26,0)),IF(AND(C1970&lt;&gt;"",C1970&lt;&gt;INDEX('Rules'!$B$7:$B$26,MATCH(SUBSTITUTE(SUBSTITUTE(SUBSTITUTE(SUBSTITUTE("type:"&amp;B1970,"%","%25"),"~","%7E"),"*","%2A"),"?","%3F"),'Rules'!$G$7:$G$26,0))),"Unit mismatch",IF(IF(NOT(ISNUMBER(D1970)),TRUE,OR(D1970&lt;0,D1970&gt;999999999,ROUND(D1970,3)&lt;&gt;D1970)),"Invalid current reading",IF(AND(E1970&lt;&gt;"",IF(NOT(ISNUMBER(E1970)),TRUE,OR(E1970&lt;0,E1970&gt;999999999,ROUND(E1970,3)&lt;&gt;E1970))),"Invalid previous reading",IF(IF(NOT(ISNUMBER(F1970)),TRUE,OR(F1970&lt;0,F1970&gt;999999999,ROUND(F1970,3)&lt;&gt;F1970)),"Invalid last service",IF(AND(E1970&lt;&gt;"",D1970&lt;E1970),"Decreased reading",IF(F1970&gt;D1970,"Last service above current","")))))))))))))</x:f>
      </x:c>
      <x:c r="L1970" s="6" t="str">
        <x:f>IF(AND(NOT(COUNTA(A1970:F1970)=0),K1970=""),INDEX('Rules'!$C$7:$C$26,MATCH(SUBSTITUTE(SUBSTITUTE(SUBSTITUTE(SUBSTITUTE("type:"&amp;B1970,"%","%25"),"~","%7E"),"*","%2A"),"?","%3F"),'Rules'!$G$7:$G$26,0)),"")</x:f>
      </x:c>
      <x:c r="M1970" s="6" t="str">
        <x:f>IF(AND(NOT(COUNTA(A1970:F1970)=0),K1970=""),INDEX('Rules'!$D$7:$D$26,MATCH(SUBSTITUTE(SUBSTITUTE(SUBSTITUTE(SUBSTITUTE("type:"&amp;B1970,"%","%25"),"~","%7E"),"*","%2A"),"?","%3F"),'Rules'!$G$7:$G$26,0)),"")</x:f>
      </x:c>
      <x:c r="N1970" s="5" t="str">
        <x:f>IF(COUNTA(A1970:F1970)=0,"",SUBSTITUTE(SUBSTITUTE(SUBSTITUTE(SUBSTITUTE("id:"&amp;A1970,"%","%25"),"~","%7E"),"*","%2A"),"?","%3F"))</x:f>
      </x:c>
    </x:row>
    <x:row r="1971" ht="22" customHeight="1">
      <x:c r="A1971" s="3"/>
      <x:c r="B1971" s="3"/>
      <x:c r="C1971" s="3"/>
      <x:c r="D1971" s="4"/>
      <x:c r="E1971" s="4"/>
      <x:c r="F1971" s="4"/>
      <x:c r="G1971" s="5" t="str">
        <x:f>IF(COUNTA(A1971:F1971)=0,"",IF(K1971&lt;&gt;"","Review",IF(I1971&lt;0,"Overdue",IF(I1971=0,"Due now",IF(I1971&lt;=M1971,"Due soon","Not due")))))</x:f>
      </x:c>
      <x:c r="H1971" s="5" t="str">
        <x:f>IF(OR(COUNTA(A1971:F1971)=0,COUNTIFS('Rules'!$G$7:$G$26,"="&amp;(SUBSTITUTE(SUBSTITUTE(SUBSTITUTE(SUBSTITUTE("type:"&amp;B1971,"%","%25"),"~","%7E"),"*","%2A"),"?","%3F")))&lt;&gt;1),"",IF(OR(INDEX('Rules'!$B$7:$B$26,MATCH(SUBSTITUTE(SUBSTITUTE(SUBSTITUTE(SUBSTITUTE("type:"&amp;B1971,"%","%25"),"~","%7E"),"*","%2A"),"?","%3F"),'Rules'!$G$7:$G$26,0))="hours",INDEX('Rules'!$B$7:$B$26,MATCH(SUBSTITUTE(SUBSTITUTE(SUBSTITUTE(SUBSTITUTE("type:"&amp;B1971,"%","%25"),"~","%7E"),"*","%2A"),"?","%3F"),'Rules'!$G$7:$G$26,0))="km"),INDEX('Rules'!$B$7:$B$26,MATCH(SUBSTITUTE(SUBSTITUTE(SUBSTITUTE(SUBSTITUTE("type:"&amp;B1971,"%","%25"),"~","%7E"),"*","%2A"),"?","%3F"),'Rules'!$G$7:$G$26,0)),""))</x:f>
      </x:c>
      <x:c r="I1971" s="6" t="str">
        <x:f>IF(AND(NOT(COUNTA(A1971:F1971)=0),K1971=""),ROUND(J1971-D1971,3),"")</x:f>
      </x:c>
      <x:c r="J1971" s="6" t="str">
        <x:f>IF(AND(NOT(COUNTA(A1971:F1971)=0),K1971=""),ROUND(F1971+L1971,3),"")</x:f>
      </x:c>
      <x:c r="K1971" s="5" t="str">
        <x:f>IF(COUNTA(A1971:F1971)=0,"",IF(A1971="","Missing equipment ID",IF(COUNTIFS($N$8:$N$2007,"="&amp;N1971)&gt;1,"Duplicate equipment ID",IF(B1971="","Missing type",IF(COUNTIFS('Rules'!$G$7:$G$26,"="&amp;(SUBSTITUTE(SUBSTITUTE(SUBSTITUTE(SUBSTITUTE("type:"&amp;B1971,"%","%25"),"~","%7E"),"*","%2A"),"?","%3F")))=0,"Unknown type",IF(COUNTIFS('Rules'!$G$7:$G$26,"="&amp;(SUBSTITUTE(SUBSTITUTE(SUBSTITUTE(SUBSTITUTE("type:"&amp;B1971,"%","%25"),"~","%7E"),"*","%2A"),"?","%3F")))&gt;1,"Duplicate type",IF(INDEX('Rules'!$F$7:$F$26,MATCH(SUBSTITUTE(SUBSTITUTE(SUBSTITUTE(SUBSTITUTE("type:"&amp;B1971,"%","%25"),"~","%7E"),"*","%2A"),"?","%3F"),'Rules'!$G$7:$G$26,0))&lt;&gt;"",INDEX('Rules'!$F$7:$F$26,MATCH(SUBSTITUTE(SUBSTITUTE(SUBSTITUTE(SUBSTITUTE("type:"&amp;B1971,"%","%25"),"~","%7E"),"*","%2A"),"?","%3F"),'Rules'!$G$7:$G$26,0)),IF(AND(C1971&lt;&gt;"",C1971&lt;&gt;INDEX('Rules'!$B$7:$B$26,MATCH(SUBSTITUTE(SUBSTITUTE(SUBSTITUTE(SUBSTITUTE("type:"&amp;B1971,"%","%25"),"~","%7E"),"*","%2A"),"?","%3F"),'Rules'!$G$7:$G$26,0))),"Unit mismatch",IF(IF(NOT(ISNUMBER(D1971)),TRUE,OR(D1971&lt;0,D1971&gt;999999999,ROUND(D1971,3)&lt;&gt;D1971)),"Invalid current reading",IF(AND(E1971&lt;&gt;"",IF(NOT(ISNUMBER(E1971)),TRUE,OR(E1971&lt;0,E1971&gt;999999999,ROUND(E1971,3)&lt;&gt;E1971))),"Invalid previous reading",IF(IF(NOT(ISNUMBER(F1971)),TRUE,OR(F1971&lt;0,F1971&gt;999999999,ROUND(F1971,3)&lt;&gt;F1971)),"Invalid last service",IF(AND(E1971&lt;&gt;"",D1971&lt;E1971),"Decreased reading",IF(F1971&gt;D1971,"Last service above current","")))))))))))))</x:f>
      </x:c>
      <x:c r="L1971" s="6" t="str">
        <x:f>IF(AND(NOT(COUNTA(A1971:F1971)=0),K1971=""),INDEX('Rules'!$C$7:$C$26,MATCH(SUBSTITUTE(SUBSTITUTE(SUBSTITUTE(SUBSTITUTE("type:"&amp;B1971,"%","%25"),"~","%7E"),"*","%2A"),"?","%3F"),'Rules'!$G$7:$G$26,0)),"")</x:f>
      </x:c>
      <x:c r="M1971" s="6" t="str">
        <x:f>IF(AND(NOT(COUNTA(A1971:F1971)=0),K1971=""),INDEX('Rules'!$D$7:$D$26,MATCH(SUBSTITUTE(SUBSTITUTE(SUBSTITUTE(SUBSTITUTE("type:"&amp;B1971,"%","%25"),"~","%7E"),"*","%2A"),"?","%3F"),'Rules'!$G$7:$G$26,0)),"")</x:f>
      </x:c>
      <x:c r="N1971" s="5" t="str">
        <x:f>IF(COUNTA(A1971:F1971)=0,"",SUBSTITUTE(SUBSTITUTE(SUBSTITUTE(SUBSTITUTE("id:"&amp;A1971,"%","%25"),"~","%7E"),"*","%2A"),"?","%3F"))</x:f>
      </x:c>
    </x:row>
    <x:row r="1972" ht="22" customHeight="1">
      <x:c r="A1972" s="3"/>
      <x:c r="B1972" s="3"/>
      <x:c r="C1972" s="3"/>
      <x:c r="D1972" s="4"/>
      <x:c r="E1972" s="4"/>
      <x:c r="F1972" s="4"/>
      <x:c r="G1972" s="5" t="str">
        <x:f>IF(COUNTA(A1972:F1972)=0,"",IF(K1972&lt;&gt;"","Review",IF(I1972&lt;0,"Overdue",IF(I1972=0,"Due now",IF(I1972&lt;=M1972,"Due soon","Not due")))))</x:f>
      </x:c>
      <x:c r="H1972" s="5" t="str">
        <x:f>IF(OR(COUNTA(A1972:F1972)=0,COUNTIFS('Rules'!$G$7:$G$26,"="&amp;(SUBSTITUTE(SUBSTITUTE(SUBSTITUTE(SUBSTITUTE("type:"&amp;B1972,"%","%25"),"~","%7E"),"*","%2A"),"?","%3F")))&lt;&gt;1),"",IF(OR(INDEX('Rules'!$B$7:$B$26,MATCH(SUBSTITUTE(SUBSTITUTE(SUBSTITUTE(SUBSTITUTE("type:"&amp;B1972,"%","%25"),"~","%7E"),"*","%2A"),"?","%3F"),'Rules'!$G$7:$G$26,0))="hours",INDEX('Rules'!$B$7:$B$26,MATCH(SUBSTITUTE(SUBSTITUTE(SUBSTITUTE(SUBSTITUTE("type:"&amp;B1972,"%","%25"),"~","%7E"),"*","%2A"),"?","%3F"),'Rules'!$G$7:$G$26,0))="km"),INDEX('Rules'!$B$7:$B$26,MATCH(SUBSTITUTE(SUBSTITUTE(SUBSTITUTE(SUBSTITUTE("type:"&amp;B1972,"%","%25"),"~","%7E"),"*","%2A"),"?","%3F"),'Rules'!$G$7:$G$26,0)),""))</x:f>
      </x:c>
      <x:c r="I1972" s="6" t="str">
        <x:f>IF(AND(NOT(COUNTA(A1972:F1972)=0),K1972=""),ROUND(J1972-D1972,3),"")</x:f>
      </x:c>
      <x:c r="J1972" s="6" t="str">
        <x:f>IF(AND(NOT(COUNTA(A1972:F1972)=0),K1972=""),ROUND(F1972+L1972,3),"")</x:f>
      </x:c>
      <x:c r="K1972" s="5" t="str">
        <x:f>IF(COUNTA(A1972:F1972)=0,"",IF(A1972="","Missing equipment ID",IF(COUNTIFS($N$8:$N$2007,"="&amp;N1972)&gt;1,"Duplicate equipment ID",IF(B1972="","Missing type",IF(COUNTIFS('Rules'!$G$7:$G$26,"="&amp;(SUBSTITUTE(SUBSTITUTE(SUBSTITUTE(SUBSTITUTE("type:"&amp;B1972,"%","%25"),"~","%7E"),"*","%2A"),"?","%3F")))=0,"Unknown type",IF(COUNTIFS('Rules'!$G$7:$G$26,"="&amp;(SUBSTITUTE(SUBSTITUTE(SUBSTITUTE(SUBSTITUTE("type:"&amp;B1972,"%","%25"),"~","%7E"),"*","%2A"),"?","%3F")))&gt;1,"Duplicate type",IF(INDEX('Rules'!$F$7:$F$26,MATCH(SUBSTITUTE(SUBSTITUTE(SUBSTITUTE(SUBSTITUTE("type:"&amp;B1972,"%","%25"),"~","%7E"),"*","%2A"),"?","%3F"),'Rules'!$G$7:$G$26,0))&lt;&gt;"",INDEX('Rules'!$F$7:$F$26,MATCH(SUBSTITUTE(SUBSTITUTE(SUBSTITUTE(SUBSTITUTE("type:"&amp;B1972,"%","%25"),"~","%7E"),"*","%2A"),"?","%3F"),'Rules'!$G$7:$G$26,0)),IF(AND(C1972&lt;&gt;"",C1972&lt;&gt;INDEX('Rules'!$B$7:$B$26,MATCH(SUBSTITUTE(SUBSTITUTE(SUBSTITUTE(SUBSTITUTE("type:"&amp;B1972,"%","%25"),"~","%7E"),"*","%2A"),"?","%3F"),'Rules'!$G$7:$G$26,0))),"Unit mismatch",IF(IF(NOT(ISNUMBER(D1972)),TRUE,OR(D1972&lt;0,D1972&gt;999999999,ROUND(D1972,3)&lt;&gt;D1972)),"Invalid current reading",IF(AND(E1972&lt;&gt;"",IF(NOT(ISNUMBER(E1972)),TRUE,OR(E1972&lt;0,E1972&gt;999999999,ROUND(E1972,3)&lt;&gt;E1972))),"Invalid previous reading",IF(IF(NOT(ISNUMBER(F1972)),TRUE,OR(F1972&lt;0,F1972&gt;999999999,ROUND(F1972,3)&lt;&gt;F1972)),"Invalid last service",IF(AND(E1972&lt;&gt;"",D1972&lt;E1972),"Decreased reading",IF(F1972&gt;D1972,"Last service above current","")))))))))))))</x:f>
      </x:c>
      <x:c r="L1972" s="6" t="str">
        <x:f>IF(AND(NOT(COUNTA(A1972:F1972)=0),K1972=""),INDEX('Rules'!$C$7:$C$26,MATCH(SUBSTITUTE(SUBSTITUTE(SUBSTITUTE(SUBSTITUTE("type:"&amp;B1972,"%","%25"),"~","%7E"),"*","%2A"),"?","%3F"),'Rules'!$G$7:$G$26,0)),"")</x:f>
      </x:c>
      <x:c r="M1972" s="6" t="str">
        <x:f>IF(AND(NOT(COUNTA(A1972:F1972)=0),K1972=""),INDEX('Rules'!$D$7:$D$26,MATCH(SUBSTITUTE(SUBSTITUTE(SUBSTITUTE(SUBSTITUTE("type:"&amp;B1972,"%","%25"),"~","%7E"),"*","%2A"),"?","%3F"),'Rules'!$G$7:$G$26,0)),"")</x:f>
      </x:c>
      <x:c r="N1972" s="5" t="str">
        <x:f>IF(COUNTA(A1972:F1972)=0,"",SUBSTITUTE(SUBSTITUTE(SUBSTITUTE(SUBSTITUTE("id:"&amp;A1972,"%","%25"),"~","%7E"),"*","%2A"),"?","%3F"))</x:f>
      </x:c>
    </x:row>
    <x:row r="1973" ht="22" customHeight="1">
      <x:c r="A1973" s="3"/>
      <x:c r="B1973" s="3"/>
      <x:c r="C1973" s="3"/>
      <x:c r="D1973" s="4"/>
      <x:c r="E1973" s="4"/>
      <x:c r="F1973" s="4"/>
      <x:c r="G1973" s="5" t="str">
        <x:f>IF(COUNTA(A1973:F1973)=0,"",IF(K1973&lt;&gt;"","Review",IF(I1973&lt;0,"Overdue",IF(I1973=0,"Due now",IF(I1973&lt;=M1973,"Due soon","Not due")))))</x:f>
      </x:c>
      <x:c r="H1973" s="5" t="str">
        <x:f>IF(OR(COUNTA(A1973:F1973)=0,COUNTIFS('Rules'!$G$7:$G$26,"="&amp;(SUBSTITUTE(SUBSTITUTE(SUBSTITUTE(SUBSTITUTE("type:"&amp;B1973,"%","%25"),"~","%7E"),"*","%2A"),"?","%3F")))&lt;&gt;1),"",IF(OR(INDEX('Rules'!$B$7:$B$26,MATCH(SUBSTITUTE(SUBSTITUTE(SUBSTITUTE(SUBSTITUTE("type:"&amp;B1973,"%","%25"),"~","%7E"),"*","%2A"),"?","%3F"),'Rules'!$G$7:$G$26,0))="hours",INDEX('Rules'!$B$7:$B$26,MATCH(SUBSTITUTE(SUBSTITUTE(SUBSTITUTE(SUBSTITUTE("type:"&amp;B1973,"%","%25"),"~","%7E"),"*","%2A"),"?","%3F"),'Rules'!$G$7:$G$26,0))="km"),INDEX('Rules'!$B$7:$B$26,MATCH(SUBSTITUTE(SUBSTITUTE(SUBSTITUTE(SUBSTITUTE("type:"&amp;B1973,"%","%25"),"~","%7E"),"*","%2A"),"?","%3F"),'Rules'!$G$7:$G$26,0)),""))</x:f>
      </x:c>
      <x:c r="I1973" s="6" t="str">
        <x:f>IF(AND(NOT(COUNTA(A1973:F1973)=0),K1973=""),ROUND(J1973-D1973,3),"")</x:f>
      </x:c>
      <x:c r="J1973" s="6" t="str">
        <x:f>IF(AND(NOT(COUNTA(A1973:F1973)=0),K1973=""),ROUND(F1973+L1973,3),"")</x:f>
      </x:c>
      <x:c r="K1973" s="5" t="str">
        <x:f>IF(COUNTA(A1973:F1973)=0,"",IF(A1973="","Missing equipment ID",IF(COUNTIFS($N$8:$N$2007,"="&amp;N1973)&gt;1,"Duplicate equipment ID",IF(B1973="","Missing type",IF(COUNTIFS('Rules'!$G$7:$G$26,"="&amp;(SUBSTITUTE(SUBSTITUTE(SUBSTITUTE(SUBSTITUTE("type:"&amp;B1973,"%","%25"),"~","%7E"),"*","%2A"),"?","%3F")))=0,"Unknown type",IF(COUNTIFS('Rules'!$G$7:$G$26,"="&amp;(SUBSTITUTE(SUBSTITUTE(SUBSTITUTE(SUBSTITUTE("type:"&amp;B1973,"%","%25"),"~","%7E"),"*","%2A"),"?","%3F")))&gt;1,"Duplicate type",IF(INDEX('Rules'!$F$7:$F$26,MATCH(SUBSTITUTE(SUBSTITUTE(SUBSTITUTE(SUBSTITUTE("type:"&amp;B1973,"%","%25"),"~","%7E"),"*","%2A"),"?","%3F"),'Rules'!$G$7:$G$26,0))&lt;&gt;"",INDEX('Rules'!$F$7:$F$26,MATCH(SUBSTITUTE(SUBSTITUTE(SUBSTITUTE(SUBSTITUTE("type:"&amp;B1973,"%","%25"),"~","%7E"),"*","%2A"),"?","%3F"),'Rules'!$G$7:$G$26,0)),IF(AND(C1973&lt;&gt;"",C1973&lt;&gt;INDEX('Rules'!$B$7:$B$26,MATCH(SUBSTITUTE(SUBSTITUTE(SUBSTITUTE(SUBSTITUTE("type:"&amp;B1973,"%","%25"),"~","%7E"),"*","%2A"),"?","%3F"),'Rules'!$G$7:$G$26,0))),"Unit mismatch",IF(IF(NOT(ISNUMBER(D1973)),TRUE,OR(D1973&lt;0,D1973&gt;999999999,ROUND(D1973,3)&lt;&gt;D1973)),"Invalid current reading",IF(AND(E1973&lt;&gt;"",IF(NOT(ISNUMBER(E1973)),TRUE,OR(E1973&lt;0,E1973&gt;999999999,ROUND(E1973,3)&lt;&gt;E1973))),"Invalid previous reading",IF(IF(NOT(ISNUMBER(F1973)),TRUE,OR(F1973&lt;0,F1973&gt;999999999,ROUND(F1973,3)&lt;&gt;F1973)),"Invalid last service",IF(AND(E1973&lt;&gt;"",D1973&lt;E1973),"Decreased reading",IF(F1973&gt;D1973,"Last service above current","")))))))))))))</x:f>
      </x:c>
      <x:c r="L1973" s="6" t="str">
        <x:f>IF(AND(NOT(COUNTA(A1973:F1973)=0),K1973=""),INDEX('Rules'!$C$7:$C$26,MATCH(SUBSTITUTE(SUBSTITUTE(SUBSTITUTE(SUBSTITUTE("type:"&amp;B1973,"%","%25"),"~","%7E"),"*","%2A"),"?","%3F"),'Rules'!$G$7:$G$26,0)),"")</x:f>
      </x:c>
      <x:c r="M1973" s="6" t="str">
        <x:f>IF(AND(NOT(COUNTA(A1973:F1973)=0),K1973=""),INDEX('Rules'!$D$7:$D$26,MATCH(SUBSTITUTE(SUBSTITUTE(SUBSTITUTE(SUBSTITUTE("type:"&amp;B1973,"%","%25"),"~","%7E"),"*","%2A"),"?","%3F"),'Rules'!$G$7:$G$26,0)),"")</x:f>
      </x:c>
      <x:c r="N1973" s="5" t="str">
        <x:f>IF(COUNTA(A1973:F1973)=0,"",SUBSTITUTE(SUBSTITUTE(SUBSTITUTE(SUBSTITUTE("id:"&amp;A1973,"%","%25"),"~","%7E"),"*","%2A"),"?","%3F"))</x:f>
      </x:c>
    </x:row>
    <x:row r="1974" ht="22" customHeight="1">
      <x:c r="A1974" s="3"/>
      <x:c r="B1974" s="3"/>
      <x:c r="C1974" s="3"/>
      <x:c r="D1974" s="4"/>
      <x:c r="E1974" s="4"/>
      <x:c r="F1974" s="4"/>
      <x:c r="G1974" s="5" t="str">
        <x:f>IF(COUNTA(A1974:F1974)=0,"",IF(K1974&lt;&gt;"","Review",IF(I1974&lt;0,"Overdue",IF(I1974=0,"Due now",IF(I1974&lt;=M1974,"Due soon","Not due")))))</x:f>
      </x:c>
      <x:c r="H1974" s="5" t="str">
        <x:f>IF(OR(COUNTA(A1974:F1974)=0,COUNTIFS('Rules'!$G$7:$G$26,"="&amp;(SUBSTITUTE(SUBSTITUTE(SUBSTITUTE(SUBSTITUTE("type:"&amp;B1974,"%","%25"),"~","%7E"),"*","%2A"),"?","%3F")))&lt;&gt;1),"",IF(OR(INDEX('Rules'!$B$7:$B$26,MATCH(SUBSTITUTE(SUBSTITUTE(SUBSTITUTE(SUBSTITUTE("type:"&amp;B1974,"%","%25"),"~","%7E"),"*","%2A"),"?","%3F"),'Rules'!$G$7:$G$26,0))="hours",INDEX('Rules'!$B$7:$B$26,MATCH(SUBSTITUTE(SUBSTITUTE(SUBSTITUTE(SUBSTITUTE("type:"&amp;B1974,"%","%25"),"~","%7E"),"*","%2A"),"?","%3F"),'Rules'!$G$7:$G$26,0))="km"),INDEX('Rules'!$B$7:$B$26,MATCH(SUBSTITUTE(SUBSTITUTE(SUBSTITUTE(SUBSTITUTE("type:"&amp;B1974,"%","%25"),"~","%7E"),"*","%2A"),"?","%3F"),'Rules'!$G$7:$G$26,0)),""))</x:f>
      </x:c>
      <x:c r="I1974" s="6" t="str">
        <x:f>IF(AND(NOT(COUNTA(A1974:F1974)=0),K1974=""),ROUND(J1974-D1974,3),"")</x:f>
      </x:c>
      <x:c r="J1974" s="6" t="str">
        <x:f>IF(AND(NOT(COUNTA(A1974:F1974)=0),K1974=""),ROUND(F1974+L1974,3),"")</x:f>
      </x:c>
      <x:c r="K1974" s="5" t="str">
        <x:f>IF(COUNTA(A1974:F1974)=0,"",IF(A1974="","Missing equipment ID",IF(COUNTIFS($N$8:$N$2007,"="&amp;N1974)&gt;1,"Duplicate equipment ID",IF(B1974="","Missing type",IF(COUNTIFS('Rules'!$G$7:$G$26,"="&amp;(SUBSTITUTE(SUBSTITUTE(SUBSTITUTE(SUBSTITUTE("type:"&amp;B1974,"%","%25"),"~","%7E"),"*","%2A"),"?","%3F")))=0,"Unknown type",IF(COUNTIFS('Rules'!$G$7:$G$26,"="&amp;(SUBSTITUTE(SUBSTITUTE(SUBSTITUTE(SUBSTITUTE("type:"&amp;B1974,"%","%25"),"~","%7E"),"*","%2A"),"?","%3F")))&gt;1,"Duplicate type",IF(INDEX('Rules'!$F$7:$F$26,MATCH(SUBSTITUTE(SUBSTITUTE(SUBSTITUTE(SUBSTITUTE("type:"&amp;B1974,"%","%25"),"~","%7E"),"*","%2A"),"?","%3F"),'Rules'!$G$7:$G$26,0))&lt;&gt;"",INDEX('Rules'!$F$7:$F$26,MATCH(SUBSTITUTE(SUBSTITUTE(SUBSTITUTE(SUBSTITUTE("type:"&amp;B1974,"%","%25"),"~","%7E"),"*","%2A"),"?","%3F"),'Rules'!$G$7:$G$26,0)),IF(AND(C1974&lt;&gt;"",C1974&lt;&gt;INDEX('Rules'!$B$7:$B$26,MATCH(SUBSTITUTE(SUBSTITUTE(SUBSTITUTE(SUBSTITUTE("type:"&amp;B1974,"%","%25"),"~","%7E"),"*","%2A"),"?","%3F"),'Rules'!$G$7:$G$26,0))),"Unit mismatch",IF(IF(NOT(ISNUMBER(D1974)),TRUE,OR(D1974&lt;0,D1974&gt;999999999,ROUND(D1974,3)&lt;&gt;D1974)),"Invalid current reading",IF(AND(E1974&lt;&gt;"",IF(NOT(ISNUMBER(E1974)),TRUE,OR(E1974&lt;0,E1974&gt;999999999,ROUND(E1974,3)&lt;&gt;E1974))),"Invalid previous reading",IF(IF(NOT(ISNUMBER(F1974)),TRUE,OR(F1974&lt;0,F1974&gt;999999999,ROUND(F1974,3)&lt;&gt;F1974)),"Invalid last service",IF(AND(E1974&lt;&gt;"",D1974&lt;E1974),"Decreased reading",IF(F1974&gt;D1974,"Last service above current","")))))))))))))</x:f>
      </x:c>
      <x:c r="L1974" s="6" t="str">
        <x:f>IF(AND(NOT(COUNTA(A1974:F1974)=0),K1974=""),INDEX('Rules'!$C$7:$C$26,MATCH(SUBSTITUTE(SUBSTITUTE(SUBSTITUTE(SUBSTITUTE("type:"&amp;B1974,"%","%25"),"~","%7E"),"*","%2A"),"?","%3F"),'Rules'!$G$7:$G$26,0)),"")</x:f>
      </x:c>
      <x:c r="M1974" s="6" t="str">
        <x:f>IF(AND(NOT(COUNTA(A1974:F1974)=0),K1974=""),INDEX('Rules'!$D$7:$D$26,MATCH(SUBSTITUTE(SUBSTITUTE(SUBSTITUTE(SUBSTITUTE("type:"&amp;B1974,"%","%25"),"~","%7E"),"*","%2A"),"?","%3F"),'Rules'!$G$7:$G$26,0)),"")</x:f>
      </x:c>
      <x:c r="N1974" s="5" t="str">
        <x:f>IF(COUNTA(A1974:F1974)=0,"",SUBSTITUTE(SUBSTITUTE(SUBSTITUTE(SUBSTITUTE("id:"&amp;A1974,"%","%25"),"~","%7E"),"*","%2A"),"?","%3F"))</x:f>
      </x:c>
    </x:row>
    <x:row r="1975" ht="22" customHeight="1">
      <x:c r="A1975" s="3"/>
      <x:c r="B1975" s="3"/>
      <x:c r="C1975" s="3"/>
      <x:c r="D1975" s="4"/>
      <x:c r="E1975" s="4"/>
      <x:c r="F1975" s="4"/>
      <x:c r="G1975" s="5" t="str">
        <x:f>IF(COUNTA(A1975:F1975)=0,"",IF(K1975&lt;&gt;"","Review",IF(I1975&lt;0,"Overdue",IF(I1975=0,"Due now",IF(I1975&lt;=M1975,"Due soon","Not due")))))</x:f>
      </x:c>
      <x:c r="H1975" s="5" t="str">
        <x:f>IF(OR(COUNTA(A1975:F1975)=0,COUNTIFS('Rules'!$G$7:$G$26,"="&amp;(SUBSTITUTE(SUBSTITUTE(SUBSTITUTE(SUBSTITUTE("type:"&amp;B1975,"%","%25"),"~","%7E"),"*","%2A"),"?","%3F")))&lt;&gt;1),"",IF(OR(INDEX('Rules'!$B$7:$B$26,MATCH(SUBSTITUTE(SUBSTITUTE(SUBSTITUTE(SUBSTITUTE("type:"&amp;B1975,"%","%25"),"~","%7E"),"*","%2A"),"?","%3F"),'Rules'!$G$7:$G$26,0))="hours",INDEX('Rules'!$B$7:$B$26,MATCH(SUBSTITUTE(SUBSTITUTE(SUBSTITUTE(SUBSTITUTE("type:"&amp;B1975,"%","%25"),"~","%7E"),"*","%2A"),"?","%3F"),'Rules'!$G$7:$G$26,0))="km"),INDEX('Rules'!$B$7:$B$26,MATCH(SUBSTITUTE(SUBSTITUTE(SUBSTITUTE(SUBSTITUTE("type:"&amp;B1975,"%","%25"),"~","%7E"),"*","%2A"),"?","%3F"),'Rules'!$G$7:$G$26,0)),""))</x:f>
      </x:c>
      <x:c r="I1975" s="6" t="str">
        <x:f>IF(AND(NOT(COUNTA(A1975:F1975)=0),K1975=""),ROUND(J1975-D1975,3),"")</x:f>
      </x:c>
      <x:c r="J1975" s="6" t="str">
        <x:f>IF(AND(NOT(COUNTA(A1975:F1975)=0),K1975=""),ROUND(F1975+L1975,3),"")</x:f>
      </x:c>
      <x:c r="K1975" s="5" t="str">
        <x:f>IF(COUNTA(A1975:F1975)=0,"",IF(A1975="","Missing equipment ID",IF(COUNTIFS($N$8:$N$2007,"="&amp;N1975)&gt;1,"Duplicate equipment ID",IF(B1975="","Missing type",IF(COUNTIFS('Rules'!$G$7:$G$26,"="&amp;(SUBSTITUTE(SUBSTITUTE(SUBSTITUTE(SUBSTITUTE("type:"&amp;B1975,"%","%25"),"~","%7E"),"*","%2A"),"?","%3F")))=0,"Unknown type",IF(COUNTIFS('Rules'!$G$7:$G$26,"="&amp;(SUBSTITUTE(SUBSTITUTE(SUBSTITUTE(SUBSTITUTE("type:"&amp;B1975,"%","%25"),"~","%7E"),"*","%2A"),"?","%3F")))&gt;1,"Duplicate type",IF(INDEX('Rules'!$F$7:$F$26,MATCH(SUBSTITUTE(SUBSTITUTE(SUBSTITUTE(SUBSTITUTE("type:"&amp;B1975,"%","%25"),"~","%7E"),"*","%2A"),"?","%3F"),'Rules'!$G$7:$G$26,0))&lt;&gt;"",INDEX('Rules'!$F$7:$F$26,MATCH(SUBSTITUTE(SUBSTITUTE(SUBSTITUTE(SUBSTITUTE("type:"&amp;B1975,"%","%25"),"~","%7E"),"*","%2A"),"?","%3F"),'Rules'!$G$7:$G$26,0)),IF(AND(C1975&lt;&gt;"",C1975&lt;&gt;INDEX('Rules'!$B$7:$B$26,MATCH(SUBSTITUTE(SUBSTITUTE(SUBSTITUTE(SUBSTITUTE("type:"&amp;B1975,"%","%25"),"~","%7E"),"*","%2A"),"?","%3F"),'Rules'!$G$7:$G$26,0))),"Unit mismatch",IF(IF(NOT(ISNUMBER(D1975)),TRUE,OR(D1975&lt;0,D1975&gt;999999999,ROUND(D1975,3)&lt;&gt;D1975)),"Invalid current reading",IF(AND(E1975&lt;&gt;"",IF(NOT(ISNUMBER(E1975)),TRUE,OR(E1975&lt;0,E1975&gt;999999999,ROUND(E1975,3)&lt;&gt;E1975))),"Invalid previous reading",IF(IF(NOT(ISNUMBER(F1975)),TRUE,OR(F1975&lt;0,F1975&gt;999999999,ROUND(F1975,3)&lt;&gt;F1975)),"Invalid last service",IF(AND(E1975&lt;&gt;"",D1975&lt;E1975),"Decreased reading",IF(F1975&gt;D1975,"Last service above current","")))))))))))))</x:f>
      </x:c>
      <x:c r="L1975" s="6" t="str">
        <x:f>IF(AND(NOT(COUNTA(A1975:F1975)=0),K1975=""),INDEX('Rules'!$C$7:$C$26,MATCH(SUBSTITUTE(SUBSTITUTE(SUBSTITUTE(SUBSTITUTE("type:"&amp;B1975,"%","%25"),"~","%7E"),"*","%2A"),"?","%3F"),'Rules'!$G$7:$G$26,0)),"")</x:f>
      </x:c>
      <x:c r="M1975" s="6" t="str">
        <x:f>IF(AND(NOT(COUNTA(A1975:F1975)=0),K1975=""),INDEX('Rules'!$D$7:$D$26,MATCH(SUBSTITUTE(SUBSTITUTE(SUBSTITUTE(SUBSTITUTE("type:"&amp;B1975,"%","%25"),"~","%7E"),"*","%2A"),"?","%3F"),'Rules'!$G$7:$G$26,0)),"")</x:f>
      </x:c>
      <x:c r="N1975" s="5" t="str">
        <x:f>IF(COUNTA(A1975:F1975)=0,"",SUBSTITUTE(SUBSTITUTE(SUBSTITUTE(SUBSTITUTE("id:"&amp;A1975,"%","%25"),"~","%7E"),"*","%2A"),"?","%3F"))</x:f>
      </x:c>
    </x:row>
    <x:row r="1976" ht="22" customHeight="1">
      <x:c r="A1976" s="3"/>
      <x:c r="B1976" s="3"/>
      <x:c r="C1976" s="3"/>
      <x:c r="D1976" s="4"/>
      <x:c r="E1976" s="4"/>
      <x:c r="F1976" s="4"/>
      <x:c r="G1976" s="5" t="str">
        <x:f>IF(COUNTA(A1976:F1976)=0,"",IF(K1976&lt;&gt;"","Review",IF(I1976&lt;0,"Overdue",IF(I1976=0,"Due now",IF(I1976&lt;=M1976,"Due soon","Not due")))))</x:f>
      </x:c>
      <x:c r="H1976" s="5" t="str">
        <x:f>IF(OR(COUNTA(A1976:F1976)=0,COUNTIFS('Rules'!$G$7:$G$26,"="&amp;(SUBSTITUTE(SUBSTITUTE(SUBSTITUTE(SUBSTITUTE("type:"&amp;B1976,"%","%25"),"~","%7E"),"*","%2A"),"?","%3F")))&lt;&gt;1),"",IF(OR(INDEX('Rules'!$B$7:$B$26,MATCH(SUBSTITUTE(SUBSTITUTE(SUBSTITUTE(SUBSTITUTE("type:"&amp;B1976,"%","%25"),"~","%7E"),"*","%2A"),"?","%3F"),'Rules'!$G$7:$G$26,0))="hours",INDEX('Rules'!$B$7:$B$26,MATCH(SUBSTITUTE(SUBSTITUTE(SUBSTITUTE(SUBSTITUTE("type:"&amp;B1976,"%","%25"),"~","%7E"),"*","%2A"),"?","%3F"),'Rules'!$G$7:$G$26,0))="km"),INDEX('Rules'!$B$7:$B$26,MATCH(SUBSTITUTE(SUBSTITUTE(SUBSTITUTE(SUBSTITUTE("type:"&amp;B1976,"%","%25"),"~","%7E"),"*","%2A"),"?","%3F"),'Rules'!$G$7:$G$26,0)),""))</x:f>
      </x:c>
      <x:c r="I1976" s="6" t="str">
        <x:f>IF(AND(NOT(COUNTA(A1976:F1976)=0),K1976=""),ROUND(J1976-D1976,3),"")</x:f>
      </x:c>
      <x:c r="J1976" s="6" t="str">
        <x:f>IF(AND(NOT(COUNTA(A1976:F1976)=0),K1976=""),ROUND(F1976+L1976,3),"")</x:f>
      </x:c>
      <x:c r="K1976" s="5" t="str">
        <x:f>IF(COUNTA(A1976:F1976)=0,"",IF(A1976="","Missing equipment ID",IF(COUNTIFS($N$8:$N$2007,"="&amp;N1976)&gt;1,"Duplicate equipment ID",IF(B1976="","Missing type",IF(COUNTIFS('Rules'!$G$7:$G$26,"="&amp;(SUBSTITUTE(SUBSTITUTE(SUBSTITUTE(SUBSTITUTE("type:"&amp;B1976,"%","%25"),"~","%7E"),"*","%2A"),"?","%3F")))=0,"Unknown type",IF(COUNTIFS('Rules'!$G$7:$G$26,"="&amp;(SUBSTITUTE(SUBSTITUTE(SUBSTITUTE(SUBSTITUTE("type:"&amp;B1976,"%","%25"),"~","%7E"),"*","%2A"),"?","%3F")))&gt;1,"Duplicate type",IF(INDEX('Rules'!$F$7:$F$26,MATCH(SUBSTITUTE(SUBSTITUTE(SUBSTITUTE(SUBSTITUTE("type:"&amp;B1976,"%","%25"),"~","%7E"),"*","%2A"),"?","%3F"),'Rules'!$G$7:$G$26,0))&lt;&gt;"",INDEX('Rules'!$F$7:$F$26,MATCH(SUBSTITUTE(SUBSTITUTE(SUBSTITUTE(SUBSTITUTE("type:"&amp;B1976,"%","%25"),"~","%7E"),"*","%2A"),"?","%3F"),'Rules'!$G$7:$G$26,0)),IF(AND(C1976&lt;&gt;"",C1976&lt;&gt;INDEX('Rules'!$B$7:$B$26,MATCH(SUBSTITUTE(SUBSTITUTE(SUBSTITUTE(SUBSTITUTE("type:"&amp;B1976,"%","%25"),"~","%7E"),"*","%2A"),"?","%3F"),'Rules'!$G$7:$G$26,0))),"Unit mismatch",IF(IF(NOT(ISNUMBER(D1976)),TRUE,OR(D1976&lt;0,D1976&gt;999999999,ROUND(D1976,3)&lt;&gt;D1976)),"Invalid current reading",IF(AND(E1976&lt;&gt;"",IF(NOT(ISNUMBER(E1976)),TRUE,OR(E1976&lt;0,E1976&gt;999999999,ROUND(E1976,3)&lt;&gt;E1976))),"Invalid previous reading",IF(IF(NOT(ISNUMBER(F1976)),TRUE,OR(F1976&lt;0,F1976&gt;999999999,ROUND(F1976,3)&lt;&gt;F1976)),"Invalid last service",IF(AND(E1976&lt;&gt;"",D1976&lt;E1976),"Decreased reading",IF(F1976&gt;D1976,"Last service above current","")))))))))))))</x:f>
      </x:c>
      <x:c r="L1976" s="6" t="str">
        <x:f>IF(AND(NOT(COUNTA(A1976:F1976)=0),K1976=""),INDEX('Rules'!$C$7:$C$26,MATCH(SUBSTITUTE(SUBSTITUTE(SUBSTITUTE(SUBSTITUTE("type:"&amp;B1976,"%","%25"),"~","%7E"),"*","%2A"),"?","%3F"),'Rules'!$G$7:$G$26,0)),"")</x:f>
      </x:c>
      <x:c r="M1976" s="6" t="str">
        <x:f>IF(AND(NOT(COUNTA(A1976:F1976)=0),K1976=""),INDEX('Rules'!$D$7:$D$26,MATCH(SUBSTITUTE(SUBSTITUTE(SUBSTITUTE(SUBSTITUTE("type:"&amp;B1976,"%","%25"),"~","%7E"),"*","%2A"),"?","%3F"),'Rules'!$G$7:$G$26,0)),"")</x:f>
      </x:c>
      <x:c r="N1976" s="5" t="str">
        <x:f>IF(COUNTA(A1976:F1976)=0,"",SUBSTITUTE(SUBSTITUTE(SUBSTITUTE(SUBSTITUTE("id:"&amp;A1976,"%","%25"),"~","%7E"),"*","%2A"),"?","%3F"))</x:f>
      </x:c>
    </x:row>
    <x:row r="1977" ht="22" customHeight="1">
      <x:c r="A1977" s="3"/>
      <x:c r="B1977" s="3"/>
      <x:c r="C1977" s="3"/>
      <x:c r="D1977" s="4"/>
      <x:c r="E1977" s="4"/>
      <x:c r="F1977" s="4"/>
      <x:c r="G1977" s="5" t="str">
        <x:f>IF(COUNTA(A1977:F1977)=0,"",IF(K1977&lt;&gt;"","Review",IF(I1977&lt;0,"Overdue",IF(I1977=0,"Due now",IF(I1977&lt;=M1977,"Due soon","Not due")))))</x:f>
      </x:c>
      <x:c r="H1977" s="5" t="str">
        <x:f>IF(OR(COUNTA(A1977:F1977)=0,COUNTIFS('Rules'!$G$7:$G$26,"="&amp;(SUBSTITUTE(SUBSTITUTE(SUBSTITUTE(SUBSTITUTE("type:"&amp;B1977,"%","%25"),"~","%7E"),"*","%2A"),"?","%3F")))&lt;&gt;1),"",IF(OR(INDEX('Rules'!$B$7:$B$26,MATCH(SUBSTITUTE(SUBSTITUTE(SUBSTITUTE(SUBSTITUTE("type:"&amp;B1977,"%","%25"),"~","%7E"),"*","%2A"),"?","%3F"),'Rules'!$G$7:$G$26,0))="hours",INDEX('Rules'!$B$7:$B$26,MATCH(SUBSTITUTE(SUBSTITUTE(SUBSTITUTE(SUBSTITUTE("type:"&amp;B1977,"%","%25"),"~","%7E"),"*","%2A"),"?","%3F"),'Rules'!$G$7:$G$26,0))="km"),INDEX('Rules'!$B$7:$B$26,MATCH(SUBSTITUTE(SUBSTITUTE(SUBSTITUTE(SUBSTITUTE("type:"&amp;B1977,"%","%25"),"~","%7E"),"*","%2A"),"?","%3F"),'Rules'!$G$7:$G$26,0)),""))</x:f>
      </x:c>
      <x:c r="I1977" s="6" t="str">
        <x:f>IF(AND(NOT(COUNTA(A1977:F1977)=0),K1977=""),ROUND(J1977-D1977,3),"")</x:f>
      </x:c>
      <x:c r="J1977" s="6" t="str">
        <x:f>IF(AND(NOT(COUNTA(A1977:F1977)=0),K1977=""),ROUND(F1977+L1977,3),"")</x:f>
      </x:c>
      <x:c r="K1977" s="5" t="str">
        <x:f>IF(COUNTA(A1977:F1977)=0,"",IF(A1977="","Missing equipment ID",IF(COUNTIFS($N$8:$N$2007,"="&amp;N1977)&gt;1,"Duplicate equipment ID",IF(B1977="","Missing type",IF(COUNTIFS('Rules'!$G$7:$G$26,"="&amp;(SUBSTITUTE(SUBSTITUTE(SUBSTITUTE(SUBSTITUTE("type:"&amp;B1977,"%","%25"),"~","%7E"),"*","%2A"),"?","%3F")))=0,"Unknown type",IF(COUNTIFS('Rules'!$G$7:$G$26,"="&amp;(SUBSTITUTE(SUBSTITUTE(SUBSTITUTE(SUBSTITUTE("type:"&amp;B1977,"%","%25"),"~","%7E"),"*","%2A"),"?","%3F")))&gt;1,"Duplicate type",IF(INDEX('Rules'!$F$7:$F$26,MATCH(SUBSTITUTE(SUBSTITUTE(SUBSTITUTE(SUBSTITUTE("type:"&amp;B1977,"%","%25"),"~","%7E"),"*","%2A"),"?","%3F"),'Rules'!$G$7:$G$26,0))&lt;&gt;"",INDEX('Rules'!$F$7:$F$26,MATCH(SUBSTITUTE(SUBSTITUTE(SUBSTITUTE(SUBSTITUTE("type:"&amp;B1977,"%","%25"),"~","%7E"),"*","%2A"),"?","%3F"),'Rules'!$G$7:$G$26,0)),IF(AND(C1977&lt;&gt;"",C1977&lt;&gt;INDEX('Rules'!$B$7:$B$26,MATCH(SUBSTITUTE(SUBSTITUTE(SUBSTITUTE(SUBSTITUTE("type:"&amp;B1977,"%","%25"),"~","%7E"),"*","%2A"),"?","%3F"),'Rules'!$G$7:$G$26,0))),"Unit mismatch",IF(IF(NOT(ISNUMBER(D1977)),TRUE,OR(D1977&lt;0,D1977&gt;999999999,ROUND(D1977,3)&lt;&gt;D1977)),"Invalid current reading",IF(AND(E1977&lt;&gt;"",IF(NOT(ISNUMBER(E1977)),TRUE,OR(E1977&lt;0,E1977&gt;999999999,ROUND(E1977,3)&lt;&gt;E1977))),"Invalid previous reading",IF(IF(NOT(ISNUMBER(F1977)),TRUE,OR(F1977&lt;0,F1977&gt;999999999,ROUND(F1977,3)&lt;&gt;F1977)),"Invalid last service",IF(AND(E1977&lt;&gt;"",D1977&lt;E1977),"Decreased reading",IF(F1977&gt;D1977,"Last service above current","")))))))))))))</x:f>
      </x:c>
      <x:c r="L1977" s="6" t="str">
        <x:f>IF(AND(NOT(COUNTA(A1977:F1977)=0),K1977=""),INDEX('Rules'!$C$7:$C$26,MATCH(SUBSTITUTE(SUBSTITUTE(SUBSTITUTE(SUBSTITUTE("type:"&amp;B1977,"%","%25"),"~","%7E"),"*","%2A"),"?","%3F"),'Rules'!$G$7:$G$26,0)),"")</x:f>
      </x:c>
      <x:c r="M1977" s="6" t="str">
        <x:f>IF(AND(NOT(COUNTA(A1977:F1977)=0),K1977=""),INDEX('Rules'!$D$7:$D$26,MATCH(SUBSTITUTE(SUBSTITUTE(SUBSTITUTE(SUBSTITUTE("type:"&amp;B1977,"%","%25"),"~","%7E"),"*","%2A"),"?","%3F"),'Rules'!$G$7:$G$26,0)),"")</x:f>
      </x:c>
      <x:c r="N1977" s="5" t="str">
        <x:f>IF(COUNTA(A1977:F1977)=0,"",SUBSTITUTE(SUBSTITUTE(SUBSTITUTE(SUBSTITUTE("id:"&amp;A1977,"%","%25"),"~","%7E"),"*","%2A"),"?","%3F"))</x:f>
      </x:c>
    </x:row>
    <x:row r="1978" ht="22" customHeight="1">
      <x:c r="A1978" s="3"/>
      <x:c r="B1978" s="3"/>
      <x:c r="C1978" s="3"/>
      <x:c r="D1978" s="4"/>
      <x:c r="E1978" s="4"/>
      <x:c r="F1978" s="4"/>
      <x:c r="G1978" s="5" t="str">
        <x:f>IF(COUNTA(A1978:F1978)=0,"",IF(K1978&lt;&gt;"","Review",IF(I1978&lt;0,"Overdue",IF(I1978=0,"Due now",IF(I1978&lt;=M1978,"Due soon","Not due")))))</x:f>
      </x:c>
      <x:c r="H1978" s="5" t="str">
        <x:f>IF(OR(COUNTA(A1978:F1978)=0,COUNTIFS('Rules'!$G$7:$G$26,"="&amp;(SUBSTITUTE(SUBSTITUTE(SUBSTITUTE(SUBSTITUTE("type:"&amp;B1978,"%","%25"),"~","%7E"),"*","%2A"),"?","%3F")))&lt;&gt;1),"",IF(OR(INDEX('Rules'!$B$7:$B$26,MATCH(SUBSTITUTE(SUBSTITUTE(SUBSTITUTE(SUBSTITUTE("type:"&amp;B1978,"%","%25"),"~","%7E"),"*","%2A"),"?","%3F"),'Rules'!$G$7:$G$26,0))="hours",INDEX('Rules'!$B$7:$B$26,MATCH(SUBSTITUTE(SUBSTITUTE(SUBSTITUTE(SUBSTITUTE("type:"&amp;B1978,"%","%25"),"~","%7E"),"*","%2A"),"?","%3F"),'Rules'!$G$7:$G$26,0))="km"),INDEX('Rules'!$B$7:$B$26,MATCH(SUBSTITUTE(SUBSTITUTE(SUBSTITUTE(SUBSTITUTE("type:"&amp;B1978,"%","%25"),"~","%7E"),"*","%2A"),"?","%3F"),'Rules'!$G$7:$G$26,0)),""))</x:f>
      </x:c>
      <x:c r="I1978" s="6" t="str">
        <x:f>IF(AND(NOT(COUNTA(A1978:F1978)=0),K1978=""),ROUND(J1978-D1978,3),"")</x:f>
      </x:c>
      <x:c r="J1978" s="6" t="str">
        <x:f>IF(AND(NOT(COUNTA(A1978:F1978)=0),K1978=""),ROUND(F1978+L1978,3),"")</x:f>
      </x:c>
      <x:c r="K1978" s="5" t="str">
        <x:f>IF(COUNTA(A1978:F1978)=0,"",IF(A1978="","Missing equipment ID",IF(COUNTIFS($N$8:$N$2007,"="&amp;N1978)&gt;1,"Duplicate equipment ID",IF(B1978="","Missing type",IF(COUNTIFS('Rules'!$G$7:$G$26,"="&amp;(SUBSTITUTE(SUBSTITUTE(SUBSTITUTE(SUBSTITUTE("type:"&amp;B1978,"%","%25"),"~","%7E"),"*","%2A"),"?","%3F")))=0,"Unknown type",IF(COUNTIFS('Rules'!$G$7:$G$26,"="&amp;(SUBSTITUTE(SUBSTITUTE(SUBSTITUTE(SUBSTITUTE("type:"&amp;B1978,"%","%25"),"~","%7E"),"*","%2A"),"?","%3F")))&gt;1,"Duplicate type",IF(INDEX('Rules'!$F$7:$F$26,MATCH(SUBSTITUTE(SUBSTITUTE(SUBSTITUTE(SUBSTITUTE("type:"&amp;B1978,"%","%25"),"~","%7E"),"*","%2A"),"?","%3F"),'Rules'!$G$7:$G$26,0))&lt;&gt;"",INDEX('Rules'!$F$7:$F$26,MATCH(SUBSTITUTE(SUBSTITUTE(SUBSTITUTE(SUBSTITUTE("type:"&amp;B1978,"%","%25"),"~","%7E"),"*","%2A"),"?","%3F"),'Rules'!$G$7:$G$26,0)),IF(AND(C1978&lt;&gt;"",C1978&lt;&gt;INDEX('Rules'!$B$7:$B$26,MATCH(SUBSTITUTE(SUBSTITUTE(SUBSTITUTE(SUBSTITUTE("type:"&amp;B1978,"%","%25"),"~","%7E"),"*","%2A"),"?","%3F"),'Rules'!$G$7:$G$26,0))),"Unit mismatch",IF(IF(NOT(ISNUMBER(D1978)),TRUE,OR(D1978&lt;0,D1978&gt;999999999,ROUND(D1978,3)&lt;&gt;D1978)),"Invalid current reading",IF(AND(E1978&lt;&gt;"",IF(NOT(ISNUMBER(E1978)),TRUE,OR(E1978&lt;0,E1978&gt;999999999,ROUND(E1978,3)&lt;&gt;E1978))),"Invalid previous reading",IF(IF(NOT(ISNUMBER(F1978)),TRUE,OR(F1978&lt;0,F1978&gt;999999999,ROUND(F1978,3)&lt;&gt;F1978)),"Invalid last service",IF(AND(E1978&lt;&gt;"",D1978&lt;E1978),"Decreased reading",IF(F1978&gt;D1978,"Last service above current","")))))))))))))</x:f>
      </x:c>
      <x:c r="L1978" s="6" t="str">
        <x:f>IF(AND(NOT(COUNTA(A1978:F1978)=0),K1978=""),INDEX('Rules'!$C$7:$C$26,MATCH(SUBSTITUTE(SUBSTITUTE(SUBSTITUTE(SUBSTITUTE("type:"&amp;B1978,"%","%25"),"~","%7E"),"*","%2A"),"?","%3F"),'Rules'!$G$7:$G$26,0)),"")</x:f>
      </x:c>
      <x:c r="M1978" s="6" t="str">
        <x:f>IF(AND(NOT(COUNTA(A1978:F1978)=0),K1978=""),INDEX('Rules'!$D$7:$D$26,MATCH(SUBSTITUTE(SUBSTITUTE(SUBSTITUTE(SUBSTITUTE("type:"&amp;B1978,"%","%25"),"~","%7E"),"*","%2A"),"?","%3F"),'Rules'!$G$7:$G$26,0)),"")</x:f>
      </x:c>
      <x:c r="N1978" s="5" t="str">
        <x:f>IF(COUNTA(A1978:F1978)=0,"",SUBSTITUTE(SUBSTITUTE(SUBSTITUTE(SUBSTITUTE("id:"&amp;A1978,"%","%25"),"~","%7E"),"*","%2A"),"?","%3F"))</x:f>
      </x:c>
    </x:row>
    <x:row r="1979" ht="22" customHeight="1">
      <x:c r="A1979" s="3"/>
      <x:c r="B1979" s="3"/>
      <x:c r="C1979" s="3"/>
      <x:c r="D1979" s="4"/>
      <x:c r="E1979" s="4"/>
      <x:c r="F1979" s="4"/>
      <x:c r="G1979" s="5" t="str">
        <x:f>IF(COUNTA(A1979:F1979)=0,"",IF(K1979&lt;&gt;"","Review",IF(I1979&lt;0,"Overdue",IF(I1979=0,"Due now",IF(I1979&lt;=M1979,"Due soon","Not due")))))</x:f>
      </x:c>
      <x:c r="H1979" s="5" t="str">
        <x:f>IF(OR(COUNTA(A1979:F1979)=0,COUNTIFS('Rules'!$G$7:$G$26,"="&amp;(SUBSTITUTE(SUBSTITUTE(SUBSTITUTE(SUBSTITUTE("type:"&amp;B1979,"%","%25"),"~","%7E"),"*","%2A"),"?","%3F")))&lt;&gt;1),"",IF(OR(INDEX('Rules'!$B$7:$B$26,MATCH(SUBSTITUTE(SUBSTITUTE(SUBSTITUTE(SUBSTITUTE("type:"&amp;B1979,"%","%25"),"~","%7E"),"*","%2A"),"?","%3F"),'Rules'!$G$7:$G$26,0))="hours",INDEX('Rules'!$B$7:$B$26,MATCH(SUBSTITUTE(SUBSTITUTE(SUBSTITUTE(SUBSTITUTE("type:"&amp;B1979,"%","%25"),"~","%7E"),"*","%2A"),"?","%3F"),'Rules'!$G$7:$G$26,0))="km"),INDEX('Rules'!$B$7:$B$26,MATCH(SUBSTITUTE(SUBSTITUTE(SUBSTITUTE(SUBSTITUTE("type:"&amp;B1979,"%","%25"),"~","%7E"),"*","%2A"),"?","%3F"),'Rules'!$G$7:$G$26,0)),""))</x:f>
      </x:c>
      <x:c r="I1979" s="6" t="str">
        <x:f>IF(AND(NOT(COUNTA(A1979:F1979)=0),K1979=""),ROUND(J1979-D1979,3),"")</x:f>
      </x:c>
      <x:c r="J1979" s="6" t="str">
        <x:f>IF(AND(NOT(COUNTA(A1979:F1979)=0),K1979=""),ROUND(F1979+L1979,3),"")</x:f>
      </x:c>
      <x:c r="K1979" s="5" t="str">
        <x:f>IF(COUNTA(A1979:F1979)=0,"",IF(A1979="","Missing equipment ID",IF(COUNTIFS($N$8:$N$2007,"="&amp;N1979)&gt;1,"Duplicate equipment ID",IF(B1979="","Missing type",IF(COUNTIFS('Rules'!$G$7:$G$26,"="&amp;(SUBSTITUTE(SUBSTITUTE(SUBSTITUTE(SUBSTITUTE("type:"&amp;B1979,"%","%25"),"~","%7E"),"*","%2A"),"?","%3F")))=0,"Unknown type",IF(COUNTIFS('Rules'!$G$7:$G$26,"="&amp;(SUBSTITUTE(SUBSTITUTE(SUBSTITUTE(SUBSTITUTE("type:"&amp;B1979,"%","%25"),"~","%7E"),"*","%2A"),"?","%3F")))&gt;1,"Duplicate type",IF(INDEX('Rules'!$F$7:$F$26,MATCH(SUBSTITUTE(SUBSTITUTE(SUBSTITUTE(SUBSTITUTE("type:"&amp;B1979,"%","%25"),"~","%7E"),"*","%2A"),"?","%3F"),'Rules'!$G$7:$G$26,0))&lt;&gt;"",INDEX('Rules'!$F$7:$F$26,MATCH(SUBSTITUTE(SUBSTITUTE(SUBSTITUTE(SUBSTITUTE("type:"&amp;B1979,"%","%25"),"~","%7E"),"*","%2A"),"?","%3F"),'Rules'!$G$7:$G$26,0)),IF(AND(C1979&lt;&gt;"",C1979&lt;&gt;INDEX('Rules'!$B$7:$B$26,MATCH(SUBSTITUTE(SUBSTITUTE(SUBSTITUTE(SUBSTITUTE("type:"&amp;B1979,"%","%25"),"~","%7E"),"*","%2A"),"?","%3F"),'Rules'!$G$7:$G$26,0))),"Unit mismatch",IF(IF(NOT(ISNUMBER(D1979)),TRUE,OR(D1979&lt;0,D1979&gt;999999999,ROUND(D1979,3)&lt;&gt;D1979)),"Invalid current reading",IF(AND(E1979&lt;&gt;"",IF(NOT(ISNUMBER(E1979)),TRUE,OR(E1979&lt;0,E1979&gt;999999999,ROUND(E1979,3)&lt;&gt;E1979))),"Invalid previous reading",IF(IF(NOT(ISNUMBER(F1979)),TRUE,OR(F1979&lt;0,F1979&gt;999999999,ROUND(F1979,3)&lt;&gt;F1979)),"Invalid last service",IF(AND(E1979&lt;&gt;"",D1979&lt;E1979),"Decreased reading",IF(F1979&gt;D1979,"Last service above current","")))))))))))))</x:f>
      </x:c>
      <x:c r="L1979" s="6" t="str">
        <x:f>IF(AND(NOT(COUNTA(A1979:F1979)=0),K1979=""),INDEX('Rules'!$C$7:$C$26,MATCH(SUBSTITUTE(SUBSTITUTE(SUBSTITUTE(SUBSTITUTE("type:"&amp;B1979,"%","%25"),"~","%7E"),"*","%2A"),"?","%3F"),'Rules'!$G$7:$G$26,0)),"")</x:f>
      </x:c>
      <x:c r="M1979" s="6" t="str">
        <x:f>IF(AND(NOT(COUNTA(A1979:F1979)=0),K1979=""),INDEX('Rules'!$D$7:$D$26,MATCH(SUBSTITUTE(SUBSTITUTE(SUBSTITUTE(SUBSTITUTE("type:"&amp;B1979,"%","%25"),"~","%7E"),"*","%2A"),"?","%3F"),'Rules'!$G$7:$G$26,0)),"")</x:f>
      </x:c>
      <x:c r="N1979" s="5" t="str">
        <x:f>IF(COUNTA(A1979:F1979)=0,"",SUBSTITUTE(SUBSTITUTE(SUBSTITUTE(SUBSTITUTE("id:"&amp;A1979,"%","%25"),"~","%7E"),"*","%2A"),"?","%3F"))</x:f>
      </x:c>
    </x:row>
    <x:row r="1980" ht="22" customHeight="1">
      <x:c r="A1980" s="3"/>
      <x:c r="B1980" s="3"/>
      <x:c r="C1980" s="3"/>
      <x:c r="D1980" s="4"/>
      <x:c r="E1980" s="4"/>
      <x:c r="F1980" s="4"/>
      <x:c r="G1980" s="5" t="str">
        <x:f>IF(COUNTA(A1980:F1980)=0,"",IF(K1980&lt;&gt;"","Review",IF(I1980&lt;0,"Overdue",IF(I1980=0,"Due now",IF(I1980&lt;=M1980,"Due soon","Not due")))))</x:f>
      </x:c>
      <x:c r="H1980" s="5" t="str">
        <x:f>IF(OR(COUNTA(A1980:F1980)=0,COUNTIFS('Rules'!$G$7:$G$26,"="&amp;(SUBSTITUTE(SUBSTITUTE(SUBSTITUTE(SUBSTITUTE("type:"&amp;B1980,"%","%25"),"~","%7E"),"*","%2A"),"?","%3F")))&lt;&gt;1),"",IF(OR(INDEX('Rules'!$B$7:$B$26,MATCH(SUBSTITUTE(SUBSTITUTE(SUBSTITUTE(SUBSTITUTE("type:"&amp;B1980,"%","%25"),"~","%7E"),"*","%2A"),"?","%3F"),'Rules'!$G$7:$G$26,0))="hours",INDEX('Rules'!$B$7:$B$26,MATCH(SUBSTITUTE(SUBSTITUTE(SUBSTITUTE(SUBSTITUTE("type:"&amp;B1980,"%","%25"),"~","%7E"),"*","%2A"),"?","%3F"),'Rules'!$G$7:$G$26,0))="km"),INDEX('Rules'!$B$7:$B$26,MATCH(SUBSTITUTE(SUBSTITUTE(SUBSTITUTE(SUBSTITUTE("type:"&amp;B1980,"%","%25"),"~","%7E"),"*","%2A"),"?","%3F"),'Rules'!$G$7:$G$26,0)),""))</x:f>
      </x:c>
      <x:c r="I1980" s="6" t="str">
        <x:f>IF(AND(NOT(COUNTA(A1980:F1980)=0),K1980=""),ROUND(J1980-D1980,3),"")</x:f>
      </x:c>
      <x:c r="J1980" s="6" t="str">
        <x:f>IF(AND(NOT(COUNTA(A1980:F1980)=0),K1980=""),ROUND(F1980+L1980,3),"")</x:f>
      </x:c>
      <x:c r="K1980" s="5" t="str">
        <x:f>IF(COUNTA(A1980:F1980)=0,"",IF(A1980="","Missing equipment ID",IF(COUNTIFS($N$8:$N$2007,"="&amp;N1980)&gt;1,"Duplicate equipment ID",IF(B1980="","Missing type",IF(COUNTIFS('Rules'!$G$7:$G$26,"="&amp;(SUBSTITUTE(SUBSTITUTE(SUBSTITUTE(SUBSTITUTE("type:"&amp;B1980,"%","%25"),"~","%7E"),"*","%2A"),"?","%3F")))=0,"Unknown type",IF(COUNTIFS('Rules'!$G$7:$G$26,"="&amp;(SUBSTITUTE(SUBSTITUTE(SUBSTITUTE(SUBSTITUTE("type:"&amp;B1980,"%","%25"),"~","%7E"),"*","%2A"),"?","%3F")))&gt;1,"Duplicate type",IF(INDEX('Rules'!$F$7:$F$26,MATCH(SUBSTITUTE(SUBSTITUTE(SUBSTITUTE(SUBSTITUTE("type:"&amp;B1980,"%","%25"),"~","%7E"),"*","%2A"),"?","%3F"),'Rules'!$G$7:$G$26,0))&lt;&gt;"",INDEX('Rules'!$F$7:$F$26,MATCH(SUBSTITUTE(SUBSTITUTE(SUBSTITUTE(SUBSTITUTE("type:"&amp;B1980,"%","%25"),"~","%7E"),"*","%2A"),"?","%3F"),'Rules'!$G$7:$G$26,0)),IF(AND(C1980&lt;&gt;"",C1980&lt;&gt;INDEX('Rules'!$B$7:$B$26,MATCH(SUBSTITUTE(SUBSTITUTE(SUBSTITUTE(SUBSTITUTE("type:"&amp;B1980,"%","%25"),"~","%7E"),"*","%2A"),"?","%3F"),'Rules'!$G$7:$G$26,0))),"Unit mismatch",IF(IF(NOT(ISNUMBER(D1980)),TRUE,OR(D1980&lt;0,D1980&gt;999999999,ROUND(D1980,3)&lt;&gt;D1980)),"Invalid current reading",IF(AND(E1980&lt;&gt;"",IF(NOT(ISNUMBER(E1980)),TRUE,OR(E1980&lt;0,E1980&gt;999999999,ROUND(E1980,3)&lt;&gt;E1980))),"Invalid previous reading",IF(IF(NOT(ISNUMBER(F1980)),TRUE,OR(F1980&lt;0,F1980&gt;999999999,ROUND(F1980,3)&lt;&gt;F1980)),"Invalid last service",IF(AND(E1980&lt;&gt;"",D1980&lt;E1980),"Decreased reading",IF(F1980&gt;D1980,"Last service above current","")))))))))))))</x:f>
      </x:c>
      <x:c r="L1980" s="6" t="str">
        <x:f>IF(AND(NOT(COUNTA(A1980:F1980)=0),K1980=""),INDEX('Rules'!$C$7:$C$26,MATCH(SUBSTITUTE(SUBSTITUTE(SUBSTITUTE(SUBSTITUTE("type:"&amp;B1980,"%","%25"),"~","%7E"),"*","%2A"),"?","%3F"),'Rules'!$G$7:$G$26,0)),"")</x:f>
      </x:c>
      <x:c r="M1980" s="6" t="str">
        <x:f>IF(AND(NOT(COUNTA(A1980:F1980)=0),K1980=""),INDEX('Rules'!$D$7:$D$26,MATCH(SUBSTITUTE(SUBSTITUTE(SUBSTITUTE(SUBSTITUTE("type:"&amp;B1980,"%","%25"),"~","%7E"),"*","%2A"),"?","%3F"),'Rules'!$G$7:$G$26,0)),"")</x:f>
      </x:c>
      <x:c r="N1980" s="5" t="str">
        <x:f>IF(COUNTA(A1980:F1980)=0,"",SUBSTITUTE(SUBSTITUTE(SUBSTITUTE(SUBSTITUTE("id:"&amp;A1980,"%","%25"),"~","%7E"),"*","%2A"),"?","%3F"))</x:f>
      </x:c>
    </x:row>
    <x:row r="1981" ht="22" customHeight="1">
      <x:c r="A1981" s="3"/>
      <x:c r="B1981" s="3"/>
      <x:c r="C1981" s="3"/>
      <x:c r="D1981" s="4"/>
      <x:c r="E1981" s="4"/>
      <x:c r="F1981" s="4"/>
      <x:c r="G1981" s="5" t="str">
        <x:f>IF(COUNTA(A1981:F1981)=0,"",IF(K1981&lt;&gt;"","Review",IF(I1981&lt;0,"Overdue",IF(I1981=0,"Due now",IF(I1981&lt;=M1981,"Due soon","Not due")))))</x:f>
      </x:c>
      <x:c r="H1981" s="5" t="str">
        <x:f>IF(OR(COUNTA(A1981:F1981)=0,COUNTIFS('Rules'!$G$7:$G$26,"="&amp;(SUBSTITUTE(SUBSTITUTE(SUBSTITUTE(SUBSTITUTE("type:"&amp;B1981,"%","%25"),"~","%7E"),"*","%2A"),"?","%3F")))&lt;&gt;1),"",IF(OR(INDEX('Rules'!$B$7:$B$26,MATCH(SUBSTITUTE(SUBSTITUTE(SUBSTITUTE(SUBSTITUTE("type:"&amp;B1981,"%","%25"),"~","%7E"),"*","%2A"),"?","%3F"),'Rules'!$G$7:$G$26,0))="hours",INDEX('Rules'!$B$7:$B$26,MATCH(SUBSTITUTE(SUBSTITUTE(SUBSTITUTE(SUBSTITUTE("type:"&amp;B1981,"%","%25"),"~","%7E"),"*","%2A"),"?","%3F"),'Rules'!$G$7:$G$26,0))="km"),INDEX('Rules'!$B$7:$B$26,MATCH(SUBSTITUTE(SUBSTITUTE(SUBSTITUTE(SUBSTITUTE("type:"&amp;B1981,"%","%25"),"~","%7E"),"*","%2A"),"?","%3F"),'Rules'!$G$7:$G$26,0)),""))</x:f>
      </x:c>
      <x:c r="I1981" s="6" t="str">
        <x:f>IF(AND(NOT(COUNTA(A1981:F1981)=0),K1981=""),ROUND(J1981-D1981,3),"")</x:f>
      </x:c>
      <x:c r="J1981" s="6" t="str">
        <x:f>IF(AND(NOT(COUNTA(A1981:F1981)=0),K1981=""),ROUND(F1981+L1981,3),"")</x:f>
      </x:c>
      <x:c r="K1981" s="5" t="str">
        <x:f>IF(COUNTA(A1981:F1981)=0,"",IF(A1981="","Missing equipment ID",IF(COUNTIFS($N$8:$N$2007,"="&amp;N1981)&gt;1,"Duplicate equipment ID",IF(B1981="","Missing type",IF(COUNTIFS('Rules'!$G$7:$G$26,"="&amp;(SUBSTITUTE(SUBSTITUTE(SUBSTITUTE(SUBSTITUTE("type:"&amp;B1981,"%","%25"),"~","%7E"),"*","%2A"),"?","%3F")))=0,"Unknown type",IF(COUNTIFS('Rules'!$G$7:$G$26,"="&amp;(SUBSTITUTE(SUBSTITUTE(SUBSTITUTE(SUBSTITUTE("type:"&amp;B1981,"%","%25"),"~","%7E"),"*","%2A"),"?","%3F")))&gt;1,"Duplicate type",IF(INDEX('Rules'!$F$7:$F$26,MATCH(SUBSTITUTE(SUBSTITUTE(SUBSTITUTE(SUBSTITUTE("type:"&amp;B1981,"%","%25"),"~","%7E"),"*","%2A"),"?","%3F"),'Rules'!$G$7:$G$26,0))&lt;&gt;"",INDEX('Rules'!$F$7:$F$26,MATCH(SUBSTITUTE(SUBSTITUTE(SUBSTITUTE(SUBSTITUTE("type:"&amp;B1981,"%","%25"),"~","%7E"),"*","%2A"),"?","%3F"),'Rules'!$G$7:$G$26,0)),IF(AND(C1981&lt;&gt;"",C1981&lt;&gt;INDEX('Rules'!$B$7:$B$26,MATCH(SUBSTITUTE(SUBSTITUTE(SUBSTITUTE(SUBSTITUTE("type:"&amp;B1981,"%","%25"),"~","%7E"),"*","%2A"),"?","%3F"),'Rules'!$G$7:$G$26,0))),"Unit mismatch",IF(IF(NOT(ISNUMBER(D1981)),TRUE,OR(D1981&lt;0,D1981&gt;999999999,ROUND(D1981,3)&lt;&gt;D1981)),"Invalid current reading",IF(AND(E1981&lt;&gt;"",IF(NOT(ISNUMBER(E1981)),TRUE,OR(E1981&lt;0,E1981&gt;999999999,ROUND(E1981,3)&lt;&gt;E1981))),"Invalid previous reading",IF(IF(NOT(ISNUMBER(F1981)),TRUE,OR(F1981&lt;0,F1981&gt;999999999,ROUND(F1981,3)&lt;&gt;F1981)),"Invalid last service",IF(AND(E1981&lt;&gt;"",D1981&lt;E1981),"Decreased reading",IF(F1981&gt;D1981,"Last service above current","")))))))))))))</x:f>
      </x:c>
      <x:c r="L1981" s="6" t="str">
        <x:f>IF(AND(NOT(COUNTA(A1981:F1981)=0),K1981=""),INDEX('Rules'!$C$7:$C$26,MATCH(SUBSTITUTE(SUBSTITUTE(SUBSTITUTE(SUBSTITUTE("type:"&amp;B1981,"%","%25"),"~","%7E"),"*","%2A"),"?","%3F"),'Rules'!$G$7:$G$26,0)),"")</x:f>
      </x:c>
      <x:c r="M1981" s="6" t="str">
        <x:f>IF(AND(NOT(COUNTA(A1981:F1981)=0),K1981=""),INDEX('Rules'!$D$7:$D$26,MATCH(SUBSTITUTE(SUBSTITUTE(SUBSTITUTE(SUBSTITUTE("type:"&amp;B1981,"%","%25"),"~","%7E"),"*","%2A"),"?","%3F"),'Rules'!$G$7:$G$26,0)),"")</x:f>
      </x:c>
      <x:c r="N1981" s="5" t="str">
        <x:f>IF(COUNTA(A1981:F1981)=0,"",SUBSTITUTE(SUBSTITUTE(SUBSTITUTE(SUBSTITUTE("id:"&amp;A1981,"%","%25"),"~","%7E"),"*","%2A"),"?","%3F"))</x:f>
      </x:c>
    </x:row>
    <x:row r="1982" ht="22" customHeight="1">
      <x:c r="A1982" s="3"/>
      <x:c r="B1982" s="3"/>
      <x:c r="C1982" s="3"/>
      <x:c r="D1982" s="4"/>
      <x:c r="E1982" s="4"/>
      <x:c r="F1982" s="4"/>
      <x:c r="G1982" s="5" t="str">
        <x:f>IF(COUNTA(A1982:F1982)=0,"",IF(K1982&lt;&gt;"","Review",IF(I1982&lt;0,"Overdue",IF(I1982=0,"Due now",IF(I1982&lt;=M1982,"Due soon","Not due")))))</x:f>
      </x:c>
      <x:c r="H1982" s="5" t="str">
        <x:f>IF(OR(COUNTA(A1982:F1982)=0,COUNTIFS('Rules'!$G$7:$G$26,"="&amp;(SUBSTITUTE(SUBSTITUTE(SUBSTITUTE(SUBSTITUTE("type:"&amp;B1982,"%","%25"),"~","%7E"),"*","%2A"),"?","%3F")))&lt;&gt;1),"",IF(OR(INDEX('Rules'!$B$7:$B$26,MATCH(SUBSTITUTE(SUBSTITUTE(SUBSTITUTE(SUBSTITUTE("type:"&amp;B1982,"%","%25"),"~","%7E"),"*","%2A"),"?","%3F"),'Rules'!$G$7:$G$26,0))="hours",INDEX('Rules'!$B$7:$B$26,MATCH(SUBSTITUTE(SUBSTITUTE(SUBSTITUTE(SUBSTITUTE("type:"&amp;B1982,"%","%25"),"~","%7E"),"*","%2A"),"?","%3F"),'Rules'!$G$7:$G$26,0))="km"),INDEX('Rules'!$B$7:$B$26,MATCH(SUBSTITUTE(SUBSTITUTE(SUBSTITUTE(SUBSTITUTE("type:"&amp;B1982,"%","%25"),"~","%7E"),"*","%2A"),"?","%3F"),'Rules'!$G$7:$G$26,0)),""))</x:f>
      </x:c>
      <x:c r="I1982" s="6" t="str">
        <x:f>IF(AND(NOT(COUNTA(A1982:F1982)=0),K1982=""),ROUND(J1982-D1982,3),"")</x:f>
      </x:c>
      <x:c r="J1982" s="6" t="str">
        <x:f>IF(AND(NOT(COUNTA(A1982:F1982)=0),K1982=""),ROUND(F1982+L1982,3),"")</x:f>
      </x:c>
      <x:c r="K1982" s="5" t="str">
        <x:f>IF(COUNTA(A1982:F1982)=0,"",IF(A1982="","Missing equipment ID",IF(COUNTIFS($N$8:$N$2007,"="&amp;N1982)&gt;1,"Duplicate equipment ID",IF(B1982="","Missing type",IF(COUNTIFS('Rules'!$G$7:$G$26,"="&amp;(SUBSTITUTE(SUBSTITUTE(SUBSTITUTE(SUBSTITUTE("type:"&amp;B1982,"%","%25"),"~","%7E"),"*","%2A"),"?","%3F")))=0,"Unknown type",IF(COUNTIFS('Rules'!$G$7:$G$26,"="&amp;(SUBSTITUTE(SUBSTITUTE(SUBSTITUTE(SUBSTITUTE("type:"&amp;B1982,"%","%25"),"~","%7E"),"*","%2A"),"?","%3F")))&gt;1,"Duplicate type",IF(INDEX('Rules'!$F$7:$F$26,MATCH(SUBSTITUTE(SUBSTITUTE(SUBSTITUTE(SUBSTITUTE("type:"&amp;B1982,"%","%25"),"~","%7E"),"*","%2A"),"?","%3F"),'Rules'!$G$7:$G$26,0))&lt;&gt;"",INDEX('Rules'!$F$7:$F$26,MATCH(SUBSTITUTE(SUBSTITUTE(SUBSTITUTE(SUBSTITUTE("type:"&amp;B1982,"%","%25"),"~","%7E"),"*","%2A"),"?","%3F"),'Rules'!$G$7:$G$26,0)),IF(AND(C1982&lt;&gt;"",C1982&lt;&gt;INDEX('Rules'!$B$7:$B$26,MATCH(SUBSTITUTE(SUBSTITUTE(SUBSTITUTE(SUBSTITUTE("type:"&amp;B1982,"%","%25"),"~","%7E"),"*","%2A"),"?","%3F"),'Rules'!$G$7:$G$26,0))),"Unit mismatch",IF(IF(NOT(ISNUMBER(D1982)),TRUE,OR(D1982&lt;0,D1982&gt;999999999,ROUND(D1982,3)&lt;&gt;D1982)),"Invalid current reading",IF(AND(E1982&lt;&gt;"",IF(NOT(ISNUMBER(E1982)),TRUE,OR(E1982&lt;0,E1982&gt;999999999,ROUND(E1982,3)&lt;&gt;E1982))),"Invalid previous reading",IF(IF(NOT(ISNUMBER(F1982)),TRUE,OR(F1982&lt;0,F1982&gt;999999999,ROUND(F1982,3)&lt;&gt;F1982)),"Invalid last service",IF(AND(E1982&lt;&gt;"",D1982&lt;E1982),"Decreased reading",IF(F1982&gt;D1982,"Last service above current","")))))))))))))</x:f>
      </x:c>
      <x:c r="L1982" s="6" t="str">
        <x:f>IF(AND(NOT(COUNTA(A1982:F1982)=0),K1982=""),INDEX('Rules'!$C$7:$C$26,MATCH(SUBSTITUTE(SUBSTITUTE(SUBSTITUTE(SUBSTITUTE("type:"&amp;B1982,"%","%25"),"~","%7E"),"*","%2A"),"?","%3F"),'Rules'!$G$7:$G$26,0)),"")</x:f>
      </x:c>
      <x:c r="M1982" s="6" t="str">
        <x:f>IF(AND(NOT(COUNTA(A1982:F1982)=0),K1982=""),INDEX('Rules'!$D$7:$D$26,MATCH(SUBSTITUTE(SUBSTITUTE(SUBSTITUTE(SUBSTITUTE("type:"&amp;B1982,"%","%25"),"~","%7E"),"*","%2A"),"?","%3F"),'Rules'!$G$7:$G$26,0)),"")</x:f>
      </x:c>
      <x:c r="N1982" s="5" t="str">
        <x:f>IF(COUNTA(A1982:F1982)=0,"",SUBSTITUTE(SUBSTITUTE(SUBSTITUTE(SUBSTITUTE("id:"&amp;A1982,"%","%25"),"~","%7E"),"*","%2A"),"?","%3F"))</x:f>
      </x:c>
    </x:row>
    <x:row r="1983" ht="22" customHeight="1">
      <x:c r="A1983" s="3"/>
      <x:c r="B1983" s="3"/>
      <x:c r="C1983" s="3"/>
      <x:c r="D1983" s="4"/>
      <x:c r="E1983" s="4"/>
      <x:c r="F1983" s="4"/>
      <x:c r="G1983" s="5" t="str">
        <x:f>IF(COUNTA(A1983:F1983)=0,"",IF(K1983&lt;&gt;"","Review",IF(I1983&lt;0,"Overdue",IF(I1983=0,"Due now",IF(I1983&lt;=M1983,"Due soon","Not due")))))</x:f>
      </x:c>
      <x:c r="H1983" s="5" t="str">
        <x:f>IF(OR(COUNTA(A1983:F1983)=0,COUNTIFS('Rules'!$G$7:$G$26,"="&amp;(SUBSTITUTE(SUBSTITUTE(SUBSTITUTE(SUBSTITUTE("type:"&amp;B1983,"%","%25"),"~","%7E"),"*","%2A"),"?","%3F")))&lt;&gt;1),"",IF(OR(INDEX('Rules'!$B$7:$B$26,MATCH(SUBSTITUTE(SUBSTITUTE(SUBSTITUTE(SUBSTITUTE("type:"&amp;B1983,"%","%25"),"~","%7E"),"*","%2A"),"?","%3F"),'Rules'!$G$7:$G$26,0))="hours",INDEX('Rules'!$B$7:$B$26,MATCH(SUBSTITUTE(SUBSTITUTE(SUBSTITUTE(SUBSTITUTE("type:"&amp;B1983,"%","%25"),"~","%7E"),"*","%2A"),"?","%3F"),'Rules'!$G$7:$G$26,0))="km"),INDEX('Rules'!$B$7:$B$26,MATCH(SUBSTITUTE(SUBSTITUTE(SUBSTITUTE(SUBSTITUTE("type:"&amp;B1983,"%","%25"),"~","%7E"),"*","%2A"),"?","%3F"),'Rules'!$G$7:$G$26,0)),""))</x:f>
      </x:c>
      <x:c r="I1983" s="6" t="str">
        <x:f>IF(AND(NOT(COUNTA(A1983:F1983)=0),K1983=""),ROUND(J1983-D1983,3),"")</x:f>
      </x:c>
      <x:c r="J1983" s="6" t="str">
        <x:f>IF(AND(NOT(COUNTA(A1983:F1983)=0),K1983=""),ROUND(F1983+L1983,3),"")</x:f>
      </x:c>
      <x:c r="K1983" s="5" t="str">
        <x:f>IF(COUNTA(A1983:F1983)=0,"",IF(A1983="","Missing equipment ID",IF(COUNTIFS($N$8:$N$2007,"="&amp;N1983)&gt;1,"Duplicate equipment ID",IF(B1983="","Missing type",IF(COUNTIFS('Rules'!$G$7:$G$26,"="&amp;(SUBSTITUTE(SUBSTITUTE(SUBSTITUTE(SUBSTITUTE("type:"&amp;B1983,"%","%25"),"~","%7E"),"*","%2A"),"?","%3F")))=0,"Unknown type",IF(COUNTIFS('Rules'!$G$7:$G$26,"="&amp;(SUBSTITUTE(SUBSTITUTE(SUBSTITUTE(SUBSTITUTE("type:"&amp;B1983,"%","%25"),"~","%7E"),"*","%2A"),"?","%3F")))&gt;1,"Duplicate type",IF(INDEX('Rules'!$F$7:$F$26,MATCH(SUBSTITUTE(SUBSTITUTE(SUBSTITUTE(SUBSTITUTE("type:"&amp;B1983,"%","%25"),"~","%7E"),"*","%2A"),"?","%3F"),'Rules'!$G$7:$G$26,0))&lt;&gt;"",INDEX('Rules'!$F$7:$F$26,MATCH(SUBSTITUTE(SUBSTITUTE(SUBSTITUTE(SUBSTITUTE("type:"&amp;B1983,"%","%25"),"~","%7E"),"*","%2A"),"?","%3F"),'Rules'!$G$7:$G$26,0)),IF(AND(C1983&lt;&gt;"",C1983&lt;&gt;INDEX('Rules'!$B$7:$B$26,MATCH(SUBSTITUTE(SUBSTITUTE(SUBSTITUTE(SUBSTITUTE("type:"&amp;B1983,"%","%25"),"~","%7E"),"*","%2A"),"?","%3F"),'Rules'!$G$7:$G$26,0))),"Unit mismatch",IF(IF(NOT(ISNUMBER(D1983)),TRUE,OR(D1983&lt;0,D1983&gt;999999999,ROUND(D1983,3)&lt;&gt;D1983)),"Invalid current reading",IF(AND(E1983&lt;&gt;"",IF(NOT(ISNUMBER(E1983)),TRUE,OR(E1983&lt;0,E1983&gt;999999999,ROUND(E1983,3)&lt;&gt;E1983))),"Invalid previous reading",IF(IF(NOT(ISNUMBER(F1983)),TRUE,OR(F1983&lt;0,F1983&gt;999999999,ROUND(F1983,3)&lt;&gt;F1983)),"Invalid last service",IF(AND(E1983&lt;&gt;"",D1983&lt;E1983),"Decreased reading",IF(F1983&gt;D1983,"Last service above current","")))))))))))))</x:f>
      </x:c>
      <x:c r="L1983" s="6" t="str">
        <x:f>IF(AND(NOT(COUNTA(A1983:F1983)=0),K1983=""),INDEX('Rules'!$C$7:$C$26,MATCH(SUBSTITUTE(SUBSTITUTE(SUBSTITUTE(SUBSTITUTE("type:"&amp;B1983,"%","%25"),"~","%7E"),"*","%2A"),"?","%3F"),'Rules'!$G$7:$G$26,0)),"")</x:f>
      </x:c>
      <x:c r="M1983" s="6" t="str">
        <x:f>IF(AND(NOT(COUNTA(A1983:F1983)=0),K1983=""),INDEX('Rules'!$D$7:$D$26,MATCH(SUBSTITUTE(SUBSTITUTE(SUBSTITUTE(SUBSTITUTE("type:"&amp;B1983,"%","%25"),"~","%7E"),"*","%2A"),"?","%3F"),'Rules'!$G$7:$G$26,0)),"")</x:f>
      </x:c>
      <x:c r="N1983" s="5" t="str">
        <x:f>IF(COUNTA(A1983:F1983)=0,"",SUBSTITUTE(SUBSTITUTE(SUBSTITUTE(SUBSTITUTE("id:"&amp;A1983,"%","%25"),"~","%7E"),"*","%2A"),"?","%3F"))</x:f>
      </x:c>
    </x:row>
    <x:row r="1984" ht="22" customHeight="1">
      <x:c r="A1984" s="3"/>
      <x:c r="B1984" s="3"/>
      <x:c r="C1984" s="3"/>
      <x:c r="D1984" s="4"/>
      <x:c r="E1984" s="4"/>
      <x:c r="F1984" s="4"/>
      <x:c r="G1984" s="5" t="str">
        <x:f>IF(COUNTA(A1984:F1984)=0,"",IF(K1984&lt;&gt;"","Review",IF(I1984&lt;0,"Overdue",IF(I1984=0,"Due now",IF(I1984&lt;=M1984,"Due soon","Not due")))))</x:f>
      </x:c>
      <x:c r="H1984" s="5" t="str">
        <x:f>IF(OR(COUNTA(A1984:F1984)=0,COUNTIFS('Rules'!$G$7:$G$26,"="&amp;(SUBSTITUTE(SUBSTITUTE(SUBSTITUTE(SUBSTITUTE("type:"&amp;B1984,"%","%25"),"~","%7E"),"*","%2A"),"?","%3F")))&lt;&gt;1),"",IF(OR(INDEX('Rules'!$B$7:$B$26,MATCH(SUBSTITUTE(SUBSTITUTE(SUBSTITUTE(SUBSTITUTE("type:"&amp;B1984,"%","%25"),"~","%7E"),"*","%2A"),"?","%3F"),'Rules'!$G$7:$G$26,0))="hours",INDEX('Rules'!$B$7:$B$26,MATCH(SUBSTITUTE(SUBSTITUTE(SUBSTITUTE(SUBSTITUTE("type:"&amp;B1984,"%","%25"),"~","%7E"),"*","%2A"),"?","%3F"),'Rules'!$G$7:$G$26,0))="km"),INDEX('Rules'!$B$7:$B$26,MATCH(SUBSTITUTE(SUBSTITUTE(SUBSTITUTE(SUBSTITUTE("type:"&amp;B1984,"%","%25"),"~","%7E"),"*","%2A"),"?","%3F"),'Rules'!$G$7:$G$26,0)),""))</x:f>
      </x:c>
      <x:c r="I1984" s="6" t="str">
        <x:f>IF(AND(NOT(COUNTA(A1984:F1984)=0),K1984=""),ROUND(J1984-D1984,3),"")</x:f>
      </x:c>
      <x:c r="J1984" s="6" t="str">
        <x:f>IF(AND(NOT(COUNTA(A1984:F1984)=0),K1984=""),ROUND(F1984+L1984,3),"")</x:f>
      </x:c>
      <x:c r="K1984" s="5" t="str">
        <x:f>IF(COUNTA(A1984:F1984)=0,"",IF(A1984="","Missing equipment ID",IF(COUNTIFS($N$8:$N$2007,"="&amp;N1984)&gt;1,"Duplicate equipment ID",IF(B1984="","Missing type",IF(COUNTIFS('Rules'!$G$7:$G$26,"="&amp;(SUBSTITUTE(SUBSTITUTE(SUBSTITUTE(SUBSTITUTE("type:"&amp;B1984,"%","%25"),"~","%7E"),"*","%2A"),"?","%3F")))=0,"Unknown type",IF(COUNTIFS('Rules'!$G$7:$G$26,"="&amp;(SUBSTITUTE(SUBSTITUTE(SUBSTITUTE(SUBSTITUTE("type:"&amp;B1984,"%","%25"),"~","%7E"),"*","%2A"),"?","%3F")))&gt;1,"Duplicate type",IF(INDEX('Rules'!$F$7:$F$26,MATCH(SUBSTITUTE(SUBSTITUTE(SUBSTITUTE(SUBSTITUTE("type:"&amp;B1984,"%","%25"),"~","%7E"),"*","%2A"),"?","%3F"),'Rules'!$G$7:$G$26,0))&lt;&gt;"",INDEX('Rules'!$F$7:$F$26,MATCH(SUBSTITUTE(SUBSTITUTE(SUBSTITUTE(SUBSTITUTE("type:"&amp;B1984,"%","%25"),"~","%7E"),"*","%2A"),"?","%3F"),'Rules'!$G$7:$G$26,0)),IF(AND(C1984&lt;&gt;"",C1984&lt;&gt;INDEX('Rules'!$B$7:$B$26,MATCH(SUBSTITUTE(SUBSTITUTE(SUBSTITUTE(SUBSTITUTE("type:"&amp;B1984,"%","%25"),"~","%7E"),"*","%2A"),"?","%3F"),'Rules'!$G$7:$G$26,0))),"Unit mismatch",IF(IF(NOT(ISNUMBER(D1984)),TRUE,OR(D1984&lt;0,D1984&gt;999999999,ROUND(D1984,3)&lt;&gt;D1984)),"Invalid current reading",IF(AND(E1984&lt;&gt;"",IF(NOT(ISNUMBER(E1984)),TRUE,OR(E1984&lt;0,E1984&gt;999999999,ROUND(E1984,3)&lt;&gt;E1984))),"Invalid previous reading",IF(IF(NOT(ISNUMBER(F1984)),TRUE,OR(F1984&lt;0,F1984&gt;999999999,ROUND(F1984,3)&lt;&gt;F1984)),"Invalid last service",IF(AND(E1984&lt;&gt;"",D1984&lt;E1984),"Decreased reading",IF(F1984&gt;D1984,"Last service above current","")))))))))))))</x:f>
      </x:c>
      <x:c r="L1984" s="6" t="str">
        <x:f>IF(AND(NOT(COUNTA(A1984:F1984)=0),K1984=""),INDEX('Rules'!$C$7:$C$26,MATCH(SUBSTITUTE(SUBSTITUTE(SUBSTITUTE(SUBSTITUTE("type:"&amp;B1984,"%","%25"),"~","%7E"),"*","%2A"),"?","%3F"),'Rules'!$G$7:$G$26,0)),"")</x:f>
      </x:c>
      <x:c r="M1984" s="6" t="str">
        <x:f>IF(AND(NOT(COUNTA(A1984:F1984)=0),K1984=""),INDEX('Rules'!$D$7:$D$26,MATCH(SUBSTITUTE(SUBSTITUTE(SUBSTITUTE(SUBSTITUTE("type:"&amp;B1984,"%","%25"),"~","%7E"),"*","%2A"),"?","%3F"),'Rules'!$G$7:$G$26,0)),"")</x:f>
      </x:c>
      <x:c r="N1984" s="5" t="str">
        <x:f>IF(COUNTA(A1984:F1984)=0,"",SUBSTITUTE(SUBSTITUTE(SUBSTITUTE(SUBSTITUTE("id:"&amp;A1984,"%","%25"),"~","%7E"),"*","%2A"),"?","%3F"))</x:f>
      </x:c>
    </x:row>
    <x:row r="1985" ht="22" customHeight="1">
      <x:c r="A1985" s="3"/>
      <x:c r="B1985" s="3"/>
      <x:c r="C1985" s="3"/>
      <x:c r="D1985" s="4"/>
      <x:c r="E1985" s="4"/>
      <x:c r="F1985" s="4"/>
      <x:c r="G1985" s="5" t="str">
        <x:f>IF(COUNTA(A1985:F1985)=0,"",IF(K1985&lt;&gt;"","Review",IF(I1985&lt;0,"Overdue",IF(I1985=0,"Due now",IF(I1985&lt;=M1985,"Due soon","Not due")))))</x:f>
      </x:c>
      <x:c r="H1985" s="5" t="str">
        <x:f>IF(OR(COUNTA(A1985:F1985)=0,COUNTIFS('Rules'!$G$7:$G$26,"="&amp;(SUBSTITUTE(SUBSTITUTE(SUBSTITUTE(SUBSTITUTE("type:"&amp;B1985,"%","%25"),"~","%7E"),"*","%2A"),"?","%3F")))&lt;&gt;1),"",IF(OR(INDEX('Rules'!$B$7:$B$26,MATCH(SUBSTITUTE(SUBSTITUTE(SUBSTITUTE(SUBSTITUTE("type:"&amp;B1985,"%","%25"),"~","%7E"),"*","%2A"),"?","%3F"),'Rules'!$G$7:$G$26,0))="hours",INDEX('Rules'!$B$7:$B$26,MATCH(SUBSTITUTE(SUBSTITUTE(SUBSTITUTE(SUBSTITUTE("type:"&amp;B1985,"%","%25"),"~","%7E"),"*","%2A"),"?","%3F"),'Rules'!$G$7:$G$26,0))="km"),INDEX('Rules'!$B$7:$B$26,MATCH(SUBSTITUTE(SUBSTITUTE(SUBSTITUTE(SUBSTITUTE("type:"&amp;B1985,"%","%25"),"~","%7E"),"*","%2A"),"?","%3F"),'Rules'!$G$7:$G$26,0)),""))</x:f>
      </x:c>
      <x:c r="I1985" s="6" t="str">
        <x:f>IF(AND(NOT(COUNTA(A1985:F1985)=0),K1985=""),ROUND(J1985-D1985,3),"")</x:f>
      </x:c>
      <x:c r="J1985" s="6" t="str">
        <x:f>IF(AND(NOT(COUNTA(A1985:F1985)=0),K1985=""),ROUND(F1985+L1985,3),"")</x:f>
      </x:c>
      <x:c r="K1985" s="5" t="str">
        <x:f>IF(COUNTA(A1985:F1985)=0,"",IF(A1985="","Missing equipment ID",IF(COUNTIFS($N$8:$N$2007,"="&amp;N1985)&gt;1,"Duplicate equipment ID",IF(B1985="","Missing type",IF(COUNTIFS('Rules'!$G$7:$G$26,"="&amp;(SUBSTITUTE(SUBSTITUTE(SUBSTITUTE(SUBSTITUTE("type:"&amp;B1985,"%","%25"),"~","%7E"),"*","%2A"),"?","%3F")))=0,"Unknown type",IF(COUNTIFS('Rules'!$G$7:$G$26,"="&amp;(SUBSTITUTE(SUBSTITUTE(SUBSTITUTE(SUBSTITUTE("type:"&amp;B1985,"%","%25"),"~","%7E"),"*","%2A"),"?","%3F")))&gt;1,"Duplicate type",IF(INDEX('Rules'!$F$7:$F$26,MATCH(SUBSTITUTE(SUBSTITUTE(SUBSTITUTE(SUBSTITUTE("type:"&amp;B1985,"%","%25"),"~","%7E"),"*","%2A"),"?","%3F"),'Rules'!$G$7:$G$26,0))&lt;&gt;"",INDEX('Rules'!$F$7:$F$26,MATCH(SUBSTITUTE(SUBSTITUTE(SUBSTITUTE(SUBSTITUTE("type:"&amp;B1985,"%","%25"),"~","%7E"),"*","%2A"),"?","%3F"),'Rules'!$G$7:$G$26,0)),IF(AND(C1985&lt;&gt;"",C1985&lt;&gt;INDEX('Rules'!$B$7:$B$26,MATCH(SUBSTITUTE(SUBSTITUTE(SUBSTITUTE(SUBSTITUTE("type:"&amp;B1985,"%","%25"),"~","%7E"),"*","%2A"),"?","%3F"),'Rules'!$G$7:$G$26,0))),"Unit mismatch",IF(IF(NOT(ISNUMBER(D1985)),TRUE,OR(D1985&lt;0,D1985&gt;999999999,ROUND(D1985,3)&lt;&gt;D1985)),"Invalid current reading",IF(AND(E1985&lt;&gt;"",IF(NOT(ISNUMBER(E1985)),TRUE,OR(E1985&lt;0,E1985&gt;999999999,ROUND(E1985,3)&lt;&gt;E1985))),"Invalid previous reading",IF(IF(NOT(ISNUMBER(F1985)),TRUE,OR(F1985&lt;0,F1985&gt;999999999,ROUND(F1985,3)&lt;&gt;F1985)),"Invalid last service",IF(AND(E1985&lt;&gt;"",D1985&lt;E1985),"Decreased reading",IF(F1985&gt;D1985,"Last service above current","")))))))))))))</x:f>
      </x:c>
      <x:c r="L1985" s="6" t="str">
        <x:f>IF(AND(NOT(COUNTA(A1985:F1985)=0),K1985=""),INDEX('Rules'!$C$7:$C$26,MATCH(SUBSTITUTE(SUBSTITUTE(SUBSTITUTE(SUBSTITUTE("type:"&amp;B1985,"%","%25"),"~","%7E"),"*","%2A"),"?","%3F"),'Rules'!$G$7:$G$26,0)),"")</x:f>
      </x:c>
      <x:c r="M1985" s="6" t="str">
        <x:f>IF(AND(NOT(COUNTA(A1985:F1985)=0),K1985=""),INDEX('Rules'!$D$7:$D$26,MATCH(SUBSTITUTE(SUBSTITUTE(SUBSTITUTE(SUBSTITUTE("type:"&amp;B1985,"%","%25"),"~","%7E"),"*","%2A"),"?","%3F"),'Rules'!$G$7:$G$26,0)),"")</x:f>
      </x:c>
      <x:c r="N1985" s="5" t="str">
        <x:f>IF(COUNTA(A1985:F1985)=0,"",SUBSTITUTE(SUBSTITUTE(SUBSTITUTE(SUBSTITUTE("id:"&amp;A1985,"%","%25"),"~","%7E"),"*","%2A"),"?","%3F"))</x:f>
      </x:c>
    </x:row>
    <x:row r="1986" ht="22" customHeight="1">
      <x:c r="A1986" s="3"/>
      <x:c r="B1986" s="3"/>
      <x:c r="C1986" s="3"/>
      <x:c r="D1986" s="4"/>
      <x:c r="E1986" s="4"/>
      <x:c r="F1986" s="4"/>
      <x:c r="G1986" s="5" t="str">
        <x:f>IF(COUNTA(A1986:F1986)=0,"",IF(K1986&lt;&gt;"","Review",IF(I1986&lt;0,"Overdue",IF(I1986=0,"Due now",IF(I1986&lt;=M1986,"Due soon","Not due")))))</x:f>
      </x:c>
      <x:c r="H1986" s="5" t="str">
        <x:f>IF(OR(COUNTA(A1986:F1986)=0,COUNTIFS('Rules'!$G$7:$G$26,"="&amp;(SUBSTITUTE(SUBSTITUTE(SUBSTITUTE(SUBSTITUTE("type:"&amp;B1986,"%","%25"),"~","%7E"),"*","%2A"),"?","%3F")))&lt;&gt;1),"",IF(OR(INDEX('Rules'!$B$7:$B$26,MATCH(SUBSTITUTE(SUBSTITUTE(SUBSTITUTE(SUBSTITUTE("type:"&amp;B1986,"%","%25"),"~","%7E"),"*","%2A"),"?","%3F"),'Rules'!$G$7:$G$26,0))="hours",INDEX('Rules'!$B$7:$B$26,MATCH(SUBSTITUTE(SUBSTITUTE(SUBSTITUTE(SUBSTITUTE("type:"&amp;B1986,"%","%25"),"~","%7E"),"*","%2A"),"?","%3F"),'Rules'!$G$7:$G$26,0))="km"),INDEX('Rules'!$B$7:$B$26,MATCH(SUBSTITUTE(SUBSTITUTE(SUBSTITUTE(SUBSTITUTE("type:"&amp;B1986,"%","%25"),"~","%7E"),"*","%2A"),"?","%3F"),'Rules'!$G$7:$G$26,0)),""))</x:f>
      </x:c>
      <x:c r="I1986" s="6" t="str">
        <x:f>IF(AND(NOT(COUNTA(A1986:F1986)=0),K1986=""),ROUND(J1986-D1986,3),"")</x:f>
      </x:c>
      <x:c r="J1986" s="6" t="str">
        <x:f>IF(AND(NOT(COUNTA(A1986:F1986)=0),K1986=""),ROUND(F1986+L1986,3),"")</x:f>
      </x:c>
      <x:c r="K1986" s="5" t="str">
        <x:f>IF(COUNTA(A1986:F1986)=0,"",IF(A1986="","Missing equipment ID",IF(COUNTIFS($N$8:$N$2007,"="&amp;N1986)&gt;1,"Duplicate equipment ID",IF(B1986="","Missing type",IF(COUNTIFS('Rules'!$G$7:$G$26,"="&amp;(SUBSTITUTE(SUBSTITUTE(SUBSTITUTE(SUBSTITUTE("type:"&amp;B1986,"%","%25"),"~","%7E"),"*","%2A"),"?","%3F")))=0,"Unknown type",IF(COUNTIFS('Rules'!$G$7:$G$26,"="&amp;(SUBSTITUTE(SUBSTITUTE(SUBSTITUTE(SUBSTITUTE("type:"&amp;B1986,"%","%25"),"~","%7E"),"*","%2A"),"?","%3F")))&gt;1,"Duplicate type",IF(INDEX('Rules'!$F$7:$F$26,MATCH(SUBSTITUTE(SUBSTITUTE(SUBSTITUTE(SUBSTITUTE("type:"&amp;B1986,"%","%25"),"~","%7E"),"*","%2A"),"?","%3F"),'Rules'!$G$7:$G$26,0))&lt;&gt;"",INDEX('Rules'!$F$7:$F$26,MATCH(SUBSTITUTE(SUBSTITUTE(SUBSTITUTE(SUBSTITUTE("type:"&amp;B1986,"%","%25"),"~","%7E"),"*","%2A"),"?","%3F"),'Rules'!$G$7:$G$26,0)),IF(AND(C1986&lt;&gt;"",C1986&lt;&gt;INDEX('Rules'!$B$7:$B$26,MATCH(SUBSTITUTE(SUBSTITUTE(SUBSTITUTE(SUBSTITUTE("type:"&amp;B1986,"%","%25"),"~","%7E"),"*","%2A"),"?","%3F"),'Rules'!$G$7:$G$26,0))),"Unit mismatch",IF(IF(NOT(ISNUMBER(D1986)),TRUE,OR(D1986&lt;0,D1986&gt;999999999,ROUND(D1986,3)&lt;&gt;D1986)),"Invalid current reading",IF(AND(E1986&lt;&gt;"",IF(NOT(ISNUMBER(E1986)),TRUE,OR(E1986&lt;0,E1986&gt;999999999,ROUND(E1986,3)&lt;&gt;E1986))),"Invalid previous reading",IF(IF(NOT(ISNUMBER(F1986)),TRUE,OR(F1986&lt;0,F1986&gt;999999999,ROUND(F1986,3)&lt;&gt;F1986)),"Invalid last service",IF(AND(E1986&lt;&gt;"",D1986&lt;E1986),"Decreased reading",IF(F1986&gt;D1986,"Last service above current","")))))))))))))</x:f>
      </x:c>
      <x:c r="L1986" s="6" t="str">
        <x:f>IF(AND(NOT(COUNTA(A1986:F1986)=0),K1986=""),INDEX('Rules'!$C$7:$C$26,MATCH(SUBSTITUTE(SUBSTITUTE(SUBSTITUTE(SUBSTITUTE("type:"&amp;B1986,"%","%25"),"~","%7E"),"*","%2A"),"?","%3F"),'Rules'!$G$7:$G$26,0)),"")</x:f>
      </x:c>
      <x:c r="M1986" s="6" t="str">
        <x:f>IF(AND(NOT(COUNTA(A1986:F1986)=0),K1986=""),INDEX('Rules'!$D$7:$D$26,MATCH(SUBSTITUTE(SUBSTITUTE(SUBSTITUTE(SUBSTITUTE("type:"&amp;B1986,"%","%25"),"~","%7E"),"*","%2A"),"?","%3F"),'Rules'!$G$7:$G$26,0)),"")</x:f>
      </x:c>
      <x:c r="N1986" s="5" t="str">
        <x:f>IF(COUNTA(A1986:F1986)=0,"",SUBSTITUTE(SUBSTITUTE(SUBSTITUTE(SUBSTITUTE("id:"&amp;A1986,"%","%25"),"~","%7E"),"*","%2A"),"?","%3F"))</x:f>
      </x:c>
    </x:row>
    <x:row r="1987" ht="22" customHeight="1">
      <x:c r="A1987" s="3"/>
      <x:c r="B1987" s="3"/>
      <x:c r="C1987" s="3"/>
      <x:c r="D1987" s="4"/>
      <x:c r="E1987" s="4"/>
      <x:c r="F1987" s="4"/>
      <x:c r="G1987" s="5" t="str">
        <x:f>IF(COUNTA(A1987:F1987)=0,"",IF(K1987&lt;&gt;"","Review",IF(I1987&lt;0,"Overdue",IF(I1987=0,"Due now",IF(I1987&lt;=M1987,"Due soon","Not due")))))</x:f>
      </x:c>
      <x:c r="H1987" s="5" t="str">
        <x:f>IF(OR(COUNTA(A1987:F1987)=0,COUNTIFS('Rules'!$G$7:$G$26,"="&amp;(SUBSTITUTE(SUBSTITUTE(SUBSTITUTE(SUBSTITUTE("type:"&amp;B1987,"%","%25"),"~","%7E"),"*","%2A"),"?","%3F")))&lt;&gt;1),"",IF(OR(INDEX('Rules'!$B$7:$B$26,MATCH(SUBSTITUTE(SUBSTITUTE(SUBSTITUTE(SUBSTITUTE("type:"&amp;B1987,"%","%25"),"~","%7E"),"*","%2A"),"?","%3F"),'Rules'!$G$7:$G$26,0))="hours",INDEX('Rules'!$B$7:$B$26,MATCH(SUBSTITUTE(SUBSTITUTE(SUBSTITUTE(SUBSTITUTE("type:"&amp;B1987,"%","%25"),"~","%7E"),"*","%2A"),"?","%3F"),'Rules'!$G$7:$G$26,0))="km"),INDEX('Rules'!$B$7:$B$26,MATCH(SUBSTITUTE(SUBSTITUTE(SUBSTITUTE(SUBSTITUTE("type:"&amp;B1987,"%","%25"),"~","%7E"),"*","%2A"),"?","%3F"),'Rules'!$G$7:$G$26,0)),""))</x:f>
      </x:c>
      <x:c r="I1987" s="6" t="str">
        <x:f>IF(AND(NOT(COUNTA(A1987:F1987)=0),K1987=""),ROUND(J1987-D1987,3),"")</x:f>
      </x:c>
      <x:c r="J1987" s="6" t="str">
        <x:f>IF(AND(NOT(COUNTA(A1987:F1987)=0),K1987=""),ROUND(F1987+L1987,3),"")</x:f>
      </x:c>
      <x:c r="K1987" s="5" t="str">
        <x:f>IF(COUNTA(A1987:F1987)=0,"",IF(A1987="","Missing equipment ID",IF(COUNTIFS($N$8:$N$2007,"="&amp;N1987)&gt;1,"Duplicate equipment ID",IF(B1987="","Missing type",IF(COUNTIFS('Rules'!$G$7:$G$26,"="&amp;(SUBSTITUTE(SUBSTITUTE(SUBSTITUTE(SUBSTITUTE("type:"&amp;B1987,"%","%25"),"~","%7E"),"*","%2A"),"?","%3F")))=0,"Unknown type",IF(COUNTIFS('Rules'!$G$7:$G$26,"="&amp;(SUBSTITUTE(SUBSTITUTE(SUBSTITUTE(SUBSTITUTE("type:"&amp;B1987,"%","%25"),"~","%7E"),"*","%2A"),"?","%3F")))&gt;1,"Duplicate type",IF(INDEX('Rules'!$F$7:$F$26,MATCH(SUBSTITUTE(SUBSTITUTE(SUBSTITUTE(SUBSTITUTE("type:"&amp;B1987,"%","%25"),"~","%7E"),"*","%2A"),"?","%3F"),'Rules'!$G$7:$G$26,0))&lt;&gt;"",INDEX('Rules'!$F$7:$F$26,MATCH(SUBSTITUTE(SUBSTITUTE(SUBSTITUTE(SUBSTITUTE("type:"&amp;B1987,"%","%25"),"~","%7E"),"*","%2A"),"?","%3F"),'Rules'!$G$7:$G$26,0)),IF(AND(C1987&lt;&gt;"",C1987&lt;&gt;INDEX('Rules'!$B$7:$B$26,MATCH(SUBSTITUTE(SUBSTITUTE(SUBSTITUTE(SUBSTITUTE("type:"&amp;B1987,"%","%25"),"~","%7E"),"*","%2A"),"?","%3F"),'Rules'!$G$7:$G$26,0))),"Unit mismatch",IF(IF(NOT(ISNUMBER(D1987)),TRUE,OR(D1987&lt;0,D1987&gt;999999999,ROUND(D1987,3)&lt;&gt;D1987)),"Invalid current reading",IF(AND(E1987&lt;&gt;"",IF(NOT(ISNUMBER(E1987)),TRUE,OR(E1987&lt;0,E1987&gt;999999999,ROUND(E1987,3)&lt;&gt;E1987))),"Invalid previous reading",IF(IF(NOT(ISNUMBER(F1987)),TRUE,OR(F1987&lt;0,F1987&gt;999999999,ROUND(F1987,3)&lt;&gt;F1987)),"Invalid last service",IF(AND(E1987&lt;&gt;"",D1987&lt;E1987),"Decreased reading",IF(F1987&gt;D1987,"Last service above current","")))))))))))))</x:f>
      </x:c>
      <x:c r="L1987" s="6" t="str">
        <x:f>IF(AND(NOT(COUNTA(A1987:F1987)=0),K1987=""),INDEX('Rules'!$C$7:$C$26,MATCH(SUBSTITUTE(SUBSTITUTE(SUBSTITUTE(SUBSTITUTE("type:"&amp;B1987,"%","%25"),"~","%7E"),"*","%2A"),"?","%3F"),'Rules'!$G$7:$G$26,0)),"")</x:f>
      </x:c>
      <x:c r="M1987" s="6" t="str">
        <x:f>IF(AND(NOT(COUNTA(A1987:F1987)=0),K1987=""),INDEX('Rules'!$D$7:$D$26,MATCH(SUBSTITUTE(SUBSTITUTE(SUBSTITUTE(SUBSTITUTE("type:"&amp;B1987,"%","%25"),"~","%7E"),"*","%2A"),"?","%3F"),'Rules'!$G$7:$G$26,0)),"")</x:f>
      </x:c>
      <x:c r="N1987" s="5" t="str">
        <x:f>IF(COUNTA(A1987:F1987)=0,"",SUBSTITUTE(SUBSTITUTE(SUBSTITUTE(SUBSTITUTE("id:"&amp;A1987,"%","%25"),"~","%7E"),"*","%2A"),"?","%3F"))</x:f>
      </x:c>
    </x:row>
    <x:row r="1988" ht="22" customHeight="1">
      <x:c r="A1988" s="3"/>
      <x:c r="B1988" s="3"/>
      <x:c r="C1988" s="3"/>
      <x:c r="D1988" s="4"/>
      <x:c r="E1988" s="4"/>
      <x:c r="F1988" s="4"/>
      <x:c r="G1988" s="5" t="str">
        <x:f>IF(COUNTA(A1988:F1988)=0,"",IF(K1988&lt;&gt;"","Review",IF(I1988&lt;0,"Overdue",IF(I1988=0,"Due now",IF(I1988&lt;=M1988,"Due soon","Not due")))))</x:f>
      </x:c>
      <x:c r="H1988" s="5" t="str">
        <x:f>IF(OR(COUNTA(A1988:F1988)=0,COUNTIFS('Rules'!$G$7:$G$26,"="&amp;(SUBSTITUTE(SUBSTITUTE(SUBSTITUTE(SUBSTITUTE("type:"&amp;B1988,"%","%25"),"~","%7E"),"*","%2A"),"?","%3F")))&lt;&gt;1),"",IF(OR(INDEX('Rules'!$B$7:$B$26,MATCH(SUBSTITUTE(SUBSTITUTE(SUBSTITUTE(SUBSTITUTE("type:"&amp;B1988,"%","%25"),"~","%7E"),"*","%2A"),"?","%3F"),'Rules'!$G$7:$G$26,0))="hours",INDEX('Rules'!$B$7:$B$26,MATCH(SUBSTITUTE(SUBSTITUTE(SUBSTITUTE(SUBSTITUTE("type:"&amp;B1988,"%","%25"),"~","%7E"),"*","%2A"),"?","%3F"),'Rules'!$G$7:$G$26,0))="km"),INDEX('Rules'!$B$7:$B$26,MATCH(SUBSTITUTE(SUBSTITUTE(SUBSTITUTE(SUBSTITUTE("type:"&amp;B1988,"%","%25"),"~","%7E"),"*","%2A"),"?","%3F"),'Rules'!$G$7:$G$26,0)),""))</x:f>
      </x:c>
      <x:c r="I1988" s="6" t="str">
        <x:f>IF(AND(NOT(COUNTA(A1988:F1988)=0),K1988=""),ROUND(J1988-D1988,3),"")</x:f>
      </x:c>
      <x:c r="J1988" s="6" t="str">
        <x:f>IF(AND(NOT(COUNTA(A1988:F1988)=0),K1988=""),ROUND(F1988+L1988,3),"")</x:f>
      </x:c>
      <x:c r="K1988" s="5" t="str">
        <x:f>IF(COUNTA(A1988:F1988)=0,"",IF(A1988="","Missing equipment ID",IF(COUNTIFS($N$8:$N$2007,"="&amp;N1988)&gt;1,"Duplicate equipment ID",IF(B1988="","Missing type",IF(COUNTIFS('Rules'!$G$7:$G$26,"="&amp;(SUBSTITUTE(SUBSTITUTE(SUBSTITUTE(SUBSTITUTE("type:"&amp;B1988,"%","%25"),"~","%7E"),"*","%2A"),"?","%3F")))=0,"Unknown type",IF(COUNTIFS('Rules'!$G$7:$G$26,"="&amp;(SUBSTITUTE(SUBSTITUTE(SUBSTITUTE(SUBSTITUTE("type:"&amp;B1988,"%","%25"),"~","%7E"),"*","%2A"),"?","%3F")))&gt;1,"Duplicate type",IF(INDEX('Rules'!$F$7:$F$26,MATCH(SUBSTITUTE(SUBSTITUTE(SUBSTITUTE(SUBSTITUTE("type:"&amp;B1988,"%","%25"),"~","%7E"),"*","%2A"),"?","%3F"),'Rules'!$G$7:$G$26,0))&lt;&gt;"",INDEX('Rules'!$F$7:$F$26,MATCH(SUBSTITUTE(SUBSTITUTE(SUBSTITUTE(SUBSTITUTE("type:"&amp;B1988,"%","%25"),"~","%7E"),"*","%2A"),"?","%3F"),'Rules'!$G$7:$G$26,0)),IF(AND(C1988&lt;&gt;"",C1988&lt;&gt;INDEX('Rules'!$B$7:$B$26,MATCH(SUBSTITUTE(SUBSTITUTE(SUBSTITUTE(SUBSTITUTE("type:"&amp;B1988,"%","%25"),"~","%7E"),"*","%2A"),"?","%3F"),'Rules'!$G$7:$G$26,0))),"Unit mismatch",IF(IF(NOT(ISNUMBER(D1988)),TRUE,OR(D1988&lt;0,D1988&gt;999999999,ROUND(D1988,3)&lt;&gt;D1988)),"Invalid current reading",IF(AND(E1988&lt;&gt;"",IF(NOT(ISNUMBER(E1988)),TRUE,OR(E1988&lt;0,E1988&gt;999999999,ROUND(E1988,3)&lt;&gt;E1988))),"Invalid previous reading",IF(IF(NOT(ISNUMBER(F1988)),TRUE,OR(F1988&lt;0,F1988&gt;999999999,ROUND(F1988,3)&lt;&gt;F1988)),"Invalid last service",IF(AND(E1988&lt;&gt;"",D1988&lt;E1988),"Decreased reading",IF(F1988&gt;D1988,"Last service above current","")))))))))))))</x:f>
      </x:c>
      <x:c r="L1988" s="6" t="str">
        <x:f>IF(AND(NOT(COUNTA(A1988:F1988)=0),K1988=""),INDEX('Rules'!$C$7:$C$26,MATCH(SUBSTITUTE(SUBSTITUTE(SUBSTITUTE(SUBSTITUTE("type:"&amp;B1988,"%","%25"),"~","%7E"),"*","%2A"),"?","%3F"),'Rules'!$G$7:$G$26,0)),"")</x:f>
      </x:c>
      <x:c r="M1988" s="6" t="str">
        <x:f>IF(AND(NOT(COUNTA(A1988:F1988)=0),K1988=""),INDEX('Rules'!$D$7:$D$26,MATCH(SUBSTITUTE(SUBSTITUTE(SUBSTITUTE(SUBSTITUTE("type:"&amp;B1988,"%","%25"),"~","%7E"),"*","%2A"),"?","%3F"),'Rules'!$G$7:$G$26,0)),"")</x:f>
      </x:c>
      <x:c r="N1988" s="5" t="str">
        <x:f>IF(COUNTA(A1988:F1988)=0,"",SUBSTITUTE(SUBSTITUTE(SUBSTITUTE(SUBSTITUTE("id:"&amp;A1988,"%","%25"),"~","%7E"),"*","%2A"),"?","%3F"))</x:f>
      </x:c>
    </x:row>
    <x:row r="1989" ht="22" customHeight="1">
      <x:c r="A1989" s="3"/>
      <x:c r="B1989" s="3"/>
      <x:c r="C1989" s="3"/>
      <x:c r="D1989" s="4"/>
      <x:c r="E1989" s="4"/>
      <x:c r="F1989" s="4"/>
      <x:c r="G1989" s="5" t="str">
        <x:f>IF(COUNTA(A1989:F1989)=0,"",IF(K1989&lt;&gt;"","Review",IF(I1989&lt;0,"Overdue",IF(I1989=0,"Due now",IF(I1989&lt;=M1989,"Due soon","Not due")))))</x:f>
      </x:c>
      <x:c r="H1989" s="5" t="str">
        <x:f>IF(OR(COUNTA(A1989:F1989)=0,COUNTIFS('Rules'!$G$7:$G$26,"="&amp;(SUBSTITUTE(SUBSTITUTE(SUBSTITUTE(SUBSTITUTE("type:"&amp;B1989,"%","%25"),"~","%7E"),"*","%2A"),"?","%3F")))&lt;&gt;1),"",IF(OR(INDEX('Rules'!$B$7:$B$26,MATCH(SUBSTITUTE(SUBSTITUTE(SUBSTITUTE(SUBSTITUTE("type:"&amp;B1989,"%","%25"),"~","%7E"),"*","%2A"),"?","%3F"),'Rules'!$G$7:$G$26,0))="hours",INDEX('Rules'!$B$7:$B$26,MATCH(SUBSTITUTE(SUBSTITUTE(SUBSTITUTE(SUBSTITUTE("type:"&amp;B1989,"%","%25"),"~","%7E"),"*","%2A"),"?","%3F"),'Rules'!$G$7:$G$26,0))="km"),INDEX('Rules'!$B$7:$B$26,MATCH(SUBSTITUTE(SUBSTITUTE(SUBSTITUTE(SUBSTITUTE("type:"&amp;B1989,"%","%25"),"~","%7E"),"*","%2A"),"?","%3F"),'Rules'!$G$7:$G$26,0)),""))</x:f>
      </x:c>
      <x:c r="I1989" s="6" t="str">
        <x:f>IF(AND(NOT(COUNTA(A1989:F1989)=0),K1989=""),ROUND(J1989-D1989,3),"")</x:f>
      </x:c>
      <x:c r="J1989" s="6" t="str">
        <x:f>IF(AND(NOT(COUNTA(A1989:F1989)=0),K1989=""),ROUND(F1989+L1989,3),"")</x:f>
      </x:c>
      <x:c r="K1989" s="5" t="str">
        <x:f>IF(COUNTA(A1989:F1989)=0,"",IF(A1989="","Missing equipment ID",IF(COUNTIFS($N$8:$N$2007,"="&amp;N1989)&gt;1,"Duplicate equipment ID",IF(B1989="","Missing type",IF(COUNTIFS('Rules'!$G$7:$G$26,"="&amp;(SUBSTITUTE(SUBSTITUTE(SUBSTITUTE(SUBSTITUTE("type:"&amp;B1989,"%","%25"),"~","%7E"),"*","%2A"),"?","%3F")))=0,"Unknown type",IF(COUNTIFS('Rules'!$G$7:$G$26,"="&amp;(SUBSTITUTE(SUBSTITUTE(SUBSTITUTE(SUBSTITUTE("type:"&amp;B1989,"%","%25"),"~","%7E"),"*","%2A"),"?","%3F")))&gt;1,"Duplicate type",IF(INDEX('Rules'!$F$7:$F$26,MATCH(SUBSTITUTE(SUBSTITUTE(SUBSTITUTE(SUBSTITUTE("type:"&amp;B1989,"%","%25"),"~","%7E"),"*","%2A"),"?","%3F"),'Rules'!$G$7:$G$26,0))&lt;&gt;"",INDEX('Rules'!$F$7:$F$26,MATCH(SUBSTITUTE(SUBSTITUTE(SUBSTITUTE(SUBSTITUTE("type:"&amp;B1989,"%","%25"),"~","%7E"),"*","%2A"),"?","%3F"),'Rules'!$G$7:$G$26,0)),IF(AND(C1989&lt;&gt;"",C1989&lt;&gt;INDEX('Rules'!$B$7:$B$26,MATCH(SUBSTITUTE(SUBSTITUTE(SUBSTITUTE(SUBSTITUTE("type:"&amp;B1989,"%","%25"),"~","%7E"),"*","%2A"),"?","%3F"),'Rules'!$G$7:$G$26,0))),"Unit mismatch",IF(IF(NOT(ISNUMBER(D1989)),TRUE,OR(D1989&lt;0,D1989&gt;999999999,ROUND(D1989,3)&lt;&gt;D1989)),"Invalid current reading",IF(AND(E1989&lt;&gt;"",IF(NOT(ISNUMBER(E1989)),TRUE,OR(E1989&lt;0,E1989&gt;999999999,ROUND(E1989,3)&lt;&gt;E1989))),"Invalid previous reading",IF(IF(NOT(ISNUMBER(F1989)),TRUE,OR(F1989&lt;0,F1989&gt;999999999,ROUND(F1989,3)&lt;&gt;F1989)),"Invalid last service",IF(AND(E1989&lt;&gt;"",D1989&lt;E1989),"Decreased reading",IF(F1989&gt;D1989,"Last service above current","")))))))))))))</x:f>
      </x:c>
      <x:c r="L1989" s="6" t="str">
        <x:f>IF(AND(NOT(COUNTA(A1989:F1989)=0),K1989=""),INDEX('Rules'!$C$7:$C$26,MATCH(SUBSTITUTE(SUBSTITUTE(SUBSTITUTE(SUBSTITUTE("type:"&amp;B1989,"%","%25"),"~","%7E"),"*","%2A"),"?","%3F"),'Rules'!$G$7:$G$26,0)),"")</x:f>
      </x:c>
      <x:c r="M1989" s="6" t="str">
        <x:f>IF(AND(NOT(COUNTA(A1989:F1989)=0),K1989=""),INDEX('Rules'!$D$7:$D$26,MATCH(SUBSTITUTE(SUBSTITUTE(SUBSTITUTE(SUBSTITUTE("type:"&amp;B1989,"%","%25"),"~","%7E"),"*","%2A"),"?","%3F"),'Rules'!$G$7:$G$26,0)),"")</x:f>
      </x:c>
      <x:c r="N1989" s="5" t="str">
        <x:f>IF(COUNTA(A1989:F1989)=0,"",SUBSTITUTE(SUBSTITUTE(SUBSTITUTE(SUBSTITUTE("id:"&amp;A1989,"%","%25"),"~","%7E"),"*","%2A"),"?","%3F"))</x:f>
      </x:c>
    </x:row>
    <x:row r="1990" ht="22" customHeight="1">
      <x:c r="A1990" s="3"/>
      <x:c r="B1990" s="3"/>
      <x:c r="C1990" s="3"/>
      <x:c r="D1990" s="4"/>
      <x:c r="E1990" s="4"/>
      <x:c r="F1990" s="4"/>
      <x:c r="G1990" s="5" t="str">
        <x:f>IF(COUNTA(A1990:F1990)=0,"",IF(K1990&lt;&gt;"","Review",IF(I1990&lt;0,"Overdue",IF(I1990=0,"Due now",IF(I1990&lt;=M1990,"Due soon","Not due")))))</x:f>
      </x:c>
      <x:c r="H1990" s="5" t="str">
        <x:f>IF(OR(COUNTA(A1990:F1990)=0,COUNTIFS('Rules'!$G$7:$G$26,"="&amp;(SUBSTITUTE(SUBSTITUTE(SUBSTITUTE(SUBSTITUTE("type:"&amp;B1990,"%","%25"),"~","%7E"),"*","%2A"),"?","%3F")))&lt;&gt;1),"",IF(OR(INDEX('Rules'!$B$7:$B$26,MATCH(SUBSTITUTE(SUBSTITUTE(SUBSTITUTE(SUBSTITUTE("type:"&amp;B1990,"%","%25"),"~","%7E"),"*","%2A"),"?","%3F"),'Rules'!$G$7:$G$26,0))="hours",INDEX('Rules'!$B$7:$B$26,MATCH(SUBSTITUTE(SUBSTITUTE(SUBSTITUTE(SUBSTITUTE("type:"&amp;B1990,"%","%25"),"~","%7E"),"*","%2A"),"?","%3F"),'Rules'!$G$7:$G$26,0))="km"),INDEX('Rules'!$B$7:$B$26,MATCH(SUBSTITUTE(SUBSTITUTE(SUBSTITUTE(SUBSTITUTE("type:"&amp;B1990,"%","%25"),"~","%7E"),"*","%2A"),"?","%3F"),'Rules'!$G$7:$G$26,0)),""))</x:f>
      </x:c>
      <x:c r="I1990" s="6" t="str">
        <x:f>IF(AND(NOT(COUNTA(A1990:F1990)=0),K1990=""),ROUND(J1990-D1990,3),"")</x:f>
      </x:c>
      <x:c r="J1990" s="6" t="str">
        <x:f>IF(AND(NOT(COUNTA(A1990:F1990)=0),K1990=""),ROUND(F1990+L1990,3),"")</x:f>
      </x:c>
      <x:c r="K1990" s="5" t="str">
        <x:f>IF(COUNTA(A1990:F1990)=0,"",IF(A1990="","Missing equipment ID",IF(COUNTIFS($N$8:$N$2007,"="&amp;N1990)&gt;1,"Duplicate equipment ID",IF(B1990="","Missing type",IF(COUNTIFS('Rules'!$G$7:$G$26,"="&amp;(SUBSTITUTE(SUBSTITUTE(SUBSTITUTE(SUBSTITUTE("type:"&amp;B1990,"%","%25"),"~","%7E"),"*","%2A"),"?","%3F")))=0,"Unknown type",IF(COUNTIFS('Rules'!$G$7:$G$26,"="&amp;(SUBSTITUTE(SUBSTITUTE(SUBSTITUTE(SUBSTITUTE("type:"&amp;B1990,"%","%25"),"~","%7E"),"*","%2A"),"?","%3F")))&gt;1,"Duplicate type",IF(INDEX('Rules'!$F$7:$F$26,MATCH(SUBSTITUTE(SUBSTITUTE(SUBSTITUTE(SUBSTITUTE("type:"&amp;B1990,"%","%25"),"~","%7E"),"*","%2A"),"?","%3F"),'Rules'!$G$7:$G$26,0))&lt;&gt;"",INDEX('Rules'!$F$7:$F$26,MATCH(SUBSTITUTE(SUBSTITUTE(SUBSTITUTE(SUBSTITUTE("type:"&amp;B1990,"%","%25"),"~","%7E"),"*","%2A"),"?","%3F"),'Rules'!$G$7:$G$26,0)),IF(AND(C1990&lt;&gt;"",C1990&lt;&gt;INDEX('Rules'!$B$7:$B$26,MATCH(SUBSTITUTE(SUBSTITUTE(SUBSTITUTE(SUBSTITUTE("type:"&amp;B1990,"%","%25"),"~","%7E"),"*","%2A"),"?","%3F"),'Rules'!$G$7:$G$26,0))),"Unit mismatch",IF(IF(NOT(ISNUMBER(D1990)),TRUE,OR(D1990&lt;0,D1990&gt;999999999,ROUND(D1990,3)&lt;&gt;D1990)),"Invalid current reading",IF(AND(E1990&lt;&gt;"",IF(NOT(ISNUMBER(E1990)),TRUE,OR(E1990&lt;0,E1990&gt;999999999,ROUND(E1990,3)&lt;&gt;E1990))),"Invalid previous reading",IF(IF(NOT(ISNUMBER(F1990)),TRUE,OR(F1990&lt;0,F1990&gt;999999999,ROUND(F1990,3)&lt;&gt;F1990)),"Invalid last service",IF(AND(E1990&lt;&gt;"",D1990&lt;E1990),"Decreased reading",IF(F1990&gt;D1990,"Last service above current","")))))))))))))</x:f>
      </x:c>
      <x:c r="L1990" s="6" t="str">
        <x:f>IF(AND(NOT(COUNTA(A1990:F1990)=0),K1990=""),INDEX('Rules'!$C$7:$C$26,MATCH(SUBSTITUTE(SUBSTITUTE(SUBSTITUTE(SUBSTITUTE("type:"&amp;B1990,"%","%25"),"~","%7E"),"*","%2A"),"?","%3F"),'Rules'!$G$7:$G$26,0)),"")</x:f>
      </x:c>
      <x:c r="M1990" s="6" t="str">
        <x:f>IF(AND(NOT(COUNTA(A1990:F1990)=0),K1990=""),INDEX('Rules'!$D$7:$D$26,MATCH(SUBSTITUTE(SUBSTITUTE(SUBSTITUTE(SUBSTITUTE("type:"&amp;B1990,"%","%25"),"~","%7E"),"*","%2A"),"?","%3F"),'Rules'!$G$7:$G$26,0)),"")</x:f>
      </x:c>
      <x:c r="N1990" s="5" t="str">
        <x:f>IF(COUNTA(A1990:F1990)=0,"",SUBSTITUTE(SUBSTITUTE(SUBSTITUTE(SUBSTITUTE("id:"&amp;A1990,"%","%25"),"~","%7E"),"*","%2A"),"?","%3F"))</x:f>
      </x:c>
    </x:row>
    <x:row r="1991" ht="22" customHeight="1">
      <x:c r="A1991" s="3"/>
      <x:c r="B1991" s="3"/>
      <x:c r="C1991" s="3"/>
      <x:c r="D1991" s="4"/>
      <x:c r="E1991" s="4"/>
      <x:c r="F1991" s="4"/>
      <x:c r="G1991" s="5" t="str">
        <x:f>IF(COUNTA(A1991:F1991)=0,"",IF(K1991&lt;&gt;"","Review",IF(I1991&lt;0,"Overdue",IF(I1991=0,"Due now",IF(I1991&lt;=M1991,"Due soon","Not due")))))</x:f>
      </x:c>
      <x:c r="H1991" s="5" t="str">
        <x:f>IF(OR(COUNTA(A1991:F1991)=0,COUNTIFS('Rules'!$G$7:$G$26,"="&amp;(SUBSTITUTE(SUBSTITUTE(SUBSTITUTE(SUBSTITUTE("type:"&amp;B1991,"%","%25"),"~","%7E"),"*","%2A"),"?","%3F")))&lt;&gt;1),"",IF(OR(INDEX('Rules'!$B$7:$B$26,MATCH(SUBSTITUTE(SUBSTITUTE(SUBSTITUTE(SUBSTITUTE("type:"&amp;B1991,"%","%25"),"~","%7E"),"*","%2A"),"?","%3F"),'Rules'!$G$7:$G$26,0))="hours",INDEX('Rules'!$B$7:$B$26,MATCH(SUBSTITUTE(SUBSTITUTE(SUBSTITUTE(SUBSTITUTE("type:"&amp;B1991,"%","%25"),"~","%7E"),"*","%2A"),"?","%3F"),'Rules'!$G$7:$G$26,0))="km"),INDEX('Rules'!$B$7:$B$26,MATCH(SUBSTITUTE(SUBSTITUTE(SUBSTITUTE(SUBSTITUTE("type:"&amp;B1991,"%","%25"),"~","%7E"),"*","%2A"),"?","%3F"),'Rules'!$G$7:$G$26,0)),""))</x:f>
      </x:c>
      <x:c r="I1991" s="6" t="str">
        <x:f>IF(AND(NOT(COUNTA(A1991:F1991)=0),K1991=""),ROUND(J1991-D1991,3),"")</x:f>
      </x:c>
      <x:c r="J1991" s="6" t="str">
        <x:f>IF(AND(NOT(COUNTA(A1991:F1991)=0),K1991=""),ROUND(F1991+L1991,3),"")</x:f>
      </x:c>
      <x:c r="K1991" s="5" t="str">
        <x:f>IF(COUNTA(A1991:F1991)=0,"",IF(A1991="","Missing equipment ID",IF(COUNTIFS($N$8:$N$2007,"="&amp;N1991)&gt;1,"Duplicate equipment ID",IF(B1991="","Missing type",IF(COUNTIFS('Rules'!$G$7:$G$26,"="&amp;(SUBSTITUTE(SUBSTITUTE(SUBSTITUTE(SUBSTITUTE("type:"&amp;B1991,"%","%25"),"~","%7E"),"*","%2A"),"?","%3F")))=0,"Unknown type",IF(COUNTIFS('Rules'!$G$7:$G$26,"="&amp;(SUBSTITUTE(SUBSTITUTE(SUBSTITUTE(SUBSTITUTE("type:"&amp;B1991,"%","%25"),"~","%7E"),"*","%2A"),"?","%3F")))&gt;1,"Duplicate type",IF(INDEX('Rules'!$F$7:$F$26,MATCH(SUBSTITUTE(SUBSTITUTE(SUBSTITUTE(SUBSTITUTE("type:"&amp;B1991,"%","%25"),"~","%7E"),"*","%2A"),"?","%3F"),'Rules'!$G$7:$G$26,0))&lt;&gt;"",INDEX('Rules'!$F$7:$F$26,MATCH(SUBSTITUTE(SUBSTITUTE(SUBSTITUTE(SUBSTITUTE("type:"&amp;B1991,"%","%25"),"~","%7E"),"*","%2A"),"?","%3F"),'Rules'!$G$7:$G$26,0)),IF(AND(C1991&lt;&gt;"",C1991&lt;&gt;INDEX('Rules'!$B$7:$B$26,MATCH(SUBSTITUTE(SUBSTITUTE(SUBSTITUTE(SUBSTITUTE("type:"&amp;B1991,"%","%25"),"~","%7E"),"*","%2A"),"?","%3F"),'Rules'!$G$7:$G$26,0))),"Unit mismatch",IF(IF(NOT(ISNUMBER(D1991)),TRUE,OR(D1991&lt;0,D1991&gt;999999999,ROUND(D1991,3)&lt;&gt;D1991)),"Invalid current reading",IF(AND(E1991&lt;&gt;"",IF(NOT(ISNUMBER(E1991)),TRUE,OR(E1991&lt;0,E1991&gt;999999999,ROUND(E1991,3)&lt;&gt;E1991))),"Invalid previous reading",IF(IF(NOT(ISNUMBER(F1991)),TRUE,OR(F1991&lt;0,F1991&gt;999999999,ROUND(F1991,3)&lt;&gt;F1991)),"Invalid last service",IF(AND(E1991&lt;&gt;"",D1991&lt;E1991),"Decreased reading",IF(F1991&gt;D1991,"Last service above current","")))))))))))))</x:f>
      </x:c>
      <x:c r="L1991" s="6" t="str">
        <x:f>IF(AND(NOT(COUNTA(A1991:F1991)=0),K1991=""),INDEX('Rules'!$C$7:$C$26,MATCH(SUBSTITUTE(SUBSTITUTE(SUBSTITUTE(SUBSTITUTE("type:"&amp;B1991,"%","%25"),"~","%7E"),"*","%2A"),"?","%3F"),'Rules'!$G$7:$G$26,0)),"")</x:f>
      </x:c>
      <x:c r="M1991" s="6" t="str">
        <x:f>IF(AND(NOT(COUNTA(A1991:F1991)=0),K1991=""),INDEX('Rules'!$D$7:$D$26,MATCH(SUBSTITUTE(SUBSTITUTE(SUBSTITUTE(SUBSTITUTE("type:"&amp;B1991,"%","%25"),"~","%7E"),"*","%2A"),"?","%3F"),'Rules'!$G$7:$G$26,0)),"")</x:f>
      </x:c>
      <x:c r="N1991" s="5" t="str">
        <x:f>IF(COUNTA(A1991:F1991)=0,"",SUBSTITUTE(SUBSTITUTE(SUBSTITUTE(SUBSTITUTE("id:"&amp;A1991,"%","%25"),"~","%7E"),"*","%2A"),"?","%3F"))</x:f>
      </x:c>
    </x:row>
    <x:row r="1992" ht="22" customHeight="1">
      <x:c r="A1992" s="3"/>
      <x:c r="B1992" s="3"/>
      <x:c r="C1992" s="3"/>
      <x:c r="D1992" s="4"/>
      <x:c r="E1992" s="4"/>
      <x:c r="F1992" s="4"/>
      <x:c r="G1992" s="5" t="str">
        <x:f>IF(COUNTA(A1992:F1992)=0,"",IF(K1992&lt;&gt;"","Review",IF(I1992&lt;0,"Overdue",IF(I1992=0,"Due now",IF(I1992&lt;=M1992,"Due soon","Not due")))))</x:f>
      </x:c>
      <x:c r="H1992" s="5" t="str">
        <x:f>IF(OR(COUNTA(A1992:F1992)=0,COUNTIFS('Rules'!$G$7:$G$26,"="&amp;(SUBSTITUTE(SUBSTITUTE(SUBSTITUTE(SUBSTITUTE("type:"&amp;B1992,"%","%25"),"~","%7E"),"*","%2A"),"?","%3F")))&lt;&gt;1),"",IF(OR(INDEX('Rules'!$B$7:$B$26,MATCH(SUBSTITUTE(SUBSTITUTE(SUBSTITUTE(SUBSTITUTE("type:"&amp;B1992,"%","%25"),"~","%7E"),"*","%2A"),"?","%3F"),'Rules'!$G$7:$G$26,0))="hours",INDEX('Rules'!$B$7:$B$26,MATCH(SUBSTITUTE(SUBSTITUTE(SUBSTITUTE(SUBSTITUTE("type:"&amp;B1992,"%","%25"),"~","%7E"),"*","%2A"),"?","%3F"),'Rules'!$G$7:$G$26,0))="km"),INDEX('Rules'!$B$7:$B$26,MATCH(SUBSTITUTE(SUBSTITUTE(SUBSTITUTE(SUBSTITUTE("type:"&amp;B1992,"%","%25"),"~","%7E"),"*","%2A"),"?","%3F"),'Rules'!$G$7:$G$26,0)),""))</x:f>
      </x:c>
      <x:c r="I1992" s="6" t="str">
        <x:f>IF(AND(NOT(COUNTA(A1992:F1992)=0),K1992=""),ROUND(J1992-D1992,3),"")</x:f>
      </x:c>
      <x:c r="J1992" s="6" t="str">
        <x:f>IF(AND(NOT(COUNTA(A1992:F1992)=0),K1992=""),ROUND(F1992+L1992,3),"")</x:f>
      </x:c>
      <x:c r="K1992" s="5" t="str">
        <x:f>IF(COUNTA(A1992:F1992)=0,"",IF(A1992="","Missing equipment ID",IF(COUNTIFS($N$8:$N$2007,"="&amp;N1992)&gt;1,"Duplicate equipment ID",IF(B1992="","Missing type",IF(COUNTIFS('Rules'!$G$7:$G$26,"="&amp;(SUBSTITUTE(SUBSTITUTE(SUBSTITUTE(SUBSTITUTE("type:"&amp;B1992,"%","%25"),"~","%7E"),"*","%2A"),"?","%3F")))=0,"Unknown type",IF(COUNTIFS('Rules'!$G$7:$G$26,"="&amp;(SUBSTITUTE(SUBSTITUTE(SUBSTITUTE(SUBSTITUTE("type:"&amp;B1992,"%","%25"),"~","%7E"),"*","%2A"),"?","%3F")))&gt;1,"Duplicate type",IF(INDEX('Rules'!$F$7:$F$26,MATCH(SUBSTITUTE(SUBSTITUTE(SUBSTITUTE(SUBSTITUTE("type:"&amp;B1992,"%","%25"),"~","%7E"),"*","%2A"),"?","%3F"),'Rules'!$G$7:$G$26,0))&lt;&gt;"",INDEX('Rules'!$F$7:$F$26,MATCH(SUBSTITUTE(SUBSTITUTE(SUBSTITUTE(SUBSTITUTE("type:"&amp;B1992,"%","%25"),"~","%7E"),"*","%2A"),"?","%3F"),'Rules'!$G$7:$G$26,0)),IF(AND(C1992&lt;&gt;"",C1992&lt;&gt;INDEX('Rules'!$B$7:$B$26,MATCH(SUBSTITUTE(SUBSTITUTE(SUBSTITUTE(SUBSTITUTE("type:"&amp;B1992,"%","%25"),"~","%7E"),"*","%2A"),"?","%3F"),'Rules'!$G$7:$G$26,0))),"Unit mismatch",IF(IF(NOT(ISNUMBER(D1992)),TRUE,OR(D1992&lt;0,D1992&gt;999999999,ROUND(D1992,3)&lt;&gt;D1992)),"Invalid current reading",IF(AND(E1992&lt;&gt;"",IF(NOT(ISNUMBER(E1992)),TRUE,OR(E1992&lt;0,E1992&gt;999999999,ROUND(E1992,3)&lt;&gt;E1992))),"Invalid previous reading",IF(IF(NOT(ISNUMBER(F1992)),TRUE,OR(F1992&lt;0,F1992&gt;999999999,ROUND(F1992,3)&lt;&gt;F1992)),"Invalid last service",IF(AND(E1992&lt;&gt;"",D1992&lt;E1992),"Decreased reading",IF(F1992&gt;D1992,"Last service above current","")))))))))))))</x:f>
      </x:c>
      <x:c r="L1992" s="6" t="str">
        <x:f>IF(AND(NOT(COUNTA(A1992:F1992)=0),K1992=""),INDEX('Rules'!$C$7:$C$26,MATCH(SUBSTITUTE(SUBSTITUTE(SUBSTITUTE(SUBSTITUTE("type:"&amp;B1992,"%","%25"),"~","%7E"),"*","%2A"),"?","%3F"),'Rules'!$G$7:$G$26,0)),"")</x:f>
      </x:c>
      <x:c r="M1992" s="6" t="str">
        <x:f>IF(AND(NOT(COUNTA(A1992:F1992)=0),K1992=""),INDEX('Rules'!$D$7:$D$26,MATCH(SUBSTITUTE(SUBSTITUTE(SUBSTITUTE(SUBSTITUTE("type:"&amp;B1992,"%","%25"),"~","%7E"),"*","%2A"),"?","%3F"),'Rules'!$G$7:$G$26,0)),"")</x:f>
      </x:c>
      <x:c r="N1992" s="5" t="str">
        <x:f>IF(COUNTA(A1992:F1992)=0,"",SUBSTITUTE(SUBSTITUTE(SUBSTITUTE(SUBSTITUTE("id:"&amp;A1992,"%","%25"),"~","%7E"),"*","%2A"),"?","%3F"))</x:f>
      </x:c>
    </x:row>
    <x:row r="1993" ht="22" customHeight="1">
      <x:c r="A1993" s="3"/>
      <x:c r="B1993" s="3"/>
      <x:c r="C1993" s="3"/>
      <x:c r="D1993" s="4"/>
      <x:c r="E1993" s="4"/>
      <x:c r="F1993" s="4"/>
      <x:c r="G1993" s="5" t="str">
        <x:f>IF(COUNTA(A1993:F1993)=0,"",IF(K1993&lt;&gt;"","Review",IF(I1993&lt;0,"Overdue",IF(I1993=0,"Due now",IF(I1993&lt;=M1993,"Due soon","Not due")))))</x:f>
      </x:c>
      <x:c r="H1993" s="5" t="str">
        <x:f>IF(OR(COUNTA(A1993:F1993)=0,COUNTIFS('Rules'!$G$7:$G$26,"="&amp;(SUBSTITUTE(SUBSTITUTE(SUBSTITUTE(SUBSTITUTE("type:"&amp;B1993,"%","%25"),"~","%7E"),"*","%2A"),"?","%3F")))&lt;&gt;1),"",IF(OR(INDEX('Rules'!$B$7:$B$26,MATCH(SUBSTITUTE(SUBSTITUTE(SUBSTITUTE(SUBSTITUTE("type:"&amp;B1993,"%","%25"),"~","%7E"),"*","%2A"),"?","%3F"),'Rules'!$G$7:$G$26,0))="hours",INDEX('Rules'!$B$7:$B$26,MATCH(SUBSTITUTE(SUBSTITUTE(SUBSTITUTE(SUBSTITUTE("type:"&amp;B1993,"%","%25"),"~","%7E"),"*","%2A"),"?","%3F"),'Rules'!$G$7:$G$26,0))="km"),INDEX('Rules'!$B$7:$B$26,MATCH(SUBSTITUTE(SUBSTITUTE(SUBSTITUTE(SUBSTITUTE("type:"&amp;B1993,"%","%25"),"~","%7E"),"*","%2A"),"?","%3F"),'Rules'!$G$7:$G$26,0)),""))</x:f>
      </x:c>
      <x:c r="I1993" s="6" t="str">
        <x:f>IF(AND(NOT(COUNTA(A1993:F1993)=0),K1993=""),ROUND(J1993-D1993,3),"")</x:f>
      </x:c>
      <x:c r="J1993" s="6" t="str">
        <x:f>IF(AND(NOT(COUNTA(A1993:F1993)=0),K1993=""),ROUND(F1993+L1993,3),"")</x:f>
      </x:c>
      <x:c r="K1993" s="5" t="str">
        <x:f>IF(COUNTA(A1993:F1993)=0,"",IF(A1993="","Missing equipment ID",IF(COUNTIFS($N$8:$N$2007,"="&amp;N1993)&gt;1,"Duplicate equipment ID",IF(B1993="","Missing type",IF(COUNTIFS('Rules'!$G$7:$G$26,"="&amp;(SUBSTITUTE(SUBSTITUTE(SUBSTITUTE(SUBSTITUTE("type:"&amp;B1993,"%","%25"),"~","%7E"),"*","%2A"),"?","%3F")))=0,"Unknown type",IF(COUNTIFS('Rules'!$G$7:$G$26,"="&amp;(SUBSTITUTE(SUBSTITUTE(SUBSTITUTE(SUBSTITUTE("type:"&amp;B1993,"%","%25"),"~","%7E"),"*","%2A"),"?","%3F")))&gt;1,"Duplicate type",IF(INDEX('Rules'!$F$7:$F$26,MATCH(SUBSTITUTE(SUBSTITUTE(SUBSTITUTE(SUBSTITUTE("type:"&amp;B1993,"%","%25"),"~","%7E"),"*","%2A"),"?","%3F"),'Rules'!$G$7:$G$26,0))&lt;&gt;"",INDEX('Rules'!$F$7:$F$26,MATCH(SUBSTITUTE(SUBSTITUTE(SUBSTITUTE(SUBSTITUTE("type:"&amp;B1993,"%","%25"),"~","%7E"),"*","%2A"),"?","%3F"),'Rules'!$G$7:$G$26,0)),IF(AND(C1993&lt;&gt;"",C1993&lt;&gt;INDEX('Rules'!$B$7:$B$26,MATCH(SUBSTITUTE(SUBSTITUTE(SUBSTITUTE(SUBSTITUTE("type:"&amp;B1993,"%","%25"),"~","%7E"),"*","%2A"),"?","%3F"),'Rules'!$G$7:$G$26,0))),"Unit mismatch",IF(IF(NOT(ISNUMBER(D1993)),TRUE,OR(D1993&lt;0,D1993&gt;999999999,ROUND(D1993,3)&lt;&gt;D1993)),"Invalid current reading",IF(AND(E1993&lt;&gt;"",IF(NOT(ISNUMBER(E1993)),TRUE,OR(E1993&lt;0,E1993&gt;999999999,ROUND(E1993,3)&lt;&gt;E1993))),"Invalid previous reading",IF(IF(NOT(ISNUMBER(F1993)),TRUE,OR(F1993&lt;0,F1993&gt;999999999,ROUND(F1993,3)&lt;&gt;F1993)),"Invalid last service",IF(AND(E1993&lt;&gt;"",D1993&lt;E1993),"Decreased reading",IF(F1993&gt;D1993,"Last service above current","")))))))))))))</x:f>
      </x:c>
      <x:c r="L1993" s="6" t="str">
        <x:f>IF(AND(NOT(COUNTA(A1993:F1993)=0),K1993=""),INDEX('Rules'!$C$7:$C$26,MATCH(SUBSTITUTE(SUBSTITUTE(SUBSTITUTE(SUBSTITUTE("type:"&amp;B1993,"%","%25"),"~","%7E"),"*","%2A"),"?","%3F"),'Rules'!$G$7:$G$26,0)),"")</x:f>
      </x:c>
      <x:c r="M1993" s="6" t="str">
        <x:f>IF(AND(NOT(COUNTA(A1993:F1993)=0),K1993=""),INDEX('Rules'!$D$7:$D$26,MATCH(SUBSTITUTE(SUBSTITUTE(SUBSTITUTE(SUBSTITUTE("type:"&amp;B1993,"%","%25"),"~","%7E"),"*","%2A"),"?","%3F"),'Rules'!$G$7:$G$26,0)),"")</x:f>
      </x:c>
      <x:c r="N1993" s="5" t="str">
        <x:f>IF(COUNTA(A1993:F1993)=0,"",SUBSTITUTE(SUBSTITUTE(SUBSTITUTE(SUBSTITUTE("id:"&amp;A1993,"%","%25"),"~","%7E"),"*","%2A"),"?","%3F"))</x:f>
      </x:c>
    </x:row>
    <x:row r="1994" ht="22" customHeight="1">
      <x:c r="A1994" s="3"/>
      <x:c r="B1994" s="3"/>
      <x:c r="C1994" s="3"/>
      <x:c r="D1994" s="4"/>
      <x:c r="E1994" s="4"/>
      <x:c r="F1994" s="4"/>
      <x:c r="G1994" s="5" t="str">
        <x:f>IF(COUNTA(A1994:F1994)=0,"",IF(K1994&lt;&gt;"","Review",IF(I1994&lt;0,"Overdue",IF(I1994=0,"Due now",IF(I1994&lt;=M1994,"Due soon","Not due")))))</x:f>
      </x:c>
      <x:c r="H1994" s="5" t="str">
        <x:f>IF(OR(COUNTA(A1994:F1994)=0,COUNTIFS('Rules'!$G$7:$G$26,"="&amp;(SUBSTITUTE(SUBSTITUTE(SUBSTITUTE(SUBSTITUTE("type:"&amp;B1994,"%","%25"),"~","%7E"),"*","%2A"),"?","%3F")))&lt;&gt;1),"",IF(OR(INDEX('Rules'!$B$7:$B$26,MATCH(SUBSTITUTE(SUBSTITUTE(SUBSTITUTE(SUBSTITUTE("type:"&amp;B1994,"%","%25"),"~","%7E"),"*","%2A"),"?","%3F"),'Rules'!$G$7:$G$26,0))="hours",INDEX('Rules'!$B$7:$B$26,MATCH(SUBSTITUTE(SUBSTITUTE(SUBSTITUTE(SUBSTITUTE("type:"&amp;B1994,"%","%25"),"~","%7E"),"*","%2A"),"?","%3F"),'Rules'!$G$7:$G$26,0))="km"),INDEX('Rules'!$B$7:$B$26,MATCH(SUBSTITUTE(SUBSTITUTE(SUBSTITUTE(SUBSTITUTE("type:"&amp;B1994,"%","%25"),"~","%7E"),"*","%2A"),"?","%3F"),'Rules'!$G$7:$G$26,0)),""))</x:f>
      </x:c>
      <x:c r="I1994" s="6" t="str">
        <x:f>IF(AND(NOT(COUNTA(A1994:F1994)=0),K1994=""),ROUND(J1994-D1994,3),"")</x:f>
      </x:c>
      <x:c r="J1994" s="6" t="str">
        <x:f>IF(AND(NOT(COUNTA(A1994:F1994)=0),K1994=""),ROUND(F1994+L1994,3),"")</x:f>
      </x:c>
      <x:c r="K1994" s="5" t="str">
        <x:f>IF(COUNTA(A1994:F1994)=0,"",IF(A1994="","Missing equipment ID",IF(COUNTIFS($N$8:$N$2007,"="&amp;N1994)&gt;1,"Duplicate equipment ID",IF(B1994="","Missing type",IF(COUNTIFS('Rules'!$G$7:$G$26,"="&amp;(SUBSTITUTE(SUBSTITUTE(SUBSTITUTE(SUBSTITUTE("type:"&amp;B1994,"%","%25"),"~","%7E"),"*","%2A"),"?","%3F")))=0,"Unknown type",IF(COUNTIFS('Rules'!$G$7:$G$26,"="&amp;(SUBSTITUTE(SUBSTITUTE(SUBSTITUTE(SUBSTITUTE("type:"&amp;B1994,"%","%25"),"~","%7E"),"*","%2A"),"?","%3F")))&gt;1,"Duplicate type",IF(INDEX('Rules'!$F$7:$F$26,MATCH(SUBSTITUTE(SUBSTITUTE(SUBSTITUTE(SUBSTITUTE("type:"&amp;B1994,"%","%25"),"~","%7E"),"*","%2A"),"?","%3F"),'Rules'!$G$7:$G$26,0))&lt;&gt;"",INDEX('Rules'!$F$7:$F$26,MATCH(SUBSTITUTE(SUBSTITUTE(SUBSTITUTE(SUBSTITUTE("type:"&amp;B1994,"%","%25"),"~","%7E"),"*","%2A"),"?","%3F"),'Rules'!$G$7:$G$26,0)),IF(AND(C1994&lt;&gt;"",C1994&lt;&gt;INDEX('Rules'!$B$7:$B$26,MATCH(SUBSTITUTE(SUBSTITUTE(SUBSTITUTE(SUBSTITUTE("type:"&amp;B1994,"%","%25"),"~","%7E"),"*","%2A"),"?","%3F"),'Rules'!$G$7:$G$26,0))),"Unit mismatch",IF(IF(NOT(ISNUMBER(D1994)),TRUE,OR(D1994&lt;0,D1994&gt;999999999,ROUND(D1994,3)&lt;&gt;D1994)),"Invalid current reading",IF(AND(E1994&lt;&gt;"",IF(NOT(ISNUMBER(E1994)),TRUE,OR(E1994&lt;0,E1994&gt;999999999,ROUND(E1994,3)&lt;&gt;E1994))),"Invalid previous reading",IF(IF(NOT(ISNUMBER(F1994)),TRUE,OR(F1994&lt;0,F1994&gt;999999999,ROUND(F1994,3)&lt;&gt;F1994)),"Invalid last service",IF(AND(E1994&lt;&gt;"",D1994&lt;E1994),"Decreased reading",IF(F1994&gt;D1994,"Last service above current","")))))))))))))</x:f>
      </x:c>
      <x:c r="L1994" s="6" t="str">
        <x:f>IF(AND(NOT(COUNTA(A1994:F1994)=0),K1994=""),INDEX('Rules'!$C$7:$C$26,MATCH(SUBSTITUTE(SUBSTITUTE(SUBSTITUTE(SUBSTITUTE("type:"&amp;B1994,"%","%25"),"~","%7E"),"*","%2A"),"?","%3F"),'Rules'!$G$7:$G$26,0)),"")</x:f>
      </x:c>
      <x:c r="M1994" s="6" t="str">
        <x:f>IF(AND(NOT(COUNTA(A1994:F1994)=0),K1994=""),INDEX('Rules'!$D$7:$D$26,MATCH(SUBSTITUTE(SUBSTITUTE(SUBSTITUTE(SUBSTITUTE("type:"&amp;B1994,"%","%25"),"~","%7E"),"*","%2A"),"?","%3F"),'Rules'!$G$7:$G$26,0)),"")</x:f>
      </x:c>
      <x:c r="N1994" s="5" t="str">
        <x:f>IF(COUNTA(A1994:F1994)=0,"",SUBSTITUTE(SUBSTITUTE(SUBSTITUTE(SUBSTITUTE("id:"&amp;A1994,"%","%25"),"~","%7E"),"*","%2A"),"?","%3F"))</x:f>
      </x:c>
    </x:row>
    <x:row r="1995" ht="22" customHeight="1">
      <x:c r="A1995" s="3"/>
      <x:c r="B1995" s="3"/>
      <x:c r="C1995" s="3"/>
      <x:c r="D1995" s="4"/>
      <x:c r="E1995" s="4"/>
      <x:c r="F1995" s="4"/>
      <x:c r="G1995" s="5" t="str">
        <x:f>IF(COUNTA(A1995:F1995)=0,"",IF(K1995&lt;&gt;"","Review",IF(I1995&lt;0,"Overdue",IF(I1995=0,"Due now",IF(I1995&lt;=M1995,"Due soon","Not due")))))</x:f>
      </x:c>
      <x:c r="H1995" s="5" t="str">
        <x:f>IF(OR(COUNTA(A1995:F1995)=0,COUNTIFS('Rules'!$G$7:$G$26,"="&amp;(SUBSTITUTE(SUBSTITUTE(SUBSTITUTE(SUBSTITUTE("type:"&amp;B1995,"%","%25"),"~","%7E"),"*","%2A"),"?","%3F")))&lt;&gt;1),"",IF(OR(INDEX('Rules'!$B$7:$B$26,MATCH(SUBSTITUTE(SUBSTITUTE(SUBSTITUTE(SUBSTITUTE("type:"&amp;B1995,"%","%25"),"~","%7E"),"*","%2A"),"?","%3F"),'Rules'!$G$7:$G$26,0))="hours",INDEX('Rules'!$B$7:$B$26,MATCH(SUBSTITUTE(SUBSTITUTE(SUBSTITUTE(SUBSTITUTE("type:"&amp;B1995,"%","%25"),"~","%7E"),"*","%2A"),"?","%3F"),'Rules'!$G$7:$G$26,0))="km"),INDEX('Rules'!$B$7:$B$26,MATCH(SUBSTITUTE(SUBSTITUTE(SUBSTITUTE(SUBSTITUTE("type:"&amp;B1995,"%","%25"),"~","%7E"),"*","%2A"),"?","%3F"),'Rules'!$G$7:$G$26,0)),""))</x:f>
      </x:c>
      <x:c r="I1995" s="6" t="str">
        <x:f>IF(AND(NOT(COUNTA(A1995:F1995)=0),K1995=""),ROUND(J1995-D1995,3),"")</x:f>
      </x:c>
      <x:c r="J1995" s="6" t="str">
        <x:f>IF(AND(NOT(COUNTA(A1995:F1995)=0),K1995=""),ROUND(F1995+L1995,3),"")</x:f>
      </x:c>
      <x:c r="K1995" s="5" t="str">
        <x:f>IF(COUNTA(A1995:F1995)=0,"",IF(A1995="","Missing equipment ID",IF(COUNTIFS($N$8:$N$2007,"="&amp;N1995)&gt;1,"Duplicate equipment ID",IF(B1995="","Missing type",IF(COUNTIFS('Rules'!$G$7:$G$26,"="&amp;(SUBSTITUTE(SUBSTITUTE(SUBSTITUTE(SUBSTITUTE("type:"&amp;B1995,"%","%25"),"~","%7E"),"*","%2A"),"?","%3F")))=0,"Unknown type",IF(COUNTIFS('Rules'!$G$7:$G$26,"="&amp;(SUBSTITUTE(SUBSTITUTE(SUBSTITUTE(SUBSTITUTE("type:"&amp;B1995,"%","%25"),"~","%7E"),"*","%2A"),"?","%3F")))&gt;1,"Duplicate type",IF(INDEX('Rules'!$F$7:$F$26,MATCH(SUBSTITUTE(SUBSTITUTE(SUBSTITUTE(SUBSTITUTE("type:"&amp;B1995,"%","%25"),"~","%7E"),"*","%2A"),"?","%3F"),'Rules'!$G$7:$G$26,0))&lt;&gt;"",INDEX('Rules'!$F$7:$F$26,MATCH(SUBSTITUTE(SUBSTITUTE(SUBSTITUTE(SUBSTITUTE("type:"&amp;B1995,"%","%25"),"~","%7E"),"*","%2A"),"?","%3F"),'Rules'!$G$7:$G$26,0)),IF(AND(C1995&lt;&gt;"",C1995&lt;&gt;INDEX('Rules'!$B$7:$B$26,MATCH(SUBSTITUTE(SUBSTITUTE(SUBSTITUTE(SUBSTITUTE("type:"&amp;B1995,"%","%25"),"~","%7E"),"*","%2A"),"?","%3F"),'Rules'!$G$7:$G$26,0))),"Unit mismatch",IF(IF(NOT(ISNUMBER(D1995)),TRUE,OR(D1995&lt;0,D1995&gt;999999999,ROUND(D1995,3)&lt;&gt;D1995)),"Invalid current reading",IF(AND(E1995&lt;&gt;"",IF(NOT(ISNUMBER(E1995)),TRUE,OR(E1995&lt;0,E1995&gt;999999999,ROUND(E1995,3)&lt;&gt;E1995))),"Invalid previous reading",IF(IF(NOT(ISNUMBER(F1995)),TRUE,OR(F1995&lt;0,F1995&gt;999999999,ROUND(F1995,3)&lt;&gt;F1995)),"Invalid last service",IF(AND(E1995&lt;&gt;"",D1995&lt;E1995),"Decreased reading",IF(F1995&gt;D1995,"Last service above current","")))))))))))))</x:f>
      </x:c>
      <x:c r="L1995" s="6" t="str">
        <x:f>IF(AND(NOT(COUNTA(A1995:F1995)=0),K1995=""),INDEX('Rules'!$C$7:$C$26,MATCH(SUBSTITUTE(SUBSTITUTE(SUBSTITUTE(SUBSTITUTE("type:"&amp;B1995,"%","%25"),"~","%7E"),"*","%2A"),"?","%3F"),'Rules'!$G$7:$G$26,0)),"")</x:f>
      </x:c>
      <x:c r="M1995" s="6" t="str">
        <x:f>IF(AND(NOT(COUNTA(A1995:F1995)=0),K1995=""),INDEX('Rules'!$D$7:$D$26,MATCH(SUBSTITUTE(SUBSTITUTE(SUBSTITUTE(SUBSTITUTE("type:"&amp;B1995,"%","%25"),"~","%7E"),"*","%2A"),"?","%3F"),'Rules'!$G$7:$G$26,0)),"")</x:f>
      </x:c>
      <x:c r="N1995" s="5" t="str">
        <x:f>IF(COUNTA(A1995:F1995)=0,"",SUBSTITUTE(SUBSTITUTE(SUBSTITUTE(SUBSTITUTE("id:"&amp;A1995,"%","%25"),"~","%7E"),"*","%2A"),"?","%3F"))</x:f>
      </x:c>
    </x:row>
    <x:row r="1996" ht="22" customHeight="1">
      <x:c r="A1996" s="3"/>
      <x:c r="B1996" s="3"/>
      <x:c r="C1996" s="3"/>
      <x:c r="D1996" s="4"/>
      <x:c r="E1996" s="4"/>
      <x:c r="F1996" s="4"/>
      <x:c r="G1996" s="5" t="str">
        <x:f>IF(COUNTA(A1996:F1996)=0,"",IF(K1996&lt;&gt;"","Review",IF(I1996&lt;0,"Overdue",IF(I1996=0,"Due now",IF(I1996&lt;=M1996,"Due soon","Not due")))))</x:f>
      </x:c>
      <x:c r="H1996" s="5" t="str">
        <x:f>IF(OR(COUNTA(A1996:F1996)=0,COUNTIFS('Rules'!$G$7:$G$26,"="&amp;(SUBSTITUTE(SUBSTITUTE(SUBSTITUTE(SUBSTITUTE("type:"&amp;B1996,"%","%25"),"~","%7E"),"*","%2A"),"?","%3F")))&lt;&gt;1),"",IF(OR(INDEX('Rules'!$B$7:$B$26,MATCH(SUBSTITUTE(SUBSTITUTE(SUBSTITUTE(SUBSTITUTE("type:"&amp;B1996,"%","%25"),"~","%7E"),"*","%2A"),"?","%3F"),'Rules'!$G$7:$G$26,0))="hours",INDEX('Rules'!$B$7:$B$26,MATCH(SUBSTITUTE(SUBSTITUTE(SUBSTITUTE(SUBSTITUTE("type:"&amp;B1996,"%","%25"),"~","%7E"),"*","%2A"),"?","%3F"),'Rules'!$G$7:$G$26,0))="km"),INDEX('Rules'!$B$7:$B$26,MATCH(SUBSTITUTE(SUBSTITUTE(SUBSTITUTE(SUBSTITUTE("type:"&amp;B1996,"%","%25"),"~","%7E"),"*","%2A"),"?","%3F"),'Rules'!$G$7:$G$26,0)),""))</x:f>
      </x:c>
      <x:c r="I1996" s="6" t="str">
        <x:f>IF(AND(NOT(COUNTA(A1996:F1996)=0),K1996=""),ROUND(J1996-D1996,3),"")</x:f>
      </x:c>
      <x:c r="J1996" s="6" t="str">
        <x:f>IF(AND(NOT(COUNTA(A1996:F1996)=0),K1996=""),ROUND(F1996+L1996,3),"")</x:f>
      </x:c>
      <x:c r="K1996" s="5" t="str">
        <x:f>IF(COUNTA(A1996:F1996)=0,"",IF(A1996="","Missing equipment ID",IF(COUNTIFS($N$8:$N$2007,"="&amp;N1996)&gt;1,"Duplicate equipment ID",IF(B1996="","Missing type",IF(COUNTIFS('Rules'!$G$7:$G$26,"="&amp;(SUBSTITUTE(SUBSTITUTE(SUBSTITUTE(SUBSTITUTE("type:"&amp;B1996,"%","%25"),"~","%7E"),"*","%2A"),"?","%3F")))=0,"Unknown type",IF(COUNTIFS('Rules'!$G$7:$G$26,"="&amp;(SUBSTITUTE(SUBSTITUTE(SUBSTITUTE(SUBSTITUTE("type:"&amp;B1996,"%","%25"),"~","%7E"),"*","%2A"),"?","%3F")))&gt;1,"Duplicate type",IF(INDEX('Rules'!$F$7:$F$26,MATCH(SUBSTITUTE(SUBSTITUTE(SUBSTITUTE(SUBSTITUTE("type:"&amp;B1996,"%","%25"),"~","%7E"),"*","%2A"),"?","%3F"),'Rules'!$G$7:$G$26,0))&lt;&gt;"",INDEX('Rules'!$F$7:$F$26,MATCH(SUBSTITUTE(SUBSTITUTE(SUBSTITUTE(SUBSTITUTE("type:"&amp;B1996,"%","%25"),"~","%7E"),"*","%2A"),"?","%3F"),'Rules'!$G$7:$G$26,0)),IF(AND(C1996&lt;&gt;"",C1996&lt;&gt;INDEX('Rules'!$B$7:$B$26,MATCH(SUBSTITUTE(SUBSTITUTE(SUBSTITUTE(SUBSTITUTE("type:"&amp;B1996,"%","%25"),"~","%7E"),"*","%2A"),"?","%3F"),'Rules'!$G$7:$G$26,0))),"Unit mismatch",IF(IF(NOT(ISNUMBER(D1996)),TRUE,OR(D1996&lt;0,D1996&gt;999999999,ROUND(D1996,3)&lt;&gt;D1996)),"Invalid current reading",IF(AND(E1996&lt;&gt;"",IF(NOT(ISNUMBER(E1996)),TRUE,OR(E1996&lt;0,E1996&gt;999999999,ROUND(E1996,3)&lt;&gt;E1996))),"Invalid previous reading",IF(IF(NOT(ISNUMBER(F1996)),TRUE,OR(F1996&lt;0,F1996&gt;999999999,ROUND(F1996,3)&lt;&gt;F1996)),"Invalid last service",IF(AND(E1996&lt;&gt;"",D1996&lt;E1996),"Decreased reading",IF(F1996&gt;D1996,"Last service above current","")))))))))))))</x:f>
      </x:c>
      <x:c r="L1996" s="6" t="str">
        <x:f>IF(AND(NOT(COUNTA(A1996:F1996)=0),K1996=""),INDEX('Rules'!$C$7:$C$26,MATCH(SUBSTITUTE(SUBSTITUTE(SUBSTITUTE(SUBSTITUTE("type:"&amp;B1996,"%","%25"),"~","%7E"),"*","%2A"),"?","%3F"),'Rules'!$G$7:$G$26,0)),"")</x:f>
      </x:c>
      <x:c r="M1996" s="6" t="str">
        <x:f>IF(AND(NOT(COUNTA(A1996:F1996)=0),K1996=""),INDEX('Rules'!$D$7:$D$26,MATCH(SUBSTITUTE(SUBSTITUTE(SUBSTITUTE(SUBSTITUTE("type:"&amp;B1996,"%","%25"),"~","%7E"),"*","%2A"),"?","%3F"),'Rules'!$G$7:$G$26,0)),"")</x:f>
      </x:c>
      <x:c r="N1996" s="5" t="str">
        <x:f>IF(COUNTA(A1996:F1996)=0,"",SUBSTITUTE(SUBSTITUTE(SUBSTITUTE(SUBSTITUTE("id:"&amp;A1996,"%","%25"),"~","%7E"),"*","%2A"),"?","%3F"))</x:f>
      </x:c>
    </x:row>
    <x:row r="1997" ht="22" customHeight="1">
      <x:c r="A1997" s="3"/>
      <x:c r="B1997" s="3"/>
      <x:c r="C1997" s="3"/>
      <x:c r="D1997" s="4"/>
      <x:c r="E1997" s="4"/>
      <x:c r="F1997" s="4"/>
      <x:c r="G1997" s="5" t="str">
        <x:f>IF(COUNTA(A1997:F1997)=0,"",IF(K1997&lt;&gt;"","Review",IF(I1997&lt;0,"Overdue",IF(I1997=0,"Due now",IF(I1997&lt;=M1997,"Due soon","Not due")))))</x:f>
      </x:c>
      <x:c r="H1997" s="5" t="str">
        <x:f>IF(OR(COUNTA(A1997:F1997)=0,COUNTIFS('Rules'!$G$7:$G$26,"="&amp;(SUBSTITUTE(SUBSTITUTE(SUBSTITUTE(SUBSTITUTE("type:"&amp;B1997,"%","%25"),"~","%7E"),"*","%2A"),"?","%3F")))&lt;&gt;1),"",IF(OR(INDEX('Rules'!$B$7:$B$26,MATCH(SUBSTITUTE(SUBSTITUTE(SUBSTITUTE(SUBSTITUTE("type:"&amp;B1997,"%","%25"),"~","%7E"),"*","%2A"),"?","%3F"),'Rules'!$G$7:$G$26,0))="hours",INDEX('Rules'!$B$7:$B$26,MATCH(SUBSTITUTE(SUBSTITUTE(SUBSTITUTE(SUBSTITUTE("type:"&amp;B1997,"%","%25"),"~","%7E"),"*","%2A"),"?","%3F"),'Rules'!$G$7:$G$26,0))="km"),INDEX('Rules'!$B$7:$B$26,MATCH(SUBSTITUTE(SUBSTITUTE(SUBSTITUTE(SUBSTITUTE("type:"&amp;B1997,"%","%25"),"~","%7E"),"*","%2A"),"?","%3F"),'Rules'!$G$7:$G$26,0)),""))</x:f>
      </x:c>
      <x:c r="I1997" s="6" t="str">
        <x:f>IF(AND(NOT(COUNTA(A1997:F1997)=0),K1997=""),ROUND(J1997-D1997,3),"")</x:f>
      </x:c>
      <x:c r="J1997" s="6" t="str">
        <x:f>IF(AND(NOT(COUNTA(A1997:F1997)=0),K1997=""),ROUND(F1997+L1997,3),"")</x:f>
      </x:c>
      <x:c r="K1997" s="5" t="str">
        <x:f>IF(COUNTA(A1997:F1997)=0,"",IF(A1997="","Missing equipment ID",IF(COUNTIFS($N$8:$N$2007,"="&amp;N1997)&gt;1,"Duplicate equipment ID",IF(B1997="","Missing type",IF(COUNTIFS('Rules'!$G$7:$G$26,"="&amp;(SUBSTITUTE(SUBSTITUTE(SUBSTITUTE(SUBSTITUTE("type:"&amp;B1997,"%","%25"),"~","%7E"),"*","%2A"),"?","%3F")))=0,"Unknown type",IF(COUNTIFS('Rules'!$G$7:$G$26,"="&amp;(SUBSTITUTE(SUBSTITUTE(SUBSTITUTE(SUBSTITUTE("type:"&amp;B1997,"%","%25"),"~","%7E"),"*","%2A"),"?","%3F")))&gt;1,"Duplicate type",IF(INDEX('Rules'!$F$7:$F$26,MATCH(SUBSTITUTE(SUBSTITUTE(SUBSTITUTE(SUBSTITUTE("type:"&amp;B1997,"%","%25"),"~","%7E"),"*","%2A"),"?","%3F"),'Rules'!$G$7:$G$26,0))&lt;&gt;"",INDEX('Rules'!$F$7:$F$26,MATCH(SUBSTITUTE(SUBSTITUTE(SUBSTITUTE(SUBSTITUTE("type:"&amp;B1997,"%","%25"),"~","%7E"),"*","%2A"),"?","%3F"),'Rules'!$G$7:$G$26,0)),IF(AND(C1997&lt;&gt;"",C1997&lt;&gt;INDEX('Rules'!$B$7:$B$26,MATCH(SUBSTITUTE(SUBSTITUTE(SUBSTITUTE(SUBSTITUTE("type:"&amp;B1997,"%","%25"),"~","%7E"),"*","%2A"),"?","%3F"),'Rules'!$G$7:$G$26,0))),"Unit mismatch",IF(IF(NOT(ISNUMBER(D1997)),TRUE,OR(D1997&lt;0,D1997&gt;999999999,ROUND(D1997,3)&lt;&gt;D1997)),"Invalid current reading",IF(AND(E1997&lt;&gt;"",IF(NOT(ISNUMBER(E1997)),TRUE,OR(E1997&lt;0,E1997&gt;999999999,ROUND(E1997,3)&lt;&gt;E1997))),"Invalid previous reading",IF(IF(NOT(ISNUMBER(F1997)),TRUE,OR(F1997&lt;0,F1997&gt;999999999,ROUND(F1997,3)&lt;&gt;F1997)),"Invalid last service",IF(AND(E1997&lt;&gt;"",D1997&lt;E1997),"Decreased reading",IF(F1997&gt;D1997,"Last service above current","")))))))))))))</x:f>
      </x:c>
      <x:c r="L1997" s="6" t="str">
        <x:f>IF(AND(NOT(COUNTA(A1997:F1997)=0),K1997=""),INDEX('Rules'!$C$7:$C$26,MATCH(SUBSTITUTE(SUBSTITUTE(SUBSTITUTE(SUBSTITUTE("type:"&amp;B1997,"%","%25"),"~","%7E"),"*","%2A"),"?","%3F"),'Rules'!$G$7:$G$26,0)),"")</x:f>
      </x:c>
      <x:c r="M1997" s="6" t="str">
        <x:f>IF(AND(NOT(COUNTA(A1997:F1997)=0),K1997=""),INDEX('Rules'!$D$7:$D$26,MATCH(SUBSTITUTE(SUBSTITUTE(SUBSTITUTE(SUBSTITUTE("type:"&amp;B1997,"%","%25"),"~","%7E"),"*","%2A"),"?","%3F"),'Rules'!$G$7:$G$26,0)),"")</x:f>
      </x:c>
      <x:c r="N1997" s="5" t="str">
        <x:f>IF(COUNTA(A1997:F1997)=0,"",SUBSTITUTE(SUBSTITUTE(SUBSTITUTE(SUBSTITUTE("id:"&amp;A1997,"%","%25"),"~","%7E"),"*","%2A"),"?","%3F"))</x:f>
      </x:c>
    </x:row>
    <x:row r="1998" ht="22" customHeight="1">
      <x:c r="A1998" s="3"/>
      <x:c r="B1998" s="3"/>
      <x:c r="C1998" s="3"/>
      <x:c r="D1998" s="4"/>
      <x:c r="E1998" s="4"/>
      <x:c r="F1998" s="4"/>
      <x:c r="G1998" s="5" t="str">
        <x:f>IF(COUNTA(A1998:F1998)=0,"",IF(K1998&lt;&gt;"","Review",IF(I1998&lt;0,"Overdue",IF(I1998=0,"Due now",IF(I1998&lt;=M1998,"Due soon","Not due")))))</x:f>
      </x:c>
      <x:c r="H1998" s="5" t="str">
        <x:f>IF(OR(COUNTA(A1998:F1998)=0,COUNTIFS('Rules'!$G$7:$G$26,"="&amp;(SUBSTITUTE(SUBSTITUTE(SUBSTITUTE(SUBSTITUTE("type:"&amp;B1998,"%","%25"),"~","%7E"),"*","%2A"),"?","%3F")))&lt;&gt;1),"",IF(OR(INDEX('Rules'!$B$7:$B$26,MATCH(SUBSTITUTE(SUBSTITUTE(SUBSTITUTE(SUBSTITUTE("type:"&amp;B1998,"%","%25"),"~","%7E"),"*","%2A"),"?","%3F"),'Rules'!$G$7:$G$26,0))="hours",INDEX('Rules'!$B$7:$B$26,MATCH(SUBSTITUTE(SUBSTITUTE(SUBSTITUTE(SUBSTITUTE("type:"&amp;B1998,"%","%25"),"~","%7E"),"*","%2A"),"?","%3F"),'Rules'!$G$7:$G$26,0))="km"),INDEX('Rules'!$B$7:$B$26,MATCH(SUBSTITUTE(SUBSTITUTE(SUBSTITUTE(SUBSTITUTE("type:"&amp;B1998,"%","%25"),"~","%7E"),"*","%2A"),"?","%3F"),'Rules'!$G$7:$G$26,0)),""))</x:f>
      </x:c>
      <x:c r="I1998" s="6" t="str">
        <x:f>IF(AND(NOT(COUNTA(A1998:F1998)=0),K1998=""),ROUND(J1998-D1998,3),"")</x:f>
      </x:c>
      <x:c r="J1998" s="6" t="str">
        <x:f>IF(AND(NOT(COUNTA(A1998:F1998)=0),K1998=""),ROUND(F1998+L1998,3),"")</x:f>
      </x:c>
      <x:c r="K1998" s="5" t="str">
        <x:f>IF(COUNTA(A1998:F1998)=0,"",IF(A1998="","Missing equipment ID",IF(COUNTIFS($N$8:$N$2007,"="&amp;N1998)&gt;1,"Duplicate equipment ID",IF(B1998="","Missing type",IF(COUNTIFS('Rules'!$G$7:$G$26,"="&amp;(SUBSTITUTE(SUBSTITUTE(SUBSTITUTE(SUBSTITUTE("type:"&amp;B1998,"%","%25"),"~","%7E"),"*","%2A"),"?","%3F")))=0,"Unknown type",IF(COUNTIFS('Rules'!$G$7:$G$26,"="&amp;(SUBSTITUTE(SUBSTITUTE(SUBSTITUTE(SUBSTITUTE("type:"&amp;B1998,"%","%25"),"~","%7E"),"*","%2A"),"?","%3F")))&gt;1,"Duplicate type",IF(INDEX('Rules'!$F$7:$F$26,MATCH(SUBSTITUTE(SUBSTITUTE(SUBSTITUTE(SUBSTITUTE("type:"&amp;B1998,"%","%25"),"~","%7E"),"*","%2A"),"?","%3F"),'Rules'!$G$7:$G$26,0))&lt;&gt;"",INDEX('Rules'!$F$7:$F$26,MATCH(SUBSTITUTE(SUBSTITUTE(SUBSTITUTE(SUBSTITUTE("type:"&amp;B1998,"%","%25"),"~","%7E"),"*","%2A"),"?","%3F"),'Rules'!$G$7:$G$26,0)),IF(AND(C1998&lt;&gt;"",C1998&lt;&gt;INDEX('Rules'!$B$7:$B$26,MATCH(SUBSTITUTE(SUBSTITUTE(SUBSTITUTE(SUBSTITUTE("type:"&amp;B1998,"%","%25"),"~","%7E"),"*","%2A"),"?","%3F"),'Rules'!$G$7:$G$26,0))),"Unit mismatch",IF(IF(NOT(ISNUMBER(D1998)),TRUE,OR(D1998&lt;0,D1998&gt;999999999,ROUND(D1998,3)&lt;&gt;D1998)),"Invalid current reading",IF(AND(E1998&lt;&gt;"",IF(NOT(ISNUMBER(E1998)),TRUE,OR(E1998&lt;0,E1998&gt;999999999,ROUND(E1998,3)&lt;&gt;E1998))),"Invalid previous reading",IF(IF(NOT(ISNUMBER(F1998)),TRUE,OR(F1998&lt;0,F1998&gt;999999999,ROUND(F1998,3)&lt;&gt;F1998)),"Invalid last service",IF(AND(E1998&lt;&gt;"",D1998&lt;E1998),"Decreased reading",IF(F1998&gt;D1998,"Last service above current","")))))))))))))</x:f>
      </x:c>
      <x:c r="L1998" s="6" t="str">
        <x:f>IF(AND(NOT(COUNTA(A1998:F1998)=0),K1998=""),INDEX('Rules'!$C$7:$C$26,MATCH(SUBSTITUTE(SUBSTITUTE(SUBSTITUTE(SUBSTITUTE("type:"&amp;B1998,"%","%25"),"~","%7E"),"*","%2A"),"?","%3F"),'Rules'!$G$7:$G$26,0)),"")</x:f>
      </x:c>
      <x:c r="M1998" s="6" t="str">
        <x:f>IF(AND(NOT(COUNTA(A1998:F1998)=0),K1998=""),INDEX('Rules'!$D$7:$D$26,MATCH(SUBSTITUTE(SUBSTITUTE(SUBSTITUTE(SUBSTITUTE("type:"&amp;B1998,"%","%25"),"~","%7E"),"*","%2A"),"?","%3F"),'Rules'!$G$7:$G$26,0)),"")</x:f>
      </x:c>
      <x:c r="N1998" s="5" t="str">
        <x:f>IF(COUNTA(A1998:F1998)=0,"",SUBSTITUTE(SUBSTITUTE(SUBSTITUTE(SUBSTITUTE("id:"&amp;A1998,"%","%25"),"~","%7E"),"*","%2A"),"?","%3F"))</x:f>
      </x:c>
    </x:row>
    <x:row r="1999" ht="22" customHeight="1">
      <x:c r="A1999" s="3"/>
      <x:c r="B1999" s="3"/>
      <x:c r="C1999" s="3"/>
      <x:c r="D1999" s="4"/>
      <x:c r="E1999" s="4"/>
      <x:c r="F1999" s="4"/>
      <x:c r="G1999" s="5" t="str">
        <x:f>IF(COUNTA(A1999:F1999)=0,"",IF(K1999&lt;&gt;"","Review",IF(I1999&lt;0,"Overdue",IF(I1999=0,"Due now",IF(I1999&lt;=M1999,"Due soon","Not due")))))</x:f>
      </x:c>
      <x:c r="H1999" s="5" t="str">
        <x:f>IF(OR(COUNTA(A1999:F1999)=0,COUNTIFS('Rules'!$G$7:$G$26,"="&amp;(SUBSTITUTE(SUBSTITUTE(SUBSTITUTE(SUBSTITUTE("type:"&amp;B1999,"%","%25"),"~","%7E"),"*","%2A"),"?","%3F")))&lt;&gt;1),"",IF(OR(INDEX('Rules'!$B$7:$B$26,MATCH(SUBSTITUTE(SUBSTITUTE(SUBSTITUTE(SUBSTITUTE("type:"&amp;B1999,"%","%25"),"~","%7E"),"*","%2A"),"?","%3F"),'Rules'!$G$7:$G$26,0))="hours",INDEX('Rules'!$B$7:$B$26,MATCH(SUBSTITUTE(SUBSTITUTE(SUBSTITUTE(SUBSTITUTE("type:"&amp;B1999,"%","%25"),"~","%7E"),"*","%2A"),"?","%3F"),'Rules'!$G$7:$G$26,0))="km"),INDEX('Rules'!$B$7:$B$26,MATCH(SUBSTITUTE(SUBSTITUTE(SUBSTITUTE(SUBSTITUTE("type:"&amp;B1999,"%","%25"),"~","%7E"),"*","%2A"),"?","%3F"),'Rules'!$G$7:$G$26,0)),""))</x:f>
      </x:c>
      <x:c r="I1999" s="6" t="str">
        <x:f>IF(AND(NOT(COUNTA(A1999:F1999)=0),K1999=""),ROUND(J1999-D1999,3),"")</x:f>
      </x:c>
      <x:c r="J1999" s="6" t="str">
        <x:f>IF(AND(NOT(COUNTA(A1999:F1999)=0),K1999=""),ROUND(F1999+L1999,3),"")</x:f>
      </x:c>
      <x:c r="K1999" s="5" t="str">
        <x:f>IF(COUNTA(A1999:F1999)=0,"",IF(A1999="","Missing equipment ID",IF(COUNTIFS($N$8:$N$2007,"="&amp;N1999)&gt;1,"Duplicate equipment ID",IF(B1999="","Missing type",IF(COUNTIFS('Rules'!$G$7:$G$26,"="&amp;(SUBSTITUTE(SUBSTITUTE(SUBSTITUTE(SUBSTITUTE("type:"&amp;B1999,"%","%25"),"~","%7E"),"*","%2A"),"?","%3F")))=0,"Unknown type",IF(COUNTIFS('Rules'!$G$7:$G$26,"="&amp;(SUBSTITUTE(SUBSTITUTE(SUBSTITUTE(SUBSTITUTE("type:"&amp;B1999,"%","%25"),"~","%7E"),"*","%2A"),"?","%3F")))&gt;1,"Duplicate type",IF(INDEX('Rules'!$F$7:$F$26,MATCH(SUBSTITUTE(SUBSTITUTE(SUBSTITUTE(SUBSTITUTE("type:"&amp;B1999,"%","%25"),"~","%7E"),"*","%2A"),"?","%3F"),'Rules'!$G$7:$G$26,0))&lt;&gt;"",INDEX('Rules'!$F$7:$F$26,MATCH(SUBSTITUTE(SUBSTITUTE(SUBSTITUTE(SUBSTITUTE("type:"&amp;B1999,"%","%25"),"~","%7E"),"*","%2A"),"?","%3F"),'Rules'!$G$7:$G$26,0)),IF(AND(C1999&lt;&gt;"",C1999&lt;&gt;INDEX('Rules'!$B$7:$B$26,MATCH(SUBSTITUTE(SUBSTITUTE(SUBSTITUTE(SUBSTITUTE("type:"&amp;B1999,"%","%25"),"~","%7E"),"*","%2A"),"?","%3F"),'Rules'!$G$7:$G$26,0))),"Unit mismatch",IF(IF(NOT(ISNUMBER(D1999)),TRUE,OR(D1999&lt;0,D1999&gt;999999999,ROUND(D1999,3)&lt;&gt;D1999)),"Invalid current reading",IF(AND(E1999&lt;&gt;"",IF(NOT(ISNUMBER(E1999)),TRUE,OR(E1999&lt;0,E1999&gt;999999999,ROUND(E1999,3)&lt;&gt;E1999))),"Invalid previous reading",IF(IF(NOT(ISNUMBER(F1999)),TRUE,OR(F1999&lt;0,F1999&gt;999999999,ROUND(F1999,3)&lt;&gt;F1999)),"Invalid last service",IF(AND(E1999&lt;&gt;"",D1999&lt;E1999),"Decreased reading",IF(F1999&gt;D1999,"Last service above current","")))))))))))))</x:f>
      </x:c>
      <x:c r="L1999" s="6" t="str">
        <x:f>IF(AND(NOT(COUNTA(A1999:F1999)=0),K1999=""),INDEX('Rules'!$C$7:$C$26,MATCH(SUBSTITUTE(SUBSTITUTE(SUBSTITUTE(SUBSTITUTE("type:"&amp;B1999,"%","%25"),"~","%7E"),"*","%2A"),"?","%3F"),'Rules'!$G$7:$G$26,0)),"")</x:f>
      </x:c>
      <x:c r="M1999" s="6" t="str">
        <x:f>IF(AND(NOT(COUNTA(A1999:F1999)=0),K1999=""),INDEX('Rules'!$D$7:$D$26,MATCH(SUBSTITUTE(SUBSTITUTE(SUBSTITUTE(SUBSTITUTE("type:"&amp;B1999,"%","%25"),"~","%7E"),"*","%2A"),"?","%3F"),'Rules'!$G$7:$G$26,0)),"")</x:f>
      </x:c>
      <x:c r="N1999" s="5" t="str">
        <x:f>IF(COUNTA(A1999:F1999)=0,"",SUBSTITUTE(SUBSTITUTE(SUBSTITUTE(SUBSTITUTE("id:"&amp;A1999,"%","%25"),"~","%7E"),"*","%2A"),"?","%3F"))</x:f>
      </x:c>
    </x:row>
    <x:row r="2000" ht="22" customHeight="1">
      <x:c r="A2000" s="3"/>
      <x:c r="B2000" s="3"/>
      <x:c r="C2000" s="3"/>
      <x:c r="D2000" s="4"/>
      <x:c r="E2000" s="4"/>
      <x:c r="F2000" s="4"/>
      <x:c r="G2000" s="5" t="str">
        <x:f>IF(COUNTA(A2000:F2000)=0,"",IF(K2000&lt;&gt;"","Review",IF(I2000&lt;0,"Overdue",IF(I2000=0,"Due now",IF(I2000&lt;=M2000,"Due soon","Not due")))))</x:f>
      </x:c>
      <x:c r="H2000" s="5" t="str">
        <x:f>IF(OR(COUNTA(A2000:F2000)=0,COUNTIFS('Rules'!$G$7:$G$26,"="&amp;(SUBSTITUTE(SUBSTITUTE(SUBSTITUTE(SUBSTITUTE("type:"&amp;B2000,"%","%25"),"~","%7E"),"*","%2A"),"?","%3F")))&lt;&gt;1),"",IF(OR(INDEX('Rules'!$B$7:$B$26,MATCH(SUBSTITUTE(SUBSTITUTE(SUBSTITUTE(SUBSTITUTE("type:"&amp;B2000,"%","%25"),"~","%7E"),"*","%2A"),"?","%3F"),'Rules'!$G$7:$G$26,0))="hours",INDEX('Rules'!$B$7:$B$26,MATCH(SUBSTITUTE(SUBSTITUTE(SUBSTITUTE(SUBSTITUTE("type:"&amp;B2000,"%","%25"),"~","%7E"),"*","%2A"),"?","%3F"),'Rules'!$G$7:$G$26,0))="km"),INDEX('Rules'!$B$7:$B$26,MATCH(SUBSTITUTE(SUBSTITUTE(SUBSTITUTE(SUBSTITUTE("type:"&amp;B2000,"%","%25"),"~","%7E"),"*","%2A"),"?","%3F"),'Rules'!$G$7:$G$26,0)),""))</x:f>
      </x:c>
      <x:c r="I2000" s="6" t="str">
        <x:f>IF(AND(NOT(COUNTA(A2000:F2000)=0),K2000=""),ROUND(J2000-D2000,3),"")</x:f>
      </x:c>
      <x:c r="J2000" s="6" t="str">
        <x:f>IF(AND(NOT(COUNTA(A2000:F2000)=0),K2000=""),ROUND(F2000+L2000,3),"")</x:f>
      </x:c>
      <x:c r="K2000" s="5" t="str">
        <x:f>IF(COUNTA(A2000:F2000)=0,"",IF(A2000="","Missing equipment ID",IF(COUNTIFS($N$8:$N$2007,"="&amp;N2000)&gt;1,"Duplicate equipment ID",IF(B2000="","Missing type",IF(COUNTIFS('Rules'!$G$7:$G$26,"="&amp;(SUBSTITUTE(SUBSTITUTE(SUBSTITUTE(SUBSTITUTE("type:"&amp;B2000,"%","%25"),"~","%7E"),"*","%2A"),"?","%3F")))=0,"Unknown type",IF(COUNTIFS('Rules'!$G$7:$G$26,"="&amp;(SUBSTITUTE(SUBSTITUTE(SUBSTITUTE(SUBSTITUTE("type:"&amp;B2000,"%","%25"),"~","%7E"),"*","%2A"),"?","%3F")))&gt;1,"Duplicate type",IF(INDEX('Rules'!$F$7:$F$26,MATCH(SUBSTITUTE(SUBSTITUTE(SUBSTITUTE(SUBSTITUTE("type:"&amp;B2000,"%","%25"),"~","%7E"),"*","%2A"),"?","%3F"),'Rules'!$G$7:$G$26,0))&lt;&gt;"",INDEX('Rules'!$F$7:$F$26,MATCH(SUBSTITUTE(SUBSTITUTE(SUBSTITUTE(SUBSTITUTE("type:"&amp;B2000,"%","%25"),"~","%7E"),"*","%2A"),"?","%3F"),'Rules'!$G$7:$G$26,0)),IF(AND(C2000&lt;&gt;"",C2000&lt;&gt;INDEX('Rules'!$B$7:$B$26,MATCH(SUBSTITUTE(SUBSTITUTE(SUBSTITUTE(SUBSTITUTE("type:"&amp;B2000,"%","%25"),"~","%7E"),"*","%2A"),"?","%3F"),'Rules'!$G$7:$G$26,0))),"Unit mismatch",IF(IF(NOT(ISNUMBER(D2000)),TRUE,OR(D2000&lt;0,D2000&gt;999999999,ROUND(D2000,3)&lt;&gt;D2000)),"Invalid current reading",IF(AND(E2000&lt;&gt;"",IF(NOT(ISNUMBER(E2000)),TRUE,OR(E2000&lt;0,E2000&gt;999999999,ROUND(E2000,3)&lt;&gt;E2000))),"Invalid previous reading",IF(IF(NOT(ISNUMBER(F2000)),TRUE,OR(F2000&lt;0,F2000&gt;999999999,ROUND(F2000,3)&lt;&gt;F2000)),"Invalid last service",IF(AND(E2000&lt;&gt;"",D2000&lt;E2000),"Decreased reading",IF(F2000&gt;D2000,"Last service above current","")))))))))))))</x:f>
      </x:c>
      <x:c r="L2000" s="6" t="str">
        <x:f>IF(AND(NOT(COUNTA(A2000:F2000)=0),K2000=""),INDEX('Rules'!$C$7:$C$26,MATCH(SUBSTITUTE(SUBSTITUTE(SUBSTITUTE(SUBSTITUTE("type:"&amp;B2000,"%","%25"),"~","%7E"),"*","%2A"),"?","%3F"),'Rules'!$G$7:$G$26,0)),"")</x:f>
      </x:c>
      <x:c r="M2000" s="6" t="str">
        <x:f>IF(AND(NOT(COUNTA(A2000:F2000)=0),K2000=""),INDEX('Rules'!$D$7:$D$26,MATCH(SUBSTITUTE(SUBSTITUTE(SUBSTITUTE(SUBSTITUTE("type:"&amp;B2000,"%","%25"),"~","%7E"),"*","%2A"),"?","%3F"),'Rules'!$G$7:$G$26,0)),"")</x:f>
      </x:c>
      <x:c r="N2000" s="5" t="str">
        <x:f>IF(COUNTA(A2000:F2000)=0,"",SUBSTITUTE(SUBSTITUTE(SUBSTITUTE(SUBSTITUTE("id:"&amp;A2000,"%","%25"),"~","%7E"),"*","%2A"),"?","%3F"))</x:f>
      </x:c>
    </x:row>
    <x:row r="2001" ht="22" customHeight="1">
      <x:c r="A2001" s="3"/>
      <x:c r="B2001" s="3"/>
      <x:c r="C2001" s="3"/>
      <x:c r="D2001" s="4"/>
      <x:c r="E2001" s="4"/>
      <x:c r="F2001" s="4"/>
      <x:c r="G2001" s="5" t="str">
        <x:f>IF(COUNTA(A2001:F2001)=0,"",IF(K2001&lt;&gt;"","Review",IF(I2001&lt;0,"Overdue",IF(I2001=0,"Due now",IF(I2001&lt;=M2001,"Due soon","Not due")))))</x:f>
      </x:c>
      <x:c r="H2001" s="5" t="str">
        <x:f>IF(OR(COUNTA(A2001:F2001)=0,COUNTIFS('Rules'!$G$7:$G$26,"="&amp;(SUBSTITUTE(SUBSTITUTE(SUBSTITUTE(SUBSTITUTE("type:"&amp;B2001,"%","%25"),"~","%7E"),"*","%2A"),"?","%3F")))&lt;&gt;1),"",IF(OR(INDEX('Rules'!$B$7:$B$26,MATCH(SUBSTITUTE(SUBSTITUTE(SUBSTITUTE(SUBSTITUTE("type:"&amp;B2001,"%","%25"),"~","%7E"),"*","%2A"),"?","%3F"),'Rules'!$G$7:$G$26,0))="hours",INDEX('Rules'!$B$7:$B$26,MATCH(SUBSTITUTE(SUBSTITUTE(SUBSTITUTE(SUBSTITUTE("type:"&amp;B2001,"%","%25"),"~","%7E"),"*","%2A"),"?","%3F"),'Rules'!$G$7:$G$26,0))="km"),INDEX('Rules'!$B$7:$B$26,MATCH(SUBSTITUTE(SUBSTITUTE(SUBSTITUTE(SUBSTITUTE("type:"&amp;B2001,"%","%25"),"~","%7E"),"*","%2A"),"?","%3F"),'Rules'!$G$7:$G$26,0)),""))</x:f>
      </x:c>
      <x:c r="I2001" s="6" t="str">
        <x:f>IF(AND(NOT(COUNTA(A2001:F2001)=0),K2001=""),ROUND(J2001-D2001,3),"")</x:f>
      </x:c>
      <x:c r="J2001" s="6" t="str">
        <x:f>IF(AND(NOT(COUNTA(A2001:F2001)=0),K2001=""),ROUND(F2001+L2001,3),"")</x:f>
      </x:c>
      <x:c r="K2001" s="5" t="str">
        <x:f>IF(COUNTA(A2001:F2001)=0,"",IF(A2001="","Missing equipment ID",IF(COUNTIFS($N$8:$N$2007,"="&amp;N2001)&gt;1,"Duplicate equipment ID",IF(B2001="","Missing type",IF(COUNTIFS('Rules'!$G$7:$G$26,"="&amp;(SUBSTITUTE(SUBSTITUTE(SUBSTITUTE(SUBSTITUTE("type:"&amp;B2001,"%","%25"),"~","%7E"),"*","%2A"),"?","%3F")))=0,"Unknown type",IF(COUNTIFS('Rules'!$G$7:$G$26,"="&amp;(SUBSTITUTE(SUBSTITUTE(SUBSTITUTE(SUBSTITUTE("type:"&amp;B2001,"%","%25"),"~","%7E"),"*","%2A"),"?","%3F")))&gt;1,"Duplicate type",IF(INDEX('Rules'!$F$7:$F$26,MATCH(SUBSTITUTE(SUBSTITUTE(SUBSTITUTE(SUBSTITUTE("type:"&amp;B2001,"%","%25"),"~","%7E"),"*","%2A"),"?","%3F"),'Rules'!$G$7:$G$26,0))&lt;&gt;"",INDEX('Rules'!$F$7:$F$26,MATCH(SUBSTITUTE(SUBSTITUTE(SUBSTITUTE(SUBSTITUTE("type:"&amp;B2001,"%","%25"),"~","%7E"),"*","%2A"),"?","%3F"),'Rules'!$G$7:$G$26,0)),IF(AND(C2001&lt;&gt;"",C2001&lt;&gt;INDEX('Rules'!$B$7:$B$26,MATCH(SUBSTITUTE(SUBSTITUTE(SUBSTITUTE(SUBSTITUTE("type:"&amp;B2001,"%","%25"),"~","%7E"),"*","%2A"),"?","%3F"),'Rules'!$G$7:$G$26,0))),"Unit mismatch",IF(IF(NOT(ISNUMBER(D2001)),TRUE,OR(D2001&lt;0,D2001&gt;999999999,ROUND(D2001,3)&lt;&gt;D2001)),"Invalid current reading",IF(AND(E2001&lt;&gt;"",IF(NOT(ISNUMBER(E2001)),TRUE,OR(E2001&lt;0,E2001&gt;999999999,ROUND(E2001,3)&lt;&gt;E2001))),"Invalid previous reading",IF(IF(NOT(ISNUMBER(F2001)),TRUE,OR(F2001&lt;0,F2001&gt;999999999,ROUND(F2001,3)&lt;&gt;F2001)),"Invalid last service",IF(AND(E2001&lt;&gt;"",D2001&lt;E2001),"Decreased reading",IF(F2001&gt;D2001,"Last service above current","")))))))))))))</x:f>
      </x:c>
      <x:c r="L2001" s="6" t="str">
        <x:f>IF(AND(NOT(COUNTA(A2001:F2001)=0),K2001=""),INDEX('Rules'!$C$7:$C$26,MATCH(SUBSTITUTE(SUBSTITUTE(SUBSTITUTE(SUBSTITUTE("type:"&amp;B2001,"%","%25"),"~","%7E"),"*","%2A"),"?","%3F"),'Rules'!$G$7:$G$26,0)),"")</x:f>
      </x:c>
      <x:c r="M2001" s="6" t="str">
        <x:f>IF(AND(NOT(COUNTA(A2001:F2001)=0),K2001=""),INDEX('Rules'!$D$7:$D$26,MATCH(SUBSTITUTE(SUBSTITUTE(SUBSTITUTE(SUBSTITUTE("type:"&amp;B2001,"%","%25"),"~","%7E"),"*","%2A"),"?","%3F"),'Rules'!$G$7:$G$26,0)),"")</x:f>
      </x:c>
      <x:c r="N2001" s="5" t="str">
        <x:f>IF(COUNTA(A2001:F2001)=0,"",SUBSTITUTE(SUBSTITUTE(SUBSTITUTE(SUBSTITUTE("id:"&amp;A2001,"%","%25"),"~","%7E"),"*","%2A"),"?","%3F"))</x:f>
      </x:c>
    </x:row>
    <x:row r="2002" ht="22" customHeight="1">
      <x:c r="A2002" s="3"/>
      <x:c r="B2002" s="3"/>
      <x:c r="C2002" s="3"/>
      <x:c r="D2002" s="4"/>
      <x:c r="E2002" s="4"/>
      <x:c r="F2002" s="4"/>
      <x:c r="G2002" s="5" t="str">
        <x:f>IF(COUNTA(A2002:F2002)=0,"",IF(K2002&lt;&gt;"","Review",IF(I2002&lt;0,"Overdue",IF(I2002=0,"Due now",IF(I2002&lt;=M2002,"Due soon","Not due")))))</x:f>
      </x:c>
      <x:c r="H2002" s="5" t="str">
        <x:f>IF(OR(COUNTA(A2002:F2002)=0,COUNTIFS('Rules'!$G$7:$G$26,"="&amp;(SUBSTITUTE(SUBSTITUTE(SUBSTITUTE(SUBSTITUTE("type:"&amp;B2002,"%","%25"),"~","%7E"),"*","%2A"),"?","%3F")))&lt;&gt;1),"",IF(OR(INDEX('Rules'!$B$7:$B$26,MATCH(SUBSTITUTE(SUBSTITUTE(SUBSTITUTE(SUBSTITUTE("type:"&amp;B2002,"%","%25"),"~","%7E"),"*","%2A"),"?","%3F"),'Rules'!$G$7:$G$26,0))="hours",INDEX('Rules'!$B$7:$B$26,MATCH(SUBSTITUTE(SUBSTITUTE(SUBSTITUTE(SUBSTITUTE("type:"&amp;B2002,"%","%25"),"~","%7E"),"*","%2A"),"?","%3F"),'Rules'!$G$7:$G$26,0))="km"),INDEX('Rules'!$B$7:$B$26,MATCH(SUBSTITUTE(SUBSTITUTE(SUBSTITUTE(SUBSTITUTE("type:"&amp;B2002,"%","%25"),"~","%7E"),"*","%2A"),"?","%3F"),'Rules'!$G$7:$G$26,0)),""))</x:f>
      </x:c>
      <x:c r="I2002" s="6" t="str">
        <x:f>IF(AND(NOT(COUNTA(A2002:F2002)=0),K2002=""),ROUND(J2002-D2002,3),"")</x:f>
      </x:c>
      <x:c r="J2002" s="6" t="str">
        <x:f>IF(AND(NOT(COUNTA(A2002:F2002)=0),K2002=""),ROUND(F2002+L2002,3),"")</x:f>
      </x:c>
      <x:c r="K2002" s="5" t="str">
        <x:f>IF(COUNTA(A2002:F2002)=0,"",IF(A2002="","Missing equipment ID",IF(COUNTIFS($N$8:$N$2007,"="&amp;N2002)&gt;1,"Duplicate equipment ID",IF(B2002="","Missing type",IF(COUNTIFS('Rules'!$G$7:$G$26,"="&amp;(SUBSTITUTE(SUBSTITUTE(SUBSTITUTE(SUBSTITUTE("type:"&amp;B2002,"%","%25"),"~","%7E"),"*","%2A"),"?","%3F")))=0,"Unknown type",IF(COUNTIFS('Rules'!$G$7:$G$26,"="&amp;(SUBSTITUTE(SUBSTITUTE(SUBSTITUTE(SUBSTITUTE("type:"&amp;B2002,"%","%25"),"~","%7E"),"*","%2A"),"?","%3F")))&gt;1,"Duplicate type",IF(INDEX('Rules'!$F$7:$F$26,MATCH(SUBSTITUTE(SUBSTITUTE(SUBSTITUTE(SUBSTITUTE("type:"&amp;B2002,"%","%25"),"~","%7E"),"*","%2A"),"?","%3F"),'Rules'!$G$7:$G$26,0))&lt;&gt;"",INDEX('Rules'!$F$7:$F$26,MATCH(SUBSTITUTE(SUBSTITUTE(SUBSTITUTE(SUBSTITUTE("type:"&amp;B2002,"%","%25"),"~","%7E"),"*","%2A"),"?","%3F"),'Rules'!$G$7:$G$26,0)),IF(AND(C2002&lt;&gt;"",C2002&lt;&gt;INDEX('Rules'!$B$7:$B$26,MATCH(SUBSTITUTE(SUBSTITUTE(SUBSTITUTE(SUBSTITUTE("type:"&amp;B2002,"%","%25"),"~","%7E"),"*","%2A"),"?","%3F"),'Rules'!$G$7:$G$26,0))),"Unit mismatch",IF(IF(NOT(ISNUMBER(D2002)),TRUE,OR(D2002&lt;0,D2002&gt;999999999,ROUND(D2002,3)&lt;&gt;D2002)),"Invalid current reading",IF(AND(E2002&lt;&gt;"",IF(NOT(ISNUMBER(E2002)),TRUE,OR(E2002&lt;0,E2002&gt;999999999,ROUND(E2002,3)&lt;&gt;E2002))),"Invalid previous reading",IF(IF(NOT(ISNUMBER(F2002)),TRUE,OR(F2002&lt;0,F2002&gt;999999999,ROUND(F2002,3)&lt;&gt;F2002)),"Invalid last service",IF(AND(E2002&lt;&gt;"",D2002&lt;E2002),"Decreased reading",IF(F2002&gt;D2002,"Last service above current","")))))))))))))</x:f>
      </x:c>
      <x:c r="L2002" s="6" t="str">
        <x:f>IF(AND(NOT(COUNTA(A2002:F2002)=0),K2002=""),INDEX('Rules'!$C$7:$C$26,MATCH(SUBSTITUTE(SUBSTITUTE(SUBSTITUTE(SUBSTITUTE("type:"&amp;B2002,"%","%25"),"~","%7E"),"*","%2A"),"?","%3F"),'Rules'!$G$7:$G$26,0)),"")</x:f>
      </x:c>
      <x:c r="M2002" s="6" t="str">
        <x:f>IF(AND(NOT(COUNTA(A2002:F2002)=0),K2002=""),INDEX('Rules'!$D$7:$D$26,MATCH(SUBSTITUTE(SUBSTITUTE(SUBSTITUTE(SUBSTITUTE("type:"&amp;B2002,"%","%25"),"~","%7E"),"*","%2A"),"?","%3F"),'Rules'!$G$7:$G$26,0)),"")</x:f>
      </x:c>
      <x:c r="N2002" s="5" t="str">
        <x:f>IF(COUNTA(A2002:F2002)=0,"",SUBSTITUTE(SUBSTITUTE(SUBSTITUTE(SUBSTITUTE("id:"&amp;A2002,"%","%25"),"~","%7E"),"*","%2A"),"?","%3F"))</x:f>
      </x:c>
    </x:row>
    <x:row r="2003" ht="22" customHeight="1">
      <x:c r="A2003" s="3"/>
      <x:c r="B2003" s="3"/>
      <x:c r="C2003" s="3"/>
      <x:c r="D2003" s="4"/>
      <x:c r="E2003" s="4"/>
      <x:c r="F2003" s="4"/>
      <x:c r="G2003" s="5" t="str">
        <x:f>IF(COUNTA(A2003:F2003)=0,"",IF(K2003&lt;&gt;"","Review",IF(I2003&lt;0,"Overdue",IF(I2003=0,"Due now",IF(I2003&lt;=M2003,"Due soon","Not due")))))</x:f>
      </x:c>
      <x:c r="H2003" s="5" t="str">
        <x:f>IF(OR(COUNTA(A2003:F2003)=0,COUNTIFS('Rules'!$G$7:$G$26,"="&amp;(SUBSTITUTE(SUBSTITUTE(SUBSTITUTE(SUBSTITUTE("type:"&amp;B2003,"%","%25"),"~","%7E"),"*","%2A"),"?","%3F")))&lt;&gt;1),"",IF(OR(INDEX('Rules'!$B$7:$B$26,MATCH(SUBSTITUTE(SUBSTITUTE(SUBSTITUTE(SUBSTITUTE("type:"&amp;B2003,"%","%25"),"~","%7E"),"*","%2A"),"?","%3F"),'Rules'!$G$7:$G$26,0))="hours",INDEX('Rules'!$B$7:$B$26,MATCH(SUBSTITUTE(SUBSTITUTE(SUBSTITUTE(SUBSTITUTE("type:"&amp;B2003,"%","%25"),"~","%7E"),"*","%2A"),"?","%3F"),'Rules'!$G$7:$G$26,0))="km"),INDEX('Rules'!$B$7:$B$26,MATCH(SUBSTITUTE(SUBSTITUTE(SUBSTITUTE(SUBSTITUTE("type:"&amp;B2003,"%","%25"),"~","%7E"),"*","%2A"),"?","%3F"),'Rules'!$G$7:$G$26,0)),""))</x:f>
      </x:c>
      <x:c r="I2003" s="6" t="str">
        <x:f>IF(AND(NOT(COUNTA(A2003:F2003)=0),K2003=""),ROUND(J2003-D2003,3),"")</x:f>
      </x:c>
      <x:c r="J2003" s="6" t="str">
        <x:f>IF(AND(NOT(COUNTA(A2003:F2003)=0),K2003=""),ROUND(F2003+L2003,3),"")</x:f>
      </x:c>
      <x:c r="K2003" s="5" t="str">
        <x:f>IF(COUNTA(A2003:F2003)=0,"",IF(A2003="","Missing equipment ID",IF(COUNTIFS($N$8:$N$2007,"="&amp;N2003)&gt;1,"Duplicate equipment ID",IF(B2003="","Missing type",IF(COUNTIFS('Rules'!$G$7:$G$26,"="&amp;(SUBSTITUTE(SUBSTITUTE(SUBSTITUTE(SUBSTITUTE("type:"&amp;B2003,"%","%25"),"~","%7E"),"*","%2A"),"?","%3F")))=0,"Unknown type",IF(COUNTIFS('Rules'!$G$7:$G$26,"="&amp;(SUBSTITUTE(SUBSTITUTE(SUBSTITUTE(SUBSTITUTE("type:"&amp;B2003,"%","%25"),"~","%7E"),"*","%2A"),"?","%3F")))&gt;1,"Duplicate type",IF(INDEX('Rules'!$F$7:$F$26,MATCH(SUBSTITUTE(SUBSTITUTE(SUBSTITUTE(SUBSTITUTE("type:"&amp;B2003,"%","%25"),"~","%7E"),"*","%2A"),"?","%3F"),'Rules'!$G$7:$G$26,0))&lt;&gt;"",INDEX('Rules'!$F$7:$F$26,MATCH(SUBSTITUTE(SUBSTITUTE(SUBSTITUTE(SUBSTITUTE("type:"&amp;B2003,"%","%25"),"~","%7E"),"*","%2A"),"?","%3F"),'Rules'!$G$7:$G$26,0)),IF(AND(C2003&lt;&gt;"",C2003&lt;&gt;INDEX('Rules'!$B$7:$B$26,MATCH(SUBSTITUTE(SUBSTITUTE(SUBSTITUTE(SUBSTITUTE("type:"&amp;B2003,"%","%25"),"~","%7E"),"*","%2A"),"?","%3F"),'Rules'!$G$7:$G$26,0))),"Unit mismatch",IF(IF(NOT(ISNUMBER(D2003)),TRUE,OR(D2003&lt;0,D2003&gt;999999999,ROUND(D2003,3)&lt;&gt;D2003)),"Invalid current reading",IF(AND(E2003&lt;&gt;"",IF(NOT(ISNUMBER(E2003)),TRUE,OR(E2003&lt;0,E2003&gt;999999999,ROUND(E2003,3)&lt;&gt;E2003))),"Invalid previous reading",IF(IF(NOT(ISNUMBER(F2003)),TRUE,OR(F2003&lt;0,F2003&gt;999999999,ROUND(F2003,3)&lt;&gt;F2003)),"Invalid last service",IF(AND(E2003&lt;&gt;"",D2003&lt;E2003),"Decreased reading",IF(F2003&gt;D2003,"Last service above current","")))))))))))))</x:f>
      </x:c>
      <x:c r="L2003" s="6" t="str">
        <x:f>IF(AND(NOT(COUNTA(A2003:F2003)=0),K2003=""),INDEX('Rules'!$C$7:$C$26,MATCH(SUBSTITUTE(SUBSTITUTE(SUBSTITUTE(SUBSTITUTE("type:"&amp;B2003,"%","%25"),"~","%7E"),"*","%2A"),"?","%3F"),'Rules'!$G$7:$G$26,0)),"")</x:f>
      </x:c>
      <x:c r="M2003" s="6" t="str">
        <x:f>IF(AND(NOT(COUNTA(A2003:F2003)=0),K2003=""),INDEX('Rules'!$D$7:$D$26,MATCH(SUBSTITUTE(SUBSTITUTE(SUBSTITUTE(SUBSTITUTE("type:"&amp;B2003,"%","%25"),"~","%7E"),"*","%2A"),"?","%3F"),'Rules'!$G$7:$G$26,0)),"")</x:f>
      </x:c>
      <x:c r="N2003" s="5" t="str">
        <x:f>IF(COUNTA(A2003:F2003)=0,"",SUBSTITUTE(SUBSTITUTE(SUBSTITUTE(SUBSTITUTE("id:"&amp;A2003,"%","%25"),"~","%7E"),"*","%2A"),"?","%3F"))</x:f>
      </x:c>
    </x:row>
    <x:row r="2004" ht="22" customHeight="1">
      <x:c r="A2004" s="3"/>
      <x:c r="B2004" s="3"/>
      <x:c r="C2004" s="3"/>
      <x:c r="D2004" s="4"/>
      <x:c r="E2004" s="4"/>
      <x:c r="F2004" s="4"/>
      <x:c r="G2004" s="5" t="str">
        <x:f>IF(COUNTA(A2004:F2004)=0,"",IF(K2004&lt;&gt;"","Review",IF(I2004&lt;0,"Overdue",IF(I2004=0,"Due now",IF(I2004&lt;=M2004,"Due soon","Not due")))))</x:f>
      </x:c>
      <x:c r="H2004" s="5" t="str">
        <x:f>IF(OR(COUNTA(A2004:F2004)=0,COUNTIFS('Rules'!$G$7:$G$26,"="&amp;(SUBSTITUTE(SUBSTITUTE(SUBSTITUTE(SUBSTITUTE("type:"&amp;B2004,"%","%25"),"~","%7E"),"*","%2A"),"?","%3F")))&lt;&gt;1),"",IF(OR(INDEX('Rules'!$B$7:$B$26,MATCH(SUBSTITUTE(SUBSTITUTE(SUBSTITUTE(SUBSTITUTE("type:"&amp;B2004,"%","%25"),"~","%7E"),"*","%2A"),"?","%3F"),'Rules'!$G$7:$G$26,0))="hours",INDEX('Rules'!$B$7:$B$26,MATCH(SUBSTITUTE(SUBSTITUTE(SUBSTITUTE(SUBSTITUTE("type:"&amp;B2004,"%","%25"),"~","%7E"),"*","%2A"),"?","%3F"),'Rules'!$G$7:$G$26,0))="km"),INDEX('Rules'!$B$7:$B$26,MATCH(SUBSTITUTE(SUBSTITUTE(SUBSTITUTE(SUBSTITUTE("type:"&amp;B2004,"%","%25"),"~","%7E"),"*","%2A"),"?","%3F"),'Rules'!$G$7:$G$26,0)),""))</x:f>
      </x:c>
      <x:c r="I2004" s="6" t="str">
        <x:f>IF(AND(NOT(COUNTA(A2004:F2004)=0),K2004=""),ROUND(J2004-D2004,3),"")</x:f>
      </x:c>
      <x:c r="J2004" s="6" t="str">
        <x:f>IF(AND(NOT(COUNTA(A2004:F2004)=0),K2004=""),ROUND(F2004+L2004,3),"")</x:f>
      </x:c>
      <x:c r="K2004" s="5" t="str">
        <x:f>IF(COUNTA(A2004:F2004)=0,"",IF(A2004="","Missing equipment ID",IF(COUNTIFS($N$8:$N$2007,"="&amp;N2004)&gt;1,"Duplicate equipment ID",IF(B2004="","Missing type",IF(COUNTIFS('Rules'!$G$7:$G$26,"="&amp;(SUBSTITUTE(SUBSTITUTE(SUBSTITUTE(SUBSTITUTE("type:"&amp;B2004,"%","%25"),"~","%7E"),"*","%2A"),"?","%3F")))=0,"Unknown type",IF(COUNTIFS('Rules'!$G$7:$G$26,"="&amp;(SUBSTITUTE(SUBSTITUTE(SUBSTITUTE(SUBSTITUTE("type:"&amp;B2004,"%","%25"),"~","%7E"),"*","%2A"),"?","%3F")))&gt;1,"Duplicate type",IF(INDEX('Rules'!$F$7:$F$26,MATCH(SUBSTITUTE(SUBSTITUTE(SUBSTITUTE(SUBSTITUTE("type:"&amp;B2004,"%","%25"),"~","%7E"),"*","%2A"),"?","%3F"),'Rules'!$G$7:$G$26,0))&lt;&gt;"",INDEX('Rules'!$F$7:$F$26,MATCH(SUBSTITUTE(SUBSTITUTE(SUBSTITUTE(SUBSTITUTE("type:"&amp;B2004,"%","%25"),"~","%7E"),"*","%2A"),"?","%3F"),'Rules'!$G$7:$G$26,0)),IF(AND(C2004&lt;&gt;"",C2004&lt;&gt;INDEX('Rules'!$B$7:$B$26,MATCH(SUBSTITUTE(SUBSTITUTE(SUBSTITUTE(SUBSTITUTE("type:"&amp;B2004,"%","%25"),"~","%7E"),"*","%2A"),"?","%3F"),'Rules'!$G$7:$G$26,0))),"Unit mismatch",IF(IF(NOT(ISNUMBER(D2004)),TRUE,OR(D2004&lt;0,D2004&gt;999999999,ROUND(D2004,3)&lt;&gt;D2004)),"Invalid current reading",IF(AND(E2004&lt;&gt;"",IF(NOT(ISNUMBER(E2004)),TRUE,OR(E2004&lt;0,E2004&gt;999999999,ROUND(E2004,3)&lt;&gt;E2004))),"Invalid previous reading",IF(IF(NOT(ISNUMBER(F2004)),TRUE,OR(F2004&lt;0,F2004&gt;999999999,ROUND(F2004,3)&lt;&gt;F2004)),"Invalid last service",IF(AND(E2004&lt;&gt;"",D2004&lt;E2004),"Decreased reading",IF(F2004&gt;D2004,"Last service above current","")))))))))))))</x:f>
      </x:c>
      <x:c r="L2004" s="6" t="str">
        <x:f>IF(AND(NOT(COUNTA(A2004:F2004)=0),K2004=""),INDEX('Rules'!$C$7:$C$26,MATCH(SUBSTITUTE(SUBSTITUTE(SUBSTITUTE(SUBSTITUTE("type:"&amp;B2004,"%","%25"),"~","%7E"),"*","%2A"),"?","%3F"),'Rules'!$G$7:$G$26,0)),"")</x:f>
      </x:c>
      <x:c r="M2004" s="6" t="str">
        <x:f>IF(AND(NOT(COUNTA(A2004:F2004)=0),K2004=""),INDEX('Rules'!$D$7:$D$26,MATCH(SUBSTITUTE(SUBSTITUTE(SUBSTITUTE(SUBSTITUTE("type:"&amp;B2004,"%","%25"),"~","%7E"),"*","%2A"),"?","%3F"),'Rules'!$G$7:$G$26,0)),"")</x:f>
      </x:c>
      <x:c r="N2004" s="5" t="str">
        <x:f>IF(COUNTA(A2004:F2004)=0,"",SUBSTITUTE(SUBSTITUTE(SUBSTITUTE(SUBSTITUTE("id:"&amp;A2004,"%","%25"),"~","%7E"),"*","%2A"),"?","%3F"))</x:f>
      </x:c>
    </x:row>
    <x:row r="2005" ht="22" customHeight="1">
      <x:c r="A2005" s="3"/>
      <x:c r="B2005" s="3"/>
      <x:c r="C2005" s="3"/>
      <x:c r="D2005" s="4"/>
      <x:c r="E2005" s="4"/>
      <x:c r="F2005" s="4"/>
      <x:c r="G2005" s="5" t="str">
        <x:f>IF(COUNTA(A2005:F2005)=0,"",IF(K2005&lt;&gt;"","Review",IF(I2005&lt;0,"Overdue",IF(I2005=0,"Due now",IF(I2005&lt;=M2005,"Due soon","Not due")))))</x:f>
      </x:c>
      <x:c r="H2005" s="5" t="str">
        <x:f>IF(OR(COUNTA(A2005:F2005)=0,COUNTIFS('Rules'!$G$7:$G$26,"="&amp;(SUBSTITUTE(SUBSTITUTE(SUBSTITUTE(SUBSTITUTE("type:"&amp;B2005,"%","%25"),"~","%7E"),"*","%2A"),"?","%3F")))&lt;&gt;1),"",IF(OR(INDEX('Rules'!$B$7:$B$26,MATCH(SUBSTITUTE(SUBSTITUTE(SUBSTITUTE(SUBSTITUTE("type:"&amp;B2005,"%","%25"),"~","%7E"),"*","%2A"),"?","%3F"),'Rules'!$G$7:$G$26,0))="hours",INDEX('Rules'!$B$7:$B$26,MATCH(SUBSTITUTE(SUBSTITUTE(SUBSTITUTE(SUBSTITUTE("type:"&amp;B2005,"%","%25"),"~","%7E"),"*","%2A"),"?","%3F"),'Rules'!$G$7:$G$26,0))="km"),INDEX('Rules'!$B$7:$B$26,MATCH(SUBSTITUTE(SUBSTITUTE(SUBSTITUTE(SUBSTITUTE("type:"&amp;B2005,"%","%25"),"~","%7E"),"*","%2A"),"?","%3F"),'Rules'!$G$7:$G$26,0)),""))</x:f>
      </x:c>
      <x:c r="I2005" s="6" t="str">
        <x:f>IF(AND(NOT(COUNTA(A2005:F2005)=0),K2005=""),ROUND(J2005-D2005,3),"")</x:f>
      </x:c>
      <x:c r="J2005" s="6" t="str">
        <x:f>IF(AND(NOT(COUNTA(A2005:F2005)=0),K2005=""),ROUND(F2005+L2005,3),"")</x:f>
      </x:c>
      <x:c r="K2005" s="5" t="str">
        <x:f>IF(COUNTA(A2005:F2005)=0,"",IF(A2005="","Missing equipment ID",IF(COUNTIFS($N$8:$N$2007,"="&amp;N2005)&gt;1,"Duplicate equipment ID",IF(B2005="","Missing type",IF(COUNTIFS('Rules'!$G$7:$G$26,"="&amp;(SUBSTITUTE(SUBSTITUTE(SUBSTITUTE(SUBSTITUTE("type:"&amp;B2005,"%","%25"),"~","%7E"),"*","%2A"),"?","%3F")))=0,"Unknown type",IF(COUNTIFS('Rules'!$G$7:$G$26,"="&amp;(SUBSTITUTE(SUBSTITUTE(SUBSTITUTE(SUBSTITUTE("type:"&amp;B2005,"%","%25"),"~","%7E"),"*","%2A"),"?","%3F")))&gt;1,"Duplicate type",IF(INDEX('Rules'!$F$7:$F$26,MATCH(SUBSTITUTE(SUBSTITUTE(SUBSTITUTE(SUBSTITUTE("type:"&amp;B2005,"%","%25"),"~","%7E"),"*","%2A"),"?","%3F"),'Rules'!$G$7:$G$26,0))&lt;&gt;"",INDEX('Rules'!$F$7:$F$26,MATCH(SUBSTITUTE(SUBSTITUTE(SUBSTITUTE(SUBSTITUTE("type:"&amp;B2005,"%","%25"),"~","%7E"),"*","%2A"),"?","%3F"),'Rules'!$G$7:$G$26,0)),IF(AND(C2005&lt;&gt;"",C2005&lt;&gt;INDEX('Rules'!$B$7:$B$26,MATCH(SUBSTITUTE(SUBSTITUTE(SUBSTITUTE(SUBSTITUTE("type:"&amp;B2005,"%","%25"),"~","%7E"),"*","%2A"),"?","%3F"),'Rules'!$G$7:$G$26,0))),"Unit mismatch",IF(IF(NOT(ISNUMBER(D2005)),TRUE,OR(D2005&lt;0,D2005&gt;999999999,ROUND(D2005,3)&lt;&gt;D2005)),"Invalid current reading",IF(AND(E2005&lt;&gt;"",IF(NOT(ISNUMBER(E2005)),TRUE,OR(E2005&lt;0,E2005&gt;999999999,ROUND(E2005,3)&lt;&gt;E2005))),"Invalid previous reading",IF(IF(NOT(ISNUMBER(F2005)),TRUE,OR(F2005&lt;0,F2005&gt;999999999,ROUND(F2005,3)&lt;&gt;F2005)),"Invalid last service",IF(AND(E2005&lt;&gt;"",D2005&lt;E2005),"Decreased reading",IF(F2005&gt;D2005,"Last service above current","")))))))))))))</x:f>
      </x:c>
      <x:c r="L2005" s="6" t="str">
        <x:f>IF(AND(NOT(COUNTA(A2005:F2005)=0),K2005=""),INDEX('Rules'!$C$7:$C$26,MATCH(SUBSTITUTE(SUBSTITUTE(SUBSTITUTE(SUBSTITUTE("type:"&amp;B2005,"%","%25"),"~","%7E"),"*","%2A"),"?","%3F"),'Rules'!$G$7:$G$26,0)),"")</x:f>
      </x:c>
      <x:c r="M2005" s="6" t="str">
        <x:f>IF(AND(NOT(COUNTA(A2005:F2005)=0),K2005=""),INDEX('Rules'!$D$7:$D$26,MATCH(SUBSTITUTE(SUBSTITUTE(SUBSTITUTE(SUBSTITUTE("type:"&amp;B2005,"%","%25"),"~","%7E"),"*","%2A"),"?","%3F"),'Rules'!$G$7:$G$26,0)),"")</x:f>
      </x:c>
      <x:c r="N2005" s="5" t="str">
        <x:f>IF(COUNTA(A2005:F2005)=0,"",SUBSTITUTE(SUBSTITUTE(SUBSTITUTE(SUBSTITUTE("id:"&amp;A2005,"%","%25"),"~","%7E"),"*","%2A"),"?","%3F"))</x:f>
      </x:c>
    </x:row>
    <x:row r="2006" ht="22" customHeight="1">
      <x:c r="A2006" s="3"/>
      <x:c r="B2006" s="3"/>
      <x:c r="C2006" s="3"/>
      <x:c r="D2006" s="4"/>
      <x:c r="E2006" s="4"/>
      <x:c r="F2006" s="4"/>
      <x:c r="G2006" s="5" t="str">
        <x:f>IF(COUNTA(A2006:F2006)=0,"",IF(K2006&lt;&gt;"","Review",IF(I2006&lt;0,"Overdue",IF(I2006=0,"Due now",IF(I2006&lt;=M2006,"Due soon","Not due")))))</x:f>
      </x:c>
      <x:c r="H2006" s="5" t="str">
        <x:f>IF(OR(COUNTA(A2006:F2006)=0,COUNTIFS('Rules'!$G$7:$G$26,"="&amp;(SUBSTITUTE(SUBSTITUTE(SUBSTITUTE(SUBSTITUTE("type:"&amp;B2006,"%","%25"),"~","%7E"),"*","%2A"),"?","%3F")))&lt;&gt;1),"",IF(OR(INDEX('Rules'!$B$7:$B$26,MATCH(SUBSTITUTE(SUBSTITUTE(SUBSTITUTE(SUBSTITUTE("type:"&amp;B2006,"%","%25"),"~","%7E"),"*","%2A"),"?","%3F"),'Rules'!$G$7:$G$26,0))="hours",INDEX('Rules'!$B$7:$B$26,MATCH(SUBSTITUTE(SUBSTITUTE(SUBSTITUTE(SUBSTITUTE("type:"&amp;B2006,"%","%25"),"~","%7E"),"*","%2A"),"?","%3F"),'Rules'!$G$7:$G$26,0))="km"),INDEX('Rules'!$B$7:$B$26,MATCH(SUBSTITUTE(SUBSTITUTE(SUBSTITUTE(SUBSTITUTE("type:"&amp;B2006,"%","%25"),"~","%7E"),"*","%2A"),"?","%3F"),'Rules'!$G$7:$G$26,0)),""))</x:f>
      </x:c>
      <x:c r="I2006" s="6" t="str">
        <x:f>IF(AND(NOT(COUNTA(A2006:F2006)=0),K2006=""),ROUND(J2006-D2006,3),"")</x:f>
      </x:c>
      <x:c r="J2006" s="6" t="str">
        <x:f>IF(AND(NOT(COUNTA(A2006:F2006)=0),K2006=""),ROUND(F2006+L2006,3),"")</x:f>
      </x:c>
      <x:c r="K2006" s="5" t="str">
        <x:f>IF(COUNTA(A2006:F2006)=0,"",IF(A2006="","Missing equipment ID",IF(COUNTIFS($N$8:$N$2007,"="&amp;N2006)&gt;1,"Duplicate equipment ID",IF(B2006="","Missing type",IF(COUNTIFS('Rules'!$G$7:$G$26,"="&amp;(SUBSTITUTE(SUBSTITUTE(SUBSTITUTE(SUBSTITUTE("type:"&amp;B2006,"%","%25"),"~","%7E"),"*","%2A"),"?","%3F")))=0,"Unknown type",IF(COUNTIFS('Rules'!$G$7:$G$26,"="&amp;(SUBSTITUTE(SUBSTITUTE(SUBSTITUTE(SUBSTITUTE("type:"&amp;B2006,"%","%25"),"~","%7E"),"*","%2A"),"?","%3F")))&gt;1,"Duplicate type",IF(INDEX('Rules'!$F$7:$F$26,MATCH(SUBSTITUTE(SUBSTITUTE(SUBSTITUTE(SUBSTITUTE("type:"&amp;B2006,"%","%25"),"~","%7E"),"*","%2A"),"?","%3F"),'Rules'!$G$7:$G$26,0))&lt;&gt;"",INDEX('Rules'!$F$7:$F$26,MATCH(SUBSTITUTE(SUBSTITUTE(SUBSTITUTE(SUBSTITUTE("type:"&amp;B2006,"%","%25"),"~","%7E"),"*","%2A"),"?","%3F"),'Rules'!$G$7:$G$26,0)),IF(AND(C2006&lt;&gt;"",C2006&lt;&gt;INDEX('Rules'!$B$7:$B$26,MATCH(SUBSTITUTE(SUBSTITUTE(SUBSTITUTE(SUBSTITUTE("type:"&amp;B2006,"%","%25"),"~","%7E"),"*","%2A"),"?","%3F"),'Rules'!$G$7:$G$26,0))),"Unit mismatch",IF(IF(NOT(ISNUMBER(D2006)),TRUE,OR(D2006&lt;0,D2006&gt;999999999,ROUND(D2006,3)&lt;&gt;D2006)),"Invalid current reading",IF(AND(E2006&lt;&gt;"",IF(NOT(ISNUMBER(E2006)),TRUE,OR(E2006&lt;0,E2006&gt;999999999,ROUND(E2006,3)&lt;&gt;E2006))),"Invalid previous reading",IF(IF(NOT(ISNUMBER(F2006)),TRUE,OR(F2006&lt;0,F2006&gt;999999999,ROUND(F2006,3)&lt;&gt;F2006)),"Invalid last service",IF(AND(E2006&lt;&gt;"",D2006&lt;E2006),"Decreased reading",IF(F2006&gt;D2006,"Last service above current","")))))))))))))</x:f>
      </x:c>
      <x:c r="L2006" s="6" t="str">
        <x:f>IF(AND(NOT(COUNTA(A2006:F2006)=0),K2006=""),INDEX('Rules'!$C$7:$C$26,MATCH(SUBSTITUTE(SUBSTITUTE(SUBSTITUTE(SUBSTITUTE("type:"&amp;B2006,"%","%25"),"~","%7E"),"*","%2A"),"?","%3F"),'Rules'!$G$7:$G$26,0)),"")</x:f>
      </x:c>
      <x:c r="M2006" s="6" t="str">
        <x:f>IF(AND(NOT(COUNTA(A2006:F2006)=0),K2006=""),INDEX('Rules'!$D$7:$D$26,MATCH(SUBSTITUTE(SUBSTITUTE(SUBSTITUTE(SUBSTITUTE("type:"&amp;B2006,"%","%25"),"~","%7E"),"*","%2A"),"?","%3F"),'Rules'!$G$7:$G$26,0)),"")</x:f>
      </x:c>
      <x:c r="N2006" s="5" t="str">
        <x:f>IF(COUNTA(A2006:F2006)=0,"",SUBSTITUTE(SUBSTITUTE(SUBSTITUTE(SUBSTITUTE("id:"&amp;A2006,"%","%25"),"~","%7E"),"*","%2A"),"?","%3F"))</x:f>
      </x:c>
    </x:row>
    <x:row r="2007" ht="22" customHeight="1">
      <x:c r="A2007" s="3"/>
      <x:c r="B2007" s="3"/>
      <x:c r="C2007" s="3"/>
      <x:c r="D2007" s="4"/>
      <x:c r="E2007" s="4"/>
      <x:c r="F2007" s="4"/>
      <x:c r="G2007" s="5" t="str">
        <x:f>IF(COUNTA(A2007:F2007)=0,"",IF(K2007&lt;&gt;"","Review",IF(I2007&lt;0,"Overdue",IF(I2007=0,"Due now",IF(I2007&lt;=M2007,"Due soon","Not due")))))</x:f>
      </x:c>
      <x:c r="H2007" s="5" t="str">
        <x:f>IF(OR(COUNTA(A2007:F2007)=0,COUNTIFS('Rules'!$G$7:$G$26,"="&amp;(SUBSTITUTE(SUBSTITUTE(SUBSTITUTE(SUBSTITUTE("type:"&amp;B2007,"%","%25"),"~","%7E"),"*","%2A"),"?","%3F")))&lt;&gt;1),"",IF(OR(INDEX('Rules'!$B$7:$B$26,MATCH(SUBSTITUTE(SUBSTITUTE(SUBSTITUTE(SUBSTITUTE("type:"&amp;B2007,"%","%25"),"~","%7E"),"*","%2A"),"?","%3F"),'Rules'!$G$7:$G$26,0))="hours",INDEX('Rules'!$B$7:$B$26,MATCH(SUBSTITUTE(SUBSTITUTE(SUBSTITUTE(SUBSTITUTE("type:"&amp;B2007,"%","%25"),"~","%7E"),"*","%2A"),"?","%3F"),'Rules'!$G$7:$G$26,0))="km"),INDEX('Rules'!$B$7:$B$26,MATCH(SUBSTITUTE(SUBSTITUTE(SUBSTITUTE(SUBSTITUTE("type:"&amp;B2007,"%","%25"),"~","%7E"),"*","%2A"),"?","%3F"),'Rules'!$G$7:$G$26,0)),""))</x:f>
      </x:c>
      <x:c r="I2007" s="6" t="str">
        <x:f>IF(AND(NOT(COUNTA(A2007:F2007)=0),K2007=""),ROUND(J2007-D2007,3),"")</x:f>
      </x:c>
      <x:c r="J2007" s="6" t="str">
        <x:f>IF(AND(NOT(COUNTA(A2007:F2007)=0),K2007=""),ROUND(F2007+L2007,3),"")</x:f>
      </x:c>
      <x:c r="K2007" s="5" t="str">
        <x:f>IF(COUNTA(A2007:F2007)=0,"",IF(A2007="","Missing equipment ID",IF(COUNTIFS($N$8:$N$2007,"="&amp;N2007)&gt;1,"Duplicate equipment ID",IF(B2007="","Missing type",IF(COUNTIFS('Rules'!$G$7:$G$26,"="&amp;(SUBSTITUTE(SUBSTITUTE(SUBSTITUTE(SUBSTITUTE("type:"&amp;B2007,"%","%25"),"~","%7E"),"*","%2A"),"?","%3F")))=0,"Unknown type",IF(COUNTIFS('Rules'!$G$7:$G$26,"="&amp;(SUBSTITUTE(SUBSTITUTE(SUBSTITUTE(SUBSTITUTE("type:"&amp;B2007,"%","%25"),"~","%7E"),"*","%2A"),"?","%3F")))&gt;1,"Duplicate type",IF(INDEX('Rules'!$F$7:$F$26,MATCH(SUBSTITUTE(SUBSTITUTE(SUBSTITUTE(SUBSTITUTE("type:"&amp;B2007,"%","%25"),"~","%7E"),"*","%2A"),"?","%3F"),'Rules'!$G$7:$G$26,0))&lt;&gt;"",INDEX('Rules'!$F$7:$F$26,MATCH(SUBSTITUTE(SUBSTITUTE(SUBSTITUTE(SUBSTITUTE("type:"&amp;B2007,"%","%25"),"~","%7E"),"*","%2A"),"?","%3F"),'Rules'!$G$7:$G$26,0)),IF(AND(C2007&lt;&gt;"",C2007&lt;&gt;INDEX('Rules'!$B$7:$B$26,MATCH(SUBSTITUTE(SUBSTITUTE(SUBSTITUTE(SUBSTITUTE("type:"&amp;B2007,"%","%25"),"~","%7E"),"*","%2A"),"?","%3F"),'Rules'!$G$7:$G$26,0))),"Unit mismatch",IF(IF(NOT(ISNUMBER(D2007)),TRUE,OR(D2007&lt;0,D2007&gt;999999999,ROUND(D2007,3)&lt;&gt;D2007)),"Invalid current reading",IF(AND(E2007&lt;&gt;"",IF(NOT(ISNUMBER(E2007)),TRUE,OR(E2007&lt;0,E2007&gt;999999999,ROUND(E2007,3)&lt;&gt;E2007))),"Invalid previous reading",IF(IF(NOT(ISNUMBER(F2007)),TRUE,OR(F2007&lt;0,F2007&gt;999999999,ROUND(F2007,3)&lt;&gt;F2007)),"Invalid last service",IF(AND(E2007&lt;&gt;"",D2007&lt;E2007),"Decreased reading",IF(F2007&gt;D2007,"Last service above current","")))))))))))))</x:f>
      </x:c>
      <x:c r="L2007" s="6" t="str">
        <x:f>IF(AND(NOT(COUNTA(A2007:F2007)=0),K2007=""),INDEX('Rules'!$C$7:$C$26,MATCH(SUBSTITUTE(SUBSTITUTE(SUBSTITUTE(SUBSTITUTE("type:"&amp;B2007,"%","%25"),"~","%7E"),"*","%2A"),"?","%3F"),'Rules'!$G$7:$G$26,0)),"")</x:f>
      </x:c>
      <x:c r="M2007" s="6" t="str">
        <x:f>IF(AND(NOT(COUNTA(A2007:F2007)=0),K2007=""),INDEX('Rules'!$D$7:$D$26,MATCH(SUBSTITUTE(SUBSTITUTE(SUBSTITUTE(SUBSTITUTE("type:"&amp;B2007,"%","%25"),"~","%7E"),"*","%2A"),"?","%3F"),'Rules'!$G$7:$G$26,0)),"")</x:f>
      </x:c>
      <x:c r="N2007" s="5" t="str">
        <x:f>IF(COUNTA(A2007:F2007)=0,"",SUBSTITUTE(SUBSTITUTE(SUBSTITUTE(SUBSTITUTE("id:"&amp;A2007,"%","%25"),"~","%7E"),"*","%2A"),"?","%3F"))</x:f>
      </x:c>
    </x:row>
  </x:sheetData>
  <x:conditionalFormatting sqref="K8:K2007">
    <x:cfRule type="expression" dxfId="0" priority="1">
      <x:formula>$K8&lt;&gt;""</x:formula>
    </x:cfRule>
  </x:conditionalFormatting>
  <x:conditionalFormatting sqref="G8:G2007">
    <x:cfRule type="expression" dxfId="1" priority="2">
      <x:formula>OR($G8="Overdue",$G8="Due now")</x:formula>
    </x:cfRule>
    <x:cfRule type="expression" dxfId="2" priority="3">
      <x:formula>$G8="Due soon"</x:formula>
    </x:cfRule>
  </x:conditionalFormatting>
  <x:dataValidations count="1">
    <x:dataValidation type="list" sqref="C8:C2007">
      <x:formula1>"hours,km"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8.890000343322754" hidden="0" customWidth="1"/>
    <x:col min="3" max="3" width="16.110000610351562" hidden="0" customWidth="1"/>
    <x:col min="4" max="4" width="16.110000610351562" hidden="0" customWidth="1"/>
    <x:col min="5" max="5" width="11.109999656677246" hidden="0" customWidth="1"/>
    <x:col min="6" max="6" width="25.559999465942383" hidden="0" customWidth="1"/>
    <x:col min="7" max="7" width="21.110000610351562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</x:row>
    <x:row r="2" ht="22" customHeight="1">
      <x:c r="A2" s="2" t="str">
        <x:v>Editable equipment rules</x:v>
      </x:c>
      <x:c r="B2" s="1"/>
      <x:c r="C2" s="1"/>
      <x:c r="D2" s="1"/>
      <x:c r="E2" s="1"/>
      <x:c r="F2" s="1"/>
      <x:c r="G2" s="1"/>
    </x:row>
    <x:row r="3" ht="22" customHeight="1">
      <x:c r="A3" s="1" t="str">
        <x:v>Replace the fictional example rules.</x:v>
      </x:c>
      <x:c r="B3" s="1"/>
      <x:c r="C3" s="1"/>
      <x:c r="D3" s="1" t="str">
        <x:v>Then set Approved to Yes.</x:v>
      </x:c>
      <x:c r="E3" s="1"/>
      <x:c r="F3" s="1"/>
      <x:c r="G3" s="1"/>
    </x:row>
    <x:row r="4" ht="22" customHeight="1">
      <x:c r="A4" s="1" t="str">
        <x:v>Use your own documented intervals.</x:v>
      </x:c>
      <x:c r="B4" s="1"/>
      <x:c r="C4" s="1"/>
      <x:c r="D4" s="1" t="str">
        <x:v>No engineering recommendation is provided.</x:v>
      </x:c>
      <x:c r="E4" s="1"/>
      <x:c r="F4" s="1"/>
      <x:c r="G4" s="1"/>
    </x:row>
    <x:row r="5" ht="22" customHeight="1">
      <x:c r="A5" s="1" t="str">
        <x:v>20 type rules. Names must be unique.</x:v>
      </x:c>
      <x:c r="B5" s="1"/>
      <x:c r="C5" s="1"/>
      <x:c r="D5" s="1" t="str">
        <x:v>Blank warning is invalid. Use 0 for no warning window.</x:v>
      </x:c>
      <x:c r="E5" s="1"/>
      <x:c r="F5" s="1"/>
      <x:c r="G5" s="1"/>
    </x:row>
    <x:row r="6" ht="28" customHeight="1">
      <x:c r="A6" s="11" t="str">
        <x:v>Type</x:v>
      </x:c>
      <x:c r="B6" s="11" t="str">
        <x:v>Unit</x:v>
      </x:c>
      <x:c r="C6" s="11" t="str">
        <x:v>Interval</x:v>
      </x:c>
      <x:c r="D6" s="11" t="str">
        <x:v>Warning</x:v>
      </x:c>
      <x:c r="E6" s="11" t="str">
        <x:v>Approved</x:v>
      </x:c>
      <x:c r="F6" s="11" t="str">
        <x:v>Rule issue</x:v>
      </x:c>
      <x:c r="G6" s="11" t="str">
        <x:v>Type key</x:v>
      </x:c>
    </x:row>
    <x:row r="7" ht="22" customHeight="1">
      <x:c r="A7" s="3" t="str">
        <x:v>FORKLIFT_EXAMPLE</x:v>
      </x:c>
      <x:c r="B7" s="1" t="str">
        <x:v>hours</x:v>
      </x:c>
      <x:c r="C7" s="4" t="n">
        <x:v>250</x:v>
      </x:c>
      <x:c r="D7" s="4" t="n">
        <x:v>25</x:v>
      </x:c>
      <x:c r="E7" s="1" t="str">
        <x:v>No</x:v>
      </x:c>
      <x:c r="F7" s="5" t="str">
        <x:f>IF(COUNTA(A7:E7)=0,"",IF(A7="","Missing type",IF(COUNTIFS($G$7:$G$26,"="&amp;G7)&gt;1,"Duplicate type",IF(AND(B7&lt;&gt;"hours",B7&lt;&gt;"km"),"Use hours or km",IF(IF(NOT(ISNUMBER(C7)),TRUE,OR(C7&lt;=0,C7&gt;999999999,ROUND(C7,3)&lt;&gt;C7)),"Invalid interval",IF(IF(NOT(ISNUMBER(D7)),TRUE,OR(D7&lt;0,D7&gt;999999999,ROUND(D7,3)&lt;&gt;D7)),"Invalid warning",IF(E7&lt;&gt;"Yes","Approve rule","")))))))</x:f>
        <x:v>Approve rule</x:v>
      </x:c>
      <x:c r="G7" s="5" t="str">
        <x:f>IF(A7="","",SUBSTITUTE(SUBSTITUTE(SUBSTITUTE(SUBSTITUTE("type:"&amp;A7,"%","%25"),"~","%7E"),"*","%2A"),"?","%3F"))</x:f>
        <x:v>type:FORKLIFT_EXAMPLE</x:v>
      </x:c>
    </x:row>
    <x:row r="8" ht="22" customHeight="1">
      <x:c r="A8" s="3" t="str">
        <x:v>TRUCK_EXAMPLE</x:v>
      </x:c>
      <x:c r="B8" s="1" t="str">
        <x:v>km</x:v>
      </x:c>
      <x:c r="C8" s="4" t="n">
        <x:v>5000</x:v>
      </x:c>
      <x:c r="D8" s="4" t="n">
        <x:v>500</x:v>
      </x:c>
      <x:c r="E8" s="1" t="str">
        <x:v>No</x:v>
      </x:c>
      <x:c r="F8" s="5" t="str">
        <x:f>IF(COUNTA(A8:E8)=0,"",IF(A8="","Missing type",IF(COUNTIFS($G$7:$G$26,"="&amp;G8)&gt;1,"Duplicate type",IF(AND(B8&lt;&gt;"hours",B8&lt;&gt;"km"),"Use hours or km",IF(IF(NOT(ISNUMBER(C8)),TRUE,OR(C8&lt;=0,C8&gt;999999999,ROUND(C8,3)&lt;&gt;C8)),"Invalid interval",IF(IF(NOT(ISNUMBER(D8)),TRUE,OR(D8&lt;0,D8&gt;999999999,ROUND(D8,3)&lt;&gt;D8)),"Invalid warning",IF(E8&lt;&gt;"Yes","Approve rule","")))))))</x:f>
        <x:v>Approve rule</x:v>
      </x:c>
      <x:c r="G8" s="5" t="str">
        <x:f>IF(A8="","",SUBSTITUTE(SUBSTITUTE(SUBSTITUTE(SUBSTITUTE("type:"&amp;A8,"%","%25"),"~","%7E"),"*","%2A"),"?","%3F"))</x:f>
        <x:v>type:TRUCK_EXAMPLE</x:v>
      </x:c>
    </x:row>
    <x:row r="9" ht="22" customHeight="1">
      <x:c r="A9" s="3"/>
      <x:c r="B9" s="1"/>
      <x:c r="C9" s="4"/>
      <x:c r="D9" s="4"/>
      <x:c r="E9" s="1"/>
      <x:c r="F9" s="5" t="str">
        <x:f>IF(COUNTA(A9:E9)=0,"",IF(A9="","Missing type",IF(COUNTIFS($G$7:$G$26,"="&amp;G9)&gt;1,"Duplicate type",IF(AND(B9&lt;&gt;"hours",B9&lt;&gt;"km"),"Use hours or km",IF(IF(NOT(ISNUMBER(C9)),TRUE,OR(C9&lt;=0,C9&gt;999999999,ROUND(C9,3)&lt;&gt;C9)),"Invalid interval",IF(IF(NOT(ISNUMBER(D9)),TRUE,OR(D9&lt;0,D9&gt;999999999,ROUND(D9,3)&lt;&gt;D9)),"Invalid warning",IF(E9&lt;&gt;"Yes","Approve rule","")))))))</x:f>
      </x:c>
      <x:c r="G9" s="5" t="str">
        <x:f>IF(A9="","",SUBSTITUTE(SUBSTITUTE(SUBSTITUTE(SUBSTITUTE("type:"&amp;A9,"%","%25"),"~","%7E"),"*","%2A"),"?","%3F"))</x:f>
      </x:c>
    </x:row>
    <x:row r="10" ht="22" customHeight="1">
      <x:c r="A10" s="3"/>
      <x:c r="B10" s="1"/>
      <x:c r="C10" s="4"/>
      <x:c r="D10" s="4"/>
      <x:c r="E10" s="1"/>
      <x:c r="F10" s="5" t="str">
        <x:f>IF(COUNTA(A10:E10)=0,"",IF(A10="","Missing type",IF(COUNTIFS($G$7:$G$26,"="&amp;G10)&gt;1,"Duplicate type",IF(AND(B10&lt;&gt;"hours",B10&lt;&gt;"km"),"Use hours or km",IF(IF(NOT(ISNUMBER(C10)),TRUE,OR(C10&lt;=0,C10&gt;999999999,ROUND(C10,3)&lt;&gt;C10)),"Invalid interval",IF(IF(NOT(ISNUMBER(D10)),TRUE,OR(D10&lt;0,D10&gt;999999999,ROUND(D10,3)&lt;&gt;D10)),"Invalid warning",IF(E10&lt;&gt;"Yes","Approve rule","")))))))</x:f>
      </x:c>
      <x:c r="G10" s="5" t="str">
        <x:f>IF(A10="","",SUBSTITUTE(SUBSTITUTE(SUBSTITUTE(SUBSTITUTE("type:"&amp;A10,"%","%25"),"~","%7E"),"*","%2A"),"?","%3F"))</x:f>
      </x:c>
    </x:row>
    <x:row r="11" ht="22" customHeight="1">
      <x:c r="A11" s="3"/>
      <x:c r="B11" s="1"/>
      <x:c r="C11" s="4"/>
      <x:c r="D11" s="4"/>
      <x:c r="E11" s="1"/>
      <x:c r="F11" s="5" t="str">
        <x:f>IF(COUNTA(A11:E11)=0,"",IF(A11="","Missing type",IF(COUNTIFS($G$7:$G$26,"="&amp;G11)&gt;1,"Duplicate type",IF(AND(B11&lt;&gt;"hours",B11&lt;&gt;"km"),"Use hours or km",IF(IF(NOT(ISNUMBER(C11)),TRUE,OR(C11&lt;=0,C11&gt;999999999,ROUND(C11,3)&lt;&gt;C11)),"Invalid interval",IF(IF(NOT(ISNUMBER(D11)),TRUE,OR(D11&lt;0,D11&gt;999999999,ROUND(D11,3)&lt;&gt;D11)),"Invalid warning",IF(E11&lt;&gt;"Yes","Approve rule","")))))))</x:f>
      </x:c>
      <x:c r="G11" s="5" t="str">
        <x:f>IF(A11="","",SUBSTITUTE(SUBSTITUTE(SUBSTITUTE(SUBSTITUTE("type:"&amp;A11,"%","%25"),"~","%7E"),"*","%2A"),"?","%3F"))</x:f>
      </x:c>
    </x:row>
    <x:row r="12" ht="22" customHeight="1">
      <x:c r="A12" s="3"/>
      <x:c r="B12" s="1"/>
      <x:c r="C12" s="4"/>
      <x:c r="D12" s="4"/>
      <x:c r="E12" s="1"/>
      <x:c r="F12" s="5" t="str">
        <x:f>IF(COUNTA(A12:E12)=0,"",IF(A12="","Missing type",IF(COUNTIFS($G$7:$G$26,"="&amp;G12)&gt;1,"Duplicate type",IF(AND(B12&lt;&gt;"hours",B12&lt;&gt;"km"),"Use hours or km",IF(IF(NOT(ISNUMBER(C12)),TRUE,OR(C12&lt;=0,C12&gt;999999999,ROUND(C12,3)&lt;&gt;C12)),"Invalid interval",IF(IF(NOT(ISNUMBER(D12)),TRUE,OR(D12&lt;0,D12&gt;999999999,ROUND(D12,3)&lt;&gt;D12)),"Invalid warning",IF(E12&lt;&gt;"Yes","Approve rule","")))))))</x:f>
      </x:c>
      <x:c r="G12" s="5" t="str">
        <x:f>IF(A12="","",SUBSTITUTE(SUBSTITUTE(SUBSTITUTE(SUBSTITUTE("type:"&amp;A12,"%","%25"),"~","%7E"),"*","%2A"),"?","%3F"))</x:f>
      </x:c>
    </x:row>
    <x:row r="13" ht="22" customHeight="1">
      <x:c r="A13" s="3"/>
      <x:c r="B13" s="1"/>
      <x:c r="C13" s="4"/>
      <x:c r="D13" s="4"/>
      <x:c r="E13" s="1"/>
      <x:c r="F13" s="5" t="str">
        <x:f>IF(COUNTA(A13:E13)=0,"",IF(A13="","Missing type",IF(COUNTIFS($G$7:$G$26,"="&amp;G13)&gt;1,"Duplicate type",IF(AND(B13&lt;&gt;"hours",B13&lt;&gt;"km"),"Use hours or km",IF(IF(NOT(ISNUMBER(C13)),TRUE,OR(C13&lt;=0,C13&gt;999999999,ROUND(C13,3)&lt;&gt;C13)),"Invalid interval",IF(IF(NOT(ISNUMBER(D13)),TRUE,OR(D13&lt;0,D13&gt;999999999,ROUND(D13,3)&lt;&gt;D13)),"Invalid warning",IF(E13&lt;&gt;"Yes","Approve rule","")))))))</x:f>
      </x:c>
      <x:c r="G13" s="5" t="str">
        <x:f>IF(A13="","",SUBSTITUTE(SUBSTITUTE(SUBSTITUTE(SUBSTITUTE("type:"&amp;A13,"%","%25"),"~","%7E"),"*","%2A"),"?","%3F"))</x:f>
      </x:c>
    </x:row>
    <x:row r="14" ht="22" customHeight="1">
      <x:c r="A14" s="3"/>
      <x:c r="B14" s="1"/>
      <x:c r="C14" s="4"/>
      <x:c r="D14" s="4"/>
      <x:c r="E14" s="1"/>
      <x:c r="F14" s="5" t="str">
        <x:f>IF(COUNTA(A14:E14)=0,"",IF(A14="","Missing type",IF(COUNTIFS($G$7:$G$26,"="&amp;G14)&gt;1,"Duplicate type",IF(AND(B14&lt;&gt;"hours",B14&lt;&gt;"km"),"Use hours or km",IF(IF(NOT(ISNUMBER(C14)),TRUE,OR(C14&lt;=0,C14&gt;999999999,ROUND(C14,3)&lt;&gt;C14)),"Invalid interval",IF(IF(NOT(ISNUMBER(D14)),TRUE,OR(D14&lt;0,D14&gt;999999999,ROUND(D14,3)&lt;&gt;D14)),"Invalid warning",IF(E14&lt;&gt;"Yes","Approve rule","")))))))</x:f>
      </x:c>
      <x:c r="G14" s="5" t="str">
        <x:f>IF(A14="","",SUBSTITUTE(SUBSTITUTE(SUBSTITUTE(SUBSTITUTE("type:"&amp;A14,"%","%25"),"~","%7E"),"*","%2A"),"?","%3F"))</x:f>
      </x:c>
    </x:row>
    <x:row r="15" ht="22" customHeight="1">
      <x:c r="A15" s="3"/>
      <x:c r="B15" s="1"/>
      <x:c r="C15" s="4"/>
      <x:c r="D15" s="4"/>
      <x:c r="E15" s="1"/>
      <x:c r="F15" s="5" t="str">
        <x:f>IF(COUNTA(A15:E15)=0,"",IF(A15="","Missing type",IF(COUNTIFS($G$7:$G$26,"="&amp;G15)&gt;1,"Duplicate type",IF(AND(B15&lt;&gt;"hours",B15&lt;&gt;"km"),"Use hours or km",IF(IF(NOT(ISNUMBER(C15)),TRUE,OR(C15&lt;=0,C15&gt;999999999,ROUND(C15,3)&lt;&gt;C15)),"Invalid interval",IF(IF(NOT(ISNUMBER(D15)),TRUE,OR(D15&lt;0,D15&gt;999999999,ROUND(D15,3)&lt;&gt;D15)),"Invalid warning",IF(E15&lt;&gt;"Yes","Approve rule","")))))))</x:f>
      </x:c>
      <x:c r="G15" s="5" t="str">
        <x:f>IF(A15="","",SUBSTITUTE(SUBSTITUTE(SUBSTITUTE(SUBSTITUTE("type:"&amp;A15,"%","%25"),"~","%7E"),"*","%2A"),"?","%3F"))</x:f>
      </x:c>
    </x:row>
    <x:row r="16" ht="22" customHeight="1">
      <x:c r="A16" s="3"/>
      <x:c r="B16" s="1"/>
      <x:c r="C16" s="4"/>
      <x:c r="D16" s="4"/>
      <x:c r="E16" s="1"/>
      <x:c r="F16" s="5" t="str">
        <x:f>IF(COUNTA(A16:E16)=0,"",IF(A16="","Missing type",IF(COUNTIFS($G$7:$G$26,"="&amp;G16)&gt;1,"Duplicate type",IF(AND(B16&lt;&gt;"hours",B16&lt;&gt;"km"),"Use hours or km",IF(IF(NOT(ISNUMBER(C16)),TRUE,OR(C16&lt;=0,C16&gt;999999999,ROUND(C16,3)&lt;&gt;C16)),"Invalid interval",IF(IF(NOT(ISNUMBER(D16)),TRUE,OR(D16&lt;0,D16&gt;999999999,ROUND(D16,3)&lt;&gt;D16)),"Invalid warning",IF(E16&lt;&gt;"Yes","Approve rule","")))))))</x:f>
      </x:c>
      <x:c r="G16" s="5" t="str">
        <x:f>IF(A16="","",SUBSTITUTE(SUBSTITUTE(SUBSTITUTE(SUBSTITUTE("type:"&amp;A16,"%","%25"),"~","%7E"),"*","%2A"),"?","%3F"))</x:f>
      </x:c>
    </x:row>
    <x:row r="17" ht="22" customHeight="1">
      <x:c r="A17" s="3"/>
      <x:c r="B17" s="1"/>
      <x:c r="C17" s="4"/>
      <x:c r="D17" s="4"/>
      <x:c r="E17" s="1"/>
      <x:c r="F17" s="5" t="str">
        <x:f>IF(COUNTA(A17:E17)=0,"",IF(A17="","Missing type",IF(COUNTIFS($G$7:$G$26,"="&amp;G17)&gt;1,"Duplicate type",IF(AND(B17&lt;&gt;"hours",B17&lt;&gt;"km"),"Use hours or km",IF(IF(NOT(ISNUMBER(C17)),TRUE,OR(C17&lt;=0,C17&gt;999999999,ROUND(C17,3)&lt;&gt;C17)),"Invalid interval",IF(IF(NOT(ISNUMBER(D17)),TRUE,OR(D17&lt;0,D17&gt;999999999,ROUND(D17,3)&lt;&gt;D17)),"Invalid warning",IF(E17&lt;&gt;"Yes","Approve rule","")))))))</x:f>
      </x:c>
      <x:c r="G17" s="5" t="str">
        <x:f>IF(A17="","",SUBSTITUTE(SUBSTITUTE(SUBSTITUTE(SUBSTITUTE("type:"&amp;A17,"%","%25"),"~","%7E"),"*","%2A"),"?","%3F"))</x:f>
      </x:c>
    </x:row>
    <x:row r="18" ht="22" customHeight="1">
      <x:c r="A18" s="3"/>
      <x:c r="B18" s="1"/>
      <x:c r="C18" s="4"/>
      <x:c r="D18" s="4"/>
      <x:c r="E18" s="1"/>
      <x:c r="F18" s="5" t="str">
        <x:f>IF(COUNTA(A18:E18)=0,"",IF(A18="","Missing type",IF(COUNTIFS($G$7:$G$26,"="&amp;G18)&gt;1,"Duplicate type",IF(AND(B18&lt;&gt;"hours",B18&lt;&gt;"km"),"Use hours or km",IF(IF(NOT(ISNUMBER(C18)),TRUE,OR(C18&lt;=0,C18&gt;999999999,ROUND(C18,3)&lt;&gt;C18)),"Invalid interval",IF(IF(NOT(ISNUMBER(D18)),TRUE,OR(D18&lt;0,D18&gt;999999999,ROUND(D18,3)&lt;&gt;D18)),"Invalid warning",IF(E18&lt;&gt;"Yes","Approve rule","")))))))</x:f>
      </x:c>
      <x:c r="G18" s="5" t="str">
        <x:f>IF(A18="","",SUBSTITUTE(SUBSTITUTE(SUBSTITUTE(SUBSTITUTE("type:"&amp;A18,"%","%25"),"~","%7E"),"*","%2A"),"?","%3F"))</x:f>
      </x:c>
    </x:row>
    <x:row r="19" ht="22" customHeight="1">
      <x:c r="A19" s="3"/>
      <x:c r="B19" s="1"/>
      <x:c r="C19" s="4"/>
      <x:c r="D19" s="4"/>
      <x:c r="E19" s="1"/>
      <x:c r="F19" s="5" t="str">
        <x:f>IF(COUNTA(A19:E19)=0,"",IF(A19="","Missing type",IF(COUNTIFS($G$7:$G$26,"="&amp;G19)&gt;1,"Duplicate type",IF(AND(B19&lt;&gt;"hours",B19&lt;&gt;"km"),"Use hours or km",IF(IF(NOT(ISNUMBER(C19)),TRUE,OR(C19&lt;=0,C19&gt;999999999,ROUND(C19,3)&lt;&gt;C19)),"Invalid interval",IF(IF(NOT(ISNUMBER(D19)),TRUE,OR(D19&lt;0,D19&gt;999999999,ROUND(D19,3)&lt;&gt;D19)),"Invalid warning",IF(E19&lt;&gt;"Yes","Approve rule","")))))))</x:f>
      </x:c>
      <x:c r="G19" s="5" t="str">
        <x:f>IF(A19="","",SUBSTITUTE(SUBSTITUTE(SUBSTITUTE(SUBSTITUTE("type:"&amp;A19,"%","%25"),"~","%7E"),"*","%2A"),"?","%3F"))</x:f>
      </x:c>
    </x:row>
    <x:row r="20" ht="22" customHeight="1">
      <x:c r="A20" s="3"/>
      <x:c r="B20" s="1"/>
      <x:c r="C20" s="4"/>
      <x:c r="D20" s="4"/>
      <x:c r="E20" s="1"/>
      <x:c r="F20" s="5" t="str">
        <x:f>IF(COUNTA(A20:E20)=0,"",IF(A20="","Missing type",IF(COUNTIFS($G$7:$G$26,"="&amp;G20)&gt;1,"Duplicate type",IF(AND(B20&lt;&gt;"hours",B20&lt;&gt;"km"),"Use hours or km",IF(IF(NOT(ISNUMBER(C20)),TRUE,OR(C20&lt;=0,C20&gt;999999999,ROUND(C20,3)&lt;&gt;C20)),"Invalid interval",IF(IF(NOT(ISNUMBER(D20)),TRUE,OR(D20&lt;0,D20&gt;999999999,ROUND(D20,3)&lt;&gt;D20)),"Invalid warning",IF(E20&lt;&gt;"Yes","Approve rule","")))))))</x:f>
      </x:c>
      <x:c r="G20" s="5" t="str">
        <x:f>IF(A20="","",SUBSTITUTE(SUBSTITUTE(SUBSTITUTE(SUBSTITUTE("type:"&amp;A20,"%","%25"),"~","%7E"),"*","%2A"),"?","%3F"))</x:f>
      </x:c>
    </x:row>
    <x:row r="21" ht="22" customHeight="1">
      <x:c r="A21" s="3"/>
      <x:c r="B21" s="1"/>
      <x:c r="C21" s="4"/>
      <x:c r="D21" s="4"/>
      <x:c r="E21" s="1"/>
      <x:c r="F21" s="5" t="str">
        <x:f>IF(COUNTA(A21:E21)=0,"",IF(A21="","Missing type",IF(COUNTIFS($G$7:$G$26,"="&amp;G21)&gt;1,"Duplicate type",IF(AND(B21&lt;&gt;"hours",B21&lt;&gt;"km"),"Use hours or km",IF(IF(NOT(ISNUMBER(C21)),TRUE,OR(C21&lt;=0,C21&gt;999999999,ROUND(C21,3)&lt;&gt;C21)),"Invalid interval",IF(IF(NOT(ISNUMBER(D21)),TRUE,OR(D21&lt;0,D21&gt;999999999,ROUND(D21,3)&lt;&gt;D21)),"Invalid warning",IF(E21&lt;&gt;"Yes","Approve rule","")))))))</x:f>
      </x:c>
      <x:c r="G21" s="5" t="str">
        <x:f>IF(A21="","",SUBSTITUTE(SUBSTITUTE(SUBSTITUTE(SUBSTITUTE("type:"&amp;A21,"%","%25"),"~","%7E"),"*","%2A"),"?","%3F"))</x:f>
      </x:c>
    </x:row>
    <x:row r="22" ht="22" customHeight="1">
      <x:c r="A22" s="3"/>
      <x:c r="B22" s="1"/>
      <x:c r="C22" s="4"/>
      <x:c r="D22" s="4"/>
      <x:c r="E22" s="1"/>
      <x:c r="F22" s="5" t="str">
        <x:f>IF(COUNTA(A22:E22)=0,"",IF(A22="","Missing type",IF(COUNTIFS($G$7:$G$26,"="&amp;G22)&gt;1,"Duplicate type",IF(AND(B22&lt;&gt;"hours",B22&lt;&gt;"km"),"Use hours or km",IF(IF(NOT(ISNUMBER(C22)),TRUE,OR(C22&lt;=0,C22&gt;999999999,ROUND(C22,3)&lt;&gt;C22)),"Invalid interval",IF(IF(NOT(ISNUMBER(D22)),TRUE,OR(D22&lt;0,D22&gt;999999999,ROUND(D22,3)&lt;&gt;D22)),"Invalid warning",IF(E22&lt;&gt;"Yes","Approve rule","")))))))</x:f>
      </x:c>
      <x:c r="G22" s="5" t="str">
        <x:f>IF(A22="","",SUBSTITUTE(SUBSTITUTE(SUBSTITUTE(SUBSTITUTE("type:"&amp;A22,"%","%25"),"~","%7E"),"*","%2A"),"?","%3F"))</x:f>
      </x:c>
    </x:row>
    <x:row r="23" ht="22" customHeight="1">
      <x:c r="A23" s="3"/>
      <x:c r="B23" s="1"/>
      <x:c r="C23" s="4"/>
      <x:c r="D23" s="4"/>
      <x:c r="E23" s="1"/>
      <x:c r="F23" s="5" t="str">
        <x:f>IF(COUNTA(A23:E23)=0,"",IF(A23="","Missing type",IF(COUNTIFS($G$7:$G$26,"="&amp;G23)&gt;1,"Duplicate type",IF(AND(B23&lt;&gt;"hours",B23&lt;&gt;"km"),"Use hours or km",IF(IF(NOT(ISNUMBER(C23)),TRUE,OR(C23&lt;=0,C23&gt;999999999,ROUND(C23,3)&lt;&gt;C23)),"Invalid interval",IF(IF(NOT(ISNUMBER(D23)),TRUE,OR(D23&lt;0,D23&gt;999999999,ROUND(D23,3)&lt;&gt;D23)),"Invalid warning",IF(E23&lt;&gt;"Yes","Approve rule","")))))))</x:f>
      </x:c>
      <x:c r="G23" s="5" t="str">
        <x:f>IF(A23="","",SUBSTITUTE(SUBSTITUTE(SUBSTITUTE(SUBSTITUTE("type:"&amp;A23,"%","%25"),"~","%7E"),"*","%2A"),"?","%3F"))</x:f>
      </x:c>
    </x:row>
    <x:row r="24" ht="22" customHeight="1">
      <x:c r="A24" s="3"/>
      <x:c r="B24" s="1"/>
      <x:c r="C24" s="4"/>
      <x:c r="D24" s="4"/>
      <x:c r="E24" s="1"/>
      <x:c r="F24" s="5" t="str">
        <x:f>IF(COUNTA(A24:E24)=0,"",IF(A24="","Missing type",IF(COUNTIFS($G$7:$G$26,"="&amp;G24)&gt;1,"Duplicate type",IF(AND(B24&lt;&gt;"hours",B24&lt;&gt;"km"),"Use hours or km",IF(IF(NOT(ISNUMBER(C24)),TRUE,OR(C24&lt;=0,C24&gt;999999999,ROUND(C24,3)&lt;&gt;C24)),"Invalid interval",IF(IF(NOT(ISNUMBER(D24)),TRUE,OR(D24&lt;0,D24&gt;999999999,ROUND(D24,3)&lt;&gt;D24)),"Invalid warning",IF(E24&lt;&gt;"Yes","Approve rule","")))))))</x:f>
      </x:c>
      <x:c r="G24" s="5" t="str">
        <x:f>IF(A24="","",SUBSTITUTE(SUBSTITUTE(SUBSTITUTE(SUBSTITUTE("type:"&amp;A24,"%","%25"),"~","%7E"),"*","%2A"),"?","%3F"))</x:f>
      </x:c>
    </x:row>
    <x:row r="25" ht="22" customHeight="1">
      <x:c r="A25" s="3"/>
      <x:c r="B25" s="1"/>
      <x:c r="C25" s="4"/>
      <x:c r="D25" s="4"/>
      <x:c r="E25" s="1"/>
      <x:c r="F25" s="5" t="str">
        <x:f>IF(COUNTA(A25:E25)=0,"",IF(A25="","Missing type",IF(COUNTIFS($G$7:$G$26,"="&amp;G25)&gt;1,"Duplicate type",IF(AND(B25&lt;&gt;"hours",B25&lt;&gt;"km"),"Use hours or km",IF(IF(NOT(ISNUMBER(C25)),TRUE,OR(C25&lt;=0,C25&gt;999999999,ROUND(C25,3)&lt;&gt;C25)),"Invalid interval",IF(IF(NOT(ISNUMBER(D25)),TRUE,OR(D25&lt;0,D25&gt;999999999,ROUND(D25,3)&lt;&gt;D25)),"Invalid warning",IF(E25&lt;&gt;"Yes","Approve rule","")))))))</x:f>
      </x:c>
      <x:c r="G25" s="5" t="str">
        <x:f>IF(A25="","",SUBSTITUTE(SUBSTITUTE(SUBSTITUTE(SUBSTITUTE("type:"&amp;A25,"%","%25"),"~","%7E"),"*","%2A"),"?","%3F"))</x:f>
      </x:c>
    </x:row>
    <x:row r="26" ht="22" customHeight="1">
      <x:c r="A26" s="3"/>
      <x:c r="B26" s="1"/>
      <x:c r="C26" s="4"/>
      <x:c r="D26" s="4"/>
      <x:c r="E26" s="1"/>
      <x:c r="F26" s="5" t="str">
        <x:f>IF(COUNTA(A26:E26)=0,"",IF(A26="","Missing type",IF(COUNTIFS($G$7:$G$26,"="&amp;G26)&gt;1,"Duplicate type",IF(AND(B26&lt;&gt;"hours",B26&lt;&gt;"km"),"Use hours or km",IF(IF(NOT(ISNUMBER(C26)),TRUE,OR(C26&lt;=0,C26&gt;999999999,ROUND(C26,3)&lt;&gt;C26)),"Invalid interval",IF(IF(NOT(ISNUMBER(D26)),TRUE,OR(D26&lt;0,D26&gt;999999999,ROUND(D26,3)&lt;&gt;D26)),"Invalid warning",IF(E26&lt;&gt;"Yes","Approve rule","")))))))</x:f>
      </x:c>
      <x:c r="G26" s="5" t="str">
        <x:f>IF(A26="","",SUBSTITUTE(SUBSTITUTE(SUBSTITUTE(SUBSTITUTE("type:"&amp;A26,"%","%25"),"~","%7E"),"*","%2A"),"?","%3F"))</x:f>
      </x:c>
    </x:row>
  </x:sheetData>
  <x:conditionalFormatting sqref="F7:F26">
    <x:cfRule type="expression" dxfId="3" priority="1">
      <x:formula>$F7&lt;&gt;""</x:formula>
    </x:cfRule>
  </x:conditionalFormatting>
  <x:dataValidations count="2">
    <x:dataValidation type="list" sqref="B7:B26">
      <x:formula1>"hours,km"</x:formula1>
    </x:dataValidation>
    <x:dataValidation type="list" sqref="E7:E26">
      <x:formula1>"No,Yes"</x:formula1>
    </x:dataValidation>
  </x:dataValidations>
  <x:pageMargins left="0.7" right="0.7" top="0.75" bottom="0.75" header="0.3" footer="0.3"/>
</x:worksheet>
</file>